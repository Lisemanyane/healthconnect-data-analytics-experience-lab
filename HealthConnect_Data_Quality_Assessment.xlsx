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DQ_Assessment" sheetId="3" state="visible" r:id="rId5"/>
    <sheet name="Findings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<sst xmlns="http://schemas.openxmlformats.org/spreadsheetml/2006/main" count="48852" uniqueCount="6852">
  <si>
    <t xml:space="preserve">HealthConnect Appointment Data — Data Quality Assessment</t>
  </si>
  <si>
    <t xml:space="preserve">AnalystLab Africa — HealthConnect Experience Lab — Week 4 — Data Analytics Track</t>
  </si>
  <si>
    <t xml:space="preserve">Purpose</t>
  </si>
  <si>
    <t xml:space="preserve">This workbook documents the initial data quality assessment of HealthConnect_Appointment_Data (5,000 appointment records, 18 substantive fields), performed as part of the Week 4 Data Analytics track deliverable. All checks are built as live Excel formulas referencing the raw data on the 'Raw_Data' sheet, so every figure below recalculates automatically if the source data changes.</t>
  </si>
  <si>
    <t xml:space="preserve">How this workbook is organised</t>
  </si>
  <si>
    <t xml:space="preserve">• Raw_Data — the source data exactly as received, plus five helper columns (U–Y) that flag duplicates and logical inconsistencies row-by-row. Nothing in the original 20 columns (A–T) has been altered, edited, or deleted, per the project's 'do not overwrite original resources' instruction.</t>
  </si>
  <si>
    <t xml:space="preserve">• DQ_Assessment — the summary checks: completeness, duplicates, categorical consistency, numeric ranges/outliers, logical consistency, and outcome distribution. All values are formulas.</t>
  </si>
  <si>
    <t xml:space="preserve">• Findings_Summary — a short written summary of what the checks found and what it means for the next phase of analysis.</t>
  </si>
  <si>
    <t xml:space="preserve">Note on the two unlabeled columns</t>
  </si>
  <si>
    <t xml:space="preserve">The source file contained two columns with no header (columns S and T). Column S is completely blank across all 5,000 rows. Column T is blank except for a single stray numeric value (2423) in row 2, with no accompanying label or context. Both are preserved as-is on Raw_Data and flagged in the completeness and findings sections — they should not be used in analysis until their origin is confirmed against the Data Dictionary.</t>
  </si>
  <si>
    <t xml:space="preserve">appointment_id</t>
  </si>
  <si>
    <t xml:space="preserve">patient_id</t>
  </si>
  <si>
    <t xml:space="preserve">gender</t>
  </si>
  <si>
    <t xml:space="preserve">age</t>
  </si>
  <si>
    <t xml:space="preserve">age_group</t>
  </si>
  <si>
    <t xml:space="preserve">appointment_type</t>
  </si>
  <si>
    <t xml:space="preserve">booking_date</t>
  </si>
  <si>
    <t xml:space="preserve">appointment_date</t>
  </si>
  <si>
    <t xml:space="preserve">appointment_day</t>
  </si>
  <si>
    <t xml:space="preserve">appointment_time</t>
  </si>
  <si>
    <t xml:space="preserve">booking_lead_days</t>
  </si>
  <si>
    <t xml:space="preserve">previous_appointments</t>
  </si>
  <si>
    <t xml:space="preserve">previous_no_shows</t>
  </si>
  <si>
    <t xml:space="preserve">reminder_sent</t>
  </si>
  <si>
    <t xml:space="preserve">reminder_channel</t>
  </si>
  <si>
    <t xml:space="preserve">distance_to_clinic_km</t>
  </si>
  <si>
    <t xml:space="preserve">waiting_time_minutes</t>
  </si>
  <si>
    <t xml:space="preserve">appointment_outcome</t>
  </si>
  <si>
    <t xml:space="preserve">Extra_Column_1 (unlabeled in source)</t>
  </si>
  <si>
    <t xml:space="preserve">Extra_Column_2 (unlabeled in source)</t>
  </si>
  <si>
    <t xml:space="preserve">Dup_AppointmentID_Flag</t>
  </si>
  <si>
    <t xml:space="preserve">Dup_Booking_Flag (same patient+date+time)</t>
  </si>
  <si>
    <t xml:space="preserve">LeadDays_Check</t>
  </si>
  <si>
    <t xml:space="preserve">Weekday_Check</t>
  </si>
  <si>
    <t xml:space="preserve">ReminderChannel_Logic_Check</t>
  </si>
  <si>
    <t xml:space="preserve">HC-00001</t>
  </si>
  <si>
    <t xml:space="preserve">P-1613</t>
  </si>
  <si>
    <t xml:space="preserve">Female</t>
  </si>
  <si>
    <t xml:space="preserve">35-44</t>
  </si>
  <si>
    <t xml:space="preserve">Follow-up</t>
  </si>
  <si>
    <t xml:space="preserve">Tuesday</t>
  </si>
  <si>
    <t xml:space="preserve">Afternoon</t>
  </si>
  <si>
    <t xml:space="preserve">Yes</t>
  </si>
  <si>
    <t xml:space="preserve">WhatsApp</t>
  </si>
  <si>
    <t xml:space="preserve">No-Show</t>
  </si>
  <si>
    <t xml:space="preserve">HC-00002</t>
  </si>
  <si>
    <t xml:space="preserve">P-0813</t>
  </si>
  <si>
    <t xml:space="preserve">Male</t>
  </si>
  <si>
    <t xml:space="preserve">25-34</t>
  </si>
  <si>
    <t xml:space="preserve">Specialist Consultation</t>
  </si>
  <si>
    <t xml:space="preserve">Friday</t>
  </si>
  <si>
    <t xml:space="preserve">Morning</t>
  </si>
  <si>
    <t xml:space="preserve">SMS</t>
  </si>
  <si>
    <t xml:space="preserve">Attended</t>
  </si>
  <si>
    <t xml:space="preserve">HC-00003</t>
  </si>
  <si>
    <t xml:space="preserve">P-1366</t>
  </si>
  <si>
    <t xml:space="preserve">45-54</t>
  </si>
  <si>
    <t xml:space="preserve">General Consultation</t>
  </si>
  <si>
    <t xml:space="preserve">Wednesday</t>
  </si>
  <si>
    <t xml:space="preserve">HC-00004</t>
  </si>
  <si>
    <t xml:space="preserve">P-1031</t>
  </si>
  <si>
    <t xml:space="preserve">55-64</t>
  </si>
  <si>
    <t xml:space="preserve">Thursday</t>
  </si>
  <si>
    <t xml:space="preserve">Evening</t>
  </si>
  <si>
    <t xml:space="preserve">HC-00005</t>
  </si>
  <si>
    <t xml:space="preserve">P-1458</t>
  </si>
  <si>
    <t xml:space="preserve">Monday</t>
  </si>
  <si>
    <t xml:space="preserve">Email</t>
  </si>
  <si>
    <t xml:space="preserve">HC-00006</t>
  </si>
  <si>
    <t xml:space="preserve">P-0523</t>
  </si>
  <si>
    <t xml:space="preserve">65+</t>
  </si>
  <si>
    <t xml:space="preserve">No</t>
  </si>
  <si>
    <t xml:space="preserve">HC-00007</t>
  </si>
  <si>
    <t xml:space="preserve">P-0776</t>
  </si>
  <si>
    <t xml:space="preserve">Diagnostic Test</t>
  </si>
  <si>
    <t xml:space="preserve">Sunday</t>
  </si>
  <si>
    <t xml:space="preserve">HC-00008</t>
  </si>
  <si>
    <t xml:space="preserve">P-0927</t>
  </si>
  <si>
    <t xml:space="preserve">HC-00009</t>
  </si>
  <si>
    <t xml:space="preserve">P-0388</t>
  </si>
  <si>
    <t xml:space="preserve">HC-00010</t>
  </si>
  <si>
    <t xml:space="preserve">P-0371</t>
  </si>
  <si>
    <t xml:space="preserve">18-24</t>
  </si>
  <si>
    <t xml:space="preserve">HC-00011</t>
  </si>
  <si>
    <t xml:space="preserve">P-1070</t>
  </si>
  <si>
    <t xml:space="preserve">HC-00012</t>
  </si>
  <si>
    <t xml:space="preserve">P-0435</t>
  </si>
  <si>
    <t xml:space="preserve">Cancelled</t>
  </si>
  <si>
    <t xml:space="preserve">HC-00013</t>
  </si>
  <si>
    <t xml:space="preserve">P-0433</t>
  </si>
  <si>
    <t xml:space="preserve">HC-00014</t>
  </si>
  <si>
    <t xml:space="preserve">P-0326</t>
  </si>
  <si>
    <t xml:space="preserve">HC-00015</t>
  </si>
  <si>
    <t xml:space="preserve">P-1342</t>
  </si>
  <si>
    <t xml:space="preserve">HC-00016</t>
  </si>
  <si>
    <t xml:space="preserve">P-0353</t>
  </si>
  <si>
    <t xml:space="preserve">HC-00017</t>
  </si>
  <si>
    <t xml:space="preserve">P-0930</t>
  </si>
  <si>
    <t xml:space="preserve">HC-00018</t>
  </si>
  <si>
    <t xml:space="preserve">P-0859</t>
  </si>
  <si>
    <t xml:space="preserve">HC-00019</t>
  </si>
  <si>
    <t xml:space="preserve">P-0231</t>
  </si>
  <si>
    <t xml:space="preserve">Saturday</t>
  </si>
  <si>
    <t xml:space="preserve">HC-00020</t>
  </si>
  <si>
    <t xml:space="preserve">P-0106</t>
  </si>
  <si>
    <t xml:space="preserve">HC-00021</t>
  </si>
  <si>
    <t xml:space="preserve">P-1330</t>
  </si>
  <si>
    <t xml:space="preserve">HC-00022</t>
  </si>
  <si>
    <t xml:space="preserve">P-0597</t>
  </si>
  <si>
    <t xml:space="preserve">HC-00023</t>
  </si>
  <si>
    <t xml:space="preserve">P-1623</t>
  </si>
  <si>
    <t xml:space="preserve">HC-00024</t>
  </si>
  <si>
    <t xml:space="preserve">P-0863</t>
  </si>
  <si>
    <t xml:space="preserve">HC-00025</t>
  </si>
  <si>
    <t xml:space="preserve">P-0623</t>
  </si>
  <si>
    <t xml:space="preserve">HC-00026</t>
  </si>
  <si>
    <t xml:space="preserve">P-0270</t>
  </si>
  <si>
    <t xml:space="preserve">HC-00027</t>
  </si>
  <si>
    <t xml:space="preserve">P-0224</t>
  </si>
  <si>
    <t xml:space="preserve">HC-00028</t>
  </si>
  <si>
    <t xml:space="preserve">P-0640</t>
  </si>
  <si>
    <t xml:space="preserve">HC-00029</t>
  </si>
  <si>
    <t xml:space="preserve">P-0415</t>
  </si>
  <si>
    <t xml:space="preserve">HC-00030</t>
  </si>
  <si>
    <t xml:space="preserve">P-0983</t>
  </si>
  <si>
    <t xml:space="preserve">HC-00031</t>
  </si>
  <si>
    <t xml:space="preserve">P-0020</t>
  </si>
  <si>
    <t xml:space="preserve">HC-00032</t>
  </si>
  <si>
    <t xml:space="preserve">P-1631</t>
  </si>
  <si>
    <t xml:space="preserve">HC-00033</t>
  </si>
  <si>
    <t xml:space="preserve">P-0816</t>
  </si>
  <si>
    <t xml:space="preserve">HC-00034</t>
  </si>
  <si>
    <t xml:space="preserve">P-0581</t>
  </si>
  <si>
    <t xml:space="preserve">HC-00035</t>
  </si>
  <si>
    <t xml:space="preserve">P-0074</t>
  </si>
  <si>
    <t xml:space="preserve">HC-00036</t>
  </si>
  <si>
    <t xml:space="preserve">P-0010</t>
  </si>
  <si>
    <t xml:space="preserve">HC-00037</t>
  </si>
  <si>
    <t xml:space="preserve">P-0343</t>
  </si>
  <si>
    <t xml:space="preserve">HC-00038</t>
  </si>
  <si>
    <t xml:space="preserve">P-1214</t>
  </si>
  <si>
    <t xml:space="preserve">HC-00039</t>
  </si>
  <si>
    <t xml:space="preserve">P-0072</t>
  </si>
  <si>
    <t xml:space="preserve">HC-00040</t>
  </si>
  <si>
    <t xml:space="preserve">P-1727</t>
  </si>
  <si>
    <t xml:space="preserve">HC-00041</t>
  </si>
  <si>
    <t xml:space="preserve">P-0183</t>
  </si>
  <si>
    <t xml:space="preserve">HC-00042</t>
  </si>
  <si>
    <t xml:space="preserve">P-1780</t>
  </si>
  <si>
    <t xml:space="preserve">HC-00043</t>
  </si>
  <si>
    <t xml:space="preserve">P-0612</t>
  </si>
  <si>
    <t xml:space="preserve">HC-00044</t>
  </si>
  <si>
    <t xml:space="preserve">P-0834</t>
  </si>
  <si>
    <t xml:space="preserve">HC-00045</t>
  </si>
  <si>
    <t xml:space="preserve">P-1320</t>
  </si>
  <si>
    <t xml:space="preserve">HC-00046</t>
  </si>
  <si>
    <t xml:space="preserve">P-0317</t>
  </si>
  <si>
    <t xml:space="preserve">HC-00047</t>
  </si>
  <si>
    <t xml:space="preserve">P-0276</t>
  </si>
  <si>
    <t xml:space="preserve">HC-00048</t>
  </si>
  <si>
    <t xml:space="preserve">P-1213</t>
  </si>
  <si>
    <t xml:space="preserve">HC-00049</t>
  </si>
  <si>
    <t xml:space="preserve">P-0913</t>
  </si>
  <si>
    <t xml:space="preserve">HC-00050</t>
  </si>
  <si>
    <t xml:space="preserve">P-1454</t>
  </si>
  <si>
    <t xml:space="preserve">HC-00051</t>
  </si>
  <si>
    <t xml:space="preserve">P-0843</t>
  </si>
  <si>
    <t xml:space="preserve">HC-00052</t>
  </si>
  <si>
    <t xml:space="preserve">P-1002</t>
  </si>
  <si>
    <t xml:space="preserve">HC-00053</t>
  </si>
  <si>
    <t xml:space="preserve">P-0584</t>
  </si>
  <si>
    <t xml:space="preserve">HC-00054</t>
  </si>
  <si>
    <t xml:space="preserve">P-0633</t>
  </si>
  <si>
    <t xml:space="preserve">HC-00055</t>
  </si>
  <si>
    <t xml:space="preserve">P-1767</t>
  </si>
  <si>
    <t xml:space="preserve">HC-00056</t>
  </si>
  <si>
    <t xml:space="preserve">P-0601</t>
  </si>
  <si>
    <t xml:space="preserve">HC-00057</t>
  </si>
  <si>
    <t xml:space="preserve">P-1599</t>
  </si>
  <si>
    <t xml:space="preserve">HC-00058</t>
  </si>
  <si>
    <t xml:space="preserve">P-0795</t>
  </si>
  <si>
    <t xml:space="preserve">HC-00059</t>
  </si>
  <si>
    <t xml:space="preserve">P-1117</t>
  </si>
  <si>
    <t xml:space="preserve">HC-00060</t>
  </si>
  <si>
    <t xml:space="preserve">P-0368</t>
  </si>
  <si>
    <t xml:space="preserve">HC-00061</t>
  </si>
  <si>
    <t xml:space="preserve">P-0591</t>
  </si>
  <si>
    <t xml:space="preserve">HC-00062</t>
  </si>
  <si>
    <t xml:space="preserve">P-0765</t>
  </si>
  <si>
    <t xml:space="preserve">HC-00063</t>
  </si>
  <si>
    <t xml:space="preserve">HC-00064</t>
  </si>
  <si>
    <t xml:space="preserve">P-1482</t>
  </si>
  <si>
    <t xml:space="preserve">HC-00065</t>
  </si>
  <si>
    <t xml:space="preserve">P-0988</t>
  </si>
  <si>
    <t xml:space="preserve">HC-00066</t>
  </si>
  <si>
    <t xml:space="preserve">P-1000</t>
  </si>
  <si>
    <t xml:space="preserve">HC-00067</t>
  </si>
  <si>
    <t xml:space="preserve">P-0075</t>
  </si>
  <si>
    <t xml:space="preserve">HC-00068</t>
  </si>
  <si>
    <t xml:space="preserve">P-0460</t>
  </si>
  <si>
    <t xml:space="preserve">HC-00069</t>
  </si>
  <si>
    <t xml:space="preserve">P-1601</t>
  </si>
  <si>
    <t xml:space="preserve">HC-00070</t>
  </si>
  <si>
    <t xml:space="preserve">P-1260</t>
  </si>
  <si>
    <t xml:space="preserve">HC-00071</t>
  </si>
  <si>
    <t xml:space="preserve">P-1535</t>
  </si>
  <si>
    <t xml:space="preserve">HC-00072</t>
  </si>
  <si>
    <t xml:space="preserve">P-0630</t>
  </si>
  <si>
    <t xml:space="preserve">HC-00073</t>
  </si>
  <si>
    <t xml:space="preserve">P-1208</t>
  </si>
  <si>
    <t xml:space="preserve">HC-00074</t>
  </si>
  <si>
    <t xml:space="preserve">P-0337</t>
  </si>
  <si>
    <t xml:space="preserve">HC-00075</t>
  </si>
  <si>
    <t xml:space="preserve">P-1292</t>
  </si>
  <si>
    <t xml:space="preserve">HC-00076</t>
  </si>
  <si>
    <t xml:space="preserve">P-0091</t>
  </si>
  <si>
    <t xml:space="preserve">HC-00077</t>
  </si>
  <si>
    <t xml:space="preserve">P-1787</t>
  </si>
  <si>
    <t xml:space="preserve">HC-00078</t>
  </si>
  <si>
    <t xml:space="preserve">P-1561</t>
  </si>
  <si>
    <t xml:space="preserve">HC-00079</t>
  </si>
  <si>
    <t xml:space="preserve">P-1177</t>
  </si>
  <si>
    <t xml:space="preserve">HC-00080</t>
  </si>
  <si>
    <t xml:space="preserve">P-1012</t>
  </si>
  <si>
    <t xml:space="preserve">HC-00081</t>
  </si>
  <si>
    <t xml:space="preserve">P-1420</t>
  </si>
  <si>
    <t xml:space="preserve">HC-00082</t>
  </si>
  <si>
    <t xml:space="preserve">P-0054</t>
  </si>
  <si>
    <t xml:space="preserve">HC-00083</t>
  </si>
  <si>
    <t xml:space="preserve">P-0348</t>
  </si>
  <si>
    <t xml:space="preserve">HC-00084</t>
  </si>
  <si>
    <t xml:space="preserve">P-0891</t>
  </si>
  <si>
    <t xml:space="preserve">HC-00085</t>
  </si>
  <si>
    <t xml:space="preserve">P-0200</t>
  </si>
  <si>
    <t xml:space="preserve">HC-00086</t>
  </si>
  <si>
    <t xml:space="preserve">P-0514</t>
  </si>
  <si>
    <t xml:space="preserve">Prefer not to say</t>
  </si>
  <si>
    <t xml:space="preserve">HC-00087</t>
  </si>
  <si>
    <t xml:space="preserve">P-1001</t>
  </si>
  <si>
    <t xml:space="preserve">HC-00088</t>
  </si>
  <si>
    <t xml:space="preserve">P-0471</t>
  </si>
  <si>
    <t xml:space="preserve">HC-00089</t>
  </si>
  <si>
    <t xml:space="preserve">P-0708</t>
  </si>
  <si>
    <t xml:space="preserve">HC-00090</t>
  </si>
  <si>
    <t xml:space="preserve">P-1664</t>
  </si>
  <si>
    <t xml:space="preserve">HC-00091</t>
  </si>
  <si>
    <t xml:space="preserve">P-1265</t>
  </si>
  <si>
    <t xml:space="preserve">HC-00092</t>
  </si>
  <si>
    <t xml:space="preserve">P-1723</t>
  </si>
  <si>
    <t xml:space="preserve">HC-00093</t>
  </si>
  <si>
    <t xml:space="preserve">P-0422</t>
  </si>
  <si>
    <t xml:space="preserve">HC-00094</t>
  </si>
  <si>
    <t xml:space="preserve">P-1331</t>
  </si>
  <si>
    <t xml:space="preserve">HC-00095</t>
  </si>
  <si>
    <t xml:space="preserve">P-1651</t>
  </si>
  <si>
    <t xml:space="preserve">HC-00096</t>
  </si>
  <si>
    <t xml:space="preserve">P-0447</t>
  </si>
  <si>
    <t xml:space="preserve">HC-00097</t>
  </si>
  <si>
    <t xml:space="preserve">P-0196</t>
  </si>
  <si>
    <t xml:space="preserve">HC-00098</t>
  </si>
  <si>
    <t xml:space="preserve">P-0179</t>
  </si>
  <si>
    <t xml:space="preserve">HC-00099</t>
  </si>
  <si>
    <t xml:space="preserve">P-1747</t>
  </si>
  <si>
    <t xml:space="preserve">HC-00100</t>
  </si>
  <si>
    <t xml:space="preserve">P-0099</t>
  </si>
  <si>
    <t xml:space="preserve">HC-00101</t>
  </si>
  <si>
    <t xml:space="preserve">P-0787</t>
  </si>
  <si>
    <t xml:space="preserve">HC-00102</t>
  </si>
  <si>
    <t xml:space="preserve">P-0088</t>
  </si>
  <si>
    <t xml:space="preserve">HC-00103</t>
  </si>
  <si>
    <t xml:space="preserve">P-0518</t>
  </si>
  <si>
    <t xml:space="preserve">HC-00104</t>
  </si>
  <si>
    <t xml:space="preserve">P-1751</t>
  </si>
  <si>
    <t xml:space="preserve">HC-00105</t>
  </si>
  <si>
    <t xml:space="preserve">P-0293</t>
  </si>
  <si>
    <t xml:space="preserve">HC-00106</t>
  </si>
  <si>
    <t xml:space="preserve">P-0315</t>
  </si>
  <si>
    <t xml:space="preserve">HC-00107</t>
  </si>
  <si>
    <t xml:space="preserve">P-0051</t>
  </si>
  <si>
    <t xml:space="preserve">HC-00108</t>
  </si>
  <si>
    <t xml:space="preserve">P-1316</t>
  </si>
  <si>
    <t xml:space="preserve">HC-00109</t>
  </si>
  <si>
    <t xml:space="preserve">P-0375</t>
  </si>
  <si>
    <t xml:space="preserve">HC-00110</t>
  </si>
  <si>
    <t xml:space="preserve">P-0565</t>
  </si>
  <si>
    <t xml:space="preserve">HC-00111</t>
  </si>
  <si>
    <t xml:space="preserve">P-1354</t>
  </si>
  <si>
    <t xml:space="preserve">HC-00112</t>
  </si>
  <si>
    <t xml:space="preserve">P-1377</t>
  </si>
  <si>
    <t xml:space="preserve">HC-00113</t>
  </si>
  <si>
    <t xml:space="preserve">P-0878</t>
  </si>
  <si>
    <t xml:space="preserve">HC-00114</t>
  </si>
  <si>
    <t xml:space="preserve">P-1470</t>
  </si>
  <si>
    <t xml:space="preserve">HC-00115</t>
  </si>
  <si>
    <t xml:space="preserve">P-1049</t>
  </si>
  <si>
    <t xml:space="preserve">HC-00116</t>
  </si>
  <si>
    <t xml:space="preserve">P-0474</t>
  </si>
  <si>
    <t xml:space="preserve">HC-00117</t>
  </si>
  <si>
    <t xml:space="preserve">P-0400</t>
  </si>
  <si>
    <t xml:space="preserve">HC-00118</t>
  </si>
  <si>
    <t xml:space="preserve">P-0609</t>
  </si>
  <si>
    <t xml:space="preserve">HC-00119</t>
  </si>
  <si>
    <t xml:space="preserve">P-0031</t>
  </si>
  <si>
    <t xml:space="preserve">HC-00120</t>
  </si>
  <si>
    <t xml:space="preserve">P-0892</t>
  </si>
  <si>
    <t xml:space="preserve">HC-00121</t>
  </si>
  <si>
    <t xml:space="preserve">P-0208</t>
  </si>
  <si>
    <t xml:space="preserve">HC-00122</t>
  </si>
  <si>
    <t xml:space="preserve">P-0094</t>
  </si>
  <si>
    <t xml:space="preserve">HC-00123</t>
  </si>
  <si>
    <t xml:space="preserve">P-0344</t>
  </si>
  <si>
    <t xml:space="preserve">HC-00124</t>
  </si>
  <si>
    <t xml:space="preserve">P-0044</t>
  </si>
  <si>
    <t xml:space="preserve">HC-00125</t>
  </si>
  <si>
    <t xml:space="preserve">P-0266</t>
  </si>
  <si>
    <t xml:space="preserve">HC-00126</t>
  </si>
  <si>
    <t xml:space="preserve">P-1468</t>
  </si>
  <si>
    <t xml:space="preserve">HC-00127</t>
  </si>
  <si>
    <t xml:space="preserve">P-1644</t>
  </si>
  <si>
    <t xml:space="preserve">HC-00128</t>
  </si>
  <si>
    <t xml:space="preserve">P-0821</t>
  </si>
  <si>
    <t xml:space="preserve">HC-00129</t>
  </si>
  <si>
    <t xml:space="preserve">P-0941</t>
  </si>
  <si>
    <t xml:space="preserve">HC-00130</t>
  </si>
  <si>
    <t xml:space="preserve">P-0897</t>
  </si>
  <si>
    <t xml:space="preserve">HC-00131</t>
  </si>
  <si>
    <t xml:space="preserve">P-1098</t>
  </si>
  <si>
    <t xml:space="preserve">HC-00132</t>
  </si>
  <si>
    <t xml:space="preserve">P-1094</t>
  </si>
  <si>
    <t xml:space="preserve">HC-00133</t>
  </si>
  <si>
    <t xml:space="preserve">P-0551</t>
  </si>
  <si>
    <t xml:space="preserve">HC-00134</t>
  </si>
  <si>
    <t xml:space="preserve">P-0593</t>
  </si>
  <si>
    <t xml:space="preserve">HC-00135</t>
  </si>
  <si>
    <t xml:space="preserve">P-1256</t>
  </si>
  <si>
    <t xml:space="preserve">HC-00136</t>
  </si>
  <si>
    <t xml:space="preserve">P-1373</t>
  </si>
  <si>
    <t xml:space="preserve">HC-00137</t>
  </si>
  <si>
    <t xml:space="preserve">P-0394</t>
  </si>
  <si>
    <t xml:space="preserve">HC-00138</t>
  </si>
  <si>
    <t xml:space="preserve">P-0041</t>
  </si>
  <si>
    <t xml:space="preserve">HC-00139</t>
  </si>
  <si>
    <t xml:space="preserve">P-0016</t>
  </si>
  <si>
    <t xml:space="preserve">HC-00140</t>
  </si>
  <si>
    <t xml:space="preserve">P-0230</t>
  </si>
  <si>
    <t xml:space="preserve">HC-00141</t>
  </si>
  <si>
    <t xml:space="preserve">P-0686</t>
  </si>
  <si>
    <t xml:space="preserve">HC-00142</t>
  </si>
  <si>
    <t xml:space="preserve">P-1671</t>
  </si>
  <si>
    <t xml:space="preserve">HC-00143</t>
  </si>
  <si>
    <t xml:space="preserve">P-1065</t>
  </si>
  <si>
    <t xml:space="preserve">HC-00144</t>
  </si>
  <si>
    <t xml:space="preserve">P-1578</t>
  </si>
  <si>
    <t xml:space="preserve">HC-00145</t>
  </si>
  <si>
    <t xml:space="preserve">P-1617</t>
  </si>
  <si>
    <t xml:space="preserve">HC-00146</t>
  </si>
  <si>
    <t xml:space="preserve">P-0138</t>
  </si>
  <si>
    <t xml:space="preserve">HC-00147</t>
  </si>
  <si>
    <t xml:space="preserve">P-0267</t>
  </si>
  <si>
    <t xml:space="preserve">HC-00148</t>
  </si>
  <si>
    <t xml:space="preserve">P-0998</t>
  </si>
  <si>
    <t xml:space="preserve">HC-00149</t>
  </si>
  <si>
    <t xml:space="preserve">HC-00150</t>
  </si>
  <si>
    <t xml:space="preserve">HC-00151</t>
  </si>
  <si>
    <t xml:space="preserve">P-0785</t>
  </si>
  <si>
    <t xml:space="preserve">HC-00152</t>
  </si>
  <si>
    <t xml:space="preserve">P-0463</t>
  </si>
  <si>
    <t xml:space="preserve">HC-00153</t>
  </si>
  <si>
    <t xml:space="preserve">P-0495</t>
  </si>
  <si>
    <t xml:space="preserve">HC-00154</t>
  </si>
  <si>
    <t xml:space="preserve">P-0029</t>
  </si>
  <si>
    <t xml:space="preserve">HC-00155</t>
  </si>
  <si>
    <t xml:space="preserve">HC-00156</t>
  </si>
  <si>
    <t xml:space="preserve">P-1188</t>
  </si>
  <si>
    <t xml:space="preserve">HC-00157</t>
  </si>
  <si>
    <t xml:space="preserve">P-0926</t>
  </si>
  <si>
    <t xml:space="preserve">HC-00158</t>
  </si>
  <si>
    <t xml:space="preserve">P-1395</t>
  </si>
  <si>
    <t xml:space="preserve">HC-00159</t>
  </si>
  <si>
    <t xml:space="preserve">P-1310</t>
  </si>
  <si>
    <t xml:space="preserve">HC-00160</t>
  </si>
  <si>
    <t xml:space="preserve">P-1319</t>
  </si>
  <si>
    <t xml:space="preserve">HC-00161</t>
  </si>
  <si>
    <t xml:space="preserve">P-0105</t>
  </si>
  <si>
    <t xml:space="preserve">HC-00162</t>
  </si>
  <si>
    <t xml:space="preserve">P-0306</t>
  </si>
  <si>
    <t xml:space="preserve">HC-00163</t>
  </si>
  <si>
    <t xml:space="preserve">P-1573</t>
  </si>
  <si>
    <t xml:space="preserve">HC-00164</t>
  </si>
  <si>
    <t xml:space="preserve">P-1021</t>
  </si>
  <si>
    <t xml:space="preserve">HC-00165</t>
  </si>
  <si>
    <t xml:space="preserve">P-0240</t>
  </si>
  <si>
    <t xml:space="preserve">HC-00166</t>
  </si>
  <si>
    <t xml:space="preserve">P-0410</t>
  </si>
  <si>
    <t xml:space="preserve">HC-00167</t>
  </si>
  <si>
    <t xml:space="preserve">P-1695</t>
  </si>
  <si>
    <t xml:space="preserve">HC-00168</t>
  </si>
  <si>
    <t xml:space="preserve">P-1107</t>
  </si>
  <si>
    <t xml:space="preserve">HC-00169</t>
  </si>
  <si>
    <t xml:space="preserve">P-0818</t>
  </si>
  <si>
    <t xml:space="preserve">HC-00170</t>
  </si>
  <si>
    <t xml:space="preserve">P-0868</t>
  </si>
  <si>
    <t xml:space="preserve">HC-00171</t>
  </si>
  <si>
    <t xml:space="preserve">P-1060</t>
  </si>
  <si>
    <t xml:space="preserve">HC-00172</t>
  </si>
  <si>
    <t xml:space="preserve">P-1027</t>
  </si>
  <si>
    <t xml:space="preserve">HC-00173</t>
  </si>
  <si>
    <t xml:space="preserve">P-1051</t>
  </si>
  <si>
    <t xml:space="preserve">HC-00174</t>
  </si>
  <si>
    <t xml:space="preserve">P-0567</t>
  </si>
  <si>
    <t xml:space="preserve">HC-00175</t>
  </si>
  <si>
    <t xml:space="preserve">P-0117</t>
  </si>
  <si>
    <t xml:space="preserve">HC-00176</t>
  </si>
  <si>
    <t xml:space="preserve">P-0949</t>
  </si>
  <si>
    <t xml:space="preserve">HC-00177</t>
  </si>
  <si>
    <t xml:space="preserve">P-1036</t>
  </si>
  <si>
    <t xml:space="preserve">HC-00178</t>
  </si>
  <si>
    <t xml:space="preserve">P-0928</t>
  </si>
  <si>
    <t xml:space="preserve">HC-00179</t>
  </si>
  <si>
    <t xml:space="preserve">P-1756</t>
  </si>
  <si>
    <t xml:space="preserve">HC-00180</t>
  </si>
  <si>
    <t xml:space="preserve">P-0310</t>
  </si>
  <si>
    <t xml:space="preserve">HC-00181</t>
  </si>
  <si>
    <t xml:space="preserve">P-1343</t>
  </si>
  <si>
    <t xml:space="preserve">HC-00182</t>
  </si>
  <si>
    <t xml:space="preserve">P-0035</t>
  </si>
  <si>
    <t xml:space="preserve">HC-00183</t>
  </si>
  <si>
    <t xml:space="preserve">P-0585</t>
  </si>
  <si>
    <t xml:space="preserve">HC-00184</t>
  </si>
  <si>
    <t xml:space="preserve">P-1187</t>
  </si>
  <si>
    <t xml:space="preserve">HC-00185</t>
  </si>
  <si>
    <t xml:space="preserve">P-0889</t>
  </si>
  <si>
    <t xml:space="preserve">HC-00186</t>
  </si>
  <si>
    <t xml:space="preserve">P-0439</t>
  </si>
  <si>
    <t xml:space="preserve">HC-00187</t>
  </si>
  <si>
    <t xml:space="preserve">P-0864</t>
  </si>
  <si>
    <t xml:space="preserve">HC-00188</t>
  </si>
  <si>
    <t xml:space="preserve">P-0956</t>
  </si>
  <si>
    <t xml:space="preserve">HC-00189</t>
  </si>
  <si>
    <t xml:space="preserve">P-0195</t>
  </si>
  <si>
    <t xml:space="preserve">HC-00190</t>
  </si>
  <si>
    <t xml:space="preserve">P-0033</t>
  </si>
  <si>
    <t xml:space="preserve">HC-00191</t>
  </si>
  <si>
    <t xml:space="preserve">P-0414</t>
  </si>
  <si>
    <t xml:space="preserve">HC-00192</t>
  </si>
  <si>
    <t xml:space="preserve">P-0482</t>
  </si>
  <si>
    <t xml:space="preserve">HC-00193</t>
  </si>
  <si>
    <t xml:space="preserve">P-0954</t>
  </si>
  <si>
    <t xml:space="preserve">HC-00194</t>
  </si>
  <si>
    <t xml:space="preserve">P-0073</t>
  </si>
  <si>
    <t xml:space="preserve">HC-00195</t>
  </si>
  <si>
    <t xml:space="preserve">P-0693</t>
  </si>
  <si>
    <t xml:space="preserve">HC-00196</t>
  </si>
  <si>
    <t xml:space="preserve">P-0531</t>
  </si>
  <si>
    <t xml:space="preserve">HC-00197</t>
  </si>
  <si>
    <t xml:space="preserve">P-1104</t>
  </si>
  <si>
    <t xml:space="preserve">HC-00198</t>
  </si>
  <si>
    <t xml:space="preserve">P-1314</t>
  </si>
  <si>
    <t xml:space="preserve">HC-00199</t>
  </si>
  <si>
    <t xml:space="preserve">P-1325</t>
  </si>
  <si>
    <t xml:space="preserve">HC-00200</t>
  </si>
  <si>
    <t xml:space="preserve">P-1129</t>
  </si>
  <si>
    <t xml:space="preserve">HC-00201</t>
  </si>
  <si>
    <t xml:space="preserve">P-0904</t>
  </si>
  <si>
    <t xml:space="preserve">HC-00202</t>
  </si>
  <si>
    <t xml:space="preserve">P-0297</t>
  </si>
  <si>
    <t xml:space="preserve">HC-00203</t>
  </si>
  <si>
    <t xml:space="preserve">HC-00204</t>
  </si>
  <si>
    <t xml:space="preserve">P-0219</t>
  </si>
  <si>
    <t xml:space="preserve">HC-00205</t>
  </si>
  <si>
    <t xml:space="preserve">P-0763</t>
  </si>
  <si>
    <t xml:space="preserve">HC-00206</t>
  </si>
  <si>
    <t xml:space="preserve">P-0213</t>
  </si>
  <si>
    <t xml:space="preserve">HC-00207</t>
  </si>
  <si>
    <t xml:space="preserve">P-0490</t>
  </si>
  <si>
    <t xml:space="preserve">HC-00208</t>
  </si>
  <si>
    <t xml:space="preserve">P-1530</t>
  </si>
  <si>
    <t xml:space="preserve">HC-00209</t>
  </si>
  <si>
    <t xml:space="preserve">P-0018</t>
  </si>
  <si>
    <t xml:space="preserve">HC-00210</t>
  </si>
  <si>
    <t xml:space="preserve">P-0513</t>
  </si>
  <si>
    <t xml:space="preserve">HC-00211</t>
  </si>
  <si>
    <t xml:space="preserve">P-0157</t>
  </si>
  <si>
    <t xml:space="preserve">HC-00212</t>
  </si>
  <si>
    <t xml:space="preserve">P-1792</t>
  </si>
  <si>
    <t xml:space="preserve">HC-00213</t>
  </si>
  <si>
    <t xml:space="preserve">P-1572</t>
  </si>
  <si>
    <t xml:space="preserve">HC-00214</t>
  </si>
  <si>
    <t xml:space="preserve">P-0999</t>
  </si>
  <si>
    <t xml:space="preserve">HC-00215</t>
  </si>
  <si>
    <t xml:space="preserve">P-0309</t>
  </si>
  <si>
    <t xml:space="preserve">HC-00216</t>
  </si>
  <si>
    <t xml:space="preserve">P-1798</t>
  </si>
  <si>
    <t xml:space="preserve">HC-00217</t>
  </si>
  <si>
    <t xml:space="preserve">P-0146</t>
  </si>
  <si>
    <t xml:space="preserve">HC-00218</t>
  </si>
  <si>
    <t xml:space="preserve">P-0434</t>
  </si>
  <si>
    <t xml:space="preserve">HC-00219</t>
  </si>
  <si>
    <t xml:space="preserve">P-1004</t>
  </si>
  <si>
    <t xml:space="preserve">HC-00220</t>
  </si>
  <si>
    <t xml:space="preserve">P-1708</t>
  </si>
  <si>
    <t xml:space="preserve">HC-00221</t>
  </si>
  <si>
    <t xml:space="preserve">P-0269</t>
  </si>
  <si>
    <t xml:space="preserve">HC-00222</t>
  </si>
  <si>
    <t xml:space="preserve">P-1661</t>
  </si>
  <si>
    <t xml:space="preserve">HC-00223</t>
  </si>
  <si>
    <t xml:space="preserve">P-0391</t>
  </si>
  <si>
    <t xml:space="preserve">HC-00224</t>
  </si>
  <si>
    <t xml:space="preserve">P-0308</t>
  </si>
  <si>
    <t xml:space="preserve">HC-00225</t>
  </si>
  <si>
    <t xml:space="preserve">P-1746</t>
  </si>
  <si>
    <t xml:space="preserve">HC-00226</t>
  </si>
  <si>
    <t xml:space="preserve">P-1776</t>
  </si>
  <si>
    <t xml:space="preserve">HC-00227</t>
  </si>
  <si>
    <t xml:space="preserve">P-0235</t>
  </si>
  <si>
    <t xml:space="preserve">HC-00228</t>
  </si>
  <si>
    <t xml:space="preserve">P-0631</t>
  </si>
  <si>
    <t xml:space="preserve">HC-00229</t>
  </si>
  <si>
    <t xml:space="preserve">P-0711</t>
  </si>
  <si>
    <t xml:space="preserve">HC-00230</t>
  </si>
  <si>
    <t xml:space="preserve">HC-00231</t>
  </si>
  <si>
    <t xml:space="preserve">P-1666</t>
  </si>
  <si>
    <t xml:space="preserve">HC-00232</t>
  </si>
  <si>
    <t xml:space="preserve">P-0657</t>
  </si>
  <si>
    <t xml:space="preserve">HC-00233</t>
  </si>
  <si>
    <t xml:space="preserve">P-1451</t>
  </si>
  <si>
    <t xml:space="preserve">HC-00234</t>
  </si>
  <si>
    <t xml:space="preserve">P-0147</t>
  </si>
  <si>
    <t xml:space="preserve">HC-00235</t>
  </si>
  <si>
    <t xml:space="preserve">P-0699</t>
  </si>
  <si>
    <t xml:space="preserve">HC-00236</t>
  </si>
  <si>
    <t xml:space="preserve">P-1076</t>
  </si>
  <si>
    <t xml:space="preserve">HC-00237</t>
  </si>
  <si>
    <t xml:space="preserve">HC-00238</t>
  </si>
  <si>
    <t xml:space="preserve">P-1080</t>
  </si>
  <si>
    <t xml:space="preserve">HC-00239</t>
  </si>
  <si>
    <t xml:space="preserve">P-0773</t>
  </si>
  <si>
    <t xml:space="preserve">HC-00240</t>
  </si>
  <si>
    <t xml:space="preserve">P-0598</t>
  </si>
  <si>
    <t xml:space="preserve">HC-00241</t>
  </si>
  <si>
    <t xml:space="preserve">P-0714</t>
  </si>
  <si>
    <t xml:space="preserve">HC-00242</t>
  </si>
  <si>
    <t xml:space="preserve">P-0566</t>
  </si>
  <si>
    <t xml:space="preserve">HC-00243</t>
  </si>
  <si>
    <t xml:space="preserve">P-0504</t>
  </si>
  <si>
    <t xml:space="preserve">HC-00244</t>
  </si>
  <si>
    <t xml:space="preserve">P-0065</t>
  </si>
  <si>
    <t xml:space="preserve">HC-00245</t>
  </si>
  <si>
    <t xml:space="preserve">P-0984</t>
  </si>
  <si>
    <t xml:space="preserve">HC-00246</t>
  </si>
  <si>
    <t xml:space="preserve">P-1199</t>
  </si>
  <si>
    <t xml:space="preserve">HC-00247</t>
  </si>
  <si>
    <t xml:space="preserve">P-1682</t>
  </si>
  <si>
    <t xml:space="preserve">HC-00248</t>
  </si>
  <si>
    <t xml:space="preserve">P-0452</t>
  </si>
  <si>
    <t xml:space="preserve">HC-00249</t>
  </si>
  <si>
    <t xml:space="preserve">P-0786</t>
  </si>
  <si>
    <t xml:space="preserve">HC-00250</t>
  </si>
  <si>
    <t xml:space="preserve">P-0852</t>
  </si>
  <si>
    <t xml:space="preserve">HC-00251</t>
  </si>
  <si>
    <t xml:space="preserve">P-1164</t>
  </si>
  <si>
    <t xml:space="preserve">HC-00252</t>
  </si>
  <si>
    <t xml:space="preserve">P-0912</t>
  </si>
  <si>
    <t xml:space="preserve">HC-00253</t>
  </si>
  <si>
    <t xml:space="preserve">P-0822</t>
  </si>
  <si>
    <t xml:space="preserve">HC-00254</t>
  </si>
  <si>
    <t xml:space="preserve">P-1418</t>
  </si>
  <si>
    <t xml:space="preserve">HC-00255</t>
  </si>
  <si>
    <t xml:space="preserve">P-0251</t>
  </si>
  <si>
    <t xml:space="preserve">HC-00256</t>
  </si>
  <si>
    <t xml:space="preserve">P-1140</t>
  </si>
  <si>
    <t xml:space="preserve">HC-00257</t>
  </si>
  <si>
    <t xml:space="preserve">P-0345</t>
  </si>
  <si>
    <t xml:space="preserve">HC-00258</t>
  </si>
  <si>
    <t xml:space="preserve">P-1748</t>
  </si>
  <si>
    <t xml:space="preserve">HC-00259</t>
  </si>
  <si>
    <t xml:space="preserve">P-1229</t>
  </si>
  <si>
    <t xml:space="preserve">HC-00260</t>
  </si>
  <si>
    <t xml:space="preserve">P-1138</t>
  </si>
  <si>
    <t xml:space="preserve">HC-00261</t>
  </si>
  <si>
    <t xml:space="preserve">P-1569</t>
  </si>
  <si>
    <t xml:space="preserve">HC-00262</t>
  </si>
  <si>
    <t xml:space="preserve">P-0643</t>
  </si>
  <si>
    <t xml:space="preserve">HC-00263</t>
  </si>
  <si>
    <t xml:space="preserve">HC-00264</t>
  </si>
  <si>
    <t xml:space="preserve">P-1566</t>
  </si>
  <si>
    <t xml:space="preserve">HC-00265</t>
  </si>
  <si>
    <t xml:space="preserve">P-1669</t>
  </si>
  <si>
    <t xml:space="preserve">HC-00266</t>
  </si>
  <si>
    <t xml:space="preserve">P-0929</t>
  </si>
  <si>
    <t xml:space="preserve">HC-00267</t>
  </si>
  <si>
    <t xml:space="preserve">P-0805</t>
  </si>
  <si>
    <t xml:space="preserve">HC-00268</t>
  </si>
  <si>
    <t xml:space="preserve">P-0338</t>
  </si>
  <si>
    <t xml:space="preserve">HC-00269</t>
  </si>
  <si>
    <t xml:space="preserve">P-0429</t>
  </si>
  <si>
    <t xml:space="preserve">HC-00270</t>
  </si>
  <si>
    <t xml:space="preserve">P-1018</t>
  </si>
  <si>
    <t xml:space="preserve">HC-00271</t>
  </si>
  <si>
    <t xml:space="preserve">P-0302</t>
  </si>
  <si>
    <t xml:space="preserve">HC-00272</t>
  </si>
  <si>
    <t xml:space="preserve">P-0221</t>
  </si>
  <si>
    <t xml:space="preserve">HC-00273</t>
  </si>
  <si>
    <t xml:space="preserve">P-0496</t>
  </si>
  <si>
    <t xml:space="preserve">HC-00274</t>
  </si>
  <si>
    <t xml:space="preserve">P-0622</t>
  </si>
  <si>
    <t xml:space="preserve">HC-00275</t>
  </si>
  <si>
    <t xml:space="preserve">P-0437</t>
  </si>
  <si>
    <t xml:space="preserve">HC-00276</t>
  </si>
  <si>
    <t xml:space="preserve">P-0055</t>
  </si>
  <si>
    <t xml:space="preserve">HC-00277</t>
  </si>
  <si>
    <t xml:space="preserve">P-0586</t>
  </si>
  <si>
    <t xml:space="preserve">HC-00278</t>
  </si>
  <si>
    <t xml:space="preserve">P-0141</t>
  </si>
  <si>
    <t xml:space="preserve">HC-00279</t>
  </si>
  <si>
    <t xml:space="preserve">P-1352</t>
  </si>
  <si>
    <t xml:space="preserve">HC-00280</t>
  </si>
  <si>
    <t xml:space="preserve">HC-00281</t>
  </si>
  <si>
    <t xml:space="preserve">P-0048</t>
  </si>
  <si>
    <t xml:space="preserve">HC-00282</t>
  </si>
  <si>
    <t xml:space="preserve">P-1120</t>
  </si>
  <si>
    <t xml:space="preserve">HC-00283</t>
  </si>
  <si>
    <t xml:space="preserve">P-0692</t>
  </si>
  <si>
    <t xml:space="preserve">HC-00284</t>
  </si>
  <si>
    <t xml:space="preserve">P-0888</t>
  </si>
  <si>
    <t xml:space="preserve">HC-00285</t>
  </si>
  <si>
    <t xml:space="preserve">HC-00286</t>
  </si>
  <si>
    <t xml:space="preserve">P-0780</t>
  </si>
  <si>
    <t xml:space="preserve">HC-00287</t>
  </si>
  <si>
    <t xml:space="preserve">HC-00288</t>
  </si>
  <si>
    <t xml:space="preserve">P-1029</t>
  </si>
  <si>
    <t xml:space="preserve">HC-00289</t>
  </si>
  <si>
    <t xml:space="preserve">P-1010</t>
  </si>
  <si>
    <t xml:space="preserve">HC-00290</t>
  </si>
  <si>
    <t xml:space="preserve">P-0352</t>
  </si>
  <si>
    <t xml:space="preserve">HC-00291</t>
  </si>
  <si>
    <t xml:space="preserve">P-1347</t>
  </si>
  <si>
    <t xml:space="preserve">HC-00292</t>
  </si>
  <si>
    <t xml:space="preserve">HC-00293</t>
  </si>
  <si>
    <t xml:space="preserve">P-1217</t>
  </si>
  <si>
    <t xml:space="preserve">HC-00294</t>
  </si>
  <si>
    <t xml:space="preserve">P-0980</t>
  </si>
  <si>
    <t xml:space="preserve">HC-00295</t>
  </si>
  <si>
    <t xml:space="preserve">P-1144</t>
  </si>
  <si>
    <t xml:space="preserve">HC-00296</t>
  </si>
  <si>
    <t xml:space="preserve">P-0252</t>
  </si>
  <si>
    <t xml:space="preserve">HC-00297</t>
  </si>
  <si>
    <t xml:space="preserve">P-0214</t>
  </si>
  <si>
    <t xml:space="preserve">HC-00298</t>
  </si>
  <si>
    <t xml:space="preserve">HC-00299</t>
  </si>
  <si>
    <t xml:space="preserve">P-1363</t>
  </si>
  <si>
    <t xml:space="preserve">HC-00300</t>
  </si>
  <si>
    <t xml:space="preserve">P-0203</t>
  </si>
  <si>
    <t xml:space="preserve">HC-00301</t>
  </si>
  <si>
    <t xml:space="preserve">P-1116</t>
  </si>
  <si>
    <t xml:space="preserve">HC-00302</t>
  </si>
  <si>
    <t xml:space="preserve">HC-00303</t>
  </si>
  <si>
    <t xml:space="preserve">P-1799</t>
  </si>
  <si>
    <t xml:space="preserve">HC-00304</t>
  </si>
  <si>
    <t xml:space="preserve">P-0407</t>
  </si>
  <si>
    <t xml:space="preserve">HC-00305</t>
  </si>
  <si>
    <t xml:space="preserve">P-1414</t>
  </si>
  <si>
    <t xml:space="preserve">HC-00306</t>
  </si>
  <si>
    <t xml:space="preserve">HC-00307</t>
  </si>
  <si>
    <t xml:space="preserve">P-1397</t>
  </si>
  <si>
    <t xml:space="preserve">HC-00308</t>
  </si>
  <si>
    <t xml:space="preserve">HC-00309</t>
  </si>
  <si>
    <t xml:space="preserve">P-0827</t>
  </si>
  <si>
    <t xml:space="preserve">HC-00310</t>
  </si>
  <si>
    <t xml:space="preserve">P-0870</t>
  </si>
  <si>
    <t xml:space="preserve">HC-00311</t>
  </si>
  <si>
    <t xml:space="preserve">P-1701</t>
  </si>
  <si>
    <t xml:space="preserve">HC-00312</t>
  </si>
  <si>
    <t xml:space="preserve">P-1281</t>
  </si>
  <si>
    <t xml:space="preserve">HC-00313</t>
  </si>
  <si>
    <t xml:space="preserve">P-0885</t>
  </si>
  <si>
    <t xml:space="preserve">HC-00314</t>
  </si>
  <si>
    <t xml:space="preserve">P-0668</t>
  </si>
  <si>
    <t xml:space="preserve">HC-00315</t>
  </si>
  <si>
    <t xml:space="preserve">P-1764</t>
  </si>
  <si>
    <t xml:space="preserve">HC-00316</t>
  </si>
  <si>
    <t xml:space="preserve">P-0658</t>
  </si>
  <si>
    <t xml:space="preserve">HC-00317</t>
  </si>
  <si>
    <t xml:space="preserve">P-1517</t>
  </si>
  <si>
    <t xml:space="preserve">HC-00318</t>
  </si>
  <si>
    <t xml:space="preserve">P-0791</t>
  </si>
  <si>
    <t xml:space="preserve">HC-00319</t>
  </si>
  <si>
    <t xml:space="preserve">P-0357</t>
  </si>
  <si>
    <t xml:space="preserve">HC-00320</t>
  </si>
  <si>
    <t xml:space="preserve">P-1560</t>
  </si>
  <si>
    <t xml:space="preserve">HC-00321</t>
  </si>
  <si>
    <t xml:space="preserve">P-0170</t>
  </si>
  <si>
    <t xml:space="preserve">HC-00322</t>
  </si>
  <si>
    <t xml:space="preserve">P-1442</t>
  </si>
  <si>
    <t xml:space="preserve">HC-00323</t>
  </si>
  <si>
    <t xml:space="preserve">P-1434</t>
  </si>
  <si>
    <t xml:space="preserve">HC-00324</t>
  </si>
  <si>
    <t xml:space="preserve">HC-00325</t>
  </si>
  <si>
    <t xml:space="preserve">P-1793</t>
  </si>
  <si>
    <t xml:space="preserve">HC-00326</t>
  </si>
  <si>
    <t xml:space="preserve">P-1415</t>
  </si>
  <si>
    <t xml:space="preserve">HC-00327</t>
  </si>
  <si>
    <t xml:space="preserve">P-0062</t>
  </si>
  <si>
    <t xml:space="preserve">HC-00328</t>
  </si>
  <si>
    <t xml:space="preserve">P-0802</t>
  </si>
  <si>
    <t xml:space="preserve">HC-00329</t>
  </si>
  <si>
    <t xml:space="preserve">P-1485</t>
  </si>
  <si>
    <t xml:space="preserve">HC-00330</t>
  </si>
  <si>
    <t xml:space="preserve">P-1030</t>
  </si>
  <si>
    <t xml:space="preserve">HC-00331</t>
  </si>
  <si>
    <t xml:space="preserve">P-0908</t>
  </si>
  <si>
    <t xml:space="preserve">HC-00332</t>
  </si>
  <si>
    <t xml:space="preserve">P-0994</t>
  </si>
  <si>
    <t xml:space="preserve">HC-00333</t>
  </si>
  <si>
    <t xml:space="preserve">P-0409</t>
  </si>
  <si>
    <t xml:space="preserve">HC-00334</t>
  </si>
  <si>
    <t xml:space="preserve">HC-00335</t>
  </si>
  <si>
    <t xml:space="preserve">HC-00336</t>
  </si>
  <si>
    <t xml:space="preserve">P-1328</t>
  </si>
  <si>
    <t xml:space="preserve">HC-00337</t>
  </si>
  <si>
    <t xml:space="preserve">P-0126</t>
  </si>
  <si>
    <t xml:space="preserve">HC-00338</t>
  </si>
  <si>
    <t xml:space="preserve">P-0961</t>
  </si>
  <si>
    <t xml:space="preserve">HC-00339</t>
  </si>
  <si>
    <t xml:space="preserve">P-1775</t>
  </si>
  <si>
    <t xml:space="preserve">HC-00340</t>
  </si>
  <si>
    <t xml:space="preserve">P-1163</t>
  </si>
  <si>
    <t xml:space="preserve">HC-00341</t>
  </si>
  <si>
    <t xml:space="preserve">P-1465</t>
  </si>
  <si>
    <t xml:space="preserve">HC-00342</t>
  </si>
  <si>
    <t xml:space="preserve">P-1725</t>
  </si>
  <si>
    <t xml:space="preserve">HC-00343</t>
  </si>
  <si>
    <t xml:space="preserve">P-1054</t>
  </si>
  <si>
    <t xml:space="preserve">HC-00344</t>
  </si>
  <si>
    <t xml:space="preserve">HC-00345</t>
  </si>
  <si>
    <t xml:space="preserve">P-1239</t>
  </si>
  <si>
    <t xml:space="preserve">HC-00346</t>
  </si>
  <si>
    <t xml:space="preserve">P-1698</t>
  </si>
  <si>
    <t xml:space="preserve">HC-00347</t>
  </si>
  <si>
    <t xml:space="preserve">P-1273</t>
  </si>
  <si>
    <t xml:space="preserve">HC-00348</t>
  </si>
  <si>
    <t xml:space="preserve">P-0635</t>
  </si>
  <si>
    <t xml:space="preserve">HC-00349</t>
  </si>
  <si>
    <t xml:space="preserve">P-0358</t>
  </si>
  <si>
    <t xml:space="preserve">HC-00350</t>
  </si>
  <si>
    <t xml:space="preserve">P-0628</t>
  </si>
  <si>
    <t xml:space="preserve">HC-00351</t>
  </si>
  <si>
    <t xml:space="preserve">P-1349</t>
  </si>
  <si>
    <t xml:space="preserve">HC-00352</t>
  </si>
  <si>
    <t xml:space="preserve">P-0405</t>
  </si>
  <si>
    <t xml:space="preserve">HC-00353</t>
  </si>
  <si>
    <t xml:space="preserve">P-0457</t>
  </si>
  <si>
    <t xml:space="preserve">HC-00354</t>
  </si>
  <si>
    <t xml:space="preserve">P-0638</t>
  </si>
  <si>
    <t xml:space="preserve">HC-00355</t>
  </si>
  <si>
    <t xml:space="preserve">P-0489</t>
  </si>
  <si>
    <t xml:space="preserve">HC-00356</t>
  </si>
  <si>
    <t xml:space="preserve">P-0911</t>
  </si>
  <si>
    <t xml:space="preserve">HC-00357</t>
  </si>
  <si>
    <t xml:space="preserve">P-1206</t>
  </si>
  <si>
    <t xml:space="preserve">HC-00358</t>
  </si>
  <si>
    <t xml:space="preserve">HC-00359</t>
  </si>
  <si>
    <t xml:space="preserve">P-1473</t>
  </si>
  <si>
    <t xml:space="preserve">HC-00360</t>
  </si>
  <si>
    <t xml:space="preserve">P-0304</t>
  </si>
  <si>
    <t xml:space="preserve">HC-00361</t>
  </si>
  <si>
    <t xml:space="preserve">P-1291</t>
  </si>
  <si>
    <t xml:space="preserve">HC-00362</t>
  </si>
  <si>
    <t xml:space="preserve">P-0519</t>
  </si>
  <si>
    <t xml:space="preserve">HC-00363</t>
  </si>
  <si>
    <t xml:space="preserve">HC-00364</t>
  </si>
  <si>
    <t xml:space="preserve">P-0015</t>
  </si>
  <si>
    <t xml:space="preserve">HC-00365</t>
  </si>
  <si>
    <t xml:space="preserve">HC-00366</t>
  </si>
  <si>
    <t xml:space="preserve">HC-00367</t>
  </si>
  <si>
    <t xml:space="preserve">P-0241</t>
  </si>
  <si>
    <t xml:space="preserve">HC-00368</t>
  </si>
  <si>
    <t xml:space="preserve">P-0363</t>
  </si>
  <si>
    <t xml:space="preserve">HC-00369</t>
  </si>
  <si>
    <t xml:space="preserve">P-1361</t>
  </si>
  <si>
    <t xml:space="preserve">HC-00370</t>
  </si>
  <si>
    <t xml:space="preserve">HC-00371</t>
  </si>
  <si>
    <t xml:space="preserve">P-1456</t>
  </si>
  <si>
    <t xml:space="preserve">HC-00372</t>
  </si>
  <si>
    <t xml:space="preserve">P-0682</t>
  </si>
  <si>
    <t xml:space="preserve">HC-00373</t>
  </si>
  <si>
    <t xml:space="preserve">P-1034</t>
  </si>
  <si>
    <t xml:space="preserve">HC-00374</t>
  </si>
  <si>
    <t xml:space="preserve">P-0819</t>
  </si>
  <si>
    <t xml:space="preserve">HC-00375</t>
  </si>
  <si>
    <t xml:space="preserve">P-0227</t>
  </si>
  <si>
    <t xml:space="preserve">HC-00376</t>
  </si>
  <si>
    <t xml:space="preserve">HC-00377</t>
  </si>
  <si>
    <t xml:space="preserve">P-1398</t>
  </si>
  <si>
    <t xml:space="preserve">HC-00378</t>
  </si>
  <si>
    <t xml:space="preserve">P-0046</t>
  </si>
  <si>
    <t xml:space="preserve">HC-00379</t>
  </si>
  <si>
    <t xml:space="preserve">P-0019</t>
  </si>
  <si>
    <t xml:space="preserve">HC-00380</t>
  </si>
  <si>
    <t xml:space="preserve">P-1274</t>
  </si>
  <si>
    <t xml:space="preserve">HC-00381</t>
  </si>
  <si>
    <t xml:space="preserve">HC-00382</t>
  </si>
  <si>
    <t xml:space="preserve">HC-00383</t>
  </si>
  <si>
    <t xml:space="preserve">P-0823</t>
  </si>
  <si>
    <t xml:space="preserve">HC-00384</t>
  </si>
  <si>
    <t xml:space="preserve">P-1146</t>
  </si>
  <si>
    <t xml:space="preserve">HC-00385</t>
  </si>
  <si>
    <t xml:space="preserve">P-1491</t>
  </si>
  <si>
    <t xml:space="preserve">HC-00386</t>
  </si>
  <si>
    <t xml:space="preserve">HC-00387</t>
  </si>
  <si>
    <t xml:space="preserve">HC-00388</t>
  </si>
  <si>
    <t xml:space="preserve">P-0234</t>
  </si>
  <si>
    <t xml:space="preserve">HC-00389</t>
  </si>
  <si>
    <t xml:space="preserve">P-0516</t>
  </si>
  <si>
    <t xml:space="preserve">HC-00390</t>
  </si>
  <si>
    <t xml:space="preserve">P-1216</t>
  </si>
  <si>
    <t xml:space="preserve">HC-00391</t>
  </si>
  <si>
    <t xml:space="preserve">P-0528</t>
  </si>
  <si>
    <t xml:space="preserve">HC-00392</t>
  </si>
  <si>
    <t xml:space="preserve">P-1268</t>
  </si>
  <si>
    <t xml:space="preserve">HC-00393</t>
  </si>
  <si>
    <t xml:space="preserve">P-0378</t>
  </si>
  <si>
    <t xml:space="preserve">HC-00394</t>
  </si>
  <si>
    <t xml:space="preserve">HC-00395</t>
  </si>
  <si>
    <t xml:space="preserve">P-0182</t>
  </si>
  <si>
    <t xml:space="preserve">HC-00396</t>
  </si>
  <si>
    <t xml:space="preserve">P-0324</t>
  </si>
  <si>
    <t xml:space="preserve">HC-00397</t>
  </si>
  <si>
    <t xml:space="preserve">P-1742</t>
  </si>
  <si>
    <t xml:space="preserve">HC-00398</t>
  </si>
  <si>
    <t xml:space="preserve">HC-00399</t>
  </si>
  <si>
    <t xml:space="preserve">P-0764</t>
  </si>
  <si>
    <t xml:space="preserve">HC-00400</t>
  </si>
  <si>
    <t xml:space="preserve">P-0757</t>
  </si>
  <si>
    <t xml:space="preserve">HC-00401</t>
  </si>
  <si>
    <t xml:space="preserve">P-1243</t>
  </si>
  <si>
    <t xml:space="preserve">HC-00402</t>
  </si>
  <si>
    <t xml:space="preserve">HC-00403</t>
  </si>
  <si>
    <t xml:space="preserve">P-0907</t>
  </si>
  <si>
    <t xml:space="preserve">HC-00404</t>
  </si>
  <si>
    <t xml:space="preserve">P-0990</t>
  </si>
  <si>
    <t xml:space="preserve">HC-00405</t>
  </si>
  <si>
    <t xml:space="preserve">P-1410</t>
  </si>
  <si>
    <t xml:space="preserve">HC-00406</t>
  </si>
  <si>
    <t xml:space="preserve">P-0186</t>
  </si>
  <si>
    <t xml:space="preserve">HC-00407</t>
  </si>
  <si>
    <t xml:space="preserve">P-0374</t>
  </si>
  <si>
    <t xml:space="preserve">HC-00408</t>
  </si>
  <si>
    <t xml:space="preserve">P-0096</t>
  </si>
  <si>
    <t xml:space="preserve">HC-00409</t>
  </si>
  <si>
    <t xml:space="preserve">P-0546</t>
  </si>
  <si>
    <t xml:space="preserve">HC-00410</t>
  </si>
  <si>
    <t xml:space="preserve">HC-00411</t>
  </si>
  <si>
    <t xml:space="preserve">P-0218</t>
  </si>
  <si>
    <t xml:space="preserve">HC-00412</t>
  </si>
  <si>
    <t xml:space="preserve">P-0202</t>
  </si>
  <si>
    <t xml:space="preserve">HC-00413</t>
  </si>
  <si>
    <t xml:space="preserve">P-0845</t>
  </si>
  <si>
    <t xml:space="preserve">HC-00414</t>
  </si>
  <si>
    <t xml:space="preserve">P-0253</t>
  </si>
  <si>
    <t xml:space="preserve">HC-00415</t>
  </si>
  <si>
    <t xml:space="preserve">P-1313</t>
  </si>
  <si>
    <t xml:space="preserve">HC-00416</t>
  </si>
  <si>
    <t xml:space="preserve">P-1224</t>
  </si>
  <si>
    <t xml:space="preserve">HC-00417</t>
  </si>
  <si>
    <t xml:space="preserve">P-1039</t>
  </si>
  <si>
    <t xml:space="preserve">HC-00418</t>
  </si>
  <si>
    <t xml:space="preserve">P-0856</t>
  </si>
  <si>
    <t xml:space="preserve">HC-00419</t>
  </si>
  <si>
    <t xml:space="preserve">P-1582</t>
  </si>
  <si>
    <t xml:space="preserve">HC-00420</t>
  </si>
  <si>
    <t xml:space="preserve">P-1167</t>
  </si>
  <si>
    <t xml:space="preserve">HC-00421</t>
  </si>
  <si>
    <t xml:space="preserve">P-1611</t>
  </si>
  <si>
    <t xml:space="preserve">HC-00422</t>
  </si>
  <si>
    <t xml:space="preserve">P-0626</t>
  </si>
  <si>
    <t xml:space="preserve">HC-00423</t>
  </si>
  <si>
    <t xml:space="preserve">P-0955</t>
  </si>
  <si>
    <t xml:space="preserve">HC-00424</t>
  </si>
  <si>
    <t xml:space="preserve">HC-00425</t>
  </si>
  <si>
    <t xml:space="preserve">P-0879</t>
  </si>
  <si>
    <t xml:space="preserve">HC-00426</t>
  </si>
  <si>
    <t xml:space="preserve">HC-00427</t>
  </si>
  <si>
    <t xml:space="preserve">P-0667</t>
  </si>
  <si>
    <t xml:space="preserve">HC-00428</t>
  </si>
  <si>
    <t xml:space="preserve">HC-00429</t>
  </si>
  <si>
    <t xml:space="preserve">P-0438</t>
  </si>
  <si>
    <t xml:space="preserve">HC-00430</t>
  </si>
  <si>
    <t xml:space="preserve">P-1554</t>
  </si>
  <si>
    <t xml:space="preserve">HC-00431</t>
  </si>
  <si>
    <t xml:space="preserve">P-1294</t>
  </si>
  <si>
    <t xml:space="preserve">HC-00432</t>
  </si>
  <si>
    <t xml:space="preserve">P-1737</t>
  </si>
  <si>
    <t xml:space="preserve">HC-00433</t>
  </si>
  <si>
    <t xml:space="preserve">P-1722</t>
  </si>
  <si>
    <t xml:space="preserve">HC-00434</t>
  </si>
  <si>
    <t xml:space="preserve">HC-00435</t>
  </si>
  <si>
    <t xml:space="preserve">P-0325</t>
  </si>
  <si>
    <t xml:space="preserve">HC-00436</t>
  </si>
  <si>
    <t xml:space="preserve">P-1704</t>
  </si>
  <si>
    <t xml:space="preserve">HC-00437</t>
  </si>
  <si>
    <t xml:space="preserve">P-1453</t>
  </si>
  <si>
    <t xml:space="preserve">HC-00438</t>
  </si>
  <si>
    <t xml:space="preserve">P-0475</t>
  </si>
  <si>
    <t xml:space="preserve">HC-00439</t>
  </si>
  <si>
    <t xml:space="preserve">P-0560</t>
  </si>
  <si>
    <t xml:space="preserve">HC-00440</t>
  </si>
  <si>
    <t xml:space="preserve">P-1161</t>
  </si>
  <si>
    <t xml:space="preserve">HC-00441</t>
  </si>
  <si>
    <t xml:space="preserve">P-0986</t>
  </si>
  <si>
    <t xml:space="preserve">HC-00442</t>
  </si>
  <si>
    <t xml:space="preserve">P-0684</t>
  </si>
  <si>
    <t xml:space="preserve">HC-00443</t>
  </si>
  <si>
    <t xml:space="preserve">HC-00444</t>
  </si>
  <si>
    <t xml:space="preserve">P-1114</t>
  </si>
  <si>
    <t xml:space="preserve">HC-00445</t>
  </si>
  <si>
    <t xml:space="preserve">P-1656</t>
  </si>
  <si>
    <t xml:space="preserve">HC-00446</t>
  </si>
  <si>
    <t xml:space="preserve">P-1518</t>
  </si>
  <si>
    <t xml:space="preserve">HC-00447</t>
  </si>
  <si>
    <t xml:space="preserve">HC-00448</t>
  </si>
  <si>
    <t xml:space="preserve">P-1550</t>
  </si>
  <si>
    <t xml:space="preserve">HC-00449</t>
  </si>
  <si>
    <t xml:space="preserve">P-0107</t>
  </si>
  <si>
    <t xml:space="preserve">HC-00450</t>
  </si>
  <si>
    <t xml:space="preserve">P-1565</t>
  </si>
  <si>
    <t xml:space="preserve">HC-00451</t>
  </si>
  <si>
    <t xml:space="preserve">P-0710</t>
  </si>
  <si>
    <t xml:space="preserve">HC-00452</t>
  </si>
  <si>
    <t xml:space="preserve">P-0477</t>
  </si>
  <si>
    <t xml:space="preserve">HC-00453</t>
  </si>
  <si>
    <t xml:space="preserve">P-1559</t>
  </si>
  <si>
    <t xml:space="preserve">HC-00454</t>
  </si>
  <si>
    <t xml:space="preserve">P-1399</t>
  </si>
  <si>
    <t xml:space="preserve">HC-00455</t>
  </si>
  <si>
    <t xml:space="preserve">HC-00456</t>
  </si>
  <si>
    <t xml:space="preserve">P-0629</t>
  </si>
  <si>
    <t xml:space="preserve">HC-00457</t>
  </si>
  <si>
    <t xml:space="preserve">P-1205</t>
  </si>
  <si>
    <t xml:space="preserve">HC-00458</t>
  </si>
  <si>
    <t xml:space="preserve">HC-00459</t>
  </si>
  <si>
    <t xml:space="preserve">P-0305</t>
  </si>
  <si>
    <t xml:space="preserve">HC-00460</t>
  </si>
  <si>
    <t xml:space="preserve">P-0556</t>
  </si>
  <si>
    <t xml:space="preserve">HC-00461</t>
  </si>
  <si>
    <t xml:space="preserve">HC-00462</t>
  </si>
  <si>
    <t xml:space="preserve">P-0627</t>
  </si>
  <si>
    <t xml:space="preserve">HC-00463</t>
  </si>
  <si>
    <t xml:space="preserve">P-1429</t>
  </si>
  <si>
    <t xml:space="preserve">HC-00464</t>
  </si>
  <si>
    <t xml:space="preserve">P-1015</t>
  </si>
  <si>
    <t xml:space="preserve">HC-00465</t>
  </si>
  <si>
    <t xml:space="preserve">P-0803</t>
  </si>
  <si>
    <t xml:space="preserve">HC-00466</t>
  </si>
  <si>
    <t xml:space="preserve">P-1112</t>
  </si>
  <si>
    <t xml:space="preserve">HC-00467</t>
  </si>
  <si>
    <t xml:space="preserve">P-1757</t>
  </si>
  <si>
    <t xml:space="preserve">HC-00468</t>
  </si>
  <si>
    <t xml:space="preserve">P-0718</t>
  </si>
  <si>
    <t xml:space="preserve">HC-00469</t>
  </si>
  <si>
    <t xml:space="preserve">P-0841</t>
  </si>
  <si>
    <t xml:space="preserve">HC-00470</t>
  </si>
  <si>
    <t xml:space="preserve">P-1490</t>
  </si>
  <si>
    <t xml:space="preserve">HC-00471</t>
  </si>
  <si>
    <t xml:space="preserve">P-0365</t>
  </si>
  <si>
    <t xml:space="preserve">HC-00472</t>
  </si>
  <si>
    <t xml:space="preserve">HC-00473</t>
  </si>
  <si>
    <t xml:space="preserve">HC-00474</t>
  </si>
  <si>
    <t xml:space="preserve">HC-00475</t>
  </si>
  <si>
    <t xml:space="preserve">HC-00476</t>
  </si>
  <si>
    <t xml:space="preserve">P-1315</t>
  </si>
  <si>
    <t xml:space="preserve">HC-00477</t>
  </si>
  <si>
    <t xml:space="preserve">P-0303</t>
  </si>
  <si>
    <t xml:space="preserve">HC-00478</t>
  </si>
  <si>
    <t xml:space="preserve">P-0656</t>
  </si>
  <si>
    <t xml:space="preserve">HC-00479</t>
  </si>
  <si>
    <t xml:space="preserve">P-0568</t>
  </si>
  <si>
    <t xml:space="preserve">HC-00480</t>
  </si>
  <si>
    <t xml:space="preserve">P-1109</t>
  </si>
  <si>
    <t xml:space="preserve">HC-00481</t>
  </si>
  <si>
    <t xml:space="preserve">P-0462</t>
  </si>
  <si>
    <t xml:space="preserve">HC-00482</t>
  </si>
  <si>
    <t xml:space="preserve">HC-00483</t>
  </si>
  <si>
    <t xml:space="preserve">P-0244</t>
  </si>
  <si>
    <t xml:space="preserve">HC-00484</t>
  </si>
  <si>
    <t xml:space="preserve">HC-00485</t>
  </si>
  <si>
    <t xml:space="preserve">HC-00486</t>
  </si>
  <si>
    <t xml:space="preserve">P-1735</t>
  </si>
  <si>
    <t xml:space="preserve">HC-00487</t>
  </si>
  <si>
    <t xml:space="preserve">P-0167</t>
  </si>
  <si>
    <t xml:space="preserve">HC-00488</t>
  </si>
  <si>
    <t xml:space="preserve">P-0636</t>
  </si>
  <si>
    <t xml:space="preserve">HC-00489</t>
  </si>
  <si>
    <t xml:space="preserve">P-0966</t>
  </si>
  <si>
    <t xml:space="preserve">HC-00490</t>
  </si>
  <si>
    <t xml:space="preserve">P-1516</t>
  </si>
  <si>
    <t xml:space="preserve">HC-00491</t>
  </si>
  <si>
    <t xml:space="preserve">HC-00492</t>
  </si>
  <si>
    <t xml:space="preserve">P-1402</t>
  </si>
  <si>
    <t xml:space="preserve">HC-00493</t>
  </si>
  <si>
    <t xml:space="preserve">HC-00494</t>
  </si>
  <si>
    <t xml:space="preserve">P-1368</t>
  </si>
  <si>
    <t xml:space="preserve">HC-00495</t>
  </si>
  <si>
    <t xml:space="preserve">P-1089</t>
  </si>
  <si>
    <t xml:space="preserve">HC-00496</t>
  </si>
  <si>
    <t xml:space="preserve">P-0064</t>
  </si>
  <si>
    <t xml:space="preserve">HC-00497</t>
  </si>
  <si>
    <t xml:space="preserve">P-0039</t>
  </si>
  <si>
    <t xml:space="preserve">HC-00498</t>
  </si>
  <si>
    <t xml:space="preserve">P-1501</t>
  </si>
  <si>
    <t xml:space="preserve">HC-00499</t>
  </si>
  <si>
    <t xml:space="preserve">HC-00500</t>
  </si>
  <si>
    <t xml:space="preserve">P-0861</t>
  </si>
  <si>
    <t xml:space="preserve">HC-00501</t>
  </si>
  <si>
    <t xml:space="preserve">P-0674</t>
  </si>
  <si>
    <t xml:space="preserve">HC-00502</t>
  </si>
  <si>
    <t xml:space="preserve">P-1574</t>
  </si>
  <si>
    <t xml:space="preserve">HC-00503</t>
  </si>
  <si>
    <t xml:space="preserve">P-1498</t>
  </si>
  <si>
    <t xml:space="preserve">HC-00504</t>
  </si>
  <si>
    <t xml:space="preserve">P-0705</t>
  </si>
  <si>
    <t xml:space="preserve">HC-00505</t>
  </si>
  <si>
    <t xml:space="preserve">P-0301</t>
  </si>
  <si>
    <t xml:space="preserve">HC-00506</t>
  </si>
  <si>
    <t xml:space="preserve">P-1168</t>
  </si>
  <si>
    <t xml:space="preserve">HC-00507</t>
  </si>
  <si>
    <t xml:space="preserve">P-1575</t>
  </si>
  <si>
    <t xml:space="preserve">HC-00508</t>
  </si>
  <si>
    <t xml:space="preserve">P-0541</t>
  </si>
  <si>
    <t xml:space="preserve">HC-00509</t>
  </si>
  <si>
    <t xml:space="preserve">P-0274</t>
  </si>
  <si>
    <t xml:space="preserve">HC-00510</t>
  </si>
  <si>
    <t xml:space="preserve">P-1302</t>
  </si>
  <si>
    <t xml:space="preserve">HC-00511</t>
  </si>
  <si>
    <t xml:space="preserve">P-0108</t>
  </si>
  <si>
    <t xml:space="preserve">HC-00512</t>
  </si>
  <si>
    <t xml:space="preserve">P-1786</t>
  </si>
  <si>
    <t xml:space="preserve">HC-00513</t>
  </si>
  <si>
    <t xml:space="preserve">P-0697</t>
  </si>
  <si>
    <t xml:space="preserve">HC-00514</t>
  </si>
  <si>
    <t xml:space="preserve">P-0578</t>
  </si>
  <si>
    <t xml:space="preserve">HC-00515</t>
  </si>
  <si>
    <t xml:space="preserve">P-1771</t>
  </si>
  <si>
    <t xml:space="preserve">HC-00516</t>
  </si>
  <si>
    <t xml:space="preserve">P-0599</t>
  </si>
  <si>
    <t xml:space="preserve">HC-00517</t>
  </si>
  <si>
    <t xml:space="preserve">P-0359</t>
  </si>
  <si>
    <t xml:space="preserve">HC-00518</t>
  </si>
  <si>
    <t xml:space="preserve">HC-00519</t>
  </si>
  <si>
    <t xml:space="preserve">P-1047</t>
  </si>
  <si>
    <t xml:space="preserve">HC-00520</t>
  </si>
  <si>
    <t xml:space="preserve">P-0869</t>
  </si>
  <si>
    <t xml:space="preserve">HC-00521</t>
  </si>
  <si>
    <t xml:space="preserve">P-0036</t>
  </si>
  <si>
    <t xml:space="preserve">HC-00522</t>
  </si>
  <si>
    <t xml:space="preserve">HC-00523</t>
  </si>
  <si>
    <t xml:space="preserve">HC-00524</t>
  </si>
  <si>
    <t xml:space="preserve">HC-00525</t>
  </si>
  <si>
    <t xml:space="preserve">HC-00526</t>
  </si>
  <si>
    <t xml:space="preserve">P-0120</t>
  </si>
  <si>
    <t xml:space="preserve">HC-00527</t>
  </si>
  <si>
    <t xml:space="preserve">P-0086</t>
  </si>
  <si>
    <t xml:space="preserve">HC-00528</t>
  </si>
  <si>
    <t xml:space="preserve">HC-00529</t>
  </si>
  <si>
    <t xml:space="preserve">HC-00530</t>
  </si>
  <si>
    <t xml:space="preserve">HC-00531</t>
  </si>
  <si>
    <t xml:space="preserve">HC-00532</t>
  </si>
  <si>
    <t xml:space="preserve">HC-00533</t>
  </si>
  <si>
    <t xml:space="preserve">P-0261</t>
  </si>
  <si>
    <t xml:space="preserve">HC-00534</t>
  </si>
  <si>
    <t xml:space="preserve">HC-00535</t>
  </si>
  <si>
    <t xml:space="preserve">P-0574</t>
  </si>
  <si>
    <t xml:space="preserve">HC-00536</t>
  </si>
  <si>
    <t xml:space="preserve">P-1223</t>
  </si>
  <si>
    <t xml:space="preserve">HC-00537</t>
  </si>
  <si>
    <t xml:space="preserve">P-0898</t>
  </si>
  <si>
    <t xml:space="preserve">HC-00538</t>
  </si>
  <si>
    <t xml:space="preserve">P-1193</t>
  </si>
  <si>
    <t xml:space="preserve">HC-00539</t>
  </si>
  <si>
    <t xml:space="preserve">P-1071</t>
  </si>
  <si>
    <t xml:space="preserve">HC-00540</t>
  </si>
  <si>
    <t xml:space="preserve">HC-00541</t>
  </si>
  <si>
    <t xml:space="preserve">HC-00542</t>
  </si>
  <si>
    <t xml:space="preserve">HC-00543</t>
  </si>
  <si>
    <t xml:space="preserve">P-0858</t>
  </si>
  <si>
    <t xml:space="preserve">HC-00544</t>
  </si>
  <si>
    <t xml:space="preserve">HC-00545</t>
  </si>
  <si>
    <t xml:space="preserve">HC-00546</t>
  </si>
  <si>
    <t xml:space="preserve">P-0021</t>
  </si>
  <si>
    <t xml:space="preserve">HC-00547</t>
  </si>
  <si>
    <t xml:space="preserve">P-1662</t>
  </si>
  <si>
    <t xml:space="preserve">HC-00548</t>
  </si>
  <si>
    <t xml:space="preserve">P-0672</t>
  </si>
  <si>
    <t xml:space="preserve">HC-00549</t>
  </si>
  <si>
    <t xml:space="preserve">P-1472</t>
  </si>
  <si>
    <t xml:space="preserve">HC-00550</t>
  </si>
  <si>
    <t xml:space="preserve">P-0351</t>
  </si>
  <si>
    <t xml:space="preserve">HC-00551</t>
  </si>
  <si>
    <t xml:space="preserve">HC-00552</t>
  </si>
  <si>
    <t xml:space="preserve">P-0895</t>
  </si>
  <si>
    <t xml:space="preserve">HC-00553</t>
  </si>
  <si>
    <t xml:space="preserve">P-1183</t>
  </si>
  <si>
    <t xml:space="preserve">HC-00554</t>
  </si>
  <si>
    <t xml:space="preserve">P-0381</t>
  </si>
  <si>
    <t xml:space="preserve">HC-00555</t>
  </si>
  <si>
    <t xml:space="preserve">P-1642</t>
  </si>
  <si>
    <t xml:space="preserve">HC-00556</t>
  </si>
  <si>
    <t xml:space="preserve">P-1252</t>
  </si>
  <si>
    <t xml:space="preserve">HC-00557</t>
  </si>
  <si>
    <t xml:space="preserve">P-0499</t>
  </si>
  <si>
    <t xml:space="preserve">HC-00558</t>
  </si>
  <si>
    <t xml:space="preserve">P-1423</t>
  </si>
  <si>
    <t xml:space="preserve">HC-00559</t>
  </si>
  <si>
    <t xml:space="preserve">P-0349</t>
  </si>
  <si>
    <t xml:space="preserve">HC-00560</t>
  </si>
  <si>
    <t xml:space="preserve">P-0538</t>
  </si>
  <si>
    <t xml:space="preserve">HC-00561</t>
  </si>
  <si>
    <t xml:space="preserve">P-0339</t>
  </si>
  <si>
    <t xml:space="preserve">HC-00562</t>
  </si>
  <si>
    <t xml:space="preserve">P-1009</t>
  </si>
  <si>
    <t xml:space="preserve">HC-00563</t>
  </si>
  <si>
    <t xml:space="preserve">HC-00564</t>
  </si>
  <si>
    <t xml:space="preserve">HC-00565</t>
  </si>
  <si>
    <t xml:space="preserve">P-1182</t>
  </si>
  <si>
    <t xml:space="preserve">HC-00566</t>
  </si>
  <si>
    <t xml:space="preserve">P-0425</t>
  </si>
  <si>
    <t xml:space="preserve">HC-00567</t>
  </si>
  <si>
    <t xml:space="preserve">P-1407</t>
  </si>
  <si>
    <t xml:space="preserve">HC-00568</t>
  </si>
  <si>
    <t xml:space="preserve">P-1346</t>
  </si>
  <si>
    <t xml:space="preserve">HC-00569</t>
  </si>
  <si>
    <t xml:space="preserve">P-1638</t>
  </si>
  <si>
    <t xml:space="preserve">HC-00570</t>
  </si>
  <si>
    <t xml:space="preserve">P-0522</t>
  </si>
  <si>
    <t xml:space="preserve">HC-00571</t>
  </si>
  <si>
    <t xml:space="preserve">P-0458</t>
  </si>
  <si>
    <t xml:space="preserve">HC-00572</t>
  </si>
  <si>
    <t xml:space="preserve">HC-00573</t>
  </si>
  <si>
    <t xml:space="preserve">P-0129</t>
  </si>
  <si>
    <t xml:space="preserve">HC-00574</t>
  </si>
  <si>
    <t xml:space="preserve">P-1551</t>
  </si>
  <si>
    <t xml:space="preserve">HC-00575</t>
  </si>
  <si>
    <t xml:space="preserve">P-0725</t>
  </si>
  <si>
    <t xml:space="preserve">HC-00576</t>
  </si>
  <si>
    <t xml:space="preserve">HC-00577</t>
  </si>
  <si>
    <t xml:space="preserve">HC-00578</t>
  </si>
  <si>
    <t xml:space="preserve">P-0698</t>
  </si>
  <si>
    <t xml:space="preserve">HC-00579</t>
  </si>
  <si>
    <t xml:space="preserve">HC-00580</t>
  </si>
  <si>
    <t xml:space="preserve">P-0959</t>
  </si>
  <si>
    <t xml:space="preserve">HC-00581</t>
  </si>
  <si>
    <t xml:space="preserve">P-1249</t>
  </si>
  <si>
    <t xml:space="preserve">HC-00582</t>
  </si>
  <si>
    <t xml:space="preserve">P-1596</t>
  </si>
  <si>
    <t xml:space="preserve">HC-00583</t>
  </si>
  <si>
    <t xml:space="preserve">P-1424</t>
  </si>
  <si>
    <t xml:space="preserve">HC-00584</t>
  </si>
  <si>
    <t xml:space="preserve">P-1142</t>
  </si>
  <si>
    <t xml:space="preserve">HC-00585</t>
  </si>
  <si>
    <t xml:space="preserve">P-0079</t>
  </si>
  <si>
    <t xml:space="preserve">HC-00586</t>
  </si>
  <si>
    <t xml:space="preserve">P-0989</t>
  </si>
  <si>
    <t xml:space="preserve">HC-00587</t>
  </si>
  <si>
    <t xml:space="preserve">P-0193</t>
  </si>
  <si>
    <t xml:space="preserve">HC-00588</t>
  </si>
  <si>
    <t xml:space="preserve">P-0737</t>
  </si>
  <si>
    <t xml:space="preserve">HC-00589</t>
  </si>
  <si>
    <t xml:space="preserve">P-1731</t>
  </si>
  <si>
    <t xml:space="preserve">HC-00590</t>
  </si>
  <si>
    <t xml:space="preserve">P-1360</t>
  </si>
  <si>
    <t xml:space="preserve">HC-00591</t>
  </si>
  <si>
    <t xml:space="preserve">P-0364</t>
  </si>
  <si>
    <t xml:space="preserve">HC-00592</t>
  </si>
  <si>
    <t xml:space="preserve">HC-00593</t>
  </si>
  <si>
    <t xml:space="preserve">HC-00594</t>
  </si>
  <si>
    <t xml:space="preserve">P-1288</t>
  </si>
  <si>
    <t xml:space="preserve">HC-00595</t>
  </si>
  <si>
    <t xml:space="preserve">P-0562</t>
  </si>
  <si>
    <t xml:space="preserve">HC-00596</t>
  </si>
  <si>
    <t xml:space="preserve">P-1008</t>
  </si>
  <si>
    <t xml:space="preserve">HC-00597</t>
  </si>
  <si>
    <t xml:space="preserve">P-0919</t>
  </si>
  <si>
    <t xml:space="preserve">HC-00598</t>
  </si>
  <si>
    <t xml:space="preserve">P-0163</t>
  </si>
  <si>
    <t xml:space="preserve">HC-00599</t>
  </si>
  <si>
    <t xml:space="preserve">P-1171</t>
  </si>
  <si>
    <t xml:space="preserve">HC-00600</t>
  </si>
  <si>
    <t xml:space="preserve">P-1506</t>
  </si>
  <si>
    <t xml:space="preserve">HC-00601</t>
  </si>
  <si>
    <t xml:space="preserve">P-0839</t>
  </si>
  <si>
    <t xml:space="preserve">HC-00602</t>
  </si>
  <si>
    <t xml:space="preserve">P-1038</t>
  </si>
  <si>
    <t xml:space="preserve">HC-00603</t>
  </si>
  <si>
    <t xml:space="preserve">P-1290</t>
  </si>
  <si>
    <t xml:space="preserve">HC-00604</t>
  </si>
  <si>
    <t xml:space="preserve">P-1102</t>
  </si>
  <si>
    <t xml:space="preserve">HC-00605</t>
  </si>
  <si>
    <t xml:space="preserve">HC-00606</t>
  </si>
  <si>
    <t xml:space="preserve">P-1041</t>
  </si>
  <si>
    <t xml:space="preserve">HC-00607</t>
  </si>
  <si>
    <t xml:space="preserve">HC-00608</t>
  </si>
  <si>
    <t xml:space="preserve">P-1646</t>
  </si>
  <si>
    <t xml:space="preserve">HC-00609</t>
  </si>
  <si>
    <t xml:space="preserve">P-1674</t>
  </si>
  <si>
    <t xml:space="preserve">HC-00610</t>
  </si>
  <si>
    <t xml:space="preserve">HC-00611</t>
  </si>
  <si>
    <t xml:space="preserve">P-1626</t>
  </si>
  <si>
    <t xml:space="preserve">HC-00612</t>
  </si>
  <si>
    <t xml:space="preserve">P-1378</t>
  </si>
  <si>
    <t xml:space="preserve">HC-00613</t>
  </si>
  <si>
    <t xml:space="preserve">P-0752</t>
  </si>
  <si>
    <t xml:space="preserve">HC-00614</t>
  </si>
  <si>
    <t xml:space="preserve">P-0967</t>
  </si>
  <si>
    <t xml:space="preserve">HC-00615</t>
  </si>
  <si>
    <t xml:space="preserve">P-1082</t>
  </si>
  <si>
    <t xml:space="preserve">HC-00616</t>
  </si>
  <si>
    <t xml:space="preserve">P-1441</t>
  </si>
  <si>
    <t xml:space="preserve">HC-00617</t>
  </si>
  <si>
    <t xml:space="preserve">HC-00618</t>
  </si>
  <si>
    <t xml:space="preserve">HC-00619</t>
  </si>
  <si>
    <t xml:space="preserve">P-1692</t>
  </si>
  <si>
    <t xml:space="preserve">HC-00620</t>
  </si>
  <si>
    <t xml:space="preserve">HC-00621</t>
  </si>
  <si>
    <t xml:space="preserve">P-0058</t>
  </si>
  <si>
    <t xml:space="preserve">HC-00622</t>
  </si>
  <si>
    <t xml:space="preserve">P-1073</t>
  </si>
  <si>
    <t xml:space="preserve">HC-00623</t>
  </si>
  <si>
    <t xml:space="preserve">P-0884</t>
  </si>
  <si>
    <t xml:space="preserve">HC-00624</t>
  </si>
  <si>
    <t xml:space="preserve">P-0649</t>
  </si>
  <si>
    <t xml:space="preserve">HC-00625</t>
  </si>
  <si>
    <t xml:space="preserve">P-1042</t>
  </si>
  <si>
    <t xml:space="preserve">HC-00626</t>
  </si>
  <si>
    <t xml:space="preserve">P-1630</t>
  </si>
  <si>
    <t xml:space="preserve">HC-00627</t>
  </si>
  <si>
    <t xml:space="preserve">HC-00628</t>
  </si>
  <si>
    <t xml:space="preserve">P-1174</t>
  </si>
  <si>
    <t xml:space="preserve">HC-00629</t>
  </si>
  <si>
    <t xml:space="preserve">HC-00630</t>
  </si>
  <si>
    <t xml:space="preserve">P-1105</t>
  </si>
  <si>
    <t xml:space="preserve">HC-00631</t>
  </si>
  <si>
    <t xml:space="preserve">HC-00632</t>
  </si>
  <si>
    <t xml:space="preserve">P-1338</t>
  </si>
  <si>
    <t xml:space="preserve">HC-00633</t>
  </si>
  <si>
    <t xml:space="preserve">P-0215</t>
  </si>
  <si>
    <t xml:space="preserve">HC-00634</t>
  </si>
  <si>
    <t xml:space="preserve">P-0909</t>
  </si>
  <si>
    <t xml:space="preserve">HC-00635</t>
  </si>
  <si>
    <t xml:space="preserve">P-1278</t>
  </si>
  <si>
    <t xml:space="preserve">HC-00636</t>
  </si>
  <si>
    <t xml:space="preserve">P-1282</t>
  </si>
  <si>
    <t xml:space="preserve">HC-00637</t>
  </si>
  <si>
    <t xml:space="preserve">HC-00638</t>
  </si>
  <si>
    <t xml:space="preserve">HC-00639</t>
  </si>
  <si>
    <t xml:space="preserve">HC-00640</t>
  </si>
  <si>
    <t xml:space="preserve">HC-00641</t>
  </si>
  <si>
    <t xml:space="preserve">HC-00642</t>
  </si>
  <si>
    <t xml:space="preserve">P-1371</t>
  </si>
  <si>
    <t xml:space="preserve">HC-00643</t>
  </si>
  <si>
    <t xml:space="preserve">HC-00644</t>
  </si>
  <si>
    <t xml:space="preserve">P-1261</t>
  </si>
  <si>
    <t xml:space="preserve">HC-00645</t>
  </si>
  <si>
    <t xml:space="preserve">P-0178</t>
  </si>
  <si>
    <t xml:space="preserve">HC-00646</t>
  </si>
  <si>
    <t xml:space="preserve">P-1149</t>
  </si>
  <si>
    <t xml:space="preserve">HC-00647</t>
  </si>
  <si>
    <t xml:space="preserve">P-1043</t>
  </si>
  <si>
    <t xml:space="preserve">HC-00648</t>
  </si>
  <si>
    <t xml:space="preserve">P-1150</t>
  </si>
  <si>
    <t xml:space="preserve">HC-00649</t>
  </si>
  <si>
    <t xml:space="preserve">P-1733</t>
  </si>
  <si>
    <t xml:space="preserve">HC-00650</t>
  </si>
  <si>
    <t xml:space="preserve">HC-00651</t>
  </si>
  <si>
    <t xml:space="preserve">P-0932</t>
  </si>
  <si>
    <t xml:space="preserve">HC-00652</t>
  </si>
  <si>
    <t xml:space="preserve">HC-00653</t>
  </si>
  <si>
    <t xml:space="preserve">P-0199</t>
  </si>
  <si>
    <t xml:space="preserve">HC-00654</t>
  </si>
  <si>
    <t xml:space="preserve">P-0084</t>
  </si>
  <si>
    <t xml:space="preserve">HC-00655</t>
  </si>
  <si>
    <t xml:space="preserve">P-0677</t>
  </si>
  <si>
    <t xml:space="preserve">HC-00656</t>
  </si>
  <si>
    <t xml:space="preserve">P-0382</t>
  </si>
  <si>
    <t xml:space="preserve">HC-00657</t>
  </si>
  <si>
    <t xml:space="preserve">P-0944</t>
  </si>
  <si>
    <t xml:space="preserve">HC-00658</t>
  </si>
  <si>
    <t xml:space="preserve">P-0497</t>
  </si>
  <si>
    <t xml:space="preserve">HC-00659</t>
  </si>
  <si>
    <t xml:space="preserve">P-0723</t>
  </si>
  <si>
    <t xml:space="preserve">HC-00660</t>
  </si>
  <si>
    <t xml:space="preserve">HC-00661</t>
  </si>
  <si>
    <t xml:space="preserve">P-0751</t>
  </si>
  <si>
    <t xml:space="preserve">HC-00662</t>
  </si>
  <si>
    <t xml:space="preserve">P-0294</t>
  </si>
  <si>
    <t xml:space="preserve">HC-00663</t>
  </si>
  <si>
    <t xml:space="preserve">P-0880</t>
  </si>
  <si>
    <t xml:space="preserve">HC-00664</t>
  </si>
  <si>
    <t xml:space="preserve">P-1608</t>
  </si>
  <si>
    <t xml:space="preserve">HC-00665</t>
  </si>
  <si>
    <t xml:space="preserve">HC-00666</t>
  </si>
  <si>
    <t xml:space="preserve">HC-00667</t>
  </si>
  <si>
    <t xml:space="preserve">P-1479</t>
  </si>
  <si>
    <t xml:space="preserve">HC-00668</t>
  </si>
  <si>
    <t xml:space="preserve">P-1509</t>
  </si>
  <si>
    <t xml:space="preserve">HC-00669</t>
  </si>
  <si>
    <t xml:space="preserve">P-1191</t>
  </si>
  <si>
    <t xml:space="preserve">HC-00670</t>
  </si>
  <si>
    <t xml:space="preserve">P-1650</t>
  </si>
  <si>
    <t xml:space="preserve">HC-00671</t>
  </si>
  <si>
    <t xml:space="preserve">HC-00672</t>
  </si>
  <si>
    <t xml:space="preserve">HC-00673</t>
  </si>
  <si>
    <t xml:space="preserve">HC-00674</t>
  </si>
  <si>
    <t xml:space="preserve">HC-00675</t>
  </si>
  <si>
    <t xml:space="preserve">HC-00676</t>
  </si>
  <si>
    <t xml:space="preserve">P-0867</t>
  </si>
  <si>
    <t xml:space="preserve">HC-00677</t>
  </si>
  <si>
    <t xml:space="preserve">HC-00678</t>
  </si>
  <si>
    <t xml:space="preserve">HC-00679</t>
  </si>
  <si>
    <t xml:space="preserve">P-1382</t>
  </si>
  <si>
    <t xml:space="preserve">HC-00680</t>
  </si>
  <si>
    <t xml:space="preserve">P-1658</t>
  </si>
  <si>
    <t xml:space="preserve">HC-00681</t>
  </si>
  <si>
    <t xml:space="preserve">P-0536</t>
  </si>
  <si>
    <t xml:space="preserve">HC-00682</t>
  </si>
  <si>
    <t xml:space="preserve">HC-00683</t>
  </si>
  <si>
    <t xml:space="preserve">P-1126</t>
  </si>
  <si>
    <t xml:space="preserve">HC-00684</t>
  </si>
  <si>
    <t xml:space="preserve">HC-00685</t>
  </si>
  <si>
    <t xml:space="preserve">HC-00686</t>
  </si>
  <si>
    <t xml:space="preserve">HC-00687</t>
  </si>
  <si>
    <t xml:space="preserve">HC-00688</t>
  </si>
  <si>
    <t xml:space="preserve">P-0728</t>
  </si>
  <si>
    <t xml:space="preserve">HC-00689</t>
  </si>
  <si>
    <t xml:space="preserve">P-0896</t>
  </si>
  <si>
    <t xml:space="preserve">HC-00690</t>
  </si>
  <si>
    <t xml:space="preserve">P-1427</t>
  </si>
  <si>
    <t xml:space="preserve">HC-00691</t>
  </si>
  <si>
    <t xml:space="preserve">P-0130</t>
  </si>
  <si>
    <t xml:space="preserve">HC-00692</t>
  </si>
  <si>
    <t xml:space="preserve">HC-00693</t>
  </si>
  <si>
    <t xml:space="preserve">P-0380</t>
  </si>
  <si>
    <t xml:space="preserve">HC-00694</t>
  </si>
  <si>
    <t xml:space="preserve">HC-00695</t>
  </si>
  <si>
    <t xml:space="preserve">P-1333</t>
  </si>
  <si>
    <t xml:space="preserve">HC-00696</t>
  </si>
  <si>
    <t xml:space="preserve">P-1726</t>
  </si>
  <si>
    <t xml:space="preserve">HC-00697</t>
  </si>
  <si>
    <t xml:space="preserve">HC-00698</t>
  </si>
  <si>
    <t xml:space="preserve">P-1247</t>
  </si>
  <si>
    <t xml:space="preserve">HC-00699</t>
  </si>
  <si>
    <t xml:space="preserve">HC-00700</t>
  </si>
  <si>
    <t xml:space="preserve">P-0833</t>
  </si>
  <si>
    <t xml:space="preserve">HC-00701</t>
  </si>
  <si>
    <t xml:space="preserve">P-0775</t>
  </si>
  <si>
    <t xml:space="preserve">HC-00702</t>
  </si>
  <si>
    <t xml:space="preserve">P-0194</t>
  </si>
  <si>
    <t xml:space="preserve">HC-00703</t>
  </si>
  <si>
    <t xml:space="preserve">P-0201</t>
  </si>
  <si>
    <t xml:space="preserve">HC-00704</t>
  </si>
  <si>
    <t xml:space="preserve">P-0910</t>
  </si>
  <si>
    <t xml:space="preserve">HC-00705</t>
  </si>
  <si>
    <t xml:space="preserve">P-1380</t>
  </si>
  <si>
    <t xml:space="preserve">HC-00706</t>
  </si>
  <si>
    <t xml:space="preserve">P-0706</t>
  </si>
  <si>
    <t xml:space="preserve">HC-00707</t>
  </si>
  <si>
    <t xml:space="preserve">HC-00708</t>
  </si>
  <si>
    <t xml:space="preserve">P-0232</t>
  </si>
  <si>
    <t xml:space="preserve">HC-00709</t>
  </si>
  <si>
    <t xml:space="preserve">HC-00710</t>
  </si>
  <si>
    <t xml:space="preserve">P-1591</t>
  </si>
  <si>
    <t xml:space="preserve">HC-00711</t>
  </si>
  <si>
    <t xml:space="preserve">P-0017</t>
  </si>
  <si>
    <t xml:space="preserve">HC-00712</t>
  </si>
  <si>
    <t xml:space="preserve">P-0216</t>
  </si>
  <si>
    <t xml:space="preserve">HC-00713</t>
  </si>
  <si>
    <t xml:space="preserve">P-1257</t>
  </si>
  <si>
    <t xml:space="preserve">HC-00714</t>
  </si>
  <si>
    <t xml:space="preserve">P-1686</t>
  </si>
  <si>
    <t xml:space="preserve">HC-00715</t>
  </si>
  <si>
    <t xml:space="preserve">P-1160</t>
  </si>
  <si>
    <t xml:space="preserve">HC-00716</t>
  </si>
  <si>
    <t xml:space="preserve">P-0045</t>
  </si>
  <si>
    <t xml:space="preserve">HC-00717</t>
  </si>
  <si>
    <t xml:space="preserve">HC-00718</t>
  </si>
  <si>
    <t xml:space="preserve">P-0341</t>
  </si>
  <si>
    <t xml:space="preserve">HC-00719</t>
  </si>
  <si>
    <t xml:space="preserve">HC-00720</t>
  </si>
  <si>
    <t xml:space="preserve">P-1285</t>
  </si>
  <si>
    <t xml:space="preserve">HC-00721</t>
  </si>
  <si>
    <t xml:space="preserve">P-0483</t>
  </si>
  <si>
    <t xml:space="preserve">HC-00722</t>
  </si>
  <si>
    <t xml:space="preserve">P-1718</t>
  </si>
  <si>
    <t xml:space="preserve">HC-00723</t>
  </si>
  <si>
    <t xml:space="preserve">HC-00724</t>
  </si>
  <si>
    <t xml:space="preserve">P-0109</t>
  </si>
  <si>
    <t xml:space="preserve">HC-00725</t>
  </si>
  <si>
    <t xml:space="preserve">P-1480</t>
  </si>
  <si>
    <t xml:space="preserve">HC-00726</t>
  </si>
  <si>
    <t xml:space="preserve">P-0454</t>
  </si>
  <si>
    <t xml:space="preserve">HC-00727</t>
  </si>
  <si>
    <t xml:space="preserve">HC-00728</t>
  </si>
  <si>
    <t xml:space="preserve">P-1075</t>
  </si>
  <si>
    <t xml:space="preserve">HC-00729</t>
  </si>
  <si>
    <t xml:space="preserve">P-1348</t>
  </si>
  <si>
    <t xml:space="preserve">HC-00730</t>
  </si>
  <si>
    <t xml:space="preserve">HC-00731</t>
  </si>
  <si>
    <t xml:space="preserve">HC-00732</t>
  </si>
  <si>
    <t xml:space="preserve">P-0767</t>
  </si>
  <si>
    <t xml:space="preserve">HC-00733</t>
  </si>
  <si>
    <t xml:space="preserve">P-0205</t>
  </si>
  <si>
    <t xml:space="preserve">HC-00734</t>
  </si>
  <si>
    <t xml:space="preserve">P-1046</t>
  </si>
  <si>
    <t xml:space="preserve">HC-00735</t>
  </si>
  <si>
    <t xml:space="preserve">HC-00736</t>
  </si>
  <si>
    <t xml:space="preserve">HC-00737</t>
  </si>
  <si>
    <t xml:space="preserve">P-0914</t>
  </si>
  <si>
    <t xml:space="preserve">HC-00738</t>
  </si>
  <si>
    <t xml:space="preserve">HC-00739</t>
  </si>
  <si>
    <t xml:space="preserve">P-0217</t>
  </si>
  <si>
    <t xml:space="preserve">HC-00740</t>
  </si>
  <si>
    <t xml:space="preserve">P-0040</t>
  </si>
  <si>
    <t xml:space="preserve">HC-00741</t>
  </si>
  <si>
    <t xml:space="preserve">P-0669</t>
  </si>
  <si>
    <t xml:space="preserve">HC-00742</t>
  </si>
  <si>
    <t xml:space="preserve">P-1211</t>
  </si>
  <si>
    <t xml:space="preserve">HC-00743</t>
  </si>
  <si>
    <t xml:space="preserve">P-0004</t>
  </si>
  <si>
    <t xml:space="preserve">HC-00744</t>
  </si>
  <si>
    <t xml:space="preserve">P-1580</t>
  </si>
  <si>
    <t xml:space="preserve">HC-00745</t>
  </si>
  <si>
    <t xml:space="preserve">HC-00746</t>
  </si>
  <si>
    <t xml:space="preserve">P-0296</t>
  </si>
  <si>
    <t xml:space="preserve">HC-00747</t>
  </si>
  <si>
    <t xml:space="preserve">P-0877</t>
  </si>
  <si>
    <t xml:space="preserve">HC-00748</t>
  </si>
  <si>
    <t xml:space="preserve">P-1048</t>
  </si>
  <si>
    <t xml:space="preserve">HC-00749</t>
  </si>
  <si>
    <t xml:space="preserve">P-1612</t>
  </si>
  <si>
    <t xml:space="preserve">HC-00750</t>
  </si>
  <si>
    <t xml:space="preserve">P-1335</t>
  </si>
  <si>
    <t xml:space="preserve">HC-00751</t>
  </si>
  <si>
    <t xml:space="preserve">P-1519</t>
  </si>
  <si>
    <t xml:space="preserve">HC-00752</t>
  </si>
  <si>
    <t xml:space="preserve">HC-00753</t>
  </si>
  <si>
    <t xml:space="preserve">P-0090</t>
  </si>
  <si>
    <t xml:space="preserve">HC-00754</t>
  </si>
  <si>
    <t xml:space="preserve">P-0691</t>
  </si>
  <si>
    <t xml:space="preserve">HC-00755</t>
  </si>
  <si>
    <t xml:space="preserve">P-1593</t>
  </si>
  <si>
    <t xml:space="preserve">HC-00756</t>
  </si>
  <si>
    <t xml:space="preserve">HC-00757</t>
  </si>
  <si>
    <t xml:space="preserve">P-0840</t>
  </si>
  <si>
    <t xml:space="preserve">HC-00758</t>
  </si>
  <si>
    <t xml:space="preserve">P-0605</t>
  </si>
  <si>
    <t xml:space="preserve">HC-00759</t>
  </si>
  <si>
    <t xml:space="preserve">P-1079</t>
  </si>
  <si>
    <t xml:space="preserve">HC-00760</t>
  </si>
  <si>
    <t xml:space="preserve">P-0484</t>
  </si>
  <si>
    <t xml:space="preserve">HC-00761</t>
  </si>
  <si>
    <t xml:space="preserve">P-0239</t>
  </si>
  <si>
    <t xml:space="preserve">HC-00762</t>
  </si>
  <si>
    <t xml:space="preserve">P-0159</t>
  </si>
  <si>
    <t xml:space="preserve">HC-00763</t>
  </si>
  <si>
    <t xml:space="preserve">HC-00764</t>
  </si>
  <si>
    <t xml:space="preserve">P-1090</t>
  </si>
  <si>
    <t xml:space="preserve">HC-00765</t>
  </si>
  <si>
    <t xml:space="preserve">HC-00766</t>
  </si>
  <si>
    <t xml:space="preserve">HC-00767</t>
  </si>
  <si>
    <t xml:space="preserve">P-0552</t>
  </si>
  <si>
    <t xml:space="preserve">HC-00768</t>
  </si>
  <si>
    <t xml:space="preserve">HC-00769</t>
  </si>
  <si>
    <t xml:space="preserve">HC-00770</t>
  </si>
  <si>
    <t xml:space="preserve">P-1067</t>
  </si>
  <si>
    <t xml:space="preserve">HC-00771</t>
  </si>
  <si>
    <t xml:space="preserve">HC-00772</t>
  </si>
  <si>
    <t xml:space="preserve">P-0427</t>
  </si>
  <si>
    <t xml:space="preserve">HC-00773</t>
  </si>
  <si>
    <t xml:space="preserve">HC-00774</t>
  </si>
  <si>
    <t xml:space="preserve">HC-00775</t>
  </si>
  <si>
    <t xml:space="preserve">HC-00776</t>
  </si>
  <si>
    <t xml:space="preserve">P-1620</t>
  </si>
  <si>
    <t xml:space="preserve">HC-00777</t>
  </si>
  <si>
    <t xml:space="preserve">HC-00778</t>
  </si>
  <si>
    <t xml:space="preserve">P-1344</t>
  </si>
  <si>
    <t xml:space="preserve">HC-00779</t>
  </si>
  <si>
    <t xml:space="preserve">HC-00780</t>
  </si>
  <si>
    <t xml:space="preserve">P-1077</t>
  </si>
  <si>
    <t xml:space="preserve">HC-00781</t>
  </si>
  <si>
    <t xml:space="preserve">HC-00782</t>
  </si>
  <si>
    <t xml:space="preserve">HC-00783</t>
  </si>
  <si>
    <t xml:space="preserve">P-1023</t>
  </si>
  <si>
    <t xml:space="preserve">HC-00784</t>
  </si>
  <si>
    <t xml:space="preserve">HC-00785</t>
  </si>
  <si>
    <t xml:space="preserve">HC-00786</t>
  </si>
  <si>
    <t xml:space="preserve">P-1040</t>
  </si>
  <si>
    <t xml:space="preserve">HC-00787</t>
  </si>
  <si>
    <t xml:space="preserve">P-0976</t>
  </si>
  <si>
    <t xml:space="preserve">HC-00788</t>
  </si>
  <si>
    <t xml:space="preserve">P-0226</t>
  </si>
  <si>
    <t xml:space="preserve">HC-00789</t>
  </si>
  <si>
    <t xml:space="preserve">HC-00790</t>
  </si>
  <si>
    <t xml:space="preserve">P-1365</t>
  </si>
  <si>
    <t xml:space="preserve">HC-00791</t>
  </si>
  <si>
    <t xml:space="preserve">P-1752</t>
  </si>
  <si>
    <t xml:space="preserve">HC-00792</t>
  </si>
  <si>
    <t xml:space="preserve">P-1606</t>
  </si>
  <si>
    <t xml:space="preserve">HC-00793</t>
  </si>
  <si>
    <t xml:space="preserve">HC-00794</t>
  </si>
  <si>
    <t xml:space="preserve">P-1665</t>
  </si>
  <si>
    <t xml:space="preserve">HC-00795</t>
  </si>
  <si>
    <t xml:space="preserve">P-1255</t>
  </si>
  <si>
    <t xml:space="preserve">HC-00796</t>
  </si>
  <si>
    <t xml:space="preserve">P-0103</t>
  </si>
  <si>
    <t xml:space="preserve">HC-00797</t>
  </si>
  <si>
    <t xml:space="preserve">P-0995</t>
  </si>
  <si>
    <t xml:space="preserve">HC-00798</t>
  </si>
  <si>
    <t xml:space="preserve">P-0778</t>
  </si>
  <si>
    <t xml:space="preserve">HC-00799</t>
  </si>
  <si>
    <t xml:space="preserve">P-1258</t>
  </si>
  <si>
    <t xml:space="preserve">HC-00800</t>
  </si>
  <si>
    <t xml:space="preserve">P-1087</t>
  </si>
  <si>
    <t xml:space="preserve">HC-00801</t>
  </si>
  <si>
    <t xml:space="preserve">HC-00802</t>
  </si>
  <si>
    <t xml:space="preserve">HC-00803</t>
  </si>
  <si>
    <t xml:space="preserve">HC-00804</t>
  </si>
  <si>
    <t xml:space="preserve">P-1189</t>
  </si>
  <si>
    <t xml:space="preserve">HC-00805</t>
  </si>
  <si>
    <t xml:space="preserve">P-0943</t>
  </si>
  <si>
    <t xml:space="preserve">HC-00806</t>
  </si>
  <si>
    <t xml:space="preserve">P-0916</t>
  </si>
  <si>
    <t xml:space="preserve">HC-00807</t>
  </si>
  <si>
    <t xml:space="preserve">P-1635</t>
  </si>
  <si>
    <t xml:space="preserve">HC-00808</t>
  </si>
  <si>
    <t xml:space="preserve">HC-00809</t>
  </si>
  <si>
    <t xml:space="preserve">HC-00810</t>
  </si>
  <si>
    <t xml:space="preserve">P-0277</t>
  </si>
  <si>
    <t xml:space="preserve">HC-00811</t>
  </si>
  <si>
    <t xml:space="preserve">HC-00812</t>
  </si>
  <si>
    <t xml:space="preserve">P-1155</t>
  </si>
  <si>
    <t xml:space="preserve">HC-00813</t>
  </si>
  <si>
    <t xml:space="preserve">P-0733</t>
  </si>
  <si>
    <t xml:space="preserve">HC-00814</t>
  </si>
  <si>
    <t xml:space="preserve">HC-00815</t>
  </si>
  <si>
    <t xml:space="preserve">HC-00816</t>
  </si>
  <si>
    <t xml:space="preserve">HC-00817</t>
  </si>
  <si>
    <t xml:space="preserve">P-1796</t>
  </si>
  <si>
    <t xml:space="preserve">HC-00818</t>
  </si>
  <si>
    <t xml:space="preserve">P-0616</t>
  </si>
  <si>
    <t xml:space="preserve">HC-00819</t>
  </si>
  <si>
    <t xml:space="preserve">HC-00820</t>
  </si>
  <si>
    <t xml:space="preserve">P-0401</t>
  </si>
  <si>
    <t xml:space="preserve">HC-00821</t>
  </si>
  <si>
    <t xml:space="preserve">P-0917</t>
  </si>
  <si>
    <t xml:space="preserve">HC-00822</t>
  </si>
  <si>
    <t xml:space="preserve">P-1703</t>
  </si>
  <si>
    <t xml:space="preserve">HC-00823</t>
  </si>
  <si>
    <t xml:space="preserve">P-0144</t>
  </si>
  <si>
    <t xml:space="preserve">HC-00824</t>
  </si>
  <si>
    <t xml:space="preserve">P-0595</t>
  </si>
  <si>
    <t xml:space="preserve">HC-00825</t>
  </si>
  <si>
    <t xml:space="preserve">HC-00826</t>
  </si>
  <si>
    <t xml:space="preserve">P-0810</t>
  </si>
  <si>
    <t xml:space="preserve">HC-00827</t>
  </si>
  <si>
    <t xml:space="preserve">P-0688</t>
  </si>
  <si>
    <t xml:space="preserve">HC-00828</t>
  </si>
  <si>
    <t xml:space="preserve">P-1317</t>
  </si>
  <si>
    <t xml:space="preserve">HC-00829</t>
  </si>
  <si>
    <t xml:space="preserve">P-0548</t>
  </si>
  <si>
    <t xml:space="preserve">HC-00830</t>
  </si>
  <si>
    <t xml:space="preserve">P-0211</t>
  </si>
  <si>
    <t xml:space="preserve">HC-00831</t>
  </si>
  <si>
    <t xml:space="preserve">P-0920</t>
  </si>
  <si>
    <t xml:space="preserve">HC-00832</t>
  </si>
  <si>
    <t xml:space="preserve">P-0515</t>
  </si>
  <si>
    <t xml:space="preserve">HC-00833</t>
  </si>
  <si>
    <t xml:space="preserve">P-0140</t>
  </si>
  <si>
    <t xml:space="preserve">HC-00834</t>
  </si>
  <si>
    <t xml:space="preserve">P-1619</t>
  </si>
  <si>
    <t xml:space="preserve">HC-00835</t>
  </si>
  <si>
    <t xml:space="preserve">HC-00836</t>
  </si>
  <si>
    <t xml:space="preserve">P-1162</t>
  </si>
  <si>
    <t xml:space="preserve">HC-00837</t>
  </si>
  <si>
    <t xml:space="preserve">P-0837</t>
  </si>
  <si>
    <t xml:space="preserve">HC-00838</t>
  </si>
  <si>
    <t xml:space="preserve">P-0887</t>
  </si>
  <si>
    <t xml:space="preserve">HC-00839</t>
  </si>
  <si>
    <t xml:space="preserve">HC-00840</t>
  </si>
  <si>
    <t xml:space="preserve">P-1157</t>
  </si>
  <si>
    <t xml:space="preserve">HC-00841</t>
  </si>
  <si>
    <t xml:space="preserve">HC-00842</t>
  </si>
  <si>
    <t xml:space="preserve">P-1145</t>
  </si>
  <si>
    <t xml:space="preserve">HC-00843</t>
  </si>
  <si>
    <t xml:space="preserve">P-0404</t>
  </si>
  <si>
    <t xml:space="preserve">HC-00844</t>
  </si>
  <si>
    <t xml:space="preserve">P-0443</t>
  </si>
  <si>
    <t xml:space="preserve">HC-00845</t>
  </si>
  <si>
    <t xml:space="preserve">P-1667</t>
  </si>
  <si>
    <t xml:space="preserve">HC-00846</t>
  </si>
  <si>
    <t xml:space="preserve">P-1709</t>
  </si>
  <si>
    <t xml:space="preserve">HC-00847</t>
  </si>
  <si>
    <t xml:space="preserve">P-0453</t>
  </si>
  <si>
    <t xml:space="preserve">HC-00848</t>
  </si>
  <si>
    <t xml:space="preserve">HC-00849</t>
  </si>
  <si>
    <t xml:space="preserve">P-0876</t>
  </si>
  <si>
    <t xml:space="preserve">HC-00850</t>
  </si>
  <si>
    <t xml:space="preserve">P-0747</t>
  </si>
  <si>
    <t xml:space="preserve">HC-00851</t>
  </si>
  <si>
    <t xml:space="preserve">P-0539</t>
  </si>
  <si>
    <t xml:space="preserve">HC-00852</t>
  </si>
  <si>
    <t xml:space="preserve">HC-00853</t>
  </si>
  <si>
    <t xml:space="preserve">HC-00854</t>
  </si>
  <si>
    <t xml:space="preserve">P-0945</t>
  </si>
  <si>
    <t xml:space="preserve">HC-00855</t>
  </si>
  <si>
    <t xml:space="preserve">P-0451</t>
  </si>
  <si>
    <t xml:space="preserve">HC-00856</t>
  </si>
  <si>
    <t xml:space="preserve">HC-00857</t>
  </si>
  <si>
    <t xml:space="preserve">P-0168</t>
  </si>
  <si>
    <t xml:space="preserve">HC-00858</t>
  </si>
  <si>
    <t xml:space="preserve">P-0906</t>
  </si>
  <si>
    <t xml:space="preserve">HC-00859</t>
  </si>
  <si>
    <t xml:space="preserve">P-1324</t>
  </si>
  <si>
    <t xml:space="preserve">HC-00860</t>
  </si>
  <si>
    <t xml:space="preserve">HC-00861</t>
  </si>
  <si>
    <t xml:space="preserve">P-1176</t>
  </si>
  <si>
    <t xml:space="preserve">HC-00862</t>
  </si>
  <si>
    <t xml:space="preserve">P-0607</t>
  </si>
  <si>
    <t xml:space="preserve">HC-00863</t>
  </si>
  <si>
    <t xml:space="preserve">P-1758</t>
  </si>
  <si>
    <t xml:space="preserve">HC-00864</t>
  </si>
  <si>
    <t xml:space="preserve">P-1074</t>
  </si>
  <si>
    <t xml:space="preserve">HC-00865</t>
  </si>
  <si>
    <t xml:space="preserve">P-1277</t>
  </si>
  <si>
    <t xml:space="preserve">HC-00866</t>
  </si>
  <si>
    <t xml:space="preserve">P-0389</t>
  </si>
  <si>
    <t xml:space="preserve">HC-00867</t>
  </si>
  <si>
    <t xml:space="preserve">HC-00868</t>
  </si>
  <si>
    <t xml:space="preserve">HC-00869</t>
  </si>
  <si>
    <t xml:space="preserve">P-1523</t>
  </si>
  <si>
    <t xml:space="preserve">HC-00870</t>
  </si>
  <si>
    <t xml:space="preserve">P-1340</t>
  </si>
  <si>
    <t xml:space="preserve">HC-00871</t>
  </si>
  <si>
    <t xml:space="preserve">HC-00872</t>
  </si>
  <si>
    <t xml:space="preserve">HC-00873</t>
  </si>
  <si>
    <t xml:space="preserve">P-0875</t>
  </si>
  <si>
    <t xml:space="preserve">HC-00874</t>
  </si>
  <si>
    <t xml:space="preserve">P-0164</t>
  </si>
  <si>
    <t xml:space="preserve">HC-00875</t>
  </si>
  <si>
    <t xml:space="preserve">P-0846</t>
  </si>
  <si>
    <t xml:space="preserve">HC-00876</t>
  </si>
  <si>
    <t xml:space="preserve">HC-00877</t>
  </si>
  <si>
    <t xml:space="preserve">P-1295</t>
  </si>
  <si>
    <t xml:space="preserve">HC-00878</t>
  </si>
  <si>
    <t xml:space="preserve">HC-00879</t>
  </si>
  <si>
    <t xml:space="preserve">P-0067</t>
  </si>
  <si>
    <t xml:space="preserve">HC-00880</t>
  </si>
  <si>
    <t xml:space="preserve">HC-00881</t>
  </si>
  <si>
    <t xml:space="preserve">P-1097</t>
  </si>
  <si>
    <t xml:space="preserve">HC-00882</t>
  </si>
  <si>
    <t xml:space="preserve">HC-00883</t>
  </si>
  <si>
    <t xml:space="preserve">HC-00884</t>
  </si>
  <si>
    <t xml:space="preserve">P-0472</t>
  </si>
  <si>
    <t xml:space="preserve">HC-00885</t>
  </si>
  <si>
    <t xml:space="preserve">HC-00886</t>
  </si>
  <si>
    <t xml:space="preserve">P-0724</t>
  </si>
  <si>
    <t xml:space="preserve">HC-00887</t>
  </si>
  <si>
    <t xml:space="preserve">P-0319</t>
  </si>
  <si>
    <t xml:space="preserve">HC-00888</t>
  </si>
  <si>
    <t xml:space="preserve">HC-00889</t>
  </si>
  <si>
    <t xml:space="preserve">P-0206</t>
  </si>
  <si>
    <t xml:space="preserve">HC-00890</t>
  </si>
  <si>
    <t xml:space="preserve">HC-00891</t>
  </si>
  <si>
    <t xml:space="preserve">P-0681</t>
  </si>
  <si>
    <t xml:space="preserve">HC-00892</t>
  </si>
  <si>
    <t xml:space="preserve">HC-00893</t>
  </si>
  <si>
    <t xml:space="preserve">P-0792</t>
  </si>
  <si>
    <t xml:space="preserve">HC-00894</t>
  </si>
  <si>
    <t xml:space="preserve">P-1534</t>
  </si>
  <si>
    <t xml:space="preserve">HC-00895</t>
  </si>
  <si>
    <t xml:space="preserve">P-0639</t>
  </si>
  <si>
    <t xml:space="preserve">HC-00896</t>
  </si>
  <si>
    <t xml:space="preserve">P-0838</t>
  </si>
  <si>
    <t xml:space="preserve">HC-00897</t>
  </si>
  <si>
    <t xml:space="preserve">P-1640</t>
  </si>
  <si>
    <t xml:space="preserve">HC-00898</t>
  </si>
  <si>
    <t xml:space="preserve">HC-00899</t>
  </si>
  <si>
    <t xml:space="preserve">HC-00900</t>
  </si>
  <si>
    <t xml:space="preserve">P-1520</t>
  </si>
  <si>
    <t xml:space="preserve">HC-00901</t>
  </si>
  <si>
    <t xml:space="preserve">P-0123</t>
  </si>
  <si>
    <t xml:space="preserve">HC-00902</t>
  </si>
  <si>
    <t xml:space="preserve">HC-00903</t>
  </si>
  <si>
    <t xml:space="preserve">HC-00904</t>
  </si>
  <si>
    <t xml:space="preserve">HC-00905</t>
  </si>
  <si>
    <t xml:space="preserve">HC-00906</t>
  </si>
  <si>
    <t xml:space="preserve">HC-00907</t>
  </si>
  <si>
    <t xml:space="preserve">P-1417</t>
  </si>
  <si>
    <t xml:space="preserve">HC-00908</t>
  </si>
  <si>
    <t xml:space="preserve">P-1289</t>
  </si>
  <si>
    <t xml:space="preserve">HC-00909</t>
  </si>
  <si>
    <t xml:space="preserve">P-0152</t>
  </si>
  <si>
    <t xml:space="preserve">HC-00910</t>
  </si>
  <si>
    <t xml:space="preserve">HC-00911</t>
  </si>
  <si>
    <t xml:space="preserve">HC-00912</t>
  </si>
  <si>
    <t xml:space="preserve">HC-00913</t>
  </si>
  <si>
    <t xml:space="preserve">P-0078</t>
  </si>
  <si>
    <t xml:space="preserve">HC-00914</t>
  </si>
  <si>
    <t xml:space="preserve">P-0278</t>
  </si>
  <si>
    <t xml:space="preserve">HC-00915</t>
  </si>
  <si>
    <t xml:space="preserve">P-0709</t>
  </si>
  <si>
    <t xml:space="preserve">HC-00916</t>
  </si>
  <si>
    <t xml:space="preserve">HC-00917</t>
  </si>
  <si>
    <t xml:space="preserve">P-1444</t>
  </si>
  <si>
    <t xml:space="preserve">HC-00918</t>
  </si>
  <si>
    <t xml:space="preserve">HC-00919</t>
  </si>
  <si>
    <t xml:space="preserve">HC-00920</t>
  </si>
  <si>
    <t xml:space="preserve">P-1122</t>
  </si>
  <si>
    <t xml:space="preserve">HC-00921</t>
  </si>
  <si>
    <t xml:space="preserve">P-1017</t>
  </si>
  <si>
    <t xml:space="preserve">HC-00922</t>
  </si>
  <si>
    <t xml:space="preserve">HC-00923</t>
  </si>
  <si>
    <t xml:space="preserve">P-1279</t>
  </si>
  <si>
    <t xml:space="preserve">HC-00924</t>
  </si>
  <si>
    <t xml:space="preserve">P-0149</t>
  </si>
  <si>
    <t xml:space="preserve">HC-00925</t>
  </si>
  <si>
    <t xml:space="preserve">HC-00926</t>
  </si>
  <si>
    <t xml:space="preserve">HC-00927</t>
  </si>
  <si>
    <t xml:space="preserve">P-0307</t>
  </si>
  <si>
    <t xml:space="preserve">HC-00928</t>
  </si>
  <si>
    <t xml:space="preserve">P-0572</t>
  </si>
  <si>
    <t xml:space="preserve">HC-00929</t>
  </si>
  <si>
    <t xml:space="preserve">HC-00930</t>
  </si>
  <si>
    <t xml:space="preserve">P-1072</t>
  </si>
  <si>
    <t xml:space="preserve">HC-00931</t>
  </si>
  <si>
    <t xml:space="preserve">HC-00932</t>
  </si>
  <si>
    <t xml:space="preserve">HC-00933</t>
  </si>
  <si>
    <t xml:space="preserve">P-0953</t>
  </si>
  <si>
    <t xml:space="preserve">HC-00934</t>
  </si>
  <si>
    <t xml:space="preserve">HC-00935</t>
  </si>
  <si>
    <t xml:space="preserve">P-1339</t>
  </si>
  <si>
    <t xml:space="preserve">HC-00936</t>
  </si>
  <si>
    <t xml:space="preserve">HC-00937</t>
  </si>
  <si>
    <t xml:space="preserve">HC-00938</t>
  </si>
  <si>
    <t xml:space="preserve">HC-00939</t>
  </si>
  <si>
    <t xml:space="preserve">P-1615</t>
  </si>
  <si>
    <t xml:space="preserve">HC-00940</t>
  </si>
  <si>
    <t xml:space="preserve">HC-00941</t>
  </si>
  <si>
    <t xml:space="preserve">HC-00942</t>
  </si>
  <si>
    <t xml:space="preserve">P-0083</t>
  </si>
  <si>
    <t xml:space="preserve">HC-00943</t>
  </si>
  <si>
    <t xml:space="preserve">P-0372</t>
  </si>
  <si>
    <t xml:space="preserve">HC-00944</t>
  </si>
  <si>
    <t xml:space="preserve">P-1657</t>
  </si>
  <si>
    <t xml:space="preserve">HC-00945</t>
  </si>
  <si>
    <t xml:space="preserve">P-1091</t>
  </si>
  <si>
    <t xml:space="preserve">HC-00946</t>
  </si>
  <si>
    <t xml:space="preserve">HC-00947</t>
  </si>
  <si>
    <t xml:space="preserve">P-0321</t>
  </si>
  <si>
    <t xml:space="preserve">HC-00948</t>
  </si>
  <si>
    <t xml:space="preserve">P-1590</t>
  </si>
  <si>
    <t xml:space="preserve">HC-00949</t>
  </si>
  <si>
    <t xml:space="preserve">P-1185</t>
  </si>
  <si>
    <t xml:space="preserve">HC-00950</t>
  </si>
  <si>
    <t xml:space="preserve">HC-00951</t>
  </si>
  <si>
    <t xml:space="preserve">P-0661</t>
  </si>
  <si>
    <t xml:space="preserve">HC-00952</t>
  </si>
  <si>
    <t xml:space="preserve">P-0769</t>
  </si>
  <si>
    <t xml:space="preserve">HC-00953</t>
  </si>
  <si>
    <t xml:space="preserve">P-0028</t>
  </si>
  <si>
    <t xml:space="preserve">HC-00954</t>
  </si>
  <si>
    <t xml:space="preserve">HC-00955</t>
  </si>
  <si>
    <t xml:space="preserve">HC-00956</t>
  </si>
  <si>
    <t xml:space="preserve">P-0030</t>
  </si>
  <si>
    <t xml:space="preserve">HC-00957</t>
  </si>
  <si>
    <t xml:space="preserve">P-1589</t>
  </si>
  <si>
    <t xml:space="preserve">HC-00958</t>
  </si>
  <si>
    <t xml:space="preserve">P-0905</t>
  </si>
  <si>
    <t xml:space="preserve">HC-00959</t>
  </si>
  <si>
    <t xml:space="preserve">P-1372</t>
  </si>
  <si>
    <t xml:space="preserve">HC-00960</t>
  </si>
  <si>
    <t xml:space="preserve">HC-00961</t>
  </si>
  <si>
    <t xml:space="preserve">P-1248</t>
  </si>
  <si>
    <t xml:space="preserve">HC-00962</t>
  </si>
  <si>
    <t xml:space="preserve">HC-00963</t>
  </si>
  <si>
    <t xml:space="preserve">HC-00964</t>
  </si>
  <si>
    <t xml:space="preserve">P-1026</t>
  </si>
  <si>
    <t xml:space="preserve">HC-00965</t>
  </si>
  <si>
    <t xml:space="preserve">HC-00966</t>
  </si>
  <si>
    <t xml:space="preserve">HC-00967</t>
  </si>
  <si>
    <t xml:space="preserve">P-1392</t>
  </si>
  <si>
    <t xml:space="preserve">HC-00968</t>
  </si>
  <si>
    <t xml:space="preserve">HC-00969</t>
  </si>
  <si>
    <t xml:space="preserve">P-1092</t>
  </si>
  <si>
    <t xml:space="preserve">HC-00970</t>
  </si>
  <si>
    <t xml:space="preserve">HC-00971</t>
  </si>
  <si>
    <t xml:space="preserve">P-1056</t>
  </si>
  <si>
    <t xml:space="preserve">HC-00972</t>
  </si>
  <si>
    <t xml:space="preserve">HC-00973</t>
  </si>
  <si>
    <t xml:space="preserve">P-0564</t>
  </si>
  <si>
    <t xml:space="preserve">HC-00974</t>
  </si>
  <si>
    <t xml:space="preserve">P-0181</t>
  </si>
  <si>
    <t xml:space="preserve">HC-00975</t>
  </si>
  <si>
    <t xml:space="preserve">HC-00976</t>
  </si>
  <si>
    <t xml:space="preserve">P-1439</t>
  </si>
  <si>
    <t xml:space="preserve">HC-00977</t>
  </si>
  <si>
    <t xml:space="preserve">P-0243</t>
  </si>
  <si>
    <t xml:space="preserve">HC-00978</t>
  </si>
  <si>
    <t xml:space="preserve">P-0713</t>
  </si>
  <si>
    <t xml:space="preserve">HC-00979</t>
  </si>
  <si>
    <t xml:space="preserve">HC-00980</t>
  </si>
  <si>
    <t xml:space="preserve">P-0501</t>
  </si>
  <si>
    <t xml:space="preserve">HC-00981</t>
  </si>
  <si>
    <t xml:space="preserve">HC-00982</t>
  </si>
  <si>
    <t xml:space="preserve">HC-00983</t>
  </si>
  <si>
    <t xml:space="preserve">P-0866</t>
  </si>
  <si>
    <t xml:space="preserve">HC-00984</t>
  </si>
  <si>
    <t xml:space="preserve">HC-00985</t>
  </si>
  <si>
    <t xml:space="preserve">P-1132</t>
  </si>
  <si>
    <t xml:space="preserve">HC-00986</t>
  </si>
  <si>
    <t xml:space="preserve">P-0095</t>
  </si>
  <si>
    <t xml:space="preserve">HC-00987</t>
  </si>
  <si>
    <t xml:space="preserve">HC-00988</t>
  </si>
  <si>
    <t xml:space="preserve">P-1299</t>
  </si>
  <si>
    <t xml:space="preserve">HC-00989</t>
  </si>
  <si>
    <t xml:space="preserve">HC-00990</t>
  </si>
  <si>
    <t xml:space="preserve">P-1110</t>
  </si>
  <si>
    <t xml:space="preserve">HC-00991</t>
  </si>
  <si>
    <t xml:space="preserve">P-0577</t>
  </si>
  <si>
    <t xml:space="preserve">HC-00992</t>
  </si>
  <si>
    <t xml:space="preserve">P-1734</t>
  </si>
  <si>
    <t xml:space="preserve">HC-00993</t>
  </si>
  <si>
    <t xml:space="preserve">P-1381</t>
  </si>
  <si>
    <t xml:space="preserve">HC-00994</t>
  </si>
  <si>
    <t xml:space="preserve">P-0300</t>
  </si>
  <si>
    <t xml:space="preserve">HC-00995</t>
  </si>
  <si>
    <t xml:space="preserve">P-1563</t>
  </si>
  <si>
    <t xml:space="preserve">HC-00996</t>
  </si>
  <si>
    <t xml:space="preserve">P-0553</t>
  </si>
  <si>
    <t xml:space="preserve">HC-00997</t>
  </si>
  <si>
    <t xml:space="preserve">HC-00998</t>
  </si>
  <si>
    <t xml:space="preserve">P-1151</t>
  </si>
  <si>
    <t xml:space="preserve">HC-00999</t>
  </si>
  <si>
    <t xml:space="preserve">P-0849</t>
  </si>
  <si>
    <t xml:space="preserve">HC-01000</t>
  </si>
  <si>
    <t xml:space="preserve">HC-01001</t>
  </si>
  <si>
    <t xml:space="preserve">P-1201</t>
  </si>
  <si>
    <t xml:space="preserve">HC-01002</t>
  </si>
  <si>
    <t xml:space="preserve">P-0981</t>
  </si>
  <si>
    <t xml:space="preserve">HC-01003</t>
  </si>
  <si>
    <t xml:space="preserve">HC-01004</t>
  </si>
  <si>
    <t xml:space="preserve">HC-01005</t>
  </si>
  <si>
    <t xml:space="preserve">HC-01006</t>
  </si>
  <si>
    <t xml:space="preserve">P-0038</t>
  </si>
  <si>
    <t xml:space="preserve">HC-01007</t>
  </si>
  <si>
    <t xml:space="preserve">HC-01008</t>
  </si>
  <si>
    <t xml:space="preserve">P-1300</t>
  </si>
  <si>
    <t xml:space="preserve">HC-01009</t>
  </si>
  <si>
    <t xml:space="preserve">P-1113</t>
  </si>
  <si>
    <t xml:space="preserve">HC-01010</t>
  </si>
  <si>
    <t xml:space="preserve">HC-01011</t>
  </si>
  <si>
    <t xml:space="preserve">P-0715</t>
  </si>
  <si>
    <t xml:space="preserve">HC-01012</t>
  </si>
  <si>
    <t xml:space="preserve">P-0052</t>
  </si>
  <si>
    <t xml:space="preserve">HC-01013</t>
  </si>
  <si>
    <t xml:space="preserve">P-1499</t>
  </si>
  <si>
    <t xml:space="preserve">HC-01014</t>
  </si>
  <si>
    <t xml:space="preserve">P-1496</t>
  </si>
  <si>
    <t xml:space="preserve">HC-01015</t>
  </si>
  <si>
    <t xml:space="preserve">P-1124</t>
  </si>
  <si>
    <t xml:space="preserve">HC-01016</t>
  </si>
  <si>
    <t xml:space="preserve">HC-01017</t>
  </si>
  <si>
    <t xml:space="preserve">HC-01018</t>
  </si>
  <si>
    <t xml:space="preserve">HC-01019</t>
  </si>
  <si>
    <t xml:space="preserve">HC-01020</t>
  </si>
  <si>
    <t xml:space="preserve">P-1020</t>
  </si>
  <si>
    <t xml:space="preserve">HC-01021</t>
  </si>
  <si>
    <t xml:space="preserve">P-1240</t>
  </si>
  <si>
    <t xml:space="preserve">HC-01022</t>
  </si>
  <si>
    <t xml:space="preserve">HC-01023</t>
  </si>
  <si>
    <t xml:space="preserve">P-0794</t>
  </si>
  <si>
    <t xml:space="preserve">HC-01024</t>
  </si>
  <si>
    <t xml:space="preserve">P-1502</t>
  </si>
  <si>
    <t xml:space="preserve">HC-01025</t>
  </si>
  <si>
    <t xml:space="preserve">HC-01026</t>
  </si>
  <si>
    <t xml:space="preserve">P-0314</t>
  </si>
  <si>
    <t xml:space="preserve">HC-01027</t>
  </si>
  <si>
    <t xml:space="preserve">HC-01028</t>
  </si>
  <si>
    <t xml:space="preserve">P-1495</t>
  </si>
  <si>
    <t xml:space="preserve">HC-01029</t>
  </si>
  <si>
    <t xml:space="preserve">P-1724</t>
  </si>
  <si>
    <t xml:space="preserve">HC-01030</t>
  </si>
  <si>
    <t xml:space="preserve">HC-01031</t>
  </si>
  <si>
    <t xml:space="preserve">P-1234</t>
  </si>
  <si>
    <t xml:space="preserve">HC-01032</t>
  </si>
  <si>
    <t xml:space="preserve">P-0334</t>
  </si>
  <si>
    <t xml:space="preserve">HC-01033</t>
  </si>
  <si>
    <t xml:space="preserve">P-1225</t>
  </si>
  <si>
    <t xml:space="preserve">HC-01034</t>
  </si>
  <si>
    <t xml:space="preserve">P-1558</t>
  </si>
  <si>
    <t xml:space="preserve">HC-01035</t>
  </si>
  <si>
    <t xml:space="preserve">HC-01036</t>
  </si>
  <si>
    <t xml:space="preserve">P-1493</t>
  </si>
  <si>
    <t xml:space="preserve">HC-01037</t>
  </si>
  <si>
    <t xml:space="preserve">P-0066</t>
  </si>
  <si>
    <t xml:space="preserve">HC-01038</t>
  </si>
  <si>
    <t xml:space="preserve">HC-01039</t>
  </si>
  <si>
    <t xml:space="preserve">P-0198</t>
  </si>
  <si>
    <t xml:space="preserve">HC-01040</t>
  </si>
  <si>
    <t xml:space="preserve">P-0899</t>
  </si>
  <si>
    <t xml:space="preserve">HC-01041</t>
  </si>
  <si>
    <t xml:space="preserve">P-0173</t>
  </si>
  <si>
    <t xml:space="preserve">HC-01042</t>
  </si>
  <si>
    <t xml:space="preserve">P-1133</t>
  </si>
  <si>
    <t xml:space="preserve">HC-01043</t>
  </si>
  <si>
    <t xml:space="preserve">HC-01044</t>
  </si>
  <si>
    <t xml:space="preserve">HC-01045</t>
  </si>
  <si>
    <t xml:space="preserve">HC-01046</t>
  </si>
  <si>
    <t xml:space="preserve">P-0185</t>
  </si>
  <si>
    <t xml:space="preserve">HC-01047</t>
  </si>
  <si>
    <t xml:space="preserve">P-1670</t>
  </si>
  <si>
    <t xml:space="preserve">HC-01048</t>
  </si>
  <si>
    <t xml:space="preserve">P-0722</t>
  </si>
  <si>
    <t xml:space="preserve">HC-01049</t>
  </si>
  <si>
    <t xml:space="preserve">HC-01050</t>
  </si>
  <si>
    <t xml:space="preserve">P-1685</t>
  </si>
  <si>
    <t xml:space="preserve">HC-01051</t>
  </si>
  <si>
    <t xml:space="preserve">P-1541</t>
  </si>
  <si>
    <t xml:space="preserve">HC-01052</t>
  </si>
  <si>
    <t xml:space="preserve">HC-01053</t>
  </si>
  <si>
    <t xml:space="preserve">P-1329</t>
  </si>
  <si>
    <t xml:space="preserve">HC-01054</t>
  </si>
  <si>
    <t xml:space="preserve">P-0139</t>
  </si>
  <si>
    <t xml:space="preserve">HC-01055</t>
  </si>
  <si>
    <t xml:space="preserve">HC-01056</t>
  </si>
  <si>
    <t xml:space="preserve">P-1544</t>
  </si>
  <si>
    <t xml:space="preserve">HC-01057</t>
  </si>
  <si>
    <t xml:space="preserve">P-0169</t>
  </si>
  <si>
    <t xml:space="preserve">HC-01058</t>
  </si>
  <si>
    <t xml:space="preserve">P-0113</t>
  </si>
  <si>
    <t xml:space="preserve">HC-01059</t>
  </si>
  <si>
    <t xml:space="preserve">P-0180</t>
  </si>
  <si>
    <t xml:space="preserve">HC-01060</t>
  </si>
  <si>
    <t xml:space="preserve">P-1233</t>
  </si>
  <si>
    <t xml:space="preserve">HC-01061</t>
  </si>
  <si>
    <t xml:space="preserve">P-1438</t>
  </si>
  <si>
    <t xml:space="preserve">HC-01062</t>
  </si>
  <si>
    <t xml:space="preserve">HC-01063</t>
  </si>
  <si>
    <t xml:space="preserve">P-1632</t>
  </si>
  <si>
    <t xml:space="preserve">HC-01064</t>
  </si>
  <si>
    <t xml:space="preserve">HC-01065</t>
  </si>
  <si>
    <t xml:space="preserve">HC-01066</t>
  </si>
  <si>
    <t xml:space="preserve">HC-01067</t>
  </si>
  <si>
    <t xml:space="preserve">P-0717</t>
  </si>
  <si>
    <t xml:space="preserve">HC-01068</t>
  </si>
  <si>
    <t xml:space="preserve">P-0143</t>
  </si>
  <si>
    <t xml:space="preserve">HC-01069</t>
  </si>
  <si>
    <t xml:space="preserve">P-1057</t>
  </si>
  <si>
    <t xml:space="preserve">HC-01070</t>
  </si>
  <si>
    <t xml:space="preserve">P-1741</t>
  </si>
  <si>
    <t xml:space="preserve">HC-01071</t>
  </si>
  <si>
    <t xml:space="preserve">HC-01072</t>
  </si>
  <si>
    <t xml:space="preserve">HC-01073</t>
  </si>
  <si>
    <t xml:space="preserve">HC-01074</t>
  </si>
  <si>
    <t xml:space="preserve">HC-01075</t>
  </si>
  <si>
    <t xml:space="preserve">P-1785</t>
  </si>
  <si>
    <t xml:space="preserve">HC-01076</t>
  </si>
  <si>
    <t xml:space="preserve">P-1728</t>
  </si>
  <si>
    <t xml:space="preserve">HC-01077</t>
  </si>
  <si>
    <t xml:space="preserve">P-1251</t>
  </si>
  <si>
    <t xml:space="preserve">HC-01078</t>
  </si>
  <si>
    <t xml:space="preserve">HC-01079</t>
  </si>
  <si>
    <t xml:space="preserve">P-0596</t>
  </si>
  <si>
    <t xml:space="preserve">HC-01080</t>
  </si>
  <si>
    <t xml:space="preserve">P-0220</t>
  </si>
  <si>
    <t xml:space="preserve">HC-01081</t>
  </si>
  <si>
    <t xml:space="preserve">P-0260</t>
  </si>
  <si>
    <t xml:space="preserve">HC-01082</t>
  </si>
  <si>
    <t xml:space="preserve">P-0025</t>
  </si>
  <si>
    <t xml:space="preserve">HC-01083</t>
  </si>
  <si>
    <t xml:space="preserve">HC-01084</t>
  </si>
  <si>
    <t xml:space="preserve">HC-01085</t>
  </si>
  <si>
    <t xml:space="preserve">HC-01086</t>
  </si>
  <si>
    <t xml:space="preserve">P-0608</t>
  </si>
  <si>
    <t xml:space="preserve">HC-01087</t>
  </si>
  <si>
    <t xml:space="preserve">P-0947</t>
  </si>
  <si>
    <t xml:space="preserve">HC-01088</t>
  </si>
  <si>
    <t xml:space="preserve">HC-01089</t>
  </si>
  <si>
    <t xml:space="preserve">P-0811</t>
  </si>
  <si>
    <t xml:space="preserve">HC-01090</t>
  </si>
  <si>
    <t xml:space="preserve">HC-01091</t>
  </si>
  <si>
    <t xml:space="preserve">HC-01092</t>
  </si>
  <si>
    <t xml:space="preserve">P-1357</t>
  </si>
  <si>
    <t xml:space="preserve">HC-01093</t>
  </si>
  <si>
    <t xml:space="preserve">HC-01094</t>
  </si>
  <si>
    <t xml:space="preserve">HC-01095</t>
  </si>
  <si>
    <t xml:space="preserve">HC-01096</t>
  </si>
  <si>
    <t xml:space="preserve">HC-01097</t>
  </si>
  <si>
    <t xml:space="preserve">HC-01098</t>
  </si>
  <si>
    <t xml:space="preserve">HC-01099</t>
  </si>
  <si>
    <t xml:space="preserve">P-1754</t>
  </si>
  <si>
    <t xml:space="preserve">HC-01100</t>
  </si>
  <si>
    <t xml:space="preserve">HC-01101</t>
  </si>
  <si>
    <t xml:space="preserve">P-1717</t>
  </si>
  <si>
    <t xml:space="preserve">HC-01102</t>
  </si>
  <si>
    <t xml:space="preserve">P-0534</t>
  </si>
  <si>
    <t xml:space="preserve">HC-01103</t>
  </si>
  <si>
    <t xml:space="preserve">HC-01104</t>
  </si>
  <si>
    <t xml:space="preserve">HC-01105</t>
  </si>
  <si>
    <t xml:space="preserve">P-0653</t>
  </si>
  <si>
    <t xml:space="preserve">HC-01106</t>
  </si>
  <si>
    <t xml:space="preserve">HC-01107</t>
  </si>
  <si>
    <t xml:space="preserve">HC-01108</t>
  </si>
  <si>
    <t xml:space="preserve">HC-01109</t>
  </si>
  <si>
    <t xml:space="preserve">HC-01110</t>
  </si>
  <si>
    <t xml:space="preserve">P-0537</t>
  </si>
  <si>
    <t xml:space="preserve">HC-01111</t>
  </si>
  <si>
    <t xml:space="preserve">P-1244</t>
  </si>
  <si>
    <t xml:space="preserve">HC-01112</t>
  </si>
  <si>
    <t xml:space="preserve">P-1172</t>
  </si>
  <si>
    <t xml:space="preserve">HC-01113</t>
  </si>
  <si>
    <t xml:space="preserve">P-1705</t>
  </si>
  <si>
    <t xml:space="preserve">HC-01114</t>
  </si>
  <si>
    <t xml:space="preserve">P-0683</t>
  </si>
  <si>
    <t xml:space="preserve">HC-01115</t>
  </si>
  <si>
    <t xml:space="preserve">HC-01116</t>
  </si>
  <si>
    <t xml:space="preserve">HC-01117</t>
  </si>
  <si>
    <t xml:space="preserve">P-0087</t>
  </si>
  <si>
    <t xml:space="preserve">HC-01118</t>
  </si>
  <si>
    <t xml:space="preserve">HC-01119</t>
  </si>
  <si>
    <t xml:space="preserve">P-1779</t>
  </si>
  <si>
    <t xml:space="preserve">HC-01120</t>
  </si>
  <si>
    <t xml:space="preserve">HC-01121</t>
  </si>
  <si>
    <t xml:space="preserve">HC-01122</t>
  </si>
  <si>
    <t xml:space="preserve">HC-01123</t>
  </si>
  <si>
    <t xml:space="preserve">P-1178</t>
  </si>
  <si>
    <t xml:space="preserve">HC-01124</t>
  </si>
  <si>
    <t xml:space="preserve">HC-01125</t>
  </si>
  <si>
    <t xml:space="preserve">P-0290</t>
  </si>
  <si>
    <t xml:space="preserve">HC-01126</t>
  </si>
  <si>
    <t xml:space="preserve">P-1452</t>
  </si>
  <si>
    <t xml:space="preserve">HC-01127</t>
  </si>
  <si>
    <t xml:space="preserve">P-0428</t>
  </si>
  <si>
    <t xml:space="preserve">HC-01128</t>
  </si>
  <si>
    <t xml:space="preserve">P-1645</t>
  </si>
  <si>
    <t xml:space="preserve">HC-01129</t>
  </si>
  <si>
    <t xml:space="preserve">HC-01130</t>
  </si>
  <si>
    <t xml:space="preserve">P-0258</t>
  </si>
  <si>
    <t xml:space="preserve">HC-01131</t>
  </si>
  <si>
    <t xml:space="preserve">HC-01132</t>
  </si>
  <si>
    <t xml:space="preserve">HC-01133</t>
  </si>
  <si>
    <t xml:space="preserve">P-1543</t>
  </si>
  <si>
    <t xml:space="preserve">HC-01134</t>
  </si>
  <si>
    <t xml:space="preserve">P-0256</t>
  </si>
  <si>
    <t xml:space="preserve">HC-01135</t>
  </si>
  <si>
    <t xml:space="preserve">HC-01136</t>
  </si>
  <si>
    <t xml:space="preserve">HC-01137</t>
  </si>
  <si>
    <t xml:space="preserve">P-1280</t>
  </si>
  <si>
    <t xml:space="preserve">HC-01138</t>
  </si>
  <si>
    <t xml:space="preserve">P-1096</t>
  </si>
  <si>
    <t xml:space="preserve">HC-01139</t>
  </si>
  <si>
    <t xml:space="preserve">HC-01140</t>
  </si>
  <si>
    <t xml:space="preserve">P-1690</t>
  </si>
  <si>
    <t xml:space="preserve">HC-01141</t>
  </si>
  <si>
    <t xml:space="preserve">HC-01142</t>
  </si>
  <si>
    <t xml:space="preserve">HC-01143</t>
  </si>
  <si>
    <t xml:space="preserve">HC-01144</t>
  </si>
  <si>
    <t xml:space="preserve">P-1628</t>
  </si>
  <si>
    <t xml:space="preserve">HC-01145</t>
  </si>
  <si>
    <t xml:space="preserve">HC-01146</t>
  </si>
  <si>
    <t xml:space="preserve">P-0480</t>
  </si>
  <si>
    <t xml:space="preserve">HC-01147</t>
  </si>
  <si>
    <t xml:space="preserve">HC-01148</t>
  </si>
  <si>
    <t xml:space="preserve">HC-01149</t>
  </si>
  <si>
    <t xml:space="preserve">P-1093</t>
  </si>
  <si>
    <t xml:space="preserve">HC-01150</t>
  </si>
  <si>
    <t xml:space="preserve">P-0421</t>
  </si>
  <si>
    <t xml:space="preserve">HC-01151</t>
  </si>
  <si>
    <t xml:space="preserve">P-0588</t>
  </si>
  <si>
    <t xml:space="preserve">HC-01152</t>
  </si>
  <si>
    <t xml:space="preserve">HC-01153</t>
  </si>
  <si>
    <t xml:space="preserve">HC-01154</t>
  </si>
  <si>
    <t xml:space="preserve">HC-01155</t>
  </si>
  <si>
    <t xml:space="preserve">P-0614</t>
  </si>
  <si>
    <t xml:space="preserve">HC-01156</t>
  </si>
  <si>
    <t xml:space="preserve">HC-01157</t>
  </si>
  <si>
    <t xml:space="preserve">HC-01158</t>
  </si>
  <si>
    <t xml:space="preserve">HC-01159</t>
  </si>
  <si>
    <t xml:space="preserve">HC-01160</t>
  </si>
  <si>
    <t xml:space="preserve">HC-01161</t>
  </si>
  <si>
    <t xml:space="preserve">P-0799</t>
  </si>
  <si>
    <t xml:space="preserve">HC-01162</t>
  </si>
  <si>
    <t xml:space="preserve">P-1332</t>
  </si>
  <si>
    <t xml:space="preserve">HC-01163</t>
  </si>
  <si>
    <t xml:space="preserve">HC-01164</t>
  </si>
  <si>
    <t xml:space="preserve">HC-01165</t>
  </si>
  <si>
    <t xml:space="preserve">P-0952</t>
  </si>
  <si>
    <t xml:space="preserve">HC-01166</t>
  </si>
  <si>
    <t xml:space="preserve">HC-01167</t>
  </si>
  <si>
    <t xml:space="preserve">HC-01168</t>
  </si>
  <si>
    <t xml:space="preserve">P-1510</t>
  </si>
  <si>
    <t xml:space="preserve">HC-01169</t>
  </si>
  <si>
    <t xml:space="preserve">P-0204</t>
  </si>
  <si>
    <t xml:space="preserve">HC-01170</t>
  </si>
  <si>
    <t xml:space="preserve">P-0625</t>
  </si>
  <si>
    <t xml:space="preserve">HC-01171</t>
  </si>
  <si>
    <t xml:space="preserve">HC-01172</t>
  </si>
  <si>
    <t xml:space="preserve">P-0938</t>
  </si>
  <si>
    <t xml:space="preserve">HC-01173</t>
  </si>
  <si>
    <t xml:space="preserve">HC-01174</t>
  </si>
  <si>
    <t xml:space="preserve">HC-01175</t>
  </si>
  <si>
    <t xml:space="preserve">HC-01176</t>
  </si>
  <si>
    <t xml:space="preserve">HC-01177</t>
  </si>
  <si>
    <t xml:space="preserve">P-0336</t>
  </si>
  <si>
    <t xml:space="preserve">HC-01178</t>
  </si>
  <si>
    <t xml:space="preserve">P-0847</t>
  </si>
  <si>
    <t xml:space="preserve">HC-01179</t>
  </si>
  <si>
    <t xml:space="preserve">P-1236</t>
  </si>
  <si>
    <t xml:space="preserve">HC-01180</t>
  </si>
  <si>
    <t xml:space="preserve">HC-01181</t>
  </si>
  <si>
    <t xml:space="preserve">HC-01182</t>
  </si>
  <si>
    <t xml:space="preserve">HC-01183</t>
  </si>
  <si>
    <t xml:space="preserve">HC-01184</t>
  </si>
  <si>
    <t xml:space="preserve">HC-01185</t>
  </si>
  <si>
    <t xml:space="preserve">P-0254</t>
  </si>
  <si>
    <t xml:space="preserve">HC-01186</t>
  </si>
  <si>
    <t xml:space="preserve">HC-01187</t>
  </si>
  <si>
    <t xml:space="preserve">HC-01188</t>
  </si>
  <si>
    <t xml:space="preserve">HC-01189</t>
  </si>
  <si>
    <t xml:space="preserve">P-0465</t>
  </si>
  <si>
    <t xml:space="preserve">HC-01190</t>
  </si>
  <si>
    <t xml:space="preserve">HC-01191</t>
  </si>
  <si>
    <t xml:space="preserve">P-0340</t>
  </si>
  <si>
    <t xml:space="preserve">HC-01192</t>
  </si>
  <si>
    <t xml:space="preserve">P-1165</t>
  </si>
  <si>
    <t xml:space="preserve">HC-01193</t>
  </si>
  <si>
    <t xml:space="preserve">P-1629</t>
  </si>
  <si>
    <t xml:space="preserve">HC-01194</t>
  </si>
  <si>
    <t xml:space="preserve">P-0160</t>
  </si>
  <si>
    <t xml:space="preserve">HC-01195</t>
  </si>
  <si>
    <t xml:space="preserve">P-0844</t>
  </si>
  <si>
    <t xml:space="preserve">HC-01196</t>
  </si>
  <si>
    <t xml:space="preserve">HC-01197</t>
  </si>
  <si>
    <t xml:space="preserve">HC-01198</t>
  </si>
  <si>
    <t xml:space="preserve">HC-01199</t>
  </si>
  <si>
    <t xml:space="preserve">HC-01200</t>
  </si>
  <si>
    <t xml:space="preserve">HC-01201</t>
  </si>
  <si>
    <t xml:space="preserve">P-1437</t>
  </si>
  <si>
    <t xml:space="preserve">HC-01202</t>
  </si>
  <si>
    <t xml:space="preserve">HC-01203</t>
  </si>
  <si>
    <t xml:space="preserve">P-1269</t>
  </si>
  <si>
    <t xml:space="preserve">HC-01204</t>
  </si>
  <si>
    <t xml:space="preserve">P-1789</t>
  </si>
  <si>
    <t xml:space="preserve">HC-01205</t>
  </si>
  <si>
    <t xml:space="preserve">P-1486</t>
  </si>
  <si>
    <t xml:space="preserve">HC-01206</t>
  </si>
  <si>
    <t xml:space="preserve">P-0459</t>
  </si>
  <si>
    <t xml:space="preserve">HC-01207</t>
  </si>
  <si>
    <t xml:space="preserve">HC-01208</t>
  </si>
  <si>
    <t xml:space="preserve">HC-01209</t>
  </si>
  <si>
    <t xml:space="preserve">HC-01210</t>
  </si>
  <si>
    <t xml:space="preserve">P-0762</t>
  </si>
  <si>
    <t xml:space="preserve">HC-01211</t>
  </si>
  <si>
    <t xml:space="preserve">HC-01212</t>
  </si>
  <si>
    <t xml:space="preserve">P-1218</t>
  </si>
  <si>
    <t xml:space="preserve">HC-01213</t>
  </si>
  <si>
    <t xml:space="preserve">P-0262</t>
  </si>
  <si>
    <t xml:space="preserve">HC-01214</t>
  </si>
  <si>
    <t xml:space="preserve">P-1293</t>
  </si>
  <si>
    <t xml:space="preserve">HC-01215</t>
  </si>
  <si>
    <t xml:space="preserve">P-1099</t>
  </si>
  <si>
    <t xml:space="preserve">HC-01216</t>
  </si>
  <si>
    <t xml:space="preserve">P-1494</t>
  </si>
  <si>
    <t xml:space="preserve">HC-01217</t>
  </si>
  <si>
    <t xml:space="preserve">P-0782</t>
  </si>
  <si>
    <t xml:space="preserve">HC-01218</t>
  </si>
  <si>
    <t xml:space="preserve">HC-01219</t>
  </si>
  <si>
    <t xml:space="preserve">P-0500</t>
  </si>
  <si>
    <t xml:space="preserve">HC-01220</t>
  </si>
  <si>
    <t xml:space="preserve">P-1514</t>
  </si>
  <si>
    <t xml:space="preserve">HC-01221</t>
  </si>
  <si>
    <t xml:space="preserve">HC-01222</t>
  </si>
  <si>
    <t xml:space="preserve">P-1207</t>
  </si>
  <si>
    <t xml:space="preserve">HC-01223</t>
  </si>
  <si>
    <t xml:space="preserve">P-0826</t>
  </si>
  <si>
    <t xml:space="preserve">HC-01224</t>
  </si>
  <si>
    <t xml:space="preserve">HC-01225</t>
  </si>
  <si>
    <t xml:space="preserve">HC-01226</t>
  </si>
  <si>
    <t xml:space="preserve">HC-01227</t>
  </si>
  <si>
    <t xml:space="preserve">HC-01228</t>
  </si>
  <si>
    <t xml:space="preserve">P-0456</t>
  </si>
  <si>
    <t xml:space="preserve">HC-01229</t>
  </si>
  <si>
    <t xml:space="preserve">HC-01230</t>
  </si>
  <si>
    <t xml:space="preserve">P-0136</t>
  </si>
  <si>
    <t xml:space="preserve">HC-01231</t>
  </si>
  <si>
    <t xml:space="preserve">P-0685</t>
  </si>
  <si>
    <t xml:space="preserve">HC-01232</t>
  </si>
  <si>
    <t xml:space="preserve">P-0798</t>
  </si>
  <si>
    <t xml:space="preserve">HC-01233</t>
  </si>
  <si>
    <t xml:space="preserve">P-0734</t>
  </si>
  <si>
    <t xml:space="preserve">HC-01234</t>
  </si>
  <si>
    <t xml:space="preserve">P-0963</t>
  </si>
  <si>
    <t xml:space="preserve">HC-01235</t>
  </si>
  <si>
    <t xml:space="preserve">P-0874</t>
  </si>
  <si>
    <t xml:space="preserve">HC-01236</t>
  </si>
  <si>
    <t xml:space="preserve">P-0842</t>
  </si>
  <si>
    <t xml:space="preserve">HC-01237</t>
  </si>
  <si>
    <t xml:space="preserve">P-0579</t>
  </si>
  <si>
    <t xml:space="preserve">HC-01238</t>
  </si>
  <si>
    <t xml:space="preserve">P-1383</t>
  </si>
  <si>
    <t xml:space="preserve">HC-01239</t>
  </si>
  <si>
    <t xml:space="preserve">P-0611</t>
  </si>
  <si>
    <t xml:space="preserve">HC-01240</t>
  </si>
  <si>
    <t xml:space="preserve">HC-01241</t>
  </si>
  <si>
    <t xml:space="preserve">HC-01242</t>
  </si>
  <si>
    <t xml:space="preserve">P-1462</t>
  </si>
  <si>
    <t xml:space="preserve">HC-01243</t>
  </si>
  <si>
    <t xml:space="preserve">HC-01244</t>
  </si>
  <si>
    <t xml:space="preserve">P-0873</t>
  </si>
  <si>
    <t xml:space="preserve">HC-01245</t>
  </si>
  <si>
    <t xml:space="preserve">HC-01246</t>
  </si>
  <si>
    <t xml:space="preserve">HC-01247</t>
  </si>
  <si>
    <t xml:space="preserve">P-1389</t>
  </si>
  <si>
    <t xml:space="preserve">HC-01248</t>
  </si>
  <si>
    <t xml:space="preserve">HC-01249</t>
  </si>
  <si>
    <t xml:space="preserve">HC-01250</t>
  </si>
  <si>
    <t xml:space="preserve">P-1610</t>
  </si>
  <si>
    <t xml:space="preserve">HC-01251</t>
  </si>
  <si>
    <t xml:space="preserve">P-0468</t>
  </si>
  <si>
    <t xml:space="preserve">HC-01252</t>
  </si>
  <si>
    <t xml:space="preserve">P-0573</t>
  </si>
  <si>
    <t xml:space="preserve">HC-01253</t>
  </si>
  <si>
    <t xml:space="preserve">HC-01254</t>
  </si>
  <si>
    <t xml:space="preserve">HC-01255</t>
  </si>
  <si>
    <t xml:space="preserve">P-0273</t>
  </si>
  <si>
    <t xml:space="preserve">HC-01256</t>
  </si>
  <si>
    <t xml:space="preserve">HC-01257</t>
  </si>
  <si>
    <t xml:space="preserve">HC-01258</t>
  </si>
  <si>
    <t xml:space="preserve">HC-01259</t>
  </si>
  <si>
    <t xml:space="preserve">HC-01260</t>
  </si>
  <si>
    <t xml:space="preserve">P-0448</t>
  </si>
  <si>
    <t xml:space="preserve">HC-01261</t>
  </si>
  <si>
    <t xml:space="preserve">HC-01262</t>
  </si>
  <si>
    <t xml:space="preserve">HC-01263</t>
  </si>
  <si>
    <t xml:space="preserve">P-0673</t>
  </si>
  <si>
    <t xml:space="preserve">HC-01264</t>
  </si>
  <si>
    <t xml:space="preserve">P-0492</t>
  </si>
  <si>
    <t xml:space="preserve">HC-01265</t>
  </si>
  <si>
    <t xml:space="preserve">P-0376</t>
  </si>
  <si>
    <t xml:space="preserve">HC-01266</t>
  </si>
  <si>
    <t xml:space="preserve">P-0807</t>
  </si>
  <si>
    <t xml:space="preserve">HC-01267</t>
  </si>
  <si>
    <t xml:space="preserve">HC-01268</t>
  </si>
  <si>
    <t xml:space="preserve">P-0122</t>
  </si>
  <si>
    <t xml:space="preserve">HC-01269</t>
  </si>
  <si>
    <t xml:space="preserve">P-0210</t>
  </si>
  <si>
    <t xml:space="preserve">HC-01270</t>
  </si>
  <si>
    <t xml:space="preserve">HC-01271</t>
  </si>
  <si>
    <t xml:space="preserve">HC-01272</t>
  </si>
  <si>
    <t xml:space="preserve">P-0396</t>
  </si>
  <si>
    <t xml:space="preserve">HC-01273</t>
  </si>
  <si>
    <t xml:space="preserve">P-0547</t>
  </si>
  <si>
    <t xml:space="preserve">HC-01274</t>
  </si>
  <si>
    <t xml:space="preserve">HC-01275</t>
  </si>
  <si>
    <t xml:space="preserve">HC-01276</t>
  </si>
  <si>
    <t xml:space="preserve">HC-01277</t>
  </si>
  <si>
    <t xml:space="preserve">P-0580</t>
  </si>
  <si>
    <t xml:space="preserve">HC-01278</t>
  </si>
  <si>
    <t xml:space="preserve">HC-01279</t>
  </si>
  <si>
    <t xml:space="preserve">P-0236</t>
  </si>
  <si>
    <t xml:space="preserve">HC-01280</t>
  </si>
  <si>
    <t xml:space="preserve">P-0641</t>
  </si>
  <si>
    <t xml:space="preserve">HC-01281</t>
  </si>
  <si>
    <t xml:space="preserve">HC-01282</t>
  </si>
  <si>
    <t xml:space="preserve">P-1358</t>
  </si>
  <si>
    <t xml:space="preserve">HC-01283</t>
  </si>
  <si>
    <t xml:space="preserve">HC-01284</t>
  </si>
  <si>
    <t xml:space="preserve">P-1762</t>
  </si>
  <si>
    <t xml:space="preserve">HC-01285</t>
  </si>
  <si>
    <t xml:space="preserve">HC-01286</t>
  </si>
  <si>
    <t xml:space="preserve">P-1700</t>
  </si>
  <si>
    <t xml:space="preserve">HC-01287</t>
  </si>
  <si>
    <t xml:space="preserve">HC-01288</t>
  </si>
  <si>
    <t xml:space="preserve">P-0398</t>
  </si>
  <si>
    <t xml:space="preserve">HC-01289</t>
  </si>
  <si>
    <t xml:space="preserve">HC-01290</t>
  </si>
  <si>
    <t xml:space="preserve">P-1676</t>
  </si>
  <si>
    <t xml:space="preserve">HC-01291</t>
  </si>
  <si>
    <t xml:space="preserve">HC-01292</t>
  </si>
  <si>
    <t xml:space="preserve">P-1555</t>
  </si>
  <si>
    <t xml:space="preserve">HC-01293</t>
  </si>
  <si>
    <t xml:space="preserve">HC-01294</t>
  </si>
  <si>
    <t xml:space="preserve">HC-01295</t>
  </si>
  <si>
    <t xml:space="preserve">HC-01296</t>
  </si>
  <si>
    <t xml:space="preserve">P-1749</t>
  </si>
  <si>
    <t xml:space="preserve">HC-01297</t>
  </si>
  <si>
    <t xml:space="preserve">HC-01298</t>
  </si>
  <si>
    <t xml:space="preserve">HC-01299</t>
  </si>
  <si>
    <t xml:space="preserve">HC-01300</t>
  </si>
  <si>
    <t xml:space="preserve">P-1336</t>
  </si>
  <si>
    <t xml:space="preserve">HC-01301</t>
  </si>
  <si>
    <t xml:space="preserve">HC-01302</t>
  </si>
  <si>
    <t xml:space="preserve">HC-01303</t>
  </si>
  <si>
    <t xml:space="preserve">HC-01304</t>
  </si>
  <si>
    <t xml:space="preserve">P-1783</t>
  </si>
  <si>
    <t xml:space="preserve">HC-01305</t>
  </si>
  <si>
    <t xml:space="preserve">HC-01306</t>
  </si>
  <si>
    <t xml:space="preserve">HC-01307</t>
  </si>
  <si>
    <t xml:space="preserve">HC-01308</t>
  </si>
  <si>
    <t xml:space="preserve">HC-01309</t>
  </si>
  <si>
    <t xml:space="preserve">P-0318</t>
  </si>
  <si>
    <t xml:space="preserve">HC-01310</t>
  </si>
  <si>
    <t xml:space="preserve">HC-01311</t>
  </si>
  <si>
    <t xml:space="preserve">P-1614</t>
  </si>
  <si>
    <t xml:space="preserve">HC-01312</t>
  </si>
  <si>
    <t xml:space="preserve">P-0900</t>
  </si>
  <si>
    <t xml:space="preserve">HC-01313</t>
  </si>
  <si>
    <t xml:space="preserve">P-1636</t>
  </si>
  <si>
    <t xml:space="preserve">HC-01314</t>
  </si>
  <si>
    <t xml:space="preserve">HC-01315</t>
  </si>
  <si>
    <t xml:space="preserve">HC-01316</t>
  </si>
  <si>
    <t xml:space="preserve">P-0801</t>
  </si>
  <si>
    <t xml:space="preserve">HC-01317</t>
  </si>
  <si>
    <t xml:space="preserve">P-1503</t>
  </si>
  <si>
    <t xml:space="preserve">HC-01318</t>
  </si>
  <si>
    <t xml:space="preserve">P-1750</t>
  </si>
  <si>
    <t xml:space="preserve">HC-01319</t>
  </si>
  <si>
    <t xml:space="preserve">P-0197</t>
  </si>
  <si>
    <t xml:space="preserve">HC-01320</t>
  </si>
  <si>
    <t xml:space="preserve">P-1337</t>
  </si>
  <si>
    <t xml:space="preserve">HC-01321</t>
  </si>
  <si>
    <t xml:space="preserve">HC-01322</t>
  </si>
  <si>
    <t xml:space="preserve">P-0985</t>
  </si>
  <si>
    <t xml:space="preserve">HC-01323</t>
  </si>
  <si>
    <t xml:space="preserve">HC-01324</t>
  </si>
  <si>
    <t xml:space="preserve">HC-01325</t>
  </si>
  <si>
    <t xml:space="preserve">HC-01326</t>
  </si>
  <si>
    <t xml:space="preserve">P-1246</t>
  </si>
  <si>
    <t xml:space="preserve">HC-01327</t>
  </si>
  <si>
    <t xml:space="preserve">P-0931</t>
  </si>
  <si>
    <t xml:space="preserve">HC-01328</t>
  </si>
  <si>
    <t xml:space="preserve">HC-01329</t>
  </si>
  <si>
    <t xml:space="preserve">HC-01330</t>
  </si>
  <si>
    <t xml:space="preserve">HC-01331</t>
  </si>
  <si>
    <t xml:space="preserve">HC-01332</t>
  </si>
  <si>
    <t xml:space="preserve">HC-01333</t>
  </si>
  <si>
    <t xml:space="preserve">HC-01334</t>
  </si>
  <si>
    <t xml:space="preserve">P-1106</t>
  </si>
  <si>
    <t xml:space="preserve">HC-01335</t>
  </si>
  <si>
    <t xml:space="preserve">P-1033</t>
  </si>
  <si>
    <t xml:space="preserve">HC-01336</t>
  </si>
  <si>
    <t xml:space="preserve">HC-01337</t>
  </si>
  <si>
    <t xml:space="preserve">HC-01338</t>
  </si>
  <si>
    <t xml:space="preserve">P-1355</t>
  </si>
  <si>
    <t xml:space="preserve">HC-01339</t>
  </si>
  <si>
    <t xml:space="preserve">P-0316</t>
  </si>
  <si>
    <t xml:space="preserve">HC-01340</t>
  </si>
  <si>
    <t xml:space="preserve">HC-01341</t>
  </si>
  <si>
    <t xml:space="preserve">P-0979</t>
  </si>
  <si>
    <t xml:space="preserve">HC-01342</t>
  </si>
  <si>
    <t xml:space="preserve">P-0992</t>
  </si>
  <si>
    <t xml:space="preserve">HC-01343</t>
  </si>
  <si>
    <t xml:space="preserve">P-1379</t>
  </si>
  <si>
    <t xml:space="preserve">HC-01344</t>
  </si>
  <si>
    <t xml:space="preserve">HC-01345</t>
  </si>
  <si>
    <t xml:space="preserve">HC-01346</t>
  </si>
  <si>
    <t xml:space="preserve">P-1687</t>
  </si>
  <si>
    <t xml:space="preserve">HC-01347</t>
  </si>
  <si>
    <t xml:space="preserve">P-0701</t>
  </si>
  <si>
    <t xml:space="preserve">HC-01348</t>
  </si>
  <si>
    <t xml:space="preserve">P-0872</t>
  </si>
  <si>
    <t xml:space="preserve">HC-01349</t>
  </si>
  <si>
    <t xml:space="preserve">HC-01350</t>
  </si>
  <si>
    <t xml:space="preserve">HC-01351</t>
  </si>
  <si>
    <t xml:space="preserve">P-0742</t>
  </si>
  <si>
    <t xml:space="preserve">HC-01352</t>
  </si>
  <si>
    <t xml:space="preserve">HC-01353</t>
  </si>
  <si>
    <t xml:space="preserve">P-0043</t>
  </si>
  <si>
    <t xml:space="preserve">HC-01354</t>
  </si>
  <si>
    <t xml:space="preserve">P-0287</t>
  </si>
  <si>
    <t xml:space="preserve">HC-01355</t>
  </si>
  <si>
    <t xml:space="preserve">P-0915</t>
  </si>
  <si>
    <t xml:space="preserve">HC-01356</t>
  </si>
  <si>
    <t xml:space="preserve">P-0716</t>
  </si>
  <si>
    <t xml:space="preserve">HC-01357</t>
  </si>
  <si>
    <t xml:space="preserve">HC-01358</t>
  </si>
  <si>
    <t xml:space="preserve">HC-01359</t>
  </si>
  <si>
    <t xml:space="preserve">HC-01360</t>
  </si>
  <si>
    <t xml:space="preserve">HC-01361</t>
  </si>
  <si>
    <t xml:space="preserve">HC-01362</t>
  </si>
  <si>
    <t xml:space="preserve">HC-01363</t>
  </si>
  <si>
    <t xml:space="preserve">HC-01364</t>
  </si>
  <si>
    <t xml:space="preserve">HC-01365</t>
  </si>
  <si>
    <t xml:space="preserve">P-1050</t>
  </si>
  <si>
    <t xml:space="preserve">HC-01366</t>
  </si>
  <si>
    <t xml:space="preserve">P-1790</t>
  </si>
  <si>
    <t xml:space="preserve">HC-01367</t>
  </si>
  <si>
    <t xml:space="preserve">P-1743</t>
  </si>
  <si>
    <t xml:space="preserve">HC-01368</t>
  </si>
  <si>
    <t xml:space="preserve">HC-01369</t>
  </si>
  <si>
    <t xml:space="preserve">HC-01370</t>
  </si>
  <si>
    <t xml:space="preserve">P-1446</t>
  </si>
  <si>
    <t xml:space="preserve">HC-01371</t>
  </si>
  <si>
    <t xml:space="preserve">P-1602</t>
  </si>
  <si>
    <t xml:space="preserve">HC-01372</t>
  </si>
  <si>
    <t xml:space="preserve">HC-01373</t>
  </si>
  <si>
    <t xml:space="preserve">HC-01374</t>
  </si>
  <si>
    <t xml:space="preserve">P-0233</t>
  </si>
  <si>
    <t xml:space="preserve">HC-01375</t>
  </si>
  <si>
    <t xml:space="preserve">P-1154</t>
  </si>
  <si>
    <t xml:space="preserve">HC-01376</t>
  </si>
  <si>
    <t xml:space="preserve">P-0408</t>
  </si>
  <si>
    <t xml:space="preserve">HC-01377</t>
  </si>
  <si>
    <t xml:space="preserve">P-1326</t>
  </si>
  <si>
    <t xml:space="preserve">HC-01378</t>
  </si>
  <si>
    <t xml:space="preserve">HC-01379</t>
  </si>
  <si>
    <t xml:space="preserve">P-1483</t>
  </si>
  <si>
    <t xml:space="preserve">HC-01380</t>
  </si>
  <si>
    <t xml:space="preserve">P-1128</t>
  </si>
  <si>
    <t xml:space="preserve">HC-01381</t>
  </si>
  <si>
    <t xml:space="preserve">HC-01382</t>
  </si>
  <si>
    <t xml:space="preserve">P-1497</t>
  </si>
  <si>
    <t xml:space="preserve">HC-01383</t>
  </si>
  <si>
    <t xml:space="preserve">P-1683</t>
  </si>
  <si>
    <t xml:space="preserve">HC-01384</t>
  </si>
  <si>
    <t xml:space="preserve">HC-01385</t>
  </si>
  <si>
    <t xml:space="preserve">HC-01386</t>
  </si>
  <si>
    <t xml:space="preserve">HC-01387</t>
  </si>
  <si>
    <t xml:space="preserve">P-1196</t>
  </si>
  <si>
    <t xml:space="preserve">HC-01388</t>
  </si>
  <si>
    <t xml:space="preserve">HC-01389</t>
  </si>
  <si>
    <t xml:space="preserve">P-0854</t>
  </si>
  <si>
    <t xml:space="preserve">HC-01390</t>
  </si>
  <si>
    <t xml:space="preserve">P-0063</t>
  </si>
  <si>
    <t xml:space="preserve">HC-01391</t>
  </si>
  <si>
    <t xml:space="preserve">P-0431</t>
  </si>
  <si>
    <t xml:space="preserve">HC-01392</t>
  </si>
  <si>
    <t xml:space="preserve">HC-01393</t>
  </si>
  <si>
    <t xml:space="preserve">HC-01394</t>
  </si>
  <si>
    <t xml:space="preserve">HC-01395</t>
  </si>
  <si>
    <t xml:space="preserve">HC-01396</t>
  </si>
  <si>
    <t xml:space="preserve">HC-01397</t>
  </si>
  <si>
    <t xml:space="preserve">P-1627</t>
  </si>
  <si>
    <t xml:space="preserve">HC-01398</t>
  </si>
  <si>
    <t xml:space="preserve">HC-01399</t>
  </si>
  <si>
    <t xml:space="preserve">HC-01400</t>
  </si>
  <si>
    <t xml:space="preserve">P-0354</t>
  </si>
  <si>
    <t xml:space="preserve">HC-01401</t>
  </si>
  <si>
    <t xml:space="preserve">P-0479</t>
  </si>
  <si>
    <t xml:space="preserve">HC-01402</t>
  </si>
  <si>
    <t xml:space="preserve">P-0828</t>
  </si>
  <si>
    <t xml:space="preserve">HC-01403</t>
  </si>
  <si>
    <t xml:space="preserve">HC-01404</t>
  </si>
  <si>
    <t xml:space="preserve">P-0991</t>
  </si>
  <si>
    <t xml:space="preserve">HC-01405</t>
  </si>
  <si>
    <t xml:space="preserve">HC-01406</t>
  </si>
  <si>
    <t xml:space="preserve">HC-01407</t>
  </si>
  <si>
    <t xml:space="preserve">P-1413</t>
  </si>
  <si>
    <t xml:space="preserve">HC-01408</t>
  </si>
  <si>
    <t xml:space="preserve">HC-01409</t>
  </si>
  <si>
    <t xml:space="preserve">P-1548</t>
  </si>
  <si>
    <t xml:space="preserve">HC-01410</t>
  </si>
  <si>
    <t xml:space="preserve">P-1740</t>
  </si>
  <si>
    <t xml:space="preserve">HC-01411</t>
  </si>
  <si>
    <t xml:space="preserve">P-1235</t>
  </si>
  <si>
    <t xml:space="preserve">HC-01412</t>
  </si>
  <si>
    <t xml:space="preserve">HC-01413</t>
  </si>
  <si>
    <t xml:space="preserve">P-1367</t>
  </si>
  <si>
    <t xml:space="preserve">HC-01414</t>
  </si>
  <si>
    <t xml:space="preserve">HC-01415</t>
  </si>
  <si>
    <t xml:space="preserve">HC-01416</t>
  </si>
  <si>
    <t xml:space="preserve">P-0268</t>
  </si>
  <si>
    <t xml:space="preserve">HC-01417</t>
  </si>
  <si>
    <t xml:space="preserve">HC-01418</t>
  </si>
  <si>
    <t xml:space="preserve">HC-01419</t>
  </si>
  <si>
    <t xml:space="preserve">P-1078</t>
  </si>
  <si>
    <t xml:space="preserve">HC-01420</t>
  </si>
  <si>
    <t xml:space="preserve">HC-01421</t>
  </si>
  <si>
    <t xml:space="preserve">P-1691</t>
  </si>
  <si>
    <t xml:space="preserve">HC-01422</t>
  </si>
  <si>
    <t xml:space="preserve">HC-01423</t>
  </si>
  <si>
    <t xml:space="preserve">HC-01424</t>
  </si>
  <si>
    <t xml:space="preserve">HC-01425</t>
  </si>
  <si>
    <t xml:space="preserve">P-0589</t>
  </si>
  <si>
    <t xml:space="preserve">HC-01426</t>
  </si>
  <si>
    <t xml:space="preserve">HC-01427</t>
  </si>
  <si>
    <t xml:space="preserve">HC-01428</t>
  </si>
  <si>
    <t xml:space="preserve">HC-01429</t>
  </si>
  <si>
    <t xml:space="preserve">P-0488</t>
  </si>
  <si>
    <t xml:space="preserve">HC-01430</t>
  </si>
  <si>
    <t xml:space="preserve">HC-01431</t>
  </si>
  <si>
    <t xml:space="preserve">P-1457</t>
  </si>
  <si>
    <t xml:space="preserve">HC-01432</t>
  </si>
  <si>
    <t xml:space="preserve">HC-01433</t>
  </si>
  <si>
    <t xml:space="preserve">HC-01434</t>
  </si>
  <si>
    <t xml:space="preserve">P-0731</t>
  </si>
  <si>
    <t xml:space="preserve">HC-01435</t>
  </si>
  <si>
    <t xml:space="preserve">P-1765</t>
  </si>
  <si>
    <t xml:space="preserve">HC-01436</t>
  </si>
  <si>
    <t xml:space="preserve">P-0509</t>
  </si>
  <si>
    <t xml:space="preserve">HC-01437</t>
  </si>
  <si>
    <t xml:space="preserve">P-1515</t>
  </si>
  <si>
    <t xml:space="preserve">HC-01438</t>
  </si>
  <si>
    <t xml:space="preserve">P-0271</t>
  </si>
  <si>
    <t xml:space="preserve">HC-01439</t>
  </si>
  <si>
    <t xml:space="preserve">HC-01440</t>
  </si>
  <si>
    <t xml:space="preserve">HC-01441</t>
  </si>
  <si>
    <t xml:space="preserve">HC-01442</t>
  </si>
  <si>
    <t xml:space="preserve">HC-01443</t>
  </si>
  <si>
    <t xml:space="preserve">HC-01444</t>
  </si>
  <si>
    <t xml:space="preserve">P-1081</t>
  </si>
  <si>
    <t xml:space="preserve">HC-01445</t>
  </si>
  <si>
    <t xml:space="preserve">HC-01446</t>
  </si>
  <si>
    <t xml:space="preserve">P-0393</t>
  </si>
  <si>
    <t xml:space="preserve">HC-01447</t>
  </si>
  <si>
    <t xml:space="preserve">P-1408</t>
  </si>
  <si>
    <t xml:space="preserve">HC-01448</t>
  </si>
  <si>
    <t xml:space="preserve">HC-01449</t>
  </si>
  <si>
    <t xml:space="preserve">HC-01450</t>
  </si>
  <si>
    <t xml:space="preserve">HC-01451</t>
  </si>
  <si>
    <t xml:space="preserve">P-0664</t>
  </si>
  <si>
    <t xml:space="preserve">HC-01452</t>
  </si>
  <si>
    <t xml:space="preserve">P-0281</t>
  </si>
  <si>
    <t xml:space="preserve">HC-01453</t>
  </si>
  <si>
    <t xml:space="preserve">P-0543</t>
  </si>
  <si>
    <t xml:space="preserve">HC-01454</t>
  </si>
  <si>
    <t xml:space="preserve">P-0327</t>
  </si>
  <si>
    <t xml:space="preserve">HC-01455</t>
  </si>
  <si>
    <t xml:space="preserve">HC-01456</t>
  </si>
  <si>
    <t xml:space="preserve">P-1231</t>
  </si>
  <si>
    <t xml:space="preserve">HC-01457</t>
  </si>
  <si>
    <t xml:space="preserve">P-0332</t>
  </si>
  <si>
    <t xml:space="preserve">HC-01458</t>
  </si>
  <si>
    <t xml:space="preserve">P-0512</t>
  </si>
  <si>
    <t xml:space="preserve">HC-01459</t>
  </si>
  <si>
    <t xml:space="preserve">HC-01460</t>
  </si>
  <si>
    <t xml:space="preserve">P-1588</t>
  </si>
  <si>
    <t xml:space="preserve">HC-01461</t>
  </si>
  <si>
    <t xml:space="preserve">HC-01462</t>
  </si>
  <si>
    <t xml:space="preserve">P-0166</t>
  </si>
  <si>
    <t xml:space="preserve">HC-01463</t>
  </si>
  <si>
    <t xml:space="preserve">P-1125</t>
  </si>
  <si>
    <t xml:space="preserve">HC-01464</t>
  </si>
  <si>
    <t xml:space="preserve">HC-01465</t>
  </si>
  <si>
    <t xml:space="preserve">HC-01466</t>
  </si>
  <si>
    <t xml:space="preserve">HC-01467</t>
  </si>
  <si>
    <t xml:space="preserve">HC-01468</t>
  </si>
  <si>
    <t xml:space="preserve">P-1652</t>
  </si>
  <si>
    <t xml:space="preserve">HC-01469</t>
  </si>
  <si>
    <t xml:space="preserve">HC-01470</t>
  </si>
  <si>
    <t xml:space="preserve">HC-01471</t>
  </si>
  <si>
    <t xml:space="preserve">P-0264</t>
  </si>
  <si>
    <t xml:space="preserve">HC-01472</t>
  </si>
  <si>
    <t xml:space="preserve">HC-01473</t>
  </si>
  <si>
    <t xml:space="preserve">P-0759</t>
  </si>
  <si>
    <t xml:space="preserve">HC-01474</t>
  </si>
  <si>
    <t xml:space="preserve">HC-01475</t>
  </si>
  <si>
    <t xml:space="preserve">P-0125</t>
  </si>
  <si>
    <t xml:space="preserve">HC-01476</t>
  </si>
  <si>
    <t xml:space="preserve">P-0606</t>
  </si>
  <si>
    <t xml:space="preserve">HC-01477</t>
  </si>
  <si>
    <t xml:space="preserve">HC-01478</t>
  </si>
  <si>
    <t xml:space="preserve">HC-01479</t>
  </si>
  <si>
    <t xml:space="preserve">HC-01480</t>
  </si>
  <si>
    <t xml:space="preserve">HC-01481</t>
  </si>
  <si>
    <t xml:space="preserve">HC-01482</t>
  </si>
  <si>
    <t xml:space="preserve">P-0695</t>
  </si>
  <si>
    <t xml:space="preserve">HC-01483</t>
  </si>
  <si>
    <t xml:space="preserve">HC-01484</t>
  </si>
  <si>
    <t xml:space="preserve">HC-01485</t>
  </si>
  <si>
    <t xml:space="preserve">HC-01486</t>
  </si>
  <si>
    <t xml:space="preserve">P-0505</t>
  </si>
  <si>
    <t xml:space="preserve">HC-01487</t>
  </si>
  <si>
    <t xml:space="preserve">P-0127</t>
  </si>
  <si>
    <t xml:space="preserve">HC-01488</t>
  </si>
  <si>
    <t xml:space="preserve">P-1577</t>
  </si>
  <si>
    <t xml:space="preserve">HC-01489</t>
  </si>
  <si>
    <t xml:space="preserve">P-1436</t>
  </si>
  <si>
    <t xml:space="preserve">HC-01490</t>
  </si>
  <si>
    <t xml:space="preserve">P-0098</t>
  </si>
  <si>
    <t xml:space="preserve">HC-01491</t>
  </si>
  <si>
    <t xml:space="preserve">P-0903</t>
  </si>
  <si>
    <t xml:space="preserve">HC-01492</t>
  </si>
  <si>
    <t xml:space="preserve">HC-01493</t>
  </si>
  <si>
    <t xml:space="preserve">HC-01494</t>
  </si>
  <si>
    <t xml:space="preserve">HC-01495</t>
  </si>
  <si>
    <t xml:space="preserve">HC-01496</t>
  </si>
  <si>
    <t xml:space="preserve">HC-01497</t>
  </si>
  <si>
    <t xml:space="preserve">P-1484</t>
  </si>
  <si>
    <t xml:space="preserve">HC-01498</t>
  </si>
  <si>
    <t xml:space="preserve">P-0470</t>
  </si>
  <si>
    <t xml:space="preserve">HC-01499</t>
  </si>
  <si>
    <t xml:space="preserve">HC-01500</t>
  </si>
  <si>
    <t xml:space="preserve">P-1406</t>
  </si>
  <si>
    <t xml:space="preserve">HC-01501</t>
  </si>
  <si>
    <t xml:space="preserve">HC-01502</t>
  </si>
  <si>
    <t xml:space="preserve">P-0455</t>
  </si>
  <si>
    <t xml:space="preserve">HC-01503</t>
  </si>
  <si>
    <t xml:space="preserve">P-0741</t>
  </si>
  <si>
    <t xml:space="preserve">HC-01504</t>
  </si>
  <si>
    <t xml:space="preserve">P-1622</t>
  </si>
  <si>
    <t xml:space="preserve">HC-01505</t>
  </si>
  <si>
    <t xml:space="preserve">HC-01506</t>
  </si>
  <si>
    <t xml:space="preserve">P-1272</t>
  </si>
  <si>
    <t xml:space="preserve">HC-01507</t>
  </si>
  <si>
    <t xml:space="preserve">P-0521</t>
  </si>
  <si>
    <t xml:space="preserve">HC-01508</t>
  </si>
  <si>
    <t xml:space="preserve">P-0527</t>
  </si>
  <si>
    <t xml:space="preserve">HC-01509</t>
  </si>
  <si>
    <t xml:space="preserve">HC-01510</t>
  </si>
  <si>
    <t xml:space="preserve">P-0118</t>
  </si>
  <si>
    <t xml:space="preserve">HC-01511</t>
  </si>
  <si>
    <t xml:space="preserve">P-0248</t>
  </si>
  <si>
    <t xml:space="preserve">HC-01512</t>
  </si>
  <si>
    <t xml:space="preserve">HC-01513</t>
  </si>
  <si>
    <t xml:space="preserve">P-0291</t>
  </si>
  <si>
    <t xml:space="preserve">HC-01514</t>
  </si>
  <si>
    <t xml:space="preserve">HC-01515</t>
  </si>
  <si>
    <t xml:space="preserve">HC-01516</t>
  </si>
  <si>
    <t xml:space="preserve">P-1487</t>
  </si>
  <si>
    <t xml:space="preserve">HC-01517</t>
  </si>
  <si>
    <t xml:space="preserve">P-1197</t>
  </si>
  <si>
    <t xml:space="preserve">HC-01518</t>
  </si>
  <si>
    <t xml:space="preserve">HC-01519</t>
  </si>
  <si>
    <t xml:space="preserve">P-0772</t>
  </si>
  <si>
    <t xml:space="preserve">HC-01520</t>
  </si>
  <si>
    <t xml:space="preserve">P-0721</t>
  </si>
  <si>
    <t xml:space="preserve">HC-01521</t>
  </si>
  <si>
    <t xml:space="preserve">HC-01522</t>
  </si>
  <si>
    <t xml:space="preserve">P-1647</t>
  </si>
  <si>
    <t xml:space="preserve">HC-01523</t>
  </si>
  <si>
    <t xml:space="preserve">HC-01524</t>
  </si>
  <si>
    <t xml:space="preserve">HC-01525</t>
  </si>
  <si>
    <t xml:space="preserve">P-0620</t>
  </si>
  <si>
    <t xml:space="preserve">HC-01526</t>
  </si>
  <si>
    <t xml:space="preserve">HC-01527</t>
  </si>
  <si>
    <t xml:space="preserve">HC-01528</t>
  </si>
  <si>
    <t xml:space="preserve">P-0329</t>
  </si>
  <si>
    <t xml:space="preserve">HC-01529</t>
  </si>
  <si>
    <t xml:space="preserve">P-1296</t>
  </si>
  <si>
    <t xml:space="preserve">HC-01530</t>
  </si>
  <si>
    <t xml:space="preserve">P-1531</t>
  </si>
  <si>
    <t xml:space="preserve">HC-01531</t>
  </si>
  <si>
    <t xml:space="preserve">HC-01532</t>
  </si>
  <si>
    <t xml:space="preserve">HC-01533</t>
  </si>
  <si>
    <t xml:space="preserve">P-1284</t>
  </si>
  <si>
    <t xml:space="preserve">HC-01534</t>
  </si>
  <si>
    <t xml:space="preserve">P-1411</t>
  </si>
  <si>
    <t xml:space="preserve">HC-01535</t>
  </si>
  <si>
    <t xml:space="preserve">HC-01536</t>
  </si>
  <si>
    <t xml:space="preserve">HC-01537</t>
  </si>
  <si>
    <t xml:space="preserve">P-0575</t>
  </si>
  <si>
    <t xml:space="preserve">HC-01538</t>
  </si>
  <si>
    <t xml:space="preserve">HC-01539</t>
  </si>
  <si>
    <t xml:space="preserve">HC-01540</t>
  </si>
  <si>
    <t xml:space="preserve">HC-01541</t>
  </si>
  <si>
    <t xml:space="preserve">HC-01542</t>
  </si>
  <si>
    <t xml:space="preserve">P-0247</t>
  </si>
  <si>
    <t xml:space="preserve">HC-01543</t>
  </si>
  <si>
    <t xml:space="preserve">HC-01544</t>
  </si>
  <si>
    <t xml:space="preserve">HC-01545</t>
  </si>
  <si>
    <t xml:space="preserve">HC-01546</t>
  </si>
  <si>
    <t xml:space="preserve">P-1101</t>
  </si>
  <si>
    <t xml:space="preserve">HC-01547</t>
  </si>
  <si>
    <t xml:space="preserve">HC-01548</t>
  </si>
  <si>
    <t xml:space="preserve">HC-01549</t>
  </si>
  <si>
    <t xml:space="preserve">HC-01550</t>
  </si>
  <si>
    <t xml:space="preserve">HC-01551</t>
  </si>
  <si>
    <t xml:space="preserve">P-1387</t>
  </si>
  <si>
    <t xml:space="preserve">HC-01552</t>
  </si>
  <si>
    <t xml:space="preserve">HC-01553</t>
  </si>
  <si>
    <t xml:space="preserve">P-0946</t>
  </si>
  <si>
    <t xml:space="preserve">HC-01554</t>
  </si>
  <si>
    <t xml:space="preserve">HC-01555</t>
  </si>
  <si>
    <t xml:space="preserve">HC-01556</t>
  </si>
  <si>
    <t xml:space="preserve">HC-01557</t>
  </si>
  <si>
    <t xml:space="preserve">HC-01558</t>
  </si>
  <si>
    <t xml:space="preserve">P-1385</t>
  </si>
  <si>
    <t xml:space="preserve">HC-01559</t>
  </si>
  <si>
    <t xml:space="preserve">HC-01560</t>
  </si>
  <si>
    <t xml:space="preserve">HC-01561</t>
  </si>
  <si>
    <t xml:space="preserve">P-0347</t>
  </si>
  <si>
    <t xml:space="preserve">HC-01562</t>
  </si>
  <si>
    <t xml:space="preserve">HC-01563</t>
  </si>
  <si>
    <t xml:space="preserve">P-0473</t>
  </si>
  <si>
    <t xml:space="preserve">HC-01564</t>
  </si>
  <si>
    <t xml:space="preserve">P-0142</t>
  </si>
  <si>
    <t xml:space="preserve">HC-01565</t>
  </si>
  <si>
    <t xml:space="preserve">HC-01566</t>
  </si>
  <si>
    <t xml:space="preserve">HC-01567</t>
  </si>
  <si>
    <t xml:space="preserve">HC-01568</t>
  </si>
  <si>
    <t xml:space="preserve">HC-01569</t>
  </si>
  <si>
    <t xml:space="preserve">HC-01570</t>
  </si>
  <si>
    <t xml:space="preserve">HC-01571</t>
  </si>
  <si>
    <t xml:space="preserve">HC-01572</t>
  </si>
  <si>
    <t xml:space="preserve">P-0153</t>
  </si>
  <si>
    <t xml:space="preserve">HC-01573</t>
  </si>
  <si>
    <t xml:space="preserve">P-0187</t>
  </si>
  <si>
    <t xml:space="preserve">HC-01574</t>
  </si>
  <si>
    <t xml:space="preserve">P-0441</t>
  </si>
  <si>
    <t xml:space="preserve">HC-01575</t>
  </si>
  <si>
    <t xml:space="preserve">HC-01576</t>
  </si>
  <si>
    <t xml:space="preserve">P-1538</t>
  </si>
  <si>
    <t xml:space="preserve">HC-01577</t>
  </si>
  <si>
    <t xml:space="preserve">P-1537</t>
  </si>
  <si>
    <t xml:space="preserve">HC-01578</t>
  </si>
  <si>
    <t xml:space="preserve">HC-01579</t>
  </si>
  <si>
    <t xml:space="preserve">HC-01580</t>
  </si>
  <si>
    <t xml:space="preserve">HC-01581</t>
  </si>
  <si>
    <t xml:space="preserve">P-0957</t>
  </si>
  <si>
    <t xml:space="preserve">HC-01582</t>
  </si>
  <si>
    <t xml:space="preserve">P-1511</t>
  </si>
  <si>
    <t xml:space="preserve">HC-01583</t>
  </si>
  <si>
    <t xml:space="preserve">HC-01584</t>
  </si>
  <si>
    <t xml:space="preserve">P-1059</t>
  </si>
  <si>
    <t xml:space="preserve">HC-01585</t>
  </si>
  <si>
    <t xml:space="preserve">HC-01586</t>
  </si>
  <si>
    <t xml:space="preserve">HC-01587</t>
  </si>
  <si>
    <t xml:space="preserve">P-1271</t>
  </si>
  <si>
    <t xml:space="preserve">HC-01588</t>
  </si>
  <si>
    <t xml:space="preserve">P-0529</t>
  </si>
  <si>
    <t xml:space="preserve">HC-01589</t>
  </si>
  <si>
    <t xml:space="preserve">HC-01590</t>
  </si>
  <si>
    <t xml:space="preserve">P-0719</t>
  </si>
  <si>
    <t xml:space="preserve">HC-01591</t>
  </si>
  <si>
    <t xml:space="preserve">HC-01592</t>
  </si>
  <si>
    <t xml:space="preserve">HC-01593</t>
  </si>
  <si>
    <t xml:space="preserve">P-0383</t>
  </si>
  <si>
    <t xml:space="preserve">HC-01594</t>
  </si>
  <si>
    <t xml:space="preserve">P-1170</t>
  </si>
  <si>
    <t xml:space="preserve">HC-01595</t>
  </si>
  <si>
    <t xml:space="preserve">HC-01596</t>
  </si>
  <si>
    <t xml:space="preserve">P-0061</t>
  </si>
  <si>
    <t xml:space="preserve">HC-01597</t>
  </si>
  <si>
    <t xml:space="preserve">P-1085</t>
  </si>
  <si>
    <t xml:space="preserve">HC-01598</t>
  </si>
  <si>
    <t xml:space="preserve">P-1603</t>
  </si>
  <si>
    <t xml:space="preserve">HC-01599</t>
  </si>
  <si>
    <t xml:space="preserve">HC-01600</t>
  </si>
  <si>
    <t xml:space="preserve">P-1364</t>
  </si>
  <si>
    <t xml:space="preserve">HC-01601</t>
  </si>
  <si>
    <t xml:space="preserve">HC-01602</t>
  </si>
  <si>
    <t xml:space="preserve">P-0619</t>
  </si>
  <si>
    <t xml:space="preserve">HC-01603</t>
  </si>
  <si>
    <t xml:space="preserve">P-1127</t>
  </si>
  <si>
    <t xml:space="preserve">HC-01604</t>
  </si>
  <si>
    <t xml:space="preserve">HC-01605</t>
  </si>
  <si>
    <t xml:space="preserve">P-0576</t>
  </si>
  <si>
    <t xml:space="preserve">HC-01606</t>
  </si>
  <si>
    <t xml:space="preserve">HC-01607</t>
  </si>
  <si>
    <t xml:space="preserve">HC-01608</t>
  </si>
  <si>
    <t xml:space="preserve">P-1714</t>
  </si>
  <si>
    <t xml:space="preserve">HC-01609</t>
  </si>
  <si>
    <t xml:space="preserve">HC-01610</t>
  </si>
  <si>
    <t xml:space="preserve">HC-01611</t>
  </si>
  <si>
    <t xml:space="preserve">HC-01612</t>
  </si>
  <si>
    <t xml:space="preserve">HC-01613</t>
  </si>
  <si>
    <t xml:space="preserve">P-0890</t>
  </si>
  <si>
    <t xml:space="preserve">HC-01614</t>
  </si>
  <si>
    <t xml:space="preserve">HC-01615</t>
  </si>
  <si>
    <t xml:space="preserve">P-1011</t>
  </si>
  <si>
    <t xml:space="preserve">HC-01616</t>
  </si>
  <si>
    <t xml:space="preserve">HC-01617</t>
  </si>
  <si>
    <t xml:space="preserve">HC-01618</t>
  </si>
  <si>
    <t xml:space="preserve">HC-01619</t>
  </si>
  <si>
    <t xml:space="preserve">P-1625</t>
  </si>
  <si>
    <t xml:space="preserve">HC-01620</t>
  </si>
  <si>
    <t xml:space="preserve">HC-01621</t>
  </si>
  <si>
    <t xml:space="preserve">P-0750</t>
  </si>
  <si>
    <t xml:space="preserve">HC-01622</t>
  </si>
  <si>
    <t xml:space="preserve">HC-01623</t>
  </si>
  <si>
    <t xml:space="preserve">HC-01624</t>
  </si>
  <si>
    <t xml:space="preserve">P-0184</t>
  </si>
  <si>
    <t xml:space="preserve">HC-01625</t>
  </si>
  <si>
    <t xml:space="preserve">P-0311</t>
  </si>
  <si>
    <t xml:space="preserve">HC-01626</t>
  </si>
  <si>
    <t xml:space="preserve">HC-01627</t>
  </si>
  <si>
    <t xml:space="preserve">HC-01628</t>
  </si>
  <si>
    <t xml:space="preserve">HC-01629</t>
  </si>
  <si>
    <t xml:space="preserve">HC-01630</t>
  </si>
  <si>
    <t xml:space="preserve">P-0222</t>
  </si>
  <si>
    <t xml:space="preserve">HC-01631</t>
  </si>
  <si>
    <t xml:space="preserve">P-0814</t>
  </si>
  <si>
    <t xml:space="preserve">HC-01632</t>
  </si>
  <si>
    <t xml:space="preserve">HC-01633</t>
  </si>
  <si>
    <t xml:space="preserve">P-0508</t>
  </si>
  <si>
    <t xml:space="preserve">HC-01634</t>
  </si>
  <si>
    <t xml:space="preserve">HC-01635</t>
  </si>
  <si>
    <t xml:space="preserve">P-1028</t>
  </si>
  <si>
    <t xml:space="preserve">HC-01636</t>
  </si>
  <si>
    <t xml:space="preserve">P-0815</t>
  </si>
  <si>
    <t xml:space="preserve">HC-01637</t>
  </si>
  <si>
    <t xml:space="preserve">HC-01638</t>
  </si>
  <si>
    <t xml:space="preserve">P-0366</t>
  </si>
  <si>
    <t xml:space="preserve">HC-01639</t>
  </si>
  <si>
    <t xml:space="preserve">HC-01640</t>
  </si>
  <si>
    <t xml:space="preserve">P-1220</t>
  </si>
  <si>
    <t xml:space="preserve">HC-01641</t>
  </si>
  <si>
    <t xml:space="preserve">HC-01642</t>
  </si>
  <si>
    <t xml:space="preserve">HC-01643</t>
  </si>
  <si>
    <t xml:space="preserve">HC-01644</t>
  </si>
  <si>
    <t xml:space="preserve">P-0774</t>
  </si>
  <si>
    <t xml:space="preserve">HC-01645</t>
  </si>
  <si>
    <t xml:space="preserve">HC-01646</t>
  </si>
  <si>
    <t xml:space="preserve">HC-01647</t>
  </si>
  <si>
    <t xml:space="preserve">HC-01648</t>
  </si>
  <si>
    <t xml:space="preserve">P-0502</t>
  </si>
  <si>
    <t xml:space="preserve">HC-01649</t>
  </si>
  <si>
    <t xml:space="preserve">P-1643</t>
  </si>
  <si>
    <t xml:space="preserve">HC-01650</t>
  </si>
  <si>
    <t xml:space="preserve">P-0356</t>
  </si>
  <si>
    <t xml:space="preserve">HC-01651</t>
  </si>
  <si>
    <t xml:space="preserve">HC-01652</t>
  </si>
  <si>
    <t xml:space="preserve">HC-01653</t>
  </si>
  <si>
    <t xml:space="preserve">HC-01654</t>
  </si>
  <si>
    <t xml:space="preserve">HC-01655</t>
  </si>
  <si>
    <t xml:space="preserve">HC-01656</t>
  </si>
  <si>
    <t xml:space="preserve">HC-01657</t>
  </si>
  <si>
    <t xml:space="preserve">HC-01658</t>
  </si>
  <si>
    <t xml:space="preserve">HC-01659</t>
  </si>
  <si>
    <t xml:space="preserve">P-0121</t>
  </si>
  <si>
    <t xml:space="preserve">HC-01660</t>
  </si>
  <si>
    <t xml:space="preserve">HC-01661</t>
  </si>
  <si>
    <t xml:space="preserve">P-1488</t>
  </si>
  <si>
    <t xml:space="preserve">HC-01662</t>
  </si>
  <si>
    <t xml:space="preserve">P-1353</t>
  </si>
  <si>
    <t xml:space="preserve">HC-01663</t>
  </si>
  <si>
    <t xml:space="preserve">HC-01664</t>
  </si>
  <si>
    <t xml:space="preserve">P-0694</t>
  </si>
  <si>
    <t xml:space="preserve">HC-01665</t>
  </si>
  <si>
    <t xml:space="preserve">HC-01666</t>
  </si>
  <si>
    <t xml:space="preserve">HC-01667</t>
  </si>
  <si>
    <t xml:space="preserve">HC-01668</t>
  </si>
  <si>
    <t xml:space="preserve">P-1621</t>
  </si>
  <si>
    <t xml:space="preserve">HC-01669</t>
  </si>
  <si>
    <t xml:space="preserve">HC-01670</t>
  </si>
  <si>
    <t xml:space="preserve">P-0207</t>
  </si>
  <si>
    <t xml:space="preserve">HC-01671</t>
  </si>
  <si>
    <t xml:space="preserve">HC-01672</t>
  </si>
  <si>
    <t xml:space="preserve">P-0796</t>
  </si>
  <si>
    <t xml:space="preserve">HC-01673</t>
  </si>
  <si>
    <t xml:space="preserve">HC-01674</t>
  </si>
  <si>
    <t xml:space="preserve">HC-01675</t>
  </si>
  <si>
    <t xml:space="preserve">HC-01676</t>
  </si>
  <si>
    <t xml:space="preserve">HC-01677</t>
  </si>
  <si>
    <t xml:space="preserve">HC-01678</t>
  </si>
  <si>
    <t xml:space="preserve">P-0279</t>
  </si>
  <si>
    <t xml:space="preserve">HC-01679</t>
  </si>
  <si>
    <t xml:space="preserve">HC-01680</t>
  </si>
  <si>
    <t xml:space="preserve">P-0449</t>
  </si>
  <si>
    <t xml:space="preserve">HC-01681</t>
  </si>
  <si>
    <t xml:space="preserve">HC-01682</t>
  </si>
  <si>
    <t xml:space="preserve">HC-01683</t>
  </si>
  <si>
    <t xml:space="preserve">P-0478</t>
  </si>
  <si>
    <t xml:space="preserve">HC-01684</t>
  </si>
  <si>
    <t xml:space="preserve">HC-01685</t>
  </si>
  <si>
    <t xml:space="preserve">HC-01686</t>
  </si>
  <si>
    <t xml:space="preserve">P-1694</t>
  </si>
  <si>
    <t xml:space="preserve">HC-01687</t>
  </si>
  <si>
    <t xml:space="preserve">P-1194</t>
  </si>
  <si>
    <t xml:space="preserve">HC-01688</t>
  </si>
  <si>
    <t xml:space="preserve">HC-01689</t>
  </si>
  <si>
    <t xml:space="preserve">HC-01690</t>
  </si>
  <si>
    <t xml:space="preserve">HC-01691</t>
  </si>
  <si>
    <t xml:space="preserve">HC-01692</t>
  </si>
  <si>
    <t xml:space="preserve">HC-01693</t>
  </si>
  <si>
    <t xml:space="preserve">HC-01694</t>
  </si>
  <si>
    <t xml:space="preserve">HC-01695</t>
  </si>
  <si>
    <t xml:space="preserve">HC-01696</t>
  </si>
  <si>
    <t xml:space="preserve">HC-01697</t>
  </si>
  <si>
    <t xml:space="preserve">HC-01698</t>
  </si>
  <si>
    <t xml:space="preserve">P-1738</t>
  </si>
  <si>
    <t xml:space="preserve">HC-01699</t>
  </si>
  <si>
    <t xml:space="preserve">P-0377</t>
  </si>
  <si>
    <t xml:space="preserve">HC-01700</t>
  </si>
  <si>
    <t xml:space="preserve">P-1061</t>
  </si>
  <si>
    <t xml:space="preserve">HC-01701</t>
  </si>
  <si>
    <t xml:space="preserve">HC-01702</t>
  </si>
  <si>
    <t xml:space="preserve">HC-01703</t>
  </si>
  <si>
    <t xml:space="preserve">P-0809</t>
  </si>
  <si>
    <t xml:space="preserve">HC-01704</t>
  </si>
  <si>
    <t xml:space="preserve">HC-01705</t>
  </si>
  <si>
    <t xml:space="preserve">P-1443</t>
  </si>
  <si>
    <t xml:space="preserve">HC-01706</t>
  </si>
  <si>
    <t xml:space="preserve">P-1753</t>
  </si>
  <si>
    <t xml:space="preserve">HC-01707</t>
  </si>
  <si>
    <t xml:space="preserve">P-1710</t>
  </si>
  <si>
    <t xml:space="preserve">HC-01708</t>
  </si>
  <si>
    <t xml:space="preserve">HC-01709</t>
  </si>
  <si>
    <t xml:space="preserve">P-0621</t>
  </si>
  <si>
    <t xml:space="preserve">HC-01710</t>
  </si>
  <si>
    <t xml:space="preserve">HC-01711</t>
  </si>
  <si>
    <t xml:space="preserve">P-1507</t>
  </si>
  <si>
    <t xml:space="preserve">HC-01712</t>
  </si>
  <si>
    <t xml:space="preserve">P-1455</t>
  </si>
  <si>
    <t xml:space="preserve">HC-01713</t>
  </si>
  <si>
    <t xml:space="preserve">P-1007</t>
  </si>
  <si>
    <t xml:space="preserve">HC-01714</t>
  </si>
  <si>
    <t xml:space="preserve">HC-01715</t>
  </si>
  <si>
    <t xml:space="preserve">HC-01716</t>
  </si>
  <si>
    <t xml:space="preserve">P-0023</t>
  </si>
  <si>
    <t xml:space="preserve">HC-01717</t>
  </si>
  <si>
    <t xml:space="preserve">HC-01718</t>
  </si>
  <si>
    <t xml:space="preserve">P-1720</t>
  </si>
  <si>
    <t xml:space="preserve">HC-01719</t>
  </si>
  <si>
    <t xml:space="preserve">HC-01720</t>
  </si>
  <si>
    <t xml:space="preserve">P-0384</t>
  </si>
  <si>
    <t xml:space="preserve">HC-01721</t>
  </si>
  <si>
    <t xml:space="preserve">P-0070</t>
  </si>
  <si>
    <t xml:space="preserve">HC-01722</t>
  </si>
  <si>
    <t xml:space="preserve">P-0191</t>
  </si>
  <si>
    <t xml:space="preserve">HC-01723</t>
  </si>
  <si>
    <t xml:space="preserve">P-0602</t>
  </si>
  <si>
    <t xml:space="preserve">HC-01724</t>
  </si>
  <si>
    <t xml:space="preserve">HC-01725</t>
  </si>
  <si>
    <t xml:space="preserve">P-0076</t>
  </si>
  <si>
    <t xml:space="preserve">HC-01726</t>
  </si>
  <si>
    <t xml:space="preserve">P-0676</t>
  </si>
  <si>
    <t xml:space="preserve">HC-01727</t>
  </si>
  <si>
    <t xml:space="preserve">HC-01728</t>
  </si>
  <si>
    <t xml:space="preserve">HC-01729</t>
  </si>
  <si>
    <t xml:space="preserve">HC-01730</t>
  </si>
  <si>
    <t xml:space="preserve">P-1677</t>
  </si>
  <si>
    <t xml:space="preserve">HC-01731</t>
  </si>
  <si>
    <t xml:space="preserve">P-1540</t>
  </si>
  <si>
    <t xml:space="preserve">HC-01732</t>
  </si>
  <si>
    <t xml:space="preserve">HC-01733</t>
  </si>
  <si>
    <t xml:space="preserve">HC-01734</t>
  </si>
  <si>
    <t xml:space="preserve">HC-01735</t>
  </si>
  <si>
    <t xml:space="preserve">P-1190</t>
  </si>
  <si>
    <t xml:space="preserve">HC-01736</t>
  </si>
  <si>
    <t xml:space="preserve">P-0071</t>
  </si>
  <si>
    <t xml:space="preserve">HC-01737</t>
  </si>
  <si>
    <t xml:space="preserve">HC-01738</t>
  </si>
  <si>
    <t xml:space="preserve">P-0498</t>
  </si>
  <si>
    <t xml:space="preserve">HC-01739</t>
  </si>
  <si>
    <t xml:space="preserve">HC-01740</t>
  </si>
  <si>
    <t xml:space="preserve">HC-01741</t>
  </si>
  <si>
    <t xml:space="preserve">HC-01742</t>
  </si>
  <si>
    <t xml:space="preserve">HC-01743</t>
  </si>
  <si>
    <t xml:space="preserve">HC-01744</t>
  </si>
  <si>
    <t xml:space="preserve">P-1672</t>
  </si>
  <si>
    <t xml:space="preserve">HC-01745</t>
  </si>
  <si>
    <t xml:space="preserve">HC-01746</t>
  </si>
  <si>
    <t xml:space="preserve">HC-01747</t>
  </si>
  <si>
    <t xml:space="preserve">P-0670</t>
  </si>
  <si>
    <t xml:space="preserve">HC-01748</t>
  </si>
  <si>
    <t xml:space="preserve">HC-01749</t>
  </si>
  <si>
    <t xml:space="preserve">HC-01750</t>
  </si>
  <si>
    <t xml:space="preserve">P-0735</t>
  </si>
  <si>
    <t xml:space="preserve">HC-01751</t>
  </si>
  <si>
    <t xml:space="preserve">HC-01752</t>
  </si>
  <si>
    <t xml:space="preserve">HC-01753</t>
  </si>
  <si>
    <t xml:space="preserve">HC-01754</t>
  </si>
  <si>
    <t xml:space="preserve">HC-01755</t>
  </si>
  <si>
    <t xml:space="preserve">HC-01756</t>
  </si>
  <si>
    <t xml:space="preserve">P-0272</t>
  </si>
  <si>
    <t xml:space="preserve">HC-01757</t>
  </si>
  <si>
    <t xml:space="preserve">HC-01758</t>
  </si>
  <si>
    <t xml:space="preserve">HC-01759</t>
  </si>
  <si>
    <t xml:space="preserve">HC-01760</t>
  </si>
  <si>
    <t xml:space="preserve">HC-01761</t>
  </si>
  <si>
    <t xml:space="preserve">HC-01762</t>
  </si>
  <si>
    <t xml:space="preserve">P-1283</t>
  </si>
  <si>
    <t xml:space="preserve">HC-01763</t>
  </si>
  <si>
    <t xml:space="preserve">P-0328</t>
  </si>
  <si>
    <t xml:space="preserve">HC-01764</t>
  </si>
  <si>
    <t xml:space="preserve">HC-01765</t>
  </si>
  <si>
    <t xml:space="preserve">P-0238</t>
  </si>
  <si>
    <t xml:space="preserve">HC-01766</t>
  </si>
  <si>
    <t xml:space="preserve">HC-01767</t>
  </si>
  <si>
    <t xml:space="preserve">P-0646</t>
  </si>
  <si>
    <t xml:space="preserve">HC-01768</t>
  </si>
  <si>
    <t xml:space="preserve">HC-01769</t>
  </si>
  <si>
    <t xml:space="preserve">HC-01770</t>
  </si>
  <si>
    <t xml:space="preserve">P-0555</t>
  </si>
  <si>
    <t xml:space="preserve">HC-01771</t>
  </si>
  <si>
    <t xml:space="preserve">HC-01772</t>
  </si>
  <si>
    <t xml:space="preserve">HC-01773</t>
  </si>
  <si>
    <t xml:space="preserve">HC-01774</t>
  </si>
  <si>
    <t xml:space="preserve">P-1426</t>
  </si>
  <si>
    <t xml:space="preserve">HC-01775</t>
  </si>
  <si>
    <t xml:space="preserve">HC-01776</t>
  </si>
  <si>
    <t xml:space="preserve">HC-01777</t>
  </si>
  <si>
    <t xml:space="preserve">P-0978</t>
  </si>
  <si>
    <t xml:space="preserve">HC-01778</t>
  </si>
  <si>
    <t xml:space="preserve">HC-01779</t>
  </si>
  <si>
    <t xml:space="preserve">P-0779</t>
  </si>
  <si>
    <t xml:space="preserve">HC-01780</t>
  </si>
  <si>
    <t xml:space="preserve">HC-01781</t>
  </si>
  <si>
    <t xml:space="preserve">HC-01782</t>
  </si>
  <si>
    <t xml:space="preserve">P-0660</t>
  </si>
  <si>
    <t xml:space="preserve">HC-01783</t>
  </si>
  <si>
    <t xml:space="preserve">HC-01784</t>
  </si>
  <si>
    <t xml:space="preserve">HC-01785</t>
  </si>
  <si>
    <t xml:space="preserve">HC-01786</t>
  </si>
  <si>
    <t xml:space="preserve">P-1604</t>
  </si>
  <si>
    <t xml:space="preserve">HC-01787</t>
  </si>
  <si>
    <t xml:space="preserve">HC-01788</t>
  </si>
  <si>
    <t xml:space="preserve">HC-01789</t>
  </si>
  <si>
    <t xml:space="preserve">P-1153</t>
  </si>
  <si>
    <t xml:space="preserve">HC-01790</t>
  </si>
  <si>
    <t xml:space="preserve">HC-01791</t>
  </si>
  <si>
    <t xml:space="preserve">P-0848</t>
  </si>
  <si>
    <t xml:space="preserve">HC-01792</t>
  </si>
  <si>
    <t xml:space="preserve">HC-01793</t>
  </si>
  <si>
    <t xml:space="preserve">HC-01794</t>
  </si>
  <si>
    <t xml:space="preserve">HC-01795</t>
  </si>
  <si>
    <t xml:space="preserve">HC-01796</t>
  </si>
  <si>
    <t xml:space="preserve">P-0860</t>
  </si>
  <si>
    <t xml:space="preserve">HC-01797</t>
  </si>
  <si>
    <t xml:space="preserve">P-1210</t>
  </si>
  <si>
    <t xml:space="preserve">HC-01798</t>
  </si>
  <si>
    <t xml:space="preserve">HC-01799</t>
  </si>
  <si>
    <t xml:space="preserve">P-0712</t>
  </si>
  <si>
    <t xml:space="preserve">HC-01800</t>
  </si>
  <si>
    <t xml:space="preserve">HC-01801</t>
  </si>
  <si>
    <t xml:space="preserve">HC-01802</t>
  </si>
  <si>
    <t xml:space="preserve">P-0406</t>
  </si>
  <si>
    <t xml:space="preserve">HC-01803</t>
  </si>
  <si>
    <t xml:space="preserve">HC-01804</t>
  </si>
  <si>
    <t xml:space="preserve">HC-01805</t>
  </si>
  <si>
    <t xml:space="preserve">HC-01806</t>
  </si>
  <si>
    <t xml:space="preserve">HC-01807</t>
  </si>
  <si>
    <t xml:space="preserve">P-1198</t>
  </si>
  <si>
    <t xml:space="preserve">HC-01808</t>
  </si>
  <si>
    <t xml:space="preserve">HC-01809</t>
  </si>
  <si>
    <t xml:space="preserve">HC-01810</t>
  </si>
  <si>
    <t xml:space="preserve">HC-01811</t>
  </si>
  <si>
    <t xml:space="preserve">HC-01812</t>
  </si>
  <si>
    <t xml:space="preserve">HC-01813</t>
  </si>
  <si>
    <t xml:space="preserve">P-0402</t>
  </si>
  <si>
    <t xml:space="preserve">HC-01814</t>
  </si>
  <si>
    <t xml:space="preserve">HC-01815</t>
  </si>
  <si>
    <t xml:space="preserve">HC-01816</t>
  </si>
  <si>
    <t xml:space="preserve">P-0770</t>
  </si>
  <si>
    <t xml:space="preserve">HC-01817</t>
  </si>
  <si>
    <t xml:space="preserve">HC-01818</t>
  </si>
  <si>
    <t xml:space="preserve">HC-01819</t>
  </si>
  <si>
    <t xml:space="preserve">P-0939</t>
  </si>
  <si>
    <t xml:space="preserve">HC-01820</t>
  </si>
  <si>
    <t xml:space="preserve">HC-01821</t>
  </si>
  <si>
    <t xml:space="preserve">HC-01822</t>
  </si>
  <si>
    <t xml:space="preserve">HC-01823</t>
  </si>
  <si>
    <t xml:space="preserve">P-0881</t>
  </si>
  <si>
    <t xml:space="preserve">HC-01824</t>
  </si>
  <si>
    <t xml:space="preserve">HC-01825</t>
  </si>
  <si>
    <t xml:space="preserve">HC-01826</t>
  </si>
  <si>
    <t xml:space="preserve">P-0154</t>
  </si>
  <si>
    <t xml:space="preserve">HC-01827</t>
  </si>
  <si>
    <t xml:space="preserve">P-0535</t>
  </si>
  <si>
    <t xml:space="preserve">HC-01828</t>
  </si>
  <si>
    <t xml:space="preserve">P-1598</t>
  </si>
  <si>
    <t xml:space="preserve">HC-01829</t>
  </si>
  <si>
    <t xml:space="preserve">HC-01830</t>
  </si>
  <si>
    <t xml:space="preserve">HC-01831</t>
  </si>
  <si>
    <t xml:space="preserve">HC-01832</t>
  </si>
  <si>
    <t xml:space="preserve">HC-01833</t>
  </si>
  <si>
    <t xml:space="preserve">HC-01834</t>
  </si>
  <si>
    <t xml:space="preserve">HC-01835</t>
  </si>
  <si>
    <t xml:space="preserve">P-0587</t>
  </si>
  <si>
    <t xml:space="preserve">HC-01836</t>
  </si>
  <si>
    <t xml:space="preserve">HC-01837</t>
  </si>
  <si>
    <t xml:space="preserve">P-0177</t>
  </si>
  <si>
    <t xml:space="preserve">HC-01838</t>
  </si>
  <si>
    <t xml:space="preserve">HC-01839</t>
  </si>
  <si>
    <t xml:space="preserve">HC-01840</t>
  </si>
  <si>
    <t xml:space="preserve">HC-01841</t>
  </si>
  <si>
    <t xml:space="preserve">P-0289</t>
  </si>
  <si>
    <t xml:space="preserve">HC-01842</t>
  </si>
  <si>
    <t xml:space="preserve">HC-01843</t>
  </si>
  <si>
    <t xml:space="preserve">P-0263</t>
  </si>
  <si>
    <t xml:space="preserve">HC-01844</t>
  </si>
  <si>
    <t xml:space="preserve">HC-01845</t>
  </si>
  <si>
    <t xml:space="preserve">P-1553</t>
  </si>
  <si>
    <t xml:space="preserve">HC-01846</t>
  </si>
  <si>
    <t xml:space="preserve">HC-01847</t>
  </si>
  <si>
    <t xml:space="preserve">HC-01848</t>
  </si>
  <si>
    <t xml:space="preserve">HC-01849</t>
  </si>
  <si>
    <t xml:space="preserve">P-0257</t>
  </si>
  <si>
    <t xml:space="preserve">HC-01850</t>
  </si>
  <si>
    <t xml:space="preserve">HC-01851</t>
  </si>
  <si>
    <t xml:space="preserve">P-1388</t>
  </si>
  <si>
    <t xml:space="preserve">HC-01852</t>
  </si>
  <si>
    <t xml:space="preserve">HC-01853</t>
  </si>
  <si>
    <t xml:space="preserve">HC-01854</t>
  </si>
  <si>
    <t xml:space="preserve">HC-01855</t>
  </si>
  <si>
    <t xml:space="preserve">HC-01856</t>
  </si>
  <si>
    <t xml:space="preserve">P-0768</t>
  </si>
  <si>
    <t xml:space="preserve">HC-01857</t>
  </si>
  <si>
    <t xml:space="preserve">P-0485</t>
  </si>
  <si>
    <t xml:space="preserve">HC-01858</t>
  </si>
  <si>
    <t xml:space="preserve">P-1435</t>
  </si>
  <si>
    <t xml:space="preserve">HC-01859</t>
  </si>
  <si>
    <t xml:space="preserve">P-0392</t>
  </si>
  <si>
    <t xml:space="preserve">HC-01860</t>
  </si>
  <si>
    <t xml:space="preserve">HC-01861</t>
  </si>
  <si>
    <t xml:space="preserve">HC-01862</t>
  </si>
  <si>
    <t xml:space="preserve">HC-01863</t>
  </si>
  <si>
    <t xml:space="preserve">HC-01864</t>
  </si>
  <si>
    <t xml:space="preserve">HC-01865</t>
  </si>
  <si>
    <t xml:space="preserve">HC-01866</t>
  </si>
  <si>
    <t xml:space="preserve">P-0034</t>
  </si>
  <si>
    <t xml:space="preserve">HC-01867</t>
  </si>
  <si>
    <t xml:space="preserve">HC-01868</t>
  </si>
  <si>
    <t xml:space="preserve">HC-01869</t>
  </si>
  <si>
    <t xml:space="preserve">HC-01870</t>
  </si>
  <si>
    <t xml:space="preserve">HC-01871</t>
  </si>
  <si>
    <t xml:space="preserve">P-1306</t>
  </si>
  <si>
    <t xml:space="preserve">HC-01872</t>
  </si>
  <si>
    <t xml:space="preserve">HC-01873</t>
  </si>
  <si>
    <t xml:space="preserve">P-1745</t>
  </si>
  <si>
    <t xml:space="preserve">HC-01874</t>
  </si>
  <si>
    <t xml:space="preserve">P-0446</t>
  </si>
  <si>
    <t xml:space="preserve">HC-01875</t>
  </si>
  <si>
    <t xml:space="preserve">HC-01876</t>
  </si>
  <si>
    <t xml:space="preserve">HC-01877</t>
  </si>
  <si>
    <t xml:space="preserve">P-1084</t>
  </si>
  <si>
    <t xml:space="preserve">HC-01878</t>
  </si>
  <si>
    <t xml:space="preserve">HC-01879</t>
  </si>
  <si>
    <t xml:space="preserve">HC-01880</t>
  </si>
  <si>
    <t xml:space="preserve">P-0386</t>
  </si>
  <si>
    <t xml:space="preserve">HC-01881</t>
  </si>
  <si>
    <t xml:space="preserve">HC-01882</t>
  </si>
  <si>
    <t xml:space="preserve">HC-01883</t>
  </si>
  <si>
    <t xml:space="preserve">HC-01884</t>
  </si>
  <si>
    <t xml:space="preserve">HC-01885</t>
  </si>
  <si>
    <t xml:space="preserve">HC-01886</t>
  </si>
  <si>
    <t xml:space="preserve">P-1376</t>
  </si>
  <si>
    <t xml:space="preserve">HC-01887</t>
  </si>
  <si>
    <t xml:space="preserve">HC-01888</t>
  </si>
  <si>
    <t xml:space="preserve">P-0027</t>
  </si>
  <si>
    <t xml:space="preserve">HC-01889</t>
  </si>
  <si>
    <t xml:space="preserve">HC-01890</t>
  </si>
  <si>
    <t xml:space="preserve">P-1267</t>
  </si>
  <si>
    <t xml:space="preserve">HC-01891</t>
  </si>
  <si>
    <t xml:space="preserve">HC-01892</t>
  </si>
  <si>
    <t xml:space="preserve">P-0022</t>
  </si>
  <si>
    <t xml:space="preserve">HC-01893</t>
  </si>
  <si>
    <t xml:space="preserve">HC-01894</t>
  </si>
  <si>
    <t xml:space="preserve">HC-01895</t>
  </si>
  <si>
    <t xml:space="preserve">HC-01896</t>
  </si>
  <si>
    <t xml:space="preserve">HC-01897</t>
  </si>
  <si>
    <t xml:space="preserve">HC-01898</t>
  </si>
  <si>
    <t xml:space="preserve">P-0850</t>
  </si>
  <si>
    <t xml:space="preserve">HC-01899</t>
  </si>
  <si>
    <t xml:space="preserve">HC-01900</t>
  </si>
  <si>
    <t xml:space="preserve">P-1179</t>
  </si>
  <si>
    <t xml:space="preserve">HC-01901</t>
  </si>
  <si>
    <t xml:space="preserve">HC-01902</t>
  </si>
  <si>
    <t xml:space="preserve">P-1784</t>
  </si>
  <si>
    <t xml:space="preserve">HC-01903</t>
  </si>
  <si>
    <t xml:space="preserve">HC-01904</t>
  </si>
  <si>
    <t xml:space="preserve">HC-01905</t>
  </si>
  <si>
    <t xml:space="preserve">HC-01906</t>
  </si>
  <si>
    <t xml:space="preserve">P-1209</t>
  </si>
  <si>
    <t xml:space="preserve">HC-01907</t>
  </si>
  <si>
    <t xml:space="preserve">HC-01908</t>
  </si>
  <si>
    <t xml:space="preserve">HC-01909</t>
  </si>
  <si>
    <t xml:space="preserve">P-1270</t>
  </si>
  <si>
    <t xml:space="preserve">HC-01910</t>
  </si>
  <si>
    <t xml:space="preserve">HC-01911</t>
  </si>
  <si>
    <t xml:space="preserve">HC-01912</t>
  </si>
  <si>
    <t xml:space="preserve">P-1466</t>
  </si>
  <si>
    <t xml:space="preserve">HC-01913</t>
  </si>
  <si>
    <t xml:space="preserve">P-0554</t>
  </si>
  <si>
    <t xml:space="preserve">HC-01914</t>
  </si>
  <si>
    <t xml:space="preserve">HC-01915</t>
  </si>
  <si>
    <t xml:space="preserve">HC-01916</t>
  </si>
  <si>
    <t xml:space="preserve">HC-01917</t>
  </si>
  <si>
    <t xml:space="preserve">HC-01918</t>
  </si>
  <si>
    <t xml:space="preserve">HC-01919</t>
  </si>
  <si>
    <t xml:space="preserve">P-0997</t>
  </si>
  <si>
    <t xml:space="preserve">HC-01920</t>
  </si>
  <si>
    <t xml:space="preserve">HC-01921</t>
  </si>
  <si>
    <t xml:space="preserve">HC-01922</t>
  </si>
  <si>
    <t xml:space="preserve">HC-01923</t>
  </si>
  <si>
    <t xml:space="preserve">HC-01924</t>
  </si>
  <si>
    <t xml:space="preserve">HC-01925</t>
  </si>
  <si>
    <t xml:space="preserve">HC-01926</t>
  </si>
  <si>
    <t xml:space="preserve">P-1323</t>
  </si>
  <si>
    <t xml:space="preserve">HC-01927</t>
  </si>
  <si>
    <t xml:space="preserve">HC-01928</t>
  </si>
  <si>
    <t xml:space="preserve">HC-01929</t>
  </si>
  <si>
    <t xml:space="preserve">P-1166</t>
  </si>
  <si>
    <t xml:space="preserve">HC-01930</t>
  </si>
  <si>
    <t xml:space="preserve">HC-01931</t>
  </si>
  <si>
    <t xml:space="preserve">P-0590</t>
  </si>
  <si>
    <t xml:space="preserve">HC-01932</t>
  </si>
  <si>
    <t xml:space="preserve">P-0936</t>
  </si>
  <si>
    <t xml:space="preserve">HC-01933</t>
  </si>
  <si>
    <t xml:space="preserve">HC-01934</t>
  </si>
  <si>
    <t xml:space="preserve">HC-01935</t>
  </si>
  <si>
    <t xml:space="preserve">HC-01936</t>
  </si>
  <si>
    <t xml:space="preserve">HC-01937</t>
  </si>
  <si>
    <t xml:space="preserve">HC-01938</t>
  </si>
  <si>
    <t xml:space="preserve">HC-01939</t>
  </si>
  <si>
    <t xml:space="preserve">HC-01940</t>
  </si>
  <si>
    <t xml:space="preserve">HC-01941</t>
  </si>
  <si>
    <t xml:space="preserve">HC-01942</t>
  </si>
  <si>
    <t xml:space="preserve">HC-01943</t>
  </si>
  <si>
    <t xml:space="preserve">P-1777</t>
  </si>
  <si>
    <t xml:space="preserve">HC-01944</t>
  </si>
  <si>
    <t xml:space="preserve">P-1238</t>
  </si>
  <si>
    <t xml:space="preserve">HC-01945</t>
  </si>
  <si>
    <t xml:space="preserve">P-0753</t>
  </si>
  <si>
    <t xml:space="preserve">HC-01946</t>
  </si>
  <si>
    <t xml:space="preserve">P-0968</t>
  </si>
  <si>
    <t xml:space="preserve">HC-01947</t>
  </si>
  <si>
    <t xml:space="preserve">P-0615</t>
  </si>
  <si>
    <t xml:space="preserve">HC-01948</t>
  </si>
  <si>
    <t xml:space="preserve">HC-01949</t>
  </si>
  <si>
    <t xml:space="preserve">HC-01950</t>
  </si>
  <si>
    <t xml:space="preserve">P-1108</t>
  </si>
  <si>
    <t xml:space="preserve">HC-01951</t>
  </si>
  <si>
    <t xml:space="preserve">P-0935</t>
  </si>
  <si>
    <t xml:space="preserve">HC-01952</t>
  </si>
  <si>
    <t xml:space="preserve">HC-01953</t>
  </si>
  <si>
    <t xml:space="preserve">HC-01954</t>
  </si>
  <si>
    <t xml:space="preserve">HC-01955</t>
  </si>
  <si>
    <t xml:space="preserve">P-1449</t>
  </si>
  <si>
    <t xml:space="preserve">HC-01956</t>
  </si>
  <si>
    <t xml:space="preserve">P-0789</t>
  </si>
  <si>
    <t xml:space="preserve">HC-01957</t>
  </si>
  <si>
    <t xml:space="preserve">HC-01958</t>
  </si>
  <si>
    <t xml:space="preserve">HC-01959</t>
  </si>
  <si>
    <t xml:space="preserve">HC-01960</t>
  </si>
  <si>
    <t xml:space="preserve">HC-01961</t>
  </si>
  <si>
    <t xml:space="preserve">HC-01962</t>
  </si>
  <si>
    <t xml:space="preserve">P-1584</t>
  </si>
  <si>
    <t xml:space="preserve">HC-01963</t>
  </si>
  <si>
    <t xml:space="preserve">HC-01964</t>
  </si>
  <si>
    <t xml:space="preserve">HC-01965</t>
  </si>
  <si>
    <t xml:space="preserve">P-0545</t>
  </si>
  <si>
    <t xml:space="preserve">HC-01966</t>
  </si>
  <si>
    <t xml:space="preserve">HC-01967</t>
  </si>
  <si>
    <t xml:space="preserve">HC-01968</t>
  </si>
  <si>
    <t xml:space="preserve">HC-01969</t>
  </si>
  <si>
    <t xml:space="preserve">HC-01970</t>
  </si>
  <si>
    <t xml:space="preserve">HC-01971</t>
  </si>
  <si>
    <t xml:space="preserve">HC-01972</t>
  </si>
  <si>
    <t xml:space="preserve">HC-01973</t>
  </si>
  <si>
    <t xml:space="preserve">HC-01974</t>
  </si>
  <si>
    <t xml:space="preserve">HC-01975</t>
  </si>
  <si>
    <t xml:space="preserve">HC-01976</t>
  </si>
  <si>
    <t xml:space="preserve">HC-01977</t>
  </si>
  <si>
    <t xml:space="preserve">HC-01978</t>
  </si>
  <si>
    <t xml:space="preserve">P-1022</t>
  </si>
  <si>
    <t xml:space="preserve">HC-01979</t>
  </si>
  <si>
    <t xml:space="preserve">P-0101</t>
  </si>
  <si>
    <t xml:space="preserve">HC-01980</t>
  </si>
  <si>
    <t xml:space="preserve">HC-01981</t>
  </si>
  <si>
    <t xml:space="preserve">HC-01982</t>
  </si>
  <si>
    <t xml:space="preserve">HC-01983</t>
  </si>
  <si>
    <t xml:space="preserve">HC-01984</t>
  </si>
  <si>
    <t xml:space="preserve">P-1702</t>
  </si>
  <si>
    <t xml:space="preserve">HC-01985</t>
  </si>
  <si>
    <t xml:space="preserve">HC-01986</t>
  </si>
  <si>
    <t xml:space="preserve">HC-01987</t>
  </si>
  <si>
    <t xml:space="preserve">P-0312</t>
  </si>
  <si>
    <t xml:space="preserve">HC-01988</t>
  </si>
  <si>
    <t xml:space="preserve">P-0112</t>
  </si>
  <si>
    <t xml:space="preserve">HC-01989</t>
  </si>
  <si>
    <t xml:space="preserve">HC-01990</t>
  </si>
  <si>
    <t xml:space="preserve">HC-01991</t>
  </si>
  <si>
    <t xml:space="preserve">HC-01992</t>
  </si>
  <si>
    <t xml:space="preserve">P-0331</t>
  </si>
  <si>
    <t xml:space="preserve">HC-01993</t>
  </si>
  <si>
    <t xml:space="preserve">P-1693</t>
  </si>
  <si>
    <t xml:space="preserve">HC-01994</t>
  </si>
  <si>
    <t xml:space="preserve">HC-01995</t>
  </si>
  <si>
    <t xml:space="preserve">HC-01996</t>
  </si>
  <si>
    <t xml:space="preserve">HC-01997</t>
  </si>
  <si>
    <t xml:space="preserve">HC-01998</t>
  </si>
  <si>
    <t xml:space="preserve">HC-01999</t>
  </si>
  <si>
    <t xml:space="preserve">HC-02000</t>
  </si>
  <si>
    <t xml:space="preserve">HC-02001</t>
  </si>
  <si>
    <t xml:space="preserve">HC-02002</t>
  </si>
  <si>
    <t xml:space="preserve">P-1432</t>
  </si>
  <si>
    <t xml:space="preserve">HC-02003</t>
  </si>
  <si>
    <t xml:space="preserve">P-1016</t>
  </si>
  <si>
    <t xml:space="preserve">HC-02004</t>
  </si>
  <si>
    <t xml:space="preserve">HC-02005</t>
  </si>
  <si>
    <t xml:space="preserve">P-0128</t>
  </si>
  <si>
    <t xml:space="preserve">HC-02006</t>
  </si>
  <si>
    <t xml:space="preserve">P-1305</t>
  </si>
  <si>
    <t xml:space="preserve">HC-02007</t>
  </si>
  <si>
    <t xml:space="preserve">HC-02008</t>
  </si>
  <si>
    <t xml:space="preserve">HC-02009</t>
  </si>
  <si>
    <t xml:space="preserve">P-0793</t>
  </si>
  <si>
    <t xml:space="preserve">HC-02010</t>
  </si>
  <si>
    <t xml:space="preserve">HC-02011</t>
  </si>
  <si>
    <t xml:space="preserve">HC-02012</t>
  </si>
  <si>
    <t xml:space="preserve">HC-02013</t>
  </si>
  <si>
    <t xml:space="preserve">P-1522</t>
  </si>
  <si>
    <t xml:space="preserve">HC-02014</t>
  </si>
  <si>
    <t xml:space="preserve">HC-02015</t>
  </si>
  <si>
    <t xml:space="preserve">HC-02016</t>
  </si>
  <si>
    <t xml:space="preserve">HC-02017</t>
  </si>
  <si>
    <t xml:space="preserve">HC-02018</t>
  </si>
  <si>
    <t xml:space="preserve">P-1595</t>
  </si>
  <si>
    <t xml:space="preserve">HC-02019</t>
  </si>
  <si>
    <t xml:space="preserve">HC-02020</t>
  </si>
  <si>
    <t xml:space="preserve">HC-02021</t>
  </si>
  <si>
    <t xml:space="preserve">HC-02022</t>
  </si>
  <si>
    <t xml:space="preserve">HC-02023</t>
  </si>
  <si>
    <t xml:space="preserve">HC-02024</t>
  </si>
  <si>
    <t xml:space="preserve">P-0450</t>
  </si>
  <si>
    <t xml:space="preserve">HC-02025</t>
  </si>
  <si>
    <t xml:space="preserve">P-0464</t>
  </si>
  <si>
    <t xml:space="preserve">HC-02026</t>
  </si>
  <si>
    <t xml:space="preserve">P-0687</t>
  </si>
  <si>
    <t xml:space="preserve">HC-02027</t>
  </si>
  <si>
    <t xml:space="preserve">P-1400</t>
  </si>
  <si>
    <t xml:space="preserve">HC-02028</t>
  </si>
  <si>
    <t xml:space="preserve">HC-02029</t>
  </si>
  <si>
    <t xml:space="preserve">HC-02030</t>
  </si>
  <si>
    <t xml:space="preserve">HC-02031</t>
  </si>
  <si>
    <t xml:space="preserve">HC-02032</t>
  </si>
  <si>
    <t xml:space="preserve">HC-02033</t>
  </si>
  <si>
    <t xml:space="preserve">P-0346</t>
  </si>
  <si>
    <t xml:space="preserve">HC-02034</t>
  </si>
  <si>
    <t xml:space="preserve">P-0162</t>
  </si>
  <si>
    <t xml:space="preserve">HC-02035</t>
  </si>
  <si>
    <t xml:space="preserve">HC-02036</t>
  </si>
  <si>
    <t xml:space="preserve">HC-02037</t>
  </si>
  <si>
    <t xml:space="preserve">HC-02038</t>
  </si>
  <si>
    <t xml:space="preserve">HC-02039</t>
  </si>
  <si>
    <t xml:space="preserve">P-0662</t>
  </si>
  <si>
    <t xml:space="preserve">HC-02040</t>
  </si>
  <si>
    <t xml:space="preserve">HC-02041</t>
  </si>
  <si>
    <t xml:space="preserve">HC-02042</t>
  </si>
  <si>
    <t xml:space="preserve">P-1641</t>
  </si>
  <si>
    <t xml:space="preserve">HC-02043</t>
  </si>
  <si>
    <t xml:space="preserve">HC-02044</t>
  </si>
  <si>
    <t xml:space="preserve">HC-02045</t>
  </si>
  <si>
    <t xml:space="preserve">P-0760</t>
  </si>
  <si>
    <t xml:space="preserve">HC-02046</t>
  </si>
  <si>
    <t xml:space="preserve">HC-02047</t>
  </si>
  <si>
    <t xml:space="preserve">HC-02048</t>
  </si>
  <si>
    <t xml:space="preserve">HC-02049</t>
  </si>
  <si>
    <t xml:space="preserve">P-0379</t>
  </si>
  <si>
    <t xml:space="preserve">HC-02050</t>
  </si>
  <si>
    <t xml:space="preserve">HC-02051</t>
  </si>
  <si>
    <t xml:space="preserve">HC-02052</t>
  </si>
  <si>
    <t xml:space="preserve">P-1045</t>
  </si>
  <si>
    <t xml:space="preserve">HC-02053</t>
  </si>
  <si>
    <t xml:space="preserve">HC-02054</t>
  </si>
  <si>
    <t xml:space="preserve">HC-02055</t>
  </si>
  <si>
    <t xml:space="preserve">HC-02056</t>
  </si>
  <si>
    <t xml:space="preserve">HC-02057</t>
  </si>
  <si>
    <t xml:space="preserve">HC-02058</t>
  </si>
  <si>
    <t xml:space="preserve">P-0637</t>
  </si>
  <si>
    <t xml:space="preserve">HC-02059</t>
  </si>
  <si>
    <t xml:space="preserve">HC-02060</t>
  </si>
  <si>
    <t xml:space="preserve">HC-02061</t>
  </si>
  <si>
    <t xml:space="preserve">HC-02062</t>
  </si>
  <si>
    <t xml:space="preserve">HC-02063</t>
  </si>
  <si>
    <t xml:space="preserve">HC-02064</t>
  </si>
  <si>
    <t xml:space="preserve">HC-02065</t>
  </si>
  <si>
    <t xml:space="preserve">P-0922</t>
  </si>
  <si>
    <t xml:space="preserve">HC-02066</t>
  </si>
  <si>
    <t xml:space="preserve">HC-02067</t>
  </si>
  <si>
    <t xml:space="preserve">HC-02068</t>
  </si>
  <si>
    <t xml:space="preserve">HC-02069</t>
  </si>
  <si>
    <t xml:space="preserve">P-0387</t>
  </si>
  <si>
    <t xml:space="preserve">HC-02070</t>
  </si>
  <si>
    <t xml:space="preserve">P-0335</t>
  </si>
  <si>
    <t xml:space="preserve">HC-02071</t>
  </si>
  <si>
    <t xml:space="preserve">HC-02072</t>
  </si>
  <si>
    <t xml:space="preserve">HC-02073</t>
  </si>
  <si>
    <t xml:space="preserve">HC-02074</t>
  </si>
  <si>
    <t xml:space="preserve">P-0360</t>
  </si>
  <si>
    <t xml:space="preserve">HC-02075</t>
  </si>
  <si>
    <t xml:space="preserve">HC-02076</t>
  </si>
  <si>
    <t xml:space="preserve">HC-02077</t>
  </si>
  <si>
    <t xml:space="preserve">HC-02078</t>
  </si>
  <si>
    <t xml:space="preserve">HC-02079</t>
  </si>
  <si>
    <t xml:space="preserve">HC-02080</t>
  </si>
  <si>
    <t xml:space="preserve">P-1334</t>
  </si>
  <si>
    <t xml:space="preserve">HC-02081</t>
  </si>
  <si>
    <t xml:space="preserve">HC-02082</t>
  </si>
  <si>
    <t xml:space="preserve">HC-02083</t>
  </si>
  <si>
    <t xml:space="preserve">P-0962</t>
  </si>
  <si>
    <t xml:space="preserve">HC-02084</t>
  </si>
  <si>
    <t xml:space="preserve">HC-02085</t>
  </si>
  <si>
    <t xml:space="preserve">P-1044</t>
  </si>
  <si>
    <t xml:space="preserve">HC-02086</t>
  </si>
  <si>
    <t xml:space="preserve">HC-02087</t>
  </si>
  <si>
    <t xml:space="preserve">P-0430</t>
  </si>
  <si>
    <t xml:space="preserve">HC-02088</t>
  </si>
  <si>
    <t xml:space="preserve">HC-02089</t>
  </si>
  <si>
    <t xml:space="preserve">HC-02090</t>
  </si>
  <si>
    <t xml:space="preserve">P-0426</t>
  </si>
  <si>
    <t xml:space="preserve">HC-02091</t>
  </si>
  <si>
    <t xml:space="preserve">HC-02092</t>
  </si>
  <si>
    <t xml:space="preserve">HC-02093</t>
  </si>
  <si>
    <t xml:space="preserve">HC-02094</t>
  </si>
  <si>
    <t xml:space="preserve">P-0559</t>
  </si>
  <si>
    <t xml:space="preserve">HC-02095</t>
  </si>
  <si>
    <t xml:space="preserve">P-0114</t>
  </si>
  <si>
    <t xml:space="preserve">HC-02096</t>
  </si>
  <si>
    <t xml:space="preserve">P-0853</t>
  </si>
  <si>
    <t xml:space="preserve">HC-02097</t>
  </si>
  <si>
    <t xml:space="preserve">HC-02098</t>
  </si>
  <si>
    <t xml:space="preserve">P-0678</t>
  </si>
  <si>
    <t xml:space="preserve">HC-02099</t>
  </si>
  <si>
    <t xml:space="preserve">HC-02100</t>
  </si>
  <si>
    <t xml:space="preserve">HC-02101</t>
  </si>
  <si>
    <t xml:space="preserve">HC-02102</t>
  </si>
  <si>
    <t xml:space="preserve">P-0836</t>
  </si>
  <si>
    <t xml:space="preserve">HC-02103</t>
  </si>
  <si>
    <t xml:space="preserve">HC-02104</t>
  </si>
  <si>
    <t xml:space="preserve">HC-02105</t>
  </si>
  <si>
    <t xml:space="preserve">P-0650</t>
  </si>
  <si>
    <t xml:space="preserve">HC-02106</t>
  </si>
  <si>
    <t xml:space="preserve">HC-02107</t>
  </si>
  <si>
    <t xml:space="preserve">HC-02108</t>
  </si>
  <si>
    <t xml:space="preserve">HC-02109</t>
  </si>
  <si>
    <t xml:space="preserve">P-1063</t>
  </si>
  <si>
    <t xml:space="preserve">HC-02110</t>
  </si>
  <si>
    <t xml:space="preserve">P-0032</t>
  </si>
  <si>
    <t xml:space="preserve">HC-02111</t>
  </si>
  <si>
    <t xml:space="preserve">HC-02112</t>
  </si>
  <si>
    <t xml:space="preserve">HC-02113</t>
  </si>
  <si>
    <t xml:space="preserve">HC-02114</t>
  </si>
  <si>
    <t xml:space="preserve">HC-02115</t>
  </si>
  <si>
    <t xml:space="preserve">HC-02116</t>
  </si>
  <si>
    <t xml:space="preserve">P-1729</t>
  </si>
  <si>
    <t xml:space="preserve">HC-02117</t>
  </si>
  <si>
    <t xml:space="preserve">HC-02118</t>
  </si>
  <si>
    <t xml:space="preserve">HC-02119</t>
  </si>
  <si>
    <t xml:space="preserve">HC-02120</t>
  </si>
  <si>
    <t xml:space="preserve">HC-02121</t>
  </si>
  <si>
    <t xml:space="preserve">P-0647</t>
  </si>
  <si>
    <t xml:space="preserve">HC-02122</t>
  </si>
  <si>
    <t xml:space="preserve">HC-02123</t>
  </si>
  <si>
    <t xml:space="preserve">P-1475</t>
  </si>
  <si>
    <t xml:space="preserve">HC-02124</t>
  </si>
  <si>
    <t xml:space="preserve">HC-02125</t>
  </si>
  <si>
    <t xml:space="preserve">HC-02126</t>
  </si>
  <si>
    <t xml:space="preserve">P-1173</t>
  </si>
  <si>
    <t xml:space="preserve">HC-02127</t>
  </si>
  <si>
    <t xml:space="preserve">HC-02128</t>
  </si>
  <si>
    <t xml:space="preserve">P-1618</t>
  </si>
  <si>
    <t xml:space="preserve">HC-02129</t>
  </si>
  <si>
    <t xml:space="preserve">HC-02130</t>
  </si>
  <si>
    <t xml:space="preserve">HC-02131</t>
  </si>
  <si>
    <t xml:space="preserve">P-1655</t>
  </si>
  <si>
    <t xml:space="preserve">HC-02132</t>
  </si>
  <si>
    <t xml:space="preserve">HC-02133</t>
  </si>
  <si>
    <t xml:space="preserve">HC-02134</t>
  </si>
  <si>
    <t xml:space="preserve">HC-02135</t>
  </si>
  <si>
    <t xml:space="preserve">HC-02136</t>
  </si>
  <si>
    <t xml:space="preserve">P-0413</t>
  </si>
  <si>
    <t xml:space="preserve">HC-02137</t>
  </si>
  <si>
    <t xml:space="preserve">HC-02138</t>
  </si>
  <si>
    <t xml:space="preserve">HC-02139</t>
  </si>
  <si>
    <t xml:space="preserve">P-1529</t>
  </si>
  <si>
    <t xml:space="preserve">HC-02140</t>
  </si>
  <si>
    <t xml:space="preserve">HC-02141</t>
  </si>
  <si>
    <t xml:space="preserve">HC-02142</t>
  </si>
  <si>
    <t xml:space="preserve">P-1546</t>
  </si>
  <si>
    <t xml:space="preserve">HC-02143</t>
  </si>
  <si>
    <t xml:space="preserve">HC-02144</t>
  </si>
  <si>
    <t xml:space="preserve">HC-02145</t>
  </si>
  <si>
    <t xml:space="preserve">HC-02146</t>
  </si>
  <si>
    <t xml:space="preserve">P-1111</t>
  </si>
  <si>
    <t xml:space="preserve">HC-02147</t>
  </si>
  <si>
    <t xml:space="preserve">HC-02148</t>
  </si>
  <si>
    <t xml:space="preserve">HC-02149</t>
  </si>
  <si>
    <t xml:space="preserve">P-0918</t>
  </si>
  <si>
    <t xml:space="preserve">HC-02150</t>
  </si>
  <si>
    <t xml:space="preserve">HC-02151</t>
  </si>
  <si>
    <t xml:space="preserve">HC-02152</t>
  </si>
  <si>
    <t xml:space="preserve">HC-02153</t>
  </si>
  <si>
    <t xml:space="preserve">HC-02154</t>
  </si>
  <si>
    <t xml:space="preserve">HC-02155</t>
  </si>
  <si>
    <t xml:space="preserve">HC-02156</t>
  </si>
  <si>
    <t xml:space="preserve">HC-02157</t>
  </si>
  <si>
    <t xml:space="preserve">HC-02158</t>
  </si>
  <si>
    <t xml:space="preserve">P-1088</t>
  </si>
  <si>
    <t xml:space="preserve">HC-02159</t>
  </si>
  <si>
    <t xml:space="preserve">HC-02160</t>
  </si>
  <si>
    <t xml:space="preserve">HC-02161</t>
  </si>
  <si>
    <t xml:space="preserve">HC-02162</t>
  </si>
  <si>
    <t xml:space="preserve">HC-02163</t>
  </si>
  <si>
    <t xml:space="preserve">HC-02164</t>
  </si>
  <si>
    <t xml:space="preserve">HC-02165</t>
  </si>
  <si>
    <t xml:space="preserve">HC-02166</t>
  </si>
  <si>
    <t xml:space="preserve">HC-02167</t>
  </si>
  <si>
    <t xml:space="preserve">HC-02168</t>
  </si>
  <si>
    <t xml:space="preserve">HC-02169</t>
  </si>
  <si>
    <t xml:space="preserve">P-1585</t>
  </si>
  <si>
    <t xml:space="preserve">HC-02170</t>
  </si>
  <si>
    <t xml:space="preserve">HC-02171</t>
  </si>
  <si>
    <t xml:space="preserve">P-0503</t>
  </si>
  <si>
    <t xml:space="preserve">HC-02172</t>
  </si>
  <si>
    <t xml:space="preserve">HC-02173</t>
  </si>
  <si>
    <t xml:space="preserve">HC-02174</t>
  </si>
  <si>
    <t xml:space="preserve">P-1557</t>
  </si>
  <si>
    <t xml:space="preserve">HC-02175</t>
  </si>
  <si>
    <t xml:space="preserve">P-0134</t>
  </si>
  <si>
    <t xml:space="preserve">HC-02176</t>
  </si>
  <si>
    <t xml:space="preserve">P-1014</t>
  </si>
  <si>
    <t xml:space="preserve">HC-02177</t>
  </si>
  <si>
    <t xml:space="preserve">HC-02178</t>
  </si>
  <si>
    <t xml:space="preserve">P-1445</t>
  </si>
  <si>
    <t xml:space="preserve">HC-02179</t>
  </si>
  <si>
    <t xml:space="preserve">HC-02180</t>
  </si>
  <si>
    <t xml:space="preserve">HC-02181</t>
  </si>
  <si>
    <t xml:space="preserve">HC-02182</t>
  </si>
  <si>
    <t xml:space="preserve">HC-02183</t>
  </si>
  <si>
    <t xml:space="preserve">HC-02184</t>
  </si>
  <si>
    <t xml:space="preserve">HC-02185</t>
  </si>
  <si>
    <t xml:space="preserve">P-1459</t>
  </si>
  <si>
    <t xml:space="preserve">HC-02186</t>
  </si>
  <si>
    <t xml:space="preserve">HC-02187</t>
  </si>
  <si>
    <t xml:space="preserve">HC-02188</t>
  </si>
  <si>
    <t xml:space="preserve">HC-02189</t>
  </si>
  <si>
    <t xml:space="preserve">HC-02190</t>
  </si>
  <si>
    <t xml:space="preserve">P-1369</t>
  </si>
  <si>
    <t xml:space="preserve">HC-02191</t>
  </si>
  <si>
    <t xml:space="preserve">HC-02192</t>
  </si>
  <si>
    <t xml:space="preserve">HC-02193</t>
  </si>
  <si>
    <t xml:space="preserve">HC-02194</t>
  </si>
  <si>
    <t xml:space="preserve">HC-02195</t>
  </si>
  <si>
    <t xml:space="preserve">P-0610</t>
  </si>
  <si>
    <t xml:space="preserve">HC-02196</t>
  </si>
  <si>
    <t xml:space="preserve">HC-02197</t>
  </si>
  <si>
    <t xml:space="preserve">HC-02198</t>
  </si>
  <si>
    <t xml:space="preserve">HC-02199</t>
  </si>
  <si>
    <t xml:space="preserve">P-1259</t>
  </si>
  <si>
    <t xml:space="preserve">HC-02200</t>
  </si>
  <si>
    <t xml:space="preserve">HC-02201</t>
  </si>
  <si>
    <t xml:space="preserve">HC-02202</t>
  </si>
  <si>
    <t xml:space="preserve">P-1504</t>
  </si>
  <si>
    <t xml:space="preserve">HC-02203</t>
  </si>
  <si>
    <t xml:space="preserve">HC-02204</t>
  </si>
  <si>
    <t xml:space="preserve">P-0165</t>
  </si>
  <si>
    <t xml:space="preserve">HC-02205</t>
  </si>
  <si>
    <t xml:space="preserve">HC-02206</t>
  </si>
  <si>
    <t xml:space="preserve">P-0732</t>
  </si>
  <si>
    <t xml:space="preserve">HC-02207</t>
  </si>
  <si>
    <t xml:space="preserve">HC-02208</t>
  </si>
  <si>
    <t xml:space="preserve">HC-02209</t>
  </si>
  <si>
    <t xml:space="preserve">P-0137</t>
  </si>
  <si>
    <t xml:space="preserve">HC-02210</t>
  </si>
  <si>
    <t xml:space="preserve">HC-02211</t>
  </si>
  <si>
    <t xml:space="preserve">P-0411</t>
  </si>
  <si>
    <t xml:space="preserve">HC-02212</t>
  </si>
  <si>
    <t xml:space="preserve">HC-02213</t>
  </si>
  <si>
    <t xml:space="preserve">P-1136</t>
  </si>
  <si>
    <t xml:space="preserve">HC-02214</t>
  </si>
  <si>
    <t xml:space="preserve">HC-02215</t>
  </si>
  <si>
    <t xml:space="preserve">P-0481</t>
  </si>
  <si>
    <t xml:space="preserve">HC-02216</t>
  </si>
  <si>
    <t xml:space="preserve">HC-02217</t>
  </si>
  <si>
    <t xml:space="preserve">HC-02218</t>
  </si>
  <si>
    <t xml:space="preserve">P-1564</t>
  </si>
  <si>
    <t xml:space="preserve">HC-02219</t>
  </si>
  <si>
    <t xml:space="preserve">HC-02220</t>
  </si>
  <si>
    <t xml:space="preserve">P-0192</t>
  </si>
  <si>
    <t xml:space="preserve">HC-02221</t>
  </si>
  <si>
    <t xml:space="preserve">HC-02222</t>
  </si>
  <si>
    <t xml:space="preserve">HC-02223</t>
  </si>
  <si>
    <t xml:space="preserve">HC-02224</t>
  </si>
  <si>
    <t xml:space="preserve">P-0666</t>
  </si>
  <si>
    <t xml:space="preserve">HC-02225</t>
  </si>
  <si>
    <t xml:space="preserve">HC-02226</t>
  </si>
  <si>
    <t xml:space="preserve">P-0145</t>
  </si>
  <si>
    <t xml:space="preserve">HC-02227</t>
  </si>
  <si>
    <t xml:space="preserve">HC-02228</t>
  </si>
  <si>
    <t xml:space="preserve">P-1123</t>
  </si>
  <si>
    <t xml:space="preserve">HC-02229</t>
  </si>
  <si>
    <t xml:space="preserve">P-0812</t>
  </si>
  <si>
    <t xml:space="preserve">HC-02230</t>
  </si>
  <si>
    <t xml:space="preserve">HC-02231</t>
  </si>
  <si>
    <t xml:space="preserve">HC-02232</t>
  </si>
  <si>
    <t xml:space="preserve">P-1311</t>
  </si>
  <si>
    <t xml:space="preserve">HC-02233</t>
  </si>
  <si>
    <t xml:space="preserve">P-1706</t>
  </si>
  <si>
    <t xml:space="preserve">HC-02234</t>
  </si>
  <si>
    <t xml:space="preserve">HC-02235</t>
  </si>
  <si>
    <t xml:space="preserve">HC-02236</t>
  </si>
  <si>
    <t xml:space="preserve">HC-02237</t>
  </si>
  <si>
    <t xml:space="preserve">HC-02238</t>
  </si>
  <si>
    <t xml:space="preserve">HC-02239</t>
  </si>
  <si>
    <t xml:space="preserve">HC-02240</t>
  </si>
  <si>
    <t xml:space="preserve">HC-02241</t>
  </si>
  <si>
    <t xml:space="preserve">HC-02242</t>
  </si>
  <si>
    <t xml:space="preserve">P-1412</t>
  </si>
  <si>
    <t xml:space="preserve">HC-02243</t>
  </si>
  <si>
    <t xml:space="preserve">HC-02244</t>
  </si>
  <si>
    <t xml:space="preserve">HC-02245</t>
  </si>
  <si>
    <t xml:space="preserve">P-1286</t>
  </si>
  <si>
    <t xml:space="preserve">HC-02246</t>
  </si>
  <si>
    <t xml:space="preserve">HC-02247</t>
  </si>
  <si>
    <t xml:space="preserve">HC-02248</t>
  </si>
  <si>
    <t xml:space="preserve">HC-02249</t>
  </si>
  <si>
    <t xml:space="preserve">HC-02250</t>
  </si>
  <si>
    <t xml:space="preserve">HC-02251</t>
  </si>
  <si>
    <t xml:space="preserve">HC-02252</t>
  </si>
  <si>
    <t xml:space="preserve">HC-02253</t>
  </si>
  <si>
    <t xml:space="preserve">HC-02254</t>
  </si>
  <si>
    <t xml:space="preserve">P-1788</t>
  </si>
  <si>
    <t xml:space="preserve">HC-02255</t>
  </si>
  <si>
    <t xml:space="preserve">HC-02256</t>
  </si>
  <si>
    <t xml:space="preserve">HC-02257</t>
  </si>
  <si>
    <t xml:space="preserve">P-0432</t>
  </si>
  <si>
    <t xml:space="preserve">HC-02258</t>
  </si>
  <si>
    <t xml:space="preserve">HC-02259</t>
  </si>
  <si>
    <t xml:space="preserve">P-1425</t>
  </si>
  <si>
    <t xml:space="preserve">HC-02260</t>
  </si>
  <si>
    <t xml:space="preserve">P-1100</t>
  </si>
  <si>
    <t xml:space="preserve">HC-02261</t>
  </si>
  <si>
    <t xml:space="preserve">P-1219</t>
  </si>
  <si>
    <t xml:space="preserve">HC-02262</t>
  </si>
  <si>
    <t xml:space="preserve">P-1308</t>
  </si>
  <si>
    <t xml:space="preserve">HC-02263</t>
  </si>
  <si>
    <t xml:space="preserve">HC-02264</t>
  </si>
  <si>
    <t xml:space="preserve">P-0902</t>
  </si>
  <si>
    <t xml:space="preserve">HC-02265</t>
  </si>
  <si>
    <t xml:space="preserve">HC-02266</t>
  </si>
  <si>
    <t xml:space="preserve">P-1253</t>
  </si>
  <si>
    <t xml:space="preserve">HC-02267</t>
  </si>
  <si>
    <t xml:space="preserve">P-0385</t>
  </si>
  <si>
    <t xml:space="preserve">HC-02268</t>
  </si>
  <si>
    <t xml:space="preserve">HC-02269</t>
  </si>
  <si>
    <t xml:space="preserve">P-0756</t>
  </si>
  <si>
    <t xml:space="preserve">HC-02270</t>
  </si>
  <si>
    <t xml:space="preserve">P-1181</t>
  </si>
  <si>
    <t xml:space="preserve">HC-02271</t>
  </si>
  <si>
    <t xml:space="preserve">HC-02272</t>
  </si>
  <si>
    <t xml:space="preserve">P-1712</t>
  </si>
  <si>
    <t xml:space="preserve">HC-02273</t>
  </si>
  <si>
    <t xml:space="preserve">HC-02274</t>
  </si>
  <si>
    <t xml:space="preserve">HC-02275</t>
  </si>
  <si>
    <t xml:space="preserve">P-0525</t>
  </si>
  <si>
    <t xml:space="preserve">HC-02276</t>
  </si>
  <si>
    <t xml:space="preserve">P-0533</t>
  </si>
  <si>
    <t xml:space="preserve">HC-02277</t>
  </si>
  <si>
    <t xml:space="preserve">HC-02278</t>
  </si>
  <si>
    <t xml:space="preserve">HC-02279</t>
  </si>
  <si>
    <t xml:space="preserve">HC-02280</t>
  </si>
  <si>
    <t xml:space="preserve">P-0689</t>
  </si>
  <si>
    <t xml:space="preserve">HC-02281</t>
  </si>
  <si>
    <t xml:space="preserve">HC-02282</t>
  </si>
  <si>
    <t xml:space="preserve">HC-02283</t>
  </si>
  <si>
    <t xml:space="preserve">P-0604</t>
  </si>
  <si>
    <t xml:space="preserve">HC-02284</t>
  </si>
  <si>
    <t xml:space="preserve">HC-02285</t>
  </si>
  <si>
    <t xml:space="preserve">P-0702</t>
  </si>
  <si>
    <t xml:space="preserve">HC-02286</t>
  </si>
  <si>
    <t xml:space="preserve">P-1401</t>
  </si>
  <si>
    <t xml:space="preserve">HC-02287</t>
  </si>
  <si>
    <t xml:space="preserve">HC-02288</t>
  </si>
  <si>
    <t xml:space="preserve">HC-02289</t>
  </si>
  <si>
    <t xml:space="preserve">HC-02290</t>
  </si>
  <si>
    <t xml:space="preserve">HC-02291</t>
  </si>
  <si>
    <t xml:space="preserve">HC-02292</t>
  </si>
  <si>
    <t xml:space="preserve">HC-02293</t>
  </si>
  <si>
    <t xml:space="preserve">HC-02294</t>
  </si>
  <si>
    <t xml:space="preserve">HC-02295</t>
  </si>
  <si>
    <t xml:space="preserve">P-1058</t>
  </si>
  <si>
    <t xml:space="preserve">HC-02296</t>
  </si>
  <si>
    <t xml:space="preserve">HC-02297</t>
  </si>
  <si>
    <t xml:space="preserve">HC-02298</t>
  </si>
  <si>
    <t xml:space="preserve">HC-02299</t>
  </si>
  <si>
    <t xml:space="preserve">P-1024</t>
  </si>
  <si>
    <t xml:space="preserve">HC-02300</t>
  </si>
  <si>
    <t xml:space="preserve">HC-02301</t>
  </si>
  <si>
    <t xml:space="preserve">HC-02302</t>
  </si>
  <si>
    <t xml:space="preserve">HC-02303</t>
  </si>
  <si>
    <t xml:space="preserve">HC-02304</t>
  </si>
  <si>
    <t xml:space="preserve">P-1659</t>
  </si>
  <si>
    <t xml:space="preserve">HC-02305</t>
  </si>
  <si>
    <t xml:space="preserve">P-0298</t>
  </si>
  <si>
    <t xml:space="preserve">HC-02306</t>
  </si>
  <si>
    <t xml:space="preserve">P-0246</t>
  </si>
  <si>
    <t xml:space="preserve">HC-02307</t>
  </si>
  <si>
    <t xml:space="preserve">HC-02308</t>
  </si>
  <si>
    <t xml:space="preserve">HC-02309</t>
  </si>
  <si>
    <t xml:space="preserve">P-1013</t>
  </si>
  <si>
    <t xml:space="preserve">HC-02310</t>
  </si>
  <si>
    <t xml:space="preserve">P-0517</t>
  </si>
  <si>
    <t xml:space="preserve">HC-02311</t>
  </si>
  <si>
    <t xml:space="preserve">P-1549</t>
  </si>
  <si>
    <t xml:space="preserve">HC-02312</t>
  </si>
  <si>
    <t xml:space="preserve">HC-02313</t>
  </si>
  <si>
    <t xml:space="preserve">HC-02314</t>
  </si>
  <si>
    <t xml:space="preserve">HC-02315</t>
  </si>
  <si>
    <t xml:space="preserve">HC-02316</t>
  </si>
  <si>
    <t xml:space="preserve">HC-02317</t>
  </si>
  <si>
    <t xml:space="preserve">HC-02318</t>
  </si>
  <si>
    <t xml:space="preserve">HC-02319</t>
  </si>
  <si>
    <t xml:space="preserve">P-1003</t>
  </si>
  <si>
    <t xml:space="preserve">HC-02320</t>
  </si>
  <si>
    <t xml:space="preserve">HC-02321</t>
  </si>
  <si>
    <t xml:space="preserve">HC-02322</t>
  </si>
  <si>
    <t xml:space="preserve">P-1321</t>
  </si>
  <si>
    <t xml:space="preserve">HC-02323</t>
  </si>
  <si>
    <t xml:space="preserve">P-0600</t>
  </si>
  <si>
    <t xml:space="preserve">HC-02324</t>
  </si>
  <si>
    <t xml:space="preserve">HC-02325</t>
  </si>
  <si>
    <t xml:space="preserve">HC-02326</t>
  </si>
  <si>
    <t xml:space="preserve">HC-02327</t>
  </si>
  <si>
    <t xml:space="preserve">HC-02328</t>
  </si>
  <si>
    <t xml:space="preserve">HC-02329</t>
  </si>
  <si>
    <t xml:space="preserve">HC-02330</t>
  </si>
  <si>
    <t xml:space="preserve">HC-02331</t>
  </si>
  <si>
    <t xml:space="preserve">P-1025</t>
  </si>
  <si>
    <t xml:space="preserve">HC-02332</t>
  </si>
  <si>
    <t xml:space="preserve">HC-02333</t>
  </si>
  <si>
    <t xml:space="preserve">HC-02334</t>
  </si>
  <si>
    <t xml:space="preserve">HC-02335</t>
  </si>
  <si>
    <t xml:space="preserve">HC-02336</t>
  </si>
  <si>
    <t xml:space="preserve">HC-02337</t>
  </si>
  <si>
    <t xml:space="preserve">P-1469</t>
  </si>
  <si>
    <t xml:space="preserve">HC-02338</t>
  </si>
  <si>
    <t xml:space="preserve">P-1215</t>
  </si>
  <si>
    <t xml:space="preserve">HC-02339</t>
  </si>
  <si>
    <t xml:space="preserve">P-0151</t>
  </si>
  <si>
    <t xml:space="preserve">HC-02340</t>
  </si>
  <si>
    <t xml:space="preserve">HC-02341</t>
  </si>
  <si>
    <t xml:space="preserve">P-1675</t>
  </si>
  <si>
    <t xml:space="preserve">HC-02342</t>
  </si>
  <si>
    <t xml:space="preserve">HC-02343</t>
  </si>
  <si>
    <t xml:space="preserve">HC-02344</t>
  </si>
  <si>
    <t xml:space="preserve">HC-02345</t>
  </si>
  <si>
    <t xml:space="preserve">HC-02346</t>
  </si>
  <si>
    <t xml:space="preserve">P-1137</t>
  </si>
  <si>
    <t xml:space="preserve">HC-02347</t>
  </si>
  <si>
    <t xml:space="preserve">P-0644</t>
  </si>
  <si>
    <t xml:space="preserve">HC-02348</t>
  </si>
  <si>
    <t xml:space="preserve">P-0011</t>
  </si>
  <si>
    <t xml:space="preserve">HC-02349</t>
  </si>
  <si>
    <t xml:space="preserve">HC-02350</t>
  </si>
  <si>
    <t xml:space="preserve">P-0893</t>
  </si>
  <si>
    <t xml:space="preserve">HC-02351</t>
  </si>
  <si>
    <t xml:space="preserve">HC-02352</t>
  </si>
  <si>
    <t xml:space="preserve">P-1761</t>
  </si>
  <si>
    <t xml:space="preserve">HC-02353</t>
  </si>
  <si>
    <t xml:space="preserve">HC-02354</t>
  </si>
  <si>
    <t xml:space="preserve">HC-02355</t>
  </si>
  <si>
    <t xml:space="preserve">P-0720</t>
  </si>
  <si>
    <t xml:space="preserve">HC-02356</t>
  </si>
  <si>
    <t xml:space="preserve">HC-02357</t>
  </si>
  <si>
    <t xml:space="preserve">HC-02358</t>
  </si>
  <si>
    <t xml:space="preserve">HC-02359</t>
  </si>
  <si>
    <t xml:space="preserve">HC-02360</t>
  </si>
  <si>
    <t xml:space="preserve">HC-02361</t>
  </si>
  <si>
    <t xml:space="preserve">P-1139</t>
  </si>
  <si>
    <t xml:space="preserve">HC-02362</t>
  </si>
  <si>
    <t xml:space="preserve">P-0135</t>
  </si>
  <si>
    <t xml:space="preserve">HC-02363</t>
  </si>
  <si>
    <t xml:space="preserve">HC-02364</t>
  </si>
  <si>
    <t xml:space="preserve">HC-02365</t>
  </si>
  <si>
    <t xml:space="preserve">HC-02366</t>
  </si>
  <si>
    <t xml:space="preserve">HC-02367</t>
  </si>
  <si>
    <t xml:space="preserve">P-0507</t>
  </si>
  <si>
    <t xml:space="preserve">HC-02368</t>
  </si>
  <si>
    <t xml:space="preserve">HC-02369</t>
  </si>
  <si>
    <t xml:space="preserve">HC-02370</t>
  </si>
  <si>
    <t xml:space="preserve">HC-02371</t>
  </si>
  <si>
    <t xml:space="preserve">P-0783</t>
  </si>
  <si>
    <t xml:space="preserve">HC-02372</t>
  </si>
  <si>
    <t xml:space="preserve">HC-02373</t>
  </si>
  <si>
    <t xml:space="preserve">HC-02374</t>
  </si>
  <si>
    <t xml:space="preserve">P-0299</t>
  </si>
  <si>
    <t xml:space="preserve">HC-02375</t>
  </si>
  <si>
    <t xml:space="preserve">HC-02376</t>
  </si>
  <si>
    <t xml:space="preserve">P-0131</t>
  </si>
  <si>
    <t xml:space="preserve">HC-02377</t>
  </si>
  <si>
    <t xml:space="preserve">HC-02378</t>
  </si>
  <si>
    <t xml:space="preserve">P-1433</t>
  </si>
  <si>
    <t xml:space="preserve">HC-02379</t>
  </si>
  <si>
    <t xml:space="preserve">HC-02380</t>
  </si>
  <si>
    <t xml:space="preserve">P-1571</t>
  </si>
  <si>
    <t xml:space="preserve">HC-02381</t>
  </si>
  <si>
    <t xml:space="preserve">HC-02382</t>
  </si>
  <si>
    <t xml:space="preserve">HC-02383</t>
  </si>
  <si>
    <t xml:space="preserve">HC-02384</t>
  </si>
  <si>
    <t xml:space="preserve">HC-02385</t>
  </si>
  <si>
    <t xml:space="preserve">HC-02386</t>
  </si>
  <si>
    <t xml:space="preserve">P-1679</t>
  </si>
  <si>
    <t xml:space="preserve">HC-02387</t>
  </si>
  <si>
    <t xml:space="preserve">HC-02388</t>
  </si>
  <si>
    <t xml:space="preserve">HC-02389</t>
  </si>
  <si>
    <t xml:space="preserve">HC-02390</t>
  </si>
  <si>
    <t xml:space="preserve">HC-02391</t>
  </si>
  <si>
    <t xml:space="preserve">HC-02392</t>
  </si>
  <si>
    <t xml:space="preserve">HC-02393</t>
  </si>
  <si>
    <t xml:space="preserve">HC-02394</t>
  </si>
  <si>
    <t xml:space="preserve">HC-02395</t>
  </si>
  <si>
    <t xml:space="preserve">HC-02396</t>
  </si>
  <si>
    <t xml:space="preserve">P-0014</t>
  </si>
  <si>
    <t xml:space="preserve">HC-02397</t>
  </si>
  <si>
    <t xml:space="preserve">HC-02398</t>
  </si>
  <si>
    <t xml:space="preserve">HC-02399</t>
  </si>
  <si>
    <t xml:space="preserve">HC-02400</t>
  </si>
  <si>
    <t xml:space="preserve">HC-02401</t>
  </si>
  <si>
    <t xml:space="preserve">HC-02402</t>
  </si>
  <si>
    <t xml:space="preserve">HC-02403</t>
  </si>
  <si>
    <t xml:space="preserve">P-0665</t>
  </si>
  <si>
    <t xml:space="preserve">HC-02404</t>
  </si>
  <si>
    <t xml:space="preserve">HC-02405</t>
  </si>
  <si>
    <t xml:space="preserve">HC-02406</t>
  </si>
  <si>
    <t xml:space="preserve">P-0342</t>
  </si>
  <si>
    <t xml:space="preserve">HC-02407</t>
  </si>
  <si>
    <t xml:space="preserve">HC-02408</t>
  </si>
  <si>
    <t xml:space="preserve">HC-02409</t>
  </si>
  <si>
    <t xml:space="preserve">P-1134</t>
  </si>
  <si>
    <t xml:space="preserve">HC-02410</t>
  </si>
  <si>
    <t xml:space="preserve">HC-02411</t>
  </si>
  <si>
    <t xml:space="preserve">HC-02412</t>
  </si>
  <si>
    <t xml:space="preserve">HC-02413</t>
  </si>
  <si>
    <t xml:space="preserve">HC-02414</t>
  </si>
  <si>
    <t xml:space="preserve">HC-02415</t>
  </si>
  <si>
    <t xml:space="preserve">HC-02416</t>
  </si>
  <si>
    <t xml:space="preserve">HC-02417</t>
  </si>
  <si>
    <t xml:space="preserve">HC-02418</t>
  </si>
  <si>
    <t xml:space="preserve">HC-02419</t>
  </si>
  <si>
    <t xml:space="preserve">HC-02420</t>
  </si>
  <si>
    <t xml:space="preserve">HC-02421</t>
  </si>
  <si>
    <t xml:space="preserve">HC-02422</t>
  </si>
  <si>
    <t xml:space="preserve">P-1232</t>
  </si>
  <si>
    <t xml:space="preserve">HC-02423</t>
  </si>
  <si>
    <t xml:space="preserve">HC-02424</t>
  </si>
  <si>
    <t xml:space="preserve">HC-02425</t>
  </si>
  <si>
    <t xml:space="preserve">HC-02426</t>
  </si>
  <si>
    <t xml:space="preserve">HC-02427</t>
  </si>
  <si>
    <t xml:space="preserve">P-1254</t>
  </si>
  <si>
    <t xml:space="preserve">HC-02428</t>
  </si>
  <si>
    <t xml:space="preserve">P-0116</t>
  </si>
  <si>
    <t xml:space="preserve">HC-02429</t>
  </si>
  <si>
    <t xml:space="preserve">HC-02430</t>
  </si>
  <si>
    <t xml:space="preserve">HC-02431</t>
  </si>
  <si>
    <t xml:space="preserve">HC-02432</t>
  </si>
  <si>
    <t xml:space="preserve">HC-02433</t>
  </si>
  <si>
    <t xml:space="preserve">HC-02434</t>
  </si>
  <si>
    <t xml:space="preserve">HC-02435</t>
  </si>
  <si>
    <t xml:space="preserve">HC-02436</t>
  </si>
  <si>
    <t xml:space="preserve">HC-02437</t>
  </si>
  <si>
    <t xml:space="preserve">HC-02438</t>
  </si>
  <si>
    <t xml:space="preserve">HC-02439</t>
  </si>
  <si>
    <t xml:space="preserve">HC-02440</t>
  </si>
  <si>
    <t xml:space="preserve">P-0292</t>
  </si>
  <si>
    <t xml:space="preserve">HC-02441</t>
  </si>
  <si>
    <t xml:space="preserve">P-1739</t>
  </si>
  <si>
    <t xml:space="preserve">HC-02442</t>
  </si>
  <si>
    <t xml:space="preserve">HC-02443</t>
  </si>
  <si>
    <t xml:space="preserve">HC-02444</t>
  </si>
  <si>
    <t xml:space="preserve">P-0209</t>
  </si>
  <si>
    <t xml:space="preserve">HC-02445</t>
  </si>
  <si>
    <t xml:space="preserve">P-0557</t>
  </si>
  <si>
    <t xml:space="preserve">HC-02446</t>
  </si>
  <si>
    <t xml:space="preserve">HC-02447</t>
  </si>
  <si>
    <t xml:space="preserve">HC-02448</t>
  </si>
  <si>
    <t xml:space="preserve">HC-02449</t>
  </si>
  <si>
    <t xml:space="preserve">HC-02450</t>
  </si>
  <si>
    <t xml:space="preserve">HC-02451</t>
  </si>
  <si>
    <t xml:space="preserve">HC-02452</t>
  </si>
  <si>
    <t xml:space="preserve">HC-02453</t>
  </si>
  <si>
    <t xml:space="preserve">HC-02454</t>
  </si>
  <si>
    <t xml:space="preserve">P-1184</t>
  </si>
  <si>
    <t xml:space="preserve">HC-02455</t>
  </si>
  <si>
    <t xml:space="preserve">P-0570</t>
  </si>
  <si>
    <t xml:space="preserve">HC-02456</t>
  </si>
  <si>
    <t xml:space="preserve">HC-02457</t>
  </si>
  <si>
    <t xml:space="preserve">HC-02458</t>
  </si>
  <si>
    <t xml:space="preserve">HC-02459</t>
  </si>
  <si>
    <t xml:space="preserve">P-1570</t>
  </si>
  <si>
    <t xml:space="preserve">HC-02460</t>
  </si>
  <si>
    <t xml:space="preserve">P-1241</t>
  </si>
  <si>
    <t xml:space="preserve">HC-02461</t>
  </si>
  <si>
    <t xml:space="preserve">HC-02462</t>
  </si>
  <si>
    <t xml:space="preserve">P-1066</t>
  </si>
  <si>
    <t xml:space="preserve">HC-02463</t>
  </si>
  <si>
    <t xml:space="preserve">HC-02464</t>
  </si>
  <si>
    <t xml:space="preserve">HC-02465</t>
  </si>
  <si>
    <t xml:space="preserve">HC-02466</t>
  </si>
  <si>
    <t xml:space="preserve">HC-02467</t>
  </si>
  <si>
    <t xml:space="preserve">P-0937</t>
  </si>
  <si>
    <t xml:space="preserve">HC-02468</t>
  </si>
  <si>
    <t xml:space="preserve">HC-02469</t>
  </si>
  <si>
    <t xml:space="preserve">HC-02470</t>
  </si>
  <si>
    <t xml:space="preserve">HC-02471</t>
  </si>
  <si>
    <t xml:space="preserve">P-0652</t>
  </si>
  <si>
    <t xml:space="preserve">HC-02472</t>
  </si>
  <si>
    <t xml:space="preserve">P-0817</t>
  </si>
  <si>
    <t xml:space="preserve">HC-02473</t>
  </si>
  <si>
    <t xml:space="preserve">HC-02474</t>
  </si>
  <si>
    <t xml:space="preserve">HC-02475</t>
  </si>
  <si>
    <t xml:space="preserve">P-0964</t>
  </si>
  <si>
    <t xml:space="preserve">HC-02476</t>
  </si>
  <si>
    <t xml:space="preserve">P-0082</t>
  </si>
  <si>
    <t xml:space="preserve">HC-02477</t>
  </si>
  <si>
    <t xml:space="preserve">P-1428</t>
  </si>
  <si>
    <t xml:space="preserve">HC-02478</t>
  </si>
  <si>
    <t xml:space="preserve">HC-02479</t>
  </si>
  <si>
    <t xml:space="preserve">HC-02480</t>
  </si>
  <si>
    <t xml:space="preserve">HC-02481</t>
  </si>
  <si>
    <t xml:space="preserve">HC-02482</t>
  </si>
  <si>
    <t xml:space="preserve">HC-02483</t>
  </si>
  <si>
    <t xml:space="preserve">P-1226</t>
  </si>
  <si>
    <t xml:space="preserve">HC-02484</t>
  </si>
  <si>
    <t xml:space="preserve">P-0367</t>
  </si>
  <si>
    <t xml:space="preserve">HC-02485</t>
  </si>
  <si>
    <t xml:space="preserve">HC-02486</t>
  </si>
  <si>
    <t xml:space="preserve">P-1576</t>
  </si>
  <si>
    <t xml:space="preserve">HC-02487</t>
  </si>
  <si>
    <t xml:space="preserve">P-1370</t>
  </si>
  <si>
    <t xml:space="preserve">HC-02488</t>
  </si>
  <si>
    <t xml:space="preserve">HC-02489</t>
  </si>
  <si>
    <t xml:space="preserve">HC-02490</t>
  </si>
  <si>
    <t xml:space="preserve">HC-02491</t>
  </si>
  <si>
    <t xml:space="preserve">P-1609</t>
  </si>
  <si>
    <t xml:space="preserve">HC-02492</t>
  </si>
  <si>
    <t xml:space="preserve">HC-02493</t>
  </si>
  <si>
    <t xml:space="preserve">P-1770</t>
  </si>
  <si>
    <t xml:space="preserve">HC-02494</t>
  </si>
  <si>
    <t xml:space="preserve">HC-02495</t>
  </si>
  <si>
    <t xml:space="preserve">HC-02496</t>
  </si>
  <si>
    <t xml:space="preserve">HC-02497</t>
  </si>
  <si>
    <t xml:space="preserve">HC-02498</t>
  </si>
  <si>
    <t xml:space="preserve">P-0175</t>
  </si>
  <si>
    <t xml:space="preserve">HC-02499</t>
  </si>
  <si>
    <t xml:space="preserve">HC-02500</t>
  </si>
  <si>
    <t xml:space="preserve">HC-02501</t>
  </si>
  <si>
    <t xml:space="preserve">HC-02502</t>
  </si>
  <si>
    <t xml:space="preserve">HC-02503</t>
  </si>
  <si>
    <t xml:space="preserve">HC-02504</t>
  </si>
  <si>
    <t xml:space="preserve">HC-02505</t>
  </si>
  <si>
    <t xml:space="preserve">HC-02506</t>
  </si>
  <si>
    <t xml:space="preserve">HC-02507</t>
  </si>
  <si>
    <t xml:space="preserve">P-1375</t>
  </si>
  <si>
    <t xml:space="preserve">HC-02508</t>
  </si>
  <si>
    <t xml:space="preserve">HC-02509</t>
  </si>
  <si>
    <t xml:space="preserve">HC-02510</t>
  </si>
  <si>
    <t xml:space="preserve">P-0006</t>
  </si>
  <si>
    <t xml:space="preserve">HC-02511</t>
  </si>
  <si>
    <t xml:space="preserve">HC-02512</t>
  </si>
  <si>
    <t xml:space="preserve">HC-02513</t>
  </si>
  <si>
    <t xml:space="preserve">HC-02514</t>
  </si>
  <si>
    <t xml:space="preserve">HC-02515</t>
  </si>
  <si>
    <t xml:space="preserve">HC-02516</t>
  </si>
  <si>
    <t xml:space="preserve">HC-02517</t>
  </si>
  <si>
    <t xml:space="preserve">P-0569</t>
  </si>
  <si>
    <t xml:space="preserve">HC-02518</t>
  </si>
  <si>
    <t xml:space="preserve">HC-02519</t>
  </si>
  <si>
    <t xml:space="preserve">HC-02520</t>
  </si>
  <si>
    <t xml:space="preserve">HC-02521</t>
  </si>
  <si>
    <t xml:space="preserve">HC-02522</t>
  </si>
  <si>
    <t xml:space="preserve">HC-02523</t>
  </si>
  <si>
    <t xml:space="preserve">HC-02524</t>
  </si>
  <si>
    <t xml:space="preserve">HC-02525</t>
  </si>
  <si>
    <t xml:space="preserve">P-0436</t>
  </si>
  <si>
    <t xml:space="preserve">HC-02526</t>
  </si>
  <si>
    <t xml:space="preserve">HC-02527</t>
  </si>
  <si>
    <t xml:space="preserve">P-0749</t>
  </si>
  <si>
    <t xml:space="preserve">HC-02528</t>
  </si>
  <si>
    <t xml:space="preserve">P-1180</t>
  </si>
  <si>
    <t xml:space="preserve">HC-02529</t>
  </si>
  <si>
    <t xml:space="preserve">HC-02530</t>
  </si>
  <si>
    <t xml:space="preserve">HC-02531</t>
  </si>
  <si>
    <t xml:space="preserve">HC-02532</t>
  </si>
  <si>
    <t xml:space="preserve">HC-02533</t>
  </si>
  <si>
    <t xml:space="preserve">HC-02534</t>
  </si>
  <si>
    <t xml:space="preserve">HC-02535</t>
  </si>
  <si>
    <t xml:space="preserve">HC-02536</t>
  </si>
  <si>
    <t xml:space="preserve">HC-02537</t>
  </si>
  <si>
    <t xml:space="preserve">HC-02538</t>
  </si>
  <si>
    <t xml:space="preserve">HC-02539</t>
  </si>
  <si>
    <t xml:space="preserve">P-0784</t>
  </si>
  <si>
    <t xml:space="preserve">HC-02540</t>
  </si>
  <si>
    <t xml:space="preserve">HC-02541</t>
  </si>
  <si>
    <t xml:space="preserve">HC-02542</t>
  </si>
  <si>
    <t xml:space="preserve">HC-02543</t>
  </si>
  <si>
    <t xml:space="preserve">HC-02544</t>
  </si>
  <si>
    <t xml:space="preserve">P-1524</t>
  </si>
  <si>
    <t xml:space="preserve">HC-02545</t>
  </si>
  <si>
    <t xml:space="preserve">HC-02546</t>
  </si>
  <si>
    <t xml:space="preserve">P-1148</t>
  </si>
  <si>
    <t xml:space="preserve">HC-02547</t>
  </si>
  <si>
    <t xml:space="preserve">HC-02548</t>
  </si>
  <si>
    <t xml:space="preserve">HC-02549</t>
  </si>
  <si>
    <t xml:space="preserve">HC-02550</t>
  </si>
  <si>
    <t xml:space="preserve">P-0225</t>
  </si>
  <si>
    <t xml:space="preserve">HC-02551</t>
  </si>
  <si>
    <t xml:space="preserve">P-1782</t>
  </si>
  <si>
    <t xml:space="preserve">HC-02552</t>
  </si>
  <si>
    <t xml:space="preserve">P-0323</t>
  </si>
  <si>
    <t xml:space="preserve">HC-02553</t>
  </si>
  <si>
    <t xml:space="preserve">HC-02554</t>
  </si>
  <si>
    <t xml:space="preserve">HC-02555</t>
  </si>
  <si>
    <t xml:space="preserve">P-1303</t>
  </si>
  <si>
    <t xml:space="preserve">HC-02556</t>
  </si>
  <si>
    <t xml:space="preserve">HC-02557</t>
  </si>
  <si>
    <t xml:space="preserve">HC-02558</t>
  </si>
  <si>
    <t xml:space="preserve">P-0745</t>
  </si>
  <si>
    <t xml:space="preserve">HC-02559</t>
  </si>
  <si>
    <t xml:space="preserve">HC-02560</t>
  </si>
  <si>
    <t xml:space="preserve">HC-02561</t>
  </si>
  <si>
    <t xml:space="preserve">P-0558</t>
  </si>
  <si>
    <t xml:space="preserve">HC-02562</t>
  </si>
  <si>
    <t xml:space="preserve">P-0960</t>
  </si>
  <si>
    <t xml:space="preserve">HC-02563</t>
  </si>
  <si>
    <t xml:space="preserve">HC-02564</t>
  </si>
  <si>
    <t xml:space="preserve">HC-02565</t>
  </si>
  <si>
    <t xml:space="preserve">HC-02566</t>
  </si>
  <si>
    <t xml:space="preserve">HC-02567</t>
  </si>
  <si>
    <t xml:space="preserve">HC-02568</t>
  </si>
  <si>
    <t xml:space="preserve">HC-02569</t>
  </si>
  <si>
    <t xml:space="preserve">HC-02570</t>
  </si>
  <si>
    <t xml:space="preserve">HC-02571</t>
  </si>
  <si>
    <t xml:space="preserve">HC-02572</t>
  </si>
  <si>
    <t xml:space="preserve">P-0100</t>
  </si>
  <si>
    <t xml:space="preserve">HC-02573</t>
  </si>
  <si>
    <t xml:space="preserve">HC-02574</t>
  </si>
  <si>
    <t xml:space="preserve">P-0148</t>
  </si>
  <si>
    <t xml:space="preserve">HC-02575</t>
  </si>
  <si>
    <t xml:space="preserve">P-1744</t>
  </si>
  <si>
    <t xml:space="preserve">HC-02576</t>
  </si>
  <si>
    <t xml:space="preserve">HC-02577</t>
  </si>
  <si>
    <t xml:space="preserve">P-0322</t>
  </si>
  <si>
    <t xml:space="preserve">HC-02578</t>
  </si>
  <si>
    <t xml:space="preserve">P-1068</t>
  </si>
  <si>
    <t xml:space="preserve">HC-02579</t>
  </si>
  <si>
    <t xml:space="preserve">HC-02580</t>
  </si>
  <si>
    <t xml:space="preserve">HC-02581</t>
  </si>
  <si>
    <t xml:space="preserve">HC-02582</t>
  </si>
  <si>
    <t xml:space="preserve">HC-02583</t>
  </si>
  <si>
    <t xml:space="preserve">HC-02584</t>
  </si>
  <si>
    <t xml:space="preserve">P-1711</t>
  </si>
  <si>
    <t xml:space="preserve">HC-02585</t>
  </si>
  <si>
    <t xml:space="preserve">P-1035</t>
  </si>
  <si>
    <t xml:space="preserve">HC-02586</t>
  </si>
  <si>
    <t xml:space="preserve">HC-02587</t>
  </si>
  <si>
    <t xml:space="preserve">HC-02588</t>
  </si>
  <si>
    <t xml:space="preserve">HC-02589</t>
  </si>
  <si>
    <t xml:space="preserve">HC-02590</t>
  </si>
  <si>
    <t xml:space="preserve">HC-02591</t>
  </si>
  <si>
    <t xml:space="preserve">P-0397</t>
  </si>
  <si>
    <t xml:space="preserve">HC-02592</t>
  </si>
  <si>
    <t xml:space="preserve">P-0189</t>
  </si>
  <si>
    <t xml:space="preserve">HC-02593</t>
  </si>
  <si>
    <t xml:space="preserve">HC-02594</t>
  </si>
  <si>
    <t xml:space="preserve">HC-02595</t>
  </si>
  <si>
    <t xml:space="preserve">HC-02596</t>
  </si>
  <si>
    <t xml:space="preserve">HC-02597</t>
  </si>
  <si>
    <t xml:space="preserve">P-0592</t>
  </si>
  <si>
    <t xml:space="preserve">HC-02598</t>
  </si>
  <si>
    <t xml:space="preserve">HC-02599</t>
  </si>
  <si>
    <t xml:space="preserve">HC-02600</t>
  </si>
  <si>
    <t xml:space="preserve">HC-02601</t>
  </si>
  <si>
    <t xml:space="preserve">HC-02602</t>
  </si>
  <si>
    <t xml:space="preserve">HC-02603</t>
  </si>
  <si>
    <t xml:space="preserve">HC-02604</t>
  </si>
  <si>
    <t xml:space="preserve">HC-02605</t>
  </si>
  <si>
    <t xml:space="preserve">HC-02606</t>
  </si>
  <si>
    <t xml:space="preserve">HC-02607</t>
  </si>
  <si>
    <t xml:space="preserve">HC-02608</t>
  </si>
  <si>
    <t xml:space="preserve">P-0280</t>
  </si>
  <si>
    <t xml:space="preserve">HC-02609</t>
  </si>
  <si>
    <t xml:space="preserve">HC-02610</t>
  </si>
  <si>
    <t xml:space="preserve">HC-02611</t>
  </si>
  <si>
    <t xml:space="preserve">HC-02612</t>
  </si>
  <si>
    <t xml:space="preserve">HC-02613</t>
  </si>
  <si>
    <t xml:space="preserve">HC-02614</t>
  </si>
  <si>
    <t xml:space="preserve">P-0444</t>
  </si>
  <si>
    <t xml:space="preserve">HC-02615</t>
  </si>
  <si>
    <t xml:space="preserve">HC-02616</t>
  </si>
  <si>
    <t xml:space="preserve">HC-02617</t>
  </si>
  <si>
    <t xml:space="preserve">HC-02618</t>
  </si>
  <si>
    <t xml:space="preserve">HC-02619</t>
  </si>
  <si>
    <t xml:space="preserve">HC-02620</t>
  </si>
  <si>
    <t xml:space="preserve">HC-02621</t>
  </si>
  <si>
    <t xml:space="preserve">P-0042</t>
  </si>
  <si>
    <t xml:space="preserve">HC-02622</t>
  </si>
  <si>
    <t xml:space="preserve">HC-02623</t>
  </si>
  <si>
    <t xml:space="preserve">HC-02624</t>
  </si>
  <si>
    <t xml:space="preserve">HC-02625</t>
  </si>
  <si>
    <t xml:space="preserve">HC-02626</t>
  </si>
  <si>
    <t xml:space="preserve">HC-02627</t>
  </si>
  <si>
    <t xml:space="preserve">HC-02628</t>
  </si>
  <si>
    <t xml:space="preserve">P-1351</t>
  </si>
  <si>
    <t xml:space="preserve">HC-02629</t>
  </si>
  <si>
    <t xml:space="preserve">P-0526</t>
  </si>
  <si>
    <t xml:space="preserve">HC-02630</t>
  </si>
  <si>
    <t xml:space="preserve">HC-02631</t>
  </si>
  <si>
    <t xml:space="preserve">HC-02632</t>
  </si>
  <si>
    <t xml:space="preserve">HC-02633</t>
  </si>
  <si>
    <t xml:space="preserve">HC-02634</t>
  </si>
  <si>
    <t xml:space="preserve">HC-02635</t>
  </si>
  <si>
    <t xml:space="preserve">P-0007</t>
  </si>
  <si>
    <t xml:space="preserve">HC-02636</t>
  </si>
  <si>
    <t xml:space="preserve">HC-02637</t>
  </si>
  <si>
    <t xml:space="preserve">HC-02638</t>
  </si>
  <si>
    <t xml:space="preserve">HC-02639</t>
  </si>
  <si>
    <t xml:space="preserve">HC-02640</t>
  </si>
  <si>
    <t xml:space="preserve">HC-02641</t>
  </si>
  <si>
    <t xml:space="preserve">HC-02642</t>
  </si>
  <si>
    <t xml:space="preserve">HC-02643</t>
  </si>
  <si>
    <t xml:space="preserve">HC-02644</t>
  </si>
  <si>
    <t xml:space="preserve">P-0613</t>
  </si>
  <si>
    <t xml:space="preserve">HC-02645</t>
  </si>
  <si>
    <t xml:space="preserve">HC-02646</t>
  </si>
  <si>
    <t xml:space="preserve">P-0583</t>
  </si>
  <si>
    <t xml:space="preserve">HC-02647</t>
  </si>
  <si>
    <t xml:space="preserve">HC-02648</t>
  </si>
  <si>
    <t xml:space="preserve">HC-02649</t>
  </si>
  <si>
    <t xml:space="preserve">HC-02650</t>
  </si>
  <si>
    <t xml:space="preserve">HC-02651</t>
  </si>
  <si>
    <t xml:space="preserve">P-0520</t>
  </si>
  <si>
    <t xml:space="preserve">HC-02652</t>
  </si>
  <si>
    <t xml:space="preserve">P-1533</t>
  </si>
  <si>
    <t xml:space="preserve">HC-02653</t>
  </si>
  <si>
    <t xml:space="preserve">P-0835</t>
  </si>
  <si>
    <t xml:space="preserve">HC-02654</t>
  </si>
  <si>
    <t xml:space="preserve">HC-02655</t>
  </si>
  <si>
    <t xml:space="preserve">P-0249</t>
  </si>
  <si>
    <t xml:space="preserve">HC-02656</t>
  </si>
  <si>
    <t xml:space="preserve">HC-02657</t>
  </si>
  <si>
    <t xml:space="preserve">HC-02658</t>
  </si>
  <si>
    <t xml:space="preserve">P-0255</t>
  </si>
  <si>
    <t xml:space="preserve">HC-02659</t>
  </si>
  <si>
    <t xml:space="preserve">HC-02660</t>
  </si>
  <si>
    <t xml:space="preserve">HC-02661</t>
  </si>
  <si>
    <t xml:space="preserve">HC-02662</t>
  </si>
  <si>
    <t xml:space="preserve">HC-02663</t>
  </si>
  <si>
    <t xml:space="preserve">HC-02664</t>
  </si>
  <si>
    <t xml:space="preserve">HC-02665</t>
  </si>
  <si>
    <t xml:space="preserve">HC-02666</t>
  </si>
  <si>
    <t xml:space="preserve">HC-02667</t>
  </si>
  <si>
    <t xml:space="preserve">HC-02668</t>
  </si>
  <si>
    <t xml:space="preserve">HC-02669</t>
  </si>
  <si>
    <t xml:space="preserve">HC-02670</t>
  </si>
  <si>
    <t xml:space="preserve">HC-02671</t>
  </si>
  <si>
    <t xml:space="preserve">HC-02672</t>
  </si>
  <si>
    <t xml:space="preserve">HC-02673</t>
  </si>
  <si>
    <t xml:space="preserve">HC-02674</t>
  </si>
  <si>
    <t xml:space="preserve">HC-02675</t>
  </si>
  <si>
    <t xml:space="preserve">HC-02676</t>
  </si>
  <si>
    <t xml:space="preserve">P-1663</t>
  </si>
  <si>
    <t xml:space="preserve">HC-02677</t>
  </si>
  <si>
    <t xml:space="preserve">P-0971</t>
  </si>
  <si>
    <t xml:space="preserve">HC-02678</t>
  </si>
  <si>
    <t xml:space="preserve">P-0056</t>
  </si>
  <si>
    <t xml:space="preserve">HC-02679</t>
  </si>
  <si>
    <t xml:space="preserve">P-0469</t>
  </si>
  <si>
    <t xml:space="preserve">HC-02680</t>
  </si>
  <si>
    <t xml:space="preserve">HC-02681</t>
  </si>
  <si>
    <t xml:space="preserve">HC-02682</t>
  </si>
  <si>
    <t xml:space="preserve">HC-02683</t>
  </si>
  <si>
    <t xml:space="preserve">HC-02684</t>
  </si>
  <si>
    <t xml:space="preserve">P-1263</t>
  </si>
  <si>
    <t xml:space="preserve">HC-02685</t>
  </si>
  <si>
    <t xml:space="preserve">HC-02686</t>
  </si>
  <si>
    <t xml:space="preserve">HC-02687</t>
  </si>
  <si>
    <t xml:space="preserve">HC-02688</t>
  </si>
  <si>
    <t xml:space="preserve">HC-02689</t>
  </si>
  <si>
    <t xml:space="preserve">HC-02690</t>
  </si>
  <si>
    <t xml:space="preserve">P-0755</t>
  </si>
  <si>
    <t xml:space="preserve">HC-02691</t>
  </si>
  <si>
    <t xml:space="preserve">HC-02692</t>
  </si>
  <si>
    <t xml:space="preserve">P-1147</t>
  </si>
  <si>
    <t xml:space="preserve">HC-02693</t>
  </si>
  <si>
    <t xml:space="preserve">HC-02694</t>
  </si>
  <si>
    <t xml:space="preserve">P-1654</t>
  </si>
  <si>
    <t xml:space="preserve">HC-02695</t>
  </si>
  <si>
    <t xml:space="preserve">HC-02696</t>
  </si>
  <si>
    <t xml:space="preserve">HC-02697</t>
  </si>
  <si>
    <t xml:space="preserve">HC-02698</t>
  </si>
  <si>
    <t xml:space="preserve">HC-02699</t>
  </si>
  <si>
    <t xml:space="preserve">P-0781</t>
  </si>
  <si>
    <t xml:space="preserve">HC-02700</t>
  </si>
  <si>
    <t xml:space="preserve">HC-02701</t>
  </si>
  <si>
    <t xml:space="preserve">HC-02702</t>
  </si>
  <si>
    <t xml:space="preserve">HC-02703</t>
  </si>
  <si>
    <t xml:space="preserve">HC-02704</t>
  </si>
  <si>
    <t xml:space="preserve">HC-02705</t>
  </si>
  <si>
    <t xml:space="preserve">HC-02706</t>
  </si>
  <si>
    <t xml:space="preserve">HC-02707</t>
  </si>
  <si>
    <t xml:space="preserve">HC-02708</t>
  </si>
  <si>
    <t xml:space="preserve">HC-02709</t>
  </si>
  <si>
    <t xml:space="preserve">HC-02710</t>
  </si>
  <si>
    <t xml:space="preserve">HC-02711</t>
  </si>
  <si>
    <t xml:space="preserve">HC-02712</t>
  </si>
  <si>
    <t xml:space="preserve">HC-02713</t>
  </si>
  <si>
    <t xml:space="preserve">P-1135</t>
  </si>
  <si>
    <t xml:space="preserve">HC-02714</t>
  </si>
  <si>
    <t xml:space="preserve">HC-02715</t>
  </si>
  <si>
    <t xml:space="preserve">HC-02716</t>
  </si>
  <si>
    <t xml:space="preserve">HC-02717</t>
  </si>
  <si>
    <t xml:space="preserve">HC-02718</t>
  </si>
  <si>
    <t xml:space="preserve">HC-02719</t>
  </si>
  <si>
    <t xml:space="preserve">HC-02720</t>
  </si>
  <si>
    <t xml:space="preserve">HC-02721</t>
  </si>
  <si>
    <t xml:space="preserve">HC-02722</t>
  </si>
  <si>
    <t xml:space="preserve">HC-02723</t>
  </si>
  <si>
    <t xml:space="preserve">HC-02724</t>
  </si>
  <si>
    <t xml:space="preserve">HC-02725</t>
  </si>
  <si>
    <t xml:space="preserve">HC-02726</t>
  </si>
  <si>
    <t xml:space="preserve">HC-02727</t>
  </si>
  <si>
    <t xml:space="preserve">HC-02728</t>
  </si>
  <si>
    <t xml:space="preserve">HC-02729</t>
  </si>
  <si>
    <t xml:space="preserve">HC-02730</t>
  </si>
  <si>
    <t xml:space="preserve">HC-02731</t>
  </si>
  <si>
    <t xml:space="preserve">HC-02732</t>
  </si>
  <si>
    <t xml:space="preserve">HC-02733</t>
  </si>
  <si>
    <t xml:space="preserve">HC-02734</t>
  </si>
  <si>
    <t xml:space="preserve">HC-02735</t>
  </si>
  <si>
    <t xml:space="preserve">HC-02736</t>
  </si>
  <si>
    <t xml:space="preserve">HC-02737</t>
  </si>
  <si>
    <t xml:space="preserve">HC-02738</t>
  </si>
  <si>
    <t xml:space="preserve">P-0829</t>
  </si>
  <si>
    <t xml:space="preserve">HC-02739</t>
  </si>
  <si>
    <t xml:space="preserve">HC-02740</t>
  </si>
  <si>
    <t xml:space="preserve">P-1467</t>
  </si>
  <si>
    <t xml:space="preserve">HC-02741</t>
  </si>
  <si>
    <t xml:space="preserve">P-1341</t>
  </si>
  <si>
    <t xml:space="preserve">HC-02742</t>
  </si>
  <si>
    <t xml:space="preserve">HC-02743</t>
  </si>
  <si>
    <t xml:space="preserve">P-1318</t>
  </si>
  <si>
    <t xml:space="preserve">HC-02744</t>
  </si>
  <si>
    <t xml:space="preserve">HC-02745</t>
  </si>
  <si>
    <t xml:space="preserve">HC-02746</t>
  </si>
  <si>
    <t xml:space="preserve">HC-02747</t>
  </si>
  <si>
    <t xml:space="preserve">HC-02748</t>
  </si>
  <si>
    <t xml:space="preserve">HC-02749</t>
  </si>
  <si>
    <t xml:space="preserve">HC-02750</t>
  </si>
  <si>
    <t xml:space="preserve">P-0369</t>
  </si>
  <si>
    <t xml:space="preserve">HC-02751</t>
  </si>
  <si>
    <t xml:space="preserve">HC-02752</t>
  </si>
  <si>
    <t xml:space="preserve">HC-02753</t>
  </si>
  <si>
    <t xml:space="preserve">HC-02754</t>
  </si>
  <si>
    <t xml:space="preserve">HC-02755</t>
  </si>
  <si>
    <t xml:space="preserve">HC-02756</t>
  </si>
  <si>
    <t xml:space="preserve">HC-02757</t>
  </si>
  <si>
    <t xml:space="preserve">HC-02758</t>
  </si>
  <si>
    <t xml:space="preserve">HC-02759</t>
  </si>
  <si>
    <t xml:space="preserve">HC-02760</t>
  </si>
  <si>
    <t xml:space="preserve">HC-02761</t>
  </si>
  <si>
    <t xml:space="preserve">HC-02762</t>
  </si>
  <si>
    <t xml:space="preserve">HC-02763</t>
  </si>
  <si>
    <t xml:space="preserve">HC-02764</t>
  </si>
  <si>
    <t xml:space="preserve">HC-02765</t>
  </si>
  <si>
    <t xml:space="preserve">P-0085</t>
  </si>
  <si>
    <t xml:space="preserve">HC-02766</t>
  </si>
  <si>
    <t xml:space="preserve">HC-02767</t>
  </si>
  <si>
    <t xml:space="preserve">HC-02768</t>
  </si>
  <si>
    <t xml:space="preserve">HC-02769</t>
  </si>
  <si>
    <t xml:space="preserve">HC-02770</t>
  </si>
  <si>
    <t xml:space="preserve">HC-02771</t>
  </si>
  <si>
    <t xml:space="preserve">HC-02772</t>
  </si>
  <si>
    <t xml:space="preserve">HC-02773</t>
  </si>
  <si>
    <t xml:space="preserve">P-1773</t>
  </si>
  <si>
    <t xml:space="preserve">HC-02774</t>
  </si>
  <si>
    <t xml:space="preserve">HC-02775</t>
  </si>
  <si>
    <t xml:space="preserve">HC-02776</t>
  </si>
  <si>
    <t xml:space="preserve">P-1115</t>
  </si>
  <si>
    <t xml:space="preserve">HC-02777</t>
  </si>
  <si>
    <t xml:space="preserve">HC-02778</t>
  </si>
  <si>
    <t xml:space="preserve">HC-02779</t>
  </si>
  <si>
    <t xml:space="preserve">HC-02780</t>
  </si>
  <si>
    <t xml:space="preserve">HC-02781</t>
  </si>
  <si>
    <t xml:space="preserve">HC-02782</t>
  </si>
  <si>
    <t xml:space="preserve">HC-02783</t>
  </si>
  <si>
    <t xml:space="preserve">P-1230</t>
  </si>
  <si>
    <t xml:space="preserve">HC-02784</t>
  </si>
  <si>
    <t xml:space="preserve">HC-02785</t>
  </si>
  <si>
    <t xml:space="preserve">HC-02786</t>
  </si>
  <si>
    <t xml:space="preserve">HC-02787</t>
  </si>
  <si>
    <t xml:space="preserve">P-0104</t>
  </si>
  <si>
    <t xml:space="preserve">HC-02788</t>
  </si>
  <si>
    <t xml:space="preserve">HC-02789</t>
  </si>
  <si>
    <t xml:space="preserve">HC-02790</t>
  </si>
  <si>
    <t xml:space="preserve">HC-02791</t>
  </si>
  <si>
    <t xml:space="preserve">HC-02792</t>
  </si>
  <si>
    <t xml:space="preserve">HC-02793</t>
  </si>
  <si>
    <t xml:space="preserve">HC-02794</t>
  </si>
  <si>
    <t xml:space="preserve">HC-02795</t>
  </si>
  <si>
    <t xml:space="preserve">HC-02796</t>
  </si>
  <si>
    <t xml:space="preserve">P-0958</t>
  </si>
  <si>
    <t xml:space="preserve">HC-02797</t>
  </si>
  <si>
    <t xml:space="preserve">P-0746</t>
  </si>
  <si>
    <t xml:space="preserve">HC-02798</t>
  </si>
  <si>
    <t xml:space="preserve">P-0696</t>
  </si>
  <si>
    <t xml:space="preserve">HC-02799</t>
  </si>
  <si>
    <t xml:space="preserve">HC-02800</t>
  </si>
  <si>
    <t xml:space="preserve">P-0690</t>
  </si>
  <si>
    <t xml:space="preserve">HC-02801</t>
  </si>
  <si>
    <t xml:space="preserve">P-0934</t>
  </si>
  <si>
    <t xml:space="preserve">HC-02802</t>
  </si>
  <si>
    <t xml:space="preserve">P-0942</t>
  </si>
  <si>
    <t xml:space="preserve">HC-02803</t>
  </si>
  <si>
    <t xml:space="preserve">P-1460</t>
  </si>
  <si>
    <t xml:space="preserve">HC-02804</t>
  </si>
  <si>
    <t xml:space="preserve">HC-02805</t>
  </si>
  <si>
    <t xml:space="preserve">HC-02806</t>
  </si>
  <si>
    <t xml:space="preserve">HC-02807</t>
  </si>
  <si>
    <t xml:space="preserve">HC-02808</t>
  </si>
  <si>
    <t xml:space="preserve">HC-02809</t>
  </si>
  <si>
    <t xml:space="preserve">HC-02810</t>
  </si>
  <si>
    <t xml:space="preserve">HC-02811</t>
  </si>
  <si>
    <t xml:space="preserve">HC-02812</t>
  </si>
  <si>
    <t xml:space="preserve">HC-02813</t>
  </si>
  <si>
    <t xml:space="preserve">HC-02814</t>
  </si>
  <si>
    <t xml:space="preserve">HC-02815</t>
  </si>
  <si>
    <t xml:space="preserve">HC-02816</t>
  </si>
  <si>
    <t xml:space="preserve">HC-02817</t>
  </si>
  <si>
    <t xml:space="preserve">HC-02818</t>
  </si>
  <si>
    <t xml:space="preserve">P-0223</t>
  </si>
  <si>
    <t xml:space="preserve">HC-02819</t>
  </si>
  <si>
    <t xml:space="preserve">HC-02820</t>
  </si>
  <si>
    <t xml:space="preserve">HC-02821</t>
  </si>
  <si>
    <t xml:space="preserve">HC-02822</t>
  </si>
  <si>
    <t xml:space="preserve">HC-02823</t>
  </si>
  <si>
    <t xml:space="preserve">P-0544</t>
  </si>
  <si>
    <t xml:space="preserve">HC-02824</t>
  </si>
  <si>
    <t xml:space="preserve">HC-02825</t>
  </si>
  <si>
    <t xml:space="preserve">HC-02826</t>
  </si>
  <si>
    <t xml:space="preserve">HC-02827</t>
  </si>
  <si>
    <t xml:space="preserve">P-0089</t>
  </si>
  <si>
    <t xml:space="preserve">HC-02828</t>
  </si>
  <si>
    <t xml:space="preserve">HC-02829</t>
  </si>
  <si>
    <t xml:space="preserve">P-1359</t>
  </si>
  <si>
    <t xml:space="preserve">HC-02830</t>
  </si>
  <si>
    <t xml:space="preserve">P-1391</t>
  </si>
  <si>
    <t xml:space="preserve">HC-02831</t>
  </si>
  <si>
    <t xml:space="preserve">HC-02832</t>
  </si>
  <si>
    <t xml:space="preserve">HC-02833</t>
  </si>
  <si>
    <t xml:space="preserve">HC-02834</t>
  </si>
  <si>
    <t xml:space="preserve">HC-02835</t>
  </si>
  <si>
    <t xml:space="preserve">HC-02836</t>
  </si>
  <si>
    <t xml:space="preserve">P-0476</t>
  </si>
  <si>
    <t xml:space="preserve">HC-02837</t>
  </si>
  <si>
    <t xml:space="preserve">HC-02838</t>
  </si>
  <si>
    <t xml:space="preserve">HC-02839</t>
  </si>
  <si>
    <t xml:space="preserve">HC-02840</t>
  </si>
  <si>
    <t xml:space="preserve">HC-02841</t>
  </si>
  <si>
    <t xml:space="preserve">HC-02842</t>
  </si>
  <si>
    <t xml:space="preserve">HC-02843</t>
  </si>
  <si>
    <t xml:space="preserve">HC-02844</t>
  </si>
  <si>
    <t xml:space="preserve">HC-02845</t>
  </si>
  <si>
    <t xml:space="preserve">P-0754</t>
  </si>
  <si>
    <t xml:space="preserve">HC-02846</t>
  </si>
  <si>
    <t xml:space="preserve">HC-02847</t>
  </si>
  <si>
    <t xml:space="preserve">HC-02848</t>
  </si>
  <si>
    <t xml:space="preserve">P-1062</t>
  </si>
  <si>
    <t xml:space="preserve">HC-02849</t>
  </si>
  <si>
    <t xml:space="preserve">P-1159</t>
  </si>
  <si>
    <t xml:space="preserve">HC-02850</t>
  </si>
  <si>
    <t xml:space="preserve">HC-02851</t>
  </si>
  <si>
    <t xml:space="preserve">HC-02852</t>
  </si>
  <si>
    <t xml:space="preserve">HC-02853</t>
  </si>
  <si>
    <t xml:space="preserve">HC-02854</t>
  </si>
  <si>
    <t xml:space="preserve">P-0830</t>
  </si>
  <si>
    <t xml:space="preserve">HC-02855</t>
  </si>
  <si>
    <t xml:space="preserve">HC-02856</t>
  </si>
  <si>
    <t xml:space="preserve">P-1103</t>
  </si>
  <si>
    <t xml:space="preserve">HC-02857</t>
  </si>
  <si>
    <t xml:space="preserve">HC-02858</t>
  </si>
  <si>
    <t xml:space="preserve">HC-02859</t>
  </si>
  <si>
    <t xml:space="preserve">HC-02860</t>
  </si>
  <si>
    <t xml:space="preserve">HC-02861</t>
  </si>
  <si>
    <t xml:space="preserve">HC-02862</t>
  </si>
  <si>
    <t xml:space="preserve">HC-02863</t>
  </si>
  <si>
    <t xml:space="preserve">HC-02864</t>
  </si>
  <si>
    <t xml:space="preserve">HC-02865</t>
  </si>
  <si>
    <t xml:space="preserve">HC-02866</t>
  </si>
  <si>
    <t xml:space="preserve">P-1478</t>
  </si>
  <si>
    <t xml:space="preserve">HC-02867</t>
  </si>
  <si>
    <t xml:space="preserve">HC-02868</t>
  </si>
  <si>
    <t xml:space="preserve">HC-02869</t>
  </si>
  <si>
    <t xml:space="preserve">P-1200</t>
  </si>
  <si>
    <t xml:space="preserve">HC-02870</t>
  </si>
  <si>
    <t xml:space="preserve">HC-02871</t>
  </si>
  <si>
    <t xml:space="preserve">HC-02872</t>
  </si>
  <si>
    <t xml:space="preserve">HC-02873</t>
  </si>
  <si>
    <t xml:space="preserve">HC-02874</t>
  </si>
  <si>
    <t xml:space="preserve">HC-02875</t>
  </si>
  <si>
    <t xml:space="preserve">HC-02876</t>
  </si>
  <si>
    <t xml:space="preserve">P-1448</t>
  </si>
  <si>
    <t xml:space="preserve">HC-02877</t>
  </si>
  <si>
    <t xml:space="preserve">HC-02878</t>
  </si>
  <si>
    <t xml:space="preserve">P-1567</t>
  </si>
  <si>
    <t xml:space="preserve">HC-02879</t>
  </si>
  <si>
    <t xml:space="preserve">HC-02880</t>
  </si>
  <si>
    <t xml:space="preserve">HC-02881</t>
  </si>
  <si>
    <t xml:space="preserve">HC-02882</t>
  </si>
  <si>
    <t xml:space="preserve">HC-02883</t>
  </si>
  <si>
    <t xml:space="preserve">HC-02884</t>
  </si>
  <si>
    <t xml:space="preserve">HC-02885</t>
  </si>
  <si>
    <t xml:space="preserve">HC-02886</t>
  </si>
  <si>
    <t xml:space="preserve">HC-02887</t>
  </si>
  <si>
    <t xml:space="preserve">HC-02888</t>
  </si>
  <si>
    <t xml:space="preserve">P-0013</t>
  </si>
  <si>
    <t xml:space="preserve">HC-02889</t>
  </si>
  <si>
    <t xml:space="preserve">P-0571</t>
  </si>
  <si>
    <t xml:space="preserve">HC-02890</t>
  </si>
  <si>
    <t xml:space="preserve">HC-02891</t>
  </si>
  <si>
    <t xml:space="preserve">HC-02892</t>
  </si>
  <si>
    <t xml:space="preserve">P-1312</t>
  </si>
  <si>
    <t xml:space="preserve">HC-02893</t>
  </si>
  <si>
    <t xml:space="preserve">HC-02894</t>
  </si>
  <si>
    <t xml:space="preserve">HC-02895</t>
  </si>
  <si>
    <t xml:space="preserve">HC-02896</t>
  </si>
  <si>
    <t xml:space="preserve">P-1275</t>
  </si>
  <si>
    <t xml:space="preserve">HC-02897</t>
  </si>
  <si>
    <t xml:space="preserve">P-0081</t>
  </si>
  <si>
    <t xml:space="preserve">HC-02898</t>
  </si>
  <si>
    <t xml:space="preserve">HC-02899</t>
  </si>
  <si>
    <t xml:space="preserve">HC-02900</t>
  </si>
  <si>
    <t xml:space="preserve">HC-02901</t>
  </si>
  <si>
    <t xml:space="preserve">HC-02902</t>
  </si>
  <si>
    <t xml:space="preserve">HC-02903</t>
  </si>
  <si>
    <t xml:space="preserve">HC-02904</t>
  </si>
  <si>
    <t xml:space="preserve">HC-02905</t>
  </si>
  <si>
    <t xml:space="preserve">HC-02906</t>
  </si>
  <si>
    <t xml:space="preserve">HC-02907</t>
  </si>
  <si>
    <t xml:space="preserve">P-1766</t>
  </si>
  <si>
    <t xml:space="preserve">HC-02908</t>
  </si>
  <si>
    <t xml:space="preserve">HC-02909</t>
  </si>
  <si>
    <t xml:space="preserve">P-1781</t>
  </si>
  <si>
    <t xml:space="preserve">HC-02910</t>
  </si>
  <si>
    <t xml:space="preserve">HC-02911</t>
  </si>
  <si>
    <t xml:space="preserve">HC-02912</t>
  </si>
  <si>
    <t xml:space="preserve">HC-02913</t>
  </si>
  <si>
    <t xml:space="preserve">HC-02914</t>
  </si>
  <si>
    <t xml:space="preserve">HC-02915</t>
  </si>
  <si>
    <t xml:space="preserve">HC-02916</t>
  </si>
  <si>
    <t xml:space="preserve">HC-02917</t>
  </si>
  <si>
    <t xml:space="preserve">HC-02918</t>
  </si>
  <si>
    <t xml:space="preserve">HC-02919</t>
  </si>
  <si>
    <t xml:space="preserve">HC-02920</t>
  </si>
  <si>
    <t xml:space="preserve">HC-02921</t>
  </si>
  <si>
    <t xml:space="preserve">HC-02922</t>
  </si>
  <si>
    <t xml:space="preserve">HC-02923</t>
  </si>
  <si>
    <t xml:space="preserve">HC-02924</t>
  </si>
  <si>
    <t xml:space="preserve">HC-02925</t>
  </si>
  <si>
    <t xml:space="preserve">HC-02926</t>
  </si>
  <si>
    <t xml:space="preserve">P-0172</t>
  </si>
  <si>
    <t xml:space="preserve">HC-02927</t>
  </si>
  <si>
    <t xml:space="preserve">HC-02928</t>
  </si>
  <si>
    <t xml:space="preserve">HC-02929</t>
  </si>
  <si>
    <t xml:space="preserve">HC-02930</t>
  </si>
  <si>
    <t xml:space="preserve">HC-02931</t>
  </si>
  <si>
    <t xml:space="preserve">HC-02932</t>
  </si>
  <si>
    <t xml:space="preserve">HC-02933</t>
  </si>
  <si>
    <t xml:space="preserve">P-0097</t>
  </si>
  <si>
    <t xml:space="preserve">HC-02934</t>
  </si>
  <si>
    <t xml:space="preserve">HC-02935</t>
  </si>
  <si>
    <t xml:space="preserve">HC-02936</t>
  </si>
  <si>
    <t xml:space="preserve">HC-02937</t>
  </si>
  <si>
    <t xml:space="preserve">P-1440</t>
  </si>
  <si>
    <t xml:space="preserve">HC-02938</t>
  </si>
  <si>
    <t xml:space="preserve">HC-02939</t>
  </si>
  <si>
    <t xml:space="preserve">HC-02940</t>
  </si>
  <si>
    <t xml:space="preserve">P-0824</t>
  </si>
  <si>
    <t xml:space="preserve">HC-02941</t>
  </si>
  <si>
    <t xml:space="preserve">P-0001</t>
  </si>
  <si>
    <t xml:space="preserve">HC-02942</t>
  </si>
  <si>
    <t xml:space="preserve">HC-02943</t>
  </si>
  <si>
    <t xml:space="preserve">HC-02944</t>
  </si>
  <si>
    <t xml:space="preserve">HC-02945</t>
  </si>
  <si>
    <t xml:space="preserve">HC-02946</t>
  </si>
  <si>
    <t xml:space="preserve">P-0399</t>
  </si>
  <si>
    <t xml:space="preserve">HC-02947</t>
  </si>
  <si>
    <t xml:space="preserve">HC-02948</t>
  </si>
  <si>
    <t xml:space="preserve">P-1307</t>
  </si>
  <si>
    <t xml:space="preserve">HC-02949</t>
  </si>
  <si>
    <t xml:space="preserve">HC-02950</t>
  </si>
  <si>
    <t xml:space="preserve">HC-02951</t>
  </si>
  <si>
    <t xml:space="preserve">HC-02952</t>
  </si>
  <si>
    <t xml:space="preserve">HC-02953</t>
  </si>
  <si>
    <t xml:space="preserve">HC-02954</t>
  </si>
  <si>
    <t xml:space="preserve">HC-02955</t>
  </si>
  <si>
    <t xml:space="preserve">HC-02956</t>
  </si>
  <si>
    <t xml:space="preserve">P-0466</t>
  </si>
  <si>
    <t xml:space="preserve">HC-02957</t>
  </si>
  <si>
    <t xml:space="preserve">HC-02958</t>
  </si>
  <si>
    <t xml:space="preserve">HC-02959</t>
  </si>
  <si>
    <t xml:space="preserve">P-0530</t>
  </si>
  <si>
    <t xml:space="preserve">HC-02960</t>
  </si>
  <si>
    <t xml:space="preserve">HC-02961</t>
  </si>
  <si>
    <t xml:space="preserve">P-1143</t>
  </si>
  <si>
    <t xml:space="preserve">HC-02962</t>
  </si>
  <si>
    <t xml:space="preserve">HC-02963</t>
  </si>
  <si>
    <t xml:space="preserve">HC-02964</t>
  </si>
  <si>
    <t xml:space="preserve">HC-02965</t>
  </si>
  <si>
    <t xml:space="preserve">HC-02966</t>
  </si>
  <si>
    <t xml:space="preserve">HC-02967</t>
  </si>
  <si>
    <t xml:space="preserve">HC-02968</t>
  </si>
  <si>
    <t xml:space="preserve">HC-02969</t>
  </si>
  <si>
    <t xml:space="preserve">P-0161</t>
  </si>
  <si>
    <t xml:space="preserve">HC-02970</t>
  </si>
  <si>
    <t xml:space="preserve">HC-02971</t>
  </si>
  <si>
    <t xml:space="preserve">HC-02972</t>
  </si>
  <si>
    <t xml:space="preserve">HC-02973</t>
  </si>
  <si>
    <t xml:space="preserve">HC-02974</t>
  </si>
  <si>
    <t xml:space="preserve">HC-02975</t>
  </si>
  <si>
    <t xml:space="preserve">HC-02976</t>
  </si>
  <si>
    <t xml:space="preserve">HC-02977</t>
  </si>
  <si>
    <t xml:space="preserve">HC-02978</t>
  </si>
  <si>
    <t xml:space="preserve">P-0679</t>
  </si>
  <si>
    <t xml:space="preserve">HC-02979</t>
  </si>
  <si>
    <t xml:space="preserve">P-0003</t>
  </si>
  <si>
    <t xml:space="preserve">HC-02980</t>
  </si>
  <si>
    <t xml:space="preserve">HC-02981</t>
  </si>
  <si>
    <t xml:space="preserve">P-0008</t>
  </si>
  <si>
    <t xml:space="preserve">HC-02982</t>
  </si>
  <si>
    <t xml:space="preserve">HC-02983</t>
  </si>
  <si>
    <t xml:space="preserve">HC-02984</t>
  </si>
  <si>
    <t xml:space="preserve">HC-02985</t>
  </si>
  <si>
    <t xml:space="preserve">HC-02986</t>
  </si>
  <si>
    <t xml:space="preserve">HC-02987</t>
  </si>
  <si>
    <t xml:space="preserve">HC-02988</t>
  </si>
  <si>
    <t xml:space="preserve">P-0744</t>
  </si>
  <si>
    <t xml:space="preserve">HC-02989</t>
  </si>
  <si>
    <t xml:space="preserve">HC-02990</t>
  </si>
  <si>
    <t xml:space="preserve">HC-02991</t>
  </si>
  <si>
    <t xml:space="preserve">HC-02992</t>
  </si>
  <si>
    <t xml:space="preserve">HC-02993</t>
  </si>
  <si>
    <t xml:space="preserve">HC-02994</t>
  </si>
  <si>
    <t xml:space="preserve">P-1699</t>
  </si>
  <si>
    <t xml:space="preserve">HC-02995</t>
  </si>
  <si>
    <t xml:space="preserve">HC-02996</t>
  </si>
  <si>
    <t xml:space="preserve">HC-02997</t>
  </si>
  <si>
    <t xml:space="preserve">P-0761</t>
  </si>
  <si>
    <t xml:space="preserve">HC-02998</t>
  </si>
  <si>
    <t xml:space="preserve">HC-02999</t>
  </si>
  <si>
    <t xml:space="preserve">P-1795</t>
  </si>
  <si>
    <t xml:space="preserve">HC-03000</t>
  </si>
  <si>
    <t xml:space="preserve">HC-03001</t>
  </si>
  <si>
    <t xml:space="preserve">HC-03002</t>
  </si>
  <si>
    <t xml:space="preserve">HC-03003</t>
  </si>
  <si>
    <t xml:space="preserve">HC-03004</t>
  </si>
  <si>
    <t xml:space="preserve">HC-03005</t>
  </si>
  <si>
    <t xml:space="preserve">HC-03006</t>
  </si>
  <si>
    <t xml:space="preserve">P-1203</t>
  </si>
  <si>
    <t xml:space="preserve">HC-03007</t>
  </si>
  <si>
    <t xml:space="preserve">HC-03008</t>
  </si>
  <si>
    <t xml:space="preserve">HC-03009</t>
  </si>
  <si>
    <t xml:space="preserve">P-1721</t>
  </si>
  <si>
    <t xml:space="preserve">HC-03010</t>
  </si>
  <si>
    <t xml:space="preserve">HC-03011</t>
  </si>
  <si>
    <t xml:space="preserve">HC-03012</t>
  </si>
  <si>
    <t xml:space="preserve">P-1158</t>
  </si>
  <si>
    <t xml:space="preserve">HC-03013</t>
  </si>
  <si>
    <t xml:space="preserve">HC-03014</t>
  </si>
  <si>
    <t xml:space="preserve">HC-03015</t>
  </si>
  <si>
    <t xml:space="preserve">HC-03016</t>
  </si>
  <si>
    <t xml:space="preserve">HC-03017</t>
  </si>
  <si>
    <t xml:space="preserve">HC-03018</t>
  </si>
  <si>
    <t xml:space="preserve">HC-03019</t>
  </si>
  <si>
    <t xml:space="preserve">HC-03020</t>
  </si>
  <si>
    <t xml:space="preserve">HC-03021</t>
  </si>
  <si>
    <t xml:space="preserve">HC-03022</t>
  </si>
  <si>
    <t xml:space="preserve">HC-03023</t>
  </si>
  <si>
    <t xml:space="preserve">P-0445</t>
  </si>
  <si>
    <t xml:space="preserve">HC-03024</t>
  </si>
  <si>
    <t xml:space="preserve">HC-03025</t>
  </si>
  <si>
    <t xml:space="preserve">HC-03026</t>
  </si>
  <si>
    <t xml:space="preserve">HC-03027</t>
  </si>
  <si>
    <t xml:space="preserve">HC-03028</t>
  </si>
  <si>
    <t xml:space="preserve">HC-03029</t>
  </si>
  <si>
    <t xml:space="preserve">HC-03030</t>
  </si>
  <si>
    <t xml:space="preserve">HC-03031</t>
  </si>
  <si>
    <t xml:space="preserve">P-0026</t>
  </si>
  <si>
    <t xml:space="preserve">HC-03032</t>
  </si>
  <si>
    <t xml:space="preserve">P-0532</t>
  </si>
  <si>
    <t xml:space="preserve">HC-03033</t>
  </si>
  <si>
    <t xml:space="preserve">HC-03034</t>
  </si>
  <si>
    <t xml:space="preserve">HC-03035</t>
  </si>
  <si>
    <t xml:space="preserve">HC-03036</t>
  </si>
  <si>
    <t xml:space="preserve">HC-03037</t>
  </si>
  <si>
    <t xml:space="preserve">P-1707</t>
  </si>
  <si>
    <t xml:space="preserve">HC-03038</t>
  </si>
  <si>
    <t xml:space="preserve">HC-03039</t>
  </si>
  <si>
    <t xml:space="preserve">HC-03040</t>
  </si>
  <si>
    <t xml:space="preserve">P-1680</t>
  </si>
  <si>
    <t xml:space="preserve">HC-03041</t>
  </si>
  <si>
    <t xml:space="preserve">HC-03042</t>
  </si>
  <si>
    <t xml:space="preserve">HC-03043</t>
  </si>
  <si>
    <t xml:space="preserve">HC-03044</t>
  </si>
  <si>
    <t xml:space="preserve">HC-03045</t>
  </si>
  <si>
    <t xml:space="preserve">HC-03046</t>
  </si>
  <si>
    <t xml:space="preserve">HC-03047</t>
  </si>
  <si>
    <t xml:space="preserve">HC-03048</t>
  </si>
  <si>
    <t xml:space="preserve">HC-03049</t>
  </si>
  <si>
    <t xml:space="preserve">HC-03050</t>
  </si>
  <si>
    <t xml:space="preserve">HC-03051</t>
  </si>
  <si>
    <t xml:space="preserve">HC-03052</t>
  </si>
  <si>
    <t xml:space="preserve">HC-03053</t>
  </si>
  <si>
    <t xml:space="preserve">HC-03054</t>
  </si>
  <si>
    <t xml:space="preserve">P-0418</t>
  </si>
  <si>
    <t xml:space="preserve">HC-03055</t>
  </si>
  <si>
    <t xml:space="preserve">HC-03056</t>
  </si>
  <si>
    <t xml:space="preserve">HC-03057</t>
  </si>
  <si>
    <t xml:space="preserve">HC-03058</t>
  </si>
  <si>
    <t xml:space="preserve">HC-03059</t>
  </si>
  <si>
    <t xml:space="preserve">HC-03060</t>
  </si>
  <si>
    <t xml:space="preserve">HC-03061</t>
  </si>
  <si>
    <t xml:space="preserve">HC-03062</t>
  </si>
  <si>
    <t xml:space="preserve">HC-03063</t>
  </si>
  <si>
    <t xml:space="preserve">HC-03064</t>
  </si>
  <si>
    <t xml:space="preserve">HC-03065</t>
  </si>
  <si>
    <t xml:space="preserve">HC-03066</t>
  </si>
  <si>
    <t xml:space="preserve">HC-03067</t>
  </si>
  <si>
    <t xml:space="preserve">HC-03068</t>
  </si>
  <si>
    <t xml:space="preserve">HC-03069</t>
  </si>
  <si>
    <t xml:space="preserve">HC-03070</t>
  </si>
  <si>
    <t xml:space="preserve">HC-03071</t>
  </si>
  <si>
    <t xml:space="preserve">HC-03072</t>
  </si>
  <si>
    <t xml:space="preserve">HC-03073</t>
  </si>
  <si>
    <t xml:space="preserve">HC-03074</t>
  </si>
  <si>
    <t xml:space="preserve">P-0951</t>
  </si>
  <si>
    <t xml:space="preserve">HC-03075</t>
  </si>
  <si>
    <t xml:space="preserve">HC-03076</t>
  </si>
  <si>
    <t xml:space="preserve">HC-03077</t>
  </si>
  <si>
    <t xml:space="preserve">HC-03078</t>
  </si>
  <si>
    <t xml:space="preserve">HC-03079</t>
  </si>
  <si>
    <t xml:space="preserve">HC-03080</t>
  </si>
  <si>
    <t xml:space="preserve">HC-03081</t>
  </si>
  <si>
    <t xml:space="preserve">HC-03082</t>
  </si>
  <si>
    <t xml:space="preserve">P-0825</t>
  </si>
  <si>
    <t xml:space="preserve">HC-03083</t>
  </si>
  <si>
    <t xml:space="preserve">HC-03084</t>
  </si>
  <si>
    <t xml:space="preserve">P-1681</t>
  </si>
  <si>
    <t xml:space="preserve">HC-03085</t>
  </si>
  <si>
    <t xml:space="preserve">HC-03086</t>
  </si>
  <si>
    <t xml:space="preserve">HC-03087</t>
  </si>
  <si>
    <t xml:space="preserve">HC-03088</t>
  </si>
  <si>
    <t xml:space="preserve">HC-03089</t>
  </si>
  <si>
    <t xml:space="preserve">HC-03090</t>
  </si>
  <si>
    <t xml:space="preserve">HC-03091</t>
  </si>
  <si>
    <t xml:space="preserve">HC-03092</t>
  </si>
  <si>
    <t xml:space="preserve">P-1688</t>
  </si>
  <si>
    <t xml:space="preserve">HC-03093</t>
  </si>
  <si>
    <t xml:space="preserve">HC-03094</t>
  </si>
  <si>
    <t xml:space="preserve">HC-03095</t>
  </si>
  <si>
    <t xml:space="preserve">HC-03096</t>
  </si>
  <si>
    <t xml:space="preserve">HC-03097</t>
  </si>
  <si>
    <t xml:space="preserve">HC-03098</t>
  </si>
  <si>
    <t xml:space="preserve">HC-03099</t>
  </si>
  <si>
    <t xml:space="preserve">HC-03100</t>
  </si>
  <si>
    <t xml:space="preserve">HC-03101</t>
  </si>
  <si>
    <t xml:space="preserve">HC-03102</t>
  </si>
  <si>
    <t xml:space="preserve">HC-03103</t>
  </si>
  <si>
    <t xml:space="preserve">HC-03104</t>
  </si>
  <si>
    <t xml:space="preserve">HC-03105</t>
  </si>
  <si>
    <t xml:space="preserve">HC-03106</t>
  </si>
  <si>
    <t xml:space="preserve">HC-03107</t>
  </si>
  <si>
    <t xml:space="preserve">HC-03108</t>
  </si>
  <si>
    <t xml:space="preserve">HC-03109</t>
  </si>
  <si>
    <t xml:space="preserve">P-1227</t>
  </si>
  <si>
    <t xml:space="preserve">HC-03110</t>
  </si>
  <si>
    <t xml:space="preserve">P-1552</t>
  </si>
  <si>
    <t xml:space="preserve">HC-03111</t>
  </si>
  <si>
    <t xml:space="preserve">HC-03112</t>
  </si>
  <si>
    <t xml:space="preserve">P-0865</t>
  </si>
  <si>
    <t xml:space="preserve">HC-03113</t>
  </si>
  <si>
    <t xml:space="preserve">HC-03114</t>
  </si>
  <si>
    <t xml:space="preserve">HC-03115</t>
  </si>
  <si>
    <t xml:space="preserve">HC-03116</t>
  </si>
  <si>
    <t xml:space="preserve">HC-03117</t>
  </si>
  <si>
    <t xml:space="preserve">HC-03118</t>
  </si>
  <si>
    <t xml:space="preserve">HC-03119</t>
  </si>
  <si>
    <t xml:space="preserve">HC-03120</t>
  </si>
  <si>
    <t xml:space="preserve">HC-03121</t>
  </si>
  <si>
    <t xml:space="preserve">HC-03122</t>
  </si>
  <si>
    <t xml:space="preserve">HC-03123</t>
  </si>
  <si>
    <t xml:space="preserve">HC-03124</t>
  </si>
  <si>
    <t xml:space="preserve">HC-03125</t>
  </si>
  <si>
    <t xml:space="preserve">HC-03126</t>
  </si>
  <si>
    <t xml:space="preserve">HC-03127</t>
  </si>
  <si>
    <t xml:space="preserve">HC-03128</t>
  </si>
  <si>
    <t xml:space="preserve">HC-03129</t>
  </si>
  <si>
    <t xml:space="preserve">HC-03130</t>
  </si>
  <si>
    <t xml:space="preserve">P-1192</t>
  </si>
  <si>
    <t xml:space="preserve">HC-03131</t>
  </si>
  <si>
    <t xml:space="preserve">P-0229</t>
  </si>
  <si>
    <t xml:space="preserve">HC-03132</t>
  </si>
  <si>
    <t xml:space="preserve">P-0857</t>
  </si>
  <si>
    <t xml:space="preserve">HC-03133</t>
  </si>
  <si>
    <t xml:space="preserve">HC-03134</t>
  </si>
  <si>
    <t xml:space="preserve">HC-03135</t>
  </si>
  <si>
    <t xml:space="preserve">HC-03136</t>
  </si>
  <si>
    <t xml:space="preserve">HC-03137</t>
  </si>
  <si>
    <t xml:space="preserve">HC-03138</t>
  </si>
  <si>
    <t xml:space="preserve">HC-03139</t>
  </si>
  <si>
    <t xml:space="preserve">HC-03140</t>
  </si>
  <si>
    <t xml:space="preserve">HC-03141</t>
  </si>
  <si>
    <t xml:space="preserve">HC-03142</t>
  </si>
  <si>
    <t xml:space="preserve">HC-03143</t>
  </si>
  <si>
    <t xml:space="preserve">HC-03144</t>
  </si>
  <si>
    <t xml:space="preserve">HC-03145</t>
  </si>
  <si>
    <t xml:space="preserve">P-0265</t>
  </si>
  <si>
    <t xml:space="preserve">HC-03146</t>
  </si>
  <si>
    <t xml:space="preserve">HC-03147</t>
  </si>
  <si>
    <t xml:space="preserve">HC-03148</t>
  </si>
  <si>
    <t xml:space="preserve">P-0969</t>
  </si>
  <si>
    <t xml:space="preserve">HC-03149</t>
  </si>
  <si>
    <t xml:space="preserve">HC-03150</t>
  </si>
  <si>
    <t xml:space="preserve">HC-03151</t>
  </si>
  <si>
    <t xml:space="preserve">P-1586</t>
  </si>
  <si>
    <t xml:space="preserve">HC-03152</t>
  </si>
  <si>
    <t xml:space="preserve">HC-03153</t>
  </si>
  <si>
    <t xml:space="preserve">HC-03154</t>
  </si>
  <si>
    <t xml:space="preserve">HC-03155</t>
  </si>
  <si>
    <t xml:space="preserve">HC-03156</t>
  </si>
  <si>
    <t xml:space="preserve">HC-03157</t>
  </si>
  <si>
    <t xml:space="preserve">HC-03158</t>
  </si>
  <si>
    <t xml:space="preserve">P-1713</t>
  </si>
  <si>
    <t xml:space="preserve">HC-03159</t>
  </si>
  <si>
    <t xml:space="preserve">P-1053</t>
  </si>
  <si>
    <t xml:space="preserve">HC-03160</t>
  </si>
  <si>
    <t xml:space="preserve">HC-03161</t>
  </si>
  <si>
    <t xml:space="preserve">HC-03162</t>
  </si>
  <si>
    <t xml:space="preserve">HC-03163</t>
  </si>
  <si>
    <t xml:space="preserve">HC-03164</t>
  </si>
  <si>
    <t xml:space="preserve">HC-03165</t>
  </si>
  <si>
    <t xml:space="preserve">P-0009</t>
  </si>
  <si>
    <t xml:space="preserve">HC-03166</t>
  </si>
  <si>
    <t xml:space="preserve">HC-03167</t>
  </si>
  <si>
    <t xml:space="preserve">HC-03168</t>
  </si>
  <si>
    <t xml:space="preserve">P-0080</t>
  </si>
  <si>
    <t xml:space="preserve">HC-03169</t>
  </si>
  <si>
    <t xml:space="preserve">HC-03170</t>
  </si>
  <si>
    <t xml:space="preserve">HC-03171</t>
  </si>
  <si>
    <t xml:space="preserve">HC-03172</t>
  </si>
  <si>
    <t xml:space="preserve">HC-03173</t>
  </si>
  <si>
    <t xml:space="preserve">HC-03174</t>
  </si>
  <si>
    <t xml:space="preserve">HC-03175</t>
  </si>
  <si>
    <t xml:space="preserve">HC-03176</t>
  </si>
  <si>
    <t xml:space="preserve">HC-03177</t>
  </si>
  <si>
    <t xml:space="preserve">P-0797</t>
  </si>
  <si>
    <t xml:space="preserve">HC-03178</t>
  </si>
  <si>
    <t xml:space="preserve">HC-03179</t>
  </si>
  <si>
    <t xml:space="preserve">HC-03180</t>
  </si>
  <si>
    <t xml:space="preserve">P-1055</t>
  </si>
  <si>
    <t xml:space="preserve">HC-03181</t>
  </si>
  <si>
    <t xml:space="preserve">P-0190</t>
  </si>
  <si>
    <t xml:space="preserve">HC-03182</t>
  </si>
  <si>
    <t xml:space="preserve">HC-03183</t>
  </si>
  <si>
    <t xml:space="preserve">HC-03184</t>
  </si>
  <si>
    <t xml:space="preserve">HC-03185</t>
  </si>
  <si>
    <t xml:space="preserve">HC-03186</t>
  </si>
  <si>
    <t xml:space="preserve">HC-03187</t>
  </si>
  <si>
    <t xml:space="preserve">HC-03188</t>
  </si>
  <si>
    <t xml:space="preserve">P-0068</t>
  </si>
  <si>
    <t xml:space="preserve">HC-03189</t>
  </si>
  <si>
    <t xml:space="preserve">HC-03190</t>
  </si>
  <si>
    <t xml:space="preserve">HC-03191</t>
  </si>
  <si>
    <t xml:space="preserve">HC-03192</t>
  </si>
  <si>
    <t xml:space="preserve">HC-03193</t>
  </si>
  <si>
    <t xml:space="preserve">HC-03194</t>
  </si>
  <si>
    <t xml:space="preserve">HC-03195</t>
  </si>
  <si>
    <t xml:space="preserve">HC-03196</t>
  </si>
  <si>
    <t xml:space="preserve">P-1528</t>
  </si>
  <si>
    <t xml:space="preserve">HC-03197</t>
  </si>
  <si>
    <t xml:space="preserve">P-1716</t>
  </si>
  <si>
    <t xml:space="preserve">HC-03198</t>
  </si>
  <si>
    <t xml:space="preserve">HC-03199</t>
  </si>
  <si>
    <t xml:space="preserve">HC-03200</t>
  </si>
  <si>
    <t xml:space="preserve">HC-03201</t>
  </si>
  <si>
    <t xml:space="preserve">HC-03202</t>
  </si>
  <si>
    <t xml:space="preserve">HC-03203</t>
  </si>
  <si>
    <t xml:space="preserve">HC-03204</t>
  </si>
  <si>
    <t xml:space="preserve">HC-03205</t>
  </si>
  <si>
    <t xml:space="preserve">HC-03206</t>
  </si>
  <si>
    <t xml:space="preserve">HC-03207</t>
  </si>
  <si>
    <t xml:space="preserve">HC-03208</t>
  </si>
  <si>
    <t xml:space="preserve">P-0883</t>
  </si>
  <si>
    <t xml:space="preserve">HC-03209</t>
  </si>
  <si>
    <t xml:space="preserve">HC-03210</t>
  </si>
  <si>
    <t xml:space="preserve">HC-03211</t>
  </si>
  <si>
    <t xml:space="preserve">P-0119</t>
  </si>
  <si>
    <t xml:space="preserve">HC-03212</t>
  </si>
  <si>
    <t xml:space="preserve">HC-03213</t>
  </si>
  <si>
    <t xml:space="preserve">HC-03214</t>
  </si>
  <si>
    <t xml:space="preserve">HC-03215</t>
  </si>
  <si>
    <t xml:space="preserve">HC-03216</t>
  </si>
  <si>
    <t xml:space="preserve">P-1794</t>
  </si>
  <si>
    <t xml:space="preserve">HC-03217</t>
  </si>
  <si>
    <t xml:space="preserve">P-0727</t>
  </si>
  <si>
    <t xml:space="preserve">HC-03218</t>
  </si>
  <si>
    <t xml:space="preserve">HC-03219</t>
  </si>
  <si>
    <t xml:space="preserve">HC-03220</t>
  </si>
  <si>
    <t xml:space="preserve">HC-03221</t>
  </si>
  <si>
    <t xml:space="preserve">HC-03222</t>
  </si>
  <si>
    <t xml:space="preserve">HC-03223</t>
  </si>
  <si>
    <t xml:space="preserve">HC-03224</t>
  </si>
  <si>
    <t xml:space="preserve">HC-03225</t>
  </si>
  <si>
    <t xml:space="preserve">HC-03226</t>
  </si>
  <si>
    <t xml:space="preserve">P-1634</t>
  </si>
  <si>
    <t xml:space="preserve">HC-03227</t>
  </si>
  <si>
    <t xml:space="preserve">P-0663</t>
  </si>
  <si>
    <t xml:space="preserve">HC-03228</t>
  </si>
  <si>
    <t xml:space="preserve">HC-03229</t>
  </si>
  <si>
    <t xml:space="preserve">HC-03230</t>
  </si>
  <si>
    <t xml:space="preserve">HC-03231</t>
  </si>
  <si>
    <t xml:space="preserve">P-1791</t>
  </si>
  <si>
    <t xml:space="preserve">HC-03232</t>
  </si>
  <si>
    <t xml:space="preserve">HC-03233</t>
  </si>
  <si>
    <t xml:space="preserve">P-1532</t>
  </si>
  <si>
    <t xml:space="preserve">HC-03234</t>
  </si>
  <si>
    <t xml:space="preserve">HC-03235</t>
  </si>
  <si>
    <t xml:space="preserve">P-0237</t>
  </si>
  <si>
    <t xml:space="preserve">HC-03236</t>
  </si>
  <si>
    <t xml:space="preserve">HC-03237</t>
  </si>
  <si>
    <t xml:space="preserve">HC-03238</t>
  </si>
  <si>
    <t xml:space="preserve">HC-03239</t>
  </si>
  <si>
    <t xml:space="preserve">HC-03240</t>
  </si>
  <si>
    <t xml:space="preserve">HC-03241</t>
  </si>
  <si>
    <t xml:space="preserve">HC-03242</t>
  </si>
  <si>
    <t xml:space="preserve">HC-03243</t>
  </si>
  <si>
    <t xml:space="preserve">HC-03244</t>
  </si>
  <si>
    <t xml:space="preserve">HC-03245</t>
  </si>
  <si>
    <t xml:space="preserve">HC-03246</t>
  </si>
  <si>
    <t xml:space="preserve">HC-03247</t>
  </si>
  <si>
    <t xml:space="preserve">P-0285</t>
  </si>
  <si>
    <t xml:space="preserve">HC-03248</t>
  </si>
  <si>
    <t xml:space="preserve">HC-03249</t>
  </si>
  <si>
    <t xml:space="preserve">HC-03250</t>
  </si>
  <si>
    <t xml:space="preserve">HC-03251</t>
  </si>
  <si>
    <t xml:space="preserve">HC-03252</t>
  </si>
  <si>
    <t xml:space="preserve">HC-03253</t>
  </si>
  <si>
    <t xml:space="preserve">P-0561</t>
  </si>
  <si>
    <t xml:space="preserve">HC-03254</t>
  </si>
  <si>
    <t xml:space="preserve">HC-03255</t>
  </si>
  <si>
    <t xml:space="preserve">HC-03256</t>
  </si>
  <si>
    <t xml:space="preserve">HC-03257</t>
  </si>
  <si>
    <t xml:space="preserve">HC-03258</t>
  </si>
  <si>
    <t xml:space="preserve">P-1152</t>
  </si>
  <si>
    <t xml:space="preserve">HC-03259</t>
  </si>
  <si>
    <t xml:space="preserve">HC-03260</t>
  </si>
  <si>
    <t xml:space="preserve">HC-03261</t>
  </si>
  <si>
    <t xml:space="preserve">HC-03262</t>
  </si>
  <si>
    <t xml:space="preserve">P-0974</t>
  </si>
  <si>
    <t xml:space="preserve">HC-03263</t>
  </si>
  <si>
    <t xml:space="preserve">P-0921</t>
  </si>
  <si>
    <t xml:space="preserve">HC-03264</t>
  </si>
  <si>
    <t xml:space="preserve">HC-03265</t>
  </si>
  <si>
    <t xml:space="preserve">HC-03266</t>
  </si>
  <si>
    <t xml:space="preserve">HC-03267</t>
  </si>
  <si>
    <t xml:space="preserve">HC-03268</t>
  </si>
  <si>
    <t xml:space="preserve">P-0972</t>
  </si>
  <si>
    <t xml:space="preserve">HC-03269</t>
  </si>
  <si>
    <t xml:space="preserve">HC-03270</t>
  </si>
  <si>
    <t xml:space="preserve">P-1221</t>
  </si>
  <si>
    <t xml:space="preserve">HC-03271</t>
  </si>
  <si>
    <t xml:space="preserve">HC-03272</t>
  </si>
  <si>
    <t xml:space="preserve">HC-03273</t>
  </si>
  <si>
    <t xml:space="preserve">HC-03274</t>
  </si>
  <si>
    <t xml:space="preserve">HC-03275</t>
  </si>
  <si>
    <t xml:space="preserve">P-0373</t>
  </si>
  <si>
    <t xml:space="preserve">HC-03276</t>
  </si>
  <si>
    <t xml:space="preserve">P-0037</t>
  </si>
  <si>
    <t xml:space="preserve">HC-03277</t>
  </si>
  <si>
    <t xml:space="preserve">HC-03278</t>
  </si>
  <si>
    <t xml:space="preserve">HC-03279</t>
  </si>
  <si>
    <t xml:space="preserve">HC-03280</t>
  </si>
  <si>
    <t xml:space="preserve">HC-03281</t>
  </si>
  <si>
    <t xml:space="preserve">HC-03282</t>
  </si>
  <si>
    <t xml:space="preserve">HC-03283</t>
  </si>
  <si>
    <t xml:space="preserve">HC-03284</t>
  </si>
  <si>
    <t xml:space="preserve">P-1141</t>
  </si>
  <si>
    <t xml:space="preserve">HC-03285</t>
  </si>
  <si>
    <t xml:space="preserve">P-0651</t>
  </si>
  <si>
    <t xml:space="preserve">HC-03286</t>
  </si>
  <si>
    <t xml:space="preserve">HC-03287</t>
  </si>
  <si>
    <t xml:space="preserve">P-1006</t>
  </si>
  <si>
    <t xml:space="preserve">HC-03288</t>
  </si>
  <si>
    <t xml:space="preserve">HC-03289</t>
  </si>
  <si>
    <t xml:space="preserve">HC-03290</t>
  </si>
  <si>
    <t xml:space="preserve">P-0804</t>
  </si>
  <si>
    <t xml:space="preserve">HC-03291</t>
  </si>
  <si>
    <t xml:space="preserve">P-1037</t>
  </si>
  <si>
    <t xml:space="preserve">HC-03292</t>
  </si>
  <si>
    <t xml:space="preserve">HC-03293</t>
  </si>
  <si>
    <t xml:space="preserve">HC-03294</t>
  </si>
  <si>
    <t xml:space="preserve">HC-03295</t>
  </si>
  <si>
    <t xml:space="preserve">HC-03296</t>
  </si>
  <si>
    <t xml:space="preserve">HC-03297</t>
  </si>
  <si>
    <t xml:space="preserve">HC-03298</t>
  </si>
  <si>
    <t xml:space="preserve">HC-03299</t>
  </si>
  <si>
    <t xml:space="preserve">HC-03300</t>
  </si>
  <si>
    <t xml:space="preserve">P-0494</t>
  </si>
  <si>
    <t xml:space="preserve">HC-03301</t>
  </si>
  <si>
    <t xml:space="preserve">HC-03302</t>
  </si>
  <si>
    <t xml:space="preserve">HC-03303</t>
  </si>
  <si>
    <t xml:space="preserve">HC-03304</t>
  </si>
  <si>
    <t xml:space="preserve">HC-03305</t>
  </si>
  <si>
    <t xml:space="preserve">P-0002</t>
  </si>
  <si>
    <t xml:space="preserve">HC-03306</t>
  </si>
  <si>
    <t xml:space="preserve">P-0150</t>
  </si>
  <si>
    <t xml:space="preserve">HC-03307</t>
  </si>
  <si>
    <t xml:space="preserve">HC-03308</t>
  </si>
  <si>
    <t xml:space="preserve">HC-03309</t>
  </si>
  <si>
    <t xml:space="preserve">HC-03310</t>
  </si>
  <si>
    <t xml:space="preserve">P-1768</t>
  </si>
  <si>
    <t xml:space="preserve">HC-03311</t>
  </si>
  <si>
    <t xml:space="preserve">HC-03312</t>
  </si>
  <si>
    <t xml:space="preserve">HC-03313</t>
  </si>
  <si>
    <t xml:space="preserve">HC-03314</t>
  </si>
  <si>
    <t xml:space="preserve">HC-03315</t>
  </si>
  <si>
    <t xml:space="preserve">HC-03316</t>
  </si>
  <si>
    <t xml:space="preserve">HC-03317</t>
  </si>
  <si>
    <t xml:space="preserve">HC-03318</t>
  </si>
  <si>
    <t xml:space="preserve">HC-03319</t>
  </si>
  <si>
    <t xml:space="preserve">P-1463</t>
  </si>
  <si>
    <t xml:space="preserve">HC-03320</t>
  </si>
  <si>
    <t xml:space="preserve">HC-03321</t>
  </si>
  <si>
    <t xml:space="preserve">HC-03322</t>
  </si>
  <si>
    <t xml:space="preserve">HC-03323</t>
  </si>
  <si>
    <t xml:space="preserve">HC-03324</t>
  </si>
  <si>
    <t xml:space="preserve">HC-03325</t>
  </si>
  <si>
    <t xml:space="preserve">HC-03326</t>
  </si>
  <si>
    <t xml:space="preserve">HC-03327</t>
  </si>
  <si>
    <t xml:space="preserve">HC-03328</t>
  </si>
  <si>
    <t xml:space="preserve">HC-03329</t>
  </si>
  <si>
    <t xml:space="preserve">HC-03330</t>
  </si>
  <si>
    <t xml:space="preserve">P-1583</t>
  </si>
  <si>
    <t xml:space="preserve">HC-03331</t>
  </si>
  <si>
    <t xml:space="preserve">HC-03332</t>
  </si>
  <si>
    <t xml:space="preserve">HC-03333</t>
  </si>
  <si>
    <t xml:space="preserve">HC-03334</t>
  </si>
  <si>
    <t xml:space="preserve">HC-03335</t>
  </si>
  <si>
    <t xml:space="preserve">HC-03336</t>
  </si>
  <si>
    <t xml:space="preserve">P-0245</t>
  </si>
  <si>
    <t xml:space="preserve">HC-03337</t>
  </si>
  <si>
    <t xml:space="preserve">HC-03338</t>
  </si>
  <si>
    <t xml:space="preserve">HC-03339</t>
  </si>
  <si>
    <t xml:space="preserve">P-1297</t>
  </si>
  <si>
    <t xml:space="preserve">HC-03340</t>
  </si>
  <si>
    <t xml:space="preserve">HC-03341</t>
  </si>
  <si>
    <t xml:space="preserve">HC-03342</t>
  </si>
  <si>
    <t xml:space="preserve">HC-03343</t>
  </si>
  <si>
    <t xml:space="preserve">HC-03344</t>
  </si>
  <si>
    <t xml:space="preserve">HC-03345</t>
  </si>
  <si>
    <t xml:space="preserve">HC-03346</t>
  </si>
  <si>
    <t xml:space="preserve">HC-03347</t>
  </si>
  <si>
    <t xml:space="preserve">HC-03348</t>
  </si>
  <si>
    <t xml:space="preserve">HC-03349</t>
  </si>
  <si>
    <t xml:space="preserve">HC-03350</t>
  </si>
  <si>
    <t xml:space="preserve">HC-03351</t>
  </si>
  <si>
    <t xml:space="preserve">HC-03352</t>
  </si>
  <si>
    <t xml:space="preserve">HC-03353</t>
  </si>
  <si>
    <t xml:space="preserve">HC-03354</t>
  </si>
  <si>
    <t xml:space="preserve">HC-03355</t>
  </si>
  <si>
    <t xml:space="preserve">HC-03356</t>
  </si>
  <si>
    <t xml:space="preserve">HC-03357</t>
  </si>
  <si>
    <t xml:space="preserve">HC-03358</t>
  </si>
  <si>
    <t xml:space="preserve">HC-03359</t>
  </si>
  <si>
    <t xml:space="preserve">HC-03360</t>
  </si>
  <si>
    <t xml:space="preserve">P-1760</t>
  </si>
  <si>
    <t xml:space="preserve">HC-03361</t>
  </si>
  <si>
    <t xml:space="preserve">HC-03362</t>
  </si>
  <si>
    <t xml:space="preserve">HC-03363</t>
  </si>
  <si>
    <t xml:space="preserve">HC-03364</t>
  </si>
  <si>
    <t xml:space="preserve">HC-03365</t>
  </si>
  <si>
    <t xml:space="preserve">HC-03366</t>
  </si>
  <si>
    <t xml:space="preserve">HC-03367</t>
  </si>
  <si>
    <t xml:space="preserve">HC-03368</t>
  </si>
  <si>
    <t xml:space="preserve">HC-03369</t>
  </si>
  <si>
    <t xml:space="preserve">HC-03370</t>
  </si>
  <si>
    <t xml:space="preserve">HC-03371</t>
  </si>
  <si>
    <t xml:space="preserve">HC-03372</t>
  </si>
  <si>
    <t xml:space="preserve">HC-03373</t>
  </si>
  <si>
    <t xml:space="preserve">HC-03374</t>
  </si>
  <si>
    <t xml:space="preserve">HC-03375</t>
  </si>
  <si>
    <t xml:space="preserve">HC-03376</t>
  </si>
  <si>
    <t xml:space="preserve">HC-03377</t>
  </si>
  <si>
    <t xml:space="preserve">HC-03378</t>
  </si>
  <si>
    <t xml:space="preserve">P-1156</t>
  </si>
  <si>
    <t xml:space="preserve">HC-03379</t>
  </si>
  <si>
    <t xml:space="preserve">HC-03380</t>
  </si>
  <si>
    <t xml:space="preserve">HC-03381</t>
  </si>
  <si>
    <t xml:space="preserve">HC-03382</t>
  </si>
  <si>
    <t xml:space="preserve">HC-03383</t>
  </si>
  <si>
    <t xml:space="preserve">HC-03384</t>
  </si>
  <si>
    <t xml:space="preserve">P-0133</t>
  </si>
  <si>
    <t xml:space="preserve">HC-03385</t>
  </si>
  <si>
    <t xml:space="preserve">HC-03386</t>
  </si>
  <si>
    <t xml:space="preserve">P-0894</t>
  </si>
  <si>
    <t xml:space="preserve">HC-03387</t>
  </si>
  <si>
    <t xml:space="preserve">HC-03388</t>
  </si>
  <si>
    <t xml:space="preserve">HC-03389</t>
  </si>
  <si>
    <t xml:space="preserve">HC-03390</t>
  </si>
  <si>
    <t xml:space="preserve">HC-03391</t>
  </si>
  <si>
    <t xml:space="preserve">HC-03392</t>
  </si>
  <si>
    <t xml:space="preserve">HC-03393</t>
  </si>
  <si>
    <t xml:space="preserve">HC-03394</t>
  </si>
  <si>
    <t xml:space="preserve">HC-03395</t>
  </si>
  <si>
    <t xml:space="preserve">HC-03396</t>
  </si>
  <si>
    <t xml:space="preserve">HC-03397</t>
  </si>
  <si>
    <t xml:space="preserve">HC-03398</t>
  </si>
  <si>
    <t xml:space="preserve">HC-03399</t>
  </si>
  <si>
    <t xml:space="preserve">HC-03400</t>
  </si>
  <si>
    <t xml:space="preserve">P-0563</t>
  </si>
  <si>
    <t xml:space="preserve">HC-03401</t>
  </si>
  <si>
    <t xml:space="preserve">HC-03402</t>
  </si>
  <si>
    <t xml:space="preserve">HC-03403</t>
  </si>
  <si>
    <t xml:space="preserve">HC-03404</t>
  </si>
  <si>
    <t xml:space="preserve">HC-03405</t>
  </si>
  <si>
    <t xml:space="preserve">HC-03406</t>
  </si>
  <si>
    <t xml:space="preserve">P-1639</t>
  </si>
  <si>
    <t xml:space="preserve">HC-03407</t>
  </si>
  <si>
    <t xml:space="preserve">HC-03408</t>
  </si>
  <si>
    <t xml:space="preserve">HC-03409</t>
  </si>
  <si>
    <t xml:space="preserve">HC-03410</t>
  </si>
  <si>
    <t xml:space="preserve">HC-03411</t>
  </si>
  <si>
    <t xml:space="preserve">HC-03412</t>
  </si>
  <si>
    <t xml:space="preserve">HC-03413</t>
  </si>
  <si>
    <t xml:space="preserve">HC-03414</t>
  </si>
  <si>
    <t xml:space="preserve">HC-03415</t>
  </si>
  <si>
    <t xml:space="preserve">P-1505</t>
  </si>
  <si>
    <t xml:space="preserve">HC-03416</t>
  </si>
  <si>
    <t xml:space="preserve">P-0790</t>
  </si>
  <si>
    <t xml:space="preserve">HC-03417</t>
  </si>
  <si>
    <t xml:space="preserve">HC-03418</t>
  </si>
  <si>
    <t xml:space="preserve">HC-03419</t>
  </si>
  <si>
    <t xml:space="preserve">HC-03420</t>
  </si>
  <si>
    <t xml:space="preserve">HC-03421</t>
  </si>
  <si>
    <t xml:space="preserve">HC-03422</t>
  </si>
  <si>
    <t xml:space="preserve">HC-03423</t>
  </si>
  <si>
    <t xml:space="preserve">HC-03424</t>
  </si>
  <si>
    <t xml:space="preserve">P-0820</t>
  </si>
  <si>
    <t xml:space="preserve">HC-03425</t>
  </si>
  <si>
    <t xml:space="preserve">HC-03426</t>
  </si>
  <si>
    <t xml:space="preserve">HC-03427</t>
  </si>
  <si>
    <t xml:space="preserve">HC-03428</t>
  </si>
  <si>
    <t xml:space="preserve">HC-03429</t>
  </si>
  <si>
    <t xml:space="preserve">HC-03430</t>
  </si>
  <si>
    <t xml:space="preserve">P-1763</t>
  </si>
  <si>
    <t xml:space="preserve">HC-03431</t>
  </si>
  <si>
    <t xml:space="preserve">HC-03432</t>
  </si>
  <si>
    <t xml:space="preserve">HC-03433</t>
  </si>
  <si>
    <t xml:space="preserve">HC-03434</t>
  </si>
  <si>
    <t xml:space="preserve">HC-03435</t>
  </si>
  <si>
    <t xml:space="preserve">HC-03436</t>
  </si>
  <si>
    <t xml:space="preserve">HC-03437</t>
  </si>
  <si>
    <t xml:space="preserve">HC-03438</t>
  </si>
  <si>
    <t xml:space="preserve">HC-03439</t>
  </si>
  <si>
    <t xml:space="preserve">HC-03440</t>
  </si>
  <si>
    <t xml:space="preserve">HC-03441</t>
  </si>
  <si>
    <t xml:space="preserve">HC-03442</t>
  </si>
  <si>
    <t xml:space="preserve">HC-03443</t>
  </si>
  <si>
    <t xml:space="preserve">HC-03444</t>
  </si>
  <si>
    <t xml:space="preserve">HC-03445</t>
  </si>
  <si>
    <t xml:space="preserve">HC-03446</t>
  </si>
  <si>
    <t xml:space="preserve">P-1508</t>
  </si>
  <si>
    <t xml:space="preserve">HC-03447</t>
  </si>
  <si>
    <t xml:space="preserve">HC-03448</t>
  </si>
  <si>
    <t xml:space="preserve">HC-03449</t>
  </si>
  <si>
    <t xml:space="preserve">P-0390</t>
  </si>
  <si>
    <t xml:space="preserve">HC-03450</t>
  </si>
  <si>
    <t xml:space="preserve">P-1309</t>
  </si>
  <si>
    <t xml:space="preserve">HC-03451</t>
  </si>
  <si>
    <t xml:space="preserve">P-0924</t>
  </si>
  <si>
    <t xml:space="preserve">HC-03452</t>
  </si>
  <si>
    <t xml:space="preserve">P-0355</t>
  </si>
  <si>
    <t xml:space="preserve">HC-03453</t>
  </si>
  <si>
    <t xml:space="preserve">HC-03454</t>
  </si>
  <si>
    <t xml:space="preserve">HC-03455</t>
  </si>
  <si>
    <t xml:space="preserve">HC-03456</t>
  </si>
  <si>
    <t xml:space="preserve">HC-03457</t>
  </si>
  <si>
    <t xml:space="preserve">HC-03458</t>
  </si>
  <si>
    <t xml:space="preserve">P-0549</t>
  </si>
  <si>
    <t xml:space="preserve">HC-03459</t>
  </si>
  <si>
    <t xml:space="preserve">HC-03460</t>
  </si>
  <si>
    <t xml:space="preserve">HC-03461</t>
  </si>
  <si>
    <t xml:space="preserve">P-1492</t>
  </si>
  <si>
    <t xml:space="preserve">HC-03462</t>
  </si>
  <si>
    <t xml:space="preserve">HC-03463</t>
  </si>
  <si>
    <t xml:space="preserve">HC-03464</t>
  </si>
  <si>
    <t xml:space="preserve">HC-03465</t>
  </si>
  <si>
    <t xml:space="preserve">HC-03466</t>
  </si>
  <si>
    <t xml:space="preserve">HC-03467</t>
  </si>
  <si>
    <t xml:space="preserve">HC-03468</t>
  </si>
  <si>
    <t xml:space="preserve">HC-03469</t>
  </si>
  <si>
    <t xml:space="preserve">HC-03470</t>
  </si>
  <si>
    <t xml:space="preserve">HC-03471</t>
  </si>
  <si>
    <t xml:space="preserve">HC-03472</t>
  </si>
  <si>
    <t xml:space="preserve">P-0124</t>
  </si>
  <si>
    <t xml:space="preserve">HC-03473</t>
  </si>
  <si>
    <t xml:space="preserve">P-0012</t>
  </si>
  <si>
    <t xml:space="preserve">HC-03474</t>
  </si>
  <si>
    <t xml:space="preserve">HC-03475</t>
  </si>
  <si>
    <t xml:space="preserve">HC-03476</t>
  </si>
  <si>
    <t xml:space="preserve">HC-03477</t>
  </si>
  <si>
    <t xml:space="preserve">HC-03478</t>
  </si>
  <si>
    <t xml:space="preserve">HC-03479</t>
  </si>
  <si>
    <t xml:space="preserve">HC-03480</t>
  </si>
  <si>
    <t xml:space="preserve">HC-03481</t>
  </si>
  <si>
    <t xml:space="preserve">HC-03482</t>
  </si>
  <si>
    <t xml:space="preserve">HC-03483</t>
  </si>
  <si>
    <t xml:space="preserve">HC-03484</t>
  </si>
  <si>
    <t xml:space="preserve">HC-03485</t>
  </si>
  <si>
    <t xml:space="preserve">HC-03486</t>
  </si>
  <si>
    <t xml:space="preserve">HC-03487</t>
  </si>
  <si>
    <t xml:space="preserve">HC-03488</t>
  </si>
  <si>
    <t xml:space="preserve">HC-03489</t>
  </si>
  <si>
    <t xml:space="preserve">HC-03490</t>
  </si>
  <si>
    <t xml:space="preserve">HC-03491</t>
  </si>
  <si>
    <t xml:space="preserve">HC-03492</t>
  </si>
  <si>
    <t xml:space="preserve">HC-03493</t>
  </si>
  <si>
    <t xml:space="preserve">HC-03494</t>
  </si>
  <si>
    <t xml:space="preserve">HC-03495</t>
  </si>
  <si>
    <t xml:space="preserve">HC-03496</t>
  </si>
  <si>
    <t xml:space="preserve">HC-03497</t>
  </si>
  <si>
    <t xml:space="preserve">HC-03498</t>
  </si>
  <si>
    <t xml:space="preserve">HC-03499</t>
  </si>
  <si>
    <t xml:space="preserve">HC-03500</t>
  </si>
  <si>
    <t xml:space="preserve">P-0242</t>
  </si>
  <si>
    <t xml:space="preserve">HC-03501</t>
  </si>
  <si>
    <t xml:space="preserve">HC-03502</t>
  </si>
  <si>
    <t xml:space="preserve">HC-03503</t>
  </si>
  <si>
    <t xml:space="preserve">HC-03504</t>
  </si>
  <si>
    <t xml:space="preserve">HC-03505</t>
  </si>
  <si>
    <t xml:space="preserve">HC-03506</t>
  </si>
  <si>
    <t xml:space="preserve">HC-03507</t>
  </si>
  <si>
    <t xml:space="preserve">HC-03508</t>
  </si>
  <si>
    <t xml:space="preserve">HC-03509</t>
  </si>
  <si>
    <t xml:space="preserve">HC-03510</t>
  </si>
  <si>
    <t xml:space="preserve">HC-03511</t>
  </si>
  <si>
    <t xml:space="preserve">HC-03512</t>
  </si>
  <si>
    <t xml:space="preserve">HC-03513</t>
  </si>
  <si>
    <t xml:space="preserve">HC-03514</t>
  </si>
  <si>
    <t xml:space="preserve">HC-03515</t>
  </si>
  <si>
    <t xml:space="preserve">HC-03516</t>
  </si>
  <si>
    <t xml:space="preserve">P-1069</t>
  </si>
  <si>
    <t xml:space="preserve">HC-03517</t>
  </si>
  <si>
    <t xml:space="preserve">HC-03518</t>
  </si>
  <si>
    <t xml:space="preserve">HC-03519</t>
  </si>
  <si>
    <t xml:space="preserve">HC-03520</t>
  </si>
  <si>
    <t xml:space="preserve">HC-03521</t>
  </si>
  <si>
    <t xml:space="preserve">HC-03522</t>
  </si>
  <si>
    <t xml:space="preserve">HC-03523</t>
  </si>
  <si>
    <t xml:space="preserve">P-1525</t>
  </si>
  <si>
    <t xml:space="preserve">HC-03524</t>
  </si>
  <si>
    <t xml:space="preserve">HC-03525</t>
  </si>
  <si>
    <t xml:space="preserve">HC-03526</t>
  </si>
  <si>
    <t xml:space="preserve">HC-03527</t>
  </si>
  <si>
    <t xml:space="preserve">HC-03528</t>
  </si>
  <si>
    <t xml:space="preserve">HC-03529</t>
  </si>
  <si>
    <t xml:space="preserve">HC-03530</t>
  </si>
  <si>
    <t xml:space="preserve">HC-03531</t>
  </si>
  <si>
    <t xml:space="preserve">P-0132</t>
  </si>
  <si>
    <t xml:space="preserve">HC-03532</t>
  </si>
  <si>
    <t xml:space="preserve">HC-03533</t>
  </si>
  <si>
    <t xml:space="preserve">P-1396</t>
  </si>
  <si>
    <t xml:space="preserve">HC-03534</t>
  </si>
  <si>
    <t xml:space="preserve">HC-03535</t>
  </si>
  <si>
    <t xml:space="preserve">HC-03536</t>
  </si>
  <si>
    <t xml:space="preserve">HC-03537</t>
  </si>
  <si>
    <t xml:space="preserve">P-0933</t>
  </si>
  <si>
    <t xml:space="preserve">HC-03538</t>
  </si>
  <si>
    <t xml:space="preserve">HC-03539</t>
  </si>
  <si>
    <t xml:space="preserve">P-0092</t>
  </si>
  <si>
    <t xml:space="preserve">HC-03540</t>
  </si>
  <si>
    <t xml:space="preserve">HC-03541</t>
  </si>
  <si>
    <t xml:space="preserve">HC-03542</t>
  </si>
  <si>
    <t xml:space="preserve">HC-03543</t>
  </si>
  <si>
    <t xml:space="preserve">HC-03544</t>
  </si>
  <si>
    <t xml:space="preserve">HC-03545</t>
  </si>
  <si>
    <t xml:space="preserve">HC-03546</t>
  </si>
  <si>
    <t xml:space="preserve">P-0675</t>
  </si>
  <si>
    <t xml:space="preserve">HC-03547</t>
  </si>
  <si>
    <t xml:space="preserve">HC-03548</t>
  </si>
  <si>
    <t xml:space="preserve">HC-03549</t>
  </si>
  <si>
    <t xml:space="preserve">HC-03550</t>
  </si>
  <si>
    <t xml:space="preserve">HC-03551</t>
  </si>
  <si>
    <t xml:space="preserve">P-0102</t>
  </si>
  <si>
    <t xml:space="preserve">HC-03552</t>
  </si>
  <si>
    <t xml:space="preserve">HC-03553</t>
  </si>
  <si>
    <t xml:space="preserve">HC-03554</t>
  </si>
  <si>
    <t xml:space="preserve">HC-03555</t>
  </si>
  <si>
    <t xml:space="preserve">HC-03556</t>
  </si>
  <si>
    <t xml:space="preserve">HC-03557</t>
  </si>
  <si>
    <t xml:space="preserve">HC-03558</t>
  </si>
  <si>
    <t xml:space="preserve">HC-03559</t>
  </si>
  <si>
    <t xml:space="preserve">HC-03560</t>
  </si>
  <si>
    <t xml:space="preserve">P-0925</t>
  </si>
  <si>
    <t xml:space="preserve">HC-03561</t>
  </si>
  <si>
    <t xml:space="preserve">HC-03562</t>
  </si>
  <si>
    <t xml:space="preserve">P-0671</t>
  </si>
  <si>
    <t xml:space="preserve">HC-03563</t>
  </si>
  <si>
    <t xml:space="preserve">HC-03564</t>
  </si>
  <si>
    <t xml:space="preserve">HC-03565</t>
  </si>
  <si>
    <t xml:space="preserve">P-1019</t>
  </si>
  <si>
    <t xml:space="preserve">HC-03566</t>
  </si>
  <si>
    <t xml:space="preserve">HC-03567</t>
  </si>
  <si>
    <t xml:space="preserve">HC-03568</t>
  </si>
  <si>
    <t xml:space="preserve">HC-03569</t>
  </si>
  <si>
    <t xml:space="preserve">HC-03570</t>
  </si>
  <si>
    <t xml:space="preserve">HC-03571</t>
  </si>
  <si>
    <t xml:space="preserve">HC-03572</t>
  </si>
  <si>
    <t xml:space="preserve">HC-03573</t>
  </si>
  <si>
    <t xml:space="preserve">HC-03574</t>
  </si>
  <si>
    <t xml:space="preserve">P-0069</t>
  </si>
  <si>
    <t xml:space="preserve">HC-03575</t>
  </si>
  <si>
    <t xml:space="preserve">P-0395</t>
  </si>
  <si>
    <t xml:space="preserve">HC-03576</t>
  </si>
  <si>
    <t xml:space="preserve">HC-03577</t>
  </si>
  <si>
    <t xml:space="preserve">HC-03578</t>
  </si>
  <si>
    <t xml:space="preserve">HC-03579</t>
  </si>
  <si>
    <t xml:space="preserve">HC-03580</t>
  </si>
  <si>
    <t xml:space="preserve">HC-03581</t>
  </si>
  <si>
    <t xml:space="preserve">HC-03582</t>
  </si>
  <si>
    <t xml:space="preserve">HC-03583</t>
  </si>
  <si>
    <t xml:space="preserve">HC-03584</t>
  </si>
  <si>
    <t xml:space="preserve">P-1797</t>
  </si>
  <si>
    <t xml:space="preserve">HC-03585</t>
  </si>
  <si>
    <t xml:space="preserve">HC-03586</t>
  </si>
  <si>
    <t xml:space="preserve">HC-03587</t>
  </si>
  <si>
    <t xml:space="preserve">HC-03588</t>
  </si>
  <si>
    <t xml:space="preserve">HC-03589</t>
  </si>
  <si>
    <t xml:space="preserve">HC-03590</t>
  </si>
  <si>
    <t xml:space="preserve">HC-03591</t>
  </si>
  <si>
    <t xml:space="preserve">P-0110</t>
  </si>
  <si>
    <t xml:space="preserve">HC-03592</t>
  </si>
  <si>
    <t xml:space="preserve">HC-03593</t>
  </si>
  <si>
    <t xml:space="preserve">HC-03594</t>
  </si>
  <si>
    <t xml:space="preserve">HC-03595</t>
  </si>
  <si>
    <t xml:space="preserve">HC-03596</t>
  </si>
  <si>
    <t xml:space="preserve">HC-03597</t>
  </si>
  <si>
    <t xml:space="preserve">HC-03598</t>
  </si>
  <si>
    <t xml:space="preserve">HC-03599</t>
  </si>
  <si>
    <t xml:space="preserve">HC-03600</t>
  </si>
  <si>
    <t xml:space="preserve">HC-03601</t>
  </si>
  <si>
    <t xml:space="preserve">HC-03602</t>
  </si>
  <si>
    <t xml:space="preserve">HC-03603</t>
  </si>
  <si>
    <t xml:space="preserve">HC-03604</t>
  </si>
  <si>
    <t xml:space="preserve">P-0882</t>
  </si>
  <si>
    <t xml:space="preserve">HC-03605</t>
  </si>
  <si>
    <t xml:space="preserve">HC-03606</t>
  </si>
  <si>
    <t xml:space="preserve">HC-03607</t>
  </si>
  <si>
    <t xml:space="preserve">HC-03608</t>
  </si>
  <si>
    <t xml:space="preserve">HC-03609</t>
  </si>
  <si>
    <t xml:space="preserve">HC-03610</t>
  </si>
  <si>
    <t xml:space="preserve">HC-03611</t>
  </si>
  <si>
    <t xml:space="preserve">HC-03612</t>
  </si>
  <si>
    <t xml:space="preserve">HC-03613</t>
  </si>
  <si>
    <t xml:space="preserve">HC-03614</t>
  </si>
  <si>
    <t xml:space="preserve">HC-03615</t>
  </si>
  <si>
    <t xml:space="preserve">HC-03616</t>
  </si>
  <si>
    <t xml:space="preserve">HC-03617</t>
  </si>
  <si>
    <t xml:space="preserve">HC-03618</t>
  </si>
  <si>
    <t xml:space="preserve">HC-03619</t>
  </si>
  <si>
    <t xml:space="preserve">HC-03620</t>
  </si>
  <si>
    <t xml:space="preserve">HC-03621</t>
  </si>
  <si>
    <t xml:space="preserve">HC-03622</t>
  </si>
  <si>
    <t xml:space="preserve">P-0642</t>
  </si>
  <si>
    <t xml:space="preserve">HC-03623</t>
  </si>
  <si>
    <t xml:space="preserve">HC-03624</t>
  </si>
  <si>
    <t xml:space="preserve">HC-03625</t>
  </si>
  <si>
    <t xml:space="preserve">HC-03626</t>
  </si>
  <si>
    <t xml:space="preserve">HC-03627</t>
  </si>
  <si>
    <t xml:space="preserve">HC-03628</t>
  </si>
  <si>
    <t xml:space="preserve">HC-03629</t>
  </si>
  <si>
    <t xml:space="preserve">P-1579</t>
  </si>
  <si>
    <t xml:space="preserve">HC-03630</t>
  </si>
  <si>
    <t xml:space="preserve">P-0059</t>
  </si>
  <si>
    <t xml:space="preserve">HC-03631</t>
  </si>
  <si>
    <t xml:space="preserve">HC-03632</t>
  </si>
  <si>
    <t xml:space="preserve">HC-03633</t>
  </si>
  <si>
    <t xml:space="preserve">HC-03634</t>
  </si>
  <si>
    <t xml:space="preserve">P-1715</t>
  </si>
  <si>
    <t xml:space="preserve">HC-03635</t>
  </si>
  <si>
    <t xml:space="preserve">HC-03636</t>
  </si>
  <si>
    <t xml:space="preserve">HC-03637</t>
  </si>
  <si>
    <t xml:space="preserve">P-0831</t>
  </si>
  <si>
    <t xml:space="preserve">HC-03638</t>
  </si>
  <si>
    <t xml:space="preserve">HC-03639</t>
  </si>
  <si>
    <t xml:space="preserve">HC-03640</t>
  </si>
  <si>
    <t xml:space="preserve">HC-03641</t>
  </si>
  <si>
    <t xml:space="preserve">HC-03642</t>
  </si>
  <si>
    <t xml:space="preserve">HC-03643</t>
  </si>
  <si>
    <t xml:space="preserve">HC-03644</t>
  </si>
  <si>
    <t xml:space="preserve">HC-03645</t>
  </si>
  <si>
    <t xml:space="preserve">HC-03646</t>
  </si>
  <si>
    <t xml:space="preserve">HC-03647</t>
  </si>
  <si>
    <t xml:space="preserve">HC-03648</t>
  </si>
  <si>
    <t xml:space="preserve">HC-03649</t>
  </si>
  <si>
    <t xml:space="preserve">HC-03650</t>
  </si>
  <si>
    <t xml:space="preserve">HC-03651</t>
  </si>
  <si>
    <t xml:space="preserve">HC-03652</t>
  </si>
  <si>
    <t xml:space="preserve">HC-03653</t>
  </si>
  <si>
    <t xml:space="preserve">HC-03654</t>
  </si>
  <si>
    <t xml:space="preserve">P-0788</t>
  </si>
  <si>
    <t xml:space="preserve">HC-03655</t>
  </si>
  <si>
    <t xml:space="preserve">HC-03656</t>
  </si>
  <si>
    <t xml:space="preserve">HC-03657</t>
  </si>
  <si>
    <t xml:space="preserve">HC-03658</t>
  </si>
  <si>
    <t xml:space="preserve">HC-03659</t>
  </si>
  <si>
    <t xml:space="preserve">HC-03660</t>
  </si>
  <si>
    <t xml:space="preserve">HC-03661</t>
  </si>
  <si>
    <t xml:space="preserve">HC-03662</t>
  </si>
  <si>
    <t xml:space="preserve">HC-03663</t>
  </si>
  <si>
    <t xml:space="preserve">HC-03664</t>
  </si>
  <si>
    <t xml:space="preserve">HC-03665</t>
  </si>
  <si>
    <t xml:space="preserve">HC-03666</t>
  </si>
  <si>
    <t xml:space="preserve">P-1778</t>
  </si>
  <si>
    <t xml:space="preserve">HC-03667</t>
  </si>
  <si>
    <t xml:space="preserve">HC-03668</t>
  </si>
  <si>
    <t xml:space="preserve">HC-03669</t>
  </si>
  <si>
    <t xml:space="preserve">HC-03670</t>
  </si>
  <si>
    <t xml:space="preserve">HC-03671</t>
  </si>
  <si>
    <t xml:space="preserve">P-1649</t>
  </si>
  <si>
    <t xml:space="preserve">HC-03672</t>
  </si>
  <si>
    <t xml:space="preserve">HC-03673</t>
  </si>
  <si>
    <t xml:space="preserve">HC-03674</t>
  </si>
  <si>
    <t xml:space="preserve">HC-03675</t>
  </si>
  <si>
    <t xml:space="preserve">HC-03676</t>
  </si>
  <si>
    <t xml:space="preserve">HC-03677</t>
  </si>
  <si>
    <t xml:space="preserve">HC-03678</t>
  </si>
  <si>
    <t xml:space="preserve">HC-03679</t>
  </si>
  <si>
    <t xml:space="preserve">HC-03680</t>
  </si>
  <si>
    <t xml:space="preserve">HC-03681</t>
  </si>
  <si>
    <t xml:space="preserve">P-1697</t>
  </si>
  <si>
    <t xml:space="preserve">HC-03682</t>
  </si>
  <si>
    <t xml:space="preserve">HC-03683</t>
  </si>
  <si>
    <t xml:space="preserve">HC-03684</t>
  </si>
  <si>
    <t xml:space="preserve">HC-03685</t>
  </si>
  <si>
    <t xml:space="preserve">P-0704</t>
  </si>
  <si>
    <t xml:space="preserve">HC-03686</t>
  </si>
  <si>
    <t xml:space="preserve">P-1526</t>
  </si>
  <si>
    <t xml:space="preserve">HC-03687</t>
  </si>
  <si>
    <t xml:space="preserve">P-1489</t>
  </si>
  <si>
    <t xml:space="preserve">HC-03688</t>
  </si>
  <si>
    <t xml:space="preserve">HC-03689</t>
  </si>
  <si>
    <t xml:space="preserve">HC-03690</t>
  </si>
  <si>
    <t xml:space="preserve">P-1121</t>
  </si>
  <si>
    <t xml:space="preserve">HC-03691</t>
  </si>
  <si>
    <t xml:space="preserve">HC-03692</t>
  </si>
  <si>
    <t xml:space="preserve">P-1556</t>
  </si>
  <si>
    <t xml:space="preserve">HC-03693</t>
  </si>
  <si>
    <t xml:space="preserve">HC-03694</t>
  </si>
  <si>
    <t xml:space="preserve">HC-03695</t>
  </si>
  <si>
    <t xml:space="preserve">HC-03696</t>
  </si>
  <si>
    <t xml:space="preserve">HC-03697</t>
  </si>
  <si>
    <t xml:space="preserve">HC-03698</t>
  </si>
  <si>
    <t xml:space="preserve">HC-03699</t>
  </si>
  <si>
    <t xml:space="preserve">HC-03700</t>
  </si>
  <si>
    <t xml:space="preserve">HC-03701</t>
  </si>
  <si>
    <t xml:space="preserve">HC-03702</t>
  </si>
  <si>
    <t xml:space="preserve">P-1633</t>
  </si>
  <si>
    <t xml:space="preserve">HC-03703</t>
  </si>
  <si>
    <t xml:space="preserve">HC-03704</t>
  </si>
  <si>
    <t xml:space="preserve">HC-03705</t>
  </si>
  <si>
    <t xml:space="preserve">HC-03706</t>
  </si>
  <si>
    <t xml:space="preserve">HC-03707</t>
  </si>
  <si>
    <t xml:space="preserve">HC-03708</t>
  </si>
  <si>
    <t xml:space="preserve">HC-03709</t>
  </si>
  <si>
    <t xml:space="preserve">P-0777</t>
  </si>
  <si>
    <t xml:space="preserve">HC-03710</t>
  </si>
  <si>
    <t xml:space="preserve">HC-03711</t>
  </si>
  <si>
    <t xml:space="preserve">HC-03712</t>
  </si>
  <si>
    <t xml:space="preserve">HC-03713</t>
  </si>
  <si>
    <t xml:space="preserve">HC-03714</t>
  </si>
  <si>
    <t xml:space="preserve">HC-03715</t>
  </si>
  <si>
    <t xml:space="preserve">HC-03716</t>
  </si>
  <si>
    <t xml:space="preserve">HC-03717</t>
  </si>
  <si>
    <t xml:space="preserve">HC-03718</t>
  </si>
  <si>
    <t xml:space="preserve">HC-03719</t>
  </si>
  <si>
    <t xml:space="preserve">HC-03720</t>
  </si>
  <si>
    <t xml:space="preserve">P-0283</t>
  </si>
  <si>
    <t xml:space="preserve">HC-03721</t>
  </si>
  <si>
    <t xml:space="preserve">HC-03722</t>
  </si>
  <si>
    <t xml:space="preserve">HC-03723</t>
  </si>
  <si>
    <t xml:space="preserve">HC-03724</t>
  </si>
  <si>
    <t xml:space="preserve">HC-03725</t>
  </si>
  <si>
    <t xml:space="preserve">HC-03726</t>
  </si>
  <si>
    <t xml:space="preserve">P-0726</t>
  </si>
  <si>
    <t xml:space="preserve">HC-03727</t>
  </si>
  <si>
    <t xml:space="preserve">HC-03728</t>
  </si>
  <si>
    <t xml:space="preserve">HC-03729</t>
  </si>
  <si>
    <t xml:space="preserve">HC-03730</t>
  </si>
  <si>
    <t xml:space="preserve">HC-03731</t>
  </si>
  <si>
    <t xml:space="preserve">HC-03732</t>
  </si>
  <si>
    <t xml:space="preserve">HC-03733</t>
  </si>
  <si>
    <t xml:space="preserve">HC-03734</t>
  </si>
  <si>
    <t xml:space="preserve">HC-03735</t>
  </si>
  <si>
    <t xml:space="preserve">HC-03736</t>
  </si>
  <si>
    <t xml:space="preserve">HC-03737</t>
  </si>
  <si>
    <t xml:space="preserve">HC-03738</t>
  </si>
  <si>
    <t xml:space="preserve">HC-03739</t>
  </si>
  <si>
    <t xml:space="preserve">HC-03740</t>
  </si>
  <si>
    <t xml:space="preserve">HC-03741</t>
  </si>
  <si>
    <t xml:space="preserve">HC-03742</t>
  </si>
  <si>
    <t xml:space="preserve">HC-03743</t>
  </si>
  <si>
    <t xml:space="preserve">HC-03744</t>
  </si>
  <si>
    <t xml:space="preserve">P-0510</t>
  </si>
  <si>
    <t xml:space="preserve">HC-03745</t>
  </si>
  <si>
    <t xml:space="preserve">HC-03746</t>
  </si>
  <si>
    <t xml:space="preserve">HC-03747</t>
  </si>
  <si>
    <t xml:space="preserve">HC-03748</t>
  </si>
  <si>
    <t xml:space="preserve">HC-03749</t>
  </si>
  <si>
    <t xml:space="preserve">HC-03750</t>
  </si>
  <si>
    <t xml:space="preserve">HC-03751</t>
  </si>
  <si>
    <t xml:space="preserve">HC-03752</t>
  </si>
  <si>
    <t xml:space="preserve">HC-03753</t>
  </si>
  <si>
    <t xml:space="preserve">P-0174</t>
  </si>
  <si>
    <t xml:space="preserve">HC-03754</t>
  </si>
  <si>
    <t xml:space="preserve">HC-03755</t>
  </si>
  <si>
    <t xml:space="preserve">HC-03756</t>
  </si>
  <si>
    <t xml:space="preserve">HC-03757</t>
  </si>
  <si>
    <t xml:space="preserve">HC-03758</t>
  </si>
  <si>
    <t xml:space="preserve">HC-03759</t>
  </si>
  <si>
    <t xml:space="preserve">HC-03760</t>
  </si>
  <si>
    <t xml:space="preserve">HC-03761</t>
  </si>
  <si>
    <t xml:space="preserve">HC-03762</t>
  </si>
  <si>
    <t xml:space="preserve">HC-03763</t>
  </si>
  <si>
    <t xml:space="preserve">P-0851</t>
  </si>
  <si>
    <t xml:space="preserve">HC-03764</t>
  </si>
  <si>
    <t xml:space="preserve">HC-03765</t>
  </si>
  <si>
    <t xml:space="preserve">HC-03766</t>
  </si>
  <si>
    <t xml:space="preserve">HC-03767</t>
  </si>
  <si>
    <t xml:space="preserve">HC-03768</t>
  </si>
  <si>
    <t xml:space="preserve">HC-03769</t>
  </si>
  <si>
    <t xml:space="preserve">HC-03770</t>
  </si>
  <si>
    <t xml:space="preserve">HC-03771</t>
  </si>
  <si>
    <t xml:space="preserve">HC-03772</t>
  </si>
  <si>
    <t xml:space="preserve">HC-03773</t>
  </si>
  <si>
    <t xml:space="preserve">HC-03774</t>
  </si>
  <si>
    <t xml:space="preserve">HC-03775</t>
  </si>
  <si>
    <t xml:space="preserve">HC-03776</t>
  </si>
  <si>
    <t xml:space="preserve">HC-03777</t>
  </si>
  <si>
    <t xml:space="preserve">HC-03778</t>
  </si>
  <si>
    <t xml:space="preserve">HC-03779</t>
  </si>
  <si>
    <t xml:space="preserve">HC-03780</t>
  </si>
  <si>
    <t xml:space="preserve">HC-03781</t>
  </si>
  <si>
    <t xml:space="preserve">HC-03782</t>
  </si>
  <si>
    <t xml:space="preserve">HC-03783</t>
  </si>
  <si>
    <t xml:space="preserve">HC-03784</t>
  </si>
  <si>
    <t xml:space="preserve">HC-03785</t>
  </si>
  <si>
    <t xml:space="preserve">HC-03786</t>
  </si>
  <si>
    <t xml:space="preserve">HC-03787</t>
  </si>
  <si>
    <t xml:space="preserve">HC-03788</t>
  </si>
  <si>
    <t xml:space="preserve">HC-03789</t>
  </si>
  <si>
    <t xml:space="preserve">HC-03790</t>
  </si>
  <si>
    <t xml:space="preserve">HC-03791</t>
  </si>
  <si>
    <t xml:space="preserve">HC-03792</t>
  </si>
  <si>
    <t xml:space="preserve">HC-03793</t>
  </si>
  <si>
    <t xml:space="preserve">HC-03794</t>
  </si>
  <si>
    <t xml:space="preserve">P-0077</t>
  </si>
  <si>
    <t xml:space="preserve">HC-03795</t>
  </si>
  <si>
    <t xml:space="preserve">HC-03796</t>
  </si>
  <si>
    <t xml:space="preserve">HC-03797</t>
  </si>
  <si>
    <t xml:space="preserve">HC-03798</t>
  </si>
  <si>
    <t xml:space="preserve">HC-03799</t>
  </si>
  <si>
    <t xml:space="preserve">HC-03800</t>
  </si>
  <si>
    <t xml:space="preserve">HC-03801</t>
  </si>
  <si>
    <t xml:space="preserve">P-1212</t>
  </si>
  <si>
    <t xml:space="preserve">HC-03802</t>
  </si>
  <si>
    <t xml:space="preserve">HC-03803</t>
  </si>
  <si>
    <t xml:space="preserve">HC-03804</t>
  </si>
  <si>
    <t xml:space="preserve">HC-03805</t>
  </si>
  <si>
    <t xml:space="preserve">P-1605</t>
  </si>
  <si>
    <t xml:space="preserve">HC-03806</t>
  </si>
  <si>
    <t xml:space="preserve">HC-03807</t>
  </si>
  <si>
    <t xml:space="preserve">HC-03808</t>
  </si>
  <si>
    <t xml:space="preserve">HC-03809</t>
  </si>
  <si>
    <t xml:space="preserve">HC-03810</t>
  </si>
  <si>
    <t xml:space="preserve">HC-03811</t>
  </si>
  <si>
    <t xml:space="preserve">HC-03812</t>
  </si>
  <si>
    <t xml:space="preserve">HC-03813</t>
  </si>
  <si>
    <t xml:space="preserve">HC-03814</t>
  </si>
  <si>
    <t xml:space="preserve">HC-03815</t>
  </si>
  <si>
    <t xml:space="preserve">HC-03816</t>
  </si>
  <si>
    <t xml:space="preserve">HC-03817</t>
  </si>
  <si>
    <t xml:space="preserve">HC-03818</t>
  </si>
  <si>
    <t xml:space="preserve">HC-03819</t>
  </si>
  <si>
    <t xml:space="preserve">HC-03820</t>
  </si>
  <si>
    <t xml:space="preserve">HC-03821</t>
  </si>
  <si>
    <t xml:space="preserve">HC-03822</t>
  </si>
  <si>
    <t xml:space="preserve">HC-03823</t>
  </si>
  <si>
    <t xml:space="preserve">HC-03824</t>
  </si>
  <si>
    <t xml:space="preserve">HC-03825</t>
  </si>
  <si>
    <t xml:space="preserve">P-0680</t>
  </si>
  <si>
    <t xml:space="preserve">HC-03826</t>
  </si>
  <si>
    <t xml:space="preserve">P-0424</t>
  </si>
  <si>
    <t xml:space="preserve">HC-03827</t>
  </si>
  <si>
    <t xml:space="preserve">HC-03828</t>
  </si>
  <si>
    <t xml:space="preserve">HC-03829</t>
  </si>
  <si>
    <t xml:space="preserve">HC-03830</t>
  </si>
  <si>
    <t xml:space="preserve">HC-03831</t>
  </si>
  <si>
    <t xml:space="preserve">HC-03832</t>
  </si>
  <si>
    <t xml:space="preserve">HC-03833</t>
  </si>
  <si>
    <t xml:space="preserve">HC-03834</t>
  </si>
  <si>
    <t xml:space="preserve">HC-03835</t>
  </si>
  <si>
    <t xml:space="preserve">HC-03836</t>
  </si>
  <si>
    <t xml:space="preserve">HC-03837</t>
  </si>
  <si>
    <t xml:space="preserve">HC-03838</t>
  </si>
  <si>
    <t xml:space="preserve">HC-03839</t>
  </si>
  <si>
    <t xml:space="preserve">HC-03840</t>
  </si>
  <si>
    <t xml:space="preserve">HC-03841</t>
  </si>
  <si>
    <t xml:space="preserve">HC-03842</t>
  </si>
  <si>
    <t xml:space="preserve">HC-03843</t>
  </si>
  <si>
    <t xml:space="preserve">HC-03844</t>
  </si>
  <si>
    <t xml:space="preserve">HC-03845</t>
  </si>
  <si>
    <t xml:space="preserve">HC-03846</t>
  </si>
  <si>
    <t xml:space="preserve">HC-03847</t>
  </si>
  <si>
    <t xml:space="preserve">HC-03848</t>
  </si>
  <si>
    <t xml:space="preserve">HC-03849</t>
  </si>
  <si>
    <t xml:space="preserve">HC-03850</t>
  </si>
  <si>
    <t xml:space="preserve">HC-03851</t>
  </si>
  <si>
    <t xml:space="preserve">HC-03852</t>
  </si>
  <si>
    <t xml:space="preserve">HC-03853</t>
  </si>
  <si>
    <t xml:space="preserve">HC-03854</t>
  </si>
  <si>
    <t xml:space="preserve">HC-03855</t>
  </si>
  <si>
    <t xml:space="preserve">HC-03856</t>
  </si>
  <si>
    <t xml:space="preserve">HC-03857</t>
  </si>
  <si>
    <t xml:space="preserve">HC-03858</t>
  </si>
  <si>
    <t xml:space="preserve">HC-03859</t>
  </si>
  <si>
    <t xml:space="preserve">HC-03860</t>
  </si>
  <si>
    <t xml:space="preserve">HC-03861</t>
  </si>
  <si>
    <t xml:space="preserve">HC-03862</t>
  </si>
  <si>
    <t xml:space="preserve">P-1597</t>
  </si>
  <si>
    <t xml:space="preserve">HC-03863</t>
  </si>
  <si>
    <t xml:space="preserve">P-0370</t>
  </si>
  <si>
    <t xml:space="preserve">HC-03864</t>
  </si>
  <si>
    <t xml:space="preserve">HC-03865</t>
  </si>
  <si>
    <t xml:space="preserve">HC-03866</t>
  </si>
  <si>
    <t xml:space="preserve">HC-03867</t>
  </si>
  <si>
    <t xml:space="preserve">HC-03868</t>
  </si>
  <si>
    <t xml:space="preserve">HC-03869</t>
  </si>
  <si>
    <t xml:space="preserve">HC-03870</t>
  </si>
  <si>
    <t xml:space="preserve">HC-03871</t>
  </si>
  <si>
    <t xml:space="preserve">HC-03872</t>
  </si>
  <si>
    <t xml:space="preserve">HC-03873</t>
  </si>
  <si>
    <t xml:space="preserve">P-0486</t>
  </si>
  <si>
    <t xml:space="preserve">HC-03874</t>
  </si>
  <si>
    <t xml:space="preserve">HC-03875</t>
  </si>
  <si>
    <t xml:space="preserve">HC-03876</t>
  </si>
  <si>
    <t xml:space="preserve">HC-03877</t>
  </si>
  <si>
    <t xml:space="preserve">HC-03878</t>
  </si>
  <si>
    <t xml:space="preserve">HC-03879</t>
  </si>
  <si>
    <t xml:space="preserve">HC-03880</t>
  </si>
  <si>
    <t xml:space="preserve">HC-03881</t>
  </si>
  <si>
    <t xml:space="preserve">HC-03882</t>
  </si>
  <si>
    <t xml:space="preserve">HC-03883</t>
  </si>
  <si>
    <t xml:space="preserve">HC-03884</t>
  </si>
  <si>
    <t xml:space="preserve">P-1403</t>
  </si>
  <si>
    <t xml:space="preserve">HC-03885</t>
  </si>
  <si>
    <t xml:space="preserve">HC-03886</t>
  </si>
  <si>
    <t xml:space="preserve">HC-03887</t>
  </si>
  <si>
    <t xml:space="preserve">HC-03888</t>
  </si>
  <si>
    <t xml:space="preserve">P-0115</t>
  </si>
  <si>
    <t xml:space="preserve">HC-03889</t>
  </si>
  <si>
    <t xml:space="preserve">HC-03890</t>
  </si>
  <si>
    <t xml:space="preserve">HC-03891</t>
  </si>
  <si>
    <t xml:space="preserve">HC-03892</t>
  </si>
  <si>
    <t xml:space="preserve">HC-03893</t>
  </si>
  <si>
    <t xml:space="preserve">HC-03894</t>
  </si>
  <si>
    <t xml:space="preserve">HC-03895</t>
  </si>
  <si>
    <t xml:space="preserve">HC-03896</t>
  </si>
  <si>
    <t xml:space="preserve">HC-03897</t>
  </si>
  <si>
    <t xml:space="preserve">HC-03898</t>
  </si>
  <si>
    <t xml:space="preserve">HC-03899</t>
  </si>
  <si>
    <t xml:space="preserve">P-1678</t>
  </si>
  <si>
    <t xml:space="preserve">HC-03900</t>
  </si>
  <si>
    <t xml:space="preserve">HC-03901</t>
  </si>
  <si>
    <t xml:space="preserve">HC-03902</t>
  </si>
  <si>
    <t xml:space="preserve">HC-03903</t>
  </si>
  <si>
    <t xml:space="preserve">HC-03904</t>
  </si>
  <si>
    <t xml:space="preserve">HC-03905</t>
  </si>
  <si>
    <t xml:space="preserve">P-1118</t>
  </si>
  <si>
    <t xml:space="preserve">HC-03906</t>
  </si>
  <si>
    <t xml:space="preserve">P-0550</t>
  </si>
  <si>
    <t xml:space="preserve">HC-03907</t>
  </si>
  <si>
    <t xml:space="preserve">HC-03908</t>
  </si>
  <si>
    <t xml:space="preserve">HC-03909</t>
  </si>
  <si>
    <t xml:space="preserve">HC-03910</t>
  </si>
  <si>
    <t xml:space="preserve">HC-03911</t>
  </si>
  <si>
    <t xml:space="preserve">HC-03912</t>
  </si>
  <si>
    <t xml:space="preserve">HC-03913</t>
  </si>
  <si>
    <t xml:space="preserve">HC-03914</t>
  </si>
  <si>
    <t xml:space="preserve">HC-03915</t>
  </si>
  <si>
    <t xml:space="preserve">HC-03916</t>
  </si>
  <si>
    <t xml:space="preserve">HC-03917</t>
  </si>
  <si>
    <t xml:space="preserve">HC-03918</t>
  </si>
  <si>
    <t xml:space="preserve">HC-03919</t>
  </si>
  <si>
    <t xml:space="preserve">HC-03920</t>
  </si>
  <si>
    <t xml:space="preserve">HC-03921</t>
  </si>
  <si>
    <t xml:space="preserve">HC-03922</t>
  </si>
  <si>
    <t xml:space="preserve">HC-03923</t>
  </si>
  <si>
    <t xml:space="preserve">HC-03924</t>
  </si>
  <si>
    <t xml:space="preserve">HC-03925</t>
  </si>
  <si>
    <t xml:space="preserve">HC-03926</t>
  </si>
  <si>
    <t xml:space="preserve">HC-03927</t>
  </si>
  <si>
    <t xml:space="preserve">HC-03928</t>
  </si>
  <si>
    <t xml:space="preserve">HC-03929</t>
  </si>
  <si>
    <t xml:space="preserve">HC-03930</t>
  </si>
  <si>
    <t xml:space="preserve">HC-03931</t>
  </si>
  <si>
    <t xml:space="preserve">P-0412</t>
  </si>
  <si>
    <t xml:space="preserve">HC-03932</t>
  </si>
  <si>
    <t xml:space="preserve">P-1527</t>
  </si>
  <si>
    <t xml:space="preserve">HC-03933</t>
  </si>
  <si>
    <t xml:space="preserve">HC-03934</t>
  </si>
  <si>
    <t xml:space="preserve">HC-03935</t>
  </si>
  <si>
    <t xml:space="preserve">HC-03936</t>
  </si>
  <si>
    <t xml:space="preserve">HC-03937</t>
  </si>
  <si>
    <t xml:space="preserve">HC-03938</t>
  </si>
  <si>
    <t xml:space="preserve">HC-03939</t>
  </si>
  <si>
    <t xml:space="preserve">HC-03940</t>
  </si>
  <si>
    <t xml:space="preserve">HC-03941</t>
  </si>
  <si>
    <t xml:space="preserve">HC-03942</t>
  </si>
  <si>
    <t xml:space="preserve">HC-03943</t>
  </si>
  <si>
    <t xml:space="preserve">HC-03944</t>
  </si>
  <si>
    <t xml:space="preserve">P-1592</t>
  </si>
  <si>
    <t xml:space="preserve">HC-03945</t>
  </si>
  <si>
    <t xml:space="preserve">HC-03946</t>
  </si>
  <si>
    <t xml:space="preserve">HC-03947</t>
  </si>
  <si>
    <t xml:space="preserve">HC-03948</t>
  </si>
  <si>
    <t xml:space="preserve">HC-03949</t>
  </si>
  <si>
    <t xml:space="preserve">HC-03950</t>
  </si>
  <si>
    <t xml:space="preserve">HC-03951</t>
  </si>
  <si>
    <t xml:space="preserve">HC-03952</t>
  </si>
  <si>
    <t xml:space="preserve">HC-03953</t>
  </si>
  <si>
    <t xml:space="preserve">HC-03954</t>
  </si>
  <si>
    <t xml:space="preserve">HC-03955</t>
  </si>
  <si>
    <t xml:space="preserve">HC-03956</t>
  </si>
  <si>
    <t xml:space="preserve">HC-03957</t>
  </si>
  <si>
    <t xml:space="preserve">HC-03958</t>
  </si>
  <si>
    <t xml:space="preserve">HC-03959</t>
  </si>
  <si>
    <t xml:space="preserve">HC-03960</t>
  </si>
  <si>
    <t xml:space="preserve">P-0361</t>
  </si>
  <si>
    <t xml:space="preserve">HC-03961</t>
  </si>
  <si>
    <t xml:space="preserve">HC-03962</t>
  </si>
  <si>
    <t xml:space="preserve">HC-03963</t>
  </si>
  <si>
    <t xml:space="preserve">P-1660</t>
  </si>
  <si>
    <t xml:space="preserve">HC-03964</t>
  </si>
  <si>
    <t xml:space="preserve">HC-03965</t>
  </si>
  <si>
    <t xml:space="preserve">HC-03966</t>
  </si>
  <si>
    <t xml:space="preserve">HC-03967</t>
  </si>
  <si>
    <t xml:space="preserve">HC-03968</t>
  </si>
  <si>
    <t xml:space="preserve">HC-03969</t>
  </si>
  <si>
    <t xml:space="preserve">HC-03970</t>
  </si>
  <si>
    <t xml:space="preserve">HC-03971</t>
  </si>
  <si>
    <t xml:space="preserve">HC-03972</t>
  </si>
  <si>
    <t xml:space="preserve">HC-03973</t>
  </si>
  <si>
    <t xml:space="preserve">HC-03974</t>
  </si>
  <si>
    <t xml:space="preserve">HC-03975</t>
  </si>
  <si>
    <t xml:space="preserve">P-1542</t>
  </si>
  <si>
    <t xml:space="preserve">HC-03976</t>
  </si>
  <si>
    <t xml:space="preserve">HC-03977</t>
  </si>
  <si>
    <t xml:space="preserve">HC-03978</t>
  </si>
  <si>
    <t xml:space="preserve">HC-03979</t>
  </si>
  <si>
    <t xml:space="preserve">HC-03980</t>
  </si>
  <si>
    <t xml:space="preserve">HC-03981</t>
  </si>
  <si>
    <t xml:space="preserve">P-0940</t>
  </si>
  <si>
    <t xml:space="preserve">HC-03982</t>
  </si>
  <si>
    <t xml:space="preserve">HC-03983</t>
  </si>
  <si>
    <t xml:space="preserve">HC-03984</t>
  </si>
  <si>
    <t xml:space="preserve">HC-03985</t>
  </si>
  <si>
    <t xml:space="preserve">HC-03986</t>
  </si>
  <si>
    <t xml:space="preserve">HC-03987</t>
  </si>
  <si>
    <t xml:space="preserve">HC-03988</t>
  </si>
  <si>
    <t xml:space="preserve">HC-03989</t>
  </si>
  <si>
    <t xml:space="preserve">HC-03990</t>
  </si>
  <si>
    <t xml:space="preserve">HC-03991</t>
  </si>
  <si>
    <t xml:space="preserve">HC-03992</t>
  </si>
  <si>
    <t xml:space="preserve">HC-03993</t>
  </si>
  <si>
    <t xml:space="preserve">HC-03994</t>
  </si>
  <si>
    <t xml:space="preserve">HC-03995</t>
  </si>
  <si>
    <t xml:space="preserve">HC-03996</t>
  </si>
  <si>
    <t xml:space="preserve">HC-03997</t>
  </si>
  <si>
    <t xml:space="preserve">HC-03998</t>
  </si>
  <si>
    <t xml:space="preserve">HC-03999</t>
  </si>
  <si>
    <t xml:space="preserve">HC-04000</t>
  </si>
  <si>
    <t xml:space="preserve">P-1673</t>
  </si>
  <si>
    <t xml:space="preserve">HC-04001</t>
  </si>
  <si>
    <t xml:space="preserve">HC-04002</t>
  </si>
  <si>
    <t xml:space="preserve">P-1513</t>
  </si>
  <si>
    <t xml:space="preserve">HC-04003</t>
  </si>
  <si>
    <t xml:space="preserve">HC-04004</t>
  </si>
  <si>
    <t xml:space="preserve">HC-04005</t>
  </si>
  <si>
    <t xml:space="preserve">HC-04006</t>
  </si>
  <si>
    <t xml:space="preserve">HC-04007</t>
  </si>
  <si>
    <t xml:space="preserve">HC-04008</t>
  </si>
  <si>
    <t xml:space="preserve">HC-04009</t>
  </si>
  <si>
    <t xml:space="preserve">P-1648</t>
  </si>
  <si>
    <t xml:space="preserve">HC-04010</t>
  </si>
  <si>
    <t xml:space="preserve">P-1732</t>
  </si>
  <si>
    <t xml:space="preserve">HC-04011</t>
  </si>
  <si>
    <t xml:space="preserve">HC-04012</t>
  </si>
  <si>
    <t xml:space="preserve">HC-04013</t>
  </si>
  <si>
    <t xml:space="preserve">HC-04014</t>
  </si>
  <si>
    <t xml:space="preserve">HC-04015</t>
  </si>
  <si>
    <t xml:space="preserve">HC-04016</t>
  </si>
  <si>
    <t xml:space="preserve">HC-04017</t>
  </si>
  <si>
    <t xml:space="preserve">HC-04018</t>
  </si>
  <si>
    <t xml:space="preserve">HC-04019</t>
  </si>
  <si>
    <t xml:space="preserve">HC-04020</t>
  </si>
  <si>
    <t xml:space="preserve">HC-04021</t>
  </si>
  <si>
    <t xml:space="preserve">HC-04022</t>
  </si>
  <si>
    <t xml:space="preserve">HC-04023</t>
  </si>
  <si>
    <t xml:space="preserve">P-0487</t>
  </si>
  <si>
    <t xml:space="preserve">HC-04024</t>
  </si>
  <si>
    <t xml:space="preserve">P-0423</t>
  </si>
  <si>
    <t xml:space="preserve">HC-04025</t>
  </si>
  <si>
    <t xml:space="preserve">HC-04026</t>
  </si>
  <si>
    <t xml:space="preserve">HC-04027</t>
  </si>
  <si>
    <t xml:space="preserve">HC-04028</t>
  </si>
  <si>
    <t xml:space="preserve">HC-04029</t>
  </si>
  <si>
    <t xml:space="preserve">HC-04030</t>
  </si>
  <si>
    <t xml:space="preserve">HC-04031</t>
  </si>
  <si>
    <t xml:space="preserve">P-0176</t>
  </si>
  <si>
    <t xml:space="preserve">HC-04032</t>
  </si>
  <si>
    <t xml:space="preserve">HC-04033</t>
  </si>
  <si>
    <t xml:space="preserve">HC-04034</t>
  </si>
  <si>
    <t xml:space="preserve">HC-04035</t>
  </si>
  <si>
    <t xml:space="preserve">P-0736</t>
  </si>
  <si>
    <t xml:space="preserve">HC-04036</t>
  </si>
  <si>
    <t xml:space="preserve">HC-04037</t>
  </si>
  <si>
    <t xml:space="preserve">HC-04038</t>
  </si>
  <si>
    <t xml:space="preserve">HC-04039</t>
  </si>
  <si>
    <t xml:space="preserve">HC-04040</t>
  </si>
  <si>
    <t xml:space="preserve">HC-04041</t>
  </si>
  <si>
    <t xml:space="preserve">HC-04042</t>
  </si>
  <si>
    <t xml:space="preserve">HC-04043</t>
  </si>
  <si>
    <t xml:space="preserve">HC-04044</t>
  </si>
  <si>
    <t xml:space="preserve">HC-04045</t>
  </si>
  <si>
    <t xml:space="preserve">HC-04046</t>
  </si>
  <si>
    <t xml:space="preserve">P-0442</t>
  </si>
  <si>
    <t xml:space="preserve">HC-04047</t>
  </si>
  <si>
    <t xml:space="preserve">HC-04048</t>
  </si>
  <si>
    <t xml:space="preserve">HC-04049</t>
  </si>
  <si>
    <t xml:space="preserve">P-0886</t>
  </si>
  <si>
    <t xml:space="preserve">HC-04050</t>
  </si>
  <si>
    <t xml:space="preserve">HC-04051</t>
  </si>
  <si>
    <t xml:space="preserve">HC-04052</t>
  </si>
  <si>
    <t xml:space="preserve">HC-04053</t>
  </si>
  <si>
    <t xml:space="preserve">P-0582</t>
  </si>
  <si>
    <t xml:space="preserve">HC-04054</t>
  </si>
  <si>
    <t xml:space="preserve">HC-04055</t>
  </si>
  <si>
    <t xml:space="preserve">HC-04056</t>
  </si>
  <si>
    <t xml:space="preserve">HC-04057</t>
  </si>
  <si>
    <t xml:space="preserve">HC-04058</t>
  </si>
  <si>
    <t xml:space="preserve">HC-04059</t>
  </si>
  <si>
    <t xml:space="preserve">HC-04060</t>
  </si>
  <si>
    <t xml:space="preserve">HC-04061</t>
  </si>
  <si>
    <t xml:space="preserve">HC-04062</t>
  </si>
  <si>
    <t xml:space="preserve">HC-04063</t>
  </si>
  <si>
    <t xml:space="preserve">P-0250</t>
  </si>
  <si>
    <t xml:space="preserve">HC-04064</t>
  </si>
  <si>
    <t xml:space="preserve">HC-04065</t>
  </si>
  <si>
    <t xml:space="preserve">P-0155</t>
  </si>
  <si>
    <t xml:space="preserve">HC-04066</t>
  </si>
  <si>
    <t xml:space="preserve">HC-04067</t>
  </si>
  <si>
    <t xml:space="preserve">HC-04068</t>
  </si>
  <si>
    <t xml:space="preserve">HC-04069</t>
  </si>
  <si>
    <t xml:space="preserve">HC-04070</t>
  </si>
  <si>
    <t xml:space="preserve">HC-04071</t>
  </si>
  <si>
    <t xml:space="preserve">HC-04072</t>
  </si>
  <si>
    <t xml:space="preserve">HC-04073</t>
  </si>
  <si>
    <t xml:space="preserve">HC-04074</t>
  </si>
  <si>
    <t xml:space="preserve">P-1204</t>
  </si>
  <si>
    <t xml:space="preserve">HC-04075</t>
  </si>
  <si>
    <t xml:space="preserve">HC-04076</t>
  </si>
  <si>
    <t xml:space="preserve">HC-04077</t>
  </si>
  <si>
    <t xml:space="preserve">P-0738</t>
  </si>
  <si>
    <t xml:space="preserve">HC-04078</t>
  </si>
  <si>
    <t xml:space="preserve">P-0024</t>
  </si>
  <si>
    <t xml:space="preserve">HC-04079</t>
  </si>
  <si>
    <t xml:space="preserve">HC-04080</t>
  </si>
  <si>
    <t xml:space="preserve">HC-04081</t>
  </si>
  <si>
    <t xml:space="preserve">HC-04082</t>
  </si>
  <si>
    <t xml:space="preserve">HC-04083</t>
  </si>
  <si>
    <t xml:space="preserve">HC-04084</t>
  </si>
  <si>
    <t xml:space="preserve">P-0993</t>
  </si>
  <si>
    <t xml:space="preserve">HC-04085</t>
  </si>
  <si>
    <t xml:space="preserve">HC-04086</t>
  </si>
  <si>
    <t xml:space="preserve">HC-04087</t>
  </si>
  <si>
    <t xml:space="preserve">HC-04088</t>
  </si>
  <si>
    <t xml:space="preserve">HC-04089</t>
  </si>
  <si>
    <t xml:space="preserve">HC-04090</t>
  </si>
  <si>
    <t xml:space="preserve">HC-04091</t>
  </si>
  <si>
    <t xml:space="preserve">HC-04092</t>
  </si>
  <si>
    <t xml:space="preserve">P-1719</t>
  </si>
  <si>
    <t xml:space="preserve">HC-04093</t>
  </si>
  <si>
    <t xml:space="preserve">HC-04094</t>
  </si>
  <si>
    <t xml:space="preserve">HC-04095</t>
  </si>
  <si>
    <t xml:space="preserve">HC-04096</t>
  </si>
  <si>
    <t xml:space="preserve">HC-04097</t>
  </si>
  <si>
    <t xml:space="preserve">HC-04098</t>
  </si>
  <si>
    <t xml:space="preserve">HC-04099</t>
  </si>
  <si>
    <t xml:space="preserve">HC-04100</t>
  </si>
  <si>
    <t xml:space="preserve">HC-04101</t>
  </si>
  <si>
    <t xml:space="preserve">HC-04102</t>
  </si>
  <si>
    <t xml:space="preserve">HC-04103</t>
  </si>
  <si>
    <t xml:space="preserve">HC-04104</t>
  </si>
  <si>
    <t xml:space="preserve">HC-04105</t>
  </si>
  <si>
    <t xml:space="preserve">HC-04106</t>
  </si>
  <si>
    <t xml:space="preserve">HC-04107</t>
  </si>
  <si>
    <t xml:space="preserve">HC-04108</t>
  </si>
  <si>
    <t xml:space="preserve">HC-04109</t>
  </si>
  <si>
    <t xml:space="preserve">HC-04110</t>
  </si>
  <si>
    <t xml:space="preserve">HC-04111</t>
  </si>
  <si>
    <t xml:space="preserve">HC-04112</t>
  </si>
  <si>
    <t xml:space="preserve">HC-04113</t>
  </si>
  <si>
    <t xml:space="preserve">HC-04114</t>
  </si>
  <si>
    <t xml:space="preserve">HC-04115</t>
  </si>
  <si>
    <t xml:space="preserve">HC-04116</t>
  </si>
  <si>
    <t xml:space="preserve">HC-04117</t>
  </si>
  <si>
    <t xml:space="preserve">HC-04118</t>
  </si>
  <si>
    <t xml:space="preserve">HC-04119</t>
  </si>
  <si>
    <t xml:space="preserve">HC-04120</t>
  </si>
  <si>
    <t xml:space="preserve">HC-04121</t>
  </si>
  <si>
    <t xml:space="preserve">HC-04122</t>
  </si>
  <si>
    <t xml:space="preserve">HC-04123</t>
  </si>
  <si>
    <t xml:space="preserve">HC-04124</t>
  </si>
  <si>
    <t xml:space="preserve">HC-04125</t>
  </si>
  <si>
    <t xml:space="preserve">P-0540</t>
  </si>
  <si>
    <t xml:space="preserve">HC-04126</t>
  </si>
  <si>
    <t xml:space="preserve">HC-04127</t>
  </si>
  <si>
    <t xml:space="preserve">HC-04128</t>
  </si>
  <si>
    <t xml:space="preserve">HC-04129</t>
  </si>
  <si>
    <t xml:space="preserve">HC-04130</t>
  </si>
  <si>
    <t xml:space="preserve">HC-04131</t>
  </si>
  <si>
    <t xml:space="preserve">HC-04132</t>
  </si>
  <si>
    <t xml:space="preserve">HC-04133</t>
  </si>
  <si>
    <t xml:space="preserve">HC-04134</t>
  </si>
  <si>
    <t xml:space="preserve">P-0996</t>
  </si>
  <si>
    <t xml:space="preserve">HC-04135</t>
  </si>
  <si>
    <t xml:space="preserve">HC-04136</t>
  </si>
  <si>
    <t xml:space="preserve">HC-04137</t>
  </si>
  <si>
    <t xml:space="preserve">HC-04138</t>
  </si>
  <si>
    <t xml:space="preserve">HC-04139</t>
  </si>
  <si>
    <t xml:space="preserve">P-0800</t>
  </si>
  <si>
    <t xml:space="preserve">HC-04140</t>
  </si>
  <si>
    <t xml:space="preserve">HC-04141</t>
  </si>
  <si>
    <t xml:space="preserve">HC-04142</t>
  </si>
  <si>
    <t xml:space="preserve">HC-04143</t>
  </si>
  <si>
    <t xml:space="preserve">HC-04144</t>
  </si>
  <si>
    <t xml:space="preserve">HC-04145</t>
  </si>
  <si>
    <t xml:space="preserve">HC-04146</t>
  </si>
  <si>
    <t xml:space="preserve">HC-04147</t>
  </si>
  <si>
    <t xml:space="preserve">P-1759</t>
  </si>
  <si>
    <t xml:space="preserve">HC-04148</t>
  </si>
  <si>
    <t xml:space="preserve">HC-04149</t>
  </si>
  <si>
    <t xml:space="preserve">P-1119</t>
  </si>
  <si>
    <t xml:space="preserve">HC-04150</t>
  </si>
  <si>
    <t xml:space="preserve">HC-04151</t>
  </si>
  <si>
    <t xml:space="preserve">HC-04152</t>
  </si>
  <si>
    <t xml:space="preserve">HC-04153</t>
  </si>
  <si>
    <t xml:space="preserve">HC-04154</t>
  </si>
  <si>
    <t xml:space="preserve">HC-04155</t>
  </si>
  <si>
    <t xml:space="preserve">HC-04156</t>
  </si>
  <si>
    <t xml:space="preserve">HC-04157</t>
  </si>
  <si>
    <t xml:space="preserve">HC-04158</t>
  </si>
  <si>
    <t xml:space="preserve">HC-04159</t>
  </si>
  <si>
    <t xml:space="preserve">HC-04160</t>
  </si>
  <si>
    <t xml:space="preserve">HC-04161</t>
  </si>
  <si>
    <t xml:space="preserve">HC-04162</t>
  </si>
  <si>
    <t xml:space="preserve">HC-04163</t>
  </si>
  <si>
    <t xml:space="preserve">HC-04164</t>
  </si>
  <si>
    <t xml:space="preserve">HC-04165</t>
  </si>
  <si>
    <t xml:space="preserve">P-1637</t>
  </si>
  <si>
    <t xml:space="preserve">HC-04166</t>
  </si>
  <si>
    <t xml:space="preserve">HC-04167</t>
  </si>
  <si>
    <t xml:space="preserve">HC-04168</t>
  </si>
  <si>
    <t xml:space="preserve">HC-04169</t>
  </si>
  <si>
    <t xml:space="preserve">HC-04170</t>
  </si>
  <si>
    <t xml:space="preserve">HC-04171</t>
  </si>
  <si>
    <t xml:space="preserve">HC-04172</t>
  </si>
  <si>
    <t xml:space="preserve">HC-04173</t>
  </si>
  <si>
    <t xml:space="preserve">HC-04174</t>
  </si>
  <si>
    <t xml:space="preserve">HC-04175</t>
  </si>
  <si>
    <t xml:space="preserve">HC-04176</t>
  </si>
  <si>
    <t xml:space="preserve">HC-04177</t>
  </si>
  <si>
    <t xml:space="preserve">HC-04178</t>
  </si>
  <si>
    <t xml:space="preserve">HC-04179</t>
  </si>
  <si>
    <t xml:space="preserve">HC-04180</t>
  </si>
  <si>
    <t xml:space="preserve">HC-04181</t>
  </si>
  <si>
    <t xml:space="preserve">HC-04182</t>
  </si>
  <si>
    <t xml:space="preserve">HC-04183</t>
  </si>
  <si>
    <t xml:space="preserve">P-0982</t>
  </si>
  <si>
    <t xml:space="preserve">HC-04184</t>
  </si>
  <si>
    <t xml:space="preserve">HC-04185</t>
  </si>
  <si>
    <t xml:space="preserve">HC-04186</t>
  </si>
  <si>
    <t xml:space="preserve">HC-04187</t>
  </si>
  <si>
    <t xml:space="preserve">HC-04188</t>
  </si>
  <si>
    <t xml:space="preserve">HC-04189</t>
  </si>
  <si>
    <t xml:space="preserve">HC-04190</t>
  </si>
  <si>
    <t xml:space="preserve">HC-04191</t>
  </si>
  <si>
    <t xml:space="preserve">HC-04192</t>
  </si>
  <si>
    <t xml:space="preserve">HC-04193</t>
  </si>
  <si>
    <t xml:space="preserve">HC-04194</t>
  </si>
  <si>
    <t xml:space="preserve">HC-04195</t>
  </si>
  <si>
    <t xml:space="preserve">HC-04196</t>
  </si>
  <si>
    <t xml:space="preserve">HC-04197</t>
  </si>
  <si>
    <t xml:space="preserve">HC-04198</t>
  </si>
  <si>
    <t xml:space="preserve">HC-04199</t>
  </si>
  <si>
    <t xml:space="preserve">HC-04200</t>
  </si>
  <si>
    <t xml:space="preserve">HC-04201</t>
  </si>
  <si>
    <t xml:space="preserve">HC-04202</t>
  </si>
  <si>
    <t xml:space="preserve">HC-04203</t>
  </si>
  <si>
    <t xml:space="preserve">HC-04204</t>
  </si>
  <si>
    <t xml:space="preserve">HC-04205</t>
  </si>
  <si>
    <t xml:space="preserve">HC-04206</t>
  </si>
  <si>
    <t xml:space="preserve">HC-04207</t>
  </si>
  <si>
    <t xml:space="preserve">HC-04208</t>
  </si>
  <si>
    <t xml:space="preserve">HC-04209</t>
  </si>
  <si>
    <t xml:space="preserve">HC-04210</t>
  </si>
  <si>
    <t xml:space="preserve">P-1298</t>
  </si>
  <si>
    <t xml:space="preserve">HC-04211</t>
  </si>
  <si>
    <t xml:space="preserve">HC-04212</t>
  </si>
  <si>
    <t xml:space="preserve">HC-04213</t>
  </si>
  <si>
    <t xml:space="preserve">HC-04214</t>
  </si>
  <si>
    <t xml:space="preserve">HC-04215</t>
  </si>
  <si>
    <t xml:space="preserve">HC-04216</t>
  </si>
  <si>
    <t xml:space="preserve">HC-04217</t>
  </si>
  <si>
    <t xml:space="preserve">HC-04218</t>
  </si>
  <si>
    <t xml:space="preserve">HC-04219</t>
  </si>
  <si>
    <t xml:space="preserve">HC-04220</t>
  </si>
  <si>
    <t xml:space="preserve">HC-04221</t>
  </si>
  <si>
    <t xml:space="preserve">HC-04222</t>
  </si>
  <si>
    <t xml:space="preserve">HC-04223</t>
  </si>
  <si>
    <t xml:space="preserve">HC-04224</t>
  </si>
  <si>
    <t xml:space="preserve">HC-04225</t>
  </si>
  <si>
    <t xml:space="preserve">HC-04226</t>
  </si>
  <si>
    <t xml:space="preserve">HC-04227</t>
  </si>
  <si>
    <t xml:space="preserve">HC-04228</t>
  </si>
  <si>
    <t xml:space="preserve">HC-04229</t>
  </si>
  <si>
    <t xml:space="preserve">HC-04230</t>
  </si>
  <si>
    <t xml:space="preserve">HC-04231</t>
  </si>
  <si>
    <t xml:space="preserve">HC-04232</t>
  </si>
  <si>
    <t xml:space="preserve">HC-04233</t>
  </si>
  <si>
    <t xml:space="preserve">HC-04234</t>
  </si>
  <si>
    <t xml:space="preserve">HC-04235</t>
  </si>
  <si>
    <t xml:space="preserve">P-1228</t>
  </si>
  <si>
    <t xml:space="preserve">HC-04236</t>
  </si>
  <si>
    <t xml:space="preserve">P-0766</t>
  </si>
  <si>
    <t xml:space="preserve">HC-04237</t>
  </si>
  <si>
    <t xml:space="preserve">P-1500</t>
  </si>
  <si>
    <t xml:space="preserve">HC-04238</t>
  </si>
  <si>
    <t xml:space="preserve">HC-04239</t>
  </si>
  <si>
    <t xml:space="preserve">HC-04240</t>
  </si>
  <si>
    <t xml:space="preserve">HC-04241</t>
  </si>
  <si>
    <t xml:space="preserve">HC-04242</t>
  </si>
  <si>
    <t xml:space="preserve">HC-04243</t>
  </si>
  <si>
    <t xml:space="preserve">HC-04244</t>
  </si>
  <si>
    <t xml:space="preserve">HC-04245</t>
  </si>
  <si>
    <t xml:space="preserve">HC-04246</t>
  </si>
  <si>
    <t xml:space="preserve">HC-04247</t>
  </si>
  <si>
    <t xml:space="preserve">HC-04248</t>
  </si>
  <si>
    <t xml:space="preserve">HC-04249</t>
  </si>
  <si>
    <t xml:space="preserve">HC-04250</t>
  </si>
  <si>
    <t xml:space="preserve">HC-04251</t>
  </si>
  <si>
    <t xml:space="preserve">HC-04252</t>
  </si>
  <si>
    <t xml:space="preserve">HC-04253</t>
  </si>
  <si>
    <t xml:space="preserve">HC-04254</t>
  </si>
  <si>
    <t xml:space="preserve">HC-04255</t>
  </si>
  <si>
    <t xml:space="preserve">HC-04256</t>
  </si>
  <si>
    <t xml:space="preserve">HC-04257</t>
  </si>
  <si>
    <t xml:space="preserve">HC-04258</t>
  </si>
  <si>
    <t xml:space="preserve">HC-04259</t>
  </si>
  <si>
    <t xml:space="preserve">HC-04260</t>
  </si>
  <si>
    <t xml:space="preserve">HC-04261</t>
  </si>
  <si>
    <t xml:space="preserve">HC-04262</t>
  </si>
  <si>
    <t xml:space="preserve">HC-04263</t>
  </si>
  <si>
    <t xml:space="preserve">HC-04264</t>
  </si>
  <si>
    <t xml:space="preserve">HC-04265</t>
  </si>
  <si>
    <t xml:space="preserve">HC-04266</t>
  </si>
  <si>
    <t xml:space="preserve">HC-04267</t>
  </si>
  <si>
    <t xml:space="preserve">HC-04268</t>
  </si>
  <si>
    <t xml:space="preserve">HC-04269</t>
  </si>
  <si>
    <t xml:space="preserve">HC-04270</t>
  </si>
  <si>
    <t xml:space="preserve">P-0923</t>
  </si>
  <si>
    <t xml:space="preserve">HC-04271</t>
  </si>
  <si>
    <t xml:space="preserve">HC-04272</t>
  </si>
  <si>
    <t xml:space="preserve">HC-04273</t>
  </si>
  <si>
    <t xml:space="preserve">HC-04274</t>
  </si>
  <si>
    <t xml:space="preserve">HC-04275</t>
  </si>
  <si>
    <t xml:space="preserve">HC-04276</t>
  </si>
  <si>
    <t xml:space="preserve">HC-04277</t>
  </si>
  <si>
    <t xml:space="preserve">HC-04278</t>
  </si>
  <si>
    <t xml:space="preserve">HC-04279</t>
  </si>
  <si>
    <t xml:space="preserve">HC-04280</t>
  </si>
  <si>
    <t xml:space="preserve">HC-04281</t>
  </si>
  <si>
    <t xml:space="preserve">HC-04282</t>
  </si>
  <si>
    <t xml:space="preserve">HC-04283</t>
  </si>
  <si>
    <t xml:space="preserve">HC-04284</t>
  </si>
  <si>
    <t xml:space="preserve">HC-04285</t>
  </si>
  <si>
    <t xml:space="preserve">HC-04286</t>
  </si>
  <si>
    <t xml:space="preserve">HC-04287</t>
  </si>
  <si>
    <t xml:space="preserve">HC-04288</t>
  </si>
  <si>
    <t xml:space="preserve">HC-04289</t>
  </si>
  <si>
    <t xml:space="preserve">HC-04290</t>
  </si>
  <si>
    <t xml:space="preserve">P-0739</t>
  </si>
  <si>
    <t xml:space="preserve">HC-04291</t>
  </si>
  <si>
    <t xml:space="preserve">HC-04292</t>
  </si>
  <si>
    <t xml:space="preserve">HC-04293</t>
  </si>
  <si>
    <t xml:space="preserve">HC-04294</t>
  </si>
  <si>
    <t xml:space="preserve">HC-04295</t>
  </si>
  <si>
    <t xml:space="preserve">HC-04296</t>
  </si>
  <si>
    <t xml:space="preserve">HC-04297</t>
  </si>
  <si>
    <t xml:space="preserve">HC-04298</t>
  </si>
  <si>
    <t xml:space="preserve">HC-04299</t>
  </si>
  <si>
    <t xml:space="preserve">HC-04300</t>
  </si>
  <si>
    <t xml:space="preserve">HC-04301</t>
  </si>
  <si>
    <t xml:space="preserve">HC-04302</t>
  </si>
  <si>
    <t xml:space="preserve">P-0973</t>
  </si>
  <si>
    <t xml:space="preserve">HC-04303</t>
  </si>
  <si>
    <t xml:space="preserve">HC-04304</t>
  </si>
  <si>
    <t xml:space="preserve">HC-04305</t>
  </si>
  <si>
    <t xml:space="preserve">HC-04306</t>
  </si>
  <si>
    <t xml:space="preserve">HC-04307</t>
  </si>
  <si>
    <t xml:space="preserve">HC-04308</t>
  </si>
  <si>
    <t xml:space="preserve">HC-04309</t>
  </si>
  <si>
    <t xml:space="preserve">HC-04310</t>
  </si>
  <si>
    <t xml:space="preserve">HC-04311</t>
  </si>
  <si>
    <t xml:space="preserve">HC-04312</t>
  </si>
  <si>
    <t xml:space="preserve">HC-04313</t>
  </si>
  <si>
    <t xml:space="preserve">P-1477</t>
  </si>
  <si>
    <t xml:space="preserve">HC-04314</t>
  </si>
  <si>
    <t xml:space="preserve">HC-04315</t>
  </si>
  <si>
    <t xml:space="preserve">HC-04316</t>
  </si>
  <si>
    <t xml:space="preserve">HC-04317</t>
  </si>
  <si>
    <t xml:space="preserve">HC-04318</t>
  </si>
  <si>
    <t xml:space="preserve">HC-04319</t>
  </si>
  <si>
    <t xml:space="preserve">HC-04320</t>
  </si>
  <si>
    <t xml:space="preserve">HC-04321</t>
  </si>
  <si>
    <t xml:space="preserve">HC-04322</t>
  </si>
  <si>
    <t xml:space="preserve">HC-04323</t>
  </si>
  <si>
    <t xml:space="preserve">P-1416</t>
  </si>
  <si>
    <t xml:space="preserve">HC-04324</t>
  </si>
  <si>
    <t xml:space="preserve">HC-04325</t>
  </si>
  <si>
    <t xml:space="preserve">HC-04326</t>
  </si>
  <si>
    <t xml:space="preserve">P-0700</t>
  </si>
  <si>
    <t xml:space="preserve">HC-04327</t>
  </si>
  <si>
    <t xml:space="preserve">HC-04328</t>
  </si>
  <si>
    <t xml:space="preserve">HC-04329</t>
  </si>
  <si>
    <t xml:space="preserve">HC-04330</t>
  </si>
  <si>
    <t xml:space="preserve">HC-04331</t>
  </si>
  <si>
    <t xml:space="preserve">HC-04332</t>
  </si>
  <si>
    <t xml:space="preserve">HC-04333</t>
  </si>
  <si>
    <t xml:space="preserve">HC-04334</t>
  </si>
  <si>
    <t xml:space="preserve">HC-04335</t>
  </si>
  <si>
    <t xml:space="preserve">HC-04336</t>
  </si>
  <si>
    <t xml:space="preserve">HC-04337</t>
  </si>
  <si>
    <t xml:space="preserve">P-0212</t>
  </si>
  <si>
    <t xml:space="preserve">HC-04338</t>
  </si>
  <si>
    <t xml:space="preserve">P-1600</t>
  </si>
  <si>
    <t xml:space="preserve">HC-04339</t>
  </si>
  <si>
    <t xml:space="preserve">HC-04340</t>
  </si>
  <si>
    <t xml:space="preserve">HC-04341</t>
  </si>
  <si>
    <t xml:space="preserve">P-0440</t>
  </si>
  <si>
    <t xml:space="preserve">HC-04342</t>
  </si>
  <si>
    <t xml:space="preserve">HC-04343</t>
  </si>
  <si>
    <t xml:space="preserve">P-1264</t>
  </si>
  <si>
    <t xml:space="preserve">HC-04344</t>
  </si>
  <si>
    <t xml:space="preserve">HC-04345</t>
  </si>
  <si>
    <t xml:space="preserve">P-1409</t>
  </si>
  <si>
    <t xml:space="preserve">HC-04346</t>
  </si>
  <si>
    <t xml:space="preserve">HC-04347</t>
  </si>
  <si>
    <t xml:space="preserve">HC-04348</t>
  </si>
  <si>
    <t xml:space="preserve">HC-04349</t>
  </si>
  <si>
    <t xml:space="preserve">HC-04350</t>
  </si>
  <si>
    <t xml:space="preserve">HC-04351</t>
  </si>
  <si>
    <t xml:space="preserve">HC-04352</t>
  </si>
  <si>
    <t xml:space="preserve">HC-04353</t>
  </si>
  <si>
    <t xml:space="preserve">HC-04354</t>
  </si>
  <si>
    <t xml:space="preserve">HC-04355</t>
  </si>
  <si>
    <t xml:space="preserve">HC-04356</t>
  </si>
  <si>
    <t xml:space="preserve">HC-04357</t>
  </si>
  <si>
    <t xml:space="preserve">HC-04358</t>
  </si>
  <si>
    <t xml:space="preserve">HC-04359</t>
  </si>
  <si>
    <t xml:space="preserve">HC-04360</t>
  </si>
  <si>
    <t xml:space="preserve">HC-04361</t>
  </si>
  <si>
    <t xml:space="preserve">HC-04362</t>
  </si>
  <si>
    <t xml:space="preserve">HC-04363</t>
  </si>
  <si>
    <t xml:space="preserve">HC-04364</t>
  </si>
  <si>
    <t xml:space="preserve">HC-04365</t>
  </si>
  <si>
    <t xml:space="preserve">HC-04366</t>
  </si>
  <si>
    <t xml:space="preserve">HC-04367</t>
  </si>
  <si>
    <t xml:space="preserve">P-0330</t>
  </si>
  <si>
    <t xml:space="preserve">HC-04368</t>
  </si>
  <si>
    <t xml:space="preserve">HC-04369</t>
  </si>
  <si>
    <t xml:space="preserve">HC-04370</t>
  </si>
  <si>
    <t xml:space="preserve">HC-04371</t>
  </si>
  <si>
    <t xml:space="preserve">HC-04372</t>
  </si>
  <si>
    <t xml:space="preserve">HC-04373</t>
  </si>
  <si>
    <t xml:space="preserve">HC-04374</t>
  </si>
  <si>
    <t xml:space="preserve">HC-04375</t>
  </si>
  <si>
    <t xml:space="preserve">HC-04376</t>
  </si>
  <si>
    <t xml:space="preserve">P-1237</t>
  </si>
  <si>
    <t xml:space="preserve">HC-04377</t>
  </si>
  <si>
    <t xml:space="preserve">HC-04378</t>
  </si>
  <si>
    <t xml:space="preserve">HC-04379</t>
  </si>
  <si>
    <t xml:space="preserve">HC-04380</t>
  </si>
  <si>
    <t xml:space="preserve">HC-04381</t>
  </si>
  <si>
    <t xml:space="preserve">HC-04382</t>
  </si>
  <si>
    <t xml:space="preserve">HC-04383</t>
  </si>
  <si>
    <t xml:space="preserve">HC-04384</t>
  </si>
  <si>
    <t xml:space="preserve">HC-04385</t>
  </si>
  <si>
    <t xml:space="preserve">HC-04386</t>
  </si>
  <si>
    <t xml:space="preserve">HC-04387</t>
  </si>
  <si>
    <t xml:space="preserve">HC-04388</t>
  </si>
  <si>
    <t xml:space="preserve">HC-04389</t>
  </si>
  <si>
    <t xml:space="preserve">HC-04390</t>
  </si>
  <si>
    <t xml:space="preserve">P-1421</t>
  </si>
  <si>
    <t xml:space="preserve">HC-04391</t>
  </si>
  <si>
    <t xml:space="preserve">HC-04392</t>
  </si>
  <si>
    <t xml:space="preserve">HC-04393</t>
  </si>
  <si>
    <t xml:space="preserve">HC-04394</t>
  </si>
  <si>
    <t xml:space="preserve">HC-04395</t>
  </si>
  <si>
    <t xml:space="preserve">HC-04396</t>
  </si>
  <si>
    <t xml:space="preserve">HC-04397</t>
  </si>
  <si>
    <t xml:space="preserve">HC-04398</t>
  </si>
  <si>
    <t xml:space="preserve">HC-04399</t>
  </si>
  <si>
    <t xml:space="preserve">HC-04400</t>
  </si>
  <si>
    <t xml:space="preserve">HC-04401</t>
  </si>
  <si>
    <t xml:space="preserve">HC-04402</t>
  </si>
  <si>
    <t xml:space="preserve">HC-04403</t>
  </si>
  <si>
    <t xml:space="preserve">HC-04404</t>
  </si>
  <si>
    <t xml:space="preserve">P-0467</t>
  </si>
  <si>
    <t xml:space="preserve">HC-04405</t>
  </si>
  <si>
    <t xml:space="preserve">HC-04406</t>
  </si>
  <si>
    <t xml:space="preserve">HC-04407</t>
  </si>
  <si>
    <t xml:space="preserve">HC-04408</t>
  </si>
  <si>
    <t xml:space="preserve">HC-04409</t>
  </si>
  <si>
    <t xml:space="preserve">HC-04410</t>
  </si>
  <si>
    <t xml:space="preserve">HC-04411</t>
  </si>
  <si>
    <t xml:space="preserve">HC-04412</t>
  </si>
  <si>
    <t xml:space="preserve">HC-04413</t>
  </si>
  <si>
    <t xml:space="preserve">HC-04414</t>
  </si>
  <si>
    <t xml:space="preserve">HC-04415</t>
  </si>
  <si>
    <t xml:space="preserve">HC-04416</t>
  </si>
  <si>
    <t xml:space="preserve">HC-04417</t>
  </si>
  <si>
    <t xml:space="preserve">HC-04418</t>
  </si>
  <si>
    <t xml:space="preserve">HC-04419</t>
  </si>
  <si>
    <t xml:space="preserve">HC-04420</t>
  </si>
  <si>
    <t xml:space="preserve">HC-04421</t>
  </si>
  <si>
    <t xml:space="preserve">HC-04422</t>
  </si>
  <si>
    <t xml:space="preserve">HC-04423</t>
  </si>
  <si>
    <t xml:space="preserve">HC-04424</t>
  </si>
  <si>
    <t xml:space="preserve">HC-04425</t>
  </si>
  <si>
    <t xml:space="preserve">P-0707</t>
  </si>
  <si>
    <t xml:space="preserve">HC-04426</t>
  </si>
  <si>
    <t xml:space="preserve">HC-04427</t>
  </si>
  <si>
    <t xml:space="preserve">HC-04428</t>
  </si>
  <si>
    <t xml:space="preserve">HC-04429</t>
  </si>
  <si>
    <t xml:space="preserve">HC-04430</t>
  </si>
  <si>
    <t xml:space="preserve">HC-04431</t>
  </si>
  <si>
    <t xml:space="preserve">HC-04432</t>
  </si>
  <si>
    <t xml:space="preserve">HC-04433</t>
  </si>
  <si>
    <t xml:space="preserve">HC-04434</t>
  </si>
  <si>
    <t xml:space="preserve">HC-04435</t>
  </si>
  <si>
    <t xml:space="preserve">HC-04436</t>
  </si>
  <si>
    <t xml:space="preserve">HC-04437</t>
  </si>
  <si>
    <t xml:space="preserve">HC-04438</t>
  </si>
  <si>
    <t xml:space="preserve">HC-04439</t>
  </si>
  <si>
    <t xml:space="preserve">HC-04440</t>
  </si>
  <si>
    <t xml:space="preserve">P-0093</t>
  </si>
  <si>
    <t xml:space="preserve">HC-04441</t>
  </si>
  <si>
    <t xml:space="preserve">HC-04442</t>
  </si>
  <si>
    <t xml:space="preserve">HC-04443</t>
  </si>
  <si>
    <t xml:space="preserve">HC-04444</t>
  </si>
  <si>
    <t xml:space="preserve">P-0417</t>
  </si>
  <si>
    <t xml:space="preserve">HC-04445</t>
  </si>
  <si>
    <t xml:space="preserve">HC-04446</t>
  </si>
  <si>
    <t xml:space="preserve">HC-04447</t>
  </si>
  <si>
    <t xml:space="preserve">HC-04448</t>
  </si>
  <si>
    <t xml:space="preserve">HC-04449</t>
  </si>
  <si>
    <t xml:space="preserve">P-1481</t>
  </si>
  <si>
    <t xml:space="preserve">HC-04450</t>
  </si>
  <si>
    <t xml:space="preserve">HC-04451</t>
  </si>
  <si>
    <t xml:space="preserve">P-1394</t>
  </si>
  <si>
    <t xml:space="preserve">HC-04452</t>
  </si>
  <si>
    <t xml:space="preserve">HC-04453</t>
  </si>
  <si>
    <t xml:space="preserve">HC-04454</t>
  </si>
  <si>
    <t xml:space="preserve">HC-04455</t>
  </si>
  <si>
    <t xml:space="preserve">HC-04456</t>
  </si>
  <si>
    <t xml:space="preserve">HC-04457</t>
  </si>
  <si>
    <t xml:space="preserve">HC-04458</t>
  </si>
  <si>
    <t xml:space="preserve">HC-04459</t>
  </si>
  <si>
    <t xml:space="preserve">HC-04460</t>
  </si>
  <si>
    <t xml:space="preserve">HC-04461</t>
  </si>
  <si>
    <t xml:space="preserve">HC-04462</t>
  </si>
  <si>
    <t xml:space="preserve">HC-04463</t>
  </si>
  <si>
    <t xml:space="preserve">HC-04464</t>
  </si>
  <si>
    <t xml:space="preserve">P-0748</t>
  </si>
  <si>
    <t xml:space="preserve">HC-04465</t>
  </si>
  <si>
    <t xml:space="preserve">HC-04466</t>
  </si>
  <si>
    <t xml:space="preserve">HC-04467</t>
  </si>
  <si>
    <t xml:space="preserve">HC-04468</t>
  </si>
  <si>
    <t xml:space="preserve">HC-04469</t>
  </si>
  <si>
    <t xml:space="preserve">HC-04470</t>
  </si>
  <si>
    <t xml:space="preserve">HC-04471</t>
  </si>
  <si>
    <t xml:space="preserve">HC-04472</t>
  </si>
  <si>
    <t xml:space="preserve">HC-04473</t>
  </si>
  <si>
    <t xml:space="preserve">HC-04474</t>
  </si>
  <si>
    <t xml:space="preserve">HC-04475</t>
  </si>
  <si>
    <t xml:space="preserve">HC-04476</t>
  </si>
  <si>
    <t xml:space="preserve">HC-04477</t>
  </si>
  <si>
    <t xml:space="preserve">HC-04478</t>
  </si>
  <si>
    <t xml:space="preserve">HC-04479</t>
  </si>
  <si>
    <t xml:space="preserve">HC-04480</t>
  </si>
  <si>
    <t xml:space="preserve">HC-04481</t>
  </si>
  <si>
    <t xml:space="preserve">P-1304</t>
  </si>
  <si>
    <t xml:space="preserve">HC-04482</t>
  </si>
  <si>
    <t xml:space="preserve">HC-04483</t>
  </si>
  <si>
    <t xml:space="preserve">HC-04484</t>
  </si>
  <si>
    <t xml:space="preserve">HC-04485</t>
  </si>
  <si>
    <t xml:space="preserve">HC-04486</t>
  </si>
  <si>
    <t xml:space="preserve">HC-04487</t>
  </si>
  <si>
    <t xml:space="preserve">HC-04488</t>
  </si>
  <si>
    <t xml:space="preserve">HC-04489</t>
  </si>
  <si>
    <t xml:space="preserve">HC-04490</t>
  </si>
  <si>
    <t xml:space="preserve">HC-04491</t>
  </si>
  <si>
    <t xml:space="preserve">HC-04492</t>
  </si>
  <si>
    <t xml:space="preserve">HC-04493</t>
  </si>
  <si>
    <t xml:space="preserve">HC-04494</t>
  </si>
  <si>
    <t xml:space="preserve">HC-04495</t>
  </si>
  <si>
    <t xml:space="preserve">HC-04496</t>
  </si>
  <si>
    <t xml:space="preserve">HC-04497</t>
  </si>
  <si>
    <t xml:space="preserve">HC-04498</t>
  </si>
  <si>
    <t xml:space="preserve">HC-04499</t>
  </si>
  <si>
    <t xml:space="preserve">HC-04500</t>
  </si>
  <si>
    <t xml:space="preserve">HC-04501</t>
  </si>
  <si>
    <t xml:space="preserve">HC-04502</t>
  </si>
  <si>
    <t xml:space="preserve">HC-04503</t>
  </si>
  <si>
    <t xml:space="preserve">HC-04504</t>
  </si>
  <si>
    <t xml:space="preserve">P-0648</t>
  </si>
  <si>
    <t xml:space="preserve">HC-04505</t>
  </si>
  <si>
    <t xml:space="preserve">HC-04506</t>
  </si>
  <si>
    <t xml:space="preserve">HC-04507</t>
  </si>
  <si>
    <t xml:space="preserve">HC-04508</t>
  </si>
  <si>
    <t xml:space="preserve">HC-04509</t>
  </si>
  <si>
    <t xml:space="preserve">HC-04510</t>
  </si>
  <si>
    <t xml:space="preserve">P-0171</t>
  </si>
  <si>
    <t xml:space="preserve">HC-04511</t>
  </si>
  <si>
    <t xml:space="preserve">HC-04512</t>
  </si>
  <si>
    <t xml:space="preserve">HC-04513</t>
  </si>
  <si>
    <t xml:space="preserve">HC-04514</t>
  </si>
  <si>
    <t xml:space="preserve">HC-04515</t>
  </si>
  <si>
    <t xml:space="preserve">P-0524</t>
  </si>
  <si>
    <t xml:space="preserve">HC-04516</t>
  </si>
  <si>
    <t xml:space="preserve">HC-04517</t>
  </si>
  <si>
    <t xml:space="preserve">HC-04518</t>
  </si>
  <si>
    <t xml:space="preserve">HC-04519</t>
  </si>
  <si>
    <t xml:space="preserve">HC-04520</t>
  </si>
  <si>
    <t xml:space="preserve">HC-04521</t>
  </si>
  <si>
    <t xml:space="preserve">HC-04522</t>
  </si>
  <si>
    <t xml:space="preserve">HC-04523</t>
  </si>
  <si>
    <t xml:space="preserve">HC-04524</t>
  </si>
  <si>
    <t xml:space="preserve">HC-04525</t>
  </si>
  <si>
    <t xml:space="preserve">HC-04526</t>
  </si>
  <si>
    <t xml:space="preserve">HC-04527</t>
  </si>
  <si>
    <t xml:space="preserve">HC-04528</t>
  </si>
  <si>
    <t xml:space="preserve">HC-04529</t>
  </si>
  <si>
    <t xml:space="preserve">HC-04530</t>
  </si>
  <si>
    <t xml:space="preserve">HC-04531</t>
  </si>
  <si>
    <t xml:space="preserve">HC-04532</t>
  </si>
  <si>
    <t xml:space="preserve">HC-04533</t>
  </si>
  <si>
    <t xml:space="preserve">HC-04534</t>
  </si>
  <si>
    <t xml:space="preserve">HC-04535</t>
  </si>
  <si>
    <t xml:space="preserve">P-1322</t>
  </si>
  <si>
    <t xml:space="preserve">HC-04536</t>
  </si>
  <si>
    <t xml:space="preserve">HC-04537</t>
  </si>
  <si>
    <t xml:space="preserve">HC-04538</t>
  </si>
  <si>
    <t xml:space="preserve">HC-04539</t>
  </si>
  <si>
    <t xml:space="preserve">HC-04540</t>
  </si>
  <si>
    <t xml:space="preserve">HC-04541</t>
  </si>
  <si>
    <t xml:space="preserve">HC-04542</t>
  </si>
  <si>
    <t xml:space="preserve">HC-04543</t>
  </si>
  <si>
    <t xml:space="preserve">HC-04544</t>
  </si>
  <si>
    <t xml:space="preserve">HC-04545</t>
  </si>
  <si>
    <t xml:space="preserve">HC-04546</t>
  </si>
  <si>
    <t xml:space="preserve">HC-04547</t>
  </si>
  <si>
    <t xml:space="preserve">HC-04548</t>
  </si>
  <si>
    <t xml:space="preserve">HC-04549</t>
  </si>
  <si>
    <t xml:space="preserve">HC-04550</t>
  </si>
  <si>
    <t xml:space="preserve">HC-04551</t>
  </si>
  <si>
    <t xml:space="preserve">HC-04552</t>
  </si>
  <si>
    <t xml:space="preserve">HC-04553</t>
  </si>
  <si>
    <t xml:space="preserve">HC-04554</t>
  </si>
  <si>
    <t xml:space="preserve">HC-04555</t>
  </si>
  <si>
    <t xml:space="preserve">HC-04556</t>
  </si>
  <si>
    <t xml:space="preserve">HC-04557</t>
  </si>
  <si>
    <t xml:space="preserve">HC-04558</t>
  </si>
  <si>
    <t xml:space="preserve">HC-04559</t>
  </si>
  <si>
    <t xml:space="preserve">HC-04560</t>
  </si>
  <si>
    <t xml:space="preserve">HC-04561</t>
  </si>
  <si>
    <t xml:space="preserve">HC-04562</t>
  </si>
  <si>
    <t xml:space="preserve">HC-04563</t>
  </si>
  <si>
    <t xml:space="preserve">HC-04564</t>
  </si>
  <si>
    <t xml:space="preserve">HC-04565</t>
  </si>
  <si>
    <t xml:space="preserve">HC-04566</t>
  </si>
  <si>
    <t xml:space="preserve">HC-04567</t>
  </si>
  <si>
    <t xml:space="preserve">HC-04568</t>
  </si>
  <si>
    <t xml:space="preserve">HC-04569</t>
  </si>
  <si>
    <t xml:space="preserve">HC-04570</t>
  </si>
  <si>
    <t xml:space="preserve">HC-04571</t>
  </si>
  <si>
    <t xml:space="preserve">HC-04572</t>
  </si>
  <si>
    <t xml:space="preserve">HC-04573</t>
  </si>
  <si>
    <t xml:space="preserve">HC-04574</t>
  </si>
  <si>
    <t xml:space="preserve">HC-04575</t>
  </si>
  <si>
    <t xml:space="preserve">HC-04576</t>
  </si>
  <si>
    <t xml:space="preserve">HC-04577</t>
  </si>
  <si>
    <t xml:space="preserve">HC-04578</t>
  </si>
  <si>
    <t xml:space="preserve">HC-04579</t>
  </si>
  <si>
    <t xml:space="preserve">HC-04580</t>
  </si>
  <si>
    <t xml:space="preserve">HC-04581</t>
  </si>
  <si>
    <t xml:space="preserve">HC-04582</t>
  </si>
  <si>
    <t xml:space="preserve">HC-04583</t>
  </si>
  <si>
    <t xml:space="preserve">HC-04584</t>
  </si>
  <si>
    <t xml:space="preserve">HC-04585</t>
  </si>
  <si>
    <t xml:space="preserve">HC-04586</t>
  </si>
  <si>
    <t xml:space="preserve">HC-04587</t>
  </si>
  <si>
    <t xml:space="preserve">HC-04588</t>
  </si>
  <si>
    <t xml:space="preserve">HC-04589</t>
  </si>
  <si>
    <t xml:space="preserve">HC-04590</t>
  </si>
  <si>
    <t xml:space="preserve">HC-04591</t>
  </si>
  <si>
    <t xml:space="preserve">HC-04592</t>
  </si>
  <si>
    <t xml:space="preserve">HC-04593</t>
  </si>
  <si>
    <t xml:space="preserve">HC-04594</t>
  </si>
  <si>
    <t xml:space="preserve">HC-04595</t>
  </si>
  <si>
    <t xml:space="preserve">HC-04596</t>
  </si>
  <si>
    <t xml:space="preserve">P-1536</t>
  </si>
  <si>
    <t xml:space="preserve">HC-04597</t>
  </si>
  <si>
    <t xml:space="preserve">HC-04598</t>
  </si>
  <si>
    <t xml:space="preserve">HC-04599</t>
  </si>
  <si>
    <t xml:space="preserve">HC-04600</t>
  </si>
  <si>
    <t xml:space="preserve">HC-04601</t>
  </si>
  <si>
    <t xml:space="preserve">HC-04602</t>
  </si>
  <si>
    <t xml:space="preserve">HC-04603</t>
  </si>
  <si>
    <t xml:space="preserve">HC-04604</t>
  </si>
  <si>
    <t xml:space="preserve">P-0655</t>
  </si>
  <si>
    <t xml:space="preserve">HC-04605</t>
  </si>
  <si>
    <t xml:space="preserve">HC-04606</t>
  </si>
  <si>
    <t xml:space="preserve">P-0634</t>
  </si>
  <si>
    <t xml:space="preserve">HC-04607</t>
  </si>
  <si>
    <t xml:space="preserve">HC-04608</t>
  </si>
  <si>
    <t xml:space="preserve">HC-04609</t>
  </si>
  <si>
    <t xml:space="preserve">HC-04610</t>
  </si>
  <si>
    <t xml:space="preserve">HC-04611</t>
  </si>
  <si>
    <t xml:space="preserve">HC-04612</t>
  </si>
  <si>
    <t xml:space="preserve">HC-04613</t>
  </si>
  <si>
    <t xml:space="preserve">HC-04614</t>
  </si>
  <si>
    <t xml:space="preserve">HC-04615</t>
  </si>
  <si>
    <t xml:space="preserve">HC-04616</t>
  </si>
  <si>
    <t xml:space="preserve">HC-04617</t>
  </si>
  <si>
    <t xml:space="preserve">HC-04618</t>
  </si>
  <si>
    <t xml:space="preserve">HC-04619</t>
  </si>
  <si>
    <t xml:space="preserve">HC-04620</t>
  </si>
  <si>
    <t xml:space="preserve">HC-04621</t>
  </si>
  <si>
    <t xml:space="preserve">HC-04622</t>
  </si>
  <si>
    <t xml:space="preserve">HC-04623</t>
  </si>
  <si>
    <t xml:space="preserve">HC-04624</t>
  </si>
  <si>
    <t xml:space="preserve">HC-04625</t>
  </si>
  <si>
    <t xml:space="preserve">HC-04626</t>
  </si>
  <si>
    <t xml:space="preserve">HC-04627</t>
  </si>
  <si>
    <t xml:space="preserve">HC-04628</t>
  </si>
  <si>
    <t xml:space="preserve">HC-04629</t>
  </si>
  <si>
    <t xml:space="preserve">HC-04630</t>
  </si>
  <si>
    <t xml:space="preserve">HC-04631</t>
  </si>
  <si>
    <t xml:space="preserve">HC-04632</t>
  </si>
  <si>
    <t xml:space="preserve">HC-04633</t>
  </si>
  <si>
    <t xml:space="preserve">HC-04634</t>
  </si>
  <si>
    <t xml:space="preserve">P-0057</t>
  </si>
  <si>
    <t xml:space="preserve">HC-04635</t>
  </si>
  <si>
    <t xml:space="preserve">HC-04636</t>
  </si>
  <si>
    <t xml:space="preserve">HC-04637</t>
  </si>
  <si>
    <t xml:space="preserve">HC-04638</t>
  </si>
  <si>
    <t xml:space="preserve">HC-04639</t>
  </si>
  <si>
    <t xml:space="preserve">HC-04640</t>
  </si>
  <si>
    <t xml:space="preserve">HC-04641</t>
  </si>
  <si>
    <t xml:space="preserve">HC-04642</t>
  </si>
  <si>
    <t xml:space="preserve">HC-04643</t>
  </si>
  <si>
    <t xml:space="preserve">HC-04644</t>
  </si>
  <si>
    <t xml:space="preserve">HC-04645</t>
  </si>
  <si>
    <t xml:space="preserve">HC-04646</t>
  </si>
  <si>
    <t xml:space="preserve">HC-04647</t>
  </si>
  <si>
    <t xml:space="preserve">HC-04648</t>
  </si>
  <si>
    <t xml:space="preserve">HC-04649</t>
  </si>
  <si>
    <t xml:space="preserve">HC-04650</t>
  </si>
  <si>
    <t xml:space="preserve">HC-04651</t>
  </si>
  <si>
    <t xml:space="preserve">HC-04652</t>
  </si>
  <si>
    <t xml:space="preserve">HC-04653</t>
  </si>
  <si>
    <t xml:space="preserve">HC-04654</t>
  </si>
  <si>
    <t xml:space="preserve">HC-04655</t>
  </si>
  <si>
    <t xml:space="preserve">HC-04656</t>
  </si>
  <si>
    <t xml:space="preserve">HC-04657</t>
  </si>
  <si>
    <t xml:space="preserve">HC-04658</t>
  </si>
  <si>
    <t xml:space="preserve">HC-04659</t>
  </si>
  <si>
    <t xml:space="preserve">HC-04660</t>
  </si>
  <si>
    <t xml:space="preserve">P-1350</t>
  </si>
  <si>
    <t xml:space="preserve">HC-04661</t>
  </si>
  <si>
    <t xml:space="preserve">HC-04662</t>
  </si>
  <si>
    <t xml:space="preserve">HC-04663</t>
  </si>
  <si>
    <t xml:space="preserve">HC-04664</t>
  </si>
  <si>
    <t xml:space="preserve">HC-04665</t>
  </si>
  <si>
    <t xml:space="preserve">HC-04666</t>
  </si>
  <si>
    <t xml:space="preserve">HC-04667</t>
  </si>
  <si>
    <t xml:space="preserve">HC-04668</t>
  </si>
  <si>
    <t xml:space="preserve">P-1095</t>
  </si>
  <si>
    <t xml:space="preserve">HC-04669</t>
  </si>
  <si>
    <t xml:space="preserve">P-1730</t>
  </si>
  <si>
    <t xml:space="preserve">HC-04670</t>
  </si>
  <si>
    <t xml:space="preserve">HC-04671</t>
  </si>
  <si>
    <t xml:space="preserve">HC-04672</t>
  </si>
  <si>
    <t xml:space="preserve">HC-04673</t>
  </si>
  <si>
    <t xml:space="preserve">HC-04674</t>
  </si>
  <si>
    <t xml:space="preserve">HC-04675</t>
  </si>
  <si>
    <t xml:space="preserve">HC-04676</t>
  </si>
  <si>
    <t xml:space="preserve">HC-04677</t>
  </si>
  <si>
    <t xml:space="preserve">HC-04678</t>
  </si>
  <si>
    <t xml:space="preserve">P-0948</t>
  </si>
  <si>
    <t xml:space="preserve">HC-04679</t>
  </si>
  <si>
    <t xml:space="preserve">HC-04680</t>
  </si>
  <si>
    <t xml:space="preserve">HC-04681</t>
  </si>
  <si>
    <t xml:space="preserve">HC-04682</t>
  </si>
  <si>
    <t xml:space="preserve">HC-04683</t>
  </si>
  <si>
    <t xml:space="preserve">HC-04684</t>
  </si>
  <si>
    <t xml:space="preserve">HC-04685</t>
  </si>
  <si>
    <t xml:space="preserve">HC-04686</t>
  </si>
  <si>
    <t xml:space="preserve">HC-04687</t>
  </si>
  <si>
    <t xml:space="preserve">HC-04688</t>
  </si>
  <si>
    <t xml:space="preserve">HC-04689</t>
  </si>
  <si>
    <t xml:space="preserve">HC-04690</t>
  </si>
  <si>
    <t xml:space="preserve">HC-04691</t>
  </si>
  <si>
    <t xml:space="preserve">HC-04692</t>
  </si>
  <si>
    <t xml:space="preserve">HC-04693</t>
  </si>
  <si>
    <t xml:space="preserve">HC-04694</t>
  </si>
  <si>
    <t xml:space="preserve">HC-04695</t>
  </si>
  <si>
    <t xml:space="preserve">P-0970</t>
  </si>
  <si>
    <t xml:space="preserve">HC-04696</t>
  </si>
  <si>
    <t xml:space="preserve">P-1245</t>
  </si>
  <si>
    <t xml:space="preserve">HC-04697</t>
  </si>
  <si>
    <t xml:space="preserve">HC-04698</t>
  </si>
  <si>
    <t xml:space="preserve">HC-04699</t>
  </si>
  <si>
    <t xml:space="preserve">HC-04700</t>
  </si>
  <si>
    <t xml:space="preserve">HC-04701</t>
  </si>
  <si>
    <t xml:space="preserve">HC-04702</t>
  </si>
  <si>
    <t xml:space="preserve">HC-04703</t>
  </si>
  <si>
    <t xml:space="preserve">HC-04704</t>
  </si>
  <si>
    <t xml:space="preserve">HC-04705</t>
  </si>
  <si>
    <t xml:space="preserve">HC-04706</t>
  </si>
  <si>
    <t xml:space="preserve">HC-04707</t>
  </si>
  <si>
    <t xml:space="preserve">HC-04708</t>
  </si>
  <si>
    <t xml:space="preserve">HC-04709</t>
  </si>
  <si>
    <t xml:space="preserve">HC-04710</t>
  </si>
  <si>
    <t xml:space="preserve">HC-04711</t>
  </si>
  <si>
    <t xml:space="preserve">HC-04712</t>
  </si>
  <si>
    <t xml:space="preserve">HC-04713</t>
  </si>
  <si>
    <t xml:space="preserve">HC-04714</t>
  </si>
  <si>
    <t xml:space="preserve">HC-04715</t>
  </si>
  <si>
    <t xml:space="preserve">HC-04716</t>
  </si>
  <si>
    <t xml:space="preserve">HC-04717</t>
  </si>
  <si>
    <t xml:space="preserve">HC-04718</t>
  </si>
  <si>
    <t xml:space="preserve">HC-04719</t>
  </si>
  <si>
    <t xml:space="preserve">HC-04720</t>
  </si>
  <si>
    <t xml:space="preserve">HC-04721</t>
  </si>
  <si>
    <t xml:space="preserve">HC-04722</t>
  </si>
  <si>
    <t xml:space="preserve">HC-04723</t>
  </si>
  <si>
    <t xml:space="preserve">HC-04724</t>
  </si>
  <si>
    <t xml:space="preserve">HC-04725</t>
  </si>
  <si>
    <t xml:space="preserve">HC-04726</t>
  </si>
  <si>
    <t xml:space="preserve">HC-04727</t>
  </si>
  <si>
    <t xml:space="preserve">HC-04728</t>
  </si>
  <si>
    <t xml:space="preserve">HC-04729</t>
  </si>
  <si>
    <t xml:space="preserve">P-0654</t>
  </si>
  <si>
    <t xml:space="preserve">HC-04730</t>
  </si>
  <si>
    <t xml:space="preserve">HC-04731</t>
  </si>
  <si>
    <t xml:space="preserve">HC-04732</t>
  </si>
  <si>
    <t xml:space="preserve">P-0491</t>
  </si>
  <si>
    <t xml:space="preserve">HC-04733</t>
  </si>
  <si>
    <t xml:space="preserve">HC-04734</t>
  </si>
  <si>
    <t xml:space="preserve">HC-04735</t>
  </si>
  <si>
    <t xml:space="preserve">HC-04736</t>
  </si>
  <si>
    <t xml:space="preserve">HC-04737</t>
  </si>
  <si>
    <t xml:space="preserve">P-0350</t>
  </si>
  <si>
    <t xml:space="preserve">HC-04738</t>
  </si>
  <si>
    <t xml:space="preserve">HC-04739</t>
  </si>
  <si>
    <t xml:space="preserve">HC-04740</t>
  </si>
  <si>
    <t xml:space="preserve">HC-04741</t>
  </si>
  <si>
    <t xml:space="preserve">HC-04742</t>
  </si>
  <si>
    <t xml:space="preserve">HC-04743</t>
  </si>
  <si>
    <t xml:space="preserve">HC-04744</t>
  </si>
  <si>
    <t xml:space="preserve">HC-04745</t>
  </si>
  <si>
    <t xml:space="preserve">HC-04746</t>
  </si>
  <si>
    <t xml:space="preserve">HC-04747</t>
  </si>
  <si>
    <t xml:space="preserve">HC-04748</t>
  </si>
  <si>
    <t xml:space="preserve">HC-04749</t>
  </si>
  <si>
    <t xml:space="preserve">HC-04750</t>
  </si>
  <si>
    <t xml:space="preserve">HC-04751</t>
  </si>
  <si>
    <t xml:space="preserve">P-0461</t>
  </si>
  <si>
    <t xml:space="preserve">HC-04752</t>
  </si>
  <si>
    <t xml:space="preserve">HC-04753</t>
  </si>
  <si>
    <t xml:space="preserve">HC-04754</t>
  </si>
  <si>
    <t xml:space="preserve">HC-04755</t>
  </si>
  <si>
    <t xml:space="preserve">HC-04756</t>
  </si>
  <si>
    <t xml:space="preserve">HC-04757</t>
  </si>
  <si>
    <t xml:space="preserve">HC-04758</t>
  </si>
  <si>
    <t xml:space="preserve">HC-04759</t>
  </si>
  <si>
    <t xml:space="preserve">HC-04760</t>
  </si>
  <si>
    <t xml:space="preserve">HC-04761</t>
  </si>
  <si>
    <t xml:space="preserve">HC-04762</t>
  </si>
  <si>
    <t xml:space="preserve">HC-04763</t>
  </si>
  <si>
    <t xml:space="preserve">HC-04764</t>
  </si>
  <si>
    <t xml:space="preserve">HC-04765</t>
  </si>
  <si>
    <t xml:space="preserve">P-1431</t>
  </si>
  <si>
    <t xml:space="preserve">HC-04766</t>
  </si>
  <si>
    <t xml:space="preserve">HC-04767</t>
  </si>
  <si>
    <t xml:space="preserve">HC-04768</t>
  </si>
  <si>
    <t xml:space="preserve">HC-04769</t>
  </si>
  <si>
    <t xml:space="preserve">HC-04770</t>
  </si>
  <si>
    <t xml:space="preserve">HC-04771</t>
  </si>
  <si>
    <t xml:space="preserve">HC-04772</t>
  </si>
  <si>
    <t xml:space="preserve">HC-04773</t>
  </si>
  <si>
    <t xml:space="preserve">HC-04774</t>
  </si>
  <si>
    <t xml:space="preserve">HC-04775</t>
  </si>
  <si>
    <t xml:space="preserve">HC-04776</t>
  </si>
  <si>
    <t xml:space="preserve">HC-04777</t>
  </si>
  <si>
    <t xml:space="preserve">HC-04778</t>
  </si>
  <si>
    <t xml:space="preserve">HC-04779</t>
  </si>
  <si>
    <t xml:space="preserve">HC-04780</t>
  </si>
  <si>
    <t xml:space="preserve">HC-04781</t>
  </si>
  <si>
    <t xml:space="preserve">HC-04782</t>
  </si>
  <si>
    <t xml:space="preserve">HC-04783</t>
  </si>
  <si>
    <t xml:space="preserve">HC-04784</t>
  </si>
  <si>
    <t xml:space="preserve">HC-04785</t>
  </si>
  <si>
    <t xml:space="preserve">HC-04786</t>
  </si>
  <si>
    <t xml:space="preserve">HC-04787</t>
  </si>
  <si>
    <t xml:space="preserve">HC-04788</t>
  </si>
  <si>
    <t xml:space="preserve">HC-04789</t>
  </si>
  <si>
    <t xml:space="preserve">HC-04790</t>
  </si>
  <si>
    <t xml:space="preserve">HC-04791</t>
  </si>
  <si>
    <t xml:space="preserve">HC-04792</t>
  </si>
  <si>
    <t xml:space="preserve">P-0111</t>
  </si>
  <si>
    <t xml:space="preserve">HC-04793</t>
  </si>
  <si>
    <t xml:space="preserve">HC-04794</t>
  </si>
  <si>
    <t xml:space="preserve">HC-04795</t>
  </si>
  <si>
    <t xml:space="preserve">HC-04796</t>
  </si>
  <si>
    <t xml:space="preserve">HC-04797</t>
  </si>
  <si>
    <t xml:space="preserve">HC-04798</t>
  </si>
  <si>
    <t xml:space="preserve">HC-04799</t>
  </si>
  <si>
    <t xml:space="preserve">HC-04800</t>
  </si>
  <si>
    <t xml:space="preserve">HC-04801</t>
  </si>
  <si>
    <t xml:space="preserve">HC-04802</t>
  </si>
  <si>
    <t xml:space="preserve">HC-04803</t>
  </si>
  <si>
    <t xml:space="preserve">HC-04804</t>
  </si>
  <si>
    <t xml:space="preserve">HC-04805</t>
  </si>
  <si>
    <t xml:space="preserve">HC-04806</t>
  </si>
  <si>
    <t xml:space="preserve">HC-04807</t>
  </si>
  <si>
    <t xml:space="preserve">HC-04808</t>
  </si>
  <si>
    <t xml:space="preserve">HC-04809</t>
  </si>
  <si>
    <t xml:space="preserve">HC-04810</t>
  </si>
  <si>
    <t xml:space="preserve">HC-04811</t>
  </si>
  <si>
    <t xml:space="preserve">HC-04812</t>
  </si>
  <si>
    <t xml:space="preserve">HC-04813</t>
  </si>
  <si>
    <t xml:space="preserve">HC-04814</t>
  </si>
  <si>
    <t xml:space="preserve">HC-04815</t>
  </si>
  <si>
    <t xml:space="preserve">P-1430</t>
  </si>
  <si>
    <t xml:space="preserve">HC-04816</t>
  </si>
  <si>
    <t xml:space="preserve">HC-04817</t>
  </si>
  <si>
    <t xml:space="preserve">HC-04818</t>
  </si>
  <si>
    <t xml:space="preserve">HC-04819</t>
  </si>
  <si>
    <t xml:space="preserve">HC-04820</t>
  </si>
  <si>
    <t xml:space="preserve">HC-04821</t>
  </si>
  <si>
    <t xml:space="preserve">HC-04822</t>
  </si>
  <si>
    <t xml:space="preserve">HC-04823</t>
  </si>
  <si>
    <t xml:space="preserve">HC-04824</t>
  </si>
  <si>
    <t xml:space="preserve">HC-04825</t>
  </si>
  <si>
    <t xml:space="preserve">HC-04826</t>
  </si>
  <si>
    <t xml:space="preserve">P-0771</t>
  </si>
  <si>
    <t xml:space="preserve">HC-04827</t>
  </si>
  <si>
    <t xml:space="preserve">HC-04828</t>
  </si>
  <si>
    <t xml:space="preserve">HC-04829</t>
  </si>
  <si>
    <t xml:space="preserve">HC-04830</t>
  </si>
  <si>
    <t xml:space="preserve">HC-04831</t>
  </si>
  <si>
    <t xml:space="preserve">HC-04832</t>
  </si>
  <si>
    <t xml:space="preserve">P-1169</t>
  </si>
  <si>
    <t xml:space="preserve">HC-04833</t>
  </si>
  <si>
    <t xml:space="preserve">P-1202</t>
  </si>
  <si>
    <t xml:space="preserve">HC-04834</t>
  </si>
  <si>
    <t xml:space="preserve">HC-04835</t>
  </si>
  <si>
    <t xml:space="preserve">HC-04836</t>
  </si>
  <si>
    <t xml:space="preserve">P-0594</t>
  </si>
  <si>
    <t xml:space="preserve">HC-04837</t>
  </si>
  <si>
    <t xml:space="preserve">P-1032</t>
  </si>
  <si>
    <t xml:space="preserve">HC-04838</t>
  </si>
  <si>
    <t xml:space="preserve">P-0047</t>
  </si>
  <si>
    <t xml:space="preserve">HC-04839</t>
  </si>
  <si>
    <t xml:space="preserve">HC-04840</t>
  </si>
  <si>
    <t xml:space="preserve">HC-04841</t>
  </si>
  <si>
    <t xml:space="preserve">HC-04842</t>
  </si>
  <si>
    <t xml:space="preserve">HC-04843</t>
  </si>
  <si>
    <t xml:space="preserve">HC-04844</t>
  </si>
  <si>
    <t xml:space="preserve">HC-04845</t>
  </si>
  <si>
    <t xml:space="preserve">P-0729</t>
  </si>
  <si>
    <t xml:space="preserve">HC-04846</t>
  </si>
  <si>
    <t xml:space="preserve">P-0188</t>
  </si>
  <si>
    <t xml:space="preserve">HC-04847</t>
  </si>
  <si>
    <t xml:space="preserve">HC-04848</t>
  </si>
  <si>
    <t xml:space="preserve">HC-04849</t>
  </si>
  <si>
    <t xml:space="preserve">P-0416</t>
  </si>
  <si>
    <t xml:space="preserve">HC-04850</t>
  </si>
  <si>
    <t xml:space="preserve">HC-04851</t>
  </si>
  <si>
    <t xml:space="preserve">HC-04852</t>
  </si>
  <si>
    <t xml:space="preserve">HC-04853</t>
  </si>
  <si>
    <t xml:space="preserve">HC-04854</t>
  </si>
  <si>
    <t xml:space="preserve">HC-04855</t>
  </si>
  <si>
    <t xml:space="preserve">HC-04856</t>
  </si>
  <si>
    <t xml:space="preserve">HC-04857</t>
  </si>
  <si>
    <t xml:space="preserve">HC-04858</t>
  </si>
  <si>
    <t xml:space="preserve">P-1684</t>
  </si>
  <si>
    <t xml:space="preserve">HC-04859</t>
  </si>
  <si>
    <t xml:space="preserve">HC-04860</t>
  </si>
  <si>
    <t xml:space="preserve">HC-04861</t>
  </si>
  <si>
    <t xml:space="preserve">HC-04862</t>
  </si>
  <si>
    <t xml:space="preserve">HC-04863</t>
  </si>
  <si>
    <t xml:space="preserve">HC-04864</t>
  </si>
  <si>
    <t xml:space="preserve">HC-04865</t>
  </si>
  <si>
    <t xml:space="preserve">HC-04866</t>
  </si>
  <si>
    <t xml:space="preserve">HC-04867</t>
  </si>
  <si>
    <t xml:space="preserve">HC-04868</t>
  </si>
  <si>
    <t xml:space="preserve">HC-04869</t>
  </si>
  <si>
    <t xml:space="preserve">HC-04870</t>
  </si>
  <si>
    <t xml:space="preserve">HC-04871</t>
  </si>
  <si>
    <t xml:space="preserve">HC-04872</t>
  </si>
  <si>
    <t xml:space="preserve">HC-04873</t>
  </si>
  <si>
    <t xml:space="preserve">HC-04874</t>
  </si>
  <si>
    <t xml:space="preserve">HC-04875</t>
  </si>
  <si>
    <t xml:space="preserve">HC-04876</t>
  </si>
  <si>
    <t xml:space="preserve">P-0158</t>
  </si>
  <si>
    <t xml:space="preserve">HC-04877</t>
  </si>
  <si>
    <t xml:space="preserve">HC-04878</t>
  </si>
  <si>
    <t xml:space="preserve">HC-04879</t>
  </si>
  <si>
    <t xml:space="preserve">HC-04880</t>
  </si>
  <si>
    <t xml:space="preserve">HC-04881</t>
  </si>
  <si>
    <t xml:space="preserve">HC-04882</t>
  </si>
  <si>
    <t xml:space="preserve">HC-04883</t>
  </si>
  <si>
    <t xml:space="preserve">HC-04884</t>
  </si>
  <si>
    <t xml:space="preserve">HC-04885</t>
  </si>
  <si>
    <t xml:space="preserve">HC-04886</t>
  </si>
  <si>
    <t xml:space="preserve">HC-04887</t>
  </si>
  <si>
    <t xml:space="preserve">HC-04888</t>
  </si>
  <si>
    <t xml:space="preserve">HC-04889</t>
  </si>
  <si>
    <t xml:space="preserve">HC-04890</t>
  </si>
  <si>
    <t xml:space="preserve">HC-04891</t>
  </si>
  <si>
    <t xml:space="preserve">HC-04892</t>
  </si>
  <si>
    <t xml:space="preserve">P-0703</t>
  </si>
  <si>
    <t xml:space="preserve">HC-04893</t>
  </si>
  <si>
    <t xml:space="preserve">HC-04894</t>
  </si>
  <si>
    <t xml:space="preserve">HC-04895</t>
  </si>
  <si>
    <t xml:space="preserve">HC-04896</t>
  </si>
  <si>
    <t xml:space="preserve">HC-04897</t>
  </si>
  <si>
    <t xml:space="preserve">HC-04898</t>
  </si>
  <si>
    <t xml:space="preserve">HC-04899</t>
  </si>
  <si>
    <t xml:space="preserve">HC-04900</t>
  </si>
  <si>
    <t xml:space="preserve">HC-04901</t>
  </si>
  <si>
    <t xml:space="preserve">HC-04902</t>
  </si>
  <si>
    <t xml:space="preserve">HC-04903</t>
  </si>
  <si>
    <t xml:space="preserve">HC-04904</t>
  </si>
  <si>
    <t xml:space="preserve">HC-04905</t>
  </si>
  <si>
    <t xml:space="preserve">HC-04906</t>
  </si>
  <si>
    <t xml:space="preserve">HC-04907</t>
  </si>
  <si>
    <t xml:space="preserve">HC-04908</t>
  </si>
  <si>
    <t xml:space="preserve">HC-04909</t>
  </si>
  <si>
    <t xml:space="preserve">HC-04910</t>
  </si>
  <si>
    <t xml:space="preserve">HC-04911</t>
  </si>
  <si>
    <t xml:space="preserve">HC-04912</t>
  </si>
  <si>
    <t xml:space="preserve">HC-04913</t>
  </si>
  <si>
    <t xml:space="preserve">HC-04914</t>
  </si>
  <si>
    <t xml:space="preserve">HC-04915</t>
  </si>
  <si>
    <t xml:space="preserve">HC-04916</t>
  </si>
  <si>
    <t xml:space="preserve">HC-04917</t>
  </si>
  <si>
    <t xml:space="preserve">HC-04918</t>
  </si>
  <si>
    <t xml:space="preserve">HC-04919</t>
  </si>
  <si>
    <t xml:space="preserve">HC-04920</t>
  </si>
  <si>
    <t xml:space="preserve">HC-04921</t>
  </si>
  <si>
    <t xml:space="preserve">HC-04922</t>
  </si>
  <si>
    <t xml:space="preserve">HC-04923</t>
  </si>
  <si>
    <t xml:space="preserve">HC-04924</t>
  </si>
  <si>
    <t xml:space="preserve">HC-04925</t>
  </si>
  <si>
    <t xml:space="preserve">HC-04926</t>
  </si>
  <si>
    <t xml:space="preserve">HC-04927</t>
  </si>
  <si>
    <t xml:space="preserve">HC-04928</t>
  </si>
  <si>
    <t xml:space="preserve">HC-04929</t>
  </si>
  <si>
    <t xml:space="preserve">HC-04930</t>
  </si>
  <si>
    <t xml:space="preserve">HC-04931</t>
  </si>
  <si>
    <t xml:space="preserve">HC-04932</t>
  </si>
  <si>
    <t xml:space="preserve">HC-04933</t>
  </si>
  <si>
    <t xml:space="preserve">HC-04934</t>
  </si>
  <si>
    <t xml:space="preserve">HC-04935</t>
  </si>
  <si>
    <t xml:space="preserve">HC-04936</t>
  </si>
  <si>
    <t xml:space="preserve">P-0228</t>
  </si>
  <si>
    <t xml:space="preserve">HC-04937</t>
  </si>
  <si>
    <t xml:space="preserve">HC-04938</t>
  </si>
  <si>
    <t xml:space="preserve">HC-04939</t>
  </si>
  <si>
    <t xml:space="preserve">HC-04940</t>
  </si>
  <si>
    <t xml:space="preserve">HC-04941</t>
  </si>
  <si>
    <t xml:space="preserve">HC-04942</t>
  </si>
  <si>
    <t xml:space="preserve">HC-04943</t>
  </si>
  <si>
    <t xml:space="preserve">P-0050</t>
  </si>
  <si>
    <t xml:space="preserve">HC-04944</t>
  </si>
  <si>
    <t xml:space="preserve">HC-04945</t>
  </si>
  <si>
    <t xml:space="preserve">HC-04946</t>
  </si>
  <si>
    <t xml:space="preserve">HC-04947</t>
  </si>
  <si>
    <t xml:space="preserve">HC-04948</t>
  </si>
  <si>
    <t xml:space="preserve">HC-04949</t>
  </si>
  <si>
    <t xml:space="preserve">P-0313</t>
  </si>
  <si>
    <t xml:space="preserve">HC-04950</t>
  </si>
  <si>
    <t xml:space="preserve">HC-04951</t>
  </si>
  <si>
    <t xml:space="preserve">HC-04952</t>
  </si>
  <si>
    <t xml:space="preserve">HC-04953</t>
  </si>
  <si>
    <t xml:space="preserve">HC-04954</t>
  </si>
  <si>
    <t xml:space="preserve">HC-04955</t>
  </si>
  <si>
    <t xml:space="preserve">HC-04956</t>
  </si>
  <si>
    <t xml:space="preserve">HC-04957</t>
  </si>
  <si>
    <t xml:space="preserve">HC-04958</t>
  </si>
  <si>
    <t xml:space="preserve">HC-04959</t>
  </si>
  <si>
    <t xml:space="preserve">HC-04960</t>
  </si>
  <si>
    <t xml:space="preserve">HC-04961</t>
  </si>
  <si>
    <t xml:space="preserve">HC-04962</t>
  </si>
  <si>
    <t xml:space="preserve">HC-04963</t>
  </si>
  <si>
    <t xml:space="preserve">HC-04964</t>
  </si>
  <si>
    <t xml:space="preserve">HC-04965</t>
  </si>
  <si>
    <t xml:space="preserve">HC-04966</t>
  </si>
  <si>
    <t xml:space="preserve">HC-04967</t>
  </si>
  <si>
    <t xml:space="preserve">HC-04968</t>
  </si>
  <si>
    <t xml:space="preserve">HC-04969</t>
  </si>
  <si>
    <t xml:space="preserve">HC-04970</t>
  </si>
  <si>
    <t xml:space="preserve">HC-04971</t>
  </si>
  <si>
    <t xml:space="preserve">HC-04972</t>
  </si>
  <si>
    <t xml:space="preserve">HC-04973</t>
  </si>
  <si>
    <t xml:space="preserve">HC-04974</t>
  </si>
  <si>
    <t xml:space="preserve">HC-04975</t>
  </si>
  <si>
    <t xml:space="preserve">HC-04976</t>
  </si>
  <si>
    <t xml:space="preserve">HC-04977</t>
  </si>
  <si>
    <t xml:space="preserve">HC-04978</t>
  </si>
  <si>
    <t xml:space="preserve">HC-04979</t>
  </si>
  <si>
    <t xml:space="preserve">HC-04980</t>
  </si>
  <si>
    <t xml:space="preserve">HC-04981</t>
  </si>
  <si>
    <t xml:space="preserve">HC-04982</t>
  </si>
  <si>
    <t xml:space="preserve">HC-04983</t>
  </si>
  <si>
    <t xml:space="preserve">HC-04984</t>
  </si>
  <si>
    <t xml:space="preserve">HC-04985</t>
  </si>
  <si>
    <t xml:space="preserve">HC-04986</t>
  </si>
  <si>
    <t xml:space="preserve">HC-04987</t>
  </si>
  <si>
    <t xml:space="preserve">P-0730</t>
  </si>
  <si>
    <t xml:space="preserve">HC-04988</t>
  </si>
  <si>
    <t xml:space="preserve">HC-04989</t>
  </si>
  <si>
    <t xml:space="preserve">HC-04990</t>
  </si>
  <si>
    <t xml:space="preserve">HC-04991</t>
  </si>
  <si>
    <t xml:space="preserve">HC-04992</t>
  </si>
  <si>
    <t xml:space="preserve">HC-04993</t>
  </si>
  <si>
    <t xml:space="preserve">HC-04994</t>
  </si>
  <si>
    <t xml:space="preserve">HC-04995</t>
  </si>
  <si>
    <t xml:space="preserve">HC-04996</t>
  </si>
  <si>
    <t xml:space="preserve">HC-04997</t>
  </si>
  <si>
    <t xml:space="preserve">HC-04998</t>
  </si>
  <si>
    <t xml:space="preserve">HC-04999</t>
  </si>
  <si>
    <t xml:space="preserve">P-1262</t>
  </si>
  <si>
    <t xml:space="preserve">HC-05000</t>
  </si>
  <si>
    <t xml:space="preserve">All figures below are live formulas referencing the Raw_Data sheet.</t>
  </si>
  <si>
    <t xml:space="preserve">Total records (Raw_Data rows)</t>
  </si>
  <si>
    <t xml:space="preserve">A. Completeness Check</t>
  </si>
  <si>
    <t xml:space="preserve">Column Name</t>
  </si>
  <si>
    <t xml:space="preserve">Excel Column</t>
  </si>
  <si>
    <t xml:space="preserve">Non-Blank Count</t>
  </si>
  <si>
    <t xml:space="preserve">Missing Count</t>
  </si>
  <si>
    <t xml:space="preserve">% Missing</t>
  </si>
  <si>
    <t xml:space="preserve">Note</t>
  </si>
  <si>
    <t xml:space="preserve">A</t>
  </si>
  <si>
    <t xml:space="preserve">Primary key — expected 0 missing</t>
  </si>
  <si>
    <t xml:space="preserve">B</t>
  </si>
  <si>
    <t xml:space="preserve">Expected 0 missing</t>
  </si>
  <si>
    <t xml:space="preserve">C</t>
  </si>
  <si>
    <t xml:space="preserve">Includes 'Prefer not to say' as a valid category</t>
  </si>
  <si>
    <t xml:space="preserve">D</t>
  </si>
  <si>
    <t xml:space="preserve">E</t>
  </si>
  <si>
    <t xml:space="preserve">Derived from age — cross-check consistency later</t>
  </si>
  <si>
    <t xml:space="preserve">F</t>
  </si>
  <si>
    <t xml:space="preserve">G</t>
  </si>
  <si>
    <t xml:space="preserve">H</t>
  </si>
  <si>
    <t xml:space="preserve">I</t>
  </si>
  <si>
    <t xml:space="preserve">Derived from appointment_date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</si>
  <si>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</si>
  <si>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</si>
  <si>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</si>
  <si>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</si>
  <si>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</si>
  <si>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</si>
  <si>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Expected to be blank when reminder_sent = No — see Section E</t>
  </si>
  <si>
    <t xml:space="preserve">P</t>
  </si>
  <si>
    <t xml:space="preserve">Missing values likely unrecorded distance — investigate before use in KPIs</t>
  </si>
  <si>
    <t xml:space="preserve">Q</t>
  </si>
  <si>
    <t xml:space="preserve">Missing values likely unrecorded on day of visit</t>
  </si>
  <si>
    <t xml:space="preserve">R</t>
  </si>
  <si>
    <t xml:space="preserve">Target field for no-show analysis — expected 0 missing</t>
  </si>
  <si>
    <t xml:space="preserve">S</t>
  </si>
  <si>
    <t xml:space="preserve">Unlabeled column, fully blank — recommend dropping/confirming with data owner</t>
  </si>
  <si>
    <t xml:space="preserve">T</t>
  </si>
  <si>
    <t xml:space="preserve">Unlabeled column, one stray value with no context — investigate before use</t>
  </si>
  <si>
    <t xml:space="preserve">B. Duplicate Checks</t>
  </si>
  <si>
    <t xml:space="preserve">Check</t>
  </si>
  <si>
    <t xml:space="preserve">Count</t>
  </si>
  <si>
    <t xml:space="preserve">% of Total</t>
  </si>
  <si>
    <t xml:space="preserve">Duplicate Appointment IDs</t>
  </si>
  <si>
    <t xml:space="preserve">appointment_id is the primary key; any count above 0 needs investigation.</t>
  </si>
  <si>
    <t xml:space="preserve">Possible Duplicate Bookings (same patient, date &amp; time slot)</t>
  </si>
  <si>
    <t xml:space="preserve">Flags cases where the same patient appears booked twice in the identical slot.</t>
  </si>
  <si>
    <t xml:space="preserve">C. Categorical Value Consistency &amp; Distribution</t>
  </si>
  <si>
    <t xml:space="preserve">Value</t>
  </si>
  <si>
    <t xml:space="preserve">(blank — no reminder sent)</t>
  </si>
  <si>
    <t xml:space="preserve">D. Numeric Range &amp; Outlier Check (1.5×IQR rule)</t>
  </si>
  <si>
    <t xml:space="preserve">Field</t>
  </si>
  <si>
    <t xml:space="preserve">Min</t>
  </si>
  <si>
    <t xml:space="preserve">Max</t>
  </si>
  <si>
    <t xml:space="preserve">Average</t>
  </si>
  <si>
    <t xml:space="preserve">Q1</t>
  </si>
  <si>
    <t xml:space="preserve">Q3</t>
  </si>
  <si>
    <t xml:space="preserve">Lower Bound</t>
  </si>
  <si>
    <t xml:space="preserve">Upper Bound</t>
  </si>
  <si>
    <t xml:space="preserve">Outlier Count</t>
  </si>
  <si>
    <t xml:space="preserve">% Outliers</t>
  </si>
  <si>
    <t xml:space="preserve">E. Logical Consistency Checks</t>
  </si>
  <si>
    <t xml:space="preserve">Mismatch Count</t>
  </si>
  <si>
    <t xml:space="preserve">booking_lead_days = appointment_date − booking_date</t>
  </si>
  <si>
    <t xml:space="preserve">Confirms the stated lead time matches the actual date difference.</t>
  </si>
  <si>
    <t xml:space="preserve">appointment_day matches weekday of appointment_date</t>
  </si>
  <si>
    <t xml:space="preserve">Confirms the recorded day-of-week label is correct.</t>
  </si>
  <si>
    <t xml:space="preserve">reminder_channel logic (blank iff reminder_sent = No)</t>
  </si>
  <si>
    <t xml:space="preserve">Flags any row where reminder_sent and reminder_channel disagree.</t>
  </si>
  <si>
    <t xml:space="preserve">Unlabeled source columns</t>
  </si>
  <si>
    <t xml:space="preserve">Extra_Column_1: fully blank across all records. Extra_Column_2: blank except one stray value (2423) in the first data row with no header or documentation. Both preserved as-is on Raw_Data; recommend confirming with the data owner / Data Dictionary before use.</t>
  </si>
  <si>
    <t xml:space="preserve">Data Quality Assessment — Findings Summary</t>
  </si>
  <si>
    <t xml:space="preserve">HealthConnect_Appointment_Data — 5,000 records, 18 substantive fields</t>
  </si>
  <si>
    <t xml:space="preserve">Overall</t>
  </si>
  <si>
    <t xml:space="preserve">The dataset is largely clean and internally consistent. Appointment IDs are unique with no duplicates, booking_lead_days correctly matches the date difference in every row, and appointment_day matches the true weekday of appointment_date in every row. No negative or impossible numeric values were found (age, distance, waiting time, and counts are all within plausible ranges).</t>
  </si>
  <si>
    <t xml:space="preserve">Missing data</t>
  </si>
  <si>
    <t xml:space="preserve">Three fields have missing values: reminder_channel (1,366 blanks, ~27.3%), distance_to_clinic_km (90 blanks, ~1.8%), and waiting_time_minutes (60 blanks, ~1.2%). The reminder_channel blanks are logically explained — they occur exactly where reminder_sent = 'No', so this is not really an error. Distance and waiting time gaps are smaller and appear to be genuinely unrecorded values; these fields should be handled carefully (e.g. flagged rather than imputed with an assumed value) if used directly in KPIs.</t>
  </si>
  <si>
    <t xml:space="preserve">Unlabeled columns</t>
  </si>
  <si>
    <t xml:space="preserve">The source file contains two columns with no header. One is completely empty; the other holds a single unexplained numeric value (2423) with no context. Both have been preserved unedited on Raw_Data and should be confirmed with the data owner or Data Dictionary before Week 5 — they are not used in any of the checks or proposed KPIs at this stage.</t>
  </si>
  <si>
    <t xml:space="preserve">Duplicates</t>
  </si>
  <si>
    <t xml:space="preserve">No duplicate appointment IDs and no cases of the same patient booked into the same date and time slot more than once were found.</t>
  </si>
  <si>
    <t xml:space="preserve">Categorical fields</t>
  </si>
  <si>
    <t xml:space="preserve">All categorical fields (gender, age_group, appointment_type, appointment_day, appointment_time, reminder_sent, reminder_channel, appointment_outcome) use a small, consistent set of labels with no case or spelling inconsistencies. Gender includes a third category, 'Prefer not to say', which should be retained as a valid response rather than treated as missing.</t>
  </si>
  <si>
    <t xml:space="preserve">Outliers</t>
  </si>
  <si>
    <t xml:space="preserve">Using the 1.5×IQR rule, age, booking_lead_days, previous_appointments, previous_no_shows, distance_to_clinic_km and waiting_time_minutes were checked for extreme values — see Section D for the live counts. None of the fields show implausible extremes (e.g. no negative or absurdly large values); any outlier counts returned by the formulas reflect the natural spread of the data rather than data entry errors.</t>
  </si>
  <si>
    <t xml:space="preserve">Class balance</t>
  </si>
  <si>
    <t xml:space="preserve">appointment_outcome is reasonably balanced: No-Show and Attended each make up roughly half of records, with a smaller share Cancelled (see Section C). This is favourable for the planned no-show analysis, since it avoids the severe imbalance that can distort simple rate comparisons.</t>
  </si>
  <si>
    <t xml:space="preserve">Overall readiness</t>
  </si>
  <si>
    <t xml:space="preserve">The dataset is fit for the Week 4/5 exploratory analysis and KPI calculation described in the Initial Analysis Document, once the two unlabeled columns are clarified and a decision is made on how to treat the small number of missing distance/waiting-time values.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</si>
</sst>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.5"/>
      <name val="Arial"/>
      <family val="0"/>
      <charset val="1"/>
    </font>
    <font>
      <i val="true"/>
      <sz val="9.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6FA"/>
      </patternFill>
    </fill>
    <fill>
      <patternFill patternType="solid">
        <fgColor rgb="FFF2F6FA"/>
        <bgColor rgb="FFFFFFFF"/>
      </patternFill>
    </fill>
    <fill>
      <patternFill patternType="solid">
        <fgColor rgb="FFDDEBF7"/>
        <bgColor rgb="FFF2F6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8" hidden="false" customHeight="true" outlineLevel="0" collapsed="false">
      <c r="A5" s="3" t="s">
        <v>2</v>
      </c>
    </row>
    <row r="6" customFormat="false" ht="66" hidden="false" customHeight="true" outlineLevel="0" collapsed="false">
      <c r="A6" s="4" t="s">
        <v>3</v>
      </c>
    </row>
    <row r="7" customFormat="false" ht="7.5" hidden="false" customHeight="true" outlineLevel="0" collapsed="false"/>
    <row r="8" customFormat="false" ht="18" hidden="false" customHeight="true" outlineLevel="0" collapsed="false">
      <c r="A8" s="3" t="s">
        <v>4</v>
      </c>
    </row>
    <row r="9" customFormat="false" ht="51" hidden="false" customHeight="true" outlineLevel="0" collapsed="false">
      <c r="A9" s="4" t="s">
        <v>5</v>
      </c>
    </row>
    <row r="10" customFormat="false" ht="36" hidden="false" customHeight="true" outlineLevel="0" collapsed="false">
      <c r="A10" s="4" t="s">
        <v>6</v>
      </c>
    </row>
    <row r="11" customFormat="false" ht="36" hidden="false" customHeight="true" outlineLevel="0" collapsed="false">
      <c r="A11" s="4" t="s">
        <v>7</v>
      </c>
    </row>
    <row r="12" customFormat="false" ht="7.5" hidden="false" customHeight="true" outlineLevel="0" collapsed="false"/>
    <row r="13" customFormat="false" ht="18" hidden="false" customHeight="true" outlineLevel="0" collapsed="false">
      <c r="A13" s="3" t="s">
        <v>8</v>
      </c>
    </row>
    <row r="14" customFormat="false" ht="81" hidden="false" customHeight="true" outlineLevel="0" collapsed="false">
      <c r="A14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9"/>
    <col collapsed="false" customWidth="true" hidden="false" outlineLevel="0" max="10" min="10" style="0" width="20"/>
    <col collapsed="false" customWidth="true" hidden="false" outlineLevel="0" max="11" min="11" style="0" width="21"/>
    <col collapsed="false" customWidth="true" hidden="false" outlineLevel="0" max="12" min="12" style="0" width="25"/>
    <col collapsed="false" customWidth="true" hidden="false" outlineLevel="0" max="13" min="13" style="0" width="21"/>
    <col collapsed="false" customWidth="true" hidden="false" outlineLevel="0" max="14" min="14" style="0" width="17"/>
    <col collapsed="false" customWidth="true" hidden="false" outlineLevel="0" max="15" min="15" style="0" width="20"/>
    <col collapsed="false" customWidth="true" hidden="false" outlineLevel="0" max="16" min="16" style="0" width="25"/>
    <col collapsed="false" customWidth="true" hidden="false" outlineLevel="0" max="17" min="17" style="0" width="24"/>
    <col collapsed="false" customWidth="true" hidden="false" outlineLevel="0" max="18" min="18" style="0" width="23"/>
    <col collapsed="false" customWidth="true" hidden="false" outlineLevel="0" max="20" min="19" style="0" width="30"/>
    <col collapsed="false" customWidth="true" hidden="false" outlineLevel="0" max="25" min="21" style="0" width="26"/>
  </cols>
  <sheetData>
    <row r="1" customFormat="false" ht="33.75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37</v>
      </c>
      <c r="D2" s="7" t="n">
        <v>39</v>
      </c>
      <c r="E2" s="7" t="s">
        <v>38</v>
      </c>
      <c r="F2" s="7" t="s">
        <v>39</v>
      </c>
      <c r="G2" s="8" t="n">
        <v>45694</v>
      </c>
      <c r="H2" s="8" t="n">
        <v>45706</v>
      </c>
      <c r="I2" s="7" t="s">
        <v>40</v>
      </c>
      <c r="J2" s="7" t="s">
        <v>41</v>
      </c>
      <c r="K2" s="7" t="n">
        <v>12</v>
      </c>
      <c r="L2" s="7" t="n">
        <v>2</v>
      </c>
      <c r="M2" s="7" t="n">
        <v>0</v>
      </c>
      <c r="N2" s="7" t="s">
        <v>42</v>
      </c>
      <c r="O2" s="7" t="s">
        <v>43</v>
      </c>
      <c r="P2" s="7" t="n">
        <v>19.3</v>
      </c>
      <c r="Q2" s="7" t="n">
        <v>29</v>
      </c>
      <c r="R2" s="7" t="s">
        <v>44</v>
      </c>
      <c r="S2" s="7"/>
      <c r="T2" s="7" t="n">
        <v>2423</v>
      </c>
      <c r="U2" s="7" t="str">
        <f aca="false">IF(COUNTIF($A$2:$A$5001,A2)&gt;1,"Duplicate","Unique")</f>
        <v>Unique</v>
      </c>
      <c r="V2" s="7" t="str">
        <f aca="false">IF(COUNTIFS($B$2:$B$5001,B2,$H$2:$H$5001,H2,$J$2:$J$5001,J2)&gt;1,"Possible Duplicate Booking","Unique")</f>
        <v>Unique</v>
      </c>
      <c r="W2" s="7" t="str">
        <f aca="false">IF((H2-G2)&lt;&gt;K2,"Mismatch","OK")</f>
        <v>OK</v>
      </c>
      <c r="X2" s="7" t="str">
        <f aca="false">IF(TEXT(H2,"dddd")&lt;&gt;I2,"Mismatch","OK")</f>
        <v>OK</v>
      </c>
      <c r="Y2" s="7" t="str">
        <f aca="false">IF(AND(N2="No",O2&lt;&gt;""),"Unexpected: channel present but no reminder sent",IF(AND(N2="Yes",O2=""),"Missing channel for sent reminder","OK"))</f>
        <v>OK</v>
      </c>
    </row>
    <row r="3" customFormat="false" ht="15" hidden="false" customHeight="false" outlineLevel="0" collapsed="false">
      <c r="A3" s="9" t="s">
        <v>45</v>
      </c>
      <c r="B3" s="9" t="s">
        <v>46</v>
      </c>
      <c r="C3" s="9" t="s">
        <v>47</v>
      </c>
      <c r="D3" s="9" t="n">
        <v>31</v>
      </c>
      <c r="E3" s="9" t="s">
        <v>48</v>
      </c>
      <c r="F3" s="9" t="s">
        <v>49</v>
      </c>
      <c r="G3" s="10" t="n">
        <v>46078</v>
      </c>
      <c r="H3" s="10" t="n">
        <v>46080</v>
      </c>
      <c r="I3" s="9" t="s">
        <v>50</v>
      </c>
      <c r="J3" s="9" t="s">
        <v>51</v>
      </c>
      <c r="K3" s="9" t="n">
        <v>2</v>
      </c>
      <c r="L3" s="9" t="n">
        <v>6</v>
      </c>
      <c r="M3" s="9" t="n">
        <v>0</v>
      </c>
      <c r="N3" s="9" t="s">
        <v>42</v>
      </c>
      <c r="O3" s="9" t="s">
        <v>52</v>
      </c>
      <c r="P3" s="9" t="n">
        <v>14.3</v>
      </c>
      <c r="Q3" s="9" t="n">
        <v>42</v>
      </c>
      <c r="R3" s="9" t="s">
        <v>53</v>
      </c>
      <c r="S3" s="9"/>
      <c r="T3" s="9"/>
      <c r="U3" s="9" t="str">
        <f aca="false">IF(COUNTIF($A$2:$A$5001,A3)&gt;1,"Duplicate","Unique")</f>
        <v>Unique</v>
      </c>
      <c r="V3" s="9" t="str">
        <f aca="false">IF(COUNTIFS($B$2:$B$5001,B3,$H$2:$H$5001,H3,$J$2:$J$5001,J3)&gt;1,"Possible Duplicate Booking","Unique")</f>
        <v>Unique</v>
      </c>
      <c r="W3" s="9" t="str">
        <f aca="false">IF((H3-G3)&lt;&gt;K3,"Mismatch","OK")</f>
        <v>OK</v>
      </c>
      <c r="X3" s="9" t="str">
        <f aca="false">IF(TEXT(H3,"dddd")&lt;&gt;I3,"Mismatch","OK")</f>
        <v>OK</v>
      </c>
      <c r="Y3" s="9" t="str">
        <f aca="false">IF(AND(N3="No",O3&lt;&gt;""),"Unexpected: channel present but no reminder sent",IF(AND(N3="Yes",O3=""),"Missing channel for sent reminder","OK"))</f>
        <v>OK</v>
      </c>
    </row>
    <row r="4" customFormat="false" ht="15" hidden="false" customHeight="false" outlineLevel="0" collapsed="false">
      <c r="A4" s="7" t="s">
        <v>54</v>
      </c>
      <c r="B4" s="7" t="s">
        <v>55</v>
      </c>
      <c r="C4" s="7" t="s">
        <v>37</v>
      </c>
      <c r="D4" s="7" t="n">
        <v>50</v>
      </c>
      <c r="E4" s="7" t="s">
        <v>56</v>
      </c>
      <c r="F4" s="7" t="s">
        <v>57</v>
      </c>
      <c r="G4" s="8" t="n">
        <v>45977</v>
      </c>
      <c r="H4" s="8" t="n">
        <v>46015</v>
      </c>
      <c r="I4" s="7" t="s">
        <v>58</v>
      </c>
      <c r="J4" s="7" t="s">
        <v>51</v>
      </c>
      <c r="K4" s="7" t="n">
        <v>38</v>
      </c>
      <c r="L4" s="7" t="n">
        <v>5</v>
      </c>
      <c r="M4" s="7" t="n">
        <v>1</v>
      </c>
      <c r="N4" s="7" t="s">
        <v>42</v>
      </c>
      <c r="O4" s="7" t="s">
        <v>52</v>
      </c>
      <c r="P4" s="7" t="n">
        <v>11.4</v>
      </c>
      <c r="Q4" s="7" t="n">
        <v>11</v>
      </c>
      <c r="R4" s="7" t="s">
        <v>44</v>
      </c>
      <c r="S4" s="7"/>
      <c r="T4" s="7"/>
      <c r="U4" s="7" t="str">
        <f aca="false">IF(COUNTIF($A$2:$A$5001,A4)&gt;1,"Duplicate","Unique")</f>
        <v>Unique</v>
      </c>
      <c r="V4" s="7" t="str">
        <f aca="false">IF(COUNTIFS($B$2:$B$5001,B4,$H$2:$H$5001,H4,$J$2:$J$5001,J4)&gt;1,"Possible Duplicate Booking","Unique")</f>
        <v>Unique</v>
      </c>
      <c r="W4" s="7" t="str">
        <f aca="false">IF((H4-G4)&lt;&gt;K4,"Mismatch","OK")</f>
        <v>OK</v>
      </c>
      <c r="X4" s="7" t="str">
        <f aca="false">IF(TEXT(H4,"dddd")&lt;&gt;I4,"Mismatch","OK")</f>
        <v>OK</v>
      </c>
      <c r="Y4" s="7" t="str">
        <f aca="false">IF(AND(N4="No",O4&lt;&gt;""),"Unexpected: channel present but no reminder sent",IF(AND(N4="Yes",O4=""),"Missing channel for sent reminder","OK"))</f>
        <v>OK</v>
      </c>
    </row>
    <row r="5" customFormat="false" ht="15" hidden="false" customHeight="false" outlineLevel="0" collapsed="false">
      <c r="A5" s="9" t="s">
        <v>59</v>
      </c>
      <c r="B5" s="9" t="s">
        <v>60</v>
      </c>
      <c r="C5" s="9" t="s">
        <v>47</v>
      </c>
      <c r="D5" s="9" t="n">
        <v>59</v>
      </c>
      <c r="E5" s="9" t="s">
        <v>61</v>
      </c>
      <c r="F5" s="9" t="s">
        <v>39</v>
      </c>
      <c r="G5" s="10" t="n">
        <v>45856</v>
      </c>
      <c r="H5" s="10" t="n">
        <v>45897</v>
      </c>
      <c r="I5" s="9" t="s">
        <v>62</v>
      </c>
      <c r="J5" s="9" t="s">
        <v>63</v>
      </c>
      <c r="K5" s="9" t="n">
        <v>41</v>
      </c>
      <c r="L5" s="9" t="n">
        <v>3</v>
      </c>
      <c r="M5" s="9" t="n">
        <v>1</v>
      </c>
      <c r="N5" s="9" t="s">
        <v>42</v>
      </c>
      <c r="O5" s="9" t="s">
        <v>52</v>
      </c>
      <c r="P5" s="9" t="n">
        <v>7.4</v>
      </c>
      <c r="Q5" s="9" t="n">
        <v>35</v>
      </c>
      <c r="R5" s="9" t="s">
        <v>53</v>
      </c>
      <c r="S5" s="9"/>
      <c r="T5" s="9"/>
      <c r="U5" s="9" t="str">
        <f aca="false">IF(COUNTIF($A$2:$A$5001,A5)&gt;1,"Duplicate","Unique")</f>
        <v>Unique</v>
      </c>
      <c r="V5" s="9" t="str">
        <f aca="false">IF(COUNTIFS($B$2:$B$5001,B5,$H$2:$H$5001,H5,$J$2:$J$5001,J5)&gt;1,"Possible Duplicate Booking","Unique")</f>
        <v>Unique</v>
      </c>
      <c r="W5" s="9" t="str">
        <f aca="false">IF((H5-G5)&lt;&gt;K5,"Mismatch","OK")</f>
        <v>OK</v>
      </c>
      <c r="X5" s="9" t="str">
        <f aca="false">IF(TEXT(H5,"dddd")&lt;&gt;I5,"Mismatch","OK")</f>
        <v>OK</v>
      </c>
      <c r="Y5" s="9" t="str">
        <f aca="false">IF(AND(N5="No",O5&lt;&gt;""),"Unexpected: channel present but no reminder sent",IF(AND(N5="Yes",O5=""),"Missing channel for sent reminder","OK"))</f>
        <v>OK</v>
      </c>
    </row>
    <row r="6" customFormat="false" ht="15" hidden="false" customHeight="false" outlineLevel="0" collapsed="false">
      <c r="A6" s="7" t="s">
        <v>64</v>
      </c>
      <c r="B6" s="7" t="s">
        <v>65</v>
      </c>
      <c r="C6" s="7" t="s">
        <v>37</v>
      </c>
      <c r="D6" s="7" t="n">
        <v>34</v>
      </c>
      <c r="E6" s="7" t="s">
        <v>48</v>
      </c>
      <c r="F6" s="7" t="s">
        <v>39</v>
      </c>
      <c r="G6" s="8" t="n">
        <v>45847</v>
      </c>
      <c r="H6" s="8" t="n">
        <v>45894</v>
      </c>
      <c r="I6" s="7" t="s">
        <v>66</v>
      </c>
      <c r="J6" s="7" t="s">
        <v>41</v>
      </c>
      <c r="K6" s="7" t="n">
        <v>47</v>
      </c>
      <c r="L6" s="7" t="n">
        <v>3</v>
      </c>
      <c r="M6" s="7" t="n">
        <v>1</v>
      </c>
      <c r="N6" s="7" t="s">
        <v>42</v>
      </c>
      <c r="O6" s="7" t="s">
        <v>67</v>
      </c>
      <c r="P6" s="7" t="n">
        <v>5.6</v>
      </c>
      <c r="Q6" s="7" t="n">
        <v>27</v>
      </c>
      <c r="R6" s="7" t="s">
        <v>44</v>
      </c>
      <c r="S6" s="7"/>
      <c r="T6" s="7"/>
      <c r="U6" s="7" t="str">
        <f aca="false">IF(COUNTIF($A$2:$A$5001,A6)&gt;1,"Duplicate","Unique")</f>
        <v>Unique</v>
      </c>
      <c r="V6" s="7" t="str">
        <f aca="false">IF(COUNTIFS($B$2:$B$5001,B6,$H$2:$H$5001,H6,$J$2:$J$5001,J6)&gt;1,"Possible Duplicate Booking","Unique")</f>
        <v>Unique</v>
      </c>
      <c r="W6" s="7" t="str">
        <f aca="false">IF((H6-G6)&lt;&gt;K6,"Mismatch","OK")</f>
        <v>OK</v>
      </c>
      <c r="X6" s="7" t="str">
        <f aca="false">IF(TEXT(H6,"dddd")&lt;&gt;I6,"Mismatch","OK")</f>
        <v>OK</v>
      </c>
      <c r="Y6" s="7" t="str">
        <f aca="false">IF(AND(N6="No",O6&lt;&gt;""),"Unexpected: channel present but no reminder sent",IF(AND(N6="Yes",O6=""),"Missing channel for sent reminder","OK"))</f>
        <v>OK</v>
      </c>
    </row>
    <row r="7" customFormat="false" ht="15" hidden="false" customHeight="false" outlineLevel="0" collapsed="false">
      <c r="A7" s="9" t="s">
        <v>68</v>
      </c>
      <c r="B7" s="9" t="s">
        <v>69</v>
      </c>
      <c r="C7" s="9" t="s">
        <v>47</v>
      </c>
      <c r="D7" s="9" t="n">
        <v>66</v>
      </c>
      <c r="E7" s="9" t="s">
        <v>70</v>
      </c>
      <c r="F7" s="9" t="s">
        <v>49</v>
      </c>
      <c r="G7" s="10" t="n">
        <v>46069</v>
      </c>
      <c r="H7" s="10" t="n">
        <v>46126</v>
      </c>
      <c r="I7" s="9" t="s">
        <v>40</v>
      </c>
      <c r="J7" s="9" t="s">
        <v>51</v>
      </c>
      <c r="K7" s="9" t="n">
        <v>57</v>
      </c>
      <c r="L7" s="9" t="n">
        <v>4</v>
      </c>
      <c r="M7" s="9" t="n">
        <v>2</v>
      </c>
      <c r="N7" s="9" t="s">
        <v>71</v>
      </c>
      <c r="O7" s="9"/>
      <c r="P7" s="9" t="n">
        <v>3.1</v>
      </c>
      <c r="Q7" s="9" t="n">
        <v>36</v>
      </c>
      <c r="R7" s="9" t="s">
        <v>44</v>
      </c>
      <c r="S7" s="9"/>
      <c r="T7" s="9"/>
      <c r="U7" s="9" t="str">
        <f aca="false">IF(COUNTIF($A$2:$A$5001,A7)&gt;1,"Duplicate","Unique")</f>
        <v>Unique</v>
      </c>
      <c r="V7" s="9" t="str">
        <f aca="false">IF(COUNTIFS($B$2:$B$5001,B7,$H$2:$H$5001,H7,$J$2:$J$5001,J7)&gt;1,"Possible Duplicate Booking","Unique")</f>
        <v>Unique</v>
      </c>
      <c r="W7" s="9" t="str">
        <f aca="false">IF((H7-G7)&lt;&gt;K7,"Mismatch","OK")</f>
        <v>OK</v>
      </c>
      <c r="X7" s="9" t="str">
        <f aca="false">IF(TEXT(H7,"dddd")&lt;&gt;I7,"Mismatch","OK")</f>
        <v>OK</v>
      </c>
      <c r="Y7" s="9" t="str">
        <f aca="false">IF(AND(N7="No",O7&lt;&gt;""),"Unexpected: channel present but no reminder sent",IF(AND(N7="Yes",O7=""),"Missing channel for sent reminder","OK"))</f>
        <v>OK</v>
      </c>
    </row>
    <row r="8" customFormat="false" ht="15" hidden="false" customHeight="false" outlineLevel="0" collapsed="false">
      <c r="A8" s="7" t="s">
        <v>72</v>
      </c>
      <c r="B8" s="7" t="s">
        <v>73</v>
      </c>
      <c r="C8" s="7" t="s">
        <v>47</v>
      </c>
      <c r="D8" s="7" t="n">
        <v>58</v>
      </c>
      <c r="E8" s="7" t="s">
        <v>61</v>
      </c>
      <c r="F8" s="7" t="s">
        <v>74</v>
      </c>
      <c r="G8" s="8" t="n">
        <v>45674</v>
      </c>
      <c r="H8" s="8" t="n">
        <v>45704</v>
      </c>
      <c r="I8" s="7" t="s">
        <v>75</v>
      </c>
      <c r="J8" s="7" t="s">
        <v>41</v>
      </c>
      <c r="K8" s="7" t="n">
        <v>30</v>
      </c>
      <c r="L8" s="7" t="n">
        <v>4</v>
      </c>
      <c r="M8" s="7" t="n">
        <v>1</v>
      </c>
      <c r="N8" s="7" t="s">
        <v>42</v>
      </c>
      <c r="O8" s="7" t="s">
        <v>43</v>
      </c>
      <c r="P8" s="7" t="n">
        <v>8.2</v>
      </c>
      <c r="Q8" s="7" t="n">
        <v>30</v>
      </c>
      <c r="R8" s="7" t="s">
        <v>44</v>
      </c>
      <c r="S8" s="7"/>
      <c r="T8" s="7"/>
      <c r="U8" s="7" t="str">
        <f aca="false">IF(COUNTIF($A$2:$A$5001,A8)&gt;1,"Duplicate","Unique")</f>
        <v>Unique</v>
      </c>
      <c r="V8" s="7" t="str">
        <f aca="false">IF(COUNTIFS($B$2:$B$5001,B8,$H$2:$H$5001,H8,$J$2:$J$5001,J8)&gt;1,"Possible Duplicate Booking","Unique")</f>
        <v>Unique</v>
      </c>
      <c r="W8" s="7" t="str">
        <f aca="false">IF((H8-G8)&lt;&gt;K8,"Mismatch","OK")</f>
        <v>OK</v>
      </c>
      <c r="X8" s="7" t="str">
        <f aca="false">IF(TEXT(H8,"dddd")&lt;&gt;I8,"Mismatch","OK")</f>
        <v>OK</v>
      </c>
      <c r="Y8" s="7" t="str">
        <f aca="false">IF(AND(N8="No",O8&lt;&gt;""),"Unexpected: channel present but no reminder sent",IF(AND(N8="Yes",O8=""),"Missing channel for sent reminder","OK"))</f>
        <v>OK</v>
      </c>
    </row>
    <row r="9" customFormat="false" ht="15" hidden="false" customHeight="false" outlineLevel="0" collapsed="false">
      <c r="A9" s="9" t="s">
        <v>76</v>
      </c>
      <c r="B9" s="9" t="s">
        <v>77</v>
      </c>
      <c r="C9" s="9" t="s">
        <v>37</v>
      </c>
      <c r="D9" s="9" t="n">
        <v>28</v>
      </c>
      <c r="E9" s="9" t="s">
        <v>48</v>
      </c>
      <c r="F9" s="9" t="s">
        <v>49</v>
      </c>
      <c r="G9" s="10" t="n">
        <v>45988</v>
      </c>
      <c r="H9" s="10" t="n">
        <v>46038</v>
      </c>
      <c r="I9" s="9" t="s">
        <v>50</v>
      </c>
      <c r="J9" s="9" t="s">
        <v>41</v>
      </c>
      <c r="K9" s="9" t="n">
        <v>50</v>
      </c>
      <c r="L9" s="9" t="n">
        <v>6</v>
      </c>
      <c r="M9" s="9" t="n">
        <v>1</v>
      </c>
      <c r="N9" s="9" t="s">
        <v>42</v>
      </c>
      <c r="O9" s="9" t="s">
        <v>52</v>
      </c>
      <c r="P9" s="9" t="n">
        <v>19.2</v>
      </c>
      <c r="Q9" s="9" t="n">
        <v>21</v>
      </c>
      <c r="R9" s="9" t="s">
        <v>53</v>
      </c>
      <c r="S9" s="9"/>
      <c r="T9" s="9"/>
      <c r="U9" s="9" t="str">
        <f aca="false">IF(COUNTIF($A$2:$A$5001,A9)&gt;1,"Duplicate","Unique")</f>
        <v>Unique</v>
      </c>
      <c r="V9" s="9" t="str">
        <f aca="false">IF(COUNTIFS($B$2:$B$5001,B9,$H$2:$H$5001,H9,$J$2:$J$5001,J9)&gt;1,"Possible Duplicate Booking","Unique")</f>
        <v>Unique</v>
      </c>
      <c r="W9" s="9" t="str">
        <f aca="false">IF((H9-G9)&lt;&gt;K9,"Mismatch","OK")</f>
        <v>OK</v>
      </c>
      <c r="X9" s="9" t="str">
        <f aca="false">IF(TEXT(H9,"dddd")&lt;&gt;I9,"Mismatch","OK")</f>
        <v>OK</v>
      </c>
      <c r="Y9" s="9" t="str">
        <f aca="false">IF(AND(N9="No",O9&lt;&gt;""),"Unexpected: channel present but no reminder sent",IF(AND(N9="Yes",O9=""),"Missing channel for sent reminder","OK"))</f>
        <v>OK</v>
      </c>
    </row>
    <row r="10" customFormat="false" ht="15" hidden="false" customHeight="false" outlineLevel="0" collapsed="false">
      <c r="A10" s="7" t="s">
        <v>78</v>
      </c>
      <c r="B10" s="7" t="s">
        <v>79</v>
      </c>
      <c r="C10" s="7" t="s">
        <v>47</v>
      </c>
      <c r="D10" s="7" t="n">
        <v>77</v>
      </c>
      <c r="E10" s="7" t="s">
        <v>70</v>
      </c>
      <c r="F10" s="7" t="s">
        <v>39</v>
      </c>
      <c r="G10" s="8" t="n">
        <v>45725</v>
      </c>
      <c r="H10" s="8" t="n">
        <v>45768</v>
      </c>
      <c r="I10" s="7" t="s">
        <v>66</v>
      </c>
      <c r="J10" s="7" t="s">
        <v>41</v>
      </c>
      <c r="K10" s="7" t="n">
        <v>43</v>
      </c>
      <c r="L10" s="7" t="n">
        <v>3</v>
      </c>
      <c r="M10" s="7" t="n">
        <v>0</v>
      </c>
      <c r="N10" s="7" t="s">
        <v>42</v>
      </c>
      <c r="O10" s="7" t="s">
        <v>52</v>
      </c>
      <c r="P10" s="7" t="n">
        <v>10.1</v>
      </c>
      <c r="Q10" s="7" t="n">
        <v>27</v>
      </c>
      <c r="R10" s="7" t="s">
        <v>44</v>
      </c>
      <c r="S10" s="7"/>
      <c r="T10" s="7"/>
      <c r="U10" s="7" t="str">
        <f aca="false">IF(COUNTIF($A$2:$A$5001,A10)&gt;1,"Duplicate","Unique")</f>
        <v>Unique</v>
      </c>
      <c r="V10" s="7" t="str">
        <f aca="false">IF(COUNTIFS($B$2:$B$5001,B10,$H$2:$H$5001,H10,$J$2:$J$5001,J10)&gt;1,"Possible Duplicate Booking","Unique")</f>
        <v>Unique</v>
      </c>
      <c r="W10" s="7" t="str">
        <f aca="false">IF((H10-G10)&lt;&gt;K10,"Mismatch","OK")</f>
        <v>OK</v>
      </c>
      <c r="X10" s="7" t="str">
        <f aca="false">IF(TEXT(H10,"dddd")&lt;&gt;I10,"Mismatch","OK")</f>
        <v>OK</v>
      </c>
      <c r="Y10" s="7" t="str">
        <f aca="false">IF(AND(N10="No",O10&lt;&gt;""),"Unexpected: channel present but no reminder sent",IF(AND(N10="Yes",O10=""),"Missing channel for sent reminder","OK"))</f>
        <v>OK</v>
      </c>
    </row>
    <row r="11" customFormat="false" ht="15" hidden="false" customHeight="false" outlineLevel="0" collapsed="false">
      <c r="A11" s="9" t="s">
        <v>80</v>
      </c>
      <c r="B11" s="9" t="s">
        <v>81</v>
      </c>
      <c r="C11" s="9" t="s">
        <v>37</v>
      </c>
      <c r="D11" s="9" t="n">
        <v>20</v>
      </c>
      <c r="E11" s="9" t="s">
        <v>82</v>
      </c>
      <c r="F11" s="9" t="s">
        <v>39</v>
      </c>
      <c r="G11" s="10" t="n">
        <v>45693</v>
      </c>
      <c r="H11" s="10" t="n">
        <v>45709</v>
      </c>
      <c r="I11" s="9" t="s">
        <v>50</v>
      </c>
      <c r="J11" s="9" t="s">
        <v>41</v>
      </c>
      <c r="K11" s="9" t="n">
        <v>16</v>
      </c>
      <c r="L11" s="9" t="n">
        <v>2</v>
      </c>
      <c r="M11" s="9" t="n">
        <v>0</v>
      </c>
      <c r="N11" s="9" t="s">
        <v>42</v>
      </c>
      <c r="O11" s="9" t="s">
        <v>52</v>
      </c>
      <c r="P11" s="9" t="n">
        <v>28</v>
      </c>
      <c r="Q11" s="9" t="n">
        <v>20</v>
      </c>
      <c r="R11" s="9" t="s">
        <v>53</v>
      </c>
      <c r="S11" s="9"/>
      <c r="T11" s="9"/>
      <c r="U11" s="9" t="str">
        <f aca="false">IF(COUNTIF($A$2:$A$5001,A11)&gt;1,"Duplicate","Unique")</f>
        <v>Unique</v>
      </c>
      <c r="V11" s="9" t="str">
        <f aca="false">IF(COUNTIFS($B$2:$B$5001,B11,$H$2:$H$5001,H11,$J$2:$J$5001,J11)&gt;1,"Possible Duplicate Booking","Unique")</f>
        <v>Unique</v>
      </c>
      <c r="W11" s="9" t="str">
        <f aca="false">IF((H11-G11)&lt;&gt;K11,"Mismatch","OK")</f>
        <v>OK</v>
      </c>
      <c r="X11" s="9" t="str">
        <f aca="false">IF(TEXT(H11,"dddd")&lt;&gt;I11,"Mismatch","OK")</f>
        <v>OK</v>
      </c>
      <c r="Y11" s="9" t="str">
        <f aca="false">IF(AND(N11="No",O11&lt;&gt;""),"Unexpected: channel present but no reminder sent",IF(AND(N11="Yes",O11=""),"Missing channel for sent reminder","OK"))</f>
        <v>OK</v>
      </c>
    </row>
    <row r="12" customFormat="false" ht="15" hidden="false" customHeight="false" outlineLevel="0" collapsed="false">
      <c r="A12" s="7" t="s">
        <v>83</v>
      </c>
      <c r="B12" s="7" t="s">
        <v>84</v>
      </c>
      <c r="C12" s="7" t="s">
        <v>47</v>
      </c>
      <c r="D12" s="7" t="n">
        <v>59</v>
      </c>
      <c r="E12" s="7" t="s">
        <v>61</v>
      </c>
      <c r="F12" s="7" t="s">
        <v>39</v>
      </c>
      <c r="G12" s="8" t="n">
        <v>45894</v>
      </c>
      <c r="H12" s="8" t="n">
        <v>45945</v>
      </c>
      <c r="I12" s="7" t="s">
        <v>58</v>
      </c>
      <c r="J12" s="7" t="s">
        <v>51</v>
      </c>
      <c r="K12" s="7" t="n">
        <v>51</v>
      </c>
      <c r="L12" s="7" t="n">
        <v>6</v>
      </c>
      <c r="M12" s="7" t="n">
        <v>1</v>
      </c>
      <c r="N12" s="7" t="s">
        <v>42</v>
      </c>
      <c r="O12" s="7" t="s">
        <v>67</v>
      </c>
      <c r="P12" s="7" t="n">
        <v>12.8</v>
      </c>
      <c r="Q12" s="7" t="n">
        <v>33</v>
      </c>
      <c r="R12" s="7" t="s">
        <v>44</v>
      </c>
      <c r="S12" s="7"/>
      <c r="T12" s="7"/>
      <c r="U12" s="7" t="str">
        <f aca="false">IF(COUNTIF($A$2:$A$5001,A12)&gt;1,"Duplicate","Unique")</f>
        <v>Unique</v>
      </c>
      <c r="V12" s="7" t="str">
        <f aca="false">IF(COUNTIFS($B$2:$B$5001,B12,$H$2:$H$5001,H12,$J$2:$J$5001,J12)&gt;1,"Possible Duplicate Booking","Unique")</f>
        <v>Unique</v>
      </c>
      <c r="W12" s="7" t="str">
        <f aca="false">IF((H12-G12)&lt;&gt;K12,"Mismatch","OK")</f>
        <v>OK</v>
      </c>
      <c r="X12" s="7" t="str">
        <f aca="false">IF(TEXT(H12,"dddd")&lt;&gt;I12,"Mismatch","OK")</f>
        <v>OK</v>
      </c>
      <c r="Y12" s="7" t="str">
        <f aca="false">IF(AND(N12="No",O12&lt;&gt;""),"Unexpected: channel present but no reminder sent",IF(AND(N12="Yes",O12=""),"Missing channel for sent reminder","OK"))</f>
        <v>OK</v>
      </c>
    </row>
    <row r="13" customFormat="false" ht="15" hidden="false" customHeight="false" outlineLevel="0" collapsed="false">
      <c r="A13" s="9" t="s">
        <v>85</v>
      </c>
      <c r="B13" s="9" t="s">
        <v>86</v>
      </c>
      <c r="C13" s="9" t="s">
        <v>37</v>
      </c>
      <c r="D13" s="9" t="n">
        <v>45</v>
      </c>
      <c r="E13" s="9" t="s">
        <v>56</v>
      </c>
      <c r="F13" s="9" t="s">
        <v>39</v>
      </c>
      <c r="G13" s="10" t="n">
        <v>46187</v>
      </c>
      <c r="H13" s="10" t="n">
        <v>46190</v>
      </c>
      <c r="I13" s="9" t="s">
        <v>58</v>
      </c>
      <c r="J13" s="9" t="s">
        <v>51</v>
      </c>
      <c r="K13" s="9" t="n">
        <v>3</v>
      </c>
      <c r="L13" s="9" t="n">
        <v>6</v>
      </c>
      <c r="M13" s="9" t="n">
        <v>0</v>
      </c>
      <c r="N13" s="9" t="s">
        <v>42</v>
      </c>
      <c r="O13" s="9" t="s">
        <v>67</v>
      </c>
      <c r="P13" s="9" t="n">
        <v>10.3</v>
      </c>
      <c r="Q13" s="9" t="n">
        <v>15</v>
      </c>
      <c r="R13" s="9" t="s">
        <v>87</v>
      </c>
      <c r="S13" s="9"/>
      <c r="T13" s="9"/>
      <c r="U13" s="9" t="str">
        <f aca="false">IF(COUNTIF($A$2:$A$5001,A13)&gt;1,"Duplicate","Unique")</f>
        <v>Unique</v>
      </c>
      <c r="V13" s="9" t="str">
        <f aca="false">IF(COUNTIFS($B$2:$B$5001,B13,$H$2:$H$5001,H13,$J$2:$J$5001,J13)&gt;1,"Possible Duplicate Booking","Unique")</f>
        <v>Unique</v>
      </c>
      <c r="W13" s="9" t="str">
        <f aca="false">IF((H13-G13)&lt;&gt;K13,"Mismatch","OK")</f>
        <v>OK</v>
      </c>
      <c r="X13" s="9" t="str">
        <f aca="false">IF(TEXT(H13,"dddd")&lt;&gt;I13,"Mismatch","OK")</f>
        <v>OK</v>
      </c>
      <c r="Y13" s="9" t="str">
        <f aca="false">IF(AND(N13="No",O13&lt;&gt;""),"Unexpected: channel present but no reminder sent",IF(AND(N13="Yes",O13=""),"Missing channel for sent reminder","OK"))</f>
        <v>OK</v>
      </c>
    </row>
    <row r="14" customFormat="false" ht="15" hidden="false" customHeight="false" outlineLevel="0" collapsed="false">
      <c r="A14" s="7" t="s">
        <v>88</v>
      </c>
      <c r="B14" s="7" t="s">
        <v>89</v>
      </c>
      <c r="C14" s="7" t="s">
        <v>47</v>
      </c>
      <c r="D14" s="7" t="n">
        <v>59</v>
      </c>
      <c r="E14" s="7" t="s">
        <v>61</v>
      </c>
      <c r="F14" s="7" t="s">
        <v>57</v>
      </c>
      <c r="G14" s="8" t="n">
        <v>46023</v>
      </c>
      <c r="H14" s="8" t="n">
        <v>46059</v>
      </c>
      <c r="I14" s="7" t="s">
        <v>50</v>
      </c>
      <c r="J14" s="7" t="s">
        <v>51</v>
      </c>
      <c r="K14" s="7" t="n">
        <v>36</v>
      </c>
      <c r="L14" s="7" t="n">
        <v>2</v>
      </c>
      <c r="M14" s="7" t="n">
        <v>1</v>
      </c>
      <c r="N14" s="7" t="s">
        <v>71</v>
      </c>
      <c r="O14" s="7"/>
      <c r="P14" s="7" t="n">
        <v>28.3</v>
      </c>
      <c r="Q14" s="7" t="n">
        <v>16</v>
      </c>
      <c r="R14" s="7" t="s">
        <v>87</v>
      </c>
      <c r="S14" s="7"/>
      <c r="T14" s="7"/>
      <c r="U14" s="7" t="str">
        <f aca="false">IF(COUNTIF($A$2:$A$5001,A14)&gt;1,"Duplicate","Unique")</f>
        <v>Unique</v>
      </c>
      <c r="V14" s="7" t="str">
        <f aca="false">IF(COUNTIFS($B$2:$B$5001,B14,$H$2:$H$5001,H14,$J$2:$J$5001,J14)&gt;1,"Possible Duplicate Booking","Unique")</f>
        <v>Unique</v>
      </c>
      <c r="W14" s="7" t="str">
        <f aca="false">IF((H14-G14)&lt;&gt;K14,"Mismatch","OK")</f>
        <v>OK</v>
      </c>
      <c r="X14" s="7" t="str">
        <f aca="false">IF(TEXT(H14,"dddd")&lt;&gt;I14,"Mismatch","OK")</f>
        <v>OK</v>
      </c>
      <c r="Y14" s="7" t="str">
        <f aca="false">IF(AND(N14="No",O14&lt;&gt;""),"Unexpected: channel present but no reminder sent",IF(AND(N14="Yes",O14=""),"Missing channel for sent reminder","OK"))</f>
        <v>OK</v>
      </c>
    </row>
    <row r="15" customFormat="false" ht="15" hidden="false" customHeight="false" outlineLevel="0" collapsed="false">
      <c r="A15" s="9" t="s">
        <v>90</v>
      </c>
      <c r="B15" s="9" t="s">
        <v>91</v>
      </c>
      <c r="C15" s="9" t="s">
        <v>37</v>
      </c>
      <c r="D15" s="9" t="n">
        <v>66</v>
      </c>
      <c r="E15" s="9" t="s">
        <v>70</v>
      </c>
      <c r="F15" s="9" t="s">
        <v>39</v>
      </c>
      <c r="G15" s="10" t="n">
        <v>46016</v>
      </c>
      <c r="H15" s="10" t="n">
        <v>46073</v>
      </c>
      <c r="I15" s="9" t="s">
        <v>50</v>
      </c>
      <c r="J15" s="9" t="s">
        <v>41</v>
      </c>
      <c r="K15" s="9" t="n">
        <v>57</v>
      </c>
      <c r="L15" s="9" t="n">
        <v>1</v>
      </c>
      <c r="M15" s="9" t="n">
        <v>0</v>
      </c>
      <c r="N15" s="9" t="s">
        <v>71</v>
      </c>
      <c r="O15" s="9"/>
      <c r="P15" s="9" t="n">
        <v>5.5</v>
      </c>
      <c r="Q15" s="9" t="n">
        <v>22</v>
      </c>
      <c r="R15" s="9" t="s">
        <v>53</v>
      </c>
      <c r="S15" s="9"/>
      <c r="T15" s="9"/>
      <c r="U15" s="9" t="str">
        <f aca="false">IF(COUNTIF($A$2:$A$5001,A15)&gt;1,"Duplicate","Unique")</f>
        <v>Unique</v>
      </c>
      <c r="V15" s="9" t="str">
        <f aca="false">IF(COUNTIFS($B$2:$B$5001,B15,$H$2:$H$5001,H15,$J$2:$J$5001,J15)&gt;1,"Possible Duplicate Booking","Unique")</f>
        <v>Unique</v>
      </c>
      <c r="W15" s="9" t="str">
        <f aca="false">IF((H15-G15)&lt;&gt;K15,"Mismatch","OK")</f>
        <v>OK</v>
      </c>
      <c r="X15" s="9" t="str">
        <f aca="false">IF(TEXT(H15,"dddd")&lt;&gt;I15,"Mismatch","OK")</f>
        <v>OK</v>
      </c>
      <c r="Y15" s="9" t="str">
        <f aca="false">IF(AND(N15="No",O15&lt;&gt;""),"Unexpected: channel present but no reminder sent",IF(AND(N15="Yes",O15=""),"Missing channel for sent reminder","OK"))</f>
        <v>OK</v>
      </c>
    </row>
    <row r="16" customFormat="false" ht="15" hidden="false" customHeight="false" outlineLevel="0" collapsed="false">
      <c r="A16" s="7" t="s">
        <v>92</v>
      </c>
      <c r="B16" s="7" t="s">
        <v>93</v>
      </c>
      <c r="C16" s="7" t="s">
        <v>47</v>
      </c>
      <c r="D16" s="7" t="n">
        <v>61</v>
      </c>
      <c r="E16" s="7" t="s">
        <v>61</v>
      </c>
      <c r="F16" s="7" t="s">
        <v>49</v>
      </c>
      <c r="G16" s="8" t="n">
        <v>46009</v>
      </c>
      <c r="H16" s="8" t="n">
        <v>46049</v>
      </c>
      <c r="I16" s="7" t="s">
        <v>40</v>
      </c>
      <c r="J16" s="7" t="s">
        <v>41</v>
      </c>
      <c r="K16" s="7" t="n">
        <v>40</v>
      </c>
      <c r="L16" s="7" t="n">
        <v>3</v>
      </c>
      <c r="M16" s="7" t="n">
        <v>0</v>
      </c>
      <c r="N16" s="7" t="s">
        <v>42</v>
      </c>
      <c r="O16" s="7" t="s">
        <v>52</v>
      </c>
      <c r="P16" s="7" t="n">
        <v>6.6</v>
      </c>
      <c r="Q16" s="7" t="n">
        <v>31</v>
      </c>
      <c r="R16" s="7" t="s">
        <v>53</v>
      </c>
      <c r="S16" s="7"/>
      <c r="T16" s="7"/>
      <c r="U16" s="7" t="str">
        <f aca="false">IF(COUNTIF($A$2:$A$5001,A16)&gt;1,"Duplicate","Unique")</f>
        <v>Unique</v>
      </c>
      <c r="V16" s="7" t="str">
        <f aca="false">IF(COUNTIFS($B$2:$B$5001,B16,$H$2:$H$5001,H16,$J$2:$J$5001,J16)&gt;1,"Possible Duplicate Booking","Unique")</f>
        <v>Unique</v>
      </c>
      <c r="W16" s="7" t="str">
        <f aca="false">IF((H16-G16)&lt;&gt;K16,"Mismatch","OK")</f>
        <v>OK</v>
      </c>
      <c r="X16" s="7" t="str">
        <f aca="false">IF(TEXT(H16,"dddd")&lt;&gt;I16,"Mismatch","OK")</f>
        <v>OK</v>
      </c>
      <c r="Y16" s="7" t="str">
        <f aca="false">IF(AND(N16="No",O16&lt;&gt;""),"Unexpected: channel present but no reminder sent",IF(AND(N16="Yes",O16=""),"Missing channel for sent reminder","OK"))</f>
        <v>OK</v>
      </c>
    </row>
    <row r="17" customFormat="false" ht="15" hidden="false" customHeight="false" outlineLevel="0" collapsed="false">
      <c r="A17" s="9" t="s">
        <v>94</v>
      </c>
      <c r="B17" s="9" t="s">
        <v>95</v>
      </c>
      <c r="C17" s="9" t="s">
        <v>37</v>
      </c>
      <c r="D17" s="9" t="n">
        <v>58</v>
      </c>
      <c r="E17" s="9" t="s">
        <v>61</v>
      </c>
      <c r="F17" s="9" t="s">
        <v>39</v>
      </c>
      <c r="G17" s="10" t="n">
        <v>46030</v>
      </c>
      <c r="H17" s="10" t="n">
        <v>46087</v>
      </c>
      <c r="I17" s="9" t="s">
        <v>50</v>
      </c>
      <c r="J17" s="9" t="s">
        <v>41</v>
      </c>
      <c r="K17" s="9" t="n">
        <v>57</v>
      </c>
      <c r="L17" s="9" t="n">
        <v>2</v>
      </c>
      <c r="M17" s="9" t="n">
        <v>0</v>
      </c>
      <c r="N17" s="9" t="s">
        <v>42</v>
      </c>
      <c r="O17" s="9" t="s">
        <v>52</v>
      </c>
      <c r="P17" s="9" t="n">
        <v>8.7</v>
      </c>
      <c r="Q17" s="9" t="n">
        <v>25</v>
      </c>
      <c r="R17" s="9" t="s">
        <v>44</v>
      </c>
      <c r="S17" s="9"/>
      <c r="T17" s="9"/>
      <c r="U17" s="9" t="str">
        <f aca="false">IF(COUNTIF($A$2:$A$5001,A17)&gt;1,"Duplicate","Unique")</f>
        <v>Unique</v>
      </c>
      <c r="V17" s="9" t="str">
        <f aca="false">IF(COUNTIFS($B$2:$B$5001,B17,$H$2:$H$5001,H17,$J$2:$J$5001,J17)&gt;1,"Possible Duplicate Booking","Unique")</f>
        <v>Unique</v>
      </c>
      <c r="W17" s="9" t="str">
        <f aca="false">IF((H17-G17)&lt;&gt;K17,"Mismatch","OK")</f>
        <v>OK</v>
      </c>
      <c r="X17" s="9" t="str">
        <f aca="false">IF(TEXT(H17,"dddd")&lt;&gt;I17,"Mismatch","OK")</f>
        <v>OK</v>
      </c>
      <c r="Y17" s="9" t="str">
        <f aca="false">IF(AND(N17="No",O17&lt;&gt;""),"Unexpected: channel present but no reminder sent",IF(AND(N17="Yes",O17=""),"Missing channel for sent reminder","OK"))</f>
        <v>OK</v>
      </c>
    </row>
    <row r="18" customFormat="false" ht="15" hidden="false" customHeight="false" outlineLevel="0" collapsed="false">
      <c r="A18" s="7" t="s">
        <v>96</v>
      </c>
      <c r="B18" s="7" t="s">
        <v>97</v>
      </c>
      <c r="C18" s="7" t="s">
        <v>47</v>
      </c>
      <c r="D18" s="7" t="n">
        <v>70</v>
      </c>
      <c r="E18" s="7" t="s">
        <v>70</v>
      </c>
      <c r="F18" s="7" t="s">
        <v>49</v>
      </c>
      <c r="G18" s="8" t="n">
        <v>45935</v>
      </c>
      <c r="H18" s="8" t="n">
        <v>45938</v>
      </c>
      <c r="I18" s="7" t="s">
        <v>58</v>
      </c>
      <c r="J18" s="7" t="s">
        <v>41</v>
      </c>
      <c r="K18" s="7" t="n">
        <v>3</v>
      </c>
      <c r="L18" s="7" t="n">
        <v>4</v>
      </c>
      <c r="M18" s="7" t="n">
        <v>3</v>
      </c>
      <c r="N18" s="7" t="s">
        <v>71</v>
      </c>
      <c r="O18" s="7"/>
      <c r="P18" s="7" t="n">
        <v>13.8</v>
      </c>
      <c r="Q18" s="7" t="n">
        <v>20</v>
      </c>
      <c r="R18" s="7" t="s">
        <v>53</v>
      </c>
      <c r="S18" s="7"/>
      <c r="T18" s="7"/>
      <c r="U18" s="7" t="str">
        <f aca="false">IF(COUNTIF($A$2:$A$5001,A18)&gt;1,"Duplicate","Unique")</f>
        <v>Unique</v>
      </c>
      <c r="V18" s="7" t="str">
        <f aca="false">IF(COUNTIFS($B$2:$B$5001,B18,$H$2:$H$5001,H18,$J$2:$J$5001,J18)&gt;1,"Possible Duplicate Booking","Unique")</f>
        <v>Unique</v>
      </c>
      <c r="W18" s="7" t="str">
        <f aca="false">IF((H18-G18)&lt;&gt;K18,"Mismatch","OK")</f>
        <v>OK</v>
      </c>
      <c r="X18" s="7" t="str">
        <f aca="false">IF(TEXT(H18,"dddd")&lt;&gt;I18,"Mismatch","OK")</f>
        <v>OK</v>
      </c>
      <c r="Y18" s="7" t="str">
        <f aca="false">IF(AND(N18="No",O18&lt;&gt;""),"Unexpected: channel present but no reminder sent",IF(AND(N18="Yes",O18=""),"Missing channel for sent reminder","OK"))</f>
        <v>OK</v>
      </c>
    </row>
    <row r="19" customFormat="false" ht="15" hidden="false" customHeight="false" outlineLevel="0" collapsed="false">
      <c r="A19" s="9" t="s">
        <v>98</v>
      </c>
      <c r="B19" s="9" t="s">
        <v>99</v>
      </c>
      <c r="C19" s="9" t="s">
        <v>37</v>
      </c>
      <c r="D19" s="9" t="n">
        <v>62</v>
      </c>
      <c r="E19" s="9" t="s">
        <v>61</v>
      </c>
      <c r="F19" s="9" t="s">
        <v>39</v>
      </c>
      <c r="G19" s="10" t="n">
        <v>45695</v>
      </c>
      <c r="H19" s="10" t="n">
        <v>45727</v>
      </c>
      <c r="I19" s="9" t="s">
        <v>40</v>
      </c>
      <c r="J19" s="9" t="s">
        <v>51</v>
      </c>
      <c r="K19" s="9" t="n">
        <v>32</v>
      </c>
      <c r="L19" s="9" t="n">
        <v>1</v>
      </c>
      <c r="M19" s="9" t="n">
        <v>0</v>
      </c>
      <c r="N19" s="9" t="s">
        <v>42</v>
      </c>
      <c r="O19" s="9" t="s">
        <v>52</v>
      </c>
      <c r="P19" s="9" t="n">
        <v>14</v>
      </c>
      <c r="Q19" s="9" t="n">
        <v>36</v>
      </c>
      <c r="R19" s="9" t="s">
        <v>53</v>
      </c>
      <c r="S19" s="9"/>
      <c r="T19" s="9"/>
      <c r="U19" s="9" t="str">
        <f aca="false">IF(COUNTIF($A$2:$A$5001,A19)&gt;1,"Duplicate","Unique")</f>
        <v>Unique</v>
      </c>
      <c r="V19" s="9" t="str">
        <f aca="false">IF(COUNTIFS($B$2:$B$5001,B19,$H$2:$H$5001,H19,$J$2:$J$5001,J19)&gt;1,"Possible Duplicate Booking","Unique")</f>
        <v>Unique</v>
      </c>
      <c r="W19" s="9" t="str">
        <f aca="false">IF((H19-G19)&lt;&gt;K19,"Mismatch","OK")</f>
        <v>OK</v>
      </c>
      <c r="X19" s="9" t="str">
        <f aca="false">IF(TEXT(H19,"dddd")&lt;&gt;I19,"Mismatch","OK")</f>
        <v>OK</v>
      </c>
      <c r="Y19" s="9" t="str">
        <f aca="false">IF(AND(N19="No",O19&lt;&gt;""),"Unexpected: channel present but no reminder sent",IF(AND(N19="Yes",O19=""),"Missing channel for sent reminder","OK"))</f>
        <v>OK</v>
      </c>
    </row>
    <row r="20" customFormat="false" ht="15" hidden="false" customHeight="false" outlineLevel="0" collapsed="false">
      <c r="A20" s="7" t="s">
        <v>100</v>
      </c>
      <c r="B20" s="7" t="s">
        <v>101</v>
      </c>
      <c r="C20" s="7" t="s">
        <v>37</v>
      </c>
      <c r="D20" s="7" t="n">
        <v>69</v>
      </c>
      <c r="E20" s="7" t="s">
        <v>70</v>
      </c>
      <c r="F20" s="7" t="s">
        <v>57</v>
      </c>
      <c r="G20" s="8" t="n">
        <v>46069</v>
      </c>
      <c r="H20" s="8" t="n">
        <v>46116</v>
      </c>
      <c r="I20" s="7" t="s">
        <v>102</v>
      </c>
      <c r="J20" s="7" t="s">
        <v>51</v>
      </c>
      <c r="K20" s="7" t="n">
        <v>47</v>
      </c>
      <c r="L20" s="7" t="n">
        <v>3</v>
      </c>
      <c r="M20" s="7" t="n">
        <v>1</v>
      </c>
      <c r="N20" s="7" t="s">
        <v>42</v>
      </c>
      <c r="O20" s="7" t="s">
        <v>43</v>
      </c>
      <c r="P20" s="7" t="n">
        <v>5.1</v>
      </c>
      <c r="Q20" s="7" t="n">
        <v>30</v>
      </c>
      <c r="R20" s="7" t="s">
        <v>53</v>
      </c>
      <c r="S20" s="7"/>
      <c r="T20" s="7"/>
      <c r="U20" s="7" t="str">
        <f aca="false">IF(COUNTIF($A$2:$A$5001,A20)&gt;1,"Duplicate","Unique")</f>
        <v>Unique</v>
      </c>
      <c r="V20" s="7" t="str">
        <f aca="false">IF(COUNTIFS($B$2:$B$5001,B20,$H$2:$H$5001,H20,$J$2:$J$5001,J20)&gt;1,"Possible Duplicate Booking","Unique")</f>
        <v>Unique</v>
      </c>
      <c r="W20" s="7" t="str">
        <f aca="false">IF((H20-G20)&lt;&gt;K20,"Mismatch","OK")</f>
        <v>OK</v>
      </c>
      <c r="X20" s="7" t="str">
        <f aca="false">IF(TEXT(H20,"dddd")&lt;&gt;I20,"Mismatch","OK")</f>
        <v>OK</v>
      </c>
      <c r="Y20" s="7" t="str">
        <f aca="false">IF(AND(N20="No",O20&lt;&gt;""),"Unexpected: channel present but no reminder sent",IF(AND(N20="Yes",O20=""),"Missing channel for sent reminder","OK"))</f>
        <v>OK</v>
      </c>
    </row>
    <row r="21" customFormat="false" ht="15" hidden="false" customHeight="false" outlineLevel="0" collapsed="false">
      <c r="A21" s="9" t="s">
        <v>103</v>
      </c>
      <c r="B21" s="9" t="s">
        <v>104</v>
      </c>
      <c r="C21" s="9" t="s">
        <v>47</v>
      </c>
      <c r="D21" s="9" t="n">
        <v>43</v>
      </c>
      <c r="E21" s="9" t="s">
        <v>38</v>
      </c>
      <c r="F21" s="9" t="s">
        <v>57</v>
      </c>
      <c r="G21" s="10" t="n">
        <v>45864</v>
      </c>
      <c r="H21" s="10" t="n">
        <v>45903</v>
      </c>
      <c r="I21" s="9" t="s">
        <v>58</v>
      </c>
      <c r="J21" s="9" t="s">
        <v>51</v>
      </c>
      <c r="K21" s="9" t="n">
        <v>39</v>
      </c>
      <c r="L21" s="9" t="n">
        <v>4</v>
      </c>
      <c r="M21" s="9" t="n">
        <v>0</v>
      </c>
      <c r="N21" s="9" t="s">
        <v>42</v>
      </c>
      <c r="O21" s="9" t="s">
        <v>43</v>
      </c>
      <c r="P21" s="9" t="n">
        <v>9.4</v>
      </c>
      <c r="Q21" s="9" t="n">
        <v>19</v>
      </c>
      <c r="R21" s="9" t="s">
        <v>44</v>
      </c>
      <c r="S21" s="9"/>
      <c r="T21" s="9"/>
      <c r="U21" s="9" t="str">
        <f aca="false">IF(COUNTIF($A$2:$A$5001,A21)&gt;1,"Duplicate","Unique")</f>
        <v>Unique</v>
      </c>
      <c r="V21" s="9" t="str">
        <f aca="false">IF(COUNTIFS($B$2:$B$5001,B21,$H$2:$H$5001,H21,$J$2:$J$5001,J21)&gt;1,"Possible Duplicate Booking","Unique")</f>
        <v>Unique</v>
      </c>
      <c r="W21" s="9" t="str">
        <f aca="false">IF((H21-G21)&lt;&gt;K21,"Mismatch","OK")</f>
        <v>OK</v>
      </c>
      <c r="X21" s="9" t="str">
        <f aca="false">IF(TEXT(H21,"dddd")&lt;&gt;I21,"Mismatch","OK")</f>
        <v>OK</v>
      </c>
      <c r="Y21" s="9" t="str">
        <f aca="false">IF(AND(N21="No",O21&lt;&gt;""),"Unexpected: channel present but no reminder sent",IF(AND(N21="Yes",O21=""),"Missing channel for sent reminder","OK"))</f>
        <v>OK</v>
      </c>
    </row>
    <row r="22" customFormat="false" ht="15" hidden="false" customHeight="false" outlineLevel="0" collapsed="false">
      <c r="A22" s="7" t="s">
        <v>105</v>
      </c>
      <c r="B22" s="7" t="s">
        <v>106</v>
      </c>
      <c r="C22" s="7" t="s">
        <v>37</v>
      </c>
      <c r="D22" s="7" t="n">
        <v>30</v>
      </c>
      <c r="E22" s="7" t="s">
        <v>48</v>
      </c>
      <c r="F22" s="7" t="s">
        <v>57</v>
      </c>
      <c r="G22" s="8" t="n">
        <v>45878</v>
      </c>
      <c r="H22" s="8" t="n">
        <v>45931</v>
      </c>
      <c r="I22" s="7" t="s">
        <v>58</v>
      </c>
      <c r="J22" s="7" t="s">
        <v>51</v>
      </c>
      <c r="K22" s="7" t="n">
        <v>53</v>
      </c>
      <c r="L22" s="7" t="n">
        <v>1</v>
      </c>
      <c r="M22" s="7" t="n">
        <v>0</v>
      </c>
      <c r="N22" s="7" t="s">
        <v>42</v>
      </c>
      <c r="O22" s="7" t="s">
        <v>43</v>
      </c>
      <c r="P22" s="7" t="n">
        <v>19.9</v>
      </c>
      <c r="Q22" s="7" t="n">
        <v>13</v>
      </c>
      <c r="R22" s="7" t="s">
        <v>53</v>
      </c>
      <c r="S22" s="7"/>
      <c r="T22" s="7"/>
      <c r="U22" s="7" t="str">
        <f aca="false">IF(COUNTIF($A$2:$A$5001,A22)&gt;1,"Duplicate","Unique")</f>
        <v>Unique</v>
      </c>
      <c r="V22" s="7" t="str">
        <f aca="false">IF(COUNTIFS($B$2:$B$5001,B22,$H$2:$H$5001,H22,$J$2:$J$5001,J22)&gt;1,"Possible Duplicate Booking","Unique")</f>
        <v>Unique</v>
      </c>
      <c r="W22" s="7" t="str">
        <f aca="false">IF((H22-G22)&lt;&gt;K22,"Mismatch","OK")</f>
        <v>OK</v>
      </c>
      <c r="X22" s="7" t="str">
        <f aca="false">IF(TEXT(H22,"dddd")&lt;&gt;I22,"Mismatch","OK")</f>
        <v>OK</v>
      </c>
      <c r="Y22" s="7" t="str">
        <f aca="false">IF(AND(N22="No",O22&lt;&gt;""),"Unexpected: channel present but no reminder sent",IF(AND(N22="Yes",O22=""),"Missing channel for sent reminder","OK"))</f>
        <v>OK</v>
      </c>
    </row>
    <row r="23" customFormat="false" ht="15" hidden="false" customHeight="false" outlineLevel="0" collapsed="false">
      <c r="A23" s="9" t="s">
        <v>107</v>
      </c>
      <c r="B23" s="9" t="s">
        <v>108</v>
      </c>
      <c r="C23" s="9" t="s">
        <v>37</v>
      </c>
      <c r="D23" s="9" t="n">
        <v>32</v>
      </c>
      <c r="E23" s="9" t="s">
        <v>48</v>
      </c>
      <c r="F23" s="9" t="s">
        <v>57</v>
      </c>
      <c r="G23" s="10" t="n">
        <v>45832</v>
      </c>
      <c r="H23" s="10" t="n">
        <v>45860</v>
      </c>
      <c r="I23" s="9" t="s">
        <v>40</v>
      </c>
      <c r="J23" s="9" t="s">
        <v>41</v>
      </c>
      <c r="K23" s="9" t="n">
        <v>28</v>
      </c>
      <c r="L23" s="9" t="n">
        <v>0</v>
      </c>
      <c r="M23" s="9" t="n">
        <v>0</v>
      </c>
      <c r="N23" s="9" t="s">
        <v>71</v>
      </c>
      <c r="O23" s="9"/>
      <c r="P23" s="9" t="n">
        <v>2.9</v>
      </c>
      <c r="Q23" s="9" t="n">
        <v>22</v>
      </c>
      <c r="R23" s="9" t="s">
        <v>53</v>
      </c>
      <c r="S23" s="9"/>
      <c r="T23" s="9"/>
      <c r="U23" s="9" t="str">
        <f aca="false">IF(COUNTIF($A$2:$A$5001,A23)&gt;1,"Duplicate","Unique")</f>
        <v>Unique</v>
      </c>
      <c r="V23" s="9" t="str">
        <f aca="false">IF(COUNTIFS($B$2:$B$5001,B23,$H$2:$H$5001,H23,$J$2:$J$5001,J23)&gt;1,"Possible Duplicate Booking","Unique")</f>
        <v>Unique</v>
      </c>
      <c r="W23" s="9" t="str">
        <f aca="false">IF((H23-G23)&lt;&gt;K23,"Mismatch","OK")</f>
        <v>OK</v>
      </c>
      <c r="X23" s="9" t="str">
        <f aca="false">IF(TEXT(H23,"dddd")&lt;&gt;I23,"Mismatch","OK")</f>
        <v>OK</v>
      </c>
      <c r="Y23" s="9" t="str">
        <f aca="false">IF(AND(N23="No",O23&lt;&gt;""),"Unexpected: channel present but no reminder sent",IF(AND(N23="Yes",O23=""),"Missing channel for sent reminder","OK"))</f>
        <v>OK</v>
      </c>
    </row>
    <row r="24" customFormat="false" ht="15" hidden="false" customHeight="false" outlineLevel="0" collapsed="false">
      <c r="A24" s="7" t="s">
        <v>109</v>
      </c>
      <c r="B24" s="7" t="s">
        <v>110</v>
      </c>
      <c r="C24" s="7" t="s">
        <v>47</v>
      </c>
      <c r="D24" s="7" t="n">
        <v>56</v>
      </c>
      <c r="E24" s="7" t="s">
        <v>61</v>
      </c>
      <c r="F24" s="7" t="s">
        <v>39</v>
      </c>
      <c r="G24" s="8" t="n">
        <v>45716</v>
      </c>
      <c r="H24" s="8" t="n">
        <v>45757</v>
      </c>
      <c r="I24" s="7" t="s">
        <v>62</v>
      </c>
      <c r="J24" s="7" t="s">
        <v>63</v>
      </c>
      <c r="K24" s="7" t="n">
        <v>41</v>
      </c>
      <c r="L24" s="7" t="n">
        <v>2</v>
      </c>
      <c r="M24" s="7" t="n">
        <v>0</v>
      </c>
      <c r="N24" s="7" t="s">
        <v>71</v>
      </c>
      <c r="O24" s="7"/>
      <c r="P24" s="7" t="n">
        <v>19.7</v>
      </c>
      <c r="Q24" s="7" t="n">
        <v>17</v>
      </c>
      <c r="R24" s="7" t="s">
        <v>44</v>
      </c>
      <c r="S24" s="7"/>
      <c r="T24" s="7"/>
      <c r="U24" s="7" t="str">
        <f aca="false">IF(COUNTIF($A$2:$A$5001,A24)&gt;1,"Duplicate","Unique")</f>
        <v>Unique</v>
      </c>
      <c r="V24" s="7" t="str">
        <f aca="false">IF(COUNTIFS($B$2:$B$5001,B24,$H$2:$H$5001,H24,$J$2:$J$5001,J24)&gt;1,"Possible Duplicate Booking","Unique")</f>
        <v>Unique</v>
      </c>
      <c r="W24" s="7" t="str">
        <f aca="false">IF((H24-G24)&lt;&gt;K24,"Mismatch","OK")</f>
        <v>OK</v>
      </c>
      <c r="X24" s="7" t="str">
        <f aca="false">IF(TEXT(H24,"dddd")&lt;&gt;I24,"Mismatch","OK")</f>
        <v>OK</v>
      </c>
      <c r="Y24" s="7" t="str">
        <f aca="false">IF(AND(N24="No",O24&lt;&gt;""),"Unexpected: channel present but no reminder sent",IF(AND(N24="Yes",O24=""),"Missing channel for sent reminder","OK"))</f>
        <v>OK</v>
      </c>
    </row>
    <row r="25" customFormat="false" ht="15" hidden="false" customHeight="false" outlineLevel="0" collapsed="false">
      <c r="A25" s="9" t="s">
        <v>111</v>
      </c>
      <c r="B25" s="9" t="s">
        <v>112</v>
      </c>
      <c r="C25" s="9" t="s">
        <v>37</v>
      </c>
      <c r="D25" s="9" t="n">
        <v>51</v>
      </c>
      <c r="E25" s="9" t="s">
        <v>56</v>
      </c>
      <c r="F25" s="9" t="s">
        <v>57</v>
      </c>
      <c r="G25" s="10" t="n">
        <v>46139</v>
      </c>
      <c r="H25" s="10" t="n">
        <v>46164</v>
      </c>
      <c r="I25" s="9" t="s">
        <v>50</v>
      </c>
      <c r="J25" s="9" t="s">
        <v>51</v>
      </c>
      <c r="K25" s="9" t="n">
        <v>25</v>
      </c>
      <c r="L25" s="9" t="n">
        <v>0</v>
      </c>
      <c r="M25" s="9" t="n">
        <v>0</v>
      </c>
      <c r="N25" s="9" t="s">
        <v>71</v>
      </c>
      <c r="O25" s="9"/>
      <c r="P25" s="9" t="n">
        <v>11.2</v>
      </c>
      <c r="Q25" s="9" t="n">
        <v>16</v>
      </c>
      <c r="R25" s="9" t="s">
        <v>53</v>
      </c>
      <c r="S25" s="9"/>
      <c r="T25" s="9"/>
      <c r="U25" s="9" t="str">
        <f aca="false">IF(COUNTIF($A$2:$A$5001,A25)&gt;1,"Duplicate","Unique")</f>
        <v>Unique</v>
      </c>
      <c r="V25" s="9" t="str">
        <f aca="false">IF(COUNTIFS($B$2:$B$5001,B25,$H$2:$H$5001,H25,$J$2:$J$5001,J25)&gt;1,"Possible Duplicate Booking","Unique")</f>
        <v>Unique</v>
      </c>
      <c r="W25" s="9" t="str">
        <f aca="false">IF((H25-G25)&lt;&gt;K25,"Mismatch","OK")</f>
        <v>OK</v>
      </c>
      <c r="X25" s="9" t="str">
        <f aca="false">IF(TEXT(H25,"dddd")&lt;&gt;I25,"Mismatch","OK")</f>
        <v>OK</v>
      </c>
      <c r="Y25" s="9" t="str">
        <f aca="false">IF(AND(N25="No",O25&lt;&gt;""),"Unexpected: channel present but no reminder sent",IF(AND(N25="Yes",O25=""),"Missing channel for sent reminder","OK"))</f>
        <v>OK</v>
      </c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47</v>
      </c>
      <c r="D26" s="7" t="n">
        <v>22</v>
      </c>
      <c r="E26" s="7" t="s">
        <v>82</v>
      </c>
      <c r="F26" s="7" t="s">
        <v>57</v>
      </c>
      <c r="G26" s="8" t="n">
        <v>46031</v>
      </c>
      <c r="H26" s="8" t="n">
        <v>46084</v>
      </c>
      <c r="I26" s="7" t="s">
        <v>40</v>
      </c>
      <c r="J26" s="7" t="s">
        <v>41</v>
      </c>
      <c r="K26" s="7" t="n">
        <v>53</v>
      </c>
      <c r="L26" s="7" t="n">
        <v>6</v>
      </c>
      <c r="M26" s="7" t="n">
        <v>1</v>
      </c>
      <c r="N26" s="7" t="s">
        <v>71</v>
      </c>
      <c r="O26" s="7"/>
      <c r="P26" s="7" t="n">
        <v>11.1</v>
      </c>
      <c r="Q26" s="7" t="n">
        <v>32</v>
      </c>
      <c r="R26" s="7" t="s">
        <v>53</v>
      </c>
      <c r="S26" s="7"/>
      <c r="T26" s="7"/>
      <c r="U26" s="7" t="str">
        <f aca="false">IF(COUNTIF($A$2:$A$5001,A26)&gt;1,"Duplicate","Unique")</f>
        <v>Unique</v>
      </c>
      <c r="V26" s="7" t="str">
        <f aca="false">IF(COUNTIFS($B$2:$B$5001,B26,$H$2:$H$5001,H26,$J$2:$J$5001,J26)&gt;1,"Possible Duplicate Booking","Unique")</f>
        <v>Unique</v>
      </c>
      <c r="W26" s="7" t="str">
        <f aca="false">IF((H26-G26)&lt;&gt;K26,"Mismatch","OK")</f>
        <v>OK</v>
      </c>
      <c r="X26" s="7" t="str">
        <f aca="false">IF(TEXT(H26,"dddd")&lt;&gt;I26,"Mismatch","OK")</f>
        <v>OK</v>
      </c>
      <c r="Y26" s="7" t="str">
        <f aca="false">IF(AND(N26="No",O26&lt;&gt;""),"Unexpected: channel present but no reminder sent",IF(AND(N26="Yes",O26=""),"Missing channel for sent reminder","OK"))</f>
        <v>OK</v>
      </c>
    </row>
    <row r="27" customFormat="false" ht="15" hidden="false" customHeight="false" outlineLevel="0" collapsed="false">
      <c r="A27" s="9" t="s">
        <v>115</v>
      </c>
      <c r="B27" s="9" t="s">
        <v>116</v>
      </c>
      <c r="C27" s="9" t="s">
        <v>37</v>
      </c>
      <c r="D27" s="9" t="n">
        <v>30</v>
      </c>
      <c r="E27" s="9" t="s">
        <v>48</v>
      </c>
      <c r="F27" s="9" t="s">
        <v>57</v>
      </c>
      <c r="G27" s="10" t="n">
        <v>46002</v>
      </c>
      <c r="H27" s="10" t="n">
        <v>46009</v>
      </c>
      <c r="I27" s="9" t="s">
        <v>62</v>
      </c>
      <c r="J27" s="9" t="s">
        <v>51</v>
      </c>
      <c r="K27" s="9" t="n">
        <v>7</v>
      </c>
      <c r="L27" s="9" t="n">
        <v>2</v>
      </c>
      <c r="M27" s="9" t="n">
        <v>0</v>
      </c>
      <c r="N27" s="9" t="s">
        <v>71</v>
      </c>
      <c r="O27" s="9"/>
      <c r="P27" s="9" t="n">
        <v>5.7</v>
      </c>
      <c r="Q27" s="9" t="n">
        <v>36</v>
      </c>
      <c r="R27" s="9" t="s">
        <v>44</v>
      </c>
      <c r="S27" s="9"/>
      <c r="T27" s="9"/>
      <c r="U27" s="9" t="str">
        <f aca="false">IF(COUNTIF($A$2:$A$5001,A27)&gt;1,"Duplicate","Unique")</f>
        <v>Unique</v>
      </c>
      <c r="V27" s="9" t="str">
        <f aca="false">IF(COUNTIFS($B$2:$B$5001,B27,$H$2:$H$5001,H27,$J$2:$J$5001,J27)&gt;1,"Possible Duplicate Booking","Unique")</f>
        <v>Unique</v>
      </c>
      <c r="W27" s="9" t="str">
        <f aca="false">IF((H27-G27)&lt;&gt;K27,"Mismatch","OK")</f>
        <v>OK</v>
      </c>
      <c r="X27" s="9" t="str">
        <f aca="false">IF(TEXT(H27,"dddd")&lt;&gt;I27,"Mismatch","OK")</f>
        <v>OK</v>
      </c>
      <c r="Y27" s="9" t="str">
        <f aca="false">IF(AND(N27="No",O27&lt;&gt;""),"Unexpected: channel present but no reminder sent",IF(AND(N27="Yes",O27=""),"Missing channel for sent reminder","OK"))</f>
        <v>OK</v>
      </c>
    </row>
    <row r="28" customFormat="false" ht="15" hidden="false" customHeight="false" outlineLevel="0" collapsed="false">
      <c r="A28" s="7" t="s">
        <v>117</v>
      </c>
      <c r="B28" s="7" t="s">
        <v>118</v>
      </c>
      <c r="C28" s="7" t="s">
        <v>47</v>
      </c>
      <c r="D28" s="7" t="n">
        <v>78</v>
      </c>
      <c r="E28" s="7" t="s">
        <v>70</v>
      </c>
      <c r="F28" s="7" t="s">
        <v>49</v>
      </c>
      <c r="G28" s="8" t="n">
        <v>45862</v>
      </c>
      <c r="H28" s="8" t="n">
        <v>45877</v>
      </c>
      <c r="I28" s="7" t="s">
        <v>50</v>
      </c>
      <c r="J28" s="7" t="s">
        <v>41</v>
      </c>
      <c r="K28" s="7" t="n">
        <v>15</v>
      </c>
      <c r="L28" s="7" t="n">
        <v>4</v>
      </c>
      <c r="M28" s="7" t="n">
        <v>0</v>
      </c>
      <c r="N28" s="7" t="s">
        <v>42</v>
      </c>
      <c r="O28" s="7" t="s">
        <v>52</v>
      </c>
      <c r="P28" s="7" t="n">
        <v>13.3</v>
      </c>
      <c r="Q28" s="7" t="n">
        <v>23</v>
      </c>
      <c r="R28" s="7" t="s">
        <v>53</v>
      </c>
      <c r="S28" s="7"/>
      <c r="T28" s="7"/>
      <c r="U28" s="7" t="str">
        <f aca="false">IF(COUNTIF($A$2:$A$5001,A28)&gt;1,"Duplicate","Unique")</f>
        <v>Unique</v>
      </c>
      <c r="V28" s="7" t="str">
        <f aca="false">IF(COUNTIFS($B$2:$B$5001,B28,$H$2:$H$5001,H28,$J$2:$J$5001,J28)&gt;1,"Possible Duplicate Booking","Unique")</f>
        <v>Unique</v>
      </c>
      <c r="W28" s="7" t="str">
        <f aca="false">IF((H28-G28)&lt;&gt;K28,"Mismatch","OK")</f>
        <v>OK</v>
      </c>
      <c r="X28" s="7" t="str">
        <f aca="false">IF(TEXT(H28,"dddd")&lt;&gt;I28,"Mismatch","OK")</f>
        <v>OK</v>
      </c>
      <c r="Y28" s="7" t="str">
        <f aca="false">IF(AND(N28="No",O28&lt;&gt;""),"Unexpected: channel present but no reminder sent",IF(AND(N28="Yes",O28=""),"Missing channel for sent reminder","OK"))</f>
        <v>OK</v>
      </c>
    </row>
    <row r="29" customFormat="false" ht="15" hidden="false" customHeight="false" outlineLevel="0" collapsed="false">
      <c r="A29" s="9" t="s">
        <v>119</v>
      </c>
      <c r="B29" s="9" t="s">
        <v>120</v>
      </c>
      <c r="C29" s="9" t="s">
        <v>47</v>
      </c>
      <c r="D29" s="9" t="n">
        <v>63</v>
      </c>
      <c r="E29" s="9" t="s">
        <v>61</v>
      </c>
      <c r="F29" s="9" t="s">
        <v>49</v>
      </c>
      <c r="G29" s="10" t="n">
        <v>46102</v>
      </c>
      <c r="H29" s="10" t="n">
        <v>46107</v>
      </c>
      <c r="I29" s="9" t="s">
        <v>62</v>
      </c>
      <c r="J29" s="9" t="s">
        <v>51</v>
      </c>
      <c r="K29" s="9" t="n">
        <v>5</v>
      </c>
      <c r="L29" s="9" t="n">
        <v>5</v>
      </c>
      <c r="M29" s="9" t="n">
        <v>0</v>
      </c>
      <c r="N29" s="9" t="s">
        <v>42</v>
      </c>
      <c r="O29" s="9" t="s">
        <v>43</v>
      </c>
      <c r="P29" s="9" t="n">
        <v>5.3</v>
      </c>
      <c r="Q29" s="9" t="n">
        <v>24</v>
      </c>
      <c r="R29" s="9" t="s">
        <v>53</v>
      </c>
      <c r="S29" s="9"/>
      <c r="T29" s="9"/>
      <c r="U29" s="9" t="str">
        <f aca="false">IF(COUNTIF($A$2:$A$5001,A29)&gt;1,"Duplicate","Unique")</f>
        <v>Unique</v>
      </c>
      <c r="V29" s="9" t="str">
        <f aca="false">IF(COUNTIFS($B$2:$B$5001,B29,$H$2:$H$5001,H29,$J$2:$J$5001,J29)&gt;1,"Possible Duplicate Booking","Unique")</f>
        <v>Unique</v>
      </c>
      <c r="W29" s="9" t="str">
        <f aca="false">IF((H29-G29)&lt;&gt;K29,"Mismatch","OK")</f>
        <v>OK</v>
      </c>
      <c r="X29" s="9" t="str">
        <f aca="false">IF(TEXT(H29,"dddd")&lt;&gt;I29,"Mismatch","OK")</f>
        <v>OK</v>
      </c>
      <c r="Y29" s="9" t="str">
        <f aca="false">IF(AND(N29="No",O29&lt;&gt;""),"Unexpected: channel present but no reminder sent",IF(AND(N29="Yes",O29=""),"Missing channel for sent reminder","OK"))</f>
        <v>OK</v>
      </c>
    </row>
    <row r="30" customFormat="false" ht="15" hidden="false" customHeight="false" outlineLevel="0" collapsed="false">
      <c r="A30" s="7" t="s">
        <v>121</v>
      </c>
      <c r="B30" s="7" t="s">
        <v>122</v>
      </c>
      <c r="C30" s="7" t="s">
        <v>37</v>
      </c>
      <c r="D30" s="7" t="n">
        <v>65</v>
      </c>
      <c r="E30" s="7" t="s">
        <v>70</v>
      </c>
      <c r="F30" s="7" t="s">
        <v>57</v>
      </c>
      <c r="G30" s="8" t="n">
        <v>45913</v>
      </c>
      <c r="H30" s="8" t="n">
        <v>45955</v>
      </c>
      <c r="I30" s="7" t="s">
        <v>102</v>
      </c>
      <c r="J30" s="7" t="s">
        <v>41</v>
      </c>
      <c r="K30" s="7" t="n">
        <v>42</v>
      </c>
      <c r="L30" s="7" t="n">
        <v>0</v>
      </c>
      <c r="M30" s="7" t="n">
        <v>0</v>
      </c>
      <c r="N30" s="7" t="s">
        <v>42</v>
      </c>
      <c r="O30" s="7" t="s">
        <v>43</v>
      </c>
      <c r="P30" s="7" t="n">
        <v>4.1</v>
      </c>
      <c r="Q30" s="7" t="n">
        <v>16</v>
      </c>
      <c r="R30" s="7" t="s">
        <v>87</v>
      </c>
      <c r="S30" s="7"/>
      <c r="T30" s="7"/>
      <c r="U30" s="7" t="str">
        <f aca="false">IF(COUNTIF($A$2:$A$5001,A30)&gt;1,"Duplicate","Unique")</f>
        <v>Unique</v>
      </c>
      <c r="V30" s="7" t="str">
        <f aca="false">IF(COUNTIFS($B$2:$B$5001,B30,$H$2:$H$5001,H30,$J$2:$J$5001,J30)&gt;1,"Possible Duplicate Booking","Unique")</f>
        <v>Unique</v>
      </c>
      <c r="W30" s="7" t="str">
        <f aca="false">IF((H30-G30)&lt;&gt;K30,"Mismatch","OK")</f>
        <v>OK</v>
      </c>
      <c r="X30" s="7" t="str">
        <f aca="false">IF(TEXT(H30,"dddd")&lt;&gt;I30,"Mismatch","OK")</f>
        <v>OK</v>
      </c>
      <c r="Y30" s="7" t="str">
        <f aca="false">IF(AND(N30="No",O30&lt;&gt;""),"Unexpected: channel present but no reminder sent",IF(AND(N30="Yes",O30=""),"Missing channel for sent reminder","OK"))</f>
        <v>OK</v>
      </c>
    </row>
    <row r="31" customFormat="false" ht="15" hidden="false" customHeight="false" outlineLevel="0" collapsed="false">
      <c r="A31" s="9" t="s">
        <v>123</v>
      </c>
      <c r="B31" s="9" t="s">
        <v>124</v>
      </c>
      <c r="C31" s="9" t="s">
        <v>37</v>
      </c>
      <c r="D31" s="9" t="n">
        <v>30</v>
      </c>
      <c r="E31" s="9" t="s">
        <v>48</v>
      </c>
      <c r="F31" s="9" t="s">
        <v>57</v>
      </c>
      <c r="G31" s="10" t="n">
        <v>45886</v>
      </c>
      <c r="H31" s="10" t="n">
        <v>45900</v>
      </c>
      <c r="I31" s="9" t="s">
        <v>75</v>
      </c>
      <c r="J31" s="9" t="s">
        <v>51</v>
      </c>
      <c r="K31" s="9" t="n">
        <v>14</v>
      </c>
      <c r="L31" s="9" t="n">
        <v>2</v>
      </c>
      <c r="M31" s="9" t="n">
        <v>1</v>
      </c>
      <c r="N31" s="9" t="s">
        <v>71</v>
      </c>
      <c r="O31" s="9"/>
      <c r="P31" s="9" t="n">
        <v>5</v>
      </c>
      <c r="Q31" s="9" t="n">
        <v>12</v>
      </c>
      <c r="R31" s="9" t="s">
        <v>44</v>
      </c>
      <c r="S31" s="9"/>
      <c r="T31" s="9"/>
      <c r="U31" s="9" t="str">
        <f aca="false">IF(COUNTIF($A$2:$A$5001,A31)&gt;1,"Duplicate","Unique")</f>
        <v>Unique</v>
      </c>
      <c r="V31" s="9" t="str">
        <f aca="false">IF(COUNTIFS($B$2:$B$5001,B31,$H$2:$H$5001,H31,$J$2:$J$5001,J31)&gt;1,"Possible Duplicate Booking","Unique")</f>
        <v>Unique</v>
      </c>
      <c r="W31" s="9" t="str">
        <f aca="false">IF((H31-G31)&lt;&gt;K31,"Mismatch","OK")</f>
        <v>OK</v>
      </c>
      <c r="X31" s="9" t="str">
        <f aca="false">IF(TEXT(H31,"dddd")&lt;&gt;I31,"Mismatch","OK")</f>
        <v>OK</v>
      </c>
      <c r="Y31" s="9" t="str">
        <f aca="false">IF(AND(N31="No",O31&lt;&gt;""),"Unexpected: channel present but no reminder sent",IF(AND(N31="Yes",O31=""),"Missing channel for sent reminder","OK"))</f>
        <v>OK</v>
      </c>
    </row>
    <row r="32" customFormat="false" ht="15" hidden="false" customHeight="false" outlineLevel="0" collapsed="false">
      <c r="A32" s="7" t="s">
        <v>125</v>
      </c>
      <c r="B32" s="7" t="s">
        <v>126</v>
      </c>
      <c r="C32" s="7" t="s">
        <v>47</v>
      </c>
      <c r="D32" s="7" t="n">
        <v>22</v>
      </c>
      <c r="E32" s="7" t="s">
        <v>82</v>
      </c>
      <c r="F32" s="7" t="s">
        <v>57</v>
      </c>
      <c r="G32" s="8" t="n">
        <v>45884</v>
      </c>
      <c r="H32" s="8" t="n">
        <v>45903</v>
      </c>
      <c r="I32" s="7" t="s">
        <v>58</v>
      </c>
      <c r="J32" s="7" t="s">
        <v>51</v>
      </c>
      <c r="K32" s="7" t="n">
        <v>19</v>
      </c>
      <c r="L32" s="7" t="n">
        <v>1</v>
      </c>
      <c r="M32" s="7" t="n">
        <v>0</v>
      </c>
      <c r="N32" s="7" t="s">
        <v>42</v>
      </c>
      <c r="O32" s="7" t="s">
        <v>52</v>
      </c>
      <c r="P32" s="7" t="n">
        <v>8.9</v>
      </c>
      <c r="Q32" s="7" t="n">
        <v>33</v>
      </c>
      <c r="R32" s="7" t="s">
        <v>53</v>
      </c>
      <c r="S32" s="7"/>
      <c r="T32" s="7"/>
      <c r="U32" s="7" t="str">
        <f aca="false">IF(COUNTIF($A$2:$A$5001,A32)&gt;1,"Duplicate","Unique")</f>
        <v>Unique</v>
      </c>
      <c r="V32" s="7" t="str">
        <f aca="false">IF(COUNTIFS($B$2:$B$5001,B32,$H$2:$H$5001,H32,$J$2:$J$5001,J32)&gt;1,"Possible Duplicate Booking","Unique")</f>
        <v>Unique</v>
      </c>
      <c r="W32" s="7" t="str">
        <f aca="false">IF((H32-G32)&lt;&gt;K32,"Mismatch","OK")</f>
        <v>OK</v>
      </c>
      <c r="X32" s="7" t="str">
        <f aca="false">IF(TEXT(H32,"dddd")&lt;&gt;I32,"Mismatch","OK")</f>
        <v>OK</v>
      </c>
      <c r="Y32" s="7" t="str">
        <f aca="false">IF(AND(N32="No",O32&lt;&gt;""),"Unexpected: channel present but no reminder sent",IF(AND(N32="Yes",O32=""),"Missing channel for sent reminder","OK"))</f>
        <v>OK</v>
      </c>
    </row>
    <row r="33" customFormat="false" ht="15" hidden="false" customHeight="false" outlineLevel="0" collapsed="false">
      <c r="A33" s="9" t="s">
        <v>127</v>
      </c>
      <c r="B33" s="9" t="s">
        <v>128</v>
      </c>
      <c r="C33" s="9" t="s">
        <v>47</v>
      </c>
      <c r="D33" s="9" t="n">
        <v>36</v>
      </c>
      <c r="E33" s="9" t="s">
        <v>38</v>
      </c>
      <c r="F33" s="9" t="s">
        <v>57</v>
      </c>
      <c r="G33" s="10" t="n">
        <v>45731</v>
      </c>
      <c r="H33" s="10" t="n">
        <v>45782</v>
      </c>
      <c r="I33" s="9" t="s">
        <v>66</v>
      </c>
      <c r="J33" s="9" t="s">
        <v>41</v>
      </c>
      <c r="K33" s="9" t="n">
        <v>51</v>
      </c>
      <c r="L33" s="9" t="n">
        <v>1</v>
      </c>
      <c r="M33" s="9" t="n">
        <v>0</v>
      </c>
      <c r="N33" s="9" t="s">
        <v>42</v>
      </c>
      <c r="O33" s="9" t="s">
        <v>52</v>
      </c>
      <c r="P33" s="9" t="n">
        <v>9.3</v>
      </c>
      <c r="Q33" s="9" t="n">
        <v>10</v>
      </c>
      <c r="R33" s="9" t="s">
        <v>87</v>
      </c>
      <c r="S33" s="9"/>
      <c r="T33" s="9"/>
      <c r="U33" s="9" t="str">
        <f aca="false">IF(COUNTIF($A$2:$A$5001,A33)&gt;1,"Duplicate","Unique")</f>
        <v>Unique</v>
      </c>
      <c r="V33" s="9" t="str">
        <f aca="false">IF(COUNTIFS($B$2:$B$5001,B33,$H$2:$H$5001,H33,$J$2:$J$5001,J33)&gt;1,"Possible Duplicate Booking","Unique")</f>
        <v>Unique</v>
      </c>
      <c r="W33" s="9" t="str">
        <f aca="false">IF((H33-G33)&lt;&gt;K33,"Mismatch","OK")</f>
        <v>OK</v>
      </c>
      <c r="X33" s="9" t="str">
        <f aca="false">IF(TEXT(H33,"dddd")&lt;&gt;I33,"Mismatch","OK")</f>
        <v>OK</v>
      </c>
      <c r="Y33" s="9" t="str">
        <f aca="false">IF(AND(N33="No",O33&lt;&gt;""),"Unexpected: channel present but no reminder sent",IF(AND(N33="Yes",O33=""),"Missing channel for sent reminder","OK"))</f>
        <v>OK</v>
      </c>
    </row>
    <row r="34" customFormat="false" ht="15" hidden="false" customHeight="false" outlineLevel="0" collapsed="false">
      <c r="A34" s="7" t="s">
        <v>129</v>
      </c>
      <c r="B34" s="7" t="s">
        <v>130</v>
      </c>
      <c r="C34" s="7" t="s">
        <v>37</v>
      </c>
      <c r="D34" s="7" t="n">
        <v>71</v>
      </c>
      <c r="E34" s="7" t="s">
        <v>70</v>
      </c>
      <c r="F34" s="7" t="s">
        <v>57</v>
      </c>
      <c r="G34" s="8" t="n">
        <v>45687</v>
      </c>
      <c r="H34" s="8" t="n">
        <v>45708</v>
      </c>
      <c r="I34" s="7" t="s">
        <v>62</v>
      </c>
      <c r="J34" s="7" t="s">
        <v>51</v>
      </c>
      <c r="K34" s="7" t="n">
        <v>21</v>
      </c>
      <c r="L34" s="7" t="n">
        <v>3</v>
      </c>
      <c r="M34" s="7" t="n">
        <v>1</v>
      </c>
      <c r="N34" s="7" t="s">
        <v>42</v>
      </c>
      <c r="O34" s="7" t="s">
        <v>52</v>
      </c>
      <c r="P34" s="7" t="n">
        <v>11.5</v>
      </c>
      <c r="Q34" s="7" t="n">
        <v>17</v>
      </c>
      <c r="R34" s="7" t="s">
        <v>53</v>
      </c>
      <c r="S34" s="7"/>
      <c r="T34" s="7"/>
      <c r="U34" s="7" t="str">
        <f aca="false">IF(COUNTIF($A$2:$A$5001,A34)&gt;1,"Duplicate","Unique")</f>
        <v>Unique</v>
      </c>
      <c r="V34" s="7" t="str">
        <f aca="false">IF(COUNTIFS($B$2:$B$5001,B34,$H$2:$H$5001,H34,$J$2:$J$5001,J34)&gt;1,"Possible Duplicate Booking","Unique")</f>
        <v>Unique</v>
      </c>
      <c r="W34" s="7" t="str">
        <f aca="false">IF((H34-G34)&lt;&gt;K34,"Mismatch","OK")</f>
        <v>OK</v>
      </c>
      <c r="X34" s="7" t="str">
        <f aca="false">IF(TEXT(H34,"dddd")&lt;&gt;I34,"Mismatch","OK")</f>
        <v>OK</v>
      </c>
      <c r="Y34" s="7" t="str">
        <f aca="false">IF(AND(N34="No",O34&lt;&gt;""),"Unexpected: channel present but no reminder sent",IF(AND(N34="Yes",O34=""),"Missing channel for sent reminder","OK"))</f>
        <v>OK</v>
      </c>
    </row>
    <row r="35" customFormat="false" ht="15" hidden="false" customHeight="false" outlineLevel="0" collapsed="false">
      <c r="A35" s="9" t="s">
        <v>131</v>
      </c>
      <c r="B35" s="9" t="s">
        <v>132</v>
      </c>
      <c r="C35" s="9" t="s">
        <v>37</v>
      </c>
      <c r="D35" s="9" t="n">
        <v>49</v>
      </c>
      <c r="E35" s="9" t="s">
        <v>56</v>
      </c>
      <c r="F35" s="9" t="s">
        <v>57</v>
      </c>
      <c r="G35" s="10" t="n">
        <v>45952</v>
      </c>
      <c r="H35" s="10" t="n">
        <v>45960</v>
      </c>
      <c r="I35" s="9" t="s">
        <v>62</v>
      </c>
      <c r="J35" s="9" t="s">
        <v>41</v>
      </c>
      <c r="K35" s="9" t="n">
        <v>8</v>
      </c>
      <c r="L35" s="9" t="n">
        <v>3</v>
      </c>
      <c r="M35" s="9" t="n">
        <v>0</v>
      </c>
      <c r="N35" s="9" t="s">
        <v>42</v>
      </c>
      <c r="O35" s="9" t="s">
        <v>67</v>
      </c>
      <c r="P35" s="9" t="n">
        <v>8.2</v>
      </c>
      <c r="Q35" s="9" t="n">
        <v>17</v>
      </c>
      <c r="R35" s="9" t="s">
        <v>44</v>
      </c>
      <c r="S35" s="9"/>
      <c r="T35" s="9"/>
      <c r="U35" s="9" t="str">
        <f aca="false">IF(COUNTIF($A$2:$A$5001,A35)&gt;1,"Duplicate","Unique")</f>
        <v>Unique</v>
      </c>
      <c r="V35" s="9" t="str">
        <f aca="false">IF(COUNTIFS($B$2:$B$5001,B35,$H$2:$H$5001,H35,$J$2:$J$5001,J35)&gt;1,"Possible Duplicate Booking","Unique")</f>
        <v>Unique</v>
      </c>
      <c r="W35" s="9" t="str">
        <f aca="false">IF((H35-G35)&lt;&gt;K35,"Mismatch","OK")</f>
        <v>OK</v>
      </c>
      <c r="X35" s="9" t="str">
        <f aca="false">IF(TEXT(H35,"dddd")&lt;&gt;I35,"Mismatch","OK")</f>
        <v>OK</v>
      </c>
      <c r="Y35" s="9" t="str">
        <f aca="false">IF(AND(N35="No",O35&lt;&gt;""),"Unexpected: channel present but no reminder sent",IF(AND(N35="Yes",O35=""),"Missing channel for sent reminder","OK"))</f>
        <v>OK</v>
      </c>
    </row>
    <row r="36" customFormat="false" ht="15" hidden="false" customHeight="false" outlineLevel="0" collapsed="false">
      <c r="A36" s="7" t="s">
        <v>133</v>
      </c>
      <c r="B36" s="7" t="s">
        <v>134</v>
      </c>
      <c r="C36" s="7" t="s">
        <v>37</v>
      </c>
      <c r="D36" s="7" t="n">
        <v>67</v>
      </c>
      <c r="E36" s="7" t="s">
        <v>70</v>
      </c>
      <c r="F36" s="7" t="s">
        <v>57</v>
      </c>
      <c r="G36" s="8" t="n">
        <v>46141</v>
      </c>
      <c r="H36" s="8" t="n">
        <v>46142</v>
      </c>
      <c r="I36" s="7" t="s">
        <v>62</v>
      </c>
      <c r="J36" s="7" t="s">
        <v>51</v>
      </c>
      <c r="K36" s="7" t="n">
        <v>1</v>
      </c>
      <c r="L36" s="7" t="n">
        <v>2</v>
      </c>
      <c r="M36" s="7" t="n">
        <v>0</v>
      </c>
      <c r="N36" s="7" t="s">
        <v>42</v>
      </c>
      <c r="O36" s="7" t="s">
        <v>52</v>
      </c>
      <c r="P36" s="7" t="n">
        <v>7.5</v>
      </c>
      <c r="Q36" s="7" t="n">
        <v>29</v>
      </c>
      <c r="R36" s="7" t="s">
        <v>53</v>
      </c>
      <c r="S36" s="7"/>
      <c r="T36" s="7"/>
      <c r="U36" s="7" t="str">
        <f aca="false">IF(COUNTIF($A$2:$A$5001,A36)&gt;1,"Duplicate","Unique")</f>
        <v>Unique</v>
      </c>
      <c r="V36" s="7" t="str">
        <f aca="false">IF(COUNTIFS($B$2:$B$5001,B36,$H$2:$H$5001,H36,$J$2:$J$5001,J36)&gt;1,"Possible Duplicate Booking","Unique")</f>
        <v>Unique</v>
      </c>
      <c r="W36" s="7" t="str">
        <f aca="false">IF((H36-G36)&lt;&gt;K36,"Mismatch","OK")</f>
        <v>OK</v>
      </c>
      <c r="X36" s="7" t="str">
        <f aca="false">IF(TEXT(H36,"dddd")&lt;&gt;I36,"Mismatch","OK")</f>
        <v>OK</v>
      </c>
      <c r="Y36" s="7" t="str">
        <f aca="false">IF(AND(N36="No",O36&lt;&gt;""),"Unexpected: channel present but no reminder sent",IF(AND(N36="Yes",O36=""),"Missing channel for sent reminder","OK"))</f>
        <v>OK</v>
      </c>
    </row>
    <row r="37" customFormat="false" ht="15" hidden="false" customHeight="false" outlineLevel="0" collapsed="false">
      <c r="A37" s="9" t="s">
        <v>135</v>
      </c>
      <c r="B37" s="9" t="s">
        <v>136</v>
      </c>
      <c r="C37" s="9" t="s">
        <v>47</v>
      </c>
      <c r="D37" s="9" t="n">
        <v>48</v>
      </c>
      <c r="E37" s="9" t="s">
        <v>56</v>
      </c>
      <c r="F37" s="9" t="s">
        <v>74</v>
      </c>
      <c r="G37" s="10" t="n">
        <v>45679</v>
      </c>
      <c r="H37" s="10" t="n">
        <v>45692</v>
      </c>
      <c r="I37" s="9" t="s">
        <v>40</v>
      </c>
      <c r="J37" s="9" t="s">
        <v>63</v>
      </c>
      <c r="K37" s="9" t="n">
        <v>13</v>
      </c>
      <c r="L37" s="9" t="n">
        <v>4</v>
      </c>
      <c r="M37" s="9" t="n">
        <v>1</v>
      </c>
      <c r="N37" s="9" t="s">
        <v>42</v>
      </c>
      <c r="O37" s="9" t="s">
        <v>52</v>
      </c>
      <c r="P37" s="9" t="n">
        <v>1.5</v>
      </c>
      <c r="Q37" s="9" t="n">
        <v>22</v>
      </c>
      <c r="R37" s="9" t="s">
        <v>53</v>
      </c>
      <c r="S37" s="9"/>
      <c r="T37" s="9"/>
      <c r="U37" s="9" t="str">
        <f aca="false">IF(COUNTIF($A$2:$A$5001,A37)&gt;1,"Duplicate","Unique")</f>
        <v>Unique</v>
      </c>
      <c r="V37" s="9" t="str">
        <f aca="false">IF(COUNTIFS($B$2:$B$5001,B37,$H$2:$H$5001,H37,$J$2:$J$5001,J37)&gt;1,"Possible Duplicate Booking","Unique")</f>
        <v>Unique</v>
      </c>
      <c r="W37" s="9" t="str">
        <f aca="false">IF((H37-G37)&lt;&gt;K37,"Mismatch","OK")</f>
        <v>OK</v>
      </c>
      <c r="X37" s="9" t="str">
        <f aca="false">IF(TEXT(H37,"dddd")&lt;&gt;I37,"Mismatch","OK")</f>
        <v>OK</v>
      </c>
      <c r="Y37" s="9" t="str">
        <f aca="false">IF(AND(N37="No",O37&lt;&gt;""),"Unexpected: channel present but no reminder sent",IF(AND(N37="Yes",O37=""),"Missing channel for sent reminder","OK"))</f>
        <v>OK</v>
      </c>
    </row>
    <row r="38" customFormat="false" ht="15" hidden="false" customHeight="false" outlineLevel="0" collapsed="false">
      <c r="A38" s="7" t="s">
        <v>137</v>
      </c>
      <c r="B38" s="7" t="s">
        <v>138</v>
      </c>
      <c r="C38" s="7" t="s">
        <v>47</v>
      </c>
      <c r="D38" s="7" t="n">
        <v>48</v>
      </c>
      <c r="E38" s="7" t="s">
        <v>56</v>
      </c>
      <c r="F38" s="7" t="s">
        <v>39</v>
      </c>
      <c r="G38" s="8" t="n">
        <v>46071</v>
      </c>
      <c r="H38" s="8" t="n">
        <v>46126</v>
      </c>
      <c r="I38" s="7" t="s">
        <v>40</v>
      </c>
      <c r="J38" s="7" t="s">
        <v>51</v>
      </c>
      <c r="K38" s="7" t="n">
        <v>55</v>
      </c>
      <c r="L38" s="7" t="n">
        <v>5</v>
      </c>
      <c r="M38" s="7" t="n">
        <v>2</v>
      </c>
      <c r="N38" s="7" t="s">
        <v>42</v>
      </c>
      <c r="O38" s="7" t="s">
        <v>52</v>
      </c>
      <c r="P38" s="7" t="n">
        <v>22.6</v>
      </c>
      <c r="Q38" s="7" t="n">
        <v>18</v>
      </c>
      <c r="R38" s="7" t="s">
        <v>44</v>
      </c>
      <c r="S38" s="7"/>
      <c r="T38" s="7"/>
      <c r="U38" s="7" t="str">
        <f aca="false">IF(COUNTIF($A$2:$A$5001,A38)&gt;1,"Duplicate","Unique")</f>
        <v>Unique</v>
      </c>
      <c r="V38" s="7" t="str">
        <f aca="false">IF(COUNTIFS($B$2:$B$5001,B38,$H$2:$H$5001,H38,$J$2:$J$5001,J38)&gt;1,"Possible Duplicate Booking","Unique")</f>
        <v>Unique</v>
      </c>
      <c r="W38" s="7" t="str">
        <f aca="false">IF((H38-G38)&lt;&gt;K38,"Mismatch","OK")</f>
        <v>OK</v>
      </c>
      <c r="X38" s="7" t="str">
        <f aca="false">IF(TEXT(H38,"dddd")&lt;&gt;I38,"Mismatch","OK")</f>
        <v>OK</v>
      </c>
      <c r="Y38" s="7" t="str">
        <f aca="false">IF(AND(N38="No",O38&lt;&gt;""),"Unexpected: channel present but no reminder sent",IF(AND(N38="Yes",O38=""),"Missing channel for sent reminder","OK"))</f>
        <v>OK</v>
      </c>
    </row>
    <row r="39" customFormat="false" ht="15" hidden="false" customHeight="false" outlineLevel="0" collapsed="false">
      <c r="A39" s="9" t="s">
        <v>139</v>
      </c>
      <c r="B39" s="9" t="s">
        <v>140</v>
      </c>
      <c r="C39" s="9" t="s">
        <v>37</v>
      </c>
      <c r="D39" s="9" t="n">
        <v>55</v>
      </c>
      <c r="E39" s="9" t="s">
        <v>61</v>
      </c>
      <c r="F39" s="9" t="s">
        <v>49</v>
      </c>
      <c r="G39" s="10" t="n">
        <v>46076</v>
      </c>
      <c r="H39" s="10" t="n">
        <v>46109</v>
      </c>
      <c r="I39" s="9" t="s">
        <v>102</v>
      </c>
      <c r="J39" s="9" t="s">
        <v>41</v>
      </c>
      <c r="K39" s="9" t="n">
        <v>33</v>
      </c>
      <c r="L39" s="9" t="n">
        <v>1</v>
      </c>
      <c r="M39" s="9" t="n">
        <v>1</v>
      </c>
      <c r="N39" s="9" t="s">
        <v>42</v>
      </c>
      <c r="O39" s="9" t="s">
        <v>52</v>
      </c>
      <c r="P39" s="9" t="n">
        <v>7.1</v>
      </c>
      <c r="Q39" s="9" t="n">
        <v>39</v>
      </c>
      <c r="R39" s="9" t="s">
        <v>87</v>
      </c>
      <c r="S39" s="9"/>
      <c r="T39" s="9"/>
      <c r="U39" s="9" t="str">
        <f aca="false">IF(COUNTIF($A$2:$A$5001,A39)&gt;1,"Duplicate","Unique")</f>
        <v>Unique</v>
      </c>
      <c r="V39" s="9" t="str">
        <f aca="false">IF(COUNTIFS($B$2:$B$5001,B39,$H$2:$H$5001,H39,$J$2:$J$5001,J39)&gt;1,"Possible Duplicate Booking","Unique")</f>
        <v>Possible Duplicate Booking</v>
      </c>
      <c r="W39" s="9" t="str">
        <f aca="false">IF((H39-G39)&lt;&gt;K39,"Mismatch","OK")</f>
        <v>OK</v>
      </c>
      <c r="X39" s="9" t="str">
        <f aca="false">IF(TEXT(H39,"dddd")&lt;&gt;I39,"Mismatch","OK")</f>
        <v>OK</v>
      </c>
      <c r="Y39" s="9" t="str">
        <f aca="false">IF(AND(N39="No",O39&lt;&gt;""),"Unexpected: channel present but no reminder sent",IF(AND(N39="Yes",O39=""),"Missing channel for sent reminder","OK"))</f>
        <v>OK</v>
      </c>
    </row>
    <row r="40" customFormat="false" ht="15" hidden="false" customHeight="false" outlineLevel="0" collapsed="false">
      <c r="A40" s="7" t="s">
        <v>141</v>
      </c>
      <c r="B40" s="7" t="s">
        <v>142</v>
      </c>
      <c r="C40" s="7" t="s">
        <v>47</v>
      </c>
      <c r="D40" s="7" t="n">
        <v>78</v>
      </c>
      <c r="E40" s="7" t="s">
        <v>70</v>
      </c>
      <c r="F40" s="7" t="s">
        <v>57</v>
      </c>
      <c r="G40" s="8" t="n">
        <v>45749</v>
      </c>
      <c r="H40" s="8" t="n">
        <v>45809</v>
      </c>
      <c r="I40" s="7" t="s">
        <v>75</v>
      </c>
      <c r="J40" s="7" t="s">
        <v>41</v>
      </c>
      <c r="K40" s="7" t="n">
        <v>60</v>
      </c>
      <c r="L40" s="7" t="n">
        <v>6</v>
      </c>
      <c r="M40" s="7" t="n">
        <v>1</v>
      </c>
      <c r="N40" s="7" t="s">
        <v>42</v>
      </c>
      <c r="O40" s="7" t="s">
        <v>52</v>
      </c>
      <c r="P40" s="7"/>
      <c r="Q40" s="7" t="n">
        <v>42</v>
      </c>
      <c r="R40" s="7" t="s">
        <v>87</v>
      </c>
      <c r="S40" s="7"/>
      <c r="T40" s="7"/>
      <c r="U40" s="7" t="str">
        <f aca="false">IF(COUNTIF($A$2:$A$5001,A40)&gt;1,"Duplicate","Unique")</f>
        <v>Unique</v>
      </c>
      <c r="V40" s="7" t="str">
        <f aca="false">IF(COUNTIFS($B$2:$B$5001,B40,$H$2:$H$5001,H40,$J$2:$J$5001,J40)&gt;1,"Possible Duplicate Booking","Unique")</f>
        <v>Unique</v>
      </c>
      <c r="W40" s="7" t="str">
        <f aca="false">IF((H40-G40)&lt;&gt;K40,"Mismatch","OK")</f>
        <v>OK</v>
      </c>
      <c r="X40" s="7" t="str">
        <f aca="false">IF(TEXT(H40,"dddd")&lt;&gt;I40,"Mismatch","OK")</f>
        <v>OK</v>
      </c>
      <c r="Y40" s="7" t="str">
        <f aca="false">IF(AND(N40="No",O40&lt;&gt;""),"Unexpected: channel present but no reminder sent",IF(AND(N40="Yes",O40=""),"Missing channel for sent reminder","OK"))</f>
        <v>OK</v>
      </c>
    </row>
    <row r="41" customFormat="false" ht="15" hidden="false" customHeight="false" outlineLevel="0" collapsed="false">
      <c r="A41" s="9" t="s">
        <v>143</v>
      </c>
      <c r="B41" s="9" t="s">
        <v>144</v>
      </c>
      <c r="C41" s="9" t="s">
        <v>47</v>
      </c>
      <c r="D41" s="9" t="n">
        <v>45</v>
      </c>
      <c r="E41" s="9" t="s">
        <v>56</v>
      </c>
      <c r="F41" s="9" t="s">
        <v>57</v>
      </c>
      <c r="G41" s="10" t="n">
        <v>45989</v>
      </c>
      <c r="H41" s="10" t="n">
        <v>46002</v>
      </c>
      <c r="I41" s="9" t="s">
        <v>62</v>
      </c>
      <c r="J41" s="9" t="s">
        <v>41</v>
      </c>
      <c r="K41" s="9" t="n">
        <v>13</v>
      </c>
      <c r="L41" s="9" t="n">
        <v>5</v>
      </c>
      <c r="M41" s="9" t="n">
        <v>0</v>
      </c>
      <c r="N41" s="9" t="s">
        <v>42</v>
      </c>
      <c r="O41" s="9" t="s">
        <v>52</v>
      </c>
      <c r="P41" s="9" t="n">
        <v>25.6</v>
      </c>
      <c r="Q41" s="9" t="n">
        <v>28</v>
      </c>
      <c r="R41" s="9" t="s">
        <v>53</v>
      </c>
      <c r="S41" s="9"/>
      <c r="T41" s="9"/>
      <c r="U41" s="9" t="str">
        <f aca="false">IF(COUNTIF($A$2:$A$5001,A41)&gt;1,"Duplicate","Unique")</f>
        <v>Unique</v>
      </c>
      <c r="V41" s="9" t="str">
        <f aca="false">IF(COUNTIFS($B$2:$B$5001,B41,$H$2:$H$5001,H41,$J$2:$J$5001,J41)&gt;1,"Possible Duplicate Booking","Unique")</f>
        <v>Unique</v>
      </c>
      <c r="W41" s="9" t="str">
        <f aca="false">IF((H41-G41)&lt;&gt;K41,"Mismatch","OK")</f>
        <v>OK</v>
      </c>
      <c r="X41" s="9" t="str">
        <f aca="false">IF(TEXT(H41,"dddd")&lt;&gt;I41,"Mismatch","OK")</f>
        <v>OK</v>
      </c>
      <c r="Y41" s="9" t="str">
        <f aca="false">IF(AND(N41="No",O41&lt;&gt;""),"Unexpected: channel present but no reminder sent",IF(AND(N41="Yes",O41=""),"Missing channel for sent reminder","OK"))</f>
        <v>OK</v>
      </c>
    </row>
    <row r="42" customFormat="false" ht="15" hidden="false" customHeight="false" outlineLevel="0" collapsed="false">
      <c r="A42" s="7" t="s">
        <v>145</v>
      </c>
      <c r="B42" s="7" t="s">
        <v>146</v>
      </c>
      <c r="C42" s="7" t="s">
        <v>47</v>
      </c>
      <c r="D42" s="7" t="n">
        <v>55</v>
      </c>
      <c r="E42" s="7" t="s">
        <v>61</v>
      </c>
      <c r="F42" s="7" t="s">
        <v>74</v>
      </c>
      <c r="G42" s="8" t="n">
        <v>45727</v>
      </c>
      <c r="H42" s="8" t="n">
        <v>45748</v>
      </c>
      <c r="I42" s="7" t="s">
        <v>40</v>
      </c>
      <c r="J42" s="7" t="s">
        <v>51</v>
      </c>
      <c r="K42" s="7" t="n">
        <v>21</v>
      </c>
      <c r="L42" s="7" t="n">
        <v>1</v>
      </c>
      <c r="M42" s="7" t="n">
        <v>0</v>
      </c>
      <c r="N42" s="7" t="s">
        <v>42</v>
      </c>
      <c r="O42" s="7" t="s">
        <v>52</v>
      </c>
      <c r="P42" s="7" t="n">
        <v>15.4</v>
      </c>
      <c r="Q42" s="7" t="n">
        <v>26</v>
      </c>
      <c r="R42" s="7" t="s">
        <v>53</v>
      </c>
      <c r="S42" s="7"/>
      <c r="T42" s="7"/>
      <c r="U42" s="7" t="str">
        <f aca="false">IF(COUNTIF($A$2:$A$5001,A42)&gt;1,"Duplicate","Unique")</f>
        <v>Unique</v>
      </c>
      <c r="V42" s="7" t="str">
        <f aca="false">IF(COUNTIFS($B$2:$B$5001,B42,$H$2:$H$5001,H42,$J$2:$J$5001,J42)&gt;1,"Possible Duplicate Booking","Unique")</f>
        <v>Unique</v>
      </c>
      <c r="W42" s="7" t="str">
        <f aca="false">IF((H42-G42)&lt;&gt;K42,"Mismatch","OK")</f>
        <v>OK</v>
      </c>
      <c r="X42" s="7" t="str">
        <f aca="false">IF(TEXT(H42,"dddd")&lt;&gt;I42,"Mismatch","OK")</f>
        <v>OK</v>
      </c>
      <c r="Y42" s="7" t="str">
        <f aca="false">IF(AND(N42="No",O42&lt;&gt;""),"Unexpected: channel present but no reminder sent",IF(AND(N42="Yes",O42=""),"Missing channel for sent reminder","OK"))</f>
        <v>OK</v>
      </c>
    </row>
    <row r="43" customFormat="false" ht="15" hidden="false" customHeight="false" outlineLevel="0" collapsed="false">
      <c r="A43" s="9" t="s">
        <v>147</v>
      </c>
      <c r="B43" s="9" t="s">
        <v>148</v>
      </c>
      <c r="C43" s="9" t="s">
        <v>37</v>
      </c>
      <c r="D43" s="9" t="n">
        <v>75</v>
      </c>
      <c r="E43" s="9" t="s">
        <v>70</v>
      </c>
      <c r="F43" s="9" t="s">
        <v>57</v>
      </c>
      <c r="G43" s="10" t="n">
        <v>46062</v>
      </c>
      <c r="H43" s="10" t="n">
        <v>46071</v>
      </c>
      <c r="I43" s="9" t="s">
        <v>58</v>
      </c>
      <c r="J43" s="9" t="s">
        <v>41</v>
      </c>
      <c r="K43" s="9" t="n">
        <v>9</v>
      </c>
      <c r="L43" s="9" t="n">
        <v>5</v>
      </c>
      <c r="M43" s="9" t="n">
        <v>0</v>
      </c>
      <c r="N43" s="9" t="s">
        <v>71</v>
      </c>
      <c r="O43" s="9"/>
      <c r="P43" s="9" t="n">
        <v>1.4</v>
      </c>
      <c r="Q43" s="9" t="n">
        <v>18</v>
      </c>
      <c r="R43" s="9" t="s">
        <v>53</v>
      </c>
      <c r="S43" s="9"/>
      <c r="T43" s="9"/>
      <c r="U43" s="9" t="str">
        <f aca="false">IF(COUNTIF($A$2:$A$5001,A43)&gt;1,"Duplicate","Unique")</f>
        <v>Unique</v>
      </c>
      <c r="V43" s="9" t="str">
        <f aca="false">IF(COUNTIFS($B$2:$B$5001,B43,$H$2:$H$5001,H43,$J$2:$J$5001,J43)&gt;1,"Possible Duplicate Booking","Unique")</f>
        <v>Unique</v>
      </c>
      <c r="W43" s="9" t="str">
        <f aca="false">IF((H43-G43)&lt;&gt;K43,"Mismatch","OK")</f>
        <v>OK</v>
      </c>
      <c r="X43" s="9" t="str">
        <f aca="false">IF(TEXT(H43,"dddd")&lt;&gt;I43,"Mismatch","OK")</f>
        <v>OK</v>
      </c>
      <c r="Y43" s="9" t="str">
        <f aca="false">IF(AND(N43="No",O43&lt;&gt;""),"Unexpected: channel present but no reminder sent",IF(AND(N43="Yes",O43=""),"Missing channel for sent reminder","OK"))</f>
        <v>OK</v>
      </c>
    </row>
    <row r="44" customFormat="false" ht="15" hidden="false" customHeight="false" outlineLevel="0" collapsed="false">
      <c r="A44" s="7" t="s">
        <v>149</v>
      </c>
      <c r="B44" s="7" t="s">
        <v>150</v>
      </c>
      <c r="C44" s="7" t="s">
        <v>37</v>
      </c>
      <c r="D44" s="7" t="n">
        <v>41</v>
      </c>
      <c r="E44" s="7" t="s">
        <v>38</v>
      </c>
      <c r="F44" s="7" t="s">
        <v>39</v>
      </c>
      <c r="G44" s="8" t="n">
        <v>46016</v>
      </c>
      <c r="H44" s="8" t="n">
        <v>46040</v>
      </c>
      <c r="I44" s="7" t="s">
        <v>75</v>
      </c>
      <c r="J44" s="7" t="s">
        <v>51</v>
      </c>
      <c r="K44" s="7" t="n">
        <v>24</v>
      </c>
      <c r="L44" s="7" t="n">
        <v>2</v>
      </c>
      <c r="M44" s="7" t="n">
        <v>1</v>
      </c>
      <c r="N44" s="7" t="s">
        <v>71</v>
      </c>
      <c r="O44" s="7"/>
      <c r="P44" s="7" t="n">
        <v>3.6</v>
      </c>
      <c r="Q44" s="7" t="n">
        <v>24</v>
      </c>
      <c r="R44" s="7" t="s">
        <v>53</v>
      </c>
      <c r="S44" s="7"/>
      <c r="T44" s="7"/>
      <c r="U44" s="7" t="str">
        <f aca="false">IF(COUNTIF($A$2:$A$5001,A44)&gt;1,"Duplicate","Unique")</f>
        <v>Unique</v>
      </c>
      <c r="V44" s="7" t="str">
        <f aca="false">IF(COUNTIFS($B$2:$B$5001,B44,$H$2:$H$5001,H44,$J$2:$J$5001,J44)&gt;1,"Possible Duplicate Booking","Unique")</f>
        <v>Unique</v>
      </c>
      <c r="W44" s="7" t="str">
        <f aca="false">IF((H44-G44)&lt;&gt;K44,"Mismatch","OK")</f>
        <v>OK</v>
      </c>
      <c r="X44" s="7" t="str">
        <f aca="false">IF(TEXT(H44,"dddd")&lt;&gt;I44,"Mismatch","OK")</f>
        <v>OK</v>
      </c>
      <c r="Y44" s="7" t="str">
        <f aca="false">IF(AND(N44="No",O44&lt;&gt;""),"Unexpected: channel present but no reminder sent",IF(AND(N44="Yes",O44=""),"Missing channel for sent reminder","OK"))</f>
        <v>OK</v>
      </c>
    </row>
    <row r="45" customFormat="false" ht="15" hidden="false" customHeight="false" outlineLevel="0" collapsed="false">
      <c r="A45" s="9" t="s">
        <v>151</v>
      </c>
      <c r="B45" s="9" t="s">
        <v>152</v>
      </c>
      <c r="C45" s="9" t="s">
        <v>37</v>
      </c>
      <c r="D45" s="9" t="n">
        <v>70</v>
      </c>
      <c r="E45" s="9" t="s">
        <v>70</v>
      </c>
      <c r="F45" s="9" t="s">
        <v>74</v>
      </c>
      <c r="G45" s="10" t="n">
        <v>45817</v>
      </c>
      <c r="H45" s="10" t="n">
        <v>45851</v>
      </c>
      <c r="I45" s="9" t="s">
        <v>75</v>
      </c>
      <c r="J45" s="9" t="s">
        <v>41</v>
      </c>
      <c r="K45" s="9" t="n">
        <v>34</v>
      </c>
      <c r="L45" s="9" t="n">
        <v>2</v>
      </c>
      <c r="M45" s="9" t="n">
        <v>0</v>
      </c>
      <c r="N45" s="9" t="s">
        <v>42</v>
      </c>
      <c r="O45" s="9" t="s">
        <v>52</v>
      </c>
      <c r="P45" s="9" t="n">
        <v>2.6</v>
      </c>
      <c r="Q45" s="9" t="n">
        <v>11</v>
      </c>
      <c r="R45" s="9" t="s">
        <v>44</v>
      </c>
      <c r="S45" s="9"/>
      <c r="T45" s="9"/>
      <c r="U45" s="9" t="str">
        <f aca="false">IF(COUNTIF($A$2:$A$5001,A45)&gt;1,"Duplicate","Unique")</f>
        <v>Unique</v>
      </c>
      <c r="V45" s="9" t="str">
        <f aca="false">IF(COUNTIFS($B$2:$B$5001,B45,$H$2:$H$5001,H45,$J$2:$J$5001,J45)&gt;1,"Possible Duplicate Booking","Unique")</f>
        <v>Unique</v>
      </c>
      <c r="W45" s="9" t="str">
        <f aca="false">IF((H45-G45)&lt;&gt;K45,"Mismatch","OK")</f>
        <v>OK</v>
      </c>
      <c r="X45" s="9" t="str">
        <f aca="false">IF(TEXT(H45,"dddd")&lt;&gt;I45,"Mismatch","OK")</f>
        <v>OK</v>
      </c>
      <c r="Y45" s="9" t="str">
        <f aca="false">IF(AND(N45="No",O45&lt;&gt;""),"Unexpected: channel present but no reminder sent",IF(AND(N45="Yes",O45=""),"Missing channel for sent reminder","OK"))</f>
        <v>OK</v>
      </c>
    </row>
    <row r="46" customFormat="false" ht="15" hidden="false" customHeight="false" outlineLevel="0" collapsed="false">
      <c r="A46" s="7" t="s">
        <v>153</v>
      </c>
      <c r="B46" s="7" t="s">
        <v>154</v>
      </c>
      <c r="C46" s="7" t="s">
        <v>47</v>
      </c>
      <c r="D46" s="7" t="n">
        <v>51</v>
      </c>
      <c r="E46" s="7" t="s">
        <v>56</v>
      </c>
      <c r="F46" s="7" t="s">
        <v>39</v>
      </c>
      <c r="G46" s="8" t="n">
        <v>45646</v>
      </c>
      <c r="H46" s="8" t="n">
        <v>45695</v>
      </c>
      <c r="I46" s="7" t="s">
        <v>50</v>
      </c>
      <c r="J46" s="7" t="s">
        <v>51</v>
      </c>
      <c r="K46" s="7" t="n">
        <v>49</v>
      </c>
      <c r="L46" s="7" t="n">
        <v>4</v>
      </c>
      <c r="M46" s="7" t="n">
        <v>0</v>
      </c>
      <c r="N46" s="7" t="s">
        <v>42</v>
      </c>
      <c r="O46" s="7" t="s">
        <v>43</v>
      </c>
      <c r="P46" s="7" t="n">
        <v>12.8</v>
      </c>
      <c r="Q46" s="7" t="n">
        <v>35</v>
      </c>
      <c r="R46" s="7" t="s">
        <v>53</v>
      </c>
      <c r="S46" s="7"/>
      <c r="T46" s="7"/>
      <c r="U46" s="7" t="str">
        <f aca="false">IF(COUNTIF($A$2:$A$5001,A46)&gt;1,"Duplicate","Unique")</f>
        <v>Unique</v>
      </c>
      <c r="V46" s="7" t="str">
        <f aca="false">IF(COUNTIFS($B$2:$B$5001,B46,$H$2:$H$5001,H46,$J$2:$J$5001,J46)&gt;1,"Possible Duplicate Booking","Unique")</f>
        <v>Unique</v>
      </c>
      <c r="W46" s="7" t="str">
        <f aca="false">IF((H46-G46)&lt;&gt;K46,"Mismatch","OK")</f>
        <v>OK</v>
      </c>
      <c r="X46" s="7" t="str">
        <f aca="false">IF(TEXT(H46,"dddd")&lt;&gt;I46,"Mismatch","OK")</f>
        <v>OK</v>
      </c>
      <c r="Y46" s="7" t="str">
        <f aca="false">IF(AND(N46="No",O46&lt;&gt;""),"Unexpected: channel present but no reminder sent",IF(AND(N46="Yes",O46=""),"Missing channel for sent reminder","OK"))</f>
        <v>OK</v>
      </c>
    </row>
    <row r="47" customFormat="false" ht="15" hidden="false" customHeight="false" outlineLevel="0" collapsed="false">
      <c r="A47" s="9" t="s">
        <v>155</v>
      </c>
      <c r="B47" s="9" t="s">
        <v>156</v>
      </c>
      <c r="C47" s="9" t="s">
        <v>37</v>
      </c>
      <c r="D47" s="9" t="n">
        <v>73</v>
      </c>
      <c r="E47" s="9" t="s">
        <v>70</v>
      </c>
      <c r="F47" s="9" t="s">
        <v>57</v>
      </c>
      <c r="G47" s="10" t="n">
        <v>46166</v>
      </c>
      <c r="H47" s="10" t="n">
        <v>46188</v>
      </c>
      <c r="I47" s="9" t="s">
        <v>66</v>
      </c>
      <c r="J47" s="9" t="s">
        <v>41</v>
      </c>
      <c r="K47" s="9" t="n">
        <v>22</v>
      </c>
      <c r="L47" s="9" t="n">
        <v>2</v>
      </c>
      <c r="M47" s="9" t="n">
        <v>0</v>
      </c>
      <c r="N47" s="9" t="s">
        <v>42</v>
      </c>
      <c r="O47" s="9" t="s">
        <v>43</v>
      </c>
      <c r="P47" s="9" t="n">
        <v>6</v>
      </c>
      <c r="Q47" s="9" t="n">
        <v>23</v>
      </c>
      <c r="R47" s="9" t="s">
        <v>53</v>
      </c>
      <c r="S47" s="9"/>
      <c r="T47" s="9"/>
      <c r="U47" s="9" t="str">
        <f aca="false">IF(COUNTIF($A$2:$A$5001,A47)&gt;1,"Duplicate","Unique")</f>
        <v>Unique</v>
      </c>
      <c r="V47" s="9" t="str">
        <f aca="false">IF(COUNTIFS($B$2:$B$5001,B47,$H$2:$H$5001,H47,$J$2:$J$5001,J47)&gt;1,"Possible Duplicate Booking","Unique")</f>
        <v>Unique</v>
      </c>
      <c r="W47" s="9" t="str">
        <f aca="false">IF((H47-G47)&lt;&gt;K47,"Mismatch","OK")</f>
        <v>OK</v>
      </c>
      <c r="X47" s="9" t="str">
        <f aca="false">IF(TEXT(H47,"dddd")&lt;&gt;I47,"Mismatch","OK")</f>
        <v>OK</v>
      </c>
      <c r="Y47" s="9" t="str">
        <f aca="false">IF(AND(N47="No",O47&lt;&gt;""),"Unexpected: channel present but no reminder sent",IF(AND(N47="Yes",O47=""),"Missing channel for sent reminder","OK"))</f>
        <v>OK</v>
      </c>
    </row>
    <row r="48" customFormat="false" ht="15" hidden="false" customHeight="false" outlineLevel="0" collapsed="false">
      <c r="A48" s="7" t="s">
        <v>157</v>
      </c>
      <c r="B48" s="7" t="s">
        <v>158</v>
      </c>
      <c r="C48" s="7" t="s">
        <v>37</v>
      </c>
      <c r="D48" s="7" t="n">
        <v>47</v>
      </c>
      <c r="E48" s="7" t="s">
        <v>56</v>
      </c>
      <c r="F48" s="7" t="s">
        <v>39</v>
      </c>
      <c r="G48" s="8" t="n">
        <v>45854</v>
      </c>
      <c r="H48" s="8" t="n">
        <v>45901</v>
      </c>
      <c r="I48" s="7" t="s">
        <v>66</v>
      </c>
      <c r="J48" s="7" t="s">
        <v>41</v>
      </c>
      <c r="K48" s="7" t="n">
        <v>47</v>
      </c>
      <c r="L48" s="7" t="n">
        <v>4</v>
      </c>
      <c r="M48" s="7" t="n">
        <v>2</v>
      </c>
      <c r="N48" s="7" t="s">
        <v>71</v>
      </c>
      <c r="O48" s="7"/>
      <c r="P48" s="7" t="n">
        <v>2.4</v>
      </c>
      <c r="Q48" s="7" t="n">
        <v>16</v>
      </c>
      <c r="R48" s="7" t="s">
        <v>53</v>
      </c>
      <c r="S48" s="7"/>
      <c r="T48" s="7"/>
      <c r="U48" s="7" t="str">
        <f aca="false">IF(COUNTIF($A$2:$A$5001,A48)&gt;1,"Duplicate","Unique")</f>
        <v>Unique</v>
      </c>
      <c r="V48" s="7" t="str">
        <f aca="false">IF(COUNTIFS($B$2:$B$5001,B48,$H$2:$H$5001,H48,$J$2:$J$5001,J48)&gt;1,"Possible Duplicate Booking","Unique")</f>
        <v>Unique</v>
      </c>
      <c r="W48" s="7" t="str">
        <f aca="false">IF((H48-G48)&lt;&gt;K48,"Mismatch","OK")</f>
        <v>OK</v>
      </c>
      <c r="X48" s="7" t="str">
        <f aca="false">IF(TEXT(H48,"dddd")&lt;&gt;I48,"Mismatch","OK")</f>
        <v>OK</v>
      </c>
      <c r="Y48" s="7" t="str">
        <f aca="false">IF(AND(N48="No",O48&lt;&gt;""),"Unexpected: channel present but no reminder sent",IF(AND(N48="Yes",O48=""),"Missing channel for sent reminder","OK"))</f>
        <v>OK</v>
      </c>
    </row>
    <row r="49" customFormat="false" ht="15" hidden="false" customHeight="false" outlineLevel="0" collapsed="false">
      <c r="A49" s="9" t="s">
        <v>159</v>
      </c>
      <c r="B49" s="9" t="s">
        <v>160</v>
      </c>
      <c r="C49" s="9" t="s">
        <v>47</v>
      </c>
      <c r="D49" s="9" t="n">
        <v>57</v>
      </c>
      <c r="E49" s="9" t="s">
        <v>61</v>
      </c>
      <c r="F49" s="9" t="s">
        <v>57</v>
      </c>
      <c r="G49" s="10" t="n">
        <v>46107</v>
      </c>
      <c r="H49" s="10" t="n">
        <v>46145</v>
      </c>
      <c r="I49" s="9" t="s">
        <v>75</v>
      </c>
      <c r="J49" s="9" t="s">
        <v>51</v>
      </c>
      <c r="K49" s="9" t="n">
        <v>38</v>
      </c>
      <c r="L49" s="9" t="n">
        <v>3</v>
      </c>
      <c r="M49" s="9" t="n">
        <v>0</v>
      </c>
      <c r="N49" s="9" t="s">
        <v>42</v>
      </c>
      <c r="O49" s="9" t="s">
        <v>43</v>
      </c>
      <c r="P49" s="9" t="n">
        <v>2.6</v>
      </c>
      <c r="Q49" s="9" t="n">
        <v>20</v>
      </c>
      <c r="R49" s="9" t="s">
        <v>53</v>
      </c>
      <c r="S49" s="9"/>
      <c r="T49" s="9"/>
      <c r="U49" s="9" t="str">
        <f aca="false">IF(COUNTIF($A$2:$A$5001,A49)&gt;1,"Duplicate","Unique")</f>
        <v>Unique</v>
      </c>
      <c r="V49" s="9" t="str">
        <f aca="false">IF(COUNTIFS($B$2:$B$5001,B49,$H$2:$H$5001,H49,$J$2:$J$5001,J49)&gt;1,"Possible Duplicate Booking","Unique")</f>
        <v>Unique</v>
      </c>
      <c r="W49" s="9" t="str">
        <f aca="false">IF((H49-G49)&lt;&gt;K49,"Mismatch","OK")</f>
        <v>OK</v>
      </c>
      <c r="X49" s="9" t="str">
        <f aca="false">IF(TEXT(H49,"dddd")&lt;&gt;I49,"Mismatch","OK")</f>
        <v>OK</v>
      </c>
      <c r="Y49" s="9" t="str">
        <f aca="false">IF(AND(N49="No",O49&lt;&gt;""),"Unexpected: channel present but no reminder sent",IF(AND(N49="Yes",O49=""),"Missing channel for sent reminder","OK"))</f>
        <v>OK</v>
      </c>
    </row>
    <row r="50" customFormat="false" ht="15" hidden="false" customHeight="false" outlineLevel="0" collapsed="false">
      <c r="A50" s="7" t="s">
        <v>161</v>
      </c>
      <c r="B50" s="7" t="s">
        <v>162</v>
      </c>
      <c r="C50" s="7" t="s">
        <v>47</v>
      </c>
      <c r="D50" s="7" t="n">
        <v>38</v>
      </c>
      <c r="E50" s="7" t="s">
        <v>38</v>
      </c>
      <c r="F50" s="7" t="s">
        <v>57</v>
      </c>
      <c r="G50" s="8" t="n">
        <v>46011</v>
      </c>
      <c r="H50" s="8" t="n">
        <v>46028</v>
      </c>
      <c r="I50" s="7" t="s">
        <v>40</v>
      </c>
      <c r="J50" s="7" t="s">
        <v>51</v>
      </c>
      <c r="K50" s="7" t="n">
        <v>17</v>
      </c>
      <c r="L50" s="7" t="n">
        <v>3</v>
      </c>
      <c r="M50" s="7" t="n">
        <v>0</v>
      </c>
      <c r="N50" s="7" t="s">
        <v>42</v>
      </c>
      <c r="O50" s="7" t="s">
        <v>52</v>
      </c>
      <c r="P50" s="7" t="n">
        <v>4.8</v>
      </c>
      <c r="Q50" s="7" t="n">
        <v>32</v>
      </c>
      <c r="R50" s="7" t="s">
        <v>53</v>
      </c>
      <c r="S50" s="7"/>
      <c r="T50" s="7"/>
      <c r="U50" s="7" t="str">
        <f aca="false">IF(COUNTIF($A$2:$A$5001,A50)&gt;1,"Duplicate","Unique")</f>
        <v>Unique</v>
      </c>
      <c r="V50" s="7" t="str">
        <f aca="false">IF(COUNTIFS($B$2:$B$5001,B50,$H$2:$H$5001,H50,$J$2:$J$5001,J50)&gt;1,"Possible Duplicate Booking","Unique")</f>
        <v>Unique</v>
      </c>
      <c r="W50" s="7" t="str">
        <f aca="false">IF((H50-G50)&lt;&gt;K50,"Mismatch","OK")</f>
        <v>OK</v>
      </c>
      <c r="X50" s="7" t="str">
        <f aca="false">IF(TEXT(H50,"dddd")&lt;&gt;I50,"Mismatch","OK")</f>
        <v>OK</v>
      </c>
      <c r="Y50" s="7" t="str">
        <f aca="false">IF(AND(N50="No",O50&lt;&gt;""),"Unexpected: channel present but no reminder sent",IF(AND(N50="Yes",O50=""),"Missing channel for sent reminder","OK"))</f>
        <v>OK</v>
      </c>
    </row>
    <row r="51" customFormat="false" ht="15" hidden="false" customHeight="false" outlineLevel="0" collapsed="false">
      <c r="A51" s="9" t="s">
        <v>163</v>
      </c>
      <c r="B51" s="9" t="s">
        <v>164</v>
      </c>
      <c r="C51" s="9" t="s">
        <v>37</v>
      </c>
      <c r="D51" s="9" t="n">
        <v>58</v>
      </c>
      <c r="E51" s="9" t="s">
        <v>61</v>
      </c>
      <c r="F51" s="9" t="s">
        <v>57</v>
      </c>
      <c r="G51" s="10" t="n">
        <v>46027</v>
      </c>
      <c r="H51" s="10" t="n">
        <v>46082</v>
      </c>
      <c r="I51" s="9" t="s">
        <v>75</v>
      </c>
      <c r="J51" s="9" t="s">
        <v>51</v>
      </c>
      <c r="K51" s="9" t="n">
        <v>55</v>
      </c>
      <c r="L51" s="9" t="n">
        <v>3</v>
      </c>
      <c r="M51" s="9" t="n">
        <v>0</v>
      </c>
      <c r="N51" s="9" t="s">
        <v>42</v>
      </c>
      <c r="O51" s="9" t="s">
        <v>67</v>
      </c>
      <c r="P51" s="9" t="n">
        <v>2.6</v>
      </c>
      <c r="Q51" s="9" t="n">
        <v>21</v>
      </c>
      <c r="R51" s="9" t="s">
        <v>44</v>
      </c>
      <c r="S51" s="9"/>
      <c r="T51" s="9"/>
      <c r="U51" s="9" t="str">
        <f aca="false">IF(COUNTIF($A$2:$A$5001,A51)&gt;1,"Duplicate","Unique")</f>
        <v>Unique</v>
      </c>
      <c r="V51" s="9" t="str">
        <f aca="false">IF(COUNTIFS($B$2:$B$5001,B51,$H$2:$H$5001,H51,$J$2:$J$5001,J51)&gt;1,"Possible Duplicate Booking","Unique")</f>
        <v>Unique</v>
      </c>
      <c r="W51" s="9" t="str">
        <f aca="false">IF((H51-G51)&lt;&gt;K51,"Mismatch","OK")</f>
        <v>OK</v>
      </c>
      <c r="X51" s="9" t="str">
        <f aca="false">IF(TEXT(H51,"dddd")&lt;&gt;I51,"Mismatch","OK")</f>
        <v>OK</v>
      </c>
      <c r="Y51" s="9" t="str">
        <f aca="false">IF(AND(N51="No",O51&lt;&gt;""),"Unexpected: channel present but no reminder sent",IF(AND(N51="Yes",O51=""),"Missing channel for sent reminder","OK"))</f>
        <v>OK</v>
      </c>
    </row>
    <row r="52" customFormat="false" ht="15" hidden="false" customHeight="false" outlineLevel="0" collapsed="false">
      <c r="A52" s="7" t="s">
        <v>165</v>
      </c>
      <c r="B52" s="7" t="s">
        <v>166</v>
      </c>
      <c r="C52" s="7" t="s">
        <v>37</v>
      </c>
      <c r="D52" s="7" t="n">
        <v>38</v>
      </c>
      <c r="E52" s="7" t="s">
        <v>38</v>
      </c>
      <c r="F52" s="7" t="s">
        <v>74</v>
      </c>
      <c r="G52" s="8" t="n">
        <v>46046</v>
      </c>
      <c r="H52" s="8" t="n">
        <v>46072</v>
      </c>
      <c r="I52" s="7" t="s">
        <v>62</v>
      </c>
      <c r="J52" s="7" t="s">
        <v>41</v>
      </c>
      <c r="K52" s="7" t="n">
        <v>26</v>
      </c>
      <c r="L52" s="7" t="n">
        <v>4</v>
      </c>
      <c r="M52" s="7" t="n">
        <v>0</v>
      </c>
      <c r="N52" s="7" t="s">
        <v>71</v>
      </c>
      <c r="O52" s="7"/>
      <c r="P52" s="7" t="n">
        <v>8.3</v>
      </c>
      <c r="Q52" s="7" t="n">
        <v>15</v>
      </c>
      <c r="R52" s="7" t="s">
        <v>44</v>
      </c>
      <c r="S52" s="7"/>
      <c r="T52" s="7"/>
      <c r="U52" s="7" t="str">
        <f aca="false">IF(COUNTIF($A$2:$A$5001,A52)&gt;1,"Duplicate","Unique")</f>
        <v>Unique</v>
      </c>
      <c r="V52" s="7" t="str">
        <f aca="false">IF(COUNTIFS($B$2:$B$5001,B52,$H$2:$H$5001,H52,$J$2:$J$5001,J52)&gt;1,"Possible Duplicate Booking","Unique")</f>
        <v>Unique</v>
      </c>
      <c r="W52" s="7" t="str">
        <f aca="false">IF((H52-G52)&lt;&gt;K52,"Mismatch","OK")</f>
        <v>OK</v>
      </c>
      <c r="X52" s="7" t="str">
        <f aca="false">IF(TEXT(H52,"dddd")&lt;&gt;I52,"Mismatch","OK")</f>
        <v>OK</v>
      </c>
      <c r="Y52" s="7" t="str">
        <f aca="false">IF(AND(N52="No",O52&lt;&gt;""),"Unexpected: channel present but no reminder sent",IF(AND(N52="Yes",O52=""),"Missing channel for sent reminder","OK"))</f>
        <v>OK</v>
      </c>
    </row>
    <row r="53" customFormat="false" ht="15" hidden="false" customHeight="false" outlineLevel="0" collapsed="false">
      <c r="A53" s="9" t="s">
        <v>167</v>
      </c>
      <c r="B53" s="9" t="s">
        <v>168</v>
      </c>
      <c r="C53" s="9" t="s">
        <v>37</v>
      </c>
      <c r="D53" s="9" t="n">
        <v>56</v>
      </c>
      <c r="E53" s="9" t="s">
        <v>61</v>
      </c>
      <c r="F53" s="9" t="s">
        <v>39</v>
      </c>
      <c r="G53" s="10" t="n">
        <v>45755</v>
      </c>
      <c r="H53" s="10" t="n">
        <v>45764</v>
      </c>
      <c r="I53" s="9" t="s">
        <v>62</v>
      </c>
      <c r="J53" s="9" t="s">
        <v>51</v>
      </c>
      <c r="K53" s="9" t="n">
        <v>9</v>
      </c>
      <c r="L53" s="9" t="n">
        <v>1</v>
      </c>
      <c r="M53" s="9" t="n">
        <v>0</v>
      </c>
      <c r="N53" s="9" t="s">
        <v>42</v>
      </c>
      <c r="O53" s="9" t="s">
        <v>52</v>
      </c>
      <c r="P53" s="9" t="n">
        <v>8.8</v>
      </c>
      <c r="Q53" s="9" t="n">
        <v>2</v>
      </c>
      <c r="R53" s="9" t="s">
        <v>53</v>
      </c>
      <c r="S53" s="9"/>
      <c r="T53" s="9"/>
      <c r="U53" s="9" t="str">
        <f aca="false">IF(COUNTIF($A$2:$A$5001,A53)&gt;1,"Duplicate","Unique")</f>
        <v>Unique</v>
      </c>
      <c r="V53" s="9" t="str">
        <f aca="false">IF(COUNTIFS($B$2:$B$5001,B53,$H$2:$H$5001,H53,$J$2:$J$5001,J53)&gt;1,"Possible Duplicate Booking","Unique")</f>
        <v>Unique</v>
      </c>
      <c r="W53" s="9" t="str">
        <f aca="false">IF((H53-G53)&lt;&gt;K53,"Mismatch","OK")</f>
        <v>OK</v>
      </c>
      <c r="X53" s="9" t="str">
        <f aca="false">IF(TEXT(H53,"dddd")&lt;&gt;I53,"Mismatch","OK")</f>
        <v>OK</v>
      </c>
      <c r="Y53" s="9" t="str">
        <f aca="false">IF(AND(N53="No",O53&lt;&gt;""),"Unexpected: channel present but no reminder sent",IF(AND(N53="Yes",O53=""),"Missing channel for sent reminder","OK"))</f>
        <v>OK</v>
      </c>
    </row>
    <row r="54" customFormat="false" ht="15" hidden="false" customHeight="false" outlineLevel="0" collapsed="false">
      <c r="A54" s="7" t="s">
        <v>169</v>
      </c>
      <c r="B54" s="7" t="s">
        <v>170</v>
      </c>
      <c r="C54" s="7" t="s">
        <v>37</v>
      </c>
      <c r="D54" s="7" t="n">
        <v>67</v>
      </c>
      <c r="E54" s="7" t="s">
        <v>70</v>
      </c>
      <c r="F54" s="7" t="s">
        <v>57</v>
      </c>
      <c r="G54" s="8" t="n">
        <v>45798</v>
      </c>
      <c r="H54" s="8" t="n">
        <v>45856</v>
      </c>
      <c r="I54" s="7" t="s">
        <v>50</v>
      </c>
      <c r="J54" s="7" t="s">
        <v>41</v>
      </c>
      <c r="K54" s="7" t="n">
        <v>58</v>
      </c>
      <c r="L54" s="7" t="n">
        <v>3</v>
      </c>
      <c r="M54" s="7" t="n">
        <v>2</v>
      </c>
      <c r="N54" s="7" t="s">
        <v>42</v>
      </c>
      <c r="O54" s="7" t="s">
        <v>52</v>
      </c>
      <c r="P54" s="7" t="n">
        <v>7.5</v>
      </c>
      <c r="Q54" s="7" t="n">
        <v>23</v>
      </c>
      <c r="R54" s="7" t="s">
        <v>44</v>
      </c>
      <c r="S54" s="7"/>
      <c r="T54" s="7"/>
      <c r="U54" s="7" t="str">
        <f aca="false">IF(COUNTIF($A$2:$A$5001,A54)&gt;1,"Duplicate","Unique")</f>
        <v>Unique</v>
      </c>
      <c r="V54" s="7" t="str">
        <f aca="false">IF(COUNTIFS($B$2:$B$5001,B54,$H$2:$H$5001,H54,$J$2:$J$5001,J54)&gt;1,"Possible Duplicate Booking","Unique")</f>
        <v>Unique</v>
      </c>
      <c r="W54" s="7" t="str">
        <f aca="false">IF((H54-G54)&lt;&gt;K54,"Mismatch","OK")</f>
        <v>OK</v>
      </c>
      <c r="X54" s="7" t="str">
        <f aca="false">IF(TEXT(H54,"dddd")&lt;&gt;I54,"Mismatch","OK")</f>
        <v>OK</v>
      </c>
      <c r="Y54" s="7" t="str">
        <f aca="false">IF(AND(N54="No",O54&lt;&gt;""),"Unexpected: channel present but no reminder sent",IF(AND(N54="Yes",O54=""),"Missing channel for sent reminder","OK"))</f>
        <v>OK</v>
      </c>
    </row>
    <row r="55" customFormat="false" ht="15" hidden="false" customHeight="false" outlineLevel="0" collapsed="false">
      <c r="A55" s="9" t="s">
        <v>171</v>
      </c>
      <c r="B55" s="9" t="s">
        <v>172</v>
      </c>
      <c r="C55" s="9" t="s">
        <v>37</v>
      </c>
      <c r="D55" s="9" t="n">
        <v>45</v>
      </c>
      <c r="E55" s="9" t="s">
        <v>56</v>
      </c>
      <c r="F55" s="9" t="s">
        <v>57</v>
      </c>
      <c r="G55" s="10" t="n">
        <v>45857</v>
      </c>
      <c r="H55" s="10" t="n">
        <v>45912</v>
      </c>
      <c r="I55" s="9" t="s">
        <v>50</v>
      </c>
      <c r="J55" s="9" t="s">
        <v>41</v>
      </c>
      <c r="K55" s="9" t="n">
        <v>55</v>
      </c>
      <c r="L55" s="9" t="n">
        <v>4</v>
      </c>
      <c r="M55" s="9" t="n">
        <v>1</v>
      </c>
      <c r="N55" s="9" t="s">
        <v>42</v>
      </c>
      <c r="O55" s="9" t="s">
        <v>67</v>
      </c>
      <c r="P55" s="9" t="n">
        <v>2.5</v>
      </c>
      <c r="Q55" s="9" t="n">
        <v>28</v>
      </c>
      <c r="R55" s="9" t="s">
        <v>53</v>
      </c>
      <c r="S55" s="9"/>
      <c r="T55" s="9"/>
      <c r="U55" s="9" t="str">
        <f aca="false">IF(COUNTIF($A$2:$A$5001,A55)&gt;1,"Duplicate","Unique")</f>
        <v>Unique</v>
      </c>
      <c r="V55" s="9" t="str">
        <f aca="false">IF(COUNTIFS($B$2:$B$5001,B55,$H$2:$H$5001,H55,$J$2:$J$5001,J55)&gt;1,"Possible Duplicate Booking","Unique")</f>
        <v>Unique</v>
      </c>
      <c r="W55" s="9" t="str">
        <f aca="false">IF((H55-G55)&lt;&gt;K55,"Mismatch","OK")</f>
        <v>OK</v>
      </c>
      <c r="X55" s="9" t="str">
        <f aca="false">IF(TEXT(H55,"dddd")&lt;&gt;I55,"Mismatch","OK")</f>
        <v>OK</v>
      </c>
      <c r="Y55" s="9" t="str">
        <f aca="false">IF(AND(N55="No",O55&lt;&gt;""),"Unexpected: channel present but no reminder sent",IF(AND(N55="Yes",O55=""),"Missing channel for sent reminder","OK"))</f>
        <v>OK</v>
      </c>
    </row>
    <row r="56" customFormat="false" ht="15" hidden="false" customHeight="false" outlineLevel="0" collapsed="false">
      <c r="A56" s="7" t="s">
        <v>173</v>
      </c>
      <c r="B56" s="7" t="s">
        <v>174</v>
      </c>
      <c r="C56" s="7" t="s">
        <v>37</v>
      </c>
      <c r="D56" s="7" t="n">
        <v>45</v>
      </c>
      <c r="E56" s="7" t="s">
        <v>56</v>
      </c>
      <c r="F56" s="7" t="s">
        <v>39</v>
      </c>
      <c r="G56" s="8" t="n">
        <v>45926</v>
      </c>
      <c r="H56" s="8" t="n">
        <v>45929</v>
      </c>
      <c r="I56" s="7" t="s">
        <v>66</v>
      </c>
      <c r="J56" s="7" t="s">
        <v>63</v>
      </c>
      <c r="K56" s="7" t="n">
        <v>3</v>
      </c>
      <c r="L56" s="7" t="n">
        <v>2</v>
      </c>
      <c r="M56" s="7" t="n">
        <v>0</v>
      </c>
      <c r="N56" s="7" t="s">
        <v>71</v>
      </c>
      <c r="O56" s="7"/>
      <c r="P56" s="7" t="n">
        <v>11.3</v>
      </c>
      <c r="Q56" s="7"/>
      <c r="R56" s="7" t="s">
        <v>53</v>
      </c>
      <c r="S56" s="7"/>
      <c r="T56" s="7"/>
      <c r="U56" s="7" t="str">
        <f aca="false">IF(COUNTIF($A$2:$A$5001,A56)&gt;1,"Duplicate","Unique")</f>
        <v>Unique</v>
      </c>
      <c r="V56" s="7" t="str">
        <f aca="false">IF(COUNTIFS($B$2:$B$5001,B56,$H$2:$H$5001,H56,$J$2:$J$5001,J56)&gt;1,"Possible Duplicate Booking","Unique")</f>
        <v>Unique</v>
      </c>
      <c r="W56" s="7" t="str">
        <f aca="false">IF((H56-G56)&lt;&gt;K56,"Mismatch","OK")</f>
        <v>OK</v>
      </c>
      <c r="X56" s="7" t="str">
        <f aca="false">IF(TEXT(H56,"dddd")&lt;&gt;I56,"Mismatch","OK")</f>
        <v>OK</v>
      </c>
      <c r="Y56" s="7" t="str">
        <f aca="false">IF(AND(N56="No",O56&lt;&gt;""),"Unexpected: channel present but no reminder sent",IF(AND(N56="Yes",O56=""),"Missing channel for sent reminder","OK"))</f>
        <v>OK</v>
      </c>
    </row>
    <row r="57" customFormat="false" ht="15" hidden="false" customHeight="false" outlineLevel="0" collapsed="false">
      <c r="A57" s="9" t="s">
        <v>175</v>
      </c>
      <c r="B57" s="9" t="s">
        <v>176</v>
      </c>
      <c r="C57" s="9" t="s">
        <v>37</v>
      </c>
      <c r="D57" s="9" t="n">
        <v>38</v>
      </c>
      <c r="E57" s="9" t="s">
        <v>38</v>
      </c>
      <c r="F57" s="9" t="s">
        <v>74</v>
      </c>
      <c r="G57" s="10" t="n">
        <v>45626</v>
      </c>
      <c r="H57" s="10" t="n">
        <v>45681</v>
      </c>
      <c r="I57" s="9" t="s">
        <v>50</v>
      </c>
      <c r="J57" s="9" t="s">
        <v>51</v>
      </c>
      <c r="K57" s="9" t="n">
        <v>55</v>
      </c>
      <c r="L57" s="9" t="n">
        <v>4</v>
      </c>
      <c r="M57" s="9" t="n">
        <v>1</v>
      </c>
      <c r="N57" s="9" t="s">
        <v>42</v>
      </c>
      <c r="O57" s="9" t="s">
        <v>43</v>
      </c>
      <c r="P57" s="9" t="n">
        <v>4.7</v>
      </c>
      <c r="Q57" s="9" t="n">
        <v>15</v>
      </c>
      <c r="R57" s="9" t="s">
        <v>44</v>
      </c>
      <c r="S57" s="9"/>
      <c r="T57" s="9"/>
      <c r="U57" s="9" t="str">
        <f aca="false">IF(COUNTIF($A$2:$A$5001,A57)&gt;1,"Duplicate","Unique")</f>
        <v>Unique</v>
      </c>
      <c r="V57" s="9" t="str">
        <f aca="false">IF(COUNTIFS($B$2:$B$5001,B57,$H$2:$H$5001,H57,$J$2:$J$5001,J57)&gt;1,"Possible Duplicate Booking","Unique")</f>
        <v>Unique</v>
      </c>
      <c r="W57" s="9" t="str">
        <f aca="false">IF((H57-G57)&lt;&gt;K57,"Mismatch","OK")</f>
        <v>OK</v>
      </c>
      <c r="X57" s="9" t="str">
        <f aca="false">IF(TEXT(H57,"dddd")&lt;&gt;I57,"Mismatch","OK")</f>
        <v>OK</v>
      </c>
      <c r="Y57" s="9" t="str">
        <f aca="false">IF(AND(N57="No",O57&lt;&gt;""),"Unexpected: channel present but no reminder sent",IF(AND(N57="Yes",O57=""),"Missing channel for sent reminder","OK"))</f>
        <v>OK</v>
      </c>
    </row>
    <row r="58" customFormat="false" ht="15" hidden="false" customHeight="false" outlineLevel="0" collapsed="false">
      <c r="A58" s="7" t="s">
        <v>177</v>
      </c>
      <c r="B58" s="7" t="s">
        <v>178</v>
      </c>
      <c r="C58" s="7" t="s">
        <v>47</v>
      </c>
      <c r="D58" s="7" t="n">
        <v>64</v>
      </c>
      <c r="E58" s="7" t="s">
        <v>61</v>
      </c>
      <c r="F58" s="7" t="s">
        <v>57</v>
      </c>
      <c r="G58" s="8" t="n">
        <v>45899</v>
      </c>
      <c r="H58" s="8" t="n">
        <v>45956</v>
      </c>
      <c r="I58" s="7" t="s">
        <v>75</v>
      </c>
      <c r="J58" s="7" t="s">
        <v>51</v>
      </c>
      <c r="K58" s="7" t="n">
        <v>57</v>
      </c>
      <c r="L58" s="7" t="n">
        <v>3</v>
      </c>
      <c r="M58" s="7" t="n">
        <v>0</v>
      </c>
      <c r="N58" s="7" t="s">
        <v>42</v>
      </c>
      <c r="O58" s="7" t="s">
        <v>52</v>
      </c>
      <c r="P58" s="7" t="n">
        <v>11.7</v>
      </c>
      <c r="Q58" s="7" t="n">
        <v>12</v>
      </c>
      <c r="R58" s="7" t="s">
        <v>44</v>
      </c>
      <c r="S58" s="7"/>
      <c r="T58" s="7"/>
      <c r="U58" s="7" t="str">
        <f aca="false">IF(COUNTIF($A$2:$A$5001,A58)&gt;1,"Duplicate","Unique")</f>
        <v>Unique</v>
      </c>
      <c r="V58" s="7" t="str">
        <f aca="false">IF(COUNTIFS($B$2:$B$5001,B58,$H$2:$H$5001,H58,$J$2:$J$5001,J58)&gt;1,"Possible Duplicate Booking","Unique")</f>
        <v>Unique</v>
      </c>
      <c r="W58" s="7" t="str">
        <f aca="false">IF((H58-G58)&lt;&gt;K58,"Mismatch","OK")</f>
        <v>OK</v>
      </c>
      <c r="X58" s="7" t="str">
        <f aca="false">IF(TEXT(H58,"dddd")&lt;&gt;I58,"Mismatch","OK")</f>
        <v>OK</v>
      </c>
      <c r="Y58" s="7" t="str">
        <f aca="false">IF(AND(N58="No",O58&lt;&gt;""),"Unexpected: channel present but no reminder sent",IF(AND(N58="Yes",O58=""),"Missing channel for sent reminder","OK"))</f>
        <v>OK</v>
      </c>
    </row>
    <row r="59" customFormat="false" ht="15" hidden="false" customHeight="false" outlineLevel="0" collapsed="false">
      <c r="A59" s="9" t="s">
        <v>179</v>
      </c>
      <c r="B59" s="9" t="s">
        <v>180</v>
      </c>
      <c r="C59" s="9" t="s">
        <v>47</v>
      </c>
      <c r="D59" s="9" t="n">
        <v>55</v>
      </c>
      <c r="E59" s="9" t="s">
        <v>61</v>
      </c>
      <c r="F59" s="9" t="s">
        <v>57</v>
      </c>
      <c r="G59" s="10" t="n">
        <v>45692</v>
      </c>
      <c r="H59" s="10" t="n">
        <v>45742</v>
      </c>
      <c r="I59" s="9" t="s">
        <v>58</v>
      </c>
      <c r="J59" s="9" t="s">
        <v>51</v>
      </c>
      <c r="K59" s="9" t="n">
        <v>50</v>
      </c>
      <c r="L59" s="9" t="n">
        <v>2</v>
      </c>
      <c r="M59" s="9" t="n">
        <v>1</v>
      </c>
      <c r="N59" s="9" t="s">
        <v>42</v>
      </c>
      <c r="O59" s="9" t="s">
        <v>52</v>
      </c>
      <c r="P59" s="9" t="n">
        <v>12.9</v>
      </c>
      <c r="Q59" s="9" t="n">
        <v>20</v>
      </c>
      <c r="R59" s="9" t="s">
        <v>44</v>
      </c>
      <c r="S59" s="9"/>
      <c r="T59" s="9"/>
      <c r="U59" s="9" t="str">
        <f aca="false">IF(COUNTIF($A$2:$A$5001,A59)&gt;1,"Duplicate","Unique")</f>
        <v>Unique</v>
      </c>
      <c r="V59" s="9" t="str">
        <f aca="false">IF(COUNTIFS($B$2:$B$5001,B59,$H$2:$H$5001,H59,$J$2:$J$5001,J59)&gt;1,"Possible Duplicate Booking","Unique")</f>
        <v>Unique</v>
      </c>
      <c r="W59" s="9" t="str">
        <f aca="false">IF((H59-G59)&lt;&gt;K59,"Mismatch","OK")</f>
        <v>OK</v>
      </c>
      <c r="X59" s="9" t="str">
        <f aca="false">IF(TEXT(H59,"dddd")&lt;&gt;I59,"Mismatch","OK")</f>
        <v>OK</v>
      </c>
      <c r="Y59" s="9" t="str">
        <f aca="false">IF(AND(N59="No",O59&lt;&gt;""),"Unexpected: channel present but no reminder sent",IF(AND(N59="Yes",O59=""),"Missing channel for sent reminder","OK"))</f>
        <v>OK</v>
      </c>
    </row>
    <row r="60" customFormat="false" ht="15" hidden="false" customHeight="false" outlineLevel="0" collapsed="false">
      <c r="A60" s="7" t="s">
        <v>181</v>
      </c>
      <c r="B60" s="7" t="s">
        <v>182</v>
      </c>
      <c r="C60" s="7" t="s">
        <v>37</v>
      </c>
      <c r="D60" s="7" t="n">
        <v>50</v>
      </c>
      <c r="E60" s="7" t="s">
        <v>56</v>
      </c>
      <c r="F60" s="7" t="s">
        <v>49</v>
      </c>
      <c r="G60" s="8" t="n">
        <v>46048</v>
      </c>
      <c r="H60" s="8" t="n">
        <v>46063</v>
      </c>
      <c r="I60" s="7" t="s">
        <v>40</v>
      </c>
      <c r="J60" s="7" t="s">
        <v>41</v>
      </c>
      <c r="K60" s="7" t="n">
        <v>15</v>
      </c>
      <c r="L60" s="7" t="n">
        <v>4</v>
      </c>
      <c r="M60" s="7" t="n">
        <v>0</v>
      </c>
      <c r="N60" s="7" t="s">
        <v>42</v>
      </c>
      <c r="O60" s="7" t="s">
        <v>67</v>
      </c>
      <c r="P60" s="7" t="n">
        <v>8.3</v>
      </c>
      <c r="Q60" s="7" t="n">
        <v>12</v>
      </c>
      <c r="R60" s="7" t="s">
        <v>87</v>
      </c>
      <c r="S60" s="7"/>
      <c r="T60" s="7"/>
      <c r="U60" s="7" t="str">
        <f aca="false">IF(COUNTIF($A$2:$A$5001,A60)&gt;1,"Duplicate","Unique")</f>
        <v>Unique</v>
      </c>
      <c r="V60" s="7" t="str">
        <f aca="false">IF(COUNTIFS($B$2:$B$5001,B60,$H$2:$H$5001,H60,$J$2:$J$5001,J60)&gt;1,"Possible Duplicate Booking","Unique")</f>
        <v>Unique</v>
      </c>
      <c r="W60" s="7" t="str">
        <f aca="false">IF((H60-G60)&lt;&gt;K60,"Mismatch","OK")</f>
        <v>OK</v>
      </c>
      <c r="X60" s="7" t="str">
        <f aca="false">IF(TEXT(H60,"dddd")&lt;&gt;I60,"Mismatch","OK")</f>
        <v>OK</v>
      </c>
      <c r="Y60" s="7" t="str">
        <f aca="false">IF(AND(N60="No",O60&lt;&gt;""),"Unexpected: channel present but no reminder sent",IF(AND(N60="Yes",O60=""),"Missing channel for sent reminder","OK"))</f>
        <v>OK</v>
      </c>
    </row>
    <row r="61" customFormat="false" ht="15" hidden="false" customHeight="false" outlineLevel="0" collapsed="false">
      <c r="A61" s="9" t="s">
        <v>183</v>
      </c>
      <c r="B61" s="9" t="s">
        <v>184</v>
      </c>
      <c r="C61" s="9" t="s">
        <v>47</v>
      </c>
      <c r="D61" s="9" t="n">
        <v>19</v>
      </c>
      <c r="E61" s="9" t="s">
        <v>82</v>
      </c>
      <c r="F61" s="9" t="s">
        <v>74</v>
      </c>
      <c r="G61" s="10" t="n">
        <v>45992</v>
      </c>
      <c r="H61" s="10" t="n">
        <v>46030</v>
      </c>
      <c r="I61" s="9" t="s">
        <v>62</v>
      </c>
      <c r="J61" s="9" t="s">
        <v>51</v>
      </c>
      <c r="K61" s="9" t="n">
        <v>38</v>
      </c>
      <c r="L61" s="9" t="n">
        <v>0</v>
      </c>
      <c r="M61" s="9" t="n">
        <v>0</v>
      </c>
      <c r="N61" s="9" t="s">
        <v>42</v>
      </c>
      <c r="O61" s="9" t="s">
        <v>52</v>
      </c>
      <c r="P61" s="9" t="n">
        <v>11.9</v>
      </c>
      <c r="Q61" s="9" t="n">
        <v>12</v>
      </c>
      <c r="R61" s="9" t="s">
        <v>44</v>
      </c>
      <c r="S61" s="9"/>
      <c r="T61" s="9"/>
      <c r="U61" s="9" t="str">
        <f aca="false">IF(COUNTIF($A$2:$A$5001,A61)&gt;1,"Duplicate","Unique")</f>
        <v>Unique</v>
      </c>
      <c r="V61" s="9" t="str">
        <f aca="false">IF(COUNTIFS($B$2:$B$5001,B61,$H$2:$H$5001,H61,$J$2:$J$5001,J61)&gt;1,"Possible Duplicate Booking","Unique")</f>
        <v>Unique</v>
      </c>
      <c r="W61" s="9" t="str">
        <f aca="false">IF((H61-G61)&lt;&gt;K61,"Mismatch","OK")</f>
        <v>OK</v>
      </c>
      <c r="X61" s="9" t="str">
        <f aca="false">IF(TEXT(H61,"dddd")&lt;&gt;I61,"Mismatch","OK")</f>
        <v>OK</v>
      </c>
      <c r="Y61" s="9" t="str">
        <f aca="false">IF(AND(N61="No",O61&lt;&gt;""),"Unexpected: channel present but no reminder sent",IF(AND(N61="Yes",O61=""),"Missing channel for sent reminder","OK"))</f>
        <v>OK</v>
      </c>
    </row>
    <row r="62" customFormat="false" ht="15" hidden="false" customHeight="false" outlineLevel="0" collapsed="false">
      <c r="A62" s="7" t="s">
        <v>185</v>
      </c>
      <c r="B62" s="7" t="s">
        <v>186</v>
      </c>
      <c r="C62" s="7" t="s">
        <v>37</v>
      </c>
      <c r="D62" s="7" t="n">
        <v>24</v>
      </c>
      <c r="E62" s="7" t="s">
        <v>82</v>
      </c>
      <c r="F62" s="7" t="s">
        <v>74</v>
      </c>
      <c r="G62" s="8" t="n">
        <v>46129</v>
      </c>
      <c r="H62" s="8" t="n">
        <v>46161</v>
      </c>
      <c r="I62" s="7" t="s">
        <v>40</v>
      </c>
      <c r="J62" s="7" t="s">
        <v>51</v>
      </c>
      <c r="K62" s="7" t="n">
        <v>32</v>
      </c>
      <c r="L62" s="7" t="n">
        <v>4</v>
      </c>
      <c r="M62" s="7" t="n">
        <v>1</v>
      </c>
      <c r="N62" s="7" t="s">
        <v>42</v>
      </c>
      <c r="O62" s="7" t="s">
        <v>52</v>
      </c>
      <c r="P62" s="7" t="n">
        <v>5.1</v>
      </c>
      <c r="Q62" s="7" t="n">
        <v>19</v>
      </c>
      <c r="R62" s="7" t="s">
        <v>53</v>
      </c>
      <c r="S62" s="7"/>
      <c r="T62" s="7"/>
      <c r="U62" s="7" t="str">
        <f aca="false">IF(COUNTIF($A$2:$A$5001,A62)&gt;1,"Duplicate","Unique")</f>
        <v>Unique</v>
      </c>
      <c r="V62" s="7" t="str">
        <f aca="false">IF(COUNTIFS($B$2:$B$5001,B62,$H$2:$H$5001,H62,$J$2:$J$5001,J62)&gt;1,"Possible Duplicate Booking","Unique")</f>
        <v>Unique</v>
      </c>
      <c r="W62" s="7" t="str">
        <f aca="false">IF((H62-G62)&lt;&gt;K62,"Mismatch","OK")</f>
        <v>OK</v>
      </c>
      <c r="X62" s="7" t="str">
        <f aca="false">IF(TEXT(H62,"dddd")&lt;&gt;I62,"Mismatch","OK")</f>
        <v>OK</v>
      </c>
      <c r="Y62" s="7" t="str">
        <f aca="false">IF(AND(N62="No",O62&lt;&gt;""),"Unexpected: channel present but no reminder sent",IF(AND(N62="Yes",O62=""),"Missing channel for sent reminder","OK"))</f>
        <v>OK</v>
      </c>
    </row>
    <row r="63" customFormat="false" ht="15" hidden="false" customHeight="false" outlineLevel="0" collapsed="false">
      <c r="A63" s="9" t="s">
        <v>187</v>
      </c>
      <c r="B63" s="9" t="s">
        <v>188</v>
      </c>
      <c r="C63" s="9" t="s">
        <v>47</v>
      </c>
      <c r="D63" s="9" t="n">
        <v>18</v>
      </c>
      <c r="E63" s="9" t="s">
        <v>82</v>
      </c>
      <c r="F63" s="9" t="s">
        <v>57</v>
      </c>
      <c r="G63" s="10" t="n">
        <v>46027</v>
      </c>
      <c r="H63" s="10" t="n">
        <v>46064</v>
      </c>
      <c r="I63" s="9" t="s">
        <v>58</v>
      </c>
      <c r="J63" s="9" t="s">
        <v>51</v>
      </c>
      <c r="K63" s="9" t="n">
        <v>37</v>
      </c>
      <c r="L63" s="9" t="n">
        <v>4</v>
      </c>
      <c r="M63" s="9" t="n">
        <v>0</v>
      </c>
      <c r="N63" s="9" t="s">
        <v>42</v>
      </c>
      <c r="O63" s="9" t="s">
        <v>52</v>
      </c>
      <c r="P63" s="9" t="n">
        <v>4</v>
      </c>
      <c r="Q63" s="9" t="n">
        <v>45</v>
      </c>
      <c r="R63" s="9" t="s">
        <v>53</v>
      </c>
      <c r="S63" s="9"/>
      <c r="T63" s="9"/>
      <c r="U63" s="9" t="str">
        <f aca="false">IF(COUNTIF($A$2:$A$5001,A63)&gt;1,"Duplicate","Unique")</f>
        <v>Unique</v>
      </c>
      <c r="V63" s="9" t="str">
        <f aca="false">IF(COUNTIFS($B$2:$B$5001,B63,$H$2:$H$5001,H63,$J$2:$J$5001,J63)&gt;1,"Possible Duplicate Booking","Unique")</f>
        <v>Unique</v>
      </c>
      <c r="W63" s="9" t="str">
        <f aca="false">IF((H63-G63)&lt;&gt;K63,"Mismatch","OK")</f>
        <v>OK</v>
      </c>
      <c r="X63" s="9" t="str">
        <f aca="false">IF(TEXT(H63,"dddd")&lt;&gt;I63,"Mismatch","OK")</f>
        <v>OK</v>
      </c>
      <c r="Y63" s="9" t="str">
        <f aca="false">IF(AND(N63="No",O63&lt;&gt;""),"Unexpected: channel present but no reminder sent",IF(AND(N63="Yes",O63=""),"Missing channel for sent reminder","OK"))</f>
        <v>OK</v>
      </c>
    </row>
    <row r="64" customFormat="false" ht="15" hidden="false" customHeight="false" outlineLevel="0" collapsed="false">
      <c r="A64" s="7" t="s">
        <v>189</v>
      </c>
      <c r="B64" s="7" t="s">
        <v>55</v>
      </c>
      <c r="C64" s="7" t="s">
        <v>47</v>
      </c>
      <c r="D64" s="7" t="n">
        <v>71</v>
      </c>
      <c r="E64" s="7" t="s">
        <v>70</v>
      </c>
      <c r="F64" s="7" t="s">
        <v>57</v>
      </c>
      <c r="G64" s="8" t="n">
        <v>45821</v>
      </c>
      <c r="H64" s="8" t="n">
        <v>45858</v>
      </c>
      <c r="I64" s="7" t="s">
        <v>75</v>
      </c>
      <c r="J64" s="7" t="s">
        <v>41</v>
      </c>
      <c r="K64" s="7" t="n">
        <v>37</v>
      </c>
      <c r="L64" s="7" t="n">
        <v>3</v>
      </c>
      <c r="M64" s="7" t="n">
        <v>0</v>
      </c>
      <c r="N64" s="7" t="s">
        <v>71</v>
      </c>
      <c r="O64" s="7"/>
      <c r="P64" s="7" t="n">
        <v>4.9</v>
      </c>
      <c r="Q64" s="7" t="n">
        <v>50</v>
      </c>
      <c r="R64" s="7" t="s">
        <v>44</v>
      </c>
      <c r="S64" s="7"/>
      <c r="T64" s="7"/>
      <c r="U64" s="7" t="str">
        <f aca="false">IF(COUNTIF($A$2:$A$5001,A64)&gt;1,"Duplicate","Unique")</f>
        <v>Unique</v>
      </c>
      <c r="V64" s="7" t="str">
        <f aca="false">IF(COUNTIFS($B$2:$B$5001,B64,$H$2:$H$5001,H64,$J$2:$J$5001,J64)&gt;1,"Possible Duplicate Booking","Unique")</f>
        <v>Unique</v>
      </c>
      <c r="W64" s="7" t="str">
        <f aca="false">IF((H64-G64)&lt;&gt;K64,"Mismatch","OK")</f>
        <v>OK</v>
      </c>
      <c r="X64" s="7" t="str">
        <f aca="false">IF(TEXT(H64,"dddd")&lt;&gt;I64,"Mismatch","OK")</f>
        <v>OK</v>
      </c>
      <c r="Y64" s="7" t="str">
        <f aca="false">IF(AND(N64="No",O64&lt;&gt;""),"Unexpected: channel present but no reminder sent",IF(AND(N64="Yes",O64=""),"Missing channel for sent reminder","OK"))</f>
        <v>OK</v>
      </c>
    </row>
    <row r="65" customFormat="false" ht="15" hidden="false" customHeight="false" outlineLevel="0" collapsed="false">
      <c r="A65" s="9" t="s">
        <v>190</v>
      </c>
      <c r="B65" s="9" t="s">
        <v>191</v>
      </c>
      <c r="C65" s="9" t="s">
        <v>47</v>
      </c>
      <c r="D65" s="9" t="n">
        <v>71</v>
      </c>
      <c r="E65" s="9" t="s">
        <v>70</v>
      </c>
      <c r="F65" s="9" t="s">
        <v>39</v>
      </c>
      <c r="G65" s="10" t="n">
        <v>46148</v>
      </c>
      <c r="H65" s="10" t="n">
        <v>46186</v>
      </c>
      <c r="I65" s="9" t="s">
        <v>102</v>
      </c>
      <c r="J65" s="9" t="s">
        <v>63</v>
      </c>
      <c r="K65" s="9" t="n">
        <v>38</v>
      </c>
      <c r="L65" s="9" t="n">
        <v>3</v>
      </c>
      <c r="M65" s="9" t="n">
        <v>1</v>
      </c>
      <c r="N65" s="9" t="s">
        <v>42</v>
      </c>
      <c r="O65" s="9" t="s">
        <v>52</v>
      </c>
      <c r="P65" s="9" t="n">
        <v>11.6</v>
      </c>
      <c r="Q65" s="9" t="n">
        <v>37</v>
      </c>
      <c r="R65" s="9" t="s">
        <v>53</v>
      </c>
      <c r="S65" s="9"/>
      <c r="T65" s="9"/>
      <c r="U65" s="9" t="str">
        <f aca="false">IF(COUNTIF($A$2:$A$5001,A65)&gt;1,"Duplicate","Unique")</f>
        <v>Unique</v>
      </c>
      <c r="V65" s="9" t="str">
        <f aca="false">IF(COUNTIFS($B$2:$B$5001,B65,$H$2:$H$5001,H65,$J$2:$J$5001,J65)&gt;1,"Possible Duplicate Booking","Unique")</f>
        <v>Unique</v>
      </c>
      <c r="W65" s="9" t="str">
        <f aca="false">IF((H65-G65)&lt;&gt;K65,"Mismatch","OK")</f>
        <v>OK</v>
      </c>
      <c r="X65" s="9" t="str">
        <f aca="false">IF(TEXT(H65,"dddd")&lt;&gt;I65,"Mismatch","OK")</f>
        <v>OK</v>
      </c>
      <c r="Y65" s="9" t="str">
        <f aca="false">IF(AND(N65="No",O65&lt;&gt;""),"Unexpected: channel present but no reminder sent",IF(AND(N65="Yes",O65=""),"Missing channel for sent reminder","OK"))</f>
        <v>OK</v>
      </c>
    </row>
    <row r="66" customFormat="false" ht="15" hidden="false" customHeight="false" outlineLevel="0" collapsed="false">
      <c r="A66" s="7" t="s">
        <v>192</v>
      </c>
      <c r="B66" s="7" t="s">
        <v>193</v>
      </c>
      <c r="C66" s="7" t="s">
        <v>47</v>
      </c>
      <c r="D66" s="7" t="n">
        <v>22</v>
      </c>
      <c r="E66" s="7" t="s">
        <v>82</v>
      </c>
      <c r="F66" s="7" t="s">
        <v>57</v>
      </c>
      <c r="G66" s="8" t="n">
        <v>45851</v>
      </c>
      <c r="H66" s="8" t="n">
        <v>45882</v>
      </c>
      <c r="I66" s="7" t="s">
        <v>58</v>
      </c>
      <c r="J66" s="7" t="s">
        <v>51</v>
      </c>
      <c r="K66" s="7" t="n">
        <v>31</v>
      </c>
      <c r="L66" s="7" t="n">
        <v>7</v>
      </c>
      <c r="M66" s="7" t="n">
        <v>3</v>
      </c>
      <c r="N66" s="7" t="s">
        <v>42</v>
      </c>
      <c r="O66" s="7" t="s">
        <v>43</v>
      </c>
      <c r="P66" s="7" t="n">
        <v>2.9</v>
      </c>
      <c r="Q66" s="7" t="n">
        <v>31</v>
      </c>
      <c r="R66" s="7" t="s">
        <v>44</v>
      </c>
      <c r="S66" s="7"/>
      <c r="T66" s="7"/>
      <c r="U66" s="7" t="str">
        <f aca="false">IF(COUNTIF($A$2:$A$5001,A66)&gt;1,"Duplicate","Unique")</f>
        <v>Unique</v>
      </c>
      <c r="V66" s="7" t="str">
        <f aca="false">IF(COUNTIFS($B$2:$B$5001,B66,$H$2:$H$5001,H66,$J$2:$J$5001,J66)&gt;1,"Possible Duplicate Booking","Unique")</f>
        <v>Unique</v>
      </c>
      <c r="W66" s="7" t="str">
        <f aca="false">IF((H66-G66)&lt;&gt;K66,"Mismatch","OK")</f>
        <v>OK</v>
      </c>
      <c r="X66" s="7" t="str">
        <f aca="false">IF(TEXT(H66,"dddd")&lt;&gt;I66,"Mismatch","OK")</f>
        <v>OK</v>
      </c>
      <c r="Y66" s="7" t="str">
        <f aca="false">IF(AND(N66="No",O66&lt;&gt;""),"Unexpected: channel present but no reminder sent",IF(AND(N66="Yes",O66=""),"Missing channel for sent reminder","OK"))</f>
        <v>OK</v>
      </c>
    </row>
    <row r="67" customFormat="false" ht="15" hidden="false" customHeight="false" outlineLevel="0" collapsed="false">
      <c r="A67" s="9" t="s">
        <v>194</v>
      </c>
      <c r="B67" s="9" t="s">
        <v>195</v>
      </c>
      <c r="C67" s="9" t="s">
        <v>37</v>
      </c>
      <c r="D67" s="9" t="n">
        <v>20</v>
      </c>
      <c r="E67" s="9" t="s">
        <v>82</v>
      </c>
      <c r="F67" s="9" t="s">
        <v>74</v>
      </c>
      <c r="G67" s="10" t="n">
        <v>45793</v>
      </c>
      <c r="H67" s="10" t="n">
        <v>45835</v>
      </c>
      <c r="I67" s="9" t="s">
        <v>50</v>
      </c>
      <c r="J67" s="9" t="s">
        <v>51</v>
      </c>
      <c r="K67" s="9" t="n">
        <v>42</v>
      </c>
      <c r="L67" s="9" t="n">
        <v>5</v>
      </c>
      <c r="M67" s="9" t="n">
        <v>0</v>
      </c>
      <c r="N67" s="9" t="s">
        <v>71</v>
      </c>
      <c r="O67" s="9"/>
      <c r="P67" s="9" t="n">
        <v>7.4</v>
      </c>
      <c r="Q67" s="9" t="n">
        <v>3</v>
      </c>
      <c r="R67" s="9" t="s">
        <v>53</v>
      </c>
      <c r="S67" s="9"/>
      <c r="T67" s="9"/>
      <c r="U67" s="9" t="str">
        <f aca="false">IF(COUNTIF($A$2:$A$5001,A67)&gt;1,"Duplicate","Unique")</f>
        <v>Unique</v>
      </c>
      <c r="V67" s="9" t="str">
        <f aca="false">IF(COUNTIFS($B$2:$B$5001,B67,$H$2:$H$5001,H67,$J$2:$J$5001,J67)&gt;1,"Possible Duplicate Booking","Unique")</f>
        <v>Unique</v>
      </c>
      <c r="W67" s="9" t="str">
        <f aca="false">IF((H67-G67)&lt;&gt;K67,"Mismatch","OK")</f>
        <v>OK</v>
      </c>
      <c r="X67" s="9" t="str">
        <f aca="false">IF(TEXT(H67,"dddd")&lt;&gt;I67,"Mismatch","OK")</f>
        <v>OK</v>
      </c>
      <c r="Y67" s="9" t="str">
        <f aca="false">IF(AND(N67="No",O67&lt;&gt;""),"Unexpected: channel present but no reminder sent",IF(AND(N67="Yes",O67=""),"Missing channel for sent reminder","OK"))</f>
        <v>OK</v>
      </c>
    </row>
    <row r="68" customFormat="false" ht="15" hidden="false" customHeight="false" outlineLevel="0" collapsed="false">
      <c r="A68" s="7" t="s">
        <v>196</v>
      </c>
      <c r="B68" s="7" t="s">
        <v>197</v>
      </c>
      <c r="C68" s="7" t="s">
        <v>37</v>
      </c>
      <c r="D68" s="7" t="n">
        <v>67</v>
      </c>
      <c r="E68" s="7" t="s">
        <v>70</v>
      </c>
      <c r="F68" s="7" t="s">
        <v>57</v>
      </c>
      <c r="G68" s="8" t="n">
        <v>46120</v>
      </c>
      <c r="H68" s="8" t="n">
        <v>46152</v>
      </c>
      <c r="I68" s="7" t="s">
        <v>75</v>
      </c>
      <c r="J68" s="7" t="s">
        <v>51</v>
      </c>
      <c r="K68" s="7" t="n">
        <v>32</v>
      </c>
      <c r="L68" s="7" t="n">
        <v>1</v>
      </c>
      <c r="M68" s="7" t="n">
        <v>0</v>
      </c>
      <c r="N68" s="7" t="s">
        <v>42</v>
      </c>
      <c r="O68" s="7" t="s">
        <v>52</v>
      </c>
      <c r="P68" s="7" t="n">
        <v>5.3</v>
      </c>
      <c r="Q68" s="7" t="n">
        <v>53</v>
      </c>
      <c r="R68" s="7" t="s">
        <v>44</v>
      </c>
      <c r="S68" s="7"/>
      <c r="T68" s="7"/>
      <c r="U68" s="7" t="str">
        <f aca="false">IF(COUNTIF($A$2:$A$5001,A68)&gt;1,"Duplicate","Unique")</f>
        <v>Unique</v>
      </c>
      <c r="V68" s="7" t="str">
        <f aca="false">IF(COUNTIFS($B$2:$B$5001,B68,$H$2:$H$5001,H68,$J$2:$J$5001,J68)&gt;1,"Possible Duplicate Booking","Unique")</f>
        <v>Unique</v>
      </c>
      <c r="W68" s="7" t="str">
        <f aca="false">IF((H68-G68)&lt;&gt;K68,"Mismatch","OK")</f>
        <v>OK</v>
      </c>
      <c r="X68" s="7" t="str">
        <f aca="false">IF(TEXT(H68,"dddd")&lt;&gt;I68,"Mismatch","OK")</f>
        <v>OK</v>
      </c>
      <c r="Y68" s="7" t="str">
        <f aca="false">IF(AND(N68="No",O68&lt;&gt;""),"Unexpected: channel present but no reminder sent",IF(AND(N68="Yes",O68=""),"Missing channel for sent reminder","OK"))</f>
        <v>OK</v>
      </c>
    </row>
    <row r="69" customFormat="false" ht="15" hidden="false" customHeight="false" outlineLevel="0" collapsed="false">
      <c r="A69" s="9" t="s">
        <v>198</v>
      </c>
      <c r="B69" s="9" t="s">
        <v>199</v>
      </c>
      <c r="C69" s="9" t="s">
        <v>37</v>
      </c>
      <c r="D69" s="9" t="n">
        <v>51</v>
      </c>
      <c r="E69" s="9" t="s">
        <v>56</v>
      </c>
      <c r="F69" s="9" t="s">
        <v>39</v>
      </c>
      <c r="G69" s="10" t="n">
        <v>45859</v>
      </c>
      <c r="H69" s="10" t="n">
        <v>45860</v>
      </c>
      <c r="I69" s="9" t="s">
        <v>40</v>
      </c>
      <c r="J69" s="9" t="s">
        <v>51</v>
      </c>
      <c r="K69" s="9" t="n">
        <v>1</v>
      </c>
      <c r="L69" s="9" t="n">
        <v>0</v>
      </c>
      <c r="M69" s="9" t="n">
        <v>0</v>
      </c>
      <c r="N69" s="9" t="s">
        <v>42</v>
      </c>
      <c r="O69" s="9" t="s">
        <v>67</v>
      </c>
      <c r="P69" s="9" t="n">
        <v>8.7</v>
      </c>
      <c r="Q69" s="9" t="n">
        <v>28</v>
      </c>
      <c r="R69" s="9" t="s">
        <v>53</v>
      </c>
      <c r="S69" s="9"/>
      <c r="T69" s="9"/>
      <c r="U69" s="9" t="str">
        <f aca="false">IF(COUNTIF($A$2:$A$5001,A69)&gt;1,"Duplicate","Unique")</f>
        <v>Unique</v>
      </c>
      <c r="V69" s="9" t="str">
        <f aca="false">IF(COUNTIFS($B$2:$B$5001,B69,$H$2:$H$5001,H69,$J$2:$J$5001,J69)&gt;1,"Possible Duplicate Booking","Unique")</f>
        <v>Unique</v>
      </c>
      <c r="W69" s="9" t="str">
        <f aca="false">IF((H69-G69)&lt;&gt;K69,"Mismatch","OK")</f>
        <v>OK</v>
      </c>
      <c r="X69" s="9" t="str">
        <f aca="false">IF(TEXT(H69,"dddd")&lt;&gt;I69,"Mismatch","OK")</f>
        <v>OK</v>
      </c>
      <c r="Y69" s="9" t="str">
        <f aca="false">IF(AND(N69="No",O69&lt;&gt;""),"Unexpected: channel present but no reminder sent",IF(AND(N69="Yes",O69=""),"Missing channel for sent reminder","OK"))</f>
        <v>OK</v>
      </c>
    </row>
    <row r="70" customFormat="false" ht="15" hidden="false" customHeight="false" outlineLevel="0" collapsed="false">
      <c r="A70" s="7" t="s">
        <v>200</v>
      </c>
      <c r="B70" s="7" t="s">
        <v>201</v>
      </c>
      <c r="C70" s="7" t="s">
        <v>37</v>
      </c>
      <c r="D70" s="7" t="n">
        <v>37</v>
      </c>
      <c r="E70" s="7" t="s">
        <v>38</v>
      </c>
      <c r="F70" s="7" t="s">
        <v>74</v>
      </c>
      <c r="G70" s="8" t="n">
        <v>45697</v>
      </c>
      <c r="H70" s="8" t="n">
        <v>45699</v>
      </c>
      <c r="I70" s="7" t="s">
        <v>40</v>
      </c>
      <c r="J70" s="7" t="s">
        <v>63</v>
      </c>
      <c r="K70" s="7" t="n">
        <v>2</v>
      </c>
      <c r="L70" s="7" t="n">
        <v>4</v>
      </c>
      <c r="M70" s="7" t="n">
        <v>1</v>
      </c>
      <c r="N70" s="7" t="s">
        <v>42</v>
      </c>
      <c r="O70" s="7" t="s">
        <v>52</v>
      </c>
      <c r="P70" s="7" t="n">
        <v>2.9</v>
      </c>
      <c r="Q70" s="7" t="n">
        <v>12</v>
      </c>
      <c r="R70" s="7" t="s">
        <v>53</v>
      </c>
      <c r="S70" s="7"/>
      <c r="T70" s="7"/>
      <c r="U70" s="7" t="str">
        <f aca="false">IF(COUNTIF($A$2:$A$5001,A70)&gt;1,"Duplicate","Unique")</f>
        <v>Unique</v>
      </c>
      <c r="V70" s="7" t="str">
        <f aca="false">IF(COUNTIFS($B$2:$B$5001,B70,$H$2:$H$5001,H70,$J$2:$J$5001,J70)&gt;1,"Possible Duplicate Booking","Unique")</f>
        <v>Unique</v>
      </c>
      <c r="W70" s="7" t="str">
        <f aca="false">IF((H70-G70)&lt;&gt;K70,"Mismatch","OK")</f>
        <v>OK</v>
      </c>
      <c r="X70" s="7" t="str">
        <f aca="false">IF(TEXT(H70,"dddd")&lt;&gt;I70,"Mismatch","OK")</f>
        <v>OK</v>
      </c>
      <c r="Y70" s="7" t="str">
        <f aca="false">IF(AND(N70="No",O70&lt;&gt;""),"Unexpected: channel present but no reminder sent",IF(AND(N70="Yes",O70=""),"Missing channel for sent reminder","OK"))</f>
        <v>OK</v>
      </c>
    </row>
    <row r="71" customFormat="false" ht="15" hidden="false" customHeight="false" outlineLevel="0" collapsed="false">
      <c r="A71" s="9" t="s">
        <v>202</v>
      </c>
      <c r="B71" s="9" t="s">
        <v>203</v>
      </c>
      <c r="C71" s="9" t="s">
        <v>47</v>
      </c>
      <c r="D71" s="9" t="n">
        <v>56</v>
      </c>
      <c r="E71" s="9" t="s">
        <v>61</v>
      </c>
      <c r="F71" s="9" t="s">
        <v>74</v>
      </c>
      <c r="G71" s="10" t="n">
        <v>45856</v>
      </c>
      <c r="H71" s="10" t="n">
        <v>45914</v>
      </c>
      <c r="I71" s="9" t="s">
        <v>75</v>
      </c>
      <c r="J71" s="9" t="s">
        <v>41</v>
      </c>
      <c r="K71" s="9" t="n">
        <v>58</v>
      </c>
      <c r="L71" s="9" t="n">
        <v>2</v>
      </c>
      <c r="M71" s="9" t="n">
        <v>0</v>
      </c>
      <c r="N71" s="9" t="s">
        <v>42</v>
      </c>
      <c r="O71" s="9" t="s">
        <v>43</v>
      </c>
      <c r="P71" s="9" t="n">
        <v>8</v>
      </c>
      <c r="Q71" s="9" t="n">
        <v>54</v>
      </c>
      <c r="R71" s="9" t="s">
        <v>44</v>
      </c>
      <c r="S71" s="9"/>
      <c r="T71" s="9"/>
      <c r="U71" s="9" t="str">
        <f aca="false">IF(COUNTIF($A$2:$A$5001,A71)&gt;1,"Duplicate","Unique")</f>
        <v>Unique</v>
      </c>
      <c r="V71" s="9" t="str">
        <f aca="false">IF(COUNTIFS($B$2:$B$5001,B71,$H$2:$H$5001,H71,$J$2:$J$5001,J71)&gt;1,"Possible Duplicate Booking","Unique")</f>
        <v>Unique</v>
      </c>
      <c r="W71" s="9" t="str">
        <f aca="false">IF((H71-G71)&lt;&gt;K71,"Mismatch","OK")</f>
        <v>OK</v>
      </c>
      <c r="X71" s="9" t="str">
        <f aca="false">IF(TEXT(H71,"dddd")&lt;&gt;I71,"Mismatch","OK")</f>
        <v>OK</v>
      </c>
      <c r="Y71" s="9" t="str">
        <f aca="false">IF(AND(N71="No",O71&lt;&gt;""),"Unexpected: channel present but no reminder sent",IF(AND(N71="Yes",O71=""),"Missing channel for sent reminder","OK"))</f>
        <v>OK</v>
      </c>
    </row>
    <row r="72" customFormat="false" ht="15" hidden="false" customHeight="false" outlineLevel="0" collapsed="false">
      <c r="A72" s="7" t="s">
        <v>204</v>
      </c>
      <c r="B72" s="7" t="s">
        <v>205</v>
      </c>
      <c r="C72" s="7" t="s">
        <v>37</v>
      </c>
      <c r="D72" s="7" t="n">
        <v>32</v>
      </c>
      <c r="E72" s="7" t="s">
        <v>48</v>
      </c>
      <c r="F72" s="7" t="s">
        <v>39</v>
      </c>
      <c r="G72" s="8" t="n">
        <v>46037</v>
      </c>
      <c r="H72" s="8" t="n">
        <v>46092</v>
      </c>
      <c r="I72" s="7" t="s">
        <v>58</v>
      </c>
      <c r="J72" s="7" t="s">
        <v>41</v>
      </c>
      <c r="K72" s="7" t="n">
        <v>55</v>
      </c>
      <c r="L72" s="7" t="n">
        <v>1</v>
      </c>
      <c r="M72" s="7" t="n">
        <v>1</v>
      </c>
      <c r="N72" s="7" t="s">
        <v>42</v>
      </c>
      <c r="O72" s="7" t="s">
        <v>43</v>
      </c>
      <c r="P72" s="7" t="n">
        <v>4.8</v>
      </c>
      <c r="Q72" s="7" t="n">
        <v>23</v>
      </c>
      <c r="R72" s="7" t="s">
        <v>44</v>
      </c>
      <c r="S72" s="7"/>
      <c r="T72" s="7"/>
      <c r="U72" s="7" t="str">
        <f aca="false">IF(COUNTIF($A$2:$A$5001,A72)&gt;1,"Duplicate","Unique")</f>
        <v>Unique</v>
      </c>
      <c r="V72" s="7" t="str">
        <f aca="false">IF(COUNTIFS($B$2:$B$5001,B72,$H$2:$H$5001,H72,$J$2:$J$5001,J72)&gt;1,"Possible Duplicate Booking","Unique")</f>
        <v>Unique</v>
      </c>
      <c r="W72" s="7" t="str">
        <f aca="false">IF((H72-G72)&lt;&gt;K72,"Mismatch","OK")</f>
        <v>OK</v>
      </c>
      <c r="X72" s="7" t="str">
        <f aca="false">IF(TEXT(H72,"dddd")&lt;&gt;I72,"Mismatch","OK")</f>
        <v>OK</v>
      </c>
      <c r="Y72" s="7" t="str">
        <f aca="false">IF(AND(N72="No",O72&lt;&gt;""),"Unexpected: channel present but no reminder sent",IF(AND(N72="Yes",O72=""),"Missing channel for sent reminder","OK"))</f>
        <v>OK</v>
      </c>
    </row>
    <row r="73" customFormat="false" ht="15" hidden="false" customHeight="false" outlineLevel="0" collapsed="false">
      <c r="A73" s="9" t="s">
        <v>206</v>
      </c>
      <c r="B73" s="9" t="s">
        <v>207</v>
      </c>
      <c r="C73" s="9" t="s">
        <v>37</v>
      </c>
      <c r="D73" s="9" t="n">
        <v>30</v>
      </c>
      <c r="E73" s="9" t="s">
        <v>48</v>
      </c>
      <c r="F73" s="9" t="s">
        <v>74</v>
      </c>
      <c r="G73" s="10" t="n">
        <v>45726</v>
      </c>
      <c r="H73" s="10" t="n">
        <v>45761</v>
      </c>
      <c r="I73" s="9" t="s">
        <v>66</v>
      </c>
      <c r="J73" s="9" t="s">
        <v>63</v>
      </c>
      <c r="K73" s="9" t="n">
        <v>35</v>
      </c>
      <c r="L73" s="9" t="n">
        <v>3</v>
      </c>
      <c r="M73" s="9" t="n">
        <v>1</v>
      </c>
      <c r="N73" s="9" t="s">
        <v>42</v>
      </c>
      <c r="O73" s="9" t="s">
        <v>52</v>
      </c>
      <c r="P73" s="9" t="n">
        <v>11.3</v>
      </c>
      <c r="Q73" s="9" t="n">
        <v>33</v>
      </c>
      <c r="R73" s="9" t="s">
        <v>44</v>
      </c>
      <c r="S73" s="9"/>
      <c r="T73" s="9"/>
      <c r="U73" s="9" t="str">
        <f aca="false">IF(COUNTIF($A$2:$A$5001,A73)&gt;1,"Duplicate","Unique")</f>
        <v>Unique</v>
      </c>
      <c r="V73" s="9" t="str">
        <f aca="false">IF(COUNTIFS($B$2:$B$5001,B73,$H$2:$H$5001,H73,$J$2:$J$5001,J73)&gt;1,"Possible Duplicate Booking","Unique")</f>
        <v>Unique</v>
      </c>
      <c r="W73" s="9" t="str">
        <f aca="false">IF((H73-G73)&lt;&gt;K73,"Mismatch","OK")</f>
        <v>OK</v>
      </c>
      <c r="X73" s="9" t="str">
        <f aca="false">IF(TEXT(H73,"dddd")&lt;&gt;I73,"Mismatch","OK")</f>
        <v>OK</v>
      </c>
      <c r="Y73" s="9" t="str">
        <f aca="false">IF(AND(N73="No",O73&lt;&gt;""),"Unexpected: channel present but no reminder sent",IF(AND(N73="Yes",O73=""),"Missing channel for sent reminder","OK"))</f>
        <v>OK</v>
      </c>
    </row>
    <row r="74" customFormat="false" ht="15" hidden="false" customHeight="false" outlineLevel="0" collapsed="false">
      <c r="A74" s="7" t="s">
        <v>208</v>
      </c>
      <c r="B74" s="7" t="s">
        <v>209</v>
      </c>
      <c r="C74" s="7" t="s">
        <v>47</v>
      </c>
      <c r="D74" s="7" t="n">
        <v>41</v>
      </c>
      <c r="E74" s="7" t="s">
        <v>38</v>
      </c>
      <c r="F74" s="7" t="s">
        <v>57</v>
      </c>
      <c r="G74" s="8" t="n">
        <v>45900</v>
      </c>
      <c r="H74" s="8" t="n">
        <v>45910</v>
      </c>
      <c r="I74" s="7" t="s">
        <v>58</v>
      </c>
      <c r="J74" s="7" t="s">
        <v>41</v>
      </c>
      <c r="K74" s="7" t="n">
        <v>10</v>
      </c>
      <c r="L74" s="7" t="n">
        <v>4</v>
      </c>
      <c r="M74" s="7" t="n">
        <v>0</v>
      </c>
      <c r="N74" s="7" t="s">
        <v>42</v>
      </c>
      <c r="O74" s="7" t="s">
        <v>43</v>
      </c>
      <c r="P74" s="7" t="n">
        <v>25.1</v>
      </c>
      <c r="Q74" s="7" t="n">
        <v>21</v>
      </c>
      <c r="R74" s="7" t="s">
        <v>44</v>
      </c>
      <c r="S74" s="7"/>
      <c r="T74" s="7"/>
      <c r="U74" s="7" t="str">
        <f aca="false">IF(COUNTIF($A$2:$A$5001,A74)&gt;1,"Duplicate","Unique")</f>
        <v>Unique</v>
      </c>
      <c r="V74" s="7" t="str">
        <f aca="false">IF(COUNTIFS($B$2:$B$5001,B74,$H$2:$H$5001,H74,$J$2:$J$5001,J74)&gt;1,"Possible Duplicate Booking","Unique")</f>
        <v>Unique</v>
      </c>
      <c r="W74" s="7" t="str">
        <f aca="false">IF((H74-G74)&lt;&gt;K74,"Mismatch","OK")</f>
        <v>OK</v>
      </c>
      <c r="X74" s="7" t="str">
        <f aca="false">IF(TEXT(H74,"dddd")&lt;&gt;I74,"Mismatch","OK")</f>
        <v>OK</v>
      </c>
      <c r="Y74" s="7" t="str">
        <f aca="false">IF(AND(N74="No",O74&lt;&gt;""),"Unexpected: channel present but no reminder sent",IF(AND(N74="Yes",O74=""),"Missing channel for sent reminder","OK"))</f>
        <v>OK</v>
      </c>
    </row>
    <row r="75" customFormat="false" ht="15" hidden="false" customHeight="false" outlineLevel="0" collapsed="false">
      <c r="A75" s="9" t="s">
        <v>210</v>
      </c>
      <c r="B75" s="9" t="s">
        <v>211</v>
      </c>
      <c r="C75" s="9" t="s">
        <v>47</v>
      </c>
      <c r="D75" s="9" t="n">
        <v>74</v>
      </c>
      <c r="E75" s="9" t="s">
        <v>70</v>
      </c>
      <c r="F75" s="9" t="s">
        <v>57</v>
      </c>
      <c r="G75" s="10" t="n">
        <v>45681</v>
      </c>
      <c r="H75" s="10" t="n">
        <v>45728</v>
      </c>
      <c r="I75" s="9" t="s">
        <v>58</v>
      </c>
      <c r="J75" s="9" t="s">
        <v>51</v>
      </c>
      <c r="K75" s="9" t="n">
        <v>47</v>
      </c>
      <c r="L75" s="9" t="n">
        <v>2</v>
      </c>
      <c r="M75" s="9" t="n">
        <v>0</v>
      </c>
      <c r="N75" s="9" t="s">
        <v>71</v>
      </c>
      <c r="O75" s="9"/>
      <c r="P75" s="9" t="n">
        <v>9.9</v>
      </c>
      <c r="Q75" s="9" t="n">
        <v>30</v>
      </c>
      <c r="R75" s="9" t="s">
        <v>87</v>
      </c>
      <c r="S75" s="9"/>
      <c r="T75" s="9"/>
      <c r="U75" s="9" t="str">
        <f aca="false">IF(COUNTIF($A$2:$A$5001,A75)&gt;1,"Duplicate","Unique")</f>
        <v>Unique</v>
      </c>
      <c r="V75" s="9" t="str">
        <f aca="false">IF(COUNTIFS($B$2:$B$5001,B75,$H$2:$H$5001,H75,$J$2:$J$5001,J75)&gt;1,"Possible Duplicate Booking","Unique")</f>
        <v>Unique</v>
      </c>
      <c r="W75" s="9" t="str">
        <f aca="false">IF((H75-G75)&lt;&gt;K75,"Mismatch","OK")</f>
        <v>OK</v>
      </c>
      <c r="X75" s="9" t="str">
        <f aca="false">IF(TEXT(H75,"dddd")&lt;&gt;I75,"Mismatch","OK")</f>
        <v>OK</v>
      </c>
      <c r="Y75" s="9" t="str">
        <f aca="false">IF(AND(N75="No",O75&lt;&gt;""),"Unexpected: channel present but no reminder sent",IF(AND(N75="Yes",O75=""),"Missing channel for sent reminder","OK"))</f>
        <v>OK</v>
      </c>
    </row>
    <row r="76" customFormat="false" ht="15" hidden="false" customHeight="false" outlineLevel="0" collapsed="false">
      <c r="A76" s="7" t="s">
        <v>212</v>
      </c>
      <c r="B76" s="7" t="s">
        <v>213</v>
      </c>
      <c r="C76" s="7" t="s">
        <v>47</v>
      </c>
      <c r="D76" s="7" t="n">
        <v>66</v>
      </c>
      <c r="E76" s="7" t="s">
        <v>70</v>
      </c>
      <c r="F76" s="7" t="s">
        <v>57</v>
      </c>
      <c r="G76" s="8" t="n">
        <v>46024</v>
      </c>
      <c r="H76" s="8" t="n">
        <v>46032</v>
      </c>
      <c r="I76" s="7" t="s">
        <v>102</v>
      </c>
      <c r="J76" s="7" t="s">
        <v>41</v>
      </c>
      <c r="K76" s="7" t="n">
        <v>8</v>
      </c>
      <c r="L76" s="7" t="n">
        <v>4</v>
      </c>
      <c r="M76" s="7" t="n">
        <v>0</v>
      </c>
      <c r="N76" s="7" t="s">
        <v>42</v>
      </c>
      <c r="O76" s="7" t="s">
        <v>52</v>
      </c>
      <c r="P76" s="7" t="n">
        <v>8.4</v>
      </c>
      <c r="Q76" s="7" t="n">
        <v>32</v>
      </c>
      <c r="R76" s="7" t="s">
        <v>53</v>
      </c>
      <c r="S76" s="7"/>
      <c r="T76" s="7"/>
      <c r="U76" s="7" t="str">
        <f aca="false">IF(COUNTIF($A$2:$A$5001,A76)&gt;1,"Duplicate","Unique")</f>
        <v>Unique</v>
      </c>
      <c r="V76" s="7" t="str">
        <f aca="false">IF(COUNTIFS($B$2:$B$5001,B76,$H$2:$H$5001,H76,$J$2:$J$5001,J76)&gt;1,"Possible Duplicate Booking","Unique")</f>
        <v>Unique</v>
      </c>
      <c r="W76" s="7" t="str">
        <f aca="false">IF((H76-G76)&lt;&gt;K76,"Mismatch","OK")</f>
        <v>OK</v>
      </c>
      <c r="X76" s="7" t="str">
        <f aca="false">IF(TEXT(H76,"dddd")&lt;&gt;I76,"Mismatch","OK")</f>
        <v>OK</v>
      </c>
      <c r="Y76" s="7" t="str">
        <f aca="false">IF(AND(N76="No",O76&lt;&gt;""),"Unexpected: channel present but no reminder sent",IF(AND(N76="Yes",O76=""),"Missing channel for sent reminder","OK"))</f>
        <v>OK</v>
      </c>
    </row>
    <row r="77" customFormat="false" ht="15" hidden="false" customHeight="false" outlineLevel="0" collapsed="false">
      <c r="A77" s="9" t="s">
        <v>214</v>
      </c>
      <c r="B77" s="9" t="s">
        <v>215</v>
      </c>
      <c r="C77" s="9" t="s">
        <v>47</v>
      </c>
      <c r="D77" s="9" t="n">
        <v>29</v>
      </c>
      <c r="E77" s="9" t="s">
        <v>48</v>
      </c>
      <c r="F77" s="9" t="s">
        <v>74</v>
      </c>
      <c r="G77" s="10" t="n">
        <v>45894</v>
      </c>
      <c r="H77" s="10" t="n">
        <v>45917</v>
      </c>
      <c r="I77" s="9" t="s">
        <v>58</v>
      </c>
      <c r="J77" s="9" t="s">
        <v>51</v>
      </c>
      <c r="K77" s="9" t="n">
        <v>23</v>
      </c>
      <c r="L77" s="9" t="n">
        <v>3</v>
      </c>
      <c r="M77" s="9" t="n">
        <v>1</v>
      </c>
      <c r="N77" s="9" t="s">
        <v>42</v>
      </c>
      <c r="O77" s="9" t="s">
        <v>43</v>
      </c>
      <c r="P77" s="9" t="n">
        <v>7</v>
      </c>
      <c r="Q77" s="9" t="n">
        <v>33</v>
      </c>
      <c r="R77" s="9" t="s">
        <v>53</v>
      </c>
      <c r="S77" s="9"/>
      <c r="T77" s="9"/>
      <c r="U77" s="9" t="str">
        <f aca="false">IF(COUNTIF($A$2:$A$5001,A77)&gt;1,"Duplicate","Unique")</f>
        <v>Unique</v>
      </c>
      <c r="V77" s="9" t="str">
        <f aca="false">IF(COUNTIFS($B$2:$B$5001,B77,$H$2:$H$5001,H77,$J$2:$J$5001,J77)&gt;1,"Possible Duplicate Booking","Unique")</f>
        <v>Unique</v>
      </c>
      <c r="W77" s="9" t="str">
        <f aca="false">IF((H77-G77)&lt;&gt;K77,"Mismatch","OK")</f>
        <v>OK</v>
      </c>
      <c r="X77" s="9" t="str">
        <f aca="false">IF(TEXT(H77,"dddd")&lt;&gt;I77,"Mismatch","OK")</f>
        <v>OK</v>
      </c>
      <c r="Y77" s="9" t="str">
        <f aca="false">IF(AND(N77="No",O77&lt;&gt;""),"Unexpected: channel present but no reminder sent",IF(AND(N77="Yes",O77=""),"Missing channel for sent reminder","OK"))</f>
        <v>OK</v>
      </c>
    </row>
    <row r="78" customFormat="false" ht="15" hidden="false" customHeight="false" outlineLevel="0" collapsed="false">
      <c r="A78" s="7" t="s">
        <v>216</v>
      </c>
      <c r="B78" s="7" t="s">
        <v>217</v>
      </c>
      <c r="C78" s="7" t="s">
        <v>47</v>
      </c>
      <c r="D78" s="7" t="n">
        <v>53</v>
      </c>
      <c r="E78" s="7" t="s">
        <v>56</v>
      </c>
      <c r="F78" s="7" t="s">
        <v>74</v>
      </c>
      <c r="G78" s="8" t="n">
        <v>45818</v>
      </c>
      <c r="H78" s="8" t="n">
        <v>45838</v>
      </c>
      <c r="I78" s="7" t="s">
        <v>66</v>
      </c>
      <c r="J78" s="7" t="s">
        <v>51</v>
      </c>
      <c r="K78" s="7" t="n">
        <v>20</v>
      </c>
      <c r="L78" s="7" t="n">
        <v>4</v>
      </c>
      <c r="M78" s="7" t="n">
        <v>1</v>
      </c>
      <c r="N78" s="7" t="s">
        <v>42</v>
      </c>
      <c r="O78" s="7" t="s">
        <v>52</v>
      </c>
      <c r="P78" s="7" t="n">
        <v>3.9</v>
      </c>
      <c r="Q78" s="7" t="n">
        <v>38</v>
      </c>
      <c r="R78" s="7" t="s">
        <v>53</v>
      </c>
      <c r="S78" s="7"/>
      <c r="T78" s="7"/>
      <c r="U78" s="7" t="str">
        <f aca="false">IF(COUNTIF($A$2:$A$5001,A78)&gt;1,"Duplicate","Unique")</f>
        <v>Unique</v>
      </c>
      <c r="V78" s="7" t="str">
        <f aca="false">IF(COUNTIFS($B$2:$B$5001,B78,$H$2:$H$5001,H78,$J$2:$J$5001,J78)&gt;1,"Possible Duplicate Booking","Unique")</f>
        <v>Unique</v>
      </c>
      <c r="W78" s="7" t="str">
        <f aca="false">IF((H78-G78)&lt;&gt;K78,"Mismatch","OK")</f>
        <v>OK</v>
      </c>
      <c r="X78" s="7" t="str">
        <f aca="false">IF(TEXT(H78,"dddd")&lt;&gt;I78,"Mismatch","OK")</f>
        <v>OK</v>
      </c>
      <c r="Y78" s="7" t="str">
        <f aca="false">IF(AND(N78="No",O78&lt;&gt;""),"Unexpected: channel present but no reminder sent",IF(AND(N78="Yes",O78=""),"Missing channel for sent reminder","OK"))</f>
        <v>OK</v>
      </c>
    </row>
    <row r="79" customFormat="false" ht="15" hidden="false" customHeight="false" outlineLevel="0" collapsed="false">
      <c r="A79" s="9" t="s">
        <v>218</v>
      </c>
      <c r="B79" s="9" t="s">
        <v>219</v>
      </c>
      <c r="C79" s="9" t="s">
        <v>37</v>
      </c>
      <c r="D79" s="9" t="n">
        <v>73</v>
      </c>
      <c r="E79" s="9" t="s">
        <v>70</v>
      </c>
      <c r="F79" s="9" t="s">
        <v>57</v>
      </c>
      <c r="G79" s="10" t="n">
        <v>45781</v>
      </c>
      <c r="H79" s="10" t="n">
        <v>45781</v>
      </c>
      <c r="I79" s="9" t="s">
        <v>75</v>
      </c>
      <c r="J79" s="9" t="s">
        <v>63</v>
      </c>
      <c r="K79" s="9" t="n">
        <v>0</v>
      </c>
      <c r="L79" s="9" t="n">
        <v>6</v>
      </c>
      <c r="M79" s="9" t="n">
        <v>3</v>
      </c>
      <c r="N79" s="9" t="s">
        <v>71</v>
      </c>
      <c r="O79" s="9"/>
      <c r="P79" s="9" t="n">
        <v>2.7</v>
      </c>
      <c r="Q79" s="9" t="n">
        <v>26</v>
      </c>
      <c r="R79" s="9" t="s">
        <v>53</v>
      </c>
      <c r="S79" s="9"/>
      <c r="T79" s="9"/>
      <c r="U79" s="9" t="str">
        <f aca="false">IF(COUNTIF($A$2:$A$5001,A79)&gt;1,"Duplicate","Unique")</f>
        <v>Unique</v>
      </c>
      <c r="V79" s="9" t="str">
        <f aca="false">IF(COUNTIFS($B$2:$B$5001,B79,$H$2:$H$5001,H79,$J$2:$J$5001,J79)&gt;1,"Possible Duplicate Booking","Unique")</f>
        <v>Unique</v>
      </c>
      <c r="W79" s="9" t="str">
        <f aca="false">IF((H79-G79)&lt;&gt;K79,"Mismatch","OK")</f>
        <v>OK</v>
      </c>
      <c r="X79" s="9" t="str">
        <f aca="false">IF(TEXT(H79,"dddd")&lt;&gt;I79,"Mismatch","OK")</f>
        <v>OK</v>
      </c>
      <c r="Y79" s="9" t="str">
        <f aca="false">IF(AND(N79="No",O79&lt;&gt;""),"Unexpected: channel present but no reminder sent",IF(AND(N79="Yes",O79=""),"Missing channel for sent reminder","OK"))</f>
        <v>OK</v>
      </c>
    </row>
    <row r="80" customFormat="false" ht="15" hidden="false" customHeight="false" outlineLevel="0" collapsed="false">
      <c r="A80" s="7" t="s">
        <v>220</v>
      </c>
      <c r="B80" s="7" t="s">
        <v>221</v>
      </c>
      <c r="C80" s="7" t="s">
        <v>47</v>
      </c>
      <c r="D80" s="7" t="n">
        <v>77</v>
      </c>
      <c r="E80" s="7" t="s">
        <v>70</v>
      </c>
      <c r="F80" s="7" t="s">
        <v>57</v>
      </c>
      <c r="G80" s="8" t="n">
        <v>45917</v>
      </c>
      <c r="H80" s="8" t="n">
        <v>45966</v>
      </c>
      <c r="I80" s="7" t="s">
        <v>58</v>
      </c>
      <c r="J80" s="7" t="s">
        <v>51</v>
      </c>
      <c r="K80" s="7" t="n">
        <v>49</v>
      </c>
      <c r="L80" s="7" t="n">
        <v>4</v>
      </c>
      <c r="M80" s="7" t="n">
        <v>1</v>
      </c>
      <c r="N80" s="7" t="s">
        <v>42</v>
      </c>
      <c r="O80" s="7" t="s">
        <v>43</v>
      </c>
      <c r="P80" s="7" t="n">
        <v>3.8</v>
      </c>
      <c r="Q80" s="7" t="n">
        <v>26</v>
      </c>
      <c r="R80" s="7" t="s">
        <v>44</v>
      </c>
      <c r="S80" s="7"/>
      <c r="T80" s="7"/>
      <c r="U80" s="7" t="str">
        <f aca="false">IF(COUNTIF($A$2:$A$5001,A80)&gt;1,"Duplicate","Unique")</f>
        <v>Unique</v>
      </c>
      <c r="V80" s="7" t="str">
        <f aca="false">IF(COUNTIFS($B$2:$B$5001,B80,$H$2:$H$5001,H80,$J$2:$J$5001,J80)&gt;1,"Possible Duplicate Booking","Unique")</f>
        <v>Unique</v>
      </c>
      <c r="W80" s="7" t="str">
        <f aca="false">IF((H80-G80)&lt;&gt;K80,"Mismatch","OK")</f>
        <v>OK</v>
      </c>
      <c r="X80" s="7" t="str">
        <f aca="false">IF(TEXT(H80,"dddd")&lt;&gt;I80,"Mismatch","OK")</f>
        <v>OK</v>
      </c>
      <c r="Y80" s="7" t="str">
        <f aca="false">IF(AND(N80="No",O80&lt;&gt;""),"Unexpected: channel present but no reminder sent",IF(AND(N80="Yes",O80=""),"Missing channel for sent reminder","OK"))</f>
        <v>OK</v>
      </c>
    </row>
    <row r="81" customFormat="false" ht="15" hidden="false" customHeight="false" outlineLevel="0" collapsed="false">
      <c r="A81" s="9" t="s">
        <v>222</v>
      </c>
      <c r="B81" s="9" t="s">
        <v>223</v>
      </c>
      <c r="C81" s="9" t="s">
        <v>37</v>
      </c>
      <c r="D81" s="9" t="n">
        <v>66</v>
      </c>
      <c r="E81" s="9" t="s">
        <v>70</v>
      </c>
      <c r="F81" s="9" t="s">
        <v>57</v>
      </c>
      <c r="G81" s="10" t="n">
        <v>45992</v>
      </c>
      <c r="H81" s="10" t="n">
        <v>46023</v>
      </c>
      <c r="I81" s="9" t="s">
        <v>62</v>
      </c>
      <c r="J81" s="9" t="s">
        <v>41</v>
      </c>
      <c r="K81" s="9" t="n">
        <v>31</v>
      </c>
      <c r="L81" s="9" t="n">
        <v>5</v>
      </c>
      <c r="M81" s="9" t="n">
        <v>1</v>
      </c>
      <c r="N81" s="9" t="s">
        <v>71</v>
      </c>
      <c r="O81" s="9"/>
      <c r="P81" s="9" t="n">
        <v>26.8</v>
      </c>
      <c r="Q81" s="9" t="n">
        <v>23</v>
      </c>
      <c r="R81" s="9" t="s">
        <v>53</v>
      </c>
      <c r="S81" s="9"/>
      <c r="T81" s="9"/>
      <c r="U81" s="9" t="str">
        <f aca="false">IF(COUNTIF($A$2:$A$5001,A81)&gt;1,"Duplicate","Unique")</f>
        <v>Unique</v>
      </c>
      <c r="V81" s="9" t="str">
        <f aca="false">IF(COUNTIFS($B$2:$B$5001,B81,$H$2:$H$5001,H81,$J$2:$J$5001,J81)&gt;1,"Possible Duplicate Booking","Unique")</f>
        <v>Unique</v>
      </c>
      <c r="W81" s="9" t="str">
        <f aca="false">IF((H81-G81)&lt;&gt;K81,"Mismatch","OK")</f>
        <v>OK</v>
      </c>
      <c r="X81" s="9" t="str">
        <f aca="false">IF(TEXT(H81,"dddd")&lt;&gt;I81,"Mismatch","OK")</f>
        <v>OK</v>
      </c>
      <c r="Y81" s="9" t="str">
        <f aca="false">IF(AND(N81="No",O81&lt;&gt;""),"Unexpected: channel present but no reminder sent",IF(AND(N81="Yes",O81=""),"Missing channel for sent reminder","OK"))</f>
        <v>OK</v>
      </c>
    </row>
    <row r="82" customFormat="false" ht="15" hidden="false" customHeight="false" outlineLevel="0" collapsed="false">
      <c r="A82" s="7" t="s">
        <v>224</v>
      </c>
      <c r="B82" s="7" t="s">
        <v>225</v>
      </c>
      <c r="C82" s="7" t="s">
        <v>37</v>
      </c>
      <c r="D82" s="7" t="n">
        <v>26</v>
      </c>
      <c r="E82" s="7" t="s">
        <v>48</v>
      </c>
      <c r="F82" s="7" t="s">
        <v>57</v>
      </c>
      <c r="G82" s="8" t="n">
        <v>46152</v>
      </c>
      <c r="H82" s="8" t="n">
        <v>46171</v>
      </c>
      <c r="I82" s="7" t="s">
        <v>50</v>
      </c>
      <c r="J82" s="7" t="s">
        <v>51</v>
      </c>
      <c r="K82" s="7" t="n">
        <v>19</v>
      </c>
      <c r="L82" s="7" t="n">
        <v>1</v>
      </c>
      <c r="M82" s="7" t="n">
        <v>0</v>
      </c>
      <c r="N82" s="7" t="s">
        <v>42</v>
      </c>
      <c r="O82" s="7" t="s">
        <v>52</v>
      </c>
      <c r="P82" s="7" t="n">
        <v>2.6</v>
      </c>
      <c r="Q82" s="7" t="n">
        <v>13</v>
      </c>
      <c r="R82" s="7" t="s">
        <v>53</v>
      </c>
      <c r="S82" s="7"/>
      <c r="T82" s="7"/>
      <c r="U82" s="7" t="str">
        <f aca="false">IF(COUNTIF($A$2:$A$5001,A82)&gt;1,"Duplicate","Unique")</f>
        <v>Unique</v>
      </c>
      <c r="V82" s="7" t="str">
        <f aca="false">IF(COUNTIFS($B$2:$B$5001,B82,$H$2:$H$5001,H82,$J$2:$J$5001,J82)&gt;1,"Possible Duplicate Booking","Unique")</f>
        <v>Unique</v>
      </c>
      <c r="W82" s="7" t="str">
        <f aca="false">IF((H82-G82)&lt;&gt;K82,"Mismatch","OK")</f>
        <v>OK</v>
      </c>
      <c r="X82" s="7" t="str">
        <f aca="false">IF(TEXT(H82,"dddd")&lt;&gt;I82,"Mismatch","OK")</f>
        <v>OK</v>
      </c>
      <c r="Y82" s="7" t="str">
        <f aca="false">IF(AND(N82="No",O82&lt;&gt;""),"Unexpected: channel present but no reminder sent",IF(AND(N82="Yes",O82=""),"Missing channel for sent reminder","OK"))</f>
        <v>OK</v>
      </c>
    </row>
    <row r="83" customFormat="false" ht="15" hidden="false" customHeight="false" outlineLevel="0" collapsed="false">
      <c r="A83" s="9" t="s">
        <v>226</v>
      </c>
      <c r="B83" s="9" t="s">
        <v>227</v>
      </c>
      <c r="C83" s="9" t="s">
        <v>47</v>
      </c>
      <c r="D83" s="9" t="n">
        <v>33</v>
      </c>
      <c r="E83" s="9" t="s">
        <v>48</v>
      </c>
      <c r="F83" s="9" t="s">
        <v>49</v>
      </c>
      <c r="G83" s="10" t="n">
        <v>45866</v>
      </c>
      <c r="H83" s="10" t="n">
        <v>45896</v>
      </c>
      <c r="I83" s="9" t="s">
        <v>58</v>
      </c>
      <c r="J83" s="9" t="s">
        <v>51</v>
      </c>
      <c r="K83" s="9" t="n">
        <v>30</v>
      </c>
      <c r="L83" s="9" t="n">
        <v>2</v>
      </c>
      <c r="M83" s="9" t="n">
        <v>0</v>
      </c>
      <c r="N83" s="9" t="s">
        <v>42</v>
      </c>
      <c r="O83" s="9" t="s">
        <v>43</v>
      </c>
      <c r="P83" s="9" t="n">
        <v>8.5</v>
      </c>
      <c r="Q83" s="9" t="n">
        <v>14</v>
      </c>
      <c r="R83" s="9" t="s">
        <v>44</v>
      </c>
      <c r="S83" s="9"/>
      <c r="T83" s="9"/>
      <c r="U83" s="9" t="str">
        <f aca="false">IF(COUNTIF($A$2:$A$5001,A83)&gt;1,"Duplicate","Unique")</f>
        <v>Unique</v>
      </c>
      <c r="V83" s="9" t="str">
        <f aca="false">IF(COUNTIFS($B$2:$B$5001,B83,$H$2:$H$5001,H83,$J$2:$J$5001,J83)&gt;1,"Possible Duplicate Booking","Unique")</f>
        <v>Unique</v>
      </c>
      <c r="W83" s="9" t="str">
        <f aca="false">IF((H83-G83)&lt;&gt;K83,"Mismatch","OK")</f>
        <v>OK</v>
      </c>
      <c r="X83" s="9" t="str">
        <f aca="false">IF(TEXT(H83,"dddd")&lt;&gt;I83,"Mismatch","OK")</f>
        <v>OK</v>
      </c>
      <c r="Y83" s="9" t="str">
        <f aca="false">IF(AND(N83="No",O83&lt;&gt;""),"Unexpected: channel present but no reminder sent",IF(AND(N83="Yes",O83=""),"Missing channel for sent reminder","OK"))</f>
        <v>OK</v>
      </c>
    </row>
    <row r="84" customFormat="false" ht="15" hidden="false" customHeight="false" outlineLevel="0" collapsed="false">
      <c r="A84" s="7" t="s">
        <v>228</v>
      </c>
      <c r="B84" s="7" t="s">
        <v>229</v>
      </c>
      <c r="C84" s="7" t="s">
        <v>37</v>
      </c>
      <c r="D84" s="7" t="n">
        <v>31</v>
      </c>
      <c r="E84" s="7" t="s">
        <v>48</v>
      </c>
      <c r="F84" s="7" t="s">
        <v>57</v>
      </c>
      <c r="G84" s="8" t="n">
        <v>45745</v>
      </c>
      <c r="H84" s="8" t="n">
        <v>45745</v>
      </c>
      <c r="I84" s="7" t="s">
        <v>102</v>
      </c>
      <c r="J84" s="7" t="s">
        <v>41</v>
      </c>
      <c r="K84" s="7" t="n">
        <v>0</v>
      </c>
      <c r="L84" s="7" t="n">
        <v>4</v>
      </c>
      <c r="M84" s="7" t="n">
        <v>2</v>
      </c>
      <c r="N84" s="7" t="s">
        <v>71</v>
      </c>
      <c r="O84" s="7"/>
      <c r="P84" s="7" t="n">
        <v>9</v>
      </c>
      <c r="Q84" s="7" t="n">
        <v>21</v>
      </c>
      <c r="R84" s="7" t="s">
        <v>53</v>
      </c>
      <c r="S84" s="7"/>
      <c r="T84" s="7"/>
      <c r="U84" s="7" t="str">
        <f aca="false">IF(COUNTIF($A$2:$A$5001,A84)&gt;1,"Duplicate","Unique")</f>
        <v>Unique</v>
      </c>
      <c r="V84" s="7" t="str">
        <f aca="false">IF(COUNTIFS($B$2:$B$5001,B84,$H$2:$H$5001,H84,$J$2:$J$5001,J84)&gt;1,"Possible Duplicate Booking","Unique")</f>
        <v>Unique</v>
      </c>
      <c r="W84" s="7" t="str">
        <f aca="false">IF((H84-G84)&lt;&gt;K84,"Mismatch","OK")</f>
        <v>OK</v>
      </c>
      <c r="X84" s="7" t="str">
        <f aca="false">IF(TEXT(H84,"dddd")&lt;&gt;I84,"Mismatch","OK")</f>
        <v>OK</v>
      </c>
      <c r="Y84" s="7" t="str">
        <f aca="false">IF(AND(N84="No",O84&lt;&gt;""),"Unexpected: channel present but no reminder sent",IF(AND(N84="Yes",O84=""),"Missing channel for sent reminder","OK"))</f>
        <v>OK</v>
      </c>
    </row>
    <row r="85" customFormat="false" ht="15" hidden="false" customHeight="false" outlineLevel="0" collapsed="false">
      <c r="A85" s="9" t="s">
        <v>230</v>
      </c>
      <c r="B85" s="9" t="s">
        <v>231</v>
      </c>
      <c r="C85" s="9" t="s">
        <v>37</v>
      </c>
      <c r="D85" s="9" t="n">
        <v>27</v>
      </c>
      <c r="E85" s="9" t="s">
        <v>48</v>
      </c>
      <c r="F85" s="9" t="s">
        <v>49</v>
      </c>
      <c r="G85" s="10" t="n">
        <v>46086</v>
      </c>
      <c r="H85" s="10" t="n">
        <v>46112</v>
      </c>
      <c r="I85" s="9" t="s">
        <v>40</v>
      </c>
      <c r="J85" s="9" t="s">
        <v>41</v>
      </c>
      <c r="K85" s="9" t="n">
        <v>26</v>
      </c>
      <c r="L85" s="9" t="n">
        <v>0</v>
      </c>
      <c r="M85" s="9" t="n">
        <v>0</v>
      </c>
      <c r="N85" s="9" t="s">
        <v>42</v>
      </c>
      <c r="O85" s="9" t="s">
        <v>43</v>
      </c>
      <c r="P85" s="9" t="n">
        <v>23.8</v>
      </c>
      <c r="Q85" s="9" t="n">
        <v>38</v>
      </c>
      <c r="R85" s="9" t="s">
        <v>53</v>
      </c>
      <c r="S85" s="9"/>
      <c r="T85" s="9"/>
      <c r="U85" s="9" t="str">
        <f aca="false">IF(COUNTIF($A$2:$A$5001,A85)&gt;1,"Duplicate","Unique")</f>
        <v>Unique</v>
      </c>
      <c r="V85" s="9" t="str">
        <f aca="false">IF(COUNTIFS($B$2:$B$5001,B85,$H$2:$H$5001,H85,$J$2:$J$5001,J85)&gt;1,"Possible Duplicate Booking","Unique")</f>
        <v>Unique</v>
      </c>
      <c r="W85" s="9" t="str">
        <f aca="false">IF((H85-G85)&lt;&gt;K85,"Mismatch","OK")</f>
        <v>OK</v>
      </c>
      <c r="X85" s="9" t="str">
        <f aca="false">IF(TEXT(H85,"dddd")&lt;&gt;I85,"Mismatch","OK")</f>
        <v>OK</v>
      </c>
      <c r="Y85" s="9" t="str">
        <f aca="false">IF(AND(N85="No",O85&lt;&gt;""),"Unexpected: channel present but no reminder sent",IF(AND(N85="Yes",O85=""),"Missing channel for sent reminder","OK"))</f>
        <v>OK</v>
      </c>
    </row>
    <row r="86" customFormat="false" ht="15" hidden="false" customHeight="false" outlineLevel="0" collapsed="false">
      <c r="A86" s="7" t="s">
        <v>232</v>
      </c>
      <c r="B86" s="7" t="s">
        <v>233</v>
      </c>
      <c r="C86" s="7" t="s">
        <v>37</v>
      </c>
      <c r="D86" s="7" t="n">
        <v>29</v>
      </c>
      <c r="E86" s="7" t="s">
        <v>48</v>
      </c>
      <c r="F86" s="7" t="s">
        <v>39</v>
      </c>
      <c r="G86" s="8" t="n">
        <v>45970</v>
      </c>
      <c r="H86" s="8" t="n">
        <v>46001</v>
      </c>
      <c r="I86" s="7" t="s">
        <v>58</v>
      </c>
      <c r="J86" s="7" t="s">
        <v>41</v>
      </c>
      <c r="K86" s="7" t="n">
        <v>31</v>
      </c>
      <c r="L86" s="7" t="n">
        <v>5</v>
      </c>
      <c r="M86" s="7" t="n">
        <v>3</v>
      </c>
      <c r="N86" s="7" t="s">
        <v>42</v>
      </c>
      <c r="O86" s="7" t="s">
        <v>52</v>
      </c>
      <c r="P86" s="7" t="n">
        <v>13.6</v>
      </c>
      <c r="Q86" s="7" t="n">
        <v>29</v>
      </c>
      <c r="R86" s="7" t="s">
        <v>44</v>
      </c>
      <c r="S86" s="7"/>
      <c r="T86" s="7"/>
      <c r="U86" s="7" t="str">
        <f aca="false">IF(COUNTIF($A$2:$A$5001,A86)&gt;1,"Duplicate","Unique")</f>
        <v>Unique</v>
      </c>
      <c r="V86" s="7" t="str">
        <f aca="false">IF(COUNTIFS($B$2:$B$5001,B86,$H$2:$H$5001,H86,$J$2:$J$5001,J86)&gt;1,"Possible Duplicate Booking","Unique")</f>
        <v>Unique</v>
      </c>
      <c r="W86" s="7" t="str">
        <f aca="false">IF((H86-G86)&lt;&gt;K86,"Mismatch","OK")</f>
        <v>OK</v>
      </c>
      <c r="X86" s="7" t="str">
        <f aca="false">IF(TEXT(H86,"dddd")&lt;&gt;I86,"Mismatch","OK")</f>
        <v>OK</v>
      </c>
      <c r="Y86" s="7" t="str">
        <f aca="false">IF(AND(N86="No",O86&lt;&gt;""),"Unexpected: channel present but no reminder sent",IF(AND(N86="Yes",O86=""),"Missing channel for sent reminder","OK"))</f>
        <v>OK</v>
      </c>
    </row>
    <row r="87" customFormat="false" ht="15" hidden="false" customHeight="false" outlineLevel="0" collapsed="false">
      <c r="A87" s="9" t="s">
        <v>234</v>
      </c>
      <c r="B87" s="9" t="s">
        <v>235</v>
      </c>
      <c r="C87" s="9" t="s">
        <v>236</v>
      </c>
      <c r="D87" s="9" t="n">
        <v>37</v>
      </c>
      <c r="E87" s="9" t="s">
        <v>38</v>
      </c>
      <c r="F87" s="9" t="s">
        <v>57</v>
      </c>
      <c r="G87" s="10" t="n">
        <v>46020</v>
      </c>
      <c r="H87" s="10" t="n">
        <v>46040</v>
      </c>
      <c r="I87" s="9" t="s">
        <v>75</v>
      </c>
      <c r="J87" s="9" t="s">
        <v>51</v>
      </c>
      <c r="K87" s="9" t="n">
        <v>20</v>
      </c>
      <c r="L87" s="9" t="n">
        <v>6</v>
      </c>
      <c r="M87" s="9" t="n">
        <v>1</v>
      </c>
      <c r="N87" s="9" t="s">
        <v>42</v>
      </c>
      <c r="O87" s="9" t="s">
        <v>52</v>
      </c>
      <c r="P87" s="9" t="n">
        <v>0.5</v>
      </c>
      <c r="Q87" s="9" t="n">
        <v>23</v>
      </c>
      <c r="R87" s="9" t="s">
        <v>44</v>
      </c>
      <c r="S87" s="9"/>
      <c r="T87" s="9"/>
      <c r="U87" s="9" t="str">
        <f aca="false">IF(COUNTIF($A$2:$A$5001,A87)&gt;1,"Duplicate","Unique")</f>
        <v>Unique</v>
      </c>
      <c r="V87" s="9" t="str">
        <f aca="false">IF(COUNTIFS($B$2:$B$5001,B87,$H$2:$H$5001,H87,$J$2:$J$5001,J87)&gt;1,"Possible Duplicate Booking","Unique")</f>
        <v>Unique</v>
      </c>
      <c r="W87" s="9" t="str">
        <f aca="false">IF((H87-G87)&lt;&gt;K87,"Mismatch","OK")</f>
        <v>OK</v>
      </c>
      <c r="X87" s="9" t="str">
        <f aca="false">IF(TEXT(H87,"dddd")&lt;&gt;I87,"Mismatch","OK")</f>
        <v>OK</v>
      </c>
      <c r="Y87" s="9" t="str">
        <f aca="false">IF(AND(N87="No",O87&lt;&gt;""),"Unexpected: channel present but no reminder sent",IF(AND(N87="Yes",O87=""),"Missing channel for sent reminder","OK"))</f>
        <v>OK</v>
      </c>
    </row>
    <row r="88" customFormat="false" ht="15" hidden="false" customHeight="false" outlineLevel="0" collapsed="false">
      <c r="A88" s="7" t="s">
        <v>237</v>
      </c>
      <c r="B88" s="7" t="s">
        <v>238</v>
      </c>
      <c r="C88" s="7" t="s">
        <v>47</v>
      </c>
      <c r="D88" s="7" t="n">
        <v>52</v>
      </c>
      <c r="E88" s="7" t="s">
        <v>56</v>
      </c>
      <c r="F88" s="7" t="s">
        <v>57</v>
      </c>
      <c r="G88" s="8" t="n">
        <v>45661</v>
      </c>
      <c r="H88" s="8" t="n">
        <v>45711</v>
      </c>
      <c r="I88" s="7" t="s">
        <v>75</v>
      </c>
      <c r="J88" s="7" t="s">
        <v>51</v>
      </c>
      <c r="K88" s="7" t="n">
        <v>50</v>
      </c>
      <c r="L88" s="7" t="n">
        <v>3</v>
      </c>
      <c r="M88" s="7" t="n">
        <v>1</v>
      </c>
      <c r="N88" s="7" t="s">
        <v>42</v>
      </c>
      <c r="O88" s="7" t="s">
        <v>43</v>
      </c>
      <c r="P88" s="7" t="n">
        <v>2.3</v>
      </c>
      <c r="Q88" s="7" t="n">
        <v>21</v>
      </c>
      <c r="R88" s="7" t="s">
        <v>44</v>
      </c>
      <c r="S88" s="7"/>
      <c r="T88" s="7"/>
      <c r="U88" s="7" t="str">
        <f aca="false">IF(COUNTIF($A$2:$A$5001,A88)&gt;1,"Duplicate","Unique")</f>
        <v>Unique</v>
      </c>
      <c r="V88" s="7" t="str">
        <f aca="false">IF(COUNTIFS($B$2:$B$5001,B88,$H$2:$H$5001,H88,$J$2:$J$5001,J88)&gt;1,"Possible Duplicate Booking","Unique")</f>
        <v>Unique</v>
      </c>
      <c r="W88" s="7" t="str">
        <f aca="false">IF((H88-G88)&lt;&gt;K88,"Mismatch","OK")</f>
        <v>OK</v>
      </c>
      <c r="X88" s="7" t="str">
        <f aca="false">IF(TEXT(H88,"dddd")&lt;&gt;I88,"Mismatch","OK")</f>
        <v>OK</v>
      </c>
      <c r="Y88" s="7" t="str">
        <f aca="false">IF(AND(N88="No",O88&lt;&gt;""),"Unexpected: channel present but no reminder sent",IF(AND(N88="Yes",O88=""),"Missing channel for sent reminder","OK"))</f>
        <v>OK</v>
      </c>
    </row>
    <row r="89" customFormat="false" ht="15" hidden="false" customHeight="false" outlineLevel="0" collapsed="false">
      <c r="A89" s="9" t="s">
        <v>239</v>
      </c>
      <c r="B89" s="9" t="s">
        <v>240</v>
      </c>
      <c r="C89" s="9" t="s">
        <v>37</v>
      </c>
      <c r="D89" s="9" t="n">
        <v>43</v>
      </c>
      <c r="E89" s="9" t="s">
        <v>38</v>
      </c>
      <c r="F89" s="9" t="s">
        <v>74</v>
      </c>
      <c r="G89" s="10" t="n">
        <v>45813</v>
      </c>
      <c r="H89" s="10" t="n">
        <v>45828</v>
      </c>
      <c r="I89" s="9" t="s">
        <v>50</v>
      </c>
      <c r="J89" s="9" t="s">
        <v>41</v>
      </c>
      <c r="K89" s="9" t="n">
        <v>15</v>
      </c>
      <c r="L89" s="9" t="n">
        <v>3</v>
      </c>
      <c r="M89" s="9" t="n">
        <v>1</v>
      </c>
      <c r="N89" s="9" t="s">
        <v>42</v>
      </c>
      <c r="O89" s="9" t="s">
        <v>52</v>
      </c>
      <c r="P89" s="9" t="n">
        <v>15.7</v>
      </c>
      <c r="Q89" s="9" t="n">
        <v>11</v>
      </c>
      <c r="R89" s="9" t="s">
        <v>44</v>
      </c>
      <c r="S89" s="9"/>
      <c r="T89" s="9"/>
      <c r="U89" s="9" t="str">
        <f aca="false">IF(COUNTIF($A$2:$A$5001,A89)&gt;1,"Duplicate","Unique")</f>
        <v>Unique</v>
      </c>
      <c r="V89" s="9" t="str">
        <f aca="false">IF(COUNTIFS($B$2:$B$5001,B89,$H$2:$H$5001,H89,$J$2:$J$5001,J89)&gt;1,"Possible Duplicate Booking","Unique")</f>
        <v>Unique</v>
      </c>
      <c r="W89" s="9" t="str">
        <f aca="false">IF((H89-G89)&lt;&gt;K89,"Mismatch","OK")</f>
        <v>OK</v>
      </c>
      <c r="X89" s="9" t="str">
        <f aca="false">IF(TEXT(H89,"dddd")&lt;&gt;I89,"Mismatch","OK")</f>
        <v>OK</v>
      </c>
      <c r="Y89" s="9" t="str">
        <f aca="false">IF(AND(N89="No",O89&lt;&gt;""),"Unexpected: channel present but no reminder sent",IF(AND(N89="Yes",O89=""),"Missing channel for sent reminder","OK"))</f>
        <v>OK</v>
      </c>
    </row>
    <row r="90" customFormat="false" ht="15" hidden="false" customHeight="false" outlineLevel="0" collapsed="false">
      <c r="A90" s="7" t="s">
        <v>241</v>
      </c>
      <c r="B90" s="7" t="s">
        <v>242</v>
      </c>
      <c r="C90" s="7" t="s">
        <v>47</v>
      </c>
      <c r="D90" s="7" t="n">
        <v>44</v>
      </c>
      <c r="E90" s="7" t="s">
        <v>38</v>
      </c>
      <c r="F90" s="7" t="s">
        <v>39</v>
      </c>
      <c r="G90" s="8" t="n">
        <v>46069</v>
      </c>
      <c r="H90" s="8" t="n">
        <v>46077</v>
      </c>
      <c r="I90" s="7" t="s">
        <v>40</v>
      </c>
      <c r="J90" s="7" t="s">
        <v>41</v>
      </c>
      <c r="K90" s="7" t="n">
        <v>8</v>
      </c>
      <c r="L90" s="7" t="n">
        <v>3</v>
      </c>
      <c r="M90" s="7" t="n">
        <v>0</v>
      </c>
      <c r="N90" s="7" t="s">
        <v>42</v>
      </c>
      <c r="O90" s="7" t="s">
        <v>67</v>
      </c>
      <c r="P90" s="7" t="n">
        <v>18.9</v>
      </c>
      <c r="Q90" s="7" t="n">
        <v>14</v>
      </c>
      <c r="R90" s="7" t="s">
        <v>44</v>
      </c>
      <c r="S90" s="7"/>
      <c r="T90" s="7"/>
      <c r="U90" s="7" t="str">
        <f aca="false">IF(COUNTIF($A$2:$A$5001,A90)&gt;1,"Duplicate","Unique")</f>
        <v>Unique</v>
      </c>
      <c r="V90" s="7" t="str">
        <f aca="false">IF(COUNTIFS($B$2:$B$5001,B90,$H$2:$H$5001,H90,$J$2:$J$5001,J90)&gt;1,"Possible Duplicate Booking","Unique")</f>
        <v>Unique</v>
      </c>
      <c r="W90" s="7" t="str">
        <f aca="false">IF((H90-G90)&lt;&gt;K90,"Mismatch","OK")</f>
        <v>OK</v>
      </c>
      <c r="X90" s="7" t="str">
        <f aca="false">IF(TEXT(H90,"dddd")&lt;&gt;I90,"Mismatch","OK")</f>
        <v>OK</v>
      </c>
      <c r="Y90" s="7" t="str">
        <f aca="false">IF(AND(N90="No",O90&lt;&gt;""),"Unexpected: channel present but no reminder sent",IF(AND(N90="Yes",O90=""),"Missing channel for sent reminder","OK"))</f>
        <v>OK</v>
      </c>
    </row>
    <row r="91" customFormat="false" ht="15" hidden="false" customHeight="false" outlineLevel="0" collapsed="false">
      <c r="A91" s="9" t="s">
        <v>243</v>
      </c>
      <c r="B91" s="9" t="s">
        <v>244</v>
      </c>
      <c r="C91" s="9" t="s">
        <v>37</v>
      </c>
      <c r="D91" s="9" t="n">
        <v>33</v>
      </c>
      <c r="E91" s="9" t="s">
        <v>48</v>
      </c>
      <c r="F91" s="9" t="s">
        <v>39</v>
      </c>
      <c r="G91" s="10" t="n">
        <v>46080</v>
      </c>
      <c r="H91" s="10" t="n">
        <v>46112</v>
      </c>
      <c r="I91" s="9" t="s">
        <v>40</v>
      </c>
      <c r="J91" s="9" t="s">
        <v>41</v>
      </c>
      <c r="K91" s="9" t="n">
        <v>32</v>
      </c>
      <c r="L91" s="9" t="n">
        <v>5</v>
      </c>
      <c r="M91" s="9" t="n">
        <v>1</v>
      </c>
      <c r="N91" s="9" t="s">
        <v>42</v>
      </c>
      <c r="O91" s="9" t="s">
        <v>52</v>
      </c>
      <c r="P91" s="9" t="n">
        <v>10.3</v>
      </c>
      <c r="Q91" s="9" t="n">
        <v>26</v>
      </c>
      <c r="R91" s="9" t="s">
        <v>53</v>
      </c>
      <c r="S91" s="9"/>
      <c r="T91" s="9"/>
      <c r="U91" s="9" t="str">
        <f aca="false">IF(COUNTIF($A$2:$A$5001,A91)&gt;1,"Duplicate","Unique")</f>
        <v>Unique</v>
      </c>
      <c r="V91" s="9" t="str">
        <f aca="false">IF(COUNTIFS($B$2:$B$5001,B91,$H$2:$H$5001,H91,$J$2:$J$5001,J91)&gt;1,"Possible Duplicate Booking","Unique")</f>
        <v>Unique</v>
      </c>
      <c r="W91" s="9" t="str">
        <f aca="false">IF((H91-G91)&lt;&gt;K91,"Mismatch","OK")</f>
        <v>OK</v>
      </c>
      <c r="X91" s="9" t="str">
        <f aca="false">IF(TEXT(H91,"dddd")&lt;&gt;I91,"Mismatch","OK")</f>
        <v>OK</v>
      </c>
      <c r="Y91" s="9" t="str">
        <f aca="false">IF(AND(N91="No",O91&lt;&gt;""),"Unexpected: channel present but no reminder sent",IF(AND(N91="Yes",O91=""),"Missing channel for sent reminder","OK"))</f>
        <v>OK</v>
      </c>
    </row>
    <row r="92" customFormat="false" ht="15" hidden="false" customHeight="false" outlineLevel="0" collapsed="false">
      <c r="A92" s="7" t="s">
        <v>245</v>
      </c>
      <c r="B92" s="7" t="s">
        <v>246</v>
      </c>
      <c r="C92" s="7" t="s">
        <v>47</v>
      </c>
      <c r="D92" s="7" t="n">
        <v>27</v>
      </c>
      <c r="E92" s="7" t="s">
        <v>48</v>
      </c>
      <c r="F92" s="7" t="s">
        <v>57</v>
      </c>
      <c r="G92" s="8" t="n">
        <v>45841</v>
      </c>
      <c r="H92" s="8" t="n">
        <v>45895</v>
      </c>
      <c r="I92" s="7" t="s">
        <v>40</v>
      </c>
      <c r="J92" s="7" t="s">
        <v>41</v>
      </c>
      <c r="K92" s="7" t="n">
        <v>54</v>
      </c>
      <c r="L92" s="7" t="n">
        <v>6</v>
      </c>
      <c r="M92" s="7" t="n">
        <v>3</v>
      </c>
      <c r="N92" s="7" t="s">
        <v>42</v>
      </c>
      <c r="O92" s="7" t="s">
        <v>67</v>
      </c>
      <c r="P92" s="7" t="n">
        <v>2.3</v>
      </c>
      <c r="Q92" s="7" t="n">
        <v>24</v>
      </c>
      <c r="R92" s="7" t="s">
        <v>44</v>
      </c>
      <c r="S92" s="7"/>
      <c r="T92" s="7"/>
      <c r="U92" s="7" t="str">
        <f aca="false">IF(COUNTIF($A$2:$A$5001,A92)&gt;1,"Duplicate","Unique")</f>
        <v>Unique</v>
      </c>
      <c r="V92" s="7" t="str">
        <f aca="false">IF(COUNTIFS($B$2:$B$5001,B92,$H$2:$H$5001,H92,$J$2:$J$5001,J92)&gt;1,"Possible Duplicate Booking","Unique")</f>
        <v>Unique</v>
      </c>
      <c r="W92" s="7" t="str">
        <f aca="false">IF((H92-G92)&lt;&gt;K92,"Mismatch","OK")</f>
        <v>OK</v>
      </c>
      <c r="X92" s="7" t="str">
        <f aca="false">IF(TEXT(H92,"dddd")&lt;&gt;I92,"Mismatch","OK")</f>
        <v>OK</v>
      </c>
      <c r="Y92" s="7" t="str">
        <f aca="false">IF(AND(N92="No",O92&lt;&gt;""),"Unexpected: channel present but no reminder sent",IF(AND(N92="Yes",O92=""),"Missing channel for sent reminder","OK"))</f>
        <v>OK</v>
      </c>
    </row>
    <row r="93" customFormat="false" ht="15" hidden="false" customHeight="false" outlineLevel="0" collapsed="false">
      <c r="A93" s="9" t="s">
        <v>247</v>
      </c>
      <c r="B93" s="9" t="s">
        <v>248</v>
      </c>
      <c r="C93" s="9" t="s">
        <v>37</v>
      </c>
      <c r="D93" s="9" t="n">
        <v>80</v>
      </c>
      <c r="E93" s="9" t="s">
        <v>70</v>
      </c>
      <c r="F93" s="9" t="s">
        <v>74</v>
      </c>
      <c r="G93" s="10" t="n">
        <v>46075</v>
      </c>
      <c r="H93" s="10" t="n">
        <v>46097</v>
      </c>
      <c r="I93" s="9" t="s">
        <v>66</v>
      </c>
      <c r="J93" s="9" t="s">
        <v>63</v>
      </c>
      <c r="K93" s="9" t="n">
        <v>22</v>
      </c>
      <c r="L93" s="9" t="n">
        <v>3</v>
      </c>
      <c r="M93" s="9" t="n">
        <v>0</v>
      </c>
      <c r="N93" s="9" t="s">
        <v>42</v>
      </c>
      <c r="O93" s="9" t="s">
        <v>43</v>
      </c>
      <c r="P93" s="9" t="n">
        <v>6.3</v>
      </c>
      <c r="Q93" s="9" t="n">
        <v>33</v>
      </c>
      <c r="R93" s="9" t="s">
        <v>53</v>
      </c>
      <c r="S93" s="9"/>
      <c r="T93" s="9"/>
      <c r="U93" s="9" t="str">
        <f aca="false">IF(COUNTIF($A$2:$A$5001,A93)&gt;1,"Duplicate","Unique")</f>
        <v>Unique</v>
      </c>
      <c r="V93" s="9" t="str">
        <f aca="false">IF(COUNTIFS($B$2:$B$5001,B93,$H$2:$H$5001,H93,$J$2:$J$5001,J93)&gt;1,"Possible Duplicate Booking","Unique")</f>
        <v>Unique</v>
      </c>
      <c r="W93" s="9" t="str">
        <f aca="false">IF((H93-G93)&lt;&gt;K93,"Mismatch","OK")</f>
        <v>OK</v>
      </c>
      <c r="X93" s="9" t="str">
        <f aca="false">IF(TEXT(H93,"dddd")&lt;&gt;I93,"Mismatch","OK")</f>
        <v>OK</v>
      </c>
      <c r="Y93" s="9" t="str">
        <f aca="false">IF(AND(N93="No",O93&lt;&gt;""),"Unexpected: channel present but no reminder sent",IF(AND(N93="Yes",O93=""),"Missing channel for sent reminder","OK"))</f>
        <v>OK</v>
      </c>
    </row>
    <row r="94" customFormat="false" ht="15" hidden="false" customHeight="false" outlineLevel="0" collapsed="false">
      <c r="A94" s="7" t="s">
        <v>249</v>
      </c>
      <c r="B94" s="7" t="s">
        <v>250</v>
      </c>
      <c r="C94" s="7" t="s">
        <v>37</v>
      </c>
      <c r="D94" s="7" t="n">
        <v>55</v>
      </c>
      <c r="E94" s="7" t="s">
        <v>61</v>
      </c>
      <c r="F94" s="7" t="s">
        <v>49</v>
      </c>
      <c r="G94" s="8" t="n">
        <v>46115</v>
      </c>
      <c r="H94" s="8" t="n">
        <v>46117</v>
      </c>
      <c r="I94" s="7" t="s">
        <v>75</v>
      </c>
      <c r="J94" s="7" t="s">
        <v>41</v>
      </c>
      <c r="K94" s="7" t="n">
        <v>2</v>
      </c>
      <c r="L94" s="7" t="n">
        <v>3</v>
      </c>
      <c r="M94" s="7" t="n">
        <v>0</v>
      </c>
      <c r="N94" s="7" t="s">
        <v>42</v>
      </c>
      <c r="O94" s="7" t="s">
        <v>43</v>
      </c>
      <c r="P94" s="7" t="n">
        <v>11.2</v>
      </c>
      <c r="Q94" s="7" t="n">
        <v>22</v>
      </c>
      <c r="R94" s="7" t="s">
        <v>53</v>
      </c>
      <c r="S94" s="7"/>
      <c r="T94" s="7"/>
      <c r="U94" s="7" t="str">
        <f aca="false">IF(COUNTIF($A$2:$A$5001,A94)&gt;1,"Duplicate","Unique")</f>
        <v>Unique</v>
      </c>
      <c r="V94" s="7" t="str">
        <f aca="false">IF(COUNTIFS($B$2:$B$5001,B94,$H$2:$H$5001,H94,$J$2:$J$5001,J94)&gt;1,"Possible Duplicate Booking","Unique")</f>
        <v>Unique</v>
      </c>
      <c r="W94" s="7" t="str">
        <f aca="false">IF((H94-G94)&lt;&gt;K94,"Mismatch","OK")</f>
        <v>OK</v>
      </c>
      <c r="X94" s="7" t="str">
        <f aca="false">IF(TEXT(H94,"dddd")&lt;&gt;I94,"Mismatch","OK")</f>
        <v>OK</v>
      </c>
      <c r="Y94" s="7" t="str">
        <f aca="false">IF(AND(N94="No",O94&lt;&gt;""),"Unexpected: channel present but no reminder sent",IF(AND(N94="Yes",O94=""),"Missing channel for sent reminder","OK"))</f>
        <v>OK</v>
      </c>
    </row>
    <row r="95" customFormat="false" ht="15" hidden="false" customHeight="false" outlineLevel="0" collapsed="false">
      <c r="A95" s="9" t="s">
        <v>251</v>
      </c>
      <c r="B95" s="9" t="s">
        <v>252</v>
      </c>
      <c r="C95" s="9" t="s">
        <v>47</v>
      </c>
      <c r="D95" s="9" t="n">
        <v>32</v>
      </c>
      <c r="E95" s="9" t="s">
        <v>48</v>
      </c>
      <c r="F95" s="9" t="s">
        <v>49</v>
      </c>
      <c r="G95" s="10" t="n">
        <v>45810</v>
      </c>
      <c r="H95" s="10" t="n">
        <v>45869</v>
      </c>
      <c r="I95" s="9" t="s">
        <v>62</v>
      </c>
      <c r="J95" s="9" t="s">
        <v>51</v>
      </c>
      <c r="K95" s="9" t="n">
        <v>59</v>
      </c>
      <c r="L95" s="9" t="n">
        <v>2</v>
      </c>
      <c r="M95" s="9" t="n">
        <v>1</v>
      </c>
      <c r="N95" s="9" t="s">
        <v>71</v>
      </c>
      <c r="O95" s="9"/>
      <c r="P95" s="9" t="n">
        <v>6.4</v>
      </c>
      <c r="Q95" s="9" t="n">
        <v>30</v>
      </c>
      <c r="R95" s="9" t="s">
        <v>44</v>
      </c>
      <c r="S95" s="9"/>
      <c r="T95" s="9"/>
      <c r="U95" s="9" t="str">
        <f aca="false">IF(COUNTIF($A$2:$A$5001,A95)&gt;1,"Duplicate","Unique")</f>
        <v>Unique</v>
      </c>
      <c r="V95" s="9" t="str">
        <f aca="false">IF(COUNTIFS($B$2:$B$5001,B95,$H$2:$H$5001,H95,$J$2:$J$5001,J95)&gt;1,"Possible Duplicate Booking","Unique")</f>
        <v>Unique</v>
      </c>
      <c r="W95" s="9" t="str">
        <f aca="false">IF((H95-G95)&lt;&gt;K95,"Mismatch","OK")</f>
        <v>OK</v>
      </c>
      <c r="X95" s="9" t="str">
        <f aca="false">IF(TEXT(H95,"dddd")&lt;&gt;I95,"Mismatch","OK")</f>
        <v>OK</v>
      </c>
      <c r="Y95" s="9" t="str">
        <f aca="false">IF(AND(N95="No",O95&lt;&gt;""),"Unexpected: channel present but no reminder sent",IF(AND(N95="Yes",O95=""),"Missing channel for sent reminder","OK"))</f>
        <v>OK</v>
      </c>
    </row>
    <row r="96" customFormat="false" ht="15" hidden="false" customHeight="false" outlineLevel="0" collapsed="false">
      <c r="A96" s="7" t="s">
        <v>253</v>
      </c>
      <c r="B96" s="7" t="s">
        <v>254</v>
      </c>
      <c r="C96" s="7" t="s">
        <v>47</v>
      </c>
      <c r="D96" s="7" t="n">
        <v>69</v>
      </c>
      <c r="E96" s="7" t="s">
        <v>70</v>
      </c>
      <c r="F96" s="7" t="s">
        <v>39</v>
      </c>
      <c r="G96" s="8" t="n">
        <v>46121</v>
      </c>
      <c r="H96" s="8" t="n">
        <v>46148</v>
      </c>
      <c r="I96" s="7" t="s">
        <v>58</v>
      </c>
      <c r="J96" s="7" t="s">
        <v>41</v>
      </c>
      <c r="K96" s="7" t="n">
        <v>27</v>
      </c>
      <c r="L96" s="7" t="n">
        <v>3</v>
      </c>
      <c r="M96" s="7" t="n">
        <v>1</v>
      </c>
      <c r="N96" s="7" t="s">
        <v>71</v>
      </c>
      <c r="O96" s="7"/>
      <c r="P96" s="7" t="n">
        <v>7.3</v>
      </c>
      <c r="Q96" s="7" t="n">
        <v>7</v>
      </c>
      <c r="R96" s="7" t="s">
        <v>44</v>
      </c>
      <c r="S96" s="7"/>
      <c r="T96" s="7"/>
      <c r="U96" s="7" t="str">
        <f aca="false">IF(COUNTIF($A$2:$A$5001,A96)&gt;1,"Duplicate","Unique")</f>
        <v>Unique</v>
      </c>
      <c r="V96" s="7" t="str">
        <f aca="false">IF(COUNTIFS($B$2:$B$5001,B96,$H$2:$H$5001,H96,$J$2:$J$5001,J96)&gt;1,"Possible Duplicate Booking","Unique")</f>
        <v>Unique</v>
      </c>
      <c r="W96" s="7" t="str">
        <f aca="false">IF((H96-G96)&lt;&gt;K96,"Mismatch","OK")</f>
        <v>OK</v>
      </c>
      <c r="X96" s="7" t="str">
        <f aca="false">IF(TEXT(H96,"dddd")&lt;&gt;I96,"Mismatch","OK")</f>
        <v>OK</v>
      </c>
      <c r="Y96" s="7" t="str">
        <f aca="false">IF(AND(N96="No",O96&lt;&gt;""),"Unexpected: channel present but no reminder sent",IF(AND(N96="Yes",O96=""),"Missing channel for sent reminder","OK"))</f>
        <v>OK</v>
      </c>
    </row>
    <row r="97" customFormat="false" ht="15" hidden="false" customHeight="false" outlineLevel="0" collapsed="false">
      <c r="A97" s="9" t="s">
        <v>255</v>
      </c>
      <c r="B97" s="9" t="s">
        <v>256</v>
      </c>
      <c r="C97" s="9" t="s">
        <v>37</v>
      </c>
      <c r="D97" s="9" t="n">
        <v>70</v>
      </c>
      <c r="E97" s="9" t="s">
        <v>70</v>
      </c>
      <c r="F97" s="9" t="s">
        <v>74</v>
      </c>
      <c r="G97" s="10" t="n">
        <v>45805</v>
      </c>
      <c r="H97" s="10" t="n">
        <v>45815</v>
      </c>
      <c r="I97" s="9" t="s">
        <v>102</v>
      </c>
      <c r="J97" s="9" t="s">
        <v>41</v>
      </c>
      <c r="K97" s="9" t="n">
        <v>10</v>
      </c>
      <c r="L97" s="9" t="n">
        <v>3</v>
      </c>
      <c r="M97" s="9" t="n">
        <v>1</v>
      </c>
      <c r="N97" s="9" t="s">
        <v>71</v>
      </c>
      <c r="O97" s="9"/>
      <c r="P97" s="9" t="n">
        <v>13.9</v>
      </c>
      <c r="Q97" s="9" t="n">
        <v>14</v>
      </c>
      <c r="R97" s="9" t="s">
        <v>44</v>
      </c>
      <c r="S97" s="9"/>
      <c r="T97" s="9"/>
      <c r="U97" s="9" t="str">
        <f aca="false">IF(COUNTIF($A$2:$A$5001,A97)&gt;1,"Duplicate","Unique")</f>
        <v>Unique</v>
      </c>
      <c r="V97" s="9" t="str">
        <f aca="false">IF(COUNTIFS($B$2:$B$5001,B97,$H$2:$H$5001,H97,$J$2:$J$5001,J97)&gt;1,"Possible Duplicate Booking","Unique")</f>
        <v>Unique</v>
      </c>
      <c r="W97" s="9" t="str">
        <f aca="false">IF((H97-G97)&lt;&gt;K97,"Mismatch","OK")</f>
        <v>OK</v>
      </c>
      <c r="X97" s="9" t="str">
        <f aca="false">IF(TEXT(H97,"dddd")&lt;&gt;I97,"Mismatch","OK")</f>
        <v>OK</v>
      </c>
      <c r="Y97" s="9" t="str">
        <f aca="false">IF(AND(N97="No",O97&lt;&gt;""),"Unexpected: channel present but no reminder sent",IF(AND(N97="Yes",O97=""),"Missing channel for sent reminder","OK"))</f>
        <v>OK</v>
      </c>
    </row>
    <row r="98" customFormat="false" ht="15" hidden="false" customHeight="false" outlineLevel="0" collapsed="false">
      <c r="A98" s="7" t="s">
        <v>257</v>
      </c>
      <c r="B98" s="7" t="s">
        <v>258</v>
      </c>
      <c r="C98" s="7" t="s">
        <v>37</v>
      </c>
      <c r="D98" s="7" t="n">
        <v>78</v>
      </c>
      <c r="E98" s="7" t="s">
        <v>70</v>
      </c>
      <c r="F98" s="7" t="s">
        <v>57</v>
      </c>
      <c r="G98" s="8" t="n">
        <v>45751</v>
      </c>
      <c r="H98" s="8" t="n">
        <v>45788</v>
      </c>
      <c r="I98" s="7" t="s">
        <v>75</v>
      </c>
      <c r="J98" s="7" t="s">
        <v>63</v>
      </c>
      <c r="K98" s="7" t="n">
        <v>37</v>
      </c>
      <c r="L98" s="7" t="n">
        <v>1</v>
      </c>
      <c r="M98" s="7" t="n">
        <v>0</v>
      </c>
      <c r="N98" s="7" t="s">
        <v>42</v>
      </c>
      <c r="O98" s="7" t="s">
        <v>43</v>
      </c>
      <c r="P98" s="7" t="n">
        <v>18.3</v>
      </c>
      <c r="Q98" s="7" t="n">
        <v>27</v>
      </c>
      <c r="R98" s="7" t="s">
        <v>53</v>
      </c>
      <c r="S98" s="7"/>
      <c r="T98" s="7"/>
      <c r="U98" s="7" t="str">
        <f aca="false">IF(COUNTIF($A$2:$A$5001,A98)&gt;1,"Duplicate","Unique")</f>
        <v>Unique</v>
      </c>
      <c r="V98" s="7" t="str">
        <f aca="false">IF(COUNTIFS($B$2:$B$5001,B98,$H$2:$H$5001,H98,$J$2:$J$5001,J98)&gt;1,"Possible Duplicate Booking","Unique")</f>
        <v>Unique</v>
      </c>
      <c r="W98" s="7" t="str">
        <f aca="false">IF((H98-G98)&lt;&gt;K98,"Mismatch","OK")</f>
        <v>OK</v>
      </c>
      <c r="X98" s="7" t="str">
        <f aca="false">IF(TEXT(H98,"dddd")&lt;&gt;I98,"Mismatch","OK")</f>
        <v>OK</v>
      </c>
      <c r="Y98" s="7" t="str">
        <f aca="false">IF(AND(N98="No",O98&lt;&gt;""),"Unexpected: channel present but no reminder sent",IF(AND(N98="Yes",O98=""),"Missing channel for sent reminder","OK"))</f>
        <v>OK</v>
      </c>
    </row>
    <row r="99" customFormat="false" ht="15" hidden="false" customHeight="false" outlineLevel="0" collapsed="false">
      <c r="A99" s="9" t="s">
        <v>259</v>
      </c>
      <c r="B99" s="9" t="s">
        <v>260</v>
      </c>
      <c r="C99" s="9" t="s">
        <v>47</v>
      </c>
      <c r="D99" s="9" t="n">
        <v>28</v>
      </c>
      <c r="E99" s="9" t="s">
        <v>48</v>
      </c>
      <c r="F99" s="9" t="s">
        <v>49</v>
      </c>
      <c r="G99" s="10" t="n">
        <v>46011</v>
      </c>
      <c r="H99" s="10" t="n">
        <v>46030</v>
      </c>
      <c r="I99" s="9" t="s">
        <v>62</v>
      </c>
      <c r="J99" s="9" t="s">
        <v>51</v>
      </c>
      <c r="K99" s="9" t="n">
        <v>19</v>
      </c>
      <c r="L99" s="9" t="n">
        <v>2</v>
      </c>
      <c r="M99" s="9" t="n">
        <v>0</v>
      </c>
      <c r="N99" s="9" t="s">
        <v>42</v>
      </c>
      <c r="O99" s="9" t="s">
        <v>43</v>
      </c>
      <c r="P99" s="9" t="n">
        <v>7.7</v>
      </c>
      <c r="Q99" s="9" t="n">
        <v>24</v>
      </c>
      <c r="R99" s="9" t="s">
        <v>44</v>
      </c>
      <c r="S99" s="9"/>
      <c r="T99" s="9"/>
      <c r="U99" s="9" t="str">
        <f aca="false">IF(COUNTIF($A$2:$A$5001,A99)&gt;1,"Duplicate","Unique")</f>
        <v>Unique</v>
      </c>
      <c r="V99" s="9" t="str">
        <f aca="false">IF(COUNTIFS($B$2:$B$5001,B99,$H$2:$H$5001,H99,$J$2:$J$5001,J99)&gt;1,"Possible Duplicate Booking","Unique")</f>
        <v>Unique</v>
      </c>
      <c r="W99" s="9" t="str">
        <f aca="false">IF((H99-G99)&lt;&gt;K99,"Mismatch","OK")</f>
        <v>OK</v>
      </c>
      <c r="X99" s="9" t="str">
        <f aca="false">IF(TEXT(H99,"dddd")&lt;&gt;I99,"Mismatch","OK")</f>
        <v>OK</v>
      </c>
      <c r="Y99" s="9" t="str">
        <f aca="false">IF(AND(N99="No",O99&lt;&gt;""),"Unexpected: channel present but no reminder sent",IF(AND(N99="Yes",O99=""),"Missing channel for sent reminder","OK"))</f>
        <v>OK</v>
      </c>
    </row>
    <row r="100" customFormat="false" ht="15" hidden="false" customHeight="false" outlineLevel="0" collapsed="false">
      <c r="A100" s="7" t="s">
        <v>261</v>
      </c>
      <c r="B100" s="7" t="s">
        <v>262</v>
      </c>
      <c r="C100" s="7" t="s">
        <v>37</v>
      </c>
      <c r="D100" s="7" t="n">
        <v>58</v>
      </c>
      <c r="E100" s="7" t="s">
        <v>61</v>
      </c>
      <c r="F100" s="7" t="s">
        <v>57</v>
      </c>
      <c r="G100" s="8" t="n">
        <v>45948</v>
      </c>
      <c r="H100" s="8" t="n">
        <v>46005</v>
      </c>
      <c r="I100" s="7" t="s">
        <v>75</v>
      </c>
      <c r="J100" s="7" t="s">
        <v>41</v>
      </c>
      <c r="K100" s="7" t="n">
        <v>57</v>
      </c>
      <c r="L100" s="7" t="n">
        <v>1</v>
      </c>
      <c r="M100" s="7" t="n">
        <v>0</v>
      </c>
      <c r="N100" s="7" t="s">
        <v>42</v>
      </c>
      <c r="O100" s="7" t="s">
        <v>52</v>
      </c>
      <c r="P100" s="7" t="n">
        <v>16.7</v>
      </c>
      <c r="Q100" s="7" t="n">
        <v>32</v>
      </c>
      <c r="R100" s="7" t="s">
        <v>53</v>
      </c>
      <c r="S100" s="7"/>
      <c r="T100" s="7"/>
      <c r="U100" s="7" t="str">
        <f aca="false">IF(COUNTIF($A$2:$A$5001,A100)&gt;1,"Duplicate","Unique")</f>
        <v>Unique</v>
      </c>
      <c r="V100" s="7" t="str">
        <f aca="false">IF(COUNTIFS($B$2:$B$5001,B100,$H$2:$H$5001,H100,$J$2:$J$5001,J100)&gt;1,"Possible Duplicate Booking","Unique")</f>
        <v>Unique</v>
      </c>
      <c r="W100" s="7" t="str">
        <f aca="false">IF((H100-G100)&lt;&gt;K100,"Mismatch","OK")</f>
        <v>OK</v>
      </c>
      <c r="X100" s="7" t="str">
        <f aca="false">IF(TEXT(H100,"dddd")&lt;&gt;I100,"Mismatch","OK")</f>
        <v>OK</v>
      </c>
      <c r="Y100" s="7" t="str">
        <f aca="false">IF(AND(N100="No",O100&lt;&gt;""),"Unexpected: channel present but no reminder sent",IF(AND(N100="Yes",O100=""),"Missing channel for sent reminder","OK"))</f>
        <v>OK</v>
      </c>
    </row>
    <row r="101" customFormat="false" ht="15" hidden="false" customHeight="false" outlineLevel="0" collapsed="false">
      <c r="A101" s="9" t="s">
        <v>263</v>
      </c>
      <c r="B101" s="9" t="s">
        <v>264</v>
      </c>
      <c r="C101" s="9" t="s">
        <v>37</v>
      </c>
      <c r="D101" s="9" t="n">
        <v>79</v>
      </c>
      <c r="E101" s="9" t="s">
        <v>70</v>
      </c>
      <c r="F101" s="9" t="s">
        <v>39</v>
      </c>
      <c r="G101" s="10" t="n">
        <v>45717</v>
      </c>
      <c r="H101" s="10" t="n">
        <v>45734</v>
      </c>
      <c r="I101" s="9" t="s">
        <v>40</v>
      </c>
      <c r="J101" s="9" t="s">
        <v>51</v>
      </c>
      <c r="K101" s="9" t="n">
        <v>17</v>
      </c>
      <c r="L101" s="9" t="n">
        <v>4</v>
      </c>
      <c r="M101" s="9" t="n">
        <v>2</v>
      </c>
      <c r="N101" s="9" t="s">
        <v>42</v>
      </c>
      <c r="O101" s="9" t="s">
        <v>52</v>
      </c>
      <c r="P101" s="9" t="n">
        <v>1.5</v>
      </c>
      <c r="Q101" s="9" t="n">
        <v>37</v>
      </c>
      <c r="R101" s="9" t="s">
        <v>53</v>
      </c>
      <c r="S101" s="9"/>
      <c r="T101" s="9"/>
      <c r="U101" s="9" t="str">
        <f aca="false">IF(COUNTIF($A$2:$A$5001,A101)&gt;1,"Duplicate","Unique")</f>
        <v>Unique</v>
      </c>
      <c r="V101" s="9" t="str">
        <f aca="false">IF(COUNTIFS($B$2:$B$5001,B101,$H$2:$H$5001,H101,$J$2:$J$5001,J101)&gt;1,"Possible Duplicate Booking","Unique")</f>
        <v>Unique</v>
      </c>
      <c r="W101" s="9" t="str">
        <f aca="false">IF((H101-G101)&lt;&gt;K101,"Mismatch","OK")</f>
        <v>OK</v>
      </c>
      <c r="X101" s="9" t="str">
        <f aca="false">IF(TEXT(H101,"dddd")&lt;&gt;I101,"Mismatch","OK")</f>
        <v>OK</v>
      </c>
      <c r="Y101" s="9" t="str">
        <f aca="false">IF(AND(N101="No",O101&lt;&gt;""),"Unexpected: channel present but no reminder sent",IF(AND(N101="Yes",O101=""),"Missing channel for sent reminder","OK"))</f>
        <v>OK</v>
      </c>
    </row>
    <row r="102" customFormat="false" ht="15" hidden="false" customHeight="false" outlineLevel="0" collapsed="false">
      <c r="A102" s="7" t="s">
        <v>265</v>
      </c>
      <c r="B102" s="7" t="s">
        <v>266</v>
      </c>
      <c r="C102" s="7" t="s">
        <v>47</v>
      </c>
      <c r="D102" s="7" t="n">
        <v>68</v>
      </c>
      <c r="E102" s="7" t="s">
        <v>70</v>
      </c>
      <c r="F102" s="7" t="s">
        <v>74</v>
      </c>
      <c r="G102" s="8" t="n">
        <v>46079</v>
      </c>
      <c r="H102" s="8" t="n">
        <v>46112</v>
      </c>
      <c r="I102" s="7" t="s">
        <v>40</v>
      </c>
      <c r="J102" s="7" t="s">
        <v>41</v>
      </c>
      <c r="K102" s="7" t="n">
        <v>33</v>
      </c>
      <c r="L102" s="7" t="n">
        <v>3</v>
      </c>
      <c r="M102" s="7" t="n">
        <v>2</v>
      </c>
      <c r="N102" s="7" t="s">
        <v>71</v>
      </c>
      <c r="O102" s="7"/>
      <c r="P102" s="7" t="n">
        <v>12.3</v>
      </c>
      <c r="Q102" s="7" t="n">
        <v>37</v>
      </c>
      <c r="R102" s="7" t="s">
        <v>44</v>
      </c>
      <c r="S102" s="7"/>
      <c r="T102" s="7"/>
      <c r="U102" s="7" t="str">
        <f aca="false">IF(COUNTIF($A$2:$A$5001,A102)&gt;1,"Duplicate","Unique")</f>
        <v>Unique</v>
      </c>
      <c r="V102" s="7" t="str">
        <f aca="false">IF(COUNTIFS($B$2:$B$5001,B102,$H$2:$H$5001,H102,$J$2:$J$5001,J102)&gt;1,"Possible Duplicate Booking","Unique")</f>
        <v>Unique</v>
      </c>
      <c r="W102" s="7" t="str">
        <f aca="false">IF((H102-G102)&lt;&gt;K102,"Mismatch","OK")</f>
        <v>OK</v>
      </c>
      <c r="X102" s="7" t="str">
        <f aca="false">IF(TEXT(H102,"dddd")&lt;&gt;I102,"Mismatch","OK")</f>
        <v>OK</v>
      </c>
      <c r="Y102" s="7" t="str">
        <f aca="false">IF(AND(N102="No",O102&lt;&gt;""),"Unexpected: channel present but no reminder sent",IF(AND(N102="Yes",O102=""),"Missing channel for sent reminder","OK"))</f>
        <v>OK</v>
      </c>
    </row>
    <row r="103" customFormat="false" ht="15" hidden="false" customHeight="false" outlineLevel="0" collapsed="false">
      <c r="A103" s="9" t="s">
        <v>267</v>
      </c>
      <c r="B103" s="9" t="s">
        <v>268</v>
      </c>
      <c r="C103" s="9" t="s">
        <v>37</v>
      </c>
      <c r="D103" s="9" t="n">
        <v>32</v>
      </c>
      <c r="E103" s="9" t="s">
        <v>48</v>
      </c>
      <c r="F103" s="9" t="s">
        <v>74</v>
      </c>
      <c r="G103" s="10" t="n">
        <v>45734</v>
      </c>
      <c r="H103" s="10" t="n">
        <v>45767</v>
      </c>
      <c r="I103" s="9" t="s">
        <v>75</v>
      </c>
      <c r="J103" s="9" t="s">
        <v>63</v>
      </c>
      <c r="K103" s="9" t="n">
        <v>33</v>
      </c>
      <c r="L103" s="9" t="n">
        <v>3</v>
      </c>
      <c r="M103" s="9" t="n">
        <v>1</v>
      </c>
      <c r="N103" s="9" t="s">
        <v>42</v>
      </c>
      <c r="O103" s="9" t="s">
        <v>43</v>
      </c>
      <c r="P103" s="9" t="n">
        <v>25.4</v>
      </c>
      <c r="Q103" s="9" t="n">
        <v>41</v>
      </c>
      <c r="R103" s="9" t="s">
        <v>44</v>
      </c>
      <c r="S103" s="9"/>
      <c r="T103" s="9"/>
      <c r="U103" s="9" t="str">
        <f aca="false">IF(COUNTIF($A$2:$A$5001,A103)&gt;1,"Duplicate","Unique")</f>
        <v>Unique</v>
      </c>
      <c r="V103" s="9" t="str">
        <f aca="false">IF(COUNTIFS($B$2:$B$5001,B103,$H$2:$H$5001,H103,$J$2:$J$5001,J103)&gt;1,"Possible Duplicate Booking","Unique")</f>
        <v>Unique</v>
      </c>
      <c r="W103" s="9" t="str">
        <f aca="false">IF((H103-G103)&lt;&gt;K103,"Mismatch","OK")</f>
        <v>OK</v>
      </c>
      <c r="X103" s="9" t="str">
        <f aca="false">IF(TEXT(H103,"dddd")&lt;&gt;I103,"Mismatch","OK")</f>
        <v>OK</v>
      </c>
      <c r="Y103" s="9" t="str">
        <f aca="false">IF(AND(N103="No",O103&lt;&gt;""),"Unexpected: channel present but no reminder sent",IF(AND(N103="Yes",O103=""),"Missing channel for sent reminder","OK"))</f>
        <v>OK</v>
      </c>
    </row>
    <row r="104" customFormat="false" ht="15" hidden="false" customHeight="false" outlineLevel="0" collapsed="false">
      <c r="A104" s="7" t="s">
        <v>269</v>
      </c>
      <c r="B104" s="7" t="s">
        <v>270</v>
      </c>
      <c r="C104" s="7" t="s">
        <v>37</v>
      </c>
      <c r="D104" s="7" t="n">
        <v>74</v>
      </c>
      <c r="E104" s="7" t="s">
        <v>70</v>
      </c>
      <c r="F104" s="7" t="s">
        <v>39</v>
      </c>
      <c r="G104" s="8" t="n">
        <v>46083</v>
      </c>
      <c r="H104" s="8" t="n">
        <v>46097</v>
      </c>
      <c r="I104" s="7" t="s">
        <v>66</v>
      </c>
      <c r="J104" s="7" t="s">
        <v>63</v>
      </c>
      <c r="K104" s="7" t="n">
        <v>14</v>
      </c>
      <c r="L104" s="7" t="n">
        <v>2</v>
      </c>
      <c r="M104" s="7" t="n">
        <v>0</v>
      </c>
      <c r="N104" s="7" t="s">
        <v>42</v>
      </c>
      <c r="O104" s="7" t="s">
        <v>52</v>
      </c>
      <c r="P104" s="7" t="n">
        <v>20.4</v>
      </c>
      <c r="Q104" s="7" t="n">
        <v>44</v>
      </c>
      <c r="R104" s="7" t="s">
        <v>44</v>
      </c>
      <c r="S104" s="7"/>
      <c r="T104" s="7"/>
      <c r="U104" s="7" t="str">
        <f aca="false">IF(COUNTIF($A$2:$A$5001,A104)&gt;1,"Duplicate","Unique")</f>
        <v>Unique</v>
      </c>
      <c r="V104" s="7" t="str">
        <f aca="false">IF(COUNTIFS($B$2:$B$5001,B104,$H$2:$H$5001,H104,$J$2:$J$5001,J104)&gt;1,"Possible Duplicate Booking","Unique")</f>
        <v>Unique</v>
      </c>
      <c r="W104" s="7" t="str">
        <f aca="false">IF((H104-G104)&lt;&gt;K104,"Mismatch","OK")</f>
        <v>OK</v>
      </c>
      <c r="X104" s="7" t="str">
        <f aca="false">IF(TEXT(H104,"dddd")&lt;&gt;I104,"Mismatch","OK")</f>
        <v>OK</v>
      </c>
      <c r="Y104" s="7" t="str">
        <f aca="false">IF(AND(N104="No",O104&lt;&gt;""),"Unexpected: channel present but no reminder sent",IF(AND(N104="Yes",O104=""),"Missing channel for sent reminder","OK"))</f>
        <v>OK</v>
      </c>
    </row>
    <row r="105" customFormat="false" ht="15" hidden="false" customHeight="false" outlineLevel="0" collapsed="false">
      <c r="A105" s="9" t="s">
        <v>271</v>
      </c>
      <c r="B105" s="9" t="s">
        <v>272</v>
      </c>
      <c r="C105" s="9" t="s">
        <v>37</v>
      </c>
      <c r="D105" s="9" t="n">
        <v>44</v>
      </c>
      <c r="E105" s="9" t="s">
        <v>38</v>
      </c>
      <c r="F105" s="9" t="s">
        <v>39</v>
      </c>
      <c r="G105" s="10" t="n">
        <v>45632</v>
      </c>
      <c r="H105" s="10" t="n">
        <v>45662</v>
      </c>
      <c r="I105" s="9" t="s">
        <v>75</v>
      </c>
      <c r="J105" s="9" t="s">
        <v>51</v>
      </c>
      <c r="K105" s="9" t="n">
        <v>30</v>
      </c>
      <c r="L105" s="9" t="n">
        <v>2</v>
      </c>
      <c r="M105" s="9" t="n">
        <v>1</v>
      </c>
      <c r="N105" s="9" t="s">
        <v>42</v>
      </c>
      <c r="O105" s="9" t="s">
        <v>52</v>
      </c>
      <c r="P105" s="9" t="n">
        <v>10.5</v>
      </c>
      <c r="Q105" s="9" t="n">
        <v>20</v>
      </c>
      <c r="R105" s="9" t="s">
        <v>44</v>
      </c>
      <c r="S105" s="9"/>
      <c r="T105" s="9"/>
      <c r="U105" s="9" t="str">
        <f aca="false">IF(COUNTIF($A$2:$A$5001,A105)&gt;1,"Duplicate","Unique")</f>
        <v>Unique</v>
      </c>
      <c r="V105" s="9" t="str">
        <f aca="false">IF(COUNTIFS($B$2:$B$5001,B105,$H$2:$H$5001,H105,$J$2:$J$5001,J105)&gt;1,"Possible Duplicate Booking","Unique")</f>
        <v>Unique</v>
      </c>
      <c r="W105" s="9" t="str">
        <f aca="false">IF((H105-G105)&lt;&gt;K105,"Mismatch","OK")</f>
        <v>OK</v>
      </c>
      <c r="X105" s="9" t="str">
        <f aca="false">IF(TEXT(H105,"dddd")&lt;&gt;I105,"Mismatch","OK")</f>
        <v>OK</v>
      </c>
      <c r="Y105" s="9" t="str">
        <f aca="false">IF(AND(N105="No",O105&lt;&gt;""),"Unexpected: channel present but no reminder sent",IF(AND(N105="Yes",O105=""),"Missing channel for sent reminder","OK"))</f>
        <v>OK</v>
      </c>
    </row>
    <row r="106" customFormat="false" ht="15" hidden="false" customHeight="false" outlineLevel="0" collapsed="false">
      <c r="A106" s="7" t="s">
        <v>273</v>
      </c>
      <c r="B106" s="7" t="s">
        <v>274</v>
      </c>
      <c r="C106" s="7" t="s">
        <v>37</v>
      </c>
      <c r="D106" s="7" t="n">
        <v>48</v>
      </c>
      <c r="E106" s="7" t="s">
        <v>56</v>
      </c>
      <c r="F106" s="7" t="s">
        <v>74</v>
      </c>
      <c r="G106" s="8" t="n">
        <v>46087</v>
      </c>
      <c r="H106" s="8" t="n">
        <v>46093</v>
      </c>
      <c r="I106" s="7" t="s">
        <v>62</v>
      </c>
      <c r="J106" s="7" t="s">
        <v>51</v>
      </c>
      <c r="K106" s="7" t="n">
        <v>6</v>
      </c>
      <c r="L106" s="7" t="n">
        <v>4</v>
      </c>
      <c r="M106" s="7" t="n">
        <v>0</v>
      </c>
      <c r="N106" s="7" t="s">
        <v>71</v>
      </c>
      <c r="O106" s="7"/>
      <c r="P106" s="7" t="n">
        <v>8.2</v>
      </c>
      <c r="Q106" s="7" t="n">
        <v>49</v>
      </c>
      <c r="R106" s="7" t="s">
        <v>53</v>
      </c>
      <c r="S106" s="7"/>
      <c r="T106" s="7"/>
      <c r="U106" s="7" t="str">
        <f aca="false">IF(COUNTIF($A$2:$A$5001,A106)&gt;1,"Duplicate","Unique")</f>
        <v>Unique</v>
      </c>
      <c r="V106" s="7" t="str">
        <f aca="false">IF(COUNTIFS($B$2:$B$5001,B106,$H$2:$H$5001,H106,$J$2:$J$5001,J106)&gt;1,"Possible Duplicate Booking","Unique")</f>
        <v>Unique</v>
      </c>
      <c r="W106" s="7" t="str">
        <f aca="false">IF((H106-G106)&lt;&gt;K106,"Mismatch","OK")</f>
        <v>OK</v>
      </c>
      <c r="X106" s="7" t="str">
        <f aca="false">IF(TEXT(H106,"dddd")&lt;&gt;I106,"Mismatch","OK")</f>
        <v>OK</v>
      </c>
      <c r="Y106" s="7" t="str">
        <f aca="false">IF(AND(N106="No",O106&lt;&gt;""),"Unexpected: channel present but no reminder sent",IF(AND(N106="Yes",O106=""),"Missing channel for sent reminder","OK"))</f>
        <v>OK</v>
      </c>
    </row>
    <row r="107" customFormat="false" ht="15" hidden="false" customHeight="false" outlineLevel="0" collapsed="false">
      <c r="A107" s="9" t="s">
        <v>275</v>
      </c>
      <c r="B107" s="9" t="s">
        <v>276</v>
      </c>
      <c r="C107" s="9" t="s">
        <v>37</v>
      </c>
      <c r="D107" s="9" t="n">
        <v>53</v>
      </c>
      <c r="E107" s="9" t="s">
        <v>56</v>
      </c>
      <c r="F107" s="9" t="s">
        <v>74</v>
      </c>
      <c r="G107" s="10" t="n">
        <v>46048</v>
      </c>
      <c r="H107" s="10" t="n">
        <v>46087</v>
      </c>
      <c r="I107" s="9" t="s">
        <v>50</v>
      </c>
      <c r="J107" s="9" t="s">
        <v>41</v>
      </c>
      <c r="K107" s="9" t="n">
        <v>39</v>
      </c>
      <c r="L107" s="9" t="n">
        <v>3</v>
      </c>
      <c r="M107" s="9" t="n">
        <v>0</v>
      </c>
      <c r="N107" s="9" t="s">
        <v>42</v>
      </c>
      <c r="O107" s="9" t="s">
        <v>43</v>
      </c>
      <c r="P107" s="9" t="n">
        <v>5.7</v>
      </c>
      <c r="Q107" s="9" t="n">
        <v>56</v>
      </c>
      <c r="R107" s="9" t="s">
        <v>53</v>
      </c>
      <c r="S107" s="9"/>
      <c r="T107" s="9"/>
      <c r="U107" s="9" t="str">
        <f aca="false">IF(COUNTIF($A$2:$A$5001,A107)&gt;1,"Duplicate","Unique")</f>
        <v>Unique</v>
      </c>
      <c r="V107" s="9" t="str">
        <f aca="false">IF(COUNTIFS($B$2:$B$5001,B107,$H$2:$H$5001,H107,$J$2:$J$5001,J107)&gt;1,"Possible Duplicate Booking","Unique")</f>
        <v>Unique</v>
      </c>
      <c r="W107" s="9" t="str">
        <f aca="false">IF((H107-G107)&lt;&gt;K107,"Mismatch","OK")</f>
        <v>OK</v>
      </c>
      <c r="X107" s="9" t="str">
        <f aca="false">IF(TEXT(H107,"dddd")&lt;&gt;I107,"Mismatch","OK")</f>
        <v>OK</v>
      </c>
      <c r="Y107" s="9" t="str">
        <f aca="false">IF(AND(N107="No",O107&lt;&gt;""),"Unexpected: channel present but no reminder sent",IF(AND(N107="Yes",O107=""),"Missing channel for sent reminder","OK"))</f>
        <v>OK</v>
      </c>
    </row>
    <row r="108" customFormat="false" ht="15" hidden="false" customHeight="false" outlineLevel="0" collapsed="false">
      <c r="A108" s="7" t="s">
        <v>277</v>
      </c>
      <c r="B108" s="7" t="s">
        <v>278</v>
      </c>
      <c r="C108" s="7" t="s">
        <v>47</v>
      </c>
      <c r="D108" s="7" t="n">
        <v>66</v>
      </c>
      <c r="E108" s="7" t="s">
        <v>70</v>
      </c>
      <c r="F108" s="7" t="s">
        <v>49</v>
      </c>
      <c r="G108" s="8" t="n">
        <v>46038</v>
      </c>
      <c r="H108" s="8" t="n">
        <v>46084</v>
      </c>
      <c r="I108" s="7" t="s">
        <v>40</v>
      </c>
      <c r="J108" s="7" t="s">
        <v>41</v>
      </c>
      <c r="K108" s="7" t="n">
        <v>46</v>
      </c>
      <c r="L108" s="7" t="n">
        <v>4</v>
      </c>
      <c r="M108" s="7" t="n">
        <v>0</v>
      </c>
      <c r="N108" s="7" t="s">
        <v>71</v>
      </c>
      <c r="O108" s="7"/>
      <c r="P108" s="7" t="n">
        <v>7.4</v>
      </c>
      <c r="Q108" s="7" t="n">
        <v>10</v>
      </c>
      <c r="R108" s="7" t="s">
        <v>44</v>
      </c>
      <c r="S108" s="7"/>
      <c r="T108" s="7"/>
      <c r="U108" s="7" t="str">
        <f aca="false">IF(COUNTIF($A$2:$A$5001,A108)&gt;1,"Duplicate","Unique")</f>
        <v>Unique</v>
      </c>
      <c r="V108" s="7" t="str">
        <f aca="false">IF(COUNTIFS($B$2:$B$5001,B108,$H$2:$H$5001,H108,$J$2:$J$5001,J108)&gt;1,"Possible Duplicate Booking","Unique")</f>
        <v>Unique</v>
      </c>
      <c r="W108" s="7" t="str">
        <f aca="false">IF((H108-G108)&lt;&gt;K108,"Mismatch","OK")</f>
        <v>OK</v>
      </c>
      <c r="X108" s="7" t="str">
        <f aca="false">IF(TEXT(H108,"dddd")&lt;&gt;I108,"Mismatch","OK")</f>
        <v>OK</v>
      </c>
      <c r="Y108" s="7" t="str">
        <f aca="false">IF(AND(N108="No",O108&lt;&gt;""),"Unexpected: channel present but no reminder sent",IF(AND(N108="Yes",O108=""),"Missing channel for sent reminder","OK"))</f>
        <v>OK</v>
      </c>
    </row>
    <row r="109" customFormat="false" ht="15" hidden="false" customHeight="false" outlineLevel="0" collapsed="false">
      <c r="A109" s="9" t="s">
        <v>279</v>
      </c>
      <c r="B109" s="9" t="s">
        <v>280</v>
      </c>
      <c r="C109" s="9" t="s">
        <v>37</v>
      </c>
      <c r="D109" s="9" t="n">
        <v>25</v>
      </c>
      <c r="E109" s="9" t="s">
        <v>48</v>
      </c>
      <c r="F109" s="9" t="s">
        <v>57</v>
      </c>
      <c r="G109" s="10" t="n">
        <v>45964</v>
      </c>
      <c r="H109" s="10" t="n">
        <v>46021</v>
      </c>
      <c r="I109" s="9" t="s">
        <v>40</v>
      </c>
      <c r="J109" s="9" t="s">
        <v>63</v>
      </c>
      <c r="K109" s="9" t="n">
        <v>57</v>
      </c>
      <c r="L109" s="9" t="n">
        <v>1</v>
      </c>
      <c r="M109" s="9" t="n">
        <v>0</v>
      </c>
      <c r="N109" s="9" t="s">
        <v>71</v>
      </c>
      <c r="O109" s="9"/>
      <c r="P109" s="9" t="n">
        <v>14</v>
      </c>
      <c r="Q109" s="9" t="n">
        <v>18</v>
      </c>
      <c r="R109" s="9" t="s">
        <v>44</v>
      </c>
      <c r="S109" s="9"/>
      <c r="T109" s="9"/>
      <c r="U109" s="9" t="str">
        <f aca="false">IF(COUNTIF($A$2:$A$5001,A109)&gt;1,"Duplicate","Unique")</f>
        <v>Unique</v>
      </c>
      <c r="V109" s="9" t="str">
        <f aca="false">IF(COUNTIFS($B$2:$B$5001,B109,$H$2:$H$5001,H109,$J$2:$J$5001,J109)&gt;1,"Possible Duplicate Booking","Unique")</f>
        <v>Unique</v>
      </c>
      <c r="W109" s="9" t="str">
        <f aca="false">IF((H109-G109)&lt;&gt;K109,"Mismatch","OK")</f>
        <v>OK</v>
      </c>
      <c r="X109" s="9" t="str">
        <f aca="false">IF(TEXT(H109,"dddd")&lt;&gt;I109,"Mismatch","OK")</f>
        <v>OK</v>
      </c>
      <c r="Y109" s="9" t="str">
        <f aca="false">IF(AND(N109="No",O109&lt;&gt;""),"Unexpected: channel present but no reminder sent",IF(AND(N109="Yes",O109=""),"Missing channel for sent reminder","OK"))</f>
        <v>OK</v>
      </c>
    </row>
    <row r="110" customFormat="false" ht="15" hidden="false" customHeight="false" outlineLevel="0" collapsed="false">
      <c r="A110" s="7" t="s">
        <v>281</v>
      </c>
      <c r="B110" s="7" t="s">
        <v>282</v>
      </c>
      <c r="C110" s="7" t="s">
        <v>47</v>
      </c>
      <c r="D110" s="7" t="n">
        <v>51</v>
      </c>
      <c r="E110" s="7" t="s">
        <v>56</v>
      </c>
      <c r="F110" s="7" t="s">
        <v>57</v>
      </c>
      <c r="G110" s="8" t="n">
        <v>45896</v>
      </c>
      <c r="H110" s="8" t="n">
        <v>45915</v>
      </c>
      <c r="I110" s="7" t="s">
        <v>66</v>
      </c>
      <c r="J110" s="7" t="s">
        <v>51</v>
      </c>
      <c r="K110" s="7" t="n">
        <v>19</v>
      </c>
      <c r="L110" s="7" t="n">
        <v>1</v>
      </c>
      <c r="M110" s="7" t="n">
        <v>0</v>
      </c>
      <c r="N110" s="7" t="s">
        <v>42</v>
      </c>
      <c r="O110" s="7" t="s">
        <v>52</v>
      </c>
      <c r="P110" s="7" t="n">
        <v>10</v>
      </c>
      <c r="Q110" s="7" t="n">
        <v>28</v>
      </c>
      <c r="R110" s="7" t="s">
        <v>44</v>
      </c>
      <c r="S110" s="7"/>
      <c r="T110" s="7"/>
      <c r="U110" s="7" t="str">
        <f aca="false">IF(COUNTIF($A$2:$A$5001,A110)&gt;1,"Duplicate","Unique")</f>
        <v>Unique</v>
      </c>
      <c r="V110" s="7" t="str">
        <f aca="false">IF(COUNTIFS($B$2:$B$5001,B110,$H$2:$H$5001,H110,$J$2:$J$5001,J110)&gt;1,"Possible Duplicate Booking","Unique")</f>
        <v>Unique</v>
      </c>
      <c r="W110" s="7" t="str">
        <f aca="false">IF((H110-G110)&lt;&gt;K110,"Mismatch","OK")</f>
        <v>OK</v>
      </c>
      <c r="X110" s="7" t="str">
        <f aca="false">IF(TEXT(H110,"dddd")&lt;&gt;I110,"Mismatch","OK")</f>
        <v>OK</v>
      </c>
      <c r="Y110" s="7" t="str">
        <f aca="false">IF(AND(N110="No",O110&lt;&gt;""),"Unexpected: channel present but no reminder sent",IF(AND(N110="Yes",O110=""),"Missing channel for sent reminder","OK"))</f>
        <v>OK</v>
      </c>
    </row>
    <row r="111" customFormat="false" ht="15" hidden="false" customHeight="false" outlineLevel="0" collapsed="false">
      <c r="A111" s="9" t="s">
        <v>283</v>
      </c>
      <c r="B111" s="9" t="s">
        <v>284</v>
      </c>
      <c r="C111" s="9" t="s">
        <v>37</v>
      </c>
      <c r="D111" s="9" t="n">
        <v>69</v>
      </c>
      <c r="E111" s="9" t="s">
        <v>70</v>
      </c>
      <c r="F111" s="9" t="s">
        <v>74</v>
      </c>
      <c r="G111" s="10" t="n">
        <v>46026</v>
      </c>
      <c r="H111" s="10" t="n">
        <v>46043</v>
      </c>
      <c r="I111" s="9" t="s">
        <v>58</v>
      </c>
      <c r="J111" s="9" t="s">
        <v>41</v>
      </c>
      <c r="K111" s="9" t="n">
        <v>17</v>
      </c>
      <c r="L111" s="9" t="n">
        <v>0</v>
      </c>
      <c r="M111" s="9" t="n">
        <v>0</v>
      </c>
      <c r="N111" s="9" t="s">
        <v>71</v>
      </c>
      <c r="O111" s="9"/>
      <c r="P111" s="9" t="n">
        <v>11.6</v>
      </c>
      <c r="Q111" s="9" t="n">
        <v>27</v>
      </c>
      <c r="R111" s="9" t="s">
        <v>53</v>
      </c>
      <c r="S111" s="9"/>
      <c r="T111" s="9"/>
      <c r="U111" s="9" t="str">
        <f aca="false">IF(COUNTIF($A$2:$A$5001,A111)&gt;1,"Duplicate","Unique")</f>
        <v>Unique</v>
      </c>
      <c r="V111" s="9" t="str">
        <f aca="false">IF(COUNTIFS($B$2:$B$5001,B111,$H$2:$H$5001,H111,$J$2:$J$5001,J111)&gt;1,"Possible Duplicate Booking","Unique")</f>
        <v>Unique</v>
      </c>
      <c r="W111" s="9" t="str">
        <f aca="false">IF((H111-G111)&lt;&gt;K111,"Mismatch","OK")</f>
        <v>OK</v>
      </c>
      <c r="X111" s="9" t="str">
        <f aca="false">IF(TEXT(H111,"dddd")&lt;&gt;I111,"Mismatch","OK")</f>
        <v>OK</v>
      </c>
      <c r="Y111" s="9" t="str">
        <f aca="false">IF(AND(N111="No",O111&lt;&gt;""),"Unexpected: channel present but no reminder sent",IF(AND(N111="Yes",O111=""),"Missing channel for sent reminder","OK"))</f>
        <v>OK</v>
      </c>
    </row>
    <row r="112" customFormat="false" ht="15" hidden="false" customHeight="false" outlineLevel="0" collapsed="false">
      <c r="A112" s="7" t="s">
        <v>285</v>
      </c>
      <c r="B112" s="7" t="s">
        <v>286</v>
      </c>
      <c r="C112" s="7" t="s">
        <v>37</v>
      </c>
      <c r="D112" s="7" t="n">
        <v>52</v>
      </c>
      <c r="E112" s="7" t="s">
        <v>56</v>
      </c>
      <c r="F112" s="7" t="s">
        <v>49</v>
      </c>
      <c r="G112" s="8" t="n">
        <v>45776</v>
      </c>
      <c r="H112" s="8" t="n">
        <v>45809</v>
      </c>
      <c r="I112" s="7" t="s">
        <v>75</v>
      </c>
      <c r="J112" s="7" t="s">
        <v>41</v>
      </c>
      <c r="K112" s="7" t="n">
        <v>33</v>
      </c>
      <c r="L112" s="7" t="n">
        <v>0</v>
      </c>
      <c r="M112" s="7" t="n">
        <v>0</v>
      </c>
      <c r="N112" s="7" t="s">
        <v>42</v>
      </c>
      <c r="O112" s="7" t="s">
        <v>67</v>
      </c>
      <c r="P112" s="7" t="n">
        <v>15.5</v>
      </c>
      <c r="Q112" s="7" t="n">
        <v>5</v>
      </c>
      <c r="R112" s="7" t="s">
        <v>44</v>
      </c>
      <c r="S112" s="7"/>
      <c r="T112" s="7"/>
      <c r="U112" s="7" t="str">
        <f aca="false">IF(COUNTIF($A$2:$A$5001,A112)&gt;1,"Duplicate","Unique")</f>
        <v>Unique</v>
      </c>
      <c r="V112" s="7" t="str">
        <f aca="false">IF(COUNTIFS($B$2:$B$5001,B112,$H$2:$H$5001,H112,$J$2:$J$5001,J112)&gt;1,"Possible Duplicate Booking","Unique")</f>
        <v>Unique</v>
      </c>
      <c r="W112" s="7" t="str">
        <f aca="false">IF((H112-G112)&lt;&gt;K112,"Mismatch","OK")</f>
        <v>OK</v>
      </c>
      <c r="X112" s="7" t="str">
        <f aca="false">IF(TEXT(H112,"dddd")&lt;&gt;I112,"Mismatch","OK")</f>
        <v>OK</v>
      </c>
      <c r="Y112" s="7" t="str">
        <f aca="false">IF(AND(N112="No",O112&lt;&gt;""),"Unexpected: channel present but no reminder sent",IF(AND(N112="Yes",O112=""),"Missing channel for sent reminder","OK"))</f>
        <v>OK</v>
      </c>
    </row>
    <row r="113" customFormat="false" ht="15" hidden="false" customHeight="false" outlineLevel="0" collapsed="false">
      <c r="A113" s="9" t="s">
        <v>287</v>
      </c>
      <c r="B113" s="9" t="s">
        <v>288</v>
      </c>
      <c r="C113" s="9" t="s">
        <v>47</v>
      </c>
      <c r="D113" s="9" t="n">
        <v>35</v>
      </c>
      <c r="E113" s="9" t="s">
        <v>38</v>
      </c>
      <c r="F113" s="9" t="s">
        <v>49</v>
      </c>
      <c r="G113" s="10" t="n">
        <v>46042</v>
      </c>
      <c r="H113" s="10" t="n">
        <v>46084</v>
      </c>
      <c r="I113" s="9" t="s">
        <v>40</v>
      </c>
      <c r="J113" s="9" t="s">
        <v>51</v>
      </c>
      <c r="K113" s="9" t="n">
        <v>42</v>
      </c>
      <c r="L113" s="9" t="n">
        <v>3</v>
      </c>
      <c r="M113" s="9" t="n">
        <v>1</v>
      </c>
      <c r="N113" s="9" t="s">
        <v>42</v>
      </c>
      <c r="O113" s="9" t="s">
        <v>43</v>
      </c>
      <c r="P113" s="9" t="n">
        <v>1.8</v>
      </c>
      <c r="Q113" s="9" t="n">
        <v>14</v>
      </c>
      <c r="R113" s="9" t="s">
        <v>53</v>
      </c>
      <c r="S113" s="9"/>
      <c r="T113" s="9"/>
      <c r="U113" s="9" t="str">
        <f aca="false">IF(COUNTIF($A$2:$A$5001,A113)&gt;1,"Duplicate","Unique")</f>
        <v>Unique</v>
      </c>
      <c r="V113" s="9" t="str">
        <f aca="false">IF(COUNTIFS($B$2:$B$5001,B113,$H$2:$H$5001,H113,$J$2:$J$5001,J113)&gt;1,"Possible Duplicate Booking","Unique")</f>
        <v>Unique</v>
      </c>
      <c r="W113" s="9" t="str">
        <f aca="false">IF((H113-G113)&lt;&gt;K113,"Mismatch","OK")</f>
        <v>OK</v>
      </c>
      <c r="X113" s="9" t="str">
        <f aca="false">IF(TEXT(H113,"dddd")&lt;&gt;I113,"Mismatch","OK")</f>
        <v>OK</v>
      </c>
      <c r="Y113" s="9" t="str">
        <f aca="false">IF(AND(N113="No",O113&lt;&gt;""),"Unexpected: channel present but no reminder sent",IF(AND(N113="Yes",O113=""),"Missing channel for sent reminder","OK"))</f>
        <v>OK</v>
      </c>
    </row>
    <row r="114" customFormat="false" ht="15" hidden="false" customHeight="false" outlineLevel="0" collapsed="false">
      <c r="A114" s="7" t="s">
        <v>289</v>
      </c>
      <c r="B114" s="7" t="s">
        <v>290</v>
      </c>
      <c r="C114" s="7" t="s">
        <v>37</v>
      </c>
      <c r="D114" s="7" t="n">
        <v>21</v>
      </c>
      <c r="E114" s="7" t="s">
        <v>82</v>
      </c>
      <c r="F114" s="7" t="s">
        <v>39</v>
      </c>
      <c r="G114" s="8" t="n">
        <v>45901</v>
      </c>
      <c r="H114" s="8" t="n">
        <v>45961</v>
      </c>
      <c r="I114" s="7" t="s">
        <v>50</v>
      </c>
      <c r="J114" s="7" t="s">
        <v>51</v>
      </c>
      <c r="K114" s="7" t="n">
        <v>60</v>
      </c>
      <c r="L114" s="7" t="n">
        <v>8</v>
      </c>
      <c r="M114" s="7" t="n">
        <v>0</v>
      </c>
      <c r="N114" s="7" t="s">
        <v>42</v>
      </c>
      <c r="O114" s="7" t="s">
        <v>43</v>
      </c>
      <c r="P114" s="7" t="n">
        <v>8.7</v>
      </c>
      <c r="Q114" s="7" t="n">
        <v>26</v>
      </c>
      <c r="R114" s="7" t="s">
        <v>53</v>
      </c>
      <c r="S114" s="7"/>
      <c r="T114" s="7"/>
      <c r="U114" s="7" t="str">
        <f aca="false">IF(COUNTIF($A$2:$A$5001,A114)&gt;1,"Duplicate","Unique")</f>
        <v>Unique</v>
      </c>
      <c r="V114" s="7" t="str">
        <f aca="false">IF(COUNTIFS($B$2:$B$5001,B114,$H$2:$H$5001,H114,$J$2:$J$5001,J114)&gt;1,"Possible Duplicate Booking","Unique")</f>
        <v>Unique</v>
      </c>
      <c r="W114" s="7" t="str">
        <f aca="false">IF((H114-G114)&lt;&gt;K114,"Mismatch","OK")</f>
        <v>OK</v>
      </c>
      <c r="X114" s="7" t="str">
        <f aca="false">IF(TEXT(H114,"dddd")&lt;&gt;I114,"Mismatch","OK")</f>
        <v>OK</v>
      </c>
      <c r="Y114" s="7" t="str">
        <f aca="false">IF(AND(N114="No",O114&lt;&gt;""),"Unexpected: channel present but no reminder sent",IF(AND(N114="Yes",O114=""),"Missing channel for sent reminder","OK"))</f>
        <v>OK</v>
      </c>
    </row>
    <row r="115" customFormat="false" ht="15" hidden="false" customHeight="false" outlineLevel="0" collapsed="false">
      <c r="A115" s="9" t="s">
        <v>291</v>
      </c>
      <c r="B115" s="9" t="s">
        <v>292</v>
      </c>
      <c r="C115" s="9" t="s">
        <v>47</v>
      </c>
      <c r="D115" s="9" t="n">
        <v>52</v>
      </c>
      <c r="E115" s="9" t="s">
        <v>56</v>
      </c>
      <c r="F115" s="9" t="s">
        <v>57</v>
      </c>
      <c r="G115" s="10" t="n">
        <v>45907</v>
      </c>
      <c r="H115" s="10" t="n">
        <v>45908</v>
      </c>
      <c r="I115" s="9" t="s">
        <v>66</v>
      </c>
      <c r="J115" s="9" t="s">
        <v>41</v>
      </c>
      <c r="K115" s="9" t="n">
        <v>1</v>
      </c>
      <c r="L115" s="9" t="n">
        <v>3</v>
      </c>
      <c r="M115" s="9" t="n">
        <v>0</v>
      </c>
      <c r="N115" s="9" t="s">
        <v>71</v>
      </c>
      <c r="O115" s="9"/>
      <c r="P115" s="9" t="n">
        <v>10.7</v>
      </c>
      <c r="Q115" s="9" t="n">
        <v>22</v>
      </c>
      <c r="R115" s="9" t="s">
        <v>53</v>
      </c>
      <c r="S115" s="9"/>
      <c r="T115" s="9"/>
      <c r="U115" s="9" t="str">
        <f aca="false">IF(COUNTIF($A$2:$A$5001,A115)&gt;1,"Duplicate","Unique")</f>
        <v>Unique</v>
      </c>
      <c r="V115" s="9" t="str">
        <f aca="false">IF(COUNTIFS($B$2:$B$5001,B115,$H$2:$H$5001,H115,$J$2:$J$5001,J115)&gt;1,"Possible Duplicate Booking","Unique")</f>
        <v>Unique</v>
      </c>
      <c r="W115" s="9" t="str">
        <f aca="false">IF((H115-G115)&lt;&gt;K115,"Mismatch","OK")</f>
        <v>OK</v>
      </c>
      <c r="X115" s="9" t="str">
        <f aca="false">IF(TEXT(H115,"dddd")&lt;&gt;I115,"Mismatch","OK")</f>
        <v>OK</v>
      </c>
      <c r="Y115" s="9" t="str">
        <f aca="false">IF(AND(N115="No",O115&lt;&gt;""),"Unexpected: channel present but no reminder sent",IF(AND(N115="Yes",O115=""),"Missing channel for sent reminder","OK"))</f>
        <v>OK</v>
      </c>
    </row>
    <row r="116" customFormat="false" ht="15" hidden="false" customHeight="false" outlineLevel="0" collapsed="false">
      <c r="A116" s="7" t="s">
        <v>293</v>
      </c>
      <c r="B116" s="7" t="s">
        <v>294</v>
      </c>
      <c r="C116" s="7" t="s">
        <v>37</v>
      </c>
      <c r="D116" s="7" t="n">
        <v>62</v>
      </c>
      <c r="E116" s="7" t="s">
        <v>61</v>
      </c>
      <c r="F116" s="7" t="s">
        <v>57</v>
      </c>
      <c r="G116" s="8" t="n">
        <v>45920</v>
      </c>
      <c r="H116" s="8" t="n">
        <v>45934</v>
      </c>
      <c r="I116" s="7" t="s">
        <v>102</v>
      </c>
      <c r="J116" s="7" t="s">
        <v>51</v>
      </c>
      <c r="K116" s="7" t="n">
        <v>14</v>
      </c>
      <c r="L116" s="7" t="n">
        <v>2</v>
      </c>
      <c r="M116" s="7" t="n">
        <v>1</v>
      </c>
      <c r="N116" s="7" t="s">
        <v>42</v>
      </c>
      <c r="O116" s="7" t="s">
        <v>52</v>
      </c>
      <c r="P116" s="7" t="n">
        <v>2.1</v>
      </c>
      <c r="Q116" s="7" t="n">
        <v>31</v>
      </c>
      <c r="R116" s="7" t="s">
        <v>44</v>
      </c>
      <c r="S116" s="7"/>
      <c r="T116" s="7"/>
      <c r="U116" s="7" t="str">
        <f aca="false">IF(COUNTIF($A$2:$A$5001,A116)&gt;1,"Duplicate","Unique")</f>
        <v>Unique</v>
      </c>
      <c r="V116" s="7" t="str">
        <f aca="false">IF(COUNTIFS($B$2:$B$5001,B116,$H$2:$H$5001,H116,$J$2:$J$5001,J116)&gt;1,"Possible Duplicate Booking","Unique")</f>
        <v>Unique</v>
      </c>
      <c r="W116" s="7" t="str">
        <f aca="false">IF((H116-G116)&lt;&gt;K116,"Mismatch","OK")</f>
        <v>OK</v>
      </c>
      <c r="X116" s="7" t="str">
        <f aca="false">IF(TEXT(H116,"dddd")&lt;&gt;I116,"Mismatch","OK")</f>
        <v>OK</v>
      </c>
      <c r="Y116" s="7" t="str">
        <f aca="false">IF(AND(N116="No",O116&lt;&gt;""),"Unexpected: channel present but no reminder sent",IF(AND(N116="Yes",O116=""),"Missing channel for sent reminder","OK"))</f>
        <v>OK</v>
      </c>
    </row>
    <row r="117" customFormat="false" ht="15" hidden="false" customHeight="false" outlineLevel="0" collapsed="false">
      <c r="A117" s="9" t="s">
        <v>295</v>
      </c>
      <c r="B117" s="9" t="s">
        <v>296</v>
      </c>
      <c r="C117" s="9" t="s">
        <v>47</v>
      </c>
      <c r="D117" s="9" t="n">
        <v>52</v>
      </c>
      <c r="E117" s="9" t="s">
        <v>56</v>
      </c>
      <c r="F117" s="9" t="s">
        <v>49</v>
      </c>
      <c r="G117" s="10" t="n">
        <v>45952</v>
      </c>
      <c r="H117" s="10" t="n">
        <v>45968</v>
      </c>
      <c r="I117" s="9" t="s">
        <v>50</v>
      </c>
      <c r="J117" s="9" t="s">
        <v>41</v>
      </c>
      <c r="K117" s="9" t="n">
        <v>16</v>
      </c>
      <c r="L117" s="9" t="n">
        <v>2</v>
      </c>
      <c r="M117" s="9" t="n">
        <v>0</v>
      </c>
      <c r="N117" s="9" t="s">
        <v>42</v>
      </c>
      <c r="O117" s="9" t="s">
        <v>52</v>
      </c>
      <c r="P117" s="9" t="n">
        <v>7.4</v>
      </c>
      <c r="Q117" s="9" t="n">
        <v>46</v>
      </c>
      <c r="R117" s="9" t="s">
        <v>53</v>
      </c>
      <c r="S117" s="9"/>
      <c r="T117" s="9"/>
      <c r="U117" s="9" t="str">
        <f aca="false">IF(COUNTIF($A$2:$A$5001,A117)&gt;1,"Duplicate","Unique")</f>
        <v>Unique</v>
      </c>
      <c r="V117" s="9" t="str">
        <f aca="false">IF(COUNTIFS($B$2:$B$5001,B117,$H$2:$H$5001,H117,$J$2:$J$5001,J117)&gt;1,"Possible Duplicate Booking","Unique")</f>
        <v>Unique</v>
      </c>
      <c r="W117" s="9" t="str">
        <f aca="false">IF((H117-G117)&lt;&gt;K117,"Mismatch","OK")</f>
        <v>OK</v>
      </c>
      <c r="X117" s="9" t="str">
        <f aca="false">IF(TEXT(H117,"dddd")&lt;&gt;I117,"Mismatch","OK")</f>
        <v>OK</v>
      </c>
      <c r="Y117" s="9" t="str">
        <f aca="false">IF(AND(N117="No",O117&lt;&gt;""),"Unexpected: channel present but no reminder sent",IF(AND(N117="Yes",O117=""),"Missing channel for sent reminder","OK"))</f>
        <v>OK</v>
      </c>
    </row>
    <row r="118" customFormat="false" ht="15" hidden="false" customHeight="false" outlineLevel="0" collapsed="false">
      <c r="A118" s="7" t="s">
        <v>297</v>
      </c>
      <c r="B118" s="7" t="s">
        <v>298</v>
      </c>
      <c r="C118" s="7" t="s">
        <v>47</v>
      </c>
      <c r="D118" s="7" t="n">
        <v>79</v>
      </c>
      <c r="E118" s="7" t="s">
        <v>70</v>
      </c>
      <c r="F118" s="7" t="s">
        <v>57</v>
      </c>
      <c r="G118" s="8" t="n">
        <v>45663</v>
      </c>
      <c r="H118" s="8" t="n">
        <v>45678</v>
      </c>
      <c r="I118" s="7" t="s">
        <v>40</v>
      </c>
      <c r="J118" s="7" t="s">
        <v>41</v>
      </c>
      <c r="K118" s="7" t="n">
        <v>15</v>
      </c>
      <c r="L118" s="7" t="n">
        <v>3</v>
      </c>
      <c r="M118" s="7" t="n">
        <v>0</v>
      </c>
      <c r="N118" s="7" t="s">
        <v>42</v>
      </c>
      <c r="O118" s="7" t="s">
        <v>43</v>
      </c>
      <c r="P118" s="7" t="n">
        <v>4.8</v>
      </c>
      <c r="Q118" s="7" t="n">
        <v>10</v>
      </c>
      <c r="R118" s="7" t="s">
        <v>53</v>
      </c>
      <c r="S118" s="7"/>
      <c r="T118" s="7"/>
      <c r="U118" s="7" t="str">
        <f aca="false">IF(COUNTIF($A$2:$A$5001,A118)&gt;1,"Duplicate","Unique")</f>
        <v>Unique</v>
      </c>
      <c r="V118" s="7" t="str">
        <f aca="false">IF(COUNTIFS($B$2:$B$5001,B118,$H$2:$H$5001,H118,$J$2:$J$5001,J118)&gt;1,"Possible Duplicate Booking","Unique")</f>
        <v>Unique</v>
      </c>
      <c r="W118" s="7" t="str">
        <f aca="false">IF((H118-G118)&lt;&gt;K118,"Mismatch","OK")</f>
        <v>OK</v>
      </c>
      <c r="X118" s="7" t="str">
        <f aca="false">IF(TEXT(H118,"dddd")&lt;&gt;I118,"Mismatch","OK")</f>
        <v>OK</v>
      </c>
      <c r="Y118" s="7" t="str">
        <f aca="false">IF(AND(N118="No",O118&lt;&gt;""),"Unexpected: channel present but no reminder sent",IF(AND(N118="Yes",O118=""),"Missing channel for sent reminder","OK"))</f>
        <v>OK</v>
      </c>
    </row>
    <row r="119" customFormat="false" ht="15" hidden="false" customHeight="false" outlineLevel="0" collapsed="false">
      <c r="A119" s="9" t="s">
        <v>299</v>
      </c>
      <c r="B119" s="9" t="s">
        <v>300</v>
      </c>
      <c r="C119" s="9" t="s">
        <v>37</v>
      </c>
      <c r="D119" s="9" t="n">
        <v>55</v>
      </c>
      <c r="E119" s="9" t="s">
        <v>61</v>
      </c>
      <c r="F119" s="9" t="s">
        <v>39</v>
      </c>
      <c r="G119" s="10" t="n">
        <v>45706</v>
      </c>
      <c r="H119" s="10" t="n">
        <v>45734</v>
      </c>
      <c r="I119" s="9" t="s">
        <v>40</v>
      </c>
      <c r="J119" s="9" t="s">
        <v>41</v>
      </c>
      <c r="K119" s="9" t="n">
        <v>28</v>
      </c>
      <c r="L119" s="9" t="n">
        <v>1</v>
      </c>
      <c r="M119" s="9" t="n">
        <v>1</v>
      </c>
      <c r="N119" s="9" t="s">
        <v>42</v>
      </c>
      <c r="O119" s="9" t="s">
        <v>67</v>
      </c>
      <c r="P119" s="9" t="n">
        <v>6.7</v>
      </c>
      <c r="Q119" s="9" t="n">
        <v>49</v>
      </c>
      <c r="R119" s="9" t="s">
        <v>44</v>
      </c>
      <c r="S119" s="9"/>
      <c r="T119" s="9"/>
      <c r="U119" s="9" t="str">
        <f aca="false">IF(COUNTIF($A$2:$A$5001,A119)&gt;1,"Duplicate","Unique")</f>
        <v>Unique</v>
      </c>
      <c r="V119" s="9" t="str">
        <f aca="false">IF(COUNTIFS($B$2:$B$5001,B119,$H$2:$H$5001,H119,$J$2:$J$5001,J119)&gt;1,"Possible Duplicate Booking","Unique")</f>
        <v>Unique</v>
      </c>
      <c r="W119" s="9" t="str">
        <f aca="false">IF((H119-G119)&lt;&gt;K119,"Mismatch","OK")</f>
        <v>OK</v>
      </c>
      <c r="X119" s="9" t="str">
        <f aca="false">IF(TEXT(H119,"dddd")&lt;&gt;I119,"Mismatch","OK")</f>
        <v>OK</v>
      </c>
      <c r="Y119" s="9" t="str">
        <f aca="false">IF(AND(N119="No",O119&lt;&gt;""),"Unexpected: channel present but no reminder sent",IF(AND(N119="Yes",O119=""),"Missing channel for sent reminder","OK"))</f>
        <v>OK</v>
      </c>
    </row>
    <row r="120" customFormat="false" ht="15" hidden="false" customHeight="false" outlineLevel="0" collapsed="false">
      <c r="A120" s="7" t="s">
        <v>301</v>
      </c>
      <c r="B120" s="7" t="s">
        <v>302</v>
      </c>
      <c r="C120" s="7" t="s">
        <v>47</v>
      </c>
      <c r="D120" s="7" t="n">
        <v>50</v>
      </c>
      <c r="E120" s="7" t="s">
        <v>56</v>
      </c>
      <c r="F120" s="7" t="s">
        <v>49</v>
      </c>
      <c r="G120" s="8" t="n">
        <v>45739</v>
      </c>
      <c r="H120" s="8" t="n">
        <v>45792</v>
      </c>
      <c r="I120" s="7" t="s">
        <v>62</v>
      </c>
      <c r="J120" s="7" t="s">
        <v>51</v>
      </c>
      <c r="K120" s="7" t="n">
        <v>53</v>
      </c>
      <c r="L120" s="7" t="n">
        <v>2</v>
      </c>
      <c r="M120" s="7" t="n">
        <v>0</v>
      </c>
      <c r="N120" s="7" t="s">
        <v>42</v>
      </c>
      <c r="O120" s="7" t="s">
        <v>52</v>
      </c>
      <c r="P120" s="7" t="n">
        <v>9.6</v>
      </c>
      <c r="Q120" s="7" t="n">
        <v>45</v>
      </c>
      <c r="R120" s="7" t="s">
        <v>53</v>
      </c>
      <c r="S120" s="7"/>
      <c r="T120" s="7"/>
      <c r="U120" s="7" t="str">
        <f aca="false">IF(COUNTIF($A$2:$A$5001,A120)&gt;1,"Duplicate","Unique")</f>
        <v>Unique</v>
      </c>
      <c r="V120" s="7" t="str">
        <f aca="false">IF(COUNTIFS($B$2:$B$5001,B120,$H$2:$H$5001,H120,$J$2:$J$5001,J120)&gt;1,"Possible Duplicate Booking","Unique")</f>
        <v>Unique</v>
      </c>
      <c r="W120" s="7" t="str">
        <f aca="false">IF((H120-G120)&lt;&gt;K120,"Mismatch","OK")</f>
        <v>OK</v>
      </c>
      <c r="X120" s="7" t="str">
        <f aca="false">IF(TEXT(H120,"dddd")&lt;&gt;I120,"Mismatch","OK")</f>
        <v>OK</v>
      </c>
      <c r="Y120" s="7" t="str">
        <f aca="false">IF(AND(N120="No",O120&lt;&gt;""),"Unexpected: channel present but no reminder sent",IF(AND(N120="Yes",O120=""),"Missing channel for sent reminder","OK"))</f>
        <v>OK</v>
      </c>
    </row>
    <row r="121" customFormat="false" ht="15" hidden="false" customHeight="false" outlineLevel="0" collapsed="false">
      <c r="A121" s="9" t="s">
        <v>303</v>
      </c>
      <c r="B121" s="9" t="s">
        <v>304</v>
      </c>
      <c r="C121" s="9" t="s">
        <v>37</v>
      </c>
      <c r="D121" s="9" t="n">
        <v>21</v>
      </c>
      <c r="E121" s="9" t="s">
        <v>82</v>
      </c>
      <c r="F121" s="9" t="s">
        <v>49</v>
      </c>
      <c r="G121" s="10" t="n">
        <v>45719</v>
      </c>
      <c r="H121" s="10" t="n">
        <v>45720</v>
      </c>
      <c r="I121" s="9" t="s">
        <v>40</v>
      </c>
      <c r="J121" s="9" t="s">
        <v>63</v>
      </c>
      <c r="K121" s="9" t="n">
        <v>1</v>
      </c>
      <c r="L121" s="9" t="n">
        <v>3</v>
      </c>
      <c r="M121" s="9" t="n">
        <v>0</v>
      </c>
      <c r="N121" s="9" t="s">
        <v>42</v>
      </c>
      <c r="O121" s="9" t="s">
        <v>52</v>
      </c>
      <c r="P121" s="9" t="n">
        <v>1.7</v>
      </c>
      <c r="Q121" s="9" t="n">
        <v>5</v>
      </c>
      <c r="R121" s="9" t="s">
        <v>53</v>
      </c>
      <c r="S121" s="9"/>
      <c r="T121" s="9"/>
      <c r="U121" s="9" t="str">
        <f aca="false">IF(COUNTIF($A$2:$A$5001,A121)&gt;1,"Duplicate","Unique")</f>
        <v>Unique</v>
      </c>
      <c r="V121" s="9" t="str">
        <f aca="false">IF(COUNTIFS($B$2:$B$5001,B121,$H$2:$H$5001,H121,$J$2:$J$5001,J121)&gt;1,"Possible Duplicate Booking","Unique")</f>
        <v>Unique</v>
      </c>
      <c r="W121" s="9" t="str">
        <f aca="false">IF((H121-G121)&lt;&gt;K121,"Mismatch","OK")</f>
        <v>OK</v>
      </c>
      <c r="X121" s="9" t="str">
        <f aca="false">IF(TEXT(H121,"dddd")&lt;&gt;I121,"Mismatch","OK")</f>
        <v>OK</v>
      </c>
      <c r="Y121" s="9" t="str">
        <f aca="false">IF(AND(N121="No",O121&lt;&gt;""),"Unexpected: channel present but no reminder sent",IF(AND(N121="Yes",O121=""),"Missing channel for sent reminder","OK"))</f>
        <v>OK</v>
      </c>
    </row>
    <row r="122" customFormat="false" ht="15" hidden="false" customHeight="false" outlineLevel="0" collapsed="false">
      <c r="A122" s="7" t="s">
        <v>305</v>
      </c>
      <c r="B122" s="7" t="s">
        <v>306</v>
      </c>
      <c r="C122" s="7" t="s">
        <v>37</v>
      </c>
      <c r="D122" s="7" t="n">
        <v>53</v>
      </c>
      <c r="E122" s="7" t="s">
        <v>56</v>
      </c>
      <c r="F122" s="7" t="s">
        <v>57</v>
      </c>
      <c r="G122" s="8" t="n">
        <v>45849</v>
      </c>
      <c r="H122" s="8" t="n">
        <v>45898</v>
      </c>
      <c r="I122" s="7" t="s">
        <v>50</v>
      </c>
      <c r="J122" s="7" t="s">
        <v>41</v>
      </c>
      <c r="K122" s="7" t="n">
        <v>49</v>
      </c>
      <c r="L122" s="7" t="n">
        <v>1</v>
      </c>
      <c r="M122" s="7" t="n">
        <v>0</v>
      </c>
      <c r="N122" s="7" t="s">
        <v>42</v>
      </c>
      <c r="O122" s="7" t="s">
        <v>52</v>
      </c>
      <c r="P122" s="7" t="n">
        <v>3.6</v>
      </c>
      <c r="Q122" s="7" t="n">
        <v>11</v>
      </c>
      <c r="R122" s="7" t="s">
        <v>44</v>
      </c>
      <c r="S122" s="7"/>
      <c r="T122" s="7"/>
      <c r="U122" s="7" t="str">
        <f aca="false">IF(COUNTIF($A$2:$A$5001,A122)&gt;1,"Duplicate","Unique")</f>
        <v>Unique</v>
      </c>
      <c r="V122" s="7" t="str">
        <f aca="false">IF(COUNTIFS($B$2:$B$5001,B122,$H$2:$H$5001,H122,$J$2:$J$5001,J122)&gt;1,"Possible Duplicate Booking","Unique")</f>
        <v>Unique</v>
      </c>
      <c r="W122" s="7" t="str">
        <f aca="false">IF((H122-G122)&lt;&gt;K122,"Mismatch","OK")</f>
        <v>OK</v>
      </c>
      <c r="X122" s="7" t="str">
        <f aca="false">IF(TEXT(H122,"dddd")&lt;&gt;I122,"Mismatch","OK")</f>
        <v>OK</v>
      </c>
      <c r="Y122" s="7" t="str">
        <f aca="false">IF(AND(N122="No",O122&lt;&gt;""),"Unexpected: channel present but no reminder sent",IF(AND(N122="Yes",O122=""),"Missing channel for sent reminder","OK"))</f>
        <v>OK</v>
      </c>
    </row>
    <row r="123" customFormat="false" ht="15" hidden="false" customHeight="false" outlineLevel="0" collapsed="false">
      <c r="A123" s="9" t="s">
        <v>307</v>
      </c>
      <c r="B123" s="9" t="s">
        <v>308</v>
      </c>
      <c r="C123" s="9" t="s">
        <v>37</v>
      </c>
      <c r="D123" s="9" t="n">
        <v>28</v>
      </c>
      <c r="E123" s="9" t="s">
        <v>48</v>
      </c>
      <c r="F123" s="9" t="s">
        <v>49</v>
      </c>
      <c r="G123" s="10" t="n">
        <v>45985</v>
      </c>
      <c r="H123" s="10" t="n">
        <v>46022</v>
      </c>
      <c r="I123" s="9" t="s">
        <v>58</v>
      </c>
      <c r="J123" s="9" t="s">
        <v>41</v>
      </c>
      <c r="K123" s="9" t="n">
        <v>37</v>
      </c>
      <c r="L123" s="9" t="n">
        <v>6</v>
      </c>
      <c r="M123" s="9" t="n">
        <v>1</v>
      </c>
      <c r="N123" s="9" t="s">
        <v>42</v>
      </c>
      <c r="O123" s="9" t="s">
        <v>52</v>
      </c>
      <c r="P123" s="9" t="n">
        <v>15.1</v>
      </c>
      <c r="Q123" s="9" t="n">
        <v>20</v>
      </c>
      <c r="R123" s="9" t="s">
        <v>53</v>
      </c>
      <c r="S123" s="9"/>
      <c r="T123" s="9"/>
      <c r="U123" s="9" t="str">
        <f aca="false">IF(COUNTIF($A$2:$A$5001,A123)&gt;1,"Duplicate","Unique")</f>
        <v>Unique</v>
      </c>
      <c r="V123" s="9" t="str">
        <f aca="false">IF(COUNTIFS($B$2:$B$5001,B123,$H$2:$H$5001,H123,$J$2:$J$5001,J123)&gt;1,"Possible Duplicate Booking","Unique")</f>
        <v>Unique</v>
      </c>
      <c r="W123" s="9" t="str">
        <f aca="false">IF((H123-G123)&lt;&gt;K123,"Mismatch","OK")</f>
        <v>OK</v>
      </c>
      <c r="X123" s="9" t="str">
        <f aca="false">IF(TEXT(H123,"dddd")&lt;&gt;I123,"Mismatch","OK")</f>
        <v>OK</v>
      </c>
      <c r="Y123" s="9" t="str">
        <f aca="false">IF(AND(N123="No",O123&lt;&gt;""),"Unexpected: channel present but no reminder sent",IF(AND(N123="Yes",O123=""),"Missing channel for sent reminder","OK"))</f>
        <v>OK</v>
      </c>
    </row>
    <row r="124" customFormat="false" ht="15" hidden="false" customHeight="false" outlineLevel="0" collapsed="false">
      <c r="A124" s="7" t="s">
        <v>309</v>
      </c>
      <c r="B124" s="7" t="s">
        <v>310</v>
      </c>
      <c r="C124" s="7" t="s">
        <v>47</v>
      </c>
      <c r="D124" s="7" t="n">
        <v>63</v>
      </c>
      <c r="E124" s="7" t="s">
        <v>61</v>
      </c>
      <c r="F124" s="7" t="s">
        <v>57</v>
      </c>
      <c r="G124" s="8" t="n">
        <v>45978</v>
      </c>
      <c r="H124" s="8" t="n">
        <v>46015</v>
      </c>
      <c r="I124" s="7" t="s">
        <v>58</v>
      </c>
      <c r="J124" s="7" t="s">
        <v>41</v>
      </c>
      <c r="K124" s="7" t="n">
        <v>37</v>
      </c>
      <c r="L124" s="7" t="n">
        <v>2</v>
      </c>
      <c r="M124" s="7" t="n">
        <v>0</v>
      </c>
      <c r="N124" s="7" t="s">
        <v>42</v>
      </c>
      <c r="O124" s="7" t="s">
        <v>43</v>
      </c>
      <c r="P124" s="7" t="n">
        <v>9.3</v>
      </c>
      <c r="Q124" s="7" t="n">
        <v>14</v>
      </c>
      <c r="R124" s="7" t="s">
        <v>87</v>
      </c>
      <c r="S124" s="7"/>
      <c r="T124" s="7"/>
      <c r="U124" s="7" t="str">
        <f aca="false">IF(COUNTIF($A$2:$A$5001,A124)&gt;1,"Duplicate","Unique")</f>
        <v>Unique</v>
      </c>
      <c r="V124" s="7" t="str">
        <f aca="false">IF(COUNTIFS($B$2:$B$5001,B124,$H$2:$H$5001,H124,$J$2:$J$5001,J124)&gt;1,"Possible Duplicate Booking","Unique")</f>
        <v>Unique</v>
      </c>
      <c r="W124" s="7" t="str">
        <f aca="false">IF((H124-G124)&lt;&gt;K124,"Mismatch","OK")</f>
        <v>OK</v>
      </c>
      <c r="X124" s="7" t="str">
        <f aca="false">IF(TEXT(H124,"dddd")&lt;&gt;I124,"Mismatch","OK")</f>
        <v>OK</v>
      </c>
      <c r="Y124" s="7" t="str">
        <f aca="false">IF(AND(N124="No",O124&lt;&gt;""),"Unexpected: channel present but no reminder sent",IF(AND(N124="Yes",O124=""),"Missing channel for sent reminder","OK"))</f>
        <v>OK</v>
      </c>
    </row>
    <row r="125" customFormat="false" ht="15" hidden="false" customHeight="false" outlineLevel="0" collapsed="false">
      <c r="A125" s="9" t="s">
        <v>311</v>
      </c>
      <c r="B125" s="9" t="s">
        <v>312</v>
      </c>
      <c r="C125" s="9" t="s">
        <v>47</v>
      </c>
      <c r="D125" s="9" t="n">
        <v>28</v>
      </c>
      <c r="E125" s="9" t="s">
        <v>48</v>
      </c>
      <c r="F125" s="9" t="s">
        <v>57</v>
      </c>
      <c r="G125" s="10" t="n">
        <v>45874</v>
      </c>
      <c r="H125" s="10" t="n">
        <v>45915</v>
      </c>
      <c r="I125" s="9" t="s">
        <v>66</v>
      </c>
      <c r="J125" s="9" t="s">
        <v>41</v>
      </c>
      <c r="K125" s="9" t="n">
        <v>41</v>
      </c>
      <c r="L125" s="9" t="n">
        <v>3</v>
      </c>
      <c r="M125" s="9" t="n">
        <v>1</v>
      </c>
      <c r="N125" s="9" t="s">
        <v>42</v>
      </c>
      <c r="O125" s="9" t="s">
        <v>52</v>
      </c>
      <c r="P125" s="9" t="n">
        <v>4.1</v>
      </c>
      <c r="Q125" s="9" t="n">
        <v>30</v>
      </c>
      <c r="R125" s="9" t="s">
        <v>44</v>
      </c>
      <c r="S125" s="9"/>
      <c r="T125" s="9"/>
      <c r="U125" s="9" t="str">
        <f aca="false">IF(COUNTIF($A$2:$A$5001,A125)&gt;1,"Duplicate","Unique")</f>
        <v>Unique</v>
      </c>
      <c r="V125" s="9" t="str">
        <f aca="false">IF(COUNTIFS($B$2:$B$5001,B125,$H$2:$H$5001,H125,$J$2:$J$5001,J125)&gt;1,"Possible Duplicate Booking","Unique")</f>
        <v>Unique</v>
      </c>
      <c r="W125" s="9" t="str">
        <f aca="false">IF((H125-G125)&lt;&gt;K125,"Mismatch","OK")</f>
        <v>OK</v>
      </c>
      <c r="X125" s="9" t="str">
        <f aca="false">IF(TEXT(H125,"dddd")&lt;&gt;I125,"Mismatch","OK")</f>
        <v>OK</v>
      </c>
      <c r="Y125" s="9" t="str">
        <f aca="false">IF(AND(N125="No",O125&lt;&gt;""),"Unexpected: channel present but no reminder sent",IF(AND(N125="Yes",O125=""),"Missing channel for sent reminder","OK"))</f>
        <v>OK</v>
      </c>
    </row>
    <row r="126" customFormat="false" ht="15" hidden="false" customHeight="false" outlineLevel="0" collapsed="false">
      <c r="A126" s="7" t="s">
        <v>313</v>
      </c>
      <c r="B126" s="7" t="s">
        <v>314</v>
      </c>
      <c r="C126" s="7" t="s">
        <v>47</v>
      </c>
      <c r="D126" s="7" t="n">
        <v>75</v>
      </c>
      <c r="E126" s="7" t="s">
        <v>70</v>
      </c>
      <c r="F126" s="7" t="s">
        <v>57</v>
      </c>
      <c r="G126" s="8" t="n">
        <v>46117</v>
      </c>
      <c r="H126" s="8" t="n">
        <v>46124</v>
      </c>
      <c r="I126" s="7" t="s">
        <v>75</v>
      </c>
      <c r="J126" s="7" t="s">
        <v>63</v>
      </c>
      <c r="K126" s="7" t="n">
        <v>7</v>
      </c>
      <c r="L126" s="7" t="n">
        <v>2</v>
      </c>
      <c r="M126" s="7" t="n">
        <v>1</v>
      </c>
      <c r="N126" s="7" t="s">
        <v>42</v>
      </c>
      <c r="O126" s="7" t="s">
        <v>43</v>
      </c>
      <c r="P126" s="7" t="n">
        <v>5.5</v>
      </c>
      <c r="Q126" s="7" t="n">
        <v>31</v>
      </c>
      <c r="R126" s="7" t="s">
        <v>44</v>
      </c>
      <c r="S126" s="7"/>
      <c r="T126" s="7"/>
      <c r="U126" s="7" t="str">
        <f aca="false">IF(COUNTIF($A$2:$A$5001,A126)&gt;1,"Duplicate","Unique")</f>
        <v>Unique</v>
      </c>
      <c r="V126" s="7" t="str">
        <f aca="false">IF(COUNTIFS($B$2:$B$5001,B126,$H$2:$H$5001,H126,$J$2:$J$5001,J126)&gt;1,"Possible Duplicate Booking","Unique")</f>
        <v>Unique</v>
      </c>
      <c r="W126" s="7" t="str">
        <f aca="false">IF((H126-G126)&lt;&gt;K126,"Mismatch","OK")</f>
        <v>OK</v>
      </c>
      <c r="X126" s="7" t="str">
        <f aca="false">IF(TEXT(H126,"dddd")&lt;&gt;I126,"Mismatch","OK")</f>
        <v>OK</v>
      </c>
      <c r="Y126" s="7" t="str">
        <f aca="false">IF(AND(N126="No",O126&lt;&gt;""),"Unexpected: channel present but no reminder sent",IF(AND(N126="Yes",O126=""),"Missing channel for sent reminder","OK"))</f>
        <v>OK</v>
      </c>
    </row>
    <row r="127" customFormat="false" ht="15" hidden="false" customHeight="false" outlineLevel="0" collapsed="false">
      <c r="A127" s="9" t="s">
        <v>315</v>
      </c>
      <c r="B127" s="9" t="s">
        <v>316</v>
      </c>
      <c r="C127" s="9" t="s">
        <v>47</v>
      </c>
      <c r="D127" s="9" t="n">
        <v>37</v>
      </c>
      <c r="E127" s="9" t="s">
        <v>38</v>
      </c>
      <c r="F127" s="9" t="s">
        <v>57</v>
      </c>
      <c r="G127" s="10" t="n">
        <v>45921</v>
      </c>
      <c r="H127" s="10" t="n">
        <v>45966</v>
      </c>
      <c r="I127" s="9" t="s">
        <v>58</v>
      </c>
      <c r="J127" s="9" t="s">
        <v>41</v>
      </c>
      <c r="K127" s="9" t="n">
        <v>45</v>
      </c>
      <c r="L127" s="9" t="n">
        <v>4</v>
      </c>
      <c r="M127" s="9" t="n">
        <v>0</v>
      </c>
      <c r="N127" s="9" t="s">
        <v>71</v>
      </c>
      <c r="O127" s="9"/>
      <c r="P127" s="9" t="n">
        <v>5</v>
      </c>
      <c r="Q127" s="9" t="n">
        <v>26</v>
      </c>
      <c r="R127" s="9" t="s">
        <v>53</v>
      </c>
      <c r="S127" s="9"/>
      <c r="T127" s="9"/>
      <c r="U127" s="9" t="str">
        <f aca="false">IF(COUNTIF($A$2:$A$5001,A127)&gt;1,"Duplicate","Unique")</f>
        <v>Unique</v>
      </c>
      <c r="V127" s="9" t="str">
        <f aca="false">IF(COUNTIFS($B$2:$B$5001,B127,$H$2:$H$5001,H127,$J$2:$J$5001,J127)&gt;1,"Possible Duplicate Booking","Unique")</f>
        <v>Unique</v>
      </c>
      <c r="W127" s="9" t="str">
        <f aca="false">IF((H127-G127)&lt;&gt;K127,"Mismatch","OK")</f>
        <v>OK</v>
      </c>
      <c r="X127" s="9" t="str">
        <f aca="false">IF(TEXT(H127,"dddd")&lt;&gt;I127,"Mismatch","OK")</f>
        <v>OK</v>
      </c>
      <c r="Y127" s="9" t="str">
        <f aca="false">IF(AND(N127="No",O127&lt;&gt;""),"Unexpected: channel present but no reminder sent",IF(AND(N127="Yes",O127=""),"Missing channel for sent reminder","OK"))</f>
        <v>OK</v>
      </c>
    </row>
    <row r="128" customFormat="false" ht="15" hidden="false" customHeight="false" outlineLevel="0" collapsed="false">
      <c r="A128" s="7" t="s">
        <v>317</v>
      </c>
      <c r="B128" s="7" t="s">
        <v>318</v>
      </c>
      <c r="C128" s="7" t="s">
        <v>37</v>
      </c>
      <c r="D128" s="7" t="n">
        <v>45</v>
      </c>
      <c r="E128" s="7" t="s">
        <v>56</v>
      </c>
      <c r="F128" s="7" t="s">
        <v>74</v>
      </c>
      <c r="G128" s="8" t="n">
        <v>45686</v>
      </c>
      <c r="H128" s="8" t="n">
        <v>45701</v>
      </c>
      <c r="I128" s="7" t="s">
        <v>62</v>
      </c>
      <c r="J128" s="7" t="s">
        <v>41</v>
      </c>
      <c r="K128" s="7" t="n">
        <v>15</v>
      </c>
      <c r="L128" s="7" t="n">
        <v>1</v>
      </c>
      <c r="M128" s="7" t="n">
        <v>0</v>
      </c>
      <c r="N128" s="7" t="s">
        <v>42</v>
      </c>
      <c r="O128" s="7" t="s">
        <v>52</v>
      </c>
      <c r="P128" s="7" t="n">
        <v>7.8</v>
      </c>
      <c r="Q128" s="7" t="n">
        <v>28</v>
      </c>
      <c r="R128" s="7" t="s">
        <v>53</v>
      </c>
      <c r="S128" s="7"/>
      <c r="T128" s="7"/>
      <c r="U128" s="7" t="str">
        <f aca="false">IF(COUNTIF($A$2:$A$5001,A128)&gt;1,"Duplicate","Unique")</f>
        <v>Unique</v>
      </c>
      <c r="V128" s="7" t="str">
        <f aca="false">IF(COUNTIFS($B$2:$B$5001,B128,$H$2:$H$5001,H128,$J$2:$J$5001,J128)&gt;1,"Possible Duplicate Booking","Unique")</f>
        <v>Unique</v>
      </c>
      <c r="W128" s="7" t="str">
        <f aca="false">IF((H128-G128)&lt;&gt;K128,"Mismatch","OK")</f>
        <v>OK</v>
      </c>
      <c r="X128" s="7" t="str">
        <f aca="false">IF(TEXT(H128,"dddd")&lt;&gt;I128,"Mismatch","OK")</f>
        <v>OK</v>
      </c>
      <c r="Y128" s="7" t="str">
        <f aca="false">IF(AND(N128="No",O128&lt;&gt;""),"Unexpected: channel present but no reminder sent",IF(AND(N128="Yes",O128=""),"Missing channel for sent reminder","OK"))</f>
        <v>OK</v>
      </c>
    </row>
    <row r="129" customFormat="false" ht="15" hidden="false" customHeight="false" outlineLevel="0" collapsed="false">
      <c r="A129" s="9" t="s">
        <v>319</v>
      </c>
      <c r="B129" s="9" t="s">
        <v>320</v>
      </c>
      <c r="C129" s="9" t="s">
        <v>47</v>
      </c>
      <c r="D129" s="9" t="n">
        <v>27</v>
      </c>
      <c r="E129" s="9" t="s">
        <v>48</v>
      </c>
      <c r="F129" s="9" t="s">
        <v>74</v>
      </c>
      <c r="G129" s="10" t="n">
        <v>46044</v>
      </c>
      <c r="H129" s="10" t="n">
        <v>46075</v>
      </c>
      <c r="I129" s="9" t="s">
        <v>75</v>
      </c>
      <c r="J129" s="9" t="s">
        <v>51</v>
      </c>
      <c r="K129" s="9" t="n">
        <v>31</v>
      </c>
      <c r="L129" s="9" t="n">
        <v>3</v>
      </c>
      <c r="M129" s="9" t="n">
        <v>0</v>
      </c>
      <c r="N129" s="9" t="s">
        <v>42</v>
      </c>
      <c r="O129" s="9" t="s">
        <v>52</v>
      </c>
      <c r="P129" s="9" t="n">
        <v>4.2</v>
      </c>
      <c r="Q129" s="9" t="n">
        <v>23</v>
      </c>
      <c r="R129" s="9" t="s">
        <v>44</v>
      </c>
      <c r="S129" s="9"/>
      <c r="T129" s="9"/>
      <c r="U129" s="9" t="str">
        <f aca="false">IF(COUNTIF($A$2:$A$5001,A129)&gt;1,"Duplicate","Unique")</f>
        <v>Unique</v>
      </c>
      <c r="V129" s="9" t="str">
        <f aca="false">IF(COUNTIFS($B$2:$B$5001,B129,$H$2:$H$5001,H129,$J$2:$J$5001,J129)&gt;1,"Possible Duplicate Booking","Unique")</f>
        <v>Unique</v>
      </c>
      <c r="W129" s="9" t="str">
        <f aca="false">IF((H129-G129)&lt;&gt;K129,"Mismatch","OK")</f>
        <v>OK</v>
      </c>
      <c r="X129" s="9" t="str">
        <f aca="false">IF(TEXT(H129,"dddd")&lt;&gt;I129,"Mismatch","OK")</f>
        <v>OK</v>
      </c>
      <c r="Y129" s="9" t="str">
        <f aca="false">IF(AND(N129="No",O129&lt;&gt;""),"Unexpected: channel present but no reminder sent",IF(AND(N129="Yes",O129=""),"Missing channel for sent reminder","OK"))</f>
        <v>OK</v>
      </c>
    </row>
    <row r="130" customFormat="false" ht="15" hidden="false" customHeight="false" outlineLevel="0" collapsed="false">
      <c r="A130" s="7" t="s">
        <v>321</v>
      </c>
      <c r="B130" s="7" t="s">
        <v>322</v>
      </c>
      <c r="C130" s="7" t="s">
        <v>47</v>
      </c>
      <c r="D130" s="7" t="n">
        <v>31</v>
      </c>
      <c r="E130" s="7" t="s">
        <v>48</v>
      </c>
      <c r="F130" s="7" t="s">
        <v>57</v>
      </c>
      <c r="G130" s="8" t="n">
        <v>45930</v>
      </c>
      <c r="H130" s="8" t="n">
        <v>45971</v>
      </c>
      <c r="I130" s="7" t="s">
        <v>66</v>
      </c>
      <c r="J130" s="7" t="s">
        <v>51</v>
      </c>
      <c r="K130" s="7" t="n">
        <v>41</v>
      </c>
      <c r="L130" s="7" t="n">
        <v>3</v>
      </c>
      <c r="M130" s="7" t="n">
        <v>1</v>
      </c>
      <c r="N130" s="7" t="s">
        <v>71</v>
      </c>
      <c r="O130" s="7"/>
      <c r="P130" s="7" t="n">
        <v>5.3</v>
      </c>
      <c r="Q130" s="7" t="n">
        <v>28</v>
      </c>
      <c r="R130" s="7" t="s">
        <v>44</v>
      </c>
      <c r="S130" s="7"/>
      <c r="T130" s="7"/>
      <c r="U130" s="7" t="str">
        <f aca="false">IF(COUNTIF($A$2:$A$5001,A130)&gt;1,"Duplicate","Unique")</f>
        <v>Unique</v>
      </c>
      <c r="V130" s="7" t="str">
        <f aca="false">IF(COUNTIFS($B$2:$B$5001,B130,$H$2:$H$5001,H130,$J$2:$J$5001,J130)&gt;1,"Possible Duplicate Booking","Unique")</f>
        <v>Unique</v>
      </c>
      <c r="W130" s="7" t="str">
        <f aca="false">IF((H130-G130)&lt;&gt;K130,"Mismatch","OK")</f>
        <v>OK</v>
      </c>
      <c r="X130" s="7" t="str">
        <f aca="false">IF(TEXT(H130,"dddd")&lt;&gt;I130,"Mismatch","OK")</f>
        <v>OK</v>
      </c>
      <c r="Y130" s="7" t="str">
        <f aca="false">IF(AND(N130="No",O130&lt;&gt;""),"Unexpected: channel present but no reminder sent",IF(AND(N130="Yes",O130=""),"Missing channel for sent reminder","OK"))</f>
        <v>OK</v>
      </c>
    </row>
    <row r="131" customFormat="false" ht="15" hidden="false" customHeight="false" outlineLevel="0" collapsed="false">
      <c r="A131" s="9" t="s">
        <v>323</v>
      </c>
      <c r="B131" s="9" t="s">
        <v>324</v>
      </c>
      <c r="C131" s="9" t="s">
        <v>47</v>
      </c>
      <c r="D131" s="9" t="n">
        <v>76</v>
      </c>
      <c r="E131" s="9" t="s">
        <v>70</v>
      </c>
      <c r="F131" s="9" t="s">
        <v>49</v>
      </c>
      <c r="G131" s="10" t="n">
        <v>45968</v>
      </c>
      <c r="H131" s="10" t="n">
        <v>46004</v>
      </c>
      <c r="I131" s="9" t="s">
        <v>102</v>
      </c>
      <c r="J131" s="9" t="s">
        <v>41</v>
      </c>
      <c r="K131" s="9" t="n">
        <v>36</v>
      </c>
      <c r="L131" s="9" t="n">
        <v>3</v>
      </c>
      <c r="M131" s="9" t="n">
        <v>1</v>
      </c>
      <c r="N131" s="9" t="s">
        <v>42</v>
      </c>
      <c r="O131" s="9" t="s">
        <v>67</v>
      </c>
      <c r="P131" s="9" t="n">
        <v>5.9</v>
      </c>
      <c r="Q131" s="9" t="n">
        <v>45</v>
      </c>
      <c r="R131" s="9" t="s">
        <v>87</v>
      </c>
      <c r="S131" s="9"/>
      <c r="T131" s="9"/>
      <c r="U131" s="9" t="str">
        <f aca="false">IF(COUNTIF($A$2:$A$5001,A131)&gt;1,"Duplicate","Unique")</f>
        <v>Unique</v>
      </c>
      <c r="V131" s="9" t="str">
        <f aca="false">IF(COUNTIFS($B$2:$B$5001,B131,$H$2:$H$5001,H131,$J$2:$J$5001,J131)&gt;1,"Possible Duplicate Booking","Unique")</f>
        <v>Unique</v>
      </c>
      <c r="W131" s="9" t="str">
        <f aca="false">IF((H131-G131)&lt;&gt;K131,"Mismatch","OK")</f>
        <v>OK</v>
      </c>
      <c r="X131" s="9" t="str">
        <f aca="false">IF(TEXT(H131,"dddd")&lt;&gt;I131,"Mismatch","OK")</f>
        <v>OK</v>
      </c>
      <c r="Y131" s="9" t="str">
        <f aca="false">IF(AND(N131="No",O131&lt;&gt;""),"Unexpected: channel present but no reminder sent",IF(AND(N131="Yes",O131=""),"Missing channel for sent reminder","OK"))</f>
        <v>OK</v>
      </c>
    </row>
    <row r="132" customFormat="false" ht="15" hidden="false" customHeight="false" outlineLevel="0" collapsed="false">
      <c r="A132" s="7" t="s">
        <v>325</v>
      </c>
      <c r="B132" s="7" t="s">
        <v>326</v>
      </c>
      <c r="C132" s="7" t="s">
        <v>47</v>
      </c>
      <c r="D132" s="7" t="n">
        <v>35</v>
      </c>
      <c r="E132" s="7" t="s">
        <v>38</v>
      </c>
      <c r="F132" s="7" t="s">
        <v>39</v>
      </c>
      <c r="G132" s="8" t="n">
        <v>45947</v>
      </c>
      <c r="H132" s="8" t="n">
        <v>45966</v>
      </c>
      <c r="I132" s="7" t="s">
        <v>58</v>
      </c>
      <c r="J132" s="7" t="s">
        <v>51</v>
      </c>
      <c r="K132" s="7" t="n">
        <v>19</v>
      </c>
      <c r="L132" s="7" t="n">
        <v>3</v>
      </c>
      <c r="M132" s="7" t="n">
        <v>1</v>
      </c>
      <c r="N132" s="7" t="s">
        <v>42</v>
      </c>
      <c r="O132" s="7" t="s">
        <v>52</v>
      </c>
      <c r="P132" s="7" t="n">
        <v>8.1</v>
      </c>
      <c r="Q132" s="7" t="n">
        <v>2</v>
      </c>
      <c r="R132" s="7" t="s">
        <v>53</v>
      </c>
      <c r="S132" s="7"/>
      <c r="T132" s="7"/>
      <c r="U132" s="7" t="str">
        <f aca="false">IF(COUNTIF($A$2:$A$5001,A132)&gt;1,"Duplicate","Unique")</f>
        <v>Unique</v>
      </c>
      <c r="V132" s="7" t="str">
        <f aca="false">IF(COUNTIFS($B$2:$B$5001,B132,$H$2:$H$5001,H132,$J$2:$J$5001,J132)&gt;1,"Possible Duplicate Booking","Unique")</f>
        <v>Unique</v>
      </c>
      <c r="W132" s="7" t="str">
        <f aca="false">IF((H132-G132)&lt;&gt;K132,"Mismatch","OK")</f>
        <v>OK</v>
      </c>
      <c r="X132" s="7" t="str">
        <f aca="false">IF(TEXT(H132,"dddd")&lt;&gt;I132,"Mismatch","OK")</f>
        <v>OK</v>
      </c>
      <c r="Y132" s="7" t="str">
        <f aca="false">IF(AND(N132="No",O132&lt;&gt;""),"Unexpected: channel present but no reminder sent",IF(AND(N132="Yes",O132=""),"Missing channel for sent reminder","OK"))</f>
        <v>OK</v>
      </c>
    </row>
    <row r="133" customFormat="false" ht="15" hidden="false" customHeight="false" outlineLevel="0" collapsed="false">
      <c r="A133" s="9" t="s">
        <v>327</v>
      </c>
      <c r="B133" s="9" t="s">
        <v>328</v>
      </c>
      <c r="C133" s="9" t="s">
        <v>47</v>
      </c>
      <c r="D133" s="9" t="n">
        <v>50</v>
      </c>
      <c r="E133" s="9" t="s">
        <v>56</v>
      </c>
      <c r="F133" s="9" t="s">
        <v>49</v>
      </c>
      <c r="G133" s="10" t="n">
        <v>45936</v>
      </c>
      <c r="H133" s="10" t="n">
        <v>45960</v>
      </c>
      <c r="I133" s="9" t="s">
        <v>62</v>
      </c>
      <c r="J133" s="9" t="s">
        <v>41</v>
      </c>
      <c r="K133" s="9" t="n">
        <v>24</v>
      </c>
      <c r="L133" s="9" t="n">
        <v>5</v>
      </c>
      <c r="M133" s="9" t="n">
        <v>1</v>
      </c>
      <c r="N133" s="9" t="s">
        <v>42</v>
      </c>
      <c r="O133" s="9" t="s">
        <v>43</v>
      </c>
      <c r="P133" s="9" t="n">
        <v>15.3</v>
      </c>
      <c r="Q133" s="9" t="n">
        <v>24</v>
      </c>
      <c r="R133" s="9" t="s">
        <v>87</v>
      </c>
      <c r="S133" s="9"/>
      <c r="T133" s="9"/>
      <c r="U133" s="9" t="str">
        <f aca="false">IF(COUNTIF($A$2:$A$5001,A133)&gt;1,"Duplicate","Unique")</f>
        <v>Unique</v>
      </c>
      <c r="V133" s="9" t="str">
        <f aca="false">IF(COUNTIFS($B$2:$B$5001,B133,$H$2:$H$5001,H133,$J$2:$J$5001,J133)&gt;1,"Possible Duplicate Booking","Unique")</f>
        <v>Unique</v>
      </c>
      <c r="W133" s="9" t="str">
        <f aca="false">IF((H133-G133)&lt;&gt;K133,"Mismatch","OK")</f>
        <v>OK</v>
      </c>
      <c r="X133" s="9" t="str">
        <f aca="false">IF(TEXT(H133,"dddd")&lt;&gt;I133,"Mismatch","OK")</f>
        <v>OK</v>
      </c>
      <c r="Y133" s="9" t="str">
        <f aca="false">IF(AND(N133="No",O133&lt;&gt;""),"Unexpected: channel present but no reminder sent",IF(AND(N133="Yes",O133=""),"Missing channel for sent reminder","OK"))</f>
        <v>OK</v>
      </c>
    </row>
    <row r="134" customFormat="false" ht="15" hidden="false" customHeight="false" outlineLevel="0" collapsed="false">
      <c r="A134" s="7" t="s">
        <v>329</v>
      </c>
      <c r="B134" s="7" t="s">
        <v>330</v>
      </c>
      <c r="C134" s="7" t="s">
        <v>37</v>
      </c>
      <c r="D134" s="7" t="n">
        <v>79</v>
      </c>
      <c r="E134" s="7" t="s">
        <v>70</v>
      </c>
      <c r="F134" s="7" t="s">
        <v>74</v>
      </c>
      <c r="G134" s="8" t="n">
        <v>45678</v>
      </c>
      <c r="H134" s="8" t="n">
        <v>45707</v>
      </c>
      <c r="I134" s="7" t="s">
        <v>58</v>
      </c>
      <c r="J134" s="7" t="s">
        <v>63</v>
      </c>
      <c r="K134" s="7" t="n">
        <v>29</v>
      </c>
      <c r="L134" s="7" t="n">
        <v>3</v>
      </c>
      <c r="M134" s="7" t="n">
        <v>1</v>
      </c>
      <c r="N134" s="7" t="s">
        <v>42</v>
      </c>
      <c r="O134" s="7" t="s">
        <v>43</v>
      </c>
      <c r="P134" s="7" t="n">
        <v>12.5</v>
      </c>
      <c r="Q134" s="7" t="n">
        <v>29</v>
      </c>
      <c r="R134" s="7" t="s">
        <v>44</v>
      </c>
      <c r="S134" s="7"/>
      <c r="T134" s="7"/>
      <c r="U134" s="7" t="str">
        <f aca="false">IF(COUNTIF($A$2:$A$5001,A134)&gt;1,"Duplicate","Unique")</f>
        <v>Unique</v>
      </c>
      <c r="V134" s="7" t="str">
        <f aca="false">IF(COUNTIFS($B$2:$B$5001,B134,$H$2:$H$5001,H134,$J$2:$J$5001,J134)&gt;1,"Possible Duplicate Booking","Unique")</f>
        <v>Unique</v>
      </c>
      <c r="W134" s="7" t="str">
        <f aca="false">IF((H134-G134)&lt;&gt;K134,"Mismatch","OK")</f>
        <v>OK</v>
      </c>
      <c r="X134" s="7" t="str">
        <f aca="false">IF(TEXT(H134,"dddd")&lt;&gt;I134,"Mismatch","OK")</f>
        <v>OK</v>
      </c>
      <c r="Y134" s="7" t="str">
        <f aca="false">IF(AND(N134="No",O134&lt;&gt;""),"Unexpected: channel present but no reminder sent",IF(AND(N134="Yes",O134=""),"Missing channel for sent reminder","OK"))</f>
        <v>OK</v>
      </c>
    </row>
    <row r="135" customFormat="false" ht="15" hidden="false" customHeight="false" outlineLevel="0" collapsed="false">
      <c r="A135" s="9" t="s">
        <v>331</v>
      </c>
      <c r="B135" s="9" t="s">
        <v>332</v>
      </c>
      <c r="C135" s="9" t="s">
        <v>47</v>
      </c>
      <c r="D135" s="9" t="n">
        <v>57</v>
      </c>
      <c r="E135" s="9" t="s">
        <v>61</v>
      </c>
      <c r="F135" s="9" t="s">
        <v>39</v>
      </c>
      <c r="G135" s="10" t="n">
        <v>45961</v>
      </c>
      <c r="H135" s="10" t="n">
        <v>45963</v>
      </c>
      <c r="I135" s="9" t="s">
        <v>75</v>
      </c>
      <c r="J135" s="9" t="s">
        <v>51</v>
      </c>
      <c r="K135" s="9" t="n">
        <v>2</v>
      </c>
      <c r="L135" s="9" t="n">
        <v>3</v>
      </c>
      <c r="M135" s="9" t="n">
        <v>1</v>
      </c>
      <c r="N135" s="9" t="s">
        <v>42</v>
      </c>
      <c r="O135" s="9" t="s">
        <v>43</v>
      </c>
      <c r="P135" s="9" t="n">
        <v>2.1</v>
      </c>
      <c r="Q135" s="9" t="n">
        <v>23</v>
      </c>
      <c r="R135" s="9" t="s">
        <v>44</v>
      </c>
      <c r="S135" s="9"/>
      <c r="T135" s="9"/>
      <c r="U135" s="9" t="str">
        <f aca="false">IF(COUNTIF($A$2:$A$5001,A135)&gt;1,"Duplicate","Unique")</f>
        <v>Unique</v>
      </c>
      <c r="V135" s="9" t="str">
        <f aca="false">IF(COUNTIFS($B$2:$B$5001,B135,$H$2:$H$5001,H135,$J$2:$J$5001,J135)&gt;1,"Possible Duplicate Booking","Unique")</f>
        <v>Unique</v>
      </c>
      <c r="W135" s="9" t="str">
        <f aca="false">IF((H135-G135)&lt;&gt;K135,"Mismatch","OK")</f>
        <v>OK</v>
      </c>
      <c r="X135" s="9" t="str">
        <f aca="false">IF(TEXT(H135,"dddd")&lt;&gt;I135,"Mismatch","OK")</f>
        <v>OK</v>
      </c>
      <c r="Y135" s="9" t="str">
        <f aca="false">IF(AND(N135="No",O135&lt;&gt;""),"Unexpected: channel present but no reminder sent",IF(AND(N135="Yes",O135=""),"Missing channel for sent reminder","OK"))</f>
        <v>OK</v>
      </c>
    </row>
    <row r="136" customFormat="false" ht="15" hidden="false" customHeight="false" outlineLevel="0" collapsed="false">
      <c r="A136" s="7" t="s">
        <v>333</v>
      </c>
      <c r="B136" s="7" t="s">
        <v>334</v>
      </c>
      <c r="C136" s="7" t="s">
        <v>236</v>
      </c>
      <c r="D136" s="7" t="n">
        <v>20</v>
      </c>
      <c r="E136" s="7" t="s">
        <v>82</v>
      </c>
      <c r="F136" s="7" t="s">
        <v>57</v>
      </c>
      <c r="G136" s="8" t="n">
        <v>46048</v>
      </c>
      <c r="H136" s="8" t="n">
        <v>46092</v>
      </c>
      <c r="I136" s="7" t="s">
        <v>58</v>
      </c>
      <c r="J136" s="7" t="s">
        <v>51</v>
      </c>
      <c r="K136" s="7" t="n">
        <v>44</v>
      </c>
      <c r="L136" s="7" t="n">
        <v>3</v>
      </c>
      <c r="M136" s="7" t="n">
        <v>0</v>
      </c>
      <c r="N136" s="7" t="s">
        <v>71</v>
      </c>
      <c r="O136" s="7"/>
      <c r="P136" s="7" t="n">
        <v>7.3</v>
      </c>
      <c r="Q136" s="7" t="n">
        <v>27</v>
      </c>
      <c r="R136" s="7" t="s">
        <v>44</v>
      </c>
      <c r="S136" s="7"/>
      <c r="T136" s="7"/>
      <c r="U136" s="7" t="str">
        <f aca="false">IF(COUNTIF($A$2:$A$5001,A136)&gt;1,"Duplicate","Unique")</f>
        <v>Unique</v>
      </c>
      <c r="V136" s="7" t="str">
        <f aca="false">IF(COUNTIFS($B$2:$B$5001,B136,$H$2:$H$5001,H136,$J$2:$J$5001,J136)&gt;1,"Possible Duplicate Booking","Unique")</f>
        <v>Unique</v>
      </c>
      <c r="W136" s="7" t="str">
        <f aca="false">IF((H136-G136)&lt;&gt;K136,"Mismatch","OK")</f>
        <v>OK</v>
      </c>
      <c r="X136" s="7" t="str">
        <f aca="false">IF(TEXT(H136,"dddd")&lt;&gt;I136,"Mismatch","OK")</f>
        <v>OK</v>
      </c>
      <c r="Y136" s="7" t="str">
        <f aca="false">IF(AND(N136="No",O136&lt;&gt;""),"Unexpected: channel present but no reminder sent",IF(AND(N136="Yes",O136=""),"Missing channel for sent reminder","OK"))</f>
        <v>OK</v>
      </c>
    </row>
    <row r="137" customFormat="false" ht="15" hidden="false" customHeight="false" outlineLevel="0" collapsed="false">
      <c r="A137" s="9" t="s">
        <v>335</v>
      </c>
      <c r="B137" s="9" t="s">
        <v>336</v>
      </c>
      <c r="C137" s="9" t="s">
        <v>47</v>
      </c>
      <c r="D137" s="9" t="n">
        <v>40</v>
      </c>
      <c r="E137" s="9" t="s">
        <v>38</v>
      </c>
      <c r="F137" s="9" t="s">
        <v>57</v>
      </c>
      <c r="G137" s="10" t="n">
        <v>45817</v>
      </c>
      <c r="H137" s="10" t="n">
        <v>45823</v>
      </c>
      <c r="I137" s="9" t="s">
        <v>75</v>
      </c>
      <c r="J137" s="9" t="s">
        <v>41</v>
      </c>
      <c r="K137" s="9" t="n">
        <v>6</v>
      </c>
      <c r="L137" s="9" t="n">
        <v>1</v>
      </c>
      <c r="M137" s="9" t="n">
        <v>1</v>
      </c>
      <c r="N137" s="9" t="s">
        <v>42</v>
      </c>
      <c r="O137" s="9" t="s">
        <v>52</v>
      </c>
      <c r="P137" s="9" t="n">
        <v>45</v>
      </c>
      <c r="Q137" s="9" t="n">
        <v>37</v>
      </c>
      <c r="R137" s="9" t="s">
        <v>44</v>
      </c>
      <c r="S137" s="9"/>
      <c r="T137" s="9"/>
      <c r="U137" s="9" t="str">
        <f aca="false">IF(COUNTIF($A$2:$A$5001,A137)&gt;1,"Duplicate","Unique")</f>
        <v>Unique</v>
      </c>
      <c r="V137" s="9" t="str">
        <f aca="false">IF(COUNTIFS($B$2:$B$5001,B137,$H$2:$H$5001,H137,$J$2:$J$5001,J137)&gt;1,"Possible Duplicate Booking","Unique")</f>
        <v>Unique</v>
      </c>
      <c r="W137" s="9" t="str">
        <f aca="false">IF((H137-G137)&lt;&gt;K137,"Mismatch","OK")</f>
        <v>OK</v>
      </c>
      <c r="X137" s="9" t="str">
        <f aca="false">IF(TEXT(H137,"dddd")&lt;&gt;I137,"Mismatch","OK")</f>
        <v>OK</v>
      </c>
      <c r="Y137" s="9" t="str">
        <f aca="false">IF(AND(N137="No",O137&lt;&gt;""),"Unexpected: channel present but no reminder sent",IF(AND(N137="Yes",O137=""),"Missing channel for sent reminder","OK"))</f>
        <v>OK</v>
      </c>
    </row>
    <row r="138" customFormat="false" ht="15" hidden="false" customHeight="false" outlineLevel="0" collapsed="false">
      <c r="A138" s="7" t="s">
        <v>337</v>
      </c>
      <c r="B138" s="7" t="s">
        <v>338</v>
      </c>
      <c r="C138" s="7" t="s">
        <v>37</v>
      </c>
      <c r="D138" s="7" t="n">
        <v>42</v>
      </c>
      <c r="E138" s="7" t="s">
        <v>38</v>
      </c>
      <c r="F138" s="7" t="s">
        <v>39</v>
      </c>
      <c r="G138" s="8" t="n">
        <v>45960</v>
      </c>
      <c r="H138" s="8" t="n">
        <v>45987</v>
      </c>
      <c r="I138" s="7" t="s">
        <v>58</v>
      </c>
      <c r="J138" s="7" t="s">
        <v>51</v>
      </c>
      <c r="K138" s="7" t="n">
        <v>27</v>
      </c>
      <c r="L138" s="7" t="n">
        <v>2</v>
      </c>
      <c r="M138" s="7" t="n">
        <v>0</v>
      </c>
      <c r="N138" s="7" t="s">
        <v>42</v>
      </c>
      <c r="O138" s="7" t="s">
        <v>43</v>
      </c>
      <c r="P138" s="7" t="n">
        <v>8.1</v>
      </c>
      <c r="Q138" s="7" t="n">
        <v>18</v>
      </c>
      <c r="R138" s="7" t="s">
        <v>44</v>
      </c>
      <c r="S138" s="7"/>
      <c r="T138" s="7"/>
      <c r="U138" s="7" t="str">
        <f aca="false">IF(COUNTIF($A$2:$A$5001,A138)&gt;1,"Duplicate","Unique")</f>
        <v>Unique</v>
      </c>
      <c r="V138" s="7" t="str">
        <f aca="false">IF(COUNTIFS($B$2:$B$5001,B138,$H$2:$H$5001,H138,$J$2:$J$5001,J138)&gt;1,"Possible Duplicate Booking","Unique")</f>
        <v>Unique</v>
      </c>
      <c r="W138" s="7" t="str">
        <f aca="false">IF((H138-G138)&lt;&gt;K138,"Mismatch","OK")</f>
        <v>OK</v>
      </c>
      <c r="X138" s="7" t="str">
        <f aca="false">IF(TEXT(H138,"dddd")&lt;&gt;I138,"Mismatch","OK")</f>
        <v>OK</v>
      </c>
      <c r="Y138" s="7" t="str">
        <f aca="false">IF(AND(N138="No",O138&lt;&gt;""),"Unexpected: channel present but no reminder sent",IF(AND(N138="Yes",O138=""),"Missing channel for sent reminder","OK"))</f>
        <v>OK</v>
      </c>
    </row>
    <row r="139" customFormat="false" ht="15" hidden="false" customHeight="false" outlineLevel="0" collapsed="false">
      <c r="A139" s="9" t="s">
        <v>339</v>
      </c>
      <c r="B139" s="9" t="s">
        <v>340</v>
      </c>
      <c r="C139" s="9" t="s">
        <v>37</v>
      </c>
      <c r="D139" s="9" t="n">
        <v>35</v>
      </c>
      <c r="E139" s="9" t="s">
        <v>38</v>
      </c>
      <c r="F139" s="9" t="s">
        <v>74</v>
      </c>
      <c r="G139" s="10" t="n">
        <v>45635</v>
      </c>
      <c r="H139" s="10" t="n">
        <v>45674</v>
      </c>
      <c r="I139" s="9" t="s">
        <v>50</v>
      </c>
      <c r="J139" s="9" t="s">
        <v>41</v>
      </c>
      <c r="K139" s="9" t="n">
        <v>39</v>
      </c>
      <c r="L139" s="9" t="n">
        <v>4</v>
      </c>
      <c r="M139" s="9" t="n">
        <v>1</v>
      </c>
      <c r="N139" s="9" t="s">
        <v>42</v>
      </c>
      <c r="O139" s="9" t="s">
        <v>67</v>
      </c>
      <c r="P139" s="9" t="n">
        <v>8.2</v>
      </c>
      <c r="Q139" s="9" t="n">
        <v>48</v>
      </c>
      <c r="R139" s="9" t="s">
        <v>44</v>
      </c>
      <c r="S139" s="9"/>
      <c r="T139" s="9"/>
      <c r="U139" s="9" t="str">
        <f aca="false">IF(COUNTIF($A$2:$A$5001,A139)&gt;1,"Duplicate","Unique")</f>
        <v>Unique</v>
      </c>
      <c r="V139" s="9" t="str">
        <f aca="false">IF(COUNTIFS($B$2:$B$5001,B139,$H$2:$H$5001,H139,$J$2:$J$5001,J139)&gt;1,"Possible Duplicate Booking","Unique")</f>
        <v>Unique</v>
      </c>
      <c r="W139" s="9" t="str">
        <f aca="false">IF((H139-G139)&lt;&gt;K139,"Mismatch","OK")</f>
        <v>OK</v>
      </c>
      <c r="X139" s="9" t="str">
        <f aca="false">IF(TEXT(H139,"dddd")&lt;&gt;I139,"Mismatch","OK")</f>
        <v>OK</v>
      </c>
      <c r="Y139" s="9" t="str">
        <f aca="false">IF(AND(N139="No",O139&lt;&gt;""),"Unexpected: channel present but no reminder sent",IF(AND(N139="Yes",O139=""),"Missing channel for sent reminder","OK"))</f>
        <v>OK</v>
      </c>
    </row>
    <row r="140" customFormat="false" ht="15" hidden="false" customHeight="false" outlineLevel="0" collapsed="false">
      <c r="A140" s="7" t="s">
        <v>341</v>
      </c>
      <c r="B140" s="7" t="s">
        <v>342</v>
      </c>
      <c r="C140" s="7" t="s">
        <v>47</v>
      </c>
      <c r="D140" s="7" t="n">
        <v>33</v>
      </c>
      <c r="E140" s="7" t="s">
        <v>48</v>
      </c>
      <c r="F140" s="7" t="s">
        <v>39</v>
      </c>
      <c r="G140" s="8" t="n">
        <v>45843</v>
      </c>
      <c r="H140" s="8" t="n">
        <v>45847</v>
      </c>
      <c r="I140" s="7" t="s">
        <v>58</v>
      </c>
      <c r="J140" s="7" t="s">
        <v>41</v>
      </c>
      <c r="K140" s="7" t="n">
        <v>4</v>
      </c>
      <c r="L140" s="7" t="n">
        <v>6</v>
      </c>
      <c r="M140" s="7" t="n">
        <v>2</v>
      </c>
      <c r="N140" s="7" t="s">
        <v>42</v>
      </c>
      <c r="O140" s="7" t="s">
        <v>52</v>
      </c>
      <c r="P140" s="7" t="n">
        <v>10.1</v>
      </c>
      <c r="Q140" s="7" t="n">
        <v>8</v>
      </c>
      <c r="R140" s="7" t="s">
        <v>87</v>
      </c>
      <c r="S140" s="7"/>
      <c r="T140" s="7"/>
      <c r="U140" s="7" t="str">
        <f aca="false">IF(COUNTIF($A$2:$A$5001,A140)&gt;1,"Duplicate","Unique")</f>
        <v>Unique</v>
      </c>
      <c r="V140" s="7" t="str">
        <f aca="false">IF(COUNTIFS($B$2:$B$5001,B140,$H$2:$H$5001,H140,$J$2:$J$5001,J140)&gt;1,"Possible Duplicate Booking","Unique")</f>
        <v>Unique</v>
      </c>
      <c r="W140" s="7" t="str">
        <f aca="false">IF((H140-G140)&lt;&gt;K140,"Mismatch","OK")</f>
        <v>OK</v>
      </c>
      <c r="X140" s="7" t="str">
        <f aca="false">IF(TEXT(H140,"dddd")&lt;&gt;I140,"Mismatch","OK")</f>
        <v>OK</v>
      </c>
      <c r="Y140" s="7" t="str">
        <f aca="false">IF(AND(N140="No",O140&lt;&gt;""),"Unexpected: channel present but no reminder sent",IF(AND(N140="Yes",O140=""),"Missing channel for sent reminder","OK"))</f>
        <v>OK</v>
      </c>
    </row>
    <row r="141" customFormat="false" ht="15" hidden="false" customHeight="false" outlineLevel="0" collapsed="false">
      <c r="A141" s="9" t="s">
        <v>343</v>
      </c>
      <c r="B141" s="9" t="s">
        <v>344</v>
      </c>
      <c r="C141" s="9" t="s">
        <v>47</v>
      </c>
      <c r="D141" s="9" t="n">
        <v>49</v>
      </c>
      <c r="E141" s="9" t="s">
        <v>56</v>
      </c>
      <c r="F141" s="9" t="s">
        <v>57</v>
      </c>
      <c r="G141" s="10" t="n">
        <v>45836</v>
      </c>
      <c r="H141" s="10" t="n">
        <v>45896</v>
      </c>
      <c r="I141" s="9" t="s">
        <v>58</v>
      </c>
      <c r="J141" s="9" t="s">
        <v>41</v>
      </c>
      <c r="K141" s="9" t="n">
        <v>60</v>
      </c>
      <c r="L141" s="9" t="n">
        <v>3</v>
      </c>
      <c r="M141" s="9" t="n">
        <v>1</v>
      </c>
      <c r="N141" s="9" t="s">
        <v>42</v>
      </c>
      <c r="O141" s="9" t="s">
        <v>52</v>
      </c>
      <c r="P141" s="9" t="n">
        <v>10.5</v>
      </c>
      <c r="Q141" s="9" t="n">
        <v>31</v>
      </c>
      <c r="R141" s="9" t="s">
        <v>44</v>
      </c>
      <c r="S141" s="9"/>
      <c r="T141" s="9"/>
      <c r="U141" s="9" t="str">
        <f aca="false">IF(COUNTIF($A$2:$A$5001,A141)&gt;1,"Duplicate","Unique")</f>
        <v>Unique</v>
      </c>
      <c r="V141" s="9" t="str">
        <f aca="false">IF(COUNTIFS($B$2:$B$5001,B141,$H$2:$H$5001,H141,$J$2:$J$5001,J141)&gt;1,"Possible Duplicate Booking","Unique")</f>
        <v>Unique</v>
      </c>
      <c r="W141" s="9" t="str">
        <f aca="false">IF((H141-G141)&lt;&gt;K141,"Mismatch","OK")</f>
        <v>OK</v>
      </c>
      <c r="X141" s="9" t="str">
        <f aca="false">IF(TEXT(H141,"dddd")&lt;&gt;I141,"Mismatch","OK")</f>
        <v>OK</v>
      </c>
      <c r="Y141" s="9" t="str">
        <f aca="false">IF(AND(N141="No",O141&lt;&gt;""),"Unexpected: channel present but no reminder sent",IF(AND(N141="Yes",O141=""),"Missing channel for sent reminder","OK"))</f>
        <v>OK</v>
      </c>
    </row>
    <row r="142" customFormat="false" ht="15" hidden="false" customHeight="false" outlineLevel="0" collapsed="false">
      <c r="A142" s="7" t="s">
        <v>345</v>
      </c>
      <c r="B142" s="7" t="s">
        <v>346</v>
      </c>
      <c r="C142" s="7" t="s">
        <v>47</v>
      </c>
      <c r="D142" s="7" t="n">
        <v>41</v>
      </c>
      <c r="E142" s="7" t="s">
        <v>38</v>
      </c>
      <c r="F142" s="7" t="s">
        <v>57</v>
      </c>
      <c r="G142" s="8" t="n">
        <v>46171</v>
      </c>
      <c r="H142" s="8" t="n">
        <v>46194</v>
      </c>
      <c r="I142" s="7" t="s">
        <v>75</v>
      </c>
      <c r="J142" s="7" t="s">
        <v>41</v>
      </c>
      <c r="K142" s="7" t="n">
        <v>23</v>
      </c>
      <c r="L142" s="7" t="n">
        <v>5</v>
      </c>
      <c r="M142" s="7" t="n">
        <v>1</v>
      </c>
      <c r="N142" s="7" t="s">
        <v>71</v>
      </c>
      <c r="O142" s="7"/>
      <c r="P142" s="7" t="n">
        <v>7.3</v>
      </c>
      <c r="Q142" s="7" t="n">
        <v>24</v>
      </c>
      <c r="R142" s="7" t="s">
        <v>53</v>
      </c>
      <c r="S142" s="7"/>
      <c r="T142" s="7"/>
      <c r="U142" s="7" t="str">
        <f aca="false">IF(COUNTIF($A$2:$A$5001,A142)&gt;1,"Duplicate","Unique")</f>
        <v>Unique</v>
      </c>
      <c r="V142" s="7" t="str">
        <f aca="false">IF(COUNTIFS($B$2:$B$5001,B142,$H$2:$H$5001,H142,$J$2:$J$5001,J142)&gt;1,"Possible Duplicate Booking","Unique")</f>
        <v>Unique</v>
      </c>
      <c r="W142" s="7" t="str">
        <f aca="false">IF((H142-G142)&lt;&gt;K142,"Mismatch","OK")</f>
        <v>OK</v>
      </c>
      <c r="X142" s="7" t="str">
        <f aca="false">IF(TEXT(H142,"dddd")&lt;&gt;I142,"Mismatch","OK")</f>
        <v>OK</v>
      </c>
      <c r="Y142" s="7" t="str">
        <f aca="false">IF(AND(N142="No",O142&lt;&gt;""),"Unexpected: channel present but no reminder sent",IF(AND(N142="Yes",O142=""),"Missing channel for sent reminder","OK"))</f>
        <v>OK</v>
      </c>
    </row>
    <row r="143" customFormat="false" ht="15" hidden="false" customHeight="false" outlineLevel="0" collapsed="false">
      <c r="A143" s="9" t="s">
        <v>347</v>
      </c>
      <c r="B143" s="9" t="s">
        <v>348</v>
      </c>
      <c r="C143" s="9" t="s">
        <v>47</v>
      </c>
      <c r="D143" s="9" t="n">
        <v>36</v>
      </c>
      <c r="E143" s="9" t="s">
        <v>38</v>
      </c>
      <c r="F143" s="9" t="s">
        <v>74</v>
      </c>
      <c r="G143" s="10" t="n">
        <v>45775</v>
      </c>
      <c r="H143" s="10" t="n">
        <v>45775</v>
      </c>
      <c r="I143" s="9" t="s">
        <v>66</v>
      </c>
      <c r="J143" s="9" t="s">
        <v>41</v>
      </c>
      <c r="K143" s="9" t="n">
        <v>0</v>
      </c>
      <c r="L143" s="9" t="n">
        <v>3</v>
      </c>
      <c r="M143" s="9" t="n">
        <v>0</v>
      </c>
      <c r="N143" s="9" t="s">
        <v>42</v>
      </c>
      <c r="O143" s="9" t="s">
        <v>52</v>
      </c>
      <c r="P143" s="9" t="n">
        <v>22.2</v>
      </c>
      <c r="Q143" s="9" t="n">
        <v>27</v>
      </c>
      <c r="R143" s="9" t="s">
        <v>53</v>
      </c>
      <c r="S143" s="9"/>
      <c r="T143" s="9"/>
      <c r="U143" s="9" t="str">
        <f aca="false">IF(COUNTIF($A$2:$A$5001,A143)&gt;1,"Duplicate","Unique")</f>
        <v>Unique</v>
      </c>
      <c r="V143" s="9" t="str">
        <f aca="false">IF(COUNTIFS($B$2:$B$5001,B143,$H$2:$H$5001,H143,$J$2:$J$5001,J143)&gt;1,"Possible Duplicate Booking","Unique")</f>
        <v>Unique</v>
      </c>
      <c r="W143" s="9" t="str">
        <f aca="false">IF((H143-G143)&lt;&gt;K143,"Mismatch","OK")</f>
        <v>OK</v>
      </c>
      <c r="X143" s="9" t="str">
        <f aca="false">IF(TEXT(H143,"dddd")&lt;&gt;I143,"Mismatch","OK")</f>
        <v>OK</v>
      </c>
      <c r="Y143" s="9" t="str">
        <f aca="false">IF(AND(N143="No",O143&lt;&gt;""),"Unexpected: channel present but no reminder sent",IF(AND(N143="Yes",O143=""),"Missing channel for sent reminder","OK"))</f>
        <v>OK</v>
      </c>
    </row>
    <row r="144" customFormat="false" ht="15" hidden="false" customHeight="false" outlineLevel="0" collapsed="false">
      <c r="A144" s="7" t="s">
        <v>349</v>
      </c>
      <c r="B144" s="7" t="s">
        <v>350</v>
      </c>
      <c r="C144" s="7" t="s">
        <v>37</v>
      </c>
      <c r="D144" s="7" t="n">
        <v>44</v>
      </c>
      <c r="E144" s="7" t="s">
        <v>38</v>
      </c>
      <c r="F144" s="7" t="s">
        <v>57</v>
      </c>
      <c r="G144" s="8" t="n">
        <v>45768</v>
      </c>
      <c r="H144" s="8" t="n">
        <v>45808</v>
      </c>
      <c r="I144" s="7" t="s">
        <v>102</v>
      </c>
      <c r="J144" s="7" t="s">
        <v>51</v>
      </c>
      <c r="K144" s="7" t="n">
        <v>40</v>
      </c>
      <c r="L144" s="7" t="n">
        <v>5</v>
      </c>
      <c r="M144" s="7" t="n">
        <v>1</v>
      </c>
      <c r="N144" s="7" t="s">
        <v>71</v>
      </c>
      <c r="O144" s="7"/>
      <c r="P144" s="7" t="n">
        <v>9.8</v>
      </c>
      <c r="Q144" s="7" t="n">
        <v>32</v>
      </c>
      <c r="R144" s="7" t="s">
        <v>44</v>
      </c>
      <c r="S144" s="7"/>
      <c r="T144" s="7"/>
      <c r="U144" s="7" t="str">
        <f aca="false">IF(COUNTIF($A$2:$A$5001,A144)&gt;1,"Duplicate","Unique")</f>
        <v>Unique</v>
      </c>
      <c r="V144" s="7" t="str">
        <f aca="false">IF(COUNTIFS($B$2:$B$5001,B144,$H$2:$H$5001,H144,$J$2:$J$5001,J144)&gt;1,"Possible Duplicate Booking","Unique")</f>
        <v>Unique</v>
      </c>
      <c r="W144" s="7" t="str">
        <f aca="false">IF((H144-G144)&lt;&gt;K144,"Mismatch","OK")</f>
        <v>OK</v>
      </c>
      <c r="X144" s="7" t="str">
        <f aca="false">IF(TEXT(H144,"dddd")&lt;&gt;I144,"Mismatch","OK")</f>
        <v>OK</v>
      </c>
      <c r="Y144" s="7" t="str">
        <f aca="false">IF(AND(N144="No",O144&lt;&gt;""),"Unexpected: channel present but no reminder sent",IF(AND(N144="Yes",O144=""),"Missing channel for sent reminder","OK"))</f>
        <v>OK</v>
      </c>
    </row>
    <row r="145" customFormat="false" ht="15" hidden="false" customHeight="false" outlineLevel="0" collapsed="false">
      <c r="A145" s="9" t="s">
        <v>351</v>
      </c>
      <c r="B145" s="9" t="s">
        <v>352</v>
      </c>
      <c r="C145" s="9" t="s">
        <v>47</v>
      </c>
      <c r="D145" s="9" t="n">
        <v>39</v>
      </c>
      <c r="E145" s="9" t="s">
        <v>38</v>
      </c>
      <c r="F145" s="9" t="s">
        <v>49</v>
      </c>
      <c r="G145" s="10" t="n">
        <v>45847</v>
      </c>
      <c r="H145" s="10" t="n">
        <v>45881</v>
      </c>
      <c r="I145" s="9" t="s">
        <v>40</v>
      </c>
      <c r="J145" s="9" t="s">
        <v>51</v>
      </c>
      <c r="K145" s="9" t="n">
        <v>34</v>
      </c>
      <c r="L145" s="9" t="n">
        <v>5</v>
      </c>
      <c r="M145" s="9" t="n">
        <v>1</v>
      </c>
      <c r="N145" s="9" t="s">
        <v>42</v>
      </c>
      <c r="O145" s="9" t="s">
        <v>52</v>
      </c>
      <c r="P145" s="9" t="n">
        <v>8.9</v>
      </c>
      <c r="Q145" s="9" t="n">
        <v>17</v>
      </c>
      <c r="R145" s="9" t="s">
        <v>53</v>
      </c>
      <c r="S145" s="9"/>
      <c r="T145" s="9"/>
      <c r="U145" s="9" t="str">
        <f aca="false">IF(COUNTIF($A$2:$A$5001,A145)&gt;1,"Duplicate","Unique")</f>
        <v>Unique</v>
      </c>
      <c r="V145" s="9" t="str">
        <f aca="false">IF(COUNTIFS($B$2:$B$5001,B145,$H$2:$H$5001,H145,$J$2:$J$5001,J145)&gt;1,"Possible Duplicate Booking","Unique")</f>
        <v>Unique</v>
      </c>
      <c r="W145" s="9" t="str">
        <f aca="false">IF((H145-G145)&lt;&gt;K145,"Mismatch","OK")</f>
        <v>OK</v>
      </c>
      <c r="X145" s="9" t="str">
        <f aca="false">IF(TEXT(H145,"dddd")&lt;&gt;I145,"Mismatch","OK")</f>
        <v>OK</v>
      </c>
      <c r="Y145" s="9" t="str">
        <f aca="false">IF(AND(N145="No",O145&lt;&gt;""),"Unexpected: channel present but no reminder sent",IF(AND(N145="Yes",O145=""),"Missing channel for sent reminder","OK"))</f>
        <v>OK</v>
      </c>
    </row>
    <row r="146" customFormat="false" ht="15" hidden="false" customHeight="false" outlineLevel="0" collapsed="false">
      <c r="A146" s="7" t="s">
        <v>353</v>
      </c>
      <c r="B146" s="7" t="s">
        <v>354</v>
      </c>
      <c r="C146" s="7" t="s">
        <v>37</v>
      </c>
      <c r="D146" s="7" t="n">
        <v>32</v>
      </c>
      <c r="E146" s="7" t="s">
        <v>48</v>
      </c>
      <c r="F146" s="7" t="s">
        <v>39</v>
      </c>
      <c r="G146" s="8" t="n">
        <v>46160</v>
      </c>
      <c r="H146" s="8" t="n">
        <v>46199</v>
      </c>
      <c r="I146" s="7" t="s">
        <v>50</v>
      </c>
      <c r="J146" s="7" t="s">
        <v>51</v>
      </c>
      <c r="K146" s="7" t="n">
        <v>39</v>
      </c>
      <c r="L146" s="7" t="n">
        <v>2</v>
      </c>
      <c r="M146" s="7" t="n">
        <v>0</v>
      </c>
      <c r="N146" s="7" t="s">
        <v>42</v>
      </c>
      <c r="O146" s="7" t="s">
        <v>43</v>
      </c>
      <c r="P146" s="7" t="n">
        <v>5.5</v>
      </c>
      <c r="Q146" s="7" t="n">
        <v>36</v>
      </c>
      <c r="R146" s="7" t="s">
        <v>44</v>
      </c>
      <c r="S146" s="7"/>
      <c r="T146" s="7"/>
      <c r="U146" s="7" t="str">
        <f aca="false">IF(COUNTIF($A$2:$A$5001,A146)&gt;1,"Duplicate","Unique")</f>
        <v>Unique</v>
      </c>
      <c r="V146" s="7" t="str">
        <f aca="false">IF(COUNTIFS($B$2:$B$5001,B146,$H$2:$H$5001,H146,$J$2:$J$5001,J146)&gt;1,"Possible Duplicate Booking","Unique")</f>
        <v>Unique</v>
      </c>
      <c r="W146" s="7" t="str">
        <f aca="false">IF((H146-G146)&lt;&gt;K146,"Mismatch","OK")</f>
        <v>OK</v>
      </c>
      <c r="X146" s="7" t="str">
        <f aca="false">IF(TEXT(H146,"dddd")&lt;&gt;I146,"Mismatch","OK")</f>
        <v>OK</v>
      </c>
      <c r="Y146" s="7" t="str">
        <f aca="false">IF(AND(N146="No",O146&lt;&gt;""),"Unexpected: channel present but no reminder sent",IF(AND(N146="Yes",O146=""),"Missing channel for sent reminder","OK"))</f>
        <v>OK</v>
      </c>
    </row>
    <row r="147" customFormat="false" ht="15" hidden="false" customHeight="false" outlineLevel="0" collapsed="false">
      <c r="A147" s="9" t="s">
        <v>355</v>
      </c>
      <c r="B147" s="9" t="s">
        <v>356</v>
      </c>
      <c r="C147" s="9" t="s">
        <v>37</v>
      </c>
      <c r="D147" s="9" t="n">
        <v>46</v>
      </c>
      <c r="E147" s="9" t="s">
        <v>56</v>
      </c>
      <c r="F147" s="9" t="s">
        <v>57</v>
      </c>
      <c r="G147" s="10" t="n">
        <v>46078</v>
      </c>
      <c r="H147" s="10" t="n">
        <v>46123</v>
      </c>
      <c r="I147" s="9" t="s">
        <v>102</v>
      </c>
      <c r="J147" s="9" t="s">
        <v>63</v>
      </c>
      <c r="K147" s="9" t="n">
        <v>45</v>
      </c>
      <c r="L147" s="9" t="n">
        <v>1</v>
      </c>
      <c r="M147" s="9" t="n">
        <v>0</v>
      </c>
      <c r="N147" s="9" t="s">
        <v>42</v>
      </c>
      <c r="O147" s="9" t="s">
        <v>52</v>
      </c>
      <c r="P147" s="9" t="n">
        <v>9.9</v>
      </c>
      <c r="Q147" s="9" t="n">
        <v>46</v>
      </c>
      <c r="R147" s="9" t="s">
        <v>44</v>
      </c>
      <c r="S147" s="9"/>
      <c r="T147" s="9"/>
      <c r="U147" s="9" t="str">
        <f aca="false">IF(COUNTIF($A$2:$A$5001,A147)&gt;1,"Duplicate","Unique")</f>
        <v>Unique</v>
      </c>
      <c r="V147" s="9" t="str">
        <f aca="false">IF(COUNTIFS($B$2:$B$5001,B147,$H$2:$H$5001,H147,$J$2:$J$5001,J147)&gt;1,"Possible Duplicate Booking","Unique")</f>
        <v>Unique</v>
      </c>
      <c r="W147" s="9" t="str">
        <f aca="false">IF((H147-G147)&lt;&gt;K147,"Mismatch","OK")</f>
        <v>OK</v>
      </c>
      <c r="X147" s="9" t="str">
        <f aca="false">IF(TEXT(H147,"dddd")&lt;&gt;I147,"Mismatch","OK")</f>
        <v>OK</v>
      </c>
      <c r="Y147" s="9" t="str">
        <f aca="false">IF(AND(N147="No",O147&lt;&gt;""),"Unexpected: channel present but no reminder sent",IF(AND(N147="Yes",O147=""),"Missing channel for sent reminder","OK"))</f>
        <v>OK</v>
      </c>
    </row>
    <row r="148" customFormat="false" ht="15" hidden="false" customHeight="false" outlineLevel="0" collapsed="false">
      <c r="A148" s="7" t="s">
        <v>357</v>
      </c>
      <c r="B148" s="7" t="s">
        <v>358</v>
      </c>
      <c r="C148" s="7" t="s">
        <v>47</v>
      </c>
      <c r="D148" s="7" t="n">
        <v>77</v>
      </c>
      <c r="E148" s="7" t="s">
        <v>70</v>
      </c>
      <c r="F148" s="7" t="s">
        <v>57</v>
      </c>
      <c r="G148" s="8" t="n">
        <v>45647</v>
      </c>
      <c r="H148" s="8" t="n">
        <v>45676</v>
      </c>
      <c r="I148" s="7" t="s">
        <v>75</v>
      </c>
      <c r="J148" s="7" t="s">
        <v>51</v>
      </c>
      <c r="K148" s="7" t="n">
        <v>29</v>
      </c>
      <c r="L148" s="7" t="n">
        <v>5</v>
      </c>
      <c r="M148" s="7" t="n">
        <v>0</v>
      </c>
      <c r="N148" s="7" t="s">
        <v>42</v>
      </c>
      <c r="O148" s="7" t="s">
        <v>52</v>
      </c>
      <c r="P148" s="7" t="n">
        <v>30.1</v>
      </c>
      <c r="Q148" s="7" t="n">
        <v>21</v>
      </c>
      <c r="R148" s="7" t="s">
        <v>44</v>
      </c>
      <c r="S148" s="7"/>
      <c r="T148" s="7"/>
      <c r="U148" s="7" t="str">
        <f aca="false">IF(COUNTIF($A$2:$A$5001,A148)&gt;1,"Duplicate","Unique")</f>
        <v>Unique</v>
      </c>
      <c r="V148" s="7" t="str">
        <f aca="false">IF(COUNTIFS($B$2:$B$5001,B148,$H$2:$H$5001,H148,$J$2:$J$5001,J148)&gt;1,"Possible Duplicate Booking","Unique")</f>
        <v>Unique</v>
      </c>
      <c r="W148" s="7" t="str">
        <f aca="false">IF((H148-G148)&lt;&gt;K148,"Mismatch","OK")</f>
        <v>OK</v>
      </c>
      <c r="X148" s="7" t="str">
        <f aca="false">IF(TEXT(H148,"dddd")&lt;&gt;I148,"Mismatch","OK")</f>
        <v>OK</v>
      </c>
      <c r="Y148" s="7" t="str">
        <f aca="false">IF(AND(N148="No",O148&lt;&gt;""),"Unexpected: channel present but no reminder sent",IF(AND(N148="Yes",O148=""),"Missing channel for sent reminder","OK"))</f>
        <v>OK</v>
      </c>
    </row>
    <row r="149" customFormat="false" ht="15" hidden="false" customHeight="false" outlineLevel="0" collapsed="false">
      <c r="A149" s="9" t="s">
        <v>359</v>
      </c>
      <c r="B149" s="9" t="s">
        <v>360</v>
      </c>
      <c r="C149" s="9" t="s">
        <v>37</v>
      </c>
      <c r="D149" s="9" t="n">
        <v>49</v>
      </c>
      <c r="E149" s="9" t="s">
        <v>56</v>
      </c>
      <c r="F149" s="9" t="s">
        <v>57</v>
      </c>
      <c r="G149" s="10" t="n">
        <v>45735</v>
      </c>
      <c r="H149" s="10" t="n">
        <v>45785</v>
      </c>
      <c r="I149" s="9" t="s">
        <v>62</v>
      </c>
      <c r="J149" s="9" t="s">
        <v>51</v>
      </c>
      <c r="K149" s="9" t="n">
        <v>50</v>
      </c>
      <c r="L149" s="9" t="n">
        <v>1</v>
      </c>
      <c r="M149" s="9" t="n">
        <v>0</v>
      </c>
      <c r="N149" s="9" t="s">
        <v>42</v>
      </c>
      <c r="O149" s="9" t="s">
        <v>52</v>
      </c>
      <c r="P149" s="9" t="n">
        <v>10.2</v>
      </c>
      <c r="Q149" s="9" t="n">
        <v>18</v>
      </c>
      <c r="R149" s="9" t="s">
        <v>53</v>
      </c>
      <c r="S149" s="9"/>
      <c r="T149" s="9"/>
      <c r="U149" s="9" t="str">
        <f aca="false">IF(COUNTIF($A$2:$A$5001,A149)&gt;1,"Duplicate","Unique")</f>
        <v>Unique</v>
      </c>
      <c r="V149" s="9" t="str">
        <f aca="false">IF(COUNTIFS($B$2:$B$5001,B149,$H$2:$H$5001,H149,$J$2:$J$5001,J149)&gt;1,"Possible Duplicate Booking","Unique")</f>
        <v>Unique</v>
      </c>
      <c r="W149" s="9" t="str">
        <f aca="false">IF((H149-G149)&lt;&gt;K149,"Mismatch","OK")</f>
        <v>OK</v>
      </c>
      <c r="X149" s="9" t="str">
        <f aca="false">IF(TEXT(H149,"dddd")&lt;&gt;I149,"Mismatch","OK")</f>
        <v>OK</v>
      </c>
      <c r="Y149" s="9" t="str">
        <f aca="false">IF(AND(N149="No",O149&lt;&gt;""),"Unexpected: channel present but no reminder sent",IF(AND(N149="Yes",O149=""),"Missing channel for sent reminder","OK"))</f>
        <v>OK</v>
      </c>
    </row>
    <row r="150" customFormat="false" ht="15" hidden="false" customHeight="false" outlineLevel="0" collapsed="false">
      <c r="A150" s="7" t="s">
        <v>361</v>
      </c>
      <c r="B150" s="7" t="s">
        <v>318</v>
      </c>
      <c r="C150" s="7" t="s">
        <v>37</v>
      </c>
      <c r="D150" s="7" t="n">
        <v>55</v>
      </c>
      <c r="E150" s="7" t="s">
        <v>61</v>
      </c>
      <c r="F150" s="7" t="s">
        <v>57</v>
      </c>
      <c r="G150" s="8" t="n">
        <v>46084</v>
      </c>
      <c r="H150" s="8" t="n">
        <v>46106</v>
      </c>
      <c r="I150" s="7" t="s">
        <v>58</v>
      </c>
      <c r="J150" s="7" t="s">
        <v>51</v>
      </c>
      <c r="K150" s="7" t="n">
        <v>22</v>
      </c>
      <c r="L150" s="7" t="n">
        <v>3</v>
      </c>
      <c r="M150" s="7" t="n">
        <v>0</v>
      </c>
      <c r="N150" s="7" t="s">
        <v>71</v>
      </c>
      <c r="O150" s="7"/>
      <c r="P150" s="7" t="n">
        <v>15.6</v>
      </c>
      <c r="Q150" s="7" t="n">
        <v>38</v>
      </c>
      <c r="R150" s="7" t="s">
        <v>44</v>
      </c>
      <c r="S150" s="7"/>
      <c r="T150" s="7"/>
      <c r="U150" s="7" t="str">
        <f aca="false">IF(COUNTIF($A$2:$A$5001,A150)&gt;1,"Duplicate","Unique")</f>
        <v>Unique</v>
      </c>
      <c r="V150" s="7" t="str">
        <f aca="false">IF(COUNTIFS($B$2:$B$5001,B150,$H$2:$H$5001,H150,$J$2:$J$5001,J150)&gt;1,"Possible Duplicate Booking","Unique")</f>
        <v>Unique</v>
      </c>
      <c r="W150" s="7" t="str">
        <f aca="false">IF((H150-G150)&lt;&gt;K150,"Mismatch","OK")</f>
        <v>OK</v>
      </c>
      <c r="X150" s="7" t="str">
        <f aca="false">IF(TEXT(H150,"dddd")&lt;&gt;I150,"Mismatch","OK")</f>
        <v>OK</v>
      </c>
      <c r="Y150" s="7" t="str">
        <f aca="false">IF(AND(N150="No",O150&lt;&gt;""),"Unexpected: channel present but no reminder sent",IF(AND(N150="Yes",O150=""),"Missing channel for sent reminder","OK"))</f>
        <v>OK</v>
      </c>
    </row>
    <row r="151" customFormat="false" ht="15" hidden="false" customHeight="false" outlineLevel="0" collapsed="false">
      <c r="A151" s="9" t="s">
        <v>362</v>
      </c>
      <c r="B151" s="9" t="s">
        <v>154</v>
      </c>
      <c r="C151" s="9" t="s">
        <v>47</v>
      </c>
      <c r="D151" s="9" t="n">
        <v>80</v>
      </c>
      <c r="E151" s="9" t="s">
        <v>70</v>
      </c>
      <c r="F151" s="9" t="s">
        <v>49</v>
      </c>
      <c r="G151" s="10" t="n">
        <v>45656</v>
      </c>
      <c r="H151" s="10" t="n">
        <v>45689</v>
      </c>
      <c r="I151" s="9" t="s">
        <v>102</v>
      </c>
      <c r="J151" s="9" t="s">
        <v>51</v>
      </c>
      <c r="K151" s="9" t="n">
        <v>33</v>
      </c>
      <c r="L151" s="9" t="n">
        <v>2</v>
      </c>
      <c r="M151" s="9" t="n">
        <v>1</v>
      </c>
      <c r="N151" s="9" t="s">
        <v>42</v>
      </c>
      <c r="O151" s="9" t="s">
        <v>43</v>
      </c>
      <c r="P151" s="9" t="n">
        <v>18.2</v>
      </c>
      <c r="Q151" s="9" t="n">
        <v>35</v>
      </c>
      <c r="R151" s="9" t="s">
        <v>44</v>
      </c>
      <c r="S151" s="9"/>
      <c r="T151" s="9"/>
      <c r="U151" s="9" t="str">
        <f aca="false">IF(COUNTIF($A$2:$A$5001,A151)&gt;1,"Duplicate","Unique")</f>
        <v>Unique</v>
      </c>
      <c r="V151" s="9" t="str">
        <f aca="false">IF(COUNTIFS($B$2:$B$5001,B151,$H$2:$H$5001,H151,$J$2:$J$5001,J151)&gt;1,"Possible Duplicate Booking","Unique")</f>
        <v>Unique</v>
      </c>
      <c r="W151" s="9" t="str">
        <f aca="false">IF((H151-G151)&lt;&gt;K151,"Mismatch","OK")</f>
        <v>OK</v>
      </c>
      <c r="X151" s="9" t="str">
        <f aca="false">IF(TEXT(H151,"dddd")&lt;&gt;I151,"Mismatch","OK")</f>
        <v>OK</v>
      </c>
      <c r="Y151" s="9" t="str">
        <f aca="false">IF(AND(N151="No",O151&lt;&gt;""),"Unexpected: channel present but no reminder sent",IF(AND(N151="Yes",O151=""),"Missing channel for sent reminder","OK"))</f>
        <v>OK</v>
      </c>
    </row>
    <row r="152" customFormat="false" ht="15" hidden="false" customHeight="false" outlineLevel="0" collapsed="false">
      <c r="A152" s="7" t="s">
        <v>363</v>
      </c>
      <c r="B152" s="7" t="s">
        <v>364</v>
      </c>
      <c r="C152" s="7" t="s">
        <v>37</v>
      </c>
      <c r="D152" s="7" t="n">
        <v>56</v>
      </c>
      <c r="E152" s="7" t="s">
        <v>61</v>
      </c>
      <c r="F152" s="7" t="s">
        <v>49</v>
      </c>
      <c r="G152" s="8" t="n">
        <v>46116</v>
      </c>
      <c r="H152" s="8" t="n">
        <v>46125</v>
      </c>
      <c r="I152" s="7" t="s">
        <v>66</v>
      </c>
      <c r="J152" s="7" t="s">
        <v>51</v>
      </c>
      <c r="K152" s="7" t="n">
        <v>9</v>
      </c>
      <c r="L152" s="7" t="n">
        <v>4</v>
      </c>
      <c r="M152" s="7" t="n">
        <v>0</v>
      </c>
      <c r="N152" s="7" t="s">
        <v>42</v>
      </c>
      <c r="O152" s="7" t="s">
        <v>52</v>
      </c>
      <c r="P152" s="7" t="n">
        <v>5.5</v>
      </c>
      <c r="Q152" s="7" t="n">
        <v>7</v>
      </c>
      <c r="R152" s="7" t="s">
        <v>53</v>
      </c>
      <c r="S152" s="7"/>
      <c r="T152" s="7"/>
      <c r="U152" s="7" t="str">
        <f aca="false">IF(COUNTIF($A$2:$A$5001,A152)&gt;1,"Duplicate","Unique")</f>
        <v>Unique</v>
      </c>
      <c r="V152" s="7" t="str">
        <f aca="false">IF(COUNTIFS($B$2:$B$5001,B152,$H$2:$H$5001,H152,$J$2:$J$5001,J152)&gt;1,"Possible Duplicate Booking","Unique")</f>
        <v>Unique</v>
      </c>
      <c r="W152" s="7" t="str">
        <f aca="false">IF((H152-G152)&lt;&gt;K152,"Mismatch","OK")</f>
        <v>OK</v>
      </c>
      <c r="X152" s="7" t="str">
        <f aca="false">IF(TEXT(H152,"dddd")&lt;&gt;I152,"Mismatch","OK")</f>
        <v>OK</v>
      </c>
      <c r="Y152" s="7" t="str">
        <f aca="false">IF(AND(N152="No",O152&lt;&gt;""),"Unexpected: channel present but no reminder sent",IF(AND(N152="Yes",O152=""),"Missing channel for sent reminder","OK"))</f>
        <v>OK</v>
      </c>
    </row>
    <row r="153" customFormat="false" ht="15" hidden="false" customHeight="false" outlineLevel="0" collapsed="false">
      <c r="A153" s="9" t="s">
        <v>365</v>
      </c>
      <c r="B153" s="9" t="s">
        <v>366</v>
      </c>
      <c r="C153" s="9" t="s">
        <v>47</v>
      </c>
      <c r="D153" s="9" t="n">
        <v>32</v>
      </c>
      <c r="E153" s="9" t="s">
        <v>48</v>
      </c>
      <c r="F153" s="9" t="s">
        <v>57</v>
      </c>
      <c r="G153" s="10" t="n">
        <v>45774</v>
      </c>
      <c r="H153" s="10" t="n">
        <v>45811</v>
      </c>
      <c r="I153" s="9" t="s">
        <v>40</v>
      </c>
      <c r="J153" s="9" t="s">
        <v>41</v>
      </c>
      <c r="K153" s="9" t="n">
        <v>37</v>
      </c>
      <c r="L153" s="9" t="n">
        <v>0</v>
      </c>
      <c r="M153" s="9" t="n">
        <v>0</v>
      </c>
      <c r="N153" s="9" t="s">
        <v>42</v>
      </c>
      <c r="O153" s="9" t="s">
        <v>52</v>
      </c>
      <c r="P153" s="9" t="n">
        <v>5.2</v>
      </c>
      <c r="Q153" s="9" t="n">
        <v>30</v>
      </c>
      <c r="R153" s="9" t="s">
        <v>53</v>
      </c>
      <c r="S153" s="9"/>
      <c r="T153" s="9"/>
      <c r="U153" s="9" t="str">
        <f aca="false">IF(COUNTIF($A$2:$A$5001,A153)&gt;1,"Duplicate","Unique")</f>
        <v>Unique</v>
      </c>
      <c r="V153" s="9" t="str">
        <f aca="false">IF(COUNTIFS($B$2:$B$5001,B153,$H$2:$H$5001,H153,$J$2:$J$5001,J153)&gt;1,"Possible Duplicate Booking","Unique")</f>
        <v>Unique</v>
      </c>
      <c r="W153" s="9" t="str">
        <f aca="false">IF((H153-G153)&lt;&gt;K153,"Mismatch","OK")</f>
        <v>OK</v>
      </c>
      <c r="X153" s="9" t="str">
        <f aca="false">IF(TEXT(H153,"dddd")&lt;&gt;I153,"Mismatch","OK")</f>
        <v>OK</v>
      </c>
      <c r="Y153" s="9" t="str">
        <f aca="false">IF(AND(N153="No",O153&lt;&gt;""),"Unexpected: channel present but no reminder sent",IF(AND(N153="Yes",O153=""),"Missing channel for sent reminder","OK"))</f>
        <v>OK</v>
      </c>
    </row>
    <row r="154" customFormat="false" ht="15" hidden="false" customHeight="false" outlineLevel="0" collapsed="false">
      <c r="A154" s="7" t="s">
        <v>367</v>
      </c>
      <c r="B154" s="7" t="s">
        <v>368</v>
      </c>
      <c r="C154" s="7" t="s">
        <v>37</v>
      </c>
      <c r="D154" s="7" t="n">
        <v>43</v>
      </c>
      <c r="E154" s="7" t="s">
        <v>38</v>
      </c>
      <c r="F154" s="7" t="s">
        <v>39</v>
      </c>
      <c r="G154" s="8" t="n">
        <v>46144</v>
      </c>
      <c r="H154" s="8" t="n">
        <v>46159</v>
      </c>
      <c r="I154" s="7" t="s">
        <v>75</v>
      </c>
      <c r="J154" s="7" t="s">
        <v>51</v>
      </c>
      <c r="K154" s="7" t="n">
        <v>15</v>
      </c>
      <c r="L154" s="7" t="n">
        <v>1</v>
      </c>
      <c r="M154" s="7" t="n">
        <v>0</v>
      </c>
      <c r="N154" s="7" t="s">
        <v>42</v>
      </c>
      <c r="O154" s="7" t="s">
        <v>52</v>
      </c>
      <c r="P154" s="7" t="n">
        <v>15.2</v>
      </c>
      <c r="Q154" s="7" t="n">
        <v>33</v>
      </c>
      <c r="R154" s="7" t="s">
        <v>44</v>
      </c>
      <c r="S154" s="7"/>
      <c r="T154" s="7"/>
      <c r="U154" s="7" t="str">
        <f aca="false">IF(COUNTIF($A$2:$A$5001,A154)&gt;1,"Duplicate","Unique")</f>
        <v>Unique</v>
      </c>
      <c r="V154" s="7" t="str">
        <f aca="false">IF(COUNTIFS($B$2:$B$5001,B154,$H$2:$H$5001,H154,$J$2:$J$5001,J154)&gt;1,"Possible Duplicate Booking","Unique")</f>
        <v>Unique</v>
      </c>
      <c r="W154" s="7" t="str">
        <f aca="false">IF((H154-G154)&lt;&gt;K154,"Mismatch","OK")</f>
        <v>OK</v>
      </c>
      <c r="X154" s="7" t="str">
        <f aca="false">IF(TEXT(H154,"dddd")&lt;&gt;I154,"Mismatch","OK")</f>
        <v>OK</v>
      </c>
      <c r="Y154" s="7" t="str">
        <f aca="false">IF(AND(N154="No",O154&lt;&gt;""),"Unexpected: channel present but no reminder sent",IF(AND(N154="Yes",O154=""),"Missing channel for sent reminder","OK"))</f>
        <v>OK</v>
      </c>
    </row>
    <row r="155" customFormat="false" ht="15" hidden="false" customHeight="false" outlineLevel="0" collapsed="false">
      <c r="A155" s="9" t="s">
        <v>369</v>
      </c>
      <c r="B155" s="9" t="s">
        <v>370</v>
      </c>
      <c r="C155" s="9" t="s">
        <v>47</v>
      </c>
      <c r="D155" s="9" t="n">
        <v>48</v>
      </c>
      <c r="E155" s="9" t="s">
        <v>56</v>
      </c>
      <c r="F155" s="9" t="s">
        <v>57</v>
      </c>
      <c r="G155" s="10" t="n">
        <v>45776</v>
      </c>
      <c r="H155" s="10" t="n">
        <v>45818</v>
      </c>
      <c r="I155" s="9" t="s">
        <v>40</v>
      </c>
      <c r="J155" s="9" t="s">
        <v>41</v>
      </c>
      <c r="K155" s="9" t="n">
        <v>42</v>
      </c>
      <c r="L155" s="9" t="n">
        <v>1</v>
      </c>
      <c r="M155" s="9" t="n">
        <v>0</v>
      </c>
      <c r="N155" s="9" t="s">
        <v>42</v>
      </c>
      <c r="O155" s="9" t="s">
        <v>52</v>
      </c>
      <c r="P155" s="9" t="n">
        <v>5.2</v>
      </c>
      <c r="Q155" s="9" t="n">
        <v>23</v>
      </c>
      <c r="R155" s="9" t="s">
        <v>53</v>
      </c>
      <c r="S155" s="9"/>
      <c r="T155" s="9"/>
      <c r="U155" s="9" t="str">
        <f aca="false">IF(COUNTIF($A$2:$A$5001,A155)&gt;1,"Duplicate","Unique")</f>
        <v>Unique</v>
      </c>
      <c r="V155" s="9" t="str">
        <f aca="false">IF(COUNTIFS($B$2:$B$5001,B155,$H$2:$H$5001,H155,$J$2:$J$5001,J155)&gt;1,"Possible Duplicate Booking","Unique")</f>
        <v>Unique</v>
      </c>
      <c r="W155" s="9" t="str">
        <f aca="false">IF((H155-G155)&lt;&gt;K155,"Mismatch","OK")</f>
        <v>OK</v>
      </c>
      <c r="X155" s="9" t="str">
        <f aca="false">IF(TEXT(H155,"dddd")&lt;&gt;I155,"Mismatch","OK")</f>
        <v>OK</v>
      </c>
      <c r="Y155" s="9" t="str">
        <f aca="false">IF(AND(N155="No",O155&lt;&gt;""),"Unexpected: channel present but no reminder sent",IF(AND(N155="Yes",O155=""),"Missing channel for sent reminder","OK"))</f>
        <v>OK</v>
      </c>
    </row>
    <row r="156" customFormat="false" ht="15" hidden="false" customHeight="false" outlineLevel="0" collapsed="false">
      <c r="A156" s="7" t="s">
        <v>371</v>
      </c>
      <c r="B156" s="7" t="s">
        <v>182</v>
      </c>
      <c r="C156" s="7" t="s">
        <v>37</v>
      </c>
      <c r="D156" s="7" t="n">
        <v>47</v>
      </c>
      <c r="E156" s="7" t="s">
        <v>56</v>
      </c>
      <c r="F156" s="7" t="s">
        <v>57</v>
      </c>
      <c r="G156" s="8" t="n">
        <v>45847</v>
      </c>
      <c r="H156" s="8" t="n">
        <v>45895</v>
      </c>
      <c r="I156" s="7" t="s">
        <v>40</v>
      </c>
      <c r="J156" s="7" t="s">
        <v>51</v>
      </c>
      <c r="K156" s="7" t="n">
        <v>48</v>
      </c>
      <c r="L156" s="7" t="n">
        <v>3</v>
      </c>
      <c r="M156" s="7" t="n">
        <v>1</v>
      </c>
      <c r="N156" s="7" t="s">
        <v>42</v>
      </c>
      <c r="O156" s="7" t="s">
        <v>43</v>
      </c>
      <c r="P156" s="7" t="n">
        <v>18.4</v>
      </c>
      <c r="Q156" s="7" t="n">
        <v>41</v>
      </c>
      <c r="R156" s="7" t="s">
        <v>44</v>
      </c>
      <c r="S156" s="7"/>
      <c r="T156" s="7"/>
      <c r="U156" s="7" t="str">
        <f aca="false">IF(COUNTIF($A$2:$A$5001,A156)&gt;1,"Duplicate","Unique")</f>
        <v>Unique</v>
      </c>
      <c r="V156" s="7" t="str">
        <f aca="false">IF(COUNTIFS($B$2:$B$5001,B156,$H$2:$H$5001,H156,$J$2:$J$5001,J156)&gt;1,"Possible Duplicate Booking","Unique")</f>
        <v>Unique</v>
      </c>
      <c r="W156" s="7" t="str">
        <f aca="false">IF((H156-G156)&lt;&gt;K156,"Mismatch","OK")</f>
        <v>OK</v>
      </c>
      <c r="X156" s="7" t="str">
        <f aca="false">IF(TEXT(H156,"dddd")&lt;&gt;I156,"Mismatch","OK")</f>
        <v>OK</v>
      </c>
      <c r="Y156" s="7" t="str">
        <f aca="false">IF(AND(N156="No",O156&lt;&gt;""),"Unexpected: channel present but no reminder sent",IF(AND(N156="Yes",O156=""),"Missing channel for sent reminder","OK"))</f>
        <v>OK</v>
      </c>
    </row>
    <row r="157" customFormat="false" ht="15" hidden="false" customHeight="false" outlineLevel="0" collapsed="false">
      <c r="A157" s="9" t="s">
        <v>372</v>
      </c>
      <c r="B157" s="9" t="s">
        <v>373</v>
      </c>
      <c r="C157" s="9" t="s">
        <v>47</v>
      </c>
      <c r="D157" s="9" t="n">
        <v>27</v>
      </c>
      <c r="E157" s="9" t="s">
        <v>48</v>
      </c>
      <c r="F157" s="9" t="s">
        <v>49</v>
      </c>
      <c r="G157" s="10" t="n">
        <v>45967</v>
      </c>
      <c r="H157" s="10" t="n">
        <v>46019</v>
      </c>
      <c r="I157" s="9" t="s">
        <v>75</v>
      </c>
      <c r="J157" s="9" t="s">
        <v>41</v>
      </c>
      <c r="K157" s="9" t="n">
        <v>52</v>
      </c>
      <c r="L157" s="9" t="n">
        <v>3</v>
      </c>
      <c r="M157" s="9" t="n">
        <v>0</v>
      </c>
      <c r="N157" s="9" t="s">
        <v>42</v>
      </c>
      <c r="O157" s="9" t="s">
        <v>52</v>
      </c>
      <c r="P157" s="9" t="n">
        <v>3.8</v>
      </c>
      <c r="Q157" s="9" t="n">
        <v>6</v>
      </c>
      <c r="R157" s="9" t="s">
        <v>44</v>
      </c>
      <c r="S157" s="9"/>
      <c r="T157" s="9"/>
      <c r="U157" s="9" t="str">
        <f aca="false">IF(COUNTIF($A$2:$A$5001,A157)&gt;1,"Duplicate","Unique")</f>
        <v>Unique</v>
      </c>
      <c r="V157" s="9" t="str">
        <f aca="false">IF(COUNTIFS($B$2:$B$5001,B157,$H$2:$H$5001,H157,$J$2:$J$5001,J157)&gt;1,"Possible Duplicate Booking","Unique")</f>
        <v>Unique</v>
      </c>
      <c r="W157" s="9" t="str">
        <f aca="false">IF((H157-G157)&lt;&gt;K157,"Mismatch","OK")</f>
        <v>OK</v>
      </c>
      <c r="X157" s="9" t="str">
        <f aca="false">IF(TEXT(H157,"dddd")&lt;&gt;I157,"Mismatch","OK")</f>
        <v>OK</v>
      </c>
      <c r="Y157" s="9" t="str">
        <f aca="false">IF(AND(N157="No",O157&lt;&gt;""),"Unexpected: channel present but no reminder sent",IF(AND(N157="Yes",O157=""),"Missing channel for sent reminder","OK"))</f>
        <v>OK</v>
      </c>
    </row>
    <row r="158" customFormat="false" ht="15" hidden="false" customHeight="false" outlineLevel="0" collapsed="false">
      <c r="A158" s="7" t="s">
        <v>374</v>
      </c>
      <c r="B158" s="7" t="s">
        <v>375</v>
      </c>
      <c r="C158" s="7" t="s">
        <v>47</v>
      </c>
      <c r="D158" s="7" t="n">
        <v>24</v>
      </c>
      <c r="E158" s="7" t="s">
        <v>82</v>
      </c>
      <c r="F158" s="7" t="s">
        <v>49</v>
      </c>
      <c r="G158" s="8" t="n">
        <v>45670</v>
      </c>
      <c r="H158" s="8" t="n">
        <v>45726</v>
      </c>
      <c r="I158" s="7" t="s">
        <v>66</v>
      </c>
      <c r="J158" s="7" t="s">
        <v>51</v>
      </c>
      <c r="K158" s="7" t="n">
        <v>56</v>
      </c>
      <c r="L158" s="7" t="n">
        <v>3</v>
      </c>
      <c r="M158" s="7" t="n">
        <v>0</v>
      </c>
      <c r="N158" s="7" t="s">
        <v>71</v>
      </c>
      <c r="O158" s="7"/>
      <c r="P158" s="7" t="n">
        <v>17.3</v>
      </c>
      <c r="Q158" s="7" t="n">
        <v>2</v>
      </c>
      <c r="R158" s="7" t="s">
        <v>44</v>
      </c>
      <c r="S158" s="7"/>
      <c r="T158" s="7"/>
      <c r="U158" s="7" t="str">
        <f aca="false">IF(COUNTIF($A$2:$A$5001,A158)&gt;1,"Duplicate","Unique")</f>
        <v>Unique</v>
      </c>
      <c r="V158" s="7" t="str">
        <f aca="false">IF(COUNTIFS($B$2:$B$5001,B158,$H$2:$H$5001,H158,$J$2:$J$5001,J158)&gt;1,"Possible Duplicate Booking","Unique")</f>
        <v>Unique</v>
      </c>
      <c r="W158" s="7" t="str">
        <f aca="false">IF((H158-G158)&lt;&gt;K158,"Mismatch","OK")</f>
        <v>OK</v>
      </c>
      <c r="X158" s="7" t="str">
        <f aca="false">IF(TEXT(H158,"dddd")&lt;&gt;I158,"Mismatch","OK")</f>
        <v>OK</v>
      </c>
      <c r="Y158" s="7" t="str">
        <f aca="false">IF(AND(N158="No",O158&lt;&gt;""),"Unexpected: channel present but no reminder sent",IF(AND(N158="Yes",O158=""),"Missing channel for sent reminder","OK"))</f>
        <v>OK</v>
      </c>
    </row>
    <row r="159" customFormat="false" ht="15" hidden="false" customHeight="false" outlineLevel="0" collapsed="false">
      <c r="A159" s="9" t="s">
        <v>376</v>
      </c>
      <c r="B159" s="9" t="s">
        <v>377</v>
      </c>
      <c r="C159" s="9" t="s">
        <v>37</v>
      </c>
      <c r="D159" s="9" t="n">
        <v>40</v>
      </c>
      <c r="E159" s="9" t="s">
        <v>38</v>
      </c>
      <c r="F159" s="9" t="s">
        <v>49</v>
      </c>
      <c r="G159" s="10" t="n">
        <v>45955</v>
      </c>
      <c r="H159" s="10" t="n">
        <v>45962</v>
      </c>
      <c r="I159" s="9" t="s">
        <v>102</v>
      </c>
      <c r="J159" s="9" t="s">
        <v>41</v>
      </c>
      <c r="K159" s="9" t="n">
        <v>7</v>
      </c>
      <c r="L159" s="9" t="n">
        <v>3</v>
      </c>
      <c r="M159" s="9" t="n">
        <v>3</v>
      </c>
      <c r="N159" s="9" t="s">
        <v>42</v>
      </c>
      <c r="O159" s="9" t="s">
        <v>67</v>
      </c>
      <c r="P159" s="9" t="n">
        <v>10.9</v>
      </c>
      <c r="Q159" s="9" t="n">
        <v>36</v>
      </c>
      <c r="R159" s="9" t="s">
        <v>87</v>
      </c>
      <c r="S159" s="9"/>
      <c r="T159" s="9"/>
      <c r="U159" s="9" t="str">
        <f aca="false">IF(COUNTIF($A$2:$A$5001,A159)&gt;1,"Duplicate","Unique")</f>
        <v>Unique</v>
      </c>
      <c r="V159" s="9" t="str">
        <f aca="false">IF(COUNTIFS($B$2:$B$5001,B159,$H$2:$H$5001,H159,$J$2:$J$5001,J159)&gt;1,"Possible Duplicate Booking","Unique")</f>
        <v>Unique</v>
      </c>
      <c r="W159" s="9" t="str">
        <f aca="false">IF((H159-G159)&lt;&gt;K159,"Mismatch","OK")</f>
        <v>OK</v>
      </c>
      <c r="X159" s="9" t="str">
        <f aca="false">IF(TEXT(H159,"dddd")&lt;&gt;I159,"Mismatch","OK")</f>
        <v>OK</v>
      </c>
      <c r="Y159" s="9" t="str">
        <f aca="false">IF(AND(N159="No",O159&lt;&gt;""),"Unexpected: channel present but no reminder sent",IF(AND(N159="Yes",O159=""),"Missing channel for sent reminder","OK"))</f>
        <v>OK</v>
      </c>
    </row>
    <row r="160" customFormat="false" ht="15" hidden="false" customHeight="false" outlineLevel="0" collapsed="false">
      <c r="A160" s="7" t="s">
        <v>378</v>
      </c>
      <c r="B160" s="7" t="s">
        <v>379</v>
      </c>
      <c r="C160" s="7" t="s">
        <v>37</v>
      </c>
      <c r="D160" s="7" t="n">
        <v>75</v>
      </c>
      <c r="E160" s="7" t="s">
        <v>70</v>
      </c>
      <c r="F160" s="7" t="s">
        <v>57</v>
      </c>
      <c r="G160" s="8" t="n">
        <v>45925</v>
      </c>
      <c r="H160" s="8" t="n">
        <v>45933</v>
      </c>
      <c r="I160" s="7" t="s">
        <v>50</v>
      </c>
      <c r="J160" s="7" t="s">
        <v>63</v>
      </c>
      <c r="K160" s="7" t="n">
        <v>8</v>
      </c>
      <c r="L160" s="7" t="n">
        <v>2</v>
      </c>
      <c r="M160" s="7" t="n">
        <v>0</v>
      </c>
      <c r="N160" s="7" t="s">
        <v>71</v>
      </c>
      <c r="O160" s="7"/>
      <c r="P160" s="7" t="n">
        <v>2.9</v>
      </c>
      <c r="Q160" s="7" t="n">
        <v>15</v>
      </c>
      <c r="R160" s="7" t="s">
        <v>53</v>
      </c>
      <c r="S160" s="7"/>
      <c r="T160" s="7"/>
      <c r="U160" s="7" t="str">
        <f aca="false">IF(COUNTIF($A$2:$A$5001,A160)&gt;1,"Duplicate","Unique")</f>
        <v>Unique</v>
      </c>
      <c r="V160" s="7" t="str">
        <f aca="false">IF(COUNTIFS($B$2:$B$5001,B160,$H$2:$H$5001,H160,$J$2:$J$5001,J160)&gt;1,"Possible Duplicate Booking","Unique")</f>
        <v>Unique</v>
      </c>
      <c r="W160" s="7" t="str">
        <f aca="false">IF((H160-G160)&lt;&gt;K160,"Mismatch","OK")</f>
        <v>OK</v>
      </c>
      <c r="X160" s="7" t="str">
        <f aca="false">IF(TEXT(H160,"dddd")&lt;&gt;I160,"Mismatch","OK")</f>
        <v>OK</v>
      </c>
      <c r="Y160" s="7" t="str">
        <f aca="false">IF(AND(N160="No",O160&lt;&gt;""),"Unexpected: channel present but no reminder sent",IF(AND(N160="Yes",O160=""),"Missing channel for sent reminder","OK"))</f>
        <v>OK</v>
      </c>
    </row>
    <row r="161" customFormat="false" ht="15" hidden="false" customHeight="false" outlineLevel="0" collapsed="false">
      <c r="A161" s="9" t="s">
        <v>380</v>
      </c>
      <c r="B161" s="9" t="s">
        <v>381</v>
      </c>
      <c r="C161" s="9" t="s">
        <v>37</v>
      </c>
      <c r="D161" s="9" t="n">
        <v>63</v>
      </c>
      <c r="E161" s="9" t="s">
        <v>61</v>
      </c>
      <c r="F161" s="9" t="s">
        <v>39</v>
      </c>
      <c r="G161" s="10" t="n">
        <v>46030</v>
      </c>
      <c r="H161" s="10" t="n">
        <v>46086</v>
      </c>
      <c r="I161" s="9" t="s">
        <v>62</v>
      </c>
      <c r="J161" s="9" t="s">
        <v>51</v>
      </c>
      <c r="K161" s="9" t="n">
        <v>56</v>
      </c>
      <c r="L161" s="9" t="n">
        <v>6</v>
      </c>
      <c r="M161" s="9" t="n">
        <v>1</v>
      </c>
      <c r="N161" s="9" t="s">
        <v>71</v>
      </c>
      <c r="O161" s="9"/>
      <c r="P161" s="9" t="n">
        <v>14.3</v>
      </c>
      <c r="Q161" s="9" t="n">
        <v>24</v>
      </c>
      <c r="R161" s="9" t="s">
        <v>44</v>
      </c>
      <c r="S161" s="9"/>
      <c r="T161" s="9"/>
      <c r="U161" s="9" t="str">
        <f aca="false">IF(COUNTIF($A$2:$A$5001,A161)&gt;1,"Duplicate","Unique")</f>
        <v>Unique</v>
      </c>
      <c r="V161" s="9" t="str">
        <f aca="false">IF(COUNTIFS($B$2:$B$5001,B161,$H$2:$H$5001,H161,$J$2:$J$5001,J161)&gt;1,"Possible Duplicate Booking","Unique")</f>
        <v>Unique</v>
      </c>
      <c r="W161" s="9" t="str">
        <f aca="false">IF((H161-G161)&lt;&gt;K161,"Mismatch","OK")</f>
        <v>OK</v>
      </c>
      <c r="X161" s="9" t="str">
        <f aca="false">IF(TEXT(H161,"dddd")&lt;&gt;I161,"Mismatch","OK")</f>
        <v>OK</v>
      </c>
      <c r="Y161" s="9" t="str">
        <f aca="false">IF(AND(N161="No",O161&lt;&gt;""),"Unexpected: channel present but no reminder sent",IF(AND(N161="Yes",O161=""),"Missing channel for sent reminder","OK"))</f>
        <v>OK</v>
      </c>
    </row>
    <row r="162" customFormat="false" ht="15" hidden="false" customHeight="false" outlineLevel="0" collapsed="false">
      <c r="A162" s="7" t="s">
        <v>382</v>
      </c>
      <c r="B162" s="7" t="s">
        <v>383</v>
      </c>
      <c r="C162" s="7" t="s">
        <v>37</v>
      </c>
      <c r="D162" s="7" t="n">
        <v>71</v>
      </c>
      <c r="E162" s="7" t="s">
        <v>70</v>
      </c>
      <c r="F162" s="7" t="s">
        <v>39</v>
      </c>
      <c r="G162" s="8" t="n">
        <v>46178</v>
      </c>
      <c r="H162" s="8" t="n">
        <v>46201</v>
      </c>
      <c r="I162" s="7" t="s">
        <v>75</v>
      </c>
      <c r="J162" s="7" t="s">
        <v>63</v>
      </c>
      <c r="K162" s="7" t="n">
        <v>23</v>
      </c>
      <c r="L162" s="7" t="n">
        <v>1</v>
      </c>
      <c r="M162" s="7" t="n">
        <v>0</v>
      </c>
      <c r="N162" s="7" t="s">
        <v>42</v>
      </c>
      <c r="O162" s="7" t="s">
        <v>52</v>
      </c>
      <c r="P162" s="7" t="n">
        <v>10</v>
      </c>
      <c r="Q162" s="7" t="n">
        <v>12</v>
      </c>
      <c r="R162" s="7" t="s">
        <v>44</v>
      </c>
      <c r="S162" s="7"/>
      <c r="T162" s="7"/>
      <c r="U162" s="7" t="str">
        <f aca="false">IF(COUNTIF($A$2:$A$5001,A162)&gt;1,"Duplicate","Unique")</f>
        <v>Unique</v>
      </c>
      <c r="V162" s="7" t="str">
        <f aca="false">IF(COUNTIFS($B$2:$B$5001,B162,$H$2:$H$5001,H162,$J$2:$J$5001,J162)&gt;1,"Possible Duplicate Booking","Unique")</f>
        <v>Unique</v>
      </c>
      <c r="W162" s="7" t="str">
        <f aca="false">IF((H162-G162)&lt;&gt;K162,"Mismatch","OK")</f>
        <v>OK</v>
      </c>
      <c r="X162" s="7" t="str">
        <f aca="false">IF(TEXT(H162,"dddd")&lt;&gt;I162,"Mismatch","OK")</f>
        <v>OK</v>
      </c>
      <c r="Y162" s="7" t="str">
        <f aca="false">IF(AND(N162="No",O162&lt;&gt;""),"Unexpected: channel present but no reminder sent",IF(AND(N162="Yes",O162=""),"Missing channel for sent reminder","OK"))</f>
        <v>OK</v>
      </c>
    </row>
    <row r="163" customFormat="false" ht="15" hidden="false" customHeight="false" outlineLevel="0" collapsed="false">
      <c r="A163" s="9" t="s">
        <v>384</v>
      </c>
      <c r="B163" s="9" t="s">
        <v>385</v>
      </c>
      <c r="C163" s="9" t="s">
        <v>37</v>
      </c>
      <c r="D163" s="9" t="n">
        <v>28</v>
      </c>
      <c r="E163" s="9" t="s">
        <v>48</v>
      </c>
      <c r="F163" s="9" t="s">
        <v>74</v>
      </c>
      <c r="G163" s="10" t="n">
        <v>46019</v>
      </c>
      <c r="H163" s="10" t="n">
        <v>46020</v>
      </c>
      <c r="I163" s="9" t="s">
        <v>66</v>
      </c>
      <c r="J163" s="9" t="s">
        <v>51</v>
      </c>
      <c r="K163" s="9" t="n">
        <v>1</v>
      </c>
      <c r="L163" s="9" t="n">
        <v>3</v>
      </c>
      <c r="M163" s="9" t="n">
        <v>1</v>
      </c>
      <c r="N163" s="9" t="s">
        <v>42</v>
      </c>
      <c r="O163" s="9" t="s">
        <v>52</v>
      </c>
      <c r="P163" s="9" t="n">
        <v>17.8</v>
      </c>
      <c r="Q163" s="9"/>
      <c r="R163" s="9" t="s">
        <v>44</v>
      </c>
      <c r="S163" s="9"/>
      <c r="T163" s="9"/>
      <c r="U163" s="9" t="str">
        <f aca="false">IF(COUNTIF($A$2:$A$5001,A163)&gt;1,"Duplicate","Unique")</f>
        <v>Unique</v>
      </c>
      <c r="V163" s="9" t="str">
        <f aca="false">IF(COUNTIFS($B$2:$B$5001,B163,$H$2:$H$5001,H163,$J$2:$J$5001,J163)&gt;1,"Possible Duplicate Booking","Unique")</f>
        <v>Unique</v>
      </c>
      <c r="W163" s="9" t="str">
        <f aca="false">IF((H163-G163)&lt;&gt;K163,"Mismatch","OK")</f>
        <v>OK</v>
      </c>
      <c r="X163" s="9" t="str">
        <f aca="false">IF(TEXT(H163,"dddd")&lt;&gt;I163,"Mismatch","OK")</f>
        <v>OK</v>
      </c>
      <c r="Y163" s="9" t="str">
        <f aca="false">IF(AND(N163="No",O163&lt;&gt;""),"Unexpected: channel present but no reminder sent",IF(AND(N163="Yes",O163=""),"Missing channel for sent reminder","OK"))</f>
        <v>OK</v>
      </c>
    </row>
    <row r="164" customFormat="false" ht="15" hidden="false" customHeight="false" outlineLevel="0" collapsed="false">
      <c r="A164" s="7" t="s">
        <v>386</v>
      </c>
      <c r="B164" s="7" t="s">
        <v>387</v>
      </c>
      <c r="C164" s="7" t="s">
        <v>37</v>
      </c>
      <c r="D164" s="7" t="n">
        <v>44</v>
      </c>
      <c r="E164" s="7" t="s">
        <v>38</v>
      </c>
      <c r="F164" s="7" t="s">
        <v>39</v>
      </c>
      <c r="G164" s="8" t="n">
        <v>45864</v>
      </c>
      <c r="H164" s="8" t="n">
        <v>45881</v>
      </c>
      <c r="I164" s="7" t="s">
        <v>40</v>
      </c>
      <c r="J164" s="7" t="s">
        <v>41</v>
      </c>
      <c r="K164" s="7" t="n">
        <v>17</v>
      </c>
      <c r="L164" s="7" t="n">
        <v>2</v>
      </c>
      <c r="M164" s="7" t="n">
        <v>0</v>
      </c>
      <c r="N164" s="7" t="s">
        <v>42</v>
      </c>
      <c r="O164" s="7" t="s">
        <v>52</v>
      </c>
      <c r="P164" s="7" t="n">
        <v>8.6</v>
      </c>
      <c r="Q164" s="7" t="n">
        <v>28</v>
      </c>
      <c r="R164" s="7" t="s">
        <v>53</v>
      </c>
      <c r="S164" s="7"/>
      <c r="T164" s="7"/>
      <c r="U164" s="7" t="str">
        <f aca="false">IF(COUNTIF($A$2:$A$5001,A164)&gt;1,"Duplicate","Unique")</f>
        <v>Unique</v>
      </c>
      <c r="V164" s="7" t="str">
        <f aca="false">IF(COUNTIFS($B$2:$B$5001,B164,$H$2:$H$5001,H164,$J$2:$J$5001,J164)&gt;1,"Possible Duplicate Booking","Unique")</f>
        <v>Unique</v>
      </c>
      <c r="W164" s="7" t="str">
        <f aca="false">IF((H164-G164)&lt;&gt;K164,"Mismatch","OK")</f>
        <v>OK</v>
      </c>
      <c r="X164" s="7" t="str">
        <f aca="false">IF(TEXT(H164,"dddd")&lt;&gt;I164,"Mismatch","OK")</f>
        <v>OK</v>
      </c>
      <c r="Y164" s="7" t="str">
        <f aca="false">IF(AND(N164="No",O164&lt;&gt;""),"Unexpected: channel present but no reminder sent",IF(AND(N164="Yes",O164=""),"Missing channel for sent reminder","OK"))</f>
        <v>OK</v>
      </c>
    </row>
    <row r="165" customFormat="false" ht="15" hidden="false" customHeight="false" outlineLevel="0" collapsed="false">
      <c r="A165" s="9" t="s">
        <v>388</v>
      </c>
      <c r="B165" s="9" t="s">
        <v>389</v>
      </c>
      <c r="C165" s="9" t="s">
        <v>47</v>
      </c>
      <c r="D165" s="9" t="n">
        <v>54</v>
      </c>
      <c r="E165" s="9" t="s">
        <v>56</v>
      </c>
      <c r="F165" s="9" t="s">
        <v>74</v>
      </c>
      <c r="G165" s="10" t="n">
        <v>45828</v>
      </c>
      <c r="H165" s="10" t="n">
        <v>45879</v>
      </c>
      <c r="I165" s="9" t="s">
        <v>75</v>
      </c>
      <c r="J165" s="9" t="s">
        <v>41</v>
      </c>
      <c r="K165" s="9" t="n">
        <v>51</v>
      </c>
      <c r="L165" s="9" t="n">
        <v>4</v>
      </c>
      <c r="M165" s="9" t="n">
        <v>0</v>
      </c>
      <c r="N165" s="9" t="s">
        <v>42</v>
      </c>
      <c r="O165" s="9" t="s">
        <v>52</v>
      </c>
      <c r="P165" s="9" t="n">
        <v>17.6</v>
      </c>
      <c r="Q165" s="9" t="n">
        <v>23</v>
      </c>
      <c r="R165" s="9" t="s">
        <v>44</v>
      </c>
      <c r="S165" s="9"/>
      <c r="T165" s="9"/>
      <c r="U165" s="9" t="str">
        <f aca="false">IF(COUNTIF($A$2:$A$5001,A165)&gt;1,"Duplicate","Unique")</f>
        <v>Unique</v>
      </c>
      <c r="V165" s="9" t="str">
        <f aca="false">IF(COUNTIFS($B$2:$B$5001,B165,$H$2:$H$5001,H165,$J$2:$J$5001,J165)&gt;1,"Possible Duplicate Booking","Unique")</f>
        <v>Unique</v>
      </c>
      <c r="W165" s="9" t="str">
        <f aca="false">IF((H165-G165)&lt;&gt;K165,"Mismatch","OK")</f>
        <v>OK</v>
      </c>
      <c r="X165" s="9" t="str">
        <f aca="false">IF(TEXT(H165,"dddd")&lt;&gt;I165,"Mismatch","OK")</f>
        <v>OK</v>
      </c>
      <c r="Y165" s="9" t="str">
        <f aca="false">IF(AND(N165="No",O165&lt;&gt;""),"Unexpected: channel present but no reminder sent",IF(AND(N165="Yes",O165=""),"Missing channel for sent reminder","OK"))</f>
        <v>OK</v>
      </c>
    </row>
    <row r="166" customFormat="false" ht="15" hidden="false" customHeight="false" outlineLevel="0" collapsed="false">
      <c r="A166" s="7" t="s">
        <v>390</v>
      </c>
      <c r="B166" s="7" t="s">
        <v>391</v>
      </c>
      <c r="C166" s="7" t="s">
        <v>37</v>
      </c>
      <c r="D166" s="7" t="n">
        <v>45</v>
      </c>
      <c r="E166" s="7" t="s">
        <v>56</v>
      </c>
      <c r="F166" s="7" t="s">
        <v>57</v>
      </c>
      <c r="G166" s="8" t="n">
        <v>45865</v>
      </c>
      <c r="H166" s="8" t="n">
        <v>45886</v>
      </c>
      <c r="I166" s="7" t="s">
        <v>75</v>
      </c>
      <c r="J166" s="7" t="s">
        <v>51</v>
      </c>
      <c r="K166" s="7" t="n">
        <v>21</v>
      </c>
      <c r="L166" s="7" t="n">
        <v>5</v>
      </c>
      <c r="M166" s="7" t="n">
        <v>2</v>
      </c>
      <c r="N166" s="7" t="s">
        <v>71</v>
      </c>
      <c r="O166" s="7"/>
      <c r="P166" s="7" t="n">
        <v>17.5</v>
      </c>
      <c r="Q166" s="7" t="n">
        <v>10</v>
      </c>
      <c r="R166" s="7" t="s">
        <v>44</v>
      </c>
      <c r="S166" s="7"/>
      <c r="T166" s="7"/>
      <c r="U166" s="7" t="str">
        <f aca="false">IF(COUNTIF($A$2:$A$5001,A166)&gt;1,"Duplicate","Unique")</f>
        <v>Unique</v>
      </c>
      <c r="V166" s="7" t="str">
        <f aca="false">IF(COUNTIFS($B$2:$B$5001,B166,$H$2:$H$5001,H166,$J$2:$J$5001,J166)&gt;1,"Possible Duplicate Booking","Unique")</f>
        <v>Unique</v>
      </c>
      <c r="W166" s="7" t="str">
        <f aca="false">IF((H166-G166)&lt;&gt;K166,"Mismatch","OK")</f>
        <v>OK</v>
      </c>
      <c r="X166" s="7" t="str">
        <f aca="false">IF(TEXT(H166,"dddd")&lt;&gt;I166,"Mismatch","OK")</f>
        <v>OK</v>
      </c>
      <c r="Y166" s="7" t="str">
        <f aca="false">IF(AND(N166="No",O166&lt;&gt;""),"Unexpected: channel present but no reminder sent",IF(AND(N166="Yes",O166=""),"Missing channel for sent reminder","OK"))</f>
        <v>OK</v>
      </c>
    </row>
    <row r="167" customFormat="false" ht="15" hidden="false" customHeight="false" outlineLevel="0" collapsed="false">
      <c r="A167" s="9" t="s">
        <v>392</v>
      </c>
      <c r="B167" s="9" t="s">
        <v>393</v>
      </c>
      <c r="C167" s="9" t="s">
        <v>37</v>
      </c>
      <c r="D167" s="9" t="n">
        <v>44</v>
      </c>
      <c r="E167" s="9" t="s">
        <v>38</v>
      </c>
      <c r="F167" s="9" t="s">
        <v>39</v>
      </c>
      <c r="G167" s="10" t="n">
        <v>46098</v>
      </c>
      <c r="H167" s="10" t="n">
        <v>46102</v>
      </c>
      <c r="I167" s="9" t="s">
        <v>102</v>
      </c>
      <c r="J167" s="9" t="s">
        <v>51</v>
      </c>
      <c r="K167" s="9" t="n">
        <v>4</v>
      </c>
      <c r="L167" s="9" t="n">
        <v>2</v>
      </c>
      <c r="M167" s="9" t="n">
        <v>0</v>
      </c>
      <c r="N167" s="9" t="s">
        <v>42</v>
      </c>
      <c r="O167" s="9" t="s">
        <v>43</v>
      </c>
      <c r="P167" s="9" t="n">
        <v>31.6</v>
      </c>
      <c r="Q167" s="9" t="n">
        <v>22</v>
      </c>
      <c r="R167" s="9" t="s">
        <v>44</v>
      </c>
      <c r="S167" s="9"/>
      <c r="T167" s="9"/>
      <c r="U167" s="9" t="str">
        <f aca="false">IF(COUNTIF($A$2:$A$5001,A167)&gt;1,"Duplicate","Unique")</f>
        <v>Unique</v>
      </c>
      <c r="V167" s="9" t="str">
        <f aca="false">IF(COUNTIFS($B$2:$B$5001,B167,$H$2:$H$5001,H167,$J$2:$J$5001,J167)&gt;1,"Possible Duplicate Booking","Unique")</f>
        <v>Unique</v>
      </c>
      <c r="W167" s="9" t="str">
        <f aca="false">IF((H167-G167)&lt;&gt;K167,"Mismatch","OK")</f>
        <v>OK</v>
      </c>
      <c r="X167" s="9" t="str">
        <f aca="false">IF(TEXT(H167,"dddd")&lt;&gt;I167,"Mismatch","OK")</f>
        <v>OK</v>
      </c>
      <c r="Y167" s="9" t="str">
        <f aca="false">IF(AND(N167="No",O167&lt;&gt;""),"Unexpected: channel present but no reminder sent",IF(AND(N167="Yes",O167=""),"Missing channel for sent reminder","OK"))</f>
        <v>OK</v>
      </c>
    </row>
    <row r="168" customFormat="false" ht="15" hidden="false" customHeight="false" outlineLevel="0" collapsed="false">
      <c r="A168" s="7" t="s">
        <v>394</v>
      </c>
      <c r="B168" s="7" t="s">
        <v>395</v>
      </c>
      <c r="C168" s="7" t="s">
        <v>37</v>
      </c>
      <c r="D168" s="7" t="n">
        <v>40</v>
      </c>
      <c r="E168" s="7" t="s">
        <v>38</v>
      </c>
      <c r="F168" s="7" t="s">
        <v>49</v>
      </c>
      <c r="G168" s="8" t="n">
        <v>45789</v>
      </c>
      <c r="H168" s="8" t="n">
        <v>45833</v>
      </c>
      <c r="I168" s="7" t="s">
        <v>58</v>
      </c>
      <c r="J168" s="7" t="s">
        <v>51</v>
      </c>
      <c r="K168" s="7" t="n">
        <v>44</v>
      </c>
      <c r="L168" s="7" t="n">
        <v>2</v>
      </c>
      <c r="M168" s="7" t="n">
        <v>1</v>
      </c>
      <c r="N168" s="7" t="s">
        <v>42</v>
      </c>
      <c r="O168" s="7" t="s">
        <v>67</v>
      </c>
      <c r="P168" s="7" t="n">
        <v>6.7</v>
      </c>
      <c r="Q168" s="7" t="n">
        <v>28</v>
      </c>
      <c r="R168" s="7" t="s">
        <v>44</v>
      </c>
      <c r="S168" s="7"/>
      <c r="T168" s="7"/>
      <c r="U168" s="7" t="str">
        <f aca="false">IF(COUNTIF($A$2:$A$5001,A168)&gt;1,"Duplicate","Unique")</f>
        <v>Unique</v>
      </c>
      <c r="V168" s="7" t="str">
        <f aca="false">IF(COUNTIFS($B$2:$B$5001,B168,$H$2:$H$5001,H168,$J$2:$J$5001,J168)&gt;1,"Possible Duplicate Booking","Unique")</f>
        <v>Unique</v>
      </c>
      <c r="W168" s="7" t="str">
        <f aca="false">IF((H168-G168)&lt;&gt;K168,"Mismatch","OK")</f>
        <v>OK</v>
      </c>
      <c r="X168" s="7" t="str">
        <f aca="false">IF(TEXT(H168,"dddd")&lt;&gt;I168,"Mismatch","OK")</f>
        <v>OK</v>
      </c>
      <c r="Y168" s="7" t="str">
        <f aca="false">IF(AND(N168="No",O168&lt;&gt;""),"Unexpected: channel present but no reminder sent",IF(AND(N168="Yes",O168=""),"Missing channel for sent reminder","OK"))</f>
        <v>OK</v>
      </c>
    </row>
    <row r="169" customFormat="false" ht="15" hidden="false" customHeight="false" outlineLevel="0" collapsed="false">
      <c r="A169" s="9" t="s">
        <v>396</v>
      </c>
      <c r="B169" s="9" t="s">
        <v>397</v>
      </c>
      <c r="C169" s="9" t="s">
        <v>37</v>
      </c>
      <c r="D169" s="9" t="n">
        <v>21</v>
      </c>
      <c r="E169" s="9" t="s">
        <v>82</v>
      </c>
      <c r="F169" s="9" t="s">
        <v>57</v>
      </c>
      <c r="G169" s="10" t="n">
        <v>45738</v>
      </c>
      <c r="H169" s="10" t="n">
        <v>45749</v>
      </c>
      <c r="I169" s="9" t="s">
        <v>58</v>
      </c>
      <c r="J169" s="9" t="s">
        <v>41</v>
      </c>
      <c r="K169" s="9" t="n">
        <v>11</v>
      </c>
      <c r="L169" s="9" t="n">
        <v>3</v>
      </c>
      <c r="M169" s="9" t="n">
        <v>0</v>
      </c>
      <c r="N169" s="9" t="s">
        <v>42</v>
      </c>
      <c r="O169" s="9" t="s">
        <v>52</v>
      </c>
      <c r="P169" s="9" t="n">
        <v>14.1</v>
      </c>
      <c r="Q169" s="9" t="n">
        <v>18</v>
      </c>
      <c r="R169" s="9" t="s">
        <v>53</v>
      </c>
      <c r="S169" s="9"/>
      <c r="T169" s="9"/>
      <c r="U169" s="9" t="str">
        <f aca="false">IF(COUNTIF($A$2:$A$5001,A169)&gt;1,"Duplicate","Unique")</f>
        <v>Unique</v>
      </c>
      <c r="V169" s="9" t="str">
        <f aca="false">IF(COUNTIFS($B$2:$B$5001,B169,$H$2:$H$5001,H169,$J$2:$J$5001,J169)&gt;1,"Possible Duplicate Booking","Unique")</f>
        <v>Unique</v>
      </c>
      <c r="W169" s="9" t="str">
        <f aca="false">IF((H169-G169)&lt;&gt;K169,"Mismatch","OK")</f>
        <v>OK</v>
      </c>
      <c r="X169" s="9" t="str">
        <f aca="false">IF(TEXT(H169,"dddd")&lt;&gt;I169,"Mismatch","OK")</f>
        <v>OK</v>
      </c>
      <c r="Y169" s="9" t="str">
        <f aca="false">IF(AND(N169="No",O169&lt;&gt;""),"Unexpected: channel present but no reminder sent",IF(AND(N169="Yes",O169=""),"Missing channel for sent reminder","OK"))</f>
        <v>OK</v>
      </c>
    </row>
    <row r="170" customFormat="false" ht="15" hidden="false" customHeight="false" outlineLevel="0" collapsed="false">
      <c r="A170" s="7" t="s">
        <v>398</v>
      </c>
      <c r="B170" s="7" t="s">
        <v>399</v>
      </c>
      <c r="C170" s="7" t="s">
        <v>47</v>
      </c>
      <c r="D170" s="7" t="n">
        <v>72</v>
      </c>
      <c r="E170" s="7" t="s">
        <v>70</v>
      </c>
      <c r="F170" s="7" t="s">
        <v>39</v>
      </c>
      <c r="G170" s="8" t="n">
        <v>45819</v>
      </c>
      <c r="H170" s="8" t="n">
        <v>45840</v>
      </c>
      <c r="I170" s="7" t="s">
        <v>58</v>
      </c>
      <c r="J170" s="7" t="s">
        <v>51</v>
      </c>
      <c r="K170" s="7" t="n">
        <v>21</v>
      </c>
      <c r="L170" s="7" t="n">
        <v>1</v>
      </c>
      <c r="M170" s="7" t="n">
        <v>0</v>
      </c>
      <c r="N170" s="7" t="s">
        <v>42</v>
      </c>
      <c r="O170" s="7" t="s">
        <v>52</v>
      </c>
      <c r="P170" s="7" t="n">
        <v>3</v>
      </c>
      <c r="Q170" s="7" t="n">
        <v>19</v>
      </c>
      <c r="R170" s="7" t="s">
        <v>53</v>
      </c>
      <c r="S170" s="7"/>
      <c r="T170" s="7"/>
      <c r="U170" s="7" t="str">
        <f aca="false">IF(COUNTIF($A$2:$A$5001,A170)&gt;1,"Duplicate","Unique")</f>
        <v>Unique</v>
      </c>
      <c r="V170" s="7" t="str">
        <f aca="false">IF(COUNTIFS($B$2:$B$5001,B170,$H$2:$H$5001,H170,$J$2:$J$5001,J170)&gt;1,"Possible Duplicate Booking","Unique")</f>
        <v>Unique</v>
      </c>
      <c r="W170" s="7" t="str">
        <f aca="false">IF((H170-G170)&lt;&gt;K170,"Mismatch","OK")</f>
        <v>OK</v>
      </c>
      <c r="X170" s="7" t="str">
        <f aca="false">IF(TEXT(H170,"dddd")&lt;&gt;I170,"Mismatch","OK")</f>
        <v>OK</v>
      </c>
      <c r="Y170" s="7" t="str">
        <f aca="false">IF(AND(N170="No",O170&lt;&gt;""),"Unexpected: channel present but no reminder sent",IF(AND(N170="Yes",O170=""),"Missing channel for sent reminder","OK"))</f>
        <v>OK</v>
      </c>
    </row>
    <row r="171" customFormat="false" ht="15" hidden="false" customHeight="false" outlineLevel="0" collapsed="false">
      <c r="A171" s="9" t="s">
        <v>400</v>
      </c>
      <c r="B171" s="9" t="s">
        <v>401</v>
      </c>
      <c r="C171" s="9" t="s">
        <v>47</v>
      </c>
      <c r="D171" s="9" t="n">
        <v>76</v>
      </c>
      <c r="E171" s="9" t="s">
        <v>70</v>
      </c>
      <c r="F171" s="9" t="s">
        <v>39</v>
      </c>
      <c r="G171" s="10" t="n">
        <v>45670</v>
      </c>
      <c r="H171" s="10" t="n">
        <v>45670</v>
      </c>
      <c r="I171" s="9" t="s">
        <v>66</v>
      </c>
      <c r="J171" s="9" t="s">
        <v>63</v>
      </c>
      <c r="K171" s="9" t="n">
        <v>0</v>
      </c>
      <c r="L171" s="9" t="n">
        <v>5</v>
      </c>
      <c r="M171" s="9" t="n">
        <v>1</v>
      </c>
      <c r="N171" s="9" t="s">
        <v>42</v>
      </c>
      <c r="O171" s="9" t="s">
        <v>43</v>
      </c>
      <c r="P171" s="9" t="n">
        <v>0.9</v>
      </c>
      <c r="Q171" s="9" t="n">
        <v>24</v>
      </c>
      <c r="R171" s="9" t="s">
        <v>87</v>
      </c>
      <c r="S171" s="9"/>
      <c r="T171" s="9"/>
      <c r="U171" s="9" t="str">
        <f aca="false">IF(COUNTIF($A$2:$A$5001,A171)&gt;1,"Duplicate","Unique")</f>
        <v>Unique</v>
      </c>
      <c r="V171" s="9" t="str">
        <f aca="false">IF(COUNTIFS($B$2:$B$5001,B171,$H$2:$H$5001,H171,$J$2:$J$5001,J171)&gt;1,"Possible Duplicate Booking","Unique")</f>
        <v>Unique</v>
      </c>
      <c r="W171" s="9" t="str">
        <f aca="false">IF((H171-G171)&lt;&gt;K171,"Mismatch","OK")</f>
        <v>OK</v>
      </c>
      <c r="X171" s="9" t="str">
        <f aca="false">IF(TEXT(H171,"dddd")&lt;&gt;I171,"Mismatch","OK")</f>
        <v>OK</v>
      </c>
      <c r="Y171" s="9" t="str">
        <f aca="false">IF(AND(N171="No",O171&lt;&gt;""),"Unexpected: channel present but no reminder sent",IF(AND(N171="Yes",O171=""),"Missing channel for sent reminder","OK"))</f>
        <v>OK</v>
      </c>
    </row>
    <row r="172" customFormat="false" ht="15" hidden="false" customHeight="false" outlineLevel="0" collapsed="false">
      <c r="A172" s="7" t="s">
        <v>402</v>
      </c>
      <c r="B172" s="7" t="s">
        <v>403</v>
      </c>
      <c r="C172" s="7" t="s">
        <v>47</v>
      </c>
      <c r="D172" s="7" t="n">
        <v>23</v>
      </c>
      <c r="E172" s="7" t="s">
        <v>82</v>
      </c>
      <c r="F172" s="7" t="s">
        <v>74</v>
      </c>
      <c r="G172" s="8" t="n">
        <v>45679</v>
      </c>
      <c r="H172" s="8" t="n">
        <v>45715</v>
      </c>
      <c r="I172" s="7" t="s">
        <v>62</v>
      </c>
      <c r="J172" s="7" t="s">
        <v>51</v>
      </c>
      <c r="K172" s="7" t="n">
        <v>36</v>
      </c>
      <c r="L172" s="7" t="n">
        <v>1</v>
      </c>
      <c r="M172" s="7" t="n">
        <v>0</v>
      </c>
      <c r="N172" s="7" t="s">
        <v>42</v>
      </c>
      <c r="O172" s="7" t="s">
        <v>52</v>
      </c>
      <c r="P172" s="7" t="n">
        <v>13.1</v>
      </c>
      <c r="Q172" s="7" t="n">
        <v>31</v>
      </c>
      <c r="R172" s="7" t="s">
        <v>53</v>
      </c>
      <c r="S172" s="7"/>
      <c r="T172" s="7"/>
      <c r="U172" s="7" t="str">
        <f aca="false">IF(COUNTIF($A$2:$A$5001,A172)&gt;1,"Duplicate","Unique")</f>
        <v>Unique</v>
      </c>
      <c r="V172" s="7" t="str">
        <f aca="false">IF(COUNTIFS($B$2:$B$5001,B172,$H$2:$H$5001,H172,$J$2:$J$5001,J172)&gt;1,"Possible Duplicate Booking","Unique")</f>
        <v>Unique</v>
      </c>
      <c r="W172" s="7" t="str">
        <f aca="false">IF((H172-G172)&lt;&gt;K172,"Mismatch","OK")</f>
        <v>OK</v>
      </c>
      <c r="X172" s="7" t="str">
        <f aca="false">IF(TEXT(H172,"dddd")&lt;&gt;I172,"Mismatch","OK")</f>
        <v>OK</v>
      </c>
      <c r="Y172" s="7" t="str">
        <f aca="false">IF(AND(N172="No",O172&lt;&gt;""),"Unexpected: channel present but no reminder sent",IF(AND(N172="Yes",O172=""),"Missing channel for sent reminder","OK"))</f>
        <v>OK</v>
      </c>
    </row>
    <row r="173" customFormat="false" ht="15" hidden="false" customHeight="false" outlineLevel="0" collapsed="false">
      <c r="A173" s="9" t="s">
        <v>404</v>
      </c>
      <c r="B173" s="9" t="s">
        <v>405</v>
      </c>
      <c r="C173" s="9" t="s">
        <v>37</v>
      </c>
      <c r="D173" s="9" t="n">
        <v>44</v>
      </c>
      <c r="E173" s="9" t="s">
        <v>38</v>
      </c>
      <c r="F173" s="9" t="s">
        <v>57</v>
      </c>
      <c r="G173" s="10" t="n">
        <v>45680</v>
      </c>
      <c r="H173" s="10" t="n">
        <v>45707</v>
      </c>
      <c r="I173" s="9" t="s">
        <v>58</v>
      </c>
      <c r="J173" s="9" t="s">
        <v>63</v>
      </c>
      <c r="K173" s="9" t="n">
        <v>27</v>
      </c>
      <c r="L173" s="9" t="n">
        <v>4</v>
      </c>
      <c r="M173" s="9" t="n">
        <v>1</v>
      </c>
      <c r="N173" s="9" t="s">
        <v>42</v>
      </c>
      <c r="O173" s="9" t="s">
        <v>52</v>
      </c>
      <c r="P173" s="9" t="n">
        <v>17.6</v>
      </c>
      <c r="Q173" s="9" t="n">
        <v>29</v>
      </c>
      <c r="R173" s="9" t="s">
        <v>44</v>
      </c>
      <c r="S173" s="9"/>
      <c r="T173" s="9"/>
      <c r="U173" s="9" t="str">
        <f aca="false">IF(COUNTIF($A$2:$A$5001,A173)&gt;1,"Duplicate","Unique")</f>
        <v>Unique</v>
      </c>
      <c r="V173" s="9" t="str">
        <f aca="false">IF(COUNTIFS($B$2:$B$5001,B173,$H$2:$H$5001,H173,$J$2:$J$5001,J173)&gt;1,"Possible Duplicate Booking","Unique")</f>
        <v>Unique</v>
      </c>
      <c r="W173" s="9" t="str">
        <f aca="false">IF((H173-G173)&lt;&gt;K173,"Mismatch","OK")</f>
        <v>OK</v>
      </c>
      <c r="X173" s="9" t="str">
        <f aca="false">IF(TEXT(H173,"dddd")&lt;&gt;I173,"Mismatch","OK")</f>
        <v>OK</v>
      </c>
      <c r="Y173" s="9" t="str">
        <f aca="false">IF(AND(N173="No",O173&lt;&gt;""),"Unexpected: channel present but no reminder sent",IF(AND(N173="Yes",O173=""),"Missing channel for sent reminder","OK"))</f>
        <v>OK</v>
      </c>
    </row>
    <row r="174" customFormat="false" ht="15" hidden="false" customHeight="false" outlineLevel="0" collapsed="false">
      <c r="A174" s="7" t="s">
        <v>406</v>
      </c>
      <c r="B174" s="7" t="s">
        <v>407</v>
      </c>
      <c r="C174" s="7" t="s">
        <v>37</v>
      </c>
      <c r="D174" s="7" t="n">
        <v>50</v>
      </c>
      <c r="E174" s="7" t="s">
        <v>56</v>
      </c>
      <c r="F174" s="7" t="s">
        <v>74</v>
      </c>
      <c r="G174" s="8" t="n">
        <v>46027</v>
      </c>
      <c r="H174" s="8" t="n">
        <v>46079</v>
      </c>
      <c r="I174" s="7" t="s">
        <v>62</v>
      </c>
      <c r="J174" s="7" t="s">
        <v>51</v>
      </c>
      <c r="K174" s="7" t="n">
        <v>52</v>
      </c>
      <c r="L174" s="7" t="n">
        <v>4</v>
      </c>
      <c r="M174" s="7" t="n">
        <v>0</v>
      </c>
      <c r="N174" s="7" t="s">
        <v>42</v>
      </c>
      <c r="O174" s="7" t="s">
        <v>43</v>
      </c>
      <c r="P174" s="7" t="n">
        <v>3.9</v>
      </c>
      <c r="Q174" s="7" t="n">
        <v>37</v>
      </c>
      <c r="R174" s="7" t="s">
        <v>53</v>
      </c>
      <c r="S174" s="7"/>
      <c r="T174" s="7"/>
      <c r="U174" s="7" t="str">
        <f aca="false">IF(COUNTIF($A$2:$A$5001,A174)&gt;1,"Duplicate","Unique")</f>
        <v>Unique</v>
      </c>
      <c r="V174" s="7" t="str">
        <f aca="false">IF(COUNTIFS($B$2:$B$5001,B174,$H$2:$H$5001,H174,$J$2:$J$5001,J174)&gt;1,"Possible Duplicate Booking","Unique")</f>
        <v>Unique</v>
      </c>
      <c r="W174" s="7" t="str">
        <f aca="false">IF((H174-G174)&lt;&gt;K174,"Mismatch","OK")</f>
        <v>OK</v>
      </c>
      <c r="X174" s="7" t="str">
        <f aca="false">IF(TEXT(H174,"dddd")&lt;&gt;I174,"Mismatch","OK")</f>
        <v>OK</v>
      </c>
      <c r="Y174" s="7" t="str">
        <f aca="false">IF(AND(N174="No",O174&lt;&gt;""),"Unexpected: channel present but no reminder sent",IF(AND(N174="Yes",O174=""),"Missing channel for sent reminder","OK"))</f>
        <v>OK</v>
      </c>
    </row>
    <row r="175" customFormat="false" ht="15" hidden="false" customHeight="false" outlineLevel="0" collapsed="false">
      <c r="A175" s="9" t="s">
        <v>408</v>
      </c>
      <c r="B175" s="9" t="s">
        <v>409</v>
      </c>
      <c r="C175" s="9" t="s">
        <v>37</v>
      </c>
      <c r="D175" s="9" t="n">
        <v>67</v>
      </c>
      <c r="E175" s="9" t="s">
        <v>70</v>
      </c>
      <c r="F175" s="9" t="s">
        <v>57</v>
      </c>
      <c r="G175" s="10" t="n">
        <v>46032</v>
      </c>
      <c r="H175" s="10" t="n">
        <v>46052</v>
      </c>
      <c r="I175" s="9" t="s">
        <v>50</v>
      </c>
      <c r="J175" s="9" t="s">
        <v>41</v>
      </c>
      <c r="K175" s="9" t="n">
        <v>20</v>
      </c>
      <c r="L175" s="9" t="n">
        <v>5</v>
      </c>
      <c r="M175" s="9" t="n">
        <v>1</v>
      </c>
      <c r="N175" s="9" t="s">
        <v>42</v>
      </c>
      <c r="O175" s="9" t="s">
        <v>52</v>
      </c>
      <c r="P175" s="9" t="n">
        <v>5.9</v>
      </c>
      <c r="Q175" s="9" t="n">
        <v>23</v>
      </c>
      <c r="R175" s="9" t="s">
        <v>44</v>
      </c>
      <c r="S175" s="9"/>
      <c r="T175" s="9"/>
      <c r="U175" s="9" t="str">
        <f aca="false">IF(COUNTIF($A$2:$A$5001,A175)&gt;1,"Duplicate","Unique")</f>
        <v>Unique</v>
      </c>
      <c r="V175" s="9" t="str">
        <f aca="false">IF(COUNTIFS($B$2:$B$5001,B175,$H$2:$H$5001,H175,$J$2:$J$5001,J175)&gt;1,"Possible Duplicate Booking","Unique")</f>
        <v>Unique</v>
      </c>
      <c r="W175" s="9" t="str">
        <f aca="false">IF((H175-G175)&lt;&gt;K175,"Mismatch","OK")</f>
        <v>OK</v>
      </c>
      <c r="X175" s="9" t="str">
        <f aca="false">IF(TEXT(H175,"dddd")&lt;&gt;I175,"Mismatch","OK")</f>
        <v>OK</v>
      </c>
      <c r="Y175" s="9" t="str">
        <f aca="false">IF(AND(N175="No",O175&lt;&gt;""),"Unexpected: channel present but no reminder sent",IF(AND(N175="Yes",O175=""),"Missing channel for sent reminder","OK"))</f>
        <v>OK</v>
      </c>
    </row>
    <row r="176" customFormat="false" ht="15" hidden="false" customHeight="false" outlineLevel="0" collapsed="false">
      <c r="A176" s="7" t="s">
        <v>410</v>
      </c>
      <c r="B176" s="7" t="s">
        <v>411</v>
      </c>
      <c r="C176" s="7" t="s">
        <v>47</v>
      </c>
      <c r="D176" s="7" t="n">
        <v>80</v>
      </c>
      <c r="E176" s="7" t="s">
        <v>70</v>
      </c>
      <c r="F176" s="7" t="s">
        <v>39</v>
      </c>
      <c r="G176" s="8" t="n">
        <v>46026</v>
      </c>
      <c r="H176" s="8" t="n">
        <v>46038</v>
      </c>
      <c r="I176" s="7" t="s">
        <v>50</v>
      </c>
      <c r="J176" s="7" t="s">
        <v>51</v>
      </c>
      <c r="K176" s="7" t="n">
        <v>12</v>
      </c>
      <c r="L176" s="7" t="n">
        <v>2</v>
      </c>
      <c r="M176" s="7" t="n">
        <v>1</v>
      </c>
      <c r="N176" s="7" t="s">
        <v>42</v>
      </c>
      <c r="O176" s="7" t="s">
        <v>43</v>
      </c>
      <c r="P176" s="7" t="n">
        <v>17.6</v>
      </c>
      <c r="Q176" s="7" t="n">
        <v>35</v>
      </c>
      <c r="R176" s="7" t="s">
        <v>53</v>
      </c>
      <c r="S176" s="7"/>
      <c r="T176" s="7"/>
      <c r="U176" s="7" t="str">
        <f aca="false">IF(COUNTIF($A$2:$A$5001,A176)&gt;1,"Duplicate","Unique")</f>
        <v>Unique</v>
      </c>
      <c r="V176" s="7" t="str">
        <f aca="false">IF(COUNTIFS($B$2:$B$5001,B176,$H$2:$H$5001,H176,$J$2:$J$5001,J176)&gt;1,"Possible Duplicate Booking","Unique")</f>
        <v>Unique</v>
      </c>
      <c r="W176" s="7" t="str">
        <f aca="false">IF((H176-G176)&lt;&gt;K176,"Mismatch","OK")</f>
        <v>OK</v>
      </c>
      <c r="X176" s="7" t="str">
        <f aca="false">IF(TEXT(H176,"dddd")&lt;&gt;I176,"Mismatch","OK")</f>
        <v>OK</v>
      </c>
      <c r="Y176" s="7" t="str">
        <f aca="false">IF(AND(N176="No",O176&lt;&gt;""),"Unexpected: channel present but no reminder sent",IF(AND(N176="Yes",O176=""),"Missing channel for sent reminder","OK"))</f>
        <v>OK</v>
      </c>
    </row>
    <row r="177" customFormat="false" ht="15" hidden="false" customHeight="false" outlineLevel="0" collapsed="false">
      <c r="A177" s="9" t="s">
        <v>412</v>
      </c>
      <c r="B177" s="9" t="s">
        <v>413</v>
      </c>
      <c r="C177" s="9" t="s">
        <v>37</v>
      </c>
      <c r="D177" s="9" t="n">
        <v>44</v>
      </c>
      <c r="E177" s="9" t="s">
        <v>38</v>
      </c>
      <c r="F177" s="9" t="s">
        <v>39</v>
      </c>
      <c r="G177" s="10" t="n">
        <v>45900</v>
      </c>
      <c r="H177" s="10" t="n">
        <v>45910</v>
      </c>
      <c r="I177" s="9" t="s">
        <v>58</v>
      </c>
      <c r="J177" s="9" t="s">
        <v>51</v>
      </c>
      <c r="K177" s="9" t="n">
        <v>10</v>
      </c>
      <c r="L177" s="9" t="n">
        <v>3</v>
      </c>
      <c r="M177" s="9" t="n">
        <v>2</v>
      </c>
      <c r="N177" s="9" t="s">
        <v>42</v>
      </c>
      <c r="O177" s="9" t="s">
        <v>52</v>
      </c>
      <c r="P177" s="9" t="n">
        <v>5</v>
      </c>
      <c r="Q177" s="9" t="n">
        <v>11</v>
      </c>
      <c r="R177" s="9" t="s">
        <v>53</v>
      </c>
      <c r="S177" s="9"/>
      <c r="T177" s="9"/>
      <c r="U177" s="9" t="str">
        <f aca="false">IF(COUNTIF($A$2:$A$5001,A177)&gt;1,"Duplicate","Unique")</f>
        <v>Unique</v>
      </c>
      <c r="V177" s="9" t="str">
        <f aca="false">IF(COUNTIFS($B$2:$B$5001,B177,$H$2:$H$5001,H177,$J$2:$J$5001,J177)&gt;1,"Possible Duplicate Booking","Unique")</f>
        <v>Unique</v>
      </c>
      <c r="W177" s="9" t="str">
        <f aca="false">IF((H177-G177)&lt;&gt;K177,"Mismatch","OK")</f>
        <v>OK</v>
      </c>
      <c r="X177" s="9" t="str">
        <f aca="false">IF(TEXT(H177,"dddd")&lt;&gt;I177,"Mismatch","OK")</f>
        <v>OK</v>
      </c>
      <c r="Y177" s="9" t="str">
        <f aca="false">IF(AND(N177="No",O177&lt;&gt;""),"Unexpected: channel present but no reminder sent",IF(AND(N177="Yes",O177=""),"Missing channel for sent reminder","OK"))</f>
        <v>OK</v>
      </c>
    </row>
    <row r="178" customFormat="false" ht="15" hidden="false" customHeight="false" outlineLevel="0" collapsed="false">
      <c r="A178" s="7" t="s">
        <v>414</v>
      </c>
      <c r="B178" s="7" t="s">
        <v>415</v>
      </c>
      <c r="C178" s="7" t="s">
        <v>47</v>
      </c>
      <c r="D178" s="7" t="n">
        <v>65</v>
      </c>
      <c r="E178" s="7" t="s">
        <v>70</v>
      </c>
      <c r="F178" s="7" t="s">
        <v>57</v>
      </c>
      <c r="G178" s="8" t="n">
        <v>46037</v>
      </c>
      <c r="H178" s="8" t="n">
        <v>46049</v>
      </c>
      <c r="I178" s="7" t="s">
        <v>40</v>
      </c>
      <c r="J178" s="7" t="s">
        <v>51</v>
      </c>
      <c r="K178" s="7" t="n">
        <v>12</v>
      </c>
      <c r="L178" s="7" t="n">
        <v>2</v>
      </c>
      <c r="M178" s="7" t="n">
        <v>0</v>
      </c>
      <c r="N178" s="7" t="s">
        <v>42</v>
      </c>
      <c r="O178" s="7" t="s">
        <v>67</v>
      </c>
      <c r="P178" s="7"/>
      <c r="Q178" s="7" t="n">
        <v>28</v>
      </c>
      <c r="R178" s="7" t="s">
        <v>44</v>
      </c>
      <c r="S178" s="7"/>
      <c r="T178" s="7"/>
      <c r="U178" s="7" t="str">
        <f aca="false">IF(COUNTIF($A$2:$A$5001,A178)&gt;1,"Duplicate","Unique")</f>
        <v>Unique</v>
      </c>
      <c r="V178" s="7" t="str">
        <f aca="false">IF(COUNTIFS($B$2:$B$5001,B178,$H$2:$H$5001,H178,$J$2:$J$5001,J178)&gt;1,"Possible Duplicate Booking","Unique")</f>
        <v>Unique</v>
      </c>
      <c r="W178" s="7" t="str">
        <f aca="false">IF((H178-G178)&lt;&gt;K178,"Mismatch","OK")</f>
        <v>OK</v>
      </c>
      <c r="X178" s="7" t="str">
        <f aca="false">IF(TEXT(H178,"dddd")&lt;&gt;I178,"Mismatch","OK")</f>
        <v>OK</v>
      </c>
      <c r="Y178" s="7" t="str">
        <f aca="false">IF(AND(N178="No",O178&lt;&gt;""),"Unexpected: channel present but no reminder sent",IF(AND(N178="Yes",O178=""),"Missing channel for sent reminder","OK"))</f>
        <v>OK</v>
      </c>
    </row>
    <row r="179" customFormat="false" ht="15" hidden="false" customHeight="false" outlineLevel="0" collapsed="false">
      <c r="A179" s="9" t="s">
        <v>416</v>
      </c>
      <c r="B179" s="9" t="s">
        <v>417</v>
      </c>
      <c r="C179" s="9" t="s">
        <v>47</v>
      </c>
      <c r="D179" s="9" t="n">
        <v>77</v>
      </c>
      <c r="E179" s="9" t="s">
        <v>70</v>
      </c>
      <c r="F179" s="9" t="s">
        <v>74</v>
      </c>
      <c r="G179" s="10" t="n">
        <v>45719</v>
      </c>
      <c r="H179" s="10" t="n">
        <v>45746</v>
      </c>
      <c r="I179" s="9" t="s">
        <v>75</v>
      </c>
      <c r="J179" s="9" t="s">
        <v>41</v>
      </c>
      <c r="K179" s="9" t="n">
        <v>27</v>
      </c>
      <c r="L179" s="9" t="n">
        <v>7</v>
      </c>
      <c r="M179" s="9" t="n">
        <v>0</v>
      </c>
      <c r="N179" s="9" t="s">
        <v>42</v>
      </c>
      <c r="O179" s="9" t="s">
        <v>52</v>
      </c>
      <c r="P179" s="9" t="n">
        <v>21.7</v>
      </c>
      <c r="Q179" s="9" t="n">
        <v>28</v>
      </c>
      <c r="R179" s="9" t="s">
        <v>53</v>
      </c>
      <c r="S179" s="9"/>
      <c r="T179" s="9"/>
      <c r="U179" s="9" t="str">
        <f aca="false">IF(COUNTIF($A$2:$A$5001,A179)&gt;1,"Duplicate","Unique")</f>
        <v>Unique</v>
      </c>
      <c r="V179" s="9" t="str">
        <f aca="false">IF(COUNTIFS($B$2:$B$5001,B179,$H$2:$H$5001,H179,$J$2:$J$5001,J179)&gt;1,"Possible Duplicate Booking","Unique")</f>
        <v>Unique</v>
      </c>
      <c r="W179" s="9" t="str">
        <f aca="false">IF((H179-G179)&lt;&gt;K179,"Mismatch","OK")</f>
        <v>OK</v>
      </c>
      <c r="X179" s="9" t="str">
        <f aca="false">IF(TEXT(H179,"dddd")&lt;&gt;I179,"Mismatch","OK")</f>
        <v>OK</v>
      </c>
      <c r="Y179" s="9" t="str">
        <f aca="false">IF(AND(N179="No",O179&lt;&gt;""),"Unexpected: channel present but no reminder sent",IF(AND(N179="Yes",O179=""),"Missing channel for sent reminder","OK"))</f>
        <v>OK</v>
      </c>
    </row>
    <row r="180" customFormat="false" ht="15" hidden="false" customHeight="false" outlineLevel="0" collapsed="false">
      <c r="A180" s="7" t="s">
        <v>418</v>
      </c>
      <c r="B180" s="7" t="s">
        <v>419</v>
      </c>
      <c r="C180" s="7" t="s">
        <v>47</v>
      </c>
      <c r="D180" s="7" t="n">
        <v>70</v>
      </c>
      <c r="E180" s="7" t="s">
        <v>70</v>
      </c>
      <c r="F180" s="7" t="s">
        <v>74</v>
      </c>
      <c r="G180" s="8" t="n">
        <v>46144</v>
      </c>
      <c r="H180" s="8" t="n">
        <v>46149</v>
      </c>
      <c r="I180" s="7" t="s">
        <v>62</v>
      </c>
      <c r="J180" s="7" t="s">
        <v>51</v>
      </c>
      <c r="K180" s="7" t="n">
        <v>5</v>
      </c>
      <c r="L180" s="7" t="n">
        <v>3</v>
      </c>
      <c r="M180" s="7" t="n">
        <v>1</v>
      </c>
      <c r="N180" s="7" t="s">
        <v>42</v>
      </c>
      <c r="O180" s="7" t="s">
        <v>43</v>
      </c>
      <c r="P180" s="7" t="n">
        <v>24.5</v>
      </c>
      <c r="Q180" s="7" t="n">
        <v>50</v>
      </c>
      <c r="R180" s="7" t="s">
        <v>44</v>
      </c>
      <c r="S180" s="7"/>
      <c r="T180" s="7"/>
      <c r="U180" s="7" t="str">
        <f aca="false">IF(COUNTIF($A$2:$A$5001,A180)&gt;1,"Duplicate","Unique")</f>
        <v>Unique</v>
      </c>
      <c r="V180" s="7" t="str">
        <f aca="false">IF(COUNTIFS($B$2:$B$5001,B180,$H$2:$H$5001,H180,$J$2:$J$5001,J180)&gt;1,"Possible Duplicate Booking","Unique")</f>
        <v>Unique</v>
      </c>
      <c r="W180" s="7" t="str">
        <f aca="false">IF((H180-G180)&lt;&gt;K180,"Mismatch","OK")</f>
        <v>OK</v>
      </c>
      <c r="X180" s="7" t="str">
        <f aca="false">IF(TEXT(H180,"dddd")&lt;&gt;I180,"Mismatch","OK")</f>
        <v>OK</v>
      </c>
      <c r="Y180" s="7" t="str">
        <f aca="false">IF(AND(N180="No",O180&lt;&gt;""),"Unexpected: channel present but no reminder sent",IF(AND(N180="Yes",O180=""),"Missing channel for sent reminder","OK"))</f>
        <v>OK</v>
      </c>
    </row>
    <row r="181" customFormat="false" ht="15" hidden="false" customHeight="false" outlineLevel="0" collapsed="false">
      <c r="A181" s="9" t="s">
        <v>420</v>
      </c>
      <c r="B181" s="9" t="s">
        <v>421</v>
      </c>
      <c r="C181" s="9" t="s">
        <v>37</v>
      </c>
      <c r="D181" s="9" t="n">
        <v>36</v>
      </c>
      <c r="E181" s="9" t="s">
        <v>38</v>
      </c>
      <c r="F181" s="9" t="s">
        <v>74</v>
      </c>
      <c r="G181" s="10" t="n">
        <v>45907</v>
      </c>
      <c r="H181" s="10" t="n">
        <v>45931</v>
      </c>
      <c r="I181" s="9" t="s">
        <v>58</v>
      </c>
      <c r="J181" s="9" t="s">
        <v>41</v>
      </c>
      <c r="K181" s="9" t="n">
        <v>24</v>
      </c>
      <c r="L181" s="9" t="n">
        <v>5</v>
      </c>
      <c r="M181" s="9" t="n">
        <v>1</v>
      </c>
      <c r="N181" s="9" t="s">
        <v>42</v>
      </c>
      <c r="O181" s="9" t="s">
        <v>52</v>
      </c>
      <c r="P181" s="9" t="n">
        <v>9.8</v>
      </c>
      <c r="Q181" s="9" t="n">
        <v>17</v>
      </c>
      <c r="R181" s="9" t="s">
        <v>53</v>
      </c>
      <c r="S181" s="9"/>
      <c r="T181" s="9"/>
      <c r="U181" s="9" t="str">
        <f aca="false">IF(COUNTIF($A$2:$A$5001,A181)&gt;1,"Duplicate","Unique")</f>
        <v>Unique</v>
      </c>
      <c r="V181" s="9" t="str">
        <f aca="false">IF(COUNTIFS($B$2:$B$5001,B181,$H$2:$H$5001,H181,$J$2:$J$5001,J181)&gt;1,"Possible Duplicate Booking","Unique")</f>
        <v>Unique</v>
      </c>
      <c r="W181" s="9" t="str">
        <f aca="false">IF((H181-G181)&lt;&gt;K181,"Mismatch","OK")</f>
        <v>OK</v>
      </c>
      <c r="X181" s="9" t="str">
        <f aca="false">IF(TEXT(H181,"dddd")&lt;&gt;I181,"Mismatch","OK")</f>
        <v>OK</v>
      </c>
      <c r="Y181" s="9" t="str">
        <f aca="false">IF(AND(N181="No",O181&lt;&gt;""),"Unexpected: channel present but no reminder sent",IF(AND(N181="Yes",O181=""),"Missing channel for sent reminder","OK"))</f>
        <v>OK</v>
      </c>
    </row>
    <row r="182" customFormat="false" ht="15" hidden="false" customHeight="false" outlineLevel="0" collapsed="false">
      <c r="A182" s="7" t="s">
        <v>422</v>
      </c>
      <c r="B182" s="7" t="s">
        <v>423</v>
      </c>
      <c r="C182" s="7" t="s">
        <v>47</v>
      </c>
      <c r="D182" s="7" t="n">
        <v>69</v>
      </c>
      <c r="E182" s="7" t="s">
        <v>70</v>
      </c>
      <c r="F182" s="7" t="s">
        <v>74</v>
      </c>
      <c r="G182" s="8" t="n">
        <v>46118</v>
      </c>
      <c r="H182" s="8" t="n">
        <v>46170</v>
      </c>
      <c r="I182" s="7" t="s">
        <v>62</v>
      </c>
      <c r="J182" s="7" t="s">
        <v>63</v>
      </c>
      <c r="K182" s="7" t="n">
        <v>52</v>
      </c>
      <c r="L182" s="7" t="n">
        <v>3</v>
      </c>
      <c r="M182" s="7" t="n">
        <v>1</v>
      </c>
      <c r="N182" s="7" t="s">
        <v>42</v>
      </c>
      <c r="O182" s="7" t="s">
        <v>52</v>
      </c>
      <c r="P182" s="7" t="n">
        <v>9.3</v>
      </c>
      <c r="Q182" s="7" t="n">
        <v>11</v>
      </c>
      <c r="R182" s="7" t="s">
        <v>87</v>
      </c>
      <c r="S182" s="7"/>
      <c r="T182" s="7"/>
      <c r="U182" s="7" t="str">
        <f aca="false">IF(COUNTIF($A$2:$A$5001,A182)&gt;1,"Duplicate","Unique")</f>
        <v>Unique</v>
      </c>
      <c r="V182" s="7" t="str">
        <f aca="false">IF(COUNTIFS($B$2:$B$5001,B182,$H$2:$H$5001,H182,$J$2:$J$5001,J182)&gt;1,"Possible Duplicate Booking","Unique")</f>
        <v>Unique</v>
      </c>
      <c r="W182" s="7" t="str">
        <f aca="false">IF((H182-G182)&lt;&gt;K182,"Mismatch","OK")</f>
        <v>OK</v>
      </c>
      <c r="X182" s="7" t="str">
        <f aca="false">IF(TEXT(H182,"dddd")&lt;&gt;I182,"Mismatch","OK")</f>
        <v>OK</v>
      </c>
      <c r="Y182" s="7" t="str">
        <f aca="false">IF(AND(N182="No",O182&lt;&gt;""),"Unexpected: channel present but no reminder sent",IF(AND(N182="Yes",O182=""),"Missing channel for sent reminder","OK"))</f>
        <v>OK</v>
      </c>
    </row>
    <row r="183" customFormat="false" ht="15" hidden="false" customHeight="false" outlineLevel="0" collapsed="false">
      <c r="A183" s="9" t="s">
        <v>424</v>
      </c>
      <c r="B183" s="9" t="s">
        <v>425</v>
      </c>
      <c r="C183" s="9" t="s">
        <v>37</v>
      </c>
      <c r="D183" s="9" t="n">
        <v>43</v>
      </c>
      <c r="E183" s="9" t="s">
        <v>38</v>
      </c>
      <c r="F183" s="9" t="s">
        <v>39</v>
      </c>
      <c r="G183" s="10" t="n">
        <v>45695</v>
      </c>
      <c r="H183" s="10" t="n">
        <v>45741</v>
      </c>
      <c r="I183" s="9" t="s">
        <v>40</v>
      </c>
      <c r="J183" s="9" t="s">
        <v>51</v>
      </c>
      <c r="K183" s="9" t="n">
        <v>46</v>
      </c>
      <c r="L183" s="9" t="n">
        <v>2</v>
      </c>
      <c r="M183" s="9" t="n">
        <v>1</v>
      </c>
      <c r="N183" s="9" t="s">
        <v>42</v>
      </c>
      <c r="O183" s="9" t="s">
        <v>43</v>
      </c>
      <c r="P183" s="9" t="n">
        <v>24.9</v>
      </c>
      <c r="Q183" s="9" t="n">
        <v>16</v>
      </c>
      <c r="R183" s="9" t="s">
        <v>44</v>
      </c>
      <c r="S183" s="9"/>
      <c r="T183" s="9"/>
      <c r="U183" s="9" t="str">
        <f aca="false">IF(COUNTIF($A$2:$A$5001,A183)&gt;1,"Duplicate","Unique")</f>
        <v>Unique</v>
      </c>
      <c r="V183" s="9" t="str">
        <f aca="false">IF(COUNTIFS($B$2:$B$5001,B183,$H$2:$H$5001,H183,$J$2:$J$5001,J183)&gt;1,"Possible Duplicate Booking","Unique")</f>
        <v>Unique</v>
      </c>
      <c r="W183" s="9" t="str">
        <f aca="false">IF((H183-G183)&lt;&gt;K183,"Mismatch","OK")</f>
        <v>OK</v>
      </c>
      <c r="X183" s="9" t="str">
        <f aca="false">IF(TEXT(H183,"dddd")&lt;&gt;I183,"Mismatch","OK")</f>
        <v>OK</v>
      </c>
      <c r="Y183" s="9" t="str">
        <f aca="false">IF(AND(N183="No",O183&lt;&gt;""),"Unexpected: channel present but no reminder sent",IF(AND(N183="Yes",O183=""),"Missing channel for sent reminder","OK"))</f>
        <v>OK</v>
      </c>
    </row>
    <row r="184" customFormat="false" ht="15" hidden="false" customHeight="false" outlineLevel="0" collapsed="false">
      <c r="A184" s="7" t="s">
        <v>426</v>
      </c>
      <c r="B184" s="7" t="s">
        <v>427</v>
      </c>
      <c r="C184" s="7" t="s">
        <v>37</v>
      </c>
      <c r="D184" s="7" t="n">
        <v>19</v>
      </c>
      <c r="E184" s="7" t="s">
        <v>82</v>
      </c>
      <c r="F184" s="7" t="s">
        <v>39</v>
      </c>
      <c r="G184" s="8" t="n">
        <v>45891</v>
      </c>
      <c r="H184" s="8" t="n">
        <v>45929</v>
      </c>
      <c r="I184" s="7" t="s">
        <v>66</v>
      </c>
      <c r="J184" s="7" t="s">
        <v>51</v>
      </c>
      <c r="K184" s="7" t="n">
        <v>38</v>
      </c>
      <c r="L184" s="7" t="n">
        <v>2</v>
      </c>
      <c r="M184" s="7" t="n">
        <v>0</v>
      </c>
      <c r="N184" s="7" t="s">
        <v>42</v>
      </c>
      <c r="O184" s="7" t="s">
        <v>67</v>
      </c>
      <c r="P184" s="7" t="n">
        <v>18.2</v>
      </c>
      <c r="Q184" s="7" t="n">
        <v>17</v>
      </c>
      <c r="R184" s="7" t="s">
        <v>53</v>
      </c>
      <c r="S184" s="7"/>
      <c r="T184" s="7"/>
      <c r="U184" s="7" t="str">
        <f aca="false">IF(COUNTIF($A$2:$A$5001,A184)&gt;1,"Duplicate","Unique")</f>
        <v>Unique</v>
      </c>
      <c r="V184" s="7" t="str">
        <f aca="false">IF(COUNTIFS($B$2:$B$5001,B184,$H$2:$H$5001,H184,$J$2:$J$5001,J184)&gt;1,"Possible Duplicate Booking","Unique")</f>
        <v>Unique</v>
      </c>
      <c r="W184" s="7" t="str">
        <f aca="false">IF((H184-G184)&lt;&gt;K184,"Mismatch","OK")</f>
        <v>OK</v>
      </c>
      <c r="X184" s="7" t="str">
        <f aca="false">IF(TEXT(H184,"dddd")&lt;&gt;I184,"Mismatch","OK")</f>
        <v>OK</v>
      </c>
      <c r="Y184" s="7" t="str">
        <f aca="false">IF(AND(N184="No",O184&lt;&gt;""),"Unexpected: channel present but no reminder sent",IF(AND(N184="Yes",O184=""),"Missing channel for sent reminder","OK"))</f>
        <v>OK</v>
      </c>
    </row>
    <row r="185" customFormat="false" ht="15" hidden="false" customHeight="false" outlineLevel="0" collapsed="false">
      <c r="A185" s="9" t="s">
        <v>428</v>
      </c>
      <c r="B185" s="9" t="s">
        <v>429</v>
      </c>
      <c r="C185" s="9" t="s">
        <v>47</v>
      </c>
      <c r="D185" s="9" t="n">
        <v>65</v>
      </c>
      <c r="E185" s="9" t="s">
        <v>70</v>
      </c>
      <c r="F185" s="9" t="s">
        <v>49</v>
      </c>
      <c r="G185" s="10" t="n">
        <v>45984</v>
      </c>
      <c r="H185" s="10" t="n">
        <v>46038</v>
      </c>
      <c r="I185" s="9" t="s">
        <v>50</v>
      </c>
      <c r="J185" s="9" t="s">
        <v>51</v>
      </c>
      <c r="K185" s="9" t="n">
        <v>54</v>
      </c>
      <c r="L185" s="9" t="n">
        <v>4</v>
      </c>
      <c r="M185" s="9" t="n">
        <v>0</v>
      </c>
      <c r="N185" s="9" t="s">
        <v>42</v>
      </c>
      <c r="O185" s="9" t="s">
        <v>52</v>
      </c>
      <c r="P185" s="9" t="n">
        <v>25.4</v>
      </c>
      <c r="Q185" s="9" t="n">
        <v>29</v>
      </c>
      <c r="R185" s="9" t="s">
        <v>87</v>
      </c>
      <c r="S185" s="9"/>
      <c r="T185" s="9"/>
      <c r="U185" s="9" t="str">
        <f aca="false">IF(COUNTIF($A$2:$A$5001,A185)&gt;1,"Duplicate","Unique")</f>
        <v>Unique</v>
      </c>
      <c r="V185" s="9" t="str">
        <f aca="false">IF(COUNTIFS($B$2:$B$5001,B185,$H$2:$H$5001,H185,$J$2:$J$5001,J185)&gt;1,"Possible Duplicate Booking","Unique")</f>
        <v>Unique</v>
      </c>
      <c r="W185" s="9" t="str">
        <f aca="false">IF((H185-G185)&lt;&gt;K185,"Mismatch","OK")</f>
        <v>OK</v>
      </c>
      <c r="X185" s="9" t="str">
        <f aca="false">IF(TEXT(H185,"dddd")&lt;&gt;I185,"Mismatch","OK")</f>
        <v>OK</v>
      </c>
      <c r="Y185" s="9" t="str">
        <f aca="false">IF(AND(N185="No",O185&lt;&gt;""),"Unexpected: channel present but no reminder sent",IF(AND(N185="Yes",O185=""),"Missing channel for sent reminder","OK"))</f>
        <v>OK</v>
      </c>
    </row>
    <row r="186" customFormat="false" ht="15" hidden="false" customHeight="false" outlineLevel="0" collapsed="false">
      <c r="A186" s="7" t="s">
        <v>430</v>
      </c>
      <c r="B186" s="7" t="s">
        <v>431</v>
      </c>
      <c r="C186" s="7" t="s">
        <v>47</v>
      </c>
      <c r="D186" s="7" t="n">
        <v>70</v>
      </c>
      <c r="E186" s="7" t="s">
        <v>70</v>
      </c>
      <c r="F186" s="7" t="s">
        <v>57</v>
      </c>
      <c r="G186" s="8" t="n">
        <v>45881</v>
      </c>
      <c r="H186" s="8" t="n">
        <v>45928</v>
      </c>
      <c r="I186" s="7" t="s">
        <v>75</v>
      </c>
      <c r="J186" s="7" t="s">
        <v>51</v>
      </c>
      <c r="K186" s="7" t="n">
        <v>47</v>
      </c>
      <c r="L186" s="7" t="n">
        <v>8</v>
      </c>
      <c r="M186" s="7" t="n">
        <v>3</v>
      </c>
      <c r="N186" s="7" t="s">
        <v>42</v>
      </c>
      <c r="O186" s="7" t="s">
        <v>52</v>
      </c>
      <c r="P186" s="7" t="n">
        <v>5.6</v>
      </c>
      <c r="Q186" s="7" t="n">
        <v>10</v>
      </c>
      <c r="R186" s="7" t="s">
        <v>44</v>
      </c>
      <c r="S186" s="7"/>
      <c r="T186" s="7"/>
      <c r="U186" s="7" t="str">
        <f aca="false">IF(COUNTIF($A$2:$A$5001,A186)&gt;1,"Duplicate","Unique")</f>
        <v>Unique</v>
      </c>
      <c r="V186" s="7" t="str">
        <f aca="false">IF(COUNTIFS($B$2:$B$5001,B186,$H$2:$H$5001,H186,$J$2:$J$5001,J186)&gt;1,"Possible Duplicate Booking","Unique")</f>
        <v>Unique</v>
      </c>
      <c r="W186" s="7" t="str">
        <f aca="false">IF((H186-G186)&lt;&gt;K186,"Mismatch","OK")</f>
        <v>OK</v>
      </c>
      <c r="X186" s="7" t="str">
        <f aca="false">IF(TEXT(H186,"dddd")&lt;&gt;I186,"Mismatch","OK")</f>
        <v>OK</v>
      </c>
      <c r="Y186" s="7" t="str">
        <f aca="false">IF(AND(N186="No",O186&lt;&gt;""),"Unexpected: channel present but no reminder sent",IF(AND(N186="Yes",O186=""),"Missing channel for sent reminder","OK"))</f>
        <v>OK</v>
      </c>
    </row>
    <row r="187" customFormat="false" ht="15" hidden="false" customHeight="false" outlineLevel="0" collapsed="false">
      <c r="A187" s="9" t="s">
        <v>432</v>
      </c>
      <c r="B187" s="9" t="s">
        <v>433</v>
      </c>
      <c r="C187" s="9" t="s">
        <v>37</v>
      </c>
      <c r="D187" s="9" t="n">
        <v>39</v>
      </c>
      <c r="E187" s="9" t="s">
        <v>38</v>
      </c>
      <c r="F187" s="9" t="s">
        <v>49</v>
      </c>
      <c r="G187" s="10" t="n">
        <v>45862</v>
      </c>
      <c r="H187" s="10" t="n">
        <v>45901</v>
      </c>
      <c r="I187" s="9" t="s">
        <v>66</v>
      </c>
      <c r="J187" s="9" t="s">
        <v>41</v>
      </c>
      <c r="K187" s="9" t="n">
        <v>39</v>
      </c>
      <c r="L187" s="9" t="n">
        <v>7</v>
      </c>
      <c r="M187" s="9" t="n">
        <v>1</v>
      </c>
      <c r="N187" s="9" t="s">
        <v>42</v>
      </c>
      <c r="O187" s="9" t="s">
        <v>52</v>
      </c>
      <c r="P187" s="9" t="n">
        <v>6.7</v>
      </c>
      <c r="Q187" s="9" t="n">
        <v>28</v>
      </c>
      <c r="R187" s="9" t="s">
        <v>44</v>
      </c>
      <c r="S187" s="9"/>
      <c r="T187" s="9"/>
      <c r="U187" s="9" t="str">
        <f aca="false">IF(COUNTIF($A$2:$A$5001,A187)&gt;1,"Duplicate","Unique")</f>
        <v>Unique</v>
      </c>
      <c r="V187" s="9" t="str">
        <f aca="false">IF(COUNTIFS($B$2:$B$5001,B187,$H$2:$H$5001,H187,$J$2:$J$5001,J187)&gt;1,"Possible Duplicate Booking","Unique")</f>
        <v>Unique</v>
      </c>
      <c r="W187" s="9" t="str">
        <f aca="false">IF((H187-G187)&lt;&gt;K187,"Mismatch","OK")</f>
        <v>OK</v>
      </c>
      <c r="X187" s="9" t="str">
        <f aca="false">IF(TEXT(H187,"dddd")&lt;&gt;I187,"Mismatch","OK")</f>
        <v>OK</v>
      </c>
      <c r="Y187" s="9" t="str">
        <f aca="false">IF(AND(N187="No",O187&lt;&gt;""),"Unexpected: channel present but no reminder sent",IF(AND(N187="Yes",O187=""),"Missing channel for sent reminder","OK"))</f>
        <v>OK</v>
      </c>
    </row>
    <row r="188" customFormat="false" ht="15" hidden="false" customHeight="false" outlineLevel="0" collapsed="false">
      <c r="A188" s="7" t="s">
        <v>434</v>
      </c>
      <c r="B188" s="7" t="s">
        <v>435</v>
      </c>
      <c r="C188" s="7" t="s">
        <v>37</v>
      </c>
      <c r="D188" s="7" t="n">
        <v>46</v>
      </c>
      <c r="E188" s="7" t="s">
        <v>56</v>
      </c>
      <c r="F188" s="7" t="s">
        <v>39</v>
      </c>
      <c r="G188" s="8" t="n">
        <v>45696</v>
      </c>
      <c r="H188" s="8" t="n">
        <v>45748</v>
      </c>
      <c r="I188" s="7" t="s">
        <v>40</v>
      </c>
      <c r="J188" s="7" t="s">
        <v>41</v>
      </c>
      <c r="K188" s="7" t="n">
        <v>52</v>
      </c>
      <c r="L188" s="7" t="n">
        <v>3</v>
      </c>
      <c r="M188" s="7" t="n">
        <v>1</v>
      </c>
      <c r="N188" s="7" t="s">
        <v>42</v>
      </c>
      <c r="O188" s="7" t="s">
        <v>43</v>
      </c>
      <c r="P188" s="7" t="n">
        <v>1.7</v>
      </c>
      <c r="Q188" s="7" t="n">
        <v>24</v>
      </c>
      <c r="R188" s="7" t="s">
        <v>44</v>
      </c>
      <c r="S188" s="7"/>
      <c r="T188" s="7"/>
      <c r="U188" s="7" t="str">
        <f aca="false">IF(COUNTIF($A$2:$A$5001,A188)&gt;1,"Duplicate","Unique")</f>
        <v>Unique</v>
      </c>
      <c r="V188" s="7" t="str">
        <f aca="false">IF(COUNTIFS($B$2:$B$5001,B188,$H$2:$H$5001,H188,$J$2:$J$5001,J188)&gt;1,"Possible Duplicate Booking","Unique")</f>
        <v>Unique</v>
      </c>
      <c r="W188" s="7" t="str">
        <f aca="false">IF((H188-G188)&lt;&gt;K188,"Mismatch","OK")</f>
        <v>OK</v>
      </c>
      <c r="X188" s="7" t="str">
        <f aca="false">IF(TEXT(H188,"dddd")&lt;&gt;I188,"Mismatch","OK")</f>
        <v>OK</v>
      </c>
      <c r="Y188" s="7" t="str">
        <f aca="false">IF(AND(N188="No",O188&lt;&gt;""),"Unexpected: channel present but no reminder sent",IF(AND(N188="Yes",O188=""),"Missing channel for sent reminder","OK"))</f>
        <v>OK</v>
      </c>
    </row>
    <row r="189" customFormat="false" ht="15" hidden="false" customHeight="false" outlineLevel="0" collapsed="false">
      <c r="A189" s="9" t="s">
        <v>436</v>
      </c>
      <c r="B189" s="9" t="s">
        <v>437</v>
      </c>
      <c r="C189" s="9" t="s">
        <v>37</v>
      </c>
      <c r="D189" s="9" t="n">
        <v>40</v>
      </c>
      <c r="E189" s="9" t="s">
        <v>38</v>
      </c>
      <c r="F189" s="9" t="s">
        <v>39</v>
      </c>
      <c r="G189" s="10" t="n">
        <v>45859</v>
      </c>
      <c r="H189" s="10" t="n">
        <v>45866</v>
      </c>
      <c r="I189" s="9" t="s">
        <v>66</v>
      </c>
      <c r="J189" s="9" t="s">
        <v>51</v>
      </c>
      <c r="K189" s="9" t="n">
        <v>7</v>
      </c>
      <c r="L189" s="9" t="n">
        <v>6</v>
      </c>
      <c r="M189" s="9" t="n">
        <v>2</v>
      </c>
      <c r="N189" s="9" t="s">
        <v>71</v>
      </c>
      <c r="O189" s="9"/>
      <c r="P189" s="9" t="n">
        <v>2</v>
      </c>
      <c r="Q189" s="9" t="n">
        <v>34</v>
      </c>
      <c r="R189" s="9" t="s">
        <v>53</v>
      </c>
      <c r="S189" s="9"/>
      <c r="T189" s="9"/>
      <c r="U189" s="9" t="str">
        <f aca="false">IF(COUNTIF($A$2:$A$5001,A189)&gt;1,"Duplicate","Unique")</f>
        <v>Unique</v>
      </c>
      <c r="V189" s="9" t="str">
        <f aca="false">IF(COUNTIFS($B$2:$B$5001,B189,$H$2:$H$5001,H189,$J$2:$J$5001,J189)&gt;1,"Possible Duplicate Booking","Unique")</f>
        <v>Unique</v>
      </c>
      <c r="W189" s="9" t="str">
        <f aca="false">IF((H189-G189)&lt;&gt;K189,"Mismatch","OK")</f>
        <v>OK</v>
      </c>
      <c r="X189" s="9" t="str">
        <f aca="false">IF(TEXT(H189,"dddd")&lt;&gt;I189,"Mismatch","OK")</f>
        <v>OK</v>
      </c>
      <c r="Y189" s="9" t="str">
        <f aca="false">IF(AND(N189="No",O189&lt;&gt;""),"Unexpected: channel present but no reminder sent",IF(AND(N189="Yes",O189=""),"Missing channel for sent reminder","OK"))</f>
        <v>OK</v>
      </c>
    </row>
    <row r="190" customFormat="false" ht="15" hidden="false" customHeight="false" outlineLevel="0" collapsed="false">
      <c r="A190" s="7" t="s">
        <v>438</v>
      </c>
      <c r="B190" s="7" t="s">
        <v>439</v>
      </c>
      <c r="C190" s="7" t="s">
        <v>47</v>
      </c>
      <c r="D190" s="7" t="n">
        <v>25</v>
      </c>
      <c r="E190" s="7" t="s">
        <v>48</v>
      </c>
      <c r="F190" s="7" t="s">
        <v>57</v>
      </c>
      <c r="G190" s="8" t="n">
        <v>45739</v>
      </c>
      <c r="H190" s="8" t="n">
        <v>45788</v>
      </c>
      <c r="I190" s="7" t="s">
        <v>75</v>
      </c>
      <c r="J190" s="7" t="s">
        <v>51</v>
      </c>
      <c r="K190" s="7" t="n">
        <v>49</v>
      </c>
      <c r="L190" s="7" t="n">
        <v>1</v>
      </c>
      <c r="M190" s="7" t="n">
        <v>0</v>
      </c>
      <c r="N190" s="7" t="s">
        <v>71</v>
      </c>
      <c r="O190" s="7"/>
      <c r="P190" s="7" t="n">
        <v>2.2</v>
      </c>
      <c r="Q190" s="7" t="n">
        <v>31</v>
      </c>
      <c r="R190" s="7" t="s">
        <v>53</v>
      </c>
      <c r="S190" s="7"/>
      <c r="T190" s="7"/>
      <c r="U190" s="7" t="str">
        <f aca="false">IF(COUNTIF($A$2:$A$5001,A190)&gt;1,"Duplicate","Unique")</f>
        <v>Unique</v>
      </c>
      <c r="V190" s="7" t="str">
        <f aca="false">IF(COUNTIFS($B$2:$B$5001,B190,$H$2:$H$5001,H190,$J$2:$J$5001,J190)&gt;1,"Possible Duplicate Booking","Unique")</f>
        <v>Unique</v>
      </c>
      <c r="W190" s="7" t="str">
        <f aca="false">IF((H190-G190)&lt;&gt;K190,"Mismatch","OK")</f>
        <v>OK</v>
      </c>
      <c r="X190" s="7" t="str">
        <f aca="false">IF(TEXT(H190,"dddd")&lt;&gt;I190,"Mismatch","OK")</f>
        <v>OK</v>
      </c>
      <c r="Y190" s="7" t="str">
        <f aca="false">IF(AND(N190="No",O190&lt;&gt;""),"Unexpected: channel present but no reminder sent",IF(AND(N190="Yes",O190=""),"Missing channel for sent reminder","OK"))</f>
        <v>OK</v>
      </c>
    </row>
    <row r="191" customFormat="false" ht="15" hidden="false" customHeight="false" outlineLevel="0" collapsed="false">
      <c r="A191" s="9" t="s">
        <v>440</v>
      </c>
      <c r="B191" s="9" t="s">
        <v>441</v>
      </c>
      <c r="C191" s="9" t="s">
        <v>37</v>
      </c>
      <c r="D191" s="9" t="n">
        <v>80</v>
      </c>
      <c r="E191" s="9" t="s">
        <v>70</v>
      </c>
      <c r="F191" s="9" t="s">
        <v>57</v>
      </c>
      <c r="G191" s="10" t="n">
        <v>45804</v>
      </c>
      <c r="H191" s="10" t="n">
        <v>45822</v>
      </c>
      <c r="I191" s="9" t="s">
        <v>102</v>
      </c>
      <c r="J191" s="9" t="s">
        <v>41</v>
      </c>
      <c r="K191" s="9" t="n">
        <v>18</v>
      </c>
      <c r="L191" s="9" t="n">
        <v>4</v>
      </c>
      <c r="M191" s="9" t="n">
        <v>2</v>
      </c>
      <c r="N191" s="9" t="s">
        <v>71</v>
      </c>
      <c r="O191" s="9"/>
      <c r="P191" s="9" t="n">
        <v>6.8</v>
      </c>
      <c r="Q191" s="9" t="n">
        <v>33</v>
      </c>
      <c r="R191" s="9" t="s">
        <v>44</v>
      </c>
      <c r="S191" s="9"/>
      <c r="T191" s="9"/>
      <c r="U191" s="9" t="str">
        <f aca="false">IF(COUNTIF($A$2:$A$5001,A191)&gt;1,"Duplicate","Unique")</f>
        <v>Unique</v>
      </c>
      <c r="V191" s="9" t="str">
        <f aca="false">IF(COUNTIFS($B$2:$B$5001,B191,$H$2:$H$5001,H191,$J$2:$J$5001,J191)&gt;1,"Possible Duplicate Booking","Unique")</f>
        <v>Unique</v>
      </c>
      <c r="W191" s="9" t="str">
        <f aca="false">IF((H191-G191)&lt;&gt;K191,"Mismatch","OK")</f>
        <v>OK</v>
      </c>
      <c r="X191" s="9" t="str">
        <f aca="false">IF(TEXT(H191,"dddd")&lt;&gt;I191,"Mismatch","OK")</f>
        <v>OK</v>
      </c>
      <c r="Y191" s="9" t="str">
        <f aca="false">IF(AND(N191="No",O191&lt;&gt;""),"Unexpected: channel present but no reminder sent",IF(AND(N191="Yes",O191=""),"Missing channel for sent reminder","OK"))</f>
        <v>OK</v>
      </c>
    </row>
    <row r="192" customFormat="false" ht="15" hidden="false" customHeight="false" outlineLevel="0" collapsed="false">
      <c r="A192" s="7" t="s">
        <v>442</v>
      </c>
      <c r="B192" s="7" t="s">
        <v>443</v>
      </c>
      <c r="C192" s="7" t="s">
        <v>37</v>
      </c>
      <c r="D192" s="7" t="n">
        <v>19</v>
      </c>
      <c r="E192" s="7" t="s">
        <v>82</v>
      </c>
      <c r="F192" s="7" t="s">
        <v>57</v>
      </c>
      <c r="G192" s="8" t="n">
        <v>45987</v>
      </c>
      <c r="H192" s="8" t="n">
        <v>46031</v>
      </c>
      <c r="I192" s="7" t="s">
        <v>50</v>
      </c>
      <c r="J192" s="7" t="s">
        <v>51</v>
      </c>
      <c r="K192" s="7" t="n">
        <v>44</v>
      </c>
      <c r="L192" s="7" t="n">
        <v>5</v>
      </c>
      <c r="M192" s="7" t="n">
        <v>0</v>
      </c>
      <c r="N192" s="7" t="s">
        <v>42</v>
      </c>
      <c r="O192" s="7" t="s">
        <v>52</v>
      </c>
      <c r="P192" s="7" t="n">
        <v>4.4</v>
      </c>
      <c r="Q192" s="7" t="n">
        <v>29</v>
      </c>
      <c r="R192" s="7" t="s">
        <v>44</v>
      </c>
      <c r="S192" s="7"/>
      <c r="T192" s="7"/>
      <c r="U192" s="7" t="str">
        <f aca="false">IF(COUNTIF($A$2:$A$5001,A192)&gt;1,"Duplicate","Unique")</f>
        <v>Unique</v>
      </c>
      <c r="V192" s="7" t="str">
        <f aca="false">IF(COUNTIFS($B$2:$B$5001,B192,$H$2:$H$5001,H192,$J$2:$J$5001,J192)&gt;1,"Possible Duplicate Booking","Unique")</f>
        <v>Unique</v>
      </c>
      <c r="W192" s="7" t="str">
        <f aca="false">IF((H192-G192)&lt;&gt;K192,"Mismatch","OK")</f>
        <v>OK</v>
      </c>
      <c r="X192" s="7" t="str">
        <f aca="false">IF(TEXT(H192,"dddd")&lt;&gt;I192,"Mismatch","OK")</f>
        <v>OK</v>
      </c>
      <c r="Y192" s="7" t="str">
        <f aca="false">IF(AND(N192="No",O192&lt;&gt;""),"Unexpected: channel present but no reminder sent",IF(AND(N192="Yes",O192=""),"Missing channel for sent reminder","OK"))</f>
        <v>OK</v>
      </c>
    </row>
    <row r="193" customFormat="false" ht="15" hidden="false" customHeight="false" outlineLevel="0" collapsed="false">
      <c r="A193" s="9" t="s">
        <v>444</v>
      </c>
      <c r="B193" s="9" t="s">
        <v>445</v>
      </c>
      <c r="C193" s="9" t="s">
        <v>37</v>
      </c>
      <c r="D193" s="9" t="n">
        <v>53</v>
      </c>
      <c r="E193" s="9" t="s">
        <v>56</v>
      </c>
      <c r="F193" s="9" t="s">
        <v>39</v>
      </c>
      <c r="G193" s="10" t="n">
        <v>45947</v>
      </c>
      <c r="H193" s="10" t="n">
        <v>46002</v>
      </c>
      <c r="I193" s="9" t="s">
        <v>62</v>
      </c>
      <c r="J193" s="9" t="s">
        <v>41</v>
      </c>
      <c r="K193" s="9" t="n">
        <v>55</v>
      </c>
      <c r="L193" s="9" t="n">
        <v>4</v>
      </c>
      <c r="M193" s="9" t="n">
        <v>2</v>
      </c>
      <c r="N193" s="9" t="s">
        <v>42</v>
      </c>
      <c r="O193" s="9" t="s">
        <v>43</v>
      </c>
      <c r="P193" s="9" t="n">
        <v>9.7</v>
      </c>
      <c r="Q193" s="9"/>
      <c r="R193" s="9" t="s">
        <v>44</v>
      </c>
      <c r="S193" s="9"/>
      <c r="T193" s="9"/>
      <c r="U193" s="9" t="str">
        <f aca="false">IF(COUNTIF($A$2:$A$5001,A193)&gt;1,"Duplicate","Unique")</f>
        <v>Unique</v>
      </c>
      <c r="V193" s="9" t="str">
        <f aca="false">IF(COUNTIFS($B$2:$B$5001,B193,$H$2:$H$5001,H193,$J$2:$J$5001,J193)&gt;1,"Possible Duplicate Booking","Unique")</f>
        <v>Unique</v>
      </c>
      <c r="W193" s="9" t="str">
        <f aca="false">IF((H193-G193)&lt;&gt;K193,"Mismatch","OK")</f>
        <v>OK</v>
      </c>
      <c r="X193" s="9" t="str">
        <f aca="false">IF(TEXT(H193,"dddd")&lt;&gt;I193,"Mismatch","OK")</f>
        <v>OK</v>
      </c>
      <c r="Y193" s="9" t="str">
        <f aca="false">IF(AND(N193="No",O193&lt;&gt;""),"Unexpected: channel present but no reminder sent",IF(AND(N193="Yes",O193=""),"Missing channel for sent reminder","OK"))</f>
        <v>OK</v>
      </c>
    </row>
    <row r="194" customFormat="false" ht="15" hidden="false" customHeight="false" outlineLevel="0" collapsed="false">
      <c r="A194" s="7" t="s">
        <v>446</v>
      </c>
      <c r="B194" s="7" t="s">
        <v>447</v>
      </c>
      <c r="C194" s="7" t="s">
        <v>47</v>
      </c>
      <c r="D194" s="7" t="n">
        <v>18</v>
      </c>
      <c r="E194" s="7" t="s">
        <v>82</v>
      </c>
      <c r="F194" s="7" t="s">
        <v>57</v>
      </c>
      <c r="G194" s="8" t="n">
        <v>45959</v>
      </c>
      <c r="H194" s="8" t="n">
        <v>45989</v>
      </c>
      <c r="I194" s="7" t="s">
        <v>50</v>
      </c>
      <c r="J194" s="7" t="s">
        <v>63</v>
      </c>
      <c r="K194" s="7" t="n">
        <v>30</v>
      </c>
      <c r="L194" s="7" t="n">
        <v>3</v>
      </c>
      <c r="M194" s="7" t="n">
        <v>0</v>
      </c>
      <c r="N194" s="7" t="s">
        <v>71</v>
      </c>
      <c r="O194" s="7"/>
      <c r="P194" s="7" t="n">
        <v>5.3</v>
      </c>
      <c r="Q194" s="7" t="n">
        <v>8</v>
      </c>
      <c r="R194" s="7" t="s">
        <v>53</v>
      </c>
      <c r="S194" s="7"/>
      <c r="T194" s="7"/>
      <c r="U194" s="7" t="str">
        <f aca="false">IF(COUNTIF($A$2:$A$5001,A194)&gt;1,"Duplicate","Unique")</f>
        <v>Unique</v>
      </c>
      <c r="V194" s="7" t="str">
        <f aca="false">IF(COUNTIFS($B$2:$B$5001,B194,$H$2:$H$5001,H194,$J$2:$J$5001,J194)&gt;1,"Possible Duplicate Booking","Unique")</f>
        <v>Unique</v>
      </c>
      <c r="W194" s="7" t="str">
        <f aca="false">IF((H194-G194)&lt;&gt;K194,"Mismatch","OK")</f>
        <v>OK</v>
      </c>
      <c r="X194" s="7" t="str">
        <f aca="false">IF(TEXT(H194,"dddd")&lt;&gt;I194,"Mismatch","OK")</f>
        <v>OK</v>
      </c>
      <c r="Y194" s="7" t="str">
        <f aca="false">IF(AND(N194="No",O194&lt;&gt;""),"Unexpected: channel present but no reminder sent",IF(AND(N194="Yes",O194=""),"Missing channel for sent reminder","OK"))</f>
        <v>OK</v>
      </c>
    </row>
    <row r="195" customFormat="false" ht="15" hidden="false" customHeight="false" outlineLevel="0" collapsed="false">
      <c r="A195" s="9" t="s">
        <v>448</v>
      </c>
      <c r="B195" s="9" t="s">
        <v>449</v>
      </c>
      <c r="C195" s="9" t="s">
        <v>47</v>
      </c>
      <c r="D195" s="9" t="n">
        <v>61</v>
      </c>
      <c r="E195" s="9" t="s">
        <v>61</v>
      </c>
      <c r="F195" s="9" t="s">
        <v>57</v>
      </c>
      <c r="G195" s="10" t="n">
        <v>45850</v>
      </c>
      <c r="H195" s="10" t="n">
        <v>45855</v>
      </c>
      <c r="I195" s="9" t="s">
        <v>62</v>
      </c>
      <c r="J195" s="9" t="s">
        <v>51</v>
      </c>
      <c r="K195" s="9" t="n">
        <v>5</v>
      </c>
      <c r="L195" s="9" t="n">
        <v>0</v>
      </c>
      <c r="M195" s="9" t="n">
        <v>0</v>
      </c>
      <c r="N195" s="9" t="s">
        <v>42</v>
      </c>
      <c r="O195" s="9" t="s">
        <v>52</v>
      </c>
      <c r="P195" s="9" t="n">
        <v>20.1</v>
      </c>
      <c r="Q195" s="9" t="n">
        <v>8</v>
      </c>
      <c r="R195" s="9" t="s">
        <v>53</v>
      </c>
      <c r="S195" s="9"/>
      <c r="T195" s="9"/>
      <c r="U195" s="9" t="str">
        <f aca="false">IF(COUNTIF($A$2:$A$5001,A195)&gt;1,"Duplicate","Unique")</f>
        <v>Unique</v>
      </c>
      <c r="V195" s="9" t="str">
        <f aca="false">IF(COUNTIFS($B$2:$B$5001,B195,$H$2:$H$5001,H195,$J$2:$J$5001,J195)&gt;1,"Possible Duplicate Booking","Unique")</f>
        <v>Unique</v>
      </c>
      <c r="W195" s="9" t="str">
        <f aca="false">IF((H195-G195)&lt;&gt;K195,"Mismatch","OK")</f>
        <v>OK</v>
      </c>
      <c r="X195" s="9" t="str">
        <f aca="false">IF(TEXT(H195,"dddd")&lt;&gt;I195,"Mismatch","OK")</f>
        <v>OK</v>
      </c>
      <c r="Y195" s="9" t="str">
        <f aca="false">IF(AND(N195="No",O195&lt;&gt;""),"Unexpected: channel present but no reminder sent",IF(AND(N195="Yes",O195=""),"Missing channel for sent reminder","OK"))</f>
        <v>OK</v>
      </c>
    </row>
    <row r="196" customFormat="false" ht="15" hidden="false" customHeight="false" outlineLevel="0" collapsed="false">
      <c r="A196" s="7" t="s">
        <v>450</v>
      </c>
      <c r="B196" s="7" t="s">
        <v>451</v>
      </c>
      <c r="C196" s="7" t="s">
        <v>37</v>
      </c>
      <c r="D196" s="7" t="n">
        <v>74</v>
      </c>
      <c r="E196" s="7" t="s">
        <v>70</v>
      </c>
      <c r="F196" s="7" t="s">
        <v>57</v>
      </c>
      <c r="G196" s="8" t="n">
        <v>46159</v>
      </c>
      <c r="H196" s="8" t="n">
        <v>46181</v>
      </c>
      <c r="I196" s="7" t="s">
        <v>66</v>
      </c>
      <c r="J196" s="7" t="s">
        <v>41</v>
      </c>
      <c r="K196" s="7" t="n">
        <v>22</v>
      </c>
      <c r="L196" s="7" t="n">
        <v>1</v>
      </c>
      <c r="M196" s="7" t="n">
        <v>0</v>
      </c>
      <c r="N196" s="7" t="s">
        <v>71</v>
      </c>
      <c r="O196" s="7"/>
      <c r="P196" s="7" t="n">
        <v>4.1</v>
      </c>
      <c r="Q196" s="7" t="n">
        <v>24</v>
      </c>
      <c r="R196" s="7" t="s">
        <v>87</v>
      </c>
      <c r="S196" s="7"/>
      <c r="T196" s="7"/>
      <c r="U196" s="7" t="str">
        <f aca="false">IF(COUNTIF($A$2:$A$5001,A196)&gt;1,"Duplicate","Unique")</f>
        <v>Unique</v>
      </c>
      <c r="V196" s="7" t="str">
        <f aca="false">IF(COUNTIFS($B$2:$B$5001,B196,$H$2:$H$5001,H196,$J$2:$J$5001,J196)&gt;1,"Possible Duplicate Booking","Unique")</f>
        <v>Unique</v>
      </c>
      <c r="W196" s="7" t="str">
        <f aca="false">IF((H196-G196)&lt;&gt;K196,"Mismatch","OK")</f>
        <v>OK</v>
      </c>
      <c r="X196" s="7" t="str">
        <f aca="false">IF(TEXT(H196,"dddd")&lt;&gt;I196,"Mismatch","OK")</f>
        <v>OK</v>
      </c>
      <c r="Y196" s="7" t="str">
        <f aca="false">IF(AND(N196="No",O196&lt;&gt;""),"Unexpected: channel present but no reminder sent",IF(AND(N196="Yes",O196=""),"Missing channel for sent reminder","OK"))</f>
        <v>OK</v>
      </c>
    </row>
    <row r="197" customFormat="false" ht="15" hidden="false" customHeight="false" outlineLevel="0" collapsed="false">
      <c r="A197" s="9" t="s">
        <v>452</v>
      </c>
      <c r="B197" s="9" t="s">
        <v>453</v>
      </c>
      <c r="C197" s="9" t="s">
        <v>47</v>
      </c>
      <c r="D197" s="9" t="n">
        <v>58</v>
      </c>
      <c r="E197" s="9" t="s">
        <v>61</v>
      </c>
      <c r="F197" s="9" t="s">
        <v>39</v>
      </c>
      <c r="G197" s="10" t="n">
        <v>45681</v>
      </c>
      <c r="H197" s="10" t="n">
        <v>45705</v>
      </c>
      <c r="I197" s="9" t="s">
        <v>66</v>
      </c>
      <c r="J197" s="9" t="s">
        <v>41</v>
      </c>
      <c r="K197" s="9" t="n">
        <v>24</v>
      </c>
      <c r="L197" s="9" t="n">
        <v>1</v>
      </c>
      <c r="M197" s="9" t="n">
        <v>1</v>
      </c>
      <c r="N197" s="9" t="s">
        <v>42</v>
      </c>
      <c r="O197" s="9" t="s">
        <v>67</v>
      </c>
      <c r="P197" s="9" t="n">
        <v>1.5</v>
      </c>
      <c r="Q197" s="9" t="n">
        <v>25</v>
      </c>
      <c r="R197" s="9" t="s">
        <v>53</v>
      </c>
      <c r="S197" s="9"/>
      <c r="T197" s="9"/>
      <c r="U197" s="9" t="str">
        <f aca="false">IF(COUNTIF($A$2:$A$5001,A197)&gt;1,"Duplicate","Unique")</f>
        <v>Unique</v>
      </c>
      <c r="V197" s="9" t="str">
        <f aca="false">IF(COUNTIFS($B$2:$B$5001,B197,$H$2:$H$5001,H197,$J$2:$J$5001,J197)&gt;1,"Possible Duplicate Booking","Unique")</f>
        <v>Unique</v>
      </c>
      <c r="W197" s="9" t="str">
        <f aca="false">IF((H197-G197)&lt;&gt;K197,"Mismatch","OK")</f>
        <v>OK</v>
      </c>
      <c r="X197" s="9" t="str">
        <f aca="false">IF(TEXT(H197,"dddd")&lt;&gt;I197,"Mismatch","OK")</f>
        <v>OK</v>
      </c>
      <c r="Y197" s="9" t="str">
        <f aca="false">IF(AND(N197="No",O197&lt;&gt;""),"Unexpected: channel present but no reminder sent",IF(AND(N197="Yes",O197=""),"Missing channel for sent reminder","OK"))</f>
        <v>OK</v>
      </c>
    </row>
    <row r="198" customFormat="false" ht="15" hidden="false" customHeight="false" outlineLevel="0" collapsed="false">
      <c r="A198" s="7" t="s">
        <v>454</v>
      </c>
      <c r="B198" s="7" t="s">
        <v>455</v>
      </c>
      <c r="C198" s="7" t="s">
        <v>37</v>
      </c>
      <c r="D198" s="7" t="n">
        <v>56</v>
      </c>
      <c r="E198" s="7" t="s">
        <v>61</v>
      </c>
      <c r="F198" s="7" t="s">
        <v>57</v>
      </c>
      <c r="G198" s="8" t="n">
        <v>45788</v>
      </c>
      <c r="H198" s="8" t="n">
        <v>45845</v>
      </c>
      <c r="I198" s="7" t="s">
        <v>66</v>
      </c>
      <c r="J198" s="7" t="s">
        <v>41</v>
      </c>
      <c r="K198" s="7" t="n">
        <v>57</v>
      </c>
      <c r="L198" s="7" t="n">
        <v>3</v>
      </c>
      <c r="M198" s="7" t="n">
        <v>1</v>
      </c>
      <c r="N198" s="7" t="s">
        <v>42</v>
      </c>
      <c r="O198" s="7" t="s">
        <v>43</v>
      </c>
      <c r="P198" s="7" t="n">
        <v>2.8</v>
      </c>
      <c r="Q198" s="7" t="n">
        <v>13</v>
      </c>
      <c r="R198" s="7" t="s">
        <v>44</v>
      </c>
      <c r="S198" s="7"/>
      <c r="T198" s="7"/>
      <c r="U198" s="7" t="str">
        <f aca="false">IF(COUNTIF($A$2:$A$5001,A198)&gt;1,"Duplicate","Unique")</f>
        <v>Unique</v>
      </c>
      <c r="V198" s="7" t="str">
        <f aca="false">IF(COUNTIFS($B$2:$B$5001,B198,$H$2:$H$5001,H198,$J$2:$J$5001,J198)&gt;1,"Possible Duplicate Booking","Unique")</f>
        <v>Unique</v>
      </c>
      <c r="W198" s="7" t="str">
        <f aca="false">IF((H198-G198)&lt;&gt;K198,"Mismatch","OK")</f>
        <v>OK</v>
      </c>
      <c r="X198" s="7" t="str">
        <f aca="false">IF(TEXT(H198,"dddd")&lt;&gt;I198,"Mismatch","OK")</f>
        <v>OK</v>
      </c>
      <c r="Y198" s="7" t="str">
        <f aca="false">IF(AND(N198="No",O198&lt;&gt;""),"Unexpected: channel present but no reminder sent",IF(AND(N198="Yes",O198=""),"Missing channel for sent reminder","OK"))</f>
        <v>OK</v>
      </c>
    </row>
    <row r="199" customFormat="false" ht="15" hidden="false" customHeight="false" outlineLevel="0" collapsed="false">
      <c r="A199" s="9" t="s">
        <v>456</v>
      </c>
      <c r="B199" s="9" t="s">
        <v>457</v>
      </c>
      <c r="C199" s="9" t="s">
        <v>47</v>
      </c>
      <c r="D199" s="9" t="n">
        <v>70</v>
      </c>
      <c r="E199" s="9" t="s">
        <v>70</v>
      </c>
      <c r="F199" s="9" t="s">
        <v>49</v>
      </c>
      <c r="G199" s="10" t="n">
        <v>45665</v>
      </c>
      <c r="H199" s="10" t="n">
        <v>45722</v>
      </c>
      <c r="I199" s="9" t="s">
        <v>62</v>
      </c>
      <c r="J199" s="9" t="s">
        <v>41</v>
      </c>
      <c r="K199" s="9" t="n">
        <v>57</v>
      </c>
      <c r="L199" s="9" t="n">
        <v>3</v>
      </c>
      <c r="M199" s="9" t="n">
        <v>1</v>
      </c>
      <c r="N199" s="9" t="s">
        <v>42</v>
      </c>
      <c r="O199" s="9" t="s">
        <v>67</v>
      </c>
      <c r="P199" s="9" t="n">
        <v>18.5</v>
      </c>
      <c r="Q199" s="9" t="n">
        <v>30</v>
      </c>
      <c r="R199" s="9" t="s">
        <v>53</v>
      </c>
      <c r="S199" s="9"/>
      <c r="T199" s="9"/>
      <c r="U199" s="9" t="str">
        <f aca="false">IF(COUNTIF($A$2:$A$5001,A199)&gt;1,"Duplicate","Unique")</f>
        <v>Unique</v>
      </c>
      <c r="V199" s="9" t="str">
        <f aca="false">IF(COUNTIFS($B$2:$B$5001,B199,$H$2:$H$5001,H199,$J$2:$J$5001,J199)&gt;1,"Possible Duplicate Booking","Unique")</f>
        <v>Unique</v>
      </c>
      <c r="W199" s="9" t="str">
        <f aca="false">IF((H199-G199)&lt;&gt;K199,"Mismatch","OK")</f>
        <v>OK</v>
      </c>
      <c r="X199" s="9" t="str">
        <f aca="false">IF(TEXT(H199,"dddd")&lt;&gt;I199,"Mismatch","OK")</f>
        <v>OK</v>
      </c>
      <c r="Y199" s="9" t="str">
        <f aca="false">IF(AND(N199="No",O199&lt;&gt;""),"Unexpected: channel present but no reminder sent",IF(AND(N199="Yes",O199=""),"Missing channel for sent reminder","OK"))</f>
        <v>OK</v>
      </c>
    </row>
    <row r="200" customFormat="false" ht="15" hidden="false" customHeight="false" outlineLevel="0" collapsed="false">
      <c r="A200" s="7" t="s">
        <v>458</v>
      </c>
      <c r="B200" s="7" t="s">
        <v>459</v>
      </c>
      <c r="C200" s="7" t="s">
        <v>47</v>
      </c>
      <c r="D200" s="7" t="n">
        <v>79</v>
      </c>
      <c r="E200" s="7" t="s">
        <v>70</v>
      </c>
      <c r="F200" s="7" t="s">
        <v>57</v>
      </c>
      <c r="G200" s="8" t="n">
        <v>45809</v>
      </c>
      <c r="H200" s="8" t="n">
        <v>45843</v>
      </c>
      <c r="I200" s="7" t="s">
        <v>102</v>
      </c>
      <c r="J200" s="7" t="s">
        <v>41</v>
      </c>
      <c r="K200" s="7" t="n">
        <v>34</v>
      </c>
      <c r="L200" s="7" t="n">
        <v>4</v>
      </c>
      <c r="M200" s="7" t="n">
        <v>2</v>
      </c>
      <c r="N200" s="7" t="s">
        <v>42</v>
      </c>
      <c r="O200" s="7" t="s">
        <v>43</v>
      </c>
      <c r="P200" s="7" t="n">
        <v>4.2</v>
      </c>
      <c r="Q200" s="7" t="n">
        <v>10</v>
      </c>
      <c r="R200" s="7" t="s">
        <v>53</v>
      </c>
      <c r="S200" s="7"/>
      <c r="T200" s="7"/>
      <c r="U200" s="7" t="str">
        <f aca="false">IF(COUNTIF($A$2:$A$5001,A200)&gt;1,"Duplicate","Unique")</f>
        <v>Unique</v>
      </c>
      <c r="V200" s="7" t="str">
        <f aca="false">IF(COUNTIFS($B$2:$B$5001,B200,$H$2:$H$5001,H200,$J$2:$J$5001,J200)&gt;1,"Possible Duplicate Booking","Unique")</f>
        <v>Unique</v>
      </c>
      <c r="W200" s="7" t="str">
        <f aca="false">IF((H200-G200)&lt;&gt;K200,"Mismatch","OK")</f>
        <v>OK</v>
      </c>
      <c r="X200" s="7" t="str">
        <f aca="false">IF(TEXT(H200,"dddd")&lt;&gt;I200,"Mismatch","OK")</f>
        <v>OK</v>
      </c>
      <c r="Y200" s="7" t="str">
        <f aca="false">IF(AND(N200="No",O200&lt;&gt;""),"Unexpected: channel present but no reminder sent",IF(AND(N200="Yes",O200=""),"Missing channel for sent reminder","OK"))</f>
        <v>OK</v>
      </c>
    </row>
    <row r="201" customFormat="false" ht="15" hidden="false" customHeight="false" outlineLevel="0" collapsed="false">
      <c r="A201" s="9" t="s">
        <v>460</v>
      </c>
      <c r="B201" s="9" t="s">
        <v>461</v>
      </c>
      <c r="C201" s="9" t="s">
        <v>37</v>
      </c>
      <c r="D201" s="9" t="n">
        <v>72</v>
      </c>
      <c r="E201" s="9" t="s">
        <v>70</v>
      </c>
      <c r="F201" s="9" t="s">
        <v>39</v>
      </c>
      <c r="G201" s="10" t="n">
        <v>46126</v>
      </c>
      <c r="H201" s="10" t="n">
        <v>46183</v>
      </c>
      <c r="I201" s="9" t="s">
        <v>58</v>
      </c>
      <c r="J201" s="9" t="s">
        <v>41</v>
      </c>
      <c r="K201" s="9" t="n">
        <v>57</v>
      </c>
      <c r="L201" s="9" t="n">
        <v>3</v>
      </c>
      <c r="M201" s="9" t="n">
        <v>1</v>
      </c>
      <c r="N201" s="9" t="s">
        <v>42</v>
      </c>
      <c r="O201" s="9" t="s">
        <v>43</v>
      </c>
      <c r="P201" s="9" t="n">
        <v>13.7</v>
      </c>
      <c r="Q201" s="9" t="n">
        <v>21</v>
      </c>
      <c r="R201" s="9" t="s">
        <v>44</v>
      </c>
      <c r="S201" s="9"/>
      <c r="T201" s="9"/>
      <c r="U201" s="9" t="str">
        <f aca="false">IF(COUNTIF($A$2:$A$5001,A201)&gt;1,"Duplicate","Unique")</f>
        <v>Unique</v>
      </c>
      <c r="V201" s="9" t="str">
        <f aca="false">IF(COUNTIFS($B$2:$B$5001,B201,$H$2:$H$5001,H201,$J$2:$J$5001,J201)&gt;1,"Possible Duplicate Booking","Unique")</f>
        <v>Unique</v>
      </c>
      <c r="W201" s="9" t="str">
        <f aca="false">IF((H201-G201)&lt;&gt;K201,"Mismatch","OK")</f>
        <v>OK</v>
      </c>
      <c r="X201" s="9" t="str">
        <f aca="false">IF(TEXT(H201,"dddd")&lt;&gt;I201,"Mismatch","OK")</f>
        <v>OK</v>
      </c>
      <c r="Y201" s="9" t="str">
        <f aca="false">IF(AND(N201="No",O201&lt;&gt;""),"Unexpected: channel present but no reminder sent",IF(AND(N201="Yes",O201=""),"Missing channel for sent reminder","OK"))</f>
        <v>OK</v>
      </c>
    </row>
    <row r="202" customFormat="false" ht="15" hidden="false" customHeight="false" outlineLevel="0" collapsed="false">
      <c r="A202" s="7" t="s">
        <v>462</v>
      </c>
      <c r="B202" s="7" t="s">
        <v>463</v>
      </c>
      <c r="C202" s="7" t="s">
        <v>47</v>
      </c>
      <c r="D202" s="7" t="n">
        <v>32</v>
      </c>
      <c r="E202" s="7" t="s">
        <v>48</v>
      </c>
      <c r="F202" s="7" t="s">
        <v>57</v>
      </c>
      <c r="G202" s="8" t="n">
        <v>45831</v>
      </c>
      <c r="H202" s="8" t="n">
        <v>45857</v>
      </c>
      <c r="I202" s="7" t="s">
        <v>102</v>
      </c>
      <c r="J202" s="7" t="s">
        <v>41</v>
      </c>
      <c r="K202" s="7" t="n">
        <v>26</v>
      </c>
      <c r="L202" s="7" t="n">
        <v>3</v>
      </c>
      <c r="M202" s="7" t="n">
        <v>1</v>
      </c>
      <c r="N202" s="7" t="s">
        <v>71</v>
      </c>
      <c r="O202" s="7"/>
      <c r="P202" s="7" t="n">
        <v>9.6</v>
      </c>
      <c r="Q202" s="7" t="n">
        <v>24</v>
      </c>
      <c r="R202" s="7" t="s">
        <v>44</v>
      </c>
      <c r="S202" s="7"/>
      <c r="T202" s="7"/>
      <c r="U202" s="7" t="str">
        <f aca="false">IF(COUNTIF($A$2:$A$5001,A202)&gt;1,"Duplicate","Unique")</f>
        <v>Unique</v>
      </c>
      <c r="V202" s="7" t="str">
        <f aca="false">IF(COUNTIFS($B$2:$B$5001,B202,$H$2:$H$5001,H202,$J$2:$J$5001,J202)&gt;1,"Possible Duplicate Booking","Unique")</f>
        <v>Unique</v>
      </c>
      <c r="W202" s="7" t="str">
        <f aca="false">IF((H202-G202)&lt;&gt;K202,"Mismatch","OK")</f>
        <v>OK</v>
      </c>
      <c r="X202" s="7" t="str">
        <f aca="false">IF(TEXT(H202,"dddd")&lt;&gt;I202,"Mismatch","OK")</f>
        <v>OK</v>
      </c>
      <c r="Y202" s="7" t="str">
        <f aca="false">IF(AND(N202="No",O202&lt;&gt;""),"Unexpected: channel present but no reminder sent",IF(AND(N202="Yes",O202=""),"Missing channel for sent reminder","OK"))</f>
        <v>OK</v>
      </c>
    </row>
    <row r="203" customFormat="false" ht="15" hidden="false" customHeight="false" outlineLevel="0" collapsed="false">
      <c r="A203" s="9" t="s">
        <v>464</v>
      </c>
      <c r="B203" s="9" t="s">
        <v>465</v>
      </c>
      <c r="C203" s="9" t="s">
        <v>47</v>
      </c>
      <c r="D203" s="9" t="n">
        <v>53</v>
      </c>
      <c r="E203" s="9" t="s">
        <v>56</v>
      </c>
      <c r="F203" s="9" t="s">
        <v>39</v>
      </c>
      <c r="G203" s="10" t="n">
        <v>46129</v>
      </c>
      <c r="H203" s="10" t="n">
        <v>46154</v>
      </c>
      <c r="I203" s="9" t="s">
        <v>40</v>
      </c>
      <c r="J203" s="9" t="s">
        <v>41</v>
      </c>
      <c r="K203" s="9" t="n">
        <v>25</v>
      </c>
      <c r="L203" s="9" t="n">
        <v>3</v>
      </c>
      <c r="M203" s="9" t="n">
        <v>0</v>
      </c>
      <c r="N203" s="9" t="s">
        <v>42</v>
      </c>
      <c r="O203" s="9" t="s">
        <v>52</v>
      </c>
      <c r="P203" s="9" t="n">
        <v>16.8</v>
      </c>
      <c r="Q203" s="9" t="n">
        <v>30</v>
      </c>
      <c r="R203" s="9" t="s">
        <v>53</v>
      </c>
      <c r="S203" s="9"/>
      <c r="T203" s="9"/>
      <c r="U203" s="9" t="str">
        <f aca="false">IF(COUNTIF($A$2:$A$5001,A203)&gt;1,"Duplicate","Unique")</f>
        <v>Unique</v>
      </c>
      <c r="V203" s="9" t="str">
        <f aca="false">IF(COUNTIFS($B$2:$B$5001,B203,$H$2:$H$5001,H203,$J$2:$J$5001,J203)&gt;1,"Possible Duplicate Booking","Unique")</f>
        <v>Unique</v>
      </c>
      <c r="W203" s="9" t="str">
        <f aca="false">IF((H203-G203)&lt;&gt;K203,"Mismatch","OK")</f>
        <v>OK</v>
      </c>
      <c r="X203" s="9" t="str">
        <f aca="false">IF(TEXT(H203,"dddd")&lt;&gt;I203,"Mismatch","OK")</f>
        <v>OK</v>
      </c>
      <c r="Y203" s="9" t="str">
        <f aca="false">IF(AND(N203="No",O203&lt;&gt;""),"Unexpected: channel present but no reminder sent",IF(AND(N203="Yes",O203=""),"Missing channel for sent reminder","OK"))</f>
        <v>OK</v>
      </c>
    </row>
    <row r="204" customFormat="false" ht="15" hidden="false" customHeight="false" outlineLevel="0" collapsed="false">
      <c r="A204" s="7" t="s">
        <v>466</v>
      </c>
      <c r="B204" s="7" t="s">
        <v>455</v>
      </c>
      <c r="C204" s="7" t="s">
        <v>37</v>
      </c>
      <c r="D204" s="7" t="n">
        <v>69</v>
      </c>
      <c r="E204" s="7" t="s">
        <v>70</v>
      </c>
      <c r="F204" s="7" t="s">
        <v>39</v>
      </c>
      <c r="G204" s="8" t="n">
        <v>45877</v>
      </c>
      <c r="H204" s="8" t="n">
        <v>45928</v>
      </c>
      <c r="I204" s="7" t="s">
        <v>75</v>
      </c>
      <c r="J204" s="7" t="s">
        <v>41</v>
      </c>
      <c r="K204" s="7" t="n">
        <v>51</v>
      </c>
      <c r="L204" s="7" t="n">
        <v>2</v>
      </c>
      <c r="M204" s="7" t="n">
        <v>0</v>
      </c>
      <c r="N204" s="7" t="s">
        <v>42</v>
      </c>
      <c r="O204" s="7" t="s">
        <v>52</v>
      </c>
      <c r="P204" s="7" t="n">
        <v>21.6</v>
      </c>
      <c r="Q204" s="7" t="n">
        <v>18</v>
      </c>
      <c r="R204" s="7" t="s">
        <v>53</v>
      </c>
      <c r="S204" s="7"/>
      <c r="T204" s="7"/>
      <c r="U204" s="7" t="str">
        <f aca="false">IF(COUNTIF($A$2:$A$5001,A204)&gt;1,"Duplicate","Unique")</f>
        <v>Unique</v>
      </c>
      <c r="V204" s="7" t="str">
        <f aca="false">IF(COUNTIFS($B$2:$B$5001,B204,$H$2:$H$5001,H204,$J$2:$J$5001,J204)&gt;1,"Possible Duplicate Booking","Unique")</f>
        <v>Unique</v>
      </c>
      <c r="W204" s="7" t="str">
        <f aca="false">IF((H204-G204)&lt;&gt;K204,"Mismatch","OK")</f>
        <v>OK</v>
      </c>
      <c r="X204" s="7" t="str">
        <f aca="false">IF(TEXT(H204,"dddd")&lt;&gt;I204,"Mismatch","OK")</f>
        <v>OK</v>
      </c>
      <c r="Y204" s="7" t="str">
        <f aca="false">IF(AND(N204="No",O204&lt;&gt;""),"Unexpected: channel present but no reminder sent",IF(AND(N204="Yes",O204=""),"Missing channel for sent reminder","OK"))</f>
        <v>OK</v>
      </c>
    </row>
    <row r="205" customFormat="false" ht="15" hidden="false" customHeight="false" outlineLevel="0" collapsed="false">
      <c r="A205" s="9" t="s">
        <v>467</v>
      </c>
      <c r="B205" s="9" t="s">
        <v>468</v>
      </c>
      <c r="C205" s="9" t="s">
        <v>37</v>
      </c>
      <c r="D205" s="9" t="n">
        <v>36</v>
      </c>
      <c r="E205" s="9" t="s">
        <v>38</v>
      </c>
      <c r="F205" s="9" t="s">
        <v>39</v>
      </c>
      <c r="G205" s="10" t="n">
        <v>46000</v>
      </c>
      <c r="H205" s="10" t="n">
        <v>46040</v>
      </c>
      <c r="I205" s="9" t="s">
        <v>75</v>
      </c>
      <c r="J205" s="9" t="s">
        <v>41</v>
      </c>
      <c r="K205" s="9" t="n">
        <v>40</v>
      </c>
      <c r="L205" s="9" t="n">
        <v>2</v>
      </c>
      <c r="M205" s="9" t="n">
        <v>0</v>
      </c>
      <c r="N205" s="9" t="s">
        <v>42</v>
      </c>
      <c r="O205" s="9" t="s">
        <v>52</v>
      </c>
      <c r="P205" s="9" t="n">
        <v>10.1</v>
      </c>
      <c r="Q205" s="9" t="n">
        <v>37</v>
      </c>
      <c r="R205" s="9" t="s">
        <v>44</v>
      </c>
      <c r="S205" s="9"/>
      <c r="T205" s="9"/>
      <c r="U205" s="9" t="str">
        <f aca="false">IF(COUNTIF($A$2:$A$5001,A205)&gt;1,"Duplicate","Unique")</f>
        <v>Unique</v>
      </c>
      <c r="V205" s="9" t="str">
        <f aca="false">IF(COUNTIFS($B$2:$B$5001,B205,$H$2:$H$5001,H205,$J$2:$J$5001,J205)&gt;1,"Possible Duplicate Booking","Unique")</f>
        <v>Unique</v>
      </c>
      <c r="W205" s="9" t="str">
        <f aca="false">IF((H205-G205)&lt;&gt;K205,"Mismatch","OK")</f>
        <v>OK</v>
      </c>
      <c r="X205" s="9" t="str">
        <f aca="false">IF(TEXT(H205,"dddd")&lt;&gt;I205,"Mismatch","OK")</f>
        <v>OK</v>
      </c>
      <c r="Y205" s="9" t="str">
        <f aca="false">IF(AND(N205="No",O205&lt;&gt;""),"Unexpected: channel present but no reminder sent",IF(AND(N205="Yes",O205=""),"Missing channel for sent reminder","OK"))</f>
        <v>OK</v>
      </c>
    </row>
    <row r="206" customFormat="false" ht="15" hidden="false" customHeight="false" outlineLevel="0" collapsed="false">
      <c r="A206" s="7" t="s">
        <v>469</v>
      </c>
      <c r="B206" s="7" t="s">
        <v>470</v>
      </c>
      <c r="C206" s="7" t="s">
        <v>47</v>
      </c>
      <c r="D206" s="7" t="n">
        <v>60</v>
      </c>
      <c r="E206" s="7" t="s">
        <v>61</v>
      </c>
      <c r="F206" s="7" t="s">
        <v>39</v>
      </c>
      <c r="G206" s="8" t="n">
        <v>45876</v>
      </c>
      <c r="H206" s="8" t="n">
        <v>45907</v>
      </c>
      <c r="I206" s="7" t="s">
        <v>75</v>
      </c>
      <c r="J206" s="7" t="s">
        <v>51</v>
      </c>
      <c r="K206" s="7" t="n">
        <v>31</v>
      </c>
      <c r="L206" s="7" t="n">
        <v>0</v>
      </c>
      <c r="M206" s="7" t="n">
        <v>0</v>
      </c>
      <c r="N206" s="7" t="s">
        <v>42</v>
      </c>
      <c r="O206" s="7" t="s">
        <v>43</v>
      </c>
      <c r="P206" s="7" t="n">
        <v>10.3</v>
      </c>
      <c r="Q206" s="7" t="n">
        <v>42</v>
      </c>
      <c r="R206" s="7" t="s">
        <v>53</v>
      </c>
      <c r="S206" s="7"/>
      <c r="T206" s="7"/>
      <c r="U206" s="7" t="str">
        <f aca="false">IF(COUNTIF($A$2:$A$5001,A206)&gt;1,"Duplicate","Unique")</f>
        <v>Unique</v>
      </c>
      <c r="V206" s="7" t="str">
        <f aca="false">IF(COUNTIFS($B$2:$B$5001,B206,$H$2:$H$5001,H206,$J$2:$J$5001,J206)&gt;1,"Possible Duplicate Booking","Unique")</f>
        <v>Unique</v>
      </c>
      <c r="W206" s="7" t="str">
        <f aca="false">IF((H206-G206)&lt;&gt;K206,"Mismatch","OK")</f>
        <v>OK</v>
      </c>
      <c r="X206" s="7" t="str">
        <f aca="false">IF(TEXT(H206,"dddd")&lt;&gt;I206,"Mismatch","OK")</f>
        <v>OK</v>
      </c>
      <c r="Y206" s="7" t="str">
        <f aca="false">IF(AND(N206="No",O206&lt;&gt;""),"Unexpected: channel present but no reminder sent",IF(AND(N206="Yes",O206=""),"Missing channel for sent reminder","OK"))</f>
        <v>OK</v>
      </c>
    </row>
    <row r="207" customFormat="false" ht="15" hidden="false" customHeight="false" outlineLevel="0" collapsed="false">
      <c r="A207" s="9" t="s">
        <v>471</v>
      </c>
      <c r="B207" s="9" t="s">
        <v>472</v>
      </c>
      <c r="C207" s="9" t="s">
        <v>37</v>
      </c>
      <c r="D207" s="9" t="n">
        <v>19</v>
      </c>
      <c r="E207" s="9" t="s">
        <v>82</v>
      </c>
      <c r="F207" s="9" t="s">
        <v>39</v>
      </c>
      <c r="G207" s="10" t="n">
        <v>45776</v>
      </c>
      <c r="H207" s="10" t="n">
        <v>45803</v>
      </c>
      <c r="I207" s="9" t="s">
        <v>66</v>
      </c>
      <c r="J207" s="9" t="s">
        <v>41</v>
      </c>
      <c r="K207" s="9" t="n">
        <v>27</v>
      </c>
      <c r="L207" s="9" t="n">
        <v>4</v>
      </c>
      <c r="M207" s="9" t="n">
        <v>0</v>
      </c>
      <c r="N207" s="9" t="s">
        <v>71</v>
      </c>
      <c r="O207" s="9"/>
      <c r="P207" s="9" t="n">
        <v>0.9</v>
      </c>
      <c r="Q207" s="9" t="n">
        <v>41</v>
      </c>
      <c r="R207" s="9" t="s">
        <v>53</v>
      </c>
      <c r="S207" s="9"/>
      <c r="T207" s="9"/>
      <c r="U207" s="9" t="str">
        <f aca="false">IF(COUNTIF($A$2:$A$5001,A207)&gt;1,"Duplicate","Unique")</f>
        <v>Unique</v>
      </c>
      <c r="V207" s="9" t="str">
        <f aca="false">IF(COUNTIFS($B$2:$B$5001,B207,$H$2:$H$5001,H207,$J$2:$J$5001,J207)&gt;1,"Possible Duplicate Booking","Unique")</f>
        <v>Unique</v>
      </c>
      <c r="W207" s="9" t="str">
        <f aca="false">IF((H207-G207)&lt;&gt;K207,"Mismatch","OK")</f>
        <v>OK</v>
      </c>
      <c r="X207" s="9" t="str">
        <f aca="false">IF(TEXT(H207,"dddd")&lt;&gt;I207,"Mismatch","OK")</f>
        <v>OK</v>
      </c>
      <c r="Y207" s="9" t="str">
        <f aca="false">IF(AND(N207="No",O207&lt;&gt;""),"Unexpected: channel present but no reminder sent",IF(AND(N207="Yes",O207=""),"Missing channel for sent reminder","OK"))</f>
        <v>OK</v>
      </c>
    </row>
    <row r="208" customFormat="false" ht="15" hidden="false" customHeight="false" outlineLevel="0" collapsed="false">
      <c r="A208" s="7" t="s">
        <v>473</v>
      </c>
      <c r="B208" s="7" t="s">
        <v>474</v>
      </c>
      <c r="C208" s="7" t="s">
        <v>47</v>
      </c>
      <c r="D208" s="7" t="n">
        <v>73</v>
      </c>
      <c r="E208" s="7" t="s">
        <v>70</v>
      </c>
      <c r="F208" s="7" t="s">
        <v>57</v>
      </c>
      <c r="G208" s="8" t="n">
        <v>46032</v>
      </c>
      <c r="H208" s="8" t="n">
        <v>46075</v>
      </c>
      <c r="I208" s="7" t="s">
        <v>75</v>
      </c>
      <c r="J208" s="7" t="s">
        <v>51</v>
      </c>
      <c r="K208" s="7" t="n">
        <v>43</v>
      </c>
      <c r="L208" s="7" t="n">
        <v>2</v>
      </c>
      <c r="M208" s="7" t="n">
        <v>0</v>
      </c>
      <c r="N208" s="7" t="s">
        <v>42</v>
      </c>
      <c r="O208" s="7" t="s">
        <v>52</v>
      </c>
      <c r="P208" s="7" t="n">
        <v>9</v>
      </c>
      <c r="Q208" s="7" t="n">
        <v>44</v>
      </c>
      <c r="R208" s="7" t="s">
        <v>53</v>
      </c>
      <c r="S208" s="7"/>
      <c r="T208" s="7"/>
      <c r="U208" s="7" t="str">
        <f aca="false">IF(COUNTIF($A$2:$A$5001,A208)&gt;1,"Duplicate","Unique")</f>
        <v>Unique</v>
      </c>
      <c r="V208" s="7" t="str">
        <f aca="false">IF(COUNTIFS($B$2:$B$5001,B208,$H$2:$H$5001,H208,$J$2:$J$5001,J208)&gt;1,"Possible Duplicate Booking","Unique")</f>
        <v>Unique</v>
      </c>
      <c r="W208" s="7" t="str">
        <f aca="false">IF((H208-G208)&lt;&gt;K208,"Mismatch","OK")</f>
        <v>OK</v>
      </c>
      <c r="X208" s="7" t="str">
        <f aca="false">IF(TEXT(H208,"dddd")&lt;&gt;I208,"Mismatch","OK")</f>
        <v>OK</v>
      </c>
      <c r="Y208" s="7" t="str">
        <f aca="false">IF(AND(N208="No",O208&lt;&gt;""),"Unexpected: channel present but no reminder sent",IF(AND(N208="Yes",O208=""),"Missing channel for sent reminder","OK"))</f>
        <v>OK</v>
      </c>
    </row>
    <row r="209" customFormat="false" ht="15" hidden="false" customHeight="false" outlineLevel="0" collapsed="false">
      <c r="A209" s="9" t="s">
        <v>475</v>
      </c>
      <c r="B209" s="9" t="s">
        <v>476</v>
      </c>
      <c r="C209" s="9" t="s">
        <v>37</v>
      </c>
      <c r="D209" s="9" t="n">
        <v>56</v>
      </c>
      <c r="E209" s="9" t="s">
        <v>61</v>
      </c>
      <c r="F209" s="9" t="s">
        <v>39</v>
      </c>
      <c r="G209" s="10" t="n">
        <v>46142</v>
      </c>
      <c r="H209" s="10" t="n">
        <v>46187</v>
      </c>
      <c r="I209" s="9" t="s">
        <v>75</v>
      </c>
      <c r="J209" s="9" t="s">
        <v>51</v>
      </c>
      <c r="K209" s="9" t="n">
        <v>45</v>
      </c>
      <c r="L209" s="9" t="n">
        <v>4</v>
      </c>
      <c r="M209" s="9" t="n">
        <v>0</v>
      </c>
      <c r="N209" s="9" t="s">
        <v>42</v>
      </c>
      <c r="O209" s="9" t="s">
        <v>43</v>
      </c>
      <c r="P209" s="9" t="n">
        <v>6</v>
      </c>
      <c r="Q209" s="9" t="n">
        <v>36</v>
      </c>
      <c r="R209" s="9" t="s">
        <v>44</v>
      </c>
      <c r="S209" s="9"/>
      <c r="T209" s="9"/>
      <c r="U209" s="9" t="str">
        <f aca="false">IF(COUNTIF($A$2:$A$5001,A209)&gt;1,"Duplicate","Unique")</f>
        <v>Unique</v>
      </c>
      <c r="V209" s="9" t="str">
        <f aca="false">IF(COUNTIFS($B$2:$B$5001,B209,$H$2:$H$5001,H209,$J$2:$J$5001,J209)&gt;1,"Possible Duplicate Booking","Unique")</f>
        <v>Unique</v>
      </c>
      <c r="W209" s="9" t="str">
        <f aca="false">IF((H209-G209)&lt;&gt;K209,"Mismatch","OK")</f>
        <v>OK</v>
      </c>
      <c r="X209" s="9" t="str">
        <f aca="false">IF(TEXT(H209,"dddd")&lt;&gt;I209,"Mismatch","OK")</f>
        <v>OK</v>
      </c>
      <c r="Y209" s="9" t="str">
        <f aca="false">IF(AND(N209="No",O209&lt;&gt;""),"Unexpected: channel present but no reminder sent",IF(AND(N209="Yes",O209=""),"Missing channel for sent reminder","OK"))</f>
        <v>OK</v>
      </c>
    </row>
    <row r="210" customFormat="false" ht="15" hidden="false" customHeight="false" outlineLevel="0" collapsed="false">
      <c r="A210" s="7" t="s">
        <v>477</v>
      </c>
      <c r="B210" s="7" t="s">
        <v>478</v>
      </c>
      <c r="C210" s="7" t="s">
        <v>47</v>
      </c>
      <c r="D210" s="7" t="n">
        <v>64</v>
      </c>
      <c r="E210" s="7" t="s">
        <v>61</v>
      </c>
      <c r="F210" s="7" t="s">
        <v>57</v>
      </c>
      <c r="G210" s="8" t="n">
        <v>45772</v>
      </c>
      <c r="H210" s="8" t="n">
        <v>45801</v>
      </c>
      <c r="I210" s="7" t="s">
        <v>102</v>
      </c>
      <c r="J210" s="7" t="s">
        <v>51</v>
      </c>
      <c r="K210" s="7" t="n">
        <v>29</v>
      </c>
      <c r="L210" s="7" t="n">
        <v>1</v>
      </c>
      <c r="M210" s="7" t="n">
        <v>0</v>
      </c>
      <c r="N210" s="7" t="s">
        <v>42</v>
      </c>
      <c r="O210" s="7" t="s">
        <v>52</v>
      </c>
      <c r="P210" s="7" t="n">
        <v>12.6</v>
      </c>
      <c r="Q210" s="7" t="n">
        <v>31</v>
      </c>
      <c r="R210" s="7" t="s">
        <v>53</v>
      </c>
      <c r="S210" s="7"/>
      <c r="T210" s="7"/>
      <c r="U210" s="7" t="str">
        <f aca="false">IF(COUNTIF($A$2:$A$5001,A210)&gt;1,"Duplicate","Unique")</f>
        <v>Unique</v>
      </c>
      <c r="V210" s="7" t="str">
        <f aca="false">IF(COUNTIFS($B$2:$B$5001,B210,$H$2:$H$5001,H210,$J$2:$J$5001,J210)&gt;1,"Possible Duplicate Booking","Unique")</f>
        <v>Unique</v>
      </c>
      <c r="W210" s="7" t="str">
        <f aca="false">IF((H210-G210)&lt;&gt;K210,"Mismatch","OK")</f>
        <v>OK</v>
      </c>
      <c r="X210" s="7" t="str">
        <f aca="false">IF(TEXT(H210,"dddd")&lt;&gt;I210,"Mismatch","OK")</f>
        <v>OK</v>
      </c>
      <c r="Y210" s="7" t="str">
        <f aca="false">IF(AND(N210="No",O210&lt;&gt;""),"Unexpected: channel present but no reminder sent",IF(AND(N210="Yes",O210=""),"Missing channel for sent reminder","OK"))</f>
        <v>OK</v>
      </c>
    </row>
    <row r="211" customFormat="false" ht="15" hidden="false" customHeight="false" outlineLevel="0" collapsed="false">
      <c r="A211" s="9" t="s">
        <v>479</v>
      </c>
      <c r="B211" s="9" t="s">
        <v>480</v>
      </c>
      <c r="C211" s="9" t="s">
        <v>47</v>
      </c>
      <c r="D211" s="9" t="n">
        <v>70</v>
      </c>
      <c r="E211" s="9" t="s">
        <v>70</v>
      </c>
      <c r="F211" s="9" t="s">
        <v>39</v>
      </c>
      <c r="G211" s="10" t="n">
        <v>46082</v>
      </c>
      <c r="H211" s="10" t="n">
        <v>46083</v>
      </c>
      <c r="I211" s="9" t="s">
        <v>66</v>
      </c>
      <c r="J211" s="9" t="s">
        <v>51</v>
      </c>
      <c r="K211" s="9" t="n">
        <v>1</v>
      </c>
      <c r="L211" s="9" t="n">
        <v>3</v>
      </c>
      <c r="M211" s="9" t="n">
        <v>1</v>
      </c>
      <c r="N211" s="9" t="s">
        <v>42</v>
      </c>
      <c r="O211" s="9" t="s">
        <v>67</v>
      </c>
      <c r="P211" s="9" t="n">
        <v>13.7</v>
      </c>
      <c r="Q211" s="9" t="n">
        <v>16</v>
      </c>
      <c r="R211" s="9" t="s">
        <v>53</v>
      </c>
      <c r="S211" s="9"/>
      <c r="T211" s="9"/>
      <c r="U211" s="9" t="str">
        <f aca="false">IF(COUNTIF($A$2:$A$5001,A211)&gt;1,"Duplicate","Unique")</f>
        <v>Unique</v>
      </c>
      <c r="V211" s="9" t="str">
        <f aca="false">IF(COUNTIFS($B$2:$B$5001,B211,$H$2:$H$5001,H211,$J$2:$J$5001,J211)&gt;1,"Possible Duplicate Booking","Unique")</f>
        <v>Unique</v>
      </c>
      <c r="W211" s="9" t="str">
        <f aca="false">IF((H211-G211)&lt;&gt;K211,"Mismatch","OK")</f>
        <v>OK</v>
      </c>
      <c r="X211" s="9" t="str">
        <f aca="false">IF(TEXT(H211,"dddd")&lt;&gt;I211,"Mismatch","OK")</f>
        <v>OK</v>
      </c>
      <c r="Y211" s="9" t="str">
        <f aca="false">IF(AND(N211="No",O211&lt;&gt;""),"Unexpected: channel present but no reminder sent",IF(AND(N211="Yes",O211=""),"Missing channel for sent reminder","OK"))</f>
        <v>OK</v>
      </c>
    </row>
    <row r="212" customFormat="false" ht="15" hidden="false" customHeight="false" outlineLevel="0" collapsed="false">
      <c r="A212" s="7" t="s">
        <v>481</v>
      </c>
      <c r="B212" s="7" t="s">
        <v>482</v>
      </c>
      <c r="C212" s="7" t="s">
        <v>47</v>
      </c>
      <c r="D212" s="7" t="n">
        <v>31</v>
      </c>
      <c r="E212" s="7" t="s">
        <v>48</v>
      </c>
      <c r="F212" s="7" t="s">
        <v>39</v>
      </c>
      <c r="G212" s="8" t="n">
        <v>45794</v>
      </c>
      <c r="H212" s="8" t="n">
        <v>45800</v>
      </c>
      <c r="I212" s="7" t="s">
        <v>50</v>
      </c>
      <c r="J212" s="7" t="s">
        <v>41</v>
      </c>
      <c r="K212" s="7" t="n">
        <v>6</v>
      </c>
      <c r="L212" s="7" t="n">
        <v>2</v>
      </c>
      <c r="M212" s="7" t="n">
        <v>0</v>
      </c>
      <c r="N212" s="7" t="s">
        <v>42</v>
      </c>
      <c r="O212" s="7" t="s">
        <v>43</v>
      </c>
      <c r="P212" s="7" t="n">
        <v>3.1</v>
      </c>
      <c r="Q212" s="7" t="n">
        <v>18</v>
      </c>
      <c r="R212" s="7" t="s">
        <v>53</v>
      </c>
      <c r="S212" s="7"/>
      <c r="T212" s="7"/>
      <c r="U212" s="7" t="str">
        <f aca="false">IF(COUNTIF($A$2:$A$5001,A212)&gt;1,"Duplicate","Unique")</f>
        <v>Unique</v>
      </c>
      <c r="V212" s="7" t="str">
        <f aca="false">IF(COUNTIFS($B$2:$B$5001,B212,$H$2:$H$5001,H212,$J$2:$J$5001,J212)&gt;1,"Possible Duplicate Booking","Unique")</f>
        <v>Unique</v>
      </c>
      <c r="W212" s="7" t="str">
        <f aca="false">IF((H212-G212)&lt;&gt;K212,"Mismatch","OK")</f>
        <v>OK</v>
      </c>
      <c r="X212" s="7" t="str">
        <f aca="false">IF(TEXT(H212,"dddd")&lt;&gt;I212,"Mismatch","OK")</f>
        <v>OK</v>
      </c>
      <c r="Y212" s="7" t="str">
        <f aca="false">IF(AND(N212="No",O212&lt;&gt;""),"Unexpected: channel present but no reminder sent",IF(AND(N212="Yes",O212=""),"Missing channel for sent reminder","OK"))</f>
        <v>OK</v>
      </c>
    </row>
    <row r="213" customFormat="false" ht="15" hidden="false" customHeight="false" outlineLevel="0" collapsed="false">
      <c r="A213" s="9" t="s">
        <v>483</v>
      </c>
      <c r="B213" s="9" t="s">
        <v>484</v>
      </c>
      <c r="C213" s="9" t="s">
        <v>37</v>
      </c>
      <c r="D213" s="9" t="n">
        <v>46</v>
      </c>
      <c r="E213" s="9" t="s">
        <v>56</v>
      </c>
      <c r="F213" s="9" t="s">
        <v>49</v>
      </c>
      <c r="G213" s="10" t="n">
        <v>46041</v>
      </c>
      <c r="H213" s="10" t="n">
        <v>46049</v>
      </c>
      <c r="I213" s="9" t="s">
        <v>40</v>
      </c>
      <c r="J213" s="9" t="s">
        <v>51</v>
      </c>
      <c r="K213" s="9" t="n">
        <v>8</v>
      </c>
      <c r="L213" s="9" t="n">
        <v>3</v>
      </c>
      <c r="M213" s="9" t="n">
        <v>1</v>
      </c>
      <c r="N213" s="9" t="s">
        <v>42</v>
      </c>
      <c r="O213" s="9" t="s">
        <v>43</v>
      </c>
      <c r="P213" s="9" t="n">
        <v>7.6</v>
      </c>
      <c r="Q213" s="9" t="n">
        <v>34</v>
      </c>
      <c r="R213" s="9" t="s">
        <v>53</v>
      </c>
      <c r="S213" s="9"/>
      <c r="T213" s="9"/>
      <c r="U213" s="9" t="str">
        <f aca="false">IF(COUNTIF($A$2:$A$5001,A213)&gt;1,"Duplicate","Unique")</f>
        <v>Unique</v>
      </c>
      <c r="V213" s="9" t="str">
        <f aca="false">IF(COUNTIFS($B$2:$B$5001,B213,$H$2:$H$5001,H213,$J$2:$J$5001,J213)&gt;1,"Possible Duplicate Booking","Unique")</f>
        <v>Unique</v>
      </c>
      <c r="W213" s="9" t="str">
        <f aca="false">IF((H213-G213)&lt;&gt;K213,"Mismatch","OK")</f>
        <v>OK</v>
      </c>
      <c r="X213" s="9" t="str">
        <f aca="false">IF(TEXT(H213,"dddd")&lt;&gt;I213,"Mismatch","OK")</f>
        <v>OK</v>
      </c>
      <c r="Y213" s="9" t="str">
        <f aca="false">IF(AND(N213="No",O213&lt;&gt;""),"Unexpected: channel present but no reminder sent",IF(AND(N213="Yes",O213=""),"Missing channel for sent reminder","OK"))</f>
        <v>OK</v>
      </c>
    </row>
    <row r="214" customFormat="false" ht="15" hidden="false" customHeight="false" outlineLevel="0" collapsed="false">
      <c r="A214" s="7" t="s">
        <v>485</v>
      </c>
      <c r="B214" s="7" t="s">
        <v>486</v>
      </c>
      <c r="C214" s="7" t="s">
        <v>47</v>
      </c>
      <c r="D214" s="7" t="n">
        <v>72</v>
      </c>
      <c r="E214" s="7" t="s">
        <v>70</v>
      </c>
      <c r="F214" s="7" t="s">
        <v>39</v>
      </c>
      <c r="G214" s="8" t="n">
        <v>46060</v>
      </c>
      <c r="H214" s="8" t="n">
        <v>46088</v>
      </c>
      <c r="I214" s="7" t="s">
        <v>102</v>
      </c>
      <c r="J214" s="7" t="s">
        <v>41</v>
      </c>
      <c r="K214" s="7" t="n">
        <v>28</v>
      </c>
      <c r="L214" s="7" t="n">
        <v>2</v>
      </c>
      <c r="M214" s="7" t="n">
        <v>1</v>
      </c>
      <c r="N214" s="7" t="s">
        <v>71</v>
      </c>
      <c r="O214" s="7"/>
      <c r="P214" s="7" t="n">
        <v>19.3</v>
      </c>
      <c r="Q214" s="7" t="n">
        <v>4</v>
      </c>
      <c r="R214" s="7" t="s">
        <v>53</v>
      </c>
      <c r="S214" s="7"/>
      <c r="T214" s="7"/>
      <c r="U214" s="7" t="str">
        <f aca="false">IF(COUNTIF($A$2:$A$5001,A214)&gt;1,"Duplicate","Unique")</f>
        <v>Unique</v>
      </c>
      <c r="V214" s="7" t="str">
        <f aca="false">IF(COUNTIFS($B$2:$B$5001,B214,$H$2:$H$5001,H214,$J$2:$J$5001,J214)&gt;1,"Possible Duplicate Booking","Unique")</f>
        <v>Unique</v>
      </c>
      <c r="W214" s="7" t="str">
        <f aca="false">IF((H214-G214)&lt;&gt;K214,"Mismatch","OK")</f>
        <v>OK</v>
      </c>
      <c r="X214" s="7" t="str">
        <f aca="false">IF(TEXT(H214,"dddd")&lt;&gt;I214,"Mismatch","OK")</f>
        <v>OK</v>
      </c>
      <c r="Y214" s="7" t="str">
        <f aca="false">IF(AND(N214="No",O214&lt;&gt;""),"Unexpected: channel present but no reminder sent",IF(AND(N214="Yes",O214=""),"Missing channel for sent reminder","OK"))</f>
        <v>OK</v>
      </c>
    </row>
    <row r="215" customFormat="false" ht="15" hidden="false" customHeight="false" outlineLevel="0" collapsed="false">
      <c r="A215" s="9" t="s">
        <v>487</v>
      </c>
      <c r="B215" s="9" t="s">
        <v>488</v>
      </c>
      <c r="C215" s="9" t="s">
        <v>47</v>
      </c>
      <c r="D215" s="9" t="n">
        <v>28</v>
      </c>
      <c r="E215" s="9" t="s">
        <v>48</v>
      </c>
      <c r="F215" s="9" t="s">
        <v>57</v>
      </c>
      <c r="G215" s="10" t="n">
        <v>45866</v>
      </c>
      <c r="H215" s="10" t="n">
        <v>45903</v>
      </c>
      <c r="I215" s="9" t="s">
        <v>58</v>
      </c>
      <c r="J215" s="9" t="s">
        <v>41</v>
      </c>
      <c r="K215" s="9" t="n">
        <v>37</v>
      </c>
      <c r="L215" s="9" t="n">
        <v>1</v>
      </c>
      <c r="M215" s="9" t="n">
        <v>0</v>
      </c>
      <c r="N215" s="9" t="s">
        <v>42</v>
      </c>
      <c r="O215" s="9" t="s">
        <v>52</v>
      </c>
      <c r="P215" s="9" t="n">
        <v>13.8</v>
      </c>
      <c r="Q215" s="9" t="n">
        <v>39</v>
      </c>
      <c r="R215" s="9" t="s">
        <v>44</v>
      </c>
      <c r="S215" s="9"/>
      <c r="T215" s="9"/>
      <c r="U215" s="9" t="str">
        <f aca="false">IF(COUNTIF($A$2:$A$5001,A215)&gt;1,"Duplicate","Unique")</f>
        <v>Unique</v>
      </c>
      <c r="V215" s="9" t="str">
        <f aca="false">IF(COUNTIFS($B$2:$B$5001,B215,$H$2:$H$5001,H215,$J$2:$J$5001,J215)&gt;1,"Possible Duplicate Booking","Unique")</f>
        <v>Unique</v>
      </c>
      <c r="W215" s="9" t="str">
        <f aca="false">IF((H215-G215)&lt;&gt;K215,"Mismatch","OK")</f>
        <v>OK</v>
      </c>
      <c r="X215" s="9" t="str">
        <f aca="false">IF(TEXT(H215,"dddd")&lt;&gt;I215,"Mismatch","OK")</f>
        <v>OK</v>
      </c>
      <c r="Y215" s="9" t="str">
        <f aca="false">IF(AND(N215="No",O215&lt;&gt;""),"Unexpected: channel present but no reminder sent",IF(AND(N215="Yes",O215=""),"Missing channel for sent reminder","OK"))</f>
        <v>OK</v>
      </c>
    </row>
    <row r="216" customFormat="false" ht="15" hidden="false" customHeight="false" outlineLevel="0" collapsed="false">
      <c r="A216" s="7" t="s">
        <v>489</v>
      </c>
      <c r="B216" s="7" t="s">
        <v>490</v>
      </c>
      <c r="C216" s="7" t="s">
        <v>47</v>
      </c>
      <c r="D216" s="7" t="n">
        <v>69</v>
      </c>
      <c r="E216" s="7" t="s">
        <v>70</v>
      </c>
      <c r="F216" s="7" t="s">
        <v>57</v>
      </c>
      <c r="G216" s="8" t="n">
        <v>46011</v>
      </c>
      <c r="H216" s="8" t="n">
        <v>46060</v>
      </c>
      <c r="I216" s="7" t="s">
        <v>102</v>
      </c>
      <c r="J216" s="7" t="s">
        <v>51</v>
      </c>
      <c r="K216" s="7" t="n">
        <v>49</v>
      </c>
      <c r="L216" s="7" t="n">
        <v>1</v>
      </c>
      <c r="M216" s="7" t="n">
        <v>0</v>
      </c>
      <c r="N216" s="7" t="s">
        <v>42</v>
      </c>
      <c r="O216" s="7" t="s">
        <v>52</v>
      </c>
      <c r="P216" s="7" t="n">
        <v>11</v>
      </c>
      <c r="Q216" s="7" t="n">
        <v>17</v>
      </c>
      <c r="R216" s="7" t="s">
        <v>53</v>
      </c>
      <c r="S216" s="7"/>
      <c r="T216" s="7"/>
      <c r="U216" s="7" t="str">
        <f aca="false">IF(COUNTIF($A$2:$A$5001,A216)&gt;1,"Duplicate","Unique")</f>
        <v>Unique</v>
      </c>
      <c r="V216" s="7" t="str">
        <f aca="false">IF(COUNTIFS($B$2:$B$5001,B216,$H$2:$H$5001,H216,$J$2:$J$5001,J216)&gt;1,"Possible Duplicate Booking","Unique")</f>
        <v>Unique</v>
      </c>
      <c r="W216" s="7" t="str">
        <f aca="false">IF((H216-G216)&lt;&gt;K216,"Mismatch","OK")</f>
        <v>OK</v>
      </c>
      <c r="X216" s="7" t="str">
        <f aca="false">IF(TEXT(H216,"dddd")&lt;&gt;I216,"Mismatch","OK")</f>
        <v>OK</v>
      </c>
      <c r="Y216" s="7" t="str">
        <f aca="false">IF(AND(N216="No",O216&lt;&gt;""),"Unexpected: channel present but no reminder sent",IF(AND(N216="Yes",O216=""),"Missing channel for sent reminder","OK"))</f>
        <v>OK</v>
      </c>
    </row>
    <row r="217" customFormat="false" ht="15" hidden="false" customHeight="false" outlineLevel="0" collapsed="false">
      <c r="A217" s="9" t="s">
        <v>491</v>
      </c>
      <c r="B217" s="9" t="s">
        <v>492</v>
      </c>
      <c r="C217" s="9" t="s">
        <v>47</v>
      </c>
      <c r="D217" s="9" t="n">
        <v>36</v>
      </c>
      <c r="E217" s="9" t="s">
        <v>38</v>
      </c>
      <c r="F217" s="9" t="s">
        <v>57</v>
      </c>
      <c r="G217" s="10" t="n">
        <v>45792</v>
      </c>
      <c r="H217" s="10" t="n">
        <v>45806</v>
      </c>
      <c r="I217" s="9" t="s">
        <v>62</v>
      </c>
      <c r="J217" s="9" t="s">
        <v>51</v>
      </c>
      <c r="K217" s="9" t="n">
        <v>14</v>
      </c>
      <c r="L217" s="9" t="n">
        <v>4</v>
      </c>
      <c r="M217" s="9" t="n">
        <v>2</v>
      </c>
      <c r="N217" s="9" t="s">
        <v>42</v>
      </c>
      <c r="O217" s="9" t="s">
        <v>52</v>
      </c>
      <c r="P217" s="9" t="n">
        <v>12.1</v>
      </c>
      <c r="Q217" s="9" t="n">
        <v>18</v>
      </c>
      <c r="R217" s="9" t="s">
        <v>44</v>
      </c>
      <c r="S217" s="9"/>
      <c r="T217" s="9"/>
      <c r="U217" s="9" t="str">
        <f aca="false">IF(COUNTIF($A$2:$A$5001,A217)&gt;1,"Duplicate","Unique")</f>
        <v>Unique</v>
      </c>
      <c r="V217" s="9" t="str">
        <f aca="false">IF(COUNTIFS($B$2:$B$5001,B217,$H$2:$H$5001,H217,$J$2:$J$5001,J217)&gt;1,"Possible Duplicate Booking","Unique")</f>
        <v>Unique</v>
      </c>
      <c r="W217" s="9" t="str">
        <f aca="false">IF((H217-G217)&lt;&gt;K217,"Mismatch","OK")</f>
        <v>OK</v>
      </c>
      <c r="X217" s="9" t="str">
        <f aca="false">IF(TEXT(H217,"dddd")&lt;&gt;I217,"Mismatch","OK")</f>
        <v>OK</v>
      </c>
      <c r="Y217" s="9" t="str">
        <f aca="false">IF(AND(N217="No",O217&lt;&gt;""),"Unexpected: channel present but no reminder sent",IF(AND(N217="Yes",O217=""),"Missing channel for sent reminder","OK"))</f>
        <v>OK</v>
      </c>
    </row>
    <row r="218" customFormat="false" ht="15" hidden="false" customHeight="false" outlineLevel="0" collapsed="false">
      <c r="A218" s="7" t="s">
        <v>493</v>
      </c>
      <c r="B218" s="7" t="s">
        <v>494</v>
      </c>
      <c r="C218" s="7" t="s">
        <v>37</v>
      </c>
      <c r="D218" s="7" t="n">
        <v>54</v>
      </c>
      <c r="E218" s="7" t="s">
        <v>56</v>
      </c>
      <c r="F218" s="7" t="s">
        <v>39</v>
      </c>
      <c r="G218" s="8" t="n">
        <v>45654</v>
      </c>
      <c r="H218" s="8" t="n">
        <v>45701</v>
      </c>
      <c r="I218" s="7" t="s">
        <v>62</v>
      </c>
      <c r="J218" s="7" t="s">
        <v>41</v>
      </c>
      <c r="K218" s="7" t="n">
        <v>47</v>
      </c>
      <c r="L218" s="7" t="n">
        <v>8</v>
      </c>
      <c r="M218" s="7" t="n">
        <v>1</v>
      </c>
      <c r="N218" s="7" t="s">
        <v>42</v>
      </c>
      <c r="O218" s="7" t="s">
        <v>52</v>
      </c>
      <c r="P218" s="7" t="n">
        <v>0.8</v>
      </c>
      <c r="Q218" s="7" t="n">
        <v>33</v>
      </c>
      <c r="R218" s="7" t="s">
        <v>44</v>
      </c>
      <c r="S218" s="7"/>
      <c r="T218" s="7"/>
      <c r="U218" s="7" t="str">
        <f aca="false">IF(COUNTIF($A$2:$A$5001,A218)&gt;1,"Duplicate","Unique")</f>
        <v>Unique</v>
      </c>
      <c r="V218" s="7" t="str">
        <f aca="false">IF(COUNTIFS($B$2:$B$5001,B218,$H$2:$H$5001,H218,$J$2:$J$5001,J218)&gt;1,"Possible Duplicate Booking","Unique")</f>
        <v>Unique</v>
      </c>
      <c r="W218" s="7" t="str">
        <f aca="false">IF((H218-G218)&lt;&gt;K218,"Mismatch","OK")</f>
        <v>OK</v>
      </c>
      <c r="X218" s="7" t="str">
        <f aca="false">IF(TEXT(H218,"dddd")&lt;&gt;I218,"Mismatch","OK")</f>
        <v>OK</v>
      </c>
      <c r="Y218" s="7" t="str">
        <f aca="false">IF(AND(N218="No",O218&lt;&gt;""),"Unexpected: channel present but no reminder sent",IF(AND(N218="Yes",O218=""),"Missing channel for sent reminder","OK"))</f>
        <v>OK</v>
      </c>
    </row>
    <row r="219" customFormat="false" ht="15" hidden="false" customHeight="false" outlineLevel="0" collapsed="false">
      <c r="A219" s="9" t="s">
        <v>495</v>
      </c>
      <c r="B219" s="9" t="s">
        <v>496</v>
      </c>
      <c r="C219" s="9" t="s">
        <v>47</v>
      </c>
      <c r="D219" s="9" t="n">
        <v>50</v>
      </c>
      <c r="E219" s="9" t="s">
        <v>56</v>
      </c>
      <c r="F219" s="9" t="s">
        <v>49</v>
      </c>
      <c r="G219" s="10" t="n">
        <v>45670</v>
      </c>
      <c r="H219" s="10" t="n">
        <v>45710</v>
      </c>
      <c r="I219" s="9" t="s">
        <v>102</v>
      </c>
      <c r="J219" s="9" t="s">
        <v>41</v>
      </c>
      <c r="K219" s="9" t="n">
        <v>40</v>
      </c>
      <c r="L219" s="9" t="n">
        <v>2</v>
      </c>
      <c r="M219" s="9" t="n">
        <v>0</v>
      </c>
      <c r="N219" s="9" t="s">
        <v>42</v>
      </c>
      <c r="O219" s="9" t="s">
        <v>43</v>
      </c>
      <c r="P219" s="9" t="n">
        <v>8.6</v>
      </c>
      <c r="Q219" s="9" t="n">
        <v>27</v>
      </c>
      <c r="R219" s="9" t="s">
        <v>53</v>
      </c>
      <c r="S219" s="9"/>
      <c r="T219" s="9"/>
      <c r="U219" s="9" t="str">
        <f aca="false">IF(COUNTIF($A$2:$A$5001,A219)&gt;1,"Duplicate","Unique")</f>
        <v>Unique</v>
      </c>
      <c r="V219" s="9" t="str">
        <f aca="false">IF(COUNTIFS($B$2:$B$5001,B219,$H$2:$H$5001,H219,$J$2:$J$5001,J219)&gt;1,"Possible Duplicate Booking","Unique")</f>
        <v>Unique</v>
      </c>
      <c r="W219" s="9" t="str">
        <f aca="false">IF((H219-G219)&lt;&gt;K219,"Mismatch","OK")</f>
        <v>OK</v>
      </c>
      <c r="X219" s="9" t="str">
        <f aca="false">IF(TEXT(H219,"dddd")&lt;&gt;I219,"Mismatch","OK")</f>
        <v>OK</v>
      </c>
      <c r="Y219" s="9" t="str">
        <f aca="false">IF(AND(N219="No",O219&lt;&gt;""),"Unexpected: channel present but no reminder sent",IF(AND(N219="Yes",O219=""),"Missing channel for sent reminder","OK"))</f>
        <v>OK</v>
      </c>
    </row>
    <row r="220" customFormat="false" ht="15" hidden="false" customHeight="false" outlineLevel="0" collapsed="false">
      <c r="A220" s="7" t="s">
        <v>497</v>
      </c>
      <c r="B220" s="7" t="s">
        <v>498</v>
      </c>
      <c r="C220" s="7" t="s">
        <v>37</v>
      </c>
      <c r="D220" s="7" t="n">
        <v>61</v>
      </c>
      <c r="E220" s="7" t="s">
        <v>61</v>
      </c>
      <c r="F220" s="7" t="s">
        <v>49</v>
      </c>
      <c r="G220" s="8" t="n">
        <v>45899</v>
      </c>
      <c r="H220" s="8" t="n">
        <v>45902</v>
      </c>
      <c r="I220" s="7" t="s">
        <v>40</v>
      </c>
      <c r="J220" s="7" t="s">
        <v>51</v>
      </c>
      <c r="K220" s="7" t="n">
        <v>3</v>
      </c>
      <c r="L220" s="7" t="n">
        <v>4</v>
      </c>
      <c r="M220" s="7" t="n">
        <v>0</v>
      </c>
      <c r="N220" s="7" t="s">
        <v>42</v>
      </c>
      <c r="O220" s="7" t="s">
        <v>67</v>
      </c>
      <c r="P220" s="7" t="n">
        <v>5.2</v>
      </c>
      <c r="Q220" s="7" t="n">
        <v>19</v>
      </c>
      <c r="R220" s="7" t="s">
        <v>53</v>
      </c>
      <c r="S220" s="7"/>
      <c r="T220" s="7"/>
      <c r="U220" s="7" t="str">
        <f aca="false">IF(COUNTIF($A$2:$A$5001,A220)&gt;1,"Duplicate","Unique")</f>
        <v>Unique</v>
      </c>
      <c r="V220" s="7" t="str">
        <f aca="false">IF(COUNTIFS($B$2:$B$5001,B220,$H$2:$H$5001,H220,$J$2:$J$5001,J220)&gt;1,"Possible Duplicate Booking","Unique")</f>
        <v>Unique</v>
      </c>
      <c r="W220" s="7" t="str">
        <f aca="false">IF((H220-G220)&lt;&gt;K220,"Mismatch","OK")</f>
        <v>OK</v>
      </c>
      <c r="X220" s="7" t="str">
        <f aca="false">IF(TEXT(H220,"dddd")&lt;&gt;I220,"Mismatch","OK")</f>
        <v>OK</v>
      </c>
      <c r="Y220" s="7" t="str">
        <f aca="false">IF(AND(N220="No",O220&lt;&gt;""),"Unexpected: channel present but no reminder sent",IF(AND(N220="Yes",O220=""),"Missing channel for sent reminder","OK"))</f>
        <v>OK</v>
      </c>
    </row>
    <row r="221" customFormat="false" ht="15" hidden="false" customHeight="false" outlineLevel="0" collapsed="false">
      <c r="A221" s="9" t="s">
        <v>499</v>
      </c>
      <c r="B221" s="9" t="s">
        <v>500</v>
      </c>
      <c r="C221" s="9" t="s">
        <v>37</v>
      </c>
      <c r="D221" s="9" t="n">
        <v>70</v>
      </c>
      <c r="E221" s="9" t="s">
        <v>70</v>
      </c>
      <c r="F221" s="9" t="s">
        <v>39</v>
      </c>
      <c r="G221" s="10" t="n">
        <v>46129</v>
      </c>
      <c r="H221" s="10" t="n">
        <v>46150</v>
      </c>
      <c r="I221" s="9" t="s">
        <v>50</v>
      </c>
      <c r="J221" s="9" t="s">
        <v>51</v>
      </c>
      <c r="K221" s="9" t="n">
        <v>21</v>
      </c>
      <c r="L221" s="9" t="n">
        <v>4</v>
      </c>
      <c r="M221" s="9" t="n">
        <v>0</v>
      </c>
      <c r="N221" s="9" t="s">
        <v>42</v>
      </c>
      <c r="O221" s="9" t="s">
        <v>43</v>
      </c>
      <c r="P221" s="9" t="n">
        <v>21.5</v>
      </c>
      <c r="Q221" s="9" t="n">
        <v>14</v>
      </c>
      <c r="R221" s="9" t="s">
        <v>53</v>
      </c>
      <c r="S221" s="9"/>
      <c r="T221" s="9"/>
      <c r="U221" s="9" t="str">
        <f aca="false">IF(COUNTIF($A$2:$A$5001,A221)&gt;1,"Duplicate","Unique")</f>
        <v>Unique</v>
      </c>
      <c r="V221" s="9" t="str">
        <f aca="false">IF(COUNTIFS($B$2:$B$5001,B221,$H$2:$H$5001,H221,$J$2:$J$5001,J221)&gt;1,"Possible Duplicate Booking","Unique")</f>
        <v>Unique</v>
      </c>
      <c r="W221" s="9" t="str">
        <f aca="false">IF((H221-G221)&lt;&gt;K221,"Mismatch","OK")</f>
        <v>OK</v>
      </c>
      <c r="X221" s="9" t="str">
        <f aca="false">IF(TEXT(H221,"dddd")&lt;&gt;I221,"Mismatch","OK")</f>
        <v>OK</v>
      </c>
      <c r="Y221" s="9" t="str">
        <f aca="false">IF(AND(N221="No",O221&lt;&gt;""),"Unexpected: channel present but no reminder sent",IF(AND(N221="Yes",O221=""),"Missing channel for sent reminder","OK"))</f>
        <v>OK</v>
      </c>
    </row>
    <row r="222" customFormat="false" ht="15" hidden="false" customHeight="false" outlineLevel="0" collapsed="false">
      <c r="A222" s="7" t="s">
        <v>501</v>
      </c>
      <c r="B222" s="7" t="s">
        <v>502</v>
      </c>
      <c r="C222" s="7" t="s">
        <v>47</v>
      </c>
      <c r="D222" s="7" t="n">
        <v>39</v>
      </c>
      <c r="E222" s="7" t="s">
        <v>38</v>
      </c>
      <c r="F222" s="7" t="s">
        <v>57</v>
      </c>
      <c r="G222" s="8" t="n">
        <v>45709</v>
      </c>
      <c r="H222" s="8" t="n">
        <v>45727</v>
      </c>
      <c r="I222" s="7" t="s">
        <v>40</v>
      </c>
      <c r="J222" s="7" t="s">
        <v>51</v>
      </c>
      <c r="K222" s="7" t="n">
        <v>18</v>
      </c>
      <c r="L222" s="7" t="n">
        <v>0</v>
      </c>
      <c r="M222" s="7" t="n">
        <v>0</v>
      </c>
      <c r="N222" s="7" t="s">
        <v>42</v>
      </c>
      <c r="O222" s="7" t="s">
        <v>43</v>
      </c>
      <c r="P222" s="7" t="n">
        <v>30</v>
      </c>
      <c r="Q222" s="7" t="n">
        <v>7</v>
      </c>
      <c r="R222" s="7" t="s">
        <v>44</v>
      </c>
      <c r="S222" s="7"/>
      <c r="T222" s="7"/>
      <c r="U222" s="7" t="str">
        <f aca="false">IF(COUNTIF($A$2:$A$5001,A222)&gt;1,"Duplicate","Unique")</f>
        <v>Unique</v>
      </c>
      <c r="V222" s="7" t="str">
        <f aca="false">IF(COUNTIFS($B$2:$B$5001,B222,$H$2:$H$5001,H222,$J$2:$J$5001,J222)&gt;1,"Possible Duplicate Booking","Unique")</f>
        <v>Unique</v>
      </c>
      <c r="W222" s="7" t="str">
        <f aca="false">IF((H222-G222)&lt;&gt;K222,"Mismatch","OK")</f>
        <v>OK</v>
      </c>
      <c r="X222" s="7" t="str">
        <f aca="false">IF(TEXT(H222,"dddd")&lt;&gt;I222,"Mismatch","OK")</f>
        <v>OK</v>
      </c>
      <c r="Y222" s="7" t="str">
        <f aca="false">IF(AND(N222="No",O222&lt;&gt;""),"Unexpected: channel present but no reminder sent",IF(AND(N222="Yes",O222=""),"Missing channel for sent reminder","OK"))</f>
        <v>OK</v>
      </c>
    </row>
    <row r="223" customFormat="false" ht="15" hidden="false" customHeight="false" outlineLevel="0" collapsed="false">
      <c r="A223" s="9" t="s">
        <v>503</v>
      </c>
      <c r="B223" s="9" t="s">
        <v>504</v>
      </c>
      <c r="C223" s="9" t="s">
        <v>37</v>
      </c>
      <c r="D223" s="9" t="n">
        <v>28</v>
      </c>
      <c r="E223" s="9" t="s">
        <v>48</v>
      </c>
      <c r="F223" s="9" t="s">
        <v>49</v>
      </c>
      <c r="G223" s="10" t="n">
        <v>45852</v>
      </c>
      <c r="H223" s="10" t="n">
        <v>45906</v>
      </c>
      <c r="I223" s="9" t="s">
        <v>102</v>
      </c>
      <c r="J223" s="9" t="s">
        <v>51</v>
      </c>
      <c r="K223" s="9" t="n">
        <v>54</v>
      </c>
      <c r="L223" s="9" t="n">
        <v>1</v>
      </c>
      <c r="M223" s="9" t="n">
        <v>0</v>
      </c>
      <c r="N223" s="9" t="s">
        <v>42</v>
      </c>
      <c r="O223" s="9" t="s">
        <v>67</v>
      </c>
      <c r="P223" s="9" t="n">
        <v>5.2</v>
      </c>
      <c r="Q223" s="9" t="n">
        <v>2</v>
      </c>
      <c r="R223" s="9" t="s">
        <v>53</v>
      </c>
      <c r="S223" s="9"/>
      <c r="T223" s="9"/>
      <c r="U223" s="9" t="str">
        <f aca="false">IF(COUNTIF($A$2:$A$5001,A223)&gt;1,"Duplicate","Unique")</f>
        <v>Unique</v>
      </c>
      <c r="V223" s="9" t="str">
        <f aca="false">IF(COUNTIFS($B$2:$B$5001,B223,$H$2:$H$5001,H223,$J$2:$J$5001,J223)&gt;1,"Possible Duplicate Booking","Unique")</f>
        <v>Unique</v>
      </c>
      <c r="W223" s="9" t="str">
        <f aca="false">IF((H223-G223)&lt;&gt;K223,"Mismatch","OK")</f>
        <v>OK</v>
      </c>
      <c r="X223" s="9" t="str">
        <f aca="false">IF(TEXT(H223,"dddd")&lt;&gt;I223,"Mismatch","OK")</f>
        <v>OK</v>
      </c>
      <c r="Y223" s="9" t="str">
        <f aca="false">IF(AND(N223="No",O223&lt;&gt;""),"Unexpected: channel present but no reminder sent",IF(AND(N223="Yes",O223=""),"Missing channel for sent reminder","OK"))</f>
        <v>OK</v>
      </c>
    </row>
    <row r="224" customFormat="false" ht="15" hidden="false" customHeight="false" outlineLevel="0" collapsed="false">
      <c r="A224" s="7" t="s">
        <v>505</v>
      </c>
      <c r="B224" s="7" t="s">
        <v>506</v>
      </c>
      <c r="C224" s="7" t="s">
        <v>47</v>
      </c>
      <c r="D224" s="7" t="n">
        <v>44</v>
      </c>
      <c r="E224" s="7" t="s">
        <v>38</v>
      </c>
      <c r="F224" s="7" t="s">
        <v>57</v>
      </c>
      <c r="G224" s="8" t="n">
        <v>45986</v>
      </c>
      <c r="H224" s="8" t="n">
        <v>46042</v>
      </c>
      <c r="I224" s="7" t="s">
        <v>40</v>
      </c>
      <c r="J224" s="7" t="s">
        <v>51</v>
      </c>
      <c r="K224" s="7" t="n">
        <v>56</v>
      </c>
      <c r="L224" s="7" t="n">
        <v>4</v>
      </c>
      <c r="M224" s="7" t="n">
        <v>1</v>
      </c>
      <c r="N224" s="7" t="s">
        <v>71</v>
      </c>
      <c r="O224" s="7"/>
      <c r="P224" s="7" t="n">
        <v>23.3</v>
      </c>
      <c r="Q224" s="7" t="n">
        <v>40</v>
      </c>
      <c r="R224" s="7" t="s">
        <v>44</v>
      </c>
      <c r="S224" s="7"/>
      <c r="T224" s="7"/>
      <c r="U224" s="7" t="str">
        <f aca="false">IF(COUNTIF($A$2:$A$5001,A224)&gt;1,"Duplicate","Unique")</f>
        <v>Unique</v>
      </c>
      <c r="V224" s="7" t="str">
        <f aca="false">IF(COUNTIFS($B$2:$B$5001,B224,$H$2:$H$5001,H224,$J$2:$J$5001,J224)&gt;1,"Possible Duplicate Booking","Unique")</f>
        <v>Possible Duplicate Booking</v>
      </c>
      <c r="W224" s="7" t="str">
        <f aca="false">IF((H224-G224)&lt;&gt;K224,"Mismatch","OK")</f>
        <v>OK</v>
      </c>
      <c r="X224" s="7" t="str">
        <f aca="false">IF(TEXT(H224,"dddd")&lt;&gt;I224,"Mismatch","OK")</f>
        <v>OK</v>
      </c>
      <c r="Y224" s="7" t="str">
        <f aca="false">IF(AND(N224="No",O224&lt;&gt;""),"Unexpected: channel present but no reminder sent",IF(AND(N224="Yes",O224=""),"Missing channel for sent reminder","OK"))</f>
        <v>OK</v>
      </c>
    </row>
    <row r="225" customFormat="false" ht="15" hidden="false" customHeight="false" outlineLevel="0" collapsed="false">
      <c r="A225" s="9" t="s">
        <v>507</v>
      </c>
      <c r="B225" s="9" t="s">
        <v>508</v>
      </c>
      <c r="C225" s="9" t="s">
        <v>37</v>
      </c>
      <c r="D225" s="9" t="n">
        <v>56</v>
      </c>
      <c r="E225" s="9" t="s">
        <v>61</v>
      </c>
      <c r="F225" s="9" t="s">
        <v>57</v>
      </c>
      <c r="G225" s="10" t="n">
        <v>45719</v>
      </c>
      <c r="H225" s="10" t="n">
        <v>45768</v>
      </c>
      <c r="I225" s="9" t="s">
        <v>66</v>
      </c>
      <c r="J225" s="9" t="s">
        <v>63</v>
      </c>
      <c r="K225" s="9" t="n">
        <v>49</v>
      </c>
      <c r="L225" s="9" t="n">
        <v>2</v>
      </c>
      <c r="M225" s="9" t="n">
        <v>0</v>
      </c>
      <c r="N225" s="9" t="s">
        <v>42</v>
      </c>
      <c r="O225" s="9" t="s">
        <v>52</v>
      </c>
      <c r="P225" s="9" t="n">
        <v>13.2</v>
      </c>
      <c r="Q225" s="9" t="n">
        <v>22</v>
      </c>
      <c r="R225" s="9" t="s">
        <v>87</v>
      </c>
      <c r="S225" s="9"/>
      <c r="T225" s="9"/>
      <c r="U225" s="9" t="str">
        <f aca="false">IF(COUNTIF($A$2:$A$5001,A225)&gt;1,"Duplicate","Unique")</f>
        <v>Unique</v>
      </c>
      <c r="V225" s="9" t="str">
        <f aca="false">IF(COUNTIFS($B$2:$B$5001,B225,$H$2:$H$5001,H225,$J$2:$J$5001,J225)&gt;1,"Possible Duplicate Booking","Unique")</f>
        <v>Unique</v>
      </c>
      <c r="W225" s="9" t="str">
        <f aca="false">IF((H225-G225)&lt;&gt;K225,"Mismatch","OK")</f>
        <v>OK</v>
      </c>
      <c r="X225" s="9" t="str">
        <f aca="false">IF(TEXT(H225,"dddd")&lt;&gt;I225,"Mismatch","OK")</f>
        <v>OK</v>
      </c>
      <c r="Y225" s="9" t="str">
        <f aca="false">IF(AND(N225="No",O225&lt;&gt;""),"Unexpected: channel present but no reminder sent",IF(AND(N225="Yes",O225=""),"Missing channel for sent reminder","OK"))</f>
        <v>OK</v>
      </c>
    </row>
    <row r="226" customFormat="false" ht="15" hidden="false" customHeight="false" outlineLevel="0" collapsed="false">
      <c r="A226" s="7" t="s">
        <v>509</v>
      </c>
      <c r="B226" s="7" t="s">
        <v>510</v>
      </c>
      <c r="C226" s="7" t="s">
        <v>37</v>
      </c>
      <c r="D226" s="7" t="n">
        <v>65</v>
      </c>
      <c r="E226" s="7" t="s">
        <v>70</v>
      </c>
      <c r="F226" s="7" t="s">
        <v>49</v>
      </c>
      <c r="G226" s="8" t="n">
        <v>46020</v>
      </c>
      <c r="H226" s="8" t="n">
        <v>46052</v>
      </c>
      <c r="I226" s="7" t="s">
        <v>50</v>
      </c>
      <c r="J226" s="7" t="s">
        <v>51</v>
      </c>
      <c r="K226" s="7" t="n">
        <v>32</v>
      </c>
      <c r="L226" s="7" t="n">
        <v>3</v>
      </c>
      <c r="M226" s="7" t="n">
        <v>0</v>
      </c>
      <c r="N226" s="7" t="s">
        <v>42</v>
      </c>
      <c r="O226" s="7" t="s">
        <v>52</v>
      </c>
      <c r="P226" s="7" t="n">
        <v>0.8</v>
      </c>
      <c r="Q226" s="7" t="n">
        <v>14</v>
      </c>
      <c r="R226" s="7" t="s">
        <v>53</v>
      </c>
      <c r="S226" s="7"/>
      <c r="T226" s="7"/>
      <c r="U226" s="7" t="str">
        <f aca="false">IF(COUNTIF($A$2:$A$5001,A226)&gt;1,"Duplicate","Unique")</f>
        <v>Unique</v>
      </c>
      <c r="V226" s="7" t="str">
        <f aca="false">IF(COUNTIFS($B$2:$B$5001,B226,$H$2:$H$5001,H226,$J$2:$J$5001,J226)&gt;1,"Possible Duplicate Booking","Unique")</f>
        <v>Unique</v>
      </c>
      <c r="W226" s="7" t="str">
        <f aca="false">IF((H226-G226)&lt;&gt;K226,"Mismatch","OK")</f>
        <v>OK</v>
      </c>
      <c r="X226" s="7" t="str">
        <f aca="false">IF(TEXT(H226,"dddd")&lt;&gt;I226,"Mismatch","OK")</f>
        <v>OK</v>
      </c>
      <c r="Y226" s="7" t="str">
        <f aca="false">IF(AND(N226="No",O226&lt;&gt;""),"Unexpected: channel present but no reminder sent",IF(AND(N226="Yes",O226=""),"Missing channel for sent reminder","OK"))</f>
        <v>OK</v>
      </c>
    </row>
    <row r="227" customFormat="false" ht="15" hidden="false" customHeight="false" outlineLevel="0" collapsed="false">
      <c r="A227" s="9" t="s">
        <v>511</v>
      </c>
      <c r="B227" s="9" t="s">
        <v>512</v>
      </c>
      <c r="C227" s="9" t="s">
        <v>47</v>
      </c>
      <c r="D227" s="9" t="n">
        <v>65</v>
      </c>
      <c r="E227" s="9" t="s">
        <v>70</v>
      </c>
      <c r="F227" s="9" t="s">
        <v>57</v>
      </c>
      <c r="G227" s="10" t="n">
        <v>45795</v>
      </c>
      <c r="H227" s="10" t="n">
        <v>45825</v>
      </c>
      <c r="I227" s="9" t="s">
        <v>40</v>
      </c>
      <c r="J227" s="9" t="s">
        <v>51</v>
      </c>
      <c r="K227" s="9" t="n">
        <v>30</v>
      </c>
      <c r="L227" s="9" t="n">
        <v>3</v>
      </c>
      <c r="M227" s="9" t="n">
        <v>0</v>
      </c>
      <c r="N227" s="9" t="s">
        <v>42</v>
      </c>
      <c r="O227" s="9" t="s">
        <v>52</v>
      </c>
      <c r="P227" s="9" t="n">
        <v>19.6</v>
      </c>
      <c r="Q227" s="9" t="n">
        <v>32</v>
      </c>
      <c r="R227" s="9" t="s">
        <v>53</v>
      </c>
      <c r="S227" s="9"/>
      <c r="T227" s="9"/>
      <c r="U227" s="9" t="str">
        <f aca="false">IF(COUNTIF($A$2:$A$5001,A227)&gt;1,"Duplicate","Unique")</f>
        <v>Unique</v>
      </c>
      <c r="V227" s="9" t="str">
        <f aca="false">IF(COUNTIFS($B$2:$B$5001,B227,$H$2:$H$5001,H227,$J$2:$J$5001,J227)&gt;1,"Possible Duplicate Booking","Unique")</f>
        <v>Unique</v>
      </c>
      <c r="W227" s="9" t="str">
        <f aca="false">IF((H227-G227)&lt;&gt;K227,"Mismatch","OK")</f>
        <v>OK</v>
      </c>
      <c r="X227" s="9" t="str">
        <f aca="false">IF(TEXT(H227,"dddd")&lt;&gt;I227,"Mismatch","OK")</f>
        <v>OK</v>
      </c>
      <c r="Y227" s="9" t="str">
        <f aca="false">IF(AND(N227="No",O227&lt;&gt;""),"Unexpected: channel present but no reminder sent",IF(AND(N227="Yes",O227=""),"Missing channel for sent reminder","OK"))</f>
        <v>OK</v>
      </c>
    </row>
    <row r="228" customFormat="false" ht="15" hidden="false" customHeight="false" outlineLevel="0" collapsed="false">
      <c r="A228" s="7" t="s">
        <v>513</v>
      </c>
      <c r="B228" s="7" t="s">
        <v>514</v>
      </c>
      <c r="C228" s="7" t="s">
        <v>37</v>
      </c>
      <c r="D228" s="7" t="n">
        <v>39</v>
      </c>
      <c r="E228" s="7" t="s">
        <v>38</v>
      </c>
      <c r="F228" s="7" t="s">
        <v>57</v>
      </c>
      <c r="G228" s="8" t="n">
        <v>46080</v>
      </c>
      <c r="H228" s="8" t="n">
        <v>46099</v>
      </c>
      <c r="I228" s="7" t="s">
        <v>58</v>
      </c>
      <c r="J228" s="7" t="s">
        <v>63</v>
      </c>
      <c r="K228" s="7" t="n">
        <v>19</v>
      </c>
      <c r="L228" s="7" t="n">
        <v>0</v>
      </c>
      <c r="M228" s="7" t="n">
        <v>0</v>
      </c>
      <c r="N228" s="7" t="s">
        <v>71</v>
      </c>
      <c r="O228" s="7"/>
      <c r="P228" s="7" t="n">
        <v>16.6</v>
      </c>
      <c r="Q228" s="7" t="n">
        <v>15</v>
      </c>
      <c r="R228" s="7" t="s">
        <v>53</v>
      </c>
      <c r="S228" s="7"/>
      <c r="T228" s="7"/>
      <c r="U228" s="7" t="str">
        <f aca="false">IF(COUNTIF($A$2:$A$5001,A228)&gt;1,"Duplicate","Unique")</f>
        <v>Unique</v>
      </c>
      <c r="V228" s="7" t="str">
        <f aca="false">IF(COUNTIFS($B$2:$B$5001,B228,$H$2:$H$5001,H228,$J$2:$J$5001,J228)&gt;1,"Possible Duplicate Booking","Unique")</f>
        <v>Unique</v>
      </c>
      <c r="W228" s="7" t="str">
        <f aca="false">IF((H228-G228)&lt;&gt;K228,"Mismatch","OK")</f>
        <v>OK</v>
      </c>
      <c r="X228" s="7" t="str">
        <f aca="false">IF(TEXT(H228,"dddd")&lt;&gt;I228,"Mismatch","OK")</f>
        <v>OK</v>
      </c>
      <c r="Y228" s="7" t="str">
        <f aca="false">IF(AND(N228="No",O228&lt;&gt;""),"Unexpected: channel present but no reminder sent",IF(AND(N228="Yes",O228=""),"Missing channel for sent reminder","OK"))</f>
        <v>OK</v>
      </c>
    </row>
    <row r="229" customFormat="false" ht="15" hidden="false" customHeight="false" outlineLevel="0" collapsed="false">
      <c r="A229" s="9" t="s">
        <v>515</v>
      </c>
      <c r="B229" s="9" t="s">
        <v>516</v>
      </c>
      <c r="C229" s="9" t="s">
        <v>47</v>
      </c>
      <c r="D229" s="9" t="n">
        <v>76</v>
      </c>
      <c r="E229" s="9" t="s">
        <v>70</v>
      </c>
      <c r="F229" s="9" t="s">
        <v>57</v>
      </c>
      <c r="G229" s="10" t="n">
        <v>45927</v>
      </c>
      <c r="H229" s="10" t="n">
        <v>45974</v>
      </c>
      <c r="I229" s="9" t="s">
        <v>62</v>
      </c>
      <c r="J229" s="9" t="s">
        <v>41</v>
      </c>
      <c r="K229" s="9" t="n">
        <v>47</v>
      </c>
      <c r="L229" s="9" t="n">
        <v>4</v>
      </c>
      <c r="M229" s="9" t="n">
        <v>0</v>
      </c>
      <c r="N229" s="9" t="s">
        <v>42</v>
      </c>
      <c r="O229" s="9" t="s">
        <v>43</v>
      </c>
      <c r="P229" s="9" t="n">
        <v>8.6</v>
      </c>
      <c r="Q229" s="9" t="n">
        <v>16</v>
      </c>
      <c r="R229" s="9" t="s">
        <v>53</v>
      </c>
      <c r="S229" s="9"/>
      <c r="T229" s="9"/>
      <c r="U229" s="9" t="str">
        <f aca="false">IF(COUNTIF($A$2:$A$5001,A229)&gt;1,"Duplicate","Unique")</f>
        <v>Unique</v>
      </c>
      <c r="V229" s="9" t="str">
        <f aca="false">IF(COUNTIFS($B$2:$B$5001,B229,$H$2:$H$5001,H229,$J$2:$J$5001,J229)&gt;1,"Possible Duplicate Booking","Unique")</f>
        <v>Unique</v>
      </c>
      <c r="W229" s="9" t="str">
        <f aca="false">IF((H229-G229)&lt;&gt;K229,"Mismatch","OK")</f>
        <v>OK</v>
      </c>
      <c r="X229" s="9" t="str">
        <f aca="false">IF(TEXT(H229,"dddd")&lt;&gt;I229,"Mismatch","OK")</f>
        <v>OK</v>
      </c>
      <c r="Y229" s="9" t="str">
        <f aca="false">IF(AND(N229="No",O229&lt;&gt;""),"Unexpected: channel present but no reminder sent",IF(AND(N229="Yes",O229=""),"Missing channel for sent reminder","OK"))</f>
        <v>OK</v>
      </c>
    </row>
    <row r="230" customFormat="false" ht="15" hidden="false" customHeight="false" outlineLevel="0" collapsed="false">
      <c r="A230" s="7" t="s">
        <v>517</v>
      </c>
      <c r="B230" s="7" t="s">
        <v>518</v>
      </c>
      <c r="C230" s="7" t="s">
        <v>236</v>
      </c>
      <c r="D230" s="7" t="n">
        <v>23</v>
      </c>
      <c r="E230" s="7" t="s">
        <v>82</v>
      </c>
      <c r="F230" s="7" t="s">
        <v>39</v>
      </c>
      <c r="G230" s="8" t="n">
        <v>45951</v>
      </c>
      <c r="H230" s="8" t="n">
        <v>45956</v>
      </c>
      <c r="I230" s="7" t="s">
        <v>75</v>
      </c>
      <c r="J230" s="7" t="s">
        <v>51</v>
      </c>
      <c r="K230" s="7" t="n">
        <v>5</v>
      </c>
      <c r="L230" s="7" t="n">
        <v>7</v>
      </c>
      <c r="M230" s="7" t="n">
        <v>0</v>
      </c>
      <c r="N230" s="7" t="s">
        <v>42</v>
      </c>
      <c r="O230" s="7" t="s">
        <v>43</v>
      </c>
      <c r="P230" s="7" t="n">
        <v>13.2</v>
      </c>
      <c r="Q230" s="7" t="n">
        <v>37</v>
      </c>
      <c r="R230" s="7" t="s">
        <v>53</v>
      </c>
      <c r="S230" s="7"/>
      <c r="T230" s="7"/>
      <c r="U230" s="7" t="str">
        <f aca="false">IF(COUNTIF($A$2:$A$5001,A230)&gt;1,"Duplicate","Unique")</f>
        <v>Unique</v>
      </c>
      <c r="V230" s="7" t="str">
        <f aca="false">IF(COUNTIFS($B$2:$B$5001,B230,$H$2:$H$5001,H230,$J$2:$J$5001,J230)&gt;1,"Possible Duplicate Booking","Unique")</f>
        <v>Unique</v>
      </c>
      <c r="W230" s="7" t="str">
        <f aca="false">IF((H230-G230)&lt;&gt;K230,"Mismatch","OK")</f>
        <v>OK</v>
      </c>
      <c r="X230" s="7" t="str">
        <f aca="false">IF(TEXT(H230,"dddd")&lt;&gt;I230,"Mismatch","OK")</f>
        <v>OK</v>
      </c>
      <c r="Y230" s="7" t="str">
        <f aca="false">IF(AND(N230="No",O230&lt;&gt;""),"Unexpected: channel present but no reminder sent",IF(AND(N230="Yes",O230=""),"Missing channel for sent reminder","OK"))</f>
        <v>OK</v>
      </c>
    </row>
    <row r="231" customFormat="false" ht="15" hidden="false" customHeight="false" outlineLevel="0" collapsed="false">
      <c r="A231" s="9" t="s">
        <v>519</v>
      </c>
      <c r="B231" s="9" t="s">
        <v>314</v>
      </c>
      <c r="C231" s="9" t="s">
        <v>37</v>
      </c>
      <c r="D231" s="9" t="n">
        <v>25</v>
      </c>
      <c r="E231" s="9" t="s">
        <v>48</v>
      </c>
      <c r="F231" s="9" t="s">
        <v>57</v>
      </c>
      <c r="G231" s="10" t="n">
        <v>45738</v>
      </c>
      <c r="H231" s="10" t="n">
        <v>45754</v>
      </c>
      <c r="I231" s="9" t="s">
        <v>66</v>
      </c>
      <c r="J231" s="9" t="s">
        <v>41</v>
      </c>
      <c r="K231" s="9" t="n">
        <v>16</v>
      </c>
      <c r="L231" s="9" t="n">
        <v>0</v>
      </c>
      <c r="M231" s="9" t="n">
        <v>0</v>
      </c>
      <c r="N231" s="9" t="s">
        <v>42</v>
      </c>
      <c r="O231" s="9" t="s">
        <v>52</v>
      </c>
      <c r="P231" s="9" t="n">
        <v>14.2</v>
      </c>
      <c r="Q231" s="9" t="n">
        <v>32</v>
      </c>
      <c r="R231" s="9" t="s">
        <v>44</v>
      </c>
      <c r="S231" s="9"/>
      <c r="T231" s="9"/>
      <c r="U231" s="9" t="str">
        <f aca="false">IF(COUNTIF($A$2:$A$5001,A231)&gt;1,"Duplicate","Unique")</f>
        <v>Unique</v>
      </c>
      <c r="V231" s="9" t="str">
        <f aca="false">IF(COUNTIFS($B$2:$B$5001,B231,$H$2:$H$5001,H231,$J$2:$J$5001,J231)&gt;1,"Possible Duplicate Booking","Unique")</f>
        <v>Unique</v>
      </c>
      <c r="W231" s="9" t="str">
        <f aca="false">IF((H231-G231)&lt;&gt;K231,"Mismatch","OK")</f>
        <v>OK</v>
      </c>
      <c r="X231" s="9" t="str">
        <f aca="false">IF(TEXT(H231,"dddd")&lt;&gt;I231,"Mismatch","OK")</f>
        <v>OK</v>
      </c>
      <c r="Y231" s="9" t="str">
        <f aca="false">IF(AND(N231="No",O231&lt;&gt;""),"Unexpected: channel present but no reminder sent",IF(AND(N231="Yes",O231=""),"Missing channel for sent reminder","OK"))</f>
        <v>OK</v>
      </c>
    </row>
    <row r="232" customFormat="false" ht="15" hidden="false" customHeight="false" outlineLevel="0" collapsed="false">
      <c r="A232" s="7" t="s">
        <v>520</v>
      </c>
      <c r="B232" s="7" t="s">
        <v>521</v>
      </c>
      <c r="C232" s="7" t="s">
        <v>37</v>
      </c>
      <c r="D232" s="7" t="n">
        <v>19</v>
      </c>
      <c r="E232" s="7" t="s">
        <v>82</v>
      </c>
      <c r="F232" s="7" t="s">
        <v>39</v>
      </c>
      <c r="G232" s="8" t="n">
        <v>45902</v>
      </c>
      <c r="H232" s="8" t="n">
        <v>45910</v>
      </c>
      <c r="I232" s="7" t="s">
        <v>58</v>
      </c>
      <c r="J232" s="7" t="s">
        <v>63</v>
      </c>
      <c r="K232" s="7" t="n">
        <v>8</v>
      </c>
      <c r="L232" s="7" t="n">
        <v>3</v>
      </c>
      <c r="M232" s="7" t="n">
        <v>0</v>
      </c>
      <c r="N232" s="7" t="s">
        <v>42</v>
      </c>
      <c r="O232" s="7" t="s">
        <v>43</v>
      </c>
      <c r="P232" s="7" t="n">
        <v>21.4</v>
      </c>
      <c r="Q232" s="7" t="n">
        <v>26</v>
      </c>
      <c r="R232" s="7" t="s">
        <v>53</v>
      </c>
      <c r="S232" s="7"/>
      <c r="T232" s="7"/>
      <c r="U232" s="7" t="str">
        <f aca="false">IF(COUNTIF($A$2:$A$5001,A232)&gt;1,"Duplicate","Unique")</f>
        <v>Unique</v>
      </c>
      <c r="V232" s="7" t="str">
        <f aca="false">IF(COUNTIFS($B$2:$B$5001,B232,$H$2:$H$5001,H232,$J$2:$J$5001,J232)&gt;1,"Possible Duplicate Booking","Unique")</f>
        <v>Unique</v>
      </c>
      <c r="W232" s="7" t="str">
        <f aca="false">IF((H232-G232)&lt;&gt;K232,"Mismatch","OK")</f>
        <v>OK</v>
      </c>
      <c r="X232" s="7" t="str">
        <f aca="false">IF(TEXT(H232,"dddd")&lt;&gt;I232,"Mismatch","OK")</f>
        <v>OK</v>
      </c>
      <c r="Y232" s="7" t="str">
        <f aca="false">IF(AND(N232="No",O232&lt;&gt;""),"Unexpected: channel present but no reminder sent",IF(AND(N232="Yes",O232=""),"Missing channel for sent reminder","OK"))</f>
        <v>OK</v>
      </c>
    </row>
    <row r="233" customFormat="false" ht="15" hidden="false" customHeight="false" outlineLevel="0" collapsed="false">
      <c r="A233" s="9" t="s">
        <v>522</v>
      </c>
      <c r="B233" s="9" t="s">
        <v>523</v>
      </c>
      <c r="C233" s="9" t="s">
        <v>37</v>
      </c>
      <c r="D233" s="9" t="n">
        <v>76</v>
      </c>
      <c r="E233" s="9" t="s">
        <v>70</v>
      </c>
      <c r="F233" s="9" t="s">
        <v>39</v>
      </c>
      <c r="G233" s="10" t="n">
        <v>46095</v>
      </c>
      <c r="H233" s="10" t="n">
        <v>46125</v>
      </c>
      <c r="I233" s="9" t="s">
        <v>66</v>
      </c>
      <c r="J233" s="9" t="s">
        <v>51</v>
      </c>
      <c r="K233" s="9" t="n">
        <v>30</v>
      </c>
      <c r="L233" s="9" t="n">
        <v>0</v>
      </c>
      <c r="M233" s="9" t="n">
        <v>0</v>
      </c>
      <c r="N233" s="9" t="s">
        <v>42</v>
      </c>
      <c r="O233" s="9" t="s">
        <v>43</v>
      </c>
      <c r="P233" s="9" t="n">
        <v>21.7</v>
      </c>
      <c r="Q233" s="9" t="n">
        <v>18</v>
      </c>
      <c r="R233" s="9" t="s">
        <v>53</v>
      </c>
      <c r="S233" s="9"/>
      <c r="T233" s="9"/>
      <c r="U233" s="9" t="str">
        <f aca="false">IF(COUNTIF($A$2:$A$5001,A233)&gt;1,"Duplicate","Unique")</f>
        <v>Unique</v>
      </c>
      <c r="V233" s="9" t="str">
        <f aca="false">IF(COUNTIFS($B$2:$B$5001,B233,$H$2:$H$5001,H233,$J$2:$J$5001,J233)&gt;1,"Possible Duplicate Booking","Unique")</f>
        <v>Unique</v>
      </c>
      <c r="W233" s="9" t="str">
        <f aca="false">IF((H233-G233)&lt;&gt;K233,"Mismatch","OK")</f>
        <v>OK</v>
      </c>
      <c r="X233" s="9" t="str">
        <f aca="false">IF(TEXT(H233,"dddd")&lt;&gt;I233,"Mismatch","OK")</f>
        <v>OK</v>
      </c>
      <c r="Y233" s="9" t="str">
        <f aca="false">IF(AND(N233="No",O233&lt;&gt;""),"Unexpected: channel present but no reminder sent",IF(AND(N233="Yes",O233=""),"Missing channel for sent reminder","OK"))</f>
        <v>OK</v>
      </c>
    </row>
    <row r="234" customFormat="false" ht="15" hidden="false" customHeight="false" outlineLevel="0" collapsed="false">
      <c r="A234" s="7" t="s">
        <v>524</v>
      </c>
      <c r="B234" s="7" t="s">
        <v>525</v>
      </c>
      <c r="C234" s="7" t="s">
        <v>47</v>
      </c>
      <c r="D234" s="7" t="n">
        <v>29</v>
      </c>
      <c r="E234" s="7" t="s">
        <v>48</v>
      </c>
      <c r="F234" s="7" t="s">
        <v>57</v>
      </c>
      <c r="G234" s="8" t="n">
        <v>45650</v>
      </c>
      <c r="H234" s="8" t="n">
        <v>45668</v>
      </c>
      <c r="I234" s="7" t="s">
        <v>102</v>
      </c>
      <c r="J234" s="7" t="s">
        <v>51</v>
      </c>
      <c r="K234" s="7" t="n">
        <v>18</v>
      </c>
      <c r="L234" s="7" t="n">
        <v>4</v>
      </c>
      <c r="M234" s="7" t="n">
        <v>1</v>
      </c>
      <c r="N234" s="7" t="s">
        <v>71</v>
      </c>
      <c r="O234" s="7"/>
      <c r="P234" s="7" t="n">
        <v>6.4</v>
      </c>
      <c r="Q234" s="7" t="n">
        <v>27</v>
      </c>
      <c r="R234" s="7" t="s">
        <v>44</v>
      </c>
      <c r="S234" s="7"/>
      <c r="T234" s="7"/>
      <c r="U234" s="7" t="str">
        <f aca="false">IF(COUNTIF($A$2:$A$5001,A234)&gt;1,"Duplicate","Unique")</f>
        <v>Unique</v>
      </c>
      <c r="V234" s="7" t="str">
        <f aca="false">IF(COUNTIFS($B$2:$B$5001,B234,$H$2:$H$5001,H234,$J$2:$J$5001,J234)&gt;1,"Possible Duplicate Booking","Unique")</f>
        <v>Unique</v>
      </c>
      <c r="W234" s="7" t="str">
        <f aca="false">IF((H234-G234)&lt;&gt;K234,"Mismatch","OK")</f>
        <v>OK</v>
      </c>
      <c r="X234" s="7" t="str">
        <f aca="false">IF(TEXT(H234,"dddd")&lt;&gt;I234,"Mismatch","OK")</f>
        <v>OK</v>
      </c>
      <c r="Y234" s="7" t="str">
        <f aca="false">IF(AND(N234="No",O234&lt;&gt;""),"Unexpected: channel present but no reminder sent",IF(AND(N234="Yes",O234=""),"Missing channel for sent reminder","OK"))</f>
        <v>OK</v>
      </c>
    </row>
    <row r="235" customFormat="false" ht="15" hidden="false" customHeight="false" outlineLevel="0" collapsed="false">
      <c r="A235" s="9" t="s">
        <v>526</v>
      </c>
      <c r="B235" s="9" t="s">
        <v>527</v>
      </c>
      <c r="C235" s="9" t="s">
        <v>37</v>
      </c>
      <c r="D235" s="9" t="n">
        <v>55</v>
      </c>
      <c r="E235" s="9" t="s">
        <v>61</v>
      </c>
      <c r="F235" s="9" t="s">
        <v>57</v>
      </c>
      <c r="G235" s="10" t="n">
        <v>46060</v>
      </c>
      <c r="H235" s="10" t="n">
        <v>46072</v>
      </c>
      <c r="I235" s="9" t="s">
        <v>62</v>
      </c>
      <c r="J235" s="9" t="s">
        <v>41</v>
      </c>
      <c r="K235" s="9" t="n">
        <v>12</v>
      </c>
      <c r="L235" s="9" t="n">
        <v>0</v>
      </c>
      <c r="M235" s="9" t="n">
        <v>0</v>
      </c>
      <c r="N235" s="9" t="s">
        <v>71</v>
      </c>
      <c r="O235" s="9"/>
      <c r="P235" s="9" t="n">
        <v>4.8</v>
      </c>
      <c r="Q235" s="9" t="n">
        <v>30</v>
      </c>
      <c r="R235" s="9" t="s">
        <v>53</v>
      </c>
      <c r="S235" s="9"/>
      <c r="T235" s="9"/>
      <c r="U235" s="9" t="str">
        <f aca="false">IF(COUNTIF($A$2:$A$5001,A235)&gt;1,"Duplicate","Unique")</f>
        <v>Unique</v>
      </c>
      <c r="V235" s="9" t="str">
        <f aca="false">IF(COUNTIFS($B$2:$B$5001,B235,$H$2:$H$5001,H235,$J$2:$J$5001,J235)&gt;1,"Possible Duplicate Booking","Unique")</f>
        <v>Unique</v>
      </c>
      <c r="W235" s="9" t="str">
        <f aca="false">IF((H235-G235)&lt;&gt;K235,"Mismatch","OK")</f>
        <v>OK</v>
      </c>
      <c r="X235" s="9" t="str">
        <f aca="false">IF(TEXT(H235,"dddd")&lt;&gt;I235,"Mismatch","OK")</f>
        <v>OK</v>
      </c>
      <c r="Y235" s="9" t="str">
        <f aca="false">IF(AND(N235="No",O235&lt;&gt;""),"Unexpected: channel present but no reminder sent",IF(AND(N235="Yes",O235=""),"Missing channel for sent reminder","OK"))</f>
        <v>OK</v>
      </c>
    </row>
    <row r="236" customFormat="false" ht="15" hidden="false" customHeight="false" outlineLevel="0" collapsed="false">
      <c r="A236" s="7" t="s">
        <v>528</v>
      </c>
      <c r="B236" s="7" t="s">
        <v>529</v>
      </c>
      <c r="C236" s="7" t="s">
        <v>47</v>
      </c>
      <c r="D236" s="7" t="n">
        <v>69</v>
      </c>
      <c r="E236" s="7" t="s">
        <v>70</v>
      </c>
      <c r="F236" s="7" t="s">
        <v>49</v>
      </c>
      <c r="G236" s="8" t="n">
        <v>45905</v>
      </c>
      <c r="H236" s="8" t="n">
        <v>45927</v>
      </c>
      <c r="I236" s="7" t="s">
        <v>102</v>
      </c>
      <c r="J236" s="7" t="s">
        <v>41</v>
      </c>
      <c r="K236" s="7" t="n">
        <v>22</v>
      </c>
      <c r="L236" s="7" t="n">
        <v>1</v>
      </c>
      <c r="M236" s="7" t="n">
        <v>0</v>
      </c>
      <c r="N236" s="7" t="s">
        <v>71</v>
      </c>
      <c r="O236" s="7"/>
      <c r="P236" s="7" t="n">
        <v>5.2</v>
      </c>
      <c r="Q236" s="7" t="n">
        <v>27</v>
      </c>
      <c r="R236" s="7" t="s">
        <v>53</v>
      </c>
      <c r="S236" s="7"/>
      <c r="T236" s="7"/>
      <c r="U236" s="7" t="str">
        <f aca="false">IF(COUNTIF($A$2:$A$5001,A236)&gt;1,"Duplicate","Unique")</f>
        <v>Unique</v>
      </c>
      <c r="V236" s="7" t="str">
        <f aca="false">IF(COUNTIFS($B$2:$B$5001,B236,$H$2:$H$5001,H236,$J$2:$J$5001,J236)&gt;1,"Possible Duplicate Booking","Unique")</f>
        <v>Unique</v>
      </c>
      <c r="W236" s="7" t="str">
        <f aca="false">IF((H236-G236)&lt;&gt;K236,"Mismatch","OK")</f>
        <v>OK</v>
      </c>
      <c r="X236" s="7" t="str">
        <f aca="false">IF(TEXT(H236,"dddd")&lt;&gt;I236,"Mismatch","OK")</f>
        <v>OK</v>
      </c>
      <c r="Y236" s="7" t="str">
        <f aca="false">IF(AND(N236="No",O236&lt;&gt;""),"Unexpected: channel present but no reminder sent",IF(AND(N236="Yes",O236=""),"Missing channel for sent reminder","OK"))</f>
        <v>OK</v>
      </c>
    </row>
    <row r="237" customFormat="false" ht="15" hidden="false" customHeight="false" outlineLevel="0" collapsed="false">
      <c r="A237" s="9" t="s">
        <v>530</v>
      </c>
      <c r="B237" s="9" t="s">
        <v>531</v>
      </c>
      <c r="C237" s="9" t="s">
        <v>236</v>
      </c>
      <c r="D237" s="9" t="n">
        <v>66</v>
      </c>
      <c r="E237" s="9" t="s">
        <v>70</v>
      </c>
      <c r="F237" s="9" t="s">
        <v>57</v>
      </c>
      <c r="G237" s="10" t="n">
        <v>45998</v>
      </c>
      <c r="H237" s="10" t="n">
        <v>46050</v>
      </c>
      <c r="I237" s="9" t="s">
        <v>58</v>
      </c>
      <c r="J237" s="9" t="s">
        <v>63</v>
      </c>
      <c r="K237" s="9" t="n">
        <v>52</v>
      </c>
      <c r="L237" s="9" t="n">
        <v>3</v>
      </c>
      <c r="M237" s="9" t="n">
        <v>1</v>
      </c>
      <c r="N237" s="9" t="s">
        <v>71</v>
      </c>
      <c r="O237" s="9"/>
      <c r="P237" s="9" t="n">
        <v>4.7</v>
      </c>
      <c r="Q237" s="9" t="n">
        <v>37</v>
      </c>
      <c r="R237" s="9" t="s">
        <v>44</v>
      </c>
      <c r="S237" s="9"/>
      <c r="T237" s="9"/>
      <c r="U237" s="9" t="str">
        <f aca="false">IF(COUNTIF($A$2:$A$5001,A237)&gt;1,"Duplicate","Unique")</f>
        <v>Unique</v>
      </c>
      <c r="V237" s="9" t="str">
        <f aca="false">IF(COUNTIFS($B$2:$B$5001,B237,$H$2:$H$5001,H237,$J$2:$J$5001,J237)&gt;1,"Possible Duplicate Booking","Unique")</f>
        <v>Unique</v>
      </c>
      <c r="W237" s="9" t="str">
        <f aca="false">IF((H237-G237)&lt;&gt;K237,"Mismatch","OK")</f>
        <v>OK</v>
      </c>
      <c r="X237" s="9" t="str">
        <f aca="false">IF(TEXT(H237,"dddd")&lt;&gt;I237,"Mismatch","OK")</f>
        <v>OK</v>
      </c>
      <c r="Y237" s="9" t="str">
        <f aca="false">IF(AND(N237="No",O237&lt;&gt;""),"Unexpected: channel present but no reminder sent",IF(AND(N237="Yes",O237=""),"Missing channel for sent reminder","OK"))</f>
        <v>OK</v>
      </c>
    </row>
    <row r="238" customFormat="false" ht="15" hidden="false" customHeight="false" outlineLevel="0" collapsed="false">
      <c r="A238" s="7" t="s">
        <v>532</v>
      </c>
      <c r="B238" s="7" t="s">
        <v>138</v>
      </c>
      <c r="C238" s="7" t="s">
        <v>37</v>
      </c>
      <c r="D238" s="7" t="n">
        <v>77</v>
      </c>
      <c r="E238" s="7" t="s">
        <v>70</v>
      </c>
      <c r="F238" s="7" t="s">
        <v>49</v>
      </c>
      <c r="G238" s="8" t="n">
        <v>45986</v>
      </c>
      <c r="H238" s="8" t="n">
        <v>46020</v>
      </c>
      <c r="I238" s="7" t="s">
        <v>66</v>
      </c>
      <c r="J238" s="7" t="s">
        <v>51</v>
      </c>
      <c r="K238" s="7" t="n">
        <v>34</v>
      </c>
      <c r="L238" s="7" t="n">
        <v>2</v>
      </c>
      <c r="M238" s="7" t="n">
        <v>0</v>
      </c>
      <c r="N238" s="7" t="s">
        <v>42</v>
      </c>
      <c r="O238" s="7" t="s">
        <v>43</v>
      </c>
      <c r="P238" s="7" t="n">
        <v>6.6</v>
      </c>
      <c r="Q238" s="7" t="n">
        <v>13</v>
      </c>
      <c r="R238" s="7" t="s">
        <v>53</v>
      </c>
      <c r="S238" s="7"/>
      <c r="T238" s="7"/>
      <c r="U238" s="7" t="str">
        <f aca="false">IF(COUNTIF($A$2:$A$5001,A238)&gt;1,"Duplicate","Unique")</f>
        <v>Unique</v>
      </c>
      <c r="V238" s="7" t="str">
        <f aca="false">IF(COUNTIFS($B$2:$B$5001,B238,$H$2:$H$5001,H238,$J$2:$J$5001,J238)&gt;1,"Possible Duplicate Booking","Unique")</f>
        <v>Unique</v>
      </c>
      <c r="W238" s="7" t="str">
        <f aca="false">IF((H238-G238)&lt;&gt;K238,"Mismatch","OK")</f>
        <v>OK</v>
      </c>
      <c r="X238" s="7" t="str">
        <f aca="false">IF(TEXT(H238,"dddd")&lt;&gt;I238,"Mismatch","OK")</f>
        <v>OK</v>
      </c>
      <c r="Y238" s="7" t="str">
        <f aca="false">IF(AND(N238="No",O238&lt;&gt;""),"Unexpected: channel present but no reminder sent",IF(AND(N238="Yes",O238=""),"Missing channel for sent reminder","OK"))</f>
        <v>OK</v>
      </c>
    </row>
    <row r="239" customFormat="false" ht="15" hidden="false" customHeight="false" outlineLevel="0" collapsed="false">
      <c r="A239" s="9" t="s">
        <v>533</v>
      </c>
      <c r="B239" s="9" t="s">
        <v>534</v>
      </c>
      <c r="C239" s="9" t="s">
        <v>47</v>
      </c>
      <c r="D239" s="9" t="n">
        <v>21</v>
      </c>
      <c r="E239" s="9" t="s">
        <v>82</v>
      </c>
      <c r="F239" s="9" t="s">
        <v>39</v>
      </c>
      <c r="G239" s="10" t="n">
        <v>45843</v>
      </c>
      <c r="H239" s="10" t="n">
        <v>45893</v>
      </c>
      <c r="I239" s="9" t="s">
        <v>75</v>
      </c>
      <c r="J239" s="9" t="s">
        <v>63</v>
      </c>
      <c r="K239" s="9" t="n">
        <v>50</v>
      </c>
      <c r="L239" s="9" t="n">
        <v>3</v>
      </c>
      <c r="M239" s="9" t="n">
        <v>0</v>
      </c>
      <c r="N239" s="9" t="s">
        <v>71</v>
      </c>
      <c r="O239" s="9"/>
      <c r="P239" s="9" t="n">
        <v>6.8</v>
      </c>
      <c r="Q239" s="9" t="n">
        <v>21</v>
      </c>
      <c r="R239" s="9" t="s">
        <v>87</v>
      </c>
      <c r="S239" s="9"/>
      <c r="T239" s="9"/>
      <c r="U239" s="9" t="str">
        <f aca="false">IF(COUNTIF($A$2:$A$5001,A239)&gt;1,"Duplicate","Unique")</f>
        <v>Unique</v>
      </c>
      <c r="V239" s="9" t="str">
        <f aca="false">IF(COUNTIFS($B$2:$B$5001,B239,$H$2:$H$5001,H239,$J$2:$J$5001,J239)&gt;1,"Possible Duplicate Booking","Unique")</f>
        <v>Unique</v>
      </c>
      <c r="W239" s="9" t="str">
        <f aca="false">IF((H239-G239)&lt;&gt;K239,"Mismatch","OK")</f>
        <v>OK</v>
      </c>
      <c r="X239" s="9" t="str">
        <f aca="false">IF(TEXT(H239,"dddd")&lt;&gt;I239,"Mismatch","OK")</f>
        <v>OK</v>
      </c>
      <c r="Y239" s="9" t="str">
        <f aca="false">IF(AND(N239="No",O239&lt;&gt;""),"Unexpected: channel present but no reminder sent",IF(AND(N239="Yes",O239=""),"Missing channel for sent reminder","OK"))</f>
        <v>OK</v>
      </c>
    </row>
    <row r="240" customFormat="false" ht="15" hidden="false" customHeight="false" outlineLevel="0" collapsed="false">
      <c r="A240" s="7" t="s">
        <v>535</v>
      </c>
      <c r="B240" s="7" t="s">
        <v>536</v>
      </c>
      <c r="C240" s="7" t="s">
        <v>37</v>
      </c>
      <c r="D240" s="7" t="n">
        <v>43</v>
      </c>
      <c r="E240" s="7" t="s">
        <v>38</v>
      </c>
      <c r="F240" s="7" t="s">
        <v>57</v>
      </c>
      <c r="G240" s="8" t="n">
        <v>45771</v>
      </c>
      <c r="H240" s="8" t="n">
        <v>45826</v>
      </c>
      <c r="I240" s="7" t="s">
        <v>58</v>
      </c>
      <c r="J240" s="7" t="s">
        <v>51</v>
      </c>
      <c r="K240" s="7" t="n">
        <v>55</v>
      </c>
      <c r="L240" s="7" t="n">
        <v>3</v>
      </c>
      <c r="M240" s="7" t="n">
        <v>1</v>
      </c>
      <c r="N240" s="7" t="s">
        <v>71</v>
      </c>
      <c r="O240" s="7"/>
      <c r="P240" s="7" t="n">
        <v>4.4</v>
      </c>
      <c r="Q240" s="7" t="n">
        <v>30</v>
      </c>
      <c r="R240" s="7" t="s">
        <v>44</v>
      </c>
      <c r="S240" s="7"/>
      <c r="T240" s="7"/>
      <c r="U240" s="7" t="str">
        <f aca="false">IF(COUNTIF($A$2:$A$5001,A240)&gt;1,"Duplicate","Unique")</f>
        <v>Unique</v>
      </c>
      <c r="V240" s="7" t="str">
        <f aca="false">IF(COUNTIFS($B$2:$B$5001,B240,$H$2:$H$5001,H240,$J$2:$J$5001,J240)&gt;1,"Possible Duplicate Booking","Unique")</f>
        <v>Unique</v>
      </c>
      <c r="W240" s="7" t="str">
        <f aca="false">IF((H240-G240)&lt;&gt;K240,"Mismatch","OK")</f>
        <v>OK</v>
      </c>
      <c r="X240" s="7" t="str">
        <f aca="false">IF(TEXT(H240,"dddd")&lt;&gt;I240,"Mismatch","OK")</f>
        <v>OK</v>
      </c>
      <c r="Y240" s="7" t="str">
        <f aca="false">IF(AND(N240="No",O240&lt;&gt;""),"Unexpected: channel present but no reminder sent",IF(AND(N240="Yes",O240=""),"Missing channel for sent reminder","OK"))</f>
        <v>OK</v>
      </c>
    </row>
    <row r="241" customFormat="false" ht="15" hidden="false" customHeight="false" outlineLevel="0" collapsed="false">
      <c r="A241" s="9" t="s">
        <v>537</v>
      </c>
      <c r="B241" s="9" t="s">
        <v>538</v>
      </c>
      <c r="C241" s="9" t="s">
        <v>47</v>
      </c>
      <c r="D241" s="9" t="n">
        <v>49</v>
      </c>
      <c r="E241" s="9" t="s">
        <v>56</v>
      </c>
      <c r="F241" s="9" t="s">
        <v>39</v>
      </c>
      <c r="G241" s="10" t="n">
        <v>45945</v>
      </c>
      <c r="H241" s="10" t="n">
        <v>46000</v>
      </c>
      <c r="I241" s="9" t="s">
        <v>40</v>
      </c>
      <c r="J241" s="9" t="s">
        <v>41</v>
      </c>
      <c r="K241" s="9" t="n">
        <v>55</v>
      </c>
      <c r="L241" s="9" t="n">
        <v>2</v>
      </c>
      <c r="M241" s="9" t="n">
        <v>0</v>
      </c>
      <c r="N241" s="9" t="s">
        <v>42</v>
      </c>
      <c r="O241" s="9" t="s">
        <v>52</v>
      </c>
      <c r="P241" s="9" t="n">
        <v>7.6</v>
      </c>
      <c r="Q241" s="9" t="n">
        <v>18</v>
      </c>
      <c r="R241" s="9" t="s">
        <v>44</v>
      </c>
      <c r="S241" s="9"/>
      <c r="T241" s="9"/>
      <c r="U241" s="9" t="str">
        <f aca="false">IF(COUNTIF($A$2:$A$5001,A241)&gt;1,"Duplicate","Unique")</f>
        <v>Unique</v>
      </c>
      <c r="V241" s="9" t="str">
        <f aca="false">IF(COUNTIFS($B$2:$B$5001,B241,$H$2:$H$5001,H241,$J$2:$J$5001,J241)&gt;1,"Possible Duplicate Booking","Unique")</f>
        <v>Unique</v>
      </c>
      <c r="W241" s="9" t="str">
        <f aca="false">IF((H241-G241)&lt;&gt;K241,"Mismatch","OK")</f>
        <v>OK</v>
      </c>
      <c r="X241" s="9" t="str">
        <f aca="false">IF(TEXT(H241,"dddd")&lt;&gt;I241,"Mismatch","OK")</f>
        <v>OK</v>
      </c>
      <c r="Y241" s="9" t="str">
        <f aca="false">IF(AND(N241="No",O241&lt;&gt;""),"Unexpected: channel present but no reminder sent",IF(AND(N241="Yes",O241=""),"Missing channel for sent reminder","OK"))</f>
        <v>OK</v>
      </c>
    </row>
    <row r="242" customFormat="false" ht="15" hidden="false" customHeight="false" outlineLevel="0" collapsed="false">
      <c r="A242" s="7" t="s">
        <v>539</v>
      </c>
      <c r="B242" s="7" t="s">
        <v>540</v>
      </c>
      <c r="C242" s="7" t="s">
        <v>37</v>
      </c>
      <c r="D242" s="7" t="n">
        <v>61</v>
      </c>
      <c r="E242" s="7" t="s">
        <v>61</v>
      </c>
      <c r="F242" s="7" t="s">
        <v>39</v>
      </c>
      <c r="G242" s="8" t="n">
        <v>45713</v>
      </c>
      <c r="H242" s="8" t="n">
        <v>45734</v>
      </c>
      <c r="I242" s="7" t="s">
        <v>40</v>
      </c>
      <c r="J242" s="7" t="s">
        <v>63</v>
      </c>
      <c r="K242" s="7" t="n">
        <v>21</v>
      </c>
      <c r="L242" s="7" t="n">
        <v>3</v>
      </c>
      <c r="M242" s="7" t="n">
        <v>2</v>
      </c>
      <c r="N242" s="7" t="s">
        <v>71</v>
      </c>
      <c r="O242" s="7"/>
      <c r="P242" s="7" t="n">
        <v>19.5</v>
      </c>
      <c r="Q242" s="7" t="n">
        <v>34</v>
      </c>
      <c r="R242" s="7" t="s">
        <v>44</v>
      </c>
      <c r="S242" s="7"/>
      <c r="T242" s="7"/>
      <c r="U242" s="7" t="str">
        <f aca="false">IF(COUNTIF($A$2:$A$5001,A242)&gt;1,"Duplicate","Unique")</f>
        <v>Unique</v>
      </c>
      <c r="V242" s="7" t="str">
        <f aca="false">IF(COUNTIFS($B$2:$B$5001,B242,$H$2:$H$5001,H242,$J$2:$J$5001,J242)&gt;1,"Possible Duplicate Booking","Unique")</f>
        <v>Unique</v>
      </c>
      <c r="W242" s="7" t="str">
        <f aca="false">IF((H242-G242)&lt;&gt;K242,"Mismatch","OK")</f>
        <v>OK</v>
      </c>
      <c r="X242" s="7" t="str">
        <f aca="false">IF(TEXT(H242,"dddd")&lt;&gt;I242,"Mismatch","OK")</f>
        <v>OK</v>
      </c>
      <c r="Y242" s="7" t="str">
        <f aca="false">IF(AND(N242="No",O242&lt;&gt;""),"Unexpected: channel present but no reminder sent",IF(AND(N242="Yes",O242=""),"Missing channel for sent reminder","OK"))</f>
        <v>OK</v>
      </c>
    </row>
    <row r="243" customFormat="false" ht="15" hidden="false" customHeight="false" outlineLevel="0" collapsed="false">
      <c r="A243" s="9" t="s">
        <v>541</v>
      </c>
      <c r="B243" s="9" t="s">
        <v>542</v>
      </c>
      <c r="C243" s="9" t="s">
        <v>47</v>
      </c>
      <c r="D243" s="9" t="n">
        <v>57</v>
      </c>
      <c r="E243" s="9" t="s">
        <v>61</v>
      </c>
      <c r="F243" s="9" t="s">
        <v>39</v>
      </c>
      <c r="G243" s="10" t="n">
        <v>45923</v>
      </c>
      <c r="H243" s="10" t="n">
        <v>45976</v>
      </c>
      <c r="I243" s="9" t="s">
        <v>102</v>
      </c>
      <c r="J243" s="9" t="s">
        <v>51</v>
      </c>
      <c r="K243" s="9" t="n">
        <v>53</v>
      </c>
      <c r="L243" s="9" t="n">
        <v>0</v>
      </c>
      <c r="M243" s="9" t="n">
        <v>0</v>
      </c>
      <c r="N243" s="9" t="s">
        <v>71</v>
      </c>
      <c r="O243" s="9"/>
      <c r="P243" s="9" t="n">
        <v>9</v>
      </c>
      <c r="Q243" s="9" t="n">
        <v>39</v>
      </c>
      <c r="R243" s="9" t="s">
        <v>44</v>
      </c>
      <c r="S243" s="9"/>
      <c r="T243" s="9"/>
      <c r="U243" s="9" t="str">
        <f aca="false">IF(COUNTIF($A$2:$A$5001,A243)&gt;1,"Duplicate","Unique")</f>
        <v>Unique</v>
      </c>
      <c r="V243" s="9" t="str">
        <f aca="false">IF(COUNTIFS($B$2:$B$5001,B243,$H$2:$H$5001,H243,$J$2:$J$5001,J243)&gt;1,"Possible Duplicate Booking","Unique")</f>
        <v>Unique</v>
      </c>
      <c r="W243" s="9" t="str">
        <f aca="false">IF((H243-G243)&lt;&gt;K243,"Mismatch","OK")</f>
        <v>OK</v>
      </c>
      <c r="X243" s="9" t="str">
        <f aca="false">IF(TEXT(H243,"dddd")&lt;&gt;I243,"Mismatch","OK")</f>
        <v>OK</v>
      </c>
      <c r="Y243" s="9" t="str">
        <f aca="false">IF(AND(N243="No",O243&lt;&gt;""),"Unexpected: channel present but no reminder sent",IF(AND(N243="Yes",O243=""),"Missing channel for sent reminder","OK"))</f>
        <v>OK</v>
      </c>
    </row>
    <row r="244" customFormat="false" ht="15" hidden="false" customHeight="false" outlineLevel="0" collapsed="false">
      <c r="A244" s="7" t="s">
        <v>543</v>
      </c>
      <c r="B244" s="7" t="s">
        <v>544</v>
      </c>
      <c r="C244" s="7" t="s">
        <v>37</v>
      </c>
      <c r="D244" s="7" t="n">
        <v>53</v>
      </c>
      <c r="E244" s="7" t="s">
        <v>56</v>
      </c>
      <c r="F244" s="7" t="s">
        <v>49</v>
      </c>
      <c r="G244" s="8" t="n">
        <v>45654</v>
      </c>
      <c r="H244" s="8" t="n">
        <v>45709</v>
      </c>
      <c r="I244" s="7" t="s">
        <v>50</v>
      </c>
      <c r="J244" s="7" t="s">
        <v>51</v>
      </c>
      <c r="K244" s="7" t="n">
        <v>55</v>
      </c>
      <c r="L244" s="7" t="n">
        <v>3</v>
      </c>
      <c r="M244" s="7" t="n">
        <v>0</v>
      </c>
      <c r="N244" s="7" t="s">
        <v>42</v>
      </c>
      <c r="O244" s="7" t="s">
        <v>52</v>
      </c>
      <c r="P244" s="7" t="n">
        <v>3.1</v>
      </c>
      <c r="Q244" s="7" t="n">
        <v>25</v>
      </c>
      <c r="R244" s="7" t="s">
        <v>53</v>
      </c>
      <c r="S244" s="7"/>
      <c r="T244" s="7"/>
      <c r="U244" s="7" t="str">
        <f aca="false">IF(COUNTIF($A$2:$A$5001,A244)&gt;1,"Duplicate","Unique")</f>
        <v>Unique</v>
      </c>
      <c r="V244" s="7" t="str">
        <f aca="false">IF(COUNTIFS($B$2:$B$5001,B244,$H$2:$H$5001,H244,$J$2:$J$5001,J244)&gt;1,"Possible Duplicate Booking","Unique")</f>
        <v>Unique</v>
      </c>
      <c r="W244" s="7" t="str">
        <f aca="false">IF((H244-G244)&lt;&gt;K244,"Mismatch","OK")</f>
        <v>OK</v>
      </c>
      <c r="X244" s="7" t="str">
        <f aca="false">IF(TEXT(H244,"dddd")&lt;&gt;I244,"Mismatch","OK")</f>
        <v>OK</v>
      </c>
      <c r="Y244" s="7" t="str">
        <f aca="false">IF(AND(N244="No",O244&lt;&gt;""),"Unexpected: channel present but no reminder sent",IF(AND(N244="Yes",O244=""),"Missing channel for sent reminder","OK"))</f>
        <v>OK</v>
      </c>
    </row>
    <row r="245" customFormat="false" ht="15" hidden="false" customHeight="false" outlineLevel="0" collapsed="false">
      <c r="A245" s="9" t="s">
        <v>545</v>
      </c>
      <c r="B245" s="9" t="s">
        <v>546</v>
      </c>
      <c r="C245" s="9" t="s">
        <v>47</v>
      </c>
      <c r="D245" s="9" t="n">
        <v>37</v>
      </c>
      <c r="E245" s="9" t="s">
        <v>38</v>
      </c>
      <c r="F245" s="9" t="s">
        <v>74</v>
      </c>
      <c r="G245" s="10" t="n">
        <v>45954</v>
      </c>
      <c r="H245" s="10" t="n">
        <v>46012</v>
      </c>
      <c r="I245" s="9" t="s">
        <v>75</v>
      </c>
      <c r="J245" s="9" t="s">
        <v>41</v>
      </c>
      <c r="K245" s="9" t="n">
        <v>58</v>
      </c>
      <c r="L245" s="9" t="n">
        <v>3</v>
      </c>
      <c r="M245" s="9" t="n">
        <v>1</v>
      </c>
      <c r="N245" s="9" t="s">
        <v>42</v>
      </c>
      <c r="O245" s="9" t="s">
        <v>52</v>
      </c>
      <c r="P245" s="9" t="n">
        <v>5.4</v>
      </c>
      <c r="Q245" s="9" t="n">
        <v>28</v>
      </c>
      <c r="R245" s="9" t="s">
        <v>44</v>
      </c>
      <c r="S245" s="9"/>
      <c r="T245" s="9"/>
      <c r="U245" s="9" t="str">
        <f aca="false">IF(COUNTIF($A$2:$A$5001,A245)&gt;1,"Duplicate","Unique")</f>
        <v>Unique</v>
      </c>
      <c r="V245" s="9" t="str">
        <f aca="false">IF(COUNTIFS($B$2:$B$5001,B245,$H$2:$H$5001,H245,$J$2:$J$5001,J245)&gt;1,"Possible Duplicate Booking","Unique")</f>
        <v>Unique</v>
      </c>
      <c r="W245" s="9" t="str">
        <f aca="false">IF((H245-G245)&lt;&gt;K245,"Mismatch","OK")</f>
        <v>OK</v>
      </c>
      <c r="X245" s="9" t="str">
        <f aca="false">IF(TEXT(H245,"dddd")&lt;&gt;I245,"Mismatch","OK")</f>
        <v>OK</v>
      </c>
      <c r="Y245" s="9" t="str">
        <f aca="false">IF(AND(N245="No",O245&lt;&gt;""),"Unexpected: channel present but no reminder sent",IF(AND(N245="Yes",O245=""),"Missing channel for sent reminder","OK"))</f>
        <v>OK</v>
      </c>
    </row>
    <row r="246" customFormat="false" ht="15" hidden="false" customHeight="false" outlineLevel="0" collapsed="false">
      <c r="A246" s="7" t="s">
        <v>547</v>
      </c>
      <c r="B246" s="7" t="s">
        <v>548</v>
      </c>
      <c r="C246" s="7" t="s">
        <v>37</v>
      </c>
      <c r="D246" s="7" t="n">
        <v>24</v>
      </c>
      <c r="E246" s="7" t="s">
        <v>82</v>
      </c>
      <c r="F246" s="7" t="s">
        <v>49</v>
      </c>
      <c r="G246" s="8" t="n">
        <v>45980</v>
      </c>
      <c r="H246" s="8" t="n">
        <v>46001</v>
      </c>
      <c r="I246" s="7" t="s">
        <v>58</v>
      </c>
      <c r="J246" s="7" t="s">
        <v>41</v>
      </c>
      <c r="K246" s="7" t="n">
        <v>21</v>
      </c>
      <c r="L246" s="7" t="n">
        <v>5</v>
      </c>
      <c r="M246" s="7" t="n">
        <v>2</v>
      </c>
      <c r="N246" s="7" t="s">
        <v>42</v>
      </c>
      <c r="O246" s="7" t="s">
        <v>43</v>
      </c>
      <c r="P246" s="7" t="n">
        <v>25.1</v>
      </c>
      <c r="Q246" s="7" t="n">
        <v>22</v>
      </c>
      <c r="R246" s="7" t="s">
        <v>53</v>
      </c>
      <c r="S246" s="7"/>
      <c r="T246" s="7"/>
      <c r="U246" s="7" t="str">
        <f aca="false">IF(COUNTIF($A$2:$A$5001,A246)&gt;1,"Duplicate","Unique")</f>
        <v>Unique</v>
      </c>
      <c r="V246" s="7" t="str">
        <f aca="false">IF(COUNTIFS($B$2:$B$5001,B246,$H$2:$H$5001,H246,$J$2:$J$5001,J246)&gt;1,"Possible Duplicate Booking","Unique")</f>
        <v>Unique</v>
      </c>
      <c r="W246" s="7" t="str">
        <f aca="false">IF((H246-G246)&lt;&gt;K246,"Mismatch","OK")</f>
        <v>OK</v>
      </c>
      <c r="X246" s="7" t="str">
        <f aca="false">IF(TEXT(H246,"dddd")&lt;&gt;I246,"Mismatch","OK")</f>
        <v>OK</v>
      </c>
      <c r="Y246" s="7" t="str">
        <f aca="false">IF(AND(N246="No",O246&lt;&gt;""),"Unexpected: channel present but no reminder sent",IF(AND(N246="Yes",O246=""),"Missing channel for sent reminder","OK"))</f>
        <v>OK</v>
      </c>
    </row>
    <row r="247" customFormat="false" ht="15" hidden="false" customHeight="false" outlineLevel="0" collapsed="false">
      <c r="A247" s="9" t="s">
        <v>549</v>
      </c>
      <c r="B247" s="9" t="s">
        <v>550</v>
      </c>
      <c r="C247" s="9" t="s">
        <v>47</v>
      </c>
      <c r="D247" s="9" t="n">
        <v>45</v>
      </c>
      <c r="E247" s="9" t="s">
        <v>56</v>
      </c>
      <c r="F247" s="9" t="s">
        <v>39</v>
      </c>
      <c r="G247" s="10" t="n">
        <v>45691</v>
      </c>
      <c r="H247" s="10" t="n">
        <v>45704</v>
      </c>
      <c r="I247" s="9" t="s">
        <v>75</v>
      </c>
      <c r="J247" s="9" t="s">
        <v>51</v>
      </c>
      <c r="K247" s="9" t="n">
        <v>13</v>
      </c>
      <c r="L247" s="9" t="n">
        <v>4</v>
      </c>
      <c r="M247" s="9" t="n">
        <v>1</v>
      </c>
      <c r="N247" s="9" t="s">
        <v>42</v>
      </c>
      <c r="O247" s="9" t="s">
        <v>52</v>
      </c>
      <c r="P247" s="9" t="n">
        <v>18.9</v>
      </c>
      <c r="Q247" s="9" t="n">
        <v>21</v>
      </c>
      <c r="R247" s="9" t="s">
        <v>53</v>
      </c>
      <c r="S247" s="9"/>
      <c r="T247" s="9"/>
      <c r="U247" s="9" t="str">
        <f aca="false">IF(COUNTIF($A$2:$A$5001,A247)&gt;1,"Duplicate","Unique")</f>
        <v>Unique</v>
      </c>
      <c r="V247" s="9" t="str">
        <f aca="false">IF(COUNTIFS($B$2:$B$5001,B247,$H$2:$H$5001,H247,$J$2:$J$5001,J247)&gt;1,"Possible Duplicate Booking","Unique")</f>
        <v>Unique</v>
      </c>
      <c r="W247" s="9" t="str">
        <f aca="false">IF((H247-G247)&lt;&gt;K247,"Mismatch","OK")</f>
        <v>OK</v>
      </c>
      <c r="X247" s="9" t="str">
        <f aca="false">IF(TEXT(H247,"dddd")&lt;&gt;I247,"Mismatch","OK")</f>
        <v>OK</v>
      </c>
      <c r="Y247" s="9" t="str">
        <f aca="false">IF(AND(N247="No",O247&lt;&gt;""),"Unexpected: channel present but no reminder sent",IF(AND(N247="Yes",O247=""),"Missing channel for sent reminder","OK"))</f>
        <v>OK</v>
      </c>
    </row>
    <row r="248" customFormat="false" ht="15" hidden="false" customHeight="false" outlineLevel="0" collapsed="false">
      <c r="A248" s="7" t="s">
        <v>551</v>
      </c>
      <c r="B248" s="7" t="s">
        <v>552</v>
      </c>
      <c r="C248" s="7" t="s">
        <v>47</v>
      </c>
      <c r="D248" s="7" t="n">
        <v>34</v>
      </c>
      <c r="E248" s="7" t="s">
        <v>48</v>
      </c>
      <c r="F248" s="7" t="s">
        <v>39</v>
      </c>
      <c r="G248" s="8" t="n">
        <v>46036</v>
      </c>
      <c r="H248" s="8" t="n">
        <v>46071</v>
      </c>
      <c r="I248" s="7" t="s">
        <v>58</v>
      </c>
      <c r="J248" s="7" t="s">
        <v>41</v>
      </c>
      <c r="K248" s="7" t="n">
        <v>35</v>
      </c>
      <c r="L248" s="7" t="n">
        <v>3</v>
      </c>
      <c r="M248" s="7" t="n">
        <v>1</v>
      </c>
      <c r="N248" s="7" t="s">
        <v>42</v>
      </c>
      <c r="O248" s="7" t="s">
        <v>52</v>
      </c>
      <c r="P248" s="7" t="n">
        <v>4.4</v>
      </c>
      <c r="Q248" s="7" t="n">
        <v>38</v>
      </c>
      <c r="R248" s="7" t="s">
        <v>44</v>
      </c>
      <c r="S248" s="7"/>
      <c r="T248" s="7"/>
      <c r="U248" s="7" t="str">
        <f aca="false">IF(COUNTIF($A$2:$A$5001,A248)&gt;1,"Duplicate","Unique")</f>
        <v>Unique</v>
      </c>
      <c r="V248" s="7" t="str">
        <f aca="false">IF(COUNTIFS($B$2:$B$5001,B248,$H$2:$H$5001,H248,$J$2:$J$5001,J248)&gt;1,"Possible Duplicate Booking","Unique")</f>
        <v>Unique</v>
      </c>
      <c r="W248" s="7" t="str">
        <f aca="false">IF((H248-G248)&lt;&gt;K248,"Mismatch","OK")</f>
        <v>OK</v>
      </c>
      <c r="X248" s="7" t="str">
        <f aca="false">IF(TEXT(H248,"dddd")&lt;&gt;I248,"Mismatch","OK")</f>
        <v>OK</v>
      </c>
      <c r="Y248" s="7" t="str">
        <f aca="false">IF(AND(N248="No",O248&lt;&gt;""),"Unexpected: channel present but no reminder sent",IF(AND(N248="Yes",O248=""),"Missing channel for sent reminder","OK"))</f>
        <v>OK</v>
      </c>
    </row>
    <row r="249" customFormat="false" ht="15" hidden="false" customHeight="false" outlineLevel="0" collapsed="false">
      <c r="A249" s="9" t="s">
        <v>553</v>
      </c>
      <c r="B249" s="9" t="s">
        <v>554</v>
      </c>
      <c r="C249" s="9" t="s">
        <v>47</v>
      </c>
      <c r="D249" s="9" t="n">
        <v>52</v>
      </c>
      <c r="E249" s="9" t="s">
        <v>56</v>
      </c>
      <c r="F249" s="9" t="s">
        <v>39</v>
      </c>
      <c r="G249" s="10" t="n">
        <v>45829</v>
      </c>
      <c r="H249" s="10" t="n">
        <v>45885</v>
      </c>
      <c r="I249" s="9" t="s">
        <v>102</v>
      </c>
      <c r="J249" s="9" t="s">
        <v>51</v>
      </c>
      <c r="K249" s="9" t="n">
        <v>56</v>
      </c>
      <c r="L249" s="9" t="n">
        <v>1</v>
      </c>
      <c r="M249" s="9" t="n">
        <v>0</v>
      </c>
      <c r="N249" s="9" t="s">
        <v>42</v>
      </c>
      <c r="O249" s="9" t="s">
        <v>43</v>
      </c>
      <c r="P249" s="9" t="n">
        <v>21.5</v>
      </c>
      <c r="Q249" s="9" t="n">
        <v>15</v>
      </c>
      <c r="R249" s="9" t="s">
        <v>44</v>
      </c>
      <c r="S249" s="9"/>
      <c r="T249" s="9"/>
      <c r="U249" s="9" t="str">
        <f aca="false">IF(COUNTIF($A$2:$A$5001,A249)&gt;1,"Duplicate","Unique")</f>
        <v>Unique</v>
      </c>
      <c r="V249" s="9" t="str">
        <f aca="false">IF(COUNTIFS($B$2:$B$5001,B249,$H$2:$H$5001,H249,$J$2:$J$5001,J249)&gt;1,"Possible Duplicate Booking","Unique")</f>
        <v>Unique</v>
      </c>
      <c r="W249" s="9" t="str">
        <f aca="false">IF((H249-G249)&lt;&gt;K249,"Mismatch","OK")</f>
        <v>OK</v>
      </c>
      <c r="X249" s="9" t="str">
        <f aca="false">IF(TEXT(H249,"dddd")&lt;&gt;I249,"Mismatch","OK")</f>
        <v>OK</v>
      </c>
      <c r="Y249" s="9" t="str">
        <f aca="false">IF(AND(N249="No",O249&lt;&gt;""),"Unexpected: channel present but no reminder sent",IF(AND(N249="Yes",O249=""),"Missing channel for sent reminder","OK"))</f>
        <v>OK</v>
      </c>
    </row>
    <row r="250" customFormat="false" ht="15" hidden="false" customHeight="false" outlineLevel="0" collapsed="false">
      <c r="A250" s="7" t="s">
        <v>555</v>
      </c>
      <c r="B250" s="7" t="s">
        <v>556</v>
      </c>
      <c r="C250" s="7" t="s">
        <v>47</v>
      </c>
      <c r="D250" s="7" t="n">
        <v>68</v>
      </c>
      <c r="E250" s="7" t="s">
        <v>70</v>
      </c>
      <c r="F250" s="7" t="s">
        <v>57</v>
      </c>
      <c r="G250" s="8" t="n">
        <v>46033</v>
      </c>
      <c r="H250" s="8" t="n">
        <v>46087</v>
      </c>
      <c r="I250" s="7" t="s">
        <v>50</v>
      </c>
      <c r="J250" s="7" t="s">
        <v>51</v>
      </c>
      <c r="K250" s="7" t="n">
        <v>54</v>
      </c>
      <c r="L250" s="7" t="n">
        <v>2</v>
      </c>
      <c r="M250" s="7" t="n">
        <v>0</v>
      </c>
      <c r="N250" s="7" t="s">
        <v>42</v>
      </c>
      <c r="O250" s="7" t="s">
        <v>43</v>
      </c>
      <c r="P250" s="7" t="n">
        <v>14.5</v>
      </c>
      <c r="Q250" s="7" t="n">
        <v>33</v>
      </c>
      <c r="R250" s="7" t="s">
        <v>53</v>
      </c>
      <c r="S250" s="7"/>
      <c r="T250" s="7"/>
      <c r="U250" s="7" t="str">
        <f aca="false">IF(COUNTIF($A$2:$A$5001,A250)&gt;1,"Duplicate","Unique")</f>
        <v>Unique</v>
      </c>
      <c r="V250" s="7" t="str">
        <f aca="false">IF(COUNTIFS($B$2:$B$5001,B250,$H$2:$H$5001,H250,$J$2:$J$5001,J250)&gt;1,"Possible Duplicate Booking","Unique")</f>
        <v>Unique</v>
      </c>
      <c r="W250" s="7" t="str">
        <f aca="false">IF((H250-G250)&lt;&gt;K250,"Mismatch","OK")</f>
        <v>OK</v>
      </c>
      <c r="X250" s="7" t="str">
        <f aca="false">IF(TEXT(H250,"dddd")&lt;&gt;I250,"Mismatch","OK")</f>
        <v>OK</v>
      </c>
      <c r="Y250" s="7" t="str">
        <f aca="false">IF(AND(N250="No",O250&lt;&gt;""),"Unexpected: channel present but no reminder sent",IF(AND(N250="Yes",O250=""),"Missing channel for sent reminder","OK"))</f>
        <v>OK</v>
      </c>
    </row>
    <row r="251" customFormat="false" ht="15" hidden="false" customHeight="false" outlineLevel="0" collapsed="false">
      <c r="A251" s="9" t="s">
        <v>557</v>
      </c>
      <c r="B251" s="9" t="s">
        <v>558</v>
      </c>
      <c r="C251" s="9" t="s">
        <v>37</v>
      </c>
      <c r="D251" s="9" t="n">
        <v>52</v>
      </c>
      <c r="E251" s="9" t="s">
        <v>56</v>
      </c>
      <c r="F251" s="9" t="s">
        <v>49</v>
      </c>
      <c r="G251" s="10" t="n">
        <v>45646</v>
      </c>
      <c r="H251" s="10" t="n">
        <v>45680</v>
      </c>
      <c r="I251" s="9" t="s">
        <v>62</v>
      </c>
      <c r="J251" s="9" t="s">
        <v>51</v>
      </c>
      <c r="K251" s="9" t="n">
        <v>34</v>
      </c>
      <c r="L251" s="9" t="n">
        <v>5</v>
      </c>
      <c r="M251" s="9" t="n">
        <v>1</v>
      </c>
      <c r="N251" s="9" t="s">
        <v>42</v>
      </c>
      <c r="O251" s="9" t="s">
        <v>43</v>
      </c>
      <c r="P251" s="9" t="n">
        <v>23.7</v>
      </c>
      <c r="Q251" s="9" t="n">
        <v>19</v>
      </c>
      <c r="R251" s="9" t="s">
        <v>44</v>
      </c>
      <c r="S251" s="9"/>
      <c r="T251" s="9"/>
      <c r="U251" s="9" t="str">
        <f aca="false">IF(COUNTIF($A$2:$A$5001,A251)&gt;1,"Duplicate","Unique")</f>
        <v>Unique</v>
      </c>
      <c r="V251" s="9" t="str">
        <f aca="false">IF(COUNTIFS($B$2:$B$5001,B251,$H$2:$H$5001,H251,$J$2:$J$5001,J251)&gt;1,"Possible Duplicate Booking","Unique")</f>
        <v>Unique</v>
      </c>
      <c r="W251" s="9" t="str">
        <f aca="false">IF((H251-G251)&lt;&gt;K251,"Mismatch","OK")</f>
        <v>OK</v>
      </c>
      <c r="X251" s="9" t="str">
        <f aca="false">IF(TEXT(H251,"dddd")&lt;&gt;I251,"Mismatch","OK")</f>
        <v>OK</v>
      </c>
      <c r="Y251" s="9" t="str">
        <f aca="false">IF(AND(N251="No",O251&lt;&gt;""),"Unexpected: channel present but no reminder sent",IF(AND(N251="Yes",O251=""),"Missing channel for sent reminder","OK"))</f>
        <v>OK</v>
      </c>
    </row>
    <row r="252" customFormat="false" ht="15" hidden="false" customHeight="false" outlineLevel="0" collapsed="false">
      <c r="A252" s="7" t="s">
        <v>559</v>
      </c>
      <c r="B252" s="7" t="s">
        <v>560</v>
      </c>
      <c r="C252" s="7" t="s">
        <v>37</v>
      </c>
      <c r="D252" s="7" t="n">
        <v>54</v>
      </c>
      <c r="E252" s="7" t="s">
        <v>56</v>
      </c>
      <c r="F252" s="7" t="s">
        <v>49</v>
      </c>
      <c r="G252" s="8" t="n">
        <v>45746</v>
      </c>
      <c r="H252" s="8" t="n">
        <v>45755</v>
      </c>
      <c r="I252" s="7" t="s">
        <v>40</v>
      </c>
      <c r="J252" s="7" t="s">
        <v>63</v>
      </c>
      <c r="K252" s="7" t="n">
        <v>9</v>
      </c>
      <c r="L252" s="7" t="n">
        <v>2</v>
      </c>
      <c r="M252" s="7" t="n">
        <v>0</v>
      </c>
      <c r="N252" s="7" t="s">
        <v>42</v>
      </c>
      <c r="O252" s="7" t="s">
        <v>52</v>
      </c>
      <c r="P252" s="7" t="n">
        <v>2.1</v>
      </c>
      <c r="Q252" s="7" t="n">
        <v>15</v>
      </c>
      <c r="R252" s="7" t="s">
        <v>53</v>
      </c>
      <c r="S252" s="7"/>
      <c r="T252" s="7"/>
      <c r="U252" s="7" t="str">
        <f aca="false">IF(COUNTIF($A$2:$A$5001,A252)&gt;1,"Duplicate","Unique")</f>
        <v>Unique</v>
      </c>
      <c r="V252" s="7" t="str">
        <f aca="false">IF(COUNTIFS($B$2:$B$5001,B252,$H$2:$H$5001,H252,$J$2:$J$5001,J252)&gt;1,"Possible Duplicate Booking","Unique")</f>
        <v>Unique</v>
      </c>
      <c r="W252" s="7" t="str">
        <f aca="false">IF((H252-G252)&lt;&gt;K252,"Mismatch","OK")</f>
        <v>OK</v>
      </c>
      <c r="X252" s="7" t="str">
        <f aca="false">IF(TEXT(H252,"dddd")&lt;&gt;I252,"Mismatch","OK")</f>
        <v>OK</v>
      </c>
      <c r="Y252" s="7" t="str">
        <f aca="false">IF(AND(N252="No",O252&lt;&gt;""),"Unexpected: channel present but no reminder sent",IF(AND(N252="Yes",O252=""),"Missing channel for sent reminder","OK"))</f>
        <v>OK</v>
      </c>
    </row>
    <row r="253" customFormat="false" ht="15" hidden="false" customHeight="false" outlineLevel="0" collapsed="false">
      <c r="A253" s="9" t="s">
        <v>561</v>
      </c>
      <c r="B253" s="9" t="s">
        <v>562</v>
      </c>
      <c r="C253" s="9" t="s">
        <v>37</v>
      </c>
      <c r="D253" s="9" t="n">
        <v>20</v>
      </c>
      <c r="E253" s="9" t="s">
        <v>82</v>
      </c>
      <c r="F253" s="9" t="s">
        <v>57</v>
      </c>
      <c r="G253" s="10" t="n">
        <v>45902</v>
      </c>
      <c r="H253" s="10" t="n">
        <v>45927</v>
      </c>
      <c r="I253" s="9" t="s">
        <v>102</v>
      </c>
      <c r="J253" s="9" t="s">
        <v>51</v>
      </c>
      <c r="K253" s="9" t="n">
        <v>25</v>
      </c>
      <c r="L253" s="9" t="n">
        <v>2</v>
      </c>
      <c r="M253" s="9" t="n">
        <v>0</v>
      </c>
      <c r="N253" s="9" t="s">
        <v>42</v>
      </c>
      <c r="O253" s="9" t="s">
        <v>52</v>
      </c>
      <c r="P253" s="9" t="n">
        <v>5.6</v>
      </c>
      <c r="Q253" s="9" t="n">
        <v>35</v>
      </c>
      <c r="R253" s="9" t="s">
        <v>53</v>
      </c>
      <c r="S253" s="9"/>
      <c r="T253" s="9"/>
      <c r="U253" s="9" t="str">
        <f aca="false">IF(COUNTIF($A$2:$A$5001,A253)&gt;1,"Duplicate","Unique")</f>
        <v>Unique</v>
      </c>
      <c r="V253" s="9" t="str">
        <f aca="false">IF(COUNTIFS($B$2:$B$5001,B253,$H$2:$H$5001,H253,$J$2:$J$5001,J253)&gt;1,"Possible Duplicate Booking","Unique")</f>
        <v>Unique</v>
      </c>
      <c r="W253" s="9" t="str">
        <f aca="false">IF((H253-G253)&lt;&gt;K253,"Mismatch","OK")</f>
        <v>OK</v>
      </c>
      <c r="X253" s="9" t="str">
        <f aca="false">IF(TEXT(H253,"dddd")&lt;&gt;I253,"Mismatch","OK")</f>
        <v>OK</v>
      </c>
      <c r="Y253" s="9" t="str">
        <f aca="false">IF(AND(N253="No",O253&lt;&gt;""),"Unexpected: channel present but no reminder sent",IF(AND(N253="Yes",O253=""),"Missing channel for sent reminder","OK"))</f>
        <v>OK</v>
      </c>
    </row>
    <row r="254" customFormat="false" ht="15" hidden="false" customHeight="false" outlineLevel="0" collapsed="false">
      <c r="A254" s="7" t="s">
        <v>563</v>
      </c>
      <c r="B254" s="7" t="s">
        <v>564</v>
      </c>
      <c r="C254" s="7" t="s">
        <v>47</v>
      </c>
      <c r="D254" s="7" t="n">
        <v>58</v>
      </c>
      <c r="E254" s="7" t="s">
        <v>61</v>
      </c>
      <c r="F254" s="7" t="s">
        <v>74</v>
      </c>
      <c r="G254" s="8" t="n">
        <v>45717</v>
      </c>
      <c r="H254" s="8" t="n">
        <v>45760</v>
      </c>
      <c r="I254" s="7" t="s">
        <v>75</v>
      </c>
      <c r="J254" s="7" t="s">
        <v>41</v>
      </c>
      <c r="K254" s="7" t="n">
        <v>43</v>
      </c>
      <c r="L254" s="7" t="n">
        <v>2</v>
      </c>
      <c r="M254" s="7" t="n">
        <v>0</v>
      </c>
      <c r="N254" s="7" t="s">
        <v>42</v>
      </c>
      <c r="O254" s="7" t="s">
        <v>43</v>
      </c>
      <c r="P254" s="7" t="n">
        <v>15.1</v>
      </c>
      <c r="Q254" s="7" t="n">
        <v>32</v>
      </c>
      <c r="R254" s="7" t="s">
        <v>44</v>
      </c>
      <c r="S254" s="7"/>
      <c r="T254" s="7"/>
      <c r="U254" s="7" t="str">
        <f aca="false">IF(COUNTIF($A$2:$A$5001,A254)&gt;1,"Duplicate","Unique")</f>
        <v>Unique</v>
      </c>
      <c r="V254" s="7" t="str">
        <f aca="false">IF(COUNTIFS($B$2:$B$5001,B254,$H$2:$H$5001,H254,$J$2:$J$5001,J254)&gt;1,"Possible Duplicate Booking","Unique")</f>
        <v>Unique</v>
      </c>
      <c r="W254" s="7" t="str">
        <f aca="false">IF((H254-G254)&lt;&gt;K254,"Mismatch","OK")</f>
        <v>OK</v>
      </c>
      <c r="X254" s="7" t="str">
        <f aca="false">IF(TEXT(H254,"dddd")&lt;&gt;I254,"Mismatch","OK")</f>
        <v>OK</v>
      </c>
      <c r="Y254" s="7" t="str">
        <f aca="false">IF(AND(N254="No",O254&lt;&gt;""),"Unexpected: channel present but no reminder sent",IF(AND(N254="Yes",O254=""),"Missing channel for sent reminder","OK"))</f>
        <v>OK</v>
      </c>
    </row>
    <row r="255" customFormat="false" ht="15" hidden="false" customHeight="false" outlineLevel="0" collapsed="false">
      <c r="A255" s="9" t="s">
        <v>565</v>
      </c>
      <c r="B255" s="9" t="s">
        <v>566</v>
      </c>
      <c r="C255" s="9" t="s">
        <v>37</v>
      </c>
      <c r="D255" s="9" t="n">
        <v>45</v>
      </c>
      <c r="E255" s="9" t="s">
        <v>56</v>
      </c>
      <c r="F255" s="9" t="s">
        <v>49</v>
      </c>
      <c r="G255" s="10" t="n">
        <v>45804</v>
      </c>
      <c r="H255" s="10" t="n">
        <v>45838</v>
      </c>
      <c r="I255" s="9" t="s">
        <v>66</v>
      </c>
      <c r="J255" s="9" t="s">
        <v>51</v>
      </c>
      <c r="K255" s="9" t="n">
        <v>34</v>
      </c>
      <c r="L255" s="9" t="n">
        <v>2</v>
      </c>
      <c r="M255" s="9" t="n">
        <v>0</v>
      </c>
      <c r="N255" s="9" t="s">
        <v>71</v>
      </c>
      <c r="O255" s="9"/>
      <c r="P255" s="9" t="n">
        <v>11.7</v>
      </c>
      <c r="Q255" s="9" t="n">
        <v>17</v>
      </c>
      <c r="R255" s="9" t="s">
        <v>44</v>
      </c>
      <c r="S255" s="9"/>
      <c r="T255" s="9"/>
      <c r="U255" s="9" t="str">
        <f aca="false">IF(COUNTIF($A$2:$A$5001,A255)&gt;1,"Duplicate","Unique")</f>
        <v>Unique</v>
      </c>
      <c r="V255" s="9" t="str">
        <f aca="false">IF(COUNTIFS($B$2:$B$5001,B255,$H$2:$H$5001,H255,$J$2:$J$5001,J255)&gt;1,"Possible Duplicate Booking","Unique")</f>
        <v>Unique</v>
      </c>
      <c r="W255" s="9" t="str">
        <f aca="false">IF((H255-G255)&lt;&gt;K255,"Mismatch","OK")</f>
        <v>OK</v>
      </c>
      <c r="X255" s="9" t="str">
        <f aca="false">IF(TEXT(H255,"dddd")&lt;&gt;I255,"Mismatch","OK")</f>
        <v>OK</v>
      </c>
      <c r="Y255" s="9" t="str">
        <f aca="false">IF(AND(N255="No",O255&lt;&gt;""),"Unexpected: channel present but no reminder sent",IF(AND(N255="Yes",O255=""),"Missing channel for sent reminder","OK"))</f>
        <v>OK</v>
      </c>
    </row>
    <row r="256" customFormat="false" ht="15" hidden="false" customHeight="false" outlineLevel="0" collapsed="false">
      <c r="A256" s="7" t="s">
        <v>567</v>
      </c>
      <c r="B256" s="7" t="s">
        <v>568</v>
      </c>
      <c r="C256" s="7" t="s">
        <v>37</v>
      </c>
      <c r="D256" s="7" t="n">
        <v>25</v>
      </c>
      <c r="E256" s="7" t="s">
        <v>48</v>
      </c>
      <c r="F256" s="7" t="s">
        <v>39</v>
      </c>
      <c r="G256" s="8" t="n">
        <v>45997</v>
      </c>
      <c r="H256" s="8" t="n">
        <v>46018</v>
      </c>
      <c r="I256" s="7" t="s">
        <v>102</v>
      </c>
      <c r="J256" s="7" t="s">
        <v>63</v>
      </c>
      <c r="K256" s="7" t="n">
        <v>21</v>
      </c>
      <c r="L256" s="7" t="n">
        <v>3</v>
      </c>
      <c r="M256" s="7" t="n">
        <v>0</v>
      </c>
      <c r="N256" s="7" t="s">
        <v>42</v>
      </c>
      <c r="O256" s="7" t="s">
        <v>43</v>
      </c>
      <c r="P256" s="7" t="n">
        <v>22.4</v>
      </c>
      <c r="Q256" s="7" t="n">
        <v>22</v>
      </c>
      <c r="R256" s="7" t="s">
        <v>53</v>
      </c>
      <c r="S256" s="7"/>
      <c r="T256" s="7"/>
      <c r="U256" s="7" t="str">
        <f aca="false">IF(COUNTIF($A$2:$A$5001,A256)&gt;1,"Duplicate","Unique")</f>
        <v>Unique</v>
      </c>
      <c r="V256" s="7" t="str">
        <f aca="false">IF(COUNTIFS($B$2:$B$5001,B256,$H$2:$H$5001,H256,$J$2:$J$5001,J256)&gt;1,"Possible Duplicate Booking","Unique")</f>
        <v>Unique</v>
      </c>
      <c r="W256" s="7" t="str">
        <f aca="false">IF((H256-G256)&lt;&gt;K256,"Mismatch","OK")</f>
        <v>OK</v>
      </c>
      <c r="X256" s="7" t="str">
        <f aca="false">IF(TEXT(H256,"dddd")&lt;&gt;I256,"Mismatch","OK")</f>
        <v>OK</v>
      </c>
      <c r="Y256" s="7" t="str">
        <f aca="false">IF(AND(N256="No",O256&lt;&gt;""),"Unexpected: channel present but no reminder sent",IF(AND(N256="Yes",O256=""),"Missing channel for sent reminder","OK"))</f>
        <v>OK</v>
      </c>
    </row>
    <row r="257" customFormat="false" ht="15" hidden="false" customHeight="false" outlineLevel="0" collapsed="false">
      <c r="A257" s="9" t="s">
        <v>569</v>
      </c>
      <c r="B257" s="9" t="s">
        <v>570</v>
      </c>
      <c r="C257" s="9" t="s">
        <v>47</v>
      </c>
      <c r="D257" s="9" t="n">
        <v>31</v>
      </c>
      <c r="E257" s="9" t="s">
        <v>48</v>
      </c>
      <c r="F257" s="9" t="s">
        <v>74</v>
      </c>
      <c r="G257" s="10" t="n">
        <v>45716</v>
      </c>
      <c r="H257" s="10" t="n">
        <v>45736</v>
      </c>
      <c r="I257" s="9" t="s">
        <v>62</v>
      </c>
      <c r="J257" s="9" t="s">
        <v>41</v>
      </c>
      <c r="K257" s="9" t="n">
        <v>20</v>
      </c>
      <c r="L257" s="9" t="n">
        <v>5</v>
      </c>
      <c r="M257" s="9" t="n">
        <v>0</v>
      </c>
      <c r="N257" s="9" t="s">
        <v>71</v>
      </c>
      <c r="O257" s="9"/>
      <c r="P257" s="9" t="n">
        <v>16.9</v>
      </c>
      <c r="Q257" s="9" t="n">
        <v>23</v>
      </c>
      <c r="R257" s="9" t="s">
        <v>44</v>
      </c>
      <c r="S257" s="9"/>
      <c r="T257" s="9"/>
      <c r="U257" s="9" t="str">
        <f aca="false">IF(COUNTIF($A$2:$A$5001,A257)&gt;1,"Duplicate","Unique")</f>
        <v>Unique</v>
      </c>
      <c r="V257" s="9" t="str">
        <f aca="false">IF(COUNTIFS($B$2:$B$5001,B257,$H$2:$H$5001,H257,$J$2:$J$5001,J257)&gt;1,"Possible Duplicate Booking","Unique")</f>
        <v>Unique</v>
      </c>
      <c r="W257" s="9" t="str">
        <f aca="false">IF((H257-G257)&lt;&gt;K257,"Mismatch","OK")</f>
        <v>OK</v>
      </c>
      <c r="X257" s="9" t="str">
        <f aca="false">IF(TEXT(H257,"dddd")&lt;&gt;I257,"Mismatch","OK")</f>
        <v>OK</v>
      </c>
      <c r="Y257" s="9" t="str">
        <f aca="false">IF(AND(N257="No",O257&lt;&gt;""),"Unexpected: channel present but no reminder sent",IF(AND(N257="Yes",O257=""),"Missing channel for sent reminder","OK"))</f>
        <v>OK</v>
      </c>
    </row>
    <row r="258" customFormat="false" ht="15" hidden="false" customHeight="false" outlineLevel="0" collapsed="false">
      <c r="A258" s="7" t="s">
        <v>571</v>
      </c>
      <c r="B258" s="7" t="s">
        <v>572</v>
      </c>
      <c r="C258" s="7" t="s">
        <v>37</v>
      </c>
      <c r="D258" s="7" t="n">
        <v>67</v>
      </c>
      <c r="E258" s="7" t="s">
        <v>70</v>
      </c>
      <c r="F258" s="7" t="s">
        <v>57</v>
      </c>
      <c r="G258" s="8" t="n">
        <v>46025</v>
      </c>
      <c r="H258" s="8" t="n">
        <v>46028</v>
      </c>
      <c r="I258" s="7" t="s">
        <v>40</v>
      </c>
      <c r="J258" s="7" t="s">
        <v>51</v>
      </c>
      <c r="K258" s="7" t="n">
        <v>3</v>
      </c>
      <c r="L258" s="7" t="n">
        <v>4</v>
      </c>
      <c r="M258" s="7" t="n">
        <v>0</v>
      </c>
      <c r="N258" s="7" t="s">
        <v>42</v>
      </c>
      <c r="O258" s="7" t="s">
        <v>67</v>
      </c>
      <c r="P258" s="7" t="n">
        <v>1.9</v>
      </c>
      <c r="Q258" s="7" t="n">
        <v>27</v>
      </c>
      <c r="R258" s="7" t="s">
        <v>53</v>
      </c>
      <c r="S258" s="7"/>
      <c r="T258" s="7"/>
      <c r="U258" s="7" t="str">
        <f aca="false">IF(COUNTIF($A$2:$A$5001,A258)&gt;1,"Duplicate","Unique")</f>
        <v>Unique</v>
      </c>
      <c r="V258" s="7" t="str">
        <f aca="false">IF(COUNTIFS($B$2:$B$5001,B258,$H$2:$H$5001,H258,$J$2:$J$5001,J258)&gt;1,"Possible Duplicate Booking","Unique")</f>
        <v>Unique</v>
      </c>
      <c r="W258" s="7" t="str">
        <f aca="false">IF((H258-G258)&lt;&gt;K258,"Mismatch","OK")</f>
        <v>OK</v>
      </c>
      <c r="X258" s="7" t="str">
        <f aca="false">IF(TEXT(H258,"dddd")&lt;&gt;I258,"Mismatch","OK")</f>
        <v>OK</v>
      </c>
      <c r="Y258" s="7" t="str">
        <f aca="false">IF(AND(N258="No",O258&lt;&gt;""),"Unexpected: channel present but no reminder sent",IF(AND(N258="Yes",O258=""),"Missing channel for sent reminder","OK"))</f>
        <v>OK</v>
      </c>
    </row>
    <row r="259" customFormat="false" ht="15" hidden="false" customHeight="false" outlineLevel="0" collapsed="false">
      <c r="A259" s="9" t="s">
        <v>573</v>
      </c>
      <c r="B259" s="9" t="s">
        <v>574</v>
      </c>
      <c r="C259" s="9" t="s">
        <v>47</v>
      </c>
      <c r="D259" s="9" t="n">
        <v>75</v>
      </c>
      <c r="E259" s="9" t="s">
        <v>70</v>
      </c>
      <c r="F259" s="9" t="s">
        <v>57</v>
      </c>
      <c r="G259" s="10" t="n">
        <v>45697</v>
      </c>
      <c r="H259" s="10" t="n">
        <v>45714</v>
      </c>
      <c r="I259" s="9" t="s">
        <v>58</v>
      </c>
      <c r="J259" s="9" t="s">
        <v>51</v>
      </c>
      <c r="K259" s="9" t="n">
        <v>17</v>
      </c>
      <c r="L259" s="9" t="n">
        <v>1</v>
      </c>
      <c r="M259" s="9" t="n">
        <v>0</v>
      </c>
      <c r="N259" s="9" t="s">
        <v>42</v>
      </c>
      <c r="O259" s="9" t="s">
        <v>43</v>
      </c>
      <c r="P259" s="9" t="n">
        <v>12.9</v>
      </c>
      <c r="Q259" s="9" t="n">
        <v>19</v>
      </c>
      <c r="R259" s="9" t="s">
        <v>53</v>
      </c>
      <c r="S259" s="9"/>
      <c r="T259" s="9"/>
      <c r="U259" s="9" t="str">
        <f aca="false">IF(COUNTIF($A$2:$A$5001,A259)&gt;1,"Duplicate","Unique")</f>
        <v>Unique</v>
      </c>
      <c r="V259" s="9" t="str">
        <f aca="false">IF(COUNTIFS($B$2:$B$5001,B259,$H$2:$H$5001,H259,$J$2:$J$5001,J259)&gt;1,"Possible Duplicate Booking","Unique")</f>
        <v>Unique</v>
      </c>
      <c r="W259" s="9" t="str">
        <f aca="false">IF((H259-G259)&lt;&gt;K259,"Mismatch","OK")</f>
        <v>OK</v>
      </c>
      <c r="X259" s="9" t="str">
        <f aca="false">IF(TEXT(H259,"dddd")&lt;&gt;I259,"Mismatch","OK")</f>
        <v>OK</v>
      </c>
      <c r="Y259" s="9" t="str">
        <f aca="false">IF(AND(N259="No",O259&lt;&gt;""),"Unexpected: channel present but no reminder sent",IF(AND(N259="Yes",O259=""),"Missing channel for sent reminder","OK"))</f>
        <v>OK</v>
      </c>
    </row>
    <row r="260" customFormat="false" ht="15" hidden="false" customHeight="false" outlineLevel="0" collapsed="false">
      <c r="A260" s="7" t="s">
        <v>575</v>
      </c>
      <c r="B260" s="7" t="s">
        <v>576</v>
      </c>
      <c r="C260" s="7" t="s">
        <v>37</v>
      </c>
      <c r="D260" s="7" t="n">
        <v>49</v>
      </c>
      <c r="E260" s="7" t="s">
        <v>56</v>
      </c>
      <c r="F260" s="7" t="s">
        <v>57</v>
      </c>
      <c r="G260" s="8" t="n">
        <v>45713</v>
      </c>
      <c r="H260" s="8" t="n">
        <v>45753</v>
      </c>
      <c r="I260" s="7" t="s">
        <v>75</v>
      </c>
      <c r="J260" s="7" t="s">
        <v>51</v>
      </c>
      <c r="K260" s="7" t="n">
        <v>40</v>
      </c>
      <c r="L260" s="7" t="n">
        <v>1</v>
      </c>
      <c r="M260" s="7" t="n">
        <v>0</v>
      </c>
      <c r="N260" s="7" t="s">
        <v>42</v>
      </c>
      <c r="O260" s="7" t="s">
        <v>43</v>
      </c>
      <c r="P260" s="7" t="n">
        <v>17.6</v>
      </c>
      <c r="Q260" s="7" t="n">
        <v>43</v>
      </c>
      <c r="R260" s="7" t="s">
        <v>44</v>
      </c>
      <c r="S260" s="7"/>
      <c r="T260" s="7"/>
      <c r="U260" s="7" t="str">
        <f aca="false">IF(COUNTIF($A$2:$A$5001,A260)&gt;1,"Duplicate","Unique")</f>
        <v>Unique</v>
      </c>
      <c r="V260" s="7" t="str">
        <f aca="false">IF(COUNTIFS($B$2:$B$5001,B260,$H$2:$H$5001,H260,$J$2:$J$5001,J260)&gt;1,"Possible Duplicate Booking","Unique")</f>
        <v>Unique</v>
      </c>
      <c r="W260" s="7" t="str">
        <f aca="false">IF((H260-G260)&lt;&gt;K260,"Mismatch","OK")</f>
        <v>OK</v>
      </c>
      <c r="X260" s="7" t="str">
        <f aca="false">IF(TEXT(H260,"dddd")&lt;&gt;I260,"Mismatch","OK")</f>
        <v>OK</v>
      </c>
      <c r="Y260" s="7" t="str">
        <f aca="false">IF(AND(N260="No",O260&lt;&gt;""),"Unexpected: channel present but no reminder sent",IF(AND(N260="Yes",O260=""),"Missing channel for sent reminder","OK"))</f>
        <v>OK</v>
      </c>
    </row>
    <row r="261" customFormat="false" ht="15" hidden="false" customHeight="false" outlineLevel="0" collapsed="false">
      <c r="A261" s="9" t="s">
        <v>577</v>
      </c>
      <c r="B261" s="9" t="s">
        <v>578</v>
      </c>
      <c r="C261" s="9" t="s">
        <v>37</v>
      </c>
      <c r="D261" s="9" t="n">
        <v>79</v>
      </c>
      <c r="E261" s="9" t="s">
        <v>70</v>
      </c>
      <c r="F261" s="9" t="s">
        <v>39</v>
      </c>
      <c r="G261" s="10" t="n">
        <v>45964</v>
      </c>
      <c r="H261" s="10" t="n">
        <v>45978</v>
      </c>
      <c r="I261" s="9" t="s">
        <v>66</v>
      </c>
      <c r="J261" s="9" t="s">
        <v>51</v>
      </c>
      <c r="K261" s="9" t="n">
        <v>14</v>
      </c>
      <c r="L261" s="9" t="n">
        <v>4</v>
      </c>
      <c r="M261" s="9" t="n">
        <v>0</v>
      </c>
      <c r="N261" s="9" t="s">
        <v>71</v>
      </c>
      <c r="O261" s="9"/>
      <c r="P261" s="9" t="n">
        <v>3.8</v>
      </c>
      <c r="Q261" s="9" t="n">
        <v>12</v>
      </c>
      <c r="R261" s="9" t="s">
        <v>53</v>
      </c>
      <c r="S261" s="9"/>
      <c r="T261" s="9"/>
      <c r="U261" s="9" t="str">
        <f aca="false">IF(COUNTIF($A$2:$A$5001,A261)&gt;1,"Duplicate","Unique")</f>
        <v>Unique</v>
      </c>
      <c r="V261" s="9" t="str">
        <f aca="false">IF(COUNTIFS($B$2:$B$5001,B261,$H$2:$H$5001,H261,$J$2:$J$5001,J261)&gt;1,"Possible Duplicate Booking","Unique")</f>
        <v>Unique</v>
      </c>
      <c r="W261" s="9" t="str">
        <f aca="false">IF((H261-G261)&lt;&gt;K261,"Mismatch","OK")</f>
        <v>OK</v>
      </c>
      <c r="X261" s="9" t="str">
        <f aca="false">IF(TEXT(H261,"dddd")&lt;&gt;I261,"Mismatch","OK")</f>
        <v>OK</v>
      </c>
      <c r="Y261" s="9" t="str">
        <f aca="false">IF(AND(N261="No",O261&lt;&gt;""),"Unexpected: channel present but no reminder sent",IF(AND(N261="Yes",O261=""),"Missing channel for sent reminder","OK"))</f>
        <v>OK</v>
      </c>
    </row>
    <row r="262" customFormat="false" ht="15" hidden="false" customHeight="false" outlineLevel="0" collapsed="false">
      <c r="A262" s="7" t="s">
        <v>579</v>
      </c>
      <c r="B262" s="7" t="s">
        <v>580</v>
      </c>
      <c r="C262" s="7" t="s">
        <v>47</v>
      </c>
      <c r="D262" s="7" t="n">
        <v>29</v>
      </c>
      <c r="E262" s="7" t="s">
        <v>48</v>
      </c>
      <c r="F262" s="7" t="s">
        <v>57</v>
      </c>
      <c r="G262" s="8" t="n">
        <v>46031</v>
      </c>
      <c r="H262" s="8" t="n">
        <v>46091</v>
      </c>
      <c r="I262" s="7" t="s">
        <v>40</v>
      </c>
      <c r="J262" s="7" t="s">
        <v>41</v>
      </c>
      <c r="K262" s="7" t="n">
        <v>60</v>
      </c>
      <c r="L262" s="7" t="n">
        <v>5</v>
      </c>
      <c r="M262" s="7" t="n">
        <v>1</v>
      </c>
      <c r="N262" s="7" t="s">
        <v>42</v>
      </c>
      <c r="O262" s="7" t="s">
        <v>52</v>
      </c>
      <c r="P262" s="7" t="n">
        <v>9.8</v>
      </c>
      <c r="Q262" s="7"/>
      <c r="R262" s="7" t="s">
        <v>44</v>
      </c>
      <c r="S262" s="7"/>
      <c r="T262" s="7"/>
      <c r="U262" s="7" t="str">
        <f aca="false">IF(COUNTIF($A$2:$A$5001,A262)&gt;1,"Duplicate","Unique")</f>
        <v>Unique</v>
      </c>
      <c r="V262" s="7" t="str">
        <f aca="false">IF(COUNTIFS($B$2:$B$5001,B262,$H$2:$H$5001,H262,$J$2:$J$5001,J262)&gt;1,"Possible Duplicate Booking","Unique")</f>
        <v>Unique</v>
      </c>
      <c r="W262" s="7" t="str">
        <f aca="false">IF((H262-G262)&lt;&gt;K262,"Mismatch","OK")</f>
        <v>OK</v>
      </c>
      <c r="X262" s="7" t="str">
        <f aca="false">IF(TEXT(H262,"dddd")&lt;&gt;I262,"Mismatch","OK")</f>
        <v>OK</v>
      </c>
      <c r="Y262" s="7" t="str">
        <f aca="false">IF(AND(N262="No",O262&lt;&gt;""),"Unexpected: channel present but no reminder sent",IF(AND(N262="Yes",O262=""),"Missing channel for sent reminder","OK"))</f>
        <v>OK</v>
      </c>
    </row>
    <row r="263" customFormat="false" ht="15" hidden="false" customHeight="false" outlineLevel="0" collapsed="false">
      <c r="A263" s="9" t="s">
        <v>581</v>
      </c>
      <c r="B263" s="9" t="s">
        <v>582</v>
      </c>
      <c r="C263" s="9" t="s">
        <v>37</v>
      </c>
      <c r="D263" s="9" t="n">
        <v>36</v>
      </c>
      <c r="E263" s="9" t="s">
        <v>38</v>
      </c>
      <c r="F263" s="9" t="s">
        <v>74</v>
      </c>
      <c r="G263" s="10" t="n">
        <v>45746</v>
      </c>
      <c r="H263" s="10" t="n">
        <v>45751</v>
      </c>
      <c r="I263" s="9" t="s">
        <v>50</v>
      </c>
      <c r="J263" s="9" t="s">
        <v>41</v>
      </c>
      <c r="K263" s="9" t="n">
        <v>5</v>
      </c>
      <c r="L263" s="9" t="n">
        <v>7</v>
      </c>
      <c r="M263" s="9" t="n">
        <v>0</v>
      </c>
      <c r="N263" s="9" t="s">
        <v>71</v>
      </c>
      <c r="O263" s="9"/>
      <c r="P263" s="9" t="n">
        <v>4.2</v>
      </c>
      <c r="Q263" s="9" t="n">
        <v>23</v>
      </c>
      <c r="R263" s="9" t="s">
        <v>53</v>
      </c>
      <c r="S263" s="9"/>
      <c r="T263" s="9"/>
      <c r="U263" s="9" t="str">
        <f aca="false">IF(COUNTIF($A$2:$A$5001,A263)&gt;1,"Duplicate","Unique")</f>
        <v>Unique</v>
      </c>
      <c r="V263" s="9" t="str">
        <f aca="false">IF(COUNTIFS($B$2:$B$5001,B263,$H$2:$H$5001,H263,$J$2:$J$5001,J263)&gt;1,"Possible Duplicate Booking","Unique")</f>
        <v>Unique</v>
      </c>
      <c r="W263" s="9" t="str">
        <f aca="false">IF((H263-G263)&lt;&gt;K263,"Mismatch","OK")</f>
        <v>OK</v>
      </c>
      <c r="X263" s="9" t="str">
        <f aca="false">IF(TEXT(H263,"dddd")&lt;&gt;I263,"Mismatch","OK")</f>
        <v>OK</v>
      </c>
      <c r="Y263" s="9" t="str">
        <f aca="false">IF(AND(N263="No",O263&lt;&gt;""),"Unexpected: channel present but no reminder sent",IF(AND(N263="Yes",O263=""),"Missing channel for sent reminder","OK"))</f>
        <v>OK</v>
      </c>
    </row>
    <row r="264" customFormat="false" ht="15" hidden="false" customHeight="false" outlineLevel="0" collapsed="false">
      <c r="A264" s="7" t="s">
        <v>583</v>
      </c>
      <c r="B264" s="7" t="s">
        <v>260</v>
      </c>
      <c r="C264" s="7" t="s">
        <v>47</v>
      </c>
      <c r="D264" s="7" t="n">
        <v>76</v>
      </c>
      <c r="E264" s="7" t="s">
        <v>70</v>
      </c>
      <c r="F264" s="7" t="s">
        <v>57</v>
      </c>
      <c r="G264" s="8" t="n">
        <v>45786</v>
      </c>
      <c r="H264" s="8" t="n">
        <v>45821</v>
      </c>
      <c r="I264" s="7" t="s">
        <v>50</v>
      </c>
      <c r="J264" s="7" t="s">
        <v>51</v>
      </c>
      <c r="K264" s="7" t="n">
        <v>35</v>
      </c>
      <c r="L264" s="7" t="n">
        <v>0</v>
      </c>
      <c r="M264" s="7" t="n">
        <v>0</v>
      </c>
      <c r="N264" s="7" t="s">
        <v>42</v>
      </c>
      <c r="O264" s="7" t="s">
        <v>43</v>
      </c>
      <c r="P264" s="7" t="n">
        <v>11.3</v>
      </c>
      <c r="Q264" s="7" t="n">
        <v>2</v>
      </c>
      <c r="R264" s="7" t="s">
        <v>53</v>
      </c>
      <c r="S264" s="7"/>
      <c r="T264" s="7"/>
      <c r="U264" s="7" t="str">
        <f aca="false">IF(COUNTIF($A$2:$A$5001,A264)&gt;1,"Duplicate","Unique")</f>
        <v>Unique</v>
      </c>
      <c r="V264" s="7" t="str">
        <f aca="false">IF(COUNTIFS($B$2:$B$5001,B264,$H$2:$H$5001,H264,$J$2:$J$5001,J264)&gt;1,"Possible Duplicate Booking","Unique")</f>
        <v>Unique</v>
      </c>
      <c r="W264" s="7" t="str">
        <f aca="false">IF((H264-G264)&lt;&gt;K264,"Mismatch","OK")</f>
        <v>OK</v>
      </c>
      <c r="X264" s="7" t="str">
        <f aca="false">IF(TEXT(H264,"dddd")&lt;&gt;I264,"Mismatch","OK")</f>
        <v>OK</v>
      </c>
      <c r="Y264" s="7" t="str">
        <f aca="false">IF(AND(N264="No",O264&lt;&gt;""),"Unexpected: channel present but no reminder sent",IF(AND(N264="Yes",O264=""),"Missing channel for sent reminder","OK"))</f>
        <v>OK</v>
      </c>
    </row>
    <row r="265" customFormat="false" ht="15" hidden="false" customHeight="false" outlineLevel="0" collapsed="false">
      <c r="A265" s="9" t="s">
        <v>584</v>
      </c>
      <c r="B265" s="9" t="s">
        <v>585</v>
      </c>
      <c r="C265" s="9" t="s">
        <v>37</v>
      </c>
      <c r="D265" s="9" t="n">
        <v>29</v>
      </c>
      <c r="E265" s="9" t="s">
        <v>48</v>
      </c>
      <c r="F265" s="9" t="s">
        <v>57</v>
      </c>
      <c r="G265" s="10" t="n">
        <v>46133</v>
      </c>
      <c r="H265" s="10" t="n">
        <v>46163</v>
      </c>
      <c r="I265" s="9" t="s">
        <v>62</v>
      </c>
      <c r="J265" s="9" t="s">
        <v>41</v>
      </c>
      <c r="K265" s="9" t="n">
        <v>30</v>
      </c>
      <c r="L265" s="9" t="n">
        <v>8</v>
      </c>
      <c r="M265" s="9" t="n">
        <v>3</v>
      </c>
      <c r="N265" s="9" t="s">
        <v>42</v>
      </c>
      <c r="O265" s="9" t="s">
        <v>43</v>
      </c>
      <c r="P265" s="9" t="n">
        <v>7.5</v>
      </c>
      <c r="Q265" s="9" t="n">
        <v>15</v>
      </c>
      <c r="R265" s="9" t="s">
        <v>44</v>
      </c>
      <c r="S265" s="9"/>
      <c r="T265" s="9"/>
      <c r="U265" s="9" t="str">
        <f aca="false">IF(COUNTIF($A$2:$A$5001,A265)&gt;1,"Duplicate","Unique")</f>
        <v>Unique</v>
      </c>
      <c r="V265" s="9" t="str">
        <f aca="false">IF(COUNTIFS($B$2:$B$5001,B265,$H$2:$H$5001,H265,$J$2:$J$5001,J265)&gt;1,"Possible Duplicate Booking","Unique")</f>
        <v>Unique</v>
      </c>
      <c r="W265" s="9" t="str">
        <f aca="false">IF((H265-G265)&lt;&gt;K265,"Mismatch","OK")</f>
        <v>OK</v>
      </c>
      <c r="X265" s="9" t="str">
        <f aca="false">IF(TEXT(H265,"dddd")&lt;&gt;I265,"Mismatch","OK")</f>
        <v>OK</v>
      </c>
      <c r="Y265" s="9" t="str">
        <f aca="false">IF(AND(N265="No",O265&lt;&gt;""),"Unexpected: channel present but no reminder sent",IF(AND(N265="Yes",O265=""),"Missing channel for sent reminder","OK"))</f>
        <v>OK</v>
      </c>
    </row>
    <row r="266" customFormat="false" ht="15" hidden="false" customHeight="false" outlineLevel="0" collapsed="false">
      <c r="A266" s="7" t="s">
        <v>586</v>
      </c>
      <c r="B266" s="7" t="s">
        <v>587</v>
      </c>
      <c r="C266" s="7" t="s">
        <v>37</v>
      </c>
      <c r="D266" s="7" t="n">
        <v>59</v>
      </c>
      <c r="E266" s="7" t="s">
        <v>61</v>
      </c>
      <c r="F266" s="7" t="s">
        <v>39</v>
      </c>
      <c r="G266" s="8" t="n">
        <v>46148</v>
      </c>
      <c r="H266" s="8" t="n">
        <v>46198</v>
      </c>
      <c r="I266" s="7" t="s">
        <v>62</v>
      </c>
      <c r="J266" s="7" t="s">
        <v>41</v>
      </c>
      <c r="K266" s="7" t="n">
        <v>50</v>
      </c>
      <c r="L266" s="7" t="n">
        <v>3</v>
      </c>
      <c r="M266" s="7" t="n">
        <v>1</v>
      </c>
      <c r="N266" s="7" t="s">
        <v>71</v>
      </c>
      <c r="O266" s="7"/>
      <c r="P266" s="7" t="n">
        <v>8.9</v>
      </c>
      <c r="Q266" s="7" t="n">
        <v>17</v>
      </c>
      <c r="R266" s="7" t="s">
        <v>44</v>
      </c>
      <c r="S266" s="7"/>
      <c r="T266" s="7"/>
      <c r="U266" s="7" t="str">
        <f aca="false">IF(COUNTIF($A$2:$A$5001,A266)&gt;1,"Duplicate","Unique")</f>
        <v>Unique</v>
      </c>
      <c r="V266" s="7" t="str">
        <f aca="false">IF(COUNTIFS($B$2:$B$5001,B266,$H$2:$H$5001,H266,$J$2:$J$5001,J266)&gt;1,"Possible Duplicate Booking","Unique")</f>
        <v>Unique</v>
      </c>
      <c r="W266" s="7" t="str">
        <f aca="false">IF((H266-G266)&lt;&gt;K266,"Mismatch","OK")</f>
        <v>OK</v>
      </c>
      <c r="X266" s="7" t="str">
        <f aca="false">IF(TEXT(H266,"dddd")&lt;&gt;I266,"Mismatch","OK")</f>
        <v>OK</v>
      </c>
      <c r="Y266" s="7" t="str">
        <f aca="false">IF(AND(N266="No",O266&lt;&gt;""),"Unexpected: channel present but no reminder sent",IF(AND(N266="Yes",O266=""),"Missing channel for sent reminder","OK"))</f>
        <v>OK</v>
      </c>
    </row>
    <row r="267" customFormat="false" ht="15" hidden="false" customHeight="false" outlineLevel="0" collapsed="false">
      <c r="A267" s="9" t="s">
        <v>588</v>
      </c>
      <c r="B267" s="9" t="s">
        <v>589</v>
      </c>
      <c r="C267" s="9" t="s">
        <v>37</v>
      </c>
      <c r="D267" s="9" t="n">
        <v>31</v>
      </c>
      <c r="E267" s="9" t="s">
        <v>48</v>
      </c>
      <c r="F267" s="9" t="s">
        <v>57</v>
      </c>
      <c r="G267" s="10" t="n">
        <v>45921</v>
      </c>
      <c r="H267" s="10" t="n">
        <v>45975</v>
      </c>
      <c r="I267" s="9" t="s">
        <v>50</v>
      </c>
      <c r="J267" s="9" t="s">
        <v>51</v>
      </c>
      <c r="K267" s="9" t="n">
        <v>54</v>
      </c>
      <c r="L267" s="9" t="n">
        <v>3</v>
      </c>
      <c r="M267" s="9" t="n">
        <v>1</v>
      </c>
      <c r="N267" s="9" t="s">
        <v>42</v>
      </c>
      <c r="O267" s="9" t="s">
        <v>52</v>
      </c>
      <c r="P267" s="9" t="n">
        <v>17.7</v>
      </c>
      <c r="Q267" s="9" t="n">
        <v>24</v>
      </c>
      <c r="R267" s="9" t="s">
        <v>53</v>
      </c>
      <c r="S267" s="9"/>
      <c r="T267" s="9"/>
      <c r="U267" s="9" t="str">
        <f aca="false">IF(COUNTIF($A$2:$A$5001,A267)&gt;1,"Duplicate","Unique")</f>
        <v>Unique</v>
      </c>
      <c r="V267" s="9" t="str">
        <f aca="false">IF(COUNTIFS($B$2:$B$5001,B267,$H$2:$H$5001,H267,$J$2:$J$5001,J267)&gt;1,"Possible Duplicate Booking","Unique")</f>
        <v>Unique</v>
      </c>
      <c r="W267" s="9" t="str">
        <f aca="false">IF((H267-G267)&lt;&gt;K267,"Mismatch","OK")</f>
        <v>OK</v>
      </c>
      <c r="X267" s="9" t="str">
        <f aca="false">IF(TEXT(H267,"dddd")&lt;&gt;I267,"Mismatch","OK")</f>
        <v>OK</v>
      </c>
      <c r="Y267" s="9" t="str">
        <f aca="false">IF(AND(N267="No",O267&lt;&gt;""),"Unexpected: channel present but no reminder sent",IF(AND(N267="Yes",O267=""),"Missing channel for sent reminder","OK"))</f>
        <v>OK</v>
      </c>
    </row>
    <row r="268" customFormat="false" ht="15" hidden="false" customHeight="false" outlineLevel="0" collapsed="false">
      <c r="A268" s="7" t="s">
        <v>590</v>
      </c>
      <c r="B268" s="7" t="s">
        <v>591</v>
      </c>
      <c r="C268" s="7" t="s">
        <v>37</v>
      </c>
      <c r="D268" s="7" t="n">
        <v>38</v>
      </c>
      <c r="E268" s="7" t="s">
        <v>38</v>
      </c>
      <c r="F268" s="7" t="s">
        <v>49</v>
      </c>
      <c r="G268" s="8" t="n">
        <v>45869</v>
      </c>
      <c r="H268" s="8" t="n">
        <v>45902</v>
      </c>
      <c r="I268" s="7" t="s">
        <v>40</v>
      </c>
      <c r="J268" s="7" t="s">
        <v>51</v>
      </c>
      <c r="K268" s="7" t="n">
        <v>33</v>
      </c>
      <c r="L268" s="7" t="n">
        <v>3</v>
      </c>
      <c r="M268" s="7" t="n">
        <v>1</v>
      </c>
      <c r="N268" s="7" t="s">
        <v>42</v>
      </c>
      <c r="O268" s="7" t="s">
        <v>67</v>
      </c>
      <c r="P268" s="7" t="n">
        <v>6.3</v>
      </c>
      <c r="Q268" s="7" t="n">
        <v>22</v>
      </c>
      <c r="R268" s="7" t="s">
        <v>53</v>
      </c>
      <c r="S268" s="7"/>
      <c r="T268" s="7"/>
      <c r="U268" s="7" t="str">
        <f aca="false">IF(COUNTIF($A$2:$A$5001,A268)&gt;1,"Duplicate","Unique")</f>
        <v>Unique</v>
      </c>
      <c r="V268" s="7" t="str">
        <f aca="false">IF(COUNTIFS($B$2:$B$5001,B268,$H$2:$H$5001,H268,$J$2:$J$5001,J268)&gt;1,"Possible Duplicate Booking","Unique")</f>
        <v>Unique</v>
      </c>
      <c r="W268" s="7" t="str">
        <f aca="false">IF((H268-G268)&lt;&gt;K268,"Mismatch","OK")</f>
        <v>OK</v>
      </c>
      <c r="X268" s="7" t="str">
        <f aca="false">IF(TEXT(H268,"dddd")&lt;&gt;I268,"Mismatch","OK")</f>
        <v>OK</v>
      </c>
      <c r="Y268" s="7" t="str">
        <f aca="false">IF(AND(N268="No",O268&lt;&gt;""),"Unexpected: channel present but no reminder sent",IF(AND(N268="Yes",O268=""),"Missing channel for sent reminder","OK"))</f>
        <v>OK</v>
      </c>
    </row>
    <row r="269" customFormat="false" ht="15" hidden="false" customHeight="false" outlineLevel="0" collapsed="false">
      <c r="A269" s="9" t="s">
        <v>592</v>
      </c>
      <c r="B269" s="9" t="s">
        <v>593</v>
      </c>
      <c r="C269" s="9" t="s">
        <v>47</v>
      </c>
      <c r="D269" s="9" t="n">
        <v>48</v>
      </c>
      <c r="E269" s="9" t="s">
        <v>56</v>
      </c>
      <c r="F269" s="9" t="s">
        <v>57</v>
      </c>
      <c r="G269" s="10" t="n">
        <v>45809</v>
      </c>
      <c r="H269" s="10" t="n">
        <v>45847</v>
      </c>
      <c r="I269" s="9" t="s">
        <v>58</v>
      </c>
      <c r="J269" s="9" t="s">
        <v>51</v>
      </c>
      <c r="K269" s="9" t="n">
        <v>38</v>
      </c>
      <c r="L269" s="9" t="n">
        <v>3</v>
      </c>
      <c r="M269" s="9" t="n">
        <v>0</v>
      </c>
      <c r="N269" s="9" t="s">
        <v>42</v>
      </c>
      <c r="O269" s="9" t="s">
        <v>52</v>
      </c>
      <c r="P269" s="9" t="n">
        <v>7</v>
      </c>
      <c r="Q269" s="9" t="n">
        <v>27</v>
      </c>
      <c r="R269" s="9" t="s">
        <v>53</v>
      </c>
      <c r="S269" s="9"/>
      <c r="T269" s="9"/>
      <c r="U269" s="9" t="str">
        <f aca="false">IF(COUNTIF($A$2:$A$5001,A269)&gt;1,"Duplicate","Unique")</f>
        <v>Unique</v>
      </c>
      <c r="V269" s="9" t="str">
        <f aca="false">IF(COUNTIFS($B$2:$B$5001,B269,$H$2:$H$5001,H269,$J$2:$J$5001,J269)&gt;1,"Possible Duplicate Booking","Unique")</f>
        <v>Unique</v>
      </c>
      <c r="W269" s="9" t="str">
        <f aca="false">IF((H269-G269)&lt;&gt;K269,"Mismatch","OK")</f>
        <v>OK</v>
      </c>
      <c r="X269" s="9" t="str">
        <f aca="false">IF(TEXT(H269,"dddd")&lt;&gt;I269,"Mismatch","OK")</f>
        <v>OK</v>
      </c>
      <c r="Y269" s="9" t="str">
        <f aca="false">IF(AND(N269="No",O269&lt;&gt;""),"Unexpected: channel present but no reminder sent",IF(AND(N269="Yes",O269=""),"Missing channel for sent reminder","OK"))</f>
        <v>OK</v>
      </c>
    </row>
    <row r="270" customFormat="false" ht="15" hidden="false" customHeight="false" outlineLevel="0" collapsed="false">
      <c r="A270" s="7" t="s">
        <v>594</v>
      </c>
      <c r="B270" s="7" t="s">
        <v>595</v>
      </c>
      <c r="C270" s="7" t="s">
        <v>37</v>
      </c>
      <c r="D270" s="7" t="n">
        <v>40</v>
      </c>
      <c r="E270" s="7" t="s">
        <v>38</v>
      </c>
      <c r="F270" s="7" t="s">
        <v>74</v>
      </c>
      <c r="G270" s="8" t="n">
        <v>45950</v>
      </c>
      <c r="H270" s="8" t="n">
        <v>45992</v>
      </c>
      <c r="I270" s="7" t="s">
        <v>66</v>
      </c>
      <c r="J270" s="7" t="s">
        <v>41</v>
      </c>
      <c r="K270" s="7" t="n">
        <v>42</v>
      </c>
      <c r="L270" s="7" t="n">
        <v>2</v>
      </c>
      <c r="M270" s="7" t="n">
        <v>0</v>
      </c>
      <c r="N270" s="7" t="s">
        <v>71</v>
      </c>
      <c r="O270" s="7"/>
      <c r="P270" s="7" t="n">
        <v>7.3</v>
      </c>
      <c r="Q270" s="7" t="n">
        <v>15</v>
      </c>
      <c r="R270" s="7" t="s">
        <v>87</v>
      </c>
      <c r="S270" s="7"/>
      <c r="T270" s="7"/>
      <c r="U270" s="7" t="str">
        <f aca="false">IF(COUNTIF($A$2:$A$5001,A270)&gt;1,"Duplicate","Unique")</f>
        <v>Unique</v>
      </c>
      <c r="V270" s="7" t="str">
        <f aca="false">IF(COUNTIFS($B$2:$B$5001,B270,$H$2:$H$5001,H270,$J$2:$J$5001,J270)&gt;1,"Possible Duplicate Booking","Unique")</f>
        <v>Unique</v>
      </c>
      <c r="W270" s="7" t="str">
        <f aca="false">IF((H270-G270)&lt;&gt;K270,"Mismatch","OK")</f>
        <v>OK</v>
      </c>
      <c r="X270" s="7" t="str">
        <f aca="false">IF(TEXT(H270,"dddd")&lt;&gt;I270,"Mismatch","OK")</f>
        <v>OK</v>
      </c>
      <c r="Y270" s="7" t="str">
        <f aca="false">IF(AND(N270="No",O270&lt;&gt;""),"Unexpected: channel present but no reminder sent",IF(AND(N270="Yes",O270=""),"Missing channel for sent reminder","OK"))</f>
        <v>OK</v>
      </c>
    </row>
    <row r="271" customFormat="false" ht="15" hidden="false" customHeight="false" outlineLevel="0" collapsed="false">
      <c r="A271" s="9" t="s">
        <v>596</v>
      </c>
      <c r="B271" s="9" t="s">
        <v>597</v>
      </c>
      <c r="C271" s="9" t="s">
        <v>47</v>
      </c>
      <c r="D271" s="9" t="n">
        <v>73</v>
      </c>
      <c r="E271" s="9" t="s">
        <v>70</v>
      </c>
      <c r="F271" s="9" t="s">
        <v>39</v>
      </c>
      <c r="G271" s="10" t="n">
        <v>45949</v>
      </c>
      <c r="H271" s="10" t="n">
        <v>45980</v>
      </c>
      <c r="I271" s="9" t="s">
        <v>58</v>
      </c>
      <c r="J271" s="9" t="s">
        <v>51</v>
      </c>
      <c r="K271" s="9" t="n">
        <v>31</v>
      </c>
      <c r="L271" s="9" t="n">
        <v>0</v>
      </c>
      <c r="M271" s="9" t="n">
        <v>0</v>
      </c>
      <c r="N271" s="9" t="s">
        <v>42</v>
      </c>
      <c r="O271" s="9" t="s">
        <v>52</v>
      </c>
      <c r="P271" s="9" t="n">
        <v>10.5</v>
      </c>
      <c r="Q271" s="9" t="n">
        <v>20</v>
      </c>
      <c r="R271" s="9" t="s">
        <v>53</v>
      </c>
      <c r="S271" s="9"/>
      <c r="T271" s="9"/>
      <c r="U271" s="9" t="str">
        <f aca="false">IF(COUNTIF($A$2:$A$5001,A271)&gt;1,"Duplicate","Unique")</f>
        <v>Unique</v>
      </c>
      <c r="V271" s="9" t="str">
        <f aca="false">IF(COUNTIFS($B$2:$B$5001,B271,$H$2:$H$5001,H271,$J$2:$J$5001,J271)&gt;1,"Possible Duplicate Booking","Unique")</f>
        <v>Unique</v>
      </c>
      <c r="W271" s="9" t="str">
        <f aca="false">IF((H271-G271)&lt;&gt;K271,"Mismatch","OK")</f>
        <v>OK</v>
      </c>
      <c r="X271" s="9" t="str">
        <f aca="false">IF(TEXT(H271,"dddd")&lt;&gt;I271,"Mismatch","OK")</f>
        <v>OK</v>
      </c>
      <c r="Y271" s="9" t="str">
        <f aca="false">IF(AND(N271="No",O271&lt;&gt;""),"Unexpected: channel present but no reminder sent",IF(AND(N271="Yes",O271=""),"Missing channel for sent reminder","OK"))</f>
        <v>OK</v>
      </c>
    </row>
    <row r="272" customFormat="false" ht="15" hidden="false" customHeight="false" outlineLevel="0" collapsed="false">
      <c r="A272" s="7" t="s">
        <v>598</v>
      </c>
      <c r="B272" s="7" t="s">
        <v>599</v>
      </c>
      <c r="C272" s="7" t="s">
        <v>47</v>
      </c>
      <c r="D272" s="7" t="n">
        <v>79</v>
      </c>
      <c r="E272" s="7" t="s">
        <v>70</v>
      </c>
      <c r="F272" s="7" t="s">
        <v>57</v>
      </c>
      <c r="G272" s="8" t="n">
        <v>45807</v>
      </c>
      <c r="H272" s="8" t="n">
        <v>45818</v>
      </c>
      <c r="I272" s="7" t="s">
        <v>40</v>
      </c>
      <c r="J272" s="7" t="s">
        <v>41</v>
      </c>
      <c r="K272" s="7" t="n">
        <v>11</v>
      </c>
      <c r="L272" s="7" t="n">
        <v>1</v>
      </c>
      <c r="M272" s="7" t="n">
        <v>0</v>
      </c>
      <c r="N272" s="7" t="s">
        <v>42</v>
      </c>
      <c r="O272" s="7" t="s">
        <v>43</v>
      </c>
      <c r="P272" s="7" t="n">
        <v>6.4</v>
      </c>
      <c r="Q272" s="7" t="n">
        <v>30</v>
      </c>
      <c r="R272" s="7" t="s">
        <v>53</v>
      </c>
      <c r="S272" s="7"/>
      <c r="T272" s="7"/>
      <c r="U272" s="7" t="str">
        <f aca="false">IF(COUNTIF($A$2:$A$5001,A272)&gt;1,"Duplicate","Unique")</f>
        <v>Unique</v>
      </c>
      <c r="V272" s="7" t="str">
        <f aca="false">IF(COUNTIFS($B$2:$B$5001,B272,$H$2:$H$5001,H272,$J$2:$J$5001,J272)&gt;1,"Possible Duplicate Booking","Unique")</f>
        <v>Unique</v>
      </c>
      <c r="W272" s="7" t="str">
        <f aca="false">IF((H272-G272)&lt;&gt;K272,"Mismatch","OK")</f>
        <v>OK</v>
      </c>
      <c r="X272" s="7" t="str">
        <f aca="false">IF(TEXT(H272,"dddd")&lt;&gt;I272,"Mismatch","OK")</f>
        <v>OK</v>
      </c>
      <c r="Y272" s="7" t="str">
        <f aca="false">IF(AND(N272="No",O272&lt;&gt;""),"Unexpected: channel present but no reminder sent",IF(AND(N272="Yes",O272=""),"Missing channel for sent reminder","OK"))</f>
        <v>OK</v>
      </c>
    </row>
    <row r="273" customFormat="false" ht="15" hidden="false" customHeight="false" outlineLevel="0" collapsed="false">
      <c r="A273" s="9" t="s">
        <v>600</v>
      </c>
      <c r="B273" s="9" t="s">
        <v>601</v>
      </c>
      <c r="C273" s="9" t="s">
        <v>37</v>
      </c>
      <c r="D273" s="9" t="n">
        <v>49</v>
      </c>
      <c r="E273" s="9" t="s">
        <v>56</v>
      </c>
      <c r="F273" s="9" t="s">
        <v>57</v>
      </c>
      <c r="G273" s="10" t="n">
        <v>45644</v>
      </c>
      <c r="H273" s="10" t="n">
        <v>45670</v>
      </c>
      <c r="I273" s="9" t="s">
        <v>66</v>
      </c>
      <c r="J273" s="9" t="s">
        <v>51</v>
      </c>
      <c r="K273" s="9" t="n">
        <v>26</v>
      </c>
      <c r="L273" s="9" t="n">
        <v>5</v>
      </c>
      <c r="M273" s="9" t="n">
        <v>2</v>
      </c>
      <c r="N273" s="9" t="s">
        <v>42</v>
      </c>
      <c r="O273" s="9" t="s">
        <v>52</v>
      </c>
      <c r="P273" s="9" t="n">
        <v>4.8</v>
      </c>
      <c r="Q273" s="9" t="n">
        <v>2</v>
      </c>
      <c r="R273" s="9" t="s">
        <v>53</v>
      </c>
      <c r="S273" s="9"/>
      <c r="T273" s="9"/>
      <c r="U273" s="9" t="str">
        <f aca="false">IF(COUNTIF($A$2:$A$5001,A273)&gt;1,"Duplicate","Unique")</f>
        <v>Unique</v>
      </c>
      <c r="V273" s="9" t="str">
        <f aca="false">IF(COUNTIFS($B$2:$B$5001,B273,$H$2:$H$5001,H273,$J$2:$J$5001,J273)&gt;1,"Possible Duplicate Booking","Unique")</f>
        <v>Unique</v>
      </c>
      <c r="W273" s="9" t="str">
        <f aca="false">IF((H273-G273)&lt;&gt;K273,"Mismatch","OK")</f>
        <v>OK</v>
      </c>
      <c r="X273" s="9" t="str">
        <f aca="false">IF(TEXT(H273,"dddd")&lt;&gt;I273,"Mismatch","OK")</f>
        <v>OK</v>
      </c>
      <c r="Y273" s="9" t="str">
        <f aca="false">IF(AND(N273="No",O273&lt;&gt;""),"Unexpected: channel present but no reminder sent",IF(AND(N273="Yes",O273=""),"Missing channel for sent reminder","OK"))</f>
        <v>OK</v>
      </c>
    </row>
    <row r="274" customFormat="false" ht="15" hidden="false" customHeight="false" outlineLevel="0" collapsed="false">
      <c r="A274" s="7" t="s">
        <v>602</v>
      </c>
      <c r="B274" s="7" t="s">
        <v>603</v>
      </c>
      <c r="C274" s="7" t="s">
        <v>47</v>
      </c>
      <c r="D274" s="7" t="n">
        <v>51</v>
      </c>
      <c r="E274" s="7" t="s">
        <v>56</v>
      </c>
      <c r="F274" s="7" t="s">
        <v>57</v>
      </c>
      <c r="G274" s="8" t="n">
        <v>45726</v>
      </c>
      <c r="H274" s="8" t="n">
        <v>45740</v>
      </c>
      <c r="I274" s="7" t="s">
        <v>66</v>
      </c>
      <c r="J274" s="7" t="s">
        <v>41</v>
      </c>
      <c r="K274" s="7" t="n">
        <v>14</v>
      </c>
      <c r="L274" s="7" t="n">
        <v>2</v>
      </c>
      <c r="M274" s="7" t="n">
        <v>1</v>
      </c>
      <c r="N274" s="7" t="s">
        <v>42</v>
      </c>
      <c r="O274" s="7" t="s">
        <v>43</v>
      </c>
      <c r="P274" s="7" t="n">
        <v>15.3</v>
      </c>
      <c r="Q274" s="7" t="n">
        <v>29</v>
      </c>
      <c r="R274" s="7" t="s">
        <v>44</v>
      </c>
      <c r="S274" s="7"/>
      <c r="T274" s="7"/>
      <c r="U274" s="7" t="str">
        <f aca="false">IF(COUNTIF($A$2:$A$5001,A274)&gt;1,"Duplicate","Unique")</f>
        <v>Unique</v>
      </c>
      <c r="V274" s="7" t="str">
        <f aca="false">IF(COUNTIFS($B$2:$B$5001,B274,$H$2:$H$5001,H274,$J$2:$J$5001,J274)&gt;1,"Possible Duplicate Booking","Unique")</f>
        <v>Unique</v>
      </c>
      <c r="W274" s="7" t="str">
        <f aca="false">IF((H274-G274)&lt;&gt;K274,"Mismatch","OK")</f>
        <v>OK</v>
      </c>
      <c r="X274" s="7" t="str">
        <f aca="false">IF(TEXT(H274,"dddd")&lt;&gt;I274,"Mismatch","OK")</f>
        <v>OK</v>
      </c>
      <c r="Y274" s="7" t="str">
        <f aca="false">IF(AND(N274="No",O274&lt;&gt;""),"Unexpected: channel present but no reminder sent",IF(AND(N274="Yes",O274=""),"Missing channel for sent reminder","OK"))</f>
        <v>OK</v>
      </c>
    </row>
    <row r="275" customFormat="false" ht="15" hidden="false" customHeight="false" outlineLevel="0" collapsed="false">
      <c r="A275" s="9" t="s">
        <v>604</v>
      </c>
      <c r="B275" s="9" t="s">
        <v>605</v>
      </c>
      <c r="C275" s="9" t="s">
        <v>37</v>
      </c>
      <c r="D275" s="9" t="n">
        <v>21</v>
      </c>
      <c r="E275" s="9" t="s">
        <v>82</v>
      </c>
      <c r="F275" s="9" t="s">
        <v>74</v>
      </c>
      <c r="G275" s="10" t="n">
        <v>46153</v>
      </c>
      <c r="H275" s="10" t="n">
        <v>46181</v>
      </c>
      <c r="I275" s="9" t="s">
        <v>66</v>
      </c>
      <c r="J275" s="9" t="s">
        <v>51</v>
      </c>
      <c r="K275" s="9" t="n">
        <v>28</v>
      </c>
      <c r="L275" s="9" t="n">
        <v>2</v>
      </c>
      <c r="M275" s="9" t="n">
        <v>0</v>
      </c>
      <c r="N275" s="9" t="s">
        <v>42</v>
      </c>
      <c r="O275" s="9" t="s">
        <v>52</v>
      </c>
      <c r="P275" s="9" t="n">
        <v>6.9</v>
      </c>
      <c r="Q275" s="9" t="n">
        <v>2</v>
      </c>
      <c r="R275" s="9" t="s">
        <v>44</v>
      </c>
      <c r="S275" s="9"/>
      <c r="T275" s="9"/>
      <c r="U275" s="9" t="str">
        <f aca="false">IF(COUNTIF($A$2:$A$5001,A275)&gt;1,"Duplicate","Unique")</f>
        <v>Unique</v>
      </c>
      <c r="V275" s="9" t="str">
        <f aca="false">IF(COUNTIFS($B$2:$B$5001,B275,$H$2:$H$5001,H275,$J$2:$J$5001,J275)&gt;1,"Possible Duplicate Booking","Unique")</f>
        <v>Unique</v>
      </c>
      <c r="W275" s="9" t="str">
        <f aca="false">IF((H275-G275)&lt;&gt;K275,"Mismatch","OK")</f>
        <v>OK</v>
      </c>
      <c r="X275" s="9" t="str">
        <f aca="false">IF(TEXT(H275,"dddd")&lt;&gt;I275,"Mismatch","OK")</f>
        <v>OK</v>
      </c>
      <c r="Y275" s="9" t="str">
        <f aca="false">IF(AND(N275="No",O275&lt;&gt;""),"Unexpected: channel present but no reminder sent",IF(AND(N275="Yes",O275=""),"Missing channel for sent reminder","OK"))</f>
        <v>OK</v>
      </c>
    </row>
    <row r="276" customFormat="false" ht="15" hidden="false" customHeight="false" outlineLevel="0" collapsed="false">
      <c r="A276" s="7" t="s">
        <v>606</v>
      </c>
      <c r="B276" s="7" t="s">
        <v>607</v>
      </c>
      <c r="C276" s="7" t="s">
        <v>47</v>
      </c>
      <c r="D276" s="7" t="n">
        <v>32</v>
      </c>
      <c r="E276" s="7" t="s">
        <v>48</v>
      </c>
      <c r="F276" s="7" t="s">
        <v>39</v>
      </c>
      <c r="G276" s="8" t="n">
        <v>45849</v>
      </c>
      <c r="H276" s="8" t="n">
        <v>45886</v>
      </c>
      <c r="I276" s="7" t="s">
        <v>75</v>
      </c>
      <c r="J276" s="7" t="s">
        <v>41</v>
      </c>
      <c r="K276" s="7" t="n">
        <v>37</v>
      </c>
      <c r="L276" s="7" t="n">
        <v>2</v>
      </c>
      <c r="M276" s="7" t="n">
        <v>1</v>
      </c>
      <c r="N276" s="7" t="s">
        <v>42</v>
      </c>
      <c r="O276" s="7" t="s">
        <v>52</v>
      </c>
      <c r="P276" s="7" t="n">
        <v>8.2</v>
      </c>
      <c r="Q276" s="7" t="n">
        <v>24</v>
      </c>
      <c r="R276" s="7" t="s">
        <v>53</v>
      </c>
      <c r="S276" s="7"/>
      <c r="T276" s="7"/>
      <c r="U276" s="7" t="str">
        <f aca="false">IF(COUNTIF($A$2:$A$5001,A276)&gt;1,"Duplicate","Unique")</f>
        <v>Unique</v>
      </c>
      <c r="V276" s="7" t="str">
        <f aca="false">IF(COUNTIFS($B$2:$B$5001,B276,$H$2:$H$5001,H276,$J$2:$J$5001,J276)&gt;1,"Possible Duplicate Booking","Unique")</f>
        <v>Unique</v>
      </c>
      <c r="W276" s="7" t="str">
        <f aca="false">IF((H276-G276)&lt;&gt;K276,"Mismatch","OK")</f>
        <v>OK</v>
      </c>
      <c r="X276" s="7" t="str">
        <f aca="false">IF(TEXT(H276,"dddd")&lt;&gt;I276,"Mismatch","OK")</f>
        <v>OK</v>
      </c>
      <c r="Y276" s="7" t="str">
        <f aca="false">IF(AND(N276="No",O276&lt;&gt;""),"Unexpected: channel present but no reminder sent",IF(AND(N276="Yes",O276=""),"Missing channel for sent reminder","OK"))</f>
        <v>OK</v>
      </c>
    </row>
    <row r="277" customFormat="false" ht="15" hidden="false" customHeight="false" outlineLevel="0" collapsed="false">
      <c r="A277" s="9" t="s">
        <v>608</v>
      </c>
      <c r="B277" s="9" t="s">
        <v>609</v>
      </c>
      <c r="C277" s="9" t="s">
        <v>37</v>
      </c>
      <c r="D277" s="9" t="n">
        <v>20</v>
      </c>
      <c r="E277" s="9" t="s">
        <v>82</v>
      </c>
      <c r="F277" s="9" t="s">
        <v>39</v>
      </c>
      <c r="G277" s="10" t="n">
        <v>45909</v>
      </c>
      <c r="H277" s="10" t="n">
        <v>45921</v>
      </c>
      <c r="I277" s="9" t="s">
        <v>75</v>
      </c>
      <c r="J277" s="9" t="s">
        <v>51</v>
      </c>
      <c r="K277" s="9" t="n">
        <v>12</v>
      </c>
      <c r="L277" s="9" t="n">
        <v>0</v>
      </c>
      <c r="M277" s="9" t="n">
        <v>0</v>
      </c>
      <c r="N277" s="9" t="s">
        <v>42</v>
      </c>
      <c r="O277" s="9" t="s">
        <v>52</v>
      </c>
      <c r="P277" s="9" t="n">
        <v>13.6</v>
      </c>
      <c r="Q277" s="9" t="n">
        <v>30</v>
      </c>
      <c r="R277" s="9" t="s">
        <v>44</v>
      </c>
      <c r="S277" s="9"/>
      <c r="T277" s="9"/>
      <c r="U277" s="9" t="str">
        <f aca="false">IF(COUNTIF($A$2:$A$5001,A277)&gt;1,"Duplicate","Unique")</f>
        <v>Unique</v>
      </c>
      <c r="V277" s="9" t="str">
        <f aca="false">IF(COUNTIFS($B$2:$B$5001,B277,$H$2:$H$5001,H277,$J$2:$J$5001,J277)&gt;1,"Possible Duplicate Booking","Unique")</f>
        <v>Unique</v>
      </c>
      <c r="W277" s="9" t="str">
        <f aca="false">IF((H277-G277)&lt;&gt;K277,"Mismatch","OK")</f>
        <v>OK</v>
      </c>
      <c r="X277" s="9" t="str">
        <f aca="false">IF(TEXT(H277,"dddd")&lt;&gt;I277,"Mismatch","OK")</f>
        <v>OK</v>
      </c>
      <c r="Y277" s="9" t="str">
        <f aca="false">IF(AND(N277="No",O277&lt;&gt;""),"Unexpected: channel present but no reminder sent",IF(AND(N277="Yes",O277=""),"Missing channel for sent reminder","OK"))</f>
        <v>OK</v>
      </c>
    </row>
    <row r="278" customFormat="false" ht="15" hidden="false" customHeight="false" outlineLevel="0" collapsed="false">
      <c r="A278" s="7" t="s">
        <v>610</v>
      </c>
      <c r="B278" s="7" t="s">
        <v>611</v>
      </c>
      <c r="C278" s="7" t="s">
        <v>47</v>
      </c>
      <c r="D278" s="7" t="n">
        <v>71</v>
      </c>
      <c r="E278" s="7" t="s">
        <v>70</v>
      </c>
      <c r="F278" s="7" t="s">
        <v>57</v>
      </c>
      <c r="G278" s="8" t="n">
        <v>45898</v>
      </c>
      <c r="H278" s="8" t="n">
        <v>45913</v>
      </c>
      <c r="I278" s="7" t="s">
        <v>102</v>
      </c>
      <c r="J278" s="7" t="s">
        <v>51</v>
      </c>
      <c r="K278" s="7" t="n">
        <v>15</v>
      </c>
      <c r="L278" s="7" t="n">
        <v>3</v>
      </c>
      <c r="M278" s="7" t="n">
        <v>0</v>
      </c>
      <c r="N278" s="7" t="s">
        <v>42</v>
      </c>
      <c r="O278" s="7" t="s">
        <v>52</v>
      </c>
      <c r="P278" s="7" t="n">
        <v>5.8</v>
      </c>
      <c r="Q278" s="7" t="n">
        <v>27</v>
      </c>
      <c r="R278" s="7" t="s">
        <v>53</v>
      </c>
      <c r="S278" s="7"/>
      <c r="T278" s="7"/>
      <c r="U278" s="7" t="str">
        <f aca="false">IF(COUNTIF($A$2:$A$5001,A278)&gt;1,"Duplicate","Unique")</f>
        <v>Unique</v>
      </c>
      <c r="V278" s="7" t="str">
        <f aca="false">IF(COUNTIFS($B$2:$B$5001,B278,$H$2:$H$5001,H278,$J$2:$J$5001,J278)&gt;1,"Possible Duplicate Booking","Unique")</f>
        <v>Unique</v>
      </c>
      <c r="W278" s="7" t="str">
        <f aca="false">IF((H278-G278)&lt;&gt;K278,"Mismatch","OK")</f>
        <v>OK</v>
      </c>
      <c r="X278" s="7" t="str">
        <f aca="false">IF(TEXT(H278,"dddd")&lt;&gt;I278,"Mismatch","OK")</f>
        <v>OK</v>
      </c>
      <c r="Y278" s="7" t="str">
        <f aca="false">IF(AND(N278="No",O278&lt;&gt;""),"Unexpected: channel present but no reminder sent",IF(AND(N278="Yes",O278=""),"Missing channel for sent reminder","OK"))</f>
        <v>OK</v>
      </c>
    </row>
    <row r="279" customFormat="false" ht="15" hidden="false" customHeight="false" outlineLevel="0" collapsed="false">
      <c r="A279" s="9" t="s">
        <v>612</v>
      </c>
      <c r="B279" s="9" t="s">
        <v>613</v>
      </c>
      <c r="C279" s="9" t="s">
        <v>37</v>
      </c>
      <c r="D279" s="9" t="n">
        <v>32</v>
      </c>
      <c r="E279" s="9" t="s">
        <v>48</v>
      </c>
      <c r="F279" s="9" t="s">
        <v>49</v>
      </c>
      <c r="G279" s="10" t="n">
        <v>46035</v>
      </c>
      <c r="H279" s="10" t="n">
        <v>46085</v>
      </c>
      <c r="I279" s="9" t="s">
        <v>58</v>
      </c>
      <c r="J279" s="9" t="s">
        <v>51</v>
      </c>
      <c r="K279" s="9" t="n">
        <v>50</v>
      </c>
      <c r="L279" s="9" t="n">
        <v>3</v>
      </c>
      <c r="M279" s="9" t="n">
        <v>1</v>
      </c>
      <c r="N279" s="9" t="s">
        <v>71</v>
      </c>
      <c r="O279" s="9"/>
      <c r="P279" s="9" t="n">
        <v>3</v>
      </c>
      <c r="Q279" s="9" t="n">
        <v>17</v>
      </c>
      <c r="R279" s="9" t="s">
        <v>44</v>
      </c>
      <c r="S279" s="9"/>
      <c r="T279" s="9"/>
      <c r="U279" s="9" t="str">
        <f aca="false">IF(COUNTIF($A$2:$A$5001,A279)&gt;1,"Duplicate","Unique")</f>
        <v>Unique</v>
      </c>
      <c r="V279" s="9" t="str">
        <f aca="false">IF(COUNTIFS($B$2:$B$5001,B279,$H$2:$H$5001,H279,$J$2:$J$5001,J279)&gt;1,"Possible Duplicate Booking","Unique")</f>
        <v>Unique</v>
      </c>
      <c r="W279" s="9" t="str">
        <f aca="false">IF((H279-G279)&lt;&gt;K279,"Mismatch","OK")</f>
        <v>OK</v>
      </c>
      <c r="X279" s="9" t="str">
        <f aca="false">IF(TEXT(H279,"dddd")&lt;&gt;I279,"Mismatch","OK")</f>
        <v>OK</v>
      </c>
      <c r="Y279" s="9" t="str">
        <f aca="false">IF(AND(N279="No",O279&lt;&gt;""),"Unexpected: channel present but no reminder sent",IF(AND(N279="Yes",O279=""),"Missing channel for sent reminder","OK"))</f>
        <v>OK</v>
      </c>
    </row>
    <row r="280" customFormat="false" ht="15" hidden="false" customHeight="false" outlineLevel="0" collapsed="false">
      <c r="A280" s="7" t="s">
        <v>614</v>
      </c>
      <c r="B280" s="7" t="s">
        <v>615</v>
      </c>
      <c r="C280" s="7" t="s">
        <v>37</v>
      </c>
      <c r="D280" s="7" t="n">
        <v>39</v>
      </c>
      <c r="E280" s="7" t="s">
        <v>38</v>
      </c>
      <c r="F280" s="7" t="s">
        <v>57</v>
      </c>
      <c r="G280" s="8" t="n">
        <v>45670</v>
      </c>
      <c r="H280" s="8" t="n">
        <v>45693</v>
      </c>
      <c r="I280" s="7" t="s">
        <v>58</v>
      </c>
      <c r="J280" s="7" t="s">
        <v>41</v>
      </c>
      <c r="K280" s="7" t="n">
        <v>23</v>
      </c>
      <c r="L280" s="7" t="n">
        <v>3</v>
      </c>
      <c r="M280" s="7" t="n">
        <v>1</v>
      </c>
      <c r="N280" s="7" t="s">
        <v>42</v>
      </c>
      <c r="O280" s="7" t="s">
        <v>43</v>
      </c>
      <c r="P280" s="7" t="n">
        <v>21.1</v>
      </c>
      <c r="Q280" s="7" t="n">
        <v>27</v>
      </c>
      <c r="R280" s="7" t="s">
        <v>44</v>
      </c>
      <c r="S280" s="7"/>
      <c r="T280" s="7"/>
      <c r="U280" s="7" t="str">
        <f aca="false">IF(COUNTIF($A$2:$A$5001,A280)&gt;1,"Duplicate","Unique")</f>
        <v>Unique</v>
      </c>
      <c r="V280" s="7" t="str">
        <f aca="false">IF(COUNTIFS($B$2:$B$5001,B280,$H$2:$H$5001,H280,$J$2:$J$5001,J280)&gt;1,"Possible Duplicate Booking","Unique")</f>
        <v>Unique</v>
      </c>
      <c r="W280" s="7" t="str">
        <f aca="false">IF((H280-G280)&lt;&gt;K280,"Mismatch","OK")</f>
        <v>OK</v>
      </c>
      <c r="X280" s="7" t="str">
        <f aca="false">IF(TEXT(H280,"dddd")&lt;&gt;I280,"Mismatch","OK")</f>
        <v>OK</v>
      </c>
      <c r="Y280" s="7" t="str">
        <f aca="false">IF(AND(N280="No",O280&lt;&gt;""),"Unexpected: channel present but no reminder sent",IF(AND(N280="Yes",O280=""),"Missing channel for sent reminder","OK"))</f>
        <v>OK</v>
      </c>
    </row>
    <row r="281" customFormat="false" ht="15" hidden="false" customHeight="false" outlineLevel="0" collapsed="false">
      <c r="A281" s="9" t="s">
        <v>616</v>
      </c>
      <c r="B281" s="9" t="s">
        <v>338</v>
      </c>
      <c r="C281" s="9" t="s">
        <v>37</v>
      </c>
      <c r="D281" s="9" t="n">
        <v>71</v>
      </c>
      <c r="E281" s="9" t="s">
        <v>70</v>
      </c>
      <c r="F281" s="9" t="s">
        <v>49</v>
      </c>
      <c r="G281" s="10" t="n">
        <v>45691</v>
      </c>
      <c r="H281" s="10" t="n">
        <v>45703</v>
      </c>
      <c r="I281" s="9" t="s">
        <v>102</v>
      </c>
      <c r="J281" s="9" t="s">
        <v>41</v>
      </c>
      <c r="K281" s="9" t="n">
        <v>12</v>
      </c>
      <c r="L281" s="9" t="n">
        <v>6</v>
      </c>
      <c r="M281" s="9" t="n">
        <v>2</v>
      </c>
      <c r="N281" s="9" t="s">
        <v>42</v>
      </c>
      <c r="O281" s="9" t="s">
        <v>52</v>
      </c>
      <c r="P281" s="9" t="n">
        <v>11.6</v>
      </c>
      <c r="Q281" s="9" t="n">
        <v>14</v>
      </c>
      <c r="R281" s="9" t="s">
        <v>53</v>
      </c>
      <c r="S281" s="9"/>
      <c r="T281" s="9"/>
      <c r="U281" s="9" t="str">
        <f aca="false">IF(COUNTIF($A$2:$A$5001,A281)&gt;1,"Duplicate","Unique")</f>
        <v>Unique</v>
      </c>
      <c r="V281" s="9" t="str">
        <f aca="false">IF(COUNTIFS($B$2:$B$5001,B281,$H$2:$H$5001,H281,$J$2:$J$5001,J281)&gt;1,"Possible Duplicate Booking","Unique")</f>
        <v>Unique</v>
      </c>
      <c r="W281" s="9" t="str">
        <f aca="false">IF((H281-G281)&lt;&gt;K281,"Mismatch","OK")</f>
        <v>OK</v>
      </c>
      <c r="X281" s="9" t="str">
        <f aca="false">IF(TEXT(H281,"dddd")&lt;&gt;I281,"Mismatch","OK")</f>
        <v>OK</v>
      </c>
      <c r="Y281" s="9" t="str">
        <f aca="false">IF(AND(N281="No",O281&lt;&gt;""),"Unexpected: channel present but no reminder sent",IF(AND(N281="Yes",O281=""),"Missing channel for sent reminder","OK"))</f>
        <v>OK</v>
      </c>
    </row>
    <row r="282" customFormat="false" ht="15" hidden="false" customHeight="false" outlineLevel="0" collapsed="false">
      <c r="A282" s="7" t="s">
        <v>617</v>
      </c>
      <c r="B282" s="7" t="s">
        <v>618</v>
      </c>
      <c r="C282" s="7" t="s">
        <v>37</v>
      </c>
      <c r="D282" s="7" t="n">
        <v>62</v>
      </c>
      <c r="E282" s="7" t="s">
        <v>61</v>
      </c>
      <c r="F282" s="7" t="s">
        <v>49</v>
      </c>
      <c r="G282" s="8" t="n">
        <v>45765</v>
      </c>
      <c r="H282" s="8" t="n">
        <v>45808</v>
      </c>
      <c r="I282" s="7" t="s">
        <v>102</v>
      </c>
      <c r="J282" s="7" t="s">
        <v>51</v>
      </c>
      <c r="K282" s="7" t="n">
        <v>43</v>
      </c>
      <c r="L282" s="7" t="n">
        <v>2</v>
      </c>
      <c r="M282" s="7" t="n">
        <v>0</v>
      </c>
      <c r="N282" s="7" t="s">
        <v>42</v>
      </c>
      <c r="O282" s="7" t="s">
        <v>43</v>
      </c>
      <c r="P282" s="7" t="n">
        <v>8.8</v>
      </c>
      <c r="Q282" s="7" t="n">
        <v>39</v>
      </c>
      <c r="R282" s="7" t="s">
        <v>87</v>
      </c>
      <c r="S282" s="7"/>
      <c r="T282" s="7"/>
      <c r="U282" s="7" t="str">
        <f aca="false">IF(COUNTIF($A$2:$A$5001,A282)&gt;1,"Duplicate","Unique")</f>
        <v>Unique</v>
      </c>
      <c r="V282" s="7" t="str">
        <f aca="false">IF(COUNTIFS($B$2:$B$5001,B282,$H$2:$H$5001,H282,$J$2:$J$5001,J282)&gt;1,"Possible Duplicate Booking","Unique")</f>
        <v>Unique</v>
      </c>
      <c r="W282" s="7" t="str">
        <f aca="false">IF((H282-G282)&lt;&gt;K282,"Mismatch","OK")</f>
        <v>OK</v>
      </c>
      <c r="X282" s="7" t="str">
        <f aca="false">IF(TEXT(H282,"dddd")&lt;&gt;I282,"Mismatch","OK")</f>
        <v>OK</v>
      </c>
      <c r="Y282" s="7" t="str">
        <f aca="false">IF(AND(N282="No",O282&lt;&gt;""),"Unexpected: channel present but no reminder sent",IF(AND(N282="Yes",O282=""),"Missing channel for sent reminder","OK"))</f>
        <v>OK</v>
      </c>
    </row>
    <row r="283" customFormat="false" ht="15" hidden="false" customHeight="false" outlineLevel="0" collapsed="false">
      <c r="A283" s="9" t="s">
        <v>619</v>
      </c>
      <c r="B283" s="9" t="s">
        <v>620</v>
      </c>
      <c r="C283" s="9" t="s">
        <v>47</v>
      </c>
      <c r="D283" s="9" t="n">
        <v>57</v>
      </c>
      <c r="E283" s="9" t="s">
        <v>61</v>
      </c>
      <c r="F283" s="9" t="s">
        <v>57</v>
      </c>
      <c r="G283" s="10" t="n">
        <v>45880</v>
      </c>
      <c r="H283" s="10" t="n">
        <v>45923</v>
      </c>
      <c r="I283" s="9" t="s">
        <v>40</v>
      </c>
      <c r="J283" s="9" t="s">
        <v>41</v>
      </c>
      <c r="K283" s="9" t="n">
        <v>43</v>
      </c>
      <c r="L283" s="9" t="n">
        <v>4</v>
      </c>
      <c r="M283" s="9" t="n">
        <v>1</v>
      </c>
      <c r="N283" s="9" t="s">
        <v>42</v>
      </c>
      <c r="O283" s="9" t="s">
        <v>52</v>
      </c>
      <c r="P283" s="9" t="n">
        <v>9.4</v>
      </c>
      <c r="Q283" s="9" t="n">
        <v>33</v>
      </c>
      <c r="R283" s="9" t="s">
        <v>87</v>
      </c>
      <c r="S283" s="9"/>
      <c r="T283" s="9"/>
      <c r="U283" s="9" t="str">
        <f aca="false">IF(COUNTIF($A$2:$A$5001,A283)&gt;1,"Duplicate","Unique")</f>
        <v>Unique</v>
      </c>
      <c r="V283" s="9" t="str">
        <f aca="false">IF(COUNTIFS($B$2:$B$5001,B283,$H$2:$H$5001,H283,$J$2:$J$5001,J283)&gt;1,"Possible Duplicate Booking","Unique")</f>
        <v>Unique</v>
      </c>
      <c r="W283" s="9" t="str">
        <f aca="false">IF((H283-G283)&lt;&gt;K283,"Mismatch","OK")</f>
        <v>OK</v>
      </c>
      <c r="X283" s="9" t="str">
        <f aca="false">IF(TEXT(H283,"dddd")&lt;&gt;I283,"Mismatch","OK")</f>
        <v>OK</v>
      </c>
      <c r="Y283" s="9" t="str">
        <f aca="false">IF(AND(N283="No",O283&lt;&gt;""),"Unexpected: channel present but no reminder sent",IF(AND(N283="Yes",O283=""),"Missing channel for sent reminder","OK"))</f>
        <v>OK</v>
      </c>
    </row>
    <row r="284" customFormat="false" ht="15" hidden="false" customHeight="false" outlineLevel="0" collapsed="false">
      <c r="A284" s="7" t="s">
        <v>621</v>
      </c>
      <c r="B284" s="7" t="s">
        <v>622</v>
      </c>
      <c r="C284" s="7" t="s">
        <v>37</v>
      </c>
      <c r="D284" s="7" t="n">
        <v>20</v>
      </c>
      <c r="E284" s="7" t="s">
        <v>82</v>
      </c>
      <c r="F284" s="7" t="s">
        <v>39</v>
      </c>
      <c r="G284" s="8" t="n">
        <v>45974</v>
      </c>
      <c r="H284" s="8" t="n">
        <v>46024</v>
      </c>
      <c r="I284" s="7" t="s">
        <v>50</v>
      </c>
      <c r="J284" s="7" t="s">
        <v>41</v>
      </c>
      <c r="K284" s="7" t="n">
        <v>50</v>
      </c>
      <c r="L284" s="7" t="n">
        <v>8</v>
      </c>
      <c r="M284" s="7" t="n">
        <v>1</v>
      </c>
      <c r="N284" s="7" t="s">
        <v>42</v>
      </c>
      <c r="O284" s="7" t="s">
        <v>52</v>
      </c>
      <c r="P284" s="7" t="n">
        <v>23.9</v>
      </c>
      <c r="Q284" s="7" t="n">
        <v>14</v>
      </c>
      <c r="R284" s="7" t="s">
        <v>53</v>
      </c>
      <c r="S284" s="7"/>
      <c r="T284" s="7"/>
      <c r="U284" s="7" t="str">
        <f aca="false">IF(COUNTIF($A$2:$A$5001,A284)&gt;1,"Duplicate","Unique")</f>
        <v>Unique</v>
      </c>
      <c r="V284" s="7" t="str">
        <f aca="false">IF(COUNTIFS($B$2:$B$5001,B284,$H$2:$H$5001,H284,$J$2:$J$5001,J284)&gt;1,"Possible Duplicate Booking","Unique")</f>
        <v>Unique</v>
      </c>
      <c r="W284" s="7" t="str">
        <f aca="false">IF((H284-G284)&lt;&gt;K284,"Mismatch","OK")</f>
        <v>OK</v>
      </c>
      <c r="X284" s="7" t="str">
        <f aca="false">IF(TEXT(H284,"dddd")&lt;&gt;I284,"Mismatch","OK")</f>
        <v>OK</v>
      </c>
      <c r="Y284" s="7" t="str">
        <f aca="false">IF(AND(N284="No",O284&lt;&gt;""),"Unexpected: channel present but no reminder sent",IF(AND(N284="Yes",O284=""),"Missing channel for sent reminder","OK"))</f>
        <v>OK</v>
      </c>
    </row>
    <row r="285" customFormat="false" ht="15" hidden="false" customHeight="false" outlineLevel="0" collapsed="false">
      <c r="A285" s="9" t="s">
        <v>623</v>
      </c>
      <c r="B285" s="9" t="s">
        <v>624</v>
      </c>
      <c r="C285" s="9" t="s">
        <v>47</v>
      </c>
      <c r="D285" s="9" t="n">
        <v>53</v>
      </c>
      <c r="E285" s="9" t="s">
        <v>56</v>
      </c>
      <c r="F285" s="9" t="s">
        <v>57</v>
      </c>
      <c r="G285" s="10" t="n">
        <v>45879</v>
      </c>
      <c r="H285" s="10" t="n">
        <v>45925</v>
      </c>
      <c r="I285" s="9" t="s">
        <v>62</v>
      </c>
      <c r="J285" s="9" t="s">
        <v>41</v>
      </c>
      <c r="K285" s="9" t="n">
        <v>46</v>
      </c>
      <c r="L285" s="9" t="n">
        <v>1</v>
      </c>
      <c r="M285" s="9" t="n">
        <v>0</v>
      </c>
      <c r="N285" s="9" t="s">
        <v>42</v>
      </c>
      <c r="O285" s="9" t="s">
        <v>52</v>
      </c>
      <c r="P285" s="9" t="n">
        <v>13.7</v>
      </c>
      <c r="Q285" s="9" t="n">
        <v>39</v>
      </c>
      <c r="R285" s="9" t="s">
        <v>53</v>
      </c>
      <c r="S285" s="9"/>
      <c r="T285" s="9"/>
      <c r="U285" s="9" t="str">
        <f aca="false">IF(COUNTIF($A$2:$A$5001,A285)&gt;1,"Duplicate","Unique")</f>
        <v>Unique</v>
      </c>
      <c r="V285" s="9" t="str">
        <f aca="false">IF(COUNTIFS($B$2:$B$5001,B285,$H$2:$H$5001,H285,$J$2:$J$5001,J285)&gt;1,"Possible Duplicate Booking","Unique")</f>
        <v>Unique</v>
      </c>
      <c r="W285" s="9" t="str">
        <f aca="false">IF((H285-G285)&lt;&gt;K285,"Mismatch","OK")</f>
        <v>OK</v>
      </c>
      <c r="X285" s="9" t="str">
        <f aca="false">IF(TEXT(H285,"dddd")&lt;&gt;I285,"Mismatch","OK")</f>
        <v>OK</v>
      </c>
      <c r="Y285" s="9" t="str">
        <f aca="false">IF(AND(N285="No",O285&lt;&gt;""),"Unexpected: channel present but no reminder sent",IF(AND(N285="Yes",O285=""),"Missing channel for sent reminder","OK"))</f>
        <v>OK</v>
      </c>
    </row>
    <row r="286" customFormat="false" ht="15" hidden="false" customHeight="false" outlineLevel="0" collapsed="false">
      <c r="A286" s="7" t="s">
        <v>625</v>
      </c>
      <c r="B286" s="7" t="s">
        <v>182</v>
      </c>
      <c r="C286" s="7" t="s">
        <v>37</v>
      </c>
      <c r="D286" s="7" t="n">
        <v>53</v>
      </c>
      <c r="E286" s="7" t="s">
        <v>56</v>
      </c>
      <c r="F286" s="7" t="s">
        <v>57</v>
      </c>
      <c r="G286" s="8" t="n">
        <v>45838</v>
      </c>
      <c r="H286" s="8" t="n">
        <v>45898</v>
      </c>
      <c r="I286" s="7" t="s">
        <v>50</v>
      </c>
      <c r="J286" s="7" t="s">
        <v>41</v>
      </c>
      <c r="K286" s="7" t="n">
        <v>60</v>
      </c>
      <c r="L286" s="7" t="n">
        <v>3</v>
      </c>
      <c r="M286" s="7" t="n">
        <v>1</v>
      </c>
      <c r="N286" s="7" t="s">
        <v>42</v>
      </c>
      <c r="O286" s="7" t="s">
        <v>43</v>
      </c>
      <c r="P286" s="7" t="n">
        <v>0.7</v>
      </c>
      <c r="Q286" s="7" t="n">
        <v>26</v>
      </c>
      <c r="R286" s="7" t="s">
        <v>53</v>
      </c>
      <c r="S286" s="7"/>
      <c r="T286" s="7"/>
      <c r="U286" s="7" t="str">
        <f aca="false">IF(COUNTIF($A$2:$A$5001,A286)&gt;1,"Duplicate","Unique")</f>
        <v>Unique</v>
      </c>
      <c r="V286" s="7" t="str">
        <f aca="false">IF(COUNTIFS($B$2:$B$5001,B286,$H$2:$H$5001,H286,$J$2:$J$5001,J286)&gt;1,"Possible Duplicate Booking","Unique")</f>
        <v>Unique</v>
      </c>
      <c r="W286" s="7" t="str">
        <f aca="false">IF((H286-G286)&lt;&gt;K286,"Mismatch","OK")</f>
        <v>OK</v>
      </c>
      <c r="X286" s="7" t="str">
        <f aca="false">IF(TEXT(H286,"dddd")&lt;&gt;I286,"Mismatch","OK")</f>
        <v>OK</v>
      </c>
      <c r="Y286" s="7" t="str">
        <f aca="false">IF(AND(N286="No",O286&lt;&gt;""),"Unexpected: channel present but no reminder sent",IF(AND(N286="Yes",O286=""),"Missing channel for sent reminder","OK"))</f>
        <v>OK</v>
      </c>
    </row>
    <row r="287" customFormat="false" ht="15" hidden="false" customHeight="false" outlineLevel="0" collapsed="false">
      <c r="A287" s="9" t="s">
        <v>626</v>
      </c>
      <c r="B287" s="9" t="s">
        <v>627</v>
      </c>
      <c r="C287" s="9" t="s">
        <v>37</v>
      </c>
      <c r="D287" s="9" t="n">
        <v>38</v>
      </c>
      <c r="E287" s="9" t="s">
        <v>38</v>
      </c>
      <c r="F287" s="9" t="s">
        <v>74</v>
      </c>
      <c r="G287" s="10" t="n">
        <v>46135</v>
      </c>
      <c r="H287" s="10" t="n">
        <v>46170</v>
      </c>
      <c r="I287" s="9" t="s">
        <v>62</v>
      </c>
      <c r="J287" s="9" t="s">
        <v>51</v>
      </c>
      <c r="K287" s="9" t="n">
        <v>35</v>
      </c>
      <c r="L287" s="9" t="n">
        <v>1</v>
      </c>
      <c r="M287" s="9" t="n">
        <v>1</v>
      </c>
      <c r="N287" s="9" t="s">
        <v>42</v>
      </c>
      <c r="O287" s="9" t="s">
        <v>52</v>
      </c>
      <c r="P287" s="9" t="n">
        <v>8.7</v>
      </c>
      <c r="Q287" s="9" t="n">
        <v>12</v>
      </c>
      <c r="R287" s="9" t="s">
        <v>44</v>
      </c>
      <c r="S287" s="9"/>
      <c r="T287" s="9"/>
      <c r="U287" s="9" t="str">
        <f aca="false">IF(COUNTIF($A$2:$A$5001,A287)&gt;1,"Duplicate","Unique")</f>
        <v>Unique</v>
      </c>
      <c r="V287" s="9" t="str">
        <f aca="false">IF(COUNTIFS($B$2:$B$5001,B287,$H$2:$H$5001,H287,$J$2:$J$5001,J287)&gt;1,"Possible Duplicate Booking","Unique")</f>
        <v>Unique</v>
      </c>
      <c r="W287" s="9" t="str">
        <f aca="false">IF((H287-G287)&lt;&gt;K287,"Mismatch","OK")</f>
        <v>OK</v>
      </c>
      <c r="X287" s="9" t="str">
        <f aca="false">IF(TEXT(H287,"dddd")&lt;&gt;I287,"Mismatch","OK")</f>
        <v>OK</v>
      </c>
      <c r="Y287" s="9" t="str">
        <f aca="false">IF(AND(N287="No",O287&lt;&gt;""),"Unexpected: channel present but no reminder sent",IF(AND(N287="Yes",O287=""),"Missing channel for sent reminder","OK"))</f>
        <v>OK</v>
      </c>
    </row>
    <row r="288" customFormat="false" ht="15" hidden="false" customHeight="false" outlineLevel="0" collapsed="false">
      <c r="A288" s="7" t="s">
        <v>628</v>
      </c>
      <c r="B288" s="7" t="s">
        <v>146</v>
      </c>
      <c r="C288" s="7" t="s">
        <v>37</v>
      </c>
      <c r="D288" s="7" t="n">
        <v>64</v>
      </c>
      <c r="E288" s="7" t="s">
        <v>61</v>
      </c>
      <c r="F288" s="7" t="s">
        <v>39</v>
      </c>
      <c r="G288" s="8" t="n">
        <v>45728</v>
      </c>
      <c r="H288" s="8" t="n">
        <v>45745</v>
      </c>
      <c r="I288" s="7" t="s">
        <v>102</v>
      </c>
      <c r="J288" s="7" t="s">
        <v>41</v>
      </c>
      <c r="K288" s="7" t="n">
        <v>17</v>
      </c>
      <c r="L288" s="7" t="n">
        <v>2</v>
      </c>
      <c r="M288" s="7" t="n">
        <v>1</v>
      </c>
      <c r="N288" s="7" t="s">
        <v>71</v>
      </c>
      <c r="O288" s="7"/>
      <c r="P288" s="7" t="n">
        <v>9.5</v>
      </c>
      <c r="Q288" s="7" t="n">
        <v>37</v>
      </c>
      <c r="R288" s="7" t="s">
        <v>53</v>
      </c>
      <c r="S288" s="7"/>
      <c r="T288" s="7"/>
      <c r="U288" s="7" t="str">
        <f aca="false">IF(COUNTIF($A$2:$A$5001,A288)&gt;1,"Duplicate","Unique")</f>
        <v>Unique</v>
      </c>
      <c r="V288" s="7" t="str">
        <f aca="false">IF(COUNTIFS($B$2:$B$5001,B288,$H$2:$H$5001,H288,$J$2:$J$5001,J288)&gt;1,"Possible Duplicate Booking","Unique")</f>
        <v>Unique</v>
      </c>
      <c r="W288" s="7" t="str">
        <f aca="false">IF((H288-G288)&lt;&gt;K288,"Mismatch","OK")</f>
        <v>OK</v>
      </c>
      <c r="X288" s="7" t="str">
        <f aca="false">IF(TEXT(H288,"dddd")&lt;&gt;I288,"Mismatch","OK")</f>
        <v>OK</v>
      </c>
      <c r="Y288" s="7" t="str">
        <f aca="false">IF(AND(N288="No",O288&lt;&gt;""),"Unexpected: channel present but no reminder sent",IF(AND(N288="Yes",O288=""),"Missing channel for sent reminder","OK"))</f>
        <v>OK</v>
      </c>
    </row>
    <row r="289" customFormat="false" ht="15" hidden="false" customHeight="false" outlineLevel="0" collapsed="false">
      <c r="A289" s="9" t="s">
        <v>629</v>
      </c>
      <c r="B289" s="9" t="s">
        <v>630</v>
      </c>
      <c r="C289" s="9" t="s">
        <v>37</v>
      </c>
      <c r="D289" s="9" t="n">
        <v>76</v>
      </c>
      <c r="E289" s="9" t="s">
        <v>70</v>
      </c>
      <c r="F289" s="9" t="s">
        <v>49</v>
      </c>
      <c r="G289" s="10" t="n">
        <v>45918</v>
      </c>
      <c r="H289" s="10" t="n">
        <v>45970</v>
      </c>
      <c r="I289" s="9" t="s">
        <v>75</v>
      </c>
      <c r="J289" s="9" t="s">
        <v>41</v>
      </c>
      <c r="K289" s="9" t="n">
        <v>52</v>
      </c>
      <c r="L289" s="9" t="n">
        <v>3</v>
      </c>
      <c r="M289" s="9" t="n">
        <v>0</v>
      </c>
      <c r="N289" s="9" t="s">
        <v>42</v>
      </c>
      <c r="O289" s="9" t="s">
        <v>52</v>
      </c>
      <c r="P289" s="9" t="n">
        <v>8.9</v>
      </c>
      <c r="Q289" s="9" t="n">
        <v>42</v>
      </c>
      <c r="R289" s="9" t="s">
        <v>44</v>
      </c>
      <c r="S289" s="9"/>
      <c r="T289" s="9"/>
      <c r="U289" s="9" t="str">
        <f aca="false">IF(COUNTIF($A$2:$A$5001,A289)&gt;1,"Duplicate","Unique")</f>
        <v>Unique</v>
      </c>
      <c r="V289" s="9" t="str">
        <f aca="false">IF(COUNTIFS($B$2:$B$5001,B289,$H$2:$H$5001,H289,$J$2:$J$5001,J289)&gt;1,"Possible Duplicate Booking","Unique")</f>
        <v>Unique</v>
      </c>
      <c r="W289" s="9" t="str">
        <f aca="false">IF((H289-G289)&lt;&gt;K289,"Mismatch","OK")</f>
        <v>OK</v>
      </c>
      <c r="X289" s="9" t="str">
        <f aca="false">IF(TEXT(H289,"dddd")&lt;&gt;I289,"Mismatch","OK")</f>
        <v>OK</v>
      </c>
      <c r="Y289" s="9" t="str">
        <f aca="false">IF(AND(N289="No",O289&lt;&gt;""),"Unexpected: channel present but no reminder sent",IF(AND(N289="Yes",O289=""),"Missing channel for sent reminder","OK"))</f>
        <v>OK</v>
      </c>
    </row>
    <row r="290" customFormat="false" ht="15" hidden="false" customHeight="false" outlineLevel="0" collapsed="false">
      <c r="A290" s="7" t="s">
        <v>631</v>
      </c>
      <c r="B290" s="7" t="s">
        <v>632</v>
      </c>
      <c r="C290" s="7" t="s">
        <v>47</v>
      </c>
      <c r="D290" s="7" t="n">
        <v>34</v>
      </c>
      <c r="E290" s="7" t="s">
        <v>48</v>
      </c>
      <c r="F290" s="7" t="s">
        <v>39</v>
      </c>
      <c r="G290" s="8" t="n">
        <v>45938</v>
      </c>
      <c r="H290" s="8" t="n">
        <v>45954</v>
      </c>
      <c r="I290" s="7" t="s">
        <v>50</v>
      </c>
      <c r="J290" s="7" t="s">
        <v>41</v>
      </c>
      <c r="K290" s="7" t="n">
        <v>16</v>
      </c>
      <c r="L290" s="7" t="n">
        <v>4</v>
      </c>
      <c r="M290" s="7" t="n">
        <v>0</v>
      </c>
      <c r="N290" s="7" t="s">
        <v>42</v>
      </c>
      <c r="O290" s="7" t="s">
        <v>52</v>
      </c>
      <c r="P290" s="7" t="n">
        <v>1.6</v>
      </c>
      <c r="Q290" s="7" t="n">
        <v>21</v>
      </c>
      <c r="R290" s="7" t="s">
        <v>53</v>
      </c>
      <c r="S290" s="7"/>
      <c r="T290" s="7"/>
      <c r="U290" s="7" t="str">
        <f aca="false">IF(COUNTIF($A$2:$A$5001,A290)&gt;1,"Duplicate","Unique")</f>
        <v>Unique</v>
      </c>
      <c r="V290" s="7" t="str">
        <f aca="false">IF(COUNTIFS($B$2:$B$5001,B290,$H$2:$H$5001,H290,$J$2:$J$5001,J290)&gt;1,"Possible Duplicate Booking","Unique")</f>
        <v>Unique</v>
      </c>
      <c r="W290" s="7" t="str">
        <f aca="false">IF((H290-G290)&lt;&gt;K290,"Mismatch","OK")</f>
        <v>OK</v>
      </c>
      <c r="X290" s="7" t="str">
        <f aca="false">IF(TEXT(H290,"dddd")&lt;&gt;I290,"Mismatch","OK")</f>
        <v>OK</v>
      </c>
      <c r="Y290" s="7" t="str">
        <f aca="false">IF(AND(N290="No",O290&lt;&gt;""),"Unexpected: channel present but no reminder sent",IF(AND(N290="Yes",O290=""),"Missing channel for sent reminder","OK"))</f>
        <v>OK</v>
      </c>
    </row>
    <row r="291" customFormat="false" ht="15" hidden="false" customHeight="false" outlineLevel="0" collapsed="false">
      <c r="A291" s="9" t="s">
        <v>633</v>
      </c>
      <c r="B291" s="9" t="s">
        <v>634</v>
      </c>
      <c r="C291" s="9" t="s">
        <v>37</v>
      </c>
      <c r="D291" s="9" t="n">
        <v>38</v>
      </c>
      <c r="E291" s="9" t="s">
        <v>38</v>
      </c>
      <c r="F291" s="9" t="s">
        <v>57</v>
      </c>
      <c r="G291" s="10" t="n">
        <v>45899</v>
      </c>
      <c r="H291" s="10" t="n">
        <v>45916</v>
      </c>
      <c r="I291" s="9" t="s">
        <v>40</v>
      </c>
      <c r="J291" s="9" t="s">
        <v>51</v>
      </c>
      <c r="K291" s="9" t="n">
        <v>17</v>
      </c>
      <c r="L291" s="9" t="n">
        <v>2</v>
      </c>
      <c r="M291" s="9" t="n">
        <v>0</v>
      </c>
      <c r="N291" s="9" t="s">
        <v>42</v>
      </c>
      <c r="O291" s="9" t="s">
        <v>52</v>
      </c>
      <c r="P291" s="9" t="n">
        <v>3.6</v>
      </c>
      <c r="Q291" s="9" t="n">
        <v>28</v>
      </c>
      <c r="R291" s="9" t="s">
        <v>53</v>
      </c>
      <c r="S291" s="9"/>
      <c r="T291" s="9"/>
      <c r="U291" s="9" t="str">
        <f aca="false">IF(COUNTIF($A$2:$A$5001,A291)&gt;1,"Duplicate","Unique")</f>
        <v>Unique</v>
      </c>
      <c r="V291" s="9" t="str">
        <f aca="false">IF(COUNTIFS($B$2:$B$5001,B291,$H$2:$H$5001,H291,$J$2:$J$5001,J291)&gt;1,"Possible Duplicate Booking","Unique")</f>
        <v>Unique</v>
      </c>
      <c r="W291" s="9" t="str">
        <f aca="false">IF((H291-G291)&lt;&gt;K291,"Mismatch","OK")</f>
        <v>OK</v>
      </c>
      <c r="X291" s="9" t="str">
        <f aca="false">IF(TEXT(H291,"dddd")&lt;&gt;I291,"Mismatch","OK")</f>
        <v>OK</v>
      </c>
      <c r="Y291" s="9" t="str">
        <f aca="false">IF(AND(N291="No",O291&lt;&gt;""),"Unexpected: channel present but no reminder sent",IF(AND(N291="Yes",O291=""),"Missing channel for sent reminder","OK"))</f>
        <v>OK</v>
      </c>
    </row>
    <row r="292" customFormat="false" ht="15" hidden="false" customHeight="false" outlineLevel="0" collapsed="false">
      <c r="A292" s="7" t="s">
        <v>635</v>
      </c>
      <c r="B292" s="7" t="s">
        <v>636</v>
      </c>
      <c r="C292" s="7" t="s">
        <v>47</v>
      </c>
      <c r="D292" s="7" t="n">
        <v>38</v>
      </c>
      <c r="E292" s="7" t="s">
        <v>38</v>
      </c>
      <c r="F292" s="7" t="s">
        <v>49</v>
      </c>
      <c r="G292" s="8" t="n">
        <v>46048</v>
      </c>
      <c r="H292" s="8" t="n">
        <v>46098</v>
      </c>
      <c r="I292" s="7" t="s">
        <v>40</v>
      </c>
      <c r="J292" s="7" t="s">
        <v>41</v>
      </c>
      <c r="K292" s="7" t="n">
        <v>50</v>
      </c>
      <c r="L292" s="7" t="n">
        <v>4</v>
      </c>
      <c r="M292" s="7" t="n">
        <v>0</v>
      </c>
      <c r="N292" s="7" t="s">
        <v>42</v>
      </c>
      <c r="O292" s="7" t="s">
        <v>52</v>
      </c>
      <c r="P292" s="7" t="n">
        <v>2.1</v>
      </c>
      <c r="Q292" s="7" t="n">
        <v>24</v>
      </c>
      <c r="R292" s="7" t="s">
        <v>53</v>
      </c>
      <c r="S292" s="7"/>
      <c r="T292" s="7"/>
      <c r="U292" s="7" t="str">
        <f aca="false">IF(COUNTIF($A$2:$A$5001,A292)&gt;1,"Duplicate","Unique")</f>
        <v>Unique</v>
      </c>
      <c r="V292" s="7" t="str">
        <f aca="false">IF(COUNTIFS($B$2:$B$5001,B292,$H$2:$H$5001,H292,$J$2:$J$5001,J292)&gt;1,"Possible Duplicate Booking","Unique")</f>
        <v>Unique</v>
      </c>
      <c r="W292" s="7" t="str">
        <f aca="false">IF((H292-G292)&lt;&gt;K292,"Mismatch","OK")</f>
        <v>OK</v>
      </c>
      <c r="X292" s="7" t="str">
        <f aca="false">IF(TEXT(H292,"dddd")&lt;&gt;I292,"Mismatch","OK")</f>
        <v>OK</v>
      </c>
      <c r="Y292" s="7" t="str">
        <f aca="false">IF(AND(N292="No",O292&lt;&gt;""),"Unexpected: channel present but no reminder sent",IF(AND(N292="Yes",O292=""),"Missing channel for sent reminder","OK"))</f>
        <v>OK</v>
      </c>
    </row>
    <row r="293" customFormat="false" ht="15" hidden="false" customHeight="false" outlineLevel="0" collapsed="false">
      <c r="A293" s="9" t="s">
        <v>637</v>
      </c>
      <c r="B293" s="9" t="s">
        <v>576</v>
      </c>
      <c r="C293" s="9" t="s">
        <v>37</v>
      </c>
      <c r="D293" s="9" t="n">
        <v>70</v>
      </c>
      <c r="E293" s="9" t="s">
        <v>70</v>
      </c>
      <c r="F293" s="9" t="s">
        <v>39</v>
      </c>
      <c r="G293" s="10" t="n">
        <v>45750</v>
      </c>
      <c r="H293" s="10" t="n">
        <v>45803</v>
      </c>
      <c r="I293" s="9" t="s">
        <v>66</v>
      </c>
      <c r="J293" s="9" t="s">
        <v>51</v>
      </c>
      <c r="K293" s="9" t="n">
        <v>53</v>
      </c>
      <c r="L293" s="9" t="n">
        <v>1</v>
      </c>
      <c r="M293" s="9" t="n">
        <v>0</v>
      </c>
      <c r="N293" s="9" t="s">
        <v>42</v>
      </c>
      <c r="O293" s="9" t="s">
        <v>43</v>
      </c>
      <c r="P293" s="9" t="n">
        <v>26.3</v>
      </c>
      <c r="Q293" s="9" t="n">
        <v>30</v>
      </c>
      <c r="R293" s="9" t="s">
        <v>44</v>
      </c>
      <c r="S293" s="9"/>
      <c r="T293" s="9"/>
      <c r="U293" s="9" t="str">
        <f aca="false">IF(COUNTIF($A$2:$A$5001,A293)&gt;1,"Duplicate","Unique")</f>
        <v>Unique</v>
      </c>
      <c r="V293" s="9" t="str">
        <f aca="false">IF(COUNTIFS($B$2:$B$5001,B293,$H$2:$H$5001,H293,$J$2:$J$5001,J293)&gt;1,"Possible Duplicate Booking","Unique")</f>
        <v>Unique</v>
      </c>
      <c r="W293" s="9" t="str">
        <f aca="false">IF((H293-G293)&lt;&gt;K293,"Mismatch","OK")</f>
        <v>OK</v>
      </c>
      <c r="X293" s="9" t="str">
        <f aca="false">IF(TEXT(H293,"dddd")&lt;&gt;I293,"Mismatch","OK")</f>
        <v>OK</v>
      </c>
      <c r="Y293" s="9" t="str">
        <f aca="false">IF(AND(N293="No",O293&lt;&gt;""),"Unexpected: channel present but no reminder sent",IF(AND(N293="Yes",O293=""),"Missing channel for sent reminder","OK"))</f>
        <v>OK</v>
      </c>
    </row>
    <row r="294" customFormat="false" ht="15" hidden="false" customHeight="false" outlineLevel="0" collapsed="false">
      <c r="A294" s="7" t="s">
        <v>638</v>
      </c>
      <c r="B294" s="7" t="s">
        <v>639</v>
      </c>
      <c r="C294" s="7" t="s">
        <v>37</v>
      </c>
      <c r="D294" s="7" t="n">
        <v>22</v>
      </c>
      <c r="E294" s="7" t="s">
        <v>82</v>
      </c>
      <c r="F294" s="7" t="s">
        <v>57</v>
      </c>
      <c r="G294" s="8" t="n">
        <v>46158</v>
      </c>
      <c r="H294" s="8" t="n">
        <v>46178</v>
      </c>
      <c r="I294" s="7" t="s">
        <v>50</v>
      </c>
      <c r="J294" s="7" t="s">
        <v>41</v>
      </c>
      <c r="K294" s="7" t="n">
        <v>20</v>
      </c>
      <c r="L294" s="7" t="n">
        <v>4</v>
      </c>
      <c r="M294" s="7" t="n">
        <v>0</v>
      </c>
      <c r="N294" s="7" t="s">
        <v>42</v>
      </c>
      <c r="O294" s="7" t="s">
        <v>52</v>
      </c>
      <c r="P294" s="7" t="n">
        <v>9</v>
      </c>
      <c r="Q294" s="7" t="n">
        <v>33</v>
      </c>
      <c r="R294" s="7" t="s">
        <v>53</v>
      </c>
      <c r="S294" s="7"/>
      <c r="T294" s="7"/>
      <c r="U294" s="7" t="str">
        <f aca="false">IF(COUNTIF($A$2:$A$5001,A294)&gt;1,"Duplicate","Unique")</f>
        <v>Unique</v>
      </c>
      <c r="V294" s="7" t="str">
        <f aca="false">IF(COUNTIFS($B$2:$B$5001,B294,$H$2:$H$5001,H294,$J$2:$J$5001,J294)&gt;1,"Possible Duplicate Booking","Unique")</f>
        <v>Unique</v>
      </c>
      <c r="W294" s="7" t="str">
        <f aca="false">IF((H294-G294)&lt;&gt;K294,"Mismatch","OK")</f>
        <v>OK</v>
      </c>
      <c r="X294" s="7" t="str">
        <f aca="false">IF(TEXT(H294,"dddd")&lt;&gt;I294,"Mismatch","OK")</f>
        <v>OK</v>
      </c>
      <c r="Y294" s="7" t="str">
        <f aca="false">IF(AND(N294="No",O294&lt;&gt;""),"Unexpected: channel present but no reminder sent",IF(AND(N294="Yes",O294=""),"Missing channel for sent reminder","OK"))</f>
        <v>OK</v>
      </c>
    </row>
    <row r="295" customFormat="false" ht="15" hidden="false" customHeight="false" outlineLevel="0" collapsed="false">
      <c r="A295" s="9" t="s">
        <v>640</v>
      </c>
      <c r="B295" s="9" t="s">
        <v>641</v>
      </c>
      <c r="C295" s="9" t="s">
        <v>37</v>
      </c>
      <c r="D295" s="9" t="n">
        <v>74</v>
      </c>
      <c r="E295" s="9" t="s">
        <v>70</v>
      </c>
      <c r="F295" s="9" t="s">
        <v>57</v>
      </c>
      <c r="G295" s="10" t="n">
        <v>45795</v>
      </c>
      <c r="H295" s="10" t="n">
        <v>45839</v>
      </c>
      <c r="I295" s="9" t="s">
        <v>40</v>
      </c>
      <c r="J295" s="9" t="s">
        <v>51</v>
      </c>
      <c r="K295" s="9" t="n">
        <v>44</v>
      </c>
      <c r="L295" s="9" t="n">
        <v>6</v>
      </c>
      <c r="M295" s="9" t="n">
        <v>1</v>
      </c>
      <c r="N295" s="9" t="s">
        <v>42</v>
      </c>
      <c r="O295" s="9" t="s">
        <v>52</v>
      </c>
      <c r="P295" s="9" t="n">
        <v>10</v>
      </c>
      <c r="Q295" s="9" t="n">
        <v>35</v>
      </c>
      <c r="R295" s="9" t="s">
        <v>44</v>
      </c>
      <c r="S295" s="9"/>
      <c r="T295" s="9"/>
      <c r="U295" s="9" t="str">
        <f aca="false">IF(COUNTIF($A$2:$A$5001,A295)&gt;1,"Duplicate","Unique")</f>
        <v>Unique</v>
      </c>
      <c r="V295" s="9" t="str">
        <f aca="false">IF(COUNTIFS($B$2:$B$5001,B295,$H$2:$H$5001,H295,$J$2:$J$5001,J295)&gt;1,"Possible Duplicate Booking","Unique")</f>
        <v>Unique</v>
      </c>
      <c r="W295" s="9" t="str">
        <f aca="false">IF((H295-G295)&lt;&gt;K295,"Mismatch","OK")</f>
        <v>OK</v>
      </c>
      <c r="X295" s="9" t="str">
        <f aca="false">IF(TEXT(H295,"dddd")&lt;&gt;I295,"Mismatch","OK")</f>
        <v>OK</v>
      </c>
      <c r="Y295" s="9" t="str">
        <f aca="false">IF(AND(N295="No",O295&lt;&gt;""),"Unexpected: channel present but no reminder sent",IF(AND(N295="Yes",O295=""),"Missing channel for sent reminder","OK"))</f>
        <v>OK</v>
      </c>
    </row>
    <row r="296" customFormat="false" ht="15" hidden="false" customHeight="false" outlineLevel="0" collapsed="false">
      <c r="A296" s="7" t="s">
        <v>642</v>
      </c>
      <c r="B296" s="7" t="s">
        <v>643</v>
      </c>
      <c r="C296" s="7" t="s">
        <v>47</v>
      </c>
      <c r="D296" s="7" t="n">
        <v>66</v>
      </c>
      <c r="E296" s="7" t="s">
        <v>70</v>
      </c>
      <c r="F296" s="7" t="s">
        <v>39</v>
      </c>
      <c r="G296" s="8" t="n">
        <v>45899</v>
      </c>
      <c r="H296" s="8" t="n">
        <v>45955</v>
      </c>
      <c r="I296" s="7" t="s">
        <v>102</v>
      </c>
      <c r="J296" s="7" t="s">
        <v>51</v>
      </c>
      <c r="K296" s="7" t="n">
        <v>56</v>
      </c>
      <c r="L296" s="7" t="n">
        <v>1</v>
      </c>
      <c r="M296" s="7" t="n">
        <v>0</v>
      </c>
      <c r="N296" s="7" t="s">
        <v>42</v>
      </c>
      <c r="O296" s="7" t="s">
        <v>67</v>
      </c>
      <c r="P296" s="7" t="n">
        <v>7.7</v>
      </c>
      <c r="Q296" s="7" t="n">
        <v>4</v>
      </c>
      <c r="R296" s="7" t="s">
        <v>44</v>
      </c>
      <c r="S296" s="7"/>
      <c r="T296" s="7"/>
      <c r="U296" s="7" t="str">
        <f aca="false">IF(COUNTIF($A$2:$A$5001,A296)&gt;1,"Duplicate","Unique")</f>
        <v>Unique</v>
      </c>
      <c r="V296" s="7" t="str">
        <f aca="false">IF(COUNTIFS($B$2:$B$5001,B296,$H$2:$H$5001,H296,$J$2:$J$5001,J296)&gt;1,"Possible Duplicate Booking","Unique")</f>
        <v>Unique</v>
      </c>
      <c r="W296" s="7" t="str">
        <f aca="false">IF((H296-G296)&lt;&gt;K296,"Mismatch","OK")</f>
        <v>OK</v>
      </c>
      <c r="X296" s="7" t="str">
        <f aca="false">IF(TEXT(H296,"dddd")&lt;&gt;I296,"Mismatch","OK")</f>
        <v>OK</v>
      </c>
      <c r="Y296" s="7" t="str">
        <f aca="false">IF(AND(N296="No",O296&lt;&gt;""),"Unexpected: channel present but no reminder sent",IF(AND(N296="Yes",O296=""),"Missing channel for sent reminder","OK"))</f>
        <v>OK</v>
      </c>
    </row>
    <row r="297" customFormat="false" ht="15" hidden="false" customHeight="false" outlineLevel="0" collapsed="false">
      <c r="A297" s="9" t="s">
        <v>644</v>
      </c>
      <c r="B297" s="9" t="s">
        <v>645</v>
      </c>
      <c r="C297" s="9" t="s">
        <v>47</v>
      </c>
      <c r="D297" s="9" t="n">
        <v>48</v>
      </c>
      <c r="E297" s="9" t="s">
        <v>56</v>
      </c>
      <c r="F297" s="9" t="s">
        <v>49</v>
      </c>
      <c r="G297" s="10" t="n">
        <v>45894</v>
      </c>
      <c r="H297" s="10" t="n">
        <v>45942</v>
      </c>
      <c r="I297" s="9" t="s">
        <v>75</v>
      </c>
      <c r="J297" s="9" t="s">
        <v>41</v>
      </c>
      <c r="K297" s="9" t="n">
        <v>48</v>
      </c>
      <c r="L297" s="9" t="n">
        <v>4</v>
      </c>
      <c r="M297" s="9" t="n">
        <v>0</v>
      </c>
      <c r="N297" s="9" t="s">
        <v>42</v>
      </c>
      <c r="O297" s="9" t="s">
        <v>52</v>
      </c>
      <c r="P297" s="9" t="n">
        <v>2.4</v>
      </c>
      <c r="Q297" s="9" t="n">
        <v>18</v>
      </c>
      <c r="R297" s="9" t="s">
        <v>44</v>
      </c>
      <c r="S297" s="9"/>
      <c r="T297" s="9"/>
      <c r="U297" s="9" t="str">
        <f aca="false">IF(COUNTIF($A$2:$A$5001,A297)&gt;1,"Duplicate","Unique")</f>
        <v>Unique</v>
      </c>
      <c r="V297" s="9" t="str">
        <f aca="false">IF(COUNTIFS($B$2:$B$5001,B297,$H$2:$H$5001,H297,$J$2:$J$5001,J297)&gt;1,"Possible Duplicate Booking","Unique")</f>
        <v>Unique</v>
      </c>
      <c r="W297" s="9" t="str">
        <f aca="false">IF((H297-G297)&lt;&gt;K297,"Mismatch","OK")</f>
        <v>OK</v>
      </c>
      <c r="X297" s="9" t="str">
        <f aca="false">IF(TEXT(H297,"dddd")&lt;&gt;I297,"Mismatch","OK")</f>
        <v>OK</v>
      </c>
      <c r="Y297" s="9" t="str">
        <f aca="false">IF(AND(N297="No",O297&lt;&gt;""),"Unexpected: channel present but no reminder sent",IF(AND(N297="Yes",O297=""),"Missing channel for sent reminder","OK"))</f>
        <v>OK</v>
      </c>
    </row>
    <row r="298" customFormat="false" ht="15" hidden="false" customHeight="false" outlineLevel="0" collapsed="false">
      <c r="A298" s="7" t="s">
        <v>646</v>
      </c>
      <c r="B298" s="7" t="s">
        <v>647</v>
      </c>
      <c r="C298" s="7" t="s">
        <v>47</v>
      </c>
      <c r="D298" s="7" t="n">
        <v>54</v>
      </c>
      <c r="E298" s="7" t="s">
        <v>56</v>
      </c>
      <c r="F298" s="7" t="s">
        <v>57</v>
      </c>
      <c r="G298" s="8" t="n">
        <v>46121</v>
      </c>
      <c r="H298" s="8" t="n">
        <v>46121</v>
      </c>
      <c r="I298" s="7" t="s">
        <v>62</v>
      </c>
      <c r="J298" s="7" t="s">
        <v>63</v>
      </c>
      <c r="K298" s="7" t="n">
        <v>0</v>
      </c>
      <c r="L298" s="7" t="n">
        <v>1</v>
      </c>
      <c r="M298" s="7" t="n">
        <v>1</v>
      </c>
      <c r="N298" s="7" t="s">
        <v>71</v>
      </c>
      <c r="O298" s="7"/>
      <c r="P298" s="7" t="n">
        <v>4.4</v>
      </c>
      <c r="Q298" s="7" t="n">
        <v>35</v>
      </c>
      <c r="R298" s="7" t="s">
        <v>44</v>
      </c>
      <c r="S298" s="7"/>
      <c r="T298" s="7"/>
      <c r="U298" s="7" t="str">
        <f aca="false">IF(COUNTIF($A$2:$A$5001,A298)&gt;1,"Duplicate","Unique")</f>
        <v>Unique</v>
      </c>
      <c r="V298" s="7" t="str">
        <f aca="false">IF(COUNTIFS($B$2:$B$5001,B298,$H$2:$H$5001,H298,$J$2:$J$5001,J298)&gt;1,"Possible Duplicate Booking","Unique")</f>
        <v>Unique</v>
      </c>
      <c r="W298" s="7" t="str">
        <f aca="false">IF((H298-G298)&lt;&gt;K298,"Mismatch","OK")</f>
        <v>OK</v>
      </c>
      <c r="X298" s="7" t="str">
        <f aca="false">IF(TEXT(H298,"dddd")&lt;&gt;I298,"Mismatch","OK")</f>
        <v>OK</v>
      </c>
      <c r="Y298" s="7" t="str">
        <f aca="false">IF(AND(N298="No",O298&lt;&gt;""),"Unexpected: channel present but no reminder sent",IF(AND(N298="Yes",O298=""),"Missing channel for sent reminder","OK"))</f>
        <v>OK</v>
      </c>
    </row>
    <row r="299" customFormat="false" ht="15" hidden="false" customHeight="false" outlineLevel="0" collapsed="false">
      <c r="A299" s="9" t="s">
        <v>648</v>
      </c>
      <c r="B299" s="9" t="s">
        <v>360</v>
      </c>
      <c r="C299" s="9" t="s">
        <v>37</v>
      </c>
      <c r="D299" s="9" t="n">
        <v>74</v>
      </c>
      <c r="E299" s="9" t="s">
        <v>70</v>
      </c>
      <c r="F299" s="9" t="s">
        <v>49</v>
      </c>
      <c r="G299" s="10" t="n">
        <v>45857</v>
      </c>
      <c r="H299" s="10" t="n">
        <v>45897</v>
      </c>
      <c r="I299" s="9" t="s">
        <v>62</v>
      </c>
      <c r="J299" s="9" t="s">
        <v>51</v>
      </c>
      <c r="K299" s="9" t="n">
        <v>40</v>
      </c>
      <c r="L299" s="9" t="n">
        <v>5</v>
      </c>
      <c r="M299" s="9" t="n">
        <v>3</v>
      </c>
      <c r="N299" s="9" t="s">
        <v>42</v>
      </c>
      <c r="O299" s="9" t="s">
        <v>43</v>
      </c>
      <c r="P299" s="9" t="n">
        <v>4.8</v>
      </c>
      <c r="Q299" s="9" t="n">
        <v>16</v>
      </c>
      <c r="R299" s="9" t="s">
        <v>44</v>
      </c>
      <c r="S299" s="9"/>
      <c r="T299" s="9"/>
      <c r="U299" s="9" t="str">
        <f aca="false">IF(COUNTIF($A$2:$A$5001,A299)&gt;1,"Duplicate","Unique")</f>
        <v>Unique</v>
      </c>
      <c r="V299" s="9" t="str">
        <f aca="false">IF(COUNTIFS($B$2:$B$5001,B299,$H$2:$H$5001,H299,$J$2:$J$5001,J299)&gt;1,"Possible Duplicate Booking","Unique")</f>
        <v>Unique</v>
      </c>
      <c r="W299" s="9" t="str">
        <f aca="false">IF((H299-G299)&lt;&gt;K299,"Mismatch","OK")</f>
        <v>OK</v>
      </c>
      <c r="X299" s="9" t="str">
        <f aca="false">IF(TEXT(H299,"dddd")&lt;&gt;I299,"Mismatch","OK")</f>
        <v>OK</v>
      </c>
      <c r="Y299" s="9" t="str">
        <f aca="false">IF(AND(N299="No",O299&lt;&gt;""),"Unexpected: channel present but no reminder sent",IF(AND(N299="Yes",O299=""),"Missing channel for sent reminder","OK"))</f>
        <v>OK</v>
      </c>
    </row>
    <row r="300" customFormat="false" ht="15" hidden="false" customHeight="false" outlineLevel="0" collapsed="false">
      <c r="A300" s="7" t="s">
        <v>649</v>
      </c>
      <c r="B300" s="7" t="s">
        <v>650</v>
      </c>
      <c r="C300" s="7" t="s">
        <v>37</v>
      </c>
      <c r="D300" s="7" t="n">
        <v>66</v>
      </c>
      <c r="E300" s="7" t="s">
        <v>70</v>
      </c>
      <c r="F300" s="7" t="s">
        <v>57</v>
      </c>
      <c r="G300" s="8" t="n">
        <v>45803</v>
      </c>
      <c r="H300" s="8" t="n">
        <v>45813</v>
      </c>
      <c r="I300" s="7" t="s">
        <v>62</v>
      </c>
      <c r="J300" s="7" t="s">
        <v>41</v>
      </c>
      <c r="K300" s="7" t="n">
        <v>10</v>
      </c>
      <c r="L300" s="7" t="n">
        <v>1</v>
      </c>
      <c r="M300" s="7" t="n">
        <v>0</v>
      </c>
      <c r="N300" s="7" t="s">
        <v>71</v>
      </c>
      <c r="O300" s="7"/>
      <c r="P300" s="7" t="n">
        <v>26.4</v>
      </c>
      <c r="Q300" s="7" t="n">
        <v>28</v>
      </c>
      <c r="R300" s="7" t="s">
        <v>44</v>
      </c>
      <c r="S300" s="7"/>
      <c r="T300" s="7"/>
      <c r="U300" s="7" t="str">
        <f aca="false">IF(COUNTIF($A$2:$A$5001,A300)&gt;1,"Duplicate","Unique")</f>
        <v>Unique</v>
      </c>
      <c r="V300" s="7" t="str">
        <f aca="false">IF(COUNTIFS($B$2:$B$5001,B300,$H$2:$H$5001,H300,$J$2:$J$5001,J300)&gt;1,"Possible Duplicate Booking","Unique")</f>
        <v>Unique</v>
      </c>
      <c r="W300" s="7" t="str">
        <f aca="false">IF((H300-G300)&lt;&gt;K300,"Mismatch","OK")</f>
        <v>OK</v>
      </c>
      <c r="X300" s="7" t="str">
        <f aca="false">IF(TEXT(H300,"dddd")&lt;&gt;I300,"Mismatch","OK")</f>
        <v>OK</v>
      </c>
      <c r="Y300" s="7" t="str">
        <f aca="false">IF(AND(N300="No",O300&lt;&gt;""),"Unexpected: channel present but no reminder sent",IF(AND(N300="Yes",O300=""),"Missing channel for sent reminder","OK"))</f>
        <v>OK</v>
      </c>
    </row>
    <row r="301" customFormat="false" ht="15" hidden="false" customHeight="false" outlineLevel="0" collapsed="false">
      <c r="A301" s="9" t="s">
        <v>651</v>
      </c>
      <c r="B301" s="9" t="s">
        <v>652</v>
      </c>
      <c r="C301" s="9" t="s">
        <v>47</v>
      </c>
      <c r="D301" s="9" t="n">
        <v>35</v>
      </c>
      <c r="E301" s="9" t="s">
        <v>38</v>
      </c>
      <c r="F301" s="9" t="s">
        <v>57</v>
      </c>
      <c r="G301" s="10" t="n">
        <v>45618</v>
      </c>
      <c r="H301" s="10" t="n">
        <v>45669</v>
      </c>
      <c r="I301" s="9" t="s">
        <v>75</v>
      </c>
      <c r="J301" s="9" t="s">
        <v>41</v>
      </c>
      <c r="K301" s="9" t="n">
        <v>51</v>
      </c>
      <c r="L301" s="9" t="n">
        <v>1</v>
      </c>
      <c r="M301" s="9" t="n">
        <v>0</v>
      </c>
      <c r="N301" s="9" t="s">
        <v>42</v>
      </c>
      <c r="O301" s="9" t="s">
        <v>43</v>
      </c>
      <c r="P301" s="9" t="n">
        <v>7.9</v>
      </c>
      <c r="Q301" s="9" t="n">
        <v>14</v>
      </c>
      <c r="R301" s="9" t="s">
        <v>53</v>
      </c>
      <c r="S301" s="9"/>
      <c r="T301" s="9"/>
      <c r="U301" s="9" t="str">
        <f aca="false">IF(COUNTIF($A$2:$A$5001,A301)&gt;1,"Duplicate","Unique")</f>
        <v>Unique</v>
      </c>
      <c r="V301" s="9" t="str">
        <f aca="false">IF(COUNTIFS($B$2:$B$5001,B301,$H$2:$H$5001,H301,$J$2:$J$5001,J301)&gt;1,"Possible Duplicate Booking","Unique")</f>
        <v>Unique</v>
      </c>
      <c r="W301" s="9" t="str">
        <f aca="false">IF((H301-G301)&lt;&gt;K301,"Mismatch","OK")</f>
        <v>OK</v>
      </c>
      <c r="X301" s="9" t="str">
        <f aca="false">IF(TEXT(H301,"dddd")&lt;&gt;I301,"Mismatch","OK")</f>
        <v>OK</v>
      </c>
      <c r="Y301" s="9" t="str">
        <f aca="false">IF(AND(N301="No",O301&lt;&gt;""),"Unexpected: channel present but no reminder sent",IF(AND(N301="Yes",O301=""),"Missing channel for sent reminder","OK"))</f>
        <v>OK</v>
      </c>
    </row>
    <row r="302" customFormat="false" ht="15" hidden="false" customHeight="false" outlineLevel="0" collapsed="false">
      <c r="A302" s="7" t="s">
        <v>653</v>
      </c>
      <c r="B302" s="7" t="s">
        <v>654</v>
      </c>
      <c r="C302" s="7" t="s">
        <v>47</v>
      </c>
      <c r="D302" s="7" t="n">
        <v>21</v>
      </c>
      <c r="E302" s="7" t="s">
        <v>82</v>
      </c>
      <c r="F302" s="7" t="s">
        <v>57</v>
      </c>
      <c r="G302" s="8" t="n">
        <v>45852</v>
      </c>
      <c r="H302" s="8" t="n">
        <v>45856</v>
      </c>
      <c r="I302" s="7" t="s">
        <v>50</v>
      </c>
      <c r="J302" s="7" t="s">
        <v>63</v>
      </c>
      <c r="K302" s="7" t="n">
        <v>4</v>
      </c>
      <c r="L302" s="7" t="n">
        <v>3</v>
      </c>
      <c r="M302" s="7" t="n">
        <v>0</v>
      </c>
      <c r="N302" s="7" t="s">
        <v>42</v>
      </c>
      <c r="O302" s="7" t="s">
        <v>67</v>
      </c>
      <c r="P302" s="7" t="n">
        <v>5.7</v>
      </c>
      <c r="Q302" s="7" t="n">
        <v>31</v>
      </c>
      <c r="R302" s="7" t="s">
        <v>53</v>
      </c>
      <c r="S302" s="7"/>
      <c r="T302" s="7"/>
      <c r="U302" s="7" t="str">
        <f aca="false">IF(COUNTIF($A$2:$A$5001,A302)&gt;1,"Duplicate","Unique")</f>
        <v>Unique</v>
      </c>
      <c r="V302" s="7" t="str">
        <f aca="false">IF(COUNTIFS($B$2:$B$5001,B302,$H$2:$H$5001,H302,$J$2:$J$5001,J302)&gt;1,"Possible Duplicate Booking","Unique")</f>
        <v>Unique</v>
      </c>
      <c r="W302" s="7" t="str">
        <f aca="false">IF((H302-G302)&lt;&gt;K302,"Mismatch","OK")</f>
        <v>OK</v>
      </c>
      <c r="X302" s="7" t="str">
        <f aca="false">IF(TEXT(H302,"dddd")&lt;&gt;I302,"Mismatch","OK")</f>
        <v>OK</v>
      </c>
      <c r="Y302" s="7" t="str">
        <f aca="false">IF(AND(N302="No",O302&lt;&gt;""),"Unexpected: channel present but no reminder sent",IF(AND(N302="Yes",O302=""),"Missing channel for sent reminder","OK"))</f>
        <v>OK</v>
      </c>
    </row>
    <row r="303" customFormat="false" ht="15" hidden="false" customHeight="false" outlineLevel="0" collapsed="false">
      <c r="A303" s="9" t="s">
        <v>655</v>
      </c>
      <c r="B303" s="9" t="s">
        <v>140</v>
      </c>
      <c r="C303" s="9" t="s">
        <v>47</v>
      </c>
      <c r="D303" s="9" t="n">
        <v>59</v>
      </c>
      <c r="E303" s="9" t="s">
        <v>61</v>
      </c>
      <c r="F303" s="9" t="s">
        <v>49</v>
      </c>
      <c r="G303" s="10" t="n">
        <v>46049</v>
      </c>
      <c r="H303" s="10" t="n">
        <v>46109</v>
      </c>
      <c r="I303" s="9" t="s">
        <v>102</v>
      </c>
      <c r="J303" s="9" t="s">
        <v>41</v>
      </c>
      <c r="K303" s="9" t="n">
        <v>60</v>
      </c>
      <c r="L303" s="9" t="n">
        <v>6</v>
      </c>
      <c r="M303" s="9" t="n">
        <v>1</v>
      </c>
      <c r="N303" s="9" t="s">
        <v>42</v>
      </c>
      <c r="O303" s="9" t="s">
        <v>43</v>
      </c>
      <c r="P303" s="9" t="n">
        <v>17</v>
      </c>
      <c r="Q303" s="9" t="n">
        <v>24</v>
      </c>
      <c r="R303" s="9" t="s">
        <v>44</v>
      </c>
      <c r="S303" s="9"/>
      <c r="T303" s="9"/>
      <c r="U303" s="9" t="str">
        <f aca="false">IF(COUNTIF($A$2:$A$5001,A303)&gt;1,"Duplicate","Unique")</f>
        <v>Unique</v>
      </c>
      <c r="V303" s="9" t="str">
        <f aca="false">IF(COUNTIFS($B$2:$B$5001,B303,$H$2:$H$5001,H303,$J$2:$J$5001,J303)&gt;1,"Possible Duplicate Booking","Unique")</f>
        <v>Possible Duplicate Booking</v>
      </c>
      <c r="W303" s="9" t="str">
        <f aca="false">IF((H303-G303)&lt;&gt;K303,"Mismatch","OK")</f>
        <v>OK</v>
      </c>
      <c r="X303" s="9" t="str">
        <f aca="false">IF(TEXT(H303,"dddd")&lt;&gt;I303,"Mismatch","OK")</f>
        <v>OK</v>
      </c>
      <c r="Y303" s="9" t="str">
        <f aca="false">IF(AND(N303="No",O303&lt;&gt;""),"Unexpected: channel present but no reminder sent",IF(AND(N303="Yes",O303=""),"Missing channel for sent reminder","OK"))</f>
        <v>OK</v>
      </c>
    </row>
    <row r="304" customFormat="false" ht="15" hidden="false" customHeight="false" outlineLevel="0" collapsed="false">
      <c r="A304" s="7" t="s">
        <v>656</v>
      </c>
      <c r="B304" s="7" t="s">
        <v>657</v>
      </c>
      <c r="C304" s="7" t="s">
        <v>37</v>
      </c>
      <c r="D304" s="7" t="n">
        <v>27</v>
      </c>
      <c r="E304" s="7" t="s">
        <v>48</v>
      </c>
      <c r="F304" s="7" t="s">
        <v>57</v>
      </c>
      <c r="G304" s="8" t="n">
        <v>45653</v>
      </c>
      <c r="H304" s="8" t="n">
        <v>45663</v>
      </c>
      <c r="I304" s="7" t="s">
        <v>66</v>
      </c>
      <c r="J304" s="7" t="s">
        <v>51</v>
      </c>
      <c r="K304" s="7" t="n">
        <v>10</v>
      </c>
      <c r="L304" s="7" t="n">
        <v>3</v>
      </c>
      <c r="M304" s="7" t="n">
        <v>1</v>
      </c>
      <c r="N304" s="7" t="s">
        <v>42</v>
      </c>
      <c r="O304" s="7" t="s">
        <v>52</v>
      </c>
      <c r="P304" s="7" t="n">
        <v>7</v>
      </c>
      <c r="Q304" s="7" t="n">
        <v>31</v>
      </c>
      <c r="R304" s="7" t="s">
        <v>53</v>
      </c>
      <c r="S304" s="7"/>
      <c r="T304" s="7"/>
      <c r="U304" s="7" t="str">
        <f aca="false">IF(COUNTIF($A$2:$A$5001,A304)&gt;1,"Duplicate","Unique")</f>
        <v>Unique</v>
      </c>
      <c r="V304" s="7" t="str">
        <f aca="false">IF(COUNTIFS($B$2:$B$5001,B304,$H$2:$H$5001,H304,$J$2:$J$5001,J304)&gt;1,"Possible Duplicate Booking","Unique")</f>
        <v>Unique</v>
      </c>
      <c r="W304" s="7" t="str">
        <f aca="false">IF((H304-G304)&lt;&gt;K304,"Mismatch","OK")</f>
        <v>OK</v>
      </c>
      <c r="X304" s="7" t="str">
        <f aca="false">IF(TEXT(H304,"dddd")&lt;&gt;I304,"Mismatch","OK")</f>
        <v>OK</v>
      </c>
      <c r="Y304" s="7" t="str">
        <f aca="false">IF(AND(N304="No",O304&lt;&gt;""),"Unexpected: channel present but no reminder sent",IF(AND(N304="Yes",O304=""),"Missing channel for sent reminder","OK"))</f>
        <v>OK</v>
      </c>
    </row>
    <row r="305" customFormat="false" ht="15" hidden="false" customHeight="false" outlineLevel="0" collapsed="false">
      <c r="A305" s="9" t="s">
        <v>658</v>
      </c>
      <c r="B305" s="9" t="s">
        <v>659</v>
      </c>
      <c r="C305" s="9" t="s">
        <v>47</v>
      </c>
      <c r="D305" s="9" t="n">
        <v>23</v>
      </c>
      <c r="E305" s="9" t="s">
        <v>82</v>
      </c>
      <c r="F305" s="9" t="s">
        <v>39</v>
      </c>
      <c r="G305" s="10" t="n">
        <v>46122</v>
      </c>
      <c r="H305" s="10" t="n">
        <v>46147</v>
      </c>
      <c r="I305" s="9" t="s">
        <v>40</v>
      </c>
      <c r="J305" s="9" t="s">
        <v>51</v>
      </c>
      <c r="K305" s="9" t="n">
        <v>25</v>
      </c>
      <c r="L305" s="9" t="n">
        <v>4</v>
      </c>
      <c r="M305" s="9" t="n">
        <v>1</v>
      </c>
      <c r="N305" s="9" t="s">
        <v>42</v>
      </c>
      <c r="O305" s="9" t="s">
        <v>67</v>
      </c>
      <c r="P305" s="9" t="n">
        <v>3.1</v>
      </c>
      <c r="Q305" s="9" t="n">
        <v>28</v>
      </c>
      <c r="R305" s="9" t="s">
        <v>53</v>
      </c>
      <c r="S305" s="9"/>
      <c r="T305" s="9"/>
      <c r="U305" s="9" t="str">
        <f aca="false">IF(COUNTIF($A$2:$A$5001,A305)&gt;1,"Duplicate","Unique")</f>
        <v>Unique</v>
      </c>
      <c r="V305" s="9" t="str">
        <f aca="false">IF(COUNTIFS($B$2:$B$5001,B305,$H$2:$H$5001,H305,$J$2:$J$5001,J305)&gt;1,"Possible Duplicate Booking","Unique")</f>
        <v>Unique</v>
      </c>
      <c r="W305" s="9" t="str">
        <f aca="false">IF((H305-G305)&lt;&gt;K305,"Mismatch","OK")</f>
        <v>OK</v>
      </c>
      <c r="X305" s="9" t="str">
        <f aca="false">IF(TEXT(H305,"dddd")&lt;&gt;I305,"Mismatch","OK")</f>
        <v>OK</v>
      </c>
      <c r="Y305" s="9" t="str">
        <f aca="false">IF(AND(N305="No",O305&lt;&gt;""),"Unexpected: channel present but no reminder sent",IF(AND(N305="Yes",O305=""),"Missing channel for sent reminder","OK"))</f>
        <v>OK</v>
      </c>
    </row>
    <row r="306" customFormat="false" ht="15" hidden="false" customHeight="false" outlineLevel="0" collapsed="false">
      <c r="A306" s="7" t="s">
        <v>660</v>
      </c>
      <c r="B306" s="7" t="s">
        <v>661</v>
      </c>
      <c r="C306" s="7" t="s">
        <v>37</v>
      </c>
      <c r="D306" s="7" t="n">
        <v>79</v>
      </c>
      <c r="E306" s="7" t="s">
        <v>70</v>
      </c>
      <c r="F306" s="7" t="s">
        <v>57</v>
      </c>
      <c r="G306" s="8" t="n">
        <v>45940</v>
      </c>
      <c r="H306" s="8" t="n">
        <v>45954</v>
      </c>
      <c r="I306" s="7" t="s">
        <v>50</v>
      </c>
      <c r="J306" s="7" t="s">
        <v>41</v>
      </c>
      <c r="K306" s="7" t="n">
        <v>14</v>
      </c>
      <c r="L306" s="7" t="n">
        <v>2</v>
      </c>
      <c r="M306" s="7" t="n">
        <v>1</v>
      </c>
      <c r="N306" s="7" t="s">
        <v>71</v>
      </c>
      <c r="O306" s="7"/>
      <c r="P306" s="7" t="n">
        <v>4.3</v>
      </c>
      <c r="Q306" s="7" t="n">
        <v>9</v>
      </c>
      <c r="R306" s="7" t="s">
        <v>87</v>
      </c>
      <c r="S306" s="7"/>
      <c r="T306" s="7"/>
      <c r="U306" s="7" t="str">
        <f aca="false">IF(COUNTIF($A$2:$A$5001,A306)&gt;1,"Duplicate","Unique")</f>
        <v>Unique</v>
      </c>
      <c r="V306" s="7" t="str">
        <f aca="false">IF(COUNTIFS($B$2:$B$5001,B306,$H$2:$H$5001,H306,$J$2:$J$5001,J306)&gt;1,"Possible Duplicate Booking","Unique")</f>
        <v>Unique</v>
      </c>
      <c r="W306" s="7" t="str">
        <f aca="false">IF((H306-G306)&lt;&gt;K306,"Mismatch","OK")</f>
        <v>OK</v>
      </c>
      <c r="X306" s="7" t="str">
        <f aca="false">IF(TEXT(H306,"dddd")&lt;&gt;I306,"Mismatch","OK")</f>
        <v>OK</v>
      </c>
      <c r="Y306" s="7" t="str">
        <f aca="false">IF(AND(N306="No",O306&lt;&gt;""),"Unexpected: channel present but no reminder sent",IF(AND(N306="Yes",O306=""),"Missing channel for sent reminder","OK"))</f>
        <v>OK</v>
      </c>
    </row>
    <row r="307" customFormat="false" ht="15" hidden="false" customHeight="false" outlineLevel="0" collapsed="false">
      <c r="A307" s="9" t="s">
        <v>662</v>
      </c>
      <c r="B307" s="9" t="s">
        <v>268</v>
      </c>
      <c r="C307" s="9" t="s">
        <v>236</v>
      </c>
      <c r="D307" s="9" t="n">
        <v>47</v>
      </c>
      <c r="E307" s="9" t="s">
        <v>56</v>
      </c>
      <c r="F307" s="9" t="s">
        <v>39</v>
      </c>
      <c r="G307" s="10" t="n">
        <v>45685</v>
      </c>
      <c r="H307" s="10" t="n">
        <v>45734</v>
      </c>
      <c r="I307" s="9" t="s">
        <v>40</v>
      </c>
      <c r="J307" s="9" t="s">
        <v>51</v>
      </c>
      <c r="K307" s="9" t="n">
        <v>49</v>
      </c>
      <c r="L307" s="9" t="n">
        <v>2</v>
      </c>
      <c r="M307" s="9" t="n">
        <v>0</v>
      </c>
      <c r="N307" s="9" t="s">
        <v>42</v>
      </c>
      <c r="O307" s="9" t="s">
        <v>43</v>
      </c>
      <c r="P307" s="9" t="n">
        <v>16.9</v>
      </c>
      <c r="Q307" s="9" t="n">
        <v>47</v>
      </c>
      <c r="R307" s="9" t="s">
        <v>87</v>
      </c>
      <c r="S307" s="9"/>
      <c r="T307" s="9"/>
      <c r="U307" s="9" t="str">
        <f aca="false">IF(COUNTIF($A$2:$A$5001,A307)&gt;1,"Duplicate","Unique")</f>
        <v>Unique</v>
      </c>
      <c r="V307" s="9" t="str">
        <f aca="false">IF(COUNTIFS($B$2:$B$5001,B307,$H$2:$H$5001,H307,$J$2:$J$5001,J307)&gt;1,"Possible Duplicate Booking","Unique")</f>
        <v>Unique</v>
      </c>
      <c r="W307" s="9" t="str">
        <f aca="false">IF((H307-G307)&lt;&gt;K307,"Mismatch","OK")</f>
        <v>OK</v>
      </c>
      <c r="X307" s="9" t="str">
        <f aca="false">IF(TEXT(H307,"dddd")&lt;&gt;I307,"Mismatch","OK")</f>
        <v>OK</v>
      </c>
      <c r="Y307" s="9" t="str">
        <f aca="false">IF(AND(N307="No",O307&lt;&gt;""),"Unexpected: channel present but no reminder sent",IF(AND(N307="Yes",O307=""),"Missing channel for sent reminder","OK"))</f>
        <v>OK</v>
      </c>
    </row>
    <row r="308" customFormat="false" ht="15" hidden="false" customHeight="false" outlineLevel="0" collapsed="false">
      <c r="A308" s="7" t="s">
        <v>663</v>
      </c>
      <c r="B308" s="7" t="s">
        <v>664</v>
      </c>
      <c r="C308" s="7" t="s">
        <v>37</v>
      </c>
      <c r="D308" s="7" t="n">
        <v>59</v>
      </c>
      <c r="E308" s="7" t="s">
        <v>61</v>
      </c>
      <c r="F308" s="7" t="s">
        <v>49</v>
      </c>
      <c r="G308" s="8" t="n">
        <v>45798</v>
      </c>
      <c r="H308" s="8" t="n">
        <v>45822</v>
      </c>
      <c r="I308" s="7" t="s">
        <v>102</v>
      </c>
      <c r="J308" s="7" t="s">
        <v>63</v>
      </c>
      <c r="K308" s="7" t="n">
        <v>24</v>
      </c>
      <c r="L308" s="7" t="n">
        <v>6</v>
      </c>
      <c r="M308" s="7" t="n">
        <v>3</v>
      </c>
      <c r="N308" s="7" t="s">
        <v>42</v>
      </c>
      <c r="O308" s="7" t="s">
        <v>52</v>
      </c>
      <c r="P308" s="7" t="n">
        <v>6</v>
      </c>
      <c r="Q308" s="7" t="n">
        <v>10</v>
      </c>
      <c r="R308" s="7" t="s">
        <v>44</v>
      </c>
      <c r="S308" s="7"/>
      <c r="T308" s="7"/>
      <c r="U308" s="7" t="str">
        <f aca="false">IF(COUNTIF($A$2:$A$5001,A308)&gt;1,"Duplicate","Unique")</f>
        <v>Unique</v>
      </c>
      <c r="V308" s="7" t="str">
        <f aca="false">IF(COUNTIFS($B$2:$B$5001,B308,$H$2:$H$5001,H308,$J$2:$J$5001,J308)&gt;1,"Possible Duplicate Booking","Unique")</f>
        <v>Unique</v>
      </c>
      <c r="W308" s="7" t="str">
        <f aca="false">IF((H308-G308)&lt;&gt;K308,"Mismatch","OK")</f>
        <v>OK</v>
      </c>
      <c r="X308" s="7" t="str">
        <f aca="false">IF(TEXT(H308,"dddd")&lt;&gt;I308,"Mismatch","OK")</f>
        <v>OK</v>
      </c>
      <c r="Y308" s="7" t="str">
        <f aca="false">IF(AND(N308="No",O308&lt;&gt;""),"Unexpected: channel present but no reminder sent",IF(AND(N308="Yes",O308=""),"Missing channel for sent reminder","OK"))</f>
        <v>OK</v>
      </c>
    </row>
    <row r="309" customFormat="false" ht="15" hidden="false" customHeight="false" outlineLevel="0" collapsed="false">
      <c r="A309" s="9" t="s">
        <v>665</v>
      </c>
      <c r="B309" s="9" t="s">
        <v>593</v>
      </c>
      <c r="C309" s="9" t="s">
        <v>47</v>
      </c>
      <c r="D309" s="9" t="n">
        <v>31</v>
      </c>
      <c r="E309" s="9" t="s">
        <v>48</v>
      </c>
      <c r="F309" s="9" t="s">
        <v>57</v>
      </c>
      <c r="G309" s="10" t="n">
        <v>45915</v>
      </c>
      <c r="H309" s="10" t="n">
        <v>45960</v>
      </c>
      <c r="I309" s="9" t="s">
        <v>62</v>
      </c>
      <c r="J309" s="9" t="s">
        <v>63</v>
      </c>
      <c r="K309" s="9" t="n">
        <v>45</v>
      </c>
      <c r="L309" s="9" t="n">
        <v>1</v>
      </c>
      <c r="M309" s="9" t="n">
        <v>0</v>
      </c>
      <c r="N309" s="9" t="s">
        <v>42</v>
      </c>
      <c r="O309" s="9" t="s">
        <v>67</v>
      </c>
      <c r="P309" s="9" t="n">
        <v>10.7</v>
      </c>
      <c r="Q309" s="9" t="n">
        <v>51</v>
      </c>
      <c r="R309" s="9" t="s">
        <v>53</v>
      </c>
      <c r="S309" s="9"/>
      <c r="T309" s="9"/>
      <c r="U309" s="9" t="str">
        <f aca="false">IF(COUNTIF($A$2:$A$5001,A309)&gt;1,"Duplicate","Unique")</f>
        <v>Unique</v>
      </c>
      <c r="V309" s="9" t="str">
        <f aca="false">IF(COUNTIFS($B$2:$B$5001,B309,$H$2:$H$5001,H309,$J$2:$J$5001,J309)&gt;1,"Possible Duplicate Booking","Unique")</f>
        <v>Unique</v>
      </c>
      <c r="W309" s="9" t="str">
        <f aca="false">IF((H309-G309)&lt;&gt;K309,"Mismatch","OK")</f>
        <v>OK</v>
      </c>
      <c r="X309" s="9" t="str">
        <f aca="false">IF(TEXT(H309,"dddd")&lt;&gt;I309,"Mismatch","OK")</f>
        <v>OK</v>
      </c>
      <c r="Y309" s="9" t="str">
        <f aca="false">IF(AND(N309="No",O309&lt;&gt;""),"Unexpected: channel present but no reminder sent",IF(AND(N309="Yes",O309=""),"Missing channel for sent reminder","OK"))</f>
        <v>OK</v>
      </c>
    </row>
    <row r="310" customFormat="false" ht="15" hidden="false" customHeight="false" outlineLevel="0" collapsed="false">
      <c r="A310" s="7" t="s">
        <v>666</v>
      </c>
      <c r="B310" s="7" t="s">
        <v>667</v>
      </c>
      <c r="C310" s="7" t="s">
        <v>37</v>
      </c>
      <c r="D310" s="7" t="n">
        <v>24</v>
      </c>
      <c r="E310" s="7" t="s">
        <v>82</v>
      </c>
      <c r="F310" s="7" t="s">
        <v>74</v>
      </c>
      <c r="G310" s="8" t="n">
        <v>45826</v>
      </c>
      <c r="H310" s="8" t="n">
        <v>45830</v>
      </c>
      <c r="I310" s="7" t="s">
        <v>75</v>
      </c>
      <c r="J310" s="7" t="s">
        <v>63</v>
      </c>
      <c r="K310" s="7" t="n">
        <v>4</v>
      </c>
      <c r="L310" s="7" t="n">
        <v>5</v>
      </c>
      <c r="M310" s="7" t="n">
        <v>0</v>
      </c>
      <c r="N310" s="7" t="s">
        <v>42</v>
      </c>
      <c r="O310" s="7" t="s">
        <v>52</v>
      </c>
      <c r="P310" s="7" t="n">
        <v>7.8</v>
      </c>
      <c r="Q310" s="7" t="n">
        <v>2</v>
      </c>
      <c r="R310" s="7" t="s">
        <v>87</v>
      </c>
      <c r="S310" s="7"/>
      <c r="T310" s="7"/>
      <c r="U310" s="7" t="str">
        <f aca="false">IF(COUNTIF($A$2:$A$5001,A310)&gt;1,"Duplicate","Unique")</f>
        <v>Unique</v>
      </c>
      <c r="V310" s="7" t="str">
        <f aca="false">IF(COUNTIFS($B$2:$B$5001,B310,$H$2:$H$5001,H310,$J$2:$J$5001,J310)&gt;1,"Possible Duplicate Booking","Unique")</f>
        <v>Unique</v>
      </c>
      <c r="W310" s="7" t="str">
        <f aca="false">IF((H310-G310)&lt;&gt;K310,"Mismatch","OK")</f>
        <v>OK</v>
      </c>
      <c r="X310" s="7" t="str">
        <f aca="false">IF(TEXT(H310,"dddd")&lt;&gt;I310,"Mismatch","OK")</f>
        <v>OK</v>
      </c>
      <c r="Y310" s="7" t="str">
        <f aca="false">IF(AND(N310="No",O310&lt;&gt;""),"Unexpected: channel present but no reminder sent",IF(AND(N310="Yes",O310=""),"Missing channel for sent reminder","OK"))</f>
        <v>OK</v>
      </c>
    </row>
    <row r="311" customFormat="false" ht="15" hidden="false" customHeight="false" outlineLevel="0" collapsed="false">
      <c r="A311" s="9" t="s">
        <v>668</v>
      </c>
      <c r="B311" s="9" t="s">
        <v>669</v>
      </c>
      <c r="C311" s="9" t="s">
        <v>47</v>
      </c>
      <c r="D311" s="9" t="n">
        <v>21</v>
      </c>
      <c r="E311" s="9" t="s">
        <v>82</v>
      </c>
      <c r="F311" s="9" t="s">
        <v>57</v>
      </c>
      <c r="G311" s="10" t="n">
        <v>45690</v>
      </c>
      <c r="H311" s="10" t="n">
        <v>45717</v>
      </c>
      <c r="I311" s="9" t="s">
        <v>102</v>
      </c>
      <c r="J311" s="9" t="s">
        <v>51</v>
      </c>
      <c r="K311" s="9" t="n">
        <v>27</v>
      </c>
      <c r="L311" s="9" t="n">
        <v>4</v>
      </c>
      <c r="M311" s="9" t="n">
        <v>0</v>
      </c>
      <c r="N311" s="9" t="s">
        <v>71</v>
      </c>
      <c r="O311" s="9"/>
      <c r="P311" s="9" t="n">
        <v>14.3</v>
      </c>
      <c r="Q311" s="9" t="n">
        <v>25</v>
      </c>
      <c r="R311" s="9" t="s">
        <v>44</v>
      </c>
      <c r="S311" s="9"/>
      <c r="T311" s="9"/>
      <c r="U311" s="9" t="str">
        <f aca="false">IF(COUNTIF($A$2:$A$5001,A311)&gt;1,"Duplicate","Unique")</f>
        <v>Unique</v>
      </c>
      <c r="V311" s="9" t="str">
        <f aca="false">IF(COUNTIFS($B$2:$B$5001,B311,$H$2:$H$5001,H311,$J$2:$J$5001,J311)&gt;1,"Possible Duplicate Booking","Unique")</f>
        <v>Unique</v>
      </c>
      <c r="W311" s="9" t="str">
        <f aca="false">IF((H311-G311)&lt;&gt;K311,"Mismatch","OK")</f>
        <v>OK</v>
      </c>
      <c r="X311" s="9" t="str">
        <f aca="false">IF(TEXT(H311,"dddd")&lt;&gt;I311,"Mismatch","OK")</f>
        <v>OK</v>
      </c>
      <c r="Y311" s="9" t="str">
        <f aca="false">IF(AND(N311="No",O311&lt;&gt;""),"Unexpected: channel present but no reminder sent",IF(AND(N311="Yes",O311=""),"Missing channel for sent reminder","OK"))</f>
        <v>OK</v>
      </c>
    </row>
    <row r="312" customFormat="false" ht="15" hidden="false" customHeight="false" outlineLevel="0" collapsed="false">
      <c r="A312" s="7" t="s">
        <v>670</v>
      </c>
      <c r="B312" s="7" t="s">
        <v>671</v>
      </c>
      <c r="C312" s="7" t="s">
        <v>47</v>
      </c>
      <c r="D312" s="7" t="n">
        <v>40</v>
      </c>
      <c r="E312" s="7" t="s">
        <v>38</v>
      </c>
      <c r="F312" s="7" t="s">
        <v>57</v>
      </c>
      <c r="G312" s="8" t="n">
        <v>45966</v>
      </c>
      <c r="H312" s="8" t="n">
        <v>46021</v>
      </c>
      <c r="I312" s="7" t="s">
        <v>40</v>
      </c>
      <c r="J312" s="7" t="s">
        <v>41</v>
      </c>
      <c r="K312" s="7" t="n">
        <v>55</v>
      </c>
      <c r="L312" s="7" t="n">
        <v>1</v>
      </c>
      <c r="M312" s="7" t="n">
        <v>0</v>
      </c>
      <c r="N312" s="7" t="s">
        <v>71</v>
      </c>
      <c r="O312" s="7"/>
      <c r="P312" s="7" t="n">
        <v>7.1</v>
      </c>
      <c r="Q312" s="7" t="n">
        <v>9</v>
      </c>
      <c r="R312" s="7" t="s">
        <v>53</v>
      </c>
      <c r="S312" s="7"/>
      <c r="T312" s="7"/>
      <c r="U312" s="7" t="str">
        <f aca="false">IF(COUNTIF($A$2:$A$5001,A312)&gt;1,"Duplicate","Unique")</f>
        <v>Unique</v>
      </c>
      <c r="V312" s="7" t="str">
        <f aca="false">IF(COUNTIFS($B$2:$B$5001,B312,$H$2:$H$5001,H312,$J$2:$J$5001,J312)&gt;1,"Possible Duplicate Booking","Unique")</f>
        <v>Unique</v>
      </c>
      <c r="W312" s="7" t="str">
        <f aca="false">IF((H312-G312)&lt;&gt;K312,"Mismatch","OK")</f>
        <v>OK</v>
      </c>
      <c r="X312" s="7" t="str">
        <f aca="false">IF(TEXT(H312,"dddd")&lt;&gt;I312,"Mismatch","OK")</f>
        <v>OK</v>
      </c>
      <c r="Y312" s="7" t="str">
        <f aca="false">IF(AND(N312="No",O312&lt;&gt;""),"Unexpected: channel present but no reminder sent",IF(AND(N312="Yes",O312=""),"Missing channel for sent reminder","OK"))</f>
        <v>OK</v>
      </c>
    </row>
    <row r="313" customFormat="false" ht="15" hidden="false" customHeight="false" outlineLevel="0" collapsed="false">
      <c r="A313" s="9" t="s">
        <v>672</v>
      </c>
      <c r="B313" s="9" t="s">
        <v>673</v>
      </c>
      <c r="C313" s="9" t="s">
        <v>47</v>
      </c>
      <c r="D313" s="9" t="n">
        <v>18</v>
      </c>
      <c r="E313" s="9" t="s">
        <v>82</v>
      </c>
      <c r="F313" s="9" t="s">
        <v>39</v>
      </c>
      <c r="G313" s="10" t="n">
        <v>45969</v>
      </c>
      <c r="H313" s="10" t="n">
        <v>46025</v>
      </c>
      <c r="I313" s="9" t="s">
        <v>102</v>
      </c>
      <c r="J313" s="9" t="s">
        <v>41</v>
      </c>
      <c r="K313" s="9" t="n">
        <v>56</v>
      </c>
      <c r="L313" s="9" t="n">
        <v>3</v>
      </c>
      <c r="M313" s="9" t="n">
        <v>0</v>
      </c>
      <c r="N313" s="9" t="s">
        <v>71</v>
      </c>
      <c r="O313" s="9"/>
      <c r="P313" s="9" t="n">
        <v>4.9</v>
      </c>
      <c r="Q313" s="9" t="n">
        <v>42</v>
      </c>
      <c r="R313" s="9" t="s">
        <v>53</v>
      </c>
      <c r="S313" s="9"/>
      <c r="T313" s="9"/>
      <c r="U313" s="9" t="str">
        <f aca="false">IF(COUNTIF($A$2:$A$5001,A313)&gt;1,"Duplicate","Unique")</f>
        <v>Unique</v>
      </c>
      <c r="V313" s="9" t="str">
        <f aca="false">IF(COUNTIFS($B$2:$B$5001,B313,$H$2:$H$5001,H313,$J$2:$J$5001,J313)&gt;1,"Possible Duplicate Booking","Unique")</f>
        <v>Unique</v>
      </c>
      <c r="W313" s="9" t="str">
        <f aca="false">IF((H313-G313)&lt;&gt;K313,"Mismatch","OK")</f>
        <v>OK</v>
      </c>
      <c r="X313" s="9" t="str">
        <f aca="false">IF(TEXT(H313,"dddd")&lt;&gt;I313,"Mismatch","OK")</f>
        <v>OK</v>
      </c>
      <c r="Y313" s="9" t="str">
        <f aca="false">IF(AND(N313="No",O313&lt;&gt;""),"Unexpected: channel present but no reminder sent",IF(AND(N313="Yes",O313=""),"Missing channel for sent reminder","OK"))</f>
        <v>OK</v>
      </c>
    </row>
    <row r="314" customFormat="false" ht="15" hidden="false" customHeight="false" outlineLevel="0" collapsed="false">
      <c r="A314" s="7" t="s">
        <v>674</v>
      </c>
      <c r="B314" s="7" t="s">
        <v>675</v>
      </c>
      <c r="C314" s="7" t="s">
        <v>37</v>
      </c>
      <c r="D314" s="7" t="n">
        <v>44</v>
      </c>
      <c r="E314" s="7" t="s">
        <v>38</v>
      </c>
      <c r="F314" s="7" t="s">
        <v>49</v>
      </c>
      <c r="G314" s="8" t="n">
        <v>45710</v>
      </c>
      <c r="H314" s="8" t="n">
        <v>45722</v>
      </c>
      <c r="I314" s="7" t="s">
        <v>62</v>
      </c>
      <c r="J314" s="7" t="s">
        <v>51</v>
      </c>
      <c r="K314" s="7" t="n">
        <v>12</v>
      </c>
      <c r="L314" s="7" t="n">
        <v>4</v>
      </c>
      <c r="M314" s="7" t="n">
        <v>0</v>
      </c>
      <c r="N314" s="7" t="s">
        <v>42</v>
      </c>
      <c r="O314" s="7" t="s">
        <v>67</v>
      </c>
      <c r="P314" s="7" t="n">
        <v>4.2</v>
      </c>
      <c r="Q314" s="7" t="n">
        <v>13</v>
      </c>
      <c r="R314" s="7" t="s">
        <v>53</v>
      </c>
      <c r="S314" s="7"/>
      <c r="T314" s="7"/>
      <c r="U314" s="7" t="str">
        <f aca="false">IF(COUNTIF($A$2:$A$5001,A314)&gt;1,"Duplicate","Unique")</f>
        <v>Unique</v>
      </c>
      <c r="V314" s="7" t="str">
        <f aca="false">IF(COUNTIFS($B$2:$B$5001,B314,$H$2:$H$5001,H314,$J$2:$J$5001,J314)&gt;1,"Possible Duplicate Booking","Unique")</f>
        <v>Unique</v>
      </c>
      <c r="W314" s="7" t="str">
        <f aca="false">IF((H314-G314)&lt;&gt;K314,"Mismatch","OK")</f>
        <v>OK</v>
      </c>
      <c r="X314" s="7" t="str">
        <f aca="false">IF(TEXT(H314,"dddd")&lt;&gt;I314,"Mismatch","OK")</f>
        <v>OK</v>
      </c>
      <c r="Y314" s="7" t="str">
        <f aca="false">IF(AND(N314="No",O314&lt;&gt;""),"Unexpected: channel present but no reminder sent",IF(AND(N314="Yes",O314=""),"Missing channel for sent reminder","OK"))</f>
        <v>OK</v>
      </c>
    </row>
    <row r="315" customFormat="false" ht="15" hidden="false" customHeight="false" outlineLevel="0" collapsed="false">
      <c r="A315" s="9" t="s">
        <v>676</v>
      </c>
      <c r="B315" s="9" t="s">
        <v>677</v>
      </c>
      <c r="C315" s="9" t="s">
        <v>37</v>
      </c>
      <c r="D315" s="9" t="n">
        <v>38</v>
      </c>
      <c r="E315" s="9" t="s">
        <v>38</v>
      </c>
      <c r="F315" s="9" t="s">
        <v>57</v>
      </c>
      <c r="G315" s="10" t="n">
        <v>45787</v>
      </c>
      <c r="H315" s="10" t="n">
        <v>45811</v>
      </c>
      <c r="I315" s="9" t="s">
        <v>40</v>
      </c>
      <c r="J315" s="9" t="s">
        <v>51</v>
      </c>
      <c r="K315" s="9" t="n">
        <v>24</v>
      </c>
      <c r="L315" s="9" t="n">
        <v>3</v>
      </c>
      <c r="M315" s="9" t="n">
        <v>1</v>
      </c>
      <c r="N315" s="9" t="s">
        <v>42</v>
      </c>
      <c r="O315" s="9" t="s">
        <v>67</v>
      </c>
      <c r="P315" s="9" t="n">
        <v>15.2</v>
      </c>
      <c r="Q315" s="9" t="n">
        <v>12</v>
      </c>
      <c r="R315" s="9" t="s">
        <v>53</v>
      </c>
      <c r="S315" s="9"/>
      <c r="T315" s="9"/>
      <c r="U315" s="9" t="str">
        <f aca="false">IF(COUNTIF($A$2:$A$5001,A315)&gt;1,"Duplicate","Unique")</f>
        <v>Unique</v>
      </c>
      <c r="V315" s="9" t="str">
        <f aca="false">IF(COUNTIFS($B$2:$B$5001,B315,$H$2:$H$5001,H315,$J$2:$J$5001,J315)&gt;1,"Possible Duplicate Booking","Unique")</f>
        <v>Unique</v>
      </c>
      <c r="W315" s="9" t="str">
        <f aca="false">IF((H315-G315)&lt;&gt;K315,"Mismatch","OK")</f>
        <v>OK</v>
      </c>
      <c r="X315" s="9" t="str">
        <f aca="false">IF(TEXT(H315,"dddd")&lt;&gt;I315,"Mismatch","OK")</f>
        <v>OK</v>
      </c>
      <c r="Y315" s="9" t="str">
        <f aca="false">IF(AND(N315="No",O315&lt;&gt;""),"Unexpected: channel present but no reminder sent",IF(AND(N315="Yes",O315=""),"Missing channel for sent reminder","OK"))</f>
        <v>OK</v>
      </c>
    </row>
    <row r="316" customFormat="false" ht="15" hidden="false" customHeight="false" outlineLevel="0" collapsed="false">
      <c r="A316" s="7" t="s">
        <v>678</v>
      </c>
      <c r="B316" s="7" t="s">
        <v>679</v>
      </c>
      <c r="C316" s="7" t="s">
        <v>47</v>
      </c>
      <c r="D316" s="7" t="n">
        <v>51</v>
      </c>
      <c r="E316" s="7" t="s">
        <v>56</v>
      </c>
      <c r="F316" s="7" t="s">
        <v>39</v>
      </c>
      <c r="G316" s="8" t="n">
        <v>45767</v>
      </c>
      <c r="H316" s="8" t="n">
        <v>45791</v>
      </c>
      <c r="I316" s="7" t="s">
        <v>58</v>
      </c>
      <c r="J316" s="7" t="s">
        <v>51</v>
      </c>
      <c r="K316" s="7" t="n">
        <v>24</v>
      </c>
      <c r="L316" s="7" t="n">
        <v>3</v>
      </c>
      <c r="M316" s="7" t="n">
        <v>1</v>
      </c>
      <c r="N316" s="7" t="s">
        <v>42</v>
      </c>
      <c r="O316" s="7" t="s">
        <v>43</v>
      </c>
      <c r="P316" s="7" t="n">
        <v>5.7</v>
      </c>
      <c r="Q316" s="7" t="n">
        <v>24</v>
      </c>
      <c r="R316" s="7" t="s">
        <v>44</v>
      </c>
      <c r="S316" s="7"/>
      <c r="T316" s="7"/>
      <c r="U316" s="7" t="str">
        <f aca="false">IF(COUNTIF($A$2:$A$5001,A316)&gt;1,"Duplicate","Unique")</f>
        <v>Unique</v>
      </c>
      <c r="V316" s="7" t="str">
        <f aca="false">IF(COUNTIFS($B$2:$B$5001,B316,$H$2:$H$5001,H316,$J$2:$J$5001,J316)&gt;1,"Possible Duplicate Booking","Unique")</f>
        <v>Unique</v>
      </c>
      <c r="W316" s="7" t="str">
        <f aca="false">IF((H316-G316)&lt;&gt;K316,"Mismatch","OK")</f>
        <v>OK</v>
      </c>
      <c r="X316" s="7" t="str">
        <f aca="false">IF(TEXT(H316,"dddd")&lt;&gt;I316,"Mismatch","OK")</f>
        <v>OK</v>
      </c>
      <c r="Y316" s="7" t="str">
        <f aca="false">IF(AND(N316="No",O316&lt;&gt;""),"Unexpected: channel present but no reminder sent",IF(AND(N316="Yes",O316=""),"Missing channel for sent reminder","OK"))</f>
        <v>OK</v>
      </c>
    </row>
    <row r="317" customFormat="false" ht="15" hidden="false" customHeight="false" outlineLevel="0" collapsed="false">
      <c r="A317" s="9" t="s">
        <v>680</v>
      </c>
      <c r="B317" s="9" t="s">
        <v>681</v>
      </c>
      <c r="C317" s="9" t="s">
        <v>47</v>
      </c>
      <c r="D317" s="9" t="n">
        <v>55</v>
      </c>
      <c r="E317" s="9" t="s">
        <v>61</v>
      </c>
      <c r="F317" s="9" t="s">
        <v>57</v>
      </c>
      <c r="G317" s="10" t="n">
        <v>45984</v>
      </c>
      <c r="H317" s="10" t="n">
        <v>46018</v>
      </c>
      <c r="I317" s="9" t="s">
        <v>102</v>
      </c>
      <c r="J317" s="9" t="s">
        <v>51</v>
      </c>
      <c r="K317" s="9" t="n">
        <v>34</v>
      </c>
      <c r="L317" s="9" t="n">
        <v>1</v>
      </c>
      <c r="M317" s="9" t="n">
        <v>1</v>
      </c>
      <c r="N317" s="9" t="s">
        <v>42</v>
      </c>
      <c r="O317" s="9" t="s">
        <v>52</v>
      </c>
      <c r="P317" s="9" t="n">
        <v>10.2</v>
      </c>
      <c r="Q317" s="9" t="n">
        <v>40</v>
      </c>
      <c r="R317" s="9" t="s">
        <v>53</v>
      </c>
      <c r="S317" s="9"/>
      <c r="T317" s="9"/>
      <c r="U317" s="9" t="str">
        <f aca="false">IF(COUNTIF($A$2:$A$5001,A317)&gt;1,"Duplicate","Unique")</f>
        <v>Unique</v>
      </c>
      <c r="V317" s="9" t="str">
        <f aca="false">IF(COUNTIFS($B$2:$B$5001,B317,$H$2:$H$5001,H317,$J$2:$J$5001,J317)&gt;1,"Possible Duplicate Booking","Unique")</f>
        <v>Unique</v>
      </c>
      <c r="W317" s="9" t="str">
        <f aca="false">IF((H317-G317)&lt;&gt;K317,"Mismatch","OK")</f>
        <v>OK</v>
      </c>
      <c r="X317" s="9" t="str">
        <f aca="false">IF(TEXT(H317,"dddd")&lt;&gt;I317,"Mismatch","OK")</f>
        <v>OK</v>
      </c>
      <c r="Y317" s="9" t="str">
        <f aca="false">IF(AND(N317="No",O317&lt;&gt;""),"Unexpected: channel present but no reminder sent",IF(AND(N317="Yes",O317=""),"Missing channel for sent reminder","OK"))</f>
        <v>OK</v>
      </c>
    </row>
    <row r="318" customFormat="false" ht="15" hidden="false" customHeight="false" outlineLevel="0" collapsed="false">
      <c r="A318" s="7" t="s">
        <v>682</v>
      </c>
      <c r="B318" s="7" t="s">
        <v>683</v>
      </c>
      <c r="C318" s="7" t="s">
        <v>47</v>
      </c>
      <c r="D318" s="7" t="n">
        <v>37</v>
      </c>
      <c r="E318" s="7" t="s">
        <v>38</v>
      </c>
      <c r="F318" s="7" t="s">
        <v>39</v>
      </c>
      <c r="G318" s="8" t="n">
        <v>46024</v>
      </c>
      <c r="H318" s="8" t="n">
        <v>46056</v>
      </c>
      <c r="I318" s="7" t="s">
        <v>40</v>
      </c>
      <c r="J318" s="7" t="s">
        <v>63</v>
      </c>
      <c r="K318" s="7" t="n">
        <v>32</v>
      </c>
      <c r="L318" s="7" t="n">
        <v>5</v>
      </c>
      <c r="M318" s="7" t="n">
        <v>0</v>
      </c>
      <c r="N318" s="7" t="s">
        <v>71</v>
      </c>
      <c r="O318" s="7"/>
      <c r="P318" s="7" t="n">
        <v>18.7</v>
      </c>
      <c r="Q318" s="7" t="n">
        <v>38</v>
      </c>
      <c r="R318" s="7" t="s">
        <v>44</v>
      </c>
      <c r="S318" s="7"/>
      <c r="T318" s="7"/>
      <c r="U318" s="7" t="str">
        <f aca="false">IF(COUNTIF($A$2:$A$5001,A318)&gt;1,"Duplicate","Unique")</f>
        <v>Unique</v>
      </c>
      <c r="V318" s="7" t="str">
        <f aca="false">IF(COUNTIFS($B$2:$B$5001,B318,$H$2:$H$5001,H318,$J$2:$J$5001,J318)&gt;1,"Possible Duplicate Booking","Unique")</f>
        <v>Unique</v>
      </c>
      <c r="W318" s="7" t="str">
        <f aca="false">IF((H318-G318)&lt;&gt;K318,"Mismatch","OK")</f>
        <v>OK</v>
      </c>
      <c r="X318" s="7" t="str">
        <f aca="false">IF(TEXT(H318,"dddd")&lt;&gt;I318,"Mismatch","OK")</f>
        <v>OK</v>
      </c>
      <c r="Y318" s="7" t="str">
        <f aca="false">IF(AND(N318="No",O318&lt;&gt;""),"Unexpected: channel present but no reminder sent",IF(AND(N318="Yes",O318=""),"Missing channel for sent reminder","OK"))</f>
        <v>OK</v>
      </c>
    </row>
    <row r="319" customFormat="false" ht="15" hidden="false" customHeight="false" outlineLevel="0" collapsed="false">
      <c r="A319" s="9" t="s">
        <v>684</v>
      </c>
      <c r="B319" s="9" t="s">
        <v>685</v>
      </c>
      <c r="C319" s="9" t="s">
        <v>37</v>
      </c>
      <c r="D319" s="9" t="n">
        <v>46</v>
      </c>
      <c r="E319" s="9" t="s">
        <v>56</v>
      </c>
      <c r="F319" s="9" t="s">
        <v>39</v>
      </c>
      <c r="G319" s="10" t="n">
        <v>46048</v>
      </c>
      <c r="H319" s="10" t="n">
        <v>46054</v>
      </c>
      <c r="I319" s="9" t="s">
        <v>75</v>
      </c>
      <c r="J319" s="9" t="s">
        <v>41</v>
      </c>
      <c r="K319" s="9" t="n">
        <v>6</v>
      </c>
      <c r="L319" s="9" t="n">
        <v>2</v>
      </c>
      <c r="M319" s="9" t="n">
        <v>1</v>
      </c>
      <c r="N319" s="9" t="s">
        <v>42</v>
      </c>
      <c r="O319" s="9" t="s">
        <v>67</v>
      </c>
      <c r="P319" s="9" t="n">
        <v>8.9</v>
      </c>
      <c r="Q319" s="9" t="n">
        <v>22</v>
      </c>
      <c r="R319" s="9" t="s">
        <v>44</v>
      </c>
      <c r="S319" s="9"/>
      <c r="T319" s="9"/>
      <c r="U319" s="9" t="str">
        <f aca="false">IF(COUNTIF($A$2:$A$5001,A319)&gt;1,"Duplicate","Unique")</f>
        <v>Unique</v>
      </c>
      <c r="V319" s="9" t="str">
        <f aca="false">IF(COUNTIFS($B$2:$B$5001,B319,$H$2:$H$5001,H319,$J$2:$J$5001,J319)&gt;1,"Possible Duplicate Booking","Unique")</f>
        <v>Unique</v>
      </c>
      <c r="W319" s="9" t="str">
        <f aca="false">IF((H319-G319)&lt;&gt;K319,"Mismatch","OK")</f>
        <v>OK</v>
      </c>
      <c r="X319" s="9" t="str">
        <f aca="false">IF(TEXT(H319,"dddd")&lt;&gt;I319,"Mismatch","OK")</f>
        <v>OK</v>
      </c>
      <c r="Y319" s="9" t="str">
        <f aca="false">IF(AND(N319="No",O319&lt;&gt;""),"Unexpected: channel present but no reminder sent",IF(AND(N319="Yes",O319=""),"Missing channel for sent reminder","OK"))</f>
        <v>OK</v>
      </c>
    </row>
    <row r="320" customFormat="false" ht="15" hidden="false" customHeight="false" outlineLevel="0" collapsed="false">
      <c r="A320" s="7" t="s">
        <v>686</v>
      </c>
      <c r="B320" s="7" t="s">
        <v>687</v>
      </c>
      <c r="C320" s="7" t="s">
        <v>37</v>
      </c>
      <c r="D320" s="7" t="n">
        <v>22</v>
      </c>
      <c r="E320" s="7" t="s">
        <v>82</v>
      </c>
      <c r="F320" s="7" t="s">
        <v>74</v>
      </c>
      <c r="G320" s="8" t="n">
        <v>46124</v>
      </c>
      <c r="H320" s="8" t="n">
        <v>46170</v>
      </c>
      <c r="I320" s="7" t="s">
        <v>62</v>
      </c>
      <c r="J320" s="7" t="s">
        <v>51</v>
      </c>
      <c r="K320" s="7" t="n">
        <v>46</v>
      </c>
      <c r="L320" s="7" t="n">
        <v>3</v>
      </c>
      <c r="M320" s="7" t="n">
        <v>0</v>
      </c>
      <c r="N320" s="7" t="s">
        <v>42</v>
      </c>
      <c r="O320" s="7" t="s">
        <v>43</v>
      </c>
      <c r="P320" s="7" t="n">
        <v>11.5</v>
      </c>
      <c r="Q320" s="7" t="n">
        <v>20</v>
      </c>
      <c r="R320" s="7" t="s">
        <v>53</v>
      </c>
      <c r="S320" s="7"/>
      <c r="T320" s="7"/>
      <c r="U320" s="7" t="str">
        <f aca="false">IF(COUNTIF($A$2:$A$5001,A320)&gt;1,"Duplicate","Unique")</f>
        <v>Unique</v>
      </c>
      <c r="V320" s="7" t="str">
        <f aca="false">IF(COUNTIFS($B$2:$B$5001,B320,$H$2:$H$5001,H320,$J$2:$J$5001,J320)&gt;1,"Possible Duplicate Booking","Unique")</f>
        <v>Unique</v>
      </c>
      <c r="W320" s="7" t="str">
        <f aca="false">IF((H320-G320)&lt;&gt;K320,"Mismatch","OK")</f>
        <v>OK</v>
      </c>
      <c r="X320" s="7" t="str">
        <f aca="false">IF(TEXT(H320,"dddd")&lt;&gt;I320,"Mismatch","OK")</f>
        <v>OK</v>
      </c>
      <c r="Y320" s="7" t="str">
        <f aca="false">IF(AND(N320="No",O320&lt;&gt;""),"Unexpected: channel present but no reminder sent",IF(AND(N320="Yes",O320=""),"Missing channel for sent reminder","OK"))</f>
        <v>OK</v>
      </c>
    </row>
    <row r="321" customFormat="false" ht="15" hidden="false" customHeight="false" outlineLevel="0" collapsed="false">
      <c r="A321" s="9" t="s">
        <v>688</v>
      </c>
      <c r="B321" s="9" t="s">
        <v>689</v>
      </c>
      <c r="C321" s="9" t="s">
        <v>37</v>
      </c>
      <c r="D321" s="9" t="n">
        <v>37</v>
      </c>
      <c r="E321" s="9" t="s">
        <v>38</v>
      </c>
      <c r="F321" s="9" t="s">
        <v>39</v>
      </c>
      <c r="G321" s="10" t="n">
        <v>46064</v>
      </c>
      <c r="H321" s="10" t="n">
        <v>46077</v>
      </c>
      <c r="I321" s="9" t="s">
        <v>40</v>
      </c>
      <c r="J321" s="9" t="s">
        <v>41</v>
      </c>
      <c r="K321" s="9" t="n">
        <v>13</v>
      </c>
      <c r="L321" s="9" t="n">
        <v>2</v>
      </c>
      <c r="M321" s="9" t="n">
        <v>1</v>
      </c>
      <c r="N321" s="9" t="s">
        <v>42</v>
      </c>
      <c r="O321" s="9" t="s">
        <v>67</v>
      </c>
      <c r="P321" s="9" t="n">
        <v>5.8</v>
      </c>
      <c r="Q321" s="9" t="n">
        <v>30</v>
      </c>
      <c r="R321" s="9" t="s">
        <v>53</v>
      </c>
      <c r="S321" s="9"/>
      <c r="T321" s="9"/>
      <c r="U321" s="9" t="str">
        <f aca="false">IF(COUNTIF($A$2:$A$5001,A321)&gt;1,"Duplicate","Unique")</f>
        <v>Unique</v>
      </c>
      <c r="V321" s="9" t="str">
        <f aca="false">IF(COUNTIFS($B$2:$B$5001,B321,$H$2:$H$5001,H321,$J$2:$J$5001,J321)&gt;1,"Possible Duplicate Booking","Unique")</f>
        <v>Unique</v>
      </c>
      <c r="W321" s="9" t="str">
        <f aca="false">IF((H321-G321)&lt;&gt;K321,"Mismatch","OK")</f>
        <v>OK</v>
      </c>
      <c r="X321" s="9" t="str">
        <f aca="false">IF(TEXT(H321,"dddd")&lt;&gt;I321,"Mismatch","OK")</f>
        <v>OK</v>
      </c>
      <c r="Y321" s="9" t="str">
        <f aca="false">IF(AND(N321="No",O321&lt;&gt;""),"Unexpected: channel present but no reminder sent",IF(AND(N321="Yes",O321=""),"Missing channel for sent reminder","OK"))</f>
        <v>OK</v>
      </c>
    </row>
    <row r="322" customFormat="false" ht="15" hidden="false" customHeight="false" outlineLevel="0" collapsed="false">
      <c r="A322" s="7" t="s">
        <v>690</v>
      </c>
      <c r="B322" s="7" t="s">
        <v>691</v>
      </c>
      <c r="C322" s="7" t="s">
        <v>47</v>
      </c>
      <c r="D322" s="7" t="n">
        <v>79</v>
      </c>
      <c r="E322" s="7" t="s">
        <v>70</v>
      </c>
      <c r="F322" s="7" t="s">
        <v>39</v>
      </c>
      <c r="G322" s="8" t="n">
        <v>45814</v>
      </c>
      <c r="H322" s="8" t="n">
        <v>45833</v>
      </c>
      <c r="I322" s="7" t="s">
        <v>58</v>
      </c>
      <c r="J322" s="7" t="s">
        <v>51</v>
      </c>
      <c r="K322" s="7" t="n">
        <v>19</v>
      </c>
      <c r="L322" s="7" t="n">
        <v>3</v>
      </c>
      <c r="M322" s="7" t="n">
        <v>0</v>
      </c>
      <c r="N322" s="7" t="s">
        <v>42</v>
      </c>
      <c r="O322" s="7" t="s">
        <v>52</v>
      </c>
      <c r="P322" s="7" t="n">
        <v>7</v>
      </c>
      <c r="Q322" s="7" t="n">
        <v>23</v>
      </c>
      <c r="R322" s="7" t="s">
        <v>87</v>
      </c>
      <c r="S322" s="7"/>
      <c r="T322" s="7"/>
      <c r="U322" s="7" t="str">
        <f aca="false">IF(COUNTIF($A$2:$A$5001,A322)&gt;1,"Duplicate","Unique")</f>
        <v>Unique</v>
      </c>
      <c r="V322" s="7" t="str">
        <f aca="false">IF(COUNTIFS($B$2:$B$5001,B322,$H$2:$H$5001,H322,$J$2:$J$5001,J322)&gt;1,"Possible Duplicate Booking","Unique")</f>
        <v>Unique</v>
      </c>
      <c r="W322" s="7" t="str">
        <f aca="false">IF((H322-G322)&lt;&gt;K322,"Mismatch","OK")</f>
        <v>OK</v>
      </c>
      <c r="X322" s="7" t="str">
        <f aca="false">IF(TEXT(H322,"dddd")&lt;&gt;I322,"Mismatch","OK")</f>
        <v>OK</v>
      </c>
      <c r="Y322" s="7" t="str">
        <f aca="false">IF(AND(N322="No",O322&lt;&gt;""),"Unexpected: channel present but no reminder sent",IF(AND(N322="Yes",O322=""),"Missing channel for sent reminder","OK"))</f>
        <v>OK</v>
      </c>
    </row>
    <row r="323" customFormat="false" ht="15" hidden="false" customHeight="false" outlineLevel="0" collapsed="false">
      <c r="A323" s="9" t="s">
        <v>692</v>
      </c>
      <c r="B323" s="9" t="s">
        <v>693</v>
      </c>
      <c r="C323" s="9" t="s">
        <v>37</v>
      </c>
      <c r="D323" s="9" t="n">
        <v>80</v>
      </c>
      <c r="E323" s="9" t="s">
        <v>70</v>
      </c>
      <c r="F323" s="9" t="s">
        <v>39</v>
      </c>
      <c r="G323" s="10" t="n">
        <v>45665</v>
      </c>
      <c r="H323" s="10" t="n">
        <v>45716</v>
      </c>
      <c r="I323" s="9" t="s">
        <v>50</v>
      </c>
      <c r="J323" s="9" t="s">
        <v>51</v>
      </c>
      <c r="K323" s="9" t="n">
        <v>51</v>
      </c>
      <c r="L323" s="9" t="n">
        <v>2</v>
      </c>
      <c r="M323" s="9" t="n">
        <v>0</v>
      </c>
      <c r="N323" s="9" t="s">
        <v>42</v>
      </c>
      <c r="O323" s="9" t="s">
        <v>67</v>
      </c>
      <c r="P323" s="9" t="n">
        <v>19</v>
      </c>
      <c r="Q323" s="9" t="n">
        <v>25</v>
      </c>
      <c r="R323" s="9" t="s">
        <v>53</v>
      </c>
      <c r="S323" s="9"/>
      <c r="T323" s="9"/>
      <c r="U323" s="9" t="str">
        <f aca="false">IF(COUNTIF($A$2:$A$5001,A323)&gt;1,"Duplicate","Unique")</f>
        <v>Unique</v>
      </c>
      <c r="V323" s="9" t="str">
        <f aca="false">IF(COUNTIFS($B$2:$B$5001,B323,$H$2:$H$5001,H323,$J$2:$J$5001,J323)&gt;1,"Possible Duplicate Booking","Unique")</f>
        <v>Unique</v>
      </c>
      <c r="W323" s="9" t="str">
        <f aca="false">IF((H323-G323)&lt;&gt;K323,"Mismatch","OK")</f>
        <v>OK</v>
      </c>
      <c r="X323" s="9" t="str">
        <f aca="false">IF(TEXT(H323,"dddd")&lt;&gt;I323,"Mismatch","OK")</f>
        <v>OK</v>
      </c>
      <c r="Y323" s="9" t="str">
        <f aca="false">IF(AND(N323="No",O323&lt;&gt;""),"Unexpected: channel present but no reminder sent",IF(AND(N323="Yes",O323=""),"Missing channel for sent reminder","OK"))</f>
        <v>OK</v>
      </c>
    </row>
    <row r="324" customFormat="false" ht="15" hidden="false" customHeight="false" outlineLevel="0" collapsed="false">
      <c r="A324" s="7" t="s">
        <v>694</v>
      </c>
      <c r="B324" s="7" t="s">
        <v>695</v>
      </c>
      <c r="C324" s="7" t="s">
        <v>37</v>
      </c>
      <c r="D324" s="7" t="n">
        <v>48</v>
      </c>
      <c r="E324" s="7" t="s">
        <v>56</v>
      </c>
      <c r="F324" s="7" t="s">
        <v>57</v>
      </c>
      <c r="G324" s="8" t="n">
        <v>45951</v>
      </c>
      <c r="H324" s="8" t="n">
        <v>45993</v>
      </c>
      <c r="I324" s="7" t="s">
        <v>40</v>
      </c>
      <c r="J324" s="7" t="s">
        <v>51</v>
      </c>
      <c r="K324" s="7" t="n">
        <v>42</v>
      </c>
      <c r="L324" s="7" t="n">
        <v>1</v>
      </c>
      <c r="M324" s="7" t="n">
        <v>1</v>
      </c>
      <c r="N324" s="7" t="s">
        <v>42</v>
      </c>
      <c r="O324" s="7" t="s">
        <v>67</v>
      </c>
      <c r="P324" s="7" t="n">
        <v>14.2</v>
      </c>
      <c r="Q324" s="7" t="n">
        <v>22</v>
      </c>
      <c r="R324" s="7" t="s">
        <v>44</v>
      </c>
      <c r="S324" s="7"/>
      <c r="T324" s="7"/>
      <c r="U324" s="7" t="str">
        <f aca="false">IF(COUNTIF($A$2:$A$5001,A324)&gt;1,"Duplicate","Unique")</f>
        <v>Unique</v>
      </c>
      <c r="V324" s="7" t="str">
        <f aca="false">IF(COUNTIFS($B$2:$B$5001,B324,$H$2:$H$5001,H324,$J$2:$J$5001,J324)&gt;1,"Possible Duplicate Booking","Unique")</f>
        <v>Unique</v>
      </c>
      <c r="W324" s="7" t="str">
        <f aca="false">IF((H324-G324)&lt;&gt;K324,"Mismatch","OK")</f>
        <v>OK</v>
      </c>
      <c r="X324" s="7" t="str">
        <f aca="false">IF(TEXT(H324,"dddd")&lt;&gt;I324,"Mismatch","OK")</f>
        <v>OK</v>
      </c>
      <c r="Y324" s="7" t="str">
        <f aca="false">IF(AND(N324="No",O324&lt;&gt;""),"Unexpected: channel present but no reminder sent",IF(AND(N324="Yes",O324=""),"Missing channel for sent reminder","OK"))</f>
        <v>OK</v>
      </c>
    </row>
    <row r="325" customFormat="false" ht="15" hidden="false" customHeight="false" outlineLevel="0" collapsed="false">
      <c r="A325" s="9" t="s">
        <v>696</v>
      </c>
      <c r="B325" s="9" t="s">
        <v>587</v>
      </c>
      <c r="C325" s="9" t="s">
        <v>47</v>
      </c>
      <c r="D325" s="9" t="n">
        <v>77</v>
      </c>
      <c r="E325" s="9" t="s">
        <v>70</v>
      </c>
      <c r="F325" s="9" t="s">
        <v>57</v>
      </c>
      <c r="G325" s="10" t="n">
        <v>46134</v>
      </c>
      <c r="H325" s="10" t="n">
        <v>46158</v>
      </c>
      <c r="I325" s="9" t="s">
        <v>102</v>
      </c>
      <c r="J325" s="9" t="s">
        <v>41</v>
      </c>
      <c r="K325" s="9" t="n">
        <v>24</v>
      </c>
      <c r="L325" s="9" t="n">
        <v>1</v>
      </c>
      <c r="M325" s="9" t="n">
        <v>0</v>
      </c>
      <c r="N325" s="9" t="s">
        <v>42</v>
      </c>
      <c r="O325" s="9" t="s">
        <v>52</v>
      </c>
      <c r="P325" s="9" t="n">
        <v>7.6</v>
      </c>
      <c r="Q325" s="9" t="n">
        <v>31</v>
      </c>
      <c r="R325" s="9" t="s">
        <v>87</v>
      </c>
      <c r="S325" s="9"/>
      <c r="T325" s="9"/>
      <c r="U325" s="9" t="str">
        <f aca="false">IF(COUNTIF($A$2:$A$5001,A325)&gt;1,"Duplicate","Unique")</f>
        <v>Unique</v>
      </c>
      <c r="V325" s="9" t="str">
        <f aca="false">IF(COUNTIFS($B$2:$B$5001,B325,$H$2:$H$5001,H325,$J$2:$J$5001,J325)&gt;1,"Possible Duplicate Booking","Unique")</f>
        <v>Unique</v>
      </c>
      <c r="W325" s="9" t="str">
        <f aca="false">IF((H325-G325)&lt;&gt;K325,"Mismatch","OK")</f>
        <v>OK</v>
      </c>
      <c r="X325" s="9" t="str">
        <f aca="false">IF(TEXT(H325,"dddd")&lt;&gt;I325,"Mismatch","OK")</f>
        <v>OK</v>
      </c>
      <c r="Y325" s="9" t="str">
        <f aca="false">IF(AND(N325="No",O325&lt;&gt;""),"Unexpected: channel present but no reminder sent",IF(AND(N325="Yes",O325=""),"Missing channel for sent reminder","OK"))</f>
        <v>OK</v>
      </c>
    </row>
    <row r="326" customFormat="false" ht="15" hidden="false" customHeight="false" outlineLevel="0" collapsed="false">
      <c r="A326" s="7" t="s">
        <v>697</v>
      </c>
      <c r="B326" s="7" t="s">
        <v>698</v>
      </c>
      <c r="C326" s="7" t="s">
        <v>47</v>
      </c>
      <c r="D326" s="7" t="n">
        <v>49</v>
      </c>
      <c r="E326" s="7" t="s">
        <v>56</v>
      </c>
      <c r="F326" s="7" t="s">
        <v>74</v>
      </c>
      <c r="G326" s="8" t="n">
        <v>46135</v>
      </c>
      <c r="H326" s="8" t="n">
        <v>46190</v>
      </c>
      <c r="I326" s="7" t="s">
        <v>58</v>
      </c>
      <c r="J326" s="7" t="s">
        <v>41</v>
      </c>
      <c r="K326" s="7" t="n">
        <v>55</v>
      </c>
      <c r="L326" s="7" t="n">
        <v>2</v>
      </c>
      <c r="M326" s="7" t="n">
        <v>1</v>
      </c>
      <c r="N326" s="7" t="s">
        <v>42</v>
      </c>
      <c r="O326" s="7" t="s">
        <v>67</v>
      </c>
      <c r="P326" s="7" t="n">
        <v>9</v>
      </c>
      <c r="Q326" s="7" t="n">
        <v>29</v>
      </c>
      <c r="R326" s="7" t="s">
        <v>44</v>
      </c>
      <c r="S326" s="7"/>
      <c r="T326" s="7"/>
      <c r="U326" s="7" t="str">
        <f aca="false">IF(COUNTIF($A$2:$A$5001,A326)&gt;1,"Duplicate","Unique")</f>
        <v>Unique</v>
      </c>
      <c r="V326" s="7" t="str">
        <f aca="false">IF(COUNTIFS($B$2:$B$5001,B326,$H$2:$H$5001,H326,$J$2:$J$5001,J326)&gt;1,"Possible Duplicate Booking","Unique")</f>
        <v>Unique</v>
      </c>
      <c r="W326" s="7" t="str">
        <f aca="false">IF((H326-G326)&lt;&gt;K326,"Mismatch","OK")</f>
        <v>OK</v>
      </c>
      <c r="X326" s="7" t="str">
        <f aca="false">IF(TEXT(H326,"dddd")&lt;&gt;I326,"Mismatch","OK")</f>
        <v>OK</v>
      </c>
      <c r="Y326" s="7" t="str">
        <f aca="false">IF(AND(N326="No",O326&lt;&gt;""),"Unexpected: channel present but no reminder sent",IF(AND(N326="Yes",O326=""),"Missing channel for sent reminder","OK"))</f>
        <v>OK</v>
      </c>
    </row>
    <row r="327" customFormat="false" ht="15" hidden="false" customHeight="false" outlineLevel="0" collapsed="false">
      <c r="A327" s="9" t="s">
        <v>699</v>
      </c>
      <c r="B327" s="9" t="s">
        <v>700</v>
      </c>
      <c r="C327" s="9" t="s">
        <v>47</v>
      </c>
      <c r="D327" s="9" t="n">
        <v>25</v>
      </c>
      <c r="E327" s="9" t="s">
        <v>48</v>
      </c>
      <c r="F327" s="9" t="s">
        <v>57</v>
      </c>
      <c r="G327" s="10" t="n">
        <v>45759</v>
      </c>
      <c r="H327" s="10" t="n">
        <v>45783</v>
      </c>
      <c r="I327" s="9" t="s">
        <v>40</v>
      </c>
      <c r="J327" s="9" t="s">
        <v>41</v>
      </c>
      <c r="K327" s="9" t="n">
        <v>24</v>
      </c>
      <c r="L327" s="9" t="n">
        <v>2</v>
      </c>
      <c r="M327" s="9" t="n">
        <v>0</v>
      </c>
      <c r="N327" s="9" t="s">
        <v>71</v>
      </c>
      <c r="O327" s="9"/>
      <c r="P327" s="9" t="n">
        <v>7.4</v>
      </c>
      <c r="Q327" s="9" t="n">
        <v>41</v>
      </c>
      <c r="R327" s="9" t="s">
        <v>53</v>
      </c>
      <c r="S327" s="9"/>
      <c r="T327" s="9"/>
      <c r="U327" s="9" t="str">
        <f aca="false">IF(COUNTIF($A$2:$A$5001,A327)&gt;1,"Duplicate","Unique")</f>
        <v>Unique</v>
      </c>
      <c r="V327" s="9" t="str">
        <f aca="false">IF(COUNTIFS($B$2:$B$5001,B327,$H$2:$H$5001,H327,$J$2:$J$5001,J327)&gt;1,"Possible Duplicate Booking","Unique")</f>
        <v>Unique</v>
      </c>
      <c r="W327" s="9" t="str">
        <f aca="false">IF((H327-G327)&lt;&gt;K327,"Mismatch","OK")</f>
        <v>OK</v>
      </c>
      <c r="X327" s="9" t="str">
        <f aca="false">IF(TEXT(H327,"dddd")&lt;&gt;I327,"Mismatch","OK")</f>
        <v>OK</v>
      </c>
      <c r="Y327" s="9" t="str">
        <f aca="false">IF(AND(N327="No",O327&lt;&gt;""),"Unexpected: channel present but no reminder sent",IF(AND(N327="Yes",O327=""),"Missing channel for sent reminder","OK"))</f>
        <v>OK</v>
      </c>
    </row>
    <row r="328" customFormat="false" ht="15" hidden="false" customHeight="false" outlineLevel="0" collapsed="false">
      <c r="A328" s="7" t="s">
        <v>701</v>
      </c>
      <c r="B328" s="7" t="s">
        <v>702</v>
      </c>
      <c r="C328" s="7" t="s">
        <v>37</v>
      </c>
      <c r="D328" s="7" t="n">
        <v>72</v>
      </c>
      <c r="E328" s="7" t="s">
        <v>70</v>
      </c>
      <c r="F328" s="7" t="s">
        <v>49</v>
      </c>
      <c r="G328" s="8" t="n">
        <v>45753</v>
      </c>
      <c r="H328" s="8" t="n">
        <v>45787</v>
      </c>
      <c r="I328" s="7" t="s">
        <v>102</v>
      </c>
      <c r="J328" s="7" t="s">
        <v>63</v>
      </c>
      <c r="K328" s="7" t="n">
        <v>34</v>
      </c>
      <c r="L328" s="7" t="n">
        <v>4</v>
      </c>
      <c r="M328" s="7" t="n">
        <v>0</v>
      </c>
      <c r="N328" s="7" t="s">
        <v>42</v>
      </c>
      <c r="O328" s="7" t="s">
        <v>52</v>
      </c>
      <c r="P328" s="7" t="n">
        <v>13.1</v>
      </c>
      <c r="Q328" s="7" t="n">
        <v>17</v>
      </c>
      <c r="R328" s="7" t="s">
        <v>44</v>
      </c>
      <c r="S328" s="7"/>
      <c r="T328" s="7"/>
      <c r="U328" s="7" t="str">
        <f aca="false">IF(COUNTIF($A$2:$A$5001,A328)&gt;1,"Duplicate","Unique")</f>
        <v>Unique</v>
      </c>
      <c r="V328" s="7" t="str">
        <f aca="false">IF(COUNTIFS($B$2:$B$5001,B328,$H$2:$H$5001,H328,$J$2:$J$5001,J328)&gt;1,"Possible Duplicate Booking","Unique")</f>
        <v>Unique</v>
      </c>
      <c r="W328" s="7" t="str">
        <f aca="false">IF((H328-G328)&lt;&gt;K328,"Mismatch","OK")</f>
        <v>OK</v>
      </c>
      <c r="X328" s="7" t="str">
        <f aca="false">IF(TEXT(H328,"dddd")&lt;&gt;I328,"Mismatch","OK")</f>
        <v>OK</v>
      </c>
      <c r="Y328" s="7" t="str">
        <f aca="false">IF(AND(N328="No",O328&lt;&gt;""),"Unexpected: channel present but no reminder sent",IF(AND(N328="Yes",O328=""),"Missing channel for sent reminder","OK"))</f>
        <v>OK</v>
      </c>
    </row>
    <row r="329" customFormat="false" ht="15" hidden="false" customHeight="false" outlineLevel="0" collapsed="false">
      <c r="A329" s="9" t="s">
        <v>703</v>
      </c>
      <c r="B329" s="9" t="s">
        <v>704</v>
      </c>
      <c r="C329" s="9" t="s">
        <v>37</v>
      </c>
      <c r="D329" s="9" t="n">
        <v>44</v>
      </c>
      <c r="E329" s="9" t="s">
        <v>38</v>
      </c>
      <c r="F329" s="9" t="s">
        <v>57</v>
      </c>
      <c r="G329" s="10" t="n">
        <v>45663</v>
      </c>
      <c r="H329" s="10" t="n">
        <v>45678</v>
      </c>
      <c r="I329" s="9" t="s">
        <v>40</v>
      </c>
      <c r="J329" s="9" t="s">
        <v>51</v>
      </c>
      <c r="K329" s="9" t="n">
        <v>15</v>
      </c>
      <c r="L329" s="9" t="n">
        <v>2</v>
      </c>
      <c r="M329" s="9" t="n">
        <v>0</v>
      </c>
      <c r="N329" s="9" t="s">
        <v>42</v>
      </c>
      <c r="O329" s="9" t="s">
        <v>43</v>
      </c>
      <c r="P329" s="9" t="n">
        <v>5.6</v>
      </c>
      <c r="Q329" s="9" t="n">
        <v>17</v>
      </c>
      <c r="R329" s="9" t="s">
        <v>44</v>
      </c>
      <c r="S329" s="9"/>
      <c r="T329" s="9"/>
      <c r="U329" s="9" t="str">
        <f aca="false">IF(COUNTIF($A$2:$A$5001,A329)&gt;1,"Duplicate","Unique")</f>
        <v>Unique</v>
      </c>
      <c r="V329" s="9" t="str">
        <f aca="false">IF(COUNTIFS($B$2:$B$5001,B329,$H$2:$H$5001,H329,$J$2:$J$5001,J329)&gt;1,"Possible Duplicate Booking","Unique")</f>
        <v>Unique</v>
      </c>
      <c r="W329" s="9" t="str">
        <f aca="false">IF((H329-G329)&lt;&gt;K329,"Mismatch","OK")</f>
        <v>OK</v>
      </c>
      <c r="X329" s="9" t="str">
        <f aca="false">IF(TEXT(H329,"dddd")&lt;&gt;I329,"Mismatch","OK")</f>
        <v>OK</v>
      </c>
      <c r="Y329" s="9" t="str">
        <f aca="false">IF(AND(N329="No",O329&lt;&gt;""),"Unexpected: channel present but no reminder sent",IF(AND(N329="Yes",O329=""),"Missing channel for sent reminder","OK"))</f>
        <v>OK</v>
      </c>
    </row>
    <row r="330" customFormat="false" ht="15" hidden="false" customHeight="false" outlineLevel="0" collapsed="false">
      <c r="A330" s="7" t="s">
        <v>705</v>
      </c>
      <c r="B330" s="7" t="s">
        <v>706</v>
      </c>
      <c r="C330" s="7" t="s">
        <v>37</v>
      </c>
      <c r="D330" s="7" t="n">
        <v>56</v>
      </c>
      <c r="E330" s="7" t="s">
        <v>61</v>
      </c>
      <c r="F330" s="7" t="s">
        <v>49</v>
      </c>
      <c r="G330" s="8" t="n">
        <v>45724</v>
      </c>
      <c r="H330" s="8" t="n">
        <v>45735</v>
      </c>
      <c r="I330" s="7" t="s">
        <v>58</v>
      </c>
      <c r="J330" s="7" t="s">
        <v>41</v>
      </c>
      <c r="K330" s="7" t="n">
        <v>11</v>
      </c>
      <c r="L330" s="7" t="n">
        <v>1</v>
      </c>
      <c r="M330" s="7" t="n">
        <v>0</v>
      </c>
      <c r="N330" s="7" t="s">
        <v>42</v>
      </c>
      <c r="O330" s="7" t="s">
        <v>52</v>
      </c>
      <c r="P330" s="7" t="n">
        <v>13.1</v>
      </c>
      <c r="Q330" s="7" t="n">
        <v>23</v>
      </c>
      <c r="R330" s="7" t="s">
        <v>53</v>
      </c>
      <c r="S330" s="7"/>
      <c r="T330" s="7"/>
      <c r="U330" s="7" t="str">
        <f aca="false">IF(COUNTIF($A$2:$A$5001,A330)&gt;1,"Duplicate","Unique")</f>
        <v>Unique</v>
      </c>
      <c r="V330" s="7" t="str">
        <f aca="false">IF(COUNTIFS($B$2:$B$5001,B330,$H$2:$H$5001,H330,$J$2:$J$5001,J330)&gt;1,"Possible Duplicate Booking","Unique")</f>
        <v>Unique</v>
      </c>
      <c r="W330" s="7" t="str">
        <f aca="false">IF((H330-G330)&lt;&gt;K330,"Mismatch","OK")</f>
        <v>OK</v>
      </c>
      <c r="X330" s="7" t="str">
        <f aca="false">IF(TEXT(H330,"dddd")&lt;&gt;I330,"Mismatch","OK")</f>
        <v>OK</v>
      </c>
      <c r="Y330" s="7" t="str">
        <f aca="false">IF(AND(N330="No",O330&lt;&gt;""),"Unexpected: channel present but no reminder sent",IF(AND(N330="Yes",O330=""),"Missing channel for sent reminder","OK"))</f>
        <v>OK</v>
      </c>
    </row>
    <row r="331" customFormat="false" ht="15" hidden="false" customHeight="false" outlineLevel="0" collapsed="false">
      <c r="A331" s="9" t="s">
        <v>707</v>
      </c>
      <c r="B331" s="9" t="s">
        <v>708</v>
      </c>
      <c r="C331" s="9" t="s">
        <v>37</v>
      </c>
      <c r="D331" s="9" t="n">
        <v>58</v>
      </c>
      <c r="E331" s="9" t="s">
        <v>61</v>
      </c>
      <c r="F331" s="9" t="s">
        <v>57</v>
      </c>
      <c r="G331" s="10" t="n">
        <v>45931</v>
      </c>
      <c r="H331" s="10" t="n">
        <v>45960</v>
      </c>
      <c r="I331" s="9" t="s">
        <v>62</v>
      </c>
      <c r="J331" s="9" t="s">
        <v>51</v>
      </c>
      <c r="K331" s="9" t="n">
        <v>29</v>
      </c>
      <c r="L331" s="9" t="n">
        <v>1</v>
      </c>
      <c r="M331" s="9" t="n">
        <v>0</v>
      </c>
      <c r="N331" s="9" t="s">
        <v>42</v>
      </c>
      <c r="O331" s="9" t="s">
        <v>43</v>
      </c>
      <c r="P331" s="9" t="n">
        <v>23.4</v>
      </c>
      <c r="Q331" s="9" t="n">
        <v>22</v>
      </c>
      <c r="R331" s="9" t="s">
        <v>44</v>
      </c>
      <c r="S331" s="9"/>
      <c r="T331" s="9"/>
      <c r="U331" s="9" t="str">
        <f aca="false">IF(COUNTIF($A$2:$A$5001,A331)&gt;1,"Duplicate","Unique")</f>
        <v>Unique</v>
      </c>
      <c r="V331" s="9" t="str">
        <f aca="false">IF(COUNTIFS($B$2:$B$5001,B331,$H$2:$H$5001,H331,$J$2:$J$5001,J331)&gt;1,"Possible Duplicate Booking","Unique")</f>
        <v>Unique</v>
      </c>
      <c r="W331" s="9" t="str">
        <f aca="false">IF((H331-G331)&lt;&gt;K331,"Mismatch","OK")</f>
        <v>OK</v>
      </c>
      <c r="X331" s="9" t="str">
        <f aca="false">IF(TEXT(H331,"dddd")&lt;&gt;I331,"Mismatch","OK")</f>
        <v>OK</v>
      </c>
      <c r="Y331" s="9" t="str">
        <f aca="false">IF(AND(N331="No",O331&lt;&gt;""),"Unexpected: channel present but no reminder sent",IF(AND(N331="Yes",O331=""),"Missing channel for sent reminder","OK"))</f>
        <v>OK</v>
      </c>
    </row>
    <row r="332" customFormat="false" ht="15" hidden="false" customHeight="false" outlineLevel="0" collapsed="false">
      <c r="A332" s="7" t="s">
        <v>709</v>
      </c>
      <c r="B332" s="7" t="s">
        <v>710</v>
      </c>
      <c r="C332" s="7" t="s">
        <v>47</v>
      </c>
      <c r="D332" s="7" t="n">
        <v>37</v>
      </c>
      <c r="E332" s="7" t="s">
        <v>38</v>
      </c>
      <c r="F332" s="7" t="s">
        <v>74</v>
      </c>
      <c r="G332" s="8" t="n">
        <v>45922</v>
      </c>
      <c r="H332" s="8" t="n">
        <v>45956</v>
      </c>
      <c r="I332" s="7" t="s">
        <v>75</v>
      </c>
      <c r="J332" s="7" t="s">
        <v>51</v>
      </c>
      <c r="K332" s="7" t="n">
        <v>34</v>
      </c>
      <c r="L332" s="7" t="n">
        <v>4</v>
      </c>
      <c r="M332" s="7" t="n">
        <v>0</v>
      </c>
      <c r="N332" s="7" t="s">
        <v>42</v>
      </c>
      <c r="O332" s="7" t="s">
        <v>67</v>
      </c>
      <c r="P332" s="7" t="n">
        <v>9.6</v>
      </c>
      <c r="Q332" s="7" t="n">
        <v>33</v>
      </c>
      <c r="R332" s="7" t="s">
        <v>53</v>
      </c>
      <c r="S332" s="7"/>
      <c r="T332" s="7"/>
      <c r="U332" s="7" t="str">
        <f aca="false">IF(COUNTIF($A$2:$A$5001,A332)&gt;1,"Duplicate","Unique")</f>
        <v>Unique</v>
      </c>
      <c r="V332" s="7" t="str">
        <f aca="false">IF(COUNTIFS($B$2:$B$5001,B332,$H$2:$H$5001,H332,$J$2:$J$5001,J332)&gt;1,"Possible Duplicate Booking","Unique")</f>
        <v>Unique</v>
      </c>
      <c r="W332" s="7" t="str">
        <f aca="false">IF((H332-G332)&lt;&gt;K332,"Mismatch","OK")</f>
        <v>OK</v>
      </c>
      <c r="X332" s="7" t="str">
        <f aca="false">IF(TEXT(H332,"dddd")&lt;&gt;I332,"Mismatch","OK")</f>
        <v>OK</v>
      </c>
      <c r="Y332" s="7" t="str">
        <f aca="false">IF(AND(N332="No",O332&lt;&gt;""),"Unexpected: channel present but no reminder sent",IF(AND(N332="Yes",O332=""),"Missing channel for sent reminder","OK"))</f>
        <v>OK</v>
      </c>
    </row>
    <row r="333" customFormat="false" ht="15" hidden="false" customHeight="false" outlineLevel="0" collapsed="false">
      <c r="A333" s="9" t="s">
        <v>711</v>
      </c>
      <c r="B333" s="9" t="s">
        <v>712</v>
      </c>
      <c r="C333" s="9" t="s">
        <v>37</v>
      </c>
      <c r="D333" s="9" t="n">
        <v>64</v>
      </c>
      <c r="E333" s="9" t="s">
        <v>61</v>
      </c>
      <c r="F333" s="9" t="s">
        <v>39</v>
      </c>
      <c r="G333" s="10" t="n">
        <v>45811</v>
      </c>
      <c r="H333" s="10" t="n">
        <v>45860</v>
      </c>
      <c r="I333" s="9" t="s">
        <v>40</v>
      </c>
      <c r="J333" s="9" t="s">
        <v>41</v>
      </c>
      <c r="K333" s="9" t="n">
        <v>49</v>
      </c>
      <c r="L333" s="9" t="n">
        <v>2</v>
      </c>
      <c r="M333" s="9" t="n">
        <v>1</v>
      </c>
      <c r="N333" s="9" t="s">
        <v>42</v>
      </c>
      <c r="O333" s="9" t="s">
        <v>52</v>
      </c>
      <c r="P333" s="9" t="n">
        <v>3.3</v>
      </c>
      <c r="Q333" s="9" t="n">
        <v>12</v>
      </c>
      <c r="R333" s="9" t="s">
        <v>44</v>
      </c>
      <c r="S333" s="9"/>
      <c r="T333" s="9"/>
      <c r="U333" s="9" t="str">
        <f aca="false">IF(COUNTIF($A$2:$A$5001,A333)&gt;1,"Duplicate","Unique")</f>
        <v>Unique</v>
      </c>
      <c r="V333" s="9" t="str">
        <f aca="false">IF(COUNTIFS($B$2:$B$5001,B333,$H$2:$H$5001,H333,$J$2:$J$5001,J333)&gt;1,"Possible Duplicate Booking","Unique")</f>
        <v>Unique</v>
      </c>
      <c r="W333" s="9" t="str">
        <f aca="false">IF((H333-G333)&lt;&gt;K333,"Mismatch","OK")</f>
        <v>OK</v>
      </c>
      <c r="X333" s="9" t="str">
        <f aca="false">IF(TEXT(H333,"dddd")&lt;&gt;I333,"Mismatch","OK")</f>
        <v>OK</v>
      </c>
      <c r="Y333" s="9" t="str">
        <f aca="false">IF(AND(N333="No",O333&lt;&gt;""),"Unexpected: channel present but no reminder sent",IF(AND(N333="Yes",O333=""),"Missing channel for sent reminder","OK"))</f>
        <v>OK</v>
      </c>
    </row>
    <row r="334" customFormat="false" ht="15" hidden="false" customHeight="false" outlineLevel="0" collapsed="false">
      <c r="A334" s="7" t="s">
        <v>713</v>
      </c>
      <c r="B334" s="7" t="s">
        <v>714</v>
      </c>
      <c r="C334" s="7" t="s">
        <v>47</v>
      </c>
      <c r="D334" s="7" t="n">
        <v>49</v>
      </c>
      <c r="E334" s="7" t="s">
        <v>56</v>
      </c>
      <c r="F334" s="7" t="s">
        <v>57</v>
      </c>
      <c r="G334" s="8" t="n">
        <v>45804</v>
      </c>
      <c r="H334" s="8" t="n">
        <v>45827</v>
      </c>
      <c r="I334" s="7" t="s">
        <v>62</v>
      </c>
      <c r="J334" s="7" t="s">
        <v>51</v>
      </c>
      <c r="K334" s="7" t="n">
        <v>23</v>
      </c>
      <c r="L334" s="7" t="n">
        <v>3</v>
      </c>
      <c r="M334" s="7" t="n">
        <v>1</v>
      </c>
      <c r="N334" s="7" t="s">
        <v>71</v>
      </c>
      <c r="O334" s="7"/>
      <c r="P334" s="7" t="n">
        <v>8.1</v>
      </c>
      <c r="Q334" s="7" t="n">
        <v>38</v>
      </c>
      <c r="R334" s="7" t="s">
        <v>44</v>
      </c>
      <c r="S334" s="7"/>
      <c r="T334" s="7"/>
      <c r="U334" s="7" t="str">
        <f aca="false">IF(COUNTIF($A$2:$A$5001,A334)&gt;1,"Duplicate","Unique")</f>
        <v>Unique</v>
      </c>
      <c r="V334" s="7" t="str">
        <f aca="false">IF(COUNTIFS($B$2:$B$5001,B334,$H$2:$H$5001,H334,$J$2:$J$5001,J334)&gt;1,"Possible Duplicate Booking","Unique")</f>
        <v>Unique</v>
      </c>
      <c r="W334" s="7" t="str">
        <f aca="false">IF((H334-G334)&lt;&gt;K334,"Mismatch","OK")</f>
        <v>OK</v>
      </c>
      <c r="X334" s="7" t="str">
        <f aca="false">IF(TEXT(H334,"dddd")&lt;&gt;I334,"Mismatch","OK")</f>
        <v>OK</v>
      </c>
      <c r="Y334" s="7" t="str">
        <f aca="false">IF(AND(N334="No",O334&lt;&gt;""),"Unexpected: channel present but no reminder sent",IF(AND(N334="Yes",O334=""),"Missing channel for sent reminder","OK"))</f>
        <v>OK</v>
      </c>
    </row>
    <row r="335" customFormat="false" ht="15" hidden="false" customHeight="false" outlineLevel="0" collapsed="false">
      <c r="A335" s="9" t="s">
        <v>715</v>
      </c>
      <c r="B335" s="9" t="s">
        <v>148</v>
      </c>
      <c r="C335" s="9" t="s">
        <v>37</v>
      </c>
      <c r="D335" s="9" t="n">
        <v>41</v>
      </c>
      <c r="E335" s="9" t="s">
        <v>38</v>
      </c>
      <c r="F335" s="9" t="s">
        <v>39</v>
      </c>
      <c r="G335" s="10" t="n">
        <v>46057</v>
      </c>
      <c r="H335" s="10" t="n">
        <v>46111</v>
      </c>
      <c r="I335" s="9" t="s">
        <v>66</v>
      </c>
      <c r="J335" s="9" t="s">
        <v>51</v>
      </c>
      <c r="K335" s="9" t="n">
        <v>54</v>
      </c>
      <c r="L335" s="9" t="n">
        <v>2</v>
      </c>
      <c r="M335" s="9" t="n">
        <v>0</v>
      </c>
      <c r="N335" s="9" t="s">
        <v>42</v>
      </c>
      <c r="O335" s="9" t="s">
        <v>52</v>
      </c>
      <c r="P335" s="9" t="n">
        <v>22.1</v>
      </c>
      <c r="Q335" s="9" t="n">
        <v>21</v>
      </c>
      <c r="R335" s="9" t="s">
        <v>44</v>
      </c>
      <c r="S335" s="9"/>
      <c r="T335" s="9"/>
      <c r="U335" s="9" t="str">
        <f aca="false">IF(COUNTIF($A$2:$A$5001,A335)&gt;1,"Duplicate","Unique")</f>
        <v>Unique</v>
      </c>
      <c r="V335" s="9" t="str">
        <f aca="false">IF(COUNTIFS($B$2:$B$5001,B335,$H$2:$H$5001,H335,$J$2:$J$5001,J335)&gt;1,"Possible Duplicate Booking","Unique")</f>
        <v>Unique</v>
      </c>
      <c r="W335" s="9" t="str">
        <f aca="false">IF((H335-G335)&lt;&gt;K335,"Mismatch","OK")</f>
        <v>OK</v>
      </c>
      <c r="X335" s="9" t="str">
        <f aca="false">IF(TEXT(H335,"dddd")&lt;&gt;I335,"Mismatch","OK")</f>
        <v>OK</v>
      </c>
      <c r="Y335" s="9" t="str">
        <f aca="false">IF(AND(N335="No",O335&lt;&gt;""),"Unexpected: channel present but no reminder sent",IF(AND(N335="Yes",O335=""),"Missing channel for sent reminder","OK"))</f>
        <v>OK</v>
      </c>
    </row>
    <row r="336" customFormat="false" ht="15" hidden="false" customHeight="false" outlineLevel="0" collapsed="false">
      <c r="A336" s="7" t="s">
        <v>716</v>
      </c>
      <c r="B336" s="7" t="s">
        <v>421</v>
      </c>
      <c r="C336" s="7" t="s">
        <v>47</v>
      </c>
      <c r="D336" s="7" t="n">
        <v>36</v>
      </c>
      <c r="E336" s="7" t="s">
        <v>38</v>
      </c>
      <c r="F336" s="7" t="s">
        <v>39</v>
      </c>
      <c r="G336" s="8" t="n">
        <v>45872</v>
      </c>
      <c r="H336" s="8" t="n">
        <v>45909</v>
      </c>
      <c r="I336" s="7" t="s">
        <v>40</v>
      </c>
      <c r="J336" s="7" t="s">
        <v>51</v>
      </c>
      <c r="K336" s="7" t="n">
        <v>37</v>
      </c>
      <c r="L336" s="7" t="n">
        <v>3</v>
      </c>
      <c r="M336" s="7" t="n">
        <v>0</v>
      </c>
      <c r="N336" s="7" t="s">
        <v>42</v>
      </c>
      <c r="O336" s="7" t="s">
        <v>52</v>
      </c>
      <c r="P336" s="7" t="n">
        <v>8.9</v>
      </c>
      <c r="Q336" s="7" t="n">
        <v>37</v>
      </c>
      <c r="R336" s="7" t="s">
        <v>53</v>
      </c>
      <c r="S336" s="7"/>
      <c r="T336" s="7"/>
      <c r="U336" s="7" t="str">
        <f aca="false">IF(COUNTIF($A$2:$A$5001,A336)&gt;1,"Duplicate","Unique")</f>
        <v>Unique</v>
      </c>
      <c r="V336" s="7" t="str">
        <f aca="false">IF(COUNTIFS($B$2:$B$5001,B336,$H$2:$H$5001,H336,$J$2:$J$5001,J336)&gt;1,"Possible Duplicate Booking","Unique")</f>
        <v>Unique</v>
      </c>
      <c r="W336" s="7" t="str">
        <f aca="false">IF((H336-G336)&lt;&gt;K336,"Mismatch","OK")</f>
        <v>OK</v>
      </c>
      <c r="X336" s="7" t="str">
        <f aca="false">IF(TEXT(H336,"dddd")&lt;&gt;I336,"Mismatch","OK")</f>
        <v>OK</v>
      </c>
      <c r="Y336" s="7" t="str">
        <f aca="false">IF(AND(N336="No",O336&lt;&gt;""),"Unexpected: channel present but no reminder sent",IF(AND(N336="Yes",O336=""),"Missing channel for sent reminder","OK"))</f>
        <v>OK</v>
      </c>
    </row>
    <row r="337" customFormat="false" ht="15" hidden="false" customHeight="false" outlineLevel="0" collapsed="false">
      <c r="A337" s="9" t="s">
        <v>717</v>
      </c>
      <c r="B337" s="9" t="s">
        <v>718</v>
      </c>
      <c r="C337" s="9" t="s">
        <v>47</v>
      </c>
      <c r="D337" s="9" t="n">
        <v>65</v>
      </c>
      <c r="E337" s="9" t="s">
        <v>70</v>
      </c>
      <c r="F337" s="9" t="s">
        <v>57</v>
      </c>
      <c r="G337" s="10" t="n">
        <v>46095</v>
      </c>
      <c r="H337" s="10" t="n">
        <v>46099</v>
      </c>
      <c r="I337" s="9" t="s">
        <v>58</v>
      </c>
      <c r="J337" s="9" t="s">
        <v>51</v>
      </c>
      <c r="K337" s="9" t="n">
        <v>4</v>
      </c>
      <c r="L337" s="9" t="n">
        <v>2</v>
      </c>
      <c r="M337" s="9" t="n">
        <v>0</v>
      </c>
      <c r="N337" s="9" t="s">
        <v>42</v>
      </c>
      <c r="O337" s="9" t="s">
        <v>52</v>
      </c>
      <c r="P337" s="9" t="n">
        <v>3.9</v>
      </c>
      <c r="Q337" s="9" t="n">
        <v>52</v>
      </c>
      <c r="R337" s="9" t="s">
        <v>44</v>
      </c>
      <c r="S337" s="9"/>
      <c r="T337" s="9"/>
      <c r="U337" s="9" t="str">
        <f aca="false">IF(COUNTIF($A$2:$A$5001,A337)&gt;1,"Duplicate","Unique")</f>
        <v>Unique</v>
      </c>
      <c r="V337" s="9" t="str">
        <f aca="false">IF(COUNTIFS($B$2:$B$5001,B337,$H$2:$H$5001,H337,$J$2:$J$5001,J337)&gt;1,"Possible Duplicate Booking","Unique")</f>
        <v>Unique</v>
      </c>
      <c r="W337" s="9" t="str">
        <f aca="false">IF((H337-G337)&lt;&gt;K337,"Mismatch","OK")</f>
        <v>OK</v>
      </c>
      <c r="X337" s="9" t="str">
        <f aca="false">IF(TEXT(H337,"dddd")&lt;&gt;I337,"Mismatch","OK")</f>
        <v>OK</v>
      </c>
      <c r="Y337" s="9" t="str">
        <f aca="false">IF(AND(N337="No",O337&lt;&gt;""),"Unexpected: channel present but no reminder sent",IF(AND(N337="Yes",O337=""),"Missing channel for sent reminder","OK"))</f>
        <v>OK</v>
      </c>
    </row>
    <row r="338" customFormat="false" ht="15" hidden="false" customHeight="false" outlineLevel="0" collapsed="false">
      <c r="A338" s="7" t="s">
        <v>719</v>
      </c>
      <c r="B338" s="7" t="s">
        <v>720</v>
      </c>
      <c r="C338" s="7" t="s">
        <v>37</v>
      </c>
      <c r="D338" s="7" t="n">
        <v>33</v>
      </c>
      <c r="E338" s="7" t="s">
        <v>48</v>
      </c>
      <c r="F338" s="7" t="s">
        <v>57</v>
      </c>
      <c r="G338" s="8" t="n">
        <v>46138</v>
      </c>
      <c r="H338" s="8" t="n">
        <v>46183</v>
      </c>
      <c r="I338" s="7" t="s">
        <v>58</v>
      </c>
      <c r="J338" s="7" t="s">
        <v>63</v>
      </c>
      <c r="K338" s="7" t="n">
        <v>45</v>
      </c>
      <c r="L338" s="7" t="n">
        <v>4</v>
      </c>
      <c r="M338" s="7" t="n">
        <v>0</v>
      </c>
      <c r="N338" s="7" t="s">
        <v>42</v>
      </c>
      <c r="O338" s="7" t="s">
        <v>67</v>
      </c>
      <c r="P338" s="7" t="n">
        <v>7.8</v>
      </c>
      <c r="Q338" s="7" t="n">
        <v>35</v>
      </c>
      <c r="R338" s="7" t="s">
        <v>44</v>
      </c>
      <c r="S338" s="7"/>
      <c r="T338" s="7"/>
      <c r="U338" s="7" t="str">
        <f aca="false">IF(COUNTIF($A$2:$A$5001,A338)&gt;1,"Duplicate","Unique")</f>
        <v>Unique</v>
      </c>
      <c r="V338" s="7" t="str">
        <f aca="false">IF(COUNTIFS($B$2:$B$5001,B338,$H$2:$H$5001,H338,$J$2:$J$5001,J338)&gt;1,"Possible Duplicate Booking","Unique")</f>
        <v>Unique</v>
      </c>
      <c r="W338" s="7" t="str">
        <f aca="false">IF((H338-G338)&lt;&gt;K338,"Mismatch","OK")</f>
        <v>OK</v>
      </c>
      <c r="X338" s="7" t="str">
        <f aca="false">IF(TEXT(H338,"dddd")&lt;&gt;I338,"Mismatch","OK")</f>
        <v>OK</v>
      </c>
      <c r="Y338" s="7" t="str">
        <f aca="false">IF(AND(N338="No",O338&lt;&gt;""),"Unexpected: channel present but no reminder sent",IF(AND(N338="Yes",O338=""),"Missing channel for sent reminder","OK"))</f>
        <v>OK</v>
      </c>
    </row>
    <row r="339" customFormat="false" ht="15" hidden="false" customHeight="false" outlineLevel="0" collapsed="false">
      <c r="A339" s="9" t="s">
        <v>721</v>
      </c>
      <c r="B339" s="9" t="s">
        <v>722</v>
      </c>
      <c r="C339" s="9" t="s">
        <v>37</v>
      </c>
      <c r="D339" s="9" t="n">
        <v>25</v>
      </c>
      <c r="E339" s="9" t="s">
        <v>48</v>
      </c>
      <c r="F339" s="9" t="s">
        <v>49</v>
      </c>
      <c r="G339" s="10" t="n">
        <v>45796</v>
      </c>
      <c r="H339" s="10" t="n">
        <v>45831</v>
      </c>
      <c r="I339" s="9" t="s">
        <v>66</v>
      </c>
      <c r="J339" s="9" t="s">
        <v>51</v>
      </c>
      <c r="K339" s="9" t="n">
        <v>35</v>
      </c>
      <c r="L339" s="9" t="n">
        <v>2</v>
      </c>
      <c r="M339" s="9" t="n">
        <v>0</v>
      </c>
      <c r="N339" s="9" t="s">
        <v>42</v>
      </c>
      <c r="O339" s="9" t="s">
        <v>52</v>
      </c>
      <c r="P339" s="9" t="n">
        <v>19.9</v>
      </c>
      <c r="Q339" s="9" t="n">
        <v>31</v>
      </c>
      <c r="R339" s="9" t="s">
        <v>44</v>
      </c>
      <c r="S339" s="9"/>
      <c r="T339" s="9"/>
      <c r="U339" s="9" t="str">
        <f aca="false">IF(COUNTIF($A$2:$A$5001,A339)&gt;1,"Duplicate","Unique")</f>
        <v>Unique</v>
      </c>
      <c r="V339" s="9" t="str">
        <f aca="false">IF(COUNTIFS($B$2:$B$5001,B339,$H$2:$H$5001,H339,$J$2:$J$5001,J339)&gt;1,"Possible Duplicate Booking","Unique")</f>
        <v>Unique</v>
      </c>
      <c r="W339" s="9" t="str">
        <f aca="false">IF((H339-G339)&lt;&gt;K339,"Mismatch","OK")</f>
        <v>OK</v>
      </c>
      <c r="X339" s="9" t="str">
        <f aca="false">IF(TEXT(H339,"dddd")&lt;&gt;I339,"Mismatch","OK")</f>
        <v>OK</v>
      </c>
      <c r="Y339" s="9" t="str">
        <f aca="false">IF(AND(N339="No",O339&lt;&gt;""),"Unexpected: channel present but no reminder sent",IF(AND(N339="Yes",O339=""),"Missing channel for sent reminder","OK"))</f>
        <v>OK</v>
      </c>
    </row>
    <row r="340" customFormat="false" ht="15" hidden="false" customHeight="false" outlineLevel="0" collapsed="false">
      <c r="A340" s="7" t="s">
        <v>723</v>
      </c>
      <c r="B340" s="7" t="s">
        <v>724</v>
      </c>
      <c r="C340" s="7" t="s">
        <v>37</v>
      </c>
      <c r="D340" s="7" t="n">
        <v>73</v>
      </c>
      <c r="E340" s="7" t="s">
        <v>70</v>
      </c>
      <c r="F340" s="7" t="s">
        <v>49</v>
      </c>
      <c r="G340" s="8" t="n">
        <v>45745</v>
      </c>
      <c r="H340" s="8" t="n">
        <v>45768</v>
      </c>
      <c r="I340" s="7" t="s">
        <v>66</v>
      </c>
      <c r="J340" s="7" t="s">
        <v>41</v>
      </c>
      <c r="K340" s="7" t="n">
        <v>23</v>
      </c>
      <c r="L340" s="7" t="n">
        <v>5</v>
      </c>
      <c r="M340" s="7" t="n">
        <v>4</v>
      </c>
      <c r="N340" s="7" t="s">
        <v>42</v>
      </c>
      <c r="O340" s="7" t="s">
        <v>52</v>
      </c>
      <c r="P340" s="7" t="n">
        <v>5.6</v>
      </c>
      <c r="Q340" s="7" t="n">
        <v>36</v>
      </c>
      <c r="R340" s="7" t="s">
        <v>53</v>
      </c>
      <c r="S340" s="7"/>
      <c r="T340" s="7"/>
      <c r="U340" s="7" t="str">
        <f aca="false">IF(COUNTIF($A$2:$A$5001,A340)&gt;1,"Duplicate","Unique")</f>
        <v>Unique</v>
      </c>
      <c r="V340" s="7" t="str">
        <f aca="false">IF(COUNTIFS($B$2:$B$5001,B340,$H$2:$H$5001,H340,$J$2:$J$5001,J340)&gt;1,"Possible Duplicate Booking","Unique")</f>
        <v>Unique</v>
      </c>
      <c r="W340" s="7" t="str">
        <f aca="false">IF((H340-G340)&lt;&gt;K340,"Mismatch","OK")</f>
        <v>OK</v>
      </c>
      <c r="X340" s="7" t="str">
        <f aca="false">IF(TEXT(H340,"dddd")&lt;&gt;I340,"Mismatch","OK")</f>
        <v>OK</v>
      </c>
      <c r="Y340" s="7" t="str">
        <f aca="false">IF(AND(N340="No",O340&lt;&gt;""),"Unexpected: channel present but no reminder sent",IF(AND(N340="Yes",O340=""),"Missing channel for sent reminder","OK"))</f>
        <v>OK</v>
      </c>
    </row>
    <row r="341" customFormat="false" ht="15" hidden="false" customHeight="false" outlineLevel="0" collapsed="false">
      <c r="A341" s="9" t="s">
        <v>725</v>
      </c>
      <c r="B341" s="9" t="s">
        <v>726</v>
      </c>
      <c r="C341" s="9" t="s">
        <v>47</v>
      </c>
      <c r="D341" s="9" t="n">
        <v>38</v>
      </c>
      <c r="E341" s="9" t="s">
        <v>38</v>
      </c>
      <c r="F341" s="9" t="s">
        <v>57</v>
      </c>
      <c r="G341" s="10" t="n">
        <v>46150</v>
      </c>
      <c r="H341" s="10" t="n">
        <v>46178</v>
      </c>
      <c r="I341" s="9" t="s">
        <v>50</v>
      </c>
      <c r="J341" s="9" t="s">
        <v>63</v>
      </c>
      <c r="K341" s="9" t="n">
        <v>28</v>
      </c>
      <c r="L341" s="9" t="n">
        <v>2</v>
      </c>
      <c r="M341" s="9" t="n">
        <v>0</v>
      </c>
      <c r="N341" s="9" t="s">
        <v>71</v>
      </c>
      <c r="O341" s="9"/>
      <c r="P341" s="9" t="n">
        <v>20.2</v>
      </c>
      <c r="Q341" s="9" t="n">
        <v>21</v>
      </c>
      <c r="R341" s="9" t="s">
        <v>53</v>
      </c>
      <c r="S341" s="9"/>
      <c r="T341" s="9"/>
      <c r="U341" s="9" t="str">
        <f aca="false">IF(COUNTIF($A$2:$A$5001,A341)&gt;1,"Duplicate","Unique")</f>
        <v>Unique</v>
      </c>
      <c r="V341" s="9" t="str">
        <f aca="false">IF(COUNTIFS($B$2:$B$5001,B341,$H$2:$H$5001,H341,$J$2:$J$5001,J341)&gt;1,"Possible Duplicate Booking","Unique")</f>
        <v>Unique</v>
      </c>
      <c r="W341" s="9" t="str">
        <f aca="false">IF((H341-G341)&lt;&gt;K341,"Mismatch","OK")</f>
        <v>OK</v>
      </c>
      <c r="X341" s="9" t="str">
        <f aca="false">IF(TEXT(H341,"dddd")&lt;&gt;I341,"Mismatch","OK")</f>
        <v>OK</v>
      </c>
      <c r="Y341" s="9" t="str">
        <f aca="false">IF(AND(N341="No",O341&lt;&gt;""),"Unexpected: channel present but no reminder sent",IF(AND(N341="Yes",O341=""),"Missing channel for sent reminder","OK"))</f>
        <v>OK</v>
      </c>
    </row>
    <row r="342" customFormat="false" ht="15" hidden="false" customHeight="false" outlineLevel="0" collapsed="false">
      <c r="A342" s="7" t="s">
        <v>727</v>
      </c>
      <c r="B342" s="7" t="s">
        <v>728</v>
      </c>
      <c r="C342" s="7" t="s">
        <v>37</v>
      </c>
      <c r="D342" s="7" t="n">
        <v>58</v>
      </c>
      <c r="E342" s="7" t="s">
        <v>61</v>
      </c>
      <c r="F342" s="7" t="s">
        <v>49</v>
      </c>
      <c r="G342" s="8" t="n">
        <v>45986</v>
      </c>
      <c r="H342" s="8" t="n">
        <v>46004</v>
      </c>
      <c r="I342" s="7" t="s">
        <v>102</v>
      </c>
      <c r="J342" s="7" t="s">
        <v>41</v>
      </c>
      <c r="K342" s="7" t="n">
        <v>18</v>
      </c>
      <c r="L342" s="7" t="n">
        <v>0</v>
      </c>
      <c r="M342" s="7" t="n">
        <v>0</v>
      </c>
      <c r="N342" s="7" t="s">
        <v>42</v>
      </c>
      <c r="O342" s="7" t="s">
        <v>43</v>
      </c>
      <c r="P342" s="7" t="n">
        <v>7.4</v>
      </c>
      <c r="Q342" s="7" t="n">
        <v>27</v>
      </c>
      <c r="R342" s="7" t="s">
        <v>44</v>
      </c>
      <c r="S342" s="7"/>
      <c r="T342" s="7"/>
      <c r="U342" s="7" t="str">
        <f aca="false">IF(COUNTIF($A$2:$A$5001,A342)&gt;1,"Duplicate","Unique")</f>
        <v>Unique</v>
      </c>
      <c r="V342" s="7" t="str">
        <f aca="false">IF(COUNTIFS($B$2:$B$5001,B342,$H$2:$H$5001,H342,$J$2:$J$5001,J342)&gt;1,"Possible Duplicate Booking","Unique")</f>
        <v>Unique</v>
      </c>
      <c r="W342" s="7" t="str">
        <f aca="false">IF((H342-G342)&lt;&gt;K342,"Mismatch","OK")</f>
        <v>OK</v>
      </c>
      <c r="X342" s="7" t="str">
        <f aca="false">IF(TEXT(H342,"dddd")&lt;&gt;I342,"Mismatch","OK")</f>
        <v>OK</v>
      </c>
      <c r="Y342" s="7" t="str">
        <f aca="false">IF(AND(N342="No",O342&lt;&gt;""),"Unexpected: channel present but no reminder sent",IF(AND(N342="Yes",O342=""),"Missing channel for sent reminder","OK"))</f>
        <v>OK</v>
      </c>
    </row>
    <row r="343" customFormat="false" ht="15" hidden="false" customHeight="false" outlineLevel="0" collapsed="false">
      <c r="A343" s="9" t="s">
        <v>729</v>
      </c>
      <c r="B343" s="9" t="s">
        <v>730</v>
      </c>
      <c r="C343" s="9" t="s">
        <v>37</v>
      </c>
      <c r="D343" s="9" t="n">
        <v>63</v>
      </c>
      <c r="E343" s="9" t="s">
        <v>61</v>
      </c>
      <c r="F343" s="9" t="s">
        <v>57</v>
      </c>
      <c r="G343" s="10" t="n">
        <v>45779</v>
      </c>
      <c r="H343" s="10" t="n">
        <v>45816</v>
      </c>
      <c r="I343" s="9" t="s">
        <v>75</v>
      </c>
      <c r="J343" s="9" t="s">
        <v>51</v>
      </c>
      <c r="K343" s="9" t="n">
        <v>37</v>
      </c>
      <c r="L343" s="9" t="n">
        <v>5</v>
      </c>
      <c r="M343" s="9" t="n">
        <v>2</v>
      </c>
      <c r="N343" s="9" t="s">
        <v>42</v>
      </c>
      <c r="O343" s="9" t="s">
        <v>43</v>
      </c>
      <c r="P343" s="9" t="n">
        <v>33.4</v>
      </c>
      <c r="Q343" s="9" t="n">
        <v>17</v>
      </c>
      <c r="R343" s="9" t="s">
        <v>44</v>
      </c>
      <c r="S343" s="9"/>
      <c r="T343" s="9"/>
      <c r="U343" s="9" t="str">
        <f aca="false">IF(COUNTIF($A$2:$A$5001,A343)&gt;1,"Duplicate","Unique")</f>
        <v>Unique</v>
      </c>
      <c r="V343" s="9" t="str">
        <f aca="false">IF(COUNTIFS($B$2:$B$5001,B343,$H$2:$H$5001,H343,$J$2:$J$5001,J343)&gt;1,"Possible Duplicate Booking","Unique")</f>
        <v>Unique</v>
      </c>
      <c r="W343" s="9" t="str">
        <f aca="false">IF((H343-G343)&lt;&gt;K343,"Mismatch","OK")</f>
        <v>OK</v>
      </c>
      <c r="X343" s="9" t="str">
        <f aca="false">IF(TEXT(H343,"dddd")&lt;&gt;I343,"Mismatch","OK")</f>
        <v>OK</v>
      </c>
      <c r="Y343" s="9" t="str">
        <f aca="false">IF(AND(N343="No",O343&lt;&gt;""),"Unexpected: channel present but no reminder sent",IF(AND(N343="Yes",O343=""),"Missing channel for sent reminder","OK"))</f>
        <v>OK</v>
      </c>
    </row>
    <row r="344" customFormat="false" ht="15" hidden="false" customHeight="false" outlineLevel="0" collapsed="false">
      <c r="A344" s="7" t="s">
        <v>731</v>
      </c>
      <c r="B344" s="7" t="s">
        <v>732</v>
      </c>
      <c r="C344" s="7" t="s">
        <v>47</v>
      </c>
      <c r="D344" s="7" t="n">
        <v>70</v>
      </c>
      <c r="E344" s="7" t="s">
        <v>70</v>
      </c>
      <c r="F344" s="7" t="s">
        <v>57</v>
      </c>
      <c r="G344" s="8" t="n">
        <v>45963</v>
      </c>
      <c r="H344" s="8" t="n">
        <v>45997</v>
      </c>
      <c r="I344" s="7" t="s">
        <v>102</v>
      </c>
      <c r="J344" s="7" t="s">
        <v>63</v>
      </c>
      <c r="K344" s="7" t="n">
        <v>34</v>
      </c>
      <c r="L344" s="7" t="n">
        <v>4</v>
      </c>
      <c r="M344" s="7" t="n">
        <v>2</v>
      </c>
      <c r="N344" s="7" t="s">
        <v>42</v>
      </c>
      <c r="O344" s="7" t="s">
        <v>52</v>
      </c>
      <c r="P344" s="7" t="n">
        <v>6</v>
      </c>
      <c r="Q344" s="7" t="n">
        <v>17</v>
      </c>
      <c r="R344" s="7" t="s">
        <v>87</v>
      </c>
      <c r="S344" s="7"/>
      <c r="T344" s="7"/>
      <c r="U344" s="7" t="str">
        <f aca="false">IF(COUNTIF($A$2:$A$5001,A344)&gt;1,"Duplicate","Unique")</f>
        <v>Unique</v>
      </c>
      <c r="V344" s="7" t="str">
        <f aca="false">IF(COUNTIFS($B$2:$B$5001,B344,$H$2:$H$5001,H344,$J$2:$J$5001,J344)&gt;1,"Possible Duplicate Booking","Unique")</f>
        <v>Unique</v>
      </c>
      <c r="W344" s="7" t="str">
        <f aca="false">IF((H344-G344)&lt;&gt;K344,"Mismatch","OK")</f>
        <v>OK</v>
      </c>
      <c r="X344" s="7" t="str">
        <f aca="false">IF(TEXT(H344,"dddd")&lt;&gt;I344,"Mismatch","OK")</f>
        <v>OK</v>
      </c>
      <c r="Y344" s="7" t="str">
        <f aca="false">IF(AND(N344="No",O344&lt;&gt;""),"Unexpected: channel present but no reminder sent",IF(AND(N344="Yes",O344=""),"Missing channel for sent reminder","OK"))</f>
        <v>OK</v>
      </c>
    </row>
    <row r="345" customFormat="false" ht="15" hidden="false" customHeight="false" outlineLevel="0" collapsed="false">
      <c r="A345" s="9" t="s">
        <v>733</v>
      </c>
      <c r="B345" s="9" t="s">
        <v>310</v>
      </c>
      <c r="C345" s="9" t="s">
        <v>47</v>
      </c>
      <c r="D345" s="9" t="n">
        <v>57</v>
      </c>
      <c r="E345" s="9" t="s">
        <v>61</v>
      </c>
      <c r="F345" s="9" t="s">
        <v>39</v>
      </c>
      <c r="G345" s="10" t="n">
        <v>45912</v>
      </c>
      <c r="H345" s="10" t="n">
        <v>45939</v>
      </c>
      <c r="I345" s="9" t="s">
        <v>62</v>
      </c>
      <c r="J345" s="9" t="s">
        <v>51</v>
      </c>
      <c r="K345" s="9" t="n">
        <v>27</v>
      </c>
      <c r="L345" s="9" t="n">
        <v>2</v>
      </c>
      <c r="M345" s="9" t="n">
        <v>0</v>
      </c>
      <c r="N345" s="9" t="s">
        <v>42</v>
      </c>
      <c r="O345" s="9" t="s">
        <v>43</v>
      </c>
      <c r="P345" s="9" t="n">
        <v>4.6</v>
      </c>
      <c r="Q345" s="9"/>
      <c r="R345" s="9" t="s">
        <v>53</v>
      </c>
      <c r="S345" s="9"/>
      <c r="T345" s="9"/>
      <c r="U345" s="9" t="str">
        <f aca="false">IF(COUNTIF($A$2:$A$5001,A345)&gt;1,"Duplicate","Unique")</f>
        <v>Unique</v>
      </c>
      <c r="V345" s="9" t="str">
        <f aca="false">IF(COUNTIFS($B$2:$B$5001,B345,$H$2:$H$5001,H345,$J$2:$J$5001,J345)&gt;1,"Possible Duplicate Booking","Unique")</f>
        <v>Unique</v>
      </c>
      <c r="W345" s="9" t="str">
        <f aca="false">IF((H345-G345)&lt;&gt;K345,"Mismatch","OK")</f>
        <v>OK</v>
      </c>
      <c r="X345" s="9" t="str">
        <f aca="false">IF(TEXT(H345,"dddd")&lt;&gt;I345,"Mismatch","OK")</f>
        <v>OK</v>
      </c>
      <c r="Y345" s="9" t="str">
        <f aca="false">IF(AND(N345="No",O345&lt;&gt;""),"Unexpected: channel present but no reminder sent",IF(AND(N345="Yes",O345=""),"Missing channel for sent reminder","OK"))</f>
        <v>OK</v>
      </c>
    </row>
    <row r="346" customFormat="false" ht="15" hidden="false" customHeight="false" outlineLevel="0" collapsed="false">
      <c r="A346" s="7" t="s">
        <v>734</v>
      </c>
      <c r="B346" s="7" t="s">
        <v>735</v>
      </c>
      <c r="C346" s="7" t="s">
        <v>47</v>
      </c>
      <c r="D346" s="7" t="n">
        <v>62</v>
      </c>
      <c r="E346" s="7" t="s">
        <v>61</v>
      </c>
      <c r="F346" s="7" t="s">
        <v>57</v>
      </c>
      <c r="G346" s="8" t="n">
        <v>46135</v>
      </c>
      <c r="H346" s="8" t="n">
        <v>46152</v>
      </c>
      <c r="I346" s="7" t="s">
        <v>75</v>
      </c>
      <c r="J346" s="7" t="s">
        <v>51</v>
      </c>
      <c r="K346" s="7" t="n">
        <v>17</v>
      </c>
      <c r="L346" s="7" t="n">
        <v>2</v>
      </c>
      <c r="M346" s="7" t="n">
        <v>1</v>
      </c>
      <c r="N346" s="7" t="s">
        <v>71</v>
      </c>
      <c r="O346" s="7"/>
      <c r="P346" s="7" t="n">
        <v>0.9</v>
      </c>
      <c r="Q346" s="7" t="n">
        <v>25</v>
      </c>
      <c r="R346" s="7" t="s">
        <v>87</v>
      </c>
      <c r="S346" s="7"/>
      <c r="T346" s="7"/>
      <c r="U346" s="7" t="str">
        <f aca="false">IF(COUNTIF($A$2:$A$5001,A346)&gt;1,"Duplicate","Unique")</f>
        <v>Unique</v>
      </c>
      <c r="V346" s="7" t="str">
        <f aca="false">IF(COUNTIFS($B$2:$B$5001,B346,$H$2:$H$5001,H346,$J$2:$J$5001,J346)&gt;1,"Possible Duplicate Booking","Unique")</f>
        <v>Unique</v>
      </c>
      <c r="W346" s="7" t="str">
        <f aca="false">IF((H346-G346)&lt;&gt;K346,"Mismatch","OK")</f>
        <v>OK</v>
      </c>
      <c r="X346" s="7" t="str">
        <f aca="false">IF(TEXT(H346,"dddd")&lt;&gt;I346,"Mismatch","OK")</f>
        <v>OK</v>
      </c>
      <c r="Y346" s="7" t="str">
        <f aca="false">IF(AND(N346="No",O346&lt;&gt;""),"Unexpected: channel present but no reminder sent",IF(AND(N346="Yes",O346=""),"Missing channel for sent reminder","OK"))</f>
        <v>OK</v>
      </c>
    </row>
    <row r="347" customFormat="false" ht="15" hidden="false" customHeight="false" outlineLevel="0" collapsed="false">
      <c r="A347" s="9" t="s">
        <v>736</v>
      </c>
      <c r="B347" s="9" t="s">
        <v>737</v>
      </c>
      <c r="C347" s="9" t="s">
        <v>37</v>
      </c>
      <c r="D347" s="9" t="n">
        <v>70</v>
      </c>
      <c r="E347" s="9" t="s">
        <v>70</v>
      </c>
      <c r="F347" s="9" t="s">
        <v>57</v>
      </c>
      <c r="G347" s="10" t="n">
        <v>45773</v>
      </c>
      <c r="H347" s="10" t="n">
        <v>45797</v>
      </c>
      <c r="I347" s="9" t="s">
        <v>40</v>
      </c>
      <c r="J347" s="9" t="s">
        <v>41</v>
      </c>
      <c r="K347" s="9" t="n">
        <v>24</v>
      </c>
      <c r="L347" s="9" t="n">
        <v>3</v>
      </c>
      <c r="M347" s="9" t="n">
        <v>0</v>
      </c>
      <c r="N347" s="9" t="s">
        <v>71</v>
      </c>
      <c r="O347" s="9"/>
      <c r="P347" s="9" t="n">
        <v>8.3</v>
      </c>
      <c r="Q347" s="9" t="n">
        <v>29</v>
      </c>
      <c r="R347" s="9" t="s">
        <v>44</v>
      </c>
      <c r="S347" s="9"/>
      <c r="T347" s="9"/>
      <c r="U347" s="9" t="str">
        <f aca="false">IF(COUNTIF($A$2:$A$5001,A347)&gt;1,"Duplicate","Unique")</f>
        <v>Unique</v>
      </c>
      <c r="V347" s="9" t="str">
        <f aca="false">IF(COUNTIFS($B$2:$B$5001,B347,$H$2:$H$5001,H347,$J$2:$J$5001,J347)&gt;1,"Possible Duplicate Booking","Unique")</f>
        <v>Unique</v>
      </c>
      <c r="W347" s="9" t="str">
        <f aca="false">IF((H347-G347)&lt;&gt;K347,"Mismatch","OK")</f>
        <v>OK</v>
      </c>
      <c r="X347" s="9" t="str">
        <f aca="false">IF(TEXT(H347,"dddd")&lt;&gt;I347,"Mismatch","OK")</f>
        <v>OK</v>
      </c>
      <c r="Y347" s="9" t="str">
        <f aca="false">IF(AND(N347="No",O347&lt;&gt;""),"Unexpected: channel present but no reminder sent",IF(AND(N347="Yes",O347=""),"Missing channel for sent reminder","OK"))</f>
        <v>OK</v>
      </c>
    </row>
    <row r="348" customFormat="false" ht="15" hidden="false" customHeight="false" outlineLevel="0" collapsed="false">
      <c r="A348" s="7" t="s">
        <v>738</v>
      </c>
      <c r="B348" s="7" t="s">
        <v>739</v>
      </c>
      <c r="C348" s="7" t="s">
        <v>47</v>
      </c>
      <c r="D348" s="7" t="n">
        <v>77</v>
      </c>
      <c r="E348" s="7" t="s">
        <v>70</v>
      </c>
      <c r="F348" s="7" t="s">
        <v>39</v>
      </c>
      <c r="G348" s="8" t="n">
        <v>46169</v>
      </c>
      <c r="H348" s="8" t="n">
        <v>46199</v>
      </c>
      <c r="I348" s="7" t="s">
        <v>50</v>
      </c>
      <c r="J348" s="7" t="s">
        <v>51</v>
      </c>
      <c r="K348" s="7" t="n">
        <v>30</v>
      </c>
      <c r="L348" s="7" t="n">
        <v>5</v>
      </c>
      <c r="M348" s="7" t="n">
        <v>1</v>
      </c>
      <c r="N348" s="7" t="s">
        <v>71</v>
      </c>
      <c r="O348" s="7"/>
      <c r="P348" s="7" t="n">
        <v>7.2</v>
      </c>
      <c r="Q348" s="7" t="n">
        <v>25</v>
      </c>
      <c r="R348" s="7" t="s">
        <v>53</v>
      </c>
      <c r="S348" s="7"/>
      <c r="T348" s="7"/>
      <c r="U348" s="7" t="str">
        <f aca="false">IF(COUNTIF($A$2:$A$5001,A348)&gt;1,"Duplicate","Unique")</f>
        <v>Unique</v>
      </c>
      <c r="V348" s="7" t="str">
        <f aca="false">IF(COUNTIFS($B$2:$B$5001,B348,$H$2:$H$5001,H348,$J$2:$J$5001,J348)&gt;1,"Possible Duplicate Booking","Unique")</f>
        <v>Unique</v>
      </c>
      <c r="W348" s="7" t="str">
        <f aca="false">IF((H348-G348)&lt;&gt;K348,"Mismatch","OK")</f>
        <v>OK</v>
      </c>
      <c r="X348" s="7" t="str">
        <f aca="false">IF(TEXT(H348,"dddd")&lt;&gt;I348,"Mismatch","OK")</f>
        <v>OK</v>
      </c>
      <c r="Y348" s="7" t="str">
        <f aca="false">IF(AND(N348="No",O348&lt;&gt;""),"Unexpected: channel present but no reminder sent",IF(AND(N348="Yes",O348=""),"Missing channel for sent reminder","OK"))</f>
        <v>OK</v>
      </c>
    </row>
    <row r="349" customFormat="false" ht="15" hidden="false" customHeight="false" outlineLevel="0" collapsed="false">
      <c r="A349" s="9" t="s">
        <v>740</v>
      </c>
      <c r="B349" s="9" t="s">
        <v>741</v>
      </c>
      <c r="C349" s="9" t="s">
        <v>37</v>
      </c>
      <c r="D349" s="9" t="n">
        <v>20</v>
      </c>
      <c r="E349" s="9" t="s">
        <v>82</v>
      </c>
      <c r="F349" s="9" t="s">
        <v>57</v>
      </c>
      <c r="G349" s="10" t="n">
        <v>46141</v>
      </c>
      <c r="H349" s="10" t="n">
        <v>46169</v>
      </c>
      <c r="I349" s="9" t="s">
        <v>58</v>
      </c>
      <c r="J349" s="9" t="s">
        <v>41</v>
      </c>
      <c r="K349" s="9" t="n">
        <v>28</v>
      </c>
      <c r="L349" s="9" t="n">
        <v>6</v>
      </c>
      <c r="M349" s="9" t="n">
        <v>1</v>
      </c>
      <c r="N349" s="9" t="s">
        <v>42</v>
      </c>
      <c r="O349" s="9" t="s">
        <v>52</v>
      </c>
      <c r="P349" s="9" t="n">
        <v>22</v>
      </c>
      <c r="Q349" s="9" t="n">
        <v>21</v>
      </c>
      <c r="R349" s="9" t="s">
        <v>44</v>
      </c>
      <c r="S349" s="9"/>
      <c r="T349" s="9"/>
      <c r="U349" s="9" t="str">
        <f aca="false">IF(COUNTIF($A$2:$A$5001,A349)&gt;1,"Duplicate","Unique")</f>
        <v>Unique</v>
      </c>
      <c r="V349" s="9" t="str">
        <f aca="false">IF(COUNTIFS($B$2:$B$5001,B349,$H$2:$H$5001,H349,$J$2:$J$5001,J349)&gt;1,"Possible Duplicate Booking","Unique")</f>
        <v>Unique</v>
      </c>
      <c r="W349" s="9" t="str">
        <f aca="false">IF((H349-G349)&lt;&gt;K349,"Mismatch","OK")</f>
        <v>OK</v>
      </c>
      <c r="X349" s="9" t="str">
        <f aca="false">IF(TEXT(H349,"dddd")&lt;&gt;I349,"Mismatch","OK")</f>
        <v>OK</v>
      </c>
      <c r="Y349" s="9" t="str">
        <f aca="false">IF(AND(N349="No",O349&lt;&gt;""),"Unexpected: channel present but no reminder sent",IF(AND(N349="Yes",O349=""),"Missing channel for sent reminder","OK"))</f>
        <v>OK</v>
      </c>
    </row>
    <row r="350" customFormat="false" ht="15" hidden="false" customHeight="false" outlineLevel="0" collapsed="false">
      <c r="A350" s="7" t="s">
        <v>742</v>
      </c>
      <c r="B350" s="7" t="s">
        <v>743</v>
      </c>
      <c r="C350" s="7" t="s">
        <v>37</v>
      </c>
      <c r="D350" s="7" t="n">
        <v>64</v>
      </c>
      <c r="E350" s="7" t="s">
        <v>61</v>
      </c>
      <c r="F350" s="7" t="s">
        <v>57</v>
      </c>
      <c r="G350" s="8" t="n">
        <v>45738</v>
      </c>
      <c r="H350" s="8" t="n">
        <v>45756</v>
      </c>
      <c r="I350" s="7" t="s">
        <v>58</v>
      </c>
      <c r="J350" s="7" t="s">
        <v>51</v>
      </c>
      <c r="K350" s="7" t="n">
        <v>18</v>
      </c>
      <c r="L350" s="7" t="n">
        <v>5</v>
      </c>
      <c r="M350" s="7" t="n">
        <v>0</v>
      </c>
      <c r="N350" s="7" t="s">
        <v>71</v>
      </c>
      <c r="O350" s="7"/>
      <c r="P350" s="7" t="n">
        <v>15.5</v>
      </c>
      <c r="Q350" s="7" t="n">
        <v>34</v>
      </c>
      <c r="R350" s="7" t="s">
        <v>44</v>
      </c>
      <c r="S350" s="7"/>
      <c r="T350" s="7"/>
      <c r="U350" s="7" t="str">
        <f aca="false">IF(COUNTIF($A$2:$A$5001,A350)&gt;1,"Duplicate","Unique")</f>
        <v>Unique</v>
      </c>
      <c r="V350" s="7" t="str">
        <f aca="false">IF(COUNTIFS($B$2:$B$5001,B350,$H$2:$H$5001,H350,$J$2:$J$5001,J350)&gt;1,"Possible Duplicate Booking","Unique")</f>
        <v>Unique</v>
      </c>
      <c r="W350" s="7" t="str">
        <f aca="false">IF((H350-G350)&lt;&gt;K350,"Mismatch","OK")</f>
        <v>OK</v>
      </c>
      <c r="X350" s="7" t="str">
        <f aca="false">IF(TEXT(H350,"dddd")&lt;&gt;I350,"Mismatch","OK")</f>
        <v>OK</v>
      </c>
      <c r="Y350" s="7" t="str">
        <f aca="false">IF(AND(N350="No",O350&lt;&gt;""),"Unexpected: channel present but no reminder sent",IF(AND(N350="Yes",O350=""),"Missing channel for sent reminder","OK"))</f>
        <v>OK</v>
      </c>
    </row>
    <row r="351" customFormat="false" ht="15" hidden="false" customHeight="false" outlineLevel="0" collapsed="false">
      <c r="A351" s="9" t="s">
        <v>744</v>
      </c>
      <c r="B351" s="9" t="s">
        <v>745</v>
      </c>
      <c r="C351" s="9" t="s">
        <v>47</v>
      </c>
      <c r="D351" s="9" t="n">
        <v>28</v>
      </c>
      <c r="E351" s="9" t="s">
        <v>48</v>
      </c>
      <c r="F351" s="9" t="s">
        <v>49</v>
      </c>
      <c r="G351" s="10" t="n">
        <v>45712</v>
      </c>
      <c r="H351" s="10" t="n">
        <v>45747</v>
      </c>
      <c r="I351" s="9" t="s">
        <v>66</v>
      </c>
      <c r="J351" s="9" t="s">
        <v>41</v>
      </c>
      <c r="K351" s="9" t="n">
        <v>35</v>
      </c>
      <c r="L351" s="9" t="n">
        <v>7</v>
      </c>
      <c r="M351" s="9" t="n">
        <v>1</v>
      </c>
      <c r="N351" s="9" t="s">
        <v>42</v>
      </c>
      <c r="O351" s="9" t="s">
        <v>67</v>
      </c>
      <c r="P351" s="9" t="n">
        <v>19.6</v>
      </c>
      <c r="Q351" s="9" t="n">
        <v>17</v>
      </c>
      <c r="R351" s="9" t="s">
        <v>53</v>
      </c>
      <c r="S351" s="9"/>
      <c r="T351" s="9"/>
      <c r="U351" s="9" t="str">
        <f aca="false">IF(COUNTIF($A$2:$A$5001,A351)&gt;1,"Duplicate","Unique")</f>
        <v>Unique</v>
      </c>
      <c r="V351" s="9" t="str">
        <f aca="false">IF(COUNTIFS($B$2:$B$5001,B351,$H$2:$H$5001,H351,$J$2:$J$5001,J351)&gt;1,"Possible Duplicate Booking","Unique")</f>
        <v>Unique</v>
      </c>
      <c r="W351" s="9" t="str">
        <f aca="false">IF((H351-G351)&lt;&gt;K351,"Mismatch","OK")</f>
        <v>OK</v>
      </c>
      <c r="X351" s="9" t="str">
        <f aca="false">IF(TEXT(H351,"dddd")&lt;&gt;I351,"Mismatch","OK")</f>
        <v>OK</v>
      </c>
      <c r="Y351" s="9" t="str">
        <f aca="false">IF(AND(N351="No",O351&lt;&gt;""),"Unexpected: channel present but no reminder sent",IF(AND(N351="Yes",O351=""),"Missing channel for sent reminder","OK"))</f>
        <v>OK</v>
      </c>
    </row>
    <row r="352" customFormat="false" ht="15" hidden="false" customHeight="false" outlineLevel="0" collapsed="false">
      <c r="A352" s="7" t="s">
        <v>746</v>
      </c>
      <c r="B352" s="7" t="s">
        <v>747</v>
      </c>
      <c r="C352" s="7" t="s">
        <v>37</v>
      </c>
      <c r="D352" s="7" t="n">
        <v>74</v>
      </c>
      <c r="E352" s="7" t="s">
        <v>70</v>
      </c>
      <c r="F352" s="7" t="s">
        <v>39</v>
      </c>
      <c r="G352" s="8" t="n">
        <v>45936</v>
      </c>
      <c r="H352" s="8" t="n">
        <v>45949</v>
      </c>
      <c r="I352" s="7" t="s">
        <v>75</v>
      </c>
      <c r="J352" s="7" t="s">
        <v>41</v>
      </c>
      <c r="K352" s="7" t="n">
        <v>13</v>
      </c>
      <c r="L352" s="7" t="n">
        <v>2</v>
      </c>
      <c r="M352" s="7" t="n">
        <v>0</v>
      </c>
      <c r="N352" s="7" t="s">
        <v>71</v>
      </c>
      <c r="O352" s="7"/>
      <c r="P352" s="7" t="n">
        <v>16.9</v>
      </c>
      <c r="Q352" s="7" t="n">
        <v>27</v>
      </c>
      <c r="R352" s="7" t="s">
        <v>53</v>
      </c>
      <c r="S352" s="7"/>
      <c r="T352" s="7"/>
      <c r="U352" s="7" t="str">
        <f aca="false">IF(COUNTIF($A$2:$A$5001,A352)&gt;1,"Duplicate","Unique")</f>
        <v>Unique</v>
      </c>
      <c r="V352" s="7" t="str">
        <f aca="false">IF(COUNTIFS($B$2:$B$5001,B352,$H$2:$H$5001,H352,$J$2:$J$5001,J352)&gt;1,"Possible Duplicate Booking","Unique")</f>
        <v>Unique</v>
      </c>
      <c r="W352" s="7" t="str">
        <f aca="false">IF((H352-G352)&lt;&gt;K352,"Mismatch","OK")</f>
        <v>OK</v>
      </c>
      <c r="X352" s="7" t="str">
        <f aca="false">IF(TEXT(H352,"dddd")&lt;&gt;I352,"Mismatch","OK")</f>
        <v>OK</v>
      </c>
      <c r="Y352" s="7" t="str">
        <f aca="false">IF(AND(N352="No",O352&lt;&gt;""),"Unexpected: channel present but no reminder sent",IF(AND(N352="Yes",O352=""),"Missing channel for sent reminder","OK"))</f>
        <v>OK</v>
      </c>
    </row>
    <row r="353" customFormat="false" ht="15" hidden="false" customHeight="false" outlineLevel="0" collapsed="false">
      <c r="A353" s="9" t="s">
        <v>748</v>
      </c>
      <c r="B353" s="9" t="s">
        <v>749</v>
      </c>
      <c r="C353" s="9" t="s">
        <v>47</v>
      </c>
      <c r="D353" s="9" t="n">
        <v>21</v>
      </c>
      <c r="E353" s="9" t="s">
        <v>82</v>
      </c>
      <c r="F353" s="9" t="s">
        <v>49</v>
      </c>
      <c r="G353" s="10" t="n">
        <v>45652</v>
      </c>
      <c r="H353" s="10" t="n">
        <v>45682</v>
      </c>
      <c r="I353" s="9" t="s">
        <v>102</v>
      </c>
      <c r="J353" s="9" t="s">
        <v>63</v>
      </c>
      <c r="K353" s="9" t="n">
        <v>30</v>
      </c>
      <c r="L353" s="9" t="n">
        <v>4</v>
      </c>
      <c r="M353" s="9" t="n">
        <v>0</v>
      </c>
      <c r="N353" s="9" t="s">
        <v>42</v>
      </c>
      <c r="O353" s="9" t="s">
        <v>52</v>
      </c>
      <c r="P353" s="9" t="n">
        <v>8.5</v>
      </c>
      <c r="Q353" s="9" t="n">
        <v>37</v>
      </c>
      <c r="R353" s="9" t="s">
        <v>44</v>
      </c>
      <c r="S353" s="9"/>
      <c r="T353" s="9"/>
      <c r="U353" s="9" t="str">
        <f aca="false">IF(COUNTIF($A$2:$A$5001,A353)&gt;1,"Duplicate","Unique")</f>
        <v>Unique</v>
      </c>
      <c r="V353" s="9" t="str">
        <f aca="false">IF(COUNTIFS($B$2:$B$5001,B353,$H$2:$H$5001,H353,$J$2:$J$5001,J353)&gt;1,"Possible Duplicate Booking","Unique")</f>
        <v>Unique</v>
      </c>
      <c r="W353" s="9" t="str">
        <f aca="false">IF((H353-G353)&lt;&gt;K353,"Mismatch","OK")</f>
        <v>OK</v>
      </c>
      <c r="X353" s="9" t="str">
        <f aca="false">IF(TEXT(H353,"dddd")&lt;&gt;I353,"Mismatch","OK")</f>
        <v>OK</v>
      </c>
      <c r="Y353" s="9" t="str">
        <f aca="false">IF(AND(N353="No",O353&lt;&gt;""),"Unexpected: channel present but no reminder sent",IF(AND(N353="Yes",O353=""),"Missing channel for sent reminder","OK"))</f>
        <v>OK</v>
      </c>
    </row>
    <row r="354" customFormat="false" ht="15" hidden="false" customHeight="false" outlineLevel="0" collapsed="false">
      <c r="A354" s="7" t="s">
        <v>750</v>
      </c>
      <c r="B354" s="7" t="s">
        <v>751</v>
      </c>
      <c r="C354" s="7" t="s">
        <v>37</v>
      </c>
      <c r="D354" s="7" t="n">
        <v>33</v>
      </c>
      <c r="E354" s="7" t="s">
        <v>48</v>
      </c>
      <c r="F354" s="7" t="s">
        <v>39</v>
      </c>
      <c r="G354" s="8" t="n">
        <v>45814</v>
      </c>
      <c r="H354" s="8" t="n">
        <v>45821</v>
      </c>
      <c r="I354" s="7" t="s">
        <v>50</v>
      </c>
      <c r="J354" s="7" t="s">
        <v>51</v>
      </c>
      <c r="K354" s="7" t="n">
        <v>7</v>
      </c>
      <c r="L354" s="7" t="n">
        <v>2</v>
      </c>
      <c r="M354" s="7" t="n">
        <v>0</v>
      </c>
      <c r="N354" s="7" t="s">
        <v>42</v>
      </c>
      <c r="O354" s="7" t="s">
        <v>43</v>
      </c>
      <c r="P354" s="7" t="n">
        <v>45</v>
      </c>
      <c r="Q354" s="7" t="n">
        <v>32</v>
      </c>
      <c r="R354" s="7" t="s">
        <v>53</v>
      </c>
      <c r="S354" s="7"/>
      <c r="T354" s="7"/>
      <c r="U354" s="7" t="str">
        <f aca="false">IF(COUNTIF($A$2:$A$5001,A354)&gt;1,"Duplicate","Unique")</f>
        <v>Unique</v>
      </c>
      <c r="V354" s="7" t="str">
        <f aca="false">IF(COUNTIFS($B$2:$B$5001,B354,$H$2:$H$5001,H354,$J$2:$J$5001,J354)&gt;1,"Possible Duplicate Booking","Unique")</f>
        <v>Unique</v>
      </c>
      <c r="W354" s="7" t="str">
        <f aca="false">IF((H354-G354)&lt;&gt;K354,"Mismatch","OK")</f>
        <v>OK</v>
      </c>
      <c r="X354" s="7" t="str">
        <f aca="false">IF(TEXT(H354,"dddd")&lt;&gt;I354,"Mismatch","OK")</f>
        <v>OK</v>
      </c>
      <c r="Y354" s="7" t="str">
        <f aca="false">IF(AND(N354="No",O354&lt;&gt;""),"Unexpected: channel present but no reminder sent",IF(AND(N354="Yes",O354=""),"Missing channel for sent reminder","OK"))</f>
        <v>OK</v>
      </c>
    </row>
    <row r="355" customFormat="false" ht="15" hidden="false" customHeight="false" outlineLevel="0" collapsed="false">
      <c r="A355" s="9" t="s">
        <v>752</v>
      </c>
      <c r="B355" s="9" t="s">
        <v>753</v>
      </c>
      <c r="C355" s="9" t="s">
        <v>37</v>
      </c>
      <c r="D355" s="9" t="n">
        <v>30</v>
      </c>
      <c r="E355" s="9" t="s">
        <v>48</v>
      </c>
      <c r="F355" s="9" t="s">
        <v>39</v>
      </c>
      <c r="G355" s="10" t="n">
        <v>45867</v>
      </c>
      <c r="H355" s="10" t="n">
        <v>45895</v>
      </c>
      <c r="I355" s="9" t="s">
        <v>40</v>
      </c>
      <c r="J355" s="9" t="s">
        <v>51</v>
      </c>
      <c r="K355" s="9" t="n">
        <v>28</v>
      </c>
      <c r="L355" s="9" t="n">
        <v>5</v>
      </c>
      <c r="M355" s="9" t="n">
        <v>3</v>
      </c>
      <c r="N355" s="9" t="s">
        <v>42</v>
      </c>
      <c r="O355" s="9" t="s">
        <v>67</v>
      </c>
      <c r="P355" s="9" t="n">
        <v>8</v>
      </c>
      <c r="Q355" s="9" t="n">
        <v>24</v>
      </c>
      <c r="R355" s="9" t="s">
        <v>53</v>
      </c>
      <c r="S355" s="9"/>
      <c r="T355" s="9"/>
      <c r="U355" s="9" t="str">
        <f aca="false">IF(COUNTIF($A$2:$A$5001,A355)&gt;1,"Duplicate","Unique")</f>
        <v>Unique</v>
      </c>
      <c r="V355" s="9" t="str">
        <f aca="false">IF(COUNTIFS($B$2:$B$5001,B355,$H$2:$H$5001,H355,$J$2:$J$5001,J355)&gt;1,"Possible Duplicate Booking","Unique")</f>
        <v>Unique</v>
      </c>
      <c r="W355" s="9" t="str">
        <f aca="false">IF((H355-G355)&lt;&gt;K355,"Mismatch","OK")</f>
        <v>OK</v>
      </c>
      <c r="X355" s="9" t="str">
        <f aca="false">IF(TEXT(H355,"dddd")&lt;&gt;I355,"Mismatch","OK")</f>
        <v>OK</v>
      </c>
      <c r="Y355" s="9" t="str">
        <f aca="false">IF(AND(N355="No",O355&lt;&gt;""),"Unexpected: channel present but no reminder sent",IF(AND(N355="Yes",O355=""),"Missing channel for sent reminder","OK"))</f>
        <v>OK</v>
      </c>
    </row>
    <row r="356" customFormat="false" ht="15" hidden="false" customHeight="false" outlineLevel="0" collapsed="false">
      <c r="A356" s="7" t="s">
        <v>754</v>
      </c>
      <c r="B356" s="7" t="s">
        <v>755</v>
      </c>
      <c r="C356" s="7" t="s">
        <v>47</v>
      </c>
      <c r="D356" s="7" t="n">
        <v>56</v>
      </c>
      <c r="E356" s="7" t="s">
        <v>61</v>
      </c>
      <c r="F356" s="7" t="s">
        <v>57</v>
      </c>
      <c r="G356" s="8" t="n">
        <v>46140</v>
      </c>
      <c r="H356" s="8" t="n">
        <v>46187</v>
      </c>
      <c r="I356" s="7" t="s">
        <v>75</v>
      </c>
      <c r="J356" s="7" t="s">
        <v>63</v>
      </c>
      <c r="K356" s="7" t="n">
        <v>47</v>
      </c>
      <c r="L356" s="7" t="n">
        <v>1</v>
      </c>
      <c r="M356" s="7" t="n">
        <v>0</v>
      </c>
      <c r="N356" s="7" t="s">
        <v>42</v>
      </c>
      <c r="O356" s="7" t="s">
        <v>43</v>
      </c>
      <c r="P356" s="7" t="n">
        <v>11.4</v>
      </c>
      <c r="Q356" s="7" t="n">
        <v>4</v>
      </c>
      <c r="R356" s="7" t="s">
        <v>53</v>
      </c>
      <c r="S356" s="7"/>
      <c r="T356" s="7"/>
      <c r="U356" s="7" t="str">
        <f aca="false">IF(COUNTIF($A$2:$A$5001,A356)&gt;1,"Duplicate","Unique")</f>
        <v>Unique</v>
      </c>
      <c r="V356" s="7" t="str">
        <f aca="false">IF(COUNTIFS($B$2:$B$5001,B356,$H$2:$H$5001,H356,$J$2:$J$5001,J356)&gt;1,"Possible Duplicate Booking","Unique")</f>
        <v>Unique</v>
      </c>
      <c r="W356" s="7" t="str">
        <f aca="false">IF((H356-G356)&lt;&gt;K356,"Mismatch","OK")</f>
        <v>OK</v>
      </c>
      <c r="X356" s="7" t="str">
        <f aca="false">IF(TEXT(H356,"dddd")&lt;&gt;I356,"Mismatch","OK")</f>
        <v>OK</v>
      </c>
      <c r="Y356" s="7" t="str">
        <f aca="false">IF(AND(N356="No",O356&lt;&gt;""),"Unexpected: channel present but no reminder sent",IF(AND(N356="Yes",O356=""),"Missing channel for sent reminder","OK"))</f>
        <v>OK</v>
      </c>
    </row>
    <row r="357" customFormat="false" ht="15" hidden="false" customHeight="false" outlineLevel="0" collapsed="false">
      <c r="A357" s="9" t="s">
        <v>756</v>
      </c>
      <c r="B357" s="9" t="s">
        <v>757</v>
      </c>
      <c r="C357" s="9" t="s">
        <v>37</v>
      </c>
      <c r="D357" s="9" t="n">
        <v>18</v>
      </c>
      <c r="E357" s="9" t="s">
        <v>82</v>
      </c>
      <c r="F357" s="9" t="s">
        <v>49</v>
      </c>
      <c r="G357" s="10" t="n">
        <v>46150</v>
      </c>
      <c r="H357" s="10" t="n">
        <v>46199</v>
      </c>
      <c r="I357" s="9" t="s">
        <v>50</v>
      </c>
      <c r="J357" s="9" t="s">
        <v>41</v>
      </c>
      <c r="K357" s="9" t="n">
        <v>49</v>
      </c>
      <c r="L357" s="9" t="n">
        <v>1</v>
      </c>
      <c r="M357" s="9" t="n">
        <v>0</v>
      </c>
      <c r="N357" s="9" t="s">
        <v>42</v>
      </c>
      <c r="O357" s="9" t="s">
        <v>52</v>
      </c>
      <c r="P357" s="9" t="n">
        <v>26.5</v>
      </c>
      <c r="Q357" s="9" t="n">
        <v>20</v>
      </c>
      <c r="R357" s="9" t="s">
        <v>44</v>
      </c>
      <c r="S357" s="9"/>
      <c r="T357" s="9"/>
      <c r="U357" s="9" t="str">
        <f aca="false">IF(COUNTIF($A$2:$A$5001,A357)&gt;1,"Duplicate","Unique")</f>
        <v>Unique</v>
      </c>
      <c r="V357" s="9" t="str">
        <f aca="false">IF(COUNTIFS($B$2:$B$5001,B357,$H$2:$H$5001,H357,$J$2:$J$5001,J357)&gt;1,"Possible Duplicate Booking","Unique")</f>
        <v>Unique</v>
      </c>
      <c r="W357" s="9" t="str">
        <f aca="false">IF((H357-G357)&lt;&gt;K357,"Mismatch","OK")</f>
        <v>OK</v>
      </c>
      <c r="X357" s="9" t="str">
        <f aca="false">IF(TEXT(H357,"dddd")&lt;&gt;I357,"Mismatch","OK")</f>
        <v>OK</v>
      </c>
      <c r="Y357" s="9" t="str">
        <f aca="false">IF(AND(N357="No",O357&lt;&gt;""),"Unexpected: channel present but no reminder sent",IF(AND(N357="Yes",O357=""),"Missing channel for sent reminder","OK"))</f>
        <v>OK</v>
      </c>
    </row>
    <row r="358" customFormat="false" ht="15" hidden="false" customHeight="false" outlineLevel="0" collapsed="false">
      <c r="A358" s="7" t="s">
        <v>758</v>
      </c>
      <c r="B358" s="7" t="s">
        <v>759</v>
      </c>
      <c r="C358" s="7" t="s">
        <v>47</v>
      </c>
      <c r="D358" s="7" t="n">
        <v>19</v>
      </c>
      <c r="E358" s="7" t="s">
        <v>82</v>
      </c>
      <c r="F358" s="7" t="s">
        <v>57</v>
      </c>
      <c r="G358" s="8" t="n">
        <v>45698</v>
      </c>
      <c r="H358" s="8" t="n">
        <v>45740</v>
      </c>
      <c r="I358" s="7" t="s">
        <v>66</v>
      </c>
      <c r="J358" s="7" t="s">
        <v>51</v>
      </c>
      <c r="K358" s="7" t="n">
        <v>42</v>
      </c>
      <c r="L358" s="7" t="n">
        <v>5</v>
      </c>
      <c r="M358" s="7" t="n">
        <v>0</v>
      </c>
      <c r="N358" s="7" t="s">
        <v>42</v>
      </c>
      <c r="O358" s="7" t="s">
        <v>43</v>
      </c>
      <c r="P358" s="7" t="n">
        <v>15.8</v>
      </c>
      <c r="Q358" s="7" t="n">
        <v>47</v>
      </c>
      <c r="R358" s="7" t="s">
        <v>44</v>
      </c>
      <c r="S358" s="7"/>
      <c r="T358" s="7"/>
      <c r="U358" s="7" t="str">
        <f aca="false">IF(COUNTIF($A$2:$A$5001,A358)&gt;1,"Duplicate","Unique")</f>
        <v>Unique</v>
      </c>
      <c r="V358" s="7" t="str">
        <f aca="false">IF(COUNTIFS($B$2:$B$5001,B358,$H$2:$H$5001,H358,$J$2:$J$5001,J358)&gt;1,"Possible Duplicate Booking","Unique")</f>
        <v>Unique</v>
      </c>
      <c r="W358" s="7" t="str">
        <f aca="false">IF((H358-G358)&lt;&gt;K358,"Mismatch","OK")</f>
        <v>OK</v>
      </c>
      <c r="X358" s="7" t="str">
        <f aca="false">IF(TEXT(H358,"dddd")&lt;&gt;I358,"Mismatch","OK")</f>
        <v>OK</v>
      </c>
      <c r="Y358" s="7" t="str">
        <f aca="false">IF(AND(N358="No",O358&lt;&gt;""),"Unexpected: channel present but no reminder sent",IF(AND(N358="Yes",O358=""),"Missing channel for sent reminder","OK"))</f>
        <v>OK</v>
      </c>
    </row>
    <row r="359" customFormat="false" ht="15" hidden="false" customHeight="false" outlineLevel="0" collapsed="false">
      <c r="A359" s="9" t="s">
        <v>760</v>
      </c>
      <c r="B359" s="9" t="s">
        <v>508</v>
      </c>
      <c r="C359" s="9" t="s">
        <v>47</v>
      </c>
      <c r="D359" s="9" t="n">
        <v>49</v>
      </c>
      <c r="E359" s="9" t="s">
        <v>56</v>
      </c>
      <c r="F359" s="9" t="s">
        <v>57</v>
      </c>
      <c r="G359" s="10" t="n">
        <v>46099</v>
      </c>
      <c r="H359" s="10" t="n">
        <v>46144</v>
      </c>
      <c r="I359" s="9" t="s">
        <v>102</v>
      </c>
      <c r="J359" s="9" t="s">
        <v>51</v>
      </c>
      <c r="K359" s="9" t="n">
        <v>45</v>
      </c>
      <c r="L359" s="9" t="n">
        <v>7</v>
      </c>
      <c r="M359" s="9" t="n">
        <v>5</v>
      </c>
      <c r="N359" s="9" t="s">
        <v>42</v>
      </c>
      <c r="O359" s="9" t="s">
        <v>52</v>
      </c>
      <c r="P359" s="9" t="n">
        <v>9.6</v>
      </c>
      <c r="Q359" s="9" t="n">
        <v>21</v>
      </c>
      <c r="R359" s="9" t="s">
        <v>44</v>
      </c>
      <c r="S359" s="9"/>
      <c r="T359" s="9"/>
      <c r="U359" s="9" t="str">
        <f aca="false">IF(COUNTIF($A$2:$A$5001,A359)&gt;1,"Duplicate","Unique")</f>
        <v>Unique</v>
      </c>
      <c r="V359" s="9" t="str">
        <f aca="false">IF(COUNTIFS($B$2:$B$5001,B359,$H$2:$H$5001,H359,$J$2:$J$5001,J359)&gt;1,"Possible Duplicate Booking","Unique")</f>
        <v>Unique</v>
      </c>
      <c r="W359" s="9" t="str">
        <f aca="false">IF((H359-G359)&lt;&gt;K359,"Mismatch","OK")</f>
        <v>OK</v>
      </c>
      <c r="X359" s="9" t="str">
        <f aca="false">IF(TEXT(H359,"dddd")&lt;&gt;I359,"Mismatch","OK")</f>
        <v>OK</v>
      </c>
      <c r="Y359" s="9" t="str">
        <f aca="false">IF(AND(N359="No",O359&lt;&gt;""),"Unexpected: channel present but no reminder sent",IF(AND(N359="Yes",O359=""),"Missing channel for sent reminder","OK"))</f>
        <v>OK</v>
      </c>
    </row>
    <row r="360" customFormat="false" ht="15" hidden="false" customHeight="false" outlineLevel="0" collapsed="false">
      <c r="A360" s="7" t="s">
        <v>761</v>
      </c>
      <c r="B360" s="7" t="s">
        <v>762</v>
      </c>
      <c r="C360" s="7" t="s">
        <v>37</v>
      </c>
      <c r="D360" s="7" t="n">
        <v>79</v>
      </c>
      <c r="E360" s="7" t="s">
        <v>70</v>
      </c>
      <c r="F360" s="7" t="s">
        <v>49</v>
      </c>
      <c r="G360" s="8" t="n">
        <v>45703</v>
      </c>
      <c r="H360" s="8" t="n">
        <v>45707</v>
      </c>
      <c r="I360" s="7" t="s">
        <v>58</v>
      </c>
      <c r="J360" s="7" t="s">
        <v>41</v>
      </c>
      <c r="K360" s="7" t="n">
        <v>4</v>
      </c>
      <c r="L360" s="7" t="n">
        <v>3</v>
      </c>
      <c r="M360" s="7" t="n">
        <v>0</v>
      </c>
      <c r="N360" s="7" t="s">
        <v>71</v>
      </c>
      <c r="O360" s="7"/>
      <c r="P360" s="7" t="n">
        <v>12.8</v>
      </c>
      <c r="Q360" s="7" t="n">
        <v>24</v>
      </c>
      <c r="R360" s="7" t="s">
        <v>53</v>
      </c>
      <c r="S360" s="7"/>
      <c r="T360" s="7"/>
      <c r="U360" s="7" t="str">
        <f aca="false">IF(COUNTIF($A$2:$A$5001,A360)&gt;1,"Duplicate","Unique")</f>
        <v>Unique</v>
      </c>
      <c r="V360" s="7" t="str">
        <f aca="false">IF(COUNTIFS($B$2:$B$5001,B360,$H$2:$H$5001,H360,$J$2:$J$5001,J360)&gt;1,"Possible Duplicate Booking","Unique")</f>
        <v>Unique</v>
      </c>
      <c r="W360" s="7" t="str">
        <f aca="false">IF((H360-G360)&lt;&gt;K360,"Mismatch","OK")</f>
        <v>OK</v>
      </c>
      <c r="X360" s="7" t="str">
        <f aca="false">IF(TEXT(H360,"dddd")&lt;&gt;I360,"Mismatch","OK")</f>
        <v>OK</v>
      </c>
      <c r="Y360" s="7" t="str">
        <f aca="false">IF(AND(N360="No",O360&lt;&gt;""),"Unexpected: channel present but no reminder sent",IF(AND(N360="Yes",O360=""),"Missing channel for sent reminder","OK"))</f>
        <v>OK</v>
      </c>
    </row>
    <row r="361" customFormat="false" ht="15" hidden="false" customHeight="false" outlineLevel="0" collapsed="false">
      <c r="A361" s="9" t="s">
        <v>763</v>
      </c>
      <c r="B361" s="9" t="s">
        <v>764</v>
      </c>
      <c r="C361" s="9" t="s">
        <v>47</v>
      </c>
      <c r="D361" s="9" t="n">
        <v>51</v>
      </c>
      <c r="E361" s="9" t="s">
        <v>56</v>
      </c>
      <c r="F361" s="9" t="s">
        <v>49</v>
      </c>
      <c r="G361" s="10" t="n">
        <v>46046</v>
      </c>
      <c r="H361" s="10" t="n">
        <v>46066</v>
      </c>
      <c r="I361" s="9" t="s">
        <v>50</v>
      </c>
      <c r="J361" s="9" t="s">
        <v>41</v>
      </c>
      <c r="K361" s="9" t="n">
        <v>20</v>
      </c>
      <c r="L361" s="9" t="n">
        <v>4</v>
      </c>
      <c r="M361" s="9" t="n">
        <v>0</v>
      </c>
      <c r="N361" s="9" t="s">
        <v>71</v>
      </c>
      <c r="O361" s="9"/>
      <c r="P361" s="9" t="n">
        <v>5.5</v>
      </c>
      <c r="Q361" s="9" t="n">
        <v>26</v>
      </c>
      <c r="R361" s="9" t="s">
        <v>44</v>
      </c>
      <c r="S361" s="9"/>
      <c r="T361" s="9"/>
      <c r="U361" s="9" t="str">
        <f aca="false">IF(COUNTIF($A$2:$A$5001,A361)&gt;1,"Duplicate","Unique")</f>
        <v>Unique</v>
      </c>
      <c r="V361" s="9" t="str">
        <f aca="false">IF(COUNTIFS($B$2:$B$5001,B361,$H$2:$H$5001,H361,$J$2:$J$5001,J361)&gt;1,"Possible Duplicate Booking","Unique")</f>
        <v>Unique</v>
      </c>
      <c r="W361" s="9" t="str">
        <f aca="false">IF((H361-G361)&lt;&gt;K361,"Mismatch","OK")</f>
        <v>OK</v>
      </c>
      <c r="X361" s="9" t="str">
        <f aca="false">IF(TEXT(H361,"dddd")&lt;&gt;I361,"Mismatch","OK")</f>
        <v>OK</v>
      </c>
      <c r="Y361" s="9" t="str">
        <f aca="false">IF(AND(N361="No",O361&lt;&gt;""),"Unexpected: channel present but no reminder sent",IF(AND(N361="Yes",O361=""),"Missing channel for sent reminder","OK"))</f>
        <v>OK</v>
      </c>
    </row>
    <row r="362" customFormat="false" ht="15" hidden="false" customHeight="false" outlineLevel="0" collapsed="false">
      <c r="A362" s="7" t="s">
        <v>765</v>
      </c>
      <c r="B362" s="7" t="s">
        <v>766</v>
      </c>
      <c r="C362" s="7" t="s">
        <v>47</v>
      </c>
      <c r="D362" s="7" t="n">
        <v>46</v>
      </c>
      <c r="E362" s="7" t="s">
        <v>56</v>
      </c>
      <c r="F362" s="7" t="s">
        <v>39</v>
      </c>
      <c r="G362" s="8" t="n">
        <v>46080</v>
      </c>
      <c r="H362" s="8" t="n">
        <v>46119</v>
      </c>
      <c r="I362" s="7" t="s">
        <v>40</v>
      </c>
      <c r="J362" s="7" t="s">
        <v>41</v>
      </c>
      <c r="K362" s="7" t="n">
        <v>39</v>
      </c>
      <c r="L362" s="7" t="n">
        <v>8</v>
      </c>
      <c r="M362" s="7" t="n">
        <v>2</v>
      </c>
      <c r="N362" s="7" t="s">
        <v>42</v>
      </c>
      <c r="O362" s="7" t="s">
        <v>52</v>
      </c>
      <c r="P362" s="7" t="n">
        <v>6.7</v>
      </c>
      <c r="Q362" s="7" t="n">
        <v>29</v>
      </c>
      <c r="R362" s="7" t="s">
        <v>53</v>
      </c>
      <c r="S362" s="7"/>
      <c r="T362" s="7"/>
      <c r="U362" s="7" t="str">
        <f aca="false">IF(COUNTIF($A$2:$A$5001,A362)&gt;1,"Duplicate","Unique")</f>
        <v>Unique</v>
      </c>
      <c r="V362" s="7" t="str">
        <f aca="false">IF(COUNTIFS($B$2:$B$5001,B362,$H$2:$H$5001,H362,$J$2:$J$5001,J362)&gt;1,"Possible Duplicate Booking","Unique")</f>
        <v>Unique</v>
      </c>
      <c r="W362" s="7" t="str">
        <f aca="false">IF((H362-G362)&lt;&gt;K362,"Mismatch","OK")</f>
        <v>OK</v>
      </c>
      <c r="X362" s="7" t="str">
        <f aca="false">IF(TEXT(H362,"dddd")&lt;&gt;I362,"Mismatch","OK")</f>
        <v>OK</v>
      </c>
      <c r="Y362" s="7" t="str">
        <f aca="false">IF(AND(N362="No",O362&lt;&gt;""),"Unexpected: channel present but no reminder sent",IF(AND(N362="Yes",O362=""),"Missing channel for sent reminder","OK"))</f>
        <v>OK</v>
      </c>
    </row>
    <row r="363" customFormat="false" ht="15" hidden="false" customHeight="false" outlineLevel="0" collapsed="false">
      <c r="A363" s="9" t="s">
        <v>767</v>
      </c>
      <c r="B363" s="9" t="s">
        <v>768</v>
      </c>
      <c r="C363" s="9" t="s">
        <v>47</v>
      </c>
      <c r="D363" s="9" t="n">
        <v>59</v>
      </c>
      <c r="E363" s="9" t="s">
        <v>61</v>
      </c>
      <c r="F363" s="9" t="s">
        <v>57</v>
      </c>
      <c r="G363" s="10" t="n">
        <v>46096</v>
      </c>
      <c r="H363" s="10" t="n">
        <v>46144</v>
      </c>
      <c r="I363" s="9" t="s">
        <v>102</v>
      </c>
      <c r="J363" s="9" t="s">
        <v>63</v>
      </c>
      <c r="K363" s="9" t="n">
        <v>48</v>
      </c>
      <c r="L363" s="9" t="n">
        <v>4</v>
      </c>
      <c r="M363" s="9" t="n">
        <v>0</v>
      </c>
      <c r="N363" s="9" t="s">
        <v>71</v>
      </c>
      <c r="O363" s="9"/>
      <c r="P363" s="9" t="n">
        <v>11.4</v>
      </c>
      <c r="Q363" s="9" t="n">
        <v>17</v>
      </c>
      <c r="R363" s="9" t="s">
        <v>44</v>
      </c>
      <c r="S363" s="9"/>
      <c r="T363" s="9"/>
      <c r="U363" s="9" t="str">
        <f aca="false">IF(COUNTIF($A$2:$A$5001,A363)&gt;1,"Duplicate","Unique")</f>
        <v>Unique</v>
      </c>
      <c r="V363" s="9" t="str">
        <f aca="false">IF(COUNTIFS($B$2:$B$5001,B363,$H$2:$H$5001,H363,$J$2:$J$5001,J363)&gt;1,"Possible Duplicate Booking","Unique")</f>
        <v>Unique</v>
      </c>
      <c r="W363" s="9" t="str">
        <f aca="false">IF((H363-G363)&lt;&gt;K363,"Mismatch","OK")</f>
        <v>OK</v>
      </c>
      <c r="X363" s="9" t="str">
        <f aca="false">IF(TEXT(H363,"dddd")&lt;&gt;I363,"Mismatch","OK")</f>
        <v>OK</v>
      </c>
      <c r="Y363" s="9" t="str">
        <f aca="false">IF(AND(N363="No",O363&lt;&gt;""),"Unexpected: channel present but no reminder sent",IF(AND(N363="Yes",O363=""),"Missing channel for sent reminder","OK"))</f>
        <v>OK</v>
      </c>
    </row>
    <row r="364" customFormat="false" ht="15" hidden="false" customHeight="false" outlineLevel="0" collapsed="false">
      <c r="A364" s="7" t="s">
        <v>769</v>
      </c>
      <c r="B364" s="7" t="s">
        <v>84</v>
      </c>
      <c r="C364" s="7" t="s">
        <v>37</v>
      </c>
      <c r="D364" s="7" t="n">
        <v>52</v>
      </c>
      <c r="E364" s="7" t="s">
        <v>56</v>
      </c>
      <c r="F364" s="7" t="s">
        <v>57</v>
      </c>
      <c r="G364" s="8" t="n">
        <v>45744</v>
      </c>
      <c r="H364" s="8" t="n">
        <v>45779</v>
      </c>
      <c r="I364" s="7" t="s">
        <v>50</v>
      </c>
      <c r="J364" s="7" t="s">
        <v>51</v>
      </c>
      <c r="K364" s="7" t="n">
        <v>35</v>
      </c>
      <c r="L364" s="7" t="n">
        <v>2</v>
      </c>
      <c r="M364" s="7" t="n">
        <v>0</v>
      </c>
      <c r="N364" s="7" t="s">
        <v>42</v>
      </c>
      <c r="O364" s="7" t="s">
        <v>52</v>
      </c>
      <c r="P364" s="7" t="n">
        <v>3.9</v>
      </c>
      <c r="Q364" s="7" t="n">
        <v>32</v>
      </c>
      <c r="R364" s="7" t="s">
        <v>44</v>
      </c>
      <c r="S364" s="7"/>
      <c r="T364" s="7"/>
      <c r="U364" s="7" t="str">
        <f aca="false">IF(COUNTIF($A$2:$A$5001,A364)&gt;1,"Duplicate","Unique")</f>
        <v>Unique</v>
      </c>
      <c r="V364" s="7" t="str">
        <f aca="false">IF(COUNTIFS($B$2:$B$5001,B364,$H$2:$H$5001,H364,$J$2:$J$5001,J364)&gt;1,"Possible Duplicate Booking","Unique")</f>
        <v>Unique</v>
      </c>
      <c r="W364" s="7" t="str">
        <f aca="false">IF((H364-G364)&lt;&gt;K364,"Mismatch","OK")</f>
        <v>OK</v>
      </c>
      <c r="X364" s="7" t="str">
        <f aca="false">IF(TEXT(H364,"dddd")&lt;&gt;I364,"Mismatch","OK")</f>
        <v>OK</v>
      </c>
      <c r="Y364" s="7" t="str">
        <f aca="false">IF(AND(N364="No",O364&lt;&gt;""),"Unexpected: channel present but no reminder sent",IF(AND(N364="Yes",O364=""),"Missing channel for sent reminder","OK"))</f>
        <v>OK</v>
      </c>
    </row>
    <row r="365" customFormat="false" ht="15" hidden="false" customHeight="false" outlineLevel="0" collapsed="false">
      <c r="A365" s="9" t="s">
        <v>770</v>
      </c>
      <c r="B365" s="9" t="s">
        <v>771</v>
      </c>
      <c r="C365" s="9" t="s">
        <v>47</v>
      </c>
      <c r="D365" s="9" t="n">
        <v>42</v>
      </c>
      <c r="E365" s="9" t="s">
        <v>38</v>
      </c>
      <c r="F365" s="9" t="s">
        <v>39</v>
      </c>
      <c r="G365" s="10" t="n">
        <v>46093</v>
      </c>
      <c r="H365" s="10" t="n">
        <v>46145</v>
      </c>
      <c r="I365" s="9" t="s">
        <v>75</v>
      </c>
      <c r="J365" s="9" t="s">
        <v>51</v>
      </c>
      <c r="K365" s="9" t="n">
        <v>52</v>
      </c>
      <c r="L365" s="9" t="n">
        <v>2</v>
      </c>
      <c r="M365" s="9" t="n">
        <v>0</v>
      </c>
      <c r="N365" s="9" t="s">
        <v>42</v>
      </c>
      <c r="O365" s="9" t="s">
        <v>43</v>
      </c>
      <c r="P365" s="9" t="n">
        <v>5.2</v>
      </c>
      <c r="Q365" s="9" t="n">
        <v>28</v>
      </c>
      <c r="R365" s="9" t="s">
        <v>44</v>
      </c>
      <c r="S365" s="9"/>
      <c r="T365" s="9"/>
      <c r="U365" s="9" t="str">
        <f aca="false">IF(COUNTIF($A$2:$A$5001,A365)&gt;1,"Duplicate","Unique")</f>
        <v>Unique</v>
      </c>
      <c r="V365" s="9" t="str">
        <f aca="false">IF(COUNTIFS($B$2:$B$5001,B365,$H$2:$H$5001,H365,$J$2:$J$5001,J365)&gt;1,"Possible Duplicate Booking","Unique")</f>
        <v>Unique</v>
      </c>
      <c r="W365" s="9" t="str">
        <f aca="false">IF((H365-G365)&lt;&gt;K365,"Mismatch","OK")</f>
        <v>OK</v>
      </c>
      <c r="X365" s="9" t="str">
        <f aca="false">IF(TEXT(H365,"dddd")&lt;&gt;I365,"Mismatch","OK")</f>
        <v>OK</v>
      </c>
      <c r="Y365" s="9" t="str">
        <f aca="false">IF(AND(N365="No",O365&lt;&gt;""),"Unexpected: channel present but no reminder sent",IF(AND(N365="Yes",O365=""),"Missing channel for sent reminder","OK"))</f>
        <v>OK</v>
      </c>
    </row>
    <row r="366" customFormat="false" ht="15" hidden="false" customHeight="false" outlineLevel="0" collapsed="false">
      <c r="A366" s="7" t="s">
        <v>772</v>
      </c>
      <c r="B366" s="7" t="s">
        <v>276</v>
      </c>
      <c r="C366" s="7" t="s">
        <v>47</v>
      </c>
      <c r="D366" s="7" t="n">
        <v>55</v>
      </c>
      <c r="E366" s="7" t="s">
        <v>61</v>
      </c>
      <c r="F366" s="7" t="s">
        <v>49</v>
      </c>
      <c r="G366" s="8" t="n">
        <v>45705</v>
      </c>
      <c r="H366" s="8" t="n">
        <v>45721</v>
      </c>
      <c r="I366" s="7" t="s">
        <v>58</v>
      </c>
      <c r="J366" s="7" t="s">
        <v>41</v>
      </c>
      <c r="K366" s="7" t="n">
        <v>16</v>
      </c>
      <c r="L366" s="7" t="n">
        <v>2</v>
      </c>
      <c r="M366" s="7" t="n">
        <v>0</v>
      </c>
      <c r="N366" s="7" t="s">
        <v>71</v>
      </c>
      <c r="O366" s="7"/>
      <c r="P366" s="7" t="n">
        <v>1.8</v>
      </c>
      <c r="Q366" s="7" t="n">
        <v>5</v>
      </c>
      <c r="R366" s="7" t="s">
        <v>53</v>
      </c>
      <c r="S366" s="7"/>
      <c r="T366" s="7"/>
      <c r="U366" s="7" t="str">
        <f aca="false">IF(COUNTIF($A$2:$A$5001,A366)&gt;1,"Duplicate","Unique")</f>
        <v>Unique</v>
      </c>
      <c r="V366" s="7" t="str">
        <f aca="false">IF(COUNTIFS($B$2:$B$5001,B366,$H$2:$H$5001,H366,$J$2:$J$5001,J366)&gt;1,"Possible Duplicate Booking","Unique")</f>
        <v>Unique</v>
      </c>
      <c r="W366" s="7" t="str">
        <f aca="false">IF((H366-G366)&lt;&gt;K366,"Mismatch","OK")</f>
        <v>OK</v>
      </c>
      <c r="X366" s="7" t="str">
        <f aca="false">IF(TEXT(H366,"dddd")&lt;&gt;I366,"Mismatch","OK")</f>
        <v>OK</v>
      </c>
      <c r="Y366" s="7" t="str">
        <f aca="false">IF(AND(N366="No",O366&lt;&gt;""),"Unexpected: channel present but no reminder sent",IF(AND(N366="Yes",O366=""),"Missing channel for sent reminder","OK"))</f>
        <v>OK</v>
      </c>
    </row>
    <row r="367" customFormat="false" ht="15" hidden="false" customHeight="false" outlineLevel="0" collapsed="false">
      <c r="A367" s="9" t="s">
        <v>773</v>
      </c>
      <c r="B367" s="9" t="s">
        <v>560</v>
      </c>
      <c r="C367" s="9" t="s">
        <v>47</v>
      </c>
      <c r="D367" s="9" t="n">
        <v>18</v>
      </c>
      <c r="E367" s="9" t="s">
        <v>82</v>
      </c>
      <c r="F367" s="9" t="s">
        <v>39</v>
      </c>
      <c r="G367" s="10" t="n">
        <v>45932</v>
      </c>
      <c r="H367" s="10" t="n">
        <v>45941</v>
      </c>
      <c r="I367" s="9" t="s">
        <v>102</v>
      </c>
      <c r="J367" s="9" t="s">
        <v>63</v>
      </c>
      <c r="K367" s="9" t="n">
        <v>9</v>
      </c>
      <c r="L367" s="9" t="n">
        <v>1</v>
      </c>
      <c r="M367" s="9" t="n">
        <v>0</v>
      </c>
      <c r="N367" s="9" t="s">
        <v>42</v>
      </c>
      <c r="O367" s="9" t="s">
        <v>52</v>
      </c>
      <c r="P367" s="9" t="n">
        <v>8.7</v>
      </c>
      <c r="Q367" s="9" t="n">
        <v>2</v>
      </c>
      <c r="R367" s="9" t="s">
        <v>53</v>
      </c>
      <c r="S367" s="9"/>
      <c r="T367" s="9"/>
      <c r="U367" s="9" t="str">
        <f aca="false">IF(COUNTIF($A$2:$A$5001,A367)&gt;1,"Duplicate","Unique")</f>
        <v>Unique</v>
      </c>
      <c r="V367" s="9" t="str">
        <f aca="false">IF(COUNTIFS($B$2:$B$5001,B367,$H$2:$H$5001,H367,$J$2:$J$5001,J367)&gt;1,"Possible Duplicate Booking","Unique")</f>
        <v>Unique</v>
      </c>
      <c r="W367" s="9" t="str">
        <f aca="false">IF((H367-G367)&lt;&gt;K367,"Mismatch","OK")</f>
        <v>OK</v>
      </c>
      <c r="X367" s="9" t="str">
        <f aca="false">IF(TEXT(H367,"dddd")&lt;&gt;I367,"Mismatch","OK")</f>
        <v>OK</v>
      </c>
      <c r="Y367" s="9" t="str">
        <f aca="false">IF(AND(N367="No",O367&lt;&gt;""),"Unexpected: channel present but no reminder sent",IF(AND(N367="Yes",O367=""),"Missing channel for sent reminder","OK"))</f>
        <v>OK</v>
      </c>
    </row>
    <row r="368" customFormat="false" ht="15" hidden="false" customHeight="false" outlineLevel="0" collapsed="false">
      <c r="A368" s="7" t="s">
        <v>774</v>
      </c>
      <c r="B368" s="7" t="s">
        <v>775</v>
      </c>
      <c r="C368" s="7" t="s">
        <v>37</v>
      </c>
      <c r="D368" s="7" t="n">
        <v>33</v>
      </c>
      <c r="E368" s="7" t="s">
        <v>48</v>
      </c>
      <c r="F368" s="7" t="s">
        <v>57</v>
      </c>
      <c r="G368" s="8" t="n">
        <v>45909</v>
      </c>
      <c r="H368" s="8" t="n">
        <v>45914</v>
      </c>
      <c r="I368" s="7" t="s">
        <v>75</v>
      </c>
      <c r="J368" s="7" t="s">
        <v>51</v>
      </c>
      <c r="K368" s="7" t="n">
        <v>5</v>
      </c>
      <c r="L368" s="7" t="n">
        <v>1</v>
      </c>
      <c r="M368" s="7" t="n">
        <v>0</v>
      </c>
      <c r="N368" s="7" t="s">
        <v>71</v>
      </c>
      <c r="O368" s="7"/>
      <c r="P368" s="7" t="n">
        <v>9.6</v>
      </c>
      <c r="Q368" s="7" t="n">
        <v>18</v>
      </c>
      <c r="R368" s="7" t="s">
        <v>53</v>
      </c>
      <c r="S368" s="7"/>
      <c r="T368" s="7"/>
      <c r="U368" s="7" t="str">
        <f aca="false">IF(COUNTIF($A$2:$A$5001,A368)&gt;1,"Duplicate","Unique")</f>
        <v>Unique</v>
      </c>
      <c r="V368" s="7" t="str">
        <f aca="false">IF(COUNTIFS($B$2:$B$5001,B368,$H$2:$H$5001,H368,$J$2:$J$5001,J368)&gt;1,"Possible Duplicate Booking","Unique")</f>
        <v>Unique</v>
      </c>
      <c r="W368" s="7" t="str">
        <f aca="false">IF((H368-G368)&lt;&gt;K368,"Mismatch","OK")</f>
        <v>OK</v>
      </c>
      <c r="X368" s="7" t="str">
        <f aca="false">IF(TEXT(H368,"dddd")&lt;&gt;I368,"Mismatch","OK")</f>
        <v>OK</v>
      </c>
      <c r="Y368" s="7" t="str">
        <f aca="false">IF(AND(N368="No",O368&lt;&gt;""),"Unexpected: channel present but no reminder sent",IF(AND(N368="Yes",O368=""),"Missing channel for sent reminder","OK"))</f>
        <v>OK</v>
      </c>
    </row>
    <row r="369" customFormat="false" ht="15" hidden="false" customHeight="false" outlineLevel="0" collapsed="false">
      <c r="A369" s="9" t="s">
        <v>776</v>
      </c>
      <c r="B369" s="9" t="s">
        <v>777</v>
      </c>
      <c r="C369" s="9" t="s">
        <v>37</v>
      </c>
      <c r="D369" s="9" t="n">
        <v>60</v>
      </c>
      <c r="E369" s="9" t="s">
        <v>61</v>
      </c>
      <c r="F369" s="9" t="s">
        <v>57</v>
      </c>
      <c r="G369" s="10" t="n">
        <v>45795</v>
      </c>
      <c r="H369" s="10" t="n">
        <v>45830</v>
      </c>
      <c r="I369" s="9" t="s">
        <v>75</v>
      </c>
      <c r="J369" s="9" t="s">
        <v>41</v>
      </c>
      <c r="K369" s="9" t="n">
        <v>35</v>
      </c>
      <c r="L369" s="9" t="n">
        <v>4</v>
      </c>
      <c r="M369" s="9" t="n">
        <v>0</v>
      </c>
      <c r="N369" s="9" t="s">
        <v>42</v>
      </c>
      <c r="O369" s="9" t="s">
        <v>43</v>
      </c>
      <c r="P369" s="9" t="n">
        <v>17.4</v>
      </c>
      <c r="Q369" s="9" t="n">
        <v>11</v>
      </c>
      <c r="R369" s="9" t="s">
        <v>44</v>
      </c>
      <c r="S369" s="9"/>
      <c r="T369" s="9"/>
      <c r="U369" s="9" t="str">
        <f aca="false">IF(COUNTIF($A$2:$A$5001,A369)&gt;1,"Duplicate","Unique")</f>
        <v>Unique</v>
      </c>
      <c r="V369" s="9" t="str">
        <f aca="false">IF(COUNTIFS($B$2:$B$5001,B369,$H$2:$H$5001,H369,$J$2:$J$5001,J369)&gt;1,"Possible Duplicate Booking","Unique")</f>
        <v>Unique</v>
      </c>
      <c r="W369" s="9" t="str">
        <f aca="false">IF((H369-G369)&lt;&gt;K369,"Mismatch","OK")</f>
        <v>OK</v>
      </c>
      <c r="X369" s="9" t="str">
        <f aca="false">IF(TEXT(H369,"dddd")&lt;&gt;I369,"Mismatch","OK")</f>
        <v>OK</v>
      </c>
      <c r="Y369" s="9" t="str">
        <f aca="false">IF(AND(N369="No",O369&lt;&gt;""),"Unexpected: channel present but no reminder sent",IF(AND(N369="Yes",O369=""),"Missing channel for sent reminder","OK"))</f>
        <v>OK</v>
      </c>
    </row>
    <row r="370" customFormat="false" ht="15" hidden="false" customHeight="false" outlineLevel="0" collapsed="false">
      <c r="A370" s="7" t="s">
        <v>778</v>
      </c>
      <c r="B370" s="7" t="s">
        <v>779</v>
      </c>
      <c r="C370" s="7" t="s">
        <v>47</v>
      </c>
      <c r="D370" s="7" t="n">
        <v>39</v>
      </c>
      <c r="E370" s="7" t="s">
        <v>38</v>
      </c>
      <c r="F370" s="7" t="s">
        <v>39</v>
      </c>
      <c r="G370" s="8" t="n">
        <v>45630</v>
      </c>
      <c r="H370" s="8" t="n">
        <v>45670</v>
      </c>
      <c r="I370" s="7" t="s">
        <v>66</v>
      </c>
      <c r="J370" s="7" t="s">
        <v>51</v>
      </c>
      <c r="K370" s="7" t="n">
        <v>40</v>
      </c>
      <c r="L370" s="7" t="n">
        <v>2</v>
      </c>
      <c r="M370" s="7" t="n">
        <v>0</v>
      </c>
      <c r="N370" s="7" t="s">
        <v>71</v>
      </c>
      <c r="O370" s="7"/>
      <c r="P370" s="7" t="n">
        <v>4.6</v>
      </c>
      <c r="Q370" s="7" t="n">
        <v>27</v>
      </c>
      <c r="R370" s="7" t="s">
        <v>44</v>
      </c>
      <c r="S370" s="7"/>
      <c r="T370" s="7"/>
      <c r="U370" s="7" t="str">
        <f aca="false">IF(COUNTIF($A$2:$A$5001,A370)&gt;1,"Duplicate","Unique")</f>
        <v>Unique</v>
      </c>
      <c r="V370" s="7" t="str">
        <f aca="false">IF(COUNTIFS($B$2:$B$5001,B370,$H$2:$H$5001,H370,$J$2:$J$5001,J370)&gt;1,"Possible Duplicate Booking","Unique")</f>
        <v>Unique</v>
      </c>
      <c r="W370" s="7" t="str">
        <f aca="false">IF((H370-G370)&lt;&gt;K370,"Mismatch","OK")</f>
        <v>OK</v>
      </c>
      <c r="X370" s="7" t="str">
        <f aca="false">IF(TEXT(H370,"dddd")&lt;&gt;I370,"Mismatch","OK")</f>
        <v>OK</v>
      </c>
      <c r="Y370" s="7" t="str">
        <f aca="false">IF(AND(N370="No",O370&lt;&gt;""),"Unexpected: channel present but no reminder sent",IF(AND(N370="Yes",O370=""),"Missing channel for sent reminder","OK"))</f>
        <v>OK</v>
      </c>
    </row>
    <row r="371" customFormat="false" ht="15" hidden="false" customHeight="false" outlineLevel="0" collapsed="false">
      <c r="A371" s="9" t="s">
        <v>780</v>
      </c>
      <c r="B371" s="9" t="s">
        <v>486</v>
      </c>
      <c r="C371" s="9" t="s">
        <v>47</v>
      </c>
      <c r="D371" s="9" t="n">
        <v>21</v>
      </c>
      <c r="E371" s="9" t="s">
        <v>82</v>
      </c>
      <c r="F371" s="9" t="s">
        <v>39</v>
      </c>
      <c r="G371" s="10" t="n">
        <v>46062</v>
      </c>
      <c r="H371" s="10" t="n">
        <v>46079</v>
      </c>
      <c r="I371" s="9" t="s">
        <v>62</v>
      </c>
      <c r="J371" s="9" t="s">
        <v>51</v>
      </c>
      <c r="K371" s="9" t="n">
        <v>17</v>
      </c>
      <c r="L371" s="9" t="n">
        <v>6</v>
      </c>
      <c r="M371" s="9" t="n">
        <v>0</v>
      </c>
      <c r="N371" s="9" t="s">
        <v>71</v>
      </c>
      <c r="O371" s="9"/>
      <c r="P371" s="9" t="n">
        <v>6.7</v>
      </c>
      <c r="Q371" s="9" t="n">
        <v>20</v>
      </c>
      <c r="R371" s="9" t="s">
        <v>44</v>
      </c>
      <c r="S371" s="9"/>
      <c r="T371" s="9"/>
      <c r="U371" s="9" t="str">
        <f aca="false">IF(COUNTIF($A$2:$A$5001,A371)&gt;1,"Duplicate","Unique")</f>
        <v>Unique</v>
      </c>
      <c r="V371" s="9" t="str">
        <f aca="false">IF(COUNTIFS($B$2:$B$5001,B371,$H$2:$H$5001,H371,$J$2:$J$5001,J371)&gt;1,"Possible Duplicate Booking","Unique")</f>
        <v>Unique</v>
      </c>
      <c r="W371" s="9" t="str">
        <f aca="false">IF((H371-G371)&lt;&gt;K371,"Mismatch","OK")</f>
        <v>OK</v>
      </c>
      <c r="X371" s="9" t="str">
        <f aca="false">IF(TEXT(H371,"dddd")&lt;&gt;I371,"Mismatch","OK")</f>
        <v>OK</v>
      </c>
      <c r="Y371" s="9" t="str">
        <f aca="false">IF(AND(N371="No",O371&lt;&gt;""),"Unexpected: channel present but no reminder sent",IF(AND(N371="Yes",O371=""),"Missing channel for sent reminder","OK"))</f>
        <v>OK</v>
      </c>
    </row>
    <row r="372" customFormat="false" ht="15" hidden="false" customHeight="false" outlineLevel="0" collapsed="false">
      <c r="A372" s="7" t="s">
        <v>781</v>
      </c>
      <c r="B372" s="7" t="s">
        <v>782</v>
      </c>
      <c r="C372" s="7" t="s">
        <v>47</v>
      </c>
      <c r="D372" s="7" t="n">
        <v>25</v>
      </c>
      <c r="E372" s="7" t="s">
        <v>48</v>
      </c>
      <c r="F372" s="7" t="s">
        <v>57</v>
      </c>
      <c r="G372" s="8" t="n">
        <v>45794</v>
      </c>
      <c r="H372" s="8" t="n">
        <v>45841</v>
      </c>
      <c r="I372" s="7" t="s">
        <v>62</v>
      </c>
      <c r="J372" s="7" t="s">
        <v>63</v>
      </c>
      <c r="K372" s="7" t="n">
        <v>47</v>
      </c>
      <c r="L372" s="7" t="n">
        <v>3</v>
      </c>
      <c r="M372" s="7" t="n">
        <v>0</v>
      </c>
      <c r="N372" s="7" t="s">
        <v>42</v>
      </c>
      <c r="O372" s="7" t="s">
        <v>43</v>
      </c>
      <c r="P372" s="7" t="n">
        <v>14.6</v>
      </c>
      <c r="Q372" s="7" t="n">
        <v>29</v>
      </c>
      <c r="R372" s="7" t="s">
        <v>44</v>
      </c>
      <c r="S372" s="7"/>
      <c r="T372" s="7"/>
      <c r="U372" s="7" t="str">
        <f aca="false">IF(COUNTIF($A$2:$A$5001,A372)&gt;1,"Duplicate","Unique")</f>
        <v>Unique</v>
      </c>
      <c r="V372" s="7" t="str">
        <f aca="false">IF(COUNTIFS($B$2:$B$5001,B372,$H$2:$H$5001,H372,$J$2:$J$5001,J372)&gt;1,"Possible Duplicate Booking","Unique")</f>
        <v>Unique</v>
      </c>
      <c r="W372" s="7" t="str">
        <f aca="false">IF((H372-G372)&lt;&gt;K372,"Mismatch","OK")</f>
        <v>OK</v>
      </c>
      <c r="X372" s="7" t="str">
        <f aca="false">IF(TEXT(H372,"dddd")&lt;&gt;I372,"Mismatch","OK")</f>
        <v>OK</v>
      </c>
      <c r="Y372" s="7" t="str">
        <f aca="false">IF(AND(N372="No",O372&lt;&gt;""),"Unexpected: channel present but no reminder sent",IF(AND(N372="Yes",O372=""),"Missing channel for sent reminder","OK"))</f>
        <v>OK</v>
      </c>
    </row>
    <row r="373" customFormat="false" ht="15" hidden="false" customHeight="false" outlineLevel="0" collapsed="false">
      <c r="A373" s="9" t="s">
        <v>783</v>
      </c>
      <c r="B373" s="9" t="s">
        <v>784</v>
      </c>
      <c r="C373" s="9" t="s">
        <v>47</v>
      </c>
      <c r="D373" s="9" t="n">
        <v>72</v>
      </c>
      <c r="E373" s="9" t="s">
        <v>70</v>
      </c>
      <c r="F373" s="9" t="s">
        <v>57</v>
      </c>
      <c r="G373" s="10" t="n">
        <v>45974</v>
      </c>
      <c r="H373" s="10" t="n">
        <v>46019</v>
      </c>
      <c r="I373" s="9" t="s">
        <v>75</v>
      </c>
      <c r="J373" s="9" t="s">
        <v>51</v>
      </c>
      <c r="K373" s="9" t="n">
        <v>45</v>
      </c>
      <c r="L373" s="9" t="n">
        <v>3</v>
      </c>
      <c r="M373" s="9" t="n">
        <v>0</v>
      </c>
      <c r="N373" s="9" t="s">
        <v>42</v>
      </c>
      <c r="O373" s="9" t="s">
        <v>67</v>
      </c>
      <c r="P373" s="9" t="n">
        <v>16.3</v>
      </c>
      <c r="Q373" s="9" t="n">
        <v>29</v>
      </c>
      <c r="R373" s="9" t="s">
        <v>44</v>
      </c>
      <c r="S373" s="9"/>
      <c r="T373" s="9"/>
      <c r="U373" s="9" t="str">
        <f aca="false">IF(COUNTIF($A$2:$A$5001,A373)&gt;1,"Duplicate","Unique")</f>
        <v>Unique</v>
      </c>
      <c r="V373" s="9" t="str">
        <f aca="false">IF(COUNTIFS($B$2:$B$5001,B373,$H$2:$H$5001,H373,$J$2:$J$5001,J373)&gt;1,"Possible Duplicate Booking","Unique")</f>
        <v>Unique</v>
      </c>
      <c r="W373" s="9" t="str">
        <f aca="false">IF((H373-G373)&lt;&gt;K373,"Mismatch","OK")</f>
        <v>OK</v>
      </c>
      <c r="X373" s="9" t="str">
        <f aca="false">IF(TEXT(H373,"dddd")&lt;&gt;I373,"Mismatch","OK")</f>
        <v>OK</v>
      </c>
      <c r="Y373" s="9" t="str">
        <f aca="false">IF(AND(N373="No",O373&lt;&gt;""),"Unexpected: channel present but no reminder sent",IF(AND(N373="Yes",O373=""),"Missing channel for sent reminder","OK"))</f>
        <v>OK</v>
      </c>
    </row>
    <row r="374" customFormat="false" ht="15" hidden="false" customHeight="false" outlineLevel="0" collapsed="false">
      <c r="A374" s="7" t="s">
        <v>785</v>
      </c>
      <c r="B374" s="7" t="s">
        <v>786</v>
      </c>
      <c r="C374" s="7" t="s">
        <v>37</v>
      </c>
      <c r="D374" s="7" t="n">
        <v>38</v>
      </c>
      <c r="E374" s="7" t="s">
        <v>38</v>
      </c>
      <c r="F374" s="7" t="s">
        <v>57</v>
      </c>
      <c r="G374" s="8" t="n">
        <v>45860</v>
      </c>
      <c r="H374" s="8" t="n">
        <v>45881</v>
      </c>
      <c r="I374" s="7" t="s">
        <v>40</v>
      </c>
      <c r="J374" s="7" t="s">
        <v>51</v>
      </c>
      <c r="K374" s="7" t="n">
        <v>21</v>
      </c>
      <c r="L374" s="7" t="n">
        <v>2</v>
      </c>
      <c r="M374" s="7" t="n">
        <v>0</v>
      </c>
      <c r="N374" s="7" t="s">
        <v>42</v>
      </c>
      <c r="O374" s="7" t="s">
        <v>52</v>
      </c>
      <c r="P374" s="7" t="n">
        <v>15.8</v>
      </c>
      <c r="Q374" s="7" t="n">
        <v>13</v>
      </c>
      <c r="R374" s="7" t="s">
        <v>53</v>
      </c>
      <c r="S374" s="7"/>
      <c r="T374" s="7"/>
      <c r="U374" s="7" t="str">
        <f aca="false">IF(COUNTIF($A$2:$A$5001,A374)&gt;1,"Duplicate","Unique")</f>
        <v>Unique</v>
      </c>
      <c r="V374" s="7" t="str">
        <f aca="false">IF(COUNTIFS($B$2:$B$5001,B374,$H$2:$H$5001,H374,$J$2:$J$5001,J374)&gt;1,"Possible Duplicate Booking","Unique")</f>
        <v>Unique</v>
      </c>
      <c r="W374" s="7" t="str">
        <f aca="false">IF((H374-G374)&lt;&gt;K374,"Mismatch","OK")</f>
        <v>OK</v>
      </c>
      <c r="X374" s="7" t="str">
        <f aca="false">IF(TEXT(H374,"dddd")&lt;&gt;I374,"Mismatch","OK")</f>
        <v>OK</v>
      </c>
      <c r="Y374" s="7" t="str">
        <f aca="false">IF(AND(N374="No",O374&lt;&gt;""),"Unexpected: channel present but no reminder sent",IF(AND(N374="Yes",O374=""),"Missing channel for sent reminder","OK"))</f>
        <v>OK</v>
      </c>
    </row>
    <row r="375" customFormat="false" ht="15" hidden="false" customHeight="false" outlineLevel="0" collapsed="false">
      <c r="A375" s="9" t="s">
        <v>787</v>
      </c>
      <c r="B375" s="9" t="s">
        <v>788</v>
      </c>
      <c r="C375" s="9" t="s">
        <v>47</v>
      </c>
      <c r="D375" s="9" t="n">
        <v>19</v>
      </c>
      <c r="E375" s="9" t="s">
        <v>82</v>
      </c>
      <c r="F375" s="9" t="s">
        <v>57</v>
      </c>
      <c r="G375" s="10" t="n">
        <v>45848</v>
      </c>
      <c r="H375" s="10" t="n">
        <v>45862</v>
      </c>
      <c r="I375" s="9" t="s">
        <v>62</v>
      </c>
      <c r="J375" s="9" t="s">
        <v>41</v>
      </c>
      <c r="K375" s="9" t="n">
        <v>14</v>
      </c>
      <c r="L375" s="9" t="n">
        <v>5</v>
      </c>
      <c r="M375" s="9" t="n">
        <v>0</v>
      </c>
      <c r="N375" s="9" t="s">
        <v>42</v>
      </c>
      <c r="O375" s="9" t="s">
        <v>52</v>
      </c>
      <c r="P375" s="9" t="n">
        <v>4.9</v>
      </c>
      <c r="Q375" s="9" t="n">
        <v>20</v>
      </c>
      <c r="R375" s="9" t="s">
        <v>44</v>
      </c>
      <c r="S375" s="9"/>
      <c r="T375" s="9"/>
      <c r="U375" s="9" t="str">
        <f aca="false">IF(COUNTIF($A$2:$A$5001,A375)&gt;1,"Duplicate","Unique")</f>
        <v>Unique</v>
      </c>
      <c r="V375" s="9" t="str">
        <f aca="false">IF(COUNTIFS($B$2:$B$5001,B375,$H$2:$H$5001,H375,$J$2:$J$5001,J375)&gt;1,"Possible Duplicate Booking","Unique")</f>
        <v>Unique</v>
      </c>
      <c r="W375" s="9" t="str">
        <f aca="false">IF((H375-G375)&lt;&gt;K375,"Mismatch","OK")</f>
        <v>OK</v>
      </c>
      <c r="X375" s="9" t="str">
        <f aca="false">IF(TEXT(H375,"dddd")&lt;&gt;I375,"Mismatch","OK")</f>
        <v>OK</v>
      </c>
      <c r="Y375" s="9" t="str">
        <f aca="false">IF(AND(N375="No",O375&lt;&gt;""),"Unexpected: channel present but no reminder sent",IF(AND(N375="Yes",O375=""),"Missing channel for sent reminder","OK"))</f>
        <v>OK</v>
      </c>
    </row>
    <row r="376" customFormat="false" ht="15" hidden="false" customHeight="false" outlineLevel="0" collapsed="false">
      <c r="A376" s="7" t="s">
        <v>789</v>
      </c>
      <c r="B376" s="7" t="s">
        <v>790</v>
      </c>
      <c r="C376" s="7" t="s">
        <v>37</v>
      </c>
      <c r="D376" s="7" t="n">
        <v>63</v>
      </c>
      <c r="E376" s="7" t="s">
        <v>61</v>
      </c>
      <c r="F376" s="7" t="s">
        <v>39</v>
      </c>
      <c r="G376" s="8" t="n">
        <v>46096</v>
      </c>
      <c r="H376" s="8" t="n">
        <v>46141</v>
      </c>
      <c r="I376" s="7" t="s">
        <v>58</v>
      </c>
      <c r="J376" s="7" t="s">
        <v>51</v>
      </c>
      <c r="K376" s="7" t="n">
        <v>45</v>
      </c>
      <c r="L376" s="7" t="n">
        <v>3</v>
      </c>
      <c r="M376" s="7" t="n">
        <v>2</v>
      </c>
      <c r="N376" s="7" t="s">
        <v>71</v>
      </c>
      <c r="O376" s="7"/>
      <c r="P376" s="7" t="n">
        <v>2.2</v>
      </c>
      <c r="Q376" s="7" t="n">
        <v>18</v>
      </c>
      <c r="R376" s="7" t="s">
        <v>44</v>
      </c>
      <c r="S376" s="7"/>
      <c r="T376" s="7"/>
      <c r="U376" s="7" t="str">
        <f aca="false">IF(COUNTIF($A$2:$A$5001,A376)&gt;1,"Duplicate","Unique")</f>
        <v>Unique</v>
      </c>
      <c r="V376" s="7" t="str">
        <f aca="false">IF(COUNTIFS($B$2:$B$5001,B376,$H$2:$H$5001,H376,$J$2:$J$5001,J376)&gt;1,"Possible Duplicate Booking","Unique")</f>
        <v>Unique</v>
      </c>
      <c r="W376" s="7" t="str">
        <f aca="false">IF((H376-G376)&lt;&gt;K376,"Mismatch","OK")</f>
        <v>OK</v>
      </c>
      <c r="X376" s="7" t="str">
        <f aca="false">IF(TEXT(H376,"dddd")&lt;&gt;I376,"Mismatch","OK")</f>
        <v>OK</v>
      </c>
      <c r="Y376" s="7" t="str">
        <f aca="false">IF(AND(N376="No",O376&lt;&gt;""),"Unexpected: channel present but no reminder sent",IF(AND(N376="Yes",O376=""),"Missing channel for sent reminder","OK"))</f>
        <v>OK</v>
      </c>
    </row>
    <row r="377" customFormat="false" ht="15" hidden="false" customHeight="false" outlineLevel="0" collapsed="false">
      <c r="A377" s="9" t="s">
        <v>791</v>
      </c>
      <c r="B377" s="9" t="s">
        <v>348</v>
      </c>
      <c r="C377" s="9" t="s">
        <v>37</v>
      </c>
      <c r="D377" s="9" t="n">
        <v>51</v>
      </c>
      <c r="E377" s="9" t="s">
        <v>56</v>
      </c>
      <c r="F377" s="9" t="s">
        <v>57</v>
      </c>
      <c r="G377" s="10" t="n">
        <v>45669</v>
      </c>
      <c r="H377" s="10" t="n">
        <v>45709</v>
      </c>
      <c r="I377" s="9" t="s">
        <v>50</v>
      </c>
      <c r="J377" s="9" t="s">
        <v>51</v>
      </c>
      <c r="K377" s="9" t="n">
        <v>40</v>
      </c>
      <c r="L377" s="9" t="n">
        <v>6</v>
      </c>
      <c r="M377" s="9" t="n">
        <v>0</v>
      </c>
      <c r="N377" s="9" t="s">
        <v>42</v>
      </c>
      <c r="O377" s="9" t="s">
        <v>52</v>
      </c>
      <c r="P377" s="9" t="n">
        <v>9.5</v>
      </c>
      <c r="Q377" s="9" t="n">
        <v>34</v>
      </c>
      <c r="R377" s="9" t="s">
        <v>53</v>
      </c>
      <c r="S377" s="9"/>
      <c r="T377" s="9"/>
      <c r="U377" s="9" t="str">
        <f aca="false">IF(COUNTIF($A$2:$A$5001,A377)&gt;1,"Duplicate","Unique")</f>
        <v>Unique</v>
      </c>
      <c r="V377" s="9" t="str">
        <f aca="false">IF(COUNTIFS($B$2:$B$5001,B377,$H$2:$H$5001,H377,$J$2:$J$5001,J377)&gt;1,"Possible Duplicate Booking","Unique")</f>
        <v>Unique</v>
      </c>
      <c r="W377" s="9" t="str">
        <f aca="false">IF((H377-G377)&lt;&gt;K377,"Mismatch","OK")</f>
        <v>OK</v>
      </c>
      <c r="X377" s="9" t="str">
        <f aca="false">IF(TEXT(H377,"dddd")&lt;&gt;I377,"Mismatch","OK")</f>
        <v>OK</v>
      </c>
      <c r="Y377" s="9" t="str">
        <f aca="false">IF(AND(N377="No",O377&lt;&gt;""),"Unexpected: channel present but no reminder sent",IF(AND(N377="Yes",O377=""),"Missing channel for sent reminder","OK"))</f>
        <v>OK</v>
      </c>
    </row>
    <row r="378" customFormat="false" ht="15" hidden="false" customHeight="false" outlineLevel="0" collapsed="false">
      <c r="A378" s="7" t="s">
        <v>792</v>
      </c>
      <c r="B378" s="7" t="s">
        <v>793</v>
      </c>
      <c r="C378" s="7" t="s">
        <v>37</v>
      </c>
      <c r="D378" s="7" t="n">
        <v>46</v>
      </c>
      <c r="E378" s="7" t="s">
        <v>56</v>
      </c>
      <c r="F378" s="7" t="s">
        <v>39</v>
      </c>
      <c r="G378" s="8" t="n">
        <v>46050</v>
      </c>
      <c r="H378" s="8" t="n">
        <v>46060</v>
      </c>
      <c r="I378" s="7" t="s">
        <v>102</v>
      </c>
      <c r="J378" s="7" t="s">
        <v>41</v>
      </c>
      <c r="K378" s="7" t="n">
        <v>10</v>
      </c>
      <c r="L378" s="7" t="n">
        <v>3</v>
      </c>
      <c r="M378" s="7" t="n">
        <v>0</v>
      </c>
      <c r="N378" s="7" t="s">
        <v>42</v>
      </c>
      <c r="O378" s="7" t="s">
        <v>52</v>
      </c>
      <c r="P378" s="7" t="n">
        <v>8.5</v>
      </c>
      <c r="Q378" s="7" t="n">
        <v>22</v>
      </c>
      <c r="R378" s="7" t="s">
        <v>53</v>
      </c>
      <c r="S378" s="7"/>
      <c r="T378" s="7"/>
      <c r="U378" s="7" t="str">
        <f aca="false">IF(COUNTIF($A$2:$A$5001,A378)&gt;1,"Duplicate","Unique")</f>
        <v>Unique</v>
      </c>
      <c r="V378" s="7" t="str">
        <f aca="false">IF(COUNTIFS($B$2:$B$5001,B378,$H$2:$H$5001,H378,$J$2:$J$5001,J378)&gt;1,"Possible Duplicate Booking","Unique")</f>
        <v>Unique</v>
      </c>
      <c r="W378" s="7" t="str">
        <f aca="false">IF((H378-G378)&lt;&gt;K378,"Mismatch","OK")</f>
        <v>OK</v>
      </c>
      <c r="X378" s="7" t="str">
        <f aca="false">IF(TEXT(H378,"dddd")&lt;&gt;I378,"Mismatch","OK")</f>
        <v>OK</v>
      </c>
      <c r="Y378" s="7" t="str">
        <f aca="false">IF(AND(N378="No",O378&lt;&gt;""),"Unexpected: channel present but no reminder sent",IF(AND(N378="Yes",O378=""),"Missing channel for sent reminder","OK"))</f>
        <v>OK</v>
      </c>
    </row>
    <row r="379" customFormat="false" ht="15" hidden="false" customHeight="false" outlineLevel="0" collapsed="false">
      <c r="A379" s="9" t="s">
        <v>794</v>
      </c>
      <c r="B379" s="9" t="s">
        <v>795</v>
      </c>
      <c r="C379" s="9" t="s">
        <v>47</v>
      </c>
      <c r="D379" s="9" t="n">
        <v>74</v>
      </c>
      <c r="E379" s="9" t="s">
        <v>70</v>
      </c>
      <c r="F379" s="9" t="s">
        <v>49</v>
      </c>
      <c r="G379" s="10" t="n">
        <v>46050</v>
      </c>
      <c r="H379" s="10" t="n">
        <v>46065</v>
      </c>
      <c r="I379" s="9" t="s">
        <v>62</v>
      </c>
      <c r="J379" s="9" t="s">
        <v>51</v>
      </c>
      <c r="K379" s="9" t="n">
        <v>15</v>
      </c>
      <c r="L379" s="9" t="n">
        <v>3</v>
      </c>
      <c r="M379" s="9" t="n">
        <v>1</v>
      </c>
      <c r="N379" s="9" t="s">
        <v>42</v>
      </c>
      <c r="O379" s="9" t="s">
        <v>52</v>
      </c>
      <c r="P379" s="9" t="n">
        <v>9.9</v>
      </c>
      <c r="Q379" s="9" t="n">
        <v>38</v>
      </c>
      <c r="R379" s="9" t="s">
        <v>53</v>
      </c>
      <c r="S379" s="9"/>
      <c r="T379" s="9"/>
      <c r="U379" s="9" t="str">
        <f aca="false">IF(COUNTIF($A$2:$A$5001,A379)&gt;1,"Duplicate","Unique")</f>
        <v>Unique</v>
      </c>
      <c r="V379" s="9" t="str">
        <f aca="false">IF(COUNTIFS($B$2:$B$5001,B379,$H$2:$H$5001,H379,$J$2:$J$5001,J379)&gt;1,"Possible Duplicate Booking","Unique")</f>
        <v>Unique</v>
      </c>
      <c r="W379" s="9" t="str">
        <f aca="false">IF((H379-G379)&lt;&gt;K379,"Mismatch","OK")</f>
        <v>OK</v>
      </c>
      <c r="X379" s="9" t="str">
        <f aca="false">IF(TEXT(H379,"dddd")&lt;&gt;I379,"Mismatch","OK")</f>
        <v>OK</v>
      </c>
      <c r="Y379" s="9" t="str">
        <f aca="false">IF(AND(N379="No",O379&lt;&gt;""),"Unexpected: channel present but no reminder sent",IF(AND(N379="Yes",O379=""),"Missing channel for sent reminder","OK"))</f>
        <v>OK</v>
      </c>
    </row>
    <row r="380" customFormat="false" ht="15" hidden="false" customHeight="false" outlineLevel="0" collapsed="false">
      <c r="A380" s="7" t="s">
        <v>796</v>
      </c>
      <c r="B380" s="7" t="s">
        <v>797</v>
      </c>
      <c r="C380" s="7" t="s">
        <v>37</v>
      </c>
      <c r="D380" s="7" t="n">
        <v>37</v>
      </c>
      <c r="E380" s="7" t="s">
        <v>38</v>
      </c>
      <c r="F380" s="7" t="s">
        <v>74</v>
      </c>
      <c r="G380" s="8" t="n">
        <v>45836</v>
      </c>
      <c r="H380" s="8" t="n">
        <v>45865</v>
      </c>
      <c r="I380" s="7" t="s">
        <v>75</v>
      </c>
      <c r="J380" s="7" t="s">
        <v>41</v>
      </c>
      <c r="K380" s="7" t="n">
        <v>29</v>
      </c>
      <c r="L380" s="7" t="n">
        <v>2</v>
      </c>
      <c r="M380" s="7" t="n">
        <v>0</v>
      </c>
      <c r="N380" s="7" t="s">
        <v>42</v>
      </c>
      <c r="O380" s="7" t="s">
        <v>43</v>
      </c>
      <c r="P380" s="7" t="n">
        <v>11.1</v>
      </c>
      <c r="Q380" s="7" t="n">
        <v>38</v>
      </c>
      <c r="R380" s="7" t="s">
        <v>44</v>
      </c>
      <c r="S380" s="7"/>
      <c r="T380" s="7"/>
      <c r="U380" s="7" t="str">
        <f aca="false">IF(COUNTIF($A$2:$A$5001,A380)&gt;1,"Duplicate","Unique")</f>
        <v>Unique</v>
      </c>
      <c r="V380" s="7" t="str">
        <f aca="false">IF(COUNTIFS($B$2:$B$5001,B380,$H$2:$H$5001,H380,$J$2:$J$5001,J380)&gt;1,"Possible Duplicate Booking","Unique")</f>
        <v>Unique</v>
      </c>
      <c r="W380" s="7" t="str">
        <f aca="false">IF((H380-G380)&lt;&gt;K380,"Mismatch","OK")</f>
        <v>OK</v>
      </c>
      <c r="X380" s="7" t="str">
        <f aca="false">IF(TEXT(H380,"dddd")&lt;&gt;I380,"Mismatch","OK")</f>
        <v>OK</v>
      </c>
      <c r="Y380" s="7" t="str">
        <f aca="false">IF(AND(N380="No",O380&lt;&gt;""),"Unexpected: channel present but no reminder sent",IF(AND(N380="Yes",O380=""),"Missing channel for sent reminder","OK"))</f>
        <v>OK</v>
      </c>
    </row>
    <row r="381" customFormat="false" ht="15" hidden="false" customHeight="false" outlineLevel="0" collapsed="false">
      <c r="A381" s="9" t="s">
        <v>798</v>
      </c>
      <c r="B381" s="9" t="s">
        <v>799</v>
      </c>
      <c r="C381" s="9" t="s">
        <v>37</v>
      </c>
      <c r="D381" s="9" t="n">
        <v>54</v>
      </c>
      <c r="E381" s="9" t="s">
        <v>56</v>
      </c>
      <c r="F381" s="9" t="s">
        <v>74</v>
      </c>
      <c r="G381" s="10" t="n">
        <v>45770</v>
      </c>
      <c r="H381" s="10" t="n">
        <v>45801</v>
      </c>
      <c r="I381" s="9" t="s">
        <v>102</v>
      </c>
      <c r="J381" s="9" t="s">
        <v>51</v>
      </c>
      <c r="K381" s="9" t="n">
        <v>31</v>
      </c>
      <c r="L381" s="9" t="n">
        <v>6</v>
      </c>
      <c r="M381" s="9" t="n">
        <v>0</v>
      </c>
      <c r="N381" s="9" t="s">
        <v>42</v>
      </c>
      <c r="O381" s="9" t="s">
        <v>52</v>
      </c>
      <c r="P381" s="9" t="n">
        <v>12.4</v>
      </c>
      <c r="Q381" s="9" t="n">
        <v>23</v>
      </c>
      <c r="R381" s="9" t="s">
        <v>44</v>
      </c>
      <c r="S381" s="9"/>
      <c r="T381" s="9"/>
      <c r="U381" s="9" t="str">
        <f aca="false">IF(COUNTIF($A$2:$A$5001,A381)&gt;1,"Duplicate","Unique")</f>
        <v>Unique</v>
      </c>
      <c r="V381" s="9" t="str">
        <f aca="false">IF(COUNTIFS($B$2:$B$5001,B381,$H$2:$H$5001,H381,$J$2:$J$5001,J381)&gt;1,"Possible Duplicate Booking","Unique")</f>
        <v>Unique</v>
      </c>
      <c r="W381" s="9" t="str">
        <f aca="false">IF((H381-G381)&lt;&gt;K381,"Mismatch","OK")</f>
        <v>OK</v>
      </c>
      <c r="X381" s="9" t="str">
        <f aca="false">IF(TEXT(H381,"dddd")&lt;&gt;I381,"Mismatch","OK")</f>
        <v>OK</v>
      </c>
      <c r="Y381" s="9" t="str">
        <f aca="false">IF(AND(N381="No",O381&lt;&gt;""),"Unexpected: channel present but no reminder sent",IF(AND(N381="Yes",O381=""),"Missing channel for sent reminder","OK"))</f>
        <v>OK</v>
      </c>
    </row>
    <row r="382" customFormat="false" ht="15" hidden="false" customHeight="false" outlineLevel="0" collapsed="false">
      <c r="A382" s="7" t="s">
        <v>800</v>
      </c>
      <c r="B382" s="7" t="s">
        <v>108</v>
      </c>
      <c r="C382" s="7" t="s">
        <v>37</v>
      </c>
      <c r="D382" s="7" t="n">
        <v>64</v>
      </c>
      <c r="E382" s="7" t="s">
        <v>61</v>
      </c>
      <c r="F382" s="7" t="s">
        <v>57</v>
      </c>
      <c r="G382" s="8" t="n">
        <v>45650</v>
      </c>
      <c r="H382" s="8" t="n">
        <v>45660</v>
      </c>
      <c r="I382" s="7" t="s">
        <v>50</v>
      </c>
      <c r="J382" s="7" t="s">
        <v>51</v>
      </c>
      <c r="K382" s="7" t="n">
        <v>10</v>
      </c>
      <c r="L382" s="7" t="n">
        <v>4</v>
      </c>
      <c r="M382" s="7" t="n">
        <v>2</v>
      </c>
      <c r="N382" s="7" t="s">
        <v>42</v>
      </c>
      <c r="O382" s="7" t="s">
        <v>52</v>
      </c>
      <c r="P382" s="7" t="n">
        <v>12.4</v>
      </c>
      <c r="Q382" s="7" t="n">
        <v>17</v>
      </c>
      <c r="R382" s="7" t="s">
        <v>44</v>
      </c>
      <c r="S382" s="7"/>
      <c r="T382" s="7"/>
      <c r="U382" s="7" t="str">
        <f aca="false">IF(COUNTIF($A$2:$A$5001,A382)&gt;1,"Duplicate","Unique")</f>
        <v>Unique</v>
      </c>
      <c r="V382" s="7" t="str">
        <f aca="false">IF(COUNTIFS($B$2:$B$5001,B382,$H$2:$H$5001,H382,$J$2:$J$5001,J382)&gt;1,"Possible Duplicate Booking","Unique")</f>
        <v>Unique</v>
      </c>
      <c r="W382" s="7" t="str">
        <f aca="false">IF((H382-G382)&lt;&gt;K382,"Mismatch","OK")</f>
        <v>OK</v>
      </c>
      <c r="X382" s="7" t="str">
        <f aca="false">IF(TEXT(H382,"dddd")&lt;&gt;I382,"Mismatch","OK")</f>
        <v>OK</v>
      </c>
      <c r="Y382" s="7" t="str">
        <f aca="false">IF(AND(N382="No",O382&lt;&gt;""),"Unexpected: channel present but no reminder sent",IF(AND(N382="Yes",O382=""),"Missing channel for sent reminder","OK"))</f>
        <v>OK</v>
      </c>
    </row>
    <row r="383" customFormat="false" ht="15" hidden="false" customHeight="false" outlineLevel="0" collapsed="false">
      <c r="A383" s="9" t="s">
        <v>801</v>
      </c>
      <c r="B383" s="9" t="s">
        <v>757</v>
      </c>
      <c r="C383" s="9" t="s">
        <v>37</v>
      </c>
      <c r="D383" s="9" t="n">
        <v>56</v>
      </c>
      <c r="E383" s="9" t="s">
        <v>61</v>
      </c>
      <c r="F383" s="9" t="s">
        <v>57</v>
      </c>
      <c r="G383" s="10" t="n">
        <v>46112</v>
      </c>
      <c r="H383" s="10" t="n">
        <v>46169</v>
      </c>
      <c r="I383" s="9" t="s">
        <v>58</v>
      </c>
      <c r="J383" s="9" t="s">
        <v>41</v>
      </c>
      <c r="K383" s="9" t="n">
        <v>57</v>
      </c>
      <c r="L383" s="9" t="n">
        <v>3</v>
      </c>
      <c r="M383" s="9" t="n">
        <v>1</v>
      </c>
      <c r="N383" s="9" t="s">
        <v>71</v>
      </c>
      <c r="O383" s="9"/>
      <c r="P383" s="9" t="n">
        <v>6.9</v>
      </c>
      <c r="Q383" s="9" t="n">
        <v>14</v>
      </c>
      <c r="R383" s="9" t="s">
        <v>44</v>
      </c>
      <c r="S383" s="9"/>
      <c r="T383" s="9"/>
      <c r="U383" s="9" t="str">
        <f aca="false">IF(COUNTIF($A$2:$A$5001,A383)&gt;1,"Duplicate","Unique")</f>
        <v>Unique</v>
      </c>
      <c r="V383" s="9" t="str">
        <f aca="false">IF(COUNTIFS($B$2:$B$5001,B383,$H$2:$H$5001,H383,$J$2:$J$5001,J383)&gt;1,"Possible Duplicate Booking","Unique")</f>
        <v>Unique</v>
      </c>
      <c r="W383" s="9" t="str">
        <f aca="false">IF((H383-G383)&lt;&gt;K383,"Mismatch","OK")</f>
        <v>OK</v>
      </c>
      <c r="X383" s="9" t="str">
        <f aca="false">IF(TEXT(H383,"dddd")&lt;&gt;I383,"Mismatch","OK")</f>
        <v>OK</v>
      </c>
      <c r="Y383" s="9" t="str">
        <f aca="false">IF(AND(N383="No",O383&lt;&gt;""),"Unexpected: channel present but no reminder sent",IF(AND(N383="Yes",O383=""),"Missing channel for sent reminder","OK"))</f>
        <v>OK</v>
      </c>
    </row>
    <row r="384" customFormat="false" ht="15" hidden="false" customHeight="false" outlineLevel="0" collapsed="false">
      <c r="A384" s="7" t="s">
        <v>802</v>
      </c>
      <c r="B384" s="7" t="s">
        <v>803</v>
      </c>
      <c r="C384" s="7" t="s">
        <v>47</v>
      </c>
      <c r="D384" s="7" t="n">
        <v>31</v>
      </c>
      <c r="E384" s="7" t="s">
        <v>48</v>
      </c>
      <c r="F384" s="7" t="s">
        <v>57</v>
      </c>
      <c r="G384" s="8" t="n">
        <v>46152</v>
      </c>
      <c r="H384" s="8" t="n">
        <v>46175</v>
      </c>
      <c r="I384" s="7" t="s">
        <v>40</v>
      </c>
      <c r="J384" s="7" t="s">
        <v>51</v>
      </c>
      <c r="K384" s="7" t="n">
        <v>23</v>
      </c>
      <c r="L384" s="7" t="n">
        <v>3</v>
      </c>
      <c r="M384" s="7" t="n">
        <v>0</v>
      </c>
      <c r="N384" s="7" t="s">
        <v>42</v>
      </c>
      <c r="O384" s="7" t="s">
        <v>67</v>
      </c>
      <c r="P384" s="7" t="n">
        <v>7.7</v>
      </c>
      <c r="Q384" s="7" t="n">
        <v>32</v>
      </c>
      <c r="R384" s="7" t="s">
        <v>44</v>
      </c>
      <c r="S384" s="7"/>
      <c r="T384" s="7"/>
      <c r="U384" s="7" t="str">
        <f aca="false">IF(COUNTIF($A$2:$A$5001,A384)&gt;1,"Duplicate","Unique")</f>
        <v>Unique</v>
      </c>
      <c r="V384" s="7" t="str">
        <f aca="false">IF(COUNTIFS($B$2:$B$5001,B384,$H$2:$H$5001,H384,$J$2:$J$5001,J384)&gt;1,"Possible Duplicate Booking","Unique")</f>
        <v>Unique</v>
      </c>
      <c r="W384" s="7" t="str">
        <f aca="false">IF((H384-G384)&lt;&gt;K384,"Mismatch","OK")</f>
        <v>OK</v>
      </c>
      <c r="X384" s="7" t="str">
        <f aca="false">IF(TEXT(H384,"dddd")&lt;&gt;I384,"Mismatch","OK")</f>
        <v>OK</v>
      </c>
      <c r="Y384" s="7" t="str">
        <f aca="false">IF(AND(N384="No",O384&lt;&gt;""),"Unexpected: channel present but no reminder sent",IF(AND(N384="Yes",O384=""),"Missing channel for sent reminder","OK"))</f>
        <v>OK</v>
      </c>
    </row>
    <row r="385" customFormat="false" ht="15" hidden="false" customHeight="false" outlineLevel="0" collapsed="false">
      <c r="A385" s="9" t="s">
        <v>804</v>
      </c>
      <c r="B385" s="9" t="s">
        <v>805</v>
      </c>
      <c r="C385" s="9" t="s">
        <v>37</v>
      </c>
      <c r="D385" s="9" t="n">
        <v>60</v>
      </c>
      <c r="E385" s="9" t="s">
        <v>61</v>
      </c>
      <c r="F385" s="9" t="s">
        <v>49</v>
      </c>
      <c r="G385" s="10" t="n">
        <v>45766</v>
      </c>
      <c r="H385" s="10" t="n">
        <v>45789</v>
      </c>
      <c r="I385" s="9" t="s">
        <v>66</v>
      </c>
      <c r="J385" s="9" t="s">
        <v>41</v>
      </c>
      <c r="K385" s="9" t="n">
        <v>23</v>
      </c>
      <c r="L385" s="9" t="n">
        <v>4</v>
      </c>
      <c r="M385" s="9" t="n">
        <v>1</v>
      </c>
      <c r="N385" s="9" t="s">
        <v>42</v>
      </c>
      <c r="O385" s="9" t="s">
        <v>52</v>
      </c>
      <c r="P385" s="9" t="n">
        <v>6.1</v>
      </c>
      <c r="Q385" s="9" t="n">
        <v>23</v>
      </c>
      <c r="R385" s="9" t="s">
        <v>53</v>
      </c>
      <c r="S385" s="9"/>
      <c r="T385" s="9"/>
      <c r="U385" s="9" t="str">
        <f aca="false">IF(COUNTIF($A$2:$A$5001,A385)&gt;1,"Duplicate","Unique")</f>
        <v>Unique</v>
      </c>
      <c r="V385" s="9" t="str">
        <f aca="false">IF(COUNTIFS($B$2:$B$5001,B385,$H$2:$H$5001,H385,$J$2:$J$5001,J385)&gt;1,"Possible Duplicate Booking","Unique")</f>
        <v>Unique</v>
      </c>
      <c r="W385" s="9" t="str">
        <f aca="false">IF((H385-G385)&lt;&gt;K385,"Mismatch","OK")</f>
        <v>OK</v>
      </c>
      <c r="X385" s="9" t="str">
        <f aca="false">IF(TEXT(H385,"dddd")&lt;&gt;I385,"Mismatch","OK")</f>
        <v>OK</v>
      </c>
      <c r="Y385" s="9" t="str">
        <f aca="false">IF(AND(N385="No",O385&lt;&gt;""),"Unexpected: channel present but no reminder sent",IF(AND(N385="Yes",O385=""),"Missing channel for sent reminder","OK"))</f>
        <v>OK</v>
      </c>
    </row>
    <row r="386" customFormat="false" ht="15" hidden="false" customHeight="false" outlineLevel="0" collapsed="false">
      <c r="A386" s="7" t="s">
        <v>806</v>
      </c>
      <c r="B386" s="7" t="s">
        <v>807</v>
      </c>
      <c r="C386" s="7" t="s">
        <v>37</v>
      </c>
      <c r="D386" s="7" t="n">
        <v>64</v>
      </c>
      <c r="E386" s="7" t="s">
        <v>61</v>
      </c>
      <c r="F386" s="7" t="s">
        <v>57</v>
      </c>
      <c r="G386" s="8" t="n">
        <v>45672</v>
      </c>
      <c r="H386" s="8" t="n">
        <v>45675</v>
      </c>
      <c r="I386" s="7" t="s">
        <v>102</v>
      </c>
      <c r="J386" s="7" t="s">
        <v>63</v>
      </c>
      <c r="K386" s="7" t="n">
        <v>3</v>
      </c>
      <c r="L386" s="7" t="n">
        <v>3</v>
      </c>
      <c r="M386" s="7" t="n">
        <v>1</v>
      </c>
      <c r="N386" s="7" t="s">
        <v>42</v>
      </c>
      <c r="O386" s="7" t="s">
        <v>67</v>
      </c>
      <c r="P386" s="7" t="n">
        <v>14.9</v>
      </c>
      <c r="Q386" s="7" t="n">
        <v>16</v>
      </c>
      <c r="R386" s="7" t="s">
        <v>53</v>
      </c>
      <c r="S386" s="7"/>
      <c r="T386" s="7"/>
      <c r="U386" s="7" t="str">
        <f aca="false">IF(COUNTIF($A$2:$A$5001,A386)&gt;1,"Duplicate","Unique")</f>
        <v>Unique</v>
      </c>
      <c r="V386" s="7" t="str">
        <f aca="false">IF(COUNTIFS($B$2:$B$5001,B386,$H$2:$H$5001,H386,$J$2:$J$5001,J386)&gt;1,"Possible Duplicate Booking","Unique")</f>
        <v>Unique</v>
      </c>
      <c r="W386" s="7" t="str">
        <f aca="false">IF((H386-G386)&lt;&gt;K386,"Mismatch","OK")</f>
        <v>OK</v>
      </c>
      <c r="X386" s="7" t="str">
        <f aca="false">IF(TEXT(H386,"dddd")&lt;&gt;I386,"Mismatch","OK")</f>
        <v>OK</v>
      </c>
      <c r="Y386" s="7" t="str">
        <f aca="false">IF(AND(N386="No",O386&lt;&gt;""),"Unexpected: channel present but no reminder sent",IF(AND(N386="Yes",O386=""),"Missing channel for sent reminder","OK"))</f>
        <v>OK</v>
      </c>
    </row>
    <row r="387" customFormat="false" ht="15" hidden="false" customHeight="false" outlineLevel="0" collapsed="false">
      <c r="A387" s="9" t="s">
        <v>808</v>
      </c>
      <c r="B387" s="9" t="s">
        <v>262</v>
      </c>
      <c r="C387" s="9" t="s">
        <v>37</v>
      </c>
      <c r="D387" s="9" t="n">
        <v>25</v>
      </c>
      <c r="E387" s="9" t="s">
        <v>48</v>
      </c>
      <c r="F387" s="9" t="s">
        <v>57</v>
      </c>
      <c r="G387" s="10" t="n">
        <v>45672</v>
      </c>
      <c r="H387" s="10" t="n">
        <v>45725</v>
      </c>
      <c r="I387" s="9" t="s">
        <v>75</v>
      </c>
      <c r="J387" s="9" t="s">
        <v>41</v>
      </c>
      <c r="K387" s="9" t="n">
        <v>53</v>
      </c>
      <c r="L387" s="9" t="n">
        <v>0</v>
      </c>
      <c r="M387" s="9" t="n">
        <v>0</v>
      </c>
      <c r="N387" s="9" t="s">
        <v>42</v>
      </c>
      <c r="O387" s="9" t="s">
        <v>52</v>
      </c>
      <c r="P387" s="9" t="n">
        <v>3.9</v>
      </c>
      <c r="Q387" s="9" t="n">
        <v>34</v>
      </c>
      <c r="R387" s="9" t="s">
        <v>53</v>
      </c>
      <c r="S387" s="9"/>
      <c r="T387" s="9"/>
      <c r="U387" s="9" t="str">
        <f aca="false">IF(COUNTIF($A$2:$A$5001,A387)&gt;1,"Duplicate","Unique")</f>
        <v>Unique</v>
      </c>
      <c r="V387" s="9" t="str">
        <f aca="false">IF(COUNTIFS($B$2:$B$5001,B387,$H$2:$H$5001,H387,$J$2:$J$5001,J387)&gt;1,"Possible Duplicate Booking","Unique")</f>
        <v>Unique</v>
      </c>
      <c r="W387" s="9" t="str">
        <f aca="false">IF((H387-G387)&lt;&gt;K387,"Mismatch","OK")</f>
        <v>OK</v>
      </c>
      <c r="X387" s="9" t="str">
        <f aca="false">IF(TEXT(H387,"dddd")&lt;&gt;I387,"Mismatch","OK")</f>
        <v>OK</v>
      </c>
      <c r="Y387" s="9" t="str">
        <f aca="false">IF(AND(N387="No",O387&lt;&gt;""),"Unexpected: channel present but no reminder sent",IF(AND(N387="Yes",O387=""),"Missing channel for sent reminder","OK"))</f>
        <v>OK</v>
      </c>
    </row>
    <row r="388" customFormat="false" ht="15" hidden="false" customHeight="false" outlineLevel="0" collapsed="false">
      <c r="A388" s="7" t="s">
        <v>809</v>
      </c>
      <c r="B388" s="7" t="s">
        <v>250</v>
      </c>
      <c r="C388" s="7" t="s">
        <v>47</v>
      </c>
      <c r="D388" s="7" t="n">
        <v>28</v>
      </c>
      <c r="E388" s="7" t="s">
        <v>48</v>
      </c>
      <c r="F388" s="7" t="s">
        <v>57</v>
      </c>
      <c r="G388" s="8" t="n">
        <v>45680</v>
      </c>
      <c r="H388" s="8" t="n">
        <v>45694</v>
      </c>
      <c r="I388" s="7" t="s">
        <v>62</v>
      </c>
      <c r="J388" s="7" t="s">
        <v>51</v>
      </c>
      <c r="K388" s="7" t="n">
        <v>14</v>
      </c>
      <c r="L388" s="7" t="n">
        <v>4</v>
      </c>
      <c r="M388" s="7" t="n">
        <v>2</v>
      </c>
      <c r="N388" s="7" t="s">
        <v>71</v>
      </c>
      <c r="O388" s="7"/>
      <c r="P388" s="7" t="n">
        <v>25.4</v>
      </c>
      <c r="Q388" s="7" t="n">
        <v>34</v>
      </c>
      <c r="R388" s="7" t="s">
        <v>44</v>
      </c>
      <c r="S388" s="7"/>
      <c r="T388" s="7"/>
      <c r="U388" s="7" t="str">
        <f aca="false">IF(COUNTIF($A$2:$A$5001,A388)&gt;1,"Duplicate","Unique")</f>
        <v>Unique</v>
      </c>
      <c r="V388" s="7" t="str">
        <f aca="false">IF(COUNTIFS($B$2:$B$5001,B388,$H$2:$H$5001,H388,$J$2:$J$5001,J388)&gt;1,"Possible Duplicate Booking","Unique")</f>
        <v>Unique</v>
      </c>
      <c r="W388" s="7" t="str">
        <f aca="false">IF((H388-G388)&lt;&gt;K388,"Mismatch","OK")</f>
        <v>OK</v>
      </c>
      <c r="X388" s="7" t="str">
        <f aca="false">IF(TEXT(H388,"dddd")&lt;&gt;I388,"Mismatch","OK")</f>
        <v>OK</v>
      </c>
      <c r="Y388" s="7" t="str">
        <f aca="false">IF(AND(N388="No",O388&lt;&gt;""),"Unexpected: channel present but no reminder sent",IF(AND(N388="Yes",O388=""),"Missing channel for sent reminder","OK"))</f>
        <v>OK</v>
      </c>
    </row>
    <row r="389" customFormat="false" ht="15" hidden="false" customHeight="false" outlineLevel="0" collapsed="false">
      <c r="A389" s="9" t="s">
        <v>810</v>
      </c>
      <c r="B389" s="9" t="s">
        <v>811</v>
      </c>
      <c r="C389" s="9" t="s">
        <v>47</v>
      </c>
      <c r="D389" s="9" t="n">
        <v>60</v>
      </c>
      <c r="E389" s="9" t="s">
        <v>61</v>
      </c>
      <c r="F389" s="9" t="s">
        <v>57</v>
      </c>
      <c r="G389" s="10" t="n">
        <v>46051</v>
      </c>
      <c r="H389" s="10" t="n">
        <v>46111</v>
      </c>
      <c r="I389" s="9" t="s">
        <v>66</v>
      </c>
      <c r="J389" s="9" t="s">
        <v>51</v>
      </c>
      <c r="K389" s="9" t="n">
        <v>60</v>
      </c>
      <c r="L389" s="9" t="n">
        <v>3</v>
      </c>
      <c r="M389" s="9" t="n">
        <v>0</v>
      </c>
      <c r="N389" s="9" t="s">
        <v>42</v>
      </c>
      <c r="O389" s="9" t="s">
        <v>67</v>
      </c>
      <c r="P389" s="9" t="n">
        <v>8.7</v>
      </c>
      <c r="Q389" s="9" t="n">
        <v>14</v>
      </c>
      <c r="R389" s="9" t="s">
        <v>44</v>
      </c>
      <c r="S389" s="9"/>
      <c r="T389" s="9"/>
      <c r="U389" s="9" t="str">
        <f aca="false">IF(COUNTIF($A$2:$A$5001,A389)&gt;1,"Duplicate","Unique")</f>
        <v>Unique</v>
      </c>
      <c r="V389" s="9" t="str">
        <f aca="false">IF(COUNTIFS($B$2:$B$5001,B389,$H$2:$H$5001,H389,$J$2:$J$5001,J389)&gt;1,"Possible Duplicate Booking","Unique")</f>
        <v>Unique</v>
      </c>
      <c r="W389" s="9" t="str">
        <f aca="false">IF((H389-G389)&lt;&gt;K389,"Mismatch","OK")</f>
        <v>OK</v>
      </c>
      <c r="X389" s="9" t="str">
        <f aca="false">IF(TEXT(H389,"dddd")&lt;&gt;I389,"Mismatch","OK")</f>
        <v>OK</v>
      </c>
      <c r="Y389" s="9" t="str">
        <f aca="false">IF(AND(N389="No",O389&lt;&gt;""),"Unexpected: channel present but no reminder sent",IF(AND(N389="Yes",O389=""),"Missing channel for sent reminder","OK"))</f>
        <v>OK</v>
      </c>
    </row>
    <row r="390" customFormat="false" ht="15" hidden="false" customHeight="false" outlineLevel="0" collapsed="false">
      <c r="A390" s="7" t="s">
        <v>812</v>
      </c>
      <c r="B390" s="7" t="s">
        <v>813</v>
      </c>
      <c r="C390" s="7" t="s">
        <v>47</v>
      </c>
      <c r="D390" s="7" t="n">
        <v>25</v>
      </c>
      <c r="E390" s="7" t="s">
        <v>48</v>
      </c>
      <c r="F390" s="7" t="s">
        <v>49</v>
      </c>
      <c r="G390" s="8" t="n">
        <v>46114</v>
      </c>
      <c r="H390" s="8" t="n">
        <v>46144</v>
      </c>
      <c r="I390" s="7" t="s">
        <v>102</v>
      </c>
      <c r="J390" s="7" t="s">
        <v>63</v>
      </c>
      <c r="K390" s="7" t="n">
        <v>30</v>
      </c>
      <c r="L390" s="7" t="n">
        <v>2</v>
      </c>
      <c r="M390" s="7" t="n">
        <v>0</v>
      </c>
      <c r="N390" s="7" t="s">
        <v>42</v>
      </c>
      <c r="O390" s="7" t="s">
        <v>43</v>
      </c>
      <c r="P390" s="7" t="n">
        <v>8.6</v>
      </c>
      <c r="Q390" s="7" t="n">
        <v>28</v>
      </c>
      <c r="R390" s="7" t="s">
        <v>53</v>
      </c>
      <c r="S390" s="7"/>
      <c r="T390" s="7"/>
      <c r="U390" s="7" t="str">
        <f aca="false">IF(COUNTIF($A$2:$A$5001,A390)&gt;1,"Duplicate","Unique")</f>
        <v>Unique</v>
      </c>
      <c r="V390" s="7" t="str">
        <f aca="false">IF(COUNTIFS($B$2:$B$5001,B390,$H$2:$H$5001,H390,$J$2:$J$5001,J390)&gt;1,"Possible Duplicate Booking","Unique")</f>
        <v>Unique</v>
      </c>
      <c r="W390" s="7" t="str">
        <f aca="false">IF((H390-G390)&lt;&gt;K390,"Mismatch","OK")</f>
        <v>OK</v>
      </c>
      <c r="X390" s="7" t="str">
        <f aca="false">IF(TEXT(H390,"dddd")&lt;&gt;I390,"Mismatch","OK")</f>
        <v>OK</v>
      </c>
      <c r="Y390" s="7" t="str">
        <f aca="false">IF(AND(N390="No",O390&lt;&gt;""),"Unexpected: channel present but no reminder sent",IF(AND(N390="Yes",O390=""),"Missing channel for sent reminder","OK"))</f>
        <v>OK</v>
      </c>
    </row>
    <row r="391" customFormat="false" ht="15" hidden="false" customHeight="false" outlineLevel="0" collapsed="false">
      <c r="A391" s="9" t="s">
        <v>814</v>
      </c>
      <c r="B391" s="9" t="s">
        <v>815</v>
      </c>
      <c r="C391" s="9" t="s">
        <v>37</v>
      </c>
      <c r="D391" s="9" t="n">
        <v>73</v>
      </c>
      <c r="E391" s="9" t="s">
        <v>70</v>
      </c>
      <c r="F391" s="9" t="s">
        <v>39</v>
      </c>
      <c r="G391" s="10" t="n">
        <v>45688</v>
      </c>
      <c r="H391" s="10" t="n">
        <v>45741</v>
      </c>
      <c r="I391" s="9" t="s">
        <v>40</v>
      </c>
      <c r="J391" s="9" t="s">
        <v>41</v>
      </c>
      <c r="K391" s="9" t="n">
        <v>53</v>
      </c>
      <c r="L391" s="9" t="n">
        <v>3</v>
      </c>
      <c r="M391" s="9" t="n">
        <v>0</v>
      </c>
      <c r="N391" s="9" t="s">
        <v>42</v>
      </c>
      <c r="O391" s="9" t="s">
        <v>43</v>
      </c>
      <c r="P391" s="9" t="n">
        <v>7.5</v>
      </c>
      <c r="Q391" s="9" t="n">
        <v>30</v>
      </c>
      <c r="R391" s="9" t="s">
        <v>53</v>
      </c>
      <c r="S391" s="9"/>
      <c r="T391" s="9"/>
      <c r="U391" s="9" t="str">
        <f aca="false">IF(COUNTIF($A$2:$A$5001,A391)&gt;1,"Duplicate","Unique")</f>
        <v>Unique</v>
      </c>
      <c r="V391" s="9" t="str">
        <f aca="false">IF(COUNTIFS($B$2:$B$5001,B391,$H$2:$H$5001,H391,$J$2:$J$5001,J391)&gt;1,"Possible Duplicate Booking","Unique")</f>
        <v>Unique</v>
      </c>
      <c r="W391" s="9" t="str">
        <f aca="false">IF((H391-G391)&lt;&gt;K391,"Mismatch","OK")</f>
        <v>OK</v>
      </c>
      <c r="X391" s="9" t="str">
        <f aca="false">IF(TEXT(H391,"dddd")&lt;&gt;I391,"Mismatch","OK")</f>
        <v>OK</v>
      </c>
      <c r="Y391" s="9" t="str">
        <f aca="false">IF(AND(N391="No",O391&lt;&gt;""),"Unexpected: channel present but no reminder sent",IF(AND(N391="Yes",O391=""),"Missing channel for sent reminder","OK"))</f>
        <v>OK</v>
      </c>
    </row>
    <row r="392" customFormat="false" ht="15" hidden="false" customHeight="false" outlineLevel="0" collapsed="false">
      <c r="A392" s="7" t="s">
        <v>816</v>
      </c>
      <c r="B392" s="7" t="s">
        <v>817</v>
      </c>
      <c r="C392" s="7" t="s">
        <v>37</v>
      </c>
      <c r="D392" s="7" t="n">
        <v>24</v>
      </c>
      <c r="E392" s="7" t="s">
        <v>82</v>
      </c>
      <c r="F392" s="7" t="s">
        <v>39</v>
      </c>
      <c r="G392" s="8" t="n">
        <v>46055</v>
      </c>
      <c r="H392" s="8" t="n">
        <v>46065</v>
      </c>
      <c r="I392" s="7" t="s">
        <v>62</v>
      </c>
      <c r="J392" s="7" t="s">
        <v>41</v>
      </c>
      <c r="K392" s="7" t="n">
        <v>10</v>
      </c>
      <c r="L392" s="7" t="n">
        <v>2</v>
      </c>
      <c r="M392" s="7" t="n">
        <v>0</v>
      </c>
      <c r="N392" s="7" t="s">
        <v>42</v>
      </c>
      <c r="O392" s="7" t="s">
        <v>52</v>
      </c>
      <c r="P392" s="7" t="n">
        <v>15.2</v>
      </c>
      <c r="Q392" s="7" t="n">
        <v>43</v>
      </c>
      <c r="R392" s="7" t="s">
        <v>53</v>
      </c>
      <c r="S392" s="7"/>
      <c r="T392" s="7"/>
      <c r="U392" s="7" t="str">
        <f aca="false">IF(COUNTIF($A$2:$A$5001,A392)&gt;1,"Duplicate","Unique")</f>
        <v>Unique</v>
      </c>
      <c r="V392" s="7" t="str">
        <f aca="false">IF(COUNTIFS($B$2:$B$5001,B392,$H$2:$H$5001,H392,$J$2:$J$5001,J392)&gt;1,"Possible Duplicate Booking","Unique")</f>
        <v>Unique</v>
      </c>
      <c r="W392" s="7" t="str">
        <f aca="false">IF((H392-G392)&lt;&gt;K392,"Mismatch","OK")</f>
        <v>OK</v>
      </c>
      <c r="X392" s="7" t="str">
        <f aca="false">IF(TEXT(H392,"dddd")&lt;&gt;I392,"Mismatch","OK")</f>
        <v>OK</v>
      </c>
      <c r="Y392" s="7" t="str">
        <f aca="false">IF(AND(N392="No",O392&lt;&gt;""),"Unexpected: channel present but no reminder sent",IF(AND(N392="Yes",O392=""),"Missing channel for sent reminder","OK"))</f>
        <v>OK</v>
      </c>
    </row>
    <row r="393" customFormat="false" ht="15" hidden="false" customHeight="false" outlineLevel="0" collapsed="false">
      <c r="A393" s="9" t="s">
        <v>818</v>
      </c>
      <c r="B393" s="9" t="s">
        <v>819</v>
      </c>
      <c r="C393" s="9" t="s">
        <v>37</v>
      </c>
      <c r="D393" s="9" t="n">
        <v>79</v>
      </c>
      <c r="E393" s="9" t="s">
        <v>70</v>
      </c>
      <c r="F393" s="9" t="s">
        <v>74</v>
      </c>
      <c r="G393" s="10" t="n">
        <v>45745</v>
      </c>
      <c r="H393" s="10" t="n">
        <v>45755</v>
      </c>
      <c r="I393" s="9" t="s">
        <v>40</v>
      </c>
      <c r="J393" s="9" t="s">
        <v>41</v>
      </c>
      <c r="K393" s="9" t="n">
        <v>10</v>
      </c>
      <c r="L393" s="9" t="n">
        <v>1</v>
      </c>
      <c r="M393" s="9" t="n">
        <v>1</v>
      </c>
      <c r="N393" s="9" t="s">
        <v>42</v>
      </c>
      <c r="O393" s="9" t="s">
        <v>52</v>
      </c>
      <c r="P393" s="9" t="n">
        <v>9.2</v>
      </c>
      <c r="Q393" s="9" t="n">
        <v>22</v>
      </c>
      <c r="R393" s="9" t="s">
        <v>53</v>
      </c>
      <c r="S393" s="9"/>
      <c r="T393" s="9"/>
      <c r="U393" s="9" t="str">
        <f aca="false">IF(COUNTIF($A$2:$A$5001,A393)&gt;1,"Duplicate","Unique")</f>
        <v>Unique</v>
      </c>
      <c r="V393" s="9" t="str">
        <f aca="false">IF(COUNTIFS($B$2:$B$5001,B393,$H$2:$H$5001,H393,$J$2:$J$5001,J393)&gt;1,"Possible Duplicate Booking","Unique")</f>
        <v>Unique</v>
      </c>
      <c r="W393" s="9" t="str">
        <f aca="false">IF((H393-G393)&lt;&gt;K393,"Mismatch","OK")</f>
        <v>OK</v>
      </c>
      <c r="X393" s="9" t="str">
        <f aca="false">IF(TEXT(H393,"dddd")&lt;&gt;I393,"Mismatch","OK")</f>
        <v>OK</v>
      </c>
      <c r="Y393" s="9" t="str">
        <f aca="false">IF(AND(N393="No",O393&lt;&gt;""),"Unexpected: channel present but no reminder sent",IF(AND(N393="Yes",O393=""),"Missing channel for sent reminder","OK"))</f>
        <v>OK</v>
      </c>
    </row>
    <row r="394" customFormat="false" ht="15" hidden="false" customHeight="false" outlineLevel="0" collapsed="false">
      <c r="A394" s="7" t="s">
        <v>820</v>
      </c>
      <c r="B394" s="7" t="s">
        <v>821</v>
      </c>
      <c r="C394" s="7" t="s">
        <v>47</v>
      </c>
      <c r="D394" s="7" t="n">
        <v>60</v>
      </c>
      <c r="E394" s="7" t="s">
        <v>61</v>
      </c>
      <c r="F394" s="7" t="s">
        <v>57</v>
      </c>
      <c r="G394" s="8" t="n">
        <v>45810</v>
      </c>
      <c r="H394" s="8" t="n">
        <v>45858</v>
      </c>
      <c r="I394" s="7" t="s">
        <v>75</v>
      </c>
      <c r="J394" s="7" t="s">
        <v>51</v>
      </c>
      <c r="K394" s="7" t="n">
        <v>48</v>
      </c>
      <c r="L394" s="7" t="n">
        <v>2</v>
      </c>
      <c r="M394" s="7" t="n">
        <v>0</v>
      </c>
      <c r="N394" s="7" t="s">
        <v>42</v>
      </c>
      <c r="O394" s="7" t="s">
        <v>52</v>
      </c>
      <c r="P394" s="7" t="n">
        <v>6.3</v>
      </c>
      <c r="Q394" s="7" t="n">
        <v>24</v>
      </c>
      <c r="R394" s="7" t="s">
        <v>44</v>
      </c>
      <c r="S394" s="7"/>
      <c r="T394" s="7"/>
      <c r="U394" s="7" t="str">
        <f aca="false">IF(COUNTIF($A$2:$A$5001,A394)&gt;1,"Duplicate","Unique")</f>
        <v>Unique</v>
      </c>
      <c r="V394" s="7" t="str">
        <f aca="false">IF(COUNTIFS($B$2:$B$5001,B394,$H$2:$H$5001,H394,$J$2:$J$5001,J394)&gt;1,"Possible Duplicate Booking","Unique")</f>
        <v>Unique</v>
      </c>
      <c r="W394" s="7" t="str">
        <f aca="false">IF((H394-G394)&lt;&gt;K394,"Mismatch","OK")</f>
        <v>OK</v>
      </c>
      <c r="X394" s="7" t="str">
        <f aca="false">IF(TEXT(H394,"dddd")&lt;&gt;I394,"Mismatch","OK")</f>
        <v>OK</v>
      </c>
      <c r="Y394" s="7" t="str">
        <f aca="false">IF(AND(N394="No",O394&lt;&gt;""),"Unexpected: channel present but no reminder sent",IF(AND(N394="Yes",O394=""),"Missing channel for sent reminder","OK"))</f>
        <v>OK</v>
      </c>
    </row>
    <row r="395" customFormat="false" ht="15" hidden="false" customHeight="false" outlineLevel="0" collapsed="false">
      <c r="A395" s="9" t="s">
        <v>822</v>
      </c>
      <c r="B395" s="9" t="s">
        <v>130</v>
      </c>
      <c r="C395" s="9" t="s">
        <v>37</v>
      </c>
      <c r="D395" s="9" t="n">
        <v>45</v>
      </c>
      <c r="E395" s="9" t="s">
        <v>56</v>
      </c>
      <c r="F395" s="9" t="s">
        <v>57</v>
      </c>
      <c r="G395" s="10" t="n">
        <v>45936</v>
      </c>
      <c r="H395" s="10" t="n">
        <v>45985</v>
      </c>
      <c r="I395" s="9" t="s">
        <v>66</v>
      </c>
      <c r="J395" s="9" t="s">
        <v>51</v>
      </c>
      <c r="K395" s="9" t="n">
        <v>49</v>
      </c>
      <c r="L395" s="9" t="n">
        <v>2</v>
      </c>
      <c r="M395" s="9" t="n">
        <v>0</v>
      </c>
      <c r="N395" s="9" t="s">
        <v>42</v>
      </c>
      <c r="O395" s="9" t="s">
        <v>52</v>
      </c>
      <c r="P395" s="9" t="n">
        <v>14.7</v>
      </c>
      <c r="Q395" s="9" t="n">
        <v>31</v>
      </c>
      <c r="R395" s="9" t="s">
        <v>44</v>
      </c>
      <c r="S395" s="9"/>
      <c r="T395" s="9"/>
      <c r="U395" s="9" t="str">
        <f aca="false">IF(COUNTIF($A$2:$A$5001,A395)&gt;1,"Duplicate","Unique")</f>
        <v>Unique</v>
      </c>
      <c r="V395" s="9" t="str">
        <f aca="false">IF(COUNTIFS($B$2:$B$5001,B395,$H$2:$H$5001,H395,$J$2:$J$5001,J395)&gt;1,"Possible Duplicate Booking","Unique")</f>
        <v>Unique</v>
      </c>
      <c r="W395" s="9" t="str">
        <f aca="false">IF((H395-G395)&lt;&gt;K395,"Mismatch","OK")</f>
        <v>OK</v>
      </c>
      <c r="X395" s="9" t="str">
        <f aca="false">IF(TEXT(H395,"dddd")&lt;&gt;I395,"Mismatch","OK")</f>
        <v>OK</v>
      </c>
      <c r="Y395" s="9" t="str">
        <f aca="false">IF(AND(N395="No",O395&lt;&gt;""),"Unexpected: channel present but no reminder sent",IF(AND(N395="Yes",O395=""),"Missing channel for sent reminder","OK"))</f>
        <v>OK</v>
      </c>
    </row>
    <row r="396" customFormat="false" ht="15" hidden="false" customHeight="false" outlineLevel="0" collapsed="false">
      <c r="A396" s="7" t="s">
        <v>823</v>
      </c>
      <c r="B396" s="7" t="s">
        <v>824</v>
      </c>
      <c r="C396" s="7" t="s">
        <v>37</v>
      </c>
      <c r="D396" s="7" t="n">
        <v>34</v>
      </c>
      <c r="E396" s="7" t="s">
        <v>48</v>
      </c>
      <c r="F396" s="7" t="s">
        <v>57</v>
      </c>
      <c r="G396" s="8" t="n">
        <v>46018</v>
      </c>
      <c r="H396" s="8" t="n">
        <v>46051</v>
      </c>
      <c r="I396" s="7" t="s">
        <v>62</v>
      </c>
      <c r="J396" s="7" t="s">
        <v>41</v>
      </c>
      <c r="K396" s="7" t="n">
        <v>33</v>
      </c>
      <c r="L396" s="7" t="n">
        <v>4</v>
      </c>
      <c r="M396" s="7" t="n">
        <v>1</v>
      </c>
      <c r="N396" s="7" t="s">
        <v>42</v>
      </c>
      <c r="O396" s="7" t="s">
        <v>52</v>
      </c>
      <c r="P396" s="7" t="n">
        <v>5.5</v>
      </c>
      <c r="Q396" s="7" t="n">
        <v>38</v>
      </c>
      <c r="R396" s="7" t="s">
        <v>53</v>
      </c>
      <c r="S396" s="7"/>
      <c r="T396" s="7"/>
      <c r="U396" s="7" t="str">
        <f aca="false">IF(COUNTIF($A$2:$A$5001,A396)&gt;1,"Duplicate","Unique")</f>
        <v>Unique</v>
      </c>
      <c r="V396" s="7" t="str">
        <f aca="false">IF(COUNTIFS($B$2:$B$5001,B396,$H$2:$H$5001,H396,$J$2:$J$5001,J396)&gt;1,"Possible Duplicate Booking","Unique")</f>
        <v>Unique</v>
      </c>
      <c r="W396" s="7" t="str">
        <f aca="false">IF((H396-G396)&lt;&gt;K396,"Mismatch","OK")</f>
        <v>OK</v>
      </c>
      <c r="X396" s="7" t="str">
        <f aca="false">IF(TEXT(H396,"dddd")&lt;&gt;I396,"Mismatch","OK")</f>
        <v>OK</v>
      </c>
      <c r="Y396" s="7" t="str">
        <f aca="false">IF(AND(N396="No",O396&lt;&gt;""),"Unexpected: channel present but no reminder sent",IF(AND(N396="Yes",O396=""),"Missing channel for sent reminder","OK"))</f>
        <v>OK</v>
      </c>
    </row>
    <row r="397" customFormat="false" ht="15" hidden="false" customHeight="false" outlineLevel="0" collapsed="false">
      <c r="A397" s="9" t="s">
        <v>825</v>
      </c>
      <c r="B397" s="9" t="s">
        <v>826</v>
      </c>
      <c r="C397" s="9" t="s">
        <v>47</v>
      </c>
      <c r="D397" s="9" t="n">
        <v>39</v>
      </c>
      <c r="E397" s="9" t="s">
        <v>38</v>
      </c>
      <c r="F397" s="9" t="s">
        <v>39</v>
      </c>
      <c r="G397" s="10" t="n">
        <v>46134</v>
      </c>
      <c r="H397" s="10" t="n">
        <v>46135</v>
      </c>
      <c r="I397" s="9" t="s">
        <v>62</v>
      </c>
      <c r="J397" s="9" t="s">
        <v>41</v>
      </c>
      <c r="K397" s="9" t="n">
        <v>1</v>
      </c>
      <c r="L397" s="9" t="n">
        <v>3</v>
      </c>
      <c r="M397" s="9" t="n">
        <v>2</v>
      </c>
      <c r="N397" s="9" t="s">
        <v>71</v>
      </c>
      <c r="O397" s="9"/>
      <c r="P397" s="9" t="n">
        <v>15.4</v>
      </c>
      <c r="Q397" s="9" t="n">
        <v>28</v>
      </c>
      <c r="R397" s="9" t="s">
        <v>87</v>
      </c>
      <c r="S397" s="9"/>
      <c r="T397" s="9"/>
      <c r="U397" s="9" t="str">
        <f aca="false">IF(COUNTIF($A$2:$A$5001,A397)&gt;1,"Duplicate","Unique")</f>
        <v>Unique</v>
      </c>
      <c r="V397" s="9" t="str">
        <f aca="false">IF(COUNTIFS($B$2:$B$5001,B397,$H$2:$H$5001,H397,$J$2:$J$5001,J397)&gt;1,"Possible Duplicate Booking","Unique")</f>
        <v>Unique</v>
      </c>
      <c r="W397" s="9" t="str">
        <f aca="false">IF((H397-G397)&lt;&gt;K397,"Mismatch","OK")</f>
        <v>OK</v>
      </c>
      <c r="X397" s="9" t="str">
        <f aca="false">IF(TEXT(H397,"dddd")&lt;&gt;I397,"Mismatch","OK")</f>
        <v>OK</v>
      </c>
      <c r="Y397" s="9" t="str">
        <f aca="false">IF(AND(N397="No",O397&lt;&gt;""),"Unexpected: channel present but no reminder sent",IF(AND(N397="Yes",O397=""),"Missing channel for sent reminder","OK"))</f>
        <v>OK</v>
      </c>
    </row>
    <row r="398" customFormat="false" ht="15" hidden="false" customHeight="false" outlineLevel="0" collapsed="false">
      <c r="A398" s="7" t="s">
        <v>827</v>
      </c>
      <c r="B398" s="7" t="s">
        <v>828</v>
      </c>
      <c r="C398" s="7" t="s">
        <v>47</v>
      </c>
      <c r="D398" s="7" t="n">
        <v>65</v>
      </c>
      <c r="E398" s="7" t="s">
        <v>70</v>
      </c>
      <c r="F398" s="7" t="s">
        <v>39</v>
      </c>
      <c r="G398" s="8" t="n">
        <v>45625</v>
      </c>
      <c r="H398" s="8" t="n">
        <v>45682</v>
      </c>
      <c r="I398" s="7" t="s">
        <v>102</v>
      </c>
      <c r="J398" s="7" t="s">
        <v>51</v>
      </c>
      <c r="K398" s="7" t="n">
        <v>57</v>
      </c>
      <c r="L398" s="7" t="n">
        <v>2</v>
      </c>
      <c r="M398" s="7" t="n">
        <v>0</v>
      </c>
      <c r="N398" s="7" t="s">
        <v>71</v>
      </c>
      <c r="O398" s="7"/>
      <c r="P398" s="7" t="n">
        <v>2.7</v>
      </c>
      <c r="Q398" s="7" t="n">
        <v>26</v>
      </c>
      <c r="R398" s="7" t="s">
        <v>44</v>
      </c>
      <c r="S398" s="7"/>
      <c r="T398" s="7"/>
      <c r="U398" s="7" t="str">
        <f aca="false">IF(COUNTIF($A$2:$A$5001,A398)&gt;1,"Duplicate","Unique")</f>
        <v>Unique</v>
      </c>
      <c r="V398" s="7" t="str">
        <f aca="false">IF(COUNTIFS($B$2:$B$5001,B398,$H$2:$H$5001,H398,$J$2:$J$5001,J398)&gt;1,"Possible Duplicate Booking","Unique")</f>
        <v>Unique</v>
      </c>
      <c r="W398" s="7" t="str">
        <f aca="false">IF((H398-G398)&lt;&gt;K398,"Mismatch","OK")</f>
        <v>OK</v>
      </c>
      <c r="X398" s="7" t="str">
        <f aca="false">IF(TEXT(H398,"dddd")&lt;&gt;I398,"Mismatch","OK")</f>
        <v>OK</v>
      </c>
      <c r="Y398" s="7" t="str">
        <f aca="false">IF(AND(N398="No",O398&lt;&gt;""),"Unexpected: channel present but no reminder sent",IF(AND(N398="Yes",O398=""),"Missing channel for sent reminder","OK"))</f>
        <v>OK</v>
      </c>
    </row>
    <row r="399" customFormat="false" ht="15" hidden="false" customHeight="false" outlineLevel="0" collapsed="false">
      <c r="A399" s="9" t="s">
        <v>829</v>
      </c>
      <c r="B399" s="9" t="s">
        <v>421</v>
      </c>
      <c r="C399" s="9" t="s">
        <v>37</v>
      </c>
      <c r="D399" s="9" t="n">
        <v>65</v>
      </c>
      <c r="E399" s="9" t="s">
        <v>70</v>
      </c>
      <c r="F399" s="9" t="s">
        <v>57</v>
      </c>
      <c r="G399" s="10" t="n">
        <v>45742</v>
      </c>
      <c r="H399" s="10" t="n">
        <v>45765</v>
      </c>
      <c r="I399" s="9" t="s">
        <v>50</v>
      </c>
      <c r="J399" s="9" t="s">
        <v>41</v>
      </c>
      <c r="K399" s="9" t="n">
        <v>23</v>
      </c>
      <c r="L399" s="9" t="n">
        <v>3</v>
      </c>
      <c r="M399" s="9" t="n">
        <v>0</v>
      </c>
      <c r="N399" s="9" t="s">
        <v>42</v>
      </c>
      <c r="O399" s="9" t="s">
        <v>52</v>
      </c>
      <c r="P399" s="9" t="n">
        <v>19.7</v>
      </c>
      <c r="Q399" s="9" t="n">
        <v>18</v>
      </c>
      <c r="R399" s="9" t="s">
        <v>44</v>
      </c>
      <c r="S399" s="9"/>
      <c r="T399" s="9"/>
      <c r="U399" s="9" t="str">
        <f aca="false">IF(COUNTIF($A$2:$A$5001,A399)&gt;1,"Duplicate","Unique")</f>
        <v>Unique</v>
      </c>
      <c r="V399" s="9" t="str">
        <f aca="false">IF(COUNTIFS($B$2:$B$5001,B399,$H$2:$H$5001,H399,$J$2:$J$5001,J399)&gt;1,"Possible Duplicate Booking","Unique")</f>
        <v>Unique</v>
      </c>
      <c r="W399" s="9" t="str">
        <f aca="false">IF((H399-G399)&lt;&gt;K399,"Mismatch","OK")</f>
        <v>OK</v>
      </c>
      <c r="X399" s="9" t="str">
        <f aca="false">IF(TEXT(H399,"dddd")&lt;&gt;I399,"Mismatch","OK")</f>
        <v>OK</v>
      </c>
      <c r="Y399" s="9" t="str">
        <f aca="false">IF(AND(N399="No",O399&lt;&gt;""),"Unexpected: channel present but no reminder sent",IF(AND(N399="Yes",O399=""),"Missing channel for sent reminder","OK"))</f>
        <v>OK</v>
      </c>
    </row>
    <row r="400" customFormat="false" ht="15" hidden="false" customHeight="false" outlineLevel="0" collapsed="false">
      <c r="A400" s="7" t="s">
        <v>830</v>
      </c>
      <c r="B400" s="7" t="s">
        <v>831</v>
      </c>
      <c r="C400" s="7" t="s">
        <v>47</v>
      </c>
      <c r="D400" s="7" t="n">
        <v>31</v>
      </c>
      <c r="E400" s="7" t="s">
        <v>48</v>
      </c>
      <c r="F400" s="7" t="s">
        <v>74</v>
      </c>
      <c r="G400" s="8" t="n">
        <v>45754</v>
      </c>
      <c r="H400" s="8" t="n">
        <v>45811</v>
      </c>
      <c r="I400" s="7" t="s">
        <v>40</v>
      </c>
      <c r="J400" s="7" t="s">
        <v>41</v>
      </c>
      <c r="K400" s="7" t="n">
        <v>57</v>
      </c>
      <c r="L400" s="7" t="n">
        <v>3</v>
      </c>
      <c r="M400" s="7" t="n">
        <v>0</v>
      </c>
      <c r="N400" s="7" t="s">
        <v>42</v>
      </c>
      <c r="O400" s="7" t="s">
        <v>52</v>
      </c>
      <c r="P400" s="7" t="n">
        <v>5.3</v>
      </c>
      <c r="Q400" s="7" t="n">
        <v>20</v>
      </c>
      <c r="R400" s="7" t="s">
        <v>53</v>
      </c>
      <c r="S400" s="7"/>
      <c r="T400" s="7"/>
      <c r="U400" s="7" t="str">
        <f aca="false">IF(COUNTIF($A$2:$A$5001,A400)&gt;1,"Duplicate","Unique")</f>
        <v>Unique</v>
      </c>
      <c r="V400" s="7" t="str">
        <f aca="false">IF(COUNTIFS($B$2:$B$5001,B400,$H$2:$H$5001,H400,$J$2:$J$5001,J400)&gt;1,"Possible Duplicate Booking","Unique")</f>
        <v>Unique</v>
      </c>
      <c r="W400" s="7" t="str">
        <f aca="false">IF((H400-G400)&lt;&gt;K400,"Mismatch","OK")</f>
        <v>OK</v>
      </c>
      <c r="X400" s="7" t="str">
        <f aca="false">IF(TEXT(H400,"dddd")&lt;&gt;I400,"Mismatch","OK")</f>
        <v>OK</v>
      </c>
      <c r="Y400" s="7" t="str">
        <f aca="false">IF(AND(N400="No",O400&lt;&gt;""),"Unexpected: channel present but no reminder sent",IF(AND(N400="Yes",O400=""),"Missing channel for sent reminder","OK"))</f>
        <v>OK</v>
      </c>
    </row>
    <row r="401" customFormat="false" ht="15" hidden="false" customHeight="false" outlineLevel="0" collapsed="false">
      <c r="A401" s="9" t="s">
        <v>832</v>
      </c>
      <c r="B401" s="9" t="s">
        <v>833</v>
      </c>
      <c r="C401" s="9" t="s">
        <v>37</v>
      </c>
      <c r="D401" s="9" t="n">
        <v>52</v>
      </c>
      <c r="E401" s="9" t="s">
        <v>56</v>
      </c>
      <c r="F401" s="9" t="s">
        <v>57</v>
      </c>
      <c r="G401" s="10" t="n">
        <v>45774</v>
      </c>
      <c r="H401" s="10" t="n">
        <v>45827</v>
      </c>
      <c r="I401" s="9" t="s">
        <v>62</v>
      </c>
      <c r="J401" s="9" t="s">
        <v>51</v>
      </c>
      <c r="K401" s="9" t="n">
        <v>53</v>
      </c>
      <c r="L401" s="9" t="n">
        <v>4</v>
      </c>
      <c r="M401" s="9" t="n">
        <v>1</v>
      </c>
      <c r="N401" s="9" t="s">
        <v>42</v>
      </c>
      <c r="O401" s="9" t="s">
        <v>52</v>
      </c>
      <c r="P401" s="9" t="n">
        <v>3.4</v>
      </c>
      <c r="Q401" s="9" t="n">
        <v>22</v>
      </c>
      <c r="R401" s="9" t="s">
        <v>53</v>
      </c>
      <c r="S401" s="9"/>
      <c r="T401" s="9"/>
      <c r="U401" s="9" t="str">
        <f aca="false">IF(COUNTIF($A$2:$A$5001,A401)&gt;1,"Duplicate","Unique")</f>
        <v>Unique</v>
      </c>
      <c r="V401" s="9" t="str">
        <f aca="false">IF(COUNTIFS($B$2:$B$5001,B401,$H$2:$H$5001,H401,$J$2:$J$5001,J401)&gt;1,"Possible Duplicate Booking","Unique")</f>
        <v>Unique</v>
      </c>
      <c r="W401" s="9" t="str">
        <f aca="false">IF((H401-G401)&lt;&gt;K401,"Mismatch","OK")</f>
        <v>OK</v>
      </c>
      <c r="X401" s="9" t="str">
        <f aca="false">IF(TEXT(H401,"dddd")&lt;&gt;I401,"Mismatch","OK")</f>
        <v>OK</v>
      </c>
      <c r="Y401" s="9" t="str">
        <f aca="false">IF(AND(N401="No",O401&lt;&gt;""),"Unexpected: channel present but no reminder sent",IF(AND(N401="Yes",O401=""),"Missing channel for sent reminder","OK"))</f>
        <v>OK</v>
      </c>
    </row>
    <row r="402" customFormat="false" ht="15" hidden="false" customHeight="false" outlineLevel="0" collapsed="false">
      <c r="A402" s="7" t="s">
        <v>834</v>
      </c>
      <c r="B402" s="7" t="s">
        <v>835</v>
      </c>
      <c r="C402" s="7" t="s">
        <v>37</v>
      </c>
      <c r="D402" s="7" t="n">
        <v>80</v>
      </c>
      <c r="E402" s="7" t="s">
        <v>70</v>
      </c>
      <c r="F402" s="7" t="s">
        <v>57</v>
      </c>
      <c r="G402" s="8" t="n">
        <v>46151</v>
      </c>
      <c r="H402" s="8" t="n">
        <v>46202</v>
      </c>
      <c r="I402" s="7" t="s">
        <v>66</v>
      </c>
      <c r="J402" s="7" t="s">
        <v>51</v>
      </c>
      <c r="K402" s="7" t="n">
        <v>51</v>
      </c>
      <c r="L402" s="7" t="n">
        <v>1</v>
      </c>
      <c r="M402" s="7" t="n">
        <v>0</v>
      </c>
      <c r="N402" s="7" t="s">
        <v>42</v>
      </c>
      <c r="O402" s="7" t="s">
        <v>52</v>
      </c>
      <c r="P402" s="7" t="n">
        <v>7.2</v>
      </c>
      <c r="Q402" s="7" t="n">
        <v>32</v>
      </c>
      <c r="R402" s="7" t="s">
        <v>53</v>
      </c>
      <c r="S402" s="7"/>
      <c r="T402" s="7"/>
      <c r="U402" s="7" t="str">
        <f aca="false">IF(COUNTIF($A$2:$A$5001,A402)&gt;1,"Duplicate","Unique")</f>
        <v>Unique</v>
      </c>
      <c r="V402" s="7" t="str">
        <f aca="false">IF(COUNTIFS($B$2:$B$5001,B402,$H$2:$H$5001,H402,$J$2:$J$5001,J402)&gt;1,"Possible Duplicate Booking","Unique")</f>
        <v>Unique</v>
      </c>
      <c r="W402" s="7" t="str">
        <f aca="false">IF((H402-G402)&lt;&gt;K402,"Mismatch","OK")</f>
        <v>OK</v>
      </c>
      <c r="X402" s="7" t="str">
        <f aca="false">IF(TEXT(H402,"dddd")&lt;&gt;I402,"Mismatch","OK")</f>
        <v>OK</v>
      </c>
      <c r="Y402" s="7" t="str">
        <f aca="false">IF(AND(N402="No",O402&lt;&gt;""),"Unexpected: channel present but no reminder sent",IF(AND(N402="Yes",O402=""),"Missing channel for sent reminder","OK"))</f>
        <v>OK</v>
      </c>
    </row>
    <row r="403" customFormat="false" ht="15" hidden="false" customHeight="false" outlineLevel="0" collapsed="false">
      <c r="A403" s="9" t="s">
        <v>836</v>
      </c>
      <c r="B403" s="9" t="s">
        <v>815</v>
      </c>
      <c r="C403" s="9" t="s">
        <v>37</v>
      </c>
      <c r="D403" s="9" t="n">
        <v>34</v>
      </c>
      <c r="E403" s="9" t="s">
        <v>48</v>
      </c>
      <c r="F403" s="9" t="s">
        <v>39</v>
      </c>
      <c r="G403" s="10" t="n">
        <v>46040</v>
      </c>
      <c r="H403" s="10" t="n">
        <v>46082</v>
      </c>
      <c r="I403" s="9" t="s">
        <v>75</v>
      </c>
      <c r="J403" s="9" t="s">
        <v>41</v>
      </c>
      <c r="K403" s="9" t="n">
        <v>42</v>
      </c>
      <c r="L403" s="9" t="n">
        <v>6</v>
      </c>
      <c r="M403" s="9" t="n">
        <v>0</v>
      </c>
      <c r="N403" s="9" t="s">
        <v>42</v>
      </c>
      <c r="O403" s="9" t="s">
        <v>52</v>
      </c>
      <c r="P403" s="9" t="n">
        <v>6.5</v>
      </c>
      <c r="Q403" s="9" t="n">
        <v>29</v>
      </c>
      <c r="R403" s="9" t="s">
        <v>44</v>
      </c>
      <c r="S403" s="9"/>
      <c r="T403" s="9"/>
      <c r="U403" s="9" t="str">
        <f aca="false">IF(COUNTIF($A$2:$A$5001,A403)&gt;1,"Duplicate","Unique")</f>
        <v>Unique</v>
      </c>
      <c r="V403" s="9" t="str">
        <f aca="false">IF(COUNTIFS($B$2:$B$5001,B403,$H$2:$H$5001,H403,$J$2:$J$5001,J403)&gt;1,"Possible Duplicate Booking","Unique")</f>
        <v>Unique</v>
      </c>
      <c r="W403" s="9" t="str">
        <f aca="false">IF((H403-G403)&lt;&gt;K403,"Mismatch","OK")</f>
        <v>OK</v>
      </c>
      <c r="X403" s="9" t="str">
        <f aca="false">IF(TEXT(H403,"dddd")&lt;&gt;I403,"Mismatch","OK")</f>
        <v>OK</v>
      </c>
      <c r="Y403" s="9" t="str">
        <f aca="false">IF(AND(N403="No",O403&lt;&gt;""),"Unexpected: channel present but no reminder sent",IF(AND(N403="Yes",O403=""),"Missing channel for sent reminder","OK"))</f>
        <v>OK</v>
      </c>
    </row>
    <row r="404" customFormat="false" ht="15" hidden="false" customHeight="false" outlineLevel="0" collapsed="false">
      <c r="A404" s="7" t="s">
        <v>837</v>
      </c>
      <c r="B404" s="7" t="s">
        <v>838</v>
      </c>
      <c r="C404" s="7" t="s">
        <v>47</v>
      </c>
      <c r="D404" s="7" t="n">
        <v>61</v>
      </c>
      <c r="E404" s="7" t="s">
        <v>61</v>
      </c>
      <c r="F404" s="7" t="s">
        <v>74</v>
      </c>
      <c r="G404" s="8" t="n">
        <v>45791</v>
      </c>
      <c r="H404" s="8" t="n">
        <v>45832</v>
      </c>
      <c r="I404" s="7" t="s">
        <v>40</v>
      </c>
      <c r="J404" s="7" t="s">
        <v>41</v>
      </c>
      <c r="K404" s="7" t="n">
        <v>41</v>
      </c>
      <c r="L404" s="7" t="n">
        <v>4</v>
      </c>
      <c r="M404" s="7" t="n">
        <v>1</v>
      </c>
      <c r="N404" s="7" t="s">
        <v>42</v>
      </c>
      <c r="O404" s="7" t="s">
        <v>52</v>
      </c>
      <c r="P404" s="7" t="n">
        <v>11.2</v>
      </c>
      <c r="Q404" s="7" t="n">
        <v>16</v>
      </c>
      <c r="R404" s="7" t="s">
        <v>53</v>
      </c>
      <c r="S404" s="7"/>
      <c r="T404" s="7"/>
      <c r="U404" s="7" t="str">
        <f aca="false">IF(COUNTIF($A$2:$A$5001,A404)&gt;1,"Duplicate","Unique")</f>
        <v>Unique</v>
      </c>
      <c r="V404" s="7" t="str">
        <f aca="false">IF(COUNTIFS($B$2:$B$5001,B404,$H$2:$H$5001,H404,$J$2:$J$5001,J404)&gt;1,"Possible Duplicate Booking","Unique")</f>
        <v>Unique</v>
      </c>
      <c r="W404" s="7" t="str">
        <f aca="false">IF((H404-G404)&lt;&gt;K404,"Mismatch","OK")</f>
        <v>OK</v>
      </c>
      <c r="X404" s="7" t="str">
        <f aca="false">IF(TEXT(H404,"dddd")&lt;&gt;I404,"Mismatch","OK")</f>
        <v>OK</v>
      </c>
      <c r="Y404" s="7" t="str">
        <f aca="false">IF(AND(N404="No",O404&lt;&gt;""),"Unexpected: channel present but no reminder sent",IF(AND(N404="Yes",O404=""),"Missing channel for sent reminder","OK"))</f>
        <v>OK</v>
      </c>
    </row>
    <row r="405" customFormat="false" ht="15" hidden="false" customHeight="false" outlineLevel="0" collapsed="false">
      <c r="A405" s="9" t="s">
        <v>839</v>
      </c>
      <c r="B405" s="9" t="s">
        <v>840</v>
      </c>
      <c r="C405" s="9" t="s">
        <v>37</v>
      </c>
      <c r="D405" s="9" t="n">
        <v>28</v>
      </c>
      <c r="E405" s="9" t="s">
        <v>48</v>
      </c>
      <c r="F405" s="9" t="s">
        <v>39</v>
      </c>
      <c r="G405" s="10" t="n">
        <v>46156</v>
      </c>
      <c r="H405" s="10" t="n">
        <v>46188</v>
      </c>
      <c r="I405" s="9" t="s">
        <v>66</v>
      </c>
      <c r="J405" s="9" t="s">
        <v>63</v>
      </c>
      <c r="K405" s="9" t="n">
        <v>32</v>
      </c>
      <c r="L405" s="9" t="n">
        <v>3</v>
      </c>
      <c r="M405" s="9" t="n">
        <v>1</v>
      </c>
      <c r="N405" s="9" t="s">
        <v>42</v>
      </c>
      <c r="O405" s="9" t="s">
        <v>52</v>
      </c>
      <c r="P405" s="9" t="n">
        <v>3.3</v>
      </c>
      <c r="Q405" s="9" t="n">
        <v>33</v>
      </c>
      <c r="R405" s="9" t="s">
        <v>44</v>
      </c>
      <c r="S405" s="9"/>
      <c r="T405" s="9"/>
      <c r="U405" s="9" t="str">
        <f aca="false">IF(COUNTIF($A$2:$A$5001,A405)&gt;1,"Duplicate","Unique")</f>
        <v>Unique</v>
      </c>
      <c r="V405" s="9" t="str">
        <f aca="false">IF(COUNTIFS($B$2:$B$5001,B405,$H$2:$H$5001,H405,$J$2:$J$5001,J405)&gt;1,"Possible Duplicate Booking","Unique")</f>
        <v>Unique</v>
      </c>
      <c r="W405" s="9" t="str">
        <f aca="false">IF((H405-G405)&lt;&gt;K405,"Mismatch","OK")</f>
        <v>OK</v>
      </c>
      <c r="X405" s="9" t="str">
        <f aca="false">IF(TEXT(H405,"dddd")&lt;&gt;I405,"Mismatch","OK")</f>
        <v>OK</v>
      </c>
      <c r="Y405" s="9" t="str">
        <f aca="false">IF(AND(N405="No",O405&lt;&gt;""),"Unexpected: channel present but no reminder sent",IF(AND(N405="Yes",O405=""),"Missing channel for sent reminder","OK"))</f>
        <v>OK</v>
      </c>
    </row>
    <row r="406" customFormat="false" ht="15" hidden="false" customHeight="false" outlineLevel="0" collapsed="false">
      <c r="A406" s="7" t="s">
        <v>841</v>
      </c>
      <c r="B406" s="7" t="s">
        <v>842</v>
      </c>
      <c r="C406" s="7" t="s">
        <v>47</v>
      </c>
      <c r="D406" s="7" t="n">
        <v>70</v>
      </c>
      <c r="E406" s="7" t="s">
        <v>70</v>
      </c>
      <c r="F406" s="7" t="s">
        <v>74</v>
      </c>
      <c r="G406" s="8" t="n">
        <v>45929</v>
      </c>
      <c r="H406" s="8" t="n">
        <v>45930</v>
      </c>
      <c r="I406" s="7" t="s">
        <v>40</v>
      </c>
      <c r="J406" s="7" t="s">
        <v>51</v>
      </c>
      <c r="K406" s="7" t="n">
        <v>1</v>
      </c>
      <c r="L406" s="7" t="n">
        <v>2</v>
      </c>
      <c r="M406" s="7" t="n">
        <v>0</v>
      </c>
      <c r="N406" s="7" t="s">
        <v>42</v>
      </c>
      <c r="O406" s="7" t="s">
        <v>52</v>
      </c>
      <c r="P406" s="7" t="n">
        <v>10.9</v>
      </c>
      <c r="Q406" s="7" t="n">
        <v>22</v>
      </c>
      <c r="R406" s="7" t="s">
        <v>53</v>
      </c>
      <c r="S406" s="7"/>
      <c r="T406" s="7"/>
      <c r="U406" s="7" t="str">
        <f aca="false">IF(COUNTIF($A$2:$A$5001,A406)&gt;1,"Duplicate","Unique")</f>
        <v>Unique</v>
      </c>
      <c r="V406" s="7" t="str">
        <f aca="false">IF(COUNTIFS($B$2:$B$5001,B406,$H$2:$H$5001,H406,$J$2:$J$5001,J406)&gt;1,"Possible Duplicate Booking","Unique")</f>
        <v>Unique</v>
      </c>
      <c r="W406" s="7" t="str">
        <f aca="false">IF((H406-G406)&lt;&gt;K406,"Mismatch","OK")</f>
        <v>OK</v>
      </c>
      <c r="X406" s="7" t="str">
        <f aca="false">IF(TEXT(H406,"dddd")&lt;&gt;I406,"Mismatch","OK")</f>
        <v>OK</v>
      </c>
      <c r="Y406" s="7" t="str">
        <f aca="false">IF(AND(N406="No",O406&lt;&gt;""),"Unexpected: channel present but no reminder sent",IF(AND(N406="Yes",O406=""),"Missing channel for sent reminder","OK"))</f>
        <v>OK</v>
      </c>
    </row>
    <row r="407" customFormat="false" ht="15" hidden="false" customHeight="false" outlineLevel="0" collapsed="false">
      <c r="A407" s="9" t="s">
        <v>843</v>
      </c>
      <c r="B407" s="9" t="s">
        <v>844</v>
      </c>
      <c r="C407" s="9" t="s">
        <v>37</v>
      </c>
      <c r="D407" s="9" t="n">
        <v>28</v>
      </c>
      <c r="E407" s="9" t="s">
        <v>48</v>
      </c>
      <c r="F407" s="9" t="s">
        <v>57</v>
      </c>
      <c r="G407" s="10" t="n">
        <v>45908</v>
      </c>
      <c r="H407" s="10" t="n">
        <v>45931</v>
      </c>
      <c r="I407" s="9" t="s">
        <v>58</v>
      </c>
      <c r="J407" s="9" t="s">
        <v>63</v>
      </c>
      <c r="K407" s="9" t="n">
        <v>23</v>
      </c>
      <c r="L407" s="9" t="n">
        <v>1</v>
      </c>
      <c r="M407" s="9" t="n">
        <v>0</v>
      </c>
      <c r="N407" s="9" t="s">
        <v>42</v>
      </c>
      <c r="O407" s="9" t="s">
        <v>52</v>
      </c>
      <c r="P407" s="9" t="n">
        <v>7.1</v>
      </c>
      <c r="Q407" s="9" t="n">
        <v>22</v>
      </c>
      <c r="R407" s="9" t="s">
        <v>44</v>
      </c>
      <c r="S407" s="9"/>
      <c r="T407" s="9"/>
      <c r="U407" s="9" t="str">
        <f aca="false">IF(COUNTIF($A$2:$A$5001,A407)&gt;1,"Duplicate","Unique")</f>
        <v>Unique</v>
      </c>
      <c r="V407" s="9" t="str">
        <f aca="false">IF(COUNTIFS($B$2:$B$5001,B407,$H$2:$H$5001,H407,$J$2:$J$5001,J407)&gt;1,"Possible Duplicate Booking","Unique")</f>
        <v>Unique</v>
      </c>
      <c r="W407" s="9" t="str">
        <f aca="false">IF((H407-G407)&lt;&gt;K407,"Mismatch","OK")</f>
        <v>OK</v>
      </c>
      <c r="X407" s="9" t="str">
        <f aca="false">IF(TEXT(H407,"dddd")&lt;&gt;I407,"Mismatch","OK")</f>
        <v>OK</v>
      </c>
      <c r="Y407" s="9" t="str">
        <f aca="false">IF(AND(N407="No",O407&lt;&gt;""),"Unexpected: channel present but no reminder sent",IF(AND(N407="Yes",O407=""),"Missing channel for sent reminder","OK"))</f>
        <v>OK</v>
      </c>
    </row>
    <row r="408" customFormat="false" ht="15" hidden="false" customHeight="false" outlineLevel="0" collapsed="false">
      <c r="A408" s="7" t="s">
        <v>845</v>
      </c>
      <c r="B408" s="7" t="s">
        <v>846</v>
      </c>
      <c r="C408" s="7" t="s">
        <v>47</v>
      </c>
      <c r="D408" s="7" t="n">
        <v>36</v>
      </c>
      <c r="E408" s="7" t="s">
        <v>38</v>
      </c>
      <c r="F408" s="7" t="s">
        <v>39</v>
      </c>
      <c r="G408" s="8" t="n">
        <v>45850</v>
      </c>
      <c r="H408" s="8" t="n">
        <v>45894</v>
      </c>
      <c r="I408" s="7" t="s">
        <v>66</v>
      </c>
      <c r="J408" s="7" t="s">
        <v>41</v>
      </c>
      <c r="K408" s="7" t="n">
        <v>44</v>
      </c>
      <c r="L408" s="7" t="n">
        <v>2</v>
      </c>
      <c r="M408" s="7" t="n">
        <v>1</v>
      </c>
      <c r="N408" s="7" t="s">
        <v>42</v>
      </c>
      <c r="O408" s="7" t="s">
        <v>43</v>
      </c>
      <c r="P408" s="7" t="n">
        <v>9.2</v>
      </c>
      <c r="Q408" s="7" t="n">
        <v>32</v>
      </c>
      <c r="R408" s="7" t="s">
        <v>44</v>
      </c>
      <c r="S408" s="7"/>
      <c r="T408" s="7"/>
      <c r="U408" s="7" t="str">
        <f aca="false">IF(COUNTIF($A$2:$A$5001,A408)&gt;1,"Duplicate","Unique")</f>
        <v>Unique</v>
      </c>
      <c r="V408" s="7" t="str">
        <f aca="false">IF(COUNTIFS($B$2:$B$5001,B408,$H$2:$H$5001,H408,$J$2:$J$5001,J408)&gt;1,"Possible Duplicate Booking","Unique")</f>
        <v>Unique</v>
      </c>
      <c r="W408" s="7" t="str">
        <f aca="false">IF((H408-G408)&lt;&gt;K408,"Mismatch","OK")</f>
        <v>OK</v>
      </c>
      <c r="X408" s="7" t="str">
        <f aca="false">IF(TEXT(H408,"dddd")&lt;&gt;I408,"Mismatch","OK")</f>
        <v>OK</v>
      </c>
      <c r="Y408" s="7" t="str">
        <f aca="false">IF(AND(N408="No",O408&lt;&gt;""),"Unexpected: channel present but no reminder sent",IF(AND(N408="Yes",O408=""),"Missing channel for sent reminder","OK"))</f>
        <v>OK</v>
      </c>
    </row>
    <row r="409" customFormat="false" ht="15" hidden="false" customHeight="false" outlineLevel="0" collapsed="false">
      <c r="A409" s="9" t="s">
        <v>847</v>
      </c>
      <c r="B409" s="9" t="s">
        <v>848</v>
      </c>
      <c r="C409" s="9" t="s">
        <v>47</v>
      </c>
      <c r="D409" s="9" t="n">
        <v>46</v>
      </c>
      <c r="E409" s="9" t="s">
        <v>56</v>
      </c>
      <c r="F409" s="9" t="s">
        <v>49</v>
      </c>
      <c r="G409" s="10" t="n">
        <v>45687</v>
      </c>
      <c r="H409" s="10" t="n">
        <v>45736</v>
      </c>
      <c r="I409" s="9" t="s">
        <v>62</v>
      </c>
      <c r="J409" s="9" t="s">
        <v>41</v>
      </c>
      <c r="K409" s="9" t="n">
        <v>49</v>
      </c>
      <c r="L409" s="9" t="n">
        <v>2</v>
      </c>
      <c r="M409" s="9" t="n">
        <v>0</v>
      </c>
      <c r="N409" s="9" t="s">
        <v>71</v>
      </c>
      <c r="O409" s="9"/>
      <c r="P409" s="9" t="n">
        <v>3.9</v>
      </c>
      <c r="Q409" s="9" t="n">
        <v>34</v>
      </c>
      <c r="R409" s="9" t="s">
        <v>44</v>
      </c>
      <c r="S409" s="9"/>
      <c r="T409" s="9"/>
      <c r="U409" s="9" t="str">
        <f aca="false">IF(COUNTIF($A$2:$A$5001,A409)&gt;1,"Duplicate","Unique")</f>
        <v>Unique</v>
      </c>
      <c r="V409" s="9" t="str">
        <f aca="false">IF(COUNTIFS($B$2:$B$5001,B409,$H$2:$H$5001,H409,$J$2:$J$5001,J409)&gt;1,"Possible Duplicate Booking","Unique")</f>
        <v>Unique</v>
      </c>
      <c r="W409" s="9" t="str">
        <f aca="false">IF((H409-G409)&lt;&gt;K409,"Mismatch","OK")</f>
        <v>OK</v>
      </c>
      <c r="X409" s="9" t="str">
        <f aca="false">IF(TEXT(H409,"dddd")&lt;&gt;I409,"Mismatch","OK")</f>
        <v>OK</v>
      </c>
      <c r="Y409" s="9" t="str">
        <f aca="false">IF(AND(N409="No",O409&lt;&gt;""),"Unexpected: channel present but no reminder sent",IF(AND(N409="Yes",O409=""),"Missing channel for sent reminder","OK"))</f>
        <v>OK</v>
      </c>
    </row>
    <row r="410" customFormat="false" ht="15" hidden="false" customHeight="false" outlineLevel="0" collapsed="false">
      <c r="A410" s="7" t="s">
        <v>849</v>
      </c>
      <c r="B410" s="7" t="s">
        <v>850</v>
      </c>
      <c r="C410" s="7" t="s">
        <v>47</v>
      </c>
      <c r="D410" s="7" t="n">
        <v>41</v>
      </c>
      <c r="E410" s="7" t="s">
        <v>38</v>
      </c>
      <c r="F410" s="7" t="s">
        <v>39</v>
      </c>
      <c r="G410" s="8" t="n">
        <v>46134</v>
      </c>
      <c r="H410" s="8" t="n">
        <v>46168</v>
      </c>
      <c r="I410" s="7" t="s">
        <v>40</v>
      </c>
      <c r="J410" s="7" t="s">
        <v>51</v>
      </c>
      <c r="K410" s="7" t="n">
        <v>34</v>
      </c>
      <c r="L410" s="7" t="n">
        <v>3</v>
      </c>
      <c r="M410" s="7" t="n">
        <v>0</v>
      </c>
      <c r="N410" s="7" t="s">
        <v>42</v>
      </c>
      <c r="O410" s="7" t="s">
        <v>67</v>
      </c>
      <c r="P410" s="7" t="n">
        <v>8.8</v>
      </c>
      <c r="Q410" s="7" t="n">
        <v>28</v>
      </c>
      <c r="R410" s="7" t="s">
        <v>44</v>
      </c>
      <c r="S410" s="7"/>
      <c r="T410" s="7"/>
      <c r="U410" s="7" t="str">
        <f aca="false">IF(COUNTIF($A$2:$A$5001,A410)&gt;1,"Duplicate","Unique")</f>
        <v>Unique</v>
      </c>
      <c r="V410" s="7" t="str">
        <f aca="false">IF(COUNTIFS($B$2:$B$5001,B410,$H$2:$H$5001,H410,$J$2:$J$5001,J410)&gt;1,"Possible Duplicate Booking","Unique")</f>
        <v>Unique</v>
      </c>
      <c r="W410" s="7" t="str">
        <f aca="false">IF((H410-G410)&lt;&gt;K410,"Mismatch","OK")</f>
        <v>OK</v>
      </c>
      <c r="X410" s="7" t="str">
        <f aca="false">IF(TEXT(H410,"dddd")&lt;&gt;I410,"Mismatch","OK")</f>
        <v>OK</v>
      </c>
      <c r="Y410" s="7" t="str">
        <f aca="false">IF(AND(N410="No",O410&lt;&gt;""),"Unexpected: channel present but no reminder sent",IF(AND(N410="Yes",O410=""),"Missing channel for sent reminder","OK"))</f>
        <v>OK</v>
      </c>
    </row>
    <row r="411" customFormat="false" ht="15" hidden="false" customHeight="false" outlineLevel="0" collapsed="false">
      <c r="A411" s="9" t="s">
        <v>851</v>
      </c>
      <c r="B411" s="9" t="s">
        <v>677</v>
      </c>
      <c r="C411" s="9" t="s">
        <v>47</v>
      </c>
      <c r="D411" s="9" t="n">
        <v>28</v>
      </c>
      <c r="E411" s="9" t="s">
        <v>48</v>
      </c>
      <c r="F411" s="9" t="s">
        <v>57</v>
      </c>
      <c r="G411" s="10" t="n">
        <v>45622</v>
      </c>
      <c r="H411" s="10" t="n">
        <v>45665</v>
      </c>
      <c r="I411" s="9" t="s">
        <v>58</v>
      </c>
      <c r="J411" s="9" t="s">
        <v>51</v>
      </c>
      <c r="K411" s="9" t="n">
        <v>43</v>
      </c>
      <c r="L411" s="9" t="n">
        <v>4</v>
      </c>
      <c r="M411" s="9" t="n">
        <v>0</v>
      </c>
      <c r="N411" s="9" t="s">
        <v>42</v>
      </c>
      <c r="O411" s="9" t="s">
        <v>43</v>
      </c>
      <c r="P411" s="9" t="n">
        <v>5.4</v>
      </c>
      <c r="Q411" s="9" t="n">
        <v>45</v>
      </c>
      <c r="R411" s="9" t="s">
        <v>44</v>
      </c>
      <c r="S411" s="9"/>
      <c r="T411" s="9"/>
      <c r="U411" s="9" t="str">
        <f aca="false">IF(COUNTIF($A$2:$A$5001,A411)&gt;1,"Duplicate","Unique")</f>
        <v>Unique</v>
      </c>
      <c r="V411" s="9" t="str">
        <f aca="false">IF(COUNTIFS($B$2:$B$5001,B411,$H$2:$H$5001,H411,$J$2:$J$5001,J411)&gt;1,"Possible Duplicate Booking","Unique")</f>
        <v>Unique</v>
      </c>
      <c r="W411" s="9" t="str">
        <f aca="false">IF((H411-G411)&lt;&gt;K411,"Mismatch","OK")</f>
        <v>OK</v>
      </c>
      <c r="X411" s="9" t="str">
        <f aca="false">IF(TEXT(H411,"dddd")&lt;&gt;I411,"Mismatch","OK")</f>
        <v>OK</v>
      </c>
      <c r="Y411" s="9" t="str">
        <f aca="false">IF(AND(N411="No",O411&lt;&gt;""),"Unexpected: channel present but no reminder sent",IF(AND(N411="Yes",O411=""),"Missing channel for sent reminder","OK"))</f>
        <v>OK</v>
      </c>
    </row>
    <row r="412" customFormat="false" ht="15" hidden="false" customHeight="false" outlineLevel="0" collapsed="false">
      <c r="A412" s="7" t="s">
        <v>852</v>
      </c>
      <c r="B412" s="7" t="s">
        <v>853</v>
      </c>
      <c r="C412" s="7" t="s">
        <v>47</v>
      </c>
      <c r="D412" s="7" t="n">
        <v>58</v>
      </c>
      <c r="E412" s="7" t="s">
        <v>61</v>
      </c>
      <c r="F412" s="7" t="s">
        <v>74</v>
      </c>
      <c r="G412" s="8" t="n">
        <v>45752</v>
      </c>
      <c r="H412" s="8" t="n">
        <v>45753</v>
      </c>
      <c r="I412" s="7" t="s">
        <v>75</v>
      </c>
      <c r="J412" s="7" t="s">
        <v>41</v>
      </c>
      <c r="K412" s="7" t="n">
        <v>1</v>
      </c>
      <c r="L412" s="7" t="n">
        <v>1</v>
      </c>
      <c r="M412" s="7" t="n">
        <v>0</v>
      </c>
      <c r="N412" s="7" t="s">
        <v>42</v>
      </c>
      <c r="O412" s="7" t="s">
        <v>67</v>
      </c>
      <c r="P412" s="7" t="n">
        <v>2.3</v>
      </c>
      <c r="Q412" s="7" t="n">
        <v>3</v>
      </c>
      <c r="R412" s="7" t="s">
        <v>53</v>
      </c>
      <c r="S412" s="7"/>
      <c r="T412" s="7"/>
      <c r="U412" s="7" t="str">
        <f aca="false">IF(COUNTIF($A$2:$A$5001,A412)&gt;1,"Duplicate","Unique")</f>
        <v>Unique</v>
      </c>
      <c r="V412" s="7" t="str">
        <f aca="false">IF(COUNTIFS($B$2:$B$5001,B412,$H$2:$H$5001,H412,$J$2:$J$5001,J412)&gt;1,"Possible Duplicate Booking","Unique")</f>
        <v>Unique</v>
      </c>
      <c r="W412" s="7" t="str">
        <f aca="false">IF((H412-G412)&lt;&gt;K412,"Mismatch","OK")</f>
        <v>OK</v>
      </c>
      <c r="X412" s="7" t="str">
        <f aca="false">IF(TEXT(H412,"dddd")&lt;&gt;I412,"Mismatch","OK")</f>
        <v>OK</v>
      </c>
      <c r="Y412" s="7" t="str">
        <f aca="false">IF(AND(N412="No",O412&lt;&gt;""),"Unexpected: channel present but no reminder sent",IF(AND(N412="Yes",O412=""),"Missing channel for sent reminder","OK"))</f>
        <v>OK</v>
      </c>
    </row>
    <row r="413" customFormat="false" ht="15" hidden="false" customHeight="false" outlineLevel="0" collapsed="false">
      <c r="A413" s="9" t="s">
        <v>854</v>
      </c>
      <c r="B413" s="9" t="s">
        <v>855</v>
      </c>
      <c r="C413" s="9" t="s">
        <v>47</v>
      </c>
      <c r="D413" s="9" t="n">
        <v>19</v>
      </c>
      <c r="E413" s="9" t="s">
        <v>82</v>
      </c>
      <c r="F413" s="9" t="s">
        <v>57</v>
      </c>
      <c r="G413" s="10" t="n">
        <v>45755</v>
      </c>
      <c r="H413" s="10" t="n">
        <v>45783</v>
      </c>
      <c r="I413" s="9" t="s">
        <v>40</v>
      </c>
      <c r="J413" s="9" t="s">
        <v>51</v>
      </c>
      <c r="K413" s="9" t="n">
        <v>28</v>
      </c>
      <c r="L413" s="9" t="n">
        <v>2</v>
      </c>
      <c r="M413" s="9" t="n">
        <v>0</v>
      </c>
      <c r="N413" s="9" t="s">
        <v>42</v>
      </c>
      <c r="O413" s="9" t="s">
        <v>67</v>
      </c>
      <c r="P413" s="9" t="n">
        <v>13.1</v>
      </c>
      <c r="Q413" s="9" t="n">
        <v>35</v>
      </c>
      <c r="R413" s="9" t="s">
        <v>53</v>
      </c>
      <c r="S413" s="9"/>
      <c r="T413" s="9"/>
      <c r="U413" s="9" t="str">
        <f aca="false">IF(COUNTIF($A$2:$A$5001,A413)&gt;1,"Duplicate","Unique")</f>
        <v>Unique</v>
      </c>
      <c r="V413" s="9" t="str">
        <f aca="false">IF(COUNTIFS($B$2:$B$5001,B413,$H$2:$H$5001,H413,$J$2:$J$5001,J413)&gt;1,"Possible Duplicate Booking","Unique")</f>
        <v>Unique</v>
      </c>
      <c r="W413" s="9" t="str">
        <f aca="false">IF((H413-G413)&lt;&gt;K413,"Mismatch","OK")</f>
        <v>OK</v>
      </c>
      <c r="X413" s="9" t="str">
        <f aca="false">IF(TEXT(H413,"dddd")&lt;&gt;I413,"Mismatch","OK")</f>
        <v>OK</v>
      </c>
      <c r="Y413" s="9" t="str">
        <f aca="false">IF(AND(N413="No",O413&lt;&gt;""),"Unexpected: channel present but no reminder sent",IF(AND(N413="Yes",O413=""),"Missing channel for sent reminder","OK"))</f>
        <v>OK</v>
      </c>
    </row>
    <row r="414" customFormat="false" ht="15" hidden="false" customHeight="false" outlineLevel="0" collapsed="false">
      <c r="A414" s="7" t="s">
        <v>856</v>
      </c>
      <c r="B414" s="7" t="s">
        <v>857</v>
      </c>
      <c r="C414" s="7" t="s">
        <v>37</v>
      </c>
      <c r="D414" s="7" t="n">
        <v>79</v>
      </c>
      <c r="E414" s="7" t="s">
        <v>70</v>
      </c>
      <c r="F414" s="7" t="s">
        <v>57</v>
      </c>
      <c r="G414" s="8" t="n">
        <v>45780</v>
      </c>
      <c r="H414" s="8" t="n">
        <v>45810</v>
      </c>
      <c r="I414" s="7" t="s">
        <v>66</v>
      </c>
      <c r="J414" s="7" t="s">
        <v>51</v>
      </c>
      <c r="K414" s="7" t="n">
        <v>30</v>
      </c>
      <c r="L414" s="7" t="n">
        <v>1</v>
      </c>
      <c r="M414" s="7" t="n">
        <v>1</v>
      </c>
      <c r="N414" s="7" t="s">
        <v>71</v>
      </c>
      <c r="O414" s="7"/>
      <c r="P414" s="7" t="n">
        <v>4.7</v>
      </c>
      <c r="Q414" s="7" t="n">
        <v>13</v>
      </c>
      <c r="R414" s="7" t="s">
        <v>44</v>
      </c>
      <c r="S414" s="7"/>
      <c r="T414" s="7"/>
      <c r="U414" s="7" t="str">
        <f aca="false">IF(COUNTIF($A$2:$A$5001,A414)&gt;1,"Duplicate","Unique")</f>
        <v>Unique</v>
      </c>
      <c r="V414" s="7" t="str">
        <f aca="false">IF(COUNTIFS($B$2:$B$5001,B414,$H$2:$H$5001,H414,$J$2:$J$5001,J414)&gt;1,"Possible Duplicate Booking","Unique")</f>
        <v>Unique</v>
      </c>
      <c r="W414" s="7" t="str">
        <f aca="false">IF((H414-G414)&lt;&gt;K414,"Mismatch","OK")</f>
        <v>OK</v>
      </c>
      <c r="X414" s="7" t="str">
        <f aca="false">IF(TEXT(H414,"dddd")&lt;&gt;I414,"Mismatch","OK")</f>
        <v>OK</v>
      </c>
      <c r="Y414" s="7" t="str">
        <f aca="false">IF(AND(N414="No",O414&lt;&gt;""),"Unexpected: channel present but no reminder sent",IF(AND(N414="Yes",O414=""),"Missing channel for sent reminder","OK"))</f>
        <v>OK</v>
      </c>
    </row>
    <row r="415" customFormat="false" ht="15" hidden="false" customHeight="false" outlineLevel="0" collapsed="false">
      <c r="A415" s="9" t="s">
        <v>858</v>
      </c>
      <c r="B415" s="9" t="s">
        <v>859</v>
      </c>
      <c r="C415" s="9" t="s">
        <v>236</v>
      </c>
      <c r="D415" s="9" t="n">
        <v>21</v>
      </c>
      <c r="E415" s="9" t="s">
        <v>82</v>
      </c>
      <c r="F415" s="9" t="s">
        <v>49</v>
      </c>
      <c r="G415" s="10" t="n">
        <v>45675</v>
      </c>
      <c r="H415" s="10" t="n">
        <v>45729</v>
      </c>
      <c r="I415" s="9" t="s">
        <v>62</v>
      </c>
      <c r="J415" s="9" t="s">
        <v>63</v>
      </c>
      <c r="K415" s="9" t="n">
        <v>54</v>
      </c>
      <c r="L415" s="9" t="n">
        <v>2</v>
      </c>
      <c r="M415" s="9" t="n">
        <v>0</v>
      </c>
      <c r="N415" s="9" t="s">
        <v>42</v>
      </c>
      <c r="O415" s="9" t="s">
        <v>52</v>
      </c>
      <c r="P415" s="9" t="n">
        <v>11</v>
      </c>
      <c r="Q415" s="9" t="n">
        <v>24</v>
      </c>
      <c r="R415" s="9" t="s">
        <v>44</v>
      </c>
      <c r="S415" s="9"/>
      <c r="T415" s="9"/>
      <c r="U415" s="9" t="str">
        <f aca="false">IF(COUNTIF($A$2:$A$5001,A415)&gt;1,"Duplicate","Unique")</f>
        <v>Unique</v>
      </c>
      <c r="V415" s="9" t="str">
        <f aca="false">IF(COUNTIFS($B$2:$B$5001,B415,$H$2:$H$5001,H415,$J$2:$J$5001,J415)&gt;1,"Possible Duplicate Booking","Unique")</f>
        <v>Unique</v>
      </c>
      <c r="W415" s="9" t="str">
        <f aca="false">IF((H415-G415)&lt;&gt;K415,"Mismatch","OK")</f>
        <v>OK</v>
      </c>
      <c r="X415" s="9" t="str">
        <f aca="false">IF(TEXT(H415,"dddd")&lt;&gt;I415,"Mismatch","OK")</f>
        <v>OK</v>
      </c>
      <c r="Y415" s="9" t="str">
        <f aca="false">IF(AND(N415="No",O415&lt;&gt;""),"Unexpected: channel present but no reminder sent",IF(AND(N415="Yes",O415=""),"Missing channel for sent reminder","OK"))</f>
        <v>OK</v>
      </c>
    </row>
    <row r="416" customFormat="false" ht="15" hidden="false" customHeight="false" outlineLevel="0" collapsed="false">
      <c r="A416" s="7" t="s">
        <v>860</v>
      </c>
      <c r="B416" s="7" t="s">
        <v>861</v>
      </c>
      <c r="C416" s="7" t="s">
        <v>37</v>
      </c>
      <c r="D416" s="7" t="n">
        <v>39</v>
      </c>
      <c r="E416" s="7" t="s">
        <v>38</v>
      </c>
      <c r="F416" s="7" t="s">
        <v>74</v>
      </c>
      <c r="G416" s="8" t="n">
        <v>45649</v>
      </c>
      <c r="H416" s="8" t="n">
        <v>45667</v>
      </c>
      <c r="I416" s="7" t="s">
        <v>50</v>
      </c>
      <c r="J416" s="7" t="s">
        <v>51</v>
      </c>
      <c r="K416" s="7" t="n">
        <v>18</v>
      </c>
      <c r="L416" s="7" t="n">
        <v>6</v>
      </c>
      <c r="M416" s="7" t="n">
        <v>0</v>
      </c>
      <c r="N416" s="7" t="s">
        <v>42</v>
      </c>
      <c r="O416" s="7" t="s">
        <v>52</v>
      </c>
      <c r="P416" s="7" t="n">
        <v>4.7</v>
      </c>
      <c r="Q416" s="7" t="n">
        <v>24</v>
      </c>
      <c r="R416" s="7" t="s">
        <v>53</v>
      </c>
      <c r="S416" s="7"/>
      <c r="T416" s="7"/>
      <c r="U416" s="7" t="str">
        <f aca="false">IF(COUNTIF($A$2:$A$5001,A416)&gt;1,"Duplicate","Unique")</f>
        <v>Unique</v>
      </c>
      <c r="V416" s="7" t="str">
        <f aca="false">IF(COUNTIFS($B$2:$B$5001,B416,$H$2:$H$5001,H416,$J$2:$J$5001,J416)&gt;1,"Possible Duplicate Booking","Unique")</f>
        <v>Unique</v>
      </c>
      <c r="W416" s="7" t="str">
        <f aca="false">IF((H416-G416)&lt;&gt;K416,"Mismatch","OK")</f>
        <v>OK</v>
      </c>
      <c r="X416" s="7" t="str">
        <f aca="false">IF(TEXT(H416,"dddd")&lt;&gt;I416,"Mismatch","OK")</f>
        <v>OK</v>
      </c>
      <c r="Y416" s="7" t="str">
        <f aca="false">IF(AND(N416="No",O416&lt;&gt;""),"Unexpected: channel present but no reminder sent",IF(AND(N416="Yes",O416=""),"Missing channel for sent reminder","OK"))</f>
        <v>OK</v>
      </c>
    </row>
    <row r="417" customFormat="false" ht="15" hidden="false" customHeight="false" outlineLevel="0" collapsed="false">
      <c r="A417" s="9" t="s">
        <v>862</v>
      </c>
      <c r="B417" s="9" t="s">
        <v>863</v>
      </c>
      <c r="C417" s="9" t="s">
        <v>37</v>
      </c>
      <c r="D417" s="9" t="n">
        <v>76</v>
      </c>
      <c r="E417" s="9" t="s">
        <v>70</v>
      </c>
      <c r="F417" s="9" t="s">
        <v>74</v>
      </c>
      <c r="G417" s="10" t="n">
        <v>46014</v>
      </c>
      <c r="H417" s="10" t="n">
        <v>46028</v>
      </c>
      <c r="I417" s="9" t="s">
        <v>40</v>
      </c>
      <c r="J417" s="9" t="s">
        <v>63</v>
      </c>
      <c r="K417" s="9" t="n">
        <v>14</v>
      </c>
      <c r="L417" s="9" t="n">
        <v>3</v>
      </c>
      <c r="M417" s="9" t="n">
        <v>0</v>
      </c>
      <c r="N417" s="9" t="s">
        <v>42</v>
      </c>
      <c r="O417" s="9" t="s">
        <v>52</v>
      </c>
      <c r="P417" s="9" t="n">
        <v>8.6</v>
      </c>
      <c r="Q417" s="9" t="n">
        <v>23</v>
      </c>
      <c r="R417" s="9" t="s">
        <v>44</v>
      </c>
      <c r="S417" s="9"/>
      <c r="T417" s="9"/>
      <c r="U417" s="9" t="str">
        <f aca="false">IF(COUNTIF($A$2:$A$5001,A417)&gt;1,"Duplicate","Unique")</f>
        <v>Unique</v>
      </c>
      <c r="V417" s="9" t="str">
        <f aca="false">IF(COUNTIFS($B$2:$B$5001,B417,$H$2:$H$5001,H417,$J$2:$J$5001,J417)&gt;1,"Possible Duplicate Booking","Unique")</f>
        <v>Unique</v>
      </c>
      <c r="W417" s="9" t="str">
        <f aca="false">IF((H417-G417)&lt;&gt;K417,"Mismatch","OK")</f>
        <v>OK</v>
      </c>
      <c r="X417" s="9" t="str">
        <f aca="false">IF(TEXT(H417,"dddd")&lt;&gt;I417,"Mismatch","OK")</f>
        <v>OK</v>
      </c>
      <c r="Y417" s="9" t="str">
        <f aca="false">IF(AND(N417="No",O417&lt;&gt;""),"Unexpected: channel present but no reminder sent",IF(AND(N417="Yes",O417=""),"Missing channel for sent reminder","OK"))</f>
        <v>OK</v>
      </c>
    </row>
    <row r="418" customFormat="false" ht="15" hidden="false" customHeight="false" outlineLevel="0" collapsed="false">
      <c r="A418" s="7" t="s">
        <v>864</v>
      </c>
      <c r="B418" s="7" t="s">
        <v>865</v>
      </c>
      <c r="C418" s="7" t="s">
        <v>37</v>
      </c>
      <c r="D418" s="7" t="n">
        <v>27</v>
      </c>
      <c r="E418" s="7" t="s">
        <v>48</v>
      </c>
      <c r="F418" s="7" t="s">
        <v>74</v>
      </c>
      <c r="G418" s="8" t="n">
        <v>46166</v>
      </c>
      <c r="H418" s="8" t="n">
        <v>46187</v>
      </c>
      <c r="I418" s="7" t="s">
        <v>75</v>
      </c>
      <c r="J418" s="7" t="s">
        <v>41</v>
      </c>
      <c r="K418" s="7" t="n">
        <v>21</v>
      </c>
      <c r="L418" s="7" t="n">
        <v>3</v>
      </c>
      <c r="M418" s="7" t="n">
        <v>0</v>
      </c>
      <c r="N418" s="7" t="s">
        <v>42</v>
      </c>
      <c r="O418" s="7" t="s">
        <v>52</v>
      </c>
      <c r="P418" s="7" t="n">
        <v>31.1</v>
      </c>
      <c r="Q418" s="7" t="n">
        <v>14</v>
      </c>
      <c r="R418" s="7" t="s">
        <v>44</v>
      </c>
      <c r="S418" s="7"/>
      <c r="T418" s="7"/>
      <c r="U418" s="7" t="str">
        <f aca="false">IF(COUNTIF($A$2:$A$5001,A418)&gt;1,"Duplicate","Unique")</f>
        <v>Unique</v>
      </c>
      <c r="V418" s="7" t="str">
        <f aca="false">IF(COUNTIFS($B$2:$B$5001,B418,$H$2:$H$5001,H418,$J$2:$J$5001,J418)&gt;1,"Possible Duplicate Booking","Unique")</f>
        <v>Unique</v>
      </c>
      <c r="W418" s="7" t="str">
        <f aca="false">IF((H418-G418)&lt;&gt;K418,"Mismatch","OK")</f>
        <v>OK</v>
      </c>
      <c r="X418" s="7" t="str">
        <f aca="false">IF(TEXT(H418,"dddd")&lt;&gt;I418,"Mismatch","OK")</f>
        <v>OK</v>
      </c>
      <c r="Y418" s="7" t="str">
        <f aca="false">IF(AND(N418="No",O418&lt;&gt;""),"Unexpected: channel present but no reminder sent",IF(AND(N418="Yes",O418=""),"Missing channel for sent reminder","OK"))</f>
        <v>OK</v>
      </c>
    </row>
    <row r="419" customFormat="false" ht="15" hidden="false" customHeight="false" outlineLevel="0" collapsed="false">
      <c r="A419" s="9" t="s">
        <v>866</v>
      </c>
      <c r="B419" s="9" t="s">
        <v>867</v>
      </c>
      <c r="C419" s="9" t="s">
        <v>37</v>
      </c>
      <c r="D419" s="9" t="n">
        <v>22</v>
      </c>
      <c r="E419" s="9" t="s">
        <v>82</v>
      </c>
      <c r="F419" s="9" t="s">
        <v>57</v>
      </c>
      <c r="G419" s="10" t="n">
        <v>45714</v>
      </c>
      <c r="H419" s="10" t="n">
        <v>45724</v>
      </c>
      <c r="I419" s="9" t="s">
        <v>102</v>
      </c>
      <c r="J419" s="9" t="s">
        <v>41</v>
      </c>
      <c r="K419" s="9" t="n">
        <v>10</v>
      </c>
      <c r="L419" s="9" t="n">
        <v>3</v>
      </c>
      <c r="M419" s="9" t="n">
        <v>1</v>
      </c>
      <c r="N419" s="9" t="s">
        <v>42</v>
      </c>
      <c r="O419" s="9" t="s">
        <v>52</v>
      </c>
      <c r="P419" s="9" t="n">
        <v>17</v>
      </c>
      <c r="Q419" s="9" t="n">
        <v>9</v>
      </c>
      <c r="R419" s="9" t="s">
        <v>53</v>
      </c>
      <c r="S419" s="9"/>
      <c r="T419" s="9"/>
      <c r="U419" s="9" t="str">
        <f aca="false">IF(COUNTIF($A$2:$A$5001,A419)&gt;1,"Duplicate","Unique")</f>
        <v>Unique</v>
      </c>
      <c r="V419" s="9" t="str">
        <f aca="false">IF(COUNTIFS($B$2:$B$5001,B419,$H$2:$H$5001,H419,$J$2:$J$5001,J419)&gt;1,"Possible Duplicate Booking","Unique")</f>
        <v>Unique</v>
      </c>
      <c r="W419" s="9" t="str">
        <f aca="false">IF((H419-G419)&lt;&gt;K419,"Mismatch","OK")</f>
        <v>OK</v>
      </c>
      <c r="X419" s="9" t="str">
        <f aca="false">IF(TEXT(H419,"dddd")&lt;&gt;I419,"Mismatch","OK")</f>
        <v>OK</v>
      </c>
      <c r="Y419" s="9" t="str">
        <f aca="false">IF(AND(N419="No",O419&lt;&gt;""),"Unexpected: channel present but no reminder sent",IF(AND(N419="Yes",O419=""),"Missing channel for sent reminder","OK"))</f>
        <v>OK</v>
      </c>
    </row>
    <row r="420" customFormat="false" ht="15" hidden="false" customHeight="false" outlineLevel="0" collapsed="false">
      <c r="A420" s="7" t="s">
        <v>868</v>
      </c>
      <c r="B420" s="7" t="s">
        <v>869</v>
      </c>
      <c r="C420" s="7" t="s">
        <v>47</v>
      </c>
      <c r="D420" s="7" t="n">
        <v>64</v>
      </c>
      <c r="E420" s="7" t="s">
        <v>61</v>
      </c>
      <c r="F420" s="7" t="s">
        <v>74</v>
      </c>
      <c r="G420" s="8" t="n">
        <v>45785</v>
      </c>
      <c r="H420" s="8" t="n">
        <v>45819</v>
      </c>
      <c r="I420" s="7" t="s">
        <v>58</v>
      </c>
      <c r="J420" s="7" t="s">
        <v>51</v>
      </c>
      <c r="K420" s="7" t="n">
        <v>34</v>
      </c>
      <c r="L420" s="7" t="n">
        <v>4</v>
      </c>
      <c r="M420" s="7" t="n">
        <v>2</v>
      </c>
      <c r="N420" s="7" t="s">
        <v>71</v>
      </c>
      <c r="O420" s="7"/>
      <c r="P420" s="7" t="n">
        <v>23.7</v>
      </c>
      <c r="Q420" s="7" t="n">
        <v>3</v>
      </c>
      <c r="R420" s="7" t="s">
        <v>53</v>
      </c>
      <c r="S420" s="7"/>
      <c r="T420" s="7"/>
      <c r="U420" s="7" t="str">
        <f aca="false">IF(COUNTIF($A$2:$A$5001,A420)&gt;1,"Duplicate","Unique")</f>
        <v>Unique</v>
      </c>
      <c r="V420" s="7" t="str">
        <f aca="false">IF(COUNTIFS($B$2:$B$5001,B420,$H$2:$H$5001,H420,$J$2:$J$5001,J420)&gt;1,"Possible Duplicate Booking","Unique")</f>
        <v>Unique</v>
      </c>
      <c r="W420" s="7" t="str">
        <f aca="false">IF((H420-G420)&lt;&gt;K420,"Mismatch","OK")</f>
        <v>OK</v>
      </c>
      <c r="X420" s="7" t="str">
        <f aca="false">IF(TEXT(H420,"dddd")&lt;&gt;I420,"Mismatch","OK")</f>
        <v>OK</v>
      </c>
      <c r="Y420" s="7" t="str">
        <f aca="false">IF(AND(N420="No",O420&lt;&gt;""),"Unexpected: channel present but no reminder sent",IF(AND(N420="Yes",O420=""),"Missing channel for sent reminder","OK"))</f>
        <v>OK</v>
      </c>
    </row>
    <row r="421" customFormat="false" ht="15" hidden="false" customHeight="false" outlineLevel="0" collapsed="false">
      <c r="A421" s="9" t="s">
        <v>870</v>
      </c>
      <c r="B421" s="9" t="s">
        <v>871</v>
      </c>
      <c r="C421" s="9" t="s">
        <v>37</v>
      </c>
      <c r="D421" s="9" t="n">
        <v>22</v>
      </c>
      <c r="E421" s="9" t="s">
        <v>82</v>
      </c>
      <c r="F421" s="9" t="s">
        <v>39</v>
      </c>
      <c r="G421" s="10" t="n">
        <v>45895</v>
      </c>
      <c r="H421" s="10" t="n">
        <v>45934</v>
      </c>
      <c r="I421" s="9" t="s">
        <v>102</v>
      </c>
      <c r="J421" s="9" t="s">
        <v>41</v>
      </c>
      <c r="K421" s="9" t="n">
        <v>39</v>
      </c>
      <c r="L421" s="9" t="n">
        <v>1</v>
      </c>
      <c r="M421" s="9" t="n">
        <v>0</v>
      </c>
      <c r="N421" s="9" t="s">
        <v>71</v>
      </c>
      <c r="O421" s="9"/>
      <c r="P421" s="9" t="n">
        <v>17.6</v>
      </c>
      <c r="Q421" s="9" t="n">
        <v>22</v>
      </c>
      <c r="R421" s="9" t="s">
        <v>87</v>
      </c>
      <c r="S421" s="9"/>
      <c r="T421" s="9"/>
      <c r="U421" s="9" t="str">
        <f aca="false">IF(COUNTIF($A$2:$A$5001,A421)&gt;1,"Duplicate","Unique")</f>
        <v>Unique</v>
      </c>
      <c r="V421" s="9" t="str">
        <f aca="false">IF(COUNTIFS($B$2:$B$5001,B421,$H$2:$H$5001,H421,$J$2:$J$5001,J421)&gt;1,"Possible Duplicate Booking","Unique")</f>
        <v>Unique</v>
      </c>
      <c r="W421" s="9" t="str">
        <f aca="false">IF((H421-G421)&lt;&gt;K421,"Mismatch","OK")</f>
        <v>OK</v>
      </c>
      <c r="X421" s="9" t="str">
        <f aca="false">IF(TEXT(H421,"dddd")&lt;&gt;I421,"Mismatch","OK")</f>
        <v>OK</v>
      </c>
      <c r="Y421" s="9" t="str">
        <f aca="false">IF(AND(N421="No",O421&lt;&gt;""),"Unexpected: channel present but no reminder sent",IF(AND(N421="Yes",O421=""),"Missing channel for sent reminder","OK"))</f>
        <v>OK</v>
      </c>
    </row>
    <row r="422" customFormat="false" ht="15" hidden="false" customHeight="false" outlineLevel="0" collapsed="false">
      <c r="A422" s="7" t="s">
        <v>872</v>
      </c>
      <c r="B422" s="7" t="s">
        <v>873</v>
      </c>
      <c r="C422" s="7" t="s">
        <v>37</v>
      </c>
      <c r="D422" s="7" t="n">
        <v>74</v>
      </c>
      <c r="E422" s="7" t="s">
        <v>70</v>
      </c>
      <c r="F422" s="7" t="s">
        <v>39</v>
      </c>
      <c r="G422" s="8" t="n">
        <v>46116</v>
      </c>
      <c r="H422" s="8" t="n">
        <v>46164</v>
      </c>
      <c r="I422" s="7" t="s">
        <v>50</v>
      </c>
      <c r="J422" s="7" t="s">
        <v>41</v>
      </c>
      <c r="K422" s="7" t="n">
        <v>48</v>
      </c>
      <c r="L422" s="7" t="n">
        <v>2</v>
      </c>
      <c r="M422" s="7" t="n">
        <v>0</v>
      </c>
      <c r="N422" s="7" t="s">
        <v>42</v>
      </c>
      <c r="O422" s="7" t="s">
        <v>52</v>
      </c>
      <c r="P422" s="7" t="n">
        <v>8.4</v>
      </c>
      <c r="Q422" s="7" t="n">
        <v>26</v>
      </c>
      <c r="R422" s="7" t="s">
        <v>44</v>
      </c>
      <c r="S422" s="7"/>
      <c r="T422" s="7"/>
      <c r="U422" s="7" t="str">
        <f aca="false">IF(COUNTIF($A$2:$A$5001,A422)&gt;1,"Duplicate","Unique")</f>
        <v>Unique</v>
      </c>
      <c r="V422" s="7" t="str">
        <f aca="false">IF(COUNTIFS($B$2:$B$5001,B422,$H$2:$H$5001,H422,$J$2:$J$5001,J422)&gt;1,"Possible Duplicate Booking","Unique")</f>
        <v>Unique</v>
      </c>
      <c r="W422" s="7" t="str">
        <f aca="false">IF((H422-G422)&lt;&gt;K422,"Mismatch","OK")</f>
        <v>OK</v>
      </c>
      <c r="X422" s="7" t="str">
        <f aca="false">IF(TEXT(H422,"dddd")&lt;&gt;I422,"Mismatch","OK")</f>
        <v>OK</v>
      </c>
      <c r="Y422" s="7" t="str">
        <f aca="false">IF(AND(N422="No",O422&lt;&gt;""),"Unexpected: channel present but no reminder sent",IF(AND(N422="Yes",O422=""),"Missing channel for sent reminder","OK"))</f>
        <v>OK</v>
      </c>
    </row>
    <row r="423" customFormat="false" ht="15" hidden="false" customHeight="false" outlineLevel="0" collapsed="false">
      <c r="A423" s="9" t="s">
        <v>874</v>
      </c>
      <c r="B423" s="9" t="s">
        <v>875</v>
      </c>
      <c r="C423" s="9" t="s">
        <v>47</v>
      </c>
      <c r="D423" s="9" t="n">
        <v>46</v>
      </c>
      <c r="E423" s="9" t="s">
        <v>56</v>
      </c>
      <c r="F423" s="9" t="s">
        <v>57</v>
      </c>
      <c r="G423" s="10" t="n">
        <v>45978</v>
      </c>
      <c r="H423" s="10" t="n">
        <v>46037</v>
      </c>
      <c r="I423" s="9" t="s">
        <v>62</v>
      </c>
      <c r="J423" s="9" t="s">
        <v>63</v>
      </c>
      <c r="K423" s="9" t="n">
        <v>59</v>
      </c>
      <c r="L423" s="9" t="n">
        <v>4</v>
      </c>
      <c r="M423" s="9" t="n">
        <v>0</v>
      </c>
      <c r="N423" s="9" t="s">
        <v>71</v>
      </c>
      <c r="O423" s="9"/>
      <c r="P423" s="9" t="n">
        <v>15.2</v>
      </c>
      <c r="Q423" s="9" t="n">
        <v>31</v>
      </c>
      <c r="R423" s="9" t="s">
        <v>44</v>
      </c>
      <c r="S423" s="9"/>
      <c r="T423" s="9"/>
      <c r="U423" s="9" t="str">
        <f aca="false">IF(COUNTIF($A$2:$A$5001,A423)&gt;1,"Duplicate","Unique")</f>
        <v>Unique</v>
      </c>
      <c r="V423" s="9" t="str">
        <f aca="false">IF(COUNTIFS($B$2:$B$5001,B423,$H$2:$H$5001,H423,$J$2:$J$5001,J423)&gt;1,"Possible Duplicate Booking","Unique")</f>
        <v>Unique</v>
      </c>
      <c r="W423" s="9" t="str">
        <f aca="false">IF((H423-G423)&lt;&gt;K423,"Mismatch","OK")</f>
        <v>OK</v>
      </c>
      <c r="X423" s="9" t="str">
        <f aca="false">IF(TEXT(H423,"dddd")&lt;&gt;I423,"Mismatch","OK")</f>
        <v>OK</v>
      </c>
      <c r="Y423" s="9" t="str">
        <f aca="false">IF(AND(N423="No",O423&lt;&gt;""),"Unexpected: channel present but no reminder sent",IF(AND(N423="Yes",O423=""),"Missing channel for sent reminder","OK"))</f>
        <v>OK</v>
      </c>
    </row>
    <row r="424" customFormat="false" ht="15" hidden="false" customHeight="false" outlineLevel="0" collapsed="false">
      <c r="A424" s="7" t="s">
        <v>876</v>
      </c>
      <c r="B424" s="7" t="s">
        <v>877</v>
      </c>
      <c r="C424" s="7" t="s">
        <v>47</v>
      </c>
      <c r="D424" s="7" t="n">
        <v>72</v>
      </c>
      <c r="E424" s="7" t="s">
        <v>70</v>
      </c>
      <c r="F424" s="7" t="s">
        <v>49</v>
      </c>
      <c r="G424" s="8" t="n">
        <v>46072</v>
      </c>
      <c r="H424" s="8" t="n">
        <v>46076</v>
      </c>
      <c r="I424" s="7" t="s">
        <v>66</v>
      </c>
      <c r="J424" s="7" t="s">
        <v>51</v>
      </c>
      <c r="K424" s="7" t="n">
        <v>4</v>
      </c>
      <c r="L424" s="7" t="n">
        <v>2</v>
      </c>
      <c r="M424" s="7" t="n">
        <v>0</v>
      </c>
      <c r="N424" s="7" t="s">
        <v>42</v>
      </c>
      <c r="O424" s="7" t="s">
        <v>67</v>
      </c>
      <c r="P424" s="7" t="n">
        <v>7.7</v>
      </c>
      <c r="Q424" s="7" t="n">
        <v>37</v>
      </c>
      <c r="R424" s="7" t="s">
        <v>87</v>
      </c>
      <c r="S424" s="7"/>
      <c r="T424" s="7"/>
      <c r="U424" s="7" t="str">
        <f aca="false">IF(COUNTIF($A$2:$A$5001,A424)&gt;1,"Duplicate","Unique")</f>
        <v>Unique</v>
      </c>
      <c r="V424" s="7" t="str">
        <f aca="false">IF(COUNTIFS($B$2:$B$5001,B424,$H$2:$H$5001,H424,$J$2:$J$5001,J424)&gt;1,"Possible Duplicate Booking","Unique")</f>
        <v>Unique</v>
      </c>
      <c r="W424" s="7" t="str">
        <f aca="false">IF((H424-G424)&lt;&gt;K424,"Mismatch","OK")</f>
        <v>OK</v>
      </c>
      <c r="X424" s="7" t="str">
        <f aca="false">IF(TEXT(H424,"dddd")&lt;&gt;I424,"Mismatch","OK")</f>
        <v>OK</v>
      </c>
      <c r="Y424" s="7" t="str">
        <f aca="false">IF(AND(N424="No",O424&lt;&gt;""),"Unexpected: channel present but no reminder sent",IF(AND(N424="Yes",O424=""),"Missing channel for sent reminder","OK"))</f>
        <v>OK</v>
      </c>
    </row>
    <row r="425" customFormat="false" ht="15" hidden="false" customHeight="false" outlineLevel="0" collapsed="false">
      <c r="A425" s="9" t="s">
        <v>878</v>
      </c>
      <c r="B425" s="9" t="s">
        <v>691</v>
      </c>
      <c r="C425" s="9" t="s">
        <v>37</v>
      </c>
      <c r="D425" s="9" t="n">
        <v>33</v>
      </c>
      <c r="E425" s="9" t="s">
        <v>48</v>
      </c>
      <c r="F425" s="9" t="s">
        <v>39</v>
      </c>
      <c r="G425" s="10" t="n">
        <v>45960</v>
      </c>
      <c r="H425" s="10" t="n">
        <v>45975</v>
      </c>
      <c r="I425" s="9" t="s">
        <v>50</v>
      </c>
      <c r="J425" s="9" t="s">
        <v>51</v>
      </c>
      <c r="K425" s="9" t="n">
        <v>15</v>
      </c>
      <c r="L425" s="9" t="n">
        <v>1</v>
      </c>
      <c r="M425" s="9" t="n">
        <v>0</v>
      </c>
      <c r="N425" s="9" t="s">
        <v>42</v>
      </c>
      <c r="O425" s="9" t="s">
        <v>43</v>
      </c>
      <c r="P425" s="9" t="n">
        <v>3.2</v>
      </c>
      <c r="Q425" s="9" t="n">
        <v>33</v>
      </c>
      <c r="R425" s="9" t="s">
        <v>53</v>
      </c>
      <c r="S425" s="9"/>
      <c r="T425" s="9"/>
      <c r="U425" s="9" t="str">
        <f aca="false">IF(COUNTIF($A$2:$A$5001,A425)&gt;1,"Duplicate","Unique")</f>
        <v>Unique</v>
      </c>
      <c r="V425" s="9" t="str">
        <f aca="false">IF(COUNTIFS($B$2:$B$5001,B425,$H$2:$H$5001,H425,$J$2:$J$5001,J425)&gt;1,"Possible Duplicate Booking","Unique")</f>
        <v>Unique</v>
      </c>
      <c r="W425" s="9" t="str">
        <f aca="false">IF((H425-G425)&lt;&gt;K425,"Mismatch","OK")</f>
        <v>OK</v>
      </c>
      <c r="X425" s="9" t="str">
        <f aca="false">IF(TEXT(H425,"dddd")&lt;&gt;I425,"Mismatch","OK")</f>
        <v>OK</v>
      </c>
      <c r="Y425" s="9" t="str">
        <f aca="false">IF(AND(N425="No",O425&lt;&gt;""),"Unexpected: channel present but no reminder sent",IF(AND(N425="Yes",O425=""),"Missing channel for sent reminder","OK"))</f>
        <v>OK</v>
      </c>
    </row>
    <row r="426" customFormat="false" ht="15" hidden="false" customHeight="false" outlineLevel="0" collapsed="false">
      <c r="A426" s="7" t="s">
        <v>879</v>
      </c>
      <c r="B426" s="7" t="s">
        <v>880</v>
      </c>
      <c r="C426" s="7" t="s">
        <v>47</v>
      </c>
      <c r="D426" s="7" t="n">
        <v>26</v>
      </c>
      <c r="E426" s="7" t="s">
        <v>48</v>
      </c>
      <c r="F426" s="7" t="s">
        <v>49</v>
      </c>
      <c r="G426" s="8" t="n">
        <v>45867</v>
      </c>
      <c r="H426" s="8" t="n">
        <v>45885</v>
      </c>
      <c r="I426" s="7" t="s">
        <v>102</v>
      </c>
      <c r="J426" s="7" t="s">
        <v>63</v>
      </c>
      <c r="K426" s="7" t="n">
        <v>18</v>
      </c>
      <c r="L426" s="7" t="n">
        <v>5</v>
      </c>
      <c r="M426" s="7" t="n">
        <v>1</v>
      </c>
      <c r="N426" s="7" t="s">
        <v>71</v>
      </c>
      <c r="O426" s="7"/>
      <c r="P426" s="7" t="n">
        <v>10.2</v>
      </c>
      <c r="Q426" s="7" t="n">
        <v>35</v>
      </c>
      <c r="R426" s="7" t="s">
        <v>44</v>
      </c>
      <c r="S426" s="7"/>
      <c r="T426" s="7"/>
      <c r="U426" s="7" t="str">
        <f aca="false">IF(COUNTIF($A$2:$A$5001,A426)&gt;1,"Duplicate","Unique")</f>
        <v>Unique</v>
      </c>
      <c r="V426" s="7" t="str">
        <f aca="false">IF(COUNTIFS($B$2:$B$5001,B426,$H$2:$H$5001,H426,$J$2:$J$5001,J426)&gt;1,"Possible Duplicate Booking","Unique")</f>
        <v>Unique</v>
      </c>
      <c r="W426" s="7" t="str">
        <f aca="false">IF((H426-G426)&lt;&gt;K426,"Mismatch","OK")</f>
        <v>OK</v>
      </c>
      <c r="X426" s="7" t="str">
        <f aca="false">IF(TEXT(H426,"dddd")&lt;&gt;I426,"Mismatch","OK")</f>
        <v>OK</v>
      </c>
      <c r="Y426" s="7" t="str">
        <f aca="false">IF(AND(N426="No",O426&lt;&gt;""),"Unexpected: channel present but no reminder sent",IF(AND(N426="Yes",O426=""),"Missing channel for sent reminder","OK"))</f>
        <v>OK</v>
      </c>
    </row>
    <row r="427" customFormat="false" ht="15" hidden="false" customHeight="false" outlineLevel="0" collapsed="false">
      <c r="A427" s="9" t="s">
        <v>881</v>
      </c>
      <c r="B427" s="9" t="s">
        <v>411</v>
      </c>
      <c r="C427" s="9" t="s">
        <v>37</v>
      </c>
      <c r="D427" s="9" t="n">
        <v>78</v>
      </c>
      <c r="E427" s="9" t="s">
        <v>70</v>
      </c>
      <c r="F427" s="9" t="s">
        <v>57</v>
      </c>
      <c r="G427" s="10" t="n">
        <v>45752</v>
      </c>
      <c r="H427" s="10" t="n">
        <v>45767</v>
      </c>
      <c r="I427" s="9" t="s">
        <v>75</v>
      </c>
      <c r="J427" s="9" t="s">
        <v>51</v>
      </c>
      <c r="K427" s="9" t="n">
        <v>15</v>
      </c>
      <c r="L427" s="9" t="n">
        <v>2</v>
      </c>
      <c r="M427" s="9" t="n">
        <v>2</v>
      </c>
      <c r="N427" s="9" t="s">
        <v>71</v>
      </c>
      <c r="O427" s="9"/>
      <c r="P427" s="9" t="n">
        <v>2.5</v>
      </c>
      <c r="Q427" s="9" t="n">
        <v>13</v>
      </c>
      <c r="R427" s="9" t="s">
        <v>44</v>
      </c>
      <c r="S427" s="9"/>
      <c r="T427" s="9"/>
      <c r="U427" s="9" t="str">
        <f aca="false">IF(COUNTIF($A$2:$A$5001,A427)&gt;1,"Duplicate","Unique")</f>
        <v>Unique</v>
      </c>
      <c r="V427" s="9" t="str">
        <f aca="false">IF(COUNTIFS($B$2:$B$5001,B427,$H$2:$H$5001,H427,$J$2:$J$5001,J427)&gt;1,"Possible Duplicate Booking","Unique")</f>
        <v>Unique</v>
      </c>
      <c r="W427" s="9" t="str">
        <f aca="false">IF((H427-G427)&lt;&gt;K427,"Mismatch","OK")</f>
        <v>OK</v>
      </c>
      <c r="X427" s="9" t="str">
        <f aca="false">IF(TEXT(H427,"dddd")&lt;&gt;I427,"Mismatch","OK")</f>
        <v>OK</v>
      </c>
      <c r="Y427" s="9" t="str">
        <f aca="false">IF(AND(N427="No",O427&lt;&gt;""),"Unexpected: channel present but no reminder sent",IF(AND(N427="Yes",O427=""),"Missing channel for sent reminder","OK"))</f>
        <v>OK</v>
      </c>
    </row>
    <row r="428" customFormat="false" ht="15" hidden="false" customHeight="false" outlineLevel="0" collapsed="false">
      <c r="A428" s="7" t="s">
        <v>882</v>
      </c>
      <c r="B428" s="7" t="s">
        <v>883</v>
      </c>
      <c r="C428" s="7" t="s">
        <v>37</v>
      </c>
      <c r="D428" s="7" t="n">
        <v>66</v>
      </c>
      <c r="E428" s="7" t="s">
        <v>70</v>
      </c>
      <c r="F428" s="7" t="s">
        <v>57</v>
      </c>
      <c r="G428" s="8" t="n">
        <v>46079</v>
      </c>
      <c r="H428" s="8" t="n">
        <v>46129</v>
      </c>
      <c r="I428" s="7" t="s">
        <v>50</v>
      </c>
      <c r="J428" s="7" t="s">
        <v>41</v>
      </c>
      <c r="K428" s="7" t="n">
        <v>50</v>
      </c>
      <c r="L428" s="7" t="n">
        <v>4</v>
      </c>
      <c r="M428" s="7" t="n">
        <v>3</v>
      </c>
      <c r="N428" s="7" t="s">
        <v>42</v>
      </c>
      <c r="O428" s="7" t="s">
        <v>52</v>
      </c>
      <c r="P428" s="7" t="n">
        <v>7.5</v>
      </c>
      <c r="Q428" s="7" t="n">
        <v>36</v>
      </c>
      <c r="R428" s="7" t="s">
        <v>44</v>
      </c>
      <c r="S428" s="7"/>
      <c r="T428" s="7"/>
      <c r="U428" s="7" t="str">
        <f aca="false">IF(COUNTIF($A$2:$A$5001,A428)&gt;1,"Duplicate","Unique")</f>
        <v>Unique</v>
      </c>
      <c r="V428" s="7" t="str">
        <f aca="false">IF(COUNTIFS($B$2:$B$5001,B428,$H$2:$H$5001,H428,$J$2:$J$5001,J428)&gt;1,"Possible Duplicate Booking","Unique")</f>
        <v>Unique</v>
      </c>
      <c r="W428" s="7" t="str">
        <f aca="false">IF((H428-G428)&lt;&gt;K428,"Mismatch","OK")</f>
        <v>OK</v>
      </c>
      <c r="X428" s="7" t="str">
        <f aca="false">IF(TEXT(H428,"dddd")&lt;&gt;I428,"Mismatch","OK")</f>
        <v>OK</v>
      </c>
      <c r="Y428" s="7" t="str">
        <f aca="false">IF(AND(N428="No",O428&lt;&gt;""),"Unexpected: channel present but no reminder sent",IF(AND(N428="Yes",O428=""),"Missing channel for sent reminder","OK"))</f>
        <v>OK</v>
      </c>
    </row>
    <row r="429" customFormat="false" ht="15" hidden="false" customHeight="false" outlineLevel="0" collapsed="false">
      <c r="A429" s="9" t="s">
        <v>884</v>
      </c>
      <c r="B429" s="9" t="s">
        <v>302</v>
      </c>
      <c r="C429" s="9" t="s">
        <v>47</v>
      </c>
      <c r="D429" s="9" t="n">
        <v>75</v>
      </c>
      <c r="E429" s="9" t="s">
        <v>70</v>
      </c>
      <c r="F429" s="9" t="s">
        <v>39</v>
      </c>
      <c r="G429" s="10" t="n">
        <v>46089</v>
      </c>
      <c r="H429" s="10" t="n">
        <v>46097</v>
      </c>
      <c r="I429" s="9" t="s">
        <v>66</v>
      </c>
      <c r="J429" s="9" t="s">
        <v>51</v>
      </c>
      <c r="K429" s="9" t="n">
        <v>8</v>
      </c>
      <c r="L429" s="9" t="n">
        <v>4</v>
      </c>
      <c r="M429" s="9" t="n">
        <v>1</v>
      </c>
      <c r="N429" s="9" t="s">
        <v>71</v>
      </c>
      <c r="O429" s="9"/>
      <c r="P429" s="9" t="n">
        <v>18.6</v>
      </c>
      <c r="Q429" s="9" t="n">
        <v>28</v>
      </c>
      <c r="R429" s="9" t="s">
        <v>44</v>
      </c>
      <c r="S429" s="9"/>
      <c r="T429" s="9"/>
      <c r="U429" s="9" t="str">
        <f aca="false">IF(COUNTIF($A$2:$A$5001,A429)&gt;1,"Duplicate","Unique")</f>
        <v>Unique</v>
      </c>
      <c r="V429" s="9" t="str">
        <f aca="false">IF(COUNTIFS($B$2:$B$5001,B429,$H$2:$H$5001,H429,$J$2:$J$5001,J429)&gt;1,"Possible Duplicate Booking","Unique")</f>
        <v>Unique</v>
      </c>
      <c r="W429" s="9" t="str">
        <f aca="false">IF((H429-G429)&lt;&gt;K429,"Mismatch","OK")</f>
        <v>OK</v>
      </c>
      <c r="X429" s="9" t="str">
        <f aca="false">IF(TEXT(H429,"dddd")&lt;&gt;I429,"Mismatch","OK")</f>
        <v>OK</v>
      </c>
      <c r="Y429" s="9" t="str">
        <f aca="false">IF(AND(N429="No",O429&lt;&gt;""),"Unexpected: channel present but no reminder sent",IF(AND(N429="Yes",O429=""),"Missing channel for sent reminder","OK"))</f>
        <v>OK</v>
      </c>
    </row>
    <row r="430" customFormat="false" ht="15" hidden="false" customHeight="false" outlineLevel="0" collapsed="false">
      <c r="A430" s="7" t="s">
        <v>885</v>
      </c>
      <c r="B430" s="7" t="s">
        <v>886</v>
      </c>
      <c r="C430" s="7" t="s">
        <v>47</v>
      </c>
      <c r="D430" s="7" t="n">
        <v>38</v>
      </c>
      <c r="E430" s="7" t="s">
        <v>38</v>
      </c>
      <c r="F430" s="7" t="s">
        <v>57</v>
      </c>
      <c r="G430" s="8" t="n">
        <v>45670</v>
      </c>
      <c r="H430" s="8" t="n">
        <v>45671</v>
      </c>
      <c r="I430" s="7" t="s">
        <v>40</v>
      </c>
      <c r="J430" s="7" t="s">
        <v>51</v>
      </c>
      <c r="K430" s="7" t="n">
        <v>1</v>
      </c>
      <c r="L430" s="7" t="n">
        <v>3</v>
      </c>
      <c r="M430" s="7" t="n">
        <v>1</v>
      </c>
      <c r="N430" s="7" t="s">
        <v>42</v>
      </c>
      <c r="O430" s="7" t="s">
        <v>67</v>
      </c>
      <c r="P430" s="7" t="n">
        <v>16.4</v>
      </c>
      <c r="Q430" s="7" t="n">
        <v>10</v>
      </c>
      <c r="R430" s="7" t="s">
        <v>53</v>
      </c>
      <c r="S430" s="7"/>
      <c r="T430" s="7"/>
      <c r="U430" s="7" t="str">
        <f aca="false">IF(COUNTIF($A$2:$A$5001,A430)&gt;1,"Duplicate","Unique")</f>
        <v>Unique</v>
      </c>
      <c r="V430" s="7" t="str">
        <f aca="false">IF(COUNTIFS($B$2:$B$5001,B430,$H$2:$H$5001,H430,$J$2:$J$5001,J430)&gt;1,"Possible Duplicate Booking","Unique")</f>
        <v>Unique</v>
      </c>
      <c r="W430" s="7" t="str">
        <f aca="false">IF((H430-G430)&lt;&gt;K430,"Mismatch","OK")</f>
        <v>OK</v>
      </c>
      <c r="X430" s="7" t="str">
        <f aca="false">IF(TEXT(H430,"dddd")&lt;&gt;I430,"Mismatch","OK")</f>
        <v>OK</v>
      </c>
      <c r="Y430" s="7" t="str">
        <f aca="false">IF(AND(N430="No",O430&lt;&gt;""),"Unexpected: channel present but no reminder sent",IF(AND(N430="Yes",O430=""),"Missing channel for sent reminder","OK"))</f>
        <v>OK</v>
      </c>
    </row>
    <row r="431" customFormat="false" ht="15" hidden="false" customHeight="false" outlineLevel="0" collapsed="false">
      <c r="A431" s="9" t="s">
        <v>887</v>
      </c>
      <c r="B431" s="9" t="s">
        <v>888</v>
      </c>
      <c r="C431" s="9" t="s">
        <v>47</v>
      </c>
      <c r="D431" s="9" t="n">
        <v>43</v>
      </c>
      <c r="E431" s="9" t="s">
        <v>38</v>
      </c>
      <c r="F431" s="9" t="s">
        <v>39</v>
      </c>
      <c r="G431" s="10" t="n">
        <v>45996</v>
      </c>
      <c r="H431" s="10" t="n">
        <v>46048</v>
      </c>
      <c r="I431" s="9" t="s">
        <v>66</v>
      </c>
      <c r="J431" s="9" t="s">
        <v>41</v>
      </c>
      <c r="K431" s="9" t="n">
        <v>52</v>
      </c>
      <c r="L431" s="9" t="n">
        <v>3</v>
      </c>
      <c r="M431" s="9" t="n">
        <v>1</v>
      </c>
      <c r="N431" s="9" t="s">
        <v>42</v>
      </c>
      <c r="O431" s="9" t="s">
        <v>52</v>
      </c>
      <c r="P431" s="9" t="n">
        <v>7.6</v>
      </c>
      <c r="Q431" s="9" t="n">
        <v>36</v>
      </c>
      <c r="R431" s="9" t="s">
        <v>44</v>
      </c>
      <c r="S431" s="9"/>
      <c r="T431" s="9"/>
      <c r="U431" s="9" t="str">
        <f aca="false">IF(COUNTIF($A$2:$A$5001,A431)&gt;1,"Duplicate","Unique")</f>
        <v>Unique</v>
      </c>
      <c r="V431" s="9" t="str">
        <f aca="false">IF(COUNTIFS($B$2:$B$5001,B431,$H$2:$H$5001,H431,$J$2:$J$5001,J431)&gt;1,"Possible Duplicate Booking","Unique")</f>
        <v>Unique</v>
      </c>
      <c r="W431" s="9" t="str">
        <f aca="false">IF((H431-G431)&lt;&gt;K431,"Mismatch","OK")</f>
        <v>OK</v>
      </c>
      <c r="X431" s="9" t="str">
        <f aca="false">IF(TEXT(H431,"dddd")&lt;&gt;I431,"Mismatch","OK")</f>
        <v>OK</v>
      </c>
      <c r="Y431" s="9" t="str">
        <f aca="false">IF(AND(N431="No",O431&lt;&gt;""),"Unexpected: channel present but no reminder sent",IF(AND(N431="Yes",O431=""),"Missing channel for sent reminder","OK"))</f>
        <v>OK</v>
      </c>
    </row>
    <row r="432" customFormat="false" ht="15" hidden="false" customHeight="false" outlineLevel="0" collapsed="false">
      <c r="A432" s="7" t="s">
        <v>889</v>
      </c>
      <c r="B432" s="7" t="s">
        <v>890</v>
      </c>
      <c r="C432" s="7" t="s">
        <v>37</v>
      </c>
      <c r="D432" s="7" t="n">
        <v>54</v>
      </c>
      <c r="E432" s="7" t="s">
        <v>56</v>
      </c>
      <c r="F432" s="7" t="s">
        <v>57</v>
      </c>
      <c r="G432" s="8" t="n">
        <v>45646</v>
      </c>
      <c r="H432" s="8" t="n">
        <v>45704</v>
      </c>
      <c r="I432" s="7" t="s">
        <v>75</v>
      </c>
      <c r="J432" s="7" t="s">
        <v>41</v>
      </c>
      <c r="K432" s="7" t="n">
        <v>58</v>
      </c>
      <c r="L432" s="7" t="n">
        <v>1</v>
      </c>
      <c r="M432" s="7" t="n">
        <v>0</v>
      </c>
      <c r="N432" s="7" t="s">
        <v>71</v>
      </c>
      <c r="O432" s="7"/>
      <c r="P432" s="7" t="n">
        <v>23.6</v>
      </c>
      <c r="Q432" s="7" t="n">
        <v>14</v>
      </c>
      <c r="R432" s="7" t="s">
        <v>53</v>
      </c>
      <c r="S432" s="7"/>
      <c r="T432" s="7"/>
      <c r="U432" s="7" t="str">
        <f aca="false">IF(COUNTIF($A$2:$A$5001,A432)&gt;1,"Duplicate","Unique")</f>
        <v>Unique</v>
      </c>
      <c r="V432" s="7" t="str">
        <f aca="false">IF(COUNTIFS($B$2:$B$5001,B432,$H$2:$H$5001,H432,$J$2:$J$5001,J432)&gt;1,"Possible Duplicate Booking","Unique")</f>
        <v>Unique</v>
      </c>
      <c r="W432" s="7" t="str">
        <f aca="false">IF((H432-G432)&lt;&gt;K432,"Mismatch","OK")</f>
        <v>OK</v>
      </c>
      <c r="X432" s="7" t="str">
        <f aca="false">IF(TEXT(H432,"dddd")&lt;&gt;I432,"Mismatch","OK")</f>
        <v>OK</v>
      </c>
      <c r="Y432" s="7" t="str">
        <f aca="false">IF(AND(N432="No",O432&lt;&gt;""),"Unexpected: channel present but no reminder sent",IF(AND(N432="Yes",O432=""),"Missing channel for sent reminder","OK"))</f>
        <v>OK</v>
      </c>
    </row>
    <row r="433" customFormat="false" ht="15" hidden="false" customHeight="false" outlineLevel="0" collapsed="false">
      <c r="A433" s="9" t="s">
        <v>891</v>
      </c>
      <c r="B433" s="9" t="s">
        <v>892</v>
      </c>
      <c r="C433" s="9" t="s">
        <v>37</v>
      </c>
      <c r="D433" s="9" t="n">
        <v>46</v>
      </c>
      <c r="E433" s="9" t="s">
        <v>56</v>
      </c>
      <c r="F433" s="9" t="s">
        <v>39</v>
      </c>
      <c r="G433" s="10" t="n">
        <v>46048</v>
      </c>
      <c r="H433" s="10" t="n">
        <v>46061</v>
      </c>
      <c r="I433" s="9" t="s">
        <v>75</v>
      </c>
      <c r="J433" s="9" t="s">
        <v>41</v>
      </c>
      <c r="K433" s="9" t="n">
        <v>13</v>
      </c>
      <c r="L433" s="9" t="n">
        <v>4</v>
      </c>
      <c r="M433" s="9" t="n">
        <v>0</v>
      </c>
      <c r="N433" s="9" t="s">
        <v>71</v>
      </c>
      <c r="O433" s="9"/>
      <c r="P433" s="9" t="n">
        <v>12</v>
      </c>
      <c r="Q433" s="9" t="n">
        <v>13</v>
      </c>
      <c r="R433" s="9" t="s">
        <v>53</v>
      </c>
      <c r="S433" s="9"/>
      <c r="T433" s="9"/>
      <c r="U433" s="9" t="str">
        <f aca="false">IF(COUNTIF($A$2:$A$5001,A433)&gt;1,"Duplicate","Unique")</f>
        <v>Unique</v>
      </c>
      <c r="V433" s="9" t="str">
        <f aca="false">IF(COUNTIFS($B$2:$B$5001,B433,$H$2:$H$5001,H433,$J$2:$J$5001,J433)&gt;1,"Possible Duplicate Booking","Unique")</f>
        <v>Unique</v>
      </c>
      <c r="W433" s="9" t="str">
        <f aca="false">IF((H433-G433)&lt;&gt;K433,"Mismatch","OK")</f>
        <v>OK</v>
      </c>
      <c r="X433" s="9" t="str">
        <f aca="false">IF(TEXT(H433,"dddd")&lt;&gt;I433,"Mismatch","OK")</f>
        <v>OK</v>
      </c>
      <c r="Y433" s="9" t="str">
        <f aca="false">IF(AND(N433="No",O433&lt;&gt;""),"Unexpected: channel present but no reminder sent",IF(AND(N433="Yes",O433=""),"Missing channel for sent reminder","OK"))</f>
        <v>OK</v>
      </c>
    </row>
    <row r="434" customFormat="false" ht="15" hidden="false" customHeight="false" outlineLevel="0" collapsed="false">
      <c r="A434" s="7" t="s">
        <v>893</v>
      </c>
      <c r="B434" s="7" t="s">
        <v>894</v>
      </c>
      <c r="C434" s="7" t="s">
        <v>37</v>
      </c>
      <c r="D434" s="7" t="n">
        <v>33</v>
      </c>
      <c r="E434" s="7" t="s">
        <v>48</v>
      </c>
      <c r="F434" s="7" t="s">
        <v>57</v>
      </c>
      <c r="G434" s="8" t="n">
        <v>46088</v>
      </c>
      <c r="H434" s="8" t="n">
        <v>46108</v>
      </c>
      <c r="I434" s="7" t="s">
        <v>50</v>
      </c>
      <c r="J434" s="7" t="s">
        <v>41</v>
      </c>
      <c r="K434" s="7" t="n">
        <v>20</v>
      </c>
      <c r="L434" s="7" t="n">
        <v>3</v>
      </c>
      <c r="M434" s="7" t="n">
        <v>2</v>
      </c>
      <c r="N434" s="7" t="s">
        <v>42</v>
      </c>
      <c r="O434" s="7" t="s">
        <v>52</v>
      </c>
      <c r="P434" s="7" t="n">
        <v>13.6</v>
      </c>
      <c r="Q434" s="7" t="n">
        <v>41</v>
      </c>
      <c r="R434" s="7" t="s">
        <v>44</v>
      </c>
      <c r="S434" s="7"/>
      <c r="T434" s="7"/>
      <c r="U434" s="7" t="str">
        <f aca="false">IF(COUNTIF($A$2:$A$5001,A434)&gt;1,"Duplicate","Unique")</f>
        <v>Unique</v>
      </c>
      <c r="V434" s="7" t="str">
        <f aca="false">IF(COUNTIFS($B$2:$B$5001,B434,$H$2:$H$5001,H434,$J$2:$J$5001,J434)&gt;1,"Possible Duplicate Booking","Unique")</f>
        <v>Unique</v>
      </c>
      <c r="W434" s="7" t="str">
        <f aca="false">IF((H434-G434)&lt;&gt;K434,"Mismatch","OK")</f>
        <v>OK</v>
      </c>
      <c r="X434" s="7" t="str">
        <f aca="false">IF(TEXT(H434,"dddd")&lt;&gt;I434,"Mismatch","OK")</f>
        <v>OK</v>
      </c>
      <c r="Y434" s="7" t="str">
        <f aca="false">IF(AND(N434="No",O434&lt;&gt;""),"Unexpected: channel present but no reminder sent",IF(AND(N434="Yes",O434=""),"Missing channel for sent reminder","OK"))</f>
        <v>OK</v>
      </c>
    </row>
    <row r="435" customFormat="false" ht="15" hidden="false" customHeight="false" outlineLevel="0" collapsed="false">
      <c r="A435" s="9" t="s">
        <v>895</v>
      </c>
      <c r="B435" s="9" t="s">
        <v>116</v>
      </c>
      <c r="C435" s="9" t="s">
        <v>47</v>
      </c>
      <c r="D435" s="9" t="n">
        <v>41</v>
      </c>
      <c r="E435" s="9" t="s">
        <v>38</v>
      </c>
      <c r="F435" s="9" t="s">
        <v>57</v>
      </c>
      <c r="G435" s="10" t="n">
        <v>45699</v>
      </c>
      <c r="H435" s="10" t="n">
        <v>45729</v>
      </c>
      <c r="I435" s="9" t="s">
        <v>62</v>
      </c>
      <c r="J435" s="9" t="s">
        <v>41</v>
      </c>
      <c r="K435" s="9" t="n">
        <v>30</v>
      </c>
      <c r="L435" s="9" t="n">
        <v>1</v>
      </c>
      <c r="M435" s="9" t="n">
        <v>1</v>
      </c>
      <c r="N435" s="9" t="s">
        <v>42</v>
      </c>
      <c r="O435" s="9" t="s">
        <v>52</v>
      </c>
      <c r="P435" s="9" t="n">
        <v>6.5</v>
      </c>
      <c r="Q435" s="9" t="n">
        <v>27</v>
      </c>
      <c r="R435" s="9" t="s">
        <v>53</v>
      </c>
      <c r="S435" s="9"/>
      <c r="T435" s="9"/>
      <c r="U435" s="9" t="str">
        <f aca="false">IF(COUNTIF($A$2:$A$5001,A435)&gt;1,"Duplicate","Unique")</f>
        <v>Unique</v>
      </c>
      <c r="V435" s="9" t="str">
        <f aca="false">IF(COUNTIFS($B$2:$B$5001,B435,$H$2:$H$5001,H435,$J$2:$J$5001,J435)&gt;1,"Possible Duplicate Booking","Unique")</f>
        <v>Unique</v>
      </c>
      <c r="W435" s="9" t="str">
        <f aca="false">IF((H435-G435)&lt;&gt;K435,"Mismatch","OK")</f>
        <v>OK</v>
      </c>
      <c r="X435" s="9" t="str">
        <f aca="false">IF(TEXT(H435,"dddd")&lt;&gt;I435,"Mismatch","OK")</f>
        <v>OK</v>
      </c>
      <c r="Y435" s="9" t="str">
        <f aca="false">IF(AND(N435="No",O435&lt;&gt;""),"Unexpected: channel present but no reminder sent",IF(AND(N435="Yes",O435=""),"Missing channel for sent reminder","OK"))</f>
        <v>OK</v>
      </c>
    </row>
    <row r="436" customFormat="false" ht="15" hidden="false" customHeight="false" outlineLevel="0" collapsed="false">
      <c r="A436" s="7" t="s">
        <v>896</v>
      </c>
      <c r="B436" s="7" t="s">
        <v>897</v>
      </c>
      <c r="C436" s="7" t="s">
        <v>37</v>
      </c>
      <c r="D436" s="7" t="n">
        <v>56</v>
      </c>
      <c r="E436" s="7" t="s">
        <v>61</v>
      </c>
      <c r="F436" s="7" t="s">
        <v>39</v>
      </c>
      <c r="G436" s="8" t="n">
        <v>45862</v>
      </c>
      <c r="H436" s="8" t="n">
        <v>45894</v>
      </c>
      <c r="I436" s="7" t="s">
        <v>66</v>
      </c>
      <c r="J436" s="7" t="s">
        <v>63</v>
      </c>
      <c r="K436" s="7" t="n">
        <v>32</v>
      </c>
      <c r="L436" s="7" t="n">
        <v>2</v>
      </c>
      <c r="M436" s="7" t="n">
        <v>0</v>
      </c>
      <c r="N436" s="7" t="s">
        <v>71</v>
      </c>
      <c r="O436" s="7"/>
      <c r="P436" s="7" t="n">
        <v>14.9</v>
      </c>
      <c r="Q436" s="7" t="n">
        <v>13</v>
      </c>
      <c r="R436" s="7" t="s">
        <v>53</v>
      </c>
      <c r="S436" s="7"/>
      <c r="T436" s="7"/>
      <c r="U436" s="7" t="str">
        <f aca="false">IF(COUNTIF($A$2:$A$5001,A436)&gt;1,"Duplicate","Unique")</f>
        <v>Unique</v>
      </c>
      <c r="V436" s="7" t="str">
        <f aca="false">IF(COUNTIFS($B$2:$B$5001,B436,$H$2:$H$5001,H436,$J$2:$J$5001,J436)&gt;1,"Possible Duplicate Booking","Unique")</f>
        <v>Unique</v>
      </c>
      <c r="W436" s="7" t="str">
        <f aca="false">IF((H436-G436)&lt;&gt;K436,"Mismatch","OK")</f>
        <v>OK</v>
      </c>
      <c r="X436" s="7" t="str">
        <f aca="false">IF(TEXT(H436,"dddd")&lt;&gt;I436,"Mismatch","OK")</f>
        <v>OK</v>
      </c>
      <c r="Y436" s="7" t="str">
        <f aca="false">IF(AND(N436="No",O436&lt;&gt;""),"Unexpected: channel present but no reminder sent",IF(AND(N436="Yes",O436=""),"Missing channel for sent reminder","OK"))</f>
        <v>OK</v>
      </c>
    </row>
    <row r="437" customFormat="false" ht="15" hidden="false" customHeight="false" outlineLevel="0" collapsed="false">
      <c r="A437" s="9" t="s">
        <v>898</v>
      </c>
      <c r="B437" s="9" t="s">
        <v>899</v>
      </c>
      <c r="C437" s="9" t="s">
        <v>37</v>
      </c>
      <c r="D437" s="9" t="n">
        <v>20</v>
      </c>
      <c r="E437" s="9" t="s">
        <v>82</v>
      </c>
      <c r="F437" s="9" t="s">
        <v>57</v>
      </c>
      <c r="G437" s="10" t="n">
        <v>45665</v>
      </c>
      <c r="H437" s="10" t="n">
        <v>45725</v>
      </c>
      <c r="I437" s="9" t="s">
        <v>75</v>
      </c>
      <c r="J437" s="9" t="s">
        <v>51</v>
      </c>
      <c r="K437" s="9" t="n">
        <v>60</v>
      </c>
      <c r="L437" s="9" t="n">
        <v>1</v>
      </c>
      <c r="M437" s="9" t="n">
        <v>0</v>
      </c>
      <c r="N437" s="9" t="s">
        <v>71</v>
      </c>
      <c r="O437" s="9"/>
      <c r="P437" s="9" t="n">
        <v>8</v>
      </c>
      <c r="Q437" s="9" t="n">
        <v>18</v>
      </c>
      <c r="R437" s="9" t="s">
        <v>44</v>
      </c>
      <c r="S437" s="9"/>
      <c r="T437" s="9"/>
      <c r="U437" s="9" t="str">
        <f aca="false">IF(COUNTIF($A$2:$A$5001,A437)&gt;1,"Duplicate","Unique")</f>
        <v>Unique</v>
      </c>
      <c r="V437" s="9" t="str">
        <f aca="false">IF(COUNTIFS($B$2:$B$5001,B437,$H$2:$H$5001,H437,$J$2:$J$5001,J437)&gt;1,"Possible Duplicate Booking","Unique")</f>
        <v>Unique</v>
      </c>
      <c r="W437" s="9" t="str">
        <f aca="false">IF((H437-G437)&lt;&gt;K437,"Mismatch","OK")</f>
        <v>OK</v>
      </c>
      <c r="X437" s="9" t="str">
        <f aca="false">IF(TEXT(H437,"dddd")&lt;&gt;I437,"Mismatch","OK")</f>
        <v>OK</v>
      </c>
      <c r="Y437" s="9" t="str">
        <f aca="false">IF(AND(N437="No",O437&lt;&gt;""),"Unexpected: channel present but no reminder sent",IF(AND(N437="Yes",O437=""),"Missing channel for sent reminder","OK"))</f>
        <v>OK</v>
      </c>
    </row>
    <row r="438" customFormat="false" ht="15" hidden="false" customHeight="false" outlineLevel="0" collapsed="false">
      <c r="A438" s="7" t="s">
        <v>900</v>
      </c>
      <c r="B438" s="7" t="s">
        <v>901</v>
      </c>
      <c r="C438" s="7" t="s">
        <v>37</v>
      </c>
      <c r="D438" s="7" t="n">
        <v>39</v>
      </c>
      <c r="E438" s="7" t="s">
        <v>38</v>
      </c>
      <c r="F438" s="7" t="s">
        <v>57</v>
      </c>
      <c r="G438" s="8" t="n">
        <v>45943</v>
      </c>
      <c r="H438" s="8" t="n">
        <v>45967</v>
      </c>
      <c r="I438" s="7" t="s">
        <v>62</v>
      </c>
      <c r="J438" s="7" t="s">
        <v>51</v>
      </c>
      <c r="K438" s="7" t="n">
        <v>24</v>
      </c>
      <c r="L438" s="7" t="n">
        <v>6</v>
      </c>
      <c r="M438" s="7" t="n">
        <v>0</v>
      </c>
      <c r="N438" s="7" t="s">
        <v>42</v>
      </c>
      <c r="O438" s="7" t="s">
        <v>52</v>
      </c>
      <c r="P438" s="7" t="n">
        <v>4.2</v>
      </c>
      <c r="Q438" s="7" t="n">
        <v>36</v>
      </c>
      <c r="R438" s="7" t="s">
        <v>53</v>
      </c>
      <c r="S438" s="7"/>
      <c r="T438" s="7"/>
      <c r="U438" s="7" t="str">
        <f aca="false">IF(COUNTIF($A$2:$A$5001,A438)&gt;1,"Duplicate","Unique")</f>
        <v>Unique</v>
      </c>
      <c r="V438" s="7" t="str">
        <f aca="false">IF(COUNTIFS($B$2:$B$5001,B438,$H$2:$H$5001,H438,$J$2:$J$5001,J438)&gt;1,"Possible Duplicate Booking","Unique")</f>
        <v>Unique</v>
      </c>
      <c r="W438" s="7" t="str">
        <f aca="false">IF((H438-G438)&lt;&gt;K438,"Mismatch","OK")</f>
        <v>OK</v>
      </c>
      <c r="X438" s="7" t="str">
        <f aca="false">IF(TEXT(H438,"dddd")&lt;&gt;I438,"Mismatch","OK")</f>
        <v>OK</v>
      </c>
      <c r="Y438" s="7" t="str">
        <f aca="false">IF(AND(N438="No",O438&lt;&gt;""),"Unexpected: channel present but no reminder sent",IF(AND(N438="Yes",O438=""),"Missing channel for sent reminder","OK"))</f>
        <v>OK</v>
      </c>
    </row>
    <row r="439" customFormat="false" ht="15" hidden="false" customHeight="false" outlineLevel="0" collapsed="false">
      <c r="A439" s="9" t="s">
        <v>902</v>
      </c>
      <c r="B439" s="9" t="s">
        <v>903</v>
      </c>
      <c r="C439" s="9" t="s">
        <v>47</v>
      </c>
      <c r="D439" s="9" t="n">
        <v>36</v>
      </c>
      <c r="E439" s="9" t="s">
        <v>38</v>
      </c>
      <c r="F439" s="9" t="s">
        <v>57</v>
      </c>
      <c r="G439" s="10" t="n">
        <v>46164</v>
      </c>
      <c r="H439" s="10" t="n">
        <v>46164</v>
      </c>
      <c r="I439" s="9" t="s">
        <v>50</v>
      </c>
      <c r="J439" s="9" t="s">
        <v>51</v>
      </c>
      <c r="K439" s="9" t="n">
        <v>0</v>
      </c>
      <c r="L439" s="9" t="n">
        <v>2</v>
      </c>
      <c r="M439" s="9" t="n">
        <v>0</v>
      </c>
      <c r="N439" s="9" t="s">
        <v>42</v>
      </c>
      <c r="O439" s="9" t="s">
        <v>67</v>
      </c>
      <c r="P439" s="9" t="n">
        <v>12</v>
      </c>
      <c r="Q439" s="9" t="n">
        <v>11</v>
      </c>
      <c r="R439" s="9" t="s">
        <v>53</v>
      </c>
      <c r="S439" s="9"/>
      <c r="T439" s="9"/>
      <c r="U439" s="9" t="str">
        <f aca="false">IF(COUNTIF($A$2:$A$5001,A439)&gt;1,"Duplicate","Unique")</f>
        <v>Unique</v>
      </c>
      <c r="V439" s="9" t="str">
        <f aca="false">IF(COUNTIFS($B$2:$B$5001,B439,$H$2:$H$5001,H439,$J$2:$J$5001,J439)&gt;1,"Possible Duplicate Booking","Unique")</f>
        <v>Unique</v>
      </c>
      <c r="W439" s="9" t="str">
        <f aca="false">IF((H439-G439)&lt;&gt;K439,"Mismatch","OK")</f>
        <v>OK</v>
      </c>
      <c r="X439" s="9" t="str">
        <f aca="false">IF(TEXT(H439,"dddd")&lt;&gt;I439,"Mismatch","OK")</f>
        <v>OK</v>
      </c>
      <c r="Y439" s="9" t="str">
        <f aca="false">IF(AND(N439="No",O439&lt;&gt;""),"Unexpected: channel present but no reminder sent",IF(AND(N439="Yes",O439=""),"Missing channel for sent reminder","OK"))</f>
        <v>OK</v>
      </c>
    </row>
    <row r="440" customFormat="false" ht="15" hidden="false" customHeight="false" outlineLevel="0" collapsed="false">
      <c r="A440" s="7" t="s">
        <v>904</v>
      </c>
      <c r="B440" s="7" t="s">
        <v>905</v>
      </c>
      <c r="C440" s="7" t="s">
        <v>37</v>
      </c>
      <c r="D440" s="7" t="n">
        <v>22</v>
      </c>
      <c r="E440" s="7" t="s">
        <v>82</v>
      </c>
      <c r="F440" s="7" t="s">
        <v>57</v>
      </c>
      <c r="G440" s="8" t="n">
        <v>45677</v>
      </c>
      <c r="H440" s="8" t="n">
        <v>45702</v>
      </c>
      <c r="I440" s="7" t="s">
        <v>50</v>
      </c>
      <c r="J440" s="7" t="s">
        <v>41</v>
      </c>
      <c r="K440" s="7" t="n">
        <v>25</v>
      </c>
      <c r="L440" s="7" t="n">
        <v>3</v>
      </c>
      <c r="M440" s="7" t="n">
        <v>1</v>
      </c>
      <c r="N440" s="7" t="s">
        <v>42</v>
      </c>
      <c r="O440" s="7" t="s">
        <v>67</v>
      </c>
      <c r="P440" s="7" t="n">
        <v>8.8</v>
      </c>
      <c r="Q440" s="7" t="n">
        <v>23</v>
      </c>
      <c r="R440" s="7" t="s">
        <v>53</v>
      </c>
      <c r="S440" s="7"/>
      <c r="T440" s="7"/>
      <c r="U440" s="7" t="str">
        <f aca="false">IF(COUNTIF($A$2:$A$5001,A440)&gt;1,"Duplicate","Unique")</f>
        <v>Unique</v>
      </c>
      <c r="V440" s="7" t="str">
        <f aca="false">IF(COUNTIFS($B$2:$B$5001,B440,$H$2:$H$5001,H440,$J$2:$J$5001,J440)&gt;1,"Possible Duplicate Booking","Unique")</f>
        <v>Unique</v>
      </c>
      <c r="W440" s="7" t="str">
        <f aca="false">IF((H440-G440)&lt;&gt;K440,"Mismatch","OK")</f>
        <v>OK</v>
      </c>
      <c r="X440" s="7" t="str">
        <f aca="false">IF(TEXT(H440,"dddd")&lt;&gt;I440,"Mismatch","OK")</f>
        <v>OK</v>
      </c>
      <c r="Y440" s="7" t="str">
        <f aca="false">IF(AND(N440="No",O440&lt;&gt;""),"Unexpected: channel present but no reminder sent",IF(AND(N440="Yes",O440=""),"Missing channel for sent reminder","OK"))</f>
        <v>OK</v>
      </c>
    </row>
    <row r="441" customFormat="false" ht="15" hidden="false" customHeight="false" outlineLevel="0" collapsed="false">
      <c r="A441" s="9" t="s">
        <v>906</v>
      </c>
      <c r="B441" s="9" t="s">
        <v>907</v>
      </c>
      <c r="C441" s="9" t="s">
        <v>47</v>
      </c>
      <c r="D441" s="9" t="n">
        <v>25</v>
      </c>
      <c r="E441" s="9" t="s">
        <v>48</v>
      </c>
      <c r="F441" s="9" t="s">
        <v>39</v>
      </c>
      <c r="G441" s="10" t="n">
        <v>45842</v>
      </c>
      <c r="H441" s="10" t="n">
        <v>45875</v>
      </c>
      <c r="I441" s="9" t="s">
        <v>58</v>
      </c>
      <c r="J441" s="9" t="s">
        <v>51</v>
      </c>
      <c r="K441" s="9" t="n">
        <v>33</v>
      </c>
      <c r="L441" s="9" t="n">
        <v>4</v>
      </c>
      <c r="M441" s="9" t="n">
        <v>0</v>
      </c>
      <c r="N441" s="9" t="s">
        <v>42</v>
      </c>
      <c r="O441" s="9" t="s">
        <v>52</v>
      </c>
      <c r="P441" s="9" t="n">
        <v>8.4</v>
      </c>
      <c r="Q441" s="9" t="n">
        <v>23</v>
      </c>
      <c r="R441" s="9" t="s">
        <v>53</v>
      </c>
      <c r="S441" s="9"/>
      <c r="T441" s="9"/>
      <c r="U441" s="9" t="str">
        <f aca="false">IF(COUNTIF($A$2:$A$5001,A441)&gt;1,"Duplicate","Unique")</f>
        <v>Unique</v>
      </c>
      <c r="V441" s="9" t="str">
        <f aca="false">IF(COUNTIFS($B$2:$B$5001,B441,$H$2:$H$5001,H441,$J$2:$J$5001,J441)&gt;1,"Possible Duplicate Booking","Unique")</f>
        <v>Unique</v>
      </c>
      <c r="W441" s="9" t="str">
        <f aca="false">IF((H441-G441)&lt;&gt;K441,"Mismatch","OK")</f>
        <v>OK</v>
      </c>
      <c r="X441" s="9" t="str">
        <f aca="false">IF(TEXT(H441,"dddd")&lt;&gt;I441,"Mismatch","OK")</f>
        <v>OK</v>
      </c>
      <c r="Y441" s="9" t="str">
        <f aca="false">IF(AND(N441="No",O441&lt;&gt;""),"Unexpected: channel present but no reminder sent",IF(AND(N441="Yes",O441=""),"Missing channel for sent reminder","OK"))</f>
        <v>OK</v>
      </c>
    </row>
    <row r="442" customFormat="false" ht="15" hidden="false" customHeight="false" outlineLevel="0" collapsed="false">
      <c r="A442" s="7" t="s">
        <v>908</v>
      </c>
      <c r="B442" s="7" t="s">
        <v>909</v>
      </c>
      <c r="C442" s="7" t="s">
        <v>47</v>
      </c>
      <c r="D442" s="7" t="n">
        <v>49</v>
      </c>
      <c r="E442" s="7" t="s">
        <v>56</v>
      </c>
      <c r="F442" s="7" t="s">
        <v>57</v>
      </c>
      <c r="G442" s="8" t="n">
        <v>46158</v>
      </c>
      <c r="H442" s="8" t="n">
        <v>46189</v>
      </c>
      <c r="I442" s="7" t="s">
        <v>40</v>
      </c>
      <c r="J442" s="7" t="s">
        <v>41</v>
      </c>
      <c r="K442" s="7" t="n">
        <v>31</v>
      </c>
      <c r="L442" s="7" t="n">
        <v>1</v>
      </c>
      <c r="M442" s="7" t="n">
        <v>0</v>
      </c>
      <c r="N442" s="7" t="s">
        <v>42</v>
      </c>
      <c r="O442" s="7" t="s">
        <v>67</v>
      </c>
      <c r="P442" s="7" t="n">
        <v>12.7</v>
      </c>
      <c r="Q442" s="7" t="n">
        <v>54</v>
      </c>
      <c r="R442" s="7" t="s">
        <v>53</v>
      </c>
      <c r="S442" s="7"/>
      <c r="T442" s="7"/>
      <c r="U442" s="7" t="str">
        <f aca="false">IF(COUNTIF($A$2:$A$5001,A442)&gt;1,"Duplicate","Unique")</f>
        <v>Unique</v>
      </c>
      <c r="V442" s="7" t="str">
        <f aca="false">IF(COUNTIFS($B$2:$B$5001,B442,$H$2:$H$5001,H442,$J$2:$J$5001,J442)&gt;1,"Possible Duplicate Booking","Unique")</f>
        <v>Unique</v>
      </c>
      <c r="W442" s="7" t="str">
        <f aca="false">IF((H442-G442)&lt;&gt;K442,"Mismatch","OK")</f>
        <v>OK</v>
      </c>
      <c r="X442" s="7" t="str">
        <f aca="false">IF(TEXT(H442,"dddd")&lt;&gt;I442,"Mismatch","OK")</f>
        <v>OK</v>
      </c>
      <c r="Y442" s="7" t="str">
        <f aca="false">IF(AND(N442="No",O442&lt;&gt;""),"Unexpected: channel present but no reminder sent",IF(AND(N442="Yes",O442=""),"Missing channel for sent reminder","OK"))</f>
        <v>OK</v>
      </c>
    </row>
    <row r="443" customFormat="false" ht="15" hidden="false" customHeight="false" outlineLevel="0" collapsed="false">
      <c r="A443" s="9" t="s">
        <v>910</v>
      </c>
      <c r="B443" s="9" t="s">
        <v>911</v>
      </c>
      <c r="C443" s="9" t="s">
        <v>37</v>
      </c>
      <c r="D443" s="9" t="n">
        <v>24</v>
      </c>
      <c r="E443" s="9" t="s">
        <v>82</v>
      </c>
      <c r="F443" s="9" t="s">
        <v>57</v>
      </c>
      <c r="G443" s="10" t="n">
        <v>45791</v>
      </c>
      <c r="H443" s="10" t="n">
        <v>45822</v>
      </c>
      <c r="I443" s="9" t="s">
        <v>102</v>
      </c>
      <c r="J443" s="9" t="s">
        <v>51</v>
      </c>
      <c r="K443" s="9" t="n">
        <v>31</v>
      </c>
      <c r="L443" s="9" t="n">
        <v>1</v>
      </c>
      <c r="M443" s="9" t="n">
        <v>0</v>
      </c>
      <c r="N443" s="9" t="s">
        <v>42</v>
      </c>
      <c r="O443" s="9" t="s">
        <v>43</v>
      </c>
      <c r="P443" s="9" t="n">
        <v>2.6</v>
      </c>
      <c r="Q443" s="9" t="n">
        <v>8</v>
      </c>
      <c r="R443" s="9" t="s">
        <v>53</v>
      </c>
      <c r="S443" s="9"/>
      <c r="T443" s="9"/>
      <c r="U443" s="9" t="str">
        <f aca="false">IF(COUNTIF($A$2:$A$5001,A443)&gt;1,"Duplicate","Unique")</f>
        <v>Unique</v>
      </c>
      <c r="V443" s="9" t="str">
        <f aca="false">IF(COUNTIFS($B$2:$B$5001,B443,$H$2:$H$5001,H443,$J$2:$J$5001,J443)&gt;1,"Possible Duplicate Booking","Unique")</f>
        <v>Unique</v>
      </c>
      <c r="W443" s="9" t="str">
        <f aca="false">IF((H443-G443)&lt;&gt;K443,"Mismatch","OK")</f>
        <v>OK</v>
      </c>
      <c r="X443" s="9" t="str">
        <f aca="false">IF(TEXT(H443,"dddd")&lt;&gt;I443,"Mismatch","OK")</f>
        <v>OK</v>
      </c>
      <c r="Y443" s="9" t="str">
        <f aca="false">IF(AND(N443="No",O443&lt;&gt;""),"Unexpected: channel present but no reminder sent",IF(AND(N443="Yes",O443=""),"Missing channel for sent reminder","OK"))</f>
        <v>OK</v>
      </c>
    </row>
    <row r="444" customFormat="false" ht="15" hidden="false" customHeight="false" outlineLevel="0" collapsed="false">
      <c r="A444" s="7" t="s">
        <v>912</v>
      </c>
      <c r="B444" s="7" t="s">
        <v>300</v>
      </c>
      <c r="C444" s="7" t="s">
        <v>37</v>
      </c>
      <c r="D444" s="7" t="n">
        <v>39</v>
      </c>
      <c r="E444" s="7" t="s">
        <v>38</v>
      </c>
      <c r="F444" s="7" t="s">
        <v>39</v>
      </c>
      <c r="G444" s="8" t="n">
        <v>45674</v>
      </c>
      <c r="H444" s="8" t="n">
        <v>45730</v>
      </c>
      <c r="I444" s="7" t="s">
        <v>50</v>
      </c>
      <c r="J444" s="7" t="s">
        <v>41</v>
      </c>
      <c r="K444" s="7" t="n">
        <v>56</v>
      </c>
      <c r="L444" s="7" t="n">
        <v>5</v>
      </c>
      <c r="M444" s="7" t="n">
        <v>1</v>
      </c>
      <c r="N444" s="7" t="s">
        <v>42</v>
      </c>
      <c r="O444" s="7" t="s">
        <v>67</v>
      </c>
      <c r="P444" s="7" t="n">
        <v>5.7</v>
      </c>
      <c r="Q444" s="7" t="n">
        <v>9</v>
      </c>
      <c r="R444" s="7" t="s">
        <v>44</v>
      </c>
      <c r="S444" s="7"/>
      <c r="T444" s="7"/>
      <c r="U444" s="7" t="str">
        <f aca="false">IF(COUNTIF($A$2:$A$5001,A444)&gt;1,"Duplicate","Unique")</f>
        <v>Unique</v>
      </c>
      <c r="V444" s="7" t="str">
        <f aca="false">IF(COUNTIFS($B$2:$B$5001,B444,$H$2:$H$5001,H444,$J$2:$J$5001,J444)&gt;1,"Possible Duplicate Booking","Unique")</f>
        <v>Unique</v>
      </c>
      <c r="W444" s="7" t="str">
        <f aca="false">IF((H444-G444)&lt;&gt;K444,"Mismatch","OK")</f>
        <v>OK</v>
      </c>
      <c r="X444" s="7" t="str">
        <f aca="false">IF(TEXT(H444,"dddd")&lt;&gt;I444,"Mismatch","OK")</f>
        <v>OK</v>
      </c>
      <c r="Y444" s="7" t="str">
        <f aca="false">IF(AND(N444="No",O444&lt;&gt;""),"Unexpected: channel present but no reminder sent",IF(AND(N444="Yes",O444=""),"Missing channel for sent reminder","OK"))</f>
        <v>OK</v>
      </c>
    </row>
    <row r="445" customFormat="false" ht="15" hidden="false" customHeight="false" outlineLevel="0" collapsed="false">
      <c r="A445" s="9" t="s">
        <v>913</v>
      </c>
      <c r="B445" s="9" t="s">
        <v>914</v>
      </c>
      <c r="C445" s="9" t="s">
        <v>37</v>
      </c>
      <c r="D445" s="9" t="n">
        <v>53</v>
      </c>
      <c r="E445" s="9" t="s">
        <v>56</v>
      </c>
      <c r="F445" s="9" t="s">
        <v>39</v>
      </c>
      <c r="G445" s="10" t="n">
        <v>45875</v>
      </c>
      <c r="H445" s="10" t="n">
        <v>45924</v>
      </c>
      <c r="I445" s="9" t="s">
        <v>58</v>
      </c>
      <c r="J445" s="9" t="s">
        <v>41</v>
      </c>
      <c r="K445" s="9" t="n">
        <v>49</v>
      </c>
      <c r="L445" s="9" t="n">
        <v>4</v>
      </c>
      <c r="M445" s="9" t="n">
        <v>1</v>
      </c>
      <c r="N445" s="9" t="s">
        <v>71</v>
      </c>
      <c r="O445" s="9"/>
      <c r="P445" s="9"/>
      <c r="Q445" s="9" t="n">
        <v>18</v>
      </c>
      <c r="R445" s="9" t="s">
        <v>44</v>
      </c>
      <c r="S445" s="9"/>
      <c r="T445" s="9"/>
      <c r="U445" s="9" t="str">
        <f aca="false">IF(COUNTIF($A$2:$A$5001,A445)&gt;1,"Duplicate","Unique")</f>
        <v>Unique</v>
      </c>
      <c r="V445" s="9" t="str">
        <f aca="false">IF(COUNTIFS($B$2:$B$5001,B445,$H$2:$H$5001,H445,$J$2:$J$5001,J445)&gt;1,"Possible Duplicate Booking","Unique")</f>
        <v>Unique</v>
      </c>
      <c r="W445" s="9" t="str">
        <f aca="false">IF((H445-G445)&lt;&gt;K445,"Mismatch","OK")</f>
        <v>OK</v>
      </c>
      <c r="X445" s="9" t="str">
        <f aca="false">IF(TEXT(H445,"dddd")&lt;&gt;I445,"Mismatch","OK")</f>
        <v>OK</v>
      </c>
      <c r="Y445" s="9" t="str">
        <f aca="false">IF(AND(N445="No",O445&lt;&gt;""),"Unexpected: channel present but no reminder sent",IF(AND(N445="Yes",O445=""),"Missing channel for sent reminder","OK"))</f>
        <v>OK</v>
      </c>
    </row>
    <row r="446" customFormat="false" ht="15" hidden="false" customHeight="false" outlineLevel="0" collapsed="false">
      <c r="A446" s="7" t="s">
        <v>915</v>
      </c>
      <c r="B446" s="7" t="s">
        <v>916</v>
      </c>
      <c r="C446" s="7" t="s">
        <v>47</v>
      </c>
      <c r="D446" s="7" t="n">
        <v>73</v>
      </c>
      <c r="E446" s="7" t="s">
        <v>70</v>
      </c>
      <c r="F446" s="7" t="s">
        <v>39</v>
      </c>
      <c r="G446" s="8" t="n">
        <v>45920</v>
      </c>
      <c r="H446" s="8" t="n">
        <v>45935</v>
      </c>
      <c r="I446" s="7" t="s">
        <v>75</v>
      </c>
      <c r="J446" s="7" t="s">
        <v>41</v>
      </c>
      <c r="K446" s="7" t="n">
        <v>15</v>
      </c>
      <c r="L446" s="7" t="n">
        <v>3</v>
      </c>
      <c r="M446" s="7" t="n">
        <v>1</v>
      </c>
      <c r="N446" s="7" t="s">
        <v>42</v>
      </c>
      <c r="O446" s="7" t="s">
        <v>67</v>
      </c>
      <c r="P446" s="7" t="n">
        <v>3.9</v>
      </c>
      <c r="Q446" s="7" t="n">
        <v>17</v>
      </c>
      <c r="R446" s="7" t="s">
        <v>53</v>
      </c>
      <c r="S446" s="7"/>
      <c r="T446" s="7"/>
      <c r="U446" s="7" t="str">
        <f aca="false">IF(COUNTIF($A$2:$A$5001,A446)&gt;1,"Duplicate","Unique")</f>
        <v>Unique</v>
      </c>
      <c r="V446" s="7" t="str">
        <f aca="false">IF(COUNTIFS($B$2:$B$5001,B446,$H$2:$H$5001,H446,$J$2:$J$5001,J446)&gt;1,"Possible Duplicate Booking","Unique")</f>
        <v>Unique</v>
      </c>
      <c r="W446" s="7" t="str">
        <f aca="false">IF((H446-G446)&lt;&gt;K446,"Mismatch","OK")</f>
        <v>OK</v>
      </c>
      <c r="X446" s="7" t="str">
        <f aca="false">IF(TEXT(H446,"dddd")&lt;&gt;I446,"Mismatch","OK")</f>
        <v>OK</v>
      </c>
      <c r="Y446" s="7" t="str">
        <f aca="false">IF(AND(N446="No",O446&lt;&gt;""),"Unexpected: channel present but no reminder sent",IF(AND(N446="Yes",O446=""),"Missing channel for sent reminder","OK"))</f>
        <v>OK</v>
      </c>
    </row>
    <row r="447" customFormat="false" ht="15" hidden="false" customHeight="false" outlineLevel="0" collapsed="false">
      <c r="A447" s="9" t="s">
        <v>917</v>
      </c>
      <c r="B447" s="9" t="s">
        <v>918</v>
      </c>
      <c r="C447" s="9" t="s">
        <v>47</v>
      </c>
      <c r="D447" s="9" t="n">
        <v>24</v>
      </c>
      <c r="E447" s="9" t="s">
        <v>82</v>
      </c>
      <c r="F447" s="9" t="s">
        <v>57</v>
      </c>
      <c r="G447" s="10" t="n">
        <v>45998</v>
      </c>
      <c r="H447" s="10" t="n">
        <v>46019</v>
      </c>
      <c r="I447" s="9" t="s">
        <v>75</v>
      </c>
      <c r="J447" s="9" t="s">
        <v>41</v>
      </c>
      <c r="K447" s="9" t="n">
        <v>21</v>
      </c>
      <c r="L447" s="9" t="n">
        <v>0</v>
      </c>
      <c r="M447" s="9" t="n">
        <v>0</v>
      </c>
      <c r="N447" s="9" t="s">
        <v>71</v>
      </c>
      <c r="O447" s="9"/>
      <c r="P447" s="9" t="n">
        <v>5</v>
      </c>
      <c r="Q447" s="9" t="n">
        <v>24</v>
      </c>
      <c r="R447" s="9" t="s">
        <v>87</v>
      </c>
      <c r="S447" s="9"/>
      <c r="T447" s="9"/>
      <c r="U447" s="9" t="str">
        <f aca="false">IF(COUNTIF($A$2:$A$5001,A447)&gt;1,"Duplicate","Unique")</f>
        <v>Unique</v>
      </c>
      <c r="V447" s="9" t="str">
        <f aca="false">IF(COUNTIFS($B$2:$B$5001,B447,$H$2:$H$5001,H447,$J$2:$J$5001,J447)&gt;1,"Possible Duplicate Booking","Unique")</f>
        <v>Unique</v>
      </c>
      <c r="W447" s="9" t="str">
        <f aca="false">IF((H447-G447)&lt;&gt;K447,"Mismatch","OK")</f>
        <v>OK</v>
      </c>
      <c r="X447" s="9" t="str">
        <f aca="false">IF(TEXT(H447,"dddd")&lt;&gt;I447,"Mismatch","OK")</f>
        <v>OK</v>
      </c>
      <c r="Y447" s="9" t="str">
        <f aca="false">IF(AND(N447="No",O447&lt;&gt;""),"Unexpected: channel present but no reminder sent",IF(AND(N447="Yes",O447=""),"Missing channel for sent reminder","OK"))</f>
        <v>OK</v>
      </c>
    </row>
    <row r="448" customFormat="false" ht="15" hidden="false" customHeight="false" outlineLevel="0" collapsed="false">
      <c r="A448" s="7" t="s">
        <v>919</v>
      </c>
      <c r="B448" s="7" t="s">
        <v>636</v>
      </c>
      <c r="C448" s="7" t="s">
        <v>37</v>
      </c>
      <c r="D448" s="7" t="n">
        <v>45</v>
      </c>
      <c r="E448" s="7" t="s">
        <v>56</v>
      </c>
      <c r="F448" s="7" t="s">
        <v>74</v>
      </c>
      <c r="G448" s="8" t="n">
        <v>45789</v>
      </c>
      <c r="H448" s="8" t="n">
        <v>45829</v>
      </c>
      <c r="I448" s="7" t="s">
        <v>102</v>
      </c>
      <c r="J448" s="7" t="s">
        <v>51</v>
      </c>
      <c r="K448" s="7" t="n">
        <v>40</v>
      </c>
      <c r="L448" s="7" t="n">
        <v>6</v>
      </c>
      <c r="M448" s="7" t="n">
        <v>0</v>
      </c>
      <c r="N448" s="7" t="s">
        <v>71</v>
      </c>
      <c r="O448" s="7"/>
      <c r="P448" s="7" t="n">
        <v>14.9</v>
      </c>
      <c r="Q448" s="7" t="n">
        <v>19</v>
      </c>
      <c r="R448" s="7" t="s">
        <v>44</v>
      </c>
      <c r="S448" s="7"/>
      <c r="T448" s="7"/>
      <c r="U448" s="7" t="str">
        <f aca="false">IF(COUNTIF($A$2:$A$5001,A448)&gt;1,"Duplicate","Unique")</f>
        <v>Unique</v>
      </c>
      <c r="V448" s="7" t="str">
        <f aca="false">IF(COUNTIFS($B$2:$B$5001,B448,$H$2:$H$5001,H448,$J$2:$J$5001,J448)&gt;1,"Possible Duplicate Booking","Unique")</f>
        <v>Unique</v>
      </c>
      <c r="W448" s="7" t="str">
        <f aca="false">IF((H448-G448)&lt;&gt;K448,"Mismatch","OK")</f>
        <v>OK</v>
      </c>
      <c r="X448" s="7" t="str">
        <f aca="false">IF(TEXT(H448,"dddd")&lt;&gt;I448,"Mismatch","OK")</f>
        <v>OK</v>
      </c>
      <c r="Y448" s="7" t="str">
        <f aca="false">IF(AND(N448="No",O448&lt;&gt;""),"Unexpected: channel present but no reminder sent",IF(AND(N448="Yes",O448=""),"Missing channel for sent reminder","OK"))</f>
        <v>OK</v>
      </c>
    </row>
    <row r="449" customFormat="false" ht="15" hidden="false" customHeight="false" outlineLevel="0" collapsed="false">
      <c r="A449" s="9" t="s">
        <v>920</v>
      </c>
      <c r="B449" s="9" t="s">
        <v>921</v>
      </c>
      <c r="C449" s="9" t="s">
        <v>47</v>
      </c>
      <c r="D449" s="9" t="n">
        <v>24</v>
      </c>
      <c r="E449" s="9" t="s">
        <v>82</v>
      </c>
      <c r="F449" s="9" t="s">
        <v>57</v>
      </c>
      <c r="G449" s="10" t="n">
        <v>46154</v>
      </c>
      <c r="H449" s="10" t="n">
        <v>46179</v>
      </c>
      <c r="I449" s="9" t="s">
        <v>102</v>
      </c>
      <c r="J449" s="9" t="s">
        <v>41</v>
      </c>
      <c r="K449" s="9" t="n">
        <v>25</v>
      </c>
      <c r="L449" s="9" t="n">
        <v>4</v>
      </c>
      <c r="M449" s="9" t="n">
        <v>0</v>
      </c>
      <c r="N449" s="9" t="s">
        <v>42</v>
      </c>
      <c r="O449" s="9" t="s">
        <v>52</v>
      </c>
      <c r="P449" s="9" t="n">
        <v>3.3</v>
      </c>
      <c r="Q449" s="9" t="n">
        <v>33</v>
      </c>
      <c r="R449" s="9" t="s">
        <v>44</v>
      </c>
      <c r="S449" s="9"/>
      <c r="T449" s="9"/>
      <c r="U449" s="9" t="str">
        <f aca="false">IF(COUNTIF($A$2:$A$5001,A449)&gt;1,"Duplicate","Unique")</f>
        <v>Unique</v>
      </c>
      <c r="V449" s="9" t="str">
        <f aca="false">IF(COUNTIFS($B$2:$B$5001,B449,$H$2:$H$5001,H449,$J$2:$J$5001,J449)&gt;1,"Possible Duplicate Booking","Unique")</f>
        <v>Unique</v>
      </c>
      <c r="W449" s="9" t="str">
        <f aca="false">IF((H449-G449)&lt;&gt;K449,"Mismatch","OK")</f>
        <v>OK</v>
      </c>
      <c r="X449" s="9" t="str">
        <f aca="false">IF(TEXT(H449,"dddd")&lt;&gt;I449,"Mismatch","OK")</f>
        <v>OK</v>
      </c>
      <c r="Y449" s="9" t="str">
        <f aca="false">IF(AND(N449="No",O449&lt;&gt;""),"Unexpected: channel present but no reminder sent",IF(AND(N449="Yes",O449=""),"Missing channel for sent reminder","OK"))</f>
        <v>OK</v>
      </c>
    </row>
    <row r="450" customFormat="false" ht="15" hidden="false" customHeight="false" outlineLevel="0" collapsed="false">
      <c r="A450" s="7" t="s">
        <v>922</v>
      </c>
      <c r="B450" s="7" t="s">
        <v>923</v>
      </c>
      <c r="C450" s="7" t="s">
        <v>37</v>
      </c>
      <c r="D450" s="7" t="n">
        <v>45</v>
      </c>
      <c r="E450" s="7" t="s">
        <v>56</v>
      </c>
      <c r="F450" s="7" t="s">
        <v>57</v>
      </c>
      <c r="G450" s="8" t="n">
        <v>45916</v>
      </c>
      <c r="H450" s="8" t="n">
        <v>45942</v>
      </c>
      <c r="I450" s="7" t="s">
        <v>75</v>
      </c>
      <c r="J450" s="7" t="s">
        <v>51</v>
      </c>
      <c r="K450" s="7" t="n">
        <v>26</v>
      </c>
      <c r="L450" s="7" t="n">
        <v>2</v>
      </c>
      <c r="M450" s="7" t="n">
        <v>1</v>
      </c>
      <c r="N450" s="7" t="s">
        <v>42</v>
      </c>
      <c r="O450" s="7" t="s">
        <v>67</v>
      </c>
      <c r="P450" s="7" t="n">
        <v>17</v>
      </c>
      <c r="Q450" s="7" t="n">
        <v>25</v>
      </c>
      <c r="R450" s="7" t="s">
        <v>44</v>
      </c>
      <c r="S450" s="7"/>
      <c r="T450" s="7"/>
      <c r="U450" s="7" t="str">
        <f aca="false">IF(COUNTIF($A$2:$A$5001,A450)&gt;1,"Duplicate","Unique")</f>
        <v>Unique</v>
      </c>
      <c r="V450" s="7" t="str">
        <f aca="false">IF(COUNTIFS($B$2:$B$5001,B450,$H$2:$H$5001,H450,$J$2:$J$5001,J450)&gt;1,"Possible Duplicate Booking","Unique")</f>
        <v>Unique</v>
      </c>
      <c r="W450" s="7" t="str">
        <f aca="false">IF((H450-G450)&lt;&gt;K450,"Mismatch","OK")</f>
        <v>OK</v>
      </c>
      <c r="X450" s="7" t="str">
        <f aca="false">IF(TEXT(H450,"dddd")&lt;&gt;I450,"Mismatch","OK")</f>
        <v>OK</v>
      </c>
      <c r="Y450" s="7" t="str">
        <f aca="false">IF(AND(N450="No",O450&lt;&gt;""),"Unexpected: channel present but no reminder sent",IF(AND(N450="Yes",O450=""),"Missing channel for sent reminder","OK"))</f>
        <v>OK</v>
      </c>
    </row>
    <row r="451" customFormat="false" ht="15" hidden="false" customHeight="false" outlineLevel="0" collapsed="false">
      <c r="A451" s="9" t="s">
        <v>924</v>
      </c>
      <c r="B451" s="9" t="s">
        <v>925</v>
      </c>
      <c r="C451" s="9" t="s">
        <v>47</v>
      </c>
      <c r="D451" s="9" t="n">
        <v>48</v>
      </c>
      <c r="E451" s="9" t="s">
        <v>56</v>
      </c>
      <c r="F451" s="9" t="s">
        <v>74</v>
      </c>
      <c r="G451" s="10" t="n">
        <v>45804</v>
      </c>
      <c r="H451" s="10" t="n">
        <v>45814</v>
      </c>
      <c r="I451" s="9" t="s">
        <v>50</v>
      </c>
      <c r="J451" s="9" t="s">
        <v>41</v>
      </c>
      <c r="K451" s="9" t="n">
        <v>10</v>
      </c>
      <c r="L451" s="9" t="n">
        <v>5</v>
      </c>
      <c r="M451" s="9" t="n">
        <v>2</v>
      </c>
      <c r="N451" s="9" t="s">
        <v>71</v>
      </c>
      <c r="O451" s="9"/>
      <c r="P451" s="9" t="n">
        <v>12.9</v>
      </c>
      <c r="Q451" s="9" t="n">
        <v>13</v>
      </c>
      <c r="R451" s="9" t="s">
        <v>44</v>
      </c>
      <c r="S451" s="9"/>
      <c r="T451" s="9"/>
      <c r="U451" s="9" t="str">
        <f aca="false">IF(COUNTIF($A$2:$A$5001,A451)&gt;1,"Duplicate","Unique")</f>
        <v>Unique</v>
      </c>
      <c r="V451" s="9" t="str">
        <f aca="false">IF(COUNTIFS($B$2:$B$5001,B451,$H$2:$H$5001,H451,$J$2:$J$5001,J451)&gt;1,"Possible Duplicate Booking","Unique")</f>
        <v>Unique</v>
      </c>
      <c r="W451" s="9" t="str">
        <f aca="false">IF((H451-G451)&lt;&gt;K451,"Mismatch","OK")</f>
        <v>OK</v>
      </c>
      <c r="X451" s="9" t="str">
        <f aca="false">IF(TEXT(H451,"dddd")&lt;&gt;I451,"Mismatch","OK")</f>
        <v>OK</v>
      </c>
      <c r="Y451" s="9" t="str">
        <f aca="false">IF(AND(N451="No",O451&lt;&gt;""),"Unexpected: channel present but no reminder sent",IF(AND(N451="Yes",O451=""),"Missing channel for sent reminder","OK"))</f>
        <v>OK</v>
      </c>
    </row>
    <row r="452" customFormat="false" ht="15" hidden="false" customHeight="false" outlineLevel="0" collapsed="false">
      <c r="A452" s="7" t="s">
        <v>926</v>
      </c>
      <c r="B452" s="7" t="s">
        <v>927</v>
      </c>
      <c r="C452" s="7" t="s">
        <v>47</v>
      </c>
      <c r="D452" s="7" t="n">
        <v>68</v>
      </c>
      <c r="E452" s="7" t="s">
        <v>70</v>
      </c>
      <c r="F452" s="7" t="s">
        <v>39</v>
      </c>
      <c r="G452" s="8" t="n">
        <v>46167</v>
      </c>
      <c r="H452" s="8" t="n">
        <v>46182</v>
      </c>
      <c r="I452" s="7" t="s">
        <v>40</v>
      </c>
      <c r="J452" s="7" t="s">
        <v>51</v>
      </c>
      <c r="K452" s="7" t="n">
        <v>15</v>
      </c>
      <c r="L452" s="7" t="n">
        <v>2</v>
      </c>
      <c r="M452" s="7" t="n">
        <v>0</v>
      </c>
      <c r="N452" s="7" t="s">
        <v>42</v>
      </c>
      <c r="O452" s="7" t="s">
        <v>43</v>
      </c>
      <c r="P452" s="7" t="n">
        <v>13.8</v>
      </c>
      <c r="Q452" s="7" t="n">
        <v>21</v>
      </c>
      <c r="R452" s="7" t="s">
        <v>53</v>
      </c>
      <c r="S452" s="7"/>
      <c r="T452" s="7"/>
      <c r="U452" s="7" t="str">
        <f aca="false">IF(COUNTIF($A$2:$A$5001,A452)&gt;1,"Duplicate","Unique")</f>
        <v>Unique</v>
      </c>
      <c r="V452" s="7" t="str">
        <f aca="false">IF(COUNTIFS($B$2:$B$5001,B452,$H$2:$H$5001,H452,$J$2:$J$5001,J452)&gt;1,"Possible Duplicate Booking","Unique")</f>
        <v>Unique</v>
      </c>
      <c r="W452" s="7" t="str">
        <f aca="false">IF((H452-G452)&lt;&gt;K452,"Mismatch","OK")</f>
        <v>OK</v>
      </c>
      <c r="X452" s="7" t="str">
        <f aca="false">IF(TEXT(H452,"dddd")&lt;&gt;I452,"Mismatch","OK")</f>
        <v>OK</v>
      </c>
      <c r="Y452" s="7" t="str">
        <f aca="false">IF(AND(N452="No",O452&lt;&gt;""),"Unexpected: channel present but no reminder sent",IF(AND(N452="Yes",O452=""),"Missing channel for sent reminder","OK"))</f>
        <v>OK</v>
      </c>
    </row>
    <row r="453" customFormat="false" ht="15" hidden="false" customHeight="false" outlineLevel="0" collapsed="false">
      <c r="A453" s="9" t="s">
        <v>928</v>
      </c>
      <c r="B453" s="9" t="s">
        <v>929</v>
      </c>
      <c r="C453" s="9" t="s">
        <v>47</v>
      </c>
      <c r="D453" s="9" t="n">
        <v>45</v>
      </c>
      <c r="E453" s="9" t="s">
        <v>56</v>
      </c>
      <c r="F453" s="9" t="s">
        <v>39</v>
      </c>
      <c r="G453" s="10" t="n">
        <v>46117</v>
      </c>
      <c r="H453" s="10" t="n">
        <v>46162</v>
      </c>
      <c r="I453" s="9" t="s">
        <v>58</v>
      </c>
      <c r="J453" s="9" t="s">
        <v>51</v>
      </c>
      <c r="K453" s="9" t="n">
        <v>45</v>
      </c>
      <c r="L453" s="9" t="n">
        <v>2</v>
      </c>
      <c r="M453" s="9" t="n">
        <v>0</v>
      </c>
      <c r="N453" s="9" t="s">
        <v>42</v>
      </c>
      <c r="O453" s="9" t="s">
        <v>52</v>
      </c>
      <c r="P453" s="9" t="n">
        <v>3.6</v>
      </c>
      <c r="Q453" s="9" t="n">
        <v>21</v>
      </c>
      <c r="R453" s="9" t="s">
        <v>87</v>
      </c>
      <c r="S453" s="9"/>
      <c r="T453" s="9"/>
      <c r="U453" s="9" t="str">
        <f aca="false">IF(COUNTIF($A$2:$A$5001,A453)&gt;1,"Duplicate","Unique")</f>
        <v>Unique</v>
      </c>
      <c r="V453" s="9" t="str">
        <f aca="false">IF(COUNTIFS($B$2:$B$5001,B453,$H$2:$H$5001,H453,$J$2:$J$5001,J453)&gt;1,"Possible Duplicate Booking","Unique")</f>
        <v>Unique</v>
      </c>
      <c r="W453" s="9" t="str">
        <f aca="false">IF((H453-G453)&lt;&gt;K453,"Mismatch","OK")</f>
        <v>OK</v>
      </c>
      <c r="X453" s="9" t="str">
        <f aca="false">IF(TEXT(H453,"dddd")&lt;&gt;I453,"Mismatch","OK")</f>
        <v>OK</v>
      </c>
      <c r="Y453" s="9" t="str">
        <f aca="false">IF(AND(N453="No",O453&lt;&gt;""),"Unexpected: channel present but no reminder sent",IF(AND(N453="Yes",O453=""),"Missing channel for sent reminder","OK"))</f>
        <v>OK</v>
      </c>
    </row>
    <row r="454" customFormat="false" ht="15" hidden="false" customHeight="false" outlineLevel="0" collapsed="false">
      <c r="A454" s="7" t="s">
        <v>930</v>
      </c>
      <c r="B454" s="7" t="s">
        <v>931</v>
      </c>
      <c r="C454" s="7" t="s">
        <v>37</v>
      </c>
      <c r="D454" s="7" t="n">
        <v>76</v>
      </c>
      <c r="E454" s="7" t="s">
        <v>70</v>
      </c>
      <c r="F454" s="7" t="s">
        <v>74</v>
      </c>
      <c r="G454" s="8" t="n">
        <v>45879</v>
      </c>
      <c r="H454" s="8" t="n">
        <v>45930</v>
      </c>
      <c r="I454" s="7" t="s">
        <v>40</v>
      </c>
      <c r="J454" s="7" t="s">
        <v>51</v>
      </c>
      <c r="K454" s="7" t="n">
        <v>51</v>
      </c>
      <c r="L454" s="7" t="n">
        <v>3</v>
      </c>
      <c r="M454" s="7" t="n">
        <v>1</v>
      </c>
      <c r="N454" s="7" t="s">
        <v>42</v>
      </c>
      <c r="O454" s="7" t="s">
        <v>52</v>
      </c>
      <c r="P454" s="7" t="n">
        <v>17.4</v>
      </c>
      <c r="Q454" s="7" t="n">
        <v>37</v>
      </c>
      <c r="R454" s="7" t="s">
        <v>44</v>
      </c>
      <c r="S454" s="7"/>
      <c r="T454" s="7"/>
      <c r="U454" s="7" t="str">
        <f aca="false">IF(COUNTIF($A$2:$A$5001,A454)&gt;1,"Duplicate","Unique")</f>
        <v>Unique</v>
      </c>
      <c r="V454" s="7" t="str">
        <f aca="false">IF(COUNTIFS($B$2:$B$5001,B454,$H$2:$H$5001,H454,$J$2:$J$5001,J454)&gt;1,"Possible Duplicate Booking","Unique")</f>
        <v>Unique</v>
      </c>
      <c r="W454" s="7" t="str">
        <f aca="false">IF((H454-G454)&lt;&gt;K454,"Mismatch","OK")</f>
        <v>OK</v>
      </c>
      <c r="X454" s="7" t="str">
        <f aca="false">IF(TEXT(H454,"dddd")&lt;&gt;I454,"Mismatch","OK")</f>
        <v>OK</v>
      </c>
      <c r="Y454" s="7" t="str">
        <f aca="false">IF(AND(N454="No",O454&lt;&gt;""),"Unexpected: channel present but no reminder sent",IF(AND(N454="Yes",O454=""),"Missing channel for sent reminder","OK"))</f>
        <v>OK</v>
      </c>
    </row>
    <row r="455" customFormat="false" ht="15" hidden="false" customHeight="false" outlineLevel="0" collapsed="false">
      <c r="A455" s="9" t="s">
        <v>932</v>
      </c>
      <c r="B455" s="9" t="s">
        <v>933</v>
      </c>
      <c r="C455" s="9" t="s">
        <v>37</v>
      </c>
      <c r="D455" s="9" t="n">
        <v>26</v>
      </c>
      <c r="E455" s="9" t="s">
        <v>48</v>
      </c>
      <c r="F455" s="9" t="s">
        <v>57</v>
      </c>
      <c r="G455" s="10" t="n">
        <v>45624</v>
      </c>
      <c r="H455" s="10" t="n">
        <v>45671</v>
      </c>
      <c r="I455" s="9" t="s">
        <v>40</v>
      </c>
      <c r="J455" s="9" t="s">
        <v>41</v>
      </c>
      <c r="K455" s="9" t="n">
        <v>47</v>
      </c>
      <c r="L455" s="9" t="n">
        <v>1</v>
      </c>
      <c r="M455" s="9" t="n">
        <v>0</v>
      </c>
      <c r="N455" s="9" t="s">
        <v>42</v>
      </c>
      <c r="O455" s="9" t="s">
        <v>43</v>
      </c>
      <c r="P455" s="9" t="n">
        <v>10</v>
      </c>
      <c r="Q455" s="9" t="n">
        <v>34</v>
      </c>
      <c r="R455" s="9" t="s">
        <v>53</v>
      </c>
      <c r="S455" s="9"/>
      <c r="T455" s="9"/>
      <c r="U455" s="9" t="str">
        <f aca="false">IF(COUNTIF($A$2:$A$5001,A455)&gt;1,"Duplicate","Unique")</f>
        <v>Unique</v>
      </c>
      <c r="V455" s="9" t="str">
        <f aca="false">IF(COUNTIFS($B$2:$B$5001,B455,$H$2:$H$5001,H455,$J$2:$J$5001,J455)&gt;1,"Possible Duplicate Booking","Unique")</f>
        <v>Unique</v>
      </c>
      <c r="W455" s="9" t="str">
        <f aca="false">IF((H455-G455)&lt;&gt;K455,"Mismatch","OK")</f>
        <v>OK</v>
      </c>
      <c r="X455" s="9" t="str">
        <f aca="false">IF(TEXT(H455,"dddd")&lt;&gt;I455,"Mismatch","OK")</f>
        <v>OK</v>
      </c>
      <c r="Y455" s="9" t="str">
        <f aca="false">IF(AND(N455="No",O455&lt;&gt;""),"Unexpected: channel present but no reminder sent",IF(AND(N455="Yes",O455=""),"Missing channel for sent reminder","OK"))</f>
        <v>OK</v>
      </c>
    </row>
    <row r="456" customFormat="false" ht="15" hidden="false" customHeight="false" outlineLevel="0" collapsed="false">
      <c r="A456" s="7" t="s">
        <v>934</v>
      </c>
      <c r="B456" s="7" t="s">
        <v>527</v>
      </c>
      <c r="C456" s="7" t="s">
        <v>236</v>
      </c>
      <c r="D456" s="7" t="n">
        <v>21</v>
      </c>
      <c r="E456" s="7" t="s">
        <v>82</v>
      </c>
      <c r="F456" s="7" t="s">
        <v>49</v>
      </c>
      <c r="G456" s="8" t="n">
        <v>45965</v>
      </c>
      <c r="H456" s="8" t="n">
        <v>45983</v>
      </c>
      <c r="I456" s="7" t="s">
        <v>102</v>
      </c>
      <c r="J456" s="7" t="s">
        <v>63</v>
      </c>
      <c r="K456" s="7" t="n">
        <v>18</v>
      </c>
      <c r="L456" s="7" t="n">
        <v>5</v>
      </c>
      <c r="M456" s="7" t="n">
        <v>1</v>
      </c>
      <c r="N456" s="7" t="s">
        <v>42</v>
      </c>
      <c r="O456" s="7" t="s">
        <v>52</v>
      </c>
      <c r="P456" s="7" t="n">
        <v>23.9</v>
      </c>
      <c r="Q456" s="7" t="n">
        <v>32</v>
      </c>
      <c r="R456" s="7" t="s">
        <v>53</v>
      </c>
      <c r="S456" s="7"/>
      <c r="T456" s="7"/>
      <c r="U456" s="7" t="str">
        <f aca="false">IF(COUNTIF($A$2:$A$5001,A456)&gt;1,"Duplicate","Unique")</f>
        <v>Unique</v>
      </c>
      <c r="V456" s="7" t="str">
        <f aca="false">IF(COUNTIFS($B$2:$B$5001,B456,$H$2:$H$5001,H456,$J$2:$J$5001,J456)&gt;1,"Possible Duplicate Booking","Unique")</f>
        <v>Unique</v>
      </c>
      <c r="W456" s="7" t="str">
        <f aca="false">IF((H456-G456)&lt;&gt;K456,"Mismatch","OK")</f>
        <v>OK</v>
      </c>
      <c r="X456" s="7" t="str">
        <f aca="false">IF(TEXT(H456,"dddd")&lt;&gt;I456,"Mismatch","OK")</f>
        <v>OK</v>
      </c>
      <c r="Y456" s="7" t="str">
        <f aca="false">IF(AND(N456="No",O456&lt;&gt;""),"Unexpected: channel present but no reminder sent",IF(AND(N456="Yes",O456=""),"Missing channel for sent reminder","OK"))</f>
        <v>OK</v>
      </c>
    </row>
    <row r="457" customFormat="false" ht="15" hidden="false" customHeight="false" outlineLevel="0" collapsed="false">
      <c r="A457" s="9" t="s">
        <v>935</v>
      </c>
      <c r="B457" s="9" t="s">
        <v>936</v>
      </c>
      <c r="C457" s="9" t="s">
        <v>37</v>
      </c>
      <c r="D457" s="9" t="n">
        <v>18</v>
      </c>
      <c r="E457" s="9" t="s">
        <v>82</v>
      </c>
      <c r="F457" s="9" t="s">
        <v>39</v>
      </c>
      <c r="G457" s="10" t="n">
        <v>45953</v>
      </c>
      <c r="H457" s="10" t="n">
        <v>45961</v>
      </c>
      <c r="I457" s="9" t="s">
        <v>50</v>
      </c>
      <c r="J457" s="9" t="s">
        <v>51</v>
      </c>
      <c r="K457" s="9" t="n">
        <v>8</v>
      </c>
      <c r="L457" s="9" t="n">
        <v>2</v>
      </c>
      <c r="M457" s="9" t="n">
        <v>0</v>
      </c>
      <c r="N457" s="9" t="s">
        <v>42</v>
      </c>
      <c r="O457" s="9" t="s">
        <v>52</v>
      </c>
      <c r="P457" s="9" t="n">
        <v>13.1</v>
      </c>
      <c r="Q457" s="9" t="n">
        <v>16</v>
      </c>
      <c r="R457" s="9" t="s">
        <v>53</v>
      </c>
      <c r="S457" s="9"/>
      <c r="T457" s="9"/>
      <c r="U457" s="9" t="str">
        <f aca="false">IF(COUNTIF($A$2:$A$5001,A457)&gt;1,"Duplicate","Unique")</f>
        <v>Unique</v>
      </c>
      <c r="V457" s="9" t="str">
        <f aca="false">IF(COUNTIFS($B$2:$B$5001,B457,$H$2:$H$5001,H457,$J$2:$J$5001,J457)&gt;1,"Possible Duplicate Booking","Unique")</f>
        <v>Unique</v>
      </c>
      <c r="W457" s="9" t="str">
        <f aca="false">IF((H457-G457)&lt;&gt;K457,"Mismatch","OK")</f>
        <v>OK</v>
      </c>
      <c r="X457" s="9" t="str">
        <f aca="false">IF(TEXT(H457,"dddd")&lt;&gt;I457,"Mismatch","OK")</f>
        <v>OK</v>
      </c>
      <c r="Y457" s="9" t="str">
        <f aca="false">IF(AND(N457="No",O457&lt;&gt;""),"Unexpected: channel present but no reminder sent",IF(AND(N457="Yes",O457=""),"Missing channel for sent reminder","OK"))</f>
        <v>OK</v>
      </c>
    </row>
    <row r="458" customFormat="false" ht="15" hidden="false" customHeight="false" outlineLevel="0" collapsed="false">
      <c r="A458" s="7" t="s">
        <v>937</v>
      </c>
      <c r="B458" s="7" t="s">
        <v>938</v>
      </c>
      <c r="C458" s="7" t="s">
        <v>47</v>
      </c>
      <c r="D458" s="7" t="n">
        <v>40</v>
      </c>
      <c r="E458" s="7" t="s">
        <v>38</v>
      </c>
      <c r="F458" s="7" t="s">
        <v>57</v>
      </c>
      <c r="G458" s="8" t="n">
        <v>45729</v>
      </c>
      <c r="H458" s="8" t="n">
        <v>45738</v>
      </c>
      <c r="I458" s="7" t="s">
        <v>102</v>
      </c>
      <c r="J458" s="7" t="s">
        <v>51</v>
      </c>
      <c r="K458" s="7" t="n">
        <v>9</v>
      </c>
      <c r="L458" s="7" t="n">
        <v>1</v>
      </c>
      <c r="M458" s="7" t="n">
        <v>1</v>
      </c>
      <c r="N458" s="7" t="s">
        <v>71</v>
      </c>
      <c r="O458" s="7"/>
      <c r="P458" s="7" t="n">
        <v>8.3</v>
      </c>
      <c r="Q458" s="7" t="n">
        <v>28</v>
      </c>
      <c r="R458" s="7" t="s">
        <v>44</v>
      </c>
      <c r="S458" s="7"/>
      <c r="T458" s="7"/>
      <c r="U458" s="7" t="str">
        <f aca="false">IF(COUNTIF($A$2:$A$5001,A458)&gt;1,"Duplicate","Unique")</f>
        <v>Unique</v>
      </c>
      <c r="V458" s="7" t="str">
        <f aca="false">IF(COUNTIFS($B$2:$B$5001,B458,$H$2:$H$5001,H458,$J$2:$J$5001,J458)&gt;1,"Possible Duplicate Booking","Unique")</f>
        <v>Unique</v>
      </c>
      <c r="W458" s="7" t="str">
        <f aca="false">IF((H458-G458)&lt;&gt;K458,"Mismatch","OK")</f>
        <v>OK</v>
      </c>
      <c r="X458" s="7" t="str">
        <f aca="false">IF(TEXT(H458,"dddd")&lt;&gt;I458,"Mismatch","OK")</f>
        <v>OK</v>
      </c>
      <c r="Y458" s="7" t="str">
        <f aca="false">IF(AND(N458="No",O458&lt;&gt;""),"Unexpected: channel present but no reminder sent",IF(AND(N458="Yes",O458=""),"Missing channel for sent reminder","OK"))</f>
        <v>OK</v>
      </c>
    </row>
    <row r="459" customFormat="false" ht="15" hidden="false" customHeight="false" outlineLevel="0" collapsed="false">
      <c r="A459" s="9" t="s">
        <v>939</v>
      </c>
      <c r="B459" s="9" t="s">
        <v>897</v>
      </c>
      <c r="C459" s="9" t="s">
        <v>47</v>
      </c>
      <c r="D459" s="9" t="n">
        <v>30</v>
      </c>
      <c r="E459" s="9" t="s">
        <v>48</v>
      </c>
      <c r="F459" s="9" t="s">
        <v>57</v>
      </c>
      <c r="G459" s="10" t="n">
        <v>45980</v>
      </c>
      <c r="H459" s="10" t="n">
        <v>46004</v>
      </c>
      <c r="I459" s="9" t="s">
        <v>102</v>
      </c>
      <c r="J459" s="9" t="s">
        <v>51</v>
      </c>
      <c r="K459" s="9" t="n">
        <v>24</v>
      </c>
      <c r="L459" s="9" t="n">
        <v>1</v>
      </c>
      <c r="M459" s="9" t="n">
        <v>0</v>
      </c>
      <c r="N459" s="9" t="s">
        <v>42</v>
      </c>
      <c r="O459" s="9" t="s">
        <v>43</v>
      </c>
      <c r="P459" s="9" t="n">
        <v>2.8</v>
      </c>
      <c r="Q459" s="9" t="n">
        <v>11</v>
      </c>
      <c r="R459" s="9" t="s">
        <v>44</v>
      </c>
      <c r="S459" s="9"/>
      <c r="T459" s="9"/>
      <c r="U459" s="9" t="str">
        <f aca="false">IF(COUNTIF($A$2:$A$5001,A459)&gt;1,"Duplicate","Unique")</f>
        <v>Unique</v>
      </c>
      <c r="V459" s="9" t="str">
        <f aca="false">IF(COUNTIFS($B$2:$B$5001,B459,$H$2:$H$5001,H459,$J$2:$J$5001,J459)&gt;1,"Possible Duplicate Booking","Unique")</f>
        <v>Unique</v>
      </c>
      <c r="W459" s="9" t="str">
        <f aca="false">IF((H459-G459)&lt;&gt;K459,"Mismatch","OK")</f>
        <v>OK</v>
      </c>
      <c r="X459" s="9" t="str">
        <f aca="false">IF(TEXT(H459,"dddd")&lt;&gt;I459,"Mismatch","OK")</f>
        <v>OK</v>
      </c>
      <c r="Y459" s="9" t="str">
        <f aca="false">IF(AND(N459="No",O459&lt;&gt;""),"Unexpected: channel present but no reminder sent",IF(AND(N459="Yes",O459=""),"Missing channel for sent reminder","OK"))</f>
        <v>OK</v>
      </c>
    </row>
    <row r="460" customFormat="false" ht="15" hidden="false" customHeight="false" outlineLevel="0" collapsed="false">
      <c r="A460" s="7" t="s">
        <v>940</v>
      </c>
      <c r="B460" s="7" t="s">
        <v>941</v>
      </c>
      <c r="C460" s="7" t="s">
        <v>47</v>
      </c>
      <c r="D460" s="7" t="n">
        <v>23</v>
      </c>
      <c r="E460" s="7" t="s">
        <v>82</v>
      </c>
      <c r="F460" s="7" t="s">
        <v>57</v>
      </c>
      <c r="G460" s="8" t="n">
        <v>46086</v>
      </c>
      <c r="H460" s="8" t="n">
        <v>46117</v>
      </c>
      <c r="I460" s="7" t="s">
        <v>75</v>
      </c>
      <c r="J460" s="7" t="s">
        <v>63</v>
      </c>
      <c r="K460" s="7" t="n">
        <v>31</v>
      </c>
      <c r="L460" s="7" t="n">
        <v>6</v>
      </c>
      <c r="M460" s="7" t="n">
        <v>1</v>
      </c>
      <c r="N460" s="7" t="s">
        <v>42</v>
      </c>
      <c r="O460" s="7" t="s">
        <v>52</v>
      </c>
      <c r="P460" s="7" t="n">
        <v>11.4</v>
      </c>
      <c r="Q460" s="7" t="n">
        <v>31</v>
      </c>
      <c r="R460" s="7" t="s">
        <v>44</v>
      </c>
      <c r="S460" s="7"/>
      <c r="T460" s="7"/>
      <c r="U460" s="7" t="str">
        <f aca="false">IF(COUNTIF($A$2:$A$5001,A460)&gt;1,"Duplicate","Unique")</f>
        <v>Unique</v>
      </c>
      <c r="V460" s="7" t="str">
        <f aca="false">IF(COUNTIFS($B$2:$B$5001,B460,$H$2:$H$5001,H460,$J$2:$J$5001,J460)&gt;1,"Possible Duplicate Booking","Unique")</f>
        <v>Unique</v>
      </c>
      <c r="W460" s="7" t="str">
        <f aca="false">IF((H460-G460)&lt;&gt;K460,"Mismatch","OK")</f>
        <v>OK</v>
      </c>
      <c r="X460" s="7" t="str">
        <f aca="false">IF(TEXT(H460,"dddd")&lt;&gt;I460,"Mismatch","OK")</f>
        <v>OK</v>
      </c>
      <c r="Y460" s="7" t="str">
        <f aca="false">IF(AND(N460="No",O460&lt;&gt;""),"Unexpected: channel present but no reminder sent",IF(AND(N460="Yes",O460=""),"Missing channel for sent reminder","OK"))</f>
        <v>OK</v>
      </c>
    </row>
    <row r="461" customFormat="false" ht="15" hidden="false" customHeight="false" outlineLevel="0" collapsed="false">
      <c r="A461" s="9" t="s">
        <v>942</v>
      </c>
      <c r="B461" s="9" t="s">
        <v>943</v>
      </c>
      <c r="C461" s="9" t="s">
        <v>47</v>
      </c>
      <c r="D461" s="9" t="n">
        <v>32</v>
      </c>
      <c r="E461" s="9" t="s">
        <v>48</v>
      </c>
      <c r="F461" s="9" t="s">
        <v>74</v>
      </c>
      <c r="G461" s="10" t="n">
        <v>45661</v>
      </c>
      <c r="H461" s="10" t="n">
        <v>45715</v>
      </c>
      <c r="I461" s="9" t="s">
        <v>62</v>
      </c>
      <c r="J461" s="9" t="s">
        <v>41</v>
      </c>
      <c r="K461" s="9" t="n">
        <v>54</v>
      </c>
      <c r="L461" s="9" t="n">
        <v>4</v>
      </c>
      <c r="M461" s="9" t="n">
        <v>0</v>
      </c>
      <c r="N461" s="9" t="s">
        <v>42</v>
      </c>
      <c r="O461" s="9" t="s">
        <v>67</v>
      </c>
      <c r="P461" s="9" t="n">
        <v>16</v>
      </c>
      <c r="Q461" s="9" t="n">
        <v>37</v>
      </c>
      <c r="R461" s="9" t="s">
        <v>44</v>
      </c>
      <c r="S461" s="9"/>
      <c r="T461" s="9"/>
      <c r="U461" s="9" t="str">
        <f aca="false">IF(COUNTIF($A$2:$A$5001,A461)&gt;1,"Duplicate","Unique")</f>
        <v>Unique</v>
      </c>
      <c r="V461" s="9" t="str">
        <f aca="false">IF(COUNTIFS($B$2:$B$5001,B461,$H$2:$H$5001,H461,$J$2:$J$5001,J461)&gt;1,"Possible Duplicate Booking","Unique")</f>
        <v>Unique</v>
      </c>
      <c r="W461" s="9" t="str">
        <f aca="false">IF((H461-G461)&lt;&gt;K461,"Mismatch","OK")</f>
        <v>OK</v>
      </c>
      <c r="X461" s="9" t="str">
        <f aca="false">IF(TEXT(H461,"dddd")&lt;&gt;I461,"Mismatch","OK")</f>
        <v>OK</v>
      </c>
      <c r="Y461" s="9" t="str">
        <f aca="false">IF(AND(N461="No",O461&lt;&gt;""),"Unexpected: channel present but no reminder sent",IF(AND(N461="Yes",O461=""),"Missing channel for sent reminder","OK"))</f>
        <v>OK</v>
      </c>
    </row>
    <row r="462" customFormat="false" ht="15" hidden="false" customHeight="false" outlineLevel="0" collapsed="false">
      <c r="A462" s="7" t="s">
        <v>944</v>
      </c>
      <c r="B462" s="7" t="s">
        <v>409</v>
      </c>
      <c r="C462" s="7" t="s">
        <v>37</v>
      </c>
      <c r="D462" s="7" t="n">
        <v>79</v>
      </c>
      <c r="E462" s="7" t="s">
        <v>70</v>
      </c>
      <c r="F462" s="7" t="s">
        <v>57</v>
      </c>
      <c r="G462" s="8" t="n">
        <v>45998</v>
      </c>
      <c r="H462" s="8" t="n">
        <v>46052</v>
      </c>
      <c r="I462" s="7" t="s">
        <v>50</v>
      </c>
      <c r="J462" s="7" t="s">
        <v>51</v>
      </c>
      <c r="K462" s="7" t="n">
        <v>54</v>
      </c>
      <c r="L462" s="7" t="n">
        <v>2</v>
      </c>
      <c r="M462" s="7" t="n">
        <v>0</v>
      </c>
      <c r="N462" s="7" t="s">
        <v>42</v>
      </c>
      <c r="O462" s="7" t="s">
        <v>43</v>
      </c>
      <c r="P462" s="7" t="n">
        <v>14.7</v>
      </c>
      <c r="Q462" s="7" t="n">
        <v>2</v>
      </c>
      <c r="R462" s="7" t="s">
        <v>44</v>
      </c>
      <c r="S462" s="7"/>
      <c r="T462" s="7"/>
      <c r="U462" s="7" t="str">
        <f aca="false">IF(COUNTIF($A$2:$A$5001,A462)&gt;1,"Duplicate","Unique")</f>
        <v>Unique</v>
      </c>
      <c r="V462" s="7" t="str">
        <f aca="false">IF(COUNTIFS($B$2:$B$5001,B462,$H$2:$H$5001,H462,$J$2:$J$5001,J462)&gt;1,"Possible Duplicate Booking","Unique")</f>
        <v>Unique</v>
      </c>
      <c r="W462" s="7" t="str">
        <f aca="false">IF((H462-G462)&lt;&gt;K462,"Mismatch","OK")</f>
        <v>OK</v>
      </c>
      <c r="X462" s="7" t="str">
        <f aca="false">IF(TEXT(H462,"dddd")&lt;&gt;I462,"Mismatch","OK")</f>
        <v>OK</v>
      </c>
      <c r="Y462" s="7" t="str">
        <f aca="false">IF(AND(N462="No",O462&lt;&gt;""),"Unexpected: channel present but no reminder sent",IF(AND(N462="Yes",O462=""),"Missing channel for sent reminder","OK"))</f>
        <v>OK</v>
      </c>
    </row>
    <row r="463" customFormat="false" ht="15" hidden="false" customHeight="false" outlineLevel="0" collapsed="false">
      <c r="A463" s="9" t="s">
        <v>945</v>
      </c>
      <c r="B463" s="9" t="s">
        <v>946</v>
      </c>
      <c r="C463" s="9" t="s">
        <v>47</v>
      </c>
      <c r="D463" s="9" t="n">
        <v>68</v>
      </c>
      <c r="E463" s="9" t="s">
        <v>70</v>
      </c>
      <c r="F463" s="9" t="s">
        <v>57</v>
      </c>
      <c r="G463" s="10" t="n">
        <v>45734</v>
      </c>
      <c r="H463" s="10" t="n">
        <v>45734</v>
      </c>
      <c r="I463" s="9" t="s">
        <v>40</v>
      </c>
      <c r="J463" s="9" t="s">
        <v>41</v>
      </c>
      <c r="K463" s="9" t="n">
        <v>0</v>
      </c>
      <c r="L463" s="9" t="n">
        <v>3</v>
      </c>
      <c r="M463" s="9" t="n">
        <v>0</v>
      </c>
      <c r="N463" s="9" t="s">
        <v>42</v>
      </c>
      <c r="O463" s="9" t="s">
        <v>67</v>
      </c>
      <c r="P463" s="9" t="n">
        <v>4.1</v>
      </c>
      <c r="Q463" s="9" t="n">
        <v>23</v>
      </c>
      <c r="R463" s="9" t="s">
        <v>53</v>
      </c>
      <c r="S463" s="9"/>
      <c r="T463" s="9"/>
      <c r="U463" s="9" t="str">
        <f aca="false">IF(COUNTIF($A$2:$A$5001,A463)&gt;1,"Duplicate","Unique")</f>
        <v>Unique</v>
      </c>
      <c r="V463" s="9" t="str">
        <f aca="false">IF(COUNTIFS($B$2:$B$5001,B463,$H$2:$H$5001,H463,$J$2:$J$5001,J463)&gt;1,"Possible Duplicate Booking","Unique")</f>
        <v>Unique</v>
      </c>
      <c r="W463" s="9" t="str">
        <f aca="false">IF((H463-G463)&lt;&gt;K463,"Mismatch","OK")</f>
        <v>OK</v>
      </c>
      <c r="X463" s="9" t="str">
        <f aca="false">IF(TEXT(H463,"dddd")&lt;&gt;I463,"Mismatch","OK")</f>
        <v>OK</v>
      </c>
      <c r="Y463" s="9" t="str">
        <f aca="false">IF(AND(N463="No",O463&lt;&gt;""),"Unexpected: channel present but no reminder sent",IF(AND(N463="Yes",O463=""),"Missing channel for sent reminder","OK"))</f>
        <v>OK</v>
      </c>
    </row>
    <row r="464" customFormat="false" ht="15" hidden="false" customHeight="false" outlineLevel="0" collapsed="false">
      <c r="A464" s="7" t="s">
        <v>947</v>
      </c>
      <c r="B464" s="7" t="s">
        <v>948</v>
      </c>
      <c r="C464" s="7" t="s">
        <v>37</v>
      </c>
      <c r="D464" s="7" t="n">
        <v>19</v>
      </c>
      <c r="E464" s="7" t="s">
        <v>82</v>
      </c>
      <c r="F464" s="7" t="s">
        <v>39</v>
      </c>
      <c r="G464" s="8" t="n">
        <v>46023</v>
      </c>
      <c r="H464" s="8" t="n">
        <v>46066</v>
      </c>
      <c r="I464" s="7" t="s">
        <v>50</v>
      </c>
      <c r="J464" s="7" t="s">
        <v>41</v>
      </c>
      <c r="K464" s="7" t="n">
        <v>43</v>
      </c>
      <c r="L464" s="7" t="n">
        <v>3</v>
      </c>
      <c r="M464" s="7" t="n">
        <v>0</v>
      </c>
      <c r="N464" s="7" t="s">
        <v>42</v>
      </c>
      <c r="O464" s="7" t="s">
        <v>52</v>
      </c>
      <c r="P464" s="7" t="n">
        <v>23.3</v>
      </c>
      <c r="Q464" s="7" t="n">
        <v>23</v>
      </c>
      <c r="R464" s="7" t="s">
        <v>44</v>
      </c>
      <c r="S464" s="7"/>
      <c r="T464" s="7"/>
      <c r="U464" s="7" t="str">
        <f aca="false">IF(COUNTIF($A$2:$A$5001,A464)&gt;1,"Duplicate","Unique")</f>
        <v>Unique</v>
      </c>
      <c r="V464" s="7" t="str">
        <f aca="false">IF(COUNTIFS($B$2:$B$5001,B464,$H$2:$H$5001,H464,$J$2:$J$5001,J464)&gt;1,"Possible Duplicate Booking","Unique")</f>
        <v>Unique</v>
      </c>
      <c r="W464" s="7" t="str">
        <f aca="false">IF((H464-G464)&lt;&gt;K464,"Mismatch","OK")</f>
        <v>OK</v>
      </c>
      <c r="X464" s="7" t="str">
        <f aca="false">IF(TEXT(H464,"dddd")&lt;&gt;I464,"Mismatch","OK")</f>
        <v>OK</v>
      </c>
      <c r="Y464" s="7" t="str">
        <f aca="false">IF(AND(N464="No",O464&lt;&gt;""),"Unexpected: channel present but no reminder sent",IF(AND(N464="Yes",O464=""),"Missing channel for sent reminder","OK"))</f>
        <v>OK</v>
      </c>
    </row>
    <row r="465" customFormat="false" ht="15" hidden="false" customHeight="false" outlineLevel="0" collapsed="false">
      <c r="A465" s="9" t="s">
        <v>949</v>
      </c>
      <c r="B465" s="9" t="s">
        <v>950</v>
      </c>
      <c r="C465" s="9" t="s">
        <v>47</v>
      </c>
      <c r="D465" s="9" t="n">
        <v>75</v>
      </c>
      <c r="E465" s="9" t="s">
        <v>70</v>
      </c>
      <c r="F465" s="9" t="s">
        <v>49</v>
      </c>
      <c r="G465" s="10" t="n">
        <v>45868</v>
      </c>
      <c r="H465" s="10" t="n">
        <v>45886</v>
      </c>
      <c r="I465" s="9" t="s">
        <v>75</v>
      </c>
      <c r="J465" s="9" t="s">
        <v>41</v>
      </c>
      <c r="K465" s="9" t="n">
        <v>18</v>
      </c>
      <c r="L465" s="9" t="n">
        <v>1</v>
      </c>
      <c r="M465" s="9" t="n">
        <v>1</v>
      </c>
      <c r="N465" s="9" t="s">
        <v>42</v>
      </c>
      <c r="O465" s="9" t="s">
        <v>52</v>
      </c>
      <c r="P465" s="9" t="n">
        <v>5.8</v>
      </c>
      <c r="Q465" s="9" t="n">
        <v>34</v>
      </c>
      <c r="R465" s="9" t="s">
        <v>53</v>
      </c>
      <c r="S465" s="9"/>
      <c r="T465" s="9"/>
      <c r="U465" s="9" t="str">
        <f aca="false">IF(COUNTIF($A$2:$A$5001,A465)&gt;1,"Duplicate","Unique")</f>
        <v>Unique</v>
      </c>
      <c r="V465" s="9" t="str">
        <f aca="false">IF(COUNTIFS($B$2:$B$5001,B465,$H$2:$H$5001,H465,$J$2:$J$5001,J465)&gt;1,"Possible Duplicate Booking","Unique")</f>
        <v>Unique</v>
      </c>
      <c r="W465" s="9" t="str">
        <f aca="false">IF((H465-G465)&lt;&gt;K465,"Mismatch","OK")</f>
        <v>OK</v>
      </c>
      <c r="X465" s="9" t="str">
        <f aca="false">IF(TEXT(H465,"dddd")&lt;&gt;I465,"Mismatch","OK")</f>
        <v>OK</v>
      </c>
      <c r="Y465" s="9" t="str">
        <f aca="false">IF(AND(N465="No",O465&lt;&gt;""),"Unexpected: channel present but no reminder sent",IF(AND(N465="Yes",O465=""),"Missing channel for sent reminder","OK"))</f>
        <v>OK</v>
      </c>
    </row>
    <row r="466" customFormat="false" ht="15" hidden="false" customHeight="false" outlineLevel="0" collapsed="false">
      <c r="A466" s="7" t="s">
        <v>951</v>
      </c>
      <c r="B466" s="7" t="s">
        <v>952</v>
      </c>
      <c r="C466" s="7" t="s">
        <v>37</v>
      </c>
      <c r="D466" s="7" t="n">
        <v>30</v>
      </c>
      <c r="E466" s="7" t="s">
        <v>48</v>
      </c>
      <c r="F466" s="7" t="s">
        <v>57</v>
      </c>
      <c r="G466" s="8" t="n">
        <v>45649</v>
      </c>
      <c r="H466" s="8" t="n">
        <v>45661</v>
      </c>
      <c r="I466" s="7" t="s">
        <v>102</v>
      </c>
      <c r="J466" s="7" t="s">
        <v>41</v>
      </c>
      <c r="K466" s="7" t="n">
        <v>12</v>
      </c>
      <c r="L466" s="7" t="n">
        <v>5</v>
      </c>
      <c r="M466" s="7" t="n">
        <v>1</v>
      </c>
      <c r="N466" s="7" t="s">
        <v>42</v>
      </c>
      <c r="O466" s="7" t="s">
        <v>52</v>
      </c>
      <c r="P466" s="7" t="n">
        <v>16.8</v>
      </c>
      <c r="Q466" s="7" t="n">
        <v>18</v>
      </c>
      <c r="R466" s="7" t="s">
        <v>44</v>
      </c>
      <c r="S466" s="7"/>
      <c r="T466" s="7"/>
      <c r="U466" s="7" t="str">
        <f aca="false">IF(COUNTIF($A$2:$A$5001,A466)&gt;1,"Duplicate","Unique")</f>
        <v>Unique</v>
      </c>
      <c r="V466" s="7" t="str">
        <f aca="false">IF(COUNTIFS($B$2:$B$5001,B466,$H$2:$H$5001,H466,$J$2:$J$5001,J466)&gt;1,"Possible Duplicate Booking","Unique")</f>
        <v>Unique</v>
      </c>
      <c r="W466" s="7" t="str">
        <f aca="false">IF((H466-G466)&lt;&gt;K466,"Mismatch","OK")</f>
        <v>OK</v>
      </c>
      <c r="X466" s="7" t="str">
        <f aca="false">IF(TEXT(H466,"dddd")&lt;&gt;I466,"Mismatch","OK")</f>
        <v>OK</v>
      </c>
      <c r="Y466" s="7" t="str">
        <f aca="false">IF(AND(N466="No",O466&lt;&gt;""),"Unexpected: channel present but no reminder sent",IF(AND(N466="Yes",O466=""),"Missing channel for sent reminder","OK"))</f>
        <v>OK</v>
      </c>
    </row>
    <row r="467" customFormat="false" ht="15" hidden="false" customHeight="false" outlineLevel="0" collapsed="false">
      <c r="A467" s="9" t="s">
        <v>953</v>
      </c>
      <c r="B467" s="9" t="s">
        <v>954</v>
      </c>
      <c r="C467" s="9" t="s">
        <v>47</v>
      </c>
      <c r="D467" s="9" t="n">
        <v>43</v>
      </c>
      <c r="E467" s="9" t="s">
        <v>38</v>
      </c>
      <c r="F467" s="9" t="s">
        <v>49</v>
      </c>
      <c r="G467" s="10" t="n">
        <v>46152</v>
      </c>
      <c r="H467" s="10" t="n">
        <v>46185</v>
      </c>
      <c r="I467" s="9" t="s">
        <v>50</v>
      </c>
      <c r="J467" s="9" t="s">
        <v>41</v>
      </c>
      <c r="K467" s="9" t="n">
        <v>33</v>
      </c>
      <c r="L467" s="9" t="n">
        <v>4</v>
      </c>
      <c r="M467" s="9" t="n">
        <v>4</v>
      </c>
      <c r="N467" s="9" t="s">
        <v>42</v>
      </c>
      <c r="O467" s="9" t="s">
        <v>52</v>
      </c>
      <c r="P467" s="9" t="n">
        <v>4.6</v>
      </c>
      <c r="Q467" s="9" t="n">
        <v>18</v>
      </c>
      <c r="R467" s="9" t="s">
        <v>53</v>
      </c>
      <c r="S467" s="9"/>
      <c r="T467" s="9"/>
      <c r="U467" s="9" t="str">
        <f aca="false">IF(COUNTIF($A$2:$A$5001,A467)&gt;1,"Duplicate","Unique")</f>
        <v>Unique</v>
      </c>
      <c r="V467" s="9" t="str">
        <f aca="false">IF(COUNTIFS($B$2:$B$5001,B467,$H$2:$H$5001,H467,$J$2:$J$5001,J467)&gt;1,"Possible Duplicate Booking","Unique")</f>
        <v>Unique</v>
      </c>
      <c r="W467" s="9" t="str">
        <f aca="false">IF((H467-G467)&lt;&gt;K467,"Mismatch","OK")</f>
        <v>OK</v>
      </c>
      <c r="X467" s="9" t="str">
        <f aca="false">IF(TEXT(H467,"dddd")&lt;&gt;I467,"Mismatch","OK")</f>
        <v>OK</v>
      </c>
      <c r="Y467" s="9" t="str">
        <f aca="false">IF(AND(N467="No",O467&lt;&gt;""),"Unexpected: channel present but no reminder sent",IF(AND(N467="Yes",O467=""),"Missing channel for sent reminder","OK"))</f>
        <v>OK</v>
      </c>
    </row>
    <row r="468" customFormat="false" ht="15" hidden="false" customHeight="false" outlineLevel="0" collapsed="false">
      <c r="A468" s="7" t="s">
        <v>955</v>
      </c>
      <c r="B468" s="7" t="s">
        <v>956</v>
      </c>
      <c r="C468" s="7" t="s">
        <v>47</v>
      </c>
      <c r="D468" s="7" t="n">
        <v>38</v>
      </c>
      <c r="E468" s="7" t="s">
        <v>38</v>
      </c>
      <c r="F468" s="7" t="s">
        <v>39</v>
      </c>
      <c r="G468" s="8" t="n">
        <v>45746</v>
      </c>
      <c r="H468" s="8" t="n">
        <v>45748</v>
      </c>
      <c r="I468" s="7" t="s">
        <v>40</v>
      </c>
      <c r="J468" s="7" t="s">
        <v>41</v>
      </c>
      <c r="K468" s="7" t="n">
        <v>2</v>
      </c>
      <c r="L468" s="7" t="n">
        <v>4</v>
      </c>
      <c r="M468" s="7" t="n">
        <v>1</v>
      </c>
      <c r="N468" s="7" t="s">
        <v>42</v>
      </c>
      <c r="O468" s="7" t="s">
        <v>52</v>
      </c>
      <c r="P468" s="7" t="n">
        <v>4.6</v>
      </c>
      <c r="Q468" s="7" t="n">
        <v>26</v>
      </c>
      <c r="R468" s="7" t="s">
        <v>44</v>
      </c>
      <c r="S468" s="7"/>
      <c r="T468" s="7"/>
      <c r="U468" s="7" t="str">
        <f aca="false">IF(COUNTIF($A$2:$A$5001,A468)&gt;1,"Duplicate","Unique")</f>
        <v>Unique</v>
      </c>
      <c r="V468" s="7" t="str">
        <f aca="false">IF(COUNTIFS($B$2:$B$5001,B468,$H$2:$H$5001,H468,$J$2:$J$5001,J468)&gt;1,"Possible Duplicate Booking","Unique")</f>
        <v>Unique</v>
      </c>
      <c r="W468" s="7" t="str">
        <f aca="false">IF((H468-G468)&lt;&gt;K468,"Mismatch","OK")</f>
        <v>OK</v>
      </c>
      <c r="X468" s="7" t="str">
        <f aca="false">IF(TEXT(H468,"dddd")&lt;&gt;I468,"Mismatch","OK")</f>
        <v>OK</v>
      </c>
      <c r="Y468" s="7" t="str">
        <f aca="false">IF(AND(N468="No",O468&lt;&gt;""),"Unexpected: channel present but no reminder sent",IF(AND(N468="Yes",O468=""),"Missing channel for sent reminder","OK"))</f>
        <v>OK</v>
      </c>
    </row>
    <row r="469" customFormat="false" ht="15" hidden="false" customHeight="false" outlineLevel="0" collapsed="false">
      <c r="A469" s="9" t="s">
        <v>957</v>
      </c>
      <c r="B469" s="9" t="s">
        <v>958</v>
      </c>
      <c r="C469" s="9" t="s">
        <v>47</v>
      </c>
      <c r="D469" s="9" t="n">
        <v>43</v>
      </c>
      <c r="E469" s="9" t="s">
        <v>38</v>
      </c>
      <c r="F469" s="9" t="s">
        <v>49</v>
      </c>
      <c r="G469" s="10" t="n">
        <v>45963</v>
      </c>
      <c r="H469" s="10" t="n">
        <v>45983</v>
      </c>
      <c r="I469" s="9" t="s">
        <v>102</v>
      </c>
      <c r="J469" s="9" t="s">
        <v>51</v>
      </c>
      <c r="K469" s="9" t="n">
        <v>20</v>
      </c>
      <c r="L469" s="9" t="n">
        <v>2</v>
      </c>
      <c r="M469" s="9" t="n">
        <v>0</v>
      </c>
      <c r="N469" s="9" t="s">
        <v>71</v>
      </c>
      <c r="O469" s="9"/>
      <c r="P469" s="9" t="n">
        <v>4.8</v>
      </c>
      <c r="Q469" s="9" t="n">
        <v>31</v>
      </c>
      <c r="R469" s="9" t="s">
        <v>53</v>
      </c>
      <c r="S469" s="9"/>
      <c r="T469" s="9"/>
      <c r="U469" s="9" t="str">
        <f aca="false">IF(COUNTIF($A$2:$A$5001,A469)&gt;1,"Duplicate","Unique")</f>
        <v>Unique</v>
      </c>
      <c r="V469" s="9" t="str">
        <f aca="false">IF(COUNTIFS($B$2:$B$5001,B469,$H$2:$H$5001,H469,$J$2:$J$5001,J469)&gt;1,"Possible Duplicate Booking","Unique")</f>
        <v>Unique</v>
      </c>
      <c r="W469" s="9" t="str">
        <f aca="false">IF((H469-G469)&lt;&gt;K469,"Mismatch","OK")</f>
        <v>OK</v>
      </c>
      <c r="X469" s="9" t="str">
        <f aca="false">IF(TEXT(H469,"dddd")&lt;&gt;I469,"Mismatch","OK")</f>
        <v>OK</v>
      </c>
      <c r="Y469" s="9" t="str">
        <f aca="false">IF(AND(N469="No",O469&lt;&gt;""),"Unexpected: channel present but no reminder sent",IF(AND(N469="Yes",O469=""),"Missing channel for sent reminder","OK"))</f>
        <v>OK</v>
      </c>
    </row>
    <row r="470" customFormat="false" ht="15" hidden="false" customHeight="false" outlineLevel="0" collapsed="false">
      <c r="A470" s="7" t="s">
        <v>959</v>
      </c>
      <c r="B470" s="7" t="s">
        <v>960</v>
      </c>
      <c r="C470" s="7" t="s">
        <v>37</v>
      </c>
      <c r="D470" s="7" t="n">
        <v>65</v>
      </c>
      <c r="E470" s="7" t="s">
        <v>70</v>
      </c>
      <c r="F470" s="7" t="s">
        <v>57</v>
      </c>
      <c r="G470" s="8" t="n">
        <v>45724</v>
      </c>
      <c r="H470" s="8" t="n">
        <v>45757</v>
      </c>
      <c r="I470" s="7" t="s">
        <v>62</v>
      </c>
      <c r="J470" s="7" t="s">
        <v>51</v>
      </c>
      <c r="K470" s="7" t="n">
        <v>33</v>
      </c>
      <c r="L470" s="7" t="n">
        <v>5</v>
      </c>
      <c r="M470" s="7" t="n">
        <v>1</v>
      </c>
      <c r="N470" s="7" t="s">
        <v>42</v>
      </c>
      <c r="O470" s="7" t="s">
        <v>43</v>
      </c>
      <c r="P470" s="7" t="n">
        <v>4.9</v>
      </c>
      <c r="Q470" s="7" t="n">
        <v>26</v>
      </c>
      <c r="R470" s="7" t="s">
        <v>53</v>
      </c>
      <c r="S470" s="7"/>
      <c r="T470" s="7"/>
      <c r="U470" s="7" t="str">
        <f aca="false">IF(COUNTIF($A$2:$A$5001,A470)&gt;1,"Duplicate","Unique")</f>
        <v>Unique</v>
      </c>
      <c r="V470" s="7" t="str">
        <f aca="false">IF(COUNTIFS($B$2:$B$5001,B470,$H$2:$H$5001,H470,$J$2:$J$5001,J470)&gt;1,"Possible Duplicate Booking","Unique")</f>
        <v>Unique</v>
      </c>
      <c r="W470" s="7" t="str">
        <f aca="false">IF((H470-G470)&lt;&gt;K470,"Mismatch","OK")</f>
        <v>OK</v>
      </c>
      <c r="X470" s="7" t="str">
        <f aca="false">IF(TEXT(H470,"dddd")&lt;&gt;I470,"Mismatch","OK")</f>
        <v>OK</v>
      </c>
      <c r="Y470" s="7" t="str">
        <f aca="false">IF(AND(N470="No",O470&lt;&gt;""),"Unexpected: channel present but no reminder sent",IF(AND(N470="Yes",O470=""),"Missing channel for sent reminder","OK"))</f>
        <v>OK</v>
      </c>
    </row>
    <row r="471" customFormat="false" ht="15" hidden="false" customHeight="false" outlineLevel="0" collapsed="false">
      <c r="A471" s="9" t="s">
        <v>961</v>
      </c>
      <c r="B471" s="9" t="s">
        <v>962</v>
      </c>
      <c r="C471" s="9" t="s">
        <v>37</v>
      </c>
      <c r="D471" s="9" t="n">
        <v>62</v>
      </c>
      <c r="E471" s="9" t="s">
        <v>61</v>
      </c>
      <c r="F471" s="9" t="s">
        <v>57</v>
      </c>
      <c r="G471" s="10" t="n">
        <v>46151</v>
      </c>
      <c r="H471" s="10" t="n">
        <v>46167</v>
      </c>
      <c r="I471" s="9" t="s">
        <v>66</v>
      </c>
      <c r="J471" s="9" t="s">
        <v>51</v>
      </c>
      <c r="K471" s="9" t="n">
        <v>16</v>
      </c>
      <c r="L471" s="9" t="n">
        <v>4</v>
      </c>
      <c r="M471" s="9" t="n">
        <v>1</v>
      </c>
      <c r="N471" s="9" t="s">
        <v>71</v>
      </c>
      <c r="O471" s="9"/>
      <c r="P471" s="9" t="n">
        <v>3.2</v>
      </c>
      <c r="Q471" s="9" t="n">
        <v>34</v>
      </c>
      <c r="R471" s="9" t="s">
        <v>53</v>
      </c>
      <c r="S471" s="9"/>
      <c r="T471" s="9"/>
      <c r="U471" s="9" t="str">
        <f aca="false">IF(COUNTIF($A$2:$A$5001,A471)&gt;1,"Duplicate","Unique")</f>
        <v>Unique</v>
      </c>
      <c r="V471" s="9" t="str">
        <f aca="false">IF(COUNTIFS($B$2:$B$5001,B471,$H$2:$H$5001,H471,$J$2:$J$5001,J471)&gt;1,"Possible Duplicate Booking","Unique")</f>
        <v>Unique</v>
      </c>
      <c r="W471" s="9" t="str">
        <f aca="false">IF((H471-G471)&lt;&gt;K471,"Mismatch","OK")</f>
        <v>OK</v>
      </c>
      <c r="X471" s="9" t="str">
        <f aca="false">IF(TEXT(H471,"dddd")&lt;&gt;I471,"Mismatch","OK")</f>
        <v>OK</v>
      </c>
      <c r="Y471" s="9" t="str">
        <f aca="false">IF(AND(N471="No",O471&lt;&gt;""),"Unexpected: channel present but no reminder sent",IF(AND(N471="Yes",O471=""),"Missing channel for sent reminder","OK"))</f>
        <v>OK</v>
      </c>
    </row>
    <row r="472" customFormat="false" ht="15" hidden="false" customHeight="false" outlineLevel="0" collapsed="false">
      <c r="A472" s="7" t="s">
        <v>963</v>
      </c>
      <c r="B472" s="7" t="s">
        <v>964</v>
      </c>
      <c r="C472" s="7" t="s">
        <v>47</v>
      </c>
      <c r="D472" s="7" t="n">
        <v>55</v>
      </c>
      <c r="E472" s="7" t="s">
        <v>61</v>
      </c>
      <c r="F472" s="7" t="s">
        <v>39</v>
      </c>
      <c r="G472" s="8" t="n">
        <v>46025</v>
      </c>
      <c r="H472" s="8" t="n">
        <v>46061</v>
      </c>
      <c r="I472" s="7" t="s">
        <v>75</v>
      </c>
      <c r="J472" s="7" t="s">
        <v>51</v>
      </c>
      <c r="K472" s="7" t="n">
        <v>36</v>
      </c>
      <c r="L472" s="7" t="n">
        <v>2</v>
      </c>
      <c r="M472" s="7" t="n">
        <v>1</v>
      </c>
      <c r="N472" s="7" t="s">
        <v>71</v>
      </c>
      <c r="O472" s="7"/>
      <c r="P472" s="7" t="n">
        <v>4</v>
      </c>
      <c r="Q472" s="7" t="n">
        <v>32</v>
      </c>
      <c r="R472" s="7" t="s">
        <v>53</v>
      </c>
      <c r="S472" s="7"/>
      <c r="T472" s="7"/>
      <c r="U472" s="7" t="str">
        <f aca="false">IF(COUNTIF($A$2:$A$5001,A472)&gt;1,"Duplicate","Unique")</f>
        <v>Unique</v>
      </c>
      <c r="V472" s="7" t="str">
        <f aca="false">IF(COUNTIFS($B$2:$B$5001,B472,$H$2:$H$5001,H472,$J$2:$J$5001,J472)&gt;1,"Possible Duplicate Booking","Unique")</f>
        <v>Unique</v>
      </c>
      <c r="W472" s="7" t="str">
        <f aca="false">IF((H472-G472)&lt;&gt;K472,"Mismatch","OK")</f>
        <v>OK</v>
      </c>
      <c r="X472" s="7" t="str">
        <f aca="false">IF(TEXT(H472,"dddd")&lt;&gt;I472,"Mismatch","OK")</f>
        <v>OK</v>
      </c>
      <c r="Y472" s="7" t="str">
        <f aca="false">IF(AND(N472="No",O472&lt;&gt;""),"Unexpected: channel present but no reminder sent",IF(AND(N472="Yes",O472=""),"Missing channel for sent reminder","OK"))</f>
        <v>OK</v>
      </c>
    </row>
    <row r="473" customFormat="false" ht="15" hidden="false" customHeight="false" outlineLevel="0" collapsed="false">
      <c r="A473" s="9" t="s">
        <v>965</v>
      </c>
      <c r="B473" s="9" t="s">
        <v>848</v>
      </c>
      <c r="C473" s="9" t="s">
        <v>47</v>
      </c>
      <c r="D473" s="9" t="n">
        <v>57</v>
      </c>
      <c r="E473" s="9" t="s">
        <v>61</v>
      </c>
      <c r="F473" s="9" t="s">
        <v>57</v>
      </c>
      <c r="G473" s="10" t="n">
        <v>46069</v>
      </c>
      <c r="H473" s="10" t="n">
        <v>46097</v>
      </c>
      <c r="I473" s="9" t="s">
        <v>66</v>
      </c>
      <c r="J473" s="9" t="s">
        <v>51</v>
      </c>
      <c r="K473" s="9" t="n">
        <v>28</v>
      </c>
      <c r="L473" s="9" t="n">
        <v>2</v>
      </c>
      <c r="M473" s="9" t="n">
        <v>0</v>
      </c>
      <c r="N473" s="9" t="s">
        <v>71</v>
      </c>
      <c r="O473" s="9"/>
      <c r="P473" s="9" t="n">
        <v>1.2</v>
      </c>
      <c r="Q473" s="9" t="n">
        <v>19</v>
      </c>
      <c r="R473" s="9" t="s">
        <v>53</v>
      </c>
      <c r="S473" s="9"/>
      <c r="T473" s="9"/>
      <c r="U473" s="9" t="str">
        <f aca="false">IF(COUNTIF($A$2:$A$5001,A473)&gt;1,"Duplicate","Unique")</f>
        <v>Unique</v>
      </c>
      <c r="V473" s="9" t="str">
        <f aca="false">IF(COUNTIFS($B$2:$B$5001,B473,$H$2:$H$5001,H473,$J$2:$J$5001,J473)&gt;1,"Possible Duplicate Booking","Unique")</f>
        <v>Unique</v>
      </c>
      <c r="W473" s="9" t="str">
        <f aca="false">IF((H473-G473)&lt;&gt;K473,"Mismatch","OK")</f>
        <v>OK</v>
      </c>
      <c r="X473" s="9" t="str">
        <f aca="false">IF(TEXT(H473,"dddd")&lt;&gt;I473,"Mismatch","OK")</f>
        <v>OK</v>
      </c>
      <c r="Y473" s="9" t="str">
        <f aca="false">IF(AND(N473="No",O473&lt;&gt;""),"Unexpected: channel present but no reminder sent",IF(AND(N473="Yes",O473=""),"Missing channel for sent reminder","OK"))</f>
        <v>OK</v>
      </c>
    </row>
    <row r="474" customFormat="false" ht="15" hidden="false" customHeight="false" outlineLevel="0" collapsed="false">
      <c r="A474" s="7" t="s">
        <v>966</v>
      </c>
      <c r="B474" s="7" t="s">
        <v>328</v>
      </c>
      <c r="C474" s="7" t="s">
        <v>37</v>
      </c>
      <c r="D474" s="7" t="n">
        <v>63</v>
      </c>
      <c r="E474" s="7" t="s">
        <v>61</v>
      </c>
      <c r="F474" s="7" t="s">
        <v>39</v>
      </c>
      <c r="G474" s="8" t="n">
        <v>45845</v>
      </c>
      <c r="H474" s="8" t="n">
        <v>45893</v>
      </c>
      <c r="I474" s="7" t="s">
        <v>75</v>
      </c>
      <c r="J474" s="7" t="s">
        <v>41</v>
      </c>
      <c r="K474" s="7" t="n">
        <v>48</v>
      </c>
      <c r="L474" s="7" t="n">
        <v>3</v>
      </c>
      <c r="M474" s="7" t="n">
        <v>0</v>
      </c>
      <c r="N474" s="7" t="s">
        <v>42</v>
      </c>
      <c r="O474" s="7" t="s">
        <v>52</v>
      </c>
      <c r="P474" s="7" t="n">
        <v>1.9</v>
      </c>
      <c r="Q474" s="7" t="n">
        <v>24</v>
      </c>
      <c r="R474" s="7" t="s">
        <v>44</v>
      </c>
      <c r="S474" s="7"/>
      <c r="T474" s="7"/>
      <c r="U474" s="7" t="str">
        <f aca="false">IF(COUNTIF($A$2:$A$5001,A474)&gt;1,"Duplicate","Unique")</f>
        <v>Unique</v>
      </c>
      <c r="V474" s="7" t="str">
        <f aca="false">IF(COUNTIFS($B$2:$B$5001,B474,$H$2:$H$5001,H474,$J$2:$J$5001,J474)&gt;1,"Possible Duplicate Booking","Unique")</f>
        <v>Unique</v>
      </c>
      <c r="W474" s="7" t="str">
        <f aca="false">IF((H474-G474)&lt;&gt;K474,"Mismatch","OK")</f>
        <v>OK</v>
      </c>
      <c r="X474" s="7" t="str">
        <f aca="false">IF(TEXT(H474,"dddd")&lt;&gt;I474,"Mismatch","OK")</f>
        <v>OK</v>
      </c>
      <c r="Y474" s="7" t="str">
        <f aca="false">IF(AND(N474="No",O474&lt;&gt;""),"Unexpected: channel present but no reminder sent",IF(AND(N474="Yes",O474=""),"Missing channel for sent reminder","OK"))</f>
        <v>OK</v>
      </c>
    </row>
    <row r="475" customFormat="false" ht="15" hidden="false" customHeight="false" outlineLevel="0" collapsed="false">
      <c r="A475" s="9" t="s">
        <v>967</v>
      </c>
      <c r="B475" s="9" t="s">
        <v>219</v>
      </c>
      <c r="C475" s="9" t="s">
        <v>47</v>
      </c>
      <c r="D475" s="9" t="n">
        <v>29</v>
      </c>
      <c r="E475" s="9" t="s">
        <v>48</v>
      </c>
      <c r="F475" s="9" t="s">
        <v>57</v>
      </c>
      <c r="G475" s="10" t="n">
        <v>45902</v>
      </c>
      <c r="H475" s="10" t="n">
        <v>45913</v>
      </c>
      <c r="I475" s="9" t="s">
        <v>102</v>
      </c>
      <c r="J475" s="9" t="s">
        <v>41</v>
      </c>
      <c r="K475" s="9" t="n">
        <v>11</v>
      </c>
      <c r="L475" s="9" t="n">
        <v>2</v>
      </c>
      <c r="M475" s="9" t="n">
        <v>1</v>
      </c>
      <c r="N475" s="9" t="s">
        <v>42</v>
      </c>
      <c r="O475" s="9" t="s">
        <v>43</v>
      </c>
      <c r="P475" s="9" t="n">
        <v>26.8</v>
      </c>
      <c r="Q475" s="9" t="n">
        <v>30</v>
      </c>
      <c r="R475" s="9" t="s">
        <v>53</v>
      </c>
      <c r="S475" s="9"/>
      <c r="T475" s="9"/>
      <c r="U475" s="9" t="str">
        <f aca="false">IF(COUNTIF($A$2:$A$5001,A475)&gt;1,"Duplicate","Unique")</f>
        <v>Unique</v>
      </c>
      <c r="V475" s="9" t="str">
        <f aca="false">IF(COUNTIFS($B$2:$B$5001,B475,$H$2:$H$5001,H475,$J$2:$J$5001,J475)&gt;1,"Possible Duplicate Booking","Unique")</f>
        <v>Unique</v>
      </c>
      <c r="W475" s="9" t="str">
        <f aca="false">IF((H475-G475)&lt;&gt;K475,"Mismatch","OK")</f>
        <v>OK</v>
      </c>
      <c r="X475" s="9" t="str">
        <f aca="false">IF(TEXT(H475,"dddd")&lt;&gt;I475,"Mismatch","OK")</f>
        <v>OK</v>
      </c>
      <c r="Y475" s="9" t="str">
        <f aca="false">IF(AND(N475="No",O475&lt;&gt;""),"Unexpected: channel present but no reminder sent",IF(AND(N475="Yes",O475=""),"Missing channel for sent reminder","OK"))</f>
        <v>OK</v>
      </c>
    </row>
    <row r="476" customFormat="false" ht="15" hidden="false" customHeight="false" outlineLevel="0" collapsed="false">
      <c r="A476" s="7" t="s">
        <v>968</v>
      </c>
      <c r="B476" s="7" t="s">
        <v>654</v>
      </c>
      <c r="C476" s="7" t="s">
        <v>47</v>
      </c>
      <c r="D476" s="7" t="n">
        <v>42</v>
      </c>
      <c r="E476" s="7" t="s">
        <v>38</v>
      </c>
      <c r="F476" s="7" t="s">
        <v>49</v>
      </c>
      <c r="G476" s="8" t="n">
        <v>46001</v>
      </c>
      <c r="H476" s="8" t="n">
        <v>46004</v>
      </c>
      <c r="I476" s="7" t="s">
        <v>102</v>
      </c>
      <c r="J476" s="7" t="s">
        <v>51</v>
      </c>
      <c r="K476" s="7" t="n">
        <v>3</v>
      </c>
      <c r="L476" s="7" t="n">
        <v>2</v>
      </c>
      <c r="M476" s="7" t="n">
        <v>1</v>
      </c>
      <c r="N476" s="7" t="s">
        <v>42</v>
      </c>
      <c r="O476" s="7" t="s">
        <v>43</v>
      </c>
      <c r="P476" s="7" t="n">
        <v>10.8</v>
      </c>
      <c r="Q476" s="7" t="n">
        <v>16</v>
      </c>
      <c r="R476" s="7" t="s">
        <v>87</v>
      </c>
      <c r="S476" s="7"/>
      <c r="T476" s="7"/>
      <c r="U476" s="7" t="str">
        <f aca="false">IF(COUNTIF($A$2:$A$5001,A476)&gt;1,"Duplicate","Unique")</f>
        <v>Unique</v>
      </c>
      <c r="V476" s="7" t="str">
        <f aca="false">IF(COUNTIFS($B$2:$B$5001,B476,$H$2:$H$5001,H476,$J$2:$J$5001,J476)&gt;1,"Possible Duplicate Booking","Unique")</f>
        <v>Unique</v>
      </c>
      <c r="W476" s="7" t="str">
        <f aca="false">IF((H476-G476)&lt;&gt;K476,"Mismatch","OK")</f>
        <v>OK</v>
      </c>
      <c r="X476" s="7" t="str">
        <f aca="false">IF(TEXT(H476,"dddd")&lt;&gt;I476,"Mismatch","OK")</f>
        <v>OK</v>
      </c>
      <c r="Y476" s="7" t="str">
        <f aca="false">IF(AND(N476="No",O476&lt;&gt;""),"Unexpected: channel present but no reminder sent",IF(AND(N476="Yes",O476=""),"Missing channel for sent reminder","OK"))</f>
        <v>OK</v>
      </c>
    </row>
    <row r="477" customFormat="false" ht="15" hidden="false" customHeight="false" outlineLevel="0" collapsed="false">
      <c r="A477" s="9" t="s">
        <v>969</v>
      </c>
      <c r="B477" s="9" t="s">
        <v>970</v>
      </c>
      <c r="C477" s="9" t="s">
        <v>47</v>
      </c>
      <c r="D477" s="9" t="n">
        <v>24</v>
      </c>
      <c r="E477" s="9" t="s">
        <v>82</v>
      </c>
      <c r="F477" s="9" t="s">
        <v>74</v>
      </c>
      <c r="G477" s="10" t="n">
        <v>46054</v>
      </c>
      <c r="H477" s="10" t="n">
        <v>46086</v>
      </c>
      <c r="I477" s="9" t="s">
        <v>62</v>
      </c>
      <c r="J477" s="9" t="s">
        <v>51</v>
      </c>
      <c r="K477" s="9" t="n">
        <v>32</v>
      </c>
      <c r="L477" s="9" t="n">
        <v>2</v>
      </c>
      <c r="M477" s="9" t="n">
        <v>0</v>
      </c>
      <c r="N477" s="9" t="s">
        <v>42</v>
      </c>
      <c r="O477" s="9" t="s">
        <v>52</v>
      </c>
      <c r="P477" s="9" t="n">
        <v>8.6</v>
      </c>
      <c r="Q477" s="9" t="n">
        <v>17</v>
      </c>
      <c r="R477" s="9" t="s">
        <v>53</v>
      </c>
      <c r="S477" s="9"/>
      <c r="T477" s="9"/>
      <c r="U477" s="9" t="str">
        <f aca="false">IF(COUNTIF($A$2:$A$5001,A477)&gt;1,"Duplicate","Unique")</f>
        <v>Unique</v>
      </c>
      <c r="V477" s="9" t="str">
        <f aca="false">IF(COUNTIFS($B$2:$B$5001,B477,$H$2:$H$5001,H477,$J$2:$J$5001,J477)&gt;1,"Possible Duplicate Booking","Unique")</f>
        <v>Unique</v>
      </c>
      <c r="W477" s="9" t="str">
        <f aca="false">IF((H477-G477)&lt;&gt;K477,"Mismatch","OK")</f>
        <v>OK</v>
      </c>
      <c r="X477" s="9" t="str">
        <f aca="false">IF(TEXT(H477,"dddd")&lt;&gt;I477,"Mismatch","OK")</f>
        <v>OK</v>
      </c>
      <c r="Y477" s="9" t="str">
        <f aca="false">IF(AND(N477="No",O477&lt;&gt;""),"Unexpected: channel present but no reminder sent",IF(AND(N477="Yes",O477=""),"Missing channel for sent reminder","OK"))</f>
        <v>OK</v>
      </c>
    </row>
    <row r="478" customFormat="false" ht="15" hidden="false" customHeight="false" outlineLevel="0" collapsed="false">
      <c r="A478" s="7" t="s">
        <v>971</v>
      </c>
      <c r="B478" s="7" t="s">
        <v>972</v>
      </c>
      <c r="C478" s="7" t="s">
        <v>47</v>
      </c>
      <c r="D478" s="7" t="n">
        <v>62</v>
      </c>
      <c r="E478" s="7" t="s">
        <v>61</v>
      </c>
      <c r="F478" s="7" t="s">
        <v>49</v>
      </c>
      <c r="G478" s="8" t="n">
        <v>46105</v>
      </c>
      <c r="H478" s="8" t="n">
        <v>46120</v>
      </c>
      <c r="I478" s="7" t="s">
        <v>58</v>
      </c>
      <c r="J478" s="7" t="s">
        <v>41</v>
      </c>
      <c r="K478" s="7" t="n">
        <v>15</v>
      </c>
      <c r="L478" s="7" t="n">
        <v>1</v>
      </c>
      <c r="M478" s="7" t="n">
        <v>0</v>
      </c>
      <c r="N478" s="7" t="s">
        <v>42</v>
      </c>
      <c r="O478" s="7" t="s">
        <v>52</v>
      </c>
      <c r="P478" s="7" t="n">
        <v>10.7</v>
      </c>
      <c r="Q478" s="7" t="n">
        <v>8</v>
      </c>
      <c r="R478" s="7" t="s">
        <v>87</v>
      </c>
      <c r="S478" s="7"/>
      <c r="T478" s="7"/>
      <c r="U478" s="7" t="str">
        <f aca="false">IF(COUNTIF($A$2:$A$5001,A478)&gt;1,"Duplicate","Unique")</f>
        <v>Unique</v>
      </c>
      <c r="V478" s="7" t="str">
        <f aca="false">IF(COUNTIFS($B$2:$B$5001,B478,$H$2:$H$5001,H478,$J$2:$J$5001,J478)&gt;1,"Possible Duplicate Booking","Unique")</f>
        <v>Unique</v>
      </c>
      <c r="W478" s="7" t="str">
        <f aca="false">IF((H478-G478)&lt;&gt;K478,"Mismatch","OK")</f>
        <v>OK</v>
      </c>
      <c r="X478" s="7" t="str">
        <f aca="false">IF(TEXT(H478,"dddd")&lt;&gt;I478,"Mismatch","OK")</f>
        <v>OK</v>
      </c>
      <c r="Y478" s="7" t="str">
        <f aca="false">IF(AND(N478="No",O478&lt;&gt;""),"Unexpected: channel present but no reminder sent",IF(AND(N478="Yes",O478=""),"Missing channel for sent reminder","OK"))</f>
        <v>OK</v>
      </c>
    </row>
    <row r="479" customFormat="false" ht="15" hidden="false" customHeight="false" outlineLevel="0" collapsed="false">
      <c r="A479" s="9" t="s">
        <v>973</v>
      </c>
      <c r="B479" s="9" t="s">
        <v>974</v>
      </c>
      <c r="C479" s="9" t="s">
        <v>47</v>
      </c>
      <c r="D479" s="9" t="n">
        <v>45</v>
      </c>
      <c r="E479" s="9" t="s">
        <v>56</v>
      </c>
      <c r="F479" s="9" t="s">
        <v>74</v>
      </c>
      <c r="G479" s="10" t="n">
        <v>45624</v>
      </c>
      <c r="H479" s="10" t="n">
        <v>45667</v>
      </c>
      <c r="I479" s="9" t="s">
        <v>50</v>
      </c>
      <c r="J479" s="9" t="s">
        <v>41</v>
      </c>
      <c r="K479" s="9" t="n">
        <v>43</v>
      </c>
      <c r="L479" s="9" t="n">
        <v>3</v>
      </c>
      <c r="M479" s="9" t="n">
        <v>0</v>
      </c>
      <c r="N479" s="9" t="s">
        <v>42</v>
      </c>
      <c r="O479" s="9" t="s">
        <v>67</v>
      </c>
      <c r="P479" s="9" t="n">
        <v>6.3</v>
      </c>
      <c r="Q479" s="9" t="n">
        <v>37</v>
      </c>
      <c r="R479" s="9" t="s">
        <v>44</v>
      </c>
      <c r="S479" s="9"/>
      <c r="T479" s="9"/>
      <c r="U479" s="9" t="str">
        <f aca="false">IF(COUNTIF($A$2:$A$5001,A479)&gt;1,"Duplicate","Unique")</f>
        <v>Unique</v>
      </c>
      <c r="V479" s="9" t="str">
        <f aca="false">IF(COUNTIFS($B$2:$B$5001,B479,$H$2:$H$5001,H479,$J$2:$J$5001,J479)&gt;1,"Possible Duplicate Booking","Unique")</f>
        <v>Unique</v>
      </c>
      <c r="W479" s="9" t="str">
        <f aca="false">IF((H479-G479)&lt;&gt;K479,"Mismatch","OK")</f>
        <v>OK</v>
      </c>
      <c r="X479" s="9" t="str">
        <f aca="false">IF(TEXT(H479,"dddd")&lt;&gt;I479,"Mismatch","OK")</f>
        <v>OK</v>
      </c>
      <c r="Y479" s="9" t="str">
        <f aca="false">IF(AND(N479="No",O479&lt;&gt;""),"Unexpected: channel present but no reminder sent",IF(AND(N479="Yes",O479=""),"Missing channel for sent reminder","OK"))</f>
        <v>OK</v>
      </c>
    </row>
    <row r="480" customFormat="false" ht="15" hidden="false" customHeight="false" outlineLevel="0" collapsed="false">
      <c r="A480" s="7" t="s">
        <v>975</v>
      </c>
      <c r="B480" s="7" t="s">
        <v>976</v>
      </c>
      <c r="C480" s="7" t="s">
        <v>47</v>
      </c>
      <c r="D480" s="7" t="n">
        <v>58</v>
      </c>
      <c r="E480" s="7" t="s">
        <v>61</v>
      </c>
      <c r="F480" s="7" t="s">
        <v>74</v>
      </c>
      <c r="G480" s="8" t="n">
        <v>46015</v>
      </c>
      <c r="H480" s="8" t="n">
        <v>46020</v>
      </c>
      <c r="I480" s="7" t="s">
        <v>66</v>
      </c>
      <c r="J480" s="7" t="s">
        <v>51</v>
      </c>
      <c r="K480" s="7" t="n">
        <v>5</v>
      </c>
      <c r="L480" s="7" t="n">
        <v>2</v>
      </c>
      <c r="M480" s="7" t="n">
        <v>1</v>
      </c>
      <c r="N480" s="7" t="s">
        <v>42</v>
      </c>
      <c r="O480" s="7" t="s">
        <v>52</v>
      </c>
      <c r="P480" s="7" t="n">
        <v>8.2</v>
      </c>
      <c r="Q480" s="7" t="n">
        <v>48</v>
      </c>
      <c r="R480" s="7" t="s">
        <v>53</v>
      </c>
      <c r="S480" s="7"/>
      <c r="T480" s="7"/>
      <c r="U480" s="7" t="str">
        <f aca="false">IF(COUNTIF($A$2:$A$5001,A480)&gt;1,"Duplicate","Unique")</f>
        <v>Unique</v>
      </c>
      <c r="V480" s="7" t="str">
        <f aca="false">IF(COUNTIFS($B$2:$B$5001,B480,$H$2:$H$5001,H480,$J$2:$J$5001,J480)&gt;1,"Possible Duplicate Booking","Unique")</f>
        <v>Unique</v>
      </c>
      <c r="W480" s="7" t="str">
        <f aca="false">IF((H480-G480)&lt;&gt;K480,"Mismatch","OK")</f>
        <v>OK</v>
      </c>
      <c r="X480" s="7" t="str">
        <f aca="false">IF(TEXT(H480,"dddd")&lt;&gt;I480,"Mismatch","OK")</f>
        <v>OK</v>
      </c>
      <c r="Y480" s="7" t="str">
        <f aca="false">IF(AND(N480="No",O480&lt;&gt;""),"Unexpected: channel present but no reminder sent",IF(AND(N480="Yes",O480=""),"Missing channel for sent reminder","OK"))</f>
        <v>OK</v>
      </c>
    </row>
    <row r="481" customFormat="false" ht="15" hidden="false" customHeight="false" outlineLevel="0" collapsed="false">
      <c r="A481" s="9" t="s">
        <v>977</v>
      </c>
      <c r="B481" s="9" t="s">
        <v>978</v>
      </c>
      <c r="C481" s="9" t="s">
        <v>37</v>
      </c>
      <c r="D481" s="9" t="n">
        <v>53</v>
      </c>
      <c r="E481" s="9" t="s">
        <v>56</v>
      </c>
      <c r="F481" s="9" t="s">
        <v>39</v>
      </c>
      <c r="G481" s="10" t="n">
        <v>45682</v>
      </c>
      <c r="H481" s="10" t="n">
        <v>45717</v>
      </c>
      <c r="I481" s="9" t="s">
        <v>102</v>
      </c>
      <c r="J481" s="9" t="s">
        <v>41</v>
      </c>
      <c r="K481" s="9" t="n">
        <v>35</v>
      </c>
      <c r="L481" s="9" t="n">
        <v>1</v>
      </c>
      <c r="M481" s="9" t="n">
        <v>0</v>
      </c>
      <c r="N481" s="9" t="s">
        <v>42</v>
      </c>
      <c r="O481" s="9" t="s">
        <v>52</v>
      </c>
      <c r="P481" s="9" t="n">
        <v>6.8</v>
      </c>
      <c r="Q481" s="9" t="n">
        <v>17</v>
      </c>
      <c r="R481" s="9" t="s">
        <v>44</v>
      </c>
      <c r="S481" s="9"/>
      <c r="T481" s="9"/>
      <c r="U481" s="9" t="str">
        <f aca="false">IF(COUNTIF($A$2:$A$5001,A481)&gt;1,"Duplicate","Unique")</f>
        <v>Unique</v>
      </c>
      <c r="V481" s="9" t="str">
        <f aca="false">IF(COUNTIFS($B$2:$B$5001,B481,$H$2:$H$5001,H481,$J$2:$J$5001,J481)&gt;1,"Possible Duplicate Booking","Unique")</f>
        <v>Unique</v>
      </c>
      <c r="W481" s="9" t="str">
        <f aca="false">IF((H481-G481)&lt;&gt;K481,"Mismatch","OK")</f>
        <v>OK</v>
      </c>
      <c r="X481" s="9" t="str">
        <f aca="false">IF(TEXT(H481,"dddd")&lt;&gt;I481,"Mismatch","OK")</f>
        <v>OK</v>
      </c>
      <c r="Y481" s="9" t="str">
        <f aca="false">IF(AND(N481="No",O481&lt;&gt;""),"Unexpected: channel present but no reminder sent",IF(AND(N481="Yes",O481=""),"Missing channel for sent reminder","OK"))</f>
        <v>OK</v>
      </c>
    </row>
    <row r="482" customFormat="false" ht="15" hidden="false" customHeight="false" outlineLevel="0" collapsed="false">
      <c r="A482" s="7" t="s">
        <v>979</v>
      </c>
      <c r="B482" s="7" t="s">
        <v>980</v>
      </c>
      <c r="C482" s="7" t="s">
        <v>236</v>
      </c>
      <c r="D482" s="7" t="n">
        <v>35</v>
      </c>
      <c r="E482" s="7" t="s">
        <v>38</v>
      </c>
      <c r="F482" s="7" t="s">
        <v>57</v>
      </c>
      <c r="G482" s="8" t="n">
        <v>45755</v>
      </c>
      <c r="H482" s="8" t="n">
        <v>45815</v>
      </c>
      <c r="I482" s="7" t="s">
        <v>102</v>
      </c>
      <c r="J482" s="7" t="s">
        <v>51</v>
      </c>
      <c r="K482" s="7" t="n">
        <v>60</v>
      </c>
      <c r="L482" s="7" t="n">
        <v>1</v>
      </c>
      <c r="M482" s="7" t="n">
        <v>0</v>
      </c>
      <c r="N482" s="7" t="s">
        <v>42</v>
      </c>
      <c r="O482" s="7" t="s">
        <v>52</v>
      </c>
      <c r="P482" s="7" t="n">
        <v>12.1</v>
      </c>
      <c r="Q482" s="7" t="n">
        <v>31</v>
      </c>
      <c r="R482" s="7" t="s">
        <v>53</v>
      </c>
      <c r="S482" s="7"/>
      <c r="T482" s="7"/>
      <c r="U482" s="7" t="str">
        <f aca="false">IF(COUNTIF($A$2:$A$5001,A482)&gt;1,"Duplicate","Unique")</f>
        <v>Unique</v>
      </c>
      <c r="V482" s="7" t="str">
        <f aca="false">IF(COUNTIFS($B$2:$B$5001,B482,$H$2:$H$5001,H482,$J$2:$J$5001,J482)&gt;1,"Possible Duplicate Booking","Unique")</f>
        <v>Unique</v>
      </c>
      <c r="W482" s="7" t="str">
        <f aca="false">IF((H482-G482)&lt;&gt;K482,"Mismatch","OK")</f>
        <v>OK</v>
      </c>
      <c r="X482" s="7" t="str">
        <f aca="false">IF(TEXT(H482,"dddd")&lt;&gt;I482,"Mismatch","OK")</f>
        <v>OK</v>
      </c>
      <c r="Y482" s="7" t="str">
        <f aca="false">IF(AND(N482="No",O482&lt;&gt;""),"Unexpected: channel present but no reminder sent",IF(AND(N482="Yes",O482=""),"Missing channel for sent reminder","OK"))</f>
        <v>OK</v>
      </c>
    </row>
    <row r="483" customFormat="false" ht="15" hidden="false" customHeight="false" outlineLevel="0" collapsed="false">
      <c r="A483" s="9" t="s">
        <v>981</v>
      </c>
      <c r="B483" s="9" t="s">
        <v>73</v>
      </c>
      <c r="C483" s="9" t="s">
        <v>47</v>
      </c>
      <c r="D483" s="9" t="n">
        <v>26</v>
      </c>
      <c r="E483" s="9" t="s">
        <v>48</v>
      </c>
      <c r="F483" s="9" t="s">
        <v>74</v>
      </c>
      <c r="G483" s="10" t="n">
        <v>46105</v>
      </c>
      <c r="H483" s="10" t="n">
        <v>46110</v>
      </c>
      <c r="I483" s="9" t="s">
        <v>75</v>
      </c>
      <c r="J483" s="9" t="s">
        <v>51</v>
      </c>
      <c r="K483" s="9" t="n">
        <v>5</v>
      </c>
      <c r="L483" s="9" t="n">
        <v>4</v>
      </c>
      <c r="M483" s="9" t="n">
        <v>0</v>
      </c>
      <c r="N483" s="9" t="s">
        <v>42</v>
      </c>
      <c r="O483" s="9" t="s">
        <v>52</v>
      </c>
      <c r="P483" s="9" t="n">
        <v>15.5</v>
      </c>
      <c r="Q483" s="9" t="n">
        <v>38</v>
      </c>
      <c r="R483" s="9" t="s">
        <v>53</v>
      </c>
      <c r="S483" s="9"/>
      <c r="T483" s="9"/>
      <c r="U483" s="9" t="str">
        <f aca="false">IF(COUNTIF($A$2:$A$5001,A483)&gt;1,"Duplicate","Unique")</f>
        <v>Unique</v>
      </c>
      <c r="V483" s="9" t="str">
        <f aca="false">IF(COUNTIFS($B$2:$B$5001,B483,$H$2:$H$5001,H483,$J$2:$J$5001,J483)&gt;1,"Possible Duplicate Booking","Unique")</f>
        <v>Unique</v>
      </c>
      <c r="W483" s="9" t="str">
        <f aca="false">IF((H483-G483)&lt;&gt;K483,"Mismatch","OK")</f>
        <v>OK</v>
      </c>
      <c r="X483" s="9" t="str">
        <f aca="false">IF(TEXT(H483,"dddd")&lt;&gt;I483,"Mismatch","OK")</f>
        <v>OK</v>
      </c>
      <c r="Y483" s="9" t="str">
        <f aca="false">IF(AND(N483="No",O483&lt;&gt;""),"Unexpected: channel present but no reminder sent",IF(AND(N483="Yes",O483=""),"Missing channel for sent reminder","OK"))</f>
        <v>OK</v>
      </c>
    </row>
    <row r="484" customFormat="false" ht="15" hidden="false" customHeight="false" outlineLevel="0" collapsed="false">
      <c r="A484" s="7" t="s">
        <v>982</v>
      </c>
      <c r="B484" s="7" t="s">
        <v>983</v>
      </c>
      <c r="C484" s="7" t="s">
        <v>47</v>
      </c>
      <c r="D484" s="7" t="n">
        <v>79</v>
      </c>
      <c r="E484" s="7" t="s">
        <v>70</v>
      </c>
      <c r="F484" s="7" t="s">
        <v>74</v>
      </c>
      <c r="G484" s="8" t="n">
        <v>45776</v>
      </c>
      <c r="H484" s="8" t="n">
        <v>45794</v>
      </c>
      <c r="I484" s="7" t="s">
        <v>102</v>
      </c>
      <c r="J484" s="7" t="s">
        <v>41</v>
      </c>
      <c r="K484" s="7" t="n">
        <v>18</v>
      </c>
      <c r="L484" s="7" t="n">
        <v>3</v>
      </c>
      <c r="M484" s="7" t="n">
        <v>0</v>
      </c>
      <c r="N484" s="7" t="s">
        <v>42</v>
      </c>
      <c r="O484" s="7" t="s">
        <v>52</v>
      </c>
      <c r="P484" s="7" t="n">
        <v>5.1</v>
      </c>
      <c r="Q484" s="7" t="n">
        <v>11</v>
      </c>
      <c r="R484" s="7" t="s">
        <v>53</v>
      </c>
      <c r="S484" s="7"/>
      <c r="T484" s="7"/>
      <c r="U484" s="7" t="str">
        <f aca="false">IF(COUNTIF($A$2:$A$5001,A484)&gt;1,"Duplicate","Unique")</f>
        <v>Unique</v>
      </c>
      <c r="V484" s="7" t="str">
        <f aca="false">IF(COUNTIFS($B$2:$B$5001,B484,$H$2:$H$5001,H484,$J$2:$J$5001,J484)&gt;1,"Possible Duplicate Booking","Unique")</f>
        <v>Unique</v>
      </c>
      <c r="W484" s="7" t="str">
        <f aca="false">IF((H484-G484)&lt;&gt;K484,"Mismatch","OK")</f>
        <v>OK</v>
      </c>
      <c r="X484" s="7" t="str">
        <f aca="false">IF(TEXT(H484,"dddd")&lt;&gt;I484,"Mismatch","OK")</f>
        <v>OK</v>
      </c>
      <c r="Y484" s="7" t="str">
        <f aca="false">IF(AND(N484="No",O484&lt;&gt;""),"Unexpected: channel present but no reminder sent",IF(AND(N484="Yes",O484=""),"Missing channel for sent reminder","OK"))</f>
        <v>OK</v>
      </c>
    </row>
    <row r="485" customFormat="false" ht="15" hidden="false" customHeight="false" outlineLevel="0" collapsed="false">
      <c r="A485" s="9" t="s">
        <v>984</v>
      </c>
      <c r="B485" s="9" t="s">
        <v>439</v>
      </c>
      <c r="C485" s="9" t="s">
        <v>47</v>
      </c>
      <c r="D485" s="9" t="n">
        <v>36</v>
      </c>
      <c r="E485" s="9" t="s">
        <v>38</v>
      </c>
      <c r="F485" s="9" t="s">
        <v>74</v>
      </c>
      <c r="G485" s="10" t="n">
        <v>46042</v>
      </c>
      <c r="H485" s="10" t="n">
        <v>46093</v>
      </c>
      <c r="I485" s="9" t="s">
        <v>62</v>
      </c>
      <c r="J485" s="9" t="s">
        <v>41</v>
      </c>
      <c r="K485" s="9" t="n">
        <v>51</v>
      </c>
      <c r="L485" s="9" t="n">
        <v>2</v>
      </c>
      <c r="M485" s="9" t="n">
        <v>0</v>
      </c>
      <c r="N485" s="9" t="s">
        <v>42</v>
      </c>
      <c r="O485" s="9" t="s">
        <v>52</v>
      </c>
      <c r="P485" s="9" t="n">
        <v>3.9</v>
      </c>
      <c r="Q485" s="9" t="n">
        <v>28</v>
      </c>
      <c r="R485" s="9" t="s">
        <v>44</v>
      </c>
      <c r="S485" s="9"/>
      <c r="T485" s="9"/>
      <c r="U485" s="9" t="str">
        <f aca="false">IF(COUNTIF($A$2:$A$5001,A485)&gt;1,"Duplicate","Unique")</f>
        <v>Unique</v>
      </c>
      <c r="V485" s="9" t="str">
        <f aca="false">IF(COUNTIFS($B$2:$B$5001,B485,$H$2:$H$5001,H485,$J$2:$J$5001,J485)&gt;1,"Possible Duplicate Booking","Unique")</f>
        <v>Unique</v>
      </c>
      <c r="W485" s="9" t="str">
        <f aca="false">IF((H485-G485)&lt;&gt;K485,"Mismatch","OK")</f>
        <v>OK</v>
      </c>
      <c r="X485" s="9" t="str">
        <f aca="false">IF(TEXT(H485,"dddd")&lt;&gt;I485,"Mismatch","OK")</f>
        <v>OK</v>
      </c>
      <c r="Y485" s="9" t="str">
        <f aca="false">IF(AND(N485="No",O485&lt;&gt;""),"Unexpected: channel present but no reminder sent",IF(AND(N485="Yes",O485=""),"Missing channel for sent reminder","OK"))</f>
        <v>OK</v>
      </c>
    </row>
    <row r="486" customFormat="false" ht="15" hidden="false" customHeight="false" outlineLevel="0" collapsed="false">
      <c r="A486" s="7" t="s">
        <v>985</v>
      </c>
      <c r="B486" s="7" t="s">
        <v>850</v>
      </c>
      <c r="C486" s="7" t="s">
        <v>47</v>
      </c>
      <c r="D486" s="7" t="n">
        <v>24</v>
      </c>
      <c r="E486" s="7" t="s">
        <v>82</v>
      </c>
      <c r="F486" s="7" t="s">
        <v>49</v>
      </c>
      <c r="G486" s="8" t="n">
        <v>45878</v>
      </c>
      <c r="H486" s="8" t="n">
        <v>45910</v>
      </c>
      <c r="I486" s="7" t="s">
        <v>58</v>
      </c>
      <c r="J486" s="7" t="s">
        <v>51</v>
      </c>
      <c r="K486" s="7" t="n">
        <v>32</v>
      </c>
      <c r="L486" s="7" t="n">
        <v>1</v>
      </c>
      <c r="M486" s="7" t="n">
        <v>0</v>
      </c>
      <c r="N486" s="7" t="s">
        <v>42</v>
      </c>
      <c r="O486" s="7" t="s">
        <v>52</v>
      </c>
      <c r="P486" s="7" t="n">
        <v>5.9</v>
      </c>
      <c r="Q486" s="7" t="n">
        <v>39</v>
      </c>
      <c r="R486" s="7" t="s">
        <v>53</v>
      </c>
      <c r="S486" s="7"/>
      <c r="T486" s="7"/>
      <c r="U486" s="7" t="str">
        <f aca="false">IF(COUNTIF($A$2:$A$5001,A486)&gt;1,"Duplicate","Unique")</f>
        <v>Unique</v>
      </c>
      <c r="V486" s="7" t="str">
        <f aca="false">IF(COUNTIFS($B$2:$B$5001,B486,$H$2:$H$5001,H486,$J$2:$J$5001,J486)&gt;1,"Possible Duplicate Booking","Unique")</f>
        <v>Unique</v>
      </c>
      <c r="W486" s="7" t="str">
        <f aca="false">IF((H486-G486)&lt;&gt;K486,"Mismatch","OK")</f>
        <v>OK</v>
      </c>
      <c r="X486" s="7" t="str">
        <f aca="false">IF(TEXT(H486,"dddd")&lt;&gt;I486,"Mismatch","OK")</f>
        <v>OK</v>
      </c>
      <c r="Y486" s="7" t="str">
        <f aca="false">IF(AND(N486="No",O486&lt;&gt;""),"Unexpected: channel present but no reminder sent",IF(AND(N486="Yes",O486=""),"Missing channel for sent reminder","OK"))</f>
        <v>OK</v>
      </c>
    </row>
    <row r="487" customFormat="false" ht="15" hidden="false" customHeight="false" outlineLevel="0" collapsed="false">
      <c r="A487" s="9" t="s">
        <v>986</v>
      </c>
      <c r="B487" s="9" t="s">
        <v>987</v>
      </c>
      <c r="C487" s="9" t="s">
        <v>37</v>
      </c>
      <c r="D487" s="9" t="n">
        <v>37</v>
      </c>
      <c r="E487" s="9" t="s">
        <v>38</v>
      </c>
      <c r="F487" s="9" t="s">
        <v>57</v>
      </c>
      <c r="G487" s="10" t="n">
        <v>45775</v>
      </c>
      <c r="H487" s="10" t="n">
        <v>45785</v>
      </c>
      <c r="I487" s="9" t="s">
        <v>62</v>
      </c>
      <c r="J487" s="9" t="s">
        <v>41</v>
      </c>
      <c r="K487" s="9" t="n">
        <v>10</v>
      </c>
      <c r="L487" s="9" t="n">
        <v>3</v>
      </c>
      <c r="M487" s="9" t="n">
        <v>0</v>
      </c>
      <c r="N487" s="9" t="s">
        <v>71</v>
      </c>
      <c r="O487" s="9"/>
      <c r="P487" s="9" t="n">
        <v>5.2</v>
      </c>
      <c r="Q487" s="9" t="n">
        <v>21</v>
      </c>
      <c r="R487" s="9" t="s">
        <v>53</v>
      </c>
      <c r="S487" s="9"/>
      <c r="T487" s="9"/>
      <c r="U487" s="9" t="str">
        <f aca="false">IF(COUNTIF($A$2:$A$5001,A487)&gt;1,"Duplicate","Unique")</f>
        <v>Unique</v>
      </c>
      <c r="V487" s="9" t="str">
        <f aca="false">IF(COUNTIFS($B$2:$B$5001,B487,$H$2:$H$5001,H487,$J$2:$J$5001,J487)&gt;1,"Possible Duplicate Booking","Unique")</f>
        <v>Unique</v>
      </c>
      <c r="W487" s="9" t="str">
        <f aca="false">IF((H487-G487)&lt;&gt;K487,"Mismatch","OK")</f>
        <v>OK</v>
      </c>
      <c r="X487" s="9" t="str">
        <f aca="false">IF(TEXT(H487,"dddd")&lt;&gt;I487,"Mismatch","OK")</f>
        <v>OK</v>
      </c>
      <c r="Y487" s="9" t="str">
        <f aca="false">IF(AND(N487="No",O487&lt;&gt;""),"Unexpected: channel present but no reminder sent",IF(AND(N487="Yes",O487=""),"Missing channel for sent reminder","OK"))</f>
        <v>OK</v>
      </c>
    </row>
    <row r="488" customFormat="false" ht="15" hidden="false" customHeight="false" outlineLevel="0" collapsed="false">
      <c r="A488" s="7" t="s">
        <v>988</v>
      </c>
      <c r="B488" s="7" t="s">
        <v>989</v>
      </c>
      <c r="C488" s="7" t="s">
        <v>37</v>
      </c>
      <c r="D488" s="7" t="n">
        <v>74</v>
      </c>
      <c r="E488" s="7" t="s">
        <v>70</v>
      </c>
      <c r="F488" s="7" t="s">
        <v>74</v>
      </c>
      <c r="G488" s="8" t="n">
        <v>45827</v>
      </c>
      <c r="H488" s="8" t="n">
        <v>45840</v>
      </c>
      <c r="I488" s="7" t="s">
        <v>58</v>
      </c>
      <c r="J488" s="7" t="s">
        <v>63</v>
      </c>
      <c r="K488" s="7" t="n">
        <v>13</v>
      </c>
      <c r="L488" s="7" t="n">
        <v>6</v>
      </c>
      <c r="M488" s="7" t="n">
        <v>2</v>
      </c>
      <c r="N488" s="7" t="s">
        <v>42</v>
      </c>
      <c r="O488" s="7" t="s">
        <v>43</v>
      </c>
      <c r="P488" s="7" t="n">
        <v>12.3</v>
      </c>
      <c r="Q488" s="7" t="n">
        <v>23</v>
      </c>
      <c r="R488" s="7" t="s">
        <v>53</v>
      </c>
      <c r="S488" s="7"/>
      <c r="T488" s="7"/>
      <c r="U488" s="7" t="str">
        <f aca="false">IF(COUNTIF($A$2:$A$5001,A488)&gt;1,"Duplicate","Unique")</f>
        <v>Unique</v>
      </c>
      <c r="V488" s="7" t="str">
        <f aca="false">IF(COUNTIFS($B$2:$B$5001,B488,$H$2:$H$5001,H488,$J$2:$J$5001,J488)&gt;1,"Possible Duplicate Booking","Unique")</f>
        <v>Unique</v>
      </c>
      <c r="W488" s="7" t="str">
        <f aca="false">IF((H488-G488)&lt;&gt;K488,"Mismatch","OK")</f>
        <v>OK</v>
      </c>
      <c r="X488" s="7" t="str">
        <f aca="false">IF(TEXT(H488,"dddd")&lt;&gt;I488,"Mismatch","OK")</f>
        <v>OK</v>
      </c>
      <c r="Y488" s="7" t="str">
        <f aca="false">IF(AND(N488="No",O488&lt;&gt;""),"Unexpected: channel present but no reminder sent",IF(AND(N488="Yes",O488=""),"Missing channel for sent reminder","OK"))</f>
        <v>OK</v>
      </c>
    </row>
    <row r="489" customFormat="false" ht="15" hidden="false" customHeight="false" outlineLevel="0" collapsed="false">
      <c r="A489" s="9" t="s">
        <v>990</v>
      </c>
      <c r="B489" s="9" t="s">
        <v>991</v>
      </c>
      <c r="C489" s="9" t="s">
        <v>37</v>
      </c>
      <c r="D489" s="9" t="n">
        <v>34</v>
      </c>
      <c r="E489" s="9" t="s">
        <v>48</v>
      </c>
      <c r="F489" s="9" t="s">
        <v>74</v>
      </c>
      <c r="G489" s="10" t="n">
        <v>45901</v>
      </c>
      <c r="H489" s="10" t="n">
        <v>45947</v>
      </c>
      <c r="I489" s="9" t="s">
        <v>50</v>
      </c>
      <c r="J489" s="9" t="s">
        <v>51</v>
      </c>
      <c r="K489" s="9" t="n">
        <v>46</v>
      </c>
      <c r="L489" s="9" t="n">
        <v>6</v>
      </c>
      <c r="M489" s="9" t="n">
        <v>1</v>
      </c>
      <c r="N489" s="9" t="s">
        <v>42</v>
      </c>
      <c r="O489" s="9" t="s">
        <v>52</v>
      </c>
      <c r="P489" s="9" t="n">
        <v>8.7</v>
      </c>
      <c r="Q489" s="9" t="n">
        <v>40</v>
      </c>
      <c r="R489" s="9" t="s">
        <v>44</v>
      </c>
      <c r="S489" s="9"/>
      <c r="T489" s="9"/>
      <c r="U489" s="9" t="str">
        <f aca="false">IF(COUNTIF($A$2:$A$5001,A489)&gt;1,"Duplicate","Unique")</f>
        <v>Unique</v>
      </c>
      <c r="V489" s="9" t="str">
        <f aca="false">IF(COUNTIFS($B$2:$B$5001,B489,$H$2:$H$5001,H489,$J$2:$J$5001,J489)&gt;1,"Possible Duplicate Booking","Unique")</f>
        <v>Unique</v>
      </c>
      <c r="W489" s="9" t="str">
        <f aca="false">IF((H489-G489)&lt;&gt;K489,"Mismatch","OK")</f>
        <v>OK</v>
      </c>
      <c r="X489" s="9" t="str">
        <f aca="false">IF(TEXT(H489,"dddd")&lt;&gt;I489,"Mismatch","OK")</f>
        <v>OK</v>
      </c>
      <c r="Y489" s="9" t="str">
        <f aca="false">IF(AND(N489="No",O489&lt;&gt;""),"Unexpected: channel present but no reminder sent",IF(AND(N489="Yes",O489=""),"Missing channel for sent reminder","OK"))</f>
        <v>OK</v>
      </c>
    </row>
    <row r="490" customFormat="false" ht="15" hidden="false" customHeight="false" outlineLevel="0" collapsed="false">
      <c r="A490" s="7" t="s">
        <v>992</v>
      </c>
      <c r="B490" s="7" t="s">
        <v>993</v>
      </c>
      <c r="C490" s="7" t="s">
        <v>47</v>
      </c>
      <c r="D490" s="7" t="n">
        <v>80</v>
      </c>
      <c r="E490" s="7" t="s">
        <v>70</v>
      </c>
      <c r="F490" s="7" t="s">
        <v>39</v>
      </c>
      <c r="G490" s="8" t="n">
        <v>46023</v>
      </c>
      <c r="H490" s="8" t="n">
        <v>46075</v>
      </c>
      <c r="I490" s="7" t="s">
        <v>75</v>
      </c>
      <c r="J490" s="7" t="s">
        <v>41</v>
      </c>
      <c r="K490" s="7" t="n">
        <v>52</v>
      </c>
      <c r="L490" s="7" t="n">
        <v>3</v>
      </c>
      <c r="M490" s="7" t="n">
        <v>0</v>
      </c>
      <c r="N490" s="7" t="s">
        <v>42</v>
      </c>
      <c r="O490" s="7" t="s">
        <v>52</v>
      </c>
      <c r="P490" s="7" t="n">
        <v>4.3</v>
      </c>
      <c r="Q490" s="7" t="n">
        <v>20</v>
      </c>
      <c r="R490" s="7" t="s">
        <v>53</v>
      </c>
      <c r="S490" s="7"/>
      <c r="T490" s="7"/>
      <c r="U490" s="7" t="str">
        <f aca="false">IF(COUNTIF($A$2:$A$5001,A490)&gt;1,"Duplicate","Unique")</f>
        <v>Unique</v>
      </c>
      <c r="V490" s="7" t="str">
        <f aca="false">IF(COUNTIFS($B$2:$B$5001,B490,$H$2:$H$5001,H490,$J$2:$J$5001,J490)&gt;1,"Possible Duplicate Booking","Unique")</f>
        <v>Unique</v>
      </c>
      <c r="W490" s="7" t="str">
        <f aca="false">IF((H490-G490)&lt;&gt;K490,"Mismatch","OK")</f>
        <v>OK</v>
      </c>
      <c r="X490" s="7" t="str">
        <f aca="false">IF(TEXT(H490,"dddd")&lt;&gt;I490,"Mismatch","OK")</f>
        <v>OK</v>
      </c>
      <c r="Y490" s="7" t="str">
        <f aca="false">IF(AND(N490="No",O490&lt;&gt;""),"Unexpected: channel present but no reminder sent",IF(AND(N490="Yes",O490=""),"Missing channel for sent reminder","OK"))</f>
        <v>OK</v>
      </c>
    </row>
    <row r="491" customFormat="false" ht="15" hidden="false" customHeight="false" outlineLevel="0" collapsed="false">
      <c r="A491" s="9" t="s">
        <v>994</v>
      </c>
      <c r="B491" s="9" t="s">
        <v>995</v>
      </c>
      <c r="C491" s="9" t="s">
        <v>47</v>
      </c>
      <c r="D491" s="9" t="n">
        <v>47</v>
      </c>
      <c r="E491" s="9" t="s">
        <v>56</v>
      </c>
      <c r="F491" s="9" t="s">
        <v>49</v>
      </c>
      <c r="G491" s="10" t="n">
        <v>45967</v>
      </c>
      <c r="H491" s="10" t="n">
        <v>45988</v>
      </c>
      <c r="I491" s="9" t="s">
        <v>62</v>
      </c>
      <c r="J491" s="9" t="s">
        <v>51</v>
      </c>
      <c r="K491" s="9" t="n">
        <v>21</v>
      </c>
      <c r="L491" s="9" t="n">
        <v>3</v>
      </c>
      <c r="M491" s="9" t="n">
        <v>1</v>
      </c>
      <c r="N491" s="9" t="s">
        <v>42</v>
      </c>
      <c r="O491" s="9" t="s">
        <v>52</v>
      </c>
      <c r="P491" s="9" t="n">
        <v>27.6</v>
      </c>
      <c r="Q491" s="9" t="n">
        <v>18</v>
      </c>
      <c r="R491" s="9" t="s">
        <v>53</v>
      </c>
      <c r="S491" s="9"/>
      <c r="T491" s="9"/>
      <c r="U491" s="9" t="str">
        <f aca="false">IF(COUNTIF($A$2:$A$5001,A491)&gt;1,"Duplicate","Unique")</f>
        <v>Unique</v>
      </c>
      <c r="V491" s="9" t="str">
        <f aca="false">IF(COUNTIFS($B$2:$B$5001,B491,$H$2:$H$5001,H491,$J$2:$J$5001,J491)&gt;1,"Possible Duplicate Booking","Unique")</f>
        <v>Unique</v>
      </c>
      <c r="W491" s="9" t="str">
        <f aca="false">IF((H491-G491)&lt;&gt;K491,"Mismatch","OK")</f>
        <v>OK</v>
      </c>
      <c r="X491" s="9" t="str">
        <f aca="false">IF(TEXT(H491,"dddd")&lt;&gt;I491,"Mismatch","OK")</f>
        <v>OK</v>
      </c>
      <c r="Y491" s="9" t="str">
        <f aca="false">IF(AND(N491="No",O491&lt;&gt;""),"Unexpected: channel present but no reminder sent",IF(AND(N491="Yes",O491=""),"Missing channel for sent reminder","OK"))</f>
        <v>OK</v>
      </c>
    </row>
    <row r="492" customFormat="false" ht="15" hidden="false" customHeight="false" outlineLevel="0" collapsed="false">
      <c r="A492" s="7" t="s">
        <v>996</v>
      </c>
      <c r="B492" s="7" t="s">
        <v>197</v>
      </c>
      <c r="C492" s="7" t="s">
        <v>37</v>
      </c>
      <c r="D492" s="7" t="n">
        <v>72</v>
      </c>
      <c r="E492" s="7" t="s">
        <v>70</v>
      </c>
      <c r="F492" s="7" t="s">
        <v>39</v>
      </c>
      <c r="G492" s="8" t="n">
        <v>46139</v>
      </c>
      <c r="H492" s="8" t="n">
        <v>46167</v>
      </c>
      <c r="I492" s="7" t="s">
        <v>66</v>
      </c>
      <c r="J492" s="7" t="s">
        <v>41</v>
      </c>
      <c r="K492" s="7" t="n">
        <v>28</v>
      </c>
      <c r="L492" s="7" t="n">
        <v>1</v>
      </c>
      <c r="M492" s="7" t="n">
        <v>0</v>
      </c>
      <c r="N492" s="7" t="s">
        <v>42</v>
      </c>
      <c r="O492" s="7" t="s">
        <v>43</v>
      </c>
      <c r="P492" s="7" t="n">
        <v>1.8</v>
      </c>
      <c r="Q492" s="7" t="n">
        <v>22</v>
      </c>
      <c r="R492" s="7" t="s">
        <v>44</v>
      </c>
      <c r="S492" s="7"/>
      <c r="T492" s="7"/>
      <c r="U492" s="7" t="str">
        <f aca="false">IF(COUNTIF($A$2:$A$5001,A492)&gt;1,"Duplicate","Unique")</f>
        <v>Unique</v>
      </c>
      <c r="V492" s="7" t="str">
        <f aca="false">IF(COUNTIFS($B$2:$B$5001,B492,$H$2:$H$5001,H492,$J$2:$J$5001,J492)&gt;1,"Possible Duplicate Booking","Unique")</f>
        <v>Unique</v>
      </c>
      <c r="W492" s="7" t="str">
        <f aca="false">IF((H492-G492)&lt;&gt;K492,"Mismatch","OK")</f>
        <v>OK</v>
      </c>
      <c r="X492" s="7" t="str">
        <f aca="false">IF(TEXT(H492,"dddd")&lt;&gt;I492,"Mismatch","OK")</f>
        <v>OK</v>
      </c>
      <c r="Y492" s="7" t="str">
        <f aca="false">IF(AND(N492="No",O492&lt;&gt;""),"Unexpected: channel present but no reminder sent",IF(AND(N492="Yes",O492=""),"Missing channel for sent reminder","OK"))</f>
        <v>OK</v>
      </c>
    </row>
    <row r="493" customFormat="false" ht="15" hidden="false" customHeight="false" outlineLevel="0" collapsed="false">
      <c r="A493" s="9" t="s">
        <v>997</v>
      </c>
      <c r="B493" s="9" t="s">
        <v>998</v>
      </c>
      <c r="C493" s="9" t="s">
        <v>37</v>
      </c>
      <c r="D493" s="9" t="n">
        <v>59</v>
      </c>
      <c r="E493" s="9" t="s">
        <v>61</v>
      </c>
      <c r="F493" s="9" t="s">
        <v>74</v>
      </c>
      <c r="G493" s="10" t="n">
        <v>46084</v>
      </c>
      <c r="H493" s="10" t="n">
        <v>46131</v>
      </c>
      <c r="I493" s="9" t="s">
        <v>75</v>
      </c>
      <c r="J493" s="9" t="s">
        <v>51</v>
      </c>
      <c r="K493" s="9" t="n">
        <v>47</v>
      </c>
      <c r="L493" s="9" t="n">
        <v>2</v>
      </c>
      <c r="M493" s="9" t="n">
        <v>0</v>
      </c>
      <c r="N493" s="9" t="s">
        <v>71</v>
      </c>
      <c r="O493" s="9"/>
      <c r="P493" s="9" t="n">
        <v>13.7</v>
      </c>
      <c r="Q493" s="9" t="n">
        <v>44</v>
      </c>
      <c r="R493" s="9" t="s">
        <v>44</v>
      </c>
      <c r="S493" s="9"/>
      <c r="T493" s="9"/>
      <c r="U493" s="9" t="str">
        <f aca="false">IF(COUNTIF($A$2:$A$5001,A493)&gt;1,"Duplicate","Unique")</f>
        <v>Unique</v>
      </c>
      <c r="V493" s="9" t="str">
        <f aca="false">IF(COUNTIFS($B$2:$B$5001,B493,$H$2:$H$5001,H493,$J$2:$J$5001,J493)&gt;1,"Possible Duplicate Booking","Unique")</f>
        <v>Unique</v>
      </c>
      <c r="W493" s="9" t="str">
        <f aca="false">IF((H493-G493)&lt;&gt;K493,"Mismatch","OK")</f>
        <v>OK</v>
      </c>
      <c r="X493" s="9" t="str">
        <f aca="false">IF(TEXT(H493,"dddd")&lt;&gt;I493,"Mismatch","OK")</f>
        <v>OK</v>
      </c>
      <c r="Y493" s="9" t="str">
        <f aca="false">IF(AND(N493="No",O493&lt;&gt;""),"Unexpected: channel present but no reminder sent",IF(AND(N493="Yes",O493=""),"Missing channel for sent reminder","OK"))</f>
        <v>OK</v>
      </c>
    </row>
    <row r="494" customFormat="false" ht="15" hidden="false" customHeight="false" outlineLevel="0" collapsed="false">
      <c r="A494" s="7" t="s">
        <v>999</v>
      </c>
      <c r="B494" s="7" t="s">
        <v>861</v>
      </c>
      <c r="C494" s="7" t="s">
        <v>47</v>
      </c>
      <c r="D494" s="7" t="n">
        <v>20</v>
      </c>
      <c r="E494" s="7" t="s">
        <v>82</v>
      </c>
      <c r="F494" s="7" t="s">
        <v>57</v>
      </c>
      <c r="G494" s="8" t="n">
        <v>46059</v>
      </c>
      <c r="H494" s="8" t="n">
        <v>46069</v>
      </c>
      <c r="I494" s="7" t="s">
        <v>66</v>
      </c>
      <c r="J494" s="7" t="s">
        <v>51</v>
      </c>
      <c r="K494" s="7" t="n">
        <v>10</v>
      </c>
      <c r="L494" s="7" t="n">
        <v>2</v>
      </c>
      <c r="M494" s="7" t="n">
        <v>1</v>
      </c>
      <c r="N494" s="7" t="s">
        <v>42</v>
      </c>
      <c r="O494" s="7" t="s">
        <v>43</v>
      </c>
      <c r="P494" s="7" t="n">
        <v>5.1</v>
      </c>
      <c r="Q494" s="7" t="n">
        <v>33</v>
      </c>
      <c r="R494" s="7" t="s">
        <v>44</v>
      </c>
      <c r="S494" s="7"/>
      <c r="T494" s="7"/>
      <c r="U494" s="7" t="str">
        <f aca="false">IF(COUNTIF($A$2:$A$5001,A494)&gt;1,"Duplicate","Unique")</f>
        <v>Unique</v>
      </c>
      <c r="V494" s="7" t="str">
        <f aca="false">IF(COUNTIFS($B$2:$B$5001,B494,$H$2:$H$5001,H494,$J$2:$J$5001,J494)&gt;1,"Possible Duplicate Booking","Unique")</f>
        <v>Unique</v>
      </c>
      <c r="W494" s="7" t="str">
        <f aca="false">IF((H494-G494)&lt;&gt;K494,"Mismatch","OK")</f>
        <v>OK</v>
      </c>
      <c r="X494" s="7" t="str">
        <f aca="false">IF(TEXT(H494,"dddd")&lt;&gt;I494,"Mismatch","OK")</f>
        <v>OK</v>
      </c>
      <c r="Y494" s="7" t="str">
        <f aca="false">IF(AND(N494="No",O494&lt;&gt;""),"Unexpected: channel present but no reminder sent",IF(AND(N494="Yes",O494=""),"Missing channel for sent reminder","OK"))</f>
        <v>OK</v>
      </c>
    </row>
    <row r="495" customFormat="false" ht="15" hidden="false" customHeight="false" outlineLevel="0" collapsed="false">
      <c r="A495" s="9" t="s">
        <v>1000</v>
      </c>
      <c r="B495" s="9" t="s">
        <v>1001</v>
      </c>
      <c r="C495" s="9" t="s">
        <v>37</v>
      </c>
      <c r="D495" s="9" t="n">
        <v>50</v>
      </c>
      <c r="E495" s="9" t="s">
        <v>56</v>
      </c>
      <c r="F495" s="9" t="s">
        <v>49</v>
      </c>
      <c r="G495" s="10" t="n">
        <v>45975</v>
      </c>
      <c r="H495" s="10" t="n">
        <v>45987</v>
      </c>
      <c r="I495" s="9" t="s">
        <v>58</v>
      </c>
      <c r="J495" s="9" t="s">
        <v>51</v>
      </c>
      <c r="K495" s="9" t="n">
        <v>12</v>
      </c>
      <c r="L495" s="9" t="n">
        <v>1</v>
      </c>
      <c r="M495" s="9" t="n">
        <v>0</v>
      </c>
      <c r="N495" s="9" t="s">
        <v>42</v>
      </c>
      <c r="O495" s="9" t="s">
        <v>67</v>
      </c>
      <c r="P495" s="9" t="n">
        <v>6.7</v>
      </c>
      <c r="Q495" s="9" t="n">
        <v>30</v>
      </c>
      <c r="R495" s="9" t="s">
        <v>53</v>
      </c>
      <c r="S495" s="9"/>
      <c r="T495" s="9"/>
      <c r="U495" s="9" t="str">
        <f aca="false">IF(COUNTIF($A$2:$A$5001,A495)&gt;1,"Duplicate","Unique")</f>
        <v>Unique</v>
      </c>
      <c r="V495" s="9" t="str">
        <f aca="false">IF(COUNTIFS($B$2:$B$5001,B495,$H$2:$H$5001,H495,$J$2:$J$5001,J495)&gt;1,"Possible Duplicate Booking","Unique")</f>
        <v>Unique</v>
      </c>
      <c r="W495" s="9" t="str">
        <f aca="false">IF((H495-G495)&lt;&gt;K495,"Mismatch","OK")</f>
        <v>OK</v>
      </c>
      <c r="X495" s="9" t="str">
        <f aca="false">IF(TEXT(H495,"dddd")&lt;&gt;I495,"Mismatch","OK")</f>
        <v>OK</v>
      </c>
      <c r="Y495" s="9" t="str">
        <f aca="false">IF(AND(N495="No",O495&lt;&gt;""),"Unexpected: channel present but no reminder sent",IF(AND(N495="Yes",O495=""),"Missing channel for sent reminder","OK"))</f>
        <v>OK</v>
      </c>
    </row>
    <row r="496" customFormat="false" ht="15" hidden="false" customHeight="false" outlineLevel="0" collapsed="false">
      <c r="A496" s="7" t="s">
        <v>1002</v>
      </c>
      <c r="B496" s="7" t="s">
        <v>1003</v>
      </c>
      <c r="C496" s="7" t="s">
        <v>37</v>
      </c>
      <c r="D496" s="7" t="n">
        <v>44</v>
      </c>
      <c r="E496" s="7" t="s">
        <v>38</v>
      </c>
      <c r="F496" s="7" t="s">
        <v>57</v>
      </c>
      <c r="G496" s="8" t="n">
        <v>45769</v>
      </c>
      <c r="H496" s="8" t="n">
        <v>45816</v>
      </c>
      <c r="I496" s="7" t="s">
        <v>75</v>
      </c>
      <c r="J496" s="7" t="s">
        <v>41</v>
      </c>
      <c r="K496" s="7" t="n">
        <v>47</v>
      </c>
      <c r="L496" s="7" t="n">
        <v>9</v>
      </c>
      <c r="M496" s="7" t="n">
        <v>2</v>
      </c>
      <c r="N496" s="7" t="s">
        <v>42</v>
      </c>
      <c r="O496" s="7" t="s">
        <v>43</v>
      </c>
      <c r="P496" s="7" t="n">
        <v>11.3</v>
      </c>
      <c r="Q496" s="7" t="n">
        <v>30</v>
      </c>
      <c r="R496" s="7" t="s">
        <v>44</v>
      </c>
      <c r="S496" s="7"/>
      <c r="T496" s="7"/>
      <c r="U496" s="7" t="str">
        <f aca="false">IF(COUNTIF($A$2:$A$5001,A496)&gt;1,"Duplicate","Unique")</f>
        <v>Unique</v>
      </c>
      <c r="V496" s="7" t="str">
        <f aca="false">IF(COUNTIFS($B$2:$B$5001,B496,$H$2:$H$5001,H496,$J$2:$J$5001,J496)&gt;1,"Possible Duplicate Booking","Unique")</f>
        <v>Unique</v>
      </c>
      <c r="W496" s="7" t="str">
        <f aca="false">IF((H496-G496)&lt;&gt;K496,"Mismatch","OK")</f>
        <v>OK</v>
      </c>
      <c r="X496" s="7" t="str">
        <f aca="false">IF(TEXT(H496,"dddd")&lt;&gt;I496,"Mismatch","OK")</f>
        <v>OK</v>
      </c>
      <c r="Y496" s="7" t="str">
        <f aca="false">IF(AND(N496="No",O496&lt;&gt;""),"Unexpected: channel present but no reminder sent",IF(AND(N496="Yes",O496=""),"Missing channel for sent reminder","OK"))</f>
        <v>OK</v>
      </c>
    </row>
    <row r="497" customFormat="false" ht="15" hidden="false" customHeight="false" outlineLevel="0" collapsed="false">
      <c r="A497" s="9" t="s">
        <v>1004</v>
      </c>
      <c r="B497" s="9" t="s">
        <v>1005</v>
      </c>
      <c r="C497" s="9" t="s">
        <v>37</v>
      </c>
      <c r="D497" s="9" t="n">
        <v>30</v>
      </c>
      <c r="E497" s="9" t="s">
        <v>48</v>
      </c>
      <c r="F497" s="9" t="s">
        <v>57</v>
      </c>
      <c r="G497" s="10" t="n">
        <v>45872</v>
      </c>
      <c r="H497" s="10" t="n">
        <v>45883</v>
      </c>
      <c r="I497" s="9" t="s">
        <v>62</v>
      </c>
      <c r="J497" s="9" t="s">
        <v>51</v>
      </c>
      <c r="K497" s="9" t="n">
        <v>11</v>
      </c>
      <c r="L497" s="9" t="n">
        <v>5</v>
      </c>
      <c r="M497" s="9" t="n">
        <v>0</v>
      </c>
      <c r="N497" s="9" t="s">
        <v>42</v>
      </c>
      <c r="O497" s="9" t="s">
        <v>52</v>
      </c>
      <c r="P497" s="9" t="n">
        <v>0.8</v>
      </c>
      <c r="Q497" s="9" t="n">
        <v>12</v>
      </c>
      <c r="R497" s="9" t="s">
        <v>53</v>
      </c>
      <c r="S497" s="9"/>
      <c r="T497" s="9"/>
      <c r="U497" s="9" t="str">
        <f aca="false">IF(COUNTIF($A$2:$A$5001,A497)&gt;1,"Duplicate","Unique")</f>
        <v>Unique</v>
      </c>
      <c r="V497" s="9" t="str">
        <f aca="false">IF(COUNTIFS($B$2:$B$5001,B497,$H$2:$H$5001,H497,$J$2:$J$5001,J497)&gt;1,"Possible Duplicate Booking","Unique")</f>
        <v>Unique</v>
      </c>
      <c r="W497" s="9" t="str">
        <f aca="false">IF((H497-G497)&lt;&gt;K497,"Mismatch","OK")</f>
        <v>OK</v>
      </c>
      <c r="X497" s="9" t="str">
        <f aca="false">IF(TEXT(H497,"dddd")&lt;&gt;I497,"Mismatch","OK")</f>
        <v>OK</v>
      </c>
      <c r="Y497" s="9" t="str">
        <f aca="false">IF(AND(N497="No",O497&lt;&gt;""),"Unexpected: channel present but no reminder sent",IF(AND(N497="Yes",O497=""),"Missing channel for sent reminder","OK"))</f>
        <v>OK</v>
      </c>
    </row>
    <row r="498" customFormat="false" ht="15" hidden="false" customHeight="false" outlineLevel="0" collapsed="false">
      <c r="A498" s="7" t="s">
        <v>1006</v>
      </c>
      <c r="B498" s="7" t="s">
        <v>1007</v>
      </c>
      <c r="C498" s="7" t="s">
        <v>47</v>
      </c>
      <c r="D498" s="7" t="n">
        <v>52</v>
      </c>
      <c r="E498" s="7" t="s">
        <v>56</v>
      </c>
      <c r="F498" s="7" t="s">
        <v>57</v>
      </c>
      <c r="G498" s="8" t="n">
        <v>45675</v>
      </c>
      <c r="H498" s="8" t="n">
        <v>45722</v>
      </c>
      <c r="I498" s="7" t="s">
        <v>62</v>
      </c>
      <c r="J498" s="7" t="s">
        <v>63</v>
      </c>
      <c r="K498" s="7" t="n">
        <v>47</v>
      </c>
      <c r="L498" s="7" t="n">
        <v>2</v>
      </c>
      <c r="M498" s="7" t="n">
        <v>0</v>
      </c>
      <c r="N498" s="7" t="s">
        <v>42</v>
      </c>
      <c r="O498" s="7" t="s">
        <v>67</v>
      </c>
      <c r="P498" s="7" t="n">
        <v>11.4</v>
      </c>
      <c r="Q498" s="7" t="n">
        <v>31</v>
      </c>
      <c r="R498" s="7" t="s">
        <v>53</v>
      </c>
      <c r="S498" s="7"/>
      <c r="T498" s="7"/>
      <c r="U498" s="7" t="str">
        <f aca="false">IF(COUNTIF($A$2:$A$5001,A498)&gt;1,"Duplicate","Unique")</f>
        <v>Unique</v>
      </c>
      <c r="V498" s="7" t="str">
        <f aca="false">IF(COUNTIFS($B$2:$B$5001,B498,$H$2:$H$5001,H498,$J$2:$J$5001,J498)&gt;1,"Possible Duplicate Booking","Unique")</f>
        <v>Unique</v>
      </c>
      <c r="W498" s="7" t="str">
        <f aca="false">IF((H498-G498)&lt;&gt;K498,"Mismatch","OK")</f>
        <v>OK</v>
      </c>
      <c r="X498" s="7" t="str">
        <f aca="false">IF(TEXT(H498,"dddd")&lt;&gt;I498,"Mismatch","OK")</f>
        <v>OK</v>
      </c>
      <c r="Y498" s="7" t="str">
        <f aca="false">IF(AND(N498="No",O498&lt;&gt;""),"Unexpected: channel present but no reminder sent",IF(AND(N498="Yes",O498=""),"Missing channel for sent reminder","OK"))</f>
        <v>OK</v>
      </c>
    </row>
    <row r="499" customFormat="false" ht="15" hidden="false" customHeight="false" outlineLevel="0" collapsed="false">
      <c r="A499" s="9" t="s">
        <v>1008</v>
      </c>
      <c r="B499" s="9" t="s">
        <v>1009</v>
      </c>
      <c r="C499" s="9" t="s">
        <v>47</v>
      </c>
      <c r="D499" s="9" t="n">
        <v>24</v>
      </c>
      <c r="E499" s="9" t="s">
        <v>82</v>
      </c>
      <c r="F499" s="9" t="s">
        <v>39</v>
      </c>
      <c r="G499" s="10" t="n">
        <v>45832</v>
      </c>
      <c r="H499" s="10" t="n">
        <v>45862</v>
      </c>
      <c r="I499" s="9" t="s">
        <v>62</v>
      </c>
      <c r="J499" s="9" t="s">
        <v>51</v>
      </c>
      <c r="K499" s="9" t="n">
        <v>30</v>
      </c>
      <c r="L499" s="9" t="n">
        <v>1</v>
      </c>
      <c r="M499" s="9" t="n">
        <v>0</v>
      </c>
      <c r="N499" s="9" t="s">
        <v>42</v>
      </c>
      <c r="O499" s="9" t="s">
        <v>52</v>
      </c>
      <c r="P499" s="9" t="n">
        <v>15</v>
      </c>
      <c r="Q499" s="9" t="n">
        <v>20</v>
      </c>
      <c r="R499" s="9" t="s">
        <v>44</v>
      </c>
      <c r="S499" s="9"/>
      <c r="T499" s="9"/>
      <c r="U499" s="9" t="str">
        <f aca="false">IF(COUNTIF($A$2:$A$5001,A499)&gt;1,"Duplicate","Unique")</f>
        <v>Unique</v>
      </c>
      <c r="V499" s="9" t="str">
        <f aca="false">IF(COUNTIFS($B$2:$B$5001,B499,$H$2:$H$5001,H499,$J$2:$J$5001,J499)&gt;1,"Possible Duplicate Booking","Unique")</f>
        <v>Unique</v>
      </c>
      <c r="W499" s="9" t="str">
        <f aca="false">IF((H499-G499)&lt;&gt;K499,"Mismatch","OK")</f>
        <v>OK</v>
      </c>
      <c r="X499" s="9" t="str">
        <f aca="false">IF(TEXT(H499,"dddd")&lt;&gt;I499,"Mismatch","OK")</f>
        <v>OK</v>
      </c>
      <c r="Y499" s="9" t="str">
        <f aca="false">IF(AND(N499="No",O499&lt;&gt;""),"Unexpected: channel present but no reminder sent",IF(AND(N499="Yes",O499=""),"Missing channel for sent reminder","OK"))</f>
        <v>OK</v>
      </c>
    </row>
    <row r="500" customFormat="false" ht="15" hidden="false" customHeight="false" outlineLevel="0" collapsed="false">
      <c r="A500" s="7" t="s">
        <v>1010</v>
      </c>
      <c r="B500" s="7" t="s">
        <v>476</v>
      </c>
      <c r="C500" s="7" t="s">
        <v>47</v>
      </c>
      <c r="D500" s="7" t="n">
        <v>61</v>
      </c>
      <c r="E500" s="7" t="s">
        <v>61</v>
      </c>
      <c r="F500" s="7" t="s">
        <v>57</v>
      </c>
      <c r="G500" s="8" t="n">
        <v>46103</v>
      </c>
      <c r="H500" s="8" t="n">
        <v>46163</v>
      </c>
      <c r="I500" s="7" t="s">
        <v>62</v>
      </c>
      <c r="J500" s="7" t="s">
        <v>41</v>
      </c>
      <c r="K500" s="7" t="n">
        <v>60</v>
      </c>
      <c r="L500" s="7" t="n">
        <v>2</v>
      </c>
      <c r="M500" s="7" t="n">
        <v>1</v>
      </c>
      <c r="N500" s="7" t="s">
        <v>42</v>
      </c>
      <c r="O500" s="7" t="s">
        <v>67</v>
      </c>
      <c r="P500" s="7" t="n">
        <v>17.7</v>
      </c>
      <c r="Q500" s="7" t="n">
        <v>22</v>
      </c>
      <c r="R500" s="7" t="s">
        <v>44</v>
      </c>
      <c r="S500" s="7"/>
      <c r="T500" s="7"/>
      <c r="U500" s="7" t="str">
        <f aca="false">IF(COUNTIF($A$2:$A$5001,A500)&gt;1,"Duplicate","Unique")</f>
        <v>Unique</v>
      </c>
      <c r="V500" s="7" t="str">
        <f aca="false">IF(COUNTIFS($B$2:$B$5001,B500,$H$2:$H$5001,H500,$J$2:$J$5001,J500)&gt;1,"Possible Duplicate Booking","Unique")</f>
        <v>Unique</v>
      </c>
      <c r="W500" s="7" t="str">
        <f aca="false">IF((H500-G500)&lt;&gt;K500,"Mismatch","OK")</f>
        <v>OK</v>
      </c>
      <c r="X500" s="7" t="str">
        <f aca="false">IF(TEXT(H500,"dddd")&lt;&gt;I500,"Mismatch","OK")</f>
        <v>OK</v>
      </c>
      <c r="Y500" s="7" t="str">
        <f aca="false">IF(AND(N500="No",O500&lt;&gt;""),"Unexpected: channel present but no reminder sent",IF(AND(N500="Yes",O500=""),"Missing channel for sent reminder","OK"))</f>
        <v>OK</v>
      </c>
    </row>
    <row r="501" customFormat="false" ht="15" hidden="false" customHeight="false" outlineLevel="0" collapsed="false">
      <c r="A501" s="9" t="s">
        <v>1011</v>
      </c>
      <c r="B501" s="9" t="s">
        <v>1012</v>
      </c>
      <c r="C501" s="9" t="s">
        <v>37</v>
      </c>
      <c r="D501" s="9" t="n">
        <v>69</v>
      </c>
      <c r="E501" s="9" t="s">
        <v>70</v>
      </c>
      <c r="F501" s="9" t="s">
        <v>74</v>
      </c>
      <c r="G501" s="10" t="n">
        <v>45888</v>
      </c>
      <c r="H501" s="10" t="n">
        <v>45890</v>
      </c>
      <c r="I501" s="9" t="s">
        <v>62</v>
      </c>
      <c r="J501" s="9" t="s">
        <v>41</v>
      </c>
      <c r="K501" s="9" t="n">
        <v>2</v>
      </c>
      <c r="L501" s="9" t="n">
        <v>3</v>
      </c>
      <c r="M501" s="9" t="n">
        <v>0</v>
      </c>
      <c r="N501" s="9" t="s">
        <v>42</v>
      </c>
      <c r="O501" s="9" t="s">
        <v>67</v>
      </c>
      <c r="P501" s="9" t="n">
        <v>4.8</v>
      </c>
      <c r="Q501" s="9" t="n">
        <v>22</v>
      </c>
      <c r="R501" s="9" t="s">
        <v>53</v>
      </c>
      <c r="S501" s="9"/>
      <c r="T501" s="9"/>
      <c r="U501" s="9" t="str">
        <f aca="false">IF(COUNTIF($A$2:$A$5001,A501)&gt;1,"Duplicate","Unique")</f>
        <v>Unique</v>
      </c>
      <c r="V501" s="9" t="str">
        <f aca="false">IF(COUNTIFS($B$2:$B$5001,B501,$H$2:$H$5001,H501,$J$2:$J$5001,J501)&gt;1,"Possible Duplicate Booking","Unique")</f>
        <v>Unique</v>
      </c>
      <c r="W501" s="9" t="str">
        <f aca="false">IF((H501-G501)&lt;&gt;K501,"Mismatch","OK")</f>
        <v>OK</v>
      </c>
      <c r="X501" s="9" t="str">
        <f aca="false">IF(TEXT(H501,"dddd")&lt;&gt;I501,"Mismatch","OK")</f>
        <v>OK</v>
      </c>
      <c r="Y501" s="9" t="str">
        <f aca="false">IF(AND(N501="No",O501&lt;&gt;""),"Unexpected: channel present but no reminder sent",IF(AND(N501="Yes",O501=""),"Missing channel for sent reminder","OK"))</f>
        <v>OK</v>
      </c>
    </row>
    <row r="502" customFormat="false" ht="15" hidden="false" customHeight="false" outlineLevel="0" collapsed="false">
      <c r="A502" s="7" t="s">
        <v>1013</v>
      </c>
      <c r="B502" s="7" t="s">
        <v>1014</v>
      </c>
      <c r="C502" s="7" t="s">
        <v>37</v>
      </c>
      <c r="D502" s="7" t="n">
        <v>23</v>
      </c>
      <c r="E502" s="7" t="s">
        <v>82</v>
      </c>
      <c r="F502" s="7" t="s">
        <v>39</v>
      </c>
      <c r="G502" s="8" t="n">
        <v>45663</v>
      </c>
      <c r="H502" s="8" t="n">
        <v>45720</v>
      </c>
      <c r="I502" s="7" t="s">
        <v>40</v>
      </c>
      <c r="J502" s="7" t="s">
        <v>51</v>
      </c>
      <c r="K502" s="7" t="n">
        <v>57</v>
      </c>
      <c r="L502" s="7" t="n">
        <v>5</v>
      </c>
      <c r="M502" s="7" t="n">
        <v>1</v>
      </c>
      <c r="N502" s="7" t="s">
        <v>42</v>
      </c>
      <c r="O502" s="7" t="s">
        <v>43</v>
      </c>
      <c r="P502" s="7" t="n">
        <v>13.7</v>
      </c>
      <c r="Q502" s="7" t="n">
        <v>35</v>
      </c>
      <c r="R502" s="7" t="s">
        <v>44</v>
      </c>
      <c r="S502" s="7"/>
      <c r="T502" s="7"/>
      <c r="U502" s="7" t="str">
        <f aca="false">IF(COUNTIF($A$2:$A$5001,A502)&gt;1,"Duplicate","Unique")</f>
        <v>Unique</v>
      </c>
      <c r="V502" s="7" t="str">
        <f aca="false">IF(COUNTIFS($B$2:$B$5001,B502,$H$2:$H$5001,H502,$J$2:$J$5001,J502)&gt;1,"Possible Duplicate Booking","Unique")</f>
        <v>Unique</v>
      </c>
      <c r="W502" s="7" t="str">
        <f aca="false">IF((H502-G502)&lt;&gt;K502,"Mismatch","OK")</f>
        <v>OK</v>
      </c>
      <c r="X502" s="7" t="str">
        <f aca="false">IF(TEXT(H502,"dddd")&lt;&gt;I502,"Mismatch","OK")</f>
        <v>OK</v>
      </c>
      <c r="Y502" s="7" t="str">
        <f aca="false">IF(AND(N502="No",O502&lt;&gt;""),"Unexpected: channel present but no reminder sent",IF(AND(N502="Yes",O502=""),"Missing channel for sent reminder","OK"))</f>
        <v>OK</v>
      </c>
    </row>
    <row r="503" customFormat="false" ht="15" hidden="false" customHeight="false" outlineLevel="0" collapsed="false">
      <c r="A503" s="9" t="s">
        <v>1015</v>
      </c>
      <c r="B503" s="9" t="s">
        <v>1016</v>
      </c>
      <c r="C503" s="9" t="s">
        <v>47</v>
      </c>
      <c r="D503" s="9" t="n">
        <v>48</v>
      </c>
      <c r="E503" s="9" t="s">
        <v>56</v>
      </c>
      <c r="F503" s="9" t="s">
        <v>74</v>
      </c>
      <c r="G503" s="10" t="n">
        <v>46000</v>
      </c>
      <c r="H503" s="10" t="n">
        <v>46013</v>
      </c>
      <c r="I503" s="9" t="s">
        <v>66</v>
      </c>
      <c r="J503" s="9" t="s">
        <v>41</v>
      </c>
      <c r="K503" s="9" t="n">
        <v>13</v>
      </c>
      <c r="L503" s="9" t="n">
        <v>5</v>
      </c>
      <c r="M503" s="9" t="n">
        <v>1</v>
      </c>
      <c r="N503" s="9" t="s">
        <v>42</v>
      </c>
      <c r="O503" s="9" t="s">
        <v>67</v>
      </c>
      <c r="P503" s="9" t="n">
        <v>16.2</v>
      </c>
      <c r="Q503" s="9" t="n">
        <v>45</v>
      </c>
      <c r="R503" s="9" t="s">
        <v>53</v>
      </c>
      <c r="S503" s="9"/>
      <c r="T503" s="9"/>
      <c r="U503" s="9" t="str">
        <f aca="false">IF(COUNTIF($A$2:$A$5001,A503)&gt;1,"Duplicate","Unique")</f>
        <v>Unique</v>
      </c>
      <c r="V503" s="9" t="str">
        <f aca="false">IF(COUNTIFS($B$2:$B$5001,B503,$H$2:$H$5001,H503,$J$2:$J$5001,J503)&gt;1,"Possible Duplicate Booking","Unique")</f>
        <v>Unique</v>
      </c>
      <c r="W503" s="9" t="str">
        <f aca="false">IF((H503-G503)&lt;&gt;K503,"Mismatch","OK")</f>
        <v>OK</v>
      </c>
      <c r="X503" s="9" t="str">
        <f aca="false">IF(TEXT(H503,"dddd")&lt;&gt;I503,"Mismatch","OK")</f>
        <v>OK</v>
      </c>
      <c r="Y503" s="9" t="str">
        <f aca="false">IF(AND(N503="No",O503&lt;&gt;""),"Unexpected: channel present but no reminder sent",IF(AND(N503="Yes",O503=""),"Missing channel for sent reminder","OK"))</f>
        <v>OK</v>
      </c>
    </row>
    <row r="504" customFormat="false" ht="15" hidden="false" customHeight="false" outlineLevel="0" collapsed="false">
      <c r="A504" s="7" t="s">
        <v>1017</v>
      </c>
      <c r="B504" s="7" t="s">
        <v>1018</v>
      </c>
      <c r="C504" s="7" t="s">
        <v>236</v>
      </c>
      <c r="D504" s="7" t="n">
        <v>59</v>
      </c>
      <c r="E504" s="7" t="s">
        <v>61</v>
      </c>
      <c r="F504" s="7" t="s">
        <v>57</v>
      </c>
      <c r="G504" s="8" t="n">
        <v>46181</v>
      </c>
      <c r="H504" s="8" t="n">
        <v>46183</v>
      </c>
      <c r="I504" s="7" t="s">
        <v>58</v>
      </c>
      <c r="J504" s="7" t="s">
        <v>41</v>
      </c>
      <c r="K504" s="7" t="n">
        <v>2</v>
      </c>
      <c r="L504" s="7" t="n">
        <v>2</v>
      </c>
      <c r="M504" s="7" t="n">
        <v>0</v>
      </c>
      <c r="N504" s="7" t="s">
        <v>42</v>
      </c>
      <c r="O504" s="7" t="s">
        <v>43</v>
      </c>
      <c r="P504" s="7" t="n">
        <v>15.8</v>
      </c>
      <c r="Q504" s="7" t="n">
        <v>15</v>
      </c>
      <c r="R504" s="7" t="s">
        <v>53</v>
      </c>
      <c r="S504" s="7"/>
      <c r="T504" s="7"/>
      <c r="U504" s="7" t="str">
        <f aca="false">IF(COUNTIF($A$2:$A$5001,A504)&gt;1,"Duplicate","Unique")</f>
        <v>Unique</v>
      </c>
      <c r="V504" s="7" t="str">
        <f aca="false">IF(COUNTIFS($B$2:$B$5001,B504,$H$2:$H$5001,H504,$J$2:$J$5001,J504)&gt;1,"Possible Duplicate Booking","Unique")</f>
        <v>Unique</v>
      </c>
      <c r="W504" s="7" t="str">
        <f aca="false">IF((H504-G504)&lt;&gt;K504,"Mismatch","OK")</f>
        <v>OK</v>
      </c>
      <c r="X504" s="7" t="str">
        <f aca="false">IF(TEXT(H504,"dddd")&lt;&gt;I504,"Mismatch","OK")</f>
        <v>OK</v>
      </c>
      <c r="Y504" s="7" t="str">
        <f aca="false">IF(AND(N504="No",O504&lt;&gt;""),"Unexpected: channel present but no reminder sent",IF(AND(N504="Yes",O504=""),"Missing channel for sent reminder","OK"))</f>
        <v>OK</v>
      </c>
    </row>
    <row r="505" customFormat="false" ht="15" hidden="false" customHeight="false" outlineLevel="0" collapsed="false">
      <c r="A505" s="9" t="s">
        <v>1019</v>
      </c>
      <c r="B505" s="9" t="s">
        <v>1020</v>
      </c>
      <c r="C505" s="9" t="s">
        <v>37</v>
      </c>
      <c r="D505" s="9" t="n">
        <v>21</v>
      </c>
      <c r="E505" s="9" t="s">
        <v>82</v>
      </c>
      <c r="F505" s="9" t="s">
        <v>57</v>
      </c>
      <c r="G505" s="10" t="n">
        <v>46087</v>
      </c>
      <c r="H505" s="10" t="n">
        <v>46131</v>
      </c>
      <c r="I505" s="9" t="s">
        <v>75</v>
      </c>
      <c r="J505" s="9" t="s">
        <v>41</v>
      </c>
      <c r="K505" s="9" t="n">
        <v>44</v>
      </c>
      <c r="L505" s="9" t="n">
        <v>3</v>
      </c>
      <c r="M505" s="9" t="n">
        <v>0</v>
      </c>
      <c r="N505" s="9" t="s">
        <v>42</v>
      </c>
      <c r="O505" s="9" t="s">
        <v>52</v>
      </c>
      <c r="P505" s="9"/>
      <c r="Q505" s="9" t="n">
        <v>36</v>
      </c>
      <c r="R505" s="9" t="s">
        <v>44</v>
      </c>
      <c r="S505" s="9"/>
      <c r="T505" s="9"/>
      <c r="U505" s="9" t="str">
        <f aca="false">IF(COUNTIF($A$2:$A$5001,A505)&gt;1,"Duplicate","Unique")</f>
        <v>Unique</v>
      </c>
      <c r="V505" s="9" t="str">
        <f aca="false">IF(COUNTIFS($B$2:$B$5001,B505,$H$2:$H$5001,H505,$J$2:$J$5001,J505)&gt;1,"Possible Duplicate Booking","Unique")</f>
        <v>Unique</v>
      </c>
      <c r="W505" s="9" t="str">
        <f aca="false">IF((H505-G505)&lt;&gt;K505,"Mismatch","OK")</f>
        <v>OK</v>
      </c>
      <c r="X505" s="9" t="str">
        <f aca="false">IF(TEXT(H505,"dddd")&lt;&gt;I505,"Mismatch","OK")</f>
        <v>OK</v>
      </c>
      <c r="Y505" s="9" t="str">
        <f aca="false">IF(AND(N505="No",O505&lt;&gt;""),"Unexpected: channel present but no reminder sent",IF(AND(N505="Yes",O505=""),"Missing channel for sent reminder","OK"))</f>
        <v>OK</v>
      </c>
    </row>
    <row r="506" customFormat="false" ht="15" hidden="false" customHeight="false" outlineLevel="0" collapsed="false">
      <c r="A506" s="7" t="s">
        <v>1021</v>
      </c>
      <c r="B506" s="7" t="s">
        <v>1022</v>
      </c>
      <c r="C506" s="7" t="s">
        <v>47</v>
      </c>
      <c r="D506" s="7" t="n">
        <v>42</v>
      </c>
      <c r="E506" s="7" t="s">
        <v>38</v>
      </c>
      <c r="F506" s="7" t="s">
        <v>49</v>
      </c>
      <c r="G506" s="8" t="n">
        <v>45775</v>
      </c>
      <c r="H506" s="8" t="n">
        <v>45807</v>
      </c>
      <c r="I506" s="7" t="s">
        <v>50</v>
      </c>
      <c r="J506" s="7" t="s">
        <v>51</v>
      </c>
      <c r="K506" s="7" t="n">
        <v>32</v>
      </c>
      <c r="L506" s="7" t="n">
        <v>2</v>
      </c>
      <c r="M506" s="7" t="n">
        <v>0</v>
      </c>
      <c r="N506" s="7" t="s">
        <v>42</v>
      </c>
      <c r="O506" s="7" t="s">
        <v>67</v>
      </c>
      <c r="P506" s="7" t="n">
        <v>18.2</v>
      </c>
      <c r="Q506" s="7" t="n">
        <v>23</v>
      </c>
      <c r="R506" s="7" t="s">
        <v>53</v>
      </c>
      <c r="S506" s="7"/>
      <c r="T506" s="7"/>
      <c r="U506" s="7" t="str">
        <f aca="false">IF(COUNTIF($A$2:$A$5001,A506)&gt;1,"Duplicate","Unique")</f>
        <v>Unique</v>
      </c>
      <c r="V506" s="7" t="str">
        <f aca="false">IF(COUNTIFS($B$2:$B$5001,B506,$H$2:$H$5001,H506,$J$2:$J$5001,J506)&gt;1,"Possible Duplicate Booking","Unique")</f>
        <v>Unique</v>
      </c>
      <c r="W506" s="7" t="str">
        <f aca="false">IF((H506-G506)&lt;&gt;K506,"Mismatch","OK")</f>
        <v>OK</v>
      </c>
      <c r="X506" s="7" t="str">
        <f aca="false">IF(TEXT(H506,"dddd")&lt;&gt;I506,"Mismatch","OK")</f>
        <v>OK</v>
      </c>
      <c r="Y506" s="7" t="str">
        <f aca="false">IF(AND(N506="No",O506&lt;&gt;""),"Unexpected: channel present but no reminder sent",IF(AND(N506="Yes",O506=""),"Missing channel for sent reminder","OK"))</f>
        <v>OK</v>
      </c>
    </row>
    <row r="507" customFormat="false" ht="15" hidden="false" customHeight="false" outlineLevel="0" collapsed="false">
      <c r="A507" s="9" t="s">
        <v>1023</v>
      </c>
      <c r="B507" s="9" t="s">
        <v>1024</v>
      </c>
      <c r="C507" s="9" t="s">
        <v>47</v>
      </c>
      <c r="D507" s="9" t="n">
        <v>34</v>
      </c>
      <c r="E507" s="9" t="s">
        <v>48</v>
      </c>
      <c r="F507" s="9" t="s">
        <v>49</v>
      </c>
      <c r="G507" s="10" t="n">
        <v>45854</v>
      </c>
      <c r="H507" s="10" t="n">
        <v>45905</v>
      </c>
      <c r="I507" s="9" t="s">
        <v>50</v>
      </c>
      <c r="J507" s="9" t="s">
        <v>41</v>
      </c>
      <c r="K507" s="9" t="n">
        <v>51</v>
      </c>
      <c r="L507" s="9" t="n">
        <v>3</v>
      </c>
      <c r="M507" s="9" t="n">
        <v>0</v>
      </c>
      <c r="N507" s="9" t="s">
        <v>42</v>
      </c>
      <c r="O507" s="9" t="s">
        <v>52</v>
      </c>
      <c r="P507" s="9" t="n">
        <v>30.3</v>
      </c>
      <c r="Q507" s="9" t="n">
        <v>33</v>
      </c>
      <c r="R507" s="9" t="s">
        <v>44</v>
      </c>
      <c r="S507" s="9"/>
      <c r="T507" s="9"/>
      <c r="U507" s="9" t="str">
        <f aca="false">IF(COUNTIF($A$2:$A$5001,A507)&gt;1,"Duplicate","Unique")</f>
        <v>Unique</v>
      </c>
      <c r="V507" s="9" t="str">
        <f aca="false">IF(COUNTIFS($B$2:$B$5001,B507,$H$2:$H$5001,H507,$J$2:$J$5001,J507)&gt;1,"Possible Duplicate Booking","Unique")</f>
        <v>Unique</v>
      </c>
      <c r="W507" s="9" t="str">
        <f aca="false">IF((H507-G507)&lt;&gt;K507,"Mismatch","OK")</f>
        <v>OK</v>
      </c>
      <c r="X507" s="9" t="str">
        <f aca="false">IF(TEXT(H507,"dddd")&lt;&gt;I507,"Mismatch","OK")</f>
        <v>OK</v>
      </c>
      <c r="Y507" s="9" t="str">
        <f aca="false">IF(AND(N507="No",O507&lt;&gt;""),"Unexpected: channel present but no reminder sent",IF(AND(N507="Yes",O507=""),"Missing channel for sent reminder","OK"))</f>
        <v>OK</v>
      </c>
    </row>
    <row r="508" customFormat="false" ht="15" hidden="false" customHeight="false" outlineLevel="0" collapsed="false">
      <c r="A508" s="7" t="s">
        <v>1025</v>
      </c>
      <c r="B508" s="7" t="s">
        <v>1026</v>
      </c>
      <c r="C508" s="7" t="s">
        <v>47</v>
      </c>
      <c r="D508" s="7" t="n">
        <v>20</v>
      </c>
      <c r="E508" s="7" t="s">
        <v>82</v>
      </c>
      <c r="F508" s="7" t="s">
        <v>39</v>
      </c>
      <c r="G508" s="8" t="n">
        <v>45941</v>
      </c>
      <c r="H508" s="8" t="n">
        <v>45947</v>
      </c>
      <c r="I508" s="7" t="s">
        <v>50</v>
      </c>
      <c r="J508" s="7" t="s">
        <v>41</v>
      </c>
      <c r="K508" s="7" t="n">
        <v>6</v>
      </c>
      <c r="L508" s="7" t="n">
        <v>2</v>
      </c>
      <c r="M508" s="7" t="n">
        <v>1</v>
      </c>
      <c r="N508" s="7" t="s">
        <v>42</v>
      </c>
      <c r="O508" s="7" t="s">
        <v>52</v>
      </c>
      <c r="P508" s="7" t="n">
        <v>8.4</v>
      </c>
      <c r="Q508" s="7" t="n">
        <v>28</v>
      </c>
      <c r="R508" s="7" t="s">
        <v>44</v>
      </c>
      <c r="S508" s="7"/>
      <c r="T508" s="7"/>
      <c r="U508" s="7" t="str">
        <f aca="false">IF(COUNTIF($A$2:$A$5001,A508)&gt;1,"Duplicate","Unique")</f>
        <v>Unique</v>
      </c>
      <c r="V508" s="7" t="str">
        <f aca="false">IF(COUNTIFS($B$2:$B$5001,B508,$H$2:$H$5001,H508,$J$2:$J$5001,J508)&gt;1,"Possible Duplicate Booking","Unique")</f>
        <v>Unique</v>
      </c>
      <c r="W508" s="7" t="str">
        <f aca="false">IF((H508-G508)&lt;&gt;K508,"Mismatch","OK")</f>
        <v>OK</v>
      </c>
      <c r="X508" s="7" t="str">
        <f aca="false">IF(TEXT(H508,"dddd")&lt;&gt;I508,"Mismatch","OK")</f>
        <v>OK</v>
      </c>
      <c r="Y508" s="7" t="str">
        <f aca="false">IF(AND(N508="No",O508&lt;&gt;""),"Unexpected: channel present but no reminder sent",IF(AND(N508="Yes",O508=""),"Missing channel for sent reminder","OK"))</f>
        <v>OK</v>
      </c>
    </row>
    <row r="509" customFormat="false" ht="15" hidden="false" customHeight="false" outlineLevel="0" collapsed="false">
      <c r="A509" s="9" t="s">
        <v>1027</v>
      </c>
      <c r="B509" s="9" t="s">
        <v>1028</v>
      </c>
      <c r="C509" s="9" t="s">
        <v>37</v>
      </c>
      <c r="D509" s="9" t="n">
        <v>68</v>
      </c>
      <c r="E509" s="9" t="s">
        <v>70</v>
      </c>
      <c r="F509" s="9" t="s">
        <v>49</v>
      </c>
      <c r="G509" s="10" t="n">
        <v>45789</v>
      </c>
      <c r="H509" s="10" t="n">
        <v>45793</v>
      </c>
      <c r="I509" s="9" t="s">
        <v>50</v>
      </c>
      <c r="J509" s="9" t="s">
        <v>51</v>
      </c>
      <c r="K509" s="9" t="n">
        <v>4</v>
      </c>
      <c r="L509" s="9" t="n">
        <v>7</v>
      </c>
      <c r="M509" s="9" t="n">
        <v>0</v>
      </c>
      <c r="N509" s="9" t="s">
        <v>42</v>
      </c>
      <c r="O509" s="9" t="s">
        <v>52</v>
      </c>
      <c r="P509" s="9" t="n">
        <v>5</v>
      </c>
      <c r="Q509" s="9" t="n">
        <v>18</v>
      </c>
      <c r="R509" s="9" t="s">
        <v>53</v>
      </c>
      <c r="S509" s="9"/>
      <c r="T509" s="9"/>
      <c r="U509" s="9" t="str">
        <f aca="false">IF(COUNTIF($A$2:$A$5001,A509)&gt;1,"Duplicate","Unique")</f>
        <v>Unique</v>
      </c>
      <c r="V509" s="9" t="str">
        <f aca="false">IF(COUNTIFS($B$2:$B$5001,B509,$H$2:$H$5001,H509,$J$2:$J$5001,J509)&gt;1,"Possible Duplicate Booking","Unique")</f>
        <v>Unique</v>
      </c>
      <c r="W509" s="9" t="str">
        <f aca="false">IF((H509-G509)&lt;&gt;K509,"Mismatch","OK")</f>
        <v>OK</v>
      </c>
      <c r="X509" s="9" t="str">
        <f aca="false">IF(TEXT(H509,"dddd")&lt;&gt;I509,"Mismatch","OK")</f>
        <v>OK</v>
      </c>
      <c r="Y509" s="9" t="str">
        <f aca="false">IF(AND(N509="No",O509&lt;&gt;""),"Unexpected: channel present but no reminder sent",IF(AND(N509="Yes",O509=""),"Missing channel for sent reminder","OK"))</f>
        <v>OK</v>
      </c>
    </row>
    <row r="510" customFormat="false" ht="15" hidden="false" customHeight="false" outlineLevel="0" collapsed="false">
      <c r="A510" s="7" t="s">
        <v>1029</v>
      </c>
      <c r="B510" s="7" t="s">
        <v>1030</v>
      </c>
      <c r="C510" s="7" t="s">
        <v>37</v>
      </c>
      <c r="D510" s="7" t="n">
        <v>46</v>
      </c>
      <c r="E510" s="7" t="s">
        <v>56</v>
      </c>
      <c r="F510" s="7" t="s">
        <v>49</v>
      </c>
      <c r="G510" s="8" t="n">
        <v>45770</v>
      </c>
      <c r="H510" s="8" t="n">
        <v>45804</v>
      </c>
      <c r="I510" s="7" t="s">
        <v>40</v>
      </c>
      <c r="J510" s="7" t="s">
        <v>41</v>
      </c>
      <c r="K510" s="7" t="n">
        <v>34</v>
      </c>
      <c r="L510" s="7" t="n">
        <v>7</v>
      </c>
      <c r="M510" s="7" t="n">
        <v>1</v>
      </c>
      <c r="N510" s="7" t="s">
        <v>42</v>
      </c>
      <c r="O510" s="7" t="s">
        <v>52</v>
      </c>
      <c r="P510" s="7" t="n">
        <v>10.2</v>
      </c>
      <c r="Q510" s="7" t="n">
        <v>18</v>
      </c>
      <c r="R510" s="7" t="s">
        <v>87</v>
      </c>
      <c r="S510" s="7"/>
      <c r="T510" s="7"/>
      <c r="U510" s="7" t="str">
        <f aca="false">IF(COUNTIF($A$2:$A$5001,A510)&gt;1,"Duplicate","Unique")</f>
        <v>Unique</v>
      </c>
      <c r="V510" s="7" t="str">
        <f aca="false">IF(COUNTIFS($B$2:$B$5001,B510,$H$2:$H$5001,H510,$J$2:$J$5001,J510)&gt;1,"Possible Duplicate Booking","Unique")</f>
        <v>Unique</v>
      </c>
      <c r="W510" s="7" t="str">
        <f aca="false">IF((H510-G510)&lt;&gt;K510,"Mismatch","OK")</f>
        <v>OK</v>
      </c>
      <c r="X510" s="7" t="str">
        <f aca="false">IF(TEXT(H510,"dddd")&lt;&gt;I510,"Mismatch","OK")</f>
        <v>OK</v>
      </c>
      <c r="Y510" s="7" t="str">
        <f aca="false">IF(AND(N510="No",O510&lt;&gt;""),"Unexpected: channel present but no reminder sent",IF(AND(N510="Yes",O510=""),"Missing channel for sent reminder","OK"))</f>
        <v>OK</v>
      </c>
    </row>
    <row r="511" customFormat="false" ht="15" hidden="false" customHeight="false" outlineLevel="0" collapsed="false">
      <c r="A511" s="9" t="s">
        <v>1031</v>
      </c>
      <c r="B511" s="9" t="s">
        <v>1032</v>
      </c>
      <c r="C511" s="9" t="s">
        <v>37</v>
      </c>
      <c r="D511" s="9" t="n">
        <v>65</v>
      </c>
      <c r="E511" s="9" t="s">
        <v>70</v>
      </c>
      <c r="F511" s="9" t="s">
        <v>39</v>
      </c>
      <c r="G511" s="10" t="n">
        <v>45734</v>
      </c>
      <c r="H511" s="10" t="n">
        <v>45787</v>
      </c>
      <c r="I511" s="9" t="s">
        <v>102</v>
      </c>
      <c r="J511" s="9" t="s">
        <v>51</v>
      </c>
      <c r="K511" s="9" t="n">
        <v>53</v>
      </c>
      <c r="L511" s="9" t="n">
        <v>5</v>
      </c>
      <c r="M511" s="9" t="n">
        <v>0</v>
      </c>
      <c r="N511" s="9" t="s">
        <v>71</v>
      </c>
      <c r="O511" s="9"/>
      <c r="P511" s="9" t="n">
        <v>6.3</v>
      </c>
      <c r="Q511" s="9" t="n">
        <v>23</v>
      </c>
      <c r="R511" s="9" t="s">
        <v>53</v>
      </c>
      <c r="S511" s="9"/>
      <c r="T511" s="9"/>
      <c r="U511" s="9" t="str">
        <f aca="false">IF(COUNTIF($A$2:$A$5001,A511)&gt;1,"Duplicate","Unique")</f>
        <v>Unique</v>
      </c>
      <c r="V511" s="9" t="str">
        <f aca="false">IF(COUNTIFS($B$2:$B$5001,B511,$H$2:$H$5001,H511,$J$2:$J$5001,J511)&gt;1,"Possible Duplicate Booking","Unique")</f>
        <v>Unique</v>
      </c>
      <c r="W511" s="9" t="str">
        <f aca="false">IF((H511-G511)&lt;&gt;K511,"Mismatch","OK")</f>
        <v>OK</v>
      </c>
      <c r="X511" s="9" t="str">
        <f aca="false">IF(TEXT(H511,"dddd")&lt;&gt;I511,"Mismatch","OK")</f>
        <v>OK</v>
      </c>
      <c r="Y511" s="9" t="str">
        <f aca="false">IF(AND(N511="No",O511&lt;&gt;""),"Unexpected: channel present but no reminder sent",IF(AND(N511="Yes",O511=""),"Missing channel for sent reminder","OK"))</f>
        <v>OK</v>
      </c>
    </row>
    <row r="512" customFormat="false" ht="15" hidden="false" customHeight="false" outlineLevel="0" collapsed="false">
      <c r="A512" s="7" t="s">
        <v>1033</v>
      </c>
      <c r="B512" s="7" t="s">
        <v>1034</v>
      </c>
      <c r="C512" s="7" t="s">
        <v>47</v>
      </c>
      <c r="D512" s="7" t="n">
        <v>54</v>
      </c>
      <c r="E512" s="7" t="s">
        <v>56</v>
      </c>
      <c r="F512" s="7" t="s">
        <v>74</v>
      </c>
      <c r="G512" s="8" t="n">
        <v>46177</v>
      </c>
      <c r="H512" s="8" t="n">
        <v>46201</v>
      </c>
      <c r="I512" s="7" t="s">
        <v>75</v>
      </c>
      <c r="J512" s="7" t="s">
        <v>41</v>
      </c>
      <c r="K512" s="7" t="n">
        <v>24</v>
      </c>
      <c r="L512" s="7" t="n">
        <v>5</v>
      </c>
      <c r="M512" s="7" t="n">
        <v>1</v>
      </c>
      <c r="N512" s="7" t="s">
        <v>71</v>
      </c>
      <c r="O512" s="7"/>
      <c r="P512" s="7" t="n">
        <v>5.8</v>
      </c>
      <c r="Q512" s="7" t="n">
        <v>29</v>
      </c>
      <c r="R512" s="7" t="s">
        <v>53</v>
      </c>
      <c r="S512" s="7"/>
      <c r="T512" s="7"/>
      <c r="U512" s="7" t="str">
        <f aca="false">IF(COUNTIF($A$2:$A$5001,A512)&gt;1,"Duplicate","Unique")</f>
        <v>Unique</v>
      </c>
      <c r="V512" s="7" t="str">
        <f aca="false">IF(COUNTIFS($B$2:$B$5001,B512,$H$2:$H$5001,H512,$J$2:$J$5001,J512)&gt;1,"Possible Duplicate Booking","Unique")</f>
        <v>Unique</v>
      </c>
      <c r="W512" s="7" t="str">
        <f aca="false">IF((H512-G512)&lt;&gt;K512,"Mismatch","OK")</f>
        <v>OK</v>
      </c>
      <c r="X512" s="7" t="str">
        <f aca="false">IF(TEXT(H512,"dddd")&lt;&gt;I512,"Mismatch","OK")</f>
        <v>OK</v>
      </c>
      <c r="Y512" s="7" t="str">
        <f aca="false">IF(AND(N512="No",O512&lt;&gt;""),"Unexpected: channel present but no reminder sent",IF(AND(N512="Yes",O512=""),"Missing channel for sent reminder","OK"))</f>
        <v>OK</v>
      </c>
    </row>
    <row r="513" customFormat="false" ht="15" hidden="false" customHeight="false" outlineLevel="0" collapsed="false">
      <c r="A513" s="9" t="s">
        <v>1035</v>
      </c>
      <c r="B513" s="9" t="s">
        <v>1036</v>
      </c>
      <c r="C513" s="9" t="s">
        <v>47</v>
      </c>
      <c r="D513" s="9" t="n">
        <v>73</v>
      </c>
      <c r="E513" s="9" t="s">
        <v>70</v>
      </c>
      <c r="F513" s="9" t="s">
        <v>49</v>
      </c>
      <c r="G513" s="10" t="n">
        <v>46017</v>
      </c>
      <c r="H513" s="10" t="n">
        <v>46065</v>
      </c>
      <c r="I513" s="9" t="s">
        <v>62</v>
      </c>
      <c r="J513" s="9" t="s">
        <v>41</v>
      </c>
      <c r="K513" s="9" t="n">
        <v>48</v>
      </c>
      <c r="L513" s="9" t="n">
        <v>4</v>
      </c>
      <c r="M513" s="9" t="n">
        <v>0</v>
      </c>
      <c r="N513" s="9" t="s">
        <v>42</v>
      </c>
      <c r="O513" s="9" t="s">
        <v>52</v>
      </c>
      <c r="P513" s="9" t="n">
        <v>24.3</v>
      </c>
      <c r="Q513" s="9" t="n">
        <v>31</v>
      </c>
      <c r="R513" s="9" t="s">
        <v>44</v>
      </c>
      <c r="S513" s="9"/>
      <c r="T513" s="9"/>
      <c r="U513" s="9" t="str">
        <f aca="false">IF(COUNTIF($A$2:$A$5001,A513)&gt;1,"Duplicate","Unique")</f>
        <v>Unique</v>
      </c>
      <c r="V513" s="9" t="str">
        <f aca="false">IF(COUNTIFS($B$2:$B$5001,B513,$H$2:$H$5001,H513,$J$2:$J$5001,J513)&gt;1,"Possible Duplicate Booking","Unique")</f>
        <v>Unique</v>
      </c>
      <c r="W513" s="9" t="str">
        <f aca="false">IF((H513-G513)&lt;&gt;K513,"Mismatch","OK")</f>
        <v>OK</v>
      </c>
      <c r="X513" s="9" t="str">
        <f aca="false">IF(TEXT(H513,"dddd")&lt;&gt;I513,"Mismatch","OK")</f>
        <v>OK</v>
      </c>
      <c r="Y513" s="9" t="str">
        <f aca="false">IF(AND(N513="No",O513&lt;&gt;""),"Unexpected: channel present but no reminder sent",IF(AND(N513="Yes",O513=""),"Missing channel for sent reminder","OK"))</f>
        <v>OK</v>
      </c>
    </row>
    <row r="514" customFormat="false" ht="15" hidden="false" customHeight="false" outlineLevel="0" collapsed="false">
      <c r="A514" s="7" t="s">
        <v>1037</v>
      </c>
      <c r="B514" s="7" t="s">
        <v>1038</v>
      </c>
      <c r="C514" s="7" t="s">
        <v>37</v>
      </c>
      <c r="D514" s="7" t="n">
        <v>80</v>
      </c>
      <c r="E514" s="7" t="s">
        <v>70</v>
      </c>
      <c r="F514" s="7" t="s">
        <v>39</v>
      </c>
      <c r="G514" s="8" t="n">
        <v>46062</v>
      </c>
      <c r="H514" s="8" t="n">
        <v>46117</v>
      </c>
      <c r="I514" s="7" t="s">
        <v>75</v>
      </c>
      <c r="J514" s="7" t="s">
        <v>63</v>
      </c>
      <c r="K514" s="7" t="n">
        <v>55</v>
      </c>
      <c r="L514" s="7" t="n">
        <v>4</v>
      </c>
      <c r="M514" s="7" t="n">
        <v>0</v>
      </c>
      <c r="N514" s="7" t="s">
        <v>42</v>
      </c>
      <c r="O514" s="7" t="s">
        <v>67</v>
      </c>
      <c r="P514" s="7" t="n">
        <v>7</v>
      </c>
      <c r="Q514" s="7" t="n">
        <v>58</v>
      </c>
      <c r="R514" s="7" t="s">
        <v>44</v>
      </c>
      <c r="S514" s="7"/>
      <c r="T514" s="7"/>
      <c r="U514" s="7" t="str">
        <f aca="false">IF(COUNTIF($A$2:$A$5001,A514)&gt;1,"Duplicate","Unique")</f>
        <v>Unique</v>
      </c>
      <c r="V514" s="7" t="str">
        <f aca="false">IF(COUNTIFS($B$2:$B$5001,B514,$H$2:$H$5001,H514,$J$2:$J$5001,J514)&gt;1,"Possible Duplicate Booking","Unique")</f>
        <v>Unique</v>
      </c>
      <c r="W514" s="7" t="str">
        <f aca="false">IF((H514-G514)&lt;&gt;K514,"Mismatch","OK")</f>
        <v>OK</v>
      </c>
      <c r="X514" s="7" t="str">
        <f aca="false">IF(TEXT(H514,"dddd")&lt;&gt;I514,"Mismatch","OK")</f>
        <v>OK</v>
      </c>
      <c r="Y514" s="7" t="str">
        <f aca="false">IF(AND(N514="No",O514&lt;&gt;""),"Unexpected: channel present but no reminder sent",IF(AND(N514="Yes",O514=""),"Missing channel for sent reminder","OK"))</f>
        <v>OK</v>
      </c>
    </row>
    <row r="515" customFormat="false" ht="15" hidden="false" customHeight="false" outlineLevel="0" collapsed="false">
      <c r="A515" s="9" t="s">
        <v>1039</v>
      </c>
      <c r="B515" s="9" t="s">
        <v>1040</v>
      </c>
      <c r="C515" s="9" t="s">
        <v>37</v>
      </c>
      <c r="D515" s="9" t="n">
        <v>55</v>
      </c>
      <c r="E515" s="9" t="s">
        <v>61</v>
      </c>
      <c r="F515" s="9" t="s">
        <v>57</v>
      </c>
      <c r="G515" s="10" t="n">
        <v>46050</v>
      </c>
      <c r="H515" s="10" t="n">
        <v>46103</v>
      </c>
      <c r="I515" s="9" t="s">
        <v>75</v>
      </c>
      <c r="J515" s="9" t="s">
        <v>51</v>
      </c>
      <c r="K515" s="9" t="n">
        <v>53</v>
      </c>
      <c r="L515" s="9" t="n">
        <v>3</v>
      </c>
      <c r="M515" s="9" t="n">
        <v>0</v>
      </c>
      <c r="N515" s="9" t="s">
        <v>71</v>
      </c>
      <c r="O515" s="9"/>
      <c r="P515" s="9" t="n">
        <v>6.8</v>
      </c>
      <c r="Q515" s="9" t="n">
        <v>31</v>
      </c>
      <c r="R515" s="9" t="s">
        <v>53</v>
      </c>
      <c r="S515" s="9"/>
      <c r="T515" s="9"/>
      <c r="U515" s="9" t="str">
        <f aca="false">IF(COUNTIF($A$2:$A$5001,A515)&gt;1,"Duplicate","Unique")</f>
        <v>Unique</v>
      </c>
      <c r="V515" s="9" t="str">
        <f aca="false">IF(COUNTIFS($B$2:$B$5001,B515,$H$2:$H$5001,H515,$J$2:$J$5001,J515)&gt;1,"Possible Duplicate Booking","Unique")</f>
        <v>Unique</v>
      </c>
      <c r="W515" s="9" t="str">
        <f aca="false">IF((H515-G515)&lt;&gt;K515,"Mismatch","OK")</f>
        <v>OK</v>
      </c>
      <c r="X515" s="9" t="str">
        <f aca="false">IF(TEXT(H515,"dddd")&lt;&gt;I515,"Mismatch","OK")</f>
        <v>OK</v>
      </c>
      <c r="Y515" s="9" t="str">
        <f aca="false">IF(AND(N515="No",O515&lt;&gt;""),"Unexpected: channel present but no reminder sent",IF(AND(N515="Yes",O515=""),"Missing channel for sent reminder","OK"))</f>
        <v>OK</v>
      </c>
    </row>
    <row r="516" customFormat="false" ht="15" hidden="false" customHeight="false" outlineLevel="0" collapsed="false">
      <c r="A516" s="7" t="s">
        <v>1041</v>
      </c>
      <c r="B516" s="7" t="s">
        <v>1042</v>
      </c>
      <c r="C516" s="7" t="s">
        <v>37</v>
      </c>
      <c r="D516" s="7" t="n">
        <v>40</v>
      </c>
      <c r="E516" s="7" t="s">
        <v>38</v>
      </c>
      <c r="F516" s="7" t="s">
        <v>57</v>
      </c>
      <c r="G516" s="8" t="n">
        <v>46150</v>
      </c>
      <c r="H516" s="8" t="n">
        <v>46181</v>
      </c>
      <c r="I516" s="7" t="s">
        <v>66</v>
      </c>
      <c r="J516" s="7" t="s">
        <v>51</v>
      </c>
      <c r="K516" s="7" t="n">
        <v>31</v>
      </c>
      <c r="L516" s="7" t="n">
        <v>4</v>
      </c>
      <c r="M516" s="7" t="n">
        <v>2</v>
      </c>
      <c r="N516" s="7" t="s">
        <v>42</v>
      </c>
      <c r="O516" s="7" t="s">
        <v>43</v>
      </c>
      <c r="P516" s="7" t="n">
        <v>5.9</v>
      </c>
      <c r="Q516" s="7" t="n">
        <v>11</v>
      </c>
      <c r="R516" s="7" t="s">
        <v>87</v>
      </c>
      <c r="S516" s="7"/>
      <c r="T516" s="7"/>
      <c r="U516" s="7" t="str">
        <f aca="false">IF(COUNTIF($A$2:$A$5001,A516)&gt;1,"Duplicate","Unique")</f>
        <v>Unique</v>
      </c>
      <c r="V516" s="7" t="str">
        <f aca="false">IF(COUNTIFS($B$2:$B$5001,B516,$H$2:$H$5001,H516,$J$2:$J$5001,J516)&gt;1,"Possible Duplicate Booking","Unique")</f>
        <v>Unique</v>
      </c>
      <c r="W516" s="7" t="str">
        <f aca="false">IF((H516-G516)&lt;&gt;K516,"Mismatch","OK")</f>
        <v>OK</v>
      </c>
      <c r="X516" s="7" t="str">
        <f aca="false">IF(TEXT(H516,"dddd")&lt;&gt;I516,"Mismatch","OK")</f>
        <v>OK</v>
      </c>
      <c r="Y516" s="7" t="str">
        <f aca="false">IF(AND(N516="No",O516&lt;&gt;""),"Unexpected: channel present but no reminder sent",IF(AND(N516="Yes",O516=""),"Missing channel for sent reminder","OK"))</f>
        <v>OK</v>
      </c>
    </row>
    <row r="517" customFormat="false" ht="15" hidden="false" customHeight="false" outlineLevel="0" collapsed="false">
      <c r="A517" s="9" t="s">
        <v>1043</v>
      </c>
      <c r="B517" s="9" t="s">
        <v>1044</v>
      </c>
      <c r="C517" s="9" t="s">
        <v>47</v>
      </c>
      <c r="D517" s="9" t="n">
        <v>44</v>
      </c>
      <c r="E517" s="9" t="s">
        <v>38</v>
      </c>
      <c r="F517" s="9" t="s">
        <v>57</v>
      </c>
      <c r="G517" s="10" t="n">
        <v>45673</v>
      </c>
      <c r="H517" s="10" t="n">
        <v>45715</v>
      </c>
      <c r="I517" s="9" t="s">
        <v>62</v>
      </c>
      <c r="J517" s="9" t="s">
        <v>51</v>
      </c>
      <c r="K517" s="9" t="n">
        <v>42</v>
      </c>
      <c r="L517" s="9" t="n">
        <v>3</v>
      </c>
      <c r="M517" s="9" t="n">
        <v>0</v>
      </c>
      <c r="N517" s="9" t="s">
        <v>42</v>
      </c>
      <c r="O517" s="9" t="s">
        <v>52</v>
      </c>
      <c r="P517" s="9" t="n">
        <v>11.1</v>
      </c>
      <c r="Q517" s="9" t="n">
        <v>39</v>
      </c>
      <c r="R517" s="9" t="s">
        <v>53</v>
      </c>
      <c r="S517" s="9"/>
      <c r="T517" s="9"/>
      <c r="U517" s="9" t="str">
        <f aca="false">IF(COUNTIF($A$2:$A$5001,A517)&gt;1,"Duplicate","Unique")</f>
        <v>Unique</v>
      </c>
      <c r="V517" s="9" t="str">
        <f aca="false">IF(COUNTIFS($B$2:$B$5001,B517,$H$2:$H$5001,H517,$J$2:$J$5001,J517)&gt;1,"Possible Duplicate Booking","Unique")</f>
        <v>Unique</v>
      </c>
      <c r="W517" s="9" t="str">
        <f aca="false">IF((H517-G517)&lt;&gt;K517,"Mismatch","OK")</f>
        <v>OK</v>
      </c>
      <c r="X517" s="9" t="str">
        <f aca="false">IF(TEXT(H517,"dddd")&lt;&gt;I517,"Mismatch","OK")</f>
        <v>OK</v>
      </c>
      <c r="Y517" s="9" t="str">
        <f aca="false">IF(AND(N517="No",O517&lt;&gt;""),"Unexpected: channel present but no reminder sent",IF(AND(N517="Yes",O517=""),"Missing channel for sent reminder","OK"))</f>
        <v>OK</v>
      </c>
    </row>
    <row r="518" customFormat="false" ht="15" hidden="false" customHeight="false" outlineLevel="0" collapsed="false">
      <c r="A518" s="7" t="s">
        <v>1045</v>
      </c>
      <c r="B518" s="7" t="s">
        <v>1046</v>
      </c>
      <c r="C518" s="7" t="s">
        <v>47</v>
      </c>
      <c r="D518" s="7" t="n">
        <v>70</v>
      </c>
      <c r="E518" s="7" t="s">
        <v>70</v>
      </c>
      <c r="F518" s="7" t="s">
        <v>49</v>
      </c>
      <c r="G518" s="8" t="n">
        <v>46107</v>
      </c>
      <c r="H518" s="8" t="n">
        <v>46139</v>
      </c>
      <c r="I518" s="7" t="s">
        <v>66</v>
      </c>
      <c r="J518" s="7" t="s">
        <v>41</v>
      </c>
      <c r="K518" s="7" t="n">
        <v>32</v>
      </c>
      <c r="L518" s="7" t="n">
        <v>2</v>
      </c>
      <c r="M518" s="7" t="n">
        <v>0</v>
      </c>
      <c r="N518" s="7" t="s">
        <v>42</v>
      </c>
      <c r="O518" s="7" t="s">
        <v>52</v>
      </c>
      <c r="P518" s="7" t="n">
        <v>12.9</v>
      </c>
      <c r="Q518" s="7" t="n">
        <v>32</v>
      </c>
      <c r="R518" s="7" t="s">
        <v>53</v>
      </c>
      <c r="S518" s="7"/>
      <c r="T518" s="7"/>
      <c r="U518" s="7" t="str">
        <f aca="false">IF(COUNTIF($A$2:$A$5001,A518)&gt;1,"Duplicate","Unique")</f>
        <v>Unique</v>
      </c>
      <c r="V518" s="7" t="str">
        <f aca="false">IF(COUNTIFS($B$2:$B$5001,B518,$H$2:$H$5001,H518,$J$2:$J$5001,J518)&gt;1,"Possible Duplicate Booking","Unique")</f>
        <v>Unique</v>
      </c>
      <c r="W518" s="7" t="str">
        <f aca="false">IF((H518-G518)&lt;&gt;K518,"Mismatch","OK")</f>
        <v>OK</v>
      </c>
      <c r="X518" s="7" t="str">
        <f aca="false">IF(TEXT(H518,"dddd")&lt;&gt;I518,"Mismatch","OK")</f>
        <v>OK</v>
      </c>
      <c r="Y518" s="7" t="str">
        <f aca="false">IF(AND(N518="No",O518&lt;&gt;""),"Unexpected: channel present but no reminder sent",IF(AND(N518="Yes",O518=""),"Missing channel for sent reminder","OK"))</f>
        <v>OK</v>
      </c>
    </row>
    <row r="519" customFormat="false" ht="15" hidden="false" customHeight="false" outlineLevel="0" collapsed="false">
      <c r="A519" s="9" t="s">
        <v>1047</v>
      </c>
      <c r="B519" s="9" t="s">
        <v>93</v>
      </c>
      <c r="C519" s="9" t="s">
        <v>37</v>
      </c>
      <c r="D519" s="9" t="n">
        <v>44</v>
      </c>
      <c r="E519" s="9" t="s">
        <v>38</v>
      </c>
      <c r="F519" s="9" t="s">
        <v>49</v>
      </c>
      <c r="G519" s="10" t="n">
        <v>45653</v>
      </c>
      <c r="H519" s="10" t="n">
        <v>45694</v>
      </c>
      <c r="I519" s="9" t="s">
        <v>62</v>
      </c>
      <c r="J519" s="9" t="s">
        <v>51</v>
      </c>
      <c r="K519" s="9" t="n">
        <v>41</v>
      </c>
      <c r="L519" s="9" t="n">
        <v>3</v>
      </c>
      <c r="M519" s="9" t="n">
        <v>1</v>
      </c>
      <c r="N519" s="9" t="s">
        <v>42</v>
      </c>
      <c r="O519" s="9" t="s">
        <v>43</v>
      </c>
      <c r="P519" s="9" t="n">
        <v>19.9</v>
      </c>
      <c r="Q519" s="9" t="n">
        <v>23</v>
      </c>
      <c r="R519" s="9" t="s">
        <v>44</v>
      </c>
      <c r="S519" s="9"/>
      <c r="T519" s="9"/>
      <c r="U519" s="9" t="str">
        <f aca="false">IF(COUNTIF($A$2:$A$5001,A519)&gt;1,"Duplicate","Unique")</f>
        <v>Unique</v>
      </c>
      <c r="V519" s="9" t="str">
        <f aca="false">IF(COUNTIFS($B$2:$B$5001,B519,$H$2:$H$5001,H519,$J$2:$J$5001,J519)&gt;1,"Possible Duplicate Booking","Unique")</f>
        <v>Unique</v>
      </c>
      <c r="W519" s="9" t="str">
        <f aca="false">IF((H519-G519)&lt;&gt;K519,"Mismatch","OK")</f>
        <v>OK</v>
      </c>
      <c r="X519" s="9" t="str">
        <f aca="false">IF(TEXT(H519,"dddd")&lt;&gt;I519,"Mismatch","OK")</f>
        <v>OK</v>
      </c>
      <c r="Y519" s="9" t="str">
        <f aca="false">IF(AND(N519="No",O519&lt;&gt;""),"Unexpected: channel present but no reminder sent",IF(AND(N519="Yes",O519=""),"Missing channel for sent reminder","OK"))</f>
        <v>OK</v>
      </c>
    </row>
    <row r="520" customFormat="false" ht="15" hidden="false" customHeight="false" outlineLevel="0" collapsed="false">
      <c r="A520" s="7" t="s">
        <v>1048</v>
      </c>
      <c r="B520" s="7" t="s">
        <v>1049</v>
      </c>
      <c r="C520" s="7" t="s">
        <v>47</v>
      </c>
      <c r="D520" s="7" t="n">
        <v>50</v>
      </c>
      <c r="E520" s="7" t="s">
        <v>56</v>
      </c>
      <c r="F520" s="7" t="s">
        <v>57</v>
      </c>
      <c r="G520" s="8" t="n">
        <v>45883</v>
      </c>
      <c r="H520" s="8" t="n">
        <v>45917</v>
      </c>
      <c r="I520" s="7" t="s">
        <v>58</v>
      </c>
      <c r="J520" s="7" t="s">
        <v>51</v>
      </c>
      <c r="K520" s="7" t="n">
        <v>34</v>
      </c>
      <c r="L520" s="7" t="n">
        <v>3</v>
      </c>
      <c r="M520" s="7" t="n">
        <v>1</v>
      </c>
      <c r="N520" s="7" t="s">
        <v>71</v>
      </c>
      <c r="O520" s="7"/>
      <c r="P520" s="7" t="n">
        <v>3.9</v>
      </c>
      <c r="Q520" s="7" t="n">
        <v>13</v>
      </c>
      <c r="R520" s="7" t="s">
        <v>53</v>
      </c>
      <c r="S520" s="7"/>
      <c r="T520" s="7"/>
      <c r="U520" s="7" t="str">
        <f aca="false">IF(COUNTIF($A$2:$A$5001,A520)&gt;1,"Duplicate","Unique")</f>
        <v>Unique</v>
      </c>
      <c r="V520" s="7" t="str">
        <f aca="false">IF(COUNTIFS($B$2:$B$5001,B520,$H$2:$H$5001,H520,$J$2:$J$5001,J520)&gt;1,"Possible Duplicate Booking","Unique")</f>
        <v>Unique</v>
      </c>
      <c r="W520" s="7" t="str">
        <f aca="false">IF((H520-G520)&lt;&gt;K520,"Mismatch","OK")</f>
        <v>OK</v>
      </c>
      <c r="X520" s="7" t="str">
        <f aca="false">IF(TEXT(H520,"dddd")&lt;&gt;I520,"Mismatch","OK")</f>
        <v>OK</v>
      </c>
      <c r="Y520" s="7" t="str">
        <f aca="false">IF(AND(N520="No",O520&lt;&gt;""),"Unexpected: channel present but no reminder sent",IF(AND(N520="Yes",O520=""),"Missing channel for sent reminder","OK"))</f>
        <v>OK</v>
      </c>
    </row>
    <row r="521" customFormat="false" ht="15" hidden="false" customHeight="false" outlineLevel="0" collapsed="false">
      <c r="A521" s="9" t="s">
        <v>1050</v>
      </c>
      <c r="B521" s="9" t="s">
        <v>1051</v>
      </c>
      <c r="C521" s="9" t="s">
        <v>47</v>
      </c>
      <c r="D521" s="9" t="n">
        <v>30</v>
      </c>
      <c r="E521" s="9" t="s">
        <v>48</v>
      </c>
      <c r="F521" s="9" t="s">
        <v>39</v>
      </c>
      <c r="G521" s="10" t="n">
        <v>45950</v>
      </c>
      <c r="H521" s="10" t="n">
        <v>45982</v>
      </c>
      <c r="I521" s="9" t="s">
        <v>50</v>
      </c>
      <c r="J521" s="9" t="s">
        <v>51</v>
      </c>
      <c r="K521" s="9" t="n">
        <v>32</v>
      </c>
      <c r="L521" s="9" t="n">
        <v>3</v>
      </c>
      <c r="M521" s="9" t="n">
        <v>0</v>
      </c>
      <c r="N521" s="9" t="s">
        <v>71</v>
      </c>
      <c r="O521" s="9"/>
      <c r="P521" s="9" t="n">
        <v>19.5</v>
      </c>
      <c r="Q521" s="9" t="n">
        <v>22</v>
      </c>
      <c r="R521" s="9" t="s">
        <v>53</v>
      </c>
      <c r="S521" s="9"/>
      <c r="T521" s="9"/>
      <c r="U521" s="9" t="str">
        <f aca="false">IF(COUNTIF($A$2:$A$5001,A521)&gt;1,"Duplicate","Unique")</f>
        <v>Unique</v>
      </c>
      <c r="V521" s="9" t="str">
        <f aca="false">IF(COUNTIFS($B$2:$B$5001,B521,$H$2:$H$5001,H521,$J$2:$J$5001,J521)&gt;1,"Possible Duplicate Booking","Unique")</f>
        <v>Unique</v>
      </c>
      <c r="W521" s="9" t="str">
        <f aca="false">IF((H521-G521)&lt;&gt;K521,"Mismatch","OK")</f>
        <v>OK</v>
      </c>
      <c r="X521" s="9" t="str">
        <f aca="false">IF(TEXT(H521,"dddd")&lt;&gt;I521,"Mismatch","OK")</f>
        <v>OK</v>
      </c>
      <c r="Y521" s="9" t="str">
        <f aca="false">IF(AND(N521="No",O521&lt;&gt;""),"Unexpected: channel present but no reminder sent",IF(AND(N521="Yes",O521=""),"Missing channel for sent reminder","OK"))</f>
        <v>OK</v>
      </c>
    </row>
    <row r="522" customFormat="false" ht="15" hidden="false" customHeight="false" outlineLevel="0" collapsed="false">
      <c r="A522" s="7" t="s">
        <v>1052</v>
      </c>
      <c r="B522" s="7" t="s">
        <v>1053</v>
      </c>
      <c r="C522" s="7" t="s">
        <v>47</v>
      </c>
      <c r="D522" s="7" t="n">
        <v>80</v>
      </c>
      <c r="E522" s="7" t="s">
        <v>70</v>
      </c>
      <c r="F522" s="7" t="s">
        <v>57</v>
      </c>
      <c r="G522" s="8" t="n">
        <v>45827</v>
      </c>
      <c r="H522" s="8" t="n">
        <v>45853</v>
      </c>
      <c r="I522" s="7" t="s">
        <v>40</v>
      </c>
      <c r="J522" s="7" t="s">
        <v>63</v>
      </c>
      <c r="K522" s="7" t="n">
        <v>26</v>
      </c>
      <c r="L522" s="7" t="n">
        <v>4</v>
      </c>
      <c r="M522" s="7" t="n">
        <v>2</v>
      </c>
      <c r="N522" s="7" t="s">
        <v>42</v>
      </c>
      <c r="O522" s="7" t="s">
        <v>52</v>
      </c>
      <c r="P522" s="7" t="n">
        <v>4.6</v>
      </c>
      <c r="Q522" s="7" t="n">
        <v>38</v>
      </c>
      <c r="R522" s="7" t="s">
        <v>44</v>
      </c>
      <c r="S522" s="7"/>
      <c r="T522" s="7"/>
      <c r="U522" s="7" t="str">
        <f aca="false">IF(COUNTIF($A$2:$A$5001,A522)&gt;1,"Duplicate","Unique")</f>
        <v>Unique</v>
      </c>
      <c r="V522" s="7" t="str">
        <f aca="false">IF(COUNTIFS($B$2:$B$5001,B522,$H$2:$H$5001,H522,$J$2:$J$5001,J522)&gt;1,"Possible Duplicate Booking","Unique")</f>
        <v>Unique</v>
      </c>
      <c r="W522" s="7" t="str">
        <f aca="false">IF((H522-G522)&lt;&gt;K522,"Mismatch","OK")</f>
        <v>OK</v>
      </c>
      <c r="X522" s="7" t="str">
        <f aca="false">IF(TEXT(H522,"dddd")&lt;&gt;I522,"Mismatch","OK")</f>
        <v>OK</v>
      </c>
      <c r="Y522" s="7" t="str">
        <f aca="false">IF(AND(N522="No",O522&lt;&gt;""),"Unexpected: channel present but no reminder sent",IF(AND(N522="Yes",O522=""),"Missing channel for sent reminder","OK"))</f>
        <v>OK</v>
      </c>
    </row>
    <row r="523" customFormat="false" ht="15" hidden="false" customHeight="false" outlineLevel="0" collapsed="false">
      <c r="A523" s="9" t="s">
        <v>1054</v>
      </c>
      <c r="B523" s="9" t="s">
        <v>544</v>
      </c>
      <c r="C523" s="9" t="s">
        <v>47</v>
      </c>
      <c r="D523" s="9" t="n">
        <v>59</v>
      </c>
      <c r="E523" s="9" t="s">
        <v>61</v>
      </c>
      <c r="F523" s="9" t="s">
        <v>57</v>
      </c>
      <c r="G523" s="10" t="n">
        <v>45698</v>
      </c>
      <c r="H523" s="10" t="n">
        <v>45737</v>
      </c>
      <c r="I523" s="9" t="s">
        <v>50</v>
      </c>
      <c r="J523" s="9" t="s">
        <v>51</v>
      </c>
      <c r="K523" s="9" t="n">
        <v>39</v>
      </c>
      <c r="L523" s="9" t="n">
        <v>0</v>
      </c>
      <c r="M523" s="9" t="n">
        <v>0</v>
      </c>
      <c r="N523" s="9" t="s">
        <v>71</v>
      </c>
      <c r="O523" s="9"/>
      <c r="P523" s="9" t="n">
        <v>3.8</v>
      </c>
      <c r="Q523" s="9" t="n">
        <v>31</v>
      </c>
      <c r="R523" s="9" t="s">
        <v>53</v>
      </c>
      <c r="S523" s="9"/>
      <c r="T523" s="9"/>
      <c r="U523" s="9" t="str">
        <f aca="false">IF(COUNTIF($A$2:$A$5001,A523)&gt;1,"Duplicate","Unique")</f>
        <v>Unique</v>
      </c>
      <c r="V523" s="9" t="str">
        <f aca="false">IF(COUNTIFS($B$2:$B$5001,B523,$H$2:$H$5001,H523,$J$2:$J$5001,J523)&gt;1,"Possible Duplicate Booking","Unique")</f>
        <v>Unique</v>
      </c>
      <c r="W523" s="9" t="str">
        <f aca="false">IF((H523-G523)&lt;&gt;K523,"Mismatch","OK")</f>
        <v>OK</v>
      </c>
      <c r="X523" s="9" t="str">
        <f aca="false">IF(TEXT(H523,"dddd")&lt;&gt;I523,"Mismatch","OK")</f>
        <v>OK</v>
      </c>
      <c r="Y523" s="9" t="str">
        <f aca="false">IF(AND(N523="No",O523&lt;&gt;""),"Unexpected: channel present but no reminder sent",IF(AND(N523="Yes",O523=""),"Missing channel for sent reminder","OK"))</f>
        <v>OK</v>
      </c>
    </row>
    <row r="524" customFormat="false" ht="15" hidden="false" customHeight="false" outlineLevel="0" collapsed="false">
      <c r="A524" s="7" t="s">
        <v>1055</v>
      </c>
      <c r="B524" s="7" t="s">
        <v>334</v>
      </c>
      <c r="C524" s="7" t="s">
        <v>37</v>
      </c>
      <c r="D524" s="7" t="n">
        <v>38</v>
      </c>
      <c r="E524" s="7" t="s">
        <v>38</v>
      </c>
      <c r="F524" s="7" t="s">
        <v>74</v>
      </c>
      <c r="G524" s="8" t="n">
        <v>45717</v>
      </c>
      <c r="H524" s="8" t="n">
        <v>45762</v>
      </c>
      <c r="I524" s="7" t="s">
        <v>40</v>
      </c>
      <c r="J524" s="7" t="s">
        <v>41</v>
      </c>
      <c r="K524" s="7" t="n">
        <v>45</v>
      </c>
      <c r="L524" s="7" t="n">
        <v>3</v>
      </c>
      <c r="M524" s="7" t="n">
        <v>1</v>
      </c>
      <c r="N524" s="7" t="s">
        <v>42</v>
      </c>
      <c r="O524" s="7" t="s">
        <v>43</v>
      </c>
      <c r="P524" s="7" t="n">
        <v>7.7</v>
      </c>
      <c r="Q524" s="7" t="n">
        <v>40</v>
      </c>
      <c r="R524" s="7" t="s">
        <v>53</v>
      </c>
      <c r="S524" s="7"/>
      <c r="T524" s="7"/>
      <c r="U524" s="7" t="str">
        <f aca="false">IF(COUNTIF($A$2:$A$5001,A524)&gt;1,"Duplicate","Unique")</f>
        <v>Unique</v>
      </c>
      <c r="V524" s="7" t="str">
        <f aca="false">IF(COUNTIFS($B$2:$B$5001,B524,$H$2:$H$5001,H524,$J$2:$J$5001,J524)&gt;1,"Possible Duplicate Booking","Unique")</f>
        <v>Unique</v>
      </c>
      <c r="W524" s="7" t="str">
        <f aca="false">IF((H524-G524)&lt;&gt;K524,"Mismatch","OK")</f>
        <v>OK</v>
      </c>
      <c r="X524" s="7" t="str">
        <f aca="false">IF(TEXT(H524,"dddd")&lt;&gt;I524,"Mismatch","OK")</f>
        <v>OK</v>
      </c>
      <c r="Y524" s="7" t="str">
        <f aca="false">IF(AND(N524="No",O524&lt;&gt;""),"Unexpected: channel present but no reminder sent",IF(AND(N524="Yes",O524=""),"Missing channel for sent reminder","OK"))</f>
        <v>OK</v>
      </c>
    </row>
    <row r="525" customFormat="false" ht="15" hidden="false" customHeight="false" outlineLevel="0" collapsed="false">
      <c r="A525" s="9" t="s">
        <v>1056</v>
      </c>
      <c r="B525" s="9" t="s">
        <v>262</v>
      </c>
      <c r="C525" s="9" t="s">
        <v>47</v>
      </c>
      <c r="D525" s="9" t="n">
        <v>54</v>
      </c>
      <c r="E525" s="9" t="s">
        <v>56</v>
      </c>
      <c r="F525" s="9" t="s">
        <v>57</v>
      </c>
      <c r="G525" s="10" t="n">
        <v>46052</v>
      </c>
      <c r="H525" s="10" t="n">
        <v>46108</v>
      </c>
      <c r="I525" s="9" t="s">
        <v>50</v>
      </c>
      <c r="J525" s="9" t="s">
        <v>51</v>
      </c>
      <c r="K525" s="9" t="n">
        <v>56</v>
      </c>
      <c r="L525" s="9" t="n">
        <v>2</v>
      </c>
      <c r="M525" s="9" t="n">
        <v>1</v>
      </c>
      <c r="N525" s="9" t="s">
        <v>42</v>
      </c>
      <c r="O525" s="9" t="s">
        <v>43</v>
      </c>
      <c r="P525" s="9" t="n">
        <v>4.2</v>
      </c>
      <c r="Q525" s="9" t="n">
        <v>40</v>
      </c>
      <c r="R525" s="9" t="s">
        <v>53</v>
      </c>
      <c r="S525" s="9"/>
      <c r="T525" s="9"/>
      <c r="U525" s="9" t="str">
        <f aca="false">IF(COUNTIF($A$2:$A$5001,A525)&gt;1,"Duplicate","Unique")</f>
        <v>Unique</v>
      </c>
      <c r="V525" s="9" t="str">
        <f aca="false">IF(COUNTIFS($B$2:$B$5001,B525,$H$2:$H$5001,H525,$J$2:$J$5001,J525)&gt;1,"Possible Duplicate Booking","Unique")</f>
        <v>Unique</v>
      </c>
      <c r="W525" s="9" t="str">
        <f aca="false">IF((H525-G525)&lt;&gt;K525,"Mismatch","OK")</f>
        <v>OK</v>
      </c>
      <c r="X525" s="9" t="str">
        <f aca="false">IF(TEXT(H525,"dddd")&lt;&gt;I525,"Mismatch","OK")</f>
        <v>OK</v>
      </c>
      <c r="Y525" s="9" t="str">
        <f aca="false">IF(AND(N525="No",O525&lt;&gt;""),"Unexpected: channel present but no reminder sent",IF(AND(N525="Yes",O525=""),"Missing channel for sent reminder","OK"))</f>
        <v>OK</v>
      </c>
    </row>
    <row r="526" customFormat="false" ht="15" hidden="false" customHeight="false" outlineLevel="0" collapsed="false">
      <c r="A526" s="7" t="s">
        <v>1057</v>
      </c>
      <c r="B526" s="7" t="s">
        <v>546</v>
      </c>
      <c r="C526" s="7" t="s">
        <v>47</v>
      </c>
      <c r="D526" s="7" t="n">
        <v>43</v>
      </c>
      <c r="E526" s="7" t="s">
        <v>38</v>
      </c>
      <c r="F526" s="7" t="s">
        <v>57</v>
      </c>
      <c r="G526" s="8" t="n">
        <v>45795</v>
      </c>
      <c r="H526" s="8" t="n">
        <v>45832</v>
      </c>
      <c r="I526" s="7" t="s">
        <v>40</v>
      </c>
      <c r="J526" s="7" t="s">
        <v>51</v>
      </c>
      <c r="K526" s="7" t="n">
        <v>37</v>
      </c>
      <c r="L526" s="7" t="n">
        <v>3</v>
      </c>
      <c r="M526" s="7" t="n">
        <v>0</v>
      </c>
      <c r="N526" s="7" t="s">
        <v>42</v>
      </c>
      <c r="O526" s="7" t="s">
        <v>52</v>
      </c>
      <c r="P526" s="7" t="n">
        <v>11.1</v>
      </c>
      <c r="Q526" s="7" t="n">
        <v>28</v>
      </c>
      <c r="R526" s="7" t="s">
        <v>53</v>
      </c>
      <c r="S526" s="7"/>
      <c r="T526" s="7"/>
      <c r="U526" s="7" t="str">
        <f aca="false">IF(COUNTIF($A$2:$A$5001,A526)&gt;1,"Duplicate","Unique")</f>
        <v>Unique</v>
      </c>
      <c r="V526" s="7" t="str">
        <f aca="false">IF(COUNTIFS($B$2:$B$5001,B526,$H$2:$H$5001,H526,$J$2:$J$5001,J526)&gt;1,"Possible Duplicate Booking","Unique")</f>
        <v>Unique</v>
      </c>
      <c r="W526" s="7" t="str">
        <f aca="false">IF((H526-G526)&lt;&gt;K526,"Mismatch","OK")</f>
        <v>OK</v>
      </c>
      <c r="X526" s="7" t="str">
        <f aca="false">IF(TEXT(H526,"dddd")&lt;&gt;I526,"Mismatch","OK")</f>
        <v>OK</v>
      </c>
      <c r="Y526" s="7" t="str">
        <f aca="false">IF(AND(N526="No",O526&lt;&gt;""),"Unexpected: channel present but no reminder sent",IF(AND(N526="Yes",O526=""),"Missing channel for sent reminder","OK"))</f>
        <v>OK</v>
      </c>
    </row>
    <row r="527" customFormat="false" ht="15" hidden="false" customHeight="false" outlineLevel="0" collapsed="false">
      <c r="A527" s="9" t="s">
        <v>1058</v>
      </c>
      <c r="B527" s="9" t="s">
        <v>1059</v>
      </c>
      <c r="C527" s="9" t="s">
        <v>47</v>
      </c>
      <c r="D527" s="9" t="n">
        <v>27</v>
      </c>
      <c r="E527" s="9" t="s">
        <v>48</v>
      </c>
      <c r="F527" s="9" t="s">
        <v>39</v>
      </c>
      <c r="G527" s="10" t="n">
        <v>45821</v>
      </c>
      <c r="H527" s="10" t="n">
        <v>45827</v>
      </c>
      <c r="I527" s="9" t="s">
        <v>62</v>
      </c>
      <c r="J527" s="9" t="s">
        <v>51</v>
      </c>
      <c r="K527" s="9" t="n">
        <v>6</v>
      </c>
      <c r="L527" s="9" t="n">
        <v>4</v>
      </c>
      <c r="M527" s="9" t="n">
        <v>1</v>
      </c>
      <c r="N527" s="9" t="s">
        <v>71</v>
      </c>
      <c r="O527" s="9"/>
      <c r="P527" s="9" t="n">
        <v>5.7</v>
      </c>
      <c r="Q527" s="9" t="n">
        <v>2</v>
      </c>
      <c r="R527" s="9" t="s">
        <v>44</v>
      </c>
      <c r="S527" s="9"/>
      <c r="T527" s="9"/>
      <c r="U527" s="9" t="str">
        <f aca="false">IF(COUNTIF($A$2:$A$5001,A527)&gt;1,"Duplicate","Unique")</f>
        <v>Unique</v>
      </c>
      <c r="V527" s="9" t="str">
        <f aca="false">IF(COUNTIFS($B$2:$B$5001,B527,$H$2:$H$5001,H527,$J$2:$J$5001,J527)&gt;1,"Possible Duplicate Booking","Unique")</f>
        <v>Unique</v>
      </c>
      <c r="W527" s="9" t="str">
        <f aca="false">IF((H527-G527)&lt;&gt;K527,"Mismatch","OK")</f>
        <v>OK</v>
      </c>
      <c r="X527" s="9" t="str">
        <f aca="false">IF(TEXT(H527,"dddd")&lt;&gt;I527,"Mismatch","OK")</f>
        <v>OK</v>
      </c>
      <c r="Y527" s="9" t="str">
        <f aca="false">IF(AND(N527="No",O527&lt;&gt;""),"Unexpected: channel present but no reminder sent",IF(AND(N527="Yes",O527=""),"Missing channel for sent reminder","OK"))</f>
        <v>OK</v>
      </c>
    </row>
    <row r="528" customFormat="false" ht="15" hidden="false" customHeight="false" outlineLevel="0" collapsed="false">
      <c r="A528" s="7" t="s">
        <v>1060</v>
      </c>
      <c r="B528" s="7" t="s">
        <v>1061</v>
      </c>
      <c r="C528" s="7" t="s">
        <v>47</v>
      </c>
      <c r="D528" s="7" t="n">
        <v>73</v>
      </c>
      <c r="E528" s="7" t="s">
        <v>70</v>
      </c>
      <c r="F528" s="7" t="s">
        <v>57</v>
      </c>
      <c r="G528" s="8" t="n">
        <v>46127</v>
      </c>
      <c r="H528" s="8" t="n">
        <v>46162</v>
      </c>
      <c r="I528" s="7" t="s">
        <v>58</v>
      </c>
      <c r="J528" s="7" t="s">
        <v>51</v>
      </c>
      <c r="K528" s="7" t="n">
        <v>35</v>
      </c>
      <c r="L528" s="7" t="n">
        <v>0</v>
      </c>
      <c r="M528" s="7" t="n">
        <v>0</v>
      </c>
      <c r="N528" s="7" t="s">
        <v>71</v>
      </c>
      <c r="O528" s="7"/>
      <c r="P528" s="7" t="n">
        <v>15.2</v>
      </c>
      <c r="Q528" s="7" t="n">
        <v>15</v>
      </c>
      <c r="R528" s="7" t="s">
        <v>53</v>
      </c>
      <c r="S528" s="7"/>
      <c r="T528" s="7"/>
      <c r="U528" s="7" t="str">
        <f aca="false">IF(COUNTIF($A$2:$A$5001,A528)&gt;1,"Duplicate","Unique")</f>
        <v>Unique</v>
      </c>
      <c r="V528" s="7" t="str">
        <f aca="false">IF(COUNTIFS($B$2:$B$5001,B528,$H$2:$H$5001,H528,$J$2:$J$5001,J528)&gt;1,"Possible Duplicate Booking","Unique")</f>
        <v>Unique</v>
      </c>
      <c r="W528" s="7" t="str">
        <f aca="false">IF((H528-G528)&lt;&gt;K528,"Mismatch","OK")</f>
        <v>OK</v>
      </c>
      <c r="X528" s="7" t="str">
        <f aca="false">IF(TEXT(H528,"dddd")&lt;&gt;I528,"Mismatch","OK")</f>
        <v>OK</v>
      </c>
      <c r="Y528" s="7" t="str">
        <f aca="false">IF(AND(N528="No",O528&lt;&gt;""),"Unexpected: channel present but no reminder sent",IF(AND(N528="Yes",O528=""),"Missing channel for sent reminder","OK"))</f>
        <v>OK</v>
      </c>
    </row>
    <row r="529" customFormat="false" ht="15" hidden="false" customHeight="false" outlineLevel="0" collapsed="false">
      <c r="A529" s="9" t="s">
        <v>1062</v>
      </c>
      <c r="B529" s="9" t="s">
        <v>1016</v>
      </c>
      <c r="C529" s="9" t="s">
        <v>37</v>
      </c>
      <c r="D529" s="9" t="n">
        <v>73</v>
      </c>
      <c r="E529" s="9" t="s">
        <v>70</v>
      </c>
      <c r="F529" s="9" t="s">
        <v>49</v>
      </c>
      <c r="G529" s="10" t="n">
        <v>45717</v>
      </c>
      <c r="H529" s="10" t="n">
        <v>45736</v>
      </c>
      <c r="I529" s="9" t="s">
        <v>62</v>
      </c>
      <c r="J529" s="9" t="s">
        <v>41</v>
      </c>
      <c r="K529" s="9" t="n">
        <v>19</v>
      </c>
      <c r="L529" s="9" t="n">
        <v>2</v>
      </c>
      <c r="M529" s="9" t="n">
        <v>0</v>
      </c>
      <c r="N529" s="9" t="s">
        <v>42</v>
      </c>
      <c r="O529" s="9" t="s">
        <v>67</v>
      </c>
      <c r="P529" s="9" t="n">
        <v>12.3</v>
      </c>
      <c r="Q529" s="9" t="n">
        <v>8</v>
      </c>
      <c r="R529" s="9" t="s">
        <v>53</v>
      </c>
      <c r="S529" s="9"/>
      <c r="T529" s="9"/>
      <c r="U529" s="9" t="str">
        <f aca="false">IF(COUNTIF($A$2:$A$5001,A529)&gt;1,"Duplicate","Unique")</f>
        <v>Unique</v>
      </c>
      <c r="V529" s="9" t="str">
        <f aca="false">IF(COUNTIFS($B$2:$B$5001,B529,$H$2:$H$5001,H529,$J$2:$J$5001,J529)&gt;1,"Possible Duplicate Booking","Unique")</f>
        <v>Unique</v>
      </c>
      <c r="W529" s="9" t="str">
        <f aca="false">IF((H529-G529)&lt;&gt;K529,"Mismatch","OK")</f>
        <v>OK</v>
      </c>
      <c r="X529" s="9" t="str">
        <f aca="false">IF(TEXT(H529,"dddd")&lt;&gt;I529,"Mismatch","OK")</f>
        <v>OK</v>
      </c>
      <c r="Y529" s="9" t="str">
        <f aca="false">IF(AND(N529="No",O529&lt;&gt;""),"Unexpected: channel present but no reminder sent",IF(AND(N529="Yes",O529=""),"Missing channel for sent reminder","OK"))</f>
        <v>OK</v>
      </c>
    </row>
    <row r="530" customFormat="false" ht="15" hidden="false" customHeight="false" outlineLevel="0" collapsed="false">
      <c r="A530" s="7" t="s">
        <v>1063</v>
      </c>
      <c r="B530" s="7" t="s">
        <v>195</v>
      </c>
      <c r="C530" s="7" t="s">
        <v>47</v>
      </c>
      <c r="D530" s="7" t="n">
        <v>70</v>
      </c>
      <c r="E530" s="7" t="s">
        <v>70</v>
      </c>
      <c r="F530" s="7" t="s">
        <v>74</v>
      </c>
      <c r="G530" s="8" t="n">
        <v>46156</v>
      </c>
      <c r="H530" s="8" t="n">
        <v>46157</v>
      </c>
      <c r="I530" s="7" t="s">
        <v>50</v>
      </c>
      <c r="J530" s="7" t="s">
        <v>51</v>
      </c>
      <c r="K530" s="7" t="n">
        <v>1</v>
      </c>
      <c r="L530" s="7" t="n">
        <v>7</v>
      </c>
      <c r="M530" s="7" t="n">
        <v>1</v>
      </c>
      <c r="N530" s="7" t="s">
        <v>42</v>
      </c>
      <c r="O530" s="7" t="s">
        <v>52</v>
      </c>
      <c r="P530" s="7" t="n">
        <v>13</v>
      </c>
      <c r="Q530" s="7" t="n">
        <v>41</v>
      </c>
      <c r="R530" s="7" t="s">
        <v>53</v>
      </c>
      <c r="S530" s="7"/>
      <c r="T530" s="7"/>
      <c r="U530" s="7" t="str">
        <f aca="false">IF(COUNTIF($A$2:$A$5001,A530)&gt;1,"Duplicate","Unique")</f>
        <v>Unique</v>
      </c>
      <c r="V530" s="7" t="str">
        <f aca="false">IF(COUNTIFS($B$2:$B$5001,B530,$H$2:$H$5001,H530,$J$2:$J$5001,J530)&gt;1,"Possible Duplicate Booking","Unique")</f>
        <v>Unique</v>
      </c>
      <c r="W530" s="7" t="str">
        <f aca="false">IF((H530-G530)&lt;&gt;K530,"Mismatch","OK")</f>
        <v>OK</v>
      </c>
      <c r="X530" s="7" t="str">
        <f aca="false">IF(TEXT(H530,"dddd")&lt;&gt;I530,"Mismatch","OK")</f>
        <v>OK</v>
      </c>
      <c r="Y530" s="7" t="str">
        <f aca="false">IF(AND(N530="No",O530&lt;&gt;""),"Unexpected: channel present but no reminder sent",IF(AND(N530="Yes",O530=""),"Missing channel for sent reminder","OK"))</f>
        <v>OK</v>
      </c>
    </row>
    <row r="531" customFormat="false" ht="15" hidden="false" customHeight="false" outlineLevel="0" collapsed="false">
      <c r="A531" s="9" t="s">
        <v>1064</v>
      </c>
      <c r="B531" s="9" t="s">
        <v>308</v>
      </c>
      <c r="C531" s="9" t="s">
        <v>47</v>
      </c>
      <c r="D531" s="9" t="n">
        <v>41</v>
      </c>
      <c r="E531" s="9" t="s">
        <v>38</v>
      </c>
      <c r="F531" s="9" t="s">
        <v>39</v>
      </c>
      <c r="G531" s="10" t="n">
        <v>46156</v>
      </c>
      <c r="H531" s="10" t="n">
        <v>46160</v>
      </c>
      <c r="I531" s="9" t="s">
        <v>66</v>
      </c>
      <c r="J531" s="9" t="s">
        <v>51</v>
      </c>
      <c r="K531" s="9" t="n">
        <v>4</v>
      </c>
      <c r="L531" s="9" t="n">
        <v>1</v>
      </c>
      <c r="M531" s="9" t="n">
        <v>1</v>
      </c>
      <c r="N531" s="9" t="s">
        <v>42</v>
      </c>
      <c r="O531" s="9" t="s">
        <v>52</v>
      </c>
      <c r="P531" s="9" t="n">
        <v>10.4</v>
      </c>
      <c r="Q531" s="9" t="n">
        <v>31</v>
      </c>
      <c r="R531" s="9" t="s">
        <v>53</v>
      </c>
      <c r="S531" s="9"/>
      <c r="T531" s="9"/>
      <c r="U531" s="9" t="str">
        <f aca="false">IF(COUNTIF($A$2:$A$5001,A531)&gt;1,"Duplicate","Unique")</f>
        <v>Unique</v>
      </c>
      <c r="V531" s="9" t="str">
        <f aca="false">IF(COUNTIFS($B$2:$B$5001,B531,$H$2:$H$5001,H531,$J$2:$J$5001,J531)&gt;1,"Possible Duplicate Booking","Unique")</f>
        <v>Unique</v>
      </c>
      <c r="W531" s="9" t="str">
        <f aca="false">IF((H531-G531)&lt;&gt;K531,"Mismatch","OK")</f>
        <v>OK</v>
      </c>
      <c r="X531" s="9" t="str">
        <f aca="false">IF(TEXT(H531,"dddd")&lt;&gt;I531,"Mismatch","OK")</f>
        <v>OK</v>
      </c>
      <c r="Y531" s="9" t="str">
        <f aca="false">IF(AND(N531="No",O531&lt;&gt;""),"Unexpected: channel present but no reminder sent",IF(AND(N531="Yes",O531=""),"Missing channel for sent reminder","OK"))</f>
        <v>OK</v>
      </c>
    </row>
    <row r="532" customFormat="false" ht="15" hidden="false" customHeight="false" outlineLevel="0" collapsed="false">
      <c r="A532" s="7" t="s">
        <v>1065</v>
      </c>
      <c r="B532" s="7" t="s">
        <v>221</v>
      </c>
      <c r="C532" s="7" t="s">
        <v>37</v>
      </c>
      <c r="D532" s="7" t="n">
        <v>34</v>
      </c>
      <c r="E532" s="7" t="s">
        <v>48</v>
      </c>
      <c r="F532" s="7" t="s">
        <v>39</v>
      </c>
      <c r="G532" s="8" t="n">
        <v>45948</v>
      </c>
      <c r="H532" s="8" t="n">
        <v>45984</v>
      </c>
      <c r="I532" s="7" t="s">
        <v>75</v>
      </c>
      <c r="J532" s="7" t="s">
        <v>51</v>
      </c>
      <c r="K532" s="7" t="n">
        <v>36</v>
      </c>
      <c r="L532" s="7" t="n">
        <v>2</v>
      </c>
      <c r="M532" s="7" t="n">
        <v>0</v>
      </c>
      <c r="N532" s="7" t="s">
        <v>42</v>
      </c>
      <c r="O532" s="7" t="s">
        <v>43</v>
      </c>
      <c r="P532" s="7" t="n">
        <v>10.2</v>
      </c>
      <c r="Q532" s="7" t="n">
        <v>23</v>
      </c>
      <c r="R532" s="7" t="s">
        <v>44</v>
      </c>
      <c r="S532" s="7"/>
      <c r="T532" s="7"/>
      <c r="U532" s="7" t="str">
        <f aca="false">IF(COUNTIF($A$2:$A$5001,A532)&gt;1,"Duplicate","Unique")</f>
        <v>Unique</v>
      </c>
      <c r="V532" s="7" t="str">
        <f aca="false">IF(COUNTIFS($B$2:$B$5001,B532,$H$2:$H$5001,H532,$J$2:$J$5001,J532)&gt;1,"Possible Duplicate Booking","Unique")</f>
        <v>Unique</v>
      </c>
      <c r="W532" s="7" t="str">
        <f aca="false">IF((H532-G532)&lt;&gt;K532,"Mismatch","OK")</f>
        <v>OK</v>
      </c>
      <c r="X532" s="7" t="str">
        <f aca="false">IF(TEXT(H532,"dddd")&lt;&gt;I532,"Mismatch","OK")</f>
        <v>OK</v>
      </c>
      <c r="Y532" s="7" t="str">
        <f aca="false">IF(AND(N532="No",O532&lt;&gt;""),"Unexpected: channel present but no reminder sent",IF(AND(N532="Yes",O532=""),"Missing channel for sent reminder","OK"))</f>
        <v>OK</v>
      </c>
    </row>
    <row r="533" customFormat="false" ht="15" hidden="false" customHeight="false" outlineLevel="0" collapsed="false">
      <c r="A533" s="9" t="s">
        <v>1066</v>
      </c>
      <c r="B533" s="9" t="s">
        <v>907</v>
      </c>
      <c r="C533" s="9" t="s">
        <v>47</v>
      </c>
      <c r="D533" s="9" t="n">
        <v>21</v>
      </c>
      <c r="E533" s="9" t="s">
        <v>82</v>
      </c>
      <c r="F533" s="9" t="s">
        <v>57</v>
      </c>
      <c r="G533" s="10" t="n">
        <v>45691</v>
      </c>
      <c r="H533" s="10" t="n">
        <v>45748</v>
      </c>
      <c r="I533" s="9" t="s">
        <v>40</v>
      </c>
      <c r="J533" s="9" t="s">
        <v>51</v>
      </c>
      <c r="K533" s="9" t="n">
        <v>57</v>
      </c>
      <c r="L533" s="9" t="n">
        <v>3</v>
      </c>
      <c r="M533" s="9" t="n">
        <v>0</v>
      </c>
      <c r="N533" s="9" t="s">
        <v>42</v>
      </c>
      <c r="O533" s="9" t="s">
        <v>52</v>
      </c>
      <c r="P533" s="9" t="n">
        <v>5.4</v>
      </c>
      <c r="Q533" s="9" t="n">
        <v>20</v>
      </c>
      <c r="R533" s="9" t="s">
        <v>44</v>
      </c>
      <c r="S533" s="9"/>
      <c r="T533" s="9"/>
      <c r="U533" s="9" t="str">
        <f aca="false">IF(COUNTIF($A$2:$A$5001,A533)&gt;1,"Duplicate","Unique")</f>
        <v>Unique</v>
      </c>
      <c r="V533" s="9" t="str">
        <f aca="false">IF(COUNTIFS($B$2:$B$5001,B533,$H$2:$H$5001,H533,$J$2:$J$5001,J533)&gt;1,"Possible Duplicate Booking","Unique")</f>
        <v>Unique</v>
      </c>
      <c r="W533" s="9" t="str">
        <f aca="false">IF((H533-G533)&lt;&gt;K533,"Mismatch","OK")</f>
        <v>OK</v>
      </c>
      <c r="X533" s="9" t="str">
        <f aca="false">IF(TEXT(H533,"dddd")&lt;&gt;I533,"Mismatch","OK")</f>
        <v>OK</v>
      </c>
      <c r="Y533" s="9" t="str">
        <f aca="false">IF(AND(N533="No",O533&lt;&gt;""),"Unexpected: channel present but no reminder sent",IF(AND(N533="Yes",O533=""),"Missing channel for sent reminder","OK"))</f>
        <v>OK</v>
      </c>
    </row>
    <row r="534" customFormat="false" ht="15" hidden="false" customHeight="false" outlineLevel="0" collapsed="false">
      <c r="A534" s="7" t="s">
        <v>1067</v>
      </c>
      <c r="B534" s="7" t="s">
        <v>1068</v>
      </c>
      <c r="C534" s="7" t="s">
        <v>37</v>
      </c>
      <c r="D534" s="7" t="n">
        <v>64</v>
      </c>
      <c r="E534" s="7" t="s">
        <v>61</v>
      </c>
      <c r="F534" s="7" t="s">
        <v>39</v>
      </c>
      <c r="G534" s="8" t="n">
        <v>45713</v>
      </c>
      <c r="H534" s="8" t="n">
        <v>45743</v>
      </c>
      <c r="I534" s="7" t="s">
        <v>62</v>
      </c>
      <c r="J534" s="7" t="s">
        <v>51</v>
      </c>
      <c r="K534" s="7" t="n">
        <v>30</v>
      </c>
      <c r="L534" s="7" t="n">
        <v>1</v>
      </c>
      <c r="M534" s="7" t="n">
        <v>0</v>
      </c>
      <c r="N534" s="7" t="s">
        <v>71</v>
      </c>
      <c r="O534" s="7"/>
      <c r="P534" s="7" t="n">
        <v>5.9</v>
      </c>
      <c r="Q534" s="7" t="n">
        <v>37</v>
      </c>
      <c r="R534" s="7" t="s">
        <v>44</v>
      </c>
      <c r="S534" s="7"/>
      <c r="T534" s="7"/>
      <c r="U534" s="7" t="str">
        <f aca="false">IF(COUNTIF($A$2:$A$5001,A534)&gt;1,"Duplicate","Unique")</f>
        <v>Unique</v>
      </c>
      <c r="V534" s="7" t="str">
        <f aca="false">IF(COUNTIFS($B$2:$B$5001,B534,$H$2:$H$5001,H534,$J$2:$J$5001,J534)&gt;1,"Possible Duplicate Booking","Unique")</f>
        <v>Unique</v>
      </c>
      <c r="W534" s="7" t="str">
        <f aca="false">IF((H534-G534)&lt;&gt;K534,"Mismatch","OK")</f>
        <v>OK</v>
      </c>
      <c r="X534" s="7" t="str">
        <f aca="false">IF(TEXT(H534,"dddd")&lt;&gt;I534,"Mismatch","OK")</f>
        <v>OK</v>
      </c>
      <c r="Y534" s="7" t="str">
        <f aca="false">IF(AND(N534="No",O534&lt;&gt;""),"Unexpected: channel present but no reminder sent",IF(AND(N534="Yes",O534=""),"Missing channel for sent reminder","OK"))</f>
        <v>OK</v>
      </c>
    </row>
    <row r="535" customFormat="false" ht="15" hidden="false" customHeight="false" outlineLevel="0" collapsed="false">
      <c r="A535" s="9" t="s">
        <v>1069</v>
      </c>
      <c r="B535" s="9" t="s">
        <v>753</v>
      </c>
      <c r="C535" s="9" t="s">
        <v>47</v>
      </c>
      <c r="D535" s="9" t="n">
        <v>38</v>
      </c>
      <c r="E535" s="9" t="s">
        <v>38</v>
      </c>
      <c r="F535" s="9" t="s">
        <v>57</v>
      </c>
      <c r="G535" s="10" t="n">
        <v>45786</v>
      </c>
      <c r="H535" s="10" t="n">
        <v>45813</v>
      </c>
      <c r="I535" s="9" t="s">
        <v>62</v>
      </c>
      <c r="J535" s="9" t="s">
        <v>51</v>
      </c>
      <c r="K535" s="9" t="n">
        <v>27</v>
      </c>
      <c r="L535" s="9" t="n">
        <v>2</v>
      </c>
      <c r="M535" s="9" t="n">
        <v>0</v>
      </c>
      <c r="N535" s="9" t="s">
        <v>71</v>
      </c>
      <c r="O535" s="9"/>
      <c r="P535" s="9" t="n">
        <v>6.1</v>
      </c>
      <c r="Q535" s="9" t="n">
        <v>15</v>
      </c>
      <c r="R535" s="9" t="s">
        <v>53</v>
      </c>
      <c r="S535" s="9"/>
      <c r="T535" s="9"/>
      <c r="U535" s="9" t="str">
        <f aca="false">IF(COUNTIF($A$2:$A$5001,A535)&gt;1,"Duplicate","Unique")</f>
        <v>Unique</v>
      </c>
      <c r="V535" s="9" t="str">
        <f aca="false">IF(COUNTIFS($B$2:$B$5001,B535,$H$2:$H$5001,H535,$J$2:$J$5001,J535)&gt;1,"Possible Duplicate Booking","Unique")</f>
        <v>Unique</v>
      </c>
      <c r="W535" s="9" t="str">
        <f aca="false">IF((H535-G535)&lt;&gt;K535,"Mismatch","OK")</f>
        <v>OK</v>
      </c>
      <c r="X535" s="9" t="str">
        <f aca="false">IF(TEXT(H535,"dddd")&lt;&gt;I535,"Mismatch","OK")</f>
        <v>OK</v>
      </c>
      <c r="Y535" s="9" t="str">
        <f aca="false">IF(AND(N535="No",O535&lt;&gt;""),"Unexpected: channel present but no reminder sent",IF(AND(N535="Yes",O535=""),"Missing channel for sent reminder","OK"))</f>
        <v>OK</v>
      </c>
    </row>
    <row r="536" customFormat="false" ht="15" hidden="false" customHeight="false" outlineLevel="0" collapsed="false">
      <c r="A536" s="7" t="s">
        <v>1070</v>
      </c>
      <c r="B536" s="7" t="s">
        <v>1071</v>
      </c>
      <c r="C536" s="7" t="s">
        <v>37</v>
      </c>
      <c r="D536" s="7" t="n">
        <v>74</v>
      </c>
      <c r="E536" s="7" t="s">
        <v>70</v>
      </c>
      <c r="F536" s="7" t="s">
        <v>57</v>
      </c>
      <c r="G536" s="8" t="n">
        <v>45968</v>
      </c>
      <c r="H536" s="8" t="n">
        <v>45973</v>
      </c>
      <c r="I536" s="7" t="s">
        <v>58</v>
      </c>
      <c r="J536" s="7" t="s">
        <v>51</v>
      </c>
      <c r="K536" s="7" t="n">
        <v>5</v>
      </c>
      <c r="L536" s="7" t="n">
        <v>4</v>
      </c>
      <c r="M536" s="7" t="n">
        <v>0</v>
      </c>
      <c r="N536" s="7" t="s">
        <v>42</v>
      </c>
      <c r="O536" s="7" t="s">
        <v>43</v>
      </c>
      <c r="P536" s="7" t="n">
        <v>14.4</v>
      </c>
      <c r="Q536" s="7" t="n">
        <v>11</v>
      </c>
      <c r="R536" s="7" t="s">
        <v>44</v>
      </c>
      <c r="S536" s="7"/>
      <c r="T536" s="7"/>
      <c r="U536" s="7" t="str">
        <f aca="false">IF(COUNTIF($A$2:$A$5001,A536)&gt;1,"Duplicate","Unique")</f>
        <v>Unique</v>
      </c>
      <c r="V536" s="7" t="str">
        <f aca="false">IF(COUNTIFS($B$2:$B$5001,B536,$H$2:$H$5001,H536,$J$2:$J$5001,J536)&gt;1,"Possible Duplicate Booking","Unique")</f>
        <v>Unique</v>
      </c>
      <c r="W536" s="7" t="str">
        <f aca="false">IF((H536-G536)&lt;&gt;K536,"Mismatch","OK")</f>
        <v>OK</v>
      </c>
      <c r="X536" s="7" t="str">
        <f aca="false">IF(TEXT(H536,"dddd")&lt;&gt;I536,"Mismatch","OK")</f>
        <v>OK</v>
      </c>
      <c r="Y536" s="7" t="str">
        <f aca="false">IF(AND(N536="No",O536&lt;&gt;""),"Unexpected: channel present but no reminder sent",IF(AND(N536="Yes",O536=""),"Missing channel for sent reminder","OK"))</f>
        <v>OK</v>
      </c>
    </row>
    <row r="537" customFormat="false" ht="15" hidden="false" customHeight="false" outlineLevel="0" collapsed="false">
      <c r="A537" s="9" t="s">
        <v>1072</v>
      </c>
      <c r="B537" s="9" t="s">
        <v>1073</v>
      </c>
      <c r="C537" s="9" t="s">
        <v>37</v>
      </c>
      <c r="D537" s="9" t="n">
        <v>72</v>
      </c>
      <c r="E537" s="9" t="s">
        <v>70</v>
      </c>
      <c r="F537" s="9" t="s">
        <v>49</v>
      </c>
      <c r="G537" s="10" t="n">
        <v>45700</v>
      </c>
      <c r="H537" s="10" t="n">
        <v>45741</v>
      </c>
      <c r="I537" s="9" t="s">
        <v>40</v>
      </c>
      <c r="J537" s="9" t="s">
        <v>41</v>
      </c>
      <c r="K537" s="9" t="n">
        <v>41</v>
      </c>
      <c r="L537" s="9" t="n">
        <v>2</v>
      </c>
      <c r="M537" s="9" t="n">
        <v>1</v>
      </c>
      <c r="N537" s="9" t="s">
        <v>42</v>
      </c>
      <c r="O537" s="9" t="s">
        <v>43</v>
      </c>
      <c r="P537" s="9" t="n">
        <v>11</v>
      </c>
      <c r="Q537" s="9" t="n">
        <v>10</v>
      </c>
      <c r="R537" s="9" t="s">
        <v>44</v>
      </c>
      <c r="S537" s="9"/>
      <c r="T537" s="9"/>
      <c r="U537" s="9" t="str">
        <f aca="false">IF(COUNTIF($A$2:$A$5001,A537)&gt;1,"Duplicate","Unique")</f>
        <v>Unique</v>
      </c>
      <c r="V537" s="9" t="str">
        <f aca="false">IF(COUNTIFS($B$2:$B$5001,B537,$H$2:$H$5001,H537,$J$2:$J$5001,J537)&gt;1,"Possible Duplicate Booking","Unique")</f>
        <v>Unique</v>
      </c>
      <c r="W537" s="9" t="str">
        <f aca="false">IF((H537-G537)&lt;&gt;K537,"Mismatch","OK")</f>
        <v>OK</v>
      </c>
      <c r="X537" s="9" t="str">
        <f aca="false">IF(TEXT(H537,"dddd")&lt;&gt;I537,"Mismatch","OK")</f>
        <v>OK</v>
      </c>
      <c r="Y537" s="9" t="str">
        <f aca="false">IF(AND(N537="No",O537&lt;&gt;""),"Unexpected: channel present but no reminder sent",IF(AND(N537="Yes",O537=""),"Missing channel for sent reminder","OK"))</f>
        <v>OK</v>
      </c>
    </row>
    <row r="538" customFormat="false" ht="15" hidden="false" customHeight="false" outlineLevel="0" collapsed="false">
      <c r="A538" s="7" t="s">
        <v>1074</v>
      </c>
      <c r="B538" s="7" t="s">
        <v>1075</v>
      </c>
      <c r="C538" s="7" t="s">
        <v>47</v>
      </c>
      <c r="D538" s="7" t="n">
        <v>26</v>
      </c>
      <c r="E538" s="7" t="s">
        <v>48</v>
      </c>
      <c r="F538" s="7" t="s">
        <v>39</v>
      </c>
      <c r="G538" s="8" t="n">
        <v>45903</v>
      </c>
      <c r="H538" s="8" t="n">
        <v>45906</v>
      </c>
      <c r="I538" s="7" t="s">
        <v>102</v>
      </c>
      <c r="J538" s="7" t="s">
        <v>63</v>
      </c>
      <c r="K538" s="7" t="n">
        <v>3</v>
      </c>
      <c r="L538" s="7" t="n">
        <v>2</v>
      </c>
      <c r="M538" s="7" t="n">
        <v>0</v>
      </c>
      <c r="N538" s="7" t="s">
        <v>42</v>
      </c>
      <c r="O538" s="7" t="s">
        <v>52</v>
      </c>
      <c r="P538" s="7" t="n">
        <v>6</v>
      </c>
      <c r="Q538" s="7" t="n">
        <v>26</v>
      </c>
      <c r="R538" s="7" t="s">
        <v>53</v>
      </c>
      <c r="S538" s="7"/>
      <c r="T538" s="7"/>
      <c r="U538" s="7" t="str">
        <f aca="false">IF(COUNTIF($A$2:$A$5001,A538)&gt;1,"Duplicate","Unique")</f>
        <v>Unique</v>
      </c>
      <c r="V538" s="7" t="str">
        <f aca="false">IF(COUNTIFS($B$2:$B$5001,B538,$H$2:$H$5001,H538,$J$2:$J$5001,J538)&gt;1,"Possible Duplicate Booking","Unique")</f>
        <v>Unique</v>
      </c>
      <c r="W538" s="7" t="str">
        <f aca="false">IF((H538-G538)&lt;&gt;K538,"Mismatch","OK")</f>
        <v>OK</v>
      </c>
      <c r="X538" s="7" t="str">
        <f aca="false">IF(TEXT(H538,"dddd")&lt;&gt;I538,"Mismatch","OK")</f>
        <v>OK</v>
      </c>
      <c r="Y538" s="7" t="str">
        <f aca="false">IF(AND(N538="No",O538&lt;&gt;""),"Unexpected: channel present but no reminder sent",IF(AND(N538="Yes",O538=""),"Missing channel for sent reminder","OK"))</f>
        <v>OK</v>
      </c>
    </row>
    <row r="539" customFormat="false" ht="15" hidden="false" customHeight="false" outlineLevel="0" collapsed="false">
      <c r="A539" s="9" t="s">
        <v>1076</v>
      </c>
      <c r="B539" s="9" t="s">
        <v>1077</v>
      </c>
      <c r="C539" s="9" t="s">
        <v>47</v>
      </c>
      <c r="D539" s="9" t="n">
        <v>75</v>
      </c>
      <c r="E539" s="9" t="s">
        <v>70</v>
      </c>
      <c r="F539" s="9" t="s">
        <v>39</v>
      </c>
      <c r="G539" s="10" t="n">
        <v>45670</v>
      </c>
      <c r="H539" s="10" t="n">
        <v>45721</v>
      </c>
      <c r="I539" s="9" t="s">
        <v>58</v>
      </c>
      <c r="J539" s="9" t="s">
        <v>41</v>
      </c>
      <c r="K539" s="9" t="n">
        <v>51</v>
      </c>
      <c r="L539" s="9" t="n">
        <v>2</v>
      </c>
      <c r="M539" s="9" t="n">
        <v>0</v>
      </c>
      <c r="N539" s="9" t="s">
        <v>42</v>
      </c>
      <c r="O539" s="9" t="s">
        <v>67</v>
      </c>
      <c r="P539" s="9" t="n">
        <v>8.8</v>
      </c>
      <c r="Q539" s="9" t="n">
        <v>16</v>
      </c>
      <c r="R539" s="9" t="s">
        <v>87</v>
      </c>
      <c r="S539" s="9"/>
      <c r="T539" s="9"/>
      <c r="U539" s="9" t="str">
        <f aca="false">IF(COUNTIF($A$2:$A$5001,A539)&gt;1,"Duplicate","Unique")</f>
        <v>Unique</v>
      </c>
      <c r="V539" s="9" t="str">
        <f aca="false">IF(COUNTIFS($B$2:$B$5001,B539,$H$2:$H$5001,H539,$J$2:$J$5001,J539)&gt;1,"Possible Duplicate Booking","Unique")</f>
        <v>Unique</v>
      </c>
      <c r="W539" s="9" t="str">
        <f aca="false">IF((H539-G539)&lt;&gt;K539,"Mismatch","OK")</f>
        <v>OK</v>
      </c>
      <c r="X539" s="9" t="str">
        <f aca="false">IF(TEXT(H539,"dddd")&lt;&gt;I539,"Mismatch","OK")</f>
        <v>OK</v>
      </c>
      <c r="Y539" s="9" t="str">
        <f aca="false">IF(AND(N539="No",O539&lt;&gt;""),"Unexpected: channel present but no reminder sent",IF(AND(N539="Yes",O539=""),"Missing channel for sent reminder","OK"))</f>
        <v>OK</v>
      </c>
    </row>
    <row r="540" customFormat="false" ht="15" hidden="false" customHeight="false" outlineLevel="0" collapsed="false">
      <c r="A540" s="7" t="s">
        <v>1078</v>
      </c>
      <c r="B540" s="7" t="s">
        <v>1079</v>
      </c>
      <c r="C540" s="7" t="s">
        <v>47</v>
      </c>
      <c r="D540" s="7" t="n">
        <v>26</v>
      </c>
      <c r="E540" s="7" t="s">
        <v>48</v>
      </c>
      <c r="F540" s="7" t="s">
        <v>57</v>
      </c>
      <c r="G540" s="8" t="n">
        <v>45903</v>
      </c>
      <c r="H540" s="8" t="n">
        <v>45952</v>
      </c>
      <c r="I540" s="7" t="s">
        <v>58</v>
      </c>
      <c r="J540" s="7" t="s">
        <v>51</v>
      </c>
      <c r="K540" s="7" t="n">
        <v>49</v>
      </c>
      <c r="L540" s="7" t="n">
        <v>1</v>
      </c>
      <c r="M540" s="7" t="n">
        <v>0</v>
      </c>
      <c r="N540" s="7" t="s">
        <v>71</v>
      </c>
      <c r="O540" s="7"/>
      <c r="P540" s="7" t="n">
        <v>19.1</v>
      </c>
      <c r="Q540" s="7" t="n">
        <v>36</v>
      </c>
      <c r="R540" s="7" t="s">
        <v>44</v>
      </c>
      <c r="S540" s="7"/>
      <c r="T540" s="7"/>
      <c r="U540" s="7" t="str">
        <f aca="false">IF(COUNTIF($A$2:$A$5001,A540)&gt;1,"Duplicate","Unique")</f>
        <v>Unique</v>
      </c>
      <c r="V540" s="7" t="str">
        <f aca="false">IF(COUNTIFS($B$2:$B$5001,B540,$H$2:$H$5001,H540,$J$2:$J$5001,J540)&gt;1,"Possible Duplicate Booking","Unique")</f>
        <v>Unique</v>
      </c>
      <c r="W540" s="7" t="str">
        <f aca="false">IF((H540-G540)&lt;&gt;K540,"Mismatch","OK")</f>
        <v>OK</v>
      </c>
      <c r="X540" s="7" t="str">
        <f aca="false">IF(TEXT(H540,"dddd")&lt;&gt;I540,"Mismatch","OK")</f>
        <v>OK</v>
      </c>
      <c r="Y540" s="7" t="str">
        <f aca="false">IF(AND(N540="No",O540&lt;&gt;""),"Unexpected: channel present but no reminder sent",IF(AND(N540="Yes",O540=""),"Missing channel for sent reminder","OK"))</f>
        <v>OK</v>
      </c>
    </row>
    <row r="541" customFormat="false" ht="15" hidden="false" customHeight="false" outlineLevel="0" collapsed="false">
      <c r="A541" s="9" t="s">
        <v>1080</v>
      </c>
      <c r="B541" s="9" t="s">
        <v>768</v>
      </c>
      <c r="C541" s="9" t="s">
        <v>47</v>
      </c>
      <c r="D541" s="9" t="n">
        <v>48</v>
      </c>
      <c r="E541" s="9" t="s">
        <v>56</v>
      </c>
      <c r="F541" s="9" t="s">
        <v>49</v>
      </c>
      <c r="G541" s="10" t="n">
        <v>45609</v>
      </c>
      <c r="H541" s="10" t="n">
        <v>45669</v>
      </c>
      <c r="I541" s="9" t="s">
        <v>75</v>
      </c>
      <c r="J541" s="9" t="s">
        <v>63</v>
      </c>
      <c r="K541" s="9" t="n">
        <v>60</v>
      </c>
      <c r="L541" s="9" t="n">
        <v>5</v>
      </c>
      <c r="M541" s="9" t="n">
        <v>1</v>
      </c>
      <c r="N541" s="9" t="s">
        <v>42</v>
      </c>
      <c r="O541" s="9" t="s">
        <v>67</v>
      </c>
      <c r="P541" s="9" t="n">
        <v>0.5</v>
      </c>
      <c r="Q541" s="9" t="n">
        <v>25</v>
      </c>
      <c r="R541" s="9" t="s">
        <v>44</v>
      </c>
      <c r="S541" s="9"/>
      <c r="T541" s="9"/>
      <c r="U541" s="9" t="str">
        <f aca="false">IF(COUNTIF($A$2:$A$5001,A541)&gt;1,"Duplicate","Unique")</f>
        <v>Unique</v>
      </c>
      <c r="V541" s="9" t="str">
        <f aca="false">IF(COUNTIFS($B$2:$B$5001,B541,$H$2:$H$5001,H541,$J$2:$J$5001,J541)&gt;1,"Possible Duplicate Booking","Unique")</f>
        <v>Unique</v>
      </c>
      <c r="W541" s="9" t="str">
        <f aca="false">IF((H541-G541)&lt;&gt;K541,"Mismatch","OK")</f>
        <v>OK</v>
      </c>
      <c r="X541" s="9" t="str">
        <f aca="false">IF(TEXT(H541,"dddd")&lt;&gt;I541,"Mismatch","OK")</f>
        <v>OK</v>
      </c>
      <c r="Y541" s="9" t="str">
        <f aca="false">IF(AND(N541="No",O541&lt;&gt;""),"Unexpected: channel present but no reminder sent",IF(AND(N541="Yes",O541=""),"Missing channel for sent reminder","OK"))</f>
        <v>OK</v>
      </c>
    </row>
    <row r="542" customFormat="false" ht="15" hidden="false" customHeight="false" outlineLevel="0" collapsed="false">
      <c r="A542" s="7" t="s">
        <v>1081</v>
      </c>
      <c r="B542" s="7" t="s">
        <v>278</v>
      </c>
      <c r="C542" s="7" t="s">
        <v>37</v>
      </c>
      <c r="D542" s="7" t="n">
        <v>47</v>
      </c>
      <c r="E542" s="7" t="s">
        <v>56</v>
      </c>
      <c r="F542" s="7" t="s">
        <v>57</v>
      </c>
      <c r="G542" s="8" t="n">
        <v>46028</v>
      </c>
      <c r="H542" s="8" t="n">
        <v>46045</v>
      </c>
      <c r="I542" s="7" t="s">
        <v>50</v>
      </c>
      <c r="J542" s="7" t="s">
        <v>63</v>
      </c>
      <c r="K542" s="7" t="n">
        <v>17</v>
      </c>
      <c r="L542" s="7" t="n">
        <v>3</v>
      </c>
      <c r="M542" s="7" t="n">
        <v>0</v>
      </c>
      <c r="N542" s="7" t="s">
        <v>71</v>
      </c>
      <c r="O542" s="7"/>
      <c r="P542" s="7" t="n">
        <v>8.1</v>
      </c>
      <c r="Q542" s="7" t="n">
        <v>10</v>
      </c>
      <c r="R542" s="7" t="s">
        <v>44</v>
      </c>
      <c r="S542" s="7"/>
      <c r="T542" s="7"/>
      <c r="U542" s="7" t="str">
        <f aca="false">IF(COUNTIF($A$2:$A$5001,A542)&gt;1,"Duplicate","Unique")</f>
        <v>Unique</v>
      </c>
      <c r="V542" s="7" t="str">
        <f aca="false">IF(COUNTIFS($B$2:$B$5001,B542,$H$2:$H$5001,H542,$J$2:$J$5001,J542)&gt;1,"Possible Duplicate Booking","Unique")</f>
        <v>Unique</v>
      </c>
      <c r="W542" s="7" t="str">
        <f aca="false">IF((H542-G542)&lt;&gt;K542,"Mismatch","OK")</f>
        <v>OK</v>
      </c>
      <c r="X542" s="7" t="str">
        <f aca="false">IF(TEXT(H542,"dddd")&lt;&gt;I542,"Mismatch","OK")</f>
        <v>OK</v>
      </c>
      <c r="Y542" s="7" t="str">
        <f aca="false">IF(AND(N542="No",O542&lt;&gt;""),"Unexpected: channel present but no reminder sent",IF(AND(N542="Yes",O542=""),"Missing channel for sent reminder","OK"))</f>
        <v>OK</v>
      </c>
    </row>
    <row r="543" customFormat="false" ht="15" hidden="false" customHeight="false" outlineLevel="0" collapsed="false">
      <c r="A543" s="9" t="s">
        <v>1082</v>
      </c>
      <c r="B543" s="9" t="s">
        <v>172</v>
      </c>
      <c r="C543" s="9" t="s">
        <v>47</v>
      </c>
      <c r="D543" s="9" t="n">
        <v>78</v>
      </c>
      <c r="E543" s="9" t="s">
        <v>70</v>
      </c>
      <c r="F543" s="9" t="s">
        <v>57</v>
      </c>
      <c r="G543" s="10" t="n">
        <v>45679</v>
      </c>
      <c r="H543" s="10" t="n">
        <v>45688</v>
      </c>
      <c r="I543" s="9" t="s">
        <v>50</v>
      </c>
      <c r="J543" s="9" t="s">
        <v>41</v>
      </c>
      <c r="K543" s="9" t="n">
        <v>9</v>
      </c>
      <c r="L543" s="9" t="n">
        <v>3</v>
      </c>
      <c r="M543" s="9" t="n">
        <v>0</v>
      </c>
      <c r="N543" s="9" t="s">
        <v>42</v>
      </c>
      <c r="O543" s="9" t="s">
        <v>67</v>
      </c>
      <c r="P543" s="9" t="n">
        <v>9</v>
      </c>
      <c r="Q543" s="9" t="n">
        <v>22</v>
      </c>
      <c r="R543" s="9" t="s">
        <v>53</v>
      </c>
      <c r="S543" s="9"/>
      <c r="T543" s="9"/>
      <c r="U543" s="9" t="str">
        <f aca="false">IF(COUNTIF($A$2:$A$5001,A543)&gt;1,"Duplicate","Unique")</f>
        <v>Unique</v>
      </c>
      <c r="V543" s="9" t="str">
        <f aca="false">IF(COUNTIFS($B$2:$B$5001,B543,$H$2:$H$5001,H543,$J$2:$J$5001,J543)&gt;1,"Possible Duplicate Booking","Unique")</f>
        <v>Unique</v>
      </c>
      <c r="W543" s="9" t="str">
        <f aca="false">IF((H543-G543)&lt;&gt;K543,"Mismatch","OK")</f>
        <v>OK</v>
      </c>
      <c r="X543" s="9" t="str">
        <f aca="false">IF(TEXT(H543,"dddd")&lt;&gt;I543,"Mismatch","OK")</f>
        <v>OK</v>
      </c>
      <c r="Y543" s="9" t="str">
        <f aca="false">IF(AND(N543="No",O543&lt;&gt;""),"Unexpected: channel present but no reminder sent",IF(AND(N543="Yes",O543=""),"Missing channel for sent reminder","OK"))</f>
        <v>OK</v>
      </c>
    </row>
    <row r="544" customFormat="false" ht="15" hidden="false" customHeight="false" outlineLevel="0" collapsed="false">
      <c r="A544" s="7" t="s">
        <v>1083</v>
      </c>
      <c r="B544" s="7" t="s">
        <v>1084</v>
      </c>
      <c r="C544" s="7" t="s">
        <v>47</v>
      </c>
      <c r="D544" s="7" t="n">
        <v>59</v>
      </c>
      <c r="E544" s="7" t="s">
        <v>61</v>
      </c>
      <c r="F544" s="7" t="s">
        <v>49</v>
      </c>
      <c r="G544" s="8" t="n">
        <v>45746</v>
      </c>
      <c r="H544" s="8" t="n">
        <v>45764</v>
      </c>
      <c r="I544" s="7" t="s">
        <v>62</v>
      </c>
      <c r="J544" s="7" t="s">
        <v>51</v>
      </c>
      <c r="K544" s="7" t="n">
        <v>18</v>
      </c>
      <c r="L544" s="7" t="n">
        <v>3</v>
      </c>
      <c r="M544" s="7" t="n">
        <v>0</v>
      </c>
      <c r="N544" s="7" t="s">
        <v>42</v>
      </c>
      <c r="O544" s="7" t="s">
        <v>52</v>
      </c>
      <c r="P544" s="7" t="n">
        <v>5.7</v>
      </c>
      <c r="Q544" s="7" t="n">
        <v>14</v>
      </c>
      <c r="R544" s="7" t="s">
        <v>53</v>
      </c>
      <c r="S544" s="7"/>
      <c r="T544" s="7"/>
      <c r="U544" s="7" t="str">
        <f aca="false">IF(COUNTIF($A$2:$A$5001,A544)&gt;1,"Duplicate","Unique")</f>
        <v>Unique</v>
      </c>
      <c r="V544" s="7" t="str">
        <f aca="false">IF(COUNTIFS($B$2:$B$5001,B544,$H$2:$H$5001,H544,$J$2:$J$5001,J544)&gt;1,"Possible Duplicate Booking","Unique")</f>
        <v>Unique</v>
      </c>
      <c r="W544" s="7" t="str">
        <f aca="false">IF((H544-G544)&lt;&gt;K544,"Mismatch","OK")</f>
        <v>OK</v>
      </c>
      <c r="X544" s="7" t="str">
        <f aca="false">IF(TEXT(H544,"dddd")&lt;&gt;I544,"Mismatch","OK")</f>
        <v>OK</v>
      </c>
      <c r="Y544" s="7" t="str">
        <f aca="false">IF(AND(N544="No",O544&lt;&gt;""),"Unexpected: channel present but no reminder sent",IF(AND(N544="Yes",O544=""),"Missing channel for sent reminder","OK"))</f>
        <v>OK</v>
      </c>
    </row>
    <row r="545" customFormat="false" ht="15" hidden="false" customHeight="false" outlineLevel="0" collapsed="false">
      <c r="A545" s="9" t="s">
        <v>1085</v>
      </c>
      <c r="B545" s="9" t="s">
        <v>93</v>
      </c>
      <c r="C545" s="9" t="s">
        <v>37</v>
      </c>
      <c r="D545" s="9" t="n">
        <v>73</v>
      </c>
      <c r="E545" s="9" t="s">
        <v>70</v>
      </c>
      <c r="F545" s="9" t="s">
        <v>39</v>
      </c>
      <c r="G545" s="10" t="n">
        <v>45705</v>
      </c>
      <c r="H545" s="10" t="n">
        <v>45753</v>
      </c>
      <c r="I545" s="9" t="s">
        <v>75</v>
      </c>
      <c r="J545" s="9" t="s">
        <v>41</v>
      </c>
      <c r="K545" s="9" t="n">
        <v>48</v>
      </c>
      <c r="L545" s="9" t="n">
        <v>4</v>
      </c>
      <c r="M545" s="9" t="n">
        <v>0</v>
      </c>
      <c r="N545" s="9" t="s">
        <v>71</v>
      </c>
      <c r="O545" s="9"/>
      <c r="P545" s="9" t="n">
        <v>2.8</v>
      </c>
      <c r="Q545" s="9" t="n">
        <v>24</v>
      </c>
      <c r="R545" s="9" t="s">
        <v>44</v>
      </c>
      <c r="S545" s="9"/>
      <c r="T545" s="9"/>
      <c r="U545" s="9" t="str">
        <f aca="false">IF(COUNTIF($A$2:$A$5001,A545)&gt;1,"Duplicate","Unique")</f>
        <v>Unique</v>
      </c>
      <c r="V545" s="9" t="str">
        <f aca="false">IF(COUNTIFS($B$2:$B$5001,B545,$H$2:$H$5001,H545,$J$2:$J$5001,J545)&gt;1,"Possible Duplicate Booking","Unique")</f>
        <v>Unique</v>
      </c>
      <c r="W545" s="9" t="str">
        <f aca="false">IF((H545-G545)&lt;&gt;K545,"Mismatch","OK")</f>
        <v>OK</v>
      </c>
      <c r="X545" s="9" t="str">
        <f aca="false">IF(TEXT(H545,"dddd")&lt;&gt;I545,"Mismatch","OK")</f>
        <v>OK</v>
      </c>
      <c r="Y545" s="9" t="str">
        <f aca="false">IF(AND(N545="No",O545&lt;&gt;""),"Unexpected: channel present but no reminder sent",IF(AND(N545="Yes",O545=""),"Missing channel for sent reminder","OK"))</f>
        <v>OK</v>
      </c>
    </row>
    <row r="546" customFormat="false" ht="15" hidden="false" customHeight="false" outlineLevel="0" collapsed="false">
      <c r="A546" s="7" t="s">
        <v>1086</v>
      </c>
      <c r="B546" s="7" t="s">
        <v>693</v>
      </c>
      <c r="C546" s="7" t="s">
        <v>47</v>
      </c>
      <c r="D546" s="7" t="n">
        <v>55</v>
      </c>
      <c r="E546" s="7" t="s">
        <v>61</v>
      </c>
      <c r="F546" s="7" t="s">
        <v>74</v>
      </c>
      <c r="G546" s="8" t="n">
        <v>46098</v>
      </c>
      <c r="H546" s="8" t="n">
        <v>46111</v>
      </c>
      <c r="I546" s="7" t="s">
        <v>66</v>
      </c>
      <c r="J546" s="7" t="s">
        <v>63</v>
      </c>
      <c r="K546" s="7" t="n">
        <v>13</v>
      </c>
      <c r="L546" s="7" t="n">
        <v>6</v>
      </c>
      <c r="M546" s="7" t="n">
        <v>0</v>
      </c>
      <c r="N546" s="7" t="s">
        <v>42</v>
      </c>
      <c r="O546" s="7" t="s">
        <v>52</v>
      </c>
      <c r="P546" s="7" t="n">
        <v>5.4</v>
      </c>
      <c r="Q546" s="7" t="n">
        <v>37</v>
      </c>
      <c r="R546" s="7" t="s">
        <v>53</v>
      </c>
      <c r="S546" s="7"/>
      <c r="T546" s="7"/>
      <c r="U546" s="7" t="str">
        <f aca="false">IF(COUNTIF($A$2:$A$5001,A546)&gt;1,"Duplicate","Unique")</f>
        <v>Unique</v>
      </c>
      <c r="V546" s="7" t="str">
        <f aca="false">IF(COUNTIFS($B$2:$B$5001,B546,$H$2:$H$5001,H546,$J$2:$J$5001,J546)&gt;1,"Possible Duplicate Booking","Unique")</f>
        <v>Unique</v>
      </c>
      <c r="W546" s="7" t="str">
        <f aca="false">IF((H546-G546)&lt;&gt;K546,"Mismatch","OK")</f>
        <v>OK</v>
      </c>
      <c r="X546" s="7" t="str">
        <f aca="false">IF(TEXT(H546,"dddd")&lt;&gt;I546,"Mismatch","OK")</f>
        <v>OK</v>
      </c>
      <c r="Y546" s="7" t="str">
        <f aca="false">IF(AND(N546="No",O546&lt;&gt;""),"Unexpected: channel present but no reminder sent",IF(AND(N546="Yes",O546=""),"Missing channel for sent reminder","OK"))</f>
        <v>OK</v>
      </c>
    </row>
    <row r="547" customFormat="false" ht="15" hidden="false" customHeight="false" outlineLevel="0" collapsed="false">
      <c r="A547" s="9" t="s">
        <v>1087</v>
      </c>
      <c r="B547" s="9" t="s">
        <v>1088</v>
      </c>
      <c r="C547" s="9" t="s">
        <v>37</v>
      </c>
      <c r="D547" s="9" t="n">
        <v>69</v>
      </c>
      <c r="E547" s="9" t="s">
        <v>70</v>
      </c>
      <c r="F547" s="9" t="s">
        <v>57</v>
      </c>
      <c r="G547" s="10" t="n">
        <v>45633</v>
      </c>
      <c r="H547" s="10" t="n">
        <v>45687</v>
      </c>
      <c r="I547" s="9" t="s">
        <v>62</v>
      </c>
      <c r="J547" s="9" t="s">
        <v>41</v>
      </c>
      <c r="K547" s="9" t="n">
        <v>54</v>
      </c>
      <c r="L547" s="9" t="n">
        <v>3</v>
      </c>
      <c r="M547" s="9" t="n">
        <v>1</v>
      </c>
      <c r="N547" s="9" t="s">
        <v>42</v>
      </c>
      <c r="O547" s="9" t="s">
        <v>52</v>
      </c>
      <c r="P547" s="9" t="n">
        <v>4.7</v>
      </c>
      <c r="Q547" s="9" t="n">
        <v>23</v>
      </c>
      <c r="R547" s="9" t="s">
        <v>44</v>
      </c>
      <c r="S547" s="9"/>
      <c r="T547" s="9"/>
      <c r="U547" s="9" t="str">
        <f aca="false">IF(COUNTIF($A$2:$A$5001,A547)&gt;1,"Duplicate","Unique")</f>
        <v>Unique</v>
      </c>
      <c r="V547" s="9" t="str">
        <f aca="false">IF(COUNTIFS($B$2:$B$5001,B547,$H$2:$H$5001,H547,$J$2:$J$5001,J547)&gt;1,"Possible Duplicate Booking","Unique")</f>
        <v>Unique</v>
      </c>
      <c r="W547" s="9" t="str">
        <f aca="false">IF((H547-G547)&lt;&gt;K547,"Mismatch","OK")</f>
        <v>OK</v>
      </c>
      <c r="X547" s="9" t="str">
        <f aca="false">IF(TEXT(H547,"dddd")&lt;&gt;I547,"Mismatch","OK")</f>
        <v>OK</v>
      </c>
      <c r="Y547" s="9" t="str">
        <f aca="false">IF(AND(N547="No",O547&lt;&gt;""),"Unexpected: channel present but no reminder sent",IF(AND(N547="Yes",O547=""),"Missing channel for sent reminder","OK"))</f>
        <v>OK</v>
      </c>
    </row>
    <row r="548" customFormat="false" ht="15" hidden="false" customHeight="false" outlineLevel="0" collapsed="false">
      <c r="A548" s="7" t="s">
        <v>1089</v>
      </c>
      <c r="B548" s="7" t="s">
        <v>1090</v>
      </c>
      <c r="C548" s="7" t="s">
        <v>37</v>
      </c>
      <c r="D548" s="7" t="n">
        <v>71</v>
      </c>
      <c r="E548" s="7" t="s">
        <v>70</v>
      </c>
      <c r="F548" s="7" t="s">
        <v>49</v>
      </c>
      <c r="G548" s="8" t="n">
        <v>45883</v>
      </c>
      <c r="H548" s="8" t="n">
        <v>45892</v>
      </c>
      <c r="I548" s="7" t="s">
        <v>102</v>
      </c>
      <c r="J548" s="7" t="s">
        <v>41</v>
      </c>
      <c r="K548" s="7" t="n">
        <v>9</v>
      </c>
      <c r="L548" s="7" t="n">
        <v>1</v>
      </c>
      <c r="M548" s="7" t="n">
        <v>0</v>
      </c>
      <c r="N548" s="7" t="s">
        <v>42</v>
      </c>
      <c r="O548" s="7" t="s">
        <v>43</v>
      </c>
      <c r="P548" s="7" t="n">
        <v>9.2</v>
      </c>
      <c r="Q548" s="7" t="n">
        <v>17</v>
      </c>
      <c r="R548" s="7" t="s">
        <v>44</v>
      </c>
      <c r="S548" s="7"/>
      <c r="T548" s="7"/>
      <c r="U548" s="7" t="str">
        <f aca="false">IF(COUNTIF($A$2:$A$5001,A548)&gt;1,"Duplicate","Unique")</f>
        <v>Unique</v>
      </c>
      <c r="V548" s="7" t="str">
        <f aca="false">IF(COUNTIFS($B$2:$B$5001,B548,$H$2:$H$5001,H548,$J$2:$J$5001,J548)&gt;1,"Possible Duplicate Booking","Unique")</f>
        <v>Unique</v>
      </c>
      <c r="W548" s="7" t="str">
        <f aca="false">IF((H548-G548)&lt;&gt;K548,"Mismatch","OK")</f>
        <v>OK</v>
      </c>
      <c r="X548" s="7" t="str">
        <f aca="false">IF(TEXT(H548,"dddd")&lt;&gt;I548,"Mismatch","OK")</f>
        <v>OK</v>
      </c>
      <c r="Y548" s="7" t="str">
        <f aca="false">IF(AND(N548="No",O548&lt;&gt;""),"Unexpected: channel present but no reminder sent",IF(AND(N548="Yes",O548=""),"Missing channel for sent reminder","OK"))</f>
        <v>OK</v>
      </c>
    </row>
    <row r="549" customFormat="false" ht="15" hidden="false" customHeight="false" outlineLevel="0" collapsed="false">
      <c r="A549" s="9" t="s">
        <v>1091</v>
      </c>
      <c r="B549" s="9" t="s">
        <v>1092</v>
      </c>
      <c r="C549" s="9" t="s">
        <v>47</v>
      </c>
      <c r="D549" s="9" t="n">
        <v>72</v>
      </c>
      <c r="E549" s="9" t="s">
        <v>70</v>
      </c>
      <c r="F549" s="9" t="s">
        <v>74</v>
      </c>
      <c r="G549" s="10" t="n">
        <v>45978</v>
      </c>
      <c r="H549" s="10" t="n">
        <v>45980</v>
      </c>
      <c r="I549" s="9" t="s">
        <v>58</v>
      </c>
      <c r="J549" s="9" t="s">
        <v>41</v>
      </c>
      <c r="K549" s="9" t="n">
        <v>2</v>
      </c>
      <c r="L549" s="9" t="n">
        <v>3</v>
      </c>
      <c r="M549" s="9" t="n">
        <v>0</v>
      </c>
      <c r="N549" s="9" t="s">
        <v>42</v>
      </c>
      <c r="O549" s="9" t="s">
        <v>52</v>
      </c>
      <c r="P549" s="9" t="n">
        <v>5</v>
      </c>
      <c r="Q549" s="9" t="n">
        <v>30</v>
      </c>
      <c r="R549" s="9" t="s">
        <v>53</v>
      </c>
      <c r="S549" s="9"/>
      <c r="T549" s="9"/>
      <c r="U549" s="9" t="str">
        <f aca="false">IF(COUNTIF($A$2:$A$5001,A549)&gt;1,"Duplicate","Unique")</f>
        <v>Unique</v>
      </c>
      <c r="V549" s="9" t="str">
        <f aca="false">IF(COUNTIFS($B$2:$B$5001,B549,$H$2:$H$5001,H549,$J$2:$J$5001,J549)&gt;1,"Possible Duplicate Booking","Unique")</f>
        <v>Unique</v>
      </c>
      <c r="W549" s="9" t="str">
        <f aca="false">IF((H549-G549)&lt;&gt;K549,"Mismatch","OK")</f>
        <v>OK</v>
      </c>
      <c r="X549" s="9" t="str">
        <f aca="false">IF(TEXT(H549,"dddd")&lt;&gt;I549,"Mismatch","OK")</f>
        <v>OK</v>
      </c>
      <c r="Y549" s="9" t="str">
        <f aca="false">IF(AND(N549="No",O549&lt;&gt;""),"Unexpected: channel present but no reminder sent",IF(AND(N549="Yes",O549=""),"Missing channel for sent reminder","OK"))</f>
        <v>OK</v>
      </c>
    </row>
    <row r="550" customFormat="false" ht="15" hidden="false" customHeight="false" outlineLevel="0" collapsed="false">
      <c r="A550" s="7" t="s">
        <v>1093</v>
      </c>
      <c r="B550" s="7" t="s">
        <v>1094</v>
      </c>
      <c r="C550" s="7" t="s">
        <v>47</v>
      </c>
      <c r="D550" s="7" t="n">
        <v>43</v>
      </c>
      <c r="E550" s="7" t="s">
        <v>38</v>
      </c>
      <c r="F550" s="7" t="s">
        <v>39</v>
      </c>
      <c r="G550" s="8" t="n">
        <v>45926</v>
      </c>
      <c r="H550" s="8" t="n">
        <v>45939</v>
      </c>
      <c r="I550" s="7" t="s">
        <v>62</v>
      </c>
      <c r="J550" s="7" t="s">
        <v>63</v>
      </c>
      <c r="K550" s="7" t="n">
        <v>13</v>
      </c>
      <c r="L550" s="7" t="n">
        <v>5</v>
      </c>
      <c r="M550" s="7" t="n">
        <v>1</v>
      </c>
      <c r="N550" s="7" t="s">
        <v>42</v>
      </c>
      <c r="O550" s="7" t="s">
        <v>52</v>
      </c>
      <c r="P550" s="7" t="n">
        <v>8.9</v>
      </c>
      <c r="Q550" s="7" t="n">
        <v>20</v>
      </c>
      <c r="R550" s="7" t="s">
        <v>53</v>
      </c>
      <c r="S550" s="7"/>
      <c r="T550" s="7"/>
      <c r="U550" s="7" t="str">
        <f aca="false">IF(COUNTIF($A$2:$A$5001,A550)&gt;1,"Duplicate","Unique")</f>
        <v>Unique</v>
      </c>
      <c r="V550" s="7" t="str">
        <f aca="false">IF(COUNTIFS($B$2:$B$5001,B550,$H$2:$H$5001,H550,$J$2:$J$5001,J550)&gt;1,"Possible Duplicate Booking","Unique")</f>
        <v>Unique</v>
      </c>
      <c r="W550" s="7" t="str">
        <f aca="false">IF((H550-G550)&lt;&gt;K550,"Mismatch","OK")</f>
        <v>OK</v>
      </c>
      <c r="X550" s="7" t="str">
        <f aca="false">IF(TEXT(H550,"dddd")&lt;&gt;I550,"Mismatch","OK")</f>
        <v>OK</v>
      </c>
      <c r="Y550" s="7" t="str">
        <f aca="false">IF(AND(N550="No",O550&lt;&gt;""),"Unexpected: channel present but no reminder sent",IF(AND(N550="Yes",O550=""),"Missing channel for sent reminder","OK"))</f>
        <v>OK</v>
      </c>
    </row>
    <row r="551" customFormat="false" ht="15" hidden="false" customHeight="false" outlineLevel="0" collapsed="false">
      <c r="A551" s="9" t="s">
        <v>1095</v>
      </c>
      <c r="B551" s="9" t="s">
        <v>1096</v>
      </c>
      <c r="C551" s="9" t="s">
        <v>47</v>
      </c>
      <c r="D551" s="9" t="n">
        <v>42</v>
      </c>
      <c r="E551" s="9" t="s">
        <v>38</v>
      </c>
      <c r="F551" s="9" t="s">
        <v>39</v>
      </c>
      <c r="G551" s="10" t="n">
        <v>45984</v>
      </c>
      <c r="H551" s="10" t="n">
        <v>46029</v>
      </c>
      <c r="I551" s="9" t="s">
        <v>58</v>
      </c>
      <c r="J551" s="9" t="s">
        <v>51</v>
      </c>
      <c r="K551" s="9" t="n">
        <v>45</v>
      </c>
      <c r="L551" s="9" t="n">
        <v>1</v>
      </c>
      <c r="M551" s="9" t="n">
        <v>0</v>
      </c>
      <c r="N551" s="9" t="s">
        <v>42</v>
      </c>
      <c r="O551" s="9" t="s">
        <v>52</v>
      </c>
      <c r="P551" s="9" t="n">
        <v>22.1</v>
      </c>
      <c r="Q551" s="9" t="n">
        <v>31</v>
      </c>
      <c r="R551" s="9" t="s">
        <v>44</v>
      </c>
      <c r="S551" s="9"/>
      <c r="T551" s="9"/>
      <c r="U551" s="9" t="str">
        <f aca="false">IF(COUNTIF($A$2:$A$5001,A551)&gt;1,"Duplicate","Unique")</f>
        <v>Unique</v>
      </c>
      <c r="V551" s="9" t="str">
        <f aca="false">IF(COUNTIFS($B$2:$B$5001,B551,$H$2:$H$5001,H551,$J$2:$J$5001,J551)&gt;1,"Possible Duplicate Booking","Unique")</f>
        <v>Unique</v>
      </c>
      <c r="W551" s="9" t="str">
        <f aca="false">IF((H551-G551)&lt;&gt;K551,"Mismatch","OK")</f>
        <v>OK</v>
      </c>
      <c r="X551" s="9" t="str">
        <f aca="false">IF(TEXT(H551,"dddd")&lt;&gt;I551,"Mismatch","OK")</f>
        <v>OK</v>
      </c>
      <c r="Y551" s="9" t="str">
        <f aca="false">IF(AND(N551="No",O551&lt;&gt;""),"Unexpected: channel present but no reminder sent",IF(AND(N551="Yes",O551=""),"Missing channel for sent reminder","OK"))</f>
        <v>OK</v>
      </c>
    </row>
    <row r="552" customFormat="false" ht="15" hidden="false" customHeight="false" outlineLevel="0" collapsed="false">
      <c r="A552" s="7" t="s">
        <v>1097</v>
      </c>
      <c r="B552" s="7" t="s">
        <v>219</v>
      </c>
      <c r="C552" s="7" t="s">
        <v>47</v>
      </c>
      <c r="D552" s="7" t="n">
        <v>80</v>
      </c>
      <c r="E552" s="7" t="s">
        <v>70</v>
      </c>
      <c r="F552" s="7" t="s">
        <v>57</v>
      </c>
      <c r="G552" s="8" t="n">
        <v>46060</v>
      </c>
      <c r="H552" s="8" t="n">
        <v>46096</v>
      </c>
      <c r="I552" s="7" t="s">
        <v>75</v>
      </c>
      <c r="J552" s="7" t="s">
        <v>51</v>
      </c>
      <c r="K552" s="7" t="n">
        <v>36</v>
      </c>
      <c r="L552" s="7" t="n">
        <v>4</v>
      </c>
      <c r="M552" s="7" t="n">
        <v>0</v>
      </c>
      <c r="N552" s="7" t="s">
        <v>42</v>
      </c>
      <c r="O552" s="7" t="s">
        <v>67</v>
      </c>
      <c r="P552" s="7" t="n">
        <v>4</v>
      </c>
      <c r="Q552" s="7" t="n">
        <v>28</v>
      </c>
      <c r="R552" s="7" t="s">
        <v>53</v>
      </c>
      <c r="S552" s="7"/>
      <c r="T552" s="7"/>
      <c r="U552" s="7" t="str">
        <f aca="false">IF(COUNTIF($A$2:$A$5001,A552)&gt;1,"Duplicate","Unique")</f>
        <v>Unique</v>
      </c>
      <c r="V552" s="7" t="str">
        <f aca="false">IF(COUNTIFS($B$2:$B$5001,B552,$H$2:$H$5001,H552,$J$2:$J$5001,J552)&gt;1,"Possible Duplicate Booking","Unique")</f>
        <v>Unique</v>
      </c>
      <c r="W552" s="7" t="str">
        <f aca="false">IF((H552-G552)&lt;&gt;K552,"Mismatch","OK")</f>
        <v>OK</v>
      </c>
      <c r="X552" s="7" t="str">
        <f aca="false">IF(TEXT(H552,"dddd")&lt;&gt;I552,"Mismatch","OK")</f>
        <v>OK</v>
      </c>
      <c r="Y552" s="7" t="str">
        <f aca="false">IF(AND(N552="No",O552&lt;&gt;""),"Unexpected: channel present but no reminder sent",IF(AND(N552="Yes",O552=""),"Missing channel for sent reminder","OK"))</f>
        <v>OK</v>
      </c>
    </row>
    <row r="553" customFormat="false" ht="15" hidden="false" customHeight="false" outlineLevel="0" collapsed="false">
      <c r="A553" s="9" t="s">
        <v>1098</v>
      </c>
      <c r="B553" s="9" t="s">
        <v>1099</v>
      </c>
      <c r="C553" s="9" t="s">
        <v>37</v>
      </c>
      <c r="D553" s="9" t="n">
        <v>65</v>
      </c>
      <c r="E553" s="9" t="s">
        <v>70</v>
      </c>
      <c r="F553" s="9" t="s">
        <v>49</v>
      </c>
      <c r="G553" s="10" t="n">
        <v>45851</v>
      </c>
      <c r="H553" s="10" t="n">
        <v>45872</v>
      </c>
      <c r="I553" s="9" t="s">
        <v>75</v>
      </c>
      <c r="J553" s="9" t="s">
        <v>41</v>
      </c>
      <c r="K553" s="9" t="n">
        <v>21</v>
      </c>
      <c r="L553" s="9" t="n">
        <v>4</v>
      </c>
      <c r="M553" s="9" t="n">
        <v>1</v>
      </c>
      <c r="N553" s="9" t="s">
        <v>42</v>
      </c>
      <c r="O553" s="9" t="s">
        <v>67</v>
      </c>
      <c r="P553" s="9" t="n">
        <v>16</v>
      </c>
      <c r="Q553" s="9" t="n">
        <v>13</v>
      </c>
      <c r="R553" s="9" t="s">
        <v>53</v>
      </c>
      <c r="S553" s="9"/>
      <c r="T553" s="9"/>
      <c r="U553" s="9" t="str">
        <f aca="false">IF(COUNTIF($A$2:$A$5001,A553)&gt;1,"Duplicate","Unique")</f>
        <v>Unique</v>
      </c>
      <c r="V553" s="9" t="str">
        <f aca="false">IF(COUNTIFS($B$2:$B$5001,B553,$H$2:$H$5001,H553,$J$2:$J$5001,J553)&gt;1,"Possible Duplicate Booking","Unique")</f>
        <v>Unique</v>
      </c>
      <c r="W553" s="9" t="str">
        <f aca="false">IF((H553-G553)&lt;&gt;K553,"Mismatch","OK")</f>
        <v>OK</v>
      </c>
      <c r="X553" s="9" t="str">
        <f aca="false">IF(TEXT(H553,"dddd")&lt;&gt;I553,"Mismatch","OK")</f>
        <v>OK</v>
      </c>
      <c r="Y553" s="9" t="str">
        <f aca="false">IF(AND(N553="No",O553&lt;&gt;""),"Unexpected: channel present but no reminder sent",IF(AND(N553="Yes",O553=""),"Missing channel for sent reminder","OK"))</f>
        <v>OK</v>
      </c>
    </row>
    <row r="554" customFormat="false" ht="15" hidden="false" customHeight="false" outlineLevel="0" collapsed="false">
      <c r="A554" s="7" t="s">
        <v>1100</v>
      </c>
      <c r="B554" s="7" t="s">
        <v>1101</v>
      </c>
      <c r="C554" s="7" t="s">
        <v>236</v>
      </c>
      <c r="D554" s="7" t="n">
        <v>75</v>
      </c>
      <c r="E554" s="7" t="s">
        <v>70</v>
      </c>
      <c r="F554" s="7" t="s">
        <v>74</v>
      </c>
      <c r="G554" s="8" t="n">
        <v>46070</v>
      </c>
      <c r="H554" s="8" t="n">
        <v>46110</v>
      </c>
      <c r="I554" s="7" t="s">
        <v>75</v>
      </c>
      <c r="J554" s="7" t="s">
        <v>51</v>
      </c>
      <c r="K554" s="7" t="n">
        <v>40</v>
      </c>
      <c r="L554" s="7" t="n">
        <v>4</v>
      </c>
      <c r="M554" s="7" t="n">
        <v>1</v>
      </c>
      <c r="N554" s="7" t="s">
        <v>42</v>
      </c>
      <c r="O554" s="7" t="s">
        <v>43</v>
      </c>
      <c r="P554" s="7" t="n">
        <v>7.6</v>
      </c>
      <c r="Q554" s="7" t="n">
        <v>10</v>
      </c>
      <c r="R554" s="7" t="s">
        <v>44</v>
      </c>
      <c r="S554" s="7"/>
      <c r="T554" s="7"/>
      <c r="U554" s="7" t="str">
        <f aca="false">IF(COUNTIF($A$2:$A$5001,A554)&gt;1,"Duplicate","Unique")</f>
        <v>Unique</v>
      </c>
      <c r="V554" s="7" t="str">
        <f aca="false">IF(COUNTIFS($B$2:$B$5001,B554,$H$2:$H$5001,H554,$J$2:$J$5001,J554)&gt;1,"Possible Duplicate Booking","Unique")</f>
        <v>Unique</v>
      </c>
      <c r="W554" s="7" t="str">
        <f aca="false">IF((H554-G554)&lt;&gt;K554,"Mismatch","OK")</f>
        <v>OK</v>
      </c>
      <c r="X554" s="7" t="str">
        <f aca="false">IF(TEXT(H554,"dddd")&lt;&gt;I554,"Mismatch","OK")</f>
        <v>OK</v>
      </c>
      <c r="Y554" s="7" t="str">
        <f aca="false">IF(AND(N554="No",O554&lt;&gt;""),"Unexpected: channel present but no reminder sent",IF(AND(N554="Yes",O554=""),"Missing channel for sent reminder","OK"))</f>
        <v>OK</v>
      </c>
    </row>
    <row r="555" customFormat="false" ht="15" hidden="false" customHeight="false" outlineLevel="0" collapsed="false">
      <c r="A555" s="9" t="s">
        <v>1102</v>
      </c>
      <c r="B555" s="9" t="s">
        <v>1103</v>
      </c>
      <c r="C555" s="9" t="s">
        <v>37</v>
      </c>
      <c r="D555" s="9" t="n">
        <v>54</v>
      </c>
      <c r="E555" s="9" t="s">
        <v>56</v>
      </c>
      <c r="F555" s="9" t="s">
        <v>49</v>
      </c>
      <c r="G555" s="10" t="n">
        <v>45792</v>
      </c>
      <c r="H555" s="10" t="n">
        <v>45831</v>
      </c>
      <c r="I555" s="9" t="s">
        <v>66</v>
      </c>
      <c r="J555" s="9" t="s">
        <v>51</v>
      </c>
      <c r="K555" s="9" t="n">
        <v>39</v>
      </c>
      <c r="L555" s="9" t="n">
        <v>1</v>
      </c>
      <c r="M555" s="9" t="n">
        <v>0</v>
      </c>
      <c r="N555" s="9" t="s">
        <v>71</v>
      </c>
      <c r="O555" s="9"/>
      <c r="P555" s="9" t="n">
        <v>1.2</v>
      </c>
      <c r="Q555" s="9" t="n">
        <v>21</v>
      </c>
      <c r="R555" s="9" t="s">
        <v>53</v>
      </c>
      <c r="S555" s="9"/>
      <c r="T555" s="9"/>
      <c r="U555" s="9" t="str">
        <f aca="false">IF(COUNTIF($A$2:$A$5001,A555)&gt;1,"Duplicate","Unique")</f>
        <v>Unique</v>
      </c>
      <c r="V555" s="9" t="str">
        <f aca="false">IF(COUNTIFS($B$2:$B$5001,B555,$H$2:$H$5001,H555,$J$2:$J$5001,J555)&gt;1,"Possible Duplicate Booking","Unique")</f>
        <v>Unique</v>
      </c>
      <c r="W555" s="9" t="str">
        <f aca="false">IF((H555-G555)&lt;&gt;K555,"Mismatch","OK")</f>
        <v>OK</v>
      </c>
      <c r="X555" s="9" t="str">
        <f aca="false">IF(TEXT(H555,"dddd")&lt;&gt;I555,"Mismatch","OK")</f>
        <v>OK</v>
      </c>
      <c r="Y555" s="9" t="str">
        <f aca="false">IF(AND(N555="No",O555&lt;&gt;""),"Unexpected: channel present but no reminder sent",IF(AND(N555="Yes",O555=""),"Missing channel for sent reminder","OK"))</f>
        <v>OK</v>
      </c>
    </row>
    <row r="556" customFormat="false" ht="15" hidden="false" customHeight="false" outlineLevel="0" collapsed="false">
      <c r="A556" s="7" t="s">
        <v>1104</v>
      </c>
      <c r="B556" s="7" t="s">
        <v>1105</v>
      </c>
      <c r="C556" s="7" t="s">
        <v>37</v>
      </c>
      <c r="D556" s="7" t="n">
        <v>76</v>
      </c>
      <c r="E556" s="7" t="s">
        <v>70</v>
      </c>
      <c r="F556" s="7" t="s">
        <v>74</v>
      </c>
      <c r="G556" s="8" t="n">
        <v>46162</v>
      </c>
      <c r="H556" s="8" t="n">
        <v>46195</v>
      </c>
      <c r="I556" s="7" t="s">
        <v>66</v>
      </c>
      <c r="J556" s="7" t="s">
        <v>51</v>
      </c>
      <c r="K556" s="7" t="n">
        <v>33</v>
      </c>
      <c r="L556" s="7" t="n">
        <v>3</v>
      </c>
      <c r="M556" s="7" t="n">
        <v>0</v>
      </c>
      <c r="N556" s="7" t="s">
        <v>71</v>
      </c>
      <c r="O556" s="7"/>
      <c r="P556" s="7" t="n">
        <v>15.3</v>
      </c>
      <c r="Q556" s="7" t="n">
        <v>29</v>
      </c>
      <c r="R556" s="7" t="s">
        <v>53</v>
      </c>
      <c r="S556" s="7"/>
      <c r="T556" s="7"/>
      <c r="U556" s="7" t="str">
        <f aca="false">IF(COUNTIF($A$2:$A$5001,A556)&gt;1,"Duplicate","Unique")</f>
        <v>Unique</v>
      </c>
      <c r="V556" s="7" t="str">
        <f aca="false">IF(COUNTIFS($B$2:$B$5001,B556,$H$2:$H$5001,H556,$J$2:$J$5001,J556)&gt;1,"Possible Duplicate Booking","Unique")</f>
        <v>Unique</v>
      </c>
      <c r="W556" s="7" t="str">
        <f aca="false">IF((H556-G556)&lt;&gt;K556,"Mismatch","OK")</f>
        <v>OK</v>
      </c>
      <c r="X556" s="7" t="str">
        <f aca="false">IF(TEXT(H556,"dddd")&lt;&gt;I556,"Mismatch","OK")</f>
        <v>OK</v>
      </c>
      <c r="Y556" s="7" t="str">
        <f aca="false">IF(AND(N556="No",O556&lt;&gt;""),"Unexpected: channel present but no reminder sent",IF(AND(N556="Yes",O556=""),"Missing channel for sent reminder","OK"))</f>
        <v>OK</v>
      </c>
    </row>
    <row r="557" customFormat="false" ht="15" hidden="false" customHeight="false" outlineLevel="0" collapsed="false">
      <c r="A557" s="9" t="s">
        <v>1106</v>
      </c>
      <c r="B557" s="9" t="s">
        <v>1107</v>
      </c>
      <c r="C557" s="9" t="s">
        <v>37</v>
      </c>
      <c r="D557" s="9" t="n">
        <v>63</v>
      </c>
      <c r="E557" s="9" t="s">
        <v>61</v>
      </c>
      <c r="F557" s="9" t="s">
        <v>39</v>
      </c>
      <c r="G557" s="10" t="n">
        <v>45902</v>
      </c>
      <c r="H557" s="10" t="n">
        <v>45933</v>
      </c>
      <c r="I557" s="9" t="s">
        <v>50</v>
      </c>
      <c r="J557" s="9" t="s">
        <v>51</v>
      </c>
      <c r="K557" s="9" t="n">
        <v>31</v>
      </c>
      <c r="L557" s="9" t="n">
        <v>3</v>
      </c>
      <c r="M557" s="9" t="n">
        <v>0</v>
      </c>
      <c r="N557" s="9" t="s">
        <v>71</v>
      </c>
      <c r="O557" s="9"/>
      <c r="P557" s="9" t="n">
        <v>15.1</v>
      </c>
      <c r="Q557" s="9" t="n">
        <v>44</v>
      </c>
      <c r="R557" s="9" t="s">
        <v>44</v>
      </c>
      <c r="S557" s="9"/>
      <c r="T557" s="9"/>
      <c r="U557" s="9" t="str">
        <f aca="false">IF(COUNTIF($A$2:$A$5001,A557)&gt;1,"Duplicate","Unique")</f>
        <v>Unique</v>
      </c>
      <c r="V557" s="9" t="str">
        <f aca="false">IF(COUNTIFS($B$2:$B$5001,B557,$H$2:$H$5001,H557,$J$2:$J$5001,J557)&gt;1,"Possible Duplicate Booking","Unique")</f>
        <v>Unique</v>
      </c>
      <c r="W557" s="9" t="str">
        <f aca="false">IF((H557-G557)&lt;&gt;K557,"Mismatch","OK")</f>
        <v>OK</v>
      </c>
      <c r="X557" s="9" t="str">
        <f aca="false">IF(TEXT(H557,"dddd")&lt;&gt;I557,"Mismatch","OK")</f>
        <v>OK</v>
      </c>
      <c r="Y557" s="9" t="str">
        <f aca="false">IF(AND(N557="No",O557&lt;&gt;""),"Unexpected: channel present but no reminder sent",IF(AND(N557="Yes",O557=""),"Missing channel for sent reminder","OK"))</f>
        <v>OK</v>
      </c>
    </row>
    <row r="558" customFormat="false" ht="15" hidden="false" customHeight="false" outlineLevel="0" collapsed="false">
      <c r="A558" s="7" t="s">
        <v>1108</v>
      </c>
      <c r="B558" s="7" t="s">
        <v>1109</v>
      </c>
      <c r="C558" s="7" t="s">
        <v>37</v>
      </c>
      <c r="D558" s="7" t="n">
        <v>64</v>
      </c>
      <c r="E558" s="7" t="s">
        <v>61</v>
      </c>
      <c r="F558" s="7" t="s">
        <v>39</v>
      </c>
      <c r="G558" s="8" t="n">
        <v>46053</v>
      </c>
      <c r="H558" s="8" t="n">
        <v>46059</v>
      </c>
      <c r="I558" s="7" t="s">
        <v>50</v>
      </c>
      <c r="J558" s="7" t="s">
        <v>51</v>
      </c>
      <c r="K558" s="7" t="n">
        <v>6</v>
      </c>
      <c r="L558" s="7" t="n">
        <v>2</v>
      </c>
      <c r="M558" s="7" t="n">
        <v>0</v>
      </c>
      <c r="N558" s="7" t="s">
        <v>42</v>
      </c>
      <c r="O558" s="7" t="s">
        <v>67</v>
      </c>
      <c r="P558" s="7" t="n">
        <v>3.9</v>
      </c>
      <c r="Q558" s="7" t="n">
        <v>12</v>
      </c>
      <c r="R558" s="7" t="s">
        <v>44</v>
      </c>
      <c r="S558" s="7"/>
      <c r="T558" s="7"/>
      <c r="U558" s="7" t="str">
        <f aca="false">IF(COUNTIF($A$2:$A$5001,A558)&gt;1,"Duplicate","Unique")</f>
        <v>Unique</v>
      </c>
      <c r="V558" s="7" t="str">
        <f aca="false">IF(COUNTIFS($B$2:$B$5001,B558,$H$2:$H$5001,H558,$J$2:$J$5001,J558)&gt;1,"Possible Duplicate Booking","Unique")</f>
        <v>Unique</v>
      </c>
      <c r="W558" s="7" t="str">
        <f aca="false">IF((H558-G558)&lt;&gt;K558,"Mismatch","OK")</f>
        <v>OK</v>
      </c>
      <c r="X558" s="7" t="str">
        <f aca="false">IF(TEXT(H558,"dddd")&lt;&gt;I558,"Mismatch","OK")</f>
        <v>OK</v>
      </c>
      <c r="Y558" s="7" t="str">
        <f aca="false">IF(AND(N558="No",O558&lt;&gt;""),"Unexpected: channel present but no reminder sent",IF(AND(N558="Yes",O558=""),"Missing channel for sent reminder","OK"))</f>
        <v>OK</v>
      </c>
    </row>
    <row r="559" customFormat="false" ht="15" hidden="false" customHeight="false" outlineLevel="0" collapsed="false">
      <c r="A559" s="9" t="s">
        <v>1110</v>
      </c>
      <c r="B559" s="9" t="s">
        <v>1111</v>
      </c>
      <c r="C559" s="9" t="s">
        <v>37</v>
      </c>
      <c r="D559" s="9" t="n">
        <v>29</v>
      </c>
      <c r="E559" s="9" t="s">
        <v>48</v>
      </c>
      <c r="F559" s="9" t="s">
        <v>57</v>
      </c>
      <c r="G559" s="10" t="n">
        <v>46120</v>
      </c>
      <c r="H559" s="10" t="n">
        <v>46135</v>
      </c>
      <c r="I559" s="9" t="s">
        <v>62</v>
      </c>
      <c r="J559" s="9" t="s">
        <v>41</v>
      </c>
      <c r="K559" s="9" t="n">
        <v>15</v>
      </c>
      <c r="L559" s="9" t="n">
        <v>3</v>
      </c>
      <c r="M559" s="9" t="n">
        <v>0</v>
      </c>
      <c r="N559" s="9" t="s">
        <v>42</v>
      </c>
      <c r="O559" s="9" t="s">
        <v>52</v>
      </c>
      <c r="P559" s="9" t="n">
        <v>11.1</v>
      </c>
      <c r="Q559" s="9" t="n">
        <v>14</v>
      </c>
      <c r="R559" s="9" t="s">
        <v>44</v>
      </c>
      <c r="S559" s="9"/>
      <c r="T559" s="9"/>
      <c r="U559" s="9" t="str">
        <f aca="false">IF(COUNTIF($A$2:$A$5001,A559)&gt;1,"Duplicate","Unique")</f>
        <v>Unique</v>
      </c>
      <c r="V559" s="9" t="str">
        <f aca="false">IF(COUNTIFS($B$2:$B$5001,B559,$H$2:$H$5001,H559,$J$2:$J$5001,J559)&gt;1,"Possible Duplicate Booking","Unique")</f>
        <v>Unique</v>
      </c>
      <c r="W559" s="9" t="str">
        <f aca="false">IF((H559-G559)&lt;&gt;K559,"Mismatch","OK")</f>
        <v>OK</v>
      </c>
      <c r="X559" s="9" t="str">
        <f aca="false">IF(TEXT(H559,"dddd")&lt;&gt;I559,"Mismatch","OK")</f>
        <v>OK</v>
      </c>
      <c r="Y559" s="9" t="str">
        <f aca="false">IF(AND(N559="No",O559&lt;&gt;""),"Unexpected: channel present but no reminder sent",IF(AND(N559="Yes",O559=""),"Missing channel for sent reminder","OK"))</f>
        <v>OK</v>
      </c>
    </row>
    <row r="560" customFormat="false" ht="15" hidden="false" customHeight="false" outlineLevel="0" collapsed="false">
      <c r="A560" s="7" t="s">
        <v>1112</v>
      </c>
      <c r="B560" s="7" t="s">
        <v>1113</v>
      </c>
      <c r="C560" s="7" t="s">
        <v>47</v>
      </c>
      <c r="D560" s="7" t="n">
        <v>53</v>
      </c>
      <c r="E560" s="7" t="s">
        <v>56</v>
      </c>
      <c r="F560" s="7" t="s">
        <v>49</v>
      </c>
      <c r="G560" s="8" t="n">
        <v>46058</v>
      </c>
      <c r="H560" s="8" t="n">
        <v>46090</v>
      </c>
      <c r="I560" s="7" t="s">
        <v>66</v>
      </c>
      <c r="J560" s="7" t="s">
        <v>51</v>
      </c>
      <c r="K560" s="7" t="n">
        <v>32</v>
      </c>
      <c r="L560" s="7" t="n">
        <v>7</v>
      </c>
      <c r="M560" s="7" t="n">
        <v>2</v>
      </c>
      <c r="N560" s="7" t="s">
        <v>42</v>
      </c>
      <c r="O560" s="7" t="s">
        <v>52</v>
      </c>
      <c r="P560" s="7" t="n">
        <v>7.4</v>
      </c>
      <c r="Q560" s="7" t="n">
        <v>35</v>
      </c>
      <c r="R560" s="7" t="s">
        <v>44</v>
      </c>
      <c r="S560" s="7"/>
      <c r="T560" s="7"/>
      <c r="U560" s="7" t="str">
        <f aca="false">IF(COUNTIF($A$2:$A$5001,A560)&gt;1,"Duplicate","Unique")</f>
        <v>Unique</v>
      </c>
      <c r="V560" s="7" t="str">
        <f aca="false">IF(COUNTIFS($B$2:$B$5001,B560,$H$2:$H$5001,H560,$J$2:$J$5001,J560)&gt;1,"Possible Duplicate Booking","Unique")</f>
        <v>Unique</v>
      </c>
      <c r="W560" s="7" t="str">
        <f aca="false">IF((H560-G560)&lt;&gt;K560,"Mismatch","OK")</f>
        <v>OK</v>
      </c>
      <c r="X560" s="7" t="str">
        <f aca="false">IF(TEXT(H560,"dddd")&lt;&gt;I560,"Mismatch","OK")</f>
        <v>OK</v>
      </c>
      <c r="Y560" s="7" t="str">
        <f aca="false">IF(AND(N560="No",O560&lt;&gt;""),"Unexpected: channel present but no reminder sent",IF(AND(N560="Yes",O560=""),"Missing channel for sent reminder","OK"))</f>
        <v>OK</v>
      </c>
    </row>
    <row r="561" customFormat="false" ht="15" hidden="false" customHeight="false" outlineLevel="0" collapsed="false">
      <c r="A561" s="9" t="s">
        <v>1114</v>
      </c>
      <c r="B561" s="9" t="s">
        <v>1115</v>
      </c>
      <c r="C561" s="9" t="s">
        <v>47</v>
      </c>
      <c r="D561" s="9" t="n">
        <v>64</v>
      </c>
      <c r="E561" s="9" t="s">
        <v>61</v>
      </c>
      <c r="F561" s="9" t="s">
        <v>74</v>
      </c>
      <c r="G561" s="10" t="n">
        <v>46114</v>
      </c>
      <c r="H561" s="10" t="n">
        <v>46122</v>
      </c>
      <c r="I561" s="9" t="s">
        <v>50</v>
      </c>
      <c r="J561" s="9" t="s">
        <v>41</v>
      </c>
      <c r="K561" s="9" t="n">
        <v>8</v>
      </c>
      <c r="L561" s="9" t="n">
        <v>3</v>
      </c>
      <c r="M561" s="9" t="n">
        <v>0</v>
      </c>
      <c r="N561" s="9" t="s">
        <v>71</v>
      </c>
      <c r="O561" s="9"/>
      <c r="P561" s="9" t="n">
        <v>9.8</v>
      </c>
      <c r="Q561" s="9" t="n">
        <v>27</v>
      </c>
      <c r="R561" s="9" t="s">
        <v>44</v>
      </c>
      <c r="S561" s="9"/>
      <c r="T561" s="9"/>
      <c r="U561" s="9" t="str">
        <f aca="false">IF(COUNTIF($A$2:$A$5001,A561)&gt;1,"Duplicate","Unique")</f>
        <v>Unique</v>
      </c>
      <c r="V561" s="9" t="str">
        <f aca="false">IF(COUNTIFS($B$2:$B$5001,B561,$H$2:$H$5001,H561,$J$2:$J$5001,J561)&gt;1,"Possible Duplicate Booking","Unique")</f>
        <v>Unique</v>
      </c>
      <c r="W561" s="9" t="str">
        <f aca="false">IF((H561-G561)&lt;&gt;K561,"Mismatch","OK")</f>
        <v>OK</v>
      </c>
      <c r="X561" s="9" t="str">
        <f aca="false">IF(TEXT(H561,"dddd")&lt;&gt;I561,"Mismatch","OK")</f>
        <v>OK</v>
      </c>
      <c r="Y561" s="9" t="str">
        <f aca="false">IF(AND(N561="No",O561&lt;&gt;""),"Unexpected: channel present but no reminder sent",IF(AND(N561="Yes",O561=""),"Missing channel for sent reminder","OK"))</f>
        <v>OK</v>
      </c>
    </row>
    <row r="562" customFormat="false" ht="15" hidden="false" customHeight="false" outlineLevel="0" collapsed="false">
      <c r="A562" s="7" t="s">
        <v>1116</v>
      </c>
      <c r="B562" s="7" t="s">
        <v>1117</v>
      </c>
      <c r="C562" s="7" t="s">
        <v>47</v>
      </c>
      <c r="D562" s="7" t="n">
        <v>65</v>
      </c>
      <c r="E562" s="7" t="s">
        <v>70</v>
      </c>
      <c r="F562" s="7" t="s">
        <v>39</v>
      </c>
      <c r="G562" s="8" t="n">
        <v>45921</v>
      </c>
      <c r="H562" s="8" t="n">
        <v>45950</v>
      </c>
      <c r="I562" s="7" t="s">
        <v>66</v>
      </c>
      <c r="J562" s="7" t="s">
        <v>51</v>
      </c>
      <c r="K562" s="7" t="n">
        <v>29</v>
      </c>
      <c r="L562" s="7" t="n">
        <v>2</v>
      </c>
      <c r="M562" s="7" t="n">
        <v>1</v>
      </c>
      <c r="N562" s="7" t="s">
        <v>42</v>
      </c>
      <c r="O562" s="7" t="s">
        <v>43</v>
      </c>
      <c r="P562" s="7" t="n">
        <v>5.3</v>
      </c>
      <c r="Q562" s="7" t="n">
        <v>23</v>
      </c>
      <c r="R562" s="7" t="s">
        <v>53</v>
      </c>
      <c r="S562" s="7"/>
      <c r="T562" s="7"/>
      <c r="U562" s="7" t="str">
        <f aca="false">IF(COUNTIF($A$2:$A$5001,A562)&gt;1,"Duplicate","Unique")</f>
        <v>Unique</v>
      </c>
      <c r="V562" s="7" t="str">
        <f aca="false">IF(COUNTIFS($B$2:$B$5001,B562,$H$2:$H$5001,H562,$J$2:$J$5001,J562)&gt;1,"Possible Duplicate Booking","Unique")</f>
        <v>Unique</v>
      </c>
      <c r="W562" s="7" t="str">
        <f aca="false">IF((H562-G562)&lt;&gt;K562,"Mismatch","OK")</f>
        <v>OK</v>
      </c>
      <c r="X562" s="7" t="str">
        <f aca="false">IF(TEXT(H562,"dddd")&lt;&gt;I562,"Mismatch","OK")</f>
        <v>OK</v>
      </c>
      <c r="Y562" s="7" t="str">
        <f aca="false">IF(AND(N562="No",O562&lt;&gt;""),"Unexpected: channel present but no reminder sent",IF(AND(N562="Yes",O562=""),"Missing channel for sent reminder","OK"))</f>
        <v>OK</v>
      </c>
    </row>
    <row r="563" customFormat="false" ht="15" hidden="false" customHeight="false" outlineLevel="0" collapsed="false">
      <c r="A563" s="9" t="s">
        <v>1118</v>
      </c>
      <c r="B563" s="9" t="s">
        <v>1119</v>
      </c>
      <c r="C563" s="9" t="s">
        <v>37</v>
      </c>
      <c r="D563" s="9" t="n">
        <v>78</v>
      </c>
      <c r="E563" s="9" t="s">
        <v>70</v>
      </c>
      <c r="F563" s="9" t="s">
        <v>57</v>
      </c>
      <c r="G563" s="10" t="n">
        <v>45674</v>
      </c>
      <c r="H563" s="10" t="n">
        <v>45681</v>
      </c>
      <c r="I563" s="9" t="s">
        <v>50</v>
      </c>
      <c r="J563" s="9" t="s">
        <v>63</v>
      </c>
      <c r="K563" s="9" t="n">
        <v>7</v>
      </c>
      <c r="L563" s="9" t="n">
        <v>1</v>
      </c>
      <c r="M563" s="9" t="n">
        <v>1</v>
      </c>
      <c r="N563" s="9" t="s">
        <v>71</v>
      </c>
      <c r="O563" s="9"/>
      <c r="P563" s="9" t="n">
        <v>4.2</v>
      </c>
      <c r="Q563" s="9" t="n">
        <v>32</v>
      </c>
      <c r="R563" s="9" t="s">
        <v>53</v>
      </c>
      <c r="S563" s="9"/>
      <c r="T563" s="9"/>
      <c r="U563" s="9" t="str">
        <f aca="false">IF(COUNTIF($A$2:$A$5001,A563)&gt;1,"Duplicate","Unique")</f>
        <v>Unique</v>
      </c>
      <c r="V563" s="9" t="str">
        <f aca="false">IF(COUNTIFS($B$2:$B$5001,B563,$H$2:$H$5001,H563,$J$2:$J$5001,J563)&gt;1,"Possible Duplicate Booking","Unique")</f>
        <v>Unique</v>
      </c>
      <c r="W563" s="9" t="str">
        <f aca="false">IF((H563-G563)&lt;&gt;K563,"Mismatch","OK")</f>
        <v>OK</v>
      </c>
      <c r="X563" s="9" t="str">
        <f aca="false">IF(TEXT(H563,"dddd")&lt;&gt;I563,"Mismatch","OK")</f>
        <v>OK</v>
      </c>
      <c r="Y563" s="9" t="str">
        <f aca="false">IF(AND(N563="No",O563&lt;&gt;""),"Unexpected: channel present but no reminder sent",IF(AND(N563="Yes",O563=""),"Missing channel for sent reminder","OK"))</f>
        <v>OK</v>
      </c>
    </row>
    <row r="564" customFormat="false" ht="15" hidden="false" customHeight="false" outlineLevel="0" collapsed="false">
      <c r="A564" s="7" t="s">
        <v>1120</v>
      </c>
      <c r="B564" s="7" t="s">
        <v>288</v>
      </c>
      <c r="C564" s="7" t="s">
        <v>47</v>
      </c>
      <c r="D564" s="7" t="n">
        <v>38</v>
      </c>
      <c r="E564" s="7" t="s">
        <v>38</v>
      </c>
      <c r="F564" s="7" t="s">
        <v>39</v>
      </c>
      <c r="G564" s="8" t="n">
        <v>45879</v>
      </c>
      <c r="H564" s="8" t="n">
        <v>45927</v>
      </c>
      <c r="I564" s="7" t="s">
        <v>102</v>
      </c>
      <c r="J564" s="7" t="s">
        <v>41</v>
      </c>
      <c r="K564" s="7" t="n">
        <v>48</v>
      </c>
      <c r="L564" s="7" t="n">
        <v>5</v>
      </c>
      <c r="M564" s="7" t="n">
        <v>0</v>
      </c>
      <c r="N564" s="7" t="s">
        <v>71</v>
      </c>
      <c r="O564" s="7"/>
      <c r="P564" s="7" t="n">
        <v>3.5</v>
      </c>
      <c r="Q564" s="7" t="n">
        <v>38</v>
      </c>
      <c r="R564" s="7" t="s">
        <v>44</v>
      </c>
      <c r="S564" s="7"/>
      <c r="T564" s="7"/>
      <c r="U564" s="7" t="str">
        <f aca="false">IF(COUNTIF($A$2:$A$5001,A564)&gt;1,"Duplicate","Unique")</f>
        <v>Unique</v>
      </c>
      <c r="V564" s="7" t="str">
        <f aca="false">IF(COUNTIFS($B$2:$B$5001,B564,$H$2:$H$5001,H564,$J$2:$J$5001,J564)&gt;1,"Possible Duplicate Booking","Unique")</f>
        <v>Unique</v>
      </c>
      <c r="W564" s="7" t="str">
        <f aca="false">IF((H564-G564)&lt;&gt;K564,"Mismatch","OK")</f>
        <v>OK</v>
      </c>
      <c r="X564" s="7" t="str">
        <f aca="false">IF(TEXT(H564,"dddd")&lt;&gt;I564,"Mismatch","OK")</f>
        <v>OK</v>
      </c>
      <c r="Y564" s="7" t="str">
        <f aca="false">IF(AND(N564="No",O564&lt;&gt;""),"Unexpected: channel present but no reminder sent",IF(AND(N564="Yes",O564=""),"Missing channel for sent reminder","OK"))</f>
        <v>OK</v>
      </c>
    </row>
    <row r="565" customFormat="false" ht="15" hidden="false" customHeight="false" outlineLevel="0" collapsed="false">
      <c r="A565" s="9" t="s">
        <v>1121</v>
      </c>
      <c r="B565" s="9" t="s">
        <v>1051</v>
      </c>
      <c r="C565" s="9" t="s">
        <v>37</v>
      </c>
      <c r="D565" s="9" t="n">
        <v>37</v>
      </c>
      <c r="E565" s="9" t="s">
        <v>38</v>
      </c>
      <c r="F565" s="9" t="s">
        <v>49</v>
      </c>
      <c r="G565" s="10" t="n">
        <v>45751</v>
      </c>
      <c r="H565" s="10" t="n">
        <v>45757</v>
      </c>
      <c r="I565" s="9" t="s">
        <v>62</v>
      </c>
      <c r="J565" s="9" t="s">
        <v>63</v>
      </c>
      <c r="K565" s="9" t="n">
        <v>6</v>
      </c>
      <c r="L565" s="9" t="n">
        <v>4</v>
      </c>
      <c r="M565" s="9" t="n">
        <v>1</v>
      </c>
      <c r="N565" s="9" t="s">
        <v>42</v>
      </c>
      <c r="O565" s="9" t="s">
        <v>43</v>
      </c>
      <c r="P565" s="9" t="n">
        <v>17.9</v>
      </c>
      <c r="Q565" s="9" t="n">
        <v>36</v>
      </c>
      <c r="R565" s="9" t="s">
        <v>53</v>
      </c>
      <c r="S565" s="9"/>
      <c r="T565" s="9"/>
      <c r="U565" s="9" t="str">
        <f aca="false">IF(COUNTIF($A$2:$A$5001,A565)&gt;1,"Duplicate","Unique")</f>
        <v>Unique</v>
      </c>
      <c r="V565" s="9" t="str">
        <f aca="false">IF(COUNTIFS($B$2:$B$5001,B565,$H$2:$H$5001,H565,$J$2:$J$5001,J565)&gt;1,"Possible Duplicate Booking","Unique")</f>
        <v>Unique</v>
      </c>
      <c r="W565" s="9" t="str">
        <f aca="false">IF((H565-G565)&lt;&gt;K565,"Mismatch","OK")</f>
        <v>OK</v>
      </c>
      <c r="X565" s="9" t="str">
        <f aca="false">IF(TEXT(H565,"dddd")&lt;&gt;I565,"Mismatch","OK")</f>
        <v>OK</v>
      </c>
      <c r="Y565" s="9" t="str">
        <f aca="false">IF(AND(N565="No",O565&lt;&gt;""),"Unexpected: channel present but no reminder sent",IF(AND(N565="Yes",O565=""),"Missing channel for sent reminder","OK"))</f>
        <v>OK</v>
      </c>
    </row>
    <row r="566" customFormat="false" ht="15" hidden="false" customHeight="false" outlineLevel="0" collapsed="false">
      <c r="A566" s="7" t="s">
        <v>1122</v>
      </c>
      <c r="B566" s="7" t="s">
        <v>1123</v>
      </c>
      <c r="C566" s="7" t="s">
        <v>47</v>
      </c>
      <c r="D566" s="7" t="n">
        <v>79</v>
      </c>
      <c r="E566" s="7" t="s">
        <v>70</v>
      </c>
      <c r="F566" s="7" t="s">
        <v>74</v>
      </c>
      <c r="G566" s="8" t="n">
        <v>46138</v>
      </c>
      <c r="H566" s="8" t="n">
        <v>46143</v>
      </c>
      <c r="I566" s="7" t="s">
        <v>50</v>
      </c>
      <c r="J566" s="7" t="s">
        <v>51</v>
      </c>
      <c r="K566" s="7" t="n">
        <v>5</v>
      </c>
      <c r="L566" s="7" t="n">
        <v>3</v>
      </c>
      <c r="M566" s="7" t="n">
        <v>0</v>
      </c>
      <c r="N566" s="7" t="s">
        <v>42</v>
      </c>
      <c r="O566" s="7" t="s">
        <v>43</v>
      </c>
      <c r="P566" s="7" t="n">
        <v>4</v>
      </c>
      <c r="Q566" s="7" t="n">
        <v>17</v>
      </c>
      <c r="R566" s="7" t="s">
        <v>53</v>
      </c>
      <c r="S566" s="7"/>
      <c r="T566" s="7"/>
      <c r="U566" s="7" t="str">
        <f aca="false">IF(COUNTIF($A$2:$A$5001,A566)&gt;1,"Duplicate","Unique")</f>
        <v>Unique</v>
      </c>
      <c r="V566" s="7" t="str">
        <f aca="false">IF(COUNTIFS($B$2:$B$5001,B566,$H$2:$H$5001,H566,$J$2:$J$5001,J566)&gt;1,"Possible Duplicate Booking","Unique")</f>
        <v>Unique</v>
      </c>
      <c r="W566" s="7" t="str">
        <f aca="false">IF((H566-G566)&lt;&gt;K566,"Mismatch","OK")</f>
        <v>OK</v>
      </c>
      <c r="X566" s="7" t="str">
        <f aca="false">IF(TEXT(H566,"dddd")&lt;&gt;I566,"Mismatch","OK")</f>
        <v>OK</v>
      </c>
      <c r="Y566" s="7" t="str">
        <f aca="false">IF(AND(N566="No",O566&lt;&gt;""),"Unexpected: channel present but no reminder sent",IF(AND(N566="Yes",O566=""),"Missing channel for sent reminder","OK"))</f>
        <v>OK</v>
      </c>
    </row>
    <row r="567" customFormat="false" ht="15" hidden="false" customHeight="false" outlineLevel="0" collapsed="false">
      <c r="A567" s="9" t="s">
        <v>1124</v>
      </c>
      <c r="B567" s="9" t="s">
        <v>1125</v>
      </c>
      <c r="C567" s="9" t="s">
        <v>47</v>
      </c>
      <c r="D567" s="9" t="n">
        <v>80</v>
      </c>
      <c r="E567" s="9" t="s">
        <v>70</v>
      </c>
      <c r="F567" s="9" t="s">
        <v>57</v>
      </c>
      <c r="G567" s="10" t="n">
        <v>45749</v>
      </c>
      <c r="H567" s="10" t="n">
        <v>45787</v>
      </c>
      <c r="I567" s="9" t="s">
        <v>102</v>
      </c>
      <c r="J567" s="9" t="s">
        <v>51</v>
      </c>
      <c r="K567" s="9" t="n">
        <v>38</v>
      </c>
      <c r="L567" s="9" t="n">
        <v>4</v>
      </c>
      <c r="M567" s="9" t="n">
        <v>1</v>
      </c>
      <c r="N567" s="9" t="s">
        <v>42</v>
      </c>
      <c r="O567" s="9" t="s">
        <v>52</v>
      </c>
      <c r="P567" s="9" t="n">
        <v>11</v>
      </c>
      <c r="Q567" s="9"/>
      <c r="R567" s="9" t="s">
        <v>53</v>
      </c>
      <c r="S567" s="9"/>
      <c r="T567" s="9"/>
      <c r="U567" s="9" t="str">
        <f aca="false">IF(COUNTIF($A$2:$A$5001,A567)&gt;1,"Duplicate","Unique")</f>
        <v>Unique</v>
      </c>
      <c r="V567" s="9" t="str">
        <f aca="false">IF(COUNTIFS($B$2:$B$5001,B567,$H$2:$H$5001,H567,$J$2:$J$5001,J567)&gt;1,"Possible Duplicate Booking","Unique")</f>
        <v>Unique</v>
      </c>
      <c r="W567" s="9" t="str">
        <f aca="false">IF((H567-G567)&lt;&gt;K567,"Mismatch","OK")</f>
        <v>OK</v>
      </c>
      <c r="X567" s="9" t="str">
        <f aca="false">IF(TEXT(H567,"dddd")&lt;&gt;I567,"Mismatch","OK")</f>
        <v>OK</v>
      </c>
      <c r="Y567" s="9" t="str">
        <f aca="false">IF(AND(N567="No",O567&lt;&gt;""),"Unexpected: channel present but no reminder sent",IF(AND(N567="Yes",O567=""),"Missing channel for sent reminder","OK"))</f>
        <v>OK</v>
      </c>
    </row>
    <row r="568" customFormat="false" ht="15" hidden="false" customHeight="false" outlineLevel="0" collapsed="false">
      <c r="A568" s="7" t="s">
        <v>1126</v>
      </c>
      <c r="B568" s="7" t="s">
        <v>1127</v>
      </c>
      <c r="C568" s="7" t="s">
        <v>37</v>
      </c>
      <c r="D568" s="7" t="n">
        <v>29</v>
      </c>
      <c r="E568" s="7" t="s">
        <v>48</v>
      </c>
      <c r="F568" s="7" t="s">
        <v>57</v>
      </c>
      <c r="G568" s="8" t="n">
        <v>45769</v>
      </c>
      <c r="H568" s="8" t="n">
        <v>45782</v>
      </c>
      <c r="I568" s="7" t="s">
        <v>66</v>
      </c>
      <c r="J568" s="7" t="s">
        <v>41</v>
      </c>
      <c r="K568" s="7" t="n">
        <v>13</v>
      </c>
      <c r="L568" s="7" t="n">
        <v>2</v>
      </c>
      <c r="M568" s="7" t="n">
        <v>1</v>
      </c>
      <c r="N568" s="7" t="s">
        <v>42</v>
      </c>
      <c r="O568" s="7" t="s">
        <v>43</v>
      </c>
      <c r="P568" s="7" t="n">
        <v>4</v>
      </c>
      <c r="Q568" s="7" t="n">
        <v>37</v>
      </c>
      <c r="R568" s="7" t="s">
        <v>53</v>
      </c>
      <c r="S568" s="7"/>
      <c r="T568" s="7"/>
      <c r="U568" s="7" t="str">
        <f aca="false">IF(COUNTIF($A$2:$A$5001,A568)&gt;1,"Duplicate","Unique")</f>
        <v>Unique</v>
      </c>
      <c r="V568" s="7" t="str">
        <f aca="false">IF(COUNTIFS($B$2:$B$5001,B568,$H$2:$H$5001,H568,$J$2:$J$5001,J568)&gt;1,"Possible Duplicate Booking","Unique")</f>
        <v>Unique</v>
      </c>
      <c r="W568" s="7" t="str">
        <f aca="false">IF((H568-G568)&lt;&gt;K568,"Mismatch","OK")</f>
        <v>OK</v>
      </c>
      <c r="X568" s="7" t="str">
        <f aca="false">IF(TEXT(H568,"dddd")&lt;&gt;I568,"Mismatch","OK")</f>
        <v>OK</v>
      </c>
      <c r="Y568" s="7" t="str">
        <f aca="false">IF(AND(N568="No",O568&lt;&gt;""),"Unexpected: channel present but no reminder sent",IF(AND(N568="Yes",O568=""),"Missing channel for sent reminder","OK"))</f>
        <v>OK</v>
      </c>
    </row>
    <row r="569" customFormat="false" ht="15" hidden="false" customHeight="false" outlineLevel="0" collapsed="false">
      <c r="A569" s="9" t="s">
        <v>1128</v>
      </c>
      <c r="B569" s="9" t="s">
        <v>1129</v>
      </c>
      <c r="C569" s="9" t="s">
        <v>47</v>
      </c>
      <c r="D569" s="9" t="n">
        <v>41</v>
      </c>
      <c r="E569" s="9" t="s">
        <v>38</v>
      </c>
      <c r="F569" s="9" t="s">
        <v>57</v>
      </c>
      <c r="G569" s="10" t="n">
        <v>45773</v>
      </c>
      <c r="H569" s="10" t="n">
        <v>45794</v>
      </c>
      <c r="I569" s="9" t="s">
        <v>102</v>
      </c>
      <c r="J569" s="9" t="s">
        <v>41</v>
      </c>
      <c r="K569" s="9" t="n">
        <v>21</v>
      </c>
      <c r="L569" s="9" t="n">
        <v>1</v>
      </c>
      <c r="M569" s="9" t="n">
        <v>1</v>
      </c>
      <c r="N569" s="9" t="s">
        <v>71</v>
      </c>
      <c r="O569" s="9"/>
      <c r="P569" s="9" t="n">
        <v>30.6</v>
      </c>
      <c r="Q569" s="9" t="n">
        <v>21</v>
      </c>
      <c r="R569" s="9" t="s">
        <v>53</v>
      </c>
      <c r="S569" s="9"/>
      <c r="T569" s="9"/>
      <c r="U569" s="9" t="str">
        <f aca="false">IF(COUNTIF($A$2:$A$5001,A569)&gt;1,"Duplicate","Unique")</f>
        <v>Unique</v>
      </c>
      <c r="V569" s="9" t="str">
        <f aca="false">IF(COUNTIFS($B$2:$B$5001,B569,$H$2:$H$5001,H569,$J$2:$J$5001,J569)&gt;1,"Possible Duplicate Booking","Unique")</f>
        <v>Unique</v>
      </c>
      <c r="W569" s="9" t="str">
        <f aca="false">IF((H569-G569)&lt;&gt;K569,"Mismatch","OK")</f>
        <v>OK</v>
      </c>
      <c r="X569" s="9" t="str">
        <f aca="false">IF(TEXT(H569,"dddd")&lt;&gt;I569,"Mismatch","OK")</f>
        <v>OK</v>
      </c>
      <c r="Y569" s="9" t="str">
        <f aca="false">IF(AND(N569="No",O569&lt;&gt;""),"Unexpected: channel present but no reminder sent",IF(AND(N569="Yes",O569=""),"Missing channel for sent reminder","OK"))</f>
        <v>OK</v>
      </c>
    </row>
    <row r="570" customFormat="false" ht="15" hidden="false" customHeight="false" outlineLevel="0" collapsed="false">
      <c r="A570" s="7" t="s">
        <v>1130</v>
      </c>
      <c r="B570" s="7" t="s">
        <v>1131</v>
      </c>
      <c r="C570" s="7" t="s">
        <v>47</v>
      </c>
      <c r="D570" s="7" t="n">
        <v>77</v>
      </c>
      <c r="E570" s="7" t="s">
        <v>70</v>
      </c>
      <c r="F570" s="7" t="s">
        <v>57</v>
      </c>
      <c r="G570" s="8" t="n">
        <v>45989</v>
      </c>
      <c r="H570" s="8" t="n">
        <v>46008</v>
      </c>
      <c r="I570" s="7" t="s">
        <v>58</v>
      </c>
      <c r="J570" s="7" t="s">
        <v>51</v>
      </c>
      <c r="K570" s="7" t="n">
        <v>19</v>
      </c>
      <c r="L570" s="7" t="n">
        <v>2</v>
      </c>
      <c r="M570" s="7" t="n">
        <v>0</v>
      </c>
      <c r="N570" s="7" t="s">
        <v>42</v>
      </c>
      <c r="O570" s="7" t="s">
        <v>52</v>
      </c>
      <c r="P570" s="7" t="n">
        <v>4</v>
      </c>
      <c r="Q570" s="7" t="n">
        <v>29</v>
      </c>
      <c r="R570" s="7" t="s">
        <v>53</v>
      </c>
      <c r="S570" s="7"/>
      <c r="T570" s="7"/>
      <c r="U570" s="7" t="str">
        <f aca="false">IF(COUNTIF($A$2:$A$5001,A570)&gt;1,"Duplicate","Unique")</f>
        <v>Unique</v>
      </c>
      <c r="V570" s="7" t="str">
        <f aca="false">IF(COUNTIFS($B$2:$B$5001,B570,$H$2:$H$5001,H570,$J$2:$J$5001,J570)&gt;1,"Possible Duplicate Booking","Unique")</f>
        <v>Unique</v>
      </c>
      <c r="W570" s="7" t="str">
        <f aca="false">IF((H570-G570)&lt;&gt;K570,"Mismatch","OK")</f>
        <v>OK</v>
      </c>
      <c r="X570" s="7" t="str">
        <f aca="false">IF(TEXT(H570,"dddd")&lt;&gt;I570,"Mismatch","OK")</f>
        <v>OK</v>
      </c>
      <c r="Y570" s="7" t="str">
        <f aca="false">IF(AND(N570="No",O570&lt;&gt;""),"Unexpected: channel present but no reminder sent",IF(AND(N570="Yes",O570=""),"Missing channel for sent reminder","OK"))</f>
        <v>OK</v>
      </c>
    </row>
    <row r="571" customFormat="false" ht="15" hidden="false" customHeight="false" outlineLevel="0" collapsed="false">
      <c r="A571" s="9" t="s">
        <v>1132</v>
      </c>
      <c r="B571" s="9" t="s">
        <v>1133</v>
      </c>
      <c r="C571" s="9" t="s">
        <v>37</v>
      </c>
      <c r="D571" s="9" t="n">
        <v>30</v>
      </c>
      <c r="E571" s="9" t="s">
        <v>48</v>
      </c>
      <c r="F571" s="9" t="s">
        <v>74</v>
      </c>
      <c r="G571" s="10" t="n">
        <v>45956</v>
      </c>
      <c r="H571" s="10" t="n">
        <v>45969</v>
      </c>
      <c r="I571" s="9" t="s">
        <v>102</v>
      </c>
      <c r="J571" s="9" t="s">
        <v>41</v>
      </c>
      <c r="K571" s="9" t="n">
        <v>13</v>
      </c>
      <c r="L571" s="9" t="n">
        <v>2</v>
      </c>
      <c r="M571" s="9" t="n">
        <v>1</v>
      </c>
      <c r="N571" s="9" t="s">
        <v>71</v>
      </c>
      <c r="O571" s="9"/>
      <c r="P571" s="9" t="n">
        <v>3.9</v>
      </c>
      <c r="Q571" s="9" t="n">
        <v>18</v>
      </c>
      <c r="R571" s="9" t="s">
        <v>53</v>
      </c>
      <c r="S571" s="9"/>
      <c r="T571" s="9"/>
      <c r="U571" s="9" t="str">
        <f aca="false">IF(COUNTIF($A$2:$A$5001,A571)&gt;1,"Duplicate","Unique")</f>
        <v>Unique</v>
      </c>
      <c r="V571" s="9" t="str">
        <f aca="false">IF(COUNTIFS($B$2:$B$5001,B571,$H$2:$H$5001,H571,$J$2:$J$5001,J571)&gt;1,"Possible Duplicate Booking","Unique")</f>
        <v>Unique</v>
      </c>
      <c r="W571" s="9" t="str">
        <f aca="false">IF((H571-G571)&lt;&gt;K571,"Mismatch","OK")</f>
        <v>OK</v>
      </c>
      <c r="X571" s="9" t="str">
        <f aca="false">IF(TEXT(H571,"dddd")&lt;&gt;I571,"Mismatch","OK")</f>
        <v>OK</v>
      </c>
      <c r="Y571" s="9" t="str">
        <f aca="false">IF(AND(N571="No",O571&lt;&gt;""),"Unexpected: channel present but no reminder sent",IF(AND(N571="Yes",O571=""),"Missing channel for sent reminder","OK"))</f>
        <v>OK</v>
      </c>
    </row>
    <row r="572" customFormat="false" ht="15" hidden="false" customHeight="false" outlineLevel="0" collapsed="false">
      <c r="A572" s="7" t="s">
        <v>1134</v>
      </c>
      <c r="B572" s="7" t="s">
        <v>1135</v>
      </c>
      <c r="C572" s="7" t="s">
        <v>47</v>
      </c>
      <c r="D572" s="7" t="n">
        <v>67</v>
      </c>
      <c r="E572" s="7" t="s">
        <v>70</v>
      </c>
      <c r="F572" s="7" t="s">
        <v>39</v>
      </c>
      <c r="G572" s="8" t="n">
        <v>46130</v>
      </c>
      <c r="H572" s="8" t="n">
        <v>46176</v>
      </c>
      <c r="I572" s="7" t="s">
        <v>58</v>
      </c>
      <c r="J572" s="7" t="s">
        <v>41</v>
      </c>
      <c r="K572" s="7" t="n">
        <v>46</v>
      </c>
      <c r="L572" s="7" t="n">
        <v>2</v>
      </c>
      <c r="M572" s="7" t="n">
        <v>0</v>
      </c>
      <c r="N572" s="7" t="s">
        <v>42</v>
      </c>
      <c r="O572" s="7" t="s">
        <v>52</v>
      </c>
      <c r="P572" s="7" t="n">
        <v>19.7</v>
      </c>
      <c r="Q572" s="7" t="n">
        <v>14</v>
      </c>
      <c r="R572" s="7" t="s">
        <v>44</v>
      </c>
      <c r="S572" s="7"/>
      <c r="T572" s="7"/>
      <c r="U572" s="7" t="str">
        <f aca="false">IF(COUNTIF($A$2:$A$5001,A572)&gt;1,"Duplicate","Unique")</f>
        <v>Unique</v>
      </c>
      <c r="V572" s="7" t="str">
        <f aca="false">IF(COUNTIFS($B$2:$B$5001,B572,$H$2:$H$5001,H572,$J$2:$J$5001,J572)&gt;1,"Possible Duplicate Booking","Unique")</f>
        <v>Unique</v>
      </c>
      <c r="W572" s="7" t="str">
        <f aca="false">IF((H572-G572)&lt;&gt;K572,"Mismatch","OK")</f>
        <v>OK</v>
      </c>
      <c r="X572" s="7" t="str">
        <f aca="false">IF(TEXT(H572,"dddd")&lt;&gt;I572,"Mismatch","OK")</f>
        <v>OK</v>
      </c>
      <c r="Y572" s="7" t="str">
        <f aca="false">IF(AND(N572="No",O572&lt;&gt;""),"Unexpected: channel present but no reminder sent",IF(AND(N572="Yes",O572=""),"Missing channel for sent reminder","OK"))</f>
        <v>OK</v>
      </c>
    </row>
    <row r="573" customFormat="false" ht="15" hidden="false" customHeight="false" outlineLevel="0" collapsed="false">
      <c r="A573" s="9" t="s">
        <v>1136</v>
      </c>
      <c r="B573" s="9" t="s">
        <v>84</v>
      </c>
      <c r="C573" s="9" t="s">
        <v>47</v>
      </c>
      <c r="D573" s="9" t="n">
        <v>25</v>
      </c>
      <c r="E573" s="9" t="s">
        <v>48</v>
      </c>
      <c r="F573" s="9" t="s">
        <v>39</v>
      </c>
      <c r="G573" s="10" t="n">
        <v>45843</v>
      </c>
      <c r="H573" s="10" t="n">
        <v>45885</v>
      </c>
      <c r="I573" s="9" t="s">
        <v>102</v>
      </c>
      <c r="J573" s="9" t="s">
        <v>51</v>
      </c>
      <c r="K573" s="9" t="n">
        <v>42</v>
      </c>
      <c r="L573" s="9" t="n">
        <v>1</v>
      </c>
      <c r="M573" s="9" t="n">
        <v>0</v>
      </c>
      <c r="N573" s="9" t="s">
        <v>71</v>
      </c>
      <c r="O573" s="9"/>
      <c r="P573" s="9" t="n">
        <v>7</v>
      </c>
      <c r="Q573" s="9" t="n">
        <v>29</v>
      </c>
      <c r="R573" s="9" t="s">
        <v>87</v>
      </c>
      <c r="S573" s="9"/>
      <c r="T573" s="9"/>
      <c r="U573" s="9" t="str">
        <f aca="false">IF(COUNTIF($A$2:$A$5001,A573)&gt;1,"Duplicate","Unique")</f>
        <v>Unique</v>
      </c>
      <c r="V573" s="9" t="str">
        <f aca="false">IF(COUNTIFS($B$2:$B$5001,B573,$H$2:$H$5001,H573,$J$2:$J$5001,J573)&gt;1,"Possible Duplicate Booking","Unique")</f>
        <v>Unique</v>
      </c>
      <c r="W573" s="9" t="str">
        <f aca="false">IF((H573-G573)&lt;&gt;K573,"Mismatch","OK")</f>
        <v>OK</v>
      </c>
      <c r="X573" s="9" t="str">
        <f aca="false">IF(TEXT(H573,"dddd")&lt;&gt;I573,"Mismatch","OK")</f>
        <v>OK</v>
      </c>
      <c r="Y573" s="9" t="str">
        <f aca="false">IF(AND(N573="No",O573&lt;&gt;""),"Unexpected: channel present but no reminder sent",IF(AND(N573="Yes",O573=""),"Missing channel for sent reminder","OK"))</f>
        <v>OK</v>
      </c>
    </row>
    <row r="574" customFormat="false" ht="15" hidden="false" customHeight="false" outlineLevel="0" collapsed="false">
      <c r="A574" s="7" t="s">
        <v>1137</v>
      </c>
      <c r="B574" s="7" t="s">
        <v>1138</v>
      </c>
      <c r="C574" s="7" t="s">
        <v>37</v>
      </c>
      <c r="D574" s="7" t="n">
        <v>29</v>
      </c>
      <c r="E574" s="7" t="s">
        <v>48</v>
      </c>
      <c r="F574" s="7" t="s">
        <v>57</v>
      </c>
      <c r="G574" s="8" t="n">
        <v>45798</v>
      </c>
      <c r="H574" s="8" t="n">
        <v>45812</v>
      </c>
      <c r="I574" s="7" t="s">
        <v>58</v>
      </c>
      <c r="J574" s="7" t="s">
        <v>41</v>
      </c>
      <c r="K574" s="7" t="n">
        <v>14</v>
      </c>
      <c r="L574" s="7" t="n">
        <v>2</v>
      </c>
      <c r="M574" s="7" t="n">
        <v>1</v>
      </c>
      <c r="N574" s="7" t="s">
        <v>42</v>
      </c>
      <c r="O574" s="7" t="s">
        <v>43</v>
      </c>
      <c r="P574" s="7" t="n">
        <v>3.2</v>
      </c>
      <c r="Q574" s="7" t="n">
        <v>35</v>
      </c>
      <c r="R574" s="7" t="s">
        <v>44</v>
      </c>
      <c r="S574" s="7"/>
      <c r="T574" s="7"/>
      <c r="U574" s="7" t="str">
        <f aca="false">IF(COUNTIF($A$2:$A$5001,A574)&gt;1,"Duplicate","Unique")</f>
        <v>Unique</v>
      </c>
      <c r="V574" s="7" t="str">
        <f aca="false">IF(COUNTIFS($B$2:$B$5001,B574,$H$2:$H$5001,H574,$J$2:$J$5001,J574)&gt;1,"Possible Duplicate Booking","Unique")</f>
        <v>Unique</v>
      </c>
      <c r="W574" s="7" t="str">
        <f aca="false">IF((H574-G574)&lt;&gt;K574,"Mismatch","OK")</f>
        <v>OK</v>
      </c>
      <c r="X574" s="7" t="str">
        <f aca="false">IF(TEXT(H574,"dddd")&lt;&gt;I574,"Mismatch","OK")</f>
        <v>OK</v>
      </c>
      <c r="Y574" s="7" t="str">
        <f aca="false">IF(AND(N574="No",O574&lt;&gt;""),"Unexpected: channel present but no reminder sent",IF(AND(N574="Yes",O574=""),"Missing channel for sent reminder","OK"))</f>
        <v>OK</v>
      </c>
    </row>
    <row r="575" customFormat="false" ht="15" hidden="false" customHeight="false" outlineLevel="0" collapsed="false">
      <c r="A575" s="9" t="s">
        <v>1139</v>
      </c>
      <c r="B575" s="9" t="s">
        <v>1140</v>
      </c>
      <c r="C575" s="9" t="s">
        <v>37</v>
      </c>
      <c r="D575" s="9" t="n">
        <v>67</v>
      </c>
      <c r="E575" s="9" t="s">
        <v>70</v>
      </c>
      <c r="F575" s="9" t="s">
        <v>39</v>
      </c>
      <c r="G575" s="10" t="n">
        <v>45643</v>
      </c>
      <c r="H575" s="10" t="n">
        <v>45684</v>
      </c>
      <c r="I575" s="9" t="s">
        <v>66</v>
      </c>
      <c r="J575" s="9" t="s">
        <v>51</v>
      </c>
      <c r="K575" s="9" t="n">
        <v>41</v>
      </c>
      <c r="L575" s="9" t="n">
        <v>3</v>
      </c>
      <c r="M575" s="9" t="n">
        <v>1</v>
      </c>
      <c r="N575" s="9" t="s">
        <v>42</v>
      </c>
      <c r="O575" s="9" t="s">
        <v>52</v>
      </c>
      <c r="P575" s="9" t="n">
        <v>8</v>
      </c>
      <c r="Q575" s="9" t="n">
        <v>33</v>
      </c>
      <c r="R575" s="9" t="s">
        <v>44</v>
      </c>
      <c r="S575" s="9"/>
      <c r="T575" s="9"/>
      <c r="U575" s="9" t="str">
        <f aca="false">IF(COUNTIF($A$2:$A$5001,A575)&gt;1,"Duplicate","Unique")</f>
        <v>Unique</v>
      </c>
      <c r="V575" s="9" t="str">
        <f aca="false">IF(COUNTIFS($B$2:$B$5001,B575,$H$2:$H$5001,H575,$J$2:$J$5001,J575)&gt;1,"Possible Duplicate Booking","Unique")</f>
        <v>Unique</v>
      </c>
      <c r="W575" s="9" t="str">
        <f aca="false">IF((H575-G575)&lt;&gt;K575,"Mismatch","OK")</f>
        <v>OK</v>
      </c>
      <c r="X575" s="9" t="str">
        <f aca="false">IF(TEXT(H575,"dddd")&lt;&gt;I575,"Mismatch","OK")</f>
        <v>OK</v>
      </c>
      <c r="Y575" s="9" t="str">
        <f aca="false">IF(AND(N575="No",O575&lt;&gt;""),"Unexpected: channel present but no reminder sent",IF(AND(N575="Yes",O575=""),"Missing channel for sent reminder","OK"))</f>
        <v>OK</v>
      </c>
    </row>
    <row r="576" customFormat="false" ht="15" hidden="false" customHeight="false" outlineLevel="0" collapsed="false">
      <c r="A576" s="7" t="s">
        <v>1141</v>
      </c>
      <c r="B576" s="7" t="s">
        <v>1142</v>
      </c>
      <c r="C576" s="7" t="s">
        <v>37</v>
      </c>
      <c r="D576" s="7" t="n">
        <v>56</v>
      </c>
      <c r="E576" s="7" t="s">
        <v>61</v>
      </c>
      <c r="F576" s="7" t="s">
        <v>74</v>
      </c>
      <c r="G576" s="8" t="n">
        <v>45618</v>
      </c>
      <c r="H576" s="8" t="n">
        <v>45661</v>
      </c>
      <c r="I576" s="7" t="s">
        <v>102</v>
      </c>
      <c r="J576" s="7" t="s">
        <v>51</v>
      </c>
      <c r="K576" s="7" t="n">
        <v>43</v>
      </c>
      <c r="L576" s="7" t="n">
        <v>2</v>
      </c>
      <c r="M576" s="7" t="n">
        <v>0</v>
      </c>
      <c r="N576" s="7" t="s">
        <v>42</v>
      </c>
      <c r="O576" s="7" t="s">
        <v>52</v>
      </c>
      <c r="P576" s="7" t="n">
        <v>4.5</v>
      </c>
      <c r="Q576" s="7" t="n">
        <v>10</v>
      </c>
      <c r="R576" s="7" t="s">
        <v>53</v>
      </c>
      <c r="S576" s="7"/>
      <c r="T576" s="7"/>
      <c r="U576" s="7" t="str">
        <f aca="false">IF(COUNTIF($A$2:$A$5001,A576)&gt;1,"Duplicate","Unique")</f>
        <v>Unique</v>
      </c>
      <c r="V576" s="7" t="str">
        <f aca="false">IF(COUNTIFS($B$2:$B$5001,B576,$H$2:$H$5001,H576,$J$2:$J$5001,J576)&gt;1,"Possible Duplicate Booking","Unique")</f>
        <v>Unique</v>
      </c>
      <c r="W576" s="7" t="str">
        <f aca="false">IF((H576-G576)&lt;&gt;K576,"Mismatch","OK")</f>
        <v>OK</v>
      </c>
      <c r="X576" s="7" t="str">
        <f aca="false">IF(TEXT(H576,"dddd")&lt;&gt;I576,"Mismatch","OK")</f>
        <v>OK</v>
      </c>
      <c r="Y576" s="7" t="str">
        <f aca="false">IF(AND(N576="No",O576&lt;&gt;""),"Unexpected: channel present but no reminder sent",IF(AND(N576="Yes",O576=""),"Missing channel for sent reminder","OK"))</f>
        <v>OK</v>
      </c>
    </row>
    <row r="577" customFormat="false" ht="15" hidden="false" customHeight="false" outlineLevel="0" collapsed="false">
      <c r="A577" s="9" t="s">
        <v>1143</v>
      </c>
      <c r="B577" s="9" t="s">
        <v>1123</v>
      </c>
      <c r="C577" s="9" t="s">
        <v>47</v>
      </c>
      <c r="D577" s="9" t="n">
        <v>52</v>
      </c>
      <c r="E577" s="9" t="s">
        <v>56</v>
      </c>
      <c r="F577" s="9" t="s">
        <v>39</v>
      </c>
      <c r="G577" s="10" t="n">
        <v>45829</v>
      </c>
      <c r="H577" s="10" t="n">
        <v>45861</v>
      </c>
      <c r="I577" s="9" t="s">
        <v>58</v>
      </c>
      <c r="J577" s="9" t="s">
        <v>41</v>
      </c>
      <c r="K577" s="9" t="n">
        <v>32</v>
      </c>
      <c r="L577" s="9" t="n">
        <v>0</v>
      </c>
      <c r="M577" s="9" t="n">
        <v>0</v>
      </c>
      <c r="N577" s="9" t="s">
        <v>42</v>
      </c>
      <c r="O577" s="9" t="s">
        <v>52</v>
      </c>
      <c r="P577" s="9" t="n">
        <v>33.9</v>
      </c>
      <c r="Q577" s="9" t="n">
        <v>39</v>
      </c>
      <c r="R577" s="9" t="s">
        <v>53</v>
      </c>
      <c r="S577" s="9"/>
      <c r="T577" s="9"/>
      <c r="U577" s="9" t="str">
        <f aca="false">IF(COUNTIF($A$2:$A$5001,A577)&gt;1,"Duplicate","Unique")</f>
        <v>Unique</v>
      </c>
      <c r="V577" s="9" t="str">
        <f aca="false">IF(COUNTIFS($B$2:$B$5001,B577,$H$2:$H$5001,H577,$J$2:$J$5001,J577)&gt;1,"Possible Duplicate Booking","Unique")</f>
        <v>Unique</v>
      </c>
      <c r="W577" s="9" t="str">
        <f aca="false">IF((H577-G577)&lt;&gt;K577,"Mismatch","OK")</f>
        <v>OK</v>
      </c>
      <c r="X577" s="9" t="str">
        <f aca="false">IF(TEXT(H577,"dddd")&lt;&gt;I577,"Mismatch","OK")</f>
        <v>OK</v>
      </c>
      <c r="Y577" s="9" t="str">
        <f aca="false">IF(AND(N577="No",O577&lt;&gt;""),"Unexpected: channel present but no reminder sent",IF(AND(N577="Yes",O577=""),"Missing channel for sent reminder","OK"))</f>
        <v>OK</v>
      </c>
    </row>
    <row r="578" customFormat="false" ht="15" hidden="false" customHeight="false" outlineLevel="0" collapsed="false">
      <c r="A578" s="7" t="s">
        <v>1144</v>
      </c>
      <c r="B578" s="7" t="s">
        <v>256</v>
      </c>
      <c r="C578" s="7" t="s">
        <v>37</v>
      </c>
      <c r="D578" s="7" t="n">
        <v>71</v>
      </c>
      <c r="E578" s="7" t="s">
        <v>70</v>
      </c>
      <c r="F578" s="7" t="s">
        <v>57</v>
      </c>
      <c r="G578" s="8" t="n">
        <v>46128</v>
      </c>
      <c r="H578" s="8" t="n">
        <v>46163</v>
      </c>
      <c r="I578" s="7" t="s">
        <v>62</v>
      </c>
      <c r="J578" s="7" t="s">
        <v>41</v>
      </c>
      <c r="K578" s="7" t="n">
        <v>35</v>
      </c>
      <c r="L578" s="7" t="n">
        <v>2</v>
      </c>
      <c r="M578" s="7" t="n">
        <v>1</v>
      </c>
      <c r="N578" s="7" t="s">
        <v>71</v>
      </c>
      <c r="O578" s="7"/>
      <c r="P578" s="7" t="n">
        <v>1.9</v>
      </c>
      <c r="Q578" s="7" t="n">
        <v>31</v>
      </c>
      <c r="R578" s="7" t="s">
        <v>44</v>
      </c>
      <c r="S578" s="7"/>
      <c r="T578" s="7"/>
      <c r="U578" s="7" t="str">
        <f aca="false">IF(COUNTIF($A$2:$A$5001,A578)&gt;1,"Duplicate","Unique")</f>
        <v>Unique</v>
      </c>
      <c r="V578" s="7" t="str">
        <f aca="false">IF(COUNTIFS($B$2:$B$5001,B578,$H$2:$H$5001,H578,$J$2:$J$5001,J578)&gt;1,"Possible Duplicate Booking","Unique")</f>
        <v>Unique</v>
      </c>
      <c r="W578" s="7" t="str">
        <f aca="false">IF((H578-G578)&lt;&gt;K578,"Mismatch","OK")</f>
        <v>OK</v>
      </c>
      <c r="X578" s="7" t="str">
        <f aca="false">IF(TEXT(H578,"dddd")&lt;&gt;I578,"Mismatch","OK")</f>
        <v>OK</v>
      </c>
      <c r="Y578" s="7" t="str">
        <f aca="false">IF(AND(N578="No",O578&lt;&gt;""),"Unexpected: channel present but no reminder sent",IF(AND(N578="Yes",O578=""),"Missing channel for sent reminder","OK"))</f>
        <v>OK</v>
      </c>
    </row>
    <row r="579" customFormat="false" ht="15" hidden="false" customHeight="false" outlineLevel="0" collapsed="false">
      <c r="A579" s="9" t="s">
        <v>1145</v>
      </c>
      <c r="B579" s="9" t="s">
        <v>1146</v>
      </c>
      <c r="C579" s="9" t="s">
        <v>37</v>
      </c>
      <c r="D579" s="9" t="n">
        <v>37</v>
      </c>
      <c r="E579" s="9" t="s">
        <v>38</v>
      </c>
      <c r="F579" s="9" t="s">
        <v>57</v>
      </c>
      <c r="G579" s="10" t="n">
        <v>45886</v>
      </c>
      <c r="H579" s="10" t="n">
        <v>45943</v>
      </c>
      <c r="I579" s="9" t="s">
        <v>66</v>
      </c>
      <c r="J579" s="9" t="s">
        <v>41</v>
      </c>
      <c r="K579" s="9" t="n">
        <v>57</v>
      </c>
      <c r="L579" s="9" t="n">
        <v>4</v>
      </c>
      <c r="M579" s="9" t="n">
        <v>0</v>
      </c>
      <c r="N579" s="9" t="s">
        <v>42</v>
      </c>
      <c r="O579" s="9" t="s">
        <v>67</v>
      </c>
      <c r="P579" s="9" t="n">
        <v>12.7</v>
      </c>
      <c r="Q579" s="9" t="n">
        <v>37</v>
      </c>
      <c r="R579" s="9" t="s">
        <v>44</v>
      </c>
      <c r="S579" s="9"/>
      <c r="T579" s="9"/>
      <c r="U579" s="9" t="str">
        <f aca="false">IF(COUNTIF($A$2:$A$5001,A579)&gt;1,"Duplicate","Unique")</f>
        <v>Unique</v>
      </c>
      <c r="V579" s="9" t="str">
        <f aca="false">IF(COUNTIFS($B$2:$B$5001,B579,$H$2:$H$5001,H579,$J$2:$J$5001,J579)&gt;1,"Possible Duplicate Booking","Unique")</f>
        <v>Unique</v>
      </c>
      <c r="W579" s="9" t="str">
        <f aca="false">IF((H579-G579)&lt;&gt;K579,"Mismatch","OK")</f>
        <v>OK</v>
      </c>
      <c r="X579" s="9" t="str">
        <f aca="false">IF(TEXT(H579,"dddd")&lt;&gt;I579,"Mismatch","OK")</f>
        <v>OK</v>
      </c>
      <c r="Y579" s="9" t="str">
        <f aca="false">IF(AND(N579="No",O579&lt;&gt;""),"Unexpected: channel present but no reminder sent",IF(AND(N579="Yes",O579=""),"Missing channel for sent reminder","OK"))</f>
        <v>OK</v>
      </c>
    </row>
    <row r="580" customFormat="false" ht="15" hidden="false" customHeight="false" outlineLevel="0" collapsed="false">
      <c r="A580" s="7" t="s">
        <v>1147</v>
      </c>
      <c r="B580" s="7" t="s">
        <v>838</v>
      </c>
      <c r="C580" s="7" t="s">
        <v>37</v>
      </c>
      <c r="D580" s="7" t="n">
        <v>49</v>
      </c>
      <c r="E580" s="7" t="s">
        <v>56</v>
      </c>
      <c r="F580" s="7" t="s">
        <v>74</v>
      </c>
      <c r="G580" s="8" t="n">
        <v>46118</v>
      </c>
      <c r="H580" s="8" t="n">
        <v>46145</v>
      </c>
      <c r="I580" s="7" t="s">
        <v>75</v>
      </c>
      <c r="J580" s="7" t="s">
        <v>41</v>
      </c>
      <c r="K580" s="7" t="n">
        <v>27</v>
      </c>
      <c r="L580" s="7" t="n">
        <v>4</v>
      </c>
      <c r="M580" s="7" t="n">
        <v>1</v>
      </c>
      <c r="N580" s="7" t="s">
        <v>42</v>
      </c>
      <c r="O580" s="7" t="s">
        <v>43</v>
      </c>
      <c r="P580" s="7" t="n">
        <v>20.1</v>
      </c>
      <c r="Q580" s="7" t="n">
        <v>14</v>
      </c>
      <c r="R580" s="7" t="s">
        <v>87</v>
      </c>
      <c r="S580" s="7"/>
      <c r="T580" s="7"/>
      <c r="U580" s="7" t="str">
        <f aca="false">IF(COUNTIF($A$2:$A$5001,A580)&gt;1,"Duplicate","Unique")</f>
        <v>Unique</v>
      </c>
      <c r="V580" s="7" t="str">
        <f aca="false">IF(COUNTIFS($B$2:$B$5001,B580,$H$2:$H$5001,H580,$J$2:$J$5001,J580)&gt;1,"Possible Duplicate Booking","Unique")</f>
        <v>Unique</v>
      </c>
      <c r="W580" s="7" t="str">
        <f aca="false">IF((H580-G580)&lt;&gt;K580,"Mismatch","OK")</f>
        <v>OK</v>
      </c>
      <c r="X580" s="7" t="str">
        <f aca="false">IF(TEXT(H580,"dddd")&lt;&gt;I580,"Mismatch","OK")</f>
        <v>OK</v>
      </c>
      <c r="Y580" s="7" t="str">
        <f aca="false">IF(AND(N580="No",O580&lt;&gt;""),"Unexpected: channel present but no reminder sent",IF(AND(N580="Yes",O580=""),"Missing channel for sent reminder","OK"))</f>
        <v>OK</v>
      </c>
    </row>
    <row r="581" customFormat="false" ht="15" hidden="false" customHeight="false" outlineLevel="0" collapsed="false">
      <c r="A581" s="9" t="s">
        <v>1148</v>
      </c>
      <c r="B581" s="9" t="s">
        <v>1149</v>
      </c>
      <c r="C581" s="9" t="s">
        <v>236</v>
      </c>
      <c r="D581" s="9" t="n">
        <v>56</v>
      </c>
      <c r="E581" s="9" t="s">
        <v>61</v>
      </c>
      <c r="F581" s="9" t="s">
        <v>74</v>
      </c>
      <c r="G581" s="10" t="n">
        <v>45690</v>
      </c>
      <c r="H581" s="10" t="n">
        <v>45713</v>
      </c>
      <c r="I581" s="9" t="s">
        <v>40</v>
      </c>
      <c r="J581" s="9" t="s">
        <v>63</v>
      </c>
      <c r="K581" s="9" t="n">
        <v>23</v>
      </c>
      <c r="L581" s="9" t="n">
        <v>2</v>
      </c>
      <c r="M581" s="9" t="n">
        <v>0</v>
      </c>
      <c r="N581" s="9" t="s">
        <v>42</v>
      </c>
      <c r="O581" s="9" t="s">
        <v>43</v>
      </c>
      <c r="P581" s="9" t="n">
        <v>13.8</v>
      </c>
      <c r="Q581" s="9"/>
      <c r="R581" s="9" t="s">
        <v>44</v>
      </c>
      <c r="S581" s="9"/>
      <c r="T581" s="9"/>
      <c r="U581" s="9" t="str">
        <f aca="false">IF(COUNTIF($A$2:$A$5001,A581)&gt;1,"Duplicate","Unique")</f>
        <v>Unique</v>
      </c>
      <c r="V581" s="9" t="str">
        <f aca="false">IF(COUNTIFS($B$2:$B$5001,B581,$H$2:$H$5001,H581,$J$2:$J$5001,J581)&gt;1,"Possible Duplicate Booking","Unique")</f>
        <v>Unique</v>
      </c>
      <c r="W581" s="9" t="str">
        <f aca="false">IF((H581-G581)&lt;&gt;K581,"Mismatch","OK")</f>
        <v>OK</v>
      </c>
      <c r="X581" s="9" t="str">
        <f aca="false">IF(TEXT(H581,"dddd")&lt;&gt;I581,"Mismatch","OK")</f>
        <v>OK</v>
      </c>
      <c r="Y581" s="9" t="str">
        <f aca="false">IF(AND(N581="No",O581&lt;&gt;""),"Unexpected: channel present but no reminder sent",IF(AND(N581="Yes",O581=""),"Missing channel for sent reminder","OK"))</f>
        <v>OK</v>
      </c>
    </row>
    <row r="582" customFormat="false" ht="15" hidden="false" customHeight="false" outlineLevel="0" collapsed="false">
      <c r="A582" s="7" t="s">
        <v>1150</v>
      </c>
      <c r="B582" s="7" t="s">
        <v>1151</v>
      </c>
      <c r="C582" s="7" t="s">
        <v>47</v>
      </c>
      <c r="D582" s="7" t="n">
        <v>64</v>
      </c>
      <c r="E582" s="7" t="s">
        <v>61</v>
      </c>
      <c r="F582" s="7" t="s">
        <v>57</v>
      </c>
      <c r="G582" s="8" t="n">
        <v>45676</v>
      </c>
      <c r="H582" s="8" t="n">
        <v>45708</v>
      </c>
      <c r="I582" s="7" t="s">
        <v>62</v>
      </c>
      <c r="J582" s="7" t="s">
        <v>51</v>
      </c>
      <c r="K582" s="7" t="n">
        <v>32</v>
      </c>
      <c r="L582" s="7" t="n">
        <v>7</v>
      </c>
      <c r="M582" s="7" t="n">
        <v>2</v>
      </c>
      <c r="N582" s="7" t="s">
        <v>42</v>
      </c>
      <c r="O582" s="7" t="s">
        <v>52</v>
      </c>
      <c r="P582" s="7" t="n">
        <v>5.1</v>
      </c>
      <c r="Q582" s="7" t="n">
        <v>32</v>
      </c>
      <c r="R582" s="7" t="s">
        <v>53</v>
      </c>
      <c r="S582" s="7"/>
      <c r="T582" s="7"/>
      <c r="U582" s="7" t="str">
        <f aca="false">IF(COUNTIF($A$2:$A$5001,A582)&gt;1,"Duplicate","Unique")</f>
        <v>Unique</v>
      </c>
      <c r="V582" s="7" t="str">
        <f aca="false">IF(COUNTIFS($B$2:$B$5001,B582,$H$2:$H$5001,H582,$J$2:$J$5001,J582)&gt;1,"Possible Duplicate Booking","Unique")</f>
        <v>Unique</v>
      </c>
      <c r="W582" s="7" t="str">
        <f aca="false">IF((H582-G582)&lt;&gt;K582,"Mismatch","OK")</f>
        <v>OK</v>
      </c>
      <c r="X582" s="7" t="str">
        <f aca="false">IF(TEXT(H582,"dddd")&lt;&gt;I582,"Mismatch","OK")</f>
        <v>OK</v>
      </c>
      <c r="Y582" s="7" t="str">
        <f aca="false">IF(AND(N582="No",O582&lt;&gt;""),"Unexpected: channel present but no reminder sent",IF(AND(N582="Yes",O582=""),"Missing channel for sent reminder","OK"))</f>
        <v>OK</v>
      </c>
    </row>
    <row r="583" customFormat="false" ht="15" hidden="false" customHeight="false" outlineLevel="0" collapsed="false">
      <c r="A583" s="9" t="s">
        <v>1152</v>
      </c>
      <c r="B583" s="9" t="s">
        <v>1153</v>
      </c>
      <c r="C583" s="9" t="s">
        <v>47</v>
      </c>
      <c r="D583" s="9" t="n">
        <v>38</v>
      </c>
      <c r="E583" s="9" t="s">
        <v>38</v>
      </c>
      <c r="F583" s="9" t="s">
        <v>39</v>
      </c>
      <c r="G583" s="10" t="n">
        <v>46063</v>
      </c>
      <c r="H583" s="10" t="n">
        <v>46113</v>
      </c>
      <c r="I583" s="9" t="s">
        <v>58</v>
      </c>
      <c r="J583" s="9" t="s">
        <v>51</v>
      </c>
      <c r="K583" s="9" t="n">
        <v>50</v>
      </c>
      <c r="L583" s="9" t="n">
        <v>1</v>
      </c>
      <c r="M583" s="9" t="n">
        <v>0</v>
      </c>
      <c r="N583" s="9" t="s">
        <v>42</v>
      </c>
      <c r="O583" s="9" t="s">
        <v>52</v>
      </c>
      <c r="P583" s="9"/>
      <c r="Q583" s="9" t="n">
        <v>11</v>
      </c>
      <c r="R583" s="9" t="s">
        <v>44</v>
      </c>
      <c r="S583" s="9"/>
      <c r="T583" s="9"/>
      <c r="U583" s="9" t="str">
        <f aca="false">IF(COUNTIF($A$2:$A$5001,A583)&gt;1,"Duplicate","Unique")</f>
        <v>Unique</v>
      </c>
      <c r="V583" s="9" t="str">
        <f aca="false">IF(COUNTIFS($B$2:$B$5001,B583,$H$2:$H$5001,H583,$J$2:$J$5001,J583)&gt;1,"Possible Duplicate Booking","Unique")</f>
        <v>Unique</v>
      </c>
      <c r="W583" s="9" t="str">
        <f aca="false">IF((H583-G583)&lt;&gt;K583,"Mismatch","OK")</f>
        <v>OK</v>
      </c>
      <c r="X583" s="9" t="str">
        <f aca="false">IF(TEXT(H583,"dddd")&lt;&gt;I583,"Mismatch","OK")</f>
        <v>OK</v>
      </c>
      <c r="Y583" s="9" t="str">
        <f aca="false">IF(AND(N583="No",O583&lt;&gt;""),"Unexpected: channel present but no reminder sent",IF(AND(N583="Yes",O583=""),"Missing channel for sent reminder","OK"))</f>
        <v>OK</v>
      </c>
    </row>
    <row r="584" customFormat="false" ht="15" hidden="false" customHeight="false" outlineLevel="0" collapsed="false">
      <c r="A584" s="7" t="s">
        <v>1154</v>
      </c>
      <c r="B584" s="7" t="s">
        <v>1155</v>
      </c>
      <c r="C584" s="7" t="s">
        <v>47</v>
      </c>
      <c r="D584" s="7" t="n">
        <v>57</v>
      </c>
      <c r="E584" s="7" t="s">
        <v>61</v>
      </c>
      <c r="F584" s="7" t="s">
        <v>57</v>
      </c>
      <c r="G584" s="8" t="n">
        <v>45673</v>
      </c>
      <c r="H584" s="8" t="n">
        <v>45716</v>
      </c>
      <c r="I584" s="7" t="s">
        <v>50</v>
      </c>
      <c r="J584" s="7" t="s">
        <v>51</v>
      </c>
      <c r="K584" s="7" t="n">
        <v>43</v>
      </c>
      <c r="L584" s="7" t="n">
        <v>3</v>
      </c>
      <c r="M584" s="7" t="n">
        <v>0</v>
      </c>
      <c r="N584" s="7" t="s">
        <v>42</v>
      </c>
      <c r="O584" s="7" t="s">
        <v>52</v>
      </c>
      <c r="P584" s="7" t="n">
        <v>9.3</v>
      </c>
      <c r="Q584" s="7" t="n">
        <v>30</v>
      </c>
      <c r="R584" s="7" t="s">
        <v>53</v>
      </c>
      <c r="S584" s="7"/>
      <c r="T584" s="7"/>
      <c r="U584" s="7" t="str">
        <f aca="false">IF(COUNTIF($A$2:$A$5001,A584)&gt;1,"Duplicate","Unique")</f>
        <v>Unique</v>
      </c>
      <c r="V584" s="7" t="str">
        <f aca="false">IF(COUNTIFS($B$2:$B$5001,B584,$H$2:$H$5001,H584,$J$2:$J$5001,J584)&gt;1,"Possible Duplicate Booking","Unique")</f>
        <v>Unique</v>
      </c>
      <c r="W584" s="7" t="str">
        <f aca="false">IF((H584-G584)&lt;&gt;K584,"Mismatch","OK")</f>
        <v>OK</v>
      </c>
      <c r="X584" s="7" t="str">
        <f aca="false">IF(TEXT(H584,"dddd")&lt;&gt;I584,"Mismatch","OK")</f>
        <v>OK</v>
      </c>
      <c r="Y584" s="7" t="str">
        <f aca="false">IF(AND(N584="No",O584&lt;&gt;""),"Unexpected: channel present but no reminder sent",IF(AND(N584="Yes",O584=""),"Missing channel for sent reminder","OK"))</f>
        <v>OK</v>
      </c>
    </row>
    <row r="585" customFormat="false" ht="15" hidden="false" customHeight="false" outlineLevel="0" collapsed="false">
      <c r="A585" s="9" t="s">
        <v>1156</v>
      </c>
      <c r="B585" s="9" t="s">
        <v>1157</v>
      </c>
      <c r="C585" s="9" t="s">
        <v>47</v>
      </c>
      <c r="D585" s="9" t="n">
        <v>46</v>
      </c>
      <c r="E585" s="9" t="s">
        <v>56</v>
      </c>
      <c r="F585" s="9" t="s">
        <v>39</v>
      </c>
      <c r="G585" s="10" t="n">
        <v>45682</v>
      </c>
      <c r="H585" s="10" t="n">
        <v>45686</v>
      </c>
      <c r="I585" s="9" t="s">
        <v>58</v>
      </c>
      <c r="J585" s="9" t="s">
        <v>41</v>
      </c>
      <c r="K585" s="9" t="n">
        <v>4</v>
      </c>
      <c r="L585" s="9" t="n">
        <v>0</v>
      </c>
      <c r="M585" s="9" t="n">
        <v>0</v>
      </c>
      <c r="N585" s="9" t="s">
        <v>42</v>
      </c>
      <c r="O585" s="9" t="s">
        <v>67</v>
      </c>
      <c r="P585" s="9" t="n">
        <v>12.4</v>
      </c>
      <c r="Q585" s="9" t="n">
        <v>13</v>
      </c>
      <c r="R585" s="9" t="s">
        <v>53</v>
      </c>
      <c r="S585" s="9"/>
      <c r="T585" s="9"/>
      <c r="U585" s="9" t="str">
        <f aca="false">IF(COUNTIF($A$2:$A$5001,A585)&gt;1,"Duplicate","Unique")</f>
        <v>Unique</v>
      </c>
      <c r="V585" s="9" t="str">
        <f aca="false">IF(COUNTIFS($B$2:$B$5001,B585,$H$2:$H$5001,H585,$J$2:$J$5001,J585)&gt;1,"Possible Duplicate Booking","Unique")</f>
        <v>Unique</v>
      </c>
      <c r="W585" s="9" t="str">
        <f aca="false">IF((H585-G585)&lt;&gt;K585,"Mismatch","OK")</f>
        <v>OK</v>
      </c>
      <c r="X585" s="9" t="str">
        <f aca="false">IF(TEXT(H585,"dddd")&lt;&gt;I585,"Mismatch","OK")</f>
        <v>OK</v>
      </c>
      <c r="Y585" s="9" t="str">
        <f aca="false">IF(AND(N585="No",O585&lt;&gt;""),"Unexpected: channel present but no reminder sent",IF(AND(N585="Yes",O585=""),"Missing channel for sent reminder","OK"))</f>
        <v>OK</v>
      </c>
    </row>
    <row r="586" customFormat="false" ht="15" hidden="false" customHeight="false" outlineLevel="0" collapsed="false">
      <c r="A586" s="7" t="s">
        <v>1158</v>
      </c>
      <c r="B586" s="7" t="s">
        <v>1159</v>
      </c>
      <c r="C586" s="7" t="s">
        <v>47</v>
      </c>
      <c r="D586" s="7" t="n">
        <v>52</v>
      </c>
      <c r="E586" s="7" t="s">
        <v>56</v>
      </c>
      <c r="F586" s="7" t="s">
        <v>57</v>
      </c>
      <c r="G586" s="8" t="n">
        <v>45850</v>
      </c>
      <c r="H586" s="8" t="n">
        <v>45878</v>
      </c>
      <c r="I586" s="7" t="s">
        <v>102</v>
      </c>
      <c r="J586" s="7" t="s">
        <v>41</v>
      </c>
      <c r="K586" s="7" t="n">
        <v>28</v>
      </c>
      <c r="L586" s="7" t="n">
        <v>3</v>
      </c>
      <c r="M586" s="7" t="n">
        <v>1</v>
      </c>
      <c r="N586" s="7" t="s">
        <v>71</v>
      </c>
      <c r="O586" s="7"/>
      <c r="P586" s="7" t="n">
        <v>14.1</v>
      </c>
      <c r="Q586" s="7" t="n">
        <v>25</v>
      </c>
      <c r="R586" s="7" t="s">
        <v>53</v>
      </c>
      <c r="S586" s="7"/>
      <c r="T586" s="7"/>
      <c r="U586" s="7" t="str">
        <f aca="false">IF(COUNTIF($A$2:$A$5001,A586)&gt;1,"Duplicate","Unique")</f>
        <v>Unique</v>
      </c>
      <c r="V586" s="7" t="str">
        <f aca="false">IF(COUNTIFS($B$2:$B$5001,B586,$H$2:$H$5001,H586,$J$2:$J$5001,J586)&gt;1,"Possible Duplicate Booking","Unique")</f>
        <v>Unique</v>
      </c>
      <c r="W586" s="7" t="str">
        <f aca="false">IF((H586-G586)&lt;&gt;K586,"Mismatch","OK")</f>
        <v>OK</v>
      </c>
      <c r="X586" s="7" t="str">
        <f aca="false">IF(TEXT(H586,"dddd")&lt;&gt;I586,"Mismatch","OK")</f>
        <v>OK</v>
      </c>
      <c r="Y586" s="7" t="str">
        <f aca="false">IF(AND(N586="No",O586&lt;&gt;""),"Unexpected: channel present but no reminder sent",IF(AND(N586="Yes",O586=""),"Missing channel for sent reminder","OK"))</f>
        <v>OK</v>
      </c>
    </row>
    <row r="587" customFormat="false" ht="15" hidden="false" customHeight="false" outlineLevel="0" collapsed="false">
      <c r="A587" s="9" t="s">
        <v>1160</v>
      </c>
      <c r="B587" s="9" t="s">
        <v>1161</v>
      </c>
      <c r="C587" s="9" t="s">
        <v>37</v>
      </c>
      <c r="D587" s="9" t="n">
        <v>72</v>
      </c>
      <c r="E587" s="9" t="s">
        <v>70</v>
      </c>
      <c r="F587" s="9" t="s">
        <v>49</v>
      </c>
      <c r="G587" s="10" t="n">
        <v>46117</v>
      </c>
      <c r="H587" s="10" t="n">
        <v>46162</v>
      </c>
      <c r="I587" s="9" t="s">
        <v>58</v>
      </c>
      <c r="J587" s="9" t="s">
        <v>41</v>
      </c>
      <c r="K587" s="9" t="n">
        <v>45</v>
      </c>
      <c r="L587" s="9" t="n">
        <v>2</v>
      </c>
      <c r="M587" s="9" t="n">
        <v>0</v>
      </c>
      <c r="N587" s="9" t="s">
        <v>71</v>
      </c>
      <c r="O587" s="9"/>
      <c r="P587" s="9" t="n">
        <v>3.8</v>
      </c>
      <c r="Q587" s="9" t="n">
        <v>50</v>
      </c>
      <c r="R587" s="9" t="s">
        <v>53</v>
      </c>
      <c r="S587" s="9"/>
      <c r="T587" s="9"/>
      <c r="U587" s="9" t="str">
        <f aca="false">IF(COUNTIF($A$2:$A$5001,A587)&gt;1,"Duplicate","Unique")</f>
        <v>Unique</v>
      </c>
      <c r="V587" s="9" t="str">
        <f aca="false">IF(COUNTIFS($B$2:$B$5001,B587,$H$2:$H$5001,H587,$J$2:$J$5001,J587)&gt;1,"Possible Duplicate Booking","Unique")</f>
        <v>Unique</v>
      </c>
      <c r="W587" s="9" t="str">
        <f aca="false">IF((H587-G587)&lt;&gt;K587,"Mismatch","OK")</f>
        <v>OK</v>
      </c>
      <c r="X587" s="9" t="str">
        <f aca="false">IF(TEXT(H587,"dddd")&lt;&gt;I587,"Mismatch","OK")</f>
        <v>OK</v>
      </c>
      <c r="Y587" s="9" t="str">
        <f aca="false">IF(AND(N587="No",O587&lt;&gt;""),"Unexpected: channel present but no reminder sent",IF(AND(N587="Yes",O587=""),"Missing channel for sent reminder","OK"))</f>
        <v>OK</v>
      </c>
    </row>
    <row r="588" customFormat="false" ht="15" hidden="false" customHeight="false" outlineLevel="0" collapsed="false">
      <c r="A588" s="7" t="s">
        <v>1162</v>
      </c>
      <c r="B588" s="7" t="s">
        <v>1163</v>
      </c>
      <c r="C588" s="7" t="s">
        <v>37</v>
      </c>
      <c r="D588" s="7" t="n">
        <v>42</v>
      </c>
      <c r="E588" s="7" t="s">
        <v>38</v>
      </c>
      <c r="F588" s="7" t="s">
        <v>74</v>
      </c>
      <c r="G588" s="8" t="n">
        <v>46021</v>
      </c>
      <c r="H588" s="8" t="n">
        <v>46034</v>
      </c>
      <c r="I588" s="7" t="s">
        <v>66</v>
      </c>
      <c r="J588" s="7" t="s">
        <v>51</v>
      </c>
      <c r="K588" s="7" t="n">
        <v>13</v>
      </c>
      <c r="L588" s="7" t="n">
        <v>3</v>
      </c>
      <c r="M588" s="7" t="n">
        <v>0</v>
      </c>
      <c r="N588" s="7" t="s">
        <v>42</v>
      </c>
      <c r="O588" s="7" t="s">
        <v>52</v>
      </c>
      <c r="P588" s="7" t="n">
        <v>11.9</v>
      </c>
      <c r="Q588" s="7" t="n">
        <v>28</v>
      </c>
      <c r="R588" s="7" t="s">
        <v>53</v>
      </c>
      <c r="S588" s="7"/>
      <c r="T588" s="7"/>
      <c r="U588" s="7" t="str">
        <f aca="false">IF(COUNTIF($A$2:$A$5001,A588)&gt;1,"Duplicate","Unique")</f>
        <v>Unique</v>
      </c>
      <c r="V588" s="7" t="str">
        <f aca="false">IF(COUNTIFS($B$2:$B$5001,B588,$H$2:$H$5001,H588,$J$2:$J$5001,J588)&gt;1,"Possible Duplicate Booking","Unique")</f>
        <v>Unique</v>
      </c>
      <c r="W588" s="7" t="str">
        <f aca="false">IF((H588-G588)&lt;&gt;K588,"Mismatch","OK")</f>
        <v>OK</v>
      </c>
      <c r="X588" s="7" t="str">
        <f aca="false">IF(TEXT(H588,"dddd")&lt;&gt;I588,"Mismatch","OK")</f>
        <v>OK</v>
      </c>
      <c r="Y588" s="7" t="str">
        <f aca="false">IF(AND(N588="No",O588&lt;&gt;""),"Unexpected: channel present but no reminder sent",IF(AND(N588="Yes",O588=""),"Missing channel for sent reminder","OK"))</f>
        <v>OK</v>
      </c>
    </row>
    <row r="589" customFormat="false" ht="15" hidden="false" customHeight="false" outlineLevel="0" collapsed="false">
      <c r="A589" s="9" t="s">
        <v>1164</v>
      </c>
      <c r="B589" s="9" t="s">
        <v>1165</v>
      </c>
      <c r="C589" s="9" t="s">
        <v>47</v>
      </c>
      <c r="D589" s="9" t="n">
        <v>60</v>
      </c>
      <c r="E589" s="9" t="s">
        <v>61</v>
      </c>
      <c r="F589" s="9" t="s">
        <v>57</v>
      </c>
      <c r="G589" s="10" t="n">
        <v>45652</v>
      </c>
      <c r="H589" s="10" t="n">
        <v>45712</v>
      </c>
      <c r="I589" s="9" t="s">
        <v>66</v>
      </c>
      <c r="J589" s="9" t="s">
        <v>51</v>
      </c>
      <c r="K589" s="9" t="n">
        <v>60</v>
      </c>
      <c r="L589" s="9" t="n">
        <v>4</v>
      </c>
      <c r="M589" s="9" t="n">
        <v>1</v>
      </c>
      <c r="N589" s="9" t="s">
        <v>71</v>
      </c>
      <c r="O589" s="9"/>
      <c r="P589" s="9" t="n">
        <v>13.5</v>
      </c>
      <c r="Q589" s="9" t="n">
        <v>23</v>
      </c>
      <c r="R589" s="9" t="s">
        <v>44</v>
      </c>
      <c r="S589" s="9"/>
      <c r="T589" s="9"/>
      <c r="U589" s="9" t="str">
        <f aca="false">IF(COUNTIF($A$2:$A$5001,A589)&gt;1,"Duplicate","Unique")</f>
        <v>Unique</v>
      </c>
      <c r="V589" s="9" t="str">
        <f aca="false">IF(COUNTIFS($B$2:$B$5001,B589,$H$2:$H$5001,H589,$J$2:$J$5001,J589)&gt;1,"Possible Duplicate Booking","Unique")</f>
        <v>Unique</v>
      </c>
      <c r="W589" s="9" t="str">
        <f aca="false">IF((H589-G589)&lt;&gt;K589,"Mismatch","OK")</f>
        <v>OK</v>
      </c>
      <c r="X589" s="9" t="str">
        <f aca="false">IF(TEXT(H589,"dddd")&lt;&gt;I589,"Mismatch","OK")</f>
        <v>OK</v>
      </c>
      <c r="Y589" s="9" t="str">
        <f aca="false">IF(AND(N589="No",O589&lt;&gt;""),"Unexpected: channel present but no reminder sent",IF(AND(N589="Yes",O589=""),"Missing channel for sent reminder","OK"))</f>
        <v>OK</v>
      </c>
    </row>
    <row r="590" customFormat="false" ht="15" hidden="false" customHeight="false" outlineLevel="0" collapsed="false">
      <c r="A590" s="7" t="s">
        <v>1166</v>
      </c>
      <c r="B590" s="7" t="s">
        <v>1167</v>
      </c>
      <c r="C590" s="7" t="s">
        <v>37</v>
      </c>
      <c r="D590" s="7" t="n">
        <v>77</v>
      </c>
      <c r="E590" s="7" t="s">
        <v>70</v>
      </c>
      <c r="F590" s="7" t="s">
        <v>39</v>
      </c>
      <c r="G590" s="8" t="n">
        <v>46066</v>
      </c>
      <c r="H590" s="8" t="n">
        <v>46115</v>
      </c>
      <c r="I590" s="7" t="s">
        <v>50</v>
      </c>
      <c r="J590" s="7" t="s">
        <v>41</v>
      </c>
      <c r="K590" s="7" t="n">
        <v>49</v>
      </c>
      <c r="L590" s="7" t="n">
        <v>2</v>
      </c>
      <c r="M590" s="7" t="n">
        <v>0</v>
      </c>
      <c r="N590" s="7" t="s">
        <v>42</v>
      </c>
      <c r="O590" s="7" t="s">
        <v>52</v>
      </c>
      <c r="P590" s="7" t="n">
        <v>8.1</v>
      </c>
      <c r="Q590" s="7" t="n">
        <v>8</v>
      </c>
      <c r="R590" s="7" t="s">
        <v>87</v>
      </c>
      <c r="S590" s="7"/>
      <c r="T590" s="7"/>
      <c r="U590" s="7" t="str">
        <f aca="false">IF(COUNTIF($A$2:$A$5001,A590)&gt;1,"Duplicate","Unique")</f>
        <v>Unique</v>
      </c>
      <c r="V590" s="7" t="str">
        <f aca="false">IF(COUNTIFS($B$2:$B$5001,B590,$H$2:$H$5001,H590,$J$2:$J$5001,J590)&gt;1,"Possible Duplicate Booking","Unique")</f>
        <v>Unique</v>
      </c>
      <c r="W590" s="7" t="str">
        <f aca="false">IF((H590-G590)&lt;&gt;K590,"Mismatch","OK")</f>
        <v>OK</v>
      </c>
      <c r="X590" s="7" t="str">
        <f aca="false">IF(TEXT(H590,"dddd")&lt;&gt;I590,"Mismatch","OK")</f>
        <v>OK</v>
      </c>
      <c r="Y590" s="7" t="str">
        <f aca="false">IF(AND(N590="No",O590&lt;&gt;""),"Unexpected: channel present but no reminder sent",IF(AND(N590="Yes",O590=""),"Missing channel for sent reminder","OK"))</f>
        <v>OK</v>
      </c>
    </row>
    <row r="591" customFormat="false" ht="15" hidden="false" customHeight="false" outlineLevel="0" collapsed="false">
      <c r="A591" s="9" t="s">
        <v>1168</v>
      </c>
      <c r="B591" s="9" t="s">
        <v>1169</v>
      </c>
      <c r="C591" s="9" t="s">
        <v>37</v>
      </c>
      <c r="D591" s="9" t="n">
        <v>66</v>
      </c>
      <c r="E591" s="9" t="s">
        <v>70</v>
      </c>
      <c r="F591" s="9" t="s">
        <v>57</v>
      </c>
      <c r="G591" s="10" t="n">
        <v>46067</v>
      </c>
      <c r="H591" s="10" t="n">
        <v>46118</v>
      </c>
      <c r="I591" s="9" t="s">
        <v>66</v>
      </c>
      <c r="J591" s="9" t="s">
        <v>41</v>
      </c>
      <c r="K591" s="9" t="n">
        <v>51</v>
      </c>
      <c r="L591" s="9" t="n">
        <v>3</v>
      </c>
      <c r="M591" s="9" t="n">
        <v>0</v>
      </c>
      <c r="N591" s="9" t="s">
        <v>42</v>
      </c>
      <c r="O591" s="9" t="s">
        <v>52</v>
      </c>
      <c r="P591" s="9" t="n">
        <v>5.1</v>
      </c>
      <c r="Q591" s="9" t="n">
        <v>28</v>
      </c>
      <c r="R591" s="9" t="s">
        <v>44</v>
      </c>
      <c r="S591" s="9"/>
      <c r="T591" s="9"/>
      <c r="U591" s="9" t="str">
        <f aca="false">IF(COUNTIF($A$2:$A$5001,A591)&gt;1,"Duplicate","Unique")</f>
        <v>Unique</v>
      </c>
      <c r="V591" s="9" t="str">
        <f aca="false">IF(COUNTIFS($B$2:$B$5001,B591,$H$2:$H$5001,H591,$J$2:$J$5001,J591)&gt;1,"Possible Duplicate Booking","Unique")</f>
        <v>Unique</v>
      </c>
      <c r="W591" s="9" t="str">
        <f aca="false">IF((H591-G591)&lt;&gt;K591,"Mismatch","OK")</f>
        <v>OK</v>
      </c>
      <c r="X591" s="9" t="str">
        <f aca="false">IF(TEXT(H591,"dddd")&lt;&gt;I591,"Mismatch","OK")</f>
        <v>OK</v>
      </c>
      <c r="Y591" s="9" t="str">
        <f aca="false">IF(AND(N591="No",O591&lt;&gt;""),"Unexpected: channel present but no reminder sent",IF(AND(N591="Yes",O591=""),"Missing channel for sent reminder","OK"))</f>
        <v>OK</v>
      </c>
    </row>
    <row r="592" customFormat="false" ht="15" hidden="false" customHeight="false" outlineLevel="0" collapsed="false">
      <c r="A592" s="7" t="s">
        <v>1170</v>
      </c>
      <c r="B592" s="7" t="s">
        <v>1171</v>
      </c>
      <c r="C592" s="7" t="s">
        <v>47</v>
      </c>
      <c r="D592" s="7" t="n">
        <v>80</v>
      </c>
      <c r="E592" s="7" t="s">
        <v>70</v>
      </c>
      <c r="F592" s="7" t="s">
        <v>57</v>
      </c>
      <c r="G592" s="8" t="n">
        <v>46091</v>
      </c>
      <c r="H592" s="8" t="n">
        <v>46095</v>
      </c>
      <c r="I592" s="7" t="s">
        <v>102</v>
      </c>
      <c r="J592" s="7" t="s">
        <v>51</v>
      </c>
      <c r="K592" s="7" t="n">
        <v>4</v>
      </c>
      <c r="L592" s="7" t="n">
        <v>2</v>
      </c>
      <c r="M592" s="7" t="n">
        <v>0</v>
      </c>
      <c r="N592" s="7" t="s">
        <v>42</v>
      </c>
      <c r="O592" s="7" t="s">
        <v>43</v>
      </c>
      <c r="P592" s="7" t="n">
        <v>7.7</v>
      </c>
      <c r="Q592" s="7" t="n">
        <v>23</v>
      </c>
      <c r="R592" s="7" t="s">
        <v>53</v>
      </c>
      <c r="S592" s="7"/>
      <c r="T592" s="7"/>
      <c r="U592" s="7" t="str">
        <f aca="false">IF(COUNTIF($A$2:$A$5001,A592)&gt;1,"Duplicate","Unique")</f>
        <v>Unique</v>
      </c>
      <c r="V592" s="7" t="str">
        <f aca="false">IF(COUNTIFS($B$2:$B$5001,B592,$H$2:$H$5001,H592,$J$2:$J$5001,J592)&gt;1,"Possible Duplicate Booking","Unique")</f>
        <v>Unique</v>
      </c>
      <c r="W592" s="7" t="str">
        <f aca="false">IF((H592-G592)&lt;&gt;K592,"Mismatch","OK")</f>
        <v>OK</v>
      </c>
      <c r="X592" s="7" t="str">
        <f aca="false">IF(TEXT(H592,"dddd")&lt;&gt;I592,"Mismatch","OK")</f>
        <v>OK</v>
      </c>
      <c r="Y592" s="7" t="str">
        <f aca="false">IF(AND(N592="No",O592&lt;&gt;""),"Unexpected: channel present but no reminder sent",IF(AND(N592="Yes",O592=""),"Missing channel for sent reminder","OK"))</f>
        <v>OK</v>
      </c>
    </row>
    <row r="593" customFormat="false" ht="15" hidden="false" customHeight="false" outlineLevel="0" collapsed="false">
      <c r="A593" s="9" t="s">
        <v>1172</v>
      </c>
      <c r="B593" s="9" t="s">
        <v>421</v>
      </c>
      <c r="C593" s="9" t="s">
        <v>47</v>
      </c>
      <c r="D593" s="9" t="n">
        <v>54</v>
      </c>
      <c r="E593" s="9" t="s">
        <v>56</v>
      </c>
      <c r="F593" s="9" t="s">
        <v>57</v>
      </c>
      <c r="G593" s="10" t="n">
        <v>46115</v>
      </c>
      <c r="H593" s="10" t="n">
        <v>46150</v>
      </c>
      <c r="I593" s="9" t="s">
        <v>50</v>
      </c>
      <c r="J593" s="9" t="s">
        <v>41</v>
      </c>
      <c r="K593" s="9" t="n">
        <v>35</v>
      </c>
      <c r="L593" s="9" t="n">
        <v>2</v>
      </c>
      <c r="M593" s="9" t="n">
        <v>1</v>
      </c>
      <c r="N593" s="9" t="s">
        <v>42</v>
      </c>
      <c r="O593" s="9" t="s">
        <v>43</v>
      </c>
      <c r="P593" s="9" t="n">
        <v>23.9</v>
      </c>
      <c r="Q593" s="9" t="n">
        <v>3</v>
      </c>
      <c r="R593" s="9" t="s">
        <v>44</v>
      </c>
      <c r="S593" s="9"/>
      <c r="T593" s="9"/>
      <c r="U593" s="9" t="str">
        <f aca="false">IF(COUNTIF($A$2:$A$5001,A593)&gt;1,"Duplicate","Unique")</f>
        <v>Unique</v>
      </c>
      <c r="V593" s="9" t="str">
        <f aca="false">IF(COUNTIFS($B$2:$B$5001,B593,$H$2:$H$5001,H593,$J$2:$J$5001,J593)&gt;1,"Possible Duplicate Booking","Unique")</f>
        <v>Unique</v>
      </c>
      <c r="W593" s="9" t="str">
        <f aca="false">IF((H593-G593)&lt;&gt;K593,"Mismatch","OK")</f>
        <v>OK</v>
      </c>
      <c r="X593" s="9" t="str">
        <f aca="false">IF(TEXT(H593,"dddd")&lt;&gt;I593,"Mismatch","OK")</f>
        <v>OK</v>
      </c>
      <c r="Y593" s="9" t="str">
        <f aca="false">IF(AND(N593="No",O593&lt;&gt;""),"Unexpected: channel present but no reminder sent",IF(AND(N593="Yes",O593=""),"Missing channel for sent reminder","OK"))</f>
        <v>OK</v>
      </c>
    </row>
    <row r="594" customFormat="false" ht="15" hidden="false" customHeight="false" outlineLevel="0" collapsed="false">
      <c r="A594" s="7" t="s">
        <v>1173</v>
      </c>
      <c r="B594" s="7" t="s">
        <v>1109</v>
      </c>
      <c r="C594" s="7" t="s">
        <v>37</v>
      </c>
      <c r="D594" s="7" t="n">
        <v>35</v>
      </c>
      <c r="E594" s="7" t="s">
        <v>38</v>
      </c>
      <c r="F594" s="7" t="s">
        <v>57</v>
      </c>
      <c r="G594" s="8" t="n">
        <v>45756</v>
      </c>
      <c r="H594" s="8" t="n">
        <v>45788</v>
      </c>
      <c r="I594" s="7" t="s">
        <v>75</v>
      </c>
      <c r="J594" s="7" t="s">
        <v>41</v>
      </c>
      <c r="K594" s="7" t="n">
        <v>32</v>
      </c>
      <c r="L594" s="7" t="n">
        <v>2</v>
      </c>
      <c r="M594" s="7" t="n">
        <v>0</v>
      </c>
      <c r="N594" s="7" t="s">
        <v>42</v>
      </c>
      <c r="O594" s="7" t="s">
        <v>52</v>
      </c>
      <c r="P594" s="7" t="n">
        <v>11</v>
      </c>
      <c r="Q594" s="7" t="n">
        <v>13</v>
      </c>
      <c r="R594" s="7" t="s">
        <v>44</v>
      </c>
      <c r="S594" s="7"/>
      <c r="T594" s="7"/>
      <c r="U594" s="7" t="str">
        <f aca="false">IF(COUNTIF($A$2:$A$5001,A594)&gt;1,"Duplicate","Unique")</f>
        <v>Unique</v>
      </c>
      <c r="V594" s="7" t="str">
        <f aca="false">IF(COUNTIFS($B$2:$B$5001,B594,$H$2:$H$5001,H594,$J$2:$J$5001,J594)&gt;1,"Possible Duplicate Booking","Unique")</f>
        <v>Unique</v>
      </c>
      <c r="W594" s="7" t="str">
        <f aca="false">IF((H594-G594)&lt;&gt;K594,"Mismatch","OK")</f>
        <v>OK</v>
      </c>
      <c r="X594" s="7" t="str">
        <f aca="false">IF(TEXT(H594,"dddd")&lt;&gt;I594,"Mismatch","OK")</f>
        <v>OK</v>
      </c>
      <c r="Y594" s="7" t="str">
        <f aca="false">IF(AND(N594="No",O594&lt;&gt;""),"Unexpected: channel present but no reminder sent",IF(AND(N594="Yes",O594=""),"Missing channel for sent reminder","OK"))</f>
        <v>OK</v>
      </c>
    </row>
    <row r="595" customFormat="false" ht="15" hidden="false" customHeight="false" outlineLevel="0" collapsed="false">
      <c r="A595" s="9" t="s">
        <v>1174</v>
      </c>
      <c r="B595" s="9" t="s">
        <v>1175</v>
      </c>
      <c r="C595" s="9" t="s">
        <v>37</v>
      </c>
      <c r="D595" s="9" t="n">
        <v>80</v>
      </c>
      <c r="E595" s="9" t="s">
        <v>70</v>
      </c>
      <c r="F595" s="9" t="s">
        <v>74</v>
      </c>
      <c r="G595" s="10" t="n">
        <v>46154</v>
      </c>
      <c r="H595" s="10" t="n">
        <v>46192</v>
      </c>
      <c r="I595" s="9" t="s">
        <v>50</v>
      </c>
      <c r="J595" s="9" t="s">
        <v>41</v>
      </c>
      <c r="K595" s="9" t="n">
        <v>38</v>
      </c>
      <c r="L595" s="9" t="n">
        <v>4</v>
      </c>
      <c r="M595" s="9" t="n">
        <v>0</v>
      </c>
      <c r="N595" s="9" t="s">
        <v>42</v>
      </c>
      <c r="O595" s="9" t="s">
        <v>43</v>
      </c>
      <c r="P595" s="9" t="n">
        <v>8.6</v>
      </c>
      <c r="Q595" s="9" t="n">
        <v>35</v>
      </c>
      <c r="R595" s="9" t="s">
        <v>44</v>
      </c>
      <c r="S595" s="9"/>
      <c r="T595" s="9"/>
      <c r="U595" s="9" t="str">
        <f aca="false">IF(COUNTIF($A$2:$A$5001,A595)&gt;1,"Duplicate","Unique")</f>
        <v>Unique</v>
      </c>
      <c r="V595" s="9" t="str">
        <f aca="false">IF(COUNTIFS($B$2:$B$5001,B595,$H$2:$H$5001,H595,$J$2:$J$5001,J595)&gt;1,"Possible Duplicate Booking","Unique")</f>
        <v>Unique</v>
      </c>
      <c r="W595" s="9" t="str">
        <f aca="false">IF((H595-G595)&lt;&gt;K595,"Mismatch","OK")</f>
        <v>OK</v>
      </c>
      <c r="X595" s="9" t="str">
        <f aca="false">IF(TEXT(H595,"dddd")&lt;&gt;I595,"Mismatch","OK")</f>
        <v>OK</v>
      </c>
      <c r="Y595" s="9" t="str">
        <f aca="false">IF(AND(N595="No",O595&lt;&gt;""),"Unexpected: channel present but no reminder sent",IF(AND(N595="Yes",O595=""),"Missing channel for sent reminder","OK"))</f>
        <v>OK</v>
      </c>
    </row>
    <row r="596" customFormat="false" ht="15" hidden="false" customHeight="false" outlineLevel="0" collapsed="false">
      <c r="A596" s="7" t="s">
        <v>1176</v>
      </c>
      <c r="B596" s="7" t="s">
        <v>1177</v>
      </c>
      <c r="C596" s="7" t="s">
        <v>37</v>
      </c>
      <c r="D596" s="7" t="n">
        <v>58</v>
      </c>
      <c r="E596" s="7" t="s">
        <v>61</v>
      </c>
      <c r="F596" s="7" t="s">
        <v>57</v>
      </c>
      <c r="G596" s="8" t="n">
        <v>45782</v>
      </c>
      <c r="H596" s="8" t="n">
        <v>45833</v>
      </c>
      <c r="I596" s="7" t="s">
        <v>58</v>
      </c>
      <c r="J596" s="7" t="s">
        <v>51</v>
      </c>
      <c r="K596" s="7" t="n">
        <v>51</v>
      </c>
      <c r="L596" s="7" t="n">
        <v>5</v>
      </c>
      <c r="M596" s="7" t="n">
        <v>1</v>
      </c>
      <c r="N596" s="7" t="s">
        <v>42</v>
      </c>
      <c r="O596" s="7" t="s">
        <v>43</v>
      </c>
      <c r="P596" s="7" t="n">
        <v>3.9</v>
      </c>
      <c r="Q596" s="7" t="n">
        <v>39</v>
      </c>
      <c r="R596" s="7" t="s">
        <v>44</v>
      </c>
      <c r="S596" s="7"/>
      <c r="T596" s="7"/>
      <c r="U596" s="7" t="str">
        <f aca="false">IF(COUNTIF($A$2:$A$5001,A596)&gt;1,"Duplicate","Unique")</f>
        <v>Unique</v>
      </c>
      <c r="V596" s="7" t="str">
        <f aca="false">IF(COUNTIFS($B$2:$B$5001,B596,$H$2:$H$5001,H596,$J$2:$J$5001,J596)&gt;1,"Possible Duplicate Booking","Unique")</f>
        <v>Unique</v>
      </c>
      <c r="W596" s="7" t="str">
        <f aca="false">IF((H596-G596)&lt;&gt;K596,"Mismatch","OK")</f>
        <v>OK</v>
      </c>
      <c r="X596" s="7" t="str">
        <f aca="false">IF(TEXT(H596,"dddd")&lt;&gt;I596,"Mismatch","OK")</f>
        <v>OK</v>
      </c>
      <c r="Y596" s="7" t="str">
        <f aca="false">IF(AND(N596="No",O596&lt;&gt;""),"Unexpected: channel present but no reminder sent",IF(AND(N596="Yes",O596=""),"Missing channel for sent reminder","OK"))</f>
        <v>OK</v>
      </c>
    </row>
    <row r="597" customFormat="false" ht="15" hidden="false" customHeight="false" outlineLevel="0" collapsed="false">
      <c r="A597" s="9" t="s">
        <v>1178</v>
      </c>
      <c r="B597" s="9" t="s">
        <v>1179</v>
      </c>
      <c r="C597" s="9" t="s">
        <v>37</v>
      </c>
      <c r="D597" s="9" t="n">
        <v>33</v>
      </c>
      <c r="E597" s="9" t="s">
        <v>48</v>
      </c>
      <c r="F597" s="9" t="s">
        <v>49</v>
      </c>
      <c r="G597" s="10" t="n">
        <v>46074</v>
      </c>
      <c r="H597" s="10" t="n">
        <v>46095</v>
      </c>
      <c r="I597" s="9" t="s">
        <v>102</v>
      </c>
      <c r="J597" s="9" t="s">
        <v>41</v>
      </c>
      <c r="K597" s="9" t="n">
        <v>21</v>
      </c>
      <c r="L597" s="9" t="n">
        <v>4</v>
      </c>
      <c r="M597" s="9" t="n">
        <v>0</v>
      </c>
      <c r="N597" s="9" t="s">
        <v>71</v>
      </c>
      <c r="O597" s="9"/>
      <c r="P597" s="9" t="n">
        <v>16.3</v>
      </c>
      <c r="Q597" s="9" t="n">
        <v>26</v>
      </c>
      <c r="R597" s="9" t="s">
        <v>53</v>
      </c>
      <c r="S597" s="9"/>
      <c r="T597" s="9"/>
      <c r="U597" s="9" t="str">
        <f aca="false">IF(COUNTIF($A$2:$A$5001,A597)&gt;1,"Duplicate","Unique")</f>
        <v>Unique</v>
      </c>
      <c r="V597" s="9" t="str">
        <f aca="false">IF(COUNTIFS($B$2:$B$5001,B597,$H$2:$H$5001,H597,$J$2:$J$5001,J597)&gt;1,"Possible Duplicate Booking","Unique")</f>
        <v>Unique</v>
      </c>
      <c r="W597" s="9" t="str">
        <f aca="false">IF((H597-G597)&lt;&gt;K597,"Mismatch","OK")</f>
        <v>OK</v>
      </c>
      <c r="X597" s="9" t="str">
        <f aca="false">IF(TEXT(H597,"dddd")&lt;&gt;I597,"Mismatch","OK")</f>
        <v>OK</v>
      </c>
      <c r="Y597" s="9" t="str">
        <f aca="false">IF(AND(N597="No",O597&lt;&gt;""),"Unexpected: channel present but no reminder sent",IF(AND(N597="Yes",O597=""),"Missing channel for sent reminder","OK"))</f>
        <v>OK</v>
      </c>
    </row>
    <row r="598" customFormat="false" ht="15" hidden="false" customHeight="false" outlineLevel="0" collapsed="false">
      <c r="A598" s="7" t="s">
        <v>1180</v>
      </c>
      <c r="B598" s="7" t="s">
        <v>1181</v>
      </c>
      <c r="C598" s="7" t="s">
        <v>37</v>
      </c>
      <c r="D598" s="7" t="n">
        <v>37</v>
      </c>
      <c r="E598" s="7" t="s">
        <v>38</v>
      </c>
      <c r="F598" s="7" t="s">
        <v>57</v>
      </c>
      <c r="G598" s="8" t="n">
        <v>45942</v>
      </c>
      <c r="H598" s="8" t="n">
        <v>45974</v>
      </c>
      <c r="I598" s="7" t="s">
        <v>62</v>
      </c>
      <c r="J598" s="7" t="s">
        <v>51</v>
      </c>
      <c r="K598" s="7" t="n">
        <v>32</v>
      </c>
      <c r="L598" s="7" t="n">
        <v>5</v>
      </c>
      <c r="M598" s="7" t="n">
        <v>1</v>
      </c>
      <c r="N598" s="7" t="s">
        <v>42</v>
      </c>
      <c r="O598" s="7" t="s">
        <v>43</v>
      </c>
      <c r="P598" s="7" t="n">
        <v>11.8</v>
      </c>
      <c r="Q598" s="7" t="n">
        <v>36</v>
      </c>
      <c r="R598" s="7" t="s">
        <v>87</v>
      </c>
      <c r="S598" s="7"/>
      <c r="T598" s="7"/>
      <c r="U598" s="7" t="str">
        <f aca="false">IF(COUNTIF($A$2:$A$5001,A598)&gt;1,"Duplicate","Unique")</f>
        <v>Unique</v>
      </c>
      <c r="V598" s="7" t="str">
        <f aca="false">IF(COUNTIFS($B$2:$B$5001,B598,$H$2:$H$5001,H598,$J$2:$J$5001,J598)&gt;1,"Possible Duplicate Booking","Unique")</f>
        <v>Unique</v>
      </c>
      <c r="W598" s="7" t="str">
        <f aca="false">IF((H598-G598)&lt;&gt;K598,"Mismatch","OK")</f>
        <v>OK</v>
      </c>
      <c r="X598" s="7" t="str">
        <f aca="false">IF(TEXT(H598,"dddd")&lt;&gt;I598,"Mismatch","OK")</f>
        <v>OK</v>
      </c>
      <c r="Y598" s="7" t="str">
        <f aca="false">IF(AND(N598="No",O598&lt;&gt;""),"Unexpected: channel present but no reminder sent",IF(AND(N598="Yes",O598=""),"Missing channel for sent reminder","OK"))</f>
        <v>OK</v>
      </c>
    </row>
    <row r="599" customFormat="false" ht="15" hidden="false" customHeight="false" outlineLevel="0" collapsed="false">
      <c r="A599" s="9" t="s">
        <v>1182</v>
      </c>
      <c r="B599" s="9" t="s">
        <v>1183</v>
      </c>
      <c r="C599" s="9" t="s">
        <v>47</v>
      </c>
      <c r="D599" s="9" t="n">
        <v>34</v>
      </c>
      <c r="E599" s="9" t="s">
        <v>48</v>
      </c>
      <c r="F599" s="9" t="s">
        <v>39</v>
      </c>
      <c r="G599" s="10" t="n">
        <v>46042</v>
      </c>
      <c r="H599" s="10" t="n">
        <v>46083</v>
      </c>
      <c r="I599" s="9" t="s">
        <v>66</v>
      </c>
      <c r="J599" s="9" t="s">
        <v>51</v>
      </c>
      <c r="K599" s="9" t="n">
        <v>41</v>
      </c>
      <c r="L599" s="9" t="n">
        <v>2</v>
      </c>
      <c r="M599" s="9" t="n">
        <v>0</v>
      </c>
      <c r="N599" s="9" t="s">
        <v>42</v>
      </c>
      <c r="O599" s="9" t="s">
        <v>43</v>
      </c>
      <c r="P599" s="9" t="n">
        <v>6.2</v>
      </c>
      <c r="Q599" s="9" t="n">
        <v>25</v>
      </c>
      <c r="R599" s="9" t="s">
        <v>53</v>
      </c>
      <c r="S599" s="9"/>
      <c r="T599" s="9"/>
      <c r="U599" s="9" t="str">
        <f aca="false">IF(COUNTIF($A$2:$A$5001,A599)&gt;1,"Duplicate","Unique")</f>
        <v>Unique</v>
      </c>
      <c r="V599" s="9" t="str">
        <f aca="false">IF(COUNTIFS($B$2:$B$5001,B599,$H$2:$H$5001,H599,$J$2:$J$5001,J599)&gt;1,"Possible Duplicate Booking","Unique")</f>
        <v>Unique</v>
      </c>
      <c r="W599" s="9" t="str">
        <f aca="false">IF((H599-G599)&lt;&gt;K599,"Mismatch","OK")</f>
        <v>OK</v>
      </c>
      <c r="X599" s="9" t="str">
        <f aca="false">IF(TEXT(H599,"dddd")&lt;&gt;I599,"Mismatch","OK")</f>
        <v>OK</v>
      </c>
      <c r="Y599" s="9" t="str">
        <f aca="false">IF(AND(N599="No",O599&lt;&gt;""),"Unexpected: channel present but no reminder sent",IF(AND(N599="Yes",O599=""),"Missing channel for sent reminder","OK"))</f>
        <v>OK</v>
      </c>
    </row>
    <row r="600" customFormat="false" ht="15" hidden="false" customHeight="false" outlineLevel="0" collapsed="false">
      <c r="A600" s="7" t="s">
        <v>1184</v>
      </c>
      <c r="B600" s="7" t="s">
        <v>1185</v>
      </c>
      <c r="C600" s="7" t="s">
        <v>47</v>
      </c>
      <c r="D600" s="7" t="n">
        <v>70</v>
      </c>
      <c r="E600" s="7" t="s">
        <v>70</v>
      </c>
      <c r="F600" s="7" t="s">
        <v>39</v>
      </c>
      <c r="G600" s="8" t="n">
        <v>45955</v>
      </c>
      <c r="H600" s="8" t="n">
        <v>46000</v>
      </c>
      <c r="I600" s="7" t="s">
        <v>40</v>
      </c>
      <c r="J600" s="7" t="s">
        <v>41</v>
      </c>
      <c r="K600" s="7" t="n">
        <v>45</v>
      </c>
      <c r="L600" s="7" t="n">
        <v>4</v>
      </c>
      <c r="M600" s="7" t="n">
        <v>0</v>
      </c>
      <c r="N600" s="7" t="s">
        <v>42</v>
      </c>
      <c r="O600" s="7" t="s">
        <v>43</v>
      </c>
      <c r="P600" s="7" t="n">
        <v>5.5</v>
      </c>
      <c r="Q600" s="7" t="n">
        <v>16</v>
      </c>
      <c r="R600" s="7" t="s">
        <v>44</v>
      </c>
      <c r="S600" s="7"/>
      <c r="T600" s="7"/>
      <c r="U600" s="7" t="str">
        <f aca="false">IF(COUNTIF($A$2:$A$5001,A600)&gt;1,"Duplicate","Unique")</f>
        <v>Unique</v>
      </c>
      <c r="V600" s="7" t="str">
        <f aca="false">IF(COUNTIFS($B$2:$B$5001,B600,$H$2:$H$5001,H600,$J$2:$J$5001,J600)&gt;1,"Possible Duplicate Booking","Unique")</f>
        <v>Unique</v>
      </c>
      <c r="W600" s="7" t="str">
        <f aca="false">IF((H600-G600)&lt;&gt;K600,"Mismatch","OK")</f>
        <v>OK</v>
      </c>
      <c r="X600" s="7" t="str">
        <f aca="false">IF(TEXT(H600,"dddd")&lt;&gt;I600,"Mismatch","OK")</f>
        <v>OK</v>
      </c>
      <c r="Y600" s="7" t="str">
        <f aca="false">IF(AND(N600="No",O600&lt;&gt;""),"Unexpected: channel present but no reminder sent",IF(AND(N600="Yes",O600=""),"Missing channel for sent reminder","OK"))</f>
        <v>OK</v>
      </c>
    </row>
    <row r="601" customFormat="false" ht="15" hidden="false" customHeight="false" outlineLevel="0" collapsed="false">
      <c r="A601" s="9" t="s">
        <v>1186</v>
      </c>
      <c r="B601" s="9" t="s">
        <v>1187</v>
      </c>
      <c r="C601" s="9" t="s">
        <v>37</v>
      </c>
      <c r="D601" s="9" t="n">
        <v>23</v>
      </c>
      <c r="E601" s="9" t="s">
        <v>82</v>
      </c>
      <c r="F601" s="9" t="s">
        <v>74</v>
      </c>
      <c r="G601" s="10" t="n">
        <v>45962</v>
      </c>
      <c r="H601" s="10" t="n">
        <v>46008</v>
      </c>
      <c r="I601" s="9" t="s">
        <v>58</v>
      </c>
      <c r="J601" s="9" t="s">
        <v>51</v>
      </c>
      <c r="K601" s="9" t="n">
        <v>46</v>
      </c>
      <c r="L601" s="9" t="n">
        <v>1</v>
      </c>
      <c r="M601" s="9" t="n">
        <v>0</v>
      </c>
      <c r="N601" s="9" t="s">
        <v>42</v>
      </c>
      <c r="O601" s="9" t="s">
        <v>52</v>
      </c>
      <c r="P601" s="9" t="n">
        <v>3.4</v>
      </c>
      <c r="Q601" s="9" t="n">
        <v>49</v>
      </c>
      <c r="R601" s="9" t="s">
        <v>44</v>
      </c>
      <c r="S601" s="9"/>
      <c r="T601" s="9"/>
      <c r="U601" s="9" t="str">
        <f aca="false">IF(COUNTIF($A$2:$A$5001,A601)&gt;1,"Duplicate","Unique")</f>
        <v>Unique</v>
      </c>
      <c r="V601" s="9" t="str">
        <f aca="false">IF(COUNTIFS($B$2:$B$5001,B601,$H$2:$H$5001,H601,$J$2:$J$5001,J601)&gt;1,"Possible Duplicate Booking","Unique")</f>
        <v>Unique</v>
      </c>
      <c r="W601" s="9" t="str">
        <f aca="false">IF((H601-G601)&lt;&gt;K601,"Mismatch","OK")</f>
        <v>OK</v>
      </c>
      <c r="X601" s="9" t="str">
        <f aca="false">IF(TEXT(H601,"dddd")&lt;&gt;I601,"Mismatch","OK")</f>
        <v>OK</v>
      </c>
      <c r="Y601" s="9" t="str">
        <f aca="false">IF(AND(N601="No",O601&lt;&gt;""),"Unexpected: channel present but no reminder sent",IF(AND(N601="Yes",O601=""),"Missing channel for sent reminder","OK"))</f>
        <v>OK</v>
      </c>
    </row>
    <row r="602" customFormat="false" ht="15" hidden="false" customHeight="false" outlineLevel="0" collapsed="false">
      <c r="A602" s="7" t="s">
        <v>1188</v>
      </c>
      <c r="B602" s="7" t="s">
        <v>1189</v>
      </c>
      <c r="C602" s="7" t="s">
        <v>37</v>
      </c>
      <c r="D602" s="7" t="n">
        <v>64</v>
      </c>
      <c r="E602" s="7" t="s">
        <v>61</v>
      </c>
      <c r="F602" s="7" t="s">
        <v>57</v>
      </c>
      <c r="G602" s="8" t="n">
        <v>45974</v>
      </c>
      <c r="H602" s="8" t="n">
        <v>45994</v>
      </c>
      <c r="I602" s="7" t="s">
        <v>58</v>
      </c>
      <c r="J602" s="7" t="s">
        <v>51</v>
      </c>
      <c r="K602" s="7" t="n">
        <v>20</v>
      </c>
      <c r="L602" s="7" t="n">
        <v>2</v>
      </c>
      <c r="M602" s="7" t="n">
        <v>0</v>
      </c>
      <c r="N602" s="7" t="s">
        <v>42</v>
      </c>
      <c r="O602" s="7" t="s">
        <v>52</v>
      </c>
      <c r="P602" s="7" t="n">
        <v>12.1</v>
      </c>
      <c r="Q602" s="7" t="n">
        <v>9</v>
      </c>
      <c r="R602" s="7" t="s">
        <v>53</v>
      </c>
      <c r="S602" s="7"/>
      <c r="T602" s="7"/>
      <c r="U602" s="7" t="str">
        <f aca="false">IF(COUNTIF($A$2:$A$5001,A602)&gt;1,"Duplicate","Unique")</f>
        <v>Unique</v>
      </c>
      <c r="V602" s="7" t="str">
        <f aca="false">IF(COUNTIFS($B$2:$B$5001,B602,$H$2:$H$5001,H602,$J$2:$J$5001,J602)&gt;1,"Possible Duplicate Booking","Unique")</f>
        <v>Unique</v>
      </c>
      <c r="W602" s="7" t="str">
        <f aca="false">IF((H602-G602)&lt;&gt;K602,"Mismatch","OK")</f>
        <v>OK</v>
      </c>
      <c r="X602" s="7" t="str">
        <f aca="false">IF(TEXT(H602,"dddd")&lt;&gt;I602,"Mismatch","OK")</f>
        <v>OK</v>
      </c>
      <c r="Y602" s="7" t="str">
        <f aca="false">IF(AND(N602="No",O602&lt;&gt;""),"Unexpected: channel present but no reminder sent",IF(AND(N602="Yes",O602=""),"Missing channel for sent reminder","OK"))</f>
        <v>OK</v>
      </c>
    </row>
    <row r="603" customFormat="false" ht="15" hidden="false" customHeight="false" outlineLevel="0" collapsed="false">
      <c r="A603" s="9" t="s">
        <v>1190</v>
      </c>
      <c r="B603" s="9" t="s">
        <v>1191</v>
      </c>
      <c r="C603" s="9" t="s">
        <v>47</v>
      </c>
      <c r="D603" s="9" t="n">
        <v>52</v>
      </c>
      <c r="E603" s="9" t="s">
        <v>56</v>
      </c>
      <c r="F603" s="9" t="s">
        <v>57</v>
      </c>
      <c r="G603" s="10" t="n">
        <v>46023</v>
      </c>
      <c r="H603" s="10" t="n">
        <v>46083</v>
      </c>
      <c r="I603" s="9" t="s">
        <v>66</v>
      </c>
      <c r="J603" s="9" t="s">
        <v>51</v>
      </c>
      <c r="K603" s="9" t="n">
        <v>60</v>
      </c>
      <c r="L603" s="9" t="n">
        <v>4</v>
      </c>
      <c r="M603" s="9" t="n">
        <v>0</v>
      </c>
      <c r="N603" s="9" t="s">
        <v>42</v>
      </c>
      <c r="O603" s="9" t="s">
        <v>43</v>
      </c>
      <c r="P603" s="9" t="n">
        <v>1.8</v>
      </c>
      <c r="Q603" s="9" t="n">
        <v>29</v>
      </c>
      <c r="R603" s="9" t="s">
        <v>44</v>
      </c>
      <c r="S603" s="9"/>
      <c r="T603" s="9"/>
      <c r="U603" s="9" t="str">
        <f aca="false">IF(COUNTIF($A$2:$A$5001,A603)&gt;1,"Duplicate","Unique")</f>
        <v>Unique</v>
      </c>
      <c r="V603" s="9" t="str">
        <f aca="false">IF(COUNTIFS($B$2:$B$5001,B603,$H$2:$H$5001,H603,$J$2:$J$5001,J603)&gt;1,"Possible Duplicate Booking","Unique")</f>
        <v>Unique</v>
      </c>
      <c r="W603" s="9" t="str">
        <f aca="false">IF((H603-G603)&lt;&gt;K603,"Mismatch","OK")</f>
        <v>OK</v>
      </c>
      <c r="X603" s="9" t="str">
        <f aca="false">IF(TEXT(H603,"dddd")&lt;&gt;I603,"Mismatch","OK")</f>
        <v>OK</v>
      </c>
      <c r="Y603" s="9" t="str">
        <f aca="false">IF(AND(N603="No",O603&lt;&gt;""),"Unexpected: channel present but no reminder sent",IF(AND(N603="Yes",O603=""),"Missing channel for sent reminder","OK"))</f>
        <v>OK</v>
      </c>
    </row>
    <row r="604" customFormat="false" ht="15" hidden="false" customHeight="false" outlineLevel="0" collapsed="false">
      <c r="A604" s="7" t="s">
        <v>1192</v>
      </c>
      <c r="B604" s="7" t="s">
        <v>1193</v>
      </c>
      <c r="C604" s="7" t="s">
        <v>37</v>
      </c>
      <c r="D604" s="7" t="n">
        <v>22</v>
      </c>
      <c r="E604" s="7" t="s">
        <v>82</v>
      </c>
      <c r="F604" s="7" t="s">
        <v>49</v>
      </c>
      <c r="G604" s="8" t="n">
        <v>46061</v>
      </c>
      <c r="H604" s="8" t="n">
        <v>46061</v>
      </c>
      <c r="I604" s="7" t="s">
        <v>75</v>
      </c>
      <c r="J604" s="7" t="s">
        <v>51</v>
      </c>
      <c r="K604" s="7" t="n">
        <v>0</v>
      </c>
      <c r="L604" s="7" t="n">
        <v>3</v>
      </c>
      <c r="M604" s="7" t="n">
        <v>0</v>
      </c>
      <c r="N604" s="7" t="s">
        <v>71</v>
      </c>
      <c r="O604" s="7"/>
      <c r="P604" s="7" t="n">
        <v>12.4</v>
      </c>
      <c r="Q604" s="7" t="n">
        <v>18</v>
      </c>
      <c r="R604" s="7" t="s">
        <v>44</v>
      </c>
      <c r="S604" s="7"/>
      <c r="T604" s="7"/>
      <c r="U604" s="7" t="str">
        <f aca="false">IF(COUNTIF($A$2:$A$5001,A604)&gt;1,"Duplicate","Unique")</f>
        <v>Unique</v>
      </c>
      <c r="V604" s="7" t="str">
        <f aca="false">IF(COUNTIFS($B$2:$B$5001,B604,$H$2:$H$5001,H604,$J$2:$J$5001,J604)&gt;1,"Possible Duplicate Booking","Unique")</f>
        <v>Unique</v>
      </c>
      <c r="W604" s="7" t="str">
        <f aca="false">IF((H604-G604)&lt;&gt;K604,"Mismatch","OK")</f>
        <v>OK</v>
      </c>
      <c r="X604" s="7" t="str">
        <f aca="false">IF(TEXT(H604,"dddd")&lt;&gt;I604,"Mismatch","OK")</f>
        <v>OK</v>
      </c>
      <c r="Y604" s="7" t="str">
        <f aca="false">IF(AND(N604="No",O604&lt;&gt;""),"Unexpected: channel present but no reminder sent",IF(AND(N604="Yes",O604=""),"Missing channel for sent reminder","OK"))</f>
        <v>OK</v>
      </c>
    </row>
    <row r="605" customFormat="false" ht="15" hidden="false" customHeight="false" outlineLevel="0" collapsed="false">
      <c r="A605" s="9" t="s">
        <v>1194</v>
      </c>
      <c r="B605" s="9" t="s">
        <v>1195</v>
      </c>
      <c r="C605" s="9" t="s">
        <v>37</v>
      </c>
      <c r="D605" s="9" t="n">
        <v>56</v>
      </c>
      <c r="E605" s="9" t="s">
        <v>61</v>
      </c>
      <c r="F605" s="9" t="s">
        <v>49</v>
      </c>
      <c r="G605" s="10" t="n">
        <v>45701</v>
      </c>
      <c r="H605" s="10" t="n">
        <v>45731</v>
      </c>
      <c r="I605" s="9" t="s">
        <v>102</v>
      </c>
      <c r="J605" s="9" t="s">
        <v>41</v>
      </c>
      <c r="K605" s="9" t="n">
        <v>30</v>
      </c>
      <c r="L605" s="9" t="n">
        <v>7</v>
      </c>
      <c r="M605" s="9" t="n">
        <v>1</v>
      </c>
      <c r="N605" s="9" t="s">
        <v>42</v>
      </c>
      <c r="O605" s="9" t="s">
        <v>52</v>
      </c>
      <c r="P605" s="9" t="n">
        <v>2</v>
      </c>
      <c r="Q605" s="9" t="n">
        <v>22</v>
      </c>
      <c r="R605" s="9" t="s">
        <v>44</v>
      </c>
      <c r="S605" s="9"/>
      <c r="T605" s="9"/>
      <c r="U605" s="9" t="str">
        <f aca="false">IF(COUNTIF($A$2:$A$5001,A605)&gt;1,"Duplicate","Unique")</f>
        <v>Unique</v>
      </c>
      <c r="V605" s="9" t="str">
        <f aca="false">IF(COUNTIFS($B$2:$B$5001,B605,$H$2:$H$5001,H605,$J$2:$J$5001,J605)&gt;1,"Possible Duplicate Booking","Unique")</f>
        <v>Unique</v>
      </c>
      <c r="W605" s="9" t="str">
        <f aca="false">IF((H605-G605)&lt;&gt;K605,"Mismatch","OK")</f>
        <v>OK</v>
      </c>
      <c r="X605" s="9" t="str">
        <f aca="false">IF(TEXT(H605,"dddd")&lt;&gt;I605,"Mismatch","OK")</f>
        <v>OK</v>
      </c>
      <c r="Y605" s="9" t="str">
        <f aca="false">IF(AND(N605="No",O605&lt;&gt;""),"Unexpected: channel present but no reminder sent",IF(AND(N605="Yes",O605=""),"Missing channel for sent reminder","OK"))</f>
        <v>OK</v>
      </c>
    </row>
    <row r="606" customFormat="false" ht="15" hidden="false" customHeight="false" outlineLevel="0" collapsed="false">
      <c r="A606" s="7" t="s">
        <v>1196</v>
      </c>
      <c r="B606" s="7" t="s">
        <v>1071</v>
      </c>
      <c r="C606" s="7" t="s">
        <v>37</v>
      </c>
      <c r="D606" s="7" t="n">
        <v>65</v>
      </c>
      <c r="E606" s="7" t="s">
        <v>70</v>
      </c>
      <c r="F606" s="7" t="s">
        <v>39</v>
      </c>
      <c r="G606" s="8" t="n">
        <v>46072</v>
      </c>
      <c r="H606" s="8" t="n">
        <v>46109</v>
      </c>
      <c r="I606" s="7" t="s">
        <v>102</v>
      </c>
      <c r="J606" s="7" t="s">
        <v>51</v>
      </c>
      <c r="K606" s="7" t="n">
        <v>37</v>
      </c>
      <c r="L606" s="7" t="n">
        <v>0</v>
      </c>
      <c r="M606" s="7" t="n">
        <v>0</v>
      </c>
      <c r="N606" s="7" t="s">
        <v>42</v>
      </c>
      <c r="O606" s="7" t="s">
        <v>52</v>
      </c>
      <c r="P606" s="7" t="n">
        <v>7.3</v>
      </c>
      <c r="Q606" s="7" t="n">
        <v>42</v>
      </c>
      <c r="R606" s="7" t="s">
        <v>53</v>
      </c>
      <c r="S606" s="7"/>
      <c r="T606" s="7"/>
      <c r="U606" s="7" t="str">
        <f aca="false">IF(COUNTIF($A$2:$A$5001,A606)&gt;1,"Duplicate","Unique")</f>
        <v>Unique</v>
      </c>
      <c r="V606" s="7" t="str">
        <f aca="false">IF(COUNTIFS($B$2:$B$5001,B606,$H$2:$H$5001,H606,$J$2:$J$5001,J606)&gt;1,"Possible Duplicate Booking","Unique")</f>
        <v>Unique</v>
      </c>
      <c r="W606" s="7" t="str">
        <f aca="false">IF((H606-G606)&lt;&gt;K606,"Mismatch","OK")</f>
        <v>OK</v>
      </c>
      <c r="X606" s="7" t="str">
        <f aca="false">IF(TEXT(H606,"dddd")&lt;&gt;I606,"Mismatch","OK")</f>
        <v>OK</v>
      </c>
      <c r="Y606" s="7" t="str">
        <f aca="false">IF(AND(N606="No",O606&lt;&gt;""),"Unexpected: channel present but no reminder sent",IF(AND(N606="Yes",O606=""),"Missing channel for sent reminder","OK"))</f>
        <v>OK</v>
      </c>
    </row>
    <row r="607" customFormat="false" ht="15" hidden="false" customHeight="false" outlineLevel="0" collapsed="false">
      <c r="A607" s="9" t="s">
        <v>1197</v>
      </c>
      <c r="B607" s="9" t="s">
        <v>1198</v>
      </c>
      <c r="C607" s="9" t="s">
        <v>47</v>
      </c>
      <c r="D607" s="9" t="n">
        <v>63</v>
      </c>
      <c r="E607" s="9" t="s">
        <v>61</v>
      </c>
      <c r="F607" s="9" t="s">
        <v>57</v>
      </c>
      <c r="G607" s="10" t="n">
        <v>45947</v>
      </c>
      <c r="H607" s="10" t="n">
        <v>45950</v>
      </c>
      <c r="I607" s="9" t="s">
        <v>66</v>
      </c>
      <c r="J607" s="9" t="s">
        <v>41</v>
      </c>
      <c r="K607" s="9" t="n">
        <v>3</v>
      </c>
      <c r="L607" s="9" t="n">
        <v>4</v>
      </c>
      <c r="M607" s="9" t="n">
        <v>0</v>
      </c>
      <c r="N607" s="9" t="s">
        <v>42</v>
      </c>
      <c r="O607" s="9" t="s">
        <v>67</v>
      </c>
      <c r="P607" s="9" t="n">
        <v>16.6</v>
      </c>
      <c r="Q607" s="9" t="n">
        <v>25</v>
      </c>
      <c r="R607" s="9" t="s">
        <v>53</v>
      </c>
      <c r="S607" s="9"/>
      <c r="T607" s="9"/>
      <c r="U607" s="9" t="str">
        <f aca="false">IF(COUNTIF($A$2:$A$5001,A607)&gt;1,"Duplicate","Unique")</f>
        <v>Unique</v>
      </c>
      <c r="V607" s="9" t="str">
        <f aca="false">IF(COUNTIFS($B$2:$B$5001,B607,$H$2:$H$5001,H607,$J$2:$J$5001,J607)&gt;1,"Possible Duplicate Booking","Unique")</f>
        <v>Unique</v>
      </c>
      <c r="W607" s="9" t="str">
        <f aca="false">IF((H607-G607)&lt;&gt;K607,"Mismatch","OK")</f>
        <v>OK</v>
      </c>
      <c r="X607" s="9" t="str">
        <f aca="false">IF(TEXT(H607,"dddd")&lt;&gt;I607,"Mismatch","OK")</f>
        <v>OK</v>
      </c>
      <c r="Y607" s="9" t="str">
        <f aca="false">IF(AND(N607="No",O607&lt;&gt;""),"Unexpected: channel present but no reminder sent",IF(AND(N607="Yes",O607=""),"Missing channel for sent reminder","OK"))</f>
        <v>OK</v>
      </c>
    </row>
    <row r="608" customFormat="false" ht="15" hidden="false" customHeight="false" outlineLevel="0" collapsed="false">
      <c r="A608" s="7" t="s">
        <v>1199</v>
      </c>
      <c r="B608" s="7" t="s">
        <v>909</v>
      </c>
      <c r="C608" s="7" t="s">
        <v>37</v>
      </c>
      <c r="D608" s="7" t="n">
        <v>51</v>
      </c>
      <c r="E608" s="7" t="s">
        <v>56</v>
      </c>
      <c r="F608" s="7" t="s">
        <v>57</v>
      </c>
      <c r="G608" s="8" t="n">
        <v>45807</v>
      </c>
      <c r="H608" s="8" t="n">
        <v>45834</v>
      </c>
      <c r="I608" s="7" t="s">
        <v>62</v>
      </c>
      <c r="J608" s="7" t="s">
        <v>41</v>
      </c>
      <c r="K608" s="7" t="n">
        <v>27</v>
      </c>
      <c r="L608" s="7" t="n">
        <v>1</v>
      </c>
      <c r="M608" s="7" t="n">
        <v>0</v>
      </c>
      <c r="N608" s="7" t="s">
        <v>42</v>
      </c>
      <c r="O608" s="7" t="s">
        <v>43</v>
      </c>
      <c r="P608" s="7" t="n">
        <v>1.5</v>
      </c>
      <c r="Q608" s="7" t="n">
        <v>21</v>
      </c>
      <c r="R608" s="7" t="s">
        <v>53</v>
      </c>
      <c r="S608" s="7"/>
      <c r="T608" s="7"/>
      <c r="U608" s="7" t="str">
        <f aca="false">IF(COUNTIF($A$2:$A$5001,A608)&gt;1,"Duplicate","Unique")</f>
        <v>Unique</v>
      </c>
      <c r="V608" s="7" t="str">
        <f aca="false">IF(COUNTIFS($B$2:$B$5001,B608,$H$2:$H$5001,H608,$J$2:$J$5001,J608)&gt;1,"Possible Duplicate Booking","Unique")</f>
        <v>Unique</v>
      </c>
      <c r="W608" s="7" t="str">
        <f aca="false">IF((H608-G608)&lt;&gt;K608,"Mismatch","OK")</f>
        <v>OK</v>
      </c>
      <c r="X608" s="7" t="str">
        <f aca="false">IF(TEXT(H608,"dddd")&lt;&gt;I608,"Mismatch","OK")</f>
        <v>OK</v>
      </c>
      <c r="Y608" s="7" t="str">
        <f aca="false">IF(AND(N608="No",O608&lt;&gt;""),"Unexpected: channel present but no reminder sent",IF(AND(N608="Yes",O608=""),"Missing channel for sent reminder","OK"))</f>
        <v>OK</v>
      </c>
    </row>
    <row r="609" customFormat="false" ht="15" hidden="false" customHeight="false" outlineLevel="0" collapsed="false">
      <c r="A609" s="9" t="s">
        <v>1200</v>
      </c>
      <c r="B609" s="9" t="s">
        <v>1201</v>
      </c>
      <c r="C609" s="9" t="s">
        <v>37</v>
      </c>
      <c r="D609" s="9" t="n">
        <v>39</v>
      </c>
      <c r="E609" s="9" t="s">
        <v>38</v>
      </c>
      <c r="F609" s="9" t="s">
        <v>49</v>
      </c>
      <c r="G609" s="10" t="n">
        <v>45902</v>
      </c>
      <c r="H609" s="10" t="n">
        <v>45938</v>
      </c>
      <c r="I609" s="9" t="s">
        <v>58</v>
      </c>
      <c r="J609" s="9" t="s">
        <v>51</v>
      </c>
      <c r="K609" s="9" t="n">
        <v>36</v>
      </c>
      <c r="L609" s="9" t="n">
        <v>4</v>
      </c>
      <c r="M609" s="9" t="n">
        <v>0</v>
      </c>
      <c r="N609" s="9" t="s">
        <v>42</v>
      </c>
      <c r="O609" s="9" t="s">
        <v>67</v>
      </c>
      <c r="P609" s="9" t="n">
        <v>19.1</v>
      </c>
      <c r="Q609" s="9" t="n">
        <v>19</v>
      </c>
      <c r="R609" s="9" t="s">
        <v>44</v>
      </c>
      <c r="S609" s="9"/>
      <c r="T609" s="9"/>
      <c r="U609" s="9" t="str">
        <f aca="false">IF(COUNTIF($A$2:$A$5001,A609)&gt;1,"Duplicate","Unique")</f>
        <v>Unique</v>
      </c>
      <c r="V609" s="9" t="str">
        <f aca="false">IF(COUNTIFS($B$2:$B$5001,B609,$H$2:$H$5001,H609,$J$2:$J$5001,J609)&gt;1,"Possible Duplicate Booking","Unique")</f>
        <v>Unique</v>
      </c>
      <c r="W609" s="9" t="str">
        <f aca="false">IF((H609-G609)&lt;&gt;K609,"Mismatch","OK")</f>
        <v>OK</v>
      </c>
      <c r="X609" s="9" t="str">
        <f aca="false">IF(TEXT(H609,"dddd")&lt;&gt;I609,"Mismatch","OK")</f>
        <v>OK</v>
      </c>
      <c r="Y609" s="9" t="str">
        <f aca="false">IF(AND(N609="No",O609&lt;&gt;""),"Unexpected: channel present but no reminder sent",IF(AND(N609="Yes",O609=""),"Missing channel for sent reminder","OK"))</f>
        <v>OK</v>
      </c>
    </row>
    <row r="610" customFormat="false" ht="15" hidden="false" customHeight="false" outlineLevel="0" collapsed="false">
      <c r="A610" s="7" t="s">
        <v>1202</v>
      </c>
      <c r="B610" s="7" t="s">
        <v>1203</v>
      </c>
      <c r="C610" s="7" t="s">
        <v>47</v>
      </c>
      <c r="D610" s="7" t="n">
        <v>28</v>
      </c>
      <c r="E610" s="7" t="s">
        <v>48</v>
      </c>
      <c r="F610" s="7" t="s">
        <v>39</v>
      </c>
      <c r="G610" s="8" t="n">
        <v>46148</v>
      </c>
      <c r="H610" s="8" t="n">
        <v>46185</v>
      </c>
      <c r="I610" s="7" t="s">
        <v>50</v>
      </c>
      <c r="J610" s="7" t="s">
        <v>41</v>
      </c>
      <c r="K610" s="7" t="n">
        <v>37</v>
      </c>
      <c r="L610" s="7" t="n">
        <v>2</v>
      </c>
      <c r="M610" s="7" t="n">
        <v>0</v>
      </c>
      <c r="N610" s="7" t="s">
        <v>42</v>
      </c>
      <c r="O610" s="7" t="s">
        <v>52</v>
      </c>
      <c r="P610" s="7" t="n">
        <v>5.4</v>
      </c>
      <c r="Q610" s="7" t="n">
        <v>31</v>
      </c>
      <c r="R610" s="7" t="s">
        <v>44</v>
      </c>
      <c r="S610" s="7"/>
      <c r="T610" s="7"/>
      <c r="U610" s="7" t="str">
        <f aca="false">IF(COUNTIF($A$2:$A$5001,A610)&gt;1,"Duplicate","Unique")</f>
        <v>Unique</v>
      </c>
      <c r="V610" s="7" t="str">
        <f aca="false">IF(COUNTIFS($B$2:$B$5001,B610,$H$2:$H$5001,H610,$J$2:$J$5001,J610)&gt;1,"Possible Duplicate Booking","Unique")</f>
        <v>Unique</v>
      </c>
      <c r="W610" s="7" t="str">
        <f aca="false">IF((H610-G610)&lt;&gt;K610,"Mismatch","OK")</f>
        <v>OK</v>
      </c>
      <c r="X610" s="7" t="str">
        <f aca="false">IF(TEXT(H610,"dddd")&lt;&gt;I610,"Mismatch","OK")</f>
        <v>OK</v>
      </c>
      <c r="Y610" s="7" t="str">
        <f aca="false">IF(AND(N610="No",O610&lt;&gt;""),"Unexpected: channel present but no reminder sent",IF(AND(N610="Yes",O610=""),"Missing channel for sent reminder","OK"))</f>
        <v>OK</v>
      </c>
    </row>
    <row r="611" customFormat="false" ht="15" hidden="false" customHeight="false" outlineLevel="0" collapsed="false">
      <c r="A611" s="9" t="s">
        <v>1204</v>
      </c>
      <c r="B611" s="9" t="s">
        <v>548</v>
      </c>
      <c r="C611" s="9" t="s">
        <v>47</v>
      </c>
      <c r="D611" s="9" t="n">
        <v>18</v>
      </c>
      <c r="E611" s="9" t="s">
        <v>82</v>
      </c>
      <c r="F611" s="9" t="s">
        <v>39</v>
      </c>
      <c r="G611" s="10" t="n">
        <v>46119</v>
      </c>
      <c r="H611" s="10" t="n">
        <v>46126</v>
      </c>
      <c r="I611" s="9" t="s">
        <v>40</v>
      </c>
      <c r="J611" s="9" t="s">
        <v>51</v>
      </c>
      <c r="K611" s="9" t="n">
        <v>7</v>
      </c>
      <c r="L611" s="9" t="n">
        <v>3</v>
      </c>
      <c r="M611" s="9" t="n">
        <v>2</v>
      </c>
      <c r="N611" s="9" t="s">
        <v>42</v>
      </c>
      <c r="O611" s="9" t="s">
        <v>43</v>
      </c>
      <c r="P611" s="9" t="n">
        <v>7.6</v>
      </c>
      <c r="Q611" s="9" t="n">
        <v>14</v>
      </c>
      <c r="R611" s="9" t="s">
        <v>44</v>
      </c>
      <c r="S611" s="9"/>
      <c r="T611" s="9"/>
      <c r="U611" s="9" t="str">
        <f aca="false">IF(COUNTIF($A$2:$A$5001,A611)&gt;1,"Duplicate","Unique")</f>
        <v>Unique</v>
      </c>
      <c r="V611" s="9" t="str">
        <f aca="false">IF(COUNTIFS($B$2:$B$5001,B611,$H$2:$H$5001,H611,$J$2:$J$5001,J611)&gt;1,"Possible Duplicate Booking","Unique")</f>
        <v>Unique</v>
      </c>
      <c r="W611" s="9" t="str">
        <f aca="false">IF((H611-G611)&lt;&gt;K611,"Mismatch","OK")</f>
        <v>OK</v>
      </c>
      <c r="X611" s="9" t="str">
        <f aca="false">IF(TEXT(H611,"dddd")&lt;&gt;I611,"Mismatch","OK")</f>
        <v>OK</v>
      </c>
      <c r="Y611" s="9" t="str">
        <f aca="false">IF(AND(N611="No",O611&lt;&gt;""),"Unexpected: channel present but no reminder sent",IF(AND(N611="Yes",O611=""),"Missing channel for sent reminder","OK"))</f>
        <v>OK</v>
      </c>
    </row>
    <row r="612" customFormat="false" ht="15" hidden="false" customHeight="false" outlineLevel="0" collapsed="false">
      <c r="A612" s="7" t="s">
        <v>1205</v>
      </c>
      <c r="B612" s="7" t="s">
        <v>1206</v>
      </c>
      <c r="C612" s="7" t="s">
        <v>47</v>
      </c>
      <c r="D612" s="7" t="n">
        <v>40</v>
      </c>
      <c r="E612" s="7" t="s">
        <v>38</v>
      </c>
      <c r="F612" s="7" t="s">
        <v>57</v>
      </c>
      <c r="G612" s="8" t="n">
        <v>46097</v>
      </c>
      <c r="H612" s="8" t="n">
        <v>46113</v>
      </c>
      <c r="I612" s="7" t="s">
        <v>58</v>
      </c>
      <c r="J612" s="7" t="s">
        <v>51</v>
      </c>
      <c r="K612" s="7" t="n">
        <v>16</v>
      </c>
      <c r="L612" s="7" t="n">
        <v>1</v>
      </c>
      <c r="M612" s="7" t="n">
        <v>0</v>
      </c>
      <c r="N612" s="7" t="s">
        <v>42</v>
      </c>
      <c r="O612" s="7" t="s">
        <v>52</v>
      </c>
      <c r="P612" s="7" t="n">
        <v>5.4</v>
      </c>
      <c r="Q612" s="7" t="n">
        <v>26</v>
      </c>
      <c r="R612" s="7" t="s">
        <v>53</v>
      </c>
      <c r="S612" s="7"/>
      <c r="T612" s="7"/>
      <c r="U612" s="7" t="str">
        <f aca="false">IF(COUNTIF($A$2:$A$5001,A612)&gt;1,"Duplicate","Unique")</f>
        <v>Unique</v>
      </c>
      <c r="V612" s="7" t="str">
        <f aca="false">IF(COUNTIFS($B$2:$B$5001,B612,$H$2:$H$5001,H612,$J$2:$J$5001,J612)&gt;1,"Possible Duplicate Booking","Unique")</f>
        <v>Unique</v>
      </c>
      <c r="W612" s="7" t="str">
        <f aca="false">IF((H612-G612)&lt;&gt;K612,"Mismatch","OK")</f>
        <v>OK</v>
      </c>
      <c r="X612" s="7" t="str">
        <f aca="false">IF(TEXT(H612,"dddd")&lt;&gt;I612,"Mismatch","OK")</f>
        <v>OK</v>
      </c>
      <c r="Y612" s="7" t="str">
        <f aca="false">IF(AND(N612="No",O612&lt;&gt;""),"Unexpected: channel present but no reminder sent",IF(AND(N612="Yes",O612=""),"Missing channel for sent reminder","OK"))</f>
        <v>OK</v>
      </c>
    </row>
    <row r="613" customFormat="false" ht="15" hidden="false" customHeight="false" outlineLevel="0" collapsed="false">
      <c r="A613" s="9" t="s">
        <v>1207</v>
      </c>
      <c r="B613" s="9" t="s">
        <v>1208</v>
      </c>
      <c r="C613" s="9" t="s">
        <v>47</v>
      </c>
      <c r="D613" s="9" t="n">
        <v>57</v>
      </c>
      <c r="E613" s="9" t="s">
        <v>61</v>
      </c>
      <c r="F613" s="9" t="s">
        <v>57</v>
      </c>
      <c r="G613" s="10" t="n">
        <v>45896</v>
      </c>
      <c r="H613" s="10" t="n">
        <v>45910</v>
      </c>
      <c r="I613" s="9" t="s">
        <v>58</v>
      </c>
      <c r="J613" s="9" t="s">
        <v>51</v>
      </c>
      <c r="K613" s="9" t="n">
        <v>14</v>
      </c>
      <c r="L613" s="9" t="n">
        <v>3</v>
      </c>
      <c r="M613" s="9" t="n">
        <v>1</v>
      </c>
      <c r="N613" s="9" t="s">
        <v>71</v>
      </c>
      <c r="O613" s="9"/>
      <c r="P613" s="9" t="n">
        <v>5.9</v>
      </c>
      <c r="Q613" s="9" t="n">
        <v>23</v>
      </c>
      <c r="R613" s="9" t="s">
        <v>53</v>
      </c>
      <c r="S613" s="9"/>
      <c r="T613" s="9"/>
      <c r="U613" s="9" t="str">
        <f aca="false">IF(COUNTIF($A$2:$A$5001,A613)&gt;1,"Duplicate","Unique")</f>
        <v>Unique</v>
      </c>
      <c r="V613" s="9" t="str">
        <f aca="false">IF(COUNTIFS($B$2:$B$5001,B613,$H$2:$H$5001,H613,$J$2:$J$5001,J613)&gt;1,"Possible Duplicate Booking","Unique")</f>
        <v>Unique</v>
      </c>
      <c r="W613" s="9" t="str">
        <f aca="false">IF((H613-G613)&lt;&gt;K613,"Mismatch","OK")</f>
        <v>OK</v>
      </c>
      <c r="X613" s="9" t="str">
        <f aca="false">IF(TEXT(H613,"dddd")&lt;&gt;I613,"Mismatch","OK")</f>
        <v>OK</v>
      </c>
      <c r="Y613" s="9" t="str">
        <f aca="false">IF(AND(N613="No",O613&lt;&gt;""),"Unexpected: channel present but no reminder sent",IF(AND(N613="Yes",O613=""),"Missing channel for sent reminder","OK"))</f>
        <v>OK</v>
      </c>
    </row>
    <row r="614" customFormat="false" ht="15" hidden="false" customHeight="false" outlineLevel="0" collapsed="false">
      <c r="A614" s="7" t="s">
        <v>1209</v>
      </c>
      <c r="B614" s="7" t="s">
        <v>1210</v>
      </c>
      <c r="C614" s="7" t="s">
        <v>47</v>
      </c>
      <c r="D614" s="7" t="n">
        <v>20</v>
      </c>
      <c r="E614" s="7" t="s">
        <v>82</v>
      </c>
      <c r="F614" s="7" t="s">
        <v>74</v>
      </c>
      <c r="G614" s="8" t="n">
        <v>46047</v>
      </c>
      <c r="H614" s="8" t="n">
        <v>46086</v>
      </c>
      <c r="I614" s="7" t="s">
        <v>62</v>
      </c>
      <c r="J614" s="7" t="s">
        <v>51</v>
      </c>
      <c r="K614" s="7" t="n">
        <v>39</v>
      </c>
      <c r="L614" s="7" t="n">
        <v>2</v>
      </c>
      <c r="M614" s="7" t="n">
        <v>0</v>
      </c>
      <c r="N614" s="7" t="s">
        <v>42</v>
      </c>
      <c r="O614" s="7" t="s">
        <v>52</v>
      </c>
      <c r="P614" s="7" t="n">
        <v>4.3</v>
      </c>
      <c r="Q614" s="7" t="n">
        <v>16</v>
      </c>
      <c r="R614" s="7" t="s">
        <v>87</v>
      </c>
      <c r="S614" s="7"/>
      <c r="T614" s="7"/>
      <c r="U614" s="7" t="str">
        <f aca="false">IF(COUNTIF($A$2:$A$5001,A614)&gt;1,"Duplicate","Unique")</f>
        <v>Unique</v>
      </c>
      <c r="V614" s="7" t="str">
        <f aca="false">IF(COUNTIFS($B$2:$B$5001,B614,$H$2:$H$5001,H614,$J$2:$J$5001,J614)&gt;1,"Possible Duplicate Booking","Unique")</f>
        <v>Unique</v>
      </c>
      <c r="W614" s="7" t="str">
        <f aca="false">IF((H614-G614)&lt;&gt;K614,"Mismatch","OK")</f>
        <v>OK</v>
      </c>
      <c r="X614" s="7" t="str">
        <f aca="false">IF(TEXT(H614,"dddd")&lt;&gt;I614,"Mismatch","OK")</f>
        <v>OK</v>
      </c>
      <c r="Y614" s="7" t="str">
        <f aca="false">IF(AND(N614="No",O614&lt;&gt;""),"Unexpected: channel present but no reminder sent",IF(AND(N614="Yes",O614=""),"Missing channel for sent reminder","OK"))</f>
        <v>OK</v>
      </c>
    </row>
    <row r="615" customFormat="false" ht="15" hidden="false" customHeight="false" outlineLevel="0" collapsed="false">
      <c r="A615" s="9" t="s">
        <v>1211</v>
      </c>
      <c r="B615" s="9" t="s">
        <v>1212</v>
      </c>
      <c r="C615" s="9" t="s">
        <v>37</v>
      </c>
      <c r="D615" s="9" t="n">
        <v>80</v>
      </c>
      <c r="E615" s="9" t="s">
        <v>70</v>
      </c>
      <c r="F615" s="9" t="s">
        <v>49</v>
      </c>
      <c r="G615" s="10" t="n">
        <v>45848</v>
      </c>
      <c r="H615" s="10" t="n">
        <v>45868</v>
      </c>
      <c r="I615" s="9" t="s">
        <v>58</v>
      </c>
      <c r="J615" s="9" t="s">
        <v>51</v>
      </c>
      <c r="K615" s="9" t="n">
        <v>20</v>
      </c>
      <c r="L615" s="9" t="n">
        <v>1</v>
      </c>
      <c r="M615" s="9" t="n">
        <v>0</v>
      </c>
      <c r="N615" s="9" t="s">
        <v>42</v>
      </c>
      <c r="O615" s="9" t="s">
        <v>52</v>
      </c>
      <c r="P615" s="9" t="n">
        <v>15.7</v>
      </c>
      <c r="Q615" s="9" t="n">
        <v>9</v>
      </c>
      <c r="R615" s="9" t="s">
        <v>44</v>
      </c>
      <c r="S615" s="9"/>
      <c r="T615" s="9"/>
      <c r="U615" s="9" t="str">
        <f aca="false">IF(COUNTIF($A$2:$A$5001,A615)&gt;1,"Duplicate","Unique")</f>
        <v>Unique</v>
      </c>
      <c r="V615" s="9" t="str">
        <f aca="false">IF(COUNTIFS($B$2:$B$5001,B615,$H$2:$H$5001,H615,$J$2:$J$5001,J615)&gt;1,"Possible Duplicate Booking","Unique")</f>
        <v>Unique</v>
      </c>
      <c r="W615" s="9" t="str">
        <f aca="false">IF((H615-G615)&lt;&gt;K615,"Mismatch","OK")</f>
        <v>OK</v>
      </c>
      <c r="X615" s="9" t="str">
        <f aca="false">IF(TEXT(H615,"dddd")&lt;&gt;I615,"Mismatch","OK")</f>
        <v>OK</v>
      </c>
      <c r="Y615" s="9" t="str">
        <f aca="false">IF(AND(N615="No",O615&lt;&gt;""),"Unexpected: channel present but no reminder sent",IF(AND(N615="Yes",O615=""),"Missing channel for sent reminder","OK"))</f>
        <v>OK</v>
      </c>
    </row>
    <row r="616" customFormat="false" ht="15" hidden="false" customHeight="false" outlineLevel="0" collapsed="false">
      <c r="A616" s="7" t="s">
        <v>1213</v>
      </c>
      <c r="B616" s="7" t="s">
        <v>1214</v>
      </c>
      <c r="C616" s="7" t="s">
        <v>37</v>
      </c>
      <c r="D616" s="7" t="n">
        <v>54</v>
      </c>
      <c r="E616" s="7" t="s">
        <v>56</v>
      </c>
      <c r="F616" s="7" t="s">
        <v>57</v>
      </c>
      <c r="G616" s="8" t="n">
        <v>45998</v>
      </c>
      <c r="H616" s="8" t="n">
        <v>46032</v>
      </c>
      <c r="I616" s="7" t="s">
        <v>102</v>
      </c>
      <c r="J616" s="7" t="s">
        <v>51</v>
      </c>
      <c r="K616" s="7" t="n">
        <v>34</v>
      </c>
      <c r="L616" s="7" t="n">
        <v>0</v>
      </c>
      <c r="M616" s="7" t="n">
        <v>0</v>
      </c>
      <c r="N616" s="7" t="s">
        <v>42</v>
      </c>
      <c r="O616" s="7" t="s">
        <v>52</v>
      </c>
      <c r="P616" s="7" t="n">
        <v>13.2</v>
      </c>
      <c r="Q616" s="7" t="n">
        <v>25</v>
      </c>
      <c r="R616" s="7" t="s">
        <v>44</v>
      </c>
      <c r="S616" s="7"/>
      <c r="T616" s="7"/>
      <c r="U616" s="7" t="str">
        <f aca="false">IF(COUNTIF($A$2:$A$5001,A616)&gt;1,"Duplicate","Unique")</f>
        <v>Unique</v>
      </c>
      <c r="V616" s="7" t="str">
        <f aca="false">IF(COUNTIFS($B$2:$B$5001,B616,$H$2:$H$5001,H616,$J$2:$J$5001,J616)&gt;1,"Possible Duplicate Booking","Unique")</f>
        <v>Unique</v>
      </c>
      <c r="W616" s="7" t="str">
        <f aca="false">IF((H616-G616)&lt;&gt;K616,"Mismatch","OK")</f>
        <v>OK</v>
      </c>
      <c r="X616" s="7" t="str">
        <f aca="false">IF(TEXT(H616,"dddd")&lt;&gt;I616,"Mismatch","OK")</f>
        <v>OK</v>
      </c>
      <c r="Y616" s="7" t="str">
        <f aca="false">IF(AND(N616="No",O616&lt;&gt;""),"Unexpected: channel present but no reminder sent",IF(AND(N616="Yes",O616=""),"Missing channel for sent reminder","OK"))</f>
        <v>OK</v>
      </c>
    </row>
    <row r="617" customFormat="false" ht="15" hidden="false" customHeight="false" outlineLevel="0" collapsed="false">
      <c r="A617" s="9" t="s">
        <v>1215</v>
      </c>
      <c r="B617" s="9" t="s">
        <v>1216</v>
      </c>
      <c r="C617" s="9" t="s">
        <v>37</v>
      </c>
      <c r="D617" s="9" t="n">
        <v>36</v>
      </c>
      <c r="E617" s="9" t="s">
        <v>38</v>
      </c>
      <c r="F617" s="9" t="s">
        <v>74</v>
      </c>
      <c r="G617" s="10" t="n">
        <v>45963</v>
      </c>
      <c r="H617" s="10" t="n">
        <v>46007</v>
      </c>
      <c r="I617" s="9" t="s">
        <v>40</v>
      </c>
      <c r="J617" s="9" t="s">
        <v>41</v>
      </c>
      <c r="K617" s="9" t="n">
        <v>44</v>
      </c>
      <c r="L617" s="9" t="n">
        <v>1</v>
      </c>
      <c r="M617" s="9" t="n">
        <v>0</v>
      </c>
      <c r="N617" s="9" t="s">
        <v>71</v>
      </c>
      <c r="O617" s="9"/>
      <c r="P617" s="9" t="n">
        <v>3.9</v>
      </c>
      <c r="Q617" s="9" t="n">
        <v>21</v>
      </c>
      <c r="R617" s="9" t="s">
        <v>53</v>
      </c>
      <c r="S617" s="9"/>
      <c r="T617" s="9"/>
      <c r="U617" s="9" t="str">
        <f aca="false">IF(COUNTIF($A$2:$A$5001,A617)&gt;1,"Duplicate","Unique")</f>
        <v>Unique</v>
      </c>
      <c r="V617" s="9" t="str">
        <f aca="false">IF(COUNTIFS($B$2:$B$5001,B617,$H$2:$H$5001,H617,$J$2:$J$5001,J617)&gt;1,"Possible Duplicate Booking","Unique")</f>
        <v>Unique</v>
      </c>
      <c r="W617" s="9" t="str">
        <f aca="false">IF((H617-G617)&lt;&gt;K617,"Mismatch","OK")</f>
        <v>OK</v>
      </c>
      <c r="X617" s="9" t="str">
        <f aca="false">IF(TEXT(H617,"dddd")&lt;&gt;I617,"Mismatch","OK")</f>
        <v>OK</v>
      </c>
      <c r="Y617" s="9" t="str">
        <f aca="false">IF(AND(N617="No",O617&lt;&gt;""),"Unexpected: channel present but no reminder sent",IF(AND(N617="Yes",O617=""),"Missing channel for sent reminder","OK"))</f>
        <v>OK</v>
      </c>
    </row>
    <row r="618" customFormat="false" ht="15" hidden="false" customHeight="false" outlineLevel="0" collapsed="false">
      <c r="A618" s="7" t="s">
        <v>1217</v>
      </c>
      <c r="B618" s="7" t="s">
        <v>1022</v>
      </c>
      <c r="C618" s="7" t="s">
        <v>37</v>
      </c>
      <c r="D618" s="7" t="n">
        <v>78</v>
      </c>
      <c r="E618" s="7" t="s">
        <v>70</v>
      </c>
      <c r="F618" s="7" t="s">
        <v>39</v>
      </c>
      <c r="G618" s="8" t="n">
        <v>45746</v>
      </c>
      <c r="H618" s="8" t="n">
        <v>45794</v>
      </c>
      <c r="I618" s="7" t="s">
        <v>102</v>
      </c>
      <c r="J618" s="7" t="s">
        <v>41</v>
      </c>
      <c r="K618" s="7" t="n">
        <v>48</v>
      </c>
      <c r="L618" s="7" t="n">
        <v>3</v>
      </c>
      <c r="M618" s="7" t="n">
        <v>1</v>
      </c>
      <c r="N618" s="7" t="s">
        <v>42</v>
      </c>
      <c r="O618" s="7" t="s">
        <v>43</v>
      </c>
      <c r="P618" s="7" t="n">
        <v>11.1</v>
      </c>
      <c r="Q618" s="7" t="n">
        <v>27</v>
      </c>
      <c r="R618" s="7" t="s">
        <v>44</v>
      </c>
      <c r="S618" s="7"/>
      <c r="T618" s="7"/>
      <c r="U618" s="7" t="str">
        <f aca="false">IF(COUNTIF($A$2:$A$5001,A618)&gt;1,"Duplicate","Unique")</f>
        <v>Unique</v>
      </c>
      <c r="V618" s="7" t="str">
        <f aca="false">IF(COUNTIFS($B$2:$B$5001,B618,$H$2:$H$5001,H618,$J$2:$J$5001,J618)&gt;1,"Possible Duplicate Booking","Unique")</f>
        <v>Unique</v>
      </c>
      <c r="W618" s="7" t="str">
        <f aca="false">IF((H618-G618)&lt;&gt;K618,"Mismatch","OK")</f>
        <v>OK</v>
      </c>
      <c r="X618" s="7" t="str">
        <f aca="false">IF(TEXT(H618,"dddd")&lt;&gt;I618,"Mismatch","OK")</f>
        <v>OK</v>
      </c>
      <c r="Y618" s="7" t="str">
        <f aca="false">IF(AND(N618="No",O618&lt;&gt;""),"Unexpected: channel present but no reminder sent",IF(AND(N618="Yes",O618=""),"Missing channel for sent reminder","OK"))</f>
        <v>OK</v>
      </c>
    </row>
    <row r="619" customFormat="false" ht="15" hidden="false" customHeight="false" outlineLevel="0" collapsed="false">
      <c r="A619" s="9" t="s">
        <v>1218</v>
      </c>
      <c r="B619" s="9" t="s">
        <v>700</v>
      </c>
      <c r="C619" s="9" t="s">
        <v>37</v>
      </c>
      <c r="D619" s="9" t="n">
        <v>29</v>
      </c>
      <c r="E619" s="9" t="s">
        <v>48</v>
      </c>
      <c r="F619" s="9" t="s">
        <v>57</v>
      </c>
      <c r="G619" s="10" t="n">
        <v>45792</v>
      </c>
      <c r="H619" s="10" t="n">
        <v>45803</v>
      </c>
      <c r="I619" s="9" t="s">
        <v>66</v>
      </c>
      <c r="J619" s="9" t="s">
        <v>63</v>
      </c>
      <c r="K619" s="9" t="n">
        <v>11</v>
      </c>
      <c r="L619" s="9" t="n">
        <v>1</v>
      </c>
      <c r="M619" s="9" t="n">
        <v>0</v>
      </c>
      <c r="N619" s="9" t="s">
        <v>42</v>
      </c>
      <c r="O619" s="9" t="s">
        <v>67</v>
      </c>
      <c r="P619" s="9" t="n">
        <v>9.6</v>
      </c>
      <c r="Q619" s="9" t="n">
        <v>2</v>
      </c>
      <c r="R619" s="9" t="s">
        <v>44</v>
      </c>
      <c r="S619" s="9"/>
      <c r="T619" s="9"/>
      <c r="U619" s="9" t="str">
        <f aca="false">IF(COUNTIF($A$2:$A$5001,A619)&gt;1,"Duplicate","Unique")</f>
        <v>Unique</v>
      </c>
      <c r="V619" s="9" t="str">
        <f aca="false">IF(COUNTIFS($B$2:$B$5001,B619,$H$2:$H$5001,H619,$J$2:$J$5001,J619)&gt;1,"Possible Duplicate Booking","Unique")</f>
        <v>Unique</v>
      </c>
      <c r="W619" s="9" t="str">
        <f aca="false">IF((H619-G619)&lt;&gt;K619,"Mismatch","OK")</f>
        <v>OK</v>
      </c>
      <c r="X619" s="9" t="str">
        <f aca="false">IF(TEXT(H619,"dddd")&lt;&gt;I619,"Mismatch","OK")</f>
        <v>OK</v>
      </c>
      <c r="Y619" s="9" t="str">
        <f aca="false">IF(AND(N619="No",O619&lt;&gt;""),"Unexpected: channel present but no reminder sent",IF(AND(N619="Yes",O619=""),"Missing channel for sent reminder","OK"))</f>
        <v>OK</v>
      </c>
    </row>
    <row r="620" customFormat="false" ht="15" hidden="false" customHeight="false" outlineLevel="0" collapsed="false">
      <c r="A620" s="7" t="s">
        <v>1219</v>
      </c>
      <c r="B620" s="7" t="s">
        <v>1220</v>
      </c>
      <c r="C620" s="7" t="s">
        <v>37</v>
      </c>
      <c r="D620" s="7" t="n">
        <v>78</v>
      </c>
      <c r="E620" s="7" t="s">
        <v>70</v>
      </c>
      <c r="F620" s="7" t="s">
        <v>57</v>
      </c>
      <c r="G620" s="8" t="n">
        <v>45636</v>
      </c>
      <c r="H620" s="8" t="n">
        <v>45691</v>
      </c>
      <c r="I620" s="7" t="s">
        <v>66</v>
      </c>
      <c r="J620" s="7" t="s">
        <v>41</v>
      </c>
      <c r="K620" s="7" t="n">
        <v>55</v>
      </c>
      <c r="L620" s="7" t="n">
        <v>2</v>
      </c>
      <c r="M620" s="7" t="n">
        <v>1</v>
      </c>
      <c r="N620" s="7" t="s">
        <v>71</v>
      </c>
      <c r="O620" s="7"/>
      <c r="P620" s="7" t="n">
        <v>6.5</v>
      </c>
      <c r="Q620" s="7" t="n">
        <v>20</v>
      </c>
      <c r="R620" s="7" t="s">
        <v>44</v>
      </c>
      <c r="S620" s="7"/>
      <c r="T620" s="7"/>
      <c r="U620" s="7" t="str">
        <f aca="false">IF(COUNTIF($A$2:$A$5001,A620)&gt;1,"Duplicate","Unique")</f>
        <v>Unique</v>
      </c>
      <c r="V620" s="7" t="str">
        <f aca="false">IF(COUNTIFS($B$2:$B$5001,B620,$H$2:$H$5001,H620,$J$2:$J$5001,J620)&gt;1,"Possible Duplicate Booking","Unique")</f>
        <v>Unique</v>
      </c>
      <c r="W620" s="7" t="str">
        <f aca="false">IF((H620-G620)&lt;&gt;K620,"Mismatch","OK")</f>
        <v>OK</v>
      </c>
      <c r="X620" s="7" t="str">
        <f aca="false">IF(TEXT(H620,"dddd")&lt;&gt;I620,"Mismatch","OK")</f>
        <v>OK</v>
      </c>
      <c r="Y620" s="7" t="str">
        <f aca="false">IF(AND(N620="No",O620&lt;&gt;""),"Unexpected: channel present but no reminder sent",IF(AND(N620="Yes",O620=""),"Missing channel for sent reminder","OK"))</f>
        <v>OK</v>
      </c>
    </row>
    <row r="621" customFormat="false" ht="15" hidden="false" customHeight="false" outlineLevel="0" collapsed="false">
      <c r="A621" s="9" t="s">
        <v>1221</v>
      </c>
      <c r="B621" s="9" t="s">
        <v>1036</v>
      </c>
      <c r="C621" s="9" t="s">
        <v>47</v>
      </c>
      <c r="D621" s="9" t="n">
        <v>35</v>
      </c>
      <c r="E621" s="9" t="s">
        <v>38</v>
      </c>
      <c r="F621" s="9" t="s">
        <v>49</v>
      </c>
      <c r="G621" s="10" t="n">
        <v>45724</v>
      </c>
      <c r="H621" s="10" t="n">
        <v>45734</v>
      </c>
      <c r="I621" s="9" t="s">
        <v>40</v>
      </c>
      <c r="J621" s="9" t="s">
        <v>41</v>
      </c>
      <c r="K621" s="9" t="n">
        <v>10</v>
      </c>
      <c r="L621" s="9" t="n">
        <v>0</v>
      </c>
      <c r="M621" s="9" t="n">
        <v>0</v>
      </c>
      <c r="N621" s="9" t="s">
        <v>71</v>
      </c>
      <c r="O621" s="9"/>
      <c r="P621" s="9" t="n">
        <v>11.6</v>
      </c>
      <c r="Q621" s="9" t="n">
        <v>34</v>
      </c>
      <c r="R621" s="9" t="s">
        <v>53</v>
      </c>
      <c r="S621" s="9"/>
      <c r="T621" s="9"/>
      <c r="U621" s="9" t="str">
        <f aca="false">IF(COUNTIF($A$2:$A$5001,A621)&gt;1,"Duplicate","Unique")</f>
        <v>Unique</v>
      </c>
      <c r="V621" s="9" t="str">
        <f aca="false">IF(COUNTIFS($B$2:$B$5001,B621,$H$2:$H$5001,H621,$J$2:$J$5001,J621)&gt;1,"Possible Duplicate Booking","Unique")</f>
        <v>Unique</v>
      </c>
      <c r="W621" s="9" t="str">
        <f aca="false">IF((H621-G621)&lt;&gt;K621,"Mismatch","OK")</f>
        <v>OK</v>
      </c>
      <c r="X621" s="9" t="str">
        <f aca="false">IF(TEXT(H621,"dddd")&lt;&gt;I621,"Mismatch","OK")</f>
        <v>OK</v>
      </c>
      <c r="Y621" s="9" t="str">
        <f aca="false">IF(AND(N621="No",O621&lt;&gt;""),"Unexpected: channel present but no reminder sent",IF(AND(N621="Yes",O621=""),"Missing channel for sent reminder","OK"))</f>
        <v>OK</v>
      </c>
    </row>
    <row r="622" customFormat="false" ht="15" hidden="false" customHeight="false" outlineLevel="0" collapsed="false">
      <c r="A622" s="7" t="s">
        <v>1222</v>
      </c>
      <c r="B622" s="7" t="s">
        <v>1223</v>
      </c>
      <c r="C622" s="7" t="s">
        <v>47</v>
      </c>
      <c r="D622" s="7" t="n">
        <v>41</v>
      </c>
      <c r="E622" s="7" t="s">
        <v>38</v>
      </c>
      <c r="F622" s="7" t="s">
        <v>57</v>
      </c>
      <c r="G622" s="8" t="n">
        <v>45893</v>
      </c>
      <c r="H622" s="8" t="n">
        <v>45894</v>
      </c>
      <c r="I622" s="7" t="s">
        <v>66</v>
      </c>
      <c r="J622" s="7" t="s">
        <v>51</v>
      </c>
      <c r="K622" s="7" t="n">
        <v>1</v>
      </c>
      <c r="L622" s="7" t="n">
        <v>8</v>
      </c>
      <c r="M622" s="7" t="n">
        <v>2</v>
      </c>
      <c r="N622" s="7" t="s">
        <v>42</v>
      </c>
      <c r="O622" s="7" t="s">
        <v>52</v>
      </c>
      <c r="P622" s="7" t="n">
        <v>7.5</v>
      </c>
      <c r="Q622" s="7" t="n">
        <v>7</v>
      </c>
      <c r="R622" s="7" t="s">
        <v>53</v>
      </c>
      <c r="S622" s="7"/>
      <c r="T622" s="7"/>
      <c r="U622" s="7" t="str">
        <f aca="false">IF(COUNTIF($A$2:$A$5001,A622)&gt;1,"Duplicate","Unique")</f>
        <v>Unique</v>
      </c>
      <c r="V622" s="7" t="str">
        <f aca="false">IF(COUNTIFS($B$2:$B$5001,B622,$H$2:$H$5001,H622,$J$2:$J$5001,J622)&gt;1,"Possible Duplicate Booking","Unique")</f>
        <v>Unique</v>
      </c>
      <c r="W622" s="7" t="str">
        <f aca="false">IF((H622-G622)&lt;&gt;K622,"Mismatch","OK")</f>
        <v>OK</v>
      </c>
      <c r="X622" s="7" t="str">
        <f aca="false">IF(TEXT(H622,"dddd")&lt;&gt;I622,"Mismatch","OK")</f>
        <v>OK</v>
      </c>
      <c r="Y622" s="7" t="str">
        <f aca="false">IF(AND(N622="No",O622&lt;&gt;""),"Unexpected: channel present but no reminder sent",IF(AND(N622="Yes",O622=""),"Missing channel for sent reminder","OK"))</f>
        <v>OK</v>
      </c>
    </row>
    <row r="623" customFormat="false" ht="15" hidden="false" customHeight="false" outlineLevel="0" collapsed="false">
      <c r="A623" s="9" t="s">
        <v>1224</v>
      </c>
      <c r="B623" s="9" t="s">
        <v>1225</v>
      </c>
      <c r="C623" s="9" t="s">
        <v>37</v>
      </c>
      <c r="D623" s="9" t="n">
        <v>44</v>
      </c>
      <c r="E623" s="9" t="s">
        <v>38</v>
      </c>
      <c r="F623" s="9" t="s">
        <v>39</v>
      </c>
      <c r="G623" s="10" t="n">
        <v>45916</v>
      </c>
      <c r="H623" s="10" t="n">
        <v>45918</v>
      </c>
      <c r="I623" s="9" t="s">
        <v>62</v>
      </c>
      <c r="J623" s="9" t="s">
        <v>41</v>
      </c>
      <c r="K623" s="9" t="n">
        <v>2</v>
      </c>
      <c r="L623" s="9" t="n">
        <v>1</v>
      </c>
      <c r="M623" s="9" t="n">
        <v>0</v>
      </c>
      <c r="N623" s="9" t="s">
        <v>42</v>
      </c>
      <c r="O623" s="9" t="s">
        <v>52</v>
      </c>
      <c r="P623" s="9" t="n">
        <v>14.4</v>
      </c>
      <c r="Q623" s="9" t="n">
        <v>45</v>
      </c>
      <c r="R623" s="9" t="s">
        <v>53</v>
      </c>
      <c r="S623" s="9"/>
      <c r="T623" s="9"/>
      <c r="U623" s="9" t="str">
        <f aca="false">IF(COUNTIF($A$2:$A$5001,A623)&gt;1,"Duplicate","Unique")</f>
        <v>Unique</v>
      </c>
      <c r="V623" s="9" t="str">
        <f aca="false">IF(COUNTIFS($B$2:$B$5001,B623,$H$2:$H$5001,H623,$J$2:$J$5001,J623)&gt;1,"Possible Duplicate Booking","Unique")</f>
        <v>Unique</v>
      </c>
      <c r="W623" s="9" t="str">
        <f aca="false">IF((H623-G623)&lt;&gt;K623,"Mismatch","OK")</f>
        <v>OK</v>
      </c>
      <c r="X623" s="9" t="str">
        <f aca="false">IF(TEXT(H623,"dddd")&lt;&gt;I623,"Mismatch","OK")</f>
        <v>OK</v>
      </c>
      <c r="Y623" s="9" t="str">
        <f aca="false">IF(AND(N623="No",O623&lt;&gt;""),"Unexpected: channel present but no reminder sent",IF(AND(N623="Yes",O623=""),"Missing channel for sent reminder","OK"))</f>
        <v>OK</v>
      </c>
    </row>
    <row r="624" customFormat="false" ht="15" hidden="false" customHeight="false" outlineLevel="0" collapsed="false">
      <c r="A624" s="7" t="s">
        <v>1226</v>
      </c>
      <c r="B624" s="7" t="s">
        <v>1227</v>
      </c>
      <c r="C624" s="7" t="s">
        <v>37</v>
      </c>
      <c r="D624" s="7" t="n">
        <v>80</v>
      </c>
      <c r="E624" s="7" t="s">
        <v>70</v>
      </c>
      <c r="F624" s="7" t="s">
        <v>49</v>
      </c>
      <c r="G624" s="8" t="n">
        <v>45736</v>
      </c>
      <c r="H624" s="8" t="n">
        <v>45748</v>
      </c>
      <c r="I624" s="7" t="s">
        <v>40</v>
      </c>
      <c r="J624" s="7" t="s">
        <v>51</v>
      </c>
      <c r="K624" s="7" t="n">
        <v>12</v>
      </c>
      <c r="L624" s="7" t="n">
        <v>1</v>
      </c>
      <c r="M624" s="7" t="n">
        <v>0</v>
      </c>
      <c r="N624" s="7" t="s">
        <v>42</v>
      </c>
      <c r="O624" s="7" t="s">
        <v>67</v>
      </c>
      <c r="P624" s="7" t="n">
        <v>4.4</v>
      </c>
      <c r="Q624" s="7" t="n">
        <v>29</v>
      </c>
      <c r="R624" s="7" t="s">
        <v>53</v>
      </c>
      <c r="S624" s="7"/>
      <c r="T624" s="7"/>
      <c r="U624" s="7" t="str">
        <f aca="false">IF(COUNTIF($A$2:$A$5001,A624)&gt;1,"Duplicate","Unique")</f>
        <v>Unique</v>
      </c>
      <c r="V624" s="7" t="str">
        <f aca="false">IF(COUNTIFS($B$2:$B$5001,B624,$H$2:$H$5001,H624,$J$2:$J$5001,J624)&gt;1,"Possible Duplicate Booking","Unique")</f>
        <v>Unique</v>
      </c>
      <c r="W624" s="7" t="str">
        <f aca="false">IF((H624-G624)&lt;&gt;K624,"Mismatch","OK")</f>
        <v>OK</v>
      </c>
      <c r="X624" s="7" t="str">
        <f aca="false">IF(TEXT(H624,"dddd")&lt;&gt;I624,"Mismatch","OK")</f>
        <v>OK</v>
      </c>
      <c r="Y624" s="7" t="str">
        <f aca="false">IF(AND(N624="No",O624&lt;&gt;""),"Unexpected: channel present but no reminder sent",IF(AND(N624="Yes",O624=""),"Missing channel for sent reminder","OK"))</f>
        <v>OK</v>
      </c>
    </row>
    <row r="625" customFormat="false" ht="15" hidden="false" customHeight="false" outlineLevel="0" collapsed="false">
      <c r="A625" s="9" t="s">
        <v>1228</v>
      </c>
      <c r="B625" s="9" t="s">
        <v>1229</v>
      </c>
      <c r="C625" s="9" t="s">
        <v>37</v>
      </c>
      <c r="D625" s="9" t="n">
        <v>33</v>
      </c>
      <c r="E625" s="9" t="s">
        <v>48</v>
      </c>
      <c r="F625" s="9" t="s">
        <v>57</v>
      </c>
      <c r="G625" s="10" t="n">
        <v>45832</v>
      </c>
      <c r="H625" s="10" t="n">
        <v>45885</v>
      </c>
      <c r="I625" s="9" t="s">
        <v>102</v>
      </c>
      <c r="J625" s="9" t="s">
        <v>63</v>
      </c>
      <c r="K625" s="9" t="n">
        <v>53</v>
      </c>
      <c r="L625" s="9" t="n">
        <v>1</v>
      </c>
      <c r="M625" s="9" t="n">
        <v>0</v>
      </c>
      <c r="N625" s="9" t="s">
        <v>71</v>
      </c>
      <c r="O625" s="9"/>
      <c r="P625" s="9" t="n">
        <v>13.5</v>
      </c>
      <c r="Q625" s="9" t="n">
        <v>23</v>
      </c>
      <c r="R625" s="9" t="s">
        <v>44</v>
      </c>
      <c r="S625" s="9"/>
      <c r="T625" s="9"/>
      <c r="U625" s="9" t="str">
        <f aca="false">IF(COUNTIF($A$2:$A$5001,A625)&gt;1,"Duplicate","Unique")</f>
        <v>Unique</v>
      </c>
      <c r="V625" s="9" t="str">
        <f aca="false">IF(COUNTIFS($B$2:$B$5001,B625,$H$2:$H$5001,H625,$J$2:$J$5001,J625)&gt;1,"Possible Duplicate Booking","Unique")</f>
        <v>Unique</v>
      </c>
      <c r="W625" s="9" t="str">
        <f aca="false">IF((H625-G625)&lt;&gt;K625,"Mismatch","OK")</f>
        <v>OK</v>
      </c>
      <c r="X625" s="9" t="str">
        <f aca="false">IF(TEXT(H625,"dddd")&lt;&gt;I625,"Mismatch","OK")</f>
        <v>OK</v>
      </c>
      <c r="Y625" s="9" t="str">
        <f aca="false">IF(AND(N625="No",O625&lt;&gt;""),"Unexpected: channel present but no reminder sent",IF(AND(N625="Yes",O625=""),"Missing channel for sent reminder","OK"))</f>
        <v>OK</v>
      </c>
    </row>
    <row r="626" customFormat="false" ht="15" hidden="false" customHeight="false" outlineLevel="0" collapsed="false">
      <c r="A626" s="7" t="s">
        <v>1230</v>
      </c>
      <c r="B626" s="7" t="s">
        <v>1231</v>
      </c>
      <c r="C626" s="7" t="s">
        <v>37</v>
      </c>
      <c r="D626" s="7" t="n">
        <v>79</v>
      </c>
      <c r="E626" s="7" t="s">
        <v>70</v>
      </c>
      <c r="F626" s="7" t="s">
        <v>74</v>
      </c>
      <c r="G626" s="8" t="n">
        <v>45975</v>
      </c>
      <c r="H626" s="8" t="n">
        <v>45987</v>
      </c>
      <c r="I626" s="7" t="s">
        <v>58</v>
      </c>
      <c r="J626" s="7" t="s">
        <v>63</v>
      </c>
      <c r="K626" s="7" t="n">
        <v>12</v>
      </c>
      <c r="L626" s="7" t="n">
        <v>2</v>
      </c>
      <c r="M626" s="7" t="n">
        <v>0</v>
      </c>
      <c r="N626" s="7" t="s">
        <v>42</v>
      </c>
      <c r="O626" s="7" t="s">
        <v>52</v>
      </c>
      <c r="P626" s="7" t="n">
        <v>1.8</v>
      </c>
      <c r="Q626" s="7" t="n">
        <v>26</v>
      </c>
      <c r="R626" s="7" t="s">
        <v>53</v>
      </c>
      <c r="S626" s="7"/>
      <c r="T626" s="7"/>
      <c r="U626" s="7" t="str">
        <f aca="false">IF(COUNTIF($A$2:$A$5001,A626)&gt;1,"Duplicate","Unique")</f>
        <v>Unique</v>
      </c>
      <c r="V626" s="7" t="str">
        <f aca="false">IF(COUNTIFS($B$2:$B$5001,B626,$H$2:$H$5001,H626,$J$2:$J$5001,J626)&gt;1,"Possible Duplicate Booking","Unique")</f>
        <v>Unique</v>
      </c>
      <c r="W626" s="7" t="str">
        <f aca="false">IF((H626-G626)&lt;&gt;K626,"Mismatch","OK")</f>
        <v>OK</v>
      </c>
      <c r="X626" s="7" t="str">
        <f aca="false">IF(TEXT(H626,"dddd")&lt;&gt;I626,"Mismatch","OK")</f>
        <v>OK</v>
      </c>
      <c r="Y626" s="7" t="str">
        <f aca="false">IF(AND(N626="No",O626&lt;&gt;""),"Unexpected: channel present but no reminder sent",IF(AND(N626="Yes",O626=""),"Missing channel for sent reminder","OK"))</f>
        <v>OK</v>
      </c>
    </row>
    <row r="627" customFormat="false" ht="15" hidden="false" customHeight="false" outlineLevel="0" collapsed="false">
      <c r="A627" s="9" t="s">
        <v>1232</v>
      </c>
      <c r="B627" s="9" t="s">
        <v>1233</v>
      </c>
      <c r="C627" s="9" t="s">
        <v>47</v>
      </c>
      <c r="D627" s="9" t="n">
        <v>39</v>
      </c>
      <c r="E627" s="9" t="s">
        <v>38</v>
      </c>
      <c r="F627" s="9" t="s">
        <v>57</v>
      </c>
      <c r="G627" s="10" t="n">
        <v>45742</v>
      </c>
      <c r="H627" s="10" t="n">
        <v>45784</v>
      </c>
      <c r="I627" s="9" t="s">
        <v>58</v>
      </c>
      <c r="J627" s="9" t="s">
        <v>51</v>
      </c>
      <c r="K627" s="9" t="n">
        <v>42</v>
      </c>
      <c r="L627" s="9" t="n">
        <v>5</v>
      </c>
      <c r="M627" s="9" t="n">
        <v>1</v>
      </c>
      <c r="N627" s="9" t="s">
        <v>42</v>
      </c>
      <c r="O627" s="9" t="s">
        <v>67</v>
      </c>
      <c r="P627" s="9" t="n">
        <v>9.1</v>
      </c>
      <c r="Q627" s="9" t="n">
        <v>15</v>
      </c>
      <c r="R627" s="9" t="s">
        <v>44</v>
      </c>
      <c r="S627" s="9"/>
      <c r="T627" s="9"/>
      <c r="U627" s="9" t="str">
        <f aca="false">IF(COUNTIF($A$2:$A$5001,A627)&gt;1,"Duplicate","Unique")</f>
        <v>Unique</v>
      </c>
      <c r="V627" s="9" t="str">
        <f aca="false">IF(COUNTIFS($B$2:$B$5001,B627,$H$2:$H$5001,H627,$J$2:$J$5001,J627)&gt;1,"Possible Duplicate Booking","Unique")</f>
        <v>Unique</v>
      </c>
      <c r="W627" s="9" t="str">
        <f aca="false">IF((H627-G627)&lt;&gt;K627,"Mismatch","OK")</f>
        <v>OK</v>
      </c>
      <c r="X627" s="9" t="str">
        <f aca="false">IF(TEXT(H627,"dddd")&lt;&gt;I627,"Mismatch","OK")</f>
        <v>OK</v>
      </c>
      <c r="Y627" s="9" t="str">
        <f aca="false">IF(AND(N627="No",O627&lt;&gt;""),"Unexpected: channel present but no reminder sent",IF(AND(N627="Yes",O627=""),"Missing channel for sent reminder","OK"))</f>
        <v>OK</v>
      </c>
    </row>
    <row r="628" customFormat="false" ht="15" hidden="false" customHeight="false" outlineLevel="0" collapsed="false">
      <c r="A628" s="7" t="s">
        <v>1234</v>
      </c>
      <c r="B628" s="7" t="s">
        <v>342</v>
      </c>
      <c r="C628" s="7" t="s">
        <v>37</v>
      </c>
      <c r="D628" s="7" t="n">
        <v>35</v>
      </c>
      <c r="E628" s="7" t="s">
        <v>38</v>
      </c>
      <c r="F628" s="7" t="s">
        <v>57</v>
      </c>
      <c r="G628" s="8" t="n">
        <v>45817</v>
      </c>
      <c r="H628" s="8" t="n">
        <v>45842</v>
      </c>
      <c r="I628" s="7" t="s">
        <v>50</v>
      </c>
      <c r="J628" s="7" t="s">
        <v>41</v>
      </c>
      <c r="K628" s="7" t="n">
        <v>25</v>
      </c>
      <c r="L628" s="7" t="n">
        <v>2</v>
      </c>
      <c r="M628" s="7" t="n">
        <v>0</v>
      </c>
      <c r="N628" s="7" t="s">
        <v>42</v>
      </c>
      <c r="O628" s="7" t="s">
        <v>52</v>
      </c>
      <c r="P628" s="7" t="n">
        <v>8.3</v>
      </c>
      <c r="Q628" s="7" t="n">
        <v>40</v>
      </c>
      <c r="R628" s="7" t="s">
        <v>44</v>
      </c>
      <c r="S628" s="7"/>
      <c r="T628" s="7"/>
      <c r="U628" s="7" t="str">
        <f aca="false">IF(COUNTIF($A$2:$A$5001,A628)&gt;1,"Duplicate","Unique")</f>
        <v>Unique</v>
      </c>
      <c r="V628" s="7" t="str">
        <f aca="false">IF(COUNTIFS($B$2:$B$5001,B628,$H$2:$H$5001,H628,$J$2:$J$5001,J628)&gt;1,"Possible Duplicate Booking","Unique")</f>
        <v>Unique</v>
      </c>
      <c r="W628" s="7" t="str">
        <f aca="false">IF((H628-G628)&lt;&gt;K628,"Mismatch","OK")</f>
        <v>OK</v>
      </c>
      <c r="X628" s="7" t="str">
        <f aca="false">IF(TEXT(H628,"dddd")&lt;&gt;I628,"Mismatch","OK")</f>
        <v>OK</v>
      </c>
      <c r="Y628" s="7" t="str">
        <f aca="false">IF(AND(N628="No",O628&lt;&gt;""),"Unexpected: channel present but no reminder sent",IF(AND(N628="Yes",O628=""),"Missing channel for sent reminder","OK"))</f>
        <v>OK</v>
      </c>
    </row>
    <row r="629" customFormat="false" ht="15" hidden="false" customHeight="false" outlineLevel="0" collapsed="false">
      <c r="A629" s="9" t="s">
        <v>1235</v>
      </c>
      <c r="B629" s="9" t="s">
        <v>1236</v>
      </c>
      <c r="C629" s="9" t="s">
        <v>37</v>
      </c>
      <c r="D629" s="9" t="n">
        <v>58</v>
      </c>
      <c r="E629" s="9" t="s">
        <v>61</v>
      </c>
      <c r="F629" s="9" t="s">
        <v>39</v>
      </c>
      <c r="G629" s="10" t="n">
        <v>45856</v>
      </c>
      <c r="H629" s="10" t="n">
        <v>45858</v>
      </c>
      <c r="I629" s="9" t="s">
        <v>75</v>
      </c>
      <c r="J629" s="9" t="s">
        <v>41</v>
      </c>
      <c r="K629" s="9" t="n">
        <v>2</v>
      </c>
      <c r="L629" s="9" t="n">
        <v>2</v>
      </c>
      <c r="M629" s="9" t="n">
        <v>0</v>
      </c>
      <c r="N629" s="9" t="s">
        <v>42</v>
      </c>
      <c r="O629" s="9" t="s">
        <v>43</v>
      </c>
      <c r="P629" s="9" t="n">
        <v>4.5</v>
      </c>
      <c r="Q629" s="9" t="n">
        <v>27</v>
      </c>
      <c r="R629" s="9" t="s">
        <v>53</v>
      </c>
      <c r="S629" s="9"/>
      <c r="T629" s="9"/>
      <c r="U629" s="9" t="str">
        <f aca="false">IF(COUNTIF($A$2:$A$5001,A629)&gt;1,"Duplicate","Unique")</f>
        <v>Unique</v>
      </c>
      <c r="V629" s="9" t="str">
        <f aca="false">IF(COUNTIFS($B$2:$B$5001,B629,$H$2:$H$5001,H629,$J$2:$J$5001,J629)&gt;1,"Possible Duplicate Booking","Unique")</f>
        <v>Unique</v>
      </c>
      <c r="W629" s="9" t="str">
        <f aca="false">IF((H629-G629)&lt;&gt;K629,"Mismatch","OK")</f>
        <v>OK</v>
      </c>
      <c r="X629" s="9" t="str">
        <f aca="false">IF(TEXT(H629,"dddd")&lt;&gt;I629,"Mismatch","OK")</f>
        <v>OK</v>
      </c>
      <c r="Y629" s="9" t="str">
        <f aca="false">IF(AND(N629="No",O629&lt;&gt;""),"Unexpected: channel present but no reminder sent",IF(AND(N629="Yes",O629=""),"Missing channel for sent reminder","OK"))</f>
        <v>OK</v>
      </c>
    </row>
    <row r="630" customFormat="false" ht="15" hidden="false" customHeight="false" outlineLevel="0" collapsed="false">
      <c r="A630" s="7" t="s">
        <v>1237</v>
      </c>
      <c r="B630" s="7" t="s">
        <v>89</v>
      </c>
      <c r="C630" s="7" t="s">
        <v>47</v>
      </c>
      <c r="D630" s="7" t="n">
        <v>61</v>
      </c>
      <c r="E630" s="7" t="s">
        <v>61</v>
      </c>
      <c r="F630" s="7" t="s">
        <v>39</v>
      </c>
      <c r="G630" s="8" t="n">
        <v>45906</v>
      </c>
      <c r="H630" s="8" t="n">
        <v>45933</v>
      </c>
      <c r="I630" s="7" t="s">
        <v>50</v>
      </c>
      <c r="J630" s="7" t="s">
        <v>41</v>
      </c>
      <c r="K630" s="7" t="n">
        <v>27</v>
      </c>
      <c r="L630" s="7" t="n">
        <v>3</v>
      </c>
      <c r="M630" s="7" t="n">
        <v>1</v>
      </c>
      <c r="N630" s="7" t="s">
        <v>71</v>
      </c>
      <c r="O630" s="7"/>
      <c r="P630" s="7" t="n">
        <v>11.8</v>
      </c>
      <c r="Q630" s="7" t="n">
        <v>25</v>
      </c>
      <c r="R630" s="7" t="s">
        <v>44</v>
      </c>
      <c r="S630" s="7"/>
      <c r="T630" s="7"/>
      <c r="U630" s="7" t="str">
        <f aca="false">IF(COUNTIF($A$2:$A$5001,A630)&gt;1,"Duplicate","Unique")</f>
        <v>Unique</v>
      </c>
      <c r="V630" s="7" t="str">
        <f aca="false">IF(COUNTIFS($B$2:$B$5001,B630,$H$2:$H$5001,H630,$J$2:$J$5001,J630)&gt;1,"Possible Duplicate Booking","Unique")</f>
        <v>Unique</v>
      </c>
      <c r="W630" s="7" t="str">
        <f aca="false">IF((H630-G630)&lt;&gt;K630,"Mismatch","OK")</f>
        <v>OK</v>
      </c>
      <c r="X630" s="7" t="str">
        <f aca="false">IF(TEXT(H630,"dddd")&lt;&gt;I630,"Mismatch","OK")</f>
        <v>OK</v>
      </c>
      <c r="Y630" s="7" t="str">
        <f aca="false">IF(AND(N630="No",O630&lt;&gt;""),"Unexpected: channel present but no reminder sent",IF(AND(N630="Yes",O630=""),"Missing channel for sent reminder","OK"))</f>
        <v>OK</v>
      </c>
    </row>
    <row r="631" customFormat="false" ht="15" hidden="false" customHeight="false" outlineLevel="0" collapsed="false">
      <c r="A631" s="9" t="s">
        <v>1238</v>
      </c>
      <c r="B631" s="9" t="s">
        <v>1239</v>
      </c>
      <c r="C631" s="9" t="s">
        <v>47</v>
      </c>
      <c r="D631" s="9" t="n">
        <v>39</v>
      </c>
      <c r="E631" s="9" t="s">
        <v>38</v>
      </c>
      <c r="F631" s="9" t="s">
        <v>39</v>
      </c>
      <c r="G631" s="10" t="n">
        <v>45857</v>
      </c>
      <c r="H631" s="10" t="n">
        <v>45858</v>
      </c>
      <c r="I631" s="9" t="s">
        <v>75</v>
      </c>
      <c r="J631" s="9" t="s">
        <v>51</v>
      </c>
      <c r="K631" s="9" t="n">
        <v>1</v>
      </c>
      <c r="L631" s="9" t="n">
        <v>4</v>
      </c>
      <c r="M631" s="9" t="n">
        <v>0</v>
      </c>
      <c r="N631" s="9" t="s">
        <v>42</v>
      </c>
      <c r="O631" s="9" t="s">
        <v>52</v>
      </c>
      <c r="P631" s="9" t="n">
        <v>12.5</v>
      </c>
      <c r="Q631" s="9" t="n">
        <v>36</v>
      </c>
      <c r="R631" s="9" t="s">
        <v>53</v>
      </c>
      <c r="S631" s="9"/>
      <c r="T631" s="9"/>
      <c r="U631" s="9" t="str">
        <f aca="false">IF(COUNTIF($A$2:$A$5001,A631)&gt;1,"Duplicate","Unique")</f>
        <v>Unique</v>
      </c>
      <c r="V631" s="9" t="str">
        <f aca="false">IF(COUNTIFS($B$2:$B$5001,B631,$H$2:$H$5001,H631,$J$2:$J$5001,J631)&gt;1,"Possible Duplicate Booking","Unique")</f>
        <v>Unique</v>
      </c>
      <c r="W631" s="9" t="str">
        <f aca="false">IF((H631-G631)&lt;&gt;K631,"Mismatch","OK")</f>
        <v>OK</v>
      </c>
      <c r="X631" s="9" t="str">
        <f aca="false">IF(TEXT(H631,"dddd")&lt;&gt;I631,"Mismatch","OK")</f>
        <v>OK</v>
      </c>
      <c r="Y631" s="9" t="str">
        <f aca="false">IF(AND(N631="No",O631&lt;&gt;""),"Unexpected: channel present but no reminder sent",IF(AND(N631="Yes",O631=""),"Missing channel for sent reminder","OK"))</f>
        <v>OK</v>
      </c>
    </row>
    <row r="632" customFormat="false" ht="15" hidden="false" customHeight="false" outlineLevel="0" collapsed="false">
      <c r="A632" s="7" t="s">
        <v>1240</v>
      </c>
      <c r="B632" s="7" t="s">
        <v>55</v>
      </c>
      <c r="C632" s="7" t="s">
        <v>47</v>
      </c>
      <c r="D632" s="7" t="n">
        <v>26</v>
      </c>
      <c r="E632" s="7" t="s">
        <v>48</v>
      </c>
      <c r="F632" s="7" t="s">
        <v>39</v>
      </c>
      <c r="G632" s="8" t="n">
        <v>46031</v>
      </c>
      <c r="H632" s="8" t="n">
        <v>46060</v>
      </c>
      <c r="I632" s="7" t="s">
        <v>102</v>
      </c>
      <c r="J632" s="7" t="s">
        <v>41</v>
      </c>
      <c r="K632" s="7" t="n">
        <v>29</v>
      </c>
      <c r="L632" s="7" t="n">
        <v>5</v>
      </c>
      <c r="M632" s="7" t="n">
        <v>2</v>
      </c>
      <c r="N632" s="7" t="s">
        <v>42</v>
      </c>
      <c r="O632" s="7" t="s">
        <v>52</v>
      </c>
      <c r="P632" s="7" t="n">
        <v>5.3</v>
      </c>
      <c r="Q632" s="7" t="n">
        <v>29</v>
      </c>
      <c r="R632" s="7" t="s">
        <v>44</v>
      </c>
      <c r="S632" s="7"/>
      <c r="T632" s="7"/>
      <c r="U632" s="7" t="str">
        <f aca="false">IF(COUNTIF($A$2:$A$5001,A632)&gt;1,"Duplicate","Unique")</f>
        <v>Unique</v>
      </c>
      <c r="V632" s="7" t="str">
        <f aca="false">IF(COUNTIFS($B$2:$B$5001,B632,$H$2:$H$5001,H632,$J$2:$J$5001,J632)&gt;1,"Possible Duplicate Booking","Unique")</f>
        <v>Unique</v>
      </c>
      <c r="W632" s="7" t="str">
        <f aca="false">IF((H632-G632)&lt;&gt;K632,"Mismatch","OK")</f>
        <v>OK</v>
      </c>
      <c r="X632" s="7" t="str">
        <f aca="false">IF(TEXT(H632,"dddd")&lt;&gt;I632,"Mismatch","OK")</f>
        <v>OK</v>
      </c>
      <c r="Y632" s="7" t="str">
        <f aca="false">IF(AND(N632="No",O632&lt;&gt;""),"Unexpected: channel present but no reminder sent",IF(AND(N632="Yes",O632=""),"Missing channel for sent reminder","OK"))</f>
        <v>OK</v>
      </c>
    </row>
    <row r="633" customFormat="false" ht="15" hidden="false" customHeight="false" outlineLevel="0" collapsed="false">
      <c r="A633" s="9" t="s">
        <v>1241</v>
      </c>
      <c r="B633" s="9" t="s">
        <v>1242</v>
      </c>
      <c r="C633" s="9" t="s">
        <v>37</v>
      </c>
      <c r="D633" s="9" t="n">
        <v>42</v>
      </c>
      <c r="E633" s="9" t="s">
        <v>38</v>
      </c>
      <c r="F633" s="9" t="s">
        <v>74</v>
      </c>
      <c r="G633" s="10" t="n">
        <v>45802</v>
      </c>
      <c r="H633" s="10" t="n">
        <v>45836</v>
      </c>
      <c r="I633" s="9" t="s">
        <v>102</v>
      </c>
      <c r="J633" s="9" t="s">
        <v>41</v>
      </c>
      <c r="K633" s="9" t="n">
        <v>34</v>
      </c>
      <c r="L633" s="9" t="n">
        <v>5</v>
      </c>
      <c r="M633" s="9" t="n">
        <v>1</v>
      </c>
      <c r="N633" s="9" t="s">
        <v>42</v>
      </c>
      <c r="O633" s="9" t="s">
        <v>43</v>
      </c>
      <c r="P633" s="9" t="n">
        <v>6.5</v>
      </c>
      <c r="Q633" s="9" t="n">
        <v>17</v>
      </c>
      <c r="R633" s="9" t="s">
        <v>44</v>
      </c>
      <c r="S633" s="9"/>
      <c r="T633" s="9"/>
      <c r="U633" s="9" t="str">
        <f aca="false">IF(COUNTIF($A$2:$A$5001,A633)&gt;1,"Duplicate","Unique")</f>
        <v>Unique</v>
      </c>
      <c r="V633" s="9" t="str">
        <f aca="false">IF(COUNTIFS($B$2:$B$5001,B633,$H$2:$H$5001,H633,$J$2:$J$5001,J633)&gt;1,"Possible Duplicate Booking","Unique")</f>
        <v>Unique</v>
      </c>
      <c r="W633" s="9" t="str">
        <f aca="false">IF((H633-G633)&lt;&gt;K633,"Mismatch","OK")</f>
        <v>OK</v>
      </c>
      <c r="X633" s="9" t="str">
        <f aca="false">IF(TEXT(H633,"dddd")&lt;&gt;I633,"Mismatch","OK")</f>
        <v>OK</v>
      </c>
      <c r="Y633" s="9" t="str">
        <f aca="false">IF(AND(N633="No",O633&lt;&gt;""),"Unexpected: channel present but no reminder sent",IF(AND(N633="Yes",O633=""),"Missing channel for sent reminder","OK"))</f>
        <v>OK</v>
      </c>
    </row>
    <row r="634" customFormat="false" ht="15" hidden="false" customHeight="false" outlineLevel="0" collapsed="false">
      <c r="A634" s="7" t="s">
        <v>1243</v>
      </c>
      <c r="B634" s="7" t="s">
        <v>1244</v>
      </c>
      <c r="C634" s="7" t="s">
        <v>37</v>
      </c>
      <c r="D634" s="7" t="n">
        <v>52</v>
      </c>
      <c r="E634" s="7" t="s">
        <v>56</v>
      </c>
      <c r="F634" s="7" t="s">
        <v>49</v>
      </c>
      <c r="G634" s="8" t="n">
        <v>45863</v>
      </c>
      <c r="H634" s="8" t="n">
        <v>45894</v>
      </c>
      <c r="I634" s="7" t="s">
        <v>66</v>
      </c>
      <c r="J634" s="7" t="s">
        <v>51</v>
      </c>
      <c r="K634" s="7" t="n">
        <v>31</v>
      </c>
      <c r="L634" s="7" t="n">
        <v>4</v>
      </c>
      <c r="M634" s="7" t="n">
        <v>0</v>
      </c>
      <c r="N634" s="7" t="s">
        <v>71</v>
      </c>
      <c r="O634" s="7"/>
      <c r="P634" s="7" t="n">
        <v>10.5</v>
      </c>
      <c r="Q634" s="7" t="n">
        <v>24</v>
      </c>
      <c r="R634" s="7" t="s">
        <v>44</v>
      </c>
      <c r="S634" s="7"/>
      <c r="T634" s="7"/>
      <c r="U634" s="7" t="str">
        <f aca="false">IF(COUNTIF($A$2:$A$5001,A634)&gt;1,"Duplicate","Unique")</f>
        <v>Unique</v>
      </c>
      <c r="V634" s="7" t="str">
        <f aca="false">IF(COUNTIFS($B$2:$B$5001,B634,$H$2:$H$5001,H634,$J$2:$J$5001,J634)&gt;1,"Possible Duplicate Booking","Unique")</f>
        <v>Unique</v>
      </c>
      <c r="W634" s="7" t="str">
        <f aca="false">IF((H634-G634)&lt;&gt;K634,"Mismatch","OK")</f>
        <v>OK</v>
      </c>
      <c r="X634" s="7" t="str">
        <f aca="false">IF(TEXT(H634,"dddd")&lt;&gt;I634,"Mismatch","OK")</f>
        <v>OK</v>
      </c>
      <c r="Y634" s="7" t="str">
        <f aca="false">IF(AND(N634="No",O634&lt;&gt;""),"Unexpected: channel present but no reminder sent",IF(AND(N634="Yes",O634=""),"Missing channel for sent reminder","OK"))</f>
        <v>OK</v>
      </c>
    </row>
    <row r="635" customFormat="false" ht="15" hidden="false" customHeight="false" outlineLevel="0" collapsed="false">
      <c r="A635" s="9" t="s">
        <v>1245</v>
      </c>
      <c r="B635" s="9" t="s">
        <v>1246</v>
      </c>
      <c r="C635" s="9" t="s">
        <v>37</v>
      </c>
      <c r="D635" s="9" t="n">
        <v>20</v>
      </c>
      <c r="E635" s="9" t="s">
        <v>82</v>
      </c>
      <c r="F635" s="9" t="s">
        <v>49</v>
      </c>
      <c r="G635" s="10" t="n">
        <v>45848</v>
      </c>
      <c r="H635" s="10" t="n">
        <v>45865</v>
      </c>
      <c r="I635" s="9" t="s">
        <v>75</v>
      </c>
      <c r="J635" s="9" t="s">
        <v>41</v>
      </c>
      <c r="K635" s="9" t="n">
        <v>17</v>
      </c>
      <c r="L635" s="9" t="n">
        <v>0</v>
      </c>
      <c r="M635" s="9" t="n">
        <v>0</v>
      </c>
      <c r="N635" s="9" t="s">
        <v>42</v>
      </c>
      <c r="O635" s="9" t="s">
        <v>52</v>
      </c>
      <c r="P635" s="9" t="n">
        <v>2.2</v>
      </c>
      <c r="Q635" s="9" t="n">
        <v>31</v>
      </c>
      <c r="R635" s="9" t="s">
        <v>87</v>
      </c>
      <c r="S635" s="9"/>
      <c r="T635" s="9"/>
      <c r="U635" s="9" t="str">
        <f aca="false">IF(COUNTIF($A$2:$A$5001,A635)&gt;1,"Duplicate","Unique")</f>
        <v>Unique</v>
      </c>
      <c r="V635" s="9" t="str">
        <f aca="false">IF(COUNTIFS($B$2:$B$5001,B635,$H$2:$H$5001,H635,$J$2:$J$5001,J635)&gt;1,"Possible Duplicate Booking","Unique")</f>
        <v>Unique</v>
      </c>
      <c r="W635" s="9" t="str">
        <f aca="false">IF((H635-G635)&lt;&gt;K635,"Mismatch","OK")</f>
        <v>OK</v>
      </c>
      <c r="X635" s="9" t="str">
        <f aca="false">IF(TEXT(H635,"dddd")&lt;&gt;I635,"Mismatch","OK")</f>
        <v>OK</v>
      </c>
      <c r="Y635" s="9" t="str">
        <f aca="false">IF(AND(N635="No",O635&lt;&gt;""),"Unexpected: channel present but no reminder sent",IF(AND(N635="Yes",O635=""),"Missing channel for sent reminder","OK"))</f>
        <v>OK</v>
      </c>
    </row>
    <row r="636" customFormat="false" ht="15" hidden="false" customHeight="false" outlineLevel="0" collapsed="false">
      <c r="A636" s="7" t="s">
        <v>1247</v>
      </c>
      <c r="B636" s="7" t="s">
        <v>1248</v>
      </c>
      <c r="C636" s="7" t="s">
        <v>47</v>
      </c>
      <c r="D636" s="7" t="n">
        <v>22</v>
      </c>
      <c r="E636" s="7" t="s">
        <v>82</v>
      </c>
      <c r="F636" s="7" t="s">
        <v>57</v>
      </c>
      <c r="G636" s="8" t="n">
        <v>45711</v>
      </c>
      <c r="H636" s="8" t="n">
        <v>45757</v>
      </c>
      <c r="I636" s="7" t="s">
        <v>62</v>
      </c>
      <c r="J636" s="7" t="s">
        <v>51</v>
      </c>
      <c r="K636" s="7" t="n">
        <v>46</v>
      </c>
      <c r="L636" s="7" t="n">
        <v>3</v>
      </c>
      <c r="M636" s="7" t="n">
        <v>1</v>
      </c>
      <c r="N636" s="7" t="s">
        <v>42</v>
      </c>
      <c r="O636" s="7" t="s">
        <v>52</v>
      </c>
      <c r="P636" s="7" t="n">
        <v>5.5</v>
      </c>
      <c r="Q636" s="7" t="n">
        <v>25</v>
      </c>
      <c r="R636" s="7" t="s">
        <v>44</v>
      </c>
      <c r="S636" s="7"/>
      <c r="T636" s="7"/>
      <c r="U636" s="7" t="str">
        <f aca="false">IF(COUNTIF($A$2:$A$5001,A636)&gt;1,"Duplicate","Unique")</f>
        <v>Unique</v>
      </c>
      <c r="V636" s="7" t="str">
        <f aca="false">IF(COUNTIFS($B$2:$B$5001,B636,$H$2:$H$5001,H636,$J$2:$J$5001,J636)&gt;1,"Possible Duplicate Booking","Unique")</f>
        <v>Unique</v>
      </c>
      <c r="W636" s="7" t="str">
        <f aca="false">IF((H636-G636)&lt;&gt;K636,"Mismatch","OK")</f>
        <v>OK</v>
      </c>
      <c r="X636" s="7" t="str">
        <f aca="false">IF(TEXT(H636,"dddd")&lt;&gt;I636,"Mismatch","OK")</f>
        <v>OK</v>
      </c>
      <c r="Y636" s="7" t="str">
        <f aca="false">IF(AND(N636="No",O636&lt;&gt;""),"Unexpected: channel present but no reminder sent",IF(AND(N636="Yes",O636=""),"Missing channel for sent reminder","OK"))</f>
        <v>OK</v>
      </c>
    </row>
    <row r="637" customFormat="false" ht="15" hidden="false" customHeight="false" outlineLevel="0" collapsed="false">
      <c r="A637" s="9" t="s">
        <v>1249</v>
      </c>
      <c r="B637" s="9" t="s">
        <v>1250</v>
      </c>
      <c r="C637" s="9" t="s">
        <v>37</v>
      </c>
      <c r="D637" s="9" t="n">
        <v>75</v>
      </c>
      <c r="E637" s="9" t="s">
        <v>70</v>
      </c>
      <c r="F637" s="9" t="s">
        <v>57</v>
      </c>
      <c r="G637" s="10" t="n">
        <v>45996</v>
      </c>
      <c r="H637" s="10" t="n">
        <v>46032</v>
      </c>
      <c r="I637" s="9" t="s">
        <v>102</v>
      </c>
      <c r="J637" s="9" t="s">
        <v>63</v>
      </c>
      <c r="K637" s="9" t="n">
        <v>36</v>
      </c>
      <c r="L637" s="9" t="n">
        <v>1</v>
      </c>
      <c r="M637" s="9" t="n">
        <v>0</v>
      </c>
      <c r="N637" s="9" t="s">
        <v>71</v>
      </c>
      <c r="O637" s="9"/>
      <c r="P637" s="9" t="n">
        <v>5.8</v>
      </c>
      <c r="Q637" s="9" t="n">
        <v>10</v>
      </c>
      <c r="R637" s="9" t="s">
        <v>53</v>
      </c>
      <c r="S637" s="9"/>
      <c r="T637" s="9"/>
      <c r="U637" s="9" t="str">
        <f aca="false">IF(COUNTIF($A$2:$A$5001,A637)&gt;1,"Duplicate","Unique")</f>
        <v>Unique</v>
      </c>
      <c r="V637" s="9" t="str">
        <f aca="false">IF(COUNTIFS($B$2:$B$5001,B637,$H$2:$H$5001,H637,$J$2:$J$5001,J637)&gt;1,"Possible Duplicate Booking","Unique")</f>
        <v>Unique</v>
      </c>
      <c r="W637" s="9" t="str">
        <f aca="false">IF((H637-G637)&lt;&gt;K637,"Mismatch","OK")</f>
        <v>OK</v>
      </c>
      <c r="X637" s="9" t="str">
        <f aca="false">IF(TEXT(H637,"dddd")&lt;&gt;I637,"Mismatch","OK")</f>
        <v>OK</v>
      </c>
      <c r="Y637" s="9" t="str">
        <f aca="false">IF(AND(N637="No",O637&lt;&gt;""),"Unexpected: channel present but no reminder sent",IF(AND(N637="Yes",O637=""),"Missing channel for sent reminder","OK"))</f>
        <v>OK</v>
      </c>
    </row>
    <row r="638" customFormat="false" ht="15" hidden="false" customHeight="false" outlineLevel="0" collapsed="false">
      <c r="A638" s="7" t="s">
        <v>1251</v>
      </c>
      <c r="B638" s="7" t="s">
        <v>1020</v>
      </c>
      <c r="C638" s="7" t="s">
        <v>37</v>
      </c>
      <c r="D638" s="7" t="n">
        <v>20</v>
      </c>
      <c r="E638" s="7" t="s">
        <v>82</v>
      </c>
      <c r="F638" s="7" t="s">
        <v>39</v>
      </c>
      <c r="G638" s="8" t="n">
        <v>45771</v>
      </c>
      <c r="H638" s="8" t="n">
        <v>45786</v>
      </c>
      <c r="I638" s="7" t="s">
        <v>50</v>
      </c>
      <c r="J638" s="7" t="s">
        <v>51</v>
      </c>
      <c r="K638" s="7" t="n">
        <v>15</v>
      </c>
      <c r="L638" s="7" t="n">
        <v>2</v>
      </c>
      <c r="M638" s="7" t="n">
        <v>1</v>
      </c>
      <c r="N638" s="7" t="s">
        <v>42</v>
      </c>
      <c r="O638" s="7" t="s">
        <v>52</v>
      </c>
      <c r="P638" s="7" t="n">
        <v>6.8</v>
      </c>
      <c r="Q638" s="7" t="n">
        <v>40</v>
      </c>
      <c r="R638" s="7" t="s">
        <v>53</v>
      </c>
      <c r="S638" s="7"/>
      <c r="T638" s="7"/>
      <c r="U638" s="7" t="str">
        <f aca="false">IF(COUNTIF($A$2:$A$5001,A638)&gt;1,"Duplicate","Unique")</f>
        <v>Unique</v>
      </c>
      <c r="V638" s="7" t="str">
        <f aca="false">IF(COUNTIFS($B$2:$B$5001,B638,$H$2:$H$5001,H638,$J$2:$J$5001,J638)&gt;1,"Possible Duplicate Booking","Unique")</f>
        <v>Unique</v>
      </c>
      <c r="W638" s="7" t="str">
        <f aca="false">IF((H638-G638)&lt;&gt;K638,"Mismatch","OK")</f>
        <v>OK</v>
      </c>
      <c r="X638" s="7" t="str">
        <f aca="false">IF(TEXT(H638,"dddd")&lt;&gt;I638,"Mismatch","OK")</f>
        <v>OK</v>
      </c>
      <c r="Y638" s="7" t="str">
        <f aca="false">IF(AND(N638="No",O638&lt;&gt;""),"Unexpected: channel present but no reminder sent",IF(AND(N638="Yes",O638=""),"Missing channel for sent reminder","OK"))</f>
        <v>OK</v>
      </c>
    </row>
    <row r="639" customFormat="false" ht="15" hidden="false" customHeight="false" outlineLevel="0" collapsed="false">
      <c r="A639" s="9" t="s">
        <v>1252</v>
      </c>
      <c r="B639" s="9" t="s">
        <v>1042</v>
      </c>
      <c r="C639" s="9" t="s">
        <v>236</v>
      </c>
      <c r="D639" s="9" t="n">
        <v>43</v>
      </c>
      <c r="E639" s="9" t="s">
        <v>38</v>
      </c>
      <c r="F639" s="9" t="s">
        <v>57</v>
      </c>
      <c r="G639" s="10" t="n">
        <v>45794</v>
      </c>
      <c r="H639" s="10" t="n">
        <v>45820</v>
      </c>
      <c r="I639" s="9" t="s">
        <v>62</v>
      </c>
      <c r="J639" s="9" t="s">
        <v>51</v>
      </c>
      <c r="K639" s="9" t="n">
        <v>26</v>
      </c>
      <c r="L639" s="9" t="n">
        <v>7</v>
      </c>
      <c r="M639" s="9" t="n">
        <v>2</v>
      </c>
      <c r="N639" s="9" t="s">
        <v>42</v>
      </c>
      <c r="O639" s="9" t="s">
        <v>43</v>
      </c>
      <c r="P639" s="9" t="n">
        <v>13.9</v>
      </c>
      <c r="Q639" s="9" t="n">
        <v>26</v>
      </c>
      <c r="R639" s="9" t="s">
        <v>53</v>
      </c>
      <c r="S639" s="9"/>
      <c r="T639" s="9"/>
      <c r="U639" s="9" t="str">
        <f aca="false">IF(COUNTIF($A$2:$A$5001,A639)&gt;1,"Duplicate","Unique")</f>
        <v>Unique</v>
      </c>
      <c r="V639" s="9" t="str">
        <f aca="false">IF(COUNTIFS($B$2:$B$5001,B639,$H$2:$H$5001,H639,$J$2:$J$5001,J639)&gt;1,"Possible Duplicate Booking","Unique")</f>
        <v>Unique</v>
      </c>
      <c r="W639" s="9" t="str">
        <f aca="false">IF((H639-G639)&lt;&gt;K639,"Mismatch","OK")</f>
        <v>OK</v>
      </c>
      <c r="X639" s="9" t="str">
        <f aca="false">IF(TEXT(H639,"dddd")&lt;&gt;I639,"Mismatch","OK")</f>
        <v>OK</v>
      </c>
      <c r="Y639" s="9" t="str">
        <f aca="false">IF(AND(N639="No",O639&lt;&gt;""),"Unexpected: channel present but no reminder sent",IF(AND(N639="Yes",O639=""),"Missing channel for sent reminder","OK"))</f>
        <v>OK</v>
      </c>
    </row>
    <row r="640" customFormat="false" ht="15" hidden="false" customHeight="false" outlineLevel="0" collapsed="false">
      <c r="A640" s="7" t="s">
        <v>1253</v>
      </c>
      <c r="B640" s="7" t="s">
        <v>749</v>
      </c>
      <c r="C640" s="7" t="s">
        <v>37</v>
      </c>
      <c r="D640" s="7" t="n">
        <v>66</v>
      </c>
      <c r="E640" s="7" t="s">
        <v>70</v>
      </c>
      <c r="F640" s="7" t="s">
        <v>49</v>
      </c>
      <c r="G640" s="8" t="n">
        <v>46084</v>
      </c>
      <c r="H640" s="8" t="n">
        <v>46090</v>
      </c>
      <c r="I640" s="7" t="s">
        <v>66</v>
      </c>
      <c r="J640" s="7" t="s">
        <v>51</v>
      </c>
      <c r="K640" s="7" t="n">
        <v>6</v>
      </c>
      <c r="L640" s="7" t="n">
        <v>4</v>
      </c>
      <c r="M640" s="7" t="n">
        <v>0</v>
      </c>
      <c r="N640" s="7" t="s">
        <v>42</v>
      </c>
      <c r="O640" s="7" t="s">
        <v>52</v>
      </c>
      <c r="P640" s="7" t="n">
        <v>13.3</v>
      </c>
      <c r="Q640" s="7" t="n">
        <v>20</v>
      </c>
      <c r="R640" s="7" t="s">
        <v>44</v>
      </c>
      <c r="S640" s="7"/>
      <c r="T640" s="7"/>
      <c r="U640" s="7" t="str">
        <f aca="false">IF(COUNTIF($A$2:$A$5001,A640)&gt;1,"Duplicate","Unique")</f>
        <v>Unique</v>
      </c>
      <c r="V640" s="7" t="str">
        <f aca="false">IF(COUNTIFS($B$2:$B$5001,B640,$H$2:$H$5001,H640,$J$2:$J$5001,J640)&gt;1,"Possible Duplicate Booking","Unique")</f>
        <v>Unique</v>
      </c>
      <c r="W640" s="7" t="str">
        <f aca="false">IF((H640-G640)&lt;&gt;K640,"Mismatch","OK")</f>
        <v>OK</v>
      </c>
      <c r="X640" s="7" t="str">
        <f aca="false">IF(TEXT(H640,"dddd")&lt;&gt;I640,"Mismatch","OK")</f>
        <v>OK</v>
      </c>
      <c r="Y640" s="7" t="str">
        <f aca="false">IF(AND(N640="No",O640&lt;&gt;""),"Unexpected: channel present but no reminder sent",IF(AND(N640="Yes",O640=""),"Missing channel for sent reminder","OK"))</f>
        <v>OK</v>
      </c>
    </row>
    <row r="641" customFormat="false" ht="15" hidden="false" customHeight="false" outlineLevel="0" collapsed="false">
      <c r="A641" s="9" t="s">
        <v>1254</v>
      </c>
      <c r="B641" s="9" t="s">
        <v>1193</v>
      </c>
      <c r="C641" s="9" t="s">
        <v>37</v>
      </c>
      <c r="D641" s="9" t="n">
        <v>38</v>
      </c>
      <c r="E641" s="9" t="s">
        <v>38</v>
      </c>
      <c r="F641" s="9" t="s">
        <v>57</v>
      </c>
      <c r="G641" s="10" t="n">
        <v>46120</v>
      </c>
      <c r="H641" s="10" t="n">
        <v>46176</v>
      </c>
      <c r="I641" s="9" t="s">
        <v>58</v>
      </c>
      <c r="J641" s="9" t="s">
        <v>41</v>
      </c>
      <c r="K641" s="9" t="n">
        <v>56</v>
      </c>
      <c r="L641" s="9" t="n">
        <v>2</v>
      </c>
      <c r="M641" s="9" t="n">
        <v>0</v>
      </c>
      <c r="N641" s="9" t="s">
        <v>42</v>
      </c>
      <c r="O641" s="9" t="s">
        <v>43</v>
      </c>
      <c r="P641" s="9" t="n">
        <v>4.3</v>
      </c>
      <c r="Q641" s="9" t="n">
        <v>32</v>
      </c>
      <c r="R641" s="9" t="s">
        <v>53</v>
      </c>
      <c r="S641" s="9"/>
      <c r="T641" s="9"/>
      <c r="U641" s="9" t="str">
        <f aca="false">IF(COUNTIF($A$2:$A$5001,A641)&gt;1,"Duplicate","Unique")</f>
        <v>Unique</v>
      </c>
      <c r="V641" s="9" t="str">
        <f aca="false">IF(COUNTIFS($B$2:$B$5001,B641,$H$2:$H$5001,H641,$J$2:$J$5001,J641)&gt;1,"Possible Duplicate Booking","Unique")</f>
        <v>Unique</v>
      </c>
      <c r="W641" s="9" t="str">
        <f aca="false">IF((H641-G641)&lt;&gt;K641,"Mismatch","OK")</f>
        <v>OK</v>
      </c>
      <c r="X641" s="9" t="str">
        <f aca="false">IF(TEXT(H641,"dddd")&lt;&gt;I641,"Mismatch","OK")</f>
        <v>OK</v>
      </c>
      <c r="Y641" s="9" t="str">
        <f aca="false">IF(AND(N641="No",O641&lt;&gt;""),"Unexpected: channel present but no reminder sent",IF(AND(N641="Yes",O641=""),"Missing channel for sent reminder","OK"))</f>
        <v>OK</v>
      </c>
    </row>
    <row r="642" customFormat="false" ht="15" hidden="false" customHeight="false" outlineLevel="0" collapsed="false">
      <c r="A642" s="7" t="s">
        <v>1255</v>
      </c>
      <c r="B642" s="7" t="s">
        <v>659</v>
      </c>
      <c r="C642" s="7" t="s">
        <v>47</v>
      </c>
      <c r="D642" s="7" t="n">
        <v>49</v>
      </c>
      <c r="E642" s="7" t="s">
        <v>56</v>
      </c>
      <c r="F642" s="7" t="s">
        <v>57</v>
      </c>
      <c r="G642" s="8" t="n">
        <v>45979</v>
      </c>
      <c r="H642" s="8" t="n">
        <v>46024</v>
      </c>
      <c r="I642" s="7" t="s">
        <v>50</v>
      </c>
      <c r="J642" s="7" t="s">
        <v>41</v>
      </c>
      <c r="K642" s="7" t="n">
        <v>45</v>
      </c>
      <c r="L642" s="7" t="n">
        <v>3</v>
      </c>
      <c r="M642" s="7" t="n">
        <v>0</v>
      </c>
      <c r="N642" s="7" t="s">
        <v>42</v>
      </c>
      <c r="O642" s="7" t="s">
        <v>52</v>
      </c>
      <c r="P642" s="7" t="n">
        <v>8.8</v>
      </c>
      <c r="Q642" s="7" t="n">
        <v>19</v>
      </c>
      <c r="R642" s="7" t="s">
        <v>44</v>
      </c>
      <c r="S642" s="7"/>
      <c r="T642" s="7"/>
      <c r="U642" s="7" t="str">
        <f aca="false">IF(COUNTIF($A$2:$A$5001,A642)&gt;1,"Duplicate","Unique")</f>
        <v>Unique</v>
      </c>
      <c r="V642" s="7" t="str">
        <f aca="false">IF(COUNTIFS($B$2:$B$5001,B642,$H$2:$H$5001,H642,$J$2:$J$5001,J642)&gt;1,"Possible Duplicate Booking","Unique")</f>
        <v>Unique</v>
      </c>
      <c r="W642" s="7" t="str">
        <f aca="false">IF((H642-G642)&lt;&gt;K642,"Mismatch","OK")</f>
        <v>OK</v>
      </c>
      <c r="X642" s="7" t="str">
        <f aca="false">IF(TEXT(H642,"dddd")&lt;&gt;I642,"Mismatch","OK")</f>
        <v>OK</v>
      </c>
      <c r="Y642" s="7" t="str">
        <f aca="false">IF(AND(N642="No",O642&lt;&gt;""),"Unexpected: channel present but no reminder sent",IF(AND(N642="Yes",O642=""),"Missing channel for sent reminder","OK"))</f>
        <v>OK</v>
      </c>
    </row>
    <row r="643" customFormat="false" ht="15" hidden="false" customHeight="false" outlineLevel="0" collapsed="false">
      <c r="A643" s="9" t="s">
        <v>1256</v>
      </c>
      <c r="B643" s="9" t="s">
        <v>1257</v>
      </c>
      <c r="C643" s="9" t="s">
        <v>37</v>
      </c>
      <c r="D643" s="9" t="n">
        <v>23</v>
      </c>
      <c r="E643" s="9" t="s">
        <v>82</v>
      </c>
      <c r="F643" s="9" t="s">
        <v>57</v>
      </c>
      <c r="G643" s="10" t="n">
        <v>46141</v>
      </c>
      <c r="H643" s="10" t="n">
        <v>46158</v>
      </c>
      <c r="I643" s="9" t="s">
        <v>102</v>
      </c>
      <c r="J643" s="9" t="s">
        <v>51</v>
      </c>
      <c r="K643" s="9" t="n">
        <v>17</v>
      </c>
      <c r="L643" s="9" t="n">
        <v>6</v>
      </c>
      <c r="M643" s="9" t="n">
        <v>1</v>
      </c>
      <c r="N643" s="9" t="s">
        <v>42</v>
      </c>
      <c r="O643" s="9" t="s">
        <v>52</v>
      </c>
      <c r="P643" s="9" t="n">
        <v>10.1</v>
      </c>
      <c r="Q643" s="9" t="n">
        <v>8</v>
      </c>
      <c r="R643" s="9" t="s">
        <v>53</v>
      </c>
      <c r="S643" s="9"/>
      <c r="T643" s="9"/>
      <c r="U643" s="9" t="str">
        <f aca="false">IF(COUNTIF($A$2:$A$5001,A643)&gt;1,"Duplicate","Unique")</f>
        <v>Unique</v>
      </c>
      <c r="V643" s="9" t="str">
        <f aca="false">IF(COUNTIFS($B$2:$B$5001,B643,$H$2:$H$5001,H643,$J$2:$J$5001,J643)&gt;1,"Possible Duplicate Booking","Unique")</f>
        <v>Unique</v>
      </c>
      <c r="W643" s="9" t="str">
        <f aca="false">IF((H643-G643)&lt;&gt;K643,"Mismatch","OK")</f>
        <v>OK</v>
      </c>
      <c r="X643" s="9" t="str">
        <f aca="false">IF(TEXT(H643,"dddd")&lt;&gt;I643,"Mismatch","OK")</f>
        <v>OK</v>
      </c>
      <c r="Y643" s="9" t="str">
        <f aca="false">IF(AND(N643="No",O643&lt;&gt;""),"Unexpected: channel present but no reminder sent",IF(AND(N643="Yes",O643=""),"Missing channel for sent reminder","OK"))</f>
        <v>OK</v>
      </c>
    </row>
    <row r="644" customFormat="false" ht="15" hidden="false" customHeight="false" outlineLevel="0" collapsed="false">
      <c r="A644" s="7" t="s">
        <v>1258</v>
      </c>
      <c r="B644" s="7" t="s">
        <v>974</v>
      </c>
      <c r="C644" s="7" t="s">
        <v>47</v>
      </c>
      <c r="D644" s="7" t="n">
        <v>68</v>
      </c>
      <c r="E644" s="7" t="s">
        <v>70</v>
      </c>
      <c r="F644" s="7" t="s">
        <v>57</v>
      </c>
      <c r="G644" s="8" t="n">
        <v>46083</v>
      </c>
      <c r="H644" s="8" t="n">
        <v>46124</v>
      </c>
      <c r="I644" s="7" t="s">
        <v>75</v>
      </c>
      <c r="J644" s="7" t="s">
        <v>51</v>
      </c>
      <c r="K644" s="7" t="n">
        <v>41</v>
      </c>
      <c r="L644" s="7" t="n">
        <v>3</v>
      </c>
      <c r="M644" s="7" t="n">
        <v>2</v>
      </c>
      <c r="N644" s="7" t="s">
        <v>42</v>
      </c>
      <c r="O644" s="7" t="s">
        <v>43</v>
      </c>
      <c r="P644" s="7" t="n">
        <v>11.4</v>
      </c>
      <c r="Q644" s="7" t="n">
        <v>25</v>
      </c>
      <c r="R644" s="7" t="s">
        <v>87</v>
      </c>
      <c r="S644" s="7"/>
      <c r="T644" s="7"/>
      <c r="U644" s="7" t="str">
        <f aca="false">IF(COUNTIF($A$2:$A$5001,A644)&gt;1,"Duplicate","Unique")</f>
        <v>Unique</v>
      </c>
      <c r="V644" s="7" t="str">
        <f aca="false">IF(COUNTIFS($B$2:$B$5001,B644,$H$2:$H$5001,H644,$J$2:$J$5001,J644)&gt;1,"Possible Duplicate Booking","Unique")</f>
        <v>Unique</v>
      </c>
      <c r="W644" s="7" t="str">
        <f aca="false">IF((H644-G644)&lt;&gt;K644,"Mismatch","OK")</f>
        <v>OK</v>
      </c>
      <c r="X644" s="7" t="str">
        <f aca="false">IF(TEXT(H644,"dddd")&lt;&gt;I644,"Mismatch","OK")</f>
        <v>OK</v>
      </c>
      <c r="Y644" s="7" t="str">
        <f aca="false">IF(AND(N644="No",O644&lt;&gt;""),"Unexpected: channel present but no reminder sent",IF(AND(N644="Yes",O644=""),"Missing channel for sent reminder","OK"))</f>
        <v>OK</v>
      </c>
    </row>
    <row r="645" customFormat="false" ht="15" hidden="false" customHeight="false" outlineLevel="0" collapsed="false">
      <c r="A645" s="9" t="s">
        <v>1259</v>
      </c>
      <c r="B645" s="9" t="s">
        <v>1260</v>
      </c>
      <c r="C645" s="9" t="s">
        <v>37</v>
      </c>
      <c r="D645" s="9" t="n">
        <v>57</v>
      </c>
      <c r="E645" s="9" t="s">
        <v>61</v>
      </c>
      <c r="F645" s="9" t="s">
        <v>57</v>
      </c>
      <c r="G645" s="10" t="n">
        <v>45879</v>
      </c>
      <c r="H645" s="10" t="n">
        <v>45920</v>
      </c>
      <c r="I645" s="9" t="s">
        <v>102</v>
      </c>
      <c r="J645" s="9" t="s">
        <v>41</v>
      </c>
      <c r="K645" s="9" t="n">
        <v>41</v>
      </c>
      <c r="L645" s="9" t="n">
        <v>1</v>
      </c>
      <c r="M645" s="9" t="n">
        <v>0</v>
      </c>
      <c r="N645" s="9" t="s">
        <v>42</v>
      </c>
      <c r="O645" s="9" t="s">
        <v>52</v>
      </c>
      <c r="P645" s="9" t="n">
        <v>3.3</v>
      </c>
      <c r="Q645" s="9" t="n">
        <v>32</v>
      </c>
      <c r="R645" s="9" t="s">
        <v>53</v>
      </c>
      <c r="S645" s="9"/>
      <c r="T645" s="9"/>
      <c r="U645" s="9" t="str">
        <f aca="false">IF(COUNTIF($A$2:$A$5001,A645)&gt;1,"Duplicate","Unique")</f>
        <v>Unique</v>
      </c>
      <c r="V645" s="9" t="str">
        <f aca="false">IF(COUNTIFS($B$2:$B$5001,B645,$H$2:$H$5001,H645,$J$2:$J$5001,J645)&gt;1,"Possible Duplicate Booking","Unique")</f>
        <v>Unique</v>
      </c>
      <c r="W645" s="9" t="str">
        <f aca="false">IF((H645-G645)&lt;&gt;K645,"Mismatch","OK")</f>
        <v>OK</v>
      </c>
      <c r="X645" s="9" t="str">
        <f aca="false">IF(TEXT(H645,"dddd")&lt;&gt;I645,"Mismatch","OK")</f>
        <v>OK</v>
      </c>
      <c r="Y645" s="9" t="str">
        <f aca="false">IF(AND(N645="No",O645&lt;&gt;""),"Unexpected: channel present but no reminder sent",IF(AND(N645="Yes",O645=""),"Missing channel for sent reminder","OK"))</f>
        <v>OK</v>
      </c>
    </row>
    <row r="646" customFormat="false" ht="15" hidden="false" customHeight="false" outlineLevel="0" collapsed="false">
      <c r="A646" s="7" t="s">
        <v>1261</v>
      </c>
      <c r="B646" s="7" t="s">
        <v>1262</v>
      </c>
      <c r="C646" s="7" t="s">
        <v>47</v>
      </c>
      <c r="D646" s="7" t="n">
        <v>71</v>
      </c>
      <c r="E646" s="7" t="s">
        <v>70</v>
      </c>
      <c r="F646" s="7" t="s">
        <v>39</v>
      </c>
      <c r="G646" s="8" t="n">
        <v>46041</v>
      </c>
      <c r="H646" s="8" t="n">
        <v>46078</v>
      </c>
      <c r="I646" s="7" t="s">
        <v>58</v>
      </c>
      <c r="J646" s="7" t="s">
        <v>51</v>
      </c>
      <c r="K646" s="7" t="n">
        <v>37</v>
      </c>
      <c r="L646" s="7" t="n">
        <v>2</v>
      </c>
      <c r="M646" s="7" t="n">
        <v>1</v>
      </c>
      <c r="N646" s="7" t="s">
        <v>42</v>
      </c>
      <c r="O646" s="7" t="s">
        <v>67</v>
      </c>
      <c r="P646" s="7" t="n">
        <v>1.2</v>
      </c>
      <c r="Q646" s="7" t="n">
        <v>22</v>
      </c>
      <c r="R646" s="7" t="s">
        <v>53</v>
      </c>
      <c r="S646" s="7"/>
      <c r="T646" s="7"/>
      <c r="U646" s="7" t="str">
        <f aca="false">IF(COUNTIF($A$2:$A$5001,A646)&gt;1,"Duplicate","Unique")</f>
        <v>Unique</v>
      </c>
      <c r="V646" s="7" t="str">
        <f aca="false">IF(COUNTIFS($B$2:$B$5001,B646,$H$2:$H$5001,H646,$J$2:$J$5001,J646)&gt;1,"Possible Duplicate Booking","Unique")</f>
        <v>Unique</v>
      </c>
      <c r="W646" s="7" t="str">
        <f aca="false">IF((H646-G646)&lt;&gt;K646,"Mismatch","OK")</f>
        <v>OK</v>
      </c>
      <c r="X646" s="7" t="str">
        <f aca="false">IF(TEXT(H646,"dddd")&lt;&gt;I646,"Mismatch","OK")</f>
        <v>OK</v>
      </c>
      <c r="Y646" s="7" t="str">
        <f aca="false">IF(AND(N646="No",O646&lt;&gt;""),"Unexpected: channel present but no reminder sent",IF(AND(N646="Yes",O646=""),"Missing channel for sent reminder","OK"))</f>
        <v>OK</v>
      </c>
    </row>
    <row r="647" customFormat="false" ht="15" hidden="false" customHeight="false" outlineLevel="0" collapsed="false">
      <c r="A647" s="9" t="s">
        <v>1263</v>
      </c>
      <c r="B647" s="9" t="s">
        <v>1264</v>
      </c>
      <c r="C647" s="9" t="s">
        <v>37</v>
      </c>
      <c r="D647" s="9" t="n">
        <v>72</v>
      </c>
      <c r="E647" s="9" t="s">
        <v>70</v>
      </c>
      <c r="F647" s="9" t="s">
        <v>39</v>
      </c>
      <c r="G647" s="10" t="n">
        <v>45834</v>
      </c>
      <c r="H647" s="10" t="n">
        <v>45837</v>
      </c>
      <c r="I647" s="9" t="s">
        <v>75</v>
      </c>
      <c r="J647" s="9" t="s">
        <v>51</v>
      </c>
      <c r="K647" s="9" t="n">
        <v>3</v>
      </c>
      <c r="L647" s="9" t="n">
        <v>4</v>
      </c>
      <c r="M647" s="9" t="n">
        <v>1</v>
      </c>
      <c r="N647" s="9" t="s">
        <v>42</v>
      </c>
      <c r="O647" s="9" t="s">
        <v>43</v>
      </c>
      <c r="P647" s="9" t="n">
        <v>26</v>
      </c>
      <c r="Q647" s="9" t="n">
        <v>22</v>
      </c>
      <c r="R647" s="9" t="s">
        <v>44</v>
      </c>
      <c r="S647" s="9"/>
      <c r="T647" s="9"/>
      <c r="U647" s="9" t="str">
        <f aca="false">IF(COUNTIF($A$2:$A$5001,A647)&gt;1,"Duplicate","Unique")</f>
        <v>Unique</v>
      </c>
      <c r="V647" s="9" t="str">
        <f aca="false">IF(COUNTIFS($B$2:$B$5001,B647,$H$2:$H$5001,H647,$J$2:$J$5001,J647)&gt;1,"Possible Duplicate Booking","Unique")</f>
        <v>Unique</v>
      </c>
      <c r="W647" s="9" t="str">
        <f aca="false">IF((H647-G647)&lt;&gt;K647,"Mismatch","OK")</f>
        <v>OK</v>
      </c>
      <c r="X647" s="9" t="str">
        <f aca="false">IF(TEXT(H647,"dddd")&lt;&gt;I647,"Mismatch","OK")</f>
        <v>OK</v>
      </c>
      <c r="Y647" s="9" t="str">
        <f aca="false">IF(AND(N647="No",O647&lt;&gt;""),"Unexpected: channel present but no reminder sent",IF(AND(N647="Yes",O647=""),"Missing channel for sent reminder","OK"))</f>
        <v>OK</v>
      </c>
    </row>
    <row r="648" customFormat="false" ht="15" hidden="false" customHeight="false" outlineLevel="0" collapsed="false">
      <c r="A648" s="7" t="s">
        <v>1265</v>
      </c>
      <c r="B648" s="7" t="s">
        <v>1266</v>
      </c>
      <c r="C648" s="7" t="s">
        <v>47</v>
      </c>
      <c r="D648" s="7" t="n">
        <v>40</v>
      </c>
      <c r="E648" s="7" t="s">
        <v>38</v>
      </c>
      <c r="F648" s="7" t="s">
        <v>57</v>
      </c>
      <c r="G648" s="8" t="n">
        <v>45856</v>
      </c>
      <c r="H648" s="8" t="n">
        <v>45909</v>
      </c>
      <c r="I648" s="7" t="s">
        <v>40</v>
      </c>
      <c r="J648" s="7" t="s">
        <v>63</v>
      </c>
      <c r="K648" s="7" t="n">
        <v>53</v>
      </c>
      <c r="L648" s="7" t="n">
        <v>1</v>
      </c>
      <c r="M648" s="7" t="n">
        <v>0</v>
      </c>
      <c r="N648" s="7" t="s">
        <v>42</v>
      </c>
      <c r="O648" s="7" t="s">
        <v>52</v>
      </c>
      <c r="P648" s="7" t="n">
        <v>4.9</v>
      </c>
      <c r="Q648" s="7" t="n">
        <v>23</v>
      </c>
      <c r="R648" s="7" t="s">
        <v>53</v>
      </c>
      <c r="S648" s="7"/>
      <c r="T648" s="7"/>
      <c r="U648" s="7" t="str">
        <f aca="false">IF(COUNTIF($A$2:$A$5001,A648)&gt;1,"Duplicate","Unique")</f>
        <v>Unique</v>
      </c>
      <c r="V648" s="7" t="str">
        <f aca="false">IF(COUNTIFS($B$2:$B$5001,B648,$H$2:$H$5001,H648,$J$2:$J$5001,J648)&gt;1,"Possible Duplicate Booking","Unique")</f>
        <v>Unique</v>
      </c>
      <c r="W648" s="7" t="str">
        <f aca="false">IF((H648-G648)&lt;&gt;K648,"Mismatch","OK")</f>
        <v>OK</v>
      </c>
      <c r="X648" s="7" t="str">
        <f aca="false">IF(TEXT(H648,"dddd")&lt;&gt;I648,"Mismatch","OK")</f>
        <v>OK</v>
      </c>
      <c r="Y648" s="7" t="str">
        <f aca="false">IF(AND(N648="No",O648&lt;&gt;""),"Unexpected: channel present but no reminder sent",IF(AND(N648="Yes",O648=""),"Missing channel for sent reminder","OK"))</f>
        <v>OK</v>
      </c>
    </row>
    <row r="649" customFormat="false" ht="15" hidden="false" customHeight="false" outlineLevel="0" collapsed="false">
      <c r="A649" s="9" t="s">
        <v>1267</v>
      </c>
      <c r="B649" s="9" t="s">
        <v>1268</v>
      </c>
      <c r="C649" s="9" t="s">
        <v>47</v>
      </c>
      <c r="D649" s="9" t="n">
        <v>20</v>
      </c>
      <c r="E649" s="9" t="s">
        <v>82</v>
      </c>
      <c r="F649" s="9" t="s">
        <v>57</v>
      </c>
      <c r="G649" s="10" t="n">
        <v>45892</v>
      </c>
      <c r="H649" s="10" t="n">
        <v>45950</v>
      </c>
      <c r="I649" s="9" t="s">
        <v>66</v>
      </c>
      <c r="J649" s="9" t="s">
        <v>51</v>
      </c>
      <c r="K649" s="9" t="n">
        <v>58</v>
      </c>
      <c r="L649" s="9" t="n">
        <v>2</v>
      </c>
      <c r="M649" s="9" t="n">
        <v>0</v>
      </c>
      <c r="N649" s="9" t="s">
        <v>71</v>
      </c>
      <c r="O649" s="9"/>
      <c r="P649" s="9" t="n">
        <v>7.9</v>
      </c>
      <c r="Q649" s="9" t="n">
        <v>24</v>
      </c>
      <c r="R649" s="9" t="s">
        <v>53</v>
      </c>
      <c r="S649" s="9"/>
      <c r="T649" s="9"/>
      <c r="U649" s="9" t="str">
        <f aca="false">IF(COUNTIF($A$2:$A$5001,A649)&gt;1,"Duplicate","Unique")</f>
        <v>Unique</v>
      </c>
      <c r="V649" s="9" t="str">
        <f aca="false">IF(COUNTIFS($B$2:$B$5001,B649,$H$2:$H$5001,H649,$J$2:$J$5001,J649)&gt;1,"Possible Duplicate Booking","Unique")</f>
        <v>Unique</v>
      </c>
      <c r="W649" s="9" t="str">
        <f aca="false">IF((H649-G649)&lt;&gt;K649,"Mismatch","OK")</f>
        <v>OK</v>
      </c>
      <c r="X649" s="9" t="str">
        <f aca="false">IF(TEXT(H649,"dddd")&lt;&gt;I649,"Mismatch","OK")</f>
        <v>OK</v>
      </c>
      <c r="Y649" s="9" t="str">
        <f aca="false">IF(AND(N649="No",O649&lt;&gt;""),"Unexpected: channel present but no reminder sent",IF(AND(N649="Yes",O649=""),"Missing channel for sent reminder","OK"))</f>
        <v>OK</v>
      </c>
    </row>
    <row r="650" customFormat="false" ht="15" hidden="false" customHeight="false" outlineLevel="0" collapsed="false">
      <c r="A650" s="7" t="s">
        <v>1269</v>
      </c>
      <c r="B650" s="7" t="s">
        <v>1270</v>
      </c>
      <c r="C650" s="7" t="s">
        <v>47</v>
      </c>
      <c r="D650" s="7" t="n">
        <v>39</v>
      </c>
      <c r="E650" s="7" t="s">
        <v>38</v>
      </c>
      <c r="F650" s="7" t="s">
        <v>49</v>
      </c>
      <c r="G650" s="8" t="n">
        <v>46123</v>
      </c>
      <c r="H650" s="8" t="n">
        <v>46182</v>
      </c>
      <c r="I650" s="7" t="s">
        <v>40</v>
      </c>
      <c r="J650" s="7" t="s">
        <v>41</v>
      </c>
      <c r="K650" s="7" t="n">
        <v>59</v>
      </c>
      <c r="L650" s="7" t="n">
        <v>2</v>
      </c>
      <c r="M650" s="7" t="n">
        <v>0</v>
      </c>
      <c r="N650" s="7" t="s">
        <v>42</v>
      </c>
      <c r="O650" s="7" t="s">
        <v>52</v>
      </c>
      <c r="P650" s="7" t="n">
        <v>10.3</v>
      </c>
      <c r="Q650" s="7" t="n">
        <v>26</v>
      </c>
      <c r="R650" s="7" t="s">
        <v>44</v>
      </c>
      <c r="S650" s="7"/>
      <c r="T650" s="7"/>
      <c r="U650" s="7" t="str">
        <f aca="false">IF(COUNTIF($A$2:$A$5001,A650)&gt;1,"Duplicate","Unique")</f>
        <v>Unique</v>
      </c>
      <c r="V650" s="7" t="str">
        <f aca="false">IF(COUNTIFS($B$2:$B$5001,B650,$H$2:$H$5001,H650,$J$2:$J$5001,J650)&gt;1,"Possible Duplicate Booking","Unique")</f>
        <v>Unique</v>
      </c>
      <c r="W650" s="7" t="str">
        <f aca="false">IF((H650-G650)&lt;&gt;K650,"Mismatch","OK")</f>
        <v>OK</v>
      </c>
      <c r="X650" s="7" t="str">
        <f aca="false">IF(TEXT(H650,"dddd")&lt;&gt;I650,"Mismatch","OK")</f>
        <v>OK</v>
      </c>
      <c r="Y650" s="7" t="str">
        <f aca="false">IF(AND(N650="No",O650&lt;&gt;""),"Unexpected: channel present but no reminder sent",IF(AND(N650="Yes",O650=""),"Missing channel for sent reminder","OK"))</f>
        <v>OK</v>
      </c>
    </row>
    <row r="651" customFormat="false" ht="15" hidden="false" customHeight="false" outlineLevel="0" collapsed="false">
      <c r="A651" s="9" t="s">
        <v>1271</v>
      </c>
      <c r="B651" s="9" t="s">
        <v>512</v>
      </c>
      <c r="C651" s="9" t="s">
        <v>47</v>
      </c>
      <c r="D651" s="9" t="n">
        <v>27</v>
      </c>
      <c r="E651" s="9" t="s">
        <v>48</v>
      </c>
      <c r="F651" s="9" t="s">
        <v>57</v>
      </c>
      <c r="G651" s="10" t="n">
        <v>46062</v>
      </c>
      <c r="H651" s="10" t="n">
        <v>46121</v>
      </c>
      <c r="I651" s="9" t="s">
        <v>62</v>
      </c>
      <c r="J651" s="9" t="s">
        <v>51</v>
      </c>
      <c r="K651" s="9" t="n">
        <v>59</v>
      </c>
      <c r="L651" s="9" t="n">
        <v>5</v>
      </c>
      <c r="M651" s="9" t="n">
        <v>1</v>
      </c>
      <c r="N651" s="9" t="s">
        <v>42</v>
      </c>
      <c r="O651" s="9" t="s">
        <v>52</v>
      </c>
      <c r="P651" s="9" t="n">
        <v>7.7</v>
      </c>
      <c r="Q651" s="9" t="n">
        <v>33</v>
      </c>
      <c r="R651" s="9" t="s">
        <v>44</v>
      </c>
      <c r="S651" s="9"/>
      <c r="T651" s="9"/>
      <c r="U651" s="9" t="str">
        <f aca="false">IF(COUNTIF($A$2:$A$5001,A651)&gt;1,"Duplicate","Unique")</f>
        <v>Unique</v>
      </c>
      <c r="V651" s="9" t="str">
        <f aca="false">IF(COUNTIFS($B$2:$B$5001,B651,$H$2:$H$5001,H651,$J$2:$J$5001,J651)&gt;1,"Possible Duplicate Booking","Unique")</f>
        <v>Unique</v>
      </c>
      <c r="W651" s="9" t="str">
        <f aca="false">IF((H651-G651)&lt;&gt;K651,"Mismatch","OK")</f>
        <v>OK</v>
      </c>
      <c r="X651" s="9" t="str">
        <f aca="false">IF(TEXT(H651,"dddd")&lt;&gt;I651,"Mismatch","OK")</f>
        <v>OK</v>
      </c>
      <c r="Y651" s="9" t="str">
        <f aca="false">IF(AND(N651="No",O651&lt;&gt;""),"Unexpected: channel present but no reminder sent",IF(AND(N651="Yes",O651=""),"Missing channel for sent reminder","OK"))</f>
        <v>OK</v>
      </c>
    </row>
    <row r="652" customFormat="false" ht="15" hidden="false" customHeight="false" outlineLevel="0" collapsed="false">
      <c r="A652" s="7" t="s">
        <v>1272</v>
      </c>
      <c r="B652" s="7" t="s">
        <v>1273</v>
      </c>
      <c r="C652" s="7" t="s">
        <v>47</v>
      </c>
      <c r="D652" s="7" t="n">
        <v>51</v>
      </c>
      <c r="E652" s="7" t="s">
        <v>56</v>
      </c>
      <c r="F652" s="7" t="s">
        <v>39</v>
      </c>
      <c r="G652" s="8" t="n">
        <v>45869</v>
      </c>
      <c r="H652" s="8" t="n">
        <v>45925</v>
      </c>
      <c r="I652" s="7" t="s">
        <v>62</v>
      </c>
      <c r="J652" s="7" t="s">
        <v>41</v>
      </c>
      <c r="K652" s="7" t="n">
        <v>56</v>
      </c>
      <c r="L652" s="7" t="n">
        <v>0</v>
      </c>
      <c r="M652" s="7" t="n">
        <v>0</v>
      </c>
      <c r="N652" s="7" t="s">
        <v>42</v>
      </c>
      <c r="O652" s="7" t="s">
        <v>52</v>
      </c>
      <c r="P652" s="7" t="n">
        <v>8.1</v>
      </c>
      <c r="Q652" s="7" t="n">
        <v>33</v>
      </c>
      <c r="R652" s="7" t="s">
        <v>53</v>
      </c>
      <c r="S652" s="7"/>
      <c r="T652" s="7"/>
      <c r="U652" s="7" t="str">
        <f aca="false">IF(COUNTIF($A$2:$A$5001,A652)&gt;1,"Duplicate","Unique")</f>
        <v>Unique</v>
      </c>
      <c r="V652" s="7" t="str">
        <f aca="false">IF(COUNTIFS($B$2:$B$5001,B652,$H$2:$H$5001,H652,$J$2:$J$5001,J652)&gt;1,"Possible Duplicate Booking","Unique")</f>
        <v>Unique</v>
      </c>
      <c r="W652" s="7" t="str">
        <f aca="false">IF((H652-G652)&lt;&gt;K652,"Mismatch","OK")</f>
        <v>OK</v>
      </c>
      <c r="X652" s="7" t="str">
        <f aca="false">IF(TEXT(H652,"dddd")&lt;&gt;I652,"Mismatch","OK")</f>
        <v>OK</v>
      </c>
      <c r="Y652" s="7" t="str">
        <f aca="false">IF(AND(N652="No",O652&lt;&gt;""),"Unexpected: channel present but no reminder sent",IF(AND(N652="Yes",O652=""),"Missing channel for sent reminder","OK"))</f>
        <v>OK</v>
      </c>
    </row>
    <row r="653" customFormat="false" ht="15" hidden="false" customHeight="false" outlineLevel="0" collapsed="false">
      <c r="A653" s="9" t="s">
        <v>1274</v>
      </c>
      <c r="B653" s="9" t="s">
        <v>429</v>
      </c>
      <c r="C653" s="9" t="s">
        <v>37</v>
      </c>
      <c r="D653" s="9" t="n">
        <v>27</v>
      </c>
      <c r="E653" s="9" t="s">
        <v>48</v>
      </c>
      <c r="F653" s="9" t="s">
        <v>39</v>
      </c>
      <c r="G653" s="10" t="n">
        <v>45969</v>
      </c>
      <c r="H653" s="10" t="n">
        <v>46014</v>
      </c>
      <c r="I653" s="9" t="s">
        <v>40</v>
      </c>
      <c r="J653" s="9" t="s">
        <v>41</v>
      </c>
      <c r="K653" s="9" t="n">
        <v>45</v>
      </c>
      <c r="L653" s="9" t="n">
        <v>3</v>
      </c>
      <c r="M653" s="9" t="n">
        <v>0</v>
      </c>
      <c r="N653" s="9" t="s">
        <v>71</v>
      </c>
      <c r="O653" s="9"/>
      <c r="P653" s="9" t="n">
        <v>10</v>
      </c>
      <c r="Q653" s="9" t="n">
        <v>47</v>
      </c>
      <c r="R653" s="9" t="s">
        <v>44</v>
      </c>
      <c r="S653" s="9"/>
      <c r="T653" s="9"/>
      <c r="U653" s="9" t="str">
        <f aca="false">IF(COUNTIF($A$2:$A$5001,A653)&gt;1,"Duplicate","Unique")</f>
        <v>Unique</v>
      </c>
      <c r="V653" s="9" t="str">
        <f aca="false">IF(COUNTIFS($B$2:$B$5001,B653,$H$2:$H$5001,H653,$J$2:$J$5001,J653)&gt;1,"Possible Duplicate Booking","Unique")</f>
        <v>Unique</v>
      </c>
      <c r="W653" s="9" t="str">
        <f aca="false">IF((H653-G653)&lt;&gt;K653,"Mismatch","OK")</f>
        <v>OK</v>
      </c>
      <c r="X653" s="9" t="str">
        <f aca="false">IF(TEXT(H653,"dddd")&lt;&gt;I653,"Mismatch","OK")</f>
        <v>OK</v>
      </c>
      <c r="Y653" s="9" t="str">
        <f aca="false">IF(AND(N653="No",O653&lt;&gt;""),"Unexpected: channel present but no reminder sent",IF(AND(N653="Yes",O653=""),"Missing channel for sent reminder","OK"))</f>
        <v>OK</v>
      </c>
    </row>
    <row r="654" customFormat="false" ht="15" hidden="false" customHeight="false" outlineLevel="0" collapsed="false">
      <c r="A654" s="7" t="s">
        <v>1275</v>
      </c>
      <c r="B654" s="7" t="s">
        <v>1276</v>
      </c>
      <c r="C654" s="7" t="s">
        <v>37</v>
      </c>
      <c r="D654" s="7" t="n">
        <v>76</v>
      </c>
      <c r="E654" s="7" t="s">
        <v>70</v>
      </c>
      <c r="F654" s="7" t="s">
        <v>39</v>
      </c>
      <c r="G654" s="8" t="n">
        <v>45765</v>
      </c>
      <c r="H654" s="8" t="n">
        <v>45768</v>
      </c>
      <c r="I654" s="7" t="s">
        <v>66</v>
      </c>
      <c r="J654" s="7" t="s">
        <v>51</v>
      </c>
      <c r="K654" s="7" t="n">
        <v>3</v>
      </c>
      <c r="L654" s="7" t="n">
        <v>3</v>
      </c>
      <c r="M654" s="7" t="n">
        <v>2</v>
      </c>
      <c r="N654" s="7" t="s">
        <v>42</v>
      </c>
      <c r="O654" s="7" t="s">
        <v>52</v>
      </c>
      <c r="P654" s="7" t="n">
        <v>4.6</v>
      </c>
      <c r="Q654" s="7" t="n">
        <v>44</v>
      </c>
      <c r="R654" s="7" t="s">
        <v>53</v>
      </c>
      <c r="S654" s="7"/>
      <c r="T654" s="7"/>
      <c r="U654" s="7" t="str">
        <f aca="false">IF(COUNTIF($A$2:$A$5001,A654)&gt;1,"Duplicate","Unique")</f>
        <v>Unique</v>
      </c>
      <c r="V654" s="7" t="str">
        <f aca="false">IF(COUNTIFS($B$2:$B$5001,B654,$H$2:$H$5001,H654,$J$2:$J$5001,J654)&gt;1,"Possible Duplicate Booking","Unique")</f>
        <v>Unique</v>
      </c>
      <c r="W654" s="7" t="str">
        <f aca="false">IF((H654-G654)&lt;&gt;K654,"Mismatch","OK")</f>
        <v>OK</v>
      </c>
      <c r="X654" s="7" t="str">
        <f aca="false">IF(TEXT(H654,"dddd")&lt;&gt;I654,"Mismatch","OK")</f>
        <v>OK</v>
      </c>
      <c r="Y654" s="7" t="str">
        <f aca="false">IF(AND(N654="No",O654&lt;&gt;""),"Unexpected: channel present but no reminder sent",IF(AND(N654="Yes",O654=""),"Missing channel for sent reminder","OK"))</f>
        <v>OK</v>
      </c>
    </row>
    <row r="655" customFormat="false" ht="15" hidden="false" customHeight="false" outlineLevel="0" collapsed="false">
      <c r="A655" s="9" t="s">
        <v>1277</v>
      </c>
      <c r="B655" s="9" t="s">
        <v>1278</v>
      </c>
      <c r="C655" s="9" t="s">
        <v>37</v>
      </c>
      <c r="D655" s="9" t="n">
        <v>55</v>
      </c>
      <c r="E655" s="9" t="s">
        <v>61</v>
      </c>
      <c r="F655" s="9" t="s">
        <v>74</v>
      </c>
      <c r="G655" s="10" t="n">
        <v>46069</v>
      </c>
      <c r="H655" s="10" t="n">
        <v>46097</v>
      </c>
      <c r="I655" s="9" t="s">
        <v>66</v>
      </c>
      <c r="J655" s="9" t="s">
        <v>41</v>
      </c>
      <c r="K655" s="9" t="n">
        <v>28</v>
      </c>
      <c r="L655" s="9" t="n">
        <v>3</v>
      </c>
      <c r="M655" s="9" t="n">
        <v>1</v>
      </c>
      <c r="N655" s="9" t="s">
        <v>42</v>
      </c>
      <c r="O655" s="9" t="s">
        <v>52</v>
      </c>
      <c r="P655" s="9" t="n">
        <v>4.7</v>
      </c>
      <c r="Q655" s="9" t="n">
        <v>15</v>
      </c>
      <c r="R655" s="9" t="s">
        <v>44</v>
      </c>
      <c r="S655" s="9"/>
      <c r="T655" s="9"/>
      <c r="U655" s="9" t="str">
        <f aca="false">IF(COUNTIF($A$2:$A$5001,A655)&gt;1,"Duplicate","Unique")</f>
        <v>Unique</v>
      </c>
      <c r="V655" s="9" t="str">
        <f aca="false">IF(COUNTIFS($B$2:$B$5001,B655,$H$2:$H$5001,H655,$J$2:$J$5001,J655)&gt;1,"Possible Duplicate Booking","Unique")</f>
        <v>Unique</v>
      </c>
      <c r="W655" s="9" t="str">
        <f aca="false">IF((H655-G655)&lt;&gt;K655,"Mismatch","OK")</f>
        <v>OK</v>
      </c>
      <c r="X655" s="9" t="str">
        <f aca="false">IF(TEXT(H655,"dddd")&lt;&gt;I655,"Mismatch","OK")</f>
        <v>OK</v>
      </c>
      <c r="Y655" s="9" t="str">
        <f aca="false">IF(AND(N655="No",O655&lt;&gt;""),"Unexpected: channel present but no reminder sent",IF(AND(N655="Yes",O655=""),"Missing channel for sent reminder","OK"))</f>
        <v>OK</v>
      </c>
    </row>
    <row r="656" customFormat="false" ht="15" hidden="false" customHeight="false" outlineLevel="0" collapsed="false">
      <c r="A656" s="7" t="s">
        <v>1279</v>
      </c>
      <c r="B656" s="7" t="s">
        <v>1280</v>
      </c>
      <c r="C656" s="7" t="s">
        <v>37</v>
      </c>
      <c r="D656" s="7" t="n">
        <v>33</v>
      </c>
      <c r="E656" s="7" t="s">
        <v>48</v>
      </c>
      <c r="F656" s="7" t="s">
        <v>39</v>
      </c>
      <c r="G656" s="8" t="n">
        <v>45945</v>
      </c>
      <c r="H656" s="8" t="n">
        <v>45959</v>
      </c>
      <c r="I656" s="7" t="s">
        <v>58</v>
      </c>
      <c r="J656" s="7" t="s">
        <v>63</v>
      </c>
      <c r="K656" s="7" t="n">
        <v>14</v>
      </c>
      <c r="L656" s="7" t="n">
        <v>2</v>
      </c>
      <c r="M656" s="7" t="n">
        <v>0</v>
      </c>
      <c r="N656" s="7" t="s">
        <v>42</v>
      </c>
      <c r="O656" s="7" t="s">
        <v>67</v>
      </c>
      <c r="P656" s="7" t="n">
        <v>4.9</v>
      </c>
      <c r="Q656" s="7" t="n">
        <v>22</v>
      </c>
      <c r="R656" s="7" t="s">
        <v>44</v>
      </c>
      <c r="S656" s="7"/>
      <c r="T656" s="7"/>
      <c r="U656" s="7" t="str">
        <f aca="false">IF(COUNTIF($A$2:$A$5001,A656)&gt;1,"Duplicate","Unique")</f>
        <v>Unique</v>
      </c>
      <c r="V656" s="7" t="str">
        <f aca="false">IF(COUNTIFS($B$2:$B$5001,B656,$H$2:$H$5001,H656,$J$2:$J$5001,J656)&gt;1,"Possible Duplicate Booking","Unique")</f>
        <v>Unique</v>
      </c>
      <c r="W656" s="7" t="str">
        <f aca="false">IF((H656-G656)&lt;&gt;K656,"Mismatch","OK")</f>
        <v>OK</v>
      </c>
      <c r="X656" s="7" t="str">
        <f aca="false">IF(TEXT(H656,"dddd")&lt;&gt;I656,"Mismatch","OK")</f>
        <v>OK</v>
      </c>
      <c r="Y656" s="7" t="str">
        <f aca="false">IF(AND(N656="No",O656&lt;&gt;""),"Unexpected: channel present but no reminder sent",IF(AND(N656="Yes",O656=""),"Missing channel for sent reminder","OK"))</f>
        <v>OK</v>
      </c>
    </row>
    <row r="657" customFormat="false" ht="15" hidden="false" customHeight="false" outlineLevel="0" collapsed="false">
      <c r="A657" s="9" t="s">
        <v>1281</v>
      </c>
      <c r="B657" s="9" t="s">
        <v>1282</v>
      </c>
      <c r="C657" s="9" t="s">
        <v>37</v>
      </c>
      <c r="D657" s="9" t="n">
        <v>76</v>
      </c>
      <c r="E657" s="9" t="s">
        <v>70</v>
      </c>
      <c r="F657" s="9" t="s">
        <v>74</v>
      </c>
      <c r="G657" s="10" t="n">
        <v>45935</v>
      </c>
      <c r="H657" s="10" t="n">
        <v>45948</v>
      </c>
      <c r="I657" s="9" t="s">
        <v>102</v>
      </c>
      <c r="J657" s="9" t="s">
        <v>41</v>
      </c>
      <c r="K657" s="9" t="n">
        <v>13</v>
      </c>
      <c r="L657" s="9" t="n">
        <v>2</v>
      </c>
      <c r="M657" s="9" t="n">
        <v>0</v>
      </c>
      <c r="N657" s="9" t="s">
        <v>42</v>
      </c>
      <c r="O657" s="9" t="s">
        <v>52</v>
      </c>
      <c r="P657" s="9"/>
      <c r="Q657" s="9" t="n">
        <v>33</v>
      </c>
      <c r="R657" s="9" t="s">
        <v>53</v>
      </c>
      <c r="S657" s="9"/>
      <c r="T657" s="9"/>
      <c r="U657" s="9" t="str">
        <f aca="false">IF(COUNTIF($A$2:$A$5001,A657)&gt;1,"Duplicate","Unique")</f>
        <v>Unique</v>
      </c>
      <c r="V657" s="9" t="str">
        <f aca="false">IF(COUNTIFS($B$2:$B$5001,B657,$H$2:$H$5001,H657,$J$2:$J$5001,J657)&gt;1,"Possible Duplicate Booking","Unique")</f>
        <v>Unique</v>
      </c>
      <c r="W657" s="9" t="str">
        <f aca="false">IF((H657-G657)&lt;&gt;K657,"Mismatch","OK")</f>
        <v>OK</v>
      </c>
      <c r="X657" s="9" t="str">
        <f aca="false">IF(TEXT(H657,"dddd")&lt;&gt;I657,"Mismatch","OK")</f>
        <v>OK</v>
      </c>
      <c r="Y657" s="9" t="str">
        <f aca="false">IF(AND(N657="No",O657&lt;&gt;""),"Unexpected: channel present but no reminder sent",IF(AND(N657="Yes",O657=""),"Missing channel for sent reminder","OK"))</f>
        <v>OK</v>
      </c>
    </row>
    <row r="658" customFormat="false" ht="15" hidden="false" customHeight="false" outlineLevel="0" collapsed="false">
      <c r="A658" s="7" t="s">
        <v>1283</v>
      </c>
      <c r="B658" s="7" t="s">
        <v>1284</v>
      </c>
      <c r="C658" s="7" t="s">
        <v>47</v>
      </c>
      <c r="D658" s="7" t="n">
        <v>66</v>
      </c>
      <c r="E658" s="7" t="s">
        <v>70</v>
      </c>
      <c r="F658" s="7" t="s">
        <v>49</v>
      </c>
      <c r="G658" s="8" t="n">
        <v>46026</v>
      </c>
      <c r="H658" s="8" t="n">
        <v>46076</v>
      </c>
      <c r="I658" s="7" t="s">
        <v>66</v>
      </c>
      <c r="J658" s="7" t="s">
        <v>51</v>
      </c>
      <c r="K658" s="7" t="n">
        <v>50</v>
      </c>
      <c r="L658" s="7" t="n">
        <v>3</v>
      </c>
      <c r="M658" s="7" t="n">
        <v>0</v>
      </c>
      <c r="N658" s="7" t="s">
        <v>71</v>
      </c>
      <c r="O658" s="7"/>
      <c r="P658" s="7" t="n">
        <v>12.6</v>
      </c>
      <c r="Q658" s="7" t="n">
        <v>5</v>
      </c>
      <c r="R658" s="7" t="s">
        <v>44</v>
      </c>
      <c r="S658" s="7"/>
      <c r="T658" s="7"/>
      <c r="U658" s="7" t="str">
        <f aca="false">IF(COUNTIF($A$2:$A$5001,A658)&gt;1,"Duplicate","Unique")</f>
        <v>Unique</v>
      </c>
      <c r="V658" s="7" t="str">
        <f aca="false">IF(COUNTIFS($B$2:$B$5001,B658,$H$2:$H$5001,H658,$J$2:$J$5001,J658)&gt;1,"Possible Duplicate Booking","Unique")</f>
        <v>Unique</v>
      </c>
      <c r="W658" s="7" t="str">
        <f aca="false">IF((H658-G658)&lt;&gt;K658,"Mismatch","OK")</f>
        <v>OK</v>
      </c>
      <c r="X658" s="7" t="str">
        <f aca="false">IF(TEXT(H658,"dddd")&lt;&gt;I658,"Mismatch","OK")</f>
        <v>OK</v>
      </c>
      <c r="Y658" s="7" t="str">
        <f aca="false">IF(AND(N658="No",O658&lt;&gt;""),"Unexpected: channel present but no reminder sent",IF(AND(N658="Yes",O658=""),"Missing channel for sent reminder","OK"))</f>
        <v>OK</v>
      </c>
    </row>
    <row r="659" customFormat="false" ht="15" hidden="false" customHeight="false" outlineLevel="0" collapsed="false">
      <c r="A659" s="9" t="s">
        <v>1285</v>
      </c>
      <c r="B659" s="9" t="s">
        <v>1286</v>
      </c>
      <c r="C659" s="9" t="s">
        <v>47</v>
      </c>
      <c r="D659" s="9" t="n">
        <v>45</v>
      </c>
      <c r="E659" s="9" t="s">
        <v>56</v>
      </c>
      <c r="F659" s="9" t="s">
        <v>57</v>
      </c>
      <c r="G659" s="10" t="n">
        <v>45954</v>
      </c>
      <c r="H659" s="10" t="n">
        <v>46003</v>
      </c>
      <c r="I659" s="9" t="s">
        <v>50</v>
      </c>
      <c r="J659" s="9" t="s">
        <v>51</v>
      </c>
      <c r="K659" s="9" t="n">
        <v>49</v>
      </c>
      <c r="L659" s="9" t="n">
        <v>3</v>
      </c>
      <c r="M659" s="9" t="n">
        <v>1</v>
      </c>
      <c r="N659" s="9" t="s">
        <v>42</v>
      </c>
      <c r="O659" s="9" t="s">
        <v>52</v>
      </c>
      <c r="P659" s="9" t="n">
        <v>4.2</v>
      </c>
      <c r="Q659" s="9" t="n">
        <v>28</v>
      </c>
      <c r="R659" s="9" t="s">
        <v>87</v>
      </c>
      <c r="S659" s="9"/>
      <c r="T659" s="9"/>
      <c r="U659" s="9" t="str">
        <f aca="false">IF(COUNTIF($A$2:$A$5001,A659)&gt;1,"Duplicate","Unique")</f>
        <v>Unique</v>
      </c>
      <c r="V659" s="9" t="str">
        <f aca="false">IF(COUNTIFS($B$2:$B$5001,B659,$H$2:$H$5001,H659,$J$2:$J$5001,J659)&gt;1,"Possible Duplicate Booking","Unique")</f>
        <v>Unique</v>
      </c>
      <c r="W659" s="9" t="str">
        <f aca="false">IF((H659-G659)&lt;&gt;K659,"Mismatch","OK")</f>
        <v>OK</v>
      </c>
      <c r="X659" s="9" t="str">
        <f aca="false">IF(TEXT(H659,"dddd")&lt;&gt;I659,"Mismatch","OK")</f>
        <v>OK</v>
      </c>
      <c r="Y659" s="9" t="str">
        <f aca="false">IF(AND(N659="No",O659&lt;&gt;""),"Unexpected: channel present but no reminder sent",IF(AND(N659="Yes",O659=""),"Missing channel for sent reminder","OK"))</f>
        <v>OK</v>
      </c>
    </row>
    <row r="660" customFormat="false" ht="15" hidden="false" customHeight="false" outlineLevel="0" collapsed="false">
      <c r="A660" s="7" t="s">
        <v>1287</v>
      </c>
      <c r="B660" s="7" t="s">
        <v>1288</v>
      </c>
      <c r="C660" s="7" t="s">
        <v>47</v>
      </c>
      <c r="D660" s="7" t="n">
        <v>27</v>
      </c>
      <c r="E660" s="7" t="s">
        <v>48</v>
      </c>
      <c r="F660" s="7" t="s">
        <v>57</v>
      </c>
      <c r="G660" s="8" t="n">
        <v>45666</v>
      </c>
      <c r="H660" s="8" t="n">
        <v>45697</v>
      </c>
      <c r="I660" s="7" t="s">
        <v>75</v>
      </c>
      <c r="J660" s="7" t="s">
        <v>63</v>
      </c>
      <c r="K660" s="7" t="n">
        <v>31</v>
      </c>
      <c r="L660" s="7" t="n">
        <v>0</v>
      </c>
      <c r="M660" s="7" t="n">
        <v>0</v>
      </c>
      <c r="N660" s="7" t="s">
        <v>42</v>
      </c>
      <c r="O660" s="7" t="s">
        <v>52</v>
      </c>
      <c r="P660" s="7" t="n">
        <v>4.6</v>
      </c>
      <c r="Q660" s="7" t="n">
        <v>15</v>
      </c>
      <c r="R660" s="7" t="s">
        <v>53</v>
      </c>
      <c r="S660" s="7"/>
      <c r="T660" s="7"/>
      <c r="U660" s="7" t="str">
        <f aca="false">IF(COUNTIF($A$2:$A$5001,A660)&gt;1,"Duplicate","Unique")</f>
        <v>Unique</v>
      </c>
      <c r="V660" s="7" t="str">
        <f aca="false">IF(COUNTIFS($B$2:$B$5001,B660,$H$2:$H$5001,H660,$J$2:$J$5001,J660)&gt;1,"Possible Duplicate Booking","Unique")</f>
        <v>Unique</v>
      </c>
      <c r="W660" s="7" t="str">
        <f aca="false">IF((H660-G660)&lt;&gt;K660,"Mismatch","OK")</f>
        <v>OK</v>
      </c>
      <c r="X660" s="7" t="str">
        <f aca="false">IF(TEXT(H660,"dddd")&lt;&gt;I660,"Mismatch","OK")</f>
        <v>OK</v>
      </c>
      <c r="Y660" s="7" t="str">
        <f aca="false">IF(AND(N660="No",O660&lt;&gt;""),"Unexpected: channel present but no reminder sent",IF(AND(N660="Yes",O660=""),"Missing channel for sent reminder","OK"))</f>
        <v>OK</v>
      </c>
    </row>
    <row r="661" customFormat="false" ht="15" hidden="false" customHeight="false" outlineLevel="0" collapsed="false">
      <c r="A661" s="9" t="s">
        <v>1289</v>
      </c>
      <c r="B661" s="9" t="s">
        <v>863</v>
      </c>
      <c r="C661" s="9" t="s">
        <v>37</v>
      </c>
      <c r="D661" s="9" t="n">
        <v>39</v>
      </c>
      <c r="E661" s="9" t="s">
        <v>38</v>
      </c>
      <c r="F661" s="9" t="s">
        <v>57</v>
      </c>
      <c r="G661" s="10" t="n">
        <v>45771</v>
      </c>
      <c r="H661" s="10" t="n">
        <v>45815</v>
      </c>
      <c r="I661" s="9" t="s">
        <v>102</v>
      </c>
      <c r="J661" s="9" t="s">
        <v>51</v>
      </c>
      <c r="K661" s="9" t="n">
        <v>44</v>
      </c>
      <c r="L661" s="9" t="n">
        <v>4</v>
      </c>
      <c r="M661" s="9" t="n">
        <v>0</v>
      </c>
      <c r="N661" s="9" t="s">
        <v>42</v>
      </c>
      <c r="O661" s="9" t="s">
        <v>52</v>
      </c>
      <c r="P661" s="9" t="n">
        <v>11.8</v>
      </c>
      <c r="Q661" s="9" t="n">
        <v>24</v>
      </c>
      <c r="R661" s="9" t="s">
        <v>53</v>
      </c>
      <c r="S661" s="9"/>
      <c r="T661" s="9"/>
      <c r="U661" s="9" t="str">
        <f aca="false">IF(COUNTIF($A$2:$A$5001,A661)&gt;1,"Duplicate","Unique")</f>
        <v>Unique</v>
      </c>
      <c r="V661" s="9" t="str">
        <f aca="false">IF(COUNTIFS($B$2:$B$5001,B661,$H$2:$H$5001,H661,$J$2:$J$5001,J661)&gt;1,"Possible Duplicate Booking","Unique")</f>
        <v>Unique</v>
      </c>
      <c r="W661" s="9" t="str">
        <f aca="false">IF((H661-G661)&lt;&gt;K661,"Mismatch","OK")</f>
        <v>OK</v>
      </c>
      <c r="X661" s="9" t="str">
        <f aca="false">IF(TEXT(H661,"dddd")&lt;&gt;I661,"Mismatch","OK")</f>
        <v>OK</v>
      </c>
      <c r="Y661" s="9" t="str">
        <f aca="false">IF(AND(N661="No",O661&lt;&gt;""),"Unexpected: channel present but no reminder sent",IF(AND(N661="Yes",O661=""),"Missing channel for sent reminder","OK"))</f>
        <v>OK</v>
      </c>
    </row>
    <row r="662" customFormat="false" ht="15" hidden="false" customHeight="false" outlineLevel="0" collapsed="false">
      <c r="A662" s="7" t="s">
        <v>1290</v>
      </c>
      <c r="B662" s="7" t="s">
        <v>1291</v>
      </c>
      <c r="C662" s="7" t="s">
        <v>47</v>
      </c>
      <c r="D662" s="7" t="n">
        <v>54</v>
      </c>
      <c r="E662" s="7" t="s">
        <v>56</v>
      </c>
      <c r="F662" s="7" t="s">
        <v>57</v>
      </c>
      <c r="G662" s="8" t="n">
        <v>45747</v>
      </c>
      <c r="H662" s="8" t="n">
        <v>45754</v>
      </c>
      <c r="I662" s="7" t="s">
        <v>66</v>
      </c>
      <c r="J662" s="7" t="s">
        <v>51</v>
      </c>
      <c r="K662" s="7" t="n">
        <v>7</v>
      </c>
      <c r="L662" s="7" t="n">
        <v>3</v>
      </c>
      <c r="M662" s="7" t="n">
        <v>0</v>
      </c>
      <c r="N662" s="7" t="s">
        <v>42</v>
      </c>
      <c r="O662" s="7" t="s">
        <v>52</v>
      </c>
      <c r="P662" s="7" t="n">
        <v>13.9</v>
      </c>
      <c r="Q662" s="7" t="n">
        <v>25</v>
      </c>
      <c r="R662" s="7" t="s">
        <v>44</v>
      </c>
      <c r="S662" s="7"/>
      <c r="T662" s="7"/>
      <c r="U662" s="7" t="str">
        <f aca="false">IF(COUNTIF($A$2:$A$5001,A662)&gt;1,"Duplicate","Unique")</f>
        <v>Unique</v>
      </c>
      <c r="V662" s="7" t="str">
        <f aca="false">IF(COUNTIFS($B$2:$B$5001,B662,$H$2:$H$5001,H662,$J$2:$J$5001,J662)&gt;1,"Possible Duplicate Booking","Unique")</f>
        <v>Unique</v>
      </c>
      <c r="W662" s="7" t="str">
        <f aca="false">IF((H662-G662)&lt;&gt;K662,"Mismatch","OK")</f>
        <v>OK</v>
      </c>
      <c r="X662" s="7" t="str">
        <f aca="false">IF(TEXT(H662,"dddd")&lt;&gt;I662,"Mismatch","OK")</f>
        <v>OK</v>
      </c>
      <c r="Y662" s="7" t="str">
        <f aca="false">IF(AND(N662="No",O662&lt;&gt;""),"Unexpected: channel present but no reminder sent",IF(AND(N662="Yes",O662=""),"Missing channel for sent reminder","OK"))</f>
        <v>OK</v>
      </c>
    </row>
    <row r="663" customFormat="false" ht="15" hidden="false" customHeight="false" outlineLevel="0" collapsed="false">
      <c r="A663" s="9" t="s">
        <v>1292</v>
      </c>
      <c r="B663" s="9" t="s">
        <v>1293</v>
      </c>
      <c r="C663" s="9" t="s">
        <v>47</v>
      </c>
      <c r="D663" s="9" t="n">
        <v>66</v>
      </c>
      <c r="E663" s="9" t="s">
        <v>70</v>
      </c>
      <c r="F663" s="9" t="s">
        <v>39</v>
      </c>
      <c r="G663" s="10" t="n">
        <v>46046</v>
      </c>
      <c r="H663" s="10" t="n">
        <v>46059</v>
      </c>
      <c r="I663" s="9" t="s">
        <v>50</v>
      </c>
      <c r="J663" s="9" t="s">
        <v>51</v>
      </c>
      <c r="K663" s="9" t="n">
        <v>13</v>
      </c>
      <c r="L663" s="9" t="n">
        <v>0</v>
      </c>
      <c r="M663" s="9" t="n">
        <v>0</v>
      </c>
      <c r="N663" s="9" t="s">
        <v>42</v>
      </c>
      <c r="O663" s="9" t="s">
        <v>43</v>
      </c>
      <c r="P663" s="9" t="n">
        <v>15</v>
      </c>
      <c r="Q663" s="9" t="n">
        <v>5</v>
      </c>
      <c r="R663" s="9" t="s">
        <v>53</v>
      </c>
      <c r="S663" s="9"/>
      <c r="T663" s="9"/>
      <c r="U663" s="9" t="str">
        <f aca="false">IF(COUNTIF($A$2:$A$5001,A663)&gt;1,"Duplicate","Unique")</f>
        <v>Unique</v>
      </c>
      <c r="V663" s="9" t="str">
        <f aca="false">IF(COUNTIFS($B$2:$B$5001,B663,$H$2:$H$5001,H663,$J$2:$J$5001,J663)&gt;1,"Possible Duplicate Booking","Unique")</f>
        <v>Unique</v>
      </c>
      <c r="W663" s="9" t="str">
        <f aca="false">IF((H663-G663)&lt;&gt;K663,"Mismatch","OK")</f>
        <v>OK</v>
      </c>
      <c r="X663" s="9" t="str">
        <f aca="false">IF(TEXT(H663,"dddd")&lt;&gt;I663,"Mismatch","OK")</f>
        <v>OK</v>
      </c>
      <c r="Y663" s="9" t="str">
        <f aca="false">IF(AND(N663="No",O663&lt;&gt;""),"Unexpected: channel present but no reminder sent",IF(AND(N663="Yes",O663=""),"Missing channel for sent reminder","OK"))</f>
        <v>OK</v>
      </c>
    </row>
    <row r="664" customFormat="false" ht="15" hidden="false" customHeight="false" outlineLevel="0" collapsed="false">
      <c r="A664" s="7" t="s">
        <v>1294</v>
      </c>
      <c r="B664" s="7" t="s">
        <v>1295</v>
      </c>
      <c r="C664" s="7" t="s">
        <v>236</v>
      </c>
      <c r="D664" s="7" t="n">
        <v>34</v>
      </c>
      <c r="E664" s="7" t="s">
        <v>48</v>
      </c>
      <c r="F664" s="7" t="s">
        <v>57</v>
      </c>
      <c r="G664" s="8" t="n">
        <v>45625</v>
      </c>
      <c r="H664" s="8" t="n">
        <v>45677</v>
      </c>
      <c r="I664" s="7" t="s">
        <v>66</v>
      </c>
      <c r="J664" s="7" t="s">
        <v>41</v>
      </c>
      <c r="K664" s="7" t="n">
        <v>52</v>
      </c>
      <c r="L664" s="7" t="n">
        <v>3</v>
      </c>
      <c r="M664" s="7" t="n">
        <v>2</v>
      </c>
      <c r="N664" s="7" t="s">
        <v>42</v>
      </c>
      <c r="O664" s="7" t="s">
        <v>43</v>
      </c>
      <c r="P664" s="7" t="n">
        <v>5</v>
      </c>
      <c r="Q664" s="7" t="n">
        <v>51</v>
      </c>
      <c r="R664" s="7" t="s">
        <v>44</v>
      </c>
      <c r="S664" s="7"/>
      <c r="T664" s="7"/>
      <c r="U664" s="7" t="str">
        <f aca="false">IF(COUNTIF($A$2:$A$5001,A664)&gt;1,"Duplicate","Unique")</f>
        <v>Unique</v>
      </c>
      <c r="V664" s="7" t="str">
        <f aca="false">IF(COUNTIFS($B$2:$B$5001,B664,$H$2:$H$5001,H664,$J$2:$J$5001,J664)&gt;1,"Possible Duplicate Booking","Unique")</f>
        <v>Unique</v>
      </c>
      <c r="W664" s="7" t="str">
        <f aca="false">IF((H664-G664)&lt;&gt;K664,"Mismatch","OK")</f>
        <v>OK</v>
      </c>
      <c r="X664" s="7" t="str">
        <f aca="false">IF(TEXT(H664,"dddd")&lt;&gt;I664,"Mismatch","OK")</f>
        <v>OK</v>
      </c>
      <c r="Y664" s="7" t="str">
        <f aca="false">IF(AND(N664="No",O664&lt;&gt;""),"Unexpected: channel present but no reminder sent",IF(AND(N664="Yes",O664=""),"Missing channel for sent reminder","OK"))</f>
        <v>OK</v>
      </c>
    </row>
    <row r="665" customFormat="false" ht="15" hidden="false" customHeight="false" outlineLevel="0" collapsed="false">
      <c r="A665" s="9" t="s">
        <v>1296</v>
      </c>
      <c r="B665" s="9" t="s">
        <v>1297</v>
      </c>
      <c r="C665" s="9" t="s">
        <v>47</v>
      </c>
      <c r="D665" s="9" t="n">
        <v>64</v>
      </c>
      <c r="E665" s="9" t="s">
        <v>61</v>
      </c>
      <c r="F665" s="9" t="s">
        <v>57</v>
      </c>
      <c r="G665" s="10" t="n">
        <v>45741</v>
      </c>
      <c r="H665" s="10" t="n">
        <v>45768</v>
      </c>
      <c r="I665" s="9" t="s">
        <v>66</v>
      </c>
      <c r="J665" s="9" t="s">
        <v>51</v>
      </c>
      <c r="K665" s="9" t="n">
        <v>27</v>
      </c>
      <c r="L665" s="9" t="n">
        <v>4</v>
      </c>
      <c r="M665" s="9" t="n">
        <v>1</v>
      </c>
      <c r="N665" s="9" t="s">
        <v>71</v>
      </c>
      <c r="O665" s="9"/>
      <c r="P665" s="9" t="n">
        <v>11.1</v>
      </c>
      <c r="Q665" s="9" t="n">
        <v>19</v>
      </c>
      <c r="R665" s="9" t="s">
        <v>53</v>
      </c>
      <c r="S665" s="9"/>
      <c r="T665" s="9"/>
      <c r="U665" s="9" t="str">
        <f aca="false">IF(COUNTIF($A$2:$A$5001,A665)&gt;1,"Duplicate","Unique")</f>
        <v>Unique</v>
      </c>
      <c r="V665" s="9" t="str">
        <f aca="false">IF(COUNTIFS($B$2:$B$5001,B665,$H$2:$H$5001,H665,$J$2:$J$5001,J665)&gt;1,"Possible Duplicate Booking","Unique")</f>
        <v>Possible Duplicate Booking</v>
      </c>
      <c r="W665" s="9" t="str">
        <f aca="false">IF((H665-G665)&lt;&gt;K665,"Mismatch","OK")</f>
        <v>OK</v>
      </c>
      <c r="X665" s="9" t="str">
        <f aca="false">IF(TEXT(H665,"dddd")&lt;&gt;I665,"Mismatch","OK")</f>
        <v>OK</v>
      </c>
      <c r="Y665" s="9" t="str">
        <f aca="false">IF(AND(N665="No",O665&lt;&gt;""),"Unexpected: channel present but no reminder sent",IF(AND(N665="Yes",O665=""),"Missing channel for sent reminder","OK"))</f>
        <v>OK</v>
      </c>
    </row>
    <row r="666" customFormat="false" ht="15" hidden="false" customHeight="false" outlineLevel="0" collapsed="false">
      <c r="A666" s="7" t="s">
        <v>1298</v>
      </c>
      <c r="B666" s="7" t="s">
        <v>225</v>
      </c>
      <c r="C666" s="7" t="s">
        <v>37</v>
      </c>
      <c r="D666" s="7" t="n">
        <v>35</v>
      </c>
      <c r="E666" s="7" t="s">
        <v>38</v>
      </c>
      <c r="F666" s="7" t="s">
        <v>57</v>
      </c>
      <c r="G666" s="8" t="n">
        <v>45951</v>
      </c>
      <c r="H666" s="8" t="n">
        <v>45984</v>
      </c>
      <c r="I666" s="7" t="s">
        <v>75</v>
      </c>
      <c r="J666" s="7" t="s">
        <v>51</v>
      </c>
      <c r="K666" s="7" t="n">
        <v>33</v>
      </c>
      <c r="L666" s="7" t="n">
        <v>2</v>
      </c>
      <c r="M666" s="7" t="n">
        <v>0</v>
      </c>
      <c r="N666" s="7" t="s">
        <v>71</v>
      </c>
      <c r="O666" s="7"/>
      <c r="P666" s="7" t="n">
        <v>22</v>
      </c>
      <c r="Q666" s="7" t="n">
        <v>40</v>
      </c>
      <c r="R666" s="7" t="s">
        <v>53</v>
      </c>
      <c r="S666" s="7"/>
      <c r="T666" s="7"/>
      <c r="U666" s="7" t="str">
        <f aca="false">IF(COUNTIF($A$2:$A$5001,A666)&gt;1,"Duplicate","Unique")</f>
        <v>Unique</v>
      </c>
      <c r="V666" s="7" t="str">
        <f aca="false">IF(COUNTIFS($B$2:$B$5001,B666,$H$2:$H$5001,H666,$J$2:$J$5001,J666)&gt;1,"Possible Duplicate Booking","Unique")</f>
        <v>Unique</v>
      </c>
      <c r="W666" s="7" t="str">
        <f aca="false">IF((H666-G666)&lt;&gt;K666,"Mismatch","OK")</f>
        <v>OK</v>
      </c>
      <c r="X666" s="7" t="str">
        <f aca="false">IF(TEXT(H666,"dddd")&lt;&gt;I666,"Mismatch","OK")</f>
        <v>OK</v>
      </c>
      <c r="Y666" s="7" t="str">
        <f aca="false">IF(AND(N666="No",O666&lt;&gt;""),"Unexpected: channel present but no reminder sent",IF(AND(N666="Yes",O666=""),"Missing channel for sent reminder","OK"))</f>
        <v>OK</v>
      </c>
    </row>
    <row r="667" customFormat="false" ht="15" hidden="false" customHeight="false" outlineLevel="0" collapsed="false">
      <c r="A667" s="9" t="s">
        <v>1299</v>
      </c>
      <c r="B667" s="9" t="s">
        <v>764</v>
      </c>
      <c r="C667" s="9" t="s">
        <v>37</v>
      </c>
      <c r="D667" s="9" t="n">
        <v>33</v>
      </c>
      <c r="E667" s="9" t="s">
        <v>48</v>
      </c>
      <c r="F667" s="9" t="s">
        <v>39</v>
      </c>
      <c r="G667" s="10" t="n">
        <v>46009</v>
      </c>
      <c r="H667" s="10" t="n">
        <v>46037</v>
      </c>
      <c r="I667" s="9" t="s">
        <v>62</v>
      </c>
      <c r="J667" s="9" t="s">
        <v>41</v>
      </c>
      <c r="K667" s="9" t="n">
        <v>28</v>
      </c>
      <c r="L667" s="9" t="n">
        <v>5</v>
      </c>
      <c r="M667" s="9" t="n">
        <v>3</v>
      </c>
      <c r="N667" s="9" t="s">
        <v>42</v>
      </c>
      <c r="O667" s="9" t="s">
        <v>43</v>
      </c>
      <c r="P667" s="9" t="n">
        <v>5.9</v>
      </c>
      <c r="Q667" s="9" t="n">
        <v>7</v>
      </c>
      <c r="R667" s="9" t="s">
        <v>44</v>
      </c>
      <c r="S667" s="9"/>
      <c r="T667" s="9"/>
      <c r="U667" s="9" t="str">
        <f aca="false">IF(COUNTIF($A$2:$A$5001,A667)&gt;1,"Duplicate","Unique")</f>
        <v>Unique</v>
      </c>
      <c r="V667" s="9" t="str">
        <f aca="false">IF(COUNTIFS($B$2:$B$5001,B667,$H$2:$H$5001,H667,$J$2:$J$5001,J667)&gt;1,"Possible Duplicate Booking","Unique")</f>
        <v>Unique</v>
      </c>
      <c r="W667" s="9" t="str">
        <f aca="false">IF((H667-G667)&lt;&gt;K667,"Mismatch","OK")</f>
        <v>OK</v>
      </c>
      <c r="X667" s="9" t="str">
        <f aca="false">IF(TEXT(H667,"dddd")&lt;&gt;I667,"Mismatch","OK")</f>
        <v>OK</v>
      </c>
      <c r="Y667" s="9" t="str">
        <f aca="false">IF(AND(N667="No",O667&lt;&gt;""),"Unexpected: channel present but no reminder sent",IF(AND(N667="Yes",O667=""),"Missing channel for sent reminder","OK"))</f>
        <v>OK</v>
      </c>
    </row>
    <row r="668" customFormat="false" ht="15" hidden="false" customHeight="false" outlineLevel="0" collapsed="false">
      <c r="A668" s="7" t="s">
        <v>1300</v>
      </c>
      <c r="B668" s="7" t="s">
        <v>1301</v>
      </c>
      <c r="C668" s="7" t="s">
        <v>47</v>
      </c>
      <c r="D668" s="7" t="n">
        <v>46</v>
      </c>
      <c r="E668" s="7" t="s">
        <v>56</v>
      </c>
      <c r="F668" s="7" t="s">
        <v>39</v>
      </c>
      <c r="G668" s="8" t="n">
        <v>45920</v>
      </c>
      <c r="H668" s="8" t="n">
        <v>45932</v>
      </c>
      <c r="I668" s="7" t="s">
        <v>62</v>
      </c>
      <c r="J668" s="7" t="s">
        <v>51</v>
      </c>
      <c r="K668" s="7" t="n">
        <v>12</v>
      </c>
      <c r="L668" s="7" t="n">
        <v>4</v>
      </c>
      <c r="M668" s="7" t="n">
        <v>0</v>
      </c>
      <c r="N668" s="7" t="s">
        <v>42</v>
      </c>
      <c r="O668" s="7" t="s">
        <v>52</v>
      </c>
      <c r="P668" s="7" t="n">
        <v>13.2</v>
      </c>
      <c r="Q668" s="7" t="n">
        <v>17</v>
      </c>
      <c r="R668" s="7" t="s">
        <v>53</v>
      </c>
      <c r="S668" s="7"/>
      <c r="T668" s="7"/>
      <c r="U668" s="7" t="str">
        <f aca="false">IF(COUNTIF($A$2:$A$5001,A668)&gt;1,"Duplicate","Unique")</f>
        <v>Unique</v>
      </c>
      <c r="V668" s="7" t="str">
        <f aca="false">IF(COUNTIFS($B$2:$B$5001,B668,$H$2:$H$5001,H668,$J$2:$J$5001,J668)&gt;1,"Possible Duplicate Booking","Unique")</f>
        <v>Unique</v>
      </c>
      <c r="W668" s="7" t="str">
        <f aca="false">IF((H668-G668)&lt;&gt;K668,"Mismatch","OK")</f>
        <v>OK</v>
      </c>
      <c r="X668" s="7" t="str">
        <f aca="false">IF(TEXT(H668,"dddd")&lt;&gt;I668,"Mismatch","OK")</f>
        <v>OK</v>
      </c>
      <c r="Y668" s="7" t="str">
        <f aca="false">IF(AND(N668="No",O668&lt;&gt;""),"Unexpected: channel present but no reminder sent",IF(AND(N668="Yes",O668=""),"Missing channel for sent reminder","OK"))</f>
        <v>OK</v>
      </c>
    </row>
    <row r="669" customFormat="false" ht="15" hidden="false" customHeight="false" outlineLevel="0" collapsed="false">
      <c r="A669" s="9" t="s">
        <v>1302</v>
      </c>
      <c r="B669" s="9" t="s">
        <v>1303</v>
      </c>
      <c r="C669" s="9" t="s">
        <v>47</v>
      </c>
      <c r="D669" s="9" t="n">
        <v>28</v>
      </c>
      <c r="E669" s="9" t="s">
        <v>48</v>
      </c>
      <c r="F669" s="9" t="s">
        <v>74</v>
      </c>
      <c r="G669" s="10" t="n">
        <v>46077</v>
      </c>
      <c r="H669" s="10" t="n">
        <v>46127</v>
      </c>
      <c r="I669" s="9" t="s">
        <v>58</v>
      </c>
      <c r="J669" s="9" t="s">
        <v>51</v>
      </c>
      <c r="K669" s="9" t="n">
        <v>50</v>
      </c>
      <c r="L669" s="9" t="n">
        <v>3</v>
      </c>
      <c r="M669" s="9" t="n">
        <v>2</v>
      </c>
      <c r="N669" s="9" t="s">
        <v>42</v>
      </c>
      <c r="O669" s="9" t="s">
        <v>52</v>
      </c>
      <c r="P669" s="9" t="n">
        <v>9.1</v>
      </c>
      <c r="Q669" s="9" t="n">
        <v>33</v>
      </c>
      <c r="R669" s="9" t="s">
        <v>44</v>
      </c>
      <c r="S669" s="9"/>
      <c r="T669" s="9"/>
      <c r="U669" s="9" t="str">
        <f aca="false">IF(COUNTIF($A$2:$A$5001,A669)&gt;1,"Duplicate","Unique")</f>
        <v>Unique</v>
      </c>
      <c r="V669" s="9" t="str">
        <f aca="false">IF(COUNTIFS($B$2:$B$5001,B669,$H$2:$H$5001,H669,$J$2:$J$5001,J669)&gt;1,"Possible Duplicate Booking","Unique")</f>
        <v>Unique</v>
      </c>
      <c r="W669" s="9" t="str">
        <f aca="false">IF((H669-G669)&lt;&gt;K669,"Mismatch","OK")</f>
        <v>OK</v>
      </c>
      <c r="X669" s="9" t="str">
        <f aca="false">IF(TEXT(H669,"dddd")&lt;&gt;I669,"Mismatch","OK")</f>
        <v>OK</v>
      </c>
      <c r="Y669" s="9" t="str">
        <f aca="false">IF(AND(N669="No",O669&lt;&gt;""),"Unexpected: channel present but no reminder sent",IF(AND(N669="Yes",O669=""),"Missing channel for sent reminder","OK"))</f>
        <v>OK</v>
      </c>
    </row>
    <row r="670" customFormat="false" ht="15" hidden="false" customHeight="false" outlineLevel="0" collapsed="false">
      <c r="A670" s="7" t="s">
        <v>1304</v>
      </c>
      <c r="B670" s="7" t="s">
        <v>1305</v>
      </c>
      <c r="C670" s="7" t="s">
        <v>47</v>
      </c>
      <c r="D670" s="7" t="n">
        <v>43</v>
      </c>
      <c r="E670" s="7" t="s">
        <v>38</v>
      </c>
      <c r="F670" s="7" t="s">
        <v>57</v>
      </c>
      <c r="G670" s="8" t="n">
        <v>46113</v>
      </c>
      <c r="H670" s="8" t="n">
        <v>46159</v>
      </c>
      <c r="I670" s="7" t="s">
        <v>75</v>
      </c>
      <c r="J670" s="7" t="s">
        <v>41</v>
      </c>
      <c r="K670" s="7" t="n">
        <v>46</v>
      </c>
      <c r="L670" s="7" t="n">
        <v>1</v>
      </c>
      <c r="M670" s="7" t="n">
        <v>1</v>
      </c>
      <c r="N670" s="7" t="s">
        <v>71</v>
      </c>
      <c r="O670" s="7"/>
      <c r="P670" s="7" t="n">
        <v>28.7</v>
      </c>
      <c r="Q670" s="7" t="n">
        <v>22</v>
      </c>
      <c r="R670" s="7" t="s">
        <v>44</v>
      </c>
      <c r="S670" s="7"/>
      <c r="T670" s="7"/>
      <c r="U670" s="7" t="str">
        <f aca="false">IF(COUNTIF($A$2:$A$5001,A670)&gt;1,"Duplicate","Unique")</f>
        <v>Unique</v>
      </c>
      <c r="V670" s="7" t="str">
        <f aca="false">IF(COUNTIFS($B$2:$B$5001,B670,$H$2:$H$5001,H670,$J$2:$J$5001,J670)&gt;1,"Possible Duplicate Booking","Unique")</f>
        <v>Unique</v>
      </c>
      <c r="W670" s="7" t="str">
        <f aca="false">IF((H670-G670)&lt;&gt;K670,"Mismatch","OK")</f>
        <v>OK</v>
      </c>
      <c r="X670" s="7" t="str">
        <f aca="false">IF(TEXT(H670,"dddd")&lt;&gt;I670,"Mismatch","OK")</f>
        <v>OK</v>
      </c>
      <c r="Y670" s="7" t="str">
        <f aca="false">IF(AND(N670="No",O670&lt;&gt;""),"Unexpected: channel present but no reminder sent",IF(AND(N670="Yes",O670=""),"Missing channel for sent reminder","OK"))</f>
        <v>OK</v>
      </c>
    </row>
    <row r="671" customFormat="false" ht="15" hidden="false" customHeight="false" outlineLevel="0" collapsed="false">
      <c r="A671" s="9" t="s">
        <v>1306</v>
      </c>
      <c r="B671" s="9" t="s">
        <v>1307</v>
      </c>
      <c r="C671" s="9" t="s">
        <v>47</v>
      </c>
      <c r="D671" s="9" t="n">
        <v>40</v>
      </c>
      <c r="E671" s="9" t="s">
        <v>38</v>
      </c>
      <c r="F671" s="9" t="s">
        <v>57</v>
      </c>
      <c r="G671" s="10" t="n">
        <v>45689</v>
      </c>
      <c r="H671" s="10" t="n">
        <v>45730</v>
      </c>
      <c r="I671" s="9" t="s">
        <v>50</v>
      </c>
      <c r="J671" s="9" t="s">
        <v>51</v>
      </c>
      <c r="K671" s="9" t="n">
        <v>41</v>
      </c>
      <c r="L671" s="9" t="n">
        <v>5</v>
      </c>
      <c r="M671" s="9" t="n">
        <v>1</v>
      </c>
      <c r="N671" s="9" t="s">
        <v>42</v>
      </c>
      <c r="O671" s="9" t="s">
        <v>52</v>
      </c>
      <c r="P671" s="9" t="n">
        <v>1.2</v>
      </c>
      <c r="Q671" s="9" t="n">
        <v>33</v>
      </c>
      <c r="R671" s="9" t="s">
        <v>44</v>
      </c>
      <c r="S671" s="9"/>
      <c r="T671" s="9"/>
      <c r="U671" s="9" t="str">
        <f aca="false">IF(COUNTIF($A$2:$A$5001,A671)&gt;1,"Duplicate","Unique")</f>
        <v>Unique</v>
      </c>
      <c r="V671" s="9" t="str">
        <f aca="false">IF(COUNTIFS($B$2:$B$5001,B671,$H$2:$H$5001,H671,$J$2:$J$5001,J671)&gt;1,"Possible Duplicate Booking","Unique")</f>
        <v>Unique</v>
      </c>
      <c r="W671" s="9" t="str">
        <f aca="false">IF((H671-G671)&lt;&gt;K671,"Mismatch","OK")</f>
        <v>OK</v>
      </c>
      <c r="X671" s="9" t="str">
        <f aca="false">IF(TEXT(H671,"dddd")&lt;&gt;I671,"Mismatch","OK")</f>
        <v>OK</v>
      </c>
      <c r="Y671" s="9" t="str">
        <f aca="false">IF(AND(N671="No",O671&lt;&gt;""),"Unexpected: channel present but no reminder sent",IF(AND(N671="Yes",O671=""),"Missing channel for sent reminder","OK"))</f>
        <v>OK</v>
      </c>
    </row>
    <row r="672" customFormat="false" ht="15" hidden="false" customHeight="false" outlineLevel="0" collapsed="false">
      <c r="A672" s="7" t="s">
        <v>1308</v>
      </c>
      <c r="B672" s="7" t="s">
        <v>786</v>
      </c>
      <c r="C672" s="7" t="s">
        <v>47</v>
      </c>
      <c r="D672" s="7" t="n">
        <v>35</v>
      </c>
      <c r="E672" s="7" t="s">
        <v>38</v>
      </c>
      <c r="F672" s="7" t="s">
        <v>74</v>
      </c>
      <c r="G672" s="8" t="n">
        <v>46157</v>
      </c>
      <c r="H672" s="8" t="n">
        <v>46178</v>
      </c>
      <c r="I672" s="7" t="s">
        <v>50</v>
      </c>
      <c r="J672" s="7" t="s">
        <v>63</v>
      </c>
      <c r="K672" s="7" t="n">
        <v>21</v>
      </c>
      <c r="L672" s="7" t="n">
        <v>3</v>
      </c>
      <c r="M672" s="7" t="n">
        <v>0</v>
      </c>
      <c r="N672" s="7" t="s">
        <v>71</v>
      </c>
      <c r="O672" s="7"/>
      <c r="P672" s="7" t="n">
        <v>10</v>
      </c>
      <c r="Q672" s="7" t="n">
        <v>31</v>
      </c>
      <c r="R672" s="7" t="s">
        <v>44</v>
      </c>
      <c r="S672" s="7"/>
      <c r="T672" s="7"/>
      <c r="U672" s="7" t="str">
        <f aca="false">IF(COUNTIF($A$2:$A$5001,A672)&gt;1,"Duplicate","Unique")</f>
        <v>Unique</v>
      </c>
      <c r="V672" s="7" t="str">
        <f aca="false">IF(COUNTIFS($B$2:$B$5001,B672,$H$2:$H$5001,H672,$J$2:$J$5001,J672)&gt;1,"Possible Duplicate Booking","Unique")</f>
        <v>Unique</v>
      </c>
      <c r="W672" s="7" t="str">
        <f aca="false">IF((H672-G672)&lt;&gt;K672,"Mismatch","OK")</f>
        <v>OK</v>
      </c>
      <c r="X672" s="7" t="str">
        <f aca="false">IF(TEXT(H672,"dddd")&lt;&gt;I672,"Mismatch","OK")</f>
        <v>OK</v>
      </c>
      <c r="Y672" s="7" t="str">
        <f aca="false">IF(AND(N672="No",O672&lt;&gt;""),"Unexpected: channel present but no reminder sent",IF(AND(N672="Yes",O672=""),"Missing channel for sent reminder","OK"))</f>
        <v>OK</v>
      </c>
    </row>
    <row r="673" customFormat="false" ht="15" hidden="false" customHeight="false" outlineLevel="0" collapsed="false">
      <c r="A673" s="9" t="s">
        <v>1309</v>
      </c>
      <c r="B673" s="9" t="s">
        <v>1036</v>
      </c>
      <c r="C673" s="9" t="s">
        <v>47</v>
      </c>
      <c r="D673" s="9" t="n">
        <v>66</v>
      </c>
      <c r="E673" s="9" t="s">
        <v>70</v>
      </c>
      <c r="F673" s="9" t="s">
        <v>39</v>
      </c>
      <c r="G673" s="10" t="n">
        <v>45954</v>
      </c>
      <c r="H673" s="10" t="n">
        <v>45993</v>
      </c>
      <c r="I673" s="9" t="s">
        <v>40</v>
      </c>
      <c r="J673" s="9" t="s">
        <v>51</v>
      </c>
      <c r="K673" s="9" t="n">
        <v>39</v>
      </c>
      <c r="L673" s="9" t="n">
        <v>6</v>
      </c>
      <c r="M673" s="9" t="n">
        <v>2</v>
      </c>
      <c r="N673" s="9" t="s">
        <v>42</v>
      </c>
      <c r="O673" s="9" t="s">
        <v>52</v>
      </c>
      <c r="P673" s="9" t="n">
        <v>18.7</v>
      </c>
      <c r="Q673" s="9" t="n">
        <v>15</v>
      </c>
      <c r="R673" s="9" t="s">
        <v>44</v>
      </c>
      <c r="S673" s="9"/>
      <c r="T673" s="9"/>
      <c r="U673" s="9" t="str">
        <f aca="false">IF(COUNTIF($A$2:$A$5001,A673)&gt;1,"Duplicate","Unique")</f>
        <v>Unique</v>
      </c>
      <c r="V673" s="9" t="str">
        <f aca="false">IF(COUNTIFS($B$2:$B$5001,B673,$H$2:$H$5001,H673,$J$2:$J$5001,J673)&gt;1,"Possible Duplicate Booking","Unique")</f>
        <v>Unique</v>
      </c>
      <c r="W673" s="9" t="str">
        <f aca="false">IF((H673-G673)&lt;&gt;K673,"Mismatch","OK")</f>
        <v>OK</v>
      </c>
      <c r="X673" s="9" t="str">
        <f aca="false">IF(TEXT(H673,"dddd")&lt;&gt;I673,"Mismatch","OK")</f>
        <v>OK</v>
      </c>
      <c r="Y673" s="9" t="str">
        <f aca="false">IF(AND(N673="No",O673&lt;&gt;""),"Unexpected: channel present but no reminder sent",IF(AND(N673="Yes",O673=""),"Missing channel for sent reminder","OK"))</f>
        <v>OK</v>
      </c>
    </row>
    <row r="674" customFormat="false" ht="15" hidden="false" customHeight="false" outlineLevel="0" collapsed="false">
      <c r="A674" s="7" t="s">
        <v>1310</v>
      </c>
      <c r="B674" s="7" t="s">
        <v>472</v>
      </c>
      <c r="C674" s="7" t="s">
        <v>47</v>
      </c>
      <c r="D674" s="7" t="n">
        <v>38</v>
      </c>
      <c r="E674" s="7" t="s">
        <v>38</v>
      </c>
      <c r="F674" s="7" t="s">
        <v>39</v>
      </c>
      <c r="G674" s="8" t="n">
        <v>45947</v>
      </c>
      <c r="H674" s="8" t="n">
        <v>46005</v>
      </c>
      <c r="I674" s="7" t="s">
        <v>75</v>
      </c>
      <c r="J674" s="7" t="s">
        <v>41</v>
      </c>
      <c r="K674" s="7" t="n">
        <v>58</v>
      </c>
      <c r="L674" s="7" t="n">
        <v>5</v>
      </c>
      <c r="M674" s="7" t="n">
        <v>0</v>
      </c>
      <c r="N674" s="7" t="s">
        <v>42</v>
      </c>
      <c r="O674" s="7" t="s">
        <v>43</v>
      </c>
      <c r="P674" s="7" t="n">
        <v>4</v>
      </c>
      <c r="Q674" s="7" t="n">
        <v>38</v>
      </c>
      <c r="R674" s="7" t="s">
        <v>44</v>
      </c>
      <c r="S674" s="7"/>
      <c r="T674" s="7"/>
      <c r="U674" s="7" t="str">
        <f aca="false">IF(COUNTIF($A$2:$A$5001,A674)&gt;1,"Duplicate","Unique")</f>
        <v>Unique</v>
      </c>
      <c r="V674" s="7" t="str">
        <f aca="false">IF(COUNTIFS($B$2:$B$5001,B674,$H$2:$H$5001,H674,$J$2:$J$5001,J674)&gt;1,"Possible Duplicate Booking","Unique")</f>
        <v>Unique</v>
      </c>
      <c r="W674" s="7" t="str">
        <f aca="false">IF((H674-G674)&lt;&gt;K674,"Mismatch","OK")</f>
        <v>OK</v>
      </c>
      <c r="X674" s="7" t="str">
        <f aca="false">IF(TEXT(H674,"dddd")&lt;&gt;I674,"Mismatch","OK")</f>
        <v>OK</v>
      </c>
      <c r="Y674" s="7" t="str">
        <f aca="false">IF(AND(N674="No",O674&lt;&gt;""),"Unexpected: channel present but no reminder sent",IF(AND(N674="Yes",O674=""),"Missing channel for sent reminder","OK"))</f>
        <v>OK</v>
      </c>
    </row>
    <row r="675" customFormat="false" ht="15" hidden="false" customHeight="false" outlineLevel="0" collapsed="false">
      <c r="A675" s="9" t="s">
        <v>1311</v>
      </c>
      <c r="B675" s="9" t="s">
        <v>370</v>
      </c>
      <c r="C675" s="9" t="s">
        <v>47</v>
      </c>
      <c r="D675" s="9" t="n">
        <v>61</v>
      </c>
      <c r="E675" s="9" t="s">
        <v>61</v>
      </c>
      <c r="F675" s="9" t="s">
        <v>39</v>
      </c>
      <c r="G675" s="10" t="n">
        <v>45670</v>
      </c>
      <c r="H675" s="10" t="n">
        <v>45709</v>
      </c>
      <c r="I675" s="9" t="s">
        <v>50</v>
      </c>
      <c r="J675" s="9" t="s">
        <v>41</v>
      </c>
      <c r="K675" s="9" t="n">
        <v>39</v>
      </c>
      <c r="L675" s="9" t="n">
        <v>3</v>
      </c>
      <c r="M675" s="9" t="n">
        <v>0</v>
      </c>
      <c r="N675" s="9" t="s">
        <v>42</v>
      </c>
      <c r="O675" s="9" t="s">
        <v>52</v>
      </c>
      <c r="P675" s="9" t="n">
        <v>13.4</v>
      </c>
      <c r="Q675" s="9" t="n">
        <v>31</v>
      </c>
      <c r="R675" s="9" t="s">
        <v>44</v>
      </c>
      <c r="S675" s="9"/>
      <c r="T675" s="9"/>
      <c r="U675" s="9" t="str">
        <f aca="false">IF(COUNTIF($A$2:$A$5001,A675)&gt;1,"Duplicate","Unique")</f>
        <v>Unique</v>
      </c>
      <c r="V675" s="9" t="str">
        <f aca="false">IF(COUNTIFS($B$2:$B$5001,B675,$H$2:$H$5001,H675,$J$2:$J$5001,J675)&gt;1,"Possible Duplicate Booking","Unique")</f>
        <v>Unique</v>
      </c>
      <c r="W675" s="9" t="str">
        <f aca="false">IF((H675-G675)&lt;&gt;K675,"Mismatch","OK")</f>
        <v>OK</v>
      </c>
      <c r="X675" s="9" t="str">
        <f aca="false">IF(TEXT(H675,"dddd")&lt;&gt;I675,"Mismatch","OK")</f>
        <v>OK</v>
      </c>
      <c r="Y675" s="9" t="str">
        <f aca="false">IF(AND(N675="No",O675&lt;&gt;""),"Unexpected: channel present but no reminder sent",IF(AND(N675="Yes",O675=""),"Missing channel for sent reminder","OK"))</f>
        <v>OK</v>
      </c>
    </row>
    <row r="676" customFormat="false" ht="15" hidden="false" customHeight="false" outlineLevel="0" collapsed="false">
      <c r="A676" s="7" t="s">
        <v>1312</v>
      </c>
      <c r="B676" s="7" t="s">
        <v>1210</v>
      </c>
      <c r="C676" s="7" t="s">
        <v>37</v>
      </c>
      <c r="D676" s="7" t="n">
        <v>63</v>
      </c>
      <c r="E676" s="7" t="s">
        <v>61</v>
      </c>
      <c r="F676" s="7" t="s">
        <v>57</v>
      </c>
      <c r="G676" s="8" t="n">
        <v>45967</v>
      </c>
      <c r="H676" s="8" t="n">
        <v>45997</v>
      </c>
      <c r="I676" s="7" t="s">
        <v>102</v>
      </c>
      <c r="J676" s="7" t="s">
        <v>51</v>
      </c>
      <c r="K676" s="7" t="n">
        <v>30</v>
      </c>
      <c r="L676" s="7" t="n">
        <v>3</v>
      </c>
      <c r="M676" s="7" t="n">
        <v>0</v>
      </c>
      <c r="N676" s="7" t="s">
        <v>42</v>
      </c>
      <c r="O676" s="7" t="s">
        <v>67</v>
      </c>
      <c r="P676" s="7" t="n">
        <v>6</v>
      </c>
      <c r="Q676" s="7" t="n">
        <v>8</v>
      </c>
      <c r="R676" s="7" t="s">
        <v>53</v>
      </c>
      <c r="S676" s="7"/>
      <c r="T676" s="7"/>
      <c r="U676" s="7" t="str">
        <f aca="false">IF(COUNTIF($A$2:$A$5001,A676)&gt;1,"Duplicate","Unique")</f>
        <v>Unique</v>
      </c>
      <c r="V676" s="7" t="str">
        <f aca="false">IF(COUNTIFS($B$2:$B$5001,B676,$H$2:$H$5001,H676,$J$2:$J$5001,J676)&gt;1,"Possible Duplicate Booking","Unique")</f>
        <v>Unique</v>
      </c>
      <c r="W676" s="7" t="str">
        <f aca="false">IF((H676-G676)&lt;&gt;K676,"Mismatch","OK")</f>
        <v>OK</v>
      </c>
      <c r="X676" s="7" t="str">
        <f aca="false">IF(TEXT(H676,"dddd")&lt;&gt;I676,"Mismatch","OK")</f>
        <v>OK</v>
      </c>
      <c r="Y676" s="7" t="str">
        <f aca="false">IF(AND(N676="No",O676&lt;&gt;""),"Unexpected: channel present but no reminder sent",IF(AND(N676="Yes",O676=""),"Missing channel for sent reminder","OK"))</f>
        <v>OK</v>
      </c>
    </row>
    <row r="677" customFormat="false" ht="15" hidden="false" customHeight="false" outlineLevel="0" collapsed="false">
      <c r="A677" s="9" t="s">
        <v>1313</v>
      </c>
      <c r="B677" s="9" t="s">
        <v>1314</v>
      </c>
      <c r="C677" s="9" t="s">
        <v>37</v>
      </c>
      <c r="D677" s="9" t="n">
        <v>59</v>
      </c>
      <c r="E677" s="9" t="s">
        <v>61</v>
      </c>
      <c r="F677" s="9" t="s">
        <v>74</v>
      </c>
      <c r="G677" s="10" t="n">
        <v>46038</v>
      </c>
      <c r="H677" s="10" t="n">
        <v>46054</v>
      </c>
      <c r="I677" s="9" t="s">
        <v>75</v>
      </c>
      <c r="J677" s="9" t="s">
        <v>51</v>
      </c>
      <c r="K677" s="9" t="n">
        <v>16</v>
      </c>
      <c r="L677" s="9" t="n">
        <v>3</v>
      </c>
      <c r="M677" s="9" t="n">
        <v>0</v>
      </c>
      <c r="N677" s="9" t="s">
        <v>42</v>
      </c>
      <c r="O677" s="9" t="s">
        <v>67</v>
      </c>
      <c r="P677" s="9" t="n">
        <v>1.9</v>
      </c>
      <c r="Q677" s="9" t="n">
        <v>26</v>
      </c>
      <c r="R677" s="9" t="s">
        <v>53</v>
      </c>
      <c r="S677" s="9"/>
      <c r="T677" s="9"/>
      <c r="U677" s="9" t="str">
        <f aca="false">IF(COUNTIF($A$2:$A$5001,A677)&gt;1,"Duplicate","Unique")</f>
        <v>Unique</v>
      </c>
      <c r="V677" s="9" t="str">
        <f aca="false">IF(COUNTIFS($B$2:$B$5001,B677,$H$2:$H$5001,H677,$J$2:$J$5001,J677)&gt;1,"Possible Duplicate Booking","Unique")</f>
        <v>Unique</v>
      </c>
      <c r="W677" s="9" t="str">
        <f aca="false">IF((H677-G677)&lt;&gt;K677,"Mismatch","OK")</f>
        <v>OK</v>
      </c>
      <c r="X677" s="9" t="str">
        <f aca="false">IF(TEXT(H677,"dddd")&lt;&gt;I677,"Mismatch","OK")</f>
        <v>OK</v>
      </c>
      <c r="Y677" s="9" t="str">
        <f aca="false">IF(AND(N677="No",O677&lt;&gt;""),"Unexpected: channel present but no reminder sent",IF(AND(N677="Yes",O677=""),"Missing channel for sent reminder","OK"))</f>
        <v>OK</v>
      </c>
    </row>
    <row r="678" customFormat="false" ht="15" hidden="false" customHeight="false" outlineLevel="0" collapsed="false">
      <c r="A678" s="7" t="s">
        <v>1315</v>
      </c>
      <c r="B678" s="7" t="s">
        <v>630</v>
      </c>
      <c r="C678" s="7" t="s">
        <v>37</v>
      </c>
      <c r="D678" s="7" t="n">
        <v>34</v>
      </c>
      <c r="E678" s="7" t="s">
        <v>48</v>
      </c>
      <c r="F678" s="7" t="s">
        <v>39</v>
      </c>
      <c r="G678" s="8" t="n">
        <v>45944</v>
      </c>
      <c r="H678" s="8" t="n">
        <v>45975</v>
      </c>
      <c r="I678" s="7" t="s">
        <v>50</v>
      </c>
      <c r="J678" s="7" t="s">
        <v>41</v>
      </c>
      <c r="K678" s="7" t="n">
        <v>31</v>
      </c>
      <c r="L678" s="7" t="n">
        <v>1</v>
      </c>
      <c r="M678" s="7" t="n">
        <v>0</v>
      </c>
      <c r="N678" s="7" t="s">
        <v>42</v>
      </c>
      <c r="O678" s="7" t="s">
        <v>52</v>
      </c>
      <c r="P678" s="7" t="n">
        <v>5.9</v>
      </c>
      <c r="Q678" s="7" t="n">
        <v>32</v>
      </c>
      <c r="R678" s="7" t="s">
        <v>53</v>
      </c>
      <c r="S678" s="7"/>
      <c r="T678" s="7"/>
      <c r="U678" s="7" t="str">
        <f aca="false">IF(COUNTIF($A$2:$A$5001,A678)&gt;1,"Duplicate","Unique")</f>
        <v>Unique</v>
      </c>
      <c r="V678" s="7" t="str">
        <f aca="false">IF(COUNTIFS($B$2:$B$5001,B678,$H$2:$H$5001,H678,$J$2:$J$5001,J678)&gt;1,"Possible Duplicate Booking","Unique")</f>
        <v>Unique</v>
      </c>
      <c r="W678" s="7" t="str">
        <f aca="false">IF((H678-G678)&lt;&gt;K678,"Mismatch","OK")</f>
        <v>OK</v>
      </c>
      <c r="X678" s="7" t="str">
        <f aca="false">IF(TEXT(H678,"dddd")&lt;&gt;I678,"Mismatch","OK")</f>
        <v>OK</v>
      </c>
      <c r="Y678" s="7" t="str">
        <f aca="false">IF(AND(N678="No",O678&lt;&gt;""),"Unexpected: channel present but no reminder sent",IF(AND(N678="Yes",O678=""),"Missing channel for sent reminder","OK"))</f>
        <v>OK</v>
      </c>
    </row>
    <row r="679" customFormat="false" ht="15" hidden="false" customHeight="false" outlineLevel="0" collapsed="false">
      <c r="A679" s="9" t="s">
        <v>1316</v>
      </c>
      <c r="B679" s="9" t="s">
        <v>1155</v>
      </c>
      <c r="C679" s="9" t="s">
        <v>37</v>
      </c>
      <c r="D679" s="9" t="n">
        <v>70</v>
      </c>
      <c r="E679" s="9" t="s">
        <v>70</v>
      </c>
      <c r="F679" s="9" t="s">
        <v>39</v>
      </c>
      <c r="G679" s="10" t="n">
        <v>45682</v>
      </c>
      <c r="H679" s="10" t="n">
        <v>45704</v>
      </c>
      <c r="I679" s="9" t="s">
        <v>75</v>
      </c>
      <c r="J679" s="9" t="s">
        <v>51</v>
      </c>
      <c r="K679" s="9" t="n">
        <v>22</v>
      </c>
      <c r="L679" s="9" t="n">
        <v>0</v>
      </c>
      <c r="M679" s="9" t="n">
        <v>0</v>
      </c>
      <c r="N679" s="9" t="s">
        <v>42</v>
      </c>
      <c r="O679" s="9" t="s">
        <v>43</v>
      </c>
      <c r="P679" s="9" t="n">
        <v>4.2</v>
      </c>
      <c r="Q679" s="9" t="n">
        <v>23</v>
      </c>
      <c r="R679" s="9" t="s">
        <v>44</v>
      </c>
      <c r="S679" s="9"/>
      <c r="T679" s="9"/>
      <c r="U679" s="9" t="str">
        <f aca="false">IF(COUNTIF($A$2:$A$5001,A679)&gt;1,"Duplicate","Unique")</f>
        <v>Unique</v>
      </c>
      <c r="V679" s="9" t="str">
        <f aca="false">IF(COUNTIFS($B$2:$B$5001,B679,$H$2:$H$5001,H679,$J$2:$J$5001,J679)&gt;1,"Possible Duplicate Booking","Unique")</f>
        <v>Unique</v>
      </c>
      <c r="W679" s="9" t="str">
        <f aca="false">IF((H679-G679)&lt;&gt;K679,"Mismatch","OK")</f>
        <v>OK</v>
      </c>
      <c r="X679" s="9" t="str">
        <f aca="false">IF(TEXT(H679,"dddd")&lt;&gt;I679,"Mismatch","OK")</f>
        <v>OK</v>
      </c>
      <c r="Y679" s="9" t="str">
        <f aca="false">IF(AND(N679="No",O679&lt;&gt;""),"Unexpected: channel present but no reminder sent",IF(AND(N679="Yes",O679=""),"Missing channel for sent reminder","OK"))</f>
        <v>OK</v>
      </c>
    </row>
    <row r="680" customFormat="false" ht="15" hidden="false" customHeight="false" outlineLevel="0" collapsed="false">
      <c r="A680" s="7" t="s">
        <v>1317</v>
      </c>
      <c r="B680" s="7" t="s">
        <v>1318</v>
      </c>
      <c r="C680" s="7" t="s">
        <v>47</v>
      </c>
      <c r="D680" s="7" t="n">
        <v>32</v>
      </c>
      <c r="E680" s="7" t="s">
        <v>48</v>
      </c>
      <c r="F680" s="7" t="s">
        <v>39</v>
      </c>
      <c r="G680" s="8" t="n">
        <v>45906</v>
      </c>
      <c r="H680" s="8" t="n">
        <v>45943</v>
      </c>
      <c r="I680" s="7" t="s">
        <v>66</v>
      </c>
      <c r="J680" s="7" t="s">
        <v>51</v>
      </c>
      <c r="K680" s="7" t="n">
        <v>37</v>
      </c>
      <c r="L680" s="7" t="n">
        <v>4</v>
      </c>
      <c r="M680" s="7" t="n">
        <v>0</v>
      </c>
      <c r="N680" s="7" t="s">
        <v>42</v>
      </c>
      <c r="O680" s="7" t="s">
        <v>67</v>
      </c>
      <c r="P680" s="7" t="n">
        <v>16</v>
      </c>
      <c r="Q680" s="7" t="n">
        <v>25</v>
      </c>
      <c r="R680" s="7" t="s">
        <v>44</v>
      </c>
      <c r="S680" s="7"/>
      <c r="T680" s="7"/>
      <c r="U680" s="7" t="str">
        <f aca="false">IF(COUNTIF($A$2:$A$5001,A680)&gt;1,"Duplicate","Unique")</f>
        <v>Unique</v>
      </c>
      <c r="V680" s="7" t="str">
        <f aca="false">IF(COUNTIFS($B$2:$B$5001,B680,$H$2:$H$5001,H680,$J$2:$J$5001,J680)&gt;1,"Possible Duplicate Booking","Unique")</f>
        <v>Unique</v>
      </c>
      <c r="W680" s="7" t="str">
        <f aca="false">IF((H680-G680)&lt;&gt;K680,"Mismatch","OK")</f>
        <v>OK</v>
      </c>
      <c r="X680" s="7" t="str">
        <f aca="false">IF(TEXT(H680,"dddd")&lt;&gt;I680,"Mismatch","OK")</f>
        <v>OK</v>
      </c>
      <c r="Y680" s="7" t="str">
        <f aca="false">IF(AND(N680="No",O680&lt;&gt;""),"Unexpected: channel present but no reminder sent",IF(AND(N680="Yes",O680=""),"Missing channel for sent reminder","OK"))</f>
        <v>OK</v>
      </c>
    </row>
    <row r="681" customFormat="false" ht="15" hidden="false" customHeight="false" outlineLevel="0" collapsed="false">
      <c r="A681" s="9" t="s">
        <v>1319</v>
      </c>
      <c r="B681" s="9" t="s">
        <v>1320</v>
      </c>
      <c r="C681" s="9" t="s">
        <v>47</v>
      </c>
      <c r="D681" s="9" t="n">
        <v>35</v>
      </c>
      <c r="E681" s="9" t="s">
        <v>38</v>
      </c>
      <c r="F681" s="9" t="s">
        <v>57</v>
      </c>
      <c r="G681" s="10" t="n">
        <v>46167</v>
      </c>
      <c r="H681" s="10" t="n">
        <v>46169</v>
      </c>
      <c r="I681" s="9" t="s">
        <v>58</v>
      </c>
      <c r="J681" s="9" t="s">
        <v>63</v>
      </c>
      <c r="K681" s="9" t="n">
        <v>2</v>
      </c>
      <c r="L681" s="9" t="n">
        <v>5</v>
      </c>
      <c r="M681" s="9" t="n">
        <v>1</v>
      </c>
      <c r="N681" s="9" t="s">
        <v>71</v>
      </c>
      <c r="O681" s="9"/>
      <c r="P681" s="9" t="n">
        <v>29</v>
      </c>
      <c r="Q681" s="9" t="n">
        <v>30</v>
      </c>
      <c r="R681" s="9" t="s">
        <v>53</v>
      </c>
      <c r="S681" s="9"/>
      <c r="T681" s="9"/>
      <c r="U681" s="9" t="str">
        <f aca="false">IF(COUNTIF($A$2:$A$5001,A681)&gt;1,"Duplicate","Unique")</f>
        <v>Unique</v>
      </c>
      <c r="V681" s="9" t="str">
        <f aca="false">IF(COUNTIFS($B$2:$B$5001,B681,$H$2:$H$5001,H681,$J$2:$J$5001,J681)&gt;1,"Possible Duplicate Booking","Unique")</f>
        <v>Unique</v>
      </c>
      <c r="W681" s="9" t="str">
        <f aca="false">IF((H681-G681)&lt;&gt;K681,"Mismatch","OK")</f>
        <v>OK</v>
      </c>
      <c r="X681" s="9" t="str">
        <f aca="false">IF(TEXT(H681,"dddd")&lt;&gt;I681,"Mismatch","OK")</f>
        <v>OK</v>
      </c>
      <c r="Y681" s="9" t="str">
        <f aca="false">IF(AND(N681="No",O681&lt;&gt;""),"Unexpected: channel present but no reminder sent",IF(AND(N681="Yes",O681=""),"Missing channel for sent reminder","OK"))</f>
        <v>OK</v>
      </c>
    </row>
    <row r="682" customFormat="false" ht="15" hidden="false" customHeight="false" outlineLevel="0" collapsed="false">
      <c r="A682" s="7" t="s">
        <v>1321</v>
      </c>
      <c r="B682" s="7" t="s">
        <v>1322</v>
      </c>
      <c r="C682" s="7" t="s">
        <v>37</v>
      </c>
      <c r="D682" s="7" t="n">
        <v>73</v>
      </c>
      <c r="E682" s="7" t="s">
        <v>70</v>
      </c>
      <c r="F682" s="7" t="s">
        <v>57</v>
      </c>
      <c r="G682" s="8" t="n">
        <v>46041</v>
      </c>
      <c r="H682" s="8" t="n">
        <v>46052</v>
      </c>
      <c r="I682" s="7" t="s">
        <v>50</v>
      </c>
      <c r="J682" s="7" t="s">
        <v>41</v>
      </c>
      <c r="K682" s="7" t="n">
        <v>11</v>
      </c>
      <c r="L682" s="7" t="n">
        <v>1</v>
      </c>
      <c r="M682" s="7" t="n">
        <v>0</v>
      </c>
      <c r="N682" s="7" t="s">
        <v>42</v>
      </c>
      <c r="O682" s="7" t="s">
        <v>52</v>
      </c>
      <c r="P682" s="7" t="n">
        <v>6.2</v>
      </c>
      <c r="Q682" s="7" t="n">
        <v>6</v>
      </c>
      <c r="R682" s="7" t="s">
        <v>53</v>
      </c>
      <c r="S682" s="7"/>
      <c r="T682" s="7"/>
      <c r="U682" s="7" t="str">
        <f aca="false">IF(COUNTIF($A$2:$A$5001,A682)&gt;1,"Duplicate","Unique")</f>
        <v>Unique</v>
      </c>
      <c r="V682" s="7" t="str">
        <f aca="false">IF(COUNTIFS($B$2:$B$5001,B682,$H$2:$H$5001,H682,$J$2:$J$5001,J682)&gt;1,"Possible Duplicate Booking","Unique")</f>
        <v>Unique</v>
      </c>
      <c r="W682" s="7" t="str">
        <f aca="false">IF((H682-G682)&lt;&gt;K682,"Mismatch","OK")</f>
        <v>OK</v>
      </c>
      <c r="X682" s="7" t="str">
        <f aca="false">IF(TEXT(H682,"dddd")&lt;&gt;I682,"Mismatch","OK")</f>
        <v>OK</v>
      </c>
      <c r="Y682" s="7" t="str">
        <f aca="false">IF(AND(N682="No",O682&lt;&gt;""),"Unexpected: channel present but no reminder sent",IF(AND(N682="Yes",O682=""),"Missing channel for sent reminder","OK"))</f>
        <v>OK</v>
      </c>
    </row>
    <row r="683" customFormat="false" ht="15" hidden="false" customHeight="false" outlineLevel="0" collapsed="false">
      <c r="A683" s="9" t="s">
        <v>1323</v>
      </c>
      <c r="B683" s="9" t="s">
        <v>417</v>
      </c>
      <c r="C683" s="9" t="s">
        <v>37</v>
      </c>
      <c r="D683" s="9" t="n">
        <v>39</v>
      </c>
      <c r="E683" s="9" t="s">
        <v>38</v>
      </c>
      <c r="F683" s="9" t="s">
        <v>49</v>
      </c>
      <c r="G683" s="10" t="n">
        <v>45685</v>
      </c>
      <c r="H683" s="10" t="n">
        <v>45733</v>
      </c>
      <c r="I683" s="9" t="s">
        <v>66</v>
      </c>
      <c r="J683" s="9" t="s">
        <v>63</v>
      </c>
      <c r="K683" s="9" t="n">
        <v>48</v>
      </c>
      <c r="L683" s="9" t="n">
        <v>2</v>
      </c>
      <c r="M683" s="9" t="n">
        <v>0</v>
      </c>
      <c r="N683" s="9" t="s">
        <v>42</v>
      </c>
      <c r="O683" s="9" t="s">
        <v>67</v>
      </c>
      <c r="P683" s="9" t="n">
        <v>5.9</v>
      </c>
      <c r="Q683" s="9" t="n">
        <v>22</v>
      </c>
      <c r="R683" s="9" t="s">
        <v>44</v>
      </c>
      <c r="S683" s="9"/>
      <c r="T683" s="9"/>
      <c r="U683" s="9" t="str">
        <f aca="false">IF(COUNTIF($A$2:$A$5001,A683)&gt;1,"Duplicate","Unique")</f>
        <v>Unique</v>
      </c>
      <c r="V683" s="9" t="str">
        <f aca="false">IF(COUNTIFS($B$2:$B$5001,B683,$H$2:$H$5001,H683,$J$2:$J$5001,J683)&gt;1,"Possible Duplicate Booking","Unique")</f>
        <v>Unique</v>
      </c>
      <c r="W683" s="9" t="str">
        <f aca="false">IF((H683-G683)&lt;&gt;K683,"Mismatch","OK")</f>
        <v>OK</v>
      </c>
      <c r="X683" s="9" t="str">
        <f aca="false">IF(TEXT(H683,"dddd")&lt;&gt;I683,"Mismatch","OK")</f>
        <v>OK</v>
      </c>
      <c r="Y683" s="9" t="str">
        <f aca="false">IF(AND(N683="No",O683&lt;&gt;""),"Unexpected: channel present but no reminder sent",IF(AND(N683="Yes",O683=""),"Missing channel for sent reminder","OK"))</f>
        <v>OK</v>
      </c>
    </row>
    <row r="684" customFormat="false" ht="15" hidden="false" customHeight="false" outlineLevel="0" collapsed="false">
      <c r="A684" s="7" t="s">
        <v>1324</v>
      </c>
      <c r="B684" s="7" t="s">
        <v>1325</v>
      </c>
      <c r="C684" s="7" t="s">
        <v>37</v>
      </c>
      <c r="D684" s="7" t="n">
        <v>61</v>
      </c>
      <c r="E684" s="7" t="s">
        <v>61</v>
      </c>
      <c r="F684" s="7" t="s">
        <v>39</v>
      </c>
      <c r="G684" s="8" t="n">
        <v>46159</v>
      </c>
      <c r="H684" s="8" t="n">
        <v>46182</v>
      </c>
      <c r="I684" s="7" t="s">
        <v>40</v>
      </c>
      <c r="J684" s="7" t="s">
        <v>51</v>
      </c>
      <c r="K684" s="7" t="n">
        <v>23</v>
      </c>
      <c r="L684" s="7" t="n">
        <v>2</v>
      </c>
      <c r="M684" s="7" t="n">
        <v>1</v>
      </c>
      <c r="N684" s="7" t="s">
        <v>71</v>
      </c>
      <c r="O684" s="7"/>
      <c r="P684" s="7" t="n">
        <v>1.5</v>
      </c>
      <c r="Q684" s="7" t="n">
        <v>20</v>
      </c>
      <c r="R684" s="7" t="s">
        <v>44</v>
      </c>
      <c r="S684" s="7"/>
      <c r="T684" s="7"/>
      <c r="U684" s="7" t="str">
        <f aca="false">IF(COUNTIF($A$2:$A$5001,A684)&gt;1,"Duplicate","Unique")</f>
        <v>Unique</v>
      </c>
      <c r="V684" s="7" t="str">
        <f aca="false">IF(COUNTIFS($B$2:$B$5001,B684,$H$2:$H$5001,H684,$J$2:$J$5001,J684)&gt;1,"Possible Duplicate Booking","Unique")</f>
        <v>Unique</v>
      </c>
      <c r="W684" s="7" t="str">
        <f aca="false">IF((H684-G684)&lt;&gt;K684,"Mismatch","OK")</f>
        <v>OK</v>
      </c>
      <c r="X684" s="7" t="str">
        <f aca="false">IF(TEXT(H684,"dddd")&lt;&gt;I684,"Mismatch","OK")</f>
        <v>OK</v>
      </c>
      <c r="Y684" s="7" t="str">
        <f aca="false">IF(AND(N684="No",O684&lt;&gt;""),"Unexpected: channel present but no reminder sent",IF(AND(N684="Yes",O684=""),"Missing channel for sent reminder","OK"))</f>
        <v>OK</v>
      </c>
    </row>
    <row r="685" customFormat="false" ht="15" hidden="false" customHeight="false" outlineLevel="0" collapsed="false">
      <c r="A685" s="9" t="s">
        <v>1326</v>
      </c>
      <c r="B685" s="9" t="s">
        <v>496</v>
      </c>
      <c r="C685" s="9" t="s">
        <v>47</v>
      </c>
      <c r="D685" s="9" t="n">
        <v>20</v>
      </c>
      <c r="E685" s="9" t="s">
        <v>82</v>
      </c>
      <c r="F685" s="9" t="s">
        <v>57</v>
      </c>
      <c r="G685" s="10" t="n">
        <v>46155</v>
      </c>
      <c r="H685" s="10" t="n">
        <v>46181</v>
      </c>
      <c r="I685" s="9" t="s">
        <v>66</v>
      </c>
      <c r="J685" s="9" t="s">
        <v>51</v>
      </c>
      <c r="K685" s="9" t="n">
        <v>26</v>
      </c>
      <c r="L685" s="9" t="n">
        <v>3</v>
      </c>
      <c r="M685" s="9" t="n">
        <v>1</v>
      </c>
      <c r="N685" s="9" t="s">
        <v>42</v>
      </c>
      <c r="O685" s="9" t="s">
        <v>52</v>
      </c>
      <c r="P685" s="9" t="n">
        <v>15.1</v>
      </c>
      <c r="Q685" s="9" t="n">
        <v>33</v>
      </c>
      <c r="R685" s="9" t="s">
        <v>44</v>
      </c>
      <c r="S685" s="9"/>
      <c r="T685" s="9"/>
      <c r="U685" s="9" t="str">
        <f aca="false">IF(COUNTIF($A$2:$A$5001,A685)&gt;1,"Duplicate","Unique")</f>
        <v>Unique</v>
      </c>
      <c r="V685" s="9" t="str">
        <f aca="false">IF(COUNTIFS($B$2:$B$5001,B685,$H$2:$H$5001,H685,$J$2:$J$5001,J685)&gt;1,"Possible Duplicate Booking","Unique")</f>
        <v>Unique</v>
      </c>
      <c r="W685" s="9" t="str">
        <f aca="false">IF((H685-G685)&lt;&gt;K685,"Mismatch","OK")</f>
        <v>OK</v>
      </c>
      <c r="X685" s="9" t="str">
        <f aca="false">IF(TEXT(H685,"dddd")&lt;&gt;I685,"Mismatch","OK")</f>
        <v>OK</v>
      </c>
      <c r="Y685" s="9" t="str">
        <f aca="false">IF(AND(N685="No",O685&lt;&gt;""),"Unexpected: channel present but no reminder sent",IF(AND(N685="Yes",O685=""),"Missing channel for sent reminder","OK"))</f>
        <v>OK</v>
      </c>
    </row>
    <row r="686" customFormat="false" ht="15" hidden="false" customHeight="false" outlineLevel="0" collapsed="false">
      <c r="A686" s="7" t="s">
        <v>1327</v>
      </c>
      <c r="B686" s="7" t="s">
        <v>840</v>
      </c>
      <c r="C686" s="7" t="s">
        <v>47</v>
      </c>
      <c r="D686" s="7" t="n">
        <v>56</v>
      </c>
      <c r="E686" s="7" t="s">
        <v>61</v>
      </c>
      <c r="F686" s="7" t="s">
        <v>57</v>
      </c>
      <c r="G686" s="8" t="n">
        <v>45717</v>
      </c>
      <c r="H686" s="8" t="n">
        <v>45750</v>
      </c>
      <c r="I686" s="7" t="s">
        <v>62</v>
      </c>
      <c r="J686" s="7" t="s">
        <v>41</v>
      </c>
      <c r="K686" s="7" t="n">
        <v>33</v>
      </c>
      <c r="L686" s="7" t="n">
        <v>0</v>
      </c>
      <c r="M686" s="7" t="n">
        <v>0</v>
      </c>
      <c r="N686" s="7" t="s">
        <v>42</v>
      </c>
      <c r="O686" s="7" t="s">
        <v>43</v>
      </c>
      <c r="P686" s="7" t="n">
        <v>20.7</v>
      </c>
      <c r="Q686" s="7" t="n">
        <v>18</v>
      </c>
      <c r="R686" s="7" t="s">
        <v>87</v>
      </c>
      <c r="S686" s="7"/>
      <c r="T686" s="7"/>
      <c r="U686" s="7" t="str">
        <f aca="false">IF(COUNTIF($A$2:$A$5001,A686)&gt;1,"Duplicate","Unique")</f>
        <v>Unique</v>
      </c>
      <c r="V686" s="7" t="str">
        <f aca="false">IF(COUNTIFS($B$2:$B$5001,B686,$H$2:$H$5001,H686,$J$2:$J$5001,J686)&gt;1,"Possible Duplicate Booking","Unique")</f>
        <v>Unique</v>
      </c>
      <c r="W686" s="7" t="str">
        <f aca="false">IF((H686-G686)&lt;&gt;K686,"Mismatch","OK")</f>
        <v>OK</v>
      </c>
      <c r="X686" s="7" t="str">
        <f aca="false">IF(TEXT(H686,"dddd")&lt;&gt;I686,"Mismatch","OK")</f>
        <v>OK</v>
      </c>
      <c r="Y686" s="7" t="str">
        <f aca="false">IF(AND(N686="No",O686&lt;&gt;""),"Unexpected: channel present but no reminder sent",IF(AND(N686="Yes",O686=""),"Missing channel for sent reminder","OK"))</f>
        <v>OK</v>
      </c>
    </row>
    <row r="687" customFormat="false" ht="15" hidden="false" customHeight="false" outlineLevel="0" collapsed="false">
      <c r="A687" s="9" t="s">
        <v>1328</v>
      </c>
      <c r="B687" s="9" t="s">
        <v>745</v>
      </c>
      <c r="C687" s="9" t="s">
        <v>37</v>
      </c>
      <c r="D687" s="9" t="n">
        <v>72</v>
      </c>
      <c r="E687" s="9" t="s">
        <v>70</v>
      </c>
      <c r="F687" s="9" t="s">
        <v>74</v>
      </c>
      <c r="G687" s="10" t="n">
        <v>46069</v>
      </c>
      <c r="H687" s="10" t="n">
        <v>46095</v>
      </c>
      <c r="I687" s="9" t="s">
        <v>102</v>
      </c>
      <c r="J687" s="9" t="s">
        <v>51</v>
      </c>
      <c r="K687" s="9" t="n">
        <v>26</v>
      </c>
      <c r="L687" s="9" t="n">
        <v>3</v>
      </c>
      <c r="M687" s="9" t="n">
        <v>1</v>
      </c>
      <c r="N687" s="9" t="s">
        <v>42</v>
      </c>
      <c r="O687" s="9" t="s">
        <v>52</v>
      </c>
      <c r="P687" s="9" t="n">
        <v>11.9</v>
      </c>
      <c r="Q687" s="9" t="n">
        <v>46</v>
      </c>
      <c r="R687" s="9" t="s">
        <v>44</v>
      </c>
      <c r="S687" s="9"/>
      <c r="T687" s="9"/>
      <c r="U687" s="9" t="str">
        <f aca="false">IF(COUNTIF($A$2:$A$5001,A687)&gt;1,"Duplicate","Unique")</f>
        <v>Unique</v>
      </c>
      <c r="V687" s="9" t="str">
        <f aca="false">IF(COUNTIFS($B$2:$B$5001,B687,$H$2:$H$5001,H687,$J$2:$J$5001,J687)&gt;1,"Possible Duplicate Booking","Unique")</f>
        <v>Unique</v>
      </c>
      <c r="W687" s="9" t="str">
        <f aca="false">IF((H687-G687)&lt;&gt;K687,"Mismatch","OK")</f>
        <v>OK</v>
      </c>
      <c r="X687" s="9" t="str">
        <f aca="false">IF(TEXT(H687,"dddd")&lt;&gt;I687,"Mismatch","OK")</f>
        <v>OK</v>
      </c>
      <c r="Y687" s="9" t="str">
        <f aca="false">IF(AND(N687="No",O687&lt;&gt;""),"Unexpected: channel present but no reminder sent",IF(AND(N687="Yes",O687=""),"Missing channel for sent reminder","OK"))</f>
        <v>OK</v>
      </c>
    </row>
    <row r="688" customFormat="false" ht="15" hidden="false" customHeight="false" outlineLevel="0" collapsed="false">
      <c r="A688" s="7" t="s">
        <v>1329</v>
      </c>
      <c r="B688" s="7" t="s">
        <v>883</v>
      </c>
      <c r="C688" s="7" t="s">
        <v>37</v>
      </c>
      <c r="D688" s="7" t="n">
        <v>62</v>
      </c>
      <c r="E688" s="7" t="s">
        <v>61</v>
      </c>
      <c r="F688" s="7" t="s">
        <v>57</v>
      </c>
      <c r="G688" s="8" t="n">
        <v>45834</v>
      </c>
      <c r="H688" s="8" t="n">
        <v>45880</v>
      </c>
      <c r="I688" s="7" t="s">
        <v>66</v>
      </c>
      <c r="J688" s="7" t="s">
        <v>51</v>
      </c>
      <c r="K688" s="7" t="n">
        <v>46</v>
      </c>
      <c r="L688" s="7" t="n">
        <v>3</v>
      </c>
      <c r="M688" s="7" t="n">
        <v>1</v>
      </c>
      <c r="N688" s="7" t="s">
        <v>42</v>
      </c>
      <c r="O688" s="7" t="s">
        <v>52</v>
      </c>
      <c r="P688" s="7" t="n">
        <v>5.7</v>
      </c>
      <c r="Q688" s="7" t="n">
        <v>18</v>
      </c>
      <c r="R688" s="7" t="s">
        <v>44</v>
      </c>
      <c r="S688" s="7"/>
      <c r="T688" s="7"/>
      <c r="U688" s="7" t="str">
        <f aca="false">IF(COUNTIF($A$2:$A$5001,A688)&gt;1,"Duplicate","Unique")</f>
        <v>Unique</v>
      </c>
      <c r="V688" s="7" t="str">
        <f aca="false">IF(COUNTIFS($B$2:$B$5001,B688,$H$2:$H$5001,H688,$J$2:$J$5001,J688)&gt;1,"Possible Duplicate Booking","Unique")</f>
        <v>Unique</v>
      </c>
      <c r="W688" s="7" t="str">
        <f aca="false">IF((H688-G688)&lt;&gt;K688,"Mismatch","OK")</f>
        <v>OK</v>
      </c>
      <c r="X688" s="7" t="str">
        <f aca="false">IF(TEXT(H688,"dddd")&lt;&gt;I688,"Mismatch","OK")</f>
        <v>OK</v>
      </c>
      <c r="Y688" s="7" t="str">
        <f aca="false">IF(AND(N688="No",O688&lt;&gt;""),"Unexpected: channel present but no reminder sent",IF(AND(N688="Yes",O688=""),"Missing channel for sent reminder","OK"))</f>
        <v>OK</v>
      </c>
    </row>
    <row r="689" customFormat="false" ht="15" hidden="false" customHeight="false" outlineLevel="0" collapsed="false">
      <c r="A689" s="9" t="s">
        <v>1330</v>
      </c>
      <c r="B689" s="9" t="s">
        <v>1331</v>
      </c>
      <c r="C689" s="9" t="s">
        <v>47</v>
      </c>
      <c r="D689" s="9" t="n">
        <v>54</v>
      </c>
      <c r="E689" s="9" t="s">
        <v>56</v>
      </c>
      <c r="F689" s="9" t="s">
        <v>57</v>
      </c>
      <c r="G689" s="10" t="n">
        <v>45968</v>
      </c>
      <c r="H689" s="10" t="n">
        <v>45982</v>
      </c>
      <c r="I689" s="9" t="s">
        <v>50</v>
      </c>
      <c r="J689" s="9" t="s">
        <v>51</v>
      </c>
      <c r="K689" s="9" t="n">
        <v>14</v>
      </c>
      <c r="L689" s="9" t="n">
        <v>0</v>
      </c>
      <c r="M689" s="9" t="n">
        <v>0</v>
      </c>
      <c r="N689" s="9" t="s">
        <v>71</v>
      </c>
      <c r="O689" s="9"/>
      <c r="P689" s="9" t="n">
        <v>10.3</v>
      </c>
      <c r="Q689" s="9" t="n">
        <v>12</v>
      </c>
      <c r="R689" s="9" t="s">
        <v>53</v>
      </c>
      <c r="S689" s="9"/>
      <c r="T689" s="9"/>
      <c r="U689" s="9" t="str">
        <f aca="false">IF(COUNTIF($A$2:$A$5001,A689)&gt;1,"Duplicate","Unique")</f>
        <v>Unique</v>
      </c>
      <c r="V689" s="9" t="str">
        <f aca="false">IF(COUNTIFS($B$2:$B$5001,B689,$H$2:$H$5001,H689,$J$2:$J$5001,J689)&gt;1,"Possible Duplicate Booking","Unique")</f>
        <v>Unique</v>
      </c>
      <c r="W689" s="9" t="str">
        <f aca="false">IF((H689-G689)&lt;&gt;K689,"Mismatch","OK")</f>
        <v>OK</v>
      </c>
      <c r="X689" s="9" t="str">
        <f aca="false">IF(TEXT(H689,"dddd")&lt;&gt;I689,"Mismatch","OK")</f>
        <v>OK</v>
      </c>
      <c r="Y689" s="9" t="str">
        <f aca="false">IF(AND(N689="No",O689&lt;&gt;""),"Unexpected: channel present but no reminder sent",IF(AND(N689="Yes",O689=""),"Missing channel for sent reminder","OK"))</f>
        <v>OK</v>
      </c>
    </row>
    <row r="690" customFormat="false" ht="15" hidden="false" customHeight="false" outlineLevel="0" collapsed="false">
      <c r="A690" s="7" t="s">
        <v>1332</v>
      </c>
      <c r="B690" s="7" t="s">
        <v>1333</v>
      </c>
      <c r="C690" s="7" t="s">
        <v>47</v>
      </c>
      <c r="D690" s="7" t="n">
        <v>71</v>
      </c>
      <c r="E690" s="7" t="s">
        <v>70</v>
      </c>
      <c r="F690" s="7" t="s">
        <v>39</v>
      </c>
      <c r="G690" s="8" t="n">
        <v>45855</v>
      </c>
      <c r="H690" s="8" t="n">
        <v>45901</v>
      </c>
      <c r="I690" s="7" t="s">
        <v>66</v>
      </c>
      <c r="J690" s="7" t="s">
        <v>51</v>
      </c>
      <c r="K690" s="7" t="n">
        <v>46</v>
      </c>
      <c r="L690" s="7" t="n">
        <v>4</v>
      </c>
      <c r="M690" s="7" t="n">
        <v>0</v>
      </c>
      <c r="N690" s="7" t="s">
        <v>42</v>
      </c>
      <c r="O690" s="7" t="s">
        <v>52</v>
      </c>
      <c r="P690" s="7" t="n">
        <v>14.8</v>
      </c>
      <c r="Q690" s="7" t="n">
        <v>38</v>
      </c>
      <c r="R690" s="7" t="s">
        <v>44</v>
      </c>
      <c r="S690" s="7"/>
      <c r="T690" s="7"/>
      <c r="U690" s="7" t="str">
        <f aca="false">IF(COUNTIF($A$2:$A$5001,A690)&gt;1,"Duplicate","Unique")</f>
        <v>Unique</v>
      </c>
      <c r="V690" s="7" t="str">
        <f aca="false">IF(COUNTIFS($B$2:$B$5001,B690,$H$2:$H$5001,H690,$J$2:$J$5001,J690)&gt;1,"Possible Duplicate Booking","Unique")</f>
        <v>Unique</v>
      </c>
      <c r="W690" s="7" t="str">
        <f aca="false">IF((H690-G690)&lt;&gt;K690,"Mismatch","OK")</f>
        <v>OK</v>
      </c>
      <c r="X690" s="7" t="str">
        <f aca="false">IF(TEXT(H690,"dddd")&lt;&gt;I690,"Mismatch","OK")</f>
        <v>OK</v>
      </c>
      <c r="Y690" s="7" t="str">
        <f aca="false">IF(AND(N690="No",O690&lt;&gt;""),"Unexpected: channel present but no reminder sent",IF(AND(N690="Yes",O690=""),"Missing channel for sent reminder","OK"))</f>
        <v>OK</v>
      </c>
    </row>
    <row r="691" customFormat="false" ht="15" hidden="false" customHeight="false" outlineLevel="0" collapsed="false">
      <c r="A691" s="9" t="s">
        <v>1334</v>
      </c>
      <c r="B691" s="9" t="s">
        <v>1335</v>
      </c>
      <c r="C691" s="9" t="s">
        <v>47</v>
      </c>
      <c r="D691" s="9" t="n">
        <v>36</v>
      </c>
      <c r="E691" s="9" t="s">
        <v>38</v>
      </c>
      <c r="F691" s="9" t="s">
        <v>49</v>
      </c>
      <c r="G691" s="10" t="n">
        <v>46073</v>
      </c>
      <c r="H691" s="10" t="n">
        <v>46085</v>
      </c>
      <c r="I691" s="9" t="s">
        <v>58</v>
      </c>
      <c r="J691" s="9" t="s">
        <v>41</v>
      </c>
      <c r="K691" s="9" t="n">
        <v>12</v>
      </c>
      <c r="L691" s="9" t="n">
        <v>2</v>
      </c>
      <c r="M691" s="9" t="n">
        <v>0</v>
      </c>
      <c r="N691" s="9" t="s">
        <v>42</v>
      </c>
      <c r="O691" s="9" t="s">
        <v>52</v>
      </c>
      <c r="P691" s="9" t="n">
        <v>7.7</v>
      </c>
      <c r="Q691" s="9" t="n">
        <v>31</v>
      </c>
      <c r="R691" s="9" t="s">
        <v>87</v>
      </c>
      <c r="S691" s="9"/>
      <c r="T691" s="9"/>
      <c r="U691" s="9" t="str">
        <f aca="false">IF(COUNTIF($A$2:$A$5001,A691)&gt;1,"Duplicate","Unique")</f>
        <v>Unique</v>
      </c>
      <c r="V691" s="9" t="str">
        <f aca="false">IF(COUNTIFS($B$2:$B$5001,B691,$H$2:$H$5001,H691,$J$2:$J$5001,J691)&gt;1,"Possible Duplicate Booking","Unique")</f>
        <v>Unique</v>
      </c>
      <c r="W691" s="9" t="str">
        <f aca="false">IF((H691-G691)&lt;&gt;K691,"Mismatch","OK")</f>
        <v>OK</v>
      </c>
      <c r="X691" s="9" t="str">
        <f aca="false">IF(TEXT(H691,"dddd")&lt;&gt;I691,"Mismatch","OK")</f>
        <v>OK</v>
      </c>
      <c r="Y691" s="9" t="str">
        <f aca="false">IF(AND(N691="No",O691&lt;&gt;""),"Unexpected: channel present but no reminder sent",IF(AND(N691="Yes",O691=""),"Missing channel for sent reminder","OK"))</f>
        <v>OK</v>
      </c>
    </row>
    <row r="692" customFormat="false" ht="15" hidden="false" customHeight="false" outlineLevel="0" collapsed="false">
      <c r="A692" s="7" t="s">
        <v>1336</v>
      </c>
      <c r="B692" s="7" t="s">
        <v>1337</v>
      </c>
      <c r="C692" s="7" t="s">
        <v>47</v>
      </c>
      <c r="D692" s="7" t="n">
        <v>41</v>
      </c>
      <c r="E692" s="7" t="s">
        <v>38</v>
      </c>
      <c r="F692" s="7" t="s">
        <v>39</v>
      </c>
      <c r="G692" s="8" t="n">
        <v>46180</v>
      </c>
      <c r="H692" s="8" t="n">
        <v>46202</v>
      </c>
      <c r="I692" s="7" t="s">
        <v>66</v>
      </c>
      <c r="J692" s="7" t="s">
        <v>51</v>
      </c>
      <c r="K692" s="7" t="n">
        <v>22</v>
      </c>
      <c r="L692" s="7" t="n">
        <v>3</v>
      </c>
      <c r="M692" s="7" t="n">
        <v>0</v>
      </c>
      <c r="N692" s="7" t="s">
        <v>42</v>
      </c>
      <c r="O692" s="7" t="s">
        <v>67</v>
      </c>
      <c r="P692" s="7" t="n">
        <v>12.6</v>
      </c>
      <c r="Q692" s="7" t="n">
        <v>29</v>
      </c>
      <c r="R692" s="7" t="s">
        <v>44</v>
      </c>
      <c r="S692" s="7"/>
      <c r="T692" s="7"/>
      <c r="U692" s="7" t="str">
        <f aca="false">IF(COUNTIF($A$2:$A$5001,A692)&gt;1,"Duplicate","Unique")</f>
        <v>Unique</v>
      </c>
      <c r="V692" s="7" t="str">
        <f aca="false">IF(COUNTIFS($B$2:$B$5001,B692,$H$2:$H$5001,H692,$J$2:$J$5001,J692)&gt;1,"Possible Duplicate Booking","Unique")</f>
        <v>Unique</v>
      </c>
      <c r="W692" s="7" t="str">
        <f aca="false">IF((H692-G692)&lt;&gt;K692,"Mismatch","OK")</f>
        <v>OK</v>
      </c>
      <c r="X692" s="7" t="str">
        <f aca="false">IF(TEXT(H692,"dddd")&lt;&gt;I692,"Mismatch","OK")</f>
        <v>OK</v>
      </c>
      <c r="Y692" s="7" t="str">
        <f aca="false">IF(AND(N692="No",O692&lt;&gt;""),"Unexpected: channel present but no reminder sent",IF(AND(N692="Yes",O692=""),"Missing channel for sent reminder","OK"))</f>
        <v>OK</v>
      </c>
    </row>
    <row r="693" customFormat="false" ht="15" hidden="false" customHeight="false" outlineLevel="0" collapsed="false">
      <c r="A693" s="9" t="s">
        <v>1338</v>
      </c>
      <c r="B693" s="9" t="s">
        <v>552</v>
      </c>
      <c r="C693" s="9" t="s">
        <v>37</v>
      </c>
      <c r="D693" s="9" t="n">
        <v>22</v>
      </c>
      <c r="E693" s="9" t="s">
        <v>82</v>
      </c>
      <c r="F693" s="9" t="s">
        <v>49</v>
      </c>
      <c r="G693" s="10" t="n">
        <v>46057</v>
      </c>
      <c r="H693" s="10" t="n">
        <v>46092</v>
      </c>
      <c r="I693" s="9" t="s">
        <v>58</v>
      </c>
      <c r="J693" s="9" t="s">
        <v>63</v>
      </c>
      <c r="K693" s="9" t="n">
        <v>35</v>
      </c>
      <c r="L693" s="9" t="n">
        <v>2</v>
      </c>
      <c r="M693" s="9" t="n">
        <v>1</v>
      </c>
      <c r="N693" s="9" t="s">
        <v>42</v>
      </c>
      <c r="O693" s="9" t="s">
        <v>43</v>
      </c>
      <c r="P693" s="9" t="n">
        <v>6.5</v>
      </c>
      <c r="Q693" s="9" t="n">
        <v>22</v>
      </c>
      <c r="R693" s="9" t="s">
        <v>44</v>
      </c>
      <c r="S693" s="9"/>
      <c r="T693" s="9"/>
      <c r="U693" s="9" t="str">
        <f aca="false">IF(COUNTIF($A$2:$A$5001,A693)&gt;1,"Duplicate","Unique")</f>
        <v>Unique</v>
      </c>
      <c r="V693" s="9" t="str">
        <f aca="false">IF(COUNTIFS($B$2:$B$5001,B693,$H$2:$H$5001,H693,$J$2:$J$5001,J693)&gt;1,"Possible Duplicate Booking","Unique")</f>
        <v>Unique</v>
      </c>
      <c r="W693" s="9" t="str">
        <f aca="false">IF((H693-G693)&lt;&gt;K693,"Mismatch","OK")</f>
        <v>OK</v>
      </c>
      <c r="X693" s="9" t="str">
        <f aca="false">IF(TEXT(H693,"dddd")&lt;&gt;I693,"Mismatch","OK")</f>
        <v>OK</v>
      </c>
      <c r="Y693" s="9" t="str">
        <f aca="false">IF(AND(N693="No",O693&lt;&gt;""),"Unexpected: channel present but no reminder sent",IF(AND(N693="Yes",O693=""),"Missing channel for sent reminder","OK"))</f>
        <v>OK</v>
      </c>
    </row>
    <row r="694" customFormat="false" ht="15" hidden="false" customHeight="false" outlineLevel="0" collapsed="false">
      <c r="A694" s="7" t="s">
        <v>1339</v>
      </c>
      <c r="B694" s="7" t="s">
        <v>1340</v>
      </c>
      <c r="C694" s="7" t="s">
        <v>37</v>
      </c>
      <c r="D694" s="7" t="n">
        <v>61</v>
      </c>
      <c r="E694" s="7" t="s">
        <v>61</v>
      </c>
      <c r="F694" s="7" t="s">
        <v>57</v>
      </c>
      <c r="G694" s="8" t="n">
        <v>46112</v>
      </c>
      <c r="H694" s="8" t="n">
        <v>46166</v>
      </c>
      <c r="I694" s="7" t="s">
        <v>75</v>
      </c>
      <c r="J694" s="7" t="s">
        <v>51</v>
      </c>
      <c r="K694" s="7" t="n">
        <v>54</v>
      </c>
      <c r="L694" s="7" t="n">
        <v>3</v>
      </c>
      <c r="M694" s="7" t="n">
        <v>1</v>
      </c>
      <c r="N694" s="7" t="s">
        <v>42</v>
      </c>
      <c r="O694" s="7" t="s">
        <v>43</v>
      </c>
      <c r="P694" s="7" t="n">
        <v>2.9</v>
      </c>
      <c r="Q694" s="7" t="n">
        <v>20</v>
      </c>
      <c r="R694" s="7" t="s">
        <v>44</v>
      </c>
      <c r="S694" s="7"/>
      <c r="T694" s="7"/>
      <c r="U694" s="7" t="str">
        <f aca="false">IF(COUNTIF($A$2:$A$5001,A694)&gt;1,"Duplicate","Unique")</f>
        <v>Unique</v>
      </c>
      <c r="V694" s="7" t="str">
        <f aca="false">IF(COUNTIFS($B$2:$B$5001,B694,$H$2:$H$5001,H694,$J$2:$J$5001,J694)&gt;1,"Possible Duplicate Booking","Unique")</f>
        <v>Unique</v>
      </c>
      <c r="W694" s="7" t="str">
        <f aca="false">IF((H694-G694)&lt;&gt;K694,"Mismatch","OK")</f>
        <v>OK</v>
      </c>
      <c r="X694" s="7" t="str">
        <f aca="false">IF(TEXT(H694,"dddd")&lt;&gt;I694,"Mismatch","OK")</f>
        <v>OK</v>
      </c>
      <c r="Y694" s="7" t="str">
        <f aca="false">IF(AND(N694="No",O694&lt;&gt;""),"Unexpected: channel present but no reminder sent",IF(AND(N694="Yes",O694=""),"Missing channel for sent reminder","OK"))</f>
        <v>OK</v>
      </c>
    </row>
    <row r="695" customFormat="false" ht="15" hidden="false" customHeight="false" outlineLevel="0" collapsed="false">
      <c r="A695" s="9" t="s">
        <v>1341</v>
      </c>
      <c r="B695" s="9" t="s">
        <v>667</v>
      </c>
      <c r="C695" s="9" t="s">
        <v>37</v>
      </c>
      <c r="D695" s="9" t="n">
        <v>63</v>
      </c>
      <c r="E695" s="9" t="s">
        <v>61</v>
      </c>
      <c r="F695" s="9" t="s">
        <v>74</v>
      </c>
      <c r="G695" s="10" t="n">
        <v>46160</v>
      </c>
      <c r="H695" s="10" t="n">
        <v>46174</v>
      </c>
      <c r="I695" s="9" t="s">
        <v>66</v>
      </c>
      <c r="J695" s="9" t="s">
        <v>51</v>
      </c>
      <c r="K695" s="9" t="n">
        <v>14</v>
      </c>
      <c r="L695" s="9" t="n">
        <v>3</v>
      </c>
      <c r="M695" s="9" t="n">
        <v>0</v>
      </c>
      <c r="N695" s="9" t="s">
        <v>71</v>
      </c>
      <c r="O695" s="9"/>
      <c r="P695" s="9" t="n">
        <v>14.3</v>
      </c>
      <c r="Q695" s="9" t="n">
        <v>29</v>
      </c>
      <c r="R695" s="9" t="s">
        <v>44</v>
      </c>
      <c r="S695" s="9"/>
      <c r="T695" s="9"/>
      <c r="U695" s="9" t="str">
        <f aca="false">IF(COUNTIF($A$2:$A$5001,A695)&gt;1,"Duplicate","Unique")</f>
        <v>Unique</v>
      </c>
      <c r="V695" s="9" t="str">
        <f aca="false">IF(COUNTIFS($B$2:$B$5001,B695,$H$2:$H$5001,H695,$J$2:$J$5001,J695)&gt;1,"Possible Duplicate Booking","Unique")</f>
        <v>Unique</v>
      </c>
      <c r="W695" s="9" t="str">
        <f aca="false">IF((H695-G695)&lt;&gt;K695,"Mismatch","OK")</f>
        <v>OK</v>
      </c>
      <c r="X695" s="9" t="str">
        <f aca="false">IF(TEXT(H695,"dddd")&lt;&gt;I695,"Mismatch","OK")</f>
        <v>OK</v>
      </c>
      <c r="Y695" s="9" t="str">
        <f aca="false">IF(AND(N695="No",O695&lt;&gt;""),"Unexpected: channel present but no reminder sent",IF(AND(N695="Yes",O695=""),"Missing channel for sent reminder","OK"))</f>
        <v>OK</v>
      </c>
    </row>
    <row r="696" customFormat="false" ht="15" hidden="false" customHeight="false" outlineLevel="0" collapsed="false">
      <c r="A696" s="7" t="s">
        <v>1342</v>
      </c>
      <c r="B696" s="7" t="s">
        <v>1343</v>
      </c>
      <c r="C696" s="7" t="s">
        <v>37</v>
      </c>
      <c r="D696" s="7" t="n">
        <v>65</v>
      </c>
      <c r="E696" s="7" t="s">
        <v>70</v>
      </c>
      <c r="F696" s="7" t="s">
        <v>74</v>
      </c>
      <c r="G696" s="8" t="n">
        <v>45672</v>
      </c>
      <c r="H696" s="8" t="n">
        <v>45707</v>
      </c>
      <c r="I696" s="7" t="s">
        <v>58</v>
      </c>
      <c r="J696" s="7" t="s">
        <v>51</v>
      </c>
      <c r="K696" s="7" t="n">
        <v>35</v>
      </c>
      <c r="L696" s="7" t="n">
        <v>0</v>
      </c>
      <c r="M696" s="7" t="n">
        <v>0</v>
      </c>
      <c r="N696" s="7" t="s">
        <v>42</v>
      </c>
      <c r="O696" s="7" t="s">
        <v>43</v>
      </c>
      <c r="P696" s="7" t="n">
        <v>9.4</v>
      </c>
      <c r="Q696" s="7" t="n">
        <v>18</v>
      </c>
      <c r="R696" s="7" t="s">
        <v>53</v>
      </c>
      <c r="S696" s="7"/>
      <c r="T696" s="7"/>
      <c r="U696" s="7" t="str">
        <f aca="false">IF(COUNTIF($A$2:$A$5001,A696)&gt;1,"Duplicate","Unique")</f>
        <v>Unique</v>
      </c>
      <c r="V696" s="7" t="str">
        <f aca="false">IF(COUNTIFS($B$2:$B$5001,B696,$H$2:$H$5001,H696,$J$2:$J$5001,J696)&gt;1,"Possible Duplicate Booking","Unique")</f>
        <v>Unique</v>
      </c>
      <c r="W696" s="7" t="str">
        <f aca="false">IF((H696-G696)&lt;&gt;K696,"Mismatch","OK")</f>
        <v>OK</v>
      </c>
      <c r="X696" s="7" t="str">
        <f aca="false">IF(TEXT(H696,"dddd")&lt;&gt;I696,"Mismatch","OK")</f>
        <v>OK</v>
      </c>
      <c r="Y696" s="7" t="str">
        <f aca="false">IF(AND(N696="No",O696&lt;&gt;""),"Unexpected: channel present but no reminder sent",IF(AND(N696="Yes",O696=""),"Missing channel for sent reminder","OK"))</f>
        <v>OK</v>
      </c>
    </row>
    <row r="697" customFormat="false" ht="15" hidden="false" customHeight="false" outlineLevel="0" collapsed="false">
      <c r="A697" s="9" t="s">
        <v>1344</v>
      </c>
      <c r="B697" s="9" t="s">
        <v>1345</v>
      </c>
      <c r="C697" s="9" t="s">
        <v>37</v>
      </c>
      <c r="D697" s="9" t="n">
        <v>65</v>
      </c>
      <c r="E697" s="9" t="s">
        <v>70</v>
      </c>
      <c r="F697" s="9" t="s">
        <v>39</v>
      </c>
      <c r="G697" s="10" t="n">
        <v>45793</v>
      </c>
      <c r="H697" s="10" t="n">
        <v>45796</v>
      </c>
      <c r="I697" s="9" t="s">
        <v>66</v>
      </c>
      <c r="J697" s="9" t="s">
        <v>41</v>
      </c>
      <c r="K697" s="9" t="n">
        <v>3</v>
      </c>
      <c r="L697" s="9" t="n">
        <v>3</v>
      </c>
      <c r="M697" s="9" t="n">
        <v>1</v>
      </c>
      <c r="N697" s="9" t="s">
        <v>42</v>
      </c>
      <c r="O697" s="9" t="s">
        <v>43</v>
      </c>
      <c r="P697" s="9" t="n">
        <v>10.3</v>
      </c>
      <c r="Q697" s="9" t="n">
        <v>44</v>
      </c>
      <c r="R697" s="9" t="s">
        <v>53</v>
      </c>
      <c r="S697" s="9"/>
      <c r="T697" s="9"/>
      <c r="U697" s="9" t="str">
        <f aca="false">IF(COUNTIF($A$2:$A$5001,A697)&gt;1,"Duplicate","Unique")</f>
        <v>Unique</v>
      </c>
      <c r="V697" s="9" t="str">
        <f aca="false">IF(COUNTIFS($B$2:$B$5001,B697,$H$2:$H$5001,H697,$J$2:$J$5001,J697)&gt;1,"Possible Duplicate Booking","Unique")</f>
        <v>Unique</v>
      </c>
      <c r="W697" s="9" t="str">
        <f aca="false">IF((H697-G697)&lt;&gt;K697,"Mismatch","OK")</f>
        <v>OK</v>
      </c>
      <c r="X697" s="9" t="str">
        <f aca="false">IF(TEXT(H697,"dddd")&lt;&gt;I697,"Mismatch","OK")</f>
        <v>OK</v>
      </c>
      <c r="Y697" s="9" t="str">
        <f aca="false">IF(AND(N697="No",O697&lt;&gt;""),"Unexpected: channel present but no reminder sent",IF(AND(N697="Yes",O697=""),"Missing channel for sent reminder","OK"))</f>
        <v>OK</v>
      </c>
    </row>
    <row r="698" customFormat="false" ht="15" hidden="false" customHeight="false" outlineLevel="0" collapsed="false">
      <c r="A698" s="7" t="s">
        <v>1346</v>
      </c>
      <c r="B698" s="7" t="s">
        <v>702</v>
      </c>
      <c r="C698" s="7" t="s">
        <v>37</v>
      </c>
      <c r="D698" s="7" t="n">
        <v>26</v>
      </c>
      <c r="E698" s="7" t="s">
        <v>48</v>
      </c>
      <c r="F698" s="7" t="s">
        <v>39</v>
      </c>
      <c r="G698" s="8" t="n">
        <v>46048</v>
      </c>
      <c r="H698" s="8" t="n">
        <v>46052</v>
      </c>
      <c r="I698" s="7" t="s">
        <v>50</v>
      </c>
      <c r="J698" s="7" t="s">
        <v>63</v>
      </c>
      <c r="K698" s="7" t="n">
        <v>4</v>
      </c>
      <c r="L698" s="7" t="n">
        <v>3</v>
      </c>
      <c r="M698" s="7" t="n">
        <v>2</v>
      </c>
      <c r="N698" s="7" t="s">
        <v>42</v>
      </c>
      <c r="O698" s="7" t="s">
        <v>52</v>
      </c>
      <c r="P698" s="7" t="n">
        <v>15.7</v>
      </c>
      <c r="Q698" s="7" t="n">
        <v>27</v>
      </c>
      <c r="R698" s="7" t="s">
        <v>44</v>
      </c>
      <c r="S698" s="7"/>
      <c r="T698" s="7"/>
      <c r="U698" s="7" t="str">
        <f aca="false">IF(COUNTIF($A$2:$A$5001,A698)&gt;1,"Duplicate","Unique")</f>
        <v>Unique</v>
      </c>
      <c r="V698" s="7" t="str">
        <f aca="false">IF(COUNTIFS($B$2:$B$5001,B698,$H$2:$H$5001,H698,$J$2:$J$5001,J698)&gt;1,"Possible Duplicate Booking","Unique")</f>
        <v>Unique</v>
      </c>
      <c r="W698" s="7" t="str">
        <f aca="false">IF((H698-G698)&lt;&gt;K698,"Mismatch","OK")</f>
        <v>OK</v>
      </c>
      <c r="X698" s="7" t="str">
        <f aca="false">IF(TEXT(H698,"dddd")&lt;&gt;I698,"Mismatch","OK")</f>
        <v>OK</v>
      </c>
      <c r="Y698" s="7" t="str">
        <f aca="false">IF(AND(N698="No",O698&lt;&gt;""),"Unexpected: channel present but no reminder sent",IF(AND(N698="Yes",O698=""),"Missing channel for sent reminder","OK"))</f>
        <v>OK</v>
      </c>
    </row>
    <row r="699" customFormat="false" ht="15" hidden="false" customHeight="false" outlineLevel="0" collapsed="false">
      <c r="A699" s="9" t="s">
        <v>1347</v>
      </c>
      <c r="B699" s="9" t="s">
        <v>1348</v>
      </c>
      <c r="C699" s="9" t="s">
        <v>37</v>
      </c>
      <c r="D699" s="9" t="n">
        <v>59</v>
      </c>
      <c r="E699" s="9" t="s">
        <v>61</v>
      </c>
      <c r="F699" s="9" t="s">
        <v>57</v>
      </c>
      <c r="G699" s="10" t="n">
        <v>45934</v>
      </c>
      <c r="H699" s="10" t="n">
        <v>45980</v>
      </c>
      <c r="I699" s="9" t="s">
        <v>58</v>
      </c>
      <c r="J699" s="9" t="s">
        <v>41</v>
      </c>
      <c r="K699" s="9" t="n">
        <v>46</v>
      </c>
      <c r="L699" s="9" t="n">
        <v>5</v>
      </c>
      <c r="M699" s="9" t="n">
        <v>2</v>
      </c>
      <c r="N699" s="9" t="s">
        <v>42</v>
      </c>
      <c r="O699" s="9" t="s">
        <v>52</v>
      </c>
      <c r="P699" s="9" t="n">
        <v>4.4</v>
      </c>
      <c r="Q699" s="9" t="n">
        <v>21</v>
      </c>
      <c r="R699" s="9" t="s">
        <v>44</v>
      </c>
      <c r="S699" s="9"/>
      <c r="T699" s="9"/>
      <c r="U699" s="9" t="str">
        <f aca="false">IF(COUNTIF($A$2:$A$5001,A699)&gt;1,"Duplicate","Unique")</f>
        <v>Unique</v>
      </c>
      <c r="V699" s="9" t="str">
        <f aca="false">IF(COUNTIFS($B$2:$B$5001,B699,$H$2:$H$5001,H699,$J$2:$J$5001,J699)&gt;1,"Possible Duplicate Booking","Unique")</f>
        <v>Unique</v>
      </c>
      <c r="W699" s="9" t="str">
        <f aca="false">IF((H699-G699)&lt;&gt;K699,"Mismatch","OK")</f>
        <v>OK</v>
      </c>
      <c r="X699" s="9" t="str">
        <f aca="false">IF(TEXT(H699,"dddd")&lt;&gt;I699,"Mismatch","OK")</f>
        <v>OK</v>
      </c>
      <c r="Y699" s="9" t="str">
        <f aca="false">IF(AND(N699="No",O699&lt;&gt;""),"Unexpected: channel present but no reminder sent",IF(AND(N699="Yes",O699=""),"Missing channel for sent reminder","OK"))</f>
        <v>OK</v>
      </c>
    </row>
    <row r="700" customFormat="false" ht="15" hidden="false" customHeight="false" outlineLevel="0" collapsed="false">
      <c r="A700" s="7" t="s">
        <v>1349</v>
      </c>
      <c r="B700" s="7" t="s">
        <v>712</v>
      </c>
      <c r="C700" s="7" t="s">
        <v>47</v>
      </c>
      <c r="D700" s="7" t="n">
        <v>66</v>
      </c>
      <c r="E700" s="7" t="s">
        <v>70</v>
      </c>
      <c r="F700" s="7" t="s">
        <v>39</v>
      </c>
      <c r="G700" s="8" t="n">
        <v>45642</v>
      </c>
      <c r="H700" s="8" t="n">
        <v>45685</v>
      </c>
      <c r="I700" s="7" t="s">
        <v>40</v>
      </c>
      <c r="J700" s="7" t="s">
        <v>51</v>
      </c>
      <c r="K700" s="7" t="n">
        <v>43</v>
      </c>
      <c r="L700" s="7" t="n">
        <v>4</v>
      </c>
      <c r="M700" s="7" t="n">
        <v>1</v>
      </c>
      <c r="N700" s="7" t="s">
        <v>42</v>
      </c>
      <c r="O700" s="7" t="s">
        <v>52</v>
      </c>
      <c r="P700" s="7" t="n">
        <v>5.9</v>
      </c>
      <c r="Q700" s="7" t="n">
        <v>20</v>
      </c>
      <c r="R700" s="7" t="s">
        <v>53</v>
      </c>
      <c r="S700" s="7"/>
      <c r="T700" s="7"/>
      <c r="U700" s="7" t="str">
        <f aca="false">IF(COUNTIF($A$2:$A$5001,A700)&gt;1,"Duplicate","Unique")</f>
        <v>Unique</v>
      </c>
      <c r="V700" s="7" t="str">
        <f aca="false">IF(COUNTIFS($B$2:$B$5001,B700,$H$2:$H$5001,H700,$J$2:$J$5001,J700)&gt;1,"Possible Duplicate Booking","Unique")</f>
        <v>Unique</v>
      </c>
      <c r="W700" s="7" t="str">
        <f aca="false">IF((H700-G700)&lt;&gt;K700,"Mismatch","OK")</f>
        <v>OK</v>
      </c>
      <c r="X700" s="7" t="str">
        <f aca="false">IF(TEXT(H700,"dddd")&lt;&gt;I700,"Mismatch","OK")</f>
        <v>OK</v>
      </c>
      <c r="Y700" s="7" t="str">
        <f aca="false">IF(AND(N700="No",O700&lt;&gt;""),"Unexpected: channel present but no reminder sent",IF(AND(N700="Yes",O700=""),"Missing channel for sent reminder","OK"))</f>
        <v>OK</v>
      </c>
    </row>
    <row r="701" customFormat="false" ht="15" hidden="false" customHeight="false" outlineLevel="0" collapsed="false">
      <c r="A701" s="9" t="s">
        <v>1350</v>
      </c>
      <c r="B701" s="9" t="s">
        <v>1351</v>
      </c>
      <c r="C701" s="9" t="s">
        <v>37</v>
      </c>
      <c r="D701" s="9" t="n">
        <v>30</v>
      </c>
      <c r="E701" s="9" t="s">
        <v>48</v>
      </c>
      <c r="F701" s="9" t="s">
        <v>57</v>
      </c>
      <c r="G701" s="10" t="n">
        <v>45687</v>
      </c>
      <c r="H701" s="10" t="n">
        <v>45709</v>
      </c>
      <c r="I701" s="9" t="s">
        <v>50</v>
      </c>
      <c r="J701" s="9" t="s">
        <v>51</v>
      </c>
      <c r="K701" s="9" t="n">
        <v>22</v>
      </c>
      <c r="L701" s="9" t="n">
        <v>3</v>
      </c>
      <c r="M701" s="9" t="n">
        <v>1</v>
      </c>
      <c r="N701" s="9" t="s">
        <v>42</v>
      </c>
      <c r="O701" s="9" t="s">
        <v>52</v>
      </c>
      <c r="P701" s="9" t="n">
        <v>20.5</v>
      </c>
      <c r="Q701" s="9" t="n">
        <v>11</v>
      </c>
      <c r="R701" s="9" t="s">
        <v>53</v>
      </c>
      <c r="S701" s="9"/>
      <c r="T701" s="9"/>
      <c r="U701" s="9" t="str">
        <f aca="false">IF(COUNTIF($A$2:$A$5001,A701)&gt;1,"Duplicate","Unique")</f>
        <v>Unique</v>
      </c>
      <c r="V701" s="9" t="str">
        <f aca="false">IF(COUNTIFS($B$2:$B$5001,B701,$H$2:$H$5001,H701,$J$2:$J$5001,J701)&gt;1,"Possible Duplicate Booking","Unique")</f>
        <v>Unique</v>
      </c>
      <c r="W701" s="9" t="str">
        <f aca="false">IF((H701-G701)&lt;&gt;K701,"Mismatch","OK")</f>
        <v>OK</v>
      </c>
      <c r="X701" s="9" t="str">
        <f aca="false">IF(TEXT(H701,"dddd")&lt;&gt;I701,"Mismatch","OK")</f>
        <v>OK</v>
      </c>
      <c r="Y701" s="9" t="str">
        <f aca="false">IF(AND(N701="No",O701&lt;&gt;""),"Unexpected: channel present but no reminder sent",IF(AND(N701="Yes",O701=""),"Missing channel for sent reminder","OK"))</f>
        <v>OK</v>
      </c>
    </row>
    <row r="702" customFormat="false" ht="15" hidden="false" customHeight="false" outlineLevel="0" collapsed="false">
      <c r="A702" s="7" t="s">
        <v>1352</v>
      </c>
      <c r="B702" s="7" t="s">
        <v>1353</v>
      </c>
      <c r="C702" s="7" t="s">
        <v>47</v>
      </c>
      <c r="D702" s="7" t="n">
        <v>48</v>
      </c>
      <c r="E702" s="7" t="s">
        <v>56</v>
      </c>
      <c r="F702" s="7" t="s">
        <v>57</v>
      </c>
      <c r="G702" s="8" t="n">
        <v>45904</v>
      </c>
      <c r="H702" s="8" t="n">
        <v>45942</v>
      </c>
      <c r="I702" s="7" t="s">
        <v>75</v>
      </c>
      <c r="J702" s="7" t="s">
        <v>41</v>
      </c>
      <c r="K702" s="7" t="n">
        <v>38</v>
      </c>
      <c r="L702" s="7" t="n">
        <v>4</v>
      </c>
      <c r="M702" s="7" t="n">
        <v>0</v>
      </c>
      <c r="N702" s="7" t="s">
        <v>42</v>
      </c>
      <c r="O702" s="7" t="s">
        <v>43</v>
      </c>
      <c r="P702" s="7" t="n">
        <v>10</v>
      </c>
      <c r="Q702" s="7" t="n">
        <v>32</v>
      </c>
      <c r="R702" s="7" t="s">
        <v>44</v>
      </c>
      <c r="S702" s="7"/>
      <c r="T702" s="7"/>
      <c r="U702" s="7" t="str">
        <f aca="false">IF(COUNTIF($A$2:$A$5001,A702)&gt;1,"Duplicate","Unique")</f>
        <v>Unique</v>
      </c>
      <c r="V702" s="7" t="str">
        <f aca="false">IF(COUNTIFS($B$2:$B$5001,B702,$H$2:$H$5001,H702,$J$2:$J$5001,J702)&gt;1,"Possible Duplicate Booking","Unique")</f>
        <v>Unique</v>
      </c>
      <c r="W702" s="7" t="str">
        <f aca="false">IF((H702-G702)&lt;&gt;K702,"Mismatch","OK")</f>
        <v>OK</v>
      </c>
      <c r="X702" s="7" t="str">
        <f aca="false">IF(TEXT(H702,"dddd")&lt;&gt;I702,"Mismatch","OK")</f>
        <v>OK</v>
      </c>
      <c r="Y702" s="7" t="str">
        <f aca="false">IF(AND(N702="No",O702&lt;&gt;""),"Unexpected: channel present but no reminder sent",IF(AND(N702="Yes",O702=""),"Missing channel for sent reminder","OK"))</f>
        <v>OK</v>
      </c>
    </row>
    <row r="703" customFormat="false" ht="15" hidden="false" customHeight="false" outlineLevel="0" collapsed="false">
      <c r="A703" s="9" t="s">
        <v>1354</v>
      </c>
      <c r="B703" s="9" t="s">
        <v>1355</v>
      </c>
      <c r="C703" s="9" t="s">
        <v>37</v>
      </c>
      <c r="D703" s="9" t="n">
        <v>75</v>
      </c>
      <c r="E703" s="9" t="s">
        <v>70</v>
      </c>
      <c r="F703" s="9" t="s">
        <v>74</v>
      </c>
      <c r="G703" s="10" t="n">
        <v>45971</v>
      </c>
      <c r="H703" s="10" t="n">
        <v>45994</v>
      </c>
      <c r="I703" s="9" t="s">
        <v>58</v>
      </c>
      <c r="J703" s="9" t="s">
        <v>51</v>
      </c>
      <c r="K703" s="9" t="n">
        <v>23</v>
      </c>
      <c r="L703" s="9" t="n">
        <v>4</v>
      </c>
      <c r="M703" s="9" t="n">
        <v>0</v>
      </c>
      <c r="N703" s="9" t="s">
        <v>42</v>
      </c>
      <c r="O703" s="9" t="s">
        <v>52</v>
      </c>
      <c r="P703" s="9" t="n">
        <v>14.8</v>
      </c>
      <c r="Q703" s="9" t="n">
        <v>16</v>
      </c>
      <c r="R703" s="9" t="s">
        <v>53</v>
      </c>
      <c r="S703" s="9"/>
      <c r="T703" s="9"/>
      <c r="U703" s="9" t="str">
        <f aca="false">IF(COUNTIF($A$2:$A$5001,A703)&gt;1,"Duplicate","Unique")</f>
        <v>Unique</v>
      </c>
      <c r="V703" s="9" t="str">
        <f aca="false">IF(COUNTIFS($B$2:$B$5001,B703,$H$2:$H$5001,H703,$J$2:$J$5001,J703)&gt;1,"Possible Duplicate Booking","Unique")</f>
        <v>Unique</v>
      </c>
      <c r="W703" s="9" t="str">
        <f aca="false">IF((H703-G703)&lt;&gt;K703,"Mismatch","OK")</f>
        <v>OK</v>
      </c>
      <c r="X703" s="9" t="str">
        <f aca="false">IF(TEXT(H703,"dddd")&lt;&gt;I703,"Mismatch","OK")</f>
        <v>OK</v>
      </c>
      <c r="Y703" s="9" t="str">
        <f aca="false">IF(AND(N703="No",O703&lt;&gt;""),"Unexpected: channel present but no reminder sent",IF(AND(N703="Yes",O703=""),"Missing channel for sent reminder","OK"))</f>
        <v>OK</v>
      </c>
    </row>
    <row r="704" customFormat="false" ht="15" hidden="false" customHeight="false" outlineLevel="0" collapsed="false">
      <c r="A704" s="7" t="s">
        <v>1356</v>
      </c>
      <c r="B704" s="7" t="s">
        <v>1357</v>
      </c>
      <c r="C704" s="7" t="s">
        <v>37</v>
      </c>
      <c r="D704" s="7" t="n">
        <v>44</v>
      </c>
      <c r="E704" s="7" t="s">
        <v>38</v>
      </c>
      <c r="F704" s="7" t="s">
        <v>57</v>
      </c>
      <c r="G704" s="8" t="n">
        <v>45733</v>
      </c>
      <c r="H704" s="8" t="n">
        <v>45749</v>
      </c>
      <c r="I704" s="7" t="s">
        <v>58</v>
      </c>
      <c r="J704" s="7" t="s">
        <v>41</v>
      </c>
      <c r="K704" s="7" t="n">
        <v>16</v>
      </c>
      <c r="L704" s="7" t="n">
        <v>6</v>
      </c>
      <c r="M704" s="7" t="n">
        <v>0</v>
      </c>
      <c r="N704" s="7" t="s">
        <v>42</v>
      </c>
      <c r="O704" s="7" t="s">
        <v>52</v>
      </c>
      <c r="P704" s="7" t="n">
        <v>8.7</v>
      </c>
      <c r="Q704" s="7" t="n">
        <v>23</v>
      </c>
      <c r="R704" s="7" t="s">
        <v>44</v>
      </c>
      <c r="S704" s="7"/>
      <c r="T704" s="7"/>
      <c r="U704" s="7" t="str">
        <f aca="false">IF(COUNTIF($A$2:$A$5001,A704)&gt;1,"Duplicate","Unique")</f>
        <v>Unique</v>
      </c>
      <c r="V704" s="7" t="str">
        <f aca="false">IF(COUNTIFS($B$2:$B$5001,B704,$H$2:$H$5001,H704,$J$2:$J$5001,J704)&gt;1,"Possible Duplicate Booking","Unique")</f>
        <v>Unique</v>
      </c>
      <c r="W704" s="7" t="str">
        <f aca="false">IF((H704-G704)&lt;&gt;K704,"Mismatch","OK")</f>
        <v>OK</v>
      </c>
      <c r="X704" s="7" t="str">
        <f aca="false">IF(TEXT(H704,"dddd")&lt;&gt;I704,"Mismatch","OK")</f>
        <v>OK</v>
      </c>
      <c r="Y704" s="7" t="str">
        <f aca="false">IF(AND(N704="No",O704&lt;&gt;""),"Unexpected: channel present but no reminder sent",IF(AND(N704="Yes",O704=""),"Missing channel for sent reminder","OK"))</f>
        <v>OK</v>
      </c>
    </row>
    <row r="705" customFormat="false" ht="15" hidden="false" customHeight="false" outlineLevel="0" collapsed="false">
      <c r="A705" s="9" t="s">
        <v>1358</v>
      </c>
      <c r="B705" s="9" t="s">
        <v>1359</v>
      </c>
      <c r="C705" s="9" t="s">
        <v>37</v>
      </c>
      <c r="D705" s="9" t="n">
        <v>65</v>
      </c>
      <c r="E705" s="9" t="s">
        <v>70</v>
      </c>
      <c r="F705" s="9" t="s">
        <v>39</v>
      </c>
      <c r="G705" s="10" t="n">
        <v>45725</v>
      </c>
      <c r="H705" s="10" t="n">
        <v>45751</v>
      </c>
      <c r="I705" s="9" t="s">
        <v>50</v>
      </c>
      <c r="J705" s="9" t="s">
        <v>51</v>
      </c>
      <c r="K705" s="9" t="n">
        <v>26</v>
      </c>
      <c r="L705" s="9" t="n">
        <v>0</v>
      </c>
      <c r="M705" s="9" t="n">
        <v>0</v>
      </c>
      <c r="N705" s="9" t="s">
        <v>42</v>
      </c>
      <c r="O705" s="9" t="s">
        <v>43</v>
      </c>
      <c r="P705" s="9" t="n">
        <v>12.5</v>
      </c>
      <c r="Q705" s="9" t="n">
        <v>52</v>
      </c>
      <c r="R705" s="9" t="s">
        <v>87</v>
      </c>
      <c r="S705" s="9"/>
      <c r="T705" s="9"/>
      <c r="U705" s="9" t="str">
        <f aca="false">IF(COUNTIF($A$2:$A$5001,A705)&gt;1,"Duplicate","Unique")</f>
        <v>Unique</v>
      </c>
      <c r="V705" s="9" t="str">
        <f aca="false">IF(COUNTIFS($B$2:$B$5001,B705,$H$2:$H$5001,H705,$J$2:$J$5001,J705)&gt;1,"Possible Duplicate Booking","Unique")</f>
        <v>Unique</v>
      </c>
      <c r="W705" s="9" t="str">
        <f aca="false">IF((H705-G705)&lt;&gt;K705,"Mismatch","OK")</f>
        <v>OK</v>
      </c>
      <c r="X705" s="9" t="str">
        <f aca="false">IF(TEXT(H705,"dddd")&lt;&gt;I705,"Mismatch","OK")</f>
        <v>OK</v>
      </c>
      <c r="Y705" s="9" t="str">
        <f aca="false">IF(AND(N705="No",O705&lt;&gt;""),"Unexpected: channel present but no reminder sent",IF(AND(N705="Yes",O705=""),"Missing channel for sent reminder","OK"))</f>
        <v>OK</v>
      </c>
    </row>
    <row r="706" customFormat="false" ht="15" hidden="false" customHeight="false" outlineLevel="0" collapsed="false">
      <c r="A706" s="7" t="s">
        <v>1360</v>
      </c>
      <c r="B706" s="7" t="s">
        <v>1361</v>
      </c>
      <c r="C706" s="7" t="s">
        <v>37</v>
      </c>
      <c r="D706" s="7" t="n">
        <v>51</v>
      </c>
      <c r="E706" s="7" t="s">
        <v>56</v>
      </c>
      <c r="F706" s="7" t="s">
        <v>57</v>
      </c>
      <c r="G706" s="8" t="n">
        <v>45709</v>
      </c>
      <c r="H706" s="8" t="n">
        <v>45728</v>
      </c>
      <c r="I706" s="7" t="s">
        <v>58</v>
      </c>
      <c r="J706" s="7" t="s">
        <v>51</v>
      </c>
      <c r="K706" s="7" t="n">
        <v>19</v>
      </c>
      <c r="L706" s="7" t="n">
        <v>0</v>
      </c>
      <c r="M706" s="7" t="n">
        <v>0</v>
      </c>
      <c r="N706" s="7" t="s">
        <v>42</v>
      </c>
      <c r="O706" s="7" t="s">
        <v>43</v>
      </c>
      <c r="P706" s="7" t="n">
        <v>12.8</v>
      </c>
      <c r="Q706" s="7" t="n">
        <v>4</v>
      </c>
      <c r="R706" s="7" t="s">
        <v>53</v>
      </c>
      <c r="S706" s="7"/>
      <c r="T706" s="7"/>
      <c r="U706" s="7" t="str">
        <f aca="false">IF(COUNTIF($A$2:$A$5001,A706)&gt;1,"Duplicate","Unique")</f>
        <v>Unique</v>
      </c>
      <c r="V706" s="7" t="str">
        <f aca="false">IF(COUNTIFS($B$2:$B$5001,B706,$H$2:$H$5001,H706,$J$2:$J$5001,J706)&gt;1,"Possible Duplicate Booking","Unique")</f>
        <v>Unique</v>
      </c>
      <c r="W706" s="7" t="str">
        <f aca="false">IF((H706-G706)&lt;&gt;K706,"Mismatch","OK")</f>
        <v>OK</v>
      </c>
      <c r="X706" s="7" t="str">
        <f aca="false">IF(TEXT(H706,"dddd")&lt;&gt;I706,"Mismatch","OK")</f>
        <v>OK</v>
      </c>
      <c r="Y706" s="7" t="str">
        <f aca="false">IF(AND(N706="No",O706&lt;&gt;""),"Unexpected: channel present but no reminder sent",IF(AND(N706="Yes",O706=""),"Missing channel for sent reminder","OK"))</f>
        <v>OK</v>
      </c>
    </row>
    <row r="707" customFormat="false" ht="15" hidden="false" customHeight="false" outlineLevel="0" collapsed="false">
      <c r="A707" s="9" t="s">
        <v>1362</v>
      </c>
      <c r="B707" s="9" t="s">
        <v>1363</v>
      </c>
      <c r="C707" s="9" t="s">
        <v>37</v>
      </c>
      <c r="D707" s="9" t="n">
        <v>59</v>
      </c>
      <c r="E707" s="9" t="s">
        <v>61</v>
      </c>
      <c r="F707" s="9" t="s">
        <v>57</v>
      </c>
      <c r="G707" s="10" t="n">
        <v>45917</v>
      </c>
      <c r="H707" s="10" t="n">
        <v>45966</v>
      </c>
      <c r="I707" s="9" t="s">
        <v>58</v>
      </c>
      <c r="J707" s="9" t="s">
        <v>51</v>
      </c>
      <c r="K707" s="9" t="n">
        <v>49</v>
      </c>
      <c r="L707" s="9" t="n">
        <v>2</v>
      </c>
      <c r="M707" s="9" t="n">
        <v>1</v>
      </c>
      <c r="N707" s="9" t="s">
        <v>42</v>
      </c>
      <c r="O707" s="9" t="s">
        <v>52</v>
      </c>
      <c r="P707" s="9" t="n">
        <v>5.3</v>
      </c>
      <c r="Q707" s="9" t="n">
        <v>23</v>
      </c>
      <c r="R707" s="9" t="s">
        <v>44</v>
      </c>
      <c r="S707" s="9"/>
      <c r="T707" s="9"/>
      <c r="U707" s="9" t="str">
        <f aca="false">IF(COUNTIF($A$2:$A$5001,A707)&gt;1,"Duplicate","Unique")</f>
        <v>Unique</v>
      </c>
      <c r="V707" s="9" t="str">
        <f aca="false">IF(COUNTIFS($B$2:$B$5001,B707,$H$2:$H$5001,H707,$J$2:$J$5001,J707)&gt;1,"Possible Duplicate Booking","Unique")</f>
        <v>Unique</v>
      </c>
      <c r="W707" s="9" t="str">
        <f aca="false">IF((H707-G707)&lt;&gt;K707,"Mismatch","OK")</f>
        <v>OK</v>
      </c>
      <c r="X707" s="9" t="str">
        <f aca="false">IF(TEXT(H707,"dddd")&lt;&gt;I707,"Mismatch","OK")</f>
        <v>OK</v>
      </c>
      <c r="Y707" s="9" t="str">
        <f aca="false">IF(AND(N707="No",O707&lt;&gt;""),"Unexpected: channel present but no reminder sent",IF(AND(N707="Yes",O707=""),"Missing channel for sent reminder","OK"))</f>
        <v>OK</v>
      </c>
    </row>
    <row r="708" customFormat="false" ht="15" hidden="false" customHeight="false" outlineLevel="0" collapsed="false">
      <c r="A708" s="7" t="s">
        <v>1364</v>
      </c>
      <c r="B708" s="7" t="s">
        <v>766</v>
      </c>
      <c r="C708" s="7" t="s">
        <v>47</v>
      </c>
      <c r="D708" s="7" t="n">
        <v>57</v>
      </c>
      <c r="E708" s="7" t="s">
        <v>61</v>
      </c>
      <c r="F708" s="7" t="s">
        <v>57</v>
      </c>
      <c r="G708" s="8" t="n">
        <v>45637</v>
      </c>
      <c r="H708" s="8" t="n">
        <v>45662</v>
      </c>
      <c r="I708" s="7" t="s">
        <v>75</v>
      </c>
      <c r="J708" s="7" t="s">
        <v>51</v>
      </c>
      <c r="K708" s="7" t="n">
        <v>25</v>
      </c>
      <c r="L708" s="7" t="n">
        <v>3</v>
      </c>
      <c r="M708" s="7" t="n">
        <v>0</v>
      </c>
      <c r="N708" s="7" t="s">
        <v>71</v>
      </c>
      <c r="O708" s="7"/>
      <c r="P708" s="7" t="n">
        <v>30.3</v>
      </c>
      <c r="Q708" s="7" t="n">
        <v>9</v>
      </c>
      <c r="R708" s="7" t="s">
        <v>44</v>
      </c>
      <c r="S708" s="7"/>
      <c r="T708" s="7"/>
      <c r="U708" s="7" t="str">
        <f aca="false">IF(COUNTIF($A$2:$A$5001,A708)&gt;1,"Duplicate","Unique")</f>
        <v>Unique</v>
      </c>
      <c r="V708" s="7" t="str">
        <f aca="false">IF(COUNTIFS($B$2:$B$5001,B708,$H$2:$H$5001,H708,$J$2:$J$5001,J708)&gt;1,"Possible Duplicate Booking","Unique")</f>
        <v>Unique</v>
      </c>
      <c r="W708" s="7" t="str">
        <f aca="false">IF((H708-G708)&lt;&gt;K708,"Mismatch","OK")</f>
        <v>OK</v>
      </c>
      <c r="X708" s="7" t="str">
        <f aca="false">IF(TEXT(H708,"dddd")&lt;&gt;I708,"Mismatch","OK")</f>
        <v>OK</v>
      </c>
      <c r="Y708" s="7" t="str">
        <f aca="false">IF(AND(N708="No",O708&lt;&gt;""),"Unexpected: channel present but no reminder sent",IF(AND(N708="Yes",O708=""),"Missing channel for sent reminder","OK"))</f>
        <v>OK</v>
      </c>
    </row>
    <row r="709" customFormat="false" ht="15" hidden="false" customHeight="false" outlineLevel="0" collapsed="false">
      <c r="A709" s="9" t="s">
        <v>1365</v>
      </c>
      <c r="B709" s="9" t="s">
        <v>1366</v>
      </c>
      <c r="C709" s="9" t="s">
        <v>47</v>
      </c>
      <c r="D709" s="9" t="n">
        <v>59</v>
      </c>
      <c r="E709" s="9" t="s">
        <v>61</v>
      </c>
      <c r="F709" s="9" t="s">
        <v>57</v>
      </c>
      <c r="G709" s="10" t="n">
        <v>45951</v>
      </c>
      <c r="H709" s="10" t="n">
        <v>45970</v>
      </c>
      <c r="I709" s="9" t="s">
        <v>75</v>
      </c>
      <c r="J709" s="9" t="s">
        <v>63</v>
      </c>
      <c r="K709" s="9" t="n">
        <v>19</v>
      </c>
      <c r="L709" s="9" t="n">
        <v>8</v>
      </c>
      <c r="M709" s="9" t="n">
        <v>1</v>
      </c>
      <c r="N709" s="9" t="s">
        <v>42</v>
      </c>
      <c r="O709" s="9" t="s">
        <v>52</v>
      </c>
      <c r="P709" s="9" t="n">
        <v>10.2</v>
      </c>
      <c r="Q709" s="9" t="n">
        <v>18</v>
      </c>
      <c r="R709" s="9" t="s">
        <v>44</v>
      </c>
      <c r="S709" s="9"/>
      <c r="T709" s="9"/>
      <c r="U709" s="9" t="str">
        <f aca="false">IF(COUNTIF($A$2:$A$5001,A709)&gt;1,"Duplicate","Unique")</f>
        <v>Unique</v>
      </c>
      <c r="V709" s="9" t="str">
        <f aca="false">IF(COUNTIFS($B$2:$B$5001,B709,$H$2:$H$5001,H709,$J$2:$J$5001,J709)&gt;1,"Possible Duplicate Booking","Unique")</f>
        <v>Unique</v>
      </c>
      <c r="W709" s="9" t="str">
        <f aca="false">IF((H709-G709)&lt;&gt;K709,"Mismatch","OK")</f>
        <v>OK</v>
      </c>
      <c r="X709" s="9" t="str">
        <f aca="false">IF(TEXT(H709,"dddd")&lt;&gt;I709,"Mismatch","OK")</f>
        <v>OK</v>
      </c>
      <c r="Y709" s="9" t="str">
        <f aca="false">IF(AND(N709="No",O709&lt;&gt;""),"Unexpected: channel present but no reminder sent",IF(AND(N709="Yes",O709=""),"Missing channel for sent reminder","OK"))</f>
        <v>OK</v>
      </c>
    </row>
    <row r="710" customFormat="false" ht="15" hidden="false" customHeight="false" outlineLevel="0" collapsed="false">
      <c r="A710" s="7" t="s">
        <v>1367</v>
      </c>
      <c r="B710" s="7" t="s">
        <v>328</v>
      </c>
      <c r="C710" s="7" t="s">
        <v>37</v>
      </c>
      <c r="D710" s="7" t="n">
        <v>67</v>
      </c>
      <c r="E710" s="7" t="s">
        <v>70</v>
      </c>
      <c r="F710" s="7" t="s">
        <v>39</v>
      </c>
      <c r="G710" s="8" t="n">
        <v>45885</v>
      </c>
      <c r="H710" s="8" t="n">
        <v>45917</v>
      </c>
      <c r="I710" s="7" t="s">
        <v>58</v>
      </c>
      <c r="J710" s="7" t="s">
        <v>41</v>
      </c>
      <c r="K710" s="7" t="n">
        <v>32</v>
      </c>
      <c r="L710" s="7" t="n">
        <v>6</v>
      </c>
      <c r="M710" s="7" t="n">
        <v>1</v>
      </c>
      <c r="N710" s="7" t="s">
        <v>71</v>
      </c>
      <c r="O710" s="7"/>
      <c r="P710" s="7" t="n">
        <v>2.3</v>
      </c>
      <c r="Q710" s="7" t="n">
        <v>22</v>
      </c>
      <c r="R710" s="7" t="s">
        <v>53</v>
      </c>
      <c r="S710" s="7"/>
      <c r="T710" s="7"/>
      <c r="U710" s="7" t="str">
        <f aca="false">IF(COUNTIF($A$2:$A$5001,A710)&gt;1,"Duplicate","Unique")</f>
        <v>Unique</v>
      </c>
      <c r="V710" s="7" t="str">
        <f aca="false">IF(COUNTIFS($B$2:$B$5001,B710,$H$2:$H$5001,H710,$J$2:$J$5001,J710)&gt;1,"Possible Duplicate Booking","Unique")</f>
        <v>Unique</v>
      </c>
      <c r="W710" s="7" t="str">
        <f aca="false">IF((H710-G710)&lt;&gt;K710,"Mismatch","OK")</f>
        <v>OK</v>
      </c>
      <c r="X710" s="7" t="str">
        <f aca="false">IF(TEXT(H710,"dddd")&lt;&gt;I710,"Mismatch","OK")</f>
        <v>OK</v>
      </c>
      <c r="Y710" s="7" t="str">
        <f aca="false">IF(AND(N710="No",O710&lt;&gt;""),"Unexpected: channel present but no reminder sent",IF(AND(N710="Yes",O710=""),"Missing channel for sent reminder","OK"))</f>
        <v>OK</v>
      </c>
    </row>
    <row r="711" customFormat="false" ht="15" hidden="false" customHeight="false" outlineLevel="0" collapsed="false">
      <c r="A711" s="9" t="s">
        <v>1368</v>
      </c>
      <c r="B711" s="9" t="s">
        <v>1369</v>
      </c>
      <c r="C711" s="9" t="s">
        <v>37</v>
      </c>
      <c r="D711" s="9" t="n">
        <v>74</v>
      </c>
      <c r="E711" s="9" t="s">
        <v>70</v>
      </c>
      <c r="F711" s="9" t="s">
        <v>74</v>
      </c>
      <c r="G711" s="10" t="n">
        <v>45866</v>
      </c>
      <c r="H711" s="10" t="n">
        <v>45912</v>
      </c>
      <c r="I711" s="9" t="s">
        <v>50</v>
      </c>
      <c r="J711" s="9" t="s">
        <v>63</v>
      </c>
      <c r="K711" s="9" t="n">
        <v>46</v>
      </c>
      <c r="L711" s="9" t="n">
        <v>2</v>
      </c>
      <c r="M711" s="9" t="n">
        <v>0</v>
      </c>
      <c r="N711" s="9" t="s">
        <v>42</v>
      </c>
      <c r="O711" s="9" t="s">
        <v>52</v>
      </c>
      <c r="P711" s="9" t="n">
        <v>2.8</v>
      </c>
      <c r="Q711" s="9" t="n">
        <v>10</v>
      </c>
      <c r="R711" s="9" t="s">
        <v>53</v>
      </c>
      <c r="S711" s="9"/>
      <c r="T711" s="9"/>
      <c r="U711" s="9" t="str">
        <f aca="false">IF(COUNTIF($A$2:$A$5001,A711)&gt;1,"Duplicate","Unique")</f>
        <v>Unique</v>
      </c>
      <c r="V711" s="9" t="str">
        <f aca="false">IF(COUNTIFS($B$2:$B$5001,B711,$H$2:$H$5001,H711,$J$2:$J$5001,J711)&gt;1,"Possible Duplicate Booking","Unique")</f>
        <v>Unique</v>
      </c>
      <c r="W711" s="9" t="str">
        <f aca="false">IF((H711-G711)&lt;&gt;K711,"Mismatch","OK")</f>
        <v>OK</v>
      </c>
      <c r="X711" s="9" t="str">
        <f aca="false">IF(TEXT(H711,"dddd")&lt;&gt;I711,"Mismatch","OK")</f>
        <v>OK</v>
      </c>
      <c r="Y711" s="9" t="str">
        <f aca="false">IF(AND(N711="No",O711&lt;&gt;""),"Unexpected: channel present but no reminder sent",IF(AND(N711="Yes",O711=""),"Missing channel for sent reminder","OK"))</f>
        <v>OK</v>
      </c>
    </row>
    <row r="712" customFormat="false" ht="15" hidden="false" customHeight="false" outlineLevel="0" collapsed="false">
      <c r="A712" s="7" t="s">
        <v>1370</v>
      </c>
      <c r="B712" s="7" t="s">
        <v>1371</v>
      </c>
      <c r="C712" s="7" t="s">
        <v>37</v>
      </c>
      <c r="D712" s="7" t="n">
        <v>36</v>
      </c>
      <c r="E712" s="7" t="s">
        <v>38</v>
      </c>
      <c r="F712" s="7" t="s">
        <v>39</v>
      </c>
      <c r="G712" s="8" t="n">
        <v>46012</v>
      </c>
      <c r="H712" s="8" t="n">
        <v>46028</v>
      </c>
      <c r="I712" s="7" t="s">
        <v>40</v>
      </c>
      <c r="J712" s="7" t="s">
        <v>41</v>
      </c>
      <c r="K712" s="7" t="n">
        <v>16</v>
      </c>
      <c r="L712" s="7" t="n">
        <v>4</v>
      </c>
      <c r="M712" s="7" t="n">
        <v>1</v>
      </c>
      <c r="N712" s="7" t="s">
        <v>42</v>
      </c>
      <c r="O712" s="7" t="s">
        <v>43</v>
      </c>
      <c r="P712" s="7" t="n">
        <v>6.2</v>
      </c>
      <c r="Q712" s="7" t="n">
        <v>29</v>
      </c>
      <c r="R712" s="7" t="s">
        <v>53</v>
      </c>
      <c r="S712" s="7"/>
      <c r="T712" s="7"/>
      <c r="U712" s="7" t="str">
        <f aca="false">IF(COUNTIF($A$2:$A$5001,A712)&gt;1,"Duplicate","Unique")</f>
        <v>Unique</v>
      </c>
      <c r="V712" s="7" t="str">
        <f aca="false">IF(COUNTIFS($B$2:$B$5001,B712,$H$2:$H$5001,H712,$J$2:$J$5001,J712)&gt;1,"Possible Duplicate Booking","Unique")</f>
        <v>Unique</v>
      </c>
      <c r="W712" s="7" t="str">
        <f aca="false">IF((H712-G712)&lt;&gt;K712,"Mismatch","OK")</f>
        <v>OK</v>
      </c>
      <c r="X712" s="7" t="str">
        <f aca="false">IF(TEXT(H712,"dddd")&lt;&gt;I712,"Mismatch","OK")</f>
        <v>OK</v>
      </c>
      <c r="Y712" s="7" t="str">
        <f aca="false">IF(AND(N712="No",O712&lt;&gt;""),"Unexpected: channel present but no reminder sent",IF(AND(N712="Yes",O712=""),"Missing channel for sent reminder","OK"))</f>
        <v>OK</v>
      </c>
    </row>
    <row r="713" customFormat="false" ht="15" hidden="false" customHeight="false" outlineLevel="0" collapsed="false">
      <c r="A713" s="9" t="s">
        <v>1372</v>
      </c>
      <c r="B713" s="9" t="s">
        <v>1373</v>
      </c>
      <c r="C713" s="9" t="s">
        <v>47</v>
      </c>
      <c r="D713" s="9" t="n">
        <v>76</v>
      </c>
      <c r="E713" s="9" t="s">
        <v>70</v>
      </c>
      <c r="F713" s="9" t="s">
        <v>74</v>
      </c>
      <c r="G713" s="10" t="n">
        <v>45886</v>
      </c>
      <c r="H713" s="10" t="n">
        <v>45943</v>
      </c>
      <c r="I713" s="9" t="s">
        <v>66</v>
      </c>
      <c r="J713" s="9" t="s">
        <v>51</v>
      </c>
      <c r="K713" s="9" t="n">
        <v>57</v>
      </c>
      <c r="L713" s="9" t="n">
        <v>6</v>
      </c>
      <c r="M713" s="9" t="n">
        <v>2</v>
      </c>
      <c r="N713" s="9" t="s">
        <v>42</v>
      </c>
      <c r="O713" s="9" t="s">
        <v>52</v>
      </c>
      <c r="P713" s="9" t="n">
        <v>1.8</v>
      </c>
      <c r="Q713" s="9" t="n">
        <v>40</v>
      </c>
      <c r="R713" s="9" t="s">
        <v>44</v>
      </c>
      <c r="S713" s="9"/>
      <c r="T713" s="9"/>
      <c r="U713" s="9" t="str">
        <f aca="false">IF(COUNTIF($A$2:$A$5001,A713)&gt;1,"Duplicate","Unique")</f>
        <v>Unique</v>
      </c>
      <c r="V713" s="9" t="str">
        <f aca="false">IF(COUNTIFS($B$2:$B$5001,B713,$H$2:$H$5001,H713,$J$2:$J$5001,J713)&gt;1,"Possible Duplicate Booking","Unique")</f>
        <v>Unique</v>
      </c>
      <c r="W713" s="9" t="str">
        <f aca="false">IF((H713-G713)&lt;&gt;K713,"Mismatch","OK")</f>
        <v>OK</v>
      </c>
      <c r="X713" s="9" t="str">
        <f aca="false">IF(TEXT(H713,"dddd")&lt;&gt;I713,"Mismatch","OK")</f>
        <v>OK</v>
      </c>
      <c r="Y713" s="9" t="str">
        <f aca="false">IF(AND(N713="No",O713&lt;&gt;""),"Unexpected: channel present but no reminder sent",IF(AND(N713="Yes",O713=""),"Missing channel for sent reminder","OK"))</f>
        <v>OK</v>
      </c>
    </row>
    <row r="714" customFormat="false" ht="15" hidden="false" customHeight="false" outlineLevel="0" collapsed="false">
      <c r="A714" s="7" t="s">
        <v>1374</v>
      </c>
      <c r="B714" s="7" t="s">
        <v>1375</v>
      </c>
      <c r="C714" s="7" t="s">
        <v>37</v>
      </c>
      <c r="D714" s="7" t="n">
        <v>57</v>
      </c>
      <c r="E714" s="7" t="s">
        <v>61</v>
      </c>
      <c r="F714" s="7" t="s">
        <v>39</v>
      </c>
      <c r="G714" s="8" t="n">
        <v>46027</v>
      </c>
      <c r="H714" s="8" t="n">
        <v>46055</v>
      </c>
      <c r="I714" s="7" t="s">
        <v>66</v>
      </c>
      <c r="J714" s="7" t="s">
        <v>41</v>
      </c>
      <c r="K714" s="7" t="n">
        <v>28</v>
      </c>
      <c r="L714" s="7" t="n">
        <v>1</v>
      </c>
      <c r="M714" s="7" t="n">
        <v>1</v>
      </c>
      <c r="N714" s="7" t="s">
        <v>42</v>
      </c>
      <c r="O714" s="7" t="s">
        <v>52</v>
      </c>
      <c r="P714" s="7" t="n">
        <v>18.7</v>
      </c>
      <c r="Q714" s="7" t="n">
        <v>28</v>
      </c>
      <c r="R714" s="7" t="s">
        <v>44</v>
      </c>
      <c r="S714" s="7"/>
      <c r="T714" s="7"/>
      <c r="U714" s="7" t="str">
        <f aca="false">IF(COUNTIF($A$2:$A$5001,A714)&gt;1,"Duplicate","Unique")</f>
        <v>Unique</v>
      </c>
      <c r="V714" s="7" t="str">
        <f aca="false">IF(COUNTIFS($B$2:$B$5001,B714,$H$2:$H$5001,H714,$J$2:$J$5001,J714)&gt;1,"Possible Duplicate Booking","Unique")</f>
        <v>Unique</v>
      </c>
      <c r="W714" s="7" t="str">
        <f aca="false">IF((H714-G714)&lt;&gt;K714,"Mismatch","OK")</f>
        <v>OK</v>
      </c>
      <c r="X714" s="7" t="str">
        <f aca="false">IF(TEXT(H714,"dddd")&lt;&gt;I714,"Mismatch","OK")</f>
        <v>OK</v>
      </c>
      <c r="Y714" s="7" t="str">
        <f aca="false">IF(AND(N714="No",O714&lt;&gt;""),"Unexpected: channel present but no reminder sent",IF(AND(N714="Yes",O714=""),"Missing channel for sent reminder","OK"))</f>
        <v>OK</v>
      </c>
    </row>
    <row r="715" customFormat="false" ht="15" hidden="false" customHeight="false" outlineLevel="0" collapsed="false">
      <c r="A715" s="9" t="s">
        <v>1376</v>
      </c>
      <c r="B715" s="9" t="s">
        <v>1377</v>
      </c>
      <c r="C715" s="9" t="s">
        <v>37</v>
      </c>
      <c r="D715" s="9" t="n">
        <v>55</v>
      </c>
      <c r="E715" s="9" t="s">
        <v>61</v>
      </c>
      <c r="F715" s="9" t="s">
        <v>39</v>
      </c>
      <c r="G715" s="10" t="n">
        <v>46035</v>
      </c>
      <c r="H715" s="10" t="n">
        <v>46075</v>
      </c>
      <c r="I715" s="9" t="s">
        <v>75</v>
      </c>
      <c r="J715" s="9" t="s">
        <v>51</v>
      </c>
      <c r="K715" s="9" t="n">
        <v>40</v>
      </c>
      <c r="L715" s="9" t="n">
        <v>2</v>
      </c>
      <c r="M715" s="9" t="n">
        <v>0</v>
      </c>
      <c r="N715" s="9" t="s">
        <v>42</v>
      </c>
      <c r="O715" s="9" t="s">
        <v>43</v>
      </c>
      <c r="P715" s="9" t="n">
        <v>5.4</v>
      </c>
      <c r="Q715" s="9" t="n">
        <v>33</v>
      </c>
      <c r="R715" s="9" t="s">
        <v>44</v>
      </c>
      <c r="S715" s="9"/>
      <c r="T715" s="9"/>
      <c r="U715" s="9" t="str">
        <f aca="false">IF(COUNTIF($A$2:$A$5001,A715)&gt;1,"Duplicate","Unique")</f>
        <v>Unique</v>
      </c>
      <c r="V715" s="9" t="str">
        <f aca="false">IF(COUNTIFS($B$2:$B$5001,B715,$H$2:$H$5001,H715,$J$2:$J$5001,J715)&gt;1,"Possible Duplicate Booking","Unique")</f>
        <v>Unique</v>
      </c>
      <c r="W715" s="9" t="str">
        <f aca="false">IF((H715-G715)&lt;&gt;K715,"Mismatch","OK")</f>
        <v>OK</v>
      </c>
      <c r="X715" s="9" t="str">
        <f aca="false">IF(TEXT(H715,"dddd")&lt;&gt;I715,"Mismatch","OK")</f>
        <v>OK</v>
      </c>
      <c r="Y715" s="9" t="str">
        <f aca="false">IF(AND(N715="No",O715&lt;&gt;""),"Unexpected: channel present but no reminder sent",IF(AND(N715="Yes",O715=""),"Missing channel for sent reminder","OK"))</f>
        <v>OK</v>
      </c>
    </row>
    <row r="716" customFormat="false" ht="15" hidden="false" customHeight="false" outlineLevel="0" collapsed="false">
      <c r="A716" s="7" t="s">
        <v>1378</v>
      </c>
      <c r="B716" s="7" t="s">
        <v>1379</v>
      </c>
      <c r="C716" s="7" t="s">
        <v>47</v>
      </c>
      <c r="D716" s="7" t="n">
        <v>38</v>
      </c>
      <c r="E716" s="7" t="s">
        <v>38</v>
      </c>
      <c r="F716" s="7" t="s">
        <v>57</v>
      </c>
      <c r="G716" s="8" t="n">
        <v>46102</v>
      </c>
      <c r="H716" s="8" t="n">
        <v>46160</v>
      </c>
      <c r="I716" s="7" t="s">
        <v>66</v>
      </c>
      <c r="J716" s="7" t="s">
        <v>41</v>
      </c>
      <c r="K716" s="7" t="n">
        <v>58</v>
      </c>
      <c r="L716" s="7" t="n">
        <v>2</v>
      </c>
      <c r="M716" s="7" t="n">
        <v>0</v>
      </c>
      <c r="N716" s="7" t="s">
        <v>42</v>
      </c>
      <c r="O716" s="7" t="s">
        <v>43</v>
      </c>
      <c r="P716" s="7" t="n">
        <v>3.5</v>
      </c>
      <c r="Q716" s="7" t="n">
        <v>42</v>
      </c>
      <c r="R716" s="7" t="s">
        <v>44</v>
      </c>
      <c r="S716" s="7"/>
      <c r="T716" s="7"/>
      <c r="U716" s="7" t="str">
        <f aca="false">IF(COUNTIF($A$2:$A$5001,A716)&gt;1,"Duplicate","Unique")</f>
        <v>Unique</v>
      </c>
      <c r="V716" s="7" t="str">
        <f aca="false">IF(COUNTIFS($B$2:$B$5001,B716,$H$2:$H$5001,H716,$J$2:$J$5001,J716)&gt;1,"Possible Duplicate Booking","Unique")</f>
        <v>Unique</v>
      </c>
      <c r="W716" s="7" t="str">
        <f aca="false">IF((H716-G716)&lt;&gt;K716,"Mismatch","OK")</f>
        <v>OK</v>
      </c>
      <c r="X716" s="7" t="str">
        <f aca="false">IF(TEXT(H716,"dddd")&lt;&gt;I716,"Mismatch","OK")</f>
        <v>OK</v>
      </c>
      <c r="Y716" s="7" t="str">
        <f aca="false">IF(AND(N716="No",O716&lt;&gt;""),"Unexpected: channel present but no reminder sent",IF(AND(N716="Yes",O716=""),"Missing channel for sent reminder","OK"))</f>
        <v>OK</v>
      </c>
    </row>
    <row r="717" customFormat="false" ht="15" hidden="false" customHeight="false" outlineLevel="0" collapsed="false">
      <c r="A717" s="9" t="s">
        <v>1380</v>
      </c>
      <c r="B717" s="9" t="s">
        <v>1381</v>
      </c>
      <c r="C717" s="9" t="s">
        <v>47</v>
      </c>
      <c r="D717" s="9" t="n">
        <v>44</v>
      </c>
      <c r="E717" s="9" t="s">
        <v>38</v>
      </c>
      <c r="F717" s="9" t="s">
        <v>57</v>
      </c>
      <c r="G717" s="10" t="n">
        <v>46068</v>
      </c>
      <c r="H717" s="10" t="n">
        <v>46094</v>
      </c>
      <c r="I717" s="9" t="s">
        <v>50</v>
      </c>
      <c r="J717" s="9" t="s">
        <v>51</v>
      </c>
      <c r="K717" s="9" t="n">
        <v>26</v>
      </c>
      <c r="L717" s="9" t="n">
        <v>4</v>
      </c>
      <c r="M717" s="9" t="n">
        <v>2</v>
      </c>
      <c r="N717" s="9" t="s">
        <v>71</v>
      </c>
      <c r="O717" s="9"/>
      <c r="P717" s="9" t="n">
        <v>10.7</v>
      </c>
      <c r="Q717" s="9" t="n">
        <v>31</v>
      </c>
      <c r="R717" s="9" t="s">
        <v>53</v>
      </c>
      <c r="S717" s="9"/>
      <c r="T717" s="9"/>
      <c r="U717" s="9" t="str">
        <f aca="false">IF(COUNTIF($A$2:$A$5001,A717)&gt;1,"Duplicate","Unique")</f>
        <v>Unique</v>
      </c>
      <c r="V717" s="9" t="str">
        <f aca="false">IF(COUNTIFS($B$2:$B$5001,B717,$H$2:$H$5001,H717,$J$2:$J$5001,J717)&gt;1,"Possible Duplicate Booking","Unique")</f>
        <v>Unique</v>
      </c>
      <c r="W717" s="9" t="str">
        <f aca="false">IF((H717-G717)&lt;&gt;K717,"Mismatch","OK")</f>
        <v>OK</v>
      </c>
      <c r="X717" s="9" t="str">
        <f aca="false">IF(TEXT(H717,"dddd")&lt;&gt;I717,"Mismatch","OK")</f>
        <v>OK</v>
      </c>
      <c r="Y717" s="9" t="str">
        <f aca="false">IF(AND(N717="No",O717&lt;&gt;""),"Unexpected: channel present but no reminder sent",IF(AND(N717="Yes",O717=""),"Missing channel for sent reminder","OK"))</f>
        <v>OK</v>
      </c>
    </row>
    <row r="718" customFormat="false" ht="15" hidden="false" customHeight="false" outlineLevel="0" collapsed="false">
      <c r="A718" s="7" t="s">
        <v>1382</v>
      </c>
      <c r="B718" s="7" t="s">
        <v>358</v>
      </c>
      <c r="C718" s="7" t="s">
        <v>47</v>
      </c>
      <c r="D718" s="7" t="n">
        <v>59</v>
      </c>
      <c r="E718" s="7" t="s">
        <v>61</v>
      </c>
      <c r="F718" s="7" t="s">
        <v>49</v>
      </c>
      <c r="G718" s="8" t="n">
        <v>45928</v>
      </c>
      <c r="H718" s="8" t="n">
        <v>45940</v>
      </c>
      <c r="I718" s="7" t="s">
        <v>50</v>
      </c>
      <c r="J718" s="7" t="s">
        <v>63</v>
      </c>
      <c r="K718" s="7" t="n">
        <v>12</v>
      </c>
      <c r="L718" s="7" t="n">
        <v>4</v>
      </c>
      <c r="M718" s="7" t="n">
        <v>1</v>
      </c>
      <c r="N718" s="7" t="s">
        <v>42</v>
      </c>
      <c r="O718" s="7" t="s">
        <v>52</v>
      </c>
      <c r="P718" s="7" t="n">
        <v>12.6</v>
      </c>
      <c r="Q718" s="7" t="n">
        <v>2</v>
      </c>
      <c r="R718" s="7" t="s">
        <v>44</v>
      </c>
      <c r="S718" s="7"/>
      <c r="T718" s="7"/>
      <c r="U718" s="7" t="str">
        <f aca="false">IF(COUNTIF($A$2:$A$5001,A718)&gt;1,"Duplicate","Unique")</f>
        <v>Unique</v>
      </c>
      <c r="V718" s="7" t="str">
        <f aca="false">IF(COUNTIFS($B$2:$B$5001,B718,$H$2:$H$5001,H718,$J$2:$J$5001,J718)&gt;1,"Possible Duplicate Booking","Unique")</f>
        <v>Unique</v>
      </c>
      <c r="W718" s="7" t="str">
        <f aca="false">IF((H718-G718)&lt;&gt;K718,"Mismatch","OK")</f>
        <v>OK</v>
      </c>
      <c r="X718" s="7" t="str">
        <f aca="false">IF(TEXT(H718,"dddd")&lt;&gt;I718,"Mismatch","OK")</f>
        <v>OK</v>
      </c>
      <c r="Y718" s="7" t="str">
        <f aca="false">IF(AND(N718="No",O718&lt;&gt;""),"Unexpected: channel present but no reminder sent",IF(AND(N718="Yes",O718=""),"Missing channel for sent reminder","OK"))</f>
        <v>OK</v>
      </c>
    </row>
    <row r="719" customFormat="false" ht="15" hidden="false" customHeight="false" outlineLevel="0" collapsed="false">
      <c r="A719" s="9" t="s">
        <v>1383</v>
      </c>
      <c r="B719" s="9" t="s">
        <v>1384</v>
      </c>
      <c r="C719" s="9" t="s">
        <v>37</v>
      </c>
      <c r="D719" s="9" t="n">
        <v>40</v>
      </c>
      <c r="E719" s="9" t="s">
        <v>38</v>
      </c>
      <c r="F719" s="9" t="s">
        <v>39</v>
      </c>
      <c r="G719" s="10" t="n">
        <v>45881</v>
      </c>
      <c r="H719" s="10" t="n">
        <v>45926</v>
      </c>
      <c r="I719" s="9" t="s">
        <v>50</v>
      </c>
      <c r="J719" s="9" t="s">
        <v>41</v>
      </c>
      <c r="K719" s="9" t="n">
        <v>45</v>
      </c>
      <c r="L719" s="9" t="n">
        <v>2</v>
      </c>
      <c r="M719" s="9" t="n">
        <v>0</v>
      </c>
      <c r="N719" s="9" t="s">
        <v>42</v>
      </c>
      <c r="O719" s="9" t="s">
        <v>52</v>
      </c>
      <c r="P719" s="9" t="n">
        <v>6.5</v>
      </c>
      <c r="Q719" s="9" t="n">
        <v>26</v>
      </c>
      <c r="R719" s="9" t="s">
        <v>44</v>
      </c>
      <c r="S719" s="9"/>
      <c r="T719" s="9"/>
      <c r="U719" s="9" t="str">
        <f aca="false">IF(COUNTIF($A$2:$A$5001,A719)&gt;1,"Duplicate","Unique")</f>
        <v>Unique</v>
      </c>
      <c r="V719" s="9" t="str">
        <f aca="false">IF(COUNTIFS($B$2:$B$5001,B719,$H$2:$H$5001,H719,$J$2:$J$5001,J719)&gt;1,"Possible Duplicate Booking","Unique")</f>
        <v>Unique</v>
      </c>
      <c r="W719" s="9" t="str">
        <f aca="false">IF((H719-G719)&lt;&gt;K719,"Mismatch","OK")</f>
        <v>OK</v>
      </c>
      <c r="X719" s="9" t="str">
        <f aca="false">IF(TEXT(H719,"dddd")&lt;&gt;I719,"Mismatch","OK")</f>
        <v>OK</v>
      </c>
      <c r="Y719" s="9" t="str">
        <f aca="false">IF(AND(N719="No",O719&lt;&gt;""),"Unexpected: channel present but no reminder sent",IF(AND(N719="Yes",O719=""),"Missing channel for sent reminder","OK"))</f>
        <v>OK</v>
      </c>
    </row>
    <row r="720" customFormat="false" ht="15" hidden="false" customHeight="false" outlineLevel="0" collapsed="false">
      <c r="A720" s="7" t="s">
        <v>1385</v>
      </c>
      <c r="B720" s="7" t="s">
        <v>824</v>
      </c>
      <c r="C720" s="7" t="s">
        <v>37</v>
      </c>
      <c r="D720" s="7" t="n">
        <v>36</v>
      </c>
      <c r="E720" s="7" t="s">
        <v>38</v>
      </c>
      <c r="F720" s="7" t="s">
        <v>57</v>
      </c>
      <c r="G720" s="8" t="n">
        <v>45786</v>
      </c>
      <c r="H720" s="8" t="n">
        <v>45786</v>
      </c>
      <c r="I720" s="7" t="s">
        <v>50</v>
      </c>
      <c r="J720" s="7" t="s">
        <v>41</v>
      </c>
      <c r="K720" s="7" t="n">
        <v>0</v>
      </c>
      <c r="L720" s="7" t="n">
        <v>2</v>
      </c>
      <c r="M720" s="7" t="n">
        <v>0</v>
      </c>
      <c r="N720" s="7" t="s">
        <v>42</v>
      </c>
      <c r="O720" s="7" t="s">
        <v>52</v>
      </c>
      <c r="P720" s="7" t="n">
        <v>12.7</v>
      </c>
      <c r="Q720" s="7" t="n">
        <v>2</v>
      </c>
      <c r="R720" s="7" t="s">
        <v>53</v>
      </c>
      <c r="S720" s="7"/>
      <c r="T720" s="7"/>
      <c r="U720" s="7" t="str">
        <f aca="false">IF(COUNTIF($A$2:$A$5001,A720)&gt;1,"Duplicate","Unique")</f>
        <v>Unique</v>
      </c>
      <c r="V720" s="7" t="str">
        <f aca="false">IF(COUNTIFS($B$2:$B$5001,B720,$H$2:$H$5001,H720,$J$2:$J$5001,J720)&gt;1,"Possible Duplicate Booking","Unique")</f>
        <v>Unique</v>
      </c>
      <c r="W720" s="7" t="str">
        <f aca="false">IF((H720-G720)&lt;&gt;K720,"Mismatch","OK")</f>
        <v>OK</v>
      </c>
      <c r="X720" s="7" t="str">
        <f aca="false">IF(TEXT(H720,"dddd")&lt;&gt;I720,"Mismatch","OK")</f>
        <v>OK</v>
      </c>
      <c r="Y720" s="7" t="str">
        <f aca="false">IF(AND(N720="No",O720&lt;&gt;""),"Unexpected: channel present but no reminder sent",IF(AND(N720="Yes",O720=""),"Missing channel for sent reminder","OK"))</f>
        <v>OK</v>
      </c>
    </row>
    <row r="721" customFormat="false" ht="15" hidden="false" customHeight="false" outlineLevel="0" collapsed="false">
      <c r="A721" s="9" t="s">
        <v>1386</v>
      </c>
      <c r="B721" s="9" t="s">
        <v>1387</v>
      </c>
      <c r="C721" s="9" t="s">
        <v>37</v>
      </c>
      <c r="D721" s="9" t="n">
        <v>69</v>
      </c>
      <c r="E721" s="9" t="s">
        <v>70</v>
      </c>
      <c r="F721" s="9" t="s">
        <v>49</v>
      </c>
      <c r="G721" s="10" t="n">
        <v>45958</v>
      </c>
      <c r="H721" s="10" t="n">
        <v>45985</v>
      </c>
      <c r="I721" s="9" t="s">
        <v>66</v>
      </c>
      <c r="J721" s="9" t="s">
        <v>41</v>
      </c>
      <c r="K721" s="9" t="n">
        <v>27</v>
      </c>
      <c r="L721" s="9" t="n">
        <v>3</v>
      </c>
      <c r="M721" s="9" t="n">
        <v>0</v>
      </c>
      <c r="N721" s="9" t="s">
        <v>71</v>
      </c>
      <c r="O721" s="9"/>
      <c r="P721" s="9" t="n">
        <v>14.6</v>
      </c>
      <c r="Q721" s="9" t="n">
        <v>16</v>
      </c>
      <c r="R721" s="9" t="s">
        <v>44</v>
      </c>
      <c r="S721" s="9"/>
      <c r="T721" s="9"/>
      <c r="U721" s="9" t="str">
        <f aca="false">IF(COUNTIF($A$2:$A$5001,A721)&gt;1,"Duplicate","Unique")</f>
        <v>Unique</v>
      </c>
      <c r="V721" s="9" t="str">
        <f aca="false">IF(COUNTIFS($B$2:$B$5001,B721,$H$2:$H$5001,H721,$J$2:$J$5001,J721)&gt;1,"Possible Duplicate Booking","Unique")</f>
        <v>Unique</v>
      </c>
      <c r="W721" s="9" t="str">
        <f aca="false">IF((H721-G721)&lt;&gt;K721,"Mismatch","OK")</f>
        <v>OK</v>
      </c>
      <c r="X721" s="9" t="str">
        <f aca="false">IF(TEXT(H721,"dddd")&lt;&gt;I721,"Mismatch","OK")</f>
        <v>OK</v>
      </c>
      <c r="Y721" s="9" t="str">
        <f aca="false">IF(AND(N721="No",O721&lt;&gt;""),"Unexpected: channel present but no reminder sent",IF(AND(N721="Yes",O721=""),"Missing channel for sent reminder","OK"))</f>
        <v>OK</v>
      </c>
    </row>
    <row r="722" customFormat="false" ht="15" hidden="false" customHeight="false" outlineLevel="0" collapsed="false">
      <c r="A722" s="7" t="s">
        <v>1388</v>
      </c>
      <c r="B722" s="7" t="s">
        <v>1389</v>
      </c>
      <c r="C722" s="7" t="s">
        <v>47</v>
      </c>
      <c r="D722" s="7" t="n">
        <v>44</v>
      </c>
      <c r="E722" s="7" t="s">
        <v>38</v>
      </c>
      <c r="F722" s="7" t="s">
        <v>57</v>
      </c>
      <c r="G722" s="8" t="n">
        <v>45674</v>
      </c>
      <c r="H722" s="8" t="n">
        <v>45733</v>
      </c>
      <c r="I722" s="7" t="s">
        <v>66</v>
      </c>
      <c r="J722" s="7" t="s">
        <v>41</v>
      </c>
      <c r="K722" s="7" t="n">
        <v>59</v>
      </c>
      <c r="L722" s="7" t="n">
        <v>4</v>
      </c>
      <c r="M722" s="7" t="n">
        <v>0</v>
      </c>
      <c r="N722" s="7" t="s">
        <v>42</v>
      </c>
      <c r="O722" s="7" t="s">
        <v>67</v>
      </c>
      <c r="P722" s="7" t="n">
        <v>6.4</v>
      </c>
      <c r="Q722" s="7" t="n">
        <v>8</v>
      </c>
      <c r="R722" s="7" t="s">
        <v>53</v>
      </c>
      <c r="S722" s="7"/>
      <c r="T722" s="7"/>
      <c r="U722" s="7" t="str">
        <f aca="false">IF(COUNTIF($A$2:$A$5001,A722)&gt;1,"Duplicate","Unique")</f>
        <v>Unique</v>
      </c>
      <c r="V722" s="7" t="str">
        <f aca="false">IF(COUNTIFS($B$2:$B$5001,B722,$H$2:$H$5001,H722,$J$2:$J$5001,J722)&gt;1,"Possible Duplicate Booking","Unique")</f>
        <v>Unique</v>
      </c>
      <c r="W722" s="7" t="str">
        <f aca="false">IF((H722-G722)&lt;&gt;K722,"Mismatch","OK")</f>
        <v>OK</v>
      </c>
      <c r="X722" s="7" t="str">
        <f aca="false">IF(TEXT(H722,"dddd")&lt;&gt;I722,"Mismatch","OK")</f>
        <v>OK</v>
      </c>
      <c r="Y722" s="7" t="str">
        <f aca="false">IF(AND(N722="No",O722&lt;&gt;""),"Unexpected: channel present but no reminder sent",IF(AND(N722="Yes",O722=""),"Missing channel for sent reminder","OK"))</f>
        <v>OK</v>
      </c>
    </row>
    <row r="723" customFormat="false" ht="15" hidden="false" customHeight="false" outlineLevel="0" collapsed="false">
      <c r="A723" s="9" t="s">
        <v>1390</v>
      </c>
      <c r="B723" s="9" t="s">
        <v>1391</v>
      </c>
      <c r="C723" s="9" t="s">
        <v>47</v>
      </c>
      <c r="D723" s="9" t="n">
        <v>58</v>
      </c>
      <c r="E723" s="9" t="s">
        <v>61</v>
      </c>
      <c r="F723" s="9" t="s">
        <v>49</v>
      </c>
      <c r="G723" s="10" t="n">
        <v>46141</v>
      </c>
      <c r="H723" s="10" t="n">
        <v>46166</v>
      </c>
      <c r="I723" s="9" t="s">
        <v>75</v>
      </c>
      <c r="J723" s="9" t="s">
        <v>41</v>
      </c>
      <c r="K723" s="9" t="n">
        <v>25</v>
      </c>
      <c r="L723" s="9" t="n">
        <v>7</v>
      </c>
      <c r="M723" s="9" t="n">
        <v>1</v>
      </c>
      <c r="N723" s="9" t="s">
        <v>42</v>
      </c>
      <c r="O723" s="9" t="s">
        <v>52</v>
      </c>
      <c r="P723" s="9" t="n">
        <v>3.2</v>
      </c>
      <c r="Q723" s="9" t="n">
        <v>27</v>
      </c>
      <c r="R723" s="9" t="s">
        <v>44</v>
      </c>
      <c r="S723" s="9"/>
      <c r="T723" s="9"/>
      <c r="U723" s="9" t="str">
        <f aca="false">IF(COUNTIF($A$2:$A$5001,A723)&gt;1,"Duplicate","Unique")</f>
        <v>Unique</v>
      </c>
      <c r="V723" s="9" t="str">
        <f aca="false">IF(COUNTIFS($B$2:$B$5001,B723,$H$2:$H$5001,H723,$J$2:$J$5001,J723)&gt;1,"Possible Duplicate Booking","Unique")</f>
        <v>Unique</v>
      </c>
      <c r="W723" s="9" t="str">
        <f aca="false">IF((H723-G723)&lt;&gt;K723,"Mismatch","OK")</f>
        <v>OK</v>
      </c>
      <c r="X723" s="9" t="str">
        <f aca="false">IF(TEXT(H723,"dddd")&lt;&gt;I723,"Mismatch","OK")</f>
        <v>OK</v>
      </c>
      <c r="Y723" s="9" t="str">
        <f aca="false">IF(AND(N723="No",O723&lt;&gt;""),"Unexpected: channel present but no reminder sent",IF(AND(N723="Yes",O723=""),"Missing channel for sent reminder","OK"))</f>
        <v>OK</v>
      </c>
    </row>
    <row r="724" customFormat="false" ht="15" hidden="false" customHeight="false" outlineLevel="0" collapsed="false">
      <c r="A724" s="7" t="s">
        <v>1392</v>
      </c>
      <c r="B724" s="7" t="s">
        <v>941</v>
      </c>
      <c r="C724" s="7" t="s">
        <v>37</v>
      </c>
      <c r="D724" s="7" t="n">
        <v>19</v>
      </c>
      <c r="E724" s="7" t="s">
        <v>82</v>
      </c>
      <c r="F724" s="7" t="s">
        <v>57</v>
      </c>
      <c r="G724" s="8" t="n">
        <v>46078</v>
      </c>
      <c r="H724" s="8" t="n">
        <v>46119</v>
      </c>
      <c r="I724" s="7" t="s">
        <v>40</v>
      </c>
      <c r="J724" s="7" t="s">
        <v>41</v>
      </c>
      <c r="K724" s="7" t="n">
        <v>41</v>
      </c>
      <c r="L724" s="7" t="n">
        <v>5</v>
      </c>
      <c r="M724" s="7" t="n">
        <v>1</v>
      </c>
      <c r="N724" s="7" t="s">
        <v>42</v>
      </c>
      <c r="O724" s="7" t="s">
        <v>52</v>
      </c>
      <c r="P724" s="7" t="n">
        <v>5.8</v>
      </c>
      <c r="Q724" s="7" t="n">
        <v>14</v>
      </c>
      <c r="R724" s="7" t="s">
        <v>53</v>
      </c>
      <c r="S724" s="7"/>
      <c r="T724" s="7"/>
      <c r="U724" s="7" t="str">
        <f aca="false">IF(COUNTIF($A$2:$A$5001,A724)&gt;1,"Duplicate","Unique")</f>
        <v>Unique</v>
      </c>
      <c r="V724" s="7" t="str">
        <f aca="false">IF(COUNTIFS($B$2:$B$5001,B724,$H$2:$H$5001,H724,$J$2:$J$5001,J724)&gt;1,"Possible Duplicate Booking","Unique")</f>
        <v>Unique</v>
      </c>
      <c r="W724" s="7" t="str">
        <f aca="false">IF((H724-G724)&lt;&gt;K724,"Mismatch","OK")</f>
        <v>OK</v>
      </c>
      <c r="X724" s="7" t="str">
        <f aca="false">IF(TEXT(H724,"dddd")&lt;&gt;I724,"Mismatch","OK")</f>
        <v>OK</v>
      </c>
      <c r="Y724" s="7" t="str">
        <f aca="false">IF(AND(N724="No",O724&lt;&gt;""),"Unexpected: channel present but no reminder sent",IF(AND(N724="Yes",O724=""),"Missing channel for sent reminder","OK"))</f>
        <v>OK</v>
      </c>
    </row>
    <row r="725" customFormat="false" ht="15" hidden="false" customHeight="false" outlineLevel="0" collapsed="false">
      <c r="A725" s="9" t="s">
        <v>1393</v>
      </c>
      <c r="B725" s="9" t="s">
        <v>1394</v>
      </c>
      <c r="C725" s="9" t="s">
        <v>47</v>
      </c>
      <c r="D725" s="9" t="n">
        <v>22</v>
      </c>
      <c r="E725" s="9" t="s">
        <v>82</v>
      </c>
      <c r="F725" s="9" t="s">
        <v>74</v>
      </c>
      <c r="G725" s="10" t="n">
        <v>45691</v>
      </c>
      <c r="H725" s="10" t="n">
        <v>45723</v>
      </c>
      <c r="I725" s="9" t="s">
        <v>50</v>
      </c>
      <c r="J725" s="9" t="s">
        <v>51</v>
      </c>
      <c r="K725" s="9" t="n">
        <v>32</v>
      </c>
      <c r="L725" s="9" t="n">
        <v>2</v>
      </c>
      <c r="M725" s="9" t="n">
        <v>0</v>
      </c>
      <c r="N725" s="9" t="s">
        <v>42</v>
      </c>
      <c r="O725" s="9" t="s">
        <v>43</v>
      </c>
      <c r="P725" s="9" t="n">
        <v>7.3</v>
      </c>
      <c r="Q725" s="9" t="n">
        <v>27</v>
      </c>
      <c r="R725" s="9" t="s">
        <v>53</v>
      </c>
      <c r="S725" s="9"/>
      <c r="T725" s="9"/>
      <c r="U725" s="9" t="str">
        <f aca="false">IF(COUNTIF($A$2:$A$5001,A725)&gt;1,"Duplicate","Unique")</f>
        <v>Unique</v>
      </c>
      <c r="V725" s="9" t="str">
        <f aca="false">IF(COUNTIFS($B$2:$B$5001,B725,$H$2:$H$5001,H725,$J$2:$J$5001,J725)&gt;1,"Possible Duplicate Booking","Unique")</f>
        <v>Unique</v>
      </c>
      <c r="W725" s="9" t="str">
        <f aca="false">IF((H725-G725)&lt;&gt;K725,"Mismatch","OK")</f>
        <v>OK</v>
      </c>
      <c r="X725" s="9" t="str">
        <f aca="false">IF(TEXT(H725,"dddd")&lt;&gt;I725,"Mismatch","OK")</f>
        <v>OK</v>
      </c>
      <c r="Y725" s="9" t="str">
        <f aca="false">IF(AND(N725="No",O725&lt;&gt;""),"Unexpected: channel present but no reminder sent",IF(AND(N725="Yes",O725=""),"Missing channel for sent reminder","OK"))</f>
        <v>OK</v>
      </c>
    </row>
    <row r="726" customFormat="false" ht="15" hidden="false" customHeight="false" outlineLevel="0" collapsed="false">
      <c r="A726" s="7" t="s">
        <v>1395</v>
      </c>
      <c r="B726" s="7" t="s">
        <v>1396</v>
      </c>
      <c r="C726" s="7" t="s">
        <v>37</v>
      </c>
      <c r="D726" s="7" t="n">
        <v>71</v>
      </c>
      <c r="E726" s="7" t="s">
        <v>70</v>
      </c>
      <c r="F726" s="7" t="s">
        <v>57</v>
      </c>
      <c r="G726" s="8" t="n">
        <v>46074</v>
      </c>
      <c r="H726" s="8" t="n">
        <v>46087</v>
      </c>
      <c r="I726" s="7" t="s">
        <v>50</v>
      </c>
      <c r="J726" s="7" t="s">
        <v>41</v>
      </c>
      <c r="K726" s="7" t="n">
        <v>13</v>
      </c>
      <c r="L726" s="7" t="n">
        <v>4</v>
      </c>
      <c r="M726" s="7" t="n">
        <v>0</v>
      </c>
      <c r="N726" s="7" t="s">
        <v>42</v>
      </c>
      <c r="O726" s="7" t="s">
        <v>52</v>
      </c>
      <c r="P726" s="7" t="n">
        <v>8.8</v>
      </c>
      <c r="Q726" s="7" t="n">
        <v>33</v>
      </c>
      <c r="R726" s="7" t="s">
        <v>53</v>
      </c>
      <c r="S726" s="7"/>
      <c r="T726" s="7"/>
      <c r="U726" s="7" t="str">
        <f aca="false">IF(COUNTIF($A$2:$A$5001,A726)&gt;1,"Duplicate","Unique")</f>
        <v>Unique</v>
      </c>
      <c r="V726" s="7" t="str">
        <f aca="false">IF(COUNTIFS($B$2:$B$5001,B726,$H$2:$H$5001,H726,$J$2:$J$5001,J726)&gt;1,"Possible Duplicate Booking","Unique")</f>
        <v>Unique</v>
      </c>
      <c r="W726" s="7" t="str">
        <f aca="false">IF((H726-G726)&lt;&gt;K726,"Mismatch","OK")</f>
        <v>OK</v>
      </c>
      <c r="X726" s="7" t="str">
        <f aca="false">IF(TEXT(H726,"dddd")&lt;&gt;I726,"Mismatch","OK")</f>
        <v>OK</v>
      </c>
      <c r="Y726" s="7" t="str">
        <f aca="false">IF(AND(N726="No",O726&lt;&gt;""),"Unexpected: channel present but no reminder sent",IF(AND(N726="Yes",O726=""),"Missing channel for sent reminder","OK"))</f>
        <v>OK</v>
      </c>
    </row>
    <row r="727" customFormat="false" ht="15" hidden="false" customHeight="false" outlineLevel="0" collapsed="false">
      <c r="A727" s="9" t="s">
        <v>1397</v>
      </c>
      <c r="B727" s="9" t="s">
        <v>1398</v>
      </c>
      <c r="C727" s="9" t="s">
        <v>47</v>
      </c>
      <c r="D727" s="9" t="n">
        <v>26</v>
      </c>
      <c r="E727" s="9" t="s">
        <v>48</v>
      </c>
      <c r="F727" s="9" t="s">
        <v>57</v>
      </c>
      <c r="G727" s="10" t="n">
        <v>45702</v>
      </c>
      <c r="H727" s="10" t="n">
        <v>45721</v>
      </c>
      <c r="I727" s="9" t="s">
        <v>58</v>
      </c>
      <c r="J727" s="9" t="s">
        <v>51</v>
      </c>
      <c r="K727" s="9" t="n">
        <v>19</v>
      </c>
      <c r="L727" s="9" t="n">
        <v>2</v>
      </c>
      <c r="M727" s="9" t="n">
        <v>0</v>
      </c>
      <c r="N727" s="9" t="s">
        <v>71</v>
      </c>
      <c r="O727" s="9"/>
      <c r="P727" s="9" t="n">
        <v>14.9</v>
      </c>
      <c r="Q727" s="9" t="n">
        <v>13</v>
      </c>
      <c r="R727" s="9" t="s">
        <v>44</v>
      </c>
      <c r="S727" s="9"/>
      <c r="T727" s="9"/>
      <c r="U727" s="9" t="str">
        <f aca="false">IF(COUNTIF($A$2:$A$5001,A727)&gt;1,"Duplicate","Unique")</f>
        <v>Unique</v>
      </c>
      <c r="V727" s="9" t="str">
        <f aca="false">IF(COUNTIFS($B$2:$B$5001,B727,$H$2:$H$5001,H727,$J$2:$J$5001,J727)&gt;1,"Possible Duplicate Booking","Unique")</f>
        <v>Unique</v>
      </c>
      <c r="W727" s="9" t="str">
        <f aca="false">IF((H727-G727)&lt;&gt;K727,"Mismatch","OK")</f>
        <v>OK</v>
      </c>
      <c r="X727" s="9" t="str">
        <f aca="false">IF(TEXT(H727,"dddd")&lt;&gt;I727,"Mismatch","OK")</f>
        <v>OK</v>
      </c>
      <c r="Y727" s="9" t="str">
        <f aca="false">IF(AND(N727="No",O727&lt;&gt;""),"Unexpected: channel present but no reminder sent",IF(AND(N727="Yes",O727=""),"Missing channel for sent reminder","OK"))</f>
        <v>OK</v>
      </c>
    </row>
    <row r="728" customFormat="false" ht="15" hidden="false" customHeight="false" outlineLevel="0" collapsed="false">
      <c r="A728" s="7" t="s">
        <v>1399</v>
      </c>
      <c r="B728" s="7" t="s">
        <v>1257</v>
      </c>
      <c r="C728" s="7" t="s">
        <v>37</v>
      </c>
      <c r="D728" s="7" t="n">
        <v>68</v>
      </c>
      <c r="E728" s="7" t="s">
        <v>70</v>
      </c>
      <c r="F728" s="7" t="s">
        <v>39</v>
      </c>
      <c r="G728" s="8" t="n">
        <v>46020</v>
      </c>
      <c r="H728" s="8" t="n">
        <v>46051</v>
      </c>
      <c r="I728" s="7" t="s">
        <v>62</v>
      </c>
      <c r="J728" s="7" t="s">
        <v>41</v>
      </c>
      <c r="K728" s="7" t="n">
        <v>31</v>
      </c>
      <c r="L728" s="7" t="n">
        <v>4</v>
      </c>
      <c r="M728" s="7" t="n">
        <v>1</v>
      </c>
      <c r="N728" s="7" t="s">
        <v>42</v>
      </c>
      <c r="O728" s="7" t="s">
        <v>67</v>
      </c>
      <c r="P728" s="7" t="n">
        <v>7.5</v>
      </c>
      <c r="Q728" s="7" t="n">
        <v>27</v>
      </c>
      <c r="R728" s="7" t="s">
        <v>44</v>
      </c>
      <c r="S728" s="7"/>
      <c r="T728" s="7"/>
      <c r="U728" s="7" t="str">
        <f aca="false">IF(COUNTIF($A$2:$A$5001,A728)&gt;1,"Duplicate","Unique")</f>
        <v>Unique</v>
      </c>
      <c r="V728" s="7" t="str">
        <f aca="false">IF(COUNTIFS($B$2:$B$5001,B728,$H$2:$H$5001,H728,$J$2:$J$5001,J728)&gt;1,"Possible Duplicate Booking","Unique")</f>
        <v>Unique</v>
      </c>
      <c r="W728" s="7" t="str">
        <f aca="false">IF((H728-G728)&lt;&gt;K728,"Mismatch","OK")</f>
        <v>OK</v>
      </c>
      <c r="X728" s="7" t="str">
        <f aca="false">IF(TEXT(H728,"dddd")&lt;&gt;I728,"Mismatch","OK")</f>
        <v>OK</v>
      </c>
      <c r="Y728" s="7" t="str">
        <f aca="false">IF(AND(N728="No",O728&lt;&gt;""),"Unexpected: channel present but no reminder sent",IF(AND(N728="Yes",O728=""),"Missing channel for sent reminder","OK"))</f>
        <v>OK</v>
      </c>
    </row>
    <row r="729" customFormat="false" ht="15" hidden="false" customHeight="false" outlineLevel="0" collapsed="false">
      <c r="A729" s="9" t="s">
        <v>1400</v>
      </c>
      <c r="B729" s="9" t="s">
        <v>1401</v>
      </c>
      <c r="C729" s="9" t="s">
        <v>37</v>
      </c>
      <c r="D729" s="9" t="n">
        <v>74</v>
      </c>
      <c r="E729" s="9" t="s">
        <v>70</v>
      </c>
      <c r="F729" s="9" t="s">
        <v>57</v>
      </c>
      <c r="G729" s="10" t="n">
        <v>45699</v>
      </c>
      <c r="H729" s="10" t="n">
        <v>45705</v>
      </c>
      <c r="I729" s="9" t="s">
        <v>66</v>
      </c>
      <c r="J729" s="9" t="s">
        <v>41</v>
      </c>
      <c r="K729" s="9" t="n">
        <v>6</v>
      </c>
      <c r="L729" s="9" t="n">
        <v>2</v>
      </c>
      <c r="M729" s="9" t="n">
        <v>0</v>
      </c>
      <c r="N729" s="9" t="s">
        <v>42</v>
      </c>
      <c r="O729" s="9" t="s">
        <v>52</v>
      </c>
      <c r="P729" s="9" t="n">
        <v>4.8</v>
      </c>
      <c r="Q729" s="9" t="n">
        <v>2</v>
      </c>
      <c r="R729" s="9" t="s">
        <v>44</v>
      </c>
      <c r="S729" s="9"/>
      <c r="T729" s="9"/>
      <c r="U729" s="9" t="str">
        <f aca="false">IF(COUNTIF($A$2:$A$5001,A729)&gt;1,"Duplicate","Unique")</f>
        <v>Unique</v>
      </c>
      <c r="V729" s="9" t="str">
        <f aca="false">IF(COUNTIFS($B$2:$B$5001,B729,$H$2:$H$5001,H729,$J$2:$J$5001,J729)&gt;1,"Possible Duplicate Booking","Unique")</f>
        <v>Unique</v>
      </c>
      <c r="W729" s="9" t="str">
        <f aca="false">IF((H729-G729)&lt;&gt;K729,"Mismatch","OK")</f>
        <v>OK</v>
      </c>
      <c r="X729" s="9" t="str">
        <f aca="false">IF(TEXT(H729,"dddd")&lt;&gt;I729,"Mismatch","OK")</f>
        <v>OK</v>
      </c>
      <c r="Y729" s="9" t="str">
        <f aca="false">IF(AND(N729="No",O729&lt;&gt;""),"Unexpected: channel present but no reminder sent",IF(AND(N729="Yes",O729=""),"Missing channel for sent reminder","OK"))</f>
        <v>OK</v>
      </c>
    </row>
    <row r="730" customFormat="false" ht="15" hidden="false" customHeight="false" outlineLevel="0" collapsed="false">
      <c r="A730" s="7" t="s">
        <v>1402</v>
      </c>
      <c r="B730" s="7" t="s">
        <v>1403</v>
      </c>
      <c r="C730" s="7" t="s">
        <v>37</v>
      </c>
      <c r="D730" s="7" t="n">
        <v>48</v>
      </c>
      <c r="E730" s="7" t="s">
        <v>56</v>
      </c>
      <c r="F730" s="7" t="s">
        <v>74</v>
      </c>
      <c r="G730" s="8" t="n">
        <v>45899</v>
      </c>
      <c r="H730" s="8" t="n">
        <v>45924</v>
      </c>
      <c r="I730" s="7" t="s">
        <v>58</v>
      </c>
      <c r="J730" s="7" t="s">
        <v>51</v>
      </c>
      <c r="K730" s="7" t="n">
        <v>25</v>
      </c>
      <c r="L730" s="7" t="n">
        <v>2</v>
      </c>
      <c r="M730" s="7" t="n">
        <v>0</v>
      </c>
      <c r="N730" s="7" t="s">
        <v>42</v>
      </c>
      <c r="O730" s="7" t="s">
        <v>67</v>
      </c>
      <c r="P730" s="7" t="n">
        <v>5.7</v>
      </c>
      <c r="Q730" s="7" t="n">
        <v>8</v>
      </c>
      <c r="R730" s="7" t="s">
        <v>53</v>
      </c>
      <c r="S730" s="7"/>
      <c r="T730" s="7"/>
      <c r="U730" s="7" t="str">
        <f aca="false">IF(COUNTIF($A$2:$A$5001,A730)&gt;1,"Duplicate","Unique")</f>
        <v>Unique</v>
      </c>
      <c r="V730" s="7" t="str">
        <f aca="false">IF(COUNTIFS($B$2:$B$5001,B730,$H$2:$H$5001,H730,$J$2:$J$5001,J730)&gt;1,"Possible Duplicate Booking","Unique")</f>
        <v>Unique</v>
      </c>
      <c r="W730" s="7" t="str">
        <f aca="false">IF((H730-G730)&lt;&gt;K730,"Mismatch","OK")</f>
        <v>OK</v>
      </c>
      <c r="X730" s="7" t="str">
        <f aca="false">IF(TEXT(H730,"dddd")&lt;&gt;I730,"Mismatch","OK")</f>
        <v>OK</v>
      </c>
      <c r="Y730" s="7" t="str">
        <f aca="false">IF(AND(N730="No",O730&lt;&gt;""),"Unexpected: channel present but no reminder sent",IF(AND(N730="Yes",O730=""),"Missing channel for sent reminder","OK"))</f>
        <v>OK</v>
      </c>
    </row>
    <row r="731" customFormat="false" ht="15" hidden="false" customHeight="false" outlineLevel="0" collapsed="false">
      <c r="A731" s="9" t="s">
        <v>1404</v>
      </c>
      <c r="B731" s="9" t="s">
        <v>737</v>
      </c>
      <c r="C731" s="9" t="s">
        <v>47</v>
      </c>
      <c r="D731" s="9" t="n">
        <v>73</v>
      </c>
      <c r="E731" s="9" t="s">
        <v>70</v>
      </c>
      <c r="F731" s="9" t="s">
        <v>39</v>
      </c>
      <c r="G731" s="10" t="n">
        <v>45992</v>
      </c>
      <c r="H731" s="10" t="n">
        <v>46017</v>
      </c>
      <c r="I731" s="9" t="s">
        <v>50</v>
      </c>
      <c r="J731" s="9" t="s">
        <v>41</v>
      </c>
      <c r="K731" s="9" t="n">
        <v>25</v>
      </c>
      <c r="L731" s="9" t="n">
        <v>6</v>
      </c>
      <c r="M731" s="9" t="n">
        <v>1</v>
      </c>
      <c r="N731" s="9" t="s">
        <v>42</v>
      </c>
      <c r="O731" s="9" t="s">
        <v>52</v>
      </c>
      <c r="P731" s="9" t="n">
        <v>9.8</v>
      </c>
      <c r="Q731" s="9" t="n">
        <v>38</v>
      </c>
      <c r="R731" s="9" t="s">
        <v>87</v>
      </c>
      <c r="S731" s="9"/>
      <c r="T731" s="9"/>
      <c r="U731" s="9" t="str">
        <f aca="false">IF(COUNTIF($A$2:$A$5001,A731)&gt;1,"Duplicate","Unique")</f>
        <v>Unique</v>
      </c>
      <c r="V731" s="9" t="str">
        <f aca="false">IF(COUNTIFS($B$2:$B$5001,B731,$H$2:$H$5001,H731,$J$2:$J$5001,J731)&gt;1,"Possible Duplicate Booking","Unique")</f>
        <v>Unique</v>
      </c>
      <c r="W731" s="9" t="str">
        <f aca="false">IF((H731-G731)&lt;&gt;K731,"Mismatch","OK")</f>
        <v>OK</v>
      </c>
      <c r="X731" s="9" t="str">
        <f aca="false">IF(TEXT(H731,"dddd")&lt;&gt;I731,"Mismatch","OK")</f>
        <v>OK</v>
      </c>
      <c r="Y731" s="9" t="str">
        <f aca="false">IF(AND(N731="No",O731&lt;&gt;""),"Unexpected: channel present but no reminder sent",IF(AND(N731="Yes",O731=""),"Missing channel for sent reminder","OK"))</f>
        <v>OK</v>
      </c>
    </row>
    <row r="732" customFormat="false" ht="15" hidden="false" customHeight="false" outlineLevel="0" collapsed="false">
      <c r="A732" s="7" t="s">
        <v>1405</v>
      </c>
      <c r="B732" s="7" t="s">
        <v>468</v>
      </c>
      <c r="C732" s="7" t="s">
        <v>37</v>
      </c>
      <c r="D732" s="7" t="n">
        <v>44</v>
      </c>
      <c r="E732" s="7" t="s">
        <v>38</v>
      </c>
      <c r="F732" s="7" t="s">
        <v>57</v>
      </c>
      <c r="G732" s="8" t="n">
        <v>46005</v>
      </c>
      <c r="H732" s="8" t="n">
        <v>46055</v>
      </c>
      <c r="I732" s="7" t="s">
        <v>66</v>
      </c>
      <c r="J732" s="7" t="s">
        <v>41</v>
      </c>
      <c r="K732" s="7" t="n">
        <v>50</v>
      </c>
      <c r="L732" s="7" t="n">
        <v>1</v>
      </c>
      <c r="M732" s="7" t="n">
        <v>0</v>
      </c>
      <c r="N732" s="7" t="s">
        <v>71</v>
      </c>
      <c r="O732" s="7"/>
      <c r="P732" s="7"/>
      <c r="Q732" s="7" t="n">
        <v>14</v>
      </c>
      <c r="R732" s="7" t="s">
        <v>44</v>
      </c>
      <c r="S732" s="7"/>
      <c r="T732" s="7"/>
      <c r="U732" s="7" t="str">
        <f aca="false">IF(COUNTIF($A$2:$A$5001,A732)&gt;1,"Duplicate","Unique")</f>
        <v>Unique</v>
      </c>
      <c r="V732" s="7" t="str">
        <f aca="false">IF(COUNTIFS($B$2:$B$5001,B732,$H$2:$H$5001,H732,$J$2:$J$5001,J732)&gt;1,"Possible Duplicate Booking","Unique")</f>
        <v>Unique</v>
      </c>
      <c r="W732" s="7" t="str">
        <f aca="false">IF((H732-G732)&lt;&gt;K732,"Mismatch","OK")</f>
        <v>OK</v>
      </c>
      <c r="X732" s="7" t="str">
        <f aca="false">IF(TEXT(H732,"dddd")&lt;&gt;I732,"Mismatch","OK")</f>
        <v>OK</v>
      </c>
      <c r="Y732" s="7" t="str">
        <f aca="false">IF(AND(N732="No",O732&lt;&gt;""),"Unexpected: channel present but no reminder sent",IF(AND(N732="Yes",O732=""),"Missing channel for sent reminder","OK"))</f>
        <v>OK</v>
      </c>
    </row>
    <row r="733" customFormat="false" ht="15" hidden="false" customHeight="false" outlineLevel="0" collapsed="false">
      <c r="A733" s="9" t="s">
        <v>1406</v>
      </c>
      <c r="B733" s="9" t="s">
        <v>1407</v>
      </c>
      <c r="C733" s="9" t="s">
        <v>37</v>
      </c>
      <c r="D733" s="9" t="n">
        <v>77</v>
      </c>
      <c r="E733" s="9" t="s">
        <v>70</v>
      </c>
      <c r="F733" s="9" t="s">
        <v>57</v>
      </c>
      <c r="G733" s="10" t="n">
        <v>45879</v>
      </c>
      <c r="H733" s="10" t="n">
        <v>45886</v>
      </c>
      <c r="I733" s="9" t="s">
        <v>75</v>
      </c>
      <c r="J733" s="9" t="s">
        <v>41</v>
      </c>
      <c r="K733" s="9" t="n">
        <v>7</v>
      </c>
      <c r="L733" s="9" t="n">
        <v>1</v>
      </c>
      <c r="M733" s="9" t="n">
        <v>0</v>
      </c>
      <c r="N733" s="9" t="s">
        <v>42</v>
      </c>
      <c r="O733" s="9" t="s">
        <v>52</v>
      </c>
      <c r="P733" s="9" t="n">
        <v>22.9</v>
      </c>
      <c r="Q733" s="9" t="n">
        <v>18</v>
      </c>
      <c r="R733" s="9" t="s">
        <v>44</v>
      </c>
      <c r="S733" s="9"/>
      <c r="T733" s="9"/>
      <c r="U733" s="9" t="str">
        <f aca="false">IF(COUNTIF($A$2:$A$5001,A733)&gt;1,"Duplicate","Unique")</f>
        <v>Unique</v>
      </c>
      <c r="V733" s="9" t="str">
        <f aca="false">IF(COUNTIFS($B$2:$B$5001,B733,$H$2:$H$5001,H733,$J$2:$J$5001,J733)&gt;1,"Possible Duplicate Booking","Unique")</f>
        <v>Unique</v>
      </c>
      <c r="W733" s="9" t="str">
        <f aca="false">IF((H733-G733)&lt;&gt;K733,"Mismatch","OK")</f>
        <v>OK</v>
      </c>
      <c r="X733" s="9" t="str">
        <f aca="false">IF(TEXT(H733,"dddd")&lt;&gt;I733,"Mismatch","OK")</f>
        <v>OK</v>
      </c>
      <c r="Y733" s="9" t="str">
        <f aca="false">IF(AND(N733="No",O733&lt;&gt;""),"Unexpected: channel present but no reminder sent",IF(AND(N733="Yes",O733=""),"Missing channel for sent reminder","OK"))</f>
        <v>OK</v>
      </c>
    </row>
    <row r="734" customFormat="false" ht="15" hidden="false" customHeight="false" outlineLevel="0" collapsed="false">
      <c r="A734" s="7" t="s">
        <v>1408</v>
      </c>
      <c r="B734" s="7" t="s">
        <v>1409</v>
      </c>
      <c r="C734" s="7" t="s">
        <v>47</v>
      </c>
      <c r="D734" s="7" t="n">
        <v>32</v>
      </c>
      <c r="E734" s="7" t="s">
        <v>48</v>
      </c>
      <c r="F734" s="7" t="s">
        <v>74</v>
      </c>
      <c r="G734" s="8" t="n">
        <v>46110</v>
      </c>
      <c r="H734" s="8" t="n">
        <v>46161</v>
      </c>
      <c r="I734" s="7" t="s">
        <v>40</v>
      </c>
      <c r="J734" s="7" t="s">
        <v>41</v>
      </c>
      <c r="K734" s="7" t="n">
        <v>51</v>
      </c>
      <c r="L734" s="7" t="n">
        <v>3</v>
      </c>
      <c r="M734" s="7" t="n">
        <v>1</v>
      </c>
      <c r="N734" s="7" t="s">
        <v>71</v>
      </c>
      <c r="O734" s="7"/>
      <c r="P734" s="7" t="n">
        <v>7.2</v>
      </c>
      <c r="Q734" s="7" t="n">
        <v>15</v>
      </c>
      <c r="R734" s="7" t="s">
        <v>44</v>
      </c>
      <c r="S734" s="7"/>
      <c r="T734" s="7"/>
      <c r="U734" s="7" t="str">
        <f aca="false">IF(COUNTIF($A$2:$A$5001,A734)&gt;1,"Duplicate","Unique")</f>
        <v>Unique</v>
      </c>
      <c r="V734" s="7" t="str">
        <f aca="false">IF(COUNTIFS($B$2:$B$5001,B734,$H$2:$H$5001,H734,$J$2:$J$5001,J734)&gt;1,"Possible Duplicate Booking","Unique")</f>
        <v>Unique</v>
      </c>
      <c r="W734" s="7" t="str">
        <f aca="false">IF((H734-G734)&lt;&gt;K734,"Mismatch","OK")</f>
        <v>OK</v>
      </c>
      <c r="X734" s="7" t="str">
        <f aca="false">IF(TEXT(H734,"dddd")&lt;&gt;I734,"Mismatch","OK")</f>
        <v>OK</v>
      </c>
      <c r="Y734" s="7" t="str">
        <f aca="false">IF(AND(N734="No",O734&lt;&gt;""),"Unexpected: channel present but no reminder sent",IF(AND(N734="Yes",O734=""),"Missing channel for sent reminder","OK"))</f>
        <v>OK</v>
      </c>
    </row>
    <row r="735" customFormat="false" ht="15" hidden="false" customHeight="false" outlineLevel="0" collapsed="false">
      <c r="A735" s="9" t="s">
        <v>1410</v>
      </c>
      <c r="B735" s="9" t="s">
        <v>1411</v>
      </c>
      <c r="C735" s="9" t="s">
        <v>47</v>
      </c>
      <c r="D735" s="9" t="n">
        <v>44</v>
      </c>
      <c r="E735" s="9" t="s">
        <v>38</v>
      </c>
      <c r="F735" s="9" t="s">
        <v>39</v>
      </c>
      <c r="G735" s="10" t="n">
        <v>46055</v>
      </c>
      <c r="H735" s="10" t="n">
        <v>46080</v>
      </c>
      <c r="I735" s="9" t="s">
        <v>50</v>
      </c>
      <c r="J735" s="9" t="s">
        <v>41</v>
      </c>
      <c r="K735" s="9" t="n">
        <v>25</v>
      </c>
      <c r="L735" s="9" t="n">
        <v>2</v>
      </c>
      <c r="M735" s="9" t="n">
        <v>0</v>
      </c>
      <c r="N735" s="9" t="s">
        <v>71</v>
      </c>
      <c r="O735" s="9"/>
      <c r="P735" s="9" t="n">
        <v>4.8</v>
      </c>
      <c r="Q735" s="9" t="n">
        <v>5</v>
      </c>
      <c r="R735" s="9" t="s">
        <v>44</v>
      </c>
      <c r="S735" s="9"/>
      <c r="T735" s="9"/>
      <c r="U735" s="9" t="str">
        <f aca="false">IF(COUNTIF($A$2:$A$5001,A735)&gt;1,"Duplicate","Unique")</f>
        <v>Unique</v>
      </c>
      <c r="V735" s="9" t="str">
        <f aca="false">IF(COUNTIFS($B$2:$B$5001,B735,$H$2:$H$5001,H735,$J$2:$J$5001,J735)&gt;1,"Possible Duplicate Booking","Unique")</f>
        <v>Unique</v>
      </c>
      <c r="W735" s="9" t="str">
        <f aca="false">IF((H735-G735)&lt;&gt;K735,"Mismatch","OK")</f>
        <v>OK</v>
      </c>
      <c r="X735" s="9" t="str">
        <f aca="false">IF(TEXT(H735,"dddd")&lt;&gt;I735,"Mismatch","OK")</f>
        <v>OK</v>
      </c>
      <c r="Y735" s="9" t="str">
        <f aca="false">IF(AND(N735="No",O735&lt;&gt;""),"Unexpected: channel present but no reminder sent",IF(AND(N735="Yes",O735=""),"Missing channel for sent reminder","OK"))</f>
        <v>OK</v>
      </c>
    </row>
    <row r="736" customFormat="false" ht="15" hidden="false" customHeight="false" outlineLevel="0" collapsed="false">
      <c r="A736" s="7" t="s">
        <v>1412</v>
      </c>
      <c r="B736" s="7" t="s">
        <v>318</v>
      </c>
      <c r="C736" s="7" t="s">
        <v>47</v>
      </c>
      <c r="D736" s="7" t="n">
        <v>42</v>
      </c>
      <c r="E736" s="7" t="s">
        <v>38</v>
      </c>
      <c r="F736" s="7" t="s">
        <v>74</v>
      </c>
      <c r="G736" s="8" t="n">
        <v>45732</v>
      </c>
      <c r="H736" s="8" t="n">
        <v>45771</v>
      </c>
      <c r="I736" s="7" t="s">
        <v>62</v>
      </c>
      <c r="J736" s="7" t="s">
        <v>41</v>
      </c>
      <c r="K736" s="7" t="n">
        <v>39</v>
      </c>
      <c r="L736" s="7" t="n">
        <v>2</v>
      </c>
      <c r="M736" s="7" t="n">
        <v>0</v>
      </c>
      <c r="N736" s="7" t="s">
        <v>42</v>
      </c>
      <c r="O736" s="7" t="s">
        <v>43</v>
      </c>
      <c r="P736" s="7" t="n">
        <v>1.3</v>
      </c>
      <c r="Q736" s="7" t="n">
        <v>13</v>
      </c>
      <c r="R736" s="7" t="s">
        <v>53</v>
      </c>
      <c r="S736" s="7"/>
      <c r="T736" s="7"/>
      <c r="U736" s="7" t="str">
        <f aca="false">IF(COUNTIF($A$2:$A$5001,A736)&gt;1,"Duplicate","Unique")</f>
        <v>Unique</v>
      </c>
      <c r="V736" s="7" t="str">
        <f aca="false">IF(COUNTIFS($B$2:$B$5001,B736,$H$2:$H$5001,H736,$J$2:$J$5001,J736)&gt;1,"Possible Duplicate Booking","Unique")</f>
        <v>Unique</v>
      </c>
      <c r="W736" s="7" t="str">
        <f aca="false">IF((H736-G736)&lt;&gt;K736,"Mismatch","OK")</f>
        <v>OK</v>
      </c>
      <c r="X736" s="7" t="str">
        <f aca="false">IF(TEXT(H736,"dddd")&lt;&gt;I736,"Mismatch","OK")</f>
        <v>OK</v>
      </c>
      <c r="Y736" s="7" t="str">
        <f aca="false">IF(AND(N736="No",O736&lt;&gt;""),"Unexpected: channel present but no reminder sent",IF(AND(N736="Yes",O736=""),"Missing channel for sent reminder","OK"))</f>
        <v>OK</v>
      </c>
    </row>
    <row r="737" customFormat="false" ht="15" hidden="false" customHeight="false" outlineLevel="0" collapsed="false">
      <c r="A737" s="9" t="s">
        <v>1413</v>
      </c>
      <c r="B737" s="9" t="s">
        <v>120</v>
      </c>
      <c r="C737" s="9" t="s">
        <v>47</v>
      </c>
      <c r="D737" s="9" t="n">
        <v>67</v>
      </c>
      <c r="E737" s="9" t="s">
        <v>70</v>
      </c>
      <c r="F737" s="9" t="s">
        <v>57</v>
      </c>
      <c r="G737" s="10" t="n">
        <v>45991</v>
      </c>
      <c r="H737" s="10" t="n">
        <v>46024</v>
      </c>
      <c r="I737" s="9" t="s">
        <v>50</v>
      </c>
      <c r="J737" s="9" t="s">
        <v>51</v>
      </c>
      <c r="K737" s="9" t="n">
        <v>33</v>
      </c>
      <c r="L737" s="9" t="n">
        <v>6</v>
      </c>
      <c r="M737" s="9" t="n">
        <v>1</v>
      </c>
      <c r="N737" s="9" t="s">
        <v>71</v>
      </c>
      <c r="O737" s="9"/>
      <c r="P737" s="9" t="n">
        <v>2</v>
      </c>
      <c r="Q737" s="9" t="n">
        <v>24</v>
      </c>
      <c r="R737" s="9" t="s">
        <v>44</v>
      </c>
      <c r="S737" s="9"/>
      <c r="T737" s="9"/>
      <c r="U737" s="9" t="str">
        <f aca="false">IF(COUNTIF($A$2:$A$5001,A737)&gt;1,"Duplicate","Unique")</f>
        <v>Unique</v>
      </c>
      <c r="V737" s="9" t="str">
        <f aca="false">IF(COUNTIFS($B$2:$B$5001,B737,$H$2:$H$5001,H737,$J$2:$J$5001,J737)&gt;1,"Possible Duplicate Booking","Unique")</f>
        <v>Unique</v>
      </c>
      <c r="W737" s="9" t="str">
        <f aca="false">IF((H737-G737)&lt;&gt;K737,"Mismatch","OK")</f>
        <v>OK</v>
      </c>
      <c r="X737" s="9" t="str">
        <f aca="false">IF(TEXT(H737,"dddd")&lt;&gt;I737,"Mismatch","OK")</f>
        <v>OK</v>
      </c>
      <c r="Y737" s="9" t="str">
        <f aca="false">IF(AND(N737="No",O737&lt;&gt;""),"Unexpected: channel present but no reminder sent",IF(AND(N737="Yes",O737=""),"Missing channel for sent reminder","OK"))</f>
        <v>OK</v>
      </c>
    </row>
    <row r="738" customFormat="false" ht="15" hidden="false" customHeight="false" outlineLevel="0" collapsed="false">
      <c r="A738" s="7" t="s">
        <v>1414</v>
      </c>
      <c r="B738" s="7" t="s">
        <v>1415</v>
      </c>
      <c r="C738" s="7" t="s">
        <v>47</v>
      </c>
      <c r="D738" s="7" t="n">
        <v>20</v>
      </c>
      <c r="E738" s="7" t="s">
        <v>82</v>
      </c>
      <c r="F738" s="7" t="s">
        <v>74</v>
      </c>
      <c r="G738" s="8" t="n">
        <v>46038</v>
      </c>
      <c r="H738" s="8" t="n">
        <v>46056</v>
      </c>
      <c r="I738" s="7" t="s">
        <v>40</v>
      </c>
      <c r="J738" s="7" t="s">
        <v>51</v>
      </c>
      <c r="K738" s="7" t="n">
        <v>18</v>
      </c>
      <c r="L738" s="7" t="n">
        <v>3</v>
      </c>
      <c r="M738" s="7" t="n">
        <v>0</v>
      </c>
      <c r="N738" s="7" t="s">
        <v>71</v>
      </c>
      <c r="O738" s="7"/>
      <c r="P738" s="7" t="n">
        <v>11.7</v>
      </c>
      <c r="Q738" s="7" t="n">
        <v>20</v>
      </c>
      <c r="R738" s="7" t="s">
        <v>87</v>
      </c>
      <c r="S738" s="7"/>
      <c r="T738" s="7"/>
      <c r="U738" s="7" t="str">
        <f aca="false">IF(COUNTIF($A$2:$A$5001,A738)&gt;1,"Duplicate","Unique")</f>
        <v>Unique</v>
      </c>
      <c r="V738" s="7" t="str">
        <f aca="false">IF(COUNTIFS($B$2:$B$5001,B738,$H$2:$H$5001,H738,$J$2:$J$5001,J738)&gt;1,"Possible Duplicate Booking","Unique")</f>
        <v>Unique</v>
      </c>
      <c r="W738" s="7" t="str">
        <f aca="false">IF((H738-G738)&lt;&gt;K738,"Mismatch","OK")</f>
        <v>OK</v>
      </c>
      <c r="X738" s="7" t="str">
        <f aca="false">IF(TEXT(H738,"dddd")&lt;&gt;I738,"Mismatch","OK")</f>
        <v>OK</v>
      </c>
      <c r="Y738" s="7" t="str">
        <f aca="false">IF(AND(N738="No",O738&lt;&gt;""),"Unexpected: channel present but no reminder sent",IF(AND(N738="Yes",O738=""),"Missing channel for sent reminder","OK"))</f>
        <v>OK</v>
      </c>
    </row>
    <row r="739" customFormat="false" ht="15" hidden="false" customHeight="false" outlineLevel="0" collapsed="false">
      <c r="A739" s="9" t="s">
        <v>1416</v>
      </c>
      <c r="B739" s="9" t="s">
        <v>790</v>
      </c>
      <c r="C739" s="9" t="s">
        <v>47</v>
      </c>
      <c r="D739" s="9" t="n">
        <v>70</v>
      </c>
      <c r="E739" s="9" t="s">
        <v>70</v>
      </c>
      <c r="F739" s="9" t="s">
        <v>39</v>
      </c>
      <c r="G739" s="10" t="n">
        <v>45784</v>
      </c>
      <c r="H739" s="10" t="n">
        <v>45840</v>
      </c>
      <c r="I739" s="9" t="s">
        <v>58</v>
      </c>
      <c r="J739" s="9" t="s">
        <v>41</v>
      </c>
      <c r="K739" s="9" t="n">
        <v>56</v>
      </c>
      <c r="L739" s="9" t="n">
        <v>4</v>
      </c>
      <c r="M739" s="9" t="n">
        <v>0</v>
      </c>
      <c r="N739" s="9" t="s">
        <v>71</v>
      </c>
      <c r="O739" s="9"/>
      <c r="P739" s="9" t="n">
        <v>5.5</v>
      </c>
      <c r="Q739" s="9" t="n">
        <v>36</v>
      </c>
      <c r="R739" s="9" t="s">
        <v>44</v>
      </c>
      <c r="S739" s="9"/>
      <c r="T739" s="9"/>
      <c r="U739" s="9" t="str">
        <f aca="false">IF(COUNTIF($A$2:$A$5001,A739)&gt;1,"Duplicate","Unique")</f>
        <v>Unique</v>
      </c>
      <c r="V739" s="9" t="str">
        <f aca="false">IF(COUNTIFS($B$2:$B$5001,B739,$H$2:$H$5001,H739,$J$2:$J$5001,J739)&gt;1,"Possible Duplicate Booking","Unique")</f>
        <v>Unique</v>
      </c>
      <c r="W739" s="9" t="str">
        <f aca="false">IF((H739-G739)&lt;&gt;K739,"Mismatch","OK")</f>
        <v>OK</v>
      </c>
      <c r="X739" s="9" t="str">
        <f aca="false">IF(TEXT(H739,"dddd")&lt;&gt;I739,"Mismatch","OK")</f>
        <v>OK</v>
      </c>
      <c r="Y739" s="9" t="str">
        <f aca="false">IF(AND(N739="No",O739&lt;&gt;""),"Unexpected: channel present but no reminder sent",IF(AND(N739="Yes",O739=""),"Missing channel for sent reminder","OK"))</f>
        <v>OK</v>
      </c>
    </row>
    <row r="740" customFormat="false" ht="15" hidden="false" customHeight="false" outlineLevel="0" collapsed="false">
      <c r="A740" s="7" t="s">
        <v>1417</v>
      </c>
      <c r="B740" s="7" t="s">
        <v>1418</v>
      </c>
      <c r="C740" s="7" t="s">
        <v>37</v>
      </c>
      <c r="D740" s="7" t="n">
        <v>19</v>
      </c>
      <c r="E740" s="7" t="s">
        <v>82</v>
      </c>
      <c r="F740" s="7" t="s">
        <v>39</v>
      </c>
      <c r="G740" s="8" t="n">
        <v>46048</v>
      </c>
      <c r="H740" s="8" t="n">
        <v>46061</v>
      </c>
      <c r="I740" s="7" t="s">
        <v>75</v>
      </c>
      <c r="J740" s="7" t="s">
        <v>51</v>
      </c>
      <c r="K740" s="7" t="n">
        <v>13</v>
      </c>
      <c r="L740" s="7" t="n">
        <v>5</v>
      </c>
      <c r="M740" s="7" t="n">
        <v>1</v>
      </c>
      <c r="N740" s="7" t="s">
        <v>42</v>
      </c>
      <c r="O740" s="7" t="s">
        <v>52</v>
      </c>
      <c r="P740" s="7" t="n">
        <v>17.5</v>
      </c>
      <c r="Q740" s="7" t="n">
        <v>17</v>
      </c>
      <c r="R740" s="7" t="s">
        <v>53</v>
      </c>
      <c r="S740" s="7"/>
      <c r="T740" s="7"/>
      <c r="U740" s="7" t="str">
        <f aca="false">IF(COUNTIF($A$2:$A$5001,A740)&gt;1,"Duplicate","Unique")</f>
        <v>Unique</v>
      </c>
      <c r="V740" s="7" t="str">
        <f aca="false">IF(COUNTIFS($B$2:$B$5001,B740,$H$2:$H$5001,H740,$J$2:$J$5001,J740)&gt;1,"Possible Duplicate Booking","Unique")</f>
        <v>Unique</v>
      </c>
      <c r="W740" s="7" t="str">
        <f aca="false">IF((H740-G740)&lt;&gt;K740,"Mismatch","OK")</f>
        <v>OK</v>
      </c>
      <c r="X740" s="7" t="str">
        <f aca="false">IF(TEXT(H740,"dddd")&lt;&gt;I740,"Mismatch","OK")</f>
        <v>OK</v>
      </c>
      <c r="Y740" s="7" t="str">
        <f aca="false">IF(AND(N740="No",O740&lt;&gt;""),"Unexpected: channel present but no reminder sent",IF(AND(N740="Yes",O740=""),"Missing channel for sent reminder","OK"))</f>
        <v>OK</v>
      </c>
    </row>
    <row r="741" customFormat="false" ht="15" hidden="false" customHeight="false" outlineLevel="0" collapsed="false">
      <c r="A741" s="9" t="s">
        <v>1419</v>
      </c>
      <c r="B741" s="9" t="s">
        <v>1420</v>
      </c>
      <c r="C741" s="9" t="s">
        <v>37</v>
      </c>
      <c r="D741" s="9" t="n">
        <v>37</v>
      </c>
      <c r="E741" s="9" t="s">
        <v>38</v>
      </c>
      <c r="F741" s="9" t="s">
        <v>57</v>
      </c>
      <c r="G741" s="10" t="n">
        <v>46146</v>
      </c>
      <c r="H741" s="10" t="n">
        <v>46148</v>
      </c>
      <c r="I741" s="9" t="s">
        <v>58</v>
      </c>
      <c r="J741" s="9" t="s">
        <v>51</v>
      </c>
      <c r="K741" s="9" t="n">
        <v>2</v>
      </c>
      <c r="L741" s="9" t="n">
        <v>9</v>
      </c>
      <c r="M741" s="9" t="n">
        <v>1</v>
      </c>
      <c r="N741" s="9" t="s">
        <v>42</v>
      </c>
      <c r="O741" s="9" t="s">
        <v>43</v>
      </c>
      <c r="P741" s="9" t="n">
        <v>1.7</v>
      </c>
      <c r="Q741" s="9" t="n">
        <v>24</v>
      </c>
      <c r="R741" s="9" t="s">
        <v>53</v>
      </c>
      <c r="S741" s="9"/>
      <c r="T741" s="9"/>
      <c r="U741" s="9" t="str">
        <f aca="false">IF(COUNTIF($A$2:$A$5001,A741)&gt;1,"Duplicate","Unique")</f>
        <v>Unique</v>
      </c>
      <c r="V741" s="9" t="str">
        <f aca="false">IF(COUNTIFS($B$2:$B$5001,B741,$H$2:$H$5001,H741,$J$2:$J$5001,J741)&gt;1,"Possible Duplicate Booking","Unique")</f>
        <v>Unique</v>
      </c>
      <c r="W741" s="9" t="str">
        <f aca="false">IF((H741-G741)&lt;&gt;K741,"Mismatch","OK")</f>
        <v>OK</v>
      </c>
      <c r="X741" s="9" t="str">
        <f aca="false">IF(TEXT(H741,"dddd")&lt;&gt;I741,"Mismatch","OK")</f>
        <v>OK</v>
      </c>
      <c r="Y741" s="9" t="str">
        <f aca="false">IF(AND(N741="No",O741&lt;&gt;""),"Unexpected: channel present but no reminder sent",IF(AND(N741="Yes",O741=""),"Missing channel for sent reminder","OK"))</f>
        <v>OK</v>
      </c>
    </row>
    <row r="742" customFormat="false" ht="15" hidden="false" customHeight="false" outlineLevel="0" collapsed="false">
      <c r="A742" s="7" t="s">
        <v>1421</v>
      </c>
      <c r="B742" s="7" t="s">
        <v>1422</v>
      </c>
      <c r="C742" s="7" t="s">
        <v>37</v>
      </c>
      <c r="D742" s="7" t="n">
        <v>55</v>
      </c>
      <c r="E742" s="7" t="s">
        <v>61</v>
      </c>
      <c r="F742" s="7" t="s">
        <v>57</v>
      </c>
      <c r="G742" s="8" t="n">
        <v>46059</v>
      </c>
      <c r="H742" s="8" t="n">
        <v>46104</v>
      </c>
      <c r="I742" s="7" t="s">
        <v>66</v>
      </c>
      <c r="J742" s="7" t="s">
        <v>51</v>
      </c>
      <c r="K742" s="7" t="n">
        <v>45</v>
      </c>
      <c r="L742" s="7" t="n">
        <v>4</v>
      </c>
      <c r="M742" s="7" t="n">
        <v>0</v>
      </c>
      <c r="N742" s="7" t="s">
        <v>42</v>
      </c>
      <c r="O742" s="7" t="s">
        <v>52</v>
      </c>
      <c r="P742" s="7" t="n">
        <v>6.1</v>
      </c>
      <c r="Q742" s="7" t="n">
        <v>18</v>
      </c>
      <c r="R742" s="7" t="s">
        <v>53</v>
      </c>
      <c r="S742" s="7"/>
      <c r="T742" s="7"/>
      <c r="U742" s="7" t="str">
        <f aca="false">IF(COUNTIF($A$2:$A$5001,A742)&gt;1,"Duplicate","Unique")</f>
        <v>Unique</v>
      </c>
      <c r="V742" s="7" t="str">
        <f aca="false">IF(COUNTIFS($B$2:$B$5001,B742,$H$2:$H$5001,H742,$J$2:$J$5001,J742)&gt;1,"Possible Duplicate Booking","Unique")</f>
        <v>Unique</v>
      </c>
      <c r="W742" s="7" t="str">
        <f aca="false">IF((H742-G742)&lt;&gt;K742,"Mismatch","OK")</f>
        <v>OK</v>
      </c>
      <c r="X742" s="7" t="str">
        <f aca="false">IF(TEXT(H742,"dddd")&lt;&gt;I742,"Mismatch","OK")</f>
        <v>OK</v>
      </c>
      <c r="Y742" s="7" t="str">
        <f aca="false">IF(AND(N742="No",O742&lt;&gt;""),"Unexpected: channel present but no reminder sent",IF(AND(N742="Yes",O742=""),"Missing channel for sent reminder","OK"))</f>
        <v>OK</v>
      </c>
    </row>
    <row r="743" customFormat="false" ht="15" hidden="false" customHeight="false" outlineLevel="0" collapsed="false">
      <c r="A743" s="9" t="s">
        <v>1423</v>
      </c>
      <c r="B743" s="9" t="s">
        <v>1424</v>
      </c>
      <c r="C743" s="9" t="s">
        <v>37</v>
      </c>
      <c r="D743" s="9" t="n">
        <v>27</v>
      </c>
      <c r="E743" s="9" t="s">
        <v>48</v>
      </c>
      <c r="F743" s="9" t="s">
        <v>74</v>
      </c>
      <c r="G743" s="10" t="n">
        <v>46037</v>
      </c>
      <c r="H743" s="10" t="n">
        <v>46074</v>
      </c>
      <c r="I743" s="9" t="s">
        <v>102</v>
      </c>
      <c r="J743" s="9" t="s">
        <v>51</v>
      </c>
      <c r="K743" s="9" t="n">
        <v>37</v>
      </c>
      <c r="L743" s="9" t="n">
        <v>2</v>
      </c>
      <c r="M743" s="9" t="n">
        <v>0</v>
      </c>
      <c r="N743" s="9" t="s">
        <v>71</v>
      </c>
      <c r="O743" s="9"/>
      <c r="P743" s="9" t="n">
        <v>14.4</v>
      </c>
      <c r="Q743" s="9" t="n">
        <v>34</v>
      </c>
      <c r="R743" s="9" t="s">
        <v>87</v>
      </c>
      <c r="S743" s="9"/>
      <c r="T743" s="9"/>
      <c r="U743" s="9" t="str">
        <f aca="false">IF(COUNTIF($A$2:$A$5001,A743)&gt;1,"Duplicate","Unique")</f>
        <v>Unique</v>
      </c>
      <c r="V743" s="9" t="str">
        <f aca="false">IF(COUNTIFS($B$2:$B$5001,B743,$H$2:$H$5001,H743,$J$2:$J$5001,J743)&gt;1,"Possible Duplicate Booking","Unique")</f>
        <v>Unique</v>
      </c>
      <c r="W743" s="9" t="str">
        <f aca="false">IF((H743-G743)&lt;&gt;K743,"Mismatch","OK")</f>
        <v>OK</v>
      </c>
      <c r="X743" s="9" t="str">
        <f aca="false">IF(TEXT(H743,"dddd")&lt;&gt;I743,"Mismatch","OK")</f>
        <v>OK</v>
      </c>
      <c r="Y743" s="9" t="str">
        <f aca="false">IF(AND(N743="No",O743&lt;&gt;""),"Unexpected: channel present but no reminder sent",IF(AND(N743="Yes",O743=""),"Missing channel for sent reminder","OK"))</f>
        <v>OK</v>
      </c>
    </row>
    <row r="744" customFormat="false" ht="15" hidden="false" customHeight="false" outlineLevel="0" collapsed="false">
      <c r="A744" s="7" t="s">
        <v>1425</v>
      </c>
      <c r="B744" s="7" t="s">
        <v>1426</v>
      </c>
      <c r="C744" s="7" t="s">
        <v>37</v>
      </c>
      <c r="D744" s="7" t="n">
        <v>48</v>
      </c>
      <c r="E744" s="7" t="s">
        <v>56</v>
      </c>
      <c r="F744" s="7" t="s">
        <v>74</v>
      </c>
      <c r="G744" s="8" t="n">
        <v>45950</v>
      </c>
      <c r="H744" s="8" t="n">
        <v>46004</v>
      </c>
      <c r="I744" s="7" t="s">
        <v>102</v>
      </c>
      <c r="J744" s="7" t="s">
        <v>63</v>
      </c>
      <c r="K744" s="7" t="n">
        <v>54</v>
      </c>
      <c r="L744" s="7" t="n">
        <v>2</v>
      </c>
      <c r="M744" s="7" t="n">
        <v>0</v>
      </c>
      <c r="N744" s="7" t="s">
        <v>42</v>
      </c>
      <c r="O744" s="7" t="s">
        <v>52</v>
      </c>
      <c r="P744" s="7" t="n">
        <v>18.9</v>
      </c>
      <c r="Q744" s="7" t="n">
        <v>8</v>
      </c>
      <c r="R744" s="7" t="s">
        <v>44</v>
      </c>
      <c r="S744" s="7"/>
      <c r="T744" s="7"/>
      <c r="U744" s="7" t="str">
        <f aca="false">IF(COUNTIF($A$2:$A$5001,A744)&gt;1,"Duplicate","Unique")</f>
        <v>Unique</v>
      </c>
      <c r="V744" s="7" t="str">
        <f aca="false">IF(COUNTIFS($B$2:$B$5001,B744,$H$2:$H$5001,H744,$J$2:$J$5001,J744)&gt;1,"Possible Duplicate Booking","Unique")</f>
        <v>Unique</v>
      </c>
      <c r="W744" s="7" t="str">
        <f aca="false">IF((H744-G744)&lt;&gt;K744,"Mismatch","OK")</f>
        <v>OK</v>
      </c>
      <c r="X744" s="7" t="str">
        <f aca="false">IF(TEXT(H744,"dddd")&lt;&gt;I744,"Mismatch","OK")</f>
        <v>OK</v>
      </c>
      <c r="Y744" s="7" t="str">
        <f aca="false">IF(AND(N744="No",O744&lt;&gt;""),"Unexpected: channel present but no reminder sent",IF(AND(N744="Yes",O744=""),"Missing channel for sent reminder","OK"))</f>
        <v>OK</v>
      </c>
    </row>
    <row r="745" customFormat="false" ht="15" hidden="false" customHeight="false" outlineLevel="0" collapsed="false">
      <c r="A745" s="9" t="s">
        <v>1427</v>
      </c>
      <c r="B745" s="9" t="s">
        <v>1428</v>
      </c>
      <c r="C745" s="9" t="s">
        <v>37</v>
      </c>
      <c r="D745" s="9" t="n">
        <v>80</v>
      </c>
      <c r="E745" s="9" t="s">
        <v>70</v>
      </c>
      <c r="F745" s="9" t="s">
        <v>57</v>
      </c>
      <c r="G745" s="10" t="n">
        <v>45778</v>
      </c>
      <c r="H745" s="10" t="n">
        <v>45805</v>
      </c>
      <c r="I745" s="9" t="s">
        <v>58</v>
      </c>
      <c r="J745" s="9" t="s">
        <v>51</v>
      </c>
      <c r="K745" s="9" t="n">
        <v>27</v>
      </c>
      <c r="L745" s="9" t="n">
        <v>2</v>
      </c>
      <c r="M745" s="9" t="n">
        <v>1</v>
      </c>
      <c r="N745" s="9" t="s">
        <v>42</v>
      </c>
      <c r="O745" s="9" t="s">
        <v>52</v>
      </c>
      <c r="P745" s="9" t="n">
        <v>12.4</v>
      </c>
      <c r="Q745" s="9" t="n">
        <v>29</v>
      </c>
      <c r="R745" s="9" t="s">
        <v>53</v>
      </c>
      <c r="S745" s="9"/>
      <c r="T745" s="9"/>
      <c r="U745" s="9" t="str">
        <f aca="false">IF(COUNTIF($A$2:$A$5001,A745)&gt;1,"Duplicate","Unique")</f>
        <v>Unique</v>
      </c>
      <c r="V745" s="9" t="str">
        <f aca="false">IF(COUNTIFS($B$2:$B$5001,B745,$H$2:$H$5001,H745,$J$2:$J$5001,J745)&gt;1,"Possible Duplicate Booking","Unique")</f>
        <v>Unique</v>
      </c>
      <c r="W745" s="9" t="str">
        <f aca="false">IF((H745-G745)&lt;&gt;K745,"Mismatch","OK")</f>
        <v>OK</v>
      </c>
      <c r="X745" s="9" t="str">
        <f aca="false">IF(TEXT(H745,"dddd")&lt;&gt;I745,"Mismatch","OK")</f>
        <v>OK</v>
      </c>
      <c r="Y745" s="9" t="str">
        <f aca="false">IF(AND(N745="No",O745&lt;&gt;""),"Unexpected: channel present but no reminder sent",IF(AND(N745="Yes",O745=""),"Missing channel for sent reminder","OK"))</f>
        <v>OK</v>
      </c>
    </row>
    <row r="746" customFormat="false" ht="15" hidden="false" customHeight="false" outlineLevel="0" collapsed="false">
      <c r="A746" s="7" t="s">
        <v>1429</v>
      </c>
      <c r="B746" s="7" t="s">
        <v>654</v>
      </c>
      <c r="C746" s="7" t="s">
        <v>37</v>
      </c>
      <c r="D746" s="7" t="n">
        <v>69</v>
      </c>
      <c r="E746" s="7" t="s">
        <v>70</v>
      </c>
      <c r="F746" s="7" t="s">
        <v>74</v>
      </c>
      <c r="G746" s="8" t="n">
        <v>46091</v>
      </c>
      <c r="H746" s="8" t="n">
        <v>46092</v>
      </c>
      <c r="I746" s="7" t="s">
        <v>58</v>
      </c>
      <c r="J746" s="7" t="s">
        <v>51</v>
      </c>
      <c r="K746" s="7" t="n">
        <v>1</v>
      </c>
      <c r="L746" s="7" t="n">
        <v>4</v>
      </c>
      <c r="M746" s="7" t="n">
        <v>1</v>
      </c>
      <c r="N746" s="7" t="s">
        <v>71</v>
      </c>
      <c r="O746" s="7"/>
      <c r="P746" s="7" t="n">
        <v>15.4</v>
      </c>
      <c r="Q746" s="7" t="n">
        <v>28</v>
      </c>
      <c r="R746" s="7" t="s">
        <v>44</v>
      </c>
      <c r="S746" s="7"/>
      <c r="T746" s="7"/>
      <c r="U746" s="7" t="str">
        <f aca="false">IF(COUNTIF($A$2:$A$5001,A746)&gt;1,"Duplicate","Unique")</f>
        <v>Unique</v>
      </c>
      <c r="V746" s="7" t="str">
        <f aca="false">IF(COUNTIFS($B$2:$B$5001,B746,$H$2:$H$5001,H746,$J$2:$J$5001,J746)&gt;1,"Possible Duplicate Booking","Unique")</f>
        <v>Unique</v>
      </c>
      <c r="W746" s="7" t="str">
        <f aca="false">IF((H746-G746)&lt;&gt;K746,"Mismatch","OK")</f>
        <v>OK</v>
      </c>
      <c r="X746" s="7" t="str">
        <f aca="false">IF(TEXT(H746,"dddd")&lt;&gt;I746,"Mismatch","OK")</f>
        <v>OK</v>
      </c>
      <c r="Y746" s="7" t="str">
        <f aca="false">IF(AND(N746="No",O746&lt;&gt;""),"Unexpected: channel present but no reminder sent",IF(AND(N746="Yes",O746=""),"Missing channel for sent reminder","OK"))</f>
        <v>OK</v>
      </c>
    </row>
    <row r="747" customFormat="false" ht="15" hidden="false" customHeight="false" outlineLevel="0" collapsed="false">
      <c r="A747" s="9" t="s">
        <v>1430</v>
      </c>
      <c r="B747" s="9" t="s">
        <v>1431</v>
      </c>
      <c r="C747" s="9" t="s">
        <v>47</v>
      </c>
      <c r="D747" s="9" t="n">
        <v>19</v>
      </c>
      <c r="E747" s="9" t="s">
        <v>82</v>
      </c>
      <c r="F747" s="9" t="s">
        <v>57</v>
      </c>
      <c r="G747" s="10" t="n">
        <v>45855</v>
      </c>
      <c r="H747" s="10" t="n">
        <v>45856</v>
      </c>
      <c r="I747" s="9" t="s">
        <v>50</v>
      </c>
      <c r="J747" s="9" t="s">
        <v>63</v>
      </c>
      <c r="K747" s="9" t="n">
        <v>1</v>
      </c>
      <c r="L747" s="9" t="n">
        <v>1</v>
      </c>
      <c r="M747" s="9" t="n">
        <v>1</v>
      </c>
      <c r="N747" s="9" t="s">
        <v>71</v>
      </c>
      <c r="O747" s="9"/>
      <c r="P747" s="9" t="n">
        <v>4.6</v>
      </c>
      <c r="Q747" s="9" t="n">
        <v>15</v>
      </c>
      <c r="R747" s="9" t="s">
        <v>53</v>
      </c>
      <c r="S747" s="9"/>
      <c r="T747" s="9"/>
      <c r="U747" s="9" t="str">
        <f aca="false">IF(COUNTIF($A$2:$A$5001,A747)&gt;1,"Duplicate","Unique")</f>
        <v>Unique</v>
      </c>
      <c r="V747" s="9" t="str">
        <f aca="false">IF(COUNTIFS($B$2:$B$5001,B747,$H$2:$H$5001,H747,$J$2:$J$5001,J747)&gt;1,"Possible Duplicate Booking","Unique")</f>
        <v>Unique</v>
      </c>
      <c r="W747" s="9" t="str">
        <f aca="false">IF((H747-G747)&lt;&gt;K747,"Mismatch","OK")</f>
        <v>OK</v>
      </c>
      <c r="X747" s="9" t="str">
        <f aca="false">IF(TEXT(H747,"dddd")&lt;&gt;I747,"Mismatch","OK")</f>
        <v>OK</v>
      </c>
      <c r="Y747" s="9" t="str">
        <f aca="false">IF(AND(N747="No",O747&lt;&gt;""),"Unexpected: channel present but no reminder sent",IF(AND(N747="Yes",O747=""),"Missing channel for sent reminder","OK"))</f>
        <v>OK</v>
      </c>
    </row>
    <row r="748" customFormat="false" ht="15" hidden="false" customHeight="false" outlineLevel="0" collapsed="false">
      <c r="A748" s="7" t="s">
        <v>1432</v>
      </c>
      <c r="B748" s="7" t="s">
        <v>1433</v>
      </c>
      <c r="C748" s="7" t="s">
        <v>47</v>
      </c>
      <c r="D748" s="7" t="n">
        <v>55</v>
      </c>
      <c r="E748" s="7" t="s">
        <v>61</v>
      </c>
      <c r="F748" s="7" t="s">
        <v>57</v>
      </c>
      <c r="G748" s="8" t="n">
        <v>45922</v>
      </c>
      <c r="H748" s="8" t="n">
        <v>45948</v>
      </c>
      <c r="I748" s="7" t="s">
        <v>102</v>
      </c>
      <c r="J748" s="7" t="s">
        <v>63</v>
      </c>
      <c r="K748" s="7" t="n">
        <v>26</v>
      </c>
      <c r="L748" s="7" t="n">
        <v>1</v>
      </c>
      <c r="M748" s="7" t="n">
        <v>0</v>
      </c>
      <c r="N748" s="7" t="s">
        <v>71</v>
      </c>
      <c r="O748" s="7"/>
      <c r="P748" s="7" t="n">
        <v>6.9</v>
      </c>
      <c r="Q748" s="7" t="n">
        <v>23</v>
      </c>
      <c r="R748" s="7" t="s">
        <v>53</v>
      </c>
      <c r="S748" s="7"/>
      <c r="T748" s="7"/>
      <c r="U748" s="7" t="str">
        <f aca="false">IF(COUNTIF($A$2:$A$5001,A748)&gt;1,"Duplicate","Unique")</f>
        <v>Unique</v>
      </c>
      <c r="V748" s="7" t="str">
        <f aca="false">IF(COUNTIFS($B$2:$B$5001,B748,$H$2:$H$5001,H748,$J$2:$J$5001,J748)&gt;1,"Possible Duplicate Booking","Unique")</f>
        <v>Unique</v>
      </c>
      <c r="W748" s="7" t="str">
        <f aca="false">IF((H748-G748)&lt;&gt;K748,"Mismatch","OK")</f>
        <v>OK</v>
      </c>
      <c r="X748" s="7" t="str">
        <f aca="false">IF(TEXT(H748,"dddd")&lt;&gt;I748,"Mismatch","OK")</f>
        <v>OK</v>
      </c>
      <c r="Y748" s="7" t="str">
        <f aca="false">IF(AND(N748="No",O748&lt;&gt;""),"Unexpected: channel present but no reminder sent",IF(AND(N748="Yes",O748=""),"Missing channel for sent reminder","OK"))</f>
        <v>OK</v>
      </c>
    </row>
    <row r="749" customFormat="false" ht="15" hidden="false" customHeight="false" outlineLevel="0" collapsed="false">
      <c r="A749" s="9" t="s">
        <v>1434</v>
      </c>
      <c r="B749" s="9" t="s">
        <v>1435</v>
      </c>
      <c r="C749" s="9" t="s">
        <v>47</v>
      </c>
      <c r="D749" s="9" t="n">
        <v>55</v>
      </c>
      <c r="E749" s="9" t="s">
        <v>61</v>
      </c>
      <c r="F749" s="9" t="s">
        <v>57</v>
      </c>
      <c r="G749" s="10" t="n">
        <v>45814</v>
      </c>
      <c r="H749" s="10" t="n">
        <v>45829</v>
      </c>
      <c r="I749" s="9" t="s">
        <v>102</v>
      </c>
      <c r="J749" s="9" t="s">
        <v>51</v>
      </c>
      <c r="K749" s="9" t="n">
        <v>15</v>
      </c>
      <c r="L749" s="9" t="n">
        <v>2</v>
      </c>
      <c r="M749" s="9" t="n">
        <v>0</v>
      </c>
      <c r="N749" s="9" t="s">
        <v>71</v>
      </c>
      <c r="O749" s="9"/>
      <c r="P749" s="9" t="n">
        <v>19.7</v>
      </c>
      <c r="Q749" s="9" t="n">
        <v>28</v>
      </c>
      <c r="R749" s="9" t="s">
        <v>53</v>
      </c>
      <c r="S749" s="9"/>
      <c r="T749" s="9"/>
      <c r="U749" s="9" t="str">
        <f aca="false">IF(COUNTIF($A$2:$A$5001,A749)&gt;1,"Duplicate","Unique")</f>
        <v>Unique</v>
      </c>
      <c r="V749" s="9" t="str">
        <f aca="false">IF(COUNTIFS($B$2:$B$5001,B749,$H$2:$H$5001,H749,$J$2:$J$5001,J749)&gt;1,"Possible Duplicate Booking","Unique")</f>
        <v>Unique</v>
      </c>
      <c r="W749" s="9" t="str">
        <f aca="false">IF((H749-G749)&lt;&gt;K749,"Mismatch","OK")</f>
        <v>OK</v>
      </c>
      <c r="X749" s="9" t="str">
        <f aca="false">IF(TEXT(H749,"dddd")&lt;&gt;I749,"Mismatch","OK")</f>
        <v>OK</v>
      </c>
      <c r="Y749" s="9" t="str">
        <f aca="false">IF(AND(N749="No",O749&lt;&gt;""),"Unexpected: channel present but no reminder sent",IF(AND(N749="Yes",O749=""),"Missing channel for sent reminder","OK"))</f>
        <v>OK</v>
      </c>
    </row>
    <row r="750" customFormat="false" ht="15" hidden="false" customHeight="false" outlineLevel="0" collapsed="false">
      <c r="A750" s="7" t="s">
        <v>1436</v>
      </c>
      <c r="B750" s="7" t="s">
        <v>1437</v>
      </c>
      <c r="C750" s="7" t="s">
        <v>47</v>
      </c>
      <c r="D750" s="7" t="n">
        <v>22</v>
      </c>
      <c r="E750" s="7" t="s">
        <v>82</v>
      </c>
      <c r="F750" s="7" t="s">
        <v>57</v>
      </c>
      <c r="G750" s="8" t="n">
        <v>45772</v>
      </c>
      <c r="H750" s="8" t="n">
        <v>45828</v>
      </c>
      <c r="I750" s="7" t="s">
        <v>50</v>
      </c>
      <c r="J750" s="7" t="s">
        <v>63</v>
      </c>
      <c r="K750" s="7" t="n">
        <v>56</v>
      </c>
      <c r="L750" s="7" t="n">
        <v>4</v>
      </c>
      <c r="M750" s="7" t="n">
        <v>0</v>
      </c>
      <c r="N750" s="7" t="s">
        <v>42</v>
      </c>
      <c r="O750" s="7" t="s">
        <v>43</v>
      </c>
      <c r="P750" s="7" t="n">
        <v>4.3</v>
      </c>
      <c r="Q750" s="7" t="n">
        <v>16</v>
      </c>
      <c r="R750" s="7" t="s">
        <v>53</v>
      </c>
      <c r="S750" s="7"/>
      <c r="T750" s="7"/>
      <c r="U750" s="7" t="str">
        <f aca="false">IF(COUNTIF($A$2:$A$5001,A750)&gt;1,"Duplicate","Unique")</f>
        <v>Unique</v>
      </c>
      <c r="V750" s="7" t="str">
        <f aca="false">IF(COUNTIFS($B$2:$B$5001,B750,$H$2:$H$5001,H750,$J$2:$J$5001,J750)&gt;1,"Possible Duplicate Booking","Unique")</f>
        <v>Unique</v>
      </c>
      <c r="W750" s="7" t="str">
        <f aca="false">IF((H750-G750)&lt;&gt;K750,"Mismatch","OK")</f>
        <v>OK</v>
      </c>
      <c r="X750" s="7" t="str">
        <f aca="false">IF(TEXT(H750,"dddd")&lt;&gt;I750,"Mismatch","OK")</f>
        <v>OK</v>
      </c>
      <c r="Y750" s="7" t="str">
        <f aca="false">IF(AND(N750="No",O750&lt;&gt;""),"Unexpected: channel present but no reminder sent",IF(AND(N750="Yes",O750=""),"Missing channel for sent reminder","OK"))</f>
        <v>OK</v>
      </c>
    </row>
    <row r="751" customFormat="false" ht="15" hidden="false" customHeight="false" outlineLevel="0" collapsed="false">
      <c r="A751" s="9" t="s">
        <v>1438</v>
      </c>
      <c r="B751" s="9" t="s">
        <v>1439</v>
      </c>
      <c r="C751" s="9" t="s">
        <v>37</v>
      </c>
      <c r="D751" s="9" t="n">
        <v>58</v>
      </c>
      <c r="E751" s="9" t="s">
        <v>61</v>
      </c>
      <c r="F751" s="9" t="s">
        <v>57</v>
      </c>
      <c r="G751" s="10" t="n">
        <v>45737</v>
      </c>
      <c r="H751" s="10" t="n">
        <v>45744</v>
      </c>
      <c r="I751" s="9" t="s">
        <v>50</v>
      </c>
      <c r="J751" s="9" t="s">
        <v>51</v>
      </c>
      <c r="K751" s="9" t="n">
        <v>7</v>
      </c>
      <c r="L751" s="9" t="n">
        <v>1</v>
      </c>
      <c r="M751" s="9" t="n">
        <v>0</v>
      </c>
      <c r="N751" s="9" t="s">
        <v>42</v>
      </c>
      <c r="O751" s="9" t="s">
        <v>52</v>
      </c>
      <c r="P751" s="9" t="n">
        <v>8.6</v>
      </c>
      <c r="Q751" s="9" t="n">
        <v>16</v>
      </c>
      <c r="R751" s="9" t="s">
        <v>53</v>
      </c>
      <c r="S751" s="9"/>
      <c r="T751" s="9"/>
      <c r="U751" s="9" t="str">
        <f aca="false">IF(COUNTIF($A$2:$A$5001,A751)&gt;1,"Duplicate","Unique")</f>
        <v>Unique</v>
      </c>
      <c r="V751" s="9" t="str">
        <f aca="false">IF(COUNTIFS($B$2:$B$5001,B751,$H$2:$H$5001,H751,$J$2:$J$5001,J751)&gt;1,"Possible Duplicate Booking","Unique")</f>
        <v>Unique</v>
      </c>
      <c r="W751" s="9" t="str">
        <f aca="false">IF((H751-G751)&lt;&gt;K751,"Mismatch","OK")</f>
        <v>OK</v>
      </c>
      <c r="X751" s="9" t="str">
        <f aca="false">IF(TEXT(H751,"dddd")&lt;&gt;I751,"Mismatch","OK")</f>
        <v>OK</v>
      </c>
      <c r="Y751" s="9" t="str">
        <f aca="false">IF(AND(N751="No",O751&lt;&gt;""),"Unexpected: channel present but no reminder sent",IF(AND(N751="Yes",O751=""),"Missing channel for sent reminder","OK"))</f>
        <v>OK</v>
      </c>
    </row>
    <row r="752" customFormat="false" ht="15" hidden="false" customHeight="false" outlineLevel="0" collapsed="false">
      <c r="A752" s="7" t="s">
        <v>1440</v>
      </c>
      <c r="B752" s="7" t="s">
        <v>1441</v>
      </c>
      <c r="C752" s="7" t="s">
        <v>37</v>
      </c>
      <c r="D752" s="7" t="n">
        <v>50</v>
      </c>
      <c r="E752" s="7" t="s">
        <v>56</v>
      </c>
      <c r="F752" s="7" t="s">
        <v>57</v>
      </c>
      <c r="G752" s="8" t="n">
        <v>46129</v>
      </c>
      <c r="H752" s="8" t="n">
        <v>46182</v>
      </c>
      <c r="I752" s="7" t="s">
        <v>40</v>
      </c>
      <c r="J752" s="7" t="s">
        <v>41</v>
      </c>
      <c r="K752" s="7" t="n">
        <v>53</v>
      </c>
      <c r="L752" s="7" t="n">
        <v>0</v>
      </c>
      <c r="M752" s="7" t="n">
        <v>0</v>
      </c>
      <c r="N752" s="7" t="s">
        <v>42</v>
      </c>
      <c r="O752" s="7" t="s">
        <v>52</v>
      </c>
      <c r="P752" s="7" t="n">
        <v>13.2</v>
      </c>
      <c r="Q752" s="7" t="n">
        <v>10</v>
      </c>
      <c r="R752" s="7" t="s">
        <v>44</v>
      </c>
      <c r="S752" s="7"/>
      <c r="T752" s="7"/>
      <c r="U752" s="7" t="str">
        <f aca="false">IF(COUNTIF($A$2:$A$5001,A752)&gt;1,"Duplicate","Unique")</f>
        <v>Unique</v>
      </c>
      <c r="V752" s="7" t="str">
        <f aca="false">IF(COUNTIFS($B$2:$B$5001,B752,$H$2:$H$5001,H752,$J$2:$J$5001,J752)&gt;1,"Possible Duplicate Booking","Unique")</f>
        <v>Unique</v>
      </c>
      <c r="W752" s="7" t="str">
        <f aca="false">IF((H752-G752)&lt;&gt;K752,"Mismatch","OK")</f>
        <v>OK</v>
      </c>
      <c r="X752" s="7" t="str">
        <f aca="false">IF(TEXT(H752,"dddd")&lt;&gt;I752,"Mismatch","OK")</f>
        <v>OK</v>
      </c>
      <c r="Y752" s="7" t="str">
        <f aca="false">IF(AND(N752="No",O752&lt;&gt;""),"Unexpected: channel present but no reminder sent",IF(AND(N752="Yes",O752=""),"Missing channel for sent reminder","OK"))</f>
        <v>OK</v>
      </c>
    </row>
    <row r="753" customFormat="false" ht="15" hidden="false" customHeight="false" outlineLevel="0" collapsed="false">
      <c r="A753" s="9" t="s">
        <v>1442</v>
      </c>
      <c r="B753" s="9" t="s">
        <v>1115</v>
      </c>
      <c r="C753" s="9" t="s">
        <v>37</v>
      </c>
      <c r="D753" s="9" t="n">
        <v>60</v>
      </c>
      <c r="E753" s="9" t="s">
        <v>61</v>
      </c>
      <c r="F753" s="9" t="s">
        <v>57</v>
      </c>
      <c r="G753" s="10" t="n">
        <v>45725</v>
      </c>
      <c r="H753" s="10" t="n">
        <v>45738</v>
      </c>
      <c r="I753" s="9" t="s">
        <v>102</v>
      </c>
      <c r="J753" s="9" t="s">
        <v>51</v>
      </c>
      <c r="K753" s="9" t="n">
        <v>13</v>
      </c>
      <c r="L753" s="9" t="n">
        <v>2</v>
      </c>
      <c r="M753" s="9" t="n">
        <v>0</v>
      </c>
      <c r="N753" s="9" t="s">
        <v>71</v>
      </c>
      <c r="O753" s="9"/>
      <c r="P753" s="9" t="n">
        <v>18.1</v>
      </c>
      <c r="Q753" s="9" t="n">
        <v>46</v>
      </c>
      <c r="R753" s="9" t="s">
        <v>53</v>
      </c>
      <c r="S753" s="9"/>
      <c r="T753" s="9"/>
      <c r="U753" s="9" t="str">
        <f aca="false">IF(COUNTIF($A$2:$A$5001,A753)&gt;1,"Duplicate","Unique")</f>
        <v>Unique</v>
      </c>
      <c r="V753" s="9" t="str">
        <f aca="false">IF(COUNTIFS($B$2:$B$5001,B753,$H$2:$H$5001,H753,$J$2:$J$5001,J753)&gt;1,"Possible Duplicate Booking","Unique")</f>
        <v>Unique</v>
      </c>
      <c r="W753" s="9" t="str">
        <f aca="false">IF((H753-G753)&lt;&gt;K753,"Mismatch","OK")</f>
        <v>OK</v>
      </c>
      <c r="X753" s="9" t="str">
        <f aca="false">IF(TEXT(H753,"dddd")&lt;&gt;I753,"Mismatch","OK")</f>
        <v>OK</v>
      </c>
      <c r="Y753" s="9" t="str">
        <f aca="false">IF(AND(N753="No",O753&lt;&gt;""),"Unexpected: channel present but no reminder sent",IF(AND(N753="Yes",O753=""),"Missing channel for sent reminder","OK"))</f>
        <v>OK</v>
      </c>
    </row>
    <row r="754" customFormat="false" ht="15" hidden="false" customHeight="false" outlineLevel="0" collapsed="false">
      <c r="A754" s="7" t="s">
        <v>1443</v>
      </c>
      <c r="B754" s="7" t="s">
        <v>1444</v>
      </c>
      <c r="C754" s="7" t="s">
        <v>47</v>
      </c>
      <c r="D754" s="7" t="n">
        <v>36</v>
      </c>
      <c r="E754" s="7" t="s">
        <v>38</v>
      </c>
      <c r="F754" s="7" t="s">
        <v>49</v>
      </c>
      <c r="G754" s="8" t="n">
        <v>45698</v>
      </c>
      <c r="H754" s="8" t="n">
        <v>45705</v>
      </c>
      <c r="I754" s="7" t="s">
        <v>66</v>
      </c>
      <c r="J754" s="7" t="s">
        <v>51</v>
      </c>
      <c r="K754" s="7" t="n">
        <v>7</v>
      </c>
      <c r="L754" s="7" t="n">
        <v>3</v>
      </c>
      <c r="M754" s="7" t="n">
        <v>1</v>
      </c>
      <c r="N754" s="7" t="s">
        <v>42</v>
      </c>
      <c r="O754" s="7" t="s">
        <v>67</v>
      </c>
      <c r="P754" s="7" t="n">
        <v>7.9</v>
      </c>
      <c r="Q754" s="7" t="n">
        <v>19</v>
      </c>
      <c r="R754" s="7" t="s">
        <v>53</v>
      </c>
      <c r="S754" s="7"/>
      <c r="T754" s="7"/>
      <c r="U754" s="7" t="str">
        <f aca="false">IF(COUNTIF($A$2:$A$5001,A754)&gt;1,"Duplicate","Unique")</f>
        <v>Unique</v>
      </c>
      <c r="V754" s="7" t="str">
        <f aca="false">IF(COUNTIFS($B$2:$B$5001,B754,$H$2:$H$5001,H754,$J$2:$J$5001,J754)&gt;1,"Possible Duplicate Booking","Unique")</f>
        <v>Unique</v>
      </c>
      <c r="W754" s="7" t="str">
        <f aca="false">IF((H754-G754)&lt;&gt;K754,"Mismatch","OK")</f>
        <v>OK</v>
      </c>
      <c r="X754" s="7" t="str">
        <f aca="false">IF(TEXT(H754,"dddd")&lt;&gt;I754,"Mismatch","OK")</f>
        <v>OK</v>
      </c>
      <c r="Y754" s="7" t="str">
        <f aca="false">IF(AND(N754="No",O754&lt;&gt;""),"Unexpected: channel present but no reminder sent",IF(AND(N754="Yes",O754=""),"Missing channel for sent reminder","OK"))</f>
        <v>OK</v>
      </c>
    </row>
    <row r="755" customFormat="false" ht="15" hidden="false" customHeight="false" outlineLevel="0" collapsed="false">
      <c r="A755" s="9" t="s">
        <v>1445</v>
      </c>
      <c r="B755" s="9" t="s">
        <v>1446</v>
      </c>
      <c r="C755" s="9" t="s">
        <v>37</v>
      </c>
      <c r="D755" s="9" t="n">
        <v>34</v>
      </c>
      <c r="E755" s="9" t="s">
        <v>48</v>
      </c>
      <c r="F755" s="9" t="s">
        <v>49</v>
      </c>
      <c r="G755" s="10" t="n">
        <v>46153</v>
      </c>
      <c r="H755" s="10" t="n">
        <v>46169</v>
      </c>
      <c r="I755" s="9" t="s">
        <v>58</v>
      </c>
      <c r="J755" s="9" t="s">
        <v>51</v>
      </c>
      <c r="K755" s="9" t="n">
        <v>16</v>
      </c>
      <c r="L755" s="9" t="n">
        <v>3</v>
      </c>
      <c r="M755" s="9" t="n">
        <v>0</v>
      </c>
      <c r="N755" s="9" t="s">
        <v>71</v>
      </c>
      <c r="O755" s="9"/>
      <c r="P755" s="9" t="n">
        <v>6.7</v>
      </c>
      <c r="Q755" s="9" t="n">
        <v>11</v>
      </c>
      <c r="R755" s="9" t="s">
        <v>44</v>
      </c>
      <c r="S755" s="9"/>
      <c r="T755" s="9"/>
      <c r="U755" s="9" t="str">
        <f aca="false">IF(COUNTIF($A$2:$A$5001,A755)&gt;1,"Duplicate","Unique")</f>
        <v>Unique</v>
      </c>
      <c r="V755" s="9" t="str">
        <f aca="false">IF(COUNTIFS($B$2:$B$5001,B755,$H$2:$H$5001,H755,$J$2:$J$5001,J755)&gt;1,"Possible Duplicate Booking","Unique")</f>
        <v>Unique</v>
      </c>
      <c r="W755" s="9" t="str">
        <f aca="false">IF((H755-G755)&lt;&gt;K755,"Mismatch","OK")</f>
        <v>OK</v>
      </c>
      <c r="X755" s="9" t="str">
        <f aca="false">IF(TEXT(H755,"dddd")&lt;&gt;I755,"Mismatch","OK")</f>
        <v>OK</v>
      </c>
      <c r="Y755" s="9" t="str">
        <f aca="false">IF(AND(N755="No",O755&lt;&gt;""),"Unexpected: channel present but no reminder sent",IF(AND(N755="Yes",O755=""),"Missing channel for sent reminder","OK"))</f>
        <v>OK</v>
      </c>
    </row>
    <row r="756" customFormat="false" ht="15" hidden="false" customHeight="false" outlineLevel="0" collapsed="false">
      <c r="A756" s="7" t="s">
        <v>1447</v>
      </c>
      <c r="B756" s="7" t="s">
        <v>1448</v>
      </c>
      <c r="C756" s="7" t="s">
        <v>47</v>
      </c>
      <c r="D756" s="7" t="n">
        <v>64</v>
      </c>
      <c r="E756" s="7" t="s">
        <v>61</v>
      </c>
      <c r="F756" s="7" t="s">
        <v>39</v>
      </c>
      <c r="G756" s="8" t="n">
        <v>45953</v>
      </c>
      <c r="H756" s="8" t="n">
        <v>45961</v>
      </c>
      <c r="I756" s="7" t="s">
        <v>50</v>
      </c>
      <c r="J756" s="7" t="s">
        <v>41</v>
      </c>
      <c r="K756" s="7" t="n">
        <v>8</v>
      </c>
      <c r="L756" s="7" t="n">
        <v>1</v>
      </c>
      <c r="M756" s="7" t="n">
        <v>0</v>
      </c>
      <c r="N756" s="7" t="s">
        <v>42</v>
      </c>
      <c r="O756" s="7" t="s">
        <v>52</v>
      </c>
      <c r="P756" s="7" t="n">
        <v>11.1</v>
      </c>
      <c r="Q756" s="7" t="n">
        <v>5</v>
      </c>
      <c r="R756" s="7" t="s">
        <v>44</v>
      </c>
      <c r="S756" s="7"/>
      <c r="T756" s="7"/>
      <c r="U756" s="7" t="str">
        <f aca="false">IF(COUNTIF($A$2:$A$5001,A756)&gt;1,"Duplicate","Unique")</f>
        <v>Unique</v>
      </c>
      <c r="V756" s="7" t="str">
        <f aca="false">IF(COUNTIFS($B$2:$B$5001,B756,$H$2:$H$5001,H756,$J$2:$J$5001,J756)&gt;1,"Possible Duplicate Booking","Unique")</f>
        <v>Unique</v>
      </c>
      <c r="W756" s="7" t="str">
        <f aca="false">IF((H756-G756)&lt;&gt;K756,"Mismatch","OK")</f>
        <v>OK</v>
      </c>
      <c r="X756" s="7" t="str">
        <f aca="false">IF(TEXT(H756,"dddd")&lt;&gt;I756,"Mismatch","OK")</f>
        <v>OK</v>
      </c>
      <c r="Y756" s="7" t="str">
        <f aca="false">IF(AND(N756="No",O756&lt;&gt;""),"Unexpected: channel present but no reminder sent",IF(AND(N756="Yes",O756=""),"Missing channel for sent reminder","OK"))</f>
        <v>OK</v>
      </c>
    </row>
    <row r="757" customFormat="false" ht="15" hidden="false" customHeight="false" outlineLevel="0" collapsed="false">
      <c r="A757" s="9" t="s">
        <v>1449</v>
      </c>
      <c r="B757" s="9" t="s">
        <v>244</v>
      </c>
      <c r="C757" s="9" t="s">
        <v>37</v>
      </c>
      <c r="D757" s="9" t="n">
        <v>63</v>
      </c>
      <c r="E757" s="9" t="s">
        <v>61</v>
      </c>
      <c r="F757" s="9" t="s">
        <v>57</v>
      </c>
      <c r="G757" s="10" t="n">
        <v>45873</v>
      </c>
      <c r="H757" s="10" t="n">
        <v>45897</v>
      </c>
      <c r="I757" s="9" t="s">
        <v>62</v>
      </c>
      <c r="J757" s="9" t="s">
        <v>51</v>
      </c>
      <c r="K757" s="9" t="n">
        <v>24</v>
      </c>
      <c r="L757" s="9" t="n">
        <v>3</v>
      </c>
      <c r="M757" s="9" t="n">
        <v>1</v>
      </c>
      <c r="N757" s="9" t="s">
        <v>42</v>
      </c>
      <c r="O757" s="9" t="s">
        <v>67</v>
      </c>
      <c r="P757" s="9" t="n">
        <v>23.8</v>
      </c>
      <c r="Q757" s="9"/>
      <c r="R757" s="9" t="s">
        <v>53</v>
      </c>
      <c r="S757" s="9"/>
      <c r="T757" s="9"/>
      <c r="U757" s="9" t="str">
        <f aca="false">IF(COUNTIF($A$2:$A$5001,A757)&gt;1,"Duplicate","Unique")</f>
        <v>Unique</v>
      </c>
      <c r="V757" s="9" t="str">
        <f aca="false">IF(COUNTIFS($B$2:$B$5001,B757,$H$2:$H$5001,H757,$J$2:$J$5001,J757)&gt;1,"Possible Duplicate Booking","Unique")</f>
        <v>Unique</v>
      </c>
      <c r="W757" s="9" t="str">
        <f aca="false">IF((H757-G757)&lt;&gt;K757,"Mismatch","OK")</f>
        <v>OK</v>
      </c>
      <c r="X757" s="9" t="str">
        <f aca="false">IF(TEXT(H757,"dddd")&lt;&gt;I757,"Mismatch","OK")</f>
        <v>OK</v>
      </c>
      <c r="Y757" s="9" t="str">
        <f aca="false">IF(AND(N757="No",O757&lt;&gt;""),"Unexpected: channel present but no reminder sent",IF(AND(N757="Yes",O757=""),"Missing channel for sent reminder","OK"))</f>
        <v>OK</v>
      </c>
    </row>
    <row r="758" customFormat="false" ht="15" hidden="false" customHeight="false" outlineLevel="0" collapsed="false">
      <c r="A758" s="7" t="s">
        <v>1450</v>
      </c>
      <c r="B758" s="7" t="s">
        <v>1451</v>
      </c>
      <c r="C758" s="7" t="s">
        <v>37</v>
      </c>
      <c r="D758" s="7" t="n">
        <v>28</v>
      </c>
      <c r="E758" s="7" t="s">
        <v>48</v>
      </c>
      <c r="F758" s="7" t="s">
        <v>49</v>
      </c>
      <c r="G758" s="8" t="n">
        <v>46040</v>
      </c>
      <c r="H758" s="8" t="n">
        <v>46060</v>
      </c>
      <c r="I758" s="7" t="s">
        <v>102</v>
      </c>
      <c r="J758" s="7" t="s">
        <v>41</v>
      </c>
      <c r="K758" s="7" t="n">
        <v>20</v>
      </c>
      <c r="L758" s="7" t="n">
        <v>4</v>
      </c>
      <c r="M758" s="7" t="n">
        <v>0</v>
      </c>
      <c r="N758" s="7" t="s">
        <v>42</v>
      </c>
      <c r="O758" s="7" t="s">
        <v>43</v>
      </c>
      <c r="P758" s="7" t="n">
        <v>11</v>
      </c>
      <c r="Q758" s="7" t="n">
        <v>27</v>
      </c>
      <c r="R758" s="7" t="s">
        <v>53</v>
      </c>
      <c r="S758" s="7"/>
      <c r="T758" s="7"/>
      <c r="U758" s="7" t="str">
        <f aca="false">IF(COUNTIF($A$2:$A$5001,A758)&gt;1,"Duplicate","Unique")</f>
        <v>Unique</v>
      </c>
      <c r="V758" s="7" t="str">
        <f aca="false">IF(COUNTIFS($B$2:$B$5001,B758,$H$2:$H$5001,H758,$J$2:$J$5001,J758)&gt;1,"Possible Duplicate Booking","Unique")</f>
        <v>Unique</v>
      </c>
      <c r="W758" s="7" t="str">
        <f aca="false">IF((H758-G758)&lt;&gt;K758,"Mismatch","OK")</f>
        <v>OK</v>
      </c>
      <c r="X758" s="7" t="str">
        <f aca="false">IF(TEXT(H758,"dddd")&lt;&gt;I758,"Mismatch","OK")</f>
        <v>OK</v>
      </c>
      <c r="Y758" s="7" t="str">
        <f aca="false">IF(AND(N758="No",O758&lt;&gt;""),"Unexpected: channel present but no reminder sent",IF(AND(N758="Yes",O758=""),"Missing channel for sent reminder","OK"))</f>
        <v>OK</v>
      </c>
    </row>
    <row r="759" customFormat="false" ht="15" hidden="false" customHeight="false" outlineLevel="0" collapsed="false">
      <c r="A759" s="9" t="s">
        <v>1452</v>
      </c>
      <c r="B759" s="9" t="s">
        <v>1453</v>
      </c>
      <c r="C759" s="9" t="s">
        <v>47</v>
      </c>
      <c r="D759" s="9" t="n">
        <v>31</v>
      </c>
      <c r="E759" s="9" t="s">
        <v>48</v>
      </c>
      <c r="F759" s="9" t="s">
        <v>57</v>
      </c>
      <c r="G759" s="10" t="n">
        <v>45835</v>
      </c>
      <c r="H759" s="10" t="n">
        <v>45867</v>
      </c>
      <c r="I759" s="9" t="s">
        <v>40</v>
      </c>
      <c r="J759" s="9" t="s">
        <v>41</v>
      </c>
      <c r="K759" s="9" t="n">
        <v>32</v>
      </c>
      <c r="L759" s="9" t="n">
        <v>2</v>
      </c>
      <c r="M759" s="9" t="n">
        <v>1</v>
      </c>
      <c r="N759" s="9" t="s">
        <v>71</v>
      </c>
      <c r="O759" s="9"/>
      <c r="P759" s="9" t="n">
        <v>11.4</v>
      </c>
      <c r="Q759" s="9" t="n">
        <v>21</v>
      </c>
      <c r="R759" s="9" t="s">
        <v>44</v>
      </c>
      <c r="S759" s="9"/>
      <c r="T759" s="9"/>
      <c r="U759" s="9" t="str">
        <f aca="false">IF(COUNTIF($A$2:$A$5001,A759)&gt;1,"Duplicate","Unique")</f>
        <v>Unique</v>
      </c>
      <c r="V759" s="9" t="str">
        <f aca="false">IF(COUNTIFS($B$2:$B$5001,B759,$H$2:$H$5001,H759,$J$2:$J$5001,J759)&gt;1,"Possible Duplicate Booking","Unique")</f>
        <v>Unique</v>
      </c>
      <c r="W759" s="9" t="str">
        <f aca="false">IF((H759-G759)&lt;&gt;K759,"Mismatch","OK")</f>
        <v>OK</v>
      </c>
      <c r="X759" s="9" t="str">
        <f aca="false">IF(TEXT(H759,"dddd")&lt;&gt;I759,"Mismatch","OK")</f>
        <v>OK</v>
      </c>
      <c r="Y759" s="9" t="str">
        <f aca="false">IF(AND(N759="No",O759&lt;&gt;""),"Unexpected: channel present but no reminder sent",IF(AND(N759="Yes",O759=""),"Missing channel for sent reminder","OK"))</f>
        <v>OK</v>
      </c>
    </row>
    <row r="760" customFormat="false" ht="15" hidden="false" customHeight="false" outlineLevel="0" collapsed="false">
      <c r="A760" s="7" t="s">
        <v>1454</v>
      </c>
      <c r="B760" s="7" t="s">
        <v>1455</v>
      </c>
      <c r="C760" s="7" t="s">
        <v>37</v>
      </c>
      <c r="D760" s="7" t="n">
        <v>54</v>
      </c>
      <c r="E760" s="7" t="s">
        <v>56</v>
      </c>
      <c r="F760" s="7" t="s">
        <v>49</v>
      </c>
      <c r="G760" s="8" t="n">
        <v>45695</v>
      </c>
      <c r="H760" s="8" t="n">
        <v>45727</v>
      </c>
      <c r="I760" s="7" t="s">
        <v>40</v>
      </c>
      <c r="J760" s="7" t="s">
        <v>51</v>
      </c>
      <c r="K760" s="7" t="n">
        <v>32</v>
      </c>
      <c r="L760" s="7" t="n">
        <v>1</v>
      </c>
      <c r="M760" s="7" t="n">
        <v>1</v>
      </c>
      <c r="N760" s="7" t="s">
        <v>42</v>
      </c>
      <c r="O760" s="7" t="s">
        <v>67</v>
      </c>
      <c r="P760" s="7" t="n">
        <v>7.9</v>
      </c>
      <c r="Q760" s="7" t="n">
        <v>28</v>
      </c>
      <c r="R760" s="7" t="s">
        <v>53</v>
      </c>
      <c r="S760" s="7"/>
      <c r="T760" s="7"/>
      <c r="U760" s="7" t="str">
        <f aca="false">IF(COUNTIF($A$2:$A$5001,A760)&gt;1,"Duplicate","Unique")</f>
        <v>Unique</v>
      </c>
      <c r="V760" s="7" t="str">
        <f aca="false">IF(COUNTIFS($B$2:$B$5001,B760,$H$2:$H$5001,H760,$J$2:$J$5001,J760)&gt;1,"Possible Duplicate Booking","Unique")</f>
        <v>Unique</v>
      </c>
      <c r="W760" s="7" t="str">
        <f aca="false">IF((H760-G760)&lt;&gt;K760,"Mismatch","OK")</f>
        <v>OK</v>
      </c>
      <c r="X760" s="7" t="str">
        <f aca="false">IF(TEXT(H760,"dddd")&lt;&gt;I760,"Mismatch","OK")</f>
        <v>OK</v>
      </c>
      <c r="Y760" s="7" t="str">
        <f aca="false">IF(AND(N760="No",O760&lt;&gt;""),"Unexpected: channel present but no reminder sent",IF(AND(N760="Yes",O760=""),"Missing channel for sent reminder","OK"))</f>
        <v>OK</v>
      </c>
    </row>
    <row r="761" customFormat="false" ht="15" hidden="false" customHeight="false" outlineLevel="0" collapsed="false">
      <c r="A761" s="9" t="s">
        <v>1456</v>
      </c>
      <c r="B761" s="9" t="s">
        <v>1457</v>
      </c>
      <c r="C761" s="9" t="s">
        <v>47</v>
      </c>
      <c r="D761" s="9" t="n">
        <v>70</v>
      </c>
      <c r="E761" s="9" t="s">
        <v>70</v>
      </c>
      <c r="F761" s="9" t="s">
        <v>39</v>
      </c>
      <c r="G761" s="10" t="n">
        <v>46056</v>
      </c>
      <c r="H761" s="10" t="n">
        <v>46056</v>
      </c>
      <c r="I761" s="9" t="s">
        <v>40</v>
      </c>
      <c r="J761" s="9" t="s">
        <v>63</v>
      </c>
      <c r="K761" s="9" t="n">
        <v>0</v>
      </c>
      <c r="L761" s="9" t="n">
        <v>2</v>
      </c>
      <c r="M761" s="9" t="n">
        <v>0</v>
      </c>
      <c r="N761" s="9" t="s">
        <v>42</v>
      </c>
      <c r="O761" s="9" t="s">
        <v>52</v>
      </c>
      <c r="P761" s="9" t="n">
        <v>4.5</v>
      </c>
      <c r="Q761" s="9" t="n">
        <v>32</v>
      </c>
      <c r="R761" s="9" t="s">
        <v>44</v>
      </c>
      <c r="S761" s="9"/>
      <c r="T761" s="9"/>
      <c r="U761" s="9" t="str">
        <f aca="false">IF(COUNTIF($A$2:$A$5001,A761)&gt;1,"Duplicate","Unique")</f>
        <v>Unique</v>
      </c>
      <c r="V761" s="9" t="str">
        <f aca="false">IF(COUNTIFS($B$2:$B$5001,B761,$H$2:$H$5001,H761,$J$2:$J$5001,J761)&gt;1,"Possible Duplicate Booking","Unique")</f>
        <v>Unique</v>
      </c>
      <c r="W761" s="9" t="str">
        <f aca="false">IF((H761-G761)&lt;&gt;K761,"Mismatch","OK")</f>
        <v>OK</v>
      </c>
      <c r="X761" s="9" t="str">
        <f aca="false">IF(TEXT(H761,"dddd")&lt;&gt;I761,"Mismatch","OK")</f>
        <v>OK</v>
      </c>
      <c r="Y761" s="9" t="str">
        <f aca="false">IF(AND(N761="No",O761&lt;&gt;""),"Unexpected: channel present but no reminder sent",IF(AND(N761="Yes",O761=""),"Missing channel for sent reminder","OK"))</f>
        <v>OK</v>
      </c>
    </row>
    <row r="762" customFormat="false" ht="15" hidden="false" customHeight="false" outlineLevel="0" collapsed="false">
      <c r="A762" s="7" t="s">
        <v>1458</v>
      </c>
      <c r="B762" s="7" t="s">
        <v>1459</v>
      </c>
      <c r="C762" s="7" t="s">
        <v>47</v>
      </c>
      <c r="D762" s="7" t="n">
        <v>30</v>
      </c>
      <c r="E762" s="7" t="s">
        <v>48</v>
      </c>
      <c r="F762" s="7" t="s">
        <v>57</v>
      </c>
      <c r="G762" s="8" t="n">
        <v>45747</v>
      </c>
      <c r="H762" s="8" t="n">
        <v>45754</v>
      </c>
      <c r="I762" s="7" t="s">
        <v>66</v>
      </c>
      <c r="J762" s="7" t="s">
        <v>51</v>
      </c>
      <c r="K762" s="7" t="n">
        <v>7</v>
      </c>
      <c r="L762" s="7" t="n">
        <v>1</v>
      </c>
      <c r="M762" s="7" t="n">
        <v>0</v>
      </c>
      <c r="N762" s="7" t="s">
        <v>42</v>
      </c>
      <c r="O762" s="7" t="s">
        <v>43</v>
      </c>
      <c r="P762" s="7"/>
      <c r="Q762" s="7" t="n">
        <v>22</v>
      </c>
      <c r="R762" s="7" t="s">
        <v>44</v>
      </c>
      <c r="S762" s="7"/>
      <c r="T762" s="7"/>
      <c r="U762" s="7" t="str">
        <f aca="false">IF(COUNTIF($A$2:$A$5001,A762)&gt;1,"Duplicate","Unique")</f>
        <v>Unique</v>
      </c>
      <c r="V762" s="7" t="str">
        <f aca="false">IF(COUNTIFS($B$2:$B$5001,B762,$H$2:$H$5001,H762,$J$2:$J$5001,J762)&gt;1,"Possible Duplicate Booking","Unique")</f>
        <v>Unique</v>
      </c>
      <c r="W762" s="7" t="str">
        <f aca="false">IF((H762-G762)&lt;&gt;K762,"Mismatch","OK")</f>
        <v>OK</v>
      </c>
      <c r="X762" s="7" t="str">
        <f aca="false">IF(TEXT(H762,"dddd")&lt;&gt;I762,"Mismatch","OK")</f>
        <v>OK</v>
      </c>
      <c r="Y762" s="7" t="str">
        <f aca="false">IF(AND(N762="No",O762&lt;&gt;""),"Unexpected: channel present but no reminder sent",IF(AND(N762="Yes",O762=""),"Missing channel for sent reminder","OK"))</f>
        <v>OK</v>
      </c>
    </row>
    <row r="763" customFormat="false" ht="15" hidden="false" customHeight="false" outlineLevel="0" collapsed="false">
      <c r="A763" s="9" t="s">
        <v>1460</v>
      </c>
      <c r="B763" s="9" t="s">
        <v>1461</v>
      </c>
      <c r="C763" s="9" t="s">
        <v>47</v>
      </c>
      <c r="D763" s="9" t="n">
        <v>31</v>
      </c>
      <c r="E763" s="9" t="s">
        <v>48</v>
      </c>
      <c r="F763" s="9" t="s">
        <v>57</v>
      </c>
      <c r="G763" s="10" t="n">
        <v>45950</v>
      </c>
      <c r="H763" s="10" t="n">
        <v>45959</v>
      </c>
      <c r="I763" s="9" t="s">
        <v>58</v>
      </c>
      <c r="J763" s="9" t="s">
        <v>51</v>
      </c>
      <c r="K763" s="9" t="n">
        <v>9</v>
      </c>
      <c r="L763" s="9" t="n">
        <v>0</v>
      </c>
      <c r="M763" s="9" t="n">
        <v>0</v>
      </c>
      <c r="N763" s="9" t="s">
        <v>42</v>
      </c>
      <c r="O763" s="9" t="s">
        <v>52</v>
      </c>
      <c r="P763" s="9" t="n">
        <v>7.8</v>
      </c>
      <c r="Q763" s="9" t="n">
        <v>23</v>
      </c>
      <c r="R763" s="9" t="s">
        <v>53</v>
      </c>
      <c r="S763" s="9"/>
      <c r="T763" s="9"/>
      <c r="U763" s="9" t="str">
        <f aca="false">IF(COUNTIF($A$2:$A$5001,A763)&gt;1,"Duplicate","Unique")</f>
        <v>Unique</v>
      </c>
      <c r="V763" s="9" t="str">
        <f aca="false">IF(COUNTIFS($B$2:$B$5001,B763,$H$2:$H$5001,H763,$J$2:$J$5001,J763)&gt;1,"Possible Duplicate Booking","Unique")</f>
        <v>Unique</v>
      </c>
      <c r="W763" s="9" t="str">
        <f aca="false">IF((H763-G763)&lt;&gt;K763,"Mismatch","OK")</f>
        <v>OK</v>
      </c>
      <c r="X763" s="9" t="str">
        <f aca="false">IF(TEXT(H763,"dddd")&lt;&gt;I763,"Mismatch","OK")</f>
        <v>OK</v>
      </c>
      <c r="Y763" s="9" t="str">
        <f aca="false">IF(AND(N763="No",O763&lt;&gt;""),"Unexpected: channel present but no reminder sent",IF(AND(N763="Yes",O763=""),"Missing channel for sent reminder","OK"))</f>
        <v>OK</v>
      </c>
    </row>
    <row r="764" customFormat="false" ht="15" hidden="false" customHeight="false" outlineLevel="0" collapsed="false">
      <c r="A764" s="7" t="s">
        <v>1462</v>
      </c>
      <c r="B764" s="7" t="s">
        <v>272</v>
      </c>
      <c r="C764" s="7" t="s">
        <v>47</v>
      </c>
      <c r="D764" s="7" t="n">
        <v>68</v>
      </c>
      <c r="E764" s="7" t="s">
        <v>70</v>
      </c>
      <c r="F764" s="7" t="s">
        <v>49</v>
      </c>
      <c r="G764" s="8" t="n">
        <v>46165</v>
      </c>
      <c r="H764" s="8" t="n">
        <v>46176</v>
      </c>
      <c r="I764" s="7" t="s">
        <v>58</v>
      </c>
      <c r="J764" s="7" t="s">
        <v>51</v>
      </c>
      <c r="K764" s="7" t="n">
        <v>11</v>
      </c>
      <c r="L764" s="7" t="n">
        <v>2</v>
      </c>
      <c r="M764" s="7" t="n">
        <v>1</v>
      </c>
      <c r="N764" s="7" t="s">
        <v>42</v>
      </c>
      <c r="O764" s="7" t="s">
        <v>52</v>
      </c>
      <c r="P764" s="7" t="n">
        <v>6.7</v>
      </c>
      <c r="Q764" s="7" t="n">
        <v>41</v>
      </c>
      <c r="R764" s="7" t="s">
        <v>53</v>
      </c>
      <c r="S764" s="7"/>
      <c r="T764" s="7"/>
      <c r="U764" s="7" t="str">
        <f aca="false">IF(COUNTIF($A$2:$A$5001,A764)&gt;1,"Duplicate","Unique")</f>
        <v>Unique</v>
      </c>
      <c r="V764" s="7" t="str">
        <f aca="false">IF(COUNTIFS($B$2:$B$5001,B764,$H$2:$H$5001,H764,$J$2:$J$5001,J764)&gt;1,"Possible Duplicate Booking","Unique")</f>
        <v>Unique</v>
      </c>
      <c r="W764" s="7" t="str">
        <f aca="false">IF((H764-G764)&lt;&gt;K764,"Mismatch","OK")</f>
        <v>OK</v>
      </c>
      <c r="X764" s="7" t="str">
        <f aca="false">IF(TEXT(H764,"dddd")&lt;&gt;I764,"Mismatch","OK")</f>
        <v>OK</v>
      </c>
      <c r="Y764" s="7" t="str">
        <f aca="false">IF(AND(N764="No",O764&lt;&gt;""),"Unexpected: channel present but no reminder sent",IF(AND(N764="Yes",O764=""),"Missing channel for sent reminder","OK"))</f>
        <v>OK</v>
      </c>
    </row>
    <row r="765" customFormat="false" ht="15" hidden="false" customHeight="false" outlineLevel="0" collapsed="false">
      <c r="A765" s="9" t="s">
        <v>1463</v>
      </c>
      <c r="B765" s="9" t="s">
        <v>1464</v>
      </c>
      <c r="C765" s="9" t="s">
        <v>37</v>
      </c>
      <c r="D765" s="9" t="n">
        <v>61</v>
      </c>
      <c r="E765" s="9" t="s">
        <v>61</v>
      </c>
      <c r="F765" s="9" t="s">
        <v>74</v>
      </c>
      <c r="G765" s="10" t="n">
        <v>46164</v>
      </c>
      <c r="H765" s="10" t="n">
        <v>46169</v>
      </c>
      <c r="I765" s="9" t="s">
        <v>58</v>
      </c>
      <c r="J765" s="9" t="s">
        <v>51</v>
      </c>
      <c r="K765" s="9" t="n">
        <v>5</v>
      </c>
      <c r="L765" s="9" t="n">
        <v>5</v>
      </c>
      <c r="M765" s="9" t="n">
        <v>2</v>
      </c>
      <c r="N765" s="9" t="s">
        <v>42</v>
      </c>
      <c r="O765" s="9" t="s">
        <v>43</v>
      </c>
      <c r="P765" s="9" t="n">
        <v>8.4</v>
      </c>
      <c r="Q765" s="9" t="n">
        <v>32</v>
      </c>
      <c r="R765" s="9" t="s">
        <v>53</v>
      </c>
      <c r="S765" s="9"/>
      <c r="T765" s="9"/>
      <c r="U765" s="9" t="str">
        <f aca="false">IF(COUNTIF($A$2:$A$5001,A765)&gt;1,"Duplicate","Unique")</f>
        <v>Unique</v>
      </c>
      <c r="V765" s="9" t="str">
        <f aca="false">IF(COUNTIFS($B$2:$B$5001,B765,$H$2:$H$5001,H765,$J$2:$J$5001,J765)&gt;1,"Possible Duplicate Booking","Unique")</f>
        <v>Unique</v>
      </c>
      <c r="W765" s="9" t="str">
        <f aca="false">IF((H765-G765)&lt;&gt;K765,"Mismatch","OK")</f>
        <v>OK</v>
      </c>
      <c r="X765" s="9" t="str">
        <f aca="false">IF(TEXT(H765,"dddd")&lt;&gt;I765,"Mismatch","OK")</f>
        <v>OK</v>
      </c>
      <c r="Y765" s="9" t="str">
        <f aca="false">IF(AND(N765="No",O765&lt;&gt;""),"Unexpected: channel present but no reminder sent",IF(AND(N765="Yes",O765=""),"Missing channel for sent reminder","OK"))</f>
        <v>OK</v>
      </c>
    </row>
    <row r="766" customFormat="false" ht="15" hidden="false" customHeight="false" outlineLevel="0" collapsed="false">
      <c r="A766" s="7" t="s">
        <v>1465</v>
      </c>
      <c r="B766" s="7" t="s">
        <v>1318</v>
      </c>
      <c r="C766" s="7" t="s">
        <v>37</v>
      </c>
      <c r="D766" s="7" t="n">
        <v>74</v>
      </c>
      <c r="E766" s="7" t="s">
        <v>70</v>
      </c>
      <c r="F766" s="7" t="s">
        <v>39</v>
      </c>
      <c r="G766" s="8" t="n">
        <v>45835</v>
      </c>
      <c r="H766" s="8" t="n">
        <v>45854</v>
      </c>
      <c r="I766" s="7" t="s">
        <v>58</v>
      </c>
      <c r="J766" s="7" t="s">
        <v>51</v>
      </c>
      <c r="K766" s="7" t="n">
        <v>19</v>
      </c>
      <c r="L766" s="7" t="n">
        <v>0</v>
      </c>
      <c r="M766" s="7" t="n">
        <v>0</v>
      </c>
      <c r="N766" s="7" t="s">
        <v>42</v>
      </c>
      <c r="O766" s="7" t="s">
        <v>52</v>
      </c>
      <c r="P766" s="7" t="n">
        <v>11.7</v>
      </c>
      <c r="Q766" s="7" t="n">
        <v>28</v>
      </c>
      <c r="R766" s="7" t="s">
        <v>53</v>
      </c>
      <c r="S766" s="7"/>
      <c r="T766" s="7"/>
      <c r="U766" s="7" t="str">
        <f aca="false">IF(COUNTIF($A$2:$A$5001,A766)&gt;1,"Duplicate","Unique")</f>
        <v>Unique</v>
      </c>
      <c r="V766" s="7" t="str">
        <f aca="false">IF(COUNTIFS($B$2:$B$5001,B766,$H$2:$H$5001,H766,$J$2:$J$5001,J766)&gt;1,"Possible Duplicate Booking","Unique")</f>
        <v>Unique</v>
      </c>
      <c r="W766" s="7" t="str">
        <f aca="false">IF((H766-G766)&lt;&gt;K766,"Mismatch","OK")</f>
        <v>OK</v>
      </c>
      <c r="X766" s="7" t="str">
        <f aca="false">IF(TEXT(H766,"dddd")&lt;&gt;I766,"Mismatch","OK")</f>
        <v>OK</v>
      </c>
      <c r="Y766" s="7" t="str">
        <f aca="false">IF(AND(N766="No",O766&lt;&gt;""),"Unexpected: channel present but no reminder sent",IF(AND(N766="Yes",O766=""),"Missing channel for sent reminder","OK"))</f>
        <v>OK</v>
      </c>
    </row>
    <row r="767" customFormat="false" ht="15" hidden="false" customHeight="false" outlineLevel="0" collapsed="false">
      <c r="A767" s="9" t="s">
        <v>1466</v>
      </c>
      <c r="B767" s="9" t="s">
        <v>166</v>
      </c>
      <c r="C767" s="9" t="s">
        <v>47</v>
      </c>
      <c r="D767" s="9" t="n">
        <v>67</v>
      </c>
      <c r="E767" s="9" t="s">
        <v>70</v>
      </c>
      <c r="F767" s="9" t="s">
        <v>74</v>
      </c>
      <c r="G767" s="10" t="n">
        <v>46051</v>
      </c>
      <c r="H767" s="10" t="n">
        <v>46084</v>
      </c>
      <c r="I767" s="9" t="s">
        <v>40</v>
      </c>
      <c r="J767" s="9" t="s">
        <v>41</v>
      </c>
      <c r="K767" s="9" t="n">
        <v>33</v>
      </c>
      <c r="L767" s="9" t="n">
        <v>0</v>
      </c>
      <c r="M767" s="9" t="n">
        <v>0</v>
      </c>
      <c r="N767" s="9" t="s">
        <v>71</v>
      </c>
      <c r="O767" s="9"/>
      <c r="P767" s="9" t="n">
        <v>5.6</v>
      </c>
      <c r="Q767" s="9" t="n">
        <v>20</v>
      </c>
      <c r="R767" s="9" t="s">
        <v>44</v>
      </c>
      <c r="S767" s="9"/>
      <c r="T767" s="9"/>
      <c r="U767" s="9" t="str">
        <f aca="false">IF(COUNTIF($A$2:$A$5001,A767)&gt;1,"Duplicate","Unique")</f>
        <v>Unique</v>
      </c>
      <c r="V767" s="9" t="str">
        <f aca="false">IF(COUNTIFS($B$2:$B$5001,B767,$H$2:$H$5001,H767,$J$2:$J$5001,J767)&gt;1,"Possible Duplicate Booking","Unique")</f>
        <v>Unique</v>
      </c>
      <c r="W767" s="9" t="str">
        <f aca="false">IF((H767-G767)&lt;&gt;K767,"Mismatch","OK")</f>
        <v>OK</v>
      </c>
      <c r="X767" s="9" t="str">
        <f aca="false">IF(TEXT(H767,"dddd")&lt;&gt;I767,"Mismatch","OK")</f>
        <v>OK</v>
      </c>
      <c r="Y767" s="9" t="str">
        <f aca="false">IF(AND(N767="No",O767&lt;&gt;""),"Unexpected: channel present but no reminder sent",IF(AND(N767="Yes",O767=""),"Missing channel for sent reminder","OK"))</f>
        <v>OK</v>
      </c>
    </row>
    <row r="768" customFormat="false" ht="15" hidden="false" customHeight="false" outlineLevel="0" collapsed="false">
      <c r="A768" s="7" t="s">
        <v>1467</v>
      </c>
      <c r="B768" s="7" t="s">
        <v>1468</v>
      </c>
      <c r="C768" s="7" t="s">
        <v>37</v>
      </c>
      <c r="D768" s="7" t="n">
        <v>78</v>
      </c>
      <c r="E768" s="7" t="s">
        <v>70</v>
      </c>
      <c r="F768" s="7" t="s">
        <v>74</v>
      </c>
      <c r="G768" s="8" t="n">
        <v>45974</v>
      </c>
      <c r="H768" s="8" t="n">
        <v>45992</v>
      </c>
      <c r="I768" s="7" t="s">
        <v>66</v>
      </c>
      <c r="J768" s="7" t="s">
        <v>41</v>
      </c>
      <c r="K768" s="7" t="n">
        <v>18</v>
      </c>
      <c r="L768" s="7" t="n">
        <v>3</v>
      </c>
      <c r="M768" s="7" t="n">
        <v>0</v>
      </c>
      <c r="N768" s="7" t="s">
        <v>71</v>
      </c>
      <c r="O768" s="7"/>
      <c r="P768" s="7" t="n">
        <v>15</v>
      </c>
      <c r="Q768" s="7" t="n">
        <v>31</v>
      </c>
      <c r="R768" s="7" t="s">
        <v>53</v>
      </c>
      <c r="S768" s="7"/>
      <c r="T768" s="7"/>
      <c r="U768" s="7" t="str">
        <f aca="false">IF(COUNTIF($A$2:$A$5001,A768)&gt;1,"Duplicate","Unique")</f>
        <v>Unique</v>
      </c>
      <c r="V768" s="7" t="str">
        <f aca="false">IF(COUNTIFS($B$2:$B$5001,B768,$H$2:$H$5001,H768,$J$2:$J$5001,J768)&gt;1,"Possible Duplicate Booking","Unique")</f>
        <v>Unique</v>
      </c>
      <c r="W768" s="7" t="str">
        <f aca="false">IF((H768-G768)&lt;&gt;K768,"Mismatch","OK")</f>
        <v>OK</v>
      </c>
      <c r="X768" s="7" t="str">
        <f aca="false">IF(TEXT(H768,"dddd")&lt;&gt;I768,"Mismatch","OK")</f>
        <v>OK</v>
      </c>
      <c r="Y768" s="7" t="str">
        <f aca="false">IF(AND(N768="No",O768&lt;&gt;""),"Unexpected: channel present but no reminder sent",IF(AND(N768="Yes",O768=""),"Missing channel for sent reminder","OK"))</f>
        <v>OK</v>
      </c>
    </row>
    <row r="769" customFormat="false" ht="15" hidden="false" customHeight="false" outlineLevel="0" collapsed="false">
      <c r="A769" s="9" t="s">
        <v>1469</v>
      </c>
      <c r="B769" s="9" t="s">
        <v>144</v>
      </c>
      <c r="C769" s="9" t="s">
        <v>37</v>
      </c>
      <c r="D769" s="9" t="n">
        <v>29</v>
      </c>
      <c r="E769" s="9" t="s">
        <v>48</v>
      </c>
      <c r="F769" s="9" t="s">
        <v>57</v>
      </c>
      <c r="G769" s="10" t="n">
        <v>45899</v>
      </c>
      <c r="H769" s="10" t="n">
        <v>45919</v>
      </c>
      <c r="I769" s="9" t="s">
        <v>50</v>
      </c>
      <c r="J769" s="9" t="s">
        <v>51</v>
      </c>
      <c r="K769" s="9" t="n">
        <v>20</v>
      </c>
      <c r="L769" s="9" t="n">
        <v>5</v>
      </c>
      <c r="M769" s="9" t="n">
        <v>1</v>
      </c>
      <c r="N769" s="9" t="s">
        <v>71</v>
      </c>
      <c r="O769" s="9"/>
      <c r="P769" s="9" t="n">
        <v>11.1</v>
      </c>
      <c r="Q769" s="9" t="n">
        <v>28</v>
      </c>
      <c r="R769" s="9" t="s">
        <v>53</v>
      </c>
      <c r="S769" s="9"/>
      <c r="T769" s="9"/>
      <c r="U769" s="9" t="str">
        <f aca="false">IF(COUNTIF($A$2:$A$5001,A769)&gt;1,"Duplicate","Unique")</f>
        <v>Unique</v>
      </c>
      <c r="V769" s="9" t="str">
        <f aca="false">IF(COUNTIFS($B$2:$B$5001,B769,$H$2:$H$5001,H769,$J$2:$J$5001,J769)&gt;1,"Possible Duplicate Booking","Unique")</f>
        <v>Unique</v>
      </c>
      <c r="W769" s="9" t="str">
        <f aca="false">IF((H769-G769)&lt;&gt;K769,"Mismatch","OK")</f>
        <v>OK</v>
      </c>
      <c r="X769" s="9" t="str">
        <f aca="false">IF(TEXT(H769,"dddd")&lt;&gt;I769,"Mismatch","OK")</f>
        <v>OK</v>
      </c>
      <c r="Y769" s="9" t="str">
        <f aca="false">IF(AND(N769="No",O769&lt;&gt;""),"Unexpected: channel present but no reminder sent",IF(AND(N769="Yes",O769=""),"Missing channel for sent reminder","OK"))</f>
        <v>OK</v>
      </c>
    </row>
    <row r="770" customFormat="false" ht="15" hidden="false" customHeight="false" outlineLevel="0" collapsed="false">
      <c r="A770" s="7" t="s">
        <v>1470</v>
      </c>
      <c r="B770" s="7" t="s">
        <v>272</v>
      </c>
      <c r="C770" s="7" t="s">
        <v>37</v>
      </c>
      <c r="D770" s="7" t="n">
        <v>35</v>
      </c>
      <c r="E770" s="7" t="s">
        <v>38</v>
      </c>
      <c r="F770" s="7" t="s">
        <v>49</v>
      </c>
      <c r="G770" s="8" t="n">
        <v>45706</v>
      </c>
      <c r="H770" s="8" t="n">
        <v>45734</v>
      </c>
      <c r="I770" s="7" t="s">
        <v>40</v>
      </c>
      <c r="J770" s="7" t="s">
        <v>51</v>
      </c>
      <c r="K770" s="7" t="n">
        <v>28</v>
      </c>
      <c r="L770" s="7" t="n">
        <v>6</v>
      </c>
      <c r="M770" s="7" t="n">
        <v>0</v>
      </c>
      <c r="N770" s="7" t="s">
        <v>42</v>
      </c>
      <c r="O770" s="7" t="s">
        <v>43</v>
      </c>
      <c r="P770" s="7" t="n">
        <v>9</v>
      </c>
      <c r="Q770" s="7" t="n">
        <v>27</v>
      </c>
      <c r="R770" s="7" t="s">
        <v>87</v>
      </c>
      <c r="S770" s="7"/>
      <c r="T770" s="7"/>
      <c r="U770" s="7" t="str">
        <f aca="false">IF(COUNTIF($A$2:$A$5001,A770)&gt;1,"Duplicate","Unique")</f>
        <v>Unique</v>
      </c>
      <c r="V770" s="7" t="str">
        <f aca="false">IF(COUNTIFS($B$2:$B$5001,B770,$H$2:$H$5001,H770,$J$2:$J$5001,J770)&gt;1,"Possible Duplicate Booking","Unique")</f>
        <v>Unique</v>
      </c>
      <c r="W770" s="7" t="str">
        <f aca="false">IF((H770-G770)&lt;&gt;K770,"Mismatch","OK")</f>
        <v>OK</v>
      </c>
      <c r="X770" s="7" t="str">
        <f aca="false">IF(TEXT(H770,"dddd")&lt;&gt;I770,"Mismatch","OK")</f>
        <v>OK</v>
      </c>
      <c r="Y770" s="7" t="str">
        <f aca="false">IF(AND(N770="No",O770&lt;&gt;""),"Unexpected: channel present but no reminder sent",IF(AND(N770="Yes",O770=""),"Missing channel for sent reminder","OK"))</f>
        <v>OK</v>
      </c>
    </row>
    <row r="771" customFormat="false" ht="15" hidden="false" customHeight="false" outlineLevel="0" collapsed="false">
      <c r="A771" s="9" t="s">
        <v>1471</v>
      </c>
      <c r="B771" s="9" t="s">
        <v>1472</v>
      </c>
      <c r="C771" s="9" t="s">
        <v>47</v>
      </c>
      <c r="D771" s="9" t="n">
        <v>32</v>
      </c>
      <c r="E771" s="9" t="s">
        <v>48</v>
      </c>
      <c r="F771" s="9" t="s">
        <v>57</v>
      </c>
      <c r="G771" s="10" t="n">
        <v>45830</v>
      </c>
      <c r="H771" s="10" t="n">
        <v>45863</v>
      </c>
      <c r="I771" s="9" t="s">
        <v>50</v>
      </c>
      <c r="J771" s="9" t="s">
        <v>41</v>
      </c>
      <c r="K771" s="9" t="n">
        <v>33</v>
      </c>
      <c r="L771" s="9" t="n">
        <v>2</v>
      </c>
      <c r="M771" s="9" t="n">
        <v>1</v>
      </c>
      <c r="N771" s="9" t="s">
        <v>42</v>
      </c>
      <c r="O771" s="9" t="s">
        <v>43</v>
      </c>
      <c r="P771" s="9" t="n">
        <v>7.4</v>
      </c>
      <c r="Q771" s="9" t="n">
        <v>32</v>
      </c>
      <c r="R771" s="9" t="s">
        <v>87</v>
      </c>
      <c r="S771" s="9"/>
      <c r="T771" s="9"/>
      <c r="U771" s="9" t="str">
        <f aca="false">IF(COUNTIF($A$2:$A$5001,A771)&gt;1,"Duplicate","Unique")</f>
        <v>Unique</v>
      </c>
      <c r="V771" s="9" t="str">
        <f aca="false">IF(COUNTIFS($B$2:$B$5001,B771,$H$2:$H$5001,H771,$J$2:$J$5001,J771)&gt;1,"Possible Duplicate Booking","Unique")</f>
        <v>Unique</v>
      </c>
      <c r="W771" s="9" t="str">
        <f aca="false">IF((H771-G771)&lt;&gt;K771,"Mismatch","OK")</f>
        <v>OK</v>
      </c>
      <c r="X771" s="9" t="str">
        <f aca="false">IF(TEXT(H771,"dddd")&lt;&gt;I771,"Mismatch","OK")</f>
        <v>OK</v>
      </c>
      <c r="Y771" s="9" t="str">
        <f aca="false">IF(AND(N771="No",O771&lt;&gt;""),"Unexpected: channel present but no reminder sent",IF(AND(N771="Yes",O771=""),"Missing channel for sent reminder","OK"))</f>
        <v>OK</v>
      </c>
    </row>
    <row r="772" customFormat="false" ht="15" hidden="false" customHeight="false" outlineLevel="0" collapsed="false">
      <c r="A772" s="7" t="s">
        <v>1473</v>
      </c>
      <c r="B772" s="7" t="s">
        <v>1320</v>
      </c>
      <c r="C772" s="7" t="s">
        <v>37</v>
      </c>
      <c r="D772" s="7" t="n">
        <v>21</v>
      </c>
      <c r="E772" s="7" t="s">
        <v>82</v>
      </c>
      <c r="F772" s="7" t="s">
        <v>39</v>
      </c>
      <c r="G772" s="8" t="n">
        <v>45993</v>
      </c>
      <c r="H772" s="8" t="n">
        <v>46013</v>
      </c>
      <c r="I772" s="7" t="s">
        <v>66</v>
      </c>
      <c r="J772" s="7" t="s">
        <v>51</v>
      </c>
      <c r="K772" s="7" t="n">
        <v>20</v>
      </c>
      <c r="L772" s="7" t="n">
        <v>3</v>
      </c>
      <c r="M772" s="7" t="n">
        <v>0</v>
      </c>
      <c r="N772" s="7" t="s">
        <v>42</v>
      </c>
      <c r="O772" s="7" t="s">
        <v>43</v>
      </c>
      <c r="P772" s="7" t="n">
        <v>4.3</v>
      </c>
      <c r="Q772" s="7" t="n">
        <v>28</v>
      </c>
      <c r="R772" s="7" t="s">
        <v>53</v>
      </c>
      <c r="S772" s="7"/>
      <c r="T772" s="7"/>
      <c r="U772" s="7" t="str">
        <f aca="false">IF(COUNTIF($A$2:$A$5001,A772)&gt;1,"Duplicate","Unique")</f>
        <v>Unique</v>
      </c>
      <c r="V772" s="7" t="str">
        <f aca="false">IF(COUNTIFS($B$2:$B$5001,B772,$H$2:$H$5001,H772,$J$2:$J$5001,J772)&gt;1,"Possible Duplicate Booking","Unique")</f>
        <v>Unique</v>
      </c>
      <c r="W772" s="7" t="str">
        <f aca="false">IF((H772-G772)&lt;&gt;K772,"Mismatch","OK")</f>
        <v>OK</v>
      </c>
      <c r="X772" s="7" t="str">
        <f aca="false">IF(TEXT(H772,"dddd")&lt;&gt;I772,"Mismatch","OK")</f>
        <v>OK</v>
      </c>
      <c r="Y772" s="7" t="str">
        <f aca="false">IF(AND(N772="No",O772&lt;&gt;""),"Unexpected: channel present but no reminder sent",IF(AND(N772="Yes",O772=""),"Missing channel for sent reminder","OK"))</f>
        <v>OK</v>
      </c>
    </row>
    <row r="773" customFormat="false" ht="15" hidden="false" customHeight="false" outlineLevel="0" collapsed="false">
      <c r="A773" s="9" t="s">
        <v>1474</v>
      </c>
      <c r="B773" s="9" t="s">
        <v>1475</v>
      </c>
      <c r="C773" s="9" t="s">
        <v>236</v>
      </c>
      <c r="D773" s="9" t="n">
        <v>67</v>
      </c>
      <c r="E773" s="9" t="s">
        <v>70</v>
      </c>
      <c r="F773" s="9" t="s">
        <v>57</v>
      </c>
      <c r="G773" s="10" t="n">
        <v>46183</v>
      </c>
      <c r="H773" s="10" t="n">
        <v>46196</v>
      </c>
      <c r="I773" s="9" t="s">
        <v>40</v>
      </c>
      <c r="J773" s="9" t="s">
        <v>41</v>
      </c>
      <c r="K773" s="9" t="n">
        <v>13</v>
      </c>
      <c r="L773" s="9" t="n">
        <v>2</v>
      </c>
      <c r="M773" s="9" t="n">
        <v>1</v>
      </c>
      <c r="N773" s="9" t="s">
        <v>71</v>
      </c>
      <c r="O773" s="9"/>
      <c r="P773" s="9" t="n">
        <v>11.8</v>
      </c>
      <c r="Q773" s="9" t="n">
        <v>7</v>
      </c>
      <c r="R773" s="9" t="s">
        <v>53</v>
      </c>
      <c r="S773" s="9"/>
      <c r="T773" s="9"/>
      <c r="U773" s="9" t="str">
        <f aca="false">IF(COUNTIF($A$2:$A$5001,A773)&gt;1,"Duplicate","Unique")</f>
        <v>Unique</v>
      </c>
      <c r="V773" s="9" t="str">
        <f aca="false">IF(COUNTIFS($B$2:$B$5001,B773,$H$2:$H$5001,H773,$J$2:$J$5001,J773)&gt;1,"Possible Duplicate Booking","Unique")</f>
        <v>Unique</v>
      </c>
      <c r="W773" s="9" t="str">
        <f aca="false">IF((H773-G773)&lt;&gt;K773,"Mismatch","OK")</f>
        <v>OK</v>
      </c>
      <c r="X773" s="9" t="str">
        <f aca="false">IF(TEXT(H773,"dddd")&lt;&gt;I773,"Mismatch","OK")</f>
        <v>OK</v>
      </c>
      <c r="Y773" s="9" t="str">
        <f aca="false">IF(AND(N773="No",O773&lt;&gt;""),"Unexpected: channel present but no reminder sent",IF(AND(N773="Yes",O773=""),"Missing channel for sent reminder","OK"))</f>
        <v>OK</v>
      </c>
    </row>
    <row r="774" customFormat="false" ht="15" hidden="false" customHeight="false" outlineLevel="0" collapsed="false">
      <c r="A774" s="7" t="s">
        <v>1476</v>
      </c>
      <c r="B774" s="7" t="s">
        <v>306</v>
      </c>
      <c r="C774" s="7" t="s">
        <v>37</v>
      </c>
      <c r="D774" s="7" t="n">
        <v>59</v>
      </c>
      <c r="E774" s="7" t="s">
        <v>61</v>
      </c>
      <c r="F774" s="7" t="s">
        <v>74</v>
      </c>
      <c r="G774" s="8" t="n">
        <v>45636</v>
      </c>
      <c r="H774" s="8" t="n">
        <v>45660</v>
      </c>
      <c r="I774" s="7" t="s">
        <v>50</v>
      </c>
      <c r="J774" s="7" t="s">
        <v>63</v>
      </c>
      <c r="K774" s="7" t="n">
        <v>24</v>
      </c>
      <c r="L774" s="7" t="n">
        <v>1</v>
      </c>
      <c r="M774" s="7" t="n">
        <v>0</v>
      </c>
      <c r="N774" s="7" t="s">
        <v>42</v>
      </c>
      <c r="O774" s="7" t="s">
        <v>52</v>
      </c>
      <c r="P774" s="7" t="n">
        <v>30.6</v>
      </c>
      <c r="Q774" s="7" t="n">
        <v>25</v>
      </c>
      <c r="R774" s="7" t="s">
        <v>44</v>
      </c>
      <c r="S774" s="7"/>
      <c r="T774" s="7"/>
      <c r="U774" s="7" t="str">
        <f aca="false">IF(COUNTIF($A$2:$A$5001,A774)&gt;1,"Duplicate","Unique")</f>
        <v>Unique</v>
      </c>
      <c r="V774" s="7" t="str">
        <f aca="false">IF(COUNTIFS($B$2:$B$5001,B774,$H$2:$H$5001,H774,$J$2:$J$5001,J774)&gt;1,"Possible Duplicate Booking","Unique")</f>
        <v>Unique</v>
      </c>
      <c r="W774" s="7" t="str">
        <f aca="false">IF((H774-G774)&lt;&gt;K774,"Mismatch","OK")</f>
        <v>OK</v>
      </c>
      <c r="X774" s="7" t="str">
        <f aca="false">IF(TEXT(H774,"dddd")&lt;&gt;I774,"Mismatch","OK")</f>
        <v>OK</v>
      </c>
      <c r="Y774" s="7" t="str">
        <f aca="false">IF(AND(N774="No",O774&lt;&gt;""),"Unexpected: channel present but no reminder sent",IF(AND(N774="Yes",O774=""),"Missing channel for sent reminder","OK"))</f>
        <v>OK</v>
      </c>
    </row>
    <row r="775" customFormat="false" ht="15" hidden="false" customHeight="false" outlineLevel="0" collapsed="false">
      <c r="A775" s="9" t="s">
        <v>1477</v>
      </c>
      <c r="B775" s="9" t="s">
        <v>383</v>
      </c>
      <c r="C775" s="9" t="s">
        <v>37</v>
      </c>
      <c r="D775" s="9" t="n">
        <v>23</v>
      </c>
      <c r="E775" s="9" t="s">
        <v>82</v>
      </c>
      <c r="F775" s="9" t="s">
        <v>49</v>
      </c>
      <c r="G775" s="10" t="n">
        <v>46048</v>
      </c>
      <c r="H775" s="10" t="n">
        <v>46049</v>
      </c>
      <c r="I775" s="9" t="s">
        <v>40</v>
      </c>
      <c r="J775" s="9" t="s">
        <v>51</v>
      </c>
      <c r="K775" s="9" t="n">
        <v>1</v>
      </c>
      <c r="L775" s="9" t="n">
        <v>2</v>
      </c>
      <c r="M775" s="9" t="n">
        <v>2</v>
      </c>
      <c r="N775" s="9" t="s">
        <v>42</v>
      </c>
      <c r="O775" s="9" t="s">
        <v>43</v>
      </c>
      <c r="P775" s="9" t="n">
        <v>18.5</v>
      </c>
      <c r="Q775" s="9" t="n">
        <v>12</v>
      </c>
      <c r="R775" s="9" t="s">
        <v>53</v>
      </c>
      <c r="S775" s="9"/>
      <c r="T775" s="9"/>
      <c r="U775" s="9" t="str">
        <f aca="false">IF(COUNTIF($A$2:$A$5001,A775)&gt;1,"Duplicate","Unique")</f>
        <v>Unique</v>
      </c>
      <c r="V775" s="9" t="str">
        <f aca="false">IF(COUNTIFS($B$2:$B$5001,B775,$H$2:$H$5001,H775,$J$2:$J$5001,J775)&gt;1,"Possible Duplicate Booking","Unique")</f>
        <v>Unique</v>
      </c>
      <c r="W775" s="9" t="str">
        <f aca="false">IF((H775-G775)&lt;&gt;K775,"Mismatch","OK")</f>
        <v>OK</v>
      </c>
      <c r="X775" s="9" t="str">
        <f aca="false">IF(TEXT(H775,"dddd")&lt;&gt;I775,"Mismatch","OK")</f>
        <v>OK</v>
      </c>
      <c r="Y775" s="9" t="str">
        <f aca="false">IF(AND(N775="No",O775&lt;&gt;""),"Unexpected: channel present but no reminder sent",IF(AND(N775="Yes",O775=""),"Missing channel for sent reminder","OK"))</f>
        <v>OK</v>
      </c>
    </row>
    <row r="776" customFormat="false" ht="15" hidden="false" customHeight="false" outlineLevel="0" collapsed="false">
      <c r="A776" s="7" t="s">
        <v>1478</v>
      </c>
      <c r="B776" s="7" t="s">
        <v>172</v>
      </c>
      <c r="C776" s="7" t="s">
        <v>37</v>
      </c>
      <c r="D776" s="7" t="n">
        <v>30</v>
      </c>
      <c r="E776" s="7" t="s">
        <v>48</v>
      </c>
      <c r="F776" s="7" t="s">
        <v>57</v>
      </c>
      <c r="G776" s="8" t="n">
        <v>46090</v>
      </c>
      <c r="H776" s="8" t="n">
        <v>46120</v>
      </c>
      <c r="I776" s="7" t="s">
        <v>58</v>
      </c>
      <c r="J776" s="7" t="s">
        <v>41</v>
      </c>
      <c r="K776" s="7" t="n">
        <v>30</v>
      </c>
      <c r="L776" s="7" t="n">
        <v>1</v>
      </c>
      <c r="M776" s="7" t="n">
        <v>0</v>
      </c>
      <c r="N776" s="7" t="s">
        <v>71</v>
      </c>
      <c r="O776" s="7"/>
      <c r="P776" s="7" t="n">
        <v>12.8</v>
      </c>
      <c r="Q776" s="7" t="n">
        <v>31</v>
      </c>
      <c r="R776" s="7" t="s">
        <v>53</v>
      </c>
      <c r="S776" s="7"/>
      <c r="T776" s="7"/>
      <c r="U776" s="7" t="str">
        <f aca="false">IF(COUNTIF($A$2:$A$5001,A776)&gt;1,"Duplicate","Unique")</f>
        <v>Unique</v>
      </c>
      <c r="V776" s="7" t="str">
        <f aca="false">IF(COUNTIFS($B$2:$B$5001,B776,$H$2:$H$5001,H776,$J$2:$J$5001,J776)&gt;1,"Possible Duplicate Booking","Unique")</f>
        <v>Unique</v>
      </c>
      <c r="W776" s="7" t="str">
        <f aca="false">IF((H776-G776)&lt;&gt;K776,"Mismatch","OK")</f>
        <v>OK</v>
      </c>
      <c r="X776" s="7" t="str">
        <f aca="false">IF(TEXT(H776,"dddd")&lt;&gt;I776,"Mismatch","OK")</f>
        <v>OK</v>
      </c>
      <c r="Y776" s="7" t="str">
        <f aca="false">IF(AND(N776="No",O776&lt;&gt;""),"Unexpected: channel present but no reminder sent",IF(AND(N776="Yes",O776=""),"Missing channel for sent reminder","OK"))</f>
        <v>OK</v>
      </c>
    </row>
    <row r="777" customFormat="false" ht="15" hidden="false" customHeight="false" outlineLevel="0" collapsed="false">
      <c r="A777" s="9" t="s">
        <v>1479</v>
      </c>
      <c r="B777" s="9" t="s">
        <v>1480</v>
      </c>
      <c r="C777" s="9" t="s">
        <v>37</v>
      </c>
      <c r="D777" s="9" t="n">
        <v>30</v>
      </c>
      <c r="E777" s="9" t="s">
        <v>48</v>
      </c>
      <c r="F777" s="9" t="s">
        <v>57</v>
      </c>
      <c r="G777" s="10" t="n">
        <v>46120</v>
      </c>
      <c r="H777" s="10" t="n">
        <v>46177</v>
      </c>
      <c r="I777" s="9" t="s">
        <v>62</v>
      </c>
      <c r="J777" s="9" t="s">
        <v>63</v>
      </c>
      <c r="K777" s="9" t="n">
        <v>57</v>
      </c>
      <c r="L777" s="9" t="n">
        <v>1</v>
      </c>
      <c r="M777" s="9" t="n">
        <v>1</v>
      </c>
      <c r="N777" s="9" t="s">
        <v>71</v>
      </c>
      <c r="O777" s="9"/>
      <c r="P777" s="9" t="n">
        <v>20</v>
      </c>
      <c r="Q777" s="9" t="n">
        <v>7</v>
      </c>
      <c r="R777" s="9" t="s">
        <v>53</v>
      </c>
      <c r="S777" s="9"/>
      <c r="T777" s="9"/>
      <c r="U777" s="9" t="str">
        <f aca="false">IF(COUNTIF($A$2:$A$5001,A777)&gt;1,"Duplicate","Unique")</f>
        <v>Unique</v>
      </c>
      <c r="V777" s="9" t="str">
        <f aca="false">IF(COUNTIFS($B$2:$B$5001,B777,$H$2:$H$5001,H777,$J$2:$J$5001,J777)&gt;1,"Possible Duplicate Booking","Unique")</f>
        <v>Unique</v>
      </c>
      <c r="W777" s="9" t="str">
        <f aca="false">IF((H777-G777)&lt;&gt;K777,"Mismatch","OK")</f>
        <v>OK</v>
      </c>
      <c r="X777" s="9" t="str">
        <f aca="false">IF(TEXT(H777,"dddd")&lt;&gt;I777,"Mismatch","OK")</f>
        <v>OK</v>
      </c>
      <c r="Y777" s="9" t="str">
        <f aca="false">IF(AND(N777="No",O777&lt;&gt;""),"Unexpected: channel present but no reminder sent",IF(AND(N777="Yes",O777=""),"Missing channel for sent reminder","OK"))</f>
        <v>OK</v>
      </c>
    </row>
    <row r="778" customFormat="false" ht="15" hidden="false" customHeight="false" outlineLevel="0" collapsed="false">
      <c r="A778" s="7" t="s">
        <v>1481</v>
      </c>
      <c r="B778" s="7" t="s">
        <v>1461</v>
      </c>
      <c r="C778" s="7" t="s">
        <v>37</v>
      </c>
      <c r="D778" s="7" t="n">
        <v>43</v>
      </c>
      <c r="E778" s="7" t="s">
        <v>38</v>
      </c>
      <c r="F778" s="7" t="s">
        <v>39</v>
      </c>
      <c r="G778" s="8" t="n">
        <v>45865</v>
      </c>
      <c r="H778" s="8" t="n">
        <v>45889</v>
      </c>
      <c r="I778" s="7" t="s">
        <v>58</v>
      </c>
      <c r="J778" s="7" t="s">
        <v>41</v>
      </c>
      <c r="K778" s="7" t="n">
        <v>24</v>
      </c>
      <c r="L778" s="7" t="n">
        <v>0</v>
      </c>
      <c r="M778" s="7" t="n">
        <v>0</v>
      </c>
      <c r="N778" s="7" t="s">
        <v>42</v>
      </c>
      <c r="O778" s="7" t="s">
        <v>67</v>
      </c>
      <c r="P778" s="7" t="n">
        <v>5.9</v>
      </c>
      <c r="Q778" s="7" t="n">
        <v>24</v>
      </c>
      <c r="R778" s="7" t="s">
        <v>53</v>
      </c>
      <c r="S778" s="7"/>
      <c r="T778" s="7"/>
      <c r="U778" s="7" t="str">
        <f aca="false">IF(COUNTIF($A$2:$A$5001,A778)&gt;1,"Duplicate","Unique")</f>
        <v>Unique</v>
      </c>
      <c r="V778" s="7" t="str">
        <f aca="false">IF(COUNTIFS($B$2:$B$5001,B778,$H$2:$H$5001,H778,$J$2:$J$5001,J778)&gt;1,"Possible Duplicate Booking","Unique")</f>
        <v>Unique</v>
      </c>
      <c r="W778" s="7" t="str">
        <f aca="false">IF((H778-G778)&lt;&gt;K778,"Mismatch","OK")</f>
        <v>OK</v>
      </c>
      <c r="X778" s="7" t="str">
        <f aca="false">IF(TEXT(H778,"dddd")&lt;&gt;I778,"Mismatch","OK")</f>
        <v>OK</v>
      </c>
      <c r="Y778" s="7" t="str">
        <f aca="false">IF(AND(N778="No",O778&lt;&gt;""),"Unexpected: channel present but no reminder sent",IF(AND(N778="Yes",O778=""),"Missing channel for sent reminder","OK"))</f>
        <v>OK</v>
      </c>
    </row>
    <row r="779" customFormat="false" ht="15" hidden="false" customHeight="false" outlineLevel="0" collapsed="false">
      <c r="A779" s="9" t="s">
        <v>1482</v>
      </c>
      <c r="B779" s="9" t="s">
        <v>1483</v>
      </c>
      <c r="C779" s="9" t="s">
        <v>47</v>
      </c>
      <c r="D779" s="9" t="n">
        <v>46</v>
      </c>
      <c r="E779" s="9" t="s">
        <v>56</v>
      </c>
      <c r="F779" s="9" t="s">
        <v>49</v>
      </c>
      <c r="G779" s="10" t="n">
        <v>45716</v>
      </c>
      <c r="H779" s="10" t="n">
        <v>45722</v>
      </c>
      <c r="I779" s="9" t="s">
        <v>62</v>
      </c>
      <c r="J779" s="9" t="s">
        <v>63</v>
      </c>
      <c r="K779" s="9" t="n">
        <v>6</v>
      </c>
      <c r="L779" s="9" t="n">
        <v>3</v>
      </c>
      <c r="M779" s="9" t="n">
        <v>0</v>
      </c>
      <c r="N779" s="9" t="s">
        <v>42</v>
      </c>
      <c r="O779" s="9" t="s">
        <v>43</v>
      </c>
      <c r="P779" s="9" t="n">
        <v>5</v>
      </c>
      <c r="Q779" s="9" t="n">
        <v>25</v>
      </c>
      <c r="R779" s="9" t="s">
        <v>44</v>
      </c>
      <c r="S779" s="9"/>
      <c r="T779" s="9"/>
      <c r="U779" s="9" t="str">
        <f aca="false">IF(COUNTIF($A$2:$A$5001,A779)&gt;1,"Duplicate","Unique")</f>
        <v>Unique</v>
      </c>
      <c r="V779" s="9" t="str">
        <f aca="false">IF(COUNTIFS($B$2:$B$5001,B779,$H$2:$H$5001,H779,$J$2:$J$5001,J779)&gt;1,"Possible Duplicate Booking","Unique")</f>
        <v>Unique</v>
      </c>
      <c r="W779" s="9" t="str">
        <f aca="false">IF((H779-G779)&lt;&gt;K779,"Mismatch","OK")</f>
        <v>OK</v>
      </c>
      <c r="X779" s="9" t="str">
        <f aca="false">IF(TEXT(H779,"dddd")&lt;&gt;I779,"Mismatch","OK")</f>
        <v>OK</v>
      </c>
      <c r="Y779" s="9" t="str">
        <f aca="false">IF(AND(N779="No",O779&lt;&gt;""),"Unexpected: channel present but no reminder sent",IF(AND(N779="Yes",O779=""),"Missing channel for sent reminder","OK"))</f>
        <v>OK</v>
      </c>
    </row>
    <row r="780" customFormat="false" ht="15" hidden="false" customHeight="false" outlineLevel="0" collapsed="false">
      <c r="A780" s="7" t="s">
        <v>1484</v>
      </c>
      <c r="B780" s="7" t="s">
        <v>634</v>
      </c>
      <c r="C780" s="7" t="s">
        <v>37</v>
      </c>
      <c r="D780" s="7" t="n">
        <v>36</v>
      </c>
      <c r="E780" s="7" t="s">
        <v>38</v>
      </c>
      <c r="F780" s="7" t="s">
        <v>74</v>
      </c>
      <c r="G780" s="8" t="n">
        <v>45762</v>
      </c>
      <c r="H780" s="8" t="n">
        <v>45805</v>
      </c>
      <c r="I780" s="7" t="s">
        <v>58</v>
      </c>
      <c r="J780" s="7" t="s">
        <v>51</v>
      </c>
      <c r="K780" s="7" t="n">
        <v>43</v>
      </c>
      <c r="L780" s="7" t="n">
        <v>3</v>
      </c>
      <c r="M780" s="7" t="n">
        <v>1</v>
      </c>
      <c r="N780" s="7" t="s">
        <v>71</v>
      </c>
      <c r="O780" s="7"/>
      <c r="P780" s="7" t="n">
        <v>8.4</v>
      </c>
      <c r="Q780" s="7" t="n">
        <v>11</v>
      </c>
      <c r="R780" s="7" t="s">
        <v>44</v>
      </c>
      <c r="S780" s="7"/>
      <c r="T780" s="7"/>
      <c r="U780" s="7" t="str">
        <f aca="false">IF(COUNTIF($A$2:$A$5001,A780)&gt;1,"Duplicate","Unique")</f>
        <v>Unique</v>
      </c>
      <c r="V780" s="7" t="str">
        <f aca="false">IF(COUNTIFS($B$2:$B$5001,B780,$H$2:$H$5001,H780,$J$2:$J$5001,J780)&gt;1,"Possible Duplicate Booking","Unique")</f>
        <v>Unique</v>
      </c>
      <c r="W780" s="7" t="str">
        <f aca="false">IF((H780-G780)&lt;&gt;K780,"Mismatch","OK")</f>
        <v>OK</v>
      </c>
      <c r="X780" s="7" t="str">
        <f aca="false">IF(TEXT(H780,"dddd")&lt;&gt;I780,"Mismatch","OK")</f>
        <v>OK</v>
      </c>
      <c r="Y780" s="7" t="str">
        <f aca="false">IF(AND(N780="No",O780&lt;&gt;""),"Unexpected: channel present but no reminder sent",IF(AND(N780="Yes",O780=""),"Missing channel for sent reminder","OK"))</f>
        <v>OK</v>
      </c>
    </row>
    <row r="781" customFormat="false" ht="15" hidden="false" customHeight="false" outlineLevel="0" collapsed="false">
      <c r="A781" s="9" t="s">
        <v>1485</v>
      </c>
      <c r="B781" s="9" t="s">
        <v>1486</v>
      </c>
      <c r="C781" s="9" t="s">
        <v>37</v>
      </c>
      <c r="D781" s="9" t="n">
        <v>76</v>
      </c>
      <c r="E781" s="9" t="s">
        <v>70</v>
      </c>
      <c r="F781" s="9" t="s">
        <v>57</v>
      </c>
      <c r="G781" s="10" t="n">
        <v>46115</v>
      </c>
      <c r="H781" s="10" t="n">
        <v>46122</v>
      </c>
      <c r="I781" s="9" t="s">
        <v>50</v>
      </c>
      <c r="J781" s="9" t="s">
        <v>41</v>
      </c>
      <c r="K781" s="9" t="n">
        <v>7</v>
      </c>
      <c r="L781" s="9" t="n">
        <v>2</v>
      </c>
      <c r="M781" s="9" t="n">
        <v>0</v>
      </c>
      <c r="N781" s="9" t="s">
        <v>42</v>
      </c>
      <c r="O781" s="9" t="s">
        <v>52</v>
      </c>
      <c r="P781" s="9" t="n">
        <v>8.8</v>
      </c>
      <c r="Q781" s="9" t="n">
        <v>23</v>
      </c>
      <c r="R781" s="9" t="s">
        <v>44</v>
      </c>
      <c r="S781" s="9"/>
      <c r="T781" s="9"/>
      <c r="U781" s="9" t="str">
        <f aca="false">IF(COUNTIF($A$2:$A$5001,A781)&gt;1,"Duplicate","Unique")</f>
        <v>Unique</v>
      </c>
      <c r="V781" s="9" t="str">
        <f aca="false">IF(COUNTIFS($B$2:$B$5001,B781,$H$2:$H$5001,H781,$J$2:$J$5001,J781)&gt;1,"Possible Duplicate Booking","Unique")</f>
        <v>Unique</v>
      </c>
      <c r="W781" s="9" t="str">
        <f aca="false">IF((H781-G781)&lt;&gt;K781,"Mismatch","OK")</f>
        <v>OK</v>
      </c>
      <c r="X781" s="9" t="str">
        <f aca="false">IF(TEXT(H781,"dddd")&lt;&gt;I781,"Mismatch","OK")</f>
        <v>OK</v>
      </c>
      <c r="Y781" s="9" t="str">
        <f aca="false">IF(AND(N781="No",O781&lt;&gt;""),"Unexpected: channel present but no reminder sent",IF(AND(N781="Yes",O781=""),"Missing channel for sent reminder","OK"))</f>
        <v>OK</v>
      </c>
    </row>
    <row r="782" customFormat="false" ht="15" hidden="false" customHeight="false" outlineLevel="0" collapsed="false">
      <c r="A782" s="7" t="s">
        <v>1487</v>
      </c>
      <c r="B782" s="7" t="s">
        <v>995</v>
      </c>
      <c r="C782" s="7" t="s">
        <v>37</v>
      </c>
      <c r="D782" s="7" t="n">
        <v>31</v>
      </c>
      <c r="E782" s="7" t="s">
        <v>48</v>
      </c>
      <c r="F782" s="7" t="s">
        <v>39</v>
      </c>
      <c r="G782" s="8" t="n">
        <v>46126</v>
      </c>
      <c r="H782" s="8" t="n">
        <v>46137</v>
      </c>
      <c r="I782" s="7" t="s">
        <v>102</v>
      </c>
      <c r="J782" s="7" t="s">
        <v>51</v>
      </c>
      <c r="K782" s="7" t="n">
        <v>11</v>
      </c>
      <c r="L782" s="7" t="n">
        <v>1</v>
      </c>
      <c r="M782" s="7" t="n">
        <v>0</v>
      </c>
      <c r="N782" s="7" t="s">
        <v>42</v>
      </c>
      <c r="O782" s="7" t="s">
        <v>67</v>
      </c>
      <c r="P782" s="7" t="n">
        <v>17.4</v>
      </c>
      <c r="Q782" s="7" t="n">
        <v>32</v>
      </c>
      <c r="R782" s="7" t="s">
        <v>44</v>
      </c>
      <c r="S782" s="7"/>
      <c r="T782" s="7"/>
      <c r="U782" s="7" t="str">
        <f aca="false">IF(COUNTIF($A$2:$A$5001,A782)&gt;1,"Duplicate","Unique")</f>
        <v>Unique</v>
      </c>
      <c r="V782" s="7" t="str">
        <f aca="false">IF(COUNTIFS($B$2:$B$5001,B782,$H$2:$H$5001,H782,$J$2:$J$5001,J782)&gt;1,"Possible Duplicate Booking","Unique")</f>
        <v>Unique</v>
      </c>
      <c r="W782" s="7" t="str">
        <f aca="false">IF((H782-G782)&lt;&gt;K782,"Mismatch","OK")</f>
        <v>OK</v>
      </c>
      <c r="X782" s="7" t="str">
        <f aca="false">IF(TEXT(H782,"dddd")&lt;&gt;I782,"Mismatch","OK")</f>
        <v>OK</v>
      </c>
      <c r="Y782" s="7" t="str">
        <f aca="false">IF(AND(N782="No",O782&lt;&gt;""),"Unexpected: channel present but no reminder sent",IF(AND(N782="Yes",O782=""),"Missing channel for sent reminder","OK"))</f>
        <v>OK</v>
      </c>
    </row>
    <row r="783" customFormat="false" ht="15" hidden="false" customHeight="false" outlineLevel="0" collapsed="false">
      <c r="A783" s="9" t="s">
        <v>1488</v>
      </c>
      <c r="B783" s="9" t="s">
        <v>46</v>
      </c>
      <c r="C783" s="9" t="s">
        <v>37</v>
      </c>
      <c r="D783" s="9" t="n">
        <v>53</v>
      </c>
      <c r="E783" s="9" t="s">
        <v>56</v>
      </c>
      <c r="F783" s="9" t="s">
        <v>39</v>
      </c>
      <c r="G783" s="10" t="n">
        <v>45997</v>
      </c>
      <c r="H783" s="10" t="n">
        <v>46005</v>
      </c>
      <c r="I783" s="9" t="s">
        <v>75</v>
      </c>
      <c r="J783" s="9" t="s">
        <v>51</v>
      </c>
      <c r="K783" s="9" t="n">
        <v>8</v>
      </c>
      <c r="L783" s="9" t="n">
        <v>2</v>
      </c>
      <c r="M783" s="9" t="n">
        <v>0</v>
      </c>
      <c r="N783" s="9" t="s">
        <v>42</v>
      </c>
      <c r="O783" s="9" t="s">
        <v>52</v>
      </c>
      <c r="P783" s="9" t="n">
        <v>14.7</v>
      </c>
      <c r="Q783" s="9" t="n">
        <v>18</v>
      </c>
      <c r="R783" s="9" t="s">
        <v>53</v>
      </c>
      <c r="S783" s="9"/>
      <c r="T783" s="9"/>
      <c r="U783" s="9" t="str">
        <f aca="false">IF(COUNTIF($A$2:$A$5001,A783)&gt;1,"Duplicate","Unique")</f>
        <v>Unique</v>
      </c>
      <c r="V783" s="9" t="str">
        <f aca="false">IF(COUNTIFS($B$2:$B$5001,B783,$H$2:$H$5001,H783,$J$2:$J$5001,J783)&gt;1,"Possible Duplicate Booking","Unique")</f>
        <v>Unique</v>
      </c>
      <c r="W783" s="9" t="str">
        <f aca="false">IF((H783-G783)&lt;&gt;K783,"Mismatch","OK")</f>
        <v>OK</v>
      </c>
      <c r="X783" s="9" t="str">
        <f aca="false">IF(TEXT(H783,"dddd")&lt;&gt;I783,"Mismatch","OK")</f>
        <v>OK</v>
      </c>
      <c r="Y783" s="9" t="str">
        <f aca="false">IF(AND(N783="No",O783&lt;&gt;""),"Unexpected: channel present but no reminder sent",IF(AND(N783="Yes",O783=""),"Missing channel for sent reminder","OK"))</f>
        <v>OK</v>
      </c>
    </row>
    <row r="784" customFormat="false" ht="15" hidden="false" customHeight="false" outlineLevel="0" collapsed="false">
      <c r="A784" s="7" t="s">
        <v>1489</v>
      </c>
      <c r="B784" s="7" t="s">
        <v>1490</v>
      </c>
      <c r="C784" s="7" t="s">
        <v>47</v>
      </c>
      <c r="D784" s="7" t="n">
        <v>45</v>
      </c>
      <c r="E784" s="7" t="s">
        <v>56</v>
      </c>
      <c r="F784" s="7" t="s">
        <v>57</v>
      </c>
      <c r="G784" s="8" t="n">
        <v>45672</v>
      </c>
      <c r="H784" s="8" t="n">
        <v>45725</v>
      </c>
      <c r="I784" s="7" t="s">
        <v>75</v>
      </c>
      <c r="J784" s="7" t="s">
        <v>63</v>
      </c>
      <c r="K784" s="7" t="n">
        <v>53</v>
      </c>
      <c r="L784" s="7" t="n">
        <v>1</v>
      </c>
      <c r="M784" s="7" t="n">
        <v>1</v>
      </c>
      <c r="N784" s="7" t="s">
        <v>42</v>
      </c>
      <c r="O784" s="7" t="s">
        <v>52</v>
      </c>
      <c r="P784" s="7" t="n">
        <v>1.6</v>
      </c>
      <c r="Q784" s="7" t="n">
        <v>27</v>
      </c>
      <c r="R784" s="7" t="s">
        <v>53</v>
      </c>
      <c r="S784" s="7"/>
      <c r="T784" s="7"/>
      <c r="U784" s="7" t="str">
        <f aca="false">IF(COUNTIF($A$2:$A$5001,A784)&gt;1,"Duplicate","Unique")</f>
        <v>Unique</v>
      </c>
      <c r="V784" s="7" t="str">
        <f aca="false">IF(COUNTIFS($B$2:$B$5001,B784,$H$2:$H$5001,H784,$J$2:$J$5001,J784)&gt;1,"Possible Duplicate Booking","Unique")</f>
        <v>Unique</v>
      </c>
      <c r="W784" s="7" t="str">
        <f aca="false">IF((H784-G784)&lt;&gt;K784,"Mismatch","OK")</f>
        <v>OK</v>
      </c>
      <c r="X784" s="7" t="str">
        <f aca="false">IF(TEXT(H784,"dddd")&lt;&gt;I784,"Mismatch","OK")</f>
        <v>OK</v>
      </c>
      <c r="Y784" s="7" t="str">
        <f aca="false">IF(AND(N784="No",O784&lt;&gt;""),"Unexpected: channel present but no reminder sent",IF(AND(N784="Yes",O784=""),"Missing channel for sent reminder","OK"))</f>
        <v>OK</v>
      </c>
    </row>
    <row r="785" customFormat="false" ht="15" hidden="false" customHeight="false" outlineLevel="0" collapsed="false">
      <c r="A785" s="9" t="s">
        <v>1491</v>
      </c>
      <c r="B785" s="9" t="s">
        <v>197</v>
      </c>
      <c r="C785" s="9" t="s">
        <v>37</v>
      </c>
      <c r="D785" s="9" t="n">
        <v>42</v>
      </c>
      <c r="E785" s="9" t="s">
        <v>38</v>
      </c>
      <c r="F785" s="9" t="s">
        <v>39</v>
      </c>
      <c r="G785" s="10" t="n">
        <v>45665</v>
      </c>
      <c r="H785" s="10" t="n">
        <v>45724</v>
      </c>
      <c r="I785" s="9" t="s">
        <v>102</v>
      </c>
      <c r="J785" s="9" t="s">
        <v>51</v>
      </c>
      <c r="K785" s="9" t="n">
        <v>59</v>
      </c>
      <c r="L785" s="9" t="n">
        <v>2</v>
      </c>
      <c r="M785" s="9" t="n">
        <v>2</v>
      </c>
      <c r="N785" s="9" t="s">
        <v>71</v>
      </c>
      <c r="O785" s="9"/>
      <c r="P785" s="9" t="n">
        <v>15</v>
      </c>
      <c r="Q785" s="9" t="n">
        <v>30</v>
      </c>
      <c r="R785" s="9" t="s">
        <v>44</v>
      </c>
      <c r="S785" s="9"/>
      <c r="T785" s="9"/>
      <c r="U785" s="9" t="str">
        <f aca="false">IF(COUNTIF($A$2:$A$5001,A785)&gt;1,"Duplicate","Unique")</f>
        <v>Unique</v>
      </c>
      <c r="V785" s="9" t="str">
        <f aca="false">IF(COUNTIFS($B$2:$B$5001,B785,$H$2:$H$5001,H785,$J$2:$J$5001,J785)&gt;1,"Possible Duplicate Booking","Unique")</f>
        <v>Unique</v>
      </c>
      <c r="W785" s="9" t="str">
        <f aca="false">IF((H785-G785)&lt;&gt;K785,"Mismatch","OK")</f>
        <v>OK</v>
      </c>
      <c r="X785" s="9" t="str">
        <f aca="false">IF(TEXT(H785,"dddd")&lt;&gt;I785,"Mismatch","OK")</f>
        <v>OK</v>
      </c>
      <c r="Y785" s="9" t="str">
        <f aca="false">IF(AND(N785="No",O785&lt;&gt;""),"Unexpected: channel present but no reminder sent",IF(AND(N785="Yes",O785=""),"Missing channel for sent reminder","OK"))</f>
        <v>OK</v>
      </c>
    </row>
    <row r="786" customFormat="false" ht="15" hidden="false" customHeight="false" outlineLevel="0" collapsed="false">
      <c r="A786" s="7" t="s">
        <v>1492</v>
      </c>
      <c r="B786" s="7" t="s">
        <v>395</v>
      </c>
      <c r="C786" s="7" t="s">
        <v>47</v>
      </c>
      <c r="D786" s="7" t="n">
        <v>70</v>
      </c>
      <c r="E786" s="7" t="s">
        <v>70</v>
      </c>
      <c r="F786" s="7" t="s">
        <v>57</v>
      </c>
      <c r="G786" s="8" t="n">
        <v>45885</v>
      </c>
      <c r="H786" s="8" t="n">
        <v>45919</v>
      </c>
      <c r="I786" s="7" t="s">
        <v>50</v>
      </c>
      <c r="J786" s="7" t="s">
        <v>63</v>
      </c>
      <c r="K786" s="7" t="n">
        <v>34</v>
      </c>
      <c r="L786" s="7" t="n">
        <v>4</v>
      </c>
      <c r="M786" s="7" t="n">
        <v>1</v>
      </c>
      <c r="N786" s="7" t="s">
        <v>42</v>
      </c>
      <c r="O786" s="7" t="s">
        <v>52</v>
      </c>
      <c r="P786" s="7" t="n">
        <v>7.5</v>
      </c>
      <c r="Q786" s="7" t="n">
        <v>12</v>
      </c>
      <c r="R786" s="7" t="s">
        <v>44</v>
      </c>
      <c r="S786" s="7"/>
      <c r="T786" s="7"/>
      <c r="U786" s="7" t="str">
        <f aca="false">IF(COUNTIF($A$2:$A$5001,A786)&gt;1,"Duplicate","Unique")</f>
        <v>Unique</v>
      </c>
      <c r="V786" s="7" t="str">
        <f aca="false">IF(COUNTIFS($B$2:$B$5001,B786,$H$2:$H$5001,H786,$J$2:$J$5001,J786)&gt;1,"Possible Duplicate Booking","Unique")</f>
        <v>Unique</v>
      </c>
      <c r="W786" s="7" t="str">
        <f aca="false">IF((H786-G786)&lt;&gt;K786,"Mismatch","OK")</f>
        <v>OK</v>
      </c>
      <c r="X786" s="7" t="str">
        <f aca="false">IF(TEXT(H786,"dddd")&lt;&gt;I786,"Mismatch","OK")</f>
        <v>OK</v>
      </c>
      <c r="Y786" s="7" t="str">
        <f aca="false">IF(AND(N786="No",O786&lt;&gt;""),"Unexpected: channel present but no reminder sent",IF(AND(N786="Yes",O786=""),"Missing channel for sent reminder","OK"))</f>
        <v>OK</v>
      </c>
    </row>
    <row r="787" customFormat="false" ht="15" hidden="false" customHeight="false" outlineLevel="0" collapsed="false">
      <c r="A787" s="9" t="s">
        <v>1493</v>
      </c>
      <c r="B787" s="9" t="s">
        <v>1494</v>
      </c>
      <c r="C787" s="9" t="s">
        <v>37</v>
      </c>
      <c r="D787" s="9" t="n">
        <v>79</v>
      </c>
      <c r="E787" s="9" t="s">
        <v>70</v>
      </c>
      <c r="F787" s="9" t="s">
        <v>57</v>
      </c>
      <c r="G787" s="10" t="n">
        <v>45942</v>
      </c>
      <c r="H787" s="10" t="n">
        <v>45979</v>
      </c>
      <c r="I787" s="9" t="s">
        <v>40</v>
      </c>
      <c r="J787" s="9" t="s">
        <v>41</v>
      </c>
      <c r="K787" s="9" t="n">
        <v>37</v>
      </c>
      <c r="L787" s="9" t="n">
        <v>1</v>
      </c>
      <c r="M787" s="9" t="n">
        <v>0</v>
      </c>
      <c r="N787" s="9" t="s">
        <v>42</v>
      </c>
      <c r="O787" s="9" t="s">
        <v>43</v>
      </c>
      <c r="P787" s="9" t="n">
        <v>10.7</v>
      </c>
      <c r="Q787" s="9"/>
      <c r="R787" s="9" t="s">
        <v>53</v>
      </c>
      <c r="S787" s="9"/>
      <c r="T787" s="9"/>
      <c r="U787" s="9" t="str">
        <f aca="false">IF(COUNTIF($A$2:$A$5001,A787)&gt;1,"Duplicate","Unique")</f>
        <v>Unique</v>
      </c>
      <c r="V787" s="9" t="str">
        <f aca="false">IF(COUNTIFS($B$2:$B$5001,B787,$H$2:$H$5001,H787,$J$2:$J$5001,J787)&gt;1,"Possible Duplicate Booking","Unique")</f>
        <v>Unique</v>
      </c>
      <c r="W787" s="9" t="str">
        <f aca="false">IF((H787-G787)&lt;&gt;K787,"Mismatch","OK")</f>
        <v>OK</v>
      </c>
      <c r="X787" s="9" t="str">
        <f aca="false">IF(TEXT(H787,"dddd")&lt;&gt;I787,"Mismatch","OK")</f>
        <v>OK</v>
      </c>
      <c r="Y787" s="9" t="str">
        <f aca="false">IF(AND(N787="No",O787&lt;&gt;""),"Unexpected: channel present but no reminder sent",IF(AND(N787="Yes",O787=""),"Missing channel for sent reminder","OK"))</f>
        <v>OK</v>
      </c>
    </row>
    <row r="788" customFormat="false" ht="15" hidden="false" customHeight="false" outlineLevel="0" collapsed="false">
      <c r="A788" s="7" t="s">
        <v>1495</v>
      </c>
      <c r="B788" s="7" t="s">
        <v>1496</v>
      </c>
      <c r="C788" s="7" t="s">
        <v>37</v>
      </c>
      <c r="D788" s="7" t="n">
        <v>18</v>
      </c>
      <c r="E788" s="7" t="s">
        <v>82</v>
      </c>
      <c r="F788" s="7" t="s">
        <v>57</v>
      </c>
      <c r="G788" s="8" t="n">
        <v>45636</v>
      </c>
      <c r="H788" s="8" t="n">
        <v>45675</v>
      </c>
      <c r="I788" s="7" t="s">
        <v>102</v>
      </c>
      <c r="J788" s="7" t="s">
        <v>63</v>
      </c>
      <c r="K788" s="7" t="n">
        <v>39</v>
      </c>
      <c r="L788" s="7" t="n">
        <v>2</v>
      </c>
      <c r="M788" s="7" t="n">
        <v>0</v>
      </c>
      <c r="N788" s="7" t="s">
        <v>42</v>
      </c>
      <c r="O788" s="7" t="s">
        <v>52</v>
      </c>
      <c r="P788" s="7" t="n">
        <v>8.1</v>
      </c>
      <c r="Q788" s="7" t="n">
        <v>22</v>
      </c>
      <c r="R788" s="7" t="s">
        <v>87</v>
      </c>
      <c r="S788" s="7"/>
      <c r="T788" s="7"/>
      <c r="U788" s="7" t="str">
        <f aca="false">IF(COUNTIF($A$2:$A$5001,A788)&gt;1,"Duplicate","Unique")</f>
        <v>Unique</v>
      </c>
      <c r="V788" s="7" t="str">
        <f aca="false">IF(COUNTIFS($B$2:$B$5001,B788,$H$2:$H$5001,H788,$J$2:$J$5001,J788)&gt;1,"Possible Duplicate Booking","Unique")</f>
        <v>Unique</v>
      </c>
      <c r="W788" s="7" t="str">
        <f aca="false">IF((H788-G788)&lt;&gt;K788,"Mismatch","OK")</f>
        <v>OK</v>
      </c>
      <c r="X788" s="7" t="str">
        <f aca="false">IF(TEXT(H788,"dddd")&lt;&gt;I788,"Mismatch","OK")</f>
        <v>OK</v>
      </c>
      <c r="Y788" s="7" t="str">
        <f aca="false">IF(AND(N788="No",O788&lt;&gt;""),"Unexpected: channel present but no reminder sent",IF(AND(N788="Yes",O788=""),"Missing channel for sent reminder","OK"))</f>
        <v>OK</v>
      </c>
    </row>
    <row r="789" customFormat="false" ht="15" hidden="false" customHeight="false" outlineLevel="0" collapsed="false">
      <c r="A789" s="9" t="s">
        <v>1497</v>
      </c>
      <c r="B789" s="9" t="s">
        <v>1498</v>
      </c>
      <c r="C789" s="9" t="s">
        <v>47</v>
      </c>
      <c r="D789" s="9" t="n">
        <v>47</v>
      </c>
      <c r="E789" s="9" t="s">
        <v>56</v>
      </c>
      <c r="F789" s="9" t="s">
        <v>74</v>
      </c>
      <c r="G789" s="10" t="n">
        <v>45995</v>
      </c>
      <c r="H789" s="10" t="n">
        <v>46032</v>
      </c>
      <c r="I789" s="9" t="s">
        <v>102</v>
      </c>
      <c r="J789" s="9" t="s">
        <v>63</v>
      </c>
      <c r="K789" s="9" t="n">
        <v>37</v>
      </c>
      <c r="L789" s="9" t="n">
        <v>2</v>
      </c>
      <c r="M789" s="9" t="n">
        <v>0</v>
      </c>
      <c r="N789" s="9" t="s">
        <v>42</v>
      </c>
      <c r="O789" s="9" t="s">
        <v>52</v>
      </c>
      <c r="P789" s="9" t="n">
        <v>5.5</v>
      </c>
      <c r="Q789" s="9" t="n">
        <v>24</v>
      </c>
      <c r="R789" s="9" t="s">
        <v>44</v>
      </c>
      <c r="S789" s="9"/>
      <c r="T789" s="9"/>
      <c r="U789" s="9" t="str">
        <f aca="false">IF(COUNTIF($A$2:$A$5001,A789)&gt;1,"Duplicate","Unique")</f>
        <v>Unique</v>
      </c>
      <c r="V789" s="9" t="str">
        <f aca="false">IF(COUNTIFS($B$2:$B$5001,B789,$H$2:$H$5001,H789,$J$2:$J$5001,J789)&gt;1,"Possible Duplicate Booking","Unique")</f>
        <v>Unique</v>
      </c>
      <c r="W789" s="9" t="str">
        <f aca="false">IF((H789-G789)&lt;&gt;K789,"Mismatch","OK")</f>
        <v>OK</v>
      </c>
      <c r="X789" s="9" t="str">
        <f aca="false">IF(TEXT(H789,"dddd")&lt;&gt;I789,"Mismatch","OK")</f>
        <v>OK</v>
      </c>
      <c r="Y789" s="9" t="str">
        <f aca="false">IF(AND(N789="No",O789&lt;&gt;""),"Unexpected: channel present but no reminder sent",IF(AND(N789="Yes",O789=""),"Missing channel for sent reminder","OK"))</f>
        <v>OK</v>
      </c>
    </row>
    <row r="790" customFormat="false" ht="15" hidden="false" customHeight="false" outlineLevel="0" collapsed="false">
      <c r="A790" s="7" t="s">
        <v>1499</v>
      </c>
      <c r="B790" s="7" t="s">
        <v>472</v>
      </c>
      <c r="C790" s="7" t="s">
        <v>37</v>
      </c>
      <c r="D790" s="7" t="n">
        <v>25</v>
      </c>
      <c r="E790" s="7" t="s">
        <v>48</v>
      </c>
      <c r="F790" s="7" t="s">
        <v>57</v>
      </c>
      <c r="G790" s="8" t="n">
        <v>45922</v>
      </c>
      <c r="H790" s="8" t="n">
        <v>45955</v>
      </c>
      <c r="I790" s="7" t="s">
        <v>102</v>
      </c>
      <c r="J790" s="7" t="s">
        <v>41</v>
      </c>
      <c r="K790" s="7" t="n">
        <v>33</v>
      </c>
      <c r="L790" s="7" t="n">
        <v>2</v>
      </c>
      <c r="M790" s="7" t="n">
        <v>0</v>
      </c>
      <c r="N790" s="7" t="s">
        <v>42</v>
      </c>
      <c r="O790" s="7" t="s">
        <v>52</v>
      </c>
      <c r="P790" s="7" t="n">
        <v>10.6</v>
      </c>
      <c r="Q790" s="7" t="n">
        <v>6</v>
      </c>
      <c r="R790" s="7" t="s">
        <v>53</v>
      </c>
      <c r="S790" s="7"/>
      <c r="T790" s="7"/>
      <c r="U790" s="7" t="str">
        <f aca="false">IF(COUNTIF($A$2:$A$5001,A790)&gt;1,"Duplicate","Unique")</f>
        <v>Unique</v>
      </c>
      <c r="V790" s="7" t="str">
        <f aca="false">IF(COUNTIFS($B$2:$B$5001,B790,$H$2:$H$5001,H790,$J$2:$J$5001,J790)&gt;1,"Possible Duplicate Booking","Unique")</f>
        <v>Unique</v>
      </c>
      <c r="W790" s="7" t="str">
        <f aca="false">IF((H790-G790)&lt;&gt;K790,"Mismatch","OK")</f>
        <v>OK</v>
      </c>
      <c r="X790" s="7" t="str">
        <f aca="false">IF(TEXT(H790,"dddd")&lt;&gt;I790,"Mismatch","OK")</f>
        <v>OK</v>
      </c>
      <c r="Y790" s="7" t="str">
        <f aca="false">IF(AND(N790="No",O790&lt;&gt;""),"Unexpected: channel present but no reminder sent",IF(AND(N790="Yes",O790=""),"Missing channel for sent reminder","OK"))</f>
        <v>OK</v>
      </c>
    </row>
    <row r="791" customFormat="false" ht="15" hidden="false" customHeight="false" outlineLevel="0" collapsed="false">
      <c r="A791" s="9" t="s">
        <v>1500</v>
      </c>
      <c r="B791" s="9" t="s">
        <v>1501</v>
      </c>
      <c r="C791" s="9" t="s">
        <v>47</v>
      </c>
      <c r="D791" s="9" t="n">
        <v>45</v>
      </c>
      <c r="E791" s="9" t="s">
        <v>56</v>
      </c>
      <c r="F791" s="9" t="s">
        <v>57</v>
      </c>
      <c r="G791" s="10" t="n">
        <v>45604</v>
      </c>
      <c r="H791" s="10" t="n">
        <v>45664</v>
      </c>
      <c r="I791" s="9" t="s">
        <v>40</v>
      </c>
      <c r="J791" s="9" t="s">
        <v>63</v>
      </c>
      <c r="K791" s="9" t="n">
        <v>60</v>
      </c>
      <c r="L791" s="9" t="n">
        <v>2</v>
      </c>
      <c r="M791" s="9" t="n">
        <v>0</v>
      </c>
      <c r="N791" s="9" t="s">
        <v>42</v>
      </c>
      <c r="O791" s="9" t="s">
        <v>52</v>
      </c>
      <c r="P791" s="9" t="n">
        <v>5.2</v>
      </c>
      <c r="Q791" s="9" t="n">
        <v>9</v>
      </c>
      <c r="R791" s="9" t="s">
        <v>44</v>
      </c>
      <c r="S791" s="9"/>
      <c r="T791" s="9"/>
      <c r="U791" s="9" t="str">
        <f aca="false">IF(COUNTIF($A$2:$A$5001,A791)&gt;1,"Duplicate","Unique")</f>
        <v>Unique</v>
      </c>
      <c r="V791" s="9" t="str">
        <f aca="false">IF(COUNTIFS($B$2:$B$5001,B791,$H$2:$H$5001,H791,$J$2:$J$5001,J791)&gt;1,"Possible Duplicate Booking","Unique")</f>
        <v>Unique</v>
      </c>
      <c r="W791" s="9" t="str">
        <f aca="false">IF((H791-G791)&lt;&gt;K791,"Mismatch","OK")</f>
        <v>OK</v>
      </c>
      <c r="X791" s="9" t="str">
        <f aca="false">IF(TEXT(H791,"dddd")&lt;&gt;I791,"Mismatch","OK")</f>
        <v>OK</v>
      </c>
      <c r="Y791" s="9" t="str">
        <f aca="false">IF(AND(N791="No",O791&lt;&gt;""),"Unexpected: channel present but no reminder sent",IF(AND(N791="Yes",O791=""),"Missing channel for sent reminder","OK"))</f>
        <v>OK</v>
      </c>
    </row>
    <row r="792" customFormat="false" ht="15" hidden="false" customHeight="false" outlineLevel="0" collapsed="false">
      <c r="A792" s="7" t="s">
        <v>1502</v>
      </c>
      <c r="B792" s="7" t="s">
        <v>1503</v>
      </c>
      <c r="C792" s="7" t="s">
        <v>37</v>
      </c>
      <c r="D792" s="7" t="n">
        <v>56</v>
      </c>
      <c r="E792" s="7" t="s">
        <v>61</v>
      </c>
      <c r="F792" s="7" t="s">
        <v>49</v>
      </c>
      <c r="G792" s="8" t="n">
        <v>45666</v>
      </c>
      <c r="H792" s="8" t="n">
        <v>45710</v>
      </c>
      <c r="I792" s="7" t="s">
        <v>102</v>
      </c>
      <c r="J792" s="7" t="s">
        <v>41</v>
      </c>
      <c r="K792" s="7" t="n">
        <v>44</v>
      </c>
      <c r="L792" s="7" t="n">
        <v>3</v>
      </c>
      <c r="M792" s="7" t="n">
        <v>0</v>
      </c>
      <c r="N792" s="7" t="s">
        <v>42</v>
      </c>
      <c r="O792" s="7" t="s">
        <v>52</v>
      </c>
      <c r="P792" s="7" t="n">
        <v>7.6</v>
      </c>
      <c r="Q792" s="7" t="n">
        <v>37</v>
      </c>
      <c r="R792" s="7" t="s">
        <v>44</v>
      </c>
      <c r="S792" s="7"/>
      <c r="T792" s="7"/>
      <c r="U792" s="7" t="str">
        <f aca="false">IF(COUNTIF($A$2:$A$5001,A792)&gt;1,"Duplicate","Unique")</f>
        <v>Unique</v>
      </c>
      <c r="V792" s="7" t="str">
        <f aca="false">IF(COUNTIFS($B$2:$B$5001,B792,$H$2:$H$5001,H792,$J$2:$J$5001,J792)&gt;1,"Possible Duplicate Booking","Unique")</f>
        <v>Possible Duplicate Booking</v>
      </c>
      <c r="W792" s="7" t="str">
        <f aca="false">IF((H792-G792)&lt;&gt;K792,"Mismatch","OK")</f>
        <v>OK</v>
      </c>
      <c r="X792" s="7" t="str">
        <f aca="false">IF(TEXT(H792,"dddd")&lt;&gt;I792,"Mismatch","OK")</f>
        <v>OK</v>
      </c>
      <c r="Y792" s="7" t="str">
        <f aca="false">IF(AND(N792="No",O792&lt;&gt;""),"Unexpected: channel present but no reminder sent",IF(AND(N792="Yes",O792=""),"Missing channel for sent reminder","OK"))</f>
        <v>OK</v>
      </c>
    </row>
    <row r="793" customFormat="false" ht="15" hidden="false" customHeight="false" outlineLevel="0" collapsed="false">
      <c r="A793" s="9" t="s">
        <v>1504</v>
      </c>
      <c r="B793" s="9" t="s">
        <v>1505</v>
      </c>
      <c r="C793" s="9" t="s">
        <v>37</v>
      </c>
      <c r="D793" s="9" t="n">
        <v>43</v>
      </c>
      <c r="E793" s="9" t="s">
        <v>38</v>
      </c>
      <c r="F793" s="9" t="s">
        <v>74</v>
      </c>
      <c r="G793" s="10" t="n">
        <v>45901</v>
      </c>
      <c r="H793" s="10" t="n">
        <v>45906</v>
      </c>
      <c r="I793" s="9" t="s">
        <v>102</v>
      </c>
      <c r="J793" s="9" t="s">
        <v>41</v>
      </c>
      <c r="K793" s="9" t="n">
        <v>5</v>
      </c>
      <c r="L793" s="9" t="n">
        <v>5</v>
      </c>
      <c r="M793" s="9" t="n">
        <v>2</v>
      </c>
      <c r="N793" s="9" t="s">
        <v>71</v>
      </c>
      <c r="O793" s="9"/>
      <c r="P793" s="9" t="n">
        <v>4.6</v>
      </c>
      <c r="Q793" s="9" t="n">
        <v>32</v>
      </c>
      <c r="R793" s="9" t="s">
        <v>44</v>
      </c>
      <c r="S793" s="9"/>
      <c r="T793" s="9"/>
      <c r="U793" s="9" t="str">
        <f aca="false">IF(COUNTIF($A$2:$A$5001,A793)&gt;1,"Duplicate","Unique")</f>
        <v>Unique</v>
      </c>
      <c r="V793" s="9" t="str">
        <f aca="false">IF(COUNTIFS($B$2:$B$5001,B793,$H$2:$H$5001,H793,$J$2:$J$5001,J793)&gt;1,"Possible Duplicate Booking","Unique")</f>
        <v>Unique</v>
      </c>
      <c r="W793" s="9" t="str">
        <f aca="false">IF((H793-G793)&lt;&gt;K793,"Mismatch","OK")</f>
        <v>OK</v>
      </c>
      <c r="X793" s="9" t="str">
        <f aca="false">IF(TEXT(H793,"dddd")&lt;&gt;I793,"Mismatch","OK")</f>
        <v>OK</v>
      </c>
      <c r="Y793" s="9" t="str">
        <f aca="false">IF(AND(N793="No",O793&lt;&gt;""),"Unexpected: channel present but no reminder sent",IF(AND(N793="Yes",O793=""),"Missing channel for sent reminder","OK"))</f>
        <v>OK</v>
      </c>
    </row>
    <row r="794" customFormat="false" ht="15" hidden="false" customHeight="false" outlineLevel="0" collapsed="false">
      <c r="A794" s="7" t="s">
        <v>1506</v>
      </c>
      <c r="B794" s="7" t="s">
        <v>536</v>
      </c>
      <c r="C794" s="7" t="s">
        <v>47</v>
      </c>
      <c r="D794" s="7" t="n">
        <v>37</v>
      </c>
      <c r="E794" s="7" t="s">
        <v>38</v>
      </c>
      <c r="F794" s="7" t="s">
        <v>39</v>
      </c>
      <c r="G794" s="8" t="n">
        <v>46029</v>
      </c>
      <c r="H794" s="8" t="n">
        <v>46052</v>
      </c>
      <c r="I794" s="7" t="s">
        <v>50</v>
      </c>
      <c r="J794" s="7" t="s">
        <v>41</v>
      </c>
      <c r="K794" s="7" t="n">
        <v>23</v>
      </c>
      <c r="L794" s="7" t="n">
        <v>3</v>
      </c>
      <c r="M794" s="7" t="n">
        <v>2</v>
      </c>
      <c r="N794" s="7" t="s">
        <v>42</v>
      </c>
      <c r="O794" s="7" t="s">
        <v>43</v>
      </c>
      <c r="P794" s="7" t="n">
        <v>3.5</v>
      </c>
      <c r="Q794" s="7" t="n">
        <v>26</v>
      </c>
      <c r="R794" s="7" t="s">
        <v>53</v>
      </c>
      <c r="S794" s="7"/>
      <c r="T794" s="7"/>
      <c r="U794" s="7" t="str">
        <f aca="false">IF(COUNTIF($A$2:$A$5001,A794)&gt;1,"Duplicate","Unique")</f>
        <v>Unique</v>
      </c>
      <c r="V794" s="7" t="str">
        <f aca="false">IF(COUNTIFS($B$2:$B$5001,B794,$H$2:$H$5001,H794,$J$2:$J$5001,J794)&gt;1,"Possible Duplicate Booking","Unique")</f>
        <v>Unique</v>
      </c>
      <c r="W794" s="7" t="str">
        <f aca="false">IF((H794-G794)&lt;&gt;K794,"Mismatch","OK")</f>
        <v>OK</v>
      </c>
      <c r="X794" s="7" t="str">
        <f aca="false">IF(TEXT(H794,"dddd")&lt;&gt;I794,"Mismatch","OK")</f>
        <v>OK</v>
      </c>
      <c r="Y794" s="7" t="str">
        <f aca="false">IF(AND(N794="No",O794&lt;&gt;""),"Unexpected: channel present but no reminder sent",IF(AND(N794="Yes",O794=""),"Missing channel for sent reminder","OK"))</f>
        <v>OK</v>
      </c>
    </row>
    <row r="795" customFormat="false" ht="15" hidden="false" customHeight="false" outlineLevel="0" collapsed="false">
      <c r="A795" s="9" t="s">
        <v>1507</v>
      </c>
      <c r="B795" s="9" t="s">
        <v>1508</v>
      </c>
      <c r="C795" s="9" t="s">
        <v>37</v>
      </c>
      <c r="D795" s="9" t="n">
        <v>37</v>
      </c>
      <c r="E795" s="9" t="s">
        <v>38</v>
      </c>
      <c r="F795" s="9" t="s">
        <v>57</v>
      </c>
      <c r="G795" s="10" t="n">
        <v>46049</v>
      </c>
      <c r="H795" s="10" t="n">
        <v>46108</v>
      </c>
      <c r="I795" s="9" t="s">
        <v>50</v>
      </c>
      <c r="J795" s="9" t="s">
        <v>51</v>
      </c>
      <c r="K795" s="9" t="n">
        <v>59</v>
      </c>
      <c r="L795" s="9" t="n">
        <v>4</v>
      </c>
      <c r="M795" s="9" t="n">
        <v>0</v>
      </c>
      <c r="N795" s="9" t="s">
        <v>71</v>
      </c>
      <c r="O795" s="9"/>
      <c r="P795" s="9" t="n">
        <v>29.6</v>
      </c>
      <c r="Q795" s="9" t="n">
        <v>34</v>
      </c>
      <c r="R795" s="9" t="s">
        <v>44</v>
      </c>
      <c r="S795" s="9"/>
      <c r="T795" s="9"/>
      <c r="U795" s="9" t="str">
        <f aca="false">IF(COUNTIF($A$2:$A$5001,A795)&gt;1,"Duplicate","Unique")</f>
        <v>Unique</v>
      </c>
      <c r="V795" s="9" t="str">
        <f aca="false">IF(COUNTIFS($B$2:$B$5001,B795,$H$2:$H$5001,H795,$J$2:$J$5001,J795)&gt;1,"Possible Duplicate Booking","Unique")</f>
        <v>Unique</v>
      </c>
      <c r="W795" s="9" t="str">
        <f aca="false">IF((H795-G795)&lt;&gt;K795,"Mismatch","OK")</f>
        <v>OK</v>
      </c>
      <c r="X795" s="9" t="str">
        <f aca="false">IF(TEXT(H795,"dddd")&lt;&gt;I795,"Mismatch","OK")</f>
        <v>OK</v>
      </c>
      <c r="Y795" s="9" t="str">
        <f aca="false">IF(AND(N795="No",O795&lt;&gt;""),"Unexpected: channel present but no reminder sent",IF(AND(N795="Yes",O795=""),"Missing channel for sent reminder","OK"))</f>
        <v>OK</v>
      </c>
    </row>
    <row r="796" customFormat="false" ht="15" hidden="false" customHeight="false" outlineLevel="0" collapsed="false">
      <c r="A796" s="7" t="s">
        <v>1509</v>
      </c>
      <c r="B796" s="7" t="s">
        <v>1510</v>
      </c>
      <c r="C796" s="7" t="s">
        <v>47</v>
      </c>
      <c r="D796" s="7" t="n">
        <v>36</v>
      </c>
      <c r="E796" s="7" t="s">
        <v>38</v>
      </c>
      <c r="F796" s="7" t="s">
        <v>39</v>
      </c>
      <c r="G796" s="8" t="n">
        <v>45869</v>
      </c>
      <c r="H796" s="8" t="n">
        <v>45893</v>
      </c>
      <c r="I796" s="7" t="s">
        <v>75</v>
      </c>
      <c r="J796" s="7" t="s">
        <v>51</v>
      </c>
      <c r="K796" s="7" t="n">
        <v>24</v>
      </c>
      <c r="L796" s="7" t="n">
        <v>2</v>
      </c>
      <c r="M796" s="7" t="n">
        <v>0</v>
      </c>
      <c r="N796" s="7" t="s">
        <v>42</v>
      </c>
      <c r="O796" s="7" t="s">
        <v>52</v>
      </c>
      <c r="P796" s="7" t="n">
        <v>6.1</v>
      </c>
      <c r="Q796" s="7" t="n">
        <v>9</v>
      </c>
      <c r="R796" s="7" t="s">
        <v>87</v>
      </c>
      <c r="S796" s="7"/>
      <c r="T796" s="7"/>
      <c r="U796" s="7" t="str">
        <f aca="false">IF(COUNTIF($A$2:$A$5001,A796)&gt;1,"Duplicate","Unique")</f>
        <v>Unique</v>
      </c>
      <c r="V796" s="7" t="str">
        <f aca="false">IF(COUNTIFS($B$2:$B$5001,B796,$H$2:$H$5001,H796,$J$2:$J$5001,J796)&gt;1,"Possible Duplicate Booking","Unique")</f>
        <v>Unique</v>
      </c>
      <c r="W796" s="7" t="str">
        <f aca="false">IF((H796-G796)&lt;&gt;K796,"Mismatch","OK")</f>
        <v>OK</v>
      </c>
      <c r="X796" s="7" t="str">
        <f aca="false">IF(TEXT(H796,"dddd")&lt;&gt;I796,"Mismatch","OK")</f>
        <v>OK</v>
      </c>
      <c r="Y796" s="7" t="str">
        <f aca="false">IF(AND(N796="No",O796&lt;&gt;""),"Unexpected: channel present but no reminder sent",IF(AND(N796="Yes",O796=""),"Missing channel for sent reminder","OK"))</f>
        <v>OK</v>
      </c>
    </row>
    <row r="797" customFormat="false" ht="15" hidden="false" customHeight="false" outlineLevel="0" collapsed="false">
      <c r="A797" s="9" t="s">
        <v>1511</v>
      </c>
      <c r="B797" s="9" t="s">
        <v>1512</v>
      </c>
      <c r="C797" s="9" t="s">
        <v>47</v>
      </c>
      <c r="D797" s="9" t="n">
        <v>38</v>
      </c>
      <c r="E797" s="9" t="s">
        <v>38</v>
      </c>
      <c r="F797" s="9" t="s">
        <v>57</v>
      </c>
      <c r="G797" s="10" t="n">
        <v>45807</v>
      </c>
      <c r="H797" s="10" t="n">
        <v>45819</v>
      </c>
      <c r="I797" s="9" t="s">
        <v>58</v>
      </c>
      <c r="J797" s="9" t="s">
        <v>51</v>
      </c>
      <c r="K797" s="9" t="n">
        <v>12</v>
      </c>
      <c r="L797" s="9" t="n">
        <v>3</v>
      </c>
      <c r="M797" s="9" t="n">
        <v>0</v>
      </c>
      <c r="N797" s="9" t="s">
        <v>71</v>
      </c>
      <c r="O797" s="9"/>
      <c r="P797" s="9" t="n">
        <v>7.6</v>
      </c>
      <c r="Q797" s="9" t="n">
        <v>22</v>
      </c>
      <c r="R797" s="9" t="s">
        <v>44</v>
      </c>
      <c r="S797" s="9"/>
      <c r="T797" s="9"/>
      <c r="U797" s="9" t="str">
        <f aca="false">IF(COUNTIF($A$2:$A$5001,A797)&gt;1,"Duplicate","Unique")</f>
        <v>Unique</v>
      </c>
      <c r="V797" s="9" t="str">
        <f aca="false">IF(COUNTIFS($B$2:$B$5001,B797,$H$2:$H$5001,H797,$J$2:$J$5001,J797)&gt;1,"Possible Duplicate Booking","Unique")</f>
        <v>Unique</v>
      </c>
      <c r="W797" s="9" t="str">
        <f aca="false">IF((H797-G797)&lt;&gt;K797,"Mismatch","OK")</f>
        <v>OK</v>
      </c>
      <c r="X797" s="9" t="str">
        <f aca="false">IF(TEXT(H797,"dddd")&lt;&gt;I797,"Mismatch","OK")</f>
        <v>OK</v>
      </c>
      <c r="Y797" s="9" t="str">
        <f aca="false">IF(AND(N797="No",O797&lt;&gt;""),"Unexpected: channel present but no reminder sent",IF(AND(N797="Yes",O797=""),"Missing channel for sent reminder","OK"))</f>
        <v>OK</v>
      </c>
    </row>
    <row r="798" customFormat="false" ht="15" hidden="false" customHeight="false" outlineLevel="0" collapsed="false">
      <c r="A798" s="7" t="s">
        <v>1513</v>
      </c>
      <c r="B798" s="7" t="s">
        <v>1514</v>
      </c>
      <c r="C798" s="7" t="s">
        <v>37</v>
      </c>
      <c r="D798" s="7" t="n">
        <v>41</v>
      </c>
      <c r="E798" s="7" t="s">
        <v>38</v>
      </c>
      <c r="F798" s="7" t="s">
        <v>39</v>
      </c>
      <c r="G798" s="8" t="n">
        <v>46134</v>
      </c>
      <c r="H798" s="8" t="n">
        <v>46186</v>
      </c>
      <c r="I798" s="7" t="s">
        <v>102</v>
      </c>
      <c r="J798" s="7" t="s">
        <v>51</v>
      </c>
      <c r="K798" s="7" t="n">
        <v>52</v>
      </c>
      <c r="L798" s="7" t="n">
        <v>2</v>
      </c>
      <c r="M798" s="7" t="n">
        <v>0</v>
      </c>
      <c r="N798" s="7" t="s">
        <v>42</v>
      </c>
      <c r="O798" s="7" t="s">
        <v>43</v>
      </c>
      <c r="P798" s="7" t="n">
        <v>18.3</v>
      </c>
      <c r="Q798" s="7" t="n">
        <v>20</v>
      </c>
      <c r="R798" s="7" t="s">
        <v>44</v>
      </c>
      <c r="S798" s="7"/>
      <c r="T798" s="7"/>
      <c r="U798" s="7" t="str">
        <f aca="false">IF(COUNTIF($A$2:$A$5001,A798)&gt;1,"Duplicate","Unique")</f>
        <v>Unique</v>
      </c>
      <c r="V798" s="7" t="str">
        <f aca="false">IF(COUNTIFS($B$2:$B$5001,B798,$H$2:$H$5001,H798,$J$2:$J$5001,J798)&gt;1,"Possible Duplicate Booking","Unique")</f>
        <v>Unique</v>
      </c>
      <c r="W798" s="7" t="str">
        <f aca="false">IF((H798-G798)&lt;&gt;K798,"Mismatch","OK")</f>
        <v>OK</v>
      </c>
      <c r="X798" s="7" t="str">
        <f aca="false">IF(TEXT(H798,"dddd")&lt;&gt;I798,"Mismatch","OK")</f>
        <v>OK</v>
      </c>
      <c r="Y798" s="7" t="str">
        <f aca="false">IF(AND(N798="No",O798&lt;&gt;""),"Unexpected: channel present but no reminder sent",IF(AND(N798="Yes",O798=""),"Missing channel for sent reminder","OK"))</f>
        <v>OK</v>
      </c>
    </row>
    <row r="799" customFormat="false" ht="15" hidden="false" customHeight="false" outlineLevel="0" collapsed="false">
      <c r="A799" s="9" t="s">
        <v>1515</v>
      </c>
      <c r="B799" s="9" t="s">
        <v>1516</v>
      </c>
      <c r="C799" s="9" t="s">
        <v>37</v>
      </c>
      <c r="D799" s="9" t="n">
        <v>61</v>
      </c>
      <c r="E799" s="9" t="s">
        <v>61</v>
      </c>
      <c r="F799" s="9" t="s">
        <v>57</v>
      </c>
      <c r="G799" s="10" t="n">
        <v>45870</v>
      </c>
      <c r="H799" s="10" t="n">
        <v>45908</v>
      </c>
      <c r="I799" s="9" t="s">
        <v>66</v>
      </c>
      <c r="J799" s="9" t="s">
        <v>51</v>
      </c>
      <c r="K799" s="9" t="n">
        <v>38</v>
      </c>
      <c r="L799" s="9" t="n">
        <v>7</v>
      </c>
      <c r="M799" s="9" t="n">
        <v>1</v>
      </c>
      <c r="N799" s="9" t="s">
        <v>42</v>
      </c>
      <c r="O799" s="9" t="s">
        <v>52</v>
      </c>
      <c r="P799" s="9" t="n">
        <v>9.4</v>
      </c>
      <c r="Q799" s="9" t="n">
        <v>16</v>
      </c>
      <c r="R799" s="9" t="s">
        <v>53</v>
      </c>
      <c r="S799" s="9"/>
      <c r="T799" s="9"/>
      <c r="U799" s="9" t="str">
        <f aca="false">IF(COUNTIF($A$2:$A$5001,A799)&gt;1,"Duplicate","Unique")</f>
        <v>Unique</v>
      </c>
      <c r="V799" s="9" t="str">
        <f aca="false">IF(COUNTIFS($B$2:$B$5001,B799,$H$2:$H$5001,H799,$J$2:$J$5001,J799)&gt;1,"Possible Duplicate Booking","Unique")</f>
        <v>Unique</v>
      </c>
      <c r="W799" s="9" t="str">
        <f aca="false">IF((H799-G799)&lt;&gt;K799,"Mismatch","OK")</f>
        <v>OK</v>
      </c>
      <c r="X799" s="9" t="str">
        <f aca="false">IF(TEXT(H799,"dddd")&lt;&gt;I799,"Mismatch","OK")</f>
        <v>OK</v>
      </c>
      <c r="Y799" s="9" t="str">
        <f aca="false">IF(AND(N799="No",O799&lt;&gt;""),"Unexpected: channel present but no reminder sent",IF(AND(N799="Yes",O799=""),"Missing channel for sent reminder","OK"))</f>
        <v>OK</v>
      </c>
    </row>
    <row r="800" customFormat="false" ht="15" hidden="false" customHeight="false" outlineLevel="0" collapsed="false">
      <c r="A800" s="7" t="s">
        <v>1517</v>
      </c>
      <c r="B800" s="7" t="s">
        <v>1518</v>
      </c>
      <c r="C800" s="7" t="s">
        <v>47</v>
      </c>
      <c r="D800" s="7" t="n">
        <v>24</v>
      </c>
      <c r="E800" s="7" t="s">
        <v>82</v>
      </c>
      <c r="F800" s="7" t="s">
        <v>57</v>
      </c>
      <c r="G800" s="8" t="n">
        <v>45796</v>
      </c>
      <c r="H800" s="8" t="n">
        <v>45830</v>
      </c>
      <c r="I800" s="7" t="s">
        <v>75</v>
      </c>
      <c r="J800" s="7" t="s">
        <v>41</v>
      </c>
      <c r="K800" s="7" t="n">
        <v>34</v>
      </c>
      <c r="L800" s="7" t="n">
        <v>8</v>
      </c>
      <c r="M800" s="7" t="n">
        <v>0</v>
      </c>
      <c r="N800" s="7" t="s">
        <v>42</v>
      </c>
      <c r="O800" s="7" t="s">
        <v>52</v>
      </c>
      <c r="P800" s="7" t="n">
        <v>4.4</v>
      </c>
      <c r="Q800" s="7" t="n">
        <v>12</v>
      </c>
      <c r="R800" s="7" t="s">
        <v>44</v>
      </c>
      <c r="S800" s="7"/>
      <c r="T800" s="7"/>
      <c r="U800" s="7" t="str">
        <f aca="false">IF(COUNTIF($A$2:$A$5001,A800)&gt;1,"Duplicate","Unique")</f>
        <v>Unique</v>
      </c>
      <c r="V800" s="7" t="str">
        <f aca="false">IF(COUNTIFS($B$2:$B$5001,B800,$H$2:$H$5001,H800,$J$2:$J$5001,J800)&gt;1,"Possible Duplicate Booking","Unique")</f>
        <v>Unique</v>
      </c>
      <c r="W800" s="7" t="str">
        <f aca="false">IF((H800-G800)&lt;&gt;K800,"Mismatch","OK")</f>
        <v>OK</v>
      </c>
      <c r="X800" s="7" t="str">
        <f aca="false">IF(TEXT(H800,"dddd")&lt;&gt;I800,"Mismatch","OK")</f>
        <v>OK</v>
      </c>
      <c r="Y800" s="7" t="str">
        <f aca="false">IF(AND(N800="No",O800&lt;&gt;""),"Unexpected: channel present but no reminder sent",IF(AND(N800="Yes",O800=""),"Missing channel for sent reminder","OK"))</f>
        <v>OK</v>
      </c>
    </row>
    <row r="801" customFormat="false" ht="15" hidden="false" customHeight="false" outlineLevel="0" collapsed="false">
      <c r="A801" s="9" t="s">
        <v>1519</v>
      </c>
      <c r="B801" s="9" t="s">
        <v>1520</v>
      </c>
      <c r="C801" s="9" t="s">
        <v>37</v>
      </c>
      <c r="D801" s="9" t="n">
        <v>20</v>
      </c>
      <c r="E801" s="9" t="s">
        <v>82</v>
      </c>
      <c r="F801" s="9" t="s">
        <v>57</v>
      </c>
      <c r="G801" s="10" t="n">
        <v>45874</v>
      </c>
      <c r="H801" s="10" t="n">
        <v>45899</v>
      </c>
      <c r="I801" s="9" t="s">
        <v>102</v>
      </c>
      <c r="J801" s="9" t="s">
        <v>41</v>
      </c>
      <c r="K801" s="9" t="n">
        <v>25</v>
      </c>
      <c r="L801" s="9" t="n">
        <v>1</v>
      </c>
      <c r="M801" s="9" t="n">
        <v>0</v>
      </c>
      <c r="N801" s="9" t="s">
        <v>42</v>
      </c>
      <c r="O801" s="9" t="s">
        <v>52</v>
      </c>
      <c r="P801" s="9" t="n">
        <v>4.5</v>
      </c>
      <c r="Q801" s="9" t="n">
        <v>38</v>
      </c>
      <c r="R801" s="9" t="s">
        <v>53</v>
      </c>
      <c r="S801" s="9"/>
      <c r="T801" s="9"/>
      <c r="U801" s="9" t="str">
        <f aca="false">IF(COUNTIF($A$2:$A$5001,A801)&gt;1,"Duplicate","Unique")</f>
        <v>Unique</v>
      </c>
      <c r="V801" s="9" t="str">
        <f aca="false">IF(COUNTIFS($B$2:$B$5001,B801,$H$2:$H$5001,H801,$J$2:$J$5001,J801)&gt;1,"Possible Duplicate Booking","Unique")</f>
        <v>Unique</v>
      </c>
      <c r="W801" s="9" t="str">
        <f aca="false">IF((H801-G801)&lt;&gt;K801,"Mismatch","OK")</f>
        <v>OK</v>
      </c>
      <c r="X801" s="9" t="str">
        <f aca="false">IF(TEXT(H801,"dddd")&lt;&gt;I801,"Mismatch","OK")</f>
        <v>OK</v>
      </c>
      <c r="Y801" s="9" t="str">
        <f aca="false">IF(AND(N801="No",O801&lt;&gt;""),"Unexpected: channel present but no reminder sent",IF(AND(N801="Yes",O801=""),"Missing channel for sent reminder","OK"))</f>
        <v>OK</v>
      </c>
    </row>
    <row r="802" customFormat="false" ht="15" hidden="false" customHeight="false" outlineLevel="0" collapsed="false">
      <c r="A802" s="7" t="s">
        <v>1521</v>
      </c>
      <c r="B802" s="7" t="s">
        <v>1146</v>
      </c>
      <c r="C802" s="7" t="s">
        <v>47</v>
      </c>
      <c r="D802" s="7" t="n">
        <v>50</v>
      </c>
      <c r="E802" s="7" t="s">
        <v>56</v>
      </c>
      <c r="F802" s="7" t="s">
        <v>49</v>
      </c>
      <c r="G802" s="8" t="n">
        <v>45657</v>
      </c>
      <c r="H802" s="8" t="n">
        <v>45664</v>
      </c>
      <c r="I802" s="7" t="s">
        <v>40</v>
      </c>
      <c r="J802" s="7" t="s">
        <v>41</v>
      </c>
      <c r="K802" s="7" t="n">
        <v>7</v>
      </c>
      <c r="L802" s="7" t="n">
        <v>2</v>
      </c>
      <c r="M802" s="7" t="n">
        <v>1</v>
      </c>
      <c r="N802" s="7" t="s">
        <v>71</v>
      </c>
      <c r="O802" s="7"/>
      <c r="P802" s="7" t="n">
        <v>4.2</v>
      </c>
      <c r="Q802" s="7" t="n">
        <v>17</v>
      </c>
      <c r="R802" s="7" t="s">
        <v>53</v>
      </c>
      <c r="S802" s="7"/>
      <c r="T802" s="7"/>
      <c r="U802" s="7" t="str">
        <f aca="false">IF(COUNTIF($A$2:$A$5001,A802)&gt;1,"Duplicate","Unique")</f>
        <v>Unique</v>
      </c>
      <c r="V802" s="7" t="str">
        <f aca="false">IF(COUNTIFS($B$2:$B$5001,B802,$H$2:$H$5001,H802,$J$2:$J$5001,J802)&gt;1,"Possible Duplicate Booking","Unique")</f>
        <v>Unique</v>
      </c>
      <c r="W802" s="7" t="str">
        <f aca="false">IF((H802-G802)&lt;&gt;K802,"Mismatch","OK")</f>
        <v>OK</v>
      </c>
      <c r="X802" s="7" t="str">
        <f aca="false">IF(TEXT(H802,"dddd")&lt;&gt;I802,"Mismatch","OK")</f>
        <v>OK</v>
      </c>
      <c r="Y802" s="7" t="str">
        <f aca="false">IF(AND(N802="No",O802&lt;&gt;""),"Unexpected: channel present but no reminder sent",IF(AND(N802="Yes",O802=""),"Missing channel for sent reminder","OK"))</f>
        <v>OK</v>
      </c>
    </row>
    <row r="803" customFormat="false" ht="15" hidden="false" customHeight="false" outlineLevel="0" collapsed="false">
      <c r="A803" s="9" t="s">
        <v>1522</v>
      </c>
      <c r="B803" s="9" t="s">
        <v>46</v>
      </c>
      <c r="C803" s="9" t="s">
        <v>37</v>
      </c>
      <c r="D803" s="9" t="n">
        <v>60</v>
      </c>
      <c r="E803" s="9" t="s">
        <v>61</v>
      </c>
      <c r="F803" s="9" t="s">
        <v>57</v>
      </c>
      <c r="G803" s="10" t="n">
        <v>45799</v>
      </c>
      <c r="H803" s="10" t="n">
        <v>45822</v>
      </c>
      <c r="I803" s="9" t="s">
        <v>102</v>
      </c>
      <c r="J803" s="9" t="s">
        <v>63</v>
      </c>
      <c r="K803" s="9" t="n">
        <v>23</v>
      </c>
      <c r="L803" s="9" t="n">
        <v>1</v>
      </c>
      <c r="M803" s="9" t="n">
        <v>0</v>
      </c>
      <c r="N803" s="9" t="s">
        <v>42</v>
      </c>
      <c r="O803" s="9" t="s">
        <v>52</v>
      </c>
      <c r="P803" s="9" t="n">
        <v>23.7</v>
      </c>
      <c r="Q803" s="9" t="n">
        <v>29</v>
      </c>
      <c r="R803" s="9" t="s">
        <v>44</v>
      </c>
      <c r="S803" s="9"/>
      <c r="T803" s="9"/>
      <c r="U803" s="9" t="str">
        <f aca="false">IF(COUNTIF($A$2:$A$5001,A803)&gt;1,"Duplicate","Unique")</f>
        <v>Unique</v>
      </c>
      <c r="V803" s="9" t="str">
        <f aca="false">IF(COUNTIFS($B$2:$B$5001,B803,$H$2:$H$5001,H803,$J$2:$J$5001,J803)&gt;1,"Possible Duplicate Booking","Unique")</f>
        <v>Unique</v>
      </c>
      <c r="W803" s="9" t="str">
        <f aca="false">IF((H803-G803)&lt;&gt;K803,"Mismatch","OK")</f>
        <v>OK</v>
      </c>
      <c r="X803" s="9" t="str">
        <f aca="false">IF(TEXT(H803,"dddd")&lt;&gt;I803,"Mismatch","OK")</f>
        <v>OK</v>
      </c>
      <c r="Y803" s="9" t="str">
        <f aca="false">IF(AND(N803="No",O803&lt;&gt;""),"Unexpected: channel present but no reminder sent",IF(AND(N803="Yes",O803=""),"Missing channel for sent reminder","OK"))</f>
        <v>OK</v>
      </c>
    </row>
    <row r="804" customFormat="false" ht="15" hidden="false" customHeight="false" outlineLevel="0" collapsed="false">
      <c r="A804" s="7" t="s">
        <v>1523</v>
      </c>
      <c r="B804" s="7" t="s">
        <v>855</v>
      </c>
      <c r="C804" s="7" t="s">
        <v>37</v>
      </c>
      <c r="D804" s="7" t="n">
        <v>34</v>
      </c>
      <c r="E804" s="7" t="s">
        <v>48</v>
      </c>
      <c r="F804" s="7" t="s">
        <v>57</v>
      </c>
      <c r="G804" s="8" t="n">
        <v>45913</v>
      </c>
      <c r="H804" s="8" t="n">
        <v>45939</v>
      </c>
      <c r="I804" s="7" t="s">
        <v>62</v>
      </c>
      <c r="J804" s="7" t="s">
        <v>63</v>
      </c>
      <c r="K804" s="7" t="n">
        <v>26</v>
      </c>
      <c r="L804" s="7" t="n">
        <v>2</v>
      </c>
      <c r="M804" s="7" t="n">
        <v>1</v>
      </c>
      <c r="N804" s="7" t="s">
        <v>42</v>
      </c>
      <c r="O804" s="7" t="s">
        <v>67</v>
      </c>
      <c r="P804" s="7" t="n">
        <v>1.4</v>
      </c>
      <c r="Q804" s="7" t="n">
        <v>28</v>
      </c>
      <c r="R804" s="7" t="s">
        <v>44</v>
      </c>
      <c r="S804" s="7"/>
      <c r="T804" s="7"/>
      <c r="U804" s="7" t="str">
        <f aca="false">IF(COUNTIF($A$2:$A$5001,A804)&gt;1,"Duplicate","Unique")</f>
        <v>Unique</v>
      </c>
      <c r="V804" s="7" t="str">
        <f aca="false">IF(COUNTIFS($B$2:$B$5001,B804,$H$2:$H$5001,H804,$J$2:$J$5001,J804)&gt;1,"Possible Duplicate Booking","Unique")</f>
        <v>Unique</v>
      </c>
      <c r="W804" s="7" t="str">
        <f aca="false">IF((H804-G804)&lt;&gt;K804,"Mismatch","OK")</f>
        <v>OK</v>
      </c>
      <c r="X804" s="7" t="str">
        <f aca="false">IF(TEXT(H804,"dddd")&lt;&gt;I804,"Mismatch","OK")</f>
        <v>OK</v>
      </c>
      <c r="Y804" s="7" t="str">
        <f aca="false">IF(AND(N804="No",O804&lt;&gt;""),"Unexpected: channel present but no reminder sent",IF(AND(N804="Yes",O804=""),"Missing channel for sent reminder","OK"))</f>
        <v>OK</v>
      </c>
    </row>
    <row r="805" customFormat="false" ht="15" hidden="false" customHeight="false" outlineLevel="0" collapsed="false">
      <c r="A805" s="9" t="s">
        <v>1524</v>
      </c>
      <c r="B805" s="9" t="s">
        <v>1525</v>
      </c>
      <c r="C805" s="9" t="s">
        <v>37</v>
      </c>
      <c r="D805" s="9" t="n">
        <v>30</v>
      </c>
      <c r="E805" s="9" t="s">
        <v>48</v>
      </c>
      <c r="F805" s="9" t="s">
        <v>39</v>
      </c>
      <c r="G805" s="10" t="n">
        <v>46103</v>
      </c>
      <c r="H805" s="10" t="n">
        <v>46159</v>
      </c>
      <c r="I805" s="9" t="s">
        <v>75</v>
      </c>
      <c r="J805" s="9" t="s">
        <v>63</v>
      </c>
      <c r="K805" s="9" t="n">
        <v>56</v>
      </c>
      <c r="L805" s="9" t="n">
        <v>3</v>
      </c>
      <c r="M805" s="9" t="n">
        <v>0</v>
      </c>
      <c r="N805" s="9" t="s">
        <v>42</v>
      </c>
      <c r="O805" s="9" t="s">
        <v>52</v>
      </c>
      <c r="P805" s="9" t="n">
        <v>3.8</v>
      </c>
      <c r="Q805" s="9" t="n">
        <v>35</v>
      </c>
      <c r="R805" s="9" t="s">
        <v>44</v>
      </c>
      <c r="S805" s="9"/>
      <c r="T805" s="9"/>
      <c r="U805" s="9" t="str">
        <f aca="false">IF(COUNTIF($A$2:$A$5001,A805)&gt;1,"Duplicate","Unique")</f>
        <v>Unique</v>
      </c>
      <c r="V805" s="9" t="str">
        <f aca="false">IF(COUNTIFS($B$2:$B$5001,B805,$H$2:$H$5001,H805,$J$2:$J$5001,J805)&gt;1,"Possible Duplicate Booking","Unique")</f>
        <v>Unique</v>
      </c>
      <c r="W805" s="9" t="str">
        <f aca="false">IF((H805-G805)&lt;&gt;K805,"Mismatch","OK")</f>
        <v>OK</v>
      </c>
      <c r="X805" s="9" t="str">
        <f aca="false">IF(TEXT(H805,"dddd")&lt;&gt;I805,"Mismatch","OK")</f>
        <v>OK</v>
      </c>
      <c r="Y805" s="9" t="str">
        <f aca="false">IF(AND(N805="No",O805&lt;&gt;""),"Unexpected: channel present but no reminder sent",IF(AND(N805="Yes",O805=""),"Missing channel for sent reminder","OK"))</f>
        <v>OK</v>
      </c>
    </row>
    <row r="806" customFormat="false" ht="15" hidden="false" customHeight="false" outlineLevel="0" collapsed="false">
      <c r="A806" s="7" t="s">
        <v>1526</v>
      </c>
      <c r="B806" s="7" t="s">
        <v>1527</v>
      </c>
      <c r="C806" s="7" t="s">
        <v>47</v>
      </c>
      <c r="D806" s="7" t="n">
        <v>57</v>
      </c>
      <c r="E806" s="7" t="s">
        <v>61</v>
      </c>
      <c r="F806" s="7" t="s">
        <v>49</v>
      </c>
      <c r="G806" s="8" t="n">
        <v>46043</v>
      </c>
      <c r="H806" s="8" t="n">
        <v>46061</v>
      </c>
      <c r="I806" s="7" t="s">
        <v>75</v>
      </c>
      <c r="J806" s="7" t="s">
        <v>41</v>
      </c>
      <c r="K806" s="7" t="n">
        <v>18</v>
      </c>
      <c r="L806" s="7" t="n">
        <v>5</v>
      </c>
      <c r="M806" s="7" t="n">
        <v>1</v>
      </c>
      <c r="N806" s="7" t="s">
        <v>42</v>
      </c>
      <c r="O806" s="7" t="s">
        <v>67</v>
      </c>
      <c r="P806" s="7" t="n">
        <v>6.3</v>
      </c>
      <c r="Q806" s="7" t="n">
        <v>32</v>
      </c>
      <c r="R806" s="7" t="s">
        <v>44</v>
      </c>
      <c r="S806" s="7"/>
      <c r="T806" s="7"/>
      <c r="U806" s="7" t="str">
        <f aca="false">IF(COUNTIF($A$2:$A$5001,A806)&gt;1,"Duplicate","Unique")</f>
        <v>Unique</v>
      </c>
      <c r="V806" s="7" t="str">
        <f aca="false">IF(COUNTIFS($B$2:$B$5001,B806,$H$2:$H$5001,H806,$J$2:$J$5001,J806)&gt;1,"Possible Duplicate Booking","Unique")</f>
        <v>Unique</v>
      </c>
      <c r="W806" s="7" t="str">
        <f aca="false">IF((H806-G806)&lt;&gt;K806,"Mismatch","OK")</f>
        <v>OK</v>
      </c>
      <c r="X806" s="7" t="str">
        <f aca="false">IF(TEXT(H806,"dddd")&lt;&gt;I806,"Mismatch","OK")</f>
        <v>OK</v>
      </c>
      <c r="Y806" s="7" t="str">
        <f aca="false">IF(AND(N806="No",O806&lt;&gt;""),"Unexpected: channel present but no reminder sent",IF(AND(N806="Yes",O806=""),"Missing channel for sent reminder","OK"))</f>
        <v>OK</v>
      </c>
    </row>
    <row r="807" customFormat="false" ht="15" hidden="false" customHeight="false" outlineLevel="0" collapsed="false">
      <c r="A807" s="9" t="s">
        <v>1528</v>
      </c>
      <c r="B807" s="9" t="s">
        <v>1529</v>
      </c>
      <c r="C807" s="9" t="s">
        <v>47</v>
      </c>
      <c r="D807" s="9" t="n">
        <v>42</v>
      </c>
      <c r="E807" s="9" t="s">
        <v>38</v>
      </c>
      <c r="F807" s="9" t="s">
        <v>57</v>
      </c>
      <c r="G807" s="10" t="n">
        <v>46075</v>
      </c>
      <c r="H807" s="10" t="n">
        <v>46084</v>
      </c>
      <c r="I807" s="9" t="s">
        <v>40</v>
      </c>
      <c r="J807" s="9" t="s">
        <v>51</v>
      </c>
      <c r="K807" s="9" t="n">
        <v>9</v>
      </c>
      <c r="L807" s="9" t="n">
        <v>3</v>
      </c>
      <c r="M807" s="9" t="n">
        <v>1</v>
      </c>
      <c r="N807" s="9" t="s">
        <v>71</v>
      </c>
      <c r="O807" s="9"/>
      <c r="P807" s="9" t="n">
        <v>6.2</v>
      </c>
      <c r="Q807" s="9" t="n">
        <v>21</v>
      </c>
      <c r="R807" s="9" t="s">
        <v>53</v>
      </c>
      <c r="S807" s="9"/>
      <c r="T807" s="9"/>
      <c r="U807" s="9" t="str">
        <f aca="false">IF(COUNTIF($A$2:$A$5001,A807)&gt;1,"Duplicate","Unique")</f>
        <v>Unique</v>
      </c>
      <c r="V807" s="9" t="str">
        <f aca="false">IF(COUNTIFS($B$2:$B$5001,B807,$H$2:$H$5001,H807,$J$2:$J$5001,J807)&gt;1,"Possible Duplicate Booking","Unique")</f>
        <v>Unique</v>
      </c>
      <c r="W807" s="9" t="str">
        <f aca="false">IF((H807-G807)&lt;&gt;K807,"Mismatch","OK")</f>
        <v>OK</v>
      </c>
      <c r="X807" s="9" t="str">
        <f aca="false">IF(TEXT(H807,"dddd")&lt;&gt;I807,"Mismatch","OK")</f>
        <v>OK</v>
      </c>
      <c r="Y807" s="9" t="str">
        <f aca="false">IF(AND(N807="No",O807&lt;&gt;""),"Unexpected: channel present but no reminder sent",IF(AND(N807="Yes",O807=""),"Missing channel for sent reminder","OK"))</f>
        <v>OK</v>
      </c>
    </row>
    <row r="808" customFormat="false" ht="15" hidden="false" customHeight="false" outlineLevel="0" collapsed="false">
      <c r="A808" s="7" t="s">
        <v>1530</v>
      </c>
      <c r="B808" s="7" t="s">
        <v>1531</v>
      </c>
      <c r="C808" s="7" t="s">
        <v>47</v>
      </c>
      <c r="D808" s="7" t="n">
        <v>64</v>
      </c>
      <c r="E808" s="7" t="s">
        <v>61</v>
      </c>
      <c r="F808" s="7" t="s">
        <v>39</v>
      </c>
      <c r="G808" s="8" t="n">
        <v>45929</v>
      </c>
      <c r="H808" s="8" t="n">
        <v>45955</v>
      </c>
      <c r="I808" s="7" t="s">
        <v>102</v>
      </c>
      <c r="J808" s="7" t="s">
        <v>63</v>
      </c>
      <c r="K808" s="7" t="n">
        <v>26</v>
      </c>
      <c r="L808" s="7" t="n">
        <v>4</v>
      </c>
      <c r="M808" s="7" t="n">
        <v>1</v>
      </c>
      <c r="N808" s="7" t="s">
        <v>42</v>
      </c>
      <c r="O808" s="7" t="s">
        <v>52</v>
      </c>
      <c r="P808" s="7" t="n">
        <v>5.8</v>
      </c>
      <c r="Q808" s="7" t="n">
        <v>10</v>
      </c>
      <c r="R808" s="7" t="s">
        <v>53</v>
      </c>
      <c r="S808" s="7"/>
      <c r="T808" s="7"/>
      <c r="U808" s="7" t="str">
        <f aca="false">IF(COUNTIF($A$2:$A$5001,A808)&gt;1,"Duplicate","Unique")</f>
        <v>Unique</v>
      </c>
      <c r="V808" s="7" t="str">
        <f aca="false">IF(COUNTIFS($B$2:$B$5001,B808,$H$2:$H$5001,H808,$J$2:$J$5001,J808)&gt;1,"Possible Duplicate Booking","Unique")</f>
        <v>Unique</v>
      </c>
      <c r="W808" s="7" t="str">
        <f aca="false">IF((H808-G808)&lt;&gt;K808,"Mismatch","OK")</f>
        <v>OK</v>
      </c>
      <c r="X808" s="7" t="str">
        <f aca="false">IF(TEXT(H808,"dddd")&lt;&gt;I808,"Mismatch","OK")</f>
        <v>OK</v>
      </c>
      <c r="Y808" s="7" t="str">
        <f aca="false">IF(AND(N808="No",O808&lt;&gt;""),"Unexpected: channel present but no reminder sent",IF(AND(N808="Yes",O808=""),"Missing channel for sent reminder","OK"))</f>
        <v>OK</v>
      </c>
    </row>
    <row r="809" customFormat="false" ht="15" hidden="false" customHeight="false" outlineLevel="0" collapsed="false">
      <c r="A809" s="9" t="s">
        <v>1532</v>
      </c>
      <c r="B809" s="9" t="s">
        <v>439</v>
      </c>
      <c r="C809" s="9" t="s">
        <v>37</v>
      </c>
      <c r="D809" s="9" t="n">
        <v>27</v>
      </c>
      <c r="E809" s="9" t="s">
        <v>48</v>
      </c>
      <c r="F809" s="9" t="s">
        <v>39</v>
      </c>
      <c r="G809" s="10" t="n">
        <v>45658</v>
      </c>
      <c r="H809" s="10" t="n">
        <v>45718</v>
      </c>
      <c r="I809" s="9" t="s">
        <v>75</v>
      </c>
      <c r="J809" s="9" t="s">
        <v>51</v>
      </c>
      <c r="K809" s="9" t="n">
        <v>60</v>
      </c>
      <c r="L809" s="9" t="n">
        <v>4</v>
      </c>
      <c r="M809" s="9" t="n">
        <v>0</v>
      </c>
      <c r="N809" s="9" t="s">
        <v>42</v>
      </c>
      <c r="O809" s="9" t="s">
        <v>52</v>
      </c>
      <c r="P809" s="9" t="n">
        <v>11.9</v>
      </c>
      <c r="Q809" s="9" t="n">
        <v>34</v>
      </c>
      <c r="R809" s="9" t="s">
        <v>53</v>
      </c>
      <c r="S809" s="9"/>
      <c r="T809" s="9"/>
      <c r="U809" s="9" t="str">
        <f aca="false">IF(COUNTIF($A$2:$A$5001,A809)&gt;1,"Duplicate","Unique")</f>
        <v>Unique</v>
      </c>
      <c r="V809" s="9" t="str">
        <f aca="false">IF(COUNTIFS($B$2:$B$5001,B809,$H$2:$H$5001,H809,$J$2:$J$5001,J809)&gt;1,"Possible Duplicate Booking","Unique")</f>
        <v>Unique</v>
      </c>
      <c r="W809" s="9" t="str">
        <f aca="false">IF((H809-G809)&lt;&gt;K809,"Mismatch","OK")</f>
        <v>OK</v>
      </c>
      <c r="X809" s="9" t="str">
        <f aca="false">IF(TEXT(H809,"dddd")&lt;&gt;I809,"Mismatch","OK")</f>
        <v>OK</v>
      </c>
      <c r="Y809" s="9" t="str">
        <f aca="false">IF(AND(N809="No",O809&lt;&gt;""),"Unexpected: channel present but no reminder sent",IF(AND(N809="Yes",O809=""),"Missing channel for sent reminder","OK"))</f>
        <v>OK</v>
      </c>
    </row>
    <row r="810" customFormat="false" ht="15" hidden="false" customHeight="false" outlineLevel="0" collapsed="false">
      <c r="A810" s="7" t="s">
        <v>1533</v>
      </c>
      <c r="B810" s="7" t="s">
        <v>1115</v>
      </c>
      <c r="C810" s="7" t="s">
        <v>37</v>
      </c>
      <c r="D810" s="7" t="n">
        <v>25</v>
      </c>
      <c r="E810" s="7" t="s">
        <v>48</v>
      </c>
      <c r="F810" s="7" t="s">
        <v>57</v>
      </c>
      <c r="G810" s="8" t="n">
        <v>45842</v>
      </c>
      <c r="H810" s="8" t="n">
        <v>45871</v>
      </c>
      <c r="I810" s="7" t="s">
        <v>102</v>
      </c>
      <c r="J810" s="7" t="s">
        <v>51</v>
      </c>
      <c r="K810" s="7" t="n">
        <v>29</v>
      </c>
      <c r="L810" s="7" t="n">
        <v>3</v>
      </c>
      <c r="M810" s="7" t="n">
        <v>0</v>
      </c>
      <c r="N810" s="7" t="s">
        <v>42</v>
      </c>
      <c r="O810" s="7" t="s">
        <v>52</v>
      </c>
      <c r="P810" s="7" t="n">
        <v>10</v>
      </c>
      <c r="Q810" s="7" t="n">
        <v>37</v>
      </c>
      <c r="R810" s="7" t="s">
        <v>44</v>
      </c>
      <c r="S810" s="7"/>
      <c r="T810" s="7"/>
      <c r="U810" s="7" t="str">
        <f aca="false">IF(COUNTIF($A$2:$A$5001,A810)&gt;1,"Duplicate","Unique")</f>
        <v>Unique</v>
      </c>
      <c r="V810" s="7" t="str">
        <f aca="false">IF(COUNTIFS($B$2:$B$5001,B810,$H$2:$H$5001,H810,$J$2:$J$5001,J810)&gt;1,"Possible Duplicate Booking","Unique")</f>
        <v>Unique</v>
      </c>
      <c r="W810" s="7" t="str">
        <f aca="false">IF((H810-G810)&lt;&gt;K810,"Mismatch","OK")</f>
        <v>OK</v>
      </c>
      <c r="X810" s="7" t="str">
        <f aca="false">IF(TEXT(H810,"dddd")&lt;&gt;I810,"Mismatch","OK")</f>
        <v>OK</v>
      </c>
      <c r="Y810" s="7" t="str">
        <f aca="false">IF(AND(N810="No",O810&lt;&gt;""),"Unexpected: channel present but no reminder sent",IF(AND(N810="Yes",O810=""),"Missing channel for sent reminder","OK"))</f>
        <v>OK</v>
      </c>
    </row>
    <row r="811" customFormat="false" ht="15" hidden="false" customHeight="false" outlineLevel="0" collapsed="false">
      <c r="A811" s="9" t="s">
        <v>1534</v>
      </c>
      <c r="B811" s="9" t="s">
        <v>1535</v>
      </c>
      <c r="C811" s="9" t="s">
        <v>37</v>
      </c>
      <c r="D811" s="9" t="n">
        <v>52</v>
      </c>
      <c r="E811" s="9" t="s">
        <v>56</v>
      </c>
      <c r="F811" s="9" t="s">
        <v>74</v>
      </c>
      <c r="G811" s="10" t="n">
        <v>46179</v>
      </c>
      <c r="H811" s="10" t="n">
        <v>46202</v>
      </c>
      <c r="I811" s="9" t="s">
        <v>66</v>
      </c>
      <c r="J811" s="9" t="s">
        <v>51</v>
      </c>
      <c r="K811" s="9" t="n">
        <v>23</v>
      </c>
      <c r="L811" s="9" t="n">
        <v>3</v>
      </c>
      <c r="M811" s="9" t="n">
        <v>1</v>
      </c>
      <c r="N811" s="9" t="s">
        <v>42</v>
      </c>
      <c r="O811" s="9" t="s">
        <v>52</v>
      </c>
      <c r="P811" s="9" t="n">
        <v>5</v>
      </c>
      <c r="Q811" s="9" t="n">
        <v>51</v>
      </c>
      <c r="R811" s="9" t="s">
        <v>44</v>
      </c>
      <c r="S811" s="9"/>
      <c r="T811" s="9"/>
      <c r="U811" s="9" t="str">
        <f aca="false">IF(COUNTIF($A$2:$A$5001,A811)&gt;1,"Duplicate","Unique")</f>
        <v>Unique</v>
      </c>
      <c r="V811" s="9" t="str">
        <f aca="false">IF(COUNTIFS($B$2:$B$5001,B811,$H$2:$H$5001,H811,$J$2:$J$5001,J811)&gt;1,"Possible Duplicate Booking","Unique")</f>
        <v>Unique</v>
      </c>
      <c r="W811" s="9" t="str">
        <f aca="false">IF((H811-G811)&lt;&gt;K811,"Mismatch","OK")</f>
        <v>OK</v>
      </c>
      <c r="X811" s="9" t="str">
        <f aca="false">IF(TEXT(H811,"dddd")&lt;&gt;I811,"Mismatch","OK")</f>
        <v>OK</v>
      </c>
      <c r="Y811" s="9" t="str">
        <f aca="false">IF(AND(N811="No",O811&lt;&gt;""),"Unexpected: channel present but no reminder sent",IF(AND(N811="Yes",O811=""),"Missing channel for sent reminder","OK"))</f>
        <v>OK</v>
      </c>
    </row>
    <row r="812" customFormat="false" ht="15" hidden="false" customHeight="false" outlineLevel="0" collapsed="false">
      <c r="A812" s="7" t="s">
        <v>1536</v>
      </c>
      <c r="B812" s="7" t="s">
        <v>564</v>
      </c>
      <c r="C812" s="7" t="s">
        <v>37</v>
      </c>
      <c r="D812" s="7" t="n">
        <v>42</v>
      </c>
      <c r="E812" s="7" t="s">
        <v>38</v>
      </c>
      <c r="F812" s="7" t="s">
        <v>74</v>
      </c>
      <c r="G812" s="8" t="n">
        <v>45642</v>
      </c>
      <c r="H812" s="8" t="n">
        <v>45682</v>
      </c>
      <c r="I812" s="7" t="s">
        <v>102</v>
      </c>
      <c r="J812" s="7" t="s">
        <v>41</v>
      </c>
      <c r="K812" s="7" t="n">
        <v>40</v>
      </c>
      <c r="L812" s="7" t="n">
        <v>8</v>
      </c>
      <c r="M812" s="7" t="n">
        <v>1</v>
      </c>
      <c r="N812" s="7" t="s">
        <v>42</v>
      </c>
      <c r="O812" s="7" t="s">
        <v>52</v>
      </c>
      <c r="P812" s="7" t="n">
        <v>6</v>
      </c>
      <c r="Q812" s="7" t="n">
        <v>35</v>
      </c>
      <c r="R812" s="7" t="s">
        <v>53</v>
      </c>
      <c r="S812" s="7"/>
      <c r="T812" s="7"/>
      <c r="U812" s="7" t="str">
        <f aca="false">IF(COUNTIF($A$2:$A$5001,A812)&gt;1,"Duplicate","Unique")</f>
        <v>Unique</v>
      </c>
      <c r="V812" s="7" t="str">
        <f aca="false">IF(COUNTIFS($B$2:$B$5001,B812,$H$2:$H$5001,H812,$J$2:$J$5001,J812)&gt;1,"Possible Duplicate Booking","Unique")</f>
        <v>Unique</v>
      </c>
      <c r="W812" s="7" t="str">
        <f aca="false">IF((H812-G812)&lt;&gt;K812,"Mismatch","OK")</f>
        <v>OK</v>
      </c>
      <c r="X812" s="7" t="str">
        <f aca="false">IF(TEXT(H812,"dddd")&lt;&gt;I812,"Mismatch","OK")</f>
        <v>OK</v>
      </c>
      <c r="Y812" s="7" t="str">
        <f aca="false">IF(AND(N812="No",O812&lt;&gt;""),"Unexpected: channel present but no reminder sent",IF(AND(N812="Yes",O812=""),"Missing channel for sent reminder","OK"))</f>
        <v>OK</v>
      </c>
    </row>
    <row r="813" customFormat="false" ht="15" hidden="false" customHeight="false" outlineLevel="0" collapsed="false">
      <c r="A813" s="9" t="s">
        <v>1537</v>
      </c>
      <c r="B813" s="9" t="s">
        <v>1538</v>
      </c>
      <c r="C813" s="9" t="s">
        <v>37</v>
      </c>
      <c r="D813" s="9" t="n">
        <v>63</v>
      </c>
      <c r="E813" s="9" t="s">
        <v>61</v>
      </c>
      <c r="F813" s="9" t="s">
        <v>57</v>
      </c>
      <c r="G813" s="10" t="n">
        <v>46099</v>
      </c>
      <c r="H813" s="10" t="n">
        <v>46138</v>
      </c>
      <c r="I813" s="9" t="s">
        <v>75</v>
      </c>
      <c r="J813" s="9" t="s">
        <v>41</v>
      </c>
      <c r="K813" s="9" t="n">
        <v>39</v>
      </c>
      <c r="L813" s="9" t="n">
        <v>2</v>
      </c>
      <c r="M813" s="9" t="n">
        <v>0</v>
      </c>
      <c r="N813" s="9" t="s">
        <v>42</v>
      </c>
      <c r="O813" s="9" t="s">
        <v>67</v>
      </c>
      <c r="P813" s="9" t="n">
        <v>35</v>
      </c>
      <c r="Q813" s="9" t="n">
        <v>17</v>
      </c>
      <c r="R813" s="9" t="s">
        <v>44</v>
      </c>
      <c r="S813" s="9"/>
      <c r="T813" s="9"/>
      <c r="U813" s="9" t="str">
        <f aca="false">IF(COUNTIF($A$2:$A$5001,A813)&gt;1,"Duplicate","Unique")</f>
        <v>Unique</v>
      </c>
      <c r="V813" s="9" t="str">
        <f aca="false">IF(COUNTIFS($B$2:$B$5001,B813,$H$2:$H$5001,H813,$J$2:$J$5001,J813)&gt;1,"Possible Duplicate Booking","Unique")</f>
        <v>Unique</v>
      </c>
      <c r="W813" s="9" t="str">
        <f aca="false">IF((H813-G813)&lt;&gt;K813,"Mismatch","OK")</f>
        <v>OK</v>
      </c>
      <c r="X813" s="9" t="str">
        <f aca="false">IF(TEXT(H813,"dddd")&lt;&gt;I813,"Mismatch","OK")</f>
        <v>OK</v>
      </c>
      <c r="Y813" s="9" t="str">
        <f aca="false">IF(AND(N813="No",O813&lt;&gt;""),"Unexpected: channel present but no reminder sent",IF(AND(N813="Yes",O813=""),"Missing channel for sent reminder","OK"))</f>
        <v>OK</v>
      </c>
    </row>
    <row r="814" customFormat="false" ht="15" hidden="false" customHeight="false" outlineLevel="0" collapsed="false">
      <c r="A814" s="7" t="s">
        <v>1539</v>
      </c>
      <c r="B814" s="7" t="s">
        <v>1540</v>
      </c>
      <c r="C814" s="7" t="s">
        <v>47</v>
      </c>
      <c r="D814" s="7" t="n">
        <v>49</v>
      </c>
      <c r="E814" s="7" t="s">
        <v>56</v>
      </c>
      <c r="F814" s="7" t="s">
        <v>57</v>
      </c>
      <c r="G814" s="8" t="n">
        <v>46013</v>
      </c>
      <c r="H814" s="8" t="n">
        <v>46031</v>
      </c>
      <c r="I814" s="7" t="s">
        <v>50</v>
      </c>
      <c r="J814" s="7" t="s">
        <v>51</v>
      </c>
      <c r="K814" s="7" t="n">
        <v>18</v>
      </c>
      <c r="L814" s="7" t="n">
        <v>5</v>
      </c>
      <c r="M814" s="7" t="n">
        <v>0</v>
      </c>
      <c r="N814" s="7" t="s">
        <v>71</v>
      </c>
      <c r="O814" s="7"/>
      <c r="P814" s="7" t="n">
        <v>10.3</v>
      </c>
      <c r="Q814" s="7" t="n">
        <v>18</v>
      </c>
      <c r="R814" s="7" t="s">
        <v>53</v>
      </c>
      <c r="S814" s="7"/>
      <c r="T814" s="7"/>
      <c r="U814" s="7" t="str">
        <f aca="false">IF(COUNTIF($A$2:$A$5001,A814)&gt;1,"Duplicate","Unique")</f>
        <v>Unique</v>
      </c>
      <c r="V814" s="7" t="str">
        <f aca="false">IF(COUNTIFS($B$2:$B$5001,B814,$H$2:$H$5001,H814,$J$2:$J$5001,J814)&gt;1,"Possible Duplicate Booking","Unique")</f>
        <v>Unique</v>
      </c>
      <c r="W814" s="7" t="str">
        <f aca="false">IF((H814-G814)&lt;&gt;K814,"Mismatch","OK")</f>
        <v>OK</v>
      </c>
      <c r="X814" s="7" t="str">
        <f aca="false">IF(TEXT(H814,"dddd")&lt;&gt;I814,"Mismatch","OK")</f>
        <v>OK</v>
      </c>
      <c r="Y814" s="7" t="str">
        <f aca="false">IF(AND(N814="No",O814&lt;&gt;""),"Unexpected: channel present but no reminder sent",IF(AND(N814="Yes",O814=""),"Missing channel for sent reminder","OK"))</f>
        <v>OK</v>
      </c>
    </row>
    <row r="815" customFormat="false" ht="15" hidden="false" customHeight="false" outlineLevel="0" collapsed="false">
      <c r="A815" s="9" t="s">
        <v>1541</v>
      </c>
      <c r="B815" s="9" t="s">
        <v>693</v>
      </c>
      <c r="C815" s="9" t="s">
        <v>37</v>
      </c>
      <c r="D815" s="9" t="n">
        <v>40</v>
      </c>
      <c r="E815" s="9" t="s">
        <v>38</v>
      </c>
      <c r="F815" s="9" t="s">
        <v>57</v>
      </c>
      <c r="G815" s="10" t="n">
        <v>45754</v>
      </c>
      <c r="H815" s="10" t="n">
        <v>45813</v>
      </c>
      <c r="I815" s="9" t="s">
        <v>62</v>
      </c>
      <c r="J815" s="9" t="s">
        <v>41</v>
      </c>
      <c r="K815" s="9" t="n">
        <v>59</v>
      </c>
      <c r="L815" s="9" t="n">
        <v>2</v>
      </c>
      <c r="M815" s="9" t="n">
        <v>1</v>
      </c>
      <c r="N815" s="9" t="s">
        <v>71</v>
      </c>
      <c r="O815" s="9"/>
      <c r="P815" s="9" t="n">
        <v>0.6</v>
      </c>
      <c r="Q815" s="9" t="n">
        <v>2</v>
      </c>
      <c r="R815" s="9" t="s">
        <v>87</v>
      </c>
      <c r="S815" s="9"/>
      <c r="T815" s="9"/>
      <c r="U815" s="9" t="str">
        <f aca="false">IF(COUNTIF($A$2:$A$5001,A815)&gt;1,"Duplicate","Unique")</f>
        <v>Unique</v>
      </c>
      <c r="V815" s="9" t="str">
        <f aca="false">IF(COUNTIFS($B$2:$B$5001,B815,$H$2:$H$5001,H815,$J$2:$J$5001,J815)&gt;1,"Possible Duplicate Booking","Unique")</f>
        <v>Unique</v>
      </c>
      <c r="W815" s="9" t="str">
        <f aca="false">IF((H815-G815)&lt;&gt;K815,"Mismatch","OK")</f>
        <v>OK</v>
      </c>
      <c r="X815" s="9" t="str">
        <f aca="false">IF(TEXT(H815,"dddd")&lt;&gt;I815,"Mismatch","OK")</f>
        <v>OK</v>
      </c>
      <c r="Y815" s="9" t="str">
        <f aca="false">IF(AND(N815="No",O815&lt;&gt;""),"Unexpected: channel present but no reminder sent",IF(AND(N815="Yes",O815=""),"Missing channel for sent reminder","OK"))</f>
        <v>OK</v>
      </c>
    </row>
    <row r="816" customFormat="false" ht="15" hidden="false" customHeight="false" outlineLevel="0" collapsed="false">
      <c r="A816" s="7" t="s">
        <v>1542</v>
      </c>
      <c r="B816" s="7" t="s">
        <v>383</v>
      </c>
      <c r="C816" s="7" t="s">
        <v>37</v>
      </c>
      <c r="D816" s="7" t="n">
        <v>28</v>
      </c>
      <c r="E816" s="7" t="s">
        <v>48</v>
      </c>
      <c r="F816" s="7" t="s">
        <v>57</v>
      </c>
      <c r="G816" s="8" t="n">
        <v>46046</v>
      </c>
      <c r="H816" s="8" t="n">
        <v>46082</v>
      </c>
      <c r="I816" s="7" t="s">
        <v>75</v>
      </c>
      <c r="J816" s="7" t="s">
        <v>51</v>
      </c>
      <c r="K816" s="7" t="n">
        <v>36</v>
      </c>
      <c r="L816" s="7" t="n">
        <v>3</v>
      </c>
      <c r="M816" s="7" t="n">
        <v>0</v>
      </c>
      <c r="N816" s="7" t="s">
        <v>42</v>
      </c>
      <c r="O816" s="7" t="s">
        <v>52</v>
      </c>
      <c r="P816" s="7" t="n">
        <v>4.5</v>
      </c>
      <c r="Q816" s="7" t="n">
        <v>15</v>
      </c>
      <c r="R816" s="7" t="s">
        <v>44</v>
      </c>
      <c r="S816" s="7"/>
      <c r="T816" s="7"/>
      <c r="U816" s="7" t="str">
        <f aca="false">IF(COUNTIF($A$2:$A$5001,A816)&gt;1,"Duplicate","Unique")</f>
        <v>Unique</v>
      </c>
      <c r="V816" s="7" t="str">
        <f aca="false">IF(COUNTIFS($B$2:$B$5001,B816,$H$2:$H$5001,H816,$J$2:$J$5001,J816)&gt;1,"Possible Duplicate Booking","Unique")</f>
        <v>Unique</v>
      </c>
      <c r="W816" s="7" t="str">
        <f aca="false">IF((H816-G816)&lt;&gt;K816,"Mismatch","OK")</f>
        <v>OK</v>
      </c>
      <c r="X816" s="7" t="str">
        <f aca="false">IF(TEXT(H816,"dddd")&lt;&gt;I816,"Mismatch","OK")</f>
        <v>OK</v>
      </c>
      <c r="Y816" s="7" t="str">
        <f aca="false">IF(AND(N816="No",O816&lt;&gt;""),"Unexpected: channel present but no reminder sent",IF(AND(N816="Yes",O816=""),"Missing channel for sent reminder","OK"))</f>
        <v>OK</v>
      </c>
    </row>
    <row r="817" customFormat="false" ht="15" hidden="false" customHeight="false" outlineLevel="0" collapsed="false">
      <c r="A817" s="9" t="s">
        <v>1543</v>
      </c>
      <c r="B817" s="9" t="s">
        <v>370</v>
      </c>
      <c r="C817" s="9" t="s">
        <v>47</v>
      </c>
      <c r="D817" s="9" t="n">
        <v>28</v>
      </c>
      <c r="E817" s="9" t="s">
        <v>48</v>
      </c>
      <c r="F817" s="9" t="s">
        <v>39</v>
      </c>
      <c r="G817" s="10" t="n">
        <v>46111</v>
      </c>
      <c r="H817" s="10" t="n">
        <v>46114</v>
      </c>
      <c r="I817" s="9" t="s">
        <v>62</v>
      </c>
      <c r="J817" s="9" t="s">
        <v>51</v>
      </c>
      <c r="K817" s="9" t="n">
        <v>3</v>
      </c>
      <c r="L817" s="9" t="n">
        <v>6</v>
      </c>
      <c r="M817" s="9" t="n">
        <v>0</v>
      </c>
      <c r="N817" s="9" t="s">
        <v>42</v>
      </c>
      <c r="O817" s="9" t="s">
        <v>52</v>
      </c>
      <c r="P817" s="9" t="n">
        <v>5.8</v>
      </c>
      <c r="Q817" s="9" t="n">
        <v>10</v>
      </c>
      <c r="R817" s="9" t="s">
        <v>53</v>
      </c>
      <c r="S817" s="9"/>
      <c r="T817" s="9"/>
      <c r="U817" s="9" t="str">
        <f aca="false">IF(COUNTIF($A$2:$A$5001,A817)&gt;1,"Duplicate","Unique")</f>
        <v>Unique</v>
      </c>
      <c r="V817" s="9" t="str">
        <f aca="false">IF(COUNTIFS($B$2:$B$5001,B817,$H$2:$H$5001,H817,$J$2:$J$5001,J817)&gt;1,"Possible Duplicate Booking","Unique")</f>
        <v>Unique</v>
      </c>
      <c r="W817" s="9" t="str">
        <f aca="false">IF((H817-G817)&lt;&gt;K817,"Mismatch","OK")</f>
        <v>OK</v>
      </c>
      <c r="X817" s="9" t="str">
        <f aca="false">IF(TEXT(H817,"dddd")&lt;&gt;I817,"Mismatch","OK")</f>
        <v>OK</v>
      </c>
      <c r="Y817" s="9" t="str">
        <f aca="false">IF(AND(N817="No",O817&lt;&gt;""),"Unexpected: channel present but no reminder sent",IF(AND(N817="Yes",O817=""),"Missing channel for sent reminder","OK"))</f>
        <v>OK</v>
      </c>
    </row>
    <row r="818" customFormat="false" ht="15" hidden="false" customHeight="false" outlineLevel="0" collapsed="false">
      <c r="A818" s="7" t="s">
        <v>1544</v>
      </c>
      <c r="B818" s="7" t="s">
        <v>1545</v>
      </c>
      <c r="C818" s="7" t="s">
        <v>37</v>
      </c>
      <c r="D818" s="7" t="n">
        <v>65</v>
      </c>
      <c r="E818" s="7" t="s">
        <v>70</v>
      </c>
      <c r="F818" s="7" t="s">
        <v>74</v>
      </c>
      <c r="G818" s="8" t="n">
        <v>45657</v>
      </c>
      <c r="H818" s="8" t="n">
        <v>45681</v>
      </c>
      <c r="I818" s="7" t="s">
        <v>50</v>
      </c>
      <c r="J818" s="7" t="s">
        <v>51</v>
      </c>
      <c r="K818" s="7" t="n">
        <v>24</v>
      </c>
      <c r="L818" s="7" t="n">
        <v>4</v>
      </c>
      <c r="M818" s="7" t="n">
        <v>3</v>
      </c>
      <c r="N818" s="7" t="s">
        <v>71</v>
      </c>
      <c r="O818" s="7"/>
      <c r="P818" s="7" t="n">
        <v>29.1</v>
      </c>
      <c r="Q818" s="7" t="n">
        <v>30</v>
      </c>
      <c r="R818" s="7" t="s">
        <v>44</v>
      </c>
      <c r="S818" s="7"/>
      <c r="T818" s="7"/>
      <c r="U818" s="7" t="str">
        <f aca="false">IF(COUNTIF($A$2:$A$5001,A818)&gt;1,"Duplicate","Unique")</f>
        <v>Unique</v>
      </c>
      <c r="V818" s="7" t="str">
        <f aca="false">IF(COUNTIFS($B$2:$B$5001,B818,$H$2:$H$5001,H818,$J$2:$J$5001,J818)&gt;1,"Possible Duplicate Booking","Unique")</f>
        <v>Unique</v>
      </c>
      <c r="W818" s="7" t="str">
        <f aca="false">IF((H818-G818)&lt;&gt;K818,"Mismatch","OK")</f>
        <v>OK</v>
      </c>
      <c r="X818" s="7" t="str">
        <f aca="false">IF(TEXT(H818,"dddd")&lt;&gt;I818,"Mismatch","OK")</f>
        <v>OK</v>
      </c>
      <c r="Y818" s="7" t="str">
        <f aca="false">IF(AND(N818="No",O818&lt;&gt;""),"Unexpected: channel present but no reminder sent",IF(AND(N818="Yes",O818=""),"Missing channel for sent reminder","OK"))</f>
        <v>OK</v>
      </c>
    </row>
    <row r="819" customFormat="false" ht="15" hidden="false" customHeight="false" outlineLevel="0" collapsed="false">
      <c r="A819" s="9" t="s">
        <v>1546</v>
      </c>
      <c r="B819" s="9" t="s">
        <v>1547</v>
      </c>
      <c r="C819" s="9" t="s">
        <v>47</v>
      </c>
      <c r="D819" s="9" t="n">
        <v>32</v>
      </c>
      <c r="E819" s="9" t="s">
        <v>48</v>
      </c>
      <c r="F819" s="9" t="s">
        <v>49</v>
      </c>
      <c r="G819" s="10" t="n">
        <v>45660</v>
      </c>
      <c r="H819" s="10" t="n">
        <v>45716</v>
      </c>
      <c r="I819" s="9" t="s">
        <v>50</v>
      </c>
      <c r="J819" s="9" t="s">
        <v>51</v>
      </c>
      <c r="K819" s="9" t="n">
        <v>56</v>
      </c>
      <c r="L819" s="9" t="n">
        <v>3</v>
      </c>
      <c r="M819" s="9" t="n">
        <v>0</v>
      </c>
      <c r="N819" s="9" t="s">
        <v>42</v>
      </c>
      <c r="O819" s="9" t="s">
        <v>52</v>
      </c>
      <c r="P819" s="9" t="n">
        <v>6.1</v>
      </c>
      <c r="Q819" s="9" t="n">
        <v>35</v>
      </c>
      <c r="R819" s="9" t="s">
        <v>44</v>
      </c>
      <c r="S819" s="9"/>
      <c r="T819" s="9"/>
      <c r="U819" s="9" t="str">
        <f aca="false">IF(COUNTIF($A$2:$A$5001,A819)&gt;1,"Duplicate","Unique")</f>
        <v>Unique</v>
      </c>
      <c r="V819" s="9" t="str">
        <f aca="false">IF(COUNTIFS($B$2:$B$5001,B819,$H$2:$H$5001,H819,$J$2:$J$5001,J819)&gt;1,"Possible Duplicate Booking","Unique")</f>
        <v>Unique</v>
      </c>
      <c r="W819" s="9" t="str">
        <f aca="false">IF((H819-G819)&lt;&gt;K819,"Mismatch","OK")</f>
        <v>OK</v>
      </c>
      <c r="X819" s="9" t="str">
        <f aca="false">IF(TEXT(H819,"dddd")&lt;&gt;I819,"Mismatch","OK")</f>
        <v>OK</v>
      </c>
      <c r="Y819" s="9" t="str">
        <f aca="false">IF(AND(N819="No",O819&lt;&gt;""),"Unexpected: channel present but no reminder sent",IF(AND(N819="Yes",O819=""),"Missing channel for sent reminder","OK"))</f>
        <v>OK</v>
      </c>
    </row>
    <row r="820" customFormat="false" ht="15" hidden="false" customHeight="false" outlineLevel="0" collapsed="false">
      <c r="A820" s="7" t="s">
        <v>1548</v>
      </c>
      <c r="B820" s="7" t="s">
        <v>828</v>
      </c>
      <c r="C820" s="7" t="s">
        <v>37</v>
      </c>
      <c r="D820" s="7" t="n">
        <v>49</v>
      </c>
      <c r="E820" s="7" t="s">
        <v>56</v>
      </c>
      <c r="F820" s="7" t="s">
        <v>57</v>
      </c>
      <c r="G820" s="8" t="n">
        <v>45998</v>
      </c>
      <c r="H820" s="8" t="n">
        <v>46021</v>
      </c>
      <c r="I820" s="7" t="s">
        <v>40</v>
      </c>
      <c r="J820" s="7" t="s">
        <v>41</v>
      </c>
      <c r="K820" s="7" t="n">
        <v>23</v>
      </c>
      <c r="L820" s="7" t="n">
        <v>2</v>
      </c>
      <c r="M820" s="7" t="n">
        <v>0</v>
      </c>
      <c r="N820" s="7" t="s">
        <v>42</v>
      </c>
      <c r="O820" s="7" t="s">
        <v>52</v>
      </c>
      <c r="P820" s="7" t="n">
        <v>6.4</v>
      </c>
      <c r="Q820" s="7" t="n">
        <v>49</v>
      </c>
      <c r="R820" s="7" t="s">
        <v>53</v>
      </c>
      <c r="S820" s="7"/>
      <c r="T820" s="7"/>
      <c r="U820" s="7" t="str">
        <f aca="false">IF(COUNTIF($A$2:$A$5001,A820)&gt;1,"Duplicate","Unique")</f>
        <v>Unique</v>
      </c>
      <c r="V820" s="7" t="str">
        <f aca="false">IF(COUNTIFS($B$2:$B$5001,B820,$H$2:$H$5001,H820,$J$2:$J$5001,J820)&gt;1,"Possible Duplicate Booking","Unique")</f>
        <v>Unique</v>
      </c>
      <c r="W820" s="7" t="str">
        <f aca="false">IF((H820-G820)&lt;&gt;K820,"Mismatch","OK")</f>
        <v>OK</v>
      </c>
      <c r="X820" s="7" t="str">
        <f aca="false">IF(TEXT(H820,"dddd")&lt;&gt;I820,"Mismatch","OK")</f>
        <v>OK</v>
      </c>
      <c r="Y820" s="7" t="str">
        <f aca="false">IF(AND(N820="No",O820&lt;&gt;""),"Unexpected: channel present but no reminder sent",IF(AND(N820="Yes",O820=""),"Missing channel for sent reminder","OK"))</f>
        <v>OK</v>
      </c>
    </row>
    <row r="821" customFormat="false" ht="15" hidden="false" customHeight="false" outlineLevel="0" collapsed="false">
      <c r="A821" s="9" t="s">
        <v>1549</v>
      </c>
      <c r="B821" s="9" t="s">
        <v>1550</v>
      </c>
      <c r="C821" s="9" t="s">
        <v>37</v>
      </c>
      <c r="D821" s="9" t="n">
        <v>69</v>
      </c>
      <c r="E821" s="9" t="s">
        <v>70</v>
      </c>
      <c r="F821" s="9" t="s">
        <v>39</v>
      </c>
      <c r="G821" s="10" t="n">
        <v>46169</v>
      </c>
      <c r="H821" s="10" t="n">
        <v>46203</v>
      </c>
      <c r="I821" s="9" t="s">
        <v>40</v>
      </c>
      <c r="J821" s="9" t="s">
        <v>51</v>
      </c>
      <c r="K821" s="9" t="n">
        <v>34</v>
      </c>
      <c r="L821" s="9" t="n">
        <v>1</v>
      </c>
      <c r="M821" s="9" t="n">
        <v>0</v>
      </c>
      <c r="N821" s="9" t="s">
        <v>42</v>
      </c>
      <c r="O821" s="9" t="s">
        <v>52</v>
      </c>
      <c r="P821" s="9" t="n">
        <v>2.1</v>
      </c>
      <c r="Q821" s="9" t="n">
        <v>58</v>
      </c>
      <c r="R821" s="9" t="s">
        <v>44</v>
      </c>
      <c r="S821" s="9"/>
      <c r="T821" s="9"/>
      <c r="U821" s="9" t="str">
        <f aca="false">IF(COUNTIF($A$2:$A$5001,A821)&gt;1,"Duplicate","Unique")</f>
        <v>Unique</v>
      </c>
      <c r="V821" s="9" t="str">
        <f aca="false">IF(COUNTIFS($B$2:$B$5001,B821,$H$2:$H$5001,H821,$J$2:$J$5001,J821)&gt;1,"Possible Duplicate Booking","Unique")</f>
        <v>Unique</v>
      </c>
      <c r="W821" s="9" t="str">
        <f aca="false">IF((H821-G821)&lt;&gt;K821,"Mismatch","OK")</f>
        <v>OK</v>
      </c>
      <c r="X821" s="9" t="str">
        <f aca="false">IF(TEXT(H821,"dddd")&lt;&gt;I821,"Mismatch","OK")</f>
        <v>OK</v>
      </c>
      <c r="Y821" s="9" t="str">
        <f aca="false">IF(AND(N821="No",O821&lt;&gt;""),"Unexpected: channel present but no reminder sent",IF(AND(N821="Yes",O821=""),"Missing channel for sent reminder","OK"))</f>
        <v>OK</v>
      </c>
    </row>
    <row r="822" customFormat="false" ht="15" hidden="false" customHeight="false" outlineLevel="0" collapsed="false">
      <c r="A822" s="7" t="s">
        <v>1551</v>
      </c>
      <c r="B822" s="7" t="s">
        <v>1552</v>
      </c>
      <c r="C822" s="7" t="s">
        <v>47</v>
      </c>
      <c r="D822" s="7" t="n">
        <v>74</v>
      </c>
      <c r="E822" s="7" t="s">
        <v>70</v>
      </c>
      <c r="F822" s="7" t="s">
        <v>57</v>
      </c>
      <c r="G822" s="8" t="n">
        <v>45634</v>
      </c>
      <c r="H822" s="8" t="n">
        <v>45671</v>
      </c>
      <c r="I822" s="7" t="s">
        <v>40</v>
      </c>
      <c r="J822" s="7" t="s">
        <v>51</v>
      </c>
      <c r="K822" s="7" t="n">
        <v>37</v>
      </c>
      <c r="L822" s="7" t="n">
        <v>0</v>
      </c>
      <c r="M822" s="7" t="n">
        <v>0</v>
      </c>
      <c r="N822" s="7" t="s">
        <v>42</v>
      </c>
      <c r="O822" s="7" t="s">
        <v>43</v>
      </c>
      <c r="P822" s="7" t="n">
        <v>8.7</v>
      </c>
      <c r="Q822" s="7" t="n">
        <v>27</v>
      </c>
      <c r="R822" s="7" t="s">
        <v>44</v>
      </c>
      <c r="S822" s="7"/>
      <c r="T822" s="7"/>
      <c r="U822" s="7" t="str">
        <f aca="false">IF(COUNTIF($A$2:$A$5001,A822)&gt;1,"Duplicate","Unique")</f>
        <v>Unique</v>
      </c>
      <c r="V822" s="7" t="str">
        <f aca="false">IF(COUNTIFS($B$2:$B$5001,B822,$H$2:$H$5001,H822,$J$2:$J$5001,J822)&gt;1,"Possible Duplicate Booking","Unique")</f>
        <v>Unique</v>
      </c>
      <c r="W822" s="7" t="str">
        <f aca="false">IF((H822-G822)&lt;&gt;K822,"Mismatch","OK")</f>
        <v>OK</v>
      </c>
      <c r="X822" s="7" t="str">
        <f aca="false">IF(TEXT(H822,"dddd")&lt;&gt;I822,"Mismatch","OK")</f>
        <v>OK</v>
      </c>
      <c r="Y822" s="7" t="str">
        <f aca="false">IF(AND(N822="No",O822&lt;&gt;""),"Unexpected: channel present but no reminder sent",IF(AND(N822="Yes",O822=""),"Missing channel for sent reminder","OK"))</f>
        <v>OK</v>
      </c>
    </row>
    <row r="823" customFormat="false" ht="15" hidden="false" customHeight="false" outlineLevel="0" collapsed="false">
      <c r="A823" s="9" t="s">
        <v>1553</v>
      </c>
      <c r="B823" s="9" t="s">
        <v>1554</v>
      </c>
      <c r="C823" s="9" t="s">
        <v>47</v>
      </c>
      <c r="D823" s="9" t="n">
        <v>34</v>
      </c>
      <c r="E823" s="9" t="s">
        <v>48</v>
      </c>
      <c r="F823" s="9" t="s">
        <v>39</v>
      </c>
      <c r="G823" s="10" t="n">
        <v>45979</v>
      </c>
      <c r="H823" s="10" t="n">
        <v>46021</v>
      </c>
      <c r="I823" s="9" t="s">
        <v>40</v>
      </c>
      <c r="J823" s="9" t="s">
        <v>51</v>
      </c>
      <c r="K823" s="9" t="n">
        <v>42</v>
      </c>
      <c r="L823" s="9" t="n">
        <v>3</v>
      </c>
      <c r="M823" s="9" t="n">
        <v>0</v>
      </c>
      <c r="N823" s="9" t="s">
        <v>42</v>
      </c>
      <c r="O823" s="9" t="s">
        <v>52</v>
      </c>
      <c r="P823" s="9" t="n">
        <v>13.9</v>
      </c>
      <c r="Q823" s="9" t="n">
        <v>18</v>
      </c>
      <c r="R823" s="9" t="s">
        <v>44</v>
      </c>
      <c r="S823" s="9"/>
      <c r="T823" s="9"/>
      <c r="U823" s="9" t="str">
        <f aca="false">IF(COUNTIF($A$2:$A$5001,A823)&gt;1,"Duplicate","Unique")</f>
        <v>Unique</v>
      </c>
      <c r="V823" s="9" t="str">
        <f aca="false">IF(COUNTIFS($B$2:$B$5001,B823,$H$2:$H$5001,H823,$J$2:$J$5001,J823)&gt;1,"Possible Duplicate Booking","Unique")</f>
        <v>Unique</v>
      </c>
      <c r="W823" s="9" t="str">
        <f aca="false">IF((H823-G823)&lt;&gt;K823,"Mismatch","OK")</f>
        <v>OK</v>
      </c>
      <c r="X823" s="9" t="str">
        <f aca="false">IF(TEXT(H823,"dddd")&lt;&gt;I823,"Mismatch","OK")</f>
        <v>OK</v>
      </c>
      <c r="Y823" s="9" t="str">
        <f aca="false">IF(AND(N823="No",O823&lt;&gt;""),"Unexpected: channel present but no reminder sent",IF(AND(N823="Yes",O823=""),"Missing channel for sent reminder","OK"))</f>
        <v>OK</v>
      </c>
    </row>
    <row r="824" customFormat="false" ht="15" hidden="false" customHeight="false" outlineLevel="0" collapsed="false">
      <c r="A824" s="7" t="s">
        <v>1555</v>
      </c>
      <c r="B824" s="7" t="s">
        <v>1556</v>
      </c>
      <c r="C824" s="7" t="s">
        <v>47</v>
      </c>
      <c r="D824" s="7" t="n">
        <v>24</v>
      </c>
      <c r="E824" s="7" t="s">
        <v>82</v>
      </c>
      <c r="F824" s="7" t="s">
        <v>57</v>
      </c>
      <c r="G824" s="8" t="n">
        <v>45679</v>
      </c>
      <c r="H824" s="8" t="n">
        <v>45732</v>
      </c>
      <c r="I824" s="7" t="s">
        <v>75</v>
      </c>
      <c r="J824" s="7" t="s">
        <v>41</v>
      </c>
      <c r="K824" s="7" t="n">
        <v>53</v>
      </c>
      <c r="L824" s="7" t="n">
        <v>3</v>
      </c>
      <c r="M824" s="7" t="n">
        <v>0</v>
      </c>
      <c r="N824" s="7" t="s">
        <v>71</v>
      </c>
      <c r="O824" s="7"/>
      <c r="P824" s="7" t="n">
        <v>8.3</v>
      </c>
      <c r="Q824" s="7" t="n">
        <v>20</v>
      </c>
      <c r="R824" s="7" t="s">
        <v>44</v>
      </c>
      <c r="S824" s="7"/>
      <c r="T824" s="7"/>
      <c r="U824" s="7" t="str">
        <f aca="false">IF(COUNTIF($A$2:$A$5001,A824)&gt;1,"Duplicate","Unique")</f>
        <v>Unique</v>
      </c>
      <c r="V824" s="7" t="str">
        <f aca="false">IF(COUNTIFS($B$2:$B$5001,B824,$H$2:$H$5001,H824,$J$2:$J$5001,J824)&gt;1,"Possible Duplicate Booking","Unique")</f>
        <v>Unique</v>
      </c>
      <c r="W824" s="7" t="str">
        <f aca="false">IF((H824-G824)&lt;&gt;K824,"Mismatch","OK")</f>
        <v>OK</v>
      </c>
      <c r="X824" s="7" t="str">
        <f aca="false">IF(TEXT(H824,"dddd")&lt;&gt;I824,"Mismatch","OK")</f>
        <v>OK</v>
      </c>
      <c r="Y824" s="7" t="str">
        <f aca="false">IF(AND(N824="No",O824&lt;&gt;""),"Unexpected: channel present but no reminder sent",IF(AND(N824="Yes",O824=""),"Missing channel for sent reminder","OK"))</f>
        <v>OK</v>
      </c>
    </row>
    <row r="825" customFormat="false" ht="15" hidden="false" customHeight="false" outlineLevel="0" collapsed="false">
      <c r="A825" s="9" t="s">
        <v>1557</v>
      </c>
      <c r="B825" s="9" t="s">
        <v>1558</v>
      </c>
      <c r="C825" s="9" t="s">
        <v>37</v>
      </c>
      <c r="D825" s="9" t="n">
        <v>66</v>
      </c>
      <c r="E825" s="9" t="s">
        <v>70</v>
      </c>
      <c r="F825" s="9" t="s">
        <v>74</v>
      </c>
      <c r="G825" s="10" t="n">
        <v>46003</v>
      </c>
      <c r="H825" s="10" t="n">
        <v>46012</v>
      </c>
      <c r="I825" s="9" t="s">
        <v>75</v>
      </c>
      <c r="J825" s="9" t="s">
        <v>63</v>
      </c>
      <c r="K825" s="9" t="n">
        <v>9</v>
      </c>
      <c r="L825" s="9" t="n">
        <v>2</v>
      </c>
      <c r="M825" s="9" t="n">
        <v>0</v>
      </c>
      <c r="N825" s="9" t="s">
        <v>42</v>
      </c>
      <c r="O825" s="9" t="s">
        <v>67</v>
      </c>
      <c r="P825" s="9" t="n">
        <v>6</v>
      </c>
      <c r="Q825" s="9" t="n">
        <v>16</v>
      </c>
      <c r="R825" s="9" t="s">
        <v>44</v>
      </c>
      <c r="S825" s="9"/>
      <c r="T825" s="9"/>
      <c r="U825" s="9" t="str">
        <f aca="false">IF(COUNTIF($A$2:$A$5001,A825)&gt;1,"Duplicate","Unique")</f>
        <v>Unique</v>
      </c>
      <c r="V825" s="9" t="str">
        <f aca="false">IF(COUNTIFS($B$2:$B$5001,B825,$H$2:$H$5001,H825,$J$2:$J$5001,J825)&gt;1,"Possible Duplicate Booking","Unique")</f>
        <v>Unique</v>
      </c>
      <c r="W825" s="9" t="str">
        <f aca="false">IF((H825-G825)&lt;&gt;K825,"Mismatch","OK")</f>
        <v>OK</v>
      </c>
      <c r="X825" s="9" t="str">
        <f aca="false">IF(TEXT(H825,"dddd")&lt;&gt;I825,"Mismatch","OK")</f>
        <v>OK</v>
      </c>
      <c r="Y825" s="9" t="str">
        <f aca="false">IF(AND(N825="No",O825&lt;&gt;""),"Unexpected: channel present but no reminder sent",IF(AND(N825="Yes",O825=""),"Missing channel for sent reminder","OK"))</f>
        <v>OK</v>
      </c>
    </row>
    <row r="826" customFormat="false" ht="15" hidden="false" customHeight="false" outlineLevel="0" collapsed="false">
      <c r="A826" s="7" t="s">
        <v>1559</v>
      </c>
      <c r="B826" s="7" t="s">
        <v>1195</v>
      </c>
      <c r="C826" s="7" t="s">
        <v>37</v>
      </c>
      <c r="D826" s="7" t="n">
        <v>61</v>
      </c>
      <c r="E826" s="7" t="s">
        <v>61</v>
      </c>
      <c r="F826" s="7" t="s">
        <v>49</v>
      </c>
      <c r="G826" s="8" t="n">
        <v>45967</v>
      </c>
      <c r="H826" s="8" t="n">
        <v>45998</v>
      </c>
      <c r="I826" s="7" t="s">
        <v>75</v>
      </c>
      <c r="J826" s="7" t="s">
        <v>41</v>
      </c>
      <c r="K826" s="7" t="n">
        <v>31</v>
      </c>
      <c r="L826" s="7" t="n">
        <v>6</v>
      </c>
      <c r="M826" s="7" t="n">
        <v>1</v>
      </c>
      <c r="N826" s="7" t="s">
        <v>42</v>
      </c>
      <c r="O826" s="7" t="s">
        <v>43</v>
      </c>
      <c r="P826" s="7" t="n">
        <v>7.4</v>
      </c>
      <c r="Q826" s="7" t="n">
        <v>50</v>
      </c>
      <c r="R826" s="7" t="s">
        <v>44</v>
      </c>
      <c r="S826" s="7"/>
      <c r="T826" s="7"/>
      <c r="U826" s="7" t="str">
        <f aca="false">IF(COUNTIF($A$2:$A$5001,A826)&gt;1,"Duplicate","Unique")</f>
        <v>Unique</v>
      </c>
      <c r="V826" s="7" t="str">
        <f aca="false">IF(COUNTIFS($B$2:$B$5001,B826,$H$2:$H$5001,H826,$J$2:$J$5001,J826)&gt;1,"Possible Duplicate Booking","Unique")</f>
        <v>Unique</v>
      </c>
      <c r="W826" s="7" t="str">
        <f aca="false">IF((H826-G826)&lt;&gt;K826,"Mismatch","OK")</f>
        <v>OK</v>
      </c>
      <c r="X826" s="7" t="str">
        <f aca="false">IF(TEXT(H826,"dddd")&lt;&gt;I826,"Mismatch","OK")</f>
        <v>OK</v>
      </c>
      <c r="Y826" s="7" t="str">
        <f aca="false">IF(AND(N826="No",O826&lt;&gt;""),"Unexpected: channel present but no reminder sent",IF(AND(N826="Yes",O826=""),"Missing channel for sent reminder","OK"))</f>
        <v>OK</v>
      </c>
    </row>
    <row r="827" customFormat="false" ht="15" hidden="false" customHeight="false" outlineLevel="0" collapsed="false">
      <c r="A827" s="9" t="s">
        <v>1560</v>
      </c>
      <c r="B827" s="9" t="s">
        <v>1561</v>
      </c>
      <c r="C827" s="9" t="s">
        <v>47</v>
      </c>
      <c r="D827" s="9" t="n">
        <v>38</v>
      </c>
      <c r="E827" s="9" t="s">
        <v>38</v>
      </c>
      <c r="F827" s="9" t="s">
        <v>57</v>
      </c>
      <c r="G827" s="10" t="n">
        <v>45675</v>
      </c>
      <c r="H827" s="10" t="n">
        <v>45707</v>
      </c>
      <c r="I827" s="9" t="s">
        <v>58</v>
      </c>
      <c r="J827" s="9" t="s">
        <v>41</v>
      </c>
      <c r="K827" s="9" t="n">
        <v>32</v>
      </c>
      <c r="L827" s="9" t="n">
        <v>4</v>
      </c>
      <c r="M827" s="9" t="n">
        <v>0</v>
      </c>
      <c r="N827" s="9" t="s">
        <v>42</v>
      </c>
      <c r="O827" s="9" t="s">
        <v>52</v>
      </c>
      <c r="P827" s="9" t="n">
        <v>13.5</v>
      </c>
      <c r="Q827" s="9" t="n">
        <v>2</v>
      </c>
      <c r="R827" s="9" t="s">
        <v>44</v>
      </c>
      <c r="S827" s="9"/>
      <c r="T827" s="9"/>
      <c r="U827" s="9" t="str">
        <f aca="false">IF(COUNTIF($A$2:$A$5001,A827)&gt;1,"Duplicate","Unique")</f>
        <v>Unique</v>
      </c>
      <c r="V827" s="9" t="str">
        <f aca="false">IF(COUNTIFS($B$2:$B$5001,B827,$H$2:$H$5001,H827,$J$2:$J$5001,J827)&gt;1,"Possible Duplicate Booking","Unique")</f>
        <v>Unique</v>
      </c>
      <c r="W827" s="9" t="str">
        <f aca="false">IF((H827-G827)&lt;&gt;K827,"Mismatch","OK")</f>
        <v>OK</v>
      </c>
      <c r="X827" s="9" t="str">
        <f aca="false">IF(TEXT(H827,"dddd")&lt;&gt;I827,"Mismatch","OK")</f>
        <v>OK</v>
      </c>
      <c r="Y827" s="9" t="str">
        <f aca="false">IF(AND(N827="No",O827&lt;&gt;""),"Unexpected: channel present but no reminder sent",IF(AND(N827="Yes",O827=""),"Missing channel for sent reminder","OK"))</f>
        <v>OK</v>
      </c>
    </row>
    <row r="828" customFormat="false" ht="15" hidden="false" customHeight="false" outlineLevel="0" collapsed="false">
      <c r="A828" s="7" t="s">
        <v>1562</v>
      </c>
      <c r="B828" s="7" t="s">
        <v>1563</v>
      </c>
      <c r="C828" s="7" t="s">
        <v>37</v>
      </c>
      <c r="D828" s="7" t="n">
        <v>55</v>
      </c>
      <c r="E828" s="7" t="s">
        <v>61</v>
      </c>
      <c r="F828" s="7" t="s">
        <v>39</v>
      </c>
      <c r="G828" s="8" t="n">
        <v>46020</v>
      </c>
      <c r="H828" s="8" t="n">
        <v>46029</v>
      </c>
      <c r="I828" s="7" t="s">
        <v>58</v>
      </c>
      <c r="J828" s="7" t="s">
        <v>63</v>
      </c>
      <c r="K828" s="7" t="n">
        <v>9</v>
      </c>
      <c r="L828" s="7" t="n">
        <v>2</v>
      </c>
      <c r="M828" s="7" t="n">
        <v>0</v>
      </c>
      <c r="N828" s="7" t="s">
        <v>71</v>
      </c>
      <c r="O828" s="7"/>
      <c r="P828" s="7" t="n">
        <v>6.9</v>
      </c>
      <c r="Q828" s="7" t="n">
        <v>42</v>
      </c>
      <c r="R828" s="7" t="s">
        <v>53</v>
      </c>
      <c r="S828" s="7"/>
      <c r="T828" s="7"/>
      <c r="U828" s="7" t="str">
        <f aca="false">IF(COUNTIF($A$2:$A$5001,A828)&gt;1,"Duplicate","Unique")</f>
        <v>Unique</v>
      </c>
      <c r="V828" s="7" t="str">
        <f aca="false">IF(COUNTIFS($B$2:$B$5001,B828,$H$2:$H$5001,H828,$J$2:$J$5001,J828)&gt;1,"Possible Duplicate Booking","Unique")</f>
        <v>Unique</v>
      </c>
      <c r="W828" s="7" t="str">
        <f aca="false">IF((H828-G828)&lt;&gt;K828,"Mismatch","OK")</f>
        <v>OK</v>
      </c>
      <c r="X828" s="7" t="str">
        <f aca="false">IF(TEXT(H828,"dddd")&lt;&gt;I828,"Mismatch","OK")</f>
        <v>OK</v>
      </c>
      <c r="Y828" s="7" t="str">
        <f aca="false">IF(AND(N828="No",O828&lt;&gt;""),"Unexpected: channel present but no reminder sent",IF(AND(N828="Yes",O828=""),"Missing channel for sent reminder","OK"))</f>
        <v>OK</v>
      </c>
    </row>
    <row r="829" customFormat="false" ht="15" hidden="false" customHeight="false" outlineLevel="0" collapsed="false">
      <c r="A829" s="9" t="s">
        <v>1564</v>
      </c>
      <c r="B829" s="9" t="s">
        <v>1565</v>
      </c>
      <c r="C829" s="9" t="s">
        <v>47</v>
      </c>
      <c r="D829" s="9" t="n">
        <v>29</v>
      </c>
      <c r="E829" s="9" t="s">
        <v>48</v>
      </c>
      <c r="F829" s="9" t="s">
        <v>39</v>
      </c>
      <c r="G829" s="10" t="n">
        <v>46106</v>
      </c>
      <c r="H829" s="10" t="n">
        <v>46147</v>
      </c>
      <c r="I829" s="9" t="s">
        <v>40</v>
      </c>
      <c r="J829" s="9" t="s">
        <v>51</v>
      </c>
      <c r="K829" s="9" t="n">
        <v>41</v>
      </c>
      <c r="L829" s="9" t="n">
        <v>4</v>
      </c>
      <c r="M829" s="9" t="n">
        <v>2</v>
      </c>
      <c r="N829" s="9" t="s">
        <v>42</v>
      </c>
      <c r="O829" s="9" t="s">
        <v>52</v>
      </c>
      <c r="P829" s="9" t="n">
        <v>7</v>
      </c>
      <c r="Q829" s="9" t="n">
        <v>14</v>
      </c>
      <c r="R829" s="9" t="s">
        <v>44</v>
      </c>
      <c r="S829" s="9"/>
      <c r="T829" s="9"/>
      <c r="U829" s="9" t="str">
        <f aca="false">IF(COUNTIF($A$2:$A$5001,A829)&gt;1,"Duplicate","Unique")</f>
        <v>Unique</v>
      </c>
      <c r="V829" s="9" t="str">
        <f aca="false">IF(COUNTIFS($B$2:$B$5001,B829,$H$2:$H$5001,H829,$J$2:$J$5001,J829)&gt;1,"Possible Duplicate Booking","Unique")</f>
        <v>Unique</v>
      </c>
      <c r="W829" s="9" t="str">
        <f aca="false">IF((H829-G829)&lt;&gt;K829,"Mismatch","OK")</f>
        <v>OK</v>
      </c>
      <c r="X829" s="9" t="str">
        <f aca="false">IF(TEXT(H829,"dddd")&lt;&gt;I829,"Mismatch","OK")</f>
        <v>OK</v>
      </c>
      <c r="Y829" s="9" t="str">
        <f aca="false">IF(AND(N829="No",O829&lt;&gt;""),"Unexpected: channel present but no reminder sent",IF(AND(N829="Yes",O829=""),"Missing channel for sent reminder","OK"))</f>
        <v>OK</v>
      </c>
    </row>
    <row r="830" customFormat="false" ht="15" hidden="false" customHeight="false" outlineLevel="0" collapsed="false">
      <c r="A830" s="7" t="s">
        <v>1566</v>
      </c>
      <c r="B830" s="7" t="s">
        <v>1567</v>
      </c>
      <c r="C830" s="7" t="s">
        <v>37</v>
      </c>
      <c r="D830" s="7" t="n">
        <v>62</v>
      </c>
      <c r="E830" s="7" t="s">
        <v>61</v>
      </c>
      <c r="F830" s="7" t="s">
        <v>49</v>
      </c>
      <c r="G830" s="8" t="n">
        <v>46122</v>
      </c>
      <c r="H830" s="8" t="n">
        <v>46129</v>
      </c>
      <c r="I830" s="7" t="s">
        <v>50</v>
      </c>
      <c r="J830" s="7" t="s">
        <v>51</v>
      </c>
      <c r="K830" s="7" t="n">
        <v>7</v>
      </c>
      <c r="L830" s="7" t="n">
        <v>0</v>
      </c>
      <c r="M830" s="7" t="n">
        <v>0</v>
      </c>
      <c r="N830" s="7" t="s">
        <v>42</v>
      </c>
      <c r="O830" s="7" t="s">
        <v>52</v>
      </c>
      <c r="P830" s="7" t="n">
        <v>11.1</v>
      </c>
      <c r="Q830" s="7" t="n">
        <v>20</v>
      </c>
      <c r="R830" s="7" t="s">
        <v>44</v>
      </c>
      <c r="S830" s="7"/>
      <c r="T830" s="7"/>
      <c r="U830" s="7" t="str">
        <f aca="false">IF(COUNTIF($A$2:$A$5001,A830)&gt;1,"Duplicate","Unique")</f>
        <v>Unique</v>
      </c>
      <c r="V830" s="7" t="str">
        <f aca="false">IF(COUNTIFS($B$2:$B$5001,B830,$H$2:$H$5001,H830,$J$2:$J$5001,J830)&gt;1,"Possible Duplicate Booking","Unique")</f>
        <v>Unique</v>
      </c>
      <c r="W830" s="7" t="str">
        <f aca="false">IF((H830-G830)&lt;&gt;K830,"Mismatch","OK")</f>
        <v>OK</v>
      </c>
      <c r="X830" s="7" t="str">
        <f aca="false">IF(TEXT(H830,"dddd")&lt;&gt;I830,"Mismatch","OK")</f>
        <v>OK</v>
      </c>
      <c r="Y830" s="7" t="str">
        <f aca="false">IF(AND(N830="No",O830&lt;&gt;""),"Unexpected: channel present but no reminder sent",IF(AND(N830="Yes",O830=""),"Missing channel for sent reminder","OK"))</f>
        <v>OK</v>
      </c>
    </row>
    <row r="831" customFormat="false" ht="15" hidden="false" customHeight="false" outlineLevel="0" collapsed="false">
      <c r="A831" s="9" t="s">
        <v>1568</v>
      </c>
      <c r="B831" s="9" t="s">
        <v>1569</v>
      </c>
      <c r="C831" s="9" t="s">
        <v>37</v>
      </c>
      <c r="D831" s="9" t="n">
        <v>63</v>
      </c>
      <c r="E831" s="9" t="s">
        <v>61</v>
      </c>
      <c r="F831" s="9" t="s">
        <v>39</v>
      </c>
      <c r="G831" s="10" t="n">
        <v>45646</v>
      </c>
      <c r="H831" s="10" t="n">
        <v>45673</v>
      </c>
      <c r="I831" s="9" t="s">
        <v>62</v>
      </c>
      <c r="J831" s="9" t="s">
        <v>41</v>
      </c>
      <c r="K831" s="9" t="n">
        <v>27</v>
      </c>
      <c r="L831" s="9" t="n">
        <v>1</v>
      </c>
      <c r="M831" s="9" t="n">
        <v>1</v>
      </c>
      <c r="N831" s="9" t="s">
        <v>42</v>
      </c>
      <c r="O831" s="9" t="s">
        <v>52</v>
      </c>
      <c r="P831" s="9" t="n">
        <v>5.3</v>
      </c>
      <c r="Q831" s="9" t="n">
        <v>2</v>
      </c>
      <c r="R831" s="9" t="s">
        <v>53</v>
      </c>
      <c r="S831" s="9"/>
      <c r="T831" s="9"/>
      <c r="U831" s="9" t="str">
        <f aca="false">IF(COUNTIF($A$2:$A$5001,A831)&gt;1,"Duplicate","Unique")</f>
        <v>Unique</v>
      </c>
      <c r="V831" s="9" t="str">
        <f aca="false">IF(COUNTIFS($B$2:$B$5001,B831,$H$2:$H$5001,H831,$J$2:$J$5001,J831)&gt;1,"Possible Duplicate Booking","Unique")</f>
        <v>Unique</v>
      </c>
      <c r="W831" s="9" t="str">
        <f aca="false">IF((H831-G831)&lt;&gt;K831,"Mismatch","OK")</f>
        <v>OK</v>
      </c>
      <c r="X831" s="9" t="str">
        <f aca="false">IF(TEXT(H831,"dddd")&lt;&gt;I831,"Mismatch","OK")</f>
        <v>OK</v>
      </c>
      <c r="Y831" s="9" t="str">
        <f aca="false">IF(AND(N831="No",O831&lt;&gt;""),"Unexpected: channel present but no reminder sent",IF(AND(N831="Yes",O831=""),"Missing channel for sent reminder","OK"))</f>
        <v>OK</v>
      </c>
    </row>
    <row r="832" customFormat="false" ht="15" hidden="false" customHeight="false" outlineLevel="0" collapsed="false">
      <c r="A832" s="7" t="s">
        <v>1570</v>
      </c>
      <c r="B832" s="7" t="s">
        <v>1571</v>
      </c>
      <c r="C832" s="7" t="s">
        <v>37</v>
      </c>
      <c r="D832" s="7" t="n">
        <v>36</v>
      </c>
      <c r="E832" s="7" t="s">
        <v>38</v>
      </c>
      <c r="F832" s="7" t="s">
        <v>57</v>
      </c>
      <c r="G832" s="8" t="n">
        <v>45772</v>
      </c>
      <c r="H832" s="8" t="n">
        <v>45792</v>
      </c>
      <c r="I832" s="7" t="s">
        <v>62</v>
      </c>
      <c r="J832" s="7" t="s">
        <v>51</v>
      </c>
      <c r="K832" s="7" t="n">
        <v>20</v>
      </c>
      <c r="L832" s="7" t="n">
        <v>2</v>
      </c>
      <c r="M832" s="7" t="n">
        <v>1</v>
      </c>
      <c r="N832" s="7" t="s">
        <v>71</v>
      </c>
      <c r="O832" s="7"/>
      <c r="P832" s="7" t="n">
        <v>4.2</v>
      </c>
      <c r="Q832" s="7" t="n">
        <v>36</v>
      </c>
      <c r="R832" s="7" t="s">
        <v>53</v>
      </c>
      <c r="S832" s="7"/>
      <c r="T832" s="7"/>
      <c r="U832" s="7" t="str">
        <f aca="false">IF(COUNTIF($A$2:$A$5001,A832)&gt;1,"Duplicate","Unique")</f>
        <v>Unique</v>
      </c>
      <c r="V832" s="7" t="str">
        <f aca="false">IF(COUNTIFS($B$2:$B$5001,B832,$H$2:$H$5001,H832,$J$2:$J$5001,J832)&gt;1,"Possible Duplicate Booking","Unique")</f>
        <v>Unique</v>
      </c>
      <c r="W832" s="7" t="str">
        <f aca="false">IF((H832-G832)&lt;&gt;K832,"Mismatch","OK")</f>
        <v>OK</v>
      </c>
      <c r="X832" s="7" t="str">
        <f aca="false">IF(TEXT(H832,"dddd")&lt;&gt;I832,"Mismatch","OK")</f>
        <v>OK</v>
      </c>
      <c r="Y832" s="7" t="str">
        <f aca="false">IF(AND(N832="No",O832&lt;&gt;""),"Unexpected: channel present but no reminder sent",IF(AND(N832="Yes",O832=""),"Missing channel for sent reminder","OK"))</f>
        <v>OK</v>
      </c>
    </row>
    <row r="833" customFormat="false" ht="15" hidden="false" customHeight="false" outlineLevel="0" collapsed="false">
      <c r="A833" s="9" t="s">
        <v>1572</v>
      </c>
      <c r="B833" s="9" t="s">
        <v>1573</v>
      </c>
      <c r="C833" s="9" t="s">
        <v>47</v>
      </c>
      <c r="D833" s="9" t="n">
        <v>47</v>
      </c>
      <c r="E833" s="9" t="s">
        <v>56</v>
      </c>
      <c r="F833" s="9" t="s">
        <v>39</v>
      </c>
      <c r="G833" s="10" t="n">
        <v>45780</v>
      </c>
      <c r="H833" s="10" t="n">
        <v>45789</v>
      </c>
      <c r="I833" s="9" t="s">
        <v>66</v>
      </c>
      <c r="J833" s="9" t="s">
        <v>41</v>
      </c>
      <c r="K833" s="9" t="n">
        <v>9</v>
      </c>
      <c r="L833" s="9" t="n">
        <v>5</v>
      </c>
      <c r="M833" s="9" t="n">
        <v>0</v>
      </c>
      <c r="N833" s="9" t="s">
        <v>42</v>
      </c>
      <c r="O833" s="9" t="s">
        <v>67</v>
      </c>
      <c r="P833" s="9" t="n">
        <v>2.1</v>
      </c>
      <c r="Q833" s="9" t="n">
        <v>33</v>
      </c>
      <c r="R833" s="9" t="s">
        <v>53</v>
      </c>
      <c r="S833" s="9"/>
      <c r="T833" s="9"/>
      <c r="U833" s="9" t="str">
        <f aca="false">IF(COUNTIF($A$2:$A$5001,A833)&gt;1,"Duplicate","Unique")</f>
        <v>Unique</v>
      </c>
      <c r="V833" s="9" t="str">
        <f aca="false">IF(COUNTIFS($B$2:$B$5001,B833,$H$2:$H$5001,H833,$J$2:$J$5001,J833)&gt;1,"Possible Duplicate Booking","Unique")</f>
        <v>Unique</v>
      </c>
      <c r="W833" s="9" t="str">
        <f aca="false">IF((H833-G833)&lt;&gt;K833,"Mismatch","OK")</f>
        <v>OK</v>
      </c>
      <c r="X833" s="9" t="str">
        <f aca="false">IF(TEXT(H833,"dddd")&lt;&gt;I833,"Mismatch","OK")</f>
        <v>OK</v>
      </c>
      <c r="Y833" s="9" t="str">
        <f aca="false">IF(AND(N833="No",O833&lt;&gt;""),"Unexpected: channel present but no reminder sent",IF(AND(N833="Yes",O833=""),"Missing channel for sent reminder","OK"))</f>
        <v>OK</v>
      </c>
    </row>
    <row r="834" customFormat="false" ht="15" hidden="false" customHeight="false" outlineLevel="0" collapsed="false">
      <c r="A834" s="7" t="s">
        <v>1574</v>
      </c>
      <c r="B834" s="7" t="s">
        <v>1575</v>
      </c>
      <c r="C834" s="7" t="s">
        <v>37</v>
      </c>
      <c r="D834" s="7" t="n">
        <v>39</v>
      </c>
      <c r="E834" s="7" t="s">
        <v>38</v>
      </c>
      <c r="F834" s="7" t="s">
        <v>57</v>
      </c>
      <c r="G834" s="8" t="n">
        <v>45855</v>
      </c>
      <c r="H834" s="8" t="n">
        <v>45905</v>
      </c>
      <c r="I834" s="7" t="s">
        <v>50</v>
      </c>
      <c r="J834" s="7" t="s">
        <v>41</v>
      </c>
      <c r="K834" s="7" t="n">
        <v>50</v>
      </c>
      <c r="L834" s="7" t="n">
        <v>3</v>
      </c>
      <c r="M834" s="7" t="n">
        <v>1</v>
      </c>
      <c r="N834" s="7" t="s">
        <v>71</v>
      </c>
      <c r="O834" s="7"/>
      <c r="P834" s="7" t="n">
        <v>7.7</v>
      </c>
      <c r="Q834" s="7" t="n">
        <v>12</v>
      </c>
      <c r="R834" s="7" t="s">
        <v>44</v>
      </c>
      <c r="S834" s="7"/>
      <c r="T834" s="7"/>
      <c r="U834" s="7" t="str">
        <f aca="false">IF(COUNTIF($A$2:$A$5001,A834)&gt;1,"Duplicate","Unique")</f>
        <v>Unique</v>
      </c>
      <c r="V834" s="7" t="str">
        <f aca="false">IF(COUNTIFS($B$2:$B$5001,B834,$H$2:$H$5001,H834,$J$2:$J$5001,J834)&gt;1,"Possible Duplicate Booking","Unique")</f>
        <v>Unique</v>
      </c>
      <c r="W834" s="7" t="str">
        <f aca="false">IF((H834-G834)&lt;&gt;K834,"Mismatch","OK")</f>
        <v>OK</v>
      </c>
      <c r="X834" s="7" t="str">
        <f aca="false">IF(TEXT(H834,"dddd")&lt;&gt;I834,"Mismatch","OK")</f>
        <v>OK</v>
      </c>
      <c r="Y834" s="7" t="str">
        <f aca="false">IF(AND(N834="No",O834&lt;&gt;""),"Unexpected: channel present but no reminder sent",IF(AND(N834="Yes",O834=""),"Missing channel for sent reminder","OK"))</f>
        <v>OK</v>
      </c>
    </row>
    <row r="835" customFormat="false" ht="15" hidden="false" customHeight="false" outlineLevel="0" collapsed="false">
      <c r="A835" s="9" t="s">
        <v>1576</v>
      </c>
      <c r="B835" s="9" t="s">
        <v>1577</v>
      </c>
      <c r="C835" s="9" t="s">
        <v>47</v>
      </c>
      <c r="D835" s="9" t="n">
        <v>19</v>
      </c>
      <c r="E835" s="9" t="s">
        <v>82</v>
      </c>
      <c r="F835" s="9" t="s">
        <v>39</v>
      </c>
      <c r="G835" s="10" t="n">
        <v>45722</v>
      </c>
      <c r="H835" s="10" t="n">
        <v>45736</v>
      </c>
      <c r="I835" s="9" t="s">
        <v>62</v>
      </c>
      <c r="J835" s="9" t="s">
        <v>51</v>
      </c>
      <c r="K835" s="9" t="n">
        <v>14</v>
      </c>
      <c r="L835" s="9" t="n">
        <v>2</v>
      </c>
      <c r="M835" s="9" t="n">
        <v>1</v>
      </c>
      <c r="N835" s="9" t="s">
        <v>42</v>
      </c>
      <c r="O835" s="9" t="s">
        <v>52</v>
      </c>
      <c r="P835" s="9" t="n">
        <v>5.2</v>
      </c>
      <c r="Q835" s="9" t="n">
        <v>36</v>
      </c>
      <c r="R835" s="9" t="s">
        <v>53</v>
      </c>
      <c r="S835" s="9"/>
      <c r="T835" s="9"/>
      <c r="U835" s="9" t="str">
        <f aca="false">IF(COUNTIF($A$2:$A$5001,A835)&gt;1,"Duplicate","Unique")</f>
        <v>Unique</v>
      </c>
      <c r="V835" s="9" t="str">
        <f aca="false">IF(COUNTIFS($B$2:$B$5001,B835,$H$2:$H$5001,H835,$J$2:$J$5001,J835)&gt;1,"Possible Duplicate Booking","Unique")</f>
        <v>Unique</v>
      </c>
      <c r="W835" s="9" t="str">
        <f aca="false">IF((H835-G835)&lt;&gt;K835,"Mismatch","OK")</f>
        <v>OK</v>
      </c>
      <c r="X835" s="9" t="str">
        <f aca="false">IF(TEXT(H835,"dddd")&lt;&gt;I835,"Mismatch","OK")</f>
        <v>OK</v>
      </c>
      <c r="Y835" s="9" t="str">
        <f aca="false">IF(AND(N835="No",O835&lt;&gt;""),"Unexpected: channel present but no reminder sent",IF(AND(N835="Yes",O835=""),"Missing channel for sent reminder","OK"))</f>
        <v>OK</v>
      </c>
    </row>
    <row r="836" customFormat="false" ht="15" hidden="false" customHeight="false" outlineLevel="0" collapsed="false">
      <c r="A836" s="7" t="s">
        <v>1578</v>
      </c>
      <c r="B836" s="7" t="s">
        <v>989</v>
      </c>
      <c r="C836" s="7" t="s">
        <v>37</v>
      </c>
      <c r="D836" s="7" t="n">
        <v>26</v>
      </c>
      <c r="E836" s="7" t="s">
        <v>48</v>
      </c>
      <c r="F836" s="7" t="s">
        <v>57</v>
      </c>
      <c r="G836" s="8" t="n">
        <v>46109</v>
      </c>
      <c r="H836" s="8" t="n">
        <v>46124</v>
      </c>
      <c r="I836" s="7" t="s">
        <v>75</v>
      </c>
      <c r="J836" s="7" t="s">
        <v>41</v>
      </c>
      <c r="K836" s="7" t="n">
        <v>15</v>
      </c>
      <c r="L836" s="7" t="n">
        <v>0</v>
      </c>
      <c r="M836" s="7" t="n">
        <v>0</v>
      </c>
      <c r="N836" s="7" t="s">
        <v>42</v>
      </c>
      <c r="O836" s="7" t="s">
        <v>43</v>
      </c>
      <c r="P836" s="7" t="n">
        <v>15</v>
      </c>
      <c r="Q836" s="7" t="n">
        <v>34</v>
      </c>
      <c r="R836" s="7" t="s">
        <v>44</v>
      </c>
      <c r="S836" s="7"/>
      <c r="T836" s="7"/>
      <c r="U836" s="7" t="str">
        <f aca="false">IF(COUNTIF($A$2:$A$5001,A836)&gt;1,"Duplicate","Unique")</f>
        <v>Unique</v>
      </c>
      <c r="V836" s="7" t="str">
        <f aca="false">IF(COUNTIFS($B$2:$B$5001,B836,$H$2:$H$5001,H836,$J$2:$J$5001,J836)&gt;1,"Possible Duplicate Booking","Unique")</f>
        <v>Unique</v>
      </c>
      <c r="W836" s="7" t="str">
        <f aca="false">IF((H836-G836)&lt;&gt;K836,"Mismatch","OK")</f>
        <v>OK</v>
      </c>
      <c r="X836" s="7" t="str">
        <f aca="false">IF(TEXT(H836,"dddd")&lt;&gt;I836,"Mismatch","OK")</f>
        <v>OK</v>
      </c>
      <c r="Y836" s="7" t="str">
        <f aca="false">IF(AND(N836="No",O836&lt;&gt;""),"Unexpected: channel present but no reminder sent",IF(AND(N836="Yes",O836=""),"Missing channel for sent reminder","OK"))</f>
        <v>OK</v>
      </c>
    </row>
    <row r="837" customFormat="false" ht="15" hidden="false" customHeight="false" outlineLevel="0" collapsed="false">
      <c r="A837" s="9" t="s">
        <v>1579</v>
      </c>
      <c r="B837" s="9" t="s">
        <v>1580</v>
      </c>
      <c r="C837" s="9" t="s">
        <v>37</v>
      </c>
      <c r="D837" s="9" t="n">
        <v>78</v>
      </c>
      <c r="E837" s="9" t="s">
        <v>70</v>
      </c>
      <c r="F837" s="9" t="s">
        <v>39</v>
      </c>
      <c r="G837" s="10" t="n">
        <v>46030</v>
      </c>
      <c r="H837" s="10" t="n">
        <v>46082</v>
      </c>
      <c r="I837" s="9" t="s">
        <v>75</v>
      </c>
      <c r="J837" s="9" t="s">
        <v>51</v>
      </c>
      <c r="K837" s="9" t="n">
        <v>52</v>
      </c>
      <c r="L837" s="9" t="n">
        <v>2</v>
      </c>
      <c r="M837" s="9" t="n">
        <v>1</v>
      </c>
      <c r="N837" s="9" t="s">
        <v>42</v>
      </c>
      <c r="O837" s="9" t="s">
        <v>52</v>
      </c>
      <c r="P837" s="9" t="n">
        <v>7</v>
      </c>
      <c r="Q837" s="9" t="n">
        <v>18</v>
      </c>
      <c r="R837" s="9" t="s">
        <v>44</v>
      </c>
      <c r="S837" s="9"/>
      <c r="T837" s="9"/>
      <c r="U837" s="9" t="str">
        <f aca="false">IF(COUNTIF($A$2:$A$5001,A837)&gt;1,"Duplicate","Unique")</f>
        <v>Unique</v>
      </c>
      <c r="V837" s="9" t="str">
        <f aca="false">IF(COUNTIFS($B$2:$B$5001,B837,$H$2:$H$5001,H837,$J$2:$J$5001,J837)&gt;1,"Possible Duplicate Booking","Unique")</f>
        <v>Unique</v>
      </c>
      <c r="W837" s="9" t="str">
        <f aca="false">IF((H837-G837)&lt;&gt;K837,"Mismatch","OK")</f>
        <v>OK</v>
      </c>
      <c r="X837" s="9" t="str">
        <f aca="false">IF(TEXT(H837,"dddd")&lt;&gt;I837,"Mismatch","OK")</f>
        <v>OK</v>
      </c>
      <c r="Y837" s="9" t="str">
        <f aca="false">IF(AND(N837="No",O837&lt;&gt;""),"Unexpected: channel present but no reminder sent",IF(AND(N837="Yes",O837=""),"Missing channel for sent reminder","OK"))</f>
        <v>OK</v>
      </c>
    </row>
    <row r="838" customFormat="false" ht="15" hidden="false" customHeight="false" outlineLevel="0" collapsed="false">
      <c r="A838" s="7" t="s">
        <v>1581</v>
      </c>
      <c r="B838" s="7" t="s">
        <v>1582</v>
      </c>
      <c r="C838" s="7" t="s">
        <v>37</v>
      </c>
      <c r="D838" s="7" t="n">
        <v>46</v>
      </c>
      <c r="E838" s="7" t="s">
        <v>56</v>
      </c>
      <c r="F838" s="7" t="s">
        <v>49</v>
      </c>
      <c r="G838" s="8" t="n">
        <v>46046</v>
      </c>
      <c r="H838" s="8" t="n">
        <v>46099</v>
      </c>
      <c r="I838" s="7" t="s">
        <v>58</v>
      </c>
      <c r="J838" s="7" t="s">
        <v>51</v>
      </c>
      <c r="K838" s="7" t="n">
        <v>53</v>
      </c>
      <c r="L838" s="7" t="n">
        <v>3</v>
      </c>
      <c r="M838" s="7" t="n">
        <v>0</v>
      </c>
      <c r="N838" s="7" t="s">
        <v>42</v>
      </c>
      <c r="O838" s="7" t="s">
        <v>52</v>
      </c>
      <c r="P838" s="7" t="n">
        <v>13.8</v>
      </c>
      <c r="Q838" s="7" t="n">
        <v>2</v>
      </c>
      <c r="R838" s="7" t="s">
        <v>53</v>
      </c>
      <c r="S838" s="7"/>
      <c r="T838" s="7"/>
      <c r="U838" s="7" t="str">
        <f aca="false">IF(COUNTIF($A$2:$A$5001,A838)&gt;1,"Duplicate","Unique")</f>
        <v>Unique</v>
      </c>
      <c r="V838" s="7" t="str">
        <f aca="false">IF(COUNTIFS($B$2:$B$5001,B838,$H$2:$H$5001,H838,$J$2:$J$5001,J838)&gt;1,"Possible Duplicate Booking","Unique")</f>
        <v>Unique</v>
      </c>
      <c r="W838" s="7" t="str">
        <f aca="false">IF((H838-G838)&lt;&gt;K838,"Mismatch","OK")</f>
        <v>OK</v>
      </c>
      <c r="X838" s="7" t="str">
        <f aca="false">IF(TEXT(H838,"dddd")&lt;&gt;I838,"Mismatch","OK")</f>
        <v>OK</v>
      </c>
      <c r="Y838" s="7" t="str">
        <f aca="false">IF(AND(N838="No",O838&lt;&gt;""),"Unexpected: channel present but no reminder sent",IF(AND(N838="Yes",O838=""),"Missing channel for sent reminder","OK"))</f>
        <v>OK</v>
      </c>
    </row>
    <row r="839" customFormat="false" ht="15" hidden="false" customHeight="false" outlineLevel="0" collapsed="false">
      <c r="A839" s="9" t="s">
        <v>1583</v>
      </c>
      <c r="B839" s="9" t="s">
        <v>1584</v>
      </c>
      <c r="C839" s="9" t="s">
        <v>47</v>
      </c>
      <c r="D839" s="9" t="n">
        <v>27</v>
      </c>
      <c r="E839" s="9" t="s">
        <v>48</v>
      </c>
      <c r="F839" s="9" t="s">
        <v>57</v>
      </c>
      <c r="G839" s="10" t="n">
        <v>45764</v>
      </c>
      <c r="H839" s="10" t="n">
        <v>45766</v>
      </c>
      <c r="I839" s="9" t="s">
        <v>102</v>
      </c>
      <c r="J839" s="9" t="s">
        <v>41</v>
      </c>
      <c r="K839" s="9" t="n">
        <v>2</v>
      </c>
      <c r="L839" s="9" t="n">
        <v>4</v>
      </c>
      <c r="M839" s="9" t="n">
        <v>2</v>
      </c>
      <c r="N839" s="9" t="s">
        <v>71</v>
      </c>
      <c r="O839" s="9"/>
      <c r="P839" s="9" t="n">
        <v>12.2</v>
      </c>
      <c r="Q839" s="9" t="n">
        <v>22</v>
      </c>
      <c r="R839" s="9" t="s">
        <v>44</v>
      </c>
      <c r="S839" s="9"/>
      <c r="T839" s="9"/>
      <c r="U839" s="9" t="str">
        <f aca="false">IF(COUNTIF($A$2:$A$5001,A839)&gt;1,"Duplicate","Unique")</f>
        <v>Unique</v>
      </c>
      <c r="V839" s="9" t="str">
        <f aca="false">IF(COUNTIFS($B$2:$B$5001,B839,$H$2:$H$5001,H839,$J$2:$J$5001,J839)&gt;1,"Possible Duplicate Booking","Unique")</f>
        <v>Unique</v>
      </c>
      <c r="W839" s="9" t="str">
        <f aca="false">IF((H839-G839)&lt;&gt;K839,"Mismatch","OK")</f>
        <v>OK</v>
      </c>
      <c r="X839" s="9" t="str">
        <f aca="false">IF(TEXT(H839,"dddd")&lt;&gt;I839,"Mismatch","OK")</f>
        <v>OK</v>
      </c>
      <c r="Y839" s="9" t="str">
        <f aca="false">IF(AND(N839="No",O839&lt;&gt;""),"Unexpected: channel present but no reminder sent",IF(AND(N839="Yes",O839=""),"Missing channel for sent reminder","OK"))</f>
        <v>OK</v>
      </c>
    </row>
    <row r="840" customFormat="false" ht="15" hidden="false" customHeight="false" outlineLevel="0" collapsed="false">
      <c r="A840" s="7" t="s">
        <v>1585</v>
      </c>
      <c r="B840" s="7" t="s">
        <v>735</v>
      </c>
      <c r="C840" s="7" t="s">
        <v>47</v>
      </c>
      <c r="D840" s="7" t="n">
        <v>20</v>
      </c>
      <c r="E840" s="7" t="s">
        <v>82</v>
      </c>
      <c r="F840" s="7" t="s">
        <v>57</v>
      </c>
      <c r="G840" s="8" t="n">
        <v>45649</v>
      </c>
      <c r="H840" s="8" t="n">
        <v>45665</v>
      </c>
      <c r="I840" s="7" t="s">
        <v>58</v>
      </c>
      <c r="J840" s="7" t="s">
        <v>41</v>
      </c>
      <c r="K840" s="7" t="n">
        <v>16</v>
      </c>
      <c r="L840" s="7" t="n">
        <v>2</v>
      </c>
      <c r="M840" s="7" t="n">
        <v>0</v>
      </c>
      <c r="N840" s="7" t="s">
        <v>42</v>
      </c>
      <c r="O840" s="7" t="s">
        <v>52</v>
      </c>
      <c r="P840" s="7" t="n">
        <v>1.9</v>
      </c>
      <c r="Q840" s="7" t="n">
        <v>35</v>
      </c>
      <c r="R840" s="7" t="s">
        <v>53</v>
      </c>
      <c r="S840" s="7"/>
      <c r="T840" s="7"/>
      <c r="U840" s="7" t="str">
        <f aca="false">IF(COUNTIF($A$2:$A$5001,A840)&gt;1,"Duplicate","Unique")</f>
        <v>Unique</v>
      </c>
      <c r="V840" s="7" t="str">
        <f aca="false">IF(COUNTIFS($B$2:$B$5001,B840,$H$2:$H$5001,H840,$J$2:$J$5001,J840)&gt;1,"Possible Duplicate Booking","Unique")</f>
        <v>Unique</v>
      </c>
      <c r="W840" s="7" t="str">
        <f aca="false">IF((H840-G840)&lt;&gt;K840,"Mismatch","OK")</f>
        <v>OK</v>
      </c>
      <c r="X840" s="7" t="str">
        <f aca="false">IF(TEXT(H840,"dddd")&lt;&gt;I840,"Mismatch","OK")</f>
        <v>OK</v>
      </c>
      <c r="Y840" s="7" t="str">
        <f aca="false">IF(AND(N840="No",O840&lt;&gt;""),"Unexpected: channel present but no reminder sent",IF(AND(N840="Yes",O840=""),"Missing channel for sent reminder","OK"))</f>
        <v>OK</v>
      </c>
    </row>
    <row r="841" customFormat="false" ht="15" hidden="false" customHeight="false" outlineLevel="0" collapsed="false">
      <c r="A841" s="9" t="s">
        <v>1586</v>
      </c>
      <c r="B841" s="9" t="s">
        <v>1587</v>
      </c>
      <c r="C841" s="9" t="s">
        <v>37</v>
      </c>
      <c r="D841" s="9" t="n">
        <v>40</v>
      </c>
      <c r="E841" s="9" t="s">
        <v>38</v>
      </c>
      <c r="F841" s="9" t="s">
        <v>49</v>
      </c>
      <c r="G841" s="10" t="n">
        <v>46112</v>
      </c>
      <c r="H841" s="10" t="n">
        <v>46155</v>
      </c>
      <c r="I841" s="9" t="s">
        <v>58</v>
      </c>
      <c r="J841" s="9" t="s">
        <v>51</v>
      </c>
      <c r="K841" s="9" t="n">
        <v>43</v>
      </c>
      <c r="L841" s="9" t="n">
        <v>7</v>
      </c>
      <c r="M841" s="9" t="n">
        <v>2</v>
      </c>
      <c r="N841" s="9" t="s">
        <v>71</v>
      </c>
      <c r="O841" s="9"/>
      <c r="P841" s="9" t="n">
        <v>3.3</v>
      </c>
      <c r="Q841" s="9" t="n">
        <v>14</v>
      </c>
      <c r="R841" s="9" t="s">
        <v>44</v>
      </c>
      <c r="S841" s="9"/>
      <c r="T841" s="9"/>
      <c r="U841" s="9" t="str">
        <f aca="false">IF(COUNTIF($A$2:$A$5001,A841)&gt;1,"Duplicate","Unique")</f>
        <v>Unique</v>
      </c>
      <c r="V841" s="9" t="str">
        <f aca="false">IF(COUNTIFS($B$2:$B$5001,B841,$H$2:$H$5001,H841,$J$2:$J$5001,J841)&gt;1,"Possible Duplicate Booking","Unique")</f>
        <v>Unique</v>
      </c>
      <c r="W841" s="9" t="str">
        <f aca="false">IF((H841-G841)&lt;&gt;K841,"Mismatch","OK")</f>
        <v>OK</v>
      </c>
      <c r="X841" s="9" t="str">
        <f aca="false">IF(TEXT(H841,"dddd")&lt;&gt;I841,"Mismatch","OK")</f>
        <v>OK</v>
      </c>
      <c r="Y841" s="9" t="str">
        <f aca="false">IF(AND(N841="No",O841&lt;&gt;""),"Unexpected: channel present but no reminder sent",IF(AND(N841="Yes",O841=""),"Missing channel for sent reminder","OK"))</f>
        <v>OK</v>
      </c>
    </row>
    <row r="842" customFormat="false" ht="15" hidden="false" customHeight="false" outlineLevel="0" collapsed="false">
      <c r="A842" s="7" t="s">
        <v>1588</v>
      </c>
      <c r="B842" s="7" t="s">
        <v>496</v>
      </c>
      <c r="C842" s="7" t="s">
        <v>37</v>
      </c>
      <c r="D842" s="7" t="n">
        <v>79</v>
      </c>
      <c r="E842" s="7" t="s">
        <v>70</v>
      </c>
      <c r="F842" s="7" t="s">
        <v>57</v>
      </c>
      <c r="G842" s="8" t="n">
        <v>45768</v>
      </c>
      <c r="H842" s="8" t="n">
        <v>45815</v>
      </c>
      <c r="I842" s="7" t="s">
        <v>102</v>
      </c>
      <c r="J842" s="7" t="s">
        <v>51</v>
      </c>
      <c r="K842" s="7" t="n">
        <v>47</v>
      </c>
      <c r="L842" s="7" t="n">
        <v>3</v>
      </c>
      <c r="M842" s="7" t="n">
        <v>1</v>
      </c>
      <c r="N842" s="7" t="s">
        <v>71</v>
      </c>
      <c r="O842" s="7"/>
      <c r="P842" s="7" t="n">
        <v>24.9</v>
      </c>
      <c r="Q842" s="7" t="n">
        <v>36</v>
      </c>
      <c r="R842" s="7" t="s">
        <v>44</v>
      </c>
      <c r="S842" s="7"/>
      <c r="T842" s="7"/>
      <c r="U842" s="7" t="str">
        <f aca="false">IF(COUNTIF($A$2:$A$5001,A842)&gt;1,"Duplicate","Unique")</f>
        <v>Unique</v>
      </c>
      <c r="V842" s="7" t="str">
        <f aca="false">IF(COUNTIFS($B$2:$B$5001,B842,$H$2:$H$5001,H842,$J$2:$J$5001,J842)&gt;1,"Possible Duplicate Booking","Unique")</f>
        <v>Unique</v>
      </c>
      <c r="W842" s="7" t="str">
        <f aca="false">IF((H842-G842)&lt;&gt;K842,"Mismatch","OK")</f>
        <v>OK</v>
      </c>
      <c r="X842" s="7" t="str">
        <f aca="false">IF(TEXT(H842,"dddd")&lt;&gt;I842,"Mismatch","OK")</f>
        <v>OK</v>
      </c>
      <c r="Y842" s="7" t="str">
        <f aca="false">IF(AND(N842="No",O842&lt;&gt;""),"Unexpected: channel present but no reminder sent",IF(AND(N842="Yes",O842=""),"Missing channel for sent reminder","OK"))</f>
        <v>OK</v>
      </c>
    </row>
    <row r="843" customFormat="false" ht="15" hidden="false" customHeight="false" outlineLevel="0" collapsed="false">
      <c r="A843" s="9" t="s">
        <v>1589</v>
      </c>
      <c r="B843" s="9" t="s">
        <v>1590</v>
      </c>
      <c r="C843" s="9" t="s">
        <v>47</v>
      </c>
      <c r="D843" s="9" t="n">
        <v>42</v>
      </c>
      <c r="E843" s="9" t="s">
        <v>38</v>
      </c>
      <c r="F843" s="9" t="s">
        <v>39</v>
      </c>
      <c r="G843" s="10" t="n">
        <v>45956</v>
      </c>
      <c r="H843" s="10" t="n">
        <v>46016</v>
      </c>
      <c r="I843" s="9" t="s">
        <v>62</v>
      </c>
      <c r="J843" s="9" t="s">
        <v>51</v>
      </c>
      <c r="K843" s="9" t="n">
        <v>60</v>
      </c>
      <c r="L843" s="9" t="n">
        <v>1</v>
      </c>
      <c r="M843" s="9" t="n">
        <v>0</v>
      </c>
      <c r="N843" s="9" t="s">
        <v>42</v>
      </c>
      <c r="O843" s="9" t="s">
        <v>52</v>
      </c>
      <c r="P843" s="9" t="n">
        <v>5.4</v>
      </c>
      <c r="Q843" s="9" t="n">
        <v>15</v>
      </c>
      <c r="R843" s="9" t="s">
        <v>44</v>
      </c>
      <c r="S843" s="9"/>
      <c r="T843" s="9"/>
      <c r="U843" s="9" t="str">
        <f aca="false">IF(COUNTIF($A$2:$A$5001,A843)&gt;1,"Duplicate","Unique")</f>
        <v>Unique</v>
      </c>
      <c r="V843" s="9" t="str">
        <f aca="false">IF(COUNTIFS($B$2:$B$5001,B843,$H$2:$H$5001,H843,$J$2:$J$5001,J843)&gt;1,"Possible Duplicate Booking","Unique")</f>
        <v>Unique</v>
      </c>
      <c r="W843" s="9" t="str">
        <f aca="false">IF((H843-G843)&lt;&gt;K843,"Mismatch","OK")</f>
        <v>OK</v>
      </c>
      <c r="X843" s="9" t="str">
        <f aca="false">IF(TEXT(H843,"dddd")&lt;&gt;I843,"Mismatch","OK")</f>
        <v>OK</v>
      </c>
      <c r="Y843" s="9" t="str">
        <f aca="false">IF(AND(N843="No",O843&lt;&gt;""),"Unexpected: channel present but no reminder sent",IF(AND(N843="Yes",O843=""),"Missing channel for sent reminder","OK"))</f>
        <v>OK</v>
      </c>
    </row>
    <row r="844" customFormat="false" ht="15" hidden="false" customHeight="false" outlineLevel="0" collapsed="false">
      <c r="A844" s="7" t="s">
        <v>1591</v>
      </c>
      <c r="B844" s="7" t="s">
        <v>1592</v>
      </c>
      <c r="C844" s="7" t="s">
        <v>37</v>
      </c>
      <c r="D844" s="7" t="n">
        <v>80</v>
      </c>
      <c r="E844" s="7" t="s">
        <v>70</v>
      </c>
      <c r="F844" s="7" t="s">
        <v>39</v>
      </c>
      <c r="G844" s="8" t="n">
        <v>46121</v>
      </c>
      <c r="H844" s="8" t="n">
        <v>46154</v>
      </c>
      <c r="I844" s="7" t="s">
        <v>40</v>
      </c>
      <c r="J844" s="7" t="s">
        <v>51</v>
      </c>
      <c r="K844" s="7" t="n">
        <v>33</v>
      </c>
      <c r="L844" s="7" t="n">
        <v>5</v>
      </c>
      <c r="M844" s="7" t="n">
        <v>1</v>
      </c>
      <c r="N844" s="7" t="s">
        <v>42</v>
      </c>
      <c r="O844" s="7" t="s">
        <v>67</v>
      </c>
      <c r="P844" s="7" t="n">
        <v>10.6</v>
      </c>
      <c r="Q844" s="7" t="n">
        <v>23</v>
      </c>
      <c r="R844" s="7" t="s">
        <v>53</v>
      </c>
      <c r="S844" s="7"/>
      <c r="T844" s="7"/>
      <c r="U844" s="7" t="str">
        <f aca="false">IF(COUNTIF($A$2:$A$5001,A844)&gt;1,"Duplicate","Unique")</f>
        <v>Unique</v>
      </c>
      <c r="V844" s="7" t="str">
        <f aca="false">IF(COUNTIFS($B$2:$B$5001,B844,$H$2:$H$5001,H844,$J$2:$J$5001,J844)&gt;1,"Possible Duplicate Booking","Unique")</f>
        <v>Unique</v>
      </c>
      <c r="W844" s="7" t="str">
        <f aca="false">IF((H844-G844)&lt;&gt;K844,"Mismatch","OK")</f>
        <v>OK</v>
      </c>
      <c r="X844" s="7" t="str">
        <f aca="false">IF(TEXT(H844,"dddd")&lt;&gt;I844,"Mismatch","OK")</f>
        <v>OK</v>
      </c>
      <c r="Y844" s="7" t="str">
        <f aca="false">IF(AND(N844="No",O844&lt;&gt;""),"Unexpected: channel present but no reminder sent",IF(AND(N844="Yes",O844=""),"Missing channel for sent reminder","OK"))</f>
        <v>OK</v>
      </c>
    </row>
    <row r="845" customFormat="false" ht="15" hidden="false" customHeight="false" outlineLevel="0" collapsed="false">
      <c r="A845" s="9" t="s">
        <v>1593</v>
      </c>
      <c r="B845" s="9" t="s">
        <v>1594</v>
      </c>
      <c r="C845" s="9" t="s">
        <v>47</v>
      </c>
      <c r="D845" s="9" t="n">
        <v>48</v>
      </c>
      <c r="E845" s="9" t="s">
        <v>56</v>
      </c>
      <c r="F845" s="9" t="s">
        <v>57</v>
      </c>
      <c r="G845" s="10" t="n">
        <v>45677</v>
      </c>
      <c r="H845" s="10" t="n">
        <v>45677</v>
      </c>
      <c r="I845" s="9" t="s">
        <v>66</v>
      </c>
      <c r="J845" s="9" t="s">
        <v>51</v>
      </c>
      <c r="K845" s="9" t="n">
        <v>0</v>
      </c>
      <c r="L845" s="9" t="n">
        <v>5</v>
      </c>
      <c r="M845" s="9" t="n">
        <v>1</v>
      </c>
      <c r="N845" s="9" t="s">
        <v>71</v>
      </c>
      <c r="O845" s="9"/>
      <c r="P845" s="9" t="n">
        <v>7.6</v>
      </c>
      <c r="Q845" s="9" t="n">
        <v>16</v>
      </c>
      <c r="R845" s="9" t="s">
        <v>53</v>
      </c>
      <c r="S845" s="9"/>
      <c r="T845" s="9"/>
      <c r="U845" s="9" t="str">
        <f aca="false">IF(COUNTIF($A$2:$A$5001,A845)&gt;1,"Duplicate","Unique")</f>
        <v>Unique</v>
      </c>
      <c r="V845" s="9" t="str">
        <f aca="false">IF(COUNTIFS($B$2:$B$5001,B845,$H$2:$H$5001,H845,$J$2:$J$5001,J845)&gt;1,"Possible Duplicate Booking","Unique")</f>
        <v>Unique</v>
      </c>
      <c r="W845" s="9" t="str">
        <f aca="false">IF((H845-G845)&lt;&gt;K845,"Mismatch","OK")</f>
        <v>OK</v>
      </c>
      <c r="X845" s="9" t="str">
        <f aca="false">IF(TEXT(H845,"dddd")&lt;&gt;I845,"Mismatch","OK")</f>
        <v>OK</v>
      </c>
      <c r="Y845" s="9" t="str">
        <f aca="false">IF(AND(N845="No",O845&lt;&gt;""),"Unexpected: channel present but no reminder sent",IF(AND(N845="Yes",O845=""),"Missing channel for sent reminder","OK"))</f>
        <v>OK</v>
      </c>
    </row>
    <row r="846" customFormat="false" ht="15" hidden="false" customHeight="false" outlineLevel="0" collapsed="false">
      <c r="A846" s="7" t="s">
        <v>1595</v>
      </c>
      <c r="B846" s="7" t="s">
        <v>1596</v>
      </c>
      <c r="C846" s="7" t="s">
        <v>47</v>
      </c>
      <c r="D846" s="7" t="n">
        <v>66</v>
      </c>
      <c r="E846" s="7" t="s">
        <v>70</v>
      </c>
      <c r="F846" s="7" t="s">
        <v>49</v>
      </c>
      <c r="G846" s="8" t="n">
        <v>45607</v>
      </c>
      <c r="H846" s="8" t="n">
        <v>45660</v>
      </c>
      <c r="I846" s="7" t="s">
        <v>50</v>
      </c>
      <c r="J846" s="7" t="s">
        <v>51</v>
      </c>
      <c r="K846" s="7" t="n">
        <v>53</v>
      </c>
      <c r="L846" s="7" t="n">
        <v>7</v>
      </c>
      <c r="M846" s="7" t="n">
        <v>3</v>
      </c>
      <c r="N846" s="7" t="s">
        <v>42</v>
      </c>
      <c r="O846" s="7" t="s">
        <v>67</v>
      </c>
      <c r="P846" s="7" t="n">
        <v>2</v>
      </c>
      <c r="Q846" s="7" t="n">
        <v>26</v>
      </c>
      <c r="R846" s="7" t="s">
        <v>44</v>
      </c>
      <c r="S846" s="7"/>
      <c r="T846" s="7"/>
      <c r="U846" s="7" t="str">
        <f aca="false">IF(COUNTIF($A$2:$A$5001,A846)&gt;1,"Duplicate","Unique")</f>
        <v>Unique</v>
      </c>
      <c r="V846" s="7" t="str">
        <f aca="false">IF(COUNTIFS($B$2:$B$5001,B846,$H$2:$H$5001,H846,$J$2:$J$5001,J846)&gt;1,"Possible Duplicate Booking","Unique")</f>
        <v>Unique</v>
      </c>
      <c r="W846" s="7" t="str">
        <f aca="false">IF((H846-G846)&lt;&gt;K846,"Mismatch","OK")</f>
        <v>OK</v>
      </c>
      <c r="X846" s="7" t="str">
        <f aca="false">IF(TEXT(H846,"dddd")&lt;&gt;I846,"Mismatch","OK")</f>
        <v>OK</v>
      </c>
      <c r="Y846" s="7" t="str">
        <f aca="false">IF(AND(N846="No",O846&lt;&gt;""),"Unexpected: channel present but no reminder sent",IF(AND(N846="Yes",O846=""),"Missing channel for sent reminder","OK"))</f>
        <v>OK</v>
      </c>
    </row>
    <row r="847" customFormat="false" ht="15" hidden="false" customHeight="false" outlineLevel="0" collapsed="false">
      <c r="A847" s="9" t="s">
        <v>1597</v>
      </c>
      <c r="B847" s="9" t="s">
        <v>1598</v>
      </c>
      <c r="C847" s="9" t="s">
        <v>37</v>
      </c>
      <c r="D847" s="9" t="n">
        <v>67</v>
      </c>
      <c r="E847" s="9" t="s">
        <v>70</v>
      </c>
      <c r="F847" s="9" t="s">
        <v>39</v>
      </c>
      <c r="G847" s="10" t="n">
        <v>45651</v>
      </c>
      <c r="H847" s="10" t="n">
        <v>45660</v>
      </c>
      <c r="I847" s="9" t="s">
        <v>50</v>
      </c>
      <c r="J847" s="9" t="s">
        <v>41</v>
      </c>
      <c r="K847" s="9" t="n">
        <v>9</v>
      </c>
      <c r="L847" s="9" t="n">
        <v>2</v>
      </c>
      <c r="M847" s="9" t="n">
        <v>0</v>
      </c>
      <c r="N847" s="9" t="s">
        <v>42</v>
      </c>
      <c r="O847" s="9" t="s">
        <v>43</v>
      </c>
      <c r="P847" s="9" t="n">
        <v>4.5</v>
      </c>
      <c r="Q847" s="9" t="n">
        <v>33</v>
      </c>
      <c r="R847" s="9" t="s">
        <v>44</v>
      </c>
      <c r="S847" s="9"/>
      <c r="T847" s="9"/>
      <c r="U847" s="9" t="str">
        <f aca="false">IF(COUNTIF($A$2:$A$5001,A847)&gt;1,"Duplicate","Unique")</f>
        <v>Unique</v>
      </c>
      <c r="V847" s="9" t="str">
        <f aca="false">IF(COUNTIFS($B$2:$B$5001,B847,$H$2:$H$5001,H847,$J$2:$J$5001,J847)&gt;1,"Possible Duplicate Booking","Unique")</f>
        <v>Unique</v>
      </c>
      <c r="W847" s="9" t="str">
        <f aca="false">IF((H847-G847)&lt;&gt;K847,"Mismatch","OK")</f>
        <v>OK</v>
      </c>
      <c r="X847" s="9" t="str">
        <f aca="false">IF(TEXT(H847,"dddd")&lt;&gt;I847,"Mismatch","OK")</f>
        <v>OK</v>
      </c>
      <c r="Y847" s="9" t="str">
        <f aca="false">IF(AND(N847="No",O847&lt;&gt;""),"Unexpected: channel present but no reminder sent",IF(AND(N847="Yes",O847=""),"Missing channel for sent reminder","OK"))</f>
        <v>OK</v>
      </c>
    </row>
    <row r="848" customFormat="false" ht="15" hidden="false" customHeight="false" outlineLevel="0" collapsed="false">
      <c r="A848" s="7" t="s">
        <v>1599</v>
      </c>
      <c r="B848" s="7" t="s">
        <v>1600</v>
      </c>
      <c r="C848" s="7" t="s">
        <v>47</v>
      </c>
      <c r="D848" s="7" t="n">
        <v>19</v>
      </c>
      <c r="E848" s="7" t="s">
        <v>82</v>
      </c>
      <c r="F848" s="7" t="s">
        <v>39</v>
      </c>
      <c r="G848" s="8" t="n">
        <v>45736</v>
      </c>
      <c r="H848" s="8" t="n">
        <v>45743</v>
      </c>
      <c r="I848" s="7" t="s">
        <v>62</v>
      </c>
      <c r="J848" s="7" t="s">
        <v>41</v>
      </c>
      <c r="K848" s="7" t="n">
        <v>7</v>
      </c>
      <c r="L848" s="7" t="n">
        <v>0</v>
      </c>
      <c r="M848" s="7" t="n">
        <v>0</v>
      </c>
      <c r="N848" s="7" t="s">
        <v>71</v>
      </c>
      <c r="O848" s="7"/>
      <c r="P848" s="7" t="n">
        <v>3.8</v>
      </c>
      <c r="Q848" s="7" t="n">
        <v>42</v>
      </c>
      <c r="R848" s="7" t="s">
        <v>87</v>
      </c>
      <c r="S848" s="7"/>
      <c r="T848" s="7"/>
      <c r="U848" s="7" t="str">
        <f aca="false">IF(COUNTIF($A$2:$A$5001,A848)&gt;1,"Duplicate","Unique")</f>
        <v>Unique</v>
      </c>
      <c r="V848" s="7" t="str">
        <f aca="false">IF(COUNTIFS($B$2:$B$5001,B848,$H$2:$H$5001,H848,$J$2:$J$5001,J848)&gt;1,"Possible Duplicate Booking","Unique")</f>
        <v>Unique</v>
      </c>
      <c r="W848" s="7" t="str">
        <f aca="false">IF((H848-G848)&lt;&gt;K848,"Mismatch","OK")</f>
        <v>OK</v>
      </c>
      <c r="X848" s="7" t="str">
        <f aca="false">IF(TEXT(H848,"dddd")&lt;&gt;I848,"Mismatch","OK")</f>
        <v>OK</v>
      </c>
      <c r="Y848" s="7" t="str">
        <f aca="false">IF(AND(N848="No",O848&lt;&gt;""),"Unexpected: channel present but no reminder sent",IF(AND(N848="Yes",O848=""),"Missing channel for sent reminder","OK"))</f>
        <v>OK</v>
      </c>
    </row>
    <row r="849" customFormat="false" ht="15" hidden="false" customHeight="false" outlineLevel="0" collapsed="false">
      <c r="A849" s="9" t="s">
        <v>1601</v>
      </c>
      <c r="B849" s="9" t="s">
        <v>150</v>
      </c>
      <c r="C849" s="9" t="s">
        <v>47</v>
      </c>
      <c r="D849" s="9" t="n">
        <v>18</v>
      </c>
      <c r="E849" s="9" t="s">
        <v>82</v>
      </c>
      <c r="F849" s="9" t="s">
        <v>57</v>
      </c>
      <c r="G849" s="10" t="n">
        <v>45645</v>
      </c>
      <c r="H849" s="10" t="n">
        <v>45686</v>
      </c>
      <c r="I849" s="9" t="s">
        <v>58</v>
      </c>
      <c r="J849" s="9" t="s">
        <v>41</v>
      </c>
      <c r="K849" s="9" t="n">
        <v>41</v>
      </c>
      <c r="L849" s="9" t="n">
        <v>3</v>
      </c>
      <c r="M849" s="9" t="n">
        <v>0</v>
      </c>
      <c r="N849" s="9" t="s">
        <v>42</v>
      </c>
      <c r="O849" s="9" t="s">
        <v>52</v>
      </c>
      <c r="P849" s="9" t="n">
        <v>13.1</v>
      </c>
      <c r="Q849" s="9" t="n">
        <v>26</v>
      </c>
      <c r="R849" s="9" t="s">
        <v>53</v>
      </c>
      <c r="S849" s="9"/>
      <c r="T849" s="9"/>
      <c r="U849" s="9" t="str">
        <f aca="false">IF(COUNTIF($A$2:$A$5001,A849)&gt;1,"Duplicate","Unique")</f>
        <v>Unique</v>
      </c>
      <c r="V849" s="9" t="str">
        <f aca="false">IF(COUNTIFS($B$2:$B$5001,B849,$H$2:$H$5001,H849,$J$2:$J$5001,J849)&gt;1,"Possible Duplicate Booking","Unique")</f>
        <v>Unique</v>
      </c>
      <c r="W849" s="9" t="str">
        <f aca="false">IF((H849-G849)&lt;&gt;K849,"Mismatch","OK")</f>
        <v>OK</v>
      </c>
      <c r="X849" s="9" t="str">
        <f aca="false">IF(TEXT(H849,"dddd")&lt;&gt;I849,"Mismatch","OK")</f>
        <v>OK</v>
      </c>
      <c r="Y849" s="9" t="str">
        <f aca="false">IF(AND(N849="No",O849&lt;&gt;""),"Unexpected: channel present but no reminder sent",IF(AND(N849="Yes",O849=""),"Missing channel for sent reminder","OK"))</f>
        <v>OK</v>
      </c>
    </row>
    <row r="850" customFormat="false" ht="15" hidden="false" customHeight="false" outlineLevel="0" collapsed="false">
      <c r="A850" s="7" t="s">
        <v>1602</v>
      </c>
      <c r="B850" s="7" t="s">
        <v>1603</v>
      </c>
      <c r="C850" s="7" t="s">
        <v>37</v>
      </c>
      <c r="D850" s="7" t="n">
        <v>76</v>
      </c>
      <c r="E850" s="7" t="s">
        <v>70</v>
      </c>
      <c r="F850" s="7" t="s">
        <v>57</v>
      </c>
      <c r="G850" s="8" t="n">
        <v>46069</v>
      </c>
      <c r="H850" s="8" t="n">
        <v>46105</v>
      </c>
      <c r="I850" s="7" t="s">
        <v>40</v>
      </c>
      <c r="J850" s="7" t="s">
        <v>41</v>
      </c>
      <c r="K850" s="7" t="n">
        <v>36</v>
      </c>
      <c r="L850" s="7" t="n">
        <v>2</v>
      </c>
      <c r="M850" s="7" t="n">
        <v>0</v>
      </c>
      <c r="N850" s="7" t="s">
        <v>71</v>
      </c>
      <c r="O850" s="7"/>
      <c r="P850" s="7" t="n">
        <v>4.4</v>
      </c>
      <c r="Q850" s="7" t="n">
        <v>7</v>
      </c>
      <c r="R850" s="7" t="s">
        <v>53</v>
      </c>
      <c r="S850" s="7"/>
      <c r="T850" s="7"/>
      <c r="U850" s="7" t="str">
        <f aca="false">IF(COUNTIF($A$2:$A$5001,A850)&gt;1,"Duplicate","Unique")</f>
        <v>Unique</v>
      </c>
      <c r="V850" s="7" t="str">
        <f aca="false">IF(COUNTIFS($B$2:$B$5001,B850,$H$2:$H$5001,H850,$J$2:$J$5001,J850)&gt;1,"Possible Duplicate Booking","Unique")</f>
        <v>Unique</v>
      </c>
      <c r="W850" s="7" t="str">
        <f aca="false">IF((H850-G850)&lt;&gt;K850,"Mismatch","OK")</f>
        <v>OK</v>
      </c>
      <c r="X850" s="7" t="str">
        <f aca="false">IF(TEXT(H850,"dddd")&lt;&gt;I850,"Mismatch","OK")</f>
        <v>OK</v>
      </c>
      <c r="Y850" s="7" t="str">
        <f aca="false">IF(AND(N850="No",O850&lt;&gt;""),"Unexpected: channel present but no reminder sent",IF(AND(N850="Yes",O850=""),"Missing channel for sent reminder","OK"))</f>
        <v>OK</v>
      </c>
    </row>
    <row r="851" customFormat="false" ht="15" hidden="false" customHeight="false" outlineLevel="0" collapsed="false">
      <c r="A851" s="9" t="s">
        <v>1604</v>
      </c>
      <c r="B851" s="9" t="s">
        <v>1605</v>
      </c>
      <c r="C851" s="9" t="s">
        <v>37</v>
      </c>
      <c r="D851" s="9" t="n">
        <v>76</v>
      </c>
      <c r="E851" s="9" t="s">
        <v>70</v>
      </c>
      <c r="F851" s="9" t="s">
        <v>57</v>
      </c>
      <c r="G851" s="10" t="n">
        <v>45985</v>
      </c>
      <c r="H851" s="10" t="n">
        <v>45988</v>
      </c>
      <c r="I851" s="9" t="s">
        <v>62</v>
      </c>
      <c r="J851" s="9" t="s">
        <v>41</v>
      </c>
      <c r="K851" s="9" t="n">
        <v>3</v>
      </c>
      <c r="L851" s="9" t="n">
        <v>5</v>
      </c>
      <c r="M851" s="9" t="n">
        <v>0</v>
      </c>
      <c r="N851" s="9" t="s">
        <v>42</v>
      </c>
      <c r="O851" s="9" t="s">
        <v>43</v>
      </c>
      <c r="P851" s="9" t="n">
        <v>11.3</v>
      </c>
      <c r="Q851" s="9" t="n">
        <v>31</v>
      </c>
      <c r="R851" s="9" t="s">
        <v>53</v>
      </c>
      <c r="S851" s="9"/>
      <c r="T851" s="9"/>
      <c r="U851" s="9" t="str">
        <f aca="false">IF(COUNTIF($A$2:$A$5001,A851)&gt;1,"Duplicate","Unique")</f>
        <v>Unique</v>
      </c>
      <c r="V851" s="9" t="str">
        <f aca="false">IF(COUNTIFS($B$2:$B$5001,B851,$H$2:$H$5001,H851,$J$2:$J$5001,J851)&gt;1,"Possible Duplicate Booking","Unique")</f>
        <v>Unique</v>
      </c>
      <c r="W851" s="9" t="str">
        <f aca="false">IF((H851-G851)&lt;&gt;K851,"Mismatch","OK")</f>
        <v>OK</v>
      </c>
      <c r="X851" s="9" t="str">
        <f aca="false">IF(TEXT(H851,"dddd")&lt;&gt;I851,"Mismatch","OK")</f>
        <v>OK</v>
      </c>
      <c r="Y851" s="9" t="str">
        <f aca="false">IF(AND(N851="No",O851&lt;&gt;""),"Unexpected: channel present but no reminder sent",IF(AND(N851="Yes",O851=""),"Missing channel for sent reminder","OK"))</f>
        <v>OK</v>
      </c>
    </row>
    <row r="852" customFormat="false" ht="15" hidden="false" customHeight="false" outlineLevel="0" collapsed="false">
      <c r="A852" s="7" t="s">
        <v>1606</v>
      </c>
      <c r="B852" s="7" t="s">
        <v>1607</v>
      </c>
      <c r="C852" s="7" t="s">
        <v>37</v>
      </c>
      <c r="D852" s="7" t="n">
        <v>26</v>
      </c>
      <c r="E852" s="7" t="s">
        <v>48</v>
      </c>
      <c r="F852" s="7" t="s">
        <v>74</v>
      </c>
      <c r="G852" s="8" t="n">
        <v>46183</v>
      </c>
      <c r="H852" s="8" t="n">
        <v>46193</v>
      </c>
      <c r="I852" s="7" t="s">
        <v>102</v>
      </c>
      <c r="J852" s="7" t="s">
        <v>41</v>
      </c>
      <c r="K852" s="7" t="n">
        <v>10</v>
      </c>
      <c r="L852" s="7" t="n">
        <v>1</v>
      </c>
      <c r="M852" s="7" t="n">
        <v>0</v>
      </c>
      <c r="N852" s="7" t="s">
        <v>42</v>
      </c>
      <c r="O852" s="7" t="s">
        <v>43</v>
      </c>
      <c r="P852" s="7" t="n">
        <v>2.9</v>
      </c>
      <c r="Q852" s="7" t="n">
        <v>21</v>
      </c>
      <c r="R852" s="7" t="s">
        <v>44</v>
      </c>
      <c r="S852" s="7"/>
      <c r="T852" s="7"/>
      <c r="U852" s="7" t="str">
        <f aca="false">IF(COUNTIF($A$2:$A$5001,A852)&gt;1,"Duplicate","Unique")</f>
        <v>Unique</v>
      </c>
      <c r="V852" s="7" t="str">
        <f aca="false">IF(COUNTIFS($B$2:$B$5001,B852,$H$2:$H$5001,H852,$J$2:$J$5001,J852)&gt;1,"Possible Duplicate Booking","Unique")</f>
        <v>Unique</v>
      </c>
      <c r="W852" s="7" t="str">
        <f aca="false">IF((H852-G852)&lt;&gt;K852,"Mismatch","OK")</f>
        <v>OK</v>
      </c>
      <c r="X852" s="7" t="str">
        <f aca="false">IF(TEXT(H852,"dddd")&lt;&gt;I852,"Mismatch","OK")</f>
        <v>OK</v>
      </c>
      <c r="Y852" s="7" t="str">
        <f aca="false">IF(AND(N852="No",O852&lt;&gt;""),"Unexpected: channel present but no reminder sent",IF(AND(N852="Yes",O852=""),"Missing channel for sent reminder","OK"))</f>
        <v>OK</v>
      </c>
    </row>
    <row r="853" customFormat="false" ht="15" hidden="false" customHeight="false" outlineLevel="0" collapsed="false">
      <c r="A853" s="9" t="s">
        <v>1608</v>
      </c>
      <c r="B853" s="9" t="s">
        <v>1357</v>
      </c>
      <c r="C853" s="9" t="s">
        <v>47</v>
      </c>
      <c r="D853" s="9" t="n">
        <v>58</v>
      </c>
      <c r="E853" s="9" t="s">
        <v>61</v>
      </c>
      <c r="F853" s="9" t="s">
        <v>74</v>
      </c>
      <c r="G853" s="10" t="n">
        <v>46060</v>
      </c>
      <c r="H853" s="10" t="n">
        <v>46095</v>
      </c>
      <c r="I853" s="9" t="s">
        <v>102</v>
      </c>
      <c r="J853" s="9" t="s">
        <v>63</v>
      </c>
      <c r="K853" s="9" t="n">
        <v>35</v>
      </c>
      <c r="L853" s="9" t="n">
        <v>6</v>
      </c>
      <c r="M853" s="9" t="n">
        <v>1</v>
      </c>
      <c r="N853" s="9" t="s">
        <v>42</v>
      </c>
      <c r="O853" s="9" t="s">
        <v>43</v>
      </c>
      <c r="P853" s="9" t="n">
        <v>0.9</v>
      </c>
      <c r="Q853" s="9" t="n">
        <v>20</v>
      </c>
      <c r="R853" s="9" t="s">
        <v>53</v>
      </c>
      <c r="S853" s="9"/>
      <c r="T853" s="9"/>
      <c r="U853" s="9" t="str">
        <f aca="false">IF(COUNTIF($A$2:$A$5001,A853)&gt;1,"Duplicate","Unique")</f>
        <v>Unique</v>
      </c>
      <c r="V853" s="9" t="str">
        <f aca="false">IF(COUNTIFS($B$2:$B$5001,B853,$H$2:$H$5001,H853,$J$2:$J$5001,J853)&gt;1,"Possible Duplicate Booking","Unique")</f>
        <v>Unique</v>
      </c>
      <c r="W853" s="9" t="str">
        <f aca="false">IF((H853-G853)&lt;&gt;K853,"Mismatch","OK")</f>
        <v>OK</v>
      </c>
      <c r="X853" s="9" t="str">
        <f aca="false">IF(TEXT(H853,"dddd")&lt;&gt;I853,"Mismatch","OK")</f>
        <v>OK</v>
      </c>
      <c r="Y853" s="9" t="str">
        <f aca="false">IF(AND(N853="No",O853&lt;&gt;""),"Unexpected: channel present but no reminder sent",IF(AND(N853="Yes",O853=""),"Missing channel for sent reminder","OK"))</f>
        <v>OK</v>
      </c>
    </row>
    <row r="854" customFormat="false" ht="15" hidden="false" customHeight="false" outlineLevel="0" collapsed="false">
      <c r="A854" s="7" t="s">
        <v>1609</v>
      </c>
      <c r="B854" s="7" t="s">
        <v>1441</v>
      </c>
      <c r="C854" s="7" t="s">
        <v>47</v>
      </c>
      <c r="D854" s="7" t="n">
        <v>76</v>
      </c>
      <c r="E854" s="7" t="s">
        <v>70</v>
      </c>
      <c r="F854" s="7" t="s">
        <v>49</v>
      </c>
      <c r="G854" s="8" t="n">
        <v>46168</v>
      </c>
      <c r="H854" s="8" t="n">
        <v>46183</v>
      </c>
      <c r="I854" s="7" t="s">
        <v>58</v>
      </c>
      <c r="J854" s="7" t="s">
        <v>41</v>
      </c>
      <c r="K854" s="7" t="n">
        <v>15</v>
      </c>
      <c r="L854" s="7" t="n">
        <v>5</v>
      </c>
      <c r="M854" s="7" t="n">
        <v>0</v>
      </c>
      <c r="N854" s="7" t="s">
        <v>71</v>
      </c>
      <c r="O854" s="7"/>
      <c r="P854" s="7" t="n">
        <v>8.8</v>
      </c>
      <c r="Q854" s="7" t="n">
        <v>25</v>
      </c>
      <c r="R854" s="7" t="s">
        <v>53</v>
      </c>
      <c r="S854" s="7"/>
      <c r="T854" s="7"/>
      <c r="U854" s="7" t="str">
        <f aca="false">IF(COUNTIF($A$2:$A$5001,A854)&gt;1,"Duplicate","Unique")</f>
        <v>Unique</v>
      </c>
      <c r="V854" s="7" t="str">
        <f aca="false">IF(COUNTIFS($B$2:$B$5001,B854,$H$2:$H$5001,H854,$J$2:$J$5001,J854)&gt;1,"Possible Duplicate Booking","Unique")</f>
        <v>Unique</v>
      </c>
      <c r="W854" s="7" t="str">
        <f aca="false">IF((H854-G854)&lt;&gt;K854,"Mismatch","OK")</f>
        <v>OK</v>
      </c>
      <c r="X854" s="7" t="str">
        <f aca="false">IF(TEXT(H854,"dddd")&lt;&gt;I854,"Mismatch","OK")</f>
        <v>OK</v>
      </c>
      <c r="Y854" s="7" t="str">
        <f aca="false">IF(AND(N854="No",O854&lt;&gt;""),"Unexpected: channel present but no reminder sent",IF(AND(N854="Yes",O854=""),"Missing channel for sent reminder","OK"))</f>
        <v>OK</v>
      </c>
    </row>
    <row r="855" customFormat="false" ht="15" hidden="false" customHeight="false" outlineLevel="0" collapsed="false">
      <c r="A855" s="9" t="s">
        <v>1610</v>
      </c>
      <c r="B855" s="9" t="s">
        <v>1611</v>
      </c>
      <c r="C855" s="9" t="s">
        <v>37</v>
      </c>
      <c r="D855" s="9" t="n">
        <v>77</v>
      </c>
      <c r="E855" s="9" t="s">
        <v>70</v>
      </c>
      <c r="F855" s="9" t="s">
        <v>57</v>
      </c>
      <c r="G855" s="10" t="n">
        <v>45747</v>
      </c>
      <c r="H855" s="10" t="n">
        <v>45788</v>
      </c>
      <c r="I855" s="9" t="s">
        <v>75</v>
      </c>
      <c r="J855" s="9" t="s">
        <v>41</v>
      </c>
      <c r="K855" s="9" t="n">
        <v>41</v>
      </c>
      <c r="L855" s="9" t="n">
        <v>5</v>
      </c>
      <c r="M855" s="9" t="n">
        <v>0</v>
      </c>
      <c r="N855" s="9" t="s">
        <v>71</v>
      </c>
      <c r="O855" s="9"/>
      <c r="P855" s="9" t="n">
        <v>10.9</v>
      </c>
      <c r="Q855" s="9" t="n">
        <v>30</v>
      </c>
      <c r="R855" s="9" t="s">
        <v>53</v>
      </c>
      <c r="S855" s="9"/>
      <c r="T855" s="9"/>
      <c r="U855" s="9" t="str">
        <f aca="false">IF(COUNTIF($A$2:$A$5001,A855)&gt;1,"Duplicate","Unique")</f>
        <v>Unique</v>
      </c>
      <c r="V855" s="9" t="str">
        <f aca="false">IF(COUNTIFS($B$2:$B$5001,B855,$H$2:$H$5001,H855,$J$2:$J$5001,J855)&gt;1,"Possible Duplicate Booking","Unique")</f>
        <v>Unique</v>
      </c>
      <c r="W855" s="9" t="str">
        <f aca="false">IF((H855-G855)&lt;&gt;K855,"Mismatch","OK")</f>
        <v>OK</v>
      </c>
      <c r="X855" s="9" t="str">
        <f aca="false">IF(TEXT(H855,"dddd")&lt;&gt;I855,"Mismatch","OK")</f>
        <v>OK</v>
      </c>
      <c r="Y855" s="9" t="str">
        <f aca="false">IF(AND(N855="No",O855&lt;&gt;""),"Unexpected: channel present but no reminder sent",IF(AND(N855="Yes",O855=""),"Missing channel for sent reminder","OK"))</f>
        <v>OK</v>
      </c>
    </row>
    <row r="856" customFormat="false" ht="15" hidden="false" customHeight="false" outlineLevel="0" collapsed="false">
      <c r="A856" s="7" t="s">
        <v>1612</v>
      </c>
      <c r="B856" s="7" t="s">
        <v>1613</v>
      </c>
      <c r="C856" s="7" t="s">
        <v>37</v>
      </c>
      <c r="D856" s="7" t="n">
        <v>36</v>
      </c>
      <c r="E856" s="7" t="s">
        <v>38</v>
      </c>
      <c r="F856" s="7" t="s">
        <v>39</v>
      </c>
      <c r="G856" s="8" t="n">
        <v>45790</v>
      </c>
      <c r="H856" s="8" t="n">
        <v>45815</v>
      </c>
      <c r="I856" s="7" t="s">
        <v>102</v>
      </c>
      <c r="J856" s="7" t="s">
        <v>41</v>
      </c>
      <c r="K856" s="7" t="n">
        <v>25</v>
      </c>
      <c r="L856" s="7" t="n">
        <v>4</v>
      </c>
      <c r="M856" s="7" t="n">
        <v>0</v>
      </c>
      <c r="N856" s="7" t="s">
        <v>42</v>
      </c>
      <c r="O856" s="7" t="s">
        <v>43</v>
      </c>
      <c r="P856" s="7" t="n">
        <v>6.2</v>
      </c>
      <c r="Q856" s="7" t="n">
        <v>19</v>
      </c>
      <c r="R856" s="7" t="s">
        <v>53</v>
      </c>
      <c r="S856" s="7"/>
      <c r="T856" s="7"/>
      <c r="U856" s="7" t="str">
        <f aca="false">IF(COUNTIF($A$2:$A$5001,A856)&gt;1,"Duplicate","Unique")</f>
        <v>Unique</v>
      </c>
      <c r="V856" s="7" t="str">
        <f aca="false">IF(COUNTIFS($B$2:$B$5001,B856,$H$2:$H$5001,H856,$J$2:$J$5001,J856)&gt;1,"Possible Duplicate Booking","Unique")</f>
        <v>Unique</v>
      </c>
      <c r="W856" s="7" t="str">
        <f aca="false">IF((H856-G856)&lt;&gt;K856,"Mismatch","OK")</f>
        <v>OK</v>
      </c>
      <c r="X856" s="7" t="str">
        <f aca="false">IF(TEXT(H856,"dddd")&lt;&gt;I856,"Mismatch","OK")</f>
        <v>OK</v>
      </c>
      <c r="Y856" s="7" t="str">
        <f aca="false">IF(AND(N856="No",O856&lt;&gt;""),"Unexpected: channel present but no reminder sent",IF(AND(N856="Yes",O856=""),"Missing channel for sent reminder","OK"))</f>
        <v>OK</v>
      </c>
    </row>
    <row r="857" customFormat="false" ht="15" hidden="false" customHeight="false" outlineLevel="0" collapsed="false">
      <c r="A857" s="9" t="s">
        <v>1614</v>
      </c>
      <c r="B857" s="9" t="s">
        <v>1003</v>
      </c>
      <c r="C857" s="9" t="s">
        <v>37</v>
      </c>
      <c r="D857" s="9" t="n">
        <v>69</v>
      </c>
      <c r="E857" s="9" t="s">
        <v>70</v>
      </c>
      <c r="F857" s="9" t="s">
        <v>49</v>
      </c>
      <c r="G857" s="10" t="n">
        <v>46086</v>
      </c>
      <c r="H857" s="10" t="n">
        <v>46121</v>
      </c>
      <c r="I857" s="9" t="s">
        <v>62</v>
      </c>
      <c r="J857" s="9" t="s">
        <v>41</v>
      </c>
      <c r="K857" s="9" t="n">
        <v>35</v>
      </c>
      <c r="L857" s="9" t="n">
        <v>4</v>
      </c>
      <c r="M857" s="9" t="n">
        <v>2</v>
      </c>
      <c r="N857" s="9" t="s">
        <v>42</v>
      </c>
      <c r="O857" s="9" t="s">
        <v>43</v>
      </c>
      <c r="P857" s="9" t="n">
        <v>8.6</v>
      </c>
      <c r="Q857" s="9" t="n">
        <v>30</v>
      </c>
      <c r="R857" s="9" t="s">
        <v>53</v>
      </c>
      <c r="S857" s="9"/>
      <c r="T857" s="9"/>
      <c r="U857" s="9" t="str">
        <f aca="false">IF(COUNTIF($A$2:$A$5001,A857)&gt;1,"Duplicate","Unique")</f>
        <v>Unique</v>
      </c>
      <c r="V857" s="9" t="str">
        <f aca="false">IF(COUNTIFS($B$2:$B$5001,B857,$H$2:$H$5001,H857,$J$2:$J$5001,J857)&gt;1,"Possible Duplicate Booking","Unique")</f>
        <v>Unique</v>
      </c>
      <c r="W857" s="9" t="str">
        <f aca="false">IF((H857-G857)&lt;&gt;K857,"Mismatch","OK")</f>
        <v>OK</v>
      </c>
      <c r="X857" s="9" t="str">
        <f aca="false">IF(TEXT(H857,"dddd")&lt;&gt;I857,"Mismatch","OK")</f>
        <v>OK</v>
      </c>
      <c r="Y857" s="9" t="str">
        <f aca="false">IF(AND(N857="No",O857&lt;&gt;""),"Unexpected: channel present but no reminder sent",IF(AND(N857="Yes",O857=""),"Missing channel for sent reminder","OK"))</f>
        <v>OK</v>
      </c>
    </row>
    <row r="858" customFormat="false" ht="15" hidden="false" customHeight="false" outlineLevel="0" collapsed="false">
      <c r="A858" s="7" t="s">
        <v>1615</v>
      </c>
      <c r="B858" s="7" t="s">
        <v>1616</v>
      </c>
      <c r="C858" s="7" t="s">
        <v>37</v>
      </c>
      <c r="D858" s="7" t="n">
        <v>58</v>
      </c>
      <c r="E858" s="7" t="s">
        <v>61</v>
      </c>
      <c r="F858" s="7" t="s">
        <v>39</v>
      </c>
      <c r="G858" s="8" t="n">
        <v>45763</v>
      </c>
      <c r="H858" s="8" t="n">
        <v>45791</v>
      </c>
      <c r="I858" s="7" t="s">
        <v>58</v>
      </c>
      <c r="J858" s="7" t="s">
        <v>51</v>
      </c>
      <c r="K858" s="7" t="n">
        <v>28</v>
      </c>
      <c r="L858" s="7" t="n">
        <v>1</v>
      </c>
      <c r="M858" s="7" t="n">
        <v>0</v>
      </c>
      <c r="N858" s="7" t="s">
        <v>42</v>
      </c>
      <c r="O858" s="7" t="s">
        <v>52</v>
      </c>
      <c r="P858" s="7" t="n">
        <v>2.5</v>
      </c>
      <c r="Q858" s="7" t="n">
        <v>28</v>
      </c>
      <c r="R858" s="7" t="s">
        <v>53</v>
      </c>
      <c r="S858" s="7"/>
      <c r="T858" s="7"/>
      <c r="U858" s="7" t="str">
        <f aca="false">IF(COUNTIF($A$2:$A$5001,A858)&gt;1,"Duplicate","Unique")</f>
        <v>Unique</v>
      </c>
      <c r="V858" s="7" t="str">
        <f aca="false">IF(COUNTIFS($B$2:$B$5001,B858,$H$2:$H$5001,H858,$J$2:$J$5001,J858)&gt;1,"Possible Duplicate Booking","Unique")</f>
        <v>Unique</v>
      </c>
      <c r="W858" s="7" t="str">
        <f aca="false">IF((H858-G858)&lt;&gt;K858,"Mismatch","OK")</f>
        <v>OK</v>
      </c>
      <c r="X858" s="7" t="str">
        <f aca="false">IF(TEXT(H858,"dddd")&lt;&gt;I858,"Mismatch","OK")</f>
        <v>OK</v>
      </c>
      <c r="Y858" s="7" t="str">
        <f aca="false">IF(AND(N858="No",O858&lt;&gt;""),"Unexpected: channel present but no reminder sent",IF(AND(N858="Yes",O858=""),"Missing channel for sent reminder","OK"))</f>
        <v>OK</v>
      </c>
    </row>
    <row r="859" customFormat="false" ht="15" hidden="false" customHeight="false" outlineLevel="0" collapsed="false">
      <c r="A859" s="9" t="s">
        <v>1617</v>
      </c>
      <c r="B859" s="9" t="s">
        <v>1618</v>
      </c>
      <c r="C859" s="9" t="s">
        <v>37</v>
      </c>
      <c r="D859" s="9" t="n">
        <v>76</v>
      </c>
      <c r="E859" s="9" t="s">
        <v>70</v>
      </c>
      <c r="F859" s="9" t="s">
        <v>57</v>
      </c>
      <c r="G859" s="10" t="n">
        <v>45667</v>
      </c>
      <c r="H859" s="10" t="n">
        <v>45689</v>
      </c>
      <c r="I859" s="9" t="s">
        <v>102</v>
      </c>
      <c r="J859" s="9" t="s">
        <v>51</v>
      </c>
      <c r="K859" s="9" t="n">
        <v>22</v>
      </c>
      <c r="L859" s="9" t="n">
        <v>2</v>
      </c>
      <c r="M859" s="9" t="n">
        <v>0</v>
      </c>
      <c r="N859" s="9" t="s">
        <v>42</v>
      </c>
      <c r="O859" s="9" t="s">
        <v>43</v>
      </c>
      <c r="P859" s="9" t="n">
        <v>6.6</v>
      </c>
      <c r="Q859" s="9" t="n">
        <v>30</v>
      </c>
      <c r="R859" s="9" t="s">
        <v>53</v>
      </c>
      <c r="S859" s="9"/>
      <c r="T859" s="9"/>
      <c r="U859" s="9" t="str">
        <f aca="false">IF(COUNTIF($A$2:$A$5001,A859)&gt;1,"Duplicate","Unique")</f>
        <v>Unique</v>
      </c>
      <c r="V859" s="9" t="str">
        <f aca="false">IF(COUNTIFS($B$2:$B$5001,B859,$H$2:$H$5001,H859,$J$2:$J$5001,J859)&gt;1,"Possible Duplicate Booking","Unique")</f>
        <v>Unique</v>
      </c>
      <c r="W859" s="9" t="str">
        <f aca="false">IF((H859-G859)&lt;&gt;K859,"Mismatch","OK")</f>
        <v>OK</v>
      </c>
      <c r="X859" s="9" t="str">
        <f aca="false">IF(TEXT(H859,"dddd")&lt;&gt;I859,"Mismatch","OK")</f>
        <v>OK</v>
      </c>
      <c r="Y859" s="9" t="str">
        <f aca="false">IF(AND(N859="No",O859&lt;&gt;""),"Unexpected: channel present but no reminder sent",IF(AND(N859="Yes",O859=""),"Missing channel for sent reminder","OK"))</f>
        <v>OK</v>
      </c>
    </row>
    <row r="860" customFormat="false" ht="15" hidden="false" customHeight="false" outlineLevel="0" collapsed="false">
      <c r="A860" s="7" t="s">
        <v>1619</v>
      </c>
      <c r="B860" s="7" t="s">
        <v>1620</v>
      </c>
      <c r="C860" s="7" t="s">
        <v>37</v>
      </c>
      <c r="D860" s="7" t="n">
        <v>27</v>
      </c>
      <c r="E860" s="7" t="s">
        <v>48</v>
      </c>
      <c r="F860" s="7" t="s">
        <v>74</v>
      </c>
      <c r="G860" s="8" t="n">
        <v>46003</v>
      </c>
      <c r="H860" s="8" t="n">
        <v>46023</v>
      </c>
      <c r="I860" s="7" t="s">
        <v>62</v>
      </c>
      <c r="J860" s="7" t="s">
        <v>51</v>
      </c>
      <c r="K860" s="7" t="n">
        <v>20</v>
      </c>
      <c r="L860" s="7" t="n">
        <v>5</v>
      </c>
      <c r="M860" s="7" t="n">
        <v>2</v>
      </c>
      <c r="N860" s="7" t="s">
        <v>42</v>
      </c>
      <c r="O860" s="7" t="s">
        <v>43</v>
      </c>
      <c r="P860" s="7" t="n">
        <v>15</v>
      </c>
      <c r="Q860" s="7" t="n">
        <v>34</v>
      </c>
      <c r="R860" s="7" t="s">
        <v>44</v>
      </c>
      <c r="S860" s="7"/>
      <c r="T860" s="7"/>
      <c r="U860" s="7" t="str">
        <f aca="false">IF(COUNTIF($A$2:$A$5001,A860)&gt;1,"Duplicate","Unique")</f>
        <v>Unique</v>
      </c>
      <c r="V860" s="7" t="str">
        <f aca="false">IF(COUNTIFS($B$2:$B$5001,B860,$H$2:$H$5001,H860,$J$2:$J$5001,J860)&gt;1,"Possible Duplicate Booking","Unique")</f>
        <v>Unique</v>
      </c>
      <c r="W860" s="7" t="str">
        <f aca="false">IF((H860-G860)&lt;&gt;K860,"Mismatch","OK")</f>
        <v>OK</v>
      </c>
      <c r="X860" s="7" t="str">
        <f aca="false">IF(TEXT(H860,"dddd")&lt;&gt;I860,"Mismatch","OK")</f>
        <v>OK</v>
      </c>
      <c r="Y860" s="7" t="str">
        <f aca="false">IF(AND(N860="No",O860&lt;&gt;""),"Unexpected: channel present but no reminder sent",IF(AND(N860="Yes",O860=""),"Missing channel for sent reminder","OK"))</f>
        <v>OK</v>
      </c>
    </row>
    <row r="861" customFormat="false" ht="15" hidden="false" customHeight="false" outlineLevel="0" collapsed="false">
      <c r="A861" s="9" t="s">
        <v>1621</v>
      </c>
      <c r="B861" s="9" t="s">
        <v>1501</v>
      </c>
      <c r="C861" s="9" t="s">
        <v>37</v>
      </c>
      <c r="D861" s="9" t="n">
        <v>55</v>
      </c>
      <c r="E861" s="9" t="s">
        <v>61</v>
      </c>
      <c r="F861" s="9" t="s">
        <v>57</v>
      </c>
      <c r="G861" s="10" t="n">
        <v>46053</v>
      </c>
      <c r="H861" s="10" t="n">
        <v>46095</v>
      </c>
      <c r="I861" s="9" t="s">
        <v>102</v>
      </c>
      <c r="J861" s="9" t="s">
        <v>51</v>
      </c>
      <c r="K861" s="9" t="n">
        <v>42</v>
      </c>
      <c r="L861" s="9" t="n">
        <v>4</v>
      </c>
      <c r="M861" s="9" t="n">
        <v>2</v>
      </c>
      <c r="N861" s="9" t="s">
        <v>42</v>
      </c>
      <c r="O861" s="9" t="s">
        <v>43</v>
      </c>
      <c r="P861" s="9" t="n">
        <v>25.5</v>
      </c>
      <c r="Q861" s="9" t="n">
        <v>2</v>
      </c>
      <c r="R861" s="9" t="s">
        <v>53</v>
      </c>
      <c r="S861" s="9"/>
      <c r="T861" s="9"/>
      <c r="U861" s="9" t="str">
        <f aca="false">IF(COUNTIF($A$2:$A$5001,A861)&gt;1,"Duplicate","Unique")</f>
        <v>Unique</v>
      </c>
      <c r="V861" s="9" t="str">
        <f aca="false">IF(COUNTIFS($B$2:$B$5001,B861,$H$2:$H$5001,H861,$J$2:$J$5001,J861)&gt;1,"Possible Duplicate Booking","Unique")</f>
        <v>Unique</v>
      </c>
      <c r="W861" s="9" t="str">
        <f aca="false">IF((H861-G861)&lt;&gt;K861,"Mismatch","OK")</f>
        <v>OK</v>
      </c>
      <c r="X861" s="9" t="str">
        <f aca="false">IF(TEXT(H861,"dddd")&lt;&gt;I861,"Mismatch","OK")</f>
        <v>OK</v>
      </c>
      <c r="Y861" s="9" t="str">
        <f aca="false">IF(AND(N861="No",O861&lt;&gt;""),"Unexpected: channel present but no reminder sent",IF(AND(N861="Yes",O861=""),"Missing channel for sent reminder","OK"))</f>
        <v>OK</v>
      </c>
    </row>
    <row r="862" customFormat="false" ht="15" hidden="false" customHeight="false" outlineLevel="0" collapsed="false">
      <c r="A862" s="7" t="s">
        <v>1622</v>
      </c>
      <c r="B862" s="7" t="s">
        <v>1623</v>
      </c>
      <c r="C862" s="7" t="s">
        <v>47</v>
      </c>
      <c r="D862" s="7" t="n">
        <v>19</v>
      </c>
      <c r="E862" s="7" t="s">
        <v>82</v>
      </c>
      <c r="F862" s="7" t="s">
        <v>57</v>
      </c>
      <c r="G862" s="8" t="n">
        <v>46155</v>
      </c>
      <c r="H862" s="8" t="n">
        <v>46186</v>
      </c>
      <c r="I862" s="7" t="s">
        <v>102</v>
      </c>
      <c r="J862" s="7" t="s">
        <v>51</v>
      </c>
      <c r="K862" s="7" t="n">
        <v>31</v>
      </c>
      <c r="L862" s="7" t="n">
        <v>3</v>
      </c>
      <c r="M862" s="7" t="n">
        <v>1</v>
      </c>
      <c r="N862" s="7" t="s">
        <v>42</v>
      </c>
      <c r="O862" s="7" t="s">
        <v>43</v>
      </c>
      <c r="P862" s="7" t="n">
        <v>7.8</v>
      </c>
      <c r="Q862" s="7" t="n">
        <v>20</v>
      </c>
      <c r="R862" s="7" t="s">
        <v>44</v>
      </c>
      <c r="S862" s="7"/>
      <c r="T862" s="7"/>
      <c r="U862" s="7" t="str">
        <f aca="false">IF(COUNTIF($A$2:$A$5001,A862)&gt;1,"Duplicate","Unique")</f>
        <v>Unique</v>
      </c>
      <c r="V862" s="7" t="str">
        <f aca="false">IF(COUNTIFS($B$2:$B$5001,B862,$H$2:$H$5001,H862,$J$2:$J$5001,J862)&gt;1,"Possible Duplicate Booking","Unique")</f>
        <v>Unique</v>
      </c>
      <c r="W862" s="7" t="str">
        <f aca="false">IF((H862-G862)&lt;&gt;K862,"Mismatch","OK")</f>
        <v>OK</v>
      </c>
      <c r="X862" s="7" t="str">
        <f aca="false">IF(TEXT(H862,"dddd")&lt;&gt;I862,"Mismatch","OK")</f>
        <v>OK</v>
      </c>
      <c r="Y862" s="7" t="str">
        <f aca="false">IF(AND(N862="No",O862&lt;&gt;""),"Unexpected: channel present but no reminder sent",IF(AND(N862="Yes",O862=""),"Missing channel for sent reminder","OK"))</f>
        <v>OK</v>
      </c>
    </row>
    <row r="863" customFormat="false" ht="15" hidden="false" customHeight="false" outlineLevel="0" collapsed="false">
      <c r="A863" s="9" t="s">
        <v>1624</v>
      </c>
      <c r="B863" s="9" t="s">
        <v>1625</v>
      </c>
      <c r="C863" s="9" t="s">
        <v>47</v>
      </c>
      <c r="D863" s="9" t="n">
        <v>40</v>
      </c>
      <c r="E863" s="9" t="s">
        <v>38</v>
      </c>
      <c r="F863" s="9" t="s">
        <v>74</v>
      </c>
      <c r="G863" s="10" t="n">
        <v>46128</v>
      </c>
      <c r="H863" s="10" t="n">
        <v>46164</v>
      </c>
      <c r="I863" s="9" t="s">
        <v>50</v>
      </c>
      <c r="J863" s="9" t="s">
        <v>51</v>
      </c>
      <c r="K863" s="9" t="n">
        <v>36</v>
      </c>
      <c r="L863" s="9" t="n">
        <v>3</v>
      </c>
      <c r="M863" s="9" t="n">
        <v>0</v>
      </c>
      <c r="N863" s="9" t="s">
        <v>42</v>
      </c>
      <c r="O863" s="9" t="s">
        <v>43</v>
      </c>
      <c r="P863" s="9" t="n">
        <v>10.2</v>
      </c>
      <c r="Q863" s="9" t="n">
        <v>22</v>
      </c>
      <c r="R863" s="9" t="s">
        <v>44</v>
      </c>
      <c r="S863" s="9"/>
      <c r="T863" s="9"/>
      <c r="U863" s="9" t="str">
        <f aca="false">IF(COUNTIF($A$2:$A$5001,A863)&gt;1,"Duplicate","Unique")</f>
        <v>Unique</v>
      </c>
      <c r="V863" s="9" t="str">
        <f aca="false">IF(COUNTIFS($B$2:$B$5001,B863,$H$2:$H$5001,H863,$J$2:$J$5001,J863)&gt;1,"Possible Duplicate Booking","Unique")</f>
        <v>Unique</v>
      </c>
      <c r="W863" s="9" t="str">
        <f aca="false">IF((H863-G863)&lt;&gt;K863,"Mismatch","OK")</f>
        <v>OK</v>
      </c>
      <c r="X863" s="9" t="str">
        <f aca="false">IF(TEXT(H863,"dddd")&lt;&gt;I863,"Mismatch","OK")</f>
        <v>OK</v>
      </c>
      <c r="Y863" s="9" t="str">
        <f aca="false">IF(AND(N863="No",O863&lt;&gt;""),"Unexpected: channel present but no reminder sent",IF(AND(N863="Yes",O863=""),"Missing channel for sent reminder","OK"))</f>
        <v>OK</v>
      </c>
    </row>
    <row r="864" customFormat="false" ht="15" hidden="false" customHeight="false" outlineLevel="0" collapsed="false">
      <c r="A864" s="7" t="s">
        <v>1626</v>
      </c>
      <c r="B864" s="7" t="s">
        <v>1627</v>
      </c>
      <c r="C864" s="7" t="s">
        <v>37</v>
      </c>
      <c r="D864" s="7" t="n">
        <v>18</v>
      </c>
      <c r="E864" s="7" t="s">
        <v>82</v>
      </c>
      <c r="F864" s="7" t="s">
        <v>39</v>
      </c>
      <c r="G864" s="8" t="n">
        <v>45688</v>
      </c>
      <c r="H864" s="8" t="n">
        <v>45723</v>
      </c>
      <c r="I864" s="7" t="s">
        <v>50</v>
      </c>
      <c r="J864" s="7" t="s">
        <v>51</v>
      </c>
      <c r="K864" s="7" t="n">
        <v>35</v>
      </c>
      <c r="L864" s="7" t="n">
        <v>2</v>
      </c>
      <c r="M864" s="7" t="n">
        <v>0</v>
      </c>
      <c r="N864" s="7" t="s">
        <v>71</v>
      </c>
      <c r="O864" s="7"/>
      <c r="P864" s="7" t="n">
        <v>15.3</v>
      </c>
      <c r="Q864" s="7" t="n">
        <v>21</v>
      </c>
      <c r="R864" s="7" t="s">
        <v>53</v>
      </c>
      <c r="S864" s="7"/>
      <c r="T864" s="7"/>
      <c r="U864" s="7" t="str">
        <f aca="false">IF(COUNTIF($A$2:$A$5001,A864)&gt;1,"Duplicate","Unique")</f>
        <v>Unique</v>
      </c>
      <c r="V864" s="7" t="str">
        <f aca="false">IF(COUNTIFS($B$2:$B$5001,B864,$H$2:$H$5001,H864,$J$2:$J$5001,J864)&gt;1,"Possible Duplicate Booking","Unique")</f>
        <v>Unique</v>
      </c>
      <c r="W864" s="7" t="str">
        <f aca="false">IF((H864-G864)&lt;&gt;K864,"Mismatch","OK")</f>
        <v>OK</v>
      </c>
      <c r="X864" s="7" t="str">
        <f aca="false">IF(TEXT(H864,"dddd")&lt;&gt;I864,"Mismatch","OK")</f>
        <v>OK</v>
      </c>
      <c r="Y864" s="7" t="str">
        <f aca="false">IF(AND(N864="No",O864&lt;&gt;""),"Unexpected: channel present but no reminder sent",IF(AND(N864="Yes",O864=""),"Missing channel for sent reminder","OK"))</f>
        <v>OK</v>
      </c>
    </row>
    <row r="865" customFormat="false" ht="15" hidden="false" customHeight="false" outlineLevel="0" collapsed="false">
      <c r="A865" s="9" t="s">
        <v>1628</v>
      </c>
      <c r="B865" s="9" t="s">
        <v>1629</v>
      </c>
      <c r="C865" s="9" t="s">
        <v>47</v>
      </c>
      <c r="D865" s="9" t="n">
        <v>45</v>
      </c>
      <c r="E865" s="9" t="s">
        <v>56</v>
      </c>
      <c r="F865" s="9" t="s">
        <v>57</v>
      </c>
      <c r="G865" s="10" t="n">
        <v>46067</v>
      </c>
      <c r="H865" s="10" t="n">
        <v>46079</v>
      </c>
      <c r="I865" s="9" t="s">
        <v>62</v>
      </c>
      <c r="J865" s="9" t="s">
        <v>63</v>
      </c>
      <c r="K865" s="9" t="n">
        <v>12</v>
      </c>
      <c r="L865" s="9" t="n">
        <v>4</v>
      </c>
      <c r="M865" s="9" t="n">
        <v>0</v>
      </c>
      <c r="N865" s="9" t="s">
        <v>42</v>
      </c>
      <c r="O865" s="9" t="s">
        <v>52</v>
      </c>
      <c r="P865" s="9" t="n">
        <v>9</v>
      </c>
      <c r="Q865" s="9" t="n">
        <v>14</v>
      </c>
      <c r="R865" s="9" t="s">
        <v>53</v>
      </c>
      <c r="S865" s="9"/>
      <c r="T865" s="9"/>
      <c r="U865" s="9" t="str">
        <f aca="false">IF(COUNTIF($A$2:$A$5001,A865)&gt;1,"Duplicate","Unique")</f>
        <v>Unique</v>
      </c>
      <c r="V865" s="9" t="str">
        <f aca="false">IF(COUNTIFS($B$2:$B$5001,B865,$H$2:$H$5001,H865,$J$2:$J$5001,J865)&gt;1,"Possible Duplicate Booking","Unique")</f>
        <v>Unique</v>
      </c>
      <c r="W865" s="9" t="str">
        <f aca="false">IF((H865-G865)&lt;&gt;K865,"Mismatch","OK")</f>
        <v>OK</v>
      </c>
      <c r="X865" s="9" t="str">
        <f aca="false">IF(TEXT(H865,"dddd")&lt;&gt;I865,"Mismatch","OK")</f>
        <v>OK</v>
      </c>
      <c r="Y865" s="9" t="str">
        <f aca="false">IF(AND(N865="No",O865&lt;&gt;""),"Unexpected: channel present but no reminder sent",IF(AND(N865="Yes",O865=""),"Missing channel for sent reminder","OK"))</f>
        <v>OK</v>
      </c>
    </row>
    <row r="866" customFormat="false" ht="15" hidden="false" customHeight="false" outlineLevel="0" collapsed="false">
      <c r="A866" s="7" t="s">
        <v>1630</v>
      </c>
      <c r="B866" s="7" t="s">
        <v>1631</v>
      </c>
      <c r="C866" s="7" t="s">
        <v>37</v>
      </c>
      <c r="D866" s="7" t="n">
        <v>69</v>
      </c>
      <c r="E866" s="7" t="s">
        <v>70</v>
      </c>
      <c r="F866" s="7" t="s">
        <v>39</v>
      </c>
      <c r="G866" s="8" t="n">
        <v>46064</v>
      </c>
      <c r="H866" s="8" t="n">
        <v>46119</v>
      </c>
      <c r="I866" s="7" t="s">
        <v>40</v>
      </c>
      <c r="J866" s="7" t="s">
        <v>51</v>
      </c>
      <c r="K866" s="7" t="n">
        <v>55</v>
      </c>
      <c r="L866" s="7" t="n">
        <v>3</v>
      </c>
      <c r="M866" s="7" t="n">
        <v>1</v>
      </c>
      <c r="N866" s="7" t="s">
        <v>42</v>
      </c>
      <c r="O866" s="7" t="s">
        <v>67</v>
      </c>
      <c r="P866" s="7" t="n">
        <v>10.7</v>
      </c>
      <c r="Q866" s="7" t="n">
        <v>17</v>
      </c>
      <c r="R866" s="7" t="s">
        <v>44</v>
      </c>
      <c r="S866" s="7"/>
      <c r="T866" s="7"/>
      <c r="U866" s="7" t="str">
        <f aca="false">IF(COUNTIF($A$2:$A$5001,A866)&gt;1,"Duplicate","Unique")</f>
        <v>Unique</v>
      </c>
      <c r="V866" s="7" t="str">
        <f aca="false">IF(COUNTIFS($B$2:$B$5001,B866,$H$2:$H$5001,H866,$J$2:$J$5001,J866)&gt;1,"Possible Duplicate Booking","Unique")</f>
        <v>Unique</v>
      </c>
      <c r="W866" s="7" t="str">
        <f aca="false">IF((H866-G866)&lt;&gt;K866,"Mismatch","OK")</f>
        <v>OK</v>
      </c>
      <c r="X866" s="7" t="str">
        <f aca="false">IF(TEXT(H866,"dddd")&lt;&gt;I866,"Mismatch","OK")</f>
        <v>OK</v>
      </c>
      <c r="Y866" s="7" t="str">
        <f aca="false">IF(AND(N866="No",O866&lt;&gt;""),"Unexpected: channel present but no reminder sent",IF(AND(N866="Yes",O866=""),"Missing channel for sent reminder","OK"))</f>
        <v>OK</v>
      </c>
    </row>
    <row r="867" customFormat="false" ht="15" hidden="false" customHeight="false" outlineLevel="0" collapsed="false">
      <c r="A867" s="9" t="s">
        <v>1632</v>
      </c>
      <c r="B867" s="9" t="s">
        <v>1633</v>
      </c>
      <c r="C867" s="9" t="s">
        <v>37</v>
      </c>
      <c r="D867" s="9" t="n">
        <v>59</v>
      </c>
      <c r="E867" s="9" t="s">
        <v>61</v>
      </c>
      <c r="F867" s="9" t="s">
        <v>74</v>
      </c>
      <c r="G867" s="10" t="n">
        <v>46005</v>
      </c>
      <c r="H867" s="10" t="n">
        <v>46039</v>
      </c>
      <c r="I867" s="9" t="s">
        <v>102</v>
      </c>
      <c r="J867" s="9" t="s">
        <v>51</v>
      </c>
      <c r="K867" s="9" t="n">
        <v>34</v>
      </c>
      <c r="L867" s="9" t="n">
        <v>6</v>
      </c>
      <c r="M867" s="9" t="n">
        <v>0</v>
      </c>
      <c r="N867" s="9" t="s">
        <v>42</v>
      </c>
      <c r="O867" s="9" t="s">
        <v>43</v>
      </c>
      <c r="P867" s="9" t="n">
        <v>20.6</v>
      </c>
      <c r="Q867" s="9" t="n">
        <v>30</v>
      </c>
      <c r="R867" s="9" t="s">
        <v>53</v>
      </c>
      <c r="S867" s="9"/>
      <c r="T867" s="9"/>
      <c r="U867" s="9" t="str">
        <f aca="false">IF(COUNTIF($A$2:$A$5001,A867)&gt;1,"Duplicate","Unique")</f>
        <v>Unique</v>
      </c>
      <c r="V867" s="9" t="str">
        <f aca="false">IF(COUNTIFS($B$2:$B$5001,B867,$H$2:$H$5001,H867,$J$2:$J$5001,J867)&gt;1,"Possible Duplicate Booking","Unique")</f>
        <v>Unique</v>
      </c>
      <c r="W867" s="9" t="str">
        <f aca="false">IF((H867-G867)&lt;&gt;K867,"Mismatch","OK")</f>
        <v>OK</v>
      </c>
      <c r="X867" s="9" t="str">
        <f aca="false">IF(TEXT(H867,"dddd")&lt;&gt;I867,"Mismatch","OK")</f>
        <v>OK</v>
      </c>
      <c r="Y867" s="9" t="str">
        <f aca="false">IF(AND(N867="No",O867&lt;&gt;""),"Unexpected: channel present but no reminder sent",IF(AND(N867="Yes",O867=""),"Missing channel for sent reminder","OK"))</f>
        <v>OK</v>
      </c>
    </row>
    <row r="868" customFormat="false" ht="15" hidden="false" customHeight="false" outlineLevel="0" collapsed="false">
      <c r="A868" s="7" t="s">
        <v>1634</v>
      </c>
      <c r="B868" s="7" t="s">
        <v>1068</v>
      </c>
      <c r="C868" s="7" t="s">
        <v>236</v>
      </c>
      <c r="D868" s="7" t="n">
        <v>37</v>
      </c>
      <c r="E868" s="7" t="s">
        <v>38</v>
      </c>
      <c r="F868" s="7" t="s">
        <v>57</v>
      </c>
      <c r="G868" s="8" t="n">
        <v>46062</v>
      </c>
      <c r="H868" s="8" t="n">
        <v>46105</v>
      </c>
      <c r="I868" s="7" t="s">
        <v>40</v>
      </c>
      <c r="J868" s="7" t="s">
        <v>51</v>
      </c>
      <c r="K868" s="7" t="n">
        <v>43</v>
      </c>
      <c r="L868" s="7" t="n">
        <v>2</v>
      </c>
      <c r="M868" s="7" t="n">
        <v>0</v>
      </c>
      <c r="N868" s="7" t="s">
        <v>42</v>
      </c>
      <c r="O868" s="7" t="s">
        <v>67</v>
      </c>
      <c r="P868" s="7" t="n">
        <v>10.3</v>
      </c>
      <c r="Q868" s="7" t="n">
        <v>29</v>
      </c>
      <c r="R868" s="7" t="s">
        <v>87</v>
      </c>
      <c r="S868" s="7"/>
      <c r="T868" s="7"/>
      <c r="U868" s="7" t="str">
        <f aca="false">IF(COUNTIF($A$2:$A$5001,A868)&gt;1,"Duplicate","Unique")</f>
        <v>Unique</v>
      </c>
      <c r="V868" s="7" t="str">
        <f aca="false">IF(COUNTIFS($B$2:$B$5001,B868,$H$2:$H$5001,H868,$J$2:$J$5001,J868)&gt;1,"Possible Duplicate Booking","Unique")</f>
        <v>Unique</v>
      </c>
      <c r="W868" s="7" t="str">
        <f aca="false">IF((H868-G868)&lt;&gt;K868,"Mismatch","OK")</f>
        <v>OK</v>
      </c>
      <c r="X868" s="7" t="str">
        <f aca="false">IF(TEXT(H868,"dddd")&lt;&gt;I868,"Mismatch","OK")</f>
        <v>OK</v>
      </c>
      <c r="Y868" s="7" t="str">
        <f aca="false">IF(AND(N868="No",O868&lt;&gt;""),"Unexpected: channel present but no reminder sent",IF(AND(N868="Yes",O868=""),"Missing channel for sent reminder","OK"))</f>
        <v>OK</v>
      </c>
    </row>
    <row r="869" customFormat="false" ht="15" hidden="false" customHeight="false" outlineLevel="0" collapsed="false">
      <c r="A869" s="9" t="s">
        <v>1635</v>
      </c>
      <c r="B869" s="9" t="s">
        <v>395</v>
      </c>
      <c r="C869" s="9" t="s">
        <v>47</v>
      </c>
      <c r="D869" s="9" t="n">
        <v>44</v>
      </c>
      <c r="E869" s="9" t="s">
        <v>38</v>
      </c>
      <c r="F869" s="9" t="s">
        <v>49</v>
      </c>
      <c r="G869" s="10" t="n">
        <v>46062</v>
      </c>
      <c r="H869" s="10" t="n">
        <v>46115</v>
      </c>
      <c r="I869" s="9" t="s">
        <v>50</v>
      </c>
      <c r="J869" s="9" t="s">
        <v>51</v>
      </c>
      <c r="K869" s="9" t="n">
        <v>53</v>
      </c>
      <c r="L869" s="9" t="n">
        <v>4</v>
      </c>
      <c r="M869" s="9" t="n">
        <v>0</v>
      </c>
      <c r="N869" s="9" t="s">
        <v>71</v>
      </c>
      <c r="O869" s="9"/>
      <c r="P869" s="9" t="n">
        <v>6.4</v>
      </c>
      <c r="Q869" s="9" t="n">
        <v>24</v>
      </c>
      <c r="R869" s="9" t="s">
        <v>44</v>
      </c>
      <c r="S869" s="9"/>
      <c r="T869" s="9"/>
      <c r="U869" s="9" t="str">
        <f aca="false">IF(COUNTIF($A$2:$A$5001,A869)&gt;1,"Duplicate","Unique")</f>
        <v>Unique</v>
      </c>
      <c r="V869" s="9" t="str">
        <f aca="false">IF(COUNTIFS($B$2:$B$5001,B869,$H$2:$H$5001,H869,$J$2:$J$5001,J869)&gt;1,"Possible Duplicate Booking","Unique")</f>
        <v>Unique</v>
      </c>
      <c r="W869" s="9" t="str">
        <f aca="false">IF((H869-G869)&lt;&gt;K869,"Mismatch","OK")</f>
        <v>OK</v>
      </c>
      <c r="X869" s="9" t="str">
        <f aca="false">IF(TEXT(H869,"dddd")&lt;&gt;I869,"Mismatch","OK")</f>
        <v>OK</v>
      </c>
      <c r="Y869" s="9" t="str">
        <f aca="false">IF(AND(N869="No",O869&lt;&gt;""),"Unexpected: channel present but no reminder sent",IF(AND(N869="Yes",O869=""),"Missing channel for sent reminder","OK"))</f>
        <v>OK</v>
      </c>
    </row>
    <row r="870" customFormat="false" ht="15" hidden="false" customHeight="false" outlineLevel="0" collapsed="false">
      <c r="A870" s="7" t="s">
        <v>1636</v>
      </c>
      <c r="B870" s="7" t="s">
        <v>1637</v>
      </c>
      <c r="C870" s="7" t="s">
        <v>37</v>
      </c>
      <c r="D870" s="7" t="n">
        <v>41</v>
      </c>
      <c r="E870" s="7" t="s">
        <v>38</v>
      </c>
      <c r="F870" s="7" t="s">
        <v>57</v>
      </c>
      <c r="G870" s="8" t="n">
        <v>45845</v>
      </c>
      <c r="H870" s="8" t="n">
        <v>45901</v>
      </c>
      <c r="I870" s="7" t="s">
        <v>66</v>
      </c>
      <c r="J870" s="7" t="s">
        <v>41</v>
      </c>
      <c r="K870" s="7" t="n">
        <v>56</v>
      </c>
      <c r="L870" s="7" t="n">
        <v>1</v>
      </c>
      <c r="M870" s="7" t="n">
        <v>0</v>
      </c>
      <c r="N870" s="7" t="s">
        <v>42</v>
      </c>
      <c r="O870" s="7" t="s">
        <v>52</v>
      </c>
      <c r="P870" s="7" t="n">
        <v>20.4</v>
      </c>
      <c r="Q870" s="7" t="n">
        <v>13</v>
      </c>
      <c r="R870" s="7" t="s">
        <v>44</v>
      </c>
      <c r="S870" s="7"/>
      <c r="T870" s="7"/>
      <c r="U870" s="7" t="str">
        <f aca="false">IF(COUNTIF($A$2:$A$5001,A870)&gt;1,"Duplicate","Unique")</f>
        <v>Unique</v>
      </c>
      <c r="V870" s="7" t="str">
        <f aca="false">IF(COUNTIFS($B$2:$B$5001,B870,$H$2:$H$5001,H870,$J$2:$J$5001,J870)&gt;1,"Possible Duplicate Booking","Unique")</f>
        <v>Unique</v>
      </c>
      <c r="W870" s="7" t="str">
        <f aca="false">IF((H870-G870)&lt;&gt;K870,"Mismatch","OK")</f>
        <v>OK</v>
      </c>
      <c r="X870" s="7" t="str">
        <f aca="false">IF(TEXT(H870,"dddd")&lt;&gt;I870,"Mismatch","OK")</f>
        <v>OK</v>
      </c>
      <c r="Y870" s="7" t="str">
        <f aca="false">IF(AND(N870="No",O870&lt;&gt;""),"Unexpected: channel present but no reminder sent",IF(AND(N870="Yes",O870=""),"Missing channel for sent reminder","OK"))</f>
        <v>OK</v>
      </c>
    </row>
    <row r="871" customFormat="false" ht="15" hidden="false" customHeight="false" outlineLevel="0" collapsed="false">
      <c r="A871" s="9" t="s">
        <v>1638</v>
      </c>
      <c r="B871" s="9" t="s">
        <v>1639</v>
      </c>
      <c r="C871" s="9" t="s">
        <v>37</v>
      </c>
      <c r="D871" s="9" t="n">
        <v>64</v>
      </c>
      <c r="E871" s="9" t="s">
        <v>61</v>
      </c>
      <c r="F871" s="9" t="s">
        <v>57</v>
      </c>
      <c r="G871" s="10" t="n">
        <v>45639</v>
      </c>
      <c r="H871" s="10" t="n">
        <v>45679</v>
      </c>
      <c r="I871" s="9" t="s">
        <v>58</v>
      </c>
      <c r="J871" s="9" t="s">
        <v>41</v>
      </c>
      <c r="K871" s="9" t="n">
        <v>40</v>
      </c>
      <c r="L871" s="9" t="n">
        <v>5</v>
      </c>
      <c r="M871" s="9" t="n">
        <v>0</v>
      </c>
      <c r="N871" s="9" t="s">
        <v>71</v>
      </c>
      <c r="O871" s="9"/>
      <c r="P871" s="9" t="n">
        <v>9.7</v>
      </c>
      <c r="Q871" s="9" t="n">
        <v>33</v>
      </c>
      <c r="R871" s="9" t="s">
        <v>44</v>
      </c>
      <c r="S871" s="9"/>
      <c r="T871" s="9"/>
      <c r="U871" s="9" t="str">
        <f aca="false">IF(COUNTIF($A$2:$A$5001,A871)&gt;1,"Duplicate","Unique")</f>
        <v>Unique</v>
      </c>
      <c r="V871" s="9" t="str">
        <f aca="false">IF(COUNTIFS($B$2:$B$5001,B871,$H$2:$H$5001,H871,$J$2:$J$5001,J871)&gt;1,"Possible Duplicate Booking","Unique")</f>
        <v>Unique</v>
      </c>
      <c r="W871" s="9" t="str">
        <f aca="false">IF((H871-G871)&lt;&gt;K871,"Mismatch","OK")</f>
        <v>OK</v>
      </c>
      <c r="X871" s="9" t="str">
        <f aca="false">IF(TEXT(H871,"dddd")&lt;&gt;I871,"Mismatch","OK")</f>
        <v>OK</v>
      </c>
      <c r="Y871" s="9" t="str">
        <f aca="false">IF(AND(N871="No",O871&lt;&gt;""),"Unexpected: channel present but no reminder sent",IF(AND(N871="Yes",O871=""),"Missing channel for sent reminder","OK"))</f>
        <v>OK</v>
      </c>
    </row>
    <row r="872" customFormat="false" ht="15" hidden="false" customHeight="false" outlineLevel="0" collapsed="false">
      <c r="A872" s="7" t="s">
        <v>1640</v>
      </c>
      <c r="B872" s="7" t="s">
        <v>1103</v>
      </c>
      <c r="C872" s="7" t="s">
        <v>47</v>
      </c>
      <c r="D872" s="7" t="n">
        <v>34</v>
      </c>
      <c r="E872" s="7" t="s">
        <v>48</v>
      </c>
      <c r="F872" s="7" t="s">
        <v>39</v>
      </c>
      <c r="G872" s="8" t="n">
        <v>45859</v>
      </c>
      <c r="H872" s="8" t="n">
        <v>45907</v>
      </c>
      <c r="I872" s="7" t="s">
        <v>75</v>
      </c>
      <c r="J872" s="7" t="s">
        <v>51</v>
      </c>
      <c r="K872" s="7" t="n">
        <v>48</v>
      </c>
      <c r="L872" s="7" t="n">
        <v>1</v>
      </c>
      <c r="M872" s="7" t="n">
        <v>0</v>
      </c>
      <c r="N872" s="7" t="s">
        <v>42</v>
      </c>
      <c r="O872" s="7" t="s">
        <v>52</v>
      </c>
      <c r="P872" s="7" t="n">
        <v>3.2</v>
      </c>
      <c r="Q872" s="7" t="n">
        <v>33</v>
      </c>
      <c r="R872" s="7" t="s">
        <v>53</v>
      </c>
      <c r="S872" s="7"/>
      <c r="T872" s="7"/>
      <c r="U872" s="7" t="str">
        <f aca="false">IF(COUNTIF($A$2:$A$5001,A872)&gt;1,"Duplicate","Unique")</f>
        <v>Unique</v>
      </c>
      <c r="V872" s="7" t="str">
        <f aca="false">IF(COUNTIFS($B$2:$B$5001,B872,$H$2:$H$5001,H872,$J$2:$J$5001,J872)&gt;1,"Possible Duplicate Booking","Unique")</f>
        <v>Unique</v>
      </c>
      <c r="W872" s="7" t="str">
        <f aca="false">IF((H872-G872)&lt;&gt;K872,"Mismatch","OK")</f>
        <v>OK</v>
      </c>
      <c r="X872" s="7" t="str">
        <f aca="false">IF(TEXT(H872,"dddd")&lt;&gt;I872,"Mismatch","OK")</f>
        <v>OK</v>
      </c>
      <c r="Y872" s="7" t="str">
        <f aca="false">IF(AND(N872="No",O872&lt;&gt;""),"Unexpected: channel present but no reminder sent",IF(AND(N872="Yes",O872=""),"Missing channel for sent reminder","OK"))</f>
        <v>OK</v>
      </c>
    </row>
    <row r="873" customFormat="false" ht="15" hidden="false" customHeight="false" outlineLevel="0" collapsed="false">
      <c r="A873" s="9" t="s">
        <v>1641</v>
      </c>
      <c r="B873" s="9" t="s">
        <v>256</v>
      </c>
      <c r="C873" s="9" t="s">
        <v>37</v>
      </c>
      <c r="D873" s="9" t="n">
        <v>23</v>
      </c>
      <c r="E873" s="9" t="s">
        <v>82</v>
      </c>
      <c r="F873" s="9" t="s">
        <v>39</v>
      </c>
      <c r="G873" s="10" t="n">
        <v>45740</v>
      </c>
      <c r="H873" s="10" t="n">
        <v>45768</v>
      </c>
      <c r="I873" s="9" t="s">
        <v>66</v>
      </c>
      <c r="J873" s="9" t="s">
        <v>41</v>
      </c>
      <c r="K873" s="9" t="n">
        <v>28</v>
      </c>
      <c r="L873" s="9" t="n">
        <v>3</v>
      </c>
      <c r="M873" s="9" t="n">
        <v>0</v>
      </c>
      <c r="N873" s="9" t="s">
        <v>42</v>
      </c>
      <c r="O873" s="9" t="s">
        <v>52</v>
      </c>
      <c r="P873" s="9" t="n">
        <v>6.9</v>
      </c>
      <c r="Q873" s="9" t="n">
        <v>36</v>
      </c>
      <c r="R873" s="9" t="s">
        <v>53</v>
      </c>
      <c r="S873" s="9"/>
      <c r="T873" s="9"/>
      <c r="U873" s="9" t="str">
        <f aca="false">IF(COUNTIF($A$2:$A$5001,A873)&gt;1,"Duplicate","Unique")</f>
        <v>Unique</v>
      </c>
      <c r="V873" s="9" t="str">
        <f aca="false">IF(COUNTIFS($B$2:$B$5001,B873,$H$2:$H$5001,H873,$J$2:$J$5001,J873)&gt;1,"Possible Duplicate Booking","Unique")</f>
        <v>Unique</v>
      </c>
      <c r="W873" s="9" t="str">
        <f aca="false">IF((H873-G873)&lt;&gt;K873,"Mismatch","OK")</f>
        <v>OK</v>
      </c>
      <c r="X873" s="9" t="str">
        <f aca="false">IF(TEXT(H873,"dddd")&lt;&gt;I873,"Mismatch","OK")</f>
        <v>OK</v>
      </c>
      <c r="Y873" s="9" t="str">
        <f aca="false">IF(AND(N873="No",O873&lt;&gt;""),"Unexpected: channel present but no reminder sent",IF(AND(N873="Yes",O873=""),"Missing channel for sent reminder","OK"))</f>
        <v>OK</v>
      </c>
    </row>
    <row r="874" customFormat="false" ht="15" hidden="false" customHeight="false" outlineLevel="0" collapsed="false">
      <c r="A874" s="7" t="s">
        <v>1642</v>
      </c>
      <c r="B874" s="7" t="s">
        <v>1643</v>
      </c>
      <c r="C874" s="7" t="s">
        <v>47</v>
      </c>
      <c r="D874" s="7" t="n">
        <v>49</v>
      </c>
      <c r="E874" s="7" t="s">
        <v>56</v>
      </c>
      <c r="F874" s="7" t="s">
        <v>57</v>
      </c>
      <c r="G874" s="8" t="n">
        <v>45675</v>
      </c>
      <c r="H874" s="8" t="n">
        <v>45720</v>
      </c>
      <c r="I874" s="7" t="s">
        <v>40</v>
      </c>
      <c r="J874" s="7" t="s">
        <v>51</v>
      </c>
      <c r="K874" s="7" t="n">
        <v>45</v>
      </c>
      <c r="L874" s="7" t="n">
        <v>4</v>
      </c>
      <c r="M874" s="7" t="n">
        <v>1</v>
      </c>
      <c r="N874" s="7" t="s">
        <v>42</v>
      </c>
      <c r="O874" s="7" t="s">
        <v>67</v>
      </c>
      <c r="P874" s="7" t="n">
        <v>27.4</v>
      </c>
      <c r="Q874" s="7" t="n">
        <v>15</v>
      </c>
      <c r="R874" s="7" t="s">
        <v>44</v>
      </c>
      <c r="S874" s="7"/>
      <c r="T874" s="7"/>
      <c r="U874" s="7" t="str">
        <f aca="false">IF(COUNTIF($A$2:$A$5001,A874)&gt;1,"Duplicate","Unique")</f>
        <v>Unique</v>
      </c>
      <c r="V874" s="7" t="str">
        <f aca="false">IF(COUNTIFS($B$2:$B$5001,B874,$H$2:$H$5001,H874,$J$2:$J$5001,J874)&gt;1,"Possible Duplicate Booking","Unique")</f>
        <v>Unique</v>
      </c>
      <c r="W874" s="7" t="str">
        <f aca="false">IF((H874-G874)&lt;&gt;K874,"Mismatch","OK")</f>
        <v>OK</v>
      </c>
      <c r="X874" s="7" t="str">
        <f aca="false">IF(TEXT(H874,"dddd")&lt;&gt;I874,"Mismatch","OK")</f>
        <v>OK</v>
      </c>
      <c r="Y874" s="7" t="str">
        <f aca="false">IF(AND(N874="No",O874&lt;&gt;""),"Unexpected: channel present but no reminder sent",IF(AND(N874="Yes",O874=""),"Missing channel for sent reminder","OK"))</f>
        <v>OK</v>
      </c>
    </row>
    <row r="875" customFormat="false" ht="15" hidden="false" customHeight="false" outlineLevel="0" collapsed="false">
      <c r="A875" s="9" t="s">
        <v>1644</v>
      </c>
      <c r="B875" s="9" t="s">
        <v>1645</v>
      </c>
      <c r="C875" s="9" t="s">
        <v>37</v>
      </c>
      <c r="D875" s="9" t="n">
        <v>70</v>
      </c>
      <c r="E875" s="9" t="s">
        <v>70</v>
      </c>
      <c r="F875" s="9" t="s">
        <v>57</v>
      </c>
      <c r="G875" s="10" t="n">
        <v>45707</v>
      </c>
      <c r="H875" s="10" t="n">
        <v>45726</v>
      </c>
      <c r="I875" s="9" t="s">
        <v>66</v>
      </c>
      <c r="J875" s="9" t="s">
        <v>41</v>
      </c>
      <c r="K875" s="9" t="n">
        <v>19</v>
      </c>
      <c r="L875" s="9" t="n">
        <v>2</v>
      </c>
      <c r="M875" s="9" t="n">
        <v>0</v>
      </c>
      <c r="N875" s="9" t="s">
        <v>42</v>
      </c>
      <c r="O875" s="9" t="s">
        <v>52</v>
      </c>
      <c r="P875" s="9" t="n">
        <v>16</v>
      </c>
      <c r="Q875" s="9" t="n">
        <v>64</v>
      </c>
      <c r="R875" s="9" t="s">
        <v>44</v>
      </c>
      <c r="S875" s="9"/>
      <c r="T875" s="9"/>
      <c r="U875" s="9" t="str">
        <f aca="false">IF(COUNTIF($A$2:$A$5001,A875)&gt;1,"Duplicate","Unique")</f>
        <v>Unique</v>
      </c>
      <c r="V875" s="9" t="str">
        <f aca="false">IF(COUNTIFS($B$2:$B$5001,B875,$H$2:$H$5001,H875,$J$2:$J$5001,J875)&gt;1,"Possible Duplicate Booking","Unique")</f>
        <v>Unique</v>
      </c>
      <c r="W875" s="9" t="str">
        <f aca="false">IF((H875-G875)&lt;&gt;K875,"Mismatch","OK")</f>
        <v>OK</v>
      </c>
      <c r="X875" s="9" t="str">
        <f aca="false">IF(TEXT(H875,"dddd")&lt;&gt;I875,"Mismatch","OK")</f>
        <v>OK</v>
      </c>
      <c r="Y875" s="9" t="str">
        <f aca="false">IF(AND(N875="No",O875&lt;&gt;""),"Unexpected: channel present but no reminder sent",IF(AND(N875="Yes",O875=""),"Missing channel for sent reminder","OK"))</f>
        <v>OK</v>
      </c>
    </row>
    <row r="876" customFormat="false" ht="15" hidden="false" customHeight="false" outlineLevel="0" collapsed="false">
      <c r="A876" s="7" t="s">
        <v>1646</v>
      </c>
      <c r="B876" s="7" t="s">
        <v>1647</v>
      </c>
      <c r="C876" s="7" t="s">
        <v>37</v>
      </c>
      <c r="D876" s="7" t="n">
        <v>48</v>
      </c>
      <c r="E876" s="7" t="s">
        <v>56</v>
      </c>
      <c r="F876" s="7" t="s">
        <v>39</v>
      </c>
      <c r="G876" s="8" t="n">
        <v>45995</v>
      </c>
      <c r="H876" s="8" t="n">
        <v>46038</v>
      </c>
      <c r="I876" s="7" t="s">
        <v>50</v>
      </c>
      <c r="J876" s="7" t="s">
        <v>63</v>
      </c>
      <c r="K876" s="7" t="n">
        <v>43</v>
      </c>
      <c r="L876" s="7" t="n">
        <v>2</v>
      </c>
      <c r="M876" s="7" t="n">
        <v>0</v>
      </c>
      <c r="N876" s="7" t="s">
        <v>42</v>
      </c>
      <c r="O876" s="7" t="s">
        <v>52</v>
      </c>
      <c r="P876" s="7" t="n">
        <v>5.5</v>
      </c>
      <c r="Q876" s="7" t="n">
        <v>26</v>
      </c>
      <c r="R876" s="7" t="s">
        <v>53</v>
      </c>
      <c r="S876" s="7"/>
      <c r="T876" s="7"/>
      <c r="U876" s="7" t="str">
        <f aca="false">IF(COUNTIF($A$2:$A$5001,A876)&gt;1,"Duplicate","Unique")</f>
        <v>Unique</v>
      </c>
      <c r="V876" s="7" t="str">
        <f aca="false">IF(COUNTIFS($B$2:$B$5001,B876,$H$2:$H$5001,H876,$J$2:$J$5001,J876)&gt;1,"Possible Duplicate Booking","Unique")</f>
        <v>Unique</v>
      </c>
      <c r="W876" s="7" t="str">
        <f aca="false">IF((H876-G876)&lt;&gt;K876,"Mismatch","OK")</f>
        <v>OK</v>
      </c>
      <c r="X876" s="7" t="str">
        <f aca="false">IF(TEXT(H876,"dddd")&lt;&gt;I876,"Mismatch","OK")</f>
        <v>OK</v>
      </c>
      <c r="Y876" s="7" t="str">
        <f aca="false">IF(AND(N876="No",O876&lt;&gt;""),"Unexpected: channel present but no reminder sent",IF(AND(N876="Yes",O876=""),"Missing channel for sent reminder","OK"))</f>
        <v>OK</v>
      </c>
    </row>
    <row r="877" customFormat="false" ht="15" hidden="false" customHeight="false" outlineLevel="0" collapsed="false">
      <c r="A877" s="9" t="s">
        <v>1648</v>
      </c>
      <c r="B877" s="9" t="s">
        <v>599</v>
      </c>
      <c r="C877" s="9" t="s">
        <v>47</v>
      </c>
      <c r="D877" s="9" t="n">
        <v>30</v>
      </c>
      <c r="E877" s="9" t="s">
        <v>48</v>
      </c>
      <c r="F877" s="9" t="s">
        <v>39</v>
      </c>
      <c r="G877" s="10" t="n">
        <v>45928</v>
      </c>
      <c r="H877" s="10" t="n">
        <v>45933</v>
      </c>
      <c r="I877" s="9" t="s">
        <v>50</v>
      </c>
      <c r="J877" s="9" t="s">
        <v>63</v>
      </c>
      <c r="K877" s="9" t="n">
        <v>5</v>
      </c>
      <c r="L877" s="9" t="n">
        <v>4</v>
      </c>
      <c r="M877" s="9" t="n">
        <v>1</v>
      </c>
      <c r="N877" s="9" t="s">
        <v>42</v>
      </c>
      <c r="O877" s="9" t="s">
        <v>43</v>
      </c>
      <c r="P877" s="9" t="n">
        <v>17.4</v>
      </c>
      <c r="Q877" s="9" t="n">
        <v>16</v>
      </c>
      <c r="R877" s="9" t="s">
        <v>53</v>
      </c>
      <c r="S877" s="9"/>
      <c r="T877" s="9"/>
      <c r="U877" s="9" t="str">
        <f aca="false">IF(COUNTIF($A$2:$A$5001,A877)&gt;1,"Duplicate","Unique")</f>
        <v>Unique</v>
      </c>
      <c r="V877" s="9" t="str">
        <f aca="false">IF(COUNTIFS($B$2:$B$5001,B877,$H$2:$H$5001,H877,$J$2:$J$5001,J877)&gt;1,"Possible Duplicate Booking","Unique")</f>
        <v>Unique</v>
      </c>
      <c r="W877" s="9" t="str">
        <f aca="false">IF((H877-G877)&lt;&gt;K877,"Mismatch","OK")</f>
        <v>OK</v>
      </c>
      <c r="X877" s="9" t="str">
        <f aca="false">IF(TEXT(H877,"dddd")&lt;&gt;I877,"Mismatch","OK")</f>
        <v>OK</v>
      </c>
      <c r="Y877" s="9" t="str">
        <f aca="false">IF(AND(N877="No",O877&lt;&gt;""),"Unexpected: channel present but no reminder sent",IF(AND(N877="Yes",O877=""),"Missing channel for sent reminder","OK"))</f>
        <v>OK</v>
      </c>
    </row>
    <row r="878" customFormat="false" ht="15" hidden="false" customHeight="false" outlineLevel="0" collapsed="false">
      <c r="A878" s="7" t="s">
        <v>1649</v>
      </c>
      <c r="B878" s="7" t="s">
        <v>1650</v>
      </c>
      <c r="C878" s="7" t="s">
        <v>47</v>
      </c>
      <c r="D878" s="7" t="n">
        <v>20</v>
      </c>
      <c r="E878" s="7" t="s">
        <v>82</v>
      </c>
      <c r="F878" s="7" t="s">
        <v>49</v>
      </c>
      <c r="G878" s="8" t="n">
        <v>45897</v>
      </c>
      <c r="H878" s="8" t="n">
        <v>45952</v>
      </c>
      <c r="I878" s="7" t="s">
        <v>58</v>
      </c>
      <c r="J878" s="7" t="s">
        <v>51</v>
      </c>
      <c r="K878" s="7" t="n">
        <v>55</v>
      </c>
      <c r="L878" s="7" t="n">
        <v>5</v>
      </c>
      <c r="M878" s="7" t="n">
        <v>1</v>
      </c>
      <c r="N878" s="7" t="s">
        <v>42</v>
      </c>
      <c r="O878" s="7" t="s">
        <v>67</v>
      </c>
      <c r="P878" s="7" t="n">
        <v>6.9</v>
      </c>
      <c r="Q878" s="7" t="n">
        <v>50</v>
      </c>
      <c r="R878" s="7" t="s">
        <v>44</v>
      </c>
      <c r="S878" s="7"/>
      <c r="T878" s="7"/>
      <c r="U878" s="7" t="str">
        <f aca="false">IF(COUNTIF($A$2:$A$5001,A878)&gt;1,"Duplicate","Unique")</f>
        <v>Unique</v>
      </c>
      <c r="V878" s="7" t="str">
        <f aca="false">IF(COUNTIFS($B$2:$B$5001,B878,$H$2:$H$5001,H878,$J$2:$J$5001,J878)&gt;1,"Possible Duplicate Booking","Unique")</f>
        <v>Unique</v>
      </c>
      <c r="W878" s="7" t="str">
        <f aca="false">IF((H878-G878)&lt;&gt;K878,"Mismatch","OK")</f>
        <v>OK</v>
      </c>
      <c r="X878" s="7" t="str">
        <f aca="false">IF(TEXT(H878,"dddd")&lt;&gt;I878,"Mismatch","OK")</f>
        <v>OK</v>
      </c>
      <c r="Y878" s="7" t="str">
        <f aca="false">IF(AND(N878="No",O878&lt;&gt;""),"Unexpected: channel present but no reminder sent",IF(AND(N878="Yes",O878=""),"Missing channel for sent reminder","OK"))</f>
        <v>OK</v>
      </c>
    </row>
    <row r="879" customFormat="false" ht="15" hidden="false" customHeight="false" outlineLevel="0" collapsed="false">
      <c r="A879" s="9" t="s">
        <v>1651</v>
      </c>
      <c r="B879" s="9" t="s">
        <v>116</v>
      </c>
      <c r="C879" s="9" t="s">
        <v>37</v>
      </c>
      <c r="D879" s="9" t="n">
        <v>77</v>
      </c>
      <c r="E879" s="9" t="s">
        <v>70</v>
      </c>
      <c r="F879" s="9" t="s">
        <v>49</v>
      </c>
      <c r="G879" s="10" t="n">
        <v>46050</v>
      </c>
      <c r="H879" s="10" t="n">
        <v>46064</v>
      </c>
      <c r="I879" s="9" t="s">
        <v>58</v>
      </c>
      <c r="J879" s="9" t="s">
        <v>41</v>
      </c>
      <c r="K879" s="9" t="n">
        <v>14</v>
      </c>
      <c r="L879" s="9" t="n">
        <v>2</v>
      </c>
      <c r="M879" s="9" t="n">
        <v>0</v>
      </c>
      <c r="N879" s="9" t="s">
        <v>71</v>
      </c>
      <c r="O879" s="9"/>
      <c r="P879" s="9" t="n">
        <v>4.5</v>
      </c>
      <c r="Q879" s="9" t="n">
        <v>32</v>
      </c>
      <c r="R879" s="9" t="s">
        <v>44</v>
      </c>
      <c r="S879" s="9"/>
      <c r="T879" s="9"/>
      <c r="U879" s="9" t="str">
        <f aca="false">IF(COUNTIF($A$2:$A$5001,A879)&gt;1,"Duplicate","Unique")</f>
        <v>Unique</v>
      </c>
      <c r="V879" s="9" t="str">
        <f aca="false">IF(COUNTIFS($B$2:$B$5001,B879,$H$2:$H$5001,H879,$J$2:$J$5001,J879)&gt;1,"Possible Duplicate Booking","Unique")</f>
        <v>Unique</v>
      </c>
      <c r="W879" s="9" t="str">
        <f aca="false">IF((H879-G879)&lt;&gt;K879,"Mismatch","OK")</f>
        <v>OK</v>
      </c>
      <c r="X879" s="9" t="str">
        <f aca="false">IF(TEXT(H879,"dddd")&lt;&gt;I879,"Mismatch","OK")</f>
        <v>OK</v>
      </c>
      <c r="Y879" s="9" t="str">
        <f aca="false">IF(AND(N879="No",O879&lt;&gt;""),"Unexpected: channel present but no reminder sent",IF(AND(N879="Yes",O879=""),"Missing channel for sent reminder","OK"))</f>
        <v>OK</v>
      </c>
    </row>
    <row r="880" customFormat="false" ht="15" hidden="false" customHeight="false" outlineLevel="0" collapsed="false">
      <c r="A880" s="7" t="s">
        <v>1652</v>
      </c>
      <c r="B880" s="7" t="s">
        <v>1653</v>
      </c>
      <c r="C880" s="7" t="s">
        <v>47</v>
      </c>
      <c r="D880" s="7" t="n">
        <v>65</v>
      </c>
      <c r="E880" s="7" t="s">
        <v>70</v>
      </c>
      <c r="F880" s="7" t="s">
        <v>57</v>
      </c>
      <c r="G880" s="8" t="n">
        <v>45917</v>
      </c>
      <c r="H880" s="8" t="n">
        <v>45957</v>
      </c>
      <c r="I880" s="7" t="s">
        <v>66</v>
      </c>
      <c r="J880" s="7" t="s">
        <v>41</v>
      </c>
      <c r="K880" s="7" t="n">
        <v>40</v>
      </c>
      <c r="L880" s="7" t="n">
        <v>2</v>
      </c>
      <c r="M880" s="7" t="n">
        <v>0</v>
      </c>
      <c r="N880" s="7" t="s">
        <v>42</v>
      </c>
      <c r="O880" s="7" t="s">
        <v>52</v>
      </c>
      <c r="P880" s="7" t="n">
        <v>15.2</v>
      </c>
      <c r="Q880" s="7" t="n">
        <v>26</v>
      </c>
      <c r="R880" s="7" t="s">
        <v>53</v>
      </c>
      <c r="S880" s="7"/>
      <c r="T880" s="7"/>
      <c r="U880" s="7" t="str">
        <f aca="false">IF(COUNTIF($A$2:$A$5001,A880)&gt;1,"Duplicate","Unique")</f>
        <v>Unique</v>
      </c>
      <c r="V880" s="7" t="str">
        <f aca="false">IF(COUNTIFS($B$2:$B$5001,B880,$H$2:$H$5001,H880,$J$2:$J$5001,J880)&gt;1,"Possible Duplicate Booking","Unique")</f>
        <v>Unique</v>
      </c>
      <c r="W880" s="7" t="str">
        <f aca="false">IF((H880-G880)&lt;&gt;K880,"Mismatch","OK")</f>
        <v>OK</v>
      </c>
      <c r="X880" s="7" t="str">
        <f aca="false">IF(TEXT(H880,"dddd")&lt;&gt;I880,"Mismatch","OK")</f>
        <v>OK</v>
      </c>
      <c r="Y880" s="7" t="str">
        <f aca="false">IF(AND(N880="No",O880&lt;&gt;""),"Unexpected: channel present but no reminder sent",IF(AND(N880="Yes",O880=""),"Missing channel for sent reminder","OK"))</f>
        <v>OK</v>
      </c>
    </row>
    <row r="881" customFormat="false" ht="15" hidden="false" customHeight="false" outlineLevel="0" collapsed="false">
      <c r="A881" s="9" t="s">
        <v>1654</v>
      </c>
      <c r="B881" s="9" t="s">
        <v>799</v>
      </c>
      <c r="C881" s="9" t="s">
        <v>47</v>
      </c>
      <c r="D881" s="9" t="n">
        <v>27</v>
      </c>
      <c r="E881" s="9" t="s">
        <v>48</v>
      </c>
      <c r="F881" s="9" t="s">
        <v>39</v>
      </c>
      <c r="G881" s="10" t="n">
        <v>46001</v>
      </c>
      <c r="H881" s="10" t="n">
        <v>46001</v>
      </c>
      <c r="I881" s="9" t="s">
        <v>58</v>
      </c>
      <c r="J881" s="9" t="s">
        <v>41</v>
      </c>
      <c r="K881" s="9" t="n">
        <v>0</v>
      </c>
      <c r="L881" s="9" t="n">
        <v>4</v>
      </c>
      <c r="M881" s="9" t="n">
        <v>0</v>
      </c>
      <c r="N881" s="9" t="s">
        <v>42</v>
      </c>
      <c r="O881" s="9" t="s">
        <v>43</v>
      </c>
      <c r="P881" s="9" t="n">
        <v>3.3</v>
      </c>
      <c r="Q881" s="9" t="n">
        <v>28</v>
      </c>
      <c r="R881" s="9" t="s">
        <v>53</v>
      </c>
      <c r="S881" s="9"/>
      <c r="T881" s="9"/>
      <c r="U881" s="9" t="str">
        <f aca="false">IF(COUNTIF($A$2:$A$5001,A881)&gt;1,"Duplicate","Unique")</f>
        <v>Unique</v>
      </c>
      <c r="V881" s="9" t="str">
        <f aca="false">IF(COUNTIFS($B$2:$B$5001,B881,$H$2:$H$5001,H881,$J$2:$J$5001,J881)&gt;1,"Possible Duplicate Booking","Unique")</f>
        <v>Unique</v>
      </c>
      <c r="W881" s="9" t="str">
        <f aca="false">IF((H881-G881)&lt;&gt;K881,"Mismatch","OK")</f>
        <v>OK</v>
      </c>
      <c r="X881" s="9" t="str">
        <f aca="false">IF(TEXT(H881,"dddd")&lt;&gt;I881,"Mismatch","OK")</f>
        <v>OK</v>
      </c>
      <c r="Y881" s="9" t="str">
        <f aca="false">IF(AND(N881="No",O881&lt;&gt;""),"Unexpected: channel present but no reminder sent",IF(AND(N881="Yes",O881=""),"Missing channel for sent reminder","OK"))</f>
        <v>OK</v>
      </c>
    </row>
    <row r="882" customFormat="false" ht="15" hidden="false" customHeight="false" outlineLevel="0" collapsed="false">
      <c r="A882" s="7" t="s">
        <v>1655</v>
      </c>
      <c r="B882" s="7" t="s">
        <v>1656</v>
      </c>
      <c r="C882" s="7" t="s">
        <v>37</v>
      </c>
      <c r="D882" s="7" t="n">
        <v>22</v>
      </c>
      <c r="E882" s="7" t="s">
        <v>82</v>
      </c>
      <c r="F882" s="7" t="s">
        <v>39</v>
      </c>
      <c r="G882" s="8" t="n">
        <v>45695</v>
      </c>
      <c r="H882" s="8" t="n">
        <v>45704</v>
      </c>
      <c r="I882" s="7" t="s">
        <v>75</v>
      </c>
      <c r="J882" s="7" t="s">
        <v>51</v>
      </c>
      <c r="K882" s="7" t="n">
        <v>9</v>
      </c>
      <c r="L882" s="7" t="n">
        <v>4</v>
      </c>
      <c r="M882" s="7" t="n">
        <v>0</v>
      </c>
      <c r="N882" s="7" t="s">
        <v>42</v>
      </c>
      <c r="O882" s="7" t="s">
        <v>52</v>
      </c>
      <c r="P882" s="7" t="n">
        <v>4.6</v>
      </c>
      <c r="Q882" s="7" t="n">
        <v>38</v>
      </c>
      <c r="R882" s="7" t="s">
        <v>53</v>
      </c>
      <c r="S882" s="7"/>
      <c r="T882" s="7"/>
      <c r="U882" s="7" t="str">
        <f aca="false">IF(COUNTIF($A$2:$A$5001,A882)&gt;1,"Duplicate","Unique")</f>
        <v>Unique</v>
      </c>
      <c r="V882" s="7" t="str">
        <f aca="false">IF(COUNTIFS($B$2:$B$5001,B882,$H$2:$H$5001,H882,$J$2:$J$5001,J882)&gt;1,"Possible Duplicate Booking","Unique")</f>
        <v>Unique</v>
      </c>
      <c r="W882" s="7" t="str">
        <f aca="false">IF((H882-G882)&lt;&gt;K882,"Mismatch","OK")</f>
        <v>OK</v>
      </c>
      <c r="X882" s="7" t="str">
        <f aca="false">IF(TEXT(H882,"dddd")&lt;&gt;I882,"Mismatch","OK")</f>
        <v>OK</v>
      </c>
      <c r="Y882" s="7" t="str">
        <f aca="false">IF(AND(N882="No",O882&lt;&gt;""),"Unexpected: channel present but no reminder sent",IF(AND(N882="Yes",O882=""),"Missing channel for sent reminder","OK"))</f>
        <v>OK</v>
      </c>
    </row>
    <row r="883" customFormat="false" ht="15" hidden="false" customHeight="false" outlineLevel="0" collapsed="false">
      <c r="A883" s="9" t="s">
        <v>1657</v>
      </c>
      <c r="B883" s="9" t="s">
        <v>1371</v>
      </c>
      <c r="C883" s="9" t="s">
        <v>37</v>
      </c>
      <c r="D883" s="9" t="n">
        <v>26</v>
      </c>
      <c r="E883" s="9" t="s">
        <v>48</v>
      </c>
      <c r="F883" s="9" t="s">
        <v>39</v>
      </c>
      <c r="G883" s="10" t="n">
        <v>46062</v>
      </c>
      <c r="H883" s="10" t="n">
        <v>46122</v>
      </c>
      <c r="I883" s="9" t="s">
        <v>50</v>
      </c>
      <c r="J883" s="9" t="s">
        <v>41</v>
      </c>
      <c r="K883" s="9" t="n">
        <v>60</v>
      </c>
      <c r="L883" s="9" t="n">
        <v>1</v>
      </c>
      <c r="M883" s="9" t="n">
        <v>0</v>
      </c>
      <c r="N883" s="9" t="s">
        <v>42</v>
      </c>
      <c r="O883" s="9" t="s">
        <v>43</v>
      </c>
      <c r="P883" s="9" t="n">
        <v>8.9</v>
      </c>
      <c r="Q883" s="9" t="n">
        <v>27</v>
      </c>
      <c r="R883" s="9" t="s">
        <v>53</v>
      </c>
      <c r="S883" s="9"/>
      <c r="T883" s="9"/>
      <c r="U883" s="9" t="str">
        <f aca="false">IF(COUNTIF($A$2:$A$5001,A883)&gt;1,"Duplicate","Unique")</f>
        <v>Unique</v>
      </c>
      <c r="V883" s="9" t="str">
        <f aca="false">IF(COUNTIFS($B$2:$B$5001,B883,$H$2:$H$5001,H883,$J$2:$J$5001,J883)&gt;1,"Possible Duplicate Booking","Unique")</f>
        <v>Unique</v>
      </c>
      <c r="W883" s="9" t="str">
        <f aca="false">IF((H883-G883)&lt;&gt;K883,"Mismatch","OK")</f>
        <v>OK</v>
      </c>
      <c r="X883" s="9" t="str">
        <f aca="false">IF(TEXT(H883,"dddd")&lt;&gt;I883,"Mismatch","OK")</f>
        <v>OK</v>
      </c>
      <c r="Y883" s="9" t="str">
        <f aca="false">IF(AND(N883="No",O883&lt;&gt;""),"Unexpected: channel present but no reminder sent",IF(AND(N883="Yes",O883=""),"Missing channel for sent reminder","OK"))</f>
        <v>OK</v>
      </c>
    </row>
    <row r="884" customFormat="false" ht="15" hidden="false" customHeight="false" outlineLevel="0" collapsed="false">
      <c r="A884" s="7" t="s">
        <v>1658</v>
      </c>
      <c r="B884" s="7" t="s">
        <v>1525</v>
      </c>
      <c r="C884" s="7" t="s">
        <v>37</v>
      </c>
      <c r="D884" s="7" t="n">
        <v>41</v>
      </c>
      <c r="E884" s="7" t="s">
        <v>38</v>
      </c>
      <c r="F884" s="7" t="s">
        <v>57</v>
      </c>
      <c r="G884" s="8" t="n">
        <v>45853</v>
      </c>
      <c r="H884" s="8" t="n">
        <v>45903</v>
      </c>
      <c r="I884" s="7" t="s">
        <v>58</v>
      </c>
      <c r="J884" s="7" t="s">
        <v>51</v>
      </c>
      <c r="K884" s="7" t="n">
        <v>50</v>
      </c>
      <c r="L884" s="7" t="n">
        <v>6</v>
      </c>
      <c r="M884" s="7" t="n">
        <v>4</v>
      </c>
      <c r="N884" s="7" t="s">
        <v>71</v>
      </c>
      <c r="O884" s="7"/>
      <c r="P884" s="7" t="n">
        <v>10</v>
      </c>
      <c r="Q884" s="7" t="n">
        <v>5</v>
      </c>
      <c r="R884" s="7" t="s">
        <v>44</v>
      </c>
      <c r="S884" s="7"/>
      <c r="T884" s="7"/>
      <c r="U884" s="7" t="str">
        <f aca="false">IF(COUNTIF($A$2:$A$5001,A884)&gt;1,"Duplicate","Unique")</f>
        <v>Unique</v>
      </c>
      <c r="V884" s="7" t="str">
        <f aca="false">IF(COUNTIFS($B$2:$B$5001,B884,$H$2:$H$5001,H884,$J$2:$J$5001,J884)&gt;1,"Possible Duplicate Booking","Unique")</f>
        <v>Unique</v>
      </c>
      <c r="W884" s="7" t="str">
        <f aca="false">IF((H884-G884)&lt;&gt;K884,"Mismatch","OK")</f>
        <v>OK</v>
      </c>
      <c r="X884" s="7" t="str">
        <f aca="false">IF(TEXT(H884,"dddd")&lt;&gt;I884,"Mismatch","OK")</f>
        <v>OK</v>
      </c>
      <c r="Y884" s="7" t="str">
        <f aca="false">IF(AND(N884="No",O884&lt;&gt;""),"Unexpected: channel present but no reminder sent",IF(AND(N884="Yes",O884=""),"Missing channel for sent reminder","OK"))</f>
        <v>OK</v>
      </c>
    </row>
    <row r="885" customFormat="false" ht="15" hidden="false" customHeight="false" outlineLevel="0" collapsed="false">
      <c r="A885" s="9" t="s">
        <v>1659</v>
      </c>
      <c r="B885" s="9" t="s">
        <v>1660</v>
      </c>
      <c r="C885" s="9" t="s">
        <v>47</v>
      </c>
      <c r="D885" s="9" t="n">
        <v>69</v>
      </c>
      <c r="E885" s="9" t="s">
        <v>70</v>
      </c>
      <c r="F885" s="9" t="s">
        <v>57</v>
      </c>
      <c r="G885" s="10" t="n">
        <v>45729</v>
      </c>
      <c r="H885" s="10" t="n">
        <v>45742</v>
      </c>
      <c r="I885" s="9" t="s">
        <v>58</v>
      </c>
      <c r="J885" s="9" t="s">
        <v>51</v>
      </c>
      <c r="K885" s="9" t="n">
        <v>13</v>
      </c>
      <c r="L885" s="9" t="n">
        <v>3</v>
      </c>
      <c r="M885" s="9" t="n">
        <v>0</v>
      </c>
      <c r="N885" s="9" t="s">
        <v>71</v>
      </c>
      <c r="O885" s="9"/>
      <c r="P885" s="9" t="n">
        <v>13.7</v>
      </c>
      <c r="Q885" s="9" t="n">
        <v>24</v>
      </c>
      <c r="R885" s="9" t="s">
        <v>53</v>
      </c>
      <c r="S885" s="9"/>
      <c r="T885" s="9"/>
      <c r="U885" s="9" t="str">
        <f aca="false">IF(COUNTIF($A$2:$A$5001,A885)&gt;1,"Duplicate","Unique")</f>
        <v>Unique</v>
      </c>
      <c r="V885" s="9" t="str">
        <f aca="false">IF(COUNTIFS($B$2:$B$5001,B885,$H$2:$H$5001,H885,$J$2:$J$5001,J885)&gt;1,"Possible Duplicate Booking","Unique")</f>
        <v>Unique</v>
      </c>
      <c r="W885" s="9" t="str">
        <f aca="false">IF((H885-G885)&lt;&gt;K885,"Mismatch","OK")</f>
        <v>OK</v>
      </c>
      <c r="X885" s="9" t="str">
        <f aca="false">IF(TEXT(H885,"dddd")&lt;&gt;I885,"Mismatch","OK")</f>
        <v>OK</v>
      </c>
      <c r="Y885" s="9" t="str">
        <f aca="false">IF(AND(N885="No",O885&lt;&gt;""),"Unexpected: channel present but no reminder sent",IF(AND(N885="Yes",O885=""),"Missing channel for sent reminder","OK"))</f>
        <v>OK</v>
      </c>
    </row>
    <row r="886" customFormat="false" ht="15" hidden="false" customHeight="false" outlineLevel="0" collapsed="false">
      <c r="A886" s="7" t="s">
        <v>1661</v>
      </c>
      <c r="B886" s="7" t="s">
        <v>698</v>
      </c>
      <c r="C886" s="7" t="s">
        <v>47</v>
      </c>
      <c r="D886" s="7" t="n">
        <v>28</v>
      </c>
      <c r="E886" s="7" t="s">
        <v>48</v>
      </c>
      <c r="F886" s="7" t="s">
        <v>57</v>
      </c>
      <c r="G886" s="8" t="n">
        <v>46095</v>
      </c>
      <c r="H886" s="8" t="n">
        <v>46102</v>
      </c>
      <c r="I886" s="7" t="s">
        <v>102</v>
      </c>
      <c r="J886" s="7" t="s">
        <v>41</v>
      </c>
      <c r="K886" s="7" t="n">
        <v>7</v>
      </c>
      <c r="L886" s="7" t="n">
        <v>2</v>
      </c>
      <c r="M886" s="7" t="n">
        <v>0</v>
      </c>
      <c r="N886" s="7" t="s">
        <v>42</v>
      </c>
      <c r="O886" s="7" t="s">
        <v>52</v>
      </c>
      <c r="P886" s="7" t="n">
        <v>3.9</v>
      </c>
      <c r="Q886" s="7" t="n">
        <v>34</v>
      </c>
      <c r="R886" s="7" t="s">
        <v>53</v>
      </c>
      <c r="S886" s="7"/>
      <c r="T886" s="7"/>
      <c r="U886" s="7" t="str">
        <f aca="false">IF(COUNTIF($A$2:$A$5001,A886)&gt;1,"Duplicate","Unique")</f>
        <v>Unique</v>
      </c>
      <c r="V886" s="7" t="str">
        <f aca="false">IF(COUNTIFS($B$2:$B$5001,B886,$H$2:$H$5001,H886,$J$2:$J$5001,J886)&gt;1,"Possible Duplicate Booking","Unique")</f>
        <v>Unique</v>
      </c>
      <c r="W886" s="7" t="str">
        <f aca="false">IF((H886-G886)&lt;&gt;K886,"Mismatch","OK")</f>
        <v>OK</v>
      </c>
      <c r="X886" s="7" t="str">
        <f aca="false">IF(TEXT(H886,"dddd")&lt;&gt;I886,"Mismatch","OK")</f>
        <v>OK</v>
      </c>
      <c r="Y886" s="7" t="str">
        <f aca="false">IF(AND(N886="No",O886&lt;&gt;""),"Unexpected: channel present but no reminder sent",IF(AND(N886="Yes",O886=""),"Missing channel for sent reminder","OK"))</f>
        <v>OK</v>
      </c>
    </row>
    <row r="887" customFormat="false" ht="15" hidden="false" customHeight="false" outlineLevel="0" collapsed="false">
      <c r="A887" s="9" t="s">
        <v>1662</v>
      </c>
      <c r="B887" s="9" t="s">
        <v>1663</v>
      </c>
      <c r="C887" s="9" t="s">
        <v>37</v>
      </c>
      <c r="D887" s="9" t="n">
        <v>69</v>
      </c>
      <c r="E887" s="9" t="s">
        <v>70</v>
      </c>
      <c r="F887" s="9" t="s">
        <v>57</v>
      </c>
      <c r="G887" s="10" t="n">
        <v>46010</v>
      </c>
      <c r="H887" s="10" t="n">
        <v>46059</v>
      </c>
      <c r="I887" s="9" t="s">
        <v>50</v>
      </c>
      <c r="J887" s="9" t="s">
        <v>51</v>
      </c>
      <c r="K887" s="9" t="n">
        <v>49</v>
      </c>
      <c r="L887" s="9" t="n">
        <v>9</v>
      </c>
      <c r="M887" s="9" t="n">
        <v>0</v>
      </c>
      <c r="N887" s="9" t="s">
        <v>71</v>
      </c>
      <c r="O887" s="9"/>
      <c r="P887" s="9" t="n">
        <v>9</v>
      </c>
      <c r="Q887" s="9" t="n">
        <v>23</v>
      </c>
      <c r="R887" s="9" t="s">
        <v>53</v>
      </c>
      <c r="S887" s="9"/>
      <c r="T887" s="9"/>
      <c r="U887" s="9" t="str">
        <f aca="false">IF(COUNTIF($A$2:$A$5001,A887)&gt;1,"Duplicate","Unique")</f>
        <v>Unique</v>
      </c>
      <c r="V887" s="9" t="str">
        <f aca="false">IF(COUNTIFS($B$2:$B$5001,B887,$H$2:$H$5001,H887,$J$2:$J$5001,J887)&gt;1,"Possible Duplicate Booking","Unique")</f>
        <v>Unique</v>
      </c>
      <c r="W887" s="9" t="str">
        <f aca="false">IF((H887-G887)&lt;&gt;K887,"Mismatch","OK")</f>
        <v>OK</v>
      </c>
      <c r="X887" s="9" t="str">
        <f aca="false">IF(TEXT(H887,"dddd")&lt;&gt;I887,"Mismatch","OK")</f>
        <v>OK</v>
      </c>
      <c r="Y887" s="9" t="str">
        <f aca="false">IF(AND(N887="No",O887&lt;&gt;""),"Unexpected: channel present but no reminder sent",IF(AND(N887="Yes",O887=""),"Missing channel for sent reminder","OK"))</f>
        <v>OK</v>
      </c>
    </row>
    <row r="888" customFormat="false" ht="15" hidden="false" customHeight="false" outlineLevel="0" collapsed="false">
      <c r="A888" s="7" t="s">
        <v>1664</v>
      </c>
      <c r="B888" s="7" t="s">
        <v>1665</v>
      </c>
      <c r="C888" s="7" t="s">
        <v>47</v>
      </c>
      <c r="D888" s="7" t="n">
        <v>18</v>
      </c>
      <c r="E888" s="7" t="s">
        <v>82</v>
      </c>
      <c r="F888" s="7" t="s">
        <v>74</v>
      </c>
      <c r="G888" s="8" t="n">
        <v>45626</v>
      </c>
      <c r="H888" s="8" t="n">
        <v>45686</v>
      </c>
      <c r="I888" s="7" t="s">
        <v>58</v>
      </c>
      <c r="J888" s="7" t="s">
        <v>51</v>
      </c>
      <c r="K888" s="7" t="n">
        <v>60</v>
      </c>
      <c r="L888" s="7" t="n">
        <v>5</v>
      </c>
      <c r="M888" s="7" t="n">
        <v>1</v>
      </c>
      <c r="N888" s="7" t="s">
        <v>42</v>
      </c>
      <c r="O888" s="7" t="s">
        <v>52</v>
      </c>
      <c r="P888" s="7" t="n">
        <v>1.2</v>
      </c>
      <c r="Q888" s="7" t="n">
        <v>13</v>
      </c>
      <c r="R888" s="7" t="s">
        <v>53</v>
      </c>
      <c r="S888" s="7"/>
      <c r="T888" s="7"/>
      <c r="U888" s="7" t="str">
        <f aca="false">IF(COUNTIF($A$2:$A$5001,A888)&gt;1,"Duplicate","Unique")</f>
        <v>Unique</v>
      </c>
      <c r="V888" s="7" t="str">
        <f aca="false">IF(COUNTIFS($B$2:$B$5001,B888,$H$2:$H$5001,H888,$J$2:$J$5001,J888)&gt;1,"Possible Duplicate Booking","Unique")</f>
        <v>Unique</v>
      </c>
      <c r="W888" s="7" t="str">
        <f aca="false">IF((H888-G888)&lt;&gt;K888,"Mismatch","OK")</f>
        <v>OK</v>
      </c>
      <c r="X888" s="7" t="str">
        <f aca="false">IF(TEXT(H888,"dddd")&lt;&gt;I888,"Mismatch","OK")</f>
        <v>OK</v>
      </c>
      <c r="Y888" s="7" t="str">
        <f aca="false">IF(AND(N888="No",O888&lt;&gt;""),"Unexpected: channel present but no reminder sent",IF(AND(N888="Yes",O888=""),"Missing channel for sent reminder","OK"))</f>
        <v>OK</v>
      </c>
    </row>
    <row r="889" customFormat="false" ht="15" hidden="false" customHeight="false" outlineLevel="0" collapsed="false">
      <c r="A889" s="9" t="s">
        <v>1666</v>
      </c>
      <c r="B889" s="9" t="s">
        <v>278</v>
      </c>
      <c r="C889" s="9" t="s">
        <v>37</v>
      </c>
      <c r="D889" s="9" t="n">
        <v>64</v>
      </c>
      <c r="E889" s="9" t="s">
        <v>61</v>
      </c>
      <c r="F889" s="9" t="s">
        <v>39</v>
      </c>
      <c r="G889" s="10" t="n">
        <v>45753</v>
      </c>
      <c r="H889" s="10" t="n">
        <v>45763</v>
      </c>
      <c r="I889" s="9" t="s">
        <v>58</v>
      </c>
      <c r="J889" s="9" t="s">
        <v>41</v>
      </c>
      <c r="K889" s="9" t="n">
        <v>10</v>
      </c>
      <c r="L889" s="9" t="n">
        <v>4</v>
      </c>
      <c r="M889" s="9" t="n">
        <v>0</v>
      </c>
      <c r="N889" s="9" t="s">
        <v>71</v>
      </c>
      <c r="O889" s="9"/>
      <c r="P889" s="9" t="n">
        <v>1.4</v>
      </c>
      <c r="Q889" s="9"/>
      <c r="R889" s="9" t="s">
        <v>53</v>
      </c>
      <c r="S889" s="9"/>
      <c r="T889" s="9"/>
      <c r="U889" s="9" t="str">
        <f aca="false">IF(COUNTIF($A$2:$A$5001,A889)&gt;1,"Duplicate","Unique")</f>
        <v>Unique</v>
      </c>
      <c r="V889" s="9" t="str">
        <f aca="false">IF(COUNTIFS($B$2:$B$5001,B889,$H$2:$H$5001,H889,$J$2:$J$5001,J889)&gt;1,"Possible Duplicate Booking","Unique")</f>
        <v>Unique</v>
      </c>
      <c r="W889" s="9" t="str">
        <f aca="false">IF((H889-G889)&lt;&gt;K889,"Mismatch","OK")</f>
        <v>OK</v>
      </c>
      <c r="X889" s="9" t="str">
        <f aca="false">IF(TEXT(H889,"dddd")&lt;&gt;I889,"Mismatch","OK")</f>
        <v>OK</v>
      </c>
      <c r="Y889" s="9" t="str">
        <f aca="false">IF(AND(N889="No",O889&lt;&gt;""),"Unexpected: channel present but no reminder sent",IF(AND(N889="Yes",O889=""),"Missing channel for sent reminder","OK"))</f>
        <v>OK</v>
      </c>
    </row>
    <row r="890" customFormat="false" ht="15" hidden="false" customHeight="false" outlineLevel="0" collapsed="false">
      <c r="A890" s="7" t="s">
        <v>1667</v>
      </c>
      <c r="B890" s="7" t="s">
        <v>1668</v>
      </c>
      <c r="C890" s="7" t="s">
        <v>47</v>
      </c>
      <c r="D890" s="7" t="n">
        <v>35</v>
      </c>
      <c r="E890" s="7" t="s">
        <v>38</v>
      </c>
      <c r="F890" s="7" t="s">
        <v>39</v>
      </c>
      <c r="G890" s="8" t="n">
        <v>45626</v>
      </c>
      <c r="H890" s="8" t="n">
        <v>45666</v>
      </c>
      <c r="I890" s="7" t="s">
        <v>62</v>
      </c>
      <c r="J890" s="7" t="s">
        <v>41</v>
      </c>
      <c r="K890" s="7" t="n">
        <v>40</v>
      </c>
      <c r="L890" s="7" t="n">
        <v>1</v>
      </c>
      <c r="M890" s="7" t="n">
        <v>0</v>
      </c>
      <c r="N890" s="7" t="s">
        <v>42</v>
      </c>
      <c r="O890" s="7" t="s">
        <v>52</v>
      </c>
      <c r="P890" s="7" t="n">
        <v>4.8</v>
      </c>
      <c r="Q890" s="7" t="n">
        <v>34</v>
      </c>
      <c r="R890" s="7" t="s">
        <v>44</v>
      </c>
      <c r="S890" s="7"/>
      <c r="T890" s="7"/>
      <c r="U890" s="7" t="str">
        <f aca="false">IF(COUNTIF($A$2:$A$5001,A890)&gt;1,"Duplicate","Unique")</f>
        <v>Unique</v>
      </c>
      <c r="V890" s="7" t="str">
        <f aca="false">IF(COUNTIFS($B$2:$B$5001,B890,$H$2:$H$5001,H890,$J$2:$J$5001,J890)&gt;1,"Possible Duplicate Booking","Unique")</f>
        <v>Unique</v>
      </c>
      <c r="W890" s="7" t="str">
        <f aca="false">IF((H890-G890)&lt;&gt;K890,"Mismatch","OK")</f>
        <v>OK</v>
      </c>
      <c r="X890" s="7" t="str">
        <f aca="false">IF(TEXT(H890,"dddd")&lt;&gt;I890,"Mismatch","OK")</f>
        <v>OK</v>
      </c>
      <c r="Y890" s="7" t="str">
        <f aca="false">IF(AND(N890="No",O890&lt;&gt;""),"Unexpected: channel present but no reminder sent",IF(AND(N890="Yes",O890=""),"Missing channel for sent reminder","OK"))</f>
        <v>OK</v>
      </c>
    </row>
    <row r="891" customFormat="false" ht="15" hidden="false" customHeight="false" outlineLevel="0" collapsed="false">
      <c r="A891" s="9" t="s">
        <v>1669</v>
      </c>
      <c r="B891" s="9" t="s">
        <v>1398</v>
      </c>
      <c r="C891" s="9" t="s">
        <v>47</v>
      </c>
      <c r="D891" s="9" t="n">
        <v>78</v>
      </c>
      <c r="E891" s="9" t="s">
        <v>70</v>
      </c>
      <c r="F891" s="9" t="s">
        <v>39</v>
      </c>
      <c r="G891" s="10" t="n">
        <v>45788</v>
      </c>
      <c r="H891" s="10" t="n">
        <v>45805</v>
      </c>
      <c r="I891" s="9" t="s">
        <v>58</v>
      </c>
      <c r="J891" s="9" t="s">
        <v>63</v>
      </c>
      <c r="K891" s="9" t="n">
        <v>17</v>
      </c>
      <c r="L891" s="9" t="n">
        <v>2</v>
      </c>
      <c r="M891" s="9" t="n">
        <v>0</v>
      </c>
      <c r="N891" s="9" t="s">
        <v>42</v>
      </c>
      <c r="O891" s="9" t="s">
        <v>52</v>
      </c>
      <c r="P891" s="9" t="n">
        <v>13.7</v>
      </c>
      <c r="Q891" s="9" t="n">
        <v>38</v>
      </c>
      <c r="R891" s="9" t="s">
        <v>53</v>
      </c>
      <c r="S891" s="9"/>
      <c r="T891" s="9"/>
      <c r="U891" s="9" t="str">
        <f aca="false">IF(COUNTIF($A$2:$A$5001,A891)&gt;1,"Duplicate","Unique")</f>
        <v>Unique</v>
      </c>
      <c r="V891" s="9" t="str">
        <f aca="false">IF(COUNTIFS($B$2:$B$5001,B891,$H$2:$H$5001,H891,$J$2:$J$5001,J891)&gt;1,"Possible Duplicate Booking","Unique")</f>
        <v>Unique</v>
      </c>
      <c r="W891" s="9" t="str">
        <f aca="false">IF((H891-G891)&lt;&gt;K891,"Mismatch","OK")</f>
        <v>OK</v>
      </c>
      <c r="X891" s="9" t="str">
        <f aca="false">IF(TEXT(H891,"dddd")&lt;&gt;I891,"Mismatch","OK")</f>
        <v>OK</v>
      </c>
      <c r="Y891" s="9" t="str">
        <f aca="false">IF(AND(N891="No",O891&lt;&gt;""),"Unexpected: channel present but no reminder sent",IF(AND(N891="Yes",O891=""),"Missing channel for sent reminder","OK"))</f>
        <v>OK</v>
      </c>
    </row>
    <row r="892" customFormat="false" ht="15" hidden="false" customHeight="false" outlineLevel="0" collapsed="false">
      <c r="A892" s="7" t="s">
        <v>1670</v>
      </c>
      <c r="B892" s="7" t="s">
        <v>1671</v>
      </c>
      <c r="C892" s="7" t="s">
        <v>37</v>
      </c>
      <c r="D892" s="7" t="n">
        <v>47</v>
      </c>
      <c r="E892" s="7" t="s">
        <v>56</v>
      </c>
      <c r="F892" s="7" t="s">
        <v>39</v>
      </c>
      <c r="G892" s="8" t="n">
        <v>45667</v>
      </c>
      <c r="H892" s="8" t="n">
        <v>45712</v>
      </c>
      <c r="I892" s="7" t="s">
        <v>66</v>
      </c>
      <c r="J892" s="7" t="s">
        <v>41</v>
      </c>
      <c r="K892" s="7" t="n">
        <v>45</v>
      </c>
      <c r="L892" s="7" t="n">
        <v>4</v>
      </c>
      <c r="M892" s="7" t="n">
        <v>0</v>
      </c>
      <c r="N892" s="7" t="s">
        <v>42</v>
      </c>
      <c r="O892" s="7" t="s">
        <v>67</v>
      </c>
      <c r="P892" s="7" t="n">
        <v>11.6</v>
      </c>
      <c r="Q892" s="7" t="n">
        <v>12</v>
      </c>
      <c r="R892" s="7" t="s">
        <v>44</v>
      </c>
      <c r="S892" s="7"/>
      <c r="T892" s="7"/>
      <c r="U892" s="7" t="str">
        <f aca="false">IF(COUNTIF($A$2:$A$5001,A892)&gt;1,"Duplicate","Unique")</f>
        <v>Unique</v>
      </c>
      <c r="V892" s="7" t="str">
        <f aca="false">IF(COUNTIFS($B$2:$B$5001,B892,$H$2:$H$5001,H892,$J$2:$J$5001,J892)&gt;1,"Possible Duplicate Booking","Unique")</f>
        <v>Unique</v>
      </c>
      <c r="W892" s="7" t="str">
        <f aca="false">IF((H892-G892)&lt;&gt;K892,"Mismatch","OK")</f>
        <v>OK</v>
      </c>
      <c r="X892" s="7" t="str">
        <f aca="false">IF(TEXT(H892,"dddd")&lt;&gt;I892,"Mismatch","OK")</f>
        <v>OK</v>
      </c>
      <c r="Y892" s="7" t="str">
        <f aca="false">IF(AND(N892="No",O892&lt;&gt;""),"Unexpected: channel present but no reminder sent",IF(AND(N892="Yes",O892=""),"Missing channel for sent reminder","OK"))</f>
        <v>OK</v>
      </c>
    </row>
    <row r="893" customFormat="false" ht="15" hidden="false" customHeight="false" outlineLevel="0" collapsed="false">
      <c r="A893" s="9" t="s">
        <v>1672</v>
      </c>
      <c r="B893" s="9" t="s">
        <v>1127</v>
      </c>
      <c r="C893" s="9" t="s">
        <v>37</v>
      </c>
      <c r="D893" s="9" t="n">
        <v>35</v>
      </c>
      <c r="E893" s="9" t="s">
        <v>38</v>
      </c>
      <c r="F893" s="9" t="s">
        <v>39</v>
      </c>
      <c r="G893" s="10" t="n">
        <v>46020</v>
      </c>
      <c r="H893" s="10" t="n">
        <v>46045</v>
      </c>
      <c r="I893" s="9" t="s">
        <v>50</v>
      </c>
      <c r="J893" s="9" t="s">
        <v>41</v>
      </c>
      <c r="K893" s="9" t="n">
        <v>25</v>
      </c>
      <c r="L893" s="9" t="n">
        <v>5</v>
      </c>
      <c r="M893" s="9" t="n">
        <v>1</v>
      </c>
      <c r="N893" s="9" t="s">
        <v>42</v>
      </c>
      <c r="O893" s="9" t="s">
        <v>52</v>
      </c>
      <c r="P893" s="9" t="n">
        <v>6.9</v>
      </c>
      <c r="Q893" s="9" t="n">
        <v>11</v>
      </c>
      <c r="R893" s="9" t="s">
        <v>53</v>
      </c>
      <c r="S893" s="9"/>
      <c r="T893" s="9"/>
      <c r="U893" s="9" t="str">
        <f aca="false">IF(COUNTIF($A$2:$A$5001,A893)&gt;1,"Duplicate","Unique")</f>
        <v>Unique</v>
      </c>
      <c r="V893" s="9" t="str">
        <f aca="false">IF(COUNTIFS($B$2:$B$5001,B893,$H$2:$H$5001,H893,$J$2:$J$5001,J893)&gt;1,"Possible Duplicate Booking","Unique")</f>
        <v>Unique</v>
      </c>
      <c r="W893" s="9" t="str">
        <f aca="false">IF((H893-G893)&lt;&gt;K893,"Mismatch","OK")</f>
        <v>OK</v>
      </c>
      <c r="X893" s="9" t="str">
        <f aca="false">IF(TEXT(H893,"dddd")&lt;&gt;I893,"Mismatch","OK")</f>
        <v>OK</v>
      </c>
      <c r="Y893" s="9" t="str">
        <f aca="false">IF(AND(N893="No",O893&lt;&gt;""),"Unexpected: channel present but no reminder sent",IF(AND(N893="Yes",O893=""),"Missing channel for sent reminder","OK"))</f>
        <v>OK</v>
      </c>
    </row>
    <row r="894" customFormat="false" ht="15" hidden="false" customHeight="false" outlineLevel="0" collapsed="false">
      <c r="A894" s="7" t="s">
        <v>1673</v>
      </c>
      <c r="B894" s="7" t="s">
        <v>1674</v>
      </c>
      <c r="C894" s="7" t="s">
        <v>37</v>
      </c>
      <c r="D894" s="7" t="n">
        <v>33</v>
      </c>
      <c r="E894" s="7" t="s">
        <v>48</v>
      </c>
      <c r="F894" s="7" t="s">
        <v>39</v>
      </c>
      <c r="G894" s="8" t="n">
        <v>45936</v>
      </c>
      <c r="H894" s="8" t="n">
        <v>45943</v>
      </c>
      <c r="I894" s="7" t="s">
        <v>66</v>
      </c>
      <c r="J894" s="7" t="s">
        <v>41</v>
      </c>
      <c r="K894" s="7" t="n">
        <v>7</v>
      </c>
      <c r="L894" s="7" t="n">
        <v>5</v>
      </c>
      <c r="M894" s="7" t="n">
        <v>1</v>
      </c>
      <c r="N894" s="7" t="s">
        <v>42</v>
      </c>
      <c r="O894" s="7" t="s">
        <v>52</v>
      </c>
      <c r="P894" s="7" t="n">
        <v>1.8</v>
      </c>
      <c r="Q894" s="7" t="n">
        <v>23</v>
      </c>
      <c r="R894" s="7" t="s">
        <v>53</v>
      </c>
      <c r="S894" s="7"/>
      <c r="T894" s="7"/>
      <c r="U894" s="7" t="str">
        <f aca="false">IF(COUNTIF($A$2:$A$5001,A894)&gt;1,"Duplicate","Unique")</f>
        <v>Unique</v>
      </c>
      <c r="V894" s="7" t="str">
        <f aca="false">IF(COUNTIFS($B$2:$B$5001,B894,$H$2:$H$5001,H894,$J$2:$J$5001,J894)&gt;1,"Possible Duplicate Booking","Unique")</f>
        <v>Unique</v>
      </c>
      <c r="W894" s="7" t="str">
        <f aca="false">IF((H894-G894)&lt;&gt;K894,"Mismatch","OK")</f>
        <v>OK</v>
      </c>
      <c r="X894" s="7" t="str">
        <f aca="false">IF(TEXT(H894,"dddd")&lt;&gt;I894,"Mismatch","OK")</f>
        <v>OK</v>
      </c>
      <c r="Y894" s="7" t="str">
        <f aca="false">IF(AND(N894="No",O894&lt;&gt;""),"Unexpected: channel present but no reminder sent",IF(AND(N894="Yes",O894=""),"Missing channel for sent reminder","OK"))</f>
        <v>OK</v>
      </c>
    </row>
    <row r="895" customFormat="false" ht="15" hidden="false" customHeight="false" outlineLevel="0" collapsed="false">
      <c r="A895" s="9" t="s">
        <v>1675</v>
      </c>
      <c r="B895" s="9" t="s">
        <v>1676</v>
      </c>
      <c r="C895" s="9" t="s">
        <v>47</v>
      </c>
      <c r="D895" s="9" t="n">
        <v>70</v>
      </c>
      <c r="E895" s="9" t="s">
        <v>70</v>
      </c>
      <c r="F895" s="9" t="s">
        <v>49</v>
      </c>
      <c r="G895" s="10" t="n">
        <v>46174</v>
      </c>
      <c r="H895" s="10" t="n">
        <v>46193</v>
      </c>
      <c r="I895" s="9" t="s">
        <v>102</v>
      </c>
      <c r="J895" s="9" t="s">
        <v>51</v>
      </c>
      <c r="K895" s="9" t="n">
        <v>19</v>
      </c>
      <c r="L895" s="9" t="n">
        <v>3</v>
      </c>
      <c r="M895" s="9" t="n">
        <v>0</v>
      </c>
      <c r="N895" s="9" t="s">
        <v>42</v>
      </c>
      <c r="O895" s="9" t="s">
        <v>52</v>
      </c>
      <c r="P895" s="9" t="n">
        <v>9.9</v>
      </c>
      <c r="Q895" s="9" t="n">
        <v>16</v>
      </c>
      <c r="R895" s="9" t="s">
        <v>53</v>
      </c>
      <c r="S895" s="9"/>
      <c r="T895" s="9"/>
      <c r="U895" s="9" t="str">
        <f aca="false">IF(COUNTIF($A$2:$A$5001,A895)&gt;1,"Duplicate","Unique")</f>
        <v>Unique</v>
      </c>
      <c r="V895" s="9" t="str">
        <f aca="false">IF(COUNTIFS($B$2:$B$5001,B895,$H$2:$H$5001,H895,$J$2:$J$5001,J895)&gt;1,"Possible Duplicate Booking","Unique")</f>
        <v>Unique</v>
      </c>
      <c r="W895" s="9" t="str">
        <f aca="false">IF((H895-G895)&lt;&gt;K895,"Mismatch","OK")</f>
        <v>OK</v>
      </c>
      <c r="X895" s="9" t="str">
        <f aca="false">IF(TEXT(H895,"dddd")&lt;&gt;I895,"Mismatch","OK")</f>
        <v>OK</v>
      </c>
      <c r="Y895" s="9" t="str">
        <f aca="false">IF(AND(N895="No",O895&lt;&gt;""),"Unexpected: channel present but no reminder sent",IF(AND(N895="Yes",O895=""),"Missing channel for sent reminder","OK"))</f>
        <v>OK</v>
      </c>
    </row>
    <row r="896" customFormat="false" ht="15" hidden="false" customHeight="false" outlineLevel="0" collapsed="false">
      <c r="A896" s="7" t="s">
        <v>1677</v>
      </c>
      <c r="B896" s="7" t="s">
        <v>1678</v>
      </c>
      <c r="C896" s="7" t="s">
        <v>37</v>
      </c>
      <c r="D896" s="7" t="n">
        <v>43</v>
      </c>
      <c r="E896" s="7" t="s">
        <v>38</v>
      </c>
      <c r="F896" s="7" t="s">
        <v>57</v>
      </c>
      <c r="G896" s="8" t="n">
        <v>46035</v>
      </c>
      <c r="H896" s="8" t="n">
        <v>46067</v>
      </c>
      <c r="I896" s="7" t="s">
        <v>102</v>
      </c>
      <c r="J896" s="7" t="s">
        <v>51</v>
      </c>
      <c r="K896" s="7" t="n">
        <v>32</v>
      </c>
      <c r="L896" s="7" t="n">
        <v>0</v>
      </c>
      <c r="M896" s="7" t="n">
        <v>0</v>
      </c>
      <c r="N896" s="7" t="s">
        <v>42</v>
      </c>
      <c r="O896" s="7" t="s">
        <v>43</v>
      </c>
      <c r="P896" s="7" t="n">
        <v>39.6</v>
      </c>
      <c r="Q896" s="7" t="n">
        <v>18</v>
      </c>
      <c r="R896" s="7" t="s">
        <v>44</v>
      </c>
      <c r="S896" s="7"/>
      <c r="T896" s="7"/>
      <c r="U896" s="7" t="str">
        <f aca="false">IF(COUNTIF($A$2:$A$5001,A896)&gt;1,"Duplicate","Unique")</f>
        <v>Unique</v>
      </c>
      <c r="V896" s="7" t="str">
        <f aca="false">IF(COUNTIFS($B$2:$B$5001,B896,$H$2:$H$5001,H896,$J$2:$J$5001,J896)&gt;1,"Possible Duplicate Booking","Unique")</f>
        <v>Unique</v>
      </c>
      <c r="W896" s="7" t="str">
        <f aca="false">IF((H896-G896)&lt;&gt;K896,"Mismatch","OK")</f>
        <v>OK</v>
      </c>
      <c r="X896" s="7" t="str">
        <f aca="false">IF(TEXT(H896,"dddd")&lt;&gt;I896,"Mismatch","OK")</f>
        <v>OK</v>
      </c>
      <c r="Y896" s="7" t="str">
        <f aca="false">IF(AND(N896="No",O896&lt;&gt;""),"Unexpected: channel present but no reminder sent",IF(AND(N896="Yes",O896=""),"Missing channel for sent reminder","OK"))</f>
        <v>OK</v>
      </c>
    </row>
    <row r="897" customFormat="false" ht="15" hidden="false" customHeight="false" outlineLevel="0" collapsed="false">
      <c r="A897" s="9" t="s">
        <v>1679</v>
      </c>
      <c r="B897" s="9" t="s">
        <v>1680</v>
      </c>
      <c r="C897" s="9" t="s">
        <v>47</v>
      </c>
      <c r="D897" s="9" t="n">
        <v>40</v>
      </c>
      <c r="E897" s="9" t="s">
        <v>38</v>
      </c>
      <c r="F897" s="9" t="s">
        <v>39</v>
      </c>
      <c r="G897" s="10" t="n">
        <v>45943</v>
      </c>
      <c r="H897" s="10" t="n">
        <v>45991</v>
      </c>
      <c r="I897" s="9" t="s">
        <v>75</v>
      </c>
      <c r="J897" s="9" t="s">
        <v>63</v>
      </c>
      <c r="K897" s="9" t="n">
        <v>48</v>
      </c>
      <c r="L897" s="9" t="n">
        <v>1</v>
      </c>
      <c r="M897" s="9" t="n">
        <v>1</v>
      </c>
      <c r="N897" s="9" t="s">
        <v>42</v>
      </c>
      <c r="O897" s="9" t="s">
        <v>52</v>
      </c>
      <c r="P897" s="9" t="n">
        <v>8.1</v>
      </c>
      <c r="Q897" s="9" t="n">
        <v>21</v>
      </c>
      <c r="R897" s="9" t="s">
        <v>44</v>
      </c>
      <c r="S897" s="9"/>
      <c r="T897" s="9"/>
      <c r="U897" s="9" t="str">
        <f aca="false">IF(COUNTIF($A$2:$A$5001,A897)&gt;1,"Duplicate","Unique")</f>
        <v>Unique</v>
      </c>
      <c r="V897" s="9" t="str">
        <f aca="false">IF(COUNTIFS($B$2:$B$5001,B897,$H$2:$H$5001,H897,$J$2:$J$5001,J897)&gt;1,"Possible Duplicate Booking","Unique")</f>
        <v>Unique</v>
      </c>
      <c r="W897" s="9" t="str">
        <f aca="false">IF((H897-G897)&lt;&gt;K897,"Mismatch","OK")</f>
        <v>OK</v>
      </c>
      <c r="X897" s="9" t="str">
        <f aca="false">IF(TEXT(H897,"dddd")&lt;&gt;I897,"Mismatch","OK")</f>
        <v>OK</v>
      </c>
      <c r="Y897" s="9" t="str">
        <f aca="false">IF(AND(N897="No",O897&lt;&gt;""),"Unexpected: channel present but no reminder sent",IF(AND(N897="Yes",O897=""),"Missing channel for sent reminder","OK"))</f>
        <v>OK</v>
      </c>
    </row>
    <row r="898" customFormat="false" ht="15" hidden="false" customHeight="false" outlineLevel="0" collapsed="false">
      <c r="A898" s="7" t="s">
        <v>1681</v>
      </c>
      <c r="B898" s="7" t="s">
        <v>1682</v>
      </c>
      <c r="C898" s="7" t="s">
        <v>37</v>
      </c>
      <c r="D898" s="7" t="n">
        <v>64</v>
      </c>
      <c r="E898" s="7" t="s">
        <v>61</v>
      </c>
      <c r="F898" s="7" t="s">
        <v>39</v>
      </c>
      <c r="G898" s="8" t="n">
        <v>45935</v>
      </c>
      <c r="H898" s="8" t="n">
        <v>45936</v>
      </c>
      <c r="I898" s="7" t="s">
        <v>66</v>
      </c>
      <c r="J898" s="7" t="s">
        <v>51</v>
      </c>
      <c r="K898" s="7" t="n">
        <v>1</v>
      </c>
      <c r="L898" s="7" t="n">
        <v>2</v>
      </c>
      <c r="M898" s="7" t="n">
        <v>0</v>
      </c>
      <c r="N898" s="7" t="s">
        <v>42</v>
      </c>
      <c r="O898" s="7" t="s">
        <v>52</v>
      </c>
      <c r="P898" s="7" t="n">
        <v>3.3</v>
      </c>
      <c r="Q898" s="7" t="n">
        <v>32</v>
      </c>
      <c r="R898" s="7" t="s">
        <v>53</v>
      </c>
      <c r="S898" s="7"/>
      <c r="T898" s="7"/>
      <c r="U898" s="7" t="str">
        <f aca="false">IF(COUNTIF($A$2:$A$5001,A898)&gt;1,"Duplicate","Unique")</f>
        <v>Unique</v>
      </c>
      <c r="V898" s="7" t="str">
        <f aca="false">IF(COUNTIFS($B$2:$B$5001,B898,$H$2:$H$5001,H898,$J$2:$J$5001,J898)&gt;1,"Possible Duplicate Booking","Unique")</f>
        <v>Unique</v>
      </c>
      <c r="W898" s="7" t="str">
        <f aca="false">IF((H898-G898)&lt;&gt;K898,"Mismatch","OK")</f>
        <v>OK</v>
      </c>
      <c r="X898" s="7" t="str">
        <f aca="false">IF(TEXT(H898,"dddd")&lt;&gt;I898,"Mismatch","OK")</f>
        <v>OK</v>
      </c>
      <c r="Y898" s="7" t="str">
        <f aca="false">IF(AND(N898="No",O898&lt;&gt;""),"Unexpected: channel present but no reminder sent",IF(AND(N898="Yes",O898=""),"Missing channel for sent reminder","OK"))</f>
        <v>OK</v>
      </c>
    </row>
    <row r="899" customFormat="false" ht="15" hidden="false" customHeight="false" outlineLevel="0" collapsed="false">
      <c r="A899" s="9" t="s">
        <v>1683</v>
      </c>
      <c r="B899" s="9" t="s">
        <v>1387</v>
      </c>
      <c r="C899" s="9" t="s">
        <v>37</v>
      </c>
      <c r="D899" s="9" t="n">
        <v>51</v>
      </c>
      <c r="E899" s="9" t="s">
        <v>56</v>
      </c>
      <c r="F899" s="9" t="s">
        <v>49</v>
      </c>
      <c r="G899" s="10" t="n">
        <v>45629</v>
      </c>
      <c r="H899" s="10" t="n">
        <v>45687</v>
      </c>
      <c r="I899" s="9" t="s">
        <v>62</v>
      </c>
      <c r="J899" s="9" t="s">
        <v>51</v>
      </c>
      <c r="K899" s="9" t="n">
        <v>58</v>
      </c>
      <c r="L899" s="9" t="n">
        <v>1</v>
      </c>
      <c r="M899" s="9" t="n">
        <v>0</v>
      </c>
      <c r="N899" s="9" t="s">
        <v>71</v>
      </c>
      <c r="O899" s="9"/>
      <c r="P899" s="9" t="n">
        <v>7.7</v>
      </c>
      <c r="Q899" s="9" t="n">
        <v>15</v>
      </c>
      <c r="R899" s="9" t="s">
        <v>44</v>
      </c>
      <c r="S899" s="9"/>
      <c r="T899" s="9"/>
      <c r="U899" s="9" t="str">
        <f aca="false">IF(COUNTIF($A$2:$A$5001,A899)&gt;1,"Duplicate","Unique")</f>
        <v>Unique</v>
      </c>
      <c r="V899" s="9" t="str">
        <f aca="false">IF(COUNTIFS($B$2:$B$5001,B899,$H$2:$H$5001,H899,$J$2:$J$5001,J899)&gt;1,"Possible Duplicate Booking","Unique")</f>
        <v>Unique</v>
      </c>
      <c r="W899" s="9" t="str">
        <f aca="false">IF((H899-G899)&lt;&gt;K899,"Mismatch","OK")</f>
        <v>OK</v>
      </c>
      <c r="X899" s="9" t="str">
        <f aca="false">IF(TEXT(H899,"dddd")&lt;&gt;I899,"Mismatch","OK")</f>
        <v>OK</v>
      </c>
      <c r="Y899" s="9" t="str">
        <f aca="false">IF(AND(N899="No",O899&lt;&gt;""),"Unexpected: channel present but no reminder sent",IF(AND(N899="Yes",O899=""),"Missing channel for sent reminder","OK"))</f>
        <v>OK</v>
      </c>
    </row>
    <row r="900" customFormat="false" ht="15" hidden="false" customHeight="false" outlineLevel="0" collapsed="false">
      <c r="A900" s="7" t="s">
        <v>1684</v>
      </c>
      <c r="B900" s="7" t="s">
        <v>419</v>
      </c>
      <c r="C900" s="7" t="s">
        <v>47</v>
      </c>
      <c r="D900" s="7" t="n">
        <v>59</v>
      </c>
      <c r="E900" s="7" t="s">
        <v>61</v>
      </c>
      <c r="F900" s="7" t="s">
        <v>74</v>
      </c>
      <c r="G900" s="8" t="n">
        <v>45657</v>
      </c>
      <c r="H900" s="8" t="n">
        <v>45696</v>
      </c>
      <c r="I900" s="7" t="s">
        <v>102</v>
      </c>
      <c r="J900" s="7" t="s">
        <v>41</v>
      </c>
      <c r="K900" s="7" t="n">
        <v>39</v>
      </c>
      <c r="L900" s="7" t="n">
        <v>4</v>
      </c>
      <c r="M900" s="7" t="n">
        <v>0</v>
      </c>
      <c r="N900" s="7" t="s">
        <v>71</v>
      </c>
      <c r="O900" s="7"/>
      <c r="P900" s="7" t="n">
        <v>2.2</v>
      </c>
      <c r="Q900" s="7" t="n">
        <v>11</v>
      </c>
      <c r="R900" s="7" t="s">
        <v>44</v>
      </c>
      <c r="S900" s="7"/>
      <c r="T900" s="7"/>
      <c r="U900" s="7" t="str">
        <f aca="false">IF(COUNTIF($A$2:$A$5001,A900)&gt;1,"Duplicate","Unique")</f>
        <v>Unique</v>
      </c>
      <c r="V900" s="7" t="str">
        <f aca="false">IF(COUNTIFS($B$2:$B$5001,B900,$H$2:$H$5001,H900,$J$2:$J$5001,J900)&gt;1,"Possible Duplicate Booking","Unique")</f>
        <v>Unique</v>
      </c>
      <c r="W900" s="7" t="str">
        <f aca="false">IF((H900-G900)&lt;&gt;K900,"Mismatch","OK")</f>
        <v>OK</v>
      </c>
      <c r="X900" s="7" t="str">
        <f aca="false">IF(TEXT(H900,"dddd")&lt;&gt;I900,"Mismatch","OK")</f>
        <v>OK</v>
      </c>
      <c r="Y900" s="7" t="str">
        <f aca="false">IF(AND(N900="No",O900&lt;&gt;""),"Unexpected: channel present but no reminder sent",IF(AND(N900="Yes",O900=""),"Missing channel for sent reminder","OK"))</f>
        <v>OK</v>
      </c>
    </row>
    <row r="901" customFormat="false" ht="15" hidden="false" customHeight="false" outlineLevel="0" collapsed="false">
      <c r="A901" s="9" t="s">
        <v>1685</v>
      </c>
      <c r="B901" s="9" t="s">
        <v>1686</v>
      </c>
      <c r="C901" s="9" t="s">
        <v>37</v>
      </c>
      <c r="D901" s="9" t="n">
        <v>46</v>
      </c>
      <c r="E901" s="9" t="s">
        <v>56</v>
      </c>
      <c r="F901" s="9" t="s">
        <v>49</v>
      </c>
      <c r="G901" s="10" t="n">
        <v>45941</v>
      </c>
      <c r="H901" s="10" t="n">
        <v>45994</v>
      </c>
      <c r="I901" s="9" t="s">
        <v>58</v>
      </c>
      <c r="J901" s="9" t="s">
        <v>51</v>
      </c>
      <c r="K901" s="9" t="n">
        <v>53</v>
      </c>
      <c r="L901" s="9" t="n">
        <v>0</v>
      </c>
      <c r="M901" s="9" t="n">
        <v>0</v>
      </c>
      <c r="N901" s="9" t="s">
        <v>42</v>
      </c>
      <c r="O901" s="9" t="s">
        <v>67</v>
      </c>
      <c r="P901" s="9" t="n">
        <v>5.4</v>
      </c>
      <c r="Q901" s="9" t="n">
        <v>16</v>
      </c>
      <c r="R901" s="9" t="s">
        <v>44</v>
      </c>
      <c r="S901" s="9"/>
      <c r="T901" s="9"/>
      <c r="U901" s="9" t="str">
        <f aca="false">IF(COUNTIF($A$2:$A$5001,A901)&gt;1,"Duplicate","Unique")</f>
        <v>Unique</v>
      </c>
      <c r="V901" s="9" t="str">
        <f aca="false">IF(COUNTIFS($B$2:$B$5001,B901,$H$2:$H$5001,H901,$J$2:$J$5001,J901)&gt;1,"Possible Duplicate Booking","Unique")</f>
        <v>Unique</v>
      </c>
      <c r="W901" s="9" t="str">
        <f aca="false">IF((H901-G901)&lt;&gt;K901,"Mismatch","OK")</f>
        <v>OK</v>
      </c>
      <c r="X901" s="9" t="str">
        <f aca="false">IF(TEXT(H901,"dddd")&lt;&gt;I901,"Mismatch","OK")</f>
        <v>OK</v>
      </c>
      <c r="Y901" s="9" t="str">
        <f aca="false">IF(AND(N901="No",O901&lt;&gt;""),"Unexpected: channel present but no reminder sent",IF(AND(N901="Yes",O901=""),"Missing channel for sent reminder","OK"))</f>
        <v>OK</v>
      </c>
    </row>
    <row r="902" customFormat="false" ht="15" hidden="false" customHeight="false" outlineLevel="0" collapsed="false">
      <c r="A902" s="7" t="s">
        <v>1687</v>
      </c>
      <c r="B902" s="7" t="s">
        <v>1688</v>
      </c>
      <c r="C902" s="7" t="s">
        <v>47</v>
      </c>
      <c r="D902" s="7" t="n">
        <v>22</v>
      </c>
      <c r="E902" s="7" t="s">
        <v>82</v>
      </c>
      <c r="F902" s="7" t="s">
        <v>39</v>
      </c>
      <c r="G902" s="8" t="n">
        <v>45604</v>
      </c>
      <c r="H902" s="8" t="n">
        <v>45660</v>
      </c>
      <c r="I902" s="7" t="s">
        <v>50</v>
      </c>
      <c r="J902" s="7" t="s">
        <v>51</v>
      </c>
      <c r="K902" s="7" t="n">
        <v>56</v>
      </c>
      <c r="L902" s="7" t="n">
        <v>2</v>
      </c>
      <c r="M902" s="7" t="n">
        <v>1</v>
      </c>
      <c r="N902" s="7" t="s">
        <v>42</v>
      </c>
      <c r="O902" s="7" t="s">
        <v>52</v>
      </c>
      <c r="P902" s="7" t="n">
        <v>13</v>
      </c>
      <c r="Q902" s="7" t="n">
        <v>7</v>
      </c>
      <c r="R902" s="7" t="s">
        <v>44</v>
      </c>
      <c r="S902" s="7"/>
      <c r="T902" s="7"/>
      <c r="U902" s="7" t="str">
        <f aca="false">IF(COUNTIF($A$2:$A$5001,A902)&gt;1,"Duplicate","Unique")</f>
        <v>Unique</v>
      </c>
      <c r="V902" s="7" t="str">
        <f aca="false">IF(COUNTIFS($B$2:$B$5001,B902,$H$2:$H$5001,H902,$J$2:$J$5001,J902)&gt;1,"Possible Duplicate Booking","Unique")</f>
        <v>Unique</v>
      </c>
      <c r="W902" s="7" t="str">
        <f aca="false">IF((H902-G902)&lt;&gt;K902,"Mismatch","OK")</f>
        <v>OK</v>
      </c>
      <c r="X902" s="7" t="str">
        <f aca="false">IF(TEXT(H902,"dddd")&lt;&gt;I902,"Mismatch","OK")</f>
        <v>OK</v>
      </c>
      <c r="Y902" s="7" t="str">
        <f aca="false">IF(AND(N902="No",O902&lt;&gt;""),"Unexpected: channel present but no reminder sent",IF(AND(N902="Yes",O902=""),"Missing channel for sent reminder","OK"))</f>
        <v>OK</v>
      </c>
    </row>
    <row r="903" customFormat="false" ht="15" hidden="false" customHeight="false" outlineLevel="0" collapsed="false">
      <c r="A903" s="9" t="s">
        <v>1689</v>
      </c>
      <c r="B903" s="9" t="s">
        <v>527</v>
      </c>
      <c r="C903" s="9" t="s">
        <v>37</v>
      </c>
      <c r="D903" s="9" t="n">
        <v>18</v>
      </c>
      <c r="E903" s="9" t="s">
        <v>82</v>
      </c>
      <c r="F903" s="9" t="s">
        <v>57</v>
      </c>
      <c r="G903" s="10" t="n">
        <v>45672</v>
      </c>
      <c r="H903" s="10" t="n">
        <v>45681</v>
      </c>
      <c r="I903" s="9" t="s">
        <v>50</v>
      </c>
      <c r="J903" s="9" t="s">
        <v>41</v>
      </c>
      <c r="K903" s="9" t="n">
        <v>9</v>
      </c>
      <c r="L903" s="9" t="n">
        <v>2</v>
      </c>
      <c r="M903" s="9" t="n">
        <v>0</v>
      </c>
      <c r="N903" s="9" t="s">
        <v>42</v>
      </c>
      <c r="O903" s="9" t="s">
        <v>52</v>
      </c>
      <c r="P903" s="9" t="n">
        <v>19.4</v>
      </c>
      <c r="Q903" s="9" t="n">
        <v>25</v>
      </c>
      <c r="R903" s="9" t="s">
        <v>53</v>
      </c>
      <c r="S903" s="9"/>
      <c r="T903" s="9"/>
      <c r="U903" s="9" t="str">
        <f aca="false">IF(COUNTIF($A$2:$A$5001,A903)&gt;1,"Duplicate","Unique")</f>
        <v>Unique</v>
      </c>
      <c r="V903" s="9" t="str">
        <f aca="false">IF(COUNTIFS($B$2:$B$5001,B903,$H$2:$H$5001,H903,$J$2:$J$5001,J903)&gt;1,"Possible Duplicate Booking","Unique")</f>
        <v>Unique</v>
      </c>
      <c r="W903" s="9" t="str">
        <f aca="false">IF((H903-G903)&lt;&gt;K903,"Mismatch","OK")</f>
        <v>OK</v>
      </c>
      <c r="X903" s="9" t="str">
        <f aca="false">IF(TEXT(H903,"dddd")&lt;&gt;I903,"Mismatch","OK")</f>
        <v>OK</v>
      </c>
      <c r="Y903" s="9" t="str">
        <f aca="false">IF(AND(N903="No",O903&lt;&gt;""),"Unexpected: channel present but no reminder sent",IF(AND(N903="Yes",O903=""),"Missing channel for sent reminder","OK"))</f>
        <v>OK</v>
      </c>
    </row>
    <row r="904" customFormat="false" ht="15" hidden="false" customHeight="false" outlineLevel="0" collapsed="false">
      <c r="A904" s="7" t="s">
        <v>1690</v>
      </c>
      <c r="B904" s="7" t="s">
        <v>1653</v>
      </c>
      <c r="C904" s="7" t="s">
        <v>37</v>
      </c>
      <c r="D904" s="7" t="n">
        <v>20</v>
      </c>
      <c r="E904" s="7" t="s">
        <v>82</v>
      </c>
      <c r="F904" s="7" t="s">
        <v>39</v>
      </c>
      <c r="G904" s="8" t="n">
        <v>45772</v>
      </c>
      <c r="H904" s="8" t="n">
        <v>45777</v>
      </c>
      <c r="I904" s="7" t="s">
        <v>58</v>
      </c>
      <c r="J904" s="7" t="s">
        <v>51</v>
      </c>
      <c r="K904" s="7" t="n">
        <v>5</v>
      </c>
      <c r="L904" s="7" t="n">
        <v>4</v>
      </c>
      <c r="M904" s="7" t="n">
        <v>0</v>
      </c>
      <c r="N904" s="7" t="s">
        <v>71</v>
      </c>
      <c r="O904" s="7"/>
      <c r="P904" s="7" t="n">
        <v>6.5</v>
      </c>
      <c r="Q904" s="7" t="n">
        <v>25</v>
      </c>
      <c r="R904" s="7" t="s">
        <v>44</v>
      </c>
      <c r="S904" s="7"/>
      <c r="T904" s="7"/>
      <c r="U904" s="7" t="str">
        <f aca="false">IF(COUNTIF($A$2:$A$5001,A904)&gt;1,"Duplicate","Unique")</f>
        <v>Unique</v>
      </c>
      <c r="V904" s="7" t="str">
        <f aca="false">IF(COUNTIFS($B$2:$B$5001,B904,$H$2:$H$5001,H904,$J$2:$J$5001,J904)&gt;1,"Possible Duplicate Booking","Unique")</f>
        <v>Unique</v>
      </c>
      <c r="W904" s="7" t="str">
        <f aca="false">IF((H904-G904)&lt;&gt;K904,"Mismatch","OK")</f>
        <v>OK</v>
      </c>
      <c r="X904" s="7" t="str">
        <f aca="false">IF(TEXT(H904,"dddd")&lt;&gt;I904,"Mismatch","OK")</f>
        <v>OK</v>
      </c>
      <c r="Y904" s="7" t="str">
        <f aca="false">IF(AND(N904="No",O904&lt;&gt;""),"Unexpected: channel present but no reminder sent",IF(AND(N904="Yes",O904=""),"Missing channel for sent reminder","OK"))</f>
        <v>OK</v>
      </c>
    </row>
    <row r="905" customFormat="false" ht="15" hidden="false" customHeight="false" outlineLevel="0" collapsed="false">
      <c r="A905" s="9" t="s">
        <v>1691</v>
      </c>
      <c r="B905" s="9" t="s">
        <v>65</v>
      </c>
      <c r="C905" s="9" t="s">
        <v>37</v>
      </c>
      <c r="D905" s="9" t="n">
        <v>54</v>
      </c>
      <c r="E905" s="9" t="s">
        <v>56</v>
      </c>
      <c r="F905" s="9" t="s">
        <v>49</v>
      </c>
      <c r="G905" s="10" t="n">
        <v>46093</v>
      </c>
      <c r="H905" s="10" t="n">
        <v>46140</v>
      </c>
      <c r="I905" s="9" t="s">
        <v>40</v>
      </c>
      <c r="J905" s="9" t="s">
        <v>41</v>
      </c>
      <c r="K905" s="9" t="n">
        <v>47</v>
      </c>
      <c r="L905" s="9" t="n">
        <v>4</v>
      </c>
      <c r="M905" s="9" t="n">
        <v>0</v>
      </c>
      <c r="N905" s="9" t="s">
        <v>71</v>
      </c>
      <c r="O905" s="9"/>
      <c r="P905" s="9" t="n">
        <v>2.8</v>
      </c>
      <c r="Q905" s="9" t="n">
        <v>35</v>
      </c>
      <c r="R905" s="9" t="s">
        <v>53</v>
      </c>
      <c r="S905" s="9"/>
      <c r="T905" s="9"/>
      <c r="U905" s="9" t="str">
        <f aca="false">IF(COUNTIF($A$2:$A$5001,A905)&gt;1,"Duplicate","Unique")</f>
        <v>Unique</v>
      </c>
      <c r="V905" s="9" t="str">
        <f aca="false">IF(COUNTIFS($B$2:$B$5001,B905,$H$2:$H$5001,H905,$J$2:$J$5001,J905)&gt;1,"Possible Duplicate Booking","Unique")</f>
        <v>Unique</v>
      </c>
      <c r="W905" s="9" t="str">
        <f aca="false">IF((H905-G905)&lt;&gt;K905,"Mismatch","OK")</f>
        <v>OK</v>
      </c>
      <c r="X905" s="9" t="str">
        <f aca="false">IF(TEXT(H905,"dddd")&lt;&gt;I905,"Mismatch","OK")</f>
        <v>OK</v>
      </c>
      <c r="Y905" s="9" t="str">
        <f aca="false">IF(AND(N905="No",O905&lt;&gt;""),"Unexpected: channel present but no reminder sent",IF(AND(N905="Yes",O905=""),"Missing channel for sent reminder","OK"))</f>
        <v>OK</v>
      </c>
    </row>
    <row r="906" customFormat="false" ht="15" hidden="false" customHeight="false" outlineLevel="0" collapsed="false">
      <c r="A906" s="7" t="s">
        <v>1692</v>
      </c>
      <c r="B906" s="7" t="s">
        <v>970</v>
      </c>
      <c r="C906" s="7" t="s">
        <v>37</v>
      </c>
      <c r="D906" s="7" t="n">
        <v>50</v>
      </c>
      <c r="E906" s="7" t="s">
        <v>56</v>
      </c>
      <c r="F906" s="7" t="s">
        <v>74</v>
      </c>
      <c r="G906" s="8" t="n">
        <v>45897</v>
      </c>
      <c r="H906" s="8" t="n">
        <v>45908</v>
      </c>
      <c r="I906" s="7" t="s">
        <v>66</v>
      </c>
      <c r="J906" s="7" t="s">
        <v>51</v>
      </c>
      <c r="K906" s="7" t="n">
        <v>11</v>
      </c>
      <c r="L906" s="7" t="n">
        <v>2</v>
      </c>
      <c r="M906" s="7" t="n">
        <v>0</v>
      </c>
      <c r="N906" s="7" t="s">
        <v>71</v>
      </c>
      <c r="O906" s="7"/>
      <c r="P906" s="7" t="n">
        <v>13.6</v>
      </c>
      <c r="Q906" s="7" t="n">
        <v>12</v>
      </c>
      <c r="R906" s="7" t="s">
        <v>53</v>
      </c>
      <c r="S906" s="7"/>
      <c r="T906" s="7"/>
      <c r="U906" s="7" t="str">
        <f aca="false">IF(COUNTIF($A$2:$A$5001,A906)&gt;1,"Duplicate","Unique")</f>
        <v>Unique</v>
      </c>
      <c r="V906" s="7" t="str">
        <f aca="false">IF(COUNTIFS($B$2:$B$5001,B906,$H$2:$H$5001,H906,$J$2:$J$5001,J906)&gt;1,"Possible Duplicate Booking","Unique")</f>
        <v>Unique</v>
      </c>
      <c r="W906" s="7" t="str">
        <f aca="false">IF((H906-G906)&lt;&gt;K906,"Mismatch","OK")</f>
        <v>OK</v>
      </c>
      <c r="X906" s="7" t="str">
        <f aca="false">IF(TEXT(H906,"dddd")&lt;&gt;I906,"Mismatch","OK")</f>
        <v>OK</v>
      </c>
      <c r="Y906" s="7" t="str">
        <f aca="false">IF(AND(N906="No",O906&lt;&gt;""),"Unexpected: channel present but no reminder sent",IF(AND(N906="Yes",O906=""),"Missing channel for sent reminder","OK"))</f>
        <v>OK</v>
      </c>
    </row>
    <row r="907" customFormat="false" ht="15" hidden="false" customHeight="false" outlineLevel="0" collapsed="false">
      <c r="A907" s="9" t="s">
        <v>1693</v>
      </c>
      <c r="B907" s="9" t="s">
        <v>1303</v>
      </c>
      <c r="C907" s="9" t="s">
        <v>47</v>
      </c>
      <c r="D907" s="9" t="n">
        <v>65</v>
      </c>
      <c r="E907" s="9" t="s">
        <v>70</v>
      </c>
      <c r="F907" s="9" t="s">
        <v>49</v>
      </c>
      <c r="G907" s="10" t="n">
        <v>46036</v>
      </c>
      <c r="H907" s="10" t="n">
        <v>46045</v>
      </c>
      <c r="I907" s="9" t="s">
        <v>50</v>
      </c>
      <c r="J907" s="9" t="s">
        <v>41</v>
      </c>
      <c r="K907" s="9" t="n">
        <v>9</v>
      </c>
      <c r="L907" s="9" t="n">
        <v>0</v>
      </c>
      <c r="M907" s="9" t="n">
        <v>0</v>
      </c>
      <c r="N907" s="9" t="s">
        <v>42</v>
      </c>
      <c r="O907" s="9" t="s">
        <v>52</v>
      </c>
      <c r="P907" s="9" t="n">
        <v>9.6</v>
      </c>
      <c r="Q907" s="9" t="n">
        <v>25</v>
      </c>
      <c r="R907" s="9" t="s">
        <v>53</v>
      </c>
      <c r="S907" s="9"/>
      <c r="T907" s="9"/>
      <c r="U907" s="9" t="str">
        <f aca="false">IF(COUNTIF($A$2:$A$5001,A907)&gt;1,"Duplicate","Unique")</f>
        <v>Unique</v>
      </c>
      <c r="V907" s="9" t="str">
        <f aca="false">IF(COUNTIFS($B$2:$B$5001,B907,$H$2:$H$5001,H907,$J$2:$J$5001,J907)&gt;1,"Possible Duplicate Booking","Unique")</f>
        <v>Unique</v>
      </c>
      <c r="W907" s="9" t="str">
        <f aca="false">IF((H907-G907)&lt;&gt;K907,"Mismatch","OK")</f>
        <v>OK</v>
      </c>
      <c r="X907" s="9" t="str">
        <f aca="false">IF(TEXT(H907,"dddd")&lt;&gt;I907,"Mismatch","OK")</f>
        <v>OK</v>
      </c>
      <c r="Y907" s="9" t="str">
        <f aca="false">IF(AND(N907="No",O907&lt;&gt;""),"Unexpected: channel present but no reminder sent",IF(AND(N907="Yes",O907=""),"Missing channel for sent reminder","OK"))</f>
        <v>OK</v>
      </c>
    </row>
    <row r="908" customFormat="false" ht="15" hidden="false" customHeight="false" outlineLevel="0" collapsed="false">
      <c r="A908" s="7" t="s">
        <v>1694</v>
      </c>
      <c r="B908" s="7" t="s">
        <v>1695</v>
      </c>
      <c r="C908" s="7" t="s">
        <v>37</v>
      </c>
      <c r="D908" s="7" t="n">
        <v>74</v>
      </c>
      <c r="E908" s="7" t="s">
        <v>70</v>
      </c>
      <c r="F908" s="7" t="s">
        <v>57</v>
      </c>
      <c r="G908" s="8" t="n">
        <v>45854</v>
      </c>
      <c r="H908" s="8" t="n">
        <v>45882</v>
      </c>
      <c r="I908" s="7" t="s">
        <v>58</v>
      </c>
      <c r="J908" s="7" t="s">
        <v>51</v>
      </c>
      <c r="K908" s="7" t="n">
        <v>28</v>
      </c>
      <c r="L908" s="7" t="n">
        <v>4</v>
      </c>
      <c r="M908" s="7" t="n">
        <v>1</v>
      </c>
      <c r="N908" s="7" t="s">
        <v>71</v>
      </c>
      <c r="O908" s="7"/>
      <c r="P908" s="7" t="n">
        <v>7.6</v>
      </c>
      <c r="Q908" s="7"/>
      <c r="R908" s="7" t="s">
        <v>53</v>
      </c>
      <c r="S908" s="7"/>
      <c r="T908" s="7"/>
      <c r="U908" s="7" t="str">
        <f aca="false">IF(COUNTIF($A$2:$A$5001,A908)&gt;1,"Duplicate","Unique")</f>
        <v>Unique</v>
      </c>
      <c r="V908" s="7" t="str">
        <f aca="false">IF(COUNTIFS($B$2:$B$5001,B908,$H$2:$H$5001,H908,$J$2:$J$5001,J908)&gt;1,"Possible Duplicate Booking","Unique")</f>
        <v>Unique</v>
      </c>
      <c r="W908" s="7" t="str">
        <f aca="false">IF((H908-G908)&lt;&gt;K908,"Mismatch","OK")</f>
        <v>OK</v>
      </c>
      <c r="X908" s="7" t="str">
        <f aca="false">IF(TEXT(H908,"dddd")&lt;&gt;I908,"Mismatch","OK")</f>
        <v>OK</v>
      </c>
      <c r="Y908" s="7" t="str">
        <f aca="false">IF(AND(N908="No",O908&lt;&gt;""),"Unexpected: channel present but no reminder sent",IF(AND(N908="Yes",O908=""),"Missing channel for sent reminder","OK"))</f>
        <v>OK</v>
      </c>
    </row>
    <row r="909" customFormat="false" ht="15" hidden="false" customHeight="false" outlineLevel="0" collapsed="false">
      <c r="A909" s="9" t="s">
        <v>1696</v>
      </c>
      <c r="B909" s="9" t="s">
        <v>1697</v>
      </c>
      <c r="C909" s="9" t="s">
        <v>37</v>
      </c>
      <c r="D909" s="9" t="n">
        <v>28</v>
      </c>
      <c r="E909" s="9" t="s">
        <v>48</v>
      </c>
      <c r="F909" s="9" t="s">
        <v>49</v>
      </c>
      <c r="G909" s="10" t="n">
        <v>45697</v>
      </c>
      <c r="H909" s="10" t="n">
        <v>45752</v>
      </c>
      <c r="I909" s="9" t="s">
        <v>102</v>
      </c>
      <c r="J909" s="9" t="s">
        <v>41</v>
      </c>
      <c r="K909" s="9" t="n">
        <v>55</v>
      </c>
      <c r="L909" s="9" t="n">
        <v>3</v>
      </c>
      <c r="M909" s="9" t="n">
        <v>0</v>
      </c>
      <c r="N909" s="9" t="s">
        <v>42</v>
      </c>
      <c r="O909" s="9" t="s">
        <v>52</v>
      </c>
      <c r="P909" s="9" t="n">
        <v>8.6</v>
      </c>
      <c r="Q909" s="9" t="n">
        <v>7</v>
      </c>
      <c r="R909" s="9" t="s">
        <v>53</v>
      </c>
      <c r="S909" s="9"/>
      <c r="T909" s="9"/>
      <c r="U909" s="9" t="str">
        <f aca="false">IF(COUNTIF($A$2:$A$5001,A909)&gt;1,"Duplicate","Unique")</f>
        <v>Unique</v>
      </c>
      <c r="V909" s="9" t="str">
        <f aca="false">IF(COUNTIFS($B$2:$B$5001,B909,$H$2:$H$5001,H909,$J$2:$J$5001,J909)&gt;1,"Possible Duplicate Booking","Unique")</f>
        <v>Unique</v>
      </c>
      <c r="W909" s="9" t="str">
        <f aca="false">IF((H909-G909)&lt;&gt;K909,"Mismatch","OK")</f>
        <v>OK</v>
      </c>
      <c r="X909" s="9" t="str">
        <f aca="false">IF(TEXT(H909,"dddd")&lt;&gt;I909,"Mismatch","OK")</f>
        <v>OK</v>
      </c>
      <c r="Y909" s="9" t="str">
        <f aca="false">IF(AND(N909="No",O909&lt;&gt;""),"Unexpected: channel present but no reminder sent",IF(AND(N909="Yes",O909=""),"Missing channel for sent reminder","OK"))</f>
        <v>OK</v>
      </c>
    </row>
    <row r="910" customFormat="false" ht="15" hidden="false" customHeight="false" outlineLevel="0" collapsed="false">
      <c r="A910" s="7" t="s">
        <v>1698</v>
      </c>
      <c r="B910" s="7" t="s">
        <v>1699</v>
      </c>
      <c r="C910" s="7" t="s">
        <v>37</v>
      </c>
      <c r="D910" s="7" t="n">
        <v>78</v>
      </c>
      <c r="E910" s="7" t="s">
        <v>70</v>
      </c>
      <c r="F910" s="7" t="s">
        <v>74</v>
      </c>
      <c r="G910" s="8" t="n">
        <v>45812</v>
      </c>
      <c r="H910" s="8" t="n">
        <v>45860</v>
      </c>
      <c r="I910" s="7" t="s">
        <v>40</v>
      </c>
      <c r="J910" s="7" t="s">
        <v>51</v>
      </c>
      <c r="K910" s="7" t="n">
        <v>48</v>
      </c>
      <c r="L910" s="7" t="n">
        <v>3</v>
      </c>
      <c r="M910" s="7" t="n">
        <v>0</v>
      </c>
      <c r="N910" s="7" t="s">
        <v>42</v>
      </c>
      <c r="O910" s="7" t="s">
        <v>67</v>
      </c>
      <c r="P910" s="7" t="n">
        <v>6.7</v>
      </c>
      <c r="Q910" s="7" t="n">
        <v>26</v>
      </c>
      <c r="R910" s="7" t="s">
        <v>53</v>
      </c>
      <c r="S910" s="7"/>
      <c r="T910" s="7"/>
      <c r="U910" s="7" t="str">
        <f aca="false">IF(COUNTIF($A$2:$A$5001,A910)&gt;1,"Duplicate","Unique")</f>
        <v>Unique</v>
      </c>
      <c r="V910" s="7" t="str">
        <f aca="false">IF(COUNTIFS($B$2:$B$5001,B910,$H$2:$H$5001,H910,$J$2:$J$5001,J910)&gt;1,"Possible Duplicate Booking","Unique")</f>
        <v>Unique</v>
      </c>
      <c r="W910" s="7" t="str">
        <f aca="false">IF((H910-G910)&lt;&gt;K910,"Mismatch","OK")</f>
        <v>OK</v>
      </c>
      <c r="X910" s="7" t="str">
        <f aca="false">IF(TEXT(H910,"dddd")&lt;&gt;I910,"Mismatch","OK")</f>
        <v>OK</v>
      </c>
      <c r="Y910" s="7" t="str">
        <f aca="false">IF(AND(N910="No",O910&lt;&gt;""),"Unexpected: channel present but no reminder sent",IF(AND(N910="Yes",O910=""),"Missing channel for sent reminder","OK"))</f>
        <v>OK</v>
      </c>
    </row>
    <row r="911" customFormat="false" ht="15" hidden="false" customHeight="false" outlineLevel="0" collapsed="false">
      <c r="A911" s="9" t="s">
        <v>1700</v>
      </c>
      <c r="B911" s="9" t="s">
        <v>1165</v>
      </c>
      <c r="C911" s="9" t="s">
        <v>47</v>
      </c>
      <c r="D911" s="9" t="n">
        <v>76</v>
      </c>
      <c r="E911" s="9" t="s">
        <v>70</v>
      </c>
      <c r="F911" s="9" t="s">
        <v>39</v>
      </c>
      <c r="G911" s="10" t="n">
        <v>45677</v>
      </c>
      <c r="H911" s="10" t="n">
        <v>45708</v>
      </c>
      <c r="I911" s="9" t="s">
        <v>62</v>
      </c>
      <c r="J911" s="9" t="s">
        <v>51</v>
      </c>
      <c r="K911" s="9" t="n">
        <v>31</v>
      </c>
      <c r="L911" s="9" t="n">
        <v>3</v>
      </c>
      <c r="M911" s="9" t="n">
        <v>1</v>
      </c>
      <c r="N911" s="9" t="s">
        <v>42</v>
      </c>
      <c r="O911" s="9" t="s">
        <v>52</v>
      </c>
      <c r="P911" s="9" t="n">
        <v>8.1</v>
      </c>
      <c r="Q911" s="9" t="n">
        <v>27</v>
      </c>
      <c r="R911" s="9" t="s">
        <v>44</v>
      </c>
      <c r="S911" s="9"/>
      <c r="T911" s="9"/>
      <c r="U911" s="9" t="str">
        <f aca="false">IF(COUNTIF($A$2:$A$5001,A911)&gt;1,"Duplicate","Unique")</f>
        <v>Unique</v>
      </c>
      <c r="V911" s="9" t="str">
        <f aca="false">IF(COUNTIFS($B$2:$B$5001,B911,$H$2:$H$5001,H911,$J$2:$J$5001,J911)&gt;1,"Possible Duplicate Booking","Unique")</f>
        <v>Unique</v>
      </c>
      <c r="W911" s="9" t="str">
        <f aca="false">IF((H911-G911)&lt;&gt;K911,"Mismatch","OK")</f>
        <v>OK</v>
      </c>
      <c r="X911" s="9" t="str">
        <f aca="false">IF(TEXT(H911,"dddd")&lt;&gt;I911,"Mismatch","OK")</f>
        <v>OK</v>
      </c>
      <c r="Y911" s="9" t="str">
        <f aca="false">IF(AND(N911="No",O911&lt;&gt;""),"Unexpected: channel present but no reminder sent",IF(AND(N911="Yes",O911=""),"Missing channel for sent reminder","OK"))</f>
        <v>OK</v>
      </c>
    </row>
    <row r="912" customFormat="false" ht="15" hidden="false" customHeight="false" outlineLevel="0" collapsed="false">
      <c r="A912" s="7" t="s">
        <v>1701</v>
      </c>
      <c r="B912" s="7" t="s">
        <v>828</v>
      </c>
      <c r="C912" s="7" t="s">
        <v>47</v>
      </c>
      <c r="D912" s="7" t="n">
        <v>56</v>
      </c>
      <c r="E912" s="7" t="s">
        <v>61</v>
      </c>
      <c r="F912" s="7" t="s">
        <v>39</v>
      </c>
      <c r="G912" s="8" t="n">
        <v>46067</v>
      </c>
      <c r="H912" s="8" t="n">
        <v>46078</v>
      </c>
      <c r="I912" s="7" t="s">
        <v>58</v>
      </c>
      <c r="J912" s="7" t="s">
        <v>41</v>
      </c>
      <c r="K912" s="7" t="n">
        <v>11</v>
      </c>
      <c r="L912" s="7" t="n">
        <v>3</v>
      </c>
      <c r="M912" s="7" t="n">
        <v>0</v>
      </c>
      <c r="N912" s="7" t="s">
        <v>42</v>
      </c>
      <c r="O912" s="7" t="s">
        <v>52</v>
      </c>
      <c r="P912" s="7" t="n">
        <v>9.2</v>
      </c>
      <c r="Q912" s="7" t="n">
        <v>23</v>
      </c>
      <c r="R912" s="7" t="s">
        <v>44</v>
      </c>
      <c r="S912" s="7"/>
      <c r="T912" s="7"/>
      <c r="U912" s="7" t="str">
        <f aca="false">IF(COUNTIF($A$2:$A$5001,A912)&gt;1,"Duplicate","Unique")</f>
        <v>Unique</v>
      </c>
      <c r="V912" s="7" t="str">
        <f aca="false">IF(COUNTIFS($B$2:$B$5001,B912,$H$2:$H$5001,H912,$J$2:$J$5001,J912)&gt;1,"Possible Duplicate Booking","Unique")</f>
        <v>Unique</v>
      </c>
      <c r="W912" s="7" t="str">
        <f aca="false">IF((H912-G912)&lt;&gt;K912,"Mismatch","OK")</f>
        <v>OK</v>
      </c>
      <c r="X912" s="7" t="str">
        <f aca="false">IF(TEXT(H912,"dddd")&lt;&gt;I912,"Mismatch","OK")</f>
        <v>OK</v>
      </c>
      <c r="Y912" s="7" t="str">
        <f aca="false">IF(AND(N912="No",O912&lt;&gt;""),"Unexpected: channel present but no reminder sent",IF(AND(N912="Yes",O912=""),"Missing channel for sent reminder","OK"))</f>
        <v>OK</v>
      </c>
    </row>
    <row r="913" customFormat="false" ht="15" hidden="false" customHeight="false" outlineLevel="0" collapsed="false">
      <c r="A913" s="9" t="s">
        <v>1702</v>
      </c>
      <c r="B913" s="9" t="s">
        <v>589</v>
      </c>
      <c r="C913" s="9" t="s">
        <v>47</v>
      </c>
      <c r="D913" s="9" t="n">
        <v>51</v>
      </c>
      <c r="E913" s="9" t="s">
        <v>56</v>
      </c>
      <c r="F913" s="9" t="s">
        <v>39</v>
      </c>
      <c r="G913" s="10" t="n">
        <v>45738</v>
      </c>
      <c r="H913" s="10" t="n">
        <v>45758</v>
      </c>
      <c r="I913" s="9" t="s">
        <v>50</v>
      </c>
      <c r="J913" s="9" t="s">
        <v>51</v>
      </c>
      <c r="K913" s="9" t="n">
        <v>20</v>
      </c>
      <c r="L913" s="9" t="n">
        <v>2</v>
      </c>
      <c r="M913" s="9" t="n">
        <v>1</v>
      </c>
      <c r="N913" s="9" t="s">
        <v>42</v>
      </c>
      <c r="O913" s="9" t="s">
        <v>52</v>
      </c>
      <c r="P913" s="9" t="n">
        <v>9.8</v>
      </c>
      <c r="Q913" s="9" t="n">
        <v>10</v>
      </c>
      <c r="R913" s="9" t="s">
        <v>53</v>
      </c>
      <c r="S913" s="9"/>
      <c r="T913" s="9"/>
      <c r="U913" s="9" t="str">
        <f aca="false">IF(COUNTIF($A$2:$A$5001,A913)&gt;1,"Duplicate","Unique")</f>
        <v>Unique</v>
      </c>
      <c r="V913" s="9" t="str">
        <f aca="false">IF(COUNTIFS($B$2:$B$5001,B913,$H$2:$H$5001,H913,$J$2:$J$5001,J913)&gt;1,"Possible Duplicate Booking","Unique")</f>
        <v>Unique</v>
      </c>
      <c r="W913" s="9" t="str">
        <f aca="false">IF((H913-G913)&lt;&gt;K913,"Mismatch","OK")</f>
        <v>OK</v>
      </c>
      <c r="X913" s="9" t="str">
        <f aca="false">IF(TEXT(H913,"dddd")&lt;&gt;I913,"Mismatch","OK")</f>
        <v>OK</v>
      </c>
      <c r="Y913" s="9" t="str">
        <f aca="false">IF(AND(N913="No",O913&lt;&gt;""),"Unexpected: channel present but no reminder sent",IF(AND(N913="Yes",O913=""),"Missing channel for sent reminder","OK"))</f>
        <v>OK</v>
      </c>
    </row>
    <row r="914" customFormat="false" ht="15" hidden="false" customHeight="false" outlineLevel="0" collapsed="false">
      <c r="A914" s="7" t="s">
        <v>1703</v>
      </c>
      <c r="B914" s="7" t="s">
        <v>1704</v>
      </c>
      <c r="C914" s="7" t="s">
        <v>236</v>
      </c>
      <c r="D914" s="7" t="n">
        <v>29</v>
      </c>
      <c r="E914" s="7" t="s">
        <v>48</v>
      </c>
      <c r="F914" s="7" t="s">
        <v>39</v>
      </c>
      <c r="G914" s="8" t="n">
        <v>45822</v>
      </c>
      <c r="H914" s="8" t="n">
        <v>45863</v>
      </c>
      <c r="I914" s="7" t="s">
        <v>50</v>
      </c>
      <c r="J914" s="7" t="s">
        <v>41</v>
      </c>
      <c r="K914" s="7" t="n">
        <v>41</v>
      </c>
      <c r="L914" s="7" t="n">
        <v>3</v>
      </c>
      <c r="M914" s="7" t="n">
        <v>0</v>
      </c>
      <c r="N914" s="7" t="s">
        <v>42</v>
      </c>
      <c r="O914" s="7" t="s">
        <v>52</v>
      </c>
      <c r="P914" s="7" t="n">
        <v>8.5</v>
      </c>
      <c r="Q914" s="7" t="n">
        <v>23</v>
      </c>
      <c r="R914" s="7" t="s">
        <v>44</v>
      </c>
      <c r="S914" s="7"/>
      <c r="T914" s="7"/>
      <c r="U914" s="7" t="str">
        <f aca="false">IF(COUNTIF($A$2:$A$5001,A914)&gt;1,"Duplicate","Unique")</f>
        <v>Unique</v>
      </c>
      <c r="V914" s="7" t="str">
        <f aca="false">IF(COUNTIFS($B$2:$B$5001,B914,$H$2:$H$5001,H914,$J$2:$J$5001,J914)&gt;1,"Possible Duplicate Booking","Unique")</f>
        <v>Unique</v>
      </c>
      <c r="W914" s="7" t="str">
        <f aca="false">IF((H914-G914)&lt;&gt;K914,"Mismatch","OK")</f>
        <v>OK</v>
      </c>
      <c r="X914" s="7" t="str">
        <f aca="false">IF(TEXT(H914,"dddd")&lt;&gt;I914,"Mismatch","OK")</f>
        <v>OK</v>
      </c>
      <c r="Y914" s="7" t="str">
        <f aca="false">IF(AND(N914="No",O914&lt;&gt;""),"Unexpected: channel present but no reminder sent",IF(AND(N914="Yes",O914=""),"Missing channel for sent reminder","OK"))</f>
        <v>OK</v>
      </c>
    </row>
    <row r="915" customFormat="false" ht="15" hidden="false" customHeight="false" outlineLevel="0" collapsed="false">
      <c r="A915" s="9" t="s">
        <v>1705</v>
      </c>
      <c r="B915" s="9" t="s">
        <v>1706</v>
      </c>
      <c r="C915" s="9" t="s">
        <v>37</v>
      </c>
      <c r="D915" s="9" t="n">
        <v>29</v>
      </c>
      <c r="E915" s="9" t="s">
        <v>48</v>
      </c>
      <c r="F915" s="9" t="s">
        <v>57</v>
      </c>
      <c r="G915" s="10" t="n">
        <v>46184</v>
      </c>
      <c r="H915" s="10" t="n">
        <v>46193</v>
      </c>
      <c r="I915" s="9" t="s">
        <v>102</v>
      </c>
      <c r="J915" s="9" t="s">
        <v>51</v>
      </c>
      <c r="K915" s="9" t="n">
        <v>9</v>
      </c>
      <c r="L915" s="9" t="n">
        <v>2</v>
      </c>
      <c r="M915" s="9" t="n">
        <v>1</v>
      </c>
      <c r="N915" s="9" t="s">
        <v>42</v>
      </c>
      <c r="O915" s="9" t="s">
        <v>52</v>
      </c>
      <c r="P915" s="9" t="n">
        <v>4.2</v>
      </c>
      <c r="Q915" s="9" t="n">
        <v>2</v>
      </c>
      <c r="R915" s="9" t="s">
        <v>53</v>
      </c>
      <c r="S915" s="9"/>
      <c r="T915" s="9"/>
      <c r="U915" s="9" t="str">
        <f aca="false">IF(COUNTIF($A$2:$A$5001,A915)&gt;1,"Duplicate","Unique")</f>
        <v>Unique</v>
      </c>
      <c r="V915" s="9" t="str">
        <f aca="false">IF(COUNTIFS($B$2:$B$5001,B915,$H$2:$H$5001,H915,$J$2:$J$5001,J915)&gt;1,"Possible Duplicate Booking","Unique")</f>
        <v>Unique</v>
      </c>
      <c r="W915" s="9" t="str">
        <f aca="false">IF((H915-G915)&lt;&gt;K915,"Mismatch","OK")</f>
        <v>OK</v>
      </c>
      <c r="X915" s="9" t="str">
        <f aca="false">IF(TEXT(H915,"dddd")&lt;&gt;I915,"Mismatch","OK")</f>
        <v>OK</v>
      </c>
      <c r="Y915" s="9" t="str">
        <f aca="false">IF(AND(N915="No",O915&lt;&gt;""),"Unexpected: channel present but no reminder sent",IF(AND(N915="Yes",O915=""),"Missing channel for sent reminder","OK"))</f>
        <v>OK</v>
      </c>
    </row>
    <row r="916" customFormat="false" ht="15" hidden="false" customHeight="false" outlineLevel="0" collapsed="false">
      <c r="A916" s="7" t="s">
        <v>1707</v>
      </c>
      <c r="B916" s="7" t="s">
        <v>1708</v>
      </c>
      <c r="C916" s="7" t="s">
        <v>37</v>
      </c>
      <c r="D916" s="7" t="n">
        <v>19</v>
      </c>
      <c r="E916" s="7" t="s">
        <v>82</v>
      </c>
      <c r="F916" s="7" t="s">
        <v>57</v>
      </c>
      <c r="G916" s="8" t="n">
        <v>45950</v>
      </c>
      <c r="H916" s="8" t="n">
        <v>45981</v>
      </c>
      <c r="I916" s="7" t="s">
        <v>62</v>
      </c>
      <c r="J916" s="7" t="s">
        <v>51</v>
      </c>
      <c r="K916" s="7" t="n">
        <v>31</v>
      </c>
      <c r="L916" s="7" t="n">
        <v>2</v>
      </c>
      <c r="M916" s="7" t="n">
        <v>0</v>
      </c>
      <c r="N916" s="7" t="s">
        <v>71</v>
      </c>
      <c r="O916" s="7"/>
      <c r="P916" s="7" t="n">
        <v>24.6</v>
      </c>
      <c r="Q916" s="7" t="n">
        <v>28</v>
      </c>
      <c r="R916" s="7" t="s">
        <v>44</v>
      </c>
      <c r="S916" s="7"/>
      <c r="T916" s="7"/>
      <c r="U916" s="7" t="str">
        <f aca="false">IF(COUNTIF($A$2:$A$5001,A916)&gt;1,"Duplicate","Unique")</f>
        <v>Unique</v>
      </c>
      <c r="V916" s="7" t="str">
        <f aca="false">IF(COUNTIFS($B$2:$B$5001,B916,$H$2:$H$5001,H916,$J$2:$J$5001,J916)&gt;1,"Possible Duplicate Booking","Unique")</f>
        <v>Unique</v>
      </c>
      <c r="W916" s="7" t="str">
        <f aca="false">IF((H916-G916)&lt;&gt;K916,"Mismatch","OK")</f>
        <v>OK</v>
      </c>
      <c r="X916" s="7" t="str">
        <f aca="false">IF(TEXT(H916,"dddd")&lt;&gt;I916,"Mismatch","OK")</f>
        <v>OK</v>
      </c>
      <c r="Y916" s="7" t="str">
        <f aca="false">IF(AND(N916="No",O916&lt;&gt;""),"Unexpected: channel present but no reminder sent",IF(AND(N916="Yes",O916=""),"Missing channel for sent reminder","OK"))</f>
        <v>OK</v>
      </c>
    </row>
    <row r="917" customFormat="false" ht="15" hidden="false" customHeight="false" outlineLevel="0" collapsed="false">
      <c r="A917" s="9" t="s">
        <v>1709</v>
      </c>
      <c r="B917" s="9" t="s">
        <v>615</v>
      </c>
      <c r="C917" s="9" t="s">
        <v>37</v>
      </c>
      <c r="D917" s="9" t="n">
        <v>58</v>
      </c>
      <c r="E917" s="9" t="s">
        <v>61</v>
      </c>
      <c r="F917" s="9" t="s">
        <v>49</v>
      </c>
      <c r="G917" s="10" t="n">
        <v>45908</v>
      </c>
      <c r="H917" s="10" t="n">
        <v>45908</v>
      </c>
      <c r="I917" s="9" t="s">
        <v>66</v>
      </c>
      <c r="J917" s="9" t="s">
        <v>51</v>
      </c>
      <c r="K917" s="9" t="n">
        <v>0</v>
      </c>
      <c r="L917" s="9" t="n">
        <v>2</v>
      </c>
      <c r="M917" s="9" t="n">
        <v>0</v>
      </c>
      <c r="N917" s="9" t="s">
        <v>71</v>
      </c>
      <c r="O917" s="9"/>
      <c r="P917" s="9" t="n">
        <v>7.8</v>
      </c>
      <c r="Q917" s="9" t="n">
        <v>32</v>
      </c>
      <c r="R917" s="9" t="s">
        <v>53</v>
      </c>
      <c r="S917" s="9"/>
      <c r="T917" s="9"/>
      <c r="U917" s="9" t="str">
        <f aca="false">IF(COUNTIF($A$2:$A$5001,A917)&gt;1,"Duplicate","Unique")</f>
        <v>Unique</v>
      </c>
      <c r="V917" s="9" t="str">
        <f aca="false">IF(COUNTIFS($B$2:$B$5001,B917,$H$2:$H$5001,H917,$J$2:$J$5001,J917)&gt;1,"Possible Duplicate Booking","Unique")</f>
        <v>Unique</v>
      </c>
      <c r="W917" s="9" t="str">
        <f aca="false">IF((H917-G917)&lt;&gt;K917,"Mismatch","OK")</f>
        <v>OK</v>
      </c>
      <c r="X917" s="9" t="str">
        <f aca="false">IF(TEXT(H917,"dddd")&lt;&gt;I917,"Mismatch","OK")</f>
        <v>OK</v>
      </c>
      <c r="Y917" s="9" t="str">
        <f aca="false">IF(AND(N917="No",O917&lt;&gt;""),"Unexpected: channel present but no reminder sent",IF(AND(N917="Yes",O917=""),"Missing channel for sent reminder","OK"))</f>
        <v>OK</v>
      </c>
    </row>
    <row r="918" customFormat="false" ht="15" hidden="false" customHeight="false" outlineLevel="0" collapsed="false">
      <c r="A918" s="7" t="s">
        <v>1710</v>
      </c>
      <c r="B918" s="7" t="s">
        <v>1711</v>
      </c>
      <c r="C918" s="7" t="s">
        <v>37</v>
      </c>
      <c r="D918" s="7" t="n">
        <v>45</v>
      </c>
      <c r="E918" s="7" t="s">
        <v>56</v>
      </c>
      <c r="F918" s="7" t="s">
        <v>74</v>
      </c>
      <c r="G918" s="8" t="n">
        <v>45935</v>
      </c>
      <c r="H918" s="8" t="n">
        <v>45954</v>
      </c>
      <c r="I918" s="7" t="s">
        <v>50</v>
      </c>
      <c r="J918" s="7" t="s">
        <v>63</v>
      </c>
      <c r="K918" s="7" t="n">
        <v>19</v>
      </c>
      <c r="L918" s="7" t="n">
        <v>4</v>
      </c>
      <c r="M918" s="7" t="n">
        <v>2</v>
      </c>
      <c r="N918" s="7" t="s">
        <v>42</v>
      </c>
      <c r="O918" s="7" t="s">
        <v>52</v>
      </c>
      <c r="P918" s="7" t="n">
        <v>1.7</v>
      </c>
      <c r="Q918" s="7" t="n">
        <v>22</v>
      </c>
      <c r="R918" s="7" t="s">
        <v>44</v>
      </c>
      <c r="S918" s="7"/>
      <c r="T918" s="7"/>
      <c r="U918" s="7" t="str">
        <f aca="false">IF(COUNTIF($A$2:$A$5001,A918)&gt;1,"Duplicate","Unique")</f>
        <v>Unique</v>
      </c>
      <c r="V918" s="7" t="str">
        <f aca="false">IF(COUNTIFS($B$2:$B$5001,B918,$H$2:$H$5001,H918,$J$2:$J$5001,J918)&gt;1,"Possible Duplicate Booking","Unique")</f>
        <v>Unique</v>
      </c>
      <c r="W918" s="7" t="str">
        <f aca="false">IF((H918-G918)&lt;&gt;K918,"Mismatch","OK")</f>
        <v>OK</v>
      </c>
      <c r="X918" s="7" t="str">
        <f aca="false">IF(TEXT(H918,"dddd")&lt;&gt;I918,"Mismatch","OK")</f>
        <v>OK</v>
      </c>
      <c r="Y918" s="7" t="str">
        <f aca="false">IF(AND(N918="No",O918&lt;&gt;""),"Unexpected: channel present but no reminder sent",IF(AND(N918="Yes",O918=""),"Missing channel for sent reminder","OK"))</f>
        <v>OK</v>
      </c>
    </row>
    <row r="919" customFormat="false" ht="15" hidden="false" customHeight="false" outlineLevel="0" collapsed="false">
      <c r="A919" s="9" t="s">
        <v>1712</v>
      </c>
      <c r="B919" s="9" t="s">
        <v>890</v>
      </c>
      <c r="C919" s="9" t="s">
        <v>47</v>
      </c>
      <c r="D919" s="9" t="n">
        <v>30</v>
      </c>
      <c r="E919" s="9" t="s">
        <v>48</v>
      </c>
      <c r="F919" s="9" t="s">
        <v>49</v>
      </c>
      <c r="G919" s="10" t="n">
        <v>46071</v>
      </c>
      <c r="H919" s="10" t="n">
        <v>46086</v>
      </c>
      <c r="I919" s="9" t="s">
        <v>62</v>
      </c>
      <c r="J919" s="9" t="s">
        <v>51</v>
      </c>
      <c r="K919" s="9" t="n">
        <v>15</v>
      </c>
      <c r="L919" s="9" t="n">
        <v>1</v>
      </c>
      <c r="M919" s="9" t="n">
        <v>0</v>
      </c>
      <c r="N919" s="9" t="s">
        <v>42</v>
      </c>
      <c r="O919" s="9" t="s">
        <v>52</v>
      </c>
      <c r="P919" s="9" t="n">
        <v>7</v>
      </c>
      <c r="Q919" s="9" t="n">
        <v>38</v>
      </c>
      <c r="R919" s="9" t="s">
        <v>44</v>
      </c>
      <c r="S919" s="9"/>
      <c r="T919" s="9"/>
      <c r="U919" s="9" t="str">
        <f aca="false">IF(COUNTIF($A$2:$A$5001,A919)&gt;1,"Duplicate","Unique")</f>
        <v>Unique</v>
      </c>
      <c r="V919" s="9" t="str">
        <f aca="false">IF(COUNTIFS($B$2:$B$5001,B919,$H$2:$H$5001,H919,$J$2:$J$5001,J919)&gt;1,"Possible Duplicate Booking","Unique")</f>
        <v>Unique</v>
      </c>
      <c r="W919" s="9" t="str">
        <f aca="false">IF((H919-G919)&lt;&gt;K919,"Mismatch","OK")</f>
        <v>OK</v>
      </c>
      <c r="X919" s="9" t="str">
        <f aca="false">IF(TEXT(H919,"dddd")&lt;&gt;I919,"Mismatch","OK")</f>
        <v>OK</v>
      </c>
      <c r="Y919" s="9" t="str">
        <f aca="false">IF(AND(N919="No",O919&lt;&gt;""),"Unexpected: channel present but no reminder sent",IF(AND(N919="Yes",O919=""),"Missing channel for sent reminder","OK"))</f>
        <v>OK</v>
      </c>
    </row>
    <row r="920" customFormat="false" ht="15" hidden="false" customHeight="false" outlineLevel="0" collapsed="false">
      <c r="A920" s="7" t="s">
        <v>1713</v>
      </c>
      <c r="B920" s="7" t="s">
        <v>726</v>
      </c>
      <c r="C920" s="7" t="s">
        <v>47</v>
      </c>
      <c r="D920" s="7" t="n">
        <v>26</v>
      </c>
      <c r="E920" s="7" t="s">
        <v>48</v>
      </c>
      <c r="F920" s="7" t="s">
        <v>57</v>
      </c>
      <c r="G920" s="8" t="n">
        <v>45755</v>
      </c>
      <c r="H920" s="8" t="n">
        <v>45796</v>
      </c>
      <c r="I920" s="7" t="s">
        <v>66</v>
      </c>
      <c r="J920" s="7" t="s">
        <v>51</v>
      </c>
      <c r="K920" s="7" t="n">
        <v>41</v>
      </c>
      <c r="L920" s="7" t="n">
        <v>0</v>
      </c>
      <c r="M920" s="7" t="n">
        <v>0</v>
      </c>
      <c r="N920" s="7" t="s">
        <v>42</v>
      </c>
      <c r="O920" s="7" t="s">
        <v>43</v>
      </c>
      <c r="P920" s="7" t="n">
        <v>7.3</v>
      </c>
      <c r="Q920" s="7" t="n">
        <v>16</v>
      </c>
      <c r="R920" s="7" t="s">
        <v>53</v>
      </c>
      <c r="S920" s="7"/>
      <c r="T920" s="7"/>
      <c r="U920" s="7" t="str">
        <f aca="false">IF(COUNTIF($A$2:$A$5001,A920)&gt;1,"Duplicate","Unique")</f>
        <v>Unique</v>
      </c>
      <c r="V920" s="7" t="str">
        <f aca="false">IF(COUNTIFS($B$2:$B$5001,B920,$H$2:$H$5001,H920,$J$2:$J$5001,J920)&gt;1,"Possible Duplicate Booking","Unique")</f>
        <v>Unique</v>
      </c>
      <c r="W920" s="7" t="str">
        <f aca="false">IF((H920-G920)&lt;&gt;K920,"Mismatch","OK")</f>
        <v>OK</v>
      </c>
      <c r="X920" s="7" t="str">
        <f aca="false">IF(TEXT(H920,"dddd")&lt;&gt;I920,"Mismatch","OK")</f>
        <v>OK</v>
      </c>
      <c r="Y920" s="7" t="str">
        <f aca="false">IF(AND(N920="No",O920&lt;&gt;""),"Unexpected: channel present but no reminder sent",IF(AND(N920="Yes",O920=""),"Missing channel for sent reminder","OK"))</f>
        <v>OK</v>
      </c>
    </row>
    <row r="921" customFormat="false" ht="15" hidden="false" customHeight="false" outlineLevel="0" collapsed="false">
      <c r="A921" s="9" t="s">
        <v>1714</v>
      </c>
      <c r="B921" s="9" t="s">
        <v>1715</v>
      </c>
      <c r="C921" s="9" t="s">
        <v>37</v>
      </c>
      <c r="D921" s="9" t="n">
        <v>22</v>
      </c>
      <c r="E921" s="9" t="s">
        <v>82</v>
      </c>
      <c r="F921" s="9" t="s">
        <v>57</v>
      </c>
      <c r="G921" s="10" t="n">
        <v>45950</v>
      </c>
      <c r="H921" s="10" t="n">
        <v>46005</v>
      </c>
      <c r="I921" s="9" t="s">
        <v>75</v>
      </c>
      <c r="J921" s="9" t="s">
        <v>41</v>
      </c>
      <c r="K921" s="9" t="n">
        <v>55</v>
      </c>
      <c r="L921" s="9" t="n">
        <v>3</v>
      </c>
      <c r="M921" s="9" t="n">
        <v>2</v>
      </c>
      <c r="N921" s="9" t="s">
        <v>71</v>
      </c>
      <c r="O921" s="9"/>
      <c r="P921" s="9" t="n">
        <v>4.6</v>
      </c>
      <c r="Q921" s="9" t="n">
        <v>16</v>
      </c>
      <c r="R921" s="9" t="s">
        <v>44</v>
      </c>
      <c r="S921" s="9"/>
      <c r="T921" s="9"/>
      <c r="U921" s="9" t="str">
        <f aca="false">IF(COUNTIF($A$2:$A$5001,A921)&gt;1,"Duplicate","Unique")</f>
        <v>Unique</v>
      </c>
      <c r="V921" s="9" t="str">
        <f aca="false">IF(COUNTIFS($B$2:$B$5001,B921,$H$2:$H$5001,H921,$J$2:$J$5001,J921)&gt;1,"Possible Duplicate Booking","Unique")</f>
        <v>Unique</v>
      </c>
      <c r="W921" s="9" t="str">
        <f aca="false">IF((H921-G921)&lt;&gt;K921,"Mismatch","OK")</f>
        <v>OK</v>
      </c>
      <c r="X921" s="9" t="str">
        <f aca="false">IF(TEXT(H921,"dddd")&lt;&gt;I921,"Mismatch","OK")</f>
        <v>OK</v>
      </c>
      <c r="Y921" s="9" t="str">
        <f aca="false">IF(AND(N921="No",O921&lt;&gt;""),"Unexpected: channel present but no reminder sent",IF(AND(N921="Yes",O921=""),"Missing channel for sent reminder","OK"))</f>
        <v>OK</v>
      </c>
    </row>
    <row r="922" customFormat="false" ht="15" hidden="false" customHeight="false" outlineLevel="0" collapsed="false">
      <c r="A922" s="7" t="s">
        <v>1716</v>
      </c>
      <c r="B922" s="7" t="s">
        <v>1717</v>
      </c>
      <c r="C922" s="7" t="s">
        <v>47</v>
      </c>
      <c r="D922" s="7" t="n">
        <v>58</v>
      </c>
      <c r="E922" s="7" t="s">
        <v>61</v>
      </c>
      <c r="F922" s="7" t="s">
        <v>57</v>
      </c>
      <c r="G922" s="8" t="n">
        <v>46126</v>
      </c>
      <c r="H922" s="8" t="n">
        <v>46134</v>
      </c>
      <c r="I922" s="7" t="s">
        <v>58</v>
      </c>
      <c r="J922" s="7" t="s">
        <v>51</v>
      </c>
      <c r="K922" s="7" t="n">
        <v>8</v>
      </c>
      <c r="L922" s="7" t="n">
        <v>3</v>
      </c>
      <c r="M922" s="7" t="n">
        <v>0</v>
      </c>
      <c r="N922" s="7" t="s">
        <v>42</v>
      </c>
      <c r="O922" s="7" t="s">
        <v>43</v>
      </c>
      <c r="P922" s="7" t="n">
        <v>3.5</v>
      </c>
      <c r="Q922" s="7" t="n">
        <v>21</v>
      </c>
      <c r="R922" s="7" t="s">
        <v>53</v>
      </c>
      <c r="S922" s="7"/>
      <c r="T922" s="7"/>
      <c r="U922" s="7" t="str">
        <f aca="false">IF(COUNTIF($A$2:$A$5001,A922)&gt;1,"Duplicate","Unique")</f>
        <v>Unique</v>
      </c>
      <c r="V922" s="7" t="str">
        <f aca="false">IF(COUNTIFS($B$2:$B$5001,B922,$H$2:$H$5001,H922,$J$2:$J$5001,J922)&gt;1,"Possible Duplicate Booking","Unique")</f>
        <v>Unique</v>
      </c>
      <c r="W922" s="7" t="str">
        <f aca="false">IF((H922-G922)&lt;&gt;K922,"Mismatch","OK")</f>
        <v>OK</v>
      </c>
      <c r="X922" s="7" t="str">
        <f aca="false">IF(TEXT(H922,"dddd")&lt;&gt;I922,"Mismatch","OK")</f>
        <v>OK</v>
      </c>
      <c r="Y922" s="7" t="str">
        <f aca="false">IF(AND(N922="No",O922&lt;&gt;""),"Unexpected: channel present but no reminder sent",IF(AND(N922="Yes",O922=""),"Missing channel for sent reminder","OK"))</f>
        <v>OK</v>
      </c>
    </row>
    <row r="923" customFormat="false" ht="15" hidden="false" customHeight="false" outlineLevel="0" collapsed="false">
      <c r="A923" s="9" t="s">
        <v>1718</v>
      </c>
      <c r="B923" s="9" t="s">
        <v>1018</v>
      </c>
      <c r="C923" s="9" t="s">
        <v>37</v>
      </c>
      <c r="D923" s="9" t="n">
        <v>61</v>
      </c>
      <c r="E923" s="9" t="s">
        <v>61</v>
      </c>
      <c r="F923" s="9" t="s">
        <v>49</v>
      </c>
      <c r="G923" s="10" t="n">
        <v>45922</v>
      </c>
      <c r="H923" s="10" t="n">
        <v>45970</v>
      </c>
      <c r="I923" s="9" t="s">
        <v>75</v>
      </c>
      <c r="J923" s="9" t="s">
        <v>41</v>
      </c>
      <c r="K923" s="9" t="n">
        <v>48</v>
      </c>
      <c r="L923" s="9" t="n">
        <v>2</v>
      </c>
      <c r="M923" s="9" t="n">
        <v>1</v>
      </c>
      <c r="N923" s="9" t="s">
        <v>42</v>
      </c>
      <c r="O923" s="9" t="s">
        <v>52</v>
      </c>
      <c r="P923" s="9" t="n">
        <v>9.1</v>
      </c>
      <c r="Q923" s="9" t="n">
        <v>49</v>
      </c>
      <c r="R923" s="9" t="s">
        <v>53</v>
      </c>
      <c r="S923" s="9"/>
      <c r="T923" s="9"/>
      <c r="U923" s="9" t="str">
        <f aca="false">IF(COUNTIF($A$2:$A$5001,A923)&gt;1,"Duplicate","Unique")</f>
        <v>Unique</v>
      </c>
      <c r="V923" s="9" t="str">
        <f aca="false">IF(COUNTIFS($B$2:$B$5001,B923,$H$2:$H$5001,H923,$J$2:$J$5001,J923)&gt;1,"Possible Duplicate Booking","Unique")</f>
        <v>Unique</v>
      </c>
      <c r="W923" s="9" t="str">
        <f aca="false">IF((H923-G923)&lt;&gt;K923,"Mismatch","OK")</f>
        <v>OK</v>
      </c>
      <c r="X923" s="9" t="str">
        <f aca="false">IF(TEXT(H923,"dddd")&lt;&gt;I923,"Mismatch","OK")</f>
        <v>OK</v>
      </c>
      <c r="Y923" s="9" t="str">
        <f aca="false">IF(AND(N923="No",O923&lt;&gt;""),"Unexpected: channel present but no reminder sent",IF(AND(N923="Yes",O923=""),"Missing channel for sent reminder","OK"))</f>
        <v>OK</v>
      </c>
    </row>
    <row r="924" customFormat="false" ht="15" hidden="false" customHeight="false" outlineLevel="0" collapsed="false">
      <c r="A924" s="7" t="s">
        <v>1719</v>
      </c>
      <c r="B924" s="7" t="s">
        <v>1720</v>
      </c>
      <c r="C924" s="7" t="s">
        <v>47</v>
      </c>
      <c r="D924" s="7" t="n">
        <v>57</v>
      </c>
      <c r="E924" s="7" t="s">
        <v>61</v>
      </c>
      <c r="F924" s="7" t="s">
        <v>39</v>
      </c>
      <c r="G924" s="8" t="n">
        <v>45861</v>
      </c>
      <c r="H924" s="8" t="n">
        <v>45901</v>
      </c>
      <c r="I924" s="7" t="s">
        <v>66</v>
      </c>
      <c r="J924" s="7" t="s">
        <v>63</v>
      </c>
      <c r="K924" s="7" t="n">
        <v>40</v>
      </c>
      <c r="L924" s="7" t="n">
        <v>3</v>
      </c>
      <c r="M924" s="7" t="n">
        <v>0</v>
      </c>
      <c r="N924" s="7" t="s">
        <v>42</v>
      </c>
      <c r="O924" s="7" t="s">
        <v>52</v>
      </c>
      <c r="P924" s="7" t="n">
        <v>9.1</v>
      </c>
      <c r="Q924" s="7" t="n">
        <v>21</v>
      </c>
      <c r="R924" s="7" t="s">
        <v>53</v>
      </c>
      <c r="S924" s="7"/>
      <c r="T924" s="7"/>
      <c r="U924" s="7" t="str">
        <f aca="false">IF(COUNTIF($A$2:$A$5001,A924)&gt;1,"Duplicate","Unique")</f>
        <v>Unique</v>
      </c>
      <c r="V924" s="7" t="str">
        <f aca="false">IF(COUNTIFS($B$2:$B$5001,B924,$H$2:$H$5001,H924,$J$2:$J$5001,J924)&gt;1,"Possible Duplicate Booking","Unique")</f>
        <v>Unique</v>
      </c>
      <c r="W924" s="7" t="str">
        <f aca="false">IF((H924-G924)&lt;&gt;K924,"Mismatch","OK")</f>
        <v>OK</v>
      </c>
      <c r="X924" s="7" t="str">
        <f aca="false">IF(TEXT(H924,"dddd")&lt;&gt;I924,"Mismatch","OK")</f>
        <v>OK</v>
      </c>
      <c r="Y924" s="7" t="str">
        <f aca="false">IF(AND(N924="No",O924&lt;&gt;""),"Unexpected: channel present but no reminder sent",IF(AND(N924="Yes",O924=""),"Missing channel for sent reminder","OK"))</f>
        <v>OK</v>
      </c>
    </row>
    <row r="925" customFormat="false" ht="15" hidden="false" customHeight="false" outlineLevel="0" collapsed="false">
      <c r="A925" s="9" t="s">
        <v>1721</v>
      </c>
      <c r="B925" s="9" t="s">
        <v>1722</v>
      </c>
      <c r="C925" s="9" t="s">
        <v>37</v>
      </c>
      <c r="D925" s="9" t="n">
        <v>24</v>
      </c>
      <c r="E925" s="9" t="s">
        <v>82</v>
      </c>
      <c r="F925" s="9" t="s">
        <v>74</v>
      </c>
      <c r="G925" s="10" t="n">
        <v>45678</v>
      </c>
      <c r="H925" s="10" t="n">
        <v>45737</v>
      </c>
      <c r="I925" s="9" t="s">
        <v>50</v>
      </c>
      <c r="J925" s="9" t="s">
        <v>41</v>
      </c>
      <c r="K925" s="9" t="n">
        <v>59</v>
      </c>
      <c r="L925" s="9" t="n">
        <v>5</v>
      </c>
      <c r="M925" s="9" t="n">
        <v>2</v>
      </c>
      <c r="N925" s="9" t="s">
        <v>42</v>
      </c>
      <c r="O925" s="9" t="s">
        <v>52</v>
      </c>
      <c r="P925" s="9" t="n">
        <v>3.2</v>
      </c>
      <c r="Q925" s="9" t="n">
        <v>48</v>
      </c>
      <c r="R925" s="9" t="s">
        <v>44</v>
      </c>
      <c r="S925" s="9"/>
      <c r="T925" s="9"/>
      <c r="U925" s="9" t="str">
        <f aca="false">IF(COUNTIF($A$2:$A$5001,A925)&gt;1,"Duplicate","Unique")</f>
        <v>Unique</v>
      </c>
      <c r="V925" s="9" t="str">
        <f aca="false">IF(COUNTIFS($B$2:$B$5001,B925,$H$2:$H$5001,H925,$J$2:$J$5001,J925)&gt;1,"Possible Duplicate Booking","Unique")</f>
        <v>Unique</v>
      </c>
      <c r="W925" s="9" t="str">
        <f aca="false">IF((H925-G925)&lt;&gt;K925,"Mismatch","OK")</f>
        <v>OK</v>
      </c>
      <c r="X925" s="9" t="str">
        <f aca="false">IF(TEXT(H925,"dddd")&lt;&gt;I925,"Mismatch","OK")</f>
        <v>OK</v>
      </c>
      <c r="Y925" s="9" t="str">
        <f aca="false">IF(AND(N925="No",O925&lt;&gt;""),"Unexpected: channel present but no reminder sent",IF(AND(N925="Yes",O925=""),"Missing channel for sent reminder","OK"))</f>
        <v>OK</v>
      </c>
    </row>
    <row r="926" customFormat="false" ht="15" hidden="false" customHeight="false" outlineLevel="0" collapsed="false">
      <c r="A926" s="7" t="s">
        <v>1723</v>
      </c>
      <c r="B926" s="7" t="s">
        <v>737</v>
      </c>
      <c r="C926" s="7" t="s">
        <v>47</v>
      </c>
      <c r="D926" s="7" t="n">
        <v>20</v>
      </c>
      <c r="E926" s="7" t="s">
        <v>82</v>
      </c>
      <c r="F926" s="7" t="s">
        <v>57</v>
      </c>
      <c r="G926" s="8" t="n">
        <v>45738</v>
      </c>
      <c r="H926" s="8" t="n">
        <v>45793</v>
      </c>
      <c r="I926" s="7" t="s">
        <v>50</v>
      </c>
      <c r="J926" s="7" t="s">
        <v>41</v>
      </c>
      <c r="K926" s="7" t="n">
        <v>55</v>
      </c>
      <c r="L926" s="7" t="n">
        <v>4</v>
      </c>
      <c r="M926" s="7" t="n">
        <v>2</v>
      </c>
      <c r="N926" s="7" t="s">
        <v>42</v>
      </c>
      <c r="O926" s="7" t="s">
        <v>43</v>
      </c>
      <c r="P926" s="7"/>
      <c r="Q926" s="7" t="n">
        <v>24</v>
      </c>
      <c r="R926" s="7" t="s">
        <v>44</v>
      </c>
      <c r="S926" s="7"/>
      <c r="T926" s="7"/>
      <c r="U926" s="7" t="str">
        <f aca="false">IF(COUNTIF($A$2:$A$5001,A926)&gt;1,"Duplicate","Unique")</f>
        <v>Unique</v>
      </c>
      <c r="V926" s="7" t="str">
        <f aca="false">IF(COUNTIFS($B$2:$B$5001,B926,$H$2:$H$5001,H926,$J$2:$J$5001,J926)&gt;1,"Possible Duplicate Booking","Unique")</f>
        <v>Unique</v>
      </c>
      <c r="W926" s="7" t="str">
        <f aca="false">IF((H926-G926)&lt;&gt;K926,"Mismatch","OK")</f>
        <v>OK</v>
      </c>
      <c r="X926" s="7" t="str">
        <f aca="false">IF(TEXT(H926,"dddd")&lt;&gt;I926,"Mismatch","OK")</f>
        <v>OK</v>
      </c>
      <c r="Y926" s="7" t="str">
        <f aca="false">IF(AND(N926="No",O926&lt;&gt;""),"Unexpected: channel present but no reminder sent",IF(AND(N926="Yes",O926=""),"Missing channel for sent reminder","OK"))</f>
        <v>OK</v>
      </c>
    </row>
    <row r="927" customFormat="false" ht="15" hidden="false" customHeight="false" outlineLevel="0" collapsed="false">
      <c r="A927" s="9" t="s">
        <v>1724</v>
      </c>
      <c r="B927" s="9" t="s">
        <v>413</v>
      </c>
      <c r="C927" s="9" t="s">
        <v>37</v>
      </c>
      <c r="D927" s="9" t="n">
        <v>24</v>
      </c>
      <c r="E927" s="9" t="s">
        <v>82</v>
      </c>
      <c r="F927" s="9" t="s">
        <v>39</v>
      </c>
      <c r="G927" s="10" t="n">
        <v>46168</v>
      </c>
      <c r="H927" s="10" t="n">
        <v>46174</v>
      </c>
      <c r="I927" s="9" t="s">
        <v>66</v>
      </c>
      <c r="J927" s="9" t="s">
        <v>51</v>
      </c>
      <c r="K927" s="9" t="n">
        <v>6</v>
      </c>
      <c r="L927" s="9" t="n">
        <v>1</v>
      </c>
      <c r="M927" s="9" t="n">
        <v>0</v>
      </c>
      <c r="N927" s="9" t="s">
        <v>71</v>
      </c>
      <c r="O927" s="9"/>
      <c r="P927" s="9" t="n">
        <v>10.8</v>
      </c>
      <c r="Q927" s="9" t="n">
        <v>15</v>
      </c>
      <c r="R927" s="9" t="s">
        <v>53</v>
      </c>
      <c r="S927" s="9"/>
      <c r="T927" s="9"/>
      <c r="U927" s="9" t="str">
        <f aca="false">IF(COUNTIF($A$2:$A$5001,A927)&gt;1,"Duplicate","Unique")</f>
        <v>Unique</v>
      </c>
      <c r="V927" s="9" t="str">
        <f aca="false">IF(COUNTIFS($B$2:$B$5001,B927,$H$2:$H$5001,H927,$J$2:$J$5001,J927)&gt;1,"Possible Duplicate Booking","Unique")</f>
        <v>Unique</v>
      </c>
      <c r="W927" s="9" t="str">
        <f aca="false">IF((H927-G927)&lt;&gt;K927,"Mismatch","OK")</f>
        <v>OK</v>
      </c>
      <c r="X927" s="9" t="str">
        <f aca="false">IF(TEXT(H927,"dddd")&lt;&gt;I927,"Mismatch","OK")</f>
        <v>OK</v>
      </c>
      <c r="Y927" s="9" t="str">
        <f aca="false">IF(AND(N927="No",O927&lt;&gt;""),"Unexpected: channel present but no reminder sent",IF(AND(N927="Yes",O927=""),"Missing channel for sent reminder","OK"))</f>
        <v>OK</v>
      </c>
    </row>
    <row r="928" customFormat="false" ht="15" hidden="false" customHeight="false" outlineLevel="0" collapsed="false">
      <c r="A928" s="7" t="s">
        <v>1725</v>
      </c>
      <c r="B928" s="7" t="s">
        <v>1726</v>
      </c>
      <c r="C928" s="7" t="s">
        <v>47</v>
      </c>
      <c r="D928" s="7" t="n">
        <v>65</v>
      </c>
      <c r="E928" s="7" t="s">
        <v>70</v>
      </c>
      <c r="F928" s="7" t="s">
        <v>49</v>
      </c>
      <c r="G928" s="8" t="n">
        <v>45908</v>
      </c>
      <c r="H928" s="8" t="n">
        <v>45953</v>
      </c>
      <c r="I928" s="7" t="s">
        <v>62</v>
      </c>
      <c r="J928" s="7" t="s">
        <v>63</v>
      </c>
      <c r="K928" s="7" t="n">
        <v>45</v>
      </c>
      <c r="L928" s="7" t="n">
        <v>4</v>
      </c>
      <c r="M928" s="7" t="n">
        <v>0</v>
      </c>
      <c r="N928" s="7" t="s">
        <v>71</v>
      </c>
      <c r="O928" s="7"/>
      <c r="P928" s="7" t="n">
        <v>2.9</v>
      </c>
      <c r="Q928" s="7" t="n">
        <v>45</v>
      </c>
      <c r="R928" s="7" t="s">
        <v>44</v>
      </c>
      <c r="S928" s="7"/>
      <c r="T928" s="7"/>
      <c r="U928" s="7" t="str">
        <f aca="false">IF(COUNTIF($A$2:$A$5001,A928)&gt;1,"Duplicate","Unique")</f>
        <v>Unique</v>
      </c>
      <c r="V928" s="7" t="str">
        <f aca="false">IF(COUNTIFS($B$2:$B$5001,B928,$H$2:$H$5001,H928,$J$2:$J$5001,J928)&gt;1,"Possible Duplicate Booking","Unique")</f>
        <v>Unique</v>
      </c>
      <c r="W928" s="7" t="str">
        <f aca="false">IF((H928-G928)&lt;&gt;K928,"Mismatch","OK")</f>
        <v>OK</v>
      </c>
      <c r="X928" s="7" t="str">
        <f aca="false">IF(TEXT(H928,"dddd")&lt;&gt;I928,"Mismatch","OK")</f>
        <v>OK</v>
      </c>
      <c r="Y928" s="7" t="str">
        <f aca="false">IF(AND(N928="No",O928&lt;&gt;""),"Unexpected: channel present but no reminder sent",IF(AND(N928="Yes",O928=""),"Missing channel for sent reminder","OK"))</f>
        <v>OK</v>
      </c>
    </row>
    <row r="929" customFormat="false" ht="15" hidden="false" customHeight="false" outlineLevel="0" collapsed="false">
      <c r="A929" s="9" t="s">
        <v>1727</v>
      </c>
      <c r="B929" s="9" t="s">
        <v>1728</v>
      </c>
      <c r="C929" s="9" t="s">
        <v>47</v>
      </c>
      <c r="D929" s="9" t="n">
        <v>64</v>
      </c>
      <c r="E929" s="9" t="s">
        <v>61</v>
      </c>
      <c r="F929" s="9" t="s">
        <v>57</v>
      </c>
      <c r="G929" s="10" t="n">
        <v>45786</v>
      </c>
      <c r="H929" s="10" t="n">
        <v>45822</v>
      </c>
      <c r="I929" s="9" t="s">
        <v>102</v>
      </c>
      <c r="J929" s="9" t="s">
        <v>41</v>
      </c>
      <c r="K929" s="9" t="n">
        <v>36</v>
      </c>
      <c r="L929" s="9" t="n">
        <v>2</v>
      </c>
      <c r="M929" s="9" t="n">
        <v>0</v>
      </c>
      <c r="N929" s="9" t="s">
        <v>42</v>
      </c>
      <c r="O929" s="9" t="s">
        <v>52</v>
      </c>
      <c r="P929" s="9" t="n">
        <v>6.8</v>
      </c>
      <c r="Q929" s="9" t="n">
        <v>26</v>
      </c>
      <c r="R929" s="9" t="s">
        <v>53</v>
      </c>
      <c r="S929" s="9"/>
      <c r="T929" s="9"/>
      <c r="U929" s="9" t="str">
        <f aca="false">IF(COUNTIF($A$2:$A$5001,A929)&gt;1,"Duplicate","Unique")</f>
        <v>Unique</v>
      </c>
      <c r="V929" s="9" t="str">
        <f aca="false">IF(COUNTIFS($B$2:$B$5001,B929,$H$2:$H$5001,H929,$J$2:$J$5001,J929)&gt;1,"Possible Duplicate Booking","Unique")</f>
        <v>Unique</v>
      </c>
      <c r="W929" s="9" t="str">
        <f aca="false">IF((H929-G929)&lt;&gt;K929,"Mismatch","OK")</f>
        <v>OK</v>
      </c>
      <c r="X929" s="9" t="str">
        <f aca="false">IF(TEXT(H929,"dddd")&lt;&gt;I929,"Mismatch","OK")</f>
        <v>OK</v>
      </c>
      <c r="Y929" s="9" t="str">
        <f aca="false">IF(AND(N929="No",O929&lt;&gt;""),"Unexpected: channel present but no reminder sent",IF(AND(N929="Yes",O929=""),"Missing channel for sent reminder","OK"))</f>
        <v>OK</v>
      </c>
    </row>
    <row r="930" customFormat="false" ht="15" hidden="false" customHeight="false" outlineLevel="0" collapsed="false">
      <c r="A930" s="7" t="s">
        <v>1729</v>
      </c>
      <c r="B930" s="7" t="s">
        <v>316</v>
      </c>
      <c r="C930" s="7" t="s">
        <v>47</v>
      </c>
      <c r="D930" s="7" t="n">
        <v>36</v>
      </c>
      <c r="E930" s="7" t="s">
        <v>38</v>
      </c>
      <c r="F930" s="7" t="s">
        <v>74</v>
      </c>
      <c r="G930" s="8" t="n">
        <v>45880</v>
      </c>
      <c r="H930" s="8" t="n">
        <v>45886</v>
      </c>
      <c r="I930" s="7" t="s">
        <v>75</v>
      </c>
      <c r="J930" s="7" t="s">
        <v>51</v>
      </c>
      <c r="K930" s="7" t="n">
        <v>6</v>
      </c>
      <c r="L930" s="7" t="n">
        <v>3</v>
      </c>
      <c r="M930" s="7" t="n">
        <v>0</v>
      </c>
      <c r="N930" s="7" t="s">
        <v>42</v>
      </c>
      <c r="O930" s="7" t="s">
        <v>52</v>
      </c>
      <c r="P930" s="7" t="n">
        <v>24.4</v>
      </c>
      <c r="Q930" s="7" t="n">
        <v>21</v>
      </c>
      <c r="R930" s="7" t="s">
        <v>53</v>
      </c>
      <c r="S930" s="7"/>
      <c r="T930" s="7"/>
      <c r="U930" s="7" t="str">
        <f aca="false">IF(COUNTIF($A$2:$A$5001,A930)&gt;1,"Duplicate","Unique")</f>
        <v>Unique</v>
      </c>
      <c r="V930" s="7" t="str">
        <f aca="false">IF(COUNTIFS($B$2:$B$5001,B930,$H$2:$H$5001,H930,$J$2:$J$5001,J930)&gt;1,"Possible Duplicate Booking","Unique")</f>
        <v>Unique</v>
      </c>
      <c r="W930" s="7" t="str">
        <f aca="false">IF((H930-G930)&lt;&gt;K930,"Mismatch","OK")</f>
        <v>OK</v>
      </c>
      <c r="X930" s="7" t="str">
        <f aca="false">IF(TEXT(H930,"dddd")&lt;&gt;I930,"Mismatch","OK")</f>
        <v>OK</v>
      </c>
      <c r="Y930" s="7" t="str">
        <f aca="false">IF(AND(N930="No",O930&lt;&gt;""),"Unexpected: channel present but no reminder sent",IF(AND(N930="Yes",O930=""),"Missing channel for sent reminder","OK"))</f>
        <v>OK</v>
      </c>
    </row>
    <row r="931" customFormat="false" ht="15" hidden="false" customHeight="false" outlineLevel="0" collapsed="false">
      <c r="A931" s="9" t="s">
        <v>1730</v>
      </c>
      <c r="B931" s="9" t="s">
        <v>1731</v>
      </c>
      <c r="C931" s="9" t="s">
        <v>37</v>
      </c>
      <c r="D931" s="9" t="n">
        <v>21</v>
      </c>
      <c r="E931" s="9" t="s">
        <v>82</v>
      </c>
      <c r="F931" s="9" t="s">
        <v>39</v>
      </c>
      <c r="G931" s="10" t="n">
        <v>45958</v>
      </c>
      <c r="H931" s="10" t="n">
        <v>45973</v>
      </c>
      <c r="I931" s="9" t="s">
        <v>58</v>
      </c>
      <c r="J931" s="9" t="s">
        <v>63</v>
      </c>
      <c r="K931" s="9" t="n">
        <v>15</v>
      </c>
      <c r="L931" s="9" t="n">
        <v>0</v>
      </c>
      <c r="M931" s="9" t="n">
        <v>0</v>
      </c>
      <c r="N931" s="9" t="s">
        <v>42</v>
      </c>
      <c r="O931" s="9" t="s">
        <v>43</v>
      </c>
      <c r="P931" s="9" t="n">
        <v>12.4</v>
      </c>
      <c r="Q931" s="9" t="n">
        <v>33</v>
      </c>
      <c r="R931" s="9" t="s">
        <v>53</v>
      </c>
      <c r="S931" s="9"/>
      <c r="T931" s="9"/>
      <c r="U931" s="9" t="str">
        <f aca="false">IF(COUNTIF($A$2:$A$5001,A931)&gt;1,"Duplicate","Unique")</f>
        <v>Unique</v>
      </c>
      <c r="V931" s="9" t="str">
        <f aca="false">IF(COUNTIFS($B$2:$B$5001,B931,$H$2:$H$5001,H931,$J$2:$J$5001,J931)&gt;1,"Possible Duplicate Booking","Unique")</f>
        <v>Unique</v>
      </c>
      <c r="W931" s="9" t="str">
        <f aca="false">IF((H931-G931)&lt;&gt;K931,"Mismatch","OK")</f>
        <v>OK</v>
      </c>
      <c r="X931" s="9" t="str">
        <f aca="false">IF(TEXT(H931,"dddd")&lt;&gt;I931,"Mismatch","OK")</f>
        <v>OK</v>
      </c>
      <c r="Y931" s="9" t="str">
        <f aca="false">IF(AND(N931="No",O931&lt;&gt;""),"Unexpected: channel present but no reminder sent",IF(AND(N931="Yes",O931=""),"Missing channel for sent reminder","OK"))</f>
        <v>OK</v>
      </c>
    </row>
    <row r="932" customFormat="false" ht="15" hidden="false" customHeight="false" outlineLevel="0" collapsed="false">
      <c r="A932" s="7" t="s">
        <v>1732</v>
      </c>
      <c r="B932" s="7" t="s">
        <v>1016</v>
      </c>
      <c r="C932" s="7" t="s">
        <v>47</v>
      </c>
      <c r="D932" s="7" t="n">
        <v>38</v>
      </c>
      <c r="E932" s="7" t="s">
        <v>38</v>
      </c>
      <c r="F932" s="7" t="s">
        <v>57</v>
      </c>
      <c r="G932" s="8" t="n">
        <v>45895</v>
      </c>
      <c r="H932" s="8" t="n">
        <v>45951</v>
      </c>
      <c r="I932" s="7" t="s">
        <v>40</v>
      </c>
      <c r="J932" s="7" t="s">
        <v>63</v>
      </c>
      <c r="K932" s="7" t="n">
        <v>56</v>
      </c>
      <c r="L932" s="7" t="n">
        <v>2</v>
      </c>
      <c r="M932" s="7" t="n">
        <v>0</v>
      </c>
      <c r="N932" s="7" t="s">
        <v>42</v>
      </c>
      <c r="O932" s="7" t="s">
        <v>67</v>
      </c>
      <c r="P932" s="7" t="n">
        <v>12.5</v>
      </c>
      <c r="Q932" s="7" t="n">
        <v>38</v>
      </c>
      <c r="R932" s="7" t="s">
        <v>53</v>
      </c>
      <c r="S932" s="7"/>
      <c r="T932" s="7"/>
      <c r="U932" s="7" t="str">
        <f aca="false">IF(COUNTIF($A$2:$A$5001,A932)&gt;1,"Duplicate","Unique")</f>
        <v>Unique</v>
      </c>
      <c r="V932" s="7" t="str">
        <f aca="false">IF(COUNTIFS($B$2:$B$5001,B932,$H$2:$H$5001,H932,$J$2:$J$5001,J932)&gt;1,"Possible Duplicate Booking","Unique")</f>
        <v>Unique</v>
      </c>
      <c r="W932" s="7" t="str">
        <f aca="false">IF((H932-G932)&lt;&gt;K932,"Mismatch","OK")</f>
        <v>OK</v>
      </c>
      <c r="X932" s="7" t="str">
        <f aca="false">IF(TEXT(H932,"dddd")&lt;&gt;I932,"Mismatch","OK")</f>
        <v>OK</v>
      </c>
      <c r="Y932" s="7" t="str">
        <f aca="false">IF(AND(N932="No",O932&lt;&gt;""),"Unexpected: channel present but no reminder sent",IF(AND(N932="Yes",O932=""),"Missing channel for sent reminder","OK"))</f>
        <v>OK</v>
      </c>
    </row>
    <row r="933" customFormat="false" ht="15" hidden="false" customHeight="false" outlineLevel="0" collapsed="false">
      <c r="A933" s="9" t="s">
        <v>1733</v>
      </c>
      <c r="B933" s="9" t="s">
        <v>126</v>
      </c>
      <c r="C933" s="9" t="s">
        <v>47</v>
      </c>
      <c r="D933" s="9" t="n">
        <v>69</v>
      </c>
      <c r="E933" s="9" t="s">
        <v>70</v>
      </c>
      <c r="F933" s="9" t="s">
        <v>57</v>
      </c>
      <c r="G933" s="10" t="n">
        <v>46007</v>
      </c>
      <c r="H933" s="10" t="n">
        <v>46040</v>
      </c>
      <c r="I933" s="9" t="s">
        <v>75</v>
      </c>
      <c r="J933" s="9" t="s">
        <v>51</v>
      </c>
      <c r="K933" s="9" t="n">
        <v>33</v>
      </c>
      <c r="L933" s="9" t="n">
        <v>1</v>
      </c>
      <c r="M933" s="9" t="n">
        <v>0</v>
      </c>
      <c r="N933" s="9" t="s">
        <v>42</v>
      </c>
      <c r="O933" s="9" t="s">
        <v>43</v>
      </c>
      <c r="P933" s="9" t="n">
        <v>12.6</v>
      </c>
      <c r="Q933" s="9"/>
      <c r="R933" s="9" t="s">
        <v>44</v>
      </c>
      <c r="S933" s="9"/>
      <c r="T933" s="9"/>
      <c r="U933" s="9" t="str">
        <f aca="false">IF(COUNTIF($A$2:$A$5001,A933)&gt;1,"Duplicate","Unique")</f>
        <v>Unique</v>
      </c>
      <c r="V933" s="9" t="str">
        <f aca="false">IF(COUNTIFS($B$2:$B$5001,B933,$H$2:$H$5001,H933,$J$2:$J$5001,J933)&gt;1,"Possible Duplicate Booking","Unique")</f>
        <v>Unique</v>
      </c>
      <c r="W933" s="9" t="str">
        <f aca="false">IF((H933-G933)&lt;&gt;K933,"Mismatch","OK")</f>
        <v>OK</v>
      </c>
      <c r="X933" s="9" t="str">
        <f aca="false">IF(TEXT(H933,"dddd")&lt;&gt;I933,"Mismatch","OK")</f>
        <v>OK</v>
      </c>
      <c r="Y933" s="9" t="str">
        <f aca="false">IF(AND(N933="No",O933&lt;&gt;""),"Unexpected: channel present but no reminder sent",IF(AND(N933="Yes",O933=""),"Missing channel for sent reminder","OK"))</f>
        <v>OK</v>
      </c>
    </row>
    <row r="934" customFormat="false" ht="15" hidden="false" customHeight="false" outlineLevel="0" collapsed="false">
      <c r="A934" s="7" t="s">
        <v>1734</v>
      </c>
      <c r="B934" s="7" t="s">
        <v>1735</v>
      </c>
      <c r="C934" s="7" t="s">
        <v>47</v>
      </c>
      <c r="D934" s="7" t="n">
        <v>27</v>
      </c>
      <c r="E934" s="7" t="s">
        <v>48</v>
      </c>
      <c r="F934" s="7" t="s">
        <v>74</v>
      </c>
      <c r="G934" s="8" t="n">
        <v>45778</v>
      </c>
      <c r="H934" s="8" t="n">
        <v>45798</v>
      </c>
      <c r="I934" s="7" t="s">
        <v>58</v>
      </c>
      <c r="J934" s="7" t="s">
        <v>51</v>
      </c>
      <c r="K934" s="7" t="n">
        <v>20</v>
      </c>
      <c r="L934" s="7" t="n">
        <v>3</v>
      </c>
      <c r="M934" s="7" t="n">
        <v>2</v>
      </c>
      <c r="N934" s="7" t="s">
        <v>42</v>
      </c>
      <c r="O934" s="7" t="s">
        <v>67</v>
      </c>
      <c r="P934" s="7" t="n">
        <v>16.9</v>
      </c>
      <c r="Q934" s="7" t="n">
        <v>34</v>
      </c>
      <c r="R934" s="7" t="s">
        <v>44</v>
      </c>
      <c r="S934" s="7"/>
      <c r="T934" s="7"/>
      <c r="U934" s="7" t="str">
        <f aca="false">IF(COUNTIF($A$2:$A$5001,A934)&gt;1,"Duplicate","Unique")</f>
        <v>Unique</v>
      </c>
      <c r="V934" s="7" t="str">
        <f aca="false">IF(COUNTIFS($B$2:$B$5001,B934,$H$2:$H$5001,H934,$J$2:$J$5001,J934)&gt;1,"Possible Duplicate Booking","Unique")</f>
        <v>Unique</v>
      </c>
      <c r="W934" s="7" t="str">
        <f aca="false">IF((H934-G934)&lt;&gt;K934,"Mismatch","OK")</f>
        <v>OK</v>
      </c>
      <c r="X934" s="7" t="str">
        <f aca="false">IF(TEXT(H934,"dddd")&lt;&gt;I934,"Mismatch","OK")</f>
        <v>OK</v>
      </c>
      <c r="Y934" s="7" t="str">
        <f aca="false">IF(AND(N934="No",O934&lt;&gt;""),"Unexpected: channel present but no reminder sent",IF(AND(N934="Yes",O934=""),"Missing channel for sent reminder","OK"))</f>
        <v>OK</v>
      </c>
    </row>
    <row r="935" customFormat="false" ht="15" hidden="false" customHeight="false" outlineLevel="0" collapsed="false">
      <c r="A935" s="9" t="s">
        <v>1736</v>
      </c>
      <c r="B935" s="9" t="s">
        <v>235</v>
      </c>
      <c r="C935" s="9" t="s">
        <v>47</v>
      </c>
      <c r="D935" s="9" t="n">
        <v>68</v>
      </c>
      <c r="E935" s="9" t="s">
        <v>70</v>
      </c>
      <c r="F935" s="9" t="s">
        <v>39</v>
      </c>
      <c r="G935" s="10" t="n">
        <v>45993</v>
      </c>
      <c r="H935" s="10" t="n">
        <v>46012</v>
      </c>
      <c r="I935" s="9" t="s">
        <v>75</v>
      </c>
      <c r="J935" s="9" t="s">
        <v>41</v>
      </c>
      <c r="K935" s="9" t="n">
        <v>19</v>
      </c>
      <c r="L935" s="9" t="n">
        <v>3</v>
      </c>
      <c r="M935" s="9" t="n">
        <v>1</v>
      </c>
      <c r="N935" s="9" t="s">
        <v>42</v>
      </c>
      <c r="O935" s="9" t="s">
        <v>52</v>
      </c>
      <c r="P935" s="9" t="n">
        <v>0.9</v>
      </c>
      <c r="Q935" s="9" t="n">
        <v>22</v>
      </c>
      <c r="R935" s="9" t="s">
        <v>53</v>
      </c>
      <c r="S935" s="9"/>
      <c r="T935" s="9"/>
      <c r="U935" s="9" t="str">
        <f aca="false">IF(COUNTIF($A$2:$A$5001,A935)&gt;1,"Duplicate","Unique")</f>
        <v>Unique</v>
      </c>
      <c r="V935" s="9" t="str">
        <f aca="false">IF(COUNTIFS($B$2:$B$5001,B935,$H$2:$H$5001,H935,$J$2:$J$5001,J935)&gt;1,"Possible Duplicate Booking","Unique")</f>
        <v>Unique</v>
      </c>
      <c r="W935" s="9" t="str">
        <f aca="false">IF((H935-G935)&lt;&gt;K935,"Mismatch","OK")</f>
        <v>OK</v>
      </c>
      <c r="X935" s="9" t="str">
        <f aca="false">IF(TEXT(H935,"dddd")&lt;&gt;I935,"Mismatch","OK")</f>
        <v>OK</v>
      </c>
      <c r="Y935" s="9" t="str">
        <f aca="false">IF(AND(N935="No",O935&lt;&gt;""),"Unexpected: channel present but no reminder sent",IF(AND(N935="Yes",O935=""),"Missing channel for sent reminder","OK"))</f>
        <v>OK</v>
      </c>
    </row>
    <row r="936" customFormat="false" ht="15" hidden="false" customHeight="false" outlineLevel="0" collapsed="false">
      <c r="A936" s="7" t="s">
        <v>1737</v>
      </c>
      <c r="B936" s="7" t="s">
        <v>1738</v>
      </c>
      <c r="C936" s="7" t="s">
        <v>47</v>
      </c>
      <c r="D936" s="7" t="n">
        <v>47</v>
      </c>
      <c r="E936" s="7" t="s">
        <v>56</v>
      </c>
      <c r="F936" s="7" t="s">
        <v>49</v>
      </c>
      <c r="G936" s="8" t="n">
        <v>45848</v>
      </c>
      <c r="H936" s="8" t="n">
        <v>45899</v>
      </c>
      <c r="I936" s="7" t="s">
        <v>102</v>
      </c>
      <c r="J936" s="7" t="s">
        <v>41</v>
      </c>
      <c r="K936" s="7" t="n">
        <v>51</v>
      </c>
      <c r="L936" s="7" t="n">
        <v>3</v>
      </c>
      <c r="M936" s="7" t="n">
        <v>0</v>
      </c>
      <c r="N936" s="7" t="s">
        <v>42</v>
      </c>
      <c r="O936" s="7" t="s">
        <v>43</v>
      </c>
      <c r="P936" s="7" t="n">
        <v>4.7</v>
      </c>
      <c r="Q936" s="7" t="n">
        <v>13</v>
      </c>
      <c r="R936" s="7" t="s">
        <v>44</v>
      </c>
      <c r="S936" s="7"/>
      <c r="T936" s="7"/>
      <c r="U936" s="7" t="str">
        <f aca="false">IF(COUNTIF($A$2:$A$5001,A936)&gt;1,"Duplicate","Unique")</f>
        <v>Unique</v>
      </c>
      <c r="V936" s="7" t="str">
        <f aca="false">IF(COUNTIFS($B$2:$B$5001,B936,$H$2:$H$5001,H936,$J$2:$J$5001,J936)&gt;1,"Possible Duplicate Booking","Unique")</f>
        <v>Unique</v>
      </c>
      <c r="W936" s="7" t="str">
        <f aca="false">IF((H936-G936)&lt;&gt;K936,"Mismatch","OK")</f>
        <v>OK</v>
      </c>
      <c r="X936" s="7" t="str">
        <f aca="false">IF(TEXT(H936,"dddd")&lt;&gt;I936,"Mismatch","OK")</f>
        <v>OK</v>
      </c>
      <c r="Y936" s="7" t="str">
        <f aca="false">IF(AND(N936="No",O936&lt;&gt;""),"Unexpected: channel present but no reminder sent",IF(AND(N936="Yes",O936=""),"Missing channel for sent reminder","OK"))</f>
        <v>OK</v>
      </c>
    </row>
    <row r="937" customFormat="false" ht="15" hidden="false" customHeight="false" outlineLevel="0" collapsed="false">
      <c r="A937" s="9" t="s">
        <v>1739</v>
      </c>
      <c r="B937" s="9" t="s">
        <v>482</v>
      </c>
      <c r="C937" s="9" t="s">
        <v>47</v>
      </c>
      <c r="D937" s="9" t="n">
        <v>26</v>
      </c>
      <c r="E937" s="9" t="s">
        <v>48</v>
      </c>
      <c r="F937" s="9" t="s">
        <v>49</v>
      </c>
      <c r="G937" s="10" t="n">
        <v>46154</v>
      </c>
      <c r="H937" s="10" t="n">
        <v>46171</v>
      </c>
      <c r="I937" s="9" t="s">
        <v>50</v>
      </c>
      <c r="J937" s="9" t="s">
        <v>41</v>
      </c>
      <c r="K937" s="9" t="n">
        <v>17</v>
      </c>
      <c r="L937" s="9" t="n">
        <v>2</v>
      </c>
      <c r="M937" s="9" t="n">
        <v>0</v>
      </c>
      <c r="N937" s="9" t="s">
        <v>42</v>
      </c>
      <c r="O937" s="9" t="s">
        <v>52</v>
      </c>
      <c r="P937" s="9" t="n">
        <v>2</v>
      </c>
      <c r="Q937" s="9" t="n">
        <v>16</v>
      </c>
      <c r="R937" s="9" t="s">
        <v>53</v>
      </c>
      <c r="S937" s="9"/>
      <c r="T937" s="9"/>
      <c r="U937" s="9" t="str">
        <f aca="false">IF(COUNTIF($A$2:$A$5001,A937)&gt;1,"Duplicate","Unique")</f>
        <v>Unique</v>
      </c>
      <c r="V937" s="9" t="str">
        <f aca="false">IF(COUNTIFS($B$2:$B$5001,B937,$H$2:$H$5001,H937,$J$2:$J$5001,J937)&gt;1,"Possible Duplicate Booking","Unique")</f>
        <v>Unique</v>
      </c>
      <c r="W937" s="9" t="str">
        <f aca="false">IF((H937-G937)&lt;&gt;K937,"Mismatch","OK")</f>
        <v>OK</v>
      </c>
      <c r="X937" s="9" t="str">
        <f aca="false">IF(TEXT(H937,"dddd")&lt;&gt;I937,"Mismatch","OK")</f>
        <v>OK</v>
      </c>
      <c r="Y937" s="9" t="str">
        <f aca="false">IF(AND(N937="No",O937&lt;&gt;""),"Unexpected: channel present but no reminder sent",IF(AND(N937="Yes",O937=""),"Missing channel for sent reminder","OK"))</f>
        <v>OK</v>
      </c>
    </row>
    <row r="938" customFormat="false" ht="15" hidden="false" customHeight="false" outlineLevel="0" collapsed="false">
      <c r="A938" s="7" t="s">
        <v>1740</v>
      </c>
      <c r="B938" s="7" t="s">
        <v>1699</v>
      </c>
      <c r="C938" s="7" t="s">
        <v>37</v>
      </c>
      <c r="D938" s="7" t="n">
        <v>76</v>
      </c>
      <c r="E938" s="7" t="s">
        <v>70</v>
      </c>
      <c r="F938" s="7" t="s">
        <v>39</v>
      </c>
      <c r="G938" s="8" t="n">
        <v>45735</v>
      </c>
      <c r="H938" s="8" t="n">
        <v>45744</v>
      </c>
      <c r="I938" s="7" t="s">
        <v>50</v>
      </c>
      <c r="J938" s="7" t="s">
        <v>51</v>
      </c>
      <c r="K938" s="7" t="n">
        <v>9</v>
      </c>
      <c r="L938" s="7" t="n">
        <v>5</v>
      </c>
      <c r="M938" s="7" t="n">
        <v>2</v>
      </c>
      <c r="N938" s="7" t="s">
        <v>42</v>
      </c>
      <c r="O938" s="7" t="s">
        <v>43</v>
      </c>
      <c r="P938" s="7" t="n">
        <v>6.7</v>
      </c>
      <c r="Q938" s="7" t="n">
        <v>11</v>
      </c>
      <c r="R938" s="7" t="s">
        <v>44</v>
      </c>
      <c r="S938" s="7"/>
      <c r="T938" s="7"/>
      <c r="U938" s="7" t="str">
        <f aca="false">IF(COUNTIF($A$2:$A$5001,A938)&gt;1,"Duplicate","Unique")</f>
        <v>Unique</v>
      </c>
      <c r="V938" s="7" t="str">
        <f aca="false">IF(COUNTIFS($B$2:$B$5001,B938,$H$2:$H$5001,H938,$J$2:$J$5001,J938)&gt;1,"Possible Duplicate Booking","Unique")</f>
        <v>Unique</v>
      </c>
      <c r="W938" s="7" t="str">
        <f aca="false">IF((H938-G938)&lt;&gt;K938,"Mismatch","OK")</f>
        <v>OK</v>
      </c>
      <c r="X938" s="7" t="str">
        <f aca="false">IF(TEXT(H938,"dddd")&lt;&gt;I938,"Mismatch","OK")</f>
        <v>OK</v>
      </c>
      <c r="Y938" s="7" t="str">
        <f aca="false">IF(AND(N938="No",O938&lt;&gt;""),"Unexpected: channel present but no reminder sent",IF(AND(N938="Yes",O938=""),"Missing channel for sent reminder","OK"))</f>
        <v>OK</v>
      </c>
    </row>
    <row r="939" customFormat="false" ht="15" hidden="false" customHeight="false" outlineLevel="0" collapsed="false">
      <c r="A939" s="9" t="s">
        <v>1741</v>
      </c>
      <c r="B939" s="9" t="s">
        <v>266</v>
      </c>
      <c r="C939" s="9" t="s">
        <v>47</v>
      </c>
      <c r="D939" s="9" t="n">
        <v>50</v>
      </c>
      <c r="E939" s="9" t="s">
        <v>56</v>
      </c>
      <c r="F939" s="9" t="s">
        <v>49</v>
      </c>
      <c r="G939" s="10" t="n">
        <v>45704</v>
      </c>
      <c r="H939" s="10" t="n">
        <v>45739</v>
      </c>
      <c r="I939" s="9" t="s">
        <v>75</v>
      </c>
      <c r="J939" s="9" t="s">
        <v>51</v>
      </c>
      <c r="K939" s="9" t="n">
        <v>35</v>
      </c>
      <c r="L939" s="9" t="n">
        <v>7</v>
      </c>
      <c r="M939" s="9" t="n">
        <v>1</v>
      </c>
      <c r="N939" s="9" t="s">
        <v>42</v>
      </c>
      <c r="O939" s="9" t="s">
        <v>52</v>
      </c>
      <c r="P939" s="9" t="n">
        <v>5.6</v>
      </c>
      <c r="Q939" s="9" t="n">
        <v>25</v>
      </c>
      <c r="R939" s="9" t="s">
        <v>53</v>
      </c>
      <c r="S939" s="9"/>
      <c r="T939" s="9"/>
      <c r="U939" s="9" t="str">
        <f aca="false">IF(COUNTIF($A$2:$A$5001,A939)&gt;1,"Duplicate","Unique")</f>
        <v>Unique</v>
      </c>
      <c r="V939" s="9" t="str">
        <f aca="false">IF(COUNTIFS($B$2:$B$5001,B939,$H$2:$H$5001,H939,$J$2:$J$5001,J939)&gt;1,"Possible Duplicate Booking","Unique")</f>
        <v>Unique</v>
      </c>
      <c r="W939" s="9" t="str">
        <f aca="false">IF((H939-G939)&lt;&gt;K939,"Mismatch","OK")</f>
        <v>OK</v>
      </c>
      <c r="X939" s="9" t="str">
        <f aca="false">IF(TEXT(H939,"dddd")&lt;&gt;I939,"Mismatch","OK")</f>
        <v>OK</v>
      </c>
      <c r="Y939" s="9" t="str">
        <f aca="false">IF(AND(N939="No",O939&lt;&gt;""),"Unexpected: channel present but no reminder sent",IF(AND(N939="Yes",O939=""),"Missing channel for sent reminder","OK"))</f>
        <v>OK</v>
      </c>
    </row>
    <row r="940" customFormat="false" ht="15" hidden="false" customHeight="false" outlineLevel="0" collapsed="false">
      <c r="A940" s="7" t="s">
        <v>1742</v>
      </c>
      <c r="B940" s="7" t="s">
        <v>1743</v>
      </c>
      <c r="C940" s="7" t="s">
        <v>37</v>
      </c>
      <c r="D940" s="7" t="n">
        <v>60</v>
      </c>
      <c r="E940" s="7" t="s">
        <v>61</v>
      </c>
      <c r="F940" s="7" t="s">
        <v>74</v>
      </c>
      <c r="G940" s="8" t="n">
        <v>45850</v>
      </c>
      <c r="H940" s="8" t="n">
        <v>45910</v>
      </c>
      <c r="I940" s="7" t="s">
        <v>58</v>
      </c>
      <c r="J940" s="7" t="s">
        <v>51</v>
      </c>
      <c r="K940" s="7" t="n">
        <v>60</v>
      </c>
      <c r="L940" s="7" t="n">
        <v>5</v>
      </c>
      <c r="M940" s="7" t="n">
        <v>3</v>
      </c>
      <c r="N940" s="7" t="s">
        <v>42</v>
      </c>
      <c r="O940" s="7" t="s">
        <v>67</v>
      </c>
      <c r="P940" s="7" t="n">
        <v>6</v>
      </c>
      <c r="Q940" s="7" t="n">
        <v>25</v>
      </c>
      <c r="R940" s="7" t="s">
        <v>44</v>
      </c>
      <c r="S940" s="7"/>
      <c r="T940" s="7"/>
      <c r="U940" s="7" t="str">
        <f aca="false">IF(COUNTIF($A$2:$A$5001,A940)&gt;1,"Duplicate","Unique")</f>
        <v>Unique</v>
      </c>
      <c r="V940" s="7" t="str">
        <f aca="false">IF(COUNTIFS($B$2:$B$5001,B940,$H$2:$H$5001,H940,$J$2:$J$5001,J940)&gt;1,"Possible Duplicate Booking","Unique")</f>
        <v>Unique</v>
      </c>
      <c r="W940" s="7" t="str">
        <f aca="false">IF((H940-G940)&lt;&gt;K940,"Mismatch","OK")</f>
        <v>OK</v>
      </c>
      <c r="X940" s="7" t="str">
        <f aca="false">IF(TEXT(H940,"dddd")&lt;&gt;I940,"Mismatch","OK")</f>
        <v>OK</v>
      </c>
      <c r="Y940" s="7" t="str">
        <f aca="false">IF(AND(N940="No",O940&lt;&gt;""),"Unexpected: channel present but no reminder sent",IF(AND(N940="Yes",O940=""),"Missing channel for sent reminder","OK"))</f>
        <v>OK</v>
      </c>
    </row>
    <row r="941" customFormat="false" ht="15" hidden="false" customHeight="false" outlineLevel="0" collapsed="false">
      <c r="A941" s="9" t="s">
        <v>1744</v>
      </c>
      <c r="B941" s="9" t="s">
        <v>1090</v>
      </c>
      <c r="C941" s="9" t="s">
        <v>37</v>
      </c>
      <c r="D941" s="9" t="n">
        <v>24</v>
      </c>
      <c r="E941" s="9" t="s">
        <v>82</v>
      </c>
      <c r="F941" s="9" t="s">
        <v>57</v>
      </c>
      <c r="G941" s="10" t="n">
        <v>45924</v>
      </c>
      <c r="H941" s="10" t="n">
        <v>45935</v>
      </c>
      <c r="I941" s="9" t="s">
        <v>75</v>
      </c>
      <c r="J941" s="9" t="s">
        <v>51</v>
      </c>
      <c r="K941" s="9" t="n">
        <v>11</v>
      </c>
      <c r="L941" s="9" t="n">
        <v>2</v>
      </c>
      <c r="M941" s="9" t="n">
        <v>0</v>
      </c>
      <c r="N941" s="9" t="s">
        <v>42</v>
      </c>
      <c r="O941" s="9" t="s">
        <v>52</v>
      </c>
      <c r="P941" s="9" t="n">
        <v>13.1</v>
      </c>
      <c r="Q941" s="9" t="n">
        <v>37</v>
      </c>
      <c r="R941" s="9" t="s">
        <v>44</v>
      </c>
      <c r="S941" s="9"/>
      <c r="T941" s="9"/>
      <c r="U941" s="9" t="str">
        <f aca="false">IF(COUNTIF($A$2:$A$5001,A941)&gt;1,"Duplicate","Unique")</f>
        <v>Unique</v>
      </c>
      <c r="V941" s="9" t="str">
        <f aca="false">IF(COUNTIFS($B$2:$B$5001,B941,$H$2:$H$5001,H941,$J$2:$J$5001,J941)&gt;1,"Possible Duplicate Booking","Unique")</f>
        <v>Unique</v>
      </c>
      <c r="W941" s="9" t="str">
        <f aca="false">IF((H941-G941)&lt;&gt;K941,"Mismatch","OK")</f>
        <v>OK</v>
      </c>
      <c r="X941" s="9" t="str">
        <f aca="false">IF(TEXT(H941,"dddd")&lt;&gt;I941,"Mismatch","OK")</f>
        <v>OK</v>
      </c>
      <c r="Y941" s="9" t="str">
        <f aca="false">IF(AND(N941="No",O941&lt;&gt;""),"Unexpected: channel present but no reminder sent",IF(AND(N941="Yes",O941=""),"Missing channel for sent reminder","OK"))</f>
        <v>OK</v>
      </c>
    </row>
    <row r="942" customFormat="false" ht="15" hidden="false" customHeight="false" outlineLevel="0" collapsed="false">
      <c r="A942" s="7" t="s">
        <v>1745</v>
      </c>
      <c r="B942" s="7" t="s">
        <v>523</v>
      </c>
      <c r="C942" s="7" t="s">
        <v>236</v>
      </c>
      <c r="D942" s="7" t="n">
        <v>41</v>
      </c>
      <c r="E942" s="7" t="s">
        <v>38</v>
      </c>
      <c r="F942" s="7" t="s">
        <v>49</v>
      </c>
      <c r="G942" s="8" t="n">
        <v>46020</v>
      </c>
      <c r="H942" s="8" t="n">
        <v>46035</v>
      </c>
      <c r="I942" s="7" t="s">
        <v>40</v>
      </c>
      <c r="J942" s="7" t="s">
        <v>41</v>
      </c>
      <c r="K942" s="7" t="n">
        <v>15</v>
      </c>
      <c r="L942" s="7" t="n">
        <v>2</v>
      </c>
      <c r="M942" s="7" t="n">
        <v>0</v>
      </c>
      <c r="N942" s="7" t="s">
        <v>42</v>
      </c>
      <c r="O942" s="7" t="s">
        <v>52</v>
      </c>
      <c r="P942" s="7" t="n">
        <v>4.8</v>
      </c>
      <c r="Q942" s="7" t="n">
        <v>34</v>
      </c>
      <c r="R942" s="7" t="s">
        <v>53</v>
      </c>
      <c r="S942" s="7"/>
      <c r="T942" s="7"/>
      <c r="U942" s="7" t="str">
        <f aca="false">IF(COUNTIF($A$2:$A$5001,A942)&gt;1,"Duplicate","Unique")</f>
        <v>Unique</v>
      </c>
      <c r="V942" s="7" t="str">
        <f aca="false">IF(COUNTIFS($B$2:$B$5001,B942,$H$2:$H$5001,H942,$J$2:$J$5001,J942)&gt;1,"Possible Duplicate Booking","Unique")</f>
        <v>Unique</v>
      </c>
      <c r="W942" s="7" t="str">
        <f aca="false">IF((H942-G942)&lt;&gt;K942,"Mismatch","OK")</f>
        <v>OK</v>
      </c>
      <c r="X942" s="7" t="str">
        <f aca="false">IF(TEXT(H942,"dddd")&lt;&gt;I942,"Mismatch","OK")</f>
        <v>OK</v>
      </c>
      <c r="Y942" s="7" t="str">
        <f aca="false">IF(AND(N942="No",O942&lt;&gt;""),"Unexpected: channel present but no reminder sent",IF(AND(N942="Yes",O942=""),"Missing channel for sent reminder","OK"))</f>
        <v>OK</v>
      </c>
    </row>
    <row r="943" customFormat="false" ht="15" hidden="false" customHeight="false" outlineLevel="0" collapsed="false">
      <c r="A943" s="9" t="s">
        <v>1746</v>
      </c>
      <c r="B943" s="9" t="s">
        <v>1747</v>
      </c>
      <c r="C943" s="9" t="s">
        <v>37</v>
      </c>
      <c r="D943" s="9" t="n">
        <v>57</v>
      </c>
      <c r="E943" s="9" t="s">
        <v>61</v>
      </c>
      <c r="F943" s="9" t="s">
        <v>57</v>
      </c>
      <c r="G943" s="10" t="n">
        <v>45850</v>
      </c>
      <c r="H943" s="10" t="n">
        <v>45878</v>
      </c>
      <c r="I943" s="9" t="s">
        <v>102</v>
      </c>
      <c r="J943" s="9" t="s">
        <v>51</v>
      </c>
      <c r="K943" s="9" t="n">
        <v>28</v>
      </c>
      <c r="L943" s="9" t="n">
        <v>5</v>
      </c>
      <c r="M943" s="9" t="n">
        <v>1</v>
      </c>
      <c r="N943" s="9" t="s">
        <v>42</v>
      </c>
      <c r="O943" s="9" t="s">
        <v>43</v>
      </c>
      <c r="P943" s="9" t="n">
        <v>25.1</v>
      </c>
      <c r="Q943" s="9" t="n">
        <v>20</v>
      </c>
      <c r="R943" s="9" t="s">
        <v>44</v>
      </c>
      <c r="S943" s="9"/>
      <c r="T943" s="9"/>
      <c r="U943" s="9" t="str">
        <f aca="false">IF(COUNTIF($A$2:$A$5001,A943)&gt;1,"Duplicate","Unique")</f>
        <v>Unique</v>
      </c>
      <c r="V943" s="9" t="str">
        <f aca="false">IF(COUNTIFS($B$2:$B$5001,B943,$H$2:$H$5001,H943,$J$2:$J$5001,J943)&gt;1,"Possible Duplicate Booking","Unique")</f>
        <v>Unique</v>
      </c>
      <c r="W943" s="9" t="str">
        <f aca="false">IF((H943-G943)&lt;&gt;K943,"Mismatch","OK")</f>
        <v>OK</v>
      </c>
      <c r="X943" s="9" t="str">
        <f aca="false">IF(TEXT(H943,"dddd")&lt;&gt;I943,"Mismatch","OK")</f>
        <v>OK</v>
      </c>
      <c r="Y943" s="9" t="str">
        <f aca="false">IF(AND(N943="No",O943&lt;&gt;""),"Unexpected: channel present but no reminder sent",IF(AND(N943="Yes",O943=""),"Missing channel for sent reminder","OK"))</f>
        <v>OK</v>
      </c>
    </row>
    <row r="944" customFormat="false" ht="15" hidden="false" customHeight="false" outlineLevel="0" collapsed="false">
      <c r="A944" s="7" t="s">
        <v>1748</v>
      </c>
      <c r="B944" s="7" t="s">
        <v>1749</v>
      </c>
      <c r="C944" s="7" t="s">
        <v>37</v>
      </c>
      <c r="D944" s="7" t="n">
        <v>58</v>
      </c>
      <c r="E944" s="7" t="s">
        <v>61</v>
      </c>
      <c r="F944" s="7" t="s">
        <v>57</v>
      </c>
      <c r="G944" s="8" t="n">
        <v>46144</v>
      </c>
      <c r="H944" s="8" t="n">
        <v>46156</v>
      </c>
      <c r="I944" s="7" t="s">
        <v>62</v>
      </c>
      <c r="J944" s="7" t="s">
        <v>51</v>
      </c>
      <c r="K944" s="7" t="n">
        <v>12</v>
      </c>
      <c r="L944" s="7" t="n">
        <v>5</v>
      </c>
      <c r="M944" s="7" t="n">
        <v>0</v>
      </c>
      <c r="N944" s="7" t="s">
        <v>42</v>
      </c>
      <c r="O944" s="7" t="s">
        <v>43</v>
      </c>
      <c r="P944" s="7" t="n">
        <v>1.5</v>
      </c>
      <c r="Q944" s="7" t="n">
        <v>22</v>
      </c>
      <c r="R944" s="7" t="s">
        <v>87</v>
      </c>
      <c r="S944" s="7"/>
      <c r="T944" s="7"/>
      <c r="U944" s="7" t="str">
        <f aca="false">IF(COUNTIF($A$2:$A$5001,A944)&gt;1,"Duplicate","Unique")</f>
        <v>Unique</v>
      </c>
      <c r="V944" s="7" t="str">
        <f aca="false">IF(COUNTIFS($B$2:$B$5001,B944,$H$2:$H$5001,H944,$J$2:$J$5001,J944)&gt;1,"Possible Duplicate Booking","Unique")</f>
        <v>Unique</v>
      </c>
      <c r="W944" s="7" t="str">
        <f aca="false">IF((H944-G944)&lt;&gt;K944,"Mismatch","OK")</f>
        <v>OK</v>
      </c>
      <c r="X944" s="7" t="str">
        <f aca="false">IF(TEXT(H944,"dddd")&lt;&gt;I944,"Mismatch","OK")</f>
        <v>OK</v>
      </c>
      <c r="Y944" s="7" t="str">
        <f aca="false">IF(AND(N944="No",O944&lt;&gt;""),"Unexpected: channel present but no reminder sent",IF(AND(N944="Yes",O944=""),"Missing channel for sent reminder","OK"))</f>
        <v>OK</v>
      </c>
    </row>
    <row r="945" customFormat="false" ht="15" hidden="false" customHeight="false" outlineLevel="0" collapsed="false">
      <c r="A945" s="9" t="s">
        <v>1750</v>
      </c>
      <c r="B945" s="9" t="s">
        <v>1751</v>
      </c>
      <c r="C945" s="9" t="s">
        <v>47</v>
      </c>
      <c r="D945" s="9" t="n">
        <v>21</v>
      </c>
      <c r="E945" s="9" t="s">
        <v>82</v>
      </c>
      <c r="F945" s="9" t="s">
        <v>57</v>
      </c>
      <c r="G945" s="10" t="n">
        <v>45877</v>
      </c>
      <c r="H945" s="10" t="n">
        <v>45916</v>
      </c>
      <c r="I945" s="9" t="s">
        <v>40</v>
      </c>
      <c r="J945" s="9" t="s">
        <v>41</v>
      </c>
      <c r="K945" s="9" t="n">
        <v>39</v>
      </c>
      <c r="L945" s="9" t="n">
        <v>3</v>
      </c>
      <c r="M945" s="9" t="n">
        <v>0</v>
      </c>
      <c r="N945" s="9" t="s">
        <v>71</v>
      </c>
      <c r="O945" s="9"/>
      <c r="P945" s="9" t="n">
        <v>18</v>
      </c>
      <c r="Q945" s="9" t="n">
        <v>17</v>
      </c>
      <c r="R945" s="9" t="s">
        <v>44</v>
      </c>
      <c r="S945" s="9"/>
      <c r="T945" s="9"/>
      <c r="U945" s="9" t="str">
        <f aca="false">IF(COUNTIF($A$2:$A$5001,A945)&gt;1,"Duplicate","Unique")</f>
        <v>Unique</v>
      </c>
      <c r="V945" s="9" t="str">
        <f aca="false">IF(COUNTIFS($B$2:$B$5001,B945,$H$2:$H$5001,H945,$J$2:$J$5001,J945)&gt;1,"Possible Duplicate Booking","Unique")</f>
        <v>Unique</v>
      </c>
      <c r="W945" s="9" t="str">
        <f aca="false">IF((H945-G945)&lt;&gt;K945,"Mismatch","OK")</f>
        <v>OK</v>
      </c>
      <c r="X945" s="9" t="str">
        <f aca="false">IF(TEXT(H945,"dddd")&lt;&gt;I945,"Mismatch","OK")</f>
        <v>OK</v>
      </c>
      <c r="Y945" s="9" t="str">
        <f aca="false">IF(AND(N945="No",O945&lt;&gt;""),"Unexpected: channel present but no reminder sent",IF(AND(N945="Yes",O945=""),"Missing channel for sent reminder","OK"))</f>
        <v>OK</v>
      </c>
    </row>
    <row r="946" customFormat="false" ht="15" hidden="false" customHeight="false" outlineLevel="0" collapsed="false">
      <c r="A946" s="7" t="s">
        <v>1752</v>
      </c>
      <c r="B946" s="7" t="s">
        <v>1753</v>
      </c>
      <c r="C946" s="7" t="s">
        <v>47</v>
      </c>
      <c r="D946" s="7" t="n">
        <v>56</v>
      </c>
      <c r="E946" s="7" t="s">
        <v>61</v>
      </c>
      <c r="F946" s="7" t="s">
        <v>49</v>
      </c>
      <c r="G946" s="8" t="n">
        <v>45713</v>
      </c>
      <c r="H946" s="8" t="n">
        <v>45728</v>
      </c>
      <c r="I946" s="7" t="s">
        <v>58</v>
      </c>
      <c r="J946" s="7" t="s">
        <v>51</v>
      </c>
      <c r="K946" s="7" t="n">
        <v>15</v>
      </c>
      <c r="L946" s="7" t="n">
        <v>4</v>
      </c>
      <c r="M946" s="7" t="n">
        <v>1</v>
      </c>
      <c r="N946" s="7" t="s">
        <v>71</v>
      </c>
      <c r="O946" s="7"/>
      <c r="P946" s="7" t="n">
        <v>2.4</v>
      </c>
      <c r="Q946" s="7" t="n">
        <v>25</v>
      </c>
      <c r="R946" s="7" t="s">
        <v>53</v>
      </c>
      <c r="S946" s="7"/>
      <c r="T946" s="7"/>
      <c r="U946" s="7" t="str">
        <f aca="false">IF(COUNTIF($A$2:$A$5001,A946)&gt;1,"Duplicate","Unique")</f>
        <v>Unique</v>
      </c>
      <c r="V946" s="7" t="str">
        <f aca="false">IF(COUNTIFS($B$2:$B$5001,B946,$H$2:$H$5001,H946,$J$2:$J$5001,J946)&gt;1,"Possible Duplicate Booking","Unique")</f>
        <v>Unique</v>
      </c>
      <c r="W946" s="7" t="str">
        <f aca="false">IF((H946-G946)&lt;&gt;K946,"Mismatch","OK")</f>
        <v>OK</v>
      </c>
      <c r="X946" s="7" t="str">
        <f aca="false">IF(TEXT(H946,"dddd")&lt;&gt;I946,"Mismatch","OK")</f>
        <v>OK</v>
      </c>
      <c r="Y946" s="7" t="str">
        <f aca="false">IF(AND(N946="No",O946&lt;&gt;""),"Unexpected: channel present but no reminder sent",IF(AND(N946="Yes",O946=""),"Missing channel for sent reminder","OK"))</f>
        <v>OK</v>
      </c>
    </row>
    <row r="947" customFormat="false" ht="15" hidden="false" customHeight="false" outlineLevel="0" collapsed="false">
      <c r="A947" s="9" t="s">
        <v>1754</v>
      </c>
      <c r="B947" s="9" t="s">
        <v>1518</v>
      </c>
      <c r="C947" s="9" t="s">
        <v>37</v>
      </c>
      <c r="D947" s="9" t="n">
        <v>77</v>
      </c>
      <c r="E947" s="9" t="s">
        <v>70</v>
      </c>
      <c r="F947" s="9" t="s">
        <v>57</v>
      </c>
      <c r="G947" s="10" t="n">
        <v>45716</v>
      </c>
      <c r="H947" s="10" t="n">
        <v>45723</v>
      </c>
      <c r="I947" s="9" t="s">
        <v>50</v>
      </c>
      <c r="J947" s="9" t="s">
        <v>51</v>
      </c>
      <c r="K947" s="9" t="n">
        <v>7</v>
      </c>
      <c r="L947" s="9" t="n">
        <v>4</v>
      </c>
      <c r="M947" s="9" t="n">
        <v>0</v>
      </c>
      <c r="N947" s="9" t="s">
        <v>71</v>
      </c>
      <c r="O947" s="9"/>
      <c r="P947" s="9" t="n">
        <v>12.7</v>
      </c>
      <c r="Q947" s="9"/>
      <c r="R947" s="9" t="s">
        <v>53</v>
      </c>
      <c r="S947" s="9"/>
      <c r="T947" s="9"/>
      <c r="U947" s="9" t="str">
        <f aca="false">IF(COUNTIF($A$2:$A$5001,A947)&gt;1,"Duplicate","Unique")</f>
        <v>Unique</v>
      </c>
      <c r="V947" s="9" t="str">
        <f aca="false">IF(COUNTIFS($B$2:$B$5001,B947,$H$2:$H$5001,H947,$J$2:$J$5001,J947)&gt;1,"Possible Duplicate Booking","Unique")</f>
        <v>Unique</v>
      </c>
      <c r="W947" s="9" t="str">
        <f aca="false">IF((H947-G947)&lt;&gt;K947,"Mismatch","OK")</f>
        <v>OK</v>
      </c>
      <c r="X947" s="9" t="str">
        <f aca="false">IF(TEXT(H947,"dddd")&lt;&gt;I947,"Mismatch","OK")</f>
        <v>OK</v>
      </c>
      <c r="Y947" s="9" t="str">
        <f aca="false">IF(AND(N947="No",O947&lt;&gt;""),"Unexpected: channel present but no reminder sent",IF(AND(N947="Yes",O947=""),"Missing channel for sent reminder","OK"))</f>
        <v>OK</v>
      </c>
    </row>
    <row r="948" customFormat="false" ht="15" hidden="false" customHeight="false" outlineLevel="0" collapsed="false">
      <c r="A948" s="7" t="s">
        <v>1755</v>
      </c>
      <c r="B948" s="7" t="s">
        <v>1756</v>
      </c>
      <c r="C948" s="7" t="s">
        <v>37</v>
      </c>
      <c r="D948" s="7" t="n">
        <v>67</v>
      </c>
      <c r="E948" s="7" t="s">
        <v>70</v>
      </c>
      <c r="F948" s="7" t="s">
        <v>39</v>
      </c>
      <c r="G948" s="8" t="n">
        <v>46174</v>
      </c>
      <c r="H948" s="8" t="n">
        <v>46189</v>
      </c>
      <c r="I948" s="7" t="s">
        <v>40</v>
      </c>
      <c r="J948" s="7" t="s">
        <v>63</v>
      </c>
      <c r="K948" s="7" t="n">
        <v>15</v>
      </c>
      <c r="L948" s="7" t="n">
        <v>3</v>
      </c>
      <c r="M948" s="7" t="n">
        <v>0</v>
      </c>
      <c r="N948" s="7" t="s">
        <v>71</v>
      </c>
      <c r="O948" s="7"/>
      <c r="P948" s="7" t="n">
        <v>12.3</v>
      </c>
      <c r="Q948" s="7" t="n">
        <v>25</v>
      </c>
      <c r="R948" s="7" t="s">
        <v>53</v>
      </c>
      <c r="S948" s="7"/>
      <c r="T948" s="7"/>
      <c r="U948" s="7" t="str">
        <f aca="false">IF(COUNTIF($A$2:$A$5001,A948)&gt;1,"Duplicate","Unique")</f>
        <v>Unique</v>
      </c>
      <c r="V948" s="7" t="str">
        <f aca="false">IF(COUNTIFS($B$2:$B$5001,B948,$H$2:$H$5001,H948,$J$2:$J$5001,J948)&gt;1,"Possible Duplicate Booking","Unique")</f>
        <v>Unique</v>
      </c>
      <c r="W948" s="7" t="str">
        <f aca="false">IF((H948-G948)&lt;&gt;K948,"Mismatch","OK")</f>
        <v>OK</v>
      </c>
      <c r="X948" s="7" t="str">
        <f aca="false">IF(TEXT(H948,"dddd")&lt;&gt;I948,"Mismatch","OK")</f>
        <v>OK</v>
      </c>
      <c r="Y948" s="7" t="str">
        <f aca="false">IF(AND(N948="No",O948&lt;&gt;""),"Unexpected: channel present but no reminder sent",IF(AND(N948="Yes",O948=""),"Missing channel for sent reminder","OK"))</f>
        <v>OK</v>
      </c>
    </row>
    <row r="949" customFormat="false" ht="15" hidden="false" customHeight="false" outlineLevel="0" collapsed="false">
      <c r="A949" s="9" t="s">
        <v>1757</v>
      </c>
      <c r="B949" s="9" t="s">
        <v>1758</v>
      </c>
      <c r="C949" s="9" t="s">
        <v>37</v>
      </c>
      <c r="D949" s="9" t="n">
        <v>31</v>
      </c>
      <c r="E949" s="9" t="s">
        <v>48</v>
      </c>
      <c r="F949" s="9" t="s">
        <v>39</v>
      </c>
      <c r="G949" s="10" t="n">
        <v>45675</v>
      </c>
      <c r="H949" s="10" t="n">
        <v>45731</v>
      </c>
      <c r="I949" s="9" t="s">
        <v>102</v>
      </c>
      <c r="J949" s="9" t="s">
        <v>51</v>
      </c>
      <c r="K949" s="9" t="n">
        <v>56</v>
      </c>
      <c r="L949" s="9" t="n">
        <v>3</v>
      </c>
      <c r="M949" s="9" t="n">
        <v>0</v>
      </c>
      <c r="N949" s="9" t="s">
        <v>71</v>
      </c>
      <c r="O949" s="9"/>
      <c r="P949" s="9" t="n">
        <v>6.8</v>
      </c>
      <c r="Q949" s="9" t="n">
        <v>40</v>
      </c>
      <c r="R949" s="9" t="s">
        <v>53</v>
      </c>
      <c r="S949" s="9"/>
      <c r="T949" s="9"/>
      <c r="U949" s="9" t="str">
        <f aca="false">IF(COUNTIF($A$2:$A$5001,A949)&gt;1,"Duplicate","Unique")</f>
        <v>Unique</v>
      </c>
      <c r="V949" s="9" t="str">
        <f aca="false">IF(COUNTIFS($B$2:$B$5001,B949,$H$2:$H$5001,H949,$J$2:$J$5001,J949)&gt;1,"Possible Duplicate Booking","Unique")</f>
        <v>Unique</v>
      </c>
      <c r="W949" s="9" t="str">
        <f aca="false">IF((H949-G949)&lt;&gt;K949,"Mismatch","OK")</f>
        <v>OK</v>
      </c>
      <c r="X949" s="9" t="str">
        <f aca="false">IF(TEXT(H949,"dddd")&lt;&gt;I949,"Mismatch","OK")</f>
        <v>OK</v>
      </c>
      <c r="Y949" s="9" t="str">
        <f aca="false">IF(AND(N949="No",O949&lt;&gt;""),"Unexpected: channel present but no reminder sent",IF(AND(N949="Yes",O949=""),"Missing channel for sent reminder","OK"))</f>
        <v>OK</v>
      </c>
    </row>
    <row r="950" customFormat="false" ht="15" hidden="false" customHeight="false" outlineLevel="0" collapsed="false">
      <c r="A950" s="7" t="s">
        <v>1759</v>
      </c>
      <c r="B950" s="7" t="s">
        <v>1760</v>
      </c>
      <c r="C950" s="7" t="s">
        <v>37</v>
      </c>
      <c r="D950" s="7" t="n">
        <v>75</v>
      </c>
      <c r="E950" s="7" t="s">
        <v>70</v>
      </c>
      <c r="F950" s="7" t="s">
        <v>57</v>
      </c>
      <c r="G950" s="8" t="n">
        <v>46118</v>
      </c>
      <c r="H950" s="8" t="n">
        <v>46175</v>
      </c>
      <c r="I950" s="7" t="s">
        <v>40</v>
      </c>
      <c r="J950" s="7" t="s">
        <v>63</v>
      </c>
      <c r="K950" s="7" t="n">
        <v>57</v>
      </c>
      <c r="L950" s="7" t="n">
        <v>3</v>
      </c>
      <c r="M950" s="7" t="n">
        <v>0</v>
      </c>
      <c r="N950" s="7" t="s">
        <v>71</v>
      </c>
      <c r="O950" s="7"/>
      <c r="P950" s="7" t="n">
        <v>13.6</v>
      </c>
      <c r="Q950" s="7" t="n">
        <v>41</v>
      </c>
      <c r="R950" s="7" t="s">
        <v>53</v>
      </c>
      <c r="S950" s="7"/>
      <c r="T950" s="7"/>
      <c r="U950" s="7" t="str">
        <f aca="false">IF(COUNTIF($A$2:$A$5001,A950)&gt;1,"Duplicate","Unique")</f>
        <v>Unique</v>
      </c>
      <c r="V950" s="7" t="str">
        <f aca="false">IF(COUNTIFS($B$2:$B$5001,B950,$H$2:$H$5001,H950,$J$2:$J$5001,J950)&gt;1,"Possible Duplicate Booking","Unique")</f>
        <v>Unique</v>
      </c>
      <c r="W950" s="7" t="str">
        <f aca="false">IF((H950-G950)&lt;&gt;K950,"Mismatch","OK")</f>
        <v>OK</v>
      </c>
      <c r="X950" s="7" t="str">
        <f aca="false">IF(TEXT(H950,"dddd")&lt;&gt;I950,"Mismatch","OK")</f>
        <v>OK</v>
      </c>
      <c r="Y950" s="7" t="str">
        <f aca="false">IF(AND(N950="No",O950&lt;&gt;""),"Unexpected: channel present but no reminder sent",IF(AND(N950="Yes",O950=""),"Missing channel for sent reminder","OK"))</f>
        <v>OK</v>
      </c>
    </row>
    <row r="951" customFormat="false" ht="15" hidden="false" customHeight="false" outlineLevel="0" collapsed="false">
      <c r="A951" s="9" t="s">
        <v>1761</v>
      </c>
      <c r="B951" s="9" t="s">
        <v>1335</v>
      </c>
      <c r="C951" s="9" t="s">
        <v>37</v>
      </c>
      <c r="D951" s="9" t="n">
        <v>61</v>
      </c>
      <c r="E951" s="9" t="s">
        <v>61</v>
      </c>
      <c r="F951" s="9" t="s">
        <v>49</v>
      </c>
      <c r="G951" s="10" t="n">
        <v>45779</v>
      </c>
      <c r="H951" s="10" t="n">
        <v>45809</v>
      </c>
      <c r="I951" s="9" t="s">
        <v>75</v>
      </c>
      <c r="J951" s="9" t="s">
        <v>51</v>
      </c>
      <c r="K951" s="9" t="n">
        <v>30</v>
      </c>
      <c r="L951" s="9" t="n">
        <v>2</v>
      </c>
      <c r="M951" s="9" t="n">
        <v>0</v>
      </c>
      <c r="N951" s="9" t="s">
        <v>42</v>
      </c>
      <c r="O951" s="9" t="s">
        <v>52</v>
      </c>
      <c r="P951" s="9" t="n">
        <v>4.4</v>
      </c>
      <c r="Q951" s="9" t="n">
        <v>17</v>
      </c>
      <c r="R951" s="9" t="s">
        <v>53</v>
      </c>
      <c r="S951" s="9"/>
      <c r="T951" s="9"/>
      <c r="U951" s="9" t="str">
        <f aca="false">IF(COUNTIF($A$2:$A$5001,A951)&gt;1,"Duplicate","Unique")</f>
        <v>Unique</v>
      </c>
      <c r="V951" s="9" t="str">
        <f aca="false">IF(COUNTIFS($B$2:$B$5001,B951,$H$2:$H$5001,H951,$J$2:$J$5001,J951)&gt;1,"Possible Duplicate Booking","Unique")</f>
        <v>Unique</v>
      </c>
      <c r="W951" s="9" t="str">
        <f aca="false">IF((H951-G951)&lt;&gt;K951,"Mismatch","OK")</f>
        <v>OK</v>
      </c>
      <c r="X951" s="9" t="str">
        <f aca="false">IF(TEXT(H951,"dddd")&lt;&gt;I951,"Mismatch","OK")</f>
        <v>OK</v>
      </c>
      <c r="Y951" s="9" t="str">
        <f aca="false">IF(AND(N951="No",O951&lt;&gt;""),"Unexpected: channel present but no reminder sent",IF(AND(N951="Yes",O951=""),"Missing channel for sent reminder","OK"))</f>
        <v>OK</v>
      </c>
    </row>
    <row r="952" customFormat="false" ht="15" hidden="false" customHeight="false" outlineLevel="0" collapsed="false">
      <c r="A952" s="7" t="s">
        <v>1762</v>
      </c>
      <c r="B952" s="7" t="s">
        <v>1763</v>
      </c>
      <c r="C952" s="7" t="s">
        <v>37</v>
      </c>
      <c r="D952" s="7" t="n">
        <v>21</v>
      </c>
      <c r="E952" s="7" t="s">
        <v>82</v>
      </c>
      <c r="F952" s="7" t="s">
        <v>74</v>
      </c>
      <c r="G952" s="8" t="n">
        <v>45685</v>
      </c>
      <c r="H952" s="8" t="n">
        <v>45709</v>
      </c>
      <c r="I952" s="7" t="s">
        <v>50</v>
      </c>
      <c r="J952" s="7" t="s">
        <v>51</v>
      </c>
      <c r="K952" s="7" t="n">
        <v>24</v>
      </c>
      <c r="L952" s="7" t="n">
        <v>2</v>
      </c>
      <c r="M952" s="7" t="n">
        <v>0</v>
      </c>
      <c r="N952" s="7" t="s">
        <v>71</v>
      </c>
      <c r="O952" s="7"/>
      <c r="P952" s="7" t="n">
        <v>3.8</v>
      </c>
      <c r="Q952" s="7" t="n">
        <v>33</v>
      </c>
      <c r="R952" s="7" t="s">
        <v>53</v>
      </c>
      <c r="S952" s="7"/>
      <c r="T952" s="7"/>
      <c r="U952" s="7" t="str">
        <f aca="false">IF(COUNTIF($A$2:$A$5001,A952)&gt;1,"Duplicate","Unique")</f>
        <v>Unique</v>
      </c>
      <c r="V952" s="7" t="str">
        <f aca="false">IF(COUNTIFS($B$2:$B$5001,B952,$H$2:$H$5001,H952,$J$2:$J$5001,J952)&gt;1,"Possible Duplicate Booking","Unique")</f>
        <v>Unique</v>
      </c>
      <c r="W952" s="7" t="str">
        <f aca="false">IF((H952-G952)&lt;&gt;K952,"Mismatch","OK")</f>
        <v>OK</v>
      </c>
      <c r="X952" s="7" t="str">
        <f aca="false">IF(TEXT(H952,"dddd")&lt;&gt;I952,"Mismatch","OK")</f>
        <v>OK</v>
      </c>
      <c r="Y952" s="7" t="str">
        <f aca="false">IF(AND(N952="No",O952&lt;&gt;""),"Unexpected: channel present but no reminder sent",IF(AND(N952="Yes",O952=""),"Missing channel for sent reminder","OK"))</f>
        <v>OK</v>
      </c>
    </row>
    <row r="953" customFormat="false" ht="15" hidden="false" customHeight="false" outlineLevel="0" collapsed="false">
      <c r="A953" s="9" t="s">
        <v>1764</v>
      </c>
      <c r="B953" s="9" t="s">
        <v>1765</v>
      </c>
      <c r="C953" s="9" t="s">
        <v>47</v>
      </c>
      <c r="D953" s="9" t="n">
        <v>26</v>
      </c>
      <c r="E953" s="9" t="s">
        <v>48</v>
      </c>
      <c r="F953" s="9" t="s">
        <v>57</v>
      </c>
      <c r="G953" s="10" t="n">
        <v>45775</v>
      </c>
      <c r="H953" s="10" t="n">
        <v>45824</v>
      </c>
      <c r="I953" s="9" t="s">
        <v>66</v>
      </c>
      <c r="J953" s="9" t="s">
        <v>41</v>
      </c>
      <c r="K953" s="9" t="n">
        <v>49</v>
      </c>
      <c r="L953" s="9" t="n">
        <v>4</v>
      </c>
      <c r="M953" s="9" t="n">
        <v>2</v>
      </c>
      <c r="N953" s="9" t="s">
        <v>42</v>
      </c>
      <c r="O953" s="9" t="s">
        <v>43</v>
      </c>
      <c r="P953" s="9" t="n">
        <v>12.9</v>
      </c>
      <c r="Q953" s="9" t="n">
        <v>31</v>
      </c>
      <c r="R953" s="9" t="s">
        <v>44</v>
      </c>
      <c r="S953" s="9"/>
      <c r="T953" s="9"/>
      <c r="U953" s="9" t="str">
        <f aca="false">IF(COUNTIF($A$2:$A$5001,A953)&gt;1,"Duplicate","Unique")</f>
        <v>Unique</v>
      </c>
      <c r="V953" s="9" t="str">
        <f aca="false">IF(COUNTIFS($B$2:$B$5001,B953,$H$2:$H$5001,H953,$J$2:$J$5001,J953)&gt;1,"Possible Duplicate Booking","Unique")</f>
        <v>Unique</v>
      </c>
      <c r="W953" s="9" t="str">
        <f aca="false">IF((H953-G953)&lt;&gt;K953,"Mismatch","OK")</f>
        <v>OK</v>
      </c>
      <c r="X953" s="9" t="str">
        <f aca="false">IF(TEXT(H953,"dddd")&lt;&gt;I953,"Mismatch","OK")</f>
        <v>OK</v>
      </c>
      <c r="Y953" s="9" t="str">
        <f aca="false">IF(AND(N953="No",O953&lt;&gt;""),"Unexpected: channel present but no reminder sent",IF(AND(N953="Yes",O953=""),"Missing channel for sent reminder","OK"))</f>
        <v>OK</v>
      </c>
    </row>
    <row r="954" customFormat="false" ht="15" hidden="false" customHeight="false" outlineLevel="0" collapsed="false">
      <c r="A954" s="7" t="s">
        <v>1766</v>
      </c>
      <c r="B954" s="7" t="s">
        <v>1767</v>
      </c>
      <c r="C954" s="7" t="s">
        <v>47</v>
      </c>
      <c r="D954" s="7" t="n">
        <v>76</v>
      </c>
      <c r="E954" s="7" t="s">
        <v>70</v>
      </c>
      <c r="F954" s="7" t="s">
        <v>57</v>
      </c>
      <c r="G954" s="8" t="n">
        <v>45982</v>
      </c>
      <c r="H954" s="8" t="n">
        <v>45993</v>
      </c>
      <c r="I954" s="7" t="s">
        <v>40</v>
      </c>
      <c r="J954" s="7" t="s">
        <v>51</v>
      </c>
      <c r="K954" s="7" t="n">
        <v>11</v>
      </c>
      <c r="L954" s="7" t="n">
        <v>4</v>
      </c>
      <c r="M954" s="7" t="n">
        <v>0</v>
      </c>
      <c r="N954" s="7" t="s">
        <v>71</v>
      </c>
      <c r="O954" s="7"/>
      <c r="P954" s="7" t="n">
        <v>5.6</v>
      </c>
      <c r="Q954" s="7" t="n">
        <v>18</v>
      </c>
      <c r="R954" s="7" t="s">
        <v>53</v>
      </c>
      <c r="S954" s="7"/>
      <c r="T954" s="7"/>
      <c r="U954" s="7" t="str">
        <f aca="false">IF(COUNTIF($A$2:$A$5001,A954)&gt;1,"Duplicate","Unique")</f>
        <v>Unique</v>
      </c>
      <c r="V954" s="7" t="str">
        <f aca="false">IF(COUNTIFS($B$2:$B$5001,B954,$H$2:$H$5001,H954,$J$2:$J$5001,J954)&gt;1,"Possible Duplicate Booking","Unique")</f>
        <v>Unique</v>
      </c>
      <c r="W954" s="7" t="str">
        <f aca="false">IF((H954-G954)&lt;&gt;K954,"Mismatch","OK")</f>
        <v>OK</v>
      </c>
      <c r="X954" s="7" t="str">
        <f aca="false">IF(TEXT(H954,"dddd")&lt;&gt;I954,"Mismatch","OK")</f>
        <v>OK</v>
      </c>
      <c r="Y954" s="7" t="str">
        <f aca="false">IF(AND(N954="No",O954&lt;&gt;""),"Unexpected: channel present but no reminder sent",IF(AND(N954="Yes",O954=""),"Missing channel for sent reminder","OK"))</f>
        <v>OK</v>
      </c>
    </row>
    <row r="955" customFormat="false" ht="15" hidden="false" customHeight="false" outlineLevel="0" collapsed="false">
      <c r="A955" s="9" t="s">
        <v>1768</v>
      </c>
      <c r="B955" s="9" t="s">
        <v>591</v>
      </c>
      <c r="C955" s="9" t="s">
        <v>47</v>
      </c>
      <c r="D955" s="9" t="n">
        <v>31</v>
      </c>
      <c r="E955" s="9" t="s">
        <v>48</v>
      </c>
      <c r="F955" s="9" t="s">
        <v>74</v>
      </c>
      <c r="G955" s="10" t="n">
        <v>45852</v>
      </c>
      <c r="H955" s="10" t="n">
        <v>45891</v>
      </c>
      <c r="I955" s="9" t="s">
        <v>50</v>
      </c>
      <c r="J955" s="9" t="s">
        <v>41</v>
      </c>
      <c r="K955" s="9" t="n">
        <v>39</v>
      </c>
      <c r="L955" s="9" t="n">
        <v>4</v>
      </c>
      <c r="M955" s="9" t="n">
        <v>0</v>
      </c>
      <c r="N955" s="9" t="s">
        <v>42</v>
      </c>
      <c r="O955" s="9" t="s">
        <v>43</v>
      </c>
      <c r="P955" s="9" t="n">
        <v>23.3</v>
      </c>
      <c r="Q955" s="9" t="n">
        <v>40</v>
      </c>
      <c r="R955" s="9" t="s">
        <v>53</v>
      </c>
      <c r="S955" s="9"/>
      <c r="T955" s="9"/>
      <c r="U955" s="9" t="str">
        <f aca="false">IF(COUNTIF($A$2:$A$5001,A955)&gt;1,"Duplicate","Unique")</f>
        <v>Unique</v>
      </c>
      <c r="V955" s="9" t="str">
        <f aca="false">IF(COUNTIFS($B$2:$B$5001,B955,$H$2:$H$5001,H955,$J$2:$J$5001,J955)&gt;1,"Possible Duplicate Booking","Unique")</f>
        <v>Unique</v>
      </c>
      <c r="W955" s="9" t="str">
        <f aca="false">IF((H955-G955)&lt;&gt;K955,"Mismatch","OK")</f>
        <v>OK</v>
      </c>
      <c r="X955" s="9" t="str">
        <f aca="false">IF(TEXT(H955,"dddd")&lt;&gt;I955,"Mismatch","OK")</f>
        <v>OK</v>
      </c>
      <c r="Y955" s="9" t="str">
        <f aca="false">IF(AND(N955="No",O955&lt;&gt;""),"Unexpected: channel present but no reminder sent",IF(AND(N955="Yes",O955=""),"Missing channel for sent reminder","OK"))</f>
        <v>OK</v>
      </c>
    </row>
    <row r="956" customFormat="false" ht="15" hidden="false" customHeight="false" outlineLevel="0" collapsed="false">
      <c r="A956" s="7" t="s">
        <v>1769</v>
      </c>
      <c r="B956" s="7" t="s">
        <v>650</v>
      </c>
      <c r="C956" s="7" t="s">
        <v>47</v>
      </c>
      <c r="D956" s="7" t="n">
        <v>24</v>
      </c>
      <c r="E956" s="7" t="s">
        <v>82</v>
      </c>
      <c r="F956" s="7" t="s">
        <v>57</v>
      </c>
      <c r="G956" s="8" t="n">
        <v>46045</v>
      </c>
      <c r="H956" s="8" t="n">
        <v>46086</v>
      </c>
      <c r="I956" s="7" t="s">
        <v>62</v>
      </c>
      <c r="J956" s="7" t="s">
        <v>51</v>
      </c>
      <c r="K956" s="7" t="n">
        <v>41</v>
      </c>
      <c r="L956" s="7" t="n">
        <v>2</v>
      </c>
      <c r="M956" s="7" t="n">
        <v>1</v>
      </c>
      <c r="N956" s="7" t="s">
        <v>42</v>
      </c>
      <c r="O956" s="7" t="s">
        <v>67</v>
      </c>
      <c r="P956" s="7" t="n">
        <v>12.9</v>
      </c>
      <c r="Q956" s="7" t="n">
        <v>8</v>
      </c>
      <c r="R956" s="7" t="s">
        <v>44</v>
      </c>
      <c r="S956" s="7"/>
      <c r="T956" s="7"/>
      <c r="U956" s="7" t="str">
        <f aca="false">IF(COUNTIF($A$2:$A$5001,A956)&gt;1,"Duplicate","Unique")</f>
        <v>Unique</v>
      </c>
      <c r="V956" s="7" t="str">
        <f aca="false">IF(COUNTIFS($B$2:$B$5001,B956,$H$2:$H$5001,H956,$J$2:$J$5001,J956)&gt;1,"Possible Duplicate Booking","Unique")</f>
        <v>Unique</v>
      </c>
      <c r="W956" s="7" t="str">
        <f aca="false">IF((H956-G956)&lt;&gt;K956,"Mismatch","OK")</f>
        <v>OK</v>
      </c>
      <c r="X956" s="7" t="str">
        <f aca="false">IF(TEXT(H956,"dddd")&lt;&gt;I956,"Mismatch","OK")</f>
        <v>OK</v>
      </c>
      <c r="Y956" s="7" t="str">
        <f aca="false">IF(AND(N956="No",O956&lt;&gt;""),"Unexpected: channel present but no reminder sent",IF(AND(N956="Yes",O956=""),"Missing channel for sent reminder","OK"))</f>
        <v>OK</v>
      </c>
    </row>
    <row r="957" customFormat="false" ht="15" hidden="false" customHeight="false" outlineLevel="0" collapsed="false">
      <c r="A957" s="9" t="s">
        <v>1770</v>
      </c>
      <c r="B957" s="9" t="s">
        <v>1771</v>
      </c>
      <c r="C957" s="9" t="s">
        <v>47</v>
      </c>
      <c r="D957" s="9" t="n">
        <v>46</v>
      </c>
      <c r="E957" s="9" t="s">
        <v>56</v>
      </c>
      <c r="F957" s="9" t="s">
        <v>57</v>
      </c>
      <c r="G957" s="10" t="n">
        <v>45948</v>
      </c>
      <c r="H957" s="10" t="n">
        <v>45991</v>
      </c>
      <c r="I957" s="9" t="s">
        <v>75</v>
      </c>
      <c r="J957" s="9" t="s">
        <v>41</v>
      </c>
      <c r="K957" s="9" t="n">
        <v>43</v>
      </c>
      <c r="L957" s="9" t="n">
        <v>1</v>
      </c>
      <c r="M957" s="9" t="n">
        <v>0</v>
      </c>
      <c r="N957" s="9" t="s">
        <v>42</v>
      </c>
      <c r="O957" s="9" t="s">
        <v>67</v>
      </c>
      <c r="P957" s="9" t="n">
        <v>10.4</v>
      </c>
      <c r="Q957" s="9" t="n">
        <v>36</v>
      </c>
      <c r="R957" s="9" t="s">
        <v>44</v>
      </c>
      <c r="S957" s="9"/>
      <c r="T957" s="9"/>
      <c r="U957" s="9" t="str">
        <f aca="false">IF(COUNTIF($A$2:$A$5001,A957)&gt;1,"Duplicate","Unique")</f>
        <v>Unique</v>
      </c>
      <c r="V957" s="9" t="str">
        <f aca="false">IF(COUNTIFS($B$2:$B$5001,B957,$H$2:$H$5001,H957,$J$2:$J$5001,J957)&gt;1,"Possible Duplicate Booking","Unique")</f>
        <v>Unique</v>
      </c>
      <c r="W957" s="9" t="str">
        <f aca="false">IF((H957-G957)&lt;&gt;K957,"Mismatch","OK")</f>
        <v>OK</v>
      </c>
      <c r="X957" s="9" t="str">
        <f aca="false">IF(TEXT(H957,"dddd")&lt;&gt;I957,"Mismatch","OK")</f>
        <v>OK</v>
      </c>
      <c r="Y957" s="9" t="str">
        <f aca="false">IF(AND(N957="No",O957&lt;&gt;""),"Unexpected: channel present but no reminder sent",IF(AND(N957="Yes",O957=""),"Missing channel for sent reminder","OK"))</f>
        <v>OK</v>
      </c>
    </row>
    <row r="958" customFormat="false" ht="15" hidden="false" customHeight="false" outlineLevel="0" collapsed="false">
      <c r="A958" s="7" t="s">
        <v>1772</v>
      </c>
      <c r="B958" s="7" t="s">
        <v>1773</v>
      </c>
      <c r="C958" s="7" t="s">
        <v>47</v>
      </c>
      <c r="D958" s="7" t="n">
        <v>51</v>
      </c>
      <c r="E958" s="7" t="s">
        <v>56</v>
      </c>
      <c r="F958" s="7" t="s">
        <v>74</v>
      </c>
      <c r="G958" s="8" t="n">
        <v>45863</v>
      </c>
      <c r="H958" s="8" t="n">
        <v>45876</v>
      </c>
      <c r="I958" s="7" t="s">
        <v>62</v>
      </c>
      <c r="J958" s="7" t="s">
        <v>51</v>
      </c>
      <c r="K958" s="7" t="n">
        <v>13</v>
      </c>
      <c r="L958" s="7" t="n">
        <v>3</v>
      </c>
      <c r="M958" s="7" t="n">
        <v>0</v>
      </c>
      <c r="N958" s="7" t="s">
        <v>71</v>
      </c>
      <c r="O958" s="7"/>
      <c r="P958" s="7" t="n">
        <v>6</v>
      </c>
      <c r="Q958" s="7" t="n">
        <v>23</v>
      </c>
      <c r="R958" s="7" t="s">
        <v>53</v>
      </c>
      <c r="S958" s="7"/>
      <c r="T958" s="7"/>
      <c r="U958" s="7" t="str">
        <f aca="false">IF(COUNTIF($A$2:$A$5001,A958)&gt;1,"Duplicate","Unique")</f>
        <v>Unique</v>
      </c>
      <c r="V958" s="7" t="str">
        <f aca="false">IF(COUNTIFS($B$2:$B$5001,B958,$H$2:$H$5001,H958,$J$2:$J$5001,J958)&gt;1,"Possible Duplicate Booking","Unique")</f>
        <v>Unique</v>
      </c>
      <c r="W958" s="7" t="str">
        <f aca="false">IF((H958-G958)&lt;&gt;K958,"Mismatch","OK")</f>
        <v>OK</v>
      </c>
      <c r="X958" s="7" t="str">
        <f aca="false">IF(TEXT(H958,"dddd")&lt;&gt;I958,"Mismatch","OK")</f>
        <v>OK</v>
      </c>
      <c r="Y958" s="7" t="str">
        <f aca="false">IF(AND(N958="No",O958&lt;&gt;""),"Unexpected: channel present but no reminder sent",IF(AND(N958="Yes",O958=""),"Missing channel for sent reminder","OK"))</f>
        <v>OK</v>
      </c>
    </row>
    <row r="959" customFormat="false" ht="15" hidden="false" customHeight="false" outlineLevel="0" collapsed="false">
      <c r="A959" s="9" t="s">
        <v>1774</v>
      </c>
      <c r="B959" s="9" t="s">
        <v>1775</v>
      </c>
      <c r="C959" s="9" t="s">
        <v>37</v>
      </c>
      <c r="D959" s="9" t="n">
        <v>54</v>
      </c>
      <c r="E959" s="9" t="s">
        <v>56</v>
      </c>
      <c r="F959" s="9" t="s">
        <v>74</v>
      </c>
      <c r="G959" s="10" t="n">
        <v>45961</v>
      </c>
      <c r="H959" s="10" t="n">
        <v>46004</v>
      </c>
      <c r="I959" s="9" t="s">
        <v>102</v>
      </c>
      <c r="J959" s="9" t="s">
        <v>41</v>
      </c>
      <c r="K959" s="9" t="n">
        <v>43</v>
      </c>
      <c r="L959" s="9" t="n">
        <v>1</v>
      </c>
      <c r="M959" s="9" t="n">
        <v>1</v>
      </c>
      <c r="N959" s="9" t="s">
        <v>42</v>
      </c>
      <c r="O959" s="9" t="s">
        <v>43</v>
      </c>
      <c r="P959" s="9" t="n">
        <v>3.2</v>
      </c>
      <c r="Q959" s="9" t="n">
        <v>12</v>
      </c>
      <c r="R959" s="9" t="s">
        <v>44</v>
      </c>
      <c r="S959" s="9"/>
      <c r="T959" s="9"/>
      <c r="U959" s="9" t="str">
        <f aca="false">IF(COUNTIF($A$2:$A$5001,A959)&gt;1,"Duplicate","Unique")</f>
        <v>Unique</v>
      </c>
      <c r="V959" s="9" t="str">
        <f aca="false">IF(COUNTIFS($B$2:$B$5001,B959,$H$2:$H$5001,H959,$J$2:$J$5001,J959)&gt;1,"Possible Duplicate Booking","Unique")</f>
        <v>Unique</v>
      </c>
      <c r="W959" s="9" t="str">
        <f aca="false">IF((H959-G959)&lt;&gt;K959,"Mismatch","OK")</f>
        <v>OK</v>
      </c>
      <c r="X959" s="9" t="str">
        <f aca="false">IF(TEXT(H959,"dddd")&lt;&gt;I959,"Mismatch","OK")</f>
        <v>OK</v>
      </c>
      <c r="Y959" s="9" t="str">
        <f aca="false">IF(AND(N959="No",O959&lt;&gt;""),"Unexpected: channel present but no reminder sent",IF(AND(N959="Yes",O959=""),"Missing channel for sent reminder","OK"))</f>
        <v>OK</v>
      </c>
    </row>
    <row r="960" customFormat="false" ht="15" hidden="false" customHeight="false" outlineLevel="0" collapsed="false">
      <c r="A960" s="7" t="s">
        <v>1776</v>
      </c>
      <c r="B960" s="7" t="s">
        <v>1777</v>
      </c>
      <c r="C960" s="7" t="s">
        <v>47</v>
      </c>
      <c r="D960" s="7" t="n">
        <v>59</v>
      </c>
      <c r="E960" s="7" t="s">
        <v>61</v>
      </c>
      <c r="F960" s="7" t="s">
        <v>39</v>
      </c>
      <c r="G960" s="8" t="n">
        <v>46151</v>
      </c>
      <c r="H960" s="8" t="n">
        <v>46188</v>
      </c>
      <c r="I960" s="7" t="s">
        <v>66</v>
      </c>
      <c r="J960" s="7" t="s">
        <v>41</v>
      </c>
      <c r="K960" s="7" t="n">
        <v>37</v>
      </c>
      <c r="L960" s="7" t="n">
        <v>5</v>
      </c>
      <c r="M960" s="7" t="n">
        <v>2</v>
      </c>
      <c r="N960" s="7" t="s">
        <v>71</v>
      </c>
      <c r="O960" s="7"/>
      <c r="P960" s="7" t="n">
        <v>16</v>
      </c>
      <c r="Q960" s="7" t="n">
        <v>22</v>
      </c>
      <c r="R960" s="7" t="s">
        <v>44</v>
      </c>
      <c r="S960" s="7"/>
      <c r="T960" s="7"/>
      <c r="U960" s="7" t="str">
        <f aca="false">IF(COUNTIF($A$2:$A$5001,A960)&gt;1,"Duplicate","Unique")</f>
        <v>Unique</v>
      </c>
      <c r="V960" s="7" t="str">
        <f aca="false">IF(COUNTIFS($B$2:$B$5001,B960,$H$2:$H$5001,H960,$J$2:$J$5001,J960)&gt;1,"Possible Duplicate Booking","Unique")</f>
        <v>Unique</v>
      </c>
      <c r="W960" s="7" t="str">
        <f aca="false">IF((H960-G960)&lt;&gt;K960,"Mismatch","OK")</f>
        <v>OK</v>
      </c>
      <c r="X960" s="7" t="str">
        <f aca="false">IF(TEXT(H960,"dddd")&lt;&gt;I960,"Mismatch","OK")</f>
        <v>OK</v>
      </c>
      <c r="Y960" s="7" t="str">
        <f aca="false">IF(AND(N960="No",O960&lt;&gt;""),"Unexpected: channel present but no reminder sent",IF(AND(N960="Yes",O960=""),"Missing channel for sent reminder","OK"))</f>
        <v>OK</v>
      </c>
    </row>
    <row r="961" customFormat="false" ht="15" hidden="false" customHeight="false" outlineLevel="0" collapsed="false">
      <c r="A961" s="9" t="s">
        <v>1778</v>
      </c>
      <c r="B961" s="9" t="s">
        <v>1618</v>
      </c>
      <c r="C961" s="9" t="s">
        <v>47</v>
      </c>
      <c r="D961" s="9" t="n">
        <v>80</v>
      </c>
      <c r="E961" s="9" t="s">
        <v>70</v>
      </c>
      <c r="F961" s="9" t="s">
        <v>39</v>
      </c>
      <c r="G961" s="10" t="n">
        <v>45829</v>
      </c>
      <c r="H961" s="10" t="n">
        <v>45882</v>
      </c>
      <c r="I961" s="9" t="s">
        <v>58</v>
      </c>
      <c r="J961" s="9" t="s">
        <v>41</v>
      </c>
      <c r="K961" s="9" t="n">
        <v>53</v>
      </c>
      <c r="L961" s="9" t="n">
        <v>5</v>
      </c>
      <c r="M961" s="9" t="n">
        <v>1</v>
      </c>
      <c r="N961" s="9" t="s">
        <v>42</v>
      </c>
      <c r="O961" s="9" t="s">
        <v>52</v>
      </c>
      <c r="P961" s="9" t="n">
        <v>15.8</v>
      </c>
      <c r="Q961" s="9" t="n">
        <v>45</v>
      </c>
      <c r="R961" s="9" t="s">
        <v>44</v>
      </c>
      <c r="S961" s="9"/>
      <c r="T961" s="9"/>
      <c r="U961" s="9" t="str">
        <f aca="false">IF(COUNTIF($A$2:$A$5001,A961)&gt;1,"Duplicate","Unique")</f>
        <v>Unique</v>
      </c>
      <c r="V961" s="9" t="str">
        <f aca="false">IF(COUNTIFS($B$2:$B$5001,B961,$H$2:$H$5001,H961,$J$2:$J$5001,J961)&gt;1,"Possible Duplicate Booking","Unique")</f>
        <v>Unique</v>
      </c>
      <c r="W961" s="9" t="str">
        <f aca="false">IF((H961-G961)&lt;&gt;K961,"Mismatch","OK")</f>
        <v>OK</v>
      </c>
      <c r="X961" s="9" t="str">
        <f aca="false">IF(TEXT(H961,"dddd")&lt;&gt;I961,"Mismatch","OK")</f>
        <v>OK</v>
      </c>
      <c r="Y961" s="9" t="str">
        <f aca="false">IF(AND(N961="No",O961&lt;&gt;""),"Unexpected: channel present but no reminder sent",IF(AND(N961="Yes",O961=""),"Missing channel for sent reminder","OK"))</f>
        <v>OK</v>
      </c>
    </row>
    <row r="962" customFormat="false" ht="15" hidden="false" customHeight="false" outlineLevel="0" collapsed="false">
      <c r="A962" s="7" t="s">
        <v>1779</v>
      </c>
      <c r="B962" s="7" t="s">
        <v>1780</v>
      </c>
      <c r="C962" s="7" t="s">
        <v>37</v>
      </c>
      <c r="D962" s="7" t="n">
        <v>65</v>
      </c>
      <c r="E962" s="7" t="s">
        <v>70</v>
      </c>
      <c r="F962" s="7" t="s">
        <v>74</v>
      </c>
      <c r="G962" s="8" t="n">
        <v>45731</v>
      </c>
      <c r="H962" s="8" t="n">
        <v>45741</v>
      </c>
      <c r="I962" s="7" t="s">
        <v>40</v>
      </c>
      <c r="J962" s="7" t="s">
        <v>51</v>
      </c>
      <c r="K962" s="7" t="n">
        <v>10</v>
      </c>
      <c r="L962" s="7" t="n">
        <v>6</v>
      </c>
      <c r="M962" s="7" t="n">
        <v>1</v>
      </c>
      <c r="N962" s="7" t="s">
        <v>42</v>
      </c>
      <c r="O962" s="7" t="s">
        <v>52</v>
      </c>
      <c r="P962" s="7" t="n">
        <v>4.8</v>
      </c>
      <c r="Q962" s="7" t="n">
        <v>52</v>
      </c>
      <c r="R962" s="7" t="s">
        <v>53</v>
      </c>
      <c r="S962" s="7"/>
      <c r="T962" s="7"/>
      <c r="U962" s="7" t="str">
        <f aca="false">IF(COUNTIF($A$2:$A$5001,A962)&gt;1,"Duplicate","Unique")</f>
        <v>Unique</v>
      </c>
      <c r="V962" s="7" t="str">
        <f aca="false">IF(COUNTIFS($B$2:$B$5001,B962,$H$2:$H$5001,H962,$J$2:$J$5001,J962)&gt;1,"Possible Duplicate Booking","Unique")</f>
        <v>Unique</v>
      </c>
      <c r="W962" s="7" t="str">
        <f aca="false">IF((H962-G962)&lt;&gt;K962,"Mismatch","OK")</f>
        <v>OK</v>
      </c>
      <c r="X962" s="7" t="str">
        <f aca="false">IF(TEXT(H962,"dddd")&lt;&gt;I962,"Mismatch","OK")</f>
        <v>OK</v>
      </c>
      <c r="Y962" s="7" t="str">
        <f aca="false">IF(AND(N962="No",O962&lt;&gt;""),"Unexpected: channel present but no reminder sent",IF(AND(N962="Yes",O962=""),"Missing channel for sent reminder","OK"))</f>
        <v>OK</v>
      </c>
    </row>
    <row r="963" customFormat="false" ht="15" hidden="false" customHeight="false" outlineLevel="0" collapsed="false">
      <c r="A963" s="9" t="s">
        <v>1781</v>
      </c>
      <c r="B963" s="9" t="s">
        <v>55</v>
      </c>
      <c r="C963" s="9" t="s">
        <v>37</v>
      </c>
      <c r="D963" s="9" t="n">
        <v>19</v>
      </c>
      <c r="E963" s="9" t="s">
        <v>82</v>
      </c>
      <c r="F963" s="9" t="s">
        <v>39</v>
      </c>
      <c r="G963" s="10" t="n">
        <v>45844</v>
      </c>
      <c r="H963" s="10" t="n">
        <v>45881</v>
      </c>
      <c r="I963" s="9" t="s">
        <v>40</v>
      </c>
      <c r="J963" s="9" t="s">
        <v>41</v>
      </c>
      <c r="K963" s="9" t="n">
        <v>37</v>
      </c>
      <c r="L963" s="9" t="n">
        <v>2</v>
      </c>
      <c r="M963" s="9" t="n">
        <v>0</v>
      </c>
      <c r="N963" s="9" t="s">
        <v>71</v>
      </c>
      <c r="O963" s="9"/>
      <c r="P963" s="9" t="n">
        <v>2.8</v>
      </c>
      <c r="Q963" s="9" t="n">
        <v>15</v>
      </c>
      <c r="R963" s="9" t="s">
        <v>44</v>
      </c>
      <c r="S963" s="9"/>
      <c r="T963" s="9"/>
      <c r="U963" s="9" t="str">
        <f aca="false">IF(COUNTIF($A$2:$A$5001,A963)&gt;1,"Duplicate","Unique")</f>
        <v>Unique</v>
      </c>
      <c r="V963" s="9" t="str">
        <f aca="false">IF(COUNTIFS($B$2:$B$5001,B963,$H$2:$H$5001,H963,$J$2:$J$5001,J963)&gt;1,"Possible Duplicate Booking","Unique")</f>
        <v>Unique</v>
      </c>
      <c r="W963" s="9" t="str">
        <f aca="false">IF((H963-G963)&lt;&gt;K963,"Mismatch","OK")</f>
        <v>OK</v>
      </c>
      <c r="X963" s="9" t="str">
        <f aca="false">IF(TEXT(H963,"dddd")&lt;&gt;I963,"Mismatch","OK")</f>
        <v>OK</v>
      </c>
      <c r="Y963" s="9" t="str">
        <f aca="false">IF(AND(N963="No",O963&lt;&gt;""),"Unexpected: channel present but no reminder sent",IF(AND(N963="Yes",O963=""),"Missing channel for sent reminder","OK"))</f>
        <v>OK</v>
      </c>
    </row>
    <row r="964" customFormat="false" ht="15" hidden="false" customHeight="false" outlineLevel="0" collapsed="false">
      <c r="A964" s="7" t="s">
        <v>1782</v>
      </c>
      <c r="B964" s="7" t="s">
        <v>1401</v>
      </c>
      <c r="C964" s="7" t="s">
        <v>37</v>
      </c>
      <c r="D964" s="7" t="n">
        <v>23</v>
      </c>
      <c r="E964" s="7" t="s">
        <v>82</v>
      </c>
      <c r="F964" s="7" t="s">
        <v>39</v>
      </c>
      <c r="G964" s="8" t="n">
        <v>46066</v>
      </c>
      <c r="H964" s="8" t="n">
        <v>46116</v>
      </c>
      <c r="I964" s="7" t="s">
        <v>102</v>
      </c>
      <c r="J964" s="7" t="s">
        <v>41</v>
      </c>
      <c r="K964" s="7" t="n">
        <v>50</v>
      </c>
      <c r="L964" s="7" t="n">
        <v>1</v>
      </c>
      <c r="M964" s="7" t="n">
        <v>1</v>
      </c>
      <c r="N964" s="7" t="s">
        <v>42</v>
      </c>
      <c r="O964" s="7" t="s">
        <v>52</v>
      </c>
      <c r="P964" s="7" t="n">
        <v>8.7</v>
      </c>
      <c r="Q964" s="7" t="n">
        <v>24</v>
      </c>
      <c r="R964" s="7" t="s">
        <v>44</v>
      </c>
      <c r="S964" s="7"/>
      <c r="T964" s="7"/>
      <c r="U964" s="7" t="str">
        <f aca="false">IF(COUNTIF($A$2:$A$5001,A964)&gt;1,"Duplicate","Unique")</f>
        <v>Unique</v>
      </c>
      <c r="V964" s="7" t="str">
        <f aca="false">IF(COUNTIFS($B$2:$B$5001,B964,$H$2:$H$5001,H964,$J$2:$J$5001,J964)&gt;1,"Possible Duplicate Booking","Unique")</f>
        <v>Unique</v>
      </c>
      <c r="W964" s="7" t="str">
        <f aca="false">IF((H964-G964)&lt;&gt;K964,"Mismatch","OK")</f>
        <v>OK</v>
      </c>
      <c r="X964" s="7" t="str">
        <f aca="false">IF(TEXT(H964,"dddd")&lt;&gt;I964,"Mismatch","OK")</f>
        <v>OK</v>
      </c>
      <c r="Y964" s="7" t="str">
        <f aca="false">IF(AND(N964="No",O964&lt;&gt;""),"Unexpected: channel present but no reminder sent",IF(AND(N964="Yes",O964=""),"Missing channel for sent reminder","OK"))</f>
        <v>OK</v>
      </c>
    </row>
    <row r="965" customFormat="false" ht="15" hidden="false" customHeight="false" outlineLevel="0" collapsed="false">
      <c r="A965" s="9" t="s">
        <v>1783</v>
      </c>
      <c r="B965" s="9" t="s">
        <v>1784</v>
      </c>
      <c r="C965" s="9" t="s">
        <v>37</v>
      </c>
      <c r="D965" s="9" t="n">
        <v>18</v>
      </c>
      <c r="E965" s="9" t="s">
        <v>82</v>
      </c>
      <c r="F965" s="9" t="s">
        <v>49</v>
      </c>
      <c r="G965" s="10" t="n">
        <v>45760</v>
      </c>
      <c r="H965" s="10" t="n">
        <v>45776</v>
      </c>
      <c r="I965" s="9" t="s">
        <v>40</v>
      </c>
      <c r="J965" s="9" t="s">
        <v>51</v>
      </c>
      <c r="K965" s="9" t="n">
        <v>16</v>
      </c>
      <c r="L965" s="9" t="n">
        <v>3</v>
      </c>
      <c r="M965" s="9" t="n">
        <v>0</v>
      </c>
      <c r="N965" s="9" t="s">
        <v>42</v>
      </c>
      <c r="O965" s="9" t="s">
        <v>43</v>
      </c>
      <c r="P965" s="9" t="n">
        <v>8.3</v>
      </c>
      <c r="Q965" s="9" t="n">
        <v>22</v>
      </c>
      <c r="R965" s="9" t="s">
        <v>44</v>
      </c>
      <c r="S965" s="9"/>
      <c r="T965" s="9"/>
      <c r="U965" s="9" t="str">
        <f aca="false">IF(COUNTIF($A$2:$A$5001,A965)&gt;1,"Duplicate","Unique")</f>
        <v>Unique</v>
      </c>
      <c r="V965" s="9" t="str">
        <f aca="false">IF(COUNTIFS($B$2:$B$5001,B965,$H$2:$H$5001,H965,$J$2:$J$5001,J965)&gt;1,"Possible Duplicate Booking","Unique")</f>
        <v>Unique</v>
      </c>
      <c r="W965" s="9" t="str">
        <f aca="false">IF((H965-G965)&lt;&gt;K965,"Mismatch","OK")</f>
        <v>OK</v>
      </c>
      <c r="X965" s="9" t="str">
        <f aca="false">IF(TEXT(H965,"dddd")&lt;&gt;I965,"Mismatch","OK")</f>
        <v>OK</v>
      </c>
      <c r="Y965" s="9" t="str">
        <f aca="false">IF(AND(N965="No",O965&lt;&gt;""),"Unexpected: channel present but no reminder sent",IF(AND(N965="Yes",O965=""),"Missing channel for sent reminder","OK"))</f>
        <v>OK</v>
      </c>
    </row>
    <row r="966" customFormat="false" ht="15" hidden="false" customHeight="false" outlineLevel="0" collapsed="false">
      <c r="A966" s="7" t="s">
        <v>1785</v>
      </c>
      <c r="B966" s="7" t="s">
        <v>1660</v>
      </c>
      <c r="C966" s="7" t="s">
        <v>47</v>
      </c>
      <c r="D966" s="7" t="n">
        <v>42</v>
      </c>
      <c r="E966" s="7" t="s">
        <v>38</v>
      </c>
      <c r="F966" s="7" t="s">
        <v>39</v>
      </c>
      <c r="G966" s="8" t="n">
        <v>46131</v>
      </c>
      <c r="H966" s="8" t="n">
        <v>46176</v>
      </c>
      <c r="I966" s="7" t="s">
        <v>58</v>
      </c>
      <c r="J966" s="7" t="s">
        <v>41</v>
      </c>
      <c r="K966" s="7" t="n">
        <v>45</v>
      </c>
      <c r="L966" s="7" t="n">
        <v>3</v>
      </c>
      <c r="M966" s="7" t="n">
        <v>1</v>
      </c>
      <c r="N966" s="7" t="s">
        <v>71</v>
      </c>
      <c r="O966" s="7"/>
      <c r="P966" s="7" t="n">
        <v>14.3</v>
      </c>
      <c r="Q966" s="7" t="n">
        <v>24</v>
      </c>
      <c r="R966" s="7" t="s">
        <v>44</v>
      </c>
      <c r="S966" s="7"/>
      <c r="T966" s="7"/>
      <c r="U966" s="7" t="str">
        <f aca="false">IF(COUNTIF($A$2:$A$5001,A966)&gt;1,"Duplicate","Unique")</f>
        <v>Unique</v>
      </c>
      <c r="V966" s="7" t="str">
        <f aca="false">IF(COUNTIFS($B$2:$B$5001,B966,$H$2:$H$5001,H966,$J$2:$J$5001,J966)&gt;1,"Possible Duplicate Booking","Unique")</f>
        <v>Unique</v>
      </c>
      <c r="W966" s="7" t="str">
        <f aca="false">IF((H966-G966)&lt;&gt;K966,"Mismatch","OK")</f>
        <v>OK</v>
      </c>
      <c r="X966" s="7" t="str">
        <f aca="false">IF(TEXT(H966,"dddd")&lt;&gt;I966,"Mismatch","OK")</f>
        <v>OK</v>
      </c>
      <c r="Y966" s="7" t="str">
        <f aca="false">IF(AND(N966="No",O966&lt;&gt;""),"Unexpected: channel present but no reminder sent",IF(AND(N966="Yes",O966=""),"Missing channel for sent reminder","OK"))</f>
        <v>OK</v>
      </c>
    </row>
    <row r="967" customFormat="false" ht="15" hidden="false" customHeight="false" outlineLevel="0" collapsed="false">
      <c r="A967" s="9" t="s">
        <v>1786</v>
      </c>
      <c r="B967" s="9" t="s">
        <v>480</v>
      </c>
      <c r="C967" s="9" t="s">
        <v>37</v>
      </c>
      <c r="D967" s="9" t="n">
        <v>40</v>
      </c>
      <c r="E967" s="9" t="s">
        <v>38</v>
      </c>
      <c r="F967" s="9" t="s">
        <v>39</v>
      </c>
      <c r="G967" s="10" t="n">
        <v>45973</v>
      </c>
      <c r="H967" s="10" t="n">
        <v>45979</v>
      </c>
      <c r="I967" s="9" t="s">
        <v>40</v>
      </c>
      <c r="J967" s="9" t="s">
        <v>51</v>
      </c>
      <c r="K967" s="9" t="n">
        <v>6</v>
      </c>
      <c r="L967" s="9" t="n">
        <v>2</v>
      </c>
      <c r="M967" s="9" t="n">
        <v>0</v>
      </c>
      <c r="N967" s="9" t="s">
        <v>42</v>
      </c>
      <c r="O967" s="9" t="s">
        <v>43</v>
      </c>
      <c r="P967" s="9" t="n">
        <v>6.8</v>
      </c>
      <c r="Q967" s="9" t="n">
        <v>42</v>
      </c>
      <c r="R967" s="9" t="s">
        <v>53</v>
      </c>
      <c r="S967" s="9"/>
      <c r="T967" s="9"/>
      <c r="U967" s="9" t="str">
        <f aca="false">IF(COUNTIF($A$2:$A$5001,A967)&gt;1,"Duplicate","Unique")</f>
        <v>Unique</v>
      </c>
      <c r="V967" s="9" t="str">
        <f aca="false">IF(COUNTIFS($B$2:$B$5001,B967,$H$2:$H$5001,H967,$J$2:$J$5001,J967)&gt;1,"Possible Duplicate Booking","Unique")</f>
        <v>Unique</v>
      </c>
      <c r="W967" s="9" t="str">
        <f aca="false">IF((H967-G967)&lt;&gt;K967,"Mismatch","OK")</f>
        <v>OK</v>
      </c>
      <c r="X967" s="9" t="str">
        <f aca="false">IF(TEXT(H967,"dddd")&lt;&gt;I967,"Mismatch","OK")</f>
        <v>OK</v>
      </c>
      <c r="Y967" s="9" t="str">
        <f aca="false">IF(AND(N967="No",O967&lt;&gt;""),"Unexpected: channel present but no reminder sent",IF(AND(N967="Yes",O967=""),"Missing channel for sent reminder","OK"))</f>
        <v>OK</v>
      </c>
    </row>
    <row r="968" customFormat="false" ht="15" hidden="false" customHeight="false" outlineLevel="0" collapsed="false">
      <c r="A968" s="7" t="s">
        <v>1787</v>
      </c>
      <c r="B968" s="7" t="s">
        <v>1788</v>
      </c>
      <c r="C968" s="7" t="s">
        <v>37</v>
      </c>
      <c r="D968" s="7" t="n">
        <v>76</v>
      </c>
      <c r="E968" s="7" t="s">
        <v>70</v>
      </c>
      <c r="F968" s="7" t="s">
        <v>57</v>
      </c>
      <c r="G968" s="8" t="n">
        <v>45943</v>
      </c>
      <c r="H968" s="8" t="n">
        <v>45986</v>
      </c>
      <c r="I968" s="7" t="s">
        <v>40</v>
      </c>
      <c r="J968" s="7" t="s">
        <v>51</v>
      </c>
      <c r="K968" s="7" t="n">
        <v>43</v>
      </c>
      <c r="L968" s="7" t="n">
        <v>5</v>
      </c>
      <c r="M968" s="7" t="n">
        <v>1</v>
      </c>
      <c r="N968" s="7" t="s">
        <v>42</v>
      </c>
      <c r="O968" s="7" t="s">
        <v>52</v>
      </c>
      <c r="P968" s="7" t="n">
        <v>21.5</v>
      </c>
      <c r="Q968" s="7" t="n">
        <v>20</v>
      </c>
      <c r="R968" s="7" t="s">
        <v>44</v>
      </c>
      <c r="S968" s="7"/>
      <c r="T968" s="7"/>
      <c r="U968" s="7" t="str">
        <f aca="false">IF(COUNTIF($A$2:$A$5001,A968)&gt;1,"Duplicate","Unique")</f>
        <v>Unique</v>
      </c>
      <c r="V968" s="7" t="str">
        <f aca="false">IF(COUNTIFS($B$2:$B$5001,B968,$H$2:$H$5001,H968,$J$2:$J$5001,J968)&gt;1,"Possible Duplicate Booking","Unique")</f>
        <v>Unique</v>
      </c>
      <c r="W968" s="7" t="str">
        <f aca="false">IF((H968-G968)&lt;&gt;K968,"Mismatch","OK")</f>
        <v>OK</v>
      </c>
      <c r="X968" s="7" t="str">
        <f aca="false">IF(TEXT(H968,"dddd")&lt;&gt;I968,"Mismatch","OK")</f>
        <v>OK</v>
      </c>
      <c r="Y968" s="7" t="str">
        <f aca="false">IF(AND(N968="No",O968&lt;&gt;""),"Unexpected: channel present but no reminder sent",IF(AND(N968="Yes",O968=""),"Missing channel for sent reminder","OK"))</f>
        <v>OK</v>
      </c>
    </row>
    <row r="969" customFormat="false" ht="15" hidden="false" customHeight="false" outlineLevel="0" collapsed="false">
      <c r="A969" s="9" t="s">
        <v>1789</v>
      </c>
      <c r="B969" s="9" t="s">
        <v>714</v>
      </c>
      <c r="C969" s="9" t="s">
        <v>37</v>
      </c>
      <c r="D969" s="9" t="n">
        <v>41</v>
      </c>
      <c r="E969" s="9" t="s">
        <v>38</v>
      </c>
      <c r="F969" s="9" t="s">
        <v>39</v>
      </c>
      <c r="G969" s="10" t="n">
        <v>45795</v>
      </c>
      <c r="H969" s="10" t="n">
        <v>45831</v>
      </c>
      <c r="I969" s="9" t="s">
        <v>66</v>
      </c>
      <c r="J969" s="9" t="s">
        <v>41</v>
      </c>
      <c r="K969" s="9" t="n">
        <v>36</v>
      </c>
      <c r="L969" s="9" t="n">
        <v>0</v>
      </c>
      <c r="M969" s="9" t="n">
        <v>0</v>
      </c>
      <c r="N969" s="9" t="s">
        <v>42</v>
      </c>
      <c r="O969" s="9" t="s">
        <v>52</v>
      </c>
      <c r="P969" s="9" t="n">
        <v>11.5</v>
      </c>
      <c r="Q969" s="9" t="n">
        <v>15</v>
      </c>
      <c r="R969" s="9" t="s">
        <v>44</v>
      </c>
      <c r="S969" s="9"/>
      <c r="T969" s="9"/>
      <c r="U969" s="9" t="str">
        <f aca="false">IF(COUNTIF($A$2:$A$5001,A969)&gt;1,"Duplicate","Unique")</f>
        <v>Unique</v>
      </c>
      <c r="V969" s="9" t="str">
        <f aca="false">IF(COUNTIFS($B$2:$B$5001,B969,$H$2:$H$5001,H969,$J$2:$J$5001,J969)&gt;1,"Possible Duplicate Booking","Unique")</f>
        <v>Unique</v>
      </c>
      <c r="W969" s="9" t="str">
        <f aca="false">IF((H969-G969)&lt;&gt;K969,"Mismatch","OK")</f>
        <v>OK</v>
      </c>
      <c r="X969" s="9" t="str">
        <f aca="false">IF(TEXT(H969,"dddd")&lt;&gt;I969,"Mismatch","OK")</f>
        <v>OK</v>
      </c>
      <c r="Y969" s="9" t="str">
        <f aca="false">IF(AND(N969="No",O969&lt;&gt;""),"Unexpected: channel present but no reminder sent",IF(AND(N969="Yes",O969=""),"Missing channel for sent reminder","OK"))</f>
        <v>OK</v>
      </c>
    </row>
    <row r="970" customFormat="false" ht="15" hidden="false" customHeight="false" outlineLevel="0" collapsed="false">
      <c r="A970" s="7" t="s">
        <v>1790</v>
      </c>
      <c r="B970" s="7" t="s">
        <v>1791</v>
      </c>
      <c r="C970" s="7" t="s">
        <v>47</v>
      </c>
      <c r="D970" s="7" t="n">
        <v>19</v>
      </c>
      <c r="E970" s="7" t="s">
        <v>82</v>
      </c>
      <c r="F970" s="7" t="s">
        <v>39</v>
      </c>
      <c r="G970" s="8" t="n">
        <v>46149</v>
      </c>
      <c r="H970" s="8" t="n">
        <v>46160</v>
      </c>
      <c r="I970" s="7" t="s">
        <v>66</v>
      </c>
      <c r="J970" s="7" t="s">
        <v>51</v>
      </c>
      <c r="K970" s="7" t="n">
        <v>11</v>
      </c>
      <c r="L970" s="7" t="n">
        <v>1</v>
      </c>
      <c r="M970" s="7" t="n">
        <v>0</v>
      </c>
      <c r="N970" s="7" t="s">
        <v>42</v>
      </c>
      <c r="O970" s="7" t="s">
        <v>43</v>
      </c>
      <c r="P970" s="7" t="n">
        <v>23.8</v>
      </c>
      <c r="Q970" s="7" t="n">
        <v>19</v>
      </c>
      <c r="R970" s="7" t="s">
        <v>44</v>
      </c>
      <c r="S970" s="7"/>
      <c r="T970" s="7"/>
      <c r="U970" s="7" t="str">
        <f aca="false">IF(COUNTIF($A$2:$A$5001,A970)&gt;1,"Duplicate","Unique")</f>
        <v>Unique</v>
      </c>
      <c r="V970" s="7" t="str">
        <f aca="false">IF(COUNTIFS($B$2:$B$5001,B970,$H$2:$H$5001,H970,$J$2:$J$5001,J970)&gt;1,"Possible Duplicate Booking","Unique")</f>
        <v>Unique</v>
      </c>
      <c r="W970" s="7" t="str">
        <f aca="false">IF((H970-G970)&lt;&gt;K970,"Mismatch","OK")</f>
        <v>OK</v>
      </c>
      <c r="X970" s="7" t="str">
        <f aca="false">IF(TEXT(H970,"dddd")&lt;&gt;I970,"Mismatch","OK")</f>
        <v>OK</v>
      </c>
      <c r="Y970" s="7" t="str">
        <f aca="false">IF(AND(N970="No",O970&lt;&gt;""),"Unexpected: channel present but no reminder sent",IF(AND(N970="Yes",O970=""),"Missing channel for sent reminder","OK"))</f>
        <v>OK</v>
      </c>
    </row>
    <row r="971" customFormat="false" ht="15" hidden="false" customHeight="false" outlineLevel="0" collapsed="false">
      <c r="A971" s="9" t="s">
        <v>1792</v>
      </c>
      <c r="B971" s="9" t="s">
        <v>1788</v>
      </c>
      <c r="C971" s="9" t="s">
        <v>37</v>
      </c>
      <c r="D971" s="9" t="n">
        <v>73</v>
      </c>
      <c r="E971" s="9" t="s">
        <v>70</v>
      </c>
      <c r="F971" s="9" t="s">
        <v>57</v>
      </c>
      <c r="G971" s="10" t="n">
        <v>45673</v>
      </c>
      <c r="H971" s="10" t="n">
        <v>45677</v>
      </c>
      <c r="I971" s="9" t="s">
        <v>66</v>
      </c>
      <c r="J971" s="9" t="s">
        <v>51</v>
      </c>
      <c r="K971" s="9" t="n">
        <v>4</v>
      </c>
      <c r="L971" s="9" t="n">
        <v>0</v>
      </c>
      <c r="M971" s="9" t="n">
        <v>0</v>
      </c>
      <c r="N971" s="9" t="s">
        <v>71</v>
      </c>
      <c r="O971" s="9"/>
      <c r="P971" s="9" t="n">
        <v>2.7</v>
      </c>
      <c r="Q971" s="9" t="n">
        <v>22</v>
      </c>
      <c r="R971" s="9" t="s">
        <v>53</v>
      </c>
      <c r="S971" s="9"/>
      <c r="T971" s="9"/>
      <c r="U971" s="9" t="str">
        <f aca="false">IF(COUNTIF($A$2:$A$5001,A971)&gt;1,"Duplicate","Unique")</f>
        <v>Unique</v>
      </c>
      <c r="V971" s="9" t="str">
        <f aca="false">IF(COUNTIFS($B$2:$B$5001,B971,$H$2:$H$5001,H971,$J$2:$J$5001,J971)&gt;1,"Possible Duplicate Booking","Unique")</f>
        <v>Unique</v>
      </c>
      <c r="W971" s="9" t="str">
        <f aca="false">IF((H971-G971)&lt;&gt;K971,"Mismatch","OK")</f>
        <v>OK</v>
      </c>
      <c r="X971" s="9" t="str">
        <f aca="false">IF(TEXT(H971,"dddd")&lt;&gt;I971,"Mismatch","OK")</f>
        <v>OK</v>
      </c>
      <c r="Y971" s="9" t="str">
        <f aca="false">IF(AND(N971="No",O971&lt;&gt;""),"Unexpected: channel present but no reminder sent",IF(AND(N971="Yes",O971=""),"Missing channel for sent reminder","OK"))</f>
        <v>OK</v>
      </c>
    </row>
    <row r="972" customFormat="false" ht="15" hidden="false" customHeight="false" outlineLevel="0" collapsed="false">
      <c r="A972" s="7" t="s">
        <v>1793</v>
      </c>
      <c r="B972" s="7" t="s">
        <v>1794</v>
      </c>
      <c r="C972" s="7" t="s">
        <v>37</v>
      </c>
      <c r="D972" s="7" t="n">
        <v>34</v>
      </c>
      <c r="E972" s="7" t="s">
        <v>48</v>
      </c>
      <c r="F972" s="7" t="s">
        <v>39</v>
      </c>
      <c r="G972" s="8" t="n">
        <v>45776</v>
      </c>
      <c r="H972" s="8" t="n">
        <v>45821</v>
      </c>
      <c r="I972" s="7" t="s">
        <v>50</v>
      </c>
      <c r="J972" s="7" t="s">
        <v>41</v>
      </c>
      <c r="K972" s="7" t="n">
        <v>45</v>
      </c>
      <c r="L972" s="7" t="n">
        <v>3</v>
      </c>
      <c r="M972" s="7" t="n">
        <v>1</v>
      </c>
      <c r="N972" s="7" t="s">
        <v>42</v>
      </c>
      <c r="O972" s="7" t="s">
        <v>52</v>
      </c>
      <c r="P972" s="7" t="n">
        <v>9.3</v>
      </c>
      <c r="Q972" s="7" t="n">
        <v>32</v>
      </c>
      <c r="R972" s="7" t="s">
        <v>53</v>
      </c>
      <c r="S972" s="7"/>
      <c r="T972" s="7"/>
      <c r="U972" s="7" t="str">
        <f aca="false">IF(COUNTIF($A$2:$A$5001,A972)&gt;1,"Duplicate","Unique")</f>
        <v>Unique</v>
      </c>
      <c r="V972" s="7" t="str">
        <f aca="false">IF(COUNTIFS($B$2:$B$5001,B972,$H$2:$H$5001,H972,$J$2:$J$5001,J972)&gt;1,"Possible Duplicate Booking","Unique")</f>
        <v>Unique</v>
      </c>
      <c r="W972" s="7" t="str">
        <f aca="false">IF((H972-G972)&lt;&gt;K972,"Mismatch","OK")</f>
        <v>OK</v>
      </c>
      <c r="X972" s="7" t="str">
        <f aca="false">IF(TEXT(H972,"dddd")&lt;&gt;I972,"Mismatch","OK")</f>
        <v>OK</v>
      </c>
      <c r="Y972" s="7" t="str">
        <f aca="false">IF(AND(N972="No",O972&lt;&gt;""),"Unexpected: channel present but no reminder sent",IF(AND(N972="Yes",O972=""),"Missing channel for sent reminder","OK"))</f>
        <v>OK</v>
      </c>
    </row>
    <row r="973" customFormat="false" ht="15" hidden="false" customHeight="false" outlineLevel="0" collapsed="false">
      <c r="A973" s="9" t="s">
        <v>1795</v>
      </c>
      <c r="B973" s="9" t="s">
        <v>562</v>
      </c>
      <c r="C973" s="9" t="s">
        <v>47</v>
      </c>
      <c r="D973" s="9" t="n">
        <v>75</v>
      </c>
      <c r="E973" s="9" t="s">
        <v>70</v>
      </c>
      <c r="F973" s="9" t="s">
        <v>49</v>
      </c>
      <c r="G973" s="10" t="n">
        <v>45872</v>
      </c>
      <c r="H973" s="10" t="n">
        <v>45886</v>
      </c>
      <c r="I973" s="9" t="s">
        <v>75</v>
      </c>
      <c r="J973" s="9" t="s">
        <v>41</v>
      </c>
      <c r="K973" s="9" t="n">
        <v>14</v>
      </c>
      <c r="L973" s="9" t="n">
        <v>4</v>
      </c>
      <c r="M973" s="9" t="n">
        <v>1</v>
      </c>
      <c r="N973" s="9" t="s">
        <v>42</v>
      </c>
      <c r="O973" s="9" t="s">
        <v>52</v>
      </c>
      <c r="P973" s="9" t="n">
        <v>20.4</v>
      </c>
      <c r="Q973" s="9" t="n">
        <v>25</v>
      </c>
      <c r="R973" s="9" t="s">
        <v>53</v>
      </c>
      <c r="S973" s="9"/>
      <c r="T973" s="9"/>
      <c r="U973" s="9" t="str">
        <f aca="false">IF(COUNTIF($A$2:$A$5001,A973)&gt;1,"Duplicate","Unique")</f>
        <v>Unique</v>
      </c>
      <c r="V973" s="9" t="str">
        <f aca="false">IF(COUNTIFS($B$2:$B$5001,B973,$H$2:$H$5001,H973,$J$2:$J$5001,J973)&gt;1,"Possible Duplicate Booking","Unique")</f>
        <v>Unique</v>
      </c>
      <c r="W973" s="9" t="str">
        <f aca="false">IF((H973-G973)&lt;&gt;K973,"Mismatch","OK")</f>
        <v>OK</v>
      </c>
      <c r="X973" s="9" t="str">
        <f aca="false">IF(TEXT(H973,"dddd")&lt;&gt;I973,"Mismatch","OK")</f>
        <v>OK</v>
      </c>
      <c r="Y973" s="9" t="str">
        <f aca="false">IF(AND(N973="No",O973&lt;&gt;""),"Unexpected: channel present but no reminder sent",IF(AND(N973="Yes",O973=""),"Missing channel for sent reminder","OK"))</f>
        <v>OK</v>
      </c>
    </row>
    <row r="974" customFormat="false" ht="15" hidden="false" customHeight="false" outlineLevel="0" collapsed="false">
      <c r="A974" s="7" t="s">
        <v>1796</v>
      </c>
      <c r="B974" s="7" t="s">
        <v>1797</v>
      </c>
      <c r="C974" s="7" t="s">
        <v>47</v>
      </c>
      <c r="D974" s="7" t="n">
        <v>66</v>
      </c>
      <c r="E974" s="7" t="s">
        <v>70</v>
      </c>
      <c r="F974" s="7" t="s">
        <v>57</v>
      </c>
      <c r="G974" s="8" t="n">
        <v>45888</v>
      </c>
      <c r="H974" s="8" t="n">
        <v>45918</v>
      </c>
      <c r="I974" s="7" t="s">
        <v>62</v>
      </c>
      <c r="J974" s="7" t="s">
        <v>51</v>
      </c>
      <c r="K974" s="7" t="n">
        <v>30</v>
      </c>
      <c r="L974" s="7" t="n">
        <v>1</v>
      </c>
      <c r="M974" s="7" t="n">
        <v>0</v>
      </c>
      <c r="N974" s="7" t="s">
        <v>71</v>
      </c>
      <c r="O974" s="7"/>
      <c r="P974" s="7"/>
      <c r="Q974" s="7" t="n">
        <v>31</v>
      </c>
      <c r="R974" s="7" t="s">
        <v>44</v>
      </c>
      <c r="S974" s="7"/>
      <c r="T974" s="7"/>
      <c r="U974" s="7" t="str">
        <f aca="false">IF(COUNTIF($A$2:$A$5001,A974)&gt;1,"Duplicate","Unique")</f>
        <v>Unique</v>
      </c>
      <c r="V974" s="7" t="str">
        <f aca="false">IF(COUNTIFS($B$2:$B$5001,B974,$H$2:$H$5001,H974,$J$2:$J$5001,J974)&gt;1,"Possible Duplicate Booking","Unique")</f>
        <v>Unique</v>
      </c>
      <c r="W974" s="7" t="str">
        <f aca="false">IF((H974-G974)&lt;&gt;K974,"Mismatch","OK")</f>
        <v>OK</v>
      </c>
      <c r="X974" s="7" t="str">
        <f aca="false">IF(TEXT(H974,"dddd")&lt;&gt;I974,"Mismatch","OK")</f>
        <v>OK</v>
      </c>
      <c r="Y974" s="7" t="str">
        <f aca="false">IF(AND(N974="No",O974&lt;&gt;""),"Unexpected: channel present but no reminder sent",IF(AND(N974="Yes",O974=""),"Missing channel for sent reminder","OK"))</f>
        <v>OK</v>
      </c>
    </row>
    <row r="975" customFormat="false" ht="15" hidden="false" customHeight="false" outlineLevel="0" collapsed="false">
      <c r="A975" s="9" t="s">
        <v>1798</v>
      </c>
      <c r="B975" s="9" t="s">
        <v>1799</v>
      </c>
      <c r="C975" s="9" t="s">
        <v>47</v>
      </c>
      <c r="D975" s="9" t="n">
        <v>73</v>
      </c>
      <c r="E975" s="9" t="s">
        <v>70</v>
      </c>
      <c r="F975" s="9" t="s">
        <v>57</v>
      </c>
      <c r="G975" s="10" t="n">
        <v>45913</v>
      </c>
      <c r="H975" s="10" t="n">
        <v>45916</v>
      </c>
      <c r="I975" s="9" t="s">
        <v>40</v>
      </c>
      <c r="J975" s="9" t="s">
        <v>51</v>
      </c>
      <c r="K975" s="9" t="n">
        <v>3</v>
      </c>
      <c r="L975" s="9" t="n">
        <v>4</v>
      </c>
      <c r="M975" s="9" t="n">
        <v>3</v>
      </c>
      <c r="N975" s="9" t="s">
        <v>42</v>
      </c>
      <c r="O975" s="9" t="s">
        <v>52</v>
      </c>
      <c r="P975" s="9" t="n">
        <v>15.1</v>
      </c>
      <c r="Q975" s="9" t="n">
        <v>36</v>
      </c>
      <c r="R975" s="9" t="s">
        <v>53</v>
      </c>
      <c r="S975" s="9"/>
      <c r="T975" s="9"/>
      <c r="U975" s="9" t="str">
        <f aca="false">IF(COUNTIF($A$2:$A$5001,A975)&gt;1,"Duplicate","Unique")</f>
        <v>Unique</v>
      </c>
      <c r="V975" s="9" t="str">
        <f aca="false">IF(COUNTIFS($B$2:$B$5001,B975,$H$2:$H$5001,H975,$J$2:$J$5001,J975)&gt;1,"Possible Duplicate Booking","Unique")</f>
        <v>Unique</v>
      </c>
      <c r="W975" s="9" t="str">
        <f aca="false">IF((H975-G975)&lt;&gt;K975,"Mismatch","OK")</f>
        <v>OK</v>
      </c>
      <c r="X975" s="9" t="str">
        <f aca="false">IF(TEXT(H975,"dddd")&lt;&gt;I975,"Mismatch","OK")</f>
        <v>OK</v>
      </c>
      <c r="Y975" s="9" t="str">
        <f aca="false">IF(AND(N975="No",O975&lt;&gt;""),"Unexpected: channel present but no reminder sent",IF(AND(N975="Yes",O975=""),"Missing channel for sent reminder","OK"))</f>
        <v>OK</v>
      </c>
    </row>
    <row r="976" customFormat="false" ht="15" hidden="false" customHeight="false" outlineLevel="0" collapsed="false">
      <c r="A976" s="7" t="s">
        <v>1800</v>
      </c>
      <c r="B976" s="7" t="s">
        <v>1030</v>
      </c>
      <c r="C976" s="7" t="s">
        <v>47</v>
      </c>
      <c r="D976" s="7" t="n">
        <v>69</v>
      </c>
      <c r="E976" s="7" t="s">
        <v>70</v>
      </c>
      <c r="F976" s="7" t="s">
        <v>57</v>
      </c>
      <c r="G976" s="8" t="n">
        <v>45680</v>
      </c>
      <c r="H976" s="8" t="n">
        <v>45738</v>
      </c>
      <c r="I976" s="7" t="s">
        <v>102</v>
      </c>
      <c r="J976" s="7" t="s">
        <v>51</v>
      </c>
      <c r="K976" s="7" t="n">
        <v>58</v>
      </c>
      <c r="L976" s="7" t="n">
        <v>3</v>
      </c>
      <c r="M976" s="7" t="n">
        <v>0</v>
      </c>
      <c r="N976" s="7" t="s">
        <v>42</v>
      </c>
      <c r="O976" s="7" t="s">
        <v>67</v>
      </c>
      <c r="P976" s="7" t="n">
        <v>1.9</v>
      </c>
      <c r="Q976" s="7" t="n">
        <v>21</v>
      </c>
      <c r="R976" s="7" t="s">
        <v>44</v>
      </c>
      <c r="S976" s="7"/>
      <c r="T976" s="7"/>
      <c r="U976" s="7" t="str">
        <f aca="false">IF(COUNTIF($A$2:$A$5001,A976)&gt;1,"Duplicate","Unique")</f>
        <v>Unique</v>
      </c>
      <c r="V976" s="7" t="str">
        <f aca="false">IF(COUNTIFS($B$2:$B$5001,B976,$H$2:$H$5001,H976,$J$2:$J$5001,J976)&gt;1,"Possible Duplicate Booking","Unique")</f>
        <v>Unique</v>
      </c>
      <c r="W976" s="7" t="str">
        <f aca="false">IF((H976-G976)&lt;&gt;K976,"Mismatch","OK")</f>
        <v>OK</v>
      </c>
      <c r="X976" s="7" t="str">
        <f aca="false">IF(TEXT(H976,"dddd")&lt;&gt;I976,"Mismatch","OK")</f>
        <v>OK</v>
      </c>
      <c r="Y976" s="7" t="str">
        <f aca="false">IF(AND(N976="No",O976&lt;&gt;""),"Unexpected: channel present but no reminder sent",IF(AND(N976="Yes",O976=""),"Missing channel for sent reminder","OK"))</f>
        <v>OK</v>
      </c>
    </row>
    <row r="977" customFormat="false" ht="15" hidden="false" customHeight="false" outlineLevel="0" collapsed="false">
      <c r="A977" s="9" t="s">
        <v>1801</v>
      </c>
      <c r="B977" s="9" t="s">
        <v>1802</v>
      </c>
      <c r="C977" s="9" t="s">
        <v>37</v>
      </c>
      <c r="D977" s="9" t="n">
        <v>27</v>
      </c>
      <c r="E977" s="9" t="s">
        <v>48</v>
      </c>
      <c r="F977" s="9" t="s">
        <v>57</v>
      </c>
      <c r="G977" s="10" t="n">
        <v>45748</v>
      </c>
      <c r="H977" s="10" t="n">
        <v>45781</v>
      </c>
      <c r="I977" s="9" t="s">
        <v>75</v>
      </c>
      <c r="J977" s="9" t="s">
        <v>41</v>
      </c>
      <c r="K977" s="9" t="n">
        <v>33</v>
      </c>
      <c r="L977" s="9" t="n">
        <v>2</v>
      </c>
      <c r="M977" s="9" t="n">
        <v>1</v>
      </c>
      <c r="N977" s="9" t="s">
        <v>42</v>
      </c>
      <c r="O977" s="9" t="s">
        <v>52</v>
      </c>
      <c r="P977" s="9" t="n">
        <v>3.2</v>
      </c>
      <c r="Q977" s="9" t="n">
        <v>23</v>
      </c>
      <c r="R977" s="9" t="s">
        <v>53</v>
      </c>
      <c r="S977" s="9"/>
      <c r="T977" s="9"/>
      <c r="U977" s="9" t="str">
        <f aca="false">IF(COUNTIF($A$2:$A$5001,A977)&gt;1,"Duplicate","Unique")</f>
        <v>Unique</v>
      </c>
      <c r="V977" s="9" t="str">
        <f aca="false">IF(COUNTIFS($B$2:$B$5001,B977,$H$2:$H$5001,H977,$J$2:$J$5001,J977)&gt;1,"Possible Duplicate Booking","Unique")</f>
        <v>Unique</v>
      </c>
      <c r="W977" s="9" t="str">
        <f aca="false">IF((H977-G977)&lt;&gt;K977,"Mismatch","OK")</f>
        <v>OK</v>
      </c>
      <c r="X977" s="9" t="str">
        <f aca="false">IF(TEXT(H977,"dddd")&lt;&gt;I977,"Mismatch","OK")</f>
        <v>OK</v>
      </c>
      <c r="Y977" s="9" t="str">
        <f aca="false">IF(AND(N977="No",O977&lt;&gt;""),"Unexpected: channel present but no reminder sent",IF(AND(N977="Yes",O977=""),"Missing channel for sent reminder","OK"))</f>
        <v>OK</v>
      </c>
    </row>
    <row r="978" customFormat="false" ht="15" hidden="false" customHeight="false" outlineLevel="0" collapsed="false">
      <c r="A978" s="7" t="s">
        <v>1803</v>
      </c>
      <c r="B978" s="7" t="s">
        <v>1804</v>
      </c>
      <c r="C978" s="7" t="s">
        <v>47</v>
      </c>
      <c r="D978" s="7" t="n">
        <v>57</v>
      </c>
      <c r="E978" s="7" t="s">
        <v>61</v>
      </c>
      <c r="F978" s="7" t="s">
        <v>49</v>
      </c>
      <c r="G978" s="8" t="n">
        <v>45654</v>
      </c>
      <c r="H978" s="8" t="n">
        <v>45710</v>
      </c>
      <c r="I978" s="7" t="s">
        <v>102</v>
      </c>
      <c r="J978" s="7" t="s">
        <v>41</v>
      </c>
      <c r="K978" s="7" t="n">
        <v>56</v>
      </c>
      <c r="L978" s="7" t="n">
        <v>1</v>
      </c>
      <c r="M978" s="7" t="n">
        <v>0</v>
      </c>
      <c r="N978" s="7" t="s">
        <v>42</v>
      </c>
      <c r="O978" s="7" t="s">
        <v>52</v>
      </c>
      <c r="P978" s="7" t="n">
        <v>2.9</v>
      </c>
      <c r="Q978" s="7" t="n">
        <v>29</v>
      </c>
      <c r="R978" s="7" t="s">
        <v>44</v>
      </c>
      <c r="S978" s="7"/>
      <c r="T978" s="7"/>
      <c r="U978" s="7" t="str">
        <f aca="false">IF(COUNTIF($A$2:$A$5001,A978)&gt;1,"Duplicate","Unique")</f>
        <v>Unique</v>
      </c>
      <c r="V978" s="7" t="str">
        <f aca="false">IF(COUNTIFS($B$2:$B$5001,B978,$H$2:$H$5001,H978,$J$2:$J$5001,J978)&gt;1,"Possible Duplicate Booking","Unique")</f>
        <v>Unique</v>
      </c>
      <c r="W978" s="7" t="str">
        <f aca="false">IF((H978-G978)&lt;&gt;K978,"Mismatch","OK")</f>
        <v>OK</v>
      </c>
      <c r="X978" s="7" t="str">
        <f aca="false">IF(TEXT(H978,"dddd")&lt;&gt;I978,"Mismatch","OK")</f>
        <v>OK</v>
      </c>
      <c r="Y978" s="7" t="str">
        <f aca="false">IF(AND(N978="No",O978&lt;&gt;""),"Unexpected: channel present but no reminder sent",IF(AND(N978="Yes",O978=""),"Missing channel for sent reminder","OK"))</f>
        <v>OK</v>
      </c>
    </row>
    <row r="979" customFormat="false" ht="15" hidden="false" customHeight="false" outlineLevel="0" collapsed="false">
      <c r="A979" s="9" t="s">
        <v>1805</v>
      </c>
      <c r="B979" s="9" t="s">
        <v>1806</v>
      </c>
      <c r="C979" s="9" t="s">
        <v>47</v>
      </c>
      <c r="D979" s="9" t="n">
        <v>43</v>
      </c>
      <c r="E979" s="9" t="s">
        <v>38</v>
      </c>
      <c r="F979" s="9" t="s">
        <v>39</v>
      </c>
      <c r="G979" s="10" t="n">
        <v>45961</v>
      </c>
      <c r="H979" s="10" t="n">
        <v>45970</v>
      </c>
      <c r="I979" s="9" t="s">
        <v>75</v>
      </c>
      <c r="J979" s="9" t="s">
        <v>41</v>
      </c>
      <c r="K979" s="9" t="n">
        <v>9</v>
      </c>
      <c r="L979" s="9" t="n">
        <v>7</v>
      </c>
      <c r="M979" s="9" t="n">
        <v>0</v>
      </c>
      <c r="N979" s="9" t="s">
        <v>42</v>
      </c>
      <c r="O979" s="9" t="s">
        <v>67</v>
      </c>
      <c r="P979" s="9" t="n">
        <v>3.4</v>
      </c>
      <c r="Q979" s="9" t="n">
        <v>17</v>
      </c>
      <c r="R979" s="9" t="s">
        <v>53</v>
      </c>
      <c r="S979" s="9"/>
      <c r="T979" s="9"/>
      <c r="U979" s="9" t="str">
        <f aca="false">IF(COUNTIF($A$2:$A$5001,A979)&gt;1,"Duplicate","Unique")</f>
        <v>Unique</v>
      </c>
      <c r="V979" s="9" t="str">
        <f aca="false">IF(COUNTIFS($B$2:$B$5001,B979,$H$2:$H$5001,H979,$J$2:$J$5001,J979)&gt;1,"Possible Duplicate Booking","Unique")</f>
        <v>Unique</v>
      </c>
      <c r="W979" s="9" t="str">
        <f aca="false">IF((H979-G979)&lt;&gt;K979,"Mismatch","OK")</f>
        <v>OK</v>
      </c>
      <c r="X979" s="9" t="str">
        <f aca="false">IF(TEXT(H979,"dddd")&lt;&gt;I979,"Mismatch","OK")</f>
        <v>OK</v>
      </c>
      <c r="Y979" s="9" t="str">
        <f aca="false">IF(AND(N979="No",O979&lt;&gt;""),"Unexpected: channel present but no reminder sent",IF(AND(N979="Yes",O979=""),"Missing channel for sent reminder","OK"))</f>
        <v>OK</v>
      </c>
    </row>
    <row r="980" customFormat="false" ht="15" hidden="false" customHeight="false" outlineLevel="0" collapsed="false">
      <c r="A980" s="7" t="s">
        <v>1807</v>
      </c>
      <c r="B980" s="7" t="s">
        <v>1131</v>
      </c>
      <c r="C980" s="7" t="s">
        <v>47</v>
      </c>
      <c r="D980" s="7" t="n">
        <v>57</v>
      </c>
      <c r="E980" s="7" t="s">
        <v>61</v>
      </c>
      <c r="F980" s="7" t="s">
        <v>57</v>
      </c>
      <c r="G980" s="8" t="n">
        <v>45837</v>
      </c>
      <c r="H980" s="8" t="n">
        <v>45849</v>
      </c>
      <c r="I980" s="7" t="s">
        <v>50</v>
      </c>
      <c r="J980" s="7" t="s">
        <v>41</v>
      </c>
      <c r="K980" s="7" t="n">
        <v>12</v>
      </c>
      <c r="L980" s="7" t="n">
        <v>6</v>
      </c>
      <c r="M980" s="7" t="n">
        <v>0</v>
      </c>
      <c r="N980" s="7" t="s">
        <v>42</v>
      </c>
      <c r="O980" s="7" t="s">
        <v>52</v>
      </c>
      <c r="P980" s="7" t="n">
        <v>13.8</v>
      </c>
      <c r="Q980" s="7" t="n">
        <v>24</v>
      </c>
      <c r="R980" s="7" t="s">
        <v>44</v>
      </c>
      <c r="S980" s="7"/>
      <c r="T980" s="7"/>
      <c r="U980" s="7" t="str">
        <f aca="false">IF(COUNTIF($A$2:$A$5001,A980)&gt;1,"Duplicate","Unique")</f>
        <v>Unique</v>
      </c>
      <c r="V980" s="7" t="str">
        <f aca="false">IF(COUNTIFS($B$2:$B$5001,B980,$H$2:$H$5001,H980,$J$2:$J$5001,J980)&gt;1,"Possible Duplicate Booking","Unique")</f>
        <v>Unique</v>
      </c>
      <c r="W980" s="7" t="str">
        <f aca="false">IF((H980-G980)&lt;&gt;K980,"Mismatch","OK")</f>
        <v>OK</v>
      </c>
      <c r="X980" s="7" t="str">
        <f aca="false">IF(TEXT(H980,"dddd")&lt;&gt;I980,"Mismatch","OK")</f>
        <v>OK</v>
      </c>
      <c r="Y980" s="7" t="str">
        <f aca="false">IF(AND(N980="No",O980&lt;&gt;""),"Unexpected: channel present but no reminder sent",IF(AND(N980="Yes",O980=""),"Missing channel for sent reminder","OK"))</f>
        <v>OK</v>
      </c>
    </row>
    <row r="981" customFormat="false" ht="15" hidden="false" customHeight="false" outlineLevel="0" collapsed="false">
      <c r="A981" s="9" t="s">
        <v>1808</v>
      </c>
      <c r="B981" s="9" t="s">
        <v>1809</v>
      </c>
      <c r="C981" s="9" t="s">
        <v>37</v>
      </c>
      <c r="D981" s="9" t="n">
        <v>64</v>
      </c>
      <c r="E981" s="9" t="s">
        <v>61</v>
      </c>
      <c r="F981" s="9" t="s">
        <v>49</v>
      </c>
      <c r="G981" s="10" t="n">
        <v>45929</v>
      </c>
      <c r="H981" s="10" t="n">
        <v>45966</v>
      </c>
      <c r="I981" s="9" t="s">
        <v>58</v>
      </c>
      <c r="J981" s="9" t="s">
        <v>63</v>
      </c>
      <c r="K981" s="9" t="n">
        <v>37</v>
      </c>
      <c r="L981" s="9" t="n">
        <v>4</v>
      </c>
      <c r="M981" s="9" t="n">
        <v>1</v>
      </c>
      <c r="N981" s="9" t="s">
        <v>42</v>
      </c>
      <c r="O981" s="9" t="s">
        <v>52</v>
      </c>
      <c r="P981" s="9" t="n">
        <v>6.7</v>
      </c>
      <c r="Q981" s="9" t="n">
        <v>36</v>
      </c>
      <c r="R981" s="9" t="s">
        <v>53</v>
      </c>
      <c r="S981" s="9"/>
      <c r="T981" s="9"/>
      <c r="U981" s="9" t="str">
        <f aca="false">IF(COUNTIF($A$2:$A$5001,A981)&gt;1,"Duplicate","Unique")</f>
        <v>Unique</v>
      </c>
      <c r="V981" s="9" t="str">
        <f aca="false">IF(COUNTIFS($B$2:$B$5001,B981,$H$2:$H$5001,H981,$J$2:$J$5001,J981)&gt;1,"Possible Duplicate Booking","Unique")</f>
        <v>Unique</v>
      </c>
      <c r="W981" s="9" t="str">
        <f aca="false">IF((H981-G981)&lt;&gt;K981,"Mismatch","OK")</f>
        <v>OK</v>
      </c>
      <c r="X981" s="9" t="str">
        <f aca="false">IF(TEXT(H981,"dddd")&lt;&gt;I981,"Mismatch","OK")</f>
        <v>OK</v>
      </c>
      <c r="Y981" s="9" t="str">
        <f aca="false">IF(AND(N981="No",O981&lt;&gt;""),"Unexpected: channel present but no reminder sent",IF(AND(N981="Yes",O981=""),"Missing channel for sent reminder","OK"))</f>
        <v>OK</v>
      </c>
    </row>
    <row r="982" customFormat="false" ht="15" hidden="false" customHeight="false" outlineLevel="0" collapsed="false">
      <c r="A982" s="7" t="s">
        <v>1810</v>
      </c>
      <c r="B982" s="7" t="s">
        <v>172</v>
      </c>
      <c r="C982" s="7" t="s">
        <v>47</v>
      </c>
      <c r="D982" s="7" t="n">
        <v>49</v>
      </c>
      <c r="E982" s="7" t="s">
        <v>56</v>
      </c>
      <c r="F982" s="7" t="s">
        <v>57</v>
      </c>
      <c r="G982" s="8" t="n">
        <v>45943</v>
      </c>
      <c r="H982" s="8" t="n">
        <v>45979</v>
      </c>
      <c r="I982" s="7" t="s">
        <v>40</v>
      </c>
      <c r="J982" s="7" t="s">
        <v>51</v>
      </c>
      <c r="K982" s="7" t="n">
        <v>36</v>
      </c>
      <c r="L982" s="7" t="n">
        <v>1</v>
      </c>
      <c r="M982" s="7" t="n">
        <v>0</v>
      </c>
      <c r="N982" s="7" t="s">
        <v>71</v>
      </c>
      <c r="O982" s="7"/>
      <c r="P982" s="7" t="n">
        <v>7.9</v>
      </c>
      <c r="Q982" s="7" t="n">
        <v>25</v>
      </c>
      <c r="R982" s="7" t="s">
        <v>44</v>
      </c>
      <c r="S982" s="7"/>
      <c r="T982" s="7"/>
      <c r="U982" s="7" t="str">
        <f aca="false">IF(COUNTIF($A$2:$A$5001,A982)&gt;1,"Duplicate","Unique")</f>
        <v>Unique</v>
      </c>
      <c r="V982" s="7" t="str">
        <f aca="false">IF(COUNTIFS($B$2:$B$5001,B982,$H$2:$H$5001,H982,$J$2:$J$5001,J982)&gt;1,"Possible Duplicate Booking","Unique")</f>
        <v>Unique</v>
      </c>
      <c r="W982" s="7" t="str">
        <f aca="false">IF((H982-G982)&lt;&gt;K982,"Mismatch","OK")</f>
        <v>OK</v>
      </c>
      <c r="X982" s="7" t="str">
        <f aca="false">IF(TEXT(H982,"dddd")&lt;&gt;I982,"Mismatch","OK")</f>
        <v>OK</v>
      </c>
      <c r="Y982" s="7" t="str">
        <f aca="false">IF(AND(N982="No",O982&lt;&gt;""),"Unexpected: channel present but no reminder sent",IF(AND(N982="Yes",O982=""),"Missing channel for sent reminder","OK"))</f>
        <v>OK</v>
      </c>
    </row>
    <row r="983" customFormat="false" ht="15" hidden="false" customHeight="false" outlineLevel="0" collapsed="false">
      <c r="A983" s="9" t="s">
        <v>1811</v>
      </c>
      <c r="B983" s="9" t="s">
        <v>1409</v>
      </c>
      <c r="C983" s="9" t="s">
        <v>37</v>
      </c>
      <c r="D983" s="9" t="n">
        <v>37</v>
      </c>
      <c r="E983" s="9" t="s">
        <v>38</v>
      </c>
      <c r="F983" s="9" t="s">
        <v>57</v>
      </c>
      <c r="G983" s="10" t="n">
        <v>45993</v>
      </c>
      <c r="H983" s="10" t="n">
        <v>46041</v>
      </c>
      <c r="I983" s="9" t="s">
        <v>66</v>
      </c>
      <c r="J983" s="9" t="s">
        <v>51</v>
      </c>
      <c r="K983" s="9" t="n">
        <v>48</v>
      </c>
      <c r="L983" s="9" t="n">
        <v>1</v>
      </c>
      <c r="M983" s="9" t="n">
        <v>0</v>
      </c>
      <c r="N983" s="9" t="s">
        <v>42</v>
      </c>
      <c r="O983" s="9" t="s">
        <v>43</v>
      </c>
      <c r="P983" s="9" t="n">
        <v>4.4</v>
      </c>
      <c r="Q983" s="9" t="n">
        <v>38</v>
      </c>
      <c r="R983" s="9" t="s">
        <v>44</v>
      </c>
      <c r="S983" s="9"/>
      <c r="T983" s="9"/>
      <c r="U983" s="9" t="str">
        <f aca="false">IF(COUNTIF($A$2:$A$5001,A983)&gt;1,"Duplicate","Unique")</f>
        <v>Unique</v>
      </c>
      <c r="V983" s="9" t="str">
        <f aca="false">IF(COUNTIFS($B$2:$B$5001,B983,$H$2:$H$5001,H983,$J$2:$J$5001,J983)&gt;1,"Possible Duplicate Booking","Unique")</f>
        <v>Unique</v>
      </c>
      <c r="W983" s="9" t="str">
        <f aca="false">IF((H983-G983)&lt;&gt;K983,"Mismatch","OK")</f>
        <v>OK</v>
      </c>
      <c r="X983" s="9" t="str">
        <f aca="false">IF(TEXT(H983,"dddd")&lt;&gt;I983,"Mismatch","OK")</f>
        <v>OK</v>
      </c>
      <c r="Y983" s="9" t="str">
        <f aca="false">IF(AND(N983="No",O983&lt;&gt;""),"Unexpected: channel present but no reminder sent",IF(AND(N983="Yes",O983=""),"Missing channel for sent reminder","OK"))</f>
        <v>OK</v>
      </c>
    </row>
    <row r="984" customFormat="false" ht="15" hidden="false" customHeight="false" outlineLevel="0" collapsed="false">
      <c r="A984" s="7" t="s">
        <v>1812</v>
      </c>
      <c r="B984" s="7" t="s">
        <v>1813</v>
      </c>
      <c r="C984" s="7" t="s">
        <v>37</v>
      </c>
      <c r="D984" s="7" t="n">
        <v>75</v>
      </c>
      <c r="E984" s="7" t="s">
        <v>70</v>
      </c>
      <c r="F984" s="7" t="s">
        <v>49</v>
      </c>
      <c r="G984" s="8" t="n">
        <v>45900</v>
      </c>
      <c r="H984" s="8" t="n">
        <v>45956</v>
      </c>
      <c r="I984" s="7" t="s">
        <v>75</v>
      </c>
      <c r="J984" s="7" t="s">
        <v>51</v>
      </c>
      <c r="K984" s="7" t="n">
        <v>56</v>
      </c>
      <c r="L984" s="7" t="n">
        <v>2</v>
      </c>
      <c r="M984" s="7" t="n">
        <v>0</v>
      </c>
      <c r="N984" s="7" t="s">
        <v>42</v>
      </c>
      <c r="O984" s="7" t="s">
        <v>52</v>
      </c>
      <c r="P984" s="7" t="n">
        <v>8.4</v>
      </c>
      <c r="Q984" s="7" t="n">
        <v>14</v>
      </c>
      <c r="R984" s="7" t="s">
        <v>44</v>
      </c>
      <c r="S984" s="7"/>
      <c r="T984" s="7"/>
      <c r="U984" s="7" t="str">
        <f aca="false">IF(COUNTIF($A$2:$A$5001,A984)&gt;1,"Duplicate","Unique")</f>
        <v>Unique</v>
      </c>
      <c r="V984" s="7" t="str">
        <f aca="false">IF(COUNTIFS($B$2:$B$5001,B984,$H$2:$H$5001,H984,$J$2:$J$5001,J984)&gt;1,"Possible Duplicate Booking","Unique")</f>
        <v>Unique</v>
      </c>
      <c r="W984" s="7" t="str">
        <f aca="false">IF((H984-G984)&lt;&gt;K984,"Mismatch","OK")</f>
        <v>OK</v>
      </c>
      <c r="X984" s="7" t="str">
        <f aca="false">IF(TEXT(H984,"dddd")&lt;&gt;I984,"Mismatch","OK")</f>
        <v>OK</v>
      </c>
      <c r="Y984" s="7" t="str">
        <f aca="false">IF(AND(N984="No",O984&lt;&gt;""),"Unexpected: channel present but no reminder sent",IF(AND(N984="Yes",O984=""),"Missing channel for sent reminder","OK"))</f>
        <v>OK</v>
      </c>
    </row>
    <row r="985" customFormat="false" ht="15" hidden="false" customHeight="false" outlineLevel="0" collapsed="false">
      <c r="A985" s="9" t="s">
        <v>1814</v>
      </c>
      <c r="B985" s="9" t="s">
        <v>1113</v>
      </c>
      <c r="C985" s="9" t="s">
        <v>47</v>
      </c>
      <c r="D985" s="9" t="n">
        <v>59</v>
      </c>
      <c r="E985" s="9" t="s">
        <v>61</v>
      </c>
      <c r="F985" s="9" t="s">
        <v>39</v>
      </c>
      <c r="G985" s="10" t="n">
        <v>45961</v>
      </c>
      <c r="H985" s="10" t="n">
        <v>46011</v>
      </c>
      <c r="I985" s="9" t="s">
        <v>102</v>
      </c>
      <c r="J985" s="9" t="s">
        <v>51</v>
      </c>
      <c r="K985" s="9" t="n">
        <v>50</v>
      </c>
      <c r="L985" s="9" t="n">
        <v>4</v>
      </c>
      <c r="M985" s="9" t="n">
        <v>1</v>
      </c>
      <c r="N985" s="9" t="s">
        <v>42</v>
      </c>
      <c r="O985" s="9" t="s">
        <v>52</v>
      </c>
      <c r="P985" s="9" t="n">
        <v>19.8</v>
      </c>
      <c r="Q985" s="9" t="n">
        <v>28</v>
      </c>
      <c r="R985" s="9" t="s">
        <v>53</v>
      </c>
      <c r="S985" s="9"/>
      <c r="T985" s="9"/>
      <c r="U985" s="9" t="str">
        <f aca="false">IF(COUNTIF($A$2:$A$5001,A985)&gt;1,"Duplicate","Unique")</f>
        <v>Unique</v>
      </c>
      <c r="V985" s="9" t="str">
        <f aca="false">IF(COUNTIFS($B$2:$B$5001,B985,$H$2:$H$5001,H985,$J$2:$J$5001,J985)&gt;1,"Possible Duplicate Booking","Unique")</f>
        <v>Unique</v>
      </c>
      <c r="W985" s="9" t="str">
        <f aca="false">IF((H985-G985)&lt;&gt;K985,"Mismatch","OK")</f>
        <v>OK</v>
      </c>
      <c r="X985" s="9" t="str">
        <f aca="false">IF(TEXT(H985,"dddd")&lt;&gt;I985,"Mismatch","OK")</f>
        <v>OK</v>
      </c>
      <c r="Y985" s="9" t="str">
        <f aca="false">IF(AND(N985="No",O985&lt;&gt;""),"Unexpected: channel present but no reminder sent",IF(AND(N985="Yes",O985=""),"Missing channel for sent reminder","OK"))</f>
        <v>OK</v>
      </c>
    </row>
    <row r="986" customFormat="false" ht="15" hidden="false" customHeight="false" outlineLevel="0" collapsed="false">
      <c r="A986" s="7" t="s">
        <v>1815</v>
      </c>
      <c r="B986" s="7" t="s">
        <v>1816</v>
      </c>
      <c r="C986" s="7" t="s">
        <v>47</v>
      </c>
      <c r="D986" s="7" t="n">
        <v>73</v>
      </c>
      <c r="E986" s="7" t="s">
        <v>70</v>
      </c>
      <c r="F986" s="7" t="s">
        <v>49</v>
      </c>
      <c r="G986" s="8" t="n">
        <v>45970</v>
      </c>
      <c r="H986" s="8" t="n">
        <v>45978</v>
      </c>
      <c r="I986" s="7" t="s">
        <v>66</v>
      </c>
      <c r="J986" s="7" t="s">
        <v>51</v>
      </c>
      <c r="K986" s="7" t="n">
        <v>8</v>
      </c>
      <c r="L986" s="7" t="n">
        <v>3</v>
      </c>
      <c r="M986" s="7" t="n">
        <v>0</v>
      </c>
      <c r="N986" s="7" t="s">
        <v>71</v>
      </c>
      <c r="O986" s="7"/>
      <c r="P986" s="7" t="n">
        <v>3.1</v>
      </c>
      <c r="Q986" s="7" t="n">
        <v>30</v>
      </c>
      <c r="R986" s="7" t="s">
        <v>53</v>
      </c>
      <c r="S986" s="7"/>
      <c r="T986" s="7"/>
      <c r="U986" s="7" t="str">
        <f aca="false">IF(COUNTIF($A$2:$A$5001,A986)&gt;1,"Duplicate","Unique")</f>
        <v>Unique</v>
      </c>
      <c r="V986" s="7" t="str">
        <f aca="false">IF(COUNTIFS($B$2:$B$5001,B986,$H$2:$H$5001,H986,$J$2:$J$5001,J986)&gt;1,"Possible Duplicate Booking","Unique")</f>
        <v>Unique</v>
      </c>
      <c r="W986" s="7" t="str">
        <f aca="false">IF((H986-G986)&lt;&gt;K986,"Mismatch","OK")</f>
        <v>OK</v>
      </c>
      <c r="X986" s="7" t="str">
        <f aca="false">IF(TEXT(H986,"dddd")&lt;&gt;I986,"Mismatch","OK")</f>
        <v>OK</v>
      </c>
      <c r="Y986" s="7" t="str">
        <f aca="false">IF(AND(N986="No",O986&lt;&gt;""),"Unexpected: channel present but no reminder sent",IF(AND(N986="Yes",O986=""),"Missing channel for sent reminder","OK"))</f>
        <v>OK</v>
      </c>
    </row>
    <row r="987" customFormat="false" ht="15" hidden="false" customHeight="false" outlineLevel="0" collapsed="false">
      <c r="A987" s="9" t="s">
        <v>1817</v>
      </c>
      <c r="B987" s="9" t="s">
        <v>1818</v>
      </c>
      <c r="C987" s="9" t="s">
        <v>37</v>
      </c>
      <c r="D987" s="9" t="n">
        <v>32</v>
      </c>
      <c r="E987" s="9" t="s">
        <v>48</v>
      </c>
      <c r="F987" s="9" t="s">
        <v>49</v>
      </c>
      <c r="G987" s="10" t="n">
        <v>45996</v>
      </c>
      <c r="H987" s="10" t="n">
        <v>46014</v>
      </c>
      <c r="I987" s="9" t="s">
        <v>40</v>
      </c>
      <c r="J987" s="9" t="s">
        <v>63</v>
      </c>
      <c r="K987" s="9" t="n">
        <v>18</v>
      </c>
      <c r="L987" s="9" t="n">
        <v>3</v>
      </c>
      <c r="M987" s="9" t="n">
        <v>0</v>
      </c>
      <c r="N987" s="9" t="s">
        <v>42</v>
      </c>
      <c r="O987" s="9" t="s">
        <v>43</v>
      </c>
      <c r="P987" s="9" t="n">
        <v>45</v>
      </c>
      <c r="Q987" s="9" t="n">
        <v>27</v>
      </c>
      <c r="R987" s="9" t="s">
        <v>44</v>
      </c>
      <c r="S987" s="9"/>
      <c r="T987" s="9"/>
      <c r="U987" s="9" t="str">
        <f aca="false">IF(COUNTIF($A$2:$A$5001,A987)&gt;1,"Duplicate","Unique")</f>
        <v>Unique</v>
      </c>
      <c r="V987" s="9" t="str">
        <f aca="false">IF(COUNTIFS($B$2:$B$5001,B987,$H$2:$H$5001,H987,$J$2:$J$5001,J987)&gt;1,"Possible Duplicate Booking","Unique")</f>
        <v>Unique</v>
      </c>
      <c r="W987" s="9" t="str">
        <f aca="false">IF((H987-G987)&lt;&gt;K987,"Mismatch","OK")</f>
        <v>OK</v>
      </c>
      <c r="X987" s="9" t="str">
        <f aca="false">IF(TEXT(H987,"dddd")&lt;&gt;I987,"Mismatch","OK")</f>
        <v>OK</v>
      </c>
      <c r="Y987" s="9" t="str">
        <f aca="false">IF(AND(N987="No",O987&lt;&gt;""),"Unexpected: channel present but no reminder sent",IF(AND(N987="Yes",O987=""),"Missing channel for sent reminder","OK"))</f>
        <v>OK</v>
      </c>
    </row>
    <row r="988" customFormat="false" ht="15" hidden="false" customHeight="false" outlineLevel="0" collapsed="false">
      <c r="A988" s="7" t="s">
        <v>1819</v>
      </c>
      <c r="B988" s="7" t="s">
        <v>540</v>
      </c>
      <c r="C988" s="7" t="s">
        <v>47</v>
      </c>
      <c r="D988" s="7" t="n">
        <v>70</v>
      </c>
      <c r="E988" s="7" t="s">
        <v>70</v>
      </c>
      <c r="F988" s="7" t="s">
        <v>74</v>
      </c>
      <c r="G988" s="8" t="n">
        <v>45939</v>
      </c>
      <c r="H988" s="8" t="n">
        <v>45994</v>
      </c>
      <c r="I988" s="7" t="s">
        <v>58</v>
      </c>
      <c r="J988" s="7" t="s">
        <v>51</v>
      </c>
      <c r="K988" s="7" t="n">
        <v>55</v>
      </c>
      <c r="L988" s="7" t="n">
        <v>0</v>
      </c>
      <c r="M988" s="7" t="n">
        <v>0</v>
      </c>
      <c r="N988" s="7" t="s">
        <v>71</v>
      </c>
      <c r="O988" s="7"/>
      <c r="P988" s="7" t="n">
        <v>7.2</v>
      </c>
      <c r="Q988" s="7" t="n">
        <v>21</v>
      </c>
      <c r="R988" s="7" t="s">
        <v>44</v>
      </c>
      <c r="S988" s="7"/>
      <c r="T988" s="7"/>
      <c r="U988" s="7" t="str">
        <f aca="false">IF(COUNTIF($A$2:$A$5001,A988)&gt;1,"Duplicate","Unique")</f>
        <v>Unique</v>
      </c>
      <c r="V988" s="7" t="str">
        <f aca="false">IF(COUNTIFS($B$2:$B$5001,B988,$H$2:$H$5001,H988,$J$2:$J$5001,J988)&gt;1,"Possible Duplicate Booking","Unique")</f>
        <v>Unique</v>
      </c>
      <c r="W988" s="7" t="str">
        <f aca="false">IF((H988-G988)&lt;&gt;K988,"Mismatch","OK")</f>
        <v>OK</v>
      </c>
      <c r="X988" s="7" t="str">
        <f aca="false">IF(TEXT(H988,"dddd")&lt;&gt;I988,"Mismatch","OK")</f>
        <v>OK</v>
      </c>
      <c r="Y988" s="7" t="str">
        <f aca="false">IF(AND(N988="No",O988&lt;&gt;""),"Unexpected: channel present but no reminder sent",IF(AND(N988="Yes",O988=""),"Missing channel for sent reminder","OK"))</f>
        <v>OK</v>
      </c>
    </row>
    <row r="989" customFormat="false" ht="15" hidden="false" customHeight="false" outlineLevel="0" collapsed="false">
      <c r="A989" s="9" t="s">
        <v>1820</v>
      </c>
      <c r="B989" s="9" t="s">
        <v>1821</v>
      </c>
      <c r="C989" s="9" t="s">
        <v>37</v>
      </c>
      <c r="D989" s="9" t="n">
        <v>38</v>
      </c>
      <c r="E989" s="9" t="s">
        <v>38</v>
      </c>
      <c r="F989" s="9" t="s">
        <v>57</v>
      </c>
      <c r="G989" s="10" t="n">
        <v>45797</v>
      </c>
      <c r="H989" s="10" t="n">
        <v>45830</v>
      </c>
      <c r="I989" s="9" t="s">
        <v>75</v>
      </c>
      <c r="J989" s="9" t="s">
        <v>51</v>
      </c>
      <c r="K989" s="9" t="n">
        <v>33</v>
      </c>
      <c r="L989" s="9" t="n">
        <v>2</v>
      </c>
      <c r="M989" s="9" t="n">
        <v>0</v>
      </c>
      <c r="N989" s="9" t="s">
        <v>42</v>
      </c>
      <c r="O989" s="9" t="s">
        <v>52</v>
      </c>
      <c r="P989" s="9" t="n">
        <v>4.2</v>
      </c>
      <c r="Q989" s="9" t="n">
        <v>8</v>
      </c>
      <c r="R989" s="9" t="s">
        <v>53</v>
      </c>
      <c r="S989" s="9"/>
      <c r="T989" s="9"/>
      <c r="U989" s="9" t="str">
        <f aca="false">IF(COUNTIF($A$2:$A$5001,A989)&gt;1,"Duplicate","Unique")</f>
        <v>Unique</v>
      </c>
      <c r="V989" s="9" t="str">
        <f aca="false">IF(COUNTIFS($B$2:$B$5001,B989,$H$2:$H$5001,H989,$J$2:$J$5001,J989)&gt;1,"Possible Duplicate Booking","Unique")</f>
        <v>Unique</v>
      </c>
      <c r="W989" s="9" t="str">
        <f aca="false">IF((H989-G989)&lt;&gt;K989,"Mismatch","OK")</f>
        <v>OK</v>
      </c>
      <c r="X989" s="9" t="str">
        <f aca="false">IF(TEXT(H989,"dddd")&lt;&gt;I989,"Mismatch","OK")</f>
        <v>OK</v>
      </c>
      <c r="Y989" s="9" t="str">
        <f aca="false">IF(AND(N989="No",O989&lt;&gt;""),"Unexpected: channel present but no reminder sent",IF(AND(N989="Yes",O989=""),"Missing channel for sent reminder","OK"))</f>
        <v>OK</v>
      </c>
    </row>
    <row r="990" customFormat="false" ht="15" hidden="false" customHeight="false" outlineLevel="0" collapsed="false">
      <c r="A990" s="7" t="s">
        <v>1822</v>
      </c>
      <c r="B990" s="7" t="s">
        <v>857</v>
      </c>
      <c r="C990" s="7" t="s">
        <v>47</v>
      </c>
      <c r="D990" s="7" t="n">
        <v>47</v>
      </c>
      <c r="E990" s="7" t="s">
        <v>56</v>
      </c>
      <c r="F990" s="7" t="s">
        <v>49</v>
      </c>
      <c r="G990" s="8" t="n">
        <v>45740</v>
      </c>
      <c r="H990" s="8" t="n">
        <v>45792</v>
      </c>
      <c r="I990" s="7" t="s">
        <v>62</v>
      </c>
      <c r="J990" s="7" t="s">
        <v>41</v>
      </c>
      <c r="K990" s="7" t="n">
        <v>52</v>
      </c>
      <c r="L990" s="7" t="n">
        <v>5</v>
      </c>
      <c r="M990" s="7" t="n">
        <v>2</v>
      </c>
      <c r="N990" s="7" t="s">
        <v>42</v>
      </c>
      <c r="O990" s="7" t="s">
        <v>43</v>
      </c>
      <c r="P990" s="7" t="n">
        <v>2.8</v>
      </c>
      <c r="Q990" s="7" t="n">
        <v>36</v>
      </c>
      <c r="R990" s="7" t="s">
        <v>44</v>
      </c>
      <c r="S990" s="7"/>
      <c r="T990" s="7"/>
      <c r="U990" s="7" t="str">
        <f aca="false">IF(COUNTIF($A$2:$A$5001,A990)&gt;1,"Duplicate","Unique")</f>
        <v>Unique</v>
      </c>
      <c r="V990" s="7" t="str">
        <f aca="false">IF(COUNTIFS($B$2:$B$5001,B990,$H$2:$H$5001,H990,$J$2:$J$5001,J990)&gt;1,"Possible Duplicate Booking","Unique")</f>
        <v>Unique</v>
      </c>
      <c r="W990" s="7" t="str">
        <f aca="false">IF((H990-G990)&lt;&gt;K990,"Mismatch","OK")</f>
        <v>OK</v>
      </c>
      <c r="X990" s="7" t="str">
        <f aca="false">IF(TEXT(H990,"dddd")&lt;&gt;I990,"Mismatch","OK")</f>
        <v>OK</v>
      </c>
      <c r="Y990" s="7" t="str">
        <f aca="false">IF(AND(N990="No",O990&lt;&gt;""),"Unexpected: channel present but no reminder sent",IF(AND(N990="Yes",O990=""),"Missing channel for sent reminder","OK"))</f>
        <v>OK</v>
      </c>
    </row>
    <row r="991" customFormat="false" ht="15" hidden="false" customHeight="false" outlineLevel="0" collapsed="false">
      <c r="A991" s="9" t="s">
        <v>1823</v>
      </c>
      <c r="B991" s="9" t="s">
        <v>1824</v>
      </c>
      <c r="C991" s="9" t="s">
        <v>37</v>
      </c>
      <c r="D991" s="9" t="n">
        <v>72</v>
      </c>
      <c r="E991" s="9" t="s">
        <v>70</v>
      </c>
      <c r="F991" s="9" t="s">
        <v>49</v>
      </c>
      <c r="G991" s="10" t="n">
        <v>46053</v>
      </c>
      <c r="H991" s="10" t="n">
        <v>46087</v>
      </c>
      <c r="I991" s="9" t="s">
        <v>50</v>
      </c>
      <c r="J991" s="9" t="s">
        <v>63</v>
      </c>
      <c r="K991" s="9" t="n">
        <v>34</v>
      </c>
      <c r="L991" s="9" t="n">
        <v>4</v>
      </c>
      <c r="M991" s="9" t="n">
        <v>0</v>
      </c>
      <c r="N991" s="9" t="s">
        <v>71</v>
      </c>
      <c r="O991" s="9"/>
      <c r="P991" s="9" t="n">
        <v>10.7</v>
      </c>
      <c r="Q991" s="9" t="n">
        <v>8</v>
      </c>
      <c r="R991" s="9" t="s">
        <v>44</v>
      </c>
      <c r="S991" s="9"/>
      <c r="T991" s="9"/>
      <c r="U991" s="9" t="str">
        <f aca="false">IF(COUNTIF($A$2:$A$5001,A991)&gt;1,"Duplicate","Unique")</f>
        <v>Unique</v>
      </c>
      <c r="V991" s="9" t="str">
        <f aca="false">IF(COUNTIFS($B$2:$B$5001,B991,$H$2:$H$5001,H991,$J$2:$J$5001,J991)&gt;1,"Possible Duplicate Booking","Unique")</f>
        <v>Unique</v>
      </c>
      <c r="W991" s="9" t="str">
        <f aca="false">IF((H991-G991)&lt;&gt;K991,"Mismatch","OK")</f>
        <v>OK</v>
      </c>
      <c r="X991" s="9" t="str">
        <f aca="false">IF(TEXT(H991,"dddd")&lt;&gt;I991,"Mismatch","OK")</f>
        <v>OK</v>
      </c>
      <c r="Y991" s="9" t="str">
        <f aca="false">IF(AND(N991="No",O991&lt;&gt;""),"Unexpected: channel present but no reminder sent",IF(AND(N991="Yes",O991=""),"Missing channel for sent reminder","OK"))</f>
        <v>OK</v>
      </c>
    </row>
    <row r="992" customFormat="false" ht="15" hidden="false" customHeight="false" outlineLevel="0" collapsed="false">
      <c r="A992" s="7" t="s">
        <v>1825</v>
      </c>
      <c r="B992" s="7" t="s">
        <v>1826</v>
      </c>
      <c r="C992" s="7" t="s">
        <v>37</v>
      </c>
      <c r="D992" s="7" t="n">
        <v>40</v>
      </c>
      <c r="E992" s="7" t="s">
        <v>38</v>
      </c>
      <c r="F992" s="7" t="s">
        <v>57</v>
      </c>
      <c r="G992" s="8" t="n">
        <v>45842</v>
      </c>
      <c r="H992" s="8" t="n">
        <v>45845</v>
      </c>
      <c r="I992" s="7" t="s">
        <v>66</v>
      </c>
      <c r="J992" s="7" t="s">
        <v>51</v>
      </c>
      <c r="K992" s="7" t="n">
        <v>3</v>
      </c>
      <c r="L992" s="7" t="n">
        <v>11</v>
      </c>
      <c r="M992" s="7" t="n">
        <v>3</v>
      </c>
      <c r="N992" s="7" t="s">
        <v>42</v>
      </c>
      <c r="O992" s="7" t="s">
        <v>52</v>
      </c>
      <c r="P992" s="7" t="n">
        <v>9.7</v>
      </c>
      <c r="Q992" s="7" t="n">
        <v>9</v>
      </c>
      <c r="R992" s="7" t="s">
        <v>44</v>
      </c>
      <c r="S992" s="7"/>
      <c r="T992" s="7"/>
      <c r="U992" s="7" t="str">
        <f aca="false">IF(COUNTIF($A$2:$A$5001,A992)&gt;1,"Duplicate","Unique")</f>
        <v>Unique</v>
      </c>
      <c r="V992" s="7" t="str">
        <f aca="false">IF(COUNTIFS($B$2:$B$5001,B992,$H$2:$H$5001,H992,$J$2:$J$5001,J992)&gt;1,"Possible Duplicate Booking","Unique")</f>
        <v>Unique</v>
      </c>
      <c r="W992" s="7" t="str">
        <f aca="false">IF((H992-G992)&lt;&gt;K992,"Mismatch","OK")</f>
        <v>OK</v>
      </c>
      <c r="X992" s="7" t="str">
        <f aca="false">IF(TEXT(H992,"dddd")&lt;&gt;I992,"Mismatch","OK")</f>
        <v>OK</v>
      </c>
      <c r="Y992" s="7" t="str">
        <f aca="false">IF(AND(N992="No",O992&lt;&gt;""),"Unexpected: channel present but no reminder sent",IF(AND(N992="Yes",O992=""),"Missing channel for sent reminder","OK"))</f>
        <v>OK</v>
      </c>
    </row>
    <row r="993" customFormat="false" ht="15" hidden="false" customHeight="false" outlineLevel="0" collapsed="false">
      <c r="A993" s="9" t="s">
        <v>1827</v>
      </c>
      <c r="B993" s="9" t="s">
        <v>1828</v>
      </c>
      <c r="C993" s="9" t="s">
        <v>47</v>
      </c>
      <c r="D993" s="9" t="n">
        <v>33</v>
      </c>
      <c r="E993" s="9" t="s">
        <v>48</v>
      </c>
      <c r="F993" s="9" t="s">
        <v>74</v>
      </c>
      <c r="G993" s="10" t="n">
        <v>45929</v>
      </c>
      <c r="H993" s="10" t="n">
        <v>45957</v>
      </c>
      <c r="I993" s="9" t="s">
        <v>66</v>
      </c>
      <c r="J993" s="9" t="s">
        <v>41</v>
      </c>
      <c r="K993" s="9" t="n">
        <v>28</v>
      </c>
      <c r="L993" s="9" t="n">
        <v>7</v>
      </c>
      <c r="M993" s="9" t="n">
        <v>3</v>
      </c>
      <c r="N993" s="9" t="s">
        <v>42</v>
      </c>
      <c r="O993" s="9" t="s">
        <v>67</v>
      </c>
      <c r="P993" s="9"/>
      <c r="Q993" s="9" t="n">
        <v>30</v>
      </c>
      <c r="R993" s="9" t="s">
        <v>44</v>
      </c>
      <c r="S993" s="9"/>
      <c r="T993" s="9"/>
      <c r="U993" s="9" t="str">
        <f aca="false">IF(COUNTIF($A$2:$A$5001,A993)&gt;1,"Duplicate","Unique")</f>
        <v>Unique</v>
      </c>
      <c r="V993" s="9" t="str">
        <f aca="false">IF(COUNTIFS($B$2:$B$5001,B993,$H$2:$H$5001,H993,$J$2:$J$5001,J993)&gt;1,"Possible Duplicate Booking","Unique")</f>
        <v>Unique</v>
      </c>
      <c r="W993" s="9" t="str">
        <f aca="false">IF((H993-G993)&lt;&gt;K993,"Mismatch","OK")</f>
        <v>OK</v>
      </c>
      <c r="X993" s="9" t="str">
        <f aca="false">IF(TEXT(H993,"dddd")&lt;&gt;I993,"Mismatch","OK")</f>
        <v>OK</v>
      </c>
      <c r="Y993" s="9" t="str">
        <f aca="false">IF(AND(N993="No",O993&lt;&gt;""),"Unexpected: channel present but no reminder sent",IF(AND(N993="Yes",O993=""),"Missing channel for sent reminder","OK"))</f>
        <v>OK</v>
      </c>
    </row>
    <row r="994" customFormat="false" ht="15" hidden="false" customHeight="false" outlineLevel="0" collapsed="false">
      <c r="A994" s="7" t="s">
        <v>1829</v>
      </c>
      <c r="B994" s="7" t="s">
        <v>1830</v>
      </c>
      <c r="C994" s="7" t="s">
        <v>37</v>
      </c>
      <c r="D994" s="7" t="n">
        <v>75</v>
      </c>
      <c r="E994" s="7" t="s">
        <v>70</v>
      </c>
      <c r="F994" s="7" t="s">
        <v>57</v>
      </c>
      <c r="G994" s="8" t="n">
        <v>45715</v>
      </c>
      <c r="H994" s="8" t="n">
        <v>45765</v>
      </c>
      <c r="I994" s="7" t="s">
        <v>50</v>
      </c>
      <c r="J994" s="7" t="s">
        <v>41</v>
      </c>
      <c r="K994" s="7" t="n">
        <v>50</v>
      </c>
      <c r="L994" s="7" t="n">
        <v>6</v>
      </c>
      <c r="M994" s="7" t="n">
        <v>1</v>
      </c>
      <c r="N994" s="7" t="s">
        <v>42</v>
      </c>
      <c r="O994" s="7" t="s">
        <v>52</v>
      </c>
      <c r="P994" s="7" t="n">
        <v>17.6</v>
      </c>
      <c r="Q994" s="7" t="n">
        <v>20</v>
      </c>
      <c r="R994" s="7" t="s">
        <v>53</v>
      </c>
      <c r="S994" s="7"/>
      <c r="T994" s="7"/>
      <c r="U994" s="7" t="str">
        <f aca="false">IF(COUNTIF($A$2:$A$5001,A994)&gt;1,"Duplicate","Unique")</f>
        <v>Unique</v>
      </c>
      <c r="V994" s="7" t="str">
        <f aca="false">IF(COUNTIFS($B$2:$B$5001,B994,$H$2:$H$5001,H994,$J$2:$J$5001,J994)&gt;1,"Possible Duplicate Booking","Unique")</f>
        <v>Unique</v>
      </c>
      <c r="W994" s="7" t="str">
        <f aca="false">IF((H994-G994)&lt;&gt;K994,"Mismatch","OK")</f>
        <v>OK</v>
      </c>
      <c r="X994" s="7" t="str">
        <f aca="false">IF(TEXT(H994,"dddd")&lt;&gt;I994,"Mismatch","OK")</f>
        <v>OK</v>
      </c>
      <c r="Y994" s="7" t="str">
        <f aca="false">IF(AND(N994="No",O994&lt;&gt;""),"Unexpected: channel present but no reminder sent",IF(AND(N994="Yes",O994=""),"Missing channel for sent reminder","OK"))</f>
        <v>OK</v>
      </c>
    </row>
    <row r="995" customFormat="false" ht="15" hidden="false" customHeight="false" outlineLevel="0" collapsed="false">
      <c r="A995" s="9" t="s">
        <v>1831</v>
      </c>
      <c r="B995" s="9" t="s">
        <v>1832</v>
      </c>
      <c r="C995" s="9" t="s">
        <v>47</v>
      </c>
      <c r="D995" s="9" t="n">
        <v>78</v>
      </c>
      <c r="E995" s="9" t="s">
        <v>70</v>
      </c>
      <c r="F995" s="9" t="s">
        <v>74</v>
      </c>
      <c r="G995" s="10" t="n">
        <v>45854</v>
      </c>
      <c r="H995" s="10" t="n">
        <v>45893</v>
      </c>
      <c r="I995" s="9" t="s">
        <v>75</v>
      </c>
      <c r="J995" s="9" t="s">
        <v>51</v>
      </c>
      <c r="K995" s="9" t="n">
        <v>39</v>
      </c>
      <c r="L995" s="9" t="n">
        <v>4</v>
      </c>
      <c r="M995" s="9" t="n">
        <v>1</v>
      </c>
      <c r="N995" s="9" t="s">
        <v>71</v>
      </c>
      <c r="O995" s="9"/>
      <c r="P995" s="9" t="n">
        <v>11.9</v>
      </c>
      <c r="Q995" s="9" t="n">
        <v>26</v>
      </c>
      <c r="R995" s="9" t="s">
        <v>44</v>
      </c>
      <c r="S995" s="9"/>
      <c r="T995" s="9"/>
      <c r="U995" s="9" t="str">
        <f aca="false">IF(COUNTIF($A$2:$A$5001,A995)&gt;1,"Duplicate","Unique")</f>
        <v>Unique</v>
      </c>
      <c r="V995" s="9" t="str">
        <f aca="false">IF(COUNTIFS($B$2:$B$5001,B995,$H$2:$H$5001,H995,$J$2:$J$5001,J995)&gt;1,"Possible Duplicate Booking","Unique")</f>
        <v>Unique</v>
      </c>
      <c r="W995" s="9" t="str">
        <f aca="false">IF((H995-G995)&lt;&gt;K995,"Mismatch","OK")</f>
        <v>OK</v>
      </c>
      <c r="X995" s="9" t="str">
        <f aca="false">IF(TEXT(H995,"dddd")&lt;&gt;I995,"Mismatch","OK")</f>
        <v>OK</v>
      </c>
      <c r="Y995" s="9" t="str">
        <f aca="false">IF(AND(N995="No",O995&lt;&gt;""),"Unexpected: channel present but no reminder sent",IF(AND(N995="Yes",O995=""),"Missing channel for sent reminder","OK"))</f>
        <v>OK</v>
      </c>
    </row>
    <row r="996" customFormat="false" ht="15" hidden="false" customHeight="false" outlineLevel="0" collapsed="false">
      <c r="A996" s="7" t="s">
        <v>1833</v>
      </c>
      <c r="B996" s="7" t="s">
        <v>1834</v>
      </c>
      <c r="C996" s="7" t="s">
        <v>37</v>
      </c>
      <c r="D996" s="7" t="n">
        <v>37</v>
      </c>
      <c r="E996" s="7" t="s">
        <v>38</v>
      </c>
      <c r="F996" s="7" t="s">
        <v>39</v>
      </c>
      <c r="G996" s="8" t="n">
        <v>45939</v>
      </c>
      <c r="H996" s="8" t="n">
        <v>45947</v>
      </c>
      <c r="I996" s="7" t="s">
        <v>50</v>
      </c>
      <c r="J996" s="7" t="s">
        <v>41</v>
      </c>
      <c r="K996" s="7" t="n">
        <v>8</v>
      </c>
      <c r="L996" s="7" t="n">
        <v>4</v>
      </c>
      <c r="M996" s="7" t="n">
        <v>2</v>
      </c>
      <c r="N996" s="7" t="s">
        <v>42</v>
      </c>
      <c r="O996" s="7" t="s">
        <v>67</v>
      </c>
      <c r="P996" s="7" t="n">
        <v>17</v>
      </c>
      <c r="Q996" s="7" t="n">
        <v>10</v>
      </c>
      <c r="R996" s="7" t="s">
        <v>53</v>
      </c>
      <c r="S996" s="7"/>
      <c r="T996" s="7"/>
      <c r="U996" s="7" t="str">
        <f aca="false">IF(COUNTIF($A$2:$A$5001,A996)&gt;1,"Duplicate","Unique")</f>
        <v>Unique</v>
      </c>
      <c r="V996" s="7" t="str">
        <f aca="false">IF(COUNTIFS($B$2:$B$5001,B996,$H$2:$H$5001,H996,$J$2:$J$5001,J996)&gt;1,"Possible Duplicate Booking","Unique")</f>
        <v>Unique</v>
      </c>
      <c r="W996" s="7" t="str">
        <f aca="false">IF((H996-G996)&lt;&gt;K996,"Mismatch","OK")</f>
        <v>OK</v>
      </c>
      <c r="X996" s="7" t="str">
        <f aca="false">IF(TEXT(H996,"dddd")&lt;&gt;I996,"Mismatch","OK")</f>
        <v>OK</v>
      </c>
      <c r="Y996" s="7" t="str">
        <f aca="false">IF(AND(N996="No",O996&lt;&gt;""),"Unexpected: channel present but no reminder sent",IF(AND(N996="Yes",O996=""),"Missing channel for sent reminder","OK"))</f>
        <v>OK</v>
      </c>
    </row>
    <row r="997" customFormat="false" ht="15" hidden="false" customHeight="false" outlineLevel="0" collapsed="false">
      <c r="A997" s="9" t="s">
        <v>1835</v>
      </c>
      <c r="B997" s="9" t="s">
        <v>1836</v>
      </c>
      <c r="C997" s="9" t="s">
        <v>47</v>
      </c>
      <c r="D997" s="9" t="n">
        <v>37</v>
      </c>
      <c r="E997" s="9" t="s">
        <v>38</v>
      </c>
      <c r="F997" s="9" t="s">
        <v>39</v>
      </c>
      <c r="G997" s="10" t="n">
        <v>45987</v>
      </c>
      <c r="H997" s="10" t="n">
        <v>45999</v>
      </c>
      <c r="I997" s="9" t="s">
        <v>66</v>
      </c>
      <c r="J997" s="9" t="s">
        <v>51</v>
      </c>
      <c r="K997" s="9" t="n">
        <v>12</v>
      </c>
      <c r="L997" s="9" t="n">
        <v>3</v>
      </c>
      <c r="M997" s="9" t="n">
        <v>0</v>
      </c>
      <c r="N997" s="9" t="s">
        <v>42</v>
      </c>
      <c r="O997" s="9" t="s">
        <v>52</v>
      </c>
      <c r="P997" s="9" t="n">
        <v>18.7</v>
      </c>
      <c r="Q997" s="9" t="n">
        <v>27</v>
      </c>
      <c r="R997" s="9" t="s">
        <v>53</v>
      </c>
      <c r="S997" s="9"/>
      <c r="T997" s="9"/>
      <c r="U997" s="9" t="str">
        <f aca="false">IF(COUNTIF($A$2:$A$5001,A997)&gt;1,"Duplicate","Unique")</f>
        <v>Unique</v>
      </c>
      <c r="V997" s="9" t="str">
        <f aca="false">IF(COUNTIFS($B$2:$B$5001,B997,$H$2:$H$5001,H997,$J$2:$J$5001,J997)&gt;1,"Possible Duplicate Booking","Unique")</f>
        <v>Unique</v>
      </c>
      <c r="W997" s="9" t="str">
        <f aca="false">IF((H997-G997)&lt;&gt;K997,"Mismatch","OK")</f>
        <v>OK</v>
      </c>
      <c r="X997" s="9" t="str">
        <f aca="false">IF(TEXT(H997,"dddd")&lt;&gt;I997,"Mismatch","OK")</f>
        <v>OK</v>
      </c>
      <c r="Y997" s="9" t="str">
        <f aca="false">IF(AND(N997="No",O997&lt;&gt;""),"Unexpected: channel present but no reminder sent",IF(AND(N997="Yes",O997=""),"Missing channel for sent reminder","OK"))</f>
        <v>OK</v>
      </c>
    </row>
    <row r="998" customFormat="false" ht="15" hidden="false" customHeight="false" outlineLevel="0" collapsed="false">
      <c r="A998" s="7" t="s">
        <v>1837</v>
      </c>
      <c r="B998" s="7" t="s">
        <v>1625</v>
      </c>
      <c r="C998" s="7" t="s">
        <v>37</v>
      </c>
      <c r="D998" s="7" t="n">
        <v>32</v>
      </c>
      <c r="E998" s="7" t="s">
        <v>48</v>
      </c>
      <c r="F998" s="7" t="s">
        <v>57</v>
      </c>
      <c r="G998" s="8" t="n">
        <v>45893</v>
      </c>
      <c r="H998" s="8" t="n">
        <v>45945</v>
      </c>
      <c r="I998" s="7" t="s">
        <v>58</v>
      </c>
      <c r="J998" s="7" t="s">
        <v>51</v>
      </c>
      <c r="K998" s="7" t="n">
        <v>52</v>
      </c>
      <c r="L998" s="7" t="n">
        <v>4</v>
      </c>
      <c r="M998" s="7" t="n">
        <v>1</v>
      </c>
      <c r="N998" s="7" t="s">
        <v>42</v>
      </c>
      <c r="O998" s="7" t="s">
        <v>43</v>
      </c>
      <c r="P998" s="7" t="n">
        <v>2.8</v>
      </c>
      <c r="Q998" s="7" t="n">
        <v>33</v>
      </c>
      <c r="R998" s="7" t="s">
        <v>44</v>
      </c>
      <c r="S998" s="7"/>
      <c r="T998" s="7"/>
      <c r="U998" s="7" t="str">
        <f aca="false">IF(COUNTIF($A$2:$A$5001,A998)&gt;1,"Duplicate","Unique")</f>
        <v>Unique</v>
      </c>
      <c r="V998" s="7" t="str">
        <f aca="false">IF(COUNTIFS($B$2:$B$5001,B998,$H$2:$H$5001,H998,$J$2:$J$5001,J998)&gt;1,"Possible Duplicate Booking","Unique")</f>
        <v>Unique</v>
      </c>
      <c r="W998" s="7" t="str">
        <f aca="false">IF((H998-G998)&lt;&gt;K998,"Mismatch","OK")</f>
        <v>OK</v>
      </c>
      <c r="X998" s="7" t="str">
        <f aca="false">IF(TEXT(H998,"dddd")&lt;&gt;I998,"Mismatch","OK")</f>
        <v>OK</v>
      </c>
      <c r="Y998" s="7" t="str">
        <f aca="false">IF(AND(N998="No",O998&lt;&gt;""),"Unexpected: channel present but no reminder sent",IF(AND(N998="Yes",O998=""),"Missing channel for sent reminder","OK"))</f>
        <v>OK</v>
      </c>
    </row>
    <row r="999" customFormat="false" ht="15" hidden="false" customHeight="false" outlineLevel="0" collapsed="false">
      <c r="A999" s="9" t="s">
        <v>1838</v>
      </c>
      <c r="B999" s="9" t="s">
        <v>1839</v>
      </c>
      <c r="C999" s="9" t="s">
        <v>47</v>
      </c>
      <c r="D999" s="9" t="n">
        <v>19</v>
      </c>
      <c r="E999" s="9" t="s">
        <v>82</v>
      </c>
      <c r="F999" s="9" t="s">
        <v>74</v>
      </c>
      <c r="G999" s="10" t="n">
        <v>45795</v>
      </c>
      <c r="H999" s="10" t="n">
        <v>45854</v>
      </c>
      <c r="I999" s="9" t="s">
        <v>58</v>
      </c>
      <c r="J999" s="9" t="s">
        <v>51</v>
      </c>
      <c r="K999" s="9" t="n">
        <v>59</v>
      </c>
      <c r="L999" s="9" t="n">
        <v>6</v>
      </c>
      <c r="M999" s="9" t="n">
        <v>1</v>
      </c>
      <c r="N999" s="9" t="s">
        <v>71</v>
      </c>
      <c r="O999" s="9"/>
      <c r="P999" s="9" t="n">
        <v>18.6</v>
      </c>
      <c r="Q999" s="9" t="n">
        <v>7</v>
      </c>
      <c r="R999" s="9" t="s">
        <v>44</v>
      </c>
      <c r="S999" s="9"/>
      <c r="T999" s="9"/>
      <c r="U999" s="9" t="str">
        <f aca="false">IF(COUNTIF($A$2:$A$5001,A999)&gt;1,"Duplicate","Unique")</f>
        <v>Unique</v>
      </c>
      <c r="V999" s="9" t="str">
        <f aca="false">IF(COUNTIFS($B$2:$B$5001,B999,$H$2:$H$5001,H999,$J$2:$J$5001,J999)&gt;1,"Possible Duplicate Booking","Unique")</f>
        <v>Unique</v>
      </c>
      <c r="W999" s="9" t="str">
        <f aca="false">IF((H999-G999)&lt;&gt;K999,"Mismatch","OK")</f>
        <v>OK</v>
      </c>
      <c r="X999" s="9" t="str">
        <f aca="false">IF(TEXT(H999,"dddd")&lt;&gt;I999,"Mismatch","OK")</f>
        <v>OK</v>
      </c>
      <c r="Y999" s="9" t="str">
        <f aca="false">IF(AND(N999="No",O999&lt;&gt;""),"Unexpected: channel present but no reminder sent",IF(AND(N999="Yes",O999=""),"Missing channel for sent reminder","OK"))</f>
        <v>OK</v>
      </c>
    </row>
    <row r="1000" customFormat="false" ht="15" hidden="false" customHeight="false" outlineLevel="0" collapsed="false">
      <c r="A1000" s="7" t="s">
        <v>1840</v>
      </c>
      <c r="B1000" s="7" t="s">
        <v>1841</v>
      </c>
      <c r="C1000" s="7" t="s">
        <v>47</v>
      </c>
      <c r="D1000" s="7" t="n">
        <v>52</v>
      </c>
      <c r="E1000" s="7" t="s">
        <v>56</v>
      </c>
      <c r="F1000" s="7" t="s">
        <v>39</v>
      </c>
      <c r="G1000" s="8" t="n">
        <v>46138</v>
      </c>
      <c r="H1000" s="8" t="n">
        <v>46183</v>
      </c>
      <c r="I1000" s="7" t="s">
        <v>58</v>
      </c>
      <c r="J1000" s="7" t="s">
        <v>51</v>
      </c>
      <c r="K1000" s="7" t="n">
        <v>45</v>
      </c>
      <c r="L1000" s="7" t="n">
        <v>0</v>
      </c>
      <c r="M1000" s="7" t="n">
        <v>0</v>
      </c>
      <c r="N1000" s="7" t="s">
        <v>71</v>
      </c>
      <c r="O1000" s="7"/>
      <c r="P1000" s="7" t="n">
        <v>13.1</v>
      </c>
      <c r="Q1000" s="7" t="n">
        <v>27</v>
      </c>
      <c r="R1000" s="7" t="s">
        <v>53</v>
      </c>
      <c r="S1000" s="7"/>
      <c r="T1000" s="7"/>
      <c r="U1000" s="7" t="str">
        <f aca="false">IF(COUNTIF($A$2:$A$5001,A1000)&gt;1,"Duplicate","Unique")</f>
        <v>Unique</v>
      </c>
      <c r="V1000" s="7" t="str">
        <f aca="false">IF(COUNTIFS($B$2:$B$5001,B1000,$H$2:$H$5001,H1000,$J$2:$J$5001,J1000)&gt;1,"Possible Duplicate Booking","Unique")</f>
        <v>Unique</v>
      </c>
      <c r="W1000" s="7" t="str">
        <f aca="false">IF((H1000-G1000)&lt;&gt;K1000,"Mismatch","OK")</f>
        <v>OK</v>
      </c>
      <c r="X1000" s="7" t="str">
        <f aca="false">IF(TEXT(H1000,"dddd")&lt;&gt;I1000,"Mismatch","OK")</f>
        <v>OK</v>
      </c>
      <c r="Y1000" s="7" t="str">
        <f aca="false">IF(AND(N1000="No",O1000&lt;&gt;""),"Unexpected: channel present but no reminder sent",IF(AND(N1000="Yes",O1000=""),"Missing channel for sent reminder","OK"))</f>
        <v>OK</v>
      </c>
    </row>
    <row r="1001" customFormat="false" ht="15" hidden="false" customHeight="false" outlineLevel="0" collapsed="false">
      <c r="A1001" s="9" t="s">
        <v>1842</v>
      </c>
      <c r="B1001" s="9" t="s">
        <v>195</v>
      </c>
      <c r="C1001" s="9" t="s">
        <v>47</v>
      </c>
      <c r="D1001" s="9" t="n">
        <v>34</v>
      </c>
      <c r="E1001" s="9" t="s">
        <v>48</v>
      </c>
      <c r="F1001" s="9" t="s">
        <v>57</v>
      </c>
      <c r="G1001" s="10" t="n">
        <v>45932</v>
      </c>
      <c r="H1001" s="10" t="n">
        <v>45937</v>
      </c>
      <c r="I1001" s="9" t="s">
        <v>40</v>
      </c>
      <c r="J1001" s="9" t="s">
        <v>41</v>
      </c>
      <c r="K1001" s="9" t="n">
        <v>5</v>
      </c>
      <c r="L1001" s="9" t="n">
        <v>2</v>
      </c>
      <c r="M1001" s="9" t="n">
        <v>1</v>
      </c>
      <c r="N1001" s="9" t="s">
        <v>42</v>
      </c>
      <c r="O1001" s="9" t="s">
        <v>52</v>
      </c>
      <c r="P1001" s="9" t="n">
        <v>11.7</v>
      </c>
      <c r="Q1001" s="9" t="n">
        <v>34</v>
      </c>
      <c r="R1001" s="9" t="s">
        <v>53</v>
      </c>
      <c r="S1001" s="9"/>
      <c r="T1001" s="9"/>
      <c r="U1001" s="9" t="str">
        <f aca="false">IF(COUNTIF($A$2:$A$5001,A1001)&gt;1,"Duplicate","Unique")</f>
        <v>Unique</v>
      </c>
      <c r="V1001" s="9" t="str">
        <f aca="false">IF(COUNTIFS($B$2:$B$5001,B1001,$H$2:$H$5001,H1001,$J$2:$J$5001,J1001)&gt;1,"Possible Duplicate Booking","Unique")</f>
        <v>Unique</v>
      </c>
      <c r="W1001" s="9" t="str">
        <f aca="false">IF((H1001-G1001)&lt;&gt;K1001,"Mismatch","OK")</f>
        <v>OK</v>
      </c>
      <c r="X1001" s="9" t="str">
        <f aca="false">IF(TEXT(H1001,"dddd")&lt;&gt;I1001,"Mismatch","OK")</f>
        <v>OK</v>
      </c>
      <c r="Y1001" s="9" t="str">
        <f aca="false">IF(AND(N1001="No",O1001&lt;&gt;""),"Unexpected: channel present but no reminder sent",IF(AND(N1001="Yes",O1001=""),"Missing channel for sent reminder","OK"))</f>
        <v>OK</v>
      </c>
    </row>
    <row r="1002" customFormat="false" ht="15" hidden="false" customHeight="false" outlineLevel="0" collapsed="false">
      <c r="A1002" s="7" t="s">
        <v>1843</v>
      </c>
      <c r="B1002" s="7" t="s">
        <v>1844</v>
      </c>
      <c r="C1002" s="7" t="s">
        <v>37</v>
      </c>
      <c r="D1002" s="7" t="n">
        <v>71</v>
      </c>
      <c r="E1002" s="7" t="s">
        <v>70</v>
      </c>
      <c r="F1002" s="7" t="s">
        <v>57</v>
      </c>
      <c r="G1002" s="8" t="n">
        <v>46062</v>
      </c>
      <c r="H1002" s="8" t="n">
        <v>46099</v>
      </c>
      <c r="I1002" s="7" t="s">
        <v>58</v>
      </c>
      <c r="J1002" s="7" t="s">
        <v>41</v>
      </c>
      <c r="K1002" s="7" t="n">
        <v>37</v>
      </c>
      <c r="L1002" s="7" t="n">
        <v>3</v>
      </c>
      <c r="M1002" s="7" t="n">
        <v>0</v>
      </c>
      <c r="N1002" s="7" t="s">
        <v>42</v>
      </c>
      <c r="O1002" s="7" t="s">
        <v>67</v>
      </c>
      <c r="P1002" s="7" t="n">
        <v>7</v>
      </c>
      <c r="Q1002" s="7" t="n">
        <v>9</v>
      </c>
      <c r="R1002" s="7" t="s">
        <v>53</v>
      </c>
      <c r="S1002" s="7"/>
      <c r="T1002" s="7"/>
      <c r="U1002" s="7" t="str">
        <f aca="false">IF(COUNTIF($A$2:$A$5001,A1002)&gt;1,"Duplicate","Unique")</f>
        <v>Unique</v>
      </c>
      <c r="V1002" s="7" t="str">
        <f aca="false">IF(COUNTIFS($B$2:$B$5001,B1002,$H$2:$H$5001,H1002,$J$2:$J$5001,J1002)&gt;1,"Possible Duplicate Booking","Unique")</f>
        <v>Unique</v>
      </c>
      <c r="W1002" s="7" t="str">
        <f aca="false">IF((H1002-G1002)&lt;&gt;K1002,"Mismatch","OK")</f>
        <v>OK</v>
      </c>
      <c r="X1002" s="7" t="str">
        <f aca="false">IF(TEXT(H1002,"dddd")&lt;&gt;I1002,"Mismatch","OK")</f>
        <v>OK</v>
      </c>
      <c r="Y1002" s="7" t="str">
        <f aca="false">IF(AND(N1002="No",O1002&lt;&gt;""),"Unexpected: channel present but no reminder sent",IF(AND(N1002="Yes",O1002=""),"Missing channel for sent reminder","OK"))</f>
        <v>OK</v>
      </c>
    </row>
    <row r="1003" customFormat="false" ht="15" hidden="false" customHeight="false" outlineLevel="0" collapsed="false">
      <c r="A1003" s="9" t="s">
        <v>1845</v>
      </c>
      <c r="B1003" s="9" t="s">
        <v>1846</v>
      </c>
      <c r="C1003" s="9" t="s">
        <v>47</v>
      </c>
      <c r="D1003" s="9" t="n">
        <v>28</v>
      </c>
      <c r="E1003" s="9" t="s">
        <v>48</v>
      </c>
      <c r="F1003" s="9" t="s">
        <v>49</v>
      </c>
      <c r="G1003" s="10" t="n">
        <v>46010</v>
      </c>
      <c r="H1003" s="10" t="n">
        <v>46060</v>
      </c>
      <c r="I1003" s="9" t="s">
        <v>102</v>
      </c>
      <c r="J1003" s="9" t="s">
        <v>51</v>
      </c>
      <c r="K1003" s="9" t="n">
        <v>50</v>
      </c>
      <c r="L1003" s="9" t="n">
        <v>4</v>
      </c>
      <c r="M1003" s="9" t="n">
        <v>0</v>
      </c>
      <c r="N1003" s="9" t="s">
        <v>42</v>
      </c>
      <c r="O1003" s="9" t="s">
        <v>43</v>
      </c>
      <c r="P1003" s="9" t="n">
        <v>17.9</v>
      </c>
      <c r="Q1003" s="9" t="n">
        <v>26</v>
      </c>
      <c r="R1003" s="9" t="s">
        <v>44</v>
      </c>
      <c r="S1003" s="9"/>
      <c r="T1003" s="9"/>
      <c r="U1003" s="9" t="str">
        <f aca="false">IF(COUNTIF($A$2:$A$5001,A1003)&gt;1,"Duplicate","Unique")</f>
        <v>Unique</v>
      </c>
      <c r="V1003" s="9" t="str">
        <f aca="false">IF(COUNTIFS($B$2:$B$5001,B1003,$H$2:$H$5001,H1003,$J$2:$J$5001,J1003)&gt;1,"Possible Duplicate Booking","Unique")</f>
        <v>Unique</v>
      </c>
      <c r="W1003" s="9" t="str">
        <f aca="false">IF((H1003-G1003)&lt;&gt;K1003,"Mismatch","OK")</f>
        <v>OK</v>
      </c>
      <c r="X1003" s="9" t="str">
        <f aca="false">IF(TEXT(H1003,"dddd")&lt;&gt;I1003,"Mismatch","OK")</f>
        <v>OK</v>
      </c>
      <c r="Y1003" s="9" t="str">
        <f aca="false">IF(AND(N1003="No",O1003&lt;&gt;""),"Unexpected: channel present but no reminder sent",IF(AND(N1003="Yes",O1003=""),"Missing channel for sent reminder","OK"))</f>
        <v>OK</v>
      </c>
    </row>
    <row r="1004" customFormat="false" ht="15" hidden="false" customHeight="false" outlineLevel="0" collapsed="false">
      <c r="A1004" s="7" t="s">
        <v>1847</v>
      </c>
      <c r="B1004" s="7" t="s">
        <v>158</v>
      </c>
      <c r="C1004" s="7" t="s">
        <v>47</v>
      </c>
      <c r="D1004" s="7" t="n">
        <v>58</v>
      </c>
      <c r="E1004" s="7" t="s">
        <v>61</v>
      </c>
      <c r="F1004" s="7" t="s">
        <v>57</v>
      </c>
      <c r="G1004" s="8" t="n">
        <v>45923</v>
      </c>
      <c r="H1004" s="8" t="n">
        <v>45962</v>
      </c>
      <c r="I1004" s="7" t="s">
        <v>102</v>
      </c>
      <c r="J1004" s="7" t="s">
        <v>41</v>
      </c>
      <c r="K1004" s="7" t="n">
        <v>39</v>
      </c>
      <c r="L1004" s="7" t="n">
        <v>4</v>
      </c>
      <c r="M1004" s="7" t="n">
        <v>0</v>
      </c>
      <c r="N1004" s="7" t="s">
        <v>71</v>
      </c>
      <c r="O1004" s="7"/>
      <c r="P1004" s="7" t="n">
        <v>19.7</v>
      </c>
      <c r="Q1004" s="7" t="n">
        <v>25</v>
      </c>
      <c r="R1004" s="7" t="s">
        <v>53</v>
      </c>
      <c r="S1004" s="7"/>
      <c r="T1004" s="7"/>
      <c r="U1004" s="7" t="str">
        <f aca="false">IF(COUNTIF($A$2:$A$5001,A1004)&gt;1,"Duplicate","Unique")</f>
        <v>Unique</v>
      </c>
      <c r="V1004" s="7" t="str">
        <f aca="false">IF(COUNTIFS($B$2:$B$5001,B1004,$H$2:$H$5001,H1004,$J$2:$J$5001,J1004)&gt;1,"Possible Duplicate Booking","Unique")</f>
        <v>Unique</v>
      </c>
      <c r="W1004" s="7" t="str">
        <f aca="false">IF((H1004-G1004)&lt;&gt;K1004,"Mismatch","OK")</f>
        <v>OK</v>
      </c>
      <c r="X1004" s="7" t="str">
        <f aca="false">IF(TEXT(H1004,"dddd")&lt;&gt;I1004,"Mismatch","OK")</f>
        <v>OK</v>
      </c>
      <c r="Y1004" s="7" t="str">
        <f aca="false">IF(AND(N1004="No",O1004&lt;&gt;""),"Unexpected: channel present but no reminder sent",IF(AND(N1004="Yes",O1004=""),"Missing channel for sent reminder","OK"))</f>
        <v>OK</v>
      </c>
    </row>
    <row r="1005" customFormat="false" ht="15" hidden="false" customHeight="false" outlineLevel="0" collapsed="false">
      <c r="A1005" s="9" t="s">
        <v>1848</v>
      </c>
      <c r="B1005" s="9" t="s">
        <v>1616</v>
      </c>
      <c r="C1005" s="9" t="s">
        <v>37</v>
      </c>
      <c r="D1005" s="9" t="n">
        <v>49</v>
      </c>
      <c r="E1005" s="9" t="s">
        <v>56</v>
      </c>
      <c r="F1005" s="9" t="s">
        <v>39</v>
      </c>
      <c r="G1005" s="10" t="n">
        <v>46105</v>
      </c>
      <c r="H1005" s="10" t="n">
        <v>46141</v>
      </c>
      <c r="I1005" s="9" t="s">
        <v>58</v>
      </c>
      <c r="J1005" s="9" t="s">
        <v>51</v>
      </c>
      <c r="K1005" s="9" t="n">
        <v>36</v>
      </c>
      <c r="L1005" s="9" t="n">
        <v>3</v>
      </c>
      <c r="M1005" s="9" t="n">
        <v>1</v>
      </c>
      <c r="N1005" s="9" t="s">
        <v>42</v>
      </c>
      <c r="O1005" s="9" t="s">
        <v>67</v>
      </c>
      <c r="P1005" s="9" t="n">
        <v>11.1</v>
      </c>
      <c r="Q1005" s="9" t="n">
        <v>28</v>
      </c>
      <c r="R1005" s="9" t="s">
        <v>44</v>
      </c>
      <c r="S1005" s="9"/>
      <c r="T1005" s="9"/>
      <c r="U1005" s="9" t="str">
        <f aca="false">IF(COUNTIF($A$2:$A$5001,A1005)&gt;1,"Duplicate","Unique")</f>
        <v>Unique</v>
      </c>
      <c r="V1005" s="9" t="str">
        <f aca="false">IF(COUNTIFS($B$2:$B$5001,B1005,$H$2:$H$5001,H1005,$J$2:$J$5001,J1005)&gt;1,"Possible Duplicate Booking","Unique")</f>
        <v>Unique</v>
      </c>
      <c r="W1005" s="9" t="str">
        <f aca="false">IF((H1005-G1005)&lt;&gt;K1005,"Mismatch","OK")</f>
        <v>OK</v>
      </c>
      <c r="X1005" s="9" t="str">
        <f aca="false">IF(TEXT(H1005,"dddd")&lt;&gt;I1005,"Mismatch","OK")</f>
        <v>OK</v>
      </c>
      <c r="Y1005" s="9" t="str">
        <f aca="false">IF(AND(N1005="No",O1005&lt;&gt;""),"Unexpected: channel present but no reminder sent",IF(AND(N1005="Yes",O1005=""),"Missing channel for sent reminder","OK"))</f>
        <v>OK</v>
      </c>
    </row>
    <row r="1006" customFormat="false" ht="15" hidden="false" customHeight="false" outlineLevel="0" collapsed="false">
      <c r="A1006" s="7" t="s">
        <v>1849</v>
      </c>
      <c r="B1006" s="7" t="s">
        <v>1494</v>
      </c>
      <c r="C1006" s="7" t="s">
        <v>47</v>
      </c>
      <c r="D1006" s="7" t="n">
        <v>56</v>
      </c>
      <c r="E1006" s="7" t="s">
        <v>61</v>
      </c>
      <c r="F1006" s="7" t="s">
        <v>39</v>
      </c>
      <c r="G1006" s="8" t="n">
        <v>45700</v>
      </c>
      <c r="H1006" s="8" t="n">
        <v>45728</v>
      </c>
      <c r="I1006" s="7" t="s">
        <v>58</v>
      </c>
      <c r="J1006" s="7" t="s">
        <v>51</v>
      </c>
      <c r="K1006" s="7" t="n">
        <v>28</v>
      </c>
      <c r="L1006" s="7" t="n">
        <v>4</v>
      </c>
      <c r="M1006" s="7" t="n">
        <v>0</v>
      </c>
      <c r="N1006" s="7" t="s">
        <v>42</v>
      </c>
      <c r="O1006" s="7" t="s">
        <v>52</v>
      </c>
      <c r="P1006" s="7" t="n">
        <v>11.8</v>
      </c>
      <c r="Q1006" s="7" t="n">
        <v>21</v>
      </c>
      <c r="R1006" s="7" t="s">
        <v>53</v>
      </c>
      <c r="S1006" s="7"/>
      <c r="T1006" s="7"/>
      <c r="U1006" s="7" t="str">
        <f aca="false">IF(COUNTIF($A$2:$A$5001,A1006)&gt;1,"Duplicate","Unique")</f>
        <v>Unique</v>
      </c>
      <c r="V1006" s="7" t="str">
        <f aca="false">IF(COUNTIFS($B$2:$B$5001,B1006,$H$2:$H$5001,H1006,$J$2:$J$5001,J1006)&gt;1,"Possible Duplicate Booking","Unique")</f>
        <v>Unique</v>
      </c>
      <c r="W1006" s="7" t="str">
        <f aca="false">IF((H1006-G1006)&lt;&gt;K1006,"Mismatch","OK")</f>
        <v>OK</v>
      </c>
      <c r="X1006" s="7" t="str">
        <f aca="false">IF(TEXT(H1006,"dddd")&lt;&gt;I1006,"Mismatch","OK")</f>
        <v>OK</v>
      </c>
      <c r="Y1006" s="7" t="str">
        <f aca="false">IF(AND(N1006="No",O1006&lt;&gt;""),"Unexpected: channel present but no reminder sent",IF(AND(N1006="Yes",O1006=""),"Missing channel for sent reminder","OK"))</f>
        <v>OK</v>
      </c>
    </row>
    <row r="1007" customFormat="false" ht="15" hidden="false" customHeight="false" outlineLevel="0" collapsed="false">
      <c r="A1007" s="9" t="s">
        <v>1850</v>
      </c>
      <c r="B1007" s="9" t="s">
        <v>1851</v>
      </c>
      <c r="C1007" s="9" t="s">
        <v>47</v>
      </c>
      <c r="D1007" s="9" t="n">
        <v>25</v>
      </c>
      <c r="E1007" s="9" t="s">
        <v>48</v>
      </c>
      <c r="F1007" s="9" t="s">
        <v>57</v>
      </c>
      <c r="G1007" s="10" t="n">
        <v>46146</v>
      </c>
      <c r="H1007" s="10" t="n">
        <v>46160</v>
      </c>
      <c r="I1007" s="9" t="s">
        <v>66</v>
      </c>
      <c r="J1007" s="9" t="s">
        <v>41</v>
      </c>
      <c r="K1007" s="9" t="n">
        <v>14</v>
      </c>
      <c r="L1007" s="9" t="n">
        <v>5</v>
      </c>
      <c r="M1007" s="9" t="n">
        <v>1</v>
      </c>
      <c r="N1007" s="9" t="s">
        <v>71</v>
      </c>
      <c r="O1007" s="9"/>
      <c r="P1007" s="9" t="n">
        <v>29.2</v>
      </c>
      <c r="Q1007" s="9" t="n">
        <v>8</v>
      </c>
      <c r="R1007" s="9" t="s">
        <v>53</v>
      </c>
      <c r="S1007" s="9"/>
      <c r="T1007" s="9"/>
      <c r="U1007" s="9" t="str">
        <f aca="false">IF(COUNTIF($A$2:$A$5001,A1007)&gt;1,"Duplicate","Unique")</f>
        <v>Unique</v>
      </c>
      <c r="V1007" s="9" t="str">
        <f aca="false">IF(COUNTIFS($B$2:$B$5001,B1007,$H$2:$H$5001,H1007,$J$2:$J$5001,J1007)&gt;1,"Possible Duplicate Booking","Unique")</f>
        <v>Unique</v>
      </c>
      <c r="W1007" s="9" t="str">
        <f aca="false">IF((H1007-G1007)&lt;&gt;K1007,"Mismatch","OK")</f>
        <v>OK</v>
      </c>
      <c r="X1007" s="9" t="str">
        <f aca="false">IF(TEXT(H1007,"dddd")&lt;&gt;I1007,"Mismatch","OK")</f>
        <v>OK</v>
      </c>
      <c r="Y1007" s="9" t="str">
        <f aca="false">IF(AND(N1007="No",O1007&lt;&gt;""),"Unexpected: channel present but no reminder sent",IF(AND(N1007="Yes",O1007=""),"Missing channel for sent reminder","OK"))</f>
        <v>OK</v>
      </c>
    </row>
    <row r="1008" customFormat="false" ht="15" hidden="false" customHeight="false" outlineLevel="0" collapsed="false">
      <c r="A1008" s="7" t="s">
        <v>1852</v>
      </c>
      <c r="B1008" s="7" t="s">
        <v>1301</v>
      </c>
      <c r="C1008" s="7" t="s">
        <v>47</v>
      </c>
      <c r="D1008" s="7" t="n">
        <v>47</v>
      </c>
      <c r="E1008" s="7" t="s">
        <v>56</v>
      </c>
      <c r="F1008" s="7" t="s">
        <v>39</v>
      </c>
      <c r="G1008" s="8" t="n">
        <v>46105</v>
      </c>
      <c r="H1008" s="8" t="n">
        <v>46122</v>
      </c>
      <c r="I1008" s="7" t="s">
        <v>50</v>
      </c>
      <c r="J1008" s="7" t="s">
        <v>51</v>
      </c>
      <c r="K1008" s="7" t="n">
        <v>17</v>
      </c>
      <c r="L1008" s="7" t="n">
        <v>3</v>
      </c>
      <c r="M1008" s="7" t="n">
        <v>0</v>
      </c>
      <c r="N1008" s="7" t="s">
        <v>71</v>
      </c>
      <c r="O1008" s="7"/>
      <c r="P1008" s="7" t="n">
        <v>0.6</v>
      </c>
      <c r="Q1008" s="7" t="n">
        <v>20</v>
      </c>
      <c r="R1008" s="7" t="s">
        <v>44</v>
      </c>
      <c r="S1008" s="7"/>
      <c r="T1008" s="7"/>
      <c r="U1008" s="7" t="str">
        <f aca="false">IF(COUNTIF($A$2:$A$5001,A1008)&gt;1,"Duplicate","Unique")</f>
        <v>Unique</v>
      </c>
      <c r="V1008" s="7" t="str">
        <f aca="false">IF(COUNTIFS($B$2:$B$5001,B1008,$H$2:$H$5001,H1008,$J$2:$J$5001,J1008)&gt;1,"Possible Duplicate Booking","Unique")</f>
        <v>Unique</v>
      </c>
      <c r="W1008" s="7" t="str">
        <f aca="false">IF((H1008-G1008)&lt;&gt;K1008,"Mismatch","OK")</f>
        <v>OK</v>
      </c>
      <c r="X1008" s="7" t="str">
        <f aca="false">IF(TEXT(H1008,"dddd")&lt;&gt;I1008,"Mismatch","OK")</f>
        <v>OK</v>
      </c>
      <c r="Y1008" s="7" t="str">
        <f aca="false">IF(AND(N1008="No",O1008&lt;&gt;""),"Unexpected: channel present but no reminder sent",IF(AND(N1008="Yes",O1008=""),"Missing channel for sent reminder","OK"))</f>
        <v>OK</v>
      </c>
    </row>
    <row r="1009" customFormat="false" ht="15" hidden="false" customHeight="false" outlineLevel="0" collapsed="false">
      <c r="A1009" s="9" t="s">
        <v>1853</v>
      </c>
      <c r="B1009" s="9" t="s">
        <v>1854</v>
      </c>
      <c r="C1009" s="9" t="s">
        <v>37</v>
      </c>
      <c r="D1009" s="9" t="n">
        <v>57</v>
      </c>
      <c r="E1009" s="9" t="s">
        <v>61</v>
      </c>
      <c r="F1009" s="9" t="s">
        <v>57</v>
      </c>
      <c r="G1009" s="10" t="n">
        <v>45887</v>
      </c>
      <c r="H1009" s="10" t="n">
        <v>45932</v>
      </c>
      <c r="I1009" s="9" t="s">
        <v>62</v>
      </c>
      <c r="J1009" s="9" t="s">
        <v>41</v>
      </c>
      <c r="K1009" s="9" t="n">
        <v>45</v>
      </c>
      <c r="L1009" s="9" t="n">
        <v>5</v>
      </c>
      <c r="M1009" s="9" t="n">
        <v>1</v>
      </c>
      <c r="N1009" s="9" t="s">
        <v>71</v>
      </c>
      <c r="O1009" s="9"/>
      <c r="P1009" s="9" t="n">
        <v>21.1</v>
      </c>
      <c r="Q1009" s="9" t="n">
        <v>18</v>
      </c>
      <c r="R1009" s="9" t="s">
        <v>44</v>
      </c>
      <c r="S1009" s="9"/>
      <c r="T1009" s="9"/>
      <c r="U1009" s="9" t="str">
        <f aca="false">IF(COUNTIF($A$2:$A$5001,A1009)&gt;1,"Duplicate","Unique")</f>
        <v>Unique</v>
      </c>
      <c r="V1009" s="9" t="str">
        <f aca="false">IF(COUNTIFS($B$2:$B$5001,B1009,$H$2:$H$5001,H1009,$J$2:$J$5001,J1009)&gt;1,"Possible Duplicate Booking","Unique")</f>
        <v>Unique</v>
      </c>
      <c r="W1009" s="9" t="str">
        <f aca="false">IF((H1009-G1009)&lt;&gt;K1009,"Mismatch","OK")</f>
        <v>OK</v>
      </c>
      <c r="X1009" s="9" t="str">
        <f aca="false">IF(TEXT(H1009,"dddd")&lt;&gt;I1009,"Mismatch","OK")</f>
        <v>OK</v>
      </c>
      <c r="Y1009" s="9" t="str">
        <f aca="false">IF(AND(N1009="No",O1009&lt;&gt;""),"Unexpected: channel present but no reminder sent",IF(AND(N1009="Yes",O1009=""),"Missing channel for sent reminder","OK"))</f>
        <v>OK</v>
      </c>
    </row>
    <row r="1010" customFormat="false" ht="15" hidden="false" customHeight="false" outlineLevel="0" collapsed="false">
      <c r="A1010" s="7" t="s">
        <v>1855</v>
      </c>
      <c r="B1010" s="7" t="s">
        <v>1856</v>
      </c>
      <c r="C1010" s="7" t="s">
        <v>37</v>
      </c>
      <c r="D1010" s="7" t="n">
        <v>39</v>
      </c>
      <c r="E1010" s="7" t="s">
        <v>38</v>
      </c>
      <c r="F1010" s="7" t="s">
        <v>74</v>
      </c>
      <c r="G1010" s="8" t="n">
        <v>46054</v>
      </c>
      <c r="H1010" s="8" t="n">
        <v>46058</v>
      </c>
      <c r="I1010" s="7" t="s">
        <v>62</v>
      </c>
      <c r="J1010" s="7" t="s">
        <v>51</v>
      </c>
      <c r="K1010" s="7" t="n">
        <v>4</v>
      </c>
      <c r="L1010" s="7" t="n">
        <v>5</v>
      </c>
      <c r="M1010" s="7" t="n">
        <v>1</v>
      </c>
      <c r="N1010" s="7" t="s">
        <v>42</v>
      </c>
      <c r="O1010" s="7" t="s">
        <v>52</v>
      </c>
      <c r="P1010" s="7" t="n">
        <v>8.7</v>
      </c>
      <c r="Q1010" s="7" t="n">
        <v>23</v>
      </c>
      <c r="R1010" s="7" t="s">
        <v>53</v>
      </c>
      <c r="S1010" s="7"/>
      <c r="T1010" s="7"/>
      <c r="U1010" s="7" t="str">
        <f aca="false">IF(COUNTIF($A$2:$A$5001,A1010)&gt;1,"Duplicate","Unique")</f>
        <v>Unique</v>
      </c>
      <c r="V1010" s="7" t="str">
        <f aca="false">IF(COUNTIFS($B$2:$B$5001,B1010,$H$2:$H$5001,H1010,$J$2:$J$5001,J1010)&gt;1,"Possible Duplicate Booking","Unique")</f>
        <v>Unique</v>
      </c>
      <c r="W1010" s="7" t="str">
        <f aca="false">IF((H1010-G1010)&lt;&gt;K1010,"Mismatch","OK")</f>
        <v>OK</v>
      </c>
      <c r="X1010" s="7" t="str">
        <f aca="false">IF(TEXT(H1010,"dddd")&lt;&gt;I1010,"Mismatch","OK")</f>
        <v>OK</v>
      </c>
      <c r="Y1010" s="7" t="str">
        <f aca="false">IF(AND(N1010="No",O1010&lt;&gt;""),"Unexpected: channel present but no reminder sent",IF(AND(N1010="Yes",O1010=""),"Missing channel for sent reminder","OK"))</f>
        <v>OK</v>
      </c>
    </row>
    <row r="1011" customFormat="false" ht="15" hidden="false" customHeight="false" outlineLevel="0" collapsed="false">
      <c r="A1011" s="9" t="s">
        <v>1857</v>
      </c>
      <c r="B1011" s="9" t="s">
        <v>799</v>
      </c>
      <c r="C1011" s="9" t="s">
        <v>47</v>
      </c>
      <c r="D1011" s="9" t="n">
        <v>73</v>
      </c>
      <c r="E1011" s="9" t="s">
        <v>70</v>
      </c>
      <c r="F1011" s="9" t="s">
        <v>49</v>
      </c>
      <c r="G1011" s="10" t="n">
        <v>45937</v>
      </c>
      <c r="H1011" s="10" t="n">
        <v>45942</v>
      </c>
      <c r="I1011" s="9" t="s">
        <v>75</v>
      </c>
      <c r="J1011" s="9" t="s">
        <v>41</v>
      </c>
      <c r="K1011" s="9" t="n">
        <v>5</v>
      </c>
      <c r="L1011" s="9" t="n">
        <v>0</v>
      </c>
      <c r="M1011" s="9" t="n">
        <v>0</v>
      </c>
      <c r="N1011" s="9" t="s">
        <v>42</v>
      </c>
      <c r="O1011" s="9" t="s">
        <v>43</v>
      </c>
      <c r="P1011" s="9" t="n">
        <v>22.3</v>
      </c>
      <c r="Q1011" s="9" t="n">
        <v>37</v>
      </c>
      <c r="R1011" s="9" t="s">
        <v>53</v>
      </c>
      <c r="S1011" s="9"/>
      <c r="T1011" s="9"/>
      <c r="U1011" s="9" t="str">
        <f aca="false">IF(COUNTIF($A$2:$A$5001,A1011)&gt;1,"Duplicate","Unique")</f>
        <v>Unique</v>
      </c>
      <c r="V1011" s="9" t="str">
        <f aca="false">IF(COUNTIFS($B$2:$B$5001,B1011,$H$2:$H$5001,H1011,$J$2:$J$5001,J1011)&gt;1,"Possible Duplicate Booking","Unique")</f>
        <v>Unique</v>
      </c>
      <c r="W1011" s="9" t="str">
        <f aca="false">IF((H1011-G1011)&lt;&gt;K1011,"Mismatch","OK")</f>
        <v>OK</v>
      </c>
      <c r="X1011" s="9" t="str">
        <f aca="false">IF(TEXT(H1011,"dddd")&lt;&gt;I1011,"Mismatch","OK")</f>
        <v>OK</v>
      </c>
      <c r="Y1011" s="9" t="str">
        <f aca="false">IF(AND(N1011="No",O1011&lt;&gt;""),"Unexpected: channel present but no reminder sent",IF(AND(N1011="Yes",O1011=""),"Missing channel for sent reminder","OK"))</f>
        <v>OK</v>
      </c>
    </row>
    <row r="1012" customFormat="false" ht="15" hidden="false" customHeight="false" outlineLevel="0" collapsed="false">
      <c r="A1012" s="7" t="s">
        <v>1858</v>
      </c>
      <c r="B1012" s="7" t="s">
        <v>1859</v>
      </c>
      <c r="C1012" s="7" t="s">
        <v>47</v>
      </c>
      <c r="D1012" s="7" t="n">
        <v>51</v>
      </c>
      <c r="E1012" s="7" t="s">
        <v>56</v>
      </c>
      <c r="F1012" s="7" t="s">
        <v>57</v>
      </c>
      <c r="G1012" s="8" t="n">
        <v>45780</v>
      </c>
      <c r="H1012" s="8" t="n">
        <v>45804</v>
      </c>
      <c r="I1012" s="7" t="s">
        <v>40</v>
      </c>
      <c r="J1012" s="7" t="s">
        <v>51</v>
      </c>
      <c r="K1012" s="7" t="n">
        <v>24</v>
      </c>
      <c r="L1012" s="7" t="n">
        <v>3</v>
      </c>
      <c r="M1012" s="7" t="n">
        <v>0</v>
      </c>
      <c r="N1012" s="7" t="s">
        <v>42</v>
      </c>
      <c r="O1012" s="7" t="s">
        <v>52</v>
      </c>
      <c r="P1012" s="7" t="n">
        <v>4.3</v>
      </c>
      <c r="Q1012" s="7" t="n">
        <v>8</v>
      </c>
      <c r="R1012" s="7" t="s">
        <v>44</v>
      </c>
      <c r="S1012" s="7"/>
      <c r="T1012" s="7"/>
      <c r="U1012" s="7" t="str">
        <f aca="false">IF(COUNTIF($A$2:$A$5001,A1012)&gt;1,"Duplicate","Unique")</f>
        <v>Unique</v>
      </c>
      <c r="V1012" s="7" t="str">
        <f aca="false">IF(COUNTIFS($B$2:$B$5001,B1012,$H$2:$H$5001,H1012,$J$2:$J$5001,J1012)&gt;1,"Possible Duplicate Booking","Unique")</f>
        <v>Unique</v>
      </c>
      <c r="W1012" s="7" t="str">
        <f aca="false">IF((H1012-G1012)&lt;&gt;K1012,"Mismatch","OK")</f>
        <v>OK</v>
      </c>
      <c r="X1012" s="7" t="str">
        <f aca="false">IF(TEXT(H1012,"dddd")&lt;&gt;I1012,"Mismatch","OK")</f>
        <v>OK</v>
      </c>
      <c r="Y1012" s="7" t="str">
        <f aca="false">IF(AND(N1012="No",O1012&lt;&gt;""),"Unexpected: channel present but no reminder sent",IF(AND(N1012="Yes",O1012=""),"Missing channel for sent reminder","OK"))</f>
        <v>OK</v>
      </c>
    </row>
    <row r="1013" customFormat="false" ht="15" hidden="false" customHeight="false" outlineLevel="0" collapsed="false">
      <c r="A1013" s="9" t="s">
        <v>1860</v>
      </c>
      <c r="B1013" s="9" t="s">
        <v>1861</v>
      </c>
      <c r="C1013" s="9" t="s">
        <v>37</v>
      </c>
      <c r="D1013" s="9" t="n">
        <v>40</v>
      </c>
      <c r="E1013" s="9" t="s">
        <v>38</v>
      </c>
      <c r="F1013" s="9" t="s">
        <v>39</v>
      </c>
      <c r="G1013" s="10" t="n">
        <v>46047</v>
      </c>
      <c r="H1013" s="10" t="n">
        <v>46094</v>
      </c>
      <c r="I1013" s="9" t="s">
        <v>50</v>
      </c>
      <c r="J1013" s="9" t="s">
        <v>51</v>
      </c>
      <c r="K1013" s="9" t="n">
        <v>47</v>
      </c>
      <c r="L1013" s="9" t="n">
        <v>0</v>
      </c>
      <c r="M1013" s="9" t="n">
        <v>0</v>
      </c>
      <c r="N1013" s="9" t="s">
        <v>42</v>
      </c>
      <c r="O1013" s="9" t="s">
        <v>67</v>
      </c>
      <c r="P1013" s="9" t="n">
        <v>10.9</v>
      </c>
      <c r="Q1013" s="9" t="n">
        <v>35</v>
      </c>
      <c r="R1013" s="9" t="s">
        <v>44</v>
      </c>
      <c r="S1013" s="9"/>
      <c r="T1013" s="9"/>
      <c r="U1013" s="9" t="str">
        <f aca="false">IF(COUNTIF($A$2:$A$5001,A1013)&gt;1,"Duplicate","Unique")</f>
        <v>Unique</v>
      </c>
      <c r="V1013" s="9" t="str">
        <f aca="false">IF(COUNTIFS($B$2:$B$5001,B1013,$H$2:$H$5001,H1013,$J$2:$J$5001,J1013)&gt;1,"Possible Duplicate Booking","Unique")</f>
        <v>Unique</v>
      </c>
      <c r="W1013" s="9" t="str">
        <f aca="false">IF((H1013-G1013)&lt;&gt;K1013,"Mismatch","OK")</f>
        <v>OK</v>
      </c>
      <c r="X1013" s="9" t="str">
        <f aca="false">IF(TEXT(H1013,"dddd")&lt;&gt;I1013,"Mismatch","OK")</f>
        <v>OK</v>
      </c>
      <c r="Y1013" s="9" t="str">
        <f aca="false">IF(AND(N1013="No",O1013&lt;&gt;""),"Unexpected: channel present but no reminder sent",IF(AND(N1013="Yes",O1013=""),"Missing channel for sent reminder","OK"))</f>
        <v>OK</v>
      </c>
    </row>
    <row r="1014" customFormat="false" ht="15" hidden="false" customHeight="false" outlineLevel="0" collapsed="false">
      <c r="A1014" s="7" t="s">
        <v>1862</v>
      </c>
      <c r="B1014" s="7" t="s">
        <v>1863</v>
      </c>
      <c r="C1014" s="7" t="s">
        <v>236</v>
      </c>
      <c r="D1014" s="7" t="n">
        <v>19</v>
      </c>
      <c r="E1014" s="7" t="s">
        <v>82</v>
      </c>
      <c r="F1014" s="7" t="s">
        <v>39</v>
      </c>
      <c r="G1014" s="8" t="n">
        <v>45752</v>
      </c>
      <c r="H1014" s="8" t="n">
        <v>45792</v>
      </c>
      <c r="I1014" s="7" t="s">
        <v>62</v>
      </c>
      <c r="J1014" s="7" t="s">
        <v>41</v>
      </c>
      <c r="K1014" s="7" t="n">
        <v>40</v>
      </c>
      <c r="L1014" s="7" t="n">
        <v>5</v>
      </c>
      <c r="M1014" s="7" t="n">
        <v>0</v>
      </c>
      <c r="N1014" s="7" t="s">
        <v>71</v>
      </c>
      <c r="O1014" s="7"/>
      <c r="P1014" s="7" t="n">
        <v>10.8</v>
      </c>
      <c r="Q1014" s="7" t="n">
        <v>43</v>
      </c>
      <c r="R1014" s="7" t="s">
        <v>53</v>
      </c>
      <c r="S1014" s="7"/>
      <c r="T1014" s="7"/>
      <c r="U1014" s="7" t="str">
        <f aca="false">IF(COUNTIF($A$2:$A$5001,A1014)&gt;1,"Duplicate","Unique")</f>
        <v>Unique</v>
      </c>
      <c r="V1014" s="7" t="str">
        <f aca="false">IF(COUNTIFS($B$2:$B$5001,B1014,$H$2:$H$5001,H1014,$J$2:$J$5001,J1014)&gt;1,"Possible Duplicate Booking","Unique")</f>
        <v>Unique</v>
      </c>
      <c r="W1014" s="7" t="str">
        <f aca="false">IF((H1014-G1014)&lt;&gt;K1014,"Mismatch","OK")</f>
        <v>OK</v>
      </c>
      <c r="X1014" s="7" t="str">
        <f aca="false">IF(TEXT(H1014,"dddd")&lt;&gt;I1014,"Mismatch","OK")</f>
        <v>OK</v>
      </c>
      <c r="Y1014" s="7" t="str">
        <f aca="false">IF(AND(N1014="No",O1014&lt;&gt;""),"Unexpected: channel present but no reminder sent",IF(AND(N1014="Yes",O1014=""),"Missing channel for sent reminder","OK"))</f>
        <v>OK</v>
      </c>
    </row>
    <row r="1015" customFormat="false" ht="15" hidden="false" customHeight="false" outlineLevel="0" collapsed="false">
      <c r="A1015" s="9" t="s">
        <v>1864</v>
      </c>
      <c r="B1015" s="9" t="s">
        <v>1865</v>
      </c>
      <c r="C1015" s="9" t="s">
        <v>37</v>
      </c>
      <c r="D1015" s="9" t="n">
        <v>28</v>
      </c>
      <c r="E1015" s="9" t="s">
        <v>48</v>
      </c>
      <c r="F1015" s="9" t="s">
        <v>74</v>
      </c>
      <c r="G1015" s="10" t="n">
        <v>45794</v>
      </c>
      <c r="H1015" s="10" t="n">
        <v>45829</v>
      </c>
      <c r="I1015" s="9" t="s">
        <v>102</v>
      </c>
      <c r="J1015" s="9" t="s">
        <v>41</v>
      </c>
      <c r="K1015" s="9" t="n">
        <v>35</v>
      </c>
      <c r="L1015" s="9" t="n">
        <v>6</v>
      </c>
      <c r="M1015" s="9" t="n">
        <v>1</v>
      </c>
      <c r="N1015" s="9" t="s">
        <v>42</v>
      </c>
      <c r="O1015" s="9" t="s">
        <v>43</v>
      </c>
      <c r="P1015" s="9" t="n">
        <v>12.5</v>
      </c>
      <c r="Q1015" s="9" t="n">
        <v>43</v>
      </c>
      <c r="R1015" s="9" t="s">
        <v>53</v>
      </c>
      <c r="S1015" s="9"/>
      <c r="T1015" s="9"/>
      <c r="U1015" s="9" t="str">
        <f aca="false">IF(COUNTIF($A$2:$A$5001,A1015)&gt;1,"Duplicate","Unique")</f>
        <v>Unique</v>
      </c>
      <c r="V1015" s="9" t="str">
        <f aca="false">IF(COUNTIFS($B$2:$B$5001,B1015,$H$2:$H$5001,H1015,$J$2:$J$5001,J1015)&gt;1,"Possible Duplicate Booking","Unique")</f>
        <v>Unique</v>
      </c>
      <c r="W1015" s="9" t="str">
        <f aca="false">IF((H1015-G1015)&lt;&gt;K1015,"Mismatch","OK")</f>
        <v>OK</v>
      </c>
      <c r="X1015" s="9" t="str">
        <f aca="false">IF(TEXT(H1015,"dddd")&lt;&gt;I1015,"Mismatch","OK")</f>
        <v>OK</v>
      </c>
      <c r="Y1015" s="9" t="str">
        <f aca="false">IF(AND(N1015="No",O1015&lt;&gt;""),"Unexpected: channel present but no reminder sent",IF(AND(N1015="Yes",O1015=""),"Missing channel for sent reminder","OK"))</f>
        <v>OK</v>
      </c>
    </row>
    <row r="1016" customFormat="false" ht="15" hidden="false" customHeight="false" outlineLevel="0" collapsed="false">
      <c r="A1016" s="7" t="s">
        <v>1866</v>
      </c>
      <c r="B1016" s="7" t="s">
        <v>1867</v>
      </c>
      <c r="C1016" s="7" t="s">
        <v>37</v>
      </c>
      <c r="D1016" s="7" t="n">
        <v>48</v>
      </c>
      <c r="E1016" s="7" t="s">
        <v>56</v>
      </c>
      <c r="F1016" s="7" t="s">
        <v>57</v>
      </c>
      <c r="G1016" s="8" t="n">
        <v>45909</v>
      </c>
      <c r="H1016" s="8" t="n">
        <v>45941</v>
      </c>
      <c r="I1016" s="7" t="s">
        <v>102</v>
      </c>
      <c r="J1016" s="7" t="s">
        <v>51</v>
      </c>
      <c r="K1016" s="7" t="n">
        <v>32</v>
      </c>
      <c r="L1016" s="7" t="n">
        <v>7</v>
      </c>
      <c r="M1016" s="7" t="n">
        <v>1</v>
      </c>
      <c r="N1016" s="7" t="s">
        <v>42</v>
      </c>
      <c r="O1016" s="7" t="s">
        <v>43</v>
      </c>
      <c r="P1016" s="7" t="n">
        <v>7.3</v>
      </c>
      <c r="Q1016" s="7" t="n">
        <v>44</v>
      </c>
      <c r="R1016" s="7" t="s">
        <v>44</v>
      </c>
      <c r="S1016" s="7"/>
      <c r="T1016" s="7"/>
      <c r="U1016" s="7" t="str">
        <f aca="false">IF(COUNTIF($A$2:$A$5001,A1016)&gt;1,"Duplicate","Unique")</f>
        <v>Unique</v>
      </c>
      <c r="V1016" s="7" t="str">
        <f aca="false">IF(COUNTIFS($B$2:$B$5001,B1016,$H$2:$H$5001,H1016,$J$2:$J$5001,J1016)&gt;1,"Possible Duplicate Booking","Unique")</f>
        <v>Unique</v>
      </c>
      <c r="W1016" s="7" t="str">
        <f aca="false">IF((H1016-G1016)&lt;&gt;K1016,"Mismatch","OK")</f>
        <v>OK</v>
      </c>
      <c r="X1016" s="7" t="str">
        <f aca="false">IF(TEXT(H1016,"dddd")&lt;&gt;I1016,"Mismatch","OK")</f>
        <v>OK</v>
      </c>
      <c r="Y1016" s="7" t="str">
        <f aca="false">IF(AND(N1016="No",O1016&lt;&gt;""),"Unexpected: channel present but no reminder sent",IF(AND(N1016="Yes",O1016=""),"Missing channel for sent reminder","OK"))</f>
        <v>OK</v>
      </c>
    </row>
    <row r="1017" customFormat="false" ht="15" hidden="false" customHeight="false" outlineLevel="0" collapsed="false">
      <c r="A1017" s="9" t="s">
        <v>1868</v>
      </c>
      <c r="B1017" s="9" t="s">
        <v>1830</v>
      </c>
      <c r="C1017" s="9" t="s">
        <v>47</v>
      </c>
      <c r="D1017" s="9" t="n">
        <v>43</v>
      </c>
      <c r="E1017" s="9" t="s">
        <v>38</v>
      </c>
      <c r="F1017" s="9" t="s">
        <v>39</v>
      </c>
      <c r="G1017" s="10" t="n">
        <v>46109</v>
      </c>
      <c r="H1017" s="10" t="n">
        <v>46115</v>
      </c>
      <c r="I1017" s="9" t="s">
        <v>50</v>
      </c>
      <c r="J1017" s="9" t="s">
        <v>41</v>
      </c>
      <c r="K1017" s="9" t="n">
        <v>6</v>
      </c>
      <c r="L1017" s="9" t="n">
        <v>3</v>
      </c>
      <c r="M1017" s="9" t="n">
        <v>0</v>
      </c>
      <c r="N1017" s="9" t="s">
        <v>71</v>
      </c>
      <c r="O1017" s="9"/>
      <c r="P1017" s="9" t="n">
        <v>5.8</v>
      </c>
      <c r="Q1017" s="9" t="n">
        <v>26</v>
      </c>
      <c r="R1017" s="9" t="s">
        <v>53</v>
      </c>
      <c r="S1017" s="9"/>
      <c r="T1017" s="9"/>
      <c r="U1017" s="9" t="str">
        <f aca="false">IF(COUNTIF($A$2:$A$5001,A1017)&gt;1,"Duplicate","Unique")</f>
        <v>Unique</v>
      </c>
      <c r="V1017" s="9" t="str">
        <f aca="false">IF(COUNTIFS($B$2:$B$5001,B1017,$H$2:$H$5001,H1017,$J$2:$J$5001,J1017)&gt;1,"Possible Duplicate Booking","Unique")</f>
        <v>Unique</v>
      </c>
      <c r="W1017" s="9" t="str">
        <f aca="false">IF((H1017-G1017)&lt;&gt;K1017,"Mismatch","OK")</f>
        <v>OK</v>
      </c>
      <c r="X1017" s="9" t="str">
        <f aca="false">IF(TEXT(H1017,"dddd")&lt;&gt;I1017,"Mismatch","OK")</f>
        <v>OK</v>
      </c>
      <c r="Y1017" s="9" t="str">
        <f aca="false">IF(AND(N1017="No",O1017&lt;&gt;""),"Unexpected: channel present but no reminder sent",IF(AND(N1017="Yes",O1017=""),"Missing channel for sent reminder","OK"))</f>
        <v>OK</v>
      </c>
    </row>
    <row r="1018" customFormat="false" ht="15" hidden="false" customHeight="false" outlineLevel="0" collapsed="false">
      <c r="A1018" s="7" t="s">
        <v>1869</v>
      </c>
      <c r="B1018" s="7" t="s">
        <v>356</v>
      </c>
      <c r="C1018" s="7" t="s">
        <v>47</v>
      </c>
      <c r="D1018" s="7" t="n">
        <v>72</v>
      </c>
      <c r="E1018" s="7" t="s">
        <v>70</v>
      </c>
      <c r="F1018" s="7" t="s">
        <v>74</v>
      </c>
      <c r="G1018" s="8" t="n">
        <v>45847</v>
      </c>
      <c r="H1018" s="8" t="n">
        <v>45867</v>
      </c>
      <c r="I1018" s="7" t="s">
        <v>40</v>
      </c>
      <c r="J1018" s="7" t="s">
        <v>51</v>
      </c>
      <c r="K1018" s="7" t="n">
        <v>20</v>
      </c>
      <c r="L1018" s="7" t="n">
        <v>5</v>
      </c>
      <c r="M1018" s="7" t="n">
        <v>0</v>
      </c>
      <c r="N1018" s="7" t="s">
        <v>42</v>
      </c>
      <c r="O1018" s="7" t="s">
        <v>67</v>
      </c>
      <c r="P1018" s="7" t="n">
        <v>12.5</v>
      </c>
      <c r="Q1018" s="7" t="n">
        <v>25</v>
      </c>
      <c r="R1018" s="7" t="s">
        <v>53</v>
      </c>
      <c r="S1018" s="7"/>
      <c r="T1018" s="7"/>
      <c r="U1018" s="7" t="str">
        <f aca="false">IF(COUNTIF($A$2:$A$5001,A1018)&gt;1,"Duplicate","Unique")</f>
        <v>Unique</v>
      </c>
      <c r="V1018" s="7" t="str">
        <f aca="false">IF(COUNTIFS($B$2:$B$5001,B1018,$H$2:$H$5001,H1018,$J$2:$J$5001,J1018)&gt;1,"Possible Duplicate Booking","Unique")</f>
        <v>Unique</v>
      </c>
      <c r="W1018" s="7" t="str">
        <f aca="false">IF((H1018-G1018)&lt;&gt;K1018,"Mismatch","OK")</f>
        <v>OK</v>
      </c>
      <c r="X1018" s="7" t="str">
        <f aca="false">IF(TEXT(H1018,"dddd")&lt;&gt;I1018,"Mismatch","OK")</f>
        <v>OK</v>
      </c>
      <c r="Y1018" s="7" t="str">
        <f aca="false">IF(AND(N1018="No",O1018&lt;&gt;""),"Unexpected: channel present but no reminder sent",IF(AND(N1018="Yes",O1018=""),"Missing channel for sent reminder","OK"))</f>
        <v>OK</v>
      </c>
    </row>
    <row r="1019" customFormat="false" ht="15" hidden="false" customHeight="false" outlineLevel="0" collapsed="false">
      <c r="A1019" s="9" t="s">
        <v>1870</v>
      </c>
      <c r="B1019" s="9" t="s">
        <v>506</v>
      </c>
      <c r="C1019" s="9" t="s">
        <v>47</v>
      </c>
      <c r="D1019" s="9" t="n">
        <v>67</v>
      </c>
      <c r="E1019" s="9" t="s">
        <v>70</v>
      </c>
      <c r="F1019" s="9" t="s">
        <v>57</v>
      </c>
      <c r="G1019" s="10" t="n">
        <v>45923</v>
      </c>
      <c r="H1019" s="10" t="n">
        <v>45927</v>
      </c>
      <c r="I1019" s="9" t="s">
        <v>102</v>
      </c>
      <c r="J1019" s="9" t="s">
        <v>51</v>
      </c>
      <c r="K1019" s="9" t="n">
        <v>4</v>
      </c>
      <c r="L1019" s="9" t="n">
        <v>2</v>
      </c>
      <c r="M1019" s="9" t="n">
        <v>0</v>
      </c>
      <c r="N1019" s="9" t="s">
        <v>42</v>
      </c>
      <c r="O1019" s="9" t="s">
        <v>43</v>
      </c>
      <c r="P1019" s="9" t="n">
        <v>13.5</v>
      </c>
      <c r="Q1019" s="9" t="n">
        <v>4</v>
      </c>
      <c r="R1019" s="9" t="s">
        <v>87</v>
      </c>
      <c r="S1019" s="9"/>
      <c r="T1019" s="9"/>
      <c r="U1019" s="9" t="str">
        <f aca="false">IF(COUNTIF($A$2:$A$5001,A1019)&gt;1,"Duplicate","Unique")</f>
        <v>Unique</v>
      </c>
      <c r="V1019" s="9" t="str">
        <f aca="false">IF(COUNTIFS($B$2:$B$5001,B1019,$H$2:$H$5001,H1019,$J$2:$J$5001,J1019)&gt;1,"Possible Duplicate Booking","Unique")</f>
        <v>Unique</v>
      </c>
      <c r="W1019" s="9" t="str">
        <f aca="false">IF((H1019-G1019)&lt;&gt;K1019,"Mismatch","OK")</f>
        <v>OK</v>
      </c>
      <c r="X1019" s="9" t="str">
        <f aca="false">IF(TEXT(H1019,"dddd")&lt;&gt;I1019,"Mismatch","OK")</f>
        <v>OK</v>
      </c>
      <c r="Y1019" s="9" t="str">
        <f aca="false">IF(AND(N1019="No",O1019&lt;&gt;""),"Unexpected: channel present but no reminder sent",IF(AND(N1019="Yes",O1019=""),"Missing channel for sent reminder","OK"))</f>
        <v>OK</v>
      </c>
    </row>
    <row r="1020" customFormat="false" ht="15" hidden="false" customHeight="false" outlineLevel="0" collapsed="false">
      <c r="A1020" s="7" t="s">
        <v>1871</v>
      </c>
      <c r="B1020" s="7" t="s">
        <v>1282</v>
      </c>
      <c r="C1020" s="7" t="s">
        <v>47</v>
      </c>
      <c r="D1020" s="7" t="n">
        <v>28</v>
      </c>
      <c r="E1020" s="7" t="s">
        <v>48</v>
      </c>
      <c r="F1020" s="7" t="s">
        <v>39</v>
      </c>
      <c r="G1020" s="8" t="n">
        <v>45634</v>
      </c>
      <c r="H1020" s="8" t="n">
        <v>45680</v>
      </c>
      <c r="I1020" s="7" t="s">
        <v>62</v>
      </c>
      <c r="J1020" s="7" t="s">
        <v>51</v>
      </c>
      <c r="K1020" s="7" t="n">
        <v>46</v>
      </c>
      <c r="L1020" s="7" t="n">
        <v>2</v>
      </c>
      <c r="M1020" s="7" t="n">
        <v>1</v>
      </c>
      <c r="N1020" s="7" t="s">
        <v>71</v>
      </c>
      <c r="O1020" s="7"/>
      <c r="P1020" s="7" t="n">
        <v>8.1</v>
      </c>
      <c r="Q1020" s="7" t="n">
        <v>22</v>
      </c>
      <c r="R1020" s="7" t="s">
        <v>53</v>
      </c>
      <c r="S1020" s="7"/>
      <c r="T1020" s="7"/>
      <c r="U1020" s="7" t="str">
        <f aca="false">IF(COUNTIF($A$2:$A$5001,A1020)&gt;1,"Duplicate","Unique")</f>
        <v>Unique</v>
      </c>
      <c r="V1020" s="7" t="str">
        <f aca="false">IF(COUNTIFS($B$2:$B$5001,B1020,$H$2:$H$5001,H1020,$J$2:$J$5001,J1020)&gt;1,"Possible Duplicate Booking","Unique")</f>
        <v>Unique</v>
      </c>
      <c r="W1020" s="7" t="str">
        <f aca="false">IF((H1020-G1020)&lt;&gt;K1020,"Mismatch","OK")</f>
        <v>OK</v>
      </c>
      <c r="X1020" s="7" t="str">
        <f aca="false">IF(TEXT(H1020,"dddd")&lt;&gt;I1020,"Mismatch","OK")</f>
        <v>OK</v>
      </c>
      <c r="Y1020" s="7" t="str">
        <f aca="false">IF(AND(N1020="No",O1020&lt;&gt;""),"Unexpected: channel present but no reminder sent",IF(AND(N1020="Yes",O1020=""),"Missing channel for sent reminder","OK"))</f>
        <v>OK</v>
      </c>
    </row>
    <row r="1021" customFormat="false" ht="15" hidden="false" customHeight="false" outlineLevel="0" collapsed="false">
      <c r="A1021" s="9" t="s">
        <v>1872</v>
      </c>
      <c r="B1021" s="9" t="s">
        <v>1873</v>
      </c>
      <c r="C1021" s="9" t="s">
        <v>37</v>
      </c>
      <c r="D1021" s="9" t="n">
        <v>55</v>
      </c>
      <c r="E1021" s="9" t="s">
        <v>61</v>
      </c>
      <c r="F1021" s="9" t="s">
        <v>57</v>
      </c>
      <c r="G1021" s="10" t="n">
        <v>45676</v>
      </c>
      <c r="H1021" s="10" t="n">
        <v>45721</v>
      </c>
      <c r="I1021" s="9" t="s">
        <v>58</v>
      </c>
      <c r="J1021" s="9" t="s">
        <v>41</v>
      </c>
      <c r="K1021" s="9" t="n">
        <v>45</v>
      </c>
      <c r="L1021" s="9" t="n">
        <v>4</v>
      </c>
      <c r="M1021" s="9" t="n">
        <v>1</v>
      </c>
      <c r="N1021" s="9" t="s">
        <v>42</v>
      </c>
      <c r="O1021" s="9" t="s">
        <v>43</v>
      </c>
      <c r="P1021" s="9" t="n">
        <v>12.1</v>
      </c>
      <c r="Q1021" s="9" t="n">
        <v>36</v>
      </c>
      <c r="R1021" s="9" t="s">
        <v>44</v>
      </c>
      <c r="S1021" s="9"/>
      <c r="T1021" s="9"/>
      <c r="U1021" s="9" t="str">
        <f aca="false">IF(COUNTIF($A$2:$A$5001,A1021)&gt;1,"Duplicate","Unique")</f>
        <v>Unique</v>
      </c>
      <c r="V1021" s="9" t="str">
        <f aca="false">IF(COUNTIFS($B$2:$B$5001,B1021,$H$2:$H$5001,H1021,$J$2:$J$5001,J1021)&gt;1,"Possible Duplicate Booking","Unique")</f>
        <v>Unique</v>
      </c>
      <c r="W1021" s="9" t="str">
        <f aca="false">IF((H1021-G1021)&lt;&gt;K1021,"Mismatch","OK")</f>
        <v>OK</v>
      </c>
      <c r="X1021" s="9" t="str">
        <f aca="false">IF(TEXT(H1021,"dddd")&lt;&gt;I1021,"Mismatch","OK")</f>
        <v>OK</v>
      </c>
      <c r="Y1021" s="9" t="str">
        <f aca="false">IF(AND(N1021="No",O1021&lt;&gt;""),"Unexpected: channel present but no reminder sent",IF(AND(N1021="Yes",O1021=""),"Missing channel for sent reminder","OK"))</f>
        <v>OK</v>
      </c>
    </row>
    <row r="1022" customFormat="false" ht="15" hidden="false" customHeight="false" outlineLevel="0" collapsed="false">
      <c r="A1022" s="7" t="s">
        <v>1874</v>
      </c>
      <c r="B1022" s="7" t="s">
        <v>1875</v>
      </c>
      <c r="C1022" s="7" t="s">
        <v>37</v>
      </c>
      <c r="D1022" s="7" t="n">
        <v>46</v>
      </c>
      <c r="E1022" s="7" t="s">
        <v>56</v>
      </c>
      <c r="F1022" s="7" t="s">
        <v>39</v>
      </c>
      <c r="G1022" s="8" t="n">
        <v>45673</v>
      </c>
      <c r="H1022" s="8" t="n">
        <v>45688</v>
      </c>
      <c r="I1022" s="7" t="s">
        <v>50</v>
      </c>
      <c r="J1022" s="7" t="s">
        <v>41</v>
      </c>
      <c r="K1022" s="7" t="n">
        <v>15</v>
      </c>
      <c r="L1022" s="7" t="n">
        <v>2</v>
      </c>
      <c r="M1022" s="7" t="n">
        <v>1</v>
      </c>
      <c r="N1022" s="7" t="s">
        <v>71</v>
      </c>
      <c r="O1022" s="7"/>
      <c r="P1022" s="7" t="n">
        <v>24.8</v>
      </c>
      <c r="Q1022" s="7" t="n">
        <v>8</v>
      </c>
      <c r="R1022" s="7" t="s">
        <v>53</v>
      </c>
      <c r="S1022" s="7"/>
      <c r="T1022" s="7"/>
      <c r="U1022" s="7" t="str">
        <f aca="false">IF(COUNTIF($A$2:$A$5001,A1022)&gt;1,"Duplicate","Unique")</f>
        <v>Unique</v>
      </c>
      <c r="V1022" s="7" t="str">
        <f aca="false">IF(COUNTIFS($B$2:$B$5001,B1022,$H$2:$H$5001,H1022,$J$2:$J$5001,J1022)&gt;1,"Possible Duplicate Booking","Unique")</f>
        <v>Unique</v>
      </c>
      <c r="W1022" s="7" t="str">
        <f aca="false">IF((H1022-G1022)&lt;&gt;K1022,"Mismatch","OK")</f>
        <v>OK</v>
      </c>
      <c r="X1022" s="7" t="str">
        <f aca="false">IF(TEXT(H1022,"dddd")&lt;&gt;I1022,"Mismatch","OK")</f>
        <v>OK</v>
      </c>
      <c r="Y1022" s="7" t="str">
        <f aca="false">IF(AND(N1022="No",O1022&lt;&gt;""),"Unexpected: channel present but no reminder sent",IF(AND(N1022="Yes",O1022=""),"Missing channel for sent reminder","OK"))</f>
        <v>OK</v>
      </c>
    </row>
    <row r="1023" customFormat="false" ht="15" hidden="false" customHeight="false" outlineLevel="0" collapsed="false">
      <c r="A1023" s="9" t="s">
        <v>1876</v>
      </c>
      <c r="B1023" s="9" t="s">
        <v>296</v>
      </c>
      <c r="C1023" s="9" t="s">
        <v>37</v>
      </c>
      <c r="D1023" s="9" t="n">
        <v>24</v>
      </c>
      <c r="E1023" s="9" t="s">
        <v>82</v>
      </c>
      <c r="F1023" s="9" t="s">
        <v>57</v>
      </c>
      <c r="G1023" s="10" t="n">
        <v>45680</v>
      </c>
      <c r="H1023" s="10" t="n">
        <v>45697</v>
      </c>
      <c r="I1023" s="9" t="s">
        <v>75</v>
      </c>
      <c r="J1023" s="9" t="s">
        <v>41</v>
      </c>
      <c r="K1023" s="9" t="n">
        <v>17</v>
      </c>
      <c r="L1023" s="9" t="n">
        <v>6</v>
      </c>
      <c r="M1023" s="9" t="n">
        <v>1</v>
      </c>
      <c r="N1023" s="9" t="s">
        <v>71</v>
      </c>
      <c r="O1023" s="9"/>
      <c r="P1023" s="9" t="n">
        <v>9.2</v>
      </c>
      <c r="Q1023" s="9" t="n">
        <v>15</v>
      </c>
      <c r="R1023" s="9" t="s">
        <v>53</v>
      </c>
      <c r="S1023" s="9"/>
      <c r="T1023" s="9"/>
      <c r="U1023" s="9" t="str">
        <f aca="false">IF(COUNTIF($A$2:$A$5001,A1023)&gt;1,"Duplicate","Unique")</f>
        <v>Unique</v>
      </c>
      <c r="V1023" s="9" t="str">
        <f aca="false">IF(COUNTIFS($B$2:$B$5001,B1023,$H$2:$H$5001,H1023,$J$2:$J$5001,J1023)&gt;1,"Possible Duplicate Booking","Unique")</f>
        <v>Unique</v>
      </c>
      <c r="W1023" s="9" t="str">
        <f aca="false">IF((H1023-G1023)&lt;&gt;K1023,"Mismatch","OK")</f>
        <v>OK</v>
      </c>
      <c r="X1023" s="9" t="str">
        <f aca="false">IF(TEXT(H1023,"dddd")&lt;&gt;I1023,"Mismatch","OK")</f>
        <v>OK</v>
      </c>
      <c r="Y1023" s="9" t="str">
        <f aca="false">IF(AND(N1023="No",O1023&lt;&gt;""),"Unexpected: channel present but no reminder sent",IF(AND(N1023="Yes",O1023=""),"Missing channel for sent reminder","OK"))</f>
        <v>OK</v>
      </c>
    </row>
    <row r="1024" customFormat="false" ht="15" hidden="false" customHeight="false" outlineLevel="0" collapsed="false">
      <c r="A1024" s="7" t="s">
        <v>1877</v>
      </c>
      <c r="B1024" s="7" t="s">
        <v>1878</v>
      </c>
      <c r="C1024" s="7" t="s">
        <v>47</v>
      </c>
      <c r="D1024" s="7" t="n">
        <v>59</v>
      </c>
      <c r="E1024" s="7" t="s">
        <v>61</v>
      </c>
      <c r="F1024" s="7" t="s">
        <v>74</v>
      </c>
      <c r="G1024" s="8" t="n">
        <v>46113</v>
      </c>
      <c r="H1024" s="8" t="n">
        <v>46132</v>
      </c>
      <c r="I1024" s="7" t="s">
        <v>66</v>
      </c>
      <c r="J1024" s="7" t="s">
        <v>41</v>
      </c>
      <c r="K1024" s="7" t="n">
        <v>19</v>
      </c>
      <c r="L1024" s="7" t="n">
        <v>2</v>
      </c>
      <c r="M1024" s="7" t="n">
        <v>1</v>
      </c>
      <c r="N1024" s="7" t="s">
        <v>71</v>
      </c>
      <c r="O1024" s="7"/>
      <c r="P1024" s="7" t="n">
        <v>1.3</v>
      </c>
      <c r="Q1024" s="7" t="n">
        <v>25</v>
      </c>
      <c r="R1024" s="7" t="s">
        <v>44</v>
      </c>
      <c r="S1024" s="7"/>
      <c r="T1024" s="7"/>
      <c r="U1024" s="7" t="str">
        <f aca="false">IF(COUNTIF($A$2:$A$5001,A1024)&gt;1,"Duplicate","Unique")</f>
        <v>Unique</v>
      </c>
      <c r="V1024" s="7" t="str">
        <f aca="false">IF(COUNTIFS($B$2:$B$5001,B1024,$H$2:$H$5001,H1024,$J$2:$J$5001,J1024)&gt;1,"Possible Duplicate Booking","Unique")</f>
        <v>Unique</v>
      </c>
      <c r="W1024" s="7" t="str">
        <f aca="false">IF((H1024-G1024)&lt;&gt;K1024,"Mismatch","OK")</f>
        <v>OK</v>
      </c>
      <c r="X1024" s="7" t="str">
        <f aca="false">IF(TEXT(H1024,"dddd")&lt;&gt;I1024,"Mismatch","OK")</f>
        <v>OK</v>
      </c>
      <c r="Y1024" s="7" t="str">
        <f aca="false">IF(AND(N1024="No",O1024&lt;&gt;""),"Unexpected: channel present but no reminder sent",IF(AND(N1024="Yes",O1024=""),"Missing channel for sent reminder","OK"))</f>
        <v>OK</v>
      </c>
    </row>
    <row r="1025" customFormat="false" ht="15" hidden="false" customHeight="false" outlineLevel="0" collapsed="false">
      <c r="A1025" s="9" t="s">
        <v>1879</v>
      </c>
      <c r="B1025" s="9" t="s">
        <v>1880</v>
      </c>
      <c r="C1025" s="9" t="s">
        <v>37</v>
      </c>
      <c r="D1025" s="9" t="n">
        <v>51</v>
      </c>
      <c r="E1025" s="9" t="s">
        <v>56</v>
      </c>
      <c r="F1025" s="9" t="s">
        <v>57</v>
      </c>
      <c r="G1025" s="10" t="n">
        <v>46063</v>
      </c>
      <c r="H1025" s="10" t="n">
        <v>46117</v>
      </c>
      <c r="I1025" s="9" t="s">
        <v>75</v>
      </c>
      <c r="J1025" s="9" t="s">
        <v>51</v>
      </c>
      <c r="K1025" s="9" t="n">
        <v>54</v>
      </c>
      <c r="L1025" s="9" t="n">
        <v>4</v>
      </c>
      <c r="M1025" s="9" t="n">
        <v>0</v>
      </c>
      <c r="N1025" s="9" t="s">
        <v>42</v>
      </c>
      <c r="O1025" s="9" t="s">
        <v>52</v>
      </c>
      <c r="P1025" s="9" t="n">
        <v>11.3</v>
      </c>
      <c r="Q1025" s="9" t="n">
        <v>6</v>
      </c>
      <c r="R1025" s="9" t="s">
        <v>44</v>
      </c>
      <c r="S1025" s="9"/>
      <c r="T1025" s="9"/>
      <c r="U1025" s="9" t="str">
        <f aca="false">IF(COUNTIF($A$2:$A$5001,A1025)&gt;1,"Duplicate","Unique")</f>
        <v>Unique</v>
      </c>
      <c r="V1025" s="9" t="str">
        <f aca="false">IF(COUNTIFS($B$2:$B$5001,B1025,$H$2:$H$5001,H1025,$J$2:$J$5001,J1025)&gt;1,"Possible Duplicate Booking","Unique")</f>
        <v>Unique</v>
      </c>
      <c r="W1025" s="9" t="str">
        <f aca="false">IF((H1025-G1025)&lt;&gt;K1025,"Mismatch","OK")</f>
        <v>OK</v>
      </c>
      <c r="X1025" s="9" t="str">
        <f aca="false">IF(TEXT(H1025,"dddd")&lt;&gt;I1025,"Mismatch","OK")</f>
        <v>OK</v>
      </c>
      <c r="Y1025" s="9" t="str">
        <f aca="false">IF(AND(N1025="No",O1025&lt;&gt;""),"Unexpected: channel present but no reminder sent",IF(AND(N1025="Yes",O1025=""),"Missing channel for sent reminder","OK"))</f>
        <v>OK</v>
      </c>
    </row>
    <row r="1026" customFormat="false" ht="15" hidden="false" customHeight="false" outlineLevel="0" collapsed="false">
      <c r="A1026" s="7" t="s">
        <v>1881</v>
      </c>
      <c r="B1026" s="7" t="s">
        <v>883</v>
      </c>
      <c r="C1026" s="7" t="s">
        <v>47</v>
      </c>
      <c r="D1026" s="7" t="n">
        <v>23</v>
      </c>
      <c r="E1026" s="7" t="s">
        <v>82</v>
      </c>
      <c r="F1026" s="7" t="s">
        <v>57</v>
      </c>
      <c r="G1026" s="8" t="n">
        <v>46077</v>
      </c>
      <c r="H1026" s="8" t="n">
        <v>46106</v>
      </c>
      <c r="I1026" s="7" t="s">
        <v>58</v>
      </c>
      <c r="J1026" s="7" t="s">
        <v>51</v>
      </c>
      <c r="K1026" s="7" t="n">
        <v>29</v>
      </c>
      <c r="L1026" s="7" t="n">
        <v>3</v>
      </c>
      <c r="M1026" s="7" t="n">
        <v>1</v>
      </c>
      <c r="N1026" s="7" t="s">
        <v>42</v>
      </c>
      <c r="O1026" s="7" t="s">
        <v>52</v>
      </c>
      <c r="P1026" s="7" t="n">
        <v>3.2</v>
      </c>
      <c r="Q1026" s="7" t="n">
        <v>44</v>
      </c>
      <c r="R1026" s="7" t="s">
        <v>44</v>
      </c>
      <c r="S1026" s="7"/>
      <c r="T1026" s="7"/>
      <c r="U1026" s="7" t="str">
        <f aca="false">IF(COUNTIF($A$2:$A$5001,A1026)&gt;1,"Duplicate","Unique")</f>
        <v>Unique</v>
      </c>
      <c r="V1026" s="7" t="str">
        <f aca="false">IF(COUNTIFS($B$2:$B$5001,B1026,$H$2:$H$5001,H1026,$J$2:$J$5001,J1026)&gt;1,"Possible Duplicate Booking","Unique")</f>
        <v>Unique</v>
      </c>
      <c r="W1026" s="7" t="str">
        <f aca="false">IF((H1026-G1026)&lt;&gt;K1026,"Mismatch","OK")</f>
        <v>OK</v>
      </c>
      <c r="X1026" s="7" t="str">
        <f aca="false">IF(TEXT(H1026,"dddd")&lt;&gt;I1026,"Mismatch","OK")</f>
        <v>OK</v>
      </c>
      <c r="Y1026" s="7" t="str">
        <f aca="false">IF(AND(N1026="No",O1026&lt;&gt;""),"Unexpected: channel present but no reminder sent",IF(AND(N1026="Yes",O1026=""),"Missing channel for sent reminder","OK"))</f>
        <v>OK</v>
      </c>
    </row>
    <row r="1027" customFormat="false" ht="15" hidden="false" customHeight="false" outlineLevel="0" collapsed="false">
      <c r="A1027" s="9" t="s">
        <v>1882</v>
      </c>
      <c r="B1027" s="9" t="s">
        <v>1883</v>
      </c>
      <c r="C1027" s="9" t="s">
        <v>37</v>
      </c>
      <c r="D1027" s="9" t="n">
        <v>47</v>
      </c>
      <c r="E1027" s="9" t="s">
        <v>56</v>
      </c>
      <c r="F1027" s="9" t="s">
        <v>49</v>
      </c>
      <c r="G1027" s="10" t="n">
        <v>45642</v>
      </c>
      <c r="H1027" s="10" t="n">
        <v>45688</v>
      </c>
      <c r="I1027" s="9" t="s">
        <v>50</v>
      </c>
      <c r="J1027" s="9" t="s">
        <v>51</v>
      </c>
      <c r="K1027" s="9" t="n">
        <v>46</v>
      </c>
      <c r="L1027" s="9" t="n">
        <v>6</v>
      </c>
      <c r="M1027" s="9" t="n">
        <v>1</v>
      </c>
      <c r="N1027" s="9" t="s">
        <v>42</v>
      </c>
      <c r="O1027" s="9" t="s">
        <v>43</v>
      </c>
      <c r="P1027" s="9" t="n">
        <v>10.5</v>
      </c>
      <c r="Q1027" s="9" t="n">
        <v>30</v>
      </c>
      <c r="R1027" s="9" t="s">
        <v>44</v>
      </c>
      <c r="S1027" s="9"/>
      <c r="T1027" s="9"/>
      <c r="U1027" s="9" t="str">
        <f aca="false">IF(COUNTIF($A$2:$A$5001,A1027)&gt;1,"Duplicate","Unique")</f>
        <v>Unique</v>
      </c>
      <c r="V1027" s="9" t="str">
        <f aca="false">IF(COUNTIFS($B$2:$B$5001,B1027,$H$2:$H$5001,H1027,$J$2:$J$5001,J1027)&gt;1,"Possible Duplicate Booking","Unique")</f>
        <v>Unique</v>
      </c>
      <c r="W1027" s="9" t="str">
        <f aca="false">IF((H1027-G1027)&lt;&gt;K1027,"Mismatch","OK")</f>
        <v>OK</v>
      </c>
      <c r="X1027" s="9" t="str">
        <f aca="false">IF(TEXT(H1027,"dddd")&lt;&gt;I1027,"Mismatch","OK")</f>
        <v>OK</v>
      </c>
      <c r="Y1027" s="9" t="str">
        <f aca="false">IF(AND(N1027="No",O1027&lt;&gt;""),"Unexpected: channel present but no reminder sent",IF(AND(N1027="Yes",O1027=""),"Missing channel for sent reminder","OK"))</f>
        <v>OK</v>
      </c>
    </row>
    <row r="1028" customFormat="false" ht="15" hidden="false" customHeight="false" outlineLevel="0" collapsed="false">
      <c r="A1028" s="7" t="s">
        <v>1884</v>
      </c>
      <c r="B1028" s="7" t="s">
        <v>828</v>
      </c>
      <c r="C1028" s="7" t="s">
        <v>37</v>
      </c>
      <c r="D1028" s="7" t="n">
        <v>64</v>
      </c>
      <c r="E1028" s="7" t="s">
        <v>61</v>
      </c>
      <c r="F1028" s="7" t="s">
        <v>49</v>
      </c>
      <c r="G1028" s="8" t="n">
        <v>45673</v>
      </c>
      <c r="H1028" s="8" t="n">
        <v>45700</v>
      </c>
      <c r="I1028" s="7" t="s">
        <v>58</v>
      </c>
      <c r="J1028" s="7" t="s">
        <v>41</v>
      </c>
      <c r="K1028" s="7" t="n">
        <v>27</v>
      </c>
      <c r="L1028" s="7" t="n">
        <v>2</v>
      </c>
      <c r="M1028" s="7" t="n">
        <v>1</v>
      </c>
      <c r="N1028" s="7" t="s">
        <v>71</v>
      </c>
      <c r="O1028" s="7"/>
      <c r="P1028" s="7" t="n">
        <v>15.8</v>
      </c>
      <c r="Q1028" s="7" t="n">
        <v>28</v>
      </c>
      <c r="R1028" s="7" t="s">
        <v>53</v>
      </c>
      <c r="S1028" s="7"/>
      <c r="T1028" s="7"/>
      <c r="U1028" s="7" t="str">
        <f aca="false">IF(COUNTIF($A$2:$A$5001,A1028)&gt;1,"Duplicate","Unique")</f>
        <v>Unique</v>
      </c>
      <c r="V1028" s="7" t="str">
        <f aca="false">IF(COUNTIFS($B$2:$B$5001,B1028,$H$2:$H$5001,H1028,$J$2:$J$5001,J1028)&gt;1,"Possible Duplicate Booking","Unique")</f>
        <v>Unique</v>
      </c>
      <c r="W1028" s="7" t="str">
        <f aca="false">IF((H1028-G1028)&lt;&gt;K1028,"Mismatch","OK")</f>
        <v>OK</v>
      </c>
      <c r="X1028" s="7" t="str">
        <f aca="false">IF(TEXT(H1028,"dddd")&lt;&gt;I1028,"Mismatch","OK")</f>
        <v>OK</v>
      </c>
      <c r="Y1028" s="7" t="str">
        <f aca="false">IF(AND(N1028="No",O1028&lt;&gt;""),"Unexpected: channel present but no reminder sent",IF(AND(N1028="Yes",O1028=""),"Missing channel for sent reminder","OK"))</f>
        <v>OK</v>
      </c>
    </row>
    <row r="1029" customFormat="false" ht="15" hidden="false" customHeight="false" outlineLevel="0" collapsed="false">
      <c r="A1029" s="9" t="s">
        <v>1885</v>
      </c>
      <c r="B1029" s="9" t="s">
        <v>1886</v>
      </c>
      <c r="C1029" s="9" t="s">
        <v>37</v>
      </c>
      <c r="D1029" s="9" t="n">
        <v>38</v>
      </c>
      <c r="E1029" s="9" t="s">
        <v>38</v>
      </c>
      <c r="F1029" s="9" t="s">
        <v>39</v>
      </c>
      <c r="G1029" s="10" t="n">
        <v>45769</v>
      </c>
      <c r="H1029" s="10" t="n">
        <v>45811</v>
      </c>
      <c r="I1029" s="9" t="s">
        <v>40</v>
      </c>
      <c r="J1029" s="9" t="s">
        <v>51</v>
      </c>
      <c r="K1029" s="9" t="n">
        <v>42</v>
      </c>
      <c r="L1029" s="9" t="n">
        <v>1</v>
      </c>
      <c r="M1029" s="9" t="n">
        <v>1</v>
      </c>
      <c r="N1029" s="9" t="s">
        <v>42</v>
      </c>
      <c r="O1029" s="9" t="s">
        <v>67</v>
      </c>
      <c r="P1029" s="9" t="n">
        <v>7.8</v>
      </c>
      <c r="Q1029" s="9" t="n">
        <v>33</v>
      </c>
      <c r="R1029" s="9" t="s">
        <v>44</v>
      </c>
      <c r="S1029" s="9"/>
      <c r="T1029" s="9"/>
      <c r="U1029" s="9" t="str">
        <f aca="false">IF(COUNTIF($A$2:$A$5001,A1029)&gt;1,"Duplicate","Unique")</f>
        <v>Unique</v>
      </c>
      <c r="V1029" s="9" t="str">
        <f aca="false">IF(COUNTIFS($B$2:$B$5001,B1029,$H$2:$H$5001,H1029,$J$2:$J$5001,J1029)&gt;1,"Possible Duplicate Booking","Unique")</f>
        <v>Unique</v>
      </c>
      <c r="W1029" s="9" t="str">
        <f aca="false">IF((H1029-G1029)&lt;&gt;K1029,"Mismatch","OK")</f>
        <v>OK</v>
      </c>
      <c r="X1029" s="9" t="str">
        <f aca="false">IF(TEXT(H1029,"dddd")&lt;&gt;I1029,"Mismatch","OK")</f>
        <v>OK</v>
      </c>
      <c r="Y1029" s="9" t="str">
        <f aca="false">IF(AND(N1029="No",O1029&lt;&gt;""),"Unexpected: channel present but no reminder sent",IF(AND(N1029="Yes",O1029=""),"Missing channel for sent reminder","OK"))</f>
        <v>OK</v>
      </c>
    </row>
    <row r="1030" customFormat="false" ht="15" hidden="false" customHeight="false" outlineLevel="0" collapsed="false">
      <c r="A1030" s="7" t="s">
        <v>1887</v>
      </c>
      <c r="B1030" s="7" t="s">
        <v>1888</v>
      </c>
      <c r="C1030" s="7" t="s">
        <v>47</v>
      </c>
      <c r="D1030" s="7" t="n">
        <v>40</v>
      </c>
      <c r="E1030" s="7" t="s">
        <v>38</v>
      </c>
      <c r="F1030" s="7" t="s">
        <v>49</v>
      </c>
      <c r="G1030" s="8" t="n">
        <v>45934</v>
      </c>
      <c r="H1030" s="8" t="n">
        <v>45966</v>
      </c>
      <c r="I1030" s="7" t="s">
        <v>58</v>
      </c>
      <c r="J1030" s="7" t="s">
        <v>41</v>
      </c>
      <c r="K1030" s="7" t="n">
        <v>32</v>
      </c>
      <c r="L1030" s="7" t="n">
        <v>3</v>
      </c>
      <c r="M1030" s="7" t="n">
        <v>1</v>
      </c>
      <c r="N1030" s="7" t="s">
        <v>42</v>
      </c>
      <c r="O1030" s="7" t="s">
        <v>52</v>
      </c>
      <c r="P1030" s="7" t="n">
        <v>14.6</v>
      </c>
      <c r="Q1030" s="7" t="n">
        <v>20</v>
      </c>
      <c r="R1030" s="7" t="s">
        <v>53</v>
      </c>
      <c r="S1030" s="7"/>
      <c r="T1030" s="7"/>
      <c r="U1030" s="7" t="str">
        <f aca="false">IF(COUNTIF($A$2:$A$5001,A1030)&gt;1,"Duplicate","Unique")</f>
        <v>Unique</v>
      </c>
      <c r="V1030" s="7" t="str">
        <f aca="false">IF(COUNTIFS($B$2:$B$5001,B1030,$H$2:$H$5001,H1030,$J$2:$J$5001,J1030)&gt;1,"Possible Duplicate Booking","Unique")</f>
        <v>Unique</v>
      </c>
      <c r="W1030" s="7" t="str">
        <f aca="false">IF((H1030-G1030)&lt;&gt;K1030,"Mismatch","OK")</f>
        <v>OK</v>
      </c>
      <c r="X1030" s="7" t="str">
        <f aca="false">IF(TEXT(H1030,"dddd")&lt;&gt;I1030,"Mismatch","OK")</f>
        <v>OK</v>
      </c>
      <c r="Y1030" s="7" t="str">
        <f aca="false">IF(AND(N1030="No",O1030&lt;&gt;""),"Unexpected: channel present but no reminder sent",IF(AND(N1030="Yes",O1030=""),"Missing channel for sent reminder","OK"))</f>
        <v>OK</v>
      </c>
    </row>
    <row r="1031" customFormat="false" ht="15" hidden="false" customHeight="false" outlineLevel="0" collapsed="false">
      <c r="A1031" s="9" t="s">
        <v>1889</v>
      </c>
      <c r="B1031" s="9" t="s">
        <v>1760</v>
      </c>
      <c r="C1031" s="9" t="s">
        <v>37</v>
      </c>
      <c r="D1031" s="9" t="n">
        <v>24</v>
      </c>
      <c r="E1031" s="9" t="s">
        <v>82</v>
      </c>
      <c r="F1031" s="9" t="s">
        <v>57</v>
      </c>
      <c r="G1031" s="10" t="n">
        <v>45824</v>
      </c>
      <c r="H1031" s="10" t="n">
        <v>45840</v>
      </c>
      <c r="I1031" s="9" t="s">
        <v>58</v>
      </c>
      <c r="J1031" s="9" t="s">
        <v>41</v>
      </c>
      <c r="K1031" s="9" t="n">
        <v>16</v>
      </c>
      <c r="L1031" s="9" t="n">
        <v>1</v>
      </c>
      <c r="M1031" s="9" t="n">
        <v>0</v>
      </c>
      <c r="N1031" s="9" t="s">
        <v>71</v>
      </c>
      <c r="O1031" s="9"/>
      <c r="P1031" s="9" t="n">
        <v>14.9</v>
      </c>
      <c r="Q1031" s="9" t="n">
        <v>27</v>
      </c>
      <c r="R1031" s="9" t="s">
        <v>53</v>
      </c>
      <c r="S1031" s="9"/>
      <c r="T1031" s="9"/>
      <c r="U1031" s="9" t="str">
        <f aca="false">IF(COUNTIF($A$2:$A$5001,A1031)&gt;1,"Duplicate","Unique")</f>
        <v>Unique</v>
      </c>
      <c r="V1031" s="9" t="str">
        <f aca="false">IF(COUNTIFS($B$2:$B$5001,B1031,$H$2:$H$5001,H1031,$J$2:$J$5001,J1031)&gt;1,"Possible Duplicate Booking","Unique")</f>
        <v>Unique</v>
      </c>
      <c r="W1031" s="9" t="str">
        <f aca="false">IF((H1031-G1031)&lt;&gt;K1031,"Mismatch","OK")</f>
        <v>OK</v>
      </c>
      <c r="X1031" s="9" t="str">
        <f aca="false">IF(TEXT(H1031,"dddd")&lt;&gt;I1031,"Mismatch","OK")</f>
        <v>OK</v>
      </c>
      <c r="Y1031" s="9" t="str">
        <f aca="false">IF(AND(N1031="No",O1031&lt;&gt;""),"Unexpected: channel present but no reminder sent",IF(AND(N1031="Yes",O1031=""),"Missing channel for sent reminder","OK"))</f>
        <v>OK</v>
      </c>
    </row>
    <row r="1032" customFormat="false" ht="15" hidden="false" customHeight="false" outlineLevel="0" collapsed="false">
      <c r="A1032" s="7" t="s">
        <v>1890</v>
      </c>
      <c r="B1032" s="7" t="s">
        <v>1891</v>
      </c>
      <c r="C1032" s="7" t="s">
        <v>47</v>
      </c>
      <c r="D1032" s="7" t="n">
        <v>30</v>
      </c>
      <c r="E1032" s="7" t="s">
        <v>48</v>
      </c>
      <c r="F1032" s="7" t="s">
        <v>39</v>
      </c>
      <c r="G1032" s="8" t="n">
        <v>45871</v>
      </c>
      <c r="H1032" s="8" t="n">
        <v>45924</v>
      </c>
      <c r="I1032" s="7" t="s">
        <v>58</v>
      </c>
      <c r="J1032" s="7" t="s">
        <v>41</v>
      </c>
      <c r="K1032" s="7" t="n">
        <v>53</v>
      </c>
      <c r="L1032" s="7" t="n">
        <v>3</v>
      </c>
      <c r="M1032" s="7" t="n">
        <v>1</v>
      </c>
      <c r="N1032" s="7" t="s">
        <v>42</v>
      </c>
      <c r="O1032" s="7" t="s">
        <v>52</v>
      </c>
      <c r="P1032" s="7" t="n">
        <v>18.8</v>
      </c>
      <c r="Q1032" s="7" t="n">
        <v>13</v>
      </c>
      <c r="R1032" s="7" t="s">
        <v>44</v>
      </c>
      <c r="S1032" s="7"/>
      <c r="T1032" s="7"/>
      <c r="U1032" s="7" t="str">
        <f aca="false">IF(COUNTIF($A$2:$A$5001,A1032)&gt;1,"Duplicate","Unique")</f>
        <v>Unique</v>
      </c>
      <c r="V1032" s="7" t="str">
        <f aca="false">IF(COUNTIFS($B$2:$B$5001,B1032,$H$2:$H$5001,H1032,$J$2:$J$5001,J1032)&gt;1,"Possible Duplicate Booking","Unique")</f>
        <v>Unique</v>
      </c>
      <c r="W1032" s="7" t="str">
        <f aca="false">IF((H1032-G1032)&lt;&gt;K1032,"Mismatch","OK")</f>
        <v>OK</v>
      </c>
      <c r="X1032" s="7" t="str">
        <f aca="false">IF(TEXT(H1032,"dddd")&lt;&gt;I1032,"Mismatch","OK")</f>
        <v>OK</v>
      </c>
      <c r="Y1032" s="7" t="str">
        <f aca="false">IF(AND(N1032="No",O1032&lt;&gt;""),"Unexpected: channel present but no reminder sent",IF(AND(N1032="Yes",O1032=""),"Missing channel for sent reminder","OK"))</f>
        <v>OK</v>
      </c>
    </row>
    <row r="1033" customFormat="false" ht="15" hidden="false" customHeight="false" outlineLevel="0" collapsed="false">
      <c r="A1033" s="9" t="s">
        <v>1892</v>
      </c>
      <c r="B1033" s="9" t="s">
        <v>1893</v>
      </c>
      <c r="C1033" s="9" t="s">
        <v>47</v>
      </c>
      <c r="D1033" s="9" t="n">
        <v>79</v>
      </c>
      <c r="E1033" s="9" t="s">
        <v>70</v>
      </c>
      <c r="F1033" s="9" t="s">
        <v>57</v>
      </c>
      <c r="G1033" s="10" t="n">
        <v>45709</v>
      </c>
      <c r="H1033" s="10" t="n">
        <v>45752</v>
      </c>
      <c r="I1033" s="9" t="s">
        <v>102</v>
      </c>
      <c r="J1033" s="9" t="s">
        <v>51</v>
      </c>
      <c r="K1033" s="9" t="n">
        <v>43</v>
      </c>
      <c r="L1033" s="9" t="n">
        <v>5</v>
      </c>
      <c r="M1033" s="9" t="n">
        <v>1</v>
      </c>
      <c r="N1033" s="9" t="s">
        <v>42</v>
      </c>
      <c r="O1033" s="9" t="s">
        <v>67</v>
      </c>
      <c r="P1033" s="9" t="n">
        <v>27.2</v>
      </c>
      <c r="Q1033" s="9" t="n">
        <v>2</v>
      </c>
      <c r="R1033" s="9" t="s">
        <v>44</v>
      </c>
      <c r="S1033" s="9"/>
      <c r="T1033" s="9"/>
      <c r="U1033" s="9" t="str">
        <f aca="false">IF(COUNTIF($A$2:$A$5001,A1033)&gt;1,"Duplicate","Unique")</f>
        <v>Unique</v>
      </c>
      <c r="V1033" s="9" t="str">
        <f aca="false">IF(COUNTIFS($B$2:$B$5001,B1033,$H$2:$H$5001,H1033,$J$2:$J$5001,J1033)&gt;1,"Possible Duplicate Booking","Unique")</f>
        <v>Unique</v>
      </c>
      <c r="W1033" s="9" t="str">
        <f aca="false">IF((H1033-G1033)&lt;&gt;K1033,"Mismatch","OK")</f>
        <v>OK</v>
      </c>
      <c r="X1033" s="9" t="str">
        <f aca="false">IF(TEXT(H1033,"dddd")&lt;&gt;I1033,"Mismatch","OK")</f>
        <v>OK</v>
      </c>
      <c r="Y1033" s="9" t="str">
        <f aca="false">IF(AND(N1033="No",O1033&lt;&gt;""),"Unexpected: channel present but no reminder sent",IF(AND(N1033="Yes",O1033=""),"Missing channel for sent reminder","OK"))</f>
        <v>OK</v>
      </c>
    </row>
    <row r="1034" customFormat="false" ht="15" hidden="false" customHeight="false" outlineLevel="0" collapsed="false">
      <c r="A1034" s="7" t="s">
        <v>1894</v>
      </c>
      <c r="B1034" s="7" t="s">
        <v>1895</v>
      </c>
      <c r="C1034" s="7" t="s">
        <v>37</v>
      </c>
      <c r="D1034" s="7" t="n">
        <v>57</v>
      </c>
      <c r="E1034" s="7" t="s">
        <v>61</v>
      </c>
      <c r="F1034" s="7" t="s">
        <v>57</v>
      </c>
      <c r="G1034" s="8" t="n">
        <v>46011</v>
      </c>
      <c r="H1034" s="8" t="n">
        <v>46057</v>
      </c>
      <c r="I1034" s="7" t="s">
        <v>58</v>
      </c>
      <c r="J1034" s="7" t="s">
        <v>51</v>
      </c>
      <c r="K1034" s="7" t="n">
        <v>46</v>
      </c>
      <c r="L1034" s="7" t="n">
        <v>0</v>
      </c>
      <c r="M1034" s="7" t="n">
        <v>0</v>
      </c>
      <c r="N1034" s="7" t="s">
        <v>42</v>
      </c>
      <c r="O1034" s="7" t="s">
        <v>43</v>
      </c>
      <c r="P1034" s="7" t="n">
        <v>22.4</v>
      </c>
      <c r="Q1034" s="7" t="n">
        <v>24</v>
      </c>
      <c r="R1034" s="7" t="s">
        <v>44</v>
      </c>
      <c r="S1034" s="7"/>
      <c r="T1034" s="7"/>
      <c r="U1034" s="7" t="str">
        <f aca="false">IF(COUNTIF($A$2:$A$5001,A1034)&gt;1,"Duplicate","Unique")</f>
        <v>Unique</v>
      </c>
      <c r="V1034" s="7" t="str">
        <f aca="false">IF(COUNTIFS($B$2:$B$5001,B1034,$H$2:$H$5001,H1034,$J$2:$J$5001,J1034)&gt;1,"Possible Duplicate Booking","Unique")</f>
        <v>Unique</v>
      </c>
      <c r="W1034" s="7" t="str">
        <f aca="false">IF((H1034-G1034)&lt;&gt;K1034,"Mismatch","OK")</f>
        <v>OK</v>
      </c>
      <c r="X1034" s="7" t="str">
        <f aca="false">IF(TEXT(H1034,"dddd")&lt;&gt;I1034,"Mismatch","OK")</f>
        <v>OK</v>
      </c>
      <c r="Y1034" s="7" t="str">
        <f aca="false">IF(AND(N1034="No",O1034&lt;&gt;""),"Unexpected: channel present but no reminder sent",IF(AND(N1034="Yes",O1034=""),"Missing channel for sent reminder","OK"))</f>
        <v>OK</v>
      </c>
    </row>
    <row r="1035" customFormat="false" ht="15" hidden="false" customHeight="false" outlineLevel="0" collapsed="false">
      <c r="A1035" s="9" t="s">
        <v>1896</v>
      </c>
      <c r="B1035" s="9" t="s">
        <v>1897</v>
      </c>
      <c r="C1035" s="9" t="s">
        <v>47</v>
      </c>
      <c r="D1035" s="9" t="n">
        <v>29</v>
      </c>
      <c r="E1035" s="9" t="s">
        <v>48</v>
      </c>
      <c r="F1035" s="9" t="s">
        <v>74</v>
      </c>
      <c r="G1035" s="10" t="n">
        <v>45772</v>
      </c>
      <c r="H1035" s="10" t="n">
        <v>45829</v>
      </c>
      <c r="I1035" s="9" t="s">
        <v>102</v>
      </c>
      <c r="J1035" s="9" t="s">
        <v>63</v>
      </c>
      <c r="K1035" s="9" t="n">
        <v>57</v>
      </c>
      <c r="L1035" s="9" t="n">
        <v>3</v>
      </c>
      <c r="M1035" s="9" t="n">
        <v>0</v>
      </c>
      <c r="N1035" s="9" t="s">
        <v>42</v>
      </c>
      <c r="O1035" s="9" t="s">
        <v>67</v>
      </c>
      <c r="P1035" s="9" t="n">
        <v>0.9</v>
      </c>
      <c r="Q1035" s="9" t="n">
        <v>41</v>
      </c>
      <c r="R1035" s="9" t="s">
        <v>44</v>
      </c>
      <c r="S1035" s="9"/>
      <c r="T1035" s="9"/>
      <c r="U1035" s="9" t="str">
        <f aca="false">IF(COUNTIF($A$2:$A$5001,A1035)&gt;1,"Duplicate","Unique")</f>
        <v>Unique</v>
      </c>
      <c r="V1035" s="9" t="str">
        <f aca="false">IF(COUNTIFS($B$2:$B$5001,B1035,$H$2:$H$5001,H1035,$J$2:$J$5001,J1035)&gt;1,"Possible Duplicate Booking","Unique")</f>
        <v>Unique</v>
      </c>
      <c r="W1035" s="9" t="str">
        <f aca="false">IF((H1035-G1035)&lt;&gt;K1035,"Mismatch","OK")</f>
        <v>OK</v>
      </c>
      <c r="X1035" s="9" t="str">
        <f aca="false">IF(TEXT(H1035,"dddd")&lt;&gt;I1035,"Mismatch","OK")</f>
        <v>OK</v>
      </c>
      <c r="Y1035" s="9" t="str">
        <f aca="false">IF(AND(N1035="No",O1035&lt;&gt;""),"Unexpected: channel present but no reminder sent",IF(AND(N1035="Yes",O1035=""),"Missing channel for sent reminder","OK"))</f>
        <v>OK</v>
      </c>
    </row>
    <row r="1036" customFormat="false" ht="15" hidden="false" customHeight="false" outlineLevel="0" collapsed="false">
      <c r="A1036" s="7" t="s">
        <v>1898</v>
      </c>
      <c r="B1036" s="7" t="s">
        <v>1348</v>
      </c>
      <c r="C1036" s="7" t="s">
        <v>37</v>
      </c>
      <c r="D1036" s="7" t="n">
        <v>48</v>
      </c>
      <c r="E1036" s="7" t="s">
        <v>56</v>
      </c>
      <c r="F1036" s="7" t="s">
        <v>49</v>
      </c>
      <c r="G1036" s="8" t="n">
        <v>45679</v>
      </c>
      <c r="H1036" s="8" t="n">
        <v>45694</v>
      </c>
      <c r="I1036" s="7" t="s">
        <v>62</v>
      </c>
      <c r="J1036" s="7" t="s">
        <v>41</v>
      </c>
      <c r="K1036" s="7" t="n">
        <v>15</v>
      </c>
      <c r="L1036" s="7" t="n">
        <v>3</v>
      </c>
      <c r="M1036" s="7" t="n">
        <v>1</v>
      </c>
      <c r="N1036" s="7" t="s">
        <v>42</v>
      </c>
      <c r="O1036" s="7" t="s">
        <v>52</v>
      </c>
      <c r="P1036" s="7" t="n">
        <v>5.7</v>
      </c>
      <c r="Q1036" s="7" t="n">
        <v>42</v>
      </c>
      <c r="R1036" s="7" t="s">
        <v>53</v>
      </c>
      <c r="S1036" s="7"/>
      <c r="T1036" s="7"/>
      <c r="U1036" s="7" t="str">
        <f aca="false">IF(COUNTIF($A$2:$A$5001,A1036)&gt;1,"Duplicate","Unique")</f>
        <v>Unique</v>
      </c>
      <c r="V1036" s="7" t="str">
        <f aca="false">IF(COUNTIFS($B$2:$B$5001,B1036,$H$2:$H$5001,H1036,$J$2:$J$5001,J1036)&gt;1,"Possible Duplicate Booking","Unique")</f>
        <v>Unique</v>
      </c>
      <c r="W1036" s="7" t="str">
        <f aca="false">IF((H1036-G1036)&lt;&gt;K1036,"Mismatch","OK")</f>
        <v>OK</v>
      </c>
      <c r="X1036" s="7" t="str">
        <f aca="false">IF(TEXT(H1036,"dddd")&lt;&gt;I1036,"Mismatch","OK")</f>
        <v>OK</v>
      </c>
      <c r="Y1036" s="7" t="str">
        <f aca="false">IF(AND(N1036="No",O1036&lt;&gt;""),"Unexpected: channel present but no reminder sent",IF(AND(N1036="Yes",O1036=""),"Missing channel for sent reminder","OK"))</f>
        <v>OK</v>
      </c>
    </row>
    <row r="1037" customFormat="false" ht="15" hidden="false" customHeight="false" outlineLevel="0" collapsed="false">
      <c r="A1037" s="9" t="s">
        <v>1899</v>
      </c>
      <c r="B1037" s="9" t="s">
        <v>1900</v>
      </c>
      <c r="C1037" s="9" t="s">
        <v>37</v>
      </c>
      <c r="D1037" s="9" t="n">
        <v>30</v>
      </c>
      <c r="E1037" s="9" t="s">
        <v>48</v>
      </c>
      <c r="F1037" s="9" t="s">
        <v>57</v>
      </c>
      <c r="G1037" s="10" t="n">
        <v>46058</v>
      </c>
      <c r="H1037" s="10" t="n">
        <v>46063</v>
      </c>
      <c r="I1037" s="9" t="s">
        <v>40</v>
      </c>
      <c r="J1037" s="9" t="s">
        <v>41</v>
      </c>
      <c r="K1037" s="9" t="n">
        <v>5</v>
      </c>
      <c r="L1037" s="9" t="n">
        <v>5</v>
      </c>
      <c r="M1037" s="9" t="n">
        <v>0</v>
      </c>
      <c r="N1037" s="9" t="s">
        <v>42</v>
      </c>
      <c r="O1037" s="9" t="s">
        <v>43</v>
      </c>
      <c r="P1037" s="9" t="n">
        <v>4.2</v>
      </c>
      <c r="Q1037" s="9" t="n">
        <v>22</v>
      </c>
      <c r="R1037" s="9" t="s">
        <v>53</v>
      </c>
      <c r="S1037" s="9"/>
      <c r="T1037" s="9"/>
      <c r="U1037" s="9" t="str">
        <f aca="false">IF(COUNTIF($A$2:$A$5001,A1037)&gt;1,"Duplicate","Unique")</f>
        <v>Unique</v>
      </c>
      <c r="V1037" s="9" t="str">
        <f aca="false">IF(COUNTIFS($B$2:$B$5001,B1037,$H$2:$H$5001,H1037,$J$2:$J$5001,J1037)&gt;1,"Possible Duplicate Booking","Unique")</f>
        <v>Unique</v>
      </c>
      <c r="W1037" s="9" t="str">
        <f aca="false">IF((H1037-G1037)&lt;&gt;K1037,"Mismatch","OK")</f>
        <v>OK</v>
      </c>
      <c r="X1037" s="9" t="str">
        <f aca="false">IF(TEXT(H1037,"dddd")&lt;&gt;I1037,"Mismatch","OK")</f>
        <v>OK</v>
      </c>
      <c r="Y1037" s="9" t="str">
        <f aca="false">IF(AND(N1037="No",O1037&lt;&gt;""),"Unexpected: channel present but no reminder sent",IF(AND(N1037="Yes",O1037=""),"Missing channel for sent reminder","OK"))</f>
        <v>OK</v>
      </c>
    </row>
    <row r="1038" customFormat="false" ht="15" hidden="false" customHeight="false" outlineLevel="0" collapsed="false">
      <c r="A1038" s="7" t="s">
        <v>1901</v>
      </c>
      <c r="B1038" s="7" t="s">
        <v>1902</v>
      </c>
      <c r="C1038" s="7" t="s">
        <v>37</v>
      </c>
      <c r="D1038" s="7" t="n">
        <v>45</v>
      </c>
      <c r="E1038" s="7" t="s">
        <v>56</v>
      </c>
      <c r="F1038" s="7" t="s">
        <v>57</v>
      </c>
      <c r="G1038" s="8" t="n">
        <v>46115</v>
      </c>
      <c r="H1038" s="8" t="n">
        <v>46150</v>
      </c>
      <c r="I1038" s="7" t="s">
        <v>50</v>
      </c>
      <c r="J1038" s="7" t="s">
        <v>41</v>
      </c>
      <c r="K1038" s="7" t="n">
        <v>35</v>
      </c>
      <c r="L1038" s="7" t="n">
        <v>5</v>
      </c>
      <c r="M1038" s="7" t="n">
        <v>0</v>
      </c>
      <c r="N1038" s="7" t="s">
        <v>42</v>
      </c>
      <c r="O1038" s="7" t="s">
        <v>67</v>
      </c>
      <c r="P1038" s="7" t="n">
        <v>13.2</v>
      </c>
      <c r="Q1038" s="7" t="n">
        <v>21</v>
      </c>
      <c r="R1038" s="7" t="s">
        <v>53</v>
      </c>
      <c r="S1038" s="7"/>
      <c r="T1038" s="7"/>
      <c r="U1038" s="7" t="str">
        <f aca="false">IF(COUNTIF($A$2:$A$5001,A1038)&gt;1,"Duplicate","Unique")</f>
        <v>Unique</v>
      </c>
      <c r="V1038" s="7" t="str">
        <f aca="false">IF(COUNTIFS($B$2:$B$5001,B1038,$H$2:$H$5001,H1038,$J$2:$J$5001,J1038)&gt;1,"Possible Duplicate Booking","Unique")</f>
        <v>Unique</v>
      </c>
      <c r="W1038" s="7" t="str">
        <f aca="false">IF((H1038-G1038)&lt;&gt;K1038,"Mismatch","OK")</f>
        <v>OK</v>
      </c>
      <c r="X1038" s="7" t="str">
        <f aca="false">IF(TEXT(H1038,"dddd")&lt;&gt;I1038,"Mismatch","OK")</f>
        <v>OK</v>
      </c>
      <c r="Y1038" s="7" t="str">
        <f aca="false">IF(AND(N1038="No",O1038&lt;&gt;""),"Unexpected: channel present but no reminder sent",IF(AND(N1038="Yes",O1038=""),"Missing channel for sent reminder","OK"))</f>
        <v>OK</v>
      </c>
    </row>
    <row r="1039" customFormat="false" ht="15" hidden="false" customHeight="false" outlineLevel="0" collapsed="false">
      <c r="A1039" s="9" t="s">
        <v>1903</v>
      </c>
      <c r="B1039" s="9" t="s">
        <v>643</v>
      </c>
      <c r="C1039" s="9" t="s">
        <v>47</v>
      </c>
      <c r="D1039" s="9" t="n">
        <v>27</v>
      </c>
      <c r="E1039" s="9" t="s">
        <v>48</v>
      </c>
      <c r="F1039" s="9" t="s">
        <v>74</v>
      </c>
      <c r="G1039" s="10" t="n">
        <v>45647</v>
      </c>
      <c r="H1039" s="10" t="n">
        <v>45666</v>
      </c>
      <c r="I1039" s="9" t="s">
        <v>62</v>
      </c>
      <c r="J1039" s="9" t="s">
        <v>63</v>
      </c>
      <c r="K1039" s="9" t="n">
        <v>19</v>
      </c>
      <c r="L1039" s="9" t="n">
        <v>0</v>
      </c>
      <c r="M1039" s="9" t="n">
        <v>0</v>
      </c>
      <c r="N1039" s="9" t="s">
        <v>42</v>
      </c>
      <c r="O1039" s="9" t="s">
        <v>52</v>
      </c>
      <c r="P1039" s="9" t="n">
        <v>7.9</v>
      </c>
      <c r="Q1039" s="9" t="n">
        <v>7</v>
      </c>
      <c r="R1039" s="9" t="s">
        <v>44</v>
      </c>
      <c r="S1039" s="9"/>
      <c r="T1039" s="9"/>
      <c r="U1039" s="9" t="str">
        <f aca="false">IF(COUNTIF($A$2:$A$5001,A1039)&gt;1,"Duplicate","Unique")</f>
        <v>Unique</v>
      </c>
      <c r="V1039" s="9" t="str">
        <f aca="false">IF(COUNTIFS($B$2:$B$5001,B1039,$H$2:$H$5001,H1039,$J$2:$J$5001,J1039)&gt;1,"Possible Duplicate Booking","Unique")</f>
        <v>Unique</v>
      </c>
      <c r="W1039" s="9" t="str">
        <f aca="false">IF((H1039-G1039)&lt;&gt;K1039,"Mismatch","OK")</f>
        <v>OK</v>
      </c>
      <c r="X1039" s="9" t="str">
        <f aca="false">IF(TEXT(H1039,"dddd")&lt;&gt;I1039,"Mismatch","OK")</f>
        <v>OK</v>
      </c>
      <c r="Y1039" s="9" t="str">
        <f aca="false">IF(AND(N1039="No",O1039&lt;&gt;""),"Unexpected: channel present but no reminder sent",IF(AND(N1039="Yes",O1039=""),"Missing channel for sent reminder","OK"))</f>
        <v>OK</v>
      </c>
    </row>
    <row r="1040" customFormat="false" ht="15" hidden="false" customHeight="false" outlineLevel="0" collapsed="false">
      <c r="A1040" s="7" t="s">
        <v>1904</v>
      </c>
      <c r="B1040" s="7" t="s">
        <v>1905</v>
      </c>
      <c r="C1040" s="7" t="s">
        <v>47</v>
      </c>
      <c r="D1040" s="7" t="n">
        <v>56</v>
      </c>
      <c r="E1040" s="7" t="s">
        <v>61</v>
      </c>
      <c r="F1040" s="7" t="s">
        <v>57</v>
      </c>
      <c r="G1040" s="8" t="n">
        <v>45870</v>
      </c>
      <c r="H1040" s="8" t="n">
        <v>45896</v>
      </c>
      <c r="I1040" s="7" t="s">
        <v>58</v>
      </c>
      <c r="J1040" s="7" t="s">
        <v>51</v>
      </c>
      <c r="K1040" s="7" t="n">
        <v>26</v>
      </c>
      <c r="L1040" s="7" t="n">
        <v>4</v>
      </c>
      <c r="M1040" s="7" t="n">
        <v>2</v>
      </c>
      <c r="N1040" s="7" t="s">
        <v>42</v>
      </c>
      <c r="O1040" s="7" t="s">
        <v>52</v>
      </c>
      <c r="P1040" s="7" t="n">
        <v>4.7</v>
      </c>
      <c r="Q1040" s="7" t="n">
        <v>36</v>
      </c>
      <c r="R1040" s="7" t="s">
        <v>53</v>
      </c>
      <c r="S1040" s="7"/>
      <c r="T1040" s="7"/>
      <c r="U1040" s="7" t="str">
        <f aca="false">IF(COUNTIF($A$2:$A$5001,A1040)&gt;1,"Duplicate","Unique")</f>
        <v>Unique</v>
      </c>
      <c r="V1040" s="7" t="str">
        <f aca="false">IF(COUNTIFS($B$2:$B$5001,B1040,$H$2:$H$5001,H1040,$J$2:$J$5001,J1040)&gt;1,"Possible Duplicate Booking","Unique")</f>
        <v>Unique</v>
      </c>
      <c r="W1040" s="7" t="str">
        <f aca="false">IF((H1040-G1040)&lt;&gt;K1040,"Mismatch","OK")</f>
        <v>OK</v>
      </c>
      <c r="X1040" s="7" t="str">
        <f aca="false">IF(TEXT(H1040,"dddd")&lt;&gt;I1040,"Mismatch","OK")</f>
        <v>OK</v>
      </c>
      <c r="Y1040" s="7" t="str">
        <f aca="false">IF(AND(N1040="No",O1040&lt;&gt;""),"Unexpected: channel present but no reminder sent",IF(AND(N1040="Yes",O1040=""),"Missing channel for sent reminder","OK"))</f>
        <v>OK</v>
      </c>
    </row>
    <row r="1041" customFormat="false" ht="15" hidden="false" customHeight="false" outlineLevel="0" collapsed="false">
      <c r="A1041" s="9" t="s">
        <v>1906</v>
      </c>
      <c r="B1041" s="9" t="s">
        <v>1907</v>
      </c>
      <c r="C1041" s="9" t="s">
        <v>37</v>
      </c>
      <c r="D1041" s="9" t="n">
        <v>53</v>
      </c>
      <c r="E1041" s="9" t="s">
        <v>56</v>
      </c>
      <c r="F1041" s="9" t="s">
        <v>57</v>
      </c>
      <c r="G1041" s="10" t="n">
        <v>46095</v>
      </c>
      <c r="H1041" s="10" t="n">
        <v>46109</v>
      </c>
      <c r="I1041" s="9" t="s">
        <v>102</v>
      </c>
      <c r="J1041" s="9" t="s">
        <v>63</v>
      </c>
      <c r="K1041" s="9" t="n">
        <v>14</v>
      </c>
      <c r="L1041" s="9" t="n">
        <v>2</v>
      </c>
      <c r="M1041" s="9" t="n">
        <v>0</v>
      </c>
      <c r="N1041" s="9" t="s">
        <v>42</v>
      </c>
      <c r="O1041" s="9" t="s">
        <v>43</v>
      </c>
      <c r="P1041" s="9" t="n">
        <v>5.8</v>
      </c>
      <c r="Q1041" s="9" t="n">
        <v>29</v>
      </c>
      <c r="R1041" s="9" t="s">
        <v>53</v>
      </c>
      <c r="S1041" s="9"/>
      <c r="T1041" s="9"/>
      <c r="U1041" s="9" t="str">
        <f aca="false">IF(COUNTIF($A$2:$A$5001,A1041)&gt;1,"Duplicate","Unique")</f>
        <v>Unique</v>
      </c>
      <c r="V1041" s="9" t="str">
        <f aca="false">IF(COUNTIFS($B$2:$B$5001,B1041,$H$2:$H$5001,H1041,$J$2:$J$5001,J1041)&gt;1,"Possible Duplicate Booking","Unique")</f>
        <v>Unique</v>
      </c>
      <c r="W1041" s="9" t="str">
        <f aca="false">IF((H1041-G1041)&lt;&gt;K1041,"Mismatch","OK")</f>
        <v>OK</v>
      </c>
      <c r="X1041" s="9" t="str">
        <f aca="false">IF(TEXT(H1041,"dddd")&lt;&gt;I1041,"Mismatch","OK")</f>
        <v>OK</v>
      </c>
      <c r="Y1041" s="9" t="str">
        <f aca="false">IF(AND(N1041="No",O1041&lt;&gt;""),"Unexpected: channel present but no reminder sent",IF(AND(N1041="Yes",O1041=""),"Missing channel for sent reminder","OK"))</f>
        <v>OK</v>
      </c>
    </row>
    <row r="1042" customFormat="false" ht="15" hidden="false" customHeight="false" outlineLevel="0" collapsed="false">
      <c r="A1042" s="7" t="s">
        <v>1908</v>
      </c>
      <c r="B1042" s="7" t="s">
        <v>1909</v>
      </c>
      <c r="C1042" s="7" t="s">
        <v>47</v>
      </c>
      <c r="D1042" s="7" t="n">
        <v>57</v>
      </c>
      <c r="E1042" s="7" t="s">
        <v>61</v>
      </c>
      <c r="F1042" s="7" t="s">
        <v>57</v>
      </c>
      <c r="G1042" s="8" t="n">
        <v>46019</v>
      </c>
      <c r="H1042" s="8" t="n">
        <v>46043</v>
      </c>
      <c r="I1042" s="7" t="s">
        <v>58</v>
      </c>
      <c r="J1042" s="7" t="s">
        <v>51</v>
      </c>
      <c r="K1042" s="7" t="n">
        <v>24</v>
      </c>
      <c r="L1042" s="7" t="n">
        <v>2</v>
      </c>
      <c r="M1042" s="7" t="n">
        <v>2</v>
      </c>
      <c r="N1042" s="7" t="s">
        <v>42</v>
      </c>
      <c r="O1042" s="7" t="s">
        <v>43</v>
      </c>
      <c r="P1042" s="7" t="n">
        <v>6.4</v>
      </c>
      <c r="Q1042" s="7" t="n">
        <v>22</v>
      </c>
      <c r="R1042" s="7" t="s">
        <v>53</v>
      </c>
      <c r="S1042" s="7"/>
      <c r="T1042" s="7"/>
      <c r="U1042" s="7" t="str">
        <f aca="false">IF(COUNTIF($A$2:$A$5001,A1042)&gt;1,"Duplicate","Unique")</f>
        <v>Unique</v>
      </c>
      <c r="V1042" s="7" t="str">
        <f aca="false">IF(COUNTIFS($B$2:$B$5001,B1042,$H$2:$H$5001,H1042,$J$2:$J$5001,J1042)&gt;1,"Possible Duplicate Booking","Unique")</f>
        <v>Unique</v>
      </c>
      <c r="W1042" s="7" t="str">
        <f aca="false">IF((H1042-G1042)&lt;&gt;K1042,"Mismatch","OK")</f>
        <v>OK</v>
      </c>
      <c r="X1042" s="7" t="str">
        <f aca="false">IF(TEXT(H1042,"dddd")&lt;&gt;I1042,"Mismatch","OK")</f>
        <v>OK</v>
      </c>
      <c r="Y1042" s="7" t="str">
        <f aca="false">IF(AND(N1042="No",O1042&lt;&gt;""),"Unexpected: channel present but no reminder sent",IF(AND(N1042="Yes",O1042=""),"Missing channel for sent reminder","OK"))</f>
        <v>OK</v>
      </c>
    </row>
    <row r="1043" customFormat="false" ht="15" hidden="false" customHeight="false" outlineLevel="0" collapsed="false">
      <c r="A1043" s="9" t="s">
        <v>1910</v>
      </c>
      <c r="B1043" s="9" t="s">
        <v>1911</v>
      </c>
      <c r="C1043" s="9" t="s">
        <v>47</v>
      </c>
      <c r="D1043" s="9" t="n">
        <v>45</v>
      </c>
      <c r="E1043" s="9" t="s">
        <v>56</v>
      </c>
      <c r="F1043" s="9" t="s">
        <v>57</v>
      </c>
      <c r="G1043" s="10" t="n">
        <v>46102</v>
      </c>
      <c r="H1043" s="10" t="n">
        <v>46125</v>
      </c>
      <c r="I1043" s="9" t="s">
        <v>66</v>
      </c>
      <c r="J1043" s="9" t="s">
        <v>63</v>
      </c>
      <c r="K1043" s="9" t="n">
        <v>23</v>
      </c>
      <c r="L1043" s="9" t="n">
        <v>8</v>
      </c>
      <c r="M1043" s="9" t="n">
        <v>3</v>
      </c>
      <c r="N1043" s="9" t="s">
        <v>71</v>
      </c>
      <c r="O1043" s="9"/>
      <c r="P1043" s="9" t="n">
        <v>14.6</v>
      </c>
      <c r="Q1043" s="9" t="n">
        <v>2</v>
      </c>
      <c r="R1043" s="9" t="s">
        <v>44</v>
      </c>
      <c r="S1043" s="9"/>
      <c r="T1043" s="9"/>
      <c r="U1043" s="9" t="str">
        <f aca="false">IF(COUNTIF($A$2:$A$5001,A1043)&gt;1,"Duplicate","Unique")</f>
        <v>Unique</v>
      </c>
      <c r="V1043" s="9" t="str">
        <f aca="false">IF(COUNTIFS($B$2:$B$5001,B1043,$H$2:$H$5001,H1043,$J$2:$J$5001,J1043)&gt;1,"Possible Duplicate Booking","Unique")</f>
        <v>Unique</v>
      </c>
      <c r="W1043" s="9" t="str">
        <f aca="false">IF((H1043-G1043)&lt;&gt;K1043,"Mismatch","OK")</f>
        <v>OK</v>
      </c>
      <c r="X1043" s="9" t="str">
        <f aca="false">IF(TEXT(H1043,"dddd")&lt;&gt;I1043,"Mismatch","OK")</f>
        <v>OK</v>
      </c>
      <c r="Y1043" s="9" t="str">
        <f aca="false">IF(AND(N1043="No",O1043&lt;&gt;""),"Unexpected: channel present but no reminder sent",IF(AND(N1043="Yes",O1043=""),"Missing channel for sent reminder","OK"))</f>
        <v>OK</v>
      </c>
    </row>
    <row r="1044" customFormat="false" ht="15" hidden="false" customHeight="false" outlineLevel="0" collapsed="false">
      <c r="A1044" s="7" t="s">
        <v>1912</v>
      </c>
      <c r="B1044" s="7" t="s">
        <v>757</v>
      </c>
      <c r="C1044" s="7" t="s">
        <v>47</v>
      </c>
      <c r="D1044" s="7" t="n">
        <v>36</v>
      </c>
      <c r="E1044" s="7" t="s">
        <v>38</v>
      </c>
      <c r="F1044" s="7" t="s">
        <v>57</v>
      </c>
      <c r="G1044" s="8" t="n">
        <v>45863</v>
      </c>
      <c r="H1044" s="8" t="n">
        <v>45884</v>
      </c>
      <c r="I1044" s="7" t="s">
        <v>50</v>
      </c>
      <c r="J1044" s="7" t="s">
        <v>51</v>
      </c>
      <c r="K1044" s="7" t="n">
        <v>21</v>
      </c>
      <c r="L1044" s="7" t="n">
        <v>1</v>
      </c>
      <c r="M1044" s="7" t="n">
        <v>0</v>
      </c>
      <c r="N1044" s="7" t="s">
        <v>42</v>
      </c>
      <c r="O1044" s="7" t="s">
        <v>43</v>
      </c>
      <c r="P1044" s="7" t="n">
        <v>2.2</v>
      </c>
      <c r="Q1044" s="7" t="n">
        <v>4</v>
      </c>
      <c r="R1044" s="7" t="s">
        <v>44</v>
      </c>
      <c r="S1044" s="7"/>
      <c r="T1044" s="7"/>
      <c r="U1044" s="7" t="str">
        <f aca="false">IF(COUNTIF($A$2:$A$5001,A1044)&gt;1,"Duplicate","Unique")</f>
        <v>Unique</v>
      </c>
      <c r="V1044" s="7" t="str">
        <f aca="false">IF(COUNTIFS($B$2:$B$5001,B1044,$H$2:$H$5001,H1044,$J$2:$J$5001,J1044)&gt;1,"Possible Duplicate Booking","Unique")</f>
        <v>Unique</v>
      </c>
      <c r="W1044" s="7" t="str">
        <f aca="false">IF((H1044-G1044)&lt;&gt;K1044,"Mismatch","OK")</f>
        <v>OK</v>
      </c>
      <c r="X1044" s="7" t="str">
        <f aca="false">IF(TEXT(H1044,"dddd")&lt;&gt;I1044,"Mismatch","OK")</f>
        <v>OK</v>
      </c>
      <c r="Y1044" s="7" t="str">
        <f aca="false">IF(AND(N1044="No",O1044&lt;&gt;""),"Unexpected: channel present but no reminder sent",IF(AND(N1044="Yes",O1044=""),"Missing channel for sent reminder","OK"))</f>
        <v>OK</v>
      </c>
    </row>
    <row r="1045" customFormat="false" ht="15" hidden="false" customHeight="false" outlineLevel="0" collapsed="false">
      <c r="A1045" s="9" t="s">
        <v>1913</v>
      </c>
      <c r="B1045" s="9" t="s">
        <v>759</v>
      </c>
      <c r="C1045" s="9" t="s">
        <v>47</v>
      </c>
      <c r="D1045" s="9" t="n">
        <v>33</v>
      </c>
      <c r="E1045" s="9" t="s">
        <v>48</v>
      </c>
      <c r="F1045" s="9" t="s">
        <v>74</v>
      </c>
      <c r="G1045" s="10" t="n">
        <v>45816</v>
      </c>
      <c r="H1045" s="10" t="n">
        <v>45861</v>
      </c>
      <c r="I1045" s="9" t="s">
        <v>58</v>
      </c>
      <c r="J1045" s="9" t="s">
        <v>51</v>
      </c>
      <c r="K1045" s="9" t="n">
        <v>45</v>
      </c>
      <c r="L1045" s="9" t="n">
        <v>1</v>
      </c>
      <c r="M1045" s="9" t="n">
        <v>0</v>
      </c>
      <c r="N1045" s="9" t="s">
        <v>71</v>
      </c>
      <c r="O1045" s="9"/>
      <c r="P1045" s="9" t="n">
        <v>4.7</v>
      </c>
      <c r="Q1045" s="9" t="n">
        <v>25</v>
      </c>
      <c r="R1045" s="9" t="s">
        <v>87</v>
      </c>
      <c r="S1045" s="9"/>
      <c r="T1045" s="9"/>
      <c r="U1045" s="9" t="str">
        <f aca="false">IF(COUNTIF($A$2:$A$5001,A1045)&gt;1,"Duplicate","Unique")</f>
        <v>Unique</v>
      </c>
      <c r="V1045" s="9" t="str">
        <f aca="false">IF(COUNTIFS($B$2:$B$5001,B1045,$H$2:$H$5001,H1045,$J$2:$J$5001,J1045)&gt;1,"Possible Duplicate Booking","Unique")</f>
        <v>Unique</v>
      </c>
      <c r="W1045" s="9" t="str">
        <f aca="false">IF((H1045-G1045)&lt;&gt;K1045,"Mismatch","OK")</f>
        <v>OK</v>
      </c>
      <c r="X1045" s="9" t="str">
        <f aca="false">IF(TEXT(H1045,"dddd")&lt;&gt;I1045,"Mismatch","OK")</f>
        <v>OK</v>
      </c>
      <c r="Y1045" s="9" t="str">
        <f aca="false">IF(AND(N1045="No",O1045&lt;&gt;""),"Unexpected: channel present but no reminder sent",IF(AND(N1045="Yes",O1045=""),"Missing channel for sent reminder","OK"))</f>
        <v>OK</v>
      </c>
    </row>
    <row r="1046" customFormat="false" ht="15" hidden="false" customHeight="false" outlineLevel="0" collapsed="false">
      <c r="A1046" s="7" t="s">
        <v>1914</v>
      </c>
      <c r="B1046" s="7" t="s">
        <v>1587</v>
      </c>
      <c r="C1046" s="7" t="s">
        <v>47</v>
      </c>
      <c r="D1046" s="7" t="n">
        <v>31</v>
      </c>
      <c r="E1046" s="7" t="s">
        <v>48</v>
      </c>
      <c r="F1046" s="7" t="s">
        <v>57</v>
      </c>
      <c r="G1046" s="8" t="n">
        <v>46009</v>
      </c>
      <c r="H1046" s="8" t="n">
        <v>46045</v>
      </c>
      <c r="I1046" s="7" t="s">
        <v>50</v>
      </c>
      <c r="J1046" s="7" t="s">
        <v>51</v>
      </c>
      <c r="K1046" s="7" t="n">
        <v>36</v>
      </c>
      <c r="L1046" s="7" t="n">
        <v>2</v>
      </c>
      <c r="M1046" s="7" t="n">
        <v>1</v>
      </c>
      <c r="N1046" s="7" t="s">
        <v>71</v>
      </c>
      <c r="O1046" s="7"/>
      <c r="P1046" s="7" t="n">
        <v>0.7</v>
      </c>
      <c r="Q1046" s="7"/>
      <c r="R1046" s="7" t="s">
        <v>53</v>
      </c>
      <c r="S1046" s="7"/>
      <c r="T1046" s="7"/>
      <c r="U1046" s="7" t="str">
        <f aca="false">IF(COUNTIF($A$2:$A$5001,A1046)&gt;1,"Duplicate","Unique")</f>
        <v>Unique</v>
      </c>
      <c r="V1046" s="7" t="str">
        <f aca="false">IF(COUNTIFS($B$2:$B$5001,B1046,$H$2:$H$5001,H1046,$J$2:$J$5001,J1046)&gt;1,"Possible Duplicate Booking","Unique")</f>
        <v>Unique</v>
      </c>
      <c r="W1046" s="7" t="str">
        <f aca="false">IF((H1046-G1046)&lt;&gt;K1046,"Mismatch","OK")</f>
        <v>OK</v>
      </c>
      <c r="X1046" s="7" t="str">
        <f aca="false">IF(TEXT(H1046,"dddd")&lt;&gt;I1046,"Mismatch","OK")</f>
        <v>OK</v>
      </c>
      <c r="Y1046" s="7" t="str">
        <f aca="false">IF(AND(N1046="No",O1046&lt;&gt;""),"Unexpected: channel present but no reminder sent",IF(AND(N1046="Yes",O1046=""),"Missing channel for sent reminder","OK"))</f>
        <v>OK</v>
      </c>
    </row>
    <row r="1047" customFormat="false" ht="15" hidden="false" customHeight="false" outlineLevel="0" collapsed="false">
      <c r="A1047" s="9" t="s">
        <v>1915</v>
      </c>
      <c r="B1047" s="9" t="s">
        <v>1916</v>
      </c>
      <c r="C1047" s="9" t="s">
        <v>47</v>
      </c>
      <c r="D1047" s="9" t="n">
        <v>45</v>
      </c>
      <c r="E1047" s="9" t="s">
        <v>56</v>
      </c>
      <c r="F1047" s="9" t="s">
        <v>39</v>
      </c>
      <c r="G1047" s="10" t="n">
        <v>45713</v>
      </c>
      <c r="H1047" s="10" t="n">
        <v>45741</v>
      </c>
      <c r="I1047" s="9" t="s">
        <v>40</v>
      </c>
      <c r="J1047" s="9" t="s">
        <v>41</v>
      </c>
      <c r="K1047" s="9" t="n">
        <v>28</v>
      </c>
      <c r="L1047" s="9" t="n">
        <v>4</v>
      </c>
      <c r="M1047" s="9" t="n">
        <v>1</v>
      </c>
      <c r="N1047" s="9" t="s">
        <v>71</v>
      </c>
      <c r="O1047" s="9"/>
      <c r="P1047" s="9" t="n">
        <v>14.5</v>
      </c>
      <c r="Q1047" s="9" t="n">
        <v>30</v>
      </c>
      <c r="R1047" s="9" t="s">
        <v>53</v>
      </c>
      <c r="S1047" s="9"/>
      <c r="T1047" s="9"/>
      <c r="U1047" s="9" t="str">
        <f aca="false">IF(COUNTIF($A$2:$A$5001,A1047)&gt;1,"Duplicate","Unique")</f>
        <v>Unique</v>
      </c>
      <c r="V1047" s="9" t="str">
        <f aca="false">IF(COUNTIFS($B$2:$B$5001,B1047,$H$2:$H$5001,H1047,$J$2:$J$5001,J1047)&gt;1,"Possible Duplicate Booking","Unique")</f>
        <v>Unique</v>
      </c>
      <c r="W1047" s="9" t="str">
        <f aca="false">IF((H1047-G1047)&lt;&gt;K1047,"Mismatch","OK")</f>
        <v>OK</v>
      </c>
      <c r="X1047" s="9" t="str">
        <f aca="false">IF(TEXT(H1047,"dddd")&lt;&gt;I1047,"Mismatch","OK")</f>
        <v>OK</v>
      </c>
      <c r="Y1047" s="9" t="str">
        <f aca="false">IF(AND(N1047="No",O1047&lt;&gt;""),"Unexpected: channel present but no reminder sent",IF(AND(N1047="Yes",O1047=""),"Missing channel for sent reminder","OK"))</f>
        <v>OK</v>
      </c>
    </row>
    <row r="1048" customFormat="false" ht="15" hidden="false" customHeight="false" outlineLevel="0" collapsed="false">
      <c r="A1048" s="7" t="s">
        <v>1917</v>
      </c>
      <c r="B1048" s="7" t="s">
        <v>1918</v>
      </c>
      <c r="C1048" s="7" t="s">
        <v>37</v>
      </c>
      <c r="D1048" s="7" t="n">
        <v>46</v>
      </c>
      <c r="E1048" s="7" t="s">
        <v>56</v>
      </c>
      <c r="F1048" s="7" t="s">
        <v>49</v>
      </c>
      <c r="G1048" s="8" t="n">
        <v>45782</v>
      </c>
      <c r="H1048" s="8" t="n">
        <v>45788</v>
      </c>
      <c r="I1048" s="7" t="s">
        <v>75</v>
      </c>
      <c r="J1048" s="7" t="s">
        <v>63</v>
      </c>
      <c r="K1048" s="7" t="n">
        <v>6</v>
      </c>
      <c r="L1048" s="7" t="n">
        <v>5</v>
      </c>
      <c r="M1048" s="7" t="n">
        <v>0</v>
      </c>
      <c r="N1048" s="7" t="s">
        <v>42</v>
      </c>
      <c r="O1048" s="7" t="s">
        <v>52</v>
      </c>
      <c r="P1048" s="7" t="n">
        <v>17.7</v>
      </c>
      <c r="Q1048" s="7" t="n">
        <v>30</v>
      </c>
      <c r="R1048" s="7" t="s">
        <v>53</v>
      </c>
      <c r="S1048" s="7"/>
      <c r="T1048" s="7"/>
      <c r="U1048" s="7" t="str">
        <f aca="false">IF(COUNTIF($A$2:$A$5001,A1048)&gt;1,"Duplicate","Unique")</f>
        <v>Unique</v>
      </c>
      <c r="V1048" s="7" t="str">
        <f aca="false">IF(COUNTIFS($B$2:$B$5001,B1048,$H$2:$H$5001,H1048,$J$2:$J$5001,J1048)&gt;1,"Possible Duplicate Booking","Unique")</f>
        <v>Unique</v>
      </c>
      <c r="W1048" s="7" t="str">
        <f aca="false">IF((H1048-G1048)&lt;&gt;K1048,"Mismatch","OK")</f>
        <v>OK</v>
      </c>
      <c r="X1048" s="7" t="str">
        <f aca="false">IF(TEXT(H1048,"dddd")&lt;&gt;I1048,"Mismatch","OK")</f>
        <v>OK</v>
      </c>
      <c r="Y1048" s="7" t="str">
        <f aca="false">IF(AND(N1048="No",O1048&lt;&gt;""),"Unexpected: channel present but no reminder sent",IF(AND(N1048="Yes",O1048=""),"Missing channel for sent reminder","OK"))</f>
        <v>OK</v>
      </c>
    </row>
    <row r="1049" customFormat="false" ht="15" hidden="false" customHeight="false" outlineLevel="0" collapsed="false">
      <c r="A1049" s="9" t="s">
        <v>1919</v>
      </c>
      <c r="B1049" s="9" t="s">
        <v>1920</v>
      </c>
      <c r="C1049" s="9" t="s">
        <v>47</v>
      </c>
      <c r="D1049" s="9" t="n">
        <v>60</v>
      </c>
      <c r="E1049" s="9" t="s">
        <v>61</v>
      </c>
      <c r="F1049" s="9" t="s">
        <v>39</v>
      </c>
      <c r="G1049" s="10" t="n">
        <v>45952</v>
      </c>
      <c r="H1049" s="10" t="n">
        <v>45986</v>
      </c>
      <c r="I1049" s="9" t="s">
        <v>40</v>
      </c>
      <c r="J1049" s="9" t="s">
        <v>51</v>
      </c>
      <c r="K1049" s="9" t="n">
        <v>34</v>
      </c>
      <c r="L1049" s="9" t="n">
        <v>3</v>
      </c>
      <c r="M1049" s="9" t="n">
        <v>0</v>
      </c>
      <c r="N1049" s="9" t="s">
        <v>71</v>
      </c>
      <c r="O1049" s="9"/>
      <c r="P1049" s="9" t="n">
        <v>12</v>
      </c>
      <c r="Q1049" s="9" t="n">
        <v>10</v>
      </c>
      <c r="R1049" s="9" t="s">
        <v>53</v>
      </c>
      <c r="S1049" s="9"/>
      <c r="T1049" s="9"/>
      <c r="U1049" s="9" t="str">
        <f aca="false">IF(COUNTIF($A$2:$A$5001,A1049)&gt;1,"Duplicate","Unique")</f>
        <v>Unique</v>
      </c>
      <c r="V1049" s="9" t="str">
        <f aca="false">IF(COUNTIFS($B$2:$B$5001,B1049,$H$2:$H$5001,H1049,$J$2:$J$5001,J1049)&gt;1,"Possible Duplicate Booking","Unique")</f>
        <v>Unique</v>
      </c>
      <c r="W1049" s="9" t="str">
        <f aca="false">IF((H1049-G1049)&lt;&gt;K1049,"Mismatch","OK")</f>
        <v>OK</v>
      </c>
      <c r="X1049" s="9" t="str">
        <f aca="false">IF(TEXT(H1049,"dddd")&lt;&gt;I1049,"Mismatch","OK")</f>
        <v>OK</v>
      </c>
      <c r="Y1049" s="9" t="str">
        <f aca="false">IF(AND(N1049="No",O1049&lt;&gt;""),"Unexpected: channel present but no reminder sent",IF(AND(N1049="Yes",O1049=""),"Missing channel for sent reminder","OK"))</f>
        <v>OK</v>
      </c>
    </row>
    <row r="1050" customFormat="false" ht="15" hidden="false" customHeight="false" outlineLevel="0" collapsed="false">
      <c r="A1050" s="7" t="s">
        <v>1921</v>
      </c>
      <c r="B1050" s="7" t="s">
        <v>1851</v>
      </c>
      <c r="C1050" s="7" t="s">
        <v>37</v>
      </c>
      <c r="D1050" s="7" t="n">
        <v>21</v>
      </c>
      <c r="E1050" s="7" t="s">
        <v>82</v>
      </c>
      <c r="F1050" s="7" t="s">
        <v>49</v>
      </c>
      <c r="G1050" s="8" t="n">
        <v>46012</v>
      </c>
      <c r="H1050" s="8" t="n">
        <v>46022</v>
      </c>
      <c r="I1050" s="7" t="s">
        <v>58</v>
      </c>
      <c r="J1050" s="7" t="s">
        <v>51</v>
      </c>
      <c r="K1050" s="7" t="n">
        <v>10</v>
      </c>
      <c r="L1050" s="7" t="n">
        <v>3</v>
      </c>
      <c r="M1050" s="7" t="n">
        <v>0</v>
      </c>
      <c r="N1050" s="7" t="s">
        <v>42</v>
      </c>
      <c r="O1050" s="7" t="s">
        <v>67</v>
      </c>
      <c r="P1050" s="7" t="n">
        <v>13.2</v>
      </c>
      <c r="Q1050" s="7" t="n">
        <v>25</v>
      </c>
      <c r="R1050" s="7" t="s">
        <v>87</v>
      </c>
      <c r="S1050" s="7"/>
      <c r="T1050" s="7"/>
      <c r="U1050" s="7" t="str">
        <f aca="false">IF(COUNTIF($A$2:$A$5001,A1050)&gt;1,"Duplicate","Unique")</f>
        <v>Unique</v>
      </c>
      <c r="V1050" s="7" t="str">
        <f aca="false">IF(COUNTIFS($B$2:$B$5001,B1050,$H$2:$H$5001,H1050,$J$2:$J$5001,J1050)&gt;1,"Possible Duplicate Booking","Unique")</f>
        <v>Unique</v>
      </c>
      <c r="W1050" s="7" t="str">
        <f aca="false">IF((H1050-G1050)&lt;&gt;K1050,"Mismatch","OK")</f>
        <v>OK</v>
      </c>
      <c r="X1050" s="7" t="str">
        <f aca="false">IF(TEXT(H1050,"dddd")&lt;&gt;I1050,"Mismatch","OK")</f>
        <v>OK</v>
      </c>
      <c r="Y1050" s="7" t="str">
        <f aca="false">IF(AND(N1050="No",O1050&lt;&gt;""),"Unexpected: channel present but no reminder sent",IF(AND(N1050="Yes",O1050=""),"Missing channel for sent reminder","OK"))</f>
        <v>OK</v>
      </c>
    </row>
    <row r="1051" customFormat="false" ht="15" hidden="false" customHeight="false" outlineLevel="0" collapsed="false">
      <c r="A1051" s="9" t="s">
        <v>1922</v>
      </c>
      <c r="B1051" s="9" t="s">
        <v>1923</v>
      </c>
      <c r="C1051" s="9" t="s">
        <v>47</v>
      </c>
      <c r="D1051" s="9" t="n">
        <v>35</v>
      </c>
      <c r="E1051" s="9" t="s">
        <v>38</v>
      </c>
      <c r="F1051" s="9" t="s">
        <v>39</v>
      </c>
      <c r="G1051" s="10" t="n">
        <v>45704</v>
      </c>
      <c r="H1051" s="10" t="n">
        <v>45723</v>
      </c>
      <c r="I1051" s="9" t="s">
        <v>50</v>
      </c>
      <c r="J1051" s="9" t="s">
        <v>51</v>
      </c>
      <c r="K1051" s="9" t="n">
        <v>19</v>
      </c>
      <c r="L1051" s="9" t="n">
        <v>3</v>
      </c>
      <c r="M1051" s="9" t="n">
        <v>0</v>
      </c>
      <c r="N1051" s="9" t="s">
        <v>42</v>
      </c>
      <c r="O1051" s="9" t="s">
        <v>52</v>
      </c>
      <c r="P1051" s="9" t="n">
        <v>10</v>
      </c>
      <c r="Q1051" s="9" t="n">
        <v>14</v>
      </c>
      <c r="R1051" s="9" t="s">
        <v>44</v>
      </c>
      <c r="S1051" s="9"/>
      <c r="T1051" s="9"/>
      <c r="U1051" s="9" t="str">
        <f aca="false">IF(COUNTIF($A$2:$A$5001,A1051)&gt;1,"Duplicate","Unique")</f>
        <v>Unique</v>
      </c>
      <c r="V1051" s="9" t="str">
        <f aca="false">IF(COUNTIFS($B$2:$B$5001,B1051,$H$2:$H$5001,H1051,$J$2:$J$5001,J1051)&gt;1,"Possible Duplicate Booking","Unique")</f>
        <v>Unique</v>
      </c>
      <c r="W1051" s="9" t="str">
        <f aca="false">IF((H1051-G1051)&lt;&gt;K1051,"Mismatch","OK")</f>
        <v>OK</v>
      </c>
      <c r="X1051" s="9" t="str">
        <f aca="false">IF(TEXT(H1051,"dddd")&lt;&gt;I1051,"Mismatch","OK")</f>
        <v>OK</v>
      </c>
      <c r="Y1051" s="9" t="str">
        <f aca="false">IF(AND(N1051="No",O1051&lt;&gt;""),"Unexpected: channel present but no reminder sent",IF(AND(N1051="Yes",O1051=""),"Missing channel for sent reminder","OK"))</f>
        <v>OK</v>
      </c>
    </row>
    <row r="1052" customFormat="false" ht="15" hidden="false" customHeight="false" outlineLevel="0" collapsed="false">
      <c r="A1052" s="7" t="s">
        <v>1924</v>
      </c>
      <c r="B1052" s="7" t="s">
        <v>1925</v>
      </c>
      <c r="C1052" s="7" t="s">
        <v>47</v>
      </c>
      <c r="D1052" s="7" t="n">
        <v>71</v>
      </c>
      <c r="E1052" s="7" t="s">
        <v>70</v>
      </c>
      <c r="F1052" s="7" t="s">
        <v>39</v>
      </c>
      <c r="G1052" s="8" t="n">
        <v>45910</v>
      </c>
      <c r="H1052" s="8" t="n">
        <v>45935</v>
      </c>
      <c r="I1052" s="7" t="s">
        <v>75</v>
      </c>
      <c r="J1052" s="7" t="s">
        <v>51</v>
      </c>
      <c r="K1052" s="7" t="n">
        <v>25</v>
      </c>
      <c r="L1052" s="7" t="n">
        <v>6</v>
      </c>
      <c r="M1052" s="7" t="n">
        <v>0</v>
      </c>
      <c r="N1052" s="7" t="s">
        <v>42</v>
      </c>
      <c r="O1052" s="7" t="s">
        <v>52</v>
      </c>
      <c r="P1052" s="7" t="n">
        <v>11.8</v>
      </c>
      <c r="Q1052" s="7" t="n">
        <v>34</v>
      </c>
      <c r="R1052" s="7" t="s">
        <v>44</v>
      </c>
      <c r="S1052" s="7"/>
      <c r="T1052" s="7"/>
      <c r="U1052" s="7" t="str">
        <f aca="false">IF(COUNTIF($A$2:$A$5001,A1052)&gt;1,"Duplicate","Unique")</f>
        <v>Unique</v>
      </c>
      <c r="V1052" s="7" t="str">
        <f aca="false">IF(COUNTIFS($B$2:$B$5001,B1052,$H$2:$H$5001,H1052,$J$2:$J$5001,J1052)&gt;1,"Possible Duplicate Booking","Unique")</f>
        <v>Unique</v>
      </c>
      <c r="W1052" s="7" t="str">
        <f aca="false">IF((H1052-G1052)&lt;&gt;K1052,"Mismatch","OK")</f>
        <v>OK</v>
      </c>
      <c r="X1052" s="7" t="str">
        <f aca="false">IF(TEXT(H1052,"dddd")&lt;&gt;I1052,"Mismatch","OK")</f>
        <v>OK</v>
      </c>
      <c r="Y1052" s="7" t="str">
        <f aca="false">IF(AND(N1052="No",O1052&lt;&gt;""),"Unexpected: channel present but no reminder sent",IF(AND(N1052="Yes",O1052=""),"Missing channel for sent reminder","OK"))</f>
        <v>OK</v>
      </c>
    </row>
    <row r="1053" customFormat="false" ht="15" hidden="false" customHeight="false" outlineLevel="0" collapsed="false">
      <c r="A1053" s="9" t="s">
        <v>1926</v>
      </c>
      <c r="B1053" s="9" t="s">
        <v>1788</v>
      </c>
      <c r="C1053" s="9" t="s">
        <v>37</v>
      </c>
      <c r="D1053" s="9" t="n">
        <v>75</v>
      </c>
      <c r="E1053" s="9" t="s">
        <v>70</v>
      </c>
      <c r="F1053" s="9" t="s">
        <v>39</v>
      </c>
      <c r="G1053" s="10" t="n">
        <v>45849</v>
      </c>
      <c r="H1053" s="10" t="n">
        <v>45857</v>
      </c>
      <c r="I1053" s="9" t="s">
        <v>102</v>
      </c>
      <c r="J1053" s="9" t="s">
        <v>41</v>
      </c>
      <c r="K1053" s="9" t="n">
        <v>8</v>
      </c>
      <c r="L1053" s="9" t="n">
        <v>3</v>
      </c>
      <c r="M1053" s="9" t="n">
        <v>0</v>
      </c>
      <c r="N1053" s="9" t="s">
        <v>71</v>
      </c>
      <c r="O1053" s="9"/>
      <c r="P1053" s="9" t="n">
        <v>1.6</v>
      </c>
      <c r="Q1053" s="9" t="n">
        <v>60</v>
      </c>
      <c r="R1053" s="9" t="s">
        <v>53</v>
      </c>
      <c r="S1053" s="9"/>
      <c r="T1053" s="9"/>
      <c r="U1053" s="9" t="str">
        <f aca="false">IF(COUNTIF($A$2:$A$5001,A1053)&gt;1,"Duplicate","Unique")</f>
        <v>Unique</v>
      </c>
      <c r="V1053" s="9" t="str">
        <f aca="false">IF(COUNTIFS($B$2:$B$5001,B1053,$H$2:$H$5001,H1053,$J$2:$J$5001,J1053)&gt;1,"Possible Duplicate Booking","Unique")</f>
        <v>Unique</v>
      </c>
      <c r="W1053" s="9" t="str">
        <f aca="false">IF((H1053-G1053)&lt;&gt;K1053,"Mismatch","OK")</f>
        <v>OK</v>
      </c>
      <c r="X1053" s="9" t="str">
        <f aca="false">IF(TEXT(H1053,"dddd")&lt;&gt;I1053,"Mismatch","OK")</f>
        <v>OK</v>
      </c>
      <c r="Y1053" s="9" t="str">
        <f aca="false">IF(AND(N1053="No",O1053&lt;&gt;""),"Unexpected: channel present but no reminder sent",IF(AND(N1053="Yes",O1053=""),"Missing channel for sent reminder","OK"))</f>
        <v>OK</v>
      </c>
    </row>
    <row r="1054" customFormat="false" ht="15" hidden="false" customHeight="false" outlineLevel="0" collapsed="false">
      <c r="A1054" s="7" t="s">
        <v>1927</v>
      </c>
      <c r="B1054" s="7" t="s">
        <v>1928</v>
      </c>
      <c r="C1054" s="7" t="s">
        <v>37</v>
      </c>
      <c r="D1054" s="7" t="n">
        <v>76</v>
      </c>
      <c r="E1054" s="7" t="s">
        <v>70</v>
      </c>
      <c r="F1054" s="7" t="s">
        <v>49</v>
      </c>
      <c r="G1054" s="8" t="n">
        <v>45908</v>
      </c>
      <c r="H1054" s="8" t="n">
        <v>45931</v>
      </c>
      <c r="I1054" s="7" t="s">
        <v>58</v>
      </c>
      <c r="J1054" s="7" t="s">
        <v>51</v>
      </c>
      <c r="K1054" s="7" t="n">
        <v>23</v>
      </c>
      <c r="L1054" s="7" t="n">
        <v>2</v>
      </c>
      <c r="M1054" s="7" t="n">
        <v>0</v>
      </c>
      <c r="N1054" s="7" t="s">
        <v>71</v>
      </c>
      <c r="O1054" s="7"/>
      <c r="P1054" s="7" t="n">
        <v>11.5</v>
      </c>
      <c r="Q1054" s="7" t="n">
        <v>23</v>
      </c>
      <c r="R1054" s="7" t="s">
        <v>44</v>
      </c>
      <c r="S1054" s="7"/>
      <c r="T1054" s="7"/>
      <c r="U1054" s="7" t="str">
        <f aca="false">IF(COUNTIF($A$2:$A$5001,A1054)&gt;1,"Duplicate","Unique")</f>
        <v>Unique</v>
      </c>
      <c r="V1054" s="7" t="str">
        <f aca="false">IF(COUNTIFS($B$2:$B$5001,B1054,$H$2:$H$5001,H1054,$J$2:$J$5001,J1054)&gt;1,"Possible Duplicate Booking","Unique")</f>
        <v>Unique</v>
      </c>
      <c r="W1054" s="7" t="str">
        <f aca="false">IF((H1054-G1054)&lt;&gt;K1054,"Mismatch","OK")</f>
        <v>OK</v>
      </c>
      <c r="X1054" s="7" t="str">
        <f aca="false">IF(TEXT(H1054,"dddd")&lt;&gt;I1054,"Mismatch","OK")</f>
        <v>OK</v>
      </c>
      <c r="Y1054" s="7" t="str">
        <f aca="false">IF(AND(N1054="No",O1054&lt;&gt;""),"Unexpected: channel present but no reminder sent",IF(AND(N1054="Yes",O1054=""),"Missing channel for sent reminder","OK"))</f>
        <v>OK</v>
      </c>
    </row>
    <row r="1055" customFormat="false" ht="15" hidden="false" customHeight="false" outlineLevel="0" collapsed="false">
      <c r="A1055" s="9" t="s">
        <v>1929</v>
      </c>
      <c r="B1055" s="9" t="s">
        <v>1930</v>
      </c>
      <c r="C1055" s="9" t="s">
        <v>47</v>
      </c>
      <c r="D1055" s="9" t="n">
        <v>37</v>
      </c>
      <c r="E1055" s="9" t="s">
        <v>38</v>
      </c>
      <c r="F1055" s="9" t="s">
        <v>49</v>
      </c>
      <c r="G1055" s="10" t="n">
        <v>46165</v>
      </c>
      <c r="H1055" s="10" t="n">
        <v>46181</v>
      </c>
      <c r="I1055" s="9" t="s">
        <v>66</v>
      </c>
      <c r="J1055" s="9" t="s">
        <v>63</v>
      </c>
      <c r="K1055" s="9" t="n">
        <v>16</v>
      </c>
      <c r="L1055" s="9" t="n">
        <v>5</v>
      </c>
      <c r="M1055" s="9" t="n">
        <v>0</v>
      </c>
      <c r="N1055" s="9" t="s">
        <v>42</v>
      </c>
      <c r="O1055" s="9" t="s">
        <v>52</v>
      </c>
      <c r="P1055" s="9" t="n">
        <v>4.4</v>
      </c>
      <c r="Q1055" s="9" t="n">
        <v>40</v>
      </c>
      <c r="R1055" s="9" t="s">
        <v>53</v>
      </c>
      <c r="S1055" s="9"/>
      <c r="T1055" s="9"/>
      <c r="U1055" s="9" t="str">
        <f aca="false">IF(COUNTIF($A$2:$A$5001,A1055)&gt;1,"Duplicate","Unique")</f>
        <v>Unique</v>
      </c>
      <c r="V1055" s="9" t="str">
        <f aca="false">IF(COUNTIFS($B$2:$B$5001,B1055,$H$2:$H$5001,H1055,$J$2:$J$5001,J1055)&gt;1,"Possible Duplicate Booking","Unique")</f>
        <v>Unique</v>
      </c>
      <c r="W1055" s="9" t="str">
        <f aca="false">IF((H1055-G1055)&lt;&gt;K1055,"Mismatch","OK")</f>
        <v>OK</v>
      </c>
      <c r="X1055" s="9" t="str">
        <f aca="false">IF(TEXT(H1055,"dddd")&lt;&gt;I1055,"Mismatch","OK")</f>
        <v>OK</v>
      </c>
      <c r="Y1055" s="9" t="str">
        <f aca="false">IF(AND(N1055="No",O1055&lt;&gt;""),"Unexpected: channel present but no reminder sent",IF(AND(N1055="Yes",O1055=""),"Missing channel for sent reminder","OK"))</f>
        <v>OK</v>
      </c>
    </row>
    <row r="1056" customFormat="false" ht="15" hidden="false" customHeight="false" outlineLevel="0" collapsed="false">
      <c r="A1056" s="7" t="s">
        <v>1931</v>
      </c>
      <c r="B1056" s="7" t="s">
        <v>186</v>
      </c>
      <c r="C1056" s="7" t="s">
        <v>47</v>
      </c>
      <c r="D1056" s="7" t="n">
        <v>26</v>
      </c>
      <c r="E1056" s="7" t="s">
        <v>48</v>
      </c>
      <c r="F1056" s="7" t="s">
        <v>49</v>
      </c>
      <c r="G1056" s="8" t="n">
        <v>45648</v>
      </c>
      <c r="H1056" s="8" t="n">
        <v>45699</v>
      </c>
      <c r="I1056" s="7" t="s">
        <v>40</v>
      </c>
      <c r="J1056" s="7" t="s">
        <v>63</v>
      </c>
      <c r="K1056" s="7" t="n">
        <v>51</v>
      </c>
      <c r="L1056" s="7" t="n">
        <v>1</v>
      </c>
      <c r="M1056" s="7" t="n">
        <v>1</v>
      </c>
      <c r="N1056" s="7" t="s">
        <v>42</v>
      </c>
      <c r="O1056" s="7" t="s">
        <v>52</v>
      </c>
      <c r="P1056" s="7" t="n">
        <v>13.3</v>
      </c>
      <c r="Q1056" s="7" t="n">
        <v>35</v>
      </c>
      <c r="R1056" s="7" t="s">
        <v>53</v>
      </c>
      <c r="S1056" s="7"/>
      <c r="T1056" s="7"/>
      <c r="U1056" s="7" t="str">
        <f aca="false">IF(COUNTIF($A$2:$A$5001,A1056)&gt;1,"Duplicate","Unique")</f>
        <v>Unique</v>
      </c>
      <c r="V1056" s="7" t="str">
        <f aca="false">IF(COUNTIFS($B$2:$B$5001,B1056,$H$2:$H$5001,H1056,$J$2:$J$5001,J1056)&gt;1,"Possible Duplicate Booking","Unique")</f>
        <v>Unique</v>
      </c>
      <c r="W1056" s="7" t="str">
        <f aca="false">IF((H1056-G1056)&lt;&gt;K1056,"Mismatch","OK")</f>
        <v>OK</v>
      </c>
      <c r="X1056" s="7" t="str">
        <f aca="false">IF(TEXT(H1056,"dddd")&lt;&gt;I1056,"Mismatch","OK")</f>
        <v>OK</v>
      </c>
      <c r="Y1056" s="7" t="str">
        <f aca="false">IF(AND(N1056="No",O1056&lt;&gt;""),"Unexpected: channel present but no reminder sent",IF(AND(N1056="Yes",O1056=""),"Missing channel for sent reminder","OK"))</f>
        <v>OK</v>
      </c>
    </row>
    <row r="1057" customFormat="false" ht="15" hidden="false" customHeight="false" outlineLevel="0" collapsed="false">
      <c r="A1057" s="9" t="s">
        <v>1932</v>
      </c>
      <c r="B1057" s="9" t="s">
        <v>1933</v>
      </c>
      <c r="C1057" s="9" t="s">
        <v>47</v>
      </c>
      <c r="D1057" s="9" t="n">
        <v>30</v>
      </c>
      <c r="E1057" s="9" t="s">
        <v>48</v>
      </c>
      <c r="F1057" s="9" t="s">
        <v>57</v>
      </c>
      <c r="G1057" s="10" t="n">
        <v>46149</v>
      </c>
      <c r="H1057" s="10" t="n">
        <v>46201</v>
      </c>
      <c r="I1057" s="9" t="s">
        <v>75</v>
      </c>
      <c r="J1057" s="9" t="s">
        <v>51</v>
      </c>
      <c r="K1057" s="9" t="n">
        <v>52</v>
      </c>
      <c r="L1057" s="9" t="n">
        <v>4</v>
      </c>
      <c r="M1057" s="9" t="n">
        <v>0</v>
      </c>
      <c r="N1057" s="9" t="s">
        <v>42</v>
      </c>
      <c r="O1057" s="9" t="s">
        <v>52</v>
      </c>
      <c r="P1057" s="9" t="n">
        <v>7.4</v>
      </c>
      <c r="Q1057" s="9" t="n">
        <v>23</v>
      </c>
      <c r="R1057" s="9" t="s">
        <v>44</v>
      </c>
      <c r="S1057" s="9"/>
      <c r="T1057" s="9"/>
      <c r="U1057" s="9" t="str">
        <f aca="false">IF(COUNTIF($A$2:$A$5001,A1057)&gt;1,"Duplicate","Unique")</f>
        <v>Unique</v>
      </c>
      <c r="V1057" s="9" t="str">
        <f aca="false">IF(COUNTIFS($B$2:$B$5001,B1057,$H$2:$H$5001,H1057,$J$2:$J$5001,J1057)&gt;1,"Possible Duplicate Booking","Unique")</f>
        <v>Unique</v>
      </c>
      <c r="W1057" s="9" t="str">
        <f aca="false">IF((H1057-G1057)&lt;&gt;K1057,"Mismatch","OK")</f>
        <v>OK</v>
      </c>
      <c r="X1057" s="9" t="str">
        <f aca="false">IF(TEXT(H1057,"dddd")&lt;&gt;I1057,"Mismatch","OK")</f>
        <v>OK</v>
      </c>
      <c r="Y1057" s="9" t="str">
        <f aca="false">IF(AND(N1057="No",O1057&lt;&gt;""),"Unexpected: channel present but no reminder sent",IF(AND(N1057="Yes",O1057=""),"Missing channel for sent reminder","OK"))</f>
        <v>OK</v>
      </c>
    </row>
    <row r="1058" customFormat="false" ht="15" hidden="false" customHeight="false" outlineLevel="0" collapsed="false">
      <c r="A1058" s="7" t="s">
        <v>1934</v>
      </c>
      <c r="B1058" s="7" t="s">
        <v>1935</v>
      </c>
      <c r="C1058" s="7" t="s">
        <v>47</v>
      </c>
      <c r="D1058" s="7" t="n">
        <v>26</v>
      </c>
      <c r="E1058" s="7" t="s">
        <v>48</v>
      </c>
      <c r="F1058" s="7" t="s">
        <v>39</v>
      </c>
      <c r="G1058" s="8" t="n">
        <v>45903</v>
      </c>
      <c r="H1058" s="8" t="n">
        <v>45903</v>
      </c>
      <c r="I1058" s="7" t="s">
        <v>58</v>
      </c>
      <c r="J1058" s="7" t="s">
        <v>41</v>
      </c>
      <c r="K1058" s="7" t="n">
        <v>0</v>
      </c>
      <c r="L1058" s="7" t="n">
        <v>3</v>
      </c>
      <c r="M1058" s="7" t="n">
        <v>1</v>
      </c>
      <c r="N1058" s="7" t="s">
        <v>42</v>
      </c>
      <c r="O1058" s="7" t="s">
        <v>52</v>
      </c>
      <c r="P1058" s="7" t="n">
        <v>20.7</v>
      </c>
      <c r="Q1058" s="7" t="n">
        <v>30</v>
      </c>
      <c r="R1058" s="7" t="s">
        <v>53</v>
      </c>
      <c r="S1058" s="7"/>
      <c r="T1058" s="7"/>
      <c r="U1058" s="7" t="str">
        <f aca="false">IF(COUNTIF($A$2:$A$5001,A1058)&gt;1,"Duplicate","Unique")</f>
        <v>Unique</v>
      </c>
      <c r="V1058" s="7" t="str">
        <f aca="false">IF(COUNTIFS($B$2:$B$5001,B1058,$H$2:$H$5001,H1058,$J$2:$J$5001,J1058)&gt;1,"Possible Duplicate Booking","Unique")</f>
        <v>Unique</v>
      </c>
      <c r="W1058" s="7" t="str">
        <f aca="false">IF((H1058-G1058)&lt;&gt;K1058,"Mismatch","OK")</f>
        <v>OK</v>
      </c>
      <c r="X1058" s="7" t="str">
        <f aca="false">IF(TEXT(H1058,"dddd")&lt;&gt;I1058,"Mismatch","OK")</f>
        <v>OK</v>
      </c>
      <c r="Y1058" s="7" t="str">
        <f aca="false">IF(AND(N1058="No",O1058&lt;&gt;""),"Unexpected: channel present but no reminder sent",IF(AND(N1058="Yes",O1058=""),"Missing channel for sent reminder","OK"))</f>
        <v>OK</v>
      </c>
    </row>
    <row r="1059" customFormat="false" ht="15" hidden="false" customHeight="false" outlineLevel="0" collapsed="false">
      <c r="A1059" s="9" t="s">
        <v>1936</v>
      </c>
      <c r="B1059" s="9" t="s">
        <v>1937</v>
      </c>
      <c r="C1059" s="9" t="s">
        <v>37</v>
      </c>
      <c r="D1059" s="9" t="n">
        <v>78</v>
      </c>
      <c r="E1059" s="9" t="s">
        <v>70</v>
      </c>
      <c r="F1059" s="9" t="s">
        <v>49</v>
      </c>
      <c r="G1059" s="10" t="n">
        <v>46043</v>
      </c>
      <c r="H1059" s="10" t="n">
        <v>46079</v>
      </c>
      <c r="I1059" s="9" t="s">
        <v>62</v>
      </c>
      <c r="J1059" s="9" t="s">
        <v>63</v>
      </c>
      <c r="K1059" s="9" t="n">
        <v>36</v>
      </c>
      <c r="L1059" s="9" t="n">
        <v>4</v>
      </c>
      <c r="M1059" s="9" t="n">
        <v>1</v>
      </c>
      <c r="N1059" s="9" t="s">
        <v>42</v>
      </c>
      <c r="O1059" s="9" t="s">
        <v>67</v>
      </c>
      <c r="P1059" s="9" t="n">
        <v>10.4</v>
      </c>
      <c r="Q1059" s="9" t="n">
        <v>10</v>
      </c>
      <c r="R1059" s="9" t="s">
        <v>87</v>
      </c>
      <c r="S1059" s="9"/>
      <c r="T1059" s="9"/>
      <c r="U1059" s="9" t="str">
        <f aca="false">IF(COUNTIF($A$2:$A$5001,A1059)&gt;1,"Duplicate","Unique")</f>
        <v>Unique</v>
      </c>
      <c r="V1059" s="9" t="str">
        <f aca="false">IF(COUNTIFS($B$2:$B$5001,B1059,$H$2:$H$5001,H1059,$J$2:$J$5001,J1059)&gt;1,"Possible Duplicate Booking","Unique")</f>
        <v>Unique</v>
      </c>
      <c r="W1059" s="9" t="str">
        <f aca="false">IF((H1059-G1059)&lt;&gt;K1059,"Mismatch","OK")</f>
        <v>OK</v>
      </c>
      <c r="X1059" s="9" t="str">
        <f aca="false">IF(TEXT(H1059,"dddd")&lt;&gt;I1059,"Mismatch","OK")</f>
        <v>OK</v>
      </c>
      <c r="Y1059" s="9" t="str">
        <f aca="false">IF(AND(N1059="No",O1059&lt;&gt;""),"Unexpected: channel present but no reminder sent",IF(AND(N1059="Yes",O1059=""),"Missing channel for sent reminder","OK"))</f>
        <v>OK</v>
      </c>
    </row>
    <row r="1060" customFormat="false" ht="15" hidden="false" customHeight="false" outlineLevel="0" collapsed="false">
      <c r="A1060" s="7" t="s">
        <v>1938</v>
      </c>
      <c r="B1060" s="7" t="s">
        <v>1939</v>
      </c>
      <c r="C1060" s="7" t="s">
        <v>37</v>
      </c>
      <c r="D1060" s="7" t="n">
        <v>73</v>
      </c>
      <c r="E1060" s="7" t="s">
        <v>70</v>
      </c>
      <c r="F1060" s="7" t="s">
        <v>57</v>
      </c>
      <c r="G1060" s="8" t="n">
        <v>45850</v>
      </c>
      <c r="H1060" s="8" t="n">
        <v>45889</v>
      </c>
      <c r="I1060" s="7" t="s">
        <v>58</v>
      </c>
      <c r="J1060" s="7" t="s">
        <v>41</v>
      </c>
      <c r="K1060" s="7" t="n">
        <v>39</v>
      </c>
      <c r="L1060" s="7" t="n">
        <v>5</v>
      </c>
      <c r="M1060" s="7" t="n">
        <v>3</v>
      </c>
      <c r="N1060" s="7" t="s">
        <v>42</v>
      </c>
      <c r="O1060" s="7" t="s">
        <v>43</v>
      </c>
      <c r="P1060" s="7" t="n">
        <v>4.1</v>
      </c>
      <c r="Q1060" s="7" t="n">
        <v>26</v>
      </c>
      <c r="R1060" s="7" t="s">
        <v>44</v>
      </c>
      <c r="S1060" s="7"/>
      <c r="T1060" s="7"/>
      <c r="U1060" s="7" t="str">
        <f aca="false">IF(COUNTIF($A$2:$A$5001,A1060)&gt;1,"Duplicate","Unique")</f>
        <v>Unique</v>
      </c>
      <c r="V1060" s="7" t="str">
        <f aca="false">IF(COUNTIFS($B$2:$B$5001,B1060,$H$2:$H$5001,H1060,$J$2:$J$5001,J1060)&gt;1,"Possible Duplicate Booking","Unique")</f>
        <v>Unique</v>
      </c>
      <c r="W1060" s="7" t="str">
        <f aca="false">IF((H1060-G1060)&lt;&gt;K1060,"Mismatch","OK")</f>
        <v>OK</v>
      </c>
      <c r="X1060" s="7" t="str">
        <f aca="false">IF(TEXT(H1060,"dddd")&lt;&gt;I1060,"Mismatch","OK")</f>
        <v>OK</v>
      </c>
      <c r="Y1060" s="7" t="str">
        <f aca="false">IF(AND(N1060="No",O1060&lt;&gt;""),"Unexpected: channel present but no reminder sent",IF(AND(N1060="Yes",O1060=""),"Missing channel for sent reminder","OK"))</f>
        <v>OK</v>
      </c>
    </row>
    <row r="1061" customFormat="false" ht="15" hidden="false" customHeight="false" outlineLevel="0" collapsed="false">
      <c r="A1061" s="9" t="s">
        <v>1940</v>
      </c>
      <c r="B1061" s="9" t="s">
        <v>1941</v>
      </c>
      <c r="C1061" s="9" t="s">
        <v>47</v>
      </c>
      <c r="D1061" s="9" t="n">
        <v>69</v>
      </c>
      <c r="E1061" s="9" t="s">
        <v>70</v>
      </c>
      <c r="F1061" s="9" t="s">
        <v>49</v>
      </c>
      <c r="G1061" s="10" t="n">
        <v>45804</v>
      </c>
      <c r="H1061" s="10" t="n">
        <v>45827</v>
      </c>
      <c r="I1061" s="9" t="s">
        <v>62</v>
      </c>
      <c r="J1061" s="9" t="s">
        <v>41</v>
      </c>
      <c r="K1061" s="9" t="n">
        <v>23</v>
      </c>
      <c r="L1061" s="9" t="n">
        <v>3</v>
      </c>
      <c r="M1061" s="9" t="n">
        <v>0</v>
      </c>
      <c r="N1061" s="9" t="s">
        <v>71</v>
      </c>
      <c r="O1061" s="9"/>
      <c r="P1061" s="9" t="n">
        <v>3</v>
      </c>
      <c r="Q1061" s="9" t="n">
        <v>21</v>
      </c>
      <c r="R1061" s="9" t="s">
        <v>53</v>
      </c>
      <c r="S1061" s="9"/>
      <c r="T1061" s="9"/>
      <c r="U1061" s="9" t="str">
        <f aca="false">IF(COUNTIF($A$2:$A$5001,A1061)&gt;1,"Duplicate","Unique")</f>
        <v>Unique</v>
      </c>
      <c r="V1061" s="9" t="str">
        <f aca="false">IF(COUNTIFS($B$2:$B$5001,B1061,$H$2:$H$5001,H1061,$J$2:$J$5001,J1061)&gt;1,"Possible Duplicate Booking","Unique")</f>
        <v>Unique</v>
      </c>
      <c r="W1061" s="9" t="str">
        <f aca="false">IF((H1061-G1061)&lt;&gt;K1061,"Mismatch","OK")</f>
        <v>OK</v>
      </c>
      <c r="X1061" s="9" t="str">
        <f aca="false">IF(TEXT(H1061,"dddd")&lt;&gt;I1061,"Mismatch","OK")</f>
        <v>OK</v>
      </c>
      <c r="Y1061" s="9" t="str">
        <f aca="false">IF(AND(N1061="No",O1061&lt;&gt;""),"Unexpected: channel present but no reminder sent",IF(AND(N1061="Yes",O1061=""),"Missing channel for sent reminder","OK"))</f>
        <v>OK</v>
      </c>
    </row>
    <row r="1062" customFormat="false" ht="15" hidden="false" customHeight="false" outlineLevel="0" collapsed="false">
      <c r="A1062" s="7" t="s">
        <v>1942</v>
      </c>
      <c r="B1062" s="7" t="s">
        <v>1943</v>
      </c>
      <c r="C1062" s="7" t="s">
        <v>37</v>
      </c>
      <c r="D1062" s="7" t="n">
        <v>63</v>
      </c>
      <c r="E1062" s="7" t="s">
        <v>61</v>
      </c>
      <c r="F1062" s="7" t="s">
        <v>57</v>
      </c>
      <c r="G1062" s="8" t="n">
        <v>46050</v>
      </c>
      <c r="H1062" s="8" t="n">
        <v>46078</v>
      </c>
      <c r="I1062" s="7" t="s">
        <v>58</v>
      </c>
      <c r="J1062" s="7" t="s">
        <v>51</v>
      </c>
      <c r="K1062" s="7" t="n">
        <v>28</v>
      </c>
      <c r="L1062" s="7" t="n">
        <v>2</v>
      </c>
      <c r="M1062" s="7" t="n">
        <v>0</v>
      </c>
      <c r="N1062" s="7" t="s">
        <v>42</v>
      </c>
      <c r="O1062" s="7" t="s">
        <v>67</v>
      </c>
      <c r="P1062" s="7" t="n">
        <v>4.5</v>
      </c>
      <c r="Q1062" s="7" t="n">
        <v>39</v>
      </c>
      <c r="R1062" s="7" t="s">
        <v>44</v>
      </c>
      <c r="S1062" s="7"/>
      <c r="T1062" s="7"/>
      <c r="U1062" s="7" t="str">
        <f aca="false">IF(COUNTIF($A$2:$A$5001,A1062)&gt;1,"Duplicate","Unique")</f>
        <v>Unique</v>
      </c>
      <c r="V1062" s="7" t="str">
        <f aca="false">IF(COUNTIFS($B$2:$B$5001,B1062,$H$2:$H$5001,H1062,$J$2:$J$5001,J1062)&gt;1,"Possible Duplicate Booking","Unique")</f>
        <v>Unique</v>
      </c>
      <c r="W1062" s="7" t="str">
        <f aca="false">IF((H1062-G1062)&lt;&gt;K1062,"Mismatch","OK")</f>
        <v>OK</v>
      </c>
      <c r="X1062" s="7" t="str">
        <f aca="false">IF(TEXT(H1062,"dddd")&lt;&gt;I1062,"Mismatch","OK")</f>
        <v>OK</v>
      </c>
      <c r="Y1062" s="7" t="str">
        <f aca="false">IF(AND(N1062="No",O1062&lt;&gt;""),"Unexpected: channel present but no reminder sent",IF(AND(N1062="Yes",O1062=""),"Missing channel for sent reminder","OK"))</f>
        <v>OK</v>
      </c>
    </row>
    <row r="1063" customFormat="false" ht="15" hidden="false" customHeight="false" outlineLevel="0" collapsed="false">
      <c r="A1063" s="9" t="s">
        <v>1944</v>
      </c>
      <c r="B1063" s="9" t="s">
        <v>1625</v>
      </c>
      <c r="C1063" s="9" t="s">
        <v>47</v>
      </c>
      <c r="D1063" s="9" t="n">
        <v>39</v>
      </c>
      <c r="E1063" s="9" t="s">
        <v>38</v>
      </c>
      <c r="F1063" s="9" t="s">
        <v>57</v>
      </c>
      <c r="G1063" s="10" t="n">
        <v>45985</v>
      </c>
      <c r="H1063" s="10" t="n">
        <v>46033</v>
      </c>
      <c r="I1063" s="9" t="s">
        <v>75</v>
      </c>
      <c r="J1063" s="9" t="s">
        <v>51</v>
      </c>
      <c r="K1063" s="9" t="n">
        <v>48</v>
      </c>
      <c r="L1063" s="9" t="n">
        <v>6</v>
      </c>
      <c r="M1063" s="9" t="n">
        <v>1</v>
      </c>
      <c r="N1063" s="9" t="s">
        <v>42</v>
      </c>
      <c r="O1063" s="9" t="s">
        <v>67</v>
      </c>
      <c r="P1063" s="9" t="n">
        <v>8.5</v>
      </c>
      <c r="Q1063" s="9" t="n">
        <v>17</v>
      </c>
      <c r="R1063" s="9" t="s">
        <v>44</v>
      </c>
      <c r="S1063" s="9"/>
      <c r="T1063" s="9"/>
      <c r="U1063" s="9" t="str">
        <f aca="false">IF(COUNTIF($A$2:$A$5001,A1063)&gt;1,"Duplicate","Unique")</f>
        <v>Unique</v>
      </c>
      <c r="V1063" s="9" t="str">
        <f aca="false">IF(COUNTIFS($B$2:$B$5001,B1063,$H$2:$H$5001,H1063,$J$2:$J$5001,J1063)&gt;1,"Possible Duplicate Booking","Unique")</f>
        <v>Unique</v>
      </c>
      <c r="W1063" s="9" t="str">
        <f aca="false">IF((H1063-G1063)&lt;&gt;K1063,"Mismatch","OK")</f>
        <v>OK</v>
      </c>
      <c r="X1063" s="9" t="str">
        <f aca="false">IF(TEXT(H1063,"dddd")&lt;&gt;I1063,"Mismatch","OK")</f>
        <v>OK</v>
      </c>
      <c r="Y1063" s="9" t="str">
        <f aca="false">IF(AND(N1063="No",O1063&lt;&gt;""),"Unexpected: channel present but no reminder sent",IF(AND(N1063="Yes",O1063=""),"Missing channel for sent reminder","OK"))</f>
        <v>OK</v>
      </c>
    </row>
    <row r="1064" customFormat="false" ht="15" hidden="false" customHeight="false" outlineLevel="0" collapsed="false">
      <c r="A1064" s="7" t="s">
        <v>1945</v>
      </c>
      <c r="B1064" s="7" t="s">
        <v>1946</v>
      </c>
      <c r="C1064" s="7" t="s">
        <v>37</v>
      </c>
      <c r="D1064" s="7" t="n">
        <v>47</v>
      </c>
      <c r="E1064" s="7" t="s">
        <v>56</v>
      </c>
      <c r="F1064" s="7" t="s">
        <v>49</v>
      </c>
      <c r="G1064" s="8" t="n">
        <v>45713</v>
      </c>
      <c r="H1064" s="8" t="n">
        <v>45736</v>
      </c>
      <c r="I1064" s="7" t="s">
        <v>62</v>
      </c>
      <c r="J1064" s="7" t="s">
        <v>41</v>
      </c>
      <c r="K1064" s="7" t="n">
        <v>23</v>
      </c>
      <c r="L1064" s="7" t="n">
        <v>4</v>
      </c>
      <c r="M1064" s="7" t="n">
        <v>1</v>
      </c>
      <c r="N1064" s="7" t="s">
        <v>42</v>
      </c>
      <c r="O1064" s="7" t="s">
        <v>67</v>
      </c>
      <c r="P1064" s="7" t="n">
        <v>19.8</v>
      </c>
      <c r="Q1064" s="7" t="n">
        <v>12</v>
      </c>
      <c r="R1064" s="7" t="s">
        <v>44</v>
      </c>
      <c r="S1064" s="7"/>
      <c r="T1064" s="7"/>
      <c r="U1064" s="7" t="str">
        <f aca="false">IF(COUNTIF($A$2:$A$5001,A1064)&gt;1,"Duplicate","Unique")</f>
        <v>Unique</v>
      </c>
      <c r="V1064" s="7" t="str">
        <f aca="false">IF(COUNTIFS($B$2:$B$5001,B1064,$H$2:$H$5001,H1064,$J$2:$J$5001,J1064)&gt;1,"Possible Duplicate Booking","Unique")</f>
        <v>Unique</v>
      </c>
      <c r="W1064" s="7" t="str">
        <f aca="false">IF((H1064-G1064)&lt;&gt;K1064,"Mismatch","OK")</f>
        <v>OK</v>
      </c>
      <c r="X1064" s="7" t="str">
        <f aca="false">IF(TEXT(H1064,"dddd")&lt;&gt;I1064,"Mismatch","OK")</f>
        <v>OK</v>
      </c>
      <c r="Y1064" s="7" t="str">
        <f aca="false">IF(AND(N1064="No",O1064&lt;&gt;""),"Unexpected: channel present but no reminder sent",IF(AND(N1064="Yes",O1064=""),"Missing channel for sent reminder","OK"))</f>
        <v>OK</v>
      </c>
    </row>
    <row r="1065" customFormat="false" ht="15" hidden="false" customHeight="false" outlineLevel="0" collapsed="false">
      <c r="A1065" s="9" t="s">
        <v>1947</v>
      </c>
      <c r="B1065" s="9" t="s">
        <v>755</v>
      </c>
      <c r="C1065" s="9" t="s">
        <v>37</v>
      </c>
      <c r="D1065" s="9" t="n">
        <v>71</v>
      </c>
      <c r="E1065" s="9" t="s">
        <v>70</v>
      </c>
      <c r="F1065" s="9" t="s">
        <v>57</v>
      </c>
      <c r="G1065" s="10" t="n">
        <v>46040</v>
      </c>
      <c r="H1065" s="10" t="n">
        <v>46043</v>
      </c>
      <c r="I1065" s="9" t="s">
        <v>58</v>
      </c>
      <c r="J1065" s="9" t="s">
        <v>51</v>
      </c>
      <c r="K1065" s="9" t="n">
        <v>3</v>
      </c>
      <c r="L1065" s="9" t="n">
        <v>1</v>
      </c>
      <c r="M1065" s="9" t="n">
        <v>0</v>
      </c>
      <c r="N1065" s="9" t="s">
        <v>71</v>
      </c>
      <c r="O1065" s="9"/>
      <c r="P1065" s="9" t="n">
        <v>6.2</v>
      </c>
      <c r="Q1065" s="9" t="n">
        <v>13</v>
      </c>
      <c r="R1065" s="9" t="s">
        <v>53</v>
      </c>
      <c r="S1065" s="9"/>
      <c r="T1065" s="9"/>
      <c r="U1065" s="9" t="str">
        <f aca="false">IF(COUNTIF($A$2:$A$5001,A1065)&gt;1,"Duplicate","Unique")</f>
        <v>Unique</v>
      </c>
      <c r="V1065" s="9" t="str">
        <f aca="false">IF(COUNTIFS($B$2:$B$5001,B1065,$H$2:$H$5001,H1065,$J$2:$J$5001,J1065)&gt;1,"Possible Duplicate Booking","Unique")</f>
        <v>Unique</v>
      </c>
      <c r="W1065" s="9" t="str">
        <f aca="false">IF((H1065-G1065)&lt;&gt;K1065,"Mismatch","OK")</f>
        <v>OK</v>
      </c>
      <c r="X1065" s="9" t="str">
        <f aca="false">IF(TEXT(H1065,"dddd")&lt;&gt;I1065,"Mismatch","OK")</f>
        <v>OK</v>
      </c>
      <c r="Y1065" s="9" t="str">
        <f aca="false">IF(AND(N1065="No",O1065&lt;&gt;""),"Unexpected: channel present but no reminder sent",IF(AND(N1065="Yes",O1065=""),"Missing channel for sent reminder","OK"))</f>
        <v>OK</v>
      </c>
    </row>
    <row r="1066" customFormat="false" ht="15" hidden="false" customHeight="false" outlineLevel="0" collapsed="false">
      <c r="A1066" s="7" t="s">
        <v>1948</v>
      </c>
      <c r="B1066" s="7" t="s">
        <v>1044</v>
      </c>
      <c r="C1066" s="7" t="s">
        <v>47</v>
      </c>
      <c r="D1066" s="7" t="n">
        <v>69</v>
      </c>
      <c r="E1066" s="7" t="s">
        <v>70</v>
      </c>
      <c r="F1066" s="7" t="s">
        <v>57</v>
      </c>
      <c r="G1066" s="8" t="n">
        <v>46047</v>
      </c>
      <c r="H1066" s="8" t="n">
        <v>46069</v>
      </c>
      <c r="I1066" s="7" t="s">
        <v>66</v>
      </c>
      <c r="J1066" s="7" t="s">
        <v>41</v>
      </c>
      <c r="K1066" s="7" t="n">
        <v>22</v>
      </c>
      <c r="L1066" s="7" t="n">
        <v>3</v>
      </c>
      <c r="M1066" s="7" t="n">
        <v>0</v>
      </c>
      <c r="N1066" s="7" t="s">
        <v>71</v>
      </c>
      <c r="O1066" s="7"/>
      <c r="P1066" s="7" t="n">
        <v>11.2</v>
      </c>
      <c r="Q1066" s="7" t="n">
        <v>33</v>
      </c>
      <c r="R1066" s="7" t="s">
        <v>53</v>
      </c>
      <c r="S1066" s="7"/>
      <c r="T1066" s="7"/>
      <c r="U1066" s="7" t="str">
        <f aca="false">IF(COUNTIF($A$2:$A$5001,A1066)&gt;1,"Duplicate","Unique")</f>
        <v>Unique</v>
      </c>
      <c r="V1066" s="7" t="str">
        <f aca="false">IF(COUNTIFS($B$2:$B$5001,B1066,$H$2:$H$5001,H1066,$J$2:$J$5001,J1066)&gt;1,"Possible Duplicate Booking","Unique")</f>
        <v>Unique</v>
      </c>
      <c r="W1066" s="7" t="str">
        <f aca="false">IF((H1066-G1066)&lt;&gt;K1066,"Mismatch","OK")</f>
        <v>OK</v>
      </c>
      <c r="X1066" s="7" t="str">
        <f aca="false">IF(TEXT(H1066,"dddd")&lt;&gt;I1066,"Mismatch","OK")</f>
        <v>OK</v>
      </c>
      <c r="Y1066" s="7" t="str">
        <f aca="false">IF(AND(N1066="No",O1066&lt;&gt;""),"Unexpected: channel present but no reminder sent",IF(AND(N1066="Yes",O1066=""),"Missing channel for sent reminder","OK"))</f>
        <v>OK</v>
      </c>
    </row>
    <row r="1067" customFormat="false" ht="15" hidden="false" customHeight="false" outlineLevel="0" collapsed="false">
      <c r="A1067" s="9" t="s">
        <v>1949</v>
      </c>
      <c r="B1067" s="9" t="s">
        <v>1813</v>
      </c>
      <c r="C1067" s="9" t="s">
        <v>47</v>
      </c>
      <c r="D1067" s="9" t="n">
        <v>50</v>
      </c>
      <c r="E1067" s="9" t="s">
        <v>56</v>
      </c>
      <c r="F1067" s="9" t="s">
        <v>57</v>
      </c>
      <c r="G1067" s="10" t="n">
        <v>45854</v>
      </c>
      <c r="H1067" s="10" t="n">
        <v>45869</v>
      </c>
      <c r="I1067" s="9" t="s">
        <v>62</v>
      </c>
      <c r="J1067" s="9" t="s">
        <v>41</v>
      </c>
      <c r="K1067" s="9" t="n">
        <v>15</v>
      </c>
      <c r="L1067" s="9" t="n">
        <v>2</v>
      </c>
      <c r="M1067" s="9" t="n">
        <v>0</v>
      </c>
      <c r="N1067" s="9" t="s">
        <v>71</v>
      </c>
      <c r="O1067" s="9"/>
      <c r="P1067" s="9" t="n">
        <v>2.8</v>
      </c>
      <c r="Q1067" s="9" t="n">
        <v>22</v>
      </c>
      <c r="R1067" s="9" t="s">
        <v>87</v>
      </c>
      <c r="S1067" s="9"/>
      <c r="T1067" s="9"/>
      <c r="U1067" s="9" t="str">
        <f aca="false">IF(COUNTIF($A$2:$A$5001,A1067)&gt;1,"Duplicate","Unique")</f>
        <v>Unique</v>
      </c>
      <c r="V1067" s="9" t="str">
        <f aca="false">IF(COUNTIFS($B$2:$B$5001,B1067,$H$2:$H$5001,H1067,$J$2:$J$5001,J1067)&gt;1,"Possible Duplicate Booking","Unique")</f>
        <v>Unique</v>
      </c>
      <c r="W1067" s="9" t="str">
        <f aca="false">IF((H1067-G1067)&lt;&gt;K1067,"Mismatch","OK")</f>
        <v>OK</v>
      </c>
      <c r="X1067" s="9" t="str">
        <f aca="false">IF(TEXT(H1067,"dddd")&lt;&gt;I1067,"Mismatch","OK")</f>
        <v>OK</v>
      </c>
      <c r="Y1067" s="9" t="str">
        <f aca="false">IF(AND(N1067="No",O1067&lt;&gt;""),"Unexpected: channel present but no reminder sent",IF(AND(N1067="Yes",O1067=""),"Missing channel for sent reminder","OK"))</f>
        <v>OK</v>
      </c>
    </row>
    <row r="1068" customFormat="false" ht="15" hidden="false" customHeight="false" outlineLevel="0" collapsed="false">
      <c r="A1068" s="7" t="s">
        <v>1950</v>
      </c>
      <c r="B1068" s="7" t="s">
        <v>1951</v>
      </c>
      <c r="C1068" s="7" t="s">
        <v>47</v>
      </c>
      <c r="D1068" s="7" t="n">
        <v>70</v>
      </c>
      <c r="E1068" s="7" t="s">
        <v>70</v>
      </c>
      <c r="F1068" s="7" t="s">
        <v>74</v>
      </c>
      <c r="G1068" s="8" t="n">
        <v>46140</v>
      </c>
      <c r="H1068" s="8" t="n">
        <v>46163</v>
      </c>
      <c r="I1068" s="7" t="s">
        <v>62</v>
      </c>
      <c r="J1068" s="7" t="s">
        <v>51</v>
      </c>
      <c r="K1068" s="7" t="n">
        <v>23</v>
      </c>
      <c r="L1068" s="7" t="n">
        <v>4</v>
      </c>
      <c r="M1068" s="7" t="n">
        <v>0</v>
      </c>
      <c r="N1068" s="7" t="s">
        <v>42</v>
      </c>
      <c r="O1068" s="7" t="s">
        <v>43</v>
      </c>
      <c r="P1068" s="7" t="n">
        <v>13.1</v>
      </c>
      <c r="Q1068" s="7" t="n">
        <v>5</v>
      </c>
      <c r="R1068" s="7" t="s">
        <v>44</v>
      </c>
      <c r="S1068" s="7"/>
      <c r="T1068" s="7"/>
      <c r="U1068" s="7" t="str">
        <f aca="false">IF(COUNTIF($A$2:$A$5001,A1068)&gt;1,"Duplicate","Unique")</f>
        <v>Unique</v>
      </c>
      <c r="V1068" s="7" t="str">
        <f aca="false">IF(COUNTIFS($B$2:$B$5001,B1068,$H$2:$H$5001,H1068,$J$2:$J$5001,J1068)&gt;1,"Possible Duplicate Booking","Unique")</f>
        <v>Unique</v>
      </c>
      <c r="W1068" s="7" t="str">
        <f aca="false">IF((H1068-G1068)&lt;&gt;K1068,"Mismatch","OK")</f>
        <v>OK</v>
      </c>
      <c r="X1068" s="7" t="str">
        <f aca="false">IF(TEXT(H1068,"dddd")&lt;&gt;I1068,"Mismatch","OK")</f>
        <v>OK</v>
      </c>
      <c r="Y1068" s="7" t="str">
        <f aca="false">IF(AND(N1068="No",O1068&lt;&gt;""),"Unexpected: channel present but no reminder sent",IF(AND(N1068="Yes",O1068=""),"Missing channel for sent reminder","OK"))</f>
        <v>OK</v>
      </c>
    </row>
    <row r="1069" customFormat="false" ht="15" hidden="false" customHeight="false" outlineLevel="0" collapsed="false">
      <c r="A1069" s="9" t="s">
        <v>1952</v>
      </c>
      <c r="B1069" s="9" t="s">
        <v>1953</v>
      </c>
      <c r="C1069" s="9" t="s">
        <v>37</v>
      </c>
      <c r="D1069" s="9" t="n">
        <v>39</v>
      </c>
      <c r="E1069" s="9" t="s">
        <v>38</v>
      </c>
      <c r="F1069" s="9" t="s">
        <v>39</v>
      </c>
      <c r="G1069" s="10" t="n">
        <v>45993</v>
      </c>
      <c r="H1069" s="10" t="n">
        <v>46007</v>
      </c>
      <c r="I1069" s="9" t="s">
        <v>40</v>
      </c>
      <c r="J1069" s="9" t="s">
        <v>51</v>
      </c>
      <c r="K1069" s="9" t="n">
        <v>14</v>
      </c>
      <c r="L1069" s="9" t="n">
        <v>4</v>
      </c>
      <c r="M1069" s="9" t="n">
        <v>1</v>
      </c>
      <c r="N1069" s="9" t="s">
        <v>42</v>
      </c>
      <c r="O1069" s="9" t="s">
        <v>67</v>
      </c>
      <c r="P1069" s="9" t="n">
        <v>7.7</v>
      </c>
      <c r="Q1069" s="9" t="n">
        <v>35</v>
      </c>
      <c r="R1069" s="9" t="s">
        <v>44</v>
      </c>
      <c r="S1069" s="9"/>
      <c r="T1069" s="9"/>
      <c r="U1069" s="9" t="str">
        <f aca="false">IF(COUNTIF($A$2:$A$5001,A1069)&gt;1,"Duplicate","Unique")</f>
        <v>Unique</v>
      </c>
      <c r="V1069" s="9" t="str">
        <f aca="false">IF(COUNTIFS($B$2:$B$5001,B1069,$H$2:$H$5001,H1069,$J$2:$J$5001,J1069)&gt;1,"Possible Duplicate Booking","Unique")</f>
        <v>Unique</v>
      </c>
      <c r="W1069" s="9" t="str">
        <f aca="false">IF((H1069-G1069)&lt;&gt;K1069,"Mismatch","OK")</f>
        <v>OK</v>
      </c>
      <c r="X1069" s="9" t="str">
        <f aca="false">IF(TEXT(H1069,"dddd")&lt;&gt;I1069,"Mismatch","OK")</f>
        <v>OK</v>
      </c>
      <c r="Y1069" s="9" t="str">
        <f aca="false">IF(AND(N1069="No",O1069&lt;&gt;""),"Unexpected: channel present but no reminder sent",IF(AND(N1069="Yes",O1069=""),"Missing channel for sent reminder","OK"))</f>
        <v>OK</v>
      </c>
    </row>
    <row r="1070" customFormat="false" ht="15" hidden="false" customHeight="false" outlineLevel="0" collapsed="false">
      <c r="A1070" s="7" t="s">
        <v>1954</v>
      </c>
      <c r="B1070" s="7" t="s">
        <v>1955</v>
      </c>
      <c r="C1070" s="7" t="s">
        <v>47</v>
      </c>
      <c r="D1070" s="7" t="n">
        <v>44</v>
      </c>
      <c r="E1070" s="7" t="s">
        <v>38</v>
      </c>
      <c r="F1070" s="7" t="s">
        <v>39</v>
      </c>
      <c r="G1070" s="8" t="n">
        <v>45831</v>
      </c>
      <c r="H1070" s="8" t="n">
        <v>45840</v>
      </c>
      <c r="I1070" s="7" t="s">
        <v>58</v>
      </c>
      <c r="J1070" s="7" t="s">
        <v>51</v>
      </c>
      <c r="K1070" s="7" t="n">
        <v>9</v>
      </c>
      <c r="L1070" s="7" t="n">
        <v>4</v>
      </c>
      <c r="M1070" s="7" t="n">
        <v>0</v>
      </c>
      <c r="N1070" s="7" t="s">
        <v>42</v>
      </c>
      <c r="O1070" s="7" t="s">
        <v>52</v>
      </c>
      <c r="P1070" s="7" t="n">
        <v>11.1</v>
      </c>
      <c r="Q1070" s="7" t="n">
        <v>7</v>
      </c>
      <c r="R1070" s="7" t="s">
        <v>44</v>
      </c>
      <c r="S1070" s="7"/>
      <c r="T1070" s="7"/>
      <c r="U1070" s="7" t="str">
        <f aca="false">IF(COUNTIF($A$2:$A$5001,A1070)&gt;1,"Duplicate","Unique")</f>
        <v>Unique</v>
      </c>
      <c r="V1070" s="7" t="str">
        <f aca="false">IF(COUNTIFS($B$2:$B$5001,B1070,$H$2:$H$5001,H1070,$J$2:$J$5001,J1070)&gt;1,"Possible Duplicate Booking","Unique")</f>
        <v>Unique</v>
      </c>
      <c r="W1070" s="7" t="str">
        <f aca="false">IF((H1070-G1070)&lt;&gt;K1070,"Mismatch","OK")</f>
        <v>OK</v>
      </c>
      <c r="X1070" s="7" t="str">
        <f aca="false">IF(TEXT(H1070,"dddd")&lt;&gt;I1070,"Mismatch","OK")</f>
        <v>OK</v>
      </c>
      <c r="Y1070" s="7" t="str">
        <f aca="false">IF(AND(N1070="No",O1070&lt;&gt;""),"Unexpected: channel present but no reminder sent",IF(AND(N1070="Yes",O1070=""),"Missing channel for sent reminder","OK"))</f>
        <v>OK</v>
      </c>
    </row>
    <row r="1071" customFormat="false" ht="15" hidden="false" customHeight="false" outlineLevel="0" collapsed="false">
      <c r="A1071" s="9" t="s">
        <v>1956</v>
      </c>
      <c r="B1071" s="9" t="s">
        <v>1957</v>
      </c>
      <c r="C1071" s="9" t="s">
        <v>37</v>
      </c>
      <c r="D1071" s="9" t="n">
        <v>70</v>
      </c>
      <c r="E1071" s="9" t="s">
        <v>70</v>
      </c>
      <c r="F1071" s="9" t="s">
        <v>49</v>
      </c>
      <c r="G1071" s="10" t="n">
        <v>45603</v>
      </c>
      <c r="H1071" s="10" t="n">
        <v>45663</v>
      </c>
      <c r="I1071" s="9" t="s">
        <v>66</v>
      </c>
      <c r="J1071" s="9" t="s">
        <v>63</v>
      </c>
      <c r="K1071" s="9" t="n">
        <v>60</v>
      </c>
      <c r="L1071" s="9" t="n">
        <v>2</v>
      </c>
      <c r="M1071" s="9" t="n">
        <v>0</v>
      </c>
      <c r="N1071" s="9" t="s">
        <v>42</v>
      </c>
      <c r="O1071" s="9" t="s">
        <v>43</v>
      </c>
      <c r="P1071" s="9" t="n">
        <v>21.9</v>
      </c>
      <c r="Q1071" s="9" t="n">
        <v>18</v>
      </c>
      <c r="R1071" s="9" t="s">
        <v>53</v>
      </c>
      <c r="S1071" s="9"/>
      <c r="T1071" s="9"/>
      <c r="U1071" s="9" t="str">
        <f aca="false">IF(COUNTIF($A$2:$A$5001,A1071)&gt;1,"Duplicate","Unique")</f>
        <v>Unique</v>
      </c>
      <c r="V1071" s="9" t="str">
        <f aca="false">IF(COUNTIFS($B$2:$B$5001,B1071,$H$2:$H$5001,H1071,$J$2:$J$5001,J1071)&gt;1,"Possible Duplicate Booking","Unique")</f>
        <v>Unique</v>
      </c>
      <c r="W1071" s="9" t="str">
        <f aca="false">IF((H1071-G1071)&lt;&gt;K1071,"Mismatch","OK")</f>
        <v>OK</v>
      </c>
      <c r="X1071" s="9" t="str">
        <f aca="false">IF(TEXT(H1071,"dddd")&lt;&gt;I1071,"Mismatch","OK")</f>
        <v>OK</v>
      </c>
      <c r="Y1071" s="9" t="str">
        <f aca="false">IF(AND(N1071="No",O1071&lt;&gt;""),"Unexpected: channel present but no reminder sent",IF(AND(N1071="Yes",O1071=""),"Missing channel for sent reminder","OK"))</f>
        <v>OK</v>
      </c>
    </row>
    <row r="1072" customFormat="false" ht="15" hidden="false" customHeight="false" outlineLevel="0" collapsed="false">
      <c r="A1072" s="7" t="s">
        <v>1958</v>
      </c>
      <c r="B1072" s="7" t="s">
        <v>883</v>
      </c>
      <c r="C1072" s="7" t="s">
        <v>47</v>
      </c>
      <c r="D1072" s="7" t="n">
        <v>41</v>
      </c>
      <c r="E1072" s="7" t="s">
        <v>38</v>
      </c>
      <c r="F1072" s="7" t="s">
        <v>39</v>
      </c>
      <c r="G1072" s="8" t="n">
        <v>46019</v>
      </c>
      <c r="H1072" s="8" t="n">
        <v>46026</v>
      </c>
      <c r="I1072" s="7" t="s">
        <v>75</v>
      </c>
      <c r="J1072" s="7" t="s">
        <v>51</v>
      </c>
      <c r="K1072" s="7" t="n">
        <v>7</v>
      </c>
      <c r="L1072" s="7" t="n">
        <v>3</v>
      </c>
      <c r="M1072" s="7" t="n">
        <v>1</v>
      </c>
      <c r="N1072" s="7" t="s">
        <v>42</v>
      </c>
      <c r="O1072" s="7" t="s">
        <v>52</v>
      </c>
      <c r="P1072" s="7" t="n">
        <v>9.3</v>
      </c>
      <c r="Q1072" s="7" t="n">
        <v>22</v>
      </c>
      <c r="R1072" s="7" t="s">
        <v>53</v>
      </c>
      <c r="S1072" s="7"/>
      <c r="T1072" s="7"/>
      <c r="U1072" s="7" t="str">
        <f aca="false">IF(COUNTIF($A$2:$A$5001,A1072)&gt;1,"Duplicate","Unique")</f>
        <v>Unique</v>
      </c>
      <c r="V1072" s="7" t="str">
        <f aca="false">IF(COUNTIFS($B$2:$B$5001,B1072,$H$2:$H$5001,H1072,$J$2:$J$5001,J1072)&gt;1,"Possible Duplicate Booking","Unique")</f>
        <v>Unique</v>
      </c>
      <c r="W1072" s="7" t="str">
        <f aca="false">IF((H1072-G1072)&lt;&gt;K1072,"Mismatch","OK")</f>
        <v>OK</v>
      </c>
      <c r="X1072" s="7" t="str">
        <f aca="false">IF(TEXT(H1072,"dddd")&lt;&gt;I1072,"Mismatch","OK")</f>
        <v>OK</v>
      </c>
      <c r="Y1072" s="7" t="str">
        <f aca="false">IF(AND(N1072="No",O1072&lt;&gt;""),"Unexpected: channel present but no reminder sent",IF(AND(N1072="Yes",O1072=""),"Missing channel for sent reminder","OK"))</f>
        <v>OK</v>
      </c>
    </row>
    <row r="1073" customFormat="false" ht="15" hidden="false" customHeight="false" outlineLevel="0" collapsed="false">
      <c r="A1073" s="9" t="s">
        <v>1959</v>
      </c>
      <c r="B1073" s="9" t="s">
        <v>894</v>
      </c>
      <c r="C1073" s="9" t="s">
        <v>47</v>
      </c>
      <c r="D1073" s="9" t="n">
        <v>65</v>
      </c>
      <c r="E1073" s="9" t="s">
        <v>70</v>
      </c>
      <c r="F1073" s="9" t="s">
        <v>74</v>
      </c>
      <c r="G1073" s="10" t="n">
        <v>45729</v>
      </c>
      <c r="H1073" s="10" t="n">
        <v>45772</v>
      </c>
      <c r="I1073" s="9" t="s">
        <v>50</v>
      </c>
      <c r="J1073" s="9" t="s">
        <v>51</v>
      </c>
      <c r="K1073" s="9" t="n">
        <v>43</v>
      </c>
      <c r="L1073" s="9" t="n">
        <v>2</v>
      </c>
      <c r="M1073" s="9" t="n">
        <v>0</v>
      </c>
      <c r="N1073" s="9" t="s">
        <v>42</v>
      </c>
      <c r="O1073" s="9" t="s">
        <v>67</v>
      </c>
      <c r="P1073" s="9" t="n">
        <v>3.1</v>
      </c>
      <c r="Q1073" s="9" t="n">
        <v>12</v>
      </c>
      <c r="R1073" s="9" t="s">
        <v>44</v>
      </c>
      <c r="S1073" s="9"/>
      <c r="T1073" s="9"/>
      <c r="U1073" s="9" t="str">
        <f aca="false">IF(COUNTIF($A$2:$A$5001,A1073)&gt;1,"Duplicate","Unique")</f>
        <v>Unique</v>
      </c>
      <c r="V1073" s="9" t="str">
        <f aca="false">IF(COUNTIFS($B$2:$B$5001,B1073,$H$2:$H$5001,H1073,$J$2:$J$5001,J1073)&gt;1,"Possible Duplicate Booking","Unique")</f>
        <v>Unique</v>
      </c>
      <c r="W1073" s="9" t="str">
        <f aca="false">IF((H1073-G1073)&lt;&gt;K1073,"Mismatch","OK")</f>
        <v>OK</v>
      </c>
      <c r="X1073" s="9" t="str">
        <f aca="false">IF(TEXT(H1073,"dddd")&lt;&gt;I1073,"Mismatch","OK")</f>
        <v>OK</v>
      </c>
      <c r="Y1073" s="9" t="str">
        <f aca="false">IF(AND(N1073="No",O1073&lt;&gt;""),"Unexpected: channel present but no reminder sent",IF(AND(N1073="Yes",O1073=""),"Missing channel for sent reminder","OK"))</f>
        <v>OK</v>
      </c>
    </row>
    <row r="1074" customFormat="false" ht="15" hidden="false" customHeight="false" outlineLevel="0" collapsed="false">
      <c r="A1074" s="7" t="s">
        <v>1960</v>
      </c>
      <c r="B1074" s="7" t="s">
        <v>1880</v>
      </c>
      <c r="C1074" s="7" t="s">
        <v>37</v>
      </c>
      <c r="D1074" s="7" t="n">
        <v>46</v>
      </c>
      <c r="E1074" s="7" t="s">
        <v>56</v>
      </c>
      <c r="F1074" s="7" t="s">
        <v>49</v>
      </c>
      <c r="G1074" s="8" t="n">
        <v>46028</v>
      </c>
      <c r="H1074" s="8" t="n">
        <v>46071</v>
      </c>
      <c r="I1074" s="7" t="s">
        <v>58</v>
      </c>
      <c r="J1074" s="7" t="s">
        <v>63</v>
      </c>
      <c r="K1074" s="7" t="n">
        <v>43</v>
      </c>
      <c r="L1074" s="7" t="n">
        <v>4</v>
      </c>
      <c r="M1074" s="7" t="n">
        <v>0</v>
      </c>
      <c r="N1074" s="7" t="s">
        <v>42</v>
      </c>
      <c r="O1074" s="7" t="s">
        <v>43</v>
      </c>
      <c r="P1074" s="7" t="n">
        <v>9.8</v>
      </c>
      <c r="Q1074" s="7" t="n">
        <v>5</v>
      </c>
      <c r="R1074" s="7" t="s">
        <v>53</v>
      </c>
      <c r="S1074" s="7"/>
      <c r="T1074" s="7"/>
      <c r="U1074" s="7" t="str">
        <f aca="false">IF(COUNTIF($A$2:$A$5001,A1074)&gt;1,"Duplicate","Unique")</f>
        <v>Unique</v>
      </c>
      <c r="V1074" s="7" t="str">
        <f aca="false">IF(COUNTIFS($B$2:$B$5001,B1074,$H$2:$H$5001,H1074,$J$2:$J$5001,J1074)&gt;1,"Possible Duplicate Booking","Unique")</f>
        <v>Unique</v>
      </c>
      <c r="W1074" s="7" t="str">
        <f aca="false">IF((H1074-G1074)&lt;&gt;K1074,"Mismatch","OK")</f>
        <v>OK</v>
      </c>
      <c r="X1074" s="7" t="str">
        <f aca="false">IF(TEXT(H1074,"dddd")&lt;&gt;I1074,"Mismatch","OK")</f>
        <v>OK</v>
      </c>
      <c r="Y1074" s="7" t="str">
        <f aca="false">IF(AND(N1074="No",O1074&lt;&gt;""),"Unexpected: channel present but no reminder sent",IF(AND(N1074="Yes",O1074=""),"Missing channel for sent reminder","OK"))</f>
        <v>OK</v>
      </c>
    </row>
    <row r="1075" customFormat="false" ht="15" hidden="false" customHeight="false" outlineLevel="0" collapsed="false">
      <c r="A1075" s="9" t="s">
        <v>1961</v>
      </c>
      <c r="B1075" s="9" t="s">
        <v>1726</v>
      </c>
      <c r="C1075" s="9" t="s">
        <v>47</v>
      </c>
      <c r="D1075" s="9" t="n">
        <v>36</v>
      </c>
      <c r="E1075" s="9" t="s">
        <v>38</v>
      </c>
      <c r="F1075" s="9" t="s">
        <v>57</v>
      </c>
      <c r="G1075" s="10" t="n">
        <v>45907</v>
      </c>
      <c r="H1075" s="10" t="n">
        <v>45944</v>
      </c>
      <c r="I1075" s="9" t="s">
        <v>40</v>
      </c>
      <c r="J1075" s="9" t="s">
        <v>41</v>
      </c>
      <c r="K1075" s="9" t="n">
        <v>37</v>
      </c>
      <c r="L1075" s="9" t="n">
        <v>4</v>
      </c>
      <c r="M1075" s="9" t="n">
        <v>0</v>
      </c>
      <c r="N1075" s="9" t="s">
        <v>42</v>
      </c>
      <c r="O1075" s="9" t="s">
        <v>67</v>
      </c>
      <c r="P1075" s="9" t="n">
        <v>9.5</v>
      </c>
      <c r="Q1075" s="9" t="n">
        <v>33</v>
      </c>
      <c r="R1075" s="9" t="s">
        <v>44</v>
      </c>
      <c r="S1075" s="9"/>
      <c r="T1075" s="9"/>
      <c r="U1075" s="9" t="str">
        <f aca="false">IF(COUNTIF($A$2:$A$5001,A1075)&gt;1,"Duplicate","Unique")</f>
        <v>Unique</v>
      </c>
      <c r="V1075" s="9" t="str">
        <f aca="false">IF(COUNTIFS($B$2:$B$5001,B1075,$H$2:$H$5001,H1075,$J$2:$J$5001,J1075)&gt;1,"Possible Duplicate Booking","Unique")</f>
        <v>Unique</v>
      </c>
      <c r="W1075" s="9" t="str">
        <f aca="false">IF((H1075-G1075)&lt;&gt;K1075,"Mismatch","OK")</f>
        <v>OK</v>
      </c>
      <c r="X1075" s="9" t="str">
        <f aca="false">IF(TEXT(H1075,"dddd")&lt;&gt;I1075,"Mismatch","OK")</f>
        <v>OK</v>
      </c>
      <c r="Y1075" s="9" t="str">
        <f aca="false">IF(AND(N1075="No",O1075&lt;&gt;""),"Unexpected: channel present but no reminder sent",IF(AND(N1075="Yes",O1075=""),"Missing channel for sent reminder","OK"))</f>
        <v>OK</v>
      </c>
    </row>
    <row r="1076" customFormat="false" ht="15" hidden="false" customHeight="false" outlineLevel="0" collapsed="false">
      <c r="A1076" s="7" t="s">
        <v>1962</v>
      </c>
      <c r="B1076" s="7" t="s">
        <v>1963</v>
      </c>
      <c r="C1076" s="7" t="s">
        <v>47</v>
      </c>
      <c r="D1076" s="7" t="n">
        <v>31</v>
      </c>
      <c r="E1076" s="7" t="s">
        <v>48</v>
      </c>
      <c r="F1076" s="7" t="s">
        <v>74</v>
      </c>
      <c r="G1076" s="8" t="n">
        <v>45857</v>
      </c>
      <c r="H1076" s="8" t="n">
        <v>45912</v>
      </c>
      <c r="I1076" s="7" t="s">
        <v>50</v>
      </c>
      <c r="J1076" s="7" t="s">
        <v>41</v>
      </c>
      <c r="K1076" s="7" t="n">
        <v>55</v>
      </c>
      <c r="L1076" s="7" t="n">
        <v>5</v>
      </c>
      <c r="M1076" s="7" t="n">
        <v>2</v>
      </c>
      <c r="N1076" s="7" t="s">
        <v>42</v>
      </c>
      <c r="O1076" s="7" t="s">
        <v>52</v>
      </c>
      <c r="P1076" s="7"/>
      <c r="Q1076" s="7" t="n">
        <v>31</v>
      </c>
      <c r="R1076" s="7" t="s">
        <v>44</v>
      </c>
      <c r="S1076" s="7"/>
      <c r="T1076" s="7"/>
      <c r="U1076" s="7" t="str">
        <f aca="false">IF(COUNTIF($A$2:$A$5001,A1076)&gt;1,"Duplicate","Unique")</f>
        <v>Unique</v>
      </c>
      <c r="V1076" s="7" t="str">
        <f aca="false">IF(COUNTIFS($B$2:$B$5001,B1076,$H$2:$H$5001,H1076,$J$2:$J$5001,J1076)&gt;1,"Possible Duplicate Booking","Unique")</f>
        <v>Unique</v>
      </c>
      <c r="W1076" s="7" t="str">
        <f aca="false">IF((H1076-G1076)&lt;&gt;K1076,"Mismatch","OK")</f>
        <v>OK</v>
      </c>
      <c r="X1076" s="7" t="str">
        <f aca="false">IF(TEXT(H1076,"dddd")&lt;&gt;I1076,"Mismatch","OK")</f>
        <v>OK</v>
      </c>
      <c r="Y1076" s="7" t="str">
        <f aca="false">IF(AND(N1076="No",O1076&lt;&gt;""),"Unexpected: channel present but no reminder sent",IF(AND(N1076="Yes",O1076=""),"Missing channel for sent reminder","OK"))</f>
        <v>OK</v>
      </c>
    </row>
    <row r="1077" customFormat="false" ht="15" hidden="false" customHeight="false" outlineLevel="0" collapsed="false">
      <c r="A1077" s="9" t="s">
        <v>1964</v>
      </c>
      <c r="B1077" s="9" t="s">
        <v>1965</v>
      </c>
      <c r="C1077" s="9" t="s">
        <v>47</v>
      </c>
      <c r="D1077" s="9" t="n">
        <v>56</v>
      </c>
      <c r="E1077" s="9" t="s">
        <v>61</v>
      </c>
      <c r="F1077" s="9" t="s">
        <v>39</v>
      </c>
      <c r="G1077" s="10" t="n">
        <v>45747</v>
      </c>
      <c r="H1077" s="10" t="n">
        <v>45747</v>
      </c>
      <c r="I1077" s="9" t="s">
        <v>66</v>
      </c>
      <c r="J1077" s="9" t="s">
        <v>41</v>
      </c>
      <c r="K1077" s="9" t="n">
        <v>0</v>
      </c>
      <c r="L1077" s="9" t="n">
        <v>4</v>
      </c>
      <c r="M1077" s="9" t="n">
        <v>1</v>
      </c>
      <c r="N1077" s="9" t="s">
        <v>42</v>
      </c>
      <c r="O1077" s="9" t="s">
        <v>52</v>
      </c>
      <c r="P1077" s="9" t="n">
        <v>9.2</v>
      </c>
      <c r="Q1077" s="9" t="n">
        <v>25</v>
      </c>
      <c r="R1077" s="9" t="s">
        <v>53</v>
      </c>
      <c r="S1077" s="9"/>
      <c r="T1077" s="9"/>
      <c r="U1077" s="9" t="str">
        <f aca="false">IF(COUNTIF($A$2:$A$5001,A1077)&gt;1,"Duplicate","Unique")</f>
        <v>Unique</v>
      </c>
      <c r="V1077" s="9" t="str">
        <f aca="false">IF(COUNTIFS($B$2:$B$5001,B1077,$H$2:$H$5001,H1077,$J$2:$J$5001,J1077)&gt;1,"Possible Duplicate Booking","Unique")</f>
        <v>Unique</v>
      </c>
      <c r="W1077" s="9" t="str">
        <f aca="false">IF((H1077-G1077)&lt;&gt;K1077,"Mismatch","OK")</f>
        <v>OK</v>
      </c>
      <c r="X1077" s="9" t="str">
        <f aca="false">IF(TEXT(H1077,"dddd")&lt;&gt;I1077,"Mismatch","OK")</f>
        <v>OK</v>
      </c>
      <c r="Y1077" s="9" t="str">
        <f aca="false">IF(AND(N1077="No",O1077&lt;&gt;""),"Unexpected: channel present but no reminder sent",IF(AND(N1077="Yes",O1077=""),"Missing channel for sent reminder","OK"))</f>
        <v>OK</v>
      </c>
    </row>
    <row r="1078" customFormat="false" ht="15" hidden="false" customHeight="false" outlineLevel="0" collapsed="false">
      <c r="A1078" s="7" t="s">
        <v>1966</v>
      </c>
      <c r="B1078" s="7" t="s">
        <v>1967</v>
      </c>
      <c r="C1078" s="7" t="s">
        <v>47</v>
      </c>
      <c r="D1078" s="7" t="n">
        <v>48</v>
      </c>
      <c r="E1078" s="7" t="s">
        <v>56</v>
      </c>
      <c r="F1078" s="7" t="s">
        <v>57</v>
      </c>
      <c r="G1078" s="8" t="n">
        <v>46028</v>
      </c>
      <c r="H1078" s="8" t="n">
        <v>46046</v>
      </c>
      <c r="I1078" s="7" t="s">
        <v>102</v>
      </c>
      <c r="J1078" s="7" t="s">
        <v>51</v>
      </c>
      <c r="K1078" s="7" t="n">
        <v>18</v>
      </c>
      <c r="L1078" s="7" t="n">
        <v>2</v>
      </c>
      <c r="M1078" s="7" t="n">
        <v>0</v>
      </c>
      <c r="N1078" s="7" t="s">
        <v>42</v>
      </c>
      <c r="O1078" s="7" t="s">
        <v>43</v>
      </c>
      <c r="P1078" s="7" t="n">
        <v>21.3</v>
      </c>
      <c r="Q1078" s="7" t="n">
        <v>28</v>
      </c>
      <c r="R1078" s="7" t="s">
        <v>53</v>
      </c>
      <c r="S1078" s="7"/>
      <c r="T1078" s="7"/>
      <c r="U1078" s="7" t="str">
        <f aca="false">IF(COUNTIF($A$2:$A$5001,A1078)&gt;1,"Duplicate","Unique")</f>
        <v>Unique</v>
      </c>
      <c r="V1078" s="7" t="str">
        <f aca="false">IF(COUNTIFS($B$2:$B$5001,B1078,$H$2:$H$5001,H1078,$J$2:$J$5001,J1078)&gt;1,"Possible Duplicate Booking","Unique")</f>
        <v>Unique</v>
      </c>
      <c r="W1078" s="7" t="str">
        <f aca="false">IF((H1078-G1078)&lt;&gt;K1078,"Mismatch","OK")</f>
        <v>OK</v>
      </c>
      <c r="X1078" s="7" t="str">
        <f aca="false">IF(TEXT(H1078,"dddd")&lt;&gt;I1078,"Mismatch","OK")</f>
        <v>OK</v>
      </c>
      <c r="Y1078" s="7" t="str">
        <f aca="false">IF(AND(N1078="No",O1078&lt;&gt;""),"Unexpected: channel present but no reminder sent",IF(AND(N1078="Yes",O1078=""),"Missing channel for sent reminder","OK"))</f>
        <v>OK</v>
      </c>
    </row>
    <row r="1079" customFormat="false" ht="15" hidden="false" customHeight="false" outlineLevel="0" collapsed="false">
      <c r="A1079" s="9" t="s">
        <v>1968</v>
      </c>
      <c r="B1079" s="9" t="s">
        <v>1888</v>
      </c>
      <c r="C1079" s="9" t="s">
        <v>37</v>
      </c>
      <c r="D1079" s="9" t="n">
        <v>41</v>
      </c>
      <c r="E1079" s="9" t="s">
        <v>38</v>
      </c>
      <c r="F1079" s="9" t="s">
        <v>57</v>
      </c>
      <c r="G1079" s="10" t="n">
        <v>45737</v>
      </c>
      <c r="H1079" s="10" t="n">
        <v>45748</v>
      </c>
      <c r="I1079" s="9" t="s">
        <v>40</v>
      </c>
      <c r="J1079" s="9" t="s">
        <v>63</v>
      </c>
      <c r="K1079" s="9" t="n">
        <v>11</v>
      </c>
      <c r="L1079" s="9" t="n">
        <v>3</v>
      </c>
      <c r="M1079" s="9" t="n">
        <v>0</v>
      </c>
      <c r="N1079" s="9" t="s">
        <v>42</v>
      </c>
      <c r="O1079" s="9" t="s">
        <v>52</v>
      </c>
      <c r="P1079" s="9" t="n">
        <v>15.1</v>
      </c>
      <c r="Q1079" s="9" t="n">
        <v>5</v>
      </c>
      <c r="R1079" s="9" t="s">
        <v>53</v>
      </c>
      <c r="S1079" s="9"/>
      <c r="T1079" s="9"/>
      <c r="U1079" s="9" t="str">
        <f aca="false">IF(COUNTIF($A$2:$A$5001,A1079)&gt;1,"Duplicate","Unique")</f>
        <v>Unique</v>
      </c>
      <c r="V1079" s="9" t="str">
        <f aca="false">IF(COUNTIFS($B$2:$B$5001,B1079,$H$2:$H$5001,H1079,$J$2:$J$5001,J1079)&gt;1,"Possible Duplicate Booking","Unique")</f>
        <v>Unique</v>
      </c>
      <c r="W1079" s="9" t="str">
        <f aca="false">IF((H1079-G1079)&lt;&gt;K1079,"Mismatch","OK")</f>
        <v>OK</v>
      </c>
      <c r="X1079" s="9" t="str">
        <f aca="false">IF(TEXT(H1079,"dddd")&lt;&gt;I1079,"Mismatch","OK")</f>
        <v>OK</v>
      </c>
      <c r="Y1079" s="9" t="str">
        <f aca="false">IF(AND(N1079="No",O1079&lt;&gt;""),"Unexpected: channel present but no reminder sent",IF(AND(N1079="Yes",O1079=""),"Missing channel for sent reminder","OK"))</f>
        <v>OK</v>
      </c>
    </row>
    <row r="1080" customFormat="false" ht="15" hidden="false" customHeight="false" outlineLevel="0" collapsed="false">
      <c r="A1080" s="7" t="s">
        <v>1969</v>
      </c>
      <c r="B1080" s="7" t="s">
        <v>1970</v>
      </c>
      <c r="C1080" s="7" t="s">
        <v>47</v>
      </c>
      <c r="D1080" s="7" t="n">
        <v>64</v>
      </c>
      <c r="E1080" s="7" t="s">
        <v>61</v>
      </c>
      <c r="F1080" s="7" t="s">
        <v>39</v>
      </c>
      <c r="G1080" s="8" t="n">
        <v>45851</v>
      </c>
      <c r="H1080" s="8" t="n">
        <v>45886</v>
      </c>
      <c r="I1080" s="7" t="s">
        <v>75</v>
      </c>
      <c r="J1080" s="7" t="s">
        <v>41</v>
      </c>
      <c r="K1080" s="7" t="n">
        <v>35</v>
      </c>
      <c r="L1080" s="7" t="n">
        <v>1</v>
      </c>
      <c r="M1080" s="7" t="n">
        <v>1</v>
      </c>
      <c r="N1080" s="7" t="s">
        <v>71</v>
      </c>
      <c r="O1080" s="7"/>
      <c r="P1080" s="7" t="n">
        <v>9.3</v>
      </c>
      <c r="Q1080" s="7" t="n">
        <v>30</v>
      </c>
      <c r="R1080" s="7" t="s">
        <v>53</v>
      </c>
      <c r="S1080" s="7"/>
      <c r="T1080" s="7"/>
      <c r="U1080" s="7" t="str">
        <f aca="false">IF(COUNTIF($A$2:$A$5001,A1080)&gt;1,"Duplicate","Unique")</f>
        <v>Unique</v>
      </c>
      <c r="V1080" s="7" t="str">
        <f aca="false">IF(COUNTIFS($B$2:$B$5001,B1080,$H$2:$H$5001,H1080,$J$2:$J$5001,J1080)&gt;1,"Possible Duplicate Booking","Unique")</f>
        <v>Unique</v>
      </c>
      <c r="W1080" s="7" t="str">
        <f aca="false">IF((H1080-G1080)&lt;&gt;K1080,"Mismatch","OK")</f>
        <v>OK</v>
      </c>
      <c r="X1080" s="7" t="str">
        <f aca="false">IF(TEXT(H1080,"dddd")&lt;&gt;I1080,"Mismatch","OK")</f>
        <v>OK</v>
      </c>
      <c r="Y1080" s="7" t="str">
        <f aca="false">IF(AND(N1080="No",O1080&lt;&gt;""),"Unexpected: channel present but no reminder sent",IF(AND(N1080="Yes",O1080=""),"Missing channel for sent reminder","OK"))</f>
        <v>OK</v>
      </c>
    </row>
    <row r="1081" customFormat="false" ht="15" hidden="false" customHeight="false" outlineLevel="0" collapsed="false">
      <c r="A1081" s="9" t="s">
        <v>1971</v>
      </c>
      <c r="B1081" s="9" t="s">
        <v>1972</v>
      </c>
      <c r="C1081" s="9" t="s">
        <v>37</v>
      </c>
      <c r="D1081" s="9" t="n">
        <v>18</v>
      </c>
      <c r="E1081" s="9" t="s">
        <v>82</v>
      </c>
      <c r="F1081" s="9" t="s">
        <v>57</v>
      </c>
      <c r="G1081" s="10" t="n">
        <v>46076</v>
      </c>
      <c r="H1081" s="10" t="n">
        <v>46114</v>
      </c>
      <c r="I1081" s="9" t="s">
        <v>62</v>
      </c>
      <c r="J1081" s="9" t="s">
        <v>51</v>
      </c>
      <c r="K1081" s="9" t="n">
        <v>38</v>
      </c>
      <c r="L1081" s="9" t="n">
        <v>3</v>
      </c>
      <c r="M1081" s="9" t="n">
        <v>0</v>
      </c>
      <c r="N1081" s="9" t="s">
        <v>42</v>
      </c>
      <c r="O1081" s="9" t="s">
        <v>52</v>
      </c>
      <c r="P1081" s="9" t="n">
        <v>8.6</v>
      </c>
      <c r="Q1081" s="9" t="n">
        <v>29</v>
      </c>
      <c r="R1081" s="9" t="s">
        <v>44</v>
      </c>
      <c r="S1081" s="9"/>
      <c r="T1081" s="9"/>
      <c r="U1081" s="9" t="str">
        <f aca="false">IF(COUNTIF($A$2:$A$5001,A1081)&gt;1,"Duplicate","Unique")</f>
        <v>Unique</v>
      </c>
      <c r="V1081" s="9" t="str">
        <f aca="false">IF(COUNTIFS($B$2:$B$5001,B1081,$H$2:$H$5001,H1081,$J$2:$J$5001,J1081)&gt;1,"Possible Duplicate Booking","Unique")</f>
        <v>Unique</v>
      </c>
      <c r="W1081" s="9" t="str">
        <f aca="false">IF((H1081-G1081)&lt;&gt;K1081,"Mismatch","OK")</f>
        <v>OK</v>
      </c>
      <c r="X1081" s="9" t="str">
        <f aca="false">IF(TEXT(H1081,"dddd")&lt;&gt;I1081,"Mismatch","OK")</f>
        <v>OK</v>
      </c>
      <c r="Y1081" s="9" t="str">
        <f aca="false">IF(AND(N1081="No",O1081&lt;&gt;""),"Unexpected: channel present but no reminder sent",IF(AND(N1081="Yes",O1081=""),"Missing channel for sent reminder","OK"))</f>
        <v>OK</v>
      </c>
    </row>
    <row r="1082" customFormat="false" ht="15" hidden="false" customHeight="false" outlineLevel="0" collapsed="false">
      <c r="A1082" s="7" t="s">
        <v>1973</v>
      </c>
      <c r="B1082" s="7" t="s">
        <v>1974</v>
      </c>
      <c r="C1082" s="7" t="s">
        <v>37</v>
      </c>
      <c r="D1082" s="7" t="n">
        <v>23</v>
      </c>
      <c r="E1082" s="7" t="s">
        <v>82</v>
      </c>
      <c r="F1082" s="7" t="s">
        <v>39</v>
      </c>
      <c r="G1082" s="8" t="n">
        <v>46106</v>
      </c>
      <c r="H1082" s="8" t="n">
        <v>46160</v>
      </c>
      <c r="I1082" s="7" t="s">
        <v>66</v>
      </c>
      <c r="J1082" s="7" t="s">
        <v>51</v>
      </c>
      <c r="K1082" s="7" t="n">
        <v>54</v>
      </c>
      <c r="L1082" s="7" t="n">
        <v>2</v>
      </c>
      <c r="M1082" s="7" t="n">
        <v>0</v>
      </c>
      <c r="N1082" s="7" t="s">
        <v>42</v>
      </c>
      <c r="O1082" s="7" t="s">
        <v>67</v>
      </c>
      <c r="P1082" s="7" t="n">
        <v>3.7</v>
      </c>
      <c r="Q1082" s="7" t="n">
        <v>29</v>
      </c>
      <c r="R1082" s="7" t="s">
        <v>44</v>
      </c>
      <c r="S1082" s="7"/>
      <c r="T1082" s="7"/>
      <c r="U1082" s="7" t="str">
        <f aca="false">IF(COUNTIF($A$2:$A$5001,A1082)&gt;1,"Duplicate","Unique")</f>
        <v>Unique</v>
      </c>
      <c r="V1082" s="7" t="str">
        <f aca="false">IF(COUNTIFS($B$2:$B$5001,B1082,$H$2:$H$5001,H1082,$J$2:$J$5001,J1082)&gt;1,"Possible Duplicate Booking","Unique")</f>
        <v>Unique</v>
      </c>
      <c r="W1082" s="7" t="str">
        <f aca="false">IF((H1082-G1082)&lt;&gt;K1082,"Mismatch","OK")</f>
        <v>OK</v>
      </c>
      <c r="X1082" s="7" t="str">
        <f aca="false">IF(TEXT(H1082,"dddd")&lt;&gt;I1082,"Mismatch","OK")</f>
        <v>OK</v>
      </c>
      <c r="Y1082" s="7" t="str">
        <f aca="false">IF(AND(N1082="No",O1082&lt;&gt;""),"Unexpected: channel present but no reminder sent",IF(AND(N1082="Yes",O1082=""),"Missing channel for sent reminder","OK"))</f>
        <v>OK</v>
      </c>
    </row>
    <row r="1083" customFormat="false" ht="15" hidden="false" customHeight="false" outlineLevel="0" collapsed="false">
      <c r="A1083" s="9" t="s">
        <v>1975</v>
      </c>
      <c r="B1083" s="9" t="s">
        <v>1976</v>
      </c>
      <c r="C1083" s="9" t="s">
        <v>47</v>
      </c>
      <c r="D1083" s="9" t="n">
        <v>78</v>
      </c>
      <c r="E1083" s="9" t="s">
        <v>70</v>
      </c>
      <c r="F1083" s="9" t="s">
        <v>57</v>
      </c>
      <c r="G1083" s="10" t="n">
        <v>46175</v>
      </c>
      <c r="H1083" s="10" t="n">
        <v>46198</v>
      </c>
      <c r="I1083" s="9" t="s">
        <v>62</v>
      </c>
      <c r="J1083" s="9" t="s">
        <v>51</v>
      </c>
      <c r="K1083" s="9" t="n">
        <v>23</v>
      </c>
      <c r="L1083" s="9" t="n">
        <v>1</v>
      </c>
      <c r="M1083" s="9" t="n">
        <v>1</v>
      </c>
      <c r="N1083" s="9" t="s">
        <v>42</v>
      </c>
      <c r="O1083" s="9" t="s">
        <v>52</v>
      </c>
      <c r="P1083" s="9" t="n">
        <v>6.7</v>
      </c>
      <c r="Q1083" s="9" t="n">
        <v>29</v>
      </c>
      <c r="R1083" s="9" t="s">
        <v>53</v>
      </c>
      <c r="S1083" s="9"/>
      <c r="T1083" s="9"/>
      <c r="U1083" s="9" t="str">
        <f aca="false">IF(COUNTIF($A$2:$A$5001,A1083)&gt;1,"Duplicate","Unique")</f>
        <v>Unique</v>
      </c>
      <c r="V1083" s="9" t="str">
        <f aca="false">IF(COUNTIFS($B$2:$B$5001,B1083,$H$2:$H$5001,H1083,$J$2:$J$5001,J1083)&gt;1,"Possible Duplicate Booking","Unique")</f>
        <v>Unique</v>
      </c>
      <c r="W1083" s="9" t="str">
        <f aca="false">IF((H1083-G1083)&lt;&gt;K1083,"Mismatch","OK")</f>
        <v>OK</v>
      </c>
      <c r="X1083" s="9" t="str">
        <f aca="false">IF(TEXT(H1083,"dddd")&lt;&gt;I1083,"Mismatch","OK")</f>
        <v>OK</v>
      </c>
      <c r="Y1083" s="9" t="str">
        <f aca="false">IF(AND(N1083="No",O1083&lt;&gt;""),"Unexpected: channel present but no reminder sent",IF(AND(N1083="Yes",O1083=""),"Missing channel for sent reminder","OK"))</f>
        <v>OK</v>
      </c>
    </row>
    <row r="1084" customFormat="false" ht="15" hidden="false" customHeight="false" outlineLevel="0" collapsed="false">
      <c r="A1084" s="7" t="s">
        <v>1977</v>
      </c>
      <c r="B1084" s="7" t="s">
        <v>1933</v>
      </c>
      <c r="C1084" s="7" t="s">
        <v>37</v>
      </c>
      <c r="D1084" s="7" t="n">
        <v>59</v>
      </c>
      <c r="E1084" s="7" t="s">
        <v>61</v>
      </c>
      <c r="F1084" s="7" t="s">
        <v>39</v>
      </c>
      <c r="G1084" s="8" t="n">
        <v>46167</v>
      </c>
      <c r="H1084" s="8" t="n">
        <v>46181</v>
      </c>
      <c r="I1084" s="7" t="s">
        <v>66</v>
      </c>
      <c r="J1084" s="7" t="s">
        <v>41</v>
      </c>
      <c r="K1084" s="7" t="n">
        <v>14</v>
      </c>
      <c r="L1084" s="7" t="n">
        <v>4</v>
      </c>
      <c r="M1084" s="7" t="n">
        <v>1</v>
      </c>
      <c r="N1084" s="7" t="s">
        <v>42</v>
      </c>
      <c r="O1084" s="7" t="s">
        <v>67</v>
      </c>
      <c r="P1084" s="7" t="n">
        <v>2.2</v>
      </c>
      <c r="Q1084" s="7" t="n">
        <v>35</v>
      </c>
      <c r="R1084" s="7" t="s">
        <v>44</v>
      </c>
      <c r="S1084" s="7"/>
      <c r="T1084" s="7"/>
      <c r="U1084" s="7" t="str">
        <f aca="false">IF(COUNTIF($A$2:$A$5001,A1084)&gt;1,"Duplicate","Unique")</f>
        <v>Unique</v>
      </c>
      <c r="V1084" s="7" t="str">
        <f aca="false">IF(COUNTIFS($B$2:$B$5001,B1084,$H$2:$H$5001,H1084,$J$2:$J$5001,J1084)&gt;1,"Possible Duplicate Booking","Unique")</f>
        <v>Unique</v>
      </c>
      <c r="W1084" s="7" t="str">
        <f aca="false">IF((H1084-G1084)&lt;&gt;K1084,"Mismatch","OK")</f>
        <v>OK</v>
      </c>
      <c r="X1084" s="7" t="str">
        <f aca="false">IF(TEXT(H1084,"dddd")&lt;&gt;I1084,"Mismatch","OK")</f>
        <v>OK</v>
      </c>
      <c r="Y1084" s="7" t="str">
        <f aca="false">IF(AND(N1084="No",O1084&lt;&gt;""),"Unexpected: channel present but no reminder sent",IF(AND(N1084="Yes",O1084=""),"Missing channel for sent reminder","OK"))</f>
        <v>OK</v>
      </c>
    </row>
    <row r="1085" customFormat="false" ht="15" hidden="false" customHeight="false" outlineLevel="0" collapsed="false">
      <c r="A1085" s="9" t="s">
        <v>1978</v>
      </c>
      <c r="B1085" s="9" t="s">
        <v>857</v>
      </c>
      <c r="C1085" s="9" t="s">
        <v>236</v>
      </c>
      <c r="D1085" s="9" t="n">
        <v>52</v>
      </c>
      <c r="E1085" s="9" t="s">
        <v>56</v>
      </c>
      <c r="F1085" s="9" t="s">
        <v>57</v>
      </c>
      <c r="G1085" s="10" t="n">
        <v>45905</v>
      </c>
      <c r="H1085" s="10" t="n">
        <v>45961</v>
      </c>
      <c r="I1085" s="9" t="s">
        <v>50</v>
      </c>
      <c r="J1085" s="9" t="s">
        <v>41</v>
      </c>
      <c r="K1085" s="9" t="n">
        <v>56</v>
      </c>
      <c r="L1085" s="9" t="n">
        <v>3</v>
      </c>
      <c r="M1085" s="9" t="n">
        <v>3</v>
      </c>
      <c r="N1085" s="9" t="s">
        <v>71</v>
      </c>
      <c r="O1085" s="9"/>
      <c r="P1085" s="9" t="n">
        <v>7.8</v>
      </c>
      <c r="Q1085" s="9" t="n">
        <v>23</v>
      </c>
      <c r="R1085" s="9" t="s">
        <v>53</v>
      </c>
      <c r="S1085" s="9"/>
      <c r="T1085" s="9"/>
      <c r="U1085" s="9" t="str">
        <f aca="false">IF(COUNTIF($A$2:$A$5001,A1085)&gt;1,"Duplicate","Unique")</f>
        <v>Unique</v>
      </c>
      <c r="V1085" s="9" t="str">
        <f aca="false">IF(COUNTIFS($B$2:$B$5001,B1085,$H$2:$H$5001,H1085,$J$2:$J$5001,J1085)&gt;1,"Possible Duplicate Booking","Unique")</f>
        <v>Unique</v>
      </c>
      <c r="W1085" s="9" t="str">
        <f aca="false">IF((H1085-G1085)&lt;&gt;K1085,"Mismatch","OK")</f>
        <v>OK</v>
      </c>
      <c r="X1085" s="9" t="str">
        <f aca="false">IF(TEXT(H1085,"dddd")&lt;&gt;I1085,"Mismatch","OK")</f>
        <v>OK</v>
      </c>
      <c r="Y1085" s="9" t="str">
        <f aca="false">IF(AND(N1085="No",O1085&lt;&gt;""),"Unexpected: channel present but no reminder sent",IF(AND(N1085="Yes",O1085=""),"Missing channel for sent reminder","OK"))</f>
        <v>OK</v>
      </c>
    </row>
    <row r="1086" customFormat="false" ht="15" hidden="false" customHeight="false" outlineLevel="0" collapsed="false">
      <c r="A1086" s="7" t="s">
        <v>1979</v>
      </c>
      <c r="B1086" s="7" t="s">
        <v>1907</v>
      </c>
      <c r="C1086" s="7" t="s">
        <v>37</v>
      </c>
      <c r="D1086" s="7" t="n">
        <v>18</v>
      </c>
      <c r="E1086" s="7" t="s">
        <v>82</v>
      </c>
      <c r="F1086" s="7" t="s">
        <v>49</v>
      </c>
      <c r="G1086" s="8" t="n">
        <v>45726</v>
      </c>
      <c r="H1086" s="8" t="n">
        <v>45767</v>
      </c>
      <c r="I1086" s="7" t="s">
        <v>75</v>
      </c>
      <c r="J1086" s="7" t="s">
        <v>41</v>
      </c>
      <c r="K1086" s="7" t="n">
        <v>41</v>
      </c>
      <c r="L1086" s="7" t="n">
        <v>3</v>
      </c>
      <c r="M1086" s="7" t="n">
        <v>1</v>
      </c>
      <c r="N1086" s="7" t="s">
        <v>42</v>
      </c>
      <c r="O1086" s="7" t="s">
        <v>67</v>
      </c>
      <c r="P1086" s="7" t="n">
        <v>1.8</v>
      </c>
      <c r="Q1086" s="7" t="n">
        <v>25</v>
      </c>
      <c r="R1086" s="7" t="s">
        <v>53</v>
      </c>
      <c r="S1086" s="7"/>
      <c r="T1086" s="7"/>
      <c r="U1086" s="7" t="str">
        <f aca="false">IF(COUNTIF($A$2:$A$5001,A1086)&gt;1,"Duplicate","Unique")</f>
        <v>Unique</v>
      </c>
      <c r="V1086" s="7" t="str">
        <f aca="false">IF(COUNTIFS($B$2:$B$5001,B1086,$H$2:$H$5001,H1086,$J$2:$J$5001,J1086)&gt;1,"Possible Duplicate Booking","Unique")</f>
        <v>Unique</v>
      </c>
      <c r="W1086" s="7" t="str">
        <f aca="false">IF((H1086-G1086)&lt;&gt;K1086,"Mismatch","OK")</f>
        <v>OK</v>
      </c>
      <c r="X1086" s="7" t="str">
        <f aca="false">IF(TEXT(H1086,"dddd")&lt;&gt;I1086,"Mismatch","OK")</f>
        <v>OK</v>
      </c>
      <c r="Y1086" s="7" t="str">
        <f aca="false">IF(AND(N1086="No",O1086&lt;&gt;""),"Unexpected: channel present but no reminder sent",IF(AND(N1086="Yes",O1086=""),"Missing channel for sent reminder","OK"))</f>
        <v>OK</v>
      </c>
    </row>
    <row r="1087" customFormat="false" ht="15" hidden="false" customHeight="false" outlineLevel="0" collapsed="false">
      <c r="A1087" s="9" t="s">
        <v>1980</v>
      </c>
      <c r="B1087" s="9" t="s">
        <v>1981</v>
      </c>
      <c r="C1087" s="9" t="s">
        <v>37</v>
      </c>
      <c r="D1087" s="9" t="n">
        <v>55</v>
      </c>
      <c r="E1087" s="9" t="s">
        <v>61</v>
      </c>
      <c r="F1087" s="9" t="s">
        <v>57</v>
      </c>
      <c r="G1087" s="10" t="n">
        <v>46070</v>
      </c>
      <c r="H1087" s="10" t="n">
        <v>46116</v>
      </c>
      <c r="I1087" s="9" t="s">
        <v>102</v>
      </c>
      <c r="J1087" s="9" t="s">
        <v>63</v>
      </c>
      <c r="K1087" s="9" t="n">
        <v>46</v>
      </c>
      <c r="L1087" s="9" t="n">
        <v>0</v>
      </c>
      <c r="M1087" s="9" t="n">
        <v>0</v>
      </c>
      <c r="N1087" s="9" t="s">
        <v>71</v>
      </c>
      <c r="O1087" s="9"/>
      <c r="P1087" s="9" t="n">
        <v>9.5</v>
      </c>
      <c r="Q1087" s="9" t="n">
        <v>9</v>
      </c>
      <c r="R1087" s="9" t="s">
        <v>44</v>
      </c>
      <c r="S1087" s="9"/>
      <c r="T1087" s="9"/>
      <c r="U1087" s="9" t="str">
        <f aca="false">IF(COUNTIF($A$2:$A$5001,A1087)&gt;1,"Duplicate","Unique")</f>
        <v>Unique</v>
      </c>
      <c r="V1087" s="9" t="str">
        <f aca="false">IF(COUNTIFS($B$2:$B$5001,B1087,$H$2:$H$5001,H1087,$J$2:$J$5001,J1087)&gt;1,"Possible Duplicate Booking","Unique")</f>
        <v>Unique</v>
      </c>
      <c r="W1087" s="9" t="str">
        <f aca="false">IF((H1087-G1087)&lt;&gt;K1087,"Mismatch","OK")</f>
        <v>OK</v>
      </c>
      <c r="X1087" s="9" t="str">
        <f aca="false">IF(TEXT(H1087,"dddd")&lt;&gt;I1087,"Mismatch","OK")</f>
        <v>OK</v>
      </c>
      <c r="Y1087" s="9" t="str">
        <f aca="false">IF(AND(N1087="No",O1087&lt;&gt;""),"Unexpected: channel present but no reminder sent",IF(AND(N1087="Yes",O1087=""),"Missing channel for sent reminder","OK"))</f>
        <v>OK</v>
      </c>
    </row>
    <row r="1088" customFormat="false" ht="15" hidden="false" customHeight="false" outlineLevel="0" collapsed="false">
      <c r="A1088" s="7" t="s">
        <v>1982</v>
      </c>
      <c r="B1088" s="7" t="s">
        <v>1983</v>
      </c>
      <c r="C1088" s="7" t="s">
        <v>37</v>
      </c>
      <c r="D1088" s="7" t="n">
        <v>45</v>
      </c>
      <c r="E1088" s="7" t="s">
        <v>56</v>
      </c>
      <c r="F1088" s="7" t="s">
        <v>57</v>
      </c>
      <c r="G1088" s="8" t="n">
        <v>46068</v>
      </c>
      <c r="H1088" s="8" t="n">
        <v>46095</v>
      </c>
      <c r="I1088" s="7" t="s">
        <v>102</v>
      </c>
      <c r="J1088" s="7" t="s">
        <v>41</v>
      </c>
      <c r="K1088" s="7" t="n">
        <v>27</v>
      </c>
      <c r="L1088" s="7" t="n">
        <v>2</v>
      </c>
      <c r="M1088" s="7" t="n">
        <v>0</v>
      </c>
      <c r="N1088" s="7" t="s">
        <v>42</v>
      </c>
      <c r="O1088" s="7" t="s">
        <v>43</v>
      </c>
      <c r="P1088" s="7" t="n">
        <v>3.4</v>
      </c>
      <c r="Q1088" s="7" t="n">
        <v>32</v>
      </c>
      <c r="R1088" s="7" t="s">
        <v>44</v>
      </c>
      <c r="S1088" s="7"/>
      <c r="T1088" s="7"/>
      <c r="U1088" s="7" t="str">
        <f aca="false">IF(COUNTIF($A$2:$A$5001,A1088)&gt;1,"Duplicate","Unique")</f>
        <v>Unique</v>
      </c>
      <c r="V1088" s="7" t="str">
        <f aca="false">IF(COUNTIFS($B$2:$B$5001,B1088,$H$2:$H$5001,H1088,$J$2:$J$5001,J1088)&gt;1,"Possible Duplicate Booking","Unique")</f>
        <v>Unique</v>
      </c>
      <c r="W1088" s="7" t="str">
        <f aca="false">IF((H1088-G1088)&lt;&gt;K1088,"Mismatch","OK")</f>
        <v>OK</v>
      </c>
      <c r="X1088" s="7" t="str">
        <f aca="false">IF(TEXT(H1088,"dddd")&lt;&gt;I1088,"Mismatch","OK")</f>
        <v>OK</v>
      </c>
      <c r="Y1088" s="7" t="str">
        <f aca="false">IF(AND(N1088="No",O1088&lt;&gt;""),"Unexpected: channel present but no reminder sent",IF(AND(N1088="Yes",O1088=""),"Missing channel for sent reminder","OK"))</f>
        <v>OK</v>
      </c>
    </row>
    <row r="1089" customFormat="false" ht="15" hidden="false" customHeight="false" outlineLevel="0" collapsed="false">
      <c r="A1089" s="9" t="s">
        <v>1984</v>
      </c>
      <c r="B1089" s="9" t="s">
        <v>401</v>
      </c>
      <c r="C1089" s="9" t="s">
        <v>37</v>
      </c>
      <c r="D1089" s="9" t="n">
        <v>55</v>
      </c>
      <c r="E1089" s="9" t="s">
        <v>61</v>
      </c>
      <c r="F1089" s="9" t="s">
        <v>39</v>
      </c>
      <c r="G1089" s="10" t="n">
        <v>46171</v>
      </c>
      <c r="H1089" s="10" t="n">
        <v>46198</v>
      </c>
      <c r="I1089" s="9" t="s">
        <v>62</v>
      </c>
      <c r="J1089" s="9" t="s">
        <v>41</v>
      </c>
      <c r="K1089" s="9" t="n">
        <v>27</v>
      </c>
      <c r="L1089" s="9" t="n">
        <v>3</v>
      </c>
      <c r="M1089" s="9" t="n">
        <v>0</v>
      </c>
      <c r="N1089" s="9" t="s">
        <v>71</v>
      </c>
      <c r="O1089" s="9"/>
      <c r="P1089" s="9" t="n">
        <v>11.4</v>
      </c>
      <c r="Q1089" s="9" t="n">
        <v>17</v>
      </c>
      <c r="R1089" s="9" t="s">
        <v>53</v>
      </c>
      <c r="S1089" s="9"/>
      <c r="T1089" s="9"/>
      <c r="U1089" s="9" t="str">
        <f aca="false">IF(COUNTIF($A$2:$A$5001,A1089)&gt;1,"Duplicate","Unique")</f>
        <v>Unique</v>
      </c>
      <c r="V1089" s="9" t="str">
        <f aca="false">IF(COUNTIFS($B$2:$B$5001,B1089,$H$2:$H$5001,H1089,$J$2:$J$5001,J1089)&gt;1,"Possible Duplicate Booking","Unique")</f>
        <v>Unique</v>
      </c>
      <c r="W1089" s="9" t="str">
        <f aca="false">IF((H1089-G1089)&lt;&gt;K1089,"Mismatch","OK")</f>
        <v>OK</v>
      </c>
      <c r="X1089" s="9" t="str">
        <f aca="false">IF(TEXT(H1089,"dddd")&lt;&gt;I1089,"Mismatch","OK")</f>
        <v>OK</v>
      </c>
      <c r="Y1089" s="9" t="str">
        <f aca="false">IF(AND(N1089="No",O1089&lt;&gt;""),"Unexpected: channel present but no reminder sent",IF(AND(N1089="Yes",O1089=""),"Missing channel for sent reminder","OK"))</f>
        <v>OK</v>
      </c>
    </row>
    <row r="1090" customFormat="false" ht="15" hidden="false" customHeight="false" outlineLevel="0" collapsed="false">
      <c r="A1090" s="7" t="s">
        <v>1985</v>
      </c>
      <c r="B1090" s="7" t="s">
        <v>1986</v>
      </c>
      <c r="C1090" s="7" t="s">
        <v>37</v>
      </c>
      <c r="D1090" s="7" t="n">
        <v>20</v>
      </c>
      <c r="E1090" s="7" t="s">
        <v>82</v>
      </c>
      <c r="F1090" s="7" t="s">
        <v>39</v>
      </c>
      <c r="G1090" s="8" t="n">
        <v>45990</v>
      </c>
      <c r="H1090" s="8" t="n">
        <v>46013</v>
      </c>
      <c r="I1090" s="7" t="s">
        <v>66</v>
      </c>
      <c r="J1090" s="7" t="s">
        <v>41</v>
      </c>
      <c r="K1090" s="7" t="n">
        <v>23</v>
      </c>
      <c r="L1090" s="7" t="n">
        <v>2</v>
      </c>
      <c r="M1090" s="7" t="n">
        <v>1</v>
      </c>
      <c r="N1090" s="7" t="s">
        <v>71</v>
      </c>
      <c r="O1090" s="7"/>
      <c r="P1090" s="7" t="n">
        <v>9</v>
      </c>
      <c r="Q1090" s="7" t="n">
        <v>17</v>
      </c>
      <c r="R1090" s="7" t="s">
        <v>44</v>
      </c>
      <c r="S1090" s="7"/>
      <c r="T1090" s="7"/>
      <c r="U1090" s="7" t="str">
        <f aca="false">IF(COUNTIF($A$2:$A$5001,A1090)&gt;1,"Duplicate","Unique")</f>
        <v>Unique</v>
      </c>
      <c r="V1090" s="7" t="str">
        <f aca="false">IF(COUNTIFS($B$2:$B$5001,B1090,$H$2:$H$5001,H1090,$J$2:$J$5001,J1090)&gt;1,"Possible Duplicate Booking","Unique")</f>
        <v>Unique</v>
      </c>
      <c r="W1090" s="7" t="str">
        <f aca="false">IF((H1090-G1090)&lt;&gt;K1090,"Mismatch","OK")</f>
        <v>OK</v>
      </c>
      <c r="X1090" s="7" t="str">
        <f aca="false">IF(TEXT(H1090,"dddd")&lt;&gt;I1090,"Mismatch","OK")</f>
        <v>OK</v>
      </c>
      <c r="Y1090" s="7" t="str">
        <f aca="false">IF(AND(N1090="No",O1090&lt;&gt;""),"Unexpected: channel present but no reminder sent",IF(AND(N1090="Yes",O1090=""),"Missing channel for sent reminder","OK"))</f>
        <v>OK</v>
      </c>
    </row>
    <row r="1091" customFormat="false" ht="15" hidden="false" customHeight="false" outlineLevel="0" collapsed="false">
      <c r="A1091" s="9" t="s">
        <v>1987</v>
      </c>
      <c r="B1091" s="9" t="s">
        <v>77</v>
      </c>
      <c r="C1091" s="9" t="s">
        <v>37</v>
      </c>
      <c r="D1091" s="9" t="n">
        <v>52</v>
      </c>
      <c r="E1091" s="9" t="s">
        <v>56</v>
      </c>
      <c r="F1091" s="9" t="s">
        <v>39</v>
      </c>
      <c r="G1091" s="10" t="n">
        <v>45690</v>
      </c>
      <c r="H1091" s="10" t="n">
        <v>45735</v>
      </c>
      <c r="I1091" s="9" t="s">
        <v>58</v>
      </c>
      <c r="J1091" s="9" t="s">
        <v>41</v>
      </c>
      <c r="K1091" s="9" t="n">
        <v>45</v>
      </c>
      <c r="L1091" s="9" t="n">
        <v>0</v>
      </c>
      <c r="M1091" s="9" t="n">
        <v>0</v>
      </c>
      <c r="N1091" s="9" t="s">
        <v>42</v>
      </c>
      <c r="O1091" s="9" t="s">
        <v>52</v>
      </c>
      <c r="P1091" s="9" t="n">
        <v>5.8</v>
      </c>
      <c r="Q1091" s="9" t="n">
        <v>20</v>
      </c>
      <c r="R1091" s="9" t="s">
        <v>53</v>
      </c>
      <c r="S1091" s="9"/>
      <c r="T1091" s="9"/>
      <c r="U1091" s="9" t="str">
        <f aca="false">IF(COUNTIF($A$2:$A$5001,A1091)&gt;1,"Duplicate","Unique")</f>
        <v>Unique</v>
      </c>
      <c r="V1091" s="9" t="str">
        <f aca="false">IF(COUNTIFS($B$2:$B$5001,B1091,$H$2:$H$5001,H1091,$J$2:$J$5001,J1091)&gt;1,"Possible Duplicate Booking","Unique")</f>
        <v>Unique</v>
      </c>
      <c r="W1091" s="9" t="str">
        <f aca="false">IF((H1091-G1091)&lt;&gt;K1091,"Mismatch","OK")</f>
        <v>OK</v>
      </c>
      <c r="X1091" s="9" t="str">
        <f aca="false">IF(TEXT(H1091,"dddd")&lt;&gt;I1091,"Mismatch","OK")</f>
        <v>OK</v>
      </c>
      <c r="Y1091" s="9" t="str">
        <f aca="false">IF(AND(N1091="No",O1091&lt;&gt;""),"Unexpected: channel present but no reminder sent",IF(AND(N1091="Yes",O1091=""),"Missing channel for sent reminder","OK"))</f>
        <v>OK</v>
      </c>
    </row>
    <row r="1092" customFormat="false" ht="15" hidden="false" customHeight="false" outlineLevel="0" collapsed="false">
      <c r="A1092" s="7" t="s">
        <v>1988</v>
      </c>
      <c r="B1092" s="7" t="s">
        <v>199</v>
      </c>
      <c r="C1092" s="7" t="s">
        <v>37</v>
      </c>
      <c r="D1092" s="7" t="n">
        <v>54</v>
      </c>
      <c r="E1092" s="7" t="s">
        <v>56</v>
      </c>
      <c r="F1092" s="7" t="s">
        <v>39</v>
      </c>
      <c r="G1092" s="8" t="n">
        <v>45920</v>
      </c>
      <c r="H1092" s="8" t="n">
        <v>45932</v>
      </c>
      <c r="I1092" s="7" t="s">
        <v>62</v>
      </c>
      <c r="J1092" s="7" t="s">
        <v>51</v>
      </c>
      <c r="K1092" s="7" t="n">
        <v>12</v>
      </c>
      <c r="L1092" s="7" t="n">
        <v>3</v>
      </c>
      <c r="M1092" s="7" t="n">
        <v>0</v>
      </c>
      <c r="N1092" s="7" t="s">
        <v>42</v>
      </c>
      <c r="O1092" s="7" t="s">
        <v>52</v>
      </c>
      <c r="P1092" s="7" t="n">
        <v>2.7</v>
      </c>
      <c r="Q1092" s="7" t="n">
        <v>12</v>
      </c>
      <c r="R1092" s="7" t="s">
        <v>53</v>
      </c>
      <c r="S1092" s="7"/>
      <c r="T1092" s="7"/>
      <c r="U1092" s="7" t="str">
        <f aca="false">IF(COUNTIF($A$2:$A$5001,A1092)&gt;1,"Duplicate","Unique")</f>
        <v>Unique</v>
      </c>
      <c r="V1092" s="7" t="str">
        <f aca="false">IF(COUNTIFS($B$2:$B$5001,B1092,$H$2:$H$5001,H1092,$J$2:$J$5001,J1092)&gt;1,"Possible Duplicate Booking","Unique")</f>
        <v>Unique</v>
      </c>
      <c r="W1092" s="7" t="str">
        <f aca="false">IF((H1092-G1092)&lt;&gt;K1092,"Mismatch","OK")</f>
        <v>OK</v>
      </c>
      <c r="X1092" s="7" t="str">
        <f aca="false">IF(TEXT(H1092,"dddd")&lt;&gt;I1092,"Mismatch","OK")</f>
        <v>OK</v>
      </c>
      <c r="Y1092" s="7" t="str">
        <f aca="false">IF(AND(N1092="No",O1092&lt;&gt;""),"Unexpected: channel present but no reminder sent",IF(AND(N1092="Yes",O1092=""),"Missing channel for sent reminder","OK"))</f>
        <v>OK</v>
      </c>
    </row>
    <row r="1093" customFormat="false" ht="15" hidden="false" customHeight="false" outlineLevel="0" collapsed="false">
      <c r="A1093" s="9" t="s">
        <v>1989</v>
      </c>
      <c r="B1093" s="9" t="s">
        <v>1990</v>
      </c>
      <c r="C1093" s="9" t="s">
        <v>37</v>
      </c>
      <c r="D1093" s="9" t="n">
        <v>36</v>
      </c>
      <c r="E1093" s="9" t="s">
        <v>38</v>
      </c>
      <c r="F1093" s="9" t="s">
        <v>57</v>
      </c>
      <c r="G1093" s="10" t="n">
        <v>45843</v>
      </c>
      <c r="H1093" s="10" t="n">
        <v>45902</v>
      </c>
      <c r="I1093" s="9" t="s">
        <v>40</v>
      </c>
      <c r="J1093" s="9" t="s">
        <v>41</v>
      </c>
      <c r="K1093" s="9" t="n">
        <v>59</v>
      </c>
      <c r="L1093" s="9" t="n">
        <v>2</v>
      </c>
      <c r="M1093" s="9" t="n">
        <v>0</v>
      </c>
      <c r="N1093" s="9" t="s">
        <v>42</v>
      </c>
      <c r="O1093" s="9" t="s">
        <v>43</v>
      </c>
      <c r="P1093" s="9" t="n">
        <v>8.4</v>
      </c>
      <c r="Q1093" s="9" t="n">
        <v>23</v>
      </c>
      <c r="R1093" s="9" t="s">
        <v>53</v>
      </c>
      <c r="S1093" s="9"/>
      <c r="T1093" s="9"/>
      <c r="U1093" s="9" t="str">
        <f aca="false">IF(COUNTIF($A$2:$A$5001,A1093)&gt;1,"Duplicate","Unique")</f>
        <v>Unique</v>
      </c>
      <c r="V1093" s="9" t="str">
        <f aca="false">IF(COUNTIFS($B$2:$B$5001,B1093,$H$2:$H$5001,H1093,$J$2:$J$5001,J1093)&gt;1,"Possible Duplicate Booking","Unique")</f>
        <v>Unique</v>
      </c>
      <c r="W1093" s="9" t="str">
        <f aca="false">IF((H1093-G1093)&lt;&gt;K1093,"Mismatch","OK")</f>
        <v>OK</v>
      </c>
      <c r="X1093" s="9" t="str">
        <f aca="false">IF(TEXT(H1093,"dddd")&lt;&gt;I1093,"Mismatch","OK")</f>
        <v>OK</v>
      </c>
      <c r="Y1093" s="9" t="str">
        <f aca="false">IF(AND(N1093="No",O1093&lt;&gt;""),"Unexpected: channel present but no reminder sent",IF(AND(N1093="Yes",O1093=""),"Missing channel for sent reminder","OK"))</f>
        <v>OK</v>
      </c>
    </row>
    <row r="1094" customFormat="false" ht="15" hidden="false" customHeight="false" outlineLevel="0" collapsed="false">
      <c r="A1094" s="7" t="s">
        <v>1991</v>
      </c>
      <c r="B1094" s="7" t="s">
        <v>126</v>
      </c>
      <c r="C1094" s="7" t="s">
        <v>37</v>
      </c>
      <c r="D1094" s="7" t="n">
        <v>21</v>
      </c>
      <c r="E1094" s="7" t="s">
        <v>82</v>
      </c>
      <c r="F1094" s="7" t="s">
        <v>49</v>
      </c>
      <c r="G1094" s="8" t="n">
        <v>46108</v>
      </c>
      <c r="H1094" s="8" t="n">
        <v>46118</v>
      </c>
      <c r="I1094" s="7" t="s">
        <v>66</v>
      </c>
      <c r="J1094" s="7" t="s">
        <v>41</v>
      </c>
      <c r="K1094" s="7" t="n">
        <v>10</v>
      </c>
      <c r="L1094" s="7" t="n">
        <v>4</v>
      </c>
      <c r="M1094" s="7" t="n">
        <v>0</v>
      </c>
      <c r="N1094" s="7" t="s">
        <v>71</v>
      </c>
      <c r="O1094" s="7"/>
      <c r="P1094" s="7" t="n">
        <v>8</v>
      </c>
      <c r="Q1094" s="7" t="n">
        <v>33</v>
      </c>
      <c r="R1094" s="7" t="s">
        <v>53</v>
      </c>
      <c r="S1094" s="7"/>
      <c r="T1094" s="7"/>
      <c r="U1094" s="7" t="str">
        <f aca="false">IF(COUNTIF($A$2:$A$5001,A1094)&gt;1,"Duplicate","Unique")</f>
        <v>Unique</v>
      </c>
      <c r="V1094" s="7" t="str">
        <f aca="false">IF(COUNTIFS($B$2:$B$5001,B1094,$H$2:$H$5001,H1094,$J$2:$J$5001,J1094)&gt;1,"Possible Duplicate Booking","Unique")</f>
        <v>Unique</v>
      </c>
      <c r="W1094" s="7" t="str">
        <f aca="false">IF((H1094-G1094)&lt;&gt;K1094,"Mismatch","OK")</f>
        <v>OK</v>
      </c>
      <c r="X1094" s="7" t="str">
        <f aca="false">IF(TEXT(H1094,"dddd")&lt;&gt;I1094,"Mismatch","OK")</f>
        <v>OK</v>
      </c>
      <c r="Y1094" s="7" t="str">
        <f aca="false">IF(AND(N1094="No",O1094&lt;&gt;""),"Unexpected: channel present but no reminder sent",IF(AND(N1094="Yes",O1094=""),"Missing channel for sent reminder","OK"))</f>
        <v>OK</v>
      </c>
    </row>
    <row r="1095" customFormat="false" ht="15" hidden="false" customHeight="false" outlineLevel="0" collapsed="false">
      <c r="A1095" s="9" t="s">
        <v>1992</v>
      </c>
      <c r="B1095" s="9" t="s">
        <v>578</v>
      </c>
      <c r="C1095" s="9" t="s">
        <v>37</v>
      </c>
      <c r="D1095" s="9" t="n">
        <v>79</v>
      </c>
      <c r="E1095" s="9" t="s">
        <v>70</v>
      </c>
      <c r="F1095" s="9" t="s">
        <v>39</v>
      </c>
      <c r="G1095" s="10" t="n">
        <v>45844</v>
      </c>
      <c r="H1095" s="10" t="n">
        <v>45872</v>
      </c>
      <c r="I1095" s="9" t="s">
        <v>75</v>
      </c>
      <c r="J1095" s="9" t="s">
        <v>51</v>
      </c>
      <c r="K1095" s="9" t="n">
        <v>28</v>
      </c>
      <c r="L1095" s="9" t="n">
        <v>4</v>
      </c>
      <c r="M1095" s="9" t="n">
        <v>0</v>
      </c>
      <c r="N1095" s="9" t="s">
        <v>42</v>
      </c>
      <c r="O1095" s="9" t="s">
        <v>52</v>
      </c>
      <c r="P1095" s="9" t="n">
        <v>26.3</v>
      </c>
      <c r="Q1095" s="9" t="n">
        <v>12</v>
      </c>
      <c r="R1095" s="9" t="s">
        <v>53</v>
      </c>
      <c r="S1095" s="9"/>
      <c r="T1095" s="9"/>
      <c r="U1095" s="9" t="str">
        <f aca="false">IF(COUNTIF($A$2:$A$5001,A1095)&gt;1,"Duplicate","Unique")</f>
        <v>Unique</v>
      </c>
      <c r="V1095" s="9" t="str">
        <f aca="false">IF(COUNTIFS($B$2:$B$5001,B1095,$H$2:$H$5001,H1095,$J$2:$J$5001,J1095)&gt;1,"Possible Duplicate Booking","Unique")</f>
        <v>Unique</v>
      </c>
      <c r="W1095" s="9" t="str">
        <f aca="false">IF((H1095-G1095)&lt;&gt;K1095,"Mismatch","OK")</f>
        <v>OK</v>
      </c>
      <c r="X1095" s="9" t="str">
        <f aca="false">IF(TEXT(H1095,"dddd")&lt;&gt;I1095,"Mismatch","OK")</f>
        <v>OK</v>
      </c>
      <c r="Y1095" s="9" t="str">
        <f aca="false">IF(AND(N1095="No",O1095&lt;&gt;""),"Unexpected: channel present but no reminder sent",IF(AND(N1095="Yes",O1095=""),"Missing channel for sent reminder","OK"))</f>
        <v>OK</v>
      </c>
    </row>
    <row r="1096" customFormat="false" ht="15" hidden="false" customHeight="false" outlineLevel="0" collapsed="false">
      <c r="A1096" s="7" t="s">
        <v>1993</v>
      </c>
      <c r="B1096" s="7" t="s">
        <v>811</v>
      </c>
      <c r="C1096" s="7" t="s">
        <v>37</v>
      </c>
      <c r="D1096" s="7" t="n">
        <v>62</v>
      </c>
      <c r="E1096" s="7" t="s">
        <v>61</v>
      </c>
      <c r="F1096" s="7" t="s">
        <v>57</v>
      </c>
      <c r="G1096" s="8" t="n">
        <v>45818</v>
      </c>
      <c r="H1096" s="8" t="n">
        <v>45837</v>
      </c>
      <c r="I1096" s="7" t="s">
        <v>75</v>
      </c>
      <c r="J1096" s="7" t="s">
        <v>41</v>
      </c>
      <c r="K1096" s="7" t="n">
        <v>19</v>
      </c>
      <c r="L1096" s="7" t="n">
        <v>1</v>
      </c>
      <c r="M1096" s="7" t="n">
        <v>0</v>
      </c>
      <c r="N1096" s="7" t="s">
        <v>42</v>
      </c>
      <c r="O1096" s="7" t="s">
        <v>52</v>
      </c>
      <c r="P1096" s="7" t="n">
        <v>6.4</v>
      </c>
      <c r="Q1096" s="7" t="n">
        <v>24</v>
      </c>
      <c r="R1096" s="7" t="s">
        <v>53</v>
      </c>
      <c r="S1096" s="7"/>
      <c r="T1096" s="7"/>
      <c r="U1096" s="7" t="str">
        <f aca="false">IF(COUNTIF($A$2:$A$5001,A1096)&gt;1,"Duplicate","Unique")</f>
        <v>Unique</v>
      </c>
      <c r="V1096" s="7" t="str">
        <f aca="false">IF(COUNTIFS($B$2:$B$5001,B1096,$H$2:$H$5001,H1096,$J$2:$J$5001,J1096)&gt;1,"Possible Duplicate Booking","Unique")</f>
        <v>Unique</v>
      </c>
      <c r="W1096" s="7" t="str">
        <f aca="false">IF((H1096-G1096)&lt;&gt;K1096,"Mismatch","OK")</f>
        <v>OK</v>
      </c>
      <c r="X1096" s="7" t="str">
        <f aca="false">IF(TEXT(H1096,"dddd")&lt;&gt;I1096,"Mismatch","OK")</f>
        <v>OK</v>
      </c>
      <c r="Y1096" s="7" t="str">
        <f aca="false">IF(AND(N1096="No",O1096&lt;&gt;""),"Unexpected: channel present but no reminder sent",IF(AND(N1096="Yes",O1096=""),"Missing channel for sent reminder","OK"))</f>
        <v>OK</v>
      </c>
    </row>
    <row r="1097" customFormat="false" ht="15" hidden="false" customHeight="false" outlineLevel="0" collapsed="false">
      <c r="A1097" s="9" t="s">
        <v>1994</v>
      </c>
      <c r="B1097" s="9" t="s">
        <v>1571</v>
      </c>
      <c r="C1097" s="9" t="s">
        <v>37</v>
      </c>
      <c r="D1097" s="9" t="n">
        <v>57</v>
      </c>
      <c r="E1097" s="9" t="s">
        <v>61</v>
      </c>
      <c r="F1097" s="9" t="s">
        <v>49</v>
      </c>
      <c r="G1097" s="10" t="n">
        <v>45662</v>
      </c>
      <c r="H1097" s="10" t="n">
        <v>45701</v>
      </c>
      <c r="I1097" s="9" t="s">
        <v>62</v>
      </c>
      <c r="J1097" s="9" t="s">
        <v>41</v>
      </c>
      <c r="K1097" s="9" t="n">
        <v>39</v>
      </c>
      <c r="L1097" s="9" t="n">
        <v>0</v>
      </c>
      <c r="M1097" s="9" t="n">
        <v>0</v>
      </c>
      <c r="N1097" s="9" t="s">
        <v>42</v>
      </c>
      <c r="O1097" s="9" t="s">
        <v>52</v>
      </c>
      <c r="P1097" s="9" t="n">
        <v>14</v>
      </c>
      <c r="Q1097" s="9" t="n">
        <v>31</v>
      </c>
      <c r="R1097" s="9" t="s">
        <v>53</v>
      </c>
      <c r="S1097" s="9"/>
      <c r="T1097" s="9"/>
      <c r="U1097" s="9" t="str">
        <f aca="false">IF(COUNTIF($A$2:$A$5001,A1097)&gt;1,"Duplicate","Unique")</f>
        <v>Unique</v>
      </c>
      <c r="V1097" s="9" t="str">
        <f aca="false">IF(COUNTIFS($B$2:$B$5001,B1097,$H$2:$H$5001,H1097,$J$2:$J$5001,J1097)&gt;1,"Possible Duplicate Booking","Unique")</f>
        <v>Unique</v>
      </c>
      <c r="W1097" s="9" t="str">
        <f aca="false">IF((H1097-G1097)&lt;&gt;K1097,"Mismatch","OK")</f>
        <v>OK</v>
      </c>
      <c r="X1097" s="9" t="str">
        <f aca="false">IF(TEXT(H1097,"dddd")&lt;&gt;I1097,"Mismatch","OK")</f>
        <v>OK</v>
      </c>
      <c r="Y1097" s="9" t="str">
        <f aca="false">IF(AND(N1097="No",O1097&lt;&gt;""),"Unexpected: channel present but no reminder sent",IF(AND(N1097="Yes",O1097=""),"Missing channel for sent reminder","OK"))</f>
        <v>OK</v>
      </c>
    </row>
    <row r="1098" customFormat="false" ht="15" hidden="false" customHeight="false" outlineLevel="0" collapsed="false">
      <c r="A1098" s="7" t="s">
        <v>1995</v>
      </c>
      <c r="B1098" s="7" t="s">
        <v>461</v>
      </c>
      <c r="C1098" s="7" t="s">
        <v>37</v>
      </c>
      <c r="D1098" s="7" t="n">
        <v>66</v>
      </c>
      <c r="E1098" s="7" t="s">
        <v>70</v>
      </c>
      <c r="F1098" s="7" t="s">
        <v>39</v>
      </c>
      <c r="G1098" s="8" t="n">
        <v>46073</v>
      </c>
      <c r="H1098" s="8" t="n">
        <v>46114</v>
      </c>
      <c r="I1098" s="7" t="s">
        <v>62</v>
      </c>
      <c r="J1098" s="7" t="s">
        <v>51</v>
      </c>
      <c r="K1098" s="7" t="n">
        <v>41</v>
      </c>
      <c r="L1098" s="7" t="n">
        <v>1</v>
      </c>
      <c r="M1098" s="7" t="n">
        <v>1</v>
      </c>
      <c r="N1098" s="7" t="s">
        <v>42</v>
      </c>
      <c r="O1098" s="7" t="s">
        <v>43</v>
      </c>
      <c r="P1098" s="7" t="n">
        <v>5</v>
      </c>
      <c r="Q1098" s="7" t="n">
        <v>2</v>
      </c>
      <c r="R1098" s="7" t="s">
        <v>44</v>
      </c>
      <c r="S1098" s="7"/>
      <c r="T1098" s="7"/>
      <c r="U1098" s="7" t="str">
        <f aca="false">IF(COUNTIF($A$2:$A$5001,A1098)&gt;1,"Duplicate","Unique")</f>
        <v>Unique</v>
      </c>
      <c r="V1098" s="7" t="str">
        <f aca="false">IF(COUNTIFS($B$2:$B$5001,B1098,$H$2:$H$5001,H1098,$J$2:$J$5001,J1098)&gt;1,"Possible Duplicate Booking","Unique")</f>
        <v>Unique</v>
      </c>
      <c r="W1098" s="7" t="str">
        <f aca="false">IF((H1098-G1098)&lt;&gt;K1098,"Mismatch","OK")</f>
        <v>OK</v>
      </c>
      <c r="X1098" s="7" t="str">
        <f aca="false">IF(TEXT(H1098,"dddd")&lt;&gt;I1098,"Mismatch","OK")</f>
        <v>OK</v>
      </c>
      <c r="Y1098" s="7" t="str">
        <f aca="false">IF(AND(N1098="No",O1098&lt;&gt;""),"Unexpected: channel present but no reminder sent",IF(AND(N1098="Yes",O1098=""),"Missing channel for sent reminder","OK"))</f>
        <v>OK</v>
      </c>
    </row>
    <row r="1099" customFormat="false" ht="15" hidden="false" customHeight="false" outlineLevel="0" collapsed="false">
      <c r="A1099" s="9" t="s">
        <v>1996</v>
      </c>
      <c r="B1099" s="9" t="s">
        <v>463</v>
      </c>
      <c r="C1099" s="9" t="s">
        <v>37</v>
      </c>
      <c r="D1099" s="9" t="n">
        <v>60</v>
      </c>
      <c r="E1099" s="9" t="s">
        <v>61</v>
      </c>
      <c r="F1099" s="9" t="s">
        <v>39</v>
      </c>
      <c r="G1099" s="10" t="n">
        <v>46014</v>
      </c>
      <c r="H1099" s="10" t="n">
        <v>46070</v>
      </c>
      <c r="I1099" s="9" t="s">
        <v>40</v>
      </c>
      <c r="J1099" s="9" t="s">
        <v>41</v>
      </c>
      <c r="K1099" s="9" t="n">
        <v>56</v>
      </c>
      <c r="L1099" s="9" t="n">
        <v>3</v>
      </c>
      <c r="M1099" s="9" t="n">
        <v>1</v>
      </c>
      <c r="N1099" s="9" t="s">
        <v>71</v>
      </c>
      <c r="O1099" s="9"/>
      <c r="P1099" s="9" t="n">
        <v>3.9</v>
      </c>
      <c r="Q1099" s="9" t="n">
        <v>44</v>
      </c>
      <c r="R1099" s="9" t="s">
        <v>53</v>
      </c>
      <c r="S1099" s="9"/>
      <c r="T1099" s="9"/>
      <c r="U1099" s="9" t="str">
        <f aca="false">IF(COUNTIF($A$2:$A$5001,A1099)&gt;1,"Duplicate","Unique")</f>
        <v>Unique</v>
      </c>
      <c r="V1099" s="9" t="str">
        <f aca="false">IF(COUNTIFS($B$2:$B$5001,B1099,$H$2:$H$5001,H1099,$J$2:$J$5001,J1099)&gt;1,"Possible Duplicate Booking","Unique")</f>
        <v>Unique</v>
      </c>
      <c r="W1099" s="9" t="str">
        <f aca="false">IF((H1099-G1099)&lt;&gt;K1099,"Mismatch","OK")</f>
        <v>OK</v>
      </c>
      <c r="X1099" s="9" t="str">
        <f aca="false">IF(TEXT(H1099,"dddd")&lt;&gt;I1099,"Mismatch","OK")</f>
        <v>OK</v>
      </c>
      <c r="Y1099" s="9" t="str">
        <f aca="false">IF(AND(N1099="No",O1099&lt;&gt;""),"Unexpected: channel present but no reminder sent",IF(AND(N1099="Yes",O1099=""),"Missing channel for sent reminder","OK"))</f>
        <v>OK</v>
      </c>
    </row>
    <row r="1100" customFormat="false" ht="15" hidden="false" customHeight="false" outlineLevel="0" collapsed="false">
      <c r="A1100" s="7" t="s">
        <v>1997</v>
      </c>
      <c r="B1100" s="7" t="s">
        <v>1998</v>
      </c>
      <c r="C1100" s="7" t="s">
        <v>37</v>
      </c>
      <c r="D1100" s="7" t="n">
        <v>26</v>
      </c>
      <c r="E1100" s="7" t="s">
        <v>48</v>
      </c>
      <c r="F1100" s="7" t="s">
        <v>39</v>
      </c>
      <c r="G1100" s="8" t="n">
        <v>45632</v>
      </c>
      <c r="H1100" s="8" t="n">
        <v>45680</v>
      </c>
      <c r="I1100" s="7" t="s">
        <v>62</v>
      </c>
      <c r="J1100" s="7" t="s">
        <v>51</v>
      </c>
      <c r="K1100" s="7" t="n">
        <v>48</v>
      </c>
      <c r="L1100" s="7" t="n">
        <v>4</v>
      </c>
      <c r="M1100" s="7" t="n">
        <v>0</v>
      </c>
      <c r="N1100" s="7" t="s">
        <v>71</v>
      </c>
      <c r="O1100" s="7"/>
      <c r="P1100" s="7" t="n">
        <v>12.1</v>
      </c>
      <c r="Q1100" s="7" t="n">
        <v>19</v>
      </c>
      <c r="R1100" s="7" t="s">
        <v>44</v>
      </c>
      <c r="S1100" s="7"/>
      <c r="T1100" s="7"/>
      <c r="U1100" s="7" t="str">
        <f aca="false">IF(COUNTIF($A$2:$A$5001,A1100)&gt;1,"Duplicate","Unique")</f>
        <v>Unique</v>
      </c>
      <c r="V1100" s="7" t="str">
        <f aca="false">IF(COUNTIFS($B$2:$B$5001,B1100,$H$2:$H$5001,H1100,$J$2:$J$5001,J1100)&gt;1,"Possible Duplicate Booking","Unique")</f>
        <v>Unique</v>
      </c>
      <c r="W1100" s="7" t="str">
        <f aca="false">IF((H1100-G1100)&lt;&gt;K1100,"Mismatch","OK")</f>
        <v>OK</v>
      </c>
      <c r="X1100" s="7" t="str">
        <f aca="false">IF(TEXT(H1100,"dddd")&lt;&gt;I1100,"Mismatch","OK")</f>
        <v>OK</v>
      </c>
      <c r="Y1100" s="7" t="str">
        <f aca="false">IF(AND(N1100="No",O1100&lt;&gt;""),"Unexpected: channel present but no reminder sent",IF(AND(N1100="Yes",O1100=""),"Missing channel for sent reminder","OK"))</f>
        <v>OK</v>
      </c>
    </row>
    <row r="1101" customFormat="false" ht="15" hidden="false" customHeight="false" outlineLevel="0" collapsed="false">
      <c r="A1101" s="9" t="s">
        <v>1999</v>
      </c>
      <c r="B1101" s="9" t="s">
        <v>1220</v>
      </c>
      <c r="C1101" s="9" t="s">
        <v>37</v>
      </c>
      <c r="D1101" s="9" t="n">
        <v>46</v>
      </c>
      <c r="E1101" s="9" t="s">
        <v>56</v>
      </c>
      <c r="F1101" s="9" t="s">
        <v>57</v>
      </c>
      <c r="G1101" s="10" t="n">
        <v>45879</v>
      </c>
      <c r="H1101" s="10" t="n">
        <v>45894</v>
      </c>
      <c r="I1101" s="9" t="s">
        <v>66</v>
      </c>
      <c r="J1101" s="9" t="s">
        <v>41</v>
      </c>
      <c r="K1101" s="9" t="n">
        <v>15</v>
      </c>
      <c r="L1101" s="9" t="n">
        <v>3</v>
      </c>
      <c r="M1101" s="9" t="n">
        <v>0</v>
      </c>
      <c r="N1101" s="9" t="s">
        <v>42</v>
      </c>
      <c r="O1101" s="9" t="s">
        <v>43</v>
      </c>
      <c r="P1101" s="9" t="n">
        <v>6.1</v>
      </c>
      <c r="Q1101" s="9" t="n">
        <v>14</v>
      </c>
      <c r="R1101" s="9" t="s">
        <v>44</v>
      </c>
      <c r="S1101" s="9"/>
      <c r="T1101" s="9"/>
      <c r="U1101" s="9" t="str">
        <f aca="false">IF(COUNTIF($A$2:$A$5001,A1101)&gt;1,"Duplicate","Unique")</f>
        <v>Unique</v>
      </c>
      <c r="V1101" s="9" t="str">
        <f aca="false">IF(COUNTIFS($B$2:$B$5001,B1101,$H$2:$H$5001,H1101,$J$2:$J$5001,J1101)&gt;1,"Possible Duplicate Booking","Unique")</f>
        <v>Unique</v>
      </c>
      <c r="W1101" s="9" t="str">
        <f aca="false">IF((H1101-G1101)&lt;&gt;K1101,"Mismatch","OK")</f>
        <v>OK</v>
      </c>
      <c r="X1101" s="9" t="str">
        <f aca="false">IF(TEXT(H1101,"dddd")&lt;&gt;I1101,"Mismatch","OK")</f>
        <v>OK</v>
      </c>
      <c r="Y1101" s="9" t="str">
        <f aca="false">IF(AND(N1101="No",O1101&lt;&gt;""),"Unexpected: channel present but no reminder sent",IF(AND(N1101="Yes",O1101=""),"Missing channel for sent reminder","OK"))</f>
        <v>OK</v>
      </c>
    </row>
    <row r="1102" customFormat="false" ht="15" hidden="false" customHeight="false" outlineLevel="0" collapsed="false">
      <c r="A1102" s="7" t="s">
        <v>2000</v>
      </c>
      <c r="B1102" s="7" t="s">
        <v>2001</v>
      </c>
      <c r="C1102" s="7" t="s">
        <v>47</v>
      </c>
      <c r="D1102" s="7" t="n">
        <v>73</v>
      </c>
      <c r="E1102" s="7" t="s">
        <v>70</v>
      </c>
      <c r="F1102" s="7" t="s">
        <v>39</v>
      </c>
      <c r="G1102" s="8" t="n">
        <v>45907</v>
      </c>
      <c r="H1102" s="8" t="n">
        <v>45919</v>
      </c>
      <c r="I1102" s="7" t="s">
        <v>50</v>
      </c>
      <c r="J1102" s="7" t="s">
        <v>41</v>
      </c>
      <c r="K1102" s="7" t="n">
        <v>12</v>
      </c>
      <c r="L1102" s="7" t="n">
        <v>2</v>
      </c>
      <c r="M1102" s="7" t="n">
        <v>1</v>
      </c>
      <c r="N1102" s="7" t="s">
        <v>71</v>
      </c>
      <c r="O1102" s="7"/>
      <c r="P1102" s="7" t="n">
        <v>8.3</v>
      </c>
      <c r="Q1102" s="7" t="n">
        <v>25</v>
      </c>
      <c r="R1102" s="7" t="s">
        <v>53</v>
      </c>
      <c r="S1102" s="7"/>
      <c r="T1102" s="7"/>
      <c r="U1102" s="7" t="str">
        <f aca="false">IF(COUNTIF($A$2:$A$5001,A1102)&gt;1,"Duplicate","Unique")</f>
        <v>Unique</v>
      </c>
      <c r="V1102" s="7" t="str">
        <f aca="false">IF(COUNTIFS($B$2:$B$5001,B1102,$H$2:$H$5001,H1102,$J$2:$J$5001,J1102)&gt;1,"Possible Duplicate Booking","Unique")</f>
        <v>Unique</v>
      </c>
      <c r="W1102" s="7" t="str">
        <f aca="false">IF((H1102-G1102)&lt;&gt;K1102,"Mismatch","OK")</f>
        <v>OK</v>
      </c>
      <c r="X1102" s="7" t="str">
        <f aca="false">IF(TEXT(H1102,"dddd")&lt;&gt;I1102,"Mismatch","OK")</f>
        <v>OK</v>
      </c>
      <c r="Y1102" s="7" t="str">
        <f aca="false">IF(AND(N1102="No",O1102&lt;&gt;""),"Unexpected: channel present but no reminder sent",IF(AND(N1102="Yes",O1102=""),"Missing channel for sent reminder","OK"))</f>
        <v>OK</v>
      </c>
    </row>
    <row r="1103" customFormat="false" ht="15" hidden="false" customHeight="false" outlineLevel="0" collapsed="false">
      <c r="A1103" s="9" t="s">
        <v>2002</v>
      </c>
      <c r="B1103" s="9" t="s">
        <v>2003</v>
      </c>
      <c r="C1103" s="9" t="s">
        <v>37</v>
      </c>
      <c r="D1103" s="9" t="n">
        <v>36</v>
      </c>
      <c r="E1103" s="9" t="s">
        <v>38</v>
      </c>
      <c r="F1103" s="9" t="s">
        <v>57</v>
      </c>
      <c r="G1103" s="10" t="n">
        <v>45860</v>
      </c>
      <c r="H1103" s="10" t="n">
        <v>45914</v>
      </c>
      <c r="I1103" s="9" t="s">
        <v>75</v>
      </c>
      <c r="J1103" s="9" t="s">
        <v>51</v>
      </c>
      <c r="K1103" s="9" t="n">
        <v>54</v>
      </c>
      <c r="L1103" s="9" t="n">
        <v>2</v>
      </c>
      <c r="M1103" s="9" t="n">
        <v>1</v>
      </c>
      <c r="N1103" s="9" t="s">
        <v>71</v>
      </c>
      <c r="O1103" s="9"/>
      <c r="P1103" s="9" t="n">
        <v>0.9</v>
      </c>
      <c r="Q1103" s="9" t="n">
        <v>17</v>
      </c>
      <c r="R1103" s="9" t="s">
        <v>44</v>
      </c>
      <c r="S1103" s="9"/>
      <c r="T1103" s="9"/>
      <c r="U1103" s="9" t="str">
        <f aca="false">IF(COUNTIF($A$2:$A$5001,A1103)&gt;1,"Duplicate","Unique")</f>
        <v>Unique</v>
      </c>
      <c r="V1103" s="9" t="str">
        <f aca="false">IF(COUNTIFS($B$2:$B$5001,B1103,$H$2:$H$5001,H1103,$J$2:$J$5001,J1103)&gt;1,"Possible Duplicate Booking","Unique")</f>
        <v>Unique</v>
      </c>
      <c r="W1103" s="9" t="str">
        <f aca="false">IF((H1103-G1103)&lt;&gt;K1103,"Mismatch","OK")</f>
        <v>OK</v>
      </c>
      <c r="X1103" s="9" t="str">
        <f aca="false">IF(TEXT(H1103,"dddd")&lt;&gt;I1103,"Mismatch","OK")</f>
        <v>OK</v>
      </c>
      <c r="Y1103" s="9" t="str">
        <f aca="false">IF(AND(N1103="No",O1103&lt;&gt;""),"Unexpected: channel present but no reminder sent",IF(AND(N1103="Yes",O1103=""),"Missing channel for sent reminder","OK"))</f>
        <v>OK</v>
      </c>
    </row>
    <row r="1104" customFormat="false" ht="15" hidden="false" customHeight="false" outlineLevel="0" collapsed="false">
      <c r="A1104" s="7" t="s">
        <v>2004</v>
      </c>
      <c r="B1104" s="7" t="s">
        <v>657</v>
      </c>
      <c r="C1104" s="7" t="s">
        <v>37</v>
      </c>
      <c r="D1104" s="7" t="n">
        <v>79</v>
      </c>
      <c r="E1104" s="7" t="s">
        <v>70</v>
      </c>
      <c r="F1104" s="7" t="s">
        <v>57</v>
      </c>
      <c r="G1104" s="8" t="n">
        <v>46130</v>
      </c>
      <c r="H1104" s="8" t="n">
        <v>46159</v>
      </c>
      <c r="I1104" s="7" t="s">
        <v>75</v>
      </c>
      <c r="J1104" s="7" t="s">
        <v>51</v>
      </c>
      <c r="K1104" s="7" t="n">
        <v>29</v>
      </c>
      <c r="L1104" s="7" t="n">
        <v>2</v>
      </c>
      <c r="M1104" s="7" t="n">
        <v>0</v>
      </c>
      <c r="N1104" s="7" t="s">
        <v>71</v>
      </c>
      <c r="O1104" s="7"/>
      <c r="P1104" s="7" t="n">
        <v>5.2</v>
      </c>
      <c r="Q1104" s="7" t="n">
        <v>23</v>
      </c>
      <c r="R1104" s="7" t="s">
        <v>53</v>
      </c>
      <c r="S1104" s="7"/>
      <c r="T1104" s="7"/>
      <c r="U1104" s="7" t="str">
        <f aca="false">IF(COUNTIF($A$2:$A$5001,A1104)&gt;1,"Duplicate","Unique")</f>
        <v>Unique</v>
      </c>
      <c r="V1104" s="7" t="str">
        <f aca="false">IF(COUNTIFS($B$2:$B$5001,B1104,$H$2:$H$5001,H1104,$J$2:$J$5001,J1104)&gt;1,"Possible Duplicate Booking","Unique")</f>
        <v>Unique</v>
      </c>
      <c r="W1104" s="7" t="str">
        <f aca="false">IF((H1104-G1104)&lt;&gt;K1104,"Mismatch","OK")</f>
        <v>OK</v>
      </c>
      <c r="X1104" s="7" t="str">
        <f aca="false">IF(TEXT(H1104,"dddd")&lt;&gt;I1104,"Mismatch","OK")</f>
        <v>OK</v>
      </c>
      <c r="Y1104" s="7" t="str">
        <f aca="false">IF(AND(N1104="No",O1104&lt;&gt;""),"Unexpected: channel present but no reminder sent",IF(AND(N1104="Yes",O1104=""),"Missing channel for sent reminder","OK"))</f>
        <v>OK</v>
      </c>
    </row>
    <row r="1105" customFormat="false" ht="15" hidden="false" customHeight="false" outlineLevel="0" collapsed="false">
      <c r="A1105" s="9" t="s">
        <v>2005</v>
      </c>
      <c r="B1105" s="9" t="s">
        <v>138</v>
      </c>
      <c r="C1105" s="9" t="s">
        <v>47</v>
      </c>
      <c r="D1105" s="9" t="n">
        <v>22</v>
      </c>
      <c r="E1105" s="9" t="s">
        <v>82</v>
      </c>
      <c r="F1105" s="9" t="s">
        <v>74</v>
      </c>
      <c r="G1105" s="10" t="n">
        <v>45735</v>
      </c>
      <c r="H1105" s="10" t="n">
        <v>45740</v>
      </c>
      <c r="I1105" s="9" t="s">
        <v>66</v>
      </c>
      <c r="J1105" s="9" t="s">
        <v>51</v>
      </c>
      <c r="K1105" s="9" t="n">
        <v>5</v>
      </c>
      <c r="L1105" s="9" t="n">
        <v>8</v>
      </c>
      <c r="M1105" s="9" t="n">
        <v>4</v>
      </c>
      <c r="N1105" s="9" t="s">
        <v>42</v>
      </c>
      <c r="O1105" s="9" t="s">
        <v>52</v>
      </c>
      <c r="P1105" s="9" t="n">
        <v>5.7</v>
      </c>
      <c r="Q1105" s="9" t="n">
        <v>16</v>
      </c>
      <c r="R1105" s="9" t="s">
        <v>53</v>
      </c>
      <c r="S1105" s="9"/>
      <c r="T1105" s="9"/>
      <c r="U1105" s="9" t="str">
        <f aca="false">IF(COUNTIF($A$2:$A$5001,A1105)&gt;1,"Duplicate","Unique")</f>
        <v>Unique</v>
      </c>
      <c r="V1105" s="9" t="str">
        <f aca="false">IF(COUNTIFS($B$2:$B$5001,B1105,$H$2:$H$5001,H1105,$J$2:$J$5001,J1105)&gt;1,"Possible Duplicate Booking","Unique")</f>
        <v>Unique</v>
      </c>
      <c r="W1105" s="9" t="str">
        <f aca="false">IF((H1105-G1105)&lt;&gt;K1105,"Mismatch","OK")</f>
        <v>OK</v>
      </c>
      <c r="X1105" s="9" t="str">
        <f aca="false">IF(TEXT(H1105,"dddd")&lt;&gt;I1105,"Mismatch","OK")</f>
        <v>OK</v>
      </c>
      <c r="Y1105" s="9" t="str">
        <f aca="false">IF(AND(N1105="No",O1105&lt;&gt;""),"Unexpected: channel present but no reminder sent",IF(AND(N1105="Yes",O1105=""),"Missing channel for sent reminder","OK"))</f>
        <v>OK</v>
      </c>
    </row>
    <row r="1106" customFormat="false" ht="15" hidden="false" customHeight="false" outlineLevel="0" collapsed="false">
      <c r="A1106" s="7" t="s">
        <v>2006</v>
      </c>
      <c r="B1106" s="7" t="s">
        <v>2007</v>
      </c>
      <c r="C1106" s="7" t="s">
        <v>37</v>
      </c>
      <c r="D1106" s="7" t="n">
        <v>38</v>
      </c>
      <c r="E1106" s="7" t="s">
        <v>38</v>
      </c>
      <c r="F1106" s="7" t="s">
        <v>39</v>
      </c>
      <c r="G1106" s="8" t="n">
        <v>45775</v>
      </c>
      <c r="H1106" s="8" t="n">
        <v>45825</v>
      </c>
      <c r="I1106" s="7" t="s">
        <v>40</v>
      </c>
      <c r="J1106" s="7" t="s">
        <v>51</v>
      </c>
      <c r="K1106" s="7" t="n">
        <v>50</v>
      </c>
      <c r="L1106" s="7" t="n">
        <v>3</v>
      </c>
      <c r="M1106" s="7" t="n">
        <v>0</v>
      </c>
      <c r="N1106" s="7" t="s">
        <v>71</v>
      </c>
      <c r="O1106" s="7"/>
      <c r="P1106" s="7" t="n">
        <v>3.6</v>
      </c>
      <c r="Q1106" s="7" t="n">
        <v>36</v>
      </c>
      <c r="R1106" s="7" t="s">
        <v>44</v>
      </c>
      <c r="S1106" s="7"/>
      <c r="T1106" s="7"/>
      <c r="U1106" s="7" t="str">
        <f aca="false">IF(COUNTIF($A$2:$A$5001,A1106)&gt;1,"Duplicate","Unique")</f>
        <v>Unique</v>
      </c>
      <c r="V1106" s="7" t="str">
        <f aca="false">IF(COUNTIFS($B$2:$B$5001,B1106,$H$2:$H$5001,H1106,$J$2:$J$5001,J1106)&gt;1,"Possible Duplicate Booking","Unique")</f>
        <v>Unique</v>
      </c>
      <c r="W1106" s="7" t="str">
        <f aca="false">IF((H1106-G1106)&lt;&gt;K1106,"Mismatch","OK")</f>
        <v>OK</v>
      </c>
      <c r="X1106" s="7" t="str">
        <f aca="false">IF(TEXT(H1106,"dddd")&lt;&gt;I1106,"Mismatch","OK")</f>
        <v>OK</v>
      </c>
      <c r="Y1106" s="7" t="str">
        <f aca="false">IF(AND(N1106="No",O1106&lt;&gt;""),"Unexpected: channel present but no reminder sent",IF(AND(N1106="Yes",O1106=""),"Missing channel for sent reminder","OK"))</f>
        <v>OK</v>
      </c>
    </row>
    <row r="1107" customFormat="false" ht="15" hidden="false" customHeight="false" outlineLevel="0" collapsed="false">
      <c r="A1107" s="9" t="s">
        <v>2008</v>
      </c>
      <c r="B1107" s="9" t="s">
        <v>542</v>
      </c>
      <c r="C1107" s="9" t="s">
        <v>37</v>
      </c>
      <c r="D1107" s="9" t="n">
        <v>40</v>
      </c>
      <c r="E1107" s="9" t="s">
        <v>38</v>
      </c>
      <c r="F1107" s="9" t="s">
        <v>57</v>
      </c>
      <c r="G1107" s="10" t="n">
        <v>45717</v>
      </c>
      <c r="H1107" s="10" t="n">
        <v>45756</v>
      </c>
      <c r="I1107" s="9" t="s">
        <v>58</v>
      </c>
      <c r="J1107" s="9" t="s">
        <v>41</v>
      </c>
      <c r="K1107" s="9" t="n">
        <v>39</v>
      </c>
      <c r="L1107" s="9" t="n">
        <v>5</v>
      </c>
      <c r="M1107" s="9" t="n">
        <v>0</v>
      </c>
      <c r="N1107" s="9" t="s">
        <v>42</v>
      </c>
      <c r="O1107" s="9" t="s">
        <v>52</v>
      </c>
      <c r="P1107" s="9" t="n">
        <v>6.6</v>
      </c>
      <c r="Q1107" s="9" t="n">
        <v>54</v>
      </c>
      <c r="R1107" s="9" t="s">
        <v>44</v>
      </c>
      <c r="S1107" s="9"/>
      <c r="T1107" s="9"/>
      <c r="U1107" s="9" t="str">
        <f aca="false">IF(COUNTIF($A$2:$A$5001,A1107)&gt;1,"Duplicate","Unique")</f>
        <v>Unique</v>
      </c>
      <c r="V1107" s="9" t="str">
        <f aca="false">IF(COUNTIFS($B$2:$B$5001,B1107,$H$2:$H$5001,H1107,$J$2:$J$5001,J1107)&gt;1,"Possible Duplicate Booking","Unique")</f>
        <v>Unique</v>
      </c>
      <c r="W1107" s="9" t="str">
        <f aca="false">IF((H1107-G1107)&lt;&gt;K1107,"Mismatch","OK")</f>
        <v>OK</v>
      </c>
      <c r="X1107" s="9" t="str">
        <f aca="false">IF(TEXT(H1107,"dddd")&lt;&gt;I1107,"Mismatch","OK")</f>
        <v>OK</v>
      </c>
      <c r="Y1107" s="9" t="str">
        <f aca="false">IF(AND(N1107="No",O1107&lt;&gt;""),"Unexpected: channel present but no reminder sent",IF(AND(N1107="Yes",O1107=""),"Missing channel for sent reminder","OK"))</f>
        <v>OK</v>
      </c>
    </row>
    <row r="1108" customFormat="false" ht="15" hidden="false" customHeight="false" outlineLevel="0" collapsed="false">
      <c r="A1108" s="7" t="s">
        <v>2009</v>
      </c>
      <c r="B1108" s="7" t="s">
        <v>964</v>
      </c>
      <c r="C1108" s="7" t="s">
        <v>47</v>
      </c>
      <c r="D1108" s="7" t="n">
        <v>56</v>
      </c>
      <c r="E1108" s="7" t="s">
        <v>61</v>
      </c>
      <c r="F1108" s="7" t="s">
        <v>57</v>
      </c>
      <c r="G1108" s="8" t="n">
        <v>45790</v>
      </c>
      <c r="H1108" s="8" t="n">
        <v>45791</v>
      </c>
      <c r="I1108" s="7" t="s">
        <v>58</v>
      </c>
      <c r="J1108" s="7" t="s">
        <v>51</v>
      </c>
      <c r="K1108" s="7" t="n">
        <v>1</v>
      </c>
      <c r="L1108" s="7" t="n">
        <v>2</v>
      </c>
      <c r="M1108" s="7" t="n">
        <v>0</v>
      </c>
      <c r="N1108" s="7" t="s">
        <v>42</v>
      </c>
      <c r="O1108" s="7" t="s">
        <v>67</v>
      </c>
      <c r="P1108" s="7" t="n">
        <v>2</v>
      </c>
      <c r="Q1108" s="7" t="n">
        <v>32</v>
      </c>
      <c r="R1108" s="7" t="s">
        <v>44</v>
      </c>
      <c r="S1108" s="7"/>
      <c r="T1108" s="7"/>
      <c r="U1108" s="7" t="str">
        <f aca="false">IF(COUNTIF($A$2:$A$5001,A1108)&gt;1,"Duplicate","Unique")</f>
        <v>Unique</v>
      </c>
      <c r="V1108" s="7" t="str">
        <f aca="false">IF(COUNTIFS($B$2:$B$5001,B1108,$H$2:$H$5001,H1108,$J$2:$J$5001,J1108)&gt;1,"Possible Duplicate Booking","Unique")</f>
        <v>Unique</v>
      </c>
      <c r="W1108" s="7" t="str">
        <f aca="false">IF((H1108-G1108)&lt;&gt;K1108,"Mismatch","OK")</f>
        <v>OK</v>
      </c>
      <c r="X1108" s="7" t="str">
        <f aca="false">IF(TEXT(H1108,"dddd")&lt;&gt;I1108,"Mismatch","OK")</f>
        <v>OK</v>
      </c>
      <c r="Y1108" s="7" t="str">
        <f aca="false">IF(AND(N1108="No",O1108&lt;&gt;""),"Unexpected: channel present but no reminder sent",IF(AND(N1108="Yes",O1108=""),"Missing channel for sent reminder","OK"))</f>
        <v>OK</v>
      </c>
    </row>
    <row r="1109" customFormat="false" ht="15" hidden="false" customHeight="false" outlineLevel="0" collapsed="false">
      <c r="A1109" s="9" t="s">
        <v>2010</v>
      </c>
      <c r="B1109" s="9" t="s">
        <v>566</v>
      </c>
      <c r="C1109" s="9" t="s">
        <v>47</v>
      </c>
      <c r="D1109" s="9" t="n">
        <v>29</v>
      </c>
      <c r="E1109" s="9" t="s">
        <v>48</v>
      </c>
      <c r="F1109" s="9" t="s">
        <v>49</v>
      </c>
      <c r="G1109" s="10" t="n">
        <v>46106</v>
      </c>
      <c r="H1109" s="10" t="n">
        <v>46153</v>
      </c>
      <c r="I1109" s="9" t="s">
        <v>66</v>
      </c>
      <c r="J1109" s="9" t="s">
        <v>63</v>
      </c>
      <c r="K1109" s="9" t="n">
        <v>47</v>
      </c>
      <c r="L1109" s="9" t="n">
        <v>1</v>
      </c>
      <c r="M1109" s="9" t="n">
        <v>1</v>
      </c>
      <c r="N1109" s="9" t="s">
        <v>71</v>
      </c>
      <c r="O1109" s="9"/>
      <c r="P1109" s="9" t="n">
        <v>9.5</v>
      </c>
      <c r="Q1109" s="9" t="n">
        <v>26</v>
      </c>
      <c r="R1109" s="9" t="s">
        <v>44</v>
      </c>
      <c r="S1109" s="9"/>
      <c r="T1109" s="9"/>
      <c r="U1109" s="9" t="str">
        <f aca="false">IF(COUNTIF($A$2:$A$5001,A1109)&gt;1,"Duplicate","Unique")</f>
        <v>Unique</v>
      </c>
      <c r="V1109" s="9" t="str">
        <f aca="false">IF(COUNTIFS($B$2:$B$5001,B1109,$H$2:$H$5001,H1109,$J$2:$J$5001,J1109)&gt;1,"Possible Duplicate Booking","Unique")</f>
        <v>Unique</v>
      </c>
      <c r="W1109" s="9" t="str">
        <f aca="false">IF((H1109-G1109)&lt;&gt;K1109,"Mismatch","OK")</f>
        <v>OK</v>
      </c>
      <c r="X1109" s="9" t="str">
        <f aca="false">IF(TEXT(H1109,"dddd")&lt;&gt;I1109,"Mismatch","OK")</f>
        <v>OK</v>
      </c>
      <c r="Y1109" s="9" t="str">
        <f aca="false">IF(AND(N1109="No",O1109&lt;&gt;""),"Unexpected: channel present but no reminder sent",IF(AND(N1109="Yes",O1109=""),"Missing channel for sent reminder","OK"))</f>
        <v>OK</v>
      </c>
    </row>
    <row r="1110" customFormat="false" ht="15" hidden="false" customHeight="false" outlineLevel="0" collapsed="false">
      <c r="A1110" s="7" t="s">
        <v>2011</v>
      </c>
      <c r="B1110" s="7" t="s">
        <v>1639</v>
      </c>
      <c r="C1110" s="7" t="s">
        <v>47</v>
      </c>
      <c r="D1110" s="7" t="n">
        <v>32</v>
      </c>
      <c r="E1110" s="7" t="s">
        <v>48</v>
      </c>
      <c r="F1110" s="7" t="s">
        <v>57</v>
      </c>
      <c r="G1110" s="8" t="n">
        <v>46134</v>
      </c>
      <c r="H1110" s="8" t="n">
        <v>46171</v>
      </c>
      <c r="I1110" s="7" t="s">
        <v>50</v>
      </c>
      <c r="J1110" s="7" t="s">
        <v>51</v>
      </c>
      <c r="K1110" s="7" t="n">
        <v>37</v>
      </c>
      <c r="L1110" s="7" t="n">
        <v>4</v>
      </c>
      <c r="M1110" s="7" t="n">
        <v>1</v>
      </c>
      <c r="N1110" s="7" t="s">
        <v>42</v>
      </c>
      <c r="O1110" s="7" t="s">
        <v>52</v>
      </c>
      <c r="P1110" s="7" t="n">
        <v>6.6</v>
      </c>
      <c r="Q1110" s="7" t="n">
        <v>18</v>
      </c>
      <c r="R1110" s="7" t="s">
        <v>53</v>
      </c>
      <c r="S1110" s="7"/>
      <c r="T1110" s="7"/>
      <c r="U1110" s="7" t="str">
        <f aca="false">IF(COUNTIF($A$2:$A$5001,A1110)&gt;1,"Duplicate","Unique")</f>
        <v>Unique</v>
      </c>
      <c r="V1110" s="7" t="str">
        <f aca="false">IF(COUNTIFS($B$2:$B$5001,B1110,$H$2:$H$5001,H1110,$J$2:$J$5001,J1110)&gt;1,"Possible Duplicate Booking","Unique")</f>
        <v>Unique</v>
      </c>
      <c r="W1110" s="7" t="str">
        <f aca="false">IF((H1110-G1110)&lt;&gt;K1110,"Mismatch","OK")</f>
        <v>OK</v>
      </c>
      <c r="X1110" s="7" t="str">
        <f aca="false">IF(TEXT(H1110,"dddd")&lt;&gt;I1110,"Mismatch","OK")</f>
        <v>OK</v>
      </c>
      <c r="Y1110" s="7" t="str">
        <f aca="false">IF(AND(N1110="No",O1110&lt;&gt;""),"Unexpected: channel present but no reminder sent",IF(AND(N1110="Yes",O1110=""),"Missing channel for sent reminder","OK"))</f>
        <v>OK</v>
      </c>
    </row>
    <row r="1111" customFormat="false" ht="15" hidden="false" customHeight="false" outlineLevel="0" collapsed="false">
      <c r="A1111" s="9" t="s">
        <v>2012</v>
      </c>
      <c r="B1111" s="9" t="s">
        <v>2013</v>
      </c>
      <c r="C1111" s="9" t="s">
        <v>47</v>
      </c>
      <c r="D1111" s="9" t="n">
        <v>59</v>
      </c>
      <c r="E1111" s="9" t="s">
        <v>61</v>
      </c>
      <c r="F1111" s="9" t="s">
        <v>57</v>
      </c>
      <c r="G1111" s="10" t="n">
        <v>45645</v>
      </c>
      <c r="H1111" s="10" t="n">
        <v>45682</v>
      </c>
      <c r="I1111" s="9" t="s">
        <v>102</v>
      </c>
      <c r="J1111" s="9" t="s">
        <v>51</v>
      </c>
      <c r="K1111" s="9" t="n">
        <v>37</v>
      </c>
      <c r="L1111" s="9" t="n">
        <v>4</v>
      </c>
      <c r="M1111" s="9" t="n">
        <v>1</v>
      </c>
      <c r="N1111" s="9" t="s">
        <v>42</v>
      </c>
      <c r="O1111" s="9" t="s">
        <v>43</v>
      </c>
      <c r="P1111" s="9" t="n">
        <v>6.3</v>
      </c>
      <c r="Q1111" s="9" t="n">
        <v>36</v>
      </c>
      <c r="R1111" s="9" t="s">
        <v>44</v>
      </c>
      <c r="S1111" s="9"/>
      <c r="T1111" s="9"/>
      <c r="U1111" s="9" t="str">
        <f aca="false">IF(COUNTIF($A$2:$A$5001,A1111)&gt;1,"Duplicate","Unique")</f>
        <v>Unique</v>
      </c>
      <c r="V1111" s="9" t="str">
        <f aca="false">IF(COUNTIFS($B$2:$B$5001,B1111,$H$2:$H$5001,H1111,$J$2:$J$5001,J1111)&gt;1,"Possible Duplicate Booking","Unique")</f>
        <v>Unique</v>
      </c>
      <c r="W1111" s="9" t="str">
        <f aca="false">IF((H1111-G1111)&lt;&gt;K1111,"Mismatch","OK")</f>
        <v>OK</v>
      </c>
      <c r="X1111" s="9" t="str">
        <f aca="false">IF(TEXT(H1111,"dddd")&lt;&gt;I1111,"Mismatch","OK")</f>
        <v>OK</v>
      </c>
      <c r="Y1111" s="9" t="str">
        <f aca="false">IF(AND(N1111="No",O1111&lt;&gt;""),"Unexpected: channel present but no reminder sent",IF(AND(N1111="Yes",O1111=""),"Missing channel for sent reminder","OK"))</f>
        <v>OK</v>
      </c>
    </row>
    <row r="1112" customFormat="false" ht="15" hidden="false" customHeight="false" outlineLevel="0" collapsed="false">
      <c r="A1112" s="7" t="s">
        <v>2014</v>
      </c>
      <c r="B1112" s="7" t="s">
        <v>2015</v>
      </c>
      <c r="C1112" s="7" t="s">
        <v>47</v>
      </c>
      <c r="D1112" s="7" t="n">
        <v>35</v>
      </c>
      <c r="E1112" s="7" t="s">
        <v>38</v>
      </c>
      <c r="F1112" s="7" t="s">
        <v>57</v>
      </c>
      <c r="G1112" s="8" t="n">
        <v>45951</v>
      </c>
      <c r="H1112" s="8" t="n">
        <v>46003</v>
      </c>
      <c r="I1112" s="7" t="s">
        <v>50</v>
      </c>
      <c r="J1112" s="7" t="s">
        <v>63</v>
      </c>
      <c r="K1112" s="7" t="n">
        <v>52</v>
      </c>
      <c r="L1112" s="7" t="n">
        <v>5</v>
      </c>
      <c r="M1112" s="7" t="n">
        <v>1</v>
      </c>
      <c r="N1112" s="7" t="s">
        <v>71</v>
      </c>
      <c r="O1112" s="7"/>
      <c r="P1112" s="7" t="n">
        <v>12.1</v>
      </c>
      <c r="Q1112" s="7"/>
      <c r="R1112" s="7" t="s">
        <v>44</v>
      </c>
      <c r="S1112" s="7"/>
      <c r="T1112" s="7"/>
      <c r="U1112" s="7" t="str">
        <f aca="false">IF(COUNTIF($A$2:$A$5001,A1112)&gt;1,"Duplicate","Unique")</f>
        <v>Unique</v>
      </c>
      <c r="V1112" s="7" t="str">
        <f aca="false">IF(COUNTIFS($B$2:$B$5001,B1112,$H$2:$H$5001,H1112,$J$2:$J$5001,J1112)&gt;1,"Possible Duplicate Booking","Unique")</f>
        <v>Unique</v>
      </c>
      <c r="W1112" s="7" t="str">
        <f aca="false">IF((H1112-G1112)&lt;&gt;K1112,"Mismatch","OK")</f>
        <v>OK</v>
      </c>
      <c r="X1112" s="7" t="str">
        <f aca="false">IF(TEXT(H1112,"dddd")&lt;&gt;I1112,"Mismatch","OK")</f>
        <v>OK</v>
      </c>
      <c r="Y1112" s="7" t="str">
        <f aca="false">IF(AND(N1112="No",O1112&lt;&gt;""),"Unexpected: channel present but no reminder sent",IF(AND(N1112="Yes",O1112=""),"Missing channel for sent reminder","OK"))</f>
        <v>OK</v>
      </c>
    </row>
    <row r="1113" customFormat="false" ht="15" hidden="false" customHeight="false" outlineLevel="0" collapsed="false">
      <c r="A1113" s="9" t="s">
        <v>2016</v>
      </c>
      <c r="B1113" s="9" t="s">
        <v>2017</v>
      </c>
      <c r="C1113" s="9" t="s">
        <v>47</v>
      </c>
      <c r="D1113" s="9" t="n">
        <v>73</v>
      </c>
      <c r="E1113" s="9" t="s">
        <v>70</v>
      </c>
      <c r="F1113" s="9" t="s">
        <v>49</v>
      </c>
      <c r="G1113" s="10" t="n">
        <v>45755</v>
      </c>
      <c r="H1113" s="10" t="n">
        <v>45785</v>
      </c>
      <c r="I1113" s="9" t="s">
        <v>62</v>
      </c>
      <c r="J1113" s="9" t="s">
        <v>41</v>
      </c>
      <c r="K1113" s="9" t="n">
        <v>30</v>
      </c>
      <c r="L1113" s="9" t="n">
        <v>4</v>
      </c>
      <c r="M1113" s="9" t="n">
        <v>0</v>
      </c>
      <c r="N1113" s="9" t="s">
        <v>42</v>
      </c>
      <c r="O1113" s="9" t="s">
        <v>52</v>
      </c>
      <c r="P1113" s="9" t="n">
        <v>3.7</v>
      </c>
      <c r="Q1113" s="9" t="n">
        <v>28</v>
      </c>
      <c r="R1113" s="9" t="s">
        <v>44</v>
      </c>
      <c r="S1113" s="9"/>
      <c r="T1113" s="9"/>
      <c r="U1113" s="9" t="str">
        <f aca="false">IF(COUNTIF($A$2:$A$5001,A1113)&gt;1,"Duplicate","Unique")</f>
        <v>Unique</v>
      </c>
      <c r="V1113" s="9" t="str">
        <f aca="false">IF(COUNTIFS($B$2:$B$5001,B1113,$H$2:$H$5001,H1113,$J$2:$J$5001,J1113)&gt;1,"Possible Duplicate Booking","Unique")</f>
        <v>Unique</v>
      </c>
      <c r="W1113" s="9" t="str">
        <f aca="false">IF((H1113-G1113)&lt;&gt;K1113,"Mismatch","OK")</f>
        <v>OK</v>
      </c>
      <c r="X1113" s="9" t="str">
        <f aca="false">IF(TEXT(H1113,"dddd")&lt;&gt;I1113,"Mismatch","OK")</f>
        <v>OK</v>
      </c>
      <c r="Y1113" s="9" t="str">
        <f aca="false">IF(AND(N1113="No",O1113&lt;&gt;""),"Unexpected: channel present but no reminder sent",IF(AND(N1113="Yes",O1113=""),"Missing channel for sent reminder","OK"))</f>
        <v>OK</v>
      </c>
    </row>
    <row r="1114" customFormat="false" ht="15" hidden="false" customHeight="false" outlineLevel="0" collapsed="false">
      <c r="A1114" s="7" t="s">
        <v>2018</v>
      </c>
      <c r="B1114" s="7" t="s">
        <v>2019</v>
      </c>
      <c r="C1114" s="7" t="s">
        <v>37</v>
      </c>
      <c r="D1114" s="7" t="n">
        <v>72</v>
      </c>
      <c r="E1114" s="7" t="s">
        <v>70</v>
      </c>
      <c r="F1114" s="7" t="s">
        <v>39</v>
      </c>
      <c r="G1114" s="8" t="n">
        <v>45735</v>
      </c>
      <c r="H1114" s="8" t="n">
        <v>45763</v>
      </c>
      <c r="I1114" s="7" t="s">
        <v>58</v>
      </c>
      <c r="J1114" s="7" t="s">
        <v>41</v>
      </c>
      <c r="K1114" s="7" t="n">
        <v>28</v>
      </c>
      <c r="L1114" s="7" t="n">
        <v>1</v>
      </c>
      <c r="M1114" s="7" t="n">
        <v>0</v>
      </c>
      <c r="N1114" s="7" t="s">
        <v>42</v>
      </c>
      <c r="O1114" s="7" t="s">
        <v>52</v>
      </c>
      <c r="P1114" s="7" t="n">
        <v>21.8</v>
      </c>
      <c r="Q1114" s="7" t="n">
        <v>18</v>
      </c>
      <c r="R1114" s="7" t="s">
        <v>53</v>
      </c>
      <c r="S1114" s="7"/>
      <c r="T1114" s="7"/>
      <c r="U1114" s="7" t="str">
        <f aca="false">IF(COUNTIF($A$2:$A$5001,A1114)&gt;1,"Duplicate","Unique")</f>
        <v>Unique</v>
      </c>
      <c r="V1114" s="7" t="str">
        <f aca="false">IF(COUNTIFS($B$2:$B$5001,B1114,$H$2:$H$5001,H1114,$J$2:$J$5001,J1114)&gt;1,"Possible Duplicate Booking","Unique")</f>
        <v>Unique</v>
      </c>
      <c r="W1114" s="7" t="str">
        <f aca="false">IF((H1114-G1114)&lt;&gt;K1114,"Mismatch","OK")</f>
        <v>OK</v>
      </c>
      <c r="X1114" s="7" t="str">
        <f aca="false">IF(TEXT(H1114,"dddd")&lt;&gt;I1114,"Mismatch","OK")</f>
        <v>OK</v>
      </c>
      <c r="Y1114" s="7" t="str">
        <f aca="false">IF(AND(N1114="No",O1114&lt;&gt;""),"Unexpected: channel present but no reminder sent",IF(AND(N1114="Yes",O1114=""),"Missing channel for sent reminder","OK"))</f>
        <v>OK</v>
      </c>
    </row>
    <row r="1115" customFormat="false" ht="15" hidden="false" customHeight="false" outlineLevel="0" collapsed="false">
      <c r="A1115" s="9" t="s">
        <v>2020</v>
      </c>
      <c r="B1115" s="9" t="s">
        <v>2021</v>
      </c>
      <c r="C1115" s="9" t="s">
        <v>47</v>
      </c>
      <c r="D1115" s="9" t="n">
        <v>37</v>
      </c>
      <c r="E1115" s="9" t="s">
        <v>38</v>
      </c>
      <c r="F1115" s="9" t="s">
        <v>57</v>
      </c>
      <c r="G1115" s="10" t="n">
        <v>45780</v>
      </c>
      <c r="H1115" s="10" t="n">
        <v>45817</v>
      </c>
      <c r="I1115" s="9" t="s">
        <v>66</v>
      </c>
      <c r="J1115" s="9" t="s">
        <v>41</v>
      </c>
      <c r="K1115" s="9" t="n">
        <v>37</v>
      </c>
      <c r="L1115" s="9" t="n">
        <v>4</v>
      </c>
      <c r="M1115" s="9" t="n">
        <v>0</v>
      </c>
      <c r="N1115" s="9" t="s">
        <v>42</v>
      </c>
      <c r="O1115" s="9" t="s">
        <v>67</v>
      </c>
      <c r="P1115" s="9" t="n">
        <v>3.6</v>
      </c>
      <c r="Q1115" s="9" t="n">
        <v>10</v>
      </c>
      <c r="R1115" s="9" t="s">
        <v>53</v>
      </c>
      <c r="S1115" s="9"/>
      <c r="T1115" s="9"/>
      <c r="U1115" s="9" t="str">
        <f aca="false">IF(COUNTIF($A$2:$A$5001,A1115)&gt;1,"Duplicate","Unique")</f>
        <v>Unique</v>
      </c>
      <c r="V1115" s="9" t="str">
        <f aca="false">IF(COUNTIFS($B$2:$B$5001,B1115,$H$2:$H$5001,H1115,$J$2:$J$5001,J1115)&gt;1,"Possible Duplicate Booking","Unique")</f>
        <v>Unique</v>
      </c>
      <c r="W1115" s="9" t="str">
        <f aca="false">IF((H1115-G1115)&lt;&gt;K1115,"Mismatch","OK")</f>
        <v>OK</v>
      </c>
      <c r="X1115" s="9" t="str">
        <f aca="false">IF(TEXT(H1115,"dddd")&lt;&gt;I1115,"Mismatch","OK")</f>
        <v>OK</v>
      </c>
      <c r="Y1115" s="9" t="str">
        <f aca="false">IF(AND(N1115="No",O1115&lt;&gt;""),"Unexpected: channel present but no reminder sent",IF(AND(N1115="Yes",O1115=""),"Missing channel for sent reminder","OK"))</f>
        <v>OK</v>
      </c>
    </row>
    <row r="1116" customFormat="false" ht="15" hidden="false" customHeight="false" outlineLevel="0" collapsed="false">
      <c r="A1116" s="7" t="s">
        <v>2022</v>
      </c>
      <c r="B1116" s="7" t="s">
        <v>593</v>
      </c>
      <c r="C1116" s="7" t="s">
        <v>47</v>
      </c>
      <c r="D1116" s="7" t="n">
        <v>53</v>
      </c>
      <c r="E1116" s="7" t="s">
        <v>56</v>
      </c>
      <c r="F1116" s="7" t="s">
        <v>57</v>
      </c>
      <c r="G1116" s="8" t="n">
        <v>45752</v>
      </c>
      <c r="H1116" s="8" t="n">
        <v>45764</v>
      </c>
      <c r="I1116" s="7" t="s">
        <v>62</v>
      </c>
      <c r="J1116" s="7" t="s">
        <v>63</v>
      </c>
      <c r="K1116" s="7" t="n">
        <v>12</v>
      </c>
      <c r="L1116" s="7" t="n">
        <v>5</v>
      </c>
      <c r="M1116" s="7" t="n">
        <v>2</v>
      </c>
      <c r="N1116" s="7" t="s">
        <v>71</v>
      </c>
      <c r="O1116" s="7"/>
      <c r="P1116" s="7" t="n">
        <v>15.3</v>
      </c>
      <c r="Q1116" s="7" t="n">
        <v>22</v>
      </c>
      <c r="R1116" s="7" t="s">
        <v>87</v>
      </c>
      <c r="S1116" s="7"/>
      <c r="T1116" s="7"/>
      <c r="U1116" s="7" t="str">
        <f aca="false">IF(COUNTIF($A$2:$A$5001,A1116)&gt;1,"Duplicate","Unique")</f>
        <v>Unique</v>
      </c>
      <c r="V1116" s="7" t="str">
        <f aca="false">IF(COUNTIFS($B$2:$B$5001,B1116,$H$2:$H$5001,H1116,$J$2:$J$5001,J1116)&gt;1,"Possible Duplicate Booking","Unique")</f>
        <v>Unique</v>
      </c>
      <c r="W1116" s="7" t="str">
        <f aca="false">IF((H1116-G1116)&lt;&gt;K1116,"Mismatch","OK")</f>
        <v>OK</v>
      </c>
      <c r="X1116" s="7" t="str">
        <f aca="false">IF(TEXT(H1116,"dddd")&lt;&gt;I1116,"Mismatch","OK")</f>
        <v>OK</v>
      </c>
      <c r="Y1116" s="7" t="str">
        <f aca="false">IF(AND(N1116="No",O1116&lt;&gt;""),"Unexpected: channel present but no reminder sent",IF(AND(N1116="Yes",O1116=""),"Missing channel for sent reminder","OK"))</f>
        <v>OK</v>
      </c>
    </row>
    <row r="1117" customFormat="false" ht="15" hidden="false" customHeight="false" outlineLevel="0" collapsed="false">
      <c r="A1117" s="9" t="s">
        <v>2023</v>
      </c>
      <c r="B1117" s="9" t="s">
        <v>958</v>
      </c>
      <c r="C1117" s="9" t="s">
        <v>37</v>
      </c>
      <c r="D1117" s="9" t="n">
        <v>38</v>
      </c>
      <c r="E1117" s="9" t="s">
        <v>38</v>
      </c>
      <c r="F1117" s="9" t="s">
        <v>39</v>
      </c>
      <c r="G1117" s="10" t="n">
        <v>45916</v>
      </c>
      <c r="H1117" s="10" t="n">
        <v>45925</v>
      </c>
      <c r="I1117" s="9" t="s">
        <v>62</v>
      </c>
      <c r="J1117" s="9" t="s">
        <v>51</v>
      </c>
      <c r="K1117" s="9" t="n">
        <v>9</v>
      </c>
      <c r="L1117" s="9" t="n">
        <v>1</v>
      </c>
      <c r="M1117" s="9" t="n">
        <v>0</v>
      </c>
      <c r="N1117" s="9" t="s">
        <v>42</v>
      </c>
      <c r="O1117" s="9" t="s">
        <v>52</v>
      </c>
      <c r="P1117" s="9" t="n">
        <v>19.7</v>
      </c>
      <c r="Q1117" s="9" t="n">
        <v>13</v>
      </c>
      <c r="R1117" s="9" t="s">
        <v>53</v>
      </c>
      <c r="S1117" s="9"/>
      <c r="T1117" s="9"/>
      <c r="U1117" s="9" t="str">
        <f aca="false">IF(COUNTIF($A$2:$A$5001,A1117)&gt;1,"Duplicate","Unique")</f>
        <v>Unique</v>
      </c>
      <c r="V1117" s="9" t="str">
        <f aca="false">IF(COUNTIFS($B$2:$B$5001,B1117,$H$2:$H$5001,H1117,$J$2:$J$5001,J1117)&gt;1,"Possible Duplicate Booking","Unique")</f>
        <v>Unique</v>
      </c>
      <c r="W1117" s="9" t="str">
        <f aca="false">IF((H1117-G1117)&lt;&gt;K1117,"Mismatch","OK")</f>
        <v>OK</v>
      </c>
      <c r="X1117" s="9" t="str">
        <f aca="false">IF(TEXT(H1117,"dddd")&lt;&gt;I1117,"Mismatch","OK")</f>
        <v>OK</v>
      </c>
      <c r="Y1117" s="9" t="str">
        <f aca="false">IF(AND(N1117="No",O1117&lt;&gt;""),"Unexpected: channel present but no reminder sent",IF(AND(N1117="Yes",O1117=""),"Missing channel for sent reminder","OK"))</f>
        <v>OK</v>
      </c>
    </row>
    <row r="1118" customFormat="false" ht="15" hidden="false" customHeight="false" outlineLevel="0" collapsed="false">
      <c r="A1118" s="7" t="s">
        <v>2024</v>
      </c>
      <c r="B1118" s="7" t="s">
        <v>2025</v>
      </c>
      <c r="C1118" s="7" t="s">
        <v>37</v>
      </c>
      <c r="D1118" s="7" t="n">
        <v>39</v>
      </c>
      <c r="E1118" s="7" t="s">
        <v>38</v>
      </c>
      <c r="F1118" s="7" t="s">
        <v>39</v>
      </c>
      <c r="G1118" s="8" t="n">
        <v>46150</v>
      </c>
      <c r="H1118" s="8" t="n">
        <v>46201</v>
      </c>
      <c r="I1118" s="7" t="s">
        <v>75</v>
      </c>
      <c r="J1118" s="7" t="s">
        <v>51</v>
      </c>
      <c r="K1118" s="7" t="n">
        <v>51</v>
      </c>
      <c r="L1118" s="7" t="n">
        <v>5</v>
      </c>
      <c r="M1118" s="7" t="n">
        <v>1</v>
      </c>
      <c r="N1118" s="7" t="s">
        <v>42</v>
      </c>
      <c r="O1118" s="7" t="s">
        <v>52</v>
      </c>
      <c r="P1118" s="7" t="n">
        <v>1.5</v>
      </c>
      <c r="Q1118" s="7" t="n">
        <v>40</v>
      </c>
      <c r="R1118" s="7" t="s">
        <v>44</v>
      </c>
      <c r="S1118" s="7"/>
      <c r="T1118" s="7"/>
      <c r="U1118" s="7" t="str">
        <f aca="false">IF(COUNTIF($A$2:$A$5001,A1118)&gt;1,"Duplicate","Unique")</f>
        <v>Unique</v>
      </c>
      <c r="V1118" s="7" t="str">
        <f aca="false">IF(COUNTIFS($B$2:$B$5001,B1118,$H$2:$H$5001,H1118,$J$2:$J$5001,J1118)&gt;1,"Possible Duplicate Booking","Unique")</f>
        <v>Unique</v>
      </c>
      <c r="W1118" s="7" t="str">
        <f aca="false">IF((H1118-G1118)&lt;&gt;K1118,"Mismatch","OK")</f>
        <v>OK</v>
      </c>
      <c r="X1118" s="7" t="str">
        <f aca="false">IF(TEXT(H1118,"dddd")&lt;&gt;I1118,"Mismatch","OK")</f>
        <v>OK</v>
      </c>
      <c r="Y1118" s="7" t="str">
        <f aca="false">IF(AND(N1118="No",O1118&lt;&gt;""),"Unexpected: channel present but no reminder sent",IF(AND(N1118="Yes",O1118=""),"Missing channel for sent reminder","OK"))</f>
        <v>OK</v>
      </c>
    </row>
    <row r="1119" customFormat="false" ht="15" hidden="false" customHeight="false" outlineLevel="0" collapsed="false">
      <c r="A1119" s="9" t="s">
        <v>2026</v>
      </c>
      <c r="B1119" s="9" t="s">
        <v>1242</v>
      </c>
      <c r="C1119" s="9" t="s">
        <v>47</v>
      </c>
      <c r="D1119" s="9" t="n">
        <v>60</v>
      </c>
      <c r="E1119" s="9" t="s">
        <v>61</v>
      </c>
      <c r="F1119" s="9" t="s">
        <v>39</v>
      </c>
      <c r="G1119" s="10" t="n">
        <v>45965</v>
      </c>
      <c r="H1119" s="10" t="n">
        <v>45978</v>
      </c>
      <c r="I1119" s="9" t="s">
        <v>66</v>
      </c>
      <c r="J1119" s="9" t="s">
        <v>63</v>
      </c>
      <c r="K1119" s="9" t="n">
        <v>13</v>
      </c>
      <c r="L1119" s="9" t="n">
        <v>2</v>
      </c>
      <c r="M1119" s="9" t="n">
        <v>2</v>
      </c>
      <c r="N1119" s="9" t="s">
        <v>71</v>
      </c>
      <c r="O1119" s="9"/>
      <c r="P1119" s="9" t="n">
        <v>4.7</v>
      </c>
      <c r="Q1119" s="9" t="n">
        <v>16</v>
      </c>
      <c r="R1119" s="9" t="s">
        <v>44</v>
      </c>
      <c r="S1119" s="9"/>
      <c r="T1119" s="9"/>
      <c r="U1119" s="9" t="str">
        <f aca="false">IF(COUNTIF($A$2:$A$5001,A1119)&gt;1,"Duplicate","Unique")</f>
        <v>Unique</v>
      </c>
      <c r="V1119" s="9" t="str">
        <f aca="false">IF(COUNTIFS($B$2:$B$5001,B1119,$H$2:$H$5001,H1119,$J$2:$J$5001,J1119)&gt;1,"Possible Duplicate Booking","Unique")</f>
        <v>Unique</v>
      </c>
      <c r="W1119" s="9" t="str">
        <f aca="false">IF((H1119-G1119)&lt;&gt;K1119,"Mismatch","OK")</f>
        <v>OK</v>
      </c>
      <c r="X1119" s="9" t="str">
        <f aca="false">IF(TEXT(H1119,"dddd")&lt;&gt;I1119,"Mismatch","OK")</f>
        <v>OK</v>
      </c>
      <c r="Y1119" s="9" t="str">
        <f aca="false">IF(AND(N1119="No",O1119&lt;&gt;""),"Unexpected: channel present but no reminder sent",IF(AND(N1119="Yes",O1119=""),"Missing channel for sent reminder","OK"))</f>
        <v>OK</v>
      </c>
    </row>
    <row r="1120" customFormat="false" ht="15" hidden="false" customHeight="false" outlineLevel="0" collapsed="false">
      <c r="A1120" s="7" t="s">
        <v>2027</v>
      </c>
      <c r="B1120" s="7" t="s">
        <v>2028</v>
      </c>
      <c r="C1120" s="7" t="s">
        <v>47</v>
      </c>
      <c r="D1120" s="7" t="n">
        <v>36</v>
      </c>
      <c r="E1120" s="7" t="s">
        <v>38</v>
      </c>
      <c r="F1120" s="7" t="s">
        <v>57</v>
      </c>
      <c r="G1120" s="8" t="n">
        <v>46022</v>
      </c>
      <c r="H1120" s="8" t="n">
        <v>46052</v>
      </c>
      <c r="I1120" s="7" t="s">
        <v>50</v>
      </c>
      <c r="J1120" s="7" t="s">
        <v>51</v>
      </c>
      <c r="K1120" s="7" t="n">
        <v>30</v>
      </c>
      <c r="L1120" s="7" t="n">
        <v>0</v>
      </c>
      <c r="M1120" s="7" t="n">
        <v>0</v>
      </c>
      <c r="N1120" s="7" t="s">
        <v>71</v>
      </c>
      <c r="O1120" s="7"/>
      <c r="P1120" s="7" t="n">
        <v>2.8</v>
      </c>
      <c r="Q1120" s="7" t="n">
        <v>23</v>
      </c>
      <c r="R1120" s="7" t="s">
        <v>53</v>
      </c>
      <c r="S1120" s="7"/>
      <c r="T1120" s="7"/>
      <c r="U1120" s="7" t="str">
        <f aca="false">IF(COUNTIF($A$2:$A$5001,A1120)&gt;1,"Duplicate","Unique")</f>
        <v>Unique</v>
      </c>
      <c r="V1120" s="7" t="str">
        <f aca="false">IF(COUNTIFS($B$2:$B$5001,B1120,$H$2:$H$5001,H1120,$J$2:$J$5001,J1120)&gt;1,"Possible Duplicate Booking","Unique")</f>
        <v>Unique</v>
      </c>
      <c r="W1120" s="7" t="str">
        <f aca="false">IF((H1120-G1120)&lt;&gt;K1120,"Mismatch","OK")</f>
        <v>OK</v>
      </c>
      <c r="X1120" s="7" t="str">
        <f aca="false">IF(TEXT(H1120,"dddd")&lt;&gt;I1120,"Mismatch","OK")</f>
        <v>OK</v>
      </c>
      <c r="Y1120" s="7" t="str">
        <f aca="false">IF(AND(N1120="No",O1120&lt;&gt;""),"Unexpected: channel present but no reminder sent",IF(AND(N1120="Yes",O1120=""),"Missing channel for sent reminder","OK"))</f>
        <v>OK</v>
      </c>
    </row>
    <row r="1121" customFormat="false" ht="15" hidden="false" customHeight="false" outlineLevel="0" collapsed="false">
      <c r="A1121" s="9" t="s">
        <v>2029</v>
      </c>
      <c r="B1121" s="9" t="s">
        <v>211</v>
      </c>
      <c r="C1121" s="9" t="s">
        <v>47</v>
      </c>
      <c r="D1121" s="9" t="n">
        <v>27</v>
      </c>
      <c r="E1121" s="9" t="s">
        <v>48</v>
      </c>
      <c r="F1121" s="9" t="s">
        <v>49</v>
      </c>
      <c r="G1121" s="10" t="n">
        <v>45911</v>
      </c>
      <c r="H1121" s="10" t="n">
        <v>45927</v>
      </c>
      <c r="I1121" s="9" t="s">
        <v>102</v>
      </c>
      <c r="J1121" s="9" t="s">
        <v>41</v>
      </c>
      <c r="K1121" s="9" t="n">
        <v>16</v>
      </c>
      <c r="L1121" s="9" t="n">
        <v>5</v>
      </c>
      <c r="M1121" s="9" t="n">
        <v>0</v>
      </c>
      <c r="N1121" s="9" t="s">
        <v>42</v>
      </c>
      <c r="O1121" s="9" t="s">
        <v>43</v>
      </c>
      <c r="P1121" s="9" t="n">
        <v>11.9</v>
      </c>
      <c r="Q1121" s="9" t="n">
        <v>17</v>
      </c>
      <c r="R1121" s="9" t="s">
        <v>44</v>
      </c>
      <c r="S1121" s="9"/>
      <c r="T1121" s="9"/>
      <c r="U1121" s="9" t="str">
        <f aca="false">IF(COUNTIF($A$2:$A$5001,A1121)&gt;1,"Duplicate","Unique")</f>
        <v>Unique</v>
      </c>
      <c r="V1121" s="9" t="str">
        <f aca="false">IF(COUNTIFS($B$2:$B$5001,B1121,$H$2:$H$5001,H1121,$J$2:$J$5001,J1121)&gt;1,"Possible Duplicate Booking","Unique")</f>
        <v>Unique</v>
      </c>
      <c r="W1121" s="9" t="str">
        <f aca="false">IF((H1121-G1121)&lt;&gt;K1121,"Mismatch","OK")</f>
        <v>OK</v>
      </c>
      <c r="X1121" s="9" t="str">
        <f aca="false">IF(TEXT(H1121,"dddd")&lt;&gt;I1121,"Mismatch","OK")</f>
        <v>OK</v>
      </c>
      <c r="Y1121" s="9" t="str">
        <f aca="false">IF(AND(N1121="No",O1121&lt;&gt;""),"Unexpected: channel present but no reminder sent",IF(AND(N1121="Yes",O1121=""),"Missing channel for sent reminder","OK"))</f>
        <v>OK</v>
      </c>
    </row>
    <row r="1122" customFormat="false" ht="15" hidden="false" customHeight="false" outlineLevel="0" collapsed="false">
      <c r="A1122" s="7" t="s">
        <v>2030</v>
      </c>
      <c r="B1122" s="7" t="s">
        <v>486</v>
      </c>
      <c r="C1122" s="7" t="s">
        <v>37</v>
      </c>
      <c r="D1122" s="7" t="n">
        <v>34</v>
      </c>
      <c r="E1122" s="7" t="s">
        <v>48</v>
      </c>
      <c r="F1122" s="7" t="s">
        <v>74</v>
      </c>
      <c r="G1122" s="8" t="n">
        <v>45651</v>
      </c>
      <c r="H1122" s="8" t="n">
        <v>45665</v>
      </c>
      <c r="I1122" s="7" t="s">
        <v>58</v>
      </c>
      <c r="J1122" s="7" t="s">
        <v>41</v>
      </c>
      <c r="K1122" s="7" t="n">
        <v>14</v>
      </c>
      <c r="L1122" s="7" t="n">
        <v>2</v>
      </c>
      <c r="M1122" s="7" t="n">
        <v>0</v>
      </c>
      <c r="N1122" s="7" t="s">
        <v>42</v>
      </c>
      <c r="O1122" s="7" t="s">
        <v>43</v>
      </c>
      <c r="P1122" s="7"/>
      <c r="Q1122" s="7" t="n">
        <v>10</v>
      </c>
      <c r="R1122" s="7" t="s">
        <v>44</v>
      </c>
      <c r="S1122" s="7"/>
      <c r="T1122" s="7"/>
      <c r="U1122" s="7" t="str">
        <f aca="false">IF(COUNTIF($A$2:$A$5001,A1122)&gt;1,"Duplicate","Unique")</f>
        <v>Unique</v>
      </c>
      <c r="V1122" s="7" t="str">
        <f aca="false">IF(COUNTIFS($B$2:$B$5001,B1122,$H$2:$H$5001,H1122,$J$2:$J$5001,J1122)&gt;1,"Possible Duplicate Booking","Unique")</f>
        <v>Unique</v>
      </c>
      <c r="W1122" s="7" t="str">
        <f aca="false">IF((H1122-G1122)&lt;&gt;K1122,"Mismatch","OK")</f>
        <v>OK</v>
      </c>
      <c r="X1122" s="7" t="str">
        <f aca="false">IF(TEXT(H1122,"dddd")&lt;&gt;I1122,"Mismatch","OK")</f>
        <v>OK</v>
      </c>
      <c r="Y1122" s="7" t="str">
        <f aca="false">IF(AND(N1122="No",O1122&lt;&gt;""),"Unexpected: channel present but no reminder sent",IF(AND(N1122="Yes",O1122=""),"Missing channel for sent reminder","OK"))</f>
        <v>OK</v>
      </c>
    </row>
    <row r="1123" customFormat="false" ht="15" hidden="false" customHeight="false" outlineLevel="0" collapsed="false">
      <c r="A1123" s="9" t="s">
        <v>2031</v>
      </c>
      <c r="B1123" s="9" t="s">
        <v>954</v>
      </c>
      <c r="C1123" s="9" t="s">
        <v>47</v>
      </c>
      <c r="D1123" s="9" t="n">
        <v>76</v>
      </c>
      <c r="E1123" s="9" t="s">
        <v>70</v>
      </c>
      <c r="F1123" s="9" t="s">
        <v>39</v>
      </c>
      <c r="G1123" s="10" t="n">
        <v>45667</v>
      </c>
      <c r="H1123" s="10" t="n">
        <v>45703</v>
      </c>
      <c r="I1123" s="9" t="s">
        <v>102</v>
      </c>
      <c r="J1123" s="9" t="s">
        <v>41</v>
      </c>
      <c r="K1123" s="9" t="n">
        <v>36</v>
      </c>
      <c r="L1123" s="9" t="n">
        <v>3</v>
      </c>
      <c r="M1123" s="9" t="n">
        <v>2</v>
      </c>
      <c r="N1123" s="9" t="s">
        <v>71</v>
      </c>
      <c r="O1123" s="9"/>
      <c r="P1123" s="9" t="n">
        <v>3.8</v>
      </c>
      <c r="Q1123" s="9" t="n">
        <v>32</v>
      </c>
      <c r="R1123" s="9" t="s">
        <v>53</v>
      </c>
      <c r="S1123" s="9"/>
      <c r="T1123" s="9"/>
      <c r="U1123" s="9" t="str">
        <f aca="false">IF(COUNTIF($A$2:$A$5001,A1123)&gt;1,"Duplicate","Unique")</f>
        <v>Unique</v>
      </c>
      <c r="V1123" s="9" t="str">
        <f aca="false">IF(COUNTIFS($B$2:$B$5001,B1123,$H$2:$H$5001,H1123,$J$2:$J$5001,J1123)&gt;1,"Possible Duplicate Booking","Unique")</f>
        <v>Unique</v>
      </c>
      <c r="W1123" s="9" t="str">
        <f aca="false">IF((H1123-G1123)&lt;&gt;K1123,"Mismatch","OK")</f>
        <v>OK</v>
      </c>
      <c r="X1123" s="9" t="str">
        <f aca="false">IF(TEXT(H1123,"dddd")&lt;&gt;I1123,"Mismatch","OK")</f>
        <v>OK</v>
      </c>
      <c r="Y1123" s="9" t="str">
        <f aca="false">IF(AND(N1123="No",O1123&lt;&gt;""),"Unexpected: channel present but no reminder sent",IF(AND(N1123="Yes",O1123=""),"Missing channel for sent reminder","OK"))</f>
        <v>OK</v>
      </c>
    </row>
    <row r="1124" customFormat="false" ht="15" hidden="false" customHeight="false" outlineLevel="0" collapsed="false">
      <c r="A1124" s="7" t="s">
        <v>2032</v>
      </c>
      <c r="B1124" s="7" t="s">
        <v>2033</v>
      </c>
      <c r="C1124" s="7" t="s">
        <v>37</v>
      </c>
      <c r="D1124" s="7" t="n">
        <v>34</v>
      </c>
      <c r="E1124" s="7" t="s">
        <v>48</v>
      </c>
      <c r="F1124" s="7" t="s">
        <v>57</v>
      </c>
      <c r="G1124" s="8" t="n">
        <v>45756</v>
      </c>
      <c r="H1124" s="8" t="n">
        <v>45804</v>
      </c>
      <c r="I1124" s="7" t="s">
        <v>40</v>
      </c>
      <c r="J1124" s="7" t="s">
        <v>41</v>
      </c>
      <c r="K1124" s="7" t="n">
        <v>48</v>
      </c>
      <c r="L1124" s="7" t="n">
        <v>2</v>
      </c>
      <c r="M1124" s="7" t="n">
        <v>0</v>
      </c>
      <c r="N1124" s="7" t="s">
        <v>42</v>
      </c>
      <c r="O1124" s="7" t="s">
        <v>52</v>
      </c>
      <c r="P1124" s="7" t="n">
        <v>7.3</v>
      </c>
      <c r="Q1124" s="7" t="n">
        <v>23</v>
      </c>
      <c r="R1124" s="7" t="s">
        <v>44</v>
      </c>
      <c r="S1124" s="7"/>
      <c r="T1124" s="7"/>
      <c r="U1124" s="7" t="str">
        <f aca="false">IF(COUNTIF($A$2:$A$5001,A1124)&gt;1,"Duplicate","Unique")</f>
        <v>Unique</v>
      </c>
      <c r="V1124" s="7" t="str">
        <f aca="false">IF(COUNTIFS($B$2:$B$5001,B1124,$H$2:$H$5001,H1124,$J$2:$J$5001,J1124)&gt;1,"Possible Duplicate Booking","Unique")</f>
        <v>Unique</v>
      </c>
      <c r="W1124" s="7" t="str">
        <f aca="false">IF((H1124-G1124)&lt;&gt;K1124,"Mismatch","OK")</f>
        <v>OK</v>
      </c>
      <c r="X1124" s="7" t="str">
        <f aca="false">IF(TEXT(H1124,"dddd")&lt;&gt;I1124,"Mismatch","OK")</f>
        <v>OK</v>
      </c>
      <c r="Y1124" s="7" t="str">
        <f aca="false">IF(AND(N1124="No",O1124&lt;&gt;""),"Unexpected: channel present but no reminder sent",IF(AND(N1124="Yes",O1124=""),"Missing channel for sent reminder","OK"))</f>
        <v>OK</v>
      </c>
    </row>
    <row r="1125" customFormat="false" ht="15" hidden="false" customHeight="false" outlineLevel="0" collapsed="false">
      <c r="A1125" s="9" t="s">
        <v>2034</v>
      </c>
      <c r="B1125" s="9" t="s">
        <v>405</v>
      </c>
      <c r="C1125" s="9" t="s">
        <v>47</v>
      </c>
      <c r="D1125" s="9" t="n">
        <v>40</v>
      </c>
      <c r="E1125" s="9" t="s">
        <v>38</v>
      </c>
      <c r="F1125" s="9" t="s">
        <v>39</v>
      </c>
      <c r="G1125" s="10" t="n">
        <v>45765</v>
      </c>
      <c r="H1125" s="10" t="n">
        <v>45791</v>
      </c>
      <c r="I1125" s="9" t="s">
        <v>58</v>
      </c>
      <c r="J1125" s="9" t="s">
        <v>63</v>
      </c>
      <c r="K1125" s="9" t="n">
        <v>26</v>
      </c>
      <c r="L1125" s="9" t="n">
        <v>4</v>
      </c>
      <c r="M1125" s="9" t="n">
        <v>0</v>
      </c>
      <c r="N1125" s="9" t="s">
        <v>71</v>
      </c>
      <c r="O1125" s="9"/>
      <c r="P1125" s="9" t="n">
        <v>8.5</v>
      </c>
      <c r="Q1125" s="9" t="n">
        <v>50</v>
      </c>
      <c r="R1125" s="9" t="s">
        <v>87</v>
      </c>
      <c r="S1125" s="9"/>
      <c r="T1125" s="9"/>
      <c r="U1125" s="9" t="str">
        <f aca="false">IF(COUNTIF($A$2:$A$5001,A1125)&gt;1,"Duplicate","Unique")</f>
        <v>Unique</v>
      </c>
      <c r="V1125" s="9" t="str">
        <f aca="false">IF(COUNTIFS($B$2:$B$5001,B1125,$H$2:$H$5001,H1125,$J$2:$J$5001,J1125)&gt;1,"Possible Duplicate Booking","Unique")</f>
        <v>Unique</v>
      </c>
      <c r="W1125" s="9" t="str">
        <f aca="false">IF((H1125-G1125)&lt;&gt;K1125,"Mismatch","OK")</f>
        <v>OK</v>
      </c>
      <c r="X1125" s="9" t="str">
        <f aca="false">IF(TEXT(H1125,"dddd")&lt;&gt;I1125,"Mismatch","OK")</f>
        <v>OK</v>
      </c>
      <c r="Y1125" s="9" t="str">
        <f aca="false">IF(AND(N1125="No",O1125&lt;&gt;""),"Unexpected: channel present but no reminder sent",IF(AND(N1125="Yes",O1125=""),"Missing channel for sent reminder","OK"))</f>
        <v>OK</v>
      </c>
    </row>
    <row r="1126" customFormat="false" ht="15" hidden="false" customHeight="false" outlineLevel="0" collapsed="false">
      <c r="A1126" s="7" t="s">
        <v>2035</v>
      </c>
      <c r="B1126" s="7" t="s">
        <v>2036</v>
      </c>
      <c r="C1126" s="7" t="s">
        <v>37</v>
      </c>
      <c r="D1126" s="7" t="n">
        <v>57</v>
      </c>
      <c r="E1126" s="7" t="s">
        <v>61</v>
      </c>
      <c r="F1126" s="7" t="s">
        <v>57</v>
      </c>
      <c r="G1126" s="8" t="n">
        <v>46108</v>
      </c>
      <c r="H1126" s="8" t="n">
        <v>46116</v>
      </c>
      <c r="I1126" s="7" t="s">
        <v>102</v>
      </c>
      <c r="J1126" s="7" t="s">
        <v>51</v>
      </c>
      <c r="K1126" s="7" t="n">
        <v>8</v>
      </c>
      <c r="L1126" s="7" t="n">
        <v>4</v>
      </c>
      <c r="M1126" s="7" t="n">
        <v>0</v>
      </c>
      <c r="N1126" s="7" t="s">
        <v>42</v>
      </c>
      <c r="O1126" s="7" t="s">
        <v>52</v>
      </c>
      <c r="P1126" s="7" t="n">
        <v>18</v>
      </c>
      <c r="Q1126" s="7" t="n">
        <v>36</v>
      </c>
      <c r="R1126" s="7" t="s">
        <v>53</v>
      </c>
      <c r="S1126" s="7"/>
      <c r="T1126" s="7"/>
      <c r="U1126" s="7" t="str">
        <f aca="false">IF(COUNTIF($A$2:$A$5001,A1126)&gt;1,"Duplicate","Unique")</f>
        <v>Unique</v>
      </c>
      <c r="V1126" s="7" t="str">
        <f aca="false">IF(COUNTIFS($B$2:$B$5001,B1126,$H$2:$H$5001,H1126,$J$2:$J$5001,J1126)&gt;1,"Possible Duplicate Booking","Unique")</f>
        <v>Unique</v>
      </c>
      <c r="W1126" s="7" t="str">
        <f aca="false">IF((H1126-G1126)&lt;&gt;K1126,"Mismatch","OK")</f>
        <v>OK</v>
      </c>
      <c r="X1126" s="7" t="str">
        <f aca="false">IF(TEXT(H1126,"dddd")&lt;&gt;I1126,"Mismatch","OK")</f>
        <v>OK</v>
      </c>
      <c r="Y1126" s="7" t="str">
        <f aca="false">IF(AND(N1126="No",O1126&lt;&gt;""),"Unexpected: channel present but no reminder sent",IF(AND(N1126="Yes",O1126=""),"Missing channel for sent reminder","OK"))</f>
        <v>OK</v>
      </c>
    </row>
    <row r="1127" customFormat="false" ht="15" hidden="false" customHeight="false" outlineLevel="0" collapsed="false">
      <c r="A1127" s="9" t="s">
        <v>2037</v>
      </c>
      <c r="B1127" s="9" t="s">
        <v>2038</v>
      </c>
      <c r="C1127" s="9" t="s">
        <v>37</v>
      </c>
      <c r="D1127" s="9" t="n">
        <v>24</v>
      </c>
      <c r="E1127" s="9" t="s">
        <v>82</v>
      </c>
      <c r="F1127" s="9" t="s">
        <v>57</v>
      </c>
      <c r="G1127" s="10" t="n">
        <v>46104</v>
      </c>
      <c r="H1127" s="10" t="n">
        <v>46118</v>
      </c>
      <c r="I1127" s="9" t="s">
        <v>66</v>
      </c>
      <c r="J1127" s="9" t="s">
        <v>41</v>
      </c>
      <c r="K1127" s="9" t="n">
        <v>14</v>
      </c>
      <c r="L1127" s="9" t="n">
        <v>6</v>
      </c>
      <c r="M1127" s="9" t="n">
        <v>3</v>
      </c>
      <c r="N1127" s="9" t="s">
        <v>71</v>
      </c>
      <c r="O1127" s="9"/>
      <c r="P1127" s="9" t="n">
        <v>18.1</v>
      </c>
      <c r="Q1127" s="9" t="n">
        <v>25</v>
      </c>
      <c r="R1127" s="9" t="s">
        <v>44</v>
      </c>
      <c r="S1127" s="9"/>
      <c r="T1127" s="9"/>
      <c r="U1127" s="9" t="str">
        <f aca="false">IF(COUNTIF($A$2:$A$5001,A1127)&gt;1,"Duplicate","Unique")</f>
        <v>Unique</v>
      </c>
      <c r="V1127" s="9" t="str">
        <f aca="false">IF(COUNTIFS($B$2:$B$5001,B1127,$H$2:$H$5001,H1127,$J$2:$J$5001,J1127)&gt;1,"Possible Duplicate Booking","Unique")</f>
        <v>Unique</v>
      </c>
      <c r="W1127" s="9" t="str">
        <f aca="false">IF((H1127-G1127)&lt;&gt;K1127,"Mismatch","OK")</f>
        <v>OK</v>
      </c>
      <c r="X1127" s="9" t="str">
        <f aca="false">IF(TEXT(H1127,"dddd")&lt;&gt;I1127,"Mismatch","OK")</f>
        <v>OK</v>
      </c>
      <c r="Y1127" s="9" t="str">
        <f aca="false">IF(AND(N1127="No",O1127&lt;&gt;""),"Unexpected: channel present but no reminder sent",IF(AND(N1127="Yes",O1127=""),"Missing channel for sent reminder","OK"))</f>
        <v>OK</v>
      </c>
    </row>
    <row r="1128" customFormat="false" ht="15" hidden="false" customHeight="false" outlineLevel="0" collapsed="false">
      <c r="A1128" s="7" t="s">
        <v>2039</v>
      </c>
      <c r="B1128" s="7" t="s">
        <v>2040</v>
      </c>
      <c r="C1128" s="7" t="s">
        <v>37</v>
      </c>
      <c r="D1128" s="7" t="n">
        <v>34</v>
      </c>
      <c r="E1128" s="7" t="s">
        <v>48</v>
      </c>
      <c r="F1128" s="7" t="s">
        <v>57</v>
      </c>
      <c r="G1128" s="8" t="n">
        <v>46114</v>
      </c>
      <c r="H1128" s="8" t="n">
        <v>46124</v>
      </c>
      <c r="I1128" s="7" t="s">
        <v>75</v>
      </c>
      <c r="J1128" s="7" t="s">
        <v>41</v>
      </c>
      <c r="K1128" s="7" t="n">
        <v>10</v>
      </c>
      <c r="L1128" s="7" t="n">
        <v>4</v>
      </c>
      <c r="M1128" s="7" t="n">
        <v>0</v>
      </c>
      <c r="N1128" s="7" t="s">
        <v>71</v>
      </c>
      <c r="O1128" s="7"/>
      <c r="P1128" s="7" t="n">
        <v>4.6</v>
      </c>
      <c r="Q1128" s="7" t="n">
        <v>28</v>
      </c>
      <c r="R1128" s="7" t="s">
        <v>87</v>
      </c>
      <c r="S1128" s="7"/>
      <c r="T1128" s="7"/>
      <c r="U1128" s="7" t="str">
        <f aca="false">IF(COUNTIF($A$2:$A$5001,A1128)&gt;1,"Duplicate","Unique")</f>
        <v>Unique</v>
      </c>
      <c r="V1128" s="7" t="str">
        <f aca="false">IF(COUNTIFS($B$2:$B$5001,B1128,$H$2:$H$5001,H1128,$J$2:$J$5001,J1128)&gt;1,"Possible Duplicate Booking","Unique")</f>
        <v>Unique</v>
      </c>
      <c r="W1128" s="7" t="str">
        <f aca="false">IF((H1128-G1128)&lt;&gt;K1128,"Mismatch","OK")</f>
        <v>OK</v>
      </c>
      <c r="X1128" s="7" t="str">
        <f aca="false">IF(TEXT(H1128,"dddd")&lt;&gt;I1128,"Mismatch","OK")</f>
        <v>OK</v>
      </c>
      <c r="Y1128" s="7" t="str">
        <f aca="false">IF(AND(N1128="No",O1128&lt;&gt;""),"Unexpected: channel present but no reminder sent",IF(AND(N1128="Yes",O1128=""),"Missing channel for sent reminder","OK"))</f>
        <v>OK</v>
      </c>
    </row>
    <row r="1129" customFormat="false" ht="15" hidden="false" customHeight="false" outlineLevel="0" collapsed="false">
      <c r="A1129" s="9" t="s">
        <v>2041</v>
      </c>
      <c r="B1129" s="9" t="s">
        <v>2042</v>
      </c>
      <c r="C1129" s="9" t="s">
        <v>37</v>
      </c>
      <c r="D1129" s="9" t="n">
        <v>29</v>
      </c>
      <c r="E1129" s="9" t="s">
        <v>48</v>
      </c>
      <c r="F1129" s="9" t="s">
        <v>74</v>
      </c>
      <c r="G1129" s="10" t="n">
        <v>45953</v>
      </c>
      <c r="H1129" s="10" t="n">
        <v>46006</v>
      </c>
      <c r="I1129" s="9" t="s">
        <v>66</v>
      </c>
      <c r="J1129" s="9" t="s">
        <v>51</v>
      </c>
      <c r="K1129" s="9" t="n">
        <v>53</v>
      </c>
      <c r="L1129" s="9" t="n">
        <v>2</v>
      </c>
      <c r="M1129" s="9" t="n">
        <v>1</v>
      </c>
      <c r="N1129" s="9" t="s">
        <v>42</v>
      </c>
      <c r="O1129" s="9" t="s">
        <v>43</v>
      </c>
      <c r="P1129" s="9" t="n">
        <v>2.3</v>
      </c>
      <c r="Q1129" s="9" t="n">
        <v>23</v>
      </c>
      <c r="R1129" s="9" t="s">
        <v>44</v>
      </c>
      <c r="S1129" s="9"/>
      <c r="T1129" s="9"/>
      <c r="U1129" s="9" t="str">
        <f aca="false">IF(COUNTIF($A$2:$A$5001,A1129)&gt;1,"Duplicate","Unique")</f>
        <v>Unique</v>
      </c>
      <c r="V1129" s="9" t="str">
        <f aca="false">IF(COUNTIFS($B$2:$B$5001,B1129,$H$2:$H$5001,H1129,$J$2:$J$5001,J1129)&gt;1,"Possible Duplicate Booking","Unique")</f>
        <v>Unique</v>
      </c>
      <c r="W1129" s="9" t="str">
        <f aca="false">IF((H1129-G1129)&lt;&gt;K1129,"Mismatch","OK")</f>
        <v>OK</v>
      </c>
      <c r="X1129" s="9" t="str">
        <f aca="false">IF(TEXT(H1129,"dddd")&lt;&gt;I1129,"Mismatch","OK")</f>
        <v>OK</v>
      </c>
      <c r="Y1129" s="9" t="str">
        <f aca="false">IF(AND(N1129="No",O1129&lt;&gt;""),"Unexpected: channel present but no reminder sent",IF(AND(N1129="Yes",O1129=""),"Missing channel for sent reminder","OK"))</f>
        <v>OK</v>
      </c>
    </row>
    <row r="1130" customFormat="false" ht="15" hidden="false" customHeight="false" outlineLevel="0" collapsed="false">
      <c r="A1130" s="7" t="s">
        <v>2043</v>
      </c>
      <c r="B1130" s="7" t="s">
        <v>918</v>
      </c>
      <c r="C1130" s="7" t="s">
        <v>37</v>
      </c>
      <c r="D1130" s="7" t="n">
        <v>76</v>
      </c>
      <c r="E1130" s="7" t="s">
        <v>70</v>
      </c>
      <c r="F1130" s="7" t="s">
        <v>57</v>
      </c>
      <c r="G1130" s="8" t="n">
        <v>45942</v>
      </c>
      <c r="H1130" s="8" t="n">
        <v>45961</v>
      </c>
      <c r="I1130" s="7" t="s">
        <v>50</v>
      </c>
      <c r="J1130" s="7" t="s">
        <v>63</v>
      </c>
      <c r="K1130" s="7" t="n">
        <v>19</v>
      </c>
      <c r="L1130" s="7" t="n">
        <v>5</v>
      </c>
      <c r="M1130" s="7" t="n">
        <v>2</v>
      </c>
      <c r="N1130" s="7" t="s">
        <v>42</v>
      </c>
      <c r="O1130" s="7" t="s">
        <v>52</v>
      </c>
      <c r="P1130" s="7" t="n">
        <v>10.8</v>
      </c>
      <c r="Q1130" s="7" t="n">
        <v>13</v>
      </c>
      <c r="R1130" s="7" t="s">
        <v>44</v>
      </c>
      <c r="S1130" s="7"/>
      <c r="T1130" s="7"/>
      <c r="U1130" s="7" t="str">
        <f aca="false">IF(COUNTIF($A$2:$A$5001,A1130)&gt;1,"Duplicate","Unique")</f>
        <v>Unique</v>
      </c>
      <c r="V1130" s="7" t="str">
        <f aca="false">IF(COUNTIFS($B$2:$B$5001,B1130,$H$2:$H$5001,H1130,$J$2:$J$5001,J1130)&gt;1,"Possible Duplicate Booking","Unique")</f>
        <v>Unique</v>
      </c>
      <c r="W1130" s="7" t="str">
        <f aca="false">IF((H1130-G1130)&lt;&gt;K1130,"Mismatch","OK")</f>
        <v>OK</v>
      </c>
      <c r="X1130" s="7" t="str">
        <f aca="false">IF(TEXT(H1130,"dddd")&lt;&gt;I1130,"Mismatch","OK")</f>
        <v>OK</v>
      </c>
      <c r="Y1130" s="7" t="str">
        <f aca="false">IF(AND(N1130="No",O1130&lt;&gt;""),"Unexpected: channel present but no reminder sent",IF(AND(N1130="Yes",O1130=""),"Missing channel for sent reminder","OK"))</f>
        <v>OK</v>
      </c>
    </row>
    <row r="1131" customFormat="false" ht="15" hidden="false" customHeight="false" outlineLevel="0" collapsed="false">
      <c r="A1131" s="9" t="s">
        <v>2044</v>
      </c>
      <c r="B1131" s="9" t="s">
        <v>2045</v>
      </c>
      <c r="C1131" s="9" t="s">
        <v>47</v>
      </c>
      <c r="D1131" s="9" t="n">
        <v>76</v>
      </c>
      <c r="E1131" s="9" t="s">
        <v>70</v>
      </c>
      <c r="F1131" s="9" t="s">
        <v>49</v>
      </c>
      <c r="G1131" s="10" t="n">
        <v>45990</v>
      </c>
      <c r="H1131" s="10" t="n">
        <v>46012</v>
      </c>
      <c r="I1131" s="9" t="s">
        <v>75</v>
      </c>
      <c r="J1131" s="9" t="s">
        <v>41</v>
      </c>
      <c r="K1131" s="9" t="n">
        <v>22</v>
      </c>
      <c r="L1131" s="9" t="n">
        <v>5</v>
      </c>
      <c r="M1131" s="9" t="n">
        <v>1</v>
      </c>
      <c r="N1131" s="9" t="s">
        <v>42</v>
      </c>
      <c r="O1131" s="9" t="s">
        <v>52</v>
      </c>
      <c r="P1131" s="9" t="n">
        <v>7.1</v>
      </c>
      <c r="Q1131" s="9" t="n">
        <v>8</v>
      </c>
      <c r="R1131" s="9" t="s">
        <v>53</v>
      </c>
      <c r="S1131" s="9"/>
      <c r="T1131" s="9"/>
      <c r="U1131" s="9" t="str">
        <f aca="false">IF(COUNTIF($A$2:$A$5001,A1131)&gt;1,"Duplicate","Unique")</f>
        <v>Unique</v>
      </c>
      <c r="V1131" s="9" t="str">
        <f aca="false">IF(COUNTIFS($B$2:$B$5001,B1131,$H$2:$H$5001,H1131,$J$2:$J$5001,J1131)&gt;1,"Possible Duplicate Booking","Unique")</f>
        <v>Unique</v>
      </c>
      <c r="W1131" s="9" t="str">
        <f aca="false">IF((H1131-G1131)&lt;&gt;K1131,"Mismatch","OK")</f>
        <v>OK</v>
      </c>
      <c r="X1131" s="9" t="str">
        <f aca="false">IF(TEXT(H1131,"dddd")&lt;&gt;I1131,"Mismatch","OK")</f>
        <v>OK</v>
      </c>
      <c r="Y1131" s="9" t="str">
        <f aca="false">IF(AND(N1131="No",O1131&lt;&gt;""),"Unexpected: channel present but no reminder sent",IF(AND(N1131="Yes",O1131=""),"Missing channel for sent reminder","OK"))</f>
        <v>OK</v>
      </c>
    </row>
    <row r="1132" customFormat="false" ht="15" hidden="false" customHeight="false" outlineLevel="0" collapsed="false">
      <c r="A1132" s="7" t="s">
        <v>2046</v>
      </c>
      <c r="B1132" s="7" t="s">
        <v>266</v>
      </c>
      <c r="C1132" s="7" t="s">
        <v>37</v>
      </c>
      <c r="D1132" s="7" t="n">
        <v>65</v>
      </c>
      <c r="E1132" s="7" t="s">
        <v>70</v>
      </c>
      <c r="F1132" s="7" t="s">
        <v>39</v>
      </c>
      <c r="G1132" s="8" t="n">
        <v>45876</v>
      </c>
      <c r="H1132" s="8" t="n">
        <v>45880</v>
      </c>
      <c r="I1132" s="7" t="s">
        <v>66</v>
      </c>
      <c r="J1132" s="7" t="s">
        <v>51</v>
      </c>
      <c r="K1132" s="7" t="n">
        <v>4</v>
      </c>
      <c r="L1132" s="7" t="n">
        <v>1</v>
      </c>
      <c r="M1132" s="7" t="n">
        <v>0</v>
      </c>
      <c r="N1132" s="7" t="s">
        <v>42</v>
      </c>
      <c r="O1132" s="7" t="s">
        <v>52</v>
      </c>
      <c r="P1132" s="7" t="n">
        <v>19</v>
      </c>
      <c r="Q1132" s="7" t="n">
        <v>12</v>
      </c>
      <c r="R1132" s="7" t="s">
        <v>53</v>
      </c>
      <c r="S1132" s="7"/>
      <c r="T1132" s="7"/>
      <c r="U1132" s="7" t="str">
        <f aca="false">IF(COUNTIF($A$2:$A$5001,A1132)&gt;1,"Duplicate","Unique")</f>
        <v>Unique</v>
      </c>
      <c r="V1132" s="7" t="str">
        <f aca="false">IF(COUNTIFS($B$2:$B$5001,B1132,$H$2:$H$5001,H1132,$J$2:$J$5001,J1132)&gt;1,"Possible Duplicate Booking","Unique")</f>
        <v>Unique</v>
      </c>
      <c r="W1132" s="7" t="str">
        <f aca="false">IF((H1132-G1132)&lt;&gt;K1132,"Mismatch","OK")</f>
        <v>OK</v>
      </c>
      <c r="X1132" s="7" t="str">
        <f aca="false">IF(TEXT(H1132,"dddd")&lt;&gt;I1132,"Mismatch","OK")</f>
        <v>OK</v>
      </c>
      <c r="Y1132" s="7" t="str">
        <f aca="false">IF(AND(N1132="No",O1132&lt;&gt;""),"Unexpected: channel present but no reminder sent",IF(AND(N1132="Yes",O1132=""),"Missing channel for sent reminder","OK"))</f>
        <v>OK</v>
      </c>
    </row>
    <row r="1133" customFormat="false" ht="15" hidden="false" customHeight="false" outlineLevel="0" collapsed="false">
      <c r="A1133" s="9" t="s">
        <v>2047</v>
      </c>
      <c r="B1133" s="9" t="s">
        <v>366</v>
      </c>
      <c r="C1133" s="9" t="s">
        <v>47</v>
      </c>
      <c r="D1133" s="9" t="n">
        <v>33</v>
      </c>
      <c r="E1133" s="9" t="s">
        <v>48</v>
      </c>
      <c r="F1133" s="9" t="s">
        <v>39</v>
      </c>
      <c r="G1133" s="10" t="n">
        <v>45996</v>
      </c>
      <c r="H1133" s="10" t="n">
        <v>46023</v>
      </c>
      <c r="I1133" s="9" t="s">
        <v>62</v>
      </c>
      <c r="J1133" s="9" t="s">
        <v>41</v>
      </c>
      <c r="K1133" s="9" t="n">
        <v>27</v>
      </c>
      <c r="L1133" s="9" t="n">
        <v>3</v>
      </c>
      <c r="M1133" s="9" t="n">
        <v>0</v>
      </c>
      <c r="N1133" s="9" t="s">
        <v>42</v>
      </c>
      <c r="O1133" s="9" t="s">
        <v>52</v>
      </c>
      <c r="P1133" s="9" t="n">
        <v>19.4</v>
      </c>
      <c r="Q1133" s="9" t="n">
        <v>39</v>
      </c>
      <c r="R1133" s="9" t="s">
        <v>44</v>
      </c>
      <c r="S1133" s="9"/>
      <c r="T1133" s="9"/>
      <c r="U1133" s="9" t="str">
        <f aca="false">IF(COUNTIF($A$2:$A$5001,A1133)&gt;1,"Duplicate","Unique")</f>
        <v>Unique</v>
      </c>
      <c r="V1133" s="9" t="str">
        <f aca="false">IF(COUNTIFS($B$2:$B$5001,B1133,$H$2:$H$5001,H1133,$J$2:$J$5001,J1133)&gt;1,"Possible Duplicate Booking","Unique")</f>
        <v>Unique</v>
      </c>
      <c r="W1133" s="9" t="str">
        <f aca="false">IF((H1133-G1133)&lt;&gt;K1133,"Mismatch","OK")</f>
        <v>OK</v>
      </c>
      <c r="X1133" s="9" t="str">
        <f aca="false">IF(TEXT(H1133,"dddd")&lt;&gt;I1133,"Mismatch","OK")</f>
        <v>OK</v>
      </c>
      <c r="Y1133" s="9" t="str">
        <f aca="false">IF(AND(N1133="No",O1133&lt;&gt;""),"Unexpected: channel present but no reminder sent",IF(AND(N1133="Yes",O1133=""),"Missing channel for sent reminder","OK"))</f>
        <v>OK</v>
      </c>
    </row>
    <row r="1134" customFormat="false" ht="15" hidden="false" customHeight="false" outlineLevel="0" collapsed="false">
      <c r="A1134" s="7" t="s">
        <v>2048</v>
      </c>
      <c r="B1134" s="7" t="s">
        <v>2049</v>
      </c>
      <c r="C1134" s="7" t="s">
        <v>47</v>
      </c>
      <c r="D1134" s="7" t="n">
        <v>56</v>
      </c>
      <c r="E1134" s="7" t="s">
        <v>61</v>
      </c>
      <c r="F1134" s="7" t="s">
        <v>57</v>
      </c>
      <c r="G1134" s="8" t="n">
        <v>46036</v>
      </c>
      <c r="H1134" s="8" t="n">
        <v>46091</v>
      </c>
      <c r="I1134" s="7" t="s">
        <v>40</v>
      </c>
      <c r="J1134" s="7" t="s">
        <v>63</v>
      </c>
      <c r="K1134" s="7" t="n">
        <v>55</v>
      </c>
      <c r="L1134" s="7" t="n">
        <v>5</v>
      </c>
      <c r="M1134" s="7" t="n">
        <v>0</v>
      </c>
      <c r="N1134" s="7" t="s">
        <v>42</v>
      </c>
      <c r="O1134" s="7" t="s">
        <v>52</v>
      </c>
      <c r="P1134" s="7" t="n">
        <v>11.3</v>
      </c>
      <c r="Q1134" s="7" t="n">
        <v>27</v>
      </c>
      <c r="R1134" s="7" t="s">
        <v>44</v>
      </c>
      <c r="S1134" s="7"/>
      <c r="T1134" s="7"/>
      <c r="U1134" s="7" t="str">
        <f aca="false">IF(COUNTIF($A$2:$A$5001,A1134)&gt;1,"Duplicate","Unique")</f>
        <v>Unique</v>
      </c>
      <c r="V1134" s="7" t="str">
        <f aca="false">IF(COUNTIFS($B$2:$B$5001,B1134,$H$2:$H$5001,H1134,$J$2:$J$5001,J1134)&gt;1,"Possible Duplicate Booking","Unique")</f>
        <v>Unique</v>
      </c>
      <c r="W1134" s="7" t="str">
        <f aca="false">IF((H1134-G1134)&lt;&gt;K1134,"Mismatch","OK")</f>
        <v>OK</v>
      </c>
      <c r="X1134" s="7" t="str">
        <f aca="false">IF(TEXT(H1134,"dddd")&lt;&gt;I1134,"Mismatch","OK")</f>
        <v>OK</v>
      </c>
      <c r="Y1134" s="7" t="str">
        <f aca="false">IF(AND(N1134="No",O1134&lt;&gt;""),"Unexpected: channel present but no reminder sent",IF(AND(N1134="Yes",O1134=""),"Missing channel for sent reminder","OK"))</f>
        <v>OK</v>
      </c>
    </row>
    <row r="1135" customFormat="false" ht="15" hidden="false" customHeight="false" outlineLevel="0" collapsed="false">
      <c r="A1135" s="9" t="s">
        <v>2050</v>
      </c>
      <c r="B1135" s="9" t="s">
        <v>2051</v>
      </c>
      <c r="C1135" s="9" t="s">
        <v>37</v>
      </c>
      <c r="D1135" s="9" t="n">
        <v>59</v>
      </c>
      <c r="E1135" s="9" t="s">
        <v>61</v>
      </c>
      <c r="F1135" s="9" t="s">
        <v>39</v>
      </c>
      <c r="G1135" s="10" t="n">
        <v>46050</v>
      </c>
      <c r="H1135" s="10" t="n">
        <v>46074</v>
      </c>
      <c r="I1135" s="9" t="s">
        <v>102</v>
      </c>
      <c r="J1135" s="9" t="s">
        <v>51</v>
      </c>
      <c r="K1135" s="9" t="n">
        <v>24</v>
      </c>
      <c r="L1135" s="9" t="n">
        <v>5</v>
      </c>
      <c r="M1135" s="9" t="n">
        <v>2</v>
      </c>
      <c r="N1135" s="9" t="s">
        <v>42</v>
      </c>
      <c r="O1135" s="9" t="s">
        <v>52</v>
      </c>
      <c r="P1135" s="9" t="n">
        <v>9.3</v>
      </c>
      <c r="Q1135" s="9" t="n">
        <v>30</v>
      </c>
      <c r="R1135" s="9" t="s">
        <v>44</v>
      </c>
      <c r="S1135" s="9"/>
      <c r="T1135" s="9"/>
      <c r="U1135" s="9" t="str">
        <f aca="false">IF(COUNTIF($A$2:$A$5001,A1135)&gt;1,"Duplicate","Unique")</f>
        <v>Unique</v>
      </c>
      <c r="V1135" s="9" t="str">
        <f aca="false">IF(COUNTIFS($B$2:$B$5001,B1135,$H$2:$H$5001,H1135,$J$2:$J$5001,J1135)&gt;1,"Possible Duplicate Booking","Unique")</f>
        <v>Unique</v>
      </c>
      <c r="W1135" s="9" t="str">
        <f aca="false">IF((H1135-G1135)&lt;&gt;K1135,"Mismatch","OK")</f>
        <v>OK</v>
      </c>
      <c r="X1135" s="9" t="str">
        <f aca="false">IF(TEXT(H1135,"dddd")&lt;&gt;I1135,"Mismatch","OK")</f>
        <v>OK</v>
      </c>
      <c r="Y1135" s="9" t="str">
        <f aca="false">IF(AND(N1135="No",O1135&lt;&gt;""),"Unexpected: channel present but no reminder sent",IF(AND(N1135="Yes",O1135=""),"Missing channel for sent reminder","OK"))</f>
        <v>OK</v>
      </c>
    </row>
    <row r="1136" customFormat="false" ht="15" hidden="false" customHeight="false" outlineLevel="0" collapsed="false">
      <c r="A1136" s="7" t="s">
        <v>2052</v>
      </c>
      <c r="B1136" s="7" t="s">
        <v>1749</v>
      </c>
      <c r="C1136" s="7" t="s">
        <v>47</v>
      </c>
      <c r="D1136" s="7" t="n">
        <v>72</v>
      </c>
      <c r="E1136" s="7" t="s">
        <v>70</v>
      </c>
      <c r="F1136" s="7" t="s">
        <v>57</v>
      </c>
      <c r="G1136" s="8" t="n">
        <v>45954</v>
      </c>
      <c r="H1136" s="8" t="n">
        <v>45993</v>
      </c>
      <c r="I1136" s="7" t="s">
        <v>40</v>
      </c>
      <c r="J1136" s="7" t="s">
        <v>41</v>
      </c>
      <c r="K1136" s="7" t="n">
        <v>39</v>
      </c>
      <c r="L1136" s="7" t="n">
        <v>4</v>
      </c>
      <c r="M1136" s="7" t="n">
        <v>1</v>
      </c>
      <c r="N1136" s="7" t="s">
        <v>42</v>
      </c>
      <c r="O1136" s="7" t="s">
        <v>52</v>
      </c>
      <c r="P1136" s="7" t="n">
        <v>9.9</v>
      </c>
      <c r="Q1136" s="7" t="n">
        <v>33</v>
      </c>
      <c r="R1136" s="7" t="s">
        <v>44</v>
      </c>
      <c r="S1136" s="7"/>
      <c r="T1136" s="7"/>
      <c r="U1136" s="7" t="str">
        <f aca="false">IF(COUNTIF($A$2:$A$5001,A1136)&gt;1,"Duplicate","Unique")</f>
        <v>Unique</v>
      </c>
      <c r="V1136" s="7" t="str">
        <f aca="false">IF(COUNTIFS($B$2:$B$5001,B1136,$H$2:$H$5001,H1136,$J$2:$J$5001,J1136)&gt;1,"Possible Duplicate Booking","Unique")</f>
        <v>Unique</v>
      </c>
      <c r="W1136" s="7" t="str">
        <f aca="false">IF((H1136-G1136)&lt;&gt;K1136,"Mismatch","OK")</f>
        <v>OK</v>
      </c>
      <c r="X1136" s="7" t="str">
        <f aca="false">IF(TEXT(H1136,"dddd")&lt;&gt;I1136,"Mismatch","OK")</f>
        <v>OK</v>
      </c>
      <c r="Y1136" s="7" t="str">
        <f aca="false">IF(AND(N1136="No",O1136&lt;&gt;""),"Unexpected: channel present but no reminder sent",IF(AND(N1136="Yes",O1136=""),"Missing channel for sent reminder","OK"))</f>
        <v>OK</v>
      </c>
    </row>
    <row r="1137" customFormat="false" ht="15" hidden="false" customHeight="false" outlineLevel="0" collapsed="false">
      <c r="A1137" s="9" t="s">
        <v>2053</v>
      </c>
      <c r="B1137" s="9" t="s">
        <v>492</v>
      </c>
      <c r="C1137" s="9" t="s">
        <v>47</v>
      </c>
      <c r="D1137" s="9" t="n">
        <v>27</v>
      </c>
      <c r="E1137" s="9" t="s">
        <v>48</v>
      </c>
      <c r="F1137" s="9" t="s">
        <v>39</v>
      </c>
      <c r="G1137" s="10" t="n">
        <v>45678</v>
      </c>
      <c r="H1137" s="10" t="n">
        <v>45689</v>
      </c>
      <c r="I1137" s="9" t="s">
        <v>102</v>
      </c>
      <c r="J1137" s="9" t="s">
        <v>51</v>
      </c>
      <c r="K1137" s="9" t="n">
        <v>11</v>
      </c>
      <c r="L1137" s="9" t="n">
        <v>1</v>
      </c>
      <c r="M1137" s="9" t="n">
        <v>0</v>
      </c>
      <c r="N1137" s="9" t="s">
        <v>42</v>
      </c>
      <c r="O1137" s="9" t="s">
        <v>43</v>
      </c>
      <c r="P1137" s="9"/>
      <c r="Q1137" s="9" t="n">
        <v>22</v>
      </c>
      <c r="R1137" s="9" t="s">
        <v>53</v>
      </c>
      <c r="S1137" s="9"/>
      <c r="T1137" s="9"/>
      <c r="U1137" s="9" t="str">
        <f aca="false">IF(COUNTIF($A$2:$A$5001,A1137)&gt;1,"Duplicate","Unique")</f>
        <v>Unique</v>
      </c>
      <c r="V1137" s="9" t="str">
        <f aca="false">IF(COUNTIFS($B$2:$B$5001,B1137,$H$2:$H$5001,H1137,$J$2:$J$5001,J1137)&gt;1,"Possible Duplicate Booking","Unique")</f>
        <v>Unique</v>
      </c>
      <c r="W1137" s="9" t="str">
        <f aca="false">IF((H1137-G1137)&lt;&gt;K1137,"Mismatch","OK")</f>
        <v>OK</v>
      </c>
      <c r="X1137" s="9" t="str">
        <f aca="false">IF(TEXT(H1137,"dddd")&lt;&gt;I1137,"Mismatch","OK")</f>
        <v>OK</v>
      </c>
      <c r="Y1137" s="9" t="str">
        <f aca="false">IF(AND(N1137="No",O1137&lt;&gt;""),"Unexpected: channel present but no reminder sent",IF(AND(N1137="Yes",O1137=""),"Missing channel for sent reminder","OK"))</f>
        <v>OK</v>
      </c>
    </row>
    <row r="1138" customFormat="false" ht="15" hidden="false" customHeight="false" outlineLevel="0" collapsed="false">
      <c r="A1138" s="7" t="s">
        <v>2054</v>
      </c>
      <c r="B1138" s="7" t="s">
        <v>2055</v>
      </c>
      <c r="C1138" s="7" t="s">
        <v>47</v>
      </c>
      <c r="D1138" s="7" t="n">
        <v>64</v>
      </c>
      <c r="E1138" s="7" t="s">
        <v>61</v>
      </c>
      <c r="F1138" s="7" t="s">
        <v>57</v>
      </c>
      <c r="G1138" s="8" t="n">
        <v>46045</v>
      </c>
      <c r="H1138" s="8" t="n">
        <v>46053</v>
      </c>
      <c r="I1138" s="7" t="s">
        <v>102</v>
      </c>
      <c r="J1138" s="7" t="s">
        <v>51</v>
      </c>
      <c r="K1138" s="7" t="n">
        <v>8</v>
      </c>
      <c r="L1138" s="7" t="n">
        <v>4</v>
      </c>
      <c r="M1138" s="7" t="n">
        <v>0</v>
      </c>
      <c r="N1138" s="7" t="s">
        <v>71</v>
      </c>
      <c r="O1138" s="7"/>
      <c r="P1138" s="7" t="n">
        <v>9.8</v>
      </c>
      <c r="Q1138" s="7" t="n">
        <v>17</v>
      </c>
      <c r="R1138" s="7" t="s">
        <v>44</v>
      </c>
      <c r="S1138" s="7"/>
      <c r="T1138" s="7"/>
      <c r="U1138" s="7" t="str">
        <f aca="false">IF(COUNTIF($A$2:$A$5001,A1138)&gt;1,"Duplicate","Unique")</f>
        <v>Unique</v>
      </c>
      <c r="V1138" s="7" t="str">
        <f aca="false">IF(COUNTIFS($B$2:$B$5001,B1138,$H$2:$H$5001,H1138,$J$2:$J$5001,J1138)&gt;1,"Possible Duplicate Booking","Unique")</f>
        <v>Unique</v>
      </c>
      <c r="W1138" s="7" t="str">
        <f aca="false">IF((H1138-G1138)&lt;&gt;K1138,"Mismatch","OK")</f>
        <v>OK</v>
      </c>
      <c r="X1138" s="7" t="str">
        <f aca="false">IF(TEXT(H1138,"dddd")&lt;&gt;I1138,"Mismatch","OK")</f>
        <v>OK</v>
      </c>
      <c r="Y1138" s="7" t="str">
        <f aca="false">IF(AND(N1138="No",O1138&lt;&gt;""),"Unexpected: channel present but no reminder sent",IF(AND(N1138="Yes",O1138=""),"Missing channel for sent reminder","OK"))</f>
        <v>OK</v>
      </c>
    </row>
    <row r="1139" customFormat="false" ht="15" hidden="false" customHeight="false" outlineLevel="0" collapsed="false">
      <c r="A1139" s="9" t="s">
        <v>2056</v>
      </c>
      <c r="B1139" s="9" t="s">
        <v>2057</v>
      </c>
      <c r="C1139" s="9" t="s">
        <v>47</v>
      </c>
      <c r="D1139" s="9" t="n">
        <v>30</v>
      </c>
      <c r="E1139" s="9" t="s">
        <v>48</v>
      </c>
      <c r="F1139" s="9" t="s">
        <v>57</v>
      </c>
      <c r="G1139" s="10" t="n">
        <v>45814</v>
      </c>
      <c r="H1139" s="10" t="n">
        <v>45858</v>
      </c>
      <c r="I1139" s="9" t="s">
        <v>75</v>
      </c>
      <c r="J1139" s="9" t="s">
        <v>51</v>
      </c>
      <c r="K1139" s="9" t="n">
        <v>44</v>
      </c>
      <c r="L1139" s="9" t="n">
        <v>2</v>
      </c>
      <c r="M1139" s="9" t="n">
        <v>0</v>
      </c>
      <c r="N1139" s="9" t="s">
        <v>42</v>
      </c>
      <c r="O1139" s="9" t="s">
        <v>43</v>
      </c>
      <c r="P1139" s="9" t="n">
        <v>5.8</v>
      </c>
      <c r="Q1139" s="9" t="n">
        <v>46</v>
      </c>
      <c r="R1139" s="9" t="s">
        <v>53</v>
      </c>
      <c r="S1139" s="9"/>
      <c r="T1139" s="9"/>
      <c r="U1139" s="9" t="str">
        <f aca="false">IF(COUNTIF($A$2:$A$5001,A1139)&gt;1,"Duplicate","Unique")</f>
        <v>Unique</v>
      </c>
      <c r="V1139" s="9" t="str">
        <f aca="false">IF(COUNTIFS($B$2:$B$5001,B1139,$H$2:$H$5001,H1139,$J$2:$J$5001,J1139)&gt;1,"Possible Duplicate Booking","Unique")</f>
        <v>Unique</v>
      </c>
      <c r="W1139" s="9" t="str">
        <f aca="false">IF((H1139-G1139)&lt;&gt;K1139,"Mismatch","OK")</f>
        <v>OK</v>
      </c>
      <c r="X1139" s="9" t="str">
        <f aca="false">IF(TEXT(H1139,"dddd")&lt;&gt;I1139,"Mismatch","OK")</f>
        <v>OK</v>
      </c>
      <c r="Y1139" s="9" t="str">
        <f aca="false">IF(AND(N1139="No",O1139&lt;&gt;""),"Unexpected: channel present but no reminder sent",IF(AND(N1139="Yes",O1139=""),"Missing channel for sent reminder","OK"))</f>
        <v>OK</v>
      </c>
    </row>
    <row r="1140" customFormat="false" ht="15" hidden="false" customHeight="false" outlineLevel="0" collapsed="false">
      <c r="A1140" s="7" t="s">
        <v>2058</v>
      </c>
      <c r="B1140" s="7" t="s">
        <v>989</v>
      </c>
      <c r="C1140" s="7" t="s">
        <v>47</v>
      </c>
      <c r="D1140" s="7" t="n">
        <v>53</v>
      </c>
      <c r="E1140" s="7" t="s">
        <v>56</v>
      </c>
      <c r="F1140" s="7" t="s">
        <v>39</v>
      </c>
      <c r="G1140" s="8" t="n">
        <v>46060</v>
      </c>
      <c r="H1140" s="8" t="n">
        <v>46064</v>
      </c>
      <c r="I1140" s="7" t="s">
        <v>58</v>
      </c>
      <c r="J1140" s="7" t="s">
        <v>41</v>
      </c>
      <c r="K1140" s="7" t="n">
        <v>4</v>
      </c>
      <c r="L1140" s="7" t="n">
        <v>6</v>
      </c>
      <c r="M1140" s="7" t="n">
        <v>1</v>
      </c>
      <c r="N1140" s="7" t="s">
        <v>42</v>
      </c>
      <c r="O1140" s="7" t="s">
        <v>52</v>
      </c>
      <c r="P1140" s="7" t="n">
        <v>5.3</v>
      </c>
      <c r="Q1140" s="7" t="n">
        <v>30</v>
      </c>
      <c r="R1140" s="7" t="s">
        <v>44</v>
      </c>
      <c r="S1140" s="7"/>
      <c r="T1140" s="7"/>
      <c r="U1140" s="7" t="str">
        <f aca="false">IF(COUNTIF($A$2:$A$5001,A1140)&gt;1,"Duplicate","Unique")</f>
        <v>Unique</v>
      </c>
      <c r="V1140" s="7" t="str">
        <f aca="false">IF(COUNTIFS($B$2:$B$5001,B1140,$H$2:$H$5001,H1140,$J$2:$J$5001,J1140)&gt;1,"Possible Duplicate Booking","Unique")</f>
        <v>Unique</v>
      </c>
      <c r="W1140" s="7" t="str">
        <f aca="false">IF((H1140-G1140)&lt;&gt;K1140,"Mismatch","OK")</f>
        <v>OK</v>
      </c>
      <c r="X1140" s="7" t="str">
        <f aca="false">IF(TEXT(H1140,"dddd")&lt;&gt;I1140,"Mismatch","OK")</f>
        <v>OK</v>
      </c>
      <c r="Y1140" s="7" t="str">
        <f aca="false">IF(AND(N1140="No",O1140&lt;&gt;""),"Unexpected: channel present but no reminder sent",IF(AND(N1140="Yes",O1140=""),"Missing channel for sent reminder","OK"))</f>
        <v>OK</v>
      </c>
    </row>
    <row r="1141" customFormat="false" ht="15" hidden="false" customHeight="false" outlineLevel="0" collapsed="false">
      <c r="A1141" s="9" t="s">
        <v>2059</v>
      </c>
      <c r="B1141" s="9" t="s">
        <v>2060</v>
      </c>
      <c r="C1141" s="9" t="s">
        <v>236</v>
      </c>
      <c r="D1141" s="9" t="n">
        <v>73</v>
      </c>
      <c r="E1141" s="9" t="s">
        <v>70</v>
      </c>
      <c r="F1141" s="9" t="s">
        <v>57</v>
      </c>
      <c r="G1141" s="10" t="n">
        <v>45925</v>
      </c>
      <c r="H1141" s="10" t="n">
        <v>45952</v>
      </c>
      <c r="I1141" s="9" t="s">
        <v>58</v>
      </c>
      <c r="J1141" s="9" t="s">
        <v>51</v>
      </c>
      <c r="K1141" s="9" t="n">
        <v>27</v>
      </c>
      <c r="L1141" s="9" t="n">
        <v>7</v>
      </c>
      <c r="M1141" s="9" t="n">
        <v>1</v>
      </c>
      <c r="N1141" s="9" t="s">
        <v>42</v>
      </c>
      <c r="O1141" s="9" t="s">
        <v>67</v>
      </c>
      <c r="P1141" s="9" t="n">
        <v>6.2</v>
      </c>
      <c r="Q1141" s="9" t="n">
        <v>6</v>
      </c>
      <c r="R1141" s="9" t="s">
        <v>44</v>
      </c>
      <c r="S1141" s="9"/>
      <c r="T1141" s="9"/>
      <c r="U1141" s="9" t="str">
        <f aca="false">IF(COUNTIF($A$2:$A$5001,A1141)&gt;1,"Duplicate","Unique")</f>
        <v>Unique</v>
      </c>
      <c r="V1141" s="9" t="str">
        <f aca="false">IF(COUNTIFS($B$2:$B$5001,B1141,$H$2:$H$5001,H1141,$J$2:$J$5001,J1141)&gt;1,"Possible Duplicate Booking","Unique")</f>
        <v>Unique</v>
      </c>
      <c r="W1141" s="9" t="str">
        <f aca="false">IF((H1141-G1141)&lt;&gt;K1141,"Mismatch","OK")</f>
        <v>OK</v>
      </c>
      <c r="X1141" s="9" t="str">
        <f aca="false">IF(TEXT(H1141,"dddd")&lt;&gt;I1141,"Mismatch","OK")</f>
        <v>OK</v>
      </c>
      <c r="Y1141" s="9" t="str">
        <f aca="false">IF(AND(N1141="No",O1141&lt;&gt;""),"Unexpected: channel present but no reminder sent",IF(AND(N1141="Yes",O1141=""),"Missing channel for sent reminder","OK"))</f>
        <v>OK</v>
      </c>
    </row>
    <row r="1142" customFormat="false" ht="15" hidden="false" customHeight="false" outlineLevel="0" collapsed="false">
      <c r="A1142" s="7" t="s">
        <v>2061</v>
      </c>
      <c r="B1142" s="7" t="s">
        <v>385</v>
      </c>
      <c r="C1142" s="7" t="s">
        <v>37</v>
      </c>
      <c r="D1142" s="7" t="n">
        <v>21</v>
      </c>
      <c r="E1142" s="7" t="s">
        <v>82</v>
      </c>
      <c r="F1142" s="7" t="s">
        <v>57</v>
      </c>
      <c r="G1142" s="8" t="n">
        <v>46120</v>
      </c>
      <c r="H1142" s="8" t="n">
        <v>46139</v>
      </c>
      <c r="I1142" s="7" t="s">
        <v>66</v>
      </c>
      <c r="J1142" s="7" t="s">
        <v>51</v>
      </c>
      <c r="K1142" s="7" t="n">
        <v>19</v>
      </c>
      <c r="L1142" s="7" t="n">
        <v>6</v>
      </c>
      <c r="M1142" s="7" t="n">
        <v>4</v>
      </c>
      <c r="N1142" s="7" t="s">
        <v>42</v>
      </c>
      <c r="O1142" s="7" t="s">
        <v>67</v>
      </c>
      <c r="P1142" s="7" t="n">
        <v>25.3</v>
      </c>
      <c r="Q1142" s="7" t="n">
        <v>5</v>
      </c>
      <c r="R1142" s="7" t="s">
        <v>44</v>
      </c>
      <c r="S1142" s="7"/>
      <c r="T1142" s="7"/>
      <c r="U1142" s="7" t="str">
        <f aca="false">IF(COUNTIF($A$2:$A$5001,A1142)&gt;1,"Duplicate","Unique")</f>
        <v>Unique</v>
      </c>
      <c r="V1142" s="7" t="str">
        <f aca="false">IF(COUNTIFS($B$2:$B$5001,B1142,$H$2:$H$5001,H1142,$J$2:$J$5001,J1142)&gt;1,"Possible Duplicate Booking","Unique")</f>
        <v>Unique</v>
      </c>
      <c r="W1142" s="7" t="str">
        <f aca="false">IF((H1142-G1142)&lt;&gt;K1142,"Mismatch","OK")</f>
        <v>OK</v>
      </c>
      <c r="X1142" s="7" t="str">
        <f aca="false">IF(TEXT(H1142,"dddd")&lt;&gt;I1142,"Mismatch","OK")</f>
        <v>OK</v>
      </c>
      <c r="Y1142" s="7" t="str">
        <f aca="false">IF(AND(N1142="No",O1142&lt;&gt;""),"Unexpected: channel present but no reminder sent",IF(AND(N1142="Yes",O1142=""),"Missing channel for sent reminder","OK"))</f>
        <v>OK</v>
      </c>
    </row>
    <row r="1143" customFormat="false" ht="15" hidden="false" customHeight="false" outlineLevel="0" collapsed="false">
      <c r="A1143" s="9" t="s">
        <v>2062</v>
      </c>
      <c r="B1143" s="9" t="s">
        <v>987</v>
      </c>
      <c r="C1143" s="9" t="s">
        <v>37</v>
      </c>
      <c r="D1143" s="9" t="n">
        <v>27</v>
      </c>
      <c r="E1143" s="9" t="s">
        <v>48</v>
      </c>
      <c r="F1143" s="9" t="s">
        <v>74</v>
      </c>
      <c r="G1143" s="10" t="n">
        <v>45842</v>
      </c>
      <c r="H1143" s="10" t="n">
        <v>45842</v>
      </c>
      <c r="I1143" s="9" t="s">
        <v>50</v>
      </c>
      <c r="J1143" s="9" t="s">
        <v>41</v>
      </c>
      <c r="K1143" s="9" t="n">
        <v>0</v>
      </c>
      <c r="L1143" s="9" t="n">
        <v>3</v>
      </c>
      <c r="M1143" s="9" t="n">
        <v>0</v>
      </c>
      <c r="N1143" s="9" t="s">
        <v>42</v>
      </c>
      <c r="O1143" s="9" t="s">
        <v>43</v>
      </c>
      <c r="P1143" s="9" t="n">
        <v>0.9</v>
      </c>
      <c r="Q1143" s="9" t="n">
        <v>32</v>
      </c>
      <c r="R1143" s="9" t="s">
        <v>44</v>
      </c>
      <c r="S1143" s="9"/>
      <c r="T1143" s="9"/>
      <c r="U1143" s="9" t="str">
        <f aca="false">IF(COUNTIF($A$2:$A$5001,A1143)&gt;1,"Duplicate","Unique")</f>
        <v>Unique</v>
      </c>
      <c r="V1143" s="9" t="str">
        <f aca="false">IF(COUNTIFS($B$2:$B$5001,B1143,$H$2:$H$5001,H1143,$J$2:$J$5001,J1143)&gt;1,"Possible Duplicate Booking","Unique")</f>
        <v>Unique</v>
      </c>
      <c r="W1143" s="9" t="str">
        <f aca="false">IF((H1143-G1143)&lt;&gt;K1143,"Mismatch","OK")</f>
        <v>OK</v>
      </c>
      <c r="X1143" s="9" t="str">
        <f aca="false">IF(TEXT(H1143,"dddd")&lt;&gt;I1143,"Mismatch","OK")</f>
        <v>OK</v>
      </c>
      <c r="Y1143" s="9" t="str">
        <f aca="false">IF(AND(N1143="No",O1143&lt;&gt;""),"Unexpected: channel present but no reminder sent",IF(AND(N1143="Yes",O1143=""),"Missing channel for sent reminder","OK"))</f>
        <v>OK</v>
      </c>
    </row>
    <row r="1144" customFormat="false" ht="15" hidden="false" customHeight="false" outlineLevel="0" collapsed="false">
      <c r="A1144" s="7" t="s">
        <v>2063</v>
      </c>
      <c r="B1144" s="7" t="s">
        <v>498</v>
      </c>
      <c r="C1144" s="7" t="s">
        <v>47</v>
      </c>
      <c r="D1144" s="7" t="n">
        <v>69</v>
      </c>
      <c r="E1144" s="7" t="s">
        <v>70</v>
      </c>
      <c r="F1144" s="7" t="s">
        <v>57</v>
      </c>
      <c r="G1144" s="8" t="n">
        <v>46134</v>
      </c>
      <c r="H1144" s="8" t="n">
        <v>46166</v>
      </c>
      <c r="I1144" s="7" t="s">
        <v>75</v>
      </c>
      <c r="J1144" s="7" t="s">
        <v>51</v>
      </c>
      <c r="K1144" s="7" t="n">
        <v>32</v>
      </c>
      <c r="L1144" s="7" t="n">
        <v>4</v>
      </c>
      <c r="M1144" s="7" t="n">
        <v>0</v>
      </c>
      <c r="N1144" s="7" t="s">
        <v>42</v>
      </c>
      <c r="O1144" s="7" t="s">
        <v>52</v>
      </c>
      <c r="P1144" s="7" t="n">
        <v>5.3</v>
      </c>
      <c r="Q1144" s="7" t="n">
        <v>14</v>
      </c>
      <c r="R1144" s="7" t="s">
        <v>44</v>
      </c>
      <c r="S1144" s="7"/>
      <c r="T1144" s="7"/>
      <c r="U1144" s="7" t="str">
        <f aca="false">IF(COUNTIF($A$2:$A$5001,A1144)&gt;1,"Duplicate","Unique")</f>
        <v>Unique</v>
      </c>
      <c r="V1144" s="7" t="str">
        <f aca="false">IF(COUNTIFS($B$2:$B$5001,B1144,$H$2:$H$5001,H1144,$J$2:$J$5001,J1144)&gt;1,"Possible Duplicate Booking","Unique")</f>
        <v>Unique</v>
      </c>
      <c r="W1144" s="7" t="str">
        <f aca="false">IF((H1144-G1144)&lt;&gt;K1144,"Mismatch","OK")</f>
        <v>OK</v>
      </c>
      <c r="X1144" s="7" t="str">
        <f aca="false">IF(TEXT(H1144,"dddd")&lt;&gt;I1144,"Mismatch","OK")</f>
        <v>OK</v>
      </c>
      <c r="Y1144" s="7" t="str">
        <f aca="false">IF(AND(N1144="No",O1144&lt;&gt;""),"Unexpected: channel present but no reminder sent",IF(AND(N1144="Yes",O1144=""),"Missing channel for sent reminder","OK"))</f>
        <v>OK</v>
      </c>
    </row>
    <row r="1145" customFormat="false" ht="15" hidden="false" customHeight="false" outlineLevel="0" collapsed="false">
      <c r="A1145" s="9" t="s">
        <v>2064</v>
      </c>
      <c r="B1145" s="9" t="s">
        <v>2065</v>
      </c>
      <c r="C1145" s="9" t="s">
        <v>37</v>
      </c>
      <c r="D1145" s="9" t="n">
        <v>19</v>
      </c>
      <c r="E1145" s="9" t="s">
        <v>82</v>
      </c>
      <c r="F1145" s="9" t="s">
        <v>57</v>
      </c>
      <c r="G1145" s="10" t="n">
        <v>46061</v>
      </c>
      <c r="H1145" s="10" t="n">
        <v>46119</v>
      </c>
      <c r="I1145" s="9" t="s">
        <v>40</v>
      </c>
      <c r="J1145" s="9" t="s">
        <v>51</v>
      </c>
      <c r="K1145" s="9" t="n">
        <v>58</v>
      </c>
      <c r="L1145" s="9" t="n">
        <v>4</v>
      </c>
      <c r="M1145" s="9" t="n">
        <v>1</v>
      </c>
      <c r="N1145" s="9" t="s">
        <v>42</v>
      </c>
      <c r="O1145" s="9" t="s">
        <v>52</v>
      </c>
      <c r="P1145" s="9" t="n">
        <v>6.1</v>
      </c>
      <c r="Q1145" s="9" t="n">
        <v>23</v>
      </c>
      <c r="R1145" s="9" t="s">
        <v>53</v>
      </c>
      <c r="S1145" s="9"/>
      <c r="T1145" s="9"/>
      <c r="U1145" s="9" t="str">
        <f aca="false">IF(COUNTIF($A$2:$A$5001,A1145)&gt;1,"Duplicate","Unique")</f>
        <v>Unique</v>
      </c>
      <c r="V1145" s="9" t="str">
        <f aca="false">IF(COUNTIFS($B$2:$B$5001,B1145,$H$2:$H$5001,H1145,$J$2:$J$5001,J1145)&gt;1,"Possible Duplicate Booking","Unique")</f>
        <v>Unique</v>
      </c>
      <c r="W1145" s="9" t="str">
        <f aca="false">IF((H1145-G1145)&lt;&gt;K1145,"Mismatch","OK")</f>
        <v>OK</v>
      </c>
      <c r="X1145" s="9" t="str">
        <f aca="false">IF(TEXT(H1145,"dddd")&lt;&gt;I1145,"Mismatch","OK")</f>
        <v>OK</v>
      </c>
      <c r="Y1145" s="9" t="str">
        <f aca="false">IF(AND(N1145="No",O1145&lt;&gt;""),"Unexpected: channel present but no reminder sent",IF(AND(N1145="Yes",O1145=""),"Missing channel for sent reminder","OK"))</f>
        <v>OK</v>
      </c>
    </row>
    <row r="1146" customFormat="false" ht="15" hidden="false" customHeight="false" outlineLevel="0" collapsed="false">
      <c r="A1146" s="7" t="s">
        <v>2066</v>
      </c>
      <c r="B1146" s="7" t="s">
        <v>803</v>
      </c>
      <c r="C1146" s="7" t="s">
        <v>47</v>
      </c>
      <c r="D1146" s="7" t="n">
        <v>61</v>
      </c>
      <c r="E1146" s="7" t="s">
        <v>61</v>
      </c>
      <c r="F1146" s="7" t="s">
        <v>57</v>
      </c>
      <c r="G1146" s="8" t="n">
        <v>45834</v>
      </c>
      <c r="H1146" s="8" t="n">
        <v>45838</v>
      </c>
      <c r="I1146" s="7" t="s">
        <v>66</v>
      </c>
      <c r="J1146" s="7" t="s">
        <v>51</v>
      </c>
      <c r="K1146" s="7" t="n">
        <v>4</v>
      </c>
      <c r="L1146" s="7" t="n">
        <v>4</v>
      </c>
      <c r="M1146" s="7" t="n">
        <v>2</v>
      </c>
      <c r="N1146" s="7" t="s">
        <v>42</v>
      </c>
      <c r="O1146" s="7" t="s">
        <v>52</v>
      </c>
      <c r="P1146" s="7" t="n">
        <v>10.8</v>
      </c>
      <c r="Q1146" s="7" t="n">
        <v>2</v>
      </c>
      <c r="R1146" s="7" t="s">
        <v>53</v>
      </c>
      <c r="S1146" s="7"/>
      <c r="T1146" s="7"/>
      <c r="U1146" s="7" t="str">
        <f aca="false">IF(COUNTIF($A$2:$A$5001,A1146)&gt;1,"Duplicate","Unique")</f>
        <v>Unique</v>
      </c>
      <c r="V1146" s="7" t="str">
        <f aca="false">IF(COUNTIFS($B$2:$B$5001,B1146,$H$2:$H$5001,H1146,$J$2:$J$5001,J1146)&gt;1,"Possible Duplicate Booking","Unique")</f>
        <v>Unique</v>
      </c>
      <c r="W1146" s="7" t="str">
        <f aca="false">IF((H1146-G1146)&lt;&gt;K1146,"Mismatch","OK")</f>
        <v>OK</v>
      </c>
      <c r="X1146" s="7" t="str">
        <f aca="false">IF(TEXT(H1146,"dddd")&lt;&gt;I1146,"Mismatch","OK")</f>
        <v>OK</v>
      </c>
      <c r="Y1146" s="7" t="str">
        <f aca="false">IF(AND(N1146="No",O1146&lt;&gt;""),"Unexpected: channel present but no reminder sent",IF(AND(N1146="Yes",O1146=""),"Missing channel for sent reminder","OK"))</f>
        <v>OK</v>
      </c>
    </row>
    <row r="1147" customFormat="false" ht="15" hidden="false" customHeight="false" outlineLevel="0" collapsed="false">
      <c r="A1147" s="9" t="s">
        <v>2067</v>
      </c>
      <c r="B1147" s="9" t="s">
        <v>2068</v>
      </c>
      <c r="C1147" s="9" t="s">
        <v>37</v>
      </c>
      <c r="D1147" s="9" t="n">
        <v>49</v>
      </c>
      <c r="E1147" s="9" t="s">
        <v>56</v>
      </c>
      <c r="F1147" s="9" t="s">
        <v>57</v>
      </c>
      <c r="G1147" s="10" t="n">
        <v>45872</v>
      </c>
      <c r="H1147" s="10" t="n">
        <v>45921</v>
      </c>
      <c r="I1147" s="9" t="s">
        <v>75</v>
      </c>
      <c r="J1147" s="9" t="s">
        <v>41</v>
      </c>
      <c r="K1147" s="9" t="n">
        <v>49</v>
      </c>
      <c r="L1147" s="9" t="n">
        <v>1</v>
      </c>
      <c r="M1147" s="9" t="n">
        <v>0</v>
      </c>
      <c r="N1147" s="9" t="s">
        <v>42</v>
      </c>
      <c r="O1147" s="9" t="s">
        <v>43</v>
      </c>
      <c r="P1147" s="9" t="n">
        <v>5.1</v>
      </c>
      <c r="Q1147" s="9" t="n">
        <v>19</v>
      </c>
      <c r="R1147" s="9" t="s">
        <v>44</v>
      </c>
      <c r="S1147" s="9"/>
      <c r="T1147" s="9"/>
      <c r="U1147" s="9" t="str">
        <f aca="false">IF(COUNTIF($A$2:$A$5001,A1147)&gt;1,"Duplicate","Unique")</f>
        <v>Unique</v>
      </c>
      <c r="V1147" s="9" t="str">
        <f aca="false">IF(COUNTIFS($B$2:$B$5001,B1147,$H$2:$H$5001,H1147,$J$2:$J$5001,J1147)&gt;1,"Possible Duplicate Booking","Unique")</f>
        <v>Unique</v>
      </c>
      <c r="W1147" s="9" t="str">
        <f aca="false">IF((H1147-G1147)&lt;&gt;K1147,"Mismatch","OK")</f>
        <v>OK</v>
      </c>
      <c r="X1147" s="9" t="str">
        <f aca="false">IF(TEXT(H1147,"dddd")&lt;&gt;I1147,"Mismatch","OK")</f>
        <v>OK</v>
      </c>
      <c r="Y1147" s="9" t="str">
        <f aca="false">IF(AND(N1147="No",O1147&lt;&gt;""),"Unexpected: channel present but no reminder sent",IF(AND(N1147="Yes",O1147=""),"Missing channel for sent reminder","OK"))</f>
        <v>OK</v>
      </c>
    </row>
    <row r="1148" customFormat="false" ht="15" hidden="false" customHeight="false" outlineLevel="0" collapsed="false">
      <c r="A1148" s="7" t="s">
        <v>2069</v>
      </c>
      <c r="B1148" s="7" t="s">
        <v>1276</v>
      </c>
      <c r="C1148" s="7" t="s">
        <v>37</v>
      </c>
      <c r="D1148" s="7" t="n">
        <v>39</v>
      </c>
      <c r="E1148" s="7" t="s">
        <v>38</v>
      </c>
      <c r="F1148" s="7" t="s">
        <v>39</v>
      </c>
      <c r="G1148" s="8" t="n">
        <v>45916</v>
      </c>
      <c r="H1148" s="8" t="n">
        <v>45948</v>
      </c>
      <c r="I1148" s="7" t="s">
        <v>102</v>
      </c>
      <c r="J1148" s="7" t="s">
        <v>41</v>
      </c>
      <c r="K1148" s="7" t="n">
        <v>32</v>
      </c>
      <c r="L1148" s="7" t="n">
        <v>0</v>
      </c>
      <c r="M1148" s="7" t="n">
        <v>0</v>
      </c>
      <c r="N1148" s="7" t="s">
        <v>42</v>
      </c>
      <c r="O1148" s="7" t="s">
        <v>52</v>
      </c>
      <c r="P1148" s="7" t="n">
        <v>20.1</v>
      </c>
      <c r="Q1148" s="7" t="n">
        <v>34</v>
      </c>
      <c r="R1148" s="7" t="s">
        <v>44</v>
      </c>
      <c r="S1148" s="7"/>
      <c r="T1148" s="7"/>
      <c r="U1148" s="7" t="str">
        <f aca="false">IF(COUNTIF($A$2:$A$5001,A1148)&gt;1,"Duplicate","Unique")</f>
        <v>Unique</v>
      </c>
      <c r="V1148" s="7" t="str">
        <f aca="false">IF(COUNTIFS($B$2:$B$5001,B1148,$H$2:$H$5001,H1148,$J$2:$J$5001,J1148)&gt;1,"Possible Duplicate Booking","Unique")</f>
        <v>Unique</v>
      </c>
      <c r="W1148" s="7" t="str">
        <f aca="false">IF((H1148-G1148)&lt;&gt;K1148,"Mismatch","OK")</f>
        <v>OK</v>
      </c>
      <c r="X1148" s="7" t="str">
        <f aca="false">IF(TEXT(H1148,"dddd")&lt;&gt;I1148,"Mismatch","OK")</f>
        <v>OK</v>
      </c>
      <c r="Y1148" s="7" t="str">
        <f aca="false">IF(AND(N1148="No",O1148&lt;&gt;""),"Unexpected: channel present but no reminder sent",IF(AND(N1148="Yes",O1148=""),"Missing channel for sent reminder","OK"))</f>
        <v>OK</v>
      </c>
    </row>
    <row r="1149" customFormat="false" ht="15" hidden="false" customHeight="false" outlineLevel="0" collapsed="false">
      <c r="A1149" s="9" t="s">
        <v>2070</v>
      </c>
      <c r="B1149" s="9" t="s">
        <v>562</v>
      </c>
      <c r="C1149" s="9" t="s">
        <v>47</v>
      </c>
      <c r="D1149" s="9" t="n">
        <v>72</v>
      </c>
      <c r="E1149" s="9" t="s">
        <v>70</v>
      </c>
      <c r="F1149" s="9" t="s">
        <v>57</v>
      </c>
      <c r="G1149" s="10" t="n">
        <v>46033</v>
      </c>
      <c r="H1149" s="10" t="n">
        <v>46077</v>
      </c>
      <c r="I1149" s="9" t="s">
        <v>40</v>
      </c>
      <c r="J1149" s="9" t="s">
        <v>41</v>
      </c>
      <c r="K1149" s="9" t="n">
        <v>44</v>
      </c>
      <c r="L1149" s="9" t="n">
        <v>7</v>
      </c>
      <c r="M1149" s="9" t="n">
        <v>1</v>
      </c>
      <c r="N1149" s="9" t="s">
        <v>71</v>
      </c>
      <c r="O1149" s="9"/>
      <c r="P1149" s="9" t="n">
        <v>17.1</v>
      </c>
      <c r="Q1149" s="9" t="n">
        <v>18</v>
      </c>
      <c r="R1149" s="9" t="s">
        <v>53</v>
      </c>
      <c r="S1149" s="9"/>
      <c r="T1149" s="9"/>
      <c r="U1149" s="9" t="str">
        <f aca="false">IF(COUNTIF($A$2:$A$5001,A1149)&gt;1,"Duplicate","Unique")</f>
        <v>Unique</v>
      </c>
      <c r="V1149" s="9" t="str">
        <f aca="false">IF(COUNTIFS($B$2:$B$5001,B1149,$H$2:$H$5001,H1149,$J$2:$J$5001,J1149)&gt;1,"Possible Duplicate Booking","Unique")</f>
        <v>Unique</v>
      </c>
      <c r="W1149" s="9" t="str">
        <f aca="false">IF((H1149-G1149)&lt;&gt;K1149,"Mismatch","OK")</f>
        <v>OK</v>
      </c>
      <c r="X1149" s="9" t="str">
        <f aca="false">IF(TEXT(H1149,"dddd")&lt;&gt;I1149,"Mismatch","OK")</f>
        <v>OK</v>
      </c>
      <c r="Y1149" s="9" t="str">
        <f aca="false">IF(AND(N1149="No",O1149&lt;&gt;""),"Unexpected: channel present but no reminder sent",IF(AND(N1149="Yes",O1149=""),"Missing channel for sent reminder","OK"))</f>
        <v>OK</v>
      </c>
    </row>
    <row r="1150" customFormat="false" ht="15" hidden="false" customHeight="false" outlineLevel="0" collapsed="false">
      <c r="A1150" s="7" t="s">
        <v>2071</v>
      </c>
      <c r="B1150" s="7" t="s">
        <v>2072</v>
      </c>
      <c r="C1150" s="7" t="s">
        <v>37</v>
      </c>
      <c r="D1150" s="7" t="n">
        <v>71</v>
      </c>
      <c r="E1150" s="7" t="s">
        <v>70</v>
      </c>
      <c r="F1150" s="7" t="s">
        <v>39</v>
      </c>
      <c r="G1150" s="8" t="n">
        <v>46029</v>
      </c>
      <c r="H1150" s="8" t="n">
        <v>46034</v>
      </c>
      <c r="I1150" s="7" t="s">
        <v>66</v>
      </c>
      <c r="J1150" s="7" t="s">
        <v>51</v>
      </c>
      <c r="K1150" s="7" t="n">
        <v>5</v>
      </c>
      <c r="L1150" s="7" t="n">
        <v>3</v>
      </c>
      <c r="M1150" s="7" t="n">
        <v>1</v>
      </c>
      <c r="N1150" s="7" t="s">
        <v>42</v>
      </c>
      <c r="O1150" s="7" t="s">
        <v>52</v>
      </c>
      <c r="P1150" s="7" t="n">
        <v>20.8</v>
      </c>
      <c r="Q1150" s="7" t="n">
        <v>11</v>
      </c>
      <c r="R1150" s="7" t="s">
        <v>44</v>
      </c>
      <c r="S1150" s="7"/>
      <c r="T1150" s="7"/>
      <c r="U1150" s="7" t="str">
        <f aca="false">IF(COUNTIF($A$2:$A$5001,A1150)&gt;1,"Duplicate","Unique")</f>
        <v>Unique</v>
      </c>
      <c r="V1150" s="7" t="str">
        <f aca="false">IF(COUNTIFS($B$2:$B$5001,B1150,$H$2:$H$5001,H1150,$J$2:$J$5001,J1150)&gt;1,"Possible Duplicate Booking","Unique")</f>
        <v>Unique</v>
      </c>
      <c r="W1150" s="7" t="str">
        <f aca="false">IF((H1150-G1150)&lt;&gt;K1150,"Mismatch","OK")</f>
        <v>OK</v>
      </c>
      <c r="X1150" s="7" t="str">
        <f aca="false">IF(TEXT(H1150,"dddd")&lt;&gt;I1150,"Mismatch","OK")</f>
        <v>OK</v>
      </c>
      <c r="Y1150" s="7" t="str">
        <f aca="false">IF(AND(N1150="No",O1150&lt;&gt;""),"Unexpected: channel present but no reminder sent",IF(AND(N1150="Yes",O1150=""),"Missing channel for sent reminder","OK"))</f>
        <v>OK</v>
      </c>
    </row>
    <row r="1151" customFormat="false" ht="15" hidden="false" customHeight="false" outlineLevel="0" collapsed="false">
      <c r="A1151" s="9" t="s">
        <v>2073</v>
      </c>
      <c r="B1151" s="9" t="s">
        <v>2074</v>
      </c>
      <c r="C1151" s="9" t="s">
        <v>37</v>
      </c>
      <c r="D1151" s="9" t="n">
        <v>38</v>
      </c>
      <c r="E1151" s="9" t="s">
        <v>38</v>
      </c>
      <c r="F1151" s="9" t="s">
        <v>39</v>
      </c>
      <c r="G1151" s="10" t="n">
        <v>46070</v>
      </c>
      <c r="H1151" s="10" t="n">
        <v>46123</v>
      </c>
      <c r="I1151" s="9" t="s">
        <v>102</v>
      </c>
      <c r="J1151" s="9" t="s">
        <v>41</v>
      </c>
      <c r="K1151" s="9" t="n">
        <v>53</v>
      </c>
      <c r="L1151" s="9" t="n">
        <v>5</v>
      </c>
      <c r="M1151" s="9" t="n">
        <v>1</v>
      </c>
      <c r="N1151" s="9" t="s">
        <v>42</v>
      </c>
      <c r="O1151" s="9" t="s">
        <v>52</v>
      </c>
      <c r="P1151" s="9" t="n">
        <v>9.4</v>
      </c>
      <c r="Q1151" s="9" t="n">
        <v>21</v>
      </c>
      <c r="R1151" s="9" t="s">
        <v>44</v>
      </c>
      <c r="S1151" s="9"/>
      <c r="T1151" s="9"/>
      <c r="U1151" s="9" t="str">
        <f aca="false">IF(COUNTIF($A$2:$A$5001,A1151)&gt;1,"Duplicate","Unique")</f>
        <v>Unique</v>
      </c>
      <c r="V1151" s="9" t="str">
        <f aca="false">IF(COUNTIFS($B$2:$B$5001,B1151,$H$2:$H$5001,H1151,$J$2:$J$5001,J1151)&gt;1,"Possible Duplicate Booking","Unique")</f>
        <v>Unique</v>
      </c>
      <c r="W1151" s="9" t="str">
        <f aca="false">IF((H1151-G1151)&lt;&gt;K1151,"Mismatch","OK")</f>
        <v>OK</v>
      </c>
      <c r="X1151" s="9" t="str">
        <f aca="false">IF(TEXT(H1151,"dddd")&lt;&gt;I1151,"Mismatch","OK")</f>
        <v>OK</v>
      </c>
      <c r="Y1151" s="9" t="str">
        <f aca="false">IF(AND(N1151="No",O1151&lt;&gt;""),"Unexpected: channel present but no reminder sent",IF(AND(N1151="Yes",O1151=""),"Missing channel for sent reminder","OK"))</f>
        <v>OK</v>
      </c>
    </row>
    <row r="1152" customFormat="false" ht="15" hidden="false" customHeight="false" outlineLevel="0" collapsed="false">
      <c r="A1152" s="7" t="s">
        <v>2075</v>
      </c>
      <c r="B1152" s="7" t="s">
        <v>2076</v>
      </c>
      <c r="C1152" s="7" t="s">
        <v>47</v>
      </c>
      <c r="D1152" s="7" t="n">
        <v>18</v>
      </c>
      <c r="E1152" s="7" t="s">
        <v>82</v>
      </c>
      <c r="F1152" s="7" t="s">
        <v>57</v>
      </c>
      <c r="G1152" s="8" t="n">
        <v>45859</v>
      </c>
      <c r="H1152" s="8" t="n">
        <v>45859</v>
      </c>
      <c r="I1152" s="7" t="s">
        <v>66</v>
      </c>
      <c r="J1152" s="7" t="s">
        <v>41</v>
      </c>
      <c r="K1152" s="7" t="n">
        <v>0</v>
      </c>
      <c r="L1152" s="7" t="n">
        <v>4</v>
      </c>
      <c r="M1152" s="7" t="n">
        <v>2</v>
      </c>
      <c r="N1152" s="7" t="s">
        <v>42</v>
      </c>
      <c r="O1152" s="7" t="s">
        <v>52</v>
      </c>
      <c r="P1152" s="7" t="n">
        <v>19.1</v>
      </c>
      <c r="Q1152" s="7" t="n">
        <v>24</v>
      </c>
      <c r="R1152" s="7" t="s">
        <v>44</v>
      </c>
      <c r="S1152" s="7"/>
      <c r="T1152" s="7"/>
      <c r="U1152" s="7" t="str">
        <f aca="false">IF(COUNTIF($A$2:$A$5001,A1152)&gt;1,"Duplicate","Unique")</f>
        <v>Unique</v>
      </c>
      <c r="V1152" s="7" t="str">
        <f aca="false">IF(COUNTIFS($B$2:$B$5001,B1152,$H$2:$H$5001,H1152,$J$2:$J$5001,J1152)&gt;1,"Possible Duplicate Booking","Unique")</f>
        <v>Unique</v>
      </c>
      <c r="W1152" s="7" t="str">
        <f aca="false">IF((H1152-G1152)&lt;&gt;K1152,"Mismatch","OK")</f>
        <v>OK</v>
      </c>
      <c r="X1152" s="7" t="str">
        <f aca="false">IF(TEXT(H1152,"dddd")&lt;&gt;I1152,"Mismatch","OK")</f>
        <v>OK</v>
      </c>
      <c r="Y1152" s="7" t="str">
        <f aca="false">IF(AND(N1152="No",O1152&lt;&gt;""),"Unexpected: channel present but no reminder sent",IF(AND(N1152="Yes",O1152=""),"Missing channel for sent reminder","OK"))</f>
        <v>OK</v>
      </c>
    </row>
    <row r="1153" customFormat="false" ht="15" hidden="false" customHeight="false" outlineLevel="0" collapsed="false">
      <c r="A1153" s="9" t="s">
        <v>2077</v>
      </c>
      <c r="B1153" s="9" t="s">
        <v>1353</v>
      </c>
      <c r="C1153" s="9" t="s">
        <v>47</v>
      </c>
      <c r="D1153" s="9" t="n">
        <v>26</v>
      </c>
      <c r="E1153" s="9" t="s">
        <v>48</v>
      </c>
      <c r="F1153" s="9" t="s">
        <v>74</v>
      </c>
      <c r="G1153" s="10" t="n">
        <v>45878</v>
      </c>
      <c r="H1153" s="10" t="n">
        <v>45933</v>
      </c>
      <c r="I1153" s="9" t="s">
        <v>50</v>
      </c>
      <c r="J1153" s="9" t="s">
        <v>51</v>
      </c>
      <c r="K1153" s="9" t="n">
        <v>55</v>
      </c>
      <c r="L1153" s="9" t="n">
        <v>2</v>
      </c>
      <c r="M1153" s="9" t="n">
        <v>0</v>
      </c>
      <c r="N1153" s="9" t="s">
        <v>71</v>
      </c>
      <c r="O1153" s="9"/>
      <c r="P1153" s="9" t="n">
        <v>4.6</v>
      </c>
      <c r="Q1153" s="9" t="n">
        <v>20</v>
      </c>
      <c r="R1153" s="9" t="s">
        <v>44</v>
      </c>
      <c r="S1153" s="9"/>
      <c r="T1153" s="9"/>
      <c r="U1153" s="9" t="str">
        <f aca="false">IF(COUNTIF($A$2:$A$5001,A1153)&gt;1,"Duplicate","Unique")</f>
        <v>Unique</v>
      </c>
      <c r="V1153" s="9" t="str">
        <f aca="false">IF(COUNTIFS($B$2:$B$5001,B1153,$H$2:$H$5001,H1153,$J$2:$J$5001,J1153)&gt;1,"Possible Duplicate Booking","Unique")</f>
        <v>Unique</v>
      </c>
      <c r="W1153" s="9" t="str">
        <f aca="false">IF((H1153-G1153)&lt;&gt;K1153,"Mismatch","OK")</f>
        <v>OK</v>
      </c>
      <c r="X1153" s="9" t="str">
        <f aca="false">IF(TEXT(H1153,"dddd")&lt;&gt;I1153,"Mismatch","OK")</f>
        <v>OK</v>
      </c>
      <c r="Y1153" s="9" t="str">
        <f aca="false">IF(AND(N1153="No",O1153&lt;&gt;""),"Unexpected: channel present but no reminder sent",IF(AND(N1153="Yes",O1153=""),"Missing channel for sent reminder","OK"))</f>
        <v>OK</v>
      </c>
    </row>
    <row r="1154" customFormat="false" ht="15" hidden="false" customHeight="false" outlineLevel="0" collapsed="false">
      <c r="A1154" s="7" t="s">
        <v>2078</v>
      </c>
      <c r="B1154" s="7" t="s">
        <v>790</v>
      </c>
      <c r="C1154" s="7" t="s">
        <v>47</v>
      </c>
      <c r="D1154" s="7" t="n">
        <v>24</v>
      </c>
      <c r="E1154" s="7" t="s">
        <v>82</v>
      </c>
      <c r="F1154" s="7" t="s">
        <v>74</v>
      </c>
      <c r="G1154" s="8" t="n">
        <v>45853</v>
      </c>
      <c r="H1154" s="8" t="n">
        <v>45893</v>
      </c>
      <c r="I1154" s="7" t="s">
        <v>75</v>
      </c>
      <c r="J1154" s="7" t="s">
        <v>51</v>
      </c>
      <c r="K1154" s="7" t="n">
        <v>40</v>
      </c>
      <c r="L1154" s="7" t="n">
        <v>3</v>
      </c>
      <c r="M1154" s="7" t="n">
        <v>0</v>
      </c>
      <c r="N1154" s="7" t="s">
        <v>42</v>
      </c>
      <c r="O1154" s="7" t="s">
        <v>52</v>
      </c>
      <c r="P1154" s="7" t="n">
        <v>8.4</v>
      </c>
      <c r="Q1154" s="7" t="n">
        <v>7</v>
      </c>
      <c r="R1154" s="7" t="s">
        <v>44</v>
      </c>
      <c r="S1154" s="7"/>
      <c r="T1154" s="7"/>
      <c r="U1154" s="7" t="str">
        <f aca="false">IF(COUNTIF($A$2:$A$5001,A1154)&gt;1,"Duplicate","Unique")</f>
        <v>Unique</v>
      </c>
      <c r="V1154" s="7" t="str">
        <f aca="false">IF(COUNTIFS($B$2:$B$5001,B1154,$H$2:$H$5001,H1154,$J$2:$J$5001,J1154)&gt;1,"Possible Duplicate Booking","Unique")</f>
        <v>Unique</v>
      </c>
      <c r="W1154" s="7" t="str">
        <f aca="false">IF((H1154-G1154)&lt;&gt;K1154,"Mismatch","OK")</f>
        <v>OK</v>
      </c>
      <c r="X1154" s="7" t="str">
        <f aca="false">IF(TEXT(H1154,"dddd")&lt;&gt;I1154,"Mismatch","OK")</f>
        <v>OK</v>
      </c>
      <c r="Y1154" s="7" t="str">
        <f aca="false">IF(AND(N1154="No",O1154&lt;&gt;""),"Unexpected: channel present but no reminder sent",IF(AND(N1154="Yes",O1154=""),"Missing channel for sent reminder","OK"))</f>
        <v>OK</v>
      </c>
    </row>
    <row r="1155" customFormat="false" ht="15" hidden="false" customHeight="false" outlineLevel="0" collapsed="false">
      <c r="A1155" s="9" t="s">
        <v>2079</v>
      </c>
      <c r="B1155" s="9" t="s">
        <v>1407</v>
      </c>
      <c r="C1155" s="9" t="s">
        <v>37</v>
      </c>
      <c r="D1155" s="9" t="n">
        <v>79</v>
      </c>
      <c r="E1155" s="9" t="s">
        <v>70</v>
      </c>
      <c r="F1155" s="9" t="s">
        <v>57</v>
      </c>
      <c r="G1155" s="10" t="n">
        <v>46134</v>
      </c>
      <c r="H1155" s="10" t="n">
        <v>46154</v>
      </c>
      <c r="I1155" s="9" t="s">
        <v>40</v>
      </c>
      <c r="J1155" s="9" t="s">
        <v>51</v>
      </c>
      <c r="K1155" s="9" t="n">
        <v>20</v>
      </c>
      <c r="L1155" s="9" t="n">
        <v>0</v>
      </c>
      <c r="M1155" s="9" t="n">
        <v>0</v>
      </c>
      <c r="N1155" s="9" t="s">
        <v>42</v>
      </c>
      <c r="O1155" s="9" t="s">
        <v>52</v>
      </c>
      <c r="P1155" s="9" t="n">
        <v>1.6</v>
      </c>
      <c r="Q1155" s="9" t="n">
        <v>28</v>
      </c>
      <c r="R1155" s="9" t="s">
        <v>53</v>
      </c>
      <c r="S1155" s="9"/>
      <c r="T1155" s="9"/>
      <c r="U1155" s="9" t="str">
        <f aca="false">IF(COUNTIF($A$2:$A$5001,A1155)&gt;1,"Duplicate","Unique")</f>
        <v>Unique</v>
      </c>
      <c r="V1155" s="9" t="str">
        <f aca="false">IF(COUNTIFS($B$2:$B$5001,B1155,$H$2:$H$5001,H1155,$J$2:$J$5001,J1155)&gt;1,"Possible Duplicate Booking","Unique")</f>
        <v>Unique</v>
      </c>
      <c r="W1155" s="9" t="str">
        <f aca="false">IF((H1155-G1155)&lt;&gt;K1155,"Mismatch","OK")</f>
        <v>OK</v>
      </c>
      <c r="X1155" s="9" t="str">
        <f aca="false">IF(TEXT(H1155,"dddd")&lt;&gt;I1155,"Mismatch","OK")</f>
        <v>OK</v>
      </c>
      <c r="Y1155" s="9" t="str">
        <f aca="false">IF(AND(N1155="No",O1155&lt;&gt;""),"Unexpected: channel present but no reminder sent",IF(AND(N1155="Yes",O1155=""),"Missing channel for sent reminder","OK"))</f>
        <v>OK</v>
      </c>
    </row>
    <row r="1156" customFormat="false" ht="15" hidden="false" customHeight="false" outlineLevel="0" collapsed="false">
      <c r="A1156" s="7" t="s">
        <v>2080</v>
      </c>
      <c r="B1156" s="7" t="s">
        <v>2081</v>
      </c>
      <c r="C1156" s="7" t="s">
        <v>47</v>
      </c>
      <c r="D1156" s="7" t="n">
        <v>55</v>
      </c>
      <c r="E1156" s="7" t="s">
        <v>61</v>
      </c>
      <c r="F1156" s="7" t="s">
        <v>57</v>
      </c>
      <c r="G1156" s="8" t="n">
        <v>45824</v>
      </c>
      <c r="H1156" s="8" t="n">
        <v>45824</v>
      </c>
      <c r="I1156" s="7" t="s">
        <v>66</v>
      </c>
      <c r="J1156" s="7" t="s">
        <v>51</v>
      </c>
      <c r="K1156" s="7" t="n">
        <v>0</v>
      </c>
      <c r="L1156" s="7" t="n">
        <v>5</v>
      </c>
      <c r="M1156" s="7" t="n">
        <v>0</v>
      </c>
      <c r="N1156" s="7" t="s">
        <v>71</v>
      </c>
      <c r="O1156" s="7"/>
      <c r="P1156" s="7" t="n">
        <v>11.8</v>
      </c>
      <c r="Q1156" s="7" t="n">
        <v>18</v>
      </c>
      <c r="R1156" s="7" t="s">
        <v>53</v>
      </c>
      <c r="S1156" s="7"/>
      <c r="T1156" s="7"/>
      <c r="U1156" s="7" t="str">
        <f aca="false">IF(COUNTIF($A$2:$A$5001,A1156)&gt;1,"Duplicate","Unique")</f>
        <v>Unique</v>
      </c>
      <c r="V1156" s="7" t="str">
        <f aca="false">IF(COUNTIFS($B$2:$B$5001,B1156,$H$2:$H$5001,H1156,$J$2:$J$5001,J1156)&gt;1,"Possible Duplicate Booking","Unique")</f>
        <v>Unique</v>
      </c>
      <c r="W1156" s="7" t="str">
        <f aca="false">IF((H1156-G1156)&lt;&gt;K1156,"Mismatch","OK")</f>
        <v>OK</v>
      </c>
      <c r="X1156" s="7" t="str">
        <f aca="false">IF(TEXT(H1156,"dddd")&lt;&gt;I1156,"Mismatch","OK")</f>
        <v>OK</v>
      </c>
      <c r="Y1156" s="7" t="str">
        <f aca="false">IF(AND(N1156="No",O1156&lt;&gt;""),"Unexpected: channel present but no reminder sent",IF(AND(N1156="Yes",O1156=""),"Missing channel for sent reminder","OK"))</f>
        <v>OK</v>
      </c>
    </row>
    <row r="1157" customFormat="false" ht="15" hidden="false" customHeight="false" outlineLevel="0" collapsed="false">
      <c r="A1157" s="9" t="s">
        <v>2082</v>
      </c>
      <c r="B1157" s="9" t="s">
        <v>1201</v>
      </c>
      <c r="C1157" s="9" t="s">
        <v>47</v>
      </c>
      <c r="D1157" s="9" t="n">
        <v>60</v>
      </c>
      <c r="E1157" s="9" t="s">
        <v>61</v>
      </c>
      <c r="F1157" s="9" t="s">
        <v>57</v>
      </c>
      <c r="G1157" s="10" t="n">
        <v>45941</v>
      </c>
      <c r="H1157" s="10" t="n">
        <v>45978</v>
      </c>
      <c r="I1157" s="9" t="s">
        <v>66</v>
      </c>
      <c r="J1157" s="9" t="s">
        <v>51</v>
      </c>
      <c r="K1157" s="9" t="n">
        <v>37</v>
      </c>
      <c r="L1157" s="9" t="n">
        <v>5</v>
      </c>
      <c r="M1157" s="9" t="n">
        <v>0</v>
      </c>
      <c r="N1157" s="9" t="s">
        <v>42</v>
      </c>
      <c r="O1157" s="9" t="s">
        <v>52</v>
      </c>
      <c r="P1157" s="9" t="n">
        <v>11.6</v>
      </c>
      <c r="Q1157" s="9" t="n">
        <v>26</v>
      </c>
      <c r="R1157" s="9" t="s">
        <v>44</v>
      </c>
      <c r="S1157" s="9"/>
      <c r="T1157" s="9"/>
      <c r="U1157" s="9" t="str">
        <f aca="false">IF(COUNTIF($A$2:$A$5001,A1157)&gt;1,"Duplicate","Unique")</f>
        <v>Unique</v>
      </c>
      <c r="V1157" s="9" t="str">
        <f aca="false">IF(COUNTIFS($B$2:$B$5001,B1157,$H$2:$H$5001,H1157,$J$2:$J$5001,J1157)&gt;1,"Possible Duplicate Booking","Unique")</f>
        <v>Unique</v>
      </c>
      <c r="W1157" s="9" t="str">
        <f aca="false">IF((H1157-G1157)&lt;&gt;K1157,"Mismatch","OK")</f>
        <v>OK</v>
      </c>
      <c r="X1157" s="9" t="str">
        <f aca="false">IF(TEXT(H1157,"dddd")&lt;&gt;I1157,"Mismatch","OK")</f>
        <v>OK</v>
      </c>
      <c r="Y1157" s="9" t="str">
        <f aca="false">IF(AND(N1157="No",O1157&lt;&gt;""),"Unexpected: channel present but no reminder sent",IF(AND(N1157="Yes",O1157=""),"Missing channel for sent reminder","OK"))</f>
        <v>OK</v>
      </c>
    </row>
    <row r="1158" customFormat="false" ht="15" hidden="false" customHeight="false" outlineLevel="0" collapsed="false">
      <c r="A1158" s="7" t="s">
        <v>2083</v>
      </c>
      <c r="B1158" s="7" t="s">
        <v>813</v>
      </c>
      <c r="C1158" s="7" t="s">
        <v>47</v>
      </c>
      <c r="D1158" s="7" t="n">
        <v>32</v>
      </c>
      <c r="E1158" s="7" t="s">
        <v>48</v>
      </c>
      <c r="F1158" s="7" t="s">
        <v>57</v>
      </c>
      <c r="G1158" s="8" t="n">
        <v>45718</v>
      </c>
      <c r="H1158" s="8" t="n">
        <v>45723</v>
      </c>
      <c r="I1158" s="7" t="s">
        <v>50</v>
      </c>
      <c r="J1158" s="7" t="s">
        <v>63</v>
      </c>
      <c r="K1158" s="7" t="n">
        <v>5</v>
      </c>
      <c r="L1158" s="7" t="n">
        <v>3</v>
      </c>
      <c r="M1158" s="7" t="n">
        <v>0</v>
      </c>
      <c r="N1158" s="7" t="s">
        <v>42</v>
      </c>
      <c r="O1158" s="7" t="s">
        <v>43</v>
      </c>
      <c r="P1158" s="7" t="n">
        <v>9.5</v>
      </c>
      <c r="Q1158" s="7" t="n">
        <v>13</v>
      </c>
      <c r="R1158" s="7" t="s">
        <v>53</v>
      </c>
      <c r="S1158" s="7"/>
      <c r="T1158" s="7"/>
      <c r="U1158" s="7" t="str">
        <f aca="false">IF(COUNTIF($A$2:$A$5001,A1158)&gt;1,"Duplicate","Unique")</f>
        <v>Unique</v>
      </c>
      <c r="V1158" s="7" t="str">
        <f aca="false">IF(COUNTIFS($B$2:$B$5001,B1158,$H$2:$H$5001,H1158,$J$2:$J$5001,J1158)&gt;1,"Possible Duplicate Booking","Unique")</f>
        <v>Unique</v>
      </c>
      <c r="W1158" s="7" t="str">
        <f aca="false">IF((H1158-G1158)&lt;&gt;K1158,"Mismatch","OK")</f>
        <v>OK</v>
      </c>
      <c r="X1158" s="7" t="str">
        <f aca="false">IF(TEXT(H1158,"dddd")&lt;&gt;I1158,"Mismatch","OK")</f>
        <v>OK</v>
      </c>
      <c r="Y1158" s="7" t="str">
        <f aca="false">IF(AND(N1158="No",O1158&lt;&gt;""),"Unexpected: channel present but no reminder sent",IF(AND(N1158="Yes",O1158=""),"Missing channel for sent reminder","OK"))</f>
        <v>OK</v>
      </c>
    </row>
    <row r="1159" customFormat="false" ht="15" hidden="false" customHeight="false" outlineLevel="0" collapsed="false">
      <c r="A1159" s="9" t="s">
        <v>2084</v>
      </c>
      <c r="B1159" s="9" t="s">
        <v>1967</v>
      </c>
      <c r="C1159" s="9" t="s">
        <v>37</v>
      </c>
      <c r="D1159" s="9" t="n">
        <v>71</v>
      </c>
      <c r="E1159" s="9" t="s">
        <v>70</v>
      </c>
      <c r="F1159" s="9" t="s">
        <v>39</v>
      </c>
      <c r="G1159" s="10" t="n">
        <v>46085</v>
      </c>
      <c r="H1159" s="10" t="n">
        <v>46122</v>
      </c>
      <c r="I1159" s="9" t="s">
        <v>50</v>
      </c>
      <c r="J1159" s="9" t="s">
        <v>41</v>
      </c>
      <c r="K1159" s="9" t="n">
        <v>37</v>
      </c>
      <c r="L1159" s="9" t="n">
        <v>2</v>
      </c>
      <c r="M1159" s="9" t="n">
        <v>0</v>
      </c>
      <c r="N1159" s="9" t="s">
        <v>71</v>
      </c>
      <c r="O1159" s="9"/>
      <c r="P1159" s="9" t="n">
        <v>7</v>
      </c>
      <c r="Q1159" s="9" t="n">
        <v>38</v>
      </c>
      <c r="R1159" s="9" t="s">
        <v>53</v>
      </c>
      <c r="S1159" s="9"/>
      <c r="T1159" s="9"/>
      <c r="U1159" s="9" t="str">
        <f aca="false">IF(COUNTIF($A$2:$A$5001,A1159)&gt;1,"Duplicate","Unique")</f>
        <v>Unique</v>
      </c>
      <c r="V1159" s="9" t="str">
        <f aca="false">IF(COUNTIFS($B$2:$B$5001,B1159,$H$2:$H$5001,H1159,$J$2:$J$5001,J1159)&gt;1,"Possible Duplicate Booking","Unique")</f>
        <v>Unique</v>
      </c>
      <c r="W1159" s="9" t="str">
        <f aca="false">IF((H1159-G1159)&lt;&gt;K1159,"Mismatch","OK")</f>
        <v>OK</v>
      </c>
      <c r="X1159" s="9" t="str">
        <f aca="false">IF(TEXT(H1159,"dddd")&lt;&gt;I1159,"Mismatch","OK")</f>
        <v>OK</v>
      </c>
      <c r="Y1159" s="9" t="str">
        <f aca="false">IF(AND(N1159="No",O1159&lt;&gt;""),"Unexpected: channel present but no reminder sent",IF(AND(N1159="Yes",O1159=""),"Missing channel for sent reminder","OK"))</f>
        <v>OK</v>
      </c>
    </row>
    <row r="1160" customFormat="false" ht="15" hidden="false" customHeight="false" outlineLevel="0" collapsed="false">
      <c r="A1160" s="7" t="s">
        <v>2085</v>
      </c>
      <c r="B1160" s="7" t="s">
        <v>1788</v>
      </c>
      <c r="C1160" s="7" t="s">
        <v>37</v>
      </c>
      <c r="D1160" s="7" t="n">
        <v>63</v>
      </c>
      <c r="E1160" s="7" t="s">
        <v>61</v>
      </c>
      <c r="F1160" s="7" t="s">
        <v>39</v>
      </c>
      <c r="G1160" s="8" t="n">
        <v>45820</v>
      </c>
      <c r="H1160" s="8" t="n">
        <v>45867</v>
      </c>
      <c r="I1160" s="7" t="s">
        <v>40</v>
      </c>
      <c r="J1160" s="7" t="s">
        <v>41</v>
      </c>
      <c r="K1160" s="7" t="n">
        <v>47</v>
      </c>
      <c r="L1160" s="7" t="n">
        <v>5</v>
      </c>
      <c r="M1160" s="7" t="n">
        <v>2</v>
      </c>
      <c r="N1160" s="7" t="s">
        <v>71</v>
      </c>
      <c r="O1160" s="7"/>
      <c r="P1160" s="7" t="n">
        <v>14.4</v>
      </c>
      <c r="Q1160" s="7" t="n">
        <v>32</v>
      </c>
      <c r="R1160" s="7" t="s">
        <v>44</v>
      </c>
      <c r="S1160" s="7"/>
      <c r="T1160" s="7"/>
      <c r="U1160" s="7" t="str">
        <f aca="false">IF(COUNTIF($A$2:$A$5001,A1160)&gt;1,"Duplicate","Unique")</f>
        <v>Unique</v>
      </c>
      <c r="V1160" s="7" t="str">
        <f aca="false">IF(COUNTIFS($B$2:$B$5001,B1160,$H$2:$H$5001,H1160,$J$2:$J$5001,J1160)&gt;1,"Possible Duplicate Booking","Unique")</f>
        <v>Unique</v>
      </c>
      <c r="W1160" s="7" t="str">
        <f aca="false">IF((H1160-G1160)&lt;&gt;K1160,"Mismatch","OK")</f>
        <v>OK</v>
      </c>
      <c r="X1160" s="7" t="str">
        <f aca="false">IF(TEXT(H1160,"dddd")&lt;&gt;I1160,"Mismatch","OK")</f>
        <v>OK</v>
      </c>
      <c r="Y1160" s="7" t="str">
        <f aca="false">IF(AND(N1160="No",O1160&lt;&gt;""),"Unexpected: channel present but no reminder sent",IF(AND(N1160="Yes",O1160=""),"Missing channel for sent reminder","OK"))</f>
        <v>OK</v>
      </c>
    </row>
    <row r="1161" customFormat="false" ht="15" hidden="false" customHeight="false" outlineLevel="0" collapsed="false">
      <c r="A1161" s="9" t="s">
        <v>2086</v>
      </c>
      <c r="B1161" s="9" t="s">
        <v>1439</v>
      </c>
      <c r="C1161" s="9" t="s">
        <v>47</v>
      </c>
      <c r="D1161" s="9" t="n">
        <v>65</v>
      </c>
      <c r="E1161" s="9" t="s">
        <v>70</v>
      </c>
      <c r="F1161" s="9" t="s">
        <v>39</v>
      </c>
      <c r="G1161" s="10" t="n">
        <v>45827</v>
      </c>
      <c r="H1161" s="10" t="n">
        <v>45843</v>
      </c>
      <c r="I1161" s="9" t="s">
        <v>102</v>
      </c>
      <c r="J1161" s="9" t="s">
        <v>51</v>
      </c>
      <c r="K1161" s="9" t="n">
        <v>16</v>
      </c>
      <c r="L1161" s="9" t="n">
        <v>3</v>
      </c>
      <c r="M1161" s="9" t="n">
        <v>1</v>
      </c>
      <c r="N1161" s="9" t="s">
        <v>71</v>
      </c>
      <c r="O1161" s="9"/>
      <c r="P1161" s="9" t="n">
        <v>18.6</v>
      </c>
      <c r="Q1161" s="9" t="n">
        <v>20</v>
      </c>
      <c r="R1161" s="9" t="s">
        <v>87</v>
      </c>
      <c r="S1161" s="9"/>
      <c r="T1161" s="9"/>
      <c r="U1161" s="9" t="str">
        <f aca="false">IF(COUNTIF($A$2:$A$5001,A1161)&gt;1,"Duplicate","Unique")</f>
        <v>Unique</v>
      </c>
      <c r="V1161" s="9" t="str">
        <f aca="false">IF(COUNTIFS($B$2:$B$5001,B1161,$H$2:$H$5001,H1161,$J$2:$J$5001,J1161)&gt;1,"Possible Duplicate Booking","Unique")</f>
        <v>Unique</v>
      </c>
      <c r="W1161" s="9" t="str">
        <f aca="false">IF((H1161-G1161)&lt;&gt;K1161,"Mismatch","OK")</f>
        <v>OK</v>
      </c>
      <c r="X1161" s="9" t="str">
        <f aca="false">IF(TEXT(H1161,"dddd")&lt;&gt;I1161,"Mismatch","OK")</f>
        <v>OK</v>
      </c>
      <c r="Y1161" s="9" t="str">
        <f aca="false">IF(AND(N1161="No",O1161&lt;&gt;""),"Unexpected: channel present but no reminder sent",IF(AND(N1161="Yes",O1161=""),"Missing channel for sent reminder","OK"))</f>
        <v>OK</v>
      </c>
    </row>
    <row r="1162" customFormat="false" ht="15" hidden="false" customHeight="false" outlineLevel="0" collapsed="false">
      <c r="A1162" s="7" t="s">
        <v>2087</v>
      </c>
      <c r="B1162" s="7" t="s">
        <v>2088</v>
      </c>
      <c r="C1162" s="7" t="s">
        <v>47</v>
      </c>
      <c r="D1162" s="7" t="n">
        <v>47</v>
      </c>
      <c r="E1162" s="7" t="s">
        <v>56</v>
      </c>
      <c r="F1162" s="7" t="s">
        <v>57</v>
      </c>
      <c r="G1162" s="8" t="n">
        <v>45962</v>
      </c>
      <c r="H1162" s="8" t="n">
        <v>45976</v>
      </c>
      <c r="I1162" s="7" t="s">
        <v>102</v>
      </c>
      <c r="J1162" s="7" t="s">
        <v>41</v>
      </c>
      <c r="K1162" s="7" t="n">
        <v>14</v>
      </c>
      <c r="L1162" s="7" t="n">
        <v>5</v>
      </c>
      <c r="M1162" s="7" t="n">
        <v>1</v>
      </c>
      <c r="N1162" s="7" t="s">
        <v>71</v>
      </c>
      <c r="O1162" s="7"/>
      <c r="P1162" s="7" t="n">
        <v>26</v>
      </c>
      <c r="Q1162" s="7" t="n">
        <v>27</v>
      </c>
      <c r="R1162" s="7" t="s">
        <v>53</v>
      </c>
      <c r="S1162" s="7"/>
      <c r="T1162" s="7"/>
      <c r="U1162" s="7" t="str">
        <f aca="false">IF(COUNTIF($A$2:$A$5001,A1162)&gt;1,"Duplicate","Unique")</f>
        <v>Unique</v>
      </c>
      <c r="V1162" s="7" t="str">
        <f aca="false">IF(COUNTIFS($B$2:$B$5001,B1162,$H$2:$H$5001,H1162,$J$2:$J$5001,J1162)&gt;1,"Possible Duplicate Booking","Unique")</f>
        <v>Unique</v>
      </c>
      <c r="W1162" s="7" t="str">
        <f aca="false">IF((H1162-G1162)&lt;&gt;K1162,"Mismatch","OK")</f>
        <v>OK</v>
      </c>
      <c r="X1162" s="7" t="str">
        <f aca="false">IF(TEXT(H1162,"dddd")&lt;&gt;I1162,"Mismatch","OK")</f>
        <v>OK</v>
      </c>
      <c r="Y1162" s="7" t="str">
        <f aca="false">IF(AND(N1162="No",O1162&lt;&gt;""),"Unexpected: channel present but no reminder sent",IF(AND(N1162="Yes",O1162=""),"Missing channel for sent reminder","OK"))</f>
        <v>OK</v>
      </c>
    </row>
    <row r="1163" customFormat="false" ht="15" hidden="false" customHeight="false" outlineLevel="0" collapsed="false">
      <c r="A1163" s="9" t="s">
        <v>2089</v>
      </c>
      <c r="B1163" s="9" t="s">
        <v>2090</v>
      </c>
      <c r="C1163" s="9" t="s">
        <v>37</v>
      </c>
      <c r="D1163" s="9" t="n">
        <v>61</v>
      </c>
      <c r="E1163" s="9" t="s">
        <v>61</v>
      </c>
      <c r="F1163" s="9" t="s">
        <v>57</v>
      </c>
      <c r="G1163" s="10" t="n">
        <v>45917</v>
      </c>
      <c r="H1163" s="10" t="n">
        <v>45930</v>
      </c>
      <c r="I1163" s="9" t="s">
        <v>40</v>
      </c>
      <c r="J1163" s="9" t="s">
        <v>41</v>
      </c>
      <c r="K1163" s="9" t="n">
        <v>13</v>
      </c>
      <c r="L1163" s="9" t="n">
        <v>3</v>
      </c>
      <c r="M1163" s="9" t="n">
        <v>0</v>
      </c>
      <c r="N1163" s="9" t="s">
        <v>42</v>
      </c>
      <c r="O1163" s="9" t="s">
        <v>52</v>
      </c>
      <c r="P1163" s="9" t="n">
        <v>11.4</v>
      </c>
      <c r="Q1163" s="9" t="n">
        <v>42</v>
      </c>
      <c r="R1163" s="9" t="s">
        <v>53</v>
      </c>
      <c r="S1163" s="9"/>
      <c r="T1163" s="9"/>
      <c r="U1163" s="9" t="str">
        <f aca="false">IF(COUNTIF($A$2:$A$5001,A1163)&gt;1,"Duplicate","Unique")</f>
        <v>Unique</v>
      </c>
      <c r="V1163" s="9" t="str">
        <f aca="false">IF(COUNTIFS($B$2:$B$5001,B1163,$H$2:$H$5001,H1163,$J$2:$J$5001,J1163)&gt;1,"Possible Duplicate Booking","Unique")</f>
        <v>Unique</v>
      </c>
      <c r="W1163" s="9" t="str">
        <f aca="false">IF((H1163-G1163)&lt;&gt;K1163,"Mismatch","OK")</f>
        <v>OK</v>
      </c>
      <c r="X1163" s="9" t="str">
        <f aca="false">IF(TEXT(H1163,"dddd")&lt;&gt;I1163,"Mismatch","OK")</f>
        <v>OK</v>
      </c>
      <c r="Y1163" s="9" t="str">
        <f aca="false">IF(AND(N1163="No",O1163&lt;&gt;""),"Unexpected: channel present but no reminder sent",IF(AND(N1163="Yes",O1163=""),"Missing channel for sent reminder","OK"))</f>
        <v>OK</v>
      </c>
    </row>
    <row r="1164" customFormat="false" ht="15" hidden="false" customHeight="false" outlineLevel="0" collapsed="false">
      <c r="A1164" s="7" t="s">
        <v>2091</v>
      </c>
      <c r="B1164" s="7" t="s">
        <v>1451</v>
      </c>
      <c r="C1164" s="7" t="s">
        <v>47</v>
      </c>
      <c r="D1164" s="7" t="n">
        <v>52</v>
      </c>
      <c r="E1164" s="7" t="s">
        <v>56</v>
      </c>
      <c r="F1164" s="7" t="s">
        <v>74</v>
      </c>
      <c r="G1164" s="8" t="n">
        <v>46107</v>
      </c>
      <c r="H1164" s="8" t="n">
        <v>46120</v>
      </c>
      <c r="I1164" s="7" t="s">
        <v>58</v>
      </c>
      <c r="J1164" s="7" t="s">
        <v>63</v>
      </c>
      <c r="K1164" s="7" t="n">
        <v>13</v>
      </c>
      <c r="L1164" s="7" t="n">
        <v>3</v>
      </c>
      <c r="M1164" s="7" t="n">
        <v>2</v>
      </c>
      <c r="N1164" s="7" t="s">
        <v>42</v>
      </c>
      <c r="O1164" s="7" t="s">
        <v>43</v>
      </c>
      <c r="P1164" s="7" t="n">
        <v>8</v>
      </c>
      <c r="Q1164" s="7" t="n">
        <v>37</v>
      </c>
      <c r="R1164" s="7" t="s">
        <v>53</v>
      </c>
      <c r="S1164" s="7"/>
      <c r="T1164" s="7"/>
      <c r="U1164" s="7" t="str">
        <f aca="false">IF(COUNTIF($A$2:$A$5001,A1164)&gt;1,"Duplicate","Unique")</f>
        <v>Unique</v>
      </c>
      <c r="V1164" s="7" t="str">
        <f aca="false">IF(COUNTIFS($B$2:$B$5001,B1164,$H$2:$H$5001,H1164,$J$2:$J$5001,J1164)&gt;1,"Possible Duplicate Booking","Unique")</f>
        <v>Unique</v>
      </c>
      <c r="W1164" s="7" t="str">
        <f aca="false">IF((H1164-G1164)&lt;&gt;K1164,"Mismatch","OK")</f>
        <v>OK</v>
      </c>
      <c r="X1164" s="7" t="str">
        <f aca="false">IF(TEXT(H1164,"dddd")&lt;&gt;I1164,"Mismatch","OK")</f>
        <v>OK</v>
      </c>
      <c r="Y1164" s="7" t="str">
        <f aca="false">IF(AND(N1164="No",O1164&lt;&gt;""),"Unexpected: channel present but no reminder sent",IF(AND(N1164="Yes",O1164=""),"Missing channel for sent reminder","OK"))</f>
        <v>OK</v>
      </c>
    </row>
    <row r="1165" customFormat="false" ht="15" hidden="false" customHeight="false" outlineLevel="0" collapsed="false">
      <c r="A1165" s="9" t="s">
        <v>2092</v>
      </c>
      <c r="B1165" s="9" t="s">
        <v>548</v>
      </c>
      <c r="C1165" s="9" t="s">
        <v>47</v>
      </c>
      <c r="D1165" s="9" t="n">
        <v>42</v>
      </c>
      <c r="E1165" s="9" t="s">
        <v>38</v>
      </c>
      <c r="F1165" s="9" t="s">
        <v>74</v>
      </c>
      <c r="G1165" s="10" t="n">
        <v>45942</v>
      </c>
      <c r="H1165" s="10" t="n">
        <v>45948</v>
      </c>
      <c r="I1165" s="9" t="s">
        <v>102</v>
      </c>
      <c r="J1165" s="9" t="s">
        <v>51</v>
      </c>
      <c r="K1165" s="9" t="n">
        <v>6</v>
      </c>
      <c r="L1165" s="9" t="n">
        <v>4</v>
      </c>
      <c r="M1165" s="9" t="n">
        <v>0</v>
      </c>
      <c r="N1165" s="9" t="s">
        <v>42</v>
      </c>
      <c r="O1165" s="9" t="s">
        <v>52</v>
      </c>
      <c r="P1165" s="9" t="n">
        <v>5.7</v>
      </c>
      <c r="Q1165" s="9" t="n">
        <v>41</v>
      </c>
      <c r="R1165" s="9" t="s">
        <v>53</v>
      </c>
      <c r="S1165" s="9"/>
      <c r="T1165" s="9"/>
      <c r="U1165" s="9" t="str">
        <f aca="false">IF(COUNTIF($A$2:$A$5001,A1165)&gt;1,"Duplicate","Unique")</f>
        <v>Unique</v>
      </c>
      <c r="V1165" s="9" t="str">
        <f aca="false">IF(COUNTIFS($B$2:$B$5001,B1165,$H$2:$H$5001,H1165,$J$2:$J$5001,J1165)&gt;1,"Possible Duplicate Booking","Unique")</f>
        <v>Unique</v>
      </c>
      <c r="W1165" s="9" t="str">
        <f aca="false">IF((H1165-G1165)&lt;&gt;K1165,"Mismatch","OK")</f>
        <v>OK</v>
      </c>
      <c r="X1165" s="9" t="str">
        <f aca="false">IF(TEXT(H1165,"dddd")&lt;&gt;I1165,"Mismatch","OK")</f>
        <v>OK</v>
      </c>
      <c r="Y1165" s="9" t="str">
        <f aca="false">IF(AND(N1165="No",O1165&lt;&gt;""),"Unexpected: channel present but no reminder sent",IF(AND(N1165="Yes",O1165=""),"Missing channel for sent reminder","OK"))</f>
        <v>OK</v>
      </c>
    </row>
    <row r="1166" customFormat="false" ht="15" hidden="false" customHeight="false" outlineLevel="0" collapsed="false">
      <c r="A1166" s="7" t="s">
        <v>2093</v>
      </c>
      <c r="B1166" s="7" t="s">
        <v>2094</v>
      </c>
      <c r="C1166" s="7" t="s">
        <v>37</v>
      </c>
      <c r="D1166" s="7" t="n">
        <v>55</v>
      </c>
      <c r="E1166" s="7" t="s">
        <v>61</v>
      </c>
      <c r="F1166" s="7" t="s">
        <v>57</v>
      </c>
      <c r="G1166" s="8" t="n">
        <v>45925</v>
      </c>
      <c r="H1166" s="8" t="n">
        <v>45940</v>
      </c>
      <c r="I1166" s="7" t="s">
        <v>50</v>
      </c>
      <c r="J1166" s="7" t="s">
        <v>41</v>
      </c>
      <c r="K1166" s="7" t="n">
        <v>15</v>
      </c>
      <c r="L1166" s="7" t="n">
        <v>1</v>
      </c>
      <c r="M1166" s="7" t="n">
        <v>0</v>
      </c>
      <c r="N1166" s="7" t="s">
        <v>42</v>
      </c>
      <c r="O1166" s="7" t="s">
        <v>52</v>
      </c>
      <c r="P1166" s="7" t="n">
        <v>12.4</v>
      </c>
      <c r="Q1166" s="7" t="n">
        <v>31</v>
      </c>
      <c r="R1166" s="7" t="s">
        <v>53</v>
      </c>
      <c r="S1166" s="7"/>
      <c r="T1166" s="7"/>
      <c r="U1166" s="7" t="str">
        <f aca="false">IF(COUNTIF($A$2:$A$5001,A1166)&gt;1,"Duplicate","Unique")</f>
        <v>Unique</v>
      </c>
      <c r="V1166" s="7" t="str">
        <f aca="false">IF(COUNTIFS($B$2:$B$5001,B1166,$H$2:$H$5001,H1166,$J$2:$J$5001,J1166)&gt;1,"Possible Duplicate Booking","Unique")</f>
        <v>Unique</v>
      </c>
      <c r="W1166" s="7" t="str">
        <f aca="false">IF((H1166-G1166)&lt;&gt;K1166,"Mismatch","OK")</f>
        <v>OK</v>
      </c>
      <c r="X1166" s="7" t="str">
        <f aca="false">IF(TEXT(H1166,"dddd")&lt;&gt;I1166,"Mismatch","OK")</f>
        <v>OK</v>
      </c>
      <c r="Y1166" s="7" t="str">
        <f aca="false">IF(AND(N1166="No",O1166&lt;&gt;""),"Unexpected: channel present but no reminder sent",IF(AND(N1166="Yes",O1166=""),"Missing channel for sent reminder","OK"))</f>
        <v>OK</v>
      </c>
    </row>
    <row r="1167" customFormat="false" ht="15" hidden="false" customHeight="false" outlineLevel="0" collapsed="false">
      <c r="A1167" s="9" t="s">
        <v>2095</v>
      </c>
      <c r="B1167" s="9" t="s">
        <v>605</v>
      </c>
      <c r="C1167" s="9" t="s">
        <v>37</v>
      </c>
      <c r="D1167" s="9" t="n">
        <v>38</v>
      </c>
      <c r="E1167" s="9" t="s">
        <v>38</v>
      </c>
      <c r="F1167" s="9" t="s">
        <v>39</v>
      </c>
      <c r="G1167" s="10" t="n">
        <v>45675</v>
      </c>
      <c r="H1167" s="10" t="n">
        <v>45715</v>
      </c>
      <c r="I1167" s="9" t="s">
        <v>62</v>
      </c>
      <c r="J1167" s="9" t="s">
        <v>51</v>
      </c>
      <c r="K1167" s="9" t="n">
        <v>40</v>
      </c>
      <c r="L1167" s="9" t="n">
        <v>2</v>
      </c>
      <c r="M1167" s="9" t="n">
        <v>1</v>
      </c>
      <c r="N1167" s="9" t="s">
        <v>71</v>
      </c>
      <c r="O1167" s="9"/>
      <c r="P1167" s="9" t="n">
        <v>4.6</v>
      </c>
      <c r="Q1167" s="9" t="n">
        <v>18</v>
      </c>
      <c r="R1167" s="9" t="s">
        <v>44</v>
      </c>
      <c r="S1167" s="9"/>
      <c r="T1167" s="9"/>
      <c r="U1167" s="9" t="str">
        <f aca="false">IF(COUNTIF($A$2:$A$5001,A1167)&gt;1,"Duplicate","Unique")</f>
        <v>Unique</v>
      </c>
      <c r="V1167" s="9" t="str">
        <f aca="false">IF(COUNTIFS($B$2:$B$5001,B1167,$H$2:$H$5001,H1167,$J$2:$J$5001,J1167)&gt;1,"Possible Duplicate Booking","Unique")</f>
        <v>Unique</v>
      </c>
      <c r="W1167" s="9" t="str">
        <f aca="false">IF((H1167-G1167)&lt;&gt;K1167,"Mismatch","OK")</f>
        <v>OK</v>
      </c>
      <c r="X1167" s="9" t="str">
        <f aca="false">IF(TEXT(H1167,"dddd")&lt;&gt;I1167,"Mismatch","OK")</f>
        <v>OK</v>
      </c>
      <c r="Y1167" s="9" t="str">
        <f aca="false">IF(AND(N1167="No",O1167&lt;&gt;""),"Unexpected: channel present but no reminder sent",IF(AND(N1167="Yes",O1167=""),"Missing channel for sent reminder","OK"))</f>
        <v>OK</v>
      </c>
    </row>
    <row r="1168" customFormat="false" ht="15" hidden="false" customHeight="false" outlineLevel="0" collapsed="false">
      <c r="A1168" s="7" t="s">
        <v>2096</v>
      </c>
      <c r="B1168" s="7" t="s">
        <v>1453</v>
      </c>
      <c r="C1168" s="7" t="s">
        <v>37</v>
      </c>
      <c r="D1168" s="7" t="n">
        <v>78</v>
      </c>
      <c r="E1168" s="7" t="s">
        <v>70</v>
      </c>
      <c r="F1168" s="7" t="s">
        <v>39</v>
      </c>
      <c r="G1168" s="8" t="n">
        <v>45651</v>
      </c>
      <c r="H1168" s="8" t="n">
        <v>45669</v>
      </c>
      <c r="I1168" s="7" t="s">
        <v>75</v>
      </c>
      <c r="J1168" s="7" t="s">
        <v>41</v>
      </c>
      <c r="K1168" s="7" t="n">
        <v>18</v>
      </c>
      <c r="L1168" s="7" t="n">
        <v>7</v>
      </c>
      <c r="M1168" s="7" t="n">
        <v>3</v>
      </c>
      <c r="N1168" s="7" t="s">
        <v>42</v>
      </c>
      <c r="O1168" s="7" t="s">
        <v>52</v>
      </c>
      <c r="P1168" s="7" t="n">
        <v>11.9</v>
      </c>
      <c r="Q1168" s="7" t="n">
        <v>30</v>
      </c>
      <c r="R1168" s="7" t="s">
        <v>44</v>
      </c>
      <c r="S1168" s="7"/>
      <c r="T1168" s="7"/>
      <c r="U1168" s="7" t="str">
        <f aca="false">IF(COUNTIF($A$2:$A$5001,A1168)&gt;1,"Duplicate","Unique")</f>
        <v>Unique</v>
      </c>
      <c r="V1168" s="7" t="str">
        <f aca="false">IF(COUNTIFS($B$2:$B$5001,B1168,$H$2:$H$5001,H1168,$J$2:$J$5001,J1168)&gt;1,"Possible Duplicate Booking","Unique")</f>
        <v>Unique</v>
      </c>
      <c r="W1168" s="7" t="str">
        <f aca="false">IF((H1168-G1168)&lt;&gt;K1168,"Mismatch","OK")</f>
        <v>OK</v>
      </c>
      <c r="X1168" s="7" t="str">
        <f aca="false">IF(TEXT(H1168,"dddd")&lt;&gt;I1168,"Mismatch","OK")</f>
        <v>OK</v>
      </c>
      <c r="Y1168" s="7" t="str">
        <f aca="false">IF(AND(N1168="No",O1168&lt;&gt;""),"Unexpected: channel present but no reminder sent",IF(AND(N1168="Yes",O1168=""),"Missing channel for sent reminder","OK"))</f>
        <v>OK</v>
      </c>
    </row>
    <row r="1169" customFormat="false" ht="15" hidden="false" customHeight="false" outlineLevel="0" collapsed="false">
      <c r="A1169" s="9" t="s">
        <v>2097</v>
      </c>
      <c r="B1169" s="9" t="s">
        <v>2098</v>
      </c>
      <c r="C1169" s="9" t="s">
        <v>47</v>
      </c>
      <c r="D1169" s="9" t="n">
        <v>63</v>
      </c>
      <c r="E1169" s="9" t="s">
        <v>61</v>
      </c>
      <c r="F1169" s="9" t="s">
        <v>39</v>
      </c>
      <c r="G1169" s="10" t="n">
        <v>45828</v>
      </c>
      <c r="H1169" s="10" t="n">
        <v>45875</v>
      </c>
      <c r="I1169" s="9" t="s">
        <v>58</v>
      </c>
      <c r="J1169" s="9" t="s">
        <v>63</v>
      </c>
      <c r="K1169" s="9" t="n">
        <v>47</v>
      </c>
      <c r="L1169" s="9" t="n">
        <v>3</v>
      </c>
      <c r="M1169" s="9" t="n">
        <v>0</v>
      </c>
      <c r="N1169" s="9" t="s">
        <v>42</v>
      </c>
      <c r="O1169" s="9" t="s">
        <v>52</v>
      </c>
      <c r="P1169" s="9" t="n">
        <v>4.7</v>
      </c>
      <c r="Q1169" s="9"/>
      <c r="R1169" s="9" t="s">
        <v>44</v>
      </c>
      <c r="S1169" s="9"/>
      <c r="T1169" s="9"/>
      <c r="U1169" s="9" t="str">
        <f aca="false">IF(COUNTIF($A$2:$A$5001,A1169)&gt;1,"Duplicate","Unique")</f>
        <v>Unique</v>
      </c>
      <c r="V1169" s="9" t="str">
        <f aca="false">IF(COUNTIFS($B$2:$B$5001,B1169,$H$2:$H$5001,H1169,$J$2:$J$5001,J1169)&gt;1,"Possible Duplicate Booking","Unique")</f>
        <v>Unique</v>
      </c>
      <c r="W1169" s="9" t="str">
        <f aca="false">IF((H1169-G1169)&lt;&gt;K1169,"Mismatch","OK")</f>
        <v>OK</v>
      </c>
      <c r="X1169" s="9" t="str">
        <f aca="false">IF(TEXT(H1169,"dddd")&lt;&gt;I1169,"Mismatch","OK")</f>
        <v>OK</v>
      </c>
      <c r="Y1169" s="9" t="str">
        <f aca="false">IF(AND(N1169="No",O1169&lt;&gt;""),"Unexpected: channel present but no reminder sent",IF(AND(N1169="Yes",O1169=""),"Missing channel for sent reminder","OK"))</f>
        <v>OK</v>
      </c>
    </row>
    <row r="1170" customFormat="false" ht="15" hidden="false" customHeight="false" outlineLevel="0" collapsed="false">
      <c r="A1170" s="7" t="s">
        <v>2099</v>
      </c>
      <c r="B1170" s="7" t="s">
        <v>2100</v>
      </c>
      <c r="C1170" s="7" t="s">
        <v>47</v>
      </c>
      <c r="D1170" s="7" t="n">
        <v>64</v>
      </c>
      <c r="E1170" s="7" t="s">
        <v>61</v>
      </c>
      <c r="F1170" s="7" t="s">
        <v>39</v>
      </c>
      <c r="G1170" s="8" t="n">
        <v>46154</v>
      </c>
      <c r="H1170" s="8" t="n">
        <v>46203</v>
      </c>
      <c r="I1170" s="7" t="s">
        <v>40</v>
      </c>
      <c r="J1170" s="7" t="s">
        <v>41</v>
      </c>
      <c r="K1170" s="7" t="n">
        <v>49</v>
      </c>
      <c r="L1170" s="7" t="n">
        <v>4</v>
      </c>
      <c r="M1170" s="7" t="n">
        <v>1</v>
      </c>
      <c r="N1170" s="7" t="s">
        <v>71</v>
      </c>
      <c r="O1170" s="7"/>
      <c r="P1170" s="7" t="n">
        <v>8.3</v>
      </c>
      <c r="Q1170" s="7" t="n">
        <v>31</v>
      </c>
      <c r="R1170" s="7" t="s">
        <v>44</v>
      </c>
      <c r="S1170" s="7"/>
      <c r="T1170" s="7"/>
      <c r="U1170" s="7" t="str">
        <f aca="false">IF(COUNTIF($A$2:$A$5001,A1170)&gt;1,"Duplicate","Unique")</f>
        <v>Unique</v>
      </c>
      <c r="V1170" s="7" t="str">
        <f aca="false">IF(COUNTIFS($B$2:$B$5001,B1170,$H$2:$H$5001,H1170,$J$2:$J$5001,J1170)&gt;1,"Possible Duplicate Booking","Unique")</f>
        <v>Unique</v>
      </c>
      <c r="W1170" s="7" t="str">
        <f aca="false">IF((H1170-G1170)&lt;&gt;K1170,"Mismatch","OK")</f>
        <v>OK</v>
      </c>
      <c r="X1170" s="7" t="str">
        <f aca="false">IF(TEXT(H1170,"dddd")&lt;&gt;I1170,"Mismatch","OK")</f>
        <v>OK</v>
      </c>
      <c r="Y1170" s="7" t="str">
        <f aca="false">IF(AND(N1170="No",O1170&lt;&gt;""),"Unexpected: channel present but no reminder sent",IF(AND(N1170="Yes",O1170=""),"Missing channel for sent reminder","OK"))</f>
        <v>OK</v>
      </c>
    </row>
    <row r="1171" customFormat="false" ht="15" hidden="false" customHeight="false" outlineLevel="0" collapsed="false">
      <c r="A1171" s="9" t="s">
        <v>2101</v>
      </c>
      <c r="B1171" s="9" t="s">
        <v>2102</v>
      </c>
      <c r="C1171" s="9" t="s">
        <v>47</v>
      </c>
      <c r="D1171" s="9" t="n">
        <v>63</v>
      </c>
      <c r="E1171" s="9" t="s">
        <v>61</v>
      </c>
      <c r="F1171" s="9" t="s">
        <v>74</v>
      </c>
      <c r="G1171" s="10" t="n">
        <v>46112</v>
      </c>
      <c r="H1171" s="10" t="n">
        <v>46158</v>
      </c>
      <c r="I1171" s="9" t="s">
        <v>102</v>
      </c>
      <c r="J1171" s="9" t="s">
        <v>41</v>
      </c>
      <c r="K1171" s="9" t="n">
        <v>46</v>
      </c>
      <c r="L1171" s="9" t="n">
        <v>1</v>
      </c>
      <c r="M1171" s="9" t="n">
        <v>0</v>
      </c>
      <c r="N1171" s="9" t="s">
        <v>42</v>
      </c>
      <c r="O1171" s="9" t="s">
        <v>43</v>
      </c>
      <c r="P1171" s="9" t="n">
        <v>4.2</v>
      </c>
      <c r="Q1171" s="9" t="n">
        <v>15</v>
      </c>
      <c r="R1171" s="9" t="s">
        <v>44</v>
      </c>
      <c r="S1171" s="9"/>
      <c r="T1171" s="9"/>
      <c r="U1171" s="9" t="str">
        <f aca="false">IF(COUNTIF($A$2:$A$5001,A1171)&gt;1,"Duplicate","Unique")</f>
        <v>Unique</v>
      </c>
      <c r="V1171" s="9" t="str">
        <f aca="false">IF(COUNTIFS($B$2:$B$5001,B1171,$H$2:$H$5001,H1171,$J$2:$J$5001,J1171)&gt;1,"Possible Duplicate Booking","Unique")</f>
        <v>Unique</v>
      </c>
      <c r="W1171" s="9" t="str">
        <f aca="false">IF((H1171-G1171)&lt;&gt;K1171,"Mismatch","OK")</f>
        <v>OK</v>
      </c>
      <c r="X1171" s="9" t="str">
        <f aca="false">IF(TEXT(H1171,"dddd")&lt;&gt;I1171,"Mismatch","OK")</f>
        <v>OK</v>
      </c>
      <c r="Y1171" s="9" t="str">
        <f aca="false">IF(AND(N1171="No",O1171&lt;&gt;""),"Unexpected: channel present but no reminder sent",IF(AND(N1171="Yes",O1171=""),"Missing channel for sent reminder","OK"))</f>
        <v>OK</v>
      </c>
    </row>
    <row r="1172" customFormat="false" ht="15" hidden="false" customHeight="false" outlineLevel="0" collapsed="false">
      <c r="A1172" s="7" t="s">
        <v>2103</v>
      </c>
      <c r="B1172" s="7" t="s">
        <v>960</v>
      </c>
      <c r="C1172" s="7" t="s">
        <v>47</v>
      </c>
      <c r="D1172" s="7" t="n">
        <v>46</v>
      </c>
      <c r="E1172" s="7" t="s">
        <v>56</v>
      </c>
      <c r="F1172" s="7" t="s">
        <v>57</v>
      </c>
      <c r="G1172" s="8" t="n">
        <v>45969</v>
      </c>
      <c r="H1172" s="8" t="n">
        <v>46001</v>
      </c>
      <c r="I1172" s="7" t="s">
        <v>58</v>
      </c>
      <c r="J1172" s="7" t="s">
        <v>63</v>
      </c>
      <c r="K1172" s="7" t="n">
        <v>32</v>
      </c>
      <c r="L1172" s="7" t="n">
        <v>1</v>
      </c>
      <c r="M1172" s="7" t="n">
        <v>0</v>
      </c>
      <c r="N1172" s="7" t="s">
        <v>42</v>
      </c>
      <c r="O1172" s="7" t="s">
        <v>67</v>
      </c>
      <c r="P1172" s="7" t="n">
        <v>6.1</v>
      </c>
      <c r="Q1172" s="7" t="n">
        <v>25</v>
      </c>
      <c r="R1172" s="7" t="s">
        <v>53</v>
      </c>
      <c r="S1172" s="7"/>
      <c r="T1172" s="7"/>
      <c r="U1172" s="7" t="str">
        <f aca="false">IF(COUNTIF($A$2:$A$5001,A1172)&gt;1,"Duplicate","Unique")</f>
        <v>Unique</v>
      </c>
      <c r="V1172" s="7" t="str">
        <f aca="false">IF(COUNTIFS($B$2:$B$5001,B1172,$H$2:$H$5001,H1172,$J$2:$J$5001,J1172)&gt;1,"Possible Duplicate Booking","Unique")</f>
        <v>Unique</v>
      </c>
      <c r="W1172" s="7" t="str">
        <f aca="false">IF((H1172-G1172)&lt;&gt;K1172,"Mismatch","OK")</f>
        <v>OK</v>
      </c>
      <c r="X1172" s="7" t="str">
        <f aca="false">IF(TEXT(H1172,"dddd")&lt;&gt;I1172,"Mismatch","OK")</f>
        <v>OK</v>
      </c>
      <c r="Y1172" s="7" t="str">
        <f aca="false">IF(AND(N1172="No",O1172&lt;&gt;""),"Unexpected: channel present but no reminder sent",IF(AND(N1172="Yes",O1172=""),"Missing channel for sent reminder","OK"))</f>
        <v>OK</v>
      </c>
    </row>
    <row r="1173" customFormat="false" ht="15" hidden="false" customHeight="false" outlineLevel="0" collapsed="false">
      <c r="A1173" s="9" t="s">
        <v>2104</v>
      </c>
      <c r="B1173" s="9" t="s">
        <v>2105</v>
      </c>
      <c r="C1173" s="9" t="s">
        <v>47</v>
      </c>
      <c r="D1173" s="9" t="n">
        <v>77</v>
      </c>
      <c r="E1173" s="9" t="s">
        <v>70</v>
      </c>
      <c r="F1173" s="9" t="s">
        <v>57</v>
      </c>
      <c r="G1173" s="10" t="n">
        <v>45983</v>
      </c>
      <c r="H1173" s="10" t="n">
        <v>46002</v>
      </c>
      <c r="I1173" s="9" t="s">
        <v>62</v>
      </c>
      <c r="J1173" s="9" t="s">
        <v>63</v>
      </c>
      <c r="K1173" s="9" t="n">
        <v>19</v>
      </c>
      <c r="L1173" s="9" t="n">
        <v>2</v>
      </c>
      <c r="M1173" s="9" t="n">
        <v>2</v>
      </c>
      <c r="N1173" s="9" t="s">
        <v>71</v>
      </c>
      <c r="O1173" s="9"/>
      <c r="P1173" s="9" t="n">
        <v>11.1</v>
      </c>
      <c r="Q1173" s="9" t="n">
        <v>32</v>
      </c>
      <c r="R1173" s="9" t="s">
        <v>44</v>
      </c>
      <c r="S1173" s="9"/>
      <c r="T1173" s="9"/>
      <c r="U1173" s="9" t="str">
        <f aca="false">IF(COUNTIF($A$2:$A$5001,A1173)&gt;1,"Duplicate","Unique")</f>
        <v>Unique</v>
      </c>
      <c r="V1173" s="9" t="str">
        <f aca="false">IF(COUNTIFS($B$2:$B$5001,B1173,$H$2:$H$5001,H1173,$J$2:$J$5001,J1173)&gt;1,"Possible Duplicate Booking","Unique")</f>
        <v>Unique</v>
      </c>
      <c r="W1173" s="9" t="str">
        <f aca="false">IF((H1173-G1173)&lt;&gt;K1173,"Mismatch","OK")</f>
        <v>OK</v>
      </c>
      <c r="X1173" s="9" t="str">
        <f aca="false">IF(TEXT(H1173,"dddd")&lt;&gt;I1173,"Mismatch","OK")</f>
        <v>OK</v>
      </c>
      <c r="Y1173" s="9" t="str">
        <f aca="false">IF(AND(N1173="No",O1173&lt;&gt;""),"Unexpected: channel present but no reminder sent",IF(AND(N1173="Yes",O1173=""),"Missing channel for sent reminder","OK"))</f>
        <v>OK</v>
      </c>
    </row>
    <row r="1174" customFormat="false" ht="15" hidden="false" customHeight="false" outlineLevel="0" collapsed="false">
      <c r="A1174" s="7" t="s">
        <v>2106</v>
      </c>
      <c r="B1174" s="7" t="s">
        <v>764</v>
      </c>
      <c r="C1174" s="7" t="s">
        <v>37</v>
      </c>
      <c r="D1174" s="7" t="n">
        <v>31</v>
      </c>
      <c r="E1174" s="7" t="s">
        <v>48</v>
      </c>
      <c r="F1174" s="7" t="s">
        <v>74</v>
      </c>
      <c r="G1174" s="8" t="n">
        <v>45815</v>
      </c>
      <c r="H1174" s="8" t="n">
        <v>45871</v>
      </c>
      <c r="I1174" s="7" t="s">
        <v>102</v>
      </c>
      <c r="J1174" s="7" t="s">
        <v>51</v>
      </c>
      <c r="K1174" s="7" t="n">
        <v>56</v>
      </c>
      <c r="L1174" s="7" t="n">
        <v>5</v>
      </c>
      <c r="M1174" s="7" t="n">
        <v>0</v>
      </c>
      <c r="N1174" s="7" t="s">
        <v>42</v>
      </c>
      <c r="O1174" s="7" t="s">
        <v>43</v>
      </c>
      <c r="P1174" s="7" t="n">
        <v>15.6</v>
      </c>
      <c r="Q1174" s="7" t="n">
        <v>26</v>
      </c>
      <c r="R1174" s="7" t="s">
        <v>87</v>
      </c>
      <c r="S1174" s="7"/>
      <c r="T1174" s="7"/>
      <c r="U1174" s="7" t="str">
        <f aca="false">IF(COUNTIF($A$2:$A$5001,A1174)&gt;1,"Duplicate","Unique")</f>
        <v>Unique</v>
      </c>
      <c r="V1174" s="7" t="str">
        <f aca="false">IF(COUNTIFS($B$2:$B$5001,B1174,$H$2:$H$5001,H1174,$J$2:$J$5001,J1174)&gt;1,"Possible Duplicate Booking","Unique")</f>
        <v>Unique</v>
      </c>
      <c r="W1174" s="7" t="str">
        <f aca="false">IF((H1174-G1174)&lt;&gt;K1174,"Mismatch","OK")</f>
        <v>OK</v>
      </c>
      <c r="X1174" s="7" t="str">
        <f aca="false">IF(TEXT(H1174,"dddd")&lt;&gt;I1174,"Mismatch","OK")</f>
        <v>OK</v>
      </c>
      <c r="Y1174" s="7" t="str">
        <f aca="false">IF(AND(N1174="No",O1174&lt;&gt;""),"Unexpected: channel present but no reminder sent",IF(AND(N1174="Yes",O1174=""),"Missing channel for sent reminder","OK"))</f>
        <v>OK</v>
      </c>
    </row>
    <row r="1175" customFormat="false" ht="15" hidden="false" customHeight="false" outlineLevel="0" collapsed="false">
      <c r="A1175" s="9" t="s">
        <v>2107</v>
      </c>
      <c r="B1175" s="9" t="s">
        <v>1030</v>
      </c>
      <c r="C1175" s="9" t="s">
        <v>47</v>
      </c>
      <c r="D1175" s="9" t="n">
        <v>53</v>
      </c>
      <c r="E1175" s="9" t="s">
        <v>56</v>
      </c>
      <c r="F1175" s="9" t="s">
        <v>57</v>
      </c>
      <c r="G1175" s="10" t="n">
        <v>45742</v>
      </c>
      <c r="H1175" s="10" t="n">
        <v>45754</v>
      </c>
      <c r="I1175" s="9" t="s">
        <v>66</v>
      </c>
      <c r="J1175" s="9" t="s">
        <v>51</v>
      </c>
      <c r="K1175" s="9" t="n">
        <v>12</v>
      </c>
      <c r="L1175" s="9" t="n">
        <v>2</v>
      </c>
      <c r="M1175" s="9" t="n">
        <v>0</v>
      </c>
      <c r="N1175" s="9" t="s">
        <v>71</v>
      </c>
      <c r="O1175" s="9"/>
      <c r="P1175" s="9" t="n">
        <v>6.8</v>
      </c>
      <c r="Q1175" s="9" t="n">
        <v>32</v>
      </c>
      <c r="R1175" s="9" t="s">
        <v>53</v>
      </c>
      <c r="S1175" s="9"/>
      <c r="T1175" s="9"/>
      <c r="U1175" s="9" t="str">
        <f aca="false">IF(COUNTIF($A$2:$A$5001,A1175)&gt;1,"Duplicate","Unique")</f>
        <v>Unique</v>
      </c>
      <c r="V1175" s="9" t="str">
        <f aca="false">IF(COUNTIFS($B$2:$B$5001,B1175,$H$2:$H$5001,H1175,$J$2:$J$5001,J1175)&gt;1,"Possible Duplicate Booking","Unique")</f>
        <v>Unique</v>
      </c>
      <c r="W1175" s="9" t="str">
        <f aca="false">IF((H1175-G1175)&lt;&gt;K1175,"Mismatch","OK")</f>
        <v>OK</v>
      </c>
      <c r="X1175" s="9" t="str">
        <f aca="false">IF(TEXT(H1175,"dddd")&lt;&gt;I1175,"Mismatch","OK")</f>
        <v>OK</v>
      </c>
      <c r="Y1175" s="9" t="str">
        <f aca="false">IF(AND(N1175="No",O1175&lt;&gt;""),"Unexpected: channel present but no reminder sent",IF(AND(N1175="Yes",O1175=""),"Missing channel for sent reminder","OK"))</f>
        <v>OK</v>
      </c>
    </row>
    <row r="1176" customFormat="false" ht="15" hidden="false" customHeight="false" outlineLevel="0" collapsed="false">
      <c r="A1176" s="7" t="s">
        <v>2108</v>
      </c>
      <c r="B1176" s="7" t="s">
        <v>726</v>
      </c>
      <c r="C1176" s="7" t="s">
        <v>47</v>
      </c>
      <c r="D1176" s="7" t="n">
        <v>22</v>
      </c>
      <c r="E1176" s="7" t="s">
        <v>82</v>
      </c>
      <c r="F1176" s="7" t="s">
        <v>57</v>
      </c>
      <c r="G1176" s="8" t="n">
        <v>45634</v>
      </c>
      <c r="H1176" s="8" t="n">
        <v>45662</v>
      </c>
      <c r="I1176" s="7" t="s">
        <v>75</v>
      </c>
      <c r="J1176" s="7" t="s">
        <v>41</v>
      </c>
      <c r="K1176" s="7" t="n">
        <v>28</v>
      </c>
      <c r="L1176" s="7" t="n">
        <v>1</v>
      </c>
      <c r="M1176" s="7" t="n">
        <v>0</v>
      </c>
      <c r="N1176" s="7" t="s">
        <v>42</v>
      </c>
      <c r="O1176" s="7" t="s">
        <v>43</v>
      </c>
      <c r="P1176" s="7" t="n">
        <v>1</v>
      </c>
      <c r="Q1176" s="7" t="n">
        <v>17</v>
      </c>
      <c r="R1176" s="7" t="s">
        <v>53</v>
      </c>
      <c r="S1176" s="7"/>
      <c r="T1176" s="7"/>
      <c r="U1176" s="7" t="str">
        <f aca="false">IF(COUNTIF($A$2:$A$5001,A1176)&gt;1,"Duplicate","Unique")</f>
        <v>Unique</v>
      </c>
      <c r="V1176" s="7" t="str">
        <f aca="false">IF(COUNTIFS($B$2:$B$5001,B1176,$H$2:$H$5001,H1176,$J$2:$J$5001,J1176)&gt;1,"Possible Duplicate Booking","Unique")</f>
        <v>Unique</v>
      </c>
      <c r="W1176" s="7" t="str">
        <f aca="false">IF((H1176-G1176)&lt;&gt;K1176,"Mismatch","OK")</f>
        <v>OK</v>
      </c>
      <c r="X1176" s="7" t="str">
        <f aca="false">IF(TEXT(H1176,"dddd")&lt;&gt;I1176,"Mismatch","OK")</f>
        <v>OK</v>
      </c>
      <c r="Y1176" s="7" t="str">
        <f aca="false">IF(AND(N1176="No",O1176&lt;&gt;""),"Unexpected: channel present but no reminder sent",IF(AND(N1176="Yes",O1176=""),"Missing channel for sent reminder","OK"))</f>
        <v>OK</v>
      </c>
    </row>
    <row r="1177" customFormat="false" ht="15" hidden="false" customHeight="false" outlineLevel="0" collapsed="false">
      <c r="A1177" s="9" t="s">
        <v>2109</v>
      </c>
      <c r="B1177" s="9" t="s">
        <v>1472</v>
      </c>
      <c r="C1177" s="9" t="s">
        <v>37</v>
      </c>
      <c r="D1177" s="9" t="n">
        <v>36</v>
      </c>
      <c r="E1177" s="9" t="s">
        <v>38</v>
      </c>
      <c r="F1177" s="9" t="s">
        <v>49</v>
      </c>
      <c r="G1177" s="10" t="n">
        <v>45816</v>
      </c>
      <c r="H1177" s="10" t="n">
        <v>45843</v>
      </c>
      <c r="I1177" s="9" t="s">
        <v>102</v>
      </c>
      <c r="J1177" s="9" t="s">
        <v>63</v>
      </c>
      <c r="K1177" s="9" t="n">
        <v>27</v>
      </c>
      <c r="L1177" s="9" t="n">
        <v>3</v>
      </c>
      <c r="M1177" s="9" t="n">
        <v>0</v>
      </c>
      <c r="N1177" s="9" t="s">
        <v>42</v>
      </c>
      <c r="O1177" s="9" t="s">
        <v>52</v>
      </c>
      <c r="P1177" s="9" t="n">
        <v>1.8</v>
      </c>
      <c r="Q1177" s="9" t="n">
        <v>22</v>
      </c>
      <c r="R1177" s="9" t="s">
        <v>53</v>
      </c>
      <c r="S1177" s="9"/>
      <c r="T1177" s="9"/>
      <c r="U1177" s="9" t="str">
        <f aca="false">IF(COUNTIF($A$2:$A$5001,A1177)&gt;1,"Duplicate","Unique")</f>
        <v>Unique</v>
      </c>
      <c r="V1177" s="9" t="str">
        <f aca="false">IF(COUNTIFS($B$2:$B$5001,B1177,$H$2:$H$5001,H1177,$J$2:$J$5001,J1177)&gt;1,"Possible Duplicate Booking","Unique")</f>
        <v>Unique</v>
      </c>
      <c r="W1177" s="9" t="str">
        <f aca="false">IF((H1177-G1177)&lt;&gt;K1177,"Mismatch","OK")</f>
        <v>OK</v>
      </c>
      <c r="X1177" s="9" t="str">
        <f aca="false">IF(TEXT(H1177,"dddd")&lt;&gt;I1177,"Mismatch","OK")</f>
        <v>OK</v>
      </c>
      <c r="Y1177" s="9" t="str">
        <f aca="false">IF(AND(N1177="No",O1177&lt;&gt;""),"Unexpected: channel present but no reminder sent",IF(AND(N1177="Yes",O1177=""),"Missing channel for sent reminder","OK"))</f>
        <v>OK</v>
      </c>
    </row>
    <row r="1178" customFormat="false" ht="15" hidden="false" customHeight="false" outlineLevel="0" collapsed="false">
      <c r="A1178" s="7" t="s">
        <v>2110</v>
      </c>
      <c r="B1178" s="7" t="s">
        <v>2111</v>
      </c>
      <c r="C1178" s="7" t="s">
        <v>47</v>
      </c>
      <c r="D1178" s="7" t="n">
        <v>54</v>
      </c>
      <c r="E1178" s="7" t="s">
        <v>56</v>
      </c>
      <c r="F1178" s="7" t="s">
        <v>49</v>
      </c>
      <c r="G1178" s="8" t="n">
        <v>45785</v>
      </c>
      <c r="H1178" s="8" t="n">
        <v>45830</v>
      </c>
      <c r="I1178" s="7" t="s">
        <v>75</v>
      </c>
      <c r="J1178" s="7" t="s">
        <v>41</v>
      </c>
      <c r="K1178" s="7" t="n">
        <v>45</v>
      </c>
      <c r="L1178" s="7" t="n">
        <v>5</v>
      </c>
      <c r="M1178" s="7" t="n">
        <v>0</v>
      </c>
      <c r="N1178" s="7" t="s">
        <v>42</v>
      </c>
      <c r="O1178" s="7" t="s">
        <v>67</v>
      </c>
      <c r="P1178" s="7" t="n">
        <v>1.9</v>
      </c>
      <c r="Q1178" s="7" t="n">
        <v>28</v>
      </c>
      <c r="R1178" s="7" t="s">
        <v>44</v>
      </c>
      <c r="S1178" s="7"/>
      <c r="T1178" s="7"/>
      <c r="U1178" s="7" t="str">
        <f aca="false">IF(COUNTIF($A$2:$A$5001,A1178)&gt;1,"Duplicate","Unique")</f>
        <v>Unique</v>
      </c>
      <c r="V1178" s="7" t="str">
        <f aca="false">IF(COUNTIFS($B$2:$B$5001,B1178,$H$2:$H$5001,H1178,$J$2:$J$5001,J1178)&gt;1,"Possible Duplicate Booking","Unique")</f>
        <v>Unique</v>
      </c>
      <c r="W1178" s="7" t="str">
        <f aca="false">IF((H1178-G1178)&lt;&gt;K1178,"Mismatch","OK")</f>
        <v>OK</v>
      </c>
      <c r="X1178" s="7" t="str">
        <f aca="false">IF(TEXT(H1178,"dddd")&lt;&gt;I1178,"Mismatch","OK")</f>
        <v>OK</v>
      </c>
      <c r="Y1178" s="7" t="str">
        <f aca="false">IF(AND(N1178="No",O1178&lt;&gt;""),"Unexpected: channel present but no reminder sent",IF(AND(N1178="Yes",O1178=""),"Missing channel for sent reminder","OK"))</f>
        <v>OK</v>
      </c>
    </row>
    <row r="1179" customFormat="false" ht="15" hidden="false" customHeight="false" outlineLevel="0" collapsed="false">
      <c r="A1179" s="9" t="s">
        <v>2112</v>
      </c>
      <c r="B1179" s="9" t="s">
        <v>2113</v>
      </c>
      <c r="C1179" s="9" t="s">
        <v>37</v>
      </c>
      <c r="D1179" s="9" t="n">
        <v>48</v>
      </c>
      <c r="E1179" s="9" t="s">
        <v>56</v>
      </c>
      <c r="F1179" s="9" t="s">
        <v>39</v>
      </c>
      <c r="G1179" s="10" t="n">
        <v>45729</v>
      </c>
      <c r="H1179" s="10" t="n">
        <v>45762</v>
      </c>
      <c r="I1179" s="9" t="s">
        <v>40</v>
      </c>
      <c r="J1179" s="9" t="s">
        <v>51</v>
      </c>
      <c r="K1179" s="9" t="n">
        <v>33</v>
      </c>
      <c r="L1179" s="9" t="n">
        <v>3</v>
      </c>
      <c r="M1179" s="9" t="n">
        <v>0</v>
      </c>
      <c r="N1179" s="9" t="s">
        <v>42</v>
      </c>
      <c r="O1179" s="9" t="s">
        <v>43</v>
      </c>
      <c r="P1179" s="9" t="n">
        <v>19.5</v>
      </c>
      <c r="Q1179" s="9" t="n">
        <v>28</v>
      </c>
      <c r="R1179" s="9" t="s">
        <v>44</v>
      </c>
      <c r="S1179" s="9"/>
      <c r="T1179" s="9"/>
      <c r="U1179" s="9" t="str">
        <f aca="false">IF(COUNTIF($A$2:$A$5001,A1179)&gt;1,"Duplicate","Unique")</f>
        <v>Unique</v>
      </c>
      <c r="V1179" s="9" t="str">
        <f aca="false">IF(COUNTIFS($B$2:$B$5001,B1179,$H$2:$H$5001,H1179,$J$2:$J$5001,J1179)&gt;1,"Possible Duplicate Booking","Unique")</f>
        <v>Unique</v>
      </c>
      <c r="W1179" s="9" t="str">
        <f aca="false">IF((H1179-G1179)&lt;&gt;K1179,"Mismatch","OK")</f>
        <v>OK</v>
      </c>
      <c r="X1179" s="9" t="str">
        <f aca="false">IF(TEXT(H1179,"dddd")&lt;&gt;I1179,"Mismatch","OK")</f>
        <v>OK</v>
      </c>
      <c r="Y1179" s="9" t="str">
        <f aca="false">IF(AND(N1179="No",O1179&lt;&gt;""),"Unexpected: channel present but no reminder sent",IF(AND(N1179="Yes",O1179=""),"Missing channel for sent reminder","OK"))</f>
        <v>OK</v>
      </c>
    </row>
    <row r="1180" customFormat="false" ht="15" hidden="false" customHeight="false" outlineLevel="0" collapsed="false">
      <c r="A1180" s="7" t="s">
        <v>2114</v>
      </c>
      <c r="B1180" s="7" t="s">
        <v>2115</v>
      </c>
      <c r="C1180" s="7" t="s">
        <v>47</v>
      </c>
      <c r="D1180" s="7" t="n">
        <v>77</v>
      </c>
      <c r="E1180" s="7" t="s">
        <v>70</v>
      </c>
      <c r="F1180" s="7" t="s">
        <v>49</v>
      </c>
      <c r="G1180" s="8" t="n">
        <v>45751</v>
      </c>
      <c r="H1180" s="8" t="n">
        <v>45799</v>
      </c>
      <c r="I1180" s="7" t="s">
        <v>62</v>
      </c>
      <c r="J1180" s="7" t="s">
        <v>41</v>
      </c>
      <c r="K1180" s="7" t="n">
        <v>48</v>
      </c>
      <c r="L1180" s="7" t="n">
        <v>3</v>
      </c>
      <c r="M1180" s="7" t="n">
        <v>2</v>
      </c>
      <c r="N1180" s="7" t="s">
        <v>42</v>
      </c>
      <c r="O1180" s="7" t="s">
        <v>67</v>
      </c>
      <c r="P1180" s="7" t="n">
        <v>35.6</v>
      </c>
      <c r="Q1180" s="7" t="n">
        <v>17</v>
      </c>
      <c r="R1180" s="7" t="s">
        <v>44</v>
      </c>
      <c r="S1180" s="7"/>
      <c r="T1180" s="7"/>
      <c r="U1180" s="7" t="str">
        <f aca="false">IF(COUNTIF($A$2:$A$5001,A1180)&gt;1,"Duplicate","Unique")</f>
        <v>Unique</v>
      </c>
      <c r="V1180" s="7" t="str">
        <f aca="false">IF(COUNTIFS($B$2:$B$5001,B1180,$H$2:$H$5001,H1180,$J$2:$J$5001,J1180)&gt;1,"Possible Duplicate Booking","Unique")</f>
        <v>Unique</v>
      </c>
      <c r="W1180" s="7" t="str">
        <f aca="false">IF((H1180-G1180)&lt;&gt;K1180,"Mismatch","OK")</f>
        <v>OK</v>
      </c>
      <c r="X1180" s="7" t="str">
        <f aca="false">IF(TEXT(H1180,"dddd")&lt;&gt;I1180,"Mismatch","OK")</f>
        <v>OK</v>
      </c>
      <c r="Y1180" s="7" t="str">
        <f aca="false">IF(AND(N1180="No",O1180&lt;&gt;""),"Unexpected: channel present but no reminder sent",IF(AND(N1180="Yes",O1180=""),"Missing channel for sent reminder","OK"))</f>
        <v>OK</v>
      </c>
    </row>
    <row r="1181" customFormat="false" ht="15" hidden="false" customHeight="false" outlineLevel="0" collapsed="false">
      <c r="A1181" s="9" t="s">
        <v>2116</v>
      </c>
      <c r="B1181" s="9" t="s">
        <v>869</v>
      </c>
      <c r="C1181" s="9" t="s">
        <v>47</v>
      </c>
      <c r="D1181" s="9" t="n">
        <v>56</v>
      </c>
      <c r="E1181" s="9" t="s">
        <v>61</v>
      </c>
      <c r="F1181" s="9" t="s">
        <v>39</v>
      </c>
      <c r="G1181" s="10" t="n">
        <v>45615</v>
      </c>
      <c r="H1181" s="10" t="n">
        <v>45671</v>
      </c>
      <c r="I1181" s="9" t="s">
        <v>40</v>
      </c>
      <c r="J1181" s="9" t="s">
        <v>51</v>
      </c>
      <c r="K1181" s="9" t="n">
        <v>56</v>
      </c>
      <c r="L1181" s="9" t="n">
        <v>4</v>
      </c>
      <c r="M1181" s="9" t="n">
        <v>1</v>
      </c>
      <c r="N1181" s="9" t="s">
        <v>42</v>
      </c>
      <c r="O1181" s="9" t="s">
        <v>52</v>
      </c>
      <c r="P1181" s="9" t="n">
        <v>7.9</v>
      </c>
      <c r="Q1181" s="9" t="n">
        <v>2</v>
      </c>
      <c r="R1181" s="9" t="s">
        <v>44</v>
      </c>
      <c r="S1181" s="9"/>
      <c r="T1181" s="9"/>
      <c r="U1181" s="9" t="str">
        <f aca="false">IF(COUNTIF($A$2:$A$5001,A1181)&gt;1,"Duplicate","Unique")</f>
        <v>Unique</v>
      </c>
      <c r="V1181" s="9" t="str">
        <f aca="false">IF(COUNTIFS($B$2:$B$5001,B1181,$H$2:$H$5001,H1181,$J$2:$J$5001,J1181)&gt;1,"Possible Duplicate Booking","Unique")</f>
        <v>Unique</v>
      </c>
      <c r="W1181" s="9" t="str">
        <f aca="false">IF((H1181-G1181)&lt;&gt;K1181,"Mismatch","OK")</f>
        <v>OK</v>
      </c>
      <c r="X1181" s="9" t="str">
        <f aca="false">IF(TEXT(H1181,"dddd")&lt;&gt;I1181,"Mismatch","OK")</f>
        <v>OK</v>
      </c>
      <c r="Y1181" s="9" t="str">
        <f aca="false">IF(AND(N1181="No",O1181&lt;&gt;""),"Unexpected: channel present but no reminder sent",IF(AND(N1181="Yes",O1181=""),"Missing channel for sent reminder","OK"))</f>
        <v>OK</v>
      </c>
    </row>
    <row r="1182" customFormat="false" ht="15" hidden="false" customHeight="false" outlineLevel="0" collapsed="false">
      <c r="A1182" s="7" t="s">
        <v>2117</v>
      </c>
      <c r="B1182" s="7" t="s">
        <v>795</v>
      </c>
      <c r="C1182" s="7" t="s">
        <v>47</v>
      </c>
      <c r="D1182" s="7" t="n">
        <v>43</v>
      </c>
      <c r="E1182" s="7" t="s">
        <v>38</v>
      </c>
      <c r="F1182" s="7" t="s">
        <v>57</v>
      </c>
      <c r="G1182" s="8" t="n">
        <v>45966</v>
      </c>
      <c r="H1182" s="8" t="n">
        <v>45989</v>
      </c>
      <c r="I1182" s="7" t="s">
        <v>50</v>
      </c>
      <c r="J1182" s="7" t="s">
        <v>51</v>
      </c>
      <c r="K1182" s="7" t="n">
        <v>23</v>
      </c>
      <c r="L1182" s="7" t="n">
        <v>3</v>
      </c>
      <c r="M1182" s="7" t="n">
        <v>0</v>
      </c>
      <c r="N1182" s="7" t="s">
        <v>42</v>
      </c>
      <c r="O1182" s="7" t="s">
        <v>52</v>
      </c>
      <c r="P1182" s="7" t="n">
        <v>2</v>
      </c>
      <c r="Q1182" s="7" t="n">
        <v>2</v>
      </c>
      <c r="R1182" s="7" t="s">
        <v>53</v>
      </c>
      <c r="S1182" s="7"/>
      <c r="T1182" s="7"/>
      <c r="U1182" s="7" t="str">
        <f aca="false">IF(COUNTIF($A$2:$A$5001,A1182)&gt;1,"Duplicate","Unique")</f>
        <v>Unique</v>
      </c>
      <c r="V1182" s="7" t="str">
        <f aca="false">IF(COUNTIFS($B$2:$B$5001,B1182,$H$2:$H$5001,H1182,$J$2:$J$5001,J1182)&gt;1,"Possible Duplicate Booking","Unique")</f>
        <v>Unique</v>
      </c>
      <c r="W1182" s="7" t="str">
        <f aca="false">IF((H1182-G1182)&lt;&gt;K1182,"Mismatch","OK")</f>
        <v>OK</v>
      </c>
      <c r="X1182" s="7" t="str">
        <f aca="false">IF(TEXT(H1182,"dddd")&lt;&gt;I1182,"Mismatch","OK")</f>
        <v>OK</v>
      </c>
      <c r="Y1182" s="7" t="str">
        <f aca="false">IF(AND(N1182="No",O1182&lt;&gt;""),"Unexpected: channel present but no reminder sent",IF(AND(N1182="Yes",O1182=""),"Missing channel for sent reminder","OK"))</f>
        <v>OK</v>
      </c>
    </row>
    <row r="1183" customFormat="false" ht="15" hidden="false" customHeight="false" outlineLevel="0" collapsed="false">
      <c r="A1183" s="9" t="s">
        <v>2118</v>
      </c>
      <c r="B1183" s="9" t="s">
        <v>850</v>
      </c>
      <c r="C1183" s="9" t="s">
        <v>47</v>
      </c>
      <c r="D1183" s="9" t="n">
        <v>44</v>
      </c>
      <c r="E1183" s="9" t="s">
        <v>38</v>
      </c>
      <c r="F1183" s="9" t="s">
        <v>39</v>
      </c>
      <c r="G1183" s="10" t="n">
        <v>46111</v>
      </c>
      <c r="H1183" s="10" t="n">
        <v>46164</v>
      </c>
      <c r="I1183" s="9" t="s">
        <v>50</v>
      </c>
      <c r="J1183" s="9" t="s">
        <v>51</v>
      </c>
      <c r="K1183" s="9" t="n">
        <v>53</v>
      </c>
      <c r="L1183" s="9" t="n">
        <v>2</v>
      </c>
      <c r="M1183" s="9" t="n">
        <v>0</v>
      </c>
      <c r="N1183" s="9" t="s">
        <v>42</v>
      </c>
      <c r="O1183" s="9" t="s">
        <v>43</v>
      </c>
      <c r="P1183" s="9" t="n">
        <v>3.9</v>
      </c>
      <c r="Q1183" s="9" t="n">
        <v>23</v>
      </c>
      <c r="R1183" s="9" t="s">
        <v>44</v>
      </c>
      <c r="S1183" s="9"/>
      <c r="T1183" s="9"/>
      <c r="U1183" s="9" t="str">
        <f aca="false">IF(COUNTIF($A$2:$A$5001,A1183)&gt;1,"Duplicate","Unique")</f>
        <v>Unique</v>
      </c>
      <c r="V1183" s="9" t="str">
        <f aca="false">IF(COUNTIFS($B$2:$B$5001,B1183,$H$2:$H$5001,H1183,$J$2:$J$5001,J1183)&gt;1,"Possible Duplicate Booking","Unique")</f>
        <v>Unique</v>
      </c>
      <c r="W1183" s="9" t="str">
        <f aca="false">IF((H1183-G1183)&lt;&gt;K1183,"Mismatch","OK")</f>
        <v>OK</v>
      </c>
      <c r="X1183" s="9" t="str">
        <f aca="false">IF(TEXT(H1183,"dddd")&lt;&gt;I1183,"Mismatch","OK")</f>
        <v>OK</v>
      </c>
      <c r="Y1183" s="9" t="str">
        <f aca="false">IF(AND(N1183="No",O1183&lt;&gt;""),"Unexpected: channel present but no reminder sent",IF(AND(N1183="Yes",O1183=""),"Missing channel for sent reminder","OK"))</f>
        <v>OK</v>
      </c>
    </row>
    <row r="1184" customFormat="false" ht="15" hidden="false" customHeight="false" outlineLevel="0" collapsed="false">
      <c r="A1184" s="7" t="s">
        <v>2119</v>
      </c>
      <c r="B1184" s="7" t="s">
        <v>286</v>
      </c>
      <c r="C1184" s="7" t="s">
        <v>37</v>
      </c>
      <c r="D1184" s="7" t="n">
        <v>56</v>
      </c>
      <c r="E1184" s="7" t="s">
        <v>61</v>
      </c>
      <c r="F1184" s="7" t="s">
        <v>49</v>
      </c>
      <c r="G1184" s="8" t="n">
        <v>46025</v>
      </c>
      <c r="H1184" s="8" t="n">
        <v>46035</v>
      </c>
      <c r="I1184" s="7" t="s">
        <v>40</v>
      </c>
      <c r="J1184" s="7" t="s">
        <v>51</v>
      </c>
      <c r="K1184" s="7" t="n">
        <v>10</v>
      </c>
      <c r="L1184" s="7" t="n">
        <v>3</v>
      </c>
      <c r="M1184" s="7" t="n">
        <v>0</v>
      </c>
      <c r="N1184" s="7" t="s">
        <v>42</v>
      </c>
      <c r="O1184" s="7" t="s">
        <v>52</v>
      </c>
      <c r="P1184" s="7" t="n">
        <v>3.5</v>
      </c>
      <c r="Q1184" s="7" t="n">
        <v>26</v>
      </c>
      <c r="R1184" s="7" t="s">
        <v>53</v>
      </c>
      <c r="S1184" s="7"/>
      <c r="T1184" s="7"/>
      <c r="U1184" s="7" t="str">
        <f aca="false">IF(COUNTIF($A$2:$A$5001,A1184)&gt;1,"Duplicate","Unique")</f>
        <v>Unique</v>
      </c>
      <c r="V1184" s="7" t="str">
        <f aca="false">IF(COUNTIFS($B$2:$B$5001,B1184,$H$2:$H$5001,H1184,$J$2:$J$5001,J1184)&gt;1,"Possible Duplicate Booking","Unique")</f>
        <v>Unique</v>
      </c>
      <c r="W1184" s="7" t="str">
        <f aca="false">IF((H1184-G1184)&lt;&gt;K1184,"Mismatch","OK")</f>
        <v>OK</v>
      </c>
      <c r="X1184" s="7" t="str">
        <f aca="false">IF(TEXT(H1184,"dddd")&lt;&gt;I1184,"Mismatch","OK")</f>
        <v>OK</v>
      </c>
      <c r="Y1184" s="7" t="str">
        <f aca="false">IF(AND(N1184="No",O1184&lt;&gt;""),"Unexpected: channel present but no reminder sent",IF(AND(N1184="Yes",O1184=""),"Missing channel for sent reminder","OK"))</f>
        <v>OK</v>
      </c>
    </row>
    <row r="1185" customFormat="false" ht="15" hidden="false" customHeight="false" outlineLevel="0" collapsed="false">
      <c r="A1185" s="9" t="s">
        <v>2120</v>
      </c>
      <c r="B1185" s="9" t="s">
        <v>1567</v>
      </c>
      <c r="C1185" s="9" t="s">
        <v>47</v>
      </c>
      <c r="D1185" s="9" t="n">
        <v>67</v>
      </c>
      <c r="E1185" s="9" t="s">
        <v>70</v>
      </c>
      <c r="F1185" s="9" t="s">
        <v>49</v>
      </c>
      <c r="G1185" s="10" t="n">
        <v>45847</v>
      </c>
      <c r="H1185" s="10" t="n">
        <v>45902</v>
      </c>
      <c r="I1185" s="9" t="s">
        <v>40</v>
      </c>
      <c r="J1185" s="9" t="s">
        <v>41</v>
      </c>
      <c r="K1185" s="9" t="n">
        <v>55</v>
      </c>
      <c r="L1185" s="9" t="n">
        <v>4</v>
      </c>
      <c r="M1185" s="9" t="n">
        <v>1</v>
      </c>
      <c r="N1185" s="9" t="s">
        <v>42</v>
      </c>
      <c r="O1185" s="9" t="s">
        <v>52</v>
      </c>
      <c r="P1185" s="9" t="n">
        <v>18.9</v>
      </c>
      <c r="Q1185" s="9" t="n">
        <v>22</v>
      </c>
      <c r="R1185" s="9" t="s">
        <v>44</v>
      </c>
      <c r="S1185" s="9"/>
      <c r="T1185" s="9"/>
      <c r="U1185" s="9" t="str">
        <f aca="false">IF(COUNTIF($A$2:$A$5001,A1185)&gt;1,"Duplicate","Unique")</f>
        <v>Unique</v>
      </c>
      <c r="V1185" s="9" t="str">
        <f aca="false">IF(COUNTIFS($B$2:$B$5001,B1185,$H$2:$H$5001,H1185,$J$2:$J$5001,J1185)&gt;1,"Possible Duplicate Booking","Unique")</f>
        <v>Unique</v>
      </c>
      <c r="W1185" s="9" t="str">
        <f aca="false">IF((H1185-G1185)&lt;&gt;K1185,"Mismatch","OK")</f>
        <v>OK</v>
      </c>
      <c r="X1185" s="9" t="str">
        <f aca="false">IF(TEXT(H1185,"dddd")&lt;&gt;I1185,"Mismatch","OK")</f>
        <v>OK</v>
      </c>
      <c r="Y1185" s="9" t="str">
        <f aca="false">IF(AND(N1185="No",O1185&lt;&gt;""),"Unexpected: channel present but no reminder sent",IF(AND(N1185="Yes",O1185=""),"Missing channel for sent reminder","OK"))</f>
        <v>OK</v>
      </c>
    </row>
    <row r="1186" customFormat="false" ht="15" hidden="false" customHeight="false" outlineLevel="0" collapsed="false">
      <c r="A1186" s="7" t="s">
        <v>2121</v>
      </c>
      <c r="B1186" s="7" t="s">
        <v>2122</v>
      </c>
      <c r="C1186" s="7" t="s">
        <v>47</v>
      </c>
      <c r="D1186" s="7" t="n">
        <v>35</v>
      </c>
      <c r="E1186" s="7" t="s">
        <v>38</v>
      </c>
      <c r="F1186" s="7" t="s">
        <v>57</v>
      </c>
      <c r="G1186" s="8" t="n">
        <v>45877</v>
      </c>
      <c r="H1186" s="8" t="n">
        <v>45887</v>
      </c>
      <c r="I1186" s="7" t="s">
        <v>66</v>
      </c>
      <c r="J1186" s="7" t="s">
        <v>51</v>
      </c>
      <c r="K1186" s="7" t="n">
        <v>10</v>
      </c>
      <c r="L1186" s="7" t="n">
        <v>4</v>
      </c>
      <c r="M1186" s="7" t="n">
        <v>1</v>
      </c>
      <c r="N1186" s="7" t="s">
        <v>42</v>
      </c>
      <c r="O1186" s="7" t="s">
        <v>52</v>
      </c>
      <c r="P1186" s="7" t="n">
        <v>6.2</v>
      </c>
      <c r="Q1186" s="7" t="n">
        <v>24</v>
      </c>
      <c r="R1186" s="7" t="s">
        <v>53</v>
      </c>
      <c r="S1186" s="7"/>
      <c r="T1186" s="7"/>
      <c r="U1186" s="7" t="str">
        <f aca="false">IF(COUNTIF($A$2:$A$5001,A1186)&gt;1,"Duplicate","Unique")</f>
        <v>Unique</v>
      </c>
      <c r="V1186" s="7" t="str">
        <f aca="false">IF(COUNTIFS($B$2:$B$5001,B1186,$H$2:$H$5001,H1186,$J$2:$J$5001,J1186)&gt;1,"Possible Duplicate Booking","Unique")</f>
        <v>Unique</v>
      </c>
      <c r="W1186" s="7" t="str">
        <f aca="false">IF((H1186-G1186)&lt;&gt;K1186,"Mismatch","OK")</f>
        <v>OK</v>
      </c>
      <c r="X1186" s="7" t="str">
        <f aca="false">IF(TEXT(H1186,"dddd")&lt;&gt;I1186,"Mismatch","OK")</f>
        <v>OK</v>
      </c>
      <c r="Y1186" s="7" t="str">
        <f aca="false">IF(AND(N1186="No",O1186&lt;&gt;""),"Unexpected: channel present but no reminder sent",IF(AND(N1186="Yes",O1186=""),"Missing channel for sent reminder","OK"))</f>
        <v>OK</v>
      </c>
    </row>
    <row r="1187" customFormat="false" ht="15" hidden="false" customHeight="false" outlineLevel="0" collapsed="false">
      <c r="A1187" s="9" t="s">
        <v>2123</v>
      </c>
      <c r="B1187" s="9" t="s">
        <v>118</v>
      </c>
      <c r="C1187" s="9" t="s">
        <v>37</v>
      </c>
      <c r="D1187" s="9" t="n">
        <v>54</v>
      </c>
      <c r="E1187" s="9" t="s">
        <v>56</v>
      </c>
      <c r="F1187" s="9" t="s">
        <v>57</v>
      </c>
      <c r="G1187" s="10" t="n">
        <v>45774</v>
      </c>
      <c r="H1187" s="10" t="n">
        <v>45825</v>
      </c>
      <c r="I1187" s="9" t="s">
        <v>40</v>
      </c>
      <c r="J1187" s="9" t="s">
        <v>51</v>
      </c>
      <c r="K1187" s="9" t="n">
        <v>51</v>
      </c>
      <c r="L1187" s="9" t="n">
        <v>4</v>
      </c>
      <c r="M1187" s="9" t="n">
        <v>0</v>
      </c>
      <c r="N1187" s="9" t="s">
        <v>42</v>
      </c>
      <c r="O1187" s="9" t="s">
        <v>67</v>
      </c>
      <c r="P1187" s="9" t="n">
        <v>45</v>
      </c>
      <c r="Q1187" s="9" t="n">
        <v>42</v>
      </c>
      <c r="R1187" s="9" t="s">
        <v>53</v>
      </c>
      <c r="S1187" s="9"/>
      <c r="T1187" s="9"/>
      <c r="U1187" s="9" t="str">
        <f aca="false">IF(COUNTIF($A$2:$A$5001,A1187)&gt;1,"Duplicate","Unique")</f>
        <v>Unique</v>
      </c>
      <c r="V1187" s="9" t="str">
        <f aca="false">IF(COUNTIFS($B$2:$B$5001,B1187,$H$2:$H$5001,H1187,$J$2:$J$5001,J1187)&gt;1,"Possible Duplicate Booking","Unique")</f>
        <v>Unique</v>
      </c>
      <c r="W1187" s="9" t="str">
        <f aca="false">IF((H1187-G1187)&lt;&gt;K1187,"Mismatch","OK")</f>
        <v>OK</v>
      </c>
      <c r="X1187" s="9" t="str">
        <f aca="false">IF(TEXT(H1187,"dddd")&lt;&gt;I1187,"Mismatch","OK")</f>
        <v>OK</v>
      </c>
      <c r="Y1187" s="9" t="str">
        <f aca="false">IF(AND(N1187="No",O1187&lt;&gt;""),"Unexpected: channel present but no reminder sent",IF(AND(N1187="Yes",O1187=""),"Missing channel for sent reminder","OK"))</f>
        <v>OK</v>
      </c>
    </row>
    <row r="1188" customFormat="false" ht="15" hidden="false" customHeight="false" outlineLevel="0" collapsed="false">
      <c r="A1188" s="7" t="s">
        <v>2124</v>
      </c>
      <c r="B1188" s="7" t="s">
        <v>397</v>
      </c>
      <c r="C1188" s="7" t="s">
        <v>37</v>
      </c>
      <c r="D1188" s="7" t="n">
        <v>54</v>
      </c>
      <c r="E1188" s="7" t="s">
        <v>56</v>
      </c>
      <c r="F1188" s="7" t="s">
        <v>49</v>
      </c>
      <c r="G1188" s="8" t="n">
        <v>45712</v>
      </c>
      <c r="H1188" s="8" t="n">
        <v>45735</v>
      </c>
      <c r="I1188" s="7" t="s">
        <v>58</v>
      </c>
      <c r="J1188" s="7" t="s">
        <v>41</v>
      </c>
      <c r="K1188" s="7" t="n">
        <v>23</v>
      </c>
      <c r="L1188" s="7" t="n">
        <v>1</v>
      </c>
      <c r="M1188" s="7" t="n">
        <v>0</v>
      </c>
      <c r="N1188" s="7" t="s">
        <v>71</v>
      </c>
      <c r="O1188" s="7"/>
      <c r="P1188" s="7" t="n">
        <v>3.5</v>
      </c>
      <c r="Q1188" s="7" t="n">
        <v>19</v>
      </c>
      <c r="R1188" s="7" t="s">
        <v>44</v>
      </c>
      <c r="S1188" s="7"/>
      <c r="T1188" s="7"/>
      <c r="U1188" s="7" t="str">
        <f aca="false">IF(COUNTIF($A$2:$A$5001,A1188)&gt;1,"Duplicate","Unique")</f>
        <v>Unique</v>
      </c>
      <c r="V1188" s="7" t="str">
        <f aca="false">IF(COUNTIFS($B$2:$B$5001,B1188,$H$2:$H$5001,H1188,$J$2:$J$5001,J1188)&gt;1,"Possible Duplicate Booking","Unique")</f>
        <v>Unique</v>
      </c>
      <c r="W1188" s="7" t="str">
        <f aca="false">IF((H1188-G1188)&lt;&gt;K1188,"Mismatch","OK")</f>
        <v>OK</v>
      </c>
      <c r="X1188" s="7" t="str">
        <f aca="false">IF(TEXT(H1188,"dddd")&lt;&gt;I1188,"Mismatch","OK")</f>
        <v>OK</v>
      </c>
      <c r="Y1188" s="7" t="str">
        <f aca="false">IF(AND(N1188="No",O1188&lt;&gt;""),"Unexpected: channel present but no reminder sent",IF(AND(N1188="Yes",O1188=""),"Missing channel for sent reminder","OK"))</f>
        <v>OK</v>
      </c>
    </row>
    <row r="1189" customFormat="false" ht="15" hidden="false" customHeight="false" outlineLevel="0" collapsed="false">
      <c r="A1189" s="9" t="s">
        <v>2125</v>
      </c>
      <c r="B1189" s="9" t="s">
        <v>401</v>
      </c>
      <c r="C1189" s="9" t="s">
        <v>47</v>
      </c>
      <c r="D1189" s="9" t="n">
        <v>18</v>
      </c>
      <c r="E1189" s="9" t="s">
        <v>82</v>
      </c>
      <c r="F1189" s="9" t="s">
        <v>57</v>
      </c>
      <c r="G1189" s="10" t="n">
        <v>45926</v>
      </c>
      <c r="H1189" s="10" t="n">
        <v>45984</v>
      </c>
      <c r="I1189" s="9" t="s">
        <v>75</v>
      </c>
      <c r="J1189" s="9" t="s">
        <v>51</v>
      </c>
      <c r="K1189" s="9" t="n">
        <v>58</v>
      </c>
      <c r="L1189" s="9" t="n">
        <v>1</v>
      </c>
      <c r="M1189" s="9" t="n">
        <v>0</v>
      </c>
      <c r="N1189" s="9" t="s">
        <v>71</v>
      </c>
      <c r="O1189" s="9"/>
      <c r="P1189" s="9" t="n">
        <v>3.8</v>
      </c>
      <c r="Q1189" s="9" t="n">
        <v>28</v>
      </c>
      <c r="R1189" s="9" t="s">
        <v>87</v>
      </c>
      <c r="S1189" s="9"/>
      <c r="T1189" s="9"/>
      <c r="U1189" s="9" t="str">
        <f aca="false">IF(COUNTIF($A$2:$A$5001,A1189)&gt;1,"Duplicate","Unique")</f>
        <v>Unique</v>
      </c>
      <c r="V1189" s="9" t="str">
        <f aca="false">IF(COUNTIFS($B$2:$B$5001,B1189,$H$2:$H$5001,H1189,$J$2:$J$5001,J1189)&gt;1,"Possible Duplicate Booking","Unique")</f>
        <v>Unique</v>
      </c>
      <c r="W1189" s="9" t="str">
        <f aca="false">IF((H1189-G1189)&lt;&gt;K1189,"Mismatch","OK")</f>
        <v>OK</v>
      </c>
      <c r="X1189" s="9" t="str">
        <f aca="false">IF(TEXT(H1189,"dddd")&lt;&gt;I1189,"Mismatch","OK")</f>
        <v>OK</v>
      </c>
      <c r="Y1189" s="9" t="str">
        <f aca="false">IF(AND(N1189="No",O1189&lt;&gt;""),"Unexpected: channel present but no reminder sent",IF(AND(N1189="Yes",O1189=""),"Missing channel for sent reminder","OK"))</f>
        <v>OK</v>
      </c>
    </row>
    <row r="1190" customFormat="false" ht="15" hidden="false" customHeight="false" outlineLevel="0" collapsed="false">
      <c r="A1190" s="7" t="s">
        <v>2126</v>
      </c>
      <c r="B1190" s="7" t="s">
        <v>2127</v>
      </c>
      <c r="C1190" s="7" t="s">
        <v>37</v>
      </c>
      <c r="D1190" s="7" t="n">
        <v>75</v>
      </c>
      <c r="E1190" s="7" t="s">
        <v>70</v>
      </c>
      <c r="F1190" s="7" t="s">
        <v>57</v>
      </c>
      <c r="G1190" s="8" t="n">
        <v>45960</v>
      </c>
      <c r="H1190" s="8" t="n">
        <v>45967</v>
      </c>
      <c r="I1190" s="7" t="s">
        <v>62</v>
      </c>
      <c r="J1190" s="7" t="s">
        <v>51</v>
      </c>
      <c r="K1190" s="7" t="n">
        <v>7</v>
      </c>
      <c r="L1190" s="7" t="n">
        <v>1</v>
      </c>
      <c r="M1190" s="7" t="n">
        <v>0</v>
      </c>
      <c r="N1190" s="7" t="s">
        <v>42</v>
      </c>
      <c r="O1190" s="7" t="s">
        <v>67</v>
      </c>
      <c r="P1190" s="7" t="n">
        <v>6.2</v>
      </c>
      <c r="Q1190" s="7" t="n">
        <v>43</v>
      </c>
      <c r="R1190" s="7" t="s">
        <v>53</v>
      </c>
      <c r="S1190" s="7"/>
      <c r="T1190" s="7"/>
      <c r="U1190" s="7" t="str">
        <f aca="false">IF(COUNTIF($A$2:$A$5001,A1190)&gt;1,"Duplicate","Unique")</f>
        <v>Unique</v>
      </c>
      <c r="V1190" s="7" t="str">
        <f aca="false">IF(COUNTIFS($B$2:$B$5001,B1190,$H$2:$H$5001,H1190,$J$2:$J$5001,J1190)&gt;1,"Possible Duplicate Booking","Unique")</f>
        <v>Unique</v>
      </c>
      <c r="W1190" s="7" t="str">
        <f aca="false">IF((H1190-G1190)&lt;&gt;K1190,"Mismatch","OK")</f>
        <v>OK</v>
      </c>
      <c r="X1190" s="7" t="str">
        <f aca="false">IF(TEXT(H1190,"dddd")&lt;&gt;I1190,"Mismatch","OK")</f>
        <v>OK</v>
      </c>
      <c r="Y1190" s="7" t="str">
        <f aca="false">IF(AND(N1190="No",O1190&lt;&gt;""),"Unexpected: channel present but no reminder sent",IF(AND(N1190="Yes",O1190=""),"Missing channel for sent reminder","OK"))</f>
        <v>OK</v>
      </c>
    </row>
    <row r="1191" customFormat="false" ht="15" hidden="false" customHeight="false" outlineLevel="0" collapsed="false">
      <c r="A1191" s="9" t="s">
        <v>2128</v>
      </c>
      <c r="B1191" s="9" t="s">
        <v>1361</v>
      </c>
      <c r="C1191" s="9" t="s">
        <v>37</v>
      </c>
      <c r="D1191" s="9" t="n">
        <v>53</v>
      </c>
      <c r="E1191" s="9" t="s">
        <v>56</v>
      </c>
      <c r="F1191" s="9" t="s">
        <v>49</v>
      </c>
      <c r="G1191" s="10" t="n">
        <v>45633</v>
      </c>
      <c r="H1191" s="10" t="n">
        <v>45661</v>
      </c>
      <c r="I1191" s="9" t="s">
        <v>102</v>
      </c>
      <c r="J1191" s="9" t="s">
        <v>51</v>
      </c>
      <c r="K1191" s="9" t="n">
        <v>28</v>
      </c>
      <c r="L1191" s="9" t="n">
        <v>5</v>
      </c>
      <c r="M1191" s="9" t="n">
        <v>1</v>
      </c>
      <c r="N1191" s="9" t="s">
        <v>42</v>
      </c>
      <c r="O1191" s="9" t="s">
        <v>43</v>
      </c>
      <c r="P1191" s="9" t="n">
        <v>5.7</v>
      </c>
      <c r="Q1191" s="9" t="n">
        <v>13</v>
      </c>
      <c r="R1191" s="9" t="s">
        <v>53</v>
      </c>
      <c r="S1191" s="9"/>
      <c r="T1191" s="9"/>
      <c r="U1191" s="9" t="str">
        <f aca="false">IF(COUNTIF($A$2:$A$5001,A1191)&gt;1,"Duplicate","Unique")</f>
        <v>Unique</v>
      </c>
      <c r="V1191" s="9" t="str">
        <f aca="false">IF(COUNTIFS($B$2:$B$5001,B1191,$H$2:$H$5001,H1191,$J$2:$J$5001,J1191)&gt;1,"Possible Duplicate Booking","Unique")</f>
        <v>Unique</v>
      </c>
      <c r="W1191" s="9" t="str">
        <f aca="false">IF((H1191-G1191)&lt;&gt;K1191,"Mismatch","OK")</f>
        <v>OK</v>
      </c>
      <c r="X1191" s="9" t="str">
        <f aca="false">IF(TEXT(H1191,"dddd")&lt;&gt;I1191,"Mismatch","OK")</f>
        <v>OK</v>
      </c>
      <c r="Y1191" s="9" t="str">
        <f aca="false">IF(AND(N1191="No",O1191&lt;&gt;""),"Unexpected: channel present but no reminder sent",IF(AND(N1191="Yes",O1191=""),"Missing channel for sent reminder","OK"))</f>
        <v>OK</v>
      </c>
    </row>
    <row r="1192" customFormat="false" ht="15" hidden="false" customHeight="false" outlineLevel="0" collapsed="false">
      <c r="A1192" s="7" t="s">
        <v>2129</v>
      </c>
      <c r="B1192" s="7" t="s">
        <v>2130</v>
      </c>
      <c r="C1192" s="7" t="s">
        <v>37</v>
      </c>
      <c r="D1192" s="7" t="n">
        <v>33</v>
      </c>
      <c r="E1192" s="7" t="s">
        <v>48</v>
      </c>
      <c r="F1192" s="7" t="s">
        <v>39</v>
      </c>
      <c r="G1192" s="8" t="n">
        <v>45829</v>
      </c>
      <c r="H1192" s="8" t="n">
        <v>45884</v>
      </c>
      <c r="I1192" s="7" t="s">
        <v>50</v>
      </c>
      <c r="J1192" s="7" t="s">
        <v>51</v>
      </c>
      <c r="K1192" s="7" t="n">
        <v>55</v>
      </c>
      <c r="L1192" s="7" t="n">
        <v>3</v>
      </c>
      <c r="M1192" s="7" t="n">
        <v>0</v>
      </c>
      <c r="N1192" s="7" t="s">
        <v>42</v>
      </c>
      <c r="O1192" s="7" t="s">
        <v>52</v>
      </c>
      <c r="P1192" s="7" t="n">
        <v>17</v>
      </c>
      <c r="Q1192" s="7" t="n">
        <v>43</v>
      </c>
      <c r="R1192" s="7" t="s">
        <v>44</v>
      </c>
      <c r="S1192" s="7"/>
      <c r="T1192" s="7"/>
      <c r="U1192" s="7" t="str">
        <f aca="false">IF(COUNTIF($A$2:$A$5001,A1192)&gt;1,"Duplicate","Unique")</f>
        <v>Unique</v>
      </c>
      <c r="V1192" s="7" t="str">
        <f aca="false">IF(COUNTIFS($B$2:$B$5001,B1192,$H$2:$H$5001,H1192,$J$2:$J$5001,J1192)&gt;1,"Possible Duplicate Booking","Unique")</f>
        <v>Unique</v>
      </c>
      <c r="W1192" s="7" t="str">
        <f aca="false">IF((H1192-G1192)&lt;&gt;K1192,"Mismatch","OK")</f>
        <v>OK</v>
      </c>
      <c r="X1192" s="7" t="str">
        <f aca="false">IF(TEXT(H1192,"dddd")&lt;&gt;I1192,"Mismatch","OK")</f>
        <v>OK</v>
      </c>
      <c r="Y1192" s="7" t="str">
        <f aca="false">IF(AND(N1192="No",O1192&lt;&gt;""),"Unexpected: channel present but no reminder sent",IF(AND(N1192="Yes",O1192=""),"Missing channel for sent reminder","OK"))</f>
        <v>OK</v>
      </c>
    </row>
    <row r="1193" customFormat="false" ht="15" hidden="false" customHeight="false" outlineLevel="0" collapsed="false">
      <c r="A1193" s="9" t="s">
        <v>2131</v>
      </c>
      <c r="B1193" s="9" t="s">
        <v>2132</v>
      </c>
      <c r="C1193" s="9" t="s">
        <v>37</v>
      </c>
      <c r="D1193" s="9" t="n">
        <v>57</v>
      </c>
      <c r="E1193" s="9" t="s">
        <v>61</v>
      </c>
      <c r="F1193" s="9" t="s">
        <v>57</v>
      </c>
      <c r="G1193" s="10" t="n">
        <v>45807</v>
      </c>
      <c r="H1193" s="10" t="n">
        <v>45809</v>
      </c>
      <c r="I1193" s="9" t="s">
        <v>75</v>
      </c>
      <c r="J1193" s="9" t="s">
        <v>41</v>
      </c>
      <c r="K1193" s="9" t="n">
        <v>2</v>
      </c>
      <c r="L1193" s="9" t="n">
        <v>2</v>
      </c>
      <c r="M1193" s="9" t="n">
        <v>0</v>
      </c>
      <c r="N1193" s="9" t="s">
        <v>42</v>
      </c>
      <c r="O1193" s="9" t="s">
        <v>52</v>
      </c>
      <c r="P1193" s="9" t="n">
        <v>8.9</v>
      </c>
      <c r="Q1193" s="9" t="n">
        <v>35</v>
      </c>
      <c r="R1193" s="9" t="s">
        <v>53</v>
      </c>
      <c r="S1193" s="9"/>
      <c r="T1193" s="9"/>
      <c r="U1193" s="9" t="str">
        <f aca="false">IF(COUNTIF($A$2:$A$5001,A1193)&gt;1,"Duplicate","Unique")</f>
        <v>Unique</v>
      </c>
      <c r="V1193" s="9" t="str">
        <f aca="false">IF(COUNTIFS($B$2:$B$5001,B1193,$H$2:$H$5001,H1193,$J$2:$J$5001,J1193)&gt;1,"Possible Duplicate Booking","Unique")</f>
        <v>Unique</v>
      </c>
      <c r="W1193" s="9" t="str">
        <f aca="false">IF((H1193-G1193)&lt;&gt;K1193,"Mismatch","OK")</f>
        <v>OK</v>
      </c>
      <c r="X1193" s="9" t="str">
        <f aca="false">IF(TEXT(H1193,"dddd")&lt;&gt;I1193,"Mismatch","OK")</f>
        <v>OK</v>
      </c>
      <c r="Y1193" s="9" t="str">
        <f aca="false">IF(AND(N1193="No",O1193&lt;&gt;""),"Unexpected: channel present but no reminder sent",IF(AND(N1193="Yes",O1193=""),"Missing channel for sent reminder","OK"))</f>
        <v>OK</v>
      </c>
    </row>
    <row r="1194" customFormat="false" ht="15" hidden="false" customHeight="false" outlineLevel="0" collapsed="false">
      <c r="A1194" s="7" t="s">
        <v>2133</v>
      </c>
      <c r="B1194" s="7" t="s">
        <v>2134</v>
      </c>
      <c r="C1194" s="7" t="s">
        <v>47</v>
      </c>
      <c r="D1194" s="7" t="n">
        <v>60</v>
      </c>
      <c r="E1194" s="7" t="s">
        <v>61</v>
      </c>
      <c r="F1194" s="7" t="s">
        <v>57</v>
      </c>
      <c r="G1194" s="8" t="n">
        <v>45734</v>
      </c>
      <c r="H1194" s="8" t="n">
        <v>45750</v>
      </c>
      <c r="I1194" s="7" t="s">
        <v>62</v>
      </c>
      <c r="J1194" s="7" t="s">
        <v>51</v>
      </c>
      <c r="K1194" s="7" t="n">
        <v>16</v>
      </c>
      <c r="L1194" s="7" t="n">
        <v>3</v>
      </c>
      <c r="M1194" s="7" t="n">
        <v>0</v>
      </c>
      <c r="N1194" s="7" t="s">
        <v>71</v>
      </c>
      <c r="O1194" s="7"/>
      <c r="P1194" s="7" t="n">
        <v>13</v>
      </c>
      <c r="Q1194" s="7" t="n">
        <v>21</v>
      </c>
      <c r="R1194" s="7" t="s">
        <v>53</v>
      </c>
      <c r="S1194" s="7"/>
      <c r="T1194" s="7"/>
      <c r="U1194" s="7" t="str">
        <f aca="false">IF(COUNTIF($A$2:$A$5001,A1194)&gt;1,"Duplicate","Unique")</f>
        <v>Unique</v>
      </c>
      <c r="V1194" s="7" t="str">
        <f aca="false">IF(COUNTIFS($B$2:$B$5001,B1194,$H$2:$H$5001,H1194,$J$2:$J$5001,J1194)&gt;1,"Possible Duplicate Booking","Unique")</f>
        <v>Unique</v>
      </c>
      <c r="W1194" s="7" t="str">
        <f aca="false">IF((H1194-G1194)&lt;&gt;K1194,"Mismatch","OK")</f>
        <v>OK</v>
      </c>
      <c r="X1194" s="7" t="str">
        <f aca="false">IF(TEXT(H1194,"dddd")&lt;&gt;I1194,"Mismatch","OK")</f>
        <v>OK</v>
      </c>
      <c r="Y1194" s="7" t="str">
        <f aca="false">IF(AND(N1194="No",O1194&lt;&gt;""),"Unexpected: channel present but no reminder sent",IF(AND(N1194="Yes",O1194=""),"Missing channel for sent reminder","OK"))</f>
        <v>OK</v>
      </c>
    </row>
    <row r="1195" customFormat="false" ht="15" hidden="false" customHeight="false" outlineLevel="0" collapsed="false">
      <c r="A1195" s="9" t="s">
        <v>2135</v>
      </c>
      <c r="B1195" s="9" t="s">
        <v>2136</v>
      </c>
      <c r="C1195" s="9" t="s">
        <v>37</v>
      </c>
      <c r="D1195" s="9" t="n">
        <v>75</v>
      </c>
      <c r="E1195" s="9" t="s">
        <v>70</v>
      </c>
      <c r="F1195" s="9" t="s">
        <v>57</v>
      </c>
      <c r="G1195" s="10" t="n">
        <v>46036</v>
      </c>
      <c r="H1195" s="10" t="n">
        <v>46041</v>
      </c>
      <c r="I1195" s="9" t="s">
        <v>66</v>
      </c>
      <c r="J1195" s="9" t="s">
        <v>51</v>
      </c>
      <c r="K1195" s="9" t="n">
        <v>5</v>
      </c>
      <c r="L1195" s="9" t="n">
        <v>5</v>
      </c>
      <c r="M1195" s="9" t="n">
        <v>2</v>
      </c>
      <c r="N1195" s="9" t="s">
        <v>42</v>
      </c>
      <c r="O1195" s="9" t="s">
        <v>52</v>
      </c>
      <c r="P1195" s="9" t="n">
        <v>10.5</v>
      </c>
      <c r="Q1195" s="9" t="n">
        <v>2</v>
      </c>
      <c r="R1195" s="9" t="s">
        <v>53</v>
      </c>
      <c r="S1195" s="9"/>
      <c r="T1195" s="9"/>
      <c r="U1195" s="9" t="str">
        <f aca="false">IF(COUNTIF($A$2:$A$5001,A1195)&gt;1,"Duplicate","Unique")</f>
        <v>Unique</v>
      </c>
      <c r="V1195" s="9" t="str">
        <f aca="false">IF(COUNTIFS($B$2:$B$5001,B1195,$H$2:$H$5001,H1195,$J$2:$J$5001,J1195)&gt;1,"Possible Duplicate Booking","Unique")</f>
        <v>Unique</v>
      </c>
      <c r="W1195" s="9" t="str">
        <f aca="false">IF((H1195-G1195)&lt;&gt;K1195,"Mismatch","OK")</f>
        <v>OK</v>
      </c>
      <c r="X1195" s="9" t="str">
        <f aca="false">IF(TEXT(H1195,"dddd")&lt;&gt;I1195,"Mismatch","OK")</f>
        <v>OK</v>
      </c>
      <c r="Y1195" s="9" t="str">
        <f aca="false">IF(AND(N1195="No",O1195&lt;&gt;""),"Unexpected: channel present but no reminder sent",IF(AND(N1195="Yes",O1195=""),"Missing channel for sent reminder","OK"))</f>
        <v>OK</v>
      </c>
    </row>
    <row r="1196" customFormat="false" ht="15" hidden="false" customHeight="false" outlineLevel="0" collapsed="false">
      <c r="A1196" s="7" t="s">
        <v>2137</v>
      </c>
      <c r="B1196" s="7" t="s">
        <v>2138</v>
      </c>
      <c r="C1196" s="7" t="s">
        <v>37</v>
      </c>
      <c r="D1196" s="7" t="n">
        <v>20</v>
      </c>
      <c r="E1196" s="7" t="s">
        <v>82</v>
      </c>
      <c r="F1196" s="7" t="s">
        <v>49</v>
      </c>
      <c r="G1196" s="8" t="n">
        <v>45926</v>
      </c>
      <c r="H1196" s="8" t="n">
        <v>45945</v>
      </c>
      <c r="I1196" s="7" t="s">
        <v>58</v>
      </c>
      <c r="J1196" s="7" t="s">
        <v>51</v>
      </c>
      <c r="K1196" s="7" t="n">
        <v>19</v>
      </c>
      <c r="L1196" s="7" t="n">
        <v>6</v>
      </c>
      <c r="M1196" s="7" t="n">
        <v>2</v>
      </c>
      <c r="N1196" s="7" t="s">
        <v>42</v>
      </c>
      <c r="O1196" s="7" t="s">
        <v>52</v>
      </c>
      <c r="P1196" s="7" t="n">
        <v>10.5</v>
      </c>
      <c r="Q1196" s="7" t="n">
        <v>39</v>
      </c>
      <c r="R1196" s="7" t="s">
        <v>44</v>
      </c>
      <c r="S1196" s="7"/>
      <c r="T1196" s="7"/>
      <c r="U1196" s="7" t="str">
        <f aca="false">IF(COUNTIF($A$2:$A$5001,A1196)&gt;1,"Duplicate","Unique")</f>
        <v>Unique</v>
      </c>
      <c r="V1196" s="7" t="str">
        <f aca="false">IF(COUNTIFS($B$2:$B$5001,B1196,$H$2:$H$5001,H1196,$J$2:$J$5001,J1196)&gt;1,"Possible Duplicate Booking","Unique")</f>
        <v>Unique</v>
      </c>
      <c r="W1196" s="7" t="str">
        <f aca="false">IF((H1196-G1196)&lt;&gt;K1196,"Mismatch","OK")</f>
        <v>OK</v>
      </c>
      <c r="X1196" s="7" t="str">
        <f aca="false">IF(TEXT(H1196,"dddd")&lt;&gt;I1196,"Mismatch","OK")</f>
        <v>OK</v>
      </c>
      <c r="Y1196" s="7" t="str">
        <f aca="false">IF(AND(N1196="No",O1196&lt;&gt;""),"Unexpected: channel present but no reminder sent",IF(AND(N1196="Yes",O1196=""),"Missing channel for sent reminder","OK"))</f>
        <v>OK</v>
      </c>
    </row>
    <row r="1197" customFormat="false" ht="15" hidden="false" customHeight="false" outlineLevel="0" collapsed="false">
      <c r="A1197" s="9" t="s">
        <v>2139</v>
      </c>
      <c r="B1197" s="9" t="s">
        <v>1028</v>
      </c>
      <c r="C1197" s="9" t="s">
        <v>47</v>
      </c>
      <c r="D1197" s="9" t="n">
        <v>44</v>
      </c>
      <c r="E1197" s="9" t="s">
        <v>38</v>
      </c>
      <c r="F1197" s="9" t="s">
        <v>39</v>
      </c>
      <c r="G1197" s="10" t="n">
        <v>45981</v>
      </c>
      <c r="H1197" s="10" t="n">
        <v>46004</v>
      </c>
      <c r="I1197" s="9" t="s">
        <v>102</v>
      </c>
      <c r="J1197" s="9" t="s">
        <v>51</v>
      </c>
      <c r="K1197" s="9" t="n">
        <v>23</v>
      </c>
      <c r="L1197" s="9" t="n">
        <v>3</v>
      </c>
      <c r="M1197" s="9" t="n">
        <v>2</v>
      </c>
      <c r="N1197" s="9" t="s">
        <v>42</v>
      </c>
      <c r="O1197" s="9" t="s">
        <v>43</v>
      </c>
      <c r="P1197" s="9" t="n">
        <v>7.4</v>
      </c>
      <c r="Q1197" s="9" t="n">
        <v>43</v>
      </c>
      <c r="R1197" s="9" t="s">
        <v>53</v>
      </c>
      <c r="S1197" s="9"/>
      <c r="T1197" s="9"/>
      <c r="U1197" s="9" t="str">
        <f aca="false">IF(COUNTIF($A$2:$A$5001,A1197)&gt;1,"Duplicate","Unique")</f>
        <v>Unique</v>
      </c>
      <c r="V1197" s="9" t="str">
        <f aca="false">IF(COUNTIFS($B$2:$B$5001,B1197,$H$2:$H$5001,H1197,$J$2:$J$5001,J1197)&gt;1,"Possible Duplicate Booking","Unique")</f>
        <v>Unique</v>
      </c>
      <c r="W1197" s="9" t="str">
        <f aca="false">IF((H1197-G1197)&lt;&gt;K1197,"Mismatch","OK")</f>
        <v>OK</v>
      </c>
      <c r="X1197" s="9" t="str">
        <f aca="false">IF(TEXT(H1197,"dddd")&lt;&gt;I1197,"Mismatch","OK")</f>
        <v>OK</v>
      </c>
      <c r="Y1197" s="9" t="str">
        <f aca="false">IF(AND(N1197="No",O1197&lt;&gt;""),"Unexpected: channel present but no reminder sent",IF(AND(N1197="Yes",O1197=""),"Missing channel for sent reminder","OK"))</f>
        <v>OK</v>
      </c>
    </row>
    <row r="1198" customFormat="false" ht="15" hidden="false" customHeight="false" outlineLevel="0" collapsed="false">
      <c r="A1198" s="7" t="s">
        <v>2140</v>
      </c>
      <c r="B1198" s="7" t="s">
        <v>566</v>
      </c>
      <c r="C1198" s="7" t="s">
        <v>37</v>
      </c>
      <c r="D1198" s="7" t="n">
        <v>29</v>
      </c>
      <c r="E1198" s="7" t="s">
        <v>48</v>
      </c>
      <c r="F1198" s="7" t="s">
        <v>57</v>
      </c>
      <c r="G1198" s="8" t="n">
        <v>46010</v>
      </c>
      <c r="H1198" s="8" t="n">
        <v>46047</v>
      </c>
      <c r="I1198" s="7" t="s">
        <v>75</v>
      </c>
      <c r="J1198" s="7" t="s">
        <v>51</v>
      </c>
      <c r="K1198" s="7" t="n">
        <v>37</v>
      </c>
      <c r="L1198" s="7" t="n">
        <v>1</v>
      </c>
      <c r="M1198" s="7" t="n">
        <v>0</v>
      </c>
      <c r="N1198" s="7" t="s">
        <v>42</v>
      </c>
      <c r="O1198" s="7" t="s">
        <v>67</v>
      </c>
      <c r="P1198" s="7" t="n">
        <v>17.8</v>
      </c>
      <c r="Q1198" s="7" t="n">
        <v>16</v>
      </c>
      <c r="R1198" s="7" t="s">
        <v>44</v>
      </c>
      <c r="S1198" s="7"/>
      <c r="T1198" s="7"/>
      <c r="U1198" s="7" t="str">
        <f aca="false">IF(COUNTIF($A$2:$A$5001,A1198)&gt;1,"Duplicate","Unique")</f>
        <v>Unique</v>
      </c>
      <c r="V1198" s="7" t="str">
        <f aca="false">IF(COUNTIFS($B$2:$B$5001,B1198,$H$2:$H$5001,H1198,$J$2:$J$5001,J1198)&gt;1,"Possible Duplicate Booking","Unique")</f>
        <v>Unique</v>
      </c>
      <c r="W1198" s="7" t="str">
        <f aca="false">IF((H1198-G1198)&lt;&gt;K1198,"Mismatch","OK")</f>
        <v>OK</v>
      </c>
      <c r="X1198" s="7" t="str">
        <f aca="false">IF(TEXT(H1198,"dddd")&lt;&gt;I1198,"Mismatch","OK")</f>
        <v>OK</v>
      </c>
      <c r="Y1198" s="7" t="str">
        <f aca="false">IF(AND(N1198="No",O1198&lt;&gt;""),"Unexpected: channel present but no reminder sent",IF(AND(N1198="Yes",O1198=""),"Missing channel for sent reminder","OK"))</f>
        <v>OK</v>
      </c>
    </row>
    <row r="1199" customFormat="false" ht="15" hidden="false" customHeight="false" outlineLevel="0" collapsed="false">
      <c r="A1199" s="9" t="s">
        <v>2141</v>
      </c>
      <c r="B1199" s="9" t="s">
        <v>611</v>
      </c>
      <c r="C1199" s="9" t="s">
        <v>47</v>
      </c>
      <c r="D1199" s="9" t="n">
        <v>54</v>
      </c>
      <c r="E1199" s="9" t="s">
        <v>56</v>
      </c>
      <c r="F1199" s="9" t="s">
        <v>57</v>
      </c>
      <c r="G1199" s="10" t="n">
        <v>46179</v>
      </c>
      <c r="H1199" s="10" t="n">
        <v>46194</v>
      </c>
      <c r="I1199" s="9" t="s">
        <v>75</v>
      </c>
      <c r="J1199" s="9" t="s">
        <v>51</v>
      </c>
      <c r="K1199" s="9" t="n">
        <v>15</v>
      </c>
      <c r="L1199" s="9" t="n">
        <v>2</v>
      </c>
      <c r="M1199" s="9" t="n">
        <v>1</v>
      </c>
      <c r="N1199" s="9" t="s">
        <v>42</v>
      </c>
      <c r="O1199" s="9" t="s">
        <v>43</v>
      </c>
      <c r="P1199" s="9" t="n">
        <v>15.4</v>
      </c>
      <c r="Q1199" s="9" t="n">
        <v>44</v>
      </c>
      <c r="R1199" s="9" t="s">
        <v>44</v>
      </c>
      <c r="S1199" s="9"/>
      <c r="T1199" s="9"/>
      <c r="U1199" s="9" t="str">
        <f aca="false">IF(COUNTIF($A$2:$A$5001,A1199)&gt;1,"Duplicate","Unique")</f>
        <v>Unique</v>
      </c>
      <c r="V1199" s="9" t="str">
        <f aca="false">IF(COUNTIFS($B$2:$B$5001,B1199,$H$2:$H$5001,H1199,$J$2:$J$5001,J1199)&gt;1,"Possible Duplicate Booking","Unique")</f>
        <v>Unique</v>
      </c>
      <c r="W1199" s="9" t="str">
        <f aca="false">IF((H1199-G1199)&lt;&gt;K1199,"Mismatch","OK")</f>
        <v>OK</v>
      </c>
      <c r="X1199" s="9" t="str">
        <f aca="false">IF(TEXT(H1199,"dddd")&lt;&gt;I1199,"Mismatch","OK")</f>
        <v>OK</v>
      </c>
      <c r="Y1199" s="9" t="str">
        <f aca="false">IF(AND(N1199="No",O1199&lt;&gt;""),"Unexpected: channel present but no reminder sent",IF(AND(N1199="Yes",O1199=""),"Missing channel for sent reminder","OK"))</f>
        <v>OK</v>
      </c>
    </row>
    <row r="1200" customFormat="false" ht="15" hidden="false" customHeight="false" outlineLevel="0" collapsed="false">
      <c r="A1200" s="7" t="s">
        <v>2142</v>
      </c>
      <c r="B1200" s="7" t="s">
        <v>1318</v>
      </c>
      <c r="C1200" s="7" t="s">
        <v>37</v>
      </c>
      <c r="D1200" s="7" t="n">
        <v>49</v>
      </c>
      <c r="E1200" s="7" t="s">
        <v>56</v>
      </c>
      <c r="F1200" s="7" t="s">
        <v>57</v>
      </c>
      <c r="G1200" s="8" t="n">
        <v>46087</v>
      </c>
      <c r="H1200" s="8" t="n">
        <v>46096</v>
      </c>
      <c r="I1200" s="7" t="s">
        <v>75</v>
      </c>
      <c r="J1200" s="7" t="s">
        <v>51</v>
      </c>
      <c r="K1200" s="7" t="n">
        <v>9</v>
      </c>
      <c r="L1200" s="7" t="n">
        <v>2</v>
      </c>
      <c r="M1200" s="7" t="n">
        <v>0</v>
      </c>
      <c r="N1200" s="7" t="s">
        <v>42</v>
      </c>
      <c r="O1200" s="7" t="s">
        <v>67</v>
      </c>
      <c r="P1200" s="7" t="n">
        <v>4.6</v>
      </c>
      <c r="Q1200" s="7" t="n">
        <v>5</v>
      </c>
      <c r="R1200" s="7" t="s">
        <v>44</v>
      </c>
      <c r="S1200" s="7"/>
      <c r="T1200" s="7"/>
      <c r="U1200" s="7" t="str">
        <f aca="false">IF(COUNTIF($A$2:$A$5001,A1200)&gt;1,"Duplicate","Unique")</f>
        <v>Unique</v>
      </c>
      <c r="V1200" s="7" t="str">
        <f aca="false">IF(COUNTIFS($B$2:$B$5001,B1200,$H$2:$H$5001,H1200,$J$2:$J$5001,J1200)&gt;1,"Possible Duplicate Booking","Unique")</f>
        <v>Unique</v>
      </c>
      <c r="W1200" s="7" t="str">
        <f aca="false">IF((H1200-G1200)&lt;&gt;K1200,"Mismatch","OK")</f>
        <v>OK</v>
      </c>
      <c r="X1200" s="7" t="str">
        <f aca="false">IF(TEXT(H1200,"dddd")&lt;&gt;I1200,"Mismatch","OK")</f>
        <v>OK</v>
      </c>
      <c r="Y1200" s="7" t="str">
        <f aca="false">IF(AND(N1200="No",O1200&lt;&gt;""),"Unexpected: channel present but no reminder sent",IF(AND(N1200="Yes",O1200=""),"Missing channel for sent reminder","OK"))</f>
        <v>OK</v>
      </c>
    </row>
    <row r="1201" customFormat="false" ht="15" hidden="false" customHeight="false" outlineLevel="0" collapsed="false">
      <c r="A1201" s="9" t="s">
        <v>2143</v>
      </c>
      <c r="B1201" s="9" t="s">
        <v>1214</v>
      </c>
      <c r="C1201" s="9" t="s">
        <v>37</v>
      </c>
      <c r="D1201" s="9" t="n">
        <v>47</v>
      </c>
      <c r="E1201" s="9" t="s">
        <v>56</v>
      </c>
      <c r="F1201" s="9" t="s">
        <v>57</v>
      </c>
      <c r="G1201" s="10" t="n">
        <v>45986</v>
      </c>
      <c r="H1201" s="10" t="n">
        <v>45996</v>
      </c>
      <c r="I1201" s="9" t="s">
        <v>50</v>
      </c>
      <c r="J1201" s="9" t="s">
        <v>51</v>
      </c>
      <c r="K1201" s="9" t="n">
        <v>10</v>
      </c>
      <c r="L1201" s="9" t="n">
        <v>2</v>
      </c>
      <c r="M1201" s="9" t="n">
        <v>0</v>
      </c>
      <c r="N1201" s="9" t="s">
        <v>71</v>
      </c>
      <c r="O1201" s="9"/>
      <c r="P1201" s="9" t="n">
        <v>6.3</v>
      </c>
      <c r="Q1201" s="9" t="n">
        <v>27</v>
      </c>
      <c r="R1201" s="9" t="s">
        <v>44</v>
      </c>
      <c r="S1201" s="9"/>
      <c r="T1201" s="9"/>
      <c r="U1201" s="9" t="str">
        <f aca="false">IF(COUNTIF($A$2:$A$5001,A1201)&gt;1,"Duplicate","Unique")</f>
        <v>Unique</v>
      </c>
      <c r="V1201" s="9" t="str">
        <f aca="false">IF(COUNTIFS($B$2:$B$5001,B1201,$H$2:$H$5001,H1201,$J$2:$J$5001,J1201)&gt;1,"Possible Duplicate Booking","Unique")</f>
        <v>Unique</v>
      </c>
      <c r="W1201" s="9" t="str">
        <f aca="false">IF((H1201-G1201)&lt;&gt;K1201,"Mismatch","OK")</f>
        <v>OK</v>
      </c>
      <c r="X1201" s="9" t="str">
        <f aca="false">IF(TEXT(H1201,"dddd")&lt;&gt;I1201,"Mismatch","OK")</f>
        <v>OK</v>
      </c>
      <c r="Y1201" s="9" t="str">
        <f aca="false">IF(AND(N1201="No",O1201&lt;&gt;""),"Unexpected: channel present but no reminder sent",IF(AND(N1201="Yes",O1201=""),"Missing channel for sent reminder","OK"))</f>
        <v>OK</v>
      </c>
    </row>
    <row r="1202" customFormat="false" ht="15" hidden="false" customHeight="false" outlineLevel="0" collapsed="false">
      <c r="A1202" s="7" t="s">
        <v>2144</v>
      </c>
      <c r="B1202" s="7" t="s">
        <v>2145</v>
      </c>
      <c r="C1202" s="7" t="s">
        <v>47</v>
      </c>
      <c r="D1202" s="7" t="n">
        <v>79</v>
      </c>
      <c r="E1202" s="7" t="s">
        <v>70</v>
      </c>
      <c r="F1202" s="7" t="s">
        <v>57</v>
      </c>
      <c r="G1202" s="8" t="n">
        <v>46080</v>
      </c>
      <c r="H1202" s="8" t="n">
        <v>46137</v>
      </c>
      <c r="I1202" s="7" t="s">
        <v>102</v>
      </c>
      <c r="J1202" s="7" t="s">
        <v>63</v>
      </c>
      <c r="K1202" s="7" t="n">
        <v>57</v>
      </c>
      <c r="L1202" s="7" t="n">
        <v>2</v>
      </c>
      <c r="M1202" s="7" t="n">
        <v>0</v>
      </c>
      <c r="N1202" s="7" t="s">
        <v>42</v>
      </c>
      <c r="O1202" s="7" t="s">
        <v>43</v>
      </c>
      <c r="P1202" s="7" t="n">
        <v>4.2</v>
      </c>
      <c r="Q1202" s="7" t="n">
        <v>22</v>
      </c>
      <c r="R1202" s="7" t="s">
        <v>44</v>
      </c>
      <c r="S1202" s="7"/>
      <c r="T1202" s="7"/>
      <c r="U1202" s="7" t="str">
        <f aca="false">IF(COUNTIF($A$2:$A$5001,A1202)&gt;1,"Duplicate","Unique")</f>
        <v>Unique</v>
      </c>
      <c r="V1202" s="7" t="str">
        <f aca="false">IF(COUNTIFS($B$2:$B$5001,B1202,$H$2:$H$5001,H1202,$J$2:$J$5001,J1202)&gt;1,"Possible Duplicate Booking","Unique")</f>
        <v>Unique</v>
      </c>
      <c r="W1202" s="7" t="str">
        <f aca="false">IF((H1202-G1202)&lt;&gt;K1202,"Mismatch","OK")</f>
        <v>OK</v>
      </c>
      <c r="X1202" s="7" t="str">
        <f aca="false">IF(TEXT(H1202,"dddd")&lt;&gt;I1202,"Mismatch","OK")</f>
        <v>OK</v>
      </c>
      <c r="Y1202" s="7" t="str">
        <f aca="false">IF(AND(N1202="No",O1202&lt;&gt;""),"Unexpected: channel present but no reminder sent",IF(AND(N1202="Yes",O1202=""),"Missing channel for sent reminder","OK"))</f>
        <v>OK</v>
      </c>
    </row>
    <row r="1203" customFormat="false" ht="15" hidden="false" customHeight="false" outlineLevel="0" collapsed="false">
      <c r="A1203" s="9" t="s">
        <v>2146</v>
      </c>
      <c r="B1203" s="9" t="s">
        <v>225</v>
      </c>
      <c r="C1203" s="9" t="s">
        <v>47</v>
      </c>
      <c r="D1203" s="9" t="n">
        <v>51</v>
      </c>
      <c r="E1203" s="9" t="s">
        <v>56</v>
      </c>
      <c r="F1203" s="9" t="s">
        <v>39</v>
      </c>
      <c r="G1203" s="10" t="n">
        <v>45860</v>
      </c>
      <c r="H1203" s="10" t="n">
        <v>45918</v>
      </c>
      <c r="I1203" s="9" t="s">
        <v>62</v>
      </c>
      <c r="J1203" s="9" t="s">
        <v>51</v>
      </c>
      <c r="K1203" s="9" t="n">
        <v>58</v>
      </c>
      <c r="L1203" s="9" t="n">
        <v>3</v>
      </c>
      <c r="M1203" s="9" t="n">
        <v>1</v>
      </c>
      <c r="N1203" s="9" t="s">
        <v>42</v>
      </c>
      <c r="O1203" s="9" t="s">
        <v>43</v>
      </c>
      <c r="P1203" s="9" t="n">
        <v>9.2</v>
      </c>
      <c r="Q1203" s="9" t="n">
        <v>9</v>
      </c>
      <c r="R1203" s="9" t="s">
        <v>44</v>
      </c>
      <c r="S1203" s="9"/>
      <c r="T1203" s="9"/>
      <c r="U1203" s="9" t="str">
        <f aca="false">IF(COUNTIF($A$2:$A$5001,A1203)&gt;1,"Duplicate","Unique")</f>
        <v>Unique</v>
      </c>
      <c r="V1203" s="9" t="str">
        <f aca="false">IF(COUNTIFS($B$2:$B$5001,B1203,$H$2:$H$5001,H1203,$J$2:$J$5001,J1203)&gt;1,"Possible Duplicate Booking","Unique")</f>
        <v>Unique</v>
      </c>
      <c r="W1203" s="9" t="str">
        <f aca="false">IF((H1203-G1203)&lt;&gt;K1203,"Mismatch","OK")</f>
        <v>OK</v>
      </c>
      <c r="X1203" s="9" t="str">
        <f aca="false">IF(TEXT(H1203,"dddd")&lt;&gt;I1203,"Mismatch","OK")</f>
        <v>OK</v>
      </c>
      <c r="Y1203" s="9" t="str">
        <f aca="false">IF(AND(N1203="No",O1203&lt;&gt;""),"Unexpected: channel present but no reminder sent",IF(AND(N1203="Yes",O1203=""),"Missing channel for sent reminder","OK"))</f>
        <v>OK</v>
      </c>
    </row>
    <row r="1204" customFormat="false" ht="15" hidden="false" customHeight="false" outlineLevel="0" collapsed="false">
      <c r="A1204" s="7" t="s">
        <v>2147</v>
      </c>
      <c r="B1204" s="7" t="s">
        <v>2148</v>
      </c>
      <c r="C1204" s="7" t="s">
        <v>47</v>
      </c>
      <c r="D1204" s="7" t="n">
        <v>43</v>
      </c>
      <c r="E1204" s="7" t="s">
        <v>38</v>
      </c>
      <c r="F1204" s="7" t="s">
        <v>57</v>
      </c>
      <c r="G1204" s="8" t="n">
        <v>46182</v>
      </c>
      <c r="H1204" s="8" t="n">
        <v>46195</v>
      </c>
      <c r="I1204" s="7" t="s">
        <v>66</v>
      </c>
      <c r="J1204" s="7" t="s">
        <v>51</v>
      </c>
      <c r="K1204" s="7" t="n">
        <v>13</v>
      </c>
      <c r="L1204" s="7" t="n">
        <v>2</v>
      </c>
      <c r="M1204" s="7" t="n">
        <v>2</v>
      </c>
      <c r="N1204" s="7" t="s">
        <v>42</v>
      </c>
      <c r="O1204" s="7" t="s">
        <v>52</v>
      </c>
      <c r="P1204" s="7" t="n">
        <v>11.2</v>
      </c>
      <c r="Q1204" s="7" t="n">
        <v>21</v>
      </c>
      <c r="R1204" s="7" t="s">
        <v>44</v>
      </c>
      <c r="S1204" s="7"/>
      <c r="T1204" s="7"/>
      <c r="U1204" s="7" t="str">
        <f aca="false">IF(COUNTIF($A$2:$A$5001,A1204)&gt;1,"Duplicate","Unique")</f>
        <v>Unique</v>
      </c>
      <c r="V1204" s="7" t="str">
        <f aca="false">IF(COUNTIFS($B$2:$B$5001,B1204,$H$2:$H$5001,H1204,$J$2:$J$5001,J1204)&gt;1,"Possible Duplicate Booking","Unique")</f>
        <v>Unique</v>
      </c>
      <c r="W1204" s="7" t="str">
        <f aca="false">IF((H1204-G1204)&lt;&gt;K1204,"Mismatch","OK")</f>
        <v>OK</v>
      </c>
      <c r="X1204" s="7" t="str">
        <f aca="false">IF(TEXT(H1204,"dddd")&lt;&gt;I1204,"Mismatch","OK")</f>
        <v>OK</v>
      </c>
      <c r="Y1204" s="7" t="str">
        <f aca="false">IF(AND(N1204="No",O1204&lt;&gt;""),"Unexpected: channel present but no reminder sent",IF(AND(N1204="Yes",O1204=""),"Missing channel for sent reminder","OK"))</f>
        <v>OK</v>
      </c>
    </row>
    <row r="1205" customFormat="false" ht="15" hidden="false" customHeight="false" outlineLevel="0" collapsed="false">
      <c r="A1205" s="9" t="s">
        <v>2149</v>
      </c>
      <c r="B1205" s="9" t="s">
        <v>2150</v>
      </c>
      <c r="C1205" s="9" t="s">
        <v>37</v>
      </c>
      <c r="D1205" s="9" t="n">
        <v>22</v>
      </c>
      <c r="E1205" s="9" t="s">
        <v>82</v>
      </c>
      <c r="F1205" s="9" t="s">
        <v>57</v>
      </c>
      <c r="G1205" s="10" t="n">
        <v>46062</v>
      </c>
      <c r="H1205" s="10" t="n">
        <v>46073</v>
      </c>
      <c r="I1205" s="9" t="s">
        <v>50</v>
      </c>
      <c r="J1205" s="9" t="s">
        <v>41</v>
      </c>
      <c r="K1205" s="9" t="n">
        <v>11</v>
      </c>
      <c r="L1205" s="9" t="n">
        <v>2</v>
      </c>
      <c r="M1205" s="9" t="n">
        <v>1</v>
      </c>
      <c r="N1205" s="9" t="s">
        <v>71</v>
      </c>
      <c r="O1205" s="9"/>
      <c r="P1205" s="9" t="n">
        <v>5.8</v>
      </c>
      <c r="Q1205" s="9" t="n">
        <v>24</v>
      </c>
      <c r="R1205" s="9" t="s">
        <v>53</v>
      </c>
      <c r="S1205" s="9"/>
      <c r="T1205" s="9"/>
      <c r="U1205" s="9" t="str">
        <f aca="false">IF(COUNTIF($A$2:$A$5001,A1205)&gt;1,"Duplicate","Unique")</f>
        <v>Unique</v>
      </c>
      <c r="V1205" s="9" t="str">
        <f aca="false">IF(COUNTIFS($B$2:$B$5001,B1205,$H$2:$H$5001,H1205,$J$2:$J$5001,J1205)&gt;1,"Possible Duplicate Booking","Unique")</f>
        <v>Unique</v>
      </c>
      <c r="W1205" s="9" t="str">
        <f aca="false">IF((H1205-G1205)&lt;&gt;K1205,"Mismatch","OK")</f>
        <v>OK</v>
      </c>
      <c r="X1205" s="9" t="str">
        <f aca="false">IF(TEXT(H1205,"dddd")&lt;&gt;I1205,"Mismatch","OK")</f>
        <v>OK</v>
      </c>
      <c r="Y1205" s="9" t="str">
        <f aca="false">IF(AND(N1205="No",O1205&lt;&gt;""),"Unexpected: channel present but no reminder sent",IF(AND(N1205="Yes",O1205=""),"Missing channel for sent reminder","OK"))</f>
        <v>OK</v>
      </c>
    </row>
    <row r="1206" customFormat="false" ht="15" hidden="false" customHeight="false" outlineLevel="0" collapsed="false">
      <c r="A1206" s="7" t="s">
        <v>2151</v>
      </c>
      <c r="B1206" s="7" t="s">
        <v>2152</v>
      </c>
      <c r="C1206" s="7" t="s">
        <v>37</v>
      </c>
      <c r="D1206" s="7" t="n">
        <v>36</v>
      </c>
      <c r="E1206" s="7" t="s">
        <v>38</v>
      </c>
      <c r="F1206" s="7" t="s">
        <v>39</v>
      </c>
      <c r="G1206" s="8" t="n">
        <v>46010</v>
      </c>
      <c r="H1206" s="8" t="n">
        <v>46013</v>
      </c>
      <c r="I1206" s="7" t="s">
        <v>66</v>
      </c>
      <c r="J1206" s="7" t="s">
        <v>51</v>
      </c>
      <c r="K1206" s="7" t="n">
        <v>3</v>
      </c>
      <c r="L1206" s="7" t="n">
        <v>2</v>
      </c>
      <c r="M1206" s="7" t="n">
        <v>1</v>
      </c>
      <c r="N1206" s="7" t="s">
        <v>42</v>
      </c>
      <c r="O1206" s="7" t="s">
        <v>52</v>
      </c>
      <c r="P1206" s="7" t="n">
        <v>6.4</v>
      </c>
      <c r="Q1206" s="7" t="n">
        <v>11</v>
      </c>
      <c r="R1206" s="7" t="s">
        <v>87</v>
      </c>
      <c r="S1206" s="7"/>
      <c r="T1206" s="7"/>
      <c r="U1206" s="7" t="str">
        <f aca="false">IF(COUNTIF($A$2:$A$5001,A1206)&gt;1,"Duplicate","Unique")</f>
        <v>Unique</v>
      </c>
      <c r="V1206" s="7" t="str">
        <f aca="false">IF(COUNTIFS($B$2:$B$5001,B1206,$H$2:$H$5001,H1206,$J$2:$J$5001,J1206)&gt;1,"Possible Duplicate Booking","Unique")</f>
        <v>Unique</v>
      </c>
      <c r="W1206" s="7" t="str">
        <f aca="false">IF((H1206-G1206)&lt;&gt;K1206,"Mismatch","OK")</f>
        <v>OK</v>
      </c>
      <c r="X1206" s="7" t="str">
        <f aca="false">IF(TEXT(H1206,"dddd")&lt;&gt;I1206,"Mismatch","OK")</f>
        <v>OK</v>
      </c>
      <c r="Y1206" s="7" t="str">
        <f aca="false">IF(AND(N1206="No",O1206&lt;&gt;""),"Unexpected: channel present but no reminder sent",IF(AND(N1206="Yes",O1206=""),"Missing channel for sent reminder","OK"))</f>
        <v>OK</v>
      </c>
    </row>
    <row r="1207" customFormat="false" ht="15" hidden="false" customHeight="false" outlineLevel="0" collapsed="false">
      <c r="A1207" s="9" t="s">
        <v>2153</v>
      </c>
      <c r="B1207" s="9" t="s">
        <v>2154</v>
      </c>
      <c r="C1207" s="9" t="s">
        <v>37</v>
      </c>
      <c r="D1207" s="9" t="n">
        <v>74</v>
      </c>
      <c r="E1207" s="9" t="s">
        <v>70</v>
      </c>
      <c r="F1207" s="9" t="s">
        <v>39</v>
      </c>
      <c r="G1207" s="10" t="n">
        <v>46093</v>
      </c>
      <c r="H1207" s="10" t="n">
        <v>46151</v>
      </c>
      <c r="I1207" s="9" t="s">
        <v>102</v>
      </c>
      <c r="J1207" s="9" t="s">
        <v>41</v>
      </c>
      <c r="K1207" s="9" t="n">
        <v>58</v>
      </c>
      <c r="L1207" s="9" t="n">
        <v>4</v>
      </c>
      <c r="M1207" s="9" t="n">
        <v>2</v>
      </c>
      <c r="N1207" s="9" t="s">
        <v>42</v>
      </c>
      <c r="O1207" s="9" t="s">
        <v>43</v>
      </c>
      <c r="P1207" s="9" t="n">
        <v>4.5</v>
      </c>
      <c r="Q1207" s="9" t="n">
        <v>31</v>
      </c>
      <c r="R1207" s="9" t="s">
        <v>44</v>
      </c>
      <c r="S1207" s="9"/>
      <c r="T1207" s="9"/>
      <c r="U1207" s="9" t="str">
        <f aca="false">IF(COUNTIF($A$2:$A$5001,A1207)&gt;1,"Duplicate","Unique")</f>
        <v>Unique</v>
      </c>
      <c r="V1207" s="9" t="str">
        <f aca="false">IF(COUNTIFS($B$2:$B$5001,B1207,$H$2:$H$5001,H1207,$J$2:$J$5001,J1207)&gt;1,"Possible Duplicate Booking","Unique")</f>
        <v>Unique</v>
      </c>
      <c r="W1207" s="9" t="str">
        <f aca="false">IF((H1207-G1207)&lt;&gt;K1207,"Mismatch","OK")</f>
        <v>OK</v>
      </c>
      <c r="X1207" s="9" t="str">
        <f aca="false">IF(TEXT(H1207,"dddd")&lt;&gt;I1207,"Mismatch","OK")</f>
        <v>OK</v>
      </c>
      <c r="Y1207" s="9" t="str">
        <f aca="false">IF(AND(N1207="No",O1207&lt;&gt;""),"Unexpected: channel present but no reminder sent",IF(AND(N1207="Yes",O1207=""),"Missing channel for sent reminder","OK"))</f>
        <v>OK</v>
      </c>
    </row>
    <row r="1208" customFormat="false" ht="15" hidden="false" customHeight="false" outlineLevel="0" collapsed="false">
      <c r="A1208" s="7" t="s">
        <v>2155</v>
      </c>
      <c r="B1208" s="7" t="s">
        <v>1355</v>
      </c>
      <c r="C1208" s="7" t="s">
        <v>47</v>
      </c>
      <c r="D1208" s="7" t="n">
        <v>46</v>
      </c>
      <c r="E1208" s="7" t="s">
        <v>56</v>
      </c>
      <c r="F1208" s="7" t="s">
        <v>57</v>
      </c>
      <c r="G1208" s="8" t="n">
        <v>45896</v>
      </c>
      <c r="H1208" s="8" t="n">
        <v>45939</v>
      </c>
      <c r="I1208" s="7" t="s">
        <v>62</v>
      </c>
      <c r="J1208" s="7" t="s">
        <v>51</v>
      </c>
      <c r="K1208" s="7" t="n">
        <v>43</v>
      </c>
      <c r="L1208" s="7" t="n">
        <v>5</v>
      </c>
      <c r="M1208" s="7" t="n">
        <v>0</v>
      </c>
      <c r="N1208" s="7" t="s">
        <v>42</v>
      </c>
      <c r="O1208" s="7" t="s">
        <v>52</v>
      </c>
      <c r="P1208" s="7" t="n">
        <v>3.8</v>
      </c>
      <c r="Q1208" s="7" t="n">
        <v>17</v>
      </c>
      <c r="R1208" s="7" t="s">
        <v>53</v>
      </c>
      <c r="S1208" s="7"/>
      <c r="T1208" s="7"/>
      <c r="U1208" s="7" t="str">
        <f aca="false">IF(COUNTIF($A$2:$A$5001,A1208)&gt;1,"Duplicate","Unique")</f>
        <v>Unique</v>
      </c>
      <c r="V1208" s="7" t="str">
        <f aca="false">IF(COUNTIFS($B$2:$B$5001,B1208,$H$2:$H$5001,H1208,$J$2:$J$5001,J1208)&gt;1,"Possible Duplicate Booking","Unique")</f>
        <v>Unique</v>
      </c>
      <c r="W1208" s="7" t="str">
        <f aca="false">IF((H1208-G1208)&lt;&gt;K1208,"Mismatch","OK")</f>
        <v>OK</v>
      </c>
      <c r="X1208" s="7" t="str">
        <f aca="false">IF(TEXT(H1208,"dddd")&lt;&gt;I1208,"Mismatch","OK")</f>
        <v>OK</v>
      </c>
      <c r="Y1208" s="7" t="str">
        <f aca="false">IF(AND(N1208="No",O1208&lt;&gt;""),"Unexpected: channel present but no reminder sent",IF(AND(N1208="Yes",O1208=""),"Missing channel for sent reminder","OK"))</f>
        <v>OK</v>
      </c>
    </row>
    <row r="1209" customFormat="false" ht="15" hidden="false" customHeight="false" outlineLevel="0" collapsed="false">
      <c r="A1209" s="9" t="s">
        <v>2156</v>
      </c>
      <c r="B1209" s="9" t="s">
        <v>1113</v>
      </c>
      <c r="C1209" s="9" t="s">
        <v>37</v>
      </c>
      <c r="D1209" s="9" t="n">
        <v>75</v>
      </c>
      <c r="E1209" s="9" t="s">
        <v>70</v>
      </c>
      <c r="F1209" s="9" t="s">
        <v>57</v>
      </c>
      <c r="G1209" s="10" t="n">
        <v>46005</v>
      </c>
      <c r="H1209" s="10" t="n">
        <v>46051</v>
      </c>
      <c r="I1209" s="9" t="s">
        <v>62</v>
      </c>
      <c r="J1209" s="9" t="s">
        <v>41</v>
      </c>
      <c r="K1209" s="9" t="n">
        <v>46</v>
      </c>
      <c r="L1209" s="9" t="n">
        <v>2</v>
      </c>
      <c r="M1209" s="9" t="n">
        <v>0</v>
      </c>
      <c r="N1209" s="9" t="s">
        <v>71</v>
      </c>
      <c r="O1209" s="9"/>
      <c r="P1209" s="9" t="n">
        <v>6.2</v>
      </c>
      <c r="Q1209" s="9" t="n">
        <v>20</v>
      </c>
      <c r="R1209" s="9" t="s">
        <v>44</v>
      </c>
      <c r="S1209" s="9"/>
      <c r="T1209" s="9"/>
      <c r="U1209" s="9" t="str">
        <f aca="false">IF(COUNTIF($A$2:$A$5001,A1209)&gt;1,"Duplicate","Unique")</f>
        <v>Unique</v>
      </c>
      <c r="V1209" s="9" t="str">
        <f aca="false">IF(COUNTIFS($B$2:$B$5001,B1209,$H$2:$H$5001,H1209,$J$2:$J$5001,J1209)&gt;1,"Possible Duplicate Booking","Unique")</f>
        <v>Unique</v>
      </c>
      <c r="W1209" s="9" t="str">
        <f aca="false">IF((H1209-G1209)&lt;&gt;K1209,"Mismatch","OK")</f>
        <v>OK</v>
      </c>
      <c r="X1209" s="9" t="str">
        <f aca="false">IF(TEXT(H1209,"dddd")&lt;&gt;I1209,"Mismatch","OK")</f>
        <v>OK</v>
      </c>
      <c r="Y1209" s="9" t="str">
        <f aca="false">IF(AND(N1209="No",O1209&lt;&gt;""),"Unexpected: channel present but no reminder sent",IF(AND(N1209="Yes",O1209=""),"Missing channel for sent reminder","OK"))</f>
        <v>OK</v>
      </c>
    </row>
    <row r="1210" customFormat="false" ht="15" hidden="false" customHeight="false" outlineLevel="0" collapsed="false">
      <c r="A1210" s="7" t="s">
        <v>2157</v>
      </c>
      <c r="B1210" s="7" t="s">
        <v>627</v>
      </c>
      <c r="C1210" s="7" t="s">
        <v>47</v>
      </c>
      <c r="D1210" s="7" t="n">
        <v>51</v>
      </c>
      <c r="E1210" s="7" t="s">
        <v>56</v>
      </c>
      <c r="F1210" s="7" t="s">
        <v>57</v>
      </c>
      <c r="G1210" s="8" t="n">
        <v>45796</v>
      </c>
      <c r="H1210" s="8" t="n">
        <v>45813</v>
      </c>
      <c r="I1210" s="7" t="s">
        <v>62</v>
      </c>
      <c r="J1210" s="7" t="s">
        <v>63</v>
      </c>
      <c r="K1210" s="7" t="n">
        <v>17</v>
      </c>
      <c r="L1210" s="7" t="n">
        <v>0</v>
      </c>
      <c r="M1210" s="7" t="n">
        <v>0</v>
      </c>
      <c r="N1210" s="7" t="s">
        <v>42</v>
      </c>
      <c r="O1210" s="7" t="s">
        <v>52</v>
      </c>
      <c r="P1210" s="7" t="n">
        <v>7.5</v>
      </c>
      <c r="Q1210" s="7" t="n">
        <v>40</v>
      </c>
      <c r="R1210" s="7" t="s">
        <v>44</v>
      </c>
      <c r="S1210" s="7"/>
      <c r="T1210" s="7"/>
      <c r="U1210" s="7" t="str">
        <f aca="false">IF(COUNTIF($A$2:$A$5001,A1210)&gt;1,"Duplicate","Unique")</f>
        <v>Unique</v>
      </c>
      <c r="V1210" s="7" t="str">
        <f aca="false">IF(COUNTIFS($B$2:$B$5001,B1210,$H$2:$H$5001,H1210,$J$2:$J$5001,J1210)&gt;1,"Possible Duplicate Booking","Unique")</f>
        <v>Unique</v>
      </c>
      <c r="W1210" s="7" t="str">
        <f aca="false">IF((H1210-G1210)&lt;&gt;K1210,"Mismatch","OK")</f>
        <v>OK</v>
      </c>
      <c r="X1210" s="7" t="str">
        <f aca="false">IF(TEXT(H1210,"dddd")&lt;&gt;I1210,"Mismatch","OK")</f>
        <v>OK</v>
      </c>
      <c r="Y1210" s="7" t="str">
        <f aca="false">IF(AND(N1210="No",O1210&lt;&gt;""),"Unexpected: channel present but no reminder sent",IF(AND(N1210="Yes",O1210=""),"Missing channel for sent reminder","OK"))</f>
        <v>OK</v>
      </c>
    </row>
    <row r="1211" customFormat="false" ht="15" hidden="false" customHeight="false" outlineLevel="0" collapsed="false">
      <c r="A1211" s="9" t="s">
        <v>2158</v>
      </c>
      <c r="B1211" s="9" t="s">
        <v>2159</v>
      </c>
      <c r="C1211" s="9" t="s">
        <v>47</v>
      </c>
      <c r="D1211" s="9" t="n">
        <v>52</v>
      </c>
      <c r="E1211" s="9" t="s">
        <v>56</v>
      </c>
      <c r="F1211" s="9" t="s">
        <v>57</v>
      </c>
      <c r="G1211" s="10" t="n">
        <v>46144</v>
      </c>
      <c r="H1211" s="10" t="n">
        <v>46183</v>
      </c>
      <c r="I1211" s="9" t="s">
        <v>58</v>
      </c>
      <c r="J1211" s="9" t="s">
        <v>51</v>
      </c>
      <c r="K1211" s="9" t="n">
        <v>39</v>
      </c>
      <c r="L1211" s="9" t="n">
        <v>1</v>
      </c>
      <c r="M1211" s="9" t="n">
        <v>0</v>
      </c>
      <c r="N1211" s="9" t="s">
        <v>42</v>
      </c>
      <c r="O1211" s="9" t="s">
        <v>43</v>
      </c>
      <c r="P1211" s="9" t="n">
        <v>4.5</v>
      </c>
      <c r="Q1211" s="9" t="n">
        <v>17</v>
      </c>
      <c r="R1211" s="9" t="s">
        <v>87</v>
      </c>
      <c r="S1211" s="9"/>
      <c r="T1211" s="9"/>
      <c r="U1211" s="9" t="str">
        <f aca="false">IF(COUNTIF($A$2:$A$5001,A1211)&gt;1,"Duplicate","Unique")</f>
        <v>Unique</v>
      </c>
      <c r="V1211" s="9" t="str">
        <f aca="false">IF(COUNTIFS($B$2:$B$5001,B1211,$H$2:$H$5001,H1211,$J$2:$J$5001,J1211)&gt;1,"Possible Duplicate Booking","Unique")</f>
        <v>Unique</v>
      </c>
      <c r="W1211" s="9" t="str">
        <f aca="false">IF((H1211-G1211)&lt;&gt;K1211,"Mismatch","OK")</f>
        <v>OK</v>
      </c>
      <c r="X1211" s="9" t="str">
        <f aca="false">IF(TEXT(H1211,"dddd")&lt;&gt;I1211,"Mismatch","OK")</f>
        <v>OK</v>
      </c>
      <c r="Y1211" s="9" t="str">
        <f aca="false">IF(AND(N1211="No",O1211&lt;&gt;""),"Unexpected: channel present but no reminder sent",IF(AND(N1211="Yes",O1211=""),"Missing channel for sent reminder","OK"))</f>
        <v>OK</v>
      </c>
    </row>
    <row r="1212" customFormat="false" ht="15" hidden="false" customHeight="false" outlineLevel="0" collapsed="false">
      <c r="A1212" s="7" t="s">
        <v>2160</v>
      </c>
      <c r="B1212" s="7" t="s">
        <v>423</v>
      </c>
      <c r="C1212" s="7" t="s">
        <v>37</v>
      </c>
      <c r="D1212" s="7" t="n">
        <v>45</v>
      </c>
      <c r="E1212" s="7" t="s">
        <v>56</v>
      </c>
      <c r="F1212" s="7" t="s">
        <v>49</v>
      </c>
      <c r="G1212" s="8" t="n">
        <v>45995</v>
      </c>
      <c r="H1212" s="8" t="n">
        <v>45998</v>
      </c>
      <c r="I1212" s="7" t="s">
        <v>75</v>
      </c>
      <c r="J1212" s="7" t="s">
        <v>51</v>
      </c>
      <c r="K1212" s="7" t="n">
        <v>3</v>
      </c>
      <c r="L1212" s="7" t="n">
        <v>1</v>
      </c>
      <c r="M1212" s="7" t="n">
        <v>0</v>
      </c>
      <c r="N1212" s="7" t="s">
        <v>42</v>
      </c>
      <c r="O1212" s="7" t="s">
        <v>52</v>
      </c>
      <c r="P1212" s="7" t="n">
        <v>3.6</v>
      </c>
      <c r="Q1212" s="7" t="n">
        <v>2</v>
      </c>
      <c r="R1212" s="7" t="s">
        <v>53</v>
      </c>
      <c r="S1212" s="7"/>
      <c r="T1212" s="7"/>
      <c r="U1212" s="7" t="str">
        <f aca="false">IF(COUNTIF($A$2:$A$5001,A1212)&gt;1,"Duplicate","Unique")</f>
        <v>Unique</v>
      </c>
      <c r="V1212" s="7" t="str">
        <f aca="false">IF(COUNTIFS($B$2:$B$5001,B1212,$H$2:$H$5001,H1212,$J$2:$J$5001,J1212)&gt;1,"Possible Duplicate Booking","Unique")</f>
        <v>Unique</v>
      </c>
      <c r="W1212" s="7" t="str">
        <f aca="false">IF((H1212-G1212)&lt;&gt;K1212,"Mismatch","OK")</f>
        <v>OK</v>
      </c>
      <c r="X1212" s="7" t="str">
        <f aca="false">IF(TEXT(H1212,"dddd")&lt;&gt;I1212,"Mismatch","OK")</f>
        <v>OK</v>
      </c>
      <c r="Y1212" s="7" t="str">
        <f aca="false">IF(AND(N1212="No",O1212&lt;&gt;""),"Unexpected: channel present but no reminder sent",IF(AND(N1212="Yes",O1212=""),"Missing channel for sent reminder","OK"))</f>
        <v>OK</v>
      </c>
    </row>
    <row r="1213" customFormat="false" ht="15" hidden="false" customHeight="false" outlineLevel="0" collapsed="false">
      <c r="A1213" s="9" t="s">
        <v>2161</v>
      </c>
      <c r="B1213" s="9" t="s">
        <v>2162</v>
      </c>
      <c r="C1213" s="9" t="s">
        <v>37</v>
      </c>
      <c r="D1213" s="9" t="n">
        <v>53</v>
      </c>
      <c r="E1213" s="9" t="s">
        <v>56</v>
      </c>
      <c r="F1213" s="9" t="s">
        <v>57</v>
      </c>
      <c r="G1213" s="10" t="n">
        <v>46043</v>
      </c>
      <c r="H1213" s="10" t="n">
        <v>46084</v>
      </c>
      <c r="I1213" s="9" t="s">
        <v>40</v>
      </c>
      <c r="J1213" s="9" t="s">
        <v>41</v>
      </c>
      <c r="K1213" s="9" t="n">
        <v>41</v>
      </c>
      <c r="L1213" s="9" t="n">
        <v>7</v>
      </c>
      <c r="M1213" s="9" t="n">
        <v>1</v>
      </c>
      <c r="N1213" s="9" t="s">
        <v>42</v>
      </c>
      <c r="O1213" s="9" t="s">
        <v>52</v>
      </c>
      <c r="P1213" s="9" t="n">
        <v>30</v>
      </c>
      <c r="Q1213" s="9" t="n">
        <v>21</v>
      </c>
      <c r="R1213" s="9" t="s">
        <v>53</v>
      </c>
      <c r="S1213" s="9"/>
      <c r="T1213" s="9"/>
      <c r="U1213" s="9" t="str">
        <f aca="false">IF(COUNTIF($A$2:$A$5001,A1213)&gt;1,"Duplicate","Unique")</f>
        <v>Unique</v>
      </c>
      <c r="V1213" s="9" t="str">
        <f aca="false">IF(COUNTIFS($B$2:$B$5001,B1213,$H$2:$H$5001,H1213,$J$2:$J$5001,J1213)&gt;1,"Possible Duplicate Booking","Unique")</f>
        <v>Unique</v>
      </c>
      <c r="W1213" s="9" t="str">
        <f aca="false">IF((H1213-G1213)&lt;&gt;K1213,"Mismatch","OK")</f>
        <v>OK</v>
      </c>
      <c r="X1213" s="9" t="str">
        <f aca="false">IF(TEXT(H1213,"dddd")&lt;&gt;I1213,"Mismatch","OK")</f>
        <v>OK</v>
      </c>
      <c r="Y1213" s="9" t="str">
        <f aca="false">IF(AND(N1213="No",O1213&lt;&gt;""),"Unexpected: channel present but no reminder sent",IF(AND(N1213="Yes",O1213=""),"Missing channel for sent reminder","OK"))</f>
        <v>OK</v>
      </c>
    </row>
    <row r="1214" customFormat="false" ht="15" hidden="false" customHeight="false" outlineLevel="0" collapsed="false">
      <c r="A1214" s="7" t="s">
        <v>2163</v>
      </c>
      <c r="B1214" s="7" t="s">
        <v>2164</v>
      </c>
      <c r="C1214" s="7" t="s">
        <v>37</v>
      </c>
      <c r="D1214" s="7" t="n">
        <v>22</v>
      </c>
      <c r="E1214" s="7" t="s">
        <v>82</v>
      </c>
      <c r="F1214" s="7" t="s">
        <v>49</v>
      </c>
      <c r="G1214" s="8" t="n">
        <v>45874</v>
      </c>
      <c r="H1214" s="8" t="n">
        <v>45909</v>
      </c>
      <c r="I1214" s="7" t="s">
        <v>40</v>
      </c>
      <c r="J1214" s="7" t="s">
        <v>63</v>
      </c>
      <c r="K1214" s="7" t="n">
        <v>35</v>
      </c>
      <c r="L1214" s="7" t="n">
        <v>6</v>
      </c>
      <c r="M1214" s="7" t="n">
        <v>0</v>
      </c>
      <c r="N1214" s="7" t="s">
        <v>71</v>
      </c>
      <c r="O1214" s="7"/>
      <c r="P1214" s="7" t="n">
        <v>5.9</v>
      </c>
      <c r="Q1214" s="7" t="n">
        <v>25</v>
      </c>
      <c r="R1214" s="7" t="s">
        <v>53</v>
      </c>
      <c r="S1214" s="7"/>
      <c r="T1214" s="7"/>
      <c r="U1214" s="7" t="str">
        <f aca="false">IF(COUNTIF($A$2:$A$5001,A1214)&gt;1,"Duplicate","Unique")</f>
        <v>Unique</v>
      </c>
      <c r="V1214" s="7" t="str">
        <f aca="false">IF(COUNTIFS($B$2:$B$5001,B1214,$H$2:$H$5001,H1214,$J$2:$J$5001,J1214)&gt;1,"Possible Duplicate Booking","Unique")</f>
        <v>Unique</v>
      </c>
      <c r="W1214" s="7" t="str">
        <f aca="false">IF((H1214-G1214)&lt;&gt;K1214,"Mismatch","OK")</f>
        <v>OK</v>
      </c>
      <c r="X1214" s="7" t="str">
        <f aca="false">IF(TEXT(H1214,"dddd")&lt;&gt;I1214,"Mismatch","OK")</f>
        <v>OK</v>
      </c>
      <c r="Y1214" s="7" t="str">
        <f aca="false">IF(AND(N1214="No",O1214&lt;&gt;""),"Unexpected: channel present but no reminder sent",IF(AND(N1214="Yes",O1214=""),"Missing channel for sent reminder","OK"))</f>
        <v>OK</v>
      </c>
    </row>
    <row r="1215" customFormat="false" ht="15" hidden="false" customHeight="false" outlineLevel="0" collapsed="false">
      <c r="A1215" s="9" t="s">
        <v>2165</v>
      </c>
      <c r="B1215" s="9" t="s">
        <v>2166</v>
      </c>
      <c r="C1215" s="9" t="s">
        <v>47</v>
      </c>
      <c r="D1215" s="9" t="n">
        <v>21</v>
      </c>
      <c r="E1215" s="9" t="s">
        <v>82</v>
      </c>
      <c r="F1215" s="9" t="s">
        <v>49</v>
      </c>
      <c r="G1215" s="10" t="n">
        <v>46111</v>
      </c>
      <c r="H1215" s="10" t="n">
        <v>46131</v>
      </c>
      <c r="I1215" s="9" t="s">
        <v>75</v>
      </c>
      <c r="J1215" s="9" t="s">
        <v>51</v>
      </c>
      <c r="K1215" s="9" t="n">
        <v>20</v>
      </c>
      <c r="L1215" s="9" t="n">
        <v>5</v>
      </c>
      <c r="M1215" s="9" t="n">
        <v>2</v>
      </c>
      <c r="N1215" s="9" t="s">
        <v>42</v>
      </c>
      <c r="O1215" s="9" t="s">
        <v>43</v>
      </c>
      <c r="P1215" s="9" t="n">
        <v>9.7</v>
      </c>
      <c r="Q1215" s="9" t="n">
        <v>21</v>
      </c>
      <c r="R1215" s="9" t="s">
        <v>53</v>
      </c>
      <c r="S1215" s="9"/>
      <c r="T1215" s="9"/>
      <c r="U1215" s="9" t="str">
        <f aca="false">IF(COUNTIF($A$2:$A$5001,A1215)&gt;1,"Duplicate","Unique")</f>
        <v>Unique</v>
      </c>
      <c r="V1215" s="9" t="str">
        <f aca="false">IF(COUNTIFS($B$2:$B$5001,B1215,$H$2:$H$5001,H1215,$J$2:$J$5001,J1215)&gt;1,"Possible Duplicate Booking","Unique")</f>
        <v>Unique</v>
      </c>
      <c r="W1215" s="9" t="str">
        <f aca="false">IF((H1215-G1215)&lt;&gt;K1215,"Mismatch","OK")</f>
        <v>OK</v>
      </c>
      <c r="X1215" s="9" t="str">
        <f aca="false">IF(TEXT(H1215,"dddd")&lt;&gt;I1215,"Mismatch","OK")</f>
        <v>OK</v>
      </c>
      <c r="Y1215" s="9" t="str">
        <f aca="false">IF(AND(N1215="No",O1215&lt;&gt;""),"Unexpected: channel present but no reminder sent",IF(AND(N1215="Yes",O1215=""),"Missing channel for sent reminder","OK"))</f>
        <v>OK</v>
      </c>
    </row>
    <row r="1216" customFormat="false" ht="15" hidden="false" customHeight="false" outlineLevel="0" collapsed="false">
      <c r="A1216" s="7" t="s">
        <v>2167</v>
      </c>
      <c r="B1216" s="7" t="s">
        <v>2168</v>
      </c>
      <c r="C1216" s="7" t="s">
        <v>47</v>
      </c>
      <c r="D1216" s="7" t="n">
        <v>47</v>
      </c>
      <c r="E1216" s="7" t="s">
        <v>56</v>
      </c>
      <c r="F1216" s="7" t="s">
        <v>57</v>
      </c>
      <c r="G1216" s="8" t="n">
        <v>45655</v>
      </c>
      <c r="H1216" s="8" t="n">
        <v>45698</v>
      </c>
      <c r="I1216" s="7" t="s">
        <v>66</v>
      </c>
      <c r="J1216" s="7" t="s">
        <v>41</v>
      </c>
      <c r="K1216" s="7" t="n">
        <v>43</v>
      </c>
      <c r="L1216" s="7" t="n">
        <v>6</v>
      </c>
      <c r="M1216" s="7" t="n">
        <v>2</v>
      </c>
      <c r="N1216" s="7" t="s">
        <v>42</v>
      </c>
      <c r="O1216" s="7" t="s">
        <v>52</v>
      </c>
      <c r="P1216" s="7" t="n">
        <v>12.5</v>
      </c>
      <c r="Q1216" s="7" t="n">
        <v>33</v>
      </c>
      <c r="R1216" s="7" t="s">
        <v>44</v>
      </c>
      <c r="S1216" s="7"/>
      <c r="T1216" s="7"/>
      <c r="U1216" s="7" t="str">
        <f aca="false">IF(COUNTIF($A$2:$A$5001,A1216)&gt;1,"Duplicate","Unique")</f>
        <v>Unique</v>
      </c>
      <c r="V1216" s="7" t="str">
        <f aca="false">IF(COUNTIFS($B$2:$B$5001,B1216,$H$2:$H$5001,H1216,$J$2:$J$5001,J1216)&gt;1,"Possible Duplicate Booking","Unique")</f>
        <v>Unique</v>
      </c>
      <c r="W1216" s="7" t="str">
        <f aca="false">IF((H1216-G1216)&lt;&gt;K1216,"Mismatch","OK")</f>
        <v>OK</v>
      </c>
      <c r="X1216" s="7" t="str">
        <f aca="false">IF(TEXT(H1216,"dddd")&lt;&gt;I1216,"Mismatch","OK")</f>
        <v>OK</v>
      </c>
      <c r="Y1216" s="7" t="str">
        <f aca="false">IF(AND(N1216="No",O1216&lt;&gt;""),"Unexpected: channel present but no reminder sent",IF(AND(N1216="Yes",O1216=""),"Missing channel for sent reminder","OK"))</f>
        <v>OK</v>
      </c>
    </row>
    <row r="1217" customFormat="false" ht="15" hidden="false" customHeight="false" outlineLevel="0" collapsed="false">
      <c r="A1217" s="9" t="s">
        <v>2169</v>
      </c>
      <c r="B1217" s="9" t="s">
        <v>2170</v>
      </c>
      <c r="C1217" s="9" t="s">
        <v>47</v>
      </c>
      <c r="D1217" s="9" t="n">
        <v>55</v>
      </c>
      <c r="E1217" s="9" t="s">
        <v>61</v>
      </c>
      <c r="F1217" s="9" t="s">
        <v>57</v>
      </c>
      <c r="G1217" s="10" t="n">
        <v>45681</v>
      </c>
      <c r="H1217" s="10" t="n">
        <v>45720</v>
      </c>
      <c r="I1217" s="9" t="s">
        <v>40</v>
      </c>
      <c r="J1217" s="9" t="s">
        <v>51</v>
      </c>
      <c r="K1217" s="9" t="n">
        <v>39</v>
      </c>
      <c r="L1217" s="9" t="n">
        <v>10</v>
      </c>
      <c r="M1217" s="9" t="n">
        <v>2</v>
      </c>
      <c r="N1217" s="9" t="s">
        <v>42</v>
      </c>
      <c r="O1217" s="9" t="s">
        <v>52</v>
      </c>
      <c r="P1217" s="9" t="n">
        <v>10.5</v>
      </c>
      <c r="Q1217" s="9" t="n">
        <v>28</v>
      </c>
      <c r="R1217" s="9" t="s">
        <v>44</v>
      </c>
      <c r="S1217" s="9"/>
      <c r="T1217" s="9"/>
      <c r="U1217" s="9" t="str">
        <f aca="false">IF(COUNTIF($A$2:$A$5001,A1217)&gt;1,"Duplicate","Unique")</f>
        <v>Unique</v>
      </c>
      <c r="V1217" s="9" t="str">
        <f aca="false">IF(COUNTIFS($B$2:$B$5001,B1217,$H$2:$H$5001,H1217,$J$2:$J$5001,J1217)&gt;1,"Possible Duplicate Booking","Unique")</f>
        <v>Unique</v>
      </c>
      <c r="W1217" s="9" t="str">
        <f aca="false">IF((H1217-G1217)&lt;&gt;K1217,"Mismatch","OK")</f>
        <v>OK</v>
      </c>
      <c r="X1217" s="9" t="str">
        <f aca="false">IF(TEXT(H1217,"dddd")&lt;&gt;I1217,"Mismatch","OK")</f>
        <v>OK</v>
      </c>
      <c r="Y1217" s="9" t="str">
        <f aca="false">IF(AND(N1217="No",O1217&lt;&gt;""),"Unexpected: channel present but no reminder sent",IF(AND(N1217="Yes",O1217=""),"Missing channel for sent reminder","OK"))</f>
        <v>OK</v>
      </c>
    </row>
    <row r="1218" customFormat="false" ht="15" hidden="false" customHeight="false" outlineLevel="0" collapsed="false">
      <c r="A1218" s="7" t="s">
        <v>2171</v>
      </c>
      <c r="B1218" s="7" t="s">
        <v>2172</v>
      </c>
      <c r="C1218" s="7" t="s">
        <v>37</v>
      </c>
      <c r="D1218" s="7" t="n">
        <v>52</v>
      </c>
      <c r="E1218" s="7" t="s">
        <v>56</v>
      </c>
      <c r="F1218" s="7" t="s">
        <v>57</v>
      </c>
      <c r="G1218" s="8" t="n">
        <v>45908</v>
      </c>
      <c r="H1218" s="8" t="n">
        <v>45934</v>
      </c>
      <c r="I1218" s="7" t="s">
        <v>102</v>
      </c>
      <c r="J1218" s="7" t="s">
        <v>41</v>
      </c>
      <c r="K1218" s="7" t="n">
        <v>26</v>
      </c>
      <c r="L1218" s="7" t="n">
        <v>1</v>
      </c>
      <c r="M1218" s="7" t="n">
        <v>0</v>
      </c>
      <c r="N1218" s="7" t="s">
        <v>42</v>
      </c>
      <c r="O1218" s="7" t="s">
        <v>52</v>
      </c>
      <c r="P1218" s="7" t="n">
        <v>13.4</v>
      </c>
      <c r="Q1218" s="7" t="n">
        <v>17</v>
      </c>
      <c r="R1218" s="7" t="s">
        <v>53</v>
      </c>
      <c r="S1218" s="7"/>
      <c r="T1218" s="7"/>
      <c r="U1218" s="7" t="str">
        <f aca="false">IF(COUNTIF($A$2:$A$5001,A1218)&gt;1,"Duplicate","Unique")</f>
        <v>Unique</v>
      </c>
      <c r="V1218" s="7" t="str">
        <f aca="false">IF(COUNTIFS($B$2:$B$5001,B1218,$H$2:$H$5001,H1218,$J$2:$J$5001,J1218)&gt;1,"Possible Duplicate Booking","Unique")</f>
        <v>Unique</v>
      </c>
      <c r="W1218" s="7" t="str">
        <f aca="false">IF((H1218-G1218)&lt;&gt;K1218,"Mismatch","OK")</f>
        <v>OK</v>
      </c>
      <c r="X1218" s="7" t="str">
        <f aca="false">IF(TEXT(H1218,"dddd")&lt;&gt;I1218,"Mismatch","OK")</f>
        <v>OK</v>
      </c>
      <c r="Y1218" s="7" t="str">
        <f aca="false">IF(AND(N1218="No",O1218&lt;&gt;""),"Unexpected: channel present but no reminder sent",IF(AND(N1218="Yes",O1218=""),"Missing channel for sent reminder","OK"))</f>
        <v>OK</v>
      </c>
    </row>
    <row r="1219" customFormat="false" ht="15" hidden="false" customHeight="false" outlineLevel="0" collapsed="false">
      <c r="A1219" s="9" t="s">
        <v>2173</v>
      </c>
      <c r="B1219" s="9" t="s">
        <v>1177</v>
      </c>
      <c r="C1219" s="9" t="s">
        <v>37</v>
      </c>
      <c r="D1219" s="9" t="n">
        <v>45</v>
      </c>
      <c r="E1219" s="9" t="s">
        <v>56</v>
      </c>
      <c r="F1219" s="9" t="s">
        <v>57</v>
      </c>
      <c r="G1219" s="10" t="n">
        <v>46046</v>
      </c>
      <c r="H1219" s="10" t="n">
        <v>46057</v>
      </c>
      <c r="I1219" s="9" t="s">
        <v>58</v>
      </c>
      <c r="J1219" s="9" t="s">
        <v>51</v>
      </c>
      <c r="K1219" s="9" t="n">
        <v>11</v>
      </c>
      <c r="L1219" s="9" t="n">
        <v>5</v>
      </c>
      <c r="M1219" s="9" t="n">
        <v>0</v>
      </c>
      <c r="N1219" s="9" t="s">
        <v>42</v>
      </c>
      <c r="O1219" s="9" t="s">
        <v>52</v>
      </c>
      <c r="P1219" s="9" t="n">
        <v>9.2</v>
      </c>
      <c r="Q1219" s="9" t="n">
        <v>32</v>
      </c>
      <c r="R1219" s="9" t="s">
        <v>53</v>
      </c>
      <c r="S1219" s="9"/>
      <c r="T1219" s="9"/>
      <c r="U1219" s="9" t="str">
        <f aca="false">IF(COUNTIF($A$2:$A$5001,A1219)&gt;1,"Duplicate","Unique")</f>
        <v>Unique</v>
      </c>
      <c r="V1219" s="9" t="str">
        <f aca="false">IF(COUNTIFS($B$2:$B$5001,B1219,$H$2:$H$5001,H1219,$J$2:$J$5001,J1219)&gt;1,"Possible Duplicate Booking","Unique")</f>
        <v>Unique</v>
      </c>
      <c r="W1219" s="9" t="str">
        <f aca="false">IF((H1219-G1219)&lt;&gt;K1219,"Mismatch","OK")</f>
        <v>OK</v>
      </c>
      <c r="X1219" s="9" t="str">
        <f aca="false">IF(TEXT(H1219,"dddd")&lt;&gt;I1219,"Mismatch","OK")</f>
        <v>OK</v>
      </c>
      <c r="Y1219" s="9" t="str">
        <f aca="false">IF(AND(N1219="No",O1219&lt;&gt;""),"Unexpected: channel present but no reminder sent",IF(AND(N1219="Yes",O1219=""),"Missing channel for sent reminder","OK"))</f>
        <v>OK</v>
      </c>
    </row>
    <row r="1220" customFormat="false" ht="15" hidden="false" customHeight="false" outlineLevel="0" collapsed="false">
      <c r="A1220" s="7" t="s">
        <v>2174</v>
      </c>
      <c r="B1220" s="7" t="s">
        <v>2175</v>
      </c>
      <c r="C1220" s="7" t="s">
        <v>37</v>
      </c>
      <c r="D1220" s="7" t="n">
        <v>36</v>
      </c>
      <c r="E1220" s="7" t="s">
        <v>38</v>
      </c>
      <c r="F1220" s="7" t="s">
        <v>39</v>
      </c>
      <c r="G1220" s="8" t="n">
        <v>46098</v>
      </c>
      <c r="H1220" s="8" t="n">
        <v>46099</v>
      </c>
      <c r="I1220" s="7" t="s">
        <v>58</v>
      </c>
      <c r="J1220" s="7" t="s">
        <v>41</v>
      </c>
      <c r="K1220" s="7" t="n">
        <v>1</v>
      </c>
      <c r="L1220" s="7" t="n">
        <v>2</v>
      </c>
      <c r="M1220" s="7" t="n">
        <v>0</v>
      </c>
      <c r="N1220" s="7" t="s">
        <v>42</v>
      </c>
      <c r="O1220" s="7" t="s">
        <v>52</v>
      </c>
      <c r="P1220" s="7" t="n">
        <v>2.4</v>
      </c>
      <c r="Q1220" s="7" t="n">
        <v>29</v>
      </c>
      <c r="R1220" s="7" t="s">
        <v>53</v>
      </c>
      <c r="S1220" s="7"/>
      <c r="T1220" s="7"/>
      <c r="U1220" s="7" t="str">
        <f aca="false">IF(COUNTIF($A$2:$A$5001,A1220)&gt;1,"Duplicate","Unique")</f>
        <v>Unique</v>
      </c>
      <c r="V1220" s="7" t="str">
        <f aca="false">IF(COUNTIFS($B$2:$B$5001,B1220,$H$2:$H$5001,H1220,$J$2:$J$5001,J1220)&gt;1,"Possible Duplicate Booking","Unique")</f>
        <v>Unique</v>
      </c>
      <c r="W1220" s="7" t="str">
        <f aca="false">IF((H1220-G1220)&lt;&gt;K1220,"Mismatch","OK")</f>
        <v>OK</v>
      </c>
      <c r="X1220" s="7" t="str">
        <f aca="false">IF(TEXT(H1220,"dddd")&lt;&gt;I1220,"Mismatch","OK")</f>
        <v>OK</v>
      </c>
      <c r="Y1220" s="7" t="str">
        <f aca="false">IF(AND(N1220="No",O1220&lt;&gt;""),"Unexpected: channel present but no reminder sent",IF(AND(N1220="Yes",O1220=""),"Missing channel for sent reminder","OK"))</f>
        <v>OK</v>
      </c>
    </row>
    <row r="1221" customFormat="false" ht="15" hidden="false" customHeight="false" outlineLevel="0" collapsed="false">
      <c r="A1221" s="9" t="s">
        <v>2176</v>
      </c>
      <c r="B1221" s="9" t="s">
        <v>2177</v>
      </c>
      <c r="C1221" s="9" t="s">
        <v>37</v>
      </c>
      <c r="D1221" s="9" t="n">
        <v>62</v>
      </c>
      <c r="E1221" s="9" t="s">
        <v>61</v>
      </c>
      <c r="F1221" s="9" t="s">
        <v>57</v>
      </c>
      <c r="G1221" s="10" t="n">
        <v>45841</v>
      </c>
      <c r="H1221" s="10" t="n">
        <v>45898</v>
      </c>
      <c r="I1221" s="9" t="s">
        <v>50</v>
      </c>
      <c r="J1221" s="9" t="s">
        <v>51</v>
      </c>
      <c r="K1221" s="9" t="n">
        <v>57</v>
      </c>
      <c r="L1221" s="9" t="n">
        <v>8</v>
      </c>
      <c r="M1221" s="9" t="n">
        <v>0</v>
      </c>
      <c r="N1221" s="9" t="s">
        <v>71</v>
      </c>
      <c r="O1221" s="9"/>
      <c r="P1221" s="9" t="n">
        <v>9.6</v>
      </c>
      <c r="Q1221" s="9" t="n">
        <v>29</v>
      </c>
      <c r="R1221" s="9" t="s">
        <v>44</v>
      </c>
      <c r="S1221" s="9"/>
      <c r="T1221" s="9"/>
      <c r="U1221" s="9" t="str">
        <f aca="false">IF(COUNTIF($A$2:$A$5001,A1221)&gt;1,"Duplicate","Unique")</f>
        <v>Unique</v>
      </c>
      <c r="V1221" s="9" t="str">
        <f aca="false">IF(COUNTIFS($B$2:$B$5001,B1221,$H$2:$H$5001,H1221,$J$2:$J$5001,J1221)&gt;1,"Possible Duplicate Booking","Unique")</f>
        <v>Unique</v>
      </c>
      <c r="W1221" s="9" t="str">
        <f aca="false">IF((H1221-G1221)&lt;&gt;K1221,"Mismatch","OK")</f>
        <v>OK</v>
      </c>
      <c r="X1221" s="9" t="str">
        <f aca="false">IF(TEXT(H1221,"dddd")&lt;&gt;I1221,"Mismatch","OK")</f>
        <v>OK</v>
      </c>
      <c r="Y1221" s="9" t="str">
        <f aca="false">IF(AND(N1221="No",O1221&lt;&gt;""),"Unexpected: channel present but no reminder sent",IF(AND(N1221="Yes",O1221=""),"Missing channel for sent reminder","OK"))</f>
        <v>OK</v>
      </c>
    </row>
    <row r="1222" customFormat="false" ht="15" hidden="false" customHeight="false" outlineLevel="0" collapsed="false">
      <c r="A1222" s="7" t="s">
        <v>2178</v>
      </c>
      <c r="B1222" s="7" t="s">
        <v>1600</v>
      </c>
      <c r="C1222" s="7" t="s">
        <v>47</v>
      </c>
      <c r="D1222" s="7" t="n">
        <v>56</v>
      </c>
      <c r="E1222" s="7" t="s">
        <v>61</v>
      </c>
      <c r="F1222" s="7" t="s">
        <v>49</v>
      </c>
      <c r="G1222" s="8" t="n">
        <v>45995</v>
      </c>
      <c r="H1222" s="8" t="n">
        <v>46012</v>
      </c>
      <c r="I1222" s="7" t="s">
        <v>75</v>
      </c>
      <c r="J1222" s="7" t="s">
        <v>41</v>
      </c>
      <c r="K1222" s="7" t="n">
        <v>17</v>
      </c>
      <c r="L1222" s="7" t="n">
        <v>0</v>
      </c>
      <c r="M1222" s="7" t="n">
        <v>0</v>
      </c>
      <c r="N1222" s="7" t="s">
        <v>42</v>
      </c>
      <c r="O1222" s="7" t="s">
        <v>52</v>
      </c>
      <c r="P1222" s="7" t="n">
        <v>6.8</v>
      </c>
      <c r="Q1222" s="7" t="n">
        <v>22</v>
      </c>
      <c r="R1222" s="7" t="s">
        <v>44</v>
      </c>
      <c r="S1222" s="7"/>
      <c r="T1222" s="7"/>
      <c r="U1222" s="7" t="str">
        <f aca="false">IF(COUNTIF($A$2:$A$5001,A1222)&gt;1,"Duplicate","Unique")</f>
        <v>Unique</v>
      </c>
      <c r="V1222" s="7" t="str">
        <f aca="false">IF(COUNTIFS($B$2:$B$5001,B1222,$H$2:$H$5001,H1222,$J$2:$J$5001,J1222)&gt;1,"Possible Duplicate Booking","Unique")</f>
        <v>Unique</v>
      </c>
      <c r="W1222" s="7" t="str">
        <f aca="false">IF((H1222-G1222)&lt;&gt;K1222,"Mismatch","OK")</f>
        <v>OK</v>
      </c>
      <c r="X1222" s="7" t="str">
        <f aca="false">IF(TEXT(H1222,"dddd")&lt;&gt;I1222,"Mismatch","OK")</f>
        <v>OK</v>
      </c>
      <c r="Y1222" s="7" t="str">
        <f aca="false">IF(AND(N1222="No",O1222&lt;&gt;""),"Unexpected: channel present but no reminder sent",IF(AND(N1222="Yes",O1222=""),"Missing channel for sent reminder","OK"))</f>
        <v>OK</v>
      </c>
    </row>
    <row r="1223" customFormat="false" ht="15" hidden="false" customHeight="false" outlineLevel="0" collapsed="false">
      <c r="A1223" s="9" t="s">
        <v>2179</v>
      </c>
      <c r="B1223" s="9" t="s">
        <v>2180</v>
      </c>
      <c r="C1223" s="9" t="s">
        <v>47</v>
      </c>
      <c r="D1223" s="9" t="n">
        <v>20</v>
      </c>
      <c r="E1223" s="9" t="s">
        <v>82</v>
      </c>
      <c r="F1223" s="9" t="s">
        <v>39</v>
      </c>
      <c r="G1223" s="10" t="n">
        <v>45941</v>
      </c>
      <c r="H1223" s="10" t="n">
        <v>45959</v>
      </c>
      <c r="I1223" s="9" t="s">
        <v>58</v>
      </c>
      <c r="J1223" s="9" t="s">
        <v>51</v>
      </c>
      <c r="K1223" s="9" t="n">
        <v>18</v>
      </c>
      <c r="L1223" s="9" t="n">
        <v>3</v>
      </c>
      <c r="M1223" s="9" t="n">
        <v>0</v>
      </c>
      <c r="N1223" s="9" t="s">
        <v>42</v>
      </c>
      <c r="O1223" s="9" t="s">
        <v>43</v>
      </c>
      <c r="P1223" s="9" t="n">
        <v>4.3</v>
      </c>
      <c r="Q1223" s="9" t="n">
        <v>27</v>
      </c>
      <c r="R1223" s="9" t="s">
        <v>53</v>
      </c>
      <c r="S1223" s="9"/>
      <c r="T1223" s="9"/>
      <c r="U1223" s="9" t="str">
        <f aca="false">IF(COUNTIF($A$2:$A$5001,A1223)&gt;1,"Duplicate","Unique")</f>
        <v>Unique</v>
      </c>
      <c r="V1223" s="9" t="str">
        <f aca="false">IF(COUNTIFS($B$2:$B$5001,B1223,$H$2:$H$5001,H1223,$J$2:$J$5001,J1223)&gt;1,"Possible Duplicate Booking","Unique")</f>
        <v>Unique</v>
      </c>
      <c r="W1223" s="9" t="str">
        <f aca="false">IF((H1223-G1223)&lt;&gt;K1223,"Mismatch","OK")</f>
        <v>OK</v>
      </c>
      <c r="X1223" s="9" t="str">
        <f aca="false">IF(TEXT(H1223,"dddd")&lt;&gt;I1223,"Mismatch","OK")</f>
        <v>OK</v>
      </c>
      <c r="Y1223" s="9" t="str">
        <f aca="false">IF(AND(N1223="No",O1223&lt;&gt;""),"Unexpected: channel present but no reminder sent",IF(AND(N1223="Yes",O1223=""),"Missing channel for sent reminder","OK"))</f>
        <v>OK</v>
      </c>
    </row>
    <row r="1224" customFormat="false" ht="15" hidden="false" customHeight="false" outlineLevel="0" collapsed="false">
      <c r="A1224" s="7" t="s">
        <v>2181</v>
      </c>
      <c r="B1224" s="7" t="s">
        <v>2182</v>
      </c>
      <c r="C1224" s="7" t="s">
        <v>47</v>
      </c>
      <c r="D1224" s="7" t="n">
        <v>46</v>
      </c>
      <c r="E1224" s="7" t="s">
        <v>56</v>
      </c>
      <c r="F1224" s="7" t="s">
        <v>49</v>
      </c>
      <c r="G1224" s="8" t="n">
        <v>46141</v>
      </c>
      <c r="H1224" s="8" t="n">
        <v>46182</v>
      </c>
      <c r="I1224" s="7" t="s">
        <v>40</v>
      </c>
      <c r="J1224" s="7" t="s">
        <v>41</v>
      </c>
      <c r="K1224" s="7" t="n">
        <v>41</v>
      </c>
      <c r="L1224" s="7" t="n">
        <v>4</v>
      </c>
      <c r="M1224" s="7" t="n">
        <v>0</v>
      </c>
      <c r="N1224" s="7" t="s">
        <v>42</v>
      </c>
      <c r="O1224" s="7" t="s">
        <v>52</v>
      </c>
      <c r="P1224" s="7" t="n">
        <v>24.6</v>
      </c>
      <c r="Q1224" s="7" t="n">
        <v>25</v>
      </c>
      <c r="R1224" s="7" t="s">
        <v>44</v>
      </c>
      <c r="S1224" s="7"/>
      <c r="T1224" s="7"/>
      <c r="U1224" s="7" t="str">
        <f aca="false">IF(COUNTIF($A$2:$A$5001,A1224)&gt;1,"Duplicate","Unique")</f>
        <v>Unique</v>
      </c>
      <c r="V1224" s="7" t="str">
        <f aca="false">IF(COUNTIFS($B$2:$B$5001,B1224,$H$2:$H$5001,H1224,$J$2:$J$5001,J1224)&gt;1,"Possible Duplicate Booking","Unique")</f>
        <v>Unique</v>
      </c>
      <c r="W1224" s="7" t="str">
        <f aca="false">IF((H1224-G1224)&lt;&gt;K1224,"Mismatch","OK")</f>
        <v>OK</v>
      </c>
      <c r="X1224" s="7" t="str">
        <f aca="false">IF(TEXT(H1224,"dddd")&lt;&gt;I1224,"Mismatch","OK")</f>
        <v>OK</v>
      </c>
      <c r="Y1224" s="7" t="str">
        <f aca="false">IF(AND(N1224="No",O1224&lt;&gt;""),"Unexpected: channel present but no reminder sent",IF(AND(N1224="Yes",O1224=""),"Missing channel for sent reminder","OK"))</f>
        <v>OK</v>
      </c>
    </row>
    <row r="1225" customFormat="false" ht="15" hidden="false" customHeight="false" outlineLevel="0" collapsed="false">
      <c r="A1225" s="9" t="s">
        <v>2183</v>
      </c>
      <c r="B1225" s="9" t="s">
        <v>425</v>
      </c>
      <c r="C1225" s="9" t="s">
        <v>47</v>
      </c>
      <c r="D1225" s="9" t="n">
        <v>62</v>
      </c>
      <c r="E1225" s="9" t="s">
        <v>61</v>
      </c>
      <c r="F1225" s="9" t="s">
        <v>49</v>
      </c>
      <c r="G1225" s="10" t="n">
        <v>46000</v>
      </c>
      <c r="H1225" s="10" t="n">
        <v>46015</v>
      </c>
      <c r="I1225" s="9" t="s">
        <v>58</v>
      </c>
      <c r="J1225" s="9" t="s">
        <v>41</v>
      </c>
      <c r="K1225" s="9" t="n">
        <v>15</v>
      </c>
      <c r="L1225" s="9" t="n">
        <v>6</v>
      </c>
      <c r="M1225" s="9" t="n">
        <v>0</v>
      </c>
      <c r="N1225" s="9" t="s">
        <v>42</v>
      </c>
      <c r="O1225" s="9" t="s">
        <v>43</v>
      </c>
      <c r="P1225" s="9" t="n">
        <v>1.8</v>
      </c>
      <c r="Q1225" s="9" t="n">
        <v>21</v>
      </c>
      <c r="R1225" s="9" t="s">
        <v>53</v>
      </c>
      <c r="S1225" s="9"/>
      <c r="T1225" s="9"/>
      <c r="U1225" s="9" t="str">
        <f aca="false">IF(COUNTIF($A$2:$A$5001,A1225)&gt;1,"Duplicate","Unique")</f>
        <v>Unique</v>
      </c>
      <c r="V1225" s="9" t="str">
        <f aca="false">IF(COUNTIFS($B$2:$B$5001,B1225,$H$2:$H$5001,H1225,$J$2:$J$5001,J1225)&gt;1,"Possible Duplicate Booking","Unique")</f>
        <v>Unique</v>
      </c>
      <c r="W1225" s="9" t="str">
        <f aca="false">IF((H1225-G1225)&lt;&gt;K1225,"Mismatch","OK")</f>
        <v>OK</v>
      </c>
      <c r="X1225" s="9" t="str">
        <f aca="false">IF(TEXT(H1225,"dddd")&lt;&gt;I1225,"Mismatch","OK")</f>
        <v>OK</v>
      </c>
      <c r="Y1225" s="9" t="str">
        <f aca="false">IF(AND(N1225="No",O1225&lt;&gt;""),"Unexpected: channel present but no reminder sent",IF(AND(N1225="Yes",O1225=""),"Missing channel for sent reminder","OK"))</f>
        <v>OK</v>
      </c>
    </row>
    <row r="1226" customFormat="false" ht="15" hidden="false" customHeight="false" outlineLevel="0" collapsed="false">
      <c r="A1226" s="7" t="s">
        <v>2184</v>
      </c>
      <c r="B1226" s="7" t="s">
        <v>757</v>
      </c>
      <c r="C1226" s="7" t="s">
        <v>37</v>
      </c>
      <c r="D1226" s="7" t="n">
        <v>67</v>
      </c>
      <c r="E1226" s="7" t="s">
        <v>70</v>
      </c>
      <c r="F1226" s="7" t="s">
        <v>39</v>
      </c>
      <c r="G1226" s="8" t="n">
        <v>45863</v>
      </c>
      <c r="H1226" s="8" t="n">
        <v>45885</v>
      </c>
      <c r="I1226" s="7" t="s">
        <v>102</v>
      </c>
      <c r="J1226" s="7" t="s">
        <v>41</v>
      </c>
      <c r="K1226" s="7" t="n">
        <v>22</v>
      </c>
      <c r="L1226" s="7" t="n">
        <v>3</v>
      </c>
      <c r="M1226" s="7" t="n">
        <v>1</v>
      </c>
      <c r="N1226" s="7" t="s">
        <v>71</v>
      </c>
      <c r="O1226" s="7"/>
      <c r="P1226" s="7" t="n">
        <v>11.6</v>
      </c>
      <c r="Q1226" s="7" t="n">
        <v>29</v>
      </c>
      <c r="R1226" s="7" t="s">
        <v>53</v>
      </c>
      <c r="S1226" s="7"/>
      <c r="T1226" s="7"/>
      <c r="U1226" s="7" t="str">
        <f aca="false">IF(COUNTIF($A$2:$A$5001,A1226)&gt;1,"Duplicate","Unique")</f>
        <v>Unique</v>
      </c>
      <c r="V1226" s="7" t="str">
        <f aca="false">IF(COUNTIFS($B$2:$B$5001,B1226,$H$2:$H$5001,H1226,$J$2:$J$5001,J1226)&gt;1,"Possible Duplicate Booking","Unique")</f>
        <v>Unique</v>
      </c>
      <c r="W1226" s="7" t="str">
        <f aca="false">IF((H1226-G1226)&lt;&gt;K1226,"Mismatch","OK")</f>
        <v>OK</v>
      </c>
      <c r="X1226" s="7" t="str">
        <f aca="false">IF(TEXT(H1226,"dddd")&lt;&gt;I1226,"Mismatch","OK")</f>
        <v>OK</v>
      </c>
      <c r="Y1226" s="7" t="str">
        <f aca="false">IF(AND(N1226="No",O1226&lt;&gt;""),"Unexpected: channel present but no reminder sent",IF(AND(N1226="Yes",O1226=""),"Missing channel for sent reminder","OK"))</f>
        <v>OK</v>
      </c>
    </row>
    <row r="1227" customFormat="false" ht="15" hidden="false" customHeight="false" outlineLevel="0" collapsed="false">
      <c r="A1227" s="9" t="s">
        <v>2185</v>
      </c>
      <c r="B1227" s="9" t="s">
        <v>1503</v>
      </c>
      <c r="C1227" s="9" t="s">
        <v>47</v>
      </c>
      <c r="D1227" s="9" t="n">
        <v>36</v>
      </c>
      <c r="E1227" s="9" t="s">
        <v>38</v>
      </c>
      <c r="F1227" s="9" t="s">
        <v>74</v>
      </c>
      <c r="G1227" s="10" t="n">
        <v>46144</v>
      </c>
      <c r="H1227" s="10" t="n">
        <v>46187</v>
      </c>
      <c r="I1227" s="9" t="s">
        <v>75</v>
      </c>
      <c r="J1227" s="9" t="s">
        <v>63</v>
      </c>
      <c r="K1227" s="9" t="n">
        <v>43</v>
      </c>
      <c r="L1227" s="9" t="n">
        <v>0</v>
      </c>
      <c r="M1227" s="9" t="n">
        <v>0</v>
      </c>
      <c r="N1227" s="9" t="s">
        <v>71</v>
      </c>
      <c r="O1227" s="9"/>
      <c r="P1227" s="9" t="n">
        <v>11.1</v>
      </c>
      <c r="Q1227" s="9" t="n">
        <v>30</v>
      </c>
      <c r="R1227" s="9" t="s">
        <v>53</v>
      </c>
      <c r="S1227" s="9"/>
      <c r="T1227" s="9"/>
      <c r="U1227" s="9" t="str">
        <f aca="false">IF(COUNTIF($A$2:$A$5001,A1227)&gt;1,"Duplicate","Unique")</f>
        <v>Unique</v>
      </c>
      <c r="V1227" s="9" t="str">
        <f aca="false">IF(COUNTIFS($B$2:$B$5001,B1227,$H$2:$H$5001,H1227,$J$2:$J$5001,J1227)&gt;1,"Possible Duplicate Booking","Unique")</f>
        <v>Unique</v>
      </c>
      <c r="W1227" s="9" t="str">
        <f aca="false">IF((H1227-G1227)&lt;&gt;K1227,"Mismatch","OK")</f>
        <v>OK</v>
      </c>
      <c r="X1227" s="9" t="str">
        <f aca="false">IF(TEXT(H1227,"dddd")&lt;&gt;I1227,"Mismatch","OK")</f>
        <v>OK</v>
      </c>
      <c r="Y1227" s="9" t="str">
        <f aca="false">IF(AND(N1227="No",O1227&lt;&gt;""),"Unexpected: channel present but no reminder sent",IF(AND(N1227="Yes",O1227=""),"Missing channel for sent reminder","OK"))</f>
        <v>OK</v>
      </c>
    </row>
    <row r="1228" customFormat="false" ht="15" hidden="false" customHeight="false" outlineLevel="0" collapsed="false">
      <c r="A1228" s="7" t="s">
        <v>2186</v>
      </c>
      <c r="B1228" s="7" t="s">
        <v>1044</v>
      </c>
      <c r="C1228" s="7" t="s">
        <v>47</v>
      </c>
      <c r="D1228" s="7" t="n">
        <v>76</v>
      </c>
      <c r="E1228" s="7" t="s">
        <v>70</v>
      </c>
      <c r="F1228" s="7" t="s">
        <v>74</v>
      </c>
      <c r="G1228" s="8" t="n">
        <v>45680</v>
      </c>
      <c r="H1228" s="8" t="n">
        <v>45716</v>
      </c>
      <c r="I1228" s="7" t="s">
        <v>50</v>
      </c>
      <c r="J1228" s="7" t="s">
        <v>41</v>
      </c>
      <c r="K1228" s="7" t="n">
        <v>36</v>
      </c>
      <c r="L1228" s="7" t="n">
        <v>2</v>
      </c>
      <c r="M1228" s="7" t="n">
        <v>0</v>
      </c>
      <c r="N1228" s="7" t="s">
        <v>71</v>
      </c>
      <c r="O1228" s="7"/>
      <c r="P1228" s="7" t="n">
        <v>20.9</v>
      </c>
      <c r="Q1228" s="7" t="n">
        <v>30</v>
      </c>
      <c r="R1228" s="7" t="s">
        <v>53</v>
      </c>
      <c r="S1228" s="7"/>
      <c r="T1228" s="7"/>
      <c r="U1228" s="7" t="str">
        <f aca="false">IF(COUNTIF($A$2:$A$5001,A1228)&gt;1,"Duplicate","Unique")</f>
        <v>Unique</v>
      </c>
      <c r="V1228" s="7" t="str">
        <f aca="false">IF(COUNTIFS($B$2:$B$5001,B1228,$H$2:$H$5001,H1228,$J$2:$J$5001,J1228)&gt;1,"Possible Duplicate Booking","Unique")</f>
        <v>Unique</v>
      </c>
      <c r="W1228" s="7" t="str">
        <f aca="false">IF((H1228-G1228)&lt;&gt;K1228,"Mismatch","OK")</f>
        <v>OK</v>
      </c>
      <c r="X1228" s="7" t="str">
        <f aca="false">IF(TEXT(H1228,"dddd")&lt;&gt;I1228,"Mismatch","OK")</f>
        <v>OK</v>
      </c>
      <c r="Y1228" s="7" t="str">
        <f aca="false">IF(AND(N1228="No",O1228&lt;&gt;""),"Unexpected: channel present but no reminder sent",IF(AND(N1228="Yes",O1228=""),"Missing channel for sent reminder","OK"))</f>
        <v>OK</v>
      </c>
    </row>
    <row r="1229" customFormat="false" ht="15" hidden="false" customHeight="false" outlineLevel="0" collapsed="false">
      <c r="A1229" s="9" t="s">
        <v>2187</v>
      </c>
      <c r="B1229" s="9" t="s">
        <v>2188</v>
      </c>
      <c r="C1229" s="9" t="s">
        <v>37</v>
      </c>
      <c r="D1229" s="9" t="n">
        <v>59</v>
      </c>
      <c r="E1229" s="9" t="s">
        <v>61</v>
      </c>
      <c r="F1229" s="9" t="s">
        <v>57</v>
      </c>
      <c r="G1229" s="10" t="n">
        <v>46155</v>
      </c>
      <c r="H1229" s="10" t="n">
        <v>46195</v>
      </c>
      <c r="I1229" s="9" t="s">
        <v>66</v>
      </c>
      <c r="J1229" s="9" t="s">
        <v>41</v>
      </c>
      <c r="K1229" s="9" t="n">
        <v>40</v>
      </c>
      <c r="L1229" s="9" t="n">
        <v>5</v>
      </c>
      <c r="M1229" s="9" t="n">
        <v>3</v>
      </c>
      <c r="N1229" s="9" t="s">
        <v>71</v>
      </c>
      <c r="O1229" s="9"/>
      <c r="P1229" s="9" t="n">
        <v>10.3</v>
      </c>
      <c r="Q1229" s="9" t="n">
        <v>31</v>
      </c>
      <c r="R1229" s="9" t="s">
        <v>44</v>
      </c>
      <c r="S1229" s="9"/>
      <c r="T1229" s="9"/>
      <c r="U1229" s="9" t="str">
        <f aca="false">IF(COUNTIF($A$2:$A$5001,A1229)&gt;1,"Duplicate","Unique")</f>
        <v>Unique</v>
      </c>
      <c r="V1229" s="9" t="str">
        <f aca="false">IF(COUNTIFS($B$2:$B$5001,B1229,$H$2:$H$5001,H1229,$J$2:$J$5001,J1229)&gt;1,"Possible Duplicate Booking","Unique")</f>
        <v>Unique</v>
      </c>
      <c r="W1229" s="9" t="str">
        <f aca="false">IF((H1229-G1229)&lt;&gt;K1229,"Mismatch","OK")</f>
        <v>OK</v>
      </c>
      <c r="X1229" s="9" t="str">
        <f aca="false">IF(TEXT(H1229,"dddd")&lt;&gt;I1229,"Mismatch","OK")</f>
        <v>OK</v>
      </c>
      <c r="Y1229" s="9" t="str">
        <f aca="false">IF(AND(N1229="No",O1229&lt;&gt;""),"Unexpected: channel present but no reminder sent",IF(AND(N1229="Yes",O1229=""),"Missing channel for sent reminder","OK"))</f>
        <v>OK</v>
      </c>
    </row>
    <row r="1230" customFormat="false" ht="15" hidden="false" customHeight="false" outlineLevel="0" collapsed="false">
      <c r="A1230" s="7" t="s">
        <v>2189</v>
      </c>
      <c r="B1230" s="7" t="s">
        <v>1415</v>
      </c>
      <c r="C1230" s="7" t="s">
        <v>37</v>
      </c>
      <c r="D1230" s="7" t="n">
        <v>45</v>
      </c>
      <c r="E1230" s="7" t="s">
        <v>56</v>
      </c>
      <c r="F1230" s="7" t="s">
        <v>57</v>
      </c>
      <c r="G1230" s="8" t="n">
        <v>45742</v>
      </c>
      <c r="H1230" s="8" t="n">
        <v>45742</v>
      </c>
      <c r="I1230" s="7" t="s">
        <v>58</v>
      </c>
      <c r="J1230" s="7" t="s">
        <v>51</v>
      </c>
      <c r="K1230" s="7" t="n">
        <v>0</v>
      </c>
      <c r="L1230" s="7" t="n">
        <v>4</v>
      </c>
      <c r="M1230" s="7" t="n">
        <v>1</v>
      </c>
      <c r="N1230" s="7" t="s">
        <v>42</v>
      </c>
      <c r="O1230" s="7" t="s">
        <v>52</v>
      </c>
      <c r="P1230" s="7" t="n">
        <v>5.5</v>
      </c>
      <c r="Q1230" s="7" t="n">
        <v>2</v>
      </c>
      <c r="R1230" s="7" t="s">
        <v>53</v>
      </c>
      <c r="S1230" s="7"/>
      <c r="T1230" s="7"/>
      <c r="U1230" s="7" t="str">
        <f aca="false">IF(COUNTIF($A$2:$A$5001,A1230)&gt;1,"Duplicate","Unique")</f>
        <v>Unique</v>
      </c>
      <c r="V1230" s="7" t="str">
        <f aca="false">IF(COUNTIFS($B$2:$B$5001,B1230,$H$2:$H$5001,H1230,$J$2:$J$5001,J1230)&gt;1,"Possible Duplicate Booking","Unique")</f>
        <v>Unique</v>
      </c>
      <c r="W1230" s="7" t="str">
        <f aca="false">IF((H1230-G1230)&lt;&gt;K1230,"Mismatch","OK")</f>
        <v>OK</v>
      </c>
      <c r="X1230" s="7" t="str">
        <f aca="false">IF(TEXT(H1230,"dddd")&lt;&gt;I1230,"Mismatch","OK")</f>
        <v>OK</v>
      </c>
      <c r="Y1230" s="7" t="str">
        <f aca="false">IF(AND(N1230="No",O1230&lt;&gt;""),"Unexpected: channel present but no reminder sent",IF(AND(N1230="Yes",O1230=""),"Missing channel for sent reminder","OK"))</f>
        <v>OK</v>
      </c>
    </row>
    <row r="1231" customFormat="false" ht="15" hidden="false" customHeight="false" outlineLevel="0" collapsed="false">
      <c r="A1231" s="9" t="s">
        <v>2190</v>
      </c>
      <c r="B1231" s="9" t="s">
        <v>2191</v>
      </c>
      <c r="C1231" s="9" t="s">
        <v>47</v>
      </c>
      <c r="D1231" s="9" t="n">
        <v>57</v>
      </c>
      <c r="E1231" s="9" t="s">
        <v>61</v>
      </c>
      <c r="F1231" s="9" t="s">
        <v>57</v>
      </c>
      <c r="G1231" s="10" t="n">
        <v>45788</v>
      </c>
      <c r="H1231" s="10" t="n">
        <v>45815</v>
      </c>
      <c r="I1231" s="9" t="s">
        <v>102</v>
      </c>
      <c r="J1231" s="9" t="s">
        <v>63</v>
      </c>
      <c r="K1231" s="9" t="n">
        <v>27</v>
      </c>
      <c r="L1231" s="9" t="n">
        <v>1</v>
      </c>
      <c r="M1231" s="9" t="n">
        <v>1</v>
      </c>
      <c r="N1231" s="9" t="s">
        <v>42</v>
      </c>
      <c r="O1231" s="9" t="s">
        <v>43</v>
      </c>
      <c r="P1231" s="9" t="n">
        <v>1.7</v>
      </c>
      <c r="Q1231" s="9" t="n">
        <v>34</v>
      </c>
      <c r="R1231" s="9" t="s">
        <v>53</v>
      </c>
      <c r="S1231" s="9"/>
      <c r="T1231" s="9"/>
      <c r="U1231" s="9" t="str">
        <f aca="false">IF(COUNTIF($A$2:$A$5001,A1231)&gt;1,"Duplicate","Unique")</f>
        <v>Unique</v>
      </c>
      <c r="V1231" s="9" t="str">
        <f aca="false">IF(COUNTIFS($B$2:$B$5001,B1231,$H$2:$H$5001,H1231,$J$2:$J$5001,J1231)&gt;1,"Possible Duplicate Booking","Unique")</f>
        <v>Unique</v>
      </c>
      <c r="W1231" s="9" t="str">
        <f aca="false">IF((H1231-G1231)&lt;&gt;K1231,"Mismatch","OK")</f>
        <v>OK</v>
      </c>
      <c r="X1231" s="9" t="str">
        <f aca="false">IF(TEXT(H1231,"dddd")&lt;&gt;I1231,"Mismatch","OK")</f>
        <v>OK</v>
      </c>
      <c r="Y1231" s="9" t="str">
        <f aca="false">IF(AND(N1231="No",O1231&lt;&gt;""),"Unexpected: channel present but no reminder sent",IF(AND(N1231="Yes",O1231=""),"Missing channel for sent reminder","OK"))</f>
        <v>OK</v>
      </c>
    </row>
    <row r="1232" customFormat="false" ht="15" hidden="false" customHeight="false" outlineLevel="0" collapsed="false">
      <c r="A1232" s="7" t="s">
        <v>2192</v>
      </c>
      <c r="B1232" s="7" t="s">
        <v>2193</v>
      </c>
      <c r="C1232" s="7" t="s">
        <v>47</v>
      </c>
      <c r="D1232" s="7" t="n">
        <v>72</v>
      </c>
      <c r="E1232" s="7" t="s">
        <v>70</v>
      </c>
      <c r="F1232" s="7" t="s">
        <v>57</v>
      </c>
      <c r="G1232" s="8" t="n">
        <v>46078</v>
      </c>
      <c r="H1232" s="8" t="n">
        <v>46106</v>
      </c>
      <c r="I1232" s="7" t="s">
        <v>58</v>
      </c>
      <c r="J1232" s="7" t="s">
        <v>41</v>
      </c>
      <c r="K1232" s="7" t="n">
        <v>28</v>
      </c>
      <c r="L1232" s="7" t="n">
        <v>4</v>
      </c>
      <c r="M1232" s="7" t="n">
        <v>0</v>
      </c>
      <c r="N1232" s="7" t="s">
        <v>42</v>
      </c>
      <c r="O1232" s="7" t="s">
        <v>43</v>
      </c>
      <c r="P1232" s="7" t="n">
        <v>2</v>
      </c>
      <c r="Q1232" s="7" t="n">
        <v>13</v>
      </c>
      <c r="R1232" s="7" t="s">
        <v>87</v>
      </c>
      <c r="S1232" s="7"/>
      <c r="T1232" s="7"/>
      <c r="U1232" s="7" t="str">
        <f aca="false">IF(COUNTIF($A$2:$A$5001,A1232)&gt;1,"Duplicate","Unique")</f>
        <v>Unique</v>
      </c>
      <c r="V1232" s="7" t="str">
        <f aca="false">IF(COUNTIFS($B$2:$B$5001,B1232,$H$2:$H$5001,H1232,$J$2:$J$5001,J1232)&gt;1,"Possible Duplicate Booking","Unique")</f>
        <v>Unique</v>
      </c>
      <c r="W1232" s="7" t="str">
        <f aca="false">IF((H1232-G1232)&lt;&gt;K1232,"Mismatch","OK")</f>
        <v>OK</v>
      </c>
      <c r="X1232" s="7" t="str">
        <f aca="false">IF(TEXT(H1232,"dddd")&lt;&gt;I1232,"Mismatch","OK")</f>
        <v>OK</v>
      </c>
      <c r="Y1232" s="7" t="str">
        <f aca="false">IF(AND(N1232="No",O1232&lt;&gt;""),"Unexpected: channel present but no reminder sent",IF(AND(N1232="Yes",O1232=""),"Missing channel for sent reminder","OK"))</f>
        <v>OK</v>
      </c>
    </row>
    <row r="1233" customFormat="false" ht="15" hidden="false" customHeight="false" outlineLevel="0" collapsed="false">
      <c r="A1233" s="9" t="s">
        <v>2194</v>
      </c>
      <c r="B1233" s="9" t="s">
        <v>2195</v>
      </c>
      <c r="C1233" s="9" t="s">
        <v>37</v>
      </c>
      <c r="D1233" s="9" t="n">
        <v>32</v>
      </c>
      <c r="E1233" s="9" t="s">
        <v>48</v>
      </c>
      <c r="F1233" s="9" t="s">
        <v>39</v>
      </c>
      <c r="G1233" s="10" t="n">
        <v>46020</v>
      </c>
      <c r="H1233" s="10" t="n">
        <v>46058</v>
      </c>
      <c r="I1233" s="9" t="s">
        <v>62</v>
      </c>
      <c r="J1233" s="9" t="s">
        <v>51</v>
      </c>
      <c r="K1233" s="9" t="n">
        <v>38</v>
      </c>
      <c r="L1233" s="9" t="n">
        <v>4</v>
      </c>
      <c r="M1233" s="9" t="n">
        <v>0</v>
      </c>
      <c r="N1233" s="9" t="s">
        <v>71</v>
      </c>
      <c r="O1233" s="9"/>
      <c r="P1233" s="9" t="n">
        <v>6</v>
      </c>
      <c r="Q1233" s="9" t="n">
        <v>36</v>
      </c>
      <c r="R1233" s="9" t="s">
        <v>53</v>
      </c>
      <c r="S1233" s="9"/>
      <c r="T1233" s="9"/>
      <c r="U1233" s="9" t="str">
        <f aca="false">IF(COUNTIF($A$2:$A$5001,A1233)&gt;1,"Duplicate","Unique")</f>
        <v>Unique</v>
      </c>
      <c r="V1233" s="9" t="str">
        <f aca="false">IF(COUNTIFS($B$2:$B$5001,B1233,$H$2:$H$5001,H1233,$J$2:$J$5001,J1233)&gt;1,"Possible Duplicate Booking","Unique")</f>
        <v>Unique</v>
      </c>
      <c r="W1233" s="9" t="str">
        <f aca="false">IF((H1233-G1233)&lt;&gt;K1233,"Mismatch","OK")</f>
        <v>OK</v>
      </c>
      <c r="X1233" s="9" t="str">
        <f aca="false">IF(TEXT(H1233,"dddd")&lt;&gt;I1233,"Mismatch","OK")</f>
        <v>OK</v>
      </c>
      <c r="Y1233" s="9" t="str">
        <f aca="false">IF(AND(N1233="No",O1233&lt;&gt;""),"Unexpected: channel present but no reminder sent",IF(AND(N1233="Yes",O1233=""),"Missing channel for sent reminder","OK"))</f>
        <v>OK</v>
      </c>
    </row>
    <row r="1234" customFormat="false" ht="15" hidden="false" customHeight="false" outlineLevel="0" collapsed="false">
      <c r="A1234" s="7" t="s">
        <v>2196</v>
      </c>
      <c r="B1234" s="7" t="s">
        <v>2197</v>
      </c>
      <c r="C1234" s="7" t="s">
        <v>47</v>
      </c>
      <c r="D1234" s="7" t="n">
        <v>27</v>
      </c>
      <c r="E1234" s="7" t="s">
        <v>48</v>
      </c>
      <c r="F1234" s="7" t="s">
        <v>57</v>
      </c>
      <c r="G1234" s="8" t="n">
        <v>46178</v>
      </c>
      <c r="H1234" s="8" t="n">
        <v>46187</v>
      </c>
      <c r="I1234" s="7" t="s">
        <v>75</v>
      </c>
      <c r="J1234" s="7" t="s">
        <v>51</v>
      </c>
      <c r="K1234" s="7" t="n">
        <v>9</v>
      </c>
      <c r="L1234" s="7" t="n">
        <v>1</v>
      </c>
      <c r="M1234" s="7" t="n">
        <v>0</v>
      </c>
      <c r="N1234" s="7" t="s">
        <v>42</v>
      </c>
      <c r="O1234" s="7" t="s">
        <v>67</v>
      </c>
      <c r="P1234" s="7" t="n">
        <v>18.8</v>
      </c>
      <c r="Q1234" s="7" t="n">
        <v>9</v>
      </c>
      <c r="R1234" s="7" t="s">
        <v>44</v>
      </c>
      <c r="S1234" s="7"/>
      <c r="T1234" s="7"/>
      <c r="U1234" s="7" t="str">
        <f aca="false">IF(COUNTIF($A$2:$A$5001,A1234)&gt;1,"Duplicate","Unique")</f>
        <v>Unique</v>
      </c>
      <c r="V1234" s="7" t="str">
        <f aca="false">IF(COUNTIFS($B$2:$B$5001,B1234,$H$2:$H$5001,H1234,$J$2:$J$5001,J1234)&gt;1,"Possible Duplicate Booking","Unique")</f>
        <v>Unique</v>
      </c>
      <c r="W1234" s="7" t="str">
        <f aca="false">IF((H1234-G1234)&lt;&gt;K1234,"Mismatch","OK")</f>
        <v>OK</v>
      </c>
      <c r="X1234" s="7" t="str">
        <f aca="false">IF(TEXT(H1234,"dddd")&lt;&gt;I1234,"Mismatch","OK")</f>
        <v>OK</v>
      </c>
      <c r="Y1234" s="7" t="str">
        <f aca="false">IF(AND(N1234="No",O1234&lt;&gt;""),"Unexpected: channel present but no reminder sent",IF(AND(N1234="Yes",O1234=""),"Missing channel for sent reminder","OK"))</f>
        <v>OK</v>
      </c>
    </row>
    <row r="1235" customFormat="false" ht="15" hidden="false" customHeight="false" outlineLevel="0" collapsed="false">
      <c r="A1235" s="9" t="s">
        <v>2198</v>
      </c>
      <c r="B1235" s="9" t="s">
        <v>2199</v>
      </c>
      <c r="C1235" s="9" t="s">
        <v>47</v>
      </c>
      <c r="D1235" s="9" t="n">
        <v>45</v>
      </c>
      <c r="E1235" s="9" t="s">
        <v>56</v>
      </c>
      <c r="F1235" s="9" t="s">
        <v>39</v>
      </c>
      <c r="G1235" s="10" t="n">
        <v>46058</v>
      </c>
      <c r="H1235" s="10" t="n">
        <v>46067</v>
      </c>
      <c r="I1235" s="9" t="s">
        <v>102</v>
      </c>
      <c r="J1235" s="9" t="s">
        <v>41</v>
      </c>
      <c r="K1235" s="9" t="n">
        <v>9</v>
      </c>
      <c r="L1235" s="9" t="n">
        <v>3</v>
      </c>
      <c r="M1235" s="9" t="n">
        <v>2</v>
      </c>
      <c r="N1235" s="9" t="s">
        <v>42</v>
      </c>
      <c r="O1235" s="9" t="s">
        <v>52</v>
      </c>
      <c r="P1235" s="9" t="n">
        <v>2.3</v>
      </c>
      <c r="Q1235" s="9" t="n">
        <v>41</v>
      </c>
      <c r="R1235" s="9" t="s">
        <v>53</v>
      </c>
      <c r="S1235" s="9"/>
      <c r="T1235" s="9"/>
      <c r="U1235" s="9" t="str">
        <f aca="false">IF(COUNTIF($A$2:$A$5001,A1235)&gt;1,"Duplicate","Unique")</f>
        <v>Unique</v>
      </c>
      <c r="V1235" s="9" t="str">
        <f aca="false">IF(COUNTIFS($B$2:$B$5001,B1235,$H$2:$H$5001,H1235,$J$2:$J$5001,J1235)&gt;1,"Possible Duplicate Booking","Unique")</f>
        <v>Unique</v>
      </c>
      <c r="W1235" s="9" t="str">
        <f aca="false">IF((H1235-G1235)&lt;&gt;K1235,"Mismatch","OK")</f>
        <v>OK</v>
      </c>
      <c r="X1235" s="9" t="str">
        <f aca="false">IF(TEXT(H1235,"dddd")&lt;&gt;I1235,"Mismatch","OK")</f>
        <v>OK</v>
      </c>
      <c r="Y1235" s="9" t="str">
        <f aca="false">IF(AND(N1235="No",O1235&lt;&gt;""),"Unexpected: channel present but no reminder sent",IF(AND(N1235="Yes",O1235=""),"Missing channel for sent reminder","OK"))</f>
        <v>OK</v>
      </c>
    </row>
    <row r="1236" customFormat="false" ht="15" hidden="false" customHeight="false" outlineLevel="0" collapsed="false">
      <c r="A1236" s="7" t="s">
        <v>2200</v>
      </c>
      <c r="B1236" s="7" t="s">
        <v>2201</v>
      </c>
      <c r="C1236" s="7" t="s">
        <v>47</v>
      </c>
      <c r="D1236" s="7" t="n">
        <v>23</v>
      </c>
      <c r="E1236" s="7" t="s">
        <v>82</v>
      </c>
      <c r="F1236" s="7" t="s">
        <v>49</v>
      </c>
      <c r="G1236" s="8" t="n">
        <v>45959</v>
      </c>
      <c r="H1236" s="8" t="n">
        <v>46005</v>
      </c>
      <c r="I1236" s="7" t="s">
        <v>75</v>
      </c>
      <c r="J1236" s="7" t="s">
        <v>41</v>
      </c>
      <c r="K1236" s="7" t="n">
        <v>46</v>
      </c>
      <c r="L1236" s="7" t="n">
        <v>2</v>
      </c>
      <c r="M1236" s="7" t="n">
        <v>1</v>
      </c>
      <c r="N1236" s="7" t="s">
        <v>71</v>
      </c>
      <c r="O1236" s="7"/>
      <c r="P1236" s="7" t="n">
        <v>9.4</v>
      </c>
      <c r="Q1236" s="7" t="n">
        <v>2</v>
      </c>
      <c r="R1236" s="7" t="s">
        <v>44</v>
      </c>
      <c r="S1236" s="7"/>
      <c r="T1236" s="7"/>
      <c r="U1236" s="7" t="str">
        <f aca="false">IF(COUNTIF($A$2:$A$5001,A1236)&gt;1,"Duplicate","Unique")</f>
        <v>Unique</v>
      </c>
      <c r="V1236" s="7" t="str">
        <f aca="false">IF(COUNTIFS($B$2:$B$5001,B1236,$H$2:$H$5001,H1236,$J$2:$J$5001,J1236)&gt;1,"Possible Duplicate Booking","Unique")</f>
        <v>Unique</v>
      </c>
      <c r="W1236" s="7" t="str">
        <f aca="false">IF((H1236-G1236)&lt;&gt;K1236,"Mismatch","OK")</f>
        <v>OK</v>
      </c>
      <c r="X1236" s="7" t="str">
        <f aca="false">IF(TEXT(H1236,"dddd")&lt;&gt;I1236,"Mismatch","OK")</f>
        <v>OK</v>
      </c>
      <c r="Y1236" s="7" t="str">
        <f aca="false">IF(AND(N1236="No",O1236&lt;&gt;""),"Unexpected: channel present but no reminder sent",IF(AND(N1236="Yes",O1236=""),"Missing channel for sent reminder","OK"))</f>
        <v>OK</v>
      </c>
    </row>
    <row r="1237" customFormat="false" ht="15" hidden="false" customHeight="false" outlineLevel="0" collapsed="false">
      <c r="A1237" s="9" t="s">
        <v>2202</v>
      </c>
      <c r="B1237" s="9" t="s">
        <v>2203</v>
      </c>
      <c r="C1237" s="9" t="s">
        <v>37</v>
      </c>
      <c r="D1237" s="9" t="n">
        <v>70</v>
      </c>
      <c r="E1237" s="9" t="s">
        <v>70</v>
      </c>
      <c r="F1237" s="9" t="s">
        <v>57</v>
      </c>
      <c r="G1237" s="10" t="n">
        <v>45806</v>
      </c>
      <c r="H1237" s="10" t="n">
        <v>45847</v>
      </c>
      <c r="I1237" s="9" t="s">
        <v>58</v>
      </c>
      <c r="J1237" s="9" t="s">
        <v>41</v>
      </c>
      <c r="K1237" s="9" t="n">
        <v>41</v>
      </c>
      <c r="L1237" s="9" t="n">
        <v>6</v>
      </c>
      <c r="M1237" s="9" t="n">
        <v>1</v>
      </c>
      <c r="N1237" s="9" t="s">
        <v>42</v>
      </c>
      <c r="O1237" s="9" t="s">
        <v>52</v>
      </c>
      <c r="P1237" s="9" t="n">
        <v>17.7</v>
      </c>
      <c r="Q1237" s="9" t="n">
        <v>28</v>
      </c>
      <c r="R1237" s="9" t="s">
        <v>44</v>
      </c>
      <c r="S1237" s="9"/>
      <c r="T1237" s="9"/>
      <c r="U1237" s="9" t="str">
        <f aca="false">IF(COUNTIF($A$2:$A$5001,A1237)&gt;1,"Duplicate","Unique")</f>
        <v>Unique</v>
      </c>
      <c r="V1237" s="9" t="str">
        <f aca="false">IF(COUNTIFS($B$2:$B$5001,B1237,$H$2:$H$5001,H1237,$J$2:$J$5001,J1237)&gt;1,"Possible Duplicate Booking","Unique")</f>
        <v>Unique</v>
      </c>
      <c r="W1237" s="9" t="str">
        <f aca="false">IF((H1237-G1237)&lt;&gt;K1237,"Mismatch","OK")</f>
        <v>OK</v>
      </c>
      <c r="X1237" s="9" t="str">
        <f aca="false">IF(TEXT(H1237,"dddd")&lt;&gt;I1237,"Mismatch","OK")</f>
        <v>OK</v>
      </c>
      <c r="Y1237" s="9" t="str">
        <f aca="false">IF(AND(N1237="No",O1237&lt;&gt;""),"Unexpected: channel present but no reminder sent",IF(AND(N1237="Yes",O1237=""),"Missing channel for sent reminder","OK"))</f>
        <v>OK</v>
      </c>
    </row>
    <row r="1238" customFormat="false" ht="15" hidden="false" customHeight="false" outlineLevel="0" collapsed="false">
      <c r="A1238" s="7" t="s">
        <v>2204</v>
      </c>
      <c r="B1238" s="7" t="s">
        <v>2205</v>
      </c>
      <c r="C1238" s="7" t="s">
        <v>37</v>
      </c>
      <c r="D1238" s="7" t="n">
        <v>79</v>
      </c>
      <c r="E1238" s="7" t="s">
        <v>70</v>
      </c>
      <c r="F1238" s="7" t="s">
        <v>39</v>
      </c>
      <c r="G1238" s="8" t="n">
        <v>45611</v>
      </c>
      <c r="H1238" s="8" t="n">
        <v>45660</v>
      </c>
      <c r="I1238" s="7" t="s">
        <v>50</v>
      </c>
      <c r="J1238" s="7" t="s">
        <v>41</v>
      </c>
      <c r="K1238" s="7" t="n">
        <v>49</v>
      </c>
      <c r="L1238" s="7" t="n">
        <v>3</v>
      </c>
      <c r="M1238" s="7" t="n">
        <v>1</v>
      </c>
      <c r="N1238" s="7" t="s">
        <v>71</v>
      </c>
      <c r="O1238" s="7"/>
      <c r="P1238" s="7" t="n">
        <v>23.4</v>
      </c>
      <c r="Q1238" s="7" t="n">
        <v>20</v>
      </c>
      <c r="R1238" s="7" t="s">
        <v>44</v>
      </c>
      <c r="S1238" s="7"/>
      <c r="T1238" s="7"/>
      <c r="U1238" s="7" t="str">
        <f aca="false">IF(COUNTIF($A$2:$A$5001,A1238)&gt;1,"Duplicate","Unique")</f>
        <v>Unique</v>
      </c>
      <c r="V1238" s="7" t="str">
        <f aca="false">IF(COUNTIFS($B$2:$B$5001,B1238,$H$2:$H$5001,H1238,$J$2:$J$5001,J1238)&gt;1,"Possible Duplicate Booking","Unique")</f>
        <v>Unique</v>
      </c>
      <c r="W1238" s="7" t="str">
        <f aca="false">IF((H1238-G1238)&lt;&gt;K1238,"Mismatch","OK")</f>
        <v>OK</v>
      </c>
      <c r="X1238" s="7" t="str">
        <f aca="false">IF(TEXT(H1238,"dddd")&lt;&gt;I1238,"Mismatch","OK")</f>
        <v>OK</v>
      </c>
      <c r="Y1238" s="7" t="str">
        <f aca="false">IF(AND(N1238="No",O1238&lt;&gt;""),"Unexpected: channel present but no reminder sent",IF(AND(N1238="Yes",O1238=""),"Missing channel for sent reminder","OK"))</f>
        <v>OK</v>
      </c>
    </row>
    <row r="1239" customFormat="false" ht="15" hidden="false" customHeight="false" outlineLevel="0" collapsed="false">
      <c r="A1239" s="9" t="s">
        <v>2206</v>
      </c>
      <c r="B1239" s="9" t="s">
        <v>2207</v>
      </c>
      <c r="C1239" s="9" t="s">
        <v>47</v>
      </c>
      <c r="D1239" s="9" t="n">
        <v>56</v>
      </c>
      <c r="E1239" s="9" t="s">
        <v>61</v>
      </c>
      <c r="F1239" s="9" t="s">
        <v>57</v>
      </c>
      <c r="G1239" s="10" t="n">
        <v>45709</v>
      </c>
      <c r="H1239" s="10" t="n">
        <v>45725</v>
      </c>
      <c r="I1239" s="9" t="s">
        <v>75</v>
      </c>
      <c r="J1239" s="9" t="s">
        <v>51</v>
      </c>
      <c r="K1239" s="9" t="n">
        <v>16</v>
      </c>
      <c r="L1239" s="9" t="n">
        <v>2</v>
      </c>
      <c r="M1239" s="9" t="n">
        <v>0</v>
      </c>
      <c r="N1239" s="9" t="s">
        <v>71</v>
      </c>
      <c r="O1239" s="9"/>
      <c r="P1239" s="9" t="n">
        <v>7.1</v>
      </c>
      <c r="Q1239" s="9" t="n">
        <v>29</v>
      </c>
      <c r="R1239" s="9" t="s">
        <v>87</v>
      </c>
      <c r="S1239" s="9"/>
      <c r="T1239" s="9"/>
      <c r="U1239" s="9" t="str">
        <f aca="false">IF(COUNTIF($A$2:$A$5001,A1239)&gt;1,"Duplicate","Unique")</f>
        <v>Unique</v>
      </c>
      <c r="V1239" s="9" t="str">
        <f aca="false">IF(COUNTIFS($B$2:$B$5001,B1239,$H$2:$H$5001,H1239,$J$2:$J$5001,J1239)&gt;1,"Possible Duplicate Booking","Unique")</f>
        <v>Unique</v>
      </c>
      <c r="W1239" s="9" t="str">
        <f aca="false">IF((H1239-G1239)&lt;&gt;K1239,"Mismatch","OK")</f>
        <v>OK</v>
      </c>
      <c r="X1239" s="9" t="str">
        <f aca="false">IF(TEXT(H1239,"dddd")&lt;&gt;I1239,"Mismatch","OK")</f>
        <v>OK</v>
      </c>
      <c r="Y1239" s="9" t="str">
        <f aca="false">IF(AND(N1239="No",O1239&lt;&gt;""),"Unexpected: channel present but no reminder sent",IF(AND(N1239="Yes",O1239=""),"Missing channel for sent reminder","OK"))</f>
        <v>OK</v>
      </c>
    </row>
    <row r="1240" customFormat="false" ht="15" hidden="false" customHeight="false" outlineLevel="0" collapsed="false">
      <c r="A1240" s="7" t="s">
        <v>2208</v>
      </c>
      <c r="B1240" s="7" t="s">
        <v>2209</v>
      </c>
      <c r="C1240" s="7" t="s">
        <v>37</v>
      </c>
      <c r="D1240" s="7" t="n">
        <v>79</v>
      </c>
      <c r="E1240" s="7" t="s">
        <v>70</v>
      </c>
      <c r="F1240" s="7" t="s">
        <v>49</v>
      </c>
      <c r="G1240" s="8" t="n">
        <v>45760</v>
      </c>
      <c r="H1240" s="8" t="n">
        <v>45820</v>
      </c>
      <c r="I1240" s="7" t="s">
        <v>62</v>
      </c>
      <c r="J1240" s="7" t="s">
        <v>63</v>
      </c>
      <c r="K1240" s="7" t="n">
        <v>60</v>
      </c>
      <c r="L1240" s="7" t="n">
        <v>2</v>
      </c>
      <c r="M1240" s="7" t="n">
        <v>0</v>
      </c>
      <c r="N1240" s="7" t="s">
        <v>42</v>
      </c>
      <c r="O1240" s="7" t="s">
        <v>52</v>
      </c>
      <c r="P1240" s="7" t="n">
        <v>1.1</v>
      </c>
      <c r="Q1240" s="7" t="n">
        <v>43</v>
      </c>
      <c r="R1240" s="7" t="s">
        <v>53</v>
      </c>
      <c r="S1240" s="7"/>
      <c r="T1240" s="7"/>
      <c r="U1240" s="7" t="str">
        <f aca="false">IF(COUNTIF($A$2:$A$5001,A1240)&gt;1,"Duplicate","Unique")</f>
        <v>Unique</v>
      </c>
      <c r="V1240" s="7" t="str">
        <f aca="false">IF(COUNTIFS($B$2:$B$5001,B1240,$H$2:$H$5001,H1240,$J$2:$J$5001,J1240)&gt;1,"Possible Duplicate Booking","Unique")</f>
        <v>Unique</v>
      </c>
      <c r="W1240" s="7" t="str">
        <f aca="false">IF((H1240-G1240)&lt;&gt;K1240,"Mismatch","OK")</f>
        <v>OK</v>
      </c>
      <c r="X1240" s="7" t="str">
        <f aca="false">IF(TEXT(H1240,"dddd")&lt;&gt;I1240,"Mismatch","OK")</f>
        <v>OK</v>
      </c>
      <c r="Y1240" s="7" t="str">
        <f aca="false">IF(AND(N1240="No",O1240&lt;&gt;""),"Unexpected: channel present but no reminder sent",IF(AND(N1240="Yes",O1240=""),"Missing channel for sent reminder","OK"))</f>
        <v>OK</v>
      </c>
    </row>
    <row r="1241" customFormat="false" ht="15" hidden="false" customHeight="false" outlineLevel="0" collapsed="false">
      <c r="A1241" s="9" t="s">
        <v>2210</v>
      </c>
      <c r="B1241" s="9" t="s">
        <v>1569</v>
      </c>
      <c r="C1241" s="9" t="s">
        <v>37</v>
      </c>
      <c r="D1241" s="9" t="n">
        <v>22</v>
      </c>
      <c r="E1241" s="9" t="s">
        <v>82</v>
      </c>
      <c r="F1241" s="9" t="s">
        <v>39</v>
      </c>
      <c r="G1241" s="10" t="n">
        <v>45664</v>
      </c>
      <c r="H1241" s="10" t="n">
        <v>45680</v>
      </c>
      <c r="I1241" s="9" t="s">
        <v>62</v>
      </c>
      <c r="J1241" s="9" t="s">
        <v>41</v>
      </c>
      <c r="K1241" s="9" t="n">
        <v>16</v>
      </c>
      <c r="L1241" s="9" t="n">
        <v>3</v>
      </c>
      <c r="M1241" s="9" t="n">
        <v>0</v>
      </c>
      <c r="N1241" s="9" t="s">
        <v>71</v>
      </c>
      <c r="O1241" s="9"/>
      <c r="P1241" s="9" t="n">
        <v>16.2</v>
      </c>
      <c r="Q1241" s="9" t="n">
        <v>27</v>
      </c>
      <c r="R1241" s="9" t="s">
        <v>44</v>
      </c>
      <c r="S1241" s="9"/>
      <c r="T1241" s="9"/>
      <c r="U1241" s="9" t="str">
        <f aca="false">IF(COUNTIF($A$2:$A$5001,A1241)&gt;1,"Duplicate","Unique")</f>
        <v>Unique</v>
      </c>
      <c r="V1241" s="9" t="str">
        <f aca="false">IF(COUNTIFS($B$2:$B$5001,B1241,$H$2:$H$5001,H1241,$J$2:$J$5001,J1241)&gt;1,"Possible Duplicate Booking","Unique")</f>
        <v>Unique</v>
      </c>
      <c r="W1241" s="9" t="str">
        <f aca="false">IF((H1241-G1241)&lt;&gt;K1241,"Mismatch","OK")</f>
        <v>OK</v>
      </c>
      <c r="X1241" s="9" t="str">
        <f aca="false">IF(TEXT(H1241,"dddd")&lt;&gt;I1241,"Mismatch","OK")</f>
        <v>OK</v>
      </c>
      <c r="Y1241" s="9" t="str">
        <f aca="false">IF(AND(N1241="No",O1241&lt;&gt;""),"Unexpected: channel present but no reminder sent",IF(AND(N1241="Yes",O1241=""),"Missing channel for sent reminder","OK"))</f>
        <v>OK</v>
      </c>
    </row>
    <row r="1242" customFormat="false" ht="15" hidden="false" customHeight="false" outlineLevel="0" collapsed="false">
      <c r="A1242" s="7" t="s">
        <v>2211</v>
      </c>
      <c r="B1242" s="7" t="s">
        <v>2162</v>
      </c>
      <c r="C1242" s="7" t="s">
        <v>47</v>
      </c>
      <c r="D1242" s="7" t="n">
        <v>57</v>
      </c>
      <c r="E1242" s="7" t="s">
        <v>61</v>
      </c>
      <c r="F1242" s="7" t="s">
        <v>57</v>
      </c>
      <c r="G1242" s="8" t="n">
        <v>45896</v>
      </c>
      <c r="H1242" s="8" t="n">
        <v>45935</v>
      </c>
      <c r="I1242" s="7" t="s">
        <v>75</v>
      </c>
      <c r="J1242" s="7" t="s">
        <v>41</v>
      </c>
      <c r="K1242" s="7" t="n">
        <v>39</v>
      </c>
      <c r="L1242" s="7" t="n">
        <v>4</v>
      </c>
      <c r="M1242" s="7" t="n">
        <v>1</v>
      </c>
      <c r="N1242" s="7" t="s">
        <v>42</v>
      </c>
      <c r="O1242" s="7" t="s">
        <v>52</v>
      </c>
      <c r="P1242" s="7" t="n">
        <v>6</v>
      </c>
      <c r="Q1242" s="7" t="n">
        <v>34</v>
      </c>
      <c r="R1242" s="7" t="s">
        <v>53</v>
      </c>
      <c r="S1242" s="7"/>
      <c r="T1242" s="7"/>
      <c r="U1242" s="7" t="str">
        <f aca="false">IF(COUNTIF($A$2:$A$5001,A1242)&gt;1,"Duplicate","Unique")</f>
        <v>Unique</v>
      </c>
      <c r="V1242" s="7" t="str">
        <f aca="false">IF(COUNTIFS($B$2:$B$5001,B1242,$H$2:$H$5001,H1242,$J$2:$J$5001,J1242)&gt;1,"Possible Duplicate Booking","Unique")</f>
        <v>Unique</v>
      </c>
      <c r="W1242" s="7" t="str">
        <f aca="false">IF((H1242-G1242)&lt;&gt;K1242,"Mismatch","OK")</f>
        <v>OK</v>
      </c>
      <c r="X1242" s="7" t="str">
        <f aca="false">IF(TEXT(H1242,"dddd")&lt;&gt;I1242,"Mismatch","OK")</f>
        <v>OK</v>
      </c>
      <c r="Y1242" s="7" t="str">
        <f aca="false">IF(AND(N1242="No",O1242&lt;&gt;""),"Unexpected: channel present but no reminder sent",IF(AND(N1242="Yes",O1242=""),"Missing channel for sent reminder","OK"))</f>
        <v>OK</v>
      </c>
    </row>
    <row r="1243" customFormat="false" ht="15" hidden="false" customHeight="false" outlineLevel="0" collapsed="false">
      <c r="A1243" s="9" t="s">
        <v>2212</v>
      </c>
      <c r="B1243" s="9" t="s">
        <v>2213</v>
      </c>
      <c r="C1243" s="9" t="s">
        <v>37</v>
      </c>
      <c r="D1243" s="9" t="n">
        <v>45</v>
      </c>
      <c r="E1243" s="9" t="s">
        <v>56</v>
      </c>
      <c r="F1243" s="9" t="s">
        <v>39</v>
      </c>
      <c r="G1243" s="10" t="n">
        <v>46073</v>
      </c>
      <c r="H1243" s="10" t="n">
        <v>46082</v>
      </c>
      <c r="I1243" s="9" t="s">
        <v>75</v>
      </c>
      <c r="J1243" s="9" t="s">
        <v>41</v>
      </c>
      <c r="K1243" s="9" t="n">
        <v>9</v>
      </c>
      <c r="L1243" s="9" t="n">
        <v>6</v>
      </c>
      <c r="M1243" s="9" t="n">
        <v>0</v>
      </c>
      <c r="N1243" s="9" t="s">
        <v>71</v>
      </c>
      <c r="O1243" s="9"/>
      <c r="P1243" s="9" t="n">
        <v>11.8</v>
      </c>
      <c r="Q1243" s="9" t="n">
        <v>41</v>
      </c>
      <c r="R1243" s="9" t="s">
        <v>53</v>
      </c>
      <c r="S1243" s="9"/>
      <c r="T1243" s="9"/>
      <c r="U1243" s="9" t="str">
        <f aca="false">IF(COUNTIF($A$2:$A$5001,A1243)&gt;1,"Duplicate","Unique")</f>
        <v>Unique</v>
      </c>
      <c r="V1243" s="9" t="str">
        <f aca="false">IF(COUNTIFS($B$2:$B$5001,B1243,$H$2:$H$5001,H1243,$J$2:$J$5001,J1243)&gt;1,"Possible Duplicate Booking","Unique")</f>
        <v>Unique</v>
      </c>
      <c r="W1243" s="9" t="str">
        <f aca="false">IF((H1243-G1243)&lt;&gt;K1243,"Mismatch","OK")</f>
        <v>OK</v>
      </c>
      <c r="X1243" s="9" t="str">
        <f aca="false">IF(TEXT(H1243,"dddd")&lt;&gt;I1243,"Mismatch","OK")</f>
        <v>OK</v>
      </c>
      <c r="Y1243" s="9" t="str">
        <f aca="false">IF(AND(N1243="No",O1243&lt;&gt;""),"Unexpected: channel present but no reminder sent",IF(AND(N1243="Yes",O1243=""),"Missing channel for sent reminder","OK"))</f>
        <v>OK</v>
      </c>
    </row>
    <row r="1244" customFormat="false" ht="15" hidden="false" customHeight="false" outlineLevel="0" collapsed="false">
      <c r="A1244" s="7" t="s">
        <v>2214</v>
      </c>
      <c r="B1244" s="7" t="s">
        <v>771</v>
      </c>
      <c r="C1244" s="7" t="s">
        <v>37</v>
      </c>
      <c r="D1244" s="7" t="n">
        <v>35</v>
      </c>
      <c r="E1244" s="7" t="s">
        <v>38</v>
      </c>
      <c r="F1244" s="7" t="s">
        <v>57</v>
      </c>
      <c r="G1244" s="8" t="n">
        <v>46127</v>
      </c>
      <c r="H1244" s="8" t="n">
        <v>46183</v>
      </c>
      <c r="I1244" s="7" t="s">
        <v>58</v>
      </c>
      <c r="J1244" s="7" t="s">
        <v>41</v>
      </c>
      <c r="K1244" s="7" t="n">
        <v>56</v>
      </c>
      <c r="L1244" s="7" t="n">
        <v>1</v>
      </c>
      <c r="M1244" s="7" t="n">
        <v>0</v>
      </c>
      <c r="N1244" s="7" t="s">
        <v>42</v>
      </c>
      <c r="O1244" s="7" t="s">
        <v>67</v>
      </c>
      <c r="P1244" s="7" t="n">
        <v>12</v>
      </c>
      <c r="Q1244" s="7" t="n">
        <v>17</v>
      </c>
      <c r="R1244" s="7" t="s">
        <v>44</v>
      </c>
      <c r="S1244" s="7"/>
      <c r="T1244" s="7"/>
      <c r="U1244" s="7" t="str">
        <f aca="false">IF(COUNTIF($A$2:$A$5001,A1244)&gt;1,"Duplicate","Unique")</f>
        <v>Unique</v>
      </c>
      <c r="V1244" s="7" t="str">
        <f aca="false">IF(COUNTIFS($B$2:$B$5001,B1244,$H$2:$H$5001,H1244,$J$2:$J$5001,J1244)&gt;1,"Possible Duplicate Booking","Unique")</f>
        <v>Unique</v>
      </c>
      <c r="W1244" s="7" t="str">
        <f aca="false">IF((H1244-G1244)&lt;&gt;K1244,"Mismatch","OK")</f>
        <v>OK</v>
      </c>
      <c r="X1244" s="7" t="str">
        <f aca="false">IF(TEXT(H1244,"dddd")&lt;&gt;I1244,"Mismatch","OK")</f>
        <v>OK</v>
      </c>
      <c r="Y1244" s="7" t="str">
        <f aca="false">IF(AND(N1244="No",O1244&lt;&gt;""),"Unexpected: channel present but no reminder sent",IF(AND(N1244="Yes",O1244=""),"Missing channel for sent reminder","OK"))</f>
        <v>OK</v>
      </c>
    </row>
    <row r="1245" customFormat="false" ht="15" hidden="false" customHeight="false" outlineLevel="0" collapsed="false">
      <c r="A1245" s="9" t="s">
        <v>2215</v>
      </c>
      <c r="B1245" s="9" t="s">
        <v>2216</v>
      </c>
      <c r="C1245" s="9" t="s">
        <v>47</v>
      </c>
      <c r="D1245" s="9" t="n">
        <v>37</v>
      </c>
      <c r="E1245" s="9" t="s">
        <v>38</v>
      </c>
      <c r="F1245" s="9" t="s">
        <v>49</v>
      </c>
      <c r="G1245" s="10" t="n">
        <v>45905</v>
      </c>
      <c r="H1245" s="10" t="n">
        <v>45925</v>
      </c>
      <c r="I1245" s="9" t="s">
        <v>62</v>
      </c>
      <c r="J1245" s="9" t="s">
        <v>41</v>
      </c>
      <c r="K1245" s="9" t="n">
        <v>20</v>
      </c>
      <c r="L1245" s="9" t="n">
        <v>3</v>
      </c>
      <c r="M1245" s="9" t="n">
        <v>0</v>
      </c>
      <c r="N1245" s="9" t="s">
        <v>42</v>
      </c>
      <c r="O1245" s="9" t="s">
        <v>43</v>
      </c>
      <c r="P1245" s="9" t="n">
        <v>4.1</v>
      </c>
      <c r="Q1245" s="9" t="n">
        <v>28</v>
      </c>
      <c r="R1245" s="9" t="s">
        <v>44</v>
      </c>
      <c r="S1245" s="9"/>
      <c r="T1245" s="9"/>
      <c r="U1245" s="9" t="str">
        <f aca="false">IF(COUNTIF($A$2:$A$5001,A1245)&gt;1,"Duplicate","Unique")</f>
        <v>Unique</v>
      </c>
      <c r="V1245" s="9" t="str">
        <f aca="false">IF(COUNTIFS($B$2:$B$5001,B1245,$H$2:$H$5001,H1245,$J$2:$J$5001,J1245)&gt;1,"Possible Duplicate Booking","Unique")</f>
        <v>Unique</v>
      </c>
      <c r="W1245" s="9" t="str">
        <f aca="false">IF((H1245-G1245)&lt;&gt;K1245,"Mismatch","OK")</f>
        <v>OK</v>
      </c>
      <c r="X1245" s="9" t="str">
        <f aca="false">IF(TEXT(H1245,"dddd")&lt;&gt;I1245,"Mismatch","OK")</f>
        <v>OK</v>
      </c>
      <c r="Y1245" s="9" t="str">
        <f aca="false">IF(AND(N1245="No",O1245&lt;&gt;""),"Unexpected: channel present but no reminder sent",IF(AND(N1245="Yes",O1245=""),"Missing channel for sent reminder","OK"))</f>
        <v>OK</v>
      </c>
    </row>
    <row r="1246" customFormat="false" ht="15" hidden="false" customHeight="false" outlineLevel="0" collapsed="false">
      <c r="A1246" s="7" t="s">
        <v>2217</v>
      </c>
      <c r="B1246" s="7" t="s">
        <v>1909</v>
      </c>
      <c r="C1246" s="7" t="s">
        <v>37</v>
      </c>
      <c r="D1246" s="7" t="n">
        <v>52</v>
      </c>
      <c r="E1246" s="7" t="s">
        <v>56</v>
      </c>
      <c r="F1246" s="7" t="s">
        <v>39</v>
      </c>
      <c r="G1246" s="8" t="n">
        <v>46087</v>
      </c>
      <c r="H1246" s="8" t="n">
        <v>46135</v>
      </c>
      <c r="I1246" s="7" t="s">
        <v>62</v>
      </c>
      <c r="J1246" s="7" t="s">
        <v>41</v>
      </c>
      <c r="K1246" s="7" t="n">
        <v>48</v>
      </c>
      <c r="L1246" s="7" t="n">
        <v>1</v>
      </c>
      <c r="M1246" s="7" t="n">
        <v>0</v>
      </c>
      <c r="N1246" s="7" t="s">
        <v>42</v>
      </c>
      <c r="O1246" s="7" t="s">
        <v>43</v>
      </c>
      <c r="P1246" s="7" t="n">
        <v>0.7</v>
      </c>
      <c r="Q1246" s="7" t="n">
        <v>39</v>
      </c>
      <c r="R1246" s="7" t="s">
        <v>44</v>
      </c>
      <c r="S1246" s="7"/>
      <c r="T1246" s="7"/>
      <c r="U1246" s="7" t="str">
        <f aca="false">IF(COUNTIF($A$2:$A$5001,A1246)&gt;1,"Duplicate","Unique")</f>
        <v>Unique</v>
      </c>
      <c r="V1246" s="7" t="str">
        <f aca="false">IF(COUNTIFS($B$2:$B$5001,B1246,$H$2:$H$5001,H1246,$J$2:$J$5001,J1246)&gt;1,"Possible Duplicate Booking","Unique")</f>
        <v>Unique</v>
      </c>
      <c r="W1246" s="7" t="str">
        <f aca="false">IF((H1246-G1246)&lt;&gt;K1246,"Mismatch","OK")</f>
        <v>OK</v>
      </c>
      <c r="X1246" s="7" t="str">
        <f aca="false">IF(TEXT(H1246,"dddd")&lt;&gt;I1246,"Mismatch","OK")</f>
        <v>OK</v>
      </c>
      <c r="Y1246" s="7" t="str">
        <f aca="false">IF(AND(N1246="No",O1246&lt;&gt;""),"Unexpected: channel present but no reminder sent",IF(AND(N1246="Yes",O1246=""),"Missing channel for sent reminder","OK"))</f>
        <v>OK</v>
      </c>
    </row>
    <row r="1247" customFormat="false" ht="15" hidden="false" customHeight="false" outlineLevel="0" collapsed="false">
      <c r="A1247" s="9" t="s">
        <v>2218</v>
      </c>
      <c r="B1247" s="9" t="s">
        <v>1575</v>
      </c>
      <c r="C1247" s="9" t="s">
        <v>47</v>
      </c>
      <c r="D1247" s="9" t="n">
        <v>58</v>
      </c>
      <c r="E1247" s="9" t="s">
        <v>61</v>
      </c>
      <c r="F1247" s="9" t="s">
        <v>57</v>
      </c>
      <c r="G1247" s="10" t="n">
        <v>46176</v>
      </c>
      <c r="H1247" s="10" t="n">
        <v>46196</v>
      </c>
      <c r="I1247" s="9" t="s">
        <v>40</v>
      </c>
      <c r="J1247" s="9" t="s">
        <v>63</v>
      </c>
      <c r="K1247" s="9" t="n">
        <v>20</v>
      </c>
      <c r="L1247" s="9" t="n">
        <v>2</v>
      </c>
      <c r="M1247" s="9" t="n">
        <v>0</v>
      </c>
      <c r="N1247" s="9" t="s">
        <v>71</v>
      </c>
      <c r="O1247" s="9"/>
      <c r="P1247" s="9" t="n">
        <v>9.2</v>
      </c>
      <c r="Q1247" s="9" t="n">
        <v>28</v>
      </c>
      <c r="R1247" s="9" t="s">
        <v>53</v>
      </c>
      <c r="S1247" s="9"/>
      <c r="T1247" s="9"/>
      <c r="U1247" s="9" t="str">
        <f aca="false">IF(COUNTIF($A$2:$A$5001,A1247)&gt;1,"Duplicate","Unique")</f>
        <v>Unique</v>
      </c>
      <c r="V1247" s="9" t="str">
        <f aca="false">IF(COUNTIFS($B$2:$B$5001,B1247,$H$2:$H$5001,H1247,$J$2:$J$5001,J1247)&gt;1,"Possible Duplicate Booking","Unique")</f>
        <v>Unique</v>
      </c>
      <c r="W1247" s="9" t="str">
        <f aca="false">IF((H1247-G1247)&lt;&gt;K1247,"Mismatch","OK")</f>
        <v>OK</v>
      </c>
      <c r="X1247" s="9" t="str">
        <f aca="false">IF(TEXT(H1247,"dddd")&lt;&gt;I1247,"Mismatch","OK")</f>
        <v>OK</v>
      </c>
      <c r="Y1247" s="9" t="str">
        <f aca="false">IF(AND(N1247="No",O1247&lt;&gt;""),"Unexpected: channel present but no reminder sent",IF(AND(N1247="Yes",O1247=""),"Missing channel for sent reminder","OK"))</f>
        <v>OK</v>
      </c>
    </row>
    <row r="1248" customFormat="false" ht="15" hidden="false" customHeight="false" outlineLevel="0" collapsed="false">
      <c r="A1248" s="7" t="s">
        <v>2219</v>
      </c>
      <c r="B1248" s="7" t="s">
        <v>2220</v>
      </c>
      <c r="C1248" s="7" t="s">
        <v>37</v>
      </c>
      <c r="D1248" s="7" t="n">
        <v>28</v>
      </c>
      <c r="E1248" s="7" t="s">
        <v>48</v>
      </c>
      <c r="F1248" s="7" t="s">
        <v>39</v>
      </c>
      <c r="G1248" s="8" t="n">
        <v>46079</v>
      </c>
      <c r="H1248" s="8" t="n">
        <v>46127</v>
      </c>
      <c r="I1248" s="7" t="s">
        <v>58</v>
      </c>
      <c r="J1248" s="7" t="s">
        <v>41</v>
      </c>
      <c r="K1248" s="7" t="n">
        <v>48</v>
      </c>
      <c r="L1248" s="7" t="n">
        <v>2</v>
      </c>
      <c r="M1248" s="7" t="n">
        <v>0</v>
      </c>
      <c r="N1248" s="7" t="s">
        <v>42</v>
      </c>
      <c r="O1248" s="7" t="s">
        <v>52</v>
      </c>
      <c r="P1248" s="7" t="n">
        <v>14.4</v>
      </c>
      <c r="Q1248" s="7" t="n">
        <v>18</v>
      </c>
      <c r="R1248" s="7" t="s">
        <v>44</v>
      </c>
      <c r="S1248" s="7"/>
      <c r="T1248" s="7"/>
      <c r="U1248" s="7" t="str">
        <f aca="false">IF(COUNTIF($A$2:$A$5001,A1248)&gt;1,"Duplicate","Unique")</f>
        <v>Unique</v>
      </c>
      <c r="V1248" s="7" t="str">
        <f aca="false">IF(COUNTIFS($B$2:$B$5001,B1248,$H$2:$H$5001,H1248,$J$2:$J$5001,J1248)&gt;1,"Possible Duplicate Booking","Unique")</f>
        <v>Unique</v>
      </c>
      <c r="W1248" s="7" t="str">
        <f aca="false">IF((H1248-G1248)&lt;&gt;K1248,"Mismatch","OK")</f>
        <v>OK</v>
      </c>
      <c r="X1248" s="7" t="str">
        <f aca="false">IF(TEXT(H1248,"dddd")&lt;&gt;I1248,"Mismatch","OK")</f>
        <v>OK</v>
      </c>
      <c r="Y1248" s="7" t="str">
        <f aca="false">IF(AND(N1248="No",O1248&lt;&gt;""),"Unexpected: channel present but no reminder sent",IF(AND(N1248="Yes",O1248=""),"Missing channel for sent reminder","OK"))</f>
        <v>OK</v>
      </c>
    </row>
    <row r="1249" customFormat="false" ht="15" hidden="false" customHeight="false" outlineLevel="0" collapsed="false">
      <c r="A1249" s="9" t="s">
        <v>2221</v>
      </c>
      <c r="B1249" s="9" t="s">
        <v>419</v>
      </c>
      <c r="C1249" s="9" t="s">
        <v>37</v>
      </c>
      <c r="D1249" s="9" t="n">
        <v>56</v>
      </c>
      <c r="E1249" s="9" t="s">
        <v>61</v>
      </c>
      <c r="F1249" s="9" t="s">
        <v>49</v>
      </c>
      <c r="G1249" s="10" t="n">
        <v>45884</v>
      </c>
      <c r="H1249" s="10" t="n">
        <v>45911</v>
      </c>
      <c r="I1249" s="9" t="s">
        <v>62</v>
      </c>
      <c r="J1249" s="9" t="s">
        <v>51</v>
      </c>
      <c r="K1249" s="9" t="n">
        <v>27</v>
      </c>
      <c r="L1249" s="9" t="n">
        <v>2</v>
      </c>
      <c r="M1249" s="9" t="n">
        <v>0</v>
      </c>
      <c r="N1249" s="9" t="s">
        <v>42</v>
      </c>
      <c r="O1249" s="9" t="s">
        <v>52</v>
      </c>
      <c r="P1249" s="9" t="n">
        <v>16.8</v>
      </c>
      <c r="Q1249" s="9" t="n">
        <v>30</v>
      </c>
      <c r="R1249" s="9" t="s">
        <v>53</v>
      </c>
      <c r="S1249" s="9"/>
      <c r="T1249" s="9"/>
      <c r="U1249" s="9" t="str">
        <f aca="false">IF(COUNTIF($A$2:$A$5001,A1249)&gt;1,"Duplicate","Unique")</f>
        <v>Unique</v>
      </c>
      <c r="V1249" s="9" t="str">
        <f aca="false">IF(COUNTIFS($B$2:$B$5001,B1249,$H$2:$H$5001,H1249,$J$2:$J$5001,J1249)&gt;1,"Possible Duplicate Booking","Unique")</f>
        <v>Unique</v>
      </c>
      <c r="W1249" s="9" t="str">
        <f aca="false">IF((H1249-G1249)&lt;&gt;K1249,"Mismatch","OK")</f>
        <v>OK</v>
      </c>
      <c r="X1249" s="9" t="str">
        <f aca="false">IF(TEXT(H1249,"dddd")&lt;&gt;I1249,"Mismatch","OK")</f>
        <v>OK</v>
      </c>
      <c r="Y1249" s="9" t="str">
        <f aca="false">IF(AND(N1249="No",O1249&lt;&gt;""),"Unexpected: channel present but no reminder sent",IF(AND(N1249="Yes",O1249=""),"Missing channel for sent reminder","OK"))</f>
        <v>OK</v>
      </c>
    </row>
    <row r="1250" customFormat="false" ht="15" hidden="false" customHeight="false" outlineLevel="0" collapsed="false">
      <c r="A1250" s="7" t="s">
        <v>2222</v>
      </c>
      <c r="B1250" s="7" t="s">
        <v>1223</v>
      </c>
      <c r="C1250" s="7" t="s">
        <v>37</v>
      </c>
      <c r="D1250" s="7" t="n">
        <v>76</v>
      </c>
      <c r="E1250" s="7" t="s">
        <v>70</v>
      </c>
      <c r="F1250" s="7" t="s">
        <v>49</v>
      </c>
      <c r="G1250" s="8" t="n">
        <v>45832</v>
      </c>
      <c r="H1250" s="8" t="n">
        <v>45835</v>
      </c>
      <c r="I1250" s="7" t="s">
        <v>50</v>
      </c>
      <c r="J1250" s="7" t="s">
        <v>51</v>
      </c>
      <c r="K1250" s="7" t="n">
        <v>3</v>
      </c>
      <c r="L1250" s="7" t="n">
        <v>1</v>
      </c>
      <c r="M1250" s="7" t="n">
        <v>0</v>
      </c>
      <c r="N1250" s="7" t="s">
        <v>71</v>
      </c>
      <c r="O1250" s="7"/>
      <c r="P1250" s="7" t="n">
        <v>10.8</v>
      </c>
      <c r="Q1250" s="7" t="n">
        <v>25</v>
      </c>
      <c r="R1250" s="7" t="s">
        <v>44</v>
      </c>
      <c r="S1250" s="7"/>
      <c r="T1250" s="7"/>
      <c r="U1250" s="7" t="str">
        <f aca="false">IF(COUNTIF($A$2:$A$5001,A1250)&gt;1,"Duplicate","Unique")</f>
        <v>Unique</v>
      </c>
      <c r="V1250" s="7" t="str">
        <f aca="false">IF(COUNTIFS($B$2:$B$5001,B1250,$H$2:$H$5001,H1250,$J$2:$J$5001,J1250)&gt;1,"Possible Duplicate Booking","Unique")</f>
        <v>Unique</v>
      </c>
      <c r="W1250" s="7" t="str">
        <f aca="false">IF((H1250-G1250)&lt;&gt;K1250,"Mismatch","OK")</f>
        <v>OK</v>
      </c>
      <c r="X1250" s="7" t="str">
        <f aca="false">IF(TEXT(H1250,"dddd")&lt;&gt;I1250,"Mismatch","OK")</f>
        <v>OK</v>
      </c>
      <c r="Y1250" s="7" t="str">
        <f aca="false">IF(AND(N1250="No",O1250&lt;&gt;""),"Unexpected: channel present but no reminder sent",IF(AND(N1250="Yes",O1250=""),"Missing channel for sent reminder","OK"))</f>
        <v>OK</v>
      </c>
    </row>
    <row r="1251" customFormat="false" ht="15" hidden="false" customHeight="false" outlineLevel="0" collapsed="false">
      <c r="A1251" s="9" t="s">
        <v>2223</v>
      </c>
      <c r="B1251" s="9" t="s">
        <v>2224</v>
      </c>
      <c r="C1251" s="9" t="s">
        <v>37</v>
      </c>
      <c r="D1251" s="9" t="n">
        <v>18</v>
      </c>
      <c r="E1251" s="9" t="s">
        <v>82</v>
      </c>
      <c r="F1251" s="9" t="s">
        <v>39</v>
      </c>
      <c r="G1251" s="10" t="n">
        <v>46180</v>
      </c>
      <c r="H1251" s="10" t="n">
        <v>46191</v>
      </c>
      <c r="I1251" s="9" t="s">
        <v>62</v>
      </c>
      <c r="J1251" s="9" t="s">
        <v>41</v>
      </c>
      <c r="K1251" s="9" t="n">
        <v>11</v>
      </c>
      <c r="L1251" s="9" t="n">
        <v>2</v>
      </c>
      <c r="M1251" s="9" t="n">
        <v>0</v>
      </c>
      <c r="N1251" s="9" t="s">
        <v>42</v>
      </c>
      <c r="O1251" s="9" t="s">
        <v>52</v>
      </c>
      <c r="P1251" s="9" t="n">
        <v>13.8</v>
      </c>
      <c r="Q1251" s="9" t="n">
        <v>30</v>
      </c>
      <c r="R1251" s="9" t="s">
        <v>44</v>
      </c>
      <c r="S1251" s="9"/>
      <c r="T1251" s="9"/>
      <c r="U1251" s="9" t="str">
        <f aca="false">IF(COUNTIF($A$2:$A$5001,A1251)&gt;1,"Duplicate","Unique")</f>
        <v>Unique</v>
      </c>
      <c r="V1251" s="9" t="str">
        <f aca="false">IF(COUNTIFS($B$2:$B$5001,B1251,$H$2:$H$5001,H1251,$J$2:$J$5001,J1251)&gt;1,"Possible Duplicate Booking","Unique")</f>
        <v>Unique</v>
      </c>
      <c r="W1251" s="9" t="str">
        <f aca="false">IF((H1251-G1251)&lt;&gt;K1251,"Mismatch","OK")</f>
        <v>OK</v>
      </c>
      <c r="X1251" s="9" t="str">
        <f aca="false">IF(TEXT(H1251,"dddd")&lt;&gt;I1251,"Mismatch","OK")</f>
        <v>OK</v>
      </c>
      <c r="Y1251" s="9" t="str">
        <f aca="false">IF(AND(N1251="No",O1251&lt;&gt;""),"Unexpected: channel present but no reminder sent",IF(AND(N1251="Yes",O1251=""),"Missing channel for sent reminder","OK"))</f>
        <v>OK</v>
      </c>
    </row>
    <row r="1252" customFormat="false" ht="15" hidden="false" customHeight="false" outlineLevel="0" collapsed="false">
      <c r="A1252" s="7" t="s">
        <v>2225</v>
      </c>
      <c r="B1252" s="7" t="s">
        <v>2226</v>
      </c>
      <c r="C1252" s="7" t="s">
        <v>37</v>
      </c>
      <c r="D1252" s="7" t="n">
        <v>73</v>
      </c>
      <c r="E1252" s="7" t="s">
        <v>70</v>
      </c>
      <c r="F1252" s="7" t="s">
        <v>49</v>
      </c>
      <c r="G1252" s="8" t="n">
        <v>45749</v>
      </c>
      <c r="H1252" s="8" t="n">
        <v>45790</v>
      </c>
      <c r="I1252" s="7" t="s">
        <v>40</v>
      </c>
      <c r="J1252" s="7" t="s">
        <v>41</v>
      </c>
      <c r="K1252" s="7" t="n">
        <v>41</v>
      </c>
      <c r="L1252" s="7" t="n">
        <v>1</v>
      </c>
      <c r="M1252" s="7" t="n">
        <v>0</v>
      </c>
      <c r="N1252" s="7" t="s">
        <v>71</v>
      </c>
      <c r="O1252" s="7"/>
      <c r="P1252" s="7" t="n">
        <v>4.8</v>
      </c>
      <c r="Q1252" s="7" t="n">
        <v>18</v>
      </c>
      <c r="R1252" s="7" t="s">
        <v>87</v>
      </c>
      <c r="S1252" s="7"/>
      <c r="T1252" s="7"/>
      <c r="U1252" s="7" t="str">
        <f aca="false">IF(COUNTIF($A$2:$A$5001,A1252)&gt;1,"Duplicate","Unique")</f>
        <v>Unique</v>
      </c>
      <c r="V1252" s="7" t="str">
        <f aca="false">IF(COUNTIFS($B$2:$B$5001,B1252,$H$2:$H$5001,H1252,$J$2:$J$5001,J1252)&gt;1,"Possible Duplicate Booking","Unique")</f>
        <v>Unique</v>
      </c>
      <c r="W1252" s="7" t="str">
        <f aca="false">IF((H1252-G1252)&lt;&gt;K1252,"Mismatch","OK")</f>
        <v>OK</v>
      </c>
      <c r="X1252" s="7" t="str">
        <f aca="false">IF(TEXT(H1252,"dddd")&lt;&gt;I1252,"Mismatch","OK")</f>
        <v>OK</v>
      </c>
      <c r="Y1252" s="7" t="str">
        <f aca="false">IF(AND(N1252="No",O1252&lt;&gt;""),"Unexpected: channel present but no reminder sent",IF(AND(N1252="Yes",O1252=""),"Missing channel for sent reminder","OK"))</f>
        <v>OK</v>
      </c>
    </row>
    <row r="1253" customFormat="false" ht="15" hidden="false" customHeight="false" outlineLevel="0" collapsed="false">
      <c r="A1253" s="9" t="s">
        <v>2227</v>
      </c>
      <c r="B1253" s="9" t="s">
        <v>2228</v>
      </c>
      <c r="C1253" s="9" t="s">
        <v>47</v>
      </c>
      <c r="D1253" s="9" t="n">
        <v>56</v>
      </c>
      <c r="E1253" s="9" t="s">
        <v>61</v>
      </c>
      <c r="F1253" s="9" t="s">
        <v>57</v>
      </c>
      <c r="G1253" s="10" t="n">
        <v>45871</v>
      </c>
      <c r="H1253" s="10" t="n">
        <v>45882</v>
      </c>
      <c r="I1253" s="9" t="s">
        <v>58</v>
      </c>
      <c r="J1253" s="9" t="s">
        <v>41</v>
      </c>
      <c r="K1253" s="9" t="n">
        <v>11</v>
      </c>
      <c r="L1253" s="9" t="n">
        <v>5</v>
      </c>
      <c r="M1253" s="9" t="n">
        <v>1</v>
      </c>
      <c r="N1253" s="9" t="s">
        <v>42</v>
      </c>
      <c r="O1253" s="9" t="s">
        <v>43</v>
      </c>
      <c r="P1253" s="9" t="n">
        <v>17.7</v>
      </c>
      <c r="Q1253" s="9" t="n">
        <v>27</v>
      </c>
      <c r="R1253" s="9" t="s">
        <v>53</v>
      </c>
      <c r="S1253" s="9"/>
      <c r="T1253" s="9"/>
      <c r="U1253" s="9" t="str">
        <f aca="false">IF(COUNTIF($A$2:$A$5001,A1253)&gt;1,"Duplicate","Unique")</f>
        <v>Unique</v>
      </c>
      <c r="V1253" s="9" t="str">
        <f aca="false">IF(COUNTIFS($B$2:$B$5001,B1253,$H$2:$H$5001,H1253,$J$2:$J$5001,J1253)&gt;1,"Possible Duplicate Booking","Unique")</f>
        <v>Unique</v>
      </c>
      <c r="W1253" s="9" t="str">
        <f aca="false">IF((H1253-G1253)&lt;&gt;K1253,"Mismatch","OK")</f>
        <v>OK</v>
      </c>
      <c r="X1253" s="9" t="str">
        <f aca="false">IF(TEXT(H1253,"dddd")&lt;&gt;I1253,"Mismatch","OK")</f>
        <v>OK</v>
      </c>
      <c r="Y1253" s="9" t="str">
        <f aca="false">IF(AND(N1253="No",O1253&lt;&gt;""),"Unexpected: channel present but no reminder sent",IF(AND(N1253="Yes",O1253=""),"Missing channel for sent reminder","OK"))</f>
        <v>OK</v>
      </c>
    </row>
    <row r="1254" customFormat="false" ht="15" hidden="false" customHeight="false" outlineLevel="0" collapsed="false">
      <c r="A1254" s="7" t="s">
        <v>2229</v>
      </c>
      <c r="B1254" s="7" t="s">
        <v>130</v>
      </c>
      <c r="C1254" s="7" t="s">
        <v>47</v>
      </c>
      <c r="D1254" s="7" t="n">
        <v>39</v>
      </c>
      <c r="E1254" s="7" t="s">
        <v>38</v>
      </c>
      <c r="F1254" s="7" t="s">
        <v>49</v>
      </c>
      <c r="G1254" s="8" t="n">
        <v>45682</v>
      </c>
      <c r="H1254" s="8" t="n">
        <v>45698</v>
      </c>
      <c r="I1254" s="7" t="s">
        <v>66</v>
      </c>
      <c r="J1254" s="7" t="s">
        <v>63</v>
      </c>
      <c r="K1254" s="7" t="n">
        <v>16</v>
      </c>
      <c r="L1254" s="7" t="n">
        <v>2</v>
      </c>
      <c r="M1254" s="7" t="n">
        <v>0</v>
      </c>
      <c r="N1254" s="7" t="s">
        <v>71</v>
      </c>
      <c r="O1254" s="7"/>
      <c r="P1254" s="7" t="n">
        <v>15.2</v>
      </c>
      <c r="Q1254" s="7" t="n">
        <v>22</v>
      </c>
      <c r="R1254" s="7" t="s">
        <v>44</v>
      </c>
      <c r="S1254" s="7"/>
      <c r="T1254" s="7"/>
      <c r="U1254" s="7" t="str">
        <f aca="false">IF(COUNTIF($A$2:$A$5001,A1254)&gt;1,"Duplicate","Unique")</f>
        <v>Unique</v>
      </c>
      <c r="V1254" s="7" t="str">
        <f aca="false">IF(COUNTIFS($B$2:$B$5001,B1254,$H$2:$H$5001,H1254,$J$2:$J$5001,J1254)&gt;1,"Possible Duplicate Booking","Unique")</f>
        <v>Unique</v>
      </c>
      <c r="W1254" s="7" t="str">
        <f aca="false">IF((H1254-G1254)&lt;&gt;K1254,"Mismatch","OK")</f>
        <v>OK</v>
      </c>
      <c r="X1254" s="7" t="str">
        <f aca="false">IF(TEXT(H1254,"dddd")&lt;&gt;I1254,"Mismatch","OK")</f>
        <v>OK</v>
      </c>
      <c r="Y1254" s="7" t="str">
        <f aca="false">IF(AND(N1254="No",O1254&lt;&gt;""),"Unexpected: channel present but no reminder sent",IF(AND(N1254="Yes",O1254=""),"Missing channel for sent reminder","OK"))</f>
        <v>OK</v>
      </c>
    </row>
    <row r="1255" customFormat="false" ht="15" hidden="false" customHeight="false" outlineLevel="0" collapsed="false">
      <c r="A1255" s="9" t="s">
        <v>2230</v>
      </c>
      <c r="B1255" s="9" t="s">
        <v>1246</v>
      </c>
      <c r="C1255" s="9" t="s">
        <v>37</v>
      </c>
      <c r="D1255" s="9" t="n">
        <v>64</v>
      </c>
      <c r="E1255" s="9" t="s">
        <v>61</v>
      </c>
      <c r="F1255" s="9" t="s">
        <v>49</v>
      </c>
      <c r="G1255" s="10" t="n">
        <v>46058</v>
      </c>
      <c r="H1255" s="10" t="n">
        <v>46091</v>
      </c>
      <c r="I1255" s="9" t="s">
        <v>40</v>
      </c>
      <c r="J1255" s="9" t="s">
        <v>51</v>
      </c>
      <c r="K1255" s="9" t="n">
        <v>33</v>
      </c>
      <c r="L1255" s="9" t="n">
        <v>2</v>
      </c>
      <c r="M1255" s="9" t="n">
        <v>0</v>
      </c>
      <c r="N1255" s="9" t="s">
        <v>71</v>
      </c>
      <c r="O1255" s="9"/>
      <c r="P1255" s="9" t="n">
        <v>12.6</v>
      </c>
      <c r="Q1255" s="9" t="n">
        <v>19</v>
      </c>
      <c r="R1255" s="9" t="s">
        <v>53</v>
      </c>
      <c r="S1255" s="9"/>
      <c r="T1255" s="9"/>
      <c r="U1255" s="9" t="str">
        <f aca="false">IF(COUNTIF($A$2:$A$5001,A1255)&gt;1,"Duplicate","Unique")</f>
        <v>Unique</v>
      </c>
      <c r="V1255" s="9" t="str">
        <f aca="false">IF(COUNTIFS($B$2:$B$5001,B1255,$H$2:$H$5001,H1255,$J$2:$J$5001,J1255)&gt;1,"Possible Duplicate Booking","Unique")</f>
        <v>Unique</v>
      </c>
      <c r="W1255" s="9" t="str">
        <f aca="false">IF((H1255-G1255)&lt;&gt;K1255,"Mismatch","OK")</f>
        <v>OK</v>
      </c>
      <c r="X1255" s="9" t="str">
        <f aca="false">IF(TEXT(H1255,"dddd")&lt;&gt;I1255,"Mismatch","OK")</f>
        <v>OK</v>
      </c>
      <c r="Y1255" s="9" t="str">
        <f aca="false">IF(AND(N1255="No",O1255&lt;&gt;""),"Unexpected: channel present but no reminder sent",IF(AND(N1255="Yes",O1255=""),"Missing channel for sent reminder","OK"))</f>
        <v>OK</v>
      </c>
    </row>
    <row r="1256" customFormat="false" ht="15" hidden="false" customHeight="false" outlineLevel="0" collapsed="false">
      <c r="A1256" s="7" t="s">
        <v>2231</v>
      </c>
      <c r="B1256" s="7" t="s">
        <v>2232</v>
      </c>
      <c r="C1256" s="7" t="s">
        <v>37</v>
      </c>
      <c r="D1256" s="7" t="n">
        <v>56</v>
      </c>
      <c r="E1256" s="7" t="s">
        <v>61</v>
      </c>
      <c r="F1256" s="7" t="s">
        <v>57</v>
      </c>
      <c r="G1256" s="8" t="n">
        <v>45997</v>
      </c>
      <c r="H1256" s="8" t="n">
        <v>46012</v>
      </c>
      <c r="I1256" s="7" t="s">
        <v>75</v>
      </c>
      <c r="J1256" s="7" t="s">
        <v>51</v>
      </c>
      <c r="K1256" s="7" t="n">
        <v>15</v>
      </c>
      <c r="L1256" s="7" t="n">
        <v>4</v>
      </c>
      <c r="M1256" s="7" t="n">
        <v>1</v>
      </c>
      <c r="N1256" s="7" t="s">
        <v>71</v>
      </c>
      <c r="O1256" s="7"/>
      <c r="P1256" s="7" t="n">
        <v>5.2</v>
      </c>
      <c r="Q1256" s="7" t="n">
        <v>38</v>
      </c>
      <c r="R1256" s="7" t="s">
        <v>44</v>
      </c>
      <c r="S1256" s="7"/>
      <c r="T1256" s="7"/>
      <c r="U1256" s="7" t="str">
        <f aca="false">IF(COUNTIF($A$2:$A$5001,A1256)&gt;1,"Duplicate","Unique")</f>
        <v>Unique</v>
      </c>
      <c r="V1256" s="7" t="str">
        <f aca="false">IF(COUNTIFS($B$2:$B$5001,B1256,$H$2:$H$5001,H1256,$J$2:$J$5001,J1256)&gt;1,"Possible Duplicate Booking","Unique")</f>
        <v>Unique</v>
      </c>
      <c r="W1256" s="7" t="str">
        <f aca="false">IF((H1256-G1256)&lt;&gt;K1256,"Mismatch","OK")</f>
        <v>OK</v>
      </c>
      <c r="X1256" s="7" t="str">
        <f aca="false">IF(TEXT(H1256,"dddd")&lt;&gt;I1256,"Mismatch","OK")</f>
        <v>OK</v>
      </c>
      <c r="Y1256" s="7" t="str">
        <f aca="false">IF(AND(N1256="No",O1256&lt;&gt;""),"Unexpected: channel present but no reminder sent",IF(AND(N1256="Yes",O1256=""),"Missing channel for sent reminder","OK"))</f>
        <v>OK</v>
      </c>
    </row>
    <row r="1257" customFormat="false" ht="15" hidden="false" customHeight="false" outlineLevel="0" collapsed="false">
      <c r="A1257" s="9" t="s">
        <v>2233</v>
      </c>
      <c r="B1257" s="9" t="s">
        <v>433</v>
      </c>
      <c r="C1257" s="9" t="s">
        <v>47</v>
      </c>
      <c r="D1257" s="9" t="n">
        <v>66</v>
      </c>
      <c r="E1257" s="9" t="s">
        <v>70</v>
      </c>
      <c r="F1257" s="9" t="s">
        <v>57</v>
      </c>
      <c r="G1257" s="10" t="n">
        <v>45697</v>
      </c>
      <c r="H1257" s="10" t="n">
        <v>45704</v>
      </c>
      <c r="I1257" s="9" t="s">
        <v>75</v>
      </c>
      <c r="J1257" s="9" t="s">
        <v>41</v>
      </c>
      <c r="K1257" s="9" t="n">
        <v>7</v>
      </c>
      <c r="L1257" s="9" t="n">
        <v>7</v>
      </c>
      <c r="M1257" s="9" t="n">
        <v>0</v>
      </c>
      <c r="N1257" s="9" t="s">
        <v>42</v>
      </c>
      <c r="O1257" s="9" t="s">
        <v>43</v>
      </c>
      <c r="P1257" s="9" t="n">
        <v>8.7</v>
      </c>
      <c r="Q1257" s="9" t="n">
        <v>18</v>
      </c>
      <c r="R1257" s="9" t="s">
        <v>53</v>
      </c>
      <c r="S1257" s="9"/>
      <c r="T1257" s="9"/>
      <c r="U1257" s="9" t="str">
        <f aca="false">IF(COUNTIF($A$2:$A$5001,A1257)&gt;1,"Duplicate","Unique")</f>
        <v>Unique</v>
      </c>
      <c r="V1257" s="9" t="str">
        <f aca="false">IF(COUNTIFS($B$2:$B$5001,B1257,$H$2:$H$5001,H1257,$J$2:$J$5001,J1257)&gt;1,"Possible Duplicate Booking","Unique")</f>
        <v>Unique</v>
      </c>
      <c r="W1257" s="9" t="str">
        <f aca="false">IF((H1257-G1257)&lt;&gt;K1257,"Mismatch","OK")</f>
        <v>OK</v>
      </c>
      <c r="X1257" s="9" t="str">
        <f aca="false">IF(TEXT(H1257,"dddd")&lt;&gt;I1257,"Mismatch","OK")</f>
        <v>OK</v>
      </c>
      <c r="Y1257" s="9" t="str">
        <f aca="false">IF(AND(N1257="No",O1257&lt;&gt;""),"Unexpected: channel present but no reminder sent",IF(AND(N1257="Yes",O1257=""),"Missing channel for sent reminder","OK"))</f>
        <v>OK</v>
      </c>
    </row>
    <row r="1258" customFormat="false" ht="15" hidden="false" customHeight="false" outlineLevel="0" collapsed="false">
      <c r="A1258" s="7" t="s">
        <v>2234</v>
      </c>
      <c r="B1258" s="7" t="s">
        <v>1680</v>
      </c>
      <c r="C1258" s="7" t="s">
        <v>37</v>
      </c>
      <c r="D1258" s="7" t="n">
        <v>23</v>
      </c>
      <c r="E1258" s="7" t="s">
        <v>82</v>
      </c>
      <c r="F1258" s="7" t="s">
        <v>57</v>
      </c>
      <c r="G1258" s="8" t="n">
        <v>45741</v>
      </c>
      <c r="H1258" s="8" t="n">
        <v>45779</v>
      </c>
      <c r="I1258" s="7" t="s">
        <v>50</v>
      </c>
      <c r="J1258" s="7" t="s">
        <v>63</v>
      </c>
      <c r="K1258" s="7" t="n">
        <v>38</v>
      </c>
      <c r="L1258" s="7" t="n">
        <v>5</v>
      </c>
      <c r="M1258" s="7" t="n">
        <v>0</v>
      </c>
      <c r="N1258" s="7" t="s">
        <v>71</v>
      </c>
      <c r="O1258" s="7"/>
      <c r="P1258" s="7" t="n">
        <v>6.7</v>
      </c>
      <c r="Q1258" s="7" t="n">
        <v>16</v>
      </c>
      <c r="R1258" s="7" t="s">
        <v>53</v>
      </c>
      <c r="S1258" s="7"/>
      <c r="T1258" s="7"/>
      <c r="U1258" s="7" t="str">
        <f aca="false">IF(COUNTIF($A$2:$A$5001,A1258)&gt;1,"Duplicate","Unique")</f>
        <v>Unique</v>
      </c>
      <c r="V1258" s="7" t="str">
        <f aca="false">IF(COUNTIFS($B$2:$B$5001,B1258,$H$2:$H$5001,H1258,$J$2:$J$5001,J1258)&gt;1,"Possible Duplicate Booking","Unique")</f>
        <v>Unique</v>
      </c>
      <c r="W1258" s="7" t="str">
        <f aca="false">IF((H1258-G1258)&lt;&gt;K1258,"Mismatch","OK")</f>
        <v>OK</v>
      </c>
      <c r="X1258" s="7" t="str">
        <f aca="false">IF(TEXT(H1258,"dddd")&lt;&gt;I1258,"Mismatch","OK")</f>
        <v>OK</v>
      </c>
      <c r="Y1258" s="7" t="str">
        <f aca="false">IF(AND(N1258="No",O1258&lt;&gt;""),"Unexpected: channel present but no reminder sent",IF(AND(N1258="Yes",O1258=""),"Missing channel for sent reminder","OK"))</f>
        <v>OK</v>
      </c>
    </row>
    <row r="1259" customFormat="false" ht="15" hidden="false" customHeight="false" outlineLevel="0" collapsed="false">
      <c r="A1259" s="9" t="s">
        <v>2235</v>
      </c>
      <c r="B1259" s="9" t="s">
        <v>1415</v>
      </c>
      <c r="C1259" s="9" t="s">
        <v>37</v>
      </c>
      <c r="D1259" s="9" t="n">
        <v>21</v>
      </c>
      <c r="E1259" s="9" t="s">
        <v>82</v>
      </c>
      <c r="F1259" s="9" t="s">
        <v>57</v>
      </c>
      <c r="G1259" s="10" t="n">
        <v>45919</v>
      </c>
      <c r="H1259" s="10" t="n">
        <v>45961</v>
      </c>
      <c r="I1259" s="9" t="s">
        <v>50</v>
      </c>
      <c r="J1259" s="9" t="s">
        <v>51</v>
      </c>
      <c r="K1259" s="9" t="n">
        <v>42</v>
      </c>
      <c r="L1259" s="9" t="n">
        <v>5</v>
      </c>
      <c r="M1259" s="9" t="n">
        <v>1</v>
      </c>
      <c r="N1259" s="9" t="s">
        <v>42</v>
      </c>
      <c r="O1259" s="9" t="s">
        <v>43</v>
      </c>
      <c r="P1259" s="9" t="n">
        <v>7.1</v>
      </c>
      <c r="Q1259" s="9" t="n">
        <v>11</v>
      </c>
      <c r="R1259" s="9" t="s">
        <v>53</v>
      </c>
      <c r="S1259" s="9"/>
      <c r="T1259" s="9"/>
      <c r="U1259" s="9" t="str">
        <f aca="false">IF(COUNTIF($A$2:$A$5001,A1259)&gt;1,"Duplicate","Unique")</f>
        <v>Unique</v>
      </c>
      <c r="V1259" s="9" t="str">
        <f aca="false">IF(COUNTIFS($B$2:$B$5001,B1259,$H$2:$H$5001,H1259,$J$2:$J$5001,J1259)&gt;1,"Possible Duplicate Booking","Unique")</f>
        <v>Unique</v>
      </c>
      <c r="W1259" s="9" t="str">
        <f aca="false">IF((H1259-G1259)&lt;&gt;K1259,"Mismatch","OK")</f>
        <v>OK</v>
      </c>
      <c r="X1259" s="9" t="str">
        <f aca="false">IF(TEXT(H1259,"dddd")&lt;&gt;I1259,"Mismatch","OK")</f>
        <v>OK</v>
      </c>
      <c r="Y1259" s="9" t="str">
        <f aca="false">IF(AND(N1259="No",O1259&lt;&gt;""),"Unexpected: channel present but no reminder sent",IF(AND(N1259="Yes",O1259=""),"Missing channel for sent reminder","OK"))</f>
        <v>OK</v>
      </c>
    </row>
    <row r="1260" customFormat="false" ht="15" hidden="false" customHeight="false" outlineLevel="0" collapsed="false">
      <c r="A1260" s="7" t="s">
        <v>2236</v>
      </c>
      <c r="B1260" s="7" t="s">
        <v>627</v>
      </c>
      <c r="C1260" s="7" t="s">
        <v>37</v>
      </c>
      <c r="D1260" s="7" t="n">
        <v>58</v>
      </c>
      <c r="E1260" s="7" t="s">
        <v>61</v>
      </c>
      <c r="F1260" s="7" t="s">
        <v>57</v>
      </c>
      <c r="G1260" s="8" t="n">
        <v>45909</v>
      </c>
      <c r="H1260" s="8" t="n">
        <v>45953</v>
      </c>
      <c r="I1260" s="7" t="s">
        <v>62</v>
      </c>
      <c r="J1260" s="7" t="s">
        <v>51</v>
      </c>
      <c r="K1260" s="7" t="n">
        <v>44</v>
      </c>
      <c r="L1260" s="7" t="n">
        <v>0</v>
      </c>
      <c r="M1260" s="7" t="n">
        <v>0</v>
      </c>
      <c r="N1260" s="7" t="s">
        <v>42</v>
      </c>
      <c r="O1260" s="7" t="s">
        <v>52</v>
      </c>
      <c r="P1260" s="7" t="n">
        <v>13.3</v>
      </c>
      <c r="Q1260" s="7" t="n">
        <v>23</v>
      </c>
      <c r="R1260" s="7" t="s">
        <v>44</v>
      </c>
      <c r="S1260" s="7"/>
      <c r="T1260" s="7"/>
      <c r="U1260" s="7" t="str">
        <f aca="false">IF(COUNTIF($A$2:$A$5001,A1260)&gt;1,"Duplicate","Unique")</f>
        <v>Unique</v>
      </c>
      <c r="V1260" s="7" t="str">
        <f aca="false">IF(COUNTIFS($B$2:$B$5001,B1260,$H$2:$H$5001,H1260,$J$2:$J$5001,J1260)&gt;1,"Possible Duplicate Booking","Unique")</f>
        <v>Unique</v>
      </c>
      <c r="W1260" s="7" t="str">
        <f aca="false">IF((H1260-G1260)&lt;&gt;K1260,"Mismatch","OK")</f>
        <v>OK</v>
      </c>
      <c r="X1260" s="7" t="str">
        <f aca="false">IF(TEXT(H1260,"dddd")&lt;&gt;I1260,"Mismatch","OK")</f>
        <v>OK</v>
      </c>
      <c r="Y1260" s="7" t="str">
        <f aca="false">IF(AND(N1260="No",O1260&lt;&gt;""),"Unexpected: channel present but no reminder sent",IF(AND(N1260="Yes",O1260=""),"Missing channel for sent reminder","OK"))</f>
        <v>OK</v>
      </c>
    </row>
    <row r="1261" customFormat="false" ht="15" hidden="false" customHeight="false" outlineLevel="0" collapsed="false">
      <c r="A1261" s="9" t="s">
        <v>2237</v>
      </c>
      <c r="B1261" s="9" t="s">
        <v>2238</v>
      </c>
      <c r="C1261" s="9" t="s">
        <v>37</v>
      </c>
      <c r="D1261" s="9" t="n">
        <v>37</v>
      </c>
      <c r="E1261" s="9" t="s">
        <v>38</v>
      </c>
      <c r="F1261" s="9" t="s">
        <v>57</v>
      </c>
      <c r="G1261" s="10" t="n">
        <v>46038</v>
      </c>
      <c r="H1261" s="10" t="n">
        <v>46095</v>
      </c>
      <c r="I1261" s="9" t="s">
        <v>102</v>
      </c>
      <c r="J1261" s="9" t="s">
        <v>51</v>
      </c>
      <c r="K1261" s="9" t="n">
        <v>57</v>
      </c>
      <c r="L1261" s="9" t="n">
        <v>5</v>
      </c>
      <c r="M1261" s="9" t="n">
        <v>0</v>
      </c>
      <c r="N1261" s="9" t="s">
        <v>42</v>
      </c>
      <c r="O1261" s="9" t="s">
        <v>67</v>
      </c>
      <c r="P1261" s="9" t="n">
        <v>12.6</v>
      </c>
      <c r="Q1261" s="9" t="n">
        <v>22</v>
      </c>
      <c r="R1261" s="9" t="s">
        <v>44</v>
      </c>
      <c r="S1261" s="9"/>
      <c r="T1261" s="9"/>
      <c r="U1261" s="9" t="str">
        <f aca="false">IF(COUNTIF($A$2:$A$5001,A1261)&gt;1,"Duplicate","Unique")</f>
        <v>Unique</v>
      </c>
      <c r="V1261" s="9" t="str">
        <f aca="false">IF(COUNTIFS($B$2:$B$5001,B1261,$H$2:$H$5001,H1261,$J$2:$J$5001,J1261)&gt;1,"Possible Duplicate Booking","Unique")</f>
        <v>Unique</v>
      </c>
      <c r="W1261" s="9" t="str">
        <f aca="false">IF((H1261-G1261)&lt;&gt;K1261,"Mismatch","OK")</f>
        <v>OK</v>
      </c>
      <c r="X1261" s="9" t="str">
        <f aca="false">IF(TEXT(H1261,"dddd")&lt;&gt;I1261,"Mismatch","OK")</f>
        <v>OK</v>
      </c>
      <c r="Y1261" s="9" t="str">
        <f aca="false">IF(AND(N1261="No",O1261&lt;&gt;""),"Unexpected: channel present but no reminder sent",IF(AND(N1261="Yes",O1261=""),"Missing channel for sent reminder","OK"))</f>
        <v>OK</v>
      </c>
    </row>
    <row r="1262" customFormat="false" ht="15" hidden="false" customHeight="false" outlineLevel="0" collapsed="false">
      <c r="A1262" s="7" t="s">
        <v>2239</v>
      </c>
      <c r="B1262" s="7" t="s">
        <v>1475</v>
      </c>
      <c r="C1262" s="7" t="s">
        <v>47</v>
      </c>
      <c r="D1262" s="7" t="n">
        <v>33</v>
      </c>
      <c r="E1262" s="7" t="s">
        <v>48</v>
      </c>
      <c r="F1262" s="7" t="s">
        <v>39</v>
      </c>
      <c r="G1262" s="8" t="n">
        <v>45796</v>
      </c>
      <c r="H1262" s="8" t="n">
        <v>45803</v>
      </c>
      <c r="I1262" s="7" t="s">
        <v>66</v>
      </c>
      <c r="J1262" s="7" t="s">
        <v>41</v>
      </c>
      <c r="K1262" s="7" t="n">
        <v>7</v>
      </c>
      <c r="L1262" s="7" t="n">
        <v>2</v>
      </c>
      <c r="M1262" s="7" t="n">
        <v>0</v>
      </c>
      <c r="N1262" s="7" t="s">
        <v>71</v>
      </c>
      <c r="O1262" s="7"/>
      <c r="P1262" s="7" t="n">
        <v>1.3</v>
      </c>
      <c r="Q1262" s="7" t="n">
        <v>32</v>
      </c>
      <c r="R1262" s="7" t="s">
        <v>44</v>
      </c>
      <c r="S1262" s="7"/>
      <c r="T1262" s="7"/>
      <c r="U1262" s="7" t="str">
        <f aca="false">IF(COUNTIF($A$2:$A$5001,A1262)&gt;1,"Duplicate","Unique")</f>
        <v>Unique</v>
      </c>
      <c r="V1262" s="7" t="str">
        <f aca="false">IF(COUNTIFS($B$2:$B$5001,B1262,$H$2:$H$5001,H1262,$J$2:$J$5001,J1262)&gt;1,"Possible Duplicate Booking","Unique")</f>
        <v>Unique</v>
      </c>
      <c r="W1262" s="7" t="str">
        <f aca="false">IF((H1262-G1262)&lt;&gt;K1262,"Mismatch","OK")</f>
        <v>OK</v>
      </c>
      <c r="X1262" s="7" t="str">
        <f aca="false">IF(TEXT(H1262,"dddd")&lt;&gt;I1262,"Mismatch","OK")</f>
        <v>OK</v>
      </c>
      <c r="Y1262" s="7" t="str">
        <f aca="false">IF(AND(N1262="No",O1262&lt;&gt;""),"Unexpected: channel present but no reminder sent",IF(AND(N1262="Yes",O1262=""),"Missing channel for sent reminder","OK"))</f>
        <v>OK</v>
      </c>
    </row>
    <row r="1263" customFormat="false" ht="15" hidden="false" customHeight="false" outlineLevel="0" collapsed="false">
      <c r="A1263" s="9" t="s">
        <v>2240</v>
      </c>
      <c r="B1263" s="9" t="s">
        <v>883</v>
      </c>
      <c r="C1263" s="9" t="s">
        <v>37</v>
      </c>
      <c r="D1263" s="9" t="n">
        <v>44</v>
      </c>
      <c r="E1263" s="9" t="s">
        <v>38</v>
      </c>
      <c r="F1263" s="9" t="s">
        <v>57</v>
      </c>
      <c r="G1263" s="10" t="n">
        <v>46136</v>
      </c>
      <c r="H1263" s="10" t="n">
        <v>46162</v>
      </c>
      <c r="I1263" s="9" t="s">
        <v>58</v>
      </c>
      <c r="J1263" s="9" t="s">
        <v>41</v>
      </c>
      <c r="K1263" s="9" t="n">
        <v>26</v>
      </c>
      <c r="L1263" s="9" t="n">
        <v>2</v>
      </c>
      <c r="M1263" s="9" t="n">
        <v>1</v>
      </c>
      <c r="N1263" s="9" t="s">
        <v>71</v>
      </c>
      <c r="O1263" s="9"/>
      <c r="P1263" s="9" t="n">
        <v>5.1</v>
      </c>
      <c r="Q1263" s="9" t="n">
        <v>10</v>
      </c>
      <c r="R1263" s="9" t="s">
        <v>44</v>
      </c>
      <c r="S1263" s="9"/>
      <c r="T1263" s="9"/>
      <c r="U1263" s="9" t="str">
        <f aca="false">IF(COUNTIF($A$2:$A$5001,A1263)&gt;1,"Duplicate","Unique")</f>
        <v>Unique</v>
      </c>
      <c r="V1263" s="9" t="str">
        <f aca="false">IF(COUNTIFS($B$2:$B$5001,B1263,$H$2:$H$5001,H1263,$J$2:$J$5001,J1263)&gt;1,"Possible Duplicate Booking","Unique")</f>
        <v>Unique</v>
      </c>
      <c r="W1263" s="9" t="str">
        <f aca="false">IF((H1263-G1263)&lt;&gt;K1263,"Mismatch","OK")</f>
        <v>OK</v>
      </c>
      <c r="X1263" s="9" t="str">
        <f aca="false">IF(TEXT(H1263,"dddd")&lt;&gt;I1263,"Mismatch","OK")</f>
        <v>OK</v>
      </c>
      <c r="Y1263" s="9" t="str">
        <f aca="false">IF(AND(N1263="No",O1263&lt;&gt;""),"Unexpected: channel present but no reminder sent",IF(AND(N1263="Yes",O1263=""),"Missing channel for sent reminder","OK"))</f>
        <v>OK</v>
      </c>
    </row>
    <row r="1264" customFormat="false" ht="15" hidden="false" customHeight="false" outlineLevel="0" collapsed="false">
      <c r="A1264" s="7" t="s">
        <v>2241</v>
      </c>
      <c r="B1264" s="7" t="s">
        <v>2242</v>
      </c>
      <c r="C1264" s="7" t="s">
        <v>47</v>
      </c>
      <c r="D1264" s="7" t="n">
        <v>63</v>
      </c>
      <c r="E1264" s="7" t="s">
        <v>61</v>
      </c>
      <c r="F1264" s="7" t="s">
        <v>57</v>
      </c>
      <c r="G1264" s="8" t="n">
        <v>45886</v>
      </c>
      <c r="H1264" s="8" t="n">
        <v>45900</v>
      </c>
      <c r="I1264" s="7" t="s">
        <v>75</v>
      </c>
      <c r="J1264" s="7" t="s">
        <v>51</v>
      </c>
      <c r="K1264" s="7" t="n">
        <v>14</v>
      </c>
      <c r="L1264" s="7" t="n">
        <v>2</v>
      </c>
      <c r="M1264" s="7" t="n">
        <v>0</v>
      </c>
      <c r="N1264" s="7" t="s">
        <v>42</v>
      </c>
      <c r="O1264" s="7" t="s">
        <v>52</v>
      </c>
      <c r="P1264" s="7" t="n">
        <v>11.1</v>
      </c>
      <c r="Q1264" s="7" t="n">
        <v>5</v>
      </c>
      <c r="R1264" s="7" t="s">
        <v>44</v>
      </c>
      <c r="S1264" s="7"/>
      <c r="T1264" s="7"/>
      <c r="U1264" s="7" t="str">
        <f aca="false">IF(COUNTIF($A$2:$A$5001,A1264)&gt;1,"Duplicate","Unique")</f>
        <v>Unique</v>
      </c>
      <c r="V1264" s="7" t="str">
        <f aca="false">IF(COUNTIFS($B$2:$B$5001,B1264,$H$2:$H$5001,H1264,$J$2:$J$5001,J1264)&gt;1,"Possible Duplicate Booking","Unique")</f>
        <v>Unique</v>
      </c>
      <c r="W1264" s="7" t="str">
        <f aca="false">IF((H1264-G1264)&lt;&gt;K1264,"Mismatch","OK")</f>
        <v>OK</v>
      </c>
      <c r="X1264" s="7" t="str">
        <f aca="false">IF(TEXT(H1264,"dddd")&lt;&gt;I1264,"Mismatch","OK")</f>
        <v>OK</v>
      </c>
      <c r="Y1264" s="7" t="str">
        <f aca="false">IF(AND(N1264="No",O1264&lt;&gt;""),"Unexpected: channel present but no reminder sent",IF(AND(N1264="Yes",O1264=""),"Missing channel for sent reminder","OK"))</f>
        <v>OK</v>
      </c>
    </row>
    <row r="1265" customFormat="false" ht="15" hidden="false" customHeight="false" outlineLevel="0" collapsed="false">
      <c r="A1265" s="9" t="s">
        <v>2243</v>
      </c>
      <c r="B1265" s="9" t="s">
        <v>2244</v>
      </c>
      <c r="C1265" s="9" t="s">
        <v>37</v>
      </c>
      <c r="D1265" s="9" t="n">
        <v>29</v>
      </c>
      <c r="E1265" s="9" t="s">
        <v>48</v>
      </c>
      <c r="F1265" s="9" t="s">
        <v>39</v>
      </c>
      <c r="G1265" s="10" t="n">
        <v>46053</v>
      </c>
      <c r="H1265" s="10" t="n">
        <v>46107</v>
      </c>
      <c r="I1265" s="9" t="s">
        <v>62</v>
      </c>
      <c r="J1265" s="9" t="s">
        <v>51</v>
      </c>
      <c r="K1265" s="9" t="n">
        <v>54</v>
      </c>
      <c r="L1265" s="9" t="n">
        <v>1</v>
      </c>
      <c r="M1265" s="9" t="n">
        <v>0</v>
      </c>
      <c r="N1265" s="9" t="s">
        <v>71</v>
      </c>
      <c r="O1265" s="9"/>
      <c r="P1265" s="9" t="n">
        <v>7.2</v>
      </c>
      <c r="Q1265" s="9" t="n">
        <v>4</v>
      </c>
      <c r="R1265" s="9" t="s">
        <v>44</v>
      </c>
      <c r="S1265" s="9"/>
      <c r="T1265" s="9"/>
      <c r="U1265" s="9" t="str">
        <f aca="false">IF(COUNTIF($A$2:$A$5001,A1265)&gt;1,"Duplicate","Unique")</f>
        <v>Unique</v>
      </c>
      <c r="V1265" s="9" t="str">
        <f aca="false">IF(COUNTIFS($B$2:$B$5001,B1265,$H$2:$H$5001,H1265,$J$2:$J$5001,J1265)&gt;1,"Possible Duplicate Booking","Unique")</f>
        <v>Unique</v>
      </c>
      <c r="W1265" s="9" t="str">
        <f aca="false">IF((H1265-G1265)&lt;&gt;K1265,"Mismatch","OK")</f>
        <v>OK</v>
      </c>
      <c r="X1265" s="9" t="str">
        <f aca="false">IF(TEXT(H1265,"dddd")&lt;&gt;I1265,"Mismatch","OK")</f>
        <v>OK</v>
      </c>
      <c r="Y1265" s="9" t="str">
        <f aca="false">IF(AND(N1265="No",O1265&lt;&gt;""),"Unexpected: channel present but no reminder sent",IF(AND(N1265="Yes",O1265=""),"Missing channel for sent reminder","OK"))</f>
        <v>OK</v>
      </c>
    </row>
    <row r="1266" customFormat="false" ht="15" hidden="false" customHeight="false" outlineLevel="0" collapsed="false">
      <c r="A1266" s="7" t="s">
        <v>2245</v>
      </c>
      <c r="B1266" s="7" t="s">
        <v>2246</v>
      </c>
      <c r="C1266" s="7" t="s">
        <v>37</v>
      </c>
      <c r="D1266" s="7" t="n">
        <v>79</v>
      </c>
      <c r="E1266" s="7" t="s">
        <v>70</v>
      </c>
      <c r="F1266" s="7" t="s">
        <v>57</v>
      </c>
      <c r="G1266" s="8" t="n">
        <v>45756</v>
      </c>
      <c r="H1266" s="8" t="n">
        <v>45788</v>
      </c>
      <c r="I1266" s="7" t="s">
        <v>75</v>
      </c>
      <c r="J1266" s="7" t="s">
        <v>41</v>
      </c>
      <c r="K1266" s="7" t="n">
        <v>32</v>
      </c>
      <c r="L1266" s="7" t="n">
        <v>4</v>
      </c>
      <c r="M1266" s="7" t="n">
        <v>0</v>
      </c>
      <c r="N1266" s="7" t="s">
        <v>42</v>
      </c>
      <c r="O1266" s="7" t="s">
        <v>43</v>
      </c>
      <c r="P1266" s="7" t="n">
        <v>3.3</v>
      </c>
      <c r="Q1266" s="7" t="n">
        <v>29</v>
      </c>
      <c r="R1266" s="7" t="s">
        <v>53</v>
      </c>
      <c r="S1266" s="7"/>
      <c r="T1266" s="7"/>
      <c r="U1266" s="7" t="str">
        <f aca="false">IF(COUNTIF($A$2:$A$5001,A1266)&gt;1,"Duplicate","Unique")</f>
        <v>Unique</v>
      </c>
      <c r="V1266" s="7" t="str">
        <f aca="false">IF(COUNTIFS($B$2:$B$5001,B1266,$H$2:$H$5001,H1266,$J$2:$J$5001,J1266)&gt;1,"Possible Duplicate Booking","Unique")</f>
        <v>Unique</v>
      </c>
      <c r="W1266" s="7" t="str">
        <f aca="false">IF((H1266-G1266)&lt;&gt;K1266,"Mismatch","OK")</f>
        <v>OK</v>
      </c>
      <c r="X1266" s="7" t="str">
        <f aca="false">IF(TEXT(H1266,"dddd")&lt;&gt;I1266,"Mismatch","OK")</f>
        <v>OK</v>
      </c>
      <c r="Y1266" s="7" t="str">
        <f aca="false">IF(AND(N1266="No",O1266&lt;&gt;""),"Unexpected: channel present but no reminder sent",IF(AND(N1266="Yes",O1266=""),"Missing channel for sent reminder","OK"))</f>
        <v>OK</v>
      </c>
    </row>
    <row r="1267" customFormat="false" ht="15" hidden="false" customHeight="false" outlineLevel="0" collapsed="false">
      <c r="A1267" s="9" t="s">
        <v>2247</v>
      </c>
      <c r="B1267" s="9" t="s">
        <v>2248</v>
      </c>
      <c r="C1267" s="9" t="s">
        <v>47</v>
      </c>
      <c r="D1267" s="9" t="n">
        <v>44</v>
      </c>
      <c r="E1267" s="9" t="s">
        <v>38</v>
      </c>
      <c r="F1267" s="9" t="s">
        <v>39</v>
      </c>
      <c r="G1267" s="10" t="n">
        <v>45673</v>
      </c>
      <c r="H1267" s="10" t="n">
        <v>45678</v>
      </c>
      <c r="I1267" s="9" t="s">
        <v>40</v>
      </c>
      <c r="J1267" s="9" t="s">
        <v>41</v>
      </c>
      <c r="K1267" s="9" t="n">
        <v>5</v>
      </c>
      <c r="L1267" s="9" t="n">
        <v>3</v>
      </c>
      <c r="M1267" s="9" t="n">
        <v>2</v>
      </c>
      <c r="N1267" s="9" t="s">
        <v>42</v>
      </c>
      <c r="O1267" s="9" t="s">
        <v>67</v>
      </c>
      <c r="P1267" s="9" t="n">
        <v>16.5</v>
      </c>
      <c r="Q1267" s="9" t="n">
        <v>35</v>
      </c>
      <c r="R1267" s="9" t="s">
        <v>44</v>
      </c>
      <c r="S1267" s="9"/>
      <c r="T1267" s="9"/>
      <c r="U1267" s="9" t="str">
        <f aca="false">IF(COUNTIF($A$2:$A$5001,A1267)&gt;1,"Duplicate","Unique")</f>
        <v>Unique</v>
      </c>
      <c r="V1267" s="9" t="str">
        <f aca="false">IF(COUNTIFS($B$2:$B$5001,B1267,$H$2:$H$5001,H1267,$J$2:$J$5001,J1267)&gt;1,"Possible Duplicate Booking","Unique")</f>
        <v>Unique</v>
      </c>
      <c r="W1267" s="9" t="str">
        <f aca="false">IF((H1267-G1267)&lt;&gt;K1267,"Mismatch","OK")</f>
        <v>OK</v>
      </c>
      <c r="X1267" s="9" t="str">
        <f aca="false">IF(TEXT(H1267,"dddd")&lt;&gt;I1267,"Mismatch","OK")</f>
        <v>OK</v>
      </c>
      <c r="Y1267" s="9" t="str">
        <f aca="false">IF(AND(N1267="No",O1267&lt;&gt;""),"Unexpected: channel present but no reminder sent",IF(AND(N1267="Yes",O1267=""),"Missing channel for sent reminder","OK"))</f>
        <v>OK</v>
      </c>
    </row>
    <row r="1268" customFormat="false" ht="15" hidden="false" customHeight="false" outlineLevel="0" collapsed="false">
      <c r="A1268" s="7" t="s">
        <v>2249</v>
      </c>
      <c r="B1268" s="7" t="s">
        <v>931</v>
      </c>
      <c r="C1268" s="7" t="s">
        <v>37</v>
      </c>
      <c r="D1268" s="7" t="n">
        <v>27</v>
      </c>
      <c r="E1268" s="7" t="s">
        <v>48</v>
      </c>
      <c r="F1268" s="7" t="s">
        <v>49</v>
      </c>
      <c r="G1268" s="8" t="n">
        <v>45646</v>
      </c>
      <c r="H1268" s="8" t="n">
        <v>45688</v>
      </c>
      <c r="I1268" s="7" t="s">
        <v>50</v>
      </c>
      <c r="J1268" s="7" t="s">
        <v>41</v>
      </c>
      <c r="K1268" s="7" t="n">
        <v>42</v>
      </c>
      <c r="L1268" s="7" t="n">
        <v>1</v>
      </c>
      <c r="M1268" s="7" t="n">
        <v>0</v>
      </c>
      <c r="N1268" s="7" t="s">
        <v>42</v>
      </c>
      <c r="O1268" s="7" t="s">
        <v>52</v>
      </c>
      <c r="P1268" s="7" t="n">
        <v>45</v>
      </c>
      <c r="Q1268" s="7" t="n">
        <v>34</v>
      </c>
      <c r="R1268" s="7" t="s">
        <v>53</v>
      </c>
      <c r="S1268" s="7"/>
      <c r="T1268" s="7"/>
      <c r="U1268" s="7" t="str">
        <f aca="false">IF(COUNTIF($A$2:$A$5001,A1268)&gt;1,"Duplicate","Unique")</f>
        <v>Unique</v>
      </c>
      <c r="V1268" s="7" t="str">
        <f aca="false">IF(COUNTIFS($B$2:$B$5001,B1268,$H$2:$H$5001,H1268,$J$2:$J$5001,J1268)&gt;1,"Possible Duplicate Booking","Unique")</f>
        <v>Unique</v>
      </c>
      <c r="W1268" s="7" t="str">
        <f aca="false">IF((H1268-G1268)&lt;&gt;K1268,"Mismatch","OK")</f>
        <v>OK</v>
      </c>
      <c r="X1268" s="7" t="str">
        <f aca="false">IF(TEXT(H1268,"dddd")&lt;&gt;I1268,"Mismatch","OK")</f>
        <v>OK</v>
      </c>
      <c r="Y1268" s="7" t="str">
        <f aca="false">IF(AND(N1268="No",O1268&lt;&gt;""),"Unexpected: channel present but no reminder sent",IF(AND(N1268="Yes",O1268=""),"Missing channel for sent reminder","OK"))</f>
        <v>OK</v>
      </c>
    </row>
    <row r="1269" customFormat="false" ht="15" hidden="false" customHeight="false" outlineLevel="0" collapsed="false">
      <c r="A1269" s="9" t="s">
        <v>2250</v>
      </c>
      <c r="B1269" s="9" t="s">
        <v>2251</v>
      </c>
      <c r="C1269" s="9" t="s">
        <v>47</v>
      </c>
      <c r="D1269" s="9" t="n">
        <v>22</v>
      </c>
      <c r="E1269" s="9" t="s">
        <v>82</v>
      </c>
      <c r="F1269" s="9" t="s">
        <v>74</v>
      </c>
      <c r="G1269" s="10" t="n">
        <v>45859</v>
      </c>
      <c r="H1269" s="10" t="n">
        <v>45861</v>
      </c>
      <c r="I1269" s="9" t="s">
        <v>58</v>
      </c>
      <c r="J1269" s="9" t="s">
        <v>51</v>
      </c>
      <c r="K1269" s="9" t="n">
        <v>2</v>
      </c>
      <c r="L1269" s="9" t="n">
        <v>3</v>
      </c>
      <c r="M1269" s="9" t="n">
        <v>0</v>
      </c>
      <c r="N1269" s="9" t="s">
        <v>42</v>
      </c>
      <c r="O1269" s="9" t="s">
        <v>52</v>
      </c>
      <c r="P1269" s="9" t="n">
        <v>3.3</v>
      </c>
      <c r="Q1269" s="9" t="n">
        <v>18</v>
      </c>
      <c r="R1269" s="9" t="s">
        <v>53</v>
      </c>
      <c r="S1269" s="9"/>
      <c r="T1269" s="9"/>
      <c r="U1269" s="9" t="str">
        <f aca="false">IF(COUNTIF($A$2:$A$5001,A1269)&gt;1,"Duplicate","Unique")</f>
        <v>Unique</v>
      </c>
      <c r="V1269" s="9" t="str">
        <f aca="false">IF(COUNTIFS($B$2:$B$5001,B1269,$H$2:$H$5001,H1269,$J$2:$J$5001,J1269)&gt;1,"Possible Duplicate Booking","Unique")</f>
        <v>Unique</v>
      </c>
      <c r="W1269" s="9" t="str">
        <f aca="false">IF((H1269-G1269)&lt;&gt;K1269,"Mismatch","OK")</f>
        <v>OK</v>
      </c>
      <c r="X1269" s="9" t="str">
        <f aca="false">IF(TEXT(H1269,"dddd")&lt;&gt;I1269,"Mismatch","OK")</f>
        <v>OK</v>
      </c>
      <c r="Y1269" s="9" t="str">
        <f aca="false">IF(AND(N1269="No",O1269&lt;&gt;""),"Unexpected: channel present but no reminder sent",IF(AND(N1269="Yes",O1269=""),"Missing channel for sent reminder","OK"))</f>
        <v>OK</v>
      </c>
    </row>
    <row r="1270" customFormat="false" ht="15" hidden="false" customHeight="false" outlineLevel="0" collapsed="false">
      <c r="A1270" s="7" t="s">
        <v>2252</v>
      </c>
      <c r="B1270" s="7" t="s">
        <v>2253</v>
      </c>
      <c r="C1270" s="7" t="s">
        <v>47</v>
      </c>
      <c r="D1270" s="7" t="n">
        <v>72</v>
      </c>
      <c r="E1270" s="7" t="s">
        <v>70</v>
      </c>
      <c r="F1270" s="7" t="s">
        <v>39</v>
      </c>
      <c r="G1270" s="8" t="n">
        <v>46162</v>
      </c>
      <c r="H1270" s="8" t="n">
        <v>46178</v>
      </c>
      <c r="I1270" s="7" t="s">
        <v>50</v>
      </c>
      <c r="J1270" s="7" t="s">
        <v>51</v>
      </c>
      <c r="K1270" s="7" t="n">
        <v>16</v>
      </c>
      <c r="L1270" s="7" t="n">
        <v>2</v>
      </c>
      <c r="M1270" s="7" t="n">
        <v>0</v>
      </c>
      <c r="N1270" s="7" t="s">
        <v>42</v>
      </c>
      <c r="O1270" s="7" t="s">
        <v>52</v>
      </c>
      <c r="P1270" s="7"/>
      <c r="Q1270" s="7" t="n">
        <v>25</v>
      </c>
      <c r="R1270" s="7" t="s">
        <v>44</v>
      </c>
      <c r="S1270" s="7"/>
      <c r="T1270" s="7"/>
      <c r="U1270" s="7" t="str">
        <f aca="false">IF(COUNTIF($A$2:$A$5001,A1270)&gt;1,"Duplicate","Unique")</f>
        <v>Unique</v>
      </c>
      <c r="V1270" s="7" t="str">
        <f aca="false">IF(COUNTIFS($B$2:$B$5001,B1270,$H$2:$H$5001,H1270,$J$2:$J$5001,J1270)&gt;1,"Possible Duplicate Booking","Unique")</f>
        <v>Unique</v>
      </c>
      <c r="W1270" s="7" t="str">
        <f aca="false">IF((H1270-G1270)&lt;&gt;K1270,"Mismatch","OK")</f>
        <v>OK</v>
      </c>
      <c r="X1270" s="7" t="str">
        <f aca="false">IF(TEXT(H1270,"dddd")&lt;&gt;I1270,"Mismatch","OK")</f>
        <v>OK</v>
      </c>
      <c r="Y1270" s="7" t="str">
        <f aca="false">IF(AND(N1270="No",O1270&lt;&gt;""),"Unexpected: channel present but no reminder sent",IF(AND(N1270="Yes",O1270=""),"Missing channel for sent reminder","OK"))</f>
        <v>OK</v>
      </c>
    </row>
    <row r="1271" customFormat="false" ht="15" hidden="false" customHeight="false" outlineLevel="0" collapsed="false">
      <c r="A1271" s="9" t="s">
        <v>2254</v>
      </c>
      <c r="B1271" s="9" t="s">
        <v>2199</v>
      </c>
      <c r="C1271" s="9" t="s">
        <v>47</v>
      </c>
      <c r="D1271" s="9" t="n">
        <v>25</v>
      </c>
      <c r="E1271" s="9" t="s">
        <v>48</v>
      </c>
      <c r="F1271" s="9" t="s">
        <v>57</v>
      </c>
      <c r="G1271" s="10" t="n">
        <v>45640</v>
      </c>
      <c r="H1271" s="10" t="n">
        <v>45684</v>
      </c>
      <c r="I1271" s="9" t="s">
        <v>66</v>
      </c>
      <c r="J1271" s="9" t="s">
        <v>51</v>
      </c>
      <c r="K1271" s="9" t="n">
        <v>44</v>
      </c>
      <c r="L1271" s="9" t="n">
        <v>3</v>
      </c>
      <c r="M1271" s="9" t="n">
        <v>0</v>
      </c>
      <c r="N1271" s="9" t="s">
        <v>42</v>
      </c>
      <c r="O1271" s="9" t="s">
        <v>67</v>
      </c>
      <c r="P1271" s="9" t="n">
        <v>22.4</v>
      </c>
      <c r="Q1271" s="9" t="n">
        <v>2</v>
      </c>
      <c r="R1271" s="9" t="s">
        <v>44</v>
      </c>
      <c r="S1271" s="9"/>
      <c r="T1271" s="9"/>
      <c r="U1271" s="9" t="str">
        <f aca="false">IF(COUNTIF($A$2:$A$5001,A1271)&gt;1,"Duplicate","Unique")</f>
        <v>Unique</v>
      </c>
      <c r="V1271" s="9" t="str">
        <f aca="false">IF(COUNTIFS($B$2:$B$5001,B1271,$H$2:$H$5001,H1271,$J$2:$J$5001,J1271)&gt;1,"Possible Duplicate Booking","Unique")</f>
        <v>Unique</v>
      </c>
      <c r="W1271" s="9" t="str">
        <f aca="false">IF((H1271-G1271)&lt;&gt;K1271,"Mismatch","OK")</f>
        <v>OK</v>
      </c>
      <c r="X1271" s="9" t="str">
        <f aca="false">IF(TEXT(H1271,"dddd")&lt;&gt;I1271,"Mismatch","OK")</f>
        <v>OK</v>
      </c>
      <c r="Y1271" s="9" t="str">
        <f aca="false">IF(AND(N1271="No",O1271&lt;&gt;""),"Unexpected: channel present but no reminder sent",IF(AND(N1271="Yes",O1271=""),"Missing channel for sent reminder","OK"))</f>
        <v>OK</v>
      </c>
    </row>
    <row r="1272" customFormat="false" ht="15" hidden="false" customHeight="false" outlineLevel="0" collapsed="false">
      <c r="A1272" s="7" t="s">
        <v>2255</v>
      </c>
      <c r="B1272" s="7" t="s">
        <v>1943</v>
      </c>
      <c r="C1272" s="7" t="s">
        <v>37</v>
      </c>
      <c r="D1272" s="7" t="n">
        <v>44</v>
      </c>
      <c r="E1272" s="7" t="s">
        <v>38</v>
      </c>
      <c r="F1272" s="7" t="s">
        <v>57</v>
      </c>
      <c r="G1272" s="8" t="n">
        <v>45829</v>
      </c>
      <c r="H1272" s="8" t="n">
        <v>45859</v>
      </c>
      <c r="I1272" s="7" t="s">
        <v>66</v>
      </c>
      <c r="J1272" s="7" t="s">
        <v>63</v>
      </c>
      <c r="K1272" s="7" t="n">
        <v>30</v>
      </c>
      <c r="L1272" s="7" t="n">
        <v>5</v>
      </c>
      <c r="M1272" s="7" t="n">
        <v>0</v>
      </c>
      <c r="N1272" s="7" t="s">
        <v>42</v>
      </c>
      <c r="O1272" s="7" t="s">
        <v>67</v>
      </c>
      <c r="P1272" s="7" t="n">
        <v>4.5</v>
      </c>
      <c r="Q1272" s="7" t="n">
        <v>42</v>
      </c>
      <c r="R1272" s="7" t="s">
        <v>53</v>
      </c>
      <c r="S1272" s="7"/>
      <c r="T1272" s="7"/>
      <c r="U1272" s="7" t="str">
        <f aca="false">IF(COUNTIF($A$2:$A$5001,A1272)&gt;1,"Duplicate","Unique")</f>
        <v>Unique</v>
      </c>
      <c r="V1272" s="7" t="str">
        <f aca="false">IF(COUNTIFS($B$2:$B$5001,B1272,$H$2:$H$5001,H1272,$J$2:$J$5001,J1272)&gt;1,"Possible Duplicate Booking","Unique")</f>
        <v>Unique</v>
      </c>
      <c r="W1272" s="7" t="str">
        <f aca="false">IF((H1272-G1272)&lt;&gt;K1272,"Mismatch","OK")</f>
        <v>OK</v>
      </c>
      <c r="X1272" s="7" t="str">
        <f aca="false">IF(TEXT(H1272,"dddd")&lt;&gt;I1272,"Mismatch","OK")</f>
        <v>OK</v>
      </c>
      <c r="Y1272" s="7" t="str">
        <f aca="false">IF(AND(N1272="No",O1272&lt;&gt;""),"Unexpected: channel present but no reminder sent",IF(AND(N1272="Yes",O1272=""),"Missing channel for sent reminder","OK"))</f>
        <v>OK</v>
      </c>
    </row>
    <row r="1273" customFormat="false" ht="15" hidden="false" customHeight="false" outlineLevel="0" collapsed="false">
      <c r="A1273" s="9" t="s">
        <v>2256</v>
      </c>
      <c r="B1273" s="9" t="s">
        <v>2257</v>
      </c>
      <c r="C1273" s="9" t="s">
        <v>37</v>
      </c>
      <c r="D1273" s="9" t="n">
        <v>60</v>
      </c>
      <c r="E1273" s="9" t="s">
        <v>61</v>
      </c>
      <c r="F1273" s="9" t="s">
        <v>74</v>
      </c>
      <c r="G1273" s="10" t="n">
        <v>45671</v>
      </c>
      <c r="H1273" s="10" t="n">
        <v>45717</v>
      </c>
      <c r="I1273" s="9" t="s">
        <v>102</v>
      </c>
      <c r="J1273" s="9" t="s">
        <v>51</v>
      </c>
      <c r="K1273" s="9" t="n">
        <v>46</v>
      </c>
      <c r="L1273" s="9" t="n">
        <v>3</v>
      </c>
      <c r="M1273" s="9" t="n">
        <v>2</v>
      </c>
      <c r="N1273" s="9" t="s">
        <v>42</v>
      </c>
      <c r="O1273" s="9" t="s">
        <v>52</v>
      </c>
      <c r="P1273" s="9"/>
      <c r="Q1273" s="9" t="n">
        <v>37</v>
      </c>
      <c r="R1273" s="9" t="s">
        <v>44</v>
      </c>
      <c r="S1273" s="9"/>
      <c r="T1273" s="9"/>
      <c r="U1273" s="9" t="str">
        <f aca="false">IF(COUNTIF($A$2:$A$5001,A1273)&gt;1,"Duplicate","Unique")</f>
        <v>Unique</v>
      </c>
      <c r="V1273" s="9" t="str">
        <f aca="false">IF(COUNTIFS($B$2:$B$5001,B1273,$H$2:$H$5001,H1273,$J$2:$J$5001,J1273)&gt;1,"Possible Duplicate Booking","Unique")</f>
        <v>Unique</v>
      </c>
      <c r="W1273" s="9" t="str">
        <f aca="false">IF((H1273-G1273)&lt;&gt;K1273,"Mismatch","OK")</f>
        <v>OK</v>
      </c>
      <c r="X1273" s="9" t="str">
        <f aca="false">IF(TEXT(H1273,"dddd")&lt;&gt;I1273,"Mismatch","OK")</f>
        <v>OK</v>
      </c>
      <c r="Y1273" s="9" t="str">
        <f aca="false">IF(AND(N1273="No",O1273&lt;&gt;""),"Unexpected: channel present but no reminder sent",IF(AND(N1273="Yes",O1273=""),"Missing channel for sent reminder","OK"))</f>
        <v>OK</v>
      </c>
    </row>
    <row r="1274" customFormat="false" ht="15" hidden="false" customHeight="false" outlineLevel="0" collapsed="false">
      <c r="A1274" s="7" t="s">
        <v>2258</v>
      </c>
      <c r="B1274" s="7" t="s">
        <v>2259</v>
      </c>
      <c r="C1274" s="7" t="s">
        <v>37</v>
      </c>
      <c r="D1274" s="7" t="n">
        <v>50</v>
      </c>
      <c r="E1274" s="7" t="s">
        <v>56</v>
      </c>
      <c r="F1274" s="7" t="s">
        <v>39</v>
      </c>
      <c r="G1274" s="8" t="n">
        <v>46132</v>
      </c>
      <c r="H1274" s="8" t="n">
        <v>46166</v>
      </c>
      <c r="I1274" s="7" t="s">
        <v>75</v>
      </c>
      <c r="J1274" s="7" t="s">
        <v>41</v>
      </c>
      <c r="K1274" s="7" t="n">
        <v>34</v>
      </c>
      <c r="L1274" s="7" t="n">
        <v>4</v>
      </c>
      <c r="M1274" s="7" t="n">
        <v>0</v>
      </c>
      <c r="N1274" s="7" t="s">
        <v>42</v>
      </c>
      <c r="O1274" s="7" t="s">
        <v>43</v>
      </c>
      <c r="P1274" s="7" t="n">
        <v>4.5</v>
      </c>
      <c r="Q1274" s="7" t="n">
        <v>34</v>
      </c>
      <c r="R1274" s="7" t="s">
        <v>53</v>
      </c>
      <c r="S1274" s="7"/>
      <c r="T1274" s="7"/>
      <c r="U1274" s="7" t="str">
        <f aca="false">IF(COUNTIF($A$2:$A$5001,A1274)&gt;1,"Duplicate","Unique")</f>
        <v>Unique</v>
      </c>
      <c r="V1274" s="7" t="str">
        <f aca="false">IF(COUNTIFS($B$2:$B$5001,B1274,$H$2:$H$5001,H1274,$J$2:$J$5001,J1274)&gt;1,"Possible Duplicate Booking","Unique")</f>
        <v>Unique</v>
      </c>
      <c r="W1274" s="7" t="str">
        <f aca="false">IF((H1274-G1274)&lt;&gt;K1274,"Mismatch","OK")</f>
        <v>OK</v>
      </c>
      <c r="X1274" s="7" t="str">
        <f aca="false">IF(TEXT(H1274,"dddd")&lt;&gt;I1274,"Mismatch","OK")</f>
        <v>OK</v>
      </c>
      <c r="Y1274" s="7" t="str">
        <f aca="false">IF(AND(N1274="No",O1274&lt;&gt;""),"Unexpected: channel present but no reminder sent",IF(AND(N1274="Yes",O1274=""),"Missing channel for sent reminder","OK"))</f>
        <v>OK</v>
      </c>
    </row>
    <row r="1275" customFormat="false" ht="15" hidden="false" customHeight="false" outlineLevel="0" collapsed="false">
      <c r="A1275" s="9" t="s">
        <v>2260</v>
      </c>
      <c r="B1275" s="9" t="s">
        <v>764</v>
      </c>
      <c r="C1275" s="9" t="s">
        <v>47</v>
      </c>
      <c r="D1275" s="9" t="n">
        <v>34</v>
      </c>
      <c r="E1275" s="9" t="s">
        <v>48</v>
      </c>
      <c r="F1275" s="9" t="s">
        <v>49</v>
      </c>
      <c r="G1275" s="10" t="n">
        <v>45975</v>
      </c>
      <c r="H1275" s="10" t="n">
        <v>46026</v>
      </c>
      <c r="I1275" s="9" t="s">
        <v>75</v>
      </c>
      <c r="J1275" s="9" t="s">
        <v>41</v>
      </c>
      <c r="K1275" s="9" t="n">
        <v>51</v>
      </c>
      <c r="L1275" s="9" t="n">
        <v>5</v>
      </c>
      <c r="M1275" s="9" t="n">
        <v>1</v>
      </c>
      <c r="N1275" s="9" t="s">
        <v>71</v>
      </c>
      <c r="O1275" s="9"/>
      <c r="P1275" s="9" t="n">
        <v>25.6</v>
      </c>
      <c r="Q1275" s="9" t="n">
        <v>14</v>
      </c>
      <c r="R1275" s="9" t="s">
        <v>44</v>
      </c>
      <c r="S1275" s="9"/>
      <c r="T1275" s="9"/>
      <c r="U1275" s="9" t="str">
        <f aca="false">IF(COUNTIF($A$2:$A$5001,A1275)&gt;1,"Duplicate","Unique")</f>
        <v>Unique</v>
      </c>
      <c r="V1275" s="9" t="str">
        <f aca="false">IF(COUNTIFS($B$2:$B$5001,B1275,$H$2:$H$5001,H1275,$J$2:$J$5001,J1275)&gt;1,"Possible Duplicate Booking","Unique")</f>
        <v>Unique</v>
      </c>
      <c r="W1275" s="9" t="str">
        <f aca="false">IF((H1275-G1275)&lt;&gt;K1275,"Mismatch","OK")</f>
        <v>OK</v>
      </c>
      <c r="X1275" s="9" t="str">
        <f aca="false">IF(TEXT(H1275,"dddd")&lt;&gt;I1275,"Mismatch","OK")</f>
        <v>OK</v>
      </c>
      <c r="Y1275" s="9" t="str">
        <f aca="false">IF(AND(N1275="No",O1275&lt;&gt;""),"Unexpected: channel present but no reminder sent",IF(AND(N1275="Yes",O1275=""),"Missing channel for sent reminder","OK"))</f>
        <v>OK</v>
      </c>
    </row>
    <row r="1276" customFormat="false" ht="15" hidden="false" customHeight="false" outlineLevel="0" collapsed="false">
      <c r="A1276" s="7" t="s">
        <v>2261</v>
      </c>
      <c r="B1276" s="7" t="s">
        <v>1686</v>
      </c>
      <c r="C1276" s="7" t="s">
        <v>47</v>
      </c>
      <c r="D1276" s="7" t="n">
        <v>24</v>
      </c>
      <c r="E1276" s="7" t="s">
        <v>82</v>
      </c>
      <c r="F1276" s="7" t="s">
        <v>39</v>
      </c>
      <c r="G1276" s="8" t="n">
        <v>46040</v>
      </c>
      <c r="H1276" s="8" t="n">
        <v>46074</v>
      </c>
      <c r="I1276" s="7" t="s">
        <v>102</v>
      </c>
      <c r="J1276" s="7" t="s">
        <v>63</v>
      </c>
      <c r="K1276" s="7" t="n">
        <v>34</v>
      </c>
      <c r="L1276" s="7" t="n">
        <v>3</v>
      </c>
      <c r="M1276" s="7" t="n">
        <v>1</v>
      </c>
      <c r="N1276" s="7" t="s">
        <v>42</v>
      </c>
      <c r="O1276" s="7" t="s">
        <v>43</v>
      </c>
      <c r="P1276" s="7" t="n">
        <v>14.7</v>
      </c>
      <c r="Q1276" s="7" t="n">
        <v>20</v>
      </c>
      <c r="R1276" s="7" t="s">
        <v>53</v>
      </c>
      <c r="S1276" s="7"/>
      <c r="T1276" s="7"/>
      <c r="U1276" s="7" t="str">
        <f aca="false">IF(COUNTIF($A$2:$A$5001,A1276)&gt;1,"Duplicate","Unique")</f>
        <v>Unique</v>
      </c>
      <c r="V1276" s="7" t="str">
        <f aca="false">IF(COUNTIFS($B$2:$B$5001,B1276,$H$2:$H$5001,H1276,$J$2:$J$5001,J1276)&gt;1,"Possible Duplicate Booking","Unique")</f>
        <v>Unique</v>
      </c>
      <c r="W1276" s="7" t="str">
        <f aca="false">IF((H1276-G1276)&lt;&gt;K1276,"Mismatch","OK")</f>
        <v>OK</v>
      </c>
      <c r="X1276" s="7" t="str">
        <f aca="false">IF(TEXT(H1276,"dddd")&lt;&gt;I1276,"Mismatch","OK")</f>
        <v>OK</v>
      </c>
      <c r="Y1276" s="7" t="str">
        <f aca="false">IF(AND(N1276="No",O1276&lt;&gt;""),"Unexpected: channel present but no reminder sent",IF(AND(N1276="Yes",O1276=""),"Missing channel for sent reminder","OK"))</f>
        <v>OK</v>
      </c>
    </row>
    <row r="1277" customFormat="false" ht="15" hidden="false" customHeight="false" outlineLevel="0" collapsed="false">
      <c r="A1277" s="9" t="s">
        <v>2262</v>
      </c>
      <c r="B1277" s="9" t="s">
        <v>207</v>
      </c>
      <c r="C1277" s="9" t="s">
        <v>37</v>
      </c>
      <c r="D1277" s="9" t="n">
        <v>62</v>
      </c>
      <c r="E1277" s="9" t="s">
        <v>61</v>
      </c>
      <c r="F1277" s="9" t="s">
        <v>57</v>
      </c>
      <c r="G1277" s="10" t="n">
        <v>46044</v>
      </c>
      <c r="H1277" s="10" t="n">
        <v>46047</v>
      </c>
      <c r="I1277" s="9" t="s">
        <v>75</v>
      </c>
      <c r="J1277" s="9" t="s">
        <v>51</v>
      </c>
      <c r="K1277" s="9" t="n">
        <v>3</v>
      </c>
      <c r="L1277" s="9" t="n">
        <v>3</v>
      </c>
      <c r="M1277" s="9" t="n">
        <v>0</v>
      </c>
      <c r="N1277" s="9" t="s">
        <v>42</v>
      </c>
      <c r="O1277" s="9" t="s">
        <v>67</v>
      </c>
      <c r="P1277" s="9" t="n">
        <v>4.5</v>
      </c>
      <c r="Q1277" s="9" t="n">
        <v>22</v>
      </c>
      <c r="R1277" s="9" t="s">
        <v>53</v>
      </c>
      <c r="S1277" s="9"/>
      <c r="T1277" s="9"/>
      <c r="U1277" s="9" t="str">
        <f aca="false">IF(COUNTIF($A$2:$A$5001,A1277)&gt;1,"Duplicate","Unique")</f>
        <v>Unique</v>
      </c>
      <c r="V1277" s="9" t="str">
        <f aca="false">IF(COUNTIFS($B$2:$B$5001,B1277,$H$2:$H$5001,H1277,$J$2:$J$5001,J1277)&gt;1,"Possible Duplicate Booking","Unique")</f>
        <v>Unique</v>
      </c>
      <c r="W1277" s="9" t="str">
        <f aca="false">IF((H1277-G1277)&lt;&gt;K1277,"Mismatch","OK")</f>
        <v>OK</v>
      </c>
      <c r="X1277" s="9" t="str">
        <f aca="false">IF(TEXT(H1277,"dddd")&lt;&gt;I1277,"Mismatch","OK")</f>
        <v>OK</v>
      </c>
      <c r="Y1277" s="9" t="str">
        <f aca="false">IF(AND(N1277="No",O1277&lt;&gt;""),"Unexpected: channel present but no reminder sent",IF(AND(N1277="Yes",O1277=""),"Missing channel for sent reminder","OK"))</f>
        <v>OK</v>
      </c>
    </row>
    <row r="1278" customFormat="false" ht="15" hidden="false" customHeight="false" outlineLevel="0" collapsed="false">
      <c r="A1278" s="7" t="s">
        <v>2263</v>
      </c>
      <c r="B1278" s="7" t="s">
        <v>2264</v>
      </c>
      <c r="C1278" s="7" t="s">
        <v>37</v>
      </c>
      <c r="D1278" s="7" t="n">
        <v>48</v>
      </c>
      <c r="E1278" s="7" t="s">
        <v>56</v>
      </c>
      <c r="F1278" s="7" t="s">
        <v>39</v>
      </c>
      <c r="G1278" s="8" t="n">
        <v>46012</v>
      </c>
      <c r="H1278" s="8" t="n">
        <v>46016</v>
      </c>
      <c r="I1278" s="7" t="s">
        <v>62</v>
      </c>
      <c r="J1278" s="7" t="s">
        <v>51</v>
      </c>
      <c r="K1278" s="7" t="n">
        <v>4</v>
      </c>
      <c r="L1278" s="7" t="n">
        <v>4</v>
      </c>
      <c r="M1278" s="7" t="n">
        <v>0</v>
      </c>
      <c r="N1278" s="7" t="s">
        <v>71</v>
      </c>
      <c r="O1278" s="7"/>
      <c r="P1278" s="7" t="n">
        <v>3.9</v>
      </c>
      <c r="Q1278" s="7" t="n">
        <v>43</v>
      </c>
      <c r="R1278" s="7" t="s">
        <v>53</v>
      </c>
      <c r="S1278" s="7"/>
      <c r="T1278" s="7"/>
      <c r="U1278" s="7" t="str">
        <f aca="false">IF(COUNTIF($A$2:$A$5001,A1278)&gt;1,"Duplicate","Unique")</f>
        <v>Unique</v>
      </c>
      <c r="V1278" s="7" t="str">
        <f aca="false">IF(COUNTIFS($B$2:$B$5001,B1278,$H$2:$H$5001,H1278,$J$2:$J$5001,J1278)&gt;1,"Possible Duplicate Booking","Unique")</f>
        <v>Unique</v>
      </c>
      <c r="W1278" s="7" t="str">
        <f aca="false">IF((H1278-G1278)&lt;&gt;K1278,"Mismatch","OK")</f>
        <v>OK</v>
      </c>
      <c r="X1278" s="7" t="str">
        <f aca="false">IF(TEXT(H1278,"dddd")&lt;&gt;I1278,"Mismatch","OK")</f>
        <v>OK</v>
      </c>
      <c r="Y1278" s="7" t="str">
        <f aca="false">IF(AND(N1278="No",O1278&lt;&gt;""),"Unexpected: channel present but no reminder sent",IF(AND(N1278="Yes",O1278=""),"Missing channel for sent reminder","OK"))</f>
        <v>OK</v>
      </c>
    </row>
    <row r="1279" customFormat="false" ht="15" hidden="false" customHeight="false" outlineLevel="0" collapsed="false">
      <c r="A1279" s="9" t="s">
        <v>2265</v>
      </c>
      <c r="B1279" s="9" t="s">
        <v>379</v>
      </c>
      <c r="C1279" s="9" t="s">
        <v>37</v>
      </c>
      <c r="D1279" s="9" t="n">
        <v>21</v>
      </c>
      <c r="E1279" s="9" t="s">
        <v>82</v>
      </c>
      <c r="F1279" s="9" t="s">
        <v>49</v>
      </c>
      <c r="G1279" s="10" t="n">
        <v>46033</v>
      </c>
      <c r="H1279" s="10" t="n">
        <v>46080</v>
      </c>
      <c r="I1279" s="9" t="s">
        <v>50</v>
      </c>
      <c r="J1279" s="9" t="s">
        <v>41</v>
      </c>
      <c r="K1279" s="9" t="n">
        <v>47</v>
      </c>
      <c r="L1279" s="9" t="n">
        <v>4</v>
      </c>
      <c r="M1279" s="9" t="n">
        <v>0</v>
      </c>
      <c r="N1279" s="9" t="s">
        <v>42</v>
      </c>
      <c r="O1279" s="9" t="s">
        <v>52</v>
      </c>
      <c r="P1279" s="9" t="n">
        <v>4.3</v>
      </c>
      <c r="Q1279" s="9" t="n">
        <v>35</v>
      </c>
      <c r="R1279" s="9" t="s">
        <v>44</v>
      </c>
      <c r="S1279" s="9"/>
      <c r="T1279" s="9"/>
      <c r="U1279" s="9" t="str">
        <f aca="false">IF(COUNTIF($A$2:$A$5001,A1279)&gt;1,"Duplicate","Unique")</f>
        <v>Unique</v>
      </c>
      <c r="V1279" s="9" t="str">
        <f aca="false">IF(COUNTIFS($B$2:$B$5001,B1279,$H$2:$H$5001,H1279,$J$2:$J$5001,J1279)&gt;1,"Possible Duplicate Booking","Unique")</f>
        <v>Unique</v>
      </c>
      <c r="W1279" s="9" t="str">
        <f aca="false">IF((H1279-G1279)&lt;&gt;K1279,"Mismatch","OK")</f>
        <v>OK</v>
      </c>
      <c r="X1279" s="9" t="str">
        <f aca="false">IF(TEXT(H1279,"dddd")&lt;&gt;I1279,"Mismatch","OK")</f>
        <v>OK</v>
      </c>
      <c r="Y1279" s="9" t="str">
        <f aca="false">IF(AND(N1279="No",O1279&lt;&gt;""),"Unexpected: channel present but no reminder sent",IF(AND(N1279="Yes",O1279=""),"Missing channel for sent reminder","OK"))</f>
        <v>OK</v>
      </c>
    </row>
    <row r="1280" customFormat="false" ht="15" hidden="false" customHeight="false" outlineLevel="0" collapsed="false">
      <c r="A1280" s="7" t="s">
        <v>2266</v>
      </c>
      <c r="B1280" s="7" t="s">
        <v>2267</v>
      </c>
      <c r="C1280" s="7" t="s">
        <v>37</v>
      </c>
      <c r="D1280" s="7" t="n">
        <v>29</v>
      </c>
      <c r="E1280" s="7" t="s">
        <v>48</v>
      </c>
      <c r="F1280" s="7" t="s">
        <v>49</v>
      </c>
      <c r="G1280" s="8" t="n">
        <v>45660</v>
      </c>
      <c r="H1280" s="8" t="n">
        <v>45662</v>
      </c>
      <c r="I1280" s="7" t="s">
        <v>75</v>
      </c>
      <c r="J1280" s="7" t="s">
        <v>51</v>
      </c>
      <c r="K1280" s="7" t="n">
        <v>2</v>
      </c>
      <c r="L1280" s="7" t="n">
        <v>4</v>
      </c>
      <c r="M1280" s="7" t="n">
        <v>1</v>
      </c>
      <c r="N1280" s="7" t="s">
        <v>71</v>
      </c>
      <c r="O1280" s="7"/>
      <c r="P1280" s="7" t="n">
        <v>6</v>
      </c>
      <c r="Q1280" s="7" t="n">
        <v>22</v>
      </c>
      <c r="R1280" s="7" t="s">
        <v>53</v>
      </c>
      <c r="S1280" s="7"/>
      <c r="T1280" s="7"/>
      <c r="U1280" s="7" t="str">
        <f aca="false">IF(COUNTIF($A$2:$A$5001,A1280)&gt;1,"Duplicate","Unique")</f>
        <v>Unique</v>
      </c>
      <c r="V1280" s="7" t="str">
        <f aca="false">IF(COUNTIFS($B$2:$B$5001,B1280,$H$2:$H$5001,H1280,$J$2:$J$5001,J1280)&gt;1,"Possible Duplicate Booking","Unique")</f>
        <v>Unique</v>
      </c>
      <c r="W1280" s="7" t="str">
        <f aca="false">IF((H1280-G1280)&lt;&gt;K1280,"Mismatch","OK")</f>
        <v>OK</v>
      </c>
      <c r="X1280" s="7" t="str">
        <f aca="false">IF(TEXT(H1280,"dddd")&lt;&gt;I1280,"Mismatch","OK")</f>
        <v>OK</v>
      </c>
      <c r="Y1280" s="7" t="str">
        <f aca="false">IF(AND(N1280="No",O1280&lt;&gt;""),"Unexpected: channel present but no reminder sent",IF(AND(N1280="Yes",O1280=""),"Missing channel for sent reminder","OK"))</f>
        <v>OK</v>
      </c>
    </row>
    <row r="1281" customFormat="false" ht="15" hidden="false" customHeight="false" outlineLevel="0" collapsed="false">
      <c r="A1281" s="9" t="s">
        <v>2268</v>
      </c>
      <c r="B1281" s="9" t="s">
        <v>2269</v>
      </c>
      <c r="C1281" s="9" t="s">
        <v>37</v>
      </c>
      <c r="D1281" s="9" t="n">
        <v>53</v>
      </c>
      <c r="E1281" s="9" t="s">
        <v>56</v>
      </c>
      <c r="F1281" s="9" t="s">
        <v>57</v>
      </c>
      <c r="G1281" s="10" t="n">
        <v>46108</v>
      </c>
      <c r="H1281" s="10" t="n">
        <v>46130</v>
      </c>
      <c r="I1281" s="9" t="s">
        <v>102</v>
      </c>
      <c r="J1281" s="9" t="s">
        <v>41</v>
      </c>
      <c r="K1281" s="9" t="n">
        <v>22</v>
      </c>
      <c r="L1281" s="9" t="n">
        <v>2</v>
      </c>
      <c r="M1281" s="9" t="n">
        <v>0</v>
      </c>
      <c r="N1281" s="9" t="s">
        <v>42</v>
      </c>
      <c r="O1281" s="9" t="s">
        <v>43</v>
      </c>
      <c r="P1281" s="9" t="n">
        <v>16.9</v>
      </c>
      <c r="Q1281" s="9" t="n">
        <v>30</v>
      </c>
      <c r="R1281" s="9" t="s">
        <v>53</v>
      </c>
      <c r="S1281" s="9"/>
      <c r="T1281" s="9"/>
      <c r="U1281" s="9" t="str">
        <f aca="false">IF(COUNTIF($A$2:$A$5001,A1281)&gt;1,"Duplicate","Unique")</f>
        <v>Unique</v>
      </c>
      <c r="V1281" s="9" t="str">
        <f aca="false">IF(COUNTIFS($B$2:$B$5001,B1281,$H$2:$H$5001,H1281,$J$2:$J$5001,J1281)&gt;1,"Possible Duplicate Booking","Unique")</f>
        <v>Unique</v>
      </c>
      <c r="W1281" s="9" t="str">
        <f aca="false">IF((H1281-G1281)&lt;&gt;K1281,"Mismatch","OK")</f>
        <v>OK</v>
      </c>
      <c r="X1281" s="9" t="str">
        <f aca="false">IF(TEXT(H1281,"dddd")&lt;&gt;I1281,"Mismatch","OK")</f>
        <v>OK</v>
      </c>
      <c r="Y1281" s="9" t="str">
        <f aca="false">IF(AND(N1281="No",O1281&lt;&gt;""),"Unexpected: channel present but no reminder sent",IF(AND(N1281="Yes",O1281=""),"Missing channel for sent reminder","OK"))</f>
        <v>OK</v>
      </c>
    </row>
    <row r="1282" customFormat="false" ht="15" hidden="false" customHeight="false" outlineLevel="0" collapsed="false">
      <c r="A1282" s="7" t="s">
        <v>2270</v>
      </c>
      <c r="B1282" s="7" t="s">
        <v>681</v>
      </c>
      <c r="C1282" s="7" t="s">
        <v>47</v>
      </c>
      <c r="D1282" s="7" t="n">
        <v>28</v>
      </c>
      <c r="E1282" s="7" t="s">
        <v>48</v>
      </c>
      <c r="F1282" s="7" t="s">
        <v>39</v>
      </c>
      <c r="G1282" s="8" t="n">
        <v>46061</v>
      </c>
      <c r="H1282" s="8" t="n">
        <v>46061</v>
      </c>
      <c r="I1282" s="7" t="s">
        <v>75</v>
      </c>
      <c r="J1282" s="7" t="s">
        <v>51</v>
      </c>
      <c r="K1282" s="7" t="n">
        <v>0</v>
      </c>
      <c r="L1282" s="7" t="n">
        <v>0</v>
      </c>
      <c r="M1282" s="7" t="n">
        <v>0</v>
      </c>
      <c r="N1282" s="7" t="s">
        <v>42</v>
      </c>
      <c r="O1282" s="7" t="s">
        <v>52</v>
      </c>
      <c r="P1282" s="7" t="n">
        <v>1.7</v>
      </c>
      <c r="Q1282" s="7" t="n">
        <v>14</v>
      </c>
      <c r="R1282" s="7" t="s">
        <v>53</v>
      </c>
      <c r="S1282" s="7"/>
      <c r="T1282" s="7"/>
      <c r="U1282" s="7" t="str">
        <f aca="false">IF(COUNTIF($A$2:$A$5001,A1282)&gt;1,"Duplicate","Unique")</f>
        <v>Unique</v>
      </c>
      <c r="V1282" s="7" t="str">
        <f aca="false">IF(COUNTIFS($B$2:$B$5001,B1282,$H$2:$H$5001,H1282,$J$2:$J$5001,J1282)&gt;1,"Possible Duplicate Booking","Unique")</f>
        <v>Unique</v>
      </c>
      <c r="W1282" s="7" t="str">
        <f aca="false">IF((H1282-G1282)&lt;&gt;K1282,"Mismatch","OK")</f>
        <v>OK</v>
      </c>
      <c r="X1282" s="7" t="str">
        <f aca="false">IF(TEXT(H1282,"dddd")&lt;&gt;I1282,"Mismatch","OK")</f>
        <v>OK</v>
      </c>
      <c r="Y1282" s="7" t="str">
        <f aca="false">IF(AND(N1282="No",O1282&lt;&gt;""),"Unexpected: channel present but no reminder sent",IF(AND(N1282="Yes",O1282=""),"Missing channel for sent reminder","OK"))</f>
        <v>OK</v>
      </c>
    </row>
    <row r="1283" customFormat="false" ht="15" hidden="false" customHeight="false" outlineLevel="0" collapsed="false">
      <c r="A1283" s="9" t="s">
        <v>2271</v>
      </c>
      <c r="B1283" s="9" t="s">
        <v>2272</v>
      </c>
      <c r="C1283" s="9" t="s">
        <v>47</v>
      </c>
      <c r="D1283" s="9" t="n">
        <v>42</v>
      </c>
      <c r="E1283" s="9" t="s">
        <v>38</v>
      </c>
      <c r="F1283" s="9" t="s">
        <v>57</v>
      </c>
      <c r="G1283" s="10" t="n">
        <v>46043</v>
      </c>
      <c r="H1283" s="10" t="n">
        <v>46061</v>
      </c>
      <c r="I1283" s="9" t="s">
        <v>75</v>
      </c>
      <c r="J1283" s="9" t="s">
        <v>63</v>
      </c>
      <c r="K1283" s="9" t="n">
        <v>18</v>
      </c>
      <c r="L1283" s="9" t="n">
        <v>2</v>
      </c>
      <c r="M1283" s="9" t="n">
        <v>0</v>
      </c>
      <c r="N1283" s="9" t="s">
        <v>42</v>
      </c>
      <c r="O1283" s="9" t="s">
        <v>43</v>
      </c>
      <c r="P1283" s="9" t="n">
        <v>5.1</v>
      </c>
      <c r="Q1283" s="9" t="n">
        <v>9</v>
      </c>
      <c r="R1283" s="9" t="s">
        <v>53</v>
      </c>
      <c r="S1283" s="9"/>
      <c r="T1283" s="9"/>
      <c r="U1283" s="9" t="str">
        <f aca="false">IF(COUNTIF($A$2:$A$5001,A1283)&gt;1,"Duplicate","Unique")</f>
        <v>Unique</v>
      </c>
      <c r="V1283" s="9" t="str">
        <f aca="false">IF(COUNTIFS($B$2:$B$5001,B1283,$H$2:$H$5001,H1283,$J$2:$J$5001,J1283)&gt;1,"Possible Duplicate Booking","Unique")</f>
        <v>Unique</v>
      </c>
      <c r="W1283" s="9" t="str">
        <f aca="false">IF((H1283-G1283)&lt;&gt;K1283,"Mismatch","OK")</f>
        <v>OK</v>
      </c>
      <c r="X1283" s="9" t="str">
        <f aca="false">IF(TEXT(H1283,"dddd")&lt;&gt;I1283,"Mismatch","OK")</f>
        <v>OK</v>
      </c>
      <c r="Y1283" s="9" t="str">
        <f aca="false">IF(AND(N1283="No",O1283&lt;&gt;""),"Unexpected: channel present but no reminder sent",IF(AND(N1283="Yes",O1283=""),"Missing channel for sent reminder","OK"))</f>
        <v>OK</v>
      </c>
    </row>
    <row r="1284" customFormat="false" ht="15" hidden="false" customHeight="false" outlineLevel="0" collapsed="false">
      <c r="A1284" s="7" t="s">
        <v>2273</v>
      </c>
      <c r="B1284" s="7" t="s">
        <v>1117</v>
      </c>
      <c r="C1284" s="7" t="s">
        <v>37</v>
      </c>
      <c r="D1284" s="7" t="n">
        <v>25</v>
      </c>
      <c r="E1284" s="7" t="s">
        <v>48</v>
      </c>
      <c r="F1284" s="7" t="s">
        <v>74</v>
      </c>
      <c r="G1284" s="8" t="n">
        <v>45836</v>
      </c>
      <c r="H1284" s="8" t="n">
        <v>45872</v>
      </c>
      <c r="I1284" s="7" t="s">
        <v>75</v>
      </c>
      <c r="J1284" s="7" t="s">
        <v>41</v>
      </c>
      <c r="K1284" s="7" t="n">
        <v>36</v>
      </c>
      <c r="L1284" s="7" t="n">
        <v>2</v>
      </c>
      <c r="M1284" s="7" t="n">
        <v>0</v>
      </c>
      <c r="N1284" s="7" t="s">
        <v>71</v>
      </c>
      <c r="O1284" s="7"/>
      <c r="P1284" s="7" t="n">
        <v>14.9</v>
      </c>
      <c r="Q1284" s="7" t="n">
        <v>23</v>
      </c>
      <c r="R1284" s="7" t="s">
        <v>53</v>
      </c>
      <c r="S1284" s="7"/>
      <c r="T1284" s="7"/>
      <c r="U1284" s="7" t="str">
        <f aca="false">IF(COUNTIF($A$2:$A$5001,A1284)&gt;1,"Duplicate","Unique")</f>
        <v>Unique</v>
      </c>
      <c r="V1284" s="7" t="str">
        <f aca="false">IF(COUNTIFS($B$2:$B$5001,B1284,$H$2:$H$5001,H1284,$J$2:$J$5001,J1284)&gt;1,"Possible Duplicate Booking","Unique")</f>
        <v>Unique</v>
      </c>
      <c r="W1284" s="7" t="str">
        <f aca="false">IF((H1284-G1284)&lt;&gt;K1284,"Mismatch","OK")</f>
        <v>OK</v>
      </c>
      <c r="X1284" s="7" t="str">
        <f aca="false">IF(TEXT(H1284,"dddd")&lt;&gt;I1284,"Mismatch","OK")</f>
        <v>OK</v>
      </c>
      <c r="Y1284" s="7" t="str">
        <f aca="false">IF(AND(N1284="No",O1284&lt;&gt;""),"Unexpected: channel present but no reminder sent",IF(AND(N1284="Yes",O1284=""),"Missing channel for sent reminder","OK"))</f>
        <v>OK</v>
      </c>
    </row>
    <row r="1285" customFormat="false" ht="15" hidden="false" customHeight="false" outlineLevel="0" collapsed="false">
      <c r="A1285" s="9" t="s">
        <v>2274</v>
      </c>
      <c r="B1285" s="9" t="s">
        <v>2275</v>
      </c>
      <c r="C1285" s="9" t="s">
        <v>37</v>
      </c>
      <c r="D1285" s="9" t="n">
        <v>68</v>
      </c>
      <c r="E1285" s="9" t="s">
        <v>70</v>
      </c>
      <c r="F1285" s="9" t="s">
        <v>57</v>
      </c>
      <c r="G1285" s="10" t="n">
        <v>46085</v>
      </c>
      <c r="H1285" s="10" t="n">
        <v>46095</v>
      </c>
      <c r="I1285" s="9" t="s">
        <v>102</v>
      </c>
      <c r="J1285" s="9" t="s">
        <v>51</v>
      </c>
      <c r="K1285" s="9" t="n">
        <v>10</v>
      </c>
      <c r="L1285" s="9" t="n">
        <v>1</v>
      </c>
      <c r="M1285" s="9" t="n">
        <v>0</v>
      </c>
      <c r="N1285" s="9" t="s">
        <v>42</v>
      </c>
      <c r="O1285" s="9" t="s">
        <v>43</v>
      </c>
      <c r="P1285" s="9" t="n">
        <v>15.2</v>
      </c>
      <c r="Q1285" s="9" t="n">
        <v>11</v>
      </c>
      <c r="R1285" s="9" t="s">
        <v>53</v>
      </c>
      <c r="S1285" s="9"/>
      <c r="T1285" s="9"/>
      <c r="U1285" s="9" t="str">
        <f aca="false">IF(COUNTIF($A$2:$A$5001,A1285)&gt;1,"Duplicate","Unique")</f>
        <v>Unique</v>
      </c>
      <c r="V1285" s="9" t="str">
        <f aca="false">IF(COUNTIFS($B$2:$B$5001,B1285,$H$2:$H$5001,H1285,$J$2:$J$5001,J1285)&gt;1,"Possible Duplicate Booking","Unique")</f>
        <v>Unique</v>
      </c>
      <c r="W1285" s="9" t="str">
        <f aca="false">IF((H1285-G1285)&lt;&gt;K1285,"Mismatch","OK")</f>
        <v>OK</v>
      </c>
      <c r="X1285" s="9" t="str">
        <f aca="false">IF(TEXT(H1285,"dddd")&lt;&gt;I1285,"Mismatch","OK")</f>
        <v>OK</v>
      </c>
      <c r="Y1285" s="9" t="str">
        <f aca="false">IF(AND(N1285="No",O1285&lt;&gt;""),"Unexpected: channel present but no reminder sent",IF(AND(N1285="Yes",O1285=""),"Missing channel for sent reminder","OK"))</f>
        <v>OK</v>
      </c>
    </row>
    <row r="1286" customFormat="false" ht="15" hidden="false" customHeight="false" outlineLevel="0" collapsed="false">
      <c r="A1286" s="7" t="s">
        <v>2276</v>
      </c>
      <c r="B1286" s="7" t="s">
        <v>1859</v>
      </c>
      <c r="C1286" s="7" t="s">
        <v>37</v>
      </c>
      <c r="D1286" s="7" t="n">
        <v>57</v>
      </c>
      <c r="E1286" s="7" t="s">
        <v>61</v>
      </c>
      <c r="F1286" s="7" t="s">
        <v>49</v>
      </c>
      <c r="G1286" s="8" t="n">
        <v>45838</v>
      </c>
      <c r="H1286" s="8" t="n">
        <v>45866</v>
      </c>
      <c r="I1286" s="7" t="s">
        <v>66</v>
      </c>
      <c r="J1286" s="7" t="s">
        <v>41</v>
      </c>
      <c r="K1286" s="7" t="n">
        <v>28</v>
      </c>
      <c r="L1286" s="7" t="n">
        <v>0</v>
      </c>
      <c r="M1286" s="7" t="n">
        <v>0</v>
      </c>
      <c r="N1286" s="7" t="s">
        <v>71</v>
      </c>
      <c r="O1286" s="7"/>
      <c r="P1286" s="7" t="n">
        <v>18.1</v>
      </c>
      <c r="Q1286" s="7" t="n">
        <v>5</v>
      </c>
      <c r="R1286" s="7" t="s">
        <v>44</v>
      </c>
      <c r="S1286" s="7"/>
      <c r="T1286" s="7"/>
      <c r="U1286" s="7" t="str">
        <f aca="false">IF(COUNTIF($A$2:$A$5001,A1286)&gt;1,"Duplicate","Unique")</f>
        <v>Unique</v>
      </c>
      <c r="V1286" s="7" t="str">
        <f aca="false">IF(COUNTIFS($B$2:$B$5001,B1286,$H$2:$H$5001,H1286,$J$2:$J$5001,J1286)&gt;1,"Possible Duplicate Booking","Unique")</f>
        <v>Unique</v>
      </c>
      <c r="W1286" s="7" t="str">
        <f aca="false">IF((H1286-G1286)&lt;&gt;K1286,"Mismatch","OK")</f>
        <v>OK</v>
      </c>
      <c r="X1286" s="7" t="str">
        <f aca="false">IF(TEXT(H1286,"dddd")&lt;&gt;I1286,"Mismatch","OK")</f>
        <v>OK</v>
      </c>
      <c r="Y1286" s="7" t="str">
        <f aca="false">IF(AND(N1286="No",O1286&lt;&gt;""),"Unexpected: channel present but no reminder sent",IF(AND(N1286="Yes",O1286=""),"Missing channel for sent reminder","OK"))</f>
        <v>OK</v>
      </c>
    </row>
    <row r="1287" customFormat="false" ht="15" hidden="false" customHeight="false" outlineLevel="0" collapsed="false">
      <c r="A1287" s="9" t="s">
        <v>2277</v>
      </c>
      <c r="B1287" s="9" t="s">
        <v>2278</v>
      </c>
      <c r="C1287" s="9" t="s">
        <v>37</v>
      </c>
      <c r="D1287" s="9" t="n">
        <v>67</v>
      </c>
      <c r="E1287" s="9" t="s">
        <v>70</v>
      </c>
      <c r="F1287" s="9" t="s">
        <v>57</v>
      </c>
      <c r="G1287" s="10" t="n">
        <v>45624</v>
      </c>
      <c r="H1287" s="10" t="n">
        <v>45684</v>
      </c>
      <c r="I1287" s="9" t="s">
        <v>66</v>
      </c>
      <c r="J1287" s="9" t="s">
        <v>41</v>
      </c>
      <c r="K1287" s="9" t="n">
        <v>60</v>
      </c>
      <c r="L1287" s="9" t="n">
        <v>4</v>
      </c>
      <c r="M1287" s="9" t="n">
        <v>1</v>
      </c>
      <c r="N1287" s="9" t="s">
        <v>42</v>
      </c>
      <c r="O1287" s="9" t="s">
        <v>43</v>
      </c>
      <c r="P1287" s="9" t="n">
        <v>2.6</v>
      </c>
      <c r="Q1287" s="9" t="n">
        <v>24</v>
      </c>
      <c r="R1287" s="9" t="s">
        <v>44</v>
      </c>
      <c r="S1287" s="9"/>
      <c r="T1287" s="9"/>
      <c r="U1287" s="9" t="str">
        <f aca="false">IF(COUNTIF($A$2:$A$5001,A1287)&gt;1,"Duplicate","Unique")</f>
        <v>Unique</v>
      </c>
      <c r="V1287" s="9" t="str">
        <f aca="false">IF(COUNTIFS($B$2:$B$5001,B1287,$H$2:$H$5001,H1287,$J$2:$J$5001,J1287)&gt;1,"Possible Duplicate Booking","Unique")</f>
        <v>Unique</v>
      </c>
      <c r="W1287" s="9" t="str">
        <f aca="false">IF((H1287-G1287)&lt;&gt;K1287,"Mismatch","OK")</f>
        <v>OK</v>
      </c>
      <c r="X1287" s="9" t="str">
        <f aca="false">IF(TEXT(H1287,"dddd")&lt;&gt;I1287,"Mismatch","OK")</f>
        <v>OK</v>
      </c>
      <c r="Y1287" s="9" t="str">
        <f aca="false">IF(AND(N1287="No",O1287&lt;&gt;""),"Unexpected: channel present but no reminder sent",IF(AND(N1287="Yes",O1287=""),"Missing channel for sent reminder","OK"))</f>
        <v>OK</v>
      </c>
    </row>
    <row r="1288" customFormat="false" ht="15" hidden="false" customHeight="false" outlineLevel="0" collapsed="false">
      <c r="A1288" s="7" t="s">
        <v>2279</v>
      </c>
      <c r="B1288" s="7" t="s">
        <v>1431</v>
      </c>
      <c r="C1288" s="7" t="s">
        <v>47</v>
      </c>
      <c r="D1288" s="7" t="n">
        <v>21</v>
      </c>
      <c r="E1288" s="7" t="s">
        <v>82</v>
      </c>
      <c r="F1288" s="7" t="s">
        <v>39</v>
      </c>
      <c r="G1288" s="8" t="n">
        <v>46149</v>
      </c>
      <c r="H1288" s="8" t="n">
        <v>46153</v>
      </c>
      <c r="I1288" s="7" t="s">
        <v>66</v>
      </c>
      <c r="J1288" s="7" t="s">
        <v>41</v>
      </c>
      <c r="K1288" s="7" t="n">
        <v>4</v>
      </c>
      <c r="L1288" s="7" t="n">
        <v>2</v>
      </c>
      <c r="M1288" s="7" t="n">
        <v>1</v>
      </c>
      <c r="N1288" s="7" t="s">
        <v>42</v>
      </c>
      <c r="O1288" s="7" t="s">
        <v>52</v>
      </c>
      <c r="P1288" s="7" t="n">
        <v>6.9</v>
      </c>
      <c r="Q1288" s="7" t="n">
        <v>21</v>
      </c>
      <c r="R1288" s="7" t="s">
        <v>53</v>
      </c>
      <c r="S1288" s="7"/>
      <c r="T1288" s="7"/>
      <c r="U1288" s="7" t="str">
        <f aca="false">IF(COUNTIF($A$2:$A$5001,A1288)&gt;1,"Duplicate","Unique")</f>
        <v>Unique</v>
      </c>
      <c r="V1288" s="7" t="str">
        <f aca="false">IF(COUNTIFS($B$2:$B$5001,B1288,$H$2:$H$5001,H1288,$J$2:$J$5001,J1288)&gt;1,"Possible Duplicate Booking","Unique")</f>
        <v>Unique</v>
      </c>
      <c r="W1288" s="7" t="str">
        <f aca="false">IF((H1288-G1288)&lt;&gt;K1288,"Mismatch","OK")</f>
        <v>OK</v>
      </c>
      <c r="X1288" s="7" t="str">
        <f aca="false">IF(TEXT(H1288,"dddd")&lt;&gt;I1288,"Mismatch","OK")</f>
        <v>OK</v>
      </c>
      <c r="Y1288" s="7" t="str">
        <f aca="false">IF(AND(N1288="No",O1288&lt;&gt;""),"Unexpected: channel present but no reminder sent",IF(AND(N1288="Yes",O1288=""),"Missing channel for sent reminder","OK"))</f>
        <v>OK</v>
      </c>
    </row>
    <row r="1289" customFormat="false" ht="15" hidden="false" customHeight="false" outlineLevel="0" collapsed="false">
      <c r="A1289" s="9" t="s">
        <v>2280</v>
      </c>
      <c r="B1289" s="9" t="s">
        <v>2281</v>
      </c>
      <c r="C1289" s="9" t="s">
        <v>37</v>
      </c>
      <c r="D1289" s="9" t="n">
        <v>41</v>
      </c>
      <c r="E1289" s="9" t="s">
        <v>38</v>
      </c>
      <c r="F1289" s="9" t="s">
        <v>39</v>
      </c>
      <c r="G1289" s="10" t="n">
        <v>45783</v>
      </c>
      <c r="H1289" s="10" t="n">
        <v>45786</v>
      </c>
      <c r="I1289" s="9" t="s">
        <v>50</v>
      </c>
      <c r="J1289" s="9" t="s">
        <v>51</v>
      </c>
      <c r="K1289" s="9" t="n">
        <v>3</v>
      </c>
      <c r="L1289" s="9" t="n">
        <v>3</v>
      </c>
      <c r="M1289" s="9" t="n">
        <v>2</v>
      </c>
      <c r="N1289" s="9" t="s">
        <v>42</v>
      </c>
      <c r="O1289" s="9" t="s">
        <v>52</v>
      </c>
      <c r="P1289" s="9" t="n">
        <v>4.8</v>
      </c>
      <c r="Q1289" s="9" t="n">
        <v>13</v>
      </c>
      <c r="R1289" s="9" t="s">
        <v>53</v>
      </c>
      <c r="S1289" s="9"/>
      <c r="T1289" s="9"/>
      <c r="U1289" s="9" t="str">
        <f aca="false">IF(COUNTIF($A$2:$A$5001,A1289)&gt;1,"Duplicate","Unique")</f>
        <v>Unique</v>
      </c>
      <c r="V1289" s="9" t="str">
        <f aca="false">IF(COUNTIFS($B$2:$B$5001,B1289,$H$2:$H$5001,H1289,$J$2:$J$5001,J1289)&gt;1,"Possible Duplicate Booking","Unique")</f>
        <v>Unique</v>
      </c>
      <c r="W1289" s="9" t="str">
        <f aca="false">IF((H1289-G1289)&lt;&gt;K1289,"Mismatch","OK")</f>
        <v>OK</v>
      </c>
      <c r="X1289" s="9" t="str">
        <f aca="false">IF(TEXT(H1289,"dddd")&lt;&gt;I1289,"Mismatch","OK")</f>
        <v>OK</v>
      </c>
      <c r="Y1289" s="9" t="str">
        <f aca="false">IF(AND(N1289="No",O1289&lt;&gt;""),"Unexpected: channel present but no reminder sent",IF(AND(N1289="Yes",O1289=""),"Missing channel for sent reminder","OK"))</f>
        <v>OK</v>
      </c>
    </row>
    <row r="1290" customFormat="false" ht="15" hidden="false" customHeight="false" outlineLevel="0" collapsed="false">
      <c r="A1290" s="7" t="s">
        <v>2282</v>
      </c>
      <c r="B1290" s="7" t="s">
        <v>2191</v>
      </c>
      <c r="C1290" s="7" t="s">
        <v>236</v>
      </c>
      <c r="D1290" s="7" t="n">
        <v>34</v>
      </c>
      <c r="E1290" s="7" t="s">
        <v>48</v>
      </c>
      <c r="F1290" s="7" t="s">
        <v>57</v>
      </c>
      <c r="G1290" s="8" t="n">
        <v>45697</v>
      </c>
      <c r="H1290" s="8" t="n">
        <v>45713</v>
      </c>
      <c r="I1290" s="7" t="s">
        <v>40</v>
      </c>
      <c r="J1290" s="7" t="s">
        <v>51</v>
      </c>
      <c r="K1290" s="7" t="n">
        <v>16</v>
      </c>
      <c r="L1290" s="7" t="n">
        <v>5</v>
      </c>
      <c r="M1290" s="7" t="n">
        <v>1</v>
      </c>
      <c r="N1290" s="7" t="s">
        <v>71</v>
      </c>
      <c r="O1290" s="7"/>
      <c r="P1290" s="7" t="n">
        <v>23.8</v>
      </c>
      <c r="Q1290" s="7" t="n">
        <v>20</v>
      </c>
      <c r="R1290" s="7" t="s">
        <v>53</v>
      </c>
      <c r="S1290" s="7"/>
      <c r="T1290" s="7"/>
      <c r="U1290" s="7" t="str">
        <f aca="false">IF(COUNTIF($A$2:$A$5001,A1290)&gt;1,"Duplicate","Unique")</f>
        <v>Unique</v>
      </c>
      <c r="V1290" s="7" t="str">
        <f aca="false">IF(COUNTIFS($B$2:$B$5001,B1290,$H$2:$H$5001,H1290,$J$2:$J$5001,J1290)&gt;1,"Possible Duplicate Booking","Unique")</f>
        <v>Unique</v>
      </c>
      <c r="W1290" s="7" t="str">
        <f aca="false">IF((H1290-G1290)&lt;&gt;K1290,"Mismatch","OK")</f>
        <v>OK</v>
      </c>
      <c r="X1290" s="7" t="str">
        <f aca="false">IF(TEXT(H1290,"dddd")&lt;&gt;I1290,"Mismatch","OK")</f>
        <v>OK</v>
      </c>
      <c r="Y1290" s="7" t="str">
        <f aca="false">IF(AND(N1290="No",O1290&lt;&gt;""),"Unexpected: channel present but no reminder sent",IF(AND(N1290="Yes",O1290=""),"Missing channel for sent reminder","OK"))</f>
        <v>OK</v>
      </c>
    </row>
    <row r="1291" customFormat="false" ht="15" hidden="false" customHeight="false" outlineLevel="0" collapsed="false">
      <c r="A1291" s="9" t="s">
        <v>2283</v>
      </c>
      <c r="B1291" s="9" t="s">
        <v>2284</v>
      </c>
      <c r="C1291" s="9" t="s">
        <v>47</v>
      </c>
      <c r="D1291" s="9" t="n">
        <v>57</v>
      </c>
      <c r="E1291" s="9" t="s">
        <v>61</v>
      </c>
      <c r="F1291" s="9" t="s">
        <v>49</v>
      </c>
      <c r="G1291" s="10" t="n">
        <v>45947</v>
      </c>
      <c r="H1291" s="10" t="n">
        <v>45997</v>
      </c>
      <c r="I1291" s="9" t="s">
        <v>102</v>
      </c>
      <c r="J1291" s="9" t="s">
        <v>41</v>
      </c>
      <c r="K1291" s="9" t="n">
        <v>50</v>
      </c>
      <c r="L1291" s="9" t="n">
        <v>3</v>
      </c>
      <c r="M1291" s="9" t="n">
        <v>0</v>
      </c>
      <c r="N1291" s="9" t="s">
        <v>42</v>
      </c>
      <c r="O1291" s="9" t="s">
        <v>43</v>
      </c>
      <c r="P1291" s="9" t="n">
        <v>9.2</v>
      </c>
      <c r="Q1291" s="9" t="n">
        <v>28</v>
      </c>
      <c r="R1291" s="9" t="s">
        <v>44</v>
      </c>
      <c r="S1291" s="9"/>
      <c r="T1291" s="9"/>
      <c r="U1291" s="9" t="str">
        <f aca="false">IF(COUNTIF($A$2:$A$5001,A1291)&gt;1,"Duplicate","Unique")</f>
        <v>Unique</v>
      </c>
      <c r="V1291" s="9" t="str">
        <f aca="false">IF(COUNTIFS($B$2:$B$5001,B1291,$H$2:$H$5001,H1291,$J$2:$J$5001,J1291)&gt;1,"Possible Duplicate Booking","Unique")</f>
        <v>Unique</v>
      </c>
      <c r="W1291" s="9" t="str">
        <f aca="false">IF((H1291-G1291)&lt;&gt;K1291,"Mismatch","OK")</f>
        <v>OK</v>
      </c>
      <c r="X1291" s="9" t="str">
        <f aca="false">IF(TEXT(H1291,"dddd")&lt;&gt;I1291,"Mismatch","OK")</f>
        <v>OK</v>
      </c>
      <c r="Y1291" s="9" t="str">
        <f aca="false">IF(AND(N1291="No",O1291&lt;&gt;""),"Unexpected: channel present but no reminder sent",IF(AND(N1291="Yes",O1291=""),"Missing channel for sent reminder","OK"))</f>
        <v>OK</v>
      </c>
    </row>
    <row r="1292" customFormat="false" ht="15" hidden="false" customHeight="false" outlineLevel="0" collapsed="false">
      <c r="A1292" s="7" t="s">
        <v>2285</v>
      </c>
      <c r="B1292" s="7" t="s">
        <v>1268</v>
      </c>
      <c r="C1292" s="7" t="s">
        <v>37</v>
      </c>
      <c r="D1292" s="7" t="n">
        <v>69</v>
      </c>
      <c r="E1292" s="7" t="s">
        <v>70</v>
      </c>
      <c r="F1292" s="7" t="s">
        <v>74</v>
      </c>
      <c r="G1292" s="8" t="n">
        <v>45761</v>
      </c>
      <c r="H1292" s="8" t="n">
        <v>45785</v>
      </c>
      <c r="I1292" s="7" t="s">
        <v>62</v>
      </c>
      <c r="J1292" s="7" t="s">
        <v>51</v>
      </c>
      <c r="K1292" s="7" t="n">
        <v>24</v>
      </c>
      <c r="L1292" s="7" t="n">
        <v>8</v>
      </c>
      <c r="M1292" s="7" t="n">
        <v>1</v>
      </c>
      <c r="N1292" s="7" t="s">
        <v>42</v>
      </c>
      <c r="O1292" s="7" t="s">
        <v>52</v>
      </c>
      <c r="P1292" s="7" t="n">
        <v>4</v>
      </c>
      <c r="Q1292" s="7" t="n">
        <v>22</v>
      </c>
      <c r="R1292" s="7" t="s">
        <v>44</v>
      </c>
      <c r="S1292" s="7"/>
      <c r="T1292" s="7"/>
      <c r="U1292" s="7" t="str">
        <f aca="false">IF(COUNTIF($A$2:$A$5001,A1292)&gt;1,"Duplicate","Unique")</f>
        <v>Unique</v>
      </c>
      <c r="V1292" s="7" t="str">
        <f aca="false">IF(COUNTIFS($B$2:$B$5001,B1292,$H$2:$H$5001,H1292,$J$2:$J$5001,J1292)&gt;1,"Possible Duplicate Booking","Unique")</f>
        <v>Unique</v>
      </c>
      <c r="W1292" s="7" t="str">
        <f aca="false">IF((H1292-G1292)&lt;&gt;K1292,"Mismatch","OK")</f>
        <v>OK</v>
      </c>
      <c r="X1292" s="7" t="str">
        <f aca="false">IF(TEXT(H1292,"dddd")&lt;&gt;I1292,"Mismatch","OK")</f>
        <v>OK</v>
      </c>
      <c r="Y1292" s="7" t="str">
        <f aca="false">IF(AND(N1292="No",O1292&lt;&gt;""),"Unexpected: channel present but no reminder sent",IF(AND(N1292="Yes",O1292=""),"Missing channel for sent reminder","OK"))</f>
        <v>OK</v>
      </c>
    </row>
    <row r="1293" customFormat="false" ht="15" hidden="false" customHeight="false" outlineLevel="0" collapsed="false">
      <c r="A1293" s="9" t="s">
        <v>2286</v>
      </c>
      <c r="B1293" s="9" t="s">
        <v>2287</v>
      </c>
      <c r="C1293" s="9" t="s">
        <v>47</v>
      </c>
      <c r="D1293" s="9" t="n">
        <v>32</v>
      </c>
      <c r="E1293" s="9" t="s">
        <v>48</v>
      </c>
      <c r="F1293" s="9" t="s">
        <v>49</v>
      </c>
      <c r="G1293" s="10" t="n">
        <v>46087</v>
      </c>
      <c r="H1293" s="10" t="n">
        <v>46126</v>
      </c>
      <c r="I1293" s="9" t="s">
        <v>40</v>
      </c>
      <c r="J1293" s="9" t="s">
        <v>41</v>
      </c>
      <c r="K1293" s="9" t="n">
        <v>39</v>
      </c>
      <c r="L1293" s="9" t="n">
        <v>5</v>
      </c>
      <c r="M1293" s="9" t="n">
        <v>0</v>
      </c>
      <c r="N1293" s="9" t="s">
        <v>71</v>
      </c>
      <c r="O1293" s="9"/>
      <c r="P1293" s="9"/>
      <c r="Q1293" s="9" t="n">
        <v>26</v>
      </c>
      <c r="R1293" s="9" t="s">
        <v>44</v>
      </c>
      <c r="S1293" s="9"/>
      <c r="T1293" s="9"/>
      <c r="U1293" s="9" t="str">
        <f aca="false">IF(COUNTIF($A$2:$A$5001,A1293)&gt;1,"Duplicate","Unique")</f>
        <v>Unique</v>
      </c>
      <c r="V1293" s="9" t="str">
        <f aca="false">IF(COUNTIFS($B$2:$B$5001,B1293,$H$2:$H$5001,H1293,$J$2:$J$5001,J1293)&gt;1,"Possible Duplicate Booking","Unique")</f>
        <v>Unique</v>
      </c>
      <c r="W1293" s="9" t="str">
        <f aca="false">IF((H1293-G1293)&lt;&gt;K1293,"Mismatch","OK")</f>
        <v>OK</v>
      </c>
      <c r="X1293" s="9" t="str">
        <f aca="false">IF(TEXT(H1293,"dddd")&lt;&gt;I1293,"Mismatch","OK")</f>
        <v>OK</v>
      </c>
      <c r="Y1293" s="9" t="str">
        <f aca="false">IF(AND(N1293="No",O1293&lt;&gt;""),"Unexpected: channel present but no reminder sent",IF(AND(N1293="Yes",O1293=""),"Missing channel for sent reminder","OK"))</f>
        <v>OK</v>
      </c>
    </row>
    <row r="1294" customFormat="false" ht="15" hidden="false" customHeight="false" outlineLevel="0" collapsed="false">
      <c r="A1294" s="7" t="s">
        <v>2288</v>
      </c>
      <c r="B1294" s="7" t="s">
        <v>1138</v>
      </c>
      <c r="C1294" s="7" t="s">
        <v>47</v>
      </c>
      <c r="D1294" s="7" t="n">
        <v>66</v>
      </c>
      <c r="E1294" s="7" t="s">
        <v>70</v>
      </c>
      <c r="F1294" s="7" t="s">
        <v>57</v>
      </c>
      <c r="G1294" s="8" t="n">
        <v>45898</v>
      </c>
      <c r="H1294" s="8" t="n">
        <v>45900</v>
      </c>
      <c r="I1294" s="7" t="s">
        <v>75</v>
      </c>
      <c r="J1294" s="7" t="s">
        <v>51</v>
      </c>
      <c r="K1294" s="7" t="n">
        <v>2</v>
      </c>
      <c r="L1294" s="7" t="n">
        <v>3</v>
      </c>
      <c r="M1294" s="7" t="n">
        <v>2</v>
      </c>
      <c r="N1294" s="7" t="s">
        <v>71</v>
      </c>
      <c r="O1294" s="7"/>
      <c r="P1294" s="7" t="n">
        <v>7.6</v>
      </c>
      <c r="Q1294" s="7" t="n">
        <v>22</v>
      </c>
      <c r="R1294" s="7" t="s">
        <v>53</v>
      </c>
      <c r="S1294" s="7"/>
      <c r="T1294" s="7"/>
      <c r="U1294" s="7" t="str">
        <f aca="false">IF(COUNTIF($A$2:$A$5001,A1294)&gt;1,"Duplicate","Unique")</f>
        <v>Unique</v>
      </c>
      <c r="V1294" s="7" t="str">
        <f aca="false">IF(COUNTIFS($B$2:$B$5001,B1294,$H$2:$H$5001,H1294,$J$2:$J$5001,J1294)&gt;1,"Possible Duplicate Booking","Unique")</f>
        <v>Unique</v>
      </c>
      <c r="W1294" s="7" t="str">
        <f aca="false">IF((H1294-G1294)&lt;&gt;K1294,"Mismatch","OK")</f>
        <v>OK</v>
      </c>
      <c r="X1294" s="7" t="str">
        <f aca="false">IF(TEXT(H1294,"dddd")&lt;&gt;I1294,"Mismatch","OK")</f>
        <v>OK</v>
      </c>
      <c r="Y1294" s="7" t="str">
        <f aca="false">IF(AND(N1294="No",O1294&lt;&gt;""),"Unexpected: channel present but no reminder sent",IF(AND(N1294="Yes",O1294=""),"Missing channel for sent reminder","OK"))</f>
        <v>OK</v>
      </c>
    </row>
    <row r="1295" customFormat="false" ht="15" hidden="false" customHeight="false" outlineLevel="0" collapsed="false">
      <c r="A1295" s="9" t="s">
        <v>2289</v>
      </c>
      <c r="B1295" s="9" t="s">
        <v>278</v>
      </c>
      <c r="C1295" s="9" t="s">
        <v>236</v>
      </c>
      <c r="D1295" s="9" t="n">
        <v>54</v>
      </c>
      <c r="E1295" s="9" t="s">
        <v>56</v>
      </c>
      <c r="F1295" s="9" t="s">
        <v>49</v>
      </c>
      <c r="G1295" s="10" t="n">
        <v>45616</v>
      </c>
      <c r="H1295" s="10" t="n">
        <v>45660</v>
      </c>
      <c r="I1295" s="9" t="s">
        <v>50</v>
      </c>
      <c r="J1295" s="9" t="s">
        <v>41</v>
      </c>
      <c r="K1295" s="9" t="n">
        <v>44</v>
      </c>
      <c r="L1295" s="9" t="n">
        <v>4</v>
      </c>
      <c r="M1295" s="9" t="n">
        <v>1</v>
      </c>
      <c r="N1295" s="9" t="s">
        <v>71</v>
      </c>
      <c r="O1295" s="9"/>
      <c r="P1295" s="9" t="n">
        <v>9.1</v>
      </c>
      <c r="Q1295" s="9" t="n">
        <v>43</v>
      </c>
      <c r="R1295" s="9" t="s">
        <v>44</v>
      </c>
      <c r="S1295" s="9"/>
      <c r="T1295" s="9"/>
      <c r="U1295" s="9" t="str">
        <f aca="false">IF(COUNTIF($A$2:$A$5001,A1295)&gt;1,"Duplicate","Unique")</f>
        <v>Unique</v>
      </c>
      <c r="V1295" s="9" t="str">
        <f aca="false">IF(COUNTIFS($B$2:$B$5001,B1295,$H$2:$H$5001,H1295,$J$2:$J$5001,J1295)&gt;1,"Possible Duplicate Booking","Unique")</f>
        <v>Unique</v>
      </c>
      <c r="W1295" s="9" t="str">
        <f aca="false">IF((H1295-G1295)&lt;&gt;K1295,"Mismatch","OK")</f>
        <v>OK</v>
      </c>
      <c r="X1295" s="9" t="str">
        <f aca="false">IF(TEXT(H1295,"dddd")&lt;&gt;I1295,"Mismatch","OK")</f>
        <v>OK</v>
      </c>
      <c r="Y1295" s="9" t="str">
        <f aca="false">IF(AND(N1295="No",O1295&lt;&gt;""),"Unexpected: channel present but no reminder sent",IF(AND(N1295="Yes",O1295=""),"Missing channel for sent reminder","OK"))</f>
        <v>OK</v>
      </c>
    </row>
    <row r="1296" customFormat="false" ht="15" hidden="false" customHeight="false" outlineLevel="0" collapsed="false">
      <c r="A1296" s="7" t="s">
        <v>2290</v>
      </c>
      <c r="B1296" s="7" t="s">
        <v>97</v>
      </c>
      <c r="C1296" s="7" t="s">
        <v>37</v>
      </c>
      <c r="D1296" s="7" t="n">
        <v>69</v>
      </c>
      <c r="E1296" s="7" t="s">
        <v>70</v>
      </c>
      <c r="F1296" s="7" t="s">
        <v>39</v>
      </c>
      <c r="G1296" s="8" t="n">
        <v>46173</v>
      </c>
      <c r="H1296" s="8" t="n">
        <v>46177</v>
      </c>
      <c r="I1296" s="7" t="s">
        <v>62</v>
      </c>
      <c r="J1296" s="7" t="s">
        <v>51</v>
      </c>
      <c r="K1296" s="7" t="n">
        <v>4</v>
      </c>
      <c r="L1296" s="7" t="n">
        <v>5</v>
      </c>
      <c r="M1296" s="7" t="n">
        <v>0</v>
      </c>
      <c r="N1296" s="7" t="s">
        <v>71</v>
      </c>
      <c r="O1296" s="7"/>
      <c r="P1296" s="7" t="n">
        <v>26.3</v>
      </c>
      <c r="Q1296" s="7" t="n">
        <v>39</v>
      </c>
      <c r="R1296" s="7" t="s">
        <v>53</v>
      </c>
      <c r="S1296" s="7"/>
      <c r="T1296" s="7"/>
      <c r="U1296" s="7" t="str">
        <f aca="false">IF(COUNTIF($A$2:$A$5001,A1296)&gt;1,"Duplicate","Unique")</f>
        <v>Unique</v>
      </c>
      <c r="V1296" s="7" t="str">
        <f aca="false">IF(COUNTIFS($B$2:$B$5001,B1296,$H$2:$H$5001,H1296,$J$2:$J$5001,J1296)&gt;1,"Possible Duplicate Booking","Unique")</f>
        <v>Unique</v>
      </c>
      <c r="W1296" s="7" t="str">
        <f aca="false">IF((H1296-G1296)&lt;&gt;K1296,"Mismatch","OK")</f>
        <v>OK</v>
      </c>
      <c r="X1296" s="7" t="str">
        <f aca="false">IF(TEXT(H1296,"dddd")&lt;&gt;I1296,"Mismatch","OK")</f>
        <v>OK</v>
      </c>
      <c r="Y1296" s="7" t="str">
        <f aca="false">IF(AND(N1296="No",O1296&lt;&gt;""),"Unexpected: channel present but no reminder sent",IF(AND(N1296="Yes",O1296=""),"Missing channel for sent reminder","OK"))</f>
        <v>OK</v>
      </c>
    </row>
    <row r="1297" customFormat="false" ht="15" hidden="false" customHeight="false" outlineLevel="0" collapsed="false">
      <c r="A1297" s="9" t="s">
        <v>2291</v>
      </c>
      <c r="B1297" s="9" t="s">
        <v>2292</v>
      </c>
      <c r="C1297" s="9" t="s">
        <v>236</v>
      </c>
      <c r="D1297" s="9" t="n">
        <v>23</v>
      </c>
      <c r="E1297" s="9" t="s">
        <v>82</v>
      </c>
      <c r="F1297" s="9" t="s">
        <v>39</v>
      </c>
      <c r="G1297" s="10" t="n">
        <v>45895</v>
      </c>
      <c r="H1297" s="10" t="n">
        <v>45938</v>
      </c>
      <c r="I1297" s="9" t="s">
        <v>58</v>
      </c>
      <c r="J1297" s="9" t="s">
        <v>41</v>
      </c>
      <c r="K1297" s="9" t="n">
        <v>43</v>
      </c>
      <c r="L1297" s="9" t="n">
        <v>3</v>
      </c>
      <c r="M1297" s="9" t="n">
        <v>1</v>
      </c>
      <c r="N1297" s="9" t="s">
        <v>42</v>
      </c>
      <c r="O1297" s="9" t="s">
        <v>52</v>
      </c>
      <c r="P1297" s="9" t="n">
        <v>9.5</v>
      </c>
      <c r="Q1297" s="9" t="n">
        <v>25</v>
      </c>
      <c r="R1297" s="9" t="s">
        <v>53</v>
      </c>
      <c r="S1297" s="9"/>
      <c r="T1297" s="9"/>
      <c r="U1297" s="9" t="str">
        <f aca="false">IF(COUNTIF($A$2:$A$5001,A1297)&gt;1,"Duplicate","Unique")</f>
        <v>Unique</v>
      </c>
      <c r="V1297" s="9" t="str">
        <f aca="false">IF(COUNTIFS($B$2:$B$5001,B1297,$H$2:$H$5001,H1297,$J$2:$J$5001,J1297)&gt;1,"Possible Duplicate Booking","Unique")</f>
        <v>Unique</v>
      </c>
      <c r="W1297" s="9" t="str">
        <f aca="false">IF((H1297-G1297)&lt;&gt;K1297,"Mismatch","OK")</f>
        <v>OK</v>
      </c>
      <c r="X1297" s="9" t="str">
        <f aca="false">IF(TEXT(H1297,"dddd")&lt;&gt;I1297,"Mismatch","OK")</f>
        <v>OK</v>
      </c>
      <c r="Y1297" s="9" t="str">
        <f aca="false">IF(AND(N1297="No",O1297&lt;&gt;""),"Unexpected: channel present but no reminder sent",IF(AND(N1297="Yes",O1297=""),"Missing channel for sent reminder","OK"))</f>
        <v>OK</v>
      </c>
    </row>
    <row r="1298" customFormat="false" ht="15" hidden="false" customHeight="false" outlineLevel="0" collapsed="false">
      <c r="A1298" s="7" t="s">
        <v>2293</v>
      </c>
      <c r="B1298" s="7" t="s">
        <v>2102</v>
      </c>
      <c r="C1298" s="7" t="s">
        <v>37</v>
      </c>
      <c r="D1298" s="7" t="n">
        <v>80</v>
      </c>
      <c r="E1298" s="7" t="s">
        <v>70</v>
      </c>
      <c r="F1298" s="7" t="s">
        <v>39</v>
      </c>
      <c r="G1298" s="8" t="n">
        <v>45792</v>
      </c>
      <c r="H1298" s="8" t="n">
        <v>45801</v>
      </c>
      <c r="I1298" s="7" t="s">
        <v>102</v>
      </c>
      <c r="J1298" s="7" t="s">
        <v>51</v>
      </c>
      <c r="K1298" s="7" t="n">
        <v>9</v>
      </c>
      <c r="L1298" s="7" t="n">
        <v>4</v>
      </c>
      <c r="M1298" s="7" t="n">
        <v>0</v>
      </c>
      <c r="N1298" s="7" t="s">
        <v>42</v>
      </c>
      <c r="O1298" s="7" t="s">
        <v>52</v>
      </c>
      <c r="P1298" s="7" t="n">
        <v>19.2</v>
      </c>
      <c r="Q1298" s="7" t="n">
        <v>15</v>
      </c>
      <c r="R1298" s="7" t="s">
        <v>53</v>
      </c>
      <c r="S1298" s="7"/>
      <c r="T1298" s="7"/>
      <c r="U1298" s="7" t="str">
        <f aca="false">IF(COUNTIF($A$2:$A$5001,A1298)&gt;1,"Duplicate","Unique")</f>
        <v>Unique</v>
      </c>
      <c r="V1298" s="7" t="str">
        <f aca="false">IF(COUNTIFS($B$2:$B$5001,B1298,$H$2:$H$5001,H1298,$J$2:$J$5001,J1298)&gt;1,"Possible Duplicate Booking","Unique")</f>
        <v>Unique</v>
      </c>
      <c r="W1298" s="7" t="str">
        <f aca="false">IF((H1298-G1298)&lt;&gt;K1298,"Mismatch","OK")</f>
        <v>OK</v>
      </c>
      <c r="X1298" s="7" t="str">
        <f aca="false">IF(TEXT(H1298,"dddd")&lt;&gt;I1298,"Mismatch","OK")</f>
        <v>OK</v>
      </c>
      <c r="Y1298" s="7" t="str">
        <f aca="false">IF(AND(N1298="No",O1298&lt;&gt;""),"Unexpected: channel present but no reminder sent",IF(AND(N1298="Yes",O1298=""),"Missing channel for sent reminder","OK"))</f>
        <v>OK</v>
      </c>
    </row>
    <row r="1299" customFormat="false" ht="15" hidden="false" customHeight="false" outlineLevel="0" collapsed="false">
      <c r="A1299" s="9" t="s">
        <v>2294</v>
      </c>
      <c r="B1299" s="9" t="s">
        <v>1888</v>
      </c>
      <c r="C1299" s="9" t="s">
        <v>37</v>
      </c>
      <c r="D1299" s="9" t="n">
        <v>45</v>
      </c>
      <c r="E1299" s="9" t="s">
        <v>56</v>
      </c>
      <c r="F1299" s="9" t="s">
        <v>39</v>
      </c>
      <c r="G1299" s="10" t="n">
        <v>45975</v>
      </c>
      <c r="H1299" s="10" t="n">
        <v>46027</v>
      </c>
      <c r="I1299" s="9" t="s">
        <v>66</v>
      </c>
      <c r="J1299" s="9" t="s">
        <v>51</v>
      </c>
      <c r="K1299" s="9" t="n">
        <v>52</v>
      </c>
      <c r="L1299" s="9" t="n">
        <v>0</v>
      </c>
      <c r="M1299" s="9" t="n">
        <v>0</v>
      </c>
      <c r="N1299" s="9" t="s">
        <v>42</v>
      </c>
      <c r="O1299" s="9" t="s">
        <v>43</v>
      </c>
      <c r="P1299" s="9" t="n">
        <v>6.1</v>
      </c>
      <c r="Q1299" s="9" t="n">
        <v>18</v>
      </c>
      <c r="R1299" s="9" t="s">
        <v>44</v>
      </c>
      <c r="S1299" s="9"/>
      <c r="T1299" s="9"/>
      <c r="U1299" s="9" t="str">
        <f aca="false">IF(COUNTIF($A$2:$A$5001,A1299)&gt;1,"Duplicate","Unique")</f>
        <v>Unique</v>
      </c>
      <c r="V1299" s="9" t="str">
        <f aca="false">IF(COUNTIFS($B$2:$B$5001,B1299,$H$2:$H$5001,H1299,$J$2:$J$5001,J1299)&gt;1,"Possible Duplicate Booking","Unique")</f>
        <v>Unique</v>
      </c>
      <c r="W1299" s="9" t="str">
        <f aca="false">IF((H1299-G1299)&lt;&gt;K1299,"Mismatch","OK")</f>
        <v>OK</v>
      </c>
      <c r="X1299" s="9" t="str">
        <f aca="false">IF(TEXT(H1299,"dddd")&lt;&gt;I1299,"Mismatch","OK")</f>
        <v>OK</v>
      </c>
      <c r="Y1299" s="9" t="str">
        <f aca="false">IF(AND(N1299="No",O1299&lt;&gt;""),"Unexpected: channel present but no reminder sent",IF(AND(N1299="Yes",O1299=""),"Missing channel for sent reminder","OK"))</f>
        <v>OK</v>
      </c>
    </row>
    <row r="1300" customFormat="false" ht="15" hidden="false" customHeight="false" outlineLevel="0" collapsed="false">
      <c r="A1300" s="7" t="s">
        <v>2295</v>
      </c>
      <c r="B1300" s="7" t="s">
        <v>2049</v>
      </c>
      <c r="C1300" s="7" t="s">
        <v>47</v>
      </c>
      <c r="D1300" s="7" t="n">
        <v>35</v>
      </c>
      <c r="E1300" s="7" t="s">
        <v>38</v>
      </c>
      <c r="F1300" s="7" t="s">
        <v>57</v>
      </c>
      <c r="G1300" s="8" t="n">
        <v>45929</v>
      </c>
      <c r="H1300" s="8" t="n">
        <v>45947</v>
      </c>
      <c r="I1300" s="7" t="s">
        <v>50</v>
      </c>
      <c r="J1300" s="7" t="s">
        <v>51</v>
      </c>
      <c r="K1300" s="7" t="n">
        <v>18</v>
      </c>
      <c r="L1300" s="7" t="n">
        <v>2</v>
      </c>
      <c r="M1300" s="7" t="n">
        <v>0</v>
      </c>
      <c r="N1300" s="7" t="s">
        <v>42</v>
      </c>
      <c r="O1300" s="7" t="s">
        <v>52</v>
      </c>
      <c r="P1300" s="7" t="n">
        <v>14.4</v>
      </c>
      <c r="Q1300" s="7" t="n">
        <v>10</v>
      </c>
      <c r="R1300" s="7" t="s">
        <v>53</v>
      </c>
      <c r="S1300" s="7"/>
      <c r="T1300" s="7"/>
      <c r="U1300" s="7" t="str">
        <f aca="false">IF(COUNTIF($A$2:$A$5001,A1300)&gt;1,"Duplicate","Unique")</f>
        <v>Unique</v>
      </c>
      <c r="V1300" s="7" t="str">
        <f aca="false">IF(COUNTIFS($B$2:$B$5001,B1300,$H$2:$H$5001,H1300,$J$2:$J$5001,J1300)&gt;1,"Possible Duplicate Booking","Unique")</f>
        <v>Unique</v>
      </c>
      <c r="W1300" s="7" t="str">
        <f aca="false">IF((H1300-G1300)&lt;&gt;K1300,"Mismatch","OK")</f>
        <v>OK</v>
      </c>
      <c r="X1300" s="7" t="str">
        <f aca="false">IF(TEXT(H1300,"dddd")&lt;&gt;I1300,"Mismatch","OK")</f>
        <v>OK</v>
      </c>
      <c r="Y1300" s="7" t="str">
        <f aca="false">IF(AND(N1300="No",O1300&lt;&gt;""),"Unexpected: channel present but no reminder sent",IF(AND(N1300="Yes",O1300=""),"Missing channel for sent reminder","OK"))</f>
        <v>OK</v>
      </c>
    </row>
    <row r="1301" customFormat="false" ht="15" hidden="false" customHeight="false" outlineLevel="0" collapsed="false">
      <c r="A1301" s="9" t="s">
        <v>2296</v>
      </c>
      <c r="B1301" s="9" t="s">
        <v>2297</v>
      </c>
      <c r="C1301" s="9" t="s">
        <v>37</v>
      </c>
      <c r="D1301" s="9" t="n">
        <v>29</v>
      </c>
      <c r="E1301" s="9" t="s">
        <v>48</v>
      </c>
      <c r="F1301" s="9" t="s">
        <v>57</v>
      </c>
      <c r="G1301" s="10" t="n">
        <v>45663</v>
      </c>
      <c r="H1301" s="10" t="n">
        <v>45674</v>
      </c>
      <c r="I1301" s="9" t="s">
        <v>50</v>
      </c>
      <c r="J1301" s="9" t="s">
        <v>41</v>
      </c>
      <c r="K1301" s="9" t="n">
        <v>11</v>
      </c>
      <c r="L1301" s="9" t="n">
        <v>5</v>
      </c>
      <c r="M1301" s="9" t="n">
        <v>2</v>
      </c>
      <c r="N1301" s="9" t="s">
        <v>42</v>
      </c>
      <c r="O1301" s="9" t="s">
        <v>67</v>
      </c>
      <c r="P1301" s="9" t="n">
        <v>10</v>
      </c>
      <c r="Q1301" s="9" t="n">
        <v>15</v>
      </c>
      <c r="R1301" s="9" t="s">
        <v>53</v>
      </c>
      <c r="S1301" s="9"/>
      <c r="T1301" s="9"/>
      <c r="U1301" s="9" t="str">
        <f aca="false">IF(COUNTIF($A$2:$A$5001,A1301)&gt;1,"Duplicate","Unique")</f>
        <v>Unique</v>
      </c>
      <c r="V1301" s="9" t="str">
        <f aca="false">IF(COUNTIFS($B$2:$B$5001,B1301,$H$2:$H$5001,H1301,$J$2:$J$5001,J1301)&gt;1,"Possible Duplicate Booking","Unique")</f>
        <v>Unique</v>
      </c>
      <c r="W1301" s="9" t="str">
        <f aca="false">IF((H1301-G1301)&lt;&gt;K1301,"Mismatch","OK")</f>
        <v>OK</v>
      </c>
      <c r="X1301" s="9" t="str">
        <f aca="false">IF(TEXT(H1301,"dddd")&lt;&gt;I1301,"Mismatch","OK")</f>
        <v>OK</v>
      </c>
      <c r="Y1301" s="9" t="str">
        <f aca="false">IF(AND(N1301="No",O1301&lt;&gt;""),"Unexpected: channel present but no reminder sent",IF(AND(N1301="Yes",O1301=""),"Missing channel for sent reminder","OK"))</f>
        <v>OK</v>
      </c>
    </row>
    <row r="1302" customFormat="false" ht="15" hidden="false" customHeight="false" outlineLevel="0" collapsed="false">
      <c r="A1302" s="7" t="s">
        <v>2298</v>
      </c>
      <c r="B1302" s="7" t="s">
        <v>1596</v>
      </c>
      <c r="C1302" s="7" t="s">
        <v>37</v>
      </c>
      <c r="D1302" s="7" t="n">
        <v>80</v>
      </c>
      <c r="E1302" s="7" t="s">
        <v>70</v>
      </c>
      <c r="F1302" s="7" t="s">
        <v>57</v>
      </c>
      <c r="G1302" s="8" t="n">
        <v>46052</v>
      </c>
      <c r="H1302" s="8" t="n">
        <v>46072</v>
      </c>
      <c r="I1302" s="7" t="s">
        <v>62</v>
      </c>
      <c r="J1302" s="7" t="s">
        <v>51</v>
      </c>
      <c r="K1302" s="7" t="n">
        <v>20</v>
      </c>
      <c r="L1302" s="7" t="n">
        <v>2</v>
      </c>
      <c r="M1302" s="7" t="n">
        <v>2</v>
      </c>
      <c r="N1302" s="7" t="s">
        <v>42</v>
      </c>
      <c r="O1302" s="7" t="s">
        <v>43</v>
      </c>
      <c r="P1302" s="7" t="n">
        <v>16.2</v>
      </c>
      <c r="Q1302" s="7" t="n">
        <v>31</v>
      </c>
      <c r="R1302" s="7" t="s">
        <v>53</v>
      </c>
      <c r="S1302" s="7"/>
      <c r="T1302" s="7"/>
      <c r="U1302" s="7" t="str">
        <f aca="false">IF(COUNTIF($A$2:$A$5001,A1302)&gt;1,"Duplicate","Unique")</f>
        <v>Unique</v>
      </c>
      <c r="V1302" s="7" t="str">
        <f aca="false">IF(COUNTIFS($B$2:$B$5001,B1302,$H$2:$H$5001,H1302,$J$2:$J$5001,J1302)&gt;1,"Possible Duplicate Booking","Unique")</f>
        <v>Unique</v>
      </c>
      <c r="W1302" s="7" t="str">
        <f aca="false">IF((H1302-G1302)&lt;&gt;K1302,"Mismatch","OK")</f>
        <v>OK</v>
      </c>
      <c r="X1302" s="7" t="str">
        <f aca="false">IF(TEXT(H1302,"dddd")&lt;&gt;I1302,"Mismatch","OK")</f>
        <v>OK</v>
      </c>
      <c r="Y1302" s="7" t="str">
        <f aca="false">IF(AND(N1302="No",O1302&lt;&gt;""),"Unexpected: channel present but no reminder sent",IF(AND(N1302="Yes",O1302=""),"Missing channel for sent reminder","OK"))</f>
        <v>OK</v>
      </c>
    </row>
    <row r="1303" customFormat="false" ht="15" hidden="false" customHeight="false" outlineLevel="0" collapsed="false">
      <c r="A1303" s="9" t="s">
        <v>2299</v>
      </c>
      <c r="B1303" s="9" t="s">
        <v>1520</v>
      </c>
      <c r="C1303" s="9" t="s">
        <v>37</v>
      </c>
      <c r="D1303" s="9" t="n">
        <v>73</v>
      </c>
      <c r="E1303" s="9" t="s">
        <v>70</v>
      </c>
      <c r="F1303" s="9" t="s">
        <v>57</v>
      </c>
      <c r="G1303" s="10" t="n">
        <v>45877</v>
      </c>
      <c r="H1303" s="10" t="n">
        <v>45877</v>
      </c>
      <c r="I1303" s="9" t="s">
        <v>50</v>
      </c>
      <c r="J1303" s="9" t="s">
        <v>41</v>
      </c>
      <c r="K1303" s="9" t="n">
        <v>0</v>
      </c>
      <c r="L1303" s="9" t="n">
        <v>4</v>
      </c>
      <c r="M1303" s="9" t="n">
        <v>0</v>
      </c>
      <c r="N1303" s="9" t="s">
        <v>71</v>
      </c>
      <c r="O1303" s="9"/>
      <c r="P1303" s="9" t="n">
        <v>9.2</v>
      </c>
      <c r="Q1303" s="9" t="n">
        <v>17</v>
      </c>
      <c r="R1303" s="9" t="s">
        <v>53</v>
      </c>
      <c r="S1303" s="9"/>
      <c r="T1303" s="9"/>
      <c r="U1303" s="9" t="str">
        <f aca="false">IF(COUNTIF($A$2:$A$5001,A1303)&gt;1,"Duplicate","Unique")</f>
        <v>Unique</v>
      </c>
      <c r="V1303" s="9" t="str">
        <f aca="false">IF(COUNTIFS($B$2:$B$5001,B1303,$H$2:$H$5001,H1303,$J$2:$J$5001,J1303)&gt;1,"Possible Duplicate Booking","Unique")</f>
        <v>Unique</v>
      </c>
      <c r="W1303" s="9" t="str">
        <f aca="false">IF((H1303-G1303)&lt;&gt;K1303,"Mismatch","OK")</f>
        <v>OK</v>
      </c>
      <c r="X1303" s="9" t="str">
        <f aca="false">IF(TEXT(H1303,"dddd")&lt;&gt;I1303,"Mismatch","OK")</f>
        <v>OK</v>
      </c>
      <c r="Y1303" s="9" t="str">
        <f aca="false">IF(AND(N1303="No",O1303&lt;&gt;""),"Unexpected: channel present but no reminder sent",IF(AND(N1303="Yes",O1303=""),"Missing channel for sent reminder","OK"))</f>
        <v>OK</v>
      </c>
    </row>
    <row r="1304" customFormat="false" ht="15" hidden="false" customHeight="false" outlineLevel="0" collapsed="false">
      <c r="A1304" s="7" t="s">
        <v>2300</v>
      </c>
      <c r="B1304" s="7" t="s">
        <v>914</v>
      </c>
      <c r="C1304" s="7" t="s">
        <v>37</v>
      </c>
      <c r="D1304" s="7" t="n">
        <v>26</v>
      </c>
      <c r="E1304" s="7" t="s">
        <v>48</v>
      </c>
      <c r="F1304" s="7" t="s">
        <v>57</v>
      </c>
      <c r="G1304" s="8" t="n">
        <v>46030</v>
      </c>
      <c r="H1304" s="8" t="n">
        <v>46040</v>
      </c>
      <c r="I1304" s="7" t="s">
        <v>75</v>
      </c>
      <c r="J1304" s="7" t="s">
        <v>51</v>
      </c>
      <c r="K1304" s="7" t="n">
        <v>10</v>
      </c>
      <c r="L1304" s="7" t="n">
        <v>5</v>
      </c>
      <c r="M1304" s="7" t="n">
        <v>1</v>
      </c>
      <c r="N1304" s="7" t="s">
        <v>42</v>
      </c>
      <c r="O1304" s="7" t="s">
        <v>52</v>
      </c>
      <c r="P1304" s="7" t="n">
        <v>9</v>
      </c>
      <c r="Q1304" s="7" t="n">
        <v>22</v>
      </c>
      <c r="R1304" s="7" t="s">
        <v>44</v>
      </c>
      <c r="S1304" s="7"/>
      <c r="T1304" s="7"/>
      <c r="U1304" s="7" t="str">
        <f aca="false">IF(COUNTIF($A$2:$A$5001,A1304)&gt;1,"Duplicate","Unique")</f>
        <v>Unique</v>
      </c>
      <c r="V1304" s="7" t="str">
        <f aca="false">IF(COUNTIFS($B$2:$B$5001,B1304,$H$2:$H$5001,H1304,$J$2:$J$5001,J1304)&gt;1,"Possible Duplicate Booking","Unique")</f>
        <v>Unique</v>
      </c>
      <c r="W1304" s="7" t="str">
        <f aca="false">IF((H1304-G1304)&lt;&gt;K1304,"Mismatch","OK")</f>
        <v>OK</v>
      </c>
      <c r="X1304" s="7" t="str">
        <f aca="false">IF(TEXT(H1304,"dddd")&lt;&gt;I1304,"Mismatch","OK")</f>
        <v>OK</v>
      </c>
      <c r="Y1304" s="7" t="str">
        <f aca="false">IF(AND(N1304="No",O1304&lt;&gt;""),"Unexpected: channel present but no reminder sent",IF(AND(N1304="Yes",O1304=""),"Missing channel for sent reminder","OK"))</f>
        <v>OK</v>
      </c>
    </row>
    <row r="1305" customFormat="false" ht="15" hidden="false" customHeight="false" outlineLevel="0" collapsed="false">
      <c r="A1305" s="9" t="s">
        <v>2301</v>
      </c>
      <c r="B1305" s="9" t="s">
        <v>2302</v>
      </c>
      <c r="C1305" s="9" t="s">
        <v>37</v>
      </c>
      <c r="D1305" s="9" t="n">
        <v>46</v>
      </c>
      <c r="E1305" s="9" t="s">
        <v>56</v>
      </c>
      <c r="F1305" s="9" t="s">
        <v>57</v>
      </c>
      <c r="G1305" s="10" t="n">
        <v>46111</v>
      </c>
      <c r="H1305" s="10" t="n">
        <v>46147</v>
      </c>
      <c r="I1305" s="9" t="s">
        <v>40</v>
      </c>
      <c r="J1305" s="9" t="s">
        <v>41</v>
      </c>
      <c r="K1305" s="9" t="n">
        <v>36</v>
      </c>
      <c r="L1305" s="9" t="n">
        <v>4</v>
      </c>
      <c r="M1305" s="9" t="n">
        <v>0</v>
      </c>
      <c r="N1305" s="9" t="s">
        <v>71</v>
      </c>
      <c r="O1305" s="9"/>
      <c r="P1305" s="9" t="n">
        <v>18.6</v>
      </c>
      <c r="Q1305" s="9" t="n">
        <v>37</v>
      </c>
      <c r="R1305" s="9" t="s">
        <v>44</v>
      </c>
      <c r="S1305" s="9"/>
      <c r="T1305" s="9"/>
      <c r="U1305" s="9" t="str">
        <f aca="false">IF(COUNTIF($A$2:$A$5001,A1305)&gt;1,"Duplicate","Unique")</f>
        <v>Unique</v>
      </c>
      <c r="V1305" s="9" t="str">
        <f aca="false">IF(COUNTIFS($B$2:$B$5001,B1305,$H$2:$H$5001,H1305,$J$2:$J$5001,J1305)&gt;1,"Possible Duplicate Booking","Unique")</f>
        <v>Unique</v>
      </c>
      <c r="W1305" s="9" t="str">
        <f aca="false">IF((H1305-G1305)&lt;&gt;K1305,"Mismatch","OK")</f>
        <v>OK</v>
      </c>
      <c r="X1305" s="9" t="str">
        <f aca="false">IF(TEXT(H1305,"dddd")&lt;&gt;I1305,"Mismatch","OK")</f>
        <v>OK</v>
      </c>
      <c r="Y1305" s="9" t="str">
        <f aca="false">IF(AND(N1305="No",O1305&lt;&gt;""),"Unexpected: channel present but no reminder sent",IF(AND(N1305="Yes",O1305=""),"Missing channel for sent reminder","OK"))</f>
        <v>OK</v>
      </c>
    </row>
    <row r="1306" customFormat="false" ht="15" hidden="false" customHeight="false" outlineLevel="0" collapsed="false">
      <c r="A1306" s="7" t="s">
        <v>2303</v>
      </c>
      <c r="B1306" s="7" t="s">
        <v>883</v>
      </c>
      <c r="C1306" s="7" t="s">
        <v>37</v>
      </c>
      <c r="D1306" s="7" t="n">
        <v>64</v>
      </c>
      <c r="E1306" s="7" t="s">
        <v>61</v>
      </c>
      <c r="F1306" s="7" t="s">
        <v>49</v>
      </c>
      <c r="G1306" s="8" t="n">
        <v>45973</v>
      </c>
      <c r="H1306" s="8" t="n">
        <v>45991</v>
      </c>
      <c r="I1306" s="7" t="s">
        <v>75</v>
      </c>
      <c r="J1306" s="7" t="s">
        <v>41</v>
      </c>
      <c r="K1306" s="7" t="n">
        <v>18</v>
      </c>
      <c r="L1306" s="7" t="n">
        <v>6</v>
      </c>
      <c r="M1306" s="7" t="n">
        <v>2</v>
      </c>
      <c r="N1306" s="7" t="s">
        <v>42</v>
      </c>
      <c r="O1306" s="7" t="s">
        <v>43</v>
      </c>
      <c r="P1306" s="7" t="n">
        <v>5</v>
      </c>
      <c r="Q1306" s="7" t="n">
        <v>30</v>
      </c>
      <c r="R1306" s="7" t="s">
        <v>53</v>
      </c>
      <c r="S1306" s="7"/>
      <c r="T1306" s="7"/>
      <c r="U1306" s="7" t="str">
        <f aca="false">IF(COUNTIF($A$2:$A$5001,A1306)&gt;1,"Duplicate","Unique")</f>
        <v>Unique</v>
      </c>
      <c r="V1306" s="7" t="str">
        <f aca="false">IF(COUNTIFS($B$2:$B$5001,B1306,$H$2:$H$5001,H1306,$J$2:$J$5001,J1306)&gt;1,"Possible Duplicate Booking","Unique")</f>
        <v>Unique</v>
      </c>
      <c r="W1306" s="7" t="str">
        <f aca="false">IF((H1306-G1306)&lt;&gt;K1306,"Mismatch","OK")</f>
        <v>OK</v>
      </c>
      <c r="X1306" s="7" t="str">
        <f aca="false">IF(TEXT(H1306,"dddd")&lt;&gt;I1306,"Mismatch","OK")</f>
        <v>OK</v>
      </c>
      <c r="Y1306" s="7" t="str">
        <f aca="false">IF(AND(N1306="No",O1306&lt;&gt;""),"Unexpected: channel present but no reminder sent",IF(AND(N1306="Yes",O1306=""),"Missing channel for sent reminder","OK"))</f>
        <v>OK</v>
      </c>
    </row>
    <row r="1307" customFormat="false" ht="15" hidden="false" customHeight="false" outlineLevel="0" collapsed="false">
      <c r="A1307" s="9" t="s">
        <v>2304</v>
      </c>
      <c r="B1307" s="9" t="s">
        <v>634</v>
      </c>
      <c r="C1307" s="9" t="s">
        <v>47</v>
      </c>
      <c r="D1307" s="9" t="n">
        <v>55</v>
      </c>
      <c r="E1307" s="9" t="s">
        <v>61</v>
      </c>
      <c r="F1307" s="9" t="s">
        <v>39</v>
      </c>
      <c r="G1307" s="10" t="n">
        <v>46003</v>
      </c>
      <c r="H1307" s="10" t="n">
        <v>46024</v>
      </c>
      <c r="I1307" s="9" t="s">
        <v>50</v>
      </c>
      <c r="J1307" s="9" t="s">
        <v>51</v>
      </c>
      <c r="K1307" s="9" t="n">
        <v>21</v>
      </c>
      <c r="L1307" s="9" t="n">
        <v>2</v>
      </c>
      <c r="M1307" s="9" t="n">
        <v>0</v>
      </c>
      <c r="N1307" s="9" t="s">
        <v>71</v>
      </c>
      <c r="O1307" s="9"/>
      <c r="P1307" s="9" t="n">
        <v>5.5</v>
      </c>
      <c r="Q1307" s="9" t="n">
        <v>25</v>
      </c>
      <c r="R1307" s="9" t="s">
        <v>53</v>
      </c>
      <c r="S1307" s="9"/>
      <c r="T1307" s="9"/>
      <c r="U1307" s="9" t="str">
        <f aca="false">IF(COUNTIF($A$2:$A$5001,A1307)&gt;1,"Duplicate","Unique")</f>
        <v>Unique</v>
      </c>
      <c r="V1307" s="9" t="str">
        <f aca="false">IF(COUNTIFS($B$2:$B$5001,B1307,$H$2:$H$5001,H1307,$J$2:$J$5001,J1307)&gt;1,"Possible Duplicate Booking","Unique")</f>
        <v>Unique</v>
      </c>
      <c r="W1307" s="9" t="str">
        <f aca="false">IF((H1307-G1307)&lt;&gt;K1307,"Mismatch","OK")</f>
        <v>OK</v>
      </c>
      <c r="X1307" s="9" t="str">
        <f aca="false">IF(TEXT(H1307,"dddd")&lt;&gt;I1307,"Mismatch","OK")</f>
        <v>OK</v>
      </c>
      <c r="Y1307" s="9" t="str">
        <f aca="false">IF(AND(N1307="No",O1307&lt;&gt;""),"Unexpected: channel present but no reminder sent",IF(AND(N1307="Yes",O1307=""),"Missing channel for sent reminder","OK"))</f>
        <v>OK</v>
      </c>
    </row>
    <row r="1308" customFormat="false" ht="15" hidden="false" customHeight="false" outlineLevel="0" collapsed="false">
      <c r="A1308" s="7" t="s">
        <v>2305</v>
      </c>
      <c r="B1308" s="7" t="s">
        <v>437</v>
      </c>
      <c r="C1308" s="7" t="s">
        <v>47</v>
      </c>
      <c r="D1308" s="7" t="n">
        <v>29</v>
      </c>
      <c r="E1308" s="7" t="s">
        <v>48</v>
      </c>
      <c r="F1308" s="7" t="s">
        <v>57</v>
      </c>
      <c r="G1308" s="8" t="n">
        <v>45748</v>
      </c>
      <c r="H1308" s="8" t="n">
        <v>45797</v>
      </c>
      <c r="I1308" s="7" t="s">
        <v>40</v>
      </c>
      <c r="J1308" s="7" t="s">
        <v>51</v>
      </c>
      <c r="K1308" s="7" t="n">
        <v>49</v>
      </c>
      <c r="L1308" s="7" t="n">
        <v>3</v>
      </c>
      <c r="M1308" s="7" t="n">
        <v>2</v>
      </c>
      <c r="N1308" s="7" t="s">
        <v>42</v>
      </c>
      <c r="O1308" s="7" t="s">
        <v>67</v>
      </c>
      <c r="P1308" s="7" t="n">
        <v>29</v>
      </c>
      <c r="Q1308" s="7" t="n">
        <v>23</v>
      </c>
      <c r="R1308" s="7" t="s">
        <v>44</v>
      </c>
      <c r="S1308" s="7"/>
      <c r="T1308" s="7"/>
      <c r="U1308" s="7" t="str">
        <f aca="false">IF(COUNTIF($A$2:$A$5001,A1308)&gt;1,"Duplicate","Unique")</f>
        <v>Unique</v>
      </c>
      <c r="V1308" s="7" t="str">
        <f aca="false">IF(COUNTIFS($B$2:$B$5001,B1308,$H$2:$H$5001,H1308,$J$2:$J$5001,J1308)&gt;1,"Possible Duplicate Booking","Unique")</f>
        <v>Unique</v>
      </c>
      <c r="W1308" s="7" t="str">
        <f aca="false">IF((H1308-G1308)&lt;&gt;K1308,"Mismatch","OK")</f>
        <v>OK</v>
      </c>
      <c r="X1308" s="7" t="str">
        <f aca="false">IF(TEXT(H1308,"dddd")&lt;&gt;I1308,"Mismatch","OK")</f>
        <v>OK</v>
      </c>
      <c r="Y1308" s="7" t="str">
        <f aca="false">IF(AND(N1308="No",O1308&lt;&gt;""),"Unexpected: channel present but no reminder sent",IF(AND(N1308="Yes",O1308=""),"Missing channel for sent reminder","OK"))</f>
        <v>OK</v>
      </c>
    </row>
    <row r="1309" customFormat="false" ht="15" hidden="false" customHeight="false" outlineLevel="0" collapsed="false">
      <c r="A1309" s="9" t="s">
        <v>2306</v>
      </c>
      <c r="B1309" s="9" t="s">
        <v>377</v>
      </c>
      <c r="C1309" s="9" t="s">
        <v>37</v>
      </c>
      <c r="D1309" s="9" t="n">
        <v>40</v>
      </c>
      <c r="E1309" s="9" t="s">
        <v>38</v>
      </c>
      <c r="F1309" s="9" t="s">
        <v>49</v>
      </c>
      <c r="G1309" s="10" t="n">
        <v>45780</v>
      </c>
      <c r="H1309" s="10" t="n">
        <v>45787</v>
      </c>
      <c r="I1309" s="9" t="s">
        <v>102</v>
      </c>
      <c r="J1309" s="9" t="s">
        <v>51</v>
      </c>
      <c r="K1309" s="9" t="n">
        <v>7</v>
      </c>
      <c r="L1309" s="9" t="n">
        <v>2</v>
      </c>
      <c r="M1309" s="9" t="n">
        <v>1</v>
      </c>
      <c r="N1309" s="9" t="s">
        <v>42</v>
      </c>
      <c r="O1309" s="9" t="s">
        <v>43</v>
      </c>
      <c r="P1309" s="9" t="n">
        <v>4.8</v>
      </c>
      <c r="Q1309" s="9" t="n">
        <v>22</v>
      </c>
      <c r="R1309" s="9" t="s">
        <v>87</v>
      </c>
      <c r="S1309" s="9"/>
      <c r="T1309" s="9"/>
      <c r="U1309" s="9" t="str">
        <f aca="false">IF(COUNTIF($A$2:$A$5001,A1309)&gt;1,"Duplicate","Unique")</f>
        <v>Unique</v>
      </c>
      <c r="V1309" s="9" t="str">
        <f aca="false">IF(COUNTIFS($B$2:$B$5001,B1309,$H$2:$H$5001,H1309,$J$2:$J$5001,J1309)&gt;1,"Possible Duplicate Booking","Unique")</f>
        <v>Unique</v>
      </c>
      <c r="W1309" s="9" t="str">
        <f aca="false">IF((H1309-G1309)&lt;&gt;K1309,"Mismatch","OK")</f>
        <v>OK</v>
      </c>
      <c r="X1309" s="9" t="str">
        <f aca="false">IF(TEXT(H1309,"dddd")&lt;&gt;I1309,"Mismatch","OK")</f>
        <v>OK</v>
      </c>
      <c r="Y1309" s="9" t="str">
        <f aca="false">IF(AND(N1309="No",O1309&lt;&gt;""),"Unexpected: channel present but no reminder sent",IF(AND(N1309="Yes",O1309=""),"Missing channel for sent reminder","OK"))</f>
        <v>OK</v>
      </c>
    </row>
    <row r="1310" customFormat="false" ht="15" hidden="false" customHeight="false" outlineLevel="0" collapsed="false">
      <c r="A1310" s="7" t="s">
        <v>2307</v>
      </c>
      <c r="B1310" s="7" t="s">
        <v>2308</v>
      </c>
      <c r="C1310" s="7" t="s">
        <v>47</v>
      </c>
      <c r="D1310" s="7" t="n">
        <v>41</v>
      </c>
      <c r="E1310" s="7" t="s">
        <v>38</v>
      </c>
      <c r="F1310" s="7" t="s">
        <v>74</v>
      </c>
      <c r="G1310" s="8" t="n">
        <v>45860</v>
      </c>
      <c r="H1310" s="8" t="n">
        <v>45884</v>
      </c>
      <c r="I1310" s="7" t="s">
        <v>50</v>
      </c>
      <c r="J1310" s="7" t="s">
        <v>41</v>
      </c>
      <c r="K1310" s="7" t="n">
        <v>24</v>
      </c>
      <c r="L1310" s="7" t="n">
        <v>3</v>
      </c>
      <c r="M1310" s="7" t="n">
        <v>0</v>
      </c>
      <c r="N1310" s="7" t="s">
        <v>42</v>
      </c>
      <c r="O1310" s="7" t="s">
        <v>52</v>
      </c>
      <c r="P1310" s="7" t="n">
        <v>6.3</v>
      </c>
      <c r="Q1310" s="7" t="n">
        <v>34</v>
      </c>
      <c r="R1310" s="7" t="s">
        <v>53</v>
      </c>
      <c r="S1310" s="7"/>
      <c r="T1310" s="7"/>
      <c r="U1310" s="7" t="str">
        <f aca="false">IF(COUNTIF($A$2:$A$5001,A1310)&gt;1,"Duplicate","Unique")</f>
        <v>Unique</v>
      </c>
      <c r="V1310" s="7" t="str">
        <f aca="false">IF(COUNTIFS($B$2:$B$5001,B1310,$H$2:$H$5001,H1310,$J$2:$J$5001,J1310)&gt;1,"Possible Duplicate Booking","Unique")</f>
        <v>Unique</v>
      </c>
      <c r="W1310" s="7" t="str">
        <f aca="false">IF((H1310-G1310)&lt;&gt;K1310,"Mismatch","OK")</f>
        <v>OK</v>
      </c>
      <c r="X1310" s="7" t="str">
        <f aca="false">IF(TEXT(H1310,"dddd")&lt;&gt;I1310,"Mismatch","OK")</f>
        <v>OK</v>
      </c>
      <c r="Y1310" s="7" t="str">
        <f aca="false">IF(AND(N1310="No",O1310&lt;&gt;""),"Unexpected: channel present but no reminder sent",IF(AND(N1310="Yes",O1310=""),"Missing channel for sent reminder","OK"))</f>
        <v>OK</v>
      </c>
    </row>
    <row r="1311" customFormat="false" ht="15" hidden="false" customHeight="false" outlineLevel="0" collapsed="false">
      <c r="A1311" s="9" t="s">
        <v>2309</v>
      </c>
      <c r="B1311" s="9" t="s">
        <v>2065</v>
      </c>
      <c r="C1311" s="9" t="s">
        <v>47</v>
      </c>
      <c r="D1311" s="9" t="n">
        <v>36</v>
      </c>
      <c r="E1311" s="9" t="s">
        <v>38</v>
      </c>
      <c r="F1311" s="9" t="s">
        <v>74</v>
      </c>
      <c r="G1311" s="10" t="n">
        <v>46112</v>
      </c>
      <c r="H1311" s="10" t="n">
        <v>46123</v>
      </c>
      <c r="I1311" s="9" t="s">
        <v>102</v>
      </c>
      <c r="J1311" s="9" t="s">
        <v>63</v>
      </c>
      <c r="K1311" s="9" t="n">
        <v>11</v>
      </c>
      <c r="L1311" s="9" t="n">
        <v>6</v>
      </c>
      <c r="M1311" s="9" t="n">
        <v>0</v>
      </c>
      <c r="N1311" s="9" t="s">
        <v>42</v>
      </c>
      <c r="O1311" s="9" t="s">
        <v>52</v>
      </c>
      <c r="P1311" s="9" t="n">
        <v>4.8</v>
      </c>
      <c r="Q1311" s="9" t="n">
        <v>27</v>
      </c>
      <c r="R1311" s="9" t="s">
        <v>53</v>
      </c>
      <c r="S1311" s="9"/>
      <c r="T1311" s="9"/>
      <c r="U1311" s="9" t="str">
        <f aca="false">IF(COUNTIF($A$2:$A$5001,A1311)&gt;1,"Duplicate","Unique")</f>
        <v>Unique</v>
      </c>
      <c r="V1311" s="9" t="str">
        <f aca="false">IF(COUNTIFS($B$2:$B$5001,B1311,$H$2:$H$5001,H1311,$J$2:$J$5001,J1311)&gt;1,"Possible Duplicate Booking","Unique")</f>
        <v>Unique</v>
      </c>
      <c r="W1311" s="9" t="str">
        <f aca="false">IF((H1311-G1311)&lt;&gt;K1311,"Mismatch","OK")</f>
        <v>OK</v>
      </c>
      <c r="X1311" s="9" t="str">
        <f aca="false">IF(TEXT(H1311,"dddd")&lt;&gt;I1311,"Mismatch","OK")</f>
        <v>OK</v>
      </c>
      <c r="Y1311" s="9" t="str">
        <f aca="false">IF(AND(N1311="No",O1311&lt;&gt;""),"Unexpected: channel present but no reminder sent",IF(AND(N1311="Yes",O1311=""),"Missing channel for sent reminder","OK"))</f>
        <v>OK</v>
      </c>
    </row>
    <row r="1312" customFormat="false" ht="15" hidden="false" customHeight="false" outlineLevel="0" collapsed="false">
      <c r="A1312" s="7" t="s">
        <v>2310</v>
      </c>
      <c r="B1312" s="7" t="s">
        <v>2311</v>
      </c>
      <c r="C1312" s="7" t="s">
        <v>47</v>
      </c>
      <c r="D1312" s="7" t="n">
        <v>78</v>
      </c>
      <c r="E1312" s="7" t="s">
        <v>70</v>
      </c>
      <c r="F1312" s="7" t="s">
        <v>49</v>
      </c>
      <c r="G1312" s="8" t="n">
        <v>45915</v>
      </c>
      <c r="H1312" s="8" t="n">
        <v>45944</v>
      </c>
      <c r="I1312" s="7" t="s">
        <v>40</v>
      </c>
      <c r="J1312" s="7" t="s">
        <v>51</v>
      </c>
      <c r="K1312" s="7" t="n">
        <v>29</v>
      </c>
      <c r="L1312" s="7" t="n">
        <v>5</v>
      </c>
      <c r="M1312" s="7" t="n">
        <v>1</v>
      </c>
      <c r="N1312" s="7" t="s">
        <v>42</v>
      </c>
      <c r="O1312" s="7" t="s">
        <v>52</v>
      </c>
      <c r="P1312" s="7" t="n">
        <v>5.7</v>
      </c>
      <c r="Q1312" s="7" t="n">
        <v>21</v>
      </c>
      <c r="R1312" s="7" t="s">
        <v>44</v>
      </c>
      <c r="S1312" s="7"/>
      <c r="T1312" s="7"/>
      <c r="U1312" s="7" t="str">
        <f aca="false">IF(COUNTIF($A$2:$A$5001,A1312)&gt;1,"Duplicate","Unique")</f>
        <v>Unique</v>
      </c>
      <c r="V1312" s="7" t="str">
        <f aca="false">IF(COUNTIFS($B$2:$B$5001,B1312,$H$2:$H$5001,H1312,$J$2:$J$5001,J1312)&gt;1,"Possible Duplicate Booking","Unique")</f>
        <v>Unique</v>
      </c>
      <c r="W1312" s="7" t="str">
        <f aca="false">IF((H1312-G1312)&lt;&gt;K1312,"Mismatch","OK")</f>
        <v>OK</v>
      </c>
      <c r="X1312" s="7" t="str">
        <f aca="false">IF(TEXT(H1312,"dddd")&lt;&gt;I1312,"Mismatch","OK")</f>
        <v>OK</v>
      </c>
      <c r="Y1312" s="7" t="str">
        <f aca="false">IF(AND(N1312="No",O1312&lt;&gt;""),"Unexpected: channel present but no reminder sent",IF(AND(N1312="Yes",O1312=""),"Missing channel for sent reminder","OK"))</f>
        <v>OK</v>
      </c>
    </row>
    <row r="1313" customFormat="false" ht="15" hidden="false" customHeight="false" outlineLevel="0" collapsed="false">
      <c r="A1313" s="9" t="s">
        <v>2312</v>
      </c>
      <c r="B1313" s="9" t="s">
        <v>2313</v>
      </c>
      <c r="C1313" s="9" t="s">
        <v>47</v>
      </c>
      <c r="D1313" s="9" t="n">
        <v>30</v>
      </c>
      <c r="E1313" s="9" t="s">
        <v>48</v>
      </c>
      <c r="F1313" s="9" t="s">
        <v>74</v>
      </c>
      <c r="G1313" s="10" t="n">
        <v>45828</v>
      </c>
      <c r="H1313" s="10" t="n">
        <v>45848</v>
      </c>
      <c r="I1313" s="9" t="s">
        <v>62</v>
      </c>
      <c r="J1313" s="9" t="s">
        <v>41</v>
      </c>
      <c r="K1313" s="9" t="n">
        <v>20</v>
      </c>
      <c r="L1313" s="9" t="n">
        <v>4</v>
      </c>
      <c r="M1313" s="9" t="n">
        <v>0</v>
      </c>
      <c r="N1313" s="9" t="s">
        <v>71</v>
      </c>
      <c r="O1313" s="9"/>
      <c r="P1313" s="9" t="n">
        <v>2.4</v>
      </c>
      <c r="Q1313" s="9" t="n">
        <v>10</v>
      </c>
      <c r="R1313" s="9" t="s">
        <v>44</v>
      </c>
      <c r="S1313" s="9"/>
      <c r="T1313" s="9"/>
      <c r="U1313" s="9" t="str">
        <f aca="false">IF(COUNTIF($A$2:$A$5001,A1313)&gt;1,"Duplicate","Unique")</f>
        <v>Unique</v>
      </c>
      <c r="V1313" s="9" t="str">
        <f aca="false">IF(COUNTIFS($B$2:$B$5001,B1313,$H$2:$H$5001,H1313,$J$2:$J$5001,J1313)&gt;1,"Possible Duplicate Booking","Unique")</f>
        <v>Unique</v>
      </c>
      <c r="W1313" s="9" t="str">
        <f aca="false">IF((H1313-G1313)&lt;&gt;K1313,"Mismatch","OK")</f>
        <v>OK</v>
      </c>
      <c r="X1313" s="9" t="str">
        <f aca="false">IF(TEXT(H1313,"dddd")&lt;&gt;I1313,"Mismatch","OK")</f>
        <v>OK</v>
      </c>
      <c r="Y1313" s="9" t="str">
        <f aca="false">IF(AND(N1313="No",O1313&lt;&gt;""),"Unexpected: channel present but no reminder sent",IF(AND(N1313="Yes",O1313=""),"Missing channel for sent reminder","OK"))</f>
        <v>OK</v>
      </c>
    </row>
    <row r="1314" customFormat="false" ht="15" hidden="false" customHeight="false" outlineLevel="0" collapsed="false">
      <c r="A1314" s="7" t="s">
        <v>2314</v>
      </c>
      <c r="B1314" s="7" t="s">
        <v>2315</v>
      </c>
      <c r="C1314" s="7" t="s">
        <v>47</v>
      </c>
      <c r="D1314" s="7" t="n">
        <v>62</v>
      </c>
      <c r="E1314" s="7" t="s">
        <v>61</v>
      </c>
      <c r="F1314" s="7" t="s">
        <v>39</v>
      </c>
      <c r="G1314" s="8" t="n">
        <v>46081</v>
      </c>
      <c r="H1314" s="8" t="n">
        <v>46083</v>
      </c>
      <c r="I1314" s="7" t="s">
        <v>66</v>
      </c>
      <c r="J1314" s="7" t="s">
        <v>41</v>
      </c>
      <c r="K1314" s="7" t="n">
        <v>2</v>
      </c>
      <c r="L1314" s="7" t="n">
        <v>4</v>
      </c>
      <c r="M1314" s="7" t="n">
        <v>0</v>
      </c>
      <c r="N1314" s="7" t="s">
        <v>71</v>
      </c>
      <c r="O1314" s="7"/>
      <c r="P1314" s="7" t="n">
        <v>12.5</v>
      </c>
      <c r="Q1314" s="7" t="n">
        <v>29</v>
      </c>
      <c r="R1314" s="7" t="s">
        <v>53</v>
      </c>
      <c r="S1314" s="7"/>
      <c r="T1314" s="7"/>
      <c r="U1314" s="7" t="str">
        <f aca="false">IF(COUNTIF($A$2:$A$5001,A1314)&gt;1,"Duplicate","Unique")</f>
        <v>Unique</v>
      </c>
      <c r="V1314" s="7" t="str">
        <f aca="false">IF(COUNTIFS($B$2:$B$5001,B1314,$H$2:$H$5001,H1314,$J$2:$J$5001,J1314)&gt;1,"Possible Duplicate Booking","Unique")</f>
        <v>Unique</v>
      </c>
      <c r="W1314" s="7" t="str">
        <f aca="false">IF((H1314-G1314)&lt;&gt;K1314,"Mismatch","OK")</f>
        <v>OK</v>
      </c>
      <c r="X1314" s="7" t="str">
        <f aca="false">IF(TEXT(H1314,"dddd")&lt;&gt;I1314,"Mismatch","OK")</f>
        <v>OK</v>
      </c>
      <c r="Y1314" s="7" t="str">
        <f aca="false">IF(AND(N1314="No",O1314&lt;&gt;""),"Unexpected: channel present but no reminder sent",IF(AND(N1314="Yes",O1314=""),"Missing channel for sent reminder","OK"))</f>
        <v>OK</v>
      </c>
    </row>
    <row r="1315" customFormat="false" ht="15" hidden="false" customHeight="false" outlineLevel="0" collapsed="false">
      <c r="A1315" s="9" t="s">
        <v>2316</v>
      </c>
      <c r="B1315" s="9" t="s">
        <v>2013</v>
      </c>
      <c r="C1315" s="9" t="s">
        <v>37</v>
      </c>
      <c r="D1315" s="9" t="n">
        <v>75</v>
      </c>
      <c r="E1315" s="9" t="s">
        <v>70</v>
      </c>
      <c r="F1315" s="9" t="s">
        <v>74</v>
      </c>
      <c r="G1315" s="10" t="n">
        <v>46119</v>
      </c>
      <c r="H1315" s="10" t="n">
        <v>46123</v>
      </c>
      <c r="I1315" s="9" t="s">
        <v>102</v>
      </c>
      <c r="J1315" s="9" t="s">
        <v>41</v>
      </c>
      <c r="K1315" s="9" t="n">
        <v>4</v>
      </c>
      <c r="L1315" s="9" t="n">
        <v>2</v>
      </c>
      <c r="M1315" s="9" t="n">
        <v>0</v>
      </c>
      <c r="N1315" s="9" t="s">
        <v>42</v>
      </c>
      <c r="O1315" s="9" t="s">
        <v>52</v>
      </c>
      <c r="P1315" s="9" t="n">
        <v>14</v>
      </c>
      <c r="Q1315" s="9" t="n">
        <v>28</v>
      </c>
      <c r="R1315" s="9" t="s">
        <v>53</v>
      </c>
      <c r="S1315" s="9"/>
      <c r="T1315" s="9"/>
      <c r="U1315" s="9" t="str">
        <f aca="false">IF(COUNTIF($A$2:$A$5001,A1315)&gt;1,"Duplicate","Unique")</f>
        <v>Unique</v>
      </c>
      <c r="V1315" s="9" t="str">
        <f aca="false">IF(COUNTIFS($B$2:$B$5001,B1315,$H$2:$H$5001,H1315,$J$2:$J$5001,J1315)&gt;1,"Possible Duplicate Booking","Unique")</f>
        <v>Unique</v>
      </c>
      <c r="W1315" s="9" t="str">
        <f aca="false">IF((H1315-G1315)&lt;&gt;K1315,"Mismatch","OK")</f>
        <v>OK</v>
      </c>
      <c r="X1315" s="9" t="str">
        <f aca="false">IF(TEXT(H1315,"dddd")&lt;&gt;I1315,"Mismatch","OK")</f>
        <v>OK</v>
      </c>
      <c r="Y1315" s="9" t="str">
        <f aca="false">IF(AND(N1315="No",O1315&lt;&gt;""),"Unexpected: channel present but no reminder sent",IF(AND(N1315="Yes",O1315=""),"Missing channel for sent reminder","OK"))</f>
        <v>OK</v>
      </c>
    </row>
    <row r="1316" customFormat="false" ht="15" hidden="false" customHeight="false" outlineLevel="0" collapsed="false">
      <c r="A1316" s="7" t="s">
        <v>2317</v>
      </c>
      <c r="B1316" s="7" t="s">
        <v>1900</v>
      </c>
      <c r="C1316" s="7" t="s">
        <v>47</v>
      </c>
      <c r="D1316" s="7" t="n">
        <v>68</v>
      </c>
      <c r="E1316" s="7" t="s">
        <v>70</v>
      </c>
      <c r="F1316" s="7" t="s">
        <v>74</v>
      </c>
      <c r="G1316" s="8" t="n">
        <v>46099</v>
      </c>
      <c r="H1316" s="8" t="n">
        <v>46150</v>
      </c>
      <c r="I1316" s="7" t="s">
        <v>50</v>
      </c>
      <c r="J1316" s="7" t="s">
        <v>41</v>
      </c>
      <c r="K1316" s="7" t="n">
        <v>51</v>
      </c>
      <c r="L1316" s="7" t="n">
        <v>4</v>
      </c>
      <c r="M1316" s="7" t="n">
        <v>1</v>
      </c>
      <c r="N1316" s="7" t="s">
        <v>42</v>
      </c>
      <c r="O1316" s="7" t="s">
        <v>67</v>
      </c>
      <c r="P1316" s="7" t="n">
        <v>1.1</v>
      </c>
      <c r="Q1316" s="7" t="n">
        <v>7</v>
      </c>
      <c r="R1316" s="7" t="s">
        <v>44</v>
      </c>
      <c r="S1316" s="7"/>
      <c r="T1316" s="7"/>
      <c r="U1316" s="7" t="str">
        <f aca="false">IF(COUNTIF($A$2:$A$5001,A1316)&gt;1,"Duplicate","Unique")</f>
        <v>Unique</v>
      </c>
      <c r="V1316" s="7" t="str">
        <f aca="false">IF(COUNTIFS($B$2:$B$5001,B1316,$H$2:$H$5001,H1316,$J$2:$J$5001,J1316)&gt;1,"Possible Duplicate Booking","Unique")</f>
        <v>Unique</v>
      </c>
      <c r="W1316" s="7" t="str">
        <f aca="false">IF((H1316-G1316)&lt;&gt;K1316,"Mismatch","OK")</f>
        <v>OK</v>
      </c>
      <c r="X1316" s="7" t="str">
        <f aca="false">IF(TEXT(H1316,"dddd")&lt;&gt;I1316,"Mismatch","OK")</f>
        <v>OK</v>
      </c>
      <c r="Y1316" s="7" t="str">
        <f aca="false">IF(AND(N1316="No",O1316&lt;&gt;""),"Unexpected: channel present but no reminder sent",IF(AND(N1316="Yes",O1316=""),"Missing channel for sent reminder","OK"))</f>
        <v>OK</v>
      </c>
    </row>
    <row r="1317" customFormat="false" ht="15" hidden="false" customHeight="false" outlineLevel="0" collapsed="false">
      <c r="A1317" s="9" t="s">
        <v>2318</v>
      </c>
      <c r="B1317" s="9" t="s">
        <v>2319</v>
      </c>
      <c r="C1317" s="9" t="s">
        <v>47</v>
      </c>
      <c r="D1317" s="9" t="n">
        <v>68</v>
      </c>
      <c r="E1317" s="9" t="s">
        <v>70</v>
      </c>
      <c r="F1317" s="9" t="s">
        <v>57</v>
      </c>
      <c r="G1317" s="10" t="n">
        <v>45818</v>
      </c>
      <c r="H1317" s="10" t="n">
        <v>45821</v>
      </c>
      <c r="I1317" s="9" t="s">
        <v>50</v>
      </c>
      <c r="J1317" s="9" t="s">
        <v>63</v>
      </c>
      <c r="K1317" s="9" t="n">
        <v>3</v>
      </c>
      <c r="L1317" s="9" t="n">
        <v>5</v>
      </c>
      <c r="M1317" s="9" t="n">
        <v>1</v>
      </c>
      <c r="N1317" s="9" t="s">
        <v>42</v>
      </c>
      <c r="O1317" s="9" t="s">
        <v>43</v>
      </c>
      <c r="P1317" s="9" t="n">
        <v>6.6</v>
      </c>
      <c r="Q1317" s="9" t="n">
        <v>22</v>
      </c>
      <c r="R1317" s="9" t="s">
        <v>44</v>
      </c>
      <c r="S1317" s="9"/>
      <c r="T1317" s="9"/>
      <c r="U1317" s="9" t="str">
        <f aca="false">IF(COUNTIF($A$2:$A$5001,A1317)&gt;1,"Duplicate","Unique")</f>
        <v>Unique</v>
      </c>
      <c r="V1317" s="9" t="str">
        <f aca="false">IF(COUNTIFS($B$2:$B$5001,B1317,$H$2:$H$5001,H1317,$J$2:$J$5001,J1317)&gt;1,"Possible Duplicate Booking","Unique")</f>
        <v>Unique</v>
      </c>
      <c r="W1317" s="9" t="str">
        <f aca="false">IF((H1317-G1317)&lt;&gt;K1317,"Mismatch","OK")</f>
        <v>OK</v>
      </c>
      <c r="X1317" s="9" t="str">
        <f aca="false">IF(TEXT(H1317,"dddd")&lt;&gt;I1317,"Mismatch","OK")</f>
        <v>OK</v>
      </c>
      <c r="Y1317" s="9" t="str">
        <f aca="false">IF(AND(N1317="No",O1317&lt;&gt;""),"Unexpected: channel present but no reminder sent",IF(AND(N1317="Yes",O1317=""),"Missing channel for sent reminder","OK"))</f>
        <v>OK</v>
      </c>
    </row>
    <row r="1318" customFormat="false" ht="15" hidden="false" customHeight="false" outlineLevel="0" collapsed="false">
      <c r="A1318" s="7" t="s">
        <v>2320</v>
      </c>
      <c r="B1318" s="7" t="s">
        <v>2321</v>
      </c>
      <c r="C1318" s="7" t="s">
        <v>47</v>
      </c>
      <c r="D1318" s="7" t="n">
        <v>28</v>
      </c>
      <c r="E1318" s="7" t="s">
        <v>48</v>
      </c>
      <c r="F1318" s="7" t="s">
        <v>49</v>
      </c>
      <c r="G1318" s="8" t="n">
        <v>45998</v>
      </c>
      <c r="H1318" s="8" t="n">
        <v>46045</v>
      </c>
      <c r="I1318" s="7" t="s">
        <v>50</v>
      </c>
      <c r="J1318" s="7" t="s">
        <v>41</v>
      </c>
      <c r="K1318" s="7" t="n">
        <v>47</v>
      </c>
      <c r="L1318" s="7" t="n">
        <v>1</v>
      </c>
      <c r="M1318" s="7" t="n">
        <v>0</v>
      </c>
      <c r="N1318" s="7" t="s">
        <v>42</v>
      </c>
      <c r="O1318" s="7" t="s">
        <v>43</v>
      </c>
      <c r="P1318" s="7"/>
      <c r="Q1318" s="7" t="n">
        <v>28</v>
      </c>
      <c r="R1318" s="7" t="s">
        <v>44</v>
      </c>
      <c r="S1318" s="7"/>
      <c r="T1318" s="7"/>
      <c r="U1318" s="7" t="str">
        <f aca="false">IF(COUNTIF($A$2:$A$5001,A1318)&gt;1,"Duplicate","Unique")</f>
        <v>Unique</v>
      </c>
      <c r="V1318" s="7" t="str">
        <f aca="false">IF(COUNTIFS($B$2:$B$5001,B1318,$H$2:$H$5001,H1318,$J$2:$J$5001,J1318)&gt;1,"Possible Duplicate Booking","Unique")</f>
        <v>Unique</v>
      </c>
      <c r="W1318" s="7" t="str">
        <f aca="false">IF((H1318-G1318)&lt;&gt;K1318,"Mismatch","OK")</f>
        <v>OK</v>
      </c>
      <c r="X1318" s="7" t="str">
        <f aca="false">IF(TEXT(H1318,"dddd")&lt;&gt;I1318,"Mismatch","OK")</f>
        <v>OK</v>
      </c>
      <c r="Y1318" s="7" t="str">
        <f aca="false">IF(AND(N1318="No",O1318&lt;&gt;""),"Unexpected: channel present but no reminder sent",IF(AND(N1318="Yes",O1318=""),"Missing channel for sent reminder","OK"))</f>
        <v>OK</v>
      </c>
    </row>
    <row r="1319" customFormat="false" ht="15" hidden="false" customHeight="false" outlineLevel="0" collapsed="false">
      <c r="A1319" s="9" t="s">
        <v>2322</v>
      </c>
      <c r="B1319" s="9" t="s">
        <v>2323</v>
      </c>
      <c r="C1319" s="9" t="s">
        <v>37</v>
      </c>
      <c r="D1319" s="9" t="n">
        <v>26</v>
      </c>
      <c r="E1319" s="9" t="s">
        <v>48</v>
      </c>
      <c r="F1319" s="9" t="s">
        <v>49</v>
      </c>
      <c r="G1319" s="10" t="n">
        <v>45925</v>
      </c>
      <c r="H1319" s="10" t="n">
        <v>45980</v>
      </c>
      <c r="I1319" s="9" t="s">
        <v>58</v>
      </c>
      <c r="J1319" s="9" t="s">
        <v>41</v>
      </c>
      <c r="K1319" s="9" t="n">
        <v>55</v>
      </c>
      <c r="L1319" s="9" t="n">
        <v>2</v>
      </c>
      <c r="M1319" s="9" t="n">
        <v>0</v>
      </c>
      <c r="N1319" s="9" t="s">
        <v>42</v>
      </c>
      <c r="O1319" s="9" t="s">
        <v>43</v>
      </c>
      <c r="P1319" s="9" t="n">
        <v>3.4</v>
      </c>
      <c r="Q1319" s="9" t="n">
        <v>21</v>
      </c>
      <c r="R1319" s="9" t="s">
        <v>53</v>
      </c>
      <c r="S1319" s="9"/>
      <c r="T1319" s="9"/>
      <c r="U1319" s="9" t="str">
        <f aca="false">IF(COUNTIF($A$2:$A$5001,A1319)&gt;1,"Duplicate","Unique")</f>
        <v>Unique</v>
      </c>
      <c r="V1319" s="9" t="str">
        <f aca="false">IF(COUNTIFS($B$2:$B$5001,B1319,$H$2:$H$5001,H1319,$J$2:$J$5001,J1319)&gt;1,"Possible Duplicate Booking","Unique")</f>
        <v>Unique</v>
      </c>
      <c r="W1319" s="9" t="str">
        <f aca="false">IF((H1319-G1319)&lt;&gt;K1319,"Mismatch","OK")</f>
        <v>OK</v>
      </c>
      <c r="X1319" s="9" t="str">
        <f aca="false">IF(TEXT(H1319,"dddd")&lt;&gt;I1319,"Mismatch","OK")</f>
        <v>OK</v>
      </c>
      <c r="Y1319" s="9" t="str">
        <f aca="false">IF(AND(N1319="No",O1319&lt;&gt;""),"Unexpected: channel present but no reminder sent",IF(AND(N1319="Yes",O1319=""),"Missing channel for sent reminder","OK"))</f>
        <v>OK</v>
      </c>
    </row>
    <row r="1320" customFormat="false" ht="15" hidden="false" customHeight="false" outlineLevel="0" collapsed="false">
      <c r="A1320" s="7" t="s">
        <v>2324</v>
      </c>
      <c r="B1320" s="7" t="s">
        <v>2325</v>
      </c>
      <c r="C1320" s="7" t="s">
        <v>47</v>
      </c>
      <c r="D1320" s="7" t="n">
        <v>67</v>
      </c>
      <c r="E1320" s="7" t="s">
        <v>70</v>
      </c>
      <c r="F1320" s="7" t="s">
        <v>49</v>
      </c>
      <c r="G1320" s="8" t="n">
        <v>45875</v>
      </c>
      <c r="H1320" s="8" t="n">
        <v>45903</v>
      </c>
      <c r="I1320" s="7" t="s">
        <v>58</v>
      </c>
      <c r="J1320" s="7" t="s">
        <v>51</v>
      </c>
      <c r="K1320" s="7" t="n">
        <v>28</v>
      </c>
      <c r="L1320" s="7" t="n">
        <v>1</v>
      </c>
      <c r="M1320" s="7" t="n">
        <v>0</v>
      </c>
      <c r="N1320" s="7" t="s">
        <v>42</v>
      </c>
      <c r="O1320" s="7" t="s">
        <v>43</v>
      </c>
      <c r="P1320" s="7" t="n">
        <v>3.3</v>
      </c>
      <c r="Q1320" s="7" t="n">
        <v>44</v>
      </c>
      <c r="R1320" s="7" t="s">
        <v>44</v>
      </c>
      <c r="S1320" s="7"/>
      <c r="T1320" s="7"/>
      <c r="U1320" s="7" t="str">
        <f aca="false">IF(COUNTIF($A$2:$A$5001,A1320)&gt;1,"Duplicate","Unique")</f>
        <v>Unique</v>
      </c>
      <c r="V1320" s="7" t="str">
        <f aca="false">IF(COUNTIFS($B$2:$B$5001,B1320,$H$2:$H$5001,H1320,$J$2:$J$5001,J1320)&gt;1,"Possible Duplicate Booking","Unique")</f>
        <v>Unique</v>
      </c>
      <c r="W1320" s="7" t="str">
        <f aca="false">IF((H1320-G1320)&lt;&gt;K1320,"Mismatch","OK")</f>
        <v>OK</v>
      </c>
      <c r="X1320" s="7" t="str">
        <f aca="false">IF(TEXT(H1320,"dddd")&lt;&gt;I1320,"Mismatch","OK")</f>
        <v>OK</v>
      </c>
      <c r="Y1320" s="7" t="str">
        <f aca="false">IF(AND(N1320="No",O1320&lt;&gt;""),"Unexpected: channel present but no reminder sent",IF(AND(N1320="Yes",O1320=""),"Missing channel for sent reminder","OK"))</f>
        <v>OK</v>
      </c>
    </row>
    <row r="1321" customFormat="false" ht="15" hidden="false" customHeight="false" outlineLevel="0" collapsed="false">
      <c r="A1321" s="9" t="s">
        <v>2326</v>
      </c>
      <c r="B1321" s="9" t="s">
        <v>2327</v>
      </c>
      <c r="C1321" s="9" t="s">
        <v>47</v>
      </c>
      <c r="D1321" s="9" t="n">
        <v>65</v>
      </c>
      <c r="E1321" s="9" t="s">
        <v>70</v>
      </c>
      <c r="F1321" s="9" t="s">
        <v>74</v>
      </c>
      <c r="G1321" s="10" t="n">
        <v>45855</v>
      </c>
      <c r="H1321" s="10" t="n">
        <v>45874</v>
      </c>
      <c r="I1321" s="9" t="s">
        <v>40</v>
      </c>
      <c r="J1321" s="9" t="s">
        <v>41</v>
      </c>
      <c r="K1321" s="9" t="n">
        <v>19</v>
      </c>
      <c r="L1321" s="9" t="n">
        <v>3</v>
      </c>
      <c r="M1321" s="9" t="n">
        <v>1</v>
      </c>
      <c r="N1321" s="9" t="s">
        <v>42</v>
      </c>
      <c r="O1321" s="9" t="s">
        <v>52</v>
      </c>
      <c r="P1321" s="9" t="n">
        <v>6.4</v>
      </c>
      <c r="Q1321" s="9" t="n">
        <v>41</v>
      </c>
      <c r="R1321" s="9" t="s">
        <v>53</v>
      </c>
      <c r="S1321" s="9"/>
      <c r="T1321" s="9"/>
      <c r="U1321" s="9" t="str">
        <f aca="false">IF(COUNTIF($A$2:$A$5001,A1321)&gt;1,"Duplicate","Unique")</f>
        <v>Unique</v>
      </c>
      <c r="V1321" s="9" t="str">
        <f aca="false">IF(COUNTIFS($B$2:$B$5001,B1321,$H$2:$H$5001,H1321,$J$2:$J$5001,J1321)&gt;1,"Possible Duplicate Booking","Unique")</f>
        <v>Unique</v>
      </c>
      <c r="W1321" s="9" t="str">
        <f aca="false">IF((H1321-G1321)&lt;&gt;K1321,"Mismatch","OK")</f>
        <v>OK</v>
      </c>
      <c r="X1321" s="9" t="str">
        <f aca="false">IF(TEXT(H1321,"dddd")&lt;&gt;I1321,"Mismatch","OK")</f>
        <v>OK</v>
      </c>
      <c r="Y1321" s="9" t="str">
        <f aca="false">IF(AND(N1321="No",O1321&lt;&gt;""),"Unexpected: channel present but no reminder sent",IF(AND(N1321="Yes",O1321=""),"Missing channel for sent reminder","OK"))</f>
        <v>OK</v>
      </c>
    </row>
    <row r="1322" customFormat="false" ht="15" hidden="false" customHeight="false" outlineLevel="0" collapsed="false">
      <c r="A1322" s="7" t="s">
        <v>2328</v>
      </c>
      <c r="B1322" s="7" t="s">
        <v>207</v>
      </c>
      <c r="C1322" s="7" t="s">
        <v>37</v>
      </c>
      <c r="D1322" s="7" t="n">
        <v>64</v>
      </c>
      <c r="E1322" s="7" t="s">
        <v>61</v>
      </c>
      <c r="F1322" s="7" t="s">
        <v>57</v>
      </c>
      <c r="G1322" s="8" t="n">
        <v>45673</v>
      </c>
      <c r="H1322" s="8" t="n">
        <v>45720</v>
      </c>
      <c r="I1322" s="7" t="s">
        <v>40</v>
      </c>
      <c r="J1322" s="7" t="s">
        <v>63</v>
      </c>
      <c r="K1322" s="7" t="n">
        <v>47</v>
      </c>
      <c r="L1322" s="7" t="n">
        <v>2</v>
      </c>
      <c r="M1322" s="7" t="n">
        <v>0</v>
      </c>
      <c r="N1322" s="7" t="s">
        <v>42</v>
      </c>
      <c r="O1322" s="7" t="s">
        <v>52</v>
      </c>
      <c r="P1322" s="7" t="n">
        <v>18.4</v>
      </c>
      <c r="Q1322" s="7" t="n">
        <v>10</v>
      </c>
      <c r="R1322" s="7" t="s">
        <v>44</v>
      </c>
      <c r="S1322" s="7"/>
      <c r="T1322" s="7"/>
      <c r="U1322" s="7" t="str">
        <f aca="false">IF(COUNTIF($A$2:$A$5001,A1322)&gt;1,"Duplicate","Unique")</f>
        <v>Unique</v>
      </c>
      <c r="V1322" s="7" t="str">
        <f aca="false">IF(COUNTIFS($B$2:$B$5001,B1322,$H$2:$H$5001,H1322,$J$2:$J$5001,J1322)&gt;1,"Possible Duplicate Booking","Unique")</f>
        <v>Unique</v>
      </c>
      <c r="W1322" s="7" t="str">
        <f aca="false">IF((H1322-G1322)&lt;&gt;K1322,"Mismatch","OK")</f>
        <v>OK</v>
      </c>
      <c r="X1322" s="7" t="str">
        <f aca="false">IF(TEXT(H1322,"dddd")&lt;&gt;I1322,"Mismatch","OK")</f>
        <v>OK</v>
      </c>
      <c r="Y1322" s="7" t="str">
        <f aca="false">IF(AND(N1322="No",O1322&lt;&gt;""),"Unexpected: channel present but no reminder sent",IF(AND(N1322="Yes",O1322=""),"Missing channel for sent reminder","OK"))</f>
        <v>OK</v>
      </c>
    </row>
    <row r="1323" customFormat="false" ht="15" hidden="false" customHeight="false" outlineLevel="0" collapsed="false">
      <c r="A1323" s="9" t="s">
        <v>2329</v>
      </c>
      <c r="B1323" s="9" t="s">
        <v>2330</v>
      </c>
      <c r="C1323" s="9" t="s">
        <v>47</v>
      </c>
      <c r="D1323" s="9" t="n">
        <v>44</v>
      </c>
      <c r="E1323" s="9" t="s">
        <v>38</v>
      </c>
      <c r="F1323" s="9" t="s">
        <v>57</v>
      </c>
      <c r="G1323" s="10" t="n">
        <v>45749</v>
      </c>
      <c r="H1323" s="10" t="n">
        <v>45808</v>
      </c>
      <c r="I1323" s="9" t="s">
        <v>102</v>
      </c>
      <c r="J1323" s="9" t="s">
        <v>63</v>
      </c>
      <c r="K1323" s="9" t="n">
        <v>59</v>
      </c>
      <c r="L1323" s="9" t="n">
        <v>2</v>
      </c>
      <c r="M1323" s="9" t="n">
        <v>0</v>
      </c>
      <c r="N1323" s="9" t="s">
        <v>42</v>
      </c>
      <c r="O1323" s="9" t="s">
        <v>43</v>
      </c>
      <c r="P1323" s="9" t="n">
        <v>10.3</v>
      </c>
      <c r="Q1323" s="9" t="n">
        <v>21</v>
      </c>
      <c r="R1323" s="9" t="s">
        <v>44</v>
      </c>
      <c r="S1323" s="9"/>
      <c r="T1323" s="9"/>
      <c r="U1323" s="9" t="str">
        <f aca="false">IF(COUNTIF($A$2:$A$5001,A1323)&gt;1,"Duplicate","Unique")</f>
        <v>Unique</v>
      </c>
      <c r="V1323" s="9" t="str">
        <f aca="false">IF(COUNTIFS($B$2:$B$5001,B1323,$H$2:$H$5001,H1323,$J$2:$J$5001,J1323)&gt;1,"Possible Duplicate Booking","Unique")</f>
        <v>Unique</v>
      </c>
      <c r="W1323" s="9" t="str">
        <f aca="false">IF((H1323-G1323)&lt;&gt;K1323,"Mismatch","OK")</f>
        <v>OK</v>
      </c>
      <c r="X1323" s="9" t="str">
        <f aca="false">IF(TEXT(H1323,"dddd")&lt;&gt;I1323,"Mismatch","OK")</f>
        <v>OK</v>
      </c>
      <c r="Y1323" s="9" t="str">
        <f aca="false">IF(AND(N1323="No",O1323&lt;&gt;""),"Unexpected: channel present but no reminder sent",IF(AND(N1323="Yes",O1323=""),"Missing channel for sent reminder","OK"))</f>
        <v>OK</v>
      </c>
    </row>
    <row r="1324" customFormat="false" ht="15" hidden="false" customHeight="false" outlineLevel="0" collapsed="false">
      <c r="A1324" s="7" t="s">
        <v>2331</v>
      </c>
      <c r="B1324" s="7" t="s">
        <v>766</v>
      </c>
      <c r="C1324" s="7" t="s">
        <v>47</v>
      </c>
      <c r="D1324" s="7" t="n">
        <v>50</v>
      </c>
      <c r="E1324" s="7" t="s">
        <v>56</v>
      </c>
      <c r="F1324" s="7" t="s">
        <v>39</v>
      </c>
      <c r="G1324" s="8" t="n">
        <v>45951</v>
      </c>
      <c r="H1324" s="8" t="n">
        <v>45958</v>
      </c>
      <c r="I1324" s="7" t="s">
        <v>40</v>
      </c>
      <c r="J1324" s="7" t="s">
        <v>51</v>
      </c>
      <c r="K1324" s="7" t="n">
        <v>7</v>
      </c>
      <c r="L1324" s="7" t="n">
        <v>3</v>
      </c>
      <c r="M1324" s="7" t="n">
        <v>2</v>
      </c>
      <c r="N1324" s="7" t="s">
        <v>42</v>
      </c>
      <c r="O1324" s="7" t="s">
        <v>43</v>
      </c>
      <c r="P1324" s="7" t="n">
        <v>10.6</v>
      </c>
      <c r="Q1324" s="7" t="n">
        <v>35</v>
      </c>
      <c r="R1324" s="7" t="s">
        <v>44</v>
      </c>
      <c r="S1324" s="7"/>
      <c r="T1324" s="7"/>
      <c r="U1324" s="7" t="str">
        <f aca="false">IF(COUNTIF($A$2:$A$5001,A1324)&gt;1,"Duplicate","Unique")</f>
        <v>Unique</v>
      </c>
      <c r="V1324" s="7" t="str">
        <f aca="false">IF(COUNTIFS($B$2:$B$5001,B1324,$H$2:$H$5001,H1324,$J$2:$J$5001,J1324)&gt;1,"Possible Duplicate Booking","Unique")</f>
        <v>Unique</v>
      </c>
      <c r="W1324" s="7" t="str">
        <f aca="false">IF((H1324-G1324)&lt;&gt;K1324,"Mismatch","OK")</f>
        <v>OK</v>
      </c>
      <c r="X1324" s="7" t="str">
        <f aca="false">IF(TEXT(H1324,"dddd")&lt;&gt;I1324,"Mismatch","OK")</f>
        <v>OK</v>
      </c>
      <c r="Y1324" s="7" t="str">
        <f aca="false">IF(AND(N1324="No",O1324&lt;&gt;""),"Unexpected: channel present but no reminder sent",IF(AND(N1324="Yes",O1324=""),"Missing channel for sent reminder","OK"))</f>
        <v>OK</v>
      </c>
    </row>
    <row r="1325" customFormat="false" ht="15" hidden="false" customHeight="false" outlineLevel="0" collapsed="false">
      <c r="A1325" s="9" t="s">
        <v>2332</v>
      </c>
      <c r="B1325" s="9" t="s">
        <v>1276</v>
      </c>
      <c r="C1325" s="9" t="s">
        <v>47</v>
      </c>
      <c r="D1325" s="9" t="n">
        <v>18</v>
      </c>
      <c r="E1325" s="9" t="s">
        <v>82</v>
      </c>
      <c r="F1325" s="9" t="s">
        <v>49</v>
      </c>
      <c r="G1325" s="10" t="n">
        <v>46084</v>
      </c>
      <c r="H1325" s="10" t="n">
        <v>46142</v>
      </c>
      <c r="I1325" s="9" t="s">
        <v>62</v>
      </c>
      <c r="J1325" s="9" t="s">
        <v>41</v>
      </c>
      <c r="K1325" s="9" t="n">
        <v>58</v>
      </c>
      <c r="L1325" s="9" t="n">
        <v>4</v>
      </c>
      <c r="M1325" s="9" t="n">
        <v>2</v>
      </c>
      <c r="N1325" s="9" t="s">
        <v>71</v>
      </c>
      <c r="O1325" s="9"/>
      <c r="P1325" s="9" t="n">
        <v>5.3</v>
      </c>
      <c r="Q1325" s="9" t="n">
        <v>23</v>
      </c>
      <c r="R1325" s="9" t="s">
        <v>44</v>
      </c>
      <c r="S1325" s="9"/>
      <c r="T1325" s="9"/>
      <c r="U1325" s="9" t="str">
        <f aca="false">IF(COUNTIF($A$2:$A$5001,A1325)&gt;1,"Duplicate","Unique")</f>
        <v>Unique</v>
      </c>
      <c r="V1325" s="9" t="str">
        <f aca="false">IF(COUNTIFS($B$2:$B$5001,B1325,$H$2:$H$5001,H1325,$J$2:$J$5001,J1325)&gt;1,"Possible Duplicate Booking","Unique")</f>
        <v>Unique</v>
      </c>
      <c r="W1325" s="9" t="str">
        <f aca="false">IF((H1325-G1325)&lt;&gt;K1325,"Mismatch","OK")</f>
        <v>OK</v>
      </c>
      <c r="X1325" s="9" t="str">
        <f aca="false">IF(TEXT(H1325,"dddd")&lt;&gt;I1325,"Mismatch","OK")</f>
        <v>OK</v>
      </c>
      <c r="Y1325" s="9" t="str">
        <f aca="false">IF(AND(N1325="No",O1325&lt;&gt;""),"Unexpected: channel present but no reminder sent",IF(AND(N1325="Yes",O1325=""),"Missing channel for sent reminder","OK"))</f>
        <v>OK</v>
      </c>
    </row>
    <row r="1326" customFormat="false" ht="15" hidden="false" customHeight="false" outlineLevel="0" collapsed="false">
      <c r="A1326" s="7" t="s">
        <v>2333</v>
      </c>
      <c r="B1326" s="7" t="s">
        <v>1129</v>
      </c>
      <c r="C1326" s="7" t="s">
        <v>37</v>
      </c>
      <c r="D1326" s="7" t="n">
        <v>36</v>
      </c>
      <c r="E1326" s="7" t="s">
        <v>38</v>
      </c>
      <c r="F1326" s="7" t="s">
        <v>49</v>
      </c>
      <c r="G1326" s="8" t="n">
        <v>46074</v>
      </c>
      <c r="H1326" s="8" t="n">
        <v>46131</v>
      </c>
      <c r="I1326" s="7" t="s">
        <v>75</v>
      </c>
      <c r="J1326" s="7" t="s">
        <v>51</v>
      </c>
      <c r="K1326" s="7" t="n">
        <v>57</v>
      </c>
      <c r="L1326" s="7" t="n">
        <v>4</v>
      </c>
      <c r="M1326" s="7" t="n">
        <v>0</v>
      </c>
      <c r="N1326" s="7" t="s">
        <v>42</v>
      </c>
      <c r="O1326" s="7" t="s">
        <v>43</v>
      </c>
      <c r="P1326" s="7" t="n">
        <v>3.4</v>
      </c>
      <c r="Q1326" s="7" t="n">
        <v>32</v>
      </c>
      <c r="R1326" s="7" t="s">
        <v>44</v>
      </c>
      <c r="S1326" s="7"/>
      <c r="T1326" s="7"/>
      <c r="U1326" s="7" t="str">
        <f aca="false">IF(COUNTIF($A$2:$A$5001,A1326)&gt;1,"Duplicate","Unique")</f>
        <v>Unique</v>
      </c>
      <c r="V1326" s="7" t="str">
        <f aca="false">IF(COUNTIFS($B$2:$B$5001,B1326,$H$2:$H$5001,H1326,$J$2:$J$5001,J1326)&gt;1,"Possible Duplicate Booking","Unique")</f>
        <v>Unique</v>
      </c>
      <c r="W1326" s="7" t="str">
        <f aca="false">IF((H1326-G1326)&lt;&gt;K1326,"Mismatch","OK")</f>
        <v>OK</v>
      </c>
      <c r="X1326" s="7" t="str">
        <f aca="false">IF(TEXT(H1326,"dddd")&lt;&gt;I1326,"Mismatch","OK")</f>
        <v>OK</v>
      </c>
      <c r="Y1326" s="7" t="str">
        <f aca="false">IF(AND(N1326="No",O1326&lt;&gt;""),"Unexpected: channel present but no reminder sent",IF(AND(N1326="Yes",O1326=""),"Missing channel for sent reminder","OK"))</f>
        <v>OK</v>
      </c>
    </row>
    <row r="1327" customFormat="false" ht="15" hidden="false" customHeight="false" outlineLevel="0" collapsed="false">
      <c r="A1327" s="9" t="s">
        <v>2334</v>
      </c>
      <c r="B1327" s="9" t="s">
        <v>2335</v>
      </c>
      <c r="C1327" s="9" t="s">
        <v>47</v>
      </c>
      <c r="D1327" s="9" t="n">
        <v>51</v>
      </c>
      <c r="E1327" s="9" t="s">
        <v>56</v>
      </c>
      <c r="F1327" s="9" t="s">
        <v>49</v>
      </c>
      <c r="G1327" s="10" t="n">
        <v>45752</v>
      </c>
      <c r="H1327" s="10" t="n">
        <v>45760</v>
      </c>
      <c r="I1327" s="9" t="s">
        <v>75</v>
      </c>
      <c r="J1327" s="9" t="s">
        <v>41</v>
      </c>
      <c r="K1327" s="9" t="n">
        <v>8</v>
      </c>
      <c r="L1327" s="9" t="n">
        <v>4</v>
      </c>
      <c r="M1327" s="9" t="n">
        <v>1</v>
      </c>
      <c r="N1327" s="9" t="s">
        <v>42</v>
      </c>
      <c r="O1327" s="9" t="s">
        <v>43</v>
      </c>
      <c r="P1327" s="9" t="n">
        <v>26.3</v>
      </c>
      <c r="Q1327" s="9" t="n">
        <v>17</v>
      </c>
      <c r="R1327" s="9" t="s">
        <v>53</v>
      </c>
      <c r="S1327" s="9"/>
      <c r="T1327" s="9"/>
      <c r="U1327" s="9" t="str">
        <f aca="false">IF(COUNTIF($A$2:$A$5001,A1327)&gt;1,"Duplicate","Unique")</f>
        <v>Unique</v>
      </c>
      <c r="V1327" s="9" t="str">
        <f aca="false">IF(COUNTIFS($B$2:$B$5001,B1327,$H$2:$H$5001,H1327,$J$2:$J$5001,J1327)&gt;1,"Possible Duplicate Booking","Unique")</f>
        <v>Unique</v>
      </c>
      <c r="W1327" s="9" t="str">
        <f aca="false">IF((H1327-G1327)&lt;&gt;K1327,"Mismatch","OK")</f>
        <v>OK</v>
      </c>
      <c r="X1327" s="9" t="str">
        <f aca="false">IF(TEXT(H1327,"dddd")&lt;&gt;I1327,"Mismatch","OK")</f>
        <v>OK</v>
      </c>
      <c r="Y1327" s="9" t="str">
        <f aca="false">IF(AND(N1327="No",O1327&lt;&gt;""),"Unexpected: channel present but no reminder sent",IF(AND(N1327="Yes",O1327=""),"Missing channel for sent reminder","OK"))</f>
        <v>OK</v>
      </c>
    </row>
    <row r="1328" customFormat="false" ht="15" hidden="false" customHeight="false" outlineLevel="0" collapsed="false">
      <c r="A1328" s="7" t="s">
        <v>2336</v>
      </c>
      <c r="B1328" s="7" t="s">
        <v>2337</v>
      </c>
      <c r="C1328" s="7" t="s">
        <v>47</v>
      </c>
      <c r="D1328" s="7" t="n">
        <v>25</v>
      </c>
      <c r="E1328" s="7" t="s">
        <v>48</v>
      </c>
      <c r="F1328" s="7" t="s">
        <v>49</v>
      </c>
      <c r="G1328" s="8" t="n">
        <v>46025</v>
      </c>
      <c r="H1328" s="8" t="n">
        <v>46028</v>
      </c>
      <c r="I1328" s="7" t="s">
        <v>40</v>
      </c>
      <c r="J1328" s="7" t="s">
        <v>51</v>
      </c>
      <c r="K1328" s="7" t="n">
        <v>3</v>
      </c>
      <c r="L1328" s="7" t="n">
        <v>4</v>
      </c>
      <c r="M1328" s="7" t="n">
        <v>0</v>
      </c>
      <c r="N1328" s="7" t="s">
        <v>42</v>
      </c>
      <c r="O1328" s="7" t="s">
        <v>67</v>
      </c>
      <c r="P1328" s="7" t="n">
        <v>17.8</v>
      </c>
      <c r="Q1328" s="7" t="n">
        <v>7</v>
      </c>
      <c r="R1328" s="7" t="s">
        <v>53</v>
      </c>
      <c r="S1328" s="7"/>
      <c r="T1328" s="7"/>
      <c r="U1328" s="7" t="str">
        <f aca="false">IF(COUNTIF($A$2:$A$5001,A1328)&gt;1,"Duplicate","Unique")</f>
        <v>Unique</v>
      </c>
      <c r="V1328" s="7" t="str">
        <f aca="false">IF(COUNTIFS($B$2:$B$5001,B1328,$H$2:$H$5001,H1328,$J$2:$J$5001,J1328)&gt;1,"Possible Duplicate Booking","Unique")</f>
        <v>Unique</v>
      </c>
      <c r="W1328" s="7" t="str">
        <f aca="false">IF((H1328-G1328)&lt;&gt;K1328,"Mismatch","OK")</f>
        <v>OK</v>
      </c>
      <c r="X1328" s="7" t="str">
        <f aca="false">IF(TEXT(H1328,"dddd")&lt;&gt;I1328,"Mismatch","OK")</f>
        <v>OK</v>
      </c>
      <c r="Y1328" s="7" t="str">
        <f aca="false">IF(AND(N1328="No",O1328&lt;&gt;""),"Unexpected: channel present but no reminder sent",IF(AND(N1328="Yes",O1328=""),"Missing channel for sent reminder","OK"))</f>
        <v>OK</v>
      </c>
    </row>
    <row r="1329" customFormat="false" ht="15" hidden="false" customHeight="false" outlineLevel="0" collapsed="false">
      <c r="A1329" s="9" t="s">
        <v>2338</v>
      </c>
      <c r="B1329" s="9" t="s">
        <v>929</v>
      </c>
      <c r="C1329" s="9" t="s">
        <v>37</v>
      </c>
      <c r="D1329" s="9" t="n">
        <v>26</v>
      </c>
      <c r="E1329" s="9" t="s">
        <v>48</v>
      </c>
      <c r="F1329" s="9" t="s">
        <v>74</v>
      </c>
      <c r="G1329" s="10" t="n">
        <v>45661</v>
      </c>
      <c r="H1329" s="10" t="n">
        <v>45704</v>
      </c>
      <c r="I1329" s="9" t="s">
        <v>75</v>
      </c>
      <c r="J1329" s="9" t="s">
        <v>41</v>
      </c>
      <c r="K1329" s="9" t="n">
        <v>43</v>
      </c>
      <c r="L1329" s="9" t="n">
        <v>4</v>
      </c>
      <c r="M1329" s="9" t="n">
        <v>1</v>
      </c>
      <c r="N1329" s="9" t="s">
        <v>42</v>
      </c>
      <c r="O1329" s="9" t="s">
        <v>43</v>
      </c>
      <c r="P1329" s="9" t="n">
        <v>17.1</v>
      </c>
      <c r="Q1329" s="9" t="n">
        <v>32</v>
      </c>
      <c r="R1329" s="9" t="s">
        <v>44</v>
      </c>
      <c r="S1329" s="9"/>
      <c r="T1329" s="9"/>
      <c r="U1329" s="9" t="str">
        <f aca="false">IF(COUNTIF($A$2:$A$5001,A1329)&gt;1,"Duplicate","Unique")</f>
        <v>Unique</v>
      </c>
      <c r="V1329" s="9" t="str">
        <f aca="false">IF(COUNTIFS($B$2:$B$5001,B1329,$H$2:$H$5001,H1329,$J$2:$J$5001,J1329)&gt;1,"Possible Duplicate Booking","Unique")</f>
        <v>Unique</v>
      </c>
      <c r="W1329" s="9" t="str">
        <f aca="false">IF((H1329-G1329)&lt;&gt;K1329,"Mismatch","OK")</f>
        <v>OK</v>
      </c>
      <c r="X1329" s="9" t="str">
        <f aca="false">IF(TEXT(H1329,"dddd")&lt;&gt;I1329,"Mismatch","OK")</f>
        <v>OK</v>
      </c>
      <c r="Y1329" s="9" t="str">
        <f aca="false">IF(AND(N1329="No",O1329&lt;&gt;""),"Unexpected: channel present but no reminder sent",IF(AND(N1329="Yes",O1329=""),"Missing channel for sent reminder","OK"))</f>
        <v>OK</v>
      </c>
    </row>
    <row r="1330" customFormat="false" ht="15" hidden="false" customHeight="false" outlineLevel="0" collapsed="false">
      <c r="A1330" s="7" t="s">
        <v>2339</v>
      </c>
      <c r="B1330" s="7" t="s">
        <v>1028</v>
      </c>
      <c r="C1330" s="7" t="s">
        <v>47</v>
      </c>
      <c r="D1330" s="7" t="n">
        <v>20</v>
      </c>
      <c r="E1330" s="7" t="s">
        <v>82</v>
      </c>
      <c r="F1330" s="7" t="s">
        <v>57</v>
      </c>
      <c r="G1330" s="8" t="n">
        <v>46022</v>
      </c>
      <c r="H1330" s="8" t="n">
        <v>46026</v>
      </c>
      <c r="I1330" s="7" t="s">
        <v>75</v>
      </c>
      <c r="J1330" s="7" t="s">
        <v>51</v>
      </c>
      <c r="K1330" s="7" t="n">
        <v>4</v>
      </c>
      <c r="L1330" s="7" t="n">
        <v>2</v>
      </c>
      <c r="M1330" s="7" t="n">
        <v>0</v>
      </c>
      <c r="N1330" s="7" t="s">
        <v>42</v>
      </c>
      <c r="O1330" s="7" t="s">
        <v>43</v>
      </c>
      <c r="P1330" s="7" t="n">
        <v>10.7</v>
      </c>
      <c r="Q1330" s="7" t="n">
        <v>20</v>
      </c>
      <c r="R1330" s="7" t="s">
        <v>53</v>
      </c>
      <c r="S1330" s="7"/>
      <c r="T1330" s="7"/>
      <c r="U1330" s="7" t="str">
        <f aca="false">IF(COUNTIF($A$2:$A$5001,A1330)&gt;1,"Duplicate","Unique")</f>
        <v>Unique</v>
      </c>
      <c r="V1330" s="7" t="str">
        <f aca="false">IF(COUNTIFS($B$2:$B$5001,B1330,$H$2:$H$5001,H1330,$J$2:$J$5001,J1330)&gt;1,"Possible Duplicate Booking","Unique")</f>
        <v>Unique</v>
      </c>
      <c r="W1330" s="7" t="str">
        <f aca="false">IF((H1330-G1330)&lt;&gt;K1330,"Mismatch","OK")</f>
        <v>OK</v>
      </c>
      <c r="X1330" s="7" t="str">
        <f aca="false">IF(TEXT(H1330,"dddd")&lt;&gt;I1330,"Mismatch","OK")</f>
        <v>OK</v>
      </c>
      <c r="Y1330" s="7" t="str">
        <f aca="false">IF(AND(N1330="No",O1330&lt;&gt;""),"Unexpected: channel present but no reminder sent",IF(AND(N1330="Yes",O1330=""),"Missing channel for sent reminder","OK"))</f>
        <v>OK</v>
      </c>
    </row>
    <row r="1331" customFormat="false" ht="15" hidden="false" customHeight="false" outlineLevel="0" collapsed="false">
      <c r="A1331" s="9" t="s">
        <v>2340</v>
      </c>
      <c r="B1331" s="9" t="s">
        <v>148</v>
      </c>
      <c r="C1331" s="9" t="s">
        <v>37</v>
      </c>
      <c r="D1331" s="9" t="n">
        <v>31</v>
      </c>
      <c r="E1331" s="9" t="s">
        <v>48</v>
      </c>
      <c r="F1331" s="9" t="s">
        <v>74</v>
      </c>
      <c r="G1331" s="10" t="n">
        <v>45808</v>
      </c>
      <c r="H1331" s="10" t="n">
        <v>45844</v>
      </c>
      <c r="I1331" s="9" t="s">
        <v>75</v>
      </c>
      <c r="J1331" s="9" t="s">
        <v>51</v>
      </c>
      <c r="K1331" s="9" t="n">
        <v>36</v>
      </c>
      <c r="L1331" s="9" t="n">
        <v>1</v>
      </c>
      <c r="M1331" s="9" t="n">
        <v>0</v>
      </c>
      <c r="N1331" s="9" t="s">
        <v>71</v>
      </c>
      <c r="O1331" s="9"/>
      <c r="P1331" s="9" t="n">
        <v>16</v>
      </c>
      <c r="Q1331" s="9" t="n">
        <v>52</v>
      </c>
      <c r="R1331" s="9" t="s">
        <v>44</v>
      </c>
      <c r="S1331" s="9"/>
      <c r="T1331" s="9"/>
      <c r="U1331" s="9" t="str">
        <f aca="false">IF(COUNTIF($A$2:$A$5001,A1331)&gt;1,"Duplicate","Unique")</f>
        <v>Unique</v>
      </c>
      <c r="V1331" s="9" t="str">
        <f aca="false">IF(COUNTIFS($B$2:$B$5001,B1331,$H$2:$H$5001,H1331,$J$2:$J$5001,J1331)&gt;1,"Possible Duplicate Booking","Unique")</f>
        <v>Unique</v>
      </c>
      <c r="W1331" s="9" t="str">
        <f aca="false">IF((H1331-G1331)&lt;&gt;K1331,"Mismatch","OK")</f>
        <v>OK</v>
      </c>
      <c r="X1331" s="9" t="str">
        <f aca="false">IF(TEXT(H1331,"dddd")&lt;&gt;I1331,"Mismatch","OK")</f>
        <v>OK</v>
      </c>
      <c r="Y1331" s="9" t="str">
        <f aca="false">IF(AND(N1331="No",O1331&lt;&gt;""),"Unexpected: channel present but no reminder sent",IF(AND(N1331="Yes",O1331=""),"Missing channel for sent reminder","OK"))</f>
        <v>OK</v>
      </c>
    </row>
    <row r="1332" customFormat="false" ht="15" hidden="false" customHeight="false" outlineLevel="0" collapsed="false">
      <c r="A1332" s="7" t="s">
        <v>2341</v>
      </c>
      <c r="B1332" s="7" t="s">
        <v>1428</v>
      </c>
      <c r="C1332" s="7" t="s">
        <v>47</v>
      </c>
      <c r="D1332" s="7" t="n">
        <v>80</v>
      </c>
      <c r="E1332" s="7" t="s">
        <v>70</v>
      </c>
      <c r="F1332" s="7" t="s">
        <v>57</v>
      </c>
      <c r="G1332" s="8" t="n">
        <v>45900</v>
      </c>
      <c r="H1332" s="8" t="n">
        <v>45903</v>
      </c>
      <c r="I1332" s="7" t="s">
        <v>58</v>
      </c>
      <c r="J1332" s="7" t="s">
        <v>51</v>
      </c>
      <c r="K1332" s="7" t="n">
        <v>3</v>
      </c>
      <c r="L1332" s="7" t="n">
        <v>7</v>
      </c>
      <c r="M1332" s="7" t="n">
        <v>3</v>
      </c>
      <c r="N1332" s="7" t="s">
        <v>42</v>
      </c>
      <c r="O1332" s="7" t="s">
        <v>52</v>
      </c>
      <c r="P1332" s="7" t="n">
        <v>13.3</v>
      </c>
      <c r="Q1332" s="7" t="n">
        <v>34</v>
      </c>
      <c r="R1332" s="7" t="s">
        <v>53</v>
      </c>
      <c r="S1332" s="7"/>
      <c r="T1332" s="7"/>
      <c r="U1332" s="7" t="str">
        <f aca="false">IF(COUNTIF($A$2:$A$5001,A1332)&gt;1,"Duplicate","Unique")</f>
        <v>Unique</v>
      </c>
      <c r="V1332" s="7" t="str">
        <f aca="false">IF(COUNTIFS($B$2:$B$5001,B1332,$H$2:$H$5001,H1332,$J$2:$J$5001,J1332)&gt;1,"Possible Duplicate Booking","Unique")</f>
        <v>Unique</v>
      </c>
      <c r="W1332" s="7" t="str">
        <f aca="false">IF((H1332-G1332)&lt;&gt;K1332,"Mismatch","OK")</f>
        <v>OK</v>
      </c>
      <c r="X1332" s="7" t="str">
        <f aca="false">IF(TEXT(H1332,"dddd")&lt;&gt;I1332,"Mismatch","OK")</f>
        <v>OK</v>
      </c>
      <c r="Y1332" s="7" t="str">
        <f aca="false">IF(AND(N1332="No",O1332&lt;&gt;""),"Unexpected: channel present but no reminder sent",IF(AND(N1332="Yes",O1332=""),"Missing channel for sent reminder","OK"))</f>
        <v>OK</v>
      </c>
    </row>
    <row r="1333" customFormat="false" ht="15" hidden="false" customHeight="false" outlineLevel="0" collapsed="false">
      <c r="A1333" s="9" t="s">
        <v>2342</v>
      </c>
      <c r="B1333" s="9" t="s">
        <v>2337</v>
      </c>
      <c r="C1333" s="9" t="s">
        <v>47</v>
      </c>
      <c r="D1333" s="9" t="n">
        <v>61</v>
      </c>
      <c r="E1333" s="9" t="s">
        <v>61</v>
      </c>
      <c r="F1333" s="9" t="s">
        <v>39</v>
      </c>
      <c r="G1333" s="10" t="n">
        <v>46007</v>
      </c>
      <c r="H1333" s="10" t="n">
        <v>46049</v>
      </c>
      <c r="I1333" s="9" t="s">
        <v>40</v>
      </c>
      <c r="J1333" s="9" t="s">
        <v>51</v>
      </c>
      <c r="K1333" s="9" t="n">
        <v>42</v>
      </c>
      <c r="L1333" s="9" t="n">
        <v>2</v>
      </c>
      <c r="M1333" s="9" t="n">
        <v>0</v>
      </c>
      <c r="N1333" s="9" t="s">
        <v>71</v>
      </c>
      <c r="O1333" s="9"/>
      <c r="P1333" s="9" t="n">
        <v>4</v>
      </c>
      <c r="Q1333" s="9" t="n">
        <v>12</v>
      </c>
      <c r="R1333" s="9" t="s">
        <v>44</v>
      </c>
      <c r="S1333" s="9"/>
      <c r="T1333" s="9"/>
      <c r="U1333" s="9" t="str">
        <f aca="false">IF(COUNTIF($A$2:$A$5001,A1333)&gt;1,"Duplicate","Unique")</f>
        <v>Unique</v>
      </c>
      <c r="V1333" s="9" t="str">
        <f aca="false">IF(COUNTIFS($B$2:$B$5001,B1333,$H$2:$H$5001,H1333,$J$2:$J$5001,J1333)&gt;1,"Possible Duplicate Booking","Unique")</f>
        <v>Unique</v>
      </c>
      <c r="W1333" s="9" t="str">
        <f aca="false">IF((H1333-G1333)&lt;&gt;K1333,"Mismatch","OK")</f>
        <v>OK</v>
      </c>
      <c r="X1333" s="9" t="str">
        <f aca="false">IF(TEXT(H1333,"dddd")&lt;&gt;I1333,"Mismatch","OK")</f>
        <v>OK</v>
      </c>
      <c r="Y1333" s="9" t="str">
        <f aca="false">IF(AND(N1333="No",O1333&lt;&gt;""),"Unexpected: channel present but no reminder sent",IF(AND(N1333="Yes",O1333=""),"Missing channel for sent reminder","OK"))</f>
        <v>OK</v>
      </c>
    </row>
    <row r="1334" customFormat="false" ht="15" hidden="false" customHeight="false" outlineLevel="0" collapsed="false">
      <c r="A1334" s="7" t="s">
        <v>2343</v>
      </c>
      <c r="B1334" s="7" t="s">
        <v>782</v>
      </c>
      <c r="C1334" s="7" t="s">
        <v>47</v>
      </c>
      <c r="D1334" s="7" t="n">
        <v>77</v>
      </c>
      <c r="E1334" s="7" t="s">
        <v>70</v>
      </c>
      <c r="F1334" s="7" t="s">
        <v>57</v>
      </c>
      <c r="G1334" s="8" t="n">
        <v>45875</v>
      </c>
      <c r="H1334" s="8" t="n">
        <v>45889</v>
      </c>
      <c r="I1334" s="7" t="s">
        <v>58</v>
      </c>
      <c r="J1334" s="7" t="s">
        <v>51</v>
      </c>
      <c r="K1334" s="7" t="n">
        <v>14</v>
      </c>
      <c r="L1334" s="7" t="n">
        <v>6</v>
      </c>
      <c r="M1334" s="7" t="n">
        <v>1</v>
      </c>
      <c r="N1334" s="7" t="s">
        <v>42</v>
      </c>
      <c r="O1334" s="7" t="s">
        <v>43</v>
      </c>
      <c r="P1334" s="7" t="n">
        <v>26.8</v>
      </c>
      <c r="Q1334" s="7" t="n">
        <v>31</v>
      </c>
      <c r="R1334" s="7" t="s">
        <v>53</v>
      </c>
      <c r="S1334" s="7"/>
      <c r="T1334" s="7"/>
      <c r="U1334" s="7" t="str">
        <f aca="false">IF(COUNTIF($A$2:$A$5001,A1334)&gt;1,"Duplicate","Unique")</f>
        <v>Unique</v>
      </c>
      <c r="V1334" s="7" t="str">
        <f aca="false">IF(COUNTIFS($B$2:$B$5001,B1334,$H$2:$H$5001,H1334,$J$2:$J$5001,J1334)&gt;1,"Possible Duplicate Booking","Unique")</f>
        <v>Unique</v>
      </c>
      <c r="W1334" s="7" t="str">
        <f aca="false">IF((H1334-G1334)&lt;&gt;K1334,"Mismatch","OK")</f>
        <v>OK</v>
      </c>
      <c r="X1334" s="7" t="str">
        <f aca="false">IF(TEXT(H1334,"dddd")&lt;&gt;I1334,"Mismatch","OK")</f>
        <v>OK</v>
      </c>
      <c r="Y1334" s="7" t="str">
        <f aca="false">IF(AND(N1334="No",O1334&lt;&gt;""),"Unexpected: channel present but no reminder sent",IF(AND(N1334="Yes",O1334=""),"Missing channel for sent reminder","OK"))</f>
        <v>OK</v>
      </c>
    </row>
    <row r="1335" customFormat="false" ht="15" hidden="false" customHeight="false" outlineLevel="0" collapsed="false">
      <c r="A1335" s="9" t="s">
        <v>2344</v>
      </c>
      <c r="B1335" s="9" t="s">
        <v>2345</v>
      </c>
      <c r="C1335" s="9" t="s">
        <v>47</v>
      </c>
      <c r="D1335" s="9" t="n">
        <v>34</v>
      </c>
      <c r="E1335" s="9" t="s">
        <v>48</v>
      </c>
      <c r="F1335" s="9" t="s">
        <v>39</v>
      </c>
      <c r="G1335" s="10" t="n">
        <v>46093</v>
      </c>
      <c r="H1335" s="10" t="n">
        <v>46098</v>
      </c>
      <c r="I1335" s="9" t="s">
        <v>40</v>
      </c>
      <c r="J1335" s="9" t="s">
        <v>41</v>
      </c>
      <c r="K1335" s="9" t="n">
        <v>5</v>
      </c>
      <c r="L1335" s="9" t="n">
        <v>3</v>
      </c>
      <c r="M1335" s="9" t="n">
        <v>1</v>
      </c>
      <c r="N1335" s="9" t="s">
        <v>42</v>
      </c>
      <c r="O1335" s="9" t="s">
        <v>52</v>
      </c>
      <c r="P1335" s="9" t="n">
        <v>16.1</v>
      </c>
      <c r="Q1335" s="9" t="n">
        <v>23</v>
      </c>
      <c r="R1335" s="9" t="s">
        <v>53</v>
      </c>
      <c r="S1335" s="9"/>
      <c r="T1335" s="9"/>
      <c r="U1335" s="9" t="str">
        <f aca="false">IF(COUNTIF($A$2:$A$5001,A1335)&gt;1,"Duplicate","Unique")</f>
        <v>Unique</v>
      </c>
      <c r="V1335" s="9" t="str">
        <f aca="false">IF(COUNTIFS($B$2:$B$5001,B1335,$H$2:$H$5001,H1335,$J$2:$J$5001,J1335)&gt;1,"Possible Duplicate Booking","Unique")</f>
        <v>Unique</v>
      </c>
      <c r="W1335" s="9" t="str">
        <f aca="false">IF((H1335-G1335)&lt;&gt;K1335,"Mismatch","OK")</f>
        <v>OK</v>
      </c>
      <c r="X1335" s="9" t="str">
        <f aca="false">IF(TEXT(H1335,"dddd")&lt;&gt;I1335,"Mismatch","OK")</f>
        <v>OK</v>
      </c>
      <c r="Y1335" s="9" t="str">
        <f aca="false">IF(AND(N1335="No",O1335&lt;&gt;""),"Unexpected: channel present but no reminder sent",IF(AND(N1335="Yes",O1335=""),"Missing channel for sent reminder","OK"))</f>
        <v>OK</v>
      </c>
    </row>
    <row r="1336" customFormat="false" ht="15" hidden="false" customHeight="false" outlineLevel="0" collapsed="false">
      <c r="A1336" s="7" t="s">
        <v>2346</v>
      </c>
      <c r="B1336" s="7" t="s">
        <v>2347</v>
      </c>
      <c r="C1336" s="7" t="s">
        <v>37</v>
      </c>
      <c r="D1336" s="7" t="n">
        <v>55</v>
      </c>
      <c r="E1336" s="7" t="s">
        <v>61</v>
      </c>
      <c r="F1336" s="7" t="s">
        <v>57</v>
      </c>
      <c r="G1336" s="8" t="n">
        <v>45945</v>
      </c>
      <c r="H1336" s="8" t="n">
        <v>45949</v>
      </c>
      <c r="I1336" s="7" t="s">
        <v>75</v>
      </c>
      <c r="J1336" s="7" t="s">
        <v>41</v>
      </c>
      <c r="K1336" s="7" t="n">
        <v>4</v>
      </c>
      <c r="L1336" s="7" t="n">
        <v>9</v>
      </c>
      <c r="M1336" s="7" t="n">
        <v>1</v>
      </c>
      <c r="N1336" s="7" t="s">
        <v>42</v>
      </c>
      <c r="O1336" s="7" t="s">
        <v>43</v>
      </c>
      <c r="P1336" s="7" t="n">
        <v>7.6</v>
      </c>
      <c r="Q1336" s="7" t="n">
        <v>30</v>
      </c>
      <c r="R1336" s="7" t="s">
        <v>44</v>
      </c>
      <c r="S1336" s="7"/>
      <c r="T1336" s="7"/>
      <c r="U1336" s="7" t="str">
        <f aca="false">IF(COUNTIF($A$2:$A$5001,A1336)&gt;1,"Duplicate","Unique")</f>
        <v>Unique</v>
      </c>
      <c r="V1336" s="7" t="str">
        <f aca="false">IF(COUNTIFS($B$2:$B$5001,B1336,$H$2:$H$5001,H1336,$J$2:$J$5001,J1336)&gt;1,"Possible Duplicate Booking","Unique")</f>
        <v>Unique</v>
      </c>
      <c r="W1336" s="7" t="str">
        <f aca="false">IF((H1336-G1336)&lt;&gt;K1336,"Mismatch","OK")</f>
        <v>OK</v>
      </c>
      <c r="X1336" s="7" t="str">
        <f aca="false">IF(TEXT(H1336,"dddd")&lt;&gt;I1336,"Mismatch","OK")</f>
        <v>OK</v>
      </c>
      <c r="Y1336" s="7" t="str">
        <f aca="false">IF(AND(N1336="No",O1336&lt;&gt;""),"Unexpected: channel present but no reminder sent",IF(AND(N1336="Yes",O1336=""),"Missing channel for sent reminder","OK"))</f>
        <v>OK</v>
      </c>
    </row>
    <row r="1337" customFormat="false" ht="15" hidden="false" customHeight="false" outlineLevel="0" collapsed="false">
      <c r="A1337" s="9" t="s">
        <v>2348</v>
      </c>
      <c r="B1337" s="9" t="s">
        <v>657</v>
      </c>
      <c r="C1337" s="9" t="s">
        <v>47</v>
      </c>
      <c r="D1337" s="9" t="n">
        <v>74</v>
      </c>
      <c r="E1337" s="9" t="s">
        <v>70</v>
      </c>
      <c r="F1337" s="9" t="s">
        <v>57</v>
      </c>
      <c r="G1337" s="10" t="n">
        <v>46192</v>
      </c>
      <c r="H1337" s="10" t="n">
        <v>46203</v>
      </c>
      <c r="I1337" s="9" t="s">
        <v>40</v>
      </c>
      <c r="J1337" s="9" t="s">
        <v>41</v>
      </c>
      <c r="K1337" s="9" t="n">
        <v>11</v>
      </c>
      <c r="L1337" s="9" t="n">
        <v>3</v>
      </c>
      <c r="M1337" s="9" t="n">
        <v>0</v>
      </c>
      <c r="N1337" s="9" t="s">
        <v>42</v>
      </c>
      <c r="O1337" s="9" t="s">
        <v>52</v>
      </c>
      <c r="P1337" s="9" t="n">
        <v>3.1</v>
      </c>
      <c r="Q1337" s="9" t="n">
        <v>16</v>
      </c>
      <c r="R1337" s="9" t="s">
        <v>53</v>
      </c>
      <c r="S1337" s="9"/>
      <c r="T1337" s="9"/>
      <c r="U1337" s="9" t="str">
        <f aca="false">IF(COUNTIF($A$2:$A$5001,A1337)&gt;1,"Duplicate","Unique")</f>
        <v>Unique</v>
      </c>
      <c r="V1337" s="9" t="str">
        <f aca="false">IF(COUNTIFS($B$2:$B$5001,B1337,$H$2:$H$5001,H1337,$J$2:$J$5001,J1337)&gt;1,"Possible Duplicate Booking","Unique")</f>
        <v>Unique</v>
      </c>
      <c r="W1337" s="9" t="str">
        <f aca="false">IF((H1337-G1337)&lt;&gt;K1337,"Mismatch","OK")</f>
        <v>OK</v>
      </c>
      <c r="X1337" s="9" t="str">
        <f aca="false">IF(TEXT(H1337,"dddd")&lt;&gt;I1337,"Mismatch","OK")</f>
        <v>OK</v>
      </c>
      <c r="Y1337" s="9" t="str">
        <f aca="false">IF(AND(N1337="No",O1337&lt;&gt;""),"Unexpected: channel present but no reminder sent",IF(AND(N1337="Yes",O1337=""),"Missing channel for sent reminder","OK"))</f>
        <v>OK</v>
      </c>
    </row>
    <row r="1338" customFormat="false" ht="15" hidden="false" customHeight="false" outlineLevel="0" collapsed="false">
      <c r="A1338" s="7" t="s">
        <v>2349</v>
      </c>
      <c r="B1338" s="7" t="s">
        <v>1278</v>
      </c>
      <c r="C1338" s="7" t="s">
        <v>37</v>
      </c>
      <c r="D1338" s="7" t="n">
        <v>40</v>
      </c>
      <c r="E1338" s="7" t="s">
        <v>38</v>
      </c>
      <c r="F1338" s="7" t="s">
        <v>39</v>
      </c>
      <c r="G1338" s="8" t="n">
        <v>45974</v>
      </c>
      <c r="H1338" s="8" t="n">
        <v>46006</v>
      </c>
      <c r="I1338" s="7" t="s">
        <v>66</v>
      </c>
      <c r="J1338" s="7" t="s">
        <v>41</v>
      </c>
      <c r="K1338" s="7" t="n">
        <v>32</v>
      </c>
      <c r="L1338" s="7" t="n">
        <v>4</v>
      </c>
      <c r="M1338" s="7" t="n">
        <v>0</v>
      </c>
      <c r="N1338" s="7" t="s">
        <v>42</v>
      </c>
      <c r="O1338" s="7" t="s">
        <v>43</v>
      </c>
      <c r="P1338" s="7" t="n">
        <v>3.3</v>
      </c>
      <c r="Q1338" s="7" t="n">
        <v>27</v>
      </c>
      <c r="R1338" s="7" t="s">
        <v>44</v>
      </c>
      <c r="S1338" s="7"/>
      <c r="T1338" s="7"/>
      <c r="U1338" s="7" t="str">
        <f aca="false">IF(COUNTIF($A$2:$A$5001,A1338)&gt;1,"Duplicate","Unique")</f>
        <v>Unique</v>
      </c>
      <c r="V1338" s="7" t="str">
        <f aca="false">IF(COUNTIFS($B$2:$B$5001,B1338,$H$2:$H$5001,H1338,$J$2:$J$5001,J1338)&gt;1,"Possible Duplicate Booking","Unique")</f>
        <v>Unique</v>
      </c>
      <c r="W1338" s="7" t="str">
        <f aca="false">IF((H1338-G1338)&lt;&gt;K1338,"Mismatch","OK")</f>
        <v>OK</v>
      </c>
      <c r="X1338" s="7" t="str">
        <f aca="false">IF(TEXT(H1338,"dddd")&lt;&gt;I1338,"Mismatch","OK")</f>
        <v>OK</v>
      </c>
      <c r="Y1338" s="7" t="str">
        <f aca="false">IF(AND(N1338="No",O1338&lt;&gt;""),"Unexpected: channel present but no reminder sent",IF(AND(N1338="Yes",O1338=""),"Missing channel for sent reminder","OK"))</f>
        <v>OK</v>
      </c>
    </row>
    <row r="1339" customFormat="false" ht="15" hidden="false" customHeight="false" outlineLevel="0" collapsed="false">
      <c r="A1339" s="9" t="s">
        <v>2350</v>
      </c>
      <c r="B1339" s="9" t="s">
        <v>2351</v>
      </c>
      <c r="C1339" s="9" t="s">
        <v>47</v>
      </c>
      <c r="D1339" s="9" t="n">
        <v>59</v>
      </c>
      <c r="E1339" s="9" t="s">
        <v>61</v>
      </c>
      <c r="F1339" s="9" t="s">
        <v>49</v>
      </c>
      <c r="G1339" s="10" t="n">
        <v>45815</v>
      </c>
      <c r="H1339" s="10" t="n">
        <v>45819</v>
      </c>
      <c r="I1339" s="9" t="s">
        <v>58</v>
      </c>
      <c r="J1339" s="9" t="s">
        <v>51</v>
      </c>
      <c r="K1339" s="9" t="n">
        <v>4</v>
      </c>
      <c r="L1339" s="9" t="n">
        <v>2</v>
      </c>
      <c r="M1339" s="9" t="n">
        <v>1</v>
      </c>
      <c r="N1339" s="9" t="s">
        <v>42</v>
      </c>
      <c r="O1339" s="9" t="s">
        <v>43</v>
      </c>
      <c r="P1339" s="9" t="n">
        <v>10.7</v>
      </c>
      <c r="Q1339" s="9" t="n">
        <v>36</v>
      </c>
      <c r="R1339" s="9" t="s">
        <v>44</v>
      </c>
      <c r="S1339" s="9"/>
      <c r="T1339" s="9"/>
      <c r="U1339" s="9" t="str">
        <f aca="false">IF(COUNTIF($A$2:$A$5001,A1339)&gt;1,"Duplicate","Unique")</f>
        <v>Unique</v>
      </c>
      <c r="V1339" s="9" t="str">
        <f aca="false">IF(COUNTIFS($B$2:$B$5001,B1339,$H$2:$H$5001,H1339,$J$2:$J$5001,J1339)&gt;1,"Possible Duplicate Booking","Unique")</f>
        <v>Unique</v>
      </c>
      <c r="W1339" s="9" t="str">
        <f aca="false">IF((H1339-G1339)&lt;&gt;K1339,"Mismatch","OK")</f>
        <v>OK</v>
      </c>
      <c r="X1339" s="9" t="str">
        <f aca="false">IF(TEXT(H1339,"dddd")&lt;&gt;I1339,"Mismatch","OK")</f>
        <v>OK</v>
      </c>
      <c r="Y1339" s="9" t="str">
        <f aca="false">IF(AND(N1339="No",O1339&lt;&gt;""),"Unexpected: channel present but no reminder sent",IF(AND(N1339="Yes",O1339=""),"Missing channel for sent reminder","OK"))</f>
        <v>OK</v>
      </c>
    </row>
    <row r="1340" customFormat="false" ht="15" hidden="false" customHeight="false" outlineLevel="0" collapsed="false">
      <c r="A1340" s="7" t="s">
        <v>2352</v>
      </c>
      <c r="B1340" s="7" t="s">
        <v>2353</v>
      </c>
      <c r="C1340" s="7" t="s">
        <v>37</v>
      </c>
      <c r="D1340" s="7" t="n">
        <v>61</v>
      </c>
      <c r="E1340" s="7" t="s">
        <v>61</v>
      </c>
      <c r="F1340" s="7" t="s">
        <v>57</v>
      </c>
      <c r="G1340" s="8" t="n">
        <v>46033</v>
      </c>
      <c r="H1340" s="8" t="n">
        <v>46081</v>
      </c>
      <c r="I1340" s="7" t="s">
        <v>102</v>
      </c>
      <c r="J1340" s="7" t="s">
        <v>41</v>
      </c>
      <c r="K1340" s="7" t="n">
        <v>48</v>
      </c>
      <c r="L1340" s="7" t="n">
        <v>3</v>
      </c>
      <c r="M1340" s="7" t="n">
        <v>1</v>
      </c>
      <c r="N1340" s="7" t="s">
        <v>42</v>
      </c>
      <c r="O1340" s="7" t="s">
        <v>52</v>
      </c>
      <c r="P1340" s="7" t="n">
        <v>8</v>
      </c>
      <c r="Q1340" s="7" t="n">
        <v>33</v>
      </c>
      <c r="R1340" s="7" t="s">
        <v>44</v>
      </c>
      <c r="S1340" s="7"/>
      <c r="T1340" s="7"/>
      <c r="U1340" s="7" t="str">
        <f aca="false">IF(COUNTIF($A$2:$A$5001,A1340)&gt;1,"Duplicate","Unique")</f>
        <v>Unique</v>
      </c>
      <c r="V1340" s="7" t="str">
        <f aca="false">IF(COUNTIFS($B$2:$B$5001,B1340,$H$2:$H$5001,H1340,$J$2:$J$5001,J1340)&gt;1,"Possible Duplicate Booking","Unique")</f>
        <v>Unique</v>
      </c>
      <c r="W1340" s="7" t="str">
        <f aca="false">IF((H1340-G1340)&lt;&gt;K1340,"Mismatch","OK")</f>
        <v>OK</v>
      </c>
      <c r="X1340" s="7" t="str">
        <f aca="false">IF(TEXT(H1340,"dddd")&lt;&gt;I1340,"Mismatch","OK")</f>
        <v>OK</v>
      </c>
      <c r="Y1340" s="7" t="str">
        <f aca="false">IF(AND(N1340="No",O1340&lt;&gt;""),"Unexpected: channel present but no reminder sent",IF(AND(N1340="Yes",O1340=""),"Missing channel for sent reminder","OK"))</f>
        <v>OK</v>
      </c>
    </row>
    <row r="1341" customFormat="false" ht="15" hidden="false" customHeight="false" outlineLevel="0" collapsed="false">
      <c r="A1341" s="9" t="s">
        <v>2354</v>
      </c>
      <c r="B1341" s="9" t="s">
        <v>1603</v>
      </c>
      <c r="C1341" s="9" t="s">
        <v>47</v>
      </c>
      <c r="D1341" s="9" t="n">
        <v>70</v>
      </c>
      <c r="E1341" s="9" t="s">
        <v>70</v>
      </c>
      <c r="F1341" s="9" t="s">
        <v>39</v>
      </c>
      <c r="G1341" s="10" t="n">
        <v>45844</v>
      </c>
      <c r="H1341" s="10" t="n">
        <v>45880</v>
      </c>
      <c r="I1341" s="9" t="s">
        <v>66</v>
      </c>
      <c r="J1341" s="9" t="s">
        <v>41</v>
      </c>
      <c r="K1341" s="9" t="n">
        <v>36</v>
      </c>
      <c r="L1341" s="9" t="n">
        <v>4</v>
      </c>
      <c r="M1341" s="9" t="n">
        <v>1</v>
      </c>
      <c r="N1341" s="9" t="s">
        <v>71</v>
      </c>
      <c r="O1341" s="9"/>
      <c r="P1341" s="9" t="n">
        <v>5.6</v>
      </c>
      <c r="Q1341" s="9" t="n">
        <v>36</v>
      </c>
      <c r="R1341" s="9" t="s">
        <v>44</v>
      </c>
      <c r="S1341" s="9"/>
      <c r="T1341" s="9"/>
      <c r="U1341" s="9" t="str">
        <f aca="false">IF(COUNTIF($A$2:$A$5001,A1341)&gt;1,"Duplicate","Unique")</f>
        <v>Unique</v>
      </c>
      <c r="V1341" s="9" t="str">
        <f aca="false">IF(COUNTIFS($B$2:$B$5001,B1341,$H$2:$H$5001,H1341,$J$2:$J$5001,J1341)&gt;1,"Possible Duplicate Booking","Unique")</f>
        <v>Unique</v>
      </c>
      <c r="W1341" s="9" t="str">
        <f aca="false">IF((H1341-G1341)&lt;&gt;K1341,"Mismatch","OK")</f>
        <v>OK</v>
      </c>
      <c r="X1341" s="9" t="str">
        <f aca="false">IF(TEXT(H1341,"dddd")&lt;&gt;I1341,"Mismatch","OK")</f>
        <v>OK</v>
      </c>
      <c r="Y1341" s="9" t="str">
        <f aca="false">IF(AND(N1341="No",O1341&lt;&gt;""),"Unexpected: channel present but no reminder sent",IF(AND(N1341="Yes",O1341=""),"Missing channel for sent reminder","OK"))</f>
        <v>OK</v>
      </c>
    </row>
    <row r="1342" customFormat="false" ht="15" hidden="false" customHeight="false" outlineLevel="0" collapsed="false">
      <c r="A1342" s="7" t="s">
        <v>2355</v>
      </c>
      <c r="B1342" s="7" t="s">
        <v>2356</v>
      </c>
      <c r="C1342" s="7" t="s">
        <v>47</v>
      </c>
      <c r="D1342" s="7" t="n">
        <v>79</v>
      </c>
      <c r="E1342" s="7" t="s">
        <v>70</v>
      </c>
      <c r="F1342" s="7" t="s">
        <v>57</v>
      </c>
      <c r="G1342" s="8" t="n">
        <v>45931</v>
      </c>
      <c r="H1342" s="8" t="n">
        <v>45949</v>
      </c>
      <c r="I1342" s="7" t="s">
        <v>75</v>
      </c>
      <c r="J1342" s="7" t="s">
        <v>51</v>
      </c>
      <c r="K1342" s="7" t="n">
        <v>18</v>
      </c>
      <c r="L1342" s="7" t="n">
        <v>4</v>
      </c>
      <c r="M1342" s="7" t="n">
        <v>1</v>
      </c>
      <c r="N1342" s="7" t="s">
        <v>42</v>
      </c>
      <c r="O1342" s="7" t="s">
        <v>52</v>
      </c>
      <c r="P1342" s="7" t="n">
        <v>10.4</v>
      </c>
      <c r="Q1342" s="7" t="n">
        <v>58</v>
      </c>
      <c r="R1342" s="7" t="s">
        <v>53</v>
      </c>
      <c r="S1342" s="7"/>
      <c r="T1342" s="7"/>
      <c r="U1342" s="7" t="str">
        <f aca="false">IF(COUNTIF($A$2:$A$5001,A1342)&gt;1,"Duplicate","Unique")</f>
        <v>Unique</v>
      </c>
      <c r="V1342" s="7" t="str">
        <f aca="false">IF(COUNTIFS($B$2:$B$5001,B1342,$H$2:$H$5001,H1342,$J$2:$J$5001,J1342)&gt;1,"Possible Duplicate Booking","Unique")</f>
        <v>Unique</v>
      </c>
      <c r="W1342" s="7" t="str">
        <f aca="false">IF((H1342-G1342)&lt;&gt;K1342,"Mismatch","OK")</f>
        <v>OK</v>
      </c>
      <c r="X1342" s="7" t="str">
        <f aca="false">IF(TEXT(H1342,"dddd")&lt;&gt;I1342,"Mismatch","OK")</f>
        <v>OK</v>
      </c>
      <c r="Y1342" s="7" t="str">
        <f aca="false">IF(AND(N1342="No",O1342&lt;&gt;""),"Unexpected: channel present but no reminder sent",IF(AND(N1342="Yes",O1342=""),"Missing channel for sent reminder","OK"))</f>
        <v>OK</v>
      </c>
    </row>
    <row r="1343" customFormat="false" ht="15" hidden="false" customHeight="false" outlineLevel="0" collapsed="false">
      <c r="A1343" s="9" t="s">
        <v>2357</v>
      </c>
      <c r="B1343" s="9" t="s">
        <v>2358</v>
      </c>
      <c r="C1343" s="9" t="s">
        <v>37</v>
      </c>
      <c r="D1343" s="9" t="n">
        <v>56</v>
      </c>
      <c r="E1343" s="9" t="s">
        <v>61</v>
      </c>
      <c r="F1343" s="9" t="s">
        <v>57</v>
      </c>
      <c r="G1343" s="10" t="n">
        <v>45672</v>
      </c>
      <c r="H1343" s="10" t="n">
        <v>45732</v>
      </c>
      <c r="I1343" s="9" t="s">
        <v>75</v>
      </c>
      <c r="J1343" s="9" t="s">
        <v>41</v>
      </c>
      <c r="K1343" s="9" t="n">
        <v>60</v>
      </c>
      <c r="L1343" s="9" t="n">
        <v>3</v>
      </c>
      <c r="M1343" s="9" t="n">
        <v>0</v>
      </c>
      <c r="N1343" s="9" t="s">
        <v>42</v>
      </c>
      <c r="O1343" s="9" t="s">
        <v>43</v>
      </c>
      <c r="P1343" s="9" t="n">
        <v>8.7</v>
      </c>
      <c r="Q1343" s="9" t="n">
        <v>19</v>
      </c>
      <c r="R1343" s="9" t="s">
        <v>44</v>
      </c>
      <c r="S1343" s="9"/>
      <c r="T1343" s="9"/>
      <c r="U1343" s="9" t="str">
        <f aca="false">IF(COUNTIF($A$2:$A$5001,A1343)&gt;1,"Duplicate","Unique")</f>
        <v>Unique</v>
      </c>
      <c r="V1343" s="9" t="str">
        <f aca="false">IF(COUNTIFS($B$2:$B$5001,B1343,$H$2:$H$5001,H1343,$J$2:$J$5001,J1343)&gt;1,"Possible Duplicate Booking","Unique")</f>
        <v>Unique</v>
      </c>
      <c r="W1343" s="9" t="str">
        <f aca="false">IF((H1343-G1343)&lt;&gt;K1343,"Mismatch","OK")</f>
        <v>OK</v>
      </c>
      <c r="X1343" s="9" t="str">
        <f aca="false">IF(TEXT(H1343,"dddd")&lt;&gt;I1343,"Mismatch","OK")</f>
        <v>OK</v>
      </c>
      <c r="Y1343" s="9" t="str">
        <f aca="false">IF(AND(N1343="No",O1343&lt;&gt;""),"Unexpected: channel present but no reminder sent",IF(AND(N1343="Yes",O1343=""),"Missing channel for sent reminder","OK"))</f>
        <v>OK</v>
      </c>
    </row>
    <row r="1344" customFormat="false" ht="15" hidden="false" customHeight="false" outlineLevel="0" collapsed="false">
      <c r="A1344" s="7" t="s">
        <v>2359</v>
      </c>
      <c r="B1344" s="7" t="s">
        <v>2360</v>
      </c>
      <c r="C1344" s="7" t="s">
        <v>37</v>
      </c>
      <c r="D1344" s="7" t="n">
        <v>54</v>
      </c>
      <c r="E1344" s="7" t="s">
        <v>56</v>
      </c>
      <c r="F1344" s="7" t="s">
        <v>57</v>
      </c>
      <c r="G1344" s="8" t="n">
        <v>45683</v>
      </c>
      <c r="H1344" s="8" t="n">
        <v>45723</v>
      </c>
      <c r="I1344" s="7" t="s">
        <v>50</v>
      </c>
      <c r="J1344" s="7" t="s">
        <v>41</v>
      </c>
      <c r="K1344" s="7" t="n">
        <v>40</v>
      </c>
      <c r="L1344" s="7" t="n">
        <v>2</v>
      </c>
      <c r="M1344" s="7" t="n">
        <v>0</v>
      </c>
      <c r="N1344" s="7" t="s">
        <v>42</v>
      </c>
      <c r="O1344" s="7" t="s">
        <v>67</v>
      </c>
      <c r="P1344" s="7" t="n">
        <v>7.3</v>
      </c>
      <c r="Q1344" s="7" t="n">
        <v>44</v>
      </c>
      <c r="R1344" s="7" t="s">
        <v>44</v>
      </c>
      <c r="S1344" s="7"/>
      <c r="T1344" s="7"/>
      <c r="U1344" s="7" t="str">
        <f aca="false">IF(COUNTIF($A$2:$A$5001,A1344)&gt;1,"Duplicate","Unique")</f>
        <v>Unique</v>
      </c>
      <c r="V1344" s="7" t="str">
        <f aca="false">IF(COUNTIFS($B$2:$B$5001,B1344,$H$2:$H$5001,H1344,$J$2:$J$5001,J1344)&gt;1,"Possible Duplicate Booking","Unique")</f>
        <v>Unique</v>
      </c>
      <c r="W1344" s="7" t="str">
        <f aca="false">IF((H1344-G1344)&lt;&gt;K1344,"Mismatch","OK")</f>
        <v>OK</v>
      </c>
      <c r="X1344" s="7" t="str">
        <f aca="false">IF(TEXT(H1344,"dddd")&lt;&gt;I1344,"Mismatch","OK")</f>
        <v>OK</v>
      </c>
      <c r="Y1344" s="7" t="str">
        <f aca="false">IF(AND(N1344="No",O1344&lt;&gt;""),"Unexpected: channel present but no reminder sent",IF(AND(N1344="Yes",O1344=""),"Missing channel for sent reminder","OK"))</f>
        <v>OK</v>
      </c>
    </row>
    <row r="1345" customFormat="false" ht="15" hidden="false" customHeight="false" outlineLevel="0" collapsed="false">
      <c r="A1345" s="9" t="s">
        <v>2361</v>
      </c>
      <c r="B1345" s="9" t="s">
        <v>2134</v>
      </c>
      <c r="C1345" s="9" t="s">
        <v>37</v>
      </c>
      <c r="D1345" s="9" t="n">
        <v>72</v>
      </c>
      <c r="E1345" s="9" t="s">
        <v>70</v>
      </c>
      <c r="F1345" s="9" t="s">
        <v>39</v>
      </c>
      <c r="G1345" s="10" t="n">
        <v>45931</v>
      </c>
      <c r="H1345" s="10" t="n">
        <v>45971</v>
      </c>
      <c r="I1345" s="9" t="s">
        <v>66</v>
      </c>
      <c r="J1345" s="9" t="s">
        <v>41</v>
      </c>
      <c r="K1345" s="9" t="n">
        <v>40</v>
      </c>
      <c r="L1345" s="9" t="n">
        <v>3</v>
      </c>
      <c r="M1345" s="9" t="n">
        <v>0</v>
      </c>
      <c r="N1345" s="9" t="s">
        <v>42</v>
      </c>
      <c r="O1345" s="9" t="s">
        <v>52</v>
      </c>
      <c r="P1345" s="9" t="n">
        <v>3.5</v>
      </c>
      <c r="Q1345" s="9" t="n">
        <v>27</v>
      </c>
      <c r="R1345" s="9" t="s">
        <v>53</v>
      </c>
      <c r="S1345" s="9"/>
      <c r="T1345" s="9"/>
      <c r="U1345" s="9" t="str">
        <f aca="false">IF(COUNTIF($A$2:$A$5001,A1345)&gt;1,"Duplicate","Unique")</f>
        <v>Unique</v>
      </c>
      <c r="V1345" s="9" t="str">
        <f aca="false">IF(COUNTIFS($B$2:$B$5001,B1345,$H$2:$H$5001,H1345,$J$2:$J$5001,J1345)&gt;1,"Possible Duplicate Booking","Unique")</f>
        <v>Unique</v>
      </c>
      <c r="W1345" s="9" t="str">
        <f aca="false">IF((H1345-G1345)&lt;&gt;K1345,"Mismatch","OK")</f>
        <v>OK</v>
      </c>
      <c r="X1345" s="9" t="str">
        <f aca="false">IF(TEXT(H1345,"dddd")&lt;&gt;I1345,"Mismatch","OK")</f>
        <v>OK</v>
      </c>
      <c r="Y1345" s="9" t="str">
        <f aca="false">IF(AND(N1345="No",O1345&lt;&gt;""),"Unexpected: channel present but no reminder sent",IF(AND(N1345="Yes",O1345=""),"Missing channel for sent reminder","OK"))</f>
        <v>OK</v>
      </c>
    </row>
    <row r="1346" customFormat="false" ht="15" hidden="false" customHeight="false" outlineLevel="0" collapsed="false">
      <c r="A1346" s="7" t="s">
        <v>2362</v>
      </c>
      <c r="B1346" s="7" t="s">
        <v>229</v>
      </c>
      <c r="C1346" s="7" t="s">
        <v>37</v>
      </c>
      <c r="D1346" s="7" t="n">
        <v>61</v>
      </c>
      <c r="E1346" s="7" t="s">
        <v>61</v>
      </c>
      <c r="F1346" s="7" t="s">
        <v>49</v>
      </c>
      <c r="G1346" s="8" t="n">
        <v>45749</v>
      </c>
      <c r="H1346" s="8" t="n">
        <v>45759</v>
      </c>
      <c r="I1346" s="7" t="s">
        <v>102</v>
      </c>
      <c r="J1346" s="7" t="s">
        <v>41</v>
      </c>
      <c r="K1346" s="7" t="n">
        <v>10</v>
      </c>
      <c r="L1346" s="7" t="n">
        <v>1</v>
      </c>
      <c r="M1346" s="7" t="n">
        <v>0</v>
      </c>
      <c r="N1346" s="7" t="s">
        <v>42</v>
      </c>
      <c r="O1346" s="7" t="s">
        <v>43</v>
      </c>
      <c r="P1346" s="7" t="n">
        <v>8.7</v>
      </c>
      <c r="Q1346" s="7" t="n">
        <v>20</v>
      </c>
      <c r="R1346" s="7" t="s">
        <v>53</v>
      </c>
      <c r="S1346" s="7"/>
      <c r="T1346" s="7"/>
      <c r="U1346" s="7" t="str">
        <f aca="false">IF(COUNTIF($A$2:$A$5001,A1346)&gt;1,"Duplicate","Unique")</f>
        <v>Unique</v>
      </c>
      <c r="V1346" s="7" t="str">
        <f aca="false">IF(COUNTIFS($B$2:$B$5001,B1346,$H$2:$H$5001,H1346,$J$2:$J$5001,J1346)&gt;1,"Possible Duplicate Booking","Unique")</f>
        <v>Unique</v>
      </c>
      <c r="W1346" s="7" t="str">
        <f aca="false">IF((H1346-G1346)&lt;&gt;K1346,"Mismatch","OK")</f>
        <v>OK</v>
      </c>
      <c r="X1346" s="7" t="str">
        <f aca="false">IF(TEXT(H1346,"dddd")&lt;&gt;I1346,"Mismatch","OK")</f>
        <v>OK</v>
      </c>
      <c r="Y1346" s="7" t="str">
        <f aca="false">IF(AND(N1346="No",O1346&lt;&gt;""),"Unexpected: channel present but no reminder sent",IF(AND(N1346="Yes",O1346=""),"Missing channel for sent reminder","OK"))</f>
        <v>OK</v>
      </c>
    </row>
    <row r="1347" customFormat="false" ht="15" hidden="false" customHeight="false" outlineLevel="0" collapsed="false">
      <c r="A1347" s="9" t="s">
        <v>2363</v>
      </c>
      <c r="B1347" s="9" t="s">
        <v>2364</v>
      </c>
      <c r="C1347" s="9" t="s">
        <v>37</v>
      </c>
      <c r="D1347" s="9" t="n">
        <v>40</v>
      </c>
      <c r="E1347" s="9" t="s">
        <v>38</v>
      </c>
      <c r="F1347" s="9" t="s">
        <v>39</v>
      </c>
      <c r="G1347" s="10" t="n">
        <v>46159</v>
      </c>
      <c r="H1347" s="10" t="n">
        <v>46202</v>
      </c>
      <c r="I1347" s="9" t="s">
        <v>66</v>
      </c>
      <c r="J1347" s="9" t="s">
        <v>51</v>
      </c>
      <c r="K1347" s="9" t="n">
        <v>43</v>
      </c>
      <c r="L1347" s="9" t="n">
        <v>3</v>
      </c>
      <c r="M1347" s="9" t="n">
        <v>1</v>
      </c>
      <c r="N1347" s="9" t="s">
        <v>42</v>
      </c>
      <c r="O1347" s="9" t="s">
        <v>52</v>
      </c>
      <c r="P1347" s="9" t="n">
        <v>20.1</v>
      </c>
      <c r="Q1347" s="9" t="n">
        <v>24</v>
      </c>
      <c r="R1347" s="9" t="s">
        <v>53</v>
      </c>
      <c r="S1347" s="9"/>
      <c r="T1347" s="9"/>
      <c r="U1347" s="9" t="str">
        <f aca="false">IF(COUNTIF($A$2:$A$5001,A1347)&gt;1,"Duplicate","Unique")</f>
        <v>Unique</v>
      </c>
      <c r="V1347" s="9" t="str">
        <f aca="false">IF(COUNTIFS($B$2:$B$5001,B1347,$H$2:$H$5001,H1347,$J$2:$J$5001,J1347)&gt;1,"Possible Duplicate Booking","Unique")</f>
        <v>Unique</v>
      </c>
      <c r="W1347" s="9" t="str">
        <f aca="false">IF((H1347-G1347)&lt;&gt;K1347,"Mismatch","OK")</f>
        <v>OK</v>
      </c>
      <c r="X1347" s="9" t="str">
        <f aca="false">IF(TEXT(H1347,"dddd")&lt;&gt;I1347,"Mismatch","OK")</f>
        <v>OK</v>
      </c>
      <c r="Y1347" s="9" t="str">
        <f aca="false">IF(AND(N1347="No",O1347&lt;&gt;""),"Unexpected: channel present but no reminder sent",IF(AND(N1347="Yes",O1347=""),"Missing channel for sent reminder","OK"))</f>
        <v>OK</v>
      </c>
    </row>
    <row r="1348" customFormat="false" ht="15" hidden="false" customHeight="false" outlineLevel="0" collapsed="false">
      <c r="A1348" s="7" t="s">
        <v>2365</v>
      </c>
      <c r="B1348" s="7" t="s">
        <v>2366</v>
      </c>
      <c r="C1348" s="7" t="s">
        <v>47</v>
      </c>
      <c r="D1348" s="7" t="n">
        <v>57</v>
      </c>
      <c r="E1348" s="7" t="s">
        <v>61</v>
      </c>
      <c r="F1348" s="7" t="s">
        <v>49</v>
      </c>
      <c r="G1348" s="8" t="n">
        <v>46091</v>
      </c>
      <c r="H1348" s="8" t="n">
        <v>46125</v>
      </c>
      <c r="I1348" s="7" t="s">
        <v>66</v>
      </c>
      <c r="J1348" s="7" t="s">
        <v>41</v>
      </c>
      <c r="K1348" s="7" t="n">
        <v>34</v>
      </c>
      <c r="L1348" s="7" t="n">
        <v>4</v>
      </c>
      <c r="M1348" s="7" t="n">
        <v>1</v>
      </c>
      <c r="N1348" s="7" t="s">
        <v>71</v>
      </c>
      <c r="O1348" s="7"/>
      <c r="P1348" s="7" t="n">
        <v>3.2</v>
      </c>
      <c r="Q1348" s="7" t="n">
        <v>34</v>
      </c>
      <c r="R1348" s="7" t="s">
        <v>53</v>
      </c>
      <c r="S1348" s="7"/>
      <c r="T1348" s="7"/>
      <c r="U1348" s="7" t="str">
        <f aca="false">IF(COUNTIF($A$2:$A$5001,A1348)&gt;1,"Duplicate","Unique")</f>
        <v>Unique</v>
      </c>
      <c r="V1348" s="7" t="str">
        <f aca="false">IF(COUNTIFS($B$2:$B$5001,B1348,$H$2:$H$5001,H1348,$J$2:$J$5001,J1348)&gt;1,"Possible Duplicate Booking","Unique")</f>
        <v>Unique</v>
      </c>
      <c r="W1348" s="7" t="str">
        <f aca="false">IF((H1348-G1348)&lt;&gt;K1348,"Mismatch","OK")</f>
        <v>OK</v>
      </c>
      <c r="X1348" s="7" t="str">
        <f aca="false">IF(TEXT(H1348,"dddd")&lt;&gt;I1348,"Mismatch","OK")</f>
        <v>OK</v>
      </c>
      <c r="Y1348" s="7" t="str">
        <f aca="false">IF(AND(N1348="No",O1348&lt;&gt;""),"Unexpected: channel present but no reminder sent",IF(AND(N1348="Yes",O1348=""),"Missing channel for sent reminder","OK"))</f>
        <v>OK</v>
      </c>
    </row>
    <row r="1349" customFormat="false" ht="15" hidden="false" customHeight="false" outlineLevel="0" collapsed="false">
      <c r="A1349" s="9" t="s">
        <v>2367</v>
      </c>
      <c r="B1349" s="9" t="s">
        <v>2368</v>
      </c>
      <c r="C1349" s="9" t="s">
        <v>47</v>
      </c>
      <c r="D1349" s="9" t="n">
        <v>52</v>
      </c>
      <c r="E1349" s="9" t="s">
        <v>56</v>
      </c>
      <c r="F1349" s="9" t="s">
        <v>39</v>
      </c>
      <c r="G1349" s="10" t="n">
        <v>45980</v>
      </c>
      <c r="H1349" s="10" t="n">
        <v>46040</v>
      </c>
      <c r="I1349" s="9" t="s">
        <v>75</v>
      </c>
      <c r="J1349" s="9" t="s">
        <v>51</v>
      </c>
      <c r="K1349" s="9" t="n">
        <v>60</v>
      </c>
      <c r="L1349" s="9" t="n">
        <v>3</v>
      </c>
      <c r="M1349" s="9" t="n">
        <v>0</v>
      </c>
      <c r="N1349" s="9" t="s">
        <v>71</v>
      </c>
      <c r="O1349" s="9"/>
      <c r="P1349" s="9" t="n">
        <v>19.2</v>
      </c>
      <c r="Q1349" s="9" t="n">
        <v>20</v>
      </c>
      <c r="R1349" s="9" t="s">
        <v>44</v>
      </c>
      <c r="S1349" s="9"/>
      <c r="T1349" s="9"/>
      <c r="U1349" s="9" t="str">
        <f aca="false">IF(COUNTIF($A$2:$A$5001,A1349)&gt;1,"Duplicate","Unique")</f>
        <v>Unique</v>
      </c>
      <c r="V1349" s="9" t="str">
        <f aca="false">IF(COUNTIFS($B$2:$B$5001,B1349,$H$2:$H$5001,H1349,$J$2:$J$5001,J1349)&gt;1,"Possible Duplicate Booking","Unique")</f>
        <v>Unique</v>
      </c>
      <c r="W1349" s="9" t="str">
        <f aca="false">IF((H1349-G1349)&lt;&gt;K1349,"Mismatch","OK")</f>
        <v>OK</v>
      </c>
      <c r="X1349" s="9" t="str">
        <f aca="false">IF(TEXT(H1349,"dddd")&lt;&gt;I1349,"Mismatch","OK")</f>
        <v>OK</v>
      </c>
      <c r="Y1349" s="9" t="str">
        <f aca="false">IF(AND(N1349="No",O1349&lt;&gt;""),"Unexpected: channel present but no reminder sent",IF(AND(N1349="Yes",O1349=""),"Missing channel for sent reminder","OK"))</f>
        <v>OK</v>
      </c>
    </row>
    <row r="1350" customFormat="false" ht="15" hidden="false" customHeight="false" outlineLevel="0" collapsed="false">
      <c r="A1350" s="7" t="s">
        <v>2369</v>
      </c>
      <c r="B1350" s="7" t="s">
        <v>857</v>
      </c>
      <c r="C1350" s="7" t="s">
        <v>47</v>
      </c>
      <c r="D1350" s="7" t="n">
        <v>32</v>
      </c>
      <c r="E1350" s="7" t="s">
        <v>48</v>
      </c>
      <c r="F1350" s="7" t="s">
        <v>49</v>
      </c>
      <c r="G1350" s="8" t="n">
        <v>46030</v>
      </c>
      <c r="H1350" s="8" t="n">
        <v>46059</v>
      </c>
      <c r="I1350" s="7" t="s">
        <v>50</v>
      </c>
      <c r="J1350" s="7" t="s">
        <v>63</v>
      </c>
      <c r="K1350" s="7" t="n">
        <v>29</v>
      </c>
      <c r="L1350" s="7" t="n">
        <v>3</v>
      </c>
      <c r="M1350" s="7" t="n">
        <v>0</v>
      </c>
      <c r="N1350" s="7" t="s">
        <v>42</v>
      </c>
      <c r="O1350" s="7" t="s">
        <v>52</v>
      </c>
      <c r="P1350" s="7" t="n">
        <v>19.8</v>
      </c>
      <c r="Q1350" s="7" t="n">
        <v>2</v>
      </c>
      <c r="R1350" s="7" t="s">
        <v>44</v>
      </c>
      <c r="S1350" s="7"/>
      <c r="T1350" s="7"/>
      <c r="U1350" s="7" t="str">
        <f aca="false">IF(COUNTIF($A$2:$A$5001,A1350)&gt;1,"Duplicate","Unique")</f>
        <v>Unique</v>
      </c>
      <c r="V1350" s="7" t="str">
        <f aca="false">IF(COUNTIFS($B$2:$B$5001,B1350,$H$2:$H$5001,H1350,$J$2:$J$5001,J1350)&gt;1,"Possible Duplicate Booking","Unique")</f>
        <v>Unique</v>
      </c>
      <c r="W1350" s="7" t="str">
        <f aca="false">IF((H1350-G1350)&lt;&gt;K1350,"Mismatch","OK")</f>
        <v>OK</v>
      </c>
      <c r="X1350" s="7" t="str">
        <f aca="false">IF(TEXT(H1350,"dddd")&lt;&gt;I1350,"Mismatch","OK")</f>
        <v>OK</v>
      </c>
      <c r="Y1350" s="7" t="str">
        <f aca="false">IF(AND(N1350="No",O1350&lt;&gt;""),"Unexpected: channel present but no reminder sent",IF(AND(N1350="Yes",O1350=""),"Missing channel for sent reminder","OK"))</f>
        <v>OK</v>
      </c>
    </row>
    <row r="1351" customFormat="false" ht="15" hidden="false" customHeight="false" outlineLevel="0" collapsed="false">
      <c r="A1351" s="9" t="s">
        <v>2370</v>
      </c>
      <c r="B1351" s="9" t="s">
        <v>875</v>
      </c>
      <c r="C1351" s="9" t="s">
        <v>37</v>
      </c>
      <c r="D1351" s="9" t="n">
        <v>50</v>
      </c>
      <c r="E1351" s="9" t="s">
        <v>56</v>
      </c>
      <c r="F1351" s="9" t="s">
        <v>74</v>
      </c>
      <c r="G1351" s="10" t="n">
        <v>45941</v>
      </c>
      <c r="H1351" s="10" t="n">
        <v>45982</v>
      </c>
      <c r="I1351" s="9" t="s">
        <v>50</v>
      </c>
      <c r="J1351" s="9" t="s">
        <v>51</v>
      </c>
      <c r="K1351" s="9" t="n">
        <v>41</v>
      </c>
      <c r="L1351" s="9" t="n">
        <v>3</v>
      </c>
      <c r="M1351" s="9" t="n">
        <v>1</v>
      </c>
      <c r="N1351" s="9" t="s">
        <v>71</v>
      </c>
      <c r="O1351" s="9"/>
      <c r="P1351" s="9" t="n">
        <v>10</v>
      </c>
      <c r="Q1351" s="9" t="n">
        <v>33</v>
      </c>
      <c r="R1351" s="9" t="s">
        <v>53</v>
      </c>
      <c r="S1351" s="9"/>
      <c r="T1351" s="9"/>
      <c r="U1351" s="9" t="str">
        <f aca="false">IF(COUNTIF($A$2:$A$5001,A1351)&gt;1,"Duplicate","Unique")</f>
        <v>Unique</v>
      </c>
      <c r="V1351" s="9" t="str">
        <f aca="false">IF(COUNTIFS($B$2:$B$5001,B1351,$H$2:$H$5001,H1351,$J$2:$J$5001,J1351)&gt;1,"Possible Duplicate Booking","Unique")</f>
        <v>Unique</v>
      </c>
      <c r="W1351" s="9" t="str">
        <f aca="false">IF((H1351-G1351)&lt;&gt;K1351,"Mismatch","OK")</f>
        <v>OK</v>
      </c>
      <c r="X1351" s="9" t="str">
        <f aca="false">IF(TEXT(H1351,"dddd")&lt;&gt;I1351,"Mismatch","OK")</f>
        <v>OK</v>
      </c>
      <c r="Y1351" s="9" t="str">
        <f aca="false">IF(AND(N1351="No",O1351&lt;&gt;""),"Unexpected: channel present but no reminder sent",IF(AND(N1351="Yes",O1351=""),"Missing channel for sent reminder","OK"))</f>
        <v>OK</v>
      </c>
    </row>
    <row r="1352" customFormat="false" ht="15" hidden="false" customHeight="false" outlineLevel="0" collapsed="false">
      <c r="A1352" s="7" t="s">
        <v>2371</v>
      </c>
      <c r="B1352" s="7" t="s">
        <v>2372</v>
      </c>
      <c r="C1352" s="7" t="s">
        <v>37</v>
      </c>
      <c r="D1352" s="7" t="n">
        <v>57</v>
      </c>
      <c r="E1352" s="7" t="s">
        <v>61</v>
      </c>
      <c r="F1352" s="7" t="s">
        <v>57</v>
      </c>
      <c r="G1352" s="8" t="n">
        <v>45670</v>
      </c>
      <c r="H1352" s="8" t="n">
        <v>45690</v>
      </c>
      <c r="I1352" s="7" t="s">
        <v>75</v>
      </c>
      <c r="J1352" s="7" t="s">
        <v>41</v>
      </c>
      <c r="K1352" s="7" t="n">
        <v>20</v>
      </c>
      <c r="L1352" s="7" t="n">
        <v>6</v>
      </c>
      <c r="M1352" s="7" t="n">
        <v>0</v>
      </c>
      <c r="N1352" s="7" t="s">
        <v>42</v>
      </c>
      <c r="O1352" s="7" t="s">
        <v>67</v>
      </c>
      <c r="P1352" s="7" t="n">
        <v>10</v>
      </c>
      <c r="Q1352" s="7" t="n">
        <v>27</v>
      </c>
      <c r="R1352" s="7" t="s">
        <v>53</v>
      </c>
      <c r="S1352" s="7"/>
      <c r="T1352" s="7"/>
      <c r="U1352" s="7" t="str">
        <f aca="false">IF(COUNTIF($A$2:$A$5001,A1352)&gt;1,"Duplicate","Unique")</f>
        <v>Unique</v>
      </c>
      <c r="V1352" s="7" t="str">
        <f aca="false">IF(COUNTIFS($B$2:$B$5001,B1352,$H$2:$H$5001,H1352,$J$2:$J$5001,J1352)&gt;1,"Possible Duplicate Booking","Unique")</f>
        <v>Unique</v>
      </c>
      <c r="W1352" s="7" t="str">
        <f aca="false">IF((H1352-G1352)&lt;&gt;K1352,"Mismatch","OK")</f>
        <v>OK</v>
      </c>
      <c r="X1352" s="7" t="str">
        <f aca="false">IF(TEXT(H1352,"dddd")&lt;&gt;I1352,"Mismatch","OK")</f>
        <v>OK</v>
      </c>
      <c r="Y1352" s="7" t="str">
        <f aca="false">IF(AND(N1352="No",O1352&lt;&gt;""),"Unexpected: channel present but no reminder sent",IF(AND(N1352="Yes",O1352=""),"Missing channel for sent reminder","OK"))</f>
        <v>OK</v>
      </c>
    </row>
    <row r="1353" customFormat="false" ht="15" hidden="false" customHeight="false" outlineLevel="0" collapsed="false">
      <c r="A1353" s="9" t="s">
        <v>2373</v>
      </c>
      <c r="B1353" s="9" t="s">
        <v>1127</v>
      </c>
      <c r="C1353" s="9" t="s">
        <v>37</v>
      </c>
      <c r="D1353" s="9" t="n">
        <v>74</v>
      </c>
      <c r="E1353" s="9" t="s">
        <v>70</v>
      </c>
      <c r="F1353" s="9" t="s">
        <v>57</v>
      </c>
      <c r="G1353" s="10" t="n">
        <v>45870</v>
      </c>
      <c r="H1353" s="10" t="n">
        <v>45872</v>
      </c>
      <c r="I1353" s="9" t="s">
        <v>75</v>
      </c>
      <c r="J1353" s="9" t="s">
        <v>41</v>
      </c>
      <c r="K1353" s="9" t="n">
        <v>2</v>
      </c>
      <c r="L1353" s="9" t="n">
        <v>1</v>
      </c>
      <c r="M1353" s="9" t="n">
        <v>0</v>
      </c>
      <c r="N1353" s="9" t="s">
        <v>71</v>
      </c>
      <c r="O1353" s="9"/>
      <c r="P1353" s="9" t="n">
        <v>9.2</v>
      </c>
      <c r="Q1353" s="9" t="n">
        <v>18</v>
      </c>
      <c r="R1353" s="9" t="s">
        <v>44</v>
      </c>
      <c r="S1353" s="9"/>
      <c r="T1353" s="9"/>
      <c r="U1353" s="9" t="str">
        <f aca="false">IF(COUNTIF($A$2:$A$5001,A1353)&gt;1,"Duplicate","Unique")</f>
        <v>Unique</v>
      </c>
      <c r="V1353" s="9" t="str">
        <f aca="false">IF(COUNTIFS($B$2:$B$5001,B1353,$H$2:$H$5001,H1353,$J$2:$J$5001,J1353)&gt;1,"Possible Duplicate Booking","Unique")</f>
        <v>Unique</v>
      </c>
      <c r="W1353" s="9" t="str">
        <f aca="false">IF((H1353-G1353)&lt;&gt;K1353,"Mismatch","OK")</f>
        <v>OK</v>
      </c>
      <c r="X1353" s="9" t="str">
        <f aca="false">IF(TEXT(H1353,"dddd")&lt;&gt;I1353,"Mismatch","OK")</f>
        <v>OK</v>
      </c>
      <c r="Y1353" s="9" t="str">
        <f aca="false">IF(AND(N1353="No",O1353&lt;&gt;""),"Unexpected: channel present but no reminder sent",IF(AND(N1353="Yes",O1353=""),"Missing channel for sent reminder","OK"))</f>
        <v>OK</v>
      </c>
    </row>
    <row r="1354" customFormat="false" ht="15" hidden="false" customHeight="false" outlineLevel="0" collapsed="false">
      <c r="A1354" s="7" t="s">
        <v>2374</v>
      </c>
      <c r="B1354" s="7" t="s">
        <v>2375</v>
      </c>
      <c r="C1354" s="7" t="s">
        <v>47</v>
      </c>
      <c r="D1354" s="7" t="n">
        <v>54</v>
      </c>
      <c r="E1354" s="7" t="s">
        <v>56</v>
      </c>
      <c r="F1354" s="7" t="s">
        <v>57</v>
      </c>
      <c r="G1354" s="8" t="n">
        <v>45921</v>
      </c>
      <c r="H1354" s="8" t="n">
        <v>45928</v>
      </c>
      <c r="I1354" s="7" t="s">
        <v>75</v>
      </c>
      <c r="J1354" s="7" t="s">
        <v>51</v>
      </c>
      <c r="K1354" s="7" t="n">
        <v>7</v>
      </c>
      <c r="L1354" s="7" t="n">
        <v>0</v>
      </c>
      <c r="M1354" s="7" t="n">
        <v>0</v>
      </c>
      <c r="N1354" s="7" t="s">
        <v>42</v>
      </c>
      <c r="O1354" s="7" t="s">
        <v>52</v>
      </c>
      <c r="P1354" s="7" t="n">
        <v>11.4</v>
      </c>
      <c r="Q1354" s="7" t="n">
        <v>10</v>
      </c>
      <c r="R1354" s="7" t="s">
        <v>87</v>
      </c>
      <c r="S1354" s="7"/>
      <c r="T1354" s="7"/>
      <c r="U1354" s="7" t="str">
        <f aca="false">IF(COUNTIF($A$2:$A$5001,A1354)&gt;1,"Duplicate","Unique")</f>
        <v>Unique</v>
      </c>
      <c r="V1354" s="7" t="str">
        <f aca="false">IF(COUNTIFS($B$2:$B$5001,B1354,$H$2:$H$5001,H1354,$J$2:$J$5001,J1354)&gt;1,"Possible Duplicate Booking","Unique")</f>
        <v>Unique</v>
      </c>
      <c r="W1354" s="7" t="str">
        <f aca="false">IF((H1354-G1354)&lt;&gt;K1354,"Mismatch","OK")</f>
        <v>OK</v>
      </c>
      <c r="X1354" s="7" t="str">
        <f aca="false">IF(TEXT(H1354,"dddd")&lt;&gt;I1354,"Mismatch","OK")</f>
        <v>OK</v>
      </c>
      <c r="Y1354" s="7" t="str">
        <f aca="false">IF(AND(N1354="No",O1354&lt;&gt;""),"Unexpected: channel present but no reminder sent",IF(AND(N1354="Yes",O1354=""),"Missing channel for sent reminder","OK"))</f>
        <v>OK</v>
      </c>
    </row>
    <row r="1355" customFormat="false" ht="15" hidden="false" customHeight="false" outlineLevel="0" collapsed="false">
      <c r="A1355" s="9" t="s">
        <v>2376</v>
      </c>
      <c r="B1355" s="9" t="s">
        <v>2377</v>
      </c>
      <c r="C1355" s="9" t="s">
        <v>47</v>
      </c>
      <c r="D1355" s="9" t="n">
        <v>28</v>
      </c>
      <c r="E1355" s="9" t="s">
        <v>48</v>
      </c>
      <c r="F1355" s="9" t="s">
        <v>39</v>
      </c>
      <c r="G1355" s="10" t="n">
        <v>46105</v>
      </c>
      <c r="H1355" s="10" t="n">
        <v>46157</v>
      </c>
      <c r="I1355" s="9" t="s">
        <v>50</v>
      </c>
      <c r="J1355" s="9" t="s">
        <v>51</v>
      </c>
      <c r="K1355" s="9" t="n">
        <v>52</v>
      </c>
      <c r="L1355" s="9" t="n">
        <v>5</v>
      </c>
      <c r="M1355" s="9" t="n">
        <v>1</v>
      </c>
      <c r="N1355" s="9" t="s">
        <v>42</v>
      </c>
      <c r="O1355" s="9" t="s">
        <v>67</v>
      </c>
      <c r="P1355" s="9" t="n">
        <v>6.6</v>
      </c>
      <c r="Q1355" s="9" t="n">
        <v>28</v>
      </c>
      <c r="R1355" s="9" t="s">
        <v>44</v>
      </c>
      <c r="S1355" s="9"/>
      <c r="T1355" s="9"/>
      <c r="U1355" s="9" t="str">
        <f aca="false">IF(COUNTIF($A$2:$A$5001,A1355)&gt;1,"Duplicate","Unique")</f>
        <v>Unique</v>
      </c>
      <c r="V1355" s="9" t="str">
        <f aca="false">IF(COUNTIFS($B$2:$B$5001,B1355,$H$2:$H$5001,H1355,$J$2:$J$5001,J1355)&gt;1,"Possible Duplicate Booking","Unique")</f>
        <v>Unique</v>
      </c>
      <c r="W1355" s="9" t="str">
        <f aca="false">IF((H1355-G1355)&lt;&gt;K1355,"Mismatch","OK")</f>
        <v>OK</v>
      </c>
      <c r="X1355" s="9" t="str">
        <f aca="false">IF(TEXT(H1355,"dddd")&lt;&gt;I1355,"Mismatch","OK")</f>
        <v>OK</v>
      </c>
      <c r="Y1355" s="9" t="str">
        <f aca="false">IF(AND(N1355="No",O1355&lt;&gt;""),"Unexpected: channel present but no reminder sent",IF(AND(N1355="Yes",O1355=""),"Missing channel for sent reminder","OK"))</f>
        <v>OK</v>
      </c>
    </row>
    <row r="1356" customFormat="false" ht="15" hidden="false" customHeight="false" outlineLevel="0" collapsed="false">
      <c r="A1356" s="7" t="s">
        <v>2378</v>
      </c>
      <c r="B1356" s="7" t="s">
        <v>2379</v>
      </c>
      <c r="C1356" s="7" t="s">
        <v>47</v>
      </c>
      <c r="D1356" s="7" t="n">
        <v>80</v>
      </c>
      <c r="E1356" s="7" t="s">
        <v>70</v>
      </c>
      <c r="F1356" s="7" t="s">
        <v>39</v>
      </c>
      <c r="G1356" s="8" t="n">
        <v>45732</v>
      </c>
      <c r="H1356" s="8" t="n">
        <v>45777</v>
      </c>
      <c r="I1356" s="7" t="s">
        <v>58</v>
      </c>
      <c r="J1356" s="7" t="s">
        <v>51</v>
      </c>
      <c r="K1356" s="7" t="n">
        <v>45</v>
      </c>
      <c r="L1356" s="7" t="n">
        <v>1</v>
      </c>
      <c r="M1356" s="7" t="n">
        <v>0</v>
      </c>
      <c r="N1356" s="7" t="s">
        <v>42</v>
      </c>
      <c r="O1356" s="7" t="s">
        <v>52</v>
      </c>
      <c r="P1356" s="7" t="n">
        <v>13</v>
      </c>
      <c r="Q1356" s="7" t="n">
        <v>38</v>
      </c>
      <c r="R1356" s="7" t="s">
        <v>44</v>
      </c>
      <c r="S1356" s="7"/>
      <c r="T1356" s="7"/>
      <c r="U1356" s="7" t="str">
        <f aca="false">IF(COUNTIF($A$2:$A$5001,A1356)&gt;1,"Duplicate","Unique")</f>
        <v>Unique</v>
      </c>
      <c r="V1356" s="7" t="str">
        <f aca="false">IF(COUNTIFS($B$2:$B$5001,B1356,$H$2:$H$5001,H1356,$J$2:$J$5001,J1356)&gt;1,"Possible Duplicate Booking","Unique")</f>
        <v>Unique</v>
      </c>
      <c r="W1356" s="7" t="str">
        <f aca="false">IF((H1356-G1356)&lt;&gt;K1356,"Mismatch","OK")</f>
        <v>OK</v>
      </c>
      <c r="X1356" s="7" t="str">
        <f aca="false">IF(TEXT(H1356,"dddd")&lt;&gt;I1356,"Mismatch","OK")</f>
        <v>OK</v>
      </c>
      <c r="Y1356" s="7" t="str">
        <f aca="false">IF(AND(N1356="No",O1356&lt;&gt;""),"Unexpected: channel present but no reminder sent",IF(AND(N1356="Yes",O1356=""),"Missing channel for sent reminder","OK"))</f>
        <v>OK</v>
      </c>
    </row>
    <row r="1357" customFormat="false" ht="15" hidden="false" customHeight="false" outlineLevel="0" collapsed="false">
      <c r="A1357" s="9" t="s">
        <v>2380</v>
      </c>
      <c r="B1357" s="9" t="s">
        <v>2381</v>
      </c>
      <c r="C1357" s="9" t="s">
        <v>37</v>
      </c>
      <c r="D1357" s="9" t="n">
        <v>54</v>
      </c>
      <c r="E1357" s="9" t="s">
        <v>56</v>
      </c>
      <c r="F1357" s="9" t="s">
        <v>57</v>
      </c>
      <c r="G1357" s="10" t="n">
        <v>45907</v>
      </c>
      <c r="H1357" s="10" t="n">
        <v>45929</v>
      </c>
      <c r="I1357" s="9" t="s">
        <v>66</v>
      </c>
      <c r="J1357" s="9" t="s">
        <v>41</v>
      </c>
      <c r="K1357" s="9" t="n">
        <v>22</v>
      </c>
      <c r="L1357" s="9" t="n">
        <v>3</v>
      </c>
      <c r="M1357" s="9" t="n">
        <v>2</v>
      </c>
      <c r="N1357" s="9" t="s">
        <v>71</v>
      </c>
      <c r="O1357" s="9"/>
      <c r="P1357" s="9" t="n">
        <v>1.4</v>
      </c>
      <c r="Q1357" s="9" t="n">
        <v>14</v>
      </c>
      <c r="R1357" s="9" t="s">
        <v>44</v>
      </c>
      <c r="S1357" s="9"/>
      <c r="T1357" s="9"/>
      <c r="U1357" s="9" t="str">
        <f aca="false">IF(COUNTIF($A$2:$A$5001,A1357)&gt;1,"Duplicate","Unique")</f>
        <v>Unique</v>
      </c>
      <c r="V1357" s="9" t="str">
        <f aca="false">IF(COUNTIFS($B$2:$B$5001,B1357,$H$2:$H$5001,H1357,$J$2:$J$5001,J1357)&gt;1,"Possible Duplicate Booking","Unique")</f>
        <v>Unique</v>
      </c>
      <c r="W1357" s="9" t="str">
        <f aca="false">IF((H1357-G1357)&lt;&gt;K1357,"Mismatch","OK")</f>
        <v>OK</v>
      </c>
      <c r="X1357" s="9" t="str">
        <f aca="false">IF(TEXT(H1357,"dddd")&lt;&gt;I1357,"Mismatch","OK")</f>
        <v>OK</v>
      </c>
      <c r="Y1357" s="9" t="str">
        <f aca="false">IF(AND(N1357="No",O1357&lt;&gt;""),"Unexpected: channel present but no reminder sent",IF(AND(N1357="Yes",O1357=""),"Missing channel for sent reminder","OK"))</f>
        <v>OK</v>
      </c>
    </row>
    <row r="1358" customFormat="false" ht="15" hidden="false" customHeight="false" outlineLevel="0" collapsed="false">
      <c r="A1358" s="7" t="s">
        <v>2382</v>
      </c>
      <c r="B1358" s="7" t="s">
        <v>863</v>
      </c>
      <c r="C1358" s="7" t="s">
        <v>47</v>
      </c>
      <c r="D1358" s="7" t="n">
        <v>36</v>
      </c>
      <c r="E1358" s="7" t="s">
        <v>38</v>
      </c>
      <c r="F1358" s="7" t="s">
        <v>74</v>
      </c>
      <c r="G1358" s="8" t="n">
        <v>45803</v>
      </c>
      <c r="H1358" s="8" t="n">
        <v>45845</v>
      </c>
      <c r="I1358" s="7" t="s">
        <v>66</v>
      </c>
      <c r="J1358" s="7" t="s">
        <v>63</v>
      </c>
      <c r="K1358" s="7" t="n">
        <v>42</v>
      </c>
      <c r="L1358" s="7" t="n">
        <v>1</v>
      </c>
      <c r="M1358" s="7" t="n">
        <v>0</v>
      </c>
      <c r="N1358" s="7" t="s">
        <v>71</v>
      </c>
      <c r="O1358" s="7"/>
      <c r="P1358" s="7" t="n">
        <v>32.1</v>
      </c>
      <c r="Q1358" s="7" t="n">
        <v>27</v>
      </c>
      <c r="R1358" s="7" t="s">
        <v>53</v>
      </c>
      <c r="S1358" s="7"/>
      <c r="T1358" s="7"/>
      <c r="U1358" s="7" t="str">
        <f aca="false">IF(COUNTIF($A$2:$A$5001,A1358)&gt;1,"Duplicate","Unique")</f>
        <v>Unique</v>
      </c>
      <c r="V1358" s="7" t="str">
        <f aca="false">IF(COUNTIFS($B$2:$B$5001,B1358,$H$2:$H$5001,H1358,$J$2:$J$5001,J1358)&gt;1,"Possible Duplicate Booking","Unique")</f>
        <v>Unique</v>
      </c>
      <c r="W1358" s="7" t="str">
        <f aca="false">IF((H1358-G1358)&lt;&gt;K1358,"Mismatch","OK")</f>
        <v>OK</v>
      </c>
      <c r="X1358" s="7" t="str">
        <f aca="false">IF(TEXT(H1358,"dddd")&lt;&gt;I1358,"Mismatch","OK")</f>
        <v>OK</v>
      </c>
      <c r="Y1358" s="7" t="str">
        <f aca="false">IF(AND(N1358="No",O1358&lt;&gt;""),"Unexpected: channel present but no reminder sent",IF(AND(N1358="Yes",O1358=""),"Missing channel for sent reminder","OK"))</f>
        <v>OK</v>
      </c>
    </row>
    <row r="1359" customFormat="false" ht="15" hidden="false" customHeight="false" outlineLevel="0" collapsed="false">
      <c r="A1359" s="9" t="s">
        <v>2383</v>
      </c>
      <c r="B1359" s="9" t="s">
        <v>1007</v>
      </c>
      <c r="C1359" s="9" t="s">
        <v>47</v>
      </c>
      <c r="D1359" s="9" t="n">
        <v>65</v>
      </c>
      <c r="E1359" s="9" t="s">
        <v>70</v>
      </c>
      <c r="F1359" s="9" t="s">
        <v>74</v>
      </c>
      <c r="G1359" s="10" t="n">
        <v>45731</v>
      </c>
      <c r="H1359" s="10" t="n">
        <v>45731</v>
      </c>
      <c r="I1359" s="9" t="s">
        <v>102</v>
      </c>
      <c r="J1359" s="9" t="s">
        <v>51</v>
      </c>
      <c r="K1359" s="9" t="n">
        <v>0</v>
      </c>
      <c r="L1359" s="9" t="n">
        <v>2</v>
      </c>
      <c r="M1359" s="9" t="n">
        <v>0</v>
      </c>
      <c r="N1359" s="9" t="s">
        <v>42</v>
      </c>
      <c r="O1359" s="9" t="s">
        <v>52</v>
      </c>
      <c r="P1359" s="9" t="n">
        <v>14.6</v>
      </c>
      <c r="Q1359" s="9" t="n">
        <v>48</v>
      </c>
      <c r="R1359" s="9" t="s">
        <v>53</v>
      </c>
      <c r="S1359" s="9"/>
      <c r="T1359" s="9"/>
      <c r="U1359" s="9" t="str">
        <f aca="false">IF(COUNTIF($A$2:$A$5001,A1359)&gt;1,"Duplicate","Unique")</f>
        <v>Unique</v>
      </c>
      <c r="V1359" s="9" t="str">
        <f aca="false">IF(COUNTIFS($B$2:$B$5001,B1359,$H$2:$H$5001,H1359,$J$2:$J$5001,J1359)&gt;1,"Possible Duplicate Booking","Unique")</f>
        <v>Possible Duplicate Booking</v>
      </c>
      <c r="W1359" s="9" t="str">
        <f aca="false">IF((H1359-G1359)&lt;&gt;K1359,"Mismatch","OK")</f>
        <v>OK</v>
      </c>
      <c r="X1359" s="9" t="str">
        <f aca="false">IF(TEXT(H1359,"dddd")&lt;&gt;I1359,"Mismatch","OK")</f>
        <v>OK</v>
      </c>
      <c r="Y1359" s="9" t="str">
        <f aca="false">IF(AND(N1359="No",O1359&lt;&gt;""),"Unexpected: channel present but no reminder sent",IF(AND(N1359="Yes",O1359=""),"Missing channel for sent reminder","OK"))</f>
        <v>OK</v>
      </c>
    </row>
    <row r="1360" customFormat="false" ht="15" hidden="false" customHeight="false" outlineLevel="0" collapsed="false">
      <c r="A1360" s="7" t="s">
        <v>2384</v>
      </c>
      <c r="B1360" s="7" t="s">
        <v>1567</v>
      </c>
      <c r="C1360" s="7" t="s">
        <v>37</v>
      </c>
      <c r="D1360" s="7" t="n">
        <v>42</v>
      </c>
      <c r="E1360" s="7" t="s">
        <v>38</v>
      </c>
      <c r="F1360" s="7" t="s">
        <v>57</v>
      </c>
      <c r="G1360" s="8" t="n">
        <v>45712</v>
      </c>
      <c r="H1360" s="8" t="n">
        <v>45714</v>
      </c>
      <c r="I1360" s="7" t="s">
        <v>58</v>
      </c>
      <c r="J1360" s="7" t="s">
        <v>41</v>
      </c>
      <c r="K1360" s="7" t="n">
        <v>2</v>
      </c>
      <c r="L1360" s="7" t="n">
        <v>2</v>
      </c>
      <c r="M1360" s="7" t="n">
        <v>0</v>
      </c>
      <c r="N1360" s="7" t="s">
        <v>42</v>
      </c>
      <c r="O1360" s="7" t="s">
        <v>43</v>
      </c>
      <c r="P1360" s="7" t="n">
        <v>10.5</v>
      </c>
      <c r="Q1360" s="7" t="n">
        <v>34</v>
      </c>
      <c r="R1360" s="7" t="s">
        <v>44</v>
      </c>
      <c r="S1360" s="7"/>
      <c r="T1360" s="7"/>
      <c r="U1360" s="7" t="str">
        <f aca="false">IF(COUNTIF($A$2:$A$5001,A1360)&gt;1,"Duplicate","Unique")</f>
        <v>Unique</v>
      </c>
      <c r="V1360" s="7" t="str">
        <f aca="false">IF(COUNTIFS($B$2:$B$5001,B1360,$H$2:$H$5001,H1360,$J$2:$J$5001,J1360)&gt;1,"Possible Duplicate Booking","Unique")</f>
        <v>Unique</v>
      </c>
      <c r="W1360" s="7" t="str">
        <f aca="false">IF((H1360-G1360)&lt;&gt;K1360,"Mismatch","OK")</f>
        <v>OK</v>
      </c>
      <c r="X1360" s="7" t="str">
        <f aca="false">IF(TEXT(H1360,"dddd")&lt;&gt;I1360,"Mismatch","OK")</f>
        <v>OK</v>
      </c>
      <c r="Y1360" s="7" t="str">
        <f aca="false">IF(AND(N1360="No",O1360&lt;&gt;""),"Unexpected: channel present but no reminder sent",IF(AND(N1360="Yes",O1360=""),"Missing channel for sent reminder","OK"))</f>
        <v>OK</v>
      </c>
    </row>
    <row r="1361" customFormat="false" ht="15" hidden="false" customHeight="false" outlineLevel="0" collapsed="false">
      <c r="A1361" s="9" t="s">
        <v>2385</v>
      </c>
      <c r="B1361" s="9" t="s">
        <v>2098</v>
      </c>
      <c r="C1361" s="9" t="s">
        <v>47</v>
      </c>
      <c r="D1361" s="9" t="n">
        <v>41</v>
      </c>
      <c r="E1361" s="9" t="s">
        <v>38</v>
      </c>
      <c r="F1361" s="9" t="s">
        <v>57</v>
      </c>
      <c r="G1361" s="10" t="n">
        <v>45827</v>
      </c>
      <c r="H1361" s="10" t="n">
        <v>45857</v>
      </c>
      <c r="I1361" s="9" t="s">
        <v>102</v>
      </c>
      <c r="J1361" s="9" t="s">
        <v>41</v>
      </c>
      <c r="K1361" s="9" t="n">
        <v>30</v>
      </c>
      <c r="L1361" s="9" t="n">
        <v>2</v>
      </c>
      <c r="M1361" s="9" t="n">
        <v>1</v>
      </c>
      <c r="N1361" s="9" t="s">
        <v>71</v>
      </c>
      <c r="O1361" s="9"/>
      <c r="P1361" s="9" t="n">
        <v>14.3</v>
      </c>
      <c r="Q1361" s="9" t="n">
        <v>24</v>
      </c>
      <c r="R1361" s="9" t="s">
        <v>53</v>
      </c>
      <c r="S1361" s="9"/>
      <c r="T1361" s="9"/>
      <c r="U1361" s="9" t="str">
        <f aca="false">IF(COUNTIF($A$2:$A$5001,A1361)&gt;1,"Duplicate","Unique")</f>
        <v>Unique</v>
      </c>
      <c r="V1361" s="9" t="str">
        <f aca="false">IF(COUNTIFS($B$2:$B$5001,B1361,$H$2:$H$5001,H1361,$J$2:$J$5001,J1361)&gt;1,"Possible Duplicate Booking","Unique")</f>
        <v>Unique</v>
      </c>
      <c r="W1361" s="9" t="str">
        <f aca="false">IF((H1361-G1361)&lt;&gt;K1361,"Mismatch","OK")</f>
        <v>OK</v>
      </c>
      <c r="X1361" s="9" t="str">
        <f aca="false">IF(TEXT(H1361,"dddd")&lt;&gt;I1361,"Mismatch","OK")</f>
        <v>OK</v>
      </c>
      <c r="Y1361" s="9" t="str">
        <f aca="false">IF(AND(N1361="No",O1361&lt;&gt;""),"Unexpected: channel present but no reminder sent",IF(AND(N1361="Yes",O1361=""),"Missing channel for sent reminder","OK"))</f>
        <v>OK</v>
      </c>
    </row>
    <row r="1362" customFormat="false" ht="15" hidden="false" customHeight="false" outlineLevel="0" collapsed="false">
      <c r="A1362" s="7" t="s">
        <v>2386</v>
      </c>
      <c r="B1362" s="7" t="s">
        <v>980</v>
      </c>
      <c r="C1362" s="7" t="s">
        <v>47</v>
      </c>
      <c r="D1362" s="7" t="n">
        <v>70</v>
      </c>
      <c r="E1362" s="7" t="s">
        <v>70</v>
      </c>
      <c r="F1362" s="7" t="s">
        <v>57</v>
      </c>
      <c r="G1362" s="8" t="n">
        <v>45665</v>
      </c>
      <c r="H1362" s="8" t="n">
        <v>45703</v>
      </c>
      <c r="I1362" s="7" t="s">
        <v>102</v>
      </c>
      <c r="J1362" s="7" t="s">
        <v>41</v>
      </c>
      <c r="K1362" s="7" t="n">
        <v>38</v>
      </c>
      <c r="L1362" s="7" t="n">
        <v>1</v>
      </c>
      <c r="M1362" s="7" t="n">
        <v>0</v>
      </c>
      <c r="N1362" s="7" t="s">
        <v>42</v>
      </c>
      <c r="O1362" s="7" t="s">
        <v>43</v>
      </c>
      <c r="P1362" s="7" t="n">
        <v>9.3</v>
      </c>
      <c r="Q1362" s="7" t="n">
        <v>23</v>
      </c>
      <c r="R1362" s="7" t="s">
        <v>44</v>
      </c>
      <c r="S1362" s="7"/>
      <c r="T1362" s="7"/>
      <c r="U1362" s="7" t="str">
        <f aca="false">IF(COUNTIF($A$2:$A$5001,A1362)&gt;1,"Duplicate","Unique")</f>
        <v>Unique</v>
      </c>
      <c r="V1362" s="7" t="str">
        <f aca="false">IF(COUNTIFS($B$2:$B$5001,B1362,$H$2:$H$5001,H1362,$J$2:$J$5001,J1362)&gt;1,"Possible Duplicate Booking","Unique")</f>
        <v>Unique</v>
      </c>
      <c r="W1362" s="7" t="str">
        <f aca="false">IF((H1362-G1362)&lt;&gt;K1362,"Mismatch","OK")</f>
        <v>OK</v>
      </c>
      <c r="X1362" s="7" t="str">
        <f aca="false">IF(TEXT(H1362,"dddd")&lt;&gt;I1362,"Mismatch","OK")</f>
        <v>OK</v>
      </c>
      <c r="Y1362" s="7" t="str">
        <f aca="false">IF(AND(N1362="No",O1362&lt;&gt;""),"Unexpected: channel present but no reminder sent",IF(AND(N1362="Yes",O1362=""),"Missing channel for sent reminder","OK"))</f>
        <v>OK</v>
      </c>
    </row>
    <row r="1363" customFormat="false" ht="15" hidden="false" customHeight="false" outlineLevel="0" collapsed="false">
      <c r="A1363" s="9" t="s">
        <v>2387</v>
      </c>
      <c r="B1363" s="9" t="s">
        <v>268</v>
      </c>
      <c r="C1363" s="9" t="s">
        <v>37</v>
      </c>
      <c r="D1363" s="9" t="n">
        <v>72</v>
      </c>
      <c r="E1363" s="9" t="s">
        <v>70</v>
      </c>
      <c r="F1363" s="9" t="s">
        <v>57</v>
      </c>
      <c r="G1363" s="10" t="n">
        <v>45637</v>
      </c>
      <c r="H1363" s="10" t="n">
        <v>45694</v>
      </c>
      <c r="I1363" s="9" t="s">
        <v>62</v>
      </c>
      <c r="J1363" s="9" t="s">
        <v>41</v>
      </c>
      <c r="K1363" s="9" t="n">
        <v>57</v>
      </c>
      <c r="L1363" s="9" t="n">
        <v>4</v>
      </c>
      <c r="M1363" s="9" t="n">
        <v>1</v>
      </c>
      <c r="N1363" s="9" t="s">
        <v>42</v>
      </c>
      <c r="O1363" s="9" t="s">
        <v>52</v>
      </c>
      <c r="P1363" s="9" t="n">
        <v>13.6</v>
      </c>
      <c r="Q1363" s="9" t="n">
        <v>19</v>
      </c>
      <c r="R1363" s="9" t="s">
        <v>44</v>
      </c>
      <c r="S1363" s="9"/>
      <c r="T1363" s="9"/>
      <c r="U1363" s="9" t="str">
        <f aca="false">IF(COUNTIF($A$2:$A$5001,A1363)&gt;1,"Duplicate","Unique")</f>
        <v>Unique</v>
      </c>
      <c r="V1363" s="9" t="str">
        <f aca="false">IF(COUNTIFS($B$2:$B$5001,B1363,$H$2:$H$5001,H1363,$J$2:$J$5001,J1363)&gt;1,"Possible Duplicate Booking","Unique")</f>
        <v>Unique</v>
      </c>
      <c r="W1363" s="9" t="str">
        <f aca="false">IF((H1363-G1363)&lt;&gt;K1363,"Mismatch","OK")</f>
        <v>OK</v>
      </c>
      <c r="X1363" s="9" t="str">
        <f aca="false">IF(TEXT(H1363,"dddd")&lt;&gt;I1363,"Mismatch","OK")</f>
        <v>OK</v>
      </c>
      <c r="Y1363" s="9" t="str">
        <f aca="false">IF(AND(N1363="No",O1363&lt;&gt;""),"Unexpected: channel present but no reminder sent",IF(AND(N1363="Yes",O1363=""),"Missing channel for sent reminder","OK"))</f>
        <v>OK</v>
      </c>
    </row>
    <row r="1364" customFormat="false" ht="15" hidden="false" customHeight="false" outlineLevel="0" collapsed="false">
      <c r="A1364" s="7" t="s">
        <v>2388</v>
      </c>
      <c r="B1364" s="7" t="s">
        <v>607</v>
      </c>
      <c r="C1364" s="7" t="s">
        <v>47</v>
      </c>
      <c r="D1364" s="7" t="n">
        <v>51</v>
      </c>
      <c r="E1364" s="7" t="s">
        <v>56</v>
      </c>
      <c r="F1364" s="7" t="s">
        <v>49</v>
      </c>
      <c r="G1364" s="8" t="n">
        <v>45803</v>
      </c>
      <c r="H1364" s="8" t="n">
        <v>45849</v>
      </c>
      <c r="I1364" s="7" t="s">
        <v>50</v>
      </c>
      <c r="J1364" s="7" t="s">
        <v>51</v>
      </c>
      <c r="K1364" s="7" t="n">
        <v>46</v>
      </c>
      <c r="L1364" s="7" t="n">
        <v>4</v>
      </c>
      <c r="M1364" s="7" t="n">
        <v>1</v>
      </c>
      <c r="N1364" s="7" t="s">
        <v>71</v>
      </c>
      <c r="O1364" s="7"/>
      <c r="P1364" s="7" t="n">
        <v>9.3</v>
      </c>
      <c r="Q1364" s="7" t="n">
        <v>25</v>
      </c>
      <c r="R1364" s="7" t="s">
        <v>87</v>
      </c>
      <c r="S1364" s="7"/>
      <c r="T1364" s="7"/>
      <c r="U1364" s="7" t="str">
        <f aca="false">IF(COUNTIF($A$2:$A$5001,A1364)&gt;1,"Duplicate","Unique")</f>
        <v>Unique</v>
      </c>
      <c r="V1364" s="7" t="str">
        <f aca="false">IF(COUNTIFS($B$2:$B$5001,B1364,$H$2:$H$5001,H1364,$J$2:$J$5001,J1364)&gt;1,"Possible Duplicate Booking","Unique")</f>
        <v>Unique</v>
      </c>
      <c r="W1364" s="7" t="str">
        <f aca="false">IF((H1364-G1364)&lt;&gt;K1364,"Mismatch","OK")</f>
        <v>OK</v>
      </c>
      <c r="X1364" s="7" t="str">
        <f aca="false">IF(TEXT(H1364,"dddd")&lt;&gt;I1364,"Mismatch","OK")</f>
        <v>OK</v>
      </c>
      <c r="Y1364" s="7" t="str">
        <f aca="false">IF(AND(N1364="No",O1364&lt;&gt;""),"Unexpected: channel present but no reminder sent",IF(AND(N1364="Yes",O1364=""),"Missing channel for sent reminder","OK"))</f>
        <v>OK</v>
      </c>
    </row>
    <row r="1365" customFormat="false" ht="15" hidden="false" customHeight="false" outlineLevel="0" collapsed="false">
      <c r="A1365" s="9" t="s">
        <v>2389</v>
      </c>
      <c r="B1365" s="9" t="s">
        <v>548</v>
      </c>
      <c r="C1365" s="9" t="s">
        <v>47</v>
      </c>
      <c r="D1365" s="9" t="n">
        <v>41</v>
      </c>
      <c r="E1365" s="9" t="s">
        <v>38</v>
      </c>
      <c r="F1365" s="9" t="s">
        <v>39</v>
      </c>
      <c r="G1365" s="10" t="n">
        <v>45753</v>
      </c>
      <c r="H1365" s="10" t="n">
        <v>45768</v>
      </c>
      <c r="I1365" s="9" t="s">
        <v>66</v>
      </c>
      <c r="J1365" s="9" t="s">
        <v>51</v>
      </c>
      <c r="K1365" s="9" t="n">
        <v>15</v>
      </c>
      <c r="L1365" s="9" t="n">
        <v>2</v>
      </c>
      <c r="M1365" s="9" t="n">
        <v>0</v>
      </c>
      <c r="N1365" s="9" t="s">
        <v>42</v>
      </c>
      <c r="O1365" s="9" t="s">
        <v>43</v>
      </c>
      <c r="P1365" s="9" t="n">
        <v>6.7</v>
      </c>
      <c r="Q1365" s="9" t="n">
        <v>20</v>
      </c>
      <c r="R1365" s="9" t="s">
        <v>44</v>
      </c>
      <c r="S1365" s="9"/>
      <c r="T1365" s="9"/>
      <c r="U1365" s="9" t="str">
        <f aca="false">IF(COUNTIF($A$2:$A$5001,A1365)&gt;1,"Duplicate","Unique")</f>
        <v>Unique</v>
      </c>
      <c r="V1365" s="9" t="str">
        <f aca="false">IF(COUNTIFS($B$2:$B$5001,B1365,$H$2:$H$5001,H1365,$J$2:$J$5001,J1365)&gt;1,"Possible Duplicate Booking","Unique")</f>
        <v>Unique</v>
      </c>
      <c r="W1365" s="9" t="str">
        <f aca="false">IF((H1365-G1365)&lt;&gt;K1365,"Mismatch","OK")</f>
        <v>OK</v>
      </c>
      <c r="X1365" s="9" t="str">
        <f aca="false">IF(TEXT(H1365,"dddd")&lt;&gt;I1365,"Mismatch","OK")</f>
        <v>OK</v>
      </c>
      <c r="Y1365" s="9" t="str">
        <f aca="false">IF(AND(N1365="No",O1365&lt;&gt;""),"Unexpected: channel present but no reminder sent",IF(AND(N1365="Yes",O1365=""),"Missing channel for sent reminder","OK"))</f>
        <v>OK</v>
      </c>
    </row>
    <row r="1366" customFormat="false" ht="15" hidden="false" customHeight="false" outlineLevel="0" collapsed="false">
      <c r="A1366" s="7" t="s">
        <v>2390</v>
      </c>
      <c r="B1366" s="7" t="s">
        <v>2391</v>
      </c>
      <c r="C1366" s="7" t="s">
        <v>47</v>
      </c>
      <c r="D1366" s="7" t="n">
        <v>72</v>
      </c>
      <c r="E1366" s="7" t="s">
        <v>70</v>
      </c>
      <c r="F1366" s="7" t="s">
        <v>57</v>
      </c>
      <c r="G1366" s="8" t="n">
        <v>45911</v>
      </c>
      <c r="H1366" s="8" t="n">
        <v>45960</v>
      </c>
      <c r="I1366" s="7" t="s">
        <v>62</v>
      </c>
      <c r="J1366" s="7" t="s">
        <v>51</v>
      </c>
      <c r="K1366" s="7" t="n">
        <v>49</v>
      </c>
      <c r="L1366" s="7" t="n">
        <v>1</v>
      </c>
      <c r="M1366" s="7" t="n">
        <v>0</v>
      </c>
      <c r="N1366" s="7" t="s">
        <v>42</v>
      </c>
      <c r="O1366" s="7" t="s">
        <v>52</v>
      </c>
      <c r="P1366" s="7" t="n">
        <v>12.1</v>
      </c>
      <c r="Q1366" s="7" t="n">
        <v>21</v>
      </c>
      <c r="R1366" s="7" t="s">
        <v>44</v>
      </c>
      <c r="S1366" s="7"/>
      <c r="T1366" s="7"/>
      <c r="U1366" s="7" t="str">
        <f aca="false">IF(COUNTIF($A$2:$A$5001,A1366)&gt;1,"Duplicate","Unique")</f>
        <v>Unique</v>
      </c>
      <c r="V1366" s="7" t="str">
        <f aca="false">IF(COUNTIFS($B$2:$B$5001,B1366,$H$2:$H$5001,H1366,$J$2:$J$5001,J1366)&gt;1,"Possible Duplicate Booking","Unique")</f>
        <v>Unique</v>
      </c>
      <c r="W1366" s="7" t="str">
        <f aca="false">IF((H1366-G1366)&lt;&gt;K1366,"Mismatch","OK")</f>
        <v>OK</v>
      </c>
      <c r="X1366" s="7" t="str">
        <f aca="false">IF(TEXT(H1366,"dddd")&lt;&gt;I1366,"Mismatch","OK")</f>
        <v>OK</v>
      </c>
      <c r="Y1366" s="7" t="str">
        <f aca="false">IF(AND(N1366="No",O1366&lt;&gt;""),"Unexpected: channel present but no reminder sent",IF(AND(N1366="Yes",O1366=""),"Missing channel for sent reminder","OK"))</f>
        <v>OK</v>
      </c>
    </row>
    <row r="1367" customFormat="false" ht="15" hidden="false" customHeight="false" outlineLevel="0" collapsed="false">
      <c r="A1367" s="9" t="s">
        <v>2392</v>
      </c>
      <c r="B1367" s="9" t="s">
        <v>2393</v>
      </c>
      <c r="C1367" s="9" t="s">
        <v>37</v>
      </c>
      <c r="D1367" s="9" t="n">
        <v>28</v>
      </c>
      <c r="E1367" s="9" t="s">
        <v>48</v>
      </c>
      <c r="F1367" s="9" t="s">
        <v>39</v>
      </c>
      <c r="G1367" s="10" t="n">
        <v>45638</v>
      </c>
      <c r="H1367" s="10" t="n">
        <v>45667</v>
      </c>
      <c r="I1367" s="9" t="s">
        <v>50</v>
      </c>
      <c r="J1367" s="9" t="s">
        <v>51</v>
      </c>
      <c r="K1367" s="9" t="n">
        <v>29</v>
      </c>
      <c r="L1367" s="9" t="n">
        <v>3</v>
      </c>
      <c r="M1367" s="9" t="n">
        <v>0</v>
      </c>
      <c r="N1367" s="9" t="s">
        <v>42</v>
      </c>
      <c r="O1367" s="9" t="s">
        <v>67</v>
      </c>
      <c r="P1367" s="9" t="n">
        <v>10.6</v>
      </c>
      <c r="Q1367" s="9" t="n">
        <v>23</v>
      </c>
      <c r="R1367" s="9" t="s">
        <v>44</v>
      </c>
      <c r="S1367" s="9"/>
      <c r="T1367" s="9"/>
      <c r="U1367" s="9" t="str">
        <f aca="false">IF(COUNTIF($A$2:$A$5001,A1367)&gt;1,"Duplicate","Unique")</f>
        <v>Unique</v>
      </c>
      <c r="V1367" s="9" t="str">
        <f aca="false">IF(COUNTIFS($B$2:$B$5001,B1367,$H$2:$H$5001,H1367,$J$2:$J$5001,J1367)&gt;1,"Possible Duplicate Booking","Unique")</f>
        <v>Unique</v>
      </c>
      <c r="W1367" s="9" t="str">
        <f aca="false">IF((H1367-G1367)&lt;&gt;K1367,"Mismatch","OK")</f>
        <v>OK</v>
      </c>
      <c r="X1367" s="9" t="str">
        <f aca="false">IF(TEXT(H1367,"dddd")&lt;&gt;I1367,"Mismatch","OK")</f>
        <v>OK</v>
      </c>
      <c r="Y1367" s="9" t="str">
        <f aca="false">IF(AND(N1367="No",O1367&lt;&gt;""),"Unexpected: channel present but no reminder sent",IF(AND(N1367="Yes",O1367=""),"Missing channel for sent reminder","OK"))</f>
        <v>OK</v>
      </c>
    </row>
    <row r="1368" customFormat="false" ht="15" hidden="false" customHeight="false" outlineLevel="0" collapsed="false">
      <c r="A1368" s="7" t="s">
        <v>2394</v>
      </c>
      <c r="B1368" s="7" t="s">
        <v>2395</v>
      </c>
      <c r="C1368" s="7" t="s">
        <v>37</v>
      </c>
      <c r="D1368" s="7" t="n">
        <v>65</v>
      </c>
      <c r="E1368" s="7" t="s">
        <v>70</v>
      </c>
      <c r="F1368" s="7" t="s">
        <v>57</v>
      </c>
      <c r="G1368" s="8" t="n">
        <v>45772</v>
      </c>
      <c r="H1368" s="8" t="n">
        <v>45822</v>
      </c>
      <c r="I1368" s="7" t="s">
        <v>102</v>
      </c>
      <c r="J1368" s="7" t="s">
        <v>41</v>
      </c>
      <c r="K1368" s="7" t="n">
        <v>50</v>
      </c>
      <c r="L1368" s="7" t="n">
        <v>1</v>
      </c>
      <c r="M1368" s="7" t="n">
        <v>0</v>
      </c>
      <c r="N1368" s="7" t="s">
        <v>42</v>
      </c>
      <c r="O1368" s="7" t="s">
        <v>52</v>
      </c>
      <c r="P1368" s="7" t="n">
        <v>12.8</v>
      </c>
      <c r="Q1368" s="7" t="n">
        <v>6</v>
      </c>
      <c r="R1368" s="7" t="s">
        <v>53</v>
      </c>
      <c r="S1368" s="7"/>
      <c r="T1368" s="7"/>
      <c r="U1368" s="7" t="str">
        <f aca="false">IF(COUNTIF($A$2:$A$5001,A1368)&gt;1,"Duplicate","Unique")</f>
        <v>Unique</v>
      </c>
      <c r="V1368" s="7" t="str">
        <f aca="false">IF(COUNTIFS($B$2:$B$5001,B1368,$H$2:$H$5001,H1368,$J$2:$J$5001,J1368)&gt;1,"Possible Duplicate Booking","Unique")</f>
        <v>Unique</v>
      </c>
      <c r="W1368" s="7" t="str">
        <f aca="false">IF((H1368-G1368)&lt;&gt;K1368,"Mismatch","OK")</f>
        <v>OK</v>
      </c>
      <c r="X1368" s="7" t="str">
        <f aca="false">IF(TEXT(H1368,"dddd")&lt;&gt;I1368,"Mismatch","OK")</f>
        <v>OK</v>
      </c>
      <c r="Y1368" s="7" t="str">
        <f aca="false">IF(AND(N1368="No",O1368&lt;&gt;""),"Unexpected: channel present but no reminder sent",IF(AND(N1368="Yes",O1368=""),"Missing channel for sent reminder","OK"))</f>
        <v>OK</v>
      </c>
    </row>
    <row r="1369" customFormat="false" ht="15" hidden="false" customHeight="false" outlineLevel="0" collapsed="false">
      <c r="A1369" s="9" t="s">
        <v>2396</v>
      </c>
      <c r="B1369" s="9" t="s">
        <v>2076</v>
      </c>
      <c r="C1369" s="9" t="s">
        <v>47</v>
      </c>
      <c r="D1369" s="9" t="n">
        <v>54</v>
      </c>
      <c r="E1369" s="9" t="s">
        <v>56</v>
      </c>
      <c r="F1369" s="9" t="s">
        <v>57</v>
      </c>
      <c r="G1369" s="10" t="n">
        <v>45895</v>
      </c>
      <c r="H1369" s="10" t="n">
        <v>45905</v>
      </c>
      <c r="I1369" s="9" t="s">
        <v>50</v>
      </c>
      <c r="J1369" s="9" t="s">
        <v>41</v>
      </c>
      <c r="K1369" s="9" t="n">
        <v>10</v>
      </c>
      <c r="L1369" s="9" t="n">
        <v>1</v>
      </c>
      <c r="M1369" s="9" t="n">
        <v>0</v>
      </c>
      <c r="N1369" s="9" t="s">
        <v>42</v>
      </c>
      <c r="O1369" s="9" t="s">
        <v>43</v>
      </c>
      <c r="P1369" s="9" t="n">
        <v>6</v>
      </c>
      <c r="Q1369" s="9" t="n">
        <v>23</v>
      </c>
      <c r="R1369" s="9" t="s">
        <v>53</v>
      </c>
      <c r="S1369" s="9"/>
      <c r="T1369" s="9"/>
      <c r="U1369" s="9" t="str">
        <f aca="false">IF(COUNTIF($A$2:$A$5001,A1369)&gt;1,"Duplicate","Unique")</f>
        <v>Unique</v>
      </c>
      <c r="V1369" s="9" t="str">
        <f aca="false">IF(COUNTIFS($B$2:$B$5001,B1369,$H$2:$H$5001,H1369,$J$2:$J$5001,J1369)&gt;1,"Possible Duplicate Booking","Unique")</f>
        <v>Unique</v>
      </c>
      <c r="W1369" s="9" t="str">
        <f aca="false">IF((H1369-G1369)&lt;&gt;K1369,"Mismatch","OK")</f>
        <v>OK</v>
      </c>
      <c r="X1369" s="9" t="str">
        <f aca="false">IF(TEXT(H1369,"dddd")&lt;&gt;I1369,"Mismatch","OK")</f>
        <v>OK</v>
      </c>
      <c r="Y1369" s="9" t="str">
        <f aca="false">IF(AND(N1369="No",O1369&lt;&gt;""),"Unexpected: channel present but no reminder sent",IF(AND(N1369="Yes",O1369=""),"Missing channel for sent reminder","OK"))</f>
        <v>OK</v>
      </c>
    </row>
    <row r="1370" customFormat="false" ht="15" hidden="false" customHeight="false" outlineLevel="0" collapsed="false">
      <c r="A1370" s="7" t="s">
        <v>2397</v>
      </c>
      <c r="B1370" s="7" t="s">
        <v>1366</v>
      </c>
      <c r="C1370" s="7" t="s">
        <v>37</v>
      </c>
      <c r="D1370" s="7" t="n">
        <v>71</v>
      </c>
      <c r="E1370" s="7" t="s">
        <v>70</v>
      </c>
      <c r="F1370" s="7" t="s">
        <v>57</v>
      </c>
      <c r="G1370" s="8" t="n">
        <v>46182</v>
      </c>
      <c r="H1370" s="8" t="n">
        <v>46183</v>
      </c>
      <c r="I1370" s="7" t="s">
        <v>58</v>
      </c>
      <c r="J1370" s="7" t="s">
        <v>51</v>
      </c>
      <c r="K1370" s="7" t="n">
        <v>1</v>
      </c>
      <c r="L1370" s="7" t="n">
        <v>2</v>
      </c>
      <c r="M1370" s="7" t="n">
        <v>0</v>
      </c>
      <c r="N1370" s="7" t="s">
        <v>71</v>
      </c>
      <c r="O1370" s="7"/>
      <c r="P1370" s="7" t="n">
        <v>1.9</v>
      </c>
      <c r="Q1370" s="7" t="n">
        <v>54</v>
      </c>
      <c r="R1370" s="7" t="s">
        <v>53</v>
      </c>
      <c r="S1370" s="7"/>
      <c r="T1370" s="7"/>
      <c r="U1370" s="7" t="str">
        <f aca="false">IF(COUNTIF($A$2:$A$5001,A1370)&gt;1,"Duplicate","Unique")</f>
        <v>Unique</v>
      </c>
      <c r="V1370" s="7" t="str">
        <f aca="false">IF(COUNTIFS($B$2:$B$5001,B1370,$H$2:$H$5001,H1370,$J$2:$J$5001,J1370)&gt;1,"Possible Duplicate Booking","Unique")</f>
        <v>Unique</v>
      </c>
      <c r="W1370" s="7" t="str">
        <f aca="false">IF((H1370-G1370)&lt;&gt;K1370,"Mismatch","OK")</f>
        <v>OK</v>
      </c>
      <c r="X1370" s="7" t="str">
        <f aca="false">IF(TEXT(H1370,"dddd")&lt;&gt;I1370,"Mismatch","OK")</f>
        <v>OK</v>
      </c>
      <c r="Y1370" s="7" t="str">
        <f aca="false">IF(AND(N1370="No",O1370&lt;&gt;""),"Unexpected: channel present but no reminder sent",IF(AND(N1370="Yes",O1370=""),"Missing channel for sent reminder","OK"))</f>
        <v>OK</v>
      </c>
    </row>
    <row r="1371" customFormat="false" ht="15" hidden="false" customHeight="false" outlineLevel="0" collapsed="false">
      <c r="A1371" s="9" t="s">
        <v>2398</v>
      </c>
      <c r="B1371" s="9" t="s">
        <v>2399</v>
      </c>
      <c r="C1371" s="9" t="s">
        <v>37</v>
      </c>
      <c r="D1371" s="9" t="n">
        <v>44</v>
      </c>
      <c r="E1371" s="9" t="s">
        <v>38</v>
      </c>
      <c r="F1371" s="9" t="s">
        <v>39</v>
      </c>
      <c r="G1371" s="10" t="n">
        <v>46001</v>
      </c>
      <c r="H1371" s="10" t="n">
        <v>46004</v>
      </c>
      <c r="I1371" s="9" t="s">
        <v>102</v>
      </c>
      <c r="J1371" s="9" t="s">
        <v>63</v>
      </c>
      <c r="K1371" s="9" t="n">
        <v>3</v>
      </c>
      <c r="L1371" s="9" t="n">
        <v>2</v>
      </c>
      <c r="M1371" s="9" t="n">
        <v>2</v>
      </c>
      <c r="N1371" s="9" t="s">
        <v>71</v>
      </c>
      <c r="O1371" s="9"/>
      <c r="P1371" s="9" t="n">
        <v>10.1</v>
      </c>
      <c r="Q1371" s="9" t="n">
        <v>9</v>
      </c>
      <c r="R1371" s="9" t="s">
        <v>53</v>
      </c>
      <c r="S1371" s="9"/>
      <c r="T1371" s="9"/>
      <c r="U1371" s="9" t="str">
        <f aca="false">IF(COUNTIF($A$2:$A$5001,A1371)&gt;1,"Duplicate","Unique")</f>
        <v>Unique</v>
      </c>
      <c r="V1371" s="9" t="str">
        <f aca="false">IF(COUNTIFS($B$2:$B$5001,B1371,$H$2:$H$5001,H1371,$J$2:$J$5001,J1371)&gt;1,"Possible Duplicate Booking","Unique")</f>
        <v>Unique</v>
      </c>
      <c r="W1371" s="9" t="str">
        <f aca="false">IF((H1371-G1371)&lt;&gt;K1371,"Mismatch","OK")</f>
        <v>OK</v>
      </c>
      <c r="X1371" s="9" t="str">
        <f aca="false">IF(TEXT(H1371,"dddd")&lt;&gt;I1371,"Mismatch","OK")</f>
        <v>OK</v>
      </c>
      <c r="Y1371" s="9" t="str">
        <f aca="false">IF(AND(N1371="No",O1371&lt;&gt;""),"Unexpected: channel present but no reminder sent",IF(AND(N1371="Yes",O1371=""),"Missing channel for sent reminder","OK"))</f>
        <v>OK</v>
      </c>
    </row>
    <row r="1372" customFormat="false" ht="15" hidden="false" customHeight="false" outlineLevel="0" collapsed="false">
      <c r="A1372" s="7" t="s">
        <v>2400</v>
      </c>
      <c r="B1372" s="7" t="s">
        <v>2401</v>
      </c>
      <c r="C1372" s="7" t="s">
        <v>37</v>
      </c>
      <c r="D1372" s="7" t="n">
        <v>70</v>
      </c>
      <c r="E1372" s="7" t="s">
        <v>70</v>
      </c>
      <c r="F1372" s="7" t="s">
        <v>39</v>
      </c>
      <c r="G1372" s="8" t="n">
        <v>46078</v>
      </c>
      <c r="H1372" s="8" t="n">
        <v>46138</v>
      </c>
      <c r="I1372" s="7" t="s">
        <v>75</v>
      </c>
      <c r="J1372" s="7" t="s">
        <v>51</v>
      </c>
      <c r="K1372" s="7" t="n">
        <v>60</v>
      </c>
      <c r="L1372" s="7" t="n">
        <v>6</v>
      </c>
      <c r="M1372" s="7" t="n">
        <v>1</v>
      </c>
      <c r="N1372" s="7" t="s">
        <v>42</v>
      </c>
      <c r="O1372" s="7" t="s">
        <v>67</v>
      </c>
      <c r="P1372" s="7" t="n">
        <v>14.1</v>
      </c>
      <c r="Q1372" s="7" t="n">
        <v>41</v>
      </c>
      <c r="R1372" s="7" t="s">
        <v>53</v>
      </c>
      <c r="S1372" s="7"/>
      <c r="T1372" s="7"/>
      <c r="U1372" s="7" t="str">
        <f aca="false">IF(COUNTIF($A$2:$A$5001,A1372)&gt;1,"Duplicate","Unique")</f>
        <v>Unique</v>
      </c>
      <c r="V1372" s="7" t="str">
        <f aca="false">IF(COUNTIFS($B$2:$B$5001,B1372,$H$2:$H$5001,H1372,$J$2:$J$5001,J1372)&gt;1,"Possible Duplicate Booking","Unique")</f>
        <v>Unique</v>
      </c>
      <c r="W1372" s="7" t="str">
        <f aca="false">IF((H1372-G1372)&lt;&gt;K1372,"Mismatch","OK")</f>
        <v>OK</v>
      </c>
      <c r="X1372" s="7" t="str">
        <f aca="false">IF(TEXT(H1372,"dddd")&lt;&gt;I1372,"Mismatch","OK")</f>
        <v>OK</v>
      </c>
      <c r="Y1372" s="7" t="str">
        <f aca="false">IF(AND(N1372="No",O1372&lt;&gt;""),"Unexpected: channel present but no reminder sent",IF(AND(N1372="Yes",O1372=""),"Missing channel for sent reminder","OK"))</f>
        <v>OK</v>
      </c>
    </row>
    <row r="1373" customFormat="false" ht="15" hidden="false" customHeight="false" outlineLevel="0" collapsed="false">
      <c r="A1373" s="9" t="s">
        <v>2402</v>
      </c>
      <c r="B1373" s="9" t="s">
        <v>1804</v>
      </c>
      <c r="C1373" s="9" t="s">
        <v>37</v>
      </c>
      <c r="D1373" s="9" t="n">
        <v>18</v>
      </c>
      <c r="E1373" s="9" t="s">
        <v>82</v>
      </c>
      <c r="F1373" s="9" t="s">
        <v>49</v>
      </c>
      <c r="G1373" s="10" t="n">
        <v>45841</v>
      </c>
      <c r="H1373" s="10" t="n">
        <v>45845</v>
      </c>
      <c r="I1373" s="9" t="s">
        <v>66</v>
      </c>
      <c r="J1373" s="9" t="s">
        <v>51</v>
      </c>
      <c r="K1373" s="9" t="n">
        <v>4</v>
      </c>
      <c r="L1373" s="9" t="n">
        <v>8</v>
      </c>
      <c r="M1373" s="9" t="n">
        <v>2</v>
      </c>
      <c r="N1373" s="9" t="s">
        <v>71</v>
      </c>
      <c r="O1373" s="9"/>
      <c r="P1373" s="9" t="n">
        <v>26.7</v>
      </c>
      <c r="Q1373" s="9" t="n">
        <v>36</v>
      </c>
      <c r="R1373" s="9" t="s">
        <v>44</v>
      </c>
      <c r="S1373" s="9"/>
      <c r="T1373" s="9"/>
      <c r="U1373" s="9" t="str">
        <f aca="false">IF(COUNTIF($A$2:$A$5001,A1373)&gt;1,"Duplicate","Unique")</f>
        <v>Unique</v>
      </c>
      <c r="V1373" s="9" t="str">
        <f aca="false">IF(COUNTIFS($B$2:$B$5001,B1373,$H$2:$H$5001,H1373,$J$2:$J$5001,J1373)&gt;1,"Possible Duplicate Booking","Unique")</f>
        <v>Unique</v>
      </c>
      <c r="W1373" s="9" t="str">
        <f aca="false">IF((H1373-G1373)&lt;&gt;K1373,"Mismatch","OK")</f>
        <v>OK</v>
      </c>
      <c r="X1373" s="9" t="str">
        <f aca="false">IF(TEXT(H1373,"dddd")&lt;&gt;I1373,"Mismatch","OK")</f>
        <v>OK</v>
      </c>
      <c r="Y1373" s="9" t="str">
        <f aca="false">IF(AND(N1373="No",O1373&lt;&gt;""),"Unexpected: channel present but no reminder sent",IF(AND(N1373="Yes",O1373=""),"Missing channel for sent reminder","OK"))</f>
        <v>OK</v>
      </c>
    </row>
    <row r="1374" customFormat="false" ht="15" hidden="false" customHeight="false" outlineLevel="0" collapsed="false">
      <c r="A1374" s="7" t="s">
        <v>2403</v>
      </c>
      <c r="B1374" s="7" t="s">
        <v>869</v>
      </c>
      <c r="C1374" s="7" t="s">
        <v>47</v>
      </c>
      <c r="D1374" s="7" t="n">
        <v>65</v>
      </c>
      <c r="E1374" s="7" t="s">
        <v>70</v>
      </c>
      <c r="F1374" s="7" t="s">
        <v>57</v>
      </c>
      <c r="G1374" s="8" t="n">
        <v>45846</v>
      </c>
      <c r="H1374" s="8" t="n">
        <v>45903</v>
      </c>
      <c r="I1374" s="7" t="s">
        <v>58</v>
      </c>
      <c r="J1374" s="7" t="s">
        <v>63</v>
      </c>
      <c r="K1374" s="7" t="n">
        <v>57</v>
      </c>
      <c r="L1374" s="7" t="n">
        <v>2</v>
      </c>
      <c r="M1374" s="7" t="n">
        <v>1</v>
      </c>
      <c r="N1374" s="7" t="s">
        <v>42</v>
      </c>
      <c r="O1374" s="7" t="s">
        <v>43</v>
      </c>
      <c r="P1374" s="7" t="n">
        <v>11.9</v>
      </c>
      <c r="Q1374" s="7" t="n">
        <v>32</v>
      </c>
      <c r="R1374" s="7" t="s">
        <v>44</v>
      </c>
      <c r="S1374" s="7"/>
      <c r="T1374" s="7"/>
      <c r="U1374" s="7" t="str">
        <f aca="false">IF(COUNTIF($A$2:$A$5001,A1374)&gt;1,"Duplicate","Unique")</f>
        <v>Unique</v>
      </c>
      <c r="V1374" s="7" t="str">
        <f aca="false">IF(COUNTIFS($B$2:$B$5001,B1374,$H$2:$H$5001,H1374,$J$2:$J$5001,J1374)&gt;1,"Possible Duplicate Booking","Unique")</f>
        <v>Unique</v>
      </c>
      <c r="W1374" s="7" t="str">
        <f aca="false">IF((H1374-G1374)&lt;&gt;K1374,"Mismatch","OK")</f>
        <v>OK</v>
      </c>
      <c r="X1374" s="7" t="str">
        <f aca="false">IF(TEXT(H1374,"dddd")&lt;&gt;I1374,"Mismatch","OK")</f>
        <v>OK</v>
      </c>
      <c r="Y1374" s="7" t="str">
        <f aca="false">IF(AND(N1374="No",O1374&lt;&gt;""),"Unexpected: channel present but no reminder sent",IF(AND(N1374="Yes",O1374=""),"Missing channel for sent reminder","OK"))</f>
        <v>OK</v>
      </c>
    </row>
    <row r="1375" customFormat="false" ht="15" hidden="false" customHeight="false" outlineLevel="0" collapsed="false">
      <c r="A1375" s="9" t="s">
        <v>2404</v>
      </c>
      <c r="B1375" s="9" t="s">
        <v>2405</v>
      </c>
      <c r="C1375" s="9" t="s">
        <v>47</v>
      </c>
      <c r="D1375" s="9" t="n">
        <v>22</v>
      </c>
      <c r="E1375" s="9" t="s">
        <v>82</v>
      </c>
      <c r="F1375" s="9" t="s">
        <v>49</v>
      </c>
      <c r="G1375" s="10" t="n">
        <v>45843</v>
      </c>
      <c r="H1375" s="10" t="n">
        <v>45887</v>
      </c>
      <c r="I1375" s="9" t="s">
        <v>66</v>
      </c>
      <c r="J1375" s="9" t="s">
        <v>63</v>
      </c>
      <c r="K1375" s="9" t="n">
        <v>44</v>
      </c>
      <c r="L1375" s="9" t="n">
        <v>3</v>
      </c>
      <c r="M1375" s="9" t="n">
        <v>0</v>
      </c>
      <c r="N1375" s="9" t="s">
        <v>42</v>
      </c>
      <c r="O1375" s="9" t="s">
        <v>43</v>
      </c>
      <c r="P1375" s="9" t="n">
        <v>4.5</v>
      </c>
      <c r="Q1375" s="9" t="n">
        <v>19</v>
      </c>
      <c r="R1375" s="9" t="s">
        <v>44</v>
      </c>
      <c r="S1375" s="9"/>
      <c r="T1375" s="9"/>
      <c r="U1375" s="9" t="str">
        <f aca="false">IF(COUNTIF($A$2:$A$5001,A1375)&gt;1,"Duplicate","Unique")</f>
        <v>Unique</v>
      </c>
      <c r="V1375" s="9" t="str">
        <f aca="false">IF(COUNTIFS($B$2:$B$5001,B1375,$H$2:$H$5001,H1375,$J$2:$J$5001,J1375)&gt;1,"Possible Duplicate Booking","Unique")</f>
        <v>Unique</v>
      </c>
      <c r="W1375" s="9" t="str">
        <f aca="false">IF((H1375-G1375)&lt;&gt;K1375,"Mismatch","OK")</f>
        <v>OK</v>
      </c>
      <c r="X1375" s="9" t="str">
        <f aca="false">IF(TEXT(H1375,"dddd")&lt;&gt;I1375,"Mismatch","OK")</f>
        <v>OK</v>
      </c>
      <c r="Y1375" s="9" t="str">
        <f aca="false">IF(AND(N1375="No",O1375&lt;&gt;""),"Unexpected: channel present but no reminder sent",IF(AND(N1375="Yes",O1375=""),"Missing channel for sent reminder","OK"))</f>
        <v>OK</v>
      </c>
    </row>
    <row r="1376" customFormat="false" ht="15" hidden="false" customHeight="false" outlineLevel="0" collapsed="false">
      <c r="A1376" s="7" t="s">
        <v>2406</v>
      </c>
      <c r="B1376" s="7" t="s">
        <v>2407</v>
      </c>
      <c r="C1376" s="7" t="s">
        <v>37</v>
      </c>
      <c r="D1376" s="7" t="n">
        <v>58</v>
      </c>
      <c r="E1376" s="7" t="s">
        <v>61</v>
      </c>
      <c r="F1376" s="7" t="s">
        <v>57</v>
      </c>
      <c r="G1376" s="8" t="n">
        <v>46134</v>
      </c>
      <c r="H1376" s="8" t="n">
        <v>46142</v>
      </c>
      <c r="I1376" s="7" t="s">
        <v>62</v>
      </c>
      <c r="J1376" s="7" t="s">
        <v>41</v>
      </c>
      <c r="K1376" s="7" t="n">
        <v>8</v>
      </c>
      <c r="L1376" s="7" t="n">
        <v>2</v>
      </c>
      <c r="M1376" s="7" t="n">
        <v>0</v>
      </c>
      <c r="N1376" s="7" t="s">
        <v>42</v>
      </c>
      <c r="O1376" s="7" t="s">
        <v>43</v>
      </c>
      <c r="P1376" s="7" t="n">
        <v>18.6</v>
      </c>
      <c r="Q1376" s="7" t="n">
        <v>35</v>
      </c>
      <c r="R1376" s="7" t="s">
        <v>44</v>
      </c>
      <c r="S1376" s="7"/>
      <c r="T1376" s="7"/>
      <c r="U1376" s="7" t="str">
        <f aca="false">IF(COUNTIF($A$2:$A$5001,A1376)&gt;1,"Duplicate","Unique")</f>
        <v>Unique</v>
      </c>
      <c r="V1376" s="7" t="str">
        <f aca="false">IF(COUNTIFS($B$2:$B$5001,B1376,$H$2:$H$5001,H1376,$J$2:$J$5001,J1376)&gt;1,"Possible Duplicate Booking","Unique")</f>
        <v>Unique</v>
      </c>
      <c r="W1376" s="7" t="str">
        <f aca="false">IF((H1376-G1376)&lt;&gt;K1376,"Mismatch","OK")</f>
        <v>OK</v>
      </c>
      <c r="X1376" s="7" t="str">
        <f aca="false">IF(TEXT(H1376,"dddd")&lt;&gt;I1376,"Mismatch","OK")</f>
        <v>OK</v>
      </c>
      <c r="Y1376" s="7" t="str">
        <f aca="false">IF(AND(N1376="No",O1376&lt;&gt;""),"Unexpected: channel present but no reminder sent",IF(AND(N1376="Yes",O1376=""),"Missing channel for sent reminder","OK"))</f>
        <v>OK</v>
      </c>
    </row>
    <row r="1377" customFormat="false" ht="15" hidden="false" customHeight="false" outlineLevel="0" collapsed="false">
      <c r="A1377" s="9" t="s">
        <v>2408</v>
      </c>
      <c r="B1377" s="9" t="s">
        <v>2409</v>
      </c>
      <c r="C1377" s="9" t="s">
        <v>47</v>
      </c>
      <c r="D1377" s="9" t="n">
        <v>30</v>
      </c>
      <c r="E1377" s="9" t="s">
        <v>48</v>
      </c>
      <c r="F1377" s="9" t="s">
        <v>57</v>
      </c>
      <c r="G1377" s="10" t="n">
        <v>46129</v>
      </c>
      <c r="H1377" s="10" t="n">
        <v>46181</v>
      </c>
      <c r="I1377" s="9" t="s">
        <v>66</v>
      </c>
      <c r="J1377" s="9" t="s">
        <v>51</v>
      </c>
      <c r="K1377" s="9" t="n">
        <v>52</v>
      </c>
      <c r="L1377" s="9" t="n">
        <v>7</v>
      </c>
      <c r="M1377" s="9" t="n">
        <v>2</v>
      </c>
      <c r="N1377" s="9" t="s">
        <v>42</v>
      </c>
      <c r="O1377" s="9" t="s">
        <v>52</v>
      </c>
      <c r="P1377" s="9" t="n">
        <v>9.6</v>
      </c>
      <c r="Q1377" s="9" t="n">
        <v>45</v>
      </c>
      <c r="R1377" s="9" t="s">
        <v>44</v>
      </c>
      <c r="S1377" s="9"/>
      <c r="T1377" s="9"/>
      <c r="U1377" s="9" t="str">
        <f aca="false">IF(COUNTIF($A$2:$A$5001,A1377)&gt;1,"Duplicate","Unique")</f>
        <v>Unique</v>
      </c>
      <c r="V1377" s="9" t="str">
        <f aca="false">IF(COUNTIFS($B$2:$B$5001,B1377,$H$2:$H$5001,H1377,$J$2:$J$5001,J1377)&gt;1,"Possible Duplicate Booking","Unique")</f>
        <v>Unique</v>
      </c>
      <c r="W1377" s="9" t="str">
        <f aca="false">IF((H1377-G1377)&lt;&gt;K1377,"Mismatch","OK")</f>
        <v>OK</v>
      </c>
      <c r="X1377" s="9" t="str">
        <f aca="false">IF(TEXT(H1377,"dddd")&lt;&gt;I1377,"Mismatch","OK")</f>
        <v>OK</v>
      </c>
      <c r="Y1377" s="9" t="str">
        <f aca="false">IF(AND(N1377="No",O1377&lt;&gt;""),"Unexpected: channel present but no reminder sent",IF(AND(N1377="Yes",O1377=""),"Missing channel for sent reminder","OK"))</f>
        <v>OK</v>
      </c>
    </row>
    <row r="1378" customFormat="false" ht="15" hidden="false" customHeight="false" outlineLevel="0" collapsed="false">
      <c r="A1378" s="7" t="s">
        <v>2410</v>
      </c>
      <c r="B1378" s="7" t="s">
        <v>2411</v>
      </c>
      <c r="C1378" s="7" t="s">
        <v>37</v>
      </c>
      <c r="D1378" s="7" t="n">
        <v>78</v>
      </c>
      <c r="E1378" s="7" t="s">
        <v>70</v>
      </c>
      <c r="F1378" s="7" t="s">
        <v>49</v>
      </c>
      <c r="G1378" s="8" t="n">
        <v>46175</v>
      </c>
      <c r="H1378" s="8" t="n">
        <v>46183</v>
      </c>
      <c r="I1378" s="7" t="s">
        <v>58</v>
      </c>
      <c r="J1378" s="7" t="s">
        <v>51</v>
      </c>
      <c r="K1378" s="7" t="n">
        <v>8</v>
      </c>
      <c r="L1378" s="7" t="n">
        <v>2</v>
      </c>
      <c r="M1378" s="7" t="n">
        <v>0</v>
      </c>
      <c r="N1378" s="7" t="s">
        <v>42</v>
      </c>
      <c r="O1378" s="7" t="s">
        <v>67</v>
      </c>
      <c r="P1378" s="7" t="n">
        <v>18.7</v>
      </c>
      <c r="Q1378" s="7" t="n">
        <v>37</v>
      </c>
      <c r="R1378" s="7" t="s">
        <v>53</v>
      </c>
      <c r="S1378" s="7"/>
      <c r="T1378" s="7"/>
      <c r="U1378" s="7" t="str">
        <f aca="false">IF(COUNTIF($A$2:$A$5001,A1378)&gt;1,"Duplicate","Unique")</f>
        <v>Unique</v>
      </c>
      <c r="V1378" s="7" t="str">
        <f aca="false">IF(COUNTIFS($B$2:$B$5001,B1378,$H$2:$H$5001,H1378,$J$2:$J$5001,J1378)&gt;1,"Possible Duplicate Booking","Unique")</f>
        <v>Unique</v>
      </c>
      <c r="W1378" s="7" t="str">
        <f aca="false">IF((H1378-G1378)&lt;&gt;K1378,"Mismatch","OK")</f>
        <v>OK</v>
      </c>
      <c r="X1378" s="7" t="str">
        <f aca="false">IF(TEXT(H1378,"dddd")&lt;&gt;I1378,"Mismatch","OK")</f>
        <v>OK</v>
      </c>
      <c r="Y1378" s="7" t="str">
        <f aca="false">IF(AND(N1378="No",O1378&lt;&gt;""),"Unexpected: channel present but no reminder sent",IF(AND(N1378="Yes",O1378=""),"Missing channel for sent reminder","OK"))</f>
        <v>OK</v>
      </c>
    </row>
    <row r="1379" customFormat="false" ht="15" hidden="false" customHeight="false" outlineLevel="0" collapsed="false">
      <c r="A1379" s="9" t="s">
        <v>2412</v>
      </c>
      <c r="B1379" s="9" t="s">
        <v>1711</v>
      </c>
      <c r="C1379" s="9" t="s">
        <v>37</v>
      </c>
      <c r="D1379" s="9" t="n">
        <v>66</v>
      </c>
      <c r="E1379" s="9" t="s">
        <v>70</v>
      </c>
      <c r="F1379" s="9" t="s">
        <v>39</v>
      </c>
      <c r="G1379" s="10" t="n">
        <v>46060</v>
      </c>
      <c r="H1379" s="10" t="n">
        <v>46068</v>
      </c>
      <c r="I1379" s="9" t="s">
        <v>75</v>
      </c>
      <c r="J1379" s="9" t="s">
        <v>51</v>
      </c>
      <c r="K1379" s="9" t="n">
        <v>8</v>
      </c>
      <c r="L1379" s="9" t="n">
        <v>6</v>
      </c>
      <c r="M1379" s="9" t="n">
        <v>2</v>
      </c>
      <c r="N1379" s="9" t="s">
        <v>42</v>
      </c>
      <c r="O1379" s="9" t="s">
        <v>52</v>
      </c>
      <c r="P1379" s="9" t="n">
        <v>5.8</v>
      </c>
      <c r="Q1379" s="9" t="n">
        <v>28</v>
      </c>
      <c r="R1379" s="9" t="s">
        <v>53</v>
      </c>
      <c r="S1379" s="9"/>
      <c r="T1379" s="9"/>
      <c r="U1379" s="9" t="str">
        <f aca="false">IF(COUNTIF($A$2:$A$5001,A1379)&gt;1,"Duplicate","Unique")</f>
        <v>Unique</v>
      </c>
      <c r="V1379" s="9" t="str">
        <f aca="false">IF(COUNTIFS($B$2:$B$5001,B1379,$H$2:$H$5001,H1379,$J$2:$J$5001,J1379)&gt;1,"Possible Duplicate Booking","Unique")</f>
        <v>Unique</v>
      </c>
      <c r="W1379" s="9" t="str">
        <f aca="false">IF((H1379-G1379)&lt;&gt;K1379,"Mismatch","OK")</f>
        <v>OK</v>
      </c>
      <c r="X1379" s="9" t="str">
        <f aca="false">IF(TEXT(H1379,"dddd")&lt;&gt;I1379,"Mismatch","OK")</f>
        <v>OK</v>
      </c>
      <c r="Y1379" s="9" t="str">
        <f aca="false">IF(AND(N1379="No",O1379&lt;&gt;""),"Unexpected: channel present but no reminder sent",IF(AND(N1379="Yes",O1379=""),"Missing channel for sent reminder","OK"))</f>
        <v>OK</v>
      </c>
    </row>
    <row r="1380" customFormat="false" ht="15" hidden="false" customHeight="false" outlineLevel="0" collapsed="false">
      <c r="A1380" s="7" t="s">
        <v>2413</v>
      </c>
      <c r="B1380" s="7" t="s">
        <v>2414</v>
      </c>
      <c r="C1380" s="7" t="s">
        <v>37</v>
      </c>
      <c r="D1380" s="7" t="n">
        <v>24</v>
      </c>
      <c r="E1380" s="7" t="s">
        <v>82</v>
      </c>
      <c r="F1380" s="7" t="s">
        <v>57</v>
      </c>
      <c r="G1380" s="8" t="n">
        <v>45897</v>
      </c>
      <c r="H1380" s="8" t="n">
        <v>45932</v>
      </c>
      <c r="I1380" s="7" t="s">
        <v>62</v>
      </c>
      <c r="J1380" s="7" t="s">
        <v>41</v>
      </c>
      <c r="K1380" s="7" t="n">
        <v>35</v>
      </c>
      <c r="L1380" s="7" t="n">
        <v>0</v>
      </c>
      <c r="M1380" s="7" t="n">
        <v>0</v>
      </c>
      <c r="N1380" s="7" t="s">
        <v>71</v>
      </c>
      <c r="O1380" s="7"/>
      <c r="P1380" s="7" t="n">
        <v>8.2</v>
      </c>
      <c r="Q1380" s="7" t="n">
        <v>25</v>
      </c>
      <c r="R1380" s="7" t="s">
        <v>44</v>
      </c>
      <c r="S1380" s="7"/>
      <c r="T1380" s="7"/>
      <c r="U1380" s="7" t="str">
        <f aca="false">IF(COUNTIF($A$2:$A$5001,A1380)&gt;1,"Duplicate","Unique")</f>
        <v>Unique</v>
      </c>
      <c r="V1380" s="7" t="str">
        <f aca="false">IF(COUNTIFS($B$2:$B$5001,B1380,$H$2:$H$5001,H1380,$J$2:$J$5001,J1380)&gt;1,"Possible Duplicate Booking","Unique")</f>
        <v>Unique</v>
      </c>
      <c r="W1380" s="7" t="str">
        <f aca="false">IF((H1380-G1380)&lt;&gt;K1380,"Mismatch","OK")</f>
        <v>OK</v>
      </c>
      <c r="X1380" s="7" t="str">
        <f aca="false">IF(TEXT(H1380,"dddd")&lt;&gt;I1380,"Mismatch","OK")</f>
        <v>OK</v>
      </c>
      <c r="Y1380" s="7" t="str">
        <f aca="false">IF(AND(N1380="No",O1380&lt;&gt;""),"Unexpected: channel present but no reminder sent",IF(AND(N1380="Yes",O1380=""),"Missing channel for sent reminder","OK"))</f>
        <v>OK</v>
      </c>
    </row>
    <row r="1381" customFormat="false" ht="15" hidden="false" customHeight="false" outlineLevel="0" collapsed="false">
      <c r="A1381" s="9" t="s">
        <v>2415</v>
      </c>
      <c r="B1381" s="9" t="s">
        <v>2416</v>
      </c>
      <c r="C1381" s="9" t="s">
        <v>37</v>
      </c>
      <c r="D1381" s="9" t="n">
        <v>74</v>
      </c>
      <c r="E1381" s="9" t="s">
        <v>70</v>
      </c>
      <c r="F1381" s="9" t="s">
        <v>39</v>
      </c>
      <c r="G1381" s="10" t="n">
        <v>45936</v>
      </c>
      <c r="H1381" s="10" t="n">
        <v>45953</v>
      </c>
      <c r="I1381" s="9" t="s">
        <v>62</v>
      </c>
      <c r="J1381" s="9" t="s">
        <v>51</v>
      </c>
      <c r="K1381" s="9" t="n">
        <v>17</v>
      </c>
      <c r="L1381" s="9" t="n">
        <v>3</v>
      </c>
      <c r="M1381" s="9" t="n">
        <v>2</v>
      </c>
      <c r="N1381" s="9" t="s">
        <v>42</v>
      </c>
      <c r="O1381" s="9" t="s">
        <v>52</v>
      </c>
      <c r="P1381" s="9" t="n">
        <v>14.8</v>
      </c>
      <c r="Q1381" s="9" t="n">
        <v>18</v>
      </c>
      <c r="R1381" s="9" t="s">
        <v>53</v>
      </c>
      <c r="S1381" s="9"/>
      <c r="T1381" s="9"/>
      <c r="U1381" s="9" t="str">
        <f aca="false">IF(COUNTIF($A$2:$A$5001,A1381)&gt;1,"Duplicate","Unique")</f>
        <v>Unique</v>
      </c>
      <c r="V1381" s="9" t="str">
        <f aca="false">IF(COUNTIFS($B$2:$B$5001,B1381,$H$2:$H$5001,H1381,$J$2:$J$5001,J1381)&gt;1,"Possible Duplicate Booking","Unique")</f>
        <v>Unique</v>
      </c>
      <c r="W1381" s="9" t="str">
        <f aca="false">IF((H1381-G1381)&lt;&gt;K1381,"Mismatch","OK")</f>
        <v>OK</v>
      </c>
      <c r="X1381" s="9" t="str">
        <f aca="false">IF(TEXT(H1381,"dddd")&lt;&gt;I1381,"Mismatch","OK")</f>
        <v>OK</v>
      </c>
      <c r="Y1381" s="9" t="str">
        <f aca="false">IF(AND(N1381="No",O1381&lt;&gt;""),"Unexpected: channel present but no reminder sent",IF(AND(N1381="Yes",O1381=""),"Missing channel for sent reminder","OK"))</f>
        <v>OK</v>
      </c>
    </row>
    <row r="1382" customFormat="false" ht="15" hidden="false" customHeight="false" outlineLevel="0" collapsed="false">
      <c r="A1382" s="7" t="s">
        <v>2417</v>
      </c>
      <c r="B1382" s="7" t="s">
        <v>1527</v>
      </c>
      <c r="C1382" s="7" t="s">
        <v>37</v>
      </c>
      <c r="D1382" s="7" t="n">
        <v>33</v>
      </c>
      <c r="E1382" s="7" t="s">
        <v>48</v>
      </c>
      <c r="F1382" s="7" t="s">
        <v>49</v>
      </c>
      <c r="G1382" s="8" t="n">
        <v>46176</v>
      </c>
      <c r="H1382" s="8" t="n">
        <v>46193</v>
      </c>
      <c r="I1382" s="7" t="s">
        <v>102</v>
      </c>
      <c r="J1382" s="7" t="s">
        <v>41</v>
      </c>
      <c r="K1382" s="7" t="n">
        <v>17</v>
      </c>
      <c r="L1382" s="7" t="n">
        <v>1</v>
      </c>
      <c r="M1382" s="7" t="n">
        <v>0</v>
      </c>
      <c r="N1382" s="7" t="s">
        <v>42</v>
      </c>
      <c r="O1382" s="7" t="s">
        <v>52</v>
      </c>
      <c r="P1382" s="7" t="n">
        <v>16</v>
      </c>
      <c r="Q1382" s="7" t="n">
        <v>26</v>
      </c>
      <c r="R1382" s="7" t="s">
        <v>44</v>
      </c>
      <c r="S1382" s="7"/>
      <c r="T1382" s="7"/>
      <c r="U1382" s="7" t="str">
        <f aca="false">IF(COUNTIF($A$2:$A$5001,A1382)&gt;1,"Duplicate","Unique")</f>
        <v>Unique</v>
      </c>
      <c r="V1382" s="7" t="str">
        <f aca="false">IF(COUNTIFS($B$2:$B$5001,B1382,$H$2:$H$5001,H1382,$J$2:$J$5001,J1382)&gt;1,"Possible Duplicate Booking","Unique")</f>
        <v>Unique</v>
      </c>
      <c r="W1382" s="7" t="str">
        <f aca="false">IF((H1382-G1382)&lt;&gt;K1382,"Mismatch","OK")</f>
        <v>OK</v>
      </c>
      <c r="X1382" s="7" t="str">
        <f aca="false">IF(TEXT(H1382,"dddd")&lt;&gt;I1382,"Mismatch","OK")</f>
        <v>OK</v>
      </c>
      <c r="Y1382" s="7" t="str">
        <f aca="false">IF(AND(N1382="No",O1382&lt;&gt;""),"Unexpected: channel present but no reminder sent",IF(AND(N1382="Yes",O1382=""),"Missing channel for sent reminder","OK"))</f>
        <v>OK</v>
      </c>
    </row>
    <row r="1383" customFormat="false" ht="15" hidden="false" customHeight="false" outlineLevel="0" collapsed="false">
      <c r="A1383" s="9" t="s">
        <v>2418</v>
      </c>
      <c r="B1383" s="9" t="s">
        <v>2419</v>
      </c>
      <c r="C1383" s="9" t="s">
        <v>47</v>
      </c>
      <c r="D1383" s="9" t="n">
        <v>52</v>
      </c>
      <c r="E1383" s="9" t="s">
        <v>56</v>
      </c>
      <c r="F1383" s="9" t="s">
        <v>74</v>
      </c>
      <c r="G1383" s="10" t="n">
        <v>45802</v>
      </c>
      <c r="H1383" s="10" t="n">
        <v>45813</v>
      </c>
      <c r="I1383" s="9" t="s">
        <v>62</v>
      </c>
      <c r="J1383" s="9" t="s">
        <v>51</v>
      </c>
      <c r="K1383" s="9" t="n">
        <v>11</v>
      </c>
      <c r="L1383" s="9" t="n">
        <v>2</v>
      </c>
      <c r="M1383" s="9" t="n">
        <v>1</v>
      </c>
      <c r="N1383" s="9" t="s">
        <v>71</v>
      </c>
      <c r="O1383" s="9"/>
      <c r="P1383" s="9" t="n">
        <v>11.2</v>
      </c>
      <c r="Q1383" s="9" t="n">
        <v>31</v>
      </c>
      <c r="R1383" s="9" t="s">
        <v>53</v>
      </c>
      <c r="S1383" s="9"/>
      <c r="T1383" s="9"/>
      <c r="U1383" s="9" t="str">
        <f aca="false">IF(COUNTIF($A$2:$A$5001,A1383)&gt;1,"Duplicate","Unique")</f>
        <v>Unique</v>
      </c>
      <c r="V1383" s="9" t="str">
        <f aca="false">IF(COUNTIFS($B$2:$B$5001,B1383,$H$2:$H$5001,H1383,$J$2:$J$5001,J1383)&gt;1,"Possible Duplicate Booking","Unique")</f>
        <v>Unique</v>
      </c>
      <c r="W1383" s="9" t="str">
        <f aca="false">IF((H1383-G1383)&lt;&gt;K1383,"Mismatch","OK")</f>
        <v>OK</v>
      </c>
      <c r="X1383" s="9" t="str">
        <f aca="false">IF(TEXT(H1383,"dddd")&lt;&gt;I1383,"Mismatch","OK")</f>
        <v>OK</v>
      </c>
      <c r="Y1383" s="9" t="str">
        <f aca="false">IF(AND(N1383="No",O1383&lt;&gt;""),"Unexpected: channel present but no reminder sent",IF(AND(N1383="Yes",O1383=""),"Missing channel for sent reminder","OK"))</f>
        <v>OK</v>
      </c>
    </row>
    <row r="1384" customFormat="false" ht="15" hidden="false" customHeight="false" outlineLevel="0" collapsed="false">
      <c r="A1384" s="7" t="s">
        <v>2420</v>
      </c>
      <c r="B1384" s="7" t="s">
        <v>2421</v>
      </c>
      <c r="C1384" s="7" t="s">
        <v>37</v>
      </c>
      <c r="D1384" s="7" t="n">
        <v>23</v>
      </c>
      <c r="E1384" s="7" t="s">
        <v>82</v>
      </c>
      <c r="F1384" s="7" t="s">
        <v>39</v>
      </c>
      <c r="G1384" s="8" t="n">
        <v>45810</v>
      </c>
      <c r="H1384" s="8" t="n">
        <v>45847</v>
      </c>
      <c r="I1384" s="7" t="s">
        <v>58</v>
      </c>
      <c r="J1384" s="7" t="s">
        <v>41</v>
      </c>
      <c r="K1384" s="7" t="n">
        <v>37</v>
      </c>
      <c r="L1384" s="7" t="n">
        <v>3</v>
      </c>
      <c r="M1384" s="7" t="n">
        <v>0</v>
      </c>
      <c r="N1384" s="7" t="s">
        <v>42</v>
      </c>
      <c r="O1384" s="7" t="s">
        <v>43</v>
      </c>
      <c r="P1384" s="7" t="n">
        <v>12.6</v>
      </c>
      <c r="Q1384" s="7"/>
      <c r="R1384" s="7" t="s">
        <v>44</v>
      </c>
      <c r="S1384" s="7"/>
      <c r="T1384" s="7"/>
      <c r="U1384" s="7" t="str">
        <f aca="false">IF(COUNTIF($A$2:$A$5001,A1384)&gt;1,"Duplicate","Unique")</f>
        <v>Unique</v>
      </c>
      <c r="V1384" s="7" t="str">
        <f aca="false">IF(COUNTIFS($B$2:$B$5001,B1384,$H$2:$H$5001,H1384,$J$2:$J$5001,J1384)&gt;1,"Possible Duplicate Booking","Unique")</f>
        <v>Unique</v>
      </c>
      <c r="W1384" s="7" t="str">
        <f aca="false">IF((H1384-G1384)&lt;&gt;K1384,"Mismatch","OK")</f>
        <v>OK</v>
      </c>
      <c r="X1384" s="7" t="str">
        <f aca="false">IF(TEXT(H1384,"dddd")&lt;&gt;I1384,"Mismatch","OK")</f>
        <v>OK</v>
      </c>
      <c r="Y1384" s="7" t="str">
        <f aca="false">IF(AND(N1384="No",O1384&lt;&gt;""),"Unexpected: channel present but no reminder sent",IF(AND(N1384="Yes",O1384=""),"Missing channel for sent reminder","OK"))</f>
        <v>OK</v>
      </c>
    </row>
    <row r="1385" customFormat="false" ht="15" hidden="false" customHeight="false" outlineLevel="0" collapsed="false">
      <c r="A1385" s="9" t="s">
        <v>2422</v>
      </c>
      <c r="B1385" s="9" t="s">
        <v>1573</v>
      </c>
      <c r="C1385" s="9" t="s">
        <v>47</v>
      </c>
      <c r="D1385" s="9" t="n">
        <v>24</v>
      </c>
      <c r="E1385" s="9" t="s">
        <v>82</v>
      </c>
      <c r="F1385" s="9" t="s">
        <v>57</v>
      </c>
      <c r="G1385" s="10" t="n">
        <v>46146</v>
      </c>
      <c r="H1385" s="10" t="n">
        <v>46147</v>
      </c>
      <c r="I1385" s="9" t="s">
        <v>40</v>
      </c>
      <c r="J1385" s="9" t="s">
        <v>51</v>
      </c>
      <c r="K1385" s="9" t="n">
        <v>1</v>
      </c>
      <c r="L1385" s="9" t="n">
        <v>3</v>
      </c>
      <c r="M1385" s="9" t="n">
        <v>0</v>
      </c>
      <c r="N1385" s="9" t="s">
        <v>42</v>
      </c>
      <c r="O1385" s="9" t="s">
        <v>52</v>
      </c>
      <c r="P1385" s="9" t="n">
        <v>15.7</v>
      </c>
      <c r="Q1385" s="9" t="n">
        <v>24</v>
      </c>
      <c r="R1385" s="9" t="s">
        <v>53</v>
      </c>
      <c r="S1385" s="9"/>
      <c r="T1385" s="9"/>
      <c r="U1385" s="9" t="str">
        <f aca="false">IF(COUNTIF($A$2:$A$5001,A1385)&gt;1,"Duplicate","Unique")</f>
        <v>Unique</v>
      </c>
      <c r="V1385" s="9" t="str">
        <f aca="false">IF(COUNTIFS($B$2:$B$5001,B1385,$H$2:$H$5001,H1385,$J$2:$J$5001,J1385)&gt;1,"Possible Duplicate Booking","Unique")</f>
        <v>Unique</v>
      </c>
      <c r="W1385" s="9" t="str">
        <f aca="false">IF((H1385-G1385)&lt;&gt;K1385,"Mismatch","OK")</f>
        <v>OK</v>
      </c>
      <c r="X1385" s="9" t="str">
        <f aca="false">IF(TEXT(H1385,"dddd")&lt;&gt;I1385,"Mismatch","OK")</f>
        <v>OK</v>
      </c>
      <c r="Y1385" s="9" t="str">
        <f aca="false">IF(AND(N1385="No",O1385&lt;&gt;""),"Unexpected: channel present but no reminder sent",IF(AND(N1385="Yes",O1385=""),"Missing channel for sent reminder","OK"))</f>
        <v>OK</v>
      </c>
    </row>
    <row r="1386" customFormat="false" ht="15" hidden="false" customHeight="false" outlineLevel="0" collapsed="false">
      <c r="A1386" s="7" t="s">
        <v>2423</v>
      </c>
      <c r="B1386" s="7" t="s">
        <v>2130</v>
      </c>
      <c r="C1386" s="7" t="s">
        <v>37</v>
      </c>
      <c r="D1386" s="7" t="n">
        <v>33</v>
      </c>
      <c r="E1386" s="7" t="s">
        <v>48</v>
      </c>
      <c r="F1386" s="7" t="s">
        <v>39</v>
      </c>
      <c r="G1386" s="8" t="n">
        <v>45854</v>
      </c>
      <c r="H1386" s="8" t="n">
        <v>45868</v>
      </c>
      <c r="I1386" s="7" t="s">
        <v>58</v>
      </c>
      <c r="J1386" s="7" t="s">
        <v>41</v>
      </c>
      <c r="K1386" s="7" t="n">
        <v>14</v>
      </c>
      <c r="L1386" s="7" t="n">
        <v>4</v>
      </c>
      <c r="M1386" s="7" t="n">
        <v>0</v>
      </c>
      <c r="N1386" s="7" t="s">
        <v>42</v>
      </c>
      <c r="O1386" s="7" t="s">
        <v>52</v>
      </c>
      <c r="P1386" s="7" t="n">
        <v>8.8</v>
      </c>
      <c r="Q1386" s="7" t="n">
        <v>24</v>
      </c>
      <c r="R1386" s="7" t="s">
        <v>53</v>
      </c>
      <c r="S1386" s="7"/>
      <c r="T1386" s="7"/>
      <c r="U1386" s="7" t="str">
        <f aca="false">IF(COUNTIF($A$2:$A$5001,A1386)&gt;1,"Duplicate","Unique")</f>
        <v>Unique</v>
      </c>
      <c r="V1386" s="7" t="str">
        <f aca="false">IF(COUNTIFS($B$2:$B$5001,B1386,$H$2:$H$5001,H1386,$J$2:$J$5001,J1386)&gt;1,"Possible Duplicate Booking","Unique")</f>
        <v>Unique</v>
      </c>
      <c r="W1386" s="7" t="str">
        <f aca="false">IF((H1386-G1386)&lt;&gt;K1386,"Mismatch","OK")</f>
        <v>OK</v>
      </c>
      <c r="X1386" s="7" t="str">
        <f aca="false">IF(TEXT(H1386,"dddd")&lt;&gt;I1386,"Mismatch","OK")</f>
        <v>OK</v>
      </c>
      <c r="Y1386" s="7" t="str">
        <f aca="false">IF(AND(N1386="No",O1386&lt;&gt;""),"Unexpected: channel present but no reminder sent",IF(AND(N1386="Yes",O1386=""),"Missing channel for sent reminder","OK"))</f>
        <v>OK</v>
      </c>
    </row>
    <row r="1387" customFormat="false" ht="15" hidden="false" customHeight="false" outlineLevel="0" collapsed="false">
      <c r="A1387" s="9" t="s">
        <v>2424</v>
      </c>
      <c r="B1387" s="9" t="s">
        <v>276</v>
      </c>
      <c r="C1387" s="9" t="s">
        <v>47</v>
      </c>
      <c r="D1387" s="9" t="n">
        <v>51</v>
      </c>
      <c r="E1387" s="9" t="s">
        <v>56</v>
      </c>
      <c r="F1387" s="9" t="s">
        <v>57</v>
      </c>
      <c r="G1387" s="10" t="n">
        <v>45753</v>
      </c>
      <c r="H1387" s="10" t="n">
        <v>45786</v>
      </c>
      <c r="I1387" s="9" t="s">
        <v>50</v>
      </c>
      <c r="J1387" s="9" t="s">
        <v>41</v>
      </c>
      <c r="K1387" s="9" t="n">
        <v>33</v>
      </c>
      <c r="L1387" s="9" t="n">
        <v>4</v>
      </c>
      <c r="M1387" s="9" t="n">
        <v>1</v>
      </c>
      <c r="N1387" s="9" t="s">
        <v>42</v>
      </c>
      <c r="O1387" s="9" t="s">
        <v>52</v>
      </c>
      <c r="P1387" s="9" t="n">
        <v>9.7</v>
      </c>
      <c r="Q1387" s="9" t="n">
        <v>45</v>
      </c>
      <c r="R1387" s="9" t="s">
        <v>44</v>
      </c>
      <c r="S1387" s="9"/>
      <c r="T1387" s="9"/>
      <c r="U1387" s="9" t="str">
        <f aca="false">IF(COUNTIF($A$2:$A$5001,A1387)&gt;1,"Duplicate","Unique")</f>
        <v>Unique</v>
      </c>
      <c r="V1387" s="9" t="str">
        <f aca="false">IF(COUNTIFS($B$2:$B$5001,B1387,$H$2:$H$5001,H1387,$J$2:$J$5001,J1387)&gt;1,"Possible Duplicate Booking","Unique")</f>
        <v>Unique</v>
      </c>
      <c r="W1387" s="9" t="str">
        <f aca="false">IF((H1387-G1387)&lt;&gt;K1387,"Mismatch","OK")</f>
        <v>OK</v>
      </c>
      <c r="X1387" s="9" t="str">
        <f aca="false">IF(TEXT(H1387,"dddd")&lt;&gt;I1387,"Mismatch","OK")</f>
        <v>OK</v>
      </c>
      <c r="Y1387" s="9" t="str">
        <f aca="false">IF(AND(N1387="No",O1387&lt;&gt;""),"Unexpected: channel present but no reminder sent",IF(AND(N1387="Yes",O1387=""),"Missing channel for sent reminder","OK"))</f>
        <v>OK</v>
      </c>
    </row>
    <row r="1388" customFormat="false" ht="15" hidden="false" customHeight="false" outlineLevel="0" collapsed="false">
      <c r="A1388" s="7" t="s">
        <v>2425</v>
      </c>
      <c r="B1388" s="7" t="s">
        <v>2426</v>
      </c>
      <c r="C1388" s="7" t="s">
        <v>47</v>
      </c>
      <c r="D1388" s="7" t="n">
        <v>52</v>
      </c>
      <c r="E1388" s="7" t="s">
        <v>56</v>
      </c>
      <c r="F1388" s="7" t="s">
        <v>57</v>
      </c>
      <c r="G1388" s="8" t="n">
        <v>45935</v>
      </c>
      <c r="H1388" s="8" t="n">
        <v>45964</v>
      </c>
      <c r="I1388" s="7" t="s">
        <v>66</v>
      </c>
      <c r="J1388" s="7" t="s">
        <v>63</v>
      </c>
      <c r="K1388" s="7" t="n">
        <v>29</v>
      </c>
      <c r="L1388" s="7" t="n">
        <v>1</v>
      </c>
      <c r="M1388" s="7" t="n">
        <v>0</v>
      </c>
      <c r="N1388" s="7" t="s">
        <v>42</v>
      </c>
      <c r="O1388" s="7" t="s">
        <v>67</v>
      </c>
      <c r="P1388" s="7" t="n">
        <v>26.3</v>
      </c>
      <c r="Q1388" s="7" t="n">
        <v>27</v>
      </c>
      <c r="R1388" s="7" t="s">
        <v>87</v>
      </c>
      <c r="S1388" s="7"/>
      <c r="T1388" s="7"/>
      <c r="U1388" s="7" t="str">
        <f aca="false">IF(COUNTIF($A$2:$A$5001,A1388)&gt;1,"Duplicate","Unique")</f>
        <v>Unique</v>
      </c>
      <c r="V1388" s="7" t="str">
        <f aca="false">IF(COUNTIFS($B$2:$B$5001,B1388,$H$2:$H$5001,H1388,$J$2:$J$5001,J1388)&gt;1,"Possible Duplicate Booking","Unique")</f>
        <v>Unique</v>
      </c>
      <c r="W1388" s="7" t="str">
        <f aca="false">IF((H1388-G1388)&lt;&gt;K1388,"Mismatch","OK")</f>
        <v>OK</v>
      </c>
      <c r="X1388" s="7" t="str">
        <f aca="false">IF(TEXT(H1388,"dddd")&lt;&gt;I1388,"Mismatch","OK")</f>
        <v>OK</v>
      </c>
      <c r="Y1388" s="7" t="str">
        <f aca="false">IF(AND(N1388="No",O1388&lt;&gt;""),"Unexpected: channel present but no reminder sent",IF(AND(N1388="Yes",O1388=""),"Missing channel for sent reminder","OK"))</f>
        <v>OK</v>
      </c>
    </row>
    <row r="1389" customFormat="false" ht="15" hidden="false" customHeight="false" outlineLevel="0" collapsed="false">
      <c r="A1389" s="9" t="s">
        <v>2427</v>
      </c>
      <c r="B1389" s="9" t="s">
        <v>909</v>
      </c>
      <c r="C1389" s="9" t="s">
        <v>37</v>
      </c>
      <c r="D1389" s="9" t="n">
        <v>71</v>
      </c>
      <c r="E1389" s="9" t="s">
        <v>70</v>
      </c>
      <c r="F1389" s="9" t="s">
        <v>39</v>
      </c>
      <c r="G1389" s="10" t="n">
        <v>45793</v>
      </c>
      <c r="H1389" s="10" t="n">
        <v>45835</v>
      </c>
      <c r="I1389" s="9" t="s">
        <v>50</v>
      </c>
      <c r="J1389" s="9" t="s">
        <v>63</v>
      </c>
      <c r="K1389" s="9" t="n">
        <v>42</v>
      </c>
      <c r="L1389" s="9" t="n">
        <v>3</v>
      </c>
      <c r="M1389" s="9" t="n">
        <v>0</v>
      </c>
      <c r="N1389" s="9" t="s">
        <v>42</v>
      </c>
      <c r="O1389" s="9" t="s">
        <v>67</v>
      </c>
      <c r="P1389" s="9" t="n">
        <v>5.9</v>
      </c>
      <c r="Q1389" s="9" t="n">
        <v>27</v>
      </c>
      <c r="R1389" s="9" t="s">
        <v>44</v>
      </c>
      <c r="S1389" s="9"/>
      <c r="T1389" s="9"/>
      <c r="U1389" s="9" t="str">
        <f aca="false">IF(COUNTIF($A$2:$A$5001,A1389)&gt;1,"Duplicate","Unique")</f>
        <v>Unique</v>
      </c>
      <c r="V1389" s="9" t="str">
        <f aca="false">IF(COUNTIFS($B$2:$B$5001,B1389,$H$2:$H$5001,H1389,$J$2:$J$5001,J1389)&gt;1,"Possible Duplicate Booking","Unique")</f>
        <v>Unique</v>
      </c>
      <c r="W1389" s="9" t="str">
        <f aca="false">IF((H1389-G1389)&lt;&gt;K1389,"Mismatch","OK")</f>
        <v>OK</v>
      </c>
      <c r="X1389" s="9" t="str">
        <f aca="false">IF(TEXT(H1389,"dddd")&lt;&gt;I1389,"Mismatch","OK")</f>
        <v>OK</v>
      </c>
      <c r="Y1389" s="9" t="str">
        <f aca="false">IF(AND(N1389="No",O1389&lt;&gt;""),"Unexpected: channel present but no reminder sent",IF(AND(N1389="Yes",O1389=""),"Missing channel for sent reminder","OK"))</f>
        <v>OK</v>
      </c>
    </row>
    <row r="1390" customFormat="false" ht="15" hidden="false" customHeight="false" outlineLevel="0" collapsed="false">
      <c r="A1390" s="7" t="s">
        <v>2428</v>
      </c>
      <c r="B1390" s="7" t="s">
        <v>2429</v>
      </c>
      <c r="C1390" s="7" t="s">
        <v>47</v>
      </c>
      <c r="D1390" s="7" t="n">
        <v>28</v>
      </c>
      <c r="E1390" s="7" t="s">
        <v>48</v>
      </c>
      <c r="F1390" s="7" t="s">
        <v>49</v>
      </c>
      <c r="G1390" s="8" t="n">
        <v>46131</v>
      </c>
      <c r="H1390" s="8" t="n">
        <v>46144</v>
      </c>
      <c r="I1390" s="7" t="s">
        <v>102</v>
      </c>
      <c r="J1390" s="7" t="s">
        <v>41</v>
      </c>
      <c r="K1390" s="7" t="n">
        <v>13</v>
      </c>
      <c r="L1390" s="7" t="n">
        <v>2</v>
      </c>
      <c r="M1390" s="7" t="n">
        <v>0</v>
      </c>
      <c r="N1390" s="7" t="s">
        <v>42</v>
      </c>
      <c r="O1390" s="7" t="s">
        <v>52</v>
      </c>
      <c r="P1390" s="7" t="n">
        <v>2.7</v>
      </c>
      <c r="Q1390" s="7" t="n">
        <v>2</v>
      </c>
      <c r="R1390" s="7" t="s">
        <v>53</v>
      </c>
      <c r="S1390" s="7"/>
      <c r="T1390" s="7"/>
      <c r="U1390" s="7" t="str">
        <f aca="false">IF(COUNTIF($A$2:$A$5001,A1390)&gt;1,"Duplicate","Unique")</f>
        <v>Unique</v>
      </c>
      <c r="V1390" s="7" t="str">
        <f aca="false">IF(COUNTIFS($B$2:$B$5001,B1390,$H$2:$H$5001,H1390,$J$2:$J$5001,J1390)&gt;1,"Possible Duplicate Booking","Unique")</f>
        <v>Unique</v>
      </c>
      <c r="W1390" s="7" t="str">
        <f aca="false">IF((H1390-G1390)&lt;&gt;K1390,"Mismatch","OK")</f>
        <v>OK</v>
      </c>
      <c r="X1390" s="7" t="str">
        <f aca="false">IF(TEXT(H1390,"dddd")&lt;&gt;I1390,"Mismatch","OK")</f>
        <v>OK</v>
      </c>
      <c r="Y1390" s="7" t="str">
        <f aca="false">IF(AND(N1390="No",O1390&lt;&gt;""),"Unexpected: channel present but no reminder sent",IF(AND(N1390="Yes",O1390=""),"Missing channel for sent reminder","OK"))</f>
        <v>OK</v>
      </c>
    </row>
    <row r="1391" customFormat="false" ht="15" hidden="false" customHeight="false" outlineLevel="0" collapsed="false">
      <c r="A1391" s="9" t="s">
        <v>2430</v>
      </c>
      <c r="B1391" s="9" t="s">
        <v>2431</v>
      </c>
      <c r="C1391" s="9" t="s">
        <v>47</v>
      </c>
      <c r="D1391" s="9" t="n">
        <v>65</v>
      </c>
      <c r="E1391" s="9" t="s">
        <v>70</v>
      </c>
      <c r="F1391" s="9" t="s">
        <v>57</v>
      </c>
      <c r="G1391" s="10" t="n">
        <v>46115</v>
      </c>
      <c r="H1391" s="10" t="n">
        <v>46154</v>
      </c>
      <c r="I1391" s="9" t="s">
        <v>40</v>
      </c>
      <c r="J1391" s="9" t="s">
        <v>51</v>
      </c>
      <c r="K1391" s="9" t="n">
        <v>39</v>
      </c>
      <c r="L1391" s="9" t="n">
        <v>1</v>
      </c>
      <c r="M1391" s="9" t="n">
        <v>0</v>
      </c>
      <c r="N1391" s="9" t="s">
        <v>42</v>
      </c>
      <c r="O1391" s="9" t="s">
        <v>67</v>
      </c>
      <c r="P1391" s="9" t="n">
        <v>9.7</v>
      </c>
      <c r="Q1391" s="9" t="n">
        <v>36</v>
      </c>
      <c r="R1391" s="9" t="s">
        <v>44</v>
      </c>
      <c r="S1391" s="9"/>
      <c r="T1391" s="9"/>
      <c r="U1391" s="9" t="str">
        <f aca="false">IF(COUNTIF($A$2:$A$5001,A1391)&gt;1,"Duplicate","Unique")</f>
        <v>Unique</v>
      </c>
      <c r="V1391" s="9" t="str">
        <f aca="false">IF(COUNTIFS($B$2:$B$5001,B1391,$H$2:$H$5001,H1391,$J$2:$J$5001,J1391)&gt;1,"Possible Duplicate Booking","Unique")</f>
        <v>Unique</v>
      </c>
      <c r="W1391" s="9" t="str">
        <f aca="false">IF((H1391-G1391)&lt;&gt;K1391,"Mismatch","OK")</f>
        <v>OK</v>
      </c>
      <c r="X1391" s="9" t="str">
        <f aca="false">IF(TEXT(H1391,"dddd")&lt;&gt;I1391,"Mismatch","OK")</f>
        <v>OK</v>
      </c>
      <c r="Y1391" s="9" t="str">
        <f aca="false">IF(AND(N1391="No",O1391&lt;&gt;""),"Unexpected: channel present but no reminder sent",IF(AND(N1391="Yes",O1391=""),"Missing channel for sent reminder","OK"))</f>
        <v>OK</v>
      </c>
    </row>
    <row r="1392" customFormat="false" ht="15" hidden="false" customHeight="false" outlineLevel="0" collapsed="false">
      <c r="A1392" s="7" t="s">
        <v>2432</v>
      </c>
      <c r="B1392" s="7" t="s">
        <v>2433</v>
      </c>
      <c r="C1392" s="7" t="s">
        <v>37</v>
      </c>
      <c r="D1392" s="7" t="n">
        <v>18</v>
      </c>
      <c r="E1392" s="7" t="s">
        <v>82</v>
      </c>
      <c r="F1392" s="7" t="s">
        <v>49</v>
      </c>
      <c r="G1392" s="8" t="n">
        <v>45779</v>
      </c>
      <c r="H1392" s="8" t="n">
        <v>45825</v>
      </c>
      <c r="I1392" s="7" t="s">
        <v>40</v>
      </c>
      <c r="J1392" s="7" t="s">
        <v>63</v>
      </c>
      <c r="K1392" s="7" t="n">
        <v>46</v>
      </c>
      <c r="L1392" s="7" t="n">
        <v>3</v>
      </c>
      <c r="M1392" s="7" t="n">
        <v>0</v>
      </c>
      <c r="N1392" s="7" t="s">
        <v>42</v>
      </c>
      <c r="O1392" s="7" t="s">
        <v>43</v>
      </c>
      <c r="P1392" s="7" t="n">
        <v>9.6</v>
      </c>
      <c r="Q1392" s="7" t="n">
        <v>32</v>
      </c>
      <c r="R1392" s="7" t="s">
        <v>53</v>
      </c>
      <c r="S1392" s="7"/>
      <c r="T1392" s="7"/>
      <c r="U1392" s="7" t="str">
        <f aca="false">IF(COUNTIF($A$2:$A$5001,A1392)&gt;1,"Duplicate","Unique")</f>
        <v>Unique</v>
      </c>
      <c r="V1392" s="7" t="str">
        <f aca="false">IF(COUNTIFS($B$2:$B$5001,B1392,$H$2:$H$5001,H1392,$J$2:$J$5001,J1392)&gt;1,"Possible Duplicate Booking","Unique")</f>
        <v>Unique</v>
      </c>
      <c r="W1392" s="7" t="str">
        <f aca="false">IF((H1392-G1392)&lt;&gt;K1392,"Mismatch","OK")</f>
        <v>OK</v>
      </c>
      <c r="X1392" s="7" t="str">
        <f aca="false">IF(TEXT(H1392,"dddd")&lt;&gt;I1392,"Mismatch","OK")</f>
        <v>OK</v>
      </c>
      <c r="Y1392" s="7" t="str">
        <f aca="false">IF(AND(N1392="No",O1392&lt;&gt;""),"Unexpected: channel present but no reminder sent",IF(AND(N1392="Yes",O1392=""),"Missing channel for sent reminder","OK"))</f>
        <v>OK</v>
      </c>
    </row>
    <row r="1393" customFormat="false" ht="15" hidden="false" customHeight="false" outlineLevel="0" collapsed="false">
      <c r="A1393" s="9" t="s">
        <v>2434</v>
      </c>
      <c r="B1393" s="9" t="s">
        <v>290</v>
      </c>
      <c r="C1393" s="9" t="s">
        <v>47</v>
      </c>
      <c r="D1393" s="9" t="n">
        <v>36</v>
      </c>
      <c r="E1393" s="9" t="s">
        <v>38</v>
      </c>
      <c r="F1393" s="9" t="s">
        <v>49</v>
      </c>
      <c r="G1393" s="10" t="n">
        <v>45924</v>
      </c>
      <c r="H1393" s="10" t="n">
        <v>45947</v>
      </c>
      <c r="I1393" s="9" t="s">
        <v>50</v>
      </c>
      <c r="J1393" s="9" t="s">
        <v>63</v>
      </c>
      <c r="K1393" s="9" t="n">
        <v>23</v>
      </c>
      <c r="L1393" s="9" t="n">
        <v>1</v>
      </c>
      <c r="M1393" s="9" t="n">
        <v>0</v>
      </c>
      <c r="N1393" s="9" t="s">
        <v>42</v>
      </c>
      <c r="O1393" s="9" t="s">
        <v>52</v>
      </c>
      <c r="P1393" s="9" t="n">
        <v>3.5</v>
      </c>
      <c r="Q1393" s="9" t="n">
        <v>31</v>
      </c>
      <c r="R1393" s="9" t="s">
        <v>53</v>
      </c>
      <c r="S1393" s="9"/>
      <c r="T1393" s="9"/>
      <c r="U1393" s="9" t="str">
        <f aca="false">IF(COUNTIF($A$2:$A$5001,A1393)&gt;1,"Duplicate","Unique")</f>
        <v>Unique</v>
      </c>
      <c r="V1393" s="9" t="str">
        <f aca="false">IF(COUNTIFS($B$2:$B$5001,B1393,$H$2:$H$5001,H1393,$J$2:$J$5001,J1393)&gt;1,"Possible Duplicate Booking","Unique")</f>
        <v>Unique</v>
      </c>
      <c r="W1393" s="9" t="str">
        <f aca="false">IF((H1393-G1393)&lt;&gt;K1393,"Mismatch","OK")</f>
        <v>OK</v>
      </c>
      <c r="X1393" s="9" t="str">
        <f aca="false">IF(TEXT(H1393,"dddd")&lt;&gt;I1393,"Mismatch","OK")</f>
        <v>OK</v>
      </c>
      <c r="Y1393" s="9" t="str">
        <f aca="false">IF(AND(N1393="No",O1393&lt;&gt;""),"Unexpected: channel present but no reminder sent",IF(AND(N1393="Yes",O1393=""),"Missing channel for sent reminder","OK"))</f>
        <v>OK</v>
      </c>
    </row>
    <row r="1394" customFormat="false" ht="15" hidden="false" customHeight="false" outlineLevel="0" collapsed="false">
      <c r="A1394" s="7" t="s">
        <v>2435</v>
      </c>
      <c r="B1394" s="7" t="s">
        <v>611</v>
      </c>
      <c r="C1394" s="7" t="s">
        <v>47</v>
      </c>
      <c r="D1394" s="7" t="n">
        <v>29</v>
      </c>
      <c r="E1394" s="7" t="s">
        <v>48</v>
      </c>
      <c r="F1394" s="7" t="s">
        <v>49</v>
      </c>
      <c r="G1394" s="8" t="n">
        <v>46180</v>
      </c>
      <c r="H1394" s="8" t="n">
        <v>46195</v>
      </c>
      <c r="I1394" s="7" t="s">
        <v>66</v>
      </c>
      <c r="J1394" s="7" t="s">
        <v>63</v>
      </c>
      <c r="K1394" s="7" t="n">
        <v>15</v>
      </c>
      <c r="L1394" s="7" t="n">
        <v>5</v>
      </c>
      <c r="M1394" s="7" t="n">
        <v>2</v>
      </c>
      <c r="N1394" s="7" t="s">
        <v>42</v>
      </c>
      <c r="O1394" s="7" t="s">
        <v>43</v>
      </c>
      <c r="P1394" s="7" t="n">
        <v>9.2</v>
      </c>
      <c r="Q1394" s="7" t="n">
        <v>32</v>
      </c>
      <c r="R1394" s="7" t="s">
        <v>53</v>
      </c>
      <c r="S1394" s="7"/>
      <c r="T1394" s="7"/>
      <c r="U1394" s="7" t="str">
        <f aca="false">IF(COUNTIF($A$2:$A$5001,A1394)&gt;1,"Duplicate","Unique")</f>
        <v>Unique</v>
      </c>
      <c r="V1394" s="7" t="str">
        <f aca="false">IF(COUNTIFS($B$2:$B$5001,B1394,$H$2:$H$5001,H1394,$J$2:$J$5001,J1394)&gt;1,"Possible Duplicate Booking","Unique")</f>
        <v>Unique</v>
      </c>
      <c r="W1394" s="7" t="str">
        <f aca="false">IF((H1394-G1394)&lt;&gt;K1394,"Mismatch","OK")</f>
        <v>OK</v>
      </c>
      <c r="X1394" s="7" t="str">
        <f aca="false">IF(TEXT(H1394,"dddd")&lt;&gt;I1394,"Mismatch","OK")</f>
        <v>OK</v>
      </c>
      <c r="Y1394" s="7" t="str">
        <f aca="false">IF(AND(N1394="No",O1394&lt;&gt;""),"Unexpected: channel present but no reminder sent",IF(AND(N1394="Yes",O1394=""),"Missing channel for sent reminder","OK"))</f>
        <v>OK</v>
      </c>
    </row>
    <row r="1395" customFormat="false" ht="15" hidden="false" customHeight="false" outlineLevel="0" collapsed="false">
      <c r="A1395" s="9" t="s">
        <v>2436</v>
      </c>
      <c r="B1395" s="9" t="s">
        <v>1345</v>
      </c>
      <c r="C1395" s="9" t="s">
        <v>37</v>
      </c>
      <c r="D1395" s="9" t="n">
        <v>25</v>
      </c>
      <c r="E1395" s="9" t="s">
        <v>48</v>
      </c>
      <c r="F1395" s="9" t="s">
        <v>57</v>
      </c>
      <c r="G1395" s="10" t="n">
        <v>46030</v>
      </c>
      <c r="H1395" s="10" t="n">
        <v>46063</v>
      </c>
      <c r="I1395" s="9" t="s">
        <v>40</v>
      </c>
      <c r="J1395" s="9" t="s">
        <v>41</v>
      </c>
      <c r="K1395" s="9" t="n">
        <v>33</v>
      </c>
      <c r="L1395" s="9" t="n">
        <v>4</v>
      </c>
      <c r="M1395" s="9" t="n">
        <v>1</v>
      </c>
      <c r="N1395" s="9" t="s">
        <v>42</v>
      </c>
      <c r="O1395" s="9" t="s">
        <v>43</v>
      </c>
      <c r="P1395" s="9" t="n">
        <v>2.8</v>
      </c>
      <c r="Q1395" s="9" t="n">
        <v>15</v>
      </c>
      <c r="R1395" s="9" t="s">
        <v>44</v>
      </c>
      <c r="S1395" s="9"/>
      <c r="T1395" s="9"/>
      <c r="U1395" s="9" t="str">
        <f aca="false">IF(COUNTIF($A$2:$A$5001,A1395)&gt;1,"Duplicate","Unique")</f>
        <v>Unique</v>
      </c>
      <c r="V1395" s="9" t="str">
        <f aca="false">IF(COUNTIFS($B$2:$B$5001,B1395,$H$2:$H$5001,H1395,$J$2:$J$5001,J1395)&gt;1,"Possible Duplicate Booking","Unique")</f>
        <v>Unique</v>
      </c>
      <c r="W1395" s="9" t="str">
        <f aca="false">IF((H1395-G1395)&lt;&gt;K1395,"Mismatch","OK")</f>
        <v>OK</v>
      </c>
      <c r="X1395" s="9" t="str">
        <f aca="false">IF(TEXT(H1395,"dddd")&lt;&gt;I1395,"Mismatch","OK")</f>
        <v>OK</v>
      </c>
      <c r="Y1395" s="9" t="str">
        <f aca="false">IF(AND(N1395="No",O1395&lt;&gt;""),"Unexpected: channel present but no reminder sent",IF(AND(N1395="Yes",O1395=""),"Missing channel for sent reminder","OK"))</f>
        <v>OK</v>
      </c>
    </row>
    <row r="1396" customFormat="false" ht="15" hidden="false" customHeight="false" outlineLevel="0" collapsed="false">
      <c r="A1396" s="7" t="s">
        <v>2437</v>
      </c>
      <c r="B1396" s="7" t="s">
        <v>624</v>
      </c>
      <c r="C1396" s="7" t="s">
        <v>47</v>
      </c>
      <c r="D1396" s="7" t="n">
        <v>54</v>
      </c>
      <c r="E1396" s="7" t="s">
        <v>56</v>
      </c>
      <c r="F1396" s="7" t="s">
        <v>57</v>
      </c>
      <c r="G1396" s="8" t="n">
        <v>45740</v>
      </c>
      <c r="H1396" s="8" t="n">
        <v>45775</v>
      </c>
      <c r="I1396" s="7" t="s">
        <v>66</v>
      </c>
      <c r="J1396" s="7" t="s">
        <v>51</v>
      </c>
      <c r="K1396" s="7" t="n">
        <v>35</v>
      </c>
      <c r="L1396" s="7" t="n">
        <v>3</v>
      </c>
      <c r="M1396" s="7" t="n">
        <v>0</v>
      </c>
      <c r="N1396" s="7" t="s">
        <v>42</v>
      </c>
      <c r="O1396" s="7" t="s">
        <v>43</v>
      </c>
      <c r="P1396" s="7" t="n">
        <v>5.6</v>
      </c>
      <c r="Q1396" s="7" t="n">
        <v>22</v>
      </c>
      <c r="R1396" s="7" t="s">
        <v>44</v>
      </c>
      <c r="S1396" s="7"/>
      <c r="T1396" s="7"/>
      <c r="U1396" s="7" t="str">
        <f aca="false">IF(COUNTIF($A$2:$A$5001,A1396)&gt;1,"Duplicate","Unique")</f>
        <v>Unique</v>
      </c>
      <c r="V1396" s="7" t="str">
        <f aca="false">IF(COUNTIFS($B$2:$B$5001,B1396,$H$2:$H$5001,H1396,$J$2:$J$5001,J1396)&gt;1,"Possible Duplicate Booking","Unique")</f>
        <v>Unique</v>
      </c>
      <c r="W1396" s="7" t="str">
        <f aca="false">IF((H1396-G1396)&lt;&gt;K1396,"Mismatch","OK")</f>
        <v>OK</v>
      </c>
      <c r="X1396" s="7" t="str">
        <f aca="false">IF(TEXT(H1396,"dddd")&lt;&gt;I1396,"Mismatch","OK")</f>
        <v>OK</v>
      </c>
      <c r="Y1396" s="7" t="str">
        <f aca="false">IF(AND(N1396="No",O1396&lt;&gt;""),"Unexpected: channel present but no reminder sent",IF(AND(N1396="Yes",O1396=""),"Missing channel for sent reminder","OK"))</f>
        <v>OK</v>
      </c>
    </row>
    <row r="1397" customFormat="false" ht="15" hidden="false" customHeight="false" outlineLevel="0" collapsed="false">
      <c r="A1397" s="9" t="s">
        <v>2438</v>
      </c>
      <c r="B1397" s="9" t="s">
        <v>1024</v>
      </c>
      <c r="C1397" s="9" t="s">
        <v>37</v>
      </c>
      <c r="D1397" s="9" t="n">
        <v>74</v>
      </c>
      <c r="E1397" s="9" t="s">
        <v>70</v>
      </c>
      <c r="F1397" s="9" t="s">
        <v>57</v>
      </c>
      <c r="G1397" s="10" t="n">
        <v>45975</v>
      </c>
      <c r="H1397" s="10" t="n">
        <v>45980</v>
      </c>
      <c r="I1397" s="9" t="s">
        <v>58</v>
      </c>
      <c r="J1397" s="9" t="s">
        <v>41</v>
      </c>
      <c r="K1397" s="9" t="n">
        <v>5</v>
      </c>
      <c r="L1397" s="9" t="n">
        <v>5</v>
      </c>
      <c r="M1397" s="9" t="n">
        <v>2</v>
      </c>
      <c r="N1397" s="9" t="s">
        <v>71</v>
      </c>
      <c r="O1397" s="9"/>
      <c r="P1397" s="9" t="n">
        <v>11.8</v>
      </c>
      <c r="Q1397" s="9" t="n">
        <v>45</v>
      </c>
      <c r="R1397" s="9" t="s">
        <v>44</v>
      </c>
      <c r="S1397" s="9"/>
      <c r="T1397" s="9"/>
      <c r="U1397" s="9" t="str">
        <f aca="false">IF(COUNTIF($A$2:$A$5001,A1397)&gt;1,"Duplicate","Unique")</f>
        <v>Unique</v>
      </c>
      <c r="V1397" s="9" t="str">
        <f aca="false">IF(COUNTIFS($B$2:$B$5001,B1397,$H$2:$H$5001,H1397,$J$2:$J$5001,J1397)&gt;1,"Possible Duplicate Booking","Unique")</f>
        <v>Unique</v>
      </c>
      <c r="W1397" s="9" t="str">
        <f aca="false">IF((H1397-G1397)&lt;&gt;K1397,"Mismatch","OK")</f>
        <v>OK</v>
      </c>
      <c r="X1397" s="9" t="str">
        <f aca="false">IF(TEXT(H1397,"dddd")&lt;&gt;I1397,"Mismatch","OK")</f>
        <v>OK</v>
      </c>
      <c r="Y1397" s="9" t="str">
        <f aca="false">IF(AND(N1397="No",O1397&lt;&gt;""),"Unexpected: channel present but no reminder sent",IF(AND(N1397="Yes",O1397=""),"Missing channel for sent reminder","OK"))</f>
        <v>OK</v>
      </c>
    </row>
    <row r="1398" customFormat="false" ht="15" hidden="false" customHeight="false" outlineLevel="0" collapsed="false">
      <c r="A1398" s="7" t="s">
        <v>2439</v>
      </c>
      <c r="B1398" s="7" t="s">
        <v>2440</v>
      </c>
      <c r="C1398" s="7" t="s">
        <v>47</v>
      </c>
      <c r="D1398" s="7" t="n">
        <v>60</v>
      </c>
      <c r="E1398" s="7" t="s">
        <v>61</v>
      </c>
      <c r="F1398" s="7" t="s">
        <v>57</v>
      </c>
      <c r="G1398" s="8" t="n">
        <v>45962</v>
      </c>
      <c r="H1398" s="8" t="n">
        <v>45996</v>
      </c>
      <c r="I1398" s="7" t="s">
        <v>50</v>
      </c>
      <c r="J1398" s="7" t="s">
        <v>51</v>
      </c>
      <c r="K1398" s="7" t="n">
        <v>34</v>
      </c>
      <c r="L1398" s="7" t="n">
        <v>4</v>
      </c>
      <c r="M1398" s="7" t="n">
        <v>2</v>
      </c>
      <c r="N1398" s="7" t="s">
        <v>71</v>
      </c>
      <c r="O1398" s="7"/>
      <c r="P1398" s="7" t="n">
        <v>2.9</v>
      </c>
      <c r="Q1398" s="7" t="n">
        <v>10</v>
      </c>
      <c r="R1398" s="7" t="s">
        <v>44</v>
      </c>
      <c r="S1398" s="7"/>
      <c r="T1398" s="7"/>
      <c r="U1398" s="7" t="str">
        <f aca="false">IF(COUNTIF($A$2:$A$5001,A1398)&gt;1,"Duplicate","Unique")</f>
        <v>Unique</v>
      </c>
      <c r="V1398" s="7" t="str">
        <f aca="false">IF(COUNTIFS($B$2:$B$5001,B1398,$H$2:$H$5001,H1398,$J$2:$J$5001,J1398)&gt;1,"Possible Duplicate Booking","Unique")</f>
        <v>Unique</v>
      </c>
      <c r="W1398" s="7" t="str">
        <f aca="false">IF((H1398-G1398)&lt;&gt;K1398,"Mismatch","OK")</f>
        <v>OK</v>
      </c>
      <c r="X1398" s="7" t="str">
        <f aca="false">IF(TEXT(H1398,"dddd")&lt;&gt;I1398,"Mismatch","OK")</f>
        <v>OK</v>
      </c>
      <c r="Y1398" s="7" t="str">
        <f aca="false">IF(AND(N1398="No",O1398&lt;&gt;""),"Unexpected: channel present but no reminder sent",IF(AND(N1398="Yes",O1398=""),"Missing channel for sent reminder","OK"))</f>
        <v>OK</v>
      </c>
    </row>
    <row r="1399" customFormat="false" ht="15" hidden="false" customHeight="false" outlineLevel="0" collapsed="false">
      <c r="A1399" s="9" t="s">
        <v>2441</v>
      </c>
      <c r="B1399" s="9" t="s">
        <v>757</v>
      </c>
      <c r="C1399" s="9" t="s">
        <v>47</v>
      </c>
      <c r="D1399" s="9" t="n">
        <v>71</v>
      </c>
      <c r="E1399" s="9" t="s">
        <v>70</v>
      </c>
      <c r="F1399" s="9" t="s">
        <v>57</v>
      </c>
      <c r="G1399" s="10" t="n">
        <v>46005</v>
      </c>
      <c r="H1399" s="10" t="n">
        <v>46014</v>
      </c>
      <c r="I1399" s="9" t="s">
        <v>40</v>
      </c>
      <c r="J1399" s="9" t="s">
        <v>51</v>
      </c>
      <c r="K1399" s="9" t="n">
        <v>9</v>
      </c>
      <c r="L1399" s="9" t="n">
        <v>3</v>
      </c>
      <c r="M1399" s="9" t="n">
        <v>0</v>
      </c>
      <c r="N1399" s="9" t="s">
        <v>42</v>
      </c>
      <c r="O1399" s="9" t="s">
        <v>43</v>
      </c>
      <c r="P1399" s="9" t="n">
        <v>7.5</v>
      </c>
      <c r="Q1399" s="9" t="n">
        <v>10</v>
      </c>
      <c r="R1399" s="9" t="s">
        <v>44</v>
      </c>
      <c r="S1399" s="9"/>
      <c r="T1399" s="9"/>
      <c r="U1399" s="9" t="str">
        <f aca="false">IF(COUNTIF($A$2:$A$5001,A1399)&gt;1,"Duplicate","Unique")</f>
        <v>Unique</v>
      </c>
      <c r="V1399" s="9" t="str">
        <f aca="false">IF(COUNTIFS($B$2:$B$5001,B1399,$H$2:$H$5001,H1399,$J$2:$J$5001,J1399)&gt;1,"Possible Duplicate Booking","Unique")</f>
        <v>Unique</v>
      </c>
      <c r="W1399" s="9" t="str">
        <f aca="false">IF((H1399-G1399)&lt;&gt;K1399,"Mismatch","OK")</f>
        <v>OK</v>
      </c>
      <c r="X1399" s="9" t="str">
        <f aca="false">IF(TEXT(H1399,"dddd")&lt;&gt;I1399,"Mismatch","OK")</f>
        <v>OK</v>
      </c>
      <c r="Y1399" s="9" t="str">
        <f aca="false">IF(AND(N1399="No",O1399&lt;&gt;""),"Unexpected: channel present but no reminder sent",IF(AND(N1399="Yes",O1399=""),"Missing channel for sent reminder","OK"))</f>
        <v>OK</v>
      </c>
    </row>
    <row r="1400" customFormat="false" ht="15" hidden="false" customHeight="false" outlineLevel="0" collapsed="false">
      <c r="A1400" s="7" t="s">
        <v>2442</v>
      </c>
      <c r="B1400" s="7" t="s">
        <v>1930</v>
      </c>
      <c r="C1400" s="7" t="s">
        <v>236</v>
      </c>
      <c r="D1400" s="7" t="n">
        <v>55</v>
      </c>
      <c r="E1400" s="7" t="s">
        <v>61</v>
      </c>
      <c r="F1400" s="7" t="s">
        <v>57</v>
      </c>
      <c r="G1400" s="8" t="n">
        <v>45637</v>
      </c>
      <c r="H1400" s="8" t="n">
        <v>45671</v>
      </c>
      <c r="I1400" s="7" t="s">
        <v>40</v>
      </c>
      <c r="J1400" s="7" t="s">
        <v>51</v>
      </c>
      <c r="K1400" s="7" t="n">
        <v>34</v>
      </c>
      <c r="L1400" s="7" t="n">
        <v>3</v>
      </c>
      <c r="M1400" s="7" t="n">
        <v>0</v>
      </c>
      <c r="N1400" s="7" t="s">
        <v>42</v>
      </c>
      <c r="O1400" s="7" t="s">
        <v>52</v>
      </c>
      <c r="P1400" s="7" t="n">
        <v>1.4</v>
      </c>
      <c r="Q1400" s="7" t="n">
        <v>9</v>
      </c>
      <c r="R1400" s="7" t="s">
        <v>44</v>
      </c>
      <c r="S1400" s="7"/>
      <c r="T1400" s="7"/>
      <c r="U1400" s="7" t="str">
        <f aca="false">IF(COUNTIF($A$2:$A$5001,A1400)&gt;1,"Duplicate","Unique")</f>
        <v>Unique</v>
      </c>
      <c r="V1400" s="7" t="str">
        <f aca="false">IF(COUNTIFS($B$2:$B$5001,B1400,$H$2:$H$5001,H1400,$J$2:$J$5001,J1400)&gt;1,"Possible Duplicate Booking","Unique")</f>
        <v>Unique</v>
      </c>
      <c r="W1400" s="7" t="str">
        <f aca="false">IF((H1400-G1400)&lt;&gt;K1400,"Mismatch","OK")</f>
        <v>OK</v>
      </c>
      <c r="X1400" s="7" t="str">
        <f aca="false">IF(TEXT(H1400,"dddd")&lt;&gt;I1400,"Mismatch","OK")</f>
        <v>OK</v>
      </c>
      <c r="Y1400" s="7" t="str">
        <f aca="false">IF(AND(N1400="No",O1400&lt;&gt;""),"Unexpected: channel present but no reminder sent",IF(AND(N1400="Yes",O1400=""),"Missing channel for sent reminder","OK"))</f>
        <v>OK</v>
      </c>
    </row>
    <row r="1401" customFormat="false" ht="15" hidden="false" customHeight="false" outlineLevel="0" collapsed="false">
      <c r="A1401" s="9" t="s">
        <v>2443</v>
      </c>
      <c r="B1401" s="9" t="s">
        <v>2444</v>
      </c>
      <c r="C1401" s="9" t="s">
        <v>47</v>
      </c>
      <c r="D1401" s="9" t="n">
        <v>21</v>
      </c>
      <c r="E1401" s="9" t="s">
        <v>82</v>
      </c>
      <c r="F1401" s="9" t="s">
        <v>57</v>
      </c>
      <c r="G1401" s="10" t="n">
        <v>45765</v>
      </c>
      <c r="H1401" s="10" t="n">
        <v>45821</v>
      </c>
      <c r="I1401" s="9" t="s">
        <v>50</v>
      </c>
      <c r="J1401" s="9" t="s">
        <v>41</v>
      </c>
      <c r="K1401" s="9" t="n">
        <v>56</v>
      </c>
      <c r="L1401" s="9" t="n">
        <v>6</v>
      </c>
      <c r="M1401" s="9" t="n">
        <v>0</v>
      </c>
      <c r="N1401" s="9" t="s">
        <v>71</v>
      </c>
      <c r="O1401" s="9"/>
      <c r="P1401" s="9" t="n">
        <v>6</v>
      </c>
      <c r="Q1401" s="9" t="n">
        <v>23</v>
      </c>
      <c r="R1401" s="9" t="s">
        <v>44</v>
      </c>
      <c r="S1401" s="9"/>
      <c r="T1401" s="9"/>
      <c r="U1401" s="9" t="str">
        <f aca="false">IF(COUNTIF($A$2:$A$5001,A1401)&gt;1,"Duplicate","Unique")</f>
        <v>Unique</v>
      </c>
      <c r="V1401" s="9" t="str">
        <f aca="false">IF(COUNTIFS($B$2:$B$5001,B1401,$H$2:$H$5001,H1401,$J$2:$J$5001,J1401)&gt;1,"Possible Duplicate Booking","Unique")</f>
        <v>Unique</v>
      </c>
      <c r="W1401" s="9" t="str">
        <f aca="false">IF((H1401-G1401)&lt;&gt;K1401,"Mismatch","OK")</f>
        <v>OK</v>
      </c>
      <c r="X1401" s="9" t="str">
        <f aca="false">IF(TEXT(H1401,"dddd")&lt;&gt;I1401,"Mismatch","OK")</f>
        <v>OK</v>
      </c>
      <c r="Y1401" s="9" t="str">
        <f aca="false">IF(AND(N1401="No",O1401&lt;&gt;""),"Unexpected: channel present but no reminder sent",IF(AND(N1401="Yes",O1401=""),"Missing channel for sent reminder","OK"))</f>
        <v>OK</v>
      </c>
    </row>
    <row r="1402" customFormat="false" ht="15" hidden="false" customHeight="false" outlineLevel="0" collapsed="false">
      <c r="A1402" s="7" t="s">
        <v>2445</v>
      </c>
      <c r="B1402" s="7" t="s">
        <v>2446</v>
      </c>
      <c r="C1402" s="7" t="s">
        <v>47</v>
      </c>
      <c r="D1402" s="7" t="n">
        <v>39</v>
      </c>
      <c r="E1402" s="7" t="s">
        <v>38</v>
      </c>
      <c r="F1402" s="7" t="s">
        <v>57</v>
      </c>
      <c r="G1402" s="8" t="n">
        <v>46092</v>
      </c>
      <c r="H1402" s="8" t="n">
        <v>46124</v>
      </c>
      <c r="I1402" s="7" t="s">
        <v>75</v>
      </c>
      <c r="J1402" s="7" t="s">
        <v>51</v>
      </c>
      <c r="K1402" s="7" t="n">
        <v>32</v>
      </c>
      <c r="L1402" s="7" t="n">
        <v>1</v>
      </c>
      <c r="M1402" s="7" t="n">
        <v>0</v>
      </c>
      <c r="N1402" s="7" t="s">
        <v>42</v>
      </c>
      <c r="O1402" s="7" t="s">
        <v>52</v>
      </c>
      <c r="P1402" s="7" t="n">
        <v>18.5</v>
      </c>
      <c r="Q1402" s="7" t="n">
        <v>43</v>
      </c>
      <c r="R1402" s="7" t="s">
        <v>53</v>
      </c>
      <c r="S1402" s="7"/>
      <c r="T1402" s="7"/>
      <c r="U1402" s="7" t="str">
        <f aca="false">IF(COUNTIF($A$2:$A$5001,A1402)&gt;1,"Duplicate","Unique")</f>
        <v>Unique</v>
      </c>
      <c r="V1402" s="7" t="str">
        <f aca="false">IF(COUNTIFS($B$2:$B$5001,B1402,$H$2:$H$5001,H1402,$J$2:$J$5001,J1402)&gt;1,"Possible Duplicate Booking","Unique")</f>
        <v>Unique</v>
      </c>
      <c r="W1402" s="7" t="str">
        <f aca="false">IF((H1402-G1402)&lt;&gt;K1402,"Mismatch","OK")</f>
        <v>OK</v>
      </c>
      <c r="X1402" s="7" t="str">
        <f aca="false">IF(TEXT(H1402,"dddd")&lt;&gt;I1402,"Mismatch","OK")</f>
        <v>OK</v>
      </c>
      <c r="Y1402" s="7" t="str">
        <f aca="false">IF(AND(N1402="No",O1402&lt;&gt;""),"Unexpected: channel present but no reminder sent",IF(AND(N1402="Yes",O1402=""),"Missing channel for sent reminder","OK"))</f>
        <v>OK</v>
      </c>
    </row>
    <row r="1403" customFormat="false" ht="15" hidden="false" customHeight="false" outlineLevel="0" collapsed="false">
      <c r="A1403" s="9" t="s">
        <v>2447</v>
      </c>
      <c r="B1403" s="9" t="s">
        <v>2448</v>
      </c>
      <c r="C1403" s="9" t="s">
        <v>37</v>
      </c>
      <c r="D1403" s="9" t="n">
        <v>69</v>
      </c>
      <c r="E1403" s="9" t="s">
        <v>70</v>
      </c>
      <c r="F1403" s="9" t="s">
        <v>74</v>
      </c>
      <c r="G1403" s="10" t="n">
        <v>45743</v>
      </c>
      <c r="H1403" s="10" t="n">
        <v>45789</v>
      </c>
      <c r="I1403" s="9" t="s">
        <v>66</v>
      </c>
      <c r="J1403" s="9" t="s">
        <v>41</v>
      </c>
      <c r="K1403" s="9" t="n">
        <v>46</v>
      </c>
      <c r="L1403" s="9" t="n">
        <v>3</v>
      </c>
      <c r="M1403" s="9" t="n">
        <v>2</v>
      </c>
      <c r="N1403" s="9" t="s">
        <v>42</v>
      </c>
      <c r="O1403" s="9" t="s">
        <v>52</v>
      </c>
      <c r="P1403" s="9" t="n">
        <v>33.8</v>
      </c>
      <c r="Q1403" s="9" t="n">
        <v>28</v>
      </c>
      <c r="R1403" s="9" t="s">
        <v>44</v>
      </c>
      <c r="S1403" s="9"/>
      <c r="T1403" s="9"/>
      <c r="U1403" s="9" t="str">
        <f aca="false">IF(COUNTIF($A$2:$A$5001,A1403)&gt;1,"Duplicate","Unique")</f>
        <v>Unique</v>
      </c>
      <c r="V1403" s="9" t="str">
        <f aca="false">IF(COUNTIFS($B$2:$B$5001,B1403,$H$2:$H$5001,H1403,$J$2:$J$5001,J1403)&gt;1,"Possible Duplicate Booking","Unique")</f>
        <v>Unique</v>
      </c>
      <c r="W1403" s="9" t="str">
        <f aca="false">IF((H1403-G1403)&lt;&gt;K1403,"Mismatch","OK")</f>
        <v>OK</v>
      </c>
      <c r="X1403" s="9" t="str">
        <f aca="false">IF(TEXT(H1403,"dddd")&lt;&gt;I1403,"Mismatch","OK")</f>
        <v>OK</v>
      </c>
      <c r="Y1403" s="9" t="str">
        <f aca="false">IF(AND(N1403="No",O1403&lt;&gt;""),"Unexpected: channel present but no reminder sent",IF(AND(N1403="Yes",O1403=""),"Missing channel for sent reminder","OK"))</f>
        <v>OK</v>
      </c>
    </row>
    <row r="1404" customFormat="false" ht="15" hidden="false" customHeight="false" outlineLevel="0" collapsed="false">
      <c r="A1404" s="7" t="s">
        <v>2449</v>
      </c>
      <c r="B1404" s="7" t="s">
        <v>1767</v>
      </c>
      <c r="C1404" s="7" t="s">
        <v>37</v>
      </c>
      <c r="D1404" s="7" t="n">
        <v>20</v>
      </c>
      <c r="E1404" s="7" t="s">
        <v>82</v>
      </c>
      <c r="F1404" s="7" t="s">
        <v>49</v>
      </c>
      <c r="G1404" s="8" t="n">
        <v>45803</v>
      </c>
      <c r="H1404" s="8" t="n">
        <v>45821</v>
      </c>
      <c r="I1404" s="7" t="s">
        <v>50</v>
      </c>
      <c r="J1404" s="7" t="s">
        <v>41</v>
      </c>
      <c r="K1404" s="7" t="n">
        <v>18</v>
      </c>
      <c r="L1404" s="7" t="n">
        <v>2</v>
      </c>
      <c r="M1404" s="7" t="n">
        <v>0</v>
      </c>
      <c r="N1404" s="7" t="s">
        <v>42</v>
      </c>
      <c r="O1404" s="7" t="s">
        <v>52</v>
      </c>
      <c r="P1404" s="7" t="n">
        <v>8</v>
      </c>
      <c r="Q1404" s="7" t="n">
        <v>37</v>
      </c>
      <c r="R1404" s="7" t="s">
        <v>44</v>
      </c>
      <c r="S1404" s="7"/>
      <c r="T1404" s="7"/>
      <c r="U1404" s="7" t="str">
        <f aca="false">IF(COUNTIF($A$2:$A$5001,A1404)&gt;1,"Duplicate","Unique")</f>
        <v>Unique</v>
      </c>
      <c r="V1404" s="7" t="str">
        <f aca="false">IF(COUNTIFS($B$2:$B$5001,B1404,$H$2:$H$5001,H1404,$J$2:$J$5001,J1404)&gt;1,"Possible Duplicate Booking","Unique")</f>
        <v>Unique</v>
      </c>
      <c r="W1404" s="7" t="str">
        <f aca="false">IF((H1404-G1404)&lt;&gt;K1404,"Mismatch","OK")</f>
        <v>OK</v>
      </c>
      <c r="X1404" s="7" t="str">
        <f aca="false">IF(TEXT(H1404,"dddd")&lt;&gt;I1404,"Mismatch","OK")</f>
        <v>OK</v>
      </c>
      <c r="Y1404" s="7" t="str">
        <f aca="false">IF(AND(N1404="No",O1404&lt;&gt;""),"Unexpected: channel present but no reminder sent",IF(AND(N1404="Yes",O1404=""),"Missing channel for sent reminder","OK"))</f>
        <v>OK</v>
      </c>
    </row>
    <row r="1405" customFormat="false" ht="15" hidden="false" customHeight="false" outlineLevel="0" collapsed="false">
      <c r="A1405" s="9" t="s">
        <v>2450</v>
      </c>
      <c r="B1405" s="9" t="s">
        <v>2451</v>
      </c>
      <c r="C1405" s="9" t="s">
        <v>47</v>
      </c>
      <c r="D1405" s="9" t="n">
        <v>24</v>
      </c>
      <c r="E1405" s="9" t="s">
        <v>82</v>
      </c>
      <c r="F1405" s="9" t="s">
        <v>57</v>
      </c>
      <c r="G1405" s="10" t="n">
        <v>45778</v>
      </c>
      <c r="H1405" s="10" t="n">
        <v>45834</v>
      </c>
      <c r="I1405" s="9" t="s">
        <v>62</v>
      </c>
      <c r="J1405" s="9" t="s">
        <v>41</v>
      </c>
      <c r="K1405" s="9" t="n">
        <v>56</v>
      </c>
      <c r="L1405" s="9" t="n">
        <v>2</v>
      </c>
      <c r="M1405" s="9" t="n">
        <v>0</v>
      </c>
      <c r="N1405" s="9" t="s">
        <v>42</v>
      </c>
      <c r="O1405" s="9" t="s">
        <v>52</v>
      </c>
      <c r="P1405" s="9" t="n">
        <v>11.5</v>
      </c>
      <c r="Q1405" s="9" t="n">
        <v>3</v>
      </c>
      <c r="R1405" s="9" t="s">
        <v>44</v>
      </c>
      <c r="S1405" s="9"/>
      <c r="T1405" s="9"/>
      <c r="U1405" s="9" t="str">
        <f aca="false">IF(COUNTIF($A$2:$A$5001,A1405)&gt;1,"Duplicate","Unique")</f>
        <v>Unique</v>
      </c>
      <c r="V1405" s="9" t="str">
        <f aca="false">IF(COUNTIFS($B$2:$B$5001,B1405,$H$2:$H$5001,H1405,$J$2:$J$5001,J1405)&gt;1,"Possible Duplicate Booking","Unique")</f>
        <v>Unique</v>
      </c>
      <c r="W1405" s="9" t="str">
        <f aca="false">IF((H1405-G1405)&lt;&gt;K1405,"Mismatch","OK")</f>
        <v>OK</v>
      </c>
      <c r="X1405" s="9" t="str">
        <f aca="false">IF(TEXT(H1405,"dddd")&lt;&gt;I1405,"Mismatch","OK")</f>
        <v>OK</v>
      </c>
      <c r="Y1405" s="9" t="str">
        <f aca="false">IF(AND(N1405="No",O1405&lt;&gt;""),"Unexpected: channel present but no reminder sent",IF(AND(N1405="Yes",O1405=""),"Missing channel for sent reminder","OK"))</f>
        <v>OK</v>
      </c>
    </row>
    <row r="1406" customFormat="false" ht="15" hidden="false" customHeight="false" outlineLevel="0" collapsed="false">
      <c r="A1406" s="7" t="s">
        <v>2452</v>
      </c>
      <c r="B1406" s="7" t="s">
        <v>2360</v>
      </c>
      <c r="C1406" s="7" t="s">
        <v>37</v>
      </c>
      <c r="D1406" s="7" t="n">
        <v>70</v>
      </c>
      <c r="E1406" s="7" t="s">
        <v>70</v>
      </c>
      <c r="F1406" s="7" t="s">
        <v>74</v>
      </c>
      <c r="G1406" s="8" t="n">
        <v>45705</v>
      </c>
      <c r="H1406" s="8" t="n">
        <v>45754</v>
      </c>
      <c r="I1406" s="7" t="s">
        <v>66</v>
      </c>
      <c r="J1406" s="7" t="s">
        <v>51</v>
      </c>
      <c r="K1406" s="7" t="n">
        <v>49</v>
      </c>
      <c r="L1406" s="7" t="n">
        <v>1</v>
      </c>
      <c r="M1406" s="7" t="n">
        <v>0</v>
      </c>
      <c r="N1406" s="7" t="s">
        <v>42</v>
      </c>
      <c r="O1406" s="7" t="s">
        <v>43</v>
      </c>
      <c r="P1406" s="7" t="n">
        <v>3.6</v>
      </c>
      <c r="Q1406" s="7" t="n">
        <v>16</v>
      </c>
      <c r="R1406" s="7" t="s">
        <v>44</v>
      </c>
      <c r="S1406" s="7"/>
      <c r="T1406" s="7"/>
      <c r="U1406" s="7" t="str">
        <f aca="false">IF(COUNTIF($A$2:$A$5001,A1406)&gt;1,"Duplicate","Unique")</f>
        <v>Unique</v>
      </c>
      <c r="V1406" s="7" t="str">
        <f aca="false">IF(COUNTIFS($B$2:$B$5001,B1406,$H$2:$H$5001,H1406,$J$2:$J$5001,J1406)&gt;1,"Possible Duplicate Booking","Unique")</f>
        <v>Unique</v>
      </c>
      <c r="W1406" s="7" t="str">
        <f aca="false">IF((H1406-G1406)&lt;&gt;K1406,"Mismatch","OK")</f>
        <v>OK</v>
      </c>
      <c r="X1406" s="7" t="str">
        <f aca="false">IF(TEXT(H1406,"dddd")&lt;&gt;I1406,"Mismatch","OK")</f>
        <v>OK</v>
      </c>
      <c r="Y1406" s="7" t="str">
        <f aca="false">IF(AND(N1406="No",O1406&lt;&gt;""),"Unexpected: channel present but no reminder sent",IF(AND(N1406="Yes",O1406=""),"Missing channel for sent reminder","OK"))</f>
        <v>OK</v>
      </c>
    </row>
    <row r="1407" customFormat="false" ht="15" hidden="false" customHeight="false" outlineLevel="0" collapsed="false">
      <c r="A1407" s="9" t="s">
        <v>2453</v>
      </c>
      <c r="B1407" s="9" t="s">
        <v>463</v>
      </c>
      <c r="C1407" s="9" t="s">
        <v>47</v>
      </c>
      <c r="D1407" s="9" t="n">
        <v>21</v>
      </c>
      <c r="E1407" s="9" t="s">
        <v>82</v>
      </c>
      <c r="F1407" s="9" t="s">
        <v>57</v>
      </c>
      <c r="G1407" s="10" t="n">
        <v>45687</v>
      </c>
      <c r="H1407" s="10" t="n">
        <v>45742</v>
      </c>
      <c r="I1407" s="9" t="s">
        <v>58</v>
      </c>
      <c r="J1407" s="9" t="s">
        <v>63</v>
      </c>
      <c r="K1407" s="9" t="n">
        <v>55</v>
      </c>
      <c r="L1407" s="9" t="n">
        <v>4</v>
      </c>
      <c r="M1407" s="9" t="n">
        <v>1</v>
      </c>
      <c r="N1407" s="9" t="s">
        <v>71</v>
      </c>
      <c r="O1407" s="9"/>
      <c r="P1407" s="9" t="n">
        <v>11</v>
      </c>
      <c r="Q1407" s="9" t="n">
        <v>18</v>
      </c>
      <c r="R1407" s="9" t="s">
        <v>53</v>
      </c>
      <c r="S1407" s="9"/>
      <c r="T1407" s="9"/>
      <c r="U1407" s="9" t="str">
        <f aca="false">IF(COUNTIF($A$2:$A$5001,A1407)&gt;1,"Duplicate","Unique")</f>
        <v>Unique</v>
      </c>
      <c r="V1407" s="9" t="str">
        <f aca="false">IF(COUNTIFS($B$2:$B$5001,B1407,$H$2:$H$5001,H1407,$J$2:$J$5001,J1407)&gt;1,"Possible Duplicate Booking","Unique")</f>
        <v>Unique</v>
      </c>
      <c r="W1407" s="9" t="str">
        <f aca="false">IF((H1407-G1407)&lt;&gt;K1407,"Mismatch","OK")</f>
        <v>OK</v>
      </c>
      <c r="X1407" s="9" t="str">
        <f aca="false">IF(TEXT(H1407,"dddd")&lt;&gt;I1407,"Mismatch","OK")</f>
        <v>OK</v>
      </c>
      <c r="Y1407" s="9" t="str">
        <f aca="false">IF(AND(N1407="No",O1407&lt;&gt;""),"Unexpected: channel present but no reminder sent",IF(AND(N1407="Yes",O1407=""),"Missing channel for sent reminder","OK"))</f>
        <v>OK</v>
      </c>
    </row>
    <row r="1408" customFormat="false" ht="15" hidden="false" customHeight="false" outlineLevel="0" collapsed="false">
      <c r="A1408" s="7" t="s">
        <v>2454</v>
      </c>
      <c r="B1408" s="7" t="s">
        <v>2455</v>
      </c>
      <c r="C1408" s="7" t="s">
        <v>37</v>
      </c>
      <c r="D1408" s="7" t="n">
        <v>78</v>
      </c>
      <c r="E1408" s="7" t="s">
        <v>70</v>
      </c>
      <c r="F1408" s="7" t="s">
        <v>57</v>
      </c>
      <c r="G1408" s="8" t="n">
        <v>45802</v>
      </c>
      <c r="H1408" s="8" t="n">
        <v>45847</v>
      </c>
      <c r="I1408" s="7" t="s">
        <v>58</v>
      </c>
      <c r="J1408" s="7" t="s">
        <v>51</v>
      </c>
      <c r="K1408" s="7" t="n">
        <v>45</v>
      </c>
      <c r="L1408" s="7" t="n">
        <v>1</v>
      </c>
      <c r="M1408" s="7" t="n">
        <v>1</v>
      </c>
      <c r="N1408" s="7" t="s">
        <v>42</v>
      </c>
      <c r="O1408" s="7" t="s">
        <v>52</v>
      </c>
      <c r="P1408" s="7" t="n">
        <v>20.6</v>
      </c>
      <c r="Q1408" s="7" t="n">
        <v>43</v>
      </c>
      <c r="R1408" s="7" t="s">
        <v>44</v>
      </c>
      <c r="S1408" s="7"/>
      <c r="T1408" s="7"/>
      <c r="U1408" s="7" t="str">
        <f aca="false">IF(COUNTIF($A$2:$A$5001,A1408)&gt;1,"Duplicate","Unique")</f>
        <v>Unique</v>
      </c>
      <c r="V1408" s="7" t="str">
        <f aca="false">IF(COUNTIFS($B$2:$B$5001,B1408,$H$2:$H$5001,H1408,$J$2:$J$5001,J1408)&gt;1,"Possible Duplicate Booking","Unique")</f>
        <v>Unique</v>
      </c>
      <c r="W1408" s="7" t="str">
        <f aca="false">IF((H1408-G1408)&lt;&gt;K1408,"Mismatch","OK")</f>
        <v>OK</v>
      </c>
      <c r="X1408" s="7" t="str">
        <f aca="false">IF(TEXT(H1408,"dddd")&lt;&gt;I1408,"Mismatch","OK")</f>
        <v>OK</v>
      </c>
      <c r="Y1408" s="7" t="str">
        <f aca="false">IF(AND(N1408="No",O1408&lt;&gt;""),"Unexpected: channel present but no reminder sent",IF(AND(N1408="Yes",O1408=""),"Missing channel for sent reminder","OK"))</f>
        <v>OK</v>
      </c>
    </row>
    <row r="1409" customFormat="false" ht="15" hidden="false" customHeight="false" outlineLevel="0" collapsed="false">
      <c r="A1409" s="9" t="s">
        <v>2456</v>
      </c>
      <c r="B1409" s="9" t="s">
        <v>124</v>
      </c>
      <c r="C1409" s="9" t="s">
        <v>37</v>
      </c>
      <c r="D1409" s="9" t="n">
        <v>65</v>
      </c>
      <c r="E1409" s="9" t="s">
        <v>70</v>
      </c>
      <c r="F1409" s="9" t="s">
        <v>49</v>
      </c>
      <c r="G1409" s="10" t="n">
        <v>46096</v>
      </c>
      <c r="H1409" s="10" t="n">
        <v>46135</v>
      </c>
      <c r="I1409" s="9" t="s">
        <v>62</v>
      </c>
      <c r="J1409" s="9" t="s">
        <v>51</v>
      </c>
      <c r="K1409" s="9" t="n">
        <v>39</v>
      </c>
      <c r="L1409" s="9" t="n">
        <v>4</v>
      </c>
      <c r="M1409" s="9" t="n">
        <v>1</v>
      </c>
      <c r="N1409" s="9" t="s">
        <v>42</v>
      </c>
      <c r="O1409" s="9" t="s">
        <v>43</v>
      </c>
      <c r="P1409" s="9" t="n">
        <v>9.2</v>
      </c>
      <c r="Q1409" s="9" t="n">
        <v>27</v>
      </c>
      <c r="R1409" s="9" t="s">
        <v>53</v>
      </c>
      <c r="S1409" s="9"/>
      <c r="T1409" s="9"/>
      <c r="U1409" s="9" t="str">
        <f aca="false">IF(COUNTIF($A$2:$A$5001,A1409)&gt;1,"Duplicate","Unique")</f>
        <v>Unique</v>
      </c>
      <c r="V1409" s="9" t="str">
        <f aca="false">IF(COUNTIFS($B$2:$B$5001,B1409,$H$2:$H$5001,H1409,$J$2:$J$5001,J1409)&gt;1,"Possible Duplicate Booking","Unique")</f>
        <v>Unique</v>
      </c>
      <c r="W1409" s="9" t="str">
        <f aca="false">IF((H1409-G1409)&lt;&gt;K1409,"Mismatch","OK")</f>
        <v>OK</v>
      </c>
      <c r="X1409" s="9" t="str">
        <f aca="false">IF(TEXT(H1409,"dddd")&lt;&gt;I1409,"Mismatch","OK")</f>
        <v>OK</v>
      </c>
      <c r="Y1409" s="9" t="str">
        <f aca="false">IF(AND(N1409="No",O1409&lt;&gt;""),"Unexpected: channel present but no reminder sent",IF(AND(N1409="Yes",O1409=""),"Missing channel for sent reminder","OK"))</f>
        <v>OK</v>
      </c>
    </row>
    <row r="1410" customFormat="false" ht="15" hidden="false" customHeight="false" outlineLevel="0" collapsed="false">
      <c r="A1410" s="7" t="s">
        <v>2457</v>
      </c>
      <c r="B1410" s="7" t="s">
        <v>2458</v>
      </c>
      <c r="C1410" s="7" t="s">
        <v>37</v>
      </c>
      <c r="D1410" s="7" t="n">
        <v>59</v>
      </c>
      <c r="E1410" s="7" t="s">
        <v>61</v>
      </c>
      <c r="F1410" s="7" t="s">
        <v>39</v>
      </c>
      <c r="G1410" s="8" t="n">
        <v>45626</v>
      </c>
      <c r="H1410" s="8" t="n">
        <v>45658</v>
      </c>
      <c r="I1410" s="7" t="s">
        <v>58</v>
      </c>
      <c r="J1410" s="7" t="s">
        <v>41</v>
      </c>
      <c r="K1410" s="7" t="n">
        <v>32</v>
      </c>
      <c r="L1410" s="7" t="n">
        <v>3</v>
      </c>
      <c r="M1410" s="7" t="n">
        <v>2</v>
      </c>
      <c r="N1410" s="7" t="s">
        <v>42</v>
      </c>
      <c r="O1410" s="7" t="s">
        <v>43</v>
      </c>
      <c r="P1410" s="7" t="n">
        <v>17.1</v>
      </c>
      <c r="Q1410" s="7" t="n">
        <v>25</v>
      </c>
      <c r="R1410" s="7" t="s">
        <v>53</v>
      </c>
      <c r="S1410" s="7"/>
      <c r="T1410" s="7"/>
      <c r="U1410" s="7" t="str">
        <f aca="false">IF(COUNTIF($A$2:$A$5001,A1410)&gt;1,"Duplicate","Unique")</f>
        <v>Unique</v>
      </c>
      <c r="V1410" s="7" t="str">
        <f aca="false">IF(COUNTIFS($B$2:$B$5001,B1410,$H$2:$H$5001,H1410,$J$2:$J$5001,J1410)&gt;1,"Possible Duplicate Booking","Unique")</f>
        <v>Unique</v>
      </c>
      <c r="W1410" s="7" t="str">
        <f aca="false">IF((H1410-G1410)&lt;&gt;K1410,"Mismatch","OK")</f>
        <v>OK</v>
      </c>
      <c r="X1410" s="7" t="str">
        <f aca="false">IF(TEXT(H1410,"dddd")&lt;&gt;I1410,"Mismatch","OK")</f>
        <v>OK</v>
      </c>
      <c r="Y1410" s="7" t="str">
        <f aca="false">IF(AND(N1410="No",O1410&lt;&gt;""),"Unexpected: channel present but no reminder sent",IF(AND(N1410="Yes",O1410=""),"Missing channel for sent reminder","OK"))</f>
        <v>OK</v>
      </c>
    </row>
    <row r="1411" customFormat="false" ht="15" hidden="false" customHeight="false" outlineLevel="0" collapsed="false">
      <c r="A1411" s="9" t="s">
        <v>2459</v>
      </c>
      <c r="B1411" s="9" t="s">
        <v>2460</v>
      </c>
      <c r="C1411" s="9" t="s">
        <v>47</v>
      </c>
      <c r="D1411" s="9" t="n">
        <v>51</v>
      </c>
      <c r="E1411" s="9" t="s">
        <v>56</v>
      </c>
      <c r="F1411" s="9" t="s">
        <v>57</v>
      </c>
      <c r="G1411" s="10" t="n">
        <v>45756</v>
      </c>
      <c r="H1411" s="10" t="n">
        <v>45812</v>
      </c>
      <c r="I1411" s="9" t="s">
        <v>58</v>
      </c>
      <c r="J1411" s="9" t="s">
        <v>51</v>
      </c>
      <c r="K1411" s="9" t="n">
        <v>56</v>
      </c>
      <c r="L1411" s="9" t="n">
        <v>4</v>
      </c>
      <c r="M1411" s="9" t="n">
        <v>1</v>
      </c>
      <c r="N1411" s="9" t="s">
        <v>42</v>
      </c>
      <c r="O1411" s="9" t="s">
        <v>52</v>
      </c>
      <c r="P1411" s="9" t="n">
        <v>5.6</v>
      </c>
      <c r="Q1411" s="9" t="n">
        <v>27</v>
      </c>
      <c r="R1411" s="9" t="s">
        <v>53</v>
      </c>
      <c r="S1411" s="9"/>
      <c r="T1411" s="9"/>
      <c r="U1411" s="9" t="str">
        <f aca="false">IF(COUNTIF($A$2:$A$5001,A1411)&gt;1,"Duplicate","Unique")</f>
        <v>Unique</v>
      </c>
      <c r="V1411" s="9" t="str">
        <f aca="false">IF(COUNTIFS($B$2:$B$5001,B1411,$H$2:$H$5001,H1411,$J$2:$J$5001,J1411)&gt;1,"Possible Duplicate Booking","Unique")</f>
        <v>Unique</v>
      </c>
      <c r="W1411" s="9" t="str">
        <f aca="false">IF((H1411-G1411)&lt;&gt;K1411,"Mismatch","OK")</f>
        <v>OK</v>
      </c>
      <c r="X1411" s="9" t="str">
        <f aca="false">IF(TEXT(H1411,"dddd")&lt;&gt;I1411,"Mismatch","OK")</f>
        <v>OK</v>
      </c>
      <c r="Y1411" s="9" t="str">
        <f aca="false">IF(AND(N1411="No",O1411&lt;&gt;""),"Unexpected: channel present but no reminder sent",IF(AND(N1411="Yes",O1411=""),"Missing channel for sent reminder","OK"))</f>
        <v>OK</v>
      </c>
    </row>
    <row r="1412" customFormat="false" ht="15" hidden="false" customHeight="false" outlineLevel="0" collapsed="false">
      <c r="A1412" s="7" t="s">
        <v>2461</v>
      </c>
      <c r="B1412" s="7" t="s">
        <v>2462</v>
      </c>
      <c r="C1412" s="7" t="s">
        <v>37</v>
      </c>
      <c r="D1412" s="7" t="n">
        <v>23</v>
      </c>
      <c r="E1412" s="7" t="s">
        <v>82</v>
      </c>
      <c r="F1412" s="7" t="s">
        <v>57</v>
      </c>
      <c r="G1412" s="8" t="n">
        <v>45640</v>
      </c>
      <c r="H1412" s="8" t="n">
        <v>45691</v>
      </c>
      <c r="I1412" s="7" t="s">
        <v>66</v>
      </c>
      <c r="J1412" s="7" t="s">
        <v>41</v>
      </c>
      <c r="K1412" s="7" t="n">
        <v>51</v>
      </c>
      <c r="L1412" s="7" t="n">
        <v>2</v>
      </c>
      <c r="M1412" s="7" t="n">
        <v>0</v>
      </c>
      <c r="N1412" s="7" t="s">
        <v>42</v>
      </c>
      <c r="O1412" s="7" t="s">
        <v>52</v>
      </c>
      <c r="P1412" s="7" t="n">
        <v>2</v>
      </c>
      <c r="Q1412" s="7" t="n">
        <v>23</v>
      </c>
      <c r="R1412" s="7" t="s">
        <v>53</v>
      </c>
      <c r="S1412" s="7"/>
      <c r="T1412" s="7"/>
      <c r="U1412" s="7" t="str">
        <f aca="false">IF(COUNTIF($A$2:$A$5001,A1412)&gt;1,"Duplicate","Unique")</f>
        <v>Unique</v>
      </c>
      <c r="V1412" s="7" t="str">
        <f aca="false">IF(COUNTIFS($B$2:$B$5001,B1412,$H$2:$H$5001,H1412,$J$2:$J$5001,J1412)&gt;1,"Possible Duplicate Booking","Unique")</f>
        <v>Unique</v>
      </c>
      <c r="W1412" s="7" t="str">
        <f aca="false">IF((H1412-G1412)&lt;&gt;K1412,"Mismatch","OK")</f>
        <v>OK</v>
      </c>
      <c r="X1412" s="7" t="str">
        <f aca="false">IF(TEXT(H1412,"dddd")&lt;&gt;I1412,"Mismatch","OK")</f>
        <v>OK</v>
      </c>
      <c r="Y1412" s="7" t="str">
        <f aca="false">IF(AND(N1412="No",O1412&lt;&gt;""),"Unexpected: channel present but no reminder sent",IF(AND(N1412="Yes",O1412=""),"Missing channel for sent reminder","OK"))</f>
        <v>OK</v>
      </c>
    </row>
    <row r="1413" customFormat="false" ht="15" hidden="false" customHeight="false" outlineLevel="0" collapsed="false">
      <c r="A1413" s="9" t="s">
        <v>2463</v>
      </c>
      <c r="B1413" s="9" t="s">
        <v>1113</v>
      </c>
      <c r="C1413" s="9" t="s">
        <v>37</v>
      </c>
      <c r="D1413" s="9" t="n">
        <v>44</v>
      </c>
      <c r="E1413" s="9" t="s">
        <v>38</v>
      </c>
      <c r="F1413" s="9" t="s">
        <v>39</v>
      </c>
      <c r="G1413" s="10" t="n">
        <v>45939</v>
      </c>
      <c r="H1413" s="10" t="n">
        <v>45964</v>
      </c>
      <c r="I1413" s="9" t="s">
        <v>66</v>
      </c>
      <c r="J1413" s="9" t="s">
        <v>51</v>
      </c>
      <c r="K1413" s="9" t="n">
        <v>25</v>
      </c>
      <c r="L1413" s="9" t="n">
        <v>1</v>
      </c>
      <c r="M1413" s="9" t="n">
        <v>1</v>
      </c>
      <c r="N1413" s="9" t="s">
        <v>42</v>
      </c>
      <c r="O1413" s="9" t="s">
        <v>43</v>
      </c>
      <c r="P1413" s="9" t="n">
        <v>6.9</v>
      </c>
      <c r="Q1413" s="9" t="n">
        <v>47</v>
      </c>
      <c r="R1413" s="9" t="s">
        <v>44</v>
      </c>
      <c r="S1413" s="9"/>
      <c r="T1413" s="9"/>
      <c r="U1413" s="9" t="str">
        <f aca="false">IF(COUNTIF($A$2:$A$5001,A1413)&gt;1,"Duplicate","Unique")</f>
        <v>Unique</v>
      </c>
      <c r="V1413" s="9" t="str">
        <f aca="false">IF(COUNTIFS($B$2:$B$5001,B1413,$H$2:$H$5001,H1413,$J$2:$J$5001,J1413)&gt;1,"Possible Duplicate Booking","Unique")</f>
        <v>Unique</v>
      </c>
      <c r="W1413" s="9" t="str">
        <f aca="false">IF((H1413-G1413)&lt;&gt;K1413,"Mismatch","OK")</f>
        <v>OK</v>
      </c>
      <c r="X1413" s="9" t="str">
        <f aca="false">IF(TEXT(H1413,"dddd")&lt;&gt;I1413,"Mismatch","OK")</f>
        <v>OK</v>
      </c>
      <c r="Y1413" s="9" t="str">
        <f aca="false">IF(AND(N1413="No",O1413&lt;&gt;""),"Unexpected: channel present but no reminder sent",IF(AND(N1413="Yes",O1413=""),"Missing channel for sent reminder","OK"))</f>
        <v>OK</v>
      </c>
    </row>
    <row r="1414" customFormat="false" ht="15" hidden="false" customHeight="false" outlineLevel="0" collapsed="false">
      <c r="A1414" s="7" t="s">
        <v>2464</v>
      </c>
      <c r="B1414" s="7" t="s">
        <v>2465</v>
      </c>
      <c r="C1414" s="7" t="s">
        <v>236</v>
      </c>
      <c r="D1414" s="7" t="n">
        <v>68</v>
      </c>
      <c r="E1414" s="7" t="s">
        <v>70</v>
      </c>
      <c r="F1414" s="7" t="s">
        <v>39</v>
      </c>
      <c r="G1414" s="8" t="n">
        <v>45789</v>
      </c>
      <c r="H1414" s="8" t="n">
        <v>45794</v>
      </c>
      <c r="I1414" s="7" t="s">
        <v>102</v>
      </c>
      <c r="J1414" s="7" t="s">
        <v>63</v>
      </c>
      <c r="K1414" s="7" t="n">
        <v>5</v>
      </c>
      <c r="L1414" s="7" t="n">
        <v>1</v>
      </c>
      <c r="M1414" s="7" t="n">
        <v>0</v>
      </c>
      <c r="N1414" s="7" t="s">
        <v>42</v>
      </c>
      <c r="O1414" s="7" t="s">
        <v>43</v>
      </c>
      <c r="P1414" s="7" t="n">
        <v>5.5</v>
      </c>
      <c r="Q1414" s="7" t="n">
        <v>47</v>
      </c>
      <c r="R1414" s="7" t="s">
        <v>53</v>
      </c>
      <c r="S1414" s="7"/>
      <c r="T1414" s="7"/>
      <c r="U1414" s="7" t="str">
        <f aca="false">IF(COUNTIF($A$2:$A$5001,A1414)&gt;1,"Duplicate","Unique")</f>
        <v>Unique</v>
      </c>
      <c r="V1414" s="7" t="str">
        <f aca="false">IF(COUNTIFS($B$2:$B$5001,B1414,$H$2:$H$5001,H1414,$J$2:$J$5001,J1414)&gt;1,"Possible Duplicate Booking","Unique")</f>
        <v>Unique</v>
      </c>
      <c r="W1414" s="7" t="str">
        <f aca="false">IF((H1414-G1414)&lt;&gt;K1414,"Mismatch","OK")</f>
        <v>OK</v>
      </c>
      <c r="X1414" s="7" t="str">
        <f aca="false">IF(TEXT(H1414,"dddd")&lt;&gt;I1414,"Mismatch","OK")</f>
        <v>OK</v>
      </c>
      <c r="Y1414" s="7" t="str">
        <f aca="false">IF(AND(N1414="No",O1414&lt;&gt;""),"Unexpected: channel present but no reminder sent",IF(AND(N1414="Yes",O1414=""),"Missing channel for sent reminder","OK"))</f>
        <v>OK</v>
      </c>
    </row>
    <row r="1415" customFormat="false" ht="15" hidden="false" customHeight="false" outlineLevel="0" collapsed="false">
      <c r="A1415" s="9" t="s">
        <v>2466</v>
      </c>
      <c r="B1415" s="9" t="s">
        <v>1951</v>
      </c>
      <c r="C1415" s="9" t="s">
        <v>47</v>
      </c>
      <c r="D1415" s="9" t="n">
        <v>74</v>
      </c>
      <c r="E1415" s="9" t="s">
        <v>70</v>
      </c>
      <c r="F1415" s="9" t="s">
        <v>57</v>
      </c>
      <c r="G1415" s="10" t="n">
        <v>46090</v>
      </c>
      <c r="H1415" s="10" t="n">
        <v>46090</v>
      </c>
      <c r="I1415" s="9" t="s">
        <v>66</v>
      </c>
      <c r="J1415" s="9" t="s">
        <v>51</v>
      </c>
      <c r="K1415" s="9" t="n">
        <v>0</v>
      </c>
      <c r="L1415" s="9" t="n">
        <v>3</v>
      </c>
      <c r="M1415" s="9" t="n">
        <v>2</v>
      </c>
      <c r="N1415" s="9" t="s">
        <v>71</v>
      </c>
      <c r="O1415" s="9"/>
      <c r="P1415" s="9" t="n">
        <v>16.4</v>
      </c>
      <c r="Q1415" s="9" t="n">
        <v>37</v>
      </c>
      <c r="R1415" s="9" t="s">
        <v>44</v>
      </c>
      <c r="S1415" s="9"/>
      <c r="T1415" s="9"/>
      <c r="U1415" s="9" t="str">
        <f aca="false">IF(COUNTIF($A$2:$A$5001,A1415)&gt;1,"Duplicate","Unique")</f>
        <v>Unique</v>
      </c>
      <c r="V1415" s="9" t="str">
        <f aca="false">IF(COUNTIFS($B$2:$B$5001,B1415,$H$2:$H$5001,H1415,$J$2:$J$5001,J1415)&gt;1,"Possible Duplicate Booking","Unique")</f>
        <v>Unique</v>
      </c>
      <c r="W1415" s="9" t="str">
        <f aca="false">IF((H1415-G1415)&lt;&gt;K1415,"Mismatch","OK")</f>
        <v>OK</v>
      </c>
      <c r="X1415" s="9" t="str">
        <f aca="false">IF(TEXT(H1415,"dddd")&lt;&gt;I1415,"Mismatch","OK")</f>
        <v>OK</v>
      </c>
      <c r="Y1415" s="9" t="str">
        <f aca="false">IF(AND(N1415="No",O1415&lt;&gt;""),"Unexpected: channel present but no reminder sent",IF(AND(N1415="Yes",O1415=""),"Missing channel for sent reminder","OK"))</f>
        <v>OK</v>
      </c>
    </row>
    <row r="1416" customFormat="false" ht="15" hidden="false" customHeight="false" outlineLevel="0" collapsed="false">
      <c r="A1416" s="7" t="s">
        <v>2467</v>
      </c>
      <c r="B1416" s="7" t="s">
        <v>1153</v>
      </c>
      <c r="C1416" s="7" t="s">
        <v>47</v>
      </c>
      <c r="D1416" s="7" t="n">
        <v>46</v>
      </c>
      <c r="E1416" s="7" t="s">
        <v>56</v>
      </c>
      <c r="F1416" s="7" t="s">
        <v>39</v>
      </c>
      <c r="G1416" s="8" t="n">
        <v>45963</v>
      </c>
      <c r="H1416" s="8" t="n">
        <v>45977</v>
      </c>
      <c r="I1416" s="7" t="s">
        <v>75</v>
      </c>
      <c r="J1416" s="7" t="s">
        <v>63</v>
      </c>
      <c r="K1416" s="7" t="n">
        <v>14</v>
      </c>
      <c r="L1416" s="7" t="n">
        <v>3</v>
      </c>
      <c r="M1416" s="7" t="n">
        <v>0</v>
      </c>
      <c r="N1416" s="7" t="s">
        <v>71</v>
      </c>
      <c r="O1416" s="7"/>
      <c r="P1416" s="7"/>
      <c r="Q1416" s="7" t="n">
        <v>36</v>
      </c>
      <c r="R1416" s="7" t="s">
        <v>53</v>
      </c>
      <c r="S1416" s="7"/>
      <c r="T1416" s="7"/>
      <c r="U1416" s="7" t="str">
        <f aca="false">IF(COUNTIF($A$2:$A$5001,A1416)&gt;1,"Duplicate","Unique")</f>
        <v>Unique</v>
      </c>
      <c r="V1416" s="7" t="str">
        <f aca="false">IF(COUNTIFS($B$2:$B$5001,B1416,$H$2:$H$5001,H1416,$J$2:$J$5001,J1416)&gt;1,"Possible Duplicate Booking","Unique")</f>
        <v>Unique</v>
      </c>
      <c r="W1416" s="7" t="str">
        <f aca="false">IF((H1416-G1416)&lt;&gt;K1416,"Mismatch","OK")</f>
        <v>OK</v>
      </c>
      <c r="X1416" s="7" t="str">
        <f aca="false">IF(TEXT(H1416,"dddd")&lt;&gt;I1416,"Mismatch","OK")</f>
        <v>OK</v>
      </c>
      <c r="Y1416" s="7" t="str">
        <f aca="false">IF(AND(N1416="No",O1416&lt;&gt;""),"Unexpected: channel present but no reminder sent",IF(AND(N1416="Yes",O1416=""),"Missing channel for sent reminder","OK"))</f>
        <v>OK</v>
      </c>
    </row>
    <row r="1417" customFormat="false" ht="15" hidden="false" customHeight="false" outlineLevel="0" collapsed="false">
      <c r="A1417" s="9" t="s">
        <v>2468</v>
      </c>
      <c r="B1417" s="9" t="s">
        <v>2469</v>
      </c>
      <c r="C1417" s="9" t="s">
        <v>37</v>
      </c>
      <c r="D1417" s="9" t="n">
        <v>70</v>
      </c>
      <c r="E1417" s="9" t="s">
        <v>70</v>
      </c>
      <c r="F1417" s="9" t="s">
        <v>57</v>
      </c>
      <c r="G1417" s="10" t="n">
        <v>46082</v>
      </c>
      <c r="H1417" s="10" t="n">
        <v>46085</v>
      </c>
      <c r="I1417" s="9" t="s">
        <v>58</v>
      </c>
      <c r="J1417" s="9" t="s">
        <v>41</v>
      </c>
      <c r="K1417" s="9" t="n">
        <v>3</v>
      </c>
      <c r="L1417" s="9" t="n">
        <v>4</v>
      </c>
      <c r="M1417" s="9" t="n">
        <v>0</v>
      </c>
      <c r="N1417" s="9" t="s">
        <v>71</v>
      </c>
      <c r="O1417" s="9"/>
      <c r="P1417" s="9" t="n">
        <v>3.4</v>
      </c>
      <c r="Q1417" s="9" t="n">
        <v>20</v>
      </c>
      <c r="R1417" s="9" t="s">
        <v>53</v>
      </c>
      <c r="S1417" s="9"/>
      <c r="T1417" s="9"/>
      <c r="U1417" s="9" t="str">
        <f aca="false">IF(COUNTIF($A$2:$A$5001,A1417)&gt;1,"Duplicate","Unique")</f>
        <v>Unique</v>
      </c>
      <c r="V1417" s="9" t="str">
        <f aca="false">IF(COUNTIFS($B$2:$B$5001,B1417,$H$2:$H$5001,H1417,$J$2:$J$5001,J1417)&gt;1,"Possible Duplicate Booking","Unique")</f>
        <v>Unique</v>
      </c>
      <c r="W1417" s="9" t="str">
        <f aca="false">IF((H1417-G1417)&lt;&gt;K1417,"Mismatch","OK")</f>
        <v>OK</v>
      </c>
      <c r="X1417" s="9" t="str">
        <f aca="false">IF(TEXT(H1417,"dddd")&lt;&gt;I1417,"Mismatch","OK")</f>
        <v>OK</v>
      </c>
      <c r="Y1417" s="9" t="str">
        <f aca="false">IF(AND(N1417="No",O1417&lt;&gt;""),"Unexpected: channel present but no reminder sent",IF(AND(N1417="Yes",O1417=""),"Missing channel for sent reminder","OK"))</f>
        <v>OK</v>
      </c>
    </row>
    <row r="1418" customFormat="false" ht="15" hidden="false" customHeight="false" outlineLevel="0" collapsed="false">
      <c r="A1418" s="7" t="s">
        <v>2470</v>
      </c>
      <c r="B1418" s="7" t="s">
        <v>294</v>
      </c>
      <c r="C1418" s="7" t="s">
        <v>37</v>
      </c>
      <c r="D1418" s="7" t="n">
        <v>66</v>
      </c>
      <c r="E1418" s="7" t="s">
        <v>70</v>
      </c>
      <c r="F1418" s="7" t="s">
        <v>39</v>
      </c>
      <c r="G1418" s="8" t="n">
        <v>45992</v>
      </c>
      <c r="H1418" s="8" t="n">
        <v>46004</v>
      </c>
      <c r="I1418" s="7" t="s">
        <v>102</v>
      </c>
      <c r="J1418" s="7" t="s">
        <v>51</v>
      </c>
      <c r="K1418" s="7" t="n">
        <v>12</v>
      </c>
      <c r="L1418" s="7" t="n">
        <v>1</v>
      </c>
      <c r="M1418" s="7" t="n">
        <v>0</v>
      </c>
      <c r="N1418" s="7" t="s">
        <v>42</v>
      </c>
      <c r="O1418" s="7" t="s">
        <v>52</v>
      </c>
      <c r="P1418" s="7" t="n">
        <v>12.2</v>
      </c>
      <c r="Q1418" s="7" t="n">
        <v>30</v>
      </c>
      <c r="R1418" s="7" t="s">
        <v>44</v>
      </c>
      <c r="S1418" s="7"/>
      <c r="T1418" s="7"/>
      <c r="U1418" s="7" t="str">
        <f aca="false">IF(COUNTIF($A$2:$A$5001,A1418)&gt;1,"Duplicate","Unique")</f>
        <v>Unique</v>
      </c>
      <c r="V1418" s="7" t="str">
        <f aca="false">IF(COUNTIFS($B$2:$B$5001,B1418,$H$2:$H$5001,H1418,$J$2:$J$5001,J1418)&gt;1,"Possible Duplicate Booking","Unique")</f>
        <v>Unique</v>
      </c>
      <c r="W1418" s="7" t="str">
        <f aca="false">IF((H1418-G1418)&lt;&gt;K1418,"Mismatch","OK")</f>
        <v>OK</v>
      </c>
      <c r="X1418" s="7" t="str">
        <f aca="false">IF(TEXT(H1418,"dddd")&lt;&gt;I1418,"Mismatch","OK")</f>
        <v>OK</v>
      </c>
      <c r="Y1418" s="7" t="str">
        <f aca="false">IF(AND(N1418="No",O1418&lt;&gt;""),"Unexpected: channel present but no reminder sent",IF(AND(N1418="Yes",O1418=""),"Missing channel for sent reminder","OK"))</f>
        <v>OK</v>
      </c>
    </row>
    <row r="1419" customFormat="false" ht="15" hidden="false" customHeight="false" outlineLevel="0" collapsed="false">
      <c r="A1419" s="9" t="s">
        <v>2471</v>
      </c>
      <c r="B1419" s="9" t="s">
        <v>2372</v>
      </c>
      <c r="C1419" s="9" t="s">
        <v>47</v>
      </c>
      <c r="D1419" s="9" t="n">
        <v>21</v>
      </c>
      <c r="E1419" s="9" t="s">
        <v>82</v>
      </c>
      <c r="F1419" s="9" t="s">
        <v>57</v>
      </c>
      <c r="G1419" s="10" t="n">
        <v>45891</v>
      </c>
      <c r="H1419" s="10" t="n">
        <v>45897</v>
      </c>
      <c r="I1419" s="9" t="s">
        <v>62</v>
      </c>
      <c r="J1419" s="9" t="s">
        <v>41</v>
      </c>
      <c r="K1419" s="9" t="n">
        <v>6</v>
      </c>
      <c r="L1419" s="9" t="n">
        <v>4</v>
      </c>
      <c r="M1419" s="9" t="n">
        <v>2</v>
      </c>
      <c r="N1419" s="9" t="s">
        <v>71</v>
      </c>
      <c r="O1419" s="9"/>
      <c r="P1419" s="9" t="n">
        <v>14.5</v>
      </c>
      <c r="Q1419" s="9" t="n">
        <v>3</v>
      </c>
      <c r="R1419" s="9" t="s">
        <v>44</v>
      </c>
      <c r="S1419" s="9"/>
      <c r="T1419" s="9"/>
      <c r="U1419" s="9" t="str">
        <f aca="false">IF(COUNTIF($A$2:$A$5001,A1419)&gt;1,"Duplicate","Unique")</f>
        <v>Unique</v>
      </c>
      <c r="V1419" s="9" t="str">
        <f aca="false">IF(COUNTIFS($B$2:$B$5001,B1419,$H$2:$H$5001,H1419,$J$2:$J$5001,J1419)&gt;1,"Possible Duplicate Booking","Unique")</f>
        <v>Unique</v>
      </c>
      <c r="W1419" s="9" t="str">
        <f aca="false">IF((H1419-G1419)&lt;&gt;K1419,"Mismatch","OK")</f>
        <v>OK</v>
      </c>
      <c r="X1419" s="9" t="str">
        <f aca="false">IF(TEXT(H1419,"dddd")&lt;&gt;I1419,"Mismatch","OK")</f>
        <v>OK</v>
      </c>
      <c r="Y1419" s="9" t="str">
        <f aca="false">IF(AND(N1419="No",O1419&lt;&gt;""),"Unexpected: channel present but no reminder sent",IF(AND(N1419="Yes",O1419=""),"Missing channel for sent reminder","OK"))</f>
        <v>OK</v>
      </c>
    </row>
    <row r="1420" customFormat="false" ht="15" hidden="false" customHeight="false" outlineLevel="0" collapsed="false">
      <c r="A1420" s="7" t="s">
        <v>2472</v>
      </c>
      <c r="B1420" s="7" t="s">
        <v>2473</v>
      </c>
      <c r="C1420" s="7" t="s">
        <v>37</v>
      </c>
      <c r="D1420" s="7" t="n">
        <v>57</v>
      </c>
      <c r="E1420" s="7" t="s">
        <v>61</v>
      </c>
      <c r="F1420" s="7" t="s">
        <v>49</v>
      </c>
      <c r="G1420" s="8" t="n">
        <v>46069</v>
      </c>
      <c r="H1420" s="8" t="n">
        <v>46128</v>
      </c>
      <c r="I1420" s="7" t="s">
        <v>62</v>
      </c>
      <c r="J1420" s="7" t="s">
        <v>51</v>
      </c>
      <c r="K1420" s="7" t="n">
        <v>59</v>
      </c>
      <c r="L1420" s="7" t="n">
        <v>2</v>
      </c>
      <c r="M1420" s="7" t="n">
        <v>0</v>
      </c>
      <c r="N1420" s="7" t="s">
        <v>42</v>
      </c>
      <c r="O1420" s="7" t="s">
        <v>52</v>
      </c>
      <c r="P1420" s="7" t="n">
        <v>6.2</v>
      </c>
      <c r="Q1420" s="7" t="n">
        <v>20</v>
      </c>
      <c r="R1420" s="7" t="s">
        <v>53</v>
      </c>
      <c r="S1420" s="7"/>
      <c r="T1420" s="7"/>
      <c r="U1420" s="7" t="str">
        <f aca="false">IF(COUNTIF($A$2:$A$5001,A1420)&gt;1,"Duplicate","Unique")</f>
        <v>Unique</v>
      </c>
      <c r="V1420" s="7" t="str">
        <f aca="false">IF(COUNTIFS($B$2:$B$5001,B1420,$H$2:$H$5001,H1420,$J$2:$J$5001,J1420)&gt;1,"Possible Duplicate Booking","Unique")</f>
        <v>Unique</v>
      </c>
      <c r="W1420" s="7" t="str">
        <f aca="false">IF((H1420-G1420)&lt;&gt;K1420,"Mismatch","OK")</f>
        <v>OK</v>
      </c>
      <c r="X1420" s="7" t="str">
        <f aca="false">IF(TEXT(H1420,"dddd")&lt;&gt;I1420,"Mismatch","OK")</f>
        <v>OK</v>
      </c>
      <c r="Y1420" s="7" t="str">
        <f aca="false">IF(AND(N1420="No",O1420&lt;&gt;""),"Unexpected: channel present but no reminder sent",IF(AND(N1420="Yes",O1420=""),"Missing channel for sent reminder","OK"))</f>
        <v>OK</v>
      </c>
    </row>
    <row r="1421" customFormat="false" ht="15" hidden="false" customHeight="false" outlineLevel="0" collapsed="false">
      <c r="A1421" s="9" t="s">
        <v>2474</v>
      </c>
      <c r="B1421" s="9" t="s">
        <v>1909</v>
      </c>
      <c r="C1421" s="9" t="s">
        <v>37</v>
      </c>
      <c r="D1421" s="9" t="n">
        <v>56</v>
      </c>
      <c r="E1421" s="9" t="s">
        <v>61</v>
      </c>
      <c r="F1421" s="9" t="s">
        <v>49</v>
      </c>
      <c r="G1421" s="10" t="n">
        <v>45913</v>
      </c>
      <c r="H1421" s="10" t="n">
        <v>45918</v>
      </c>
      <c r="I1421" s="9" t="s">
        <v>62</v>
      </c>
      <c r="J1421" s="9" t="s">
        <v>63</v>
      </c>
      <c r="K1421" s="9" t="n">
        <v>5</v>
      </c>
      <c r="L1421" s="9" t="n">
        <v>1</v>
      </c>
      <c r="M1421" s="9" t="n">
        <v>0</v>
      </c>
      <c r="N1421" s="9" t="s">
        <v>42</v>
      </c>
      <c r="O1421" s="9" t="s">
        <v>52</v>
      </c>
      <c r="P1421" s="9" t="n">
        <v>9.7</v>
      </c>
      <c r="Q1421" s="9" t="n">
        <v>8</v>
      </c>
      <c r="R1421" s="9" t="s">
        <v>53</v>
      </c>
      <c r="S1421" s="9"/>
      <c r="T1421" s="9"/>
      <c r="U1421" s="9" t="str">
        <f aca="false">IF(COUNTIF($A$2:$A$5001,A1421)&gt;1,"Duplicate","Unique")</f>
        <v>Unique</v>
      </c>
      <c r="V1421" s="9" t="str">
        <f aca="false">IF(COUNTIFS($B$2:$B$5001,B1421,$H$2:$H$5001,H1421,$J$2:$J$5001,J1421)&gt;1,"Possible Duplicate Booking","Unique")</f>
        <v>Unique</v>
      </c>
      <c r="W1421" s="9" t="str">
        <f aca="false">IF((H1421-G1421)&lt;&gt;K1421,"Mismatch","OK")</f>
        <v>OK</v>
      </c>
      <c r="X1421" s="9" t="str">
        <f aca="false">IF(TEXT(H1421,"dddd")&lt;&gt;I1421,"Mismatch","OK")</f>
        <v>OK</v>
      </c>
      <c r="Y1421" s="9" t="str">
        <f aca="false">IF(AND(N1421="No",O1421&lt;&gt;""),"Unexpected: channel present but no reminder sent",IF(AND(N1421="Yes",O1421=""),"Missing channel for sent reminder","OK"))</f>
        <v>OK</v>
      </c>
    </row>
    <row r="1422" customFormat="false" ht="15" hidden="false" customHeight="false" outlineLevel="0" collapsed="false">
      <c r="A1422" s="7" t="s">
        <v>2475</v>
      </c>
      <c r="B1422" s="7" t="s">
        <v>2476</v>
      </c>
      <c r="C1422" s="7" t="s">
        <v>47</v>
      </c>
      <c r="D1422" s="7" t="n">
        <v>52</v>
      </c>
      <c r="E1422" s="7" t="s">
        <v>56</v>
      </c>
      <c r="F1422" s="7" t="s">
        <v>57</v>
      </c>
      <c r="G1422" s="8" t="n">
        <v>46138</v>
      </c>
      <c r="H1422" s="8" t="n">
        <v>46176</v>
      </c>
      <c r="I1422" s="7" t="s">
        <v>58</v>
      </c>
      <c r="J1422" s="7" t="s">
        <v>41</v>
      </c>
      <c r="K1422" s="7" t="n">
        <v>38</v>
      </c>
      <c r="L1422" s="7" t="n">
        <v>3</v>
      </c>
      <c r="M1422" s="7" t="n">
        <v>0</v>
      </c>
      <c r="N1422" s="7" t="s">
        <v>71</v>
      </c>
      <c r="O1422" s="7"/>
      <c r="P1422" s="7" t="n">
        <v>13.4</v>
      </c>
      <c r="Q1422" s="7" t="n">
        <v>31</v>
      </c>
      <c r="R1422" s="7" t="s">
        <v>53</v>
      </c>
      <c r="S1422" s="7"/>
      <c r="T1422" s="7"/>
      <c r="U1422" s="7" t="str">
        <f aca="false">IF(COUNTIF($A$2:$A$5001,A1422)&gt;1,"Duplicate","Unique")</f>
        <v>Unique</v>
      </c>
      <c r="V1422" s="7" t="str">
        <f aca="false">IF(COUNTIFS($B$2:$B$5001,B1422,$H$2:$H$5001,H1422,$J$2:$J$5001,J1422)&gt;1,"Possible Duplicate Booking","Unique")</f>
        <v>Unique</v>
      </c>
      <c r="W1422" s="7" t="str">
        <f aca="false">IF((H1422-G1422)&lt;&gt;K1422,"Mismatch","OK")</f>
        <v>OK</v>
      </c>
      <c r="X1422" s="7" t="str">
        <f aca="false">IF(TEXT(H1422,"dddd")&lt;&gt;I1422,"Mismatch","OK")</f>
        <v>OK</v>
      </c>
      <c r="Y1422" s="7" t="str">
        <f aca="false">IF(AND(N1422="No",O1422&lt;&gt;""),"Unexpected: channel present but no reminder sent",IF(AND(N1422="Yes",O1422=""),"Missing channel for sent reminder","OK"))</f>
        <v>OK</v>
      </c>
    </row>
    <row r="1423" customFormat="false" ht="15" hidden="false" customHeight="false" outlineLevel="0" collapsed="false">
      <c r="A1423" s="9" t="s">
        <v>2477</v>
      </c>
      <c r="B1423" s="9" t="s">
        <v>1678</v>
      </c>
      <c r="C1423" s="9" t="s">
        <v>37</v>
      </c>
      <c r="D1423" s="9" t="n">
        <v>66</v>
      </c>
      <c r="E1423" s="9" t="s">
        <v>70</v>
      </c>
      <c r="F1423" s="9" t="s">
        <v>49</v>
      </c>
      <c r="G1423" s="10" t="n">
        <v>46180</v>
      </c>
      <c r="H1423" s="10" t="n">
        <v>46201</v>
      </c>
      <c r="I1423" s="9" t="s">
        <v>75</v>
      </c>
      <c r="J1423" s="9" t="s">
        <v>41</v>
      </c>
      <c r="K1423" s="9" t="n">
        <v>21</v>
      </c>
      <c r="L1423" s="9" t="n">
        <v>0</v>
      </c>
      <c r="M1423" s="9" t="n">
        <v>0</v>
      </c>
      <c r="N1423" s="9" t="s">
        <v>42</v>
      </c>
      <c r="O1423" s="9" t="s">
        <v>43</v>
      </c>
      <c r="P1423" s="9"/>
      <c r="Q1423" s="9" t="n">
        <v>24</v>
      </c>
      <c r="R1423" s="9" t="s">
        <v>53</v>
      </c>
      <c r="S1423" s="9"/>
      <c r="T1423" s="9"/>
      <c r="U1423" s="9" t="str">
        <f aca="false">IF(COUNTIF($A$2:$A$5001,A1423)&gt;1,"Duplicate","Unique")</f>
        <v>Unique</v>
      </c>
      <c r="V1423" s="9" t="str">
        <f aca="false">IF(COUNTIFS($B$2:$B$5001,B1423,$H$2:$H$5001,H1423,$J$2:$J$5001,J1423)&gt;1,"Possible Duplicate Booking","Unique")</f>
        <v>Unique</v>
      </c>
      <c r="W1423" s="9" t="str">
        <f aca="false">IF((H1423-G1423)&lt;&gt;K1423,"Mismatch","OK")</f>
        <v>OK</v>
      </c>
      <c r="X1423" s="9" t="str">
        <f aca="false">IF(TEXT(H1423,"dddd")&lt;&gt;I1423,"Mismatch","OK")</f>
        <v>OK</v>
      </c>
      <c r="Y1423" s="9" t="str">
        <f aca="false">IF(AND(N1423="No",O1423&lt;&gt;""),"Unexpected: channel present but no reminder sent",IF(AND(N1423="Yes",O1423=""),"Missing channel for sent reminder","OK"))</f>
        <v>OK</v>
      </c>
    </row>
    <row r="1424" customFormat="false" ht="15" hidden="false" customHeight="false" outlineLevel="0" collapsed="false">
      <c r="A1424" s="7" t="s">
        <v>2478</v>
      </c>
      <c r="B1424" s="7" t="s">
        <v>368</v>
      </c>
      <c r="C1424" s="7" t="s">
        <v>47</v>
      </c>
      <c r="D1424" s="7" t="n">
        <v>74</v>
      </c>
      <c r="E1424" s="7" t="s">
        <v>70</v>
      </c>
      <c r="F1424" s="7" t="s">
        <v>57</v>
      </c>
      <c r="G1424" s="8" t="n">
        <v>45969</v>
      </c>
      <c r="H1424" s="8" t="n">
        <v>45979</v>
      </c>
      <c r="I1424" s="7" t="s">
        <v>40</v>
      </c>
      <c r="J1424" s="7" t="s">
        <v>51</v>
      </c>
      <c r="K1424" s="7" t="n">
        <v>10</v>
      </c>
      <c r="L1424" s="7" t="n">
        <v>4</v>
      </c>
      <c r="M1424" s="7" t="n">
        <v>1</v>
      </c>
      <c r="N1424" s="7" t="s">
        <v>42</v>
      </c>
      <c r="O1424" s="7" t="s">
        <v>67</v>
      </c>
      <c r="P1424" s="7" t="n">
        <v>9.9</v>
      </c>
      <c r="Q1424" s="7" t="n">
        <v>34</v>
      </c>
      <c r="R1424" s="7" t="s">
        <v>44</v>
      </c>
      <c r="S1424" s="7"/>
      <c r="T1424" s="7"/>
      <c r="U1424" s="7" t="str">
        <f aca="false">IF(COUNTIF($A$2:$A$5001,A1424)&gt;1,"Duplicate","Unique")</f>
        <v>Unique</v>
      </c>
      <c r="V1424" s="7" t="str">
        <f aca="false">IF(COUNTIFS($B$2:$B$5001,B1424,$H$2:$H$5001,H1424,$J$2:$J$5001,J1424)&gt;1,"Possible Duplicate Booking","Unique")</f>
        <v>Unique</v>
      </c>
      <c r="W1424" s="7" t="str">
        <f aca="false">IF((H1424-G1424)&lt;&gt;K1424,"Mismatch","OK")</f>
        <v>OK</v>
      </c>
      <c r="X1424" s="7" t="str">
        <f aca="false">IF(TEXT(H1424,"dddd")&lt;&gt;I1424,"Mismatch","OK")</f>
        <v>OK</v>
      </c>
      <c r="Y1424" s="7" t="str">
        <f aca="false">IF(AND(N1424="No",O1424&lt;&gt;""),"Unexpected: channel present but no reminder sent",IF(AND(N1424="Yes",O1424=""),"Missing channel for sent reminder","OK"))</f>
        <v>OK</v>
      </c>
    </row>
    <row r="1425" customFormat="false" ht="15" hidden="false" customHeight="false" outlineLevel="0" collapsed="false">
      <c r="A1425" s="9" t="s">
        <v>2479</v>
      </c>
      <c r="B1425" s="9" t="s">
        <v>1038</v>
      </c>
      <c r="C1425" s="9" t="s">
        <v>37</v>
      </c>
      <c r="D1425" s="9" t="n">
        <v>52</v>
      </c>
      <c r="E1425" s="9" t="s">
        <v>56</v>
      </c>
      <c r="F1425" s="9" t="s">
        <v>57</v>
      </c>
      <c r="G1425" s="10" t="n">
        <v>45984</v>
      </c>
      <c r="H1425" s="10" t="n">
        <v>46026</v>
      </c>
      <c r="I1425" s="9" t="s">
        <v>75</v>
      </c>
      <c r="J1425" s="9" t="s">
        <v>63</v>
      </c>
      <c r="K1425" s="9" t="n">
        <v>42</v>
      </c>
      <c r="L1425" s="9" t="n">
        <v>1</v>
      </c>
      <c r="M1425" s="9" t="n">
        <v>0</v>
      </c>
      <c r="N1425" s="9" t="s">
        <v>42</v>
      </c>
      <c r="O1425" s="9" t="s">
        <v>52</v>
      </c>
      <c r="P1425" s="9" t="n">
        <v>11.7</v>
      </c>
      <c r="Q1425" s="9" t="n">
        <v>32</v>
      </c>
      <c r="R1425" s="9" t="s">
        <v>44</v>
      </c>
      <c r="S1425" s="9"/>
      <c r="T1425" s="9"/>
      <c r="U1425" s="9" t="str">
        <f aca="false">IF(COUNTIF($A$2:$A$5001,A1425)&gt;1,"Duplicate","Unique")</f>
        <v>Unique</v>
      </c>
      <c r="V1425" s="9" t="str">
        <f aca="false">IF(COUNTIFS($B$2:$B$5001,B1425,$H$2:$H$5001,H1425,$J$2:$J$5001,J1425)&gt;1,"Possible Duplicate Booking","Unique")</f>
        <v>Unique</v>
      </c>
      <c r="W1425" s="9" t="str">
        <f aca="false">IF((H1425-G1425)&lt;&gt;K1425,"Mismatch","OK")</f>
        <v>OK</v>
      </c>
      <c r="X1425" s="9" t="str">
        <f aca="false">IF(TEXT(H1425,"dddd")&lt;&gt;I1425,"Mismatch","OK")</f>
        <v>OK</v>
      </c>
      <c r="Y1425" s="9" t="str">
        <f aca="false">IF(AND(N1425="No",O1425&lt;&gt;""),"Unexpected: channel present but no reminder sent",IF(AND(N1425="Yes",O1425=""),"Missing channel for sent reminder","OK"))</f>
        <v>OK</v>
      </c>
    </row>
    <row r="1426" customFormat="false" ht="15" hidden="false" customHeight="false" outlineLevel="0" collapsed="false">
      <c r="A1426" s="7" t="s">
        <v>2480</v>
      </c>
      <c r="B1426" s="7" t="s">
        <v>2481</v>
      </c>
      <c r="C1426" s="7" t="s">
        <v>37</v>
      </c>
      <c r="D1426" s="7" t="n">
        <v>38</v>
      </c>
      <c r="E1426" s="7" t="s">
        <v>38</v>
      </c>
      <c r="F1426" s="7" t="s">
        <v>39</v>
      </c>
      <c r="G1426" s="8" t="n">
        <v>45738</v>
      </c>
      <c r="H1426" s="8" t="n">
        <v>45797</v>
      </c>
      <c r="I1426" s="7" t="s">
        <v>40</v>
      </c>
      <c r="J1426" s="7" t="s">
        <v>41</v>
      </c>
      <c r="K1426" s="7" t="n">
        <v>59</v>
      </c>
      <c r="L1426" s="7" t="n">
        <v>3</v>
      </c>
      <c r="M1426" s="7" t="n">
        <v>0</v>
      </c>
      <c r="N1426" s="7" t="s">
        <v>42</v>
      </c>
      <c r="O1426" s="7" t="s">
        <v>43</v>
      </c>
      <c r="P1426" s="7" t="n">
        <v>14.4</v>
      </c>
      <c r="Q1426" s="7" t="n">
        <v>38</v>
      </c>
      <c r="R1426" s="7" t="s">
        <v>53</v>
      </c>
      <c r="S1426" s="7"/>
      <c r="T1426" s="7"/>
      <c r="U1426" s="7" t="str">
        <f aca="false">IF(COUNTIF($A$2:$A$5001,A1426)&gt;1,"Duplicate","Unique")</f>
        <v>Unique</v>
      </c>
      <c r="V1426" s="7" t="str">
        <f aca="false">IF(COUNTIFS($B$2:$B$5001,B1426,$H$2:$H$5001,H1426,$J$2:$J$5001,J1426)&gt;1,"Possible Duplicate Booking","Unique")</f>
        <v>Unique</v>
      </c>
      <c r="W1426" s="7" t="str">
        <f aca="false">IF((H1426-G1426)&lt;&gt;K1426,"Mismatch","OK")</f>
        <v>OK</v>
      </c>
      <c r="X1426" s="7" t="str">
        <f aca="false">IF(TEXT(H1426,"dddd")&lt;&gt;I1426,"Mismatch","OK")</f>
        <v>OK</v>
      </c>
      <c r="Y1426" s="7" t="str">
        <f aca="false">IF(AND(N1426="No",O1426&lt;&gt;""),"Unexpected: channel present but no reminder sent",IF(AND(N1426="Yes",O1426=""),"Missing channel for sent reminder","OK"))</f>
        <v>OK</v>
      </c>
    </row>
    <row r="1427" customFormat="false" ht="15" hidden="false" customHeight="false" outlineLevel="0" collapsed="false">
      <c r="A1427" s="9" t="s">
        <v>2482</v>
      </c>
      <c r="B1427" s="9" t="s">
        <v>379</v>
      </c>
      <c r="C1427" s="9" t="s">
        <v>37</v>
      </c>
      <c r="D1427" s="9" t="n">
        <v>79</v>
      </c>
      <c r="E1427" s="9" t="s">
        <v>70</v>
      </c>
      <c r="F1427" s="9" t="s">
        <v>39</v>
      </c>
      <c r="G1427" s="10" t="n">
        <v>46054</v>
      </c>
      <c r="H1427" s="10" t="n">
        <v>46102</v>
      </c>
      <c r="I1427" s="9" t="s">
        <v>102</v>
      </c>
      <c r="J1427" s="9" t="s">
        <v>41</v>
      </c>
      <c r="K1427" s="9" t="n">
        <v>48</v>
      </c>
      <c r="L1427" s="9" t="n">
        <v>5</v>
      </c>
      <c r="M1427" s="9" t="n">
        <v>1</v>
      </c>
      <c r="N1427" s="9" t="s">
        <v>42</v>
      </c>
      <c r="O1427" s="9" t="s">
        <v>67</v>
      </c>
      <c r="P1427" s="9" t="n">
        <v>3.4</v>
      </c>
      <c r="Q1427" s="9" t="n">
        <v>17</v>
      </c>
      <c r="R1427" s="9" t="s">
        <v>44</v>
      </c>
      <c r="S1427" s="9"/>
      <c r="T1427" s="9"/>
      <c r="U1427" s="9" t="str">
        <f aca="false">IF(COUNTIF($A$2:$A$5001,A1427)&gt;1,"Duplicate","Unique")</f>
        <v>Unique</v>
      </c>
      <c r="V1427" s="9" t="str">
        <f aca="false">IF(COUNTIFS($B$2:$B$5001,B1427,$H$2:$H$5001,H1427,$J$2:$J$5001,J1427)&gt;1,"Possible Duplicate Booking","Unique")</f>
        <v>Unique</v>
      </c>
      <c r="W1427" s="9" t="str">
        <f aca="false">IF((H1427-G1427)&lt;&gt;K1427,"Mismatch","OK")</f>
        <v>OK</v>
      </c>
      <c r="X1427" s="9" t="str">
        <f aca="false">IF(TEXT(H1427,"dddd")&lt;&gt;I1427,"Mismatch","OK")</f>
        <v>OK</v>
      </c>
      <c r="Y1427" s="9" t="str">
        <f aca="false">IF(AND(N1427="No",O1427&lt;&gt;""),"Unexpected: channel present but no reminder sent",IF(AND(N1427="Yes",O1427=""),"Missing channel for sent reminder","OK"))</f>
        <v>OK</v>
      </c>
    </row>
    <row r="1428" customFormat="false" ht="15" hidden="false" customHeight="false" outlineLevel="0" collapsed="false">
      <c r="A1428" s="7" t="s">
        <v>2483</v>
      </c>
      <c r="B1428" s="7" t="s">
        <v>1859</v>
      </c>
      <c r="C1428" s="7" t="s">
        <v>47</v>
      </c>
      <c r="D1428" s="7" t="n">
        <v>78</v>
      </c>
      <c r="E1428" s="7" t="s">
        <v>70</v>
      </c>
      <c r="F1428" s="7" t="s">
        <v>49</v>
      </c>
      <c r="G1428" s="8" t="n">
        <v>45965</v>
      </c>
      <c r="H1428" s="8" t="n">
        <v>46024</v>
      </c>
      <c r="I1428" s="7" t="s">
        <v>50</v>
      </c>
      <c r="J1428" s="7" t="s">
        <v>51</v>
      </c>
      <c r="K1428" s="7" t="n">
        <v>59</v>
      </c>
      <c r="L1428" s="7" t="n">
        <v>2</v>
      </c>
      <c r="M1428" s="7" t="n">
        <v>1</v>
      </c>
      <c r="N1428" s="7" t="s">
        <v>42</v>
      </c>
      <c r="O1428" s="7" t="s">
        <v>52</v>
      </c>
      <c r="P1428" s="7" t="n">
        <v>1.1</v>
      </c>
      <c r="Q1428" s="7" t="n">
        <v>5</v>
      </c>
      <c r="R1428" s="7" t="s">
        <v>53</v>
      </c>
      <c r="S1428" s="7"/>
      <c r="T1428" s="7"/>
      <c r="U1428" s="7" t="str">
        <f aca="false">IF(COUNTIF($A$2:$A$5001,A1428)&gt;1,"Duplicate","Unique")</f>
        <v>Unique</v>
      </c>
      <c r="V1428" s="7" t="str">
        <f aca="false">IF(COUNTIFS($B$2:$B$5001,B1428,$H$2:$H$5001,H1428,$J$2:$J$5001,J1428)&gt;1,"Possible Duplicate Booking","Unique")</f>
        <v>Unique</v>
      </c>
      <c r="W1428" s="7" t="str">
        <f aca="false">IF((H1428-G1428)&lt;&gt;K1428,"Mismatch","OK")</f>
        <v>OK</v>
      </c>
      <c r="X1428" s="7" t="str">
        <f aca="false">IF(TEXT(H1428,"dddd")&lt;&gt;I1428,"Mismatch","OK")</f>
        <v>OK</v>
      </c>
      <c r="Y1428" s="7" t="str">
        <f aca="false">IF(AND(N1428="No",O1428&lt;&gt;""),"Unexpected: channel present but no reminder sent",IF(AND(N1428="Yes",O1428=""),"Missing channel for sent reminder","OK"))</f>
        <v>OK</v>
      </c>
    </row>
    <row r="1429" customFormat="false" ht="15" hidden="false" customHeight="false" outlineLevel="0" collapsed="false">
      <c r="A1429" s="9" t="s">
        <v>2484</v>
      </c>
      <c r="B1429" s="9" t="s">
        <v>1201</v>
      </c>
      <c r="C1429" s="9" t="s">
        <v>47</v>
      </c>
      <c r="D1429" s="9" t="n">
        <v>61</v>
      </c>
      <c r="E1429" s="9" t="s">
        <v>61</v>
      </c>
      <c r="F1429" s="9" t="s">
        <v>74</v>
      </c>
      <c r="G1429" s="10" t="n">
        <v>46114</v>
      </c>
      <c r="H1429" s="10" t="n">
        <v>46150</v>
      </c>
      <c r="I1429" s="9" t="s">
        <v>50</v>
      </c>
      <c r="J1429" s="9" t="s">
        <v>51</v>
      </c>
      <c r="K1429" s="9" t="n">
        <v>36</v>
      </c>
      <c r="L1429" s="9" t="n">
        <v>5</v>
      </c>
      <c r="M1429" s="9" t="n">
        <v>0</v>
      </c>
      <c r="N1429" s="9" t="s">
        <v>42</v>
      </c>
      <c r="O1429" s="9" t="s">
        <v>43</v>
      </c>
      <c r="P1429" s="9" t="n">
        <v>13.2</v>
      </c>
      <c r="Q1429" s="9" t="n">
        <v>47</v>
      </c>
      <c r="R1429" s="9" t="s">
        <v>44</v>
      </c>
      <c r="S1429" s="9"/>
      <c r="T1429" s="9"/>
      <c r="U1429" s="9" t="str">
        <f aca="false">IF(COUNTIF($A$2:$A$5001,A1429)&gt;1,"Duplicate","Unique")</f>
        <v>Unique</v>
      </c>
      <c r="V1429" s="9" t="str">
        <f aca="false">IF(COUNTIFS($B$2:$B$5001,B1429,$H$2:$H$5001,H1429,$J$2:$J$5001,J1429)&gt;1,"Possible Duplicate Booking","Unique")</f>
        <v>Unique</v>
      </c>
      <c r="W1429" s="9" t="str">
        <f aca="false">IF((H1429-G1429)&lt;&gt;K1429,"Mismatch","OK")</f>
        <v>OK</v>
      </c>
      <c r="X1429" s="9" t="str">
        <f aca="false">IF(TEXT(H1429,"dddd")&lt;&gt;I1429,"Mismatch","OK")</f>
        <v>OK</v>
      </c>
      <c r="Y1429" s="9" t="str">
        <f aca="false">IF(AND(N1429="No",O1429&lt;&gt;""),"Unexpected: channel present but no reminder sent",IF(AND(N1429="Yes",O1429=""),"Missing channel for sent reminder","OK"))</f>
        <v>OK</v>
      </c>
    </row>
    <row r="1430" customFormat="false" ht="15" hidden="false" customHeight="false" outlineLevel="0" collapsed="false">
      <c r="A1430" s="7" t="s">
        <v>2485</v>
      </c>
      <c r="B1430" s="7" t="s">
        <v>2486</v>
      </c>
      <c r="C1430" s="7" t="s">
        <v>47</v>
      </c>
      <c r="D1430" s="7" t="n">
        <v>58</v>
      </c>
      <c r="E1430" s="7" t="s">
        <v>61</v>
      </c>
      <c r="F1430" s="7" t="s">
        <v>57</v>
      </c>
      <c r="G1430" s="8" t="n">
        <v>45762</v>
      </c>
      <c r="H1430" s="8" t="n">
        <v>45803</v>
      </c>
      <c r="I1430" s="7" t="s">
        <v>66</v>
      </c>
      <c r="J1430" s="7" t="s">
        <v>41</v>
      </c>
      <c r="K1430" s="7" t="n">
        <v>41</v>
      </c>
      <c r="L1430" s="7" t="n">
        <v>1</v>
      </c>
      <c r="M1430" s="7" t="n">
        <v>0</v>
      </c>
      <c r="N1430" s="7" t="s">
        <v>42</v>
      </c>
      <c r="O1430" s="7" t="s">
        <v>52</v>
      </c>
      <c r="P1430" s="7" t="n">
        <v>10.1</v>
      </c>
      <c r="Q1430" s="7" t="n">
        <v>19</v>
      </c>
      <c r="R1430" s="7" t="s">
        <v>44</v>
      </c>
      <c r="S1430" s="7"/>
      <c r="T1430" s="7"/>
      <c r="U1430" s="7" t="str">
        <f aca="false">IF(COUNTIF($A$2:$A$5001,A1430)&gt;1,"Duplicate","Unique")</f>
        <v>Unique</v>
      </c>
      <c r="V1430" s="7" t="str">
        <f aca="false">IF(COUNTIFS($B$2:$B$5001,B1430,$H$2:$H$5001,H1430,$J$2:$J$5001,J1430)&gt;1,"Possible Duplicate Booking","Unique")</f>
        <v>Unique</v>
      </c>
      <c r="W1430" s="7" t="str">
        <f aca="false">IF((H1430-G1430)&lt;&gt;K1430,"Mismatch","OK")</f>
        <v>OK</v>
      </c>
      <c r="X1430" s="7" t="str">
        <f aca="false">IF(TEXT(H1430,"dddd")&lt;&gt;I1430,"Mismatch","OK")</f>
        <v>OK</v>
      </c>
      <c r="Y1430" s="7" t="str">
        <f aca="false">IF(AND(N1430="No",O1430&lt;&gt;""),"Unexpected: channel present but no reminder sent",IF(AND(N1430="Yes",O1430=""),"Missing channel for sent reminder","OK"))</f>
        <v>OK</v>
      </c>
    </row>
    <row r="1431" customFormat="false" ht="15" hidden="false" customHeight="false" outlineLevel="0" collapsed="false">
      <c r="A1431" s="9" t="s">
        <v>2487</v>
      </c>
      <c r="B1431" s="9" t="s">
        <v>562</v>
      </c>
      <c r="C1431" s="9" t="s">
        <v>37</v>
      </c>
      <c r="D1431" s="9" t="n">
        <v>24</v>
      </c>
      <c r="E1431" s="9" t="s">
        <v>82</v>
      </c>
      <c r="F1431" s="9" t="s">
        <v>57</v>
      </c>
      <c r="G1431" s="10" t="n">
        <v>46080</v>
      </c>
      <c r="H1431" s="10" t="n">
        <v>46088</v>
      </c>
      <c r="I1431" s="9" t="s">
        <v>102</v>
      </c>
      <c r="J1431" s="9" t="s">
        <v>41</v>
      </c>
      <c r="K1431" s="9" t="n">
        <v>8</v>
      </c>
      <c r="L1431" s="9" t="n">
        <v>6</v>
      </c>
      <c r="M1431" s="9" t="n">
        <v>2</v>
      </c>
      <c r="N1431" s="9" t="s">
        <v>42</v>
      </c>
      <c r="O1431" s="9" t="s">
        <v>67</v>
      </c>
      <c r="P1431" s="9" t="n">
        <v>3.2</v>
      </c>
      <c r="Q1431" s="9" t="n">
        <v>25</v>
      </c>
      <c r="R1431" s="9" t="s">
        <v>44</v>
      </c>
      <c r="S1431" s="9"/>
      <c r="T1431" s="9"/>
      <c r="U1431" s="9" t="str">
        <f aca="false">IF(COUNTIF($A$2:$A$5001,A1431)&gt;1,"Duplicate","Unique")</f>
        <v>Unique</v>
      </c>
      <c r="V1431" s="9" t="str">
        <f aca="false">IF(COUNTIFS($B$2:$B$5001,B1431,$H$2:$H$5001,H1431,$J$2:$J$5001,J1431)&gt;1,"Possible Duplicate Booking","Unique")</f>
        <v>Unique</v>
      </c>
      <c r="W1431" s="9" t="str">
        <f aca="false">IF((H1431-G1431)&lt;&gt;K1431,"Mismatch","OK")</f>
        <v>OK</v>
      </c>
      <c r="X1431" s="9" t="str">
        <f aca="false">IF(TEXT(H1431,"dddd")&lt;&gt;I1431,"Mismatch","OK")</f>
        <v>OK</v>
      </c>
      <c r="Y1431" s="9" t="str">
        <f aca="false">IF(AND(N1431="No",O1431&lt;&gt;""),"Unexpected: channel present but no reminder sent",IF(AND(N1431="Yes",O1431=""),"Missing channel for sent reminder","OK"))</f>
        <v>OK</v>
      </c>
    </row>
    <row r="1432" customFormat="false" ht="15" hidden="false" customHeight="false" outlineLevel="0" collapsed="false">
      <c r="A1432" s="7" t="s">
        <v>2488</v>
      </c>
      <c r="B1432" s="7" t="s">
        <v>2489</v>
      </c>
      <c r="C1432" s="7" t="s">
        <v>47</v>
      </c>
      <c r="D1432" s="7" t="n">
        <v>43</v>
      </c>
      <c r="E1432" s="7" t="s">
        <v>38</v>
      </c>
      <c r="F1432" s="7" t="s">
        <v>39</v>
      </c>
      <c r="G1432" s="8" t="n">
        <v>45863</v>
      </c>
      <c r="H1432" s="8" t="n">
        <v>45914</v>
      </c>
      <c r="I1432" s="7" t="s">
        <v>75</v>
      </c>
      <c r="J1432" s="7" t="s">
        <v>41</v>
      </c>
      <c r="K1432" s="7" t="n">
        <v>51</v>
      </c>
      <c r="L1432" s="7" t="n">
        <v>0</v>
      </c>
      <c r="M1432" s="7" t="n">
        <v>0</v>
      </c>
      <c r="N1432" s="7" t="s">
        <v>42</v>
      </c>
      <c r="O1432" s="7" t="s">
        <v>52</v>
      </c>
      <c r="P1432" s="7" t="n">
        <v>13.8</v>
      </c>
      <c r="Q1432" s="7" t="n">
        <v>37</v>
      </c>
      <c r="R1432" s="7" t="s">
        <v>44</v>
      </c>
      <c r="S1432" s="7"/>
      <c r="T1432" s="7"/>
      <c r="U1432" s="7" t="str">
        <f aca="false">IF(COUNTIF($A$2:$A$5001,A1432)&gt;1,"Duplicate","Unique")</f>
        <v>Unique</v>
      </c>
      <c r="V1432" s="7" t="str">
        <f aca="false">IF(COUNTIFS($B$2:$B$5001,B1432,$H$2:$H$5001,H1432,$J$2:$J$5001,J1432)&gt;1,"Possible Duplicate Booking","Unique")</f>
        <v>Unique</v>
      </c>
      <c r="W1432" s="7" t="str">
        <f aca="false">IF((H1432-G1432)&lt;&gt;K1432,"Mismatch","OK")</f>
        <v>OK</v>
      </c>
      <c r="X1432" s="7" t="str">
        <f aca="false">IF(TEXT(H1432,"dddd")&lt;&gt;I1432,"Mismatch","OK")</f>
        <v>OK</v>
      </c>
      <c r="Y1432" s="7" t="str">
        <f aca="false">IF(AND(N1432="No",O1432&lt;&gt;""),"Unexpected: channel present but no reminder sent",IF(AND(N1432="Yes",O1432=""),"Missing channel for sent reminder","OK"))</f>
        <v>OK</v>
      </c>
    </row>
    <row r="1433" customFormat="false" ht="15" hidden="false" customHeight="false" outlineLevel="0" collapsed="false">
      <c r="A1433" s="9" t="s">
        <v>2490</v>
      </c>
      <c r="B1433" s="9" t="s">
        <v>793</v>
      </c>
      <c r="C1433" s="9" t="s">
        <v>47</v>
      </c>
      <c r="D1433" s="9" t="n">
        <v>30</v>
      </c>
      <c r="E1433" s="9" t="s">
        <v>48</v>
      </c>
      <c r="F1433" s="9" t="s">
        <v>57</v>
      </c>
      <c r="G1433" s="10" t="n">
        <v>45714</v>
      </c>
      <c r="H1433" s="10" t="n">
        <v>45759</v>
      </c>
      <c r="I1433" s="9" t="s">
        <v>102</v>
      </c>
      <c r="J1433" s="9" t="s">
        <v>41</v>
      </c>
      <c r="K1433" s="9" t="n">
        <v>45</v>
      </c>
      <c r="L1433" s="9" t="n">
        <v>3</v>
      </c>
      <c r="M1433" s="9" t="n">
        <v>0</v>
      </c>
      <c r="N1433" s="9" t="s">
        <v>42</v>
      </c>
      <c r="O1433" s="9" t="s">
        <v>52</v>
      </c>
      <c r="P1433" s="9" t="n">
        <v>3.1</v>
      </c>
      <c r="Q1433" s="9"/>
      <c r="R1433" s="9" t="s">
        <v>44</v>
      </c>
      <c r="S1433" s="9"/>
      <c r="T1433" s="9"/>
      <c r="U1433" s="9" t="str">
        <f aca="false">IF(COUNTIF($A$2:$A$5001,A1433)&gt;1,"Duplicate","Unique")</f>
        <v>Unique</v>
      </c>
      <c r="V1433" s="9" t="str">
        <f aca="false">IF(COUNTIFS($B$2:$B$5001,B1433,$H$2:$H$5001,H1433,$J$2:$J$5001,J1433)&gt;1,"Possible Duplicate Booking","Unique")</f>
        <v>Unique</v>
      </c>
      <c r="W1433" s="9" t="str">
        <f aca="false">IF((H1433-G1433)&lt;&gt;K1433,"Mismatch","OK")</f>
        <v>OK</v>
      </c>
      <c r="X1433" s="9" t="str">
        <f aca="false">IF(TEXT(H1433,"dddd")&lt;&gt;I1433,"Mismatch","OK")</f>
        <v>OK</v>
      </c>
      <c r="Y1433" s="9" t="str">
        <f aca="false">IF(AND(N1433="No",O1433&lt;&gt;""),"Unexpected: channel present but no reminder sent",IF(AND(N1433="Yes",O1433=""),"Missing channel for sent reminder","OK"))</f>
        <v>OK</v>
      </c>
    </row>
    <row r="1434" customFormat="false" ht="15" hidden="false" customHeight="false" outlineLevel="0" collapsed="false">
      <c r="A1434" s="7" t="s">
        <v>2491</v>
      </c>
      <c r="B1434" s="7" t="s">
        <v>1208</v>
      </c>
      <c r="C1434" s="7" t="s">
        <v>47</v>
      </c>
      <c r="D1434" s="7" t="n">
        <v>50</v>
      </c>
      <c r="E1434" s="7" t="s">
        <v>56</v>
      </c>
      <c r="F1434" s="7" t="s">
        <v>57</v>
      </c>
      <c r="G1434" s="8" t="n">
        <v>45736</v>
      </c>
      <c r="H1434" s="8" t="n">
        <v>45751</v>
      </c>
      <c r="I1434" s="7" t="s">
        <v>50</v>
      </c>
      <c r="J1434" s="7" t="s">
        <v>41</v>
      </c>
      <c r="K1434" s="7" t="n">
        <v>15</v>
      </c>
      <c r="L1434" s="7" t="n">
        <v>5</v>
      </c>
      <c r="M1434" s="7" t="n">
        <v>2</v>
      </c>
      <c r="N1434" s="7" t="s">
        <v>42</v>
      </c>
      <c r="O1434" s="7" t="s">
        <v>52</v>
      </c>
      <c r="P1434" s="7" t="n">
        <v>9.5</v>
      </c>
      <c r="Q1434" s="7" t="n">
        <v>13</v>
      </c>
      <c r="R1434" s="7" t="s">
        <v>53</v>
      </c>
      <c r="S1434" s="7"/>
      <c r="T1434" s="7"/>
      <c r="U1434" s="7" t="str">
        <f aca="false">IF(COUNTIF($A$2:$A$5001,A1434)&gt;1,"Duplicate","Unique")</f>
        <v>Unique</v>
      </c>
      <c r="V1434" s="7" t="str">
        <f aca="false">IF(COUNTIFS($B$2:$B$5001,B1434,$H$2:$H$5001,H1434,$J$2:$J$5001,J1434)&gt;1,"Possible Duplicate Booking","Unique")</f>
        <v>Unique</v>
      </c>
      <c r="W1434" s="7" t="str">
        <f aca="false">IF((H1434-G1434)&lt;&gt;K1434,"Mismatch","OK")</f>
        <v>OK</v>
      </c>
      <c r="X1434" s="7" t="str">
        <f aca="false">IF(TEXT(H1434,"dddd")&lt;&gt;I1434,"Mismatch","OK")</f>
        <v>OK</v>
      </c>
      <c r="Y1434" s="7" t="str">
        <f aca="false">IF(AND(N1434="No",O1434&lt;&gt;""),"Unexpected: channel present but no reminder sent",IF(AND(N1434="Yes",O1434=""),"Missing channel for sent reminder","OK"))</f>
        <v>OK</v>
      </c>
    </row>
    <row r="1435" customFormat="false" ht="15" hidden="false" customHeight="false" outlineLevel="0" collapsed="false">
      <c r="A1435" s="9" t="s">
        <v>2492</v>
      </c>
      <c r="B1435" s="9" t="s">
        <v>2493</v>
      </c>
      <c r="C1435" s="9" t="s">
        <v>47</v>
      </c>
      <c r="D1435" s="9" t="n">
        <v>70</v>
      </c>
      <c r="E1435" s="9" t="s">
        <v>70</v>
      </c>
      <c r="F1435" s="9" t="s">
        <v>74</v>
      </c>
      <c r="G1435" s="10" t="n">
        <v>45943</v>
      </c>
      <c r="H1435" s="10" t="n">
        <v>45964</v>
      </c>
      <c r="I1435" s="9" t="s">
        <v>66</v>
      </c>
      <c r="J1435" s="9" t="s">
        <v>41</v>
      </c>
      <c r="K1435" s="9" t="n">
        <v>21</v>
      </c>
      <c r="L1435" s="9" t="n">
        <v>2</v>
      </c>
      <c r="M1435" s="9" t="n">
        <v>1</v>
      </c>
      <c r="N1435" s="9" t="s">
        <v>71</v>
      </c>
      <c r="O1435" s="9"/>
      <c r="P1435" s="9" t="n">
        <v>13.3</v>
      </c>
      <c r="Q1435" s="9" t="n">
        <v>48</v>
      </c>
      <c r="R1435" s="9" t="s">
        <v>53</v>
      </c>
      <c r="S1435" s="9"/>
      <c r="T1435" s="9"/>
      <c r="U1435" s="9" t="str">
        <f aca="false">IF(COUNTIF($A$2:$A$5001,A1435)&gt;1,"Duplicate","Unique")</f>
        <v>Unique</v>
      </c>
      <c r="V1435" s="9" t="str">
        <f aca="false">IF(COUNTIFS($B$2:$B$5001,B1435,$H$2:$H$5001,H1435,$J$2:$J$5001,J1435)&gt;1,"Possible Duplicate Booking","Unique")</f>
        <v>Unique</v>
      </c>
      <c r="W1435" s="9" t="str">
        <f aca="false">IF((H1435-G1435)&lt;&gt;K1435,"Mismatch","OK")</f>
        <v>OK</v>
      </c>
      <c r="X1435" s="9" t="str">
        <f aca="false">IF(TEXT(H1435,"dddd")&lt;&gt;I1435,"Mismatch","OK")</f>
        <v>OK</v>
      </c>
      <c r="Y1435" s="9" t="str">
        <f aca="false">IF(AND(N1435="No",O1435&lt;&gt;""),"Unexpected: channel present but no reminder sent",IF(AND(N1435="Yes",O1435=""),"Missing channel for sent reminder","OK"))</f>
        <v>OK</v>
      </c>
    </row>
    <row r="1436" customFormat="false" ht="15" hidden="false" customHeight="false" outlineLevel="0" collapsed="false">
      <c r="A1436" s="7" t="s">
        <v>2494</v>
      </c>
      <c r="B1436" s="7" t="s">
        <v>2495</v>
      </c>
      <c r="C1436" s="7" t="s">
        <v>47</v>
      </c>
      <c r="D1436" s="7" t="n">
        <v>32</v>
      </c>
      <c r="E1436" s="7" t="s">
        <v>48</v>
      </c>
      <c r="F1436" s="7" t="s">
        <v>49</v>
      </c>
      <c r="G1436" s="8" t="n">
        <v>45795</v>
      </c>
      <c r="H1436" s="8" t="n">
        <v>45832</v>
      </c>
      <c r="I1436" s="7" t="s">
        <v>40</v>
      </c>
      <c r="J1436" s="7" t="s">
        <v>41</v>
      </c>
      <c r="K1436" s="7" t="n">
        <v>37</v>
      </c>
      <c r="L1436" s="7" t="n">
        <v>3</v>
      </c>
      <c r="M1436" s="7" t="n">
        <v>0</v>
      </c>
      <c r="N1436" s="7" t="s">
        <v>71</v>
      </c>
      <c r="O1436" s="7"/>
      <c r="P1436" s="7" t="n">
        <v>16.6</v>
      </c>
      <c r="Q1436" s="7" t="n">
        <v>19</v>
      </c>
      <c r="R1436" s="7" t="s">
        <v>53</v>
      </c>
      <c r="S1436" s="7"/>
      <c r="T1436" s="7"/>
      <c r="U1436" s="7" t="str">
        <f aca="false">IF(COUNTIF($A$2:$A$5001,A1436)&gt;1,"Duplicate","Unique")</f>
        <v>Unique</v>
      </c>
      <c r="V1436" s="7" t="str">
        <f aca="false">IF(COUNTIFS($B$2:$B$5001,B1436,$H$2:$H$5001,H1436,$J$2:$J$5001,J1436)&gt;1,"Possible Duplicate Booking","Unique")</f>
        <v>Unique</v>
      </c>
      <c r="W1436" s="7" t="str">
        <f aca="false">IF((H1436-G1436)&lt;&gt;K1436,"Mismatch","OK")</f>
        <v>OK</v>
      </c>
      <c r="X1436" s="7" t="str">
        <f aca="false">IF(TEXT(H1436,"dddd")&lt;&gt;I1436,"Mismatch","OK")</f>
        <v>OK</v>
      </c>
      <c r="Y1436" s="7" t="str">
        <f aca="false">IF(AND(N1436="No",O1436&lt;&gt;""),"Unexpected: channel present but no reminder sent",IF(AND(N1436="Yes",O1436=""),"Missing channel for sent reminder","OK"))</f>
        <v>OK</v>
      </c>
    </row>
    <row r="1437" customFormat="false" ht="15" hidden="false" customHeight="false" outlineLevel="0" collapsed="false">
      <c r="A1437" s="9" t="s">
        <v>2496</v>
      </c>
      <c r="B1437" s="9" t="s">
        <v>2497</v>
      </c>
      <c r="C1437" s="9" t="s">
        <v>47</v>
      </c>
      <c r="D1437" s="9" t="n">
        <v>80</v>
      </c>
      <c r="E1437" s="9" t="s">
        <v>70</v>
      </c>
      <c r="F1437" s="9" t="s">
        <v>74</v>
      </c>
      <c r="G1437" s="10" t="n">
        <v>45713</v>
      </c>
      <c r="H1437" s="10" t="n">
        <v>45713</v>
      </c>
      <c r="I1437" s="9" t="s">
        <v>40</v>
      </c>
      <c r="J1437" s="9" t="s">
        <v>51</v>
      </c>
      <c r="K1437" s="9" t="n">
        <v>0</v>
      </c>
      <c r="L1437" s="9" t="n">
        <v>3</v>
      </c>
      <c r="M1437" s="9" t="n">
        <v>2</v>
      </c>
      <c r="N1437" s="9" t="s">
        <v>42</v>
      </c>
      <c r="O1437" s="9" t="s">
        <v>52</v>
      </c>
      <c r="P1437" s="9" t="n">
        <v>6.9</v>
      </c>
      <c r="Q1437" s="9" t="n">
        <v>45</v>
      </c>
      <c r="R1437" s="9" t="s">
        <v>44</v>
      </c>
      <c r="S1437" s="9"/>
      <c r="T1437" s="9"/>
      <c r="U1437" s="9" t="str">
        <f aca="false">IF(COUNTIF($A$2:$A$5001,A1437)&gt;1,"Duplicate","Unique")</f>
        <v>Unique</v>
      </c>
      <c r="V1437" s="9" t="str">
        <f aca="false">IF(COUNTIFS($B$2:$B$5001,B1437,$H$2:$H$5001,H1437,$J$2:$J$5001,J1437)&gt;1,"Possible Duplicate Booking","Unique")</f>
        <v>Unique</v>
      </c>
      <c r="W1437" s="9" t="str">
        <f aca="false">IF((H1437-G1437)&lt;&gt;K1437,"Mismatch","OK")</f>
        <v>OK</v>
      </c>
      <c r="X1437" s="9" t="str">
        <f aca="false">IF(TEXT(H1437,"dddd")&lt;&gt;I1437,"Mismatch","OK")</f>
        <v>OK</v>
      </c>
      <c r="Y1437" s="9" t="str">
        <f aca="false">IF(AND(N1437="No",O1437&lt;&gt;""),"Unexpected: channel present but no reminder sent",IF(AND(N1437="Yes",O1437=""),"Missing channel for sent reminder","OK"))</f>
        <v>OK</v>
      </c>
    </row>
    <row r="1438" customFormat="false" ht="15" hidden="false" customHeight="false" outlineLevel="0" collapsed="false">
      <c r="A1438" s="7" t="s">
        <v>2498</v>
      </c>
      <c r="B1438" s="7" t="s">
        <v>2499</v>
      </c>
      <c r="C1438" s="7" t="s">
        <v>37</v>
      </c>
      <c r="D1438" s="7" t="n">
        <v>26</v>
      </c>
      <c r="E1438" s="7" t="s">
        <v>48</v>
      </c>
      <c r="F1438" s="7" t="s">
        <v>57</v>
      </c>
      <c r="G1438" s="8" t="n">
        <v>45842</v>
      </c>
      <c r="H1438" s="8" t="n">
        <v>45891</v>
      </c>
      <c r="I1438" s="7" t="s">
        <v>50</v>
      </c>
      <c r="J1438" s="7" t="s">
        <v>41</v>
      </c>
      <c r="K1438" s="7" t="n">
        <v>49</v>
      </c>
      <c r="L1438" s="7" t="n">
        <v>7</v>
      </c>
      <c r="M1438" s="7" t="n">
        <v>2</v>
      </c>
      <c r="N1438" s="7" t="s">
        <v>42</v>
      </c>
      <c r="O1438" s="7" t="s">
        <v>67</v>
      </c>
      <c r="P1438" s="7" t="n">
        <v>15.8</v>
      </c>
      <c r="Q1438" s="7" t="n">
        <v>29</v>
      </c>
      <c r="R1438" s="7" t="s">
        <v>44</v>
      </c>
      <c r="S1438" s="7"/>
      <c r="T1438" s="7"/>
      <c r="U1438" s="7" t="str">
        <f aca="false">IF(COUNTIF($A$2:$A$5001,A1438)&gt;1,"Duplicate","Unique")</f>
        <v>Unique</v>
      </c>
      <c r="V1438" s="7" t="str">
        <f aca="false">IF(COUNTIFS($B$2:$B$5001,B1438,$H$2:$H$5001,H1438,$J$2:$J$5001,J1438)&gt;1,"Possible Duplicate Booking","Unique")</f>
        <v>Unique</v>
      </c>
      <c r="W1438" s="7" t="str">
        <f aca="false">IF((H1438-G1438)&lt;&gt;K1438,"Mismatch","OK")</f>
        <v>OK</v>
      </c>
      <c r="X1438" s="7" t="str">
        <f aca="false">IF(TEXT(H1438,"dddd")&lt;&gt;I1438,"Mismatch","OK")</f>
        <v>OK</v>
      </c>
      <c r="Y1438" s="7" t="str">
        <f aca="false">IF(AND(N1438="No",O1438&lt;&gt;""),"Unexpected: channel present but no reminder sent",IF(AND(N1438="Yes",O1438=""),"Missing channel for sent reminder","OK"))</f>
        <v>OK</v>
      </c>
    </row>
    <row r="1439" customFormat="false" ht="15" hidden="false" customHeight="false" outlineLevel="0" collapsed="false">
      <c r="A1439" s="9" t="s">
        <v>2500</v>
      </c>
      <c r="B1439" s="9" t="s">
        <v>2501</v>
      </c>
      <c r="C1439" s="9" t="s">
        <v>47</v>
      </c>
      <c r="D1439" s="9" t="n">
        <v>24</v>
      </c>
      <c r="E1439" s="9" t="s">
        <v>82</v>
      </c>
      <c r="F1439" s="9" t="s">
        <v>57</v>
      </c>
      <c r="G1439" s="10" t="n">
        <v>45997</v>
      </c>
      <c r="H1439" s="10" t="n">
        <v>46014</v>
      </c>
      <c r="I1439" s="9" t="s">
        <v>40</v>
      </c>
      <c r="J1439" s="9" t="s">
        <v>51</v>
      </c>
      <c r="K1439" s="9" t="n">
        <v>17</v>
      </c>
      <c r="L1439" s="9" t="n">
        <v>1</v>
      </c>
      <c r="M1439" s="9" t="n">
        <v>0</v>
      </c>
      <c r="N1439" s="9" t="s">
        <v>71</v>
      </c>
      <c r="O1439" s="9"/>
      <c r="P1439" s="9" t="n">
        <v>7.6</v>
      </c>
      <c r="Q1439" s="9" t="n">
        <v>36</v>
      </c>
      <c r="R1439" s="9" t="s">
        <v>44</v>
      </c>
      <c r="S1439" s="9"/>
      <c r="T1439" s="9"/>
      <c r="U1439" s="9" t="str">
        <f aca="false">IF(COUNTIF($A$2:$A$5001,A1439)&gt;1,"Duplicate","Unique")</f>
        <v>Unique</v>
      </c>
      <c r="V1439" s="9" t="str">
        <f aca="false">IF(COUNTIFS($B$2:$B$5001,B1439,$H$2:$H$5001,H1439,$J$2:$J$5001,J1439)&gt;1,"Possible Duplicate Booking","Unique")</f>
        <v>Unique</v>
      </c>
      <c r="W1439" s="9" t="str">
        <f aca="false">IF((H1439-G1439)&lt;&gt;K1439,"Mismatch","OK")</f>
        <v>OK</v>
      </c>
      <c r="X1439" s="9" t="str">
        <f aca="false">IF(TEXT(H1439,"dddd")&lt;&gt;I1439,"Mismatch","OK")</f>
        <v>OK</v>
      </c>
      <c r="Y1439" s="9" t="str">
        <f aca="false">IF(AND(N1439="No",O1439&lt;&gt;""),"Unexpected: channel present but no reminder sent",IF(AND(N1439="Yes",O1439=""),"Missing channel for sent reminder","OK"))</f>
        <v>OK</v>
      </c>
    </row>
    <row r="1440" customFormat="false" ht="15" hidden="false" customHeight="false" outlineLevel="0" collapsed="false">
      <c r="A1440" s="7" t="s">
        <v>2502</v>
      </c>
      <c r="B1440" s="7" t="s">
        <v>877</v>
      </c>
      <c r="C1440" s="7" t="s">
        <v>37</v>
      </c>
      <c r="D1440" s="7" t="n">
        <v>79</v>
      </c>
      <c r="E1440" s="7" t="s">
        <v>70</v>
      </c>
      <c r="F1440" s="7" t="s">
        <v>39</v>
      </c>
      <c r="G1440" s="8" t="n">
        <v>45828</v>
      </c>
      <c r="H1440" s="8" t="n">
        <v>45832</v>
      </c>
      <c r="I1440" s="7" t="s">
        <v>40</v>
      </c>
      <c r="J1440" s="7" t="s">
        <v>41</v>
      </c>
      <c r="K1440" s="7" t="n">
        <v>4</v>
      </c>
      <c r="L1440" s="7" t="n">
        <v>4</v>
      </c>
      <c r="M1440" s="7" t="n">
        <v>1</v>
      </c>
      <c r="N1440" s="7" t="s">
        <v>42</v>
      </c>
      <c r="O1440" s="7" t="s">
        <v>67</v>
      </c>
      <c r="P1440" s="7" t="n">
        <v>4.4</v>
      </c>
      <c r="Q1440" s="7" t="n">
        <v>36</v>
      </c>
      <c r="R1440" s="7" t="s">
        <v>44</v>
      </c>
      <c r="S1440" s="7"/>
      <c r="T1440" s="7"/>
      <c r="U1440" s="7" t="str">
        <f aca="false">IF(COUNTIF($A$2:$A$5001,A1440)&gt;1,"Duplicate","Unique")</f>
        <v>Unique</v>
      </c>
      <c r="V1440" s="7" t="str">
        <f aca="false">IF(COUNTIFS($B$2:$B$5001,B1440,$H$2:$H$5001,H1440,$J$2:$J$5001,J1440)&gt;1,"Possible Duplicate Booking","Unique")</f>
        <v>Unique</v>
      </c>
      <c r="W1440" s="7" t="str">
        <f aca="false">IF((H1440-G1440)&lt;&gt;K1440,"Mismatch","OK")</f>
        <v>OK</v>
      </c>
      <c r="X1440" s="7" t="str">
        <f aca="false">IF(TEXT(H1440,"dddd")&lt;&gt;I1440,"Mismatch","OK")</f>
        <v>OK</v>
      </c>
      <c r="Y1440" s="7" t="str">
        <f aca="false">IF(AND(N1440="No",O1440&lt;&gt;""),"Unexpected: channel present but no reminder sent",IF(AND(N1440="Yes",O1440=""),"Missing channel for sent reminder","OK"))</f>
        <v>OK</v>
      </c>
    </row>
    <row r="1441" customFormat="false" ht="15" hidden="false" customHeight="false" outlineLevel="0" collapsed="false">
      <c r="A1441" s="9" t="s">
        <v>2503</v>
      </c>
      <c r="B1441" s="9" t="s">
        <v>927</v>
      </c>
      <c r="C1441" s="9" t="s">
        <v>236</v>
      </c>
      <c r="D1441" s="9" t="n">
        <v>24</v>
      </c>
      <c r="E1441" s="9" t="s">
        <v>82</v>
      </c>
      <c r="F1441" s="9" t="s">
        <v>74</v>
      </c>
      <c r="G1441" s="10" t="n">
        <v>46159</v>
      </c>
      <c r="H1441" s="10" t="n">
        <v>46179</v>
      </c>
      <c r="I1441" s="9" t="s">
        <v>102</v>
      </c>
      <c r="J1441" s="9" t="s">
        <v>63</v>
      </c>
      <c r="K1441" s="9" t="n">
        <v>20</v>
      </c>
      <c r="L1441" s="9" t="n">
        <v>2</v>
      </c>
      <c r="M1441" s="9" t="n">
        <v>1</v>
      </c>
      <c r="N1441" s="9" t="s">
        <v>71</v>
      </c>
      <c r="O1441" s="9"/>
      <c r="P1441" s="9" t="n">
        <v>5.6</v>
      </c>
      <c r="Q1441" s="9" t="n">
        <v>21</v>
      </c>
      <c r="R1441" s="9" t="s">
        <v>44</v>
      </c>
      <c r="S1441" s="9"/>
      <c r="T1441" s="9"/>
      <c r="U1441" s="9" t="str">
        <f aca="false">IF(COUNTIF($A$2:$A$5001,A1441)&gt;1,"Duplicate","Unique")</f>
        <v>Unique</v>
      </c>
      <c r="V1441" s="9" t="str">
        <f aca="false">IF(COUNTIFS($B$2:$B$5001,B1441,$H$2:$H$5001,H1441,$J$2:$J$5001,J1441)&gt;1,"Possible Duplicate Booking","Unique")</f>
        <v>Unique</v>
      </c>
      <c r="W1441" s="9" t="str">
        <f aca="false">IF((H1441-G1441)&lt;&gt;K1441,"Mismatch","OK")</f>
        <v>OK</v>
      </c>
      <c r="X1441" s="9" t="str">
        <f aca="false">IF(TEXT(H1441,"dddd")&lt;&gt;I1441,"Mismatch","OK")</f>
        <v>OK</v>
      </c>
      <c r="Y1441" s="9" t="str">
        <f aca="false">IF(AND(N1441="No",O1441&lt;&gt;""),"Unexpected: channel present but no reminder sent",IF(AND(N1441="Yes",O1441=""),"Missing channel for sent reminder","OK"))</f>
        <v>OK</v>
      </c>
    </row>
    <row r="1442" customFormat="false" ht="15" hidden="false" customHeight="false" outlineLevel="0" collapsed="false">
      <c r="A1442" s="7" t="s">
        <v>2504</v>
      </c>
      <c r="B1442" s="7" t="s">
        <v>457</v>
      </c>
      <c r="C1442" s="7" t="s">
        <v>37</v>
      </c>
      <c r="D1442" s="7" t="n">
        <v>64</v>
      </c>
      <c r="E1442" s="7" t="s">
        <v>61</v>
      </c>
      <c r="F1442" s="7" t="s">
        <v>57</v>
      </c>
      <c r="G1442" s="8" t="n">
        <v>46033</v>
      </c>
      <c r="H1442" s="8" t="n">
        <v>46083</v>
      </c>
      <c r="I1442" s="7" t="s">
        <v>66</v>
      </c>
      <c r="J1442" s="7" t="s">
        <v>41</v>
      </c>
      <c r="K1442" s="7" t="n">
        <v>50</v>
      </c>
      <c r="L1442" s="7" t="n">
        <v>2</v>
      </c>
      <c r="M1442" s="7" t="n">
        <v>0</v>
      </c>
      <c r="N1442" s="7" t="s">
        <v>71</v>
      </c>
      <c r="O1442" s="7"/>
      <c r="P1442" s="7" t="n">
        <v>6.3</v>
      </c>
      <c r="Q1442" s="7" t="n">
        <v>32</v>
      </c>
      <c r="R1442" s="7" t="s">
        <v>53</v>
      </c>
      <c r="S1442" s="7"/>
      <c r="T1442" s="7"/>
      <c r="U1442" s="7" t="str">
        <f aca="false">IF(COUNTIF($A$2:$A$5001,A1442)&gt;1,"Duplicate","Unique")</f>
        <v>Unique</v>
      </c>
      <c r="V1442" s="7" t="str">
        <f aca="false">IF(COUNTIFS($B$2:$B$5001,B1442,$H$2:$H$5001,H1442,$J$2:$J$5001,J1442)&gt;1,"Possible Duplicate Booking","Unique")</f>
        <v>Unique</v>
      </c>
      <c r="W1442" s="7" t="str">
        <f aca="false">IF((H1442-G1442)&lt;&gt;K1442,"Mismatch","OK")</f>
        <v>OK</v>
      </c>
      <c r="X1442" s="7" t="str">
        <f aca="false">IF(TEXT(H1442,"dddd")&lt;&gt;I1442,"Mismatch","OK")</f>
        <v>OK</v>
      </c>
      <c r="Y1442" s="7" t="str">
        <f aca="false">IF(AND(N1442="No",O1442&lt;&gt;""),"Unexpected: channel present but no reminder sent",IF(AND(N1442="Yes",O1442=""),"Missing channel for sent reminder","OK"))</f>
        <v>OK</v>
      </c>
    </row>
    <row r="1443" customFormat="false" ht="15" hidden="false" customHeight="false" outlineLevel="0" collapsed="false">
      <c r="A1443" s="9" t="s">
        <v>2505</v>
      </c>
      <c r="B1443" s="9" t="s">
        <v>1501</v>
      </c>
      <c r="C1443" s="9" t="s">
        <v>37</v>
      </c>
      <c r="D1443" s="9" t="n">
        <v>66</v>
      </c>
      <c r="E1443" s="9" t="s">
        <v>70</v>
      </c>
      <c r="F1443" s="9" t="s">
        <v>57</v>
      </c>
      <c r="G1443" s="10" t="n">
        <v>45921</v>
      </c>
      <c r="H1443" s="10" t="n">
        <v>45937</v>
      </c>
      <c r="I1443" s="9" t="s">
        <v>40</v>
      </c>
      <c r="J1443" s="9" t="s">
        <v>51</v>
      </c>
      <c r="K1443" s="9" t="n">
        <v>16</v>
      </c>
      <c r="L1443" s="9" t="n">
        <v>4</v>
      </c>
      <c r="M1443" s="9" t="n">
        <v>1</v>
      </c>
      <c r="N1443" s="9" t="s">
        <v>42</v>
      </c>
      <c r="O1443" s="9" t="s">
        <v>52</v>
      </c>
      <c r="P1443" s="9" t="n">
        <v>0.5</v>
      </c>
      <c r="Q1443" s="9" t="n">
        <v>47</v>
      </c>
      <c r="R1443" s="9" t="s">
        <v>53</v>
      </c>
      <c r="S1443" s="9"/>
      <c r="T1443" s="9"/>
      <c r="U1443" s="9" t="str">
        <f aca="false">IF(COUNTIF($A$2:$A$5001,A1443)&gt;1,"Duplicate","Unique")</f>
        <v>Unique</v>
      </c>
      <c r="V1443" s="9" t="str">
        <f aca="false">IF(COUNTIFS($B$2:$B$5001,B1443,$H$2:$H$5001,H1443,$J$2:$J$5001,J1443)&gt;1,"Possible Duplicate Booking","Unique")</f>
        <v>Unique</v>
      </c>
      <c r="W1443" s="9" t="str">
        <f aca="false">IF((H1443-G1443)&lt;&gt;K1443,"Mismatch","OK")</f>
        <v>OK</v>
      </c>
      <c r="X1443" s="9" t="str">
        <f aca="false">IF(TEXT(H1443,"dddd")&lt;&gt;I1443,"Mismatch","OK")</f>
        <v>OK</v>
      </c>
      <c r="Y1443" s="9" t="str">
        <f aca="false">IF(AND(N1443="No",O1443&lt;&gt;""),"Unexpected: channel present but no reminder sent",IF(AND(N1443="Yes",O1443=""),"Missing channel for sent reminder","OK"))</f>
        <v>OK</v>
      </c>
    </row>
    <row r="1444" customFormat="false" ht="15" hidden="false" customHeight="false" outlineLevel="0" collapsed="false">
      <c r="A1444" s="7" t="s">
        <v>2506</v>
      </c>
      <c r="B1444" s="7" t="s">
        <v>618</v>
      </c>
      <c r="C1444" s="7" t="s">
        <v>37</v>
      </c>
      <c r="D1444" s="7" t="n">
        <v>38</v>
      </c>
      <c r="E1444" s="7" t="s">
        <v>38</v>
      </c>
      <c r="F1444" s="7" t="s">
        <v>57</v>
      </c>
      <c r="G1444" s="8" t="n">
        <v>46136</v>
      </c>
      <c r="H1444" s="8" t="n">
        <v>46168</v>
      </c>
      <c r="I1444" s="7" t="s">
        <v>40</v>
      </c>
      <c r="J1444" s="7" t="s">
        <v>41</v>
      </c>
      <c r="K1444" s="7" t="n">
        <v>32</v>
      </c>
      <c r="L1444" s="7" t="n">
        <v>1</v>
      </c>
      <c r="M1444" s="7" t="n">
        <v>0</v>
      </c>
      <c r="N1444" s="7" t="s">
        <v>42</v>
      </c>
      <c r="O1444" s="7" t="s">
        <v>43</v>
      </c>
      <c r="P1444" s="7" t="n">
        <v>14.3</v>
      </c>
      <c r="Q1444" s="7" t="n">
        <v>40</v>
      </c>
      <c r="R1444" s="7" t="s">
        <v>53</v>
      </c>
      <c r="S1444" s="7"/>
      <c r="T1444" s="7"/>
      <c r="U1444" s="7" t="str">
        <f aca="false">IF(COUNTIF($A$2:$A$5001,A1444)&gt;1,"Duplicate","Unique")</f>
        <v>Unique</v>
      </c>
      <c r="V1444" s="7" t="str">
        <f aca="false">IF(COUNTIFS($B$2:$B$5001,B1444,$H$2:$H$5001,H1444,$J$2:$J$5001,J1444)&gt;1,"Possible Duplicate Booking","Unique")</f>
        <v>Unique</v>
      </c>
      <c r="W1444" s="7" t="str">
        <f aca="false">IF((H1444-G1444)&lt;&gt;K1444,"Mismatch","OK")</f>
        <v>OK</v>
      </c>
      <c r="X1444" s="7" t="str">
        <f aca="false">IF(TEXT(H1444,"dddd")&lt;&gt;I1444,"Mismatch","OK")</f>
        <v>OK</v>
      </c>
      <c r="Y1444" s="7" t="str">
        <f aca="false">IF(AND(N1444="No",O1444&lt;&gt;""),"Unexpected: channel present but no reminder sent",IF(AND(N1444="Yes",O1444=""),"Missing channel for sent reminder","OK"))</f>
        <v>OK</v>
      </c>
    </row>
    <row r="1445" customFormat="false" ht="15" hidden="false" customHeight="false" outlineLevel="0" collapsed="false">
      <c r="A1445" s="9" t="s">
        <v>2507</v>
      </c>
      <c r="B1445" s="9" t="s">
        <v>2508</v>
      </c>
      <c r="C1445" s="9" t="s">
        <v>47</v>
      </c>
      <c r="D1445" s="9" t="n">
        <v>22</v>
      </c>
      <c r="E1445" s="9" t="s">
        <v>82</v>
      </c>
      <c r="F1445" s="9" t="s">
        <v>49</v>
      </c>
      <c r="G1445" s="10" t="n">
        <v>45845</v>
      </c>
      <c r="H1445" s="10" t="n">
        <v>45894</v>
      </c>
      <c r="I1445" s="9" t="s">
        <v>66</v>
      </c>
      <c r="J1445" s="9" t="s">
        <v>51</v>
      </c>
      <c r="K1445" s="9" t="n">
        <v>49</v>
      </c>
      <c r="L1445" s="9" t="n">
        <v>3</v>
      </c>
      <c r="M1445" s="9" t="n">
        <v>0</v>
      </c>
      <c r="N1445" s="9" t="s">
        <v>42</v>
      </c>
      <c r="O1445" s="9" t="s">
        <v>52</v>
      </c>
      <c r="P1445" s="9" t="n">
        <v>11.4</v>
      </c>
      <c r="Q1445" s="9" t="n">
        <v>38</v>
      </c>
      <c r="R1445" s="9" t="s">
        <v>53</v>
      </c>
      <c r="S1445" s="9"/>
      <c r="T1445" s="9"/>
      <c r="U1445" s="9" t="str">
        <f aca="false">IF(COUNTIF($A$2:$A$5001,A1445)&gt;1,"Duplicate","Unique")</f>
        <v>Unique</v>
      </c>
      <c r="V1445" s="9" t="str">
        <f aca="false">IF(COUNTIFS($B$2:$B$5001,B1445,$H$2:$H$5001,H1445,$J$2:$J$5001,J1445)&gt;1,"Possible Duplicate Booking","Unique")</f>
        <v>Unique</v>
      </c>
      <c r="W1445" s="9" t="str">
        <f aca="false">IF((H1445-G1445)&lt;&gt;K1445,"Mismatch","OK")</f>
        <v>OK</v>
      </c>
      <c r="X1445" s="9" t="str">
        <f aca="false">IF(TEXT(H1445,"dddd")&lt;&gt;I1445,"Mismatch","OK")</f>
        <v>OK</v>
      </c>
      <c r="Y1445" s="9" t="str">
        <f aca="false">IF(AND(N1445="No",O1445&lt;&gt;""),"Unexpected: channel present but no reminder sent",IF(AND(N1445="Yes",O1445=""),"Missing channel for sent reminder","OK"))</f>
        <v>OK</v>
      </c>
    </row>
    <row r="1446" customFormat="false" ht="15" hidden="false" customHeight="false" outlineLevel="0" collapsed="false">
      <c r="A1446" s="7" t="s">
        <v>2509</v>
      </c>
      <c r="B1446" s="7" t="s">
        <v>521</v>
      </c>
      <c r="C1446" s="7" t="s">
        <v>37</v>
      </c>
      <c r="D1446" s="7" t="n">
        <v>37</v>
      </c>
      <c r="E1446" s="7" t="s">
        <v>38</v>
      </c>
      <c r="F1446" s="7" t="s">
        <v>49</v>
      </c>
      <c r="G1446" s="8" t="n">
        <v>45732</v>
      </c>
      <c r="H1446" s="8" t="n">
        <v>45734</v>
      </c>
      <c r="I1446" s="7" t="s">
        <v>40</v>
      </c>
      <c r="J1446" s="7" t="s">
        <v>51</v>
      </c>
      <c r="K1446" s="7" t="n">
        <v>2</v>
      </c>
      <c r="L1446" s="7" t="n">
        <v>1</v>
      </c>
      <c r="M1446" s="7" t="n">
        <v>0</v>
      </c>
      <c r="N1446" s="7" t="s">
        <v>42</v>
      </c>
      <c r="O1446" s="7" t="s">
        <v>43</v>
      </c>
      <c r="P1446" s="7" t="n">
        <v>5.6</v>
      </c>
      <c r="Q1446" s="7" t="n">
        <v>33</v>
      </c>
      <c r="R1446" s="7" t="s">
        <v>53</v>
      </c>
      <c r="S1446" s="7"/>
      <c r="T1446" s="7"/>
      <c r="U1446" s="7" t="str">
        <f aca="false">IF(COUNTIF($A$2:$A$5001,A1446)&gt;1,"Duplicate","Unique")</f>
        <v>Unique</v>
      </c>
      <c r="V1446" s="7" t="str">
        <f aca="false">IF(COUNTIFS($B$2:$B$5001,B1446,$H$2:$H$5001,H1446,$J$2:$J$5001,J1446)&gt;1,"Possible Duplicate Booking","Unique")</f>
        <v>Unique</v>
      </c>
      <c r="W1446" s="7" t="str">
        <f aca="false">IF((H1446-G1446)&lt;&gt;K1446,"Mismatch","OK")</f>
        <v>OK</v>
      </c>
      <c r="X1446" s="7" t="str">
        <f aca="false">IF(TEXT(H1446,"dddd")&lt;&gt;I1446,"Mismatch","OK")</f>
        <v>OK</v>
      </c>
      <c r="Y1446" s="7" t="str">
        <f aca="false">IF(AND(N1446="No",O1446&lt;&gt;""),"Unexpected: channel present but no reminder sent",IF(AND(N1446="Yes",O1446=""),"Missing channel for sent reminder","OK"))</f>
        <v>OK</v>
      </c>
    </row>
    <row r="1447" customFormat="false" ht="15" hidden="false" customHeight="false" outlineLevel="0" collapsed="false">
      <c r="A1447" s="9" t="s">
        <v>2510</v>
      </c>
      <c r="B1447" s="9" t="s">
        <v>2511</v>
      </c>
      <c r="C1447" s="9" t="s">
        <v>47</v>
      </c>
      <c r="D1447" s="9" t="n">
        <v>22</v>
      </c>
      <c r="E1447" s="9" t="s">
        <v>82</v>
      </c>
      <c r="F1447" s="9" t="s">
        <v>39</v>
      </c>
      <c r="G1447" s="10" t="n">
        <v>45631</v>
      </c>
      <c r="H1447" s="10" t="n">
        <v>45677</v>
      </c>
      <c r="I1447" s="9" t="s">
        <v>66</v>
      </c>
      <c r="J1447" s="9" t="s">
        <v>41</v>
      </c>
      <c r="K1447" s="9" t="n">
        <v>46</v>
      </c>
      <c r="L1447" s="9" t="n">
        <v>1</v>
      </c>
      <c r="M1447" s="9" t="n">
        <v>0</v>
      </c>
      <c r="N1447" s="9" t="s">
        <v>71</v>
      </c>
      <c r="O1447" s="9"/>
      <c r="P1447" s="9" t="n">
        <v>12</v>
      </c>
      <c r="Q1447" s="9" t="n">
        <v>24</v>
      </c>
      <c r="R1447" s="9" t="s">
        <v>44</v>
      </c>
      <c r="S1447" s="9"/>
      <c r="T1447" s="9"/>
      <c r="U1447" s="9" t="str">
        <f aca="false">IF(COUNTIF($A$2:$A$5001,A1447)&gt;1,"Duplicate","Unique")</f>
        <v>Unique</v>
      </c>
      <c r="V1447" s="9" t="str">
        <f aca="false">IF(COUNTIFS($B$2:$B$5001,B1447,$H$2:$H$5001,H1447,$J$2:$J$5001,J1447)&gt;1,"Possible Duplicate Booking","Unique")</f>
        <v>Unique</v>
      </c>
      <c r="W1447" s="9" t="str">
        <f aca="false">IF((H1447-G1447)&lt;&gt;K1447,"Mismatch","OK")</f>
        <v>OK</v>
      </c>
      <c r="X1447" s="9" t="str">
        <f aca="false">IF(TEXT(H1447,"dddd")&lt;&gt;I1447,"Mismatch","OK")</f>
        <v>OK</v>
      </c>
      <c r="Y1447" s="9" t="str">
        <f aca="false">IF(AND(N1447="No",O1447&lt;&gt;""),"Unexpected: channel present but no reminder sent",IF(AND(N1447="Yes",O1447=""),"Missing channel for sent reminder","OK"))</f>
        <v>OK</v>
      </c>
    </row>
    <row r="1448" customFormat="false" ht="15" hidden="false" customHeight="false" outlineLevel="0" collapsed="false">
      <c r="A1448" s="7" t="s">
        <v>2512</v>
      </c>
      <c r="B1448" s="7" t="s">
        <v>2513</v>
      </c>
      <c r="C1448" s="7" t="s">
        <v>47</v>
      </c>
      <c r="D1448" s="7" t="n">
        <v>60</v>
      </c>
      <c r="E1448" s="7" t="s">
        <v>61</v>
      </c>
      <c r="F1448" s="7" t="s">
        <v>57</v>
      </c>
      <c r="G1448" s="8" t="n">
        <v>46153</v>
      </c>
      <c r="H1448" s="8" t="n">
        <v>46170</v>
      </c>
      <c r="I1448" s="7" t="s">
        <v>62</v>
      </c>
      <c r="J1448" s="7" t="s">
        <v>41</v>
      </c>
      <c r="K1448" s="7" t="n">
        <v>17</v>
      </c>
      <c r="L1448" s="7" t="n">
        <v>6</v>
      </c>
      <c r="M1448" s="7" t="n">
        <v>2</v>
      </c>
      <c r="N1448" s="7" t="s">
        <v>42</v>
      </c>
      <c r="O1448" s="7" t="s">
        <v>43</v>
      </c>
      <c r="P1448" s="7" t="n">
        <v>3.1</v>
      </c>
      <c r="Q1448" s="7" t="n">
        <v>16</v>
      </c>
      <c r="R1448" s="7" t="s">
        <v>53</v>
      </c>
      <c r="S1448" s="7"/>
      <c r="T1448" s="7"/>
      <c r="U1448" s="7" t="str">
        <f aca="false">IF(COUNTIF($A$2:$A$5001,A1448)&gt;1,"Duplicate","Unique")</f>
        <v>Unique</v>
      </c>
      <c r="V1448" s="7" t="str">
        <f aca="false">IF(COUNTIFS($B$2:$B$5001,B1448,$H$2:$H$5001,H1448,$J$2:$J$5001,J1448)&gt;1,"Possible Duplicate Booking","Unique")</f>
        <v>Unique</v>
      </c>
      <c r="W1448" s="7" t="str">
        <f aca="false">IF((H1448-G1448)&lt;&gt;K1448,"Mismatch","OK")</f>
        <v>OK</v>
      </c>
      <c r="X1448" s="7" t="str">
        <f aca="false">IF(TEXT(H1448,"dddd")&lt;&gt;I1448,"Mismatch","OK")</f>
        <v>OK</v>
      </c>
      <c r="Y1448" s="7" t="str">
        <f aca="false">IF(AND(N1448="No",O1448&lt;&gt;""),"Unexpected: channel present but no reminder sent",IF(AND(N1448="Yes",O1448=""),"Missing channel for sent reminder","OK"))</f>
        <v>OK</v>
      </c>
    </row>
    <row r="1449" customFormat="false" ht="15" hidden="false" customHeight="false" outlineLevel="0" collapsed="false">
      <c r="A1449" s="9" t="s">
        <v>2514</v>
      </c>
      <c r="B1449" s="9" t="s">
        <v>1129</v>
      </c>
      <c r="C1449" s="9" t="s">
        <v>37</v>
      </c>
      <c r="D1449" s="9" t="n">
        <v>73</v>
      </c>
      <c r="E1449" s="9" t="s">
        <v>70</v>
      </c>
      <c r="F1449" s="9" t="s">
        <v>49</v>
      </c>
      <c r="G1449" s="10" t="n">
        <v>46140</v>
      </c>
      <c r="H1449" s="10" t="n">
        <v>46182</v>
      </c>
      <c r="I1449" s="9" t="s">
        <v>40</v>
      </c>
      <c r="J1449" s="9" t="s">
        <v>51</v>
      </c>
      <c r="K1449" s="9" t="n">
        <v>42</v>
      </c>
      <c r="L1449" s="9" t="n">
        <v>5</v>
      </c>
      <c r="M1449" s="9" t="n">
        <v>0</v>
      </c>
      <c r="N1449" s="9" t="s">
        <v>71</v>
      </c>
      <c r="O1449" s="9"/>
      <c r="P1449" s="9" t="n">
        <v>12.4</v>
      </c>
      <c r="Q1449" s="9" t="n">
        <v>43</v>
      </c>
      <c r="R1449" s="9" t="s">
        <v>53</v>
      </c>
      <c r="S1449" s="9"/>
      <c r="T1449" s="9"/>
      <c r="U1449" s="9" t="str">
        <f aca="false">IF(COUNTIF($A$2:$A$5001,A1449)&gt;1,"Duplicate","Unique")</f>
        <v>Unique</v>
      </c>
      <c r="V1449" s="9" t="str">
        <f aca="false">IF(COUNTIFS($B$2:$B$5001,B1449,$H$2:$H$5001,H1449,$J$2:$J$5001,J1449)&gt;1,"Possible Duplicate Booking","Unique")</f>
        <v>Unique</v>
      </c>
      <c r="W1449" s="9" t="str">
        <f aca="false">IF((H1449-G1449)&lt;&gt;K1449,"Mismatch","OK")</f>
        <v>OK</v>
      </c>
      <c r="X1449" s="9" t="str">
        <f aca="false">IF(TEXT(H1449,"dddd")&lt;&gt;I1449,"Mismatch","OK")</f>
        <v>OK</v>
      </c>
      <c r="Y1449" s="9" t="str">
        <f aca="false">IF(AND(N1449="No",O1449&lt;&gt;""),"Unexpected: channel present but no reminder sent",IF(AND(N1449="Yes",O1449=""),"Missing channel for sent reminder","OK"))</f>
        <v>OK</v>
      </c>
    </row>
    <row r="1450" customFormat="false" ht="15" hidden="false" customHeight="false" outlineLevel="0" collapsed="false">
      <c r="A1450" s="7" t="s">
        <v>2515</v>
      </c>
      <c r="B1450" s="7" t="s">
        <v>618</v>
      </c>
      <c r="C1450" s="7" t="s">
        <v>47</v>
      </c>
      <c r="D1450" s="7" t="n">
        <v>80</v>
      </c>
      <c r="E1450" s="7" t="s">
        <v>70</v>
      </c>
      <c r="F1450" s="7" t="s">
        <v>39</v>
      </c>
      <c r="G1450" s="8" t="n">
        <v>46050</v>
      </c>
      <c r="H1450" s="8" t="n">
        <v>46061</v>
      </c>
      <c r="I1450" s="7" t="s">
        <v>75</v>
      </c>
      <c r="J1450" s="7" t="s">
        <v>63</v>
      </c>
      <c r="K1450" s="7" t="n">
        <v>11</v>
      </c>
      <c r="L1450" s="7" t="n">
        <v>1</v>
      </c>
      <c r="M1450" s="7" t="n">
        <v>0</v>
      </c>
      <c r="N1450" s="7" t="s">
        <v>42</v>
      </c>
      <c r="O1450" s="7" t="s">
        <v>67</v>
      </c>
      <c r="P1450" s="7" t="n">
        <v>13.9</v>
      </c>
      <c r="Q1450" s="7" t="n">
        <v>19</v>
      </c>
      <c r="R1450" s="7" t="s">
        <v>44</v>
      </c>
      <c r="S1450" s="7"/>
      <c r="T1450" s="7"/>
      <c r="U1450" s="7" t="str">
        <f aca="false">IF(COUNTIF($A$2:$A$5001,A1450)&gt;1,"Duplicate","Unique")</f>
        <v>Unique</v>
      </c>
      <c r="V1450" s="7" t="str">
        <f aca="false">IF(COUNTIFS($B$2:$B$5001,B1450,$H$2:$H$5001,H1450,$J$2:$J$5001,J1450)&gt;1,"Possible Duplicate Booking","Unique")</f>
        <v>Unique</v>
      </c>
      <c r="W1450" s="7" t="str">
        <f aca="false">IF((H1450-G1450)&lt;&gt;K1450,"Mismatch","OK")</f>
        <v>OK</v>
      </c>
      <c r="X1450" s="7" t="str">
        <f aca="false">IF(TEXT(H1450,"dddd")&lt;&gt;I1450,"Mismatch","OK")</f>
        <v>OK</v>
      </c>
      <c r="Y1450" s="7" t="str">
        <f aca="false">IF(AND(N1450="No",O1450&lt;&gt;""),"Unexpected: channel present but no reminder sent",IF(AND(N1450="Yes",O1450=""),"Missing channel for sent reminder","OK"))</f>
        <v>OK</v>
      </c>
    </row>
    <row r="1451" customFormat="false" ht="15" hidden="false" customHeight="false" outlineLevel="0" collapsed="false">
      <c r="A1451" s="9" t="s">
        <v>2516</v>
      </c>
      <c r="B1451" s="9" t="s">
        <v>2136</v>
      </c>
      <c r="C1451" s="9" t="s">
        <v>47</v>
      </c>
      <c r="D1451" s="9" t="n">
        <v>68</v>
      </c>
      <c r="E1451" s="9" t="s">
        <v>70</v>
      </c>
      <c r="F1451" s="9" t="s">
        <v>57</v>
      </c>
      <c r="G1451" s="10" t="n">
        <v>45706</v>
      </c>
      <c r="H1451" s="10" t="n">
        <v>45714</v>
      </c>
      <c r="I1451" s="9" t="s">
        <v>58</v>
      </c>
      <c r="J1451" s="9" t="s">
        <v>51</v>
      </c>
      <c r="K1451" s="9" t="n">
        <v>8</v>
      </c>
      <c r="L1451" s="9" t="n">
        <v>3</v>
      </c>
      <c r="M1451" s="9" t="n">
        <v>0</v>
      </c>
      <c r="N1451" s="9" t="s">
        <v>42</v>
      </c>
      <c r="O1451" s="9" t="s">
        <v>67</v>
      </c>
      <c r="P1451" s="9" t="n">
        <v>2.6</v>
      </c>
      <c r="Q1451" s="9" t="n">
        <v>20</v>
      </c>
      <c r="R1451" s="9" t="s">
        <v>53</v>
      </c>
      <c r="S1451" s="9"/>
      <c r="T1451" s="9"/>
      <c r="U1451" s="9" t="str">
        <f aca="false">IF(COUNTIF($A$2:$A$5001,A1451)&gt;1,"Duplicate","Unique")</f>
        <v>Unique</v>
      </c>
      <c r="V1451" s="9" t="str">
        <f aca="false">IF(COUNTIFS($B$2:$B$5001,B1451,$H$2:$H$5001,H1451,$J$2:$J$5001,J1451)&gt;1,"Possible Duplicate Booking","Unique")</f>
        <v>Unique</v>
      </c>
      <c r="W1451" s="9" t="str">
        <f aca="false">IF((H1451-G1451)&lt;&gt;K1451,"Mismatch","OK")</f>
        <v>OK</v>
      </c>
      <c r="X1451" s="9" t="str">
        <f aca="false">IF(TEXT(H1451,"dddd")&lt;&gt;I1451,"Mismatch","OK")</f>
        <v>OK</v>
      </c>
      <c r="Y1451" s="9" t="str">
        <f aca="false">IF(AND(N1451="No",O1451&lt;&gt;""),"Unexpected: channel present but no reminder sent",IF(AND(N1451="Yes",O1451=""),"Missing channel for sent reminder","OK"))</f>
        <v>OK</v>
      </c>
    </row>
    <row r="1452" customFormat="false" ht="15" hidden="false" customHeight="false" outlineLevel="0" collapsed="false">
      <c r="A1452" s="7" t="s">
        <v>2517</v>
      </c>
      <c r="B1452" s="7" t="s">
        <v>2518</v>
      </c>
      <c r="C1452" s="7" t="s">
        <v>47</v>
      </c>
      <c r="D1452" s="7" t="n">
        <v>66</v>
      </c>
      <c r="E1452" s="7" t="s">
        <v>70</v>
      </c>
      <c r="F1452" s="7" t="s">
        <v>57</v>
      </c>
      <c r="G1452" s="8" t="n">
        <v>45770</v>
      </c>
      <c r="H1452" s="8" t="n">
        <v>45818</v>
      </c>
      <c r="I1452" s="7" t="s">
        <v>40</v>
      </c>
      <c r="J1452" s="7" t="s">
        <v>63</v>
      </c>
      <c r="K1452" s="7" t="n">
        <v>48</v>
      </c>
      <c r="L1452" s="7" t="n">
        <v>2</v>
      </c>
      <c r="M1452" s="7" t="n">
        <v>1</v>
      </c>
      <c r="N1452" s="7" t="s">
        <v>42</v>
      </c>
      <c r="O1452" s="7" t="s">
        <v>52</v>
      </c>
      <c r="P1452" s="7" t="n">
        <v>15</v>
      </c>
      <c r="Q1452" s="7" t="n">
        <v>25</v>
      </c>
      <c r="R1452" s="7" t="s">
        <v>44</v>
      </c>
      <c r="S1452" s="7"/>
      <c r="T1452" s="7"/>
      <c r="U1452" s="7" t="str">
        <f aca="false">IF(COUNTIF($A$2:$A$5001,A1452)&gt;1,"Duplicate","Unique")</f>
        <v>Unique</v>
      </c>
      <c r="V1452" s="7" t="str">
        <f aca="false">IF(COUNTIFS($B$2:$B$5001,B1452,$H$2:$H$5001,H1452,$J$2:$J$5001,J1452)&gt;1,"Possible Duplicate Booking","Unique")</f>
        <v>Unique</v>
      </c>
      <c r="W1452" s="7" t="str">
        <f aca="false">IF((H1452-G1452)&lt;&gt;K1452,"Mismatch","OK")</f>
        <v>OK</v>
      </c>
      <c r="X1452" s="7" t="str">
        <f aca="false">IF(TEXT(H1452,"dddd")&lt;&gt;I1452,"Mismatch","OK")</f>
        <v>OK</v>
      </c>
      <c r="Y1452" s="7" t="str">
        <f aca="false">IF(AND(N1452="No",O1452&lt;&gt;""),"Unexpected: channel present but no reminder sent",IF(AND(N1452="Yes",O1452=""),"Missing channel for sent reminder","OK"))</f>
        <v>OK</v>
      </c>
    </row>
    <row r="1453" customFormat="false" ht="15" hidden="false" customHeight="false" outlineLevel="0" collapsed="false">
      <c r="A1453" s="9" t="s">
        <v>2519</v>
      </c>
      <c r="B1453" s="9" t="s">
        <v>2520</v>
      </c>
      <c r="C1453" s="9" t="s">
        <v>37</v>
      </c>
      <c r="D1453" s="9" t="n">
        <v>73</v>
      </c>
      <c r="E1453" s="9" t="s">
        <v>70</v>
      </c>
      <c r="F1453" s="9" t="s">
        <v>39</v>
      </c>
      <c r="G1453" s="10" t="n">
        <v>45631</v>
      </c>
      <c r="H1453" s="10" t="n">
        <v>45680</v>
      </c>
      <c r="I1453" s="9" t="s">
        <v>62</v>
      </c>
      <c r="J1453" s="9" t="s">
        <v>41</v>
      </c>
      <c r="K1453" s="9" t="n">
        <v>49</v>
      </c>
      <c r="L1453" s="9" t="n">
        <v>0</v>
      </c>
      <c r="M1453" s="9" t="n">
        <v>0</v>
      </c>
      <c r="N1453" s="9" t="s">
        <v>42</v>
      </c>
      <c r="O1453" s="9" t="s">
        <v>43</v>
      </c>
      <c r="P1453" s="9" t="n">
        <v>7.7</v>
      </c>
      <c r="Q1453" s="9" t="n">
        <v>9</v>
      </c>
      <c r="R1453" s="9" t="s">
        <v>87</v>
      </c>
      <c r="S1453" s="9"/>
      <c r="T1453" s="9"/>
      <c r="U1453" s="9" t="str">
        <f aca="false">IF(COUNTIF($A$2:$A$5001,A1453)&gt;1,"Duplicate","Unique")</f>
        <v>Unique</v>
      </c>
      <c r="V1453" s="9" t="str">
        <f aca="false">IF(COUNTIFS($B$2:$B$5001,B1453,$H$2:$H$5001,H1453,$J$2:$J$5001,J1453)&gt;1,"Possible Duplicate Booking","Unique")</f>
        <v>Unique</v>
      </c>
      <c r="W1453" s="9" t="str">
        <f aca="false">IF((H1453-G1453)&lt;&gt;K1453,"Mismatch","OK")</f>
        <v>OK</v>
      </c>
      <c r="X1453" s="9" t="str">
        <f aca="false">IF(TEXT(H1453,"dddd")&lt;&gt;I1453,"Mismatch","OK")</f>
        <v>OK</v>
      </c>
      <c r="Y1453" s="9" t="str">
        <f aca="false">IF(AND(N1453="No",O1453&lt;&gt;""),"Unexpected: channel present but no reminder sent",IF(AND(N1453="Yes",O1453=""),"Missing channel for sent reminder","OK"))</f>
        <v>OK</v>
      </c>
    </row>
    <row r="1454" customFormat="false" ht="15" hidden="false" customHeight="false" outlineLevel="0" collapsed="false">
      <c r="A1454" s="7" t="s">
        <v>2521</v>
      </c>
      <c r="B1454" s="7" t="s">
        <v>2522</v>
      </c>
      <c r="C1454" s="7" t="s">
        <v>47</v>
      </c>
      <c r="D1454" s="7" t="n">
        <v>66</v>
      </c>
      <c r="E1454" s="7" t="s">
        <v>70</v>
      </c>
      <c r="F1454" s="7" t="s">
        <v>57</v>
      </c>
      <c r="G1454" s="8" t="n">
        <v>45626</v>
      </c>
      <c r="H1454" s="8" t="n">
        <v>45685</v>
      </c>
      <c r="I1454" s="7" t="s">
        <v>40</v>
      </c>
      <c r="J1454" s="7" t="s">
        <v>63</v>
      </c>
      <c r="K1454" s="7" t="n">
        <v>59</v>
      </c>
      <c r="L1454" s="7" t="n">
        <v>4</v>
      </c>
      <c r="M1454" s="7" t="n">
        <v>0</v>
      </c>
      <c r="N1454" s="7" t="s">
        <v>42</v>
      </c>
      <c r="O1454" s="7" t="s">
        <v>52</v>
      </c>
      <c r="P1454" s="7" t="n">
        <v>7.7</v>
      </c>
      <c r="Q1454" s="7" t="n">
        <v>21</v>
      </c>
      <c r="R1454" s="7" t="s">
        <v>53</v>
      </c>
      <c r="S1454" s="7"/>
      <c r="T1454" s="7"/>
      <c r="U1454" s="7" t="str">
        <f aca="false">IF(COUNTIF($A$2:$A$5001,A1454)&gt;1,"Duplicate","Unique")</f>
        <v>Unique</v>
      </c>
      <c r="V1454" s="7" t="str">
        <f aca="false">IF(COUNTIFS($B$2:$B$5001,B1454,$H$2:$H$5001,H1454,$J$2:$J$5001,J1454)&gt;1,"Possible Duplicate Booking","Unique")</f>
        <v>Unique</v>
      </c>
      <c r="W1454" s="7" t="str">
        <f aca="false">IF((H1454-G1454)&lt;&gt;K1454,"Mismatch","OK")</f>
        <v>OK</v>
      </c>
      <c r="X1454" s="7" t="str">
        <f aca="false">IF(TEXT(H1454,"dddd")&lt;&gt;I1454,"Mismatch","OK")</f>
        <v>OK</v>
      </c>
      <c r="Y1454" s="7" t="str">
        <f aca="false">IF(AND(N1454="No",O1454&lt;&gt;""),"Unexpected: channel present but no reminder sent",IF(AND(N1454="Yes",O1454=""),"Missing channel for sent reminder","OK"))</f>
        <v>OK</v>
      </c>
    </row>
    <row r="1455" customFormat="false" ht="15" hidden="false" customHeight="false" outlineLevel="0" collapsed="false">
      <c r="A1455" s="9" t="s">
        <v>2523</v>
      </c>
      <c r="B1455" s="9" t="s">
        <v>2524</v>
      </c>
      <c r="C1455" s="9" t="s">
        <v>37</v>
      </c>
      <c r="D1455" s="9" t="n">
        <v>58</v>
      </c>
      <c r="E1455" s="9" t="s">
        <v>61</v>
      </c>
      <c r="F1455" s="9" t="s">
        <v>74</v>
      </c>
      <c r="G1455" s="10" t="n">
        <v>45751</v>
      </c>
      <c r="H1455" s="10" t="n">
        <v>45792</v>
      </c>
      <c r="I1455" s="9" t="s">
        <v>62</v>
      </c>
      <c r="J1455" s="9" t="s">
        <v>41</v>
      </c>
      <c r="K1455" s="9" t="n">
        <v>41</v>
      </c>
      <c r="L1455" s="9" t="n">
        <v>4</v>
      </c>
      <c r="M1455" s="9" t="n">
        <v>1</v>
      </c>
      <c r="N1455" s="9" t="s">
        <v>71</v>
      </c>
      <c r="O1455" s="9"/>
      <c r="P1455" s="9" t="n">
        <v>2.6</v>
      </c>
      <c r="Q1455" s="9" t="n">
        <v>17</v>
      </c>
      <c r="R1455" s="9" t="s">
        <v>44</v>
      </c>
      <c r="S1455" s="9"/>
      <c r="T1455" s="9"/>
      <c r="U1455" s="9" t="str">
        <f aca="false">IF(COUNTIF($A$2:$A$5001,A1455)&gt;1,"Duplicate","Unique")</f>
        <v>Unique</v>
      </c>
      <c r="V1455" s="9" t="str">
        <f aca="false">IF(COUNTIFS($B$2:$B$5001,B1455,$H$2:$H$5001,H1455,$J$2:$J$5001,J1455)&gt;1,"Possible Duplicate Booking","Unique")</f>
        <v>Unique</v>
      </c>
      <c r="W1455" s="9" t="str">
        <f aca="false">IF((H1455-G1455)&lt;&gt;K1455,"Mismatch","OK")</f>
        <v>OK</v>
      </c>
      <c r="X1455" s="9" t="str">
        <f aca="false">IF(TEXT(H1455,"dddd")&lt;&gt;I1455,"Mismatch","OK")</f>
        <v>OK</v>
      </c>
      <c r="Y1455" s="9" t="str">
        <f aca="false">IF(AND(N1455="No",O1455&lt;&gt;""),"Unexpected: channel present but no reminder sent",IF(AND(N1455="Yes",O1455=""),"Missing channel for sent reminder","OK"))</f>
        <v>OK</v>
      </c>
    </row>
    <row r="1456" customFormat="false" ht="15" hidden="false" customHeight="false" outlineLevel="0" collapsed="false">
      <c r="A1456" s="7" t="s">
        <v>2525</v>
      </c>
      <c r="B1456" s="7" t="s">
        <v>1863</v>
      </c>
      <c r="C1456" s="7" t="s">
        <v>47</v>
      </c>
      <c r="D1456" s="7" t="n">
        <v>80</v>
      </c>
      <c r="E1456" s="7" t="s">
        <v>70</v>
      </c>
      <c r="F1456" s="7" t="s">
        <v>39</v>
      </c>
      <c r="G1456" s="8" t="n">
        <v>45942</v>
      </c>
      <c r="H1456" s="8" t="n">
        <v>45970</v>
      </c>
      <c r="I1456" s="7" t="s">
        <v>75</v>
      </c>
      <c r="J1456" s="7" t="s">
        <v>63</v>
      </c>
      <c r="K1456" s="7" t="n">
        <v>28</v>
      </c>
      <c r="L1456" s="7" t="n">
        <v>1</v>
      </c>
      <c r="M1456" s="7" t="n">
        <v>0</v>
      </c>
      <c r="N1456" s="7" t="s">
        <v>42</v>
      </c>
      <c r="O1456" s="7" t="s">
        <v>43</v>
      </c>
      <c r="P1456" s="7" t="n">
        <v>16.8</v>
      </c>
      <c r="Q1456" s="7" t="n">
        <v>10</v>
      </c>
      <c r="R1456" s="7" t="s">
        <v>53</v>
      </c>
      <c r="S1456" s="7"/>
      <c r="T1456" s="7"/>
      <c r="U1456" s="7" t="str">
        <f aca="false">IF(COUNTIF($A$2:$A$5001,A1456)&gt;1,"Duplicate","Unique")</f>
        <v>Unique</v>
      </c>
      <c r="V1456" s="7" t="str">
        <f aca="false">IF(COUNTIFS($B$2:$B$5001,B1456,$H$2:$H$5001,H1456,$J$2:$J$5001,J1456)&gt;1,"Possible Duplicate Booking","Unique")</f>
        <v>Unique</v>
      </c>
      <c r="W1456" s="7" t="str">
        <f aca="false">IF((H1456-G1456)&lt;&gt;K1456,"Mismatch","OK")</f>
        <v>OK</v>
      </c>
      <c r="X1456" s="7" t="str">
        <f aca="false">IF(TEXT(H1456,"dddd")&lt;&gt;I1456,"Mismatch","OK")</f>
        <v>OK</v>
      </c>
      <c r="Y1456" s="7" t="str">
        <f aca="false">IF(AND(N1456="No",O1456&lt;&gt;""),"Unexpected: channel present but no reminder sent",IF(AND(N1456="Yes",O1456=""),"Missing channel for sent reminder","OK"))</f>
        <v>OK</v>
      </c>
    </row>
    <row r="1457" customFormat="false" ht="15" hidden="false" customHeight="false" outlineLevel="0" collapsed="false">
      <c r="A1457" s="9" t="s">
        <v>2526</v>
      </c>
      <c r="B1457" s="9" t="s">
        <v>2527</v>
      </c>
      <c r="C1457" s="9" t="s">
        <v>47</v>
      </c>
      <c r="D1457" s="9" t="n">
        <v>38</v>
      </c>
      <c r="E1457" s="9" t="s">
        <v>38</v>
      </c>
      <c r="F1457" s="9" t="s">
        <v>57</v>
      </c>
      <c r="G1457" s="10" t="n">
        <v>45682</v>
      </c>
      <c r="H1457" s="10" t="n">
        <v>45693</v>
      </c>
      <c r="I1457" s="9" t="s">
        <v>58</v>
      </c>
      <c r="J1457" s="9" t="s">
        <v>41</v>
      </c>
      <c r="K1457" s="9" t="n">
        <v>11</v>
      </c>
      <c r="L1457" s="9" t="n">
        <v>4</v>
      </c>
      <c r="M1457" s="9" t="n">
        <v>2</v>
      </c>
      <c r="N1457" s="9" t="s">
        <v>42</v>
      </c>
      <c r="O1457" s="9" t="s">
        <v>52</v>
      </c>
      <c r="P1457" s="9" t="n">
        <v>16.9</v>
      </c>
      <c r="Q1457" s="9" t="n">
        <v>11</v>
      </c>
      <c r="R1457" s="9" t="s">
        <v>87</v>
      </c>
      <c r="S1457" s="9"/>
      <c r="T1457" s="9"/>
      <c r="U1457" s="9" t="str">
        <f aca="false">IF(COUNTIF($A$2:$A$5001,A1457)&gt;1,"Duplicate","Unique")</f>
        <v>Unique</v>
      </c>
      <c r="V1457" s="9" t="str">
        <f aca="false">IF(COUNTIFS($B$2:$B$5001,B1457,$H$2:$H$5001,H1457,$J$2:$J$5001,J1457)&gt;1,"Possible Duplicate Booking","Unique")</f>
        <v>Unique</v>
      </c>
      <c r="W1457" s="9" t="str">
        <f aca="false">IF((H1457-G1457)&lt;&gt;K1457,"Mismatch","OK")</f>
        <v>OK</v>
      </c>
      <c r="X1457" s="9" t="str">
        <f aca="false">IF(TEXT(H1457,"dddd")&lt;&gt;I1457,"Mismatch","OK")</f>
        <v>OK</v>
      </c>
      <c r="Y1457" s="9" t="str">
        <f aca="false">IF(AND(N1457="No",O1457&lt;&gt;""),"Unexpected: channel present but no reminder sent",IF(AND(N1457="Yes",O1457=""),"Missing channel for sent reminder","OK"))</f>
        <v>OK</v>
      </c>
    </row>
    <row r="1458" customFormat="false" ht="15" hidden="false" customHeight="false" outlineLevel="0" collapsed="false">
      <c r="A1458" s="7" t="s">
        <v>2528</v>
      </c>
      <c r="B1458" s="7" t="s">
        <v>2529</v>
      </c>
      <c r="C1458" s="7" t="s">
        <v>37</v>
      </c>
      <c r="D1458" s="7" t="n">
        <v>44</v>
      </c>
      <c r="E1458" s="7" t="s">
        <v>38</v>
      </c>
      <c r="F1458" s="7" t="s">
        <v>39</v>
      </c>
      <c r="G1458" s="8" t="n">
        <v>46177</v>
      </c>
      <c r="H1458" s="8" t="n">
        <v>46195</v>
      </c>
      <c r="I1458" s="7" t="s">
        <v>66</v>
      </c>
      <c r="J1458" s="7" t="s">
        <v>51</v>
      </c>
      <c r="K1458" s="7" t="n">
        <v>18</v>
      </c>
      <c r="L1458" s="7" t="n">
        <v>4</v>
      </c>
      <c r="M1458" s="7" t="n">
        <v>0</v>
      </c>
      <c r="N1458" s="7" t="s">
        <v>42</v>
      </c>
      <c r="O1458" s="7" t="s">
        <v>52</v>
      </c>
      <c r="P1458" s="7" t="n">
        <v>22.3</v>
      </c>
      <c r="Q1458" s="7" t="n">
        <v>25</v>
      </c>
      <c r="R1458" s="7" t="s">
        <v>53</v>
      </c>
      <c r="S1458" s="7"/>
      <c r="T1458" s="7"/>
      <c r="U1458" s="7" t="str">
        <f aca="false">IF(COUNTIF($A$2:$A$5001,A1458)&gt;1,"Duplicate","Unique")</f>
        <v>Unique</v>
      </c>
      <c r="V1458" s="7" t="str">
        <f aca="false">IF(COUNTIFS($B$2:$B$5001,B1458,$H$2:$H$5001,H1458,$J$2:$J$5001,J1458)&gt;1,"Possible Duplicate Booking","Unique")</f>
        <v>Unique</v>
      </c>
      <c r="W1458" s="7" t="str">
        <f aca="false">IF((H1458-G1458)&lt;&gt;K1458,"Mismatch","OK")</f>
        <v>OK</v>
      </c>
      <c r="X1458" s="7" t="str">
        <f aca="false">IF(TEXT(H1458,"dddd")&lt;&gt;I1458,"Mismatch","OK")</f>
        <v>OK</v>
      </c>
      <c r="Y1458" s="7" t="str">
        <f aca="false">IF(AND(N1458="No",O1458&lt;&gt;""),"Unexpected: channel present but no reminder sent",IF(AND(N1458="Yes",O1458=""),"Missing channel for sent reminder","OK"))</f>
        <v>OK</v>
      </c>
    </row>
    <row r="1459" customFormat="false" ht="15" hidden="false" customHeight="false" outlineLevel="0" collapsed="false">
      <c r="A1459" s="9" t="s">
        <v>2530</v>
      </c>
      <c r="B1459" s="9" t="s">
        <v>2531</v>
      </c>
      <c r="C1459" s="9" t="s">
        <v>37</v>
      </c>
      <c r="D1459" s="9" t="n">
        <v>75</v>
      </c>
      <c r="E1459" s="9" t="s">
        <v>70</v>
      </c>
      <c r="F1459" s="9" t="s">
        <v>39</v>
      </c>
      <c r="G1459" s="10" t="n">
        <v>45867</v>
      </c>
      <c r="H1459" s="10" t="n">
        <v>45906</v>
      </c>
      <c r="I1459" s="9" t="s">
        <v>102</v>
      </c>
      <c r="J1459" s="9" t="s">
        <v>51</v>
      </c>
      <c r="K1459" s="9" t="n">
        <v>39</v>
      </c>
      <c r="L1459" s="9" t="n">
        <v>2</v>
      </c>
      <c r="M1459" s="9" t="n">
        <v>0</v>
      </c>
      <c r="N1459" s="9" t="s">
        <v>42</v>
      </c>
      <c r="O1459" s="9" t="s">
        <v>67</v>
      </c>
      <c r="P1459" s="9" t="n">
        <v>18</v>
      </c>
      <c r="Q1459" s="9" t="n">
        <v>36</v>
      </c>
      <c r="R1459" s="9" t="s">
        <v>44</v>
      </c>
      <c r="S1459" s="9"/>
      <c r="T1459" s="9"/>
      <c r="U1459" s="9" t="str">
        <f aca="false">IF(COUNTIF($A$2:$A$5001,A1459)&gt;1,"Duplicate","Unique")</f>
        <v>Unique</v>
      </c>
      <c r="V1459" s="9" t="str">
        <f aca="false">IF(COUNTIFS($B$2:$B$5001,B1459,$H$2:$H$5001,H1459,$J$2:$J$5001,J1459)&gt;1,"Possible Duplicate Booking","Unique")</f>
        <v>Unique</v>
      </c>
      <c r="W1459" s="9" t="str">
        <f aca="false">IF((H1459-G1459)&lt;&gt;K1459,"Mismatch","OK")</f>
        <v>OK</v>
      </c>
      <c r="X1459" s="9" t="str">
        <f aca="false">IF(TEXT(H1459,"dddd")&lt;&gt;I1459,"Mismatch","OK")</f>
        <v>OK</v>
      </c>
      <c r="Y1459" s="9" t="str">
        <f aca="false">IF(AND(N1459="No",O1459&lt;&gt;""),"Unexpected: channel present but no reminder sent",IF(AND(N1459="Yes",O1459=""),"Missing channel for sent reminder","OK"))</f>
        <v>OK</v>
      </c>
    </row>
    <row r="1460" customFormat="false" ht="15" hidden="false" customHeight="false" outlineLevel="0" collapsed="false">
      <c r="A1460" s="7" t="s">
        <v>2532</v>
      </c>
      <c r="B1460" s="7" t="s">
        <v>1780</v>
      </c>
      <c r="C1460" s="7" t="s">
        <v>47</v>
      </c>
      <c r="D1460" s="7" t="n">
        <v>37</v>
      </c>
      <c r="E1460" s="7" t="s">
        <v>38</v>
      </c>
      <c r="F1460" s="7" t="s">
        <v>57</v>
      </c>
      <c r="G1460" s="8" t="n">
        <v>45781</v>
      </c>
      <c r="H1460" s="8" t="n">
        <v>45802</v>
      </c>
      <c r="I1460" s="7" t="s">
        <v>75</v>
      </c>
      <c r="J1460" s="7" t="s">
        <v>41</v>
      </c>
      <c r="K1460" s="7" t="n">
        <v>21</v>
      </c>
      <c r="L1460" s="7" t="n">
        <v>3</v>
      </c>
      <c r="M1460" s="7" t="n">
        <v>1</v>
      </c>
      <c r="N1460" s="7" t="s">
        <v>71</v>
      </c>
      <c r="O1460" s="7"/>
      <c r="P1460" s="7" t="n">
        <v>10</v>
      </c>
      <c r="Q1460" s="7" t="n">
        <v>24</v>
      </c>
      <c r="R1460" s="7" t="s">
        <v>44</v>
      </c>
      <c r="S1460" s="7"/>
      <c r="T1460" s="7"/>
      <c r="U1460" s="7" t="str">
        <f aca="false">IF(COUNTIF($A$2:$A$5001,A1460)&gt;1,"Duplicate","Unique")</f>
        <v>Unique</v>
      </c>
      <c r="V1460" s="7" t="str">
        <f aca="false">IF(COUNTIFS($B$2:$B$5001,B1460,$H$2:$H$5001,H1460,$J$2:$J$5001,J1460)&gt;1,"Possible Duplicate Booking","Unique")</f>
        <v>Unique</v>
      </c>
      <c r="W1460" s="7" t="str">
        <f aca="false">IF((H1460-G1460)&lt;&gt;K1460,"Mismatch","OK")</f>
        <v>OK</v>
      </c>
      <c r="X1460" s="7" t="str">
        <f aca="false">IF(TEXT(H1460,"dddd")&lt;&gt;I1460,"Mismatch","OK")</f>
        <v>OK</v>
      </c>
      <c r="Y1460" s="7" t="str">
        <f aca="false">IF(AND(N1460="No",O1460&lt;&gt;""),"Unexpected: channel present but no reminder sent",IF(AND(N1460="Yes",O1460=""),"Missing channel for sent reminder","OK"))</f>
        <v>OK</v>
      </c>
    </row>
    <row r="1461" customFormat="false" ht="15" hidden="false" customHeight="false" outlineLevel="0" collapsed="false">
      <c r="A1461" s="9" t="s">
        <v>2533</v>
      </c>
      <c r="B1461" s="9" t="s">
        <v>2534</v>
      </c>
      <c r="C1461" s="9" t="s">
        <v>37</v>
      </c>
      <c r="D1461" s="9" t="n">
        <v>36</v>
      </c>
      <c r="E1461" s="9" t="s">
        <v>38</v>
      </c>
      <c r="F1461" s="9" t="s">
        <v>39</v>
      </c>
      <c r="G1461" s="10" t="n">
        <v>45910</v>
      </c>
      <c r="H1461" s="10" t="n">
        <v>45939</v>
      </c>
      <c r="I1461" s="9" t="s">
        <v>62</v>
      </c>
      <c r="J1461" s="9" t="s">
        <v>51</v>
      </c>
      <c r="K1461" s="9" t="n">
        <v>29</v>
      </c>
      <c r="L1461" s="9" t="n">
        <v>1</v>
      </c>
      <c r="M1461" s="9" t="n">
        <v>0</v>
      </c>
      <c r="N1461" s="9" t="s">
        <v>42</v>
      </c>
      <c r="O1461" s="9" t="s">
        <v>43</v>
      </c>
      <c r="P1461" s="9" t="n">
        <v>10.9</v>
      </c>
      <c r="Q1461" s="9" t="n">
        <v>13</v>
      </c>
      <c r="R1461" s="9" t="s">
        <v>44</v>
      </c>
      <c r="S1461" s="9"/>
      <c r="T1461" s="9"/>
      <c r="U1461" s="9" t="str">
        <f aca="false">IF(COUNTIF($A$2:$A$5001,A1461)&gt;1,"Duplicate","Unique")</f>
        <v>Unique</v>
      </c>
      <c r="V1461" s="9" t="str">
        <f aca="false">IF(COUNTIFS($B$2:$B$5001,B1461,$H$2:$H$5001,H1461,$J$2:$J$5001,J1461)&gt;1,"Possible Duplicate Booking","Unique")</f>
        <v>Unique</v>
      </c>
      <c r="W1461" s="9" t="str">
        <f aca="false">IF((H1461-G1461)&lt;&gt;K1461,"Mismatch","OK")</f>
        <v>OK</v>
      </c>
      <c r="X1461" s="9" t="str">
        <f aca="false">IF(TEXT(H1461,"dddd")&lt;&gt;I1461,"Mismatch","OK")</f>
        <v>OK</v>
      </c>
      <c r="Y1461" s="9" t="str">
        <f aca="false">IF(AND(N1461="No",O1461&lt;&gt;""),"Unexpected: channel present but no reminder sent",IF(AND(N1461="Yes",O1461=""),"Missing channel for sent reminder","OK"))</f>
        <v>OK</v>
      </c>
    </row>
    <row r="1462" customFormat="false" ht="15" hidden="false" customHeight="false" outlineLevel="0" collapsed="false">
      <c r="A1462" s="7" t="s">
        <v>2535</v>
      </c>
      <c r="B1462" s="7" t="s">
        <v>2393</v>
      </c>
      <c r="C1462" s="7" t="s">
        <v>37</v>
      </c>
      <c r="D1462" s="7" t="n">
        <v>27</v>
      </c>
      <c r="E1462" s="7" t="s">
        <v>48</v>
      </c>
      <c r="F1462" s="7" t="s">
        <v>57</v>
      </c>
      <c r="G1462" s="8" t="n">
        <v>46079</v>
      </c>
      <c r="H1462" s="8" t="n">
        <v>46089</v>
      </c>
      <c r="I1462" s="7" t="s">
        <v>75</v>
      </c>
      <c r="J1462" s="7" t="s">
        <v>63</v>
      </c>
      <c r="K1462" s="7" t="n">
        <v>10</v>
      </c>
      <c r="L1462" s="7" t="n">
        <v>7</v>
      </c>
      <c r="M1462" s="7" t="n">
        <v>1</v>
      </c>
      <c r="N1462" s="7" t="s">
        <v>42</v>
      </c>
      <c r="O1462" s="7" t="s">
        <v>52</v>
      </c>
      <c r="P1462" s="7" t="n">
        <v>1.1</v>
      </c>
      <c r="Q1462" s="7" t="n">
        <v>18</v>
      </c>
      <c r="R1462" s="7" t="s">
        <v>53</v>
      </c>
      <c r="S1462" s="7"/>
      <c r="T1462" s="7"/>
      <c r="U1462" s="7" t="str">
        <f aca="false">IF(COUNTIF($A$2:$A$5001,A1462)&gt;1,"Duplicate","Unique")</f>
        <v>Unique</v>
      </c>
      <c r="V1462" s="7" t="str">
        <f aca="false">IF(COUNTIFS($B$2:$B$5001,B1462,$H$2:$H$5001,H1462,$J$2:$J$5001,J1462)&gt;1,"Possible Duplicate Booking","Unique")</f>
        <v>Unique</v>
      </c>
      <c r="W1462" s="7" t="str">
        <f aca="false">IF((H1462-G1462)&lt;&gt;K1462,"Mismatch","OK")</f>
        <v>OK</v>
      </c>
      <c r="X1462" s="7" t="str">
        <f aca="false">IF(TEXT(H1462,"dddd")&lt;&gt;I1462,"Mismatch","OK")</f>
        <v>OK</v>
      </c>
      <c r="Y1462" s="7" t="str">
        <f aca="false">IF(AND(N1462="No",O1462&lt;&gt;""),"Unexpected: channel present but no reminder sent",IF(AND(N1462="Yes",O1462=""),"Missing channel for sent reminder","OK"))</f>
        <v>OK</v>
      </c>
    </row>
    <row r="1463" customFormat="false" ht="15" hidden="false" customHeight="false" outlineLevel="0" collapsed="false">
      <c r="A1463" s="9" t="s">
        <v>2536</v>
      </c>
      <c r="B1463" s="9" t="s">
        <v>2537</v>
      </c>
      <c r="C1463" s="9" t="s">
        <v>37</v>
      </c>
      <c r="D1463" s="9" t="n">
        <v>35</v>
      </c>
      <c r="E1463" s="9" t="s">
        <v>38</v>
      </c>
      <c r="F1463" s="9" t="s">
        <v>57</v>
      </c>
      <c r="G1463" s="10" t="n">
        <v>45802</v>
      </c>
      <c r="H1463" s="10" t="n">
        <v>45828</v>
      </c>
      <c r="I1463" s="9" t="s">
        <v>50</v>
      </c>
      <c r="J1463" s="9" t="s">
        <v>51</v>
      </c>
      <c r="K1463" s="9" t="n">
        <v>26</v>
      </c>
      <c r="L1463" s="9" t="n">
        <v>5</v>
      </c>
      <c r="M1463" s="9" t="n">
        <v>0</v>
      </c>
      <c r="N1463" s="9" t="s">
        <v>42</v>
      </c>
      <c r="O1463" s="9" t="s">
        <v>43</v>
      </c>
      <c r="P1463" s="9" t="n">
        <v>0.9</v>
      </c>
      <c r="Q1463" s="9" t="n">
        <v>29</v>
      </c>
      <c r="R1463" s="9" t="s">
        <v>44</v>
      </c>
      <c r="S1463" s="9"/>
      <c r="T1463" s="9"/>
      <c r="U1463" s="9" t="str">
        <f aca="false">IF(COUNTIF($A$2:$A$5001,A1463)&gt;1,"Duplicate","Unique")</f>
        <v>Unique</v>
      </c>
      <c r="V1463" s="9" t="str">
        <f aca="false">IF(COUNTIFS($B$2:$B$5001,B1463,$H$2:$H$5001,H1463,$J$2:$J$5001,J1463)&gt;1,"Possible Duplicate Booking","Unique")</f>
        <v>Unique</v>
      </c>
      <c r="W1463" s="9" t="str">
        <f aca="false">IF((H1463-G1463)&lt;&gt;K1463,"Mismatch","OK")</f>
        <v>OK</v>
      </c>
      <c r="X1463" s="9" t="str">
        <f aca="false">IF(TEXT(H1463,"dddd")&lt;&gt;I1463,"Mismatch","OK")</f>
        <v>OK</v>
      </c>
      <c r="Y1463" s="9" t="str">
        <f aca="false">IF(AND(N1463="No",O1463&lt;&gt;""),"Unexpected: channel present but no reminder sent",IF(AND(N1463="Yes",O1463=""),"Missing channel for sent reminder","OK"))</f>
        <v>OK</v>
      </c>
    </row>
    <row r="1464" customFormat="false" ht="15" hidden="false" customHeight="false" outlineLevel="0" collapsed="false">
      <c r="A1464" s="7" t="s">
        <v>2538</v>
      </c>
      <c r="B1464" s="7" t="s">
        <v>2539</v>
      </c>
      <c r="C1464" s="7" t="s">
        <v>47</v>
      </c>
      <c r="D1464" s="7" t="n">
        <v>55</v>
      </c>
      <c r="E1464" s="7" t="s">
        <v>61</v>
      </c>
      <c r="F1464" s="7" t="s">
        <v>49</v>
      </c>
      <c r="G1464" s="8" t="n">
        <v>45669</v>
      </c>
      <c r="H1464" s="8" t="n">
        <v>45683</v>
      </c>
      <c r="I1464" s="7" t="s">
        <v>75</v>
      </c>
      <c r="J1464" s="7" t="s">
        <v>63</v>
      </c>
      <c r="K1464" s="7" t="n">
        <v>14</v>
      </c>
      <c r="L1464" s="7" t="n">
        <v>1</v>
      </c>
      <c r="M1464" s="7" t="n">
        <v>1</v>
      </c>
      <c r="N1464" s="7" t="s">
        <v>71</v>
      </c>
      <c r="O1464" s="7"/>
      <c r="P1464" s="7" t="n">
        <v>8.1</v>
      </c>
      <c r="Q1464" s="7" t="n">
        <v>38</v>
      </c>
      <c r="R1464" s="7" t="s">
        <v>53</v>
      </c>
      <c r="S1464" s="7"/>
      <c r="T1464" s="7"/>
      <c r="U1464" s="7" t="str">
        <f aca="false">IF(COUNTIF($A$2:$A$5001,A1464)&gt;1,"Duplicate","Unique")</f>
        <v>Unique</v>
      </c>
      <c r="V1464" s="7" t="str">
        <f aca="false">IF(COUNTIFS($B$2:$B$5001,B1464,$H$2:$H$5001,H1464,$J$2:$J$5001,J1464)&gt;1,"Possible Duplicate Booking","Unique")</f>
        <v>Unique</v>
      </c>
      <c r="W1464" s="7" t="str">
        <f aca="false">IF((H1464-G1464)&lt;&gt;K1464,"Mismatch","OK")</f>
        <v>OK</v>
      </c>
      <c r="X1464" s="7" t="str">
        <f aca="false">IF(TEXT(H1464,"dddd")&lt;&gt;I1464,"Mismatch","OK")</f>
        <v>OK</v>
      </c>
      <c r="Y1464" s="7" t="str">
        <f aca="false">IF(AND(N1464="No",O1464&lt;&gt;""),"Unexpected: channel present but no reminder sent",IF(AND(N1464="Yes",O1464=""),"Missing channel for sent reminder","OK"))</f>
        <v>OK</v>
      </c>
    </row>
    <row r="1465" customFormat="false" ht="15" hidden="false" customHeight="false" outlineLevel="0" collapsed="false">
      <c r="A1465" s="9" t="s">
        <v>2540</v>
      </c>
      <c r="B1465" s="9" t="s">
        <v>2364</v>
      </c>
      <c r="C1465" s="9" t="s">
        <v>37</v>
      </c>
      <c r="D1465" s="9" t="n">
        <v>73</v>
      </c>
      <c r="E1465" s="9" t="s">
        <v>70</v>
      </c>
      <c r="F1465" s="9" t="s">
        <v>39</v>
      </c>
      <c r="G1465" s="10" t="n">
        <v>45679</v>
      </c>
      <c r="H1465" s="10" t="n">
        <v>45685</v>
      </c>
      <c r="I1465" s="9" t="s">
        <v>40</v>
      </c>
      <c r="J1465" s="9" t="s">
        <v>41</v>
      </c>
      <c r="K1465" s="9" t="n">
        <v>6</v>
      </c>
      <c r="L1465" s="9" t="n">
        <v>5</v>
      </c>
      <c r="M1465" s="9" t="n">
        <v>2</v>
      </c>
      <c r="N1465" s="9" t="s">
        <v>42</v>
      </c>
      <c r="O1465" s="9" t="s">
        <v>52</v>
      </c>
      <c r="P1465" s="9" t="n">
        <v>7.9</v>
      </c>
      <c r="Q1465" s="9" t="n">
        <v>36</v>
      </c>
      <c r="R1465" s="9" t="s">
        <v>53</v>
      </c>
      <c r="S1465" s="9"/>
      <c r="T1465" s="9"/>
      <c r="U1465" s="9" t="str">
        <f aca="false">IF(COUNTIF($A$2:$A$5001,A1465)&gt;1,"Duplicate","Unique")</f>
        <v>Unique</v>
      </c>
      <c r="V1465" s="9" t="str">
        <f aca="false">IF(COUNTIFS($B$2:$B$5001,B1465,$H$2:$H$5001,H1465,$J$2:$J$5001,J1465)&gt;1,"Possible Duplicate Booking","Unique")</f>
        <v>Unique</v>
      </c>
      <c r="W1465" s="9" t="str">
        <f aca="false">IF((H1465-G1465)&lt;&gt;K1465,"Mismatch","OK")</f>
        <v>OK</v>
      </c>
      <c r="X1465" s="9" t="str">
        <f aca="false">IF(TEXT(H1465,"dddd")&lt;&gt;I1465,"Mismatch","OK")</f>
        <v>OK</v>
      </c>
      <c r="Y1465" s="9" t="str">
        <f aca="false">IF(AND(N1465="No",O1465&lt;&gt;""),"Unexpected: channel present but no reminder sent",IF(AND(N1465="Yes",O1465=""),"Missing channel for sent reminder","OK"))</f>
        <v>OK</v>
      </c>
    </row>
    <row r="1466" customFormat="false" ht="15" hidden="false" customHeight="false" outlineLevel="0" collapsed="false">
      <c r="A1466" s="7" t="s">
        <v>2541</v>
      </c>
      <c r="B1466" s="7" t="s">
        <v>1505</v>
      </c>
      <c r="C1466" s="7" t="s">
        <v>37</v>
      </c>
      <c r="D1466" s="7" t="n">
        <v>26</v>
      </c>
      <c r="E1466" s="7" t="s">
        <v>48</v>
      </c>
      <c r="F1466" s="7" t="s">
        <v>57</v>
      </c>
      <c r="G1466" s="8" t="n">
        <v>46115</v>
      </c>
      <c r="H1466" s="8" t="n">
        <v>46123</v>
      </c>
      <c r="I1466" s="7" t="s">
        <v>102</v>
      </c>
      <c r="J1466" s="7" t="s">
        <v>41</v>
      </c>
      <c r="K1466" s="7" t="n">
        <v>8</v>
      </c>
      <c r="L1466" s="7" t="n">
        <v>1</v>
      </c>
      <c r="M1466" s="7" t="n">
        <v>0</v>
      </c>
      <c r="N1466" s="7" t="s">
        <v>42</v>
      </c>
      <c r="O1466" s="7" t="s">
        <v>52</v>
      </c>
      <c r="P1466" s="7" t="n">
        <v>4.3</v>
      </c>
      <c r="Q1466" s="7" t="n">
        <v>28</v>
      </c>
      <c r="R1466" s="7" t="s">
        <v>53</v>
      </c>
      <c r="S1466" s="7"/>
      <c r="T1466" s="7"/>
      <c r="U1466" s="7" t="str">
        <f aca="false">IF(COUNTIF($A$2:$A$5001,A1466)&gt;1,"Duplicate","Unique")</f>
        <v>Unique</v>
      </c>
      <c r="V1466" s="7" t="str">
        <f aca="false">IF(COUNTIFS($B$2:$B$5001,B1466,$H$2:$H$5001,H1466,$J$2:$J$5001,J1466)&gt;1,"Possible Duplicate Booking","Unique")</f>
        <v>Unique</v>
      </c>
      <c r="W1466" s="7" t="str">
        <f aca="false">IF((H1466-G1466)&lt;&gt;K1466,"Mismatch","OK")</f>
        <v>OK</v>
      </c>
      <c r="X1466" s="7" t="str">
        <f aca="false">IF(TEXT(H1466,"dddd")&lt;&gt;I1466,"Mismatch","OK")</f>
        <v>OK</v>
      </c>
      <c r="Y1466" s="7" t="str">
        <f aca="false">IF(AND(N1466="No",O1466&lt;&gt;""),"Unexpected: channel present but no reminder sent",IF(AND(N1466="Yes",O1466=""),"Missing channel for sent reminder","OK"))</f>
        <v>OK</v>
      </c>
    </row>
    <row r="1467" customFormat="false" ht="15" hidden="false" customHeight="false" outlineLevel="0" collapsed="false">
      <c r="A1467" s="9" t="s">
        <v>2542</v>
      </c>
      <c r="B1467" s="9" t="s">
        <v>136</v>
      </c>
      <c r="C1467" s="9" t="s">
        <v>47</v>
      </c>
      <c r="D1467" s="9" t="n">
        <v>60</v>
      </c>
      <c r="E1467" s="9" t="s">
        <v>61</v>
      </c>
      <c r="F1467" s="9" t="s">
        <v>57</v>
      </c>
      <c r="G1467" s="10" t="n">
        <v>45687</v>
      </c>
      <c r="H1467" s="10" t="n">
        <v>45718</v>
      </c>
      <c r="I1467" s="9" t="s">
        <v>75</v>
      </c>
      <c r="J1467" s="9" t="s">
        <v>63</v>
      </c>
      <c r="K1467" s="9" t="n">
        <v>31</v>
      </c>
      <c r="L1467" s="9" t="n">
        <v>2</v>
      </c>
      <c r="M1467" s="9" t="n">
        <v>0</v>
      </c>
      <c r="N1467" s="9" t="s">
        <v>42</v>
      </c>
      <c r="O1467" s="9" t="s">
        <v>43</v>
      </c>
      <c r="P1467" s="9" t="n">
        <v>8.4</v>
      </c>
      <c r="Q1467" s="9" t="n">
        <v>42</v>
      </c>
      <c r="R1467" s="9" t="s">
        <v>53</v>
      </c>
      <c r="S1467" s="9"/>
      <c r="T1467" s="9"/>
      <c r="U1467" s="9" t="str">
        <f aca="false">IF(COUNTIF($A$2:$A$5001,A1467)&gt;1,"Duplicate","Unique")</f>
        <v>Unique</v>
      </c>
      <c r="V1467" s="9" t="str">
        <f aca="false">IF(COUNTIFS($B$2:$B$5001,B1467,$H$2:$H$5001,H1467,$J$2:$J$5001,J1467)&gt;1,"Possible Duplicate Booking","Unique")</f>
        <v>Unique</v>
      </c>
      <c r="W1467" s="9" t="str">
        <f aca="false">IF((H1467-G1467)&lt;&gt;K1467,"Mismatch","OK")</f>
        <v>OK</v>
      </c>
      <c r="X1467" s="9" t="str">
        <f aca="false">IF(TEXT(H1467,"dddd")&lt;&gt;I1467,"Mismatch","OK")</f>
        <v>OK</v>
      </c>
      <c r="Y1467" s="9" t="str">
        <f aca="false">IF(AND(N1467="No",O1467&lt;&gt;""),"Unexpected: channel present but no reminder sent",IF(AND(N1467="Yes",O1467=""),"Missing channel for sent reminder","OK"))</f>
        <v>OK</v>
      </c>
    </row>
    <row r="1468" customFormat="false" ht="15" hidden="false" customHeight="false" outlineLevel="0" collapsed="false">
      <c r="A1468" s="7" t="s">
        <v>2543</v>
      </c>
      <c r="B1468" s="7" t="s">
        <v>2025</v>
      </c>
      <c r="C1468" s="7" t="s">
        <v>47</v>
      </c>
      <c r="D1468" s="7" t="n">
        <v>66</v>
      </c>
      <c r="E1468" s="7" t="s">
        <v>70</v>
      </c>
      <c r="F1468" s="7" t="s">
        <v>39</v>
      </c>
      <c r="G1468" s="8" t="n">
        <v>45983</v>
      </c>
      <c r="H1468" s="8" t="n">
        <v>46005</v>
      </c>
      <c r="I1468" s="7" t="s">
        <v>75</v>
      </c>
      <c r="J1468" s="7" t="s">
        <v>51</v>
      </c>
      <c r="K1468" s="7" t="n">
        <v>22</v>
      </c>
      <c r="L1468" s="7" t="n">
        <v>4</v>
      </c>
      <c r="M1468" s="7" t="n">
        <v>0</v>
      </c>
      <c r="N1468" s="7" t="s">
        <v>42</v>
      </c>
      <c r="O1468" s="7" t="s">
        <v>52</v>
      </c>
      <c r="P1468" s="7" t="n">
        <v>4.9</v>
      </c>
      <c r="Q1468" s="7" t="n">
        <v>19</v>
      </c>
      <c r="R1468" s="7" t="s">
        <v>53</v>
      </c>
      <c r="S1468" s="7"/>
      <c r="T1468" s="7"/>
      <c r="U1468" s="7" t="str">
        <f aca="false">IF(COUNTIF($A$2:$A$5001,A1468)&gt;1,"Duplicate","Unique")</f>
        <v>Unique</v>
      </c>
      <c r="V1468" s="7" t="str">
        <f aca="false">IF(COUNTIFS($B$2:$B$5001,B1468,$H$2:$H$5001,H1468,$J$2:$J$5001,J1468)&gt;1,"Possible Duplicate Booking","Unique")</f>
        <v>Unique</v>
      </c>
      <c r="W1468" s="7" t="str">
        <f aca="false">IF((H1468-G1468)&lt;&gt;K1468,"Mismatch","OK")</f>
        <v>OK</v>
      </c>
      <c r="X1468" s="7" t="str">
        <f aca="false">IF(TEXT(H1468,"dddd")&lt;&gt;I1468,"Mismatch","OK")</f>
        <v>OK</v>
      </c>
      <c r="Y1468" s="7" t="str">
        <f aca="false">IF(AND(N1468="No",O1468&lt;&gt;""),"Unexpected: channel present but no reminder sent",IF(AND(N1468="Yes",O1468=""),"Missing channel for sent reminder","OK"))</f>
        <v>OK</v>
      </c>
    </row>
    <row r="1469" customFormat="false" ht="15" hidden="false" customHeight="false" outlineLevel="0" collapsed="false">
      <c r="A1469" s="9" t="s">
        <v>2544</v>
      </c>
      <c r="B1469" s="9" t="s">
        <v>2545</v>
      </c>
      <c r="C1469" s="9" t="s">
        <v>47</v>
      </c>
      <c r="D1469" s="9" t="n">
        <v>74</v>
      </c>
      <c r="E1469" s="9" t="s">
        <v>70</v>
      </c>
      <c r="F1469" s="9" t="s">
        <v>57</v>
      </c>
      <c r="G1469" s="10" t="n">
        <v>45861</v>
      </c>
      <c r="H1469" s="10" t="n">
        <v>45867</v>
      </c>
      <c r="I1469" s="9" t="s">
        <v>40</v>
      </c>
      <c r="J1469" s="9" t="s">
        <v>41</v>
      </c>
      <c r="K1469" s="9" t="n">
        <v>6</v>
      </c>
      <c r="L1469" s="9" t="n">
        <v>1</v>
      </c>
      <c r="M1469" s="9" t="n">
        <v>0</v>
      </c>
      <c r="N1469" s="9" t="s">
        <v>42</v>
      </c>
      <c r="O1469" s="9" t="s">
        <v>52</v>
      </c>
      <c r="P1469" s="9" t="n">
        <v>16.9</v>
      </c>
      <c r="Q1469" s="9" t="n">
        <v>12</v>
      </c>
      <c r="R1469" s="9" t="s">
        <v>53</v>
      </c>
      <c r="S1469" s="9"/>
      <c r="T1469" s="9"/>
      <c r="U1469" s="9" t="str">
        <f aca="false">IF(COUNTIF($A$2:$A$5001,A1469)&gt;1,"Duplicate","Unique")</f>
        <v>Unique</v>
      </c>
      <c r="V1469" s="9" t="str">
        <f aca="false">IF(COUNTIFS($B$2:$B$5001,B1469,$H$2:$H$5001,H1469,$J$2:$J$5001,J1469)&gt;1,"Possible Duplicate Booking","Unique")</f>
        <v>Unique</v>
      </c>
      <c r="W1469" s="9" t="str">
        <f aca="false">IF((H1469-G1469)&lt;&gt;K1469,"Mismatch","OK")</f>
        <v>OK</v>
      </c>
      <c r="X1469" s="9" t="str">
        <f aca="false">IF(TEXT(H1469,"dddd")&lt;&gt;I1469,"Mismatch","OK")</f>
        <v>OK</v>
      </c>
      <c r="Y1469" s="9" t="str">
        <f aca="false">IF(AND(N1469="No",O1469&lt;&gt;""),"Unexpected: channel present but no reminder sent",IF(AND(N1469="Yes",O1469=""),"Missing channel for sent reminder","OK"))</f>
        <v>OK</v>
      </c>
    </row>
    <row r="1470" customFormat="false" ht="15" hidden="false" customHeight="false" outlineLevel="0" collapsed="false">
      <c r="A1470" s="7" t="s">
        <v>2546</v>
      </c>
      <c r="B1470" s="7" t="s">
        <v>2074</v>
      </c>
      <c r="C1470" s="7" t="s">
        <v>47</v>
      </c>
      <c r="D1470" s="7" t="n">
        <v>65</v>
      </c>
      <c r="E1470" s="7" t="s">
        <v>70</v>
      </c>
      <c r="F1470" s="7" t="s">
        <v>74</v>
      </c>
      <c r="G1470" s="8" t="n">
        <v>46051</v>
      </c>
      <c r="H1470" s="8" t="n">
        <v>46082</v>
      </c>
      <c r="I1470" s="7" t="s">
        <v>75</v>
      </c>
      <c r="J1470" s="7" t="s">
        <v>51</v>
      </c>
      <c r="K1470" s="7" t="n">
        <v>31</v>
      </c>
      <c r="L1470" s="7" t="n">
        <v>0</v>
      </c>
      <c r="M1470" s="7" t="n">
        <v>0</v>
      </c>
      <c r="N1470" s="7" t="s">
        <v>42</v>
      </c>
      <c r="O1470" s="7" t="s">
        <v>52</v>
      </c>
      <c r="P1470" s="7" t="n">
        <v>9.4</v>
      </c>
      <c r="Q1470" s="7" t="n">
        <v>22</v>
      </c>
      <c r="R1470" s="7" t="s">
        <v>44</v>
      </c>
      <c r="S1470" s="7"/>
      <c r="T1470" s="7"/>
      <c r="U1470" s="7" t="str">
        <f aca="false">IF(COUNTIF($A$2:$A$5001,A1470)&gt;1,"Duplicate","Unique")</f>
        <v>Unique</v>
      </c>
      <c r="V1470" s="7" t="str">
        <f aca="false">IF(COUNTIFS($B$2:$B$5001,B1470,$H$2:$H$5001,H1470,$J$2:$J$5001,J1470)&gt;1,"Possible Duplicate Booking","Unique")</f>
        <v>Unique</v>
      </c>
      <c r="W1470" s="7" t="str">
        <f aca="false">IF((H1470-G1470)&lt;&gt;K1470,"Mismatch","OK")</f>
        <v>OK</v>
      </c>
      <c r="X1470" s="7" t="str">
        <f aca="false">IF(TEXT(H1470,"dddd")&lt;&gt;I1470,"Mismatch","OK")</f>
        <v>OK</v>
      </c>
      <c r="Y1470" s="7" t="str">
        <f aca="false">IF(AND(N1470="No",O1470&lt;&gt;""),"Unexpected: channel present but no reminder sent",IF(AND(N1470="Yes",O1470=""),"Missing channel for sent reminder","OK"))</f>
        <v>OK</v>
      </c>
    </row>
    <row r="1471" customFormat="false" ht="15" hidden="false" customHeight="false" outlineLevel="0" collapsed="false">
      <c r="A1471" s="9" t="s">
        <v>2547</v>
      </c>
      <c r="B1471" s="9" t="s">
        <v>2267</v>
      </c>
      <c r="C1471" s="9" t="s">
        <v>37</v>
      </c>
      <c r="D1471" s="9" t="n">
        <v>27</v>
      </c>
      <c r="E1471" s="9" t="s">
        <v>48</v>
      </c>
      <c r="F1471" s="9" t="s">
        <v>39</v>
      </c>
      <c r="G1471" s="10" t="n">
        <v>45681</v>
      </c>
      <c r="H1471" s="10" t="n">
        <v>45691</v>
      </c>
      <c r="I1471" s="9" t="s">
        <v>66</v>
      </c>
      <c r="J1471" s="9" t="s">
        <v>41</v>
      </c>
      <c r="K1471" s="9" t="n">
        <v>10</v>
      </c>
      <c r="L1471" s="9" t="n">
        <v>4</v>
      </c>
      <c r="M1471" s="9" t="n">
        <v>0</v>
      </c>
      <c r="N1471" s="9" t="s">
        <v>71</v>
      </c>
      <c r="O1471" s="9"/>
      <c r="P1471" s="9" t="n">
        <v>5.4</v>
      </c>
      <c r="Q1471" s="9" t="n">
        <v>39</v>
      </c>
      <c r="R1471" s="9" t="s">
        <v>44</v>
      </c>
      <c r="S1471" s="9"/>
      <c r="T1471" s="9"/>
      <c r="U1471" s="9" t="str">
        <f aca="false">IF(COUNTIF($A$2:$A$5001,A1471)&gt;1,"Duplicate","Unique")</f>
        <v>Unique</v>
      </c>
      <c r="V1471" s="9" t="str">
        <f aca="false">IF(COUNTIFS($B$2:$B$5001,B1471,$H$2:$H$5001,H1471,$J$2:$J$5001,J1471)&gt;1,"Possible Duplicate Booking","Unique")</f>
        <v>Unique</v>
      </c>
      <c r="W1471" s="9" t="str">
        <f aca="false">IF((H1471-G1471)&lt;&gt;K1471,"Mismatch","OK")</f>
        <v>OK</v>
      </c>
      <c r="X1471" s="9" t="str">
        <f aca="false">IF(TEXT(H1471,"dddd")&lt;&gt;I1471,"Mismatch","OK")</f>
        <v>OK</v>
      </c>
      <c r="Y1471" s="9" t="str">
        <f aca="false">IF(AND(N1471="No",O1471&lt;&gt;""),"Unexpected: channel present but no reminder sent",IF(AND(N1471="Yes",O1471=""),"Missing channel for sent reminder","OK"))</f>
        <v>OK</v>
      </c>
    </row>
    <row r="1472" customFormat="false" ht="15" hidden="false" customHeight="false" outlineLevel="0" collapsed="false">
      <c r="A1472" s="7" t="s">
        <v>2548</v>
      </c>
      <c r="B1472" s="7" t="s">
        <v>2549</v>
      </c>
      <c r="C1472" s="7" t="s">
        <v>37</v>
      </c>
      <c r="D1472" s="7" t="n">
        <v>48</v>
      </c>
      <c r="E1472" s="7" t="s">
        <v>56</v>
      </c>
      <c r="F1472" s="7" t="s">
        <v>49</v>
      </c>
      <c r="G1472" s="8" t="n">
        <v>46148</v>
      </c>
      <c r="H1472" s="8" t="n">
        <v>46148</v>
      </c>
      <c r="I1472" s="7" t="s">
        <v>58</v>
      </c>
      <c r="J1472" s="7" t="s">
        <v>41</v>
      </c>
      <c r="K1472" s="7" t="n">
        <v>0</v>
      </c>
      <c r="L1472" s="7" t="n">
        <v>4</v>
      </c>
      <c r="M1472" s="7" t="n">
        <v>1</v>
      </c>
      <c r="N1472" s="7" t="s">
        <v>42</v>
      </c>
      <c r="O1472" s="7" t="s">
        <v>43</v>
      </c>
      <c r="P1472" s="7" t="n">
        <v>16.9</v>
      </c>
      <c r="Q1472" s="7" t="n">
        <v>33</v>
      </c>
      <c r="R1472" s="7" t="s">
        <v>44</v>
      </c>
      <c r="S1472" s="7"/>
      <c r="T1472" s="7"/>
      <c r="U1472" s="7" t="str">
        <f aca="false">IF(COUNTIF($A$2:$A$5001,A1472)&gt;1,"Duplicate","Unique")</f>
        <v>Unique</v>
      </c>
      <c r="V1472" s="7" t="str">
        <f aca="false">IF(COUNTIFS($B$2:$B$5001,B1472,$H$2:$H$5001,H1472,$J$2:$J$5001,J1472)&gt;1,"Possible Duplicate Booking","Unique")</f>
        <v>Unique</v>
      </c>
      <c r="W1472" s="7" t="str">
        <f aca="false">IF((H1472-G1472)&lt;&gt;K1472,"Mismatch","OK")</f>
        <v>OK</v>
      </c>
      <c r="X1472" s="7" t="str">
        <f aca="false">IF(TEXT(H1472,"dddd")&lt;&gt;I1472,"Mismatch","OK")</f>
        <v>OK</v>
      </c>
      <c r="Y1472" s="7" t="str">
        <f aca="false">IF(AND(N1472="No",O1472&lt;&gt;""),"Unexpected: channel present but no reminder sent",IF(AND(N1472="Yes",O1472=""),"Missing channel for sent reminder","OK"))</f>
        <v>OK</v>
      </c>
    </row>
    <row r="1473" customFormat="false" ht="15" hidden="false" customHeight="false" outlineLevel="0" collapsed="false">
      <c r="A1473" s="9" t="s">
        <v>2550</v>
      </c>
      <c r="B1473" s="9" t="s">
        <v>2375</v>
      </c>
      <c r="C1473" s="9" t="s">
        <v>37</v>
      </c>
      <c r="D1473" s="9" t="n">
        <v>77</v>
      </c>
      <c r="E1473" s="9" t="s">
        <v>70</v>
      </c>
      <c r="F1473" s="9" t="s">
        <v>57</v>
      </c>
      <c r="G1473" s="10" t="n">
        <v>46031</v>
      </c>
      <c r="H1473" s="10" t="n">
        <v>46039</v>
      </c>
      <c r="I1473" s="9" t="s">
        <v>102</v>
      </c>
      <c r="J1473" s="9" t="s">
        <v>51</v>
      </c>
      <c r="K1473" s="9" t="n">
        <v>8</v>
      </c>
      <c r="L1473" s="9" t="n">
        <v>4</v>
      </c>
      <c r="M1473" s="9" t="n">
        <v>0</v>
      </c>
      <c r="N1473" s="9" t="s">
        <v>42</v>
      </c>
      <c r="O1473" s="9" t="s">
        <v>67</v>
      </c>
      <c r="P1473" s="9" t="n">
        <v>3</v>
      </c>
      <c r="Q1473" s="9" t="n">
        <v>37</v>
      </c>
      <c r="R1473" s="9" t="s">
        <v>53</v>
      </c>
      <c r="S1473" s="9"/>
      <c r="T1473" s="9"/>
      <c r="U1473" s="9" t="str">
        <f aca="false">IF(COUNTIF($A$2:$A$5001,A1473)&gt;1,"Duplicate","Unique")</f>
        <v>Unique</v>
      </c>
      <c r="V1473" s="9" t="str">
        <f aca="false">IF(COUNTIFS($B$2:$B$5001,B1473,$H$2:$H$5001,H1473,$J$2:$J$5001,J1473)&gt;1,"Possible Duplicate Booking","Unique")</f>
        <v>Unique</v>
      </c>
      <c r="W1473" s="9" t="str">
        <f aca="false">IF((H1473-G1473)&lt;&gt;K1473,"Mismatch","OK")</f>
        <v>OK</v>
      </c>
      <c r="X1473" s="9" t="str">
        <f aca="false">IF(TEXT(H1473,"dddd")&lt;&gt;I1473,"Mismatch","OK")</f>
        <v>OK</v>
      </c>
      <c r="Y1473" s="9" t="str">
        <f aca="false">IF(AND(N1473="No",O1473&lt;&gt;""),"Unexpected: channel present but no reminder sent",IF(AND(N1473="Yes",O1473=""),"Missing channel for sent reminder","OK"))</f>
        <v>OK</v>
      </c>
    </row>
    <row r="1474" customFormat="false" ht="15" hidden="false" customHeight="false" outlineLevel="0" collapsed="false">
      <c r="A1474" s="7" t="s">
        <v>2551</v>
      </c>
      <c r="B1474" s="7" t="s">
        <v>2552</v>
      </c>
      <c r="C1474" s="7" t="s">
        <v>37</v>
      </c>
      <c r="D1474" s="7" t="n">
        <v>75</v>
      </c>
      <c r="E1474" s="7" t="s">
        <v>70</v>
      </c>
      <c r="F1474" s="7" t="s">
        <v>49</v>
      </c>
      <c r="G1474" s="8" t="n">
        <v>45876</v>
      </c>
      <c r="H1474" s="8" t="n">
        <v>45903</v>
      </c>
      <c r="I1474" s="7" t="s">
        <v>58</v>
      </c>
      <c r="J1474" s="7" t="s">
        <v>51</v>
      </c>
      <c r="K1474" s="7" t="n">
        <v>27</v>
      </c>
      <c r="L1474" s="7" t="n">
        <v>4</v>
      </c>
      <c r="M1474" s="7" t="n">
        <v>0</v>
      </c>
      <c r="N1474" s="7" t="s">
        <v>42</v>
      </c>
      <c r="O1474" s="7" t="s">
        <v>52</v>
      </c>
      <c r="P1474" s="7" t="n">
        <v>28.3</v>
      </c>
      <c r="Q1474" s="7" t="n">
        <v>24</v>
      </c>
      <c r="R1474" s="7" t="s">
        <v>53</v>
      </c>
      <c r="S1474" s="7"/>
      <c r="T1474" s="7"/>
      <c r="U1474" s="7" t="str">
        <f aca="false">IF(COUNTIF($A$2:$A$5001,A1474)&gt;1,"Duplicate","Unique")</f>
        <v>Unique</v>
      </c>
      <c r="V1474" s="7" t="str">
        <f aca="false">IF(COUNTIFS($B$2:$B$5001,B1474,$H$2:$H$5001,H1474,$J$2:$J$5001,J1474)&gt;1,"Possible Duplicate Booking","Unique")</f>
        <v>Unique</v>
      </c>
      <c r="W1474" s="7" t="str">
        <f aca="false">IF((H1474-G1474)&lt;&gt;K1474,"Mismatch","OK")</f>
        <v>OK</v>
      </c>
      <c r="X1474" s="7" t="str">
        <f aca="false">IF(TEXT(H1474,"dddd")&lt;&gt;I1474,"Mismatch","OK")</f>
        <v>OK</v>
      </c>
      <c r="Y1474" s="7" t="str">
        <f aca="false">IF(AND(N1474="No",O1474&lt;&gt;""),"Unexpected: channel present but no reminder sent",IF(AND(N1474="Yes",O1474=""),"Missing channel for sent reminder","OK"))</f>
        <v>OK</v>
      </c>
    </row>
    <row r="1475" customFormat="false" ht="15" hidden="false" customHeight="false" outlineLevel="0" collapsed="false">
      <c r="A1475" s="9" t="s">
        <v>2553</v>
      </c>
      <c r="B1475" s="9" t="s">
        <v>1457</v>
      </c>
      <c r="C1475" s="9" t="s">
        <v>37</v>
      </c>
      <c r="D1475" s="9" t="n">
        <v>56</v>
      </c>
      <c r="E1475" s="9" t="s">
        <v>61</v>
      </c>
      <c r="F1475" s="9" t="s">
        <v>57</v>
      </c>
      <c r="G1475" s="10" t="n">
        <v>45713</v>
      </c>
      <c r="H1475" s="10" t="n">
        <v>45771</v>
      </c>
      <c r="I1475" s="9" t="s">
        <v>62</v>
      </c>
      <c r="J1475" s="9" t="s">
        <v>51</v>
      </c>
      <c r="K1475" s="9" t="n">
        <v>58</v>
      </c>
      <c r="L1475" s="9" t="n">
        <v>4</v>
      </c>
      <c r="M1475" s="9" t="n">
        <v>2</v>
      </c>
      <c r="N1475" s="9" t="s">
        <v>42</v>
      </c>
      <c r="O1475" s="9" t="s">
        <v>52</v>
      </c>
      <c r="P1475" s="9" t="n">
        <v>10.3</v>
      </c>
      <c r="Q1475" s="9" t="n">
        <v>27</v>
      </c>
      <c r="R1475" s="9" t="s">
        <v>44</v>
      </c>
      <c r="S1475" s="9"/>
      <c r="T1475" s="9"/>
      <c r="U1475" s="9" t="str">
        <f aca="false">IF(COUNTIF($A$2:$A$5001,A1475)&gt;1,"Duplicate","Unique")</f>
        <v>Unique</v>
      </c>
      <c r="V1475" s="9" t="str">
        <f aca="false">IF(COUNTIFS($B$2:$B$5001,B1475,$H$2:$H$5001,H1475,$J$2:$J$5001,J1475)&gt;1,"Possible Duplicate Booking","Unique")</f>
        <v>Unique</v>
      </c>
      <c r="W1475" s="9" t="str">
        <f aca="false">IF((H1475-G1475)&lt;&gt;K1475,"Mismatch","OK")</f>
        <v>OK</v>
      </c>
      <c r="X1475" s="9" t="str">
        <f aca="false">IF(TEXT(H1475,"dddd")&lt;&gt;I1475,"Mismatch","OK")</f>
        <v>OK</v>
      </c>
      <c r="Y1475" s="9" t="str">
        <f aca="false">IF(AND(N1475="No",O1475&lt;&gt;""),"Unexpected: channel present but no reminder sent",IF(AND(N1475="Yes",O1475=""),"Missing channel for sent reminder","OK"))</f>
        <v>OK</v>
      </c>
    </row>
    <row r="1476" customFormat="false" ht="15" hidden="false" customHeight="false" outlineLevel="0" collapsed="false">
      <c r="A1476" s="7" t="s">
        <v>2554</v>
      </c>
      <c r="B1476" s="7" t="s">
        <v>2555</v>
      </c>
      <c r="C1476" s="7" t="s">
        <v>47</v>
      </c>
      <c r="D1476" s="7" t="n">
        <v>78</v>
      </c>
      <c r="E1476" s="7" t="s">
        <v>70</v>
      </c>
      <c r="F1476" s="7" t="s">
        <v>57</v>
      </c>
      <c r="G1476" s="8" t="n">
        <v>46177</v>
      </c>
      <c r="H1476" s="8" t="n">
        <v>46191</v>
      </c>
      <c r="I1476" s="7" t="s">
        <v>62</v>
      </c>
      <c r="J1476" s="7" t="s">
        <v>51</v>
      </c>
      <c r="K1476" s="7" t="n">
        <v>14</v>
      </c>
      <c r="L1476" s="7" t="n">
        <v>3</v>
      </c>
      <c r="M1476" s="7" t="n">
        <v>0</v>
      </c>
      <c r="N1476" s="7" t="s">
        <v>42</v>
      </c>
      <c r="O1476" s="7" t="s">
        <v>67</v>
      </c>
      <c r="P1476" s="7" t="n">
        <v>8</v>
      </c>
      <c r="Q1476" s="7" t="n">
        <v>23</v>
      </c>
      <c r="R1476" s="7" t="s">
        <v>53</v>
      </c>
      <c r="S1476" s="7"/>
      <c r="T1476" s="7"/>
      <c r="U1476" s="7" t="str">
        <f aca="false">IF(COUNTIF($A$2:$A$5001,A1476)&gt;1,"Duplicate","Unique")</f>
        <v>Unique</v>
      </c>
      <c r="V1476" s="7" t="str">
        <f aca="false">IF(COUNTIFS($B$2:$B$5001,B1476,$H$2:$H$5001,H1476,$J$2:$J$5001,J1476)&gt;1,"Possible Duplicate Booking","Unique")</f>
        <v>Unique</v>
      </c>
      <c r="W1476" s="7" t="str">
        <f aca="false">IF((H1476-G1476)&lt;&gt;K1476,"Mismatch","OK")</f>
        <v>OK</v>
      </c>
      <c r="X1476" s="7" t="str">
        <f aca="false">IF(TEXT(H1476,"dddd")&lt;&gt;I1476,"Mismatch","OK")</f>
        <v>OK</v>
      </c>
      <c r="Y1476" s="7" t="str">
        <f aca="false">IF(AND(N1476="No",O1476&lt;&gt;""),"Unexpected: channel present but no reminder sent",IF(AND(N1476="Yes",O1476=""),"Missing channel for sent reminder","OK"))</f>
        <v>OK</v>
      </c>
    </row>
    <row r="1477" customFormat="false" ht="15" hidden="false" customHeight="false" outlineLevel="0" collapsed="false">
      <c r="A1477" s="9" t="s">
        <v>2556</v>
      </c>
      <c r="B1477" s="9" t="s">
        <v>2557</v>
      </c>
      <c r="C1477" s="9" t="s">
        <v>37</v>
      </c>
      <c r="D1477" s="9" t="n">
        <v>60</v>
      </c>
      <c r="E1477" s="9" t="s">
        <v>61</v>
      </c>
      <c r="F1477" s="9" t="s">
        <v>57</v>
      </c>
      <c r="G1477" s="10" t="n">
        <v>45805</v>
      </c>
      <c r="H1477" s="10" t="n">
        <v>45822</v>
      </c>
      <c r="I1477" s="9" t="s">
        <v>102</v>
      </c>
      <c r="J1477" s="9" t="s">
        <v>41</v>
      </c>
      <c r="K1477" s="9" t="n">
        <v>17</v>
      </c>
      <c r="L1477" s="9" t="n">
        <v>4</v>
      </c>
      <c r="M1477" s="9" t="n">
        <v>2</v>
      </c>
      <c r="N1477" s="9" t="s">
        <v>42</v>
      </c>
      <c r="O1477" s="9" t="s">
        <v>43</v>
      </c>
      <c r="P1477" s="9" t="n">
        <v>2.1</v>
      </c>
      <c r="Q1477" s="9" t="n">
        <v>16</v>
      </c>
      <c r="R1477" s="9" t="s">
        <v>44</v>
      </c>
      <c r="S1477" s="9"/>
      <c r="T1477" s="9"/>
      <c r="U1477" s="9" t="str">
        <f aca="false">IF(COUNTIF($A$2:$A$5001,A1477)&gt;1,"Duplicate","Unique")</f>
        <v>Unique</v>
      </c>
      <c r="V1477" s="9" t="str">
        <f aca="false">IF(COUNTIFS($B$2:$B$5001,B1477,$H$2:$H$5001,H1477,$J$2:$J$5001,J1477)&gt;1,"Possible Duplicate Booking","Unique")</f>
        <v>Unique</v>
      </c>
      <c r="W1477" s="9" t="str">
        <f aca="false">IF((H1477-G1477)&lt;&gt;K1477,"Mismatch","OK")</f>
        <v>OK</v>
      </c>
      <c r="X1477" s="9" t="str">
        <f aca="false">IF(TEXT(H1477,"dddd")&lt;&gt;I1477,"Mismatch","OK")</f>
        <v>OK</v>
      </c>
      <c r="Y1477" s="9" t="str">
        <f aca="false">IF(AND(N1477="No",O1477&lt;&gt;""),"Unexpected: channel present but no reminder sent",IF(AND(N1477="Yes",O1477=""),"Missing channel for sent reminder","OK"))</f>
        <v>OK</v>
      </c>
    </row>
    <row r="1478" customFormat="false" ht="15" hidden="false" customHeight="false" outlineLevel="0" collapsed="false">
      <c r="A1478" s="7" t="s">
        <v>2558</v>
      </c>
      <c r="B1478" s="7" t="s">
        <v>1028</v>
      </c>
      <c r="C1478" s="7" t="s">
        <v>37</v>
      </c>
      <c r="D1478" s="7" t="n">
        <v>22</v>
      </c>
      <c r="E1478" s="7" t="s">
        <v>82</v>
      </c>
      <c r="F1478" s="7" t="s">
        <v>57</v>
      </c>
      <c r="G1478" s="8" t="n">
        <v>45911</v>
      </c>
      <c r="H1478" s="8" t="n">
        <v>45925</v>
      </c>
      <c r="I1478" s="7" t="s">
        <v>62</v>
      </c>
      <c r="J1478" s="7" t="s">
        <v>51</v>
      </c>
      <c r="K1478" s="7" t="n">
        <v>14</v>
      </c>
      <c r="L1478" s="7" t="n">
        <v>4</v>
      </c>
      <c r="M1478" s="7" t="n">
        <v>1</v>
      </c>
      <c r="N1478" s="7" t="s">
        <v>42</v>
      </c>
      <c r="O1478" s="7" t="s">
        <v>52</v>
      </c>
      <c r="P1478" s="7" t="n">
        <v>8.7</v>
      </c>
      <c r="Q1478" s="7" t="n">
        <v>26</v>
      </c>
      <c r="R1478" s="7" t="s">
        <v>53</v>
      </c>
      <c r="S1478" s="7"/>
      <c r="T1478" s="7"/>
      <c r="U1478" s="7" t="str">
        <f aca="false">IF(COUNTIF($A$2:$A$5001,A1478)&gt;1,"Duplicate","Unique")</f>
        <v>Unique</v>
      </c>
      <c r="V1478" s="7" t="str">
        <f aca="false">IF(COUNTIFS($B$2:$B$5001,B1478,$H$2:$H$5001,H1478,$J$2:$J$5001,J1478)&gt;1,"Possible Duplicate Booking","Unique")</f>
        <v>Unique</v>
      </c>
      <c r="W1478" s="7" t="str">
        <f aca="false">IF((H1478-G1478)&lt;&gt;K1478,"Mismatch","OK")</f>
        <v>OK</v>
      </c>
      <c r="X1478" s="7" t="str">
        <f aca="false">IF(TEXT(H1478,"dddd")&lt;&gt;I1478,"Mismatch","OK")</f>
        <v>OK</v>
      </c>
      <c r="Y1478" s="7" t="str">
        <f aca="false">IF(AND(N1478="No",O1478&lt;&gt;""),"Unexpected: channel present but no reminder sent",IF(AND(N1478="Yes",O1478=""),"Missing channel for sent reminder","OK"))</f>
        <v>OK</v>
      </c>
    </row>
    <row r="1479" customFormat="false" ht="15" hidden="false" customHeight="false" outlineLevel="0" collapsed="false">
      <c r="A1479" s="9" t="s">
        <v>2559</v>
      </c>
      <c r="B1479" s="9" t="s">
        <v>1620</v>
      </c>
      <c r="C1479" s="9" t="s">
        <v>47</v>
      </c>
      <c r="D1479" s="9" t="n">
        <v>75</v>
      </c>
      <c r="E1479" s="9" t="s">
        <v>70</v>
      </c>
      <c r="F1479" s="9" t="s">
        <v>74</v>
      </c>
      <c r="G1479" s="10" t="n">
        <v>45852</v>
      </c>
      <c r="H1479" s="10" t="n">
        <v>45873</v>
      </c>
      <c r="I1479" s="9" t="s">
        <v>66</v>
      </c>
      <c r="J1479" s="9" t="s">
        <v>63</v>
      </c>
      <c r="K1479" s="9" t="n">
        <v>21</v>
      </c>
      <c r="L1479" s="9" t="n">
        <v>5</v>
      </c>
      <c r="M1479" s="9" t="n">
        <v>0</v>
      </c>
      <c r="N1479" s="9" t="s">
        <v>71</v>
      </c>
      <c r="O1479" s="9"/>
      <c r="P1479" s="9" t="n">
        <v>7.5</v>
      </c>
      <c r="Q1479" s="9" t="n">
        <v>23</v>
      </c>
      <c r="R1479" s="9" t="s">
        <v>53</v>
      </c>
      <c r="S1479" s="9"/>
      <c r="T1479" s="9"/>
      <c r="U1479" s="9" t="str">
        <f aca="false">IF(COUNTIF($A$2:$A$5001,A1479)&gt;1,"Duplicate","Unique")</f>
        <v>Unique</v>
      </c>
      <c r="V1479" s="9" t="str">
        <f aca="false">IF(COUNTIFS($B$2:$B$5001,B1479,$H$2:$H$5001,H1479,$J$2:$J$5001,J1479)&gt;1,"Possible Duplicate Booking","Unique")</f>
        <v>Unique</v>
      </c>
      <c r="W1479" s="9" t="str">
        <f aca="false">IF((H1479-G1479)&lt;&gt;K1479,"Mismatch","OK")</f>
        <v>OK</v>
      </c>
      <c r="X1479" s="9" t="str">
        <f aca="false">IF(TEXT(H1479,"dddd")&lt;&gt;I1479,"Mismatch","OK")</f>
        <v>OK</v>
      </c>
      <c r="Y1479" s="9" t="str">
        <f aca="false">IF(AND(N1479="No",O1479&lt;&gt;""),"Unexpected: channel present but no reminder sent",IF(AND(N1479="Yes",O1479=""),"Missing channel for sent reminder","OK"))</f>
        <v>OK</v>
      </c>
    </row>
    <row r="1480" customFormat="false" ht="15" hidden="false" customHeight="false" outlineLevel="0" collapsed="false">
      <c r="A1480" s="7" t="s">
        <v>2560</v>
      </c>
      <c r="B1480" s="7" t="s">
        <v>634</v>
      </c>
      <c r="C1480" s="7" t="s">
        <v>37</v>
      </c>
      <c r="D1480" s="7" t="n">
        <v>28</v>
      </c>
      <c r="E1480" s="7" t="s">
        <v>48</v>
      </c>
      <c r="F1480" s="7" t="s">
        <v>49</v>
      </c>
      <c r="G1480" s="8" t="n">
        <v>45740</v>
      </c>
      <c r="H1480" s="8" t="n">
        <v>45783</v>
      </c>
      <c r="I1480" s="7" t="s">
        <v>40</v>
      </c>
      <c r="J1480" s="7" t="s">
        <v>63</v>
      </c>
      <c r="K1480" s="7" t="n">
        <v>43</v>
      </c>
      <c r="L1480" s="7" t="n">
        <v>6</v>
      </c>
      <c r="M1480" s="7" t="n">
        <v>1</v>
      </c>
      <c r="N1480" s="7" t="s">
        <v>71</v>
      </c>
      <c r="O1480" s="7"/>
      <c r="P1480" s="7" t="n">
        <v>13.2</v>
      </c>
      <c r="Q1480" s="7" t="n">
        <v>20</v>
      </c>
      <c r="R1480" s="7" t="s">
        <v>44</v>
      </c>
      <c r="S1480" s="7"/>
      <c r="T1480" s="7"/>
      <c r="U1480" s="7" t="str">
        <f aca="false">IF(COUNTIF($A$2:$A$5001,A1480)&gt;1,"Duplicate","Unique")</f>
        <v>Unique</v>
      </c>
      <c r="V1480" s="7" t="str">
        <f aca="false">IF(COUNTIFS($B$2:$B$5001,B1480,$H$2:$H$5001,H1480,$J$2:$J$5001,J1480)&gt;1,"Possible Duplicate Booking","Unique")</f>
        <v>Unique</v>
      </c>
      <c r="W1480" s="7" t="str">
        <f aca="false">IF((H1480-G1480)&lt;&gt;K1480,"Mismatch","OK")</f>
        <v>OK</v>
      </c>
      <c r="X1480" s="7" t="str">
        <f aca="false">IF(TEXT(H1480,"dddd")&lt;&gt;I1480,"Mismatch","OK")</f>
        <v>OK</v>
      </c>
      <c r="Y1480" s="7" t="str">
        <f aca="false">IF(AND(N1480="No",O1480&lt;&gt;""),"Unexpected: channel present but no reminder sent",IF(AND(N1480="Yes",O1480=""),"Missing channel for sent reminder","OK"))</f>
        <v>OK</v>
      </c>
    </row>
    <row r="1481" customFormat="false" ht="15" hidden="false" customHeight="false" outlineLevel="0" collapsed="false">
      <c r="A1481" s="9" t="s">
        <v>2561</v>
      </c>
      <c r="B1481" s="9" t="s">
        <v>354</v>
      </c>
      <c r="C1481" s="9" t="s">
        <v>47</v>
      </c>
      <c r="D1481" s="9" t="n">
        <v>41</v>
      </c>
      <c r="E1481" s="9" t="s">
        <v>38</v>
      </c>
      <c r="F1481" s="9" t="s">
        <v>39</v>
      </c>
      <c r="G1481" s="10" t="n">
        <v>45866</v>
      </c>
      <c r="H1481" s="10" t="n">
        <v>45885</v>
      </c>
      <c r="I1481" s="9" t="s">
        <v>102</v>
      </c>
      <c r="J1481" s="9" t="s">
        <v>63</v>
      </c>
      <c r="K1481" s="9" t="n">
        <v>19</v>
      </c>
      <c r="L1481" s="9" t="n">
        <v>2</v>
      </c>
      <c r="M1481" s="9" t="n">
        <v>2</v>
      </c>
      <c r="N1481" s="9" t="s">
        <v>42</v>
      </c>
      <c r="O1481" s="9" t="s">
        <v>52</v>
      </c>
      <c r="P1481" s="9" t="n">
        <v>7.9</v>
      </c>
      <c r="Q1481" s="9" t="n">
        <v>32</v>
      </c>
      <c r="R1481" s="9" t="s">
        <v>44</v>
      </c>
      <c r="S1481" s="9"/>
      <c r="T1481" s="9"/>
      <c r="U1481" s="9" t="str">
        <f aca="false">IF(COUNTIF($A$2:$A$5001,A1481)&gt;1,"Duplicate","Unique")</f>
        <v>Unique</v>
      </c>
      <c r="V1481" s="9" t="str">
        <f aca="false">IF(COUNTIFS($B$2:$B$5001,B1481,$H$2:$H$5001,H1481,$J$2:$J$5001,J1481)&gt;1,"Possible Duplicate Booking","Unique")</f>
        <v>Unique</v>
      </c>
      <c r="W1481" s="9" t="str">
        <f aca="false">IF((H1481-G1481)&lt;&gt;K1481,"Mismatch","OK")</f>
        <v>OK</v>
      </c>
      <c r="X1481" s="9" t="str">
        <f aca="false">IF(TEXT(H1481,"dddd")&lt;&gt;I1481,"Mismatch","OK")</f>
        <v>OK</v>
      </c>
      <c r="Y1481" s="9" t="str">
        <f aca="false">IF(AND(N1481="No",O1481&lt;&gt;""),"Unexpected: channel present but no reminder sent",IF(AND(N1481="Yes",O1481=""),"Missing channel for sent reminder","OK"))</f>
        <v>OK</v>
      </c>
    </row>
    <row r="1482" customFormat="false" ht="15" hidden="false" customHeight="false" outlineLevel="0" collapsed="false">
      <c r="A1482" s="7" t="s">
        <v>2562</v>
      </c>
      <c r="B1482" s="7" t="s">
        <v>1916</v>
      </c>
      <c r="C1482" s="7" t="s">
        <v>37</v>
      </c>
      <c r="D1482" s="7" t="n">
        <v>33</v>
      </c>
      <c r="E1482" s="7" t="s">
        <v>48</v>
      </c>
      <c r="F1482" s="7" t="s">
        <v>39</v>
      </c>
      <c r="G1482" s="8" t="n">
        <v>45700</v>
      </c>
      <c r="H1482" s="8" t="n">
        <v>45740</v>
      </c>
      <c r="I1482" s="7" t="s">
        <v>66</v>
      </c>
      <c r="J1482" s="7" t="s">
        <v>41</v>
      </c>
      <c r="K1482" s="7" t="n">
        <v>40</v>
      </c>
      <c r="L1482" s="7" t="n">
        <v>2</v>
      </c>
      <c r="M1482" s="7" t="n">
        <v>1</v>
      </c>
      <c r="N1482" s="7" t="s">
        <v>42</v>
      </c>
      <c r="O1482" s="7" t="s">
        <v>43</v>
      </c>
      <c r="P1482" s="7" t="n">
        <v>3.1</v>
      </c>
      <c r="Q1482" s="7" t="n">
        <v>27</v>
      </c>
      <c r="R1482" s="7" t="s">
        <v>53</v>
      </c>
      <c r="S1482" s="7"/>
      <c r="T1482" s="7"/>
      <c r="U1482" s="7" t="str">
        <f aca="false">IF(COUNTIF($A$2:$A$5001,A1482)&gt;1,"Duplicate","Unique")</f>
        <v>Unique</v>
      </c>
      <c r="V1482" s="7" t="str">
        <f aca="false">IF(COUNTIFS($B$2:$B$5001,B1482,$H$2:$H$5001,H1482,$J$2:$J$5001,J1482)&gt;1,"Possible Duplicate Booking","Unique")</f>
        <v>Unique</v>
      </c>
      <c r="W1482" s="7" t="str">
        <f aca="false">IF((H1482-G1482)&lt;&gt;K1482,"Mismatch","OK")</f>
        <v>OK</v>
      </c>
      <c r="X1482" s="7" t="str">
        <f aca="false">IF(TEXT(H1482,"dddd")&lt;&gt;I1482,"Mismatch","OK")</f>
        <v>OK</v>
      </c>
      <c r="Y1482" s="7" t="str">
        <f aca="false">IF(AND(N1482="No",O1482&lt;&gt;""),"Unexpected: channel present but no reminder sent",IF(AND(N1482="Yes",O1482=""),"Missing channel for sent reminder","OK"))</f>
        <v>OK</v>
      </c>
    </row>
    <row r="1483" customFormat="false" ht="15" hidden="false" customHeight="false" outlineLevel="0" collapsed="false">
      <c r="A1483" s="9" t="s">
        <v>2563</v>
      </c>
      <c r="B1483" s="9" t="s">
        <v>2564</v>
      </c>
      <c r="C1483" s="9" t="s">
        <v>47</v>
      </c>
      <c r="D1483" s="9" t="n">
        <v>63</v>
      </c>
      <c r="E1483" s="9" t="s">
        <v>61</v>
      </c>
      <c r="F1483" s="9" t="s">
        <v>39</v>
      </c>
      <c r="G1483" s="10" t="n">
        <v>45604</v>
      </c>
      <c r="H1483" s="10" t="n">
        <v>45658</v>
      </c>
      <c r="I1483" s="9" t="s">
        <v>58</v>
      </c>
      <c r="J1483" s="9" t="s">
        <v>51</v>
      </c>
      <c r="K1483" s="9" t="n">
        <v>54</v>
      </c>
      <c r="L1483" s="9" t="n">
        <v>3</v>
      </c>
      <c r="M1483" s="9" t="n">
        <v>0</v>
      </c>
      <c r="N1483" s="9" t="s">
        <v>71</v>
      </c>
      <c r="O1483" s="9"/>
      <c r="P1483" s="9" t="n">
        <v>7.1</v>
      </c>
      <c r="Q1483" s="9" t="n">
        <v>40</v>
      </c>
      <c r="R1483" s="9" t="s">
        <v>44</v>
      </c>
      <c r="S1483" s="9"/>
      <c r="T1483" s="9"/>
      <c r="U1483" s="9" t="str">
        <f aca="false">IF(COUNTIF($A$2:$A$5001,A1483)&gt;1,"Duplicate","Unique")</f>
        <v>Unique</v>
      </c>
      <c r="V1483" s="9" t="str">
        <f aca="false">IF(COUNTIFS($B$2:$B$5001,B1483,$H$2:$H$5001,H1483,$J$2:$J$5001,J1483)&gt;1,"Possible Duplicate Booking","Unique")</f>
        <v>Unique</v>
      </c>
      <c r="W1483" s="9" t="str">
        <f aca="false">IF((H1483-G1483)&lt;&gt;K1483,"Mismatch","OK")</f>
        <v>OK</v>
      </c>
      <c r="X1483" s="9" t="str">
        <f aca="false">IF(TEXT(H1483,"dddd")&lt;&gt;I1483,"Mismatch","OK")</f>
        <v>OK</v>
      </c>
      <c r="Y1483" s="9" t="str">
        <f aca="false">IF(AND(N1483="No",O1483&lt;&gt;""),"Unexpected: channel present but no reminder sent",IF(AND(N1483="Yes",O1483=""),"Missing channel for sent reminder","OK"))</f>
        <v>OK</v>
      </c>
    </row>
    <row r="1484" customFormat="false" ht="15" hidden="false" customHeight="false" outlineLevel="0" collapsed="false">
      <c r="A1484" s="7" t="s">
        <v>2565</v>
      </c>
      <c r="B1484" s="7" t="s">
        <v>2395</v>
      </c>
      <c r="C1484" s="7" t="s">
        <v>37</v>
      </c>
      <c r="D1484" s="7" t="n">
        <v>19</v>
      </c>
      <c r="E1484" s="7" t="s">
        <v>82</v>
      </c>
      <c r="F1484" s="7" t="s">
        <v>39</v>
      </c>
      <c r="G1484" s="8" t="n">
        <v>45759</v>
      </c>
      <c r="H1484" s="8" t="n">
        <v>45816</v>
      </c>
      <c r="I1484" s="7" t="s">
        <v>75</v>
      </c>
      <c r="J1484" s="7" t="s">
        <v>41</v>
      </c>
      <c r="K1484" s="7" t="n">
        <v>57</v>
      </c>
      <c r="L1484" s="7" t="n">
        <v>2</v>
      </c>
      <c r="M1484" s="7" t="n">
        <v>0</v>
      </c>
      <c r="N1484" s="7" t="s">
        <v>42</v>
      </c>
      <c r="O1484" s="7" t="s">
        <v>52</v>
      </c>
      <c r="P1484" s="7" t="n">
        <v>4.9</v>
      </c>
      <c r="Q1484" s="7" t="n">
        <v>16</v>
      </c>
      <c r="R1484" s="7" t="s">
        <v>53</v>
      </c>
      <c r="S1484" s="7"/>
      <c r="T1484" s="7"/>
      <c r="U1484" s="7" t="str">
        <f aca="false">IF(COUNTIF($A$2:$A$5001,A1484)&gt;1,"Duplicate","Unique")</f>
        <v>Unique</v>
      </c>
      <c r="V1484" s="7" t="str">
        <f aca="false">IF(COUNTIFS($B$2:$B$5001,B1484,$H$2:$H$5001,H1484,$J$2:$J$5001,J1484)&gt;1,"Possible Duplicate Booking","Unique")</f>
        <v>Unique</v>
      </c>
      <c r="W1484" s="7" t="str">
        <f aca="false">IF((H1484-G1484)&lt;&gt;K1484,"Mismatch","OK")</f>
        <v>OK</v>
      </c>
      <c r="X1484" s="7" t="str">
        <f aca="false">IF(TEXT(H1484,"dddd")&lt;&gt;I1484,"Mismatch","OK")</f>
        <v>OK</v>
      </c>
      <c r="Y1484" s="7" t="str">
        <f aca="false">IF(AND(N1484="No",O1484&lt;&gt;""),"Unexpected: channel present but no reminder sent",IF(AND(N1484="Yes",O1484=""),"Missing channel for sent reminder","OK"))</f>
        <v>OK</v>
      </c>
    </row>
    <row r="1485" customFormat="false" ht="15" hidden="false" customHeight="false" outlineLevel="0" collapsed="false">
      <c r="A1485" s="9" t="s">
        <v>2566</v>
      </c>
      <c r="B1485" s="9" t="s">
        <v>1600</v>
      </c>
      <c r="C1485" s="9" t="s">
        <v>37</v>
      </c>
      <c r="D1485" s="9" t="n">
        <v>58</v>
      </c>
      <c r="E1485" s="9" t="s">
        <v>61</v>
      </c>
      <c r="F1485" s="9" t="s">
        <v>49</v>
      </c>
      <c r="G1485" s="10" t="n">
        <v>45685</v>
      </c>
      <c r="H1485" s="10" t="n">
        <v>45719</v>
      </c>
      <c r="I1485" s="9" t="s">
        <v>66</v>
      </c>
      <c r="J1485" s="9" t="s">
        <v>41</v>
      </c>
      <c r="K1485" s="9" t="n">
        <v>34</v>
      </c>
      <c r="L1485" s="9" t="n">
        <v>2</v>
      </c>
      <c r="M1485" s="9" t="n">
        <v>0</v>
      </c>
      <c r="N1485" s="9" t="s">
        <v>71</v>
      </c>
      <c r="O1485" s="9"/>
      <c r="P1485" s="9" t="n">
        <v>3</v>
      </c>
      <c r="Q1485" s="9" t="n">
        <v>21</v>
      </c>
      <c r="R1485" s="9" t="s">
        <v>53</v>
      </c>
      <c r="S1485" s="9"/>
      <c r="T1485" s="9"/>
      <c r="U1485" s="9" t="str">
        <f aca="false">IF(COUNTIF($A$2:$A$5001,A1485)&gt;1,"Duplicate","Unique")</f>
        <v>Unique</v>
      </c>
      <c r="V1485" s="9" t="str">
        <f aca="false">IF(COUNTIFS($B$2:$B$5001,B1485,$H$2:$H$5001,H1485,$J$2:$J$5001,J1485)&gt;1,"Possible Duplicate Booking","Unique")</f>
        <v>Unique</v>
      </c>
      <c r="W1485" s="9" t="str">
        <f aca="false">IF((H1485-G1485)&lt;&gt;K1485,"Mismatch","OK")</f>
        <v>OK</v>
      </c>
      <c r="X1485" s="9" t="str">
        <f aca="false">IF(TEXT(H1485,"dddd")&lt;&gt;I1485,"Mismatch","OK")</f>
        <v>OK</v>
      </c>
      <c r="Y1485" s="9" t="str">
        <f aca="false">IF(AND(N1485="No",O1485&lt;&gt;""),"Unexpected: channel present but no reminder sent",IF(AND(N1485="Yes",O1485=""),"Missing channel for sent reminder","OK"))</f>
        <v>OK</v>
      </c>
    </row>
    <row r="1486" customFormat="false" ht="15" hidden="false" customHeight="false" outlineLevel="0" collapsed="false">
      <c r="A1486" s="7" t="s">
        <v>2567</v>
      </c>
      <c r="B1486" s="7" t="s">
        <v>1863</v>
      </c>
      <c r="C1486" s="7" t="s">
        <v>47</v>
      </c>
      <c r="D1486" s="7" t="n">
        <v>72</v>
      </c>
      <c r="E1486" s="7" t="s">
        <v>70</v>
      </c>
      <c r="F1486" s="7" t="s">
        <v>39</v>
      </c>
      <c r="G1486" s="8" t="n">
        <v>45841</v>
      </c>
      <c r="H1486" s="8" t="n">
        <v>45884</v>
      </c>
      <c r="I1486" s="7" t="s">
        <v>50</v>
      </c>
      <c r="J1486" s="7" t="s">
        <v>63</v>
      </c>
      <c r="K1486" s="7" t="n">
        <v>43</v>
      </c>
      <c r="L1486" s="7" t="n">
        <v>4</v>
      </c>
      <c r="M1486" s="7" t="n">
        <v>0</v>
      </c>
      <c r="N1486" s="7" t="s">
        <v>42</v>
      </c>
      <c r="O1486" s="7" t="s">
        <v>43</v>
      </c>
      <c r="P1486" s="7" t="n">
        <v>18.7</v>
      </c>
      <c r="Q1486" s="7" t="n">
        <v>6</v>
      </c>
      <c r="R1486" s="7" t="s">
        <v>53</v>
      </c>
      <c r="S1486" s="7"/>
      <c r="T1486" s="7"/>
      <c r="U1486" s="7" t="str">
        <f aca="false">IF(COUNTIF($A$2:$A$5001,A1486)&gt;1,"Duplicate","Unique")</f>
        <v>Unique</v>
      </c>
      <c r="V1486" s="7" t="str">
        <f aca="false">IF(COUNTIFS($B$2:$B$5001,B1486,$H$2:$H$5001,H1486,$J$2:$J$5001,J1486)&gt;1,"Possible Duplicate Booking","Unique")</f>
        <v>Unique</v>
      </c>
      <c r="W1486" s="7" t="str">
        <f aca="false">IF((H1486-G1486)&lt;&gt;K1486,"Mismatch","OK")</f>
        <v>OK</v>
      </c>
      <c r="X1486" s="7" t="str">
        <f aca="false">IF(TEXT(H1486,"dddd")&lt;&gt;I1486,"Mismatch","OK")</f>
        <v>OK</v>
      </c>
      <c r="Y1486" s="7" t="str">
        <f aca="false">IF(AND(N1486="No",O1486&lt;&gt;""),"Unexpected: channel present but no reminder sent",IF(AND(N1486="Yes",O1486=""),"Missing channel for sent reminder","OK"))</f>
        <v>OK</v>
      </c>
    </row>
    <row r="1487" customFormat="false" ht="15" hidden="false" customHeight="false" outlineLevel="0" collapsed="false">
      <c r="A1487" s="9" t="s">
        <v>2568</v>
      </c>
      <c r="B1487" s="9" t="s">
        <v>2569</v>
      </c>
      <c r="C1487" s="9" t="s">
        <v>37</v>
      </c>
      <c r="D1487" s="9" t="n">
        <v>67</v>
      </c>
      <c r="E1487" s="9" t="s">
        <v>70</v>
      </c>
      <c r="F1487" s="9" t="s">
        <v>49</v>
      </c>
      <c r="G1487" s="10" t="n">
        <v>46073</v>
      </c>
      <c r="H1487" s="10" t="n">
        <v>46129</v>
      </c>
      <c r="I1487" s="9" t="s">
        <v>50</v>
      </c>
      <c r="J1487" s="9" t="s">
        <v>51</v>
      </c>
      <c r="K1487" s="9" t="n">
        <v>56</v>
      </c>
      <c r="L1487" s="9" t="n">
        <v>3</v>
      </c>
      <c r="M1487" s="9" t="n">
        <v>0</v>
      </c>
      <c r="N1487" s="9" t="s">
        <v>42</v>
      </c>
      <c r="O1487" s="9" t="s">
        <v>43</v>
      </c>
      <c r="P1487" s="9" t="n">
        <v>1.8</v>
      </c>
      <c r="Q1487" s="9" t="n">
        <v>14</v>
      </c>
      <c r="R1487" s="9" t="s">
        <v>44</v>
      </c>
      <c r="S1487" s="9"/>
      <c r="T1487" s="9"/>
      <c r="U1487" s="9" t="str">
        <f aca="false">IF(COUNTIF($A$2:$A$5001,A1487)&gt;1,"Duplicate","Unique")</f>
        <v>Unique</v>
      </c>
      <c r="V1487" s="9" t="str">
        <f aca="false">IF(COUNTIFS($B$2:$B$5001,B1487,$H$2:$H$5001,H1487,$J$2:$J$5001,J1487)&gt;1,"Possible Duplicate Booking","Unique")</f>
        <v>Unique</v>
      </c>
      <c r="W1487" s="9" t="str">
        <f aca="false">IF((H1487-G1487)&lt;&gt;K1487,"Mismatch","OK")</f>
        <v>OK</v>
      </c>
      <c r="X1487" s="9" t="str">
        <f aca="false">IF(TEXT(H1487,"dddd")&lt;&gt;I1487,"Mismatch","OK")</f>
        <v>OK</v>
      </c>
      <c r="Y1487" s="9" t="str">
        <f aca="false">IF(AND(N1487="No",O1487&lt;&gt;""),"Unexpected: channel present but no reminder sent",IF(AND(N1487="Yes",O1487=""),"Missing channel for sent reminder","OK"))</f>
        <v>OK</v>
      </c>
    </row>
    <row r="1488" customFormat="false" ht="15" hidden="false" customHeight="false" outlineLevel="0" collapsed="false">
      <c r="A1488" s="7" t="s">
        <v>2570</v>
      </c>
      <c r="B1488" s="7" t="s">
        <v>2571</v>
      </c>
      <c r="C1488" s="7" t="s">
        <v>37</v>
      </c>
      <c r="D1488" s="7" t="n">
        <v>37</v>
      </c>
      <c r="E1488" s="7" t="s">
        <v>38</v>
      </c>
      <c r="F1488" s="7" t="s">
        <v>57</v>
      </c>
      <c r="G1488" s="8" t="n">
        <v>45699</v>
      </c>
      <c r="H1488" s="8" t="n">
        <v>45746</v>
      </c>
      <c r="I1488" s="7" t="s">
        <v>75</v>
      </c>
      <c r="J1488" s="7" t="s">
        <v>51</v>
      </c>
      <c r="K1488" s="7" t="n">
        <v>47</v>
      </c>
      <c r="L1488" s="7" t="n">
        <v>4</v>
      </c>
      <c r="M1488" s="7" t="n">
        <v>2</v>
      </c>
      <c r="N1488" s="7" t="s">
        <v>42</v>
      </c>
      <c r="O1488" s="7" t="s">
        <v>67</v>
      </c>
      <c r="P1488" s="7" t="n">
        <v>17.3</v>
      </c>
      <c r="Q1488" s="7" t="n">
        <v>32</v>
      </c>
      <c r="R1488" s="7" t="s">
        <v>44</v>
      </c>
      <c r="S1488" s="7"/>
      <c r="T1488" s="7"/>
      <c r="U1488" s="7" t="str">
        <f aca="false">IF(COUNTIF($A$2:$A$5001,A1488)&gt;1,"Duplicate","Unique")</f>
        <v>Unique</v>
      </c>
      <c r="V1488" s="7" t="str">
        <f aca="false">IF(COUNTIFS($B$2:$B$5001,B1488,$H$2:$H$5001,H1488,$J$2:$J$5001,J1488)&gt;1,"Possible Duplicate Booking","Unique")</f>
        <v>Unique</v>
      </c>
      <c r="W1488" s="7" t="str">
        <f aca="false">IF((H1488-G1488)&lt;&gt;K1488,"Mismatch","OK")</f>
        <v>OK</v>
      </c>
      <c r="X1488" s="7" t="str">
        <f aca="false">IF(TEXT(H1488,"dddd")&lt;&gt;I1488,"Mismatch","OK")</f>
        <v>OK</v>
      </c>
      <c r="Y1488" s="7" t="str">
        <f aca="false">IF(AND(N1488="No",O1488&lt;&gt;""),"Unexpected: channel present but no reminder sent",IF(AND(N1488="Yes",O1488=""),"Missing channel for sent reminder","OK"))</f>
        <v>OK</v>
      </c>
    </row>
    <row r="1489" customFormat="false" ht="15" hidden="false" customHeight="false" outlineLevel="0" collapsed="false">
      <c r="A1489" s="9" t="s">
        <v>2572</v>
      </c>
      <c r="B1489" s="9" t="s">
        <v>2573</v>
      </c>
      <c r="C1489" s="9" t="s">
        <v>37</v>
      </c>
      <c r="D1489" s="9" t="n">
        <v>74</v>
      </c>
      <c r="E1489" s="9" t="s">
        <v>70</v>
      </c>
      <c r="F1489" s="9" t="s">
        <v>74</v>
      </c>
      <c r="G1489" s="10" t="n">
        <v>45640</v>
      </c>
      <c r="H1489" s="10" t="n">
        <v>45658</v>
      </c>
      <c r="I1489" s="9" t="s">
        <v>58</v>
      </c>
      <c r="J1489" s="9" t="s">
        <v>63</v>
      </c>
      <c r="K1489" s="9" t="n">
        <v>18</v>
      </c>
      <c r="L1489" s="9" t="n">
        <v>4</v>
      </c>
      <c r="M1489" s="9" t="n">
        <v>1</v>
      </c>
      <c r="N1489" s="9" t="s">
        <v>42</v>
      </c>
      <c r="O1489" s="9" t="s">
        <v>67</v>
      </c>
      <c r="P1489" s="9" t="n">
        <v>9</v>
      </c>
      <c r="Q1489" s="9" t="n">
        <v>34</v>
      </c>
      <c r="R1489" s="9" t="s">
        <v>87</v>
      </c>
      <c r="S1489" s="9"/>
      <c r="T1489" s="9"/>
      <c r="U1489" s="9" t="str">
        <f aca="false">IF(COUNTIF($A$2:$A$5001,A1489)&gt;1,"Duplicate","Unique")</f>
        <v>Unique</v>
      </c>
      <c r="V1489" s="9" t="str">
        <f aca="false">IF(COUNTIFS($B$2:$B$5001,B1489,$H$2:$H$5001,H1489,$J$2:$J$5001,J1489)&gt;1,"Possible Duplicate Booking","Unique")</f>
        <v>Unique</v>
      </c>
      <c r="W1489" s="9" t="str">
        <f aca="false">IF((H1489-G1489)&lt;&gt;K1489,"Mismatch","OK")</f>
        <v>OK</v>
      </c>
      <c r="X1489" s="9" t="str">
        <f aca="false">IF(TEXT(H1489,"dddd")&lt;&gt;I1489,"Mismatch","OK")</f>
        <v>OK</v>
      </c>
      <c r="Y1489" s="9" t="str">
        <f aca="false">IF(AND(N1489="No",O1489&lt;&gt;""),"Unexpected: channel present but no reminder sent",IF(AND(N1489="Yes",O1489=""),"Missing channel for sent reminder","OK"))</f>
        <v>OK</v>
      </c>
    </row>
    <row r="1490" customFormat="false" ht="15" hidden="false" customHeight="false" outlineLevel="0" collapsed="false">
      <c r="A1490" s="7" t="s">
        <v>2574</v>
      </c>
      <c r="B1490" s="7" t="s">
        <v>2575</v>
      </c>
      <c r="C1490" s="7" t="s">
        <v>37</v>
      </c>
      <c r="D1490" s="7" t="n">
        <v>40</v>
      </c>
      <c r="E1490" s="7" t="s">
        <v>38</v>
      </c>
      <c r="F1490" s="7" t="s">
        <v>57</v>
      </c>
      <c r="G1490" s="8" t="n">
        <v>45710</v>
      </c>
      <c r="H1490" s="8" t="n">
        <v>45718</v>
      </c>
      <c r="I1490" s="7" t="s">
        <v>75</v>
      </c>
      <c r="J1490" s="7" t="s">
        <v>41</v>
      </c>
      <c r="K1490" s="7" t="n">
        <v>8</v>
      </c>
      <c r="L1490" s="7" t="n">
        <v>1</v>
      </c>
      <c r="M1490" s="7" t="n">
        <v>0</v>
      </c>
      <c r="N1490" s="7" t="s">
        <v>42</v>
      </c>
      <c r="O1490" s="7" t="s">
        <v>52</v>
      </c>
      <c r="P1490" s="7" t="n">
        <v>13.9</v>
      </c>
      <c r="Q1490" s="7" t="n">
        <v>33</v>
      </c>
      <c r="R1490" s="7" t="s">
        <v>53</v>
      </c>
      <c r="S1490" s="7"/>
      <c r="T1490" s="7"/>
      <c r="U1490" s="7" t="str">
        <f aca="false">IF(COUNTIF($A$2:$A$5001,A1490)&gt;1,"Duplicate","Unique")</f>
        <v>Unique</v>
      </c>
      <c r="V1490" s="7" t="str">
        <f aca="false">IF(COUNTIFS($B$2:$B$5001,B1490,$H$2:$H$5001,H1490,$J$2:$J$5001,J1490)&gt;1,"Possible Duplicate Booking","Unique")</f>
        <v>Unique</v>
      </c>
      <c r="W1490" s="7" t="str">
        <f aca="false">IF((H1490-G1490)&lt;&gt;K1490,"Mismatch","OK")</f>
        <v>OK</v>
      </c>
      <c r="X1490" s="7" t="str">
        <f aca="false">IF(TEXT(H1490,"dddd")&lt;&gt;I1490,"Mismatch","OK")</f>
        <v>OK</v>
      </c>
      <c r="Y1490" s="7" t="str">
        <f aca="false">IF(AND(N1490="No",O1490&lt;&gt;""),"Unexpected: channel present but no reminder sent",IF(AND(N1490="Yes",O1490=""),"Missing channel for sent reminder","OK"))</f>
        <v>OK</v>
      </c>
    </row>
    <row r="1491" customFormat="false" ht="15" hidden="false" customHeight="false" outlineLevel="0" collapsed="false">
      <c r="A1491" s="9" t="s">
        <v>2576</v>
      </c>
      <c r="B1491" s="9" t="s">
        <v>2577</v>
      </c>
      <c r="C1491" s="9" t="s">
        <v>37</v>
      </c>
      <c r="D1491" s="9" t="n">
        <v>60</v>
      </c>
      <c r="E1491" s="9" t="s">
        <v>61</v>
      </c>
      <c r="F1491" s="9" t="s">
        <v>57</v>
      </c>
      <c r="G1491" s="10" t="n">
        <v>45928</v>
      </c>
      <c r="H1491" s="10" t="n">
        <v>45935</v>
      </c>
      <c r="I1491" s="9" t="s">
        <v>75</v>
      </c>
      <c r="J1491" s="9" t="s">
        <v>51</v>
      </c>
      <c r="K1491" s="9" t="n">
        <v>7</v>
      </c>
      <c r="L1491" s="9" t="n">
        <v>3</v>
      </c>
      <c r="M1491" s="9" t="n">
        <v>0</v>
      </c>
      <c r="N1491" s="9" t="s">
        <v>42</v>
      </c>
      <c r="O1491" s="9" t="s">
        <v>52</v>
      </c>
      <c r="P1491" s="9" t="n">
        <v>19.7</v>
      </c>
      <c r="Q1491" s="9" t="n">
        <v>40</v>
      </c>
      <c r="R1491" s="9" t="s">
        <v>44</v>
      </c>
      <c r="S1491" s="9"/>
      <c r="T1491" s="9"/>
      <c r="U1491" s="9" t="str">
        <f aca="false">IF(COUNTIF($A$2:$A$5001,A1491)&gt;1,"Duplicate","Unique")</f>
        <v>Unique</v>
      </c>
      <c r="V1491" s="9" t="str">
        <f aca="false">IF(COUNTIFS($B$2:$B$5001,B1491,$H$2:$H$5001,H1491,$J$2:$J$5001,J1491)&gt;1,"Possible Duplicate Booking","Unique")</f>
        <v>Unique</v>
      </c>
      <c r="W1491" s="9" t="str">
        <f aca="false">IF((H1491-G1491)&lt;&gt;K1491,"Mismatch","OK")</f>
        <v>OK</v>
      </c>
      <c r="X1491" s="9" t="str">
        <f aca="false">IF(TEXT(H1491,"dddd")&lt;&gt;I1491,"Mismatch","OK")</f>
        <v>OK</v>
      </c>
      <c r="Y1491" s="9" t="str">
        <f aca="false">IF(AND(N1491="No",O1491&lt;&gt;""),"Unexpected: channel present but no reminder sent",IF(AND(N1491="Yes",O1491=""),"Missing channel for sent reminder","OK"))</f>
        <v>OK</v>
      </c>
    </row>
    <row r="1492" customFormat="false" ht="15" hidden="false" customHeight="false" outlineLevel="0" collapsed="false">
      <c r="A1492" s="7" t="s">
        <v>2578</v>
      </c>
      <c r="B1492" s="7" t="s">
        <v>2579</v>
      </c>
      <c r="C1492" s="7" t="s">
        <v>47</v>
      </c>
      <c r="D1492" s="7" t="n">
        <v>49</v>
      </c>
      <c r="E1492" s="7" t="s">
        <v>56</v>
      </c>
      <c r="F1492" s="7" t="s">
        <v>74</v>
      </c>
      <c r="G1492" s="8" t="n">
        <v>45755</v>
      </c>
      <c r="H1492" s="8" t="n">
        <v>45808</v>
      </c>
      <c r="I1492" s="7" t="s">
        <v>102</v>
      </c>
      <c r="J1492" s="7" t="s">
        <v>41</v>
      </c>
      <c r="K1492" s="7" t="n">
        <v>53</v>
      </c>
      <c r="L1492" s="7" t="n">
        <v>1</v>
      </c>
      <c r="M1492" s="7" t="n">
        <v>0</v>
      </c>
      <c r="N1492" s="7" t="s">
        <v>42</v>
      </c>
      <c r="O1492" s="7" t="s">
        <v>52</v>
      </c>
      <c r="P1492" s="7" t="n">
        <v>5.4</v>
      </c>
      <c r="Q1492" s="7" t="n">
        <v>31</v>
      </c>
      <c r="R1492" s="7" t="s">
        <v>44</v>
      </c>
      <c r="S1492" s="7"/>
      <c r="T1492" s="7"/>
      <c r="U1492" s="7" t="str">
        <f aca="false">IF(COUNTIF($A$2:$A$5001,A1492)&gt;1,"Duplicate","Unique")</f>
        <v>Unique</v>
      </c>
      <c r="V1492" s="7" t="str">
        <f aca="false">IF(COUNTIFS($B$2:$B$5001,B1492,$H$2:$H$5001,H1492,$J$2:$J$5001,J1492)&gt;1,"Possible Duplicate Booking","Unique")</f>
        <v>Unique</v>
      </c>
      <c r="W1492" s="7" t="str">
        <f aca="false">IF((H1492-G1492)&lt;&gt;K1492,"Mismatch","OK")</f>
        <v>OK</v>
      </c>
      <c r="X1492" s="7" t="str">
        <f aca="false">IF(TEXT(H1492,"dddd")&lt;&gt;I1492,"Mismatch","OK")</f>
        <v>OK</v>
      </c>
      <c r="Y1492" s="7" t="str">
        <f aca="false">IF(AND(N1492="No",O1492&lt;&gt;""),"Unexpected: channel present but no reminder sent",IF(AND(N1492="Yes",O1492=""),"Missing channel for sent reminder","OK"))</f>
        <v>OK</v>
      </c>
    </row>
    <row r="1493" customFormat="false" ht="15" hidden="false" customHeight="false" outlineLevel="0" collapsed="false">
      <c r="A1493" s="9" t="s">
        <v>2580</v>
      </c>
      <c r="B1493" s="9" t="s">
        <v>2172</v>
      </c>
      <c r="C1493" s="9" t="s">
        <v>47</v>
      </c>
      <c r="D1493" s="9" t="n">
        <v>22</v>
      </c>
      <c r="E1493" s="9" t="s">
        <v>82</v>
      </c>
      <c r="F1493" s="9" t="s">
        <v>57</v>
      </c>
      <c r="G1493" s="10" t="n">
        <v>45892</v>
      </c>
      <c r="H1493" s="10" t="n">
        <v>45925</v>
      </c>
      <c r="I1493" s="9" t="s">
        <v>62</v>
      </c>
      <c r="J1493" s="9" t="s">
        <v>51</v>
      </c>
      <c r="K1493" s="9" t="n">
        <v>33</v>
      </c>
      <c r="L1493" s="9" t="n">
        <v>1</v>
      </c>
      <c r="M1493" s="9" t="n">
        <v>0</v>
      </c>
      <c r="N1493" s="9" t="s">
        <v>42</v>
      </c>
      <c r="O1493" s="9" t="s">
        <v>43</v>
      </c>
      <c r="P1493" s="9" t="n">
        <v>9.4</v>
      </c>
      <c r="Q1493" s="9" t="n">
        <v>26</v>
      </c>
      <c r="R1493" s="9" t="s">
        <v>53</v>
      </c>
      <c r="S1493" s="9"/>
      <c r="T1493" s="9"/>
      <c r="U1493" s="9" t="str">
        <f aca="false">IF(COUNTIF($A$2:$A$5001,A1493)&gt;1,"Duplicate","Unique")</f>
        <v>Unique</v>
      </c>
      <c r="V1493" s="9" t="str">
        <f aca="false">IF(COUNTIFS($B$2:$B$5001,B1493,$H$2:$H$5001,H1493,$J$2:$J$5001,J1493)&gt;1,"Possible Duplicate Booking","Unique")</f>
        <v>Unique</v>
      </c>
      <c r="W1493" s="9" t="str">
        <f aca="false">IF((H1493-G1493)&lt;&gt;K1493,"Mismatch","OK")</f>
        <v>OK</v>
      </c>
      <c r="X1493" s="9" t="str">
        <f aca="false">IF(TEXT(H1493,"dddd")&lt;&gt;I1493,"Mismatch","OK")</f>
        <v>OK</v>
      </c>
      <c r="Y1493" s="9" t="str">
        <f aca="false">IF(AND(N1493="No",O1493&lt;&gt;""),"Unexpected: channel present but no reminder sent",IF(AND(N1493="Yes",O1493=""),"Missing channel for sent reminder","OK"))</f>
        <v>OK</v>
      </c>
    </row>
    <row r="1494" customFormat="false" ht="15" hidden="false" customHeight="false" outlineLevel="0" collapsed="false">
      <c r="A1494" s="7" t="s">
        <v>2581</v>
      </c>
      <c r="B1494" s="7" t="s">
        <v>819</v>
      </c>
      <c r="C1494" s="7" t="s">
        <v>47</v>
      </c>
      <c r="D1494" s="7" t="n">
        <v>18</v>
      </c>
      <c r="E1494" s="7" t="s">
        <v>82</v>
      </c>
      <c r="F1494" s="7" t="s">
        <v>57</v>
      </c>
      <c r="G1494" s="8" t="n">
        <v>45655</v>
      </c>
      <c r="H1494" s="8" t="n">
        <v>45673</v>
      </c>
      <c r="I1494" s="7" t="s">
        <v>62</v>
      </c>
      <c r="J1494" s="7" t="s">
        <v>41</v>
      </c>
      <c r="K1494" s="7" t="n">
        <v>18</v>
      </c>
      <c r="L1494" s="7" t="n">
        <v>4</v>
      </c>
      <c r="M1494" s="7" t="n">
        <v>1</v>
      </c>
      <c r="N1494" s="7" t="s">
        <v>71</v>
      </c>
      <c r="O1494" s="7"/>
      <c r="P1494" s="7" t="n">
        <v>5.8</v>
      </c>
      <c r="Q1494" s="7" t="n">
        <v>33</v>
      </c>
      <c r="R1494" s="7" t="s">
        <v>53</v>
      </c>
      <c r="S1494" s="7"/>
      <c r="T1494" s="7"/>
      <c r="U1494" s="7" t="str">
        <f aca="false">IF(COUNTIF($A$2:$A$5001,A1494)&gt;1,"Duplicate","Unique")</f>
        <v>Unique</v>
      </c>
      <c r="V1494" s="7" t="str">
        <f aca="false">IF(COUNTIFS($B$2:$B$5001,B1494,$H$2:$H$5001,H1494,$J$2:$J$5001,J1494)&gt;1,"Possible Duplicate Booking","Unique")</f>
        <v>Unique</v>
      </c>
      <c r="W1494" s="7" t="str">
        <f aca="false">IF((H1494-G1494)&lt;&gt;K1494,"Mismatch","OK")</f>
        <v>OK</v>
      </c>
      <c r="X1494" s="7" t="str">
        <f aca="false">IF(TEXT(H1494,"dddd")&lt;&gt;I1494,"Mismatch","OK")</f>
        <v>OK</v>
      </c>
      <c r="Y1494" s="7" t="str">
        <f aca="false">IF(AND(N1494="No",O1494&lt;&gt;""),"Unexpected: channel present but no reminder sent",IF(AND(N1494="Yes",O1494=""),"Missing channel for sent reminder","OK"))</f>
        <v>OK</v>
      </c>
    </row>
    <row r="1495" customFormat="false" ht="15" hidden="false" customHeight="false" outlineLevel="0" collapsed="false">
      <c r="A1495" s="9" t="s">
        <v>2582</v>
      </c>
      <c r="B1495" s="9" t="s">
        <v>2281</v>
      </c>
      <c r="C1495" s="9" t="s">
        <v>47</v>
      </c>
      <c r="D1495" s="9" t="n">
        <v>29</v>
      </c>
      <c r="E1495" s="9" t="s">
        <v>48</v>
      </c>
      <c r="F1495" s="9" t="s">
        <v>57</v>
      </c>
      <c r="G1495" s="10" t="n">
        <v>45818</v>
      </c>
      <c r="H1495" s="10" t="n">
        <v>45839</v>
      </c>
      <c r="I1495" s="9" t="s">
        <v>40</v>
      </c>
      <c r="J1495" s="9" t="s">
        <v>51</v>
      </c>
      <c r="K1495" s="9" t="n">
        <v>21</v>
      </c>
      <c r="L1495" s="9" t="n">
        <v>2</v>
      </c>
      <c r="M1495" s="9" t="n">
        <v>0</v>
      </c>
      <c r="N1495" s="9" t="s">
        <v>42</v>
      </c>
      <c r="O1495" s="9" t="s">
        <v>43</v>
      </c>
      <c r="P1495" s="9" t="n">
        <v>7.5</v>
      </c>
      <c r="Q1495" s="9" t="n">
        <v>17</v>
      </c>
      <c r="R1495" s="9" t="s">
        <v>53</v>
      </c>
      <c r="S1495" s="9"/>
      <c r="T1495" s="9"/>
      <c r="U1495" s="9" t="str">
        <f aca="false">IF(COUNTIF($A$2:$A$5001,A1495)&gt;1,"Duplicate","Unique")</f>
        <v>Unique</v>
      </c>
      <c r="V1495" s="9" t="str">
        <f aca="false">IF(COUNTIFS($B$2:$B$5001,B1495,$H$2:$H$5001,H1495,$J$2:$J$5001,J1495)&gt;1,"Possible Duplicate Booking","Unique")</f>
        <v>Unique</v>
      </c>
      <c r="W1495" s="9" t="str">
        <f aca="false">IF((H1495-G1495)&lt;&gt;K1495,"Mismatch","OK")</f>
        <v>OK</v>
      </c>
      <c r="X1495" s="9" t="str">
        <f aca="false">IF(TEXT(H1495,"dddd")&lt;&gt;I1495,"Mismatch","OK")</f>
        <v>OK</v>
      </c>
      <c r="Y1495" s="9" t="str">
        <f aca="false">IF(AND(N1495="No",O1495&lt;&gt;""),"Unexpected: channel present but no reminder sent",IF(AND(N1495="Yes",O1495=""),"Missing channel for sent reminder","OK"))</f>
        <v>OK</v>
      </c>
    </row>
    <row r="1496" customFormat="false" ht="15" hidden="false" customHeight="false" outlineLevel="0" collapsed="false">
      <c r="A1496" s="7" t="s">
        <v>2583</v>
      </c>
      <c r="B1496" s="7" t="s">
        <v>409</v>
      </c>
      <c r="C1496" s="7" t="s">
        <v>37</v>
      </c>
      <c r="D1496" s="7" t="n">
        <v>76</v>
      </c>
      <c r="E1496" s="7" t="s">
        <v>70</v>
      </c>
      <c r="F1496" s="7" t="s">
        <v>39</v>
      </c>
      <c r="G1496" s="8" t="n">
        <v>45864</v>
      </c>
      <c r="H1496" s="8" t="n">
        <v>45881</v>
      </c>
      <c r="I1496" s="7" t="s">
        <v>40</v>
      </c>
      <c r="J1496" s="7" t="s">
        <v>51</v>
      </c>
      <c r="K1496" s="7" t="n">
        <v>17</v>
      </c>
      <c r="L1496" s="7" t="n">
        <v>3</v>
      </c>
      <c r="M1496" s="7" t="n">
        <v>0</v>
      </c>
      <c r="N1496" s="7" t="s">
        <v>42</v>
      </c>
      <c r="O1496" s="7" t="s">
        <v>52</v>
      </c>
      <c r="P1496" s="7" t="n">
        <v>13.3</v>
      </c>
      <c r="Q1496" s="7" t="n">
        <v>7</v>
      </c>
      <c r="R1496" s="7" t="s">
        <v>44</v>
      </c>
      <c r="S1496" s="7"/>
      <c r="T1496" s="7"/>
      <c r="U1496" s="7" t="str">
        <f aca="false">IF(COUNTIF($A$2:$A$5001,A1496)&gt;1,"Duplicate","Unique")</f>
        <v>Unique</v>
      </c>
      <c r="V1496" s="7" t="str">
        <f aca="false">IF(COUNTIFS($B$2:$B$5001,B1496,$H$2:$H$5001,H1496,$J$2:$J$5001,J1496)&gt;1,"Possible Duplicate Booking","Unique")</f>
        <v>Unique</v>
      </c>
      <c r="W1496" s="7" t="str">
        <f aca="false">IF((H1496-G1496)&lt;&gt;K1496,"Mismatch","OK")</f>
        <v>OK</v>
      </c>
      <c r="X1496" s="7" t="str">
        <f aca="false">IF(TEXT(H1496,"dddd")&lt;&gt;I1496,"Mismatch","OK")</f>
        <v>OK</v>
      </c>
      <c r="Y1496" s="7" t="str">
        <f aca="false">IF(AND(N1496="No",O1496&lt;&gt;""),"Unexpected: channel present but no reminder sent",IF(AND(N1496="Yes",O1496=""),"Missing channel for sent reminder","OK"))</f>
        <v>OK</v>
      </c>
    </row>
    <row r="1497" customFormat="false" ht="15" hidden="false" customHeight="false" outlineLevel="0" collapsed="false">
      <c r="A1497" s="9" t="s">
        <v>2584</v>
      </c>
      <c r="B1497" s="9" t="s">
        <v>582</v>
      </c>
      <c r="C1497" s="9" t="s">
        <v>47</v>
      </c>
      <c r="D1497" s="9" t="n">
        <v>78</v>
      </c>
      <c r="E1497" s="9" t="s">
        <v>70</v>
      </c>
      <c r="F1497" s="9" t="s">
        <v>74</v>
      </c>
      <c r="G1497" s="10" t="n">
        <v>45845</v>
      </c>
      <c r="H1497" s="10" t="n">
        <v>45893</v>
      </c>
      <c r="I1497" s="9" t="s">
        <v>75</v>
      </c>
      <c r="J1497" s="9" t="s">
        <v>51</v>
      </c>
      <c r="K1497" s="9" t="n">
        <v>48</v>
      </c>
      <c r="L1497" s="9" t="n">
        <v>2</v>
      </c>
      <c r="M1497" s="9" t="n">
        <v>0</v>
      </c>
      <c r="N1497" s="9" t="s">
        <v>71</v>
      </c>
      <c r="O1497" s="9"/>
      <c r="P1497" s="9" t="n">
        <v>8.4</v>
      </c>
      <c r="Q1497" s="9" t="n">
        <v>21</v>
      </c>
      <c r="R1497" s="9" t="s">
        <v>44</v>
      </c>
      <c r="S1497" s="9"/>
      <c r="T1497" s="9"/>
      <c r="U1497" s="9" t="str">
        <f aca="false">IF(COUNTIF($A$2:$A$5001,A1497)&gt;1,"Duplicate","Unique")</f>
        <v>Unique</v>
      </c>
      <c r="V1497" s="9" t="str">
        <f aca="false">IF(COUNTIFS($B$2:$B$5001,B1497,$H$2:$H$5001,H1497,$J$2:$J$5001,J1497)&gt;1,"Possible Duplicate Booking","Unique")</f>
        <v>Unique</v>
      </c>
      <c r="W1497" s="9" t="str">
        <f aca="false">IF((H1497-G1497)&lt;&gt;K1497,"Mismatch","OK")</f>
        <v>OK</v>
      </c>
      <c r="X1497" s="9" t="str">
        <f aca="false">IF(TEXT(H1497,"dddd")&lt;&gt;I1497,"Mismatch","OK")</f>
        <v>OK</v>
      </c>
      <c r="Y1497" s="9" t="str">
        <f aca="false">IF(AND(N1497="No",O1497&lt;&gt;""),"Unexpected: channel present but no reminder sent",IF(AND(N1497="Yes",O1497=""),"Missing channel for sent reminder","OK"))</f>
        <v>OK</v>
      </c>
    </row>
    <row r="1498" customFormat="false" ht="15" hidden="false" customHeight="false" outlineLevel="0" collapsed="false">
      <c r="A1498" s="7" t="s">
        <v>2585</v>
      </c>
      <c r="B1498" s="7" t="s">
        <v>2586</v>
      </c>
      <c r="C1498" s="7" t="s">
        <v>37</v>
      </c>
      <c r="D1498" s="7" t="n">
        <v>43</v>
      </c>
      <c r="E1498" s="7" t="s">
        <v>38</v>
      </c>
      <c r="F1498" s="7" t="s">
        <v>49</v>
      </c>
      <c r="G1498" s="8" t="n">
        <v>45921</v>
      </c>
      <c r="H1498" s="8" t="n">
        <v>45958</v>
      </c>
      <c r="I1498" s="7" t="s">
        <v>40</v>
      </c>
      <c r="J1498" s="7" t="s">
        <v>51</v>
      </c>
      <c r="K1498" s="7" t="n">
        <v>37</v>
      </c>
      <c r="L1498" s="7" t="n">
        <v>3</v>
      </c>
      <c r="M1498" s="7" t="n">
        <v>0</v>
      </c>
      <c r="N1498" s="7" t="s">
        <v>42</v>
      </c>
      <c r="O1498" s="7" t="s">
        <v>52</v>
      </c>
      <c r="P1498" s="7" t="n">
        <v>9.3</v>
      </c>
      <c r="Q1498" s="7" t="n">
        <v>22</v>
      </c>
      <c r="R1498" s="7" t="s">
        <v>44</v>
      </c>
      <c r="S1498" s="7"/>
      <c r="T1498" s="7"/>
      <c r="U1498" s="7" t="str">
        <f aca="false">IF(COUNTIF($A$2:$A$5001,A1498)&gt;1,"Duplicate","Unique")</f>
        <v>Unique</v>
      </c>
      <c r="V1498" s="7" t="str">
        <f aca="false">IF(COUNTIFS($B$2:$B$5001,B1498,$H$2:$H$5001,H1498,$J$2:$J$5001,J1498)&gt;1,"Possible Duplicate Booking","Unique")</f>
        <v>Unique</v>
      </c>
      <c r="W1498" s="7" t="str">
        <f aca="false">IF((H1498-G1498)&lt;&gt;K1498,"Mismatch","OK")</f>
        <v>OK</v>
      </c>
      <c r="X1498" s="7" t="str">
        <f aca="false">IF(TEXT(H1498,"dddd")&lt;&gt;I1498,"Mismatch","OK")</f>
        <v>OK</v>
      </c>
      <c r="Y1498" s="7" t="str">
        <f aca="false">IF(AND(N1498="No",O1498&lt;&gt;""),"Unexpected: channel present but no reminder sent",IF(AND(N1498="Yes",O1498=""),"Missing channel for sent reminder","OK"))</f>
        <v>OK</v>
      </c>
    </row>
    <row r="1499" customFormat="false" ht="15" hidden="false" customHeight="false" outlineLevel="0" collapsed="false">
      <c r="A1499" s="9" t="s">
        <v>2587</v>
      </c>
      <c r="B1499" s="9" t="s">
        <v>2588</v>
      </c>
      <c r="C1499" s="9" t="s">
        <v>37</v>
      </c>
      <c r="D1499" s="9" t="n">
        <v>79</v>
      </c>
      <c r="E1499" s="9" t="s">
        <v>70</v>
      </c>
      <c r="F1499" s="9" t="s">
        <v>39</v>
      </c>
      <c r="G1499" s="10" t="n">
        <v>46031</v>
      </c>
      <c r="H1499" s="10" t="n">
        <v>46084</v>
      </c>
      <c r="I1499" s="9" t="s">
        <v>40</v>
      </c>
      <c r="J1499" s="9" t="s">
        <v>41</v>
      </c>
      <c r="K1499" s="9" t="n">
        <v>53</v>
      </c>
      <c r="L1499" s="9" t="n">
        <v>3</v>
      </c>
      <c r="M1499" s="9" t="n">
        <v>0</v>
      </c>
      <c r="N1499" s="9" t="s">
        <v>42</v>
      </c>
      <c r="O1499" s="9" t="s">
        <v>52</v>
      </c>
      <c r="P1499" s="9" t="n">
        <v>4.1</v>
      </c>
      <c r="Q1499" s="9" t="n">
        <v>27</v>
      </c>
      <c r="R1499" s="9" t="s">
        <v>44</v>
      </c>
      <c r="S1499" s="9"/>
      <c r="T1499" s="9"/>
      <c r="U1499" s="9" t="str">
        <f aca="false">IF(COUNTIF($A$2:$A$5001,A1499)&gt;1,"Duplicate","Unique")</f>
        <v>Unique</v>
      </c>
      <c r="V1499" s="9" t="str">
        <f aca="false">IF(COUNTIFS($B$2:$B$5001,B1499,$H$2:$H$5001,H1499,$J$2:$J$5001,J1499)&gt;1,"Possible Duplicate Booking","Unique")</f>
        <v>Unique</v>
      </c>
      <c r="W1499" s="9" t="str">
        <f aca="false">IF((H1499-G1499)&lt;&gt;K1499,"Mismatch","OK")</f>
        <v>OK</v>
      </c>
      <c r="X1499" s="9" t="str">
        <f aca="false">IF(TEXT(H1499,"dddd")&lt;&gt;I1499,"Mismatch","OK")</f>
        <v>OK</v>
      </c>
      <c r="Y1499" s="9" t="str">
        <f aca="false">IF(AND(N1499="No",O1499&lt;&gt;""),"Unexpected: channel present but no reminder sent",IF(AND(N1499="Yes",O1499=""),"Missing channel for sent reminder","OK"))</f>
        <v>OK</v>
      </c>
    </row>
    <row r="1500" customFormat="false" ht="15" hidden="false" customHeight="false" outlineLevel="0" collapsed="false">
      <c r="A1500" s="7" t="s">
        <v>2589</v>
      </c>
      <c r="B1500" s="7" t="s">
        <v>2497</v>
      </c>
      <c r="C1500" s="7" t="s">
        <v>47</v>
      </c>
      <c r="D1500" s="7" t="n">
        <v>21</v>
      </c>
      <c r="E1500" s="7" t="s">
        <v>82</v>
      </c>
      <c r="F1500" s="7" t="s">
        <v>74</v>
      </c>
      <c r="G1500" s="8" t="n">
        <v>45895</v>
      </c>
      <c r="H1500" s="8" t="n">
        <v>45913</v>
      </c>
      <c r="I1500" s="7" t="s">
        <v>102</v>
      </c>
      <c r="J1500" s="7" t="s">
        <v>51</v>
      </c>
      <c r="K1500" s="7" t="n">
        <v>18</v>
      </c>
      <c r="L1500" s="7" t="n">
        <v>5</v>
      </c>
      <c r="M1500" s="7" t="n">
        <v>0</v>
      </c>
      <c r="N1500" s="7" t="s">
        <v>42</v>
      </c>
      <c r="O1500" s="7" t="s">
        <v>52</v>
      </c>
      <c r="P1500" s="7" t="n">
        <v>8.1</v>
      </c>
      <c r="Q1500" s="7" t="n">
        <v>17</v>
      </c>
      <c r="R1500" s="7" t="s">
        <v>53</v>
      </c>
      <c r="S1500" s="7"/>
      <c r="T1500" s="7"/>
      <c r="U1500" s="7" t="str">
        <f aca="false">IF(COUNTIF($A$2:$A$5001,A1500)&gt;1,"Duplicate","Unique")</f>
        <v>Unique</v>
      </c>
      <c r="V1500" s="7" t="str">
        <f aca="false">IF(COUNTIFS($B$2:$B$5001,B1500,$H$2:$H$5001,H1500,$J$2:$J$5001,J1500)&gt;1,"Possible Duplicate Booking","Unique")</f>
        <v>Unique</v>
      </c>
      <c r="W1500" s="7" t="str">
        <f aca="false">IF((H1500-G1500)&lt;&gt;K1500,"Mismatch","OK")</f>
        <v>OK</v>
      </c>
      <c r="X1500" s="7" t="str">
        <f aca="false">IF(TEXT(H1500,"dddd")&lt;&gt;I1500,"Mismatch","OK")</f>
        <v>OK</v>
      </c>
      <c r="Y1500" s="7" t="str">
        <f aca="false">IF(AND(N1500="No",O1500&lt;&gt;""),"Unexpected: channel present but no reminder sent",IF(AND(N1500="Yes",O1500=""),"Missing channel for sent reminder","OK"))</f>
        <v>OK</v>
      </c>
    </row>
    <row r="1501" customFormat="false" ht="15" hidden="false" customHeight="false" outlineLevel="0" collapsed="false">
      <c r="A1501" s="9" t="s">
        <v>2590</v>
      </c>
      <c r="B1501" s="9" t="s">
        <v>2591</v>
      </c>
      <c r="C1501" s="9" t="s">
        <v>47</v>
      </c>
      <c r="D1501" s="9" t="n">
        <v>78</v>
      </c>
      <c r="E1501" s="9" t="s">
        <v>70</v>
      </c>
      <c r="F1501" s="9" t="s">
        <v>39</v>
      </c>
      <c r="G1501" s="10" t="n">
        <v>46089</v>
      </c>
      <c r="H1501" s="10" t="n">
        <v>46117</v>
      </c>
      <c r="I1501" s="9" t="s">
        <v>75</v>
      </c>
      <c r="J1501" s="9" t="s">
        <v>41</v>
      </c>
      <c r="K1501" s="9" t="n">
        <v>28</v>
      </c>
      <c r="L1501" s="9" t="n">
        <v>2</v>
      </c>
      <c r="M1501" s="9" t="n">
        <v>1</v>
      </c>
      <c r="N1501" s="9" t="s">
        <v>71</v>
      </c>
      <c r="O1501" s="9"/>
      <c r="P1501" s="9" t="n">
        <v>6.2</v>
      </c>
      <c r="Q1501" s="9" t="n">
        <v>19</v>
      </c>
      <c r="R1501" s="9" t="s">
        <v>44</v>
      </c>
      <c r="S1501" s="9"/>
      <c r="T1501" s="9"/>
      <c r="U1501" s="9" t="str">
        <f aca="false">IF(COUNTIF($A$2:$A$5001,A1501)&gt;1,"Duplicate","Unique")</f>
        <v>Unique</v>
      </c>
      <c r="V1501" s="9" t="str">
        <f aca="false">IF(COUNTIFS($B$2:$B$5001,B1501,$H$2:$H$5001,H1501,$J$2:$J$5001,J1501)&gt;1,"Possible Duplicate Booking","Unique")</f>
        <v>Unique</v>
      </c>
      <c r="W1501" s="9" t="str">
        <f aca="false">IF((H1501-G1501)&lt;&gt;K1501,"Mismatch","OK")</f>
        <v>OK</v>
      </c>
      <c r="X1501" s="9" t="str">
        <f aca="false">IF(TEXT(H1501,"dddd")&lt;&gt;I1501,"Mismatch","OK")</f>
        <v>OK</v>
      </c>
      <c r="Y1501" s="9" t="str">
        <f aca="false">IF(AND(N1501="No",O1501&lt;&gt;""),"Unexpected: channel present but no reminder sent",IF(AND(N1501="Yes",O1501=""),"Missing channel for sent reminder","OK"))</f>
        <v>OK</v>
      </c>
    </row>
    <row r="1502" customFormat="false" ht="15" hidden="false" customHeight="false" outlineLevel="0" collapsed="false">
      <c r="A1502" s="7" t="s">
        <v>2592</v>
      </c>
      <c r="B1502" s="7" t="s">
        <v>2529</v>
      </c>
      <c r="C1502" s="7" t="s">
        <v>37</v>
      </c>
      <c r="D1502" s="7" t="n">
        <v>32</v>
      </c>
      <c r="E1502" s="7" t="s">
        <v>48</v>
      </c>
      <c r="F1502" s="7" t="s">
        <v>49</v>
      </c>
      <c r="G1502" s="8" t="n">
        <v>45940</v>
      </c>
      <c r="H1502" s="8" t="n">
        <v>45947</v>
      </c>
      <c r="I1502" s="7" t="s">
        <v>50</v>
      </c>
      <c r="J1502" s="7" t="s">
        <v>41</v>
      </c>
      <c r="K1502" s="7" t="n">
        <v>7</v>
      </c>
      <c r="L1502" s="7" t="n">
        <v>5</v>
      </c>
      <c r="M1502" s="7" t="n">
        <v>1</v>
      </c>
      <c r="N1502" s="7" t="s">
        <v>42</v>
      </c>
      <c r="O1502" s="7" t="s">
        <v>67</v>
      </c>
      <c r="P1502" s="7" t="n">
        <v>8.9</v>
      </c>
      <c r="Q1502" s="7" t="n">
        <v>34</v>
      </c>
      <c r="R1502" s="7" t="s">
        <v>53</v>
      </c>
      <c r="S1502" s="7"/>
      <c r="T1502" s="7"/>
      <c r="U1502" s="7" t="str">
        <f aca="false">IF(COUNTIF($A$2:$A$5001,A1502)&gt;1,"Duplicate","Unique")</f>
        <v>Unique</v>
      </c>
      <c r="V1502" s="7" t="str">
        <f aca="false">IF(COUNTIFS($B$2:$B$5001,B1502,$H$2:$H$5001,H1502,$J$2:$J$5001,J1502)&gt;1,"Possible Duplicate Booking","Unique")</f>
        <v>Unique</v>
      </c>
      <c r="W1502" s="7" t="str">
        <f aca="false">IF((H1502-G1502)&lt;&gt;K1502,"Mismatch","OK")</f>
        <v>OK</v>
      </c>
      <c r="X1502" s="7" t="str">
        <f aca="false">IF(TEXT(H1502,"dddd")&lt;&gt;I1502,"Mismatch","OK")</f>
        <v>OK</v>
      </c>
      <c r="Y1502" s="7" t="str">
        <f aca="false">IF(AND(N1502="No",O1502&lt;&gt;""),"Unexpected: channel present but no reminder sent",IF(AND(N1502="Yes",O1502=""),"Missing channel for sent reminder","OK"))</f>
        <v>OK</v>
      </c>
    </row>
    <row r="1503" customFormat="false" ht="15" hidden="false" customHeight="false" outlineLevel="0" collapsed="false">
      <c r="A1503" s="9" t="s">
        <v>2593</v>
      </c>
      <c r="B1503" s="9" t="s">
        <v>2594</v>
      </c>
      <c r="C1503" s="9" t="s">
        <v>236</v>
      </c>
      <c r="D1503" s="9" t="n">
        <v>20</v>
      </c>
      <c r="E1503" s="9" t="s">
        <v>82</v>
      </c>
      <c r="F1503" s="9" t="s">
        <v>57</v>
      </c>
      <c r="G1503" s="10" t="n">
        <v>45741</v>
      </c>
      <c r="H1503" s="10" t="n">
        <v>45800</v>
      </c>
      <c r="I1503" s="9" t="s">
        <v>50</v>
      </c>
      <c r="J1503" s="9" t="s">
        <v>41</v>
      </c>
      <c r="K1503" s="9" t="n">
        <v>59</v>
      </c>
      <c r="L1503" s="9" t="n">
        <v>2</v>
      </c>
      <c r="M1503" s="9" t="n">
        <v>1</v>
      </c>
      <c r="N1503" s="9" t="s">
        <v>42</v>
      </c>
      <c r="O1503" s="9" t="s">
        <v>52</v>
      </c>
      <c r="P1503" s="9" t="n">
        <v>3.8</v>
      </c>
      <c r="Q1503" s="9" t="n">
        <v>12</v>
      </c>
      <c r="R1503" s="9" t="s">
        <v>53</v>
      </c>
      <c r="S1503" s="9"/>
      <c r="T1503" s="9"/>
      <c r="U1503" s="9" t="str">
        <f aca="false">IF(COUNTIF($A$2:$A$5001,A1503)&gt;1,"Duplicate","Unique")</f>
        <v>Unique</v>
      </c>
      <c r="V1503" s="9" t="str">
        <f aca="false">IF(COUNTIFS($B$2:$B$5001,B1503,$H$2:$H$5001,H1503,$J$2:$J$5001,J1503)&gt;1,"Possible Duplicate Booking","Unique")</f>
        <v>Unique</v>
      </c>
      <c r="W1503" s="9" t="str">
        <f aca="false">IF((H1503-G1503)&lt;&gt;K1503,"Mismatch","OK")</f>
        <v>OK</v>
      </c>
      <c r="X1503" s="9" t="str">
        <f aca="false">IF(TEXT(H1503,"dddd")&lt;&gt;I1503,"Mismatch","OK")</f>
        <v>OK</v>
      </c>
      <c r="Y1503" s="9" t="str">
        <f aca="false">IF(AND(N1503="No",O1503&lt;&gt;""),"Unexpected: channel present but no reminder sent",IF(AND(N1503="Yes",O1503=""),"Missing channel for sent reminder","OK"))</f>
        <v>OK</v>
      </c>
    </row>
    <row r="1504" customFormat="false" ht="15" hidden="false" customHeight="false" outlineLevel="0" collapsed="false">
      <c r="A1504" s="7" t="s">
        <v>2595</v>
      </c>
      <c r="B1504" s="7" t="s">
        <v>2596</v>
      </c>
      <c r="C1504" s="7" t="s">
        <v>47</v>
      </c>
      <c r="D1504" s="7" t="n">
        <v>65</v>
      </c>
      <c r="E1504" s="7" t="s">
        <v>70</v>
      </c>
      <c r="F1504" s="7" t="s">
        <v>39</v>
      </c>
      <c r="G1504" s="8" t="n">
        <v>45752</v>
      </c>
      <c r="H1504" s="8" t="n">
        <v>45783</v>
      </c>
      <c r="I1504" s="7" t="s">
        <v>40</v>
      </c>
      <c r="J1504" s="7" t="s">
        <v>41</v>
      </c>
      <c r="K1504" s="7" t="n">
        <v>31</v>
      </c>
      <c r="L1504" s="7" t="n">
        <v>2</v>
      </c>
      <c r="M1504" s="7" t="n">
        <v>1</v>
      </c>
      <c r="N1504" s="7" t="s">
        <v>42</v>
      </c>
      <c r="O1504" s="7" t="s">
        <v>52</v>
      </c>
      <c r="P1504" s="7" t="n">
        <v>5.5</v>
      </c>
      <c r="Q1504" s="7" t="n">
        <v>24</v>
      </c>
      <c r="R1504" s="7" t="s">
        <v>53</v>
      </c>
      <c r="S1504" s="7"/>
      <c r="T1504" s="7"/>
      <c r="U1504" s="7" t="str">
        <f aca="false">IF(COUNTIF($A$2:$A$5001,A1504)&gt;1,"Duplicate","Unique")</f>
        <v>Unique</v>
      </c>
      <c r="V1504" s="7" t="str">
        <f aca="false">IF(COUNTIFS($B$2:$B$5001,B1504,$H$2:$H$5001,H1504,$J$2:$J$5001,J1504)&gt;1,"Possible Duplicate Booking","Unique")</f>
        <v>Unique</v>
      </c>
      <c r="W1504" s="7" t="str">
        <f aca="false">IF((H1504-G1504)&lt;&gt;K1504,"Mismatch","OK")</f>
        <v>OK</v>
      </c>
      <c r="X1504" s="7" t="str">
        <f aca="false">IF(TEXT(H1504,"dddd")&lt;&gt;I1504,"Mismatch","OK")</f>
        <v>OK</v>
      </c>
      <c r="Y1504" s="7" t="str">
        <f aca="false">IF(AND(N1504="No",O1504&lt;&gt;""),"Unexpected: channel present but no reminder sent",IF(AND(N1504="Yes",O1504=""),"Missing channel for sent reminder","OK"))</f>
        <v>OK</v>
      </c>
    </row>
    <row r="1505" customFormat="false" ht="15" hidden="false" customHeight="false" outlineLevel="0" collapsed="false">
      <c r="A1505" s="9" t="s">
        <v>2597</v>
      </c>
      <c r="B1505" s="9" t="s">
        <v>2598</v>
      </c>
      <c r="C1505" s="9" t="s">
        <v>37</v>
      </c>
      <c r="D1505" s="9" t="n">
        <v>42</v>
      </c>
      <c r="E1505" s="9" t="s">
        <v>38</v>
      </c>
      <c r="F1505" s="9" t="s">
        <v>57</v>
      </c>
      <c r="G1505" s="10" t="n">
        <v>45801</v>
      </c>
      <c r="H1505" s="10" t="n">
        <v>45834</v>
      </c>
      <c r="I1505" s="9" t="s">
        <v>62</v>
      </c>
      <c r="J1505" s="9" t="s">
        <v>51</v>
      </c>
      <c r="K1505" s="9" t="n">
        <v>33</v>
      </c>
      <c r="L1505" s="9" t="n">
        <v>3</v>
      </c>
      <c r="M1505" s="9" t="n">
        <v>1</v>
      </c>
      <c r="N1505" s="9" t="s">
        <v>42</v>
      </c>
      <c r="O1505" s="9" t="s">
        <v>52</v>
      </c>
      <c r="P1505" s="9" t="n">
        <v>10.4</v>
      </c>
      <c r="Q1505" s="9" t="n">
        <v>19</v>
      </c>
      <c r="R1505" s="9" t="s">
        <v>53</v>
      </c>
      <c r="S1505" s="9"/>
      <c r="T1505" s="9"/>
      <c r="U1505" s="9" t="str">
        <f aca="false">IF(COUNTIF($A$2:$A$5001,A1505)&gt;1,"Duplicate","Unique")</f>
        <v>Unique</v>
      </c>
      <c r="V1505" s="9" t="str">
        <f aca="false">IF(COUNTIFS($B$2:$B$5001,B1505,$H$2:$H$5001,H1505,$J$2:$J$5001,J1505)&gt;1,"Possible Duplicate Booking","Unique")</f>
        <v>Unique</v>
      </c>
      <c r="W1505" s="9" t="str">
        <f aca="false">IF((H1505-G1505)&lt;&gt;K1505,"Mismatch","OK")</f>
        <v>OK</v>
      </c>
      <c r="X1505" s="9" t="str">
        <f aca="false">IF(TEXT(H1505,"dddd")&lt;&gt;I1505,"Mismatch","OK")</f>
        <v>OK</v>
      </c>
      <c r="Y1505" s="9" t="str">
        <f aca="false">IF(AND(N1505="No",O1505&lt;&gt;""),"Unexpected: channel present but no reminder sent",IF(AND(N1505="Yes",O1505=""),"Missing channel for sent reminder","OK"))</f>
        <v>OK</v>
      </c>
    </row>
    <row r="1506" customFormat="false" ht="15" hidden="false" customHeight="false" outlineLevel="0" collapsed="false">
      <c r="A1506" s="7" t="s">
        <v>2599</v>
      </c>
      <c r="B1506" s="7" t="s">
        <v>745</v>
      </c>
      <c r="C1506" s="7" t="s">
        <v>47</v>
      </c>
      <c r="D1506" s="7" t="n">
        <v>36</v>
      </c>
      <c r="E1506" s="7" t="s">
        <v>38</v>
      </c>
      <c r="F1506" s="7" t="s">
        <v>57</v>
      </c>
      <c r="G1506" s="8" t="n">
        <v>45959</v>
      </c>
      <c r="H1506" s="8" t="n">
        <v>45984</v>
      </c>
      <c r="I1506" s="7" t="s">
        <v>75</v>
      </c>
      <c r="J1506" s="7" t="s">
        <v>51</v>
      </c>
      <c r="K1506" s="7" t="n">
        <v>25</v>
      </c>
      <c r="L1506" s="7" t="n">
        <v>1</v>
      </c>
      <c r="M1506" s="7" t="n">
        <v>0</v>
      </c>
      <c r="N1506" s="7" t="s">
        <v>42</v>
      </c>
      <c r="O1506" s="7" t="s">
        <v>52</v>
      </c>
      <c r="P1506" s="7" t="n">
        <v>12.8</v>
      </c>
      <c r="Q1506" s="7" t="n">
        <v>7</v>
      </c>
      <c r="R1506" s="7" t="s">
        <v>44</v>
      </c>
      <c r="S1506" s="7"/>
      <c r="T1506" s="7"/>
      <c r="U1506" s="7" t="str">
        <f aca="false">IF(COUNTIF($A$2:$A$5001,A1506)&gt;1,"Duplicate","Unique")</f>
        <v>Unique</v>
      </c>
      <c r="V1506" s="7" t="str">
        <f aca="false">IF(COUNTIFS($B$2:$B$5001,B1506,$H$2:$H$5001,H1506,$J$2:$J$5001,J1506)&gt;1,"Possible Duplicate Booking","Unique")</f>
        <v>Unique</v>
      </c>
      <c r="W1506" s="7" t="str">
        <f aca="false">IF((H1506-G1506)&lt;&gt;K1506,"Mismatch","OK")</f>
        <v>OK</v>
      </c>
      <c r="X1506" s="7" t="str">
        <f aca="false">IF(TEXT(H1506,"dddd")&lt;&gt;I1506,"Mismatch","OK")</f>
        <v>OK</v>
      </c>
      <c r="Y1506" s="7" t="str">
        <f aca="false">IF(AND(N1506="No",O1506&lt;&gt;""),"Unexpected: channel present but no reminder sent",IF(AND(N1506="Yes",O1506=""),"Missing channel for sent reminder","OK"))</f>
        <v>OK</v>
      </c>
    </row>
    <row r="1507" customFormat="false" ht="15" hidden="false" customHeight="false" outlineLevel="0" collapsed="false">
      <c r="A1507" s="9" t="s">
        <v>2600</v>
      </c>
      <c r="B1507" s="9" t="s">
        <v>2601</v>
      </c>
      <c r="C1507" s="9" t="s">
        <v>47</v>
      </c>
      <c r="D1507" s="9" t="n">
        <v>65</v>
      </c>
      <c r="E1507" s="9" t="s">
        <v>70</v>
      </c>
      <c r="F1507" s="9" t="s">
        <v>49</v>
      </c>
      <c r="G1507" s="10" t="n">
        <v>45774</v>
      </c>
      <c r="H1507" s="10" t="n">
        <v>45790</v>
      </c>
      <c r="I1507" s="9" t="s">
        <v>40</v>
      </c>
      <c r="J1507" s="9" t="s">
        <v>41</v>
      </c>
      <c r="K1507" s="9" t="n">
        <v>16</v>
      </c>
      <c r="L1507" s="9" t="n">
        <v>4</v>
      </c>
      <c r="M1507" s="9" t="n">
        <v>1</v>
      </c>
      <c r="N1507" s="9" t="s">
        <v>42</v>
      </c>
      <c r="O1507" s="9" t="s">
        <v>43</v>
      </c>
      <c r="P1507" s="9" t="n">
        <v>9.8</v>
      </c>
      <c r="Q1507" s="9" t="n">
        <v>21</v>
      </c>
      <c r="R1507" s="9" t="s">
        <v>44</v>
      </c>
      <c r="S1507" s="9"/>
      <c r="T1507" s="9"/>
      <c r="U1507" s="9" t="str">
        <f aca="false">IF(COUNTIF($A$2:$A$5001,A1507)&gt;1,"Duplicate","Unique")</f>
        <v>Unique</v>
      </c>
      <c r="V1507" s="9" t="str">
        <f aca="false">IF(COUNTIFS($B$2:$B$5001,B1507,$H$2:$H$5001,H1507,$J$2:$J$5001,J1507)&gt;1,"Possible Duplicate Booking","Unique")</f>
        <v>Unique</v>
      </c>
      <c r="W1507" s="9" t="str">
        <f aca="false">IF((H1507-G1507)&lt;&gt;K1507,"Mismatch","OK")</f>
        <v>OK</v>
      </c>
      <c r="X1507" s="9" t="str">
        <f aca="false">IF(TEXT(H1507,"dddd")&lt;&gt;I1507,"Mismatch","OK")</f>
        <v>OK</v>
      </c>
      <c r="Y1507" s="9" t="str">
        <f aca="false">IF(AND(N1507="No",O1507&lt;&gt;""),"Unexpected: channel present but no reminder sent",IF(AND(N1507="Yes",O1507=""),"Missing channel for sent reminder","OK"))</f>
        <v>OK</v>
      </c>
    </row>
    <row r="1508" customFormat="false" ht="15" hidden="false" customHeight="false" outlineLevel="0" collapsed="false">
      <c r="A1508" s="7" t="s">
        <v>2602</v>
      </c>
      <c r="B1508" s="7" t="s">
        <v>2603</v>
      </c>
      <c r="C1508" s="7" t="s">
        <v>47</v>
      </c>
      <c r="D1508" s="7" t="n">
        <v>38</v>
      </c>
      <c r="E1508" s="7" t="s">
        <v>38</v>
      </c>
      <c r="F1508" s="7" t="s">
        <v>57</v>
      </c>
      <c r="G1508" s="8" t="n">
        <v>46100</v>
      </c>
      <c r="H1508" s="8" t="n">
        <v>46157</v>
      </c>
      <c r="I1508" s="7" t="s">
        <v>50</v>
      </c>
      <c r="J1508" s="7" t="s">
        <v>63</v>
      </c>
      <c r="K1508" s="7" t="n">
        <v>57</v>
      </c>
      <c r="L1508" s="7" t="n">
        <v>3</v>
      </c>
      <c r="M1508" s="7" t="n">
        <v>0</v>
      </c>
      <c r="N1508" s="7" t="s">
        <v>42</v>
      </c>
      <c r="O1508" s="7" t="s">
        <v>43</v>
      </c>
      <c r="P1508" s="7" t="n">
        <v>7</v>
      </c>
      <c r="Q1508" s="7" t="n">
        <v>16</v>
      </c>
      <c r="R1508" s="7" t="s">
        <v>44</v>
      </c>
      <c r="S1508" s="7"/>
      <c r="T1508" s="7"/>
      <c r="U1508" s="7" t="str">
        <f aca="false">IF(COUNTIF($A$2:$A$5001,A1508)&gt;1,"Duplicate","Unique")</f>
        <v>Unique</v>
      </c>
      <c r="V1508" s="7" t="str">
        <f aca="false">IF(COUNTIFS($B$2:$B$5001,B1508,$H$2:$H$5001,H1508,$J$2:$J$5001,J1508)&gt;1,"Possible Duplicate Booking","Unique")</f>
        <v>Unique</v>
      </c>
      <c r="W1508" s="7" t="str">
        <f aca="false">IF((H1508-G1508)&lt;&gt;K1508,"Mismatch","OK")</f>
        <v>OK</v>
      </c>
      <c r="X1508" s="7" t="str">
        <f aca="false">IF(TEXT(H1508,"dddd")&lt;&gt;I1508,"Mismatch","OK")</f>
        <v>OK</v>
      </c>
      <c r="Y1508" s="7" t="str">
        <f aca="false">IF(AND(N1508="No",O1508&lt;&gt;""),"Unexpected: channel present but no reminder sent",IF(AND(N1508="Yes",O1508=""),"Missing channel for sent reminder","OK"))</f>
        <v>OK</v>
      </c>
    </row>
    <row r="1509" customFormat="false" ht="15" hidden="false" customHeight="false" outlineLevel="0" collapsed="false">
      <c r="A1509" s="9" t="s">
        <v>2604</v>
      </c>
      <c r="B1509" s="9" t="s">
        <v>2605</v>
      </c>
      <c r="C1509" s="9" t="s">
        <v>47</v>
      </c>
      <c r="D1509" s="9" t="n">
        <v>65</v>
      </c>
      <c r="E1509" s="9" t="s">
        <v>70</v>
      </c>
      <c r="F1509" s="9" t="s">
        <v>39</v>
      </c>
      <c r="G1509" s="10" t="n">
        <v>45891</v>
      </c>
      <c r="H1509" s="10" t="n">
        <v>45920</v>
      </c>
      <c r="I1509" s="9" t="s">
        <v>102</v>
      </c>
      <c r="J1509" s="9" t="s">
        <v>63</v>
      </c>
      <c r="K1509" s="9" t="n">
        <v>29</v>
      </c>
      <c r="L1509" s="9" t="n">
        <v>5</v>
      </c>
      <c r="M1509" s="9" t="n">
        <v>2</v>
      </c>
      <c r="N1509" s="9" t="s">
        <v>42</v>
      </c>
      <c r="O1509" s="9" t="s">
        <v>52</v>
      </c>
      <c r="P1509" s="9" t="n">
        <v>5.2</v>
      </c>
      <c r="Q1509" s="9" t="n">
        <v>21</v>
      </c>
      <c r="R1509" s="9" t="s">
        <v>53</v>
      </c>
      <c r="S1509" s="9"/>
      <c r="T1509" s="9"/>
      <c r="U1509" s="9" t="str">
        <f aca="false">IF(COUNTIF($A$2:$A$5001,A1509)&gt;1,"Duplicate","Unique")</f>
        <v>Unique</v>
      </c>
      <c r="V1509" s="9" t="str">
        <f aca="false">IF(COUNTIFS($B$2:$B$5001,B1509,$H$2:$H$5001,H1509,$J$2:$J$5001,J1509)&gt;1,"Possible Duplicate Booking","Unique")</f>
        <v>Unique</v>
      </c>
      <c r="W1509" s="9" t="str">
        <f aca="false">IF((H1509-G1509)&lt;&gt;K1509,"Mismatch","OK")</f>
        <v>OK</v>
      </c>
      <c r="X1509" s="9" t="str">
        <f aca="false">IF(TEXT(H1509,"dddd")&lt;&gt;I1509,"Mismatch","OK")</f>
        <v>OK</v>
      </c>
      <c r="Y1509" s="9" t="str">
        <f aca="false">IF(AND(N1509="No",O1509&lt;&gt;""),"Unexpected: channel present but no reminder sent",IF(AND(N1509="Yes",O1509=""),"Missing channel for sent reminder","OK"))</f>
        <v>OK</v>
      </c>
    </row>
    <row r="1510" customFormat="false" ht="15" hidden="false" customHeight="false" outlineLevel="0" collapsed="false">
      <c r="A1510" s="7" t="s">
        <v>2606</v>
      </c>
      <c r="B1510" s="7" t="s">
        <v>828</v>
      </c>
      <c r="C1510" s="7" t="s">
        <v>37</v>
      </c>
      <c r="D1510" s="7" t="n">
        <v>30</v>
      </c>
      <c r="E1510" s="7" t="s">
        <v>48</v>
      </c>
      <c r="F1510" s="7" t="s">
        <v>39</v>
      </c>
      <c r="G1510" s="8" t="n">
        <v>46088</v>
      </c>
      <c r="H1510" s="8" t="n">
        <v>46129</v>
      </c>
      <c r="I1510" s="7" t="s">
        <v>50</v>
      </c>
      <c r="J1510" s="7" t="s">
        <v>63</v>
      </c>
      <c r="K1510" s="7" t="n">
        <v>41</v>
      </c>
      <c r="L1510" s="7" t="n">
        <v>2</v>
      </c>
      <c r="M1510" s="7" t="n">
        <v>1</v>
      </c>
      <c r="N1510" s="7" t="s">
        <v>42</v>
      </c>
      <c r="O1510" s="7" t="s">
        <v>52</v>
      </c>
      <c r="P1510" s="7" t="n">
        <v>1.7</v>
      </c>
      <c r="Q1510" s="7" t="n">
        <v>26</v>
      </c>
      <c r="R1510" s="7" t="s">
        <v>44</v>
      </c>
      <c r="S1510" s="7"/>
      <c r="T1510" s="7"/>
      <c r="U1510" s="7" t="str">
        <f aca="false">IF(COUNTIF($A$2:$A$5001,A1510)&gt;1,"Duplicate","Unique")</f>
        <v>Unique</v>
      </c>
      <c r="V1510" s="7" t="str">
        <f aca="false">IF(COUNTIFS($B$2:$B$5001,B1510,$H$2:$H$5001,H1510,$J$2:$J$5001,J1510)&gt;1,"Possible Duplicate Booking","Unique")</f>
        <v>Unique</v>
      </c>
      <c r="W1510" s="7" t="str">
        <f aca="false">IF((H1510-G1510)&lt;&gt;K1510,"Mismatch","OK")</f>
        <v>OK</v>
      </c>
      <c r="X1510" s="7" t="str">
        <f aca="false">IF(TEXT(H1510,"dddd")&lt;&gt;I1510,"Mismatch","OK")</f>
        <v>OK</v>
      </c>
      <c r="Y1510" s="7" t="str">
        <f aca="false">IF(AND(N1510="No",O1510&lt;&gt;""),"Unexpected: channel present but no reminder sent",IF(AND(N1510="Yes",O1510=""),"Missing channel for sent reminder","OK"))</f>
        <v>OK</v>
      </c>
    </row>
    <row r="1511" customFormat="false" ht="15" hidden="false" customHeight="false" outlineLevel="0" collapsed="false">
      <c r="A1511" s="9" t="s">
        <v>2607</v>
      </c>
      <c r="B1511" s="9" t="s">
        <v>2608</v>
      </c>
      <c r="C1511" s="9" t="s">
        <v>47</v>
      </c>
      <c r="D1511" s="9" t="n">
        <v>23</v>
      </c>
      <c r="E1511" s="9" t="s">
        <v>82</v>
      </c>
      <c r="F1511" s="9" t="s">
        <v>57</v>
      </c>
      <c r="G1511" s="10" t="n">
        <v>46029</v>
      </c>
      <c r="H1511" s="10" t="n">
        <v>46031</v>
      </c>
      <c r="I1511" s="9" t="s">
        <v>50</v>
      </c>
      <c r="J1511" s="9" t="s">
        <v>41</v>
      </c>
      <c r="K1511" s="9" t="n">
        <v>2</v>
      </c>
      <c r="L1511" s="9" t="n">
        <v>3</v>
      </c>
      <c r="M1511" s="9" t="n">
        <v>0</v>
      </c>
      <c r="N1511" s="9" t="s">
        <v>42</v>
      </c>
      <c r="O1511" s="9" t="s">
        <v>52</v>
      </c>
      <c r="P1511" s="9" t="n">
        <v>19</v>
      </c>
      <c r="Q1511" s="9" t="n">
        <v>2</v>
      </c>
      <c r="R1511" s="9" t="s">
        <v>53</v>
      </c>
      <c r="S1511" s="9"/>
      <c r="T1511" s="9"/>
      <c r="U1511" s="9" t="str">
        <f aca="false">IF(COUNTIF($A$2:$A$5001,A1511)&gt;1,"Duplicate","Unique")</f>
        <v>Unique</v>
      </c>
      <c r="V1511" s="9" t="str">
        <f aca="false">IF(COUNTIFS($B$2:$B$5001,B1511,$H$2:$H$5001,H1511,$J$2:$J$5001,J1511)&gt;1,"Possible Duplicate Booking","Unique")</f>
        <v>Unique</v>
      </c>
      <c r="W1511" s="9" t="str">
        <f aca="false">IF((H1511-G1511)&lt;&gt;K1511,"Mismatch","OK")</f>
        <v>OK</v>
      </c>
      <c r="X1511" s="9" t="str">
        <f aca="false">IF(TEXT(H1511,"dddd")&lt;&gt;I1511,"Mismatch","OK")</f>
        <v>OK</v>
      </c>
      <c r="Y1511" s="9" t="str">
        <f aca="false">IF(AND(N1511="No",O1511&lt;&gt;""),"Unexpected: channel present but no reminder sent",IF(AND(N1511="Yes",O1511=""),"Missing channel for sent reminder","OK"))</f>
        <v>OK</v>
      </c>
    </row>
    <row r="1512" customFormat="false" ht="15" hidden="false" customHeight="false" outlineLevel="0" collapsed="false">
      <c r="A1512" s="7" t="s">
        <v>2609</v>
      </c>
      <c r="B1512" s="7" t="s">
        <v>2610</v>
      </c>
      <c r="C1512" s="7" t="s">
        <v>37</v>
      </c>
      <c r="D1512" s="7" t="n">
        <v>38</v>
      </c>
      <c r="E1512" s="7" t="s">
        <v>38</v>
      </c>
      <c r="F1512" s="7" t="s">
        <v>39</v>
      </c>
      <c r="G1512" s="8" t="n">
        <v>45824</v>
      </c>
      <c r="H1512" s="8" t="n">
        <v>45840</v>
      </c>
      <c r="I1512" s="7" t="s">
        <v>58</v>
      </c>
      <c r="J1512" s="7" t="s">
        <v>63</v>
      </c>
      <c r="K1512" s="7" t="n">
        <v>16</v>
      </c>
      <c r="L1512" s="7" t="n">
        <v>2</v>
      </c>
      <c r="M1512" s="7" t="n">
        <v>0</v>
      </c>
      <c r="N1512" s="7" t="s">
        <v>42</v>
      </c>
      <c r="O1512" s="7" t="s">
        <v>43</v>
      </c>
      <c r="P1512" s="7" t="n">
        <v>16.5</v>
      </c>
      <c r="Q1512" s="7" t="n">
        <v>37</v>
      </c>
      <c r="R1512" s="7" t="s">
        <v>53</v>
      </c>
      <c r="S1512" s="7"/>
      <c r="T1512" s="7"/>
      <c r="U1512" s="7" t="str">
        <f aca="false">IF(COUNTIF($A$2:$A$5001,A1512)&gt;1,"Duplicate","Unique")</f>
        <v>Unique</v>
      </c>
      <c r="V1512" s="7" t="str">
        <f aca="false">IF(COUNTIFS($B$2:$B$5001,B1512,$H$2:$H$5001,H1512,$J$2:$J$5001,J1512)&gt;1,"Possible Duplicate Booking","Unique")</f>
        <v>Unique</v>
      </c>
      <c r="W1512" s="7" t="str">
        <f aca="false">IF((H1512-G1512)&lt;&gt;K1512,"Mismatch","OK")</f>
        <v>OK</v>
      </c>
      <c r="X1512" s="7" t="str">
        <f aca="false">IF(TEXT(H1512,"dddd")&lt;&gt;I1512,"Mismatch","OK")</f>
        <v>OK</v>
      </c>
      <c r="Y1512" s="7" t="str">
        <f aca="false">IF(AND(N1512="No",O1512&lt;&gt;""),"Unexpected: channel present but no reminder sent",IF(AND(N1512="Yes",O1512=""),"Missing channel for sent reminder","OK"))</f>
        <v>OK</v>
      </c>
    </row>
    <row r="1513" customFormat="false" ht="15" hidden="false" customHeight="false" outlineLevel="0" collapsed="false">
      <c r="A1513" s="9" t="s">
        <v>2611</v>
      </c>
      <c r="B1513" s="9" t="s">
        <v>421</v>
      </c>
      <c r="C1513" s="9" t="s">
        <v>47</v>
      </c>
      <c r="D1513" s="9" t="n">
        <v>56</v>
      </c>
      <c r="E1513" s="9" t="s">
        <v>61</v>
      </c>
      <c r="F1513" s="9" t="s">
        <v>39</v>
      </c>
      <c r="G1513" s="10" t="n">
        <v>45733</v>
      </c>
      <c r="H1513" s="10" t="n">
        <v>45782</v>
      </c>
      <c r="I1513" s="9" t="s">
        <v>66</v>
      </c>
      <c r="J1513" s="9" t="s">
        <v>51</v>
      </c>
      <c r="K1513" s="9" t="n">
        <v>49</v>
      </c>
      <c r="L1513" s="9" t="n">
        <v>5</v>
      </c>
      <c r="M1513" s="9" t="n">
        <v>0</v>
      </c>
      <c r="N1513" s="9" t="s">
        <v>42</v>
      </c>
      <c r="O1513" s="9" t="s">
        <v>52</v>
      </c>
      <c r="P1513" s="9" t="n">
        <v>20.8</v>
      </c>
      <c r="Q1513" s="9" t="n">
        <v>59</v>
      </c>
      <c r="R1513" s="9" t="s">
        <v>53</v>
      </c>
      <c r="S1513" s="9"/>
      <c r="T1513" s="9"/>
      <c r="U1513" s="9" t="str">
        <f aca="false">IF(COUNTIF($A$2:$A$5001,A1513)&gt;1,"Duplicate","Unique")</f>
        <v>Unique</v>
      </c>
      <c r="V1513" s="9" t="str">
        <f aca="false">IF(COUNTIFS($B$2:$B$5001,B1513,$H$2:$H$5001,H1513,$J$2:$J$5001,J1513)&gt;1,"Possible Duplicate Booking","Unique")</f>
        <v>Unique</v>
      </c>
      <c r="W1513" s="9" t="str">
        <f aca="false">IF((H1513-G1513)&lt;&gt;K1513,"Mismatch","OK")</f>
        <v>OK</v>
      </c>
      <c r="X1513" s="9" t="str">
        <f aca="false">IF(TEXT(H1513,"dddd")&lt;&gt;I1513,"Mismatch","OK")</f>
        <v>OK</v>
      </c>
      <c r="Y1513" s="9" t="str">
        <f aca="false">IF(AND(N1513="No",O1513&lt;&gt;""),"Unexpected: channel present but no reminder sent",IF(AND(N1513="Yes",O1513=""),"Missing channel for sent reminder","OK"))</f>
        <v>OK</v>
      </c>
    </row>
    <row r="1514" customFormat="false" ht="15" hidden="false" customHeight="false" outlineLevel="0" collapsed="false">
      <c r="A1514" s="7" t="s">
        <v>2612</v>
      </c>
      <c r="B1514" s="7" t="s">
        <v>2613</v>
      </c>
      <c r="C1514" s="7" t="s">
        <v>47</v>
      </c>
      <c r="D1514" s="7" t="n">
        <v>32</v>
      </c>
      <c r="E1514" s="7" t="s">
        <v>48</v>
      </c>
      <c r="F1514" s="7" t="s">
        <v>74</v>
      </c>
      <c r="G1514" s="8" t="n">
        <v>46059</v>
      </c>
      <c r="H1514" s="8" t="n">
        <v>46064</v>
      </c>
      <c r="I1514" s="7" t="s">
        <v>58</v>
      </c>
      <c r="J1514" s="7" t="s">
        <v>41</v>
      </c>
      <c r="K1514" s="7" t="n">
        <v>5</v>
      </c>
      <c r="L1514" s="7" t="n">
        <v>3</v>
      </c>
      <c r="M1514" s="7" t="n">
        <v>0</v>
      </c>
      <c r="N1514" s="7" t="s">
        <v>42</v>
      </c>
      <c r="O1514" s="7" t="s">
        <v>67</v>
      </c>
      <c r="P1514" s="7" t="n">
        <v>20.4</v>
      </c>
      <c r="Q1514" s="7" t="n">
        <v>15</v>
      </c>
      <c r="R1514" s="7" t="s">
        <v>53</v>
      </c>
      <c r="S1514" s="7"/>
      <c r="T1514" s="7"/>
      <c r="U1514" s="7" t="str">
        <f aca="false">IF(COUNTIF($A$2:$A$5001,A1514)&gt;1,"Duplicate","Unique")</f>
        <v>Unique</v>
      </c>
      <c r="V1514" s="7" t="str">
        <f aca="false">IF(COUNTIFS($B$2:$B$5001,B1514,$H$2:$H$5001,H1514,$J$2:$J$5001,J1514)&gt;1,"Possible Duplicate Booking","Unique")</f>
        <v>Unique</v>
      </c>
      <c r="W1514" s="7" t="str">
        <f aca="false">IF((H1514-G1514)&lt;&gt;K1514,"Mismatch","OK")</f>
        <v>OK</v>
      </c>
      <c r="X1514" s="7" t="str">
        <f aca="false">IF(TEXT(H1514,"dddd")&lt;&gt;I1514,"Mismatch","OK")</f>
        <v>OK</v>
      </c>
      <c r="Y1514" s="7" t="str">
        <f aca="false">IF(AND(N1514="No",O1514&lt;&gt;""),"Unexpected: channel present but no reminder sent",IF(AND(N1514="Yes",O1514=""),"Missing channel for sent reminder","OK"))</f>
        <v>OK</v>
      </c>
    </row>
    <row r="1515" customFormat="false" ht="15" hidden="false" customHeight="false" outlineLevel="0" collapsed="false">
      <c r="A1515" s="9" t="s">
        <v>2614</v>
      </c>
      <c r="B1515" s="9" t="s">
        <v>2105</v>
      </c>
      <c r="C1515" s="9" t="s">
        <v>47</v>
      </c>
      <c r="D1515" s="9" t="n">
        <v>27</v>
      </c>
      <c r="E1515" s="9" t="s">
        <v>48</v>
      </c>
      <c r="F1515" s="9" t="s">
        <v>57</v>
      </c>
      <c r="G1515" s="10" t="n">
        <v>45832</v>
      </c>
      <c r="H1515" s="10" t="n">
        <v>45838</v>
      </c>
      <c r="I1515" s="9" t="s">
        <v>66</v>
      </c>
      <c r="J1515" s="9" t="s">
        <v>63</v>
      </c>
      <c r="K1515" s="9" t="n">
        <v>6</v>
      </c>
      <c r="L1515" s="9" t="n">
        <v>1</v>
      </c>
      <c r="M1515" s="9" t="n">
        <v>0</v>
      </c>
      <c r="N1515" s="9" t="s">
        <v>42</v>
      </c>
      <c r="O1515" s="9" t="s">
        <v>52</v>
      </c>
      <c r="P1515" s="9" t="n">
        <v>10.7</v>
      </c>
      <c r="Q1515" s="9" t="n">
        <v>19</v>
      </c>
      <c r="R1515" s="9" t="s">
        <v>53</v>
      </c>
      <c r="S1515" s="9"/>
      <c r="T1515" s="9"/>
      <c r="U1515" s="9" t="str">
        <f aca="false">IF(COUNTIF($A$2:$A$5001,A1515)&gt;1,"Duplicate","Unique")</f>
        <v>Unique</v>
      </c>
      <c r="V1515" s="9" t="str">
        <f aca="false">IF(COUNTIFS($B$2:$B$5001,B1515,$H$2:$H$5001,H1515,$J$2:$J$5001,J1515)&gt;1,"Possible Duplicate Booking","Unique")</f>
        <v>Unique</v>
      </c>
      <c r="W1515" s="9" t="str">
        <f aca="false">IF((H1515-G1515)&lt;&gt;K1515,"Mismatch","OK")</f>
        <v>OK</v>
      </c>
      <c r="X1515" s="9" t="str">
        <f aca="false">IF(TEXT(H1515,"dddd")&lt;&gt;I1515,"Mismatch","OK")</f>
        <v>OK</v>
      </c>
      <c r="Y1515" s="9" t="str">
        <f aca="false">IF(AND(N1515="No",O1515&lt;&gt;""),"Unexpected: channel present but no reminder sent",IF(AND(N1515="Yes",O1515=""),"Missing channel for sent reminder","OK"))</f>
        <v>OK</v>
      </c>
    </row>
    <row r="1516" customFormat="false" ht="15" hidden="false" customHeight="false" outlineLevel="0" collapsed="false">
      <c r="A1516" s="7" t="s">
        <v>2615</v>
      </c>
      <c r="B1516" s="7" t="s">
        <v>1293</v>
      </c>
      <c r="C1516" s="7" t="s">
        <v>37</v>
      </c>
      <c r="D1516" s="7" t="n">
        <v>65</v>
      </c>
      <c r="E1516" s="7" t="s">
        <v>70</v>
      </c>
      <c r="F1516" s="7" t="s">
        <v>74</v>
      </c>
      <c r="G1516" s="8" t="n">
        <v>45743</v>
      </c>
      <c r="H1516" s="8" t="n">
        <v>45792</v>
      </c>
      <c r="I1516" s="7" t="s">
        <v>62</v>
      </c>
      <c r="J1516" s="7" t="s">
        <v>41</v>
      </c>
      <c r="K1516" s="7" t="n">
        <v>49</v>
      </c>
      <c r="L1516" s="7" t="n">
        <v>8</v>
      </c>
      <c r="M1516" s="7" t="n">
        <v>3</v>
      </c>
      <c r="N1516" s="7" t="s">
        <v>42</v>
      </c>
      <c r="O1516" s="7" t="s">
        <v>43</v>
      </c>
      <c r="P1516" s="7" t="n">
        <v>32.2</v>
      </c>
      <c r="Q1516" s="7" t="n">
        <v>16</v>
      </c>
      <c r="R1516" s="7" t="s">
        <v>44</v>
      </c>
      <c r="S1516" s="7"/>
      <c r="T1516" s="7"/>
      <c r="U1516" s="7" t="str">
        <f aca="false">IF(COUNTIF($A$2:$A$5001,A1516)&gt;1,"Duplicate","Unique")</f>
        <v>Unique</v>
      </c>
      <c r="V1516" s="7" t="str">
        <f aca="false">IF(COUNTIFS($B$2:$B$5001,B1516,$H$2:$H$5001,H1516,$J$2:$J$5001,J1516)&gt;1,"Possible Duplicate Booking","Unique")</f>
        <v>Unique</v>
      </c>
      <c r="W1516" s="7" t="str">
        <f aca="false">IF((H1516-G1516)&lt;&gt;K1516,"Mismatch","OK")</f>
        <v>OK</v>
      </c>
      <c r="X1516" s="7" t="str">
        <f aca="false">IF(TEXT(H1516,"dddd")&lt;&gt;I1516,"Mismatch","OK")</f>
        <v>OK</v>
      </c>
      <c r="Y1516" s="7" t="str">
        <f aca="false">IF(AND(N1516="No",O1516&lt;&gt;""),"Unexpected: channel present but no reminder sent",IF(AND(N1516="Yes",O1516=""),"Missing channel for sent reminder","OK"))</f>
        <v>OK</v>
      </c>
    </row>
    <row r="1517" customFormat="false" ht="15" hidden="false" customHeight="false" outlineLevel="0" collapsed="false">
      <c r="A1517" s="9" t="s">
        <v>2616</v>
      </c>
      <c r="B1517" s="9" t="s">
        <v>2617</v>
      </c>
      <c r="C1517" s="9" t="s">
        <v>37</v>
      </c>
      <c r="D1517" s="9" t="n">
        <v>49</v>
      </c>
      <c r="E1517" s="9" t="s">
        <v>56</v>
      </c>
      <c r="F1517" s="9" t="s">
        <v>49</v>
      </c>
      <c r="G1517" s="10" t="n">
        <v>46147</v>
      </c>
      <c r="H1517" s="10" t="n">
        <v>46165</v>
      </c>
      <c r="I1517" s="9" t="s">
        <v>102</v>
      </c>
      <c r="J1517" s="9" t="s">
        <v>51</v>
      </c>
      <c r="K1517" s="9" t="n">
        <v>18</v>
      </c>
      <c r="L1517" s="9" t="n">
        <v>3</v>
      </c>
      <c r="M1517" s="9" t="n">
        <v>0</v>
      </c>
      <c r="N1517" s="9" t="s">
        <v>42</v>
      </c>
      <c r="O1517" s="9" t="s">
        <v>52</v>
      </c>
      <c r="P1517" s="9" t="n">
        <v>7.7</v>
      </c>
      <c r="Q1517" s="9" t="n">
        <v>14</v>
      </c>
      <c r="R1517" s="9" t="s">
        <v>53</v>
      </c>
      <c r="S1517" s="9"/>
      <c r="T1517" s="9"/>
      <c r="U1517" s="9" t="str">
        <f aca="false">IF(COUNTIF($A$2:$A$5001,A1517)&gt;1,"Duplicate","Unique")</f>
        <v>Unique</v>
      </c>
      <c r="V1517" s="9" t="str">
        <f aca="false">IF(COUNTIFS($B$2:$B$5001,B1517,$H$2:$H$5001,H1517,$J$2:$J$5001,J1517)&gt;1,"Possible Duplicate Booking","Unique")</f>
        <v>Unique</v>
      </c>
      <c r="W1517" s="9" t="str">
        <f aca="false">IF((H1517-G1517)&lt;&gt;K1517,"Mismatch","OK")</f>
        <v>OK</v>
      </c>
      <c r="X1517" s="9" t="str">
        <f aca="false">IF(TEXT(H1517,"dddd")&lt;&gt;I1517,"Mismatch","OK")</f>
        <v>OK</v>
      </c>
      <c r="Y1517" s="9" t="str">
        <f aca="false">IF(AND(N1517="No",O1517&lt;&gt;""),"Unexpected: channel present but no reminder sent",IF(AND(N1517="Yes",O1517=""),"Missing channel for sent reminder","OK"))</f>
        <v>OK</v>
      </c>
    </row>
    <row r="1518" customFormat="false" ht="15" hidden="false" customHeight="false" outlineLevel="0" collapsed="false">
      <c r="A1518" s="7" t="s">
        <v>2618</v>
      </c>
      <c r="B1518" s="7" t="s">
        <v>2619</v>
      </c>
      <c r="C1518" s="7" t="s">
        <v>47</v>
      </c>
      <c r="D1518" s="7" t="n">
        <v>45</v>
      </c>
      <c r="E1518" s="7" t="s">
        <v>56</v>
      </c>
      <c r="F1518" s="7" t="s">
        <v>39</v>
      </c>
      <c r="G1518" s="8" t="n">
        <v>45905</v>
      </c>
      <c r="H1518" s="8" t="n">
        <v>45921</v>
      </c>
      <c r="I1518" s="7" t="s">
        <v>75</v>
      </c>
      <c r="J1518" s="7" t="s">
        <v>51</v>
      </c>
      <c r="K1518" s="7" t="n">
        <v>16</v>
      </c>
      <c r="L1518" s="7" t="n">
        <v>5</v>
      </c>
      <c r="M1518" s="7" t="n">
        <v>2</v>
      </c>
      <c r="N1518" s="7" t="s">
        <v>71</v>
      </c>
      <c r="O1518" s="7"/>
      <c r="P1518" s="7" t="n">
        <v>9.4</v>
      </c>
      <c r="Q1518" s="7" t="n">
        <v>47</v>
      </c>
      <c r="R1518" s="7" t="s">
        <v>53</v>
      </c>
      <c r="S1518" s="7"/>
      <c r="T1518" s="7"/>
      <c r="U1518" s="7" t="str">
        <f aca="false">IF(COUNTIF($A$2:$A$5001,A1518)&gt;1,"Duplicate","Unique")</f>
        <v>Unique</v>
      </c>
      <c r="V1518" s="7" t="str">
        <f aca="false">IF(COUNTIFS($B$2:$B$5001,B1518,$H$2:$H$5001,H1518,$J$2:$J$5001,J1518)&gt;1,"Possible Duplicate Booking","Unique")</f>
        <v>Unique</v>
      </c>
      <c r="W1518" s="7" t="str">
        <f aca="false">IF((H1518-G1518)&lt;&gt;K1518,"Mismatch","OK")</f>
        <v>OK</v>
      </c>
      <c r="X1518" s="7" t="str">
        <f aca="false">IF(TEXT(H1518,"dddd")&lt;&gt;I1518,"Mismatch","OK")</f>
        <v>OK</v>
      </c>
      <c r="Y1518" s="7" t="str">
        <f aca="false">IF(AND(N1518="No",O1518&lt;&gt;""),"Unexpected: channel present but no reminder sent",IF(AND(N1518="Yes",O1518=""),"Missing channel for sent reminder","OK"))</f>
        <v>OK</v>
      </c>
    </row>
    <row r="1519" customFormat="false" ht="15" hidden="false" customHeight="false" outlineLevel="0" collapsed="false">
      <c r="A1519" s="9" t="s">
        <v>2620</v>
      </c>
      <c r="B1519" s="9" t="s">
        <v>1446</v>
      </c>
      <c r="C1519" s="9" t="s">
        <v>37</v>
      </c>
      <c r="D1519" s="9" t="n">
        <v>33</v>
      </c>
      <c r="E1519" s="9" t="s">
        <v>48</v>
      </c>
      <c r="F1519" s="9" t="s">
        <v>57</v>
      </c>
      <c r="G1519" s="10" t="n">
        <v>45650</v>
      </c>
      <c r="H1519" s="10" t="n">
        <v>45684</v>
      </c>
      <c r="I1519" s="9" t="s">
        <v>66</v>
      </c>
      <c r="J1519" s="9" t="s">
        <v>51</v>
      </c>
      <c r="K1519" s="9" t="n">
        <v>34</v>
      </c>
      <c r="L1519" s="9" t="n">
        <v>2</v>
      </c>
      <c r="M1519" s="9" t="n">
        <v>0</v>
      </c>
      <c r="N1519" s="9" t="s">
        <v>71</v>
      </c>
      <c r="O1519" s="9"/>
      <c r="P1519" s="9" t="n">
        <v>5.3</v>
      </c>
      <c r="Q1519" s="9" t="n">
        <v>22</v>
      </c>
      <c r="R1519" s="9" t="s">
        <v>87</v>
      </c>
      <c r="S1519" s="9"/>
      <c r="T1519" s="9"/>
      <c r="U1519" s="9" t="str">
        <f aca="false">IF(COUNTIF($A$2:$A$5001,A1519)&gt;1,"Duplicate","Unique")</f>
        <v>Unique</v>
      </c>
      <c r="V1519" s="9" t="str">
        <f aca="false">IF(COUNTIFS($B$2:$B$5001,B1519,$H$2:$H$5001,H1519,$J$2:$J$5001,J1519)&gt;1,"Possible Duplicate Booking","Unique")</f>
        <v>Unique</v>
      </c>
      <c r="W1519" s="9" t="str">
        <f aca="false">IF((H1519-G1519)&lt;&gt;K1519,"Mismatch","OK")</f>
        <v>OK</v>
      </c>
      <c r="X1519" s="9" t="str">
        <f aca="false">IF(TEXT(H1519,"dddd")&lt;&gt;I1519,"Mismatch","OK")</f>
        <v>OK</v>
      </c>
      <c r="Y1519" s="9" t="str">
        <f aca="false">IF(AND(N1519="No",O1519&lt;&gt;""),"Unexpected: channel present but no reminder sent",IF(AND(N1519="Yes",O1519=""),"Missing channel for sent reminder","OK"))</f>
        <v>OK</v>
      </c>
    </row>
    <row r="1520" customFormat="false" ht="15" hidden="false" customHeight="false" outlineLevel="0" collapsed="false">
      <c r="A1520" s="7" t="s">
        <v>2621</v>
      </c>
      <c r="B1520" s="7" t="s">
        <v>2622</v>
      </c>
      <c r="C1520" s="7" t="s">
        <v>37</v>
      </c>
      <c r="D1520" s="7" t="n">
        <v>19</v>
      </c>
      <c r="E1520" s="7" t="s">
        <v>82</v>
      </c>
      <c r="F1520" s="7" t="s">
        <v>49</v>
      </c>
      <c r="G1520" s="8" t="n">
        <v>45917</v>
      </c>
      <c r="H1520" s="8" t="n">
        <v>45928</v>
      </c>
      <c r="I1520" s="7" t="s">
        <v>75</v>
      </c>
      <c r="J1520" s="7" t="s">
        <v>51</v>
      </c>
      <c r="K1520" s="7" t="n">
        <v>11</v>
      </c>
      <c r="L1520" s="7" t="n">
        <v>4</v>
      </c>
      <c r="M1520" s="7" t="n">
        <v>0</v>
      </c>
      <c r="N1520" s="7" t="s">
        <v>42</v>
      </c>
      <c r="O1520" s="7" t="s">
        <v>67</v>
      </c>
      <c r="P1520" s="7" t="n">
        <v>2.9</v>
      </c>
      <c r="Q1520" s="7" t="n">
        <v>33</v>
      </c>
      <c r="R1520" s="7" t="s">
        <v>53</v>
      </c>
      <c r="S1520" s="7"/>
      <c r="T1520" s="7"/>
      <c r="U1520" s="7" t="str">
        <f aca="false">IF(COUNTIF($A$2:$A$5001,A1520)&gt;1,"Duplicate","Unique")</f>
        <v>Unique</v>
      </c>
      <c r="V1520" s="7" t="str">
        <f aca="false">IF(COUNTIFS($B$2:$B$5001,B1520,$H$2:$H$5001,H1520,$J$2:$J$5001,J1520)&gt;1,"Possible Duplicate Booking","Unique")</f>
        <v>Unique</v>
      </c>
      <c r="W1520" s="7" t="str">
        <f aca="false">IF((H1520-G1520)&lt;&gt;K1520,"Mismatch","OK")</f>
        <v>OK</v>
      </c>
      <c r="X1520" s="7" t="str">
        <f aca="false">IF(TEXT(H1520,"dddd")&lt;&gt;I1520,"Mismatch","OK")</f>
        <v>OK</v>
      </c>
      <c r="Y1520" s="7" t="str">
        <f aca="false">IF(AND(N1520="No",O1520&lt;&gt;""),"Unexpected: channel present but no reminder sent",IF(AND(N1520="Yes",O1520=""),"Missing channel for sent reminder","OK"))</f>
        <v>OK</v>
      </c>
    </row>
    <row r="1521" customFormat="false" ht="15" hidden="false" customHeight="false" outlineLevel="0" collapsed="false">
      <c r="A1521" s="9" t="s">
        <v>2623</v>
      </c>
      <c r="B1521" s="9" t="s">
        <v>2624</v>
      </c>
      <c r="C1521" s="9" t="s">
        <v>37</v>
      </c>
      <c r="D1521" s="9" t="n">
        <v>21</v>
      </c>
      <c r="E1521" s="9" t="s">
        <v>82</v>
      </c>
      <c r="F1521" s="9" t="s">
        <v>49</v>
      </c>
      <c r="G1521" s="10" t="n">
        <v>45907</v>
      </c>
      <c r="H1521" s="10" t="n">
        <v>45909</v>
      </c>
      <c r="I1521" s="9" t="s">
        <v>40</v>
      </c>
      <c r="J1521" s="9" t="s">
        <v>41</v>
      </c>
      <c r="K1521" s="9" t="n">
        <v>2</v>
      </c>
      <c r="L1521" s="9" t="n">
        <v>2</v>
      </c>
      <c r="M1521" s="9" t="n">
        <v>0</v>
      </c>
      <c r="N1521" s="9" t="s">
        <v>71</v>
      </c>
      <c r="O1521" s="9"/>
      <c r="P1521" s="9" t="n">
        <v>6.2</v>
      </c>
      <c r="Q1521" s="9" t="n">
        <v>38</v>
      </c>
      <c r="R1521" s="9" t="s">
        <v>53</v>
      </c>
      <c r="S1521" s="9"/>
      <c r="T1521" s="9"/>
      <c r="U1521" s="9" t="str">
        <f aca="false">IF(COUNTIF($A$2:$A$5001,A1521)&gt;1,"Duplicate","Unique")</f>
        <v>Unique</v>
      </c>
      <c r="V1521" s="9" t="str">
        <f aca="false">IF(COUNTIFS($B$2:$B$5001,B1521,$H$2:$H$5001,H1521,$J$2:$J$5001,J1521)&gt;1,"Possible Duplicate Booking","Unique")</f>
        <v>Unique</v>
      </c>
      <c r="W1521" s="9" t="str">
        <f aca="false">IF((H1521-G1521)&lt;&gt;K1521,"Mismatch","OK")</f>
        <v>OK</v>
      </c>
      <c r="X1521" s="9" t="str">
        <f aca="false">IF(TEXT(H1521,"dddd")&lt;&gt;I1521,"Mismatch","OK")</f>
        <v>OK</v>
      </c>
      <c r="Y1521" s="9" t="str">
        <f aca="false">IF(AND(N1521="No",O1521&lt;&gt;""),"Unexpected: channel present but no reminder sent",IF(AND(N1521="Yes",O1521=""),"Missing channel for sent reminder","OK"))</f>
        <v>OK</v>
      </c>
    </row>
    <row r="1522" customFormat="false" ht="15" hidden="false" customHeight="false" outlineLevel="0" collapsed="false">
      <c r="A1522" s="7" t="s">
        <v>2625</v>
      </c>
      <c r="B1522" s="7" t="s">
        <v>675</v>
      </c>
      <c r="C1522" s="7" t="s">
        <v>47</v>
      </c>
      <c r="D1522" s="7" t="n">
        <v>60</v>
      </c>
      <c r="E1522" s="7" t="s">
        <v>61</v>
      </c>
      <c r="F1522" s="7" t="s">
        <v>57</v>
      </c>
      <c r="G1522" s="8" t="n">
        <v>46129</v>
      </c>
      <c r="H1522" s="8" t="n">
        <v>46129</v>
      </c>
      <c r="I1522" s="7" t="s">
        <v>50</v>
      </c>
      <c r="J1522" s="7" t="s">
        <v>41</v>
      </c>
      <c r="K1522" s="7" t="n">
        <v>0</v>
      </c>
      <c r="L1522" s="7" t="n">
        <v>4</v>
      </c>
      <c r="M1522" s="7" t="n">
        <v>0</v>
      </c>
      <c r="N1522" s="7" t="s">
        <v>42</v>
      </c>
      <c r="O1522" s="7" t="s">
        <v>67</v>
      </c>
      <c r="P1522" s="7" t="n">
        <v>5.9</v>
      </c>
      <c r="Q1522" s="7" t="n">
        <v>37</v>
      </c>
      <c r="R1522" s="7" t="s">
        <v>53</v>
      </c>
      <c r="S1522" s="7"/>
      <c r="T1522" s="7"/>
      <c r="U1522" s="7" t="str">
        <f aca="false">IF(COUNTIF($A$2:$A$5001,A1522)&gt;1,"Duplicate","Unique")</f>
        <v>Unique</v>
      </c>
      <c r="V1522" s="7" t="str">
        <f aca="false">IF(COUNTIFS($B$2:$B$5001,B1522,$H$2:$H$5001,H1522,$J$2:$J$5001,J1522)&gt;1,"Possible Duplicate Booking","Unique")</f>
        <v>Unique</v>
      </c>
      <c r="W1522" s="7" t="str">
        <f aca="false">IF((H1522-G1522)&lt;&gt;K1522,"Mismatch","OK")</f>
        <v>OK</v>
      </c>
      <c r="X1522" s="7" t="str">
        <f aca="false">IF(TEXT(H1522,"dddd")&lt;&gt;I1522,"Mismatch","OK")</f>
        <v>OK</v>
      </c>
      <c r="Y1522" s="7" t="str">
        <f aca="false">IF(AND(N1522="No",O1522&lt;&gt;""),"Unexpected: channel present but no reminder sent",IF(AND(N1522="Yes",O1522=""),"Missing channel for sent reminder","OK"))</f>
        <v>OK</v>
      </c>
    </row>
    <row r="1523" customFormat="false" ht="15" hidden="false" customHeight="false" outlineLevel="0" collapsed="false">
      <c r="A1523" s="9" t="s">
        <v>2626</v>
      </c>
      <c r="B1523" s="9" t="s">
        <v>2627</v>
      </c>
      <c r="C1523" s="9" t="s">
        <v>37</v>
      </c>
      <c r="D1523" s="9" t="n">
        <v>23</v>
      </c>
      <c r="E1523" s="9" t="s">
        <v>82</v>
      </c>
      <c r="F1523" s="9" t="s">
        <v>74</v>
      </c>
      <c r="G1523" s="10" t="n">
        <v>46042</v>
      </c>
      <c r="H1523" s="10" t="n">
        <v>46046</v>
      </c>
      <c r="I1523" s="9" t="s">
        <v>102</v>
      </c>
      <c r="J1523" s="9" t="s">
        <v>51</v>
      </c>
      <c r="K1523" s="9" t="n">
        <v>4</v>
      </c>
      <c r="L1523" s="9" t="n">
        <v>5</v>
      </c>
      <c r="M1523" s="9" t="n">
        <v>1</v>
      </c>
      <c r="N1523" s="9" t="s">
        <v>42</v>
      </c>
      <c r="O1523" s="9" t="s">
        <v>52</v>
      </c>
      <c r="P1523" s="9" t="n">
        <v>14</v>
      </c>
      <c r="Q1523" s="9" t="n">
        <v>38</v>
      </c>
      <c r="R1523" s="9" t="s">
        <v>53</v>
      </c>
      <c r="S1523" s="9"/>
      <c r="T1523" s="9"/>
      <c r="U1523" s="9" t="str">
        <f aca="false">IF(COUNTIF($A$2:$A$5001,A1523)&gt;1,"Duplicate","Unique")</f>
        <v>Unique</v>
      </c>
      <c r="V1523" s="9" t="str">
        <f aca="false">IF(COUNTIFS($B$2:$B$5001,B1523,$H$2:$H$5001,H1523,$J$2:$J$5001,J1523)&gt;1,"Possible Duplicate Booking","Unique")</f>
        <v>Unique</v>
      </c>
      <c r="W1523" s="9" t="str">
        <f aca="false">IF((H1523-G1523)&lt;&gt;K1523,"Mismatch","OK")</f>
        <v>OK</v>
      </c>
      <c r="X1523" s="9" t="str">
        <f aca="false">IF(TEXT(H1523,"dddd")&lt;&gt;I1523,"Mismatch","OK")</f>
        <v>OK</v>
      </c>
      <c r="Y1523" s="9" t="str">
        <f aca="false">IF(AND(N1523="No",O1523&lt;&gt;""),"Unexpected: channel present but no reminder sent",IF(AND(N1523="Yes",O1523=""),"Missing channel for sent reminder","OK"))</f>
        <v>OK</v>
      </c>
    </row>
    <row r="1524" customFormat="false" ht="15" hidden="false" customHeight="false" outlineLevel="0" collapsed="false">
      <c r="A1524" s="7" t="s">
        <v>2628</v>
      </c>
      <c r="B1524" s="7" t="s">
        <v>445</v>
      </c>
      <c r="C1524" s="7" t="s">
        <v>47</v>
      </c>
      <c r="D1524" s="7" t="n">
        <v>33</v>
      </c>
      <c r="E1524" s="7" t="s">
        <v>48</v>
      </c>
      <c r="F1524" s="7" t="s">
        <v>74</v>
      </c>
      <c r="G1524" s="8" t="n">
        <v>45753</v>
      </c>
      <c r="H1524" s="8" t="n">
        <v>45762</v>
      </c>
      <c r="I1524" s="7" t="s">
        <v>40</v>
      </c>
      <c r="J1524" s="7" t="s">
        <v>41</v>
      </c>
      <c r="K1524" s="7" t="n">
        <v>9</v>
      </c>
      <c r="L1524" s="7" t="n">
        <v>4</v>
      </c>
      <c r="M1524" s="7" t="n">
        <v>1</v>
      </c>
      <c r="N1524" s="7" t="s">
        <v>42</v>
      </c>
      <c r="O1524" s="7" t="s">
        <v>67</v>
      </c>
      <c r="P1524" s="7" t="n">
        <v>10</v>
      </c>
      <c r="Q1524" s="7" t="n">
        <v>11</v>
      </c>
      <c r="R1524" s="7" t="s">
        <v>53</v>
      </c>
      <c r="S1524" s="7"/>
      <c r="T1524" s="7"/>
      <c r="U1524" s="7" t="str">
        <f aca="false">IF(COUNTIF($A$2:$A$5001,A1524)&gt;1,"Duplicate","Unique")</f>
        <v>Unique</v>
      </c>
      <c r="V1524" s="7" t="str">
        <f aca="false">IF(COUNTIFS($B$2:$B$5001,B1524,$H$2:$H$5001,H1524,$J$2:$J$5001,J1524)&gt;1,"Possible Duplicate Booking","Unique")</f>
        <v>Unique</v>
      </c>
      <c r="W1524" s="7" t="str">
        <f aca="false">IF((H1524-G1524)&lt;&gt;K1524,"Mismatch","OK")</f>
        <v>OK</v>
      </c>
      <c r="X1524" s="7" t="str">
        <f aca="false">IF(TEXT(H1524,"dddd")&lt;&gt;I1524,"Mismatch","OK")</f>
        <v>OK</v>
      </c>
      <c r="Y1524" s="7" t="str">
        <f aca="false">IF(AND(N1524="No",O1524&lt;&gt;""),"Unexpected: channel present but no reminder sent",IF(AND(N1524="Yes",O1524=""),"Missing channel for sent reminder","OK"))</f>
        <v>OK</v>
      </c>
    </row>
    <row r="1525" customFormat="false" ht="15" hidden="false" customHeight="false" outlineLevel="0" collapsed="false">
      <c r="A1525" s="9" t="s">
        <v>2629</v>
      </c>
      <c r="B1525" s="9" t="s">
        <v>1765</v>
      </c>
      <c r="C1525" s="9" t="s">
        <v>47</v>
      </c>
      <c r="D1525" s="9" t="n">
        <v>75</v>
      </c>
      <c r="E1525" s="9" t="s">
        <v>70</v>
      </c>
      <c r="F1525" s="9" t="s">
        <v>39</v>
      </c>
      <c r="G1525" s="10" t="n">
        <v>45698</v>
      </c>
      <c r="H1525" s="10" t="n">
        <v>45740</v>
      </c>
      <c r="I1525" s="9" t="s">
        <v>66</v>
      </c>
      <c r="J1525" s="9" t="s">
        <v>51</v>
      </c>
      <c r="K1525" s="9" t="n">
        <v>42</v>
      </c>
      <c r="L1525" s="9" t="n">
        <v>6</v>
      </c>
      <c r="M1525" s="9" t="n">
        <v>1</v>
      </c>
      <c r="N1525" s="9" t="s">
        <v>42</v>
      </c>
      <c r="O1525" s="9" t="s">
        <v>52</v>
      </c>
      <c r="P1525" s="9" t="n">
        <v>11.9</v>
      </c>
      <c r="Q1525" s="9" t="n">
        <v>36</v>
      </c>
      <c r="R1525" s="9" t="s">
        <v>44</v>
      </c>
      <c r="S1525" s="9"/>
      <c r="T1525" s="9"/>
      <c r="U1525" s="9" t="str">
        <f aca="false">IF(COUNTIF($A$2:$A$5001,A1525)&gt;1,"Duplicate","Unique")</f>
        <v>Unique</v>
      </c>
      <c r="V1525" s="9" t="str">
        <f aca="false">IF(COUNTIFS($B$2:$B$5001,B1525,$H$2:$H$5001,H1525,$J$2:$J$5001,J1525)&gt;1,"Possible Duplicate Booking","Unique")</f>
        <v>Unique</v>
      </c>
      <c r="W1525" s="9" t="str">
        <f aca="false">IF((H1525-G1525)&lt;&gt;K1525,"Mismatch","OK")</f>
        <v>OK</v>
      </c>
      <c r="X1525" s="9" t="str">
        <f aca="false">IF(TEXT(H1525,"dddd")&lt;&gt;I1525,"Mismatch","OK")</f>
        <v>OK</v>
      </c>
      <c r="Y1525" s="9" t="str">
        <f aca="false">IF(AND(N1525="No",O1525&lt;&gt;""),"Unexpected: channel present but no reminder sent",IF(AND(N1525="Yes",O1525=""),"Missing channel for sent reminder","OK"))</f>
        <v>OK</v>
      </c>
    </row>
    <row r="1526" customFormat="false" ht="15" hidden="false" customHeight="false" outlineLevel="0" collapsed="false">
      <c r="A1526" s="7" t="s">
        <v>2630</v>
      </c>
      <c r="B1526" s="7" t="s">
        <v>2631</v>
      </c>
      <c r="C1526" s="7" t="s">
        <v>47</v>
      </c>
      <c r="D1526" s="7" t="n">
        <v>39</v>
      </c>
      <c r="E1526" s="7" t="s">
        <v>38</v>
      </c>
      <c r="F1526" s="7" t="s">
        <v>49</v>
      </c>
      <c r="G1526" s="8" t="n">
        <v>45969</v>
      </c>
      <c r="H1526" s="8" t="n">
        <v>45987</v>
      </c>
      <c r="I1526" s="7" t="s">
        <v>58</v>
      </c>
      <c r="J1526" s="7" t="s">
        <v>41</v>
      </c>
      <c r="K1526" s="7" t="n">
        <v>18</v>
      </c>
      <c r="L1526" s="7" t="n">
        <v>3</v>
      </c>
      <c r="M1526" s="7" t="n">
        <v>0</v>
      </c>
      <c r="N1526" s="7" t="s">
        <v>71</v>
      </c>
      <c r="O1526" s="7"/>
      <c r="P1526" s="7" t="n">
        <v>10.7</v>
      </c>
      <c r="Q1526" s="7" t="n">
        <v>21</v>
      </c>
      <c r="R1526" s="7" t="s">
        <v>53</v>
      </c>
      <c r="S1526" s="7"/>
      <c r="T1526" s="7"/>
      <c r="U1526" s="7" t="str">
        <f aca="false">IF(COUNTIF($A$2:$A$5001,A1526)&gt;1,"Duplicate","Unique")</f>
        <v>Unique</v>
      </c>
      <c r="V1526" s="7" t="str">
        <f aca="false">IF(COUNTIFS($B$2:$B$5001,B1526,$H$2:$H$5001,H1526,$J$2:$J$5001,J1526)&gt;1,"Possible Duplicate Booking","Unique")</f>
        <v>Unique</v>
      </c>
      <c r="W1526" s="7" t="str">
        <f aca="false">IF((H1526-G1526)&lt;&gt;K1526,"Mismatch","OK")</f>
        <v>OK</v>
      </c>
      <c r="X1526" s="7" t="str">
        <f aca="false">IF(TEXT(H1526,"dddd")&lt;&gt;I1526,"Mismatch","OK")</f>
        <v>OK</v>
      </c>
      <c r="Y1526" s="7" t="str">
        <f aca="false">IF(AND(N1526="No",O1526&lt;&gt;""),"Unexpected: channel present but no reminder sent",IF(AND(N1526="Yes",O1526=""),"Missing channel for sent reminder","OK"))</f>
        <v>OK</v>
      </c>
    </row>
    <row r="1527" customFormat="false" ht="15" hidden="false" customHeight="false" outlineLevel="0" collapsed="false">
      <c r="A1527" s="9" t="s">
        <v>2632</v>
      </c>
      <c r="B1527" s="9" t="s">
        <v>1726</v>
      </c>
      <c r="C1527" s="9" t="s">
        <v>37</v>
      </c>
      <c r="D1527" s="9" t="n">
        <v>64</v>
      </c>
      <c r="E1527" s="9" t="s">
        <v>61</v>
      </c>
      <c r="F1527" s="9" t="s">
        <v>39</v>
      </c>
      <c r="G1527" s="10" t="n">
        <v>45679</v>
      </c>
      <c r="H1527" s="10" t="n">
        <v>45683</v>
      </c>
      <c r="I1527" s="9" t="s">
        <v>75</v>
      </c>
      <c r="J1527" s="9" t="s">
        <v>51</v>
      </c>
      <c r="K1527" s="9" t="n">
        <v>4</v>
      </c>
      <c r="L1527" s="9" t="n">
        <v>1</v>
      </c>
      <c r="M1527" s="9" t="n">
        <v>0</v>
      </c>
      <c r="N1527" s="9" t="s">
        <v>42</v>
      </c>
      <c r="O1527" s="9" t="s">
        <v>43</v>
      </c>
      <c r="P1527" s="9" t="n">
        <v>10.9</v>
      </c>
      <c r="Q1527" s="9" t="n">
        <v>44</v>
      </c>
      <c r="R1527" s="9" t="s">
        <v>44</v>
      </c>
      <c r="S1527" s="9"/>
      <c r="T1527" s="9"/>
      <c r="U1527" s="9" t="str">
        <f aca="false">IF(COUNTIF($A$2:$A$5001,A1527)&gt;1,"Duplicate","Unique")</f>
        <v>Unique</v>
      </c>
      <c r="V1527" s="9" t="str">
        <f aca="false">IF(COUNTIFS($B$2:$B$5001,B1527,$H$2:$H$5001,H1527,$J$2:$J$5001,J1527)&gt;1,"Possible Duplicate Booking","Unique")</f>
        <v>Unique</v>
      </c>
      <c r="W1527" s="9" t="str">
        <f aca="false">IF((H1527-G1527)&lt;&gt;K1527,"Mismatch","OK")</f>
        <v>OK</v>
      </c>
      <c r="X1527" s="9" t="str">
        <f aca="false">IF(TEXT(H1527,"dddd")&lt;&gt;I1527,"Mismatch","OK")</f>
        <v>OK</v>
      </c>
      <c r="Y1527" s="9" t="str">
        <f aca="false">IF(AND(N1527="No",O1527&lt;&gt;""),"Unexpected: channel present but no reminder sent",IF(AND(N1527="Yes",O1527=""),"Missing channel for sent reminder","OK"))</f>
        <v>OK</v>
      </c>
    </row>
    <row r="1528" customFormat="false" ht="15" hidden="false" customHeight="false" outlineLevel="0" collapsed="false">
      <c r="A1528" s="7" t="s">
        <v>2633</v>
      </c>
      <c r="B1528" s="7" t="s">
        <v>1464</v>
      </c>
      <c r="C1528" s="7" t="s">
        <v>37</v>
      </c>
      <c r="D1528" s="7" t="n">
        <v>39</v>
      </c>
      <c r="E1528" s="7" t="s">
        <v>38</v>
      </c>
      <c r="F1528" s="7" t="s">
        <v>49</v>
      </c>
      <c r="G1528" s="8" t="n">
        <v>45832</v>
      </c>
      <c r="H1528" s="8" t="n">
        <v>45832</v>
      </c>
      <c r="I1528" s="7" t="s">
        <v>40</v>
      </c>
      <c r="J1528" s="7" t="s">
        <v>41</v>
      </c>
      <c r="K1528" s="7" t="n">
        <v>0</v>
      </c>
      <c r="L1528" s="7" t="n">
        <v>3</v>
      </c>
      <c r="M1528" s="7" t="n">
        <v>0</v>
      </c>
      <c r="N1528" s="7" t="s">
        <v>71</v>
      </c>
      <c r="O1528" s="7"/>
      <c r="P1528" s="7" t="n">
        <v>5.5</v>
      </c>
      <c r="Q1528" s="7" t="n">
        <v>16</v>
      </c>
      <c r="R1528" s="7" t="s">
        <v>44</v>
      </c>
      <c r="S1528" s="7"/>
      <c r="T1528" s="7"/>
      <c r="U1528" s="7" t="str">
        <f aca="false">IF(COUNTIF($A$2:$A$5001,A1528)&gt;1,"Duplicate","Unique")</f>
        <v>Unique</v>
      </c>
      <c r="V1528" s="7" t="str">
        <f aca="false">IF(COUNTIFS($B$2:$B$5001,B1528,$H$2:$H$5001,H1528,$J$2:$J$5001,J1528)&gt;1,"Possible Duplicate Booking","Unique")</f>
        <v>Unique</v>
      </c>
      <c r="W1528" s="7" t="str">
        <f aca="false">IF((H1528-G1528)&lt;&gt;K1528,"Mismatch","OK")</f>
        <v>OK</v>
      </c>
      <c r="X1528" s="7" t="str">
        <f aca="false">IF(TEXT(H1528,"dddd")&lt;&gt;I1528,"Mismatch","OK")</f>
        <v>OK</v>
      </c>
      <c r="Y1528" s="7" t="str">
        <f aca="false">IF(AND(N1528="No",O1528&lt;&gt;""),"Unexpected: channel present but no reminder sent",IF(AND(N1528="Yes",O1528=""),"Missing channel for sent reminder","OK"))</f>
        <v>OK</v>
      </c>
    </row>
    <row r="1529" customFormat="false" ht="15" hidden="false" customHeight="false" outlineLevel="0" collapsed="false">
      <c r="A1529" s="9" t="s">
        <v>2634</v>
      </c>
      <c r="B1529" s="9" t="s">
        <v>2635</v>
      </c>
      <c r="C1529" s="9" t="s">
        <v>37</v>
      </c>
      <c r="D1529" s="9" t="n">
        <v>76</v>
      </c>
      <c r="E1529" s="9" t="s">
        <v>70</v>
      </c>
      <c r="F1529" s="9" t="s">
        <v>49</v>
      </c>
      <c r="G1529" s="10" t="n">
        <v>45704</v>
      </c>
      <c r="H1529" s="10" t="n">
        <v>45733</v>
      </c>
      <c r="I1529" s="9" t="s">
        <v>66</v>
      </c>
      <c r="J1529" s="9" t="s">
        <v>41</v>
      </c>
      <c r="K1529" s="9" t="n">
        <v>29</v>
      </c>
      <c r="L1529" s="9" t="n">
        <v>5</v>
      </c>
      <c r="M1529" s="9" t="n">
        <v>1</v>
      </c>
      <c r="N1529" s="9" t="s">
        <v>42</v>
      </c>
      <c r="O1529" s="9" t="s">
        <v>43</v>
      </c>
      <c r="P1529" s="9" t="n">
        <v>10.5</v>
      </c>
      <c r="Q1529" s="9" t="n">
        <v>12</v>
      </c>
      <c r="R1529" s="9" t="s">
        <v>44</v>
      </c>
      <c r="S1529" s="9"/>
      <c r="T1529" s="9"/>
      <c r="U1529" s="9" t="str">
        <f aca="false">IF(COUNTIF($A$2:$A$5001,A1529)&gt;1,"Duplicate","Unique")</f>
        <v>Unique</v>
      </c>
      <c r="V1529" s="9" t="str">
        <f aca="false">IF(COUNTIFS($B$2:$B$5001,B1529,$H$2:$H$5001,H1529,$J$2:$J$5001,J1529)&gt;1,"Possible Duplicate Booking","Unique")</f>
        <v>Unique</v>
      </c>
      <c r="W1529" s="9" t="str">
        <f aca="false">IF((H1529-G1529)&lt;&gt;K1529,"Mismatch","OK")</f>
        <v>OK</v>
      </c>
      <c r="X1529" s="9" t="str">
        <f aca="false">IF(TEXT(H1529,"dddd")&lt;&gt;I1529,"Mismatch","OK")</f>
        <v>OK</v>
      </c>
      <c r="Y1529" s="9" t="str">
        <f aca="false">IF(AND(N1529="No",O1529&lt;&gt;""),"Unexpected: channel present but no reminder sent",IF(AND(N1529="Yes",O1529=""),"Missing channel for sent reminder","OK"))</f>
        <v>OK</v>
      </c>
    </row>
    <row r="1530" customFormat="false" ht="15" hidden="false" customHeight="false" outlineLevel="0" collapsed="false">
      <c r="A1530" s="7" t="s">
        <v>2636</v>
      </c>
      <c r="B1530" s="7" t="s">
        <v>2637</v>
      </c>
      <c r="C1530" s="7" t="s">
        <v>37</v>
      </c>
      <c r="D1530" s="7" t="n">
        <v>69</v>
      </c>
      <c r="E1530" s="7" t="s">
        <v>70</v>
      </c>
      <c r="F1530" s="7" t="s">
        <v>57</v>
      </c>
      <c r="G1530" s="8" t="n">
        <v>45618</v>
      </c>
      <c r="H1530" s="8" t="n">
        <v>45669</v>
      </c>
      <c r="I1530" s="7" t="s">
        <v>75</v>
      </c>
      <c r="J1530" s="7" t="s">
        <v>41</v>
      </c>
      <c r="K1530" s="7" t="n">
        <v>51</v>
      </c>
      <c r="L1530" s="7" t="n">
        <v>5</v>
      </c>
      <c r="M1530" s="7" t="n">
        <v>1</v>
      </c>
      <c r="N1530" s="7" t="s">
        <v>42</v>
      </c>
      <c r="O1530" s="7" t="s">
        <v>43</v>
      </c>
      <c r="P1530" s="7" t="n">
        <v>14.6</v>
      </c>
      <c r="Q1530" s="7" t="n">
        <v>25</v>
      </c>
      <c r="R1530" s="7" t="s">
        <v>44</v>
      </c>
      <c r="S1530" s="7"/>
      <c r="T1530" s="7"/>
      <c r="U1530" s="7" t="str">
        <f aca="false">IF(COUNTIF($A$2:$A$5001,A1530)&gt;1,"Duplicate","Unique")</f>
        <v>Unique</v>
      </c>
      <c r="V1530" s="7" t="str">
        <f aca="false">IF(COUNTIFS($B$2:$B$5001,B1530,$H$2:$H$5001,H1530,$J$2:$J$5001,J1530)&gt;1,"Possible Duplicate Booking","Unique")</f>
        <v>Unique</v>
      </c>
      <c r="W1530" s="7" t="str">
        <f aca="false">IF((H1530-G1530)&lt;&gt;K1530,"Mismatch","OK")</f>
        <v>OK</v>
      </c>
      <c r="X1530" s="7" t="str">
        <f aca="false">IF(TEXT(H1530,"dddd")&lt;&gt;I1530,"Mismatch","OK")</f>
        <v>OK</v>
      </c>
      <c r="Y1530" s="7" t="str">
        <f aca="false">IF(AND(N1530="No",O1530&lt;&gt;""),"Unexpected: channel present but no reminder sent",IF(AND(N1530="Yes",O1530=""),"Missing channel for sent reminder","OK"))</f>
        <v>OK</v>
      </c>
    </row>
    <row r="1531" customFormat="false" ht="15" hidden="false" customHeight="false" outlineLevel="0" collapsed="false">
      <c r="A1531" s="9" t="s">
        <v>2638</v>
      </c>
      <c r="B1531" s="9" t="s">
        <v>2639</v>
      </c>
      <c r="C1531" s="9" t="s">
        <v>47</v>
      </c>
      <c r="D1531" s="9" t="n">
        <v>47</v>
      </c>
      <c r="E1531" s="9" t="s">
        <v>56</v>
      </c>
      <c r="F1531" s="9" t="s">
        <v>57</v>
      </c>
      <c r="G1531" s="10" t="n">
        <v>46139</v>
      </c>
      <c r="H1531" s="10" t="n">
        <v>46159</v>
      </c>
      <c r="I1531" s="9" t="s">
        <v>75</v>
      </c>
      <c r="J1531" s="9" t="s">
        <v>41</v>
      </c>
      <c r="K1531" s="9" t="n">
        <v>20</v>
      </c>
      <c r="L1531" s="9" t="n">
        <v>2</v>
      </c>
      <c r="M1531" s="9" t="n">
        <v>0</v>
      </c>
      <c r="N1531" s="9" t="s">
        <v>42</v>
      </c>
      <c r="O1531" s="9" t="s">
        <v>43</v>
      </c>
      <c r="P1531" s="9" t="n">
        <v>18.4</v>
      </c>
      <c r="Q1531" s="9" t="n">
        <v>32</v>
      </c>
      <c r="R1531" s="9" t="s">
        <v>44</v>
      </c>
      <c r="S1531" s="9"/>
      <c r="T1531" s="9"/>
      <c r="U1531" s="9" t="str">
        <f aca="false">IF(COUNTIF($A$2:$A$5001,A1531)&gt;1,"Duplicate","Unique")</f>
        <v>Unique</v>
      </c>
      <c r="V1531" s="9" t="str">
        <f aca="false">IF(COUNTIFS($B$2:$B$5001,B1531,$H$2:$H$5001,H1531,$J$2:$J$5001,J1531)&gt;1,"Possible Duplicate Booking","Unique")</f>
        <v>Unique</v>
      </c>
      <c r="W1531" s="9" t="str">
        <f aca="false">IF((H1531-G1531)&lt;&gt;K1531,"Mismatch","OK")</f>
        <v>OK</v>
      </c>
      <c r="X1531" s="9" t="str">
        <f aca="false">IF(TEXT(H1531,"dddd")&lt;&gt;I1531,"Mismatch","OK")</f>
        <v>OK</v>
      </c>
      <c r="Y1531" s="9" t="str">
        <f aca="false">IF(AND(N1531="No",O1531&lt;&gt;""),"Unexpected: channel present but no reminder sent",IF(AND(N1531="Yes",O1531=""),"Missing channel for sent reminder","OK"))</f>
        <v>OK</v>
      </c>
    </row>
    <row r="1532" customFormat="false" ht="15" hidden="false" customHeight="false" outlineLevel="0" collapsed="false">
      <c r="A1532" s="7" t="s">
        <v>2640</v>
      </c>
      <c r="B1532" s="7" t="s">
        <v>1268</v>
      </c>
      <c r="C1532" s="7" t="s">
        <v>47</v>
      </c>
      <c r="D1532" s="7" t="n">
        <v>61</v>
      </c>
      <c r="E1532" s="7" t="s">
        <v>61</v>
      </c>
      <c r="F1532" s="7" t="s">
        <v>57</v>
      </c>
      <c r="G1532" s="8" t="n">
        <v>45704</v>
      </c>
      <c r="H1532" s="8" t="n">
        <v>45707</v>
      </c>
      <c r="I1532" s="7" t="s">
        <v>58</v>
      </c>
      <c r="J1532" s="7" t="s">
        <v>51</v>
      </c>
      <c r="K1532" s="7" t="n">
        <v>3</v>
      </c>
      <c r="L1532" s="7" t="n">
        <v>3</v>
      </c>
      <c r="M1532" s="7" t="n">
        <v>1</v>
      </c>
      <c r="N1532" s="7" t="s">
        <v>42</v>
      </c>
      <c r="O1532" s="7" t="s">
        <v>52</v>
      </c>
      <c r="P1532" s="7" t="n">
        <v>16.3</v>
      </c>
      <c r="Q1532" s="7" t="n">
        <v>5</v>
      </c>
      <c r="R1532" s="7" t="s">
        <v>53</v>
      </c>
      <c r="S1532" s="7"/>
      <c r="T1532" s="7"/>
      <c r="U1532" s="7" t="str">
        <f aca="false">IF(COUNTIF($A$2:$A$5001,A1532)&gt;1,"Duplicate","Unique")</f>
        <v>Unique</v>
      </c>
      <c r="V1532" s="7" t="str">
        <f aca="false">IF(COUNTIFS($B$2:$B$5001,B1532,$H$2:$H$5001,H1532,$J$2:$J$5001,J1532)&gt;1,"Possible Duplicate Booking","Unique")</f>
        <v>Unique</v>
      </c>
      <c r="W1532" s="7" t="str">
        <f aca="false">IF((H1532-G1532)&lt;&gt;K1532,"Mismatch","OK")</f>
        <v>OK</v>
      </c>
      <c r="X1532" s="7" t="str">
        <f aca="false">IF(TEXT(H1532,"dddd")&lt;&gt;I1532,"Mismatch","OK")</f>
        <v>OK</v>
      </c>
      <c r="Y1532" s="7" t="str">
        <f aca="false">IF(AND(N1532="No",O1532&lt;&gt;""),"Unexpected: channel present but no reminder sent",IF(AND(N1532="Yes",O1532=""),"Missing channel for sent reminder","OK"))</f>
        <v>OK</v>
      </c>
    </row>
    <row r="1533" customFormat="false" ht="15" hidden="false" customHeight="false" outlineLevel="0" collapsed="false">
      <c r="A1533" s="9" t="s">
        <v>2641</v>
      </c>
      <c r="B1533" s="9" t="s">
        <v>435</v>
      </c>
      <c r="C1533" s="9" t="s">
        <v>47</v>
      </c>
      <c r="D1533" s="9" t="n">
        <v>44</v>
      </c>
      <c r="E1533" s="9" t="s">
        <v>38</v>
      </c>
      <c r="F1533" s="9" t="s">
        <v>74</v>
      </c>
      <c r="G1533" s="10" t="n">
        <v>45650</v>
      </c>
      <c r="H1533" s="10" t="n">
        <v>45663</v>
      </c>
      <c r="I1533" s="9" t="s">
        <v>66</v>
      </c>
      <c r="J1533" s="9" t="s">
        <v>41</v>
      </c>
      <c r="K1533" s="9" t="n">
        <v>13</v>
      </c>
      <c r="L1533" s="9" t="n">
        <v>2</v>
      </c>
      <c r="M1533" s="9" t="n">
        <v>0</v>
      </c>
      <c r="N1533" s="9" t="s">
        <v>42</v>
      </c>
      <c r="O1533" s="9" t="s">
        <v>43</v>
      </c>
      <c r="P1533" s="9" t="n">
        <v>13.1</v>
      </c>
      <c r="Q1533" s="9" t="n">
        <v>20</v>
      </c>
      <c r="R1533" s="9" t="s">
        <v>53</v>
      </c>
      <c r="S1533" s="9"/>
      <c r="T1533" s="9"/>
      <c r="U1533" s="9" t="str">
        <f aca="false">IF(COUNTIF($A$2:$A$5001,A1533)&gt;1,"Duplicate","Unique")</f>
        <v>Unique</v>
      </c>
      <c r="V1533" s="9" t="str">
        <f aca="false">IF(COUNTIFS($B$2:$B$5001,B1533,$H$2:$H$5001,H1533,$J$2:$J$5001,J1533)&gt;1,"Possible Duplicate Booking","Unique")</f>
        <v>Unique</v>
      </c>
      <c r="W1533" s="9" t="str">
        <f aca="false">IF((H1533-G1533)&lt;&gt;K1533,"Mismatch","OK")</f>
        <v>OK</v>
      </c>
      <c r="X1533" s="9" t="str">
        <f aca="false">IF(TEXT(H1533,"dddd")&lt;&gt;I1533,"Mismatch","OK")</f>
        <v>OK</v>
      </c>
      <c r="Y1533" s="9" t="str">
        <f aca="false">IF(AND(N1533="No",O1533&lt;&gt;""),"Unexpected: channel present but no reminder sent",IF(AND(N1533="Yes",O1533=""),"Missing channel for sent reminder","OK"))</f>
        <v>OK</v>
      </c>
    </row>
    <row r="1534" customFormat="false" ht="15" hidden="false" customHeight="false" outlineLevel="0" collapsed="false">
      <c r="A1534" s="7" t="s">
        <v>2642</v>
      </c>
      <c r="B1534" s="7" t="s">
        <v>2643</v>
      </c>
      <c r="C1534" s="7" t="s">
        <v>47</v>
      </c>
      <c r="D1534" s="7" t="n">
        <v>77</v>
      </c>
      <c r="E1534" s="7" t="s">
        <v>70</v>
      </c>
      <c r="F1534" s="7" t="s">
        <v>57</v>
      </c>
      <c r="G1534" s="8" t="n">
        <v>46137</v>
      </c>
      <c r="H1534" s="8" t="n">
        <v>46167</v>
      </c>
      <c r="I1534" s="7" t="s">
        <v>66</v>
      </c>
      <c r="J1534" s="7" t="s">
        <v>51</v>
      </c>
      <c r="K1534" s="7" t="n">
        <v>30</v>
      </c>
      <c r="L1534" s="7" t="n">
        <v>3</v>
      </c>
      <c r="M1534" s="7" t="n">
        <v>1</v>
      </c>
      <c r="N1534" s="7" t="s">
        <v>42</v>
      </c>
      <c r="O1534" s="7" t="s">
        <v>52</v>
      </c>
      <c r="P1534" s="7" t="n">
        <v>9.9</v>
      </c>
      <c r="Q1534" s="7" t="n">
        <v>13</v>
      </c>
      <c r="R1534" s="7" t="s">
        <v>53</v>
      </c>
      <c r="S1534" s="7"/>
      <c r="T1534" s="7"/>
      <c r="U1534" s="7" t="str">
        <f aca="false">IF(COUNTIF($A$2:$A$5001,A1534)&gt;1,"Duplicate","Unique")</f>
        <v>Unique</v>
      </c>
      <c r="V1534" s="7" t="str">
        <f aca="false">IF(COUNTIFS($B$2:$B$5001,B1534,$H$2:$H$5001,H1534,$J$2:$J$5001,J1534)&gt;1,"Possible Duplicate Booking","Unique")</f>
        <v>Unique</v>
      </c>
      <c r="W1534" s="7" t="str">
        <f aca="false">IF((H1534-G1534)&lt;&gt;K1534,"Mismatch","OK")</f>
        <v>OK</v>
      </c>
      <c r="X1534" s="7" t="str">
        <f aca="false">IF(TEXT(H1534,"dddd")&lt;&gt;I1534,"Mismatch","OK")</f>
        <v>OK</v>
      </c>
      <c r="Y1534" s="7" t="str">
        <f aca="false">IF(AND(N1534="No",O1534&lt;&gt;""),"Unexpected: channel present but no reminder sent",IF(AND(N1534="Yes",O1534=""),"Missing channel for sent reminder","OK"))</f>
        <v>OK</v>
      </c>
    </row>
    <row r="1535" customFormat="false" ht="15" hidden="false" customHeight="false" outlineLevel="0" collapsed="false">
      <c r="A1535" s="9" t="s">
        <v>2644</v>
      </c>
      <c r="B1535" s="9" t="s">
        <v>2645</v>
      </c>
      <c r="C1535" s="9" t="s">
        <v>47</v>
      </c>
      <c r="D1535" s="9" t="n">
        <v>40</v>
      </c>
      <c r="E1535" s="9" t="s">
        <v>38</v>
      </c>
      <c r="F1535" s="9" t="s">
        <v>74</v>
      </c>
      <c r="G1535" s="10" t="n">
        <v>45749</v>
      </c>
      <c r="H1535" s="10" t="n">
        <v>45760</v>
      </c>
      <c r="I1535" s="9" t="s">
        <v>75</v>
      </c>
      <c r="J1535" s="9" t="s">
        <v>41</v>
      </c>
      <c r="K1535" s="9" t="n">
        <v>11</v>
      </c>
      <c r="L1535" s="9" t="n">
        <v>6</v>
      </c>
      <c r="M1535" s="9" t="n">
        <v>1</v>
      </c>
      <c r="N1535" s="9" t="s">
        <v>42</v>
      </c>
      <c r="O1535" s="9" t="s">
        <v>52</v>
      </c>
      <c r="P1535" s="9"/>
      <c r="Q1535" s="9" t="n">
        <v>35</v>
      </c>
      <c r="R1535" s="9" t="s">
        <v>87</v>
      </c>
      <c r="S1535" s="9"/>
      <c r="T1535" s="9"/>
      <c r="U1535" s="9" t="str">
        <f aca="false">IF(COUNTIF($A$2:$A$5001,A1535)&gt;1,"Duplicate","Unique")</f>
        <v>Unique</v>
      </c>
      <c r="V1535" s="9" t="str">
        <f aca="false">IF(COUNTIFS($B$2:$B$5001,B1535,$H$2:$H$5001,H1535,$J$2:$J$5001,J1535)&gt;1,"Possible Duplicate Booking","Unique")</f>
        <v>Unique</v>
      </c>
      <c r="W1535" s="9" t="str">
        <f aca="false">IF((H1535-G1535)&lt;&gt;K1535,"Mismatch","OK")</f>
        <v>OK</v>
      </c>
      <c r="X1535" s="9" t="str">
        <f aca="false">IF(TEXT(H1535,"dddd")&lt;&gt;I1535,"Mismatch","OK")</f>
        <v>OK</v>
      </c>
      <c r="Y1535" s="9" t="str">
        <f aca="false">IF(AND(N1535="No",O1535&lt;&gt;""),"Unexpected: channel present but no reminder sent",IF(AND(N1535="Yes",O1535=""),"Missing channel for sent reminder","OK"))</f>
        <v>OK</v>
      </c>
    </row>
    <row r="1536" customFormat="false" ht="15" hidden="false" customHeight="false" outlineLevel="0" collapsed="false">
      <c r="A1536" s="7" t="s">
        <v>2646</v>
      </c>
      <c r="B1536" s="7" t="s">
        <v>1907</v>
      </c>
      <c r="C1536" s="7" t="s">
        <v>236</v>
      </c>
      <c r="D1536" s="7" t="n">
        <v>70</v>
      </c>
      <c r="E1536" s="7" t="s">
        <v>70</v>
      </c>
      <c r="F1536" s="7" t="s">
        <v>39</v>
      </c>
      <c r="G1536" s="8" t="n">
        <v>46044</v>
      </c>
      <c r="H1536" s="8" t="n">
        <v>46103</v>
      </c>
      <c r="I1536" s="7" t="s">
        <v>75</v>
      </c>
      <c r="J1536" s="7" t="s">
        <v>41</v>
      </c>
      <c r="K1536" s="7" t="n">
        <v>59</v>
      </c>
      <c r="L1536" s="7" t="n">
        <v>1</v>
      </c>
      <c r="M1536" s="7" t="n">
        <v>0</v>
      </c>
      <c r="N1536" s="7" t="s">
        <v>71</v>
      </c>
      <c r="O1536" s="7"/>
      <c r="P1536" s="7" t="n">
        <v>10.9</v>
      </c>
      <c r="Q1536" s="7" t="n">
        <v>19</v>
      </c>
      <c r="R1536" s="7" t="s">
        <v>53</v>
      </c>
      <c r="S1536" s="7"/>
      <c r="T1536" s="7"/>
      <c r="U1536" s="7" t="str">
        <f aca="false">IF(COUNTIF($A$2:$A$5001,A1536)&gt;1,"Duplicate","Unique")</f>
        <v>Unique</v>
      </c>
      <c r="V1536" s="7" t="str">
        <f aca="false">IF(COUNTIFS($B$2:$B$5001,B1536,$H$2:$H$5001,H1536,$J$2:$J$5001,J1536)&gt;1,"Possible Duplicate Booking","Unique")</f>
        <v>Unique</v>
      </c>
      <c r="W1536" s="7" t="str">
        <f aca="false">IF((H1536-G1536)&lt;&gt;K1536,"Mismatch","OK")</f>
        <v>OK</v>
      </c>
      <c r="X1536" s="7" t="str">
        <f aca="false">IF(TEXT(H1536,"dddd")&lt;&gt;I1536,"Mismatch","OK")</f>
        <v>OK</v>
      </c>
      <c r="Y1536" s="7" t="str">
        <f aca="false">IF(AND(N1536="No",O1536&lt;&gt;""),"Unexpected: channel present but no reminder sent",IF(AND(N1536="Yes",O1536=""),"Missing channel for sent reminder","OK"))</f>
        <v>OK</v>
      </c>
    </row>
    <row r="1537" customFormat="false" ht="15" hidden="false" customHeight="false" outlineLevel="0" collapsed="false">
      <c r="A1537" s="9" t="s">
        <v>2647</v>
      </c>
      <c r="B1537" s="9" t="s">
        <v>60</v>
      </c>
      <c r="C1537" s="9" t="s">
        <v>47</v>
      </c>
      <c r="D1537" s="9" t="n">
        <v>56</v>
      </c>
      <c r="E1537" s="9" t="s">
        <v>61</v>
      </c>
      <c r="F1537" s="9" t="s">
        <v>57</v>
      </c>
      <c r="G1537" s="10" t="n">
        <v>45629</v>
      </c>
      <c r="H1537" s="10" t="n">
        <v>45675</v>
      </c>
      <c r="I1537" s="9" t="s">
        <v>102</v>
      </c>
      <c r="J1537" s="9" t="s">
        <v>41</v>
      </c>
      <c r="K1537" s="9" t="n">
        <v>46</v>
      </c>
      <c r="L1537" s="9" t="n">
        <v>4</v>
      </c>
      <c r="M1537" s="9" t="n">
        <v>0</v>
      </c>
      <c r="N1537" s="9" t="s">
        <v>42</v>
      </c>
      <c r="O1537" s="9" t="s">
        <v>52</v>
      </c>
      <c r="P1537" s="9" t="n">
        <v>21.4</v>
      </c>
      <c r="Q1537" s="9" t="n">
        <v>37</v>
      </c>
      <c r="R1537" s="9" t="s">
        <v>44</v>
      </c>
      <c r="S1537" s="9"/>
      <c r="T1537" s="9"/>
      <c r="U1537" s="9" t="str">
        <f aca="false">IF(COUNTIF($A$2:$A$5001,A1537)&gt;1,"Duplicate","Unique")</f>
        <v>Unique</v>
      </c>
      <c r="V1537" s="9" t="str">
        <f aca="false">IF(COUNTIFS($B$2:$B$5001,B1537,$H$2:$H$5001,H1537,$J$2:$J$5001,J1537)&gt;1,"Possible Duplicate Booking","Unique")</f>
        <v>Unique</v>
      </c>
      <c r="W1537" s="9" t="str">
        <f aca="false">IF((H1537-G1537)&lt;&gt;K1537,"Mismatch","OK")</f>
        <v>OK</v>
      </c>
      <c r="X1537" s="9" t="str">
        <f aca="false">IF(TEXT(H1537,"dddd")&lt;&gt;I1537,"Mismatch","OK")</f>
        <v>OK</v>
      </c>
      <c r="Y1537" s="9" t="str">
        <f aca="false">IF(AND(N1537="No",O1537&lt;&gt;""),"Unexpected: channel present but no reminder sent",IF(AND(N1537="Yes",O1537=""),"Missing channel for sent reminder","OK"))</f>
        <v>OK</v>
      </c>
    </row>
    <row r="1538" customFormat="false" ht="15" hidden="false" customHeight="false" outlineLevel="0" collapsed="false">
      <c r="A1538" s="7" t="s">
        <v>2648</v>
      </c>
      <c r="B1538" s="7" t="s">
        <v>2649</v>
      </c>
      <c r="C1538" s="7" t="s">
        <v>37</v>
      </c>
      <c r="D1538" s="7" t="n">
        <v>58</v>
      </c>
      <c r="E1538" s="7" t="s">
        <v>61</v>
      </c>
      <c r="F1538" s="7" t="s">
        <v>74</v>
      </c>
      <c r="G1538" s="8" t="n">
        <v>45720</v>
      </c>
      <c r="H1538" s="8" t="n">
        <v>45741</v>
      </c>
      <c r="I1538" s="7" t="s">
        <v>40</v>
      </c>
      <c r="J1538" s="7" t="s">
        <v>63</v>
      </c>
      <c r="K1538" s="7" t="n">
        <v>21</v>
      </c>
      <c r="L1538" s="7" t="n">
        <v>3</v>
      </c>
      <c r="M1538" s="7" t="n">
        <v>1</v>
      </c>
      <c r="N1538" s="7" t="s">
        <v>42</v>
      </c>
      <c r="O1538" s="7" t="s">
        <v>52</v>
      </c>
      <c r="P1538" s="7" t="n">
        <v>7.3</v>
      </c>
      <c r="Q1538" s="7" t="n">
        <v>17</v>
      </c>
      <c r="R1538" s="7" t="s">
        <v>53</v>
      </c>
      <c r="S1538" s="7"/>
      <c r="T1538" s="7"/>
      <c r="U1538" s="7" t="str">
        <f aca="false">IF(COUNTIF($A$2:$A$5001,A1538)&gt;1,"Duplicate","Unique")</f>
        <v>Unique</v>
      </c>
      <c r="V1538" s="7" t="str">
        <f aca="false">IF(COUNTIFS($B$2:$B$5001,B1538,$H$2:$H$5001,H1538,$J$2:$J$5001,J1538)&gt;1,"Possible Duplicate Booking","Unique")</f>
        <v>Unique</v>
      </c>
      <c r="W1538" s="7" t="str">
        <f aca="false">IF((H1538-G1538)&lt;&gt;K1538,"Mismatch","OK")</f>
        <v>OK</v>
      </c>
      <c r="X1538" s="7" t="str">
        <f aca="false">IF(TEXT(H1538,"dddd")&lt;&gt;I1538,"Mismatch","OK")</f>
        <v>OK</v>
      </c>
      <c r="Y1538" s="7" t="str">
        <f aca="false">IF(AND(N1538="No",O1538&lt;&gt;""),"Unexpected: channel present but no reminder sent",IF(AND(N1538="Yes",O1538=""),"Missing channel for sent reminder","OK"))</f>
        <v>OK</v>
      </c>
    </row>
    <row r="1539" customFormat="false" ht="15" hidden="false" customHeight="false" outlineLevel="0" collapsed="false">
      <c r="A1539" s="9" t="s">
        <v>2650</v>
      </c>
      <c r="B1539" s="9" t="s">
        <v>821</v>
      </c>
      <c r="C1539" s="9" t="s">
        <v>37</v>
      </c>
      <c r="D1539" s="9" t="n">
        <v>40</v>
      </c>
      <c r="E1539" s="9" t="s">
        <v>38</v>
      </c>
      <c r="F1539" s="9" t="s">
        <v>39</v>
      </c>
      <c r="G1539" s="10" t="n">
        <v>45660</v>
      </c>
      <c r="H1539" s="10" t="n">
        <v>45718</v>
      </c>
      <c r="I1539" s="9" t="s">
        <v>75</v>
      </c>
      <c r="J1539" s="9" t="s">
        <v>51</v>
      </c>
      <c r="K1539" s="9" t="n">
        <v>58</v>
      </c>
      <c r="L1539" s="9" t="n">
        <v>3</v>
      </c>
      <c r="M1539" s="9" t="n">
        <v>1</v>
      </c>
      <c r="N1539" s="9" t="s">
        <v>42</v>
      </c>
      <c r="O1539" s="9" t="s">
        <v>43</v>
      </c>
      <c r="P1539" s="9" t="n">
        <v>24.4</v>
      </c>
      <c r="Q1539" s="9" t="n">
        <v>28</v>
      </c>
      <c r="R1539" s="9" t="s">
        <v>44</v>
      </c>
      <c r="S1539" s="9"/>
      <c r="T1539" s="9"/>
      <c r="U1539" s="9" t="str">
        <f aca="false">IF(COUNTIF($A$2:$A$5001,A1539)&gt;1,"Duplicate","Unique")</f>
        <v>Unique</v>
      </c>
      <c r="V1539" s="9" t="str">
        <f aca="false">IF(COUNTIFS($B$2:$B$5001,B1539,$H$2:$H$5001,H1539,$J$2:$J$5001,J1539)&gt;1,"Possible Duplicate Booking","Unique")</f>
        <v>Unique</v>
      </c>
      <c r="W1539" s="9" t="str">
        <f aca="false">IF((H1539-G1539)&lt;&gt;K1539,"Mismatch","OK")</f>
        <v>OK</v>
      </c>
      <c r="X1539" s="9" t="str">
        <f aca="false">IF(TEXT(H1539,"dddd")&lt;&gt;I1539,"Mismatch","OK")</f>
        <v>OK</v>
      </c>
      <c r="Y1539" s="9" t="str">
        <f aca="false">IF(AND(N1539="No",O1539&lt;&gt;""),"Unexpected: channel present but no reminder sent",IF(AND(N1539="Yes",O1539=""),"Missing channel for sent reminder","OK"))</f>
        <v>OK</v>
      </c>
    </row>
    <row r="1540" customFormat="false" ht="15" hidden="false" customHeight="false" outlineLevel="0" collapsed="false">
      <c r="A1540" s="7" t="s">
        <v>2651</v>
      </c>
      <c r="B1540" s="7" t="s">
        <v>923</v>
      </c>
      <c r="C1540" s="7" t="s">
        <v>47</v>
      </c>
      <c r="D1540" s="7" t="n">
        <v>70</v>
      </c>
      <c r="E1540" s="7" t="s">
        <v>70</v>
      </c>
      <c r="F1540" s="7" t="s">
        <v>57</v>
      </c>
      <c r="G1540" s="8" t="n">
        <v>46024</v>
      </c>
      <c r="H1540" s="8" t="n">
        <v>46043</v>
      </c>
      <c r="I1540" s="7" t="s">
        <v>58</v>
      </c>
      <c r="J1540" s="7" t="s">
        <v>41</v>
      </c>
      <c r="K1540" s="7" t="n">
        <v>19</v>
      </c>
      <c r="L1540" s="7" t="n">
        <v>0</v>
      </c>
      <c r="M1540" s="7" t="n">
        <v>0</v>
      </c>
      <c r="N1540" s="7" t="s">
        <v>42</v>
      </c>
      <c r="O1540" s="7" t="s">
        <v>52</v>
      </c>
      <c r="P1540" s="7" t="n">
        <v>11.2</v>
      </c>
      <c r="Q1540" s="7" t="n">
        <v>10</v>
      </c>
      <c r="R1540" s="7" t="s">
        <v>53</v>
      </c>
      <c r="S1540" s="7"/>
      <c r="T1540" s="7"/>
      <c r="U1540" s="7" t="str">
        <f aca="false">IF(COUNTIF($A$2:$A$5001,A1540)&gt;1,"Duplicate","Unique")</f>
        <v>Unique</v>
      </c>
      <c r="V1540" s="7" t="str">
        <f aca="false">IF(COUNTIFS($B$2:$B$5001,B1540,$H$2:$H$5001,H1540,$J$2:$J$5001,J1540)&gt;1,"Possible Duplicate Booking","Unique")</f>
        <v>Unique</v>
      </c>
      <c r="W1540" s="7" t="str">
        <f aca="false">IF((H1540-G1540)&lt;&gt;K1540,"Mismatch","OK")</f>
        <v>OK</v>
      </c>
      <c r="X1540" s="7" t="str">
        <f aca="false">IF(TEXT(H1540,"dddd")&lt;&gt;I1540,"Mismatch","OK")</f>
        <v>OK</v>
      </c>
      <c r="Y1540" s="7" t="str">
        <f aca="false">IF(AND(N1540="No",O1540&lt;&gt;""),"Unexpected: channel present but no reminder sent",IF(AND(N1540="Yes",O1540=""),"Missing channel for sent reminder","OK"))</f>
        <v>OK</v>
      </c>
    </row>
    <row r="1541" customFormat="false" ht="15" hidden="false" customHeight="false" outlineLevel="0" collapsed="false">
      <c r="A1541" s="9" t="s">
        <v>2652</v>
      </c>
      <c r="B1541" s="9" t="s">
        <v>2238</v>
      </c>
      <c r="C1541" s="9" t="s">
        <v>47</v>
      </c>
      <c r="D1541" s="9" t="n">
        <v>65</v>
      </c>
      <c r="E1541" s="9" t="s">
        <v>70</v>
      </c>
      <c r="F1541" s="9" t="s">
        <v>57</v>
      </c>
      <c r="G1541" s="10" t="n">
        <v>45988</v>
      </c>
      <c r="H1541" s="10" t="n">
        <v>45996</v>
      </c>
      <c r="I1541" s="9" t="s">
        <v>50</v>
      </c>
      <c r="J1541" s="9" t="s">
        <v>51</v>
      </c>
      <c r="K1541" s="9" t="n">
        <v>8</v>
      </c>
      <c r="L1541" s="9" t="n">
        <v>1</v>
      </c>
      <c r="M1541" s="9" t="n">
        <v>0</v>
      </c>
      <c r="N1541" s="9" t="s">
        <v>42</v>
      </c>
      <c r="O1541" s="9" t="s">
        <v>52</v>
      </c>
      <c r="P1541" s="9" t="n">
        <v>19</v>
      </c>
      <c r="Q1541" s="9" t="n">
        <v>24</v>
      </c>
      <c r="R1541" s="9" t="s">
        <v>53</v>
      </c>
      <c r="S1541" s="9"/>
      <c r="T1541" s="9"/>
      <c r="U1541" s="9" t="str">
        <f aca="false">IF(COUNTIF($A$2:$A$5001,A1541)&gt;1,"Duplicate","Unique")</f>
        <v>Unique</v>
      </c>
      <c r="V1541" s="9" t="str">
        <f aca="false">IF(COUNTIFS($B$2:$B$5001,B1541,$H$2:$H$5001,H1541,$J$2:$J$5001,J1541)&gt;1,"Possible Duplicate Booking","Unique")</f>
        <v>Unique</v>
      </c>
      <c r="W1541" s="9" t="str">
        <f aca="false">IF((H1541-G1541)&lt;&gt;K1541,"Mismatch","OK")</f>
        <v>OK</v>
      </c>
      <c r="X1541" s="9" t="str">
        <f aca="false">IF(TEXT(H1541,"dddd")&lt;&gt;I1541,"Mismatch","OK")</f>
        <v>OK</v>
      </c>
      <c r="Y1541" s="9" t="str">
        <f aca="false">IF(AND(N1541="No",O1541&lt;&gt;""),"Unexpected: channel present but no reminder sent",IF(AND(N1541="Yes",O1541=""),"Missing channel for sent reminder","OK"))</f>
        <v>OK</v>
      </c>
    </row>
    <row r="1542" customFormat="false" ht="15" hidden="false" customHeight="false" outlineLevel="0" collapsed="false">
      <c r="A1542" s="7" t="s">
        <v>2653</v>
      </c>
      <c r="B1542" s="7" t="s">
        <v>150</v>
      </c>
      <c r="C1542" s="7" t="s">
        <v>47</v>
      </c>
      <c r="D1542" s="7" t="n">
        <v>69</v>
      </c>
      <c r="E1542" s="7" t="s">
        <v>70</v>
      </c>
      <c r="F1542" s="7" t="s">
        <v>57</v>
      </c>
      <c r="G1542" s="8" t="n">
        <v>45860</v>
      </c>
      <c r="H1542" s="8" t="n">
        <v>45917</v>
      </c>
      <c r="I1542" s="7" t="s">
        <v>58</v>
      </c>
      <c r="J1542" s="7" t="s">
        <v>41</v>
      </c>
      <c r="K1542" s="7" t="n">
        <v>57</v>
      </c>
      <c r="L1542" s="7" t="n">
        <v>7</v>
      </c>
      <c r="M1542" s="7" t="n">
        <v>2</v>
      </c>
      <c r="N1542" s="7" t="s">
        <v>42</v>
      </c>
      <c r="O1542" s="7" t="s">
        <v>43</v>
      </c>
      <c r="P1542" s="7" t="n">
        <v>5.8</v>
      </c>
      <c r="Q1542" s="7" t="n">
        <v>13</v>
      </c>
      <c r="R1542" s="7" t="s">
        <v>44</v>
      </c>
      <c r="S1542" s="7"/>
      <c r="T1542" s="7"/>
      <c r="U1542" s="7" t="str">
        <f aca="false">IF(COUNTIF($A$2:$A$5001,A1542)&gt;1,"Duplicate","Unique")</f>
        <v>Unique</v>
      </c>
      <c r="V1542" s="7" t="str">
        <f aca="false">IF(COUNTIFS($B$2:$B$5001,B1542,$H$2:$H$5001,H1542,$J$2:$J$5001,J1542)&gt;1,"Possible Duplicate Booking","Unique")</f>
        <v>Unique</v>
      </c>
      <c r="W1542" s="7" t="str">
        <f aca="false">IF((H1542-G1542)&lt;&gt;K1542,"Mismatch","OK")</f>
        <v>OK</v>
      </c>
      <c r="X1542" s="7" t="str">
        <f aca="false">IF(TEXT(H1542,"dddd")&lt;&gt;I1542,"Mismatch","OK")</f>
        <v>OK</v>
      </c>
      <c r="Y1542" s="7" t="str">
        <f aca="false">IF(AND(N1542="No",O1542&lt;&gt;""),"Unexpected: channel present but no reminder sent",IF(AND(N1542="Yes",O1542=""),"Missing channel for sent reminder","OK"))</f>
        <v>OK</v>
      </c>
    </row>
    <row r="1543" customFormat="false" ht="15" hidden="false" customHeight="false" outlineLevel="0" collapsed="false">
      <c r="A1543" s="9" t="s">
        <v>2654</v>
      </c>
      <c r="B1543" s="9" t="s">
        <v>2655</v>
      </c>
      <c r="C1543" s="9" t="s">
        <v>37</v>
      </c>
      <c r="D1543" s="9" t="n">
        <v>68</v>
      </c>
      <c r="E1543" s="9" t="s">
        <v>70</v>
      </c>
      <c r="F1543" s="9" t="s">
        <v>57</v>
      </c>
      <c r="G1543" s="10" t="n">
        <v>45731</v>
      </c>
      <c r="H1543" s="10" t="n">
        <v>45789</v>
      </c>
      <c r="I1543" s="9" t="s">
        <v>66</v>
      </c>
      <c r="J1543" s="9" t="s">
        <v>41</v>
      </c>
      <c r="K1543" s="9" t="n">
        <v>58</v>
      </c>
      <c r="L1543" s="9" t="n">
        <v>4</v>
      </c>
      <c r="M1543" s="9" t="n">
        <v>0</v>
      </c>
      <c r="N1543" s="9" t="s">
        <v>42</v>
      </c>
      <c r="O1543" s="9" t="s">
        <v>52</v>
      </c>
      <c r="P1543" s="9" t="n">
        <v>5.3</v>
      </c>
      <c r="Q1543" s="9" t="n">
        <v>42</v>
      </c>
      <c r="R1543" s="9" t="s">
        <v>53</v>
      </c>
      <c r="S1543" s="9"/>
      <c r="T1543" s="9"/>
      <c r="U1543" s="9" t="str">
        <f aca="false">IF(COUNTIF($A$2:$A$5001,A1543)&gt;1,"Duplicate","Unique")</f>
        <v>Unique</v>
      </c>
      <c r="V1543" s="9" t="str">
        <f aca="false">IF(COUNTIFS($B$2:$B$5001,B1543,$H$2:$H$5001,H1543,$J$2:$J$5001,J1543)&gt;1,"Possible Duplicate Booking","Unique")</f>
        <v>Unique</v>
      </c>
      <c r="W1543" s="9" t="str">
        <f aca="false">IF((H1543-G1543)&lt;&gt;K1543,"Mismatch","OK")</f>
        <v>OK</v>
      </c>
      <c r="X1543" s="9" t="str">
        <f aca="false">IF(TEXT(H1543,"dddd")&lt;&gt;I1543,"Mismatch","OK")</f>
        <v>OK</v>
      </c>
      <c r="Y1543" s="9" t="str">
        <f aca="false">IF(AND(N1543="No",O1543&lt;&gt;""),"Unexpected: channel present but no reminder sent",IF(AND(N1543="Yes",O1543=""),"Missing channel for sent reminder","OK"))</f>
        <v>OK</v>
      </c>
    </row>
    <row r="1544" customFormat="false" ht="15" hidden="false" customHeight="false" outlineLevel="0" collapsed="false">
      <c r="A1544" s="7" t="s">
        <v>2656</v>
      </c>
      <c r="B1544" s="7" t="s">
        <v>486</v>
      </c>
      <c r="C1544" s="7" t="s">
        <v>47</v>
      </c>
      <c r="D1544" s="7" t="n">
        <v>27</v>
      </c>
      <c r="E1544" s="7" t="s">
        <v>48</v>
      </c>
      <c r="F1544" s="7" t="s">
        <v>57</v>
      </c>
      <c r="G1544" s="8" t="n">
        <v>45687</v>
      </c>
      <c r="H1544" s="8" t="n">
        <v>45706</v>
      </c>
      <c r="I1544" s="7" t="s">
        <v>40</v>
      </c>
      <c r="J1544" s="7" t="s">
        <v>41</v>
      </c>
      <c r="K1544" s="7" t="n">
        <v>19</v>
      </c>
      <c r="L1544" s="7" t="n">
        <v>2</v>
      </c>
      <c r="M1544" s="7" t="n">
        <v>0</v>
      </c>
      <c r="N1544" s="7" t="s">
        <v>42</v>
      </c>
      <c r="O1544" s="7" t="s">
        <v>43</v>
      </c>
      <c r="P1544" s="7" t="n">
        <v>3.2</v>
      </c>
      <c r="Q1544" s="7" t="n">
        <v>37</v>
      </c>
      <c r="R1544" s="7" t="s">
        <v>44</v>
      </c>
      <c r="S1544" s="7"/>
      <c r="T1544" s="7"/>
      <c r="U1544" s="7" t="str">
        <f aca="false">IF(COUNTIF($A$2:$A$5001,A1544)&gt;1,"Duplicate","Unique")</f>
        <v>Unique</v>
      </c>
      <c r="V1544" s="7" t="str">
        <f aca="false">IF(COUNTIFS($B$2:$B$5001,B1544,$H$2:$H$5001,H1544,$J$2:$J$5001,J1544)&gt;1,"Possible Duplicate Booking","Unique")</f>
        <v>Unique</v>
      </c>
      <c r="W1544" s="7" t="str">
        <f aca="false">IF((H1544-G1544)&lt;&gt;K1544,"Mismatch","OK")</f>
        <v>OK</v>
      </c>
      <c r="X1544" s="7" t="str">
        <f aca="false">IF(TEXT(H1544,"dddd")&lt;&gt;I1544,"Mismatch","OK")</f>
        <v>OK</v>
      </c>
      <c r="Y1544" s="7" t="str">
        <f aca="false">IF(AND(N1544="No",O1544&lt;&gt;""),"Unexpected: channel present but no reminder sent",IF(AND(N1544="Yes",O1544=""),"Missing channel for sent reminder","OK"))</f>
        <v>OK</v>
      </c>
    </row>
    <row r="1545" customFormat="false" ht="15" hidden="false" customHeight="false" outlineLevel="0" collapsed="false">
      <c r="A1545" s="9" t="s">
        <v>2657</v>
      </c>
      <c r="B1545" s="9" t="s">
        <v>824</v>
      </c>
      <c r="C1545" s="9" t="s">
        <v>37</v>
      </c>
      <c r="D1545" s="9" t="n">
        <v>73</v>
      </c>
      <c r="E1545" s="9" t="s">
        <v>70</v>
      </c>
      <c r="F1545" s="9" t="s">
        <v>39</v>
      </c>
      <c r="G1545" s="10" t="n">
        <v>45932</v>
      </c>
      <c r="H1545" s="10" t="n">
        <v>45968</v>
      </c>
      <c r="I1545" s="9" t="s">
        <v>50</v>
      </c>
      <c r="J1545" s="9" t="s">
        <v>41</v>
      </c>
      <c r="K1545" s="9" t="n">
        <v>36</v>
      </c>
      <c r="L1545" s="9" t="n">
        <v>5</v>
      </c>
      <c r="M1545" s="9" t="n">
        <v>0</v>
      </c>
      <c r="N1545" s="9" t="s">
        <v>42</v>
      </c>
      <c r="O1545" s="9" t="s">
        <v>43</v>
      </c>
      <c r="P1545" s="9" t="n">
        <v>21.2</v>
      </c>
      <c r="Q1545" s="9" t="n">
        <v>27</v>
      </c>
      <c r="R1545" s="9" t="s">
        <v>87</v>
      </c>
      <c r="S1545" s="9"/>
      <c r="T1545" s="9"/>
      <c r="U1545" s="9" t="str">
        <f aca="false">IF(COUNTIF($A$2:$A$5001,A1545)&gt;1,"Duplicate","Unique")</f>
        <v>Unique</v>
      </c>
      <c r="V1545" s="9" t="str">
        <f aca="false">IF(COUNTIFS($B$2:$B$5001,B1545,$H$2:$H$5001,H1545,$J$2:$J$5001,J1545)&gt;1,"Possible Duplicate Booking","Unique")</f>
        <v>Unique</v>
      </c>
      <c r="W1545" s="9" t="str">
        <f aca="false">IF((H1545-G1545)&lt;&gt;K1545,"Mismatch","OK")</f>
        <v>OK</v>
      </c>
      <c r="X1545" s="9" t="str">
        <f aca="false">IF(TEXT(H1545,"dddd")&lt;&gt;I1545,"Mismatch","OK")</f>
        <v>OK</v>
      </c>
      <c r="Y1545" s="9" t="str">
        <f aca="false">IF(AND(N1545="No",O1545&lt;&gt;""),"Unexpected: channel present but no reminder sent",IF(AND(N1545="Yes",O1545=""),"Missing channel for sent reminder","OK"))</f>
        <v>OK</v>
      </c>
    </row>
    <row r="1546" customFormat="false" ht="15" hidden="false" customHeight="false" outlineLevel="0" collapsed="false">
      <c r="A1546" s="7" t="s">
        <v>2658</v>
      </c>
      <c r="B1546" s="7" t="s">
        <v>538</v>
      </c>
      <c r="C1546" s="7" t="s">
        <v>37</v>
      </c>
      <c r="D1546" s="7" t="n">
        <v>71</v>
      </c>
      <c r="E1546" s="7" t="s">
        <v>70</v>
      </c>
      <c r="F1546" s="7" t="s">
        <v>57</v>
      </c>
      <c r="G1546" s="8" t="n">
        <v>45773</v>
      </c>
      <c r="H1546" s="8" t="n">
        <v>45783</v>
      </c>
      <c r="I1546" s="7" t="s">
        <v>40</v>
      </c>
      <c r="J1546" s="7" t="s">
        <v>41</v>
      </c>
      <c r="K1546" s="7" t="n">
        <v>10</v>
      </c>
      <c r="L1546" s="7" t="n">
        <v>4</v>
      </c>
      <c r="M1546" s="7" t="n">
        <v>0</v>
      </c>
      <c r="N1546" s="7" t="s">
        <v>71</v>
      </c>
      <c r="O1546" s="7"/>
      <c r="P1546" s="7" t="n">
        <v>11.2</v>
      </c>
      <c r="Q1546" s="7" t="n">
        <v>36</v>
      </c>
      <c r="R1546" s="7" t="s">
        <v>44</v>
      </c>
      <c r="S1546" s="7"/>
      <c r="T1546" s="7"/>
      <c r="U1546" s="7" t="str">
        <f aca="false">IF(COUNTIF($A$2:$A$5001,A1546)&gt;1,"Duplicate","Unique")</f>
        <v>Unique</v>
      </c>
      <c r="V1546" s="7" t="str">
        <f aca="false">IF(COUNTIFS($B$2:$B$5001,B1546,$H$2:$H$5001,H1546,$J$2:$J$5001,J1546)&gt;1,"Possible Duplicate Booking","Unique")</f>
        <v>Unique</v>
      </c>
      <c r="W1546" s="7" t="str">
        <f aca="false">IF((H1546-G1546)&lt;&gt;K1546,"Mismatch","OK")</f>
        <v>OK</v>
      </c>
      <c r="X1546" s="7" t="str">
        <f aca="false">IF(TEXT(H1546,"dddd")&lt;&gt;I1546,"Mismatch","OK")</f>
        <v>OK</v>
      </c>
      <c r="Y1546" s="7" t="str">
        <f aca="false">IF(AND(N1546="No",O1546&lt;&gt;""),"Unexpected: channel present but no reminder sent",IF(AND(N1546="Yes",O1546=""),"Missing channel for sent reminder","OK"))</f>
        <v>OK</v>
      </c>
    </row>
    <row r="1547" customFormat="false" ht="15" hidden="false" customHeight="false" outlineLevel="0" collapsed="false">
      <c r="A1547" s="9" t="s">
        <v>2659</v>
      </c>
      <c r="B1547" s="9" t="s">
        <v>2660</v>
      </c>
      <c r="C1547" s="9" t="s">
        <v>47</v>
      </c>
      <c r="D1547" s="9" t="n">
        <v>33</v>
      </c>
      <c r="E1547" s="9" t="s">
        <v>48</v>
      </c>
      <c r="F1547" s="9" t="s">
        <v>57</v>
      </c>
      <c r="G1547" s="10" t="n">
        <v>45941</v>
      </c>
      <c r="H1547" s="10" t="n">
        <v>45980</v>
      </c>
      <c r="I1547" s="9" t="s">
        <v>58</v>
      </c>
      <c r="J1547" s="9" t="s">
        <v>51</v>
      </c>
      <c r="K1547" s="9" t="n">
        <v>39</v>
      </c>
      <c r="L1547" s="9" t="n">
        <v>2</v>
      </c>
      <c r="M1547" s="9" t="n">
        <v>1</v>
      </c>
      <c r="N1547" s="9" t="s">
        <v>42</v>
      </c>
      <c r="O1547" s="9" t="s">
        <v>52</v>
      </c>
      <c r="P1547" s="9" t="n">
        <v>14.4</v>
      </c>
      <c r="Q1547" s="9" t="n">
        <v>19</v>
      </c>
      <c r="R1547" s="9" t="s">
        <v>44</v>
      </c>
      <c r="S1547" s="9"/>
      <c r="T1547" s="9"/>
      <c r="U1547" s="9" t="str">
        <f aca="false">IF(COUNTIF($A$2:$A$5001,A1547)&gt;1,"Duplicate","Unique")</f>
        <v>Unique</v>
      </c>
      <c r="V1547" s="9" t="str">
        <f aca="false">IF(COUNTIFS($B$2:$B$5001,B1547,$H$2:$H$5001,H1547,$J$2:$J$5001,J1547)&gt;1,"Possible Duplicate Booking","Unique")</f>
        <v>Unique</v>
      </c>
      <c r="W1547" s="9" t="str">
        <f aca="false">IF((H1547-G1547)&lt;&gt;K1547,"Mismatch","OK")</f>
        <v>OK</v>
      </c>
      <c r="X1547" s="9" t="str">
        <f aca="false">IF(TEXT(H1547,"dddd")&lt;&gt;I1547,"Mismatch","OK")</f>
        <v>OK</v>
      </c>
      <c r="Y1547" s="9" t="str">
        <f aca="false">IF(AND(N1547="No",O1547&lt;&gt;""),"Unexpected: channel present but no reminder sent",IF(AND(N1547="Yes",O1547=""),"Missing channel for sent reminder","OK"))</f>
        <v>OK</v>
      </c>
    </row>
    <row r="1548" customFormat="false" ht="15" hidden="false" customHeight="false" outlineLevel="0" collapsed="false">
      <c r="A1548" s="7" t="s">
        <v>2661</v>
      </c>
      <c r="B1548" s="7" t="s">
        <v>2520</v>
      </c>
      <c r="C1548" s="7" t="s">
        <v>47</v>
      </c>
      <c r="D1548" s="7" t="n">
        <v>79</v>
      </c>
      <c r="E1548" s="7" t="s">
        <v>70</v>
      </c>
      <c r="F1548" s="7" t="s">
        <v>57</v>
      </c>
      <c r="G1548" s="8" t="n">
        <v>45991</v>
      </c>
      <c r="H1548" s="8" t="n">
        <v>46033</v>
      </c>
      <c r="I1548" s="7" t="s">
        <v>75</v>
      </c>
      <c r="J1548" s="7" t="s">
        <v>63</v>
      </c>
      <c r="K1548" s="7" t="n">
        <v>42</v>
      </c>
      <c r="L1548" s="7" t="n">
        <v>2</v>
      </c>
      <c r="M1548" s="7" t="n">
        <v>0</v>
      </c>
      <c r="N1548" s="7" t="s">
        <v>71</v>
      </c>
      <c r="O1548" s="7"/>
      <c r="P1548" s="7" t="n">
        <v>9.4</v>
      </c>
      <c r="Q1548" s="7" t="n">
        <v>32</v>
      </c>
      <c r="R1548" s="7" t="s">
        <v>44</v>
      </c>
      <c r="S1548" s="7"/>
      <c r="T1548" s="7"/>
      <c r="U1548" s="7" t="str">
        <f aca="false">IF(COUNTIF($A$2:$A$5001,A1548)&gt;1,"Duplicate","Unique")</f>
        <v>Unique</v>
      </c>
      <c r="V1548" s="7" t="str">
        <f aca="false">IF(COUNTIFS($B$2:$B$5001,B1548,$H$2:$H$5001,H1548,$J$2:$J$5001,J1548)&gt;1,"Possible Duplicate Booking","Unique")</f>
        <v>Unique</v>
      </c>
      <c r="W1548" s="7" t="str">
        <f aca="false">IF((H1548-G1548)&lt;&gt;K1548,"Mismatch","OK")</f>
        <v>OK</v>
      </c>
      <c r="X1548" s="7" t="str">
        <f aca="false">IF(TEXT(H1548,"dddd")&lt;&gt;I1548,"Mismatch","OK")</f>
        <v>OK</v>
      </c>
      <c r="Y1548" s="7" t="str">
        <f aca="false">IF(AND(N1548="No",O1548&lt;&gt;""),"Unexpected: channel present but no reminder sent",IF(AND(N1548="Yes",O1548=""),"Missing channel for sent reminder","OK"))</f>
        <v>OK</v>
      </c>
    </row>
    <row r="1549" customFormat="false" ht="15" hidden="false" customHeight="false" outlineLevel="0" collapsed="false">
      <c r="A1549" s="9" t="s">
        <v>2662</v>
      </c>
      <c r="B1549" s="9" t="s">
        <v>1111</v>
      </c>
      <c r="C1549" s="9" t="s">
        <v>37</v>
      </c>
      <c r="D1549" s="9" t="n">
        <v>51</v>
      </c>
      <c r="E1549" s="9" t="s">
        <v>56</v>
      </c>
      <c r="F1549" s="9" t="s">
        <v>57</v>
      </c>
      <c r="G1549" s="10" t="n">
        <v>46078</v>
      </c>
      <c r="H1549" s="10" t="n">
        <v>46121</v>
      </c>
      <c r="I1549" s="9" t="s">
        <v>62</v>
      </c>
      <c r="J1549" s="9" t="s">
        <v>63</v>
      </c>
      <c r="K1549" s="9" t="n">
        <v>43</v>
      </c>
      <c r="L1549" s="9" t="n">
        <v>3</v>
      </c>
      <c r="M1549" s="9" t="n">
        <v>0</v>
      </c>
      <c r="N1549" s="9" t="s">
        <v>42</v>
      </c>
      <c r="O1549" s="9" t="s">
        <v>43</v>
      </c>
      <c r="P1549" s="9" t="n">
        <v>10</v>
      </c>
      <c r="Q1549" s="9" t="n">
        <v>24</v>
      </c>
      <c r="R1549" s="9" t="s">
        <v>53</v>
      </c>
      <c r="S1549" s="9"/>
      <c r="T1549" s="9"/>
      <c r="U1549" s="9" t="str">
        <f aca="false">IF(COUNTIF($A$2:$A$5001,A1549)&gt;1,"Duplicate","Unique")</f>
        <v>Unique</v>
      </c>
      <c r="V1549" s="9" t="str">
        <f aca="false">IF(COUNTIFS($B$2:$B$5001,B1549,$H$2:$H$5001,H1549,$J$2:$J$5001,J1549)&gt;1,"Possible Duplicate Booking","Unique")</f>
        <v>Unique</v>
      </c>
      <c r="W1549" s="9" t="str">
        <f aca="false">IF((H1549-G1549)&lt;&gt;K1549,"Mismatch","OK")</f>
        <v>OK</v>
      </c>
      <c r="X1549" s="9" t="str">
        <f aca="false">IF(TEXT(H1549,"dddd")&lt;&gt;I1549,"Mismatch","OK")</f>
        <v>OK</v>
      </c>
      <c r="Y1549" s="9" t="str">
        <f aca="false">IF(AND(N1549="No",O1549&lt;&gt;""),"Unexpected: channel present but no reminder sent",IF(AND(N1549="Yes",O1549=""),"Missing channel for sent reminder","OK"))</f>
        <v>OK</v>
      </c>
    </row>
    <row r="1550" customFormat="false" ht="15" hidden="false" customHeight="false" outlineLevel="0" collapsed="false">
      <c r="A1550" s="7" t="s">
        <v>2663</v>
      </c>
      <c r="B1550" s="7" t="s">
        <v>2162</v>
      </c>
      <c r="C1550" s="7" t="s">
        <v>37</v>
      </c>
      <c r="D1550" s="7" t="n">
        <v>38</v>
      </c>
      <c r="E1550" s="7" t="s">
        <v>38</v>
      </c>
      <c r="F1550" s="7" t="s">
        <v>74</v>
      </c>
      <c r="G1550" s="8" t="n">
        <v>45893</v>
      </c>
      <c r="H1550" s="8" t="n">
        <v>45927</v>
      </c>
      <c r="I1550" s="7" t="s">
        <v>102</v>
      </c>
      <c r="J1550" s="7" t="s">
        <v>51</v>
      </c>
      <c r="K1550" s="7" t="n">
        <v>34</v>
      </c>
      <c r="L1550" s="7" t="n">
        <v>3</v>
      </c>
      <c r="M1550" s="7" t="n">
        <v>0</v>
      </c>
      <c r="N1550" s="7" t="s">
        <v>42</v>
      </c>
      <c r="O1550" s="7" t="s">
        <v>52</v>
      </c>
      <c r="P1550" s="7" t="n">
        <v>2.8</v>
      </c>
      <c r="Q1550" s="7" t="n">
        <v>30</v>
      </c>
      <c r="R1550" s="7" t="s">
        <v>53</v>
      </c>
      <c r="S1550" s="7"/>
      <c r="T1550" s="7"/>
      <c r="U1550" s="7" t="str">
        <f aca="false">IF(COUNTIF($A$2:$A$5001,A1550)&gt;1,"Duplicate","Unique")</f>
        <v>Unique</v>
      </c>
      <c r="V1550" s="7" t="str">
        <f aca="false">IF(COUNTIFS($B$2:$B$5001,B1550,$H$2:$H$5001,H1550,$J$2:$J$5001,J1550)&gt;1,"Possible Duplicate Booking","Unique")</f>
        <v>Unique</v>
      </c>
      <c r="W1550" s="7" t="str">
        <f aca="false">IF((H1550-G1550)&lt;&gt;K1550,"Mismatch","OK")</f>
        <v>OK</v>
      </c>
      <c r="X1550" s="7" t="str">
        <f aca="false">IF(TEXT(H1550,"dddd")&lt;&gt;I1550,"Mismatch","OK")</f>
        <v>OK</v>
      </c>
      <c r="Y1550" s="7" t="str">
        <f aca="false">IF(AND(N1550="No",O1550&lt;&gt;""),"Unexpected: channel present but no reminder sent",IF(AND(N1550="Yes",O1550=""),"Missing channel for sent reminder","OK"))</f>
        <v>OK</v>
      </c>
    </row>
    <row r="1551" customFormat="false" ht="15" hidden="false" customHeight="false" outlineLevel="0" collapsed="false">
      <c r="A1551" s="9" t="s">
        <v>2664</v>
      </c>
      <c r="B1551" s="9" t="s">
        <v>1891</v>
      </c>
      <c r="C1551" s="9" t="s">
        <v>47</v>
      </c>
      <c r="D1551" s="9" t="n">
        <v>32</v>
      </c>
      <c r="E1551" s="9" t="s">
        <v>48</v>
      </c>
      <c r="F1551" s="9" t="s">
        <v>57</v>
      </c>
      <c r="G1551" s="10" t="n">
        <v>45618</v>
      </c>
      <c r="H1551" s="10" t="n">
        <v>45660</v>
      </c>
      <c r="I1551" s="9" t="s">
        <v>50</v>
      </c>
      <c r="J1551" s="9" t="s">
        <v>51</v>
      </c>
      <c r="K1551" s="9" t="n">
        <v>42</v>
      </c>
      <c r="L1551" s="9" t="n">
        <v>2</v>
      </c>
      <c r="M1551" s="9" t="n">
        <v>1</v>
      </c>
      <c r="N1551" s="9" t="s">
        <v>42</v>
      </c>
      <c r="O1551" s="9" t="s">
        <v>52</v>
      </c>
      <c r="P1551" s="9" t="n">
        <v>11.3</v>
      </c>
      <c r="Q1551" s="9" t="n">
        <v>26</v>
      </c>
      <c r="R1551" s="9" t="s">
        <v>53</v>
      </c>
      <c r="S1551" s="9"/>
      <c r="T1551" s="9"/>
      <c r="U1551" s="9" t="str">
        <f aca="false">IF(COUNTIF($A$2:$A$5001,A1551)&gt;1,"Duplicate","Unique")</f>
        <v>Unique</v>
      </c>
      <c r="V1551" s="9" t="str">
        <f aca="false">IF(COUNTIFS($B$2:$B$5001,B1551,$H$2:$H$5001,H1551,$J$2:$J$5001,J1551)&gt;1,"Possible Duplicate Booking","Unique")</f>
        <v>Unique</v>
      </c>
      <c r="W1551" s="9" t="str">
        <f aca="false">IF((H1551-G1551)&lt;&gt;K1551,"Mismatch","OK")</f>
        <v>OK</v>
      </c>
      <c r="X1551" s="9" t="str">
        <f aca="false">IF(TEXT(H1551,"dddd")&lt;&gt;I1551,"Mismatch","OK")</f>
        <v>OK</v>
      </c>
      <c r="Y1551" s="9" t="str">
        <f aca="false">IF(AND(N1551="No",O1551&lt;&gt;""),"Unexpected: channel present but no reminder sent",IF(AND(N1551="Yes",O1551=""),"Missing channel for sent reminder","OK"))</f>
        <v>OK</v>
      </c>
    </row>
    <row r="1552" customFormat="false" ht="15" hidden="false" customHeight="false" outlineLevel="0" collapsed="false">
      <c r="A1552" s="7" t="s">
        <v>2665</v>
      </c>
      <c r="B1552" s="7" t="s">
        <v>2666</v>
      </c>
      <c r="C1552" s="7" t="s">
        <v>37</v>
      </c>
      <c r="D1552" s="7" t="n">
        <v>40</v>
      </c>
      <c r="E1552" s="7" t="s">
        <v>38</v>
      </c>
      <c r="F1552" s="7" t="s">
        <v>57</v>
      </c>
      <c r="G1552" s="8" t="n">
        <v>45778</v>
      </c>
      <c r="H1552" s="8" t="n">
        <v>45811</v>
      </c>
      <c r="I1552" s="7" t="s">
        <v>40</v>
      </c>
      <c r="J1552" s="7" t="s">
        <v>51</v>
      </c>
      <c r="K1552" s="7" t="n">
        <v>33</v>
      </c>
      <c r="L1552" s="7" t="n">
        <v>3</v>
      </c>
      <c r="M1552" s="7" t="n">
        <v>0</v>
      </c>
      <c r="N1552" s="7" t="s">
        <v>71</v>
      </c>
      <c r="O1552" s="7"/>
      <c r="P1552" s="7" t="n">
        <v>15.5</v>
      </c>
      <c r="Q1552" s="7" t="n">
        <v>24</v>
      </c>
      <c r="R1552" s="7" t="s">
        <v>44</v>
      </c>
      <c r="S1552" s="7"/>
      <c r="T1552" s="7"/>
      <c r="U1552" s="7" t="str">
        <f aca="false">IF(COUNTIF($A$2:$A$5001,A1552)&gt;1,"Duplicate","Unique")</f>
        <v>Unique</v>
      </c>
      <c r="V1552" s="7" t="str">
        <f aca="false">IF(COUNTIFS($B$2:$B$5001,B1552,$H$2:$H$5001,H1552,$J$2:$J$5001,J1552)&gt;1,"Possible Duplicate Booking","Unique")</f>
        <v>Unique</v>
      </c>
      <c r="W1552" s="7" t="str">
        <f aca="false">IF((H1552-G1552)&lt;&gt;K1552,"Mismatch","OK")</f>
        <v>OK</v>
      </c>
      <c r="X1552" s="7" t="str">
        <f aca="false">IF(TEXT(H1552,"dddd")&lt;&gt;I1552,"Mismatch","OK")</f>
        <v>OK</v>
      </c>
      <c r="Y1552" s="7" t="str">
        <f aca="false">IF(AND(N1552="No",O1552&lt;&gt;""),"Unexpected: channel present but no reminder sent",IF(AND(N1552="Yes",O1552=""),"Missing channel for sent reminder","OK"))</f>
        <v>OK</v>
      </c>
    </row>
    <row r="1553" customFormat="false" ht="15" hidden="false" customHeight="false" outlineLevel="0" collapsed="false">
      <c r="A1553" s="9" t="s">
        <v>2667</v>
      </c>
      <c r="B1553" s="9" t="s">
        <v>2440</v>
      </c>
      <c r="C1553" s="9" t="s">
        <v>37</v>
      </c>
      <c r="D1553" s="9" t="n">
        <v>20</v>
      </c>
      <c r="E1553" s="9" t="s">
        <v>82</v>
      </c>
      <c r="F1553" s="9" t="s">
        <v>39</v>
      </c>
      <c r="G1553" s="10" t="n">
        <v>46073</v>
      </c>
      <c r="H1553" s="10" t="n">
        <v>46123</v>
      </c>
      <c r="I1553" s="9" t="s">
        <v>102</v>
      </c>
      <c r="J1553" s="9" t="s">
        <v>41</v>
      </c>
      <c r="K1553" s="9" t="n">
        <v>50</v>
      </c>
      <c r="L1553" s="9" t="n">
        <v>4</v>
      </c>
      <c r="M1553" s="9" t="n">
        <v>1</v>
      </c>
      <c r="N1553" s="9" t="s">
        <v>71</v>
      </c>
      <c r="O1553" s="9"/>
      <c r="P1553" s="9" t="n">
        <v>1.4</v>
      </c>
      <c r="Q1553" s="9" t="n">
        <v>5</v>
      </c>
      <c r="R1553" s="9" t="s">
        <v>44</v>
      </c>
      <c r="S1553" s="9"/>
      <c r="T1553" s="9"/>
      <c r="U1553" s="9" t="str">
        <f aca="false">IF(COUNTIF($A$2:$A$5001,A1553)&gt;1,"Duplicate","Unique")</f>
        <v>Unique</v>
      </c>
      <c r="V1553" s="9" t="str">
        <f aca="false">IF(COUNTIFS($B$2:$B$5001,B1553,$H$2:$H$5001,H1553,$J$2:$J$5001,J1553)&gt;1,"Possible Duplicate Booking","Unique")</f>
        <v>Unique</v>
      </c>
      <c r="W1553" s="9" t="str">
        <f aca="false">IF((H1553-G1553)&lt;&gt;K1553,"Mismatch","OK")</f>
        <v>OK</v>
      </c>
      <c r="X1553" s="9" t="str">
        <f aca="false">IF(TEXT(H1553,"dddd")&lt;&gt;I1553,"Mismatch","OK")</f>
        <v>OK</v>
      </c>
      <c r="Y1553" s="9" t="str">
        <f aca="false">IF(AND(N1553="No",O1553&lt;&gt;""),"Unexpected: channel present but no reminder sent",IF(AND(N1553="Yes",O1553=""),"Missing channel for sent reminder","OK"))</f>
        <v>OK</v>
      </c>
    </row>
    <row r="1554" customFormat="false" ht="15" hidden="false" customHeight="false" outlineLevel="0" collapsed="false">
      <c r="A1554" s="7" t="s">
        <v>2668</v>
      </c>
      <c r="B1554" s="7" t="s">
        <v>2669</v>
      </c>
      <c r="C1554" s="7" t="s">
        <v>47</v>
      </c>
      <c r="D1554" s="7" t="n">
        <v>61</v>
      </c>
      <c r="E1554" s="7" t="s">
        <v>61</v>
      </c>
      <c r="F1554" s="7" t="s">
        <v>74</v>
      </c>
      <c r="G1554" s="8" t="n">
        <v>45939</v>
      </c>
      <c r="H1554" s="8" t="n">
        <v>45949</v>
      </c>
      <c r="I1554" s="7" t="s">
        <v>75</v>
      </c>
      <c r="J1554" s="7" t="s">
        <v>63</v>
      </c>
      <c r="K1554" s="7" t="n">
        <v>10</v>
      </c>
      <c r="L1554" s="7" t="n">
        <v>2</v>
      </c>
      <c r="M1554" s="7" t="n">
        <v>0</v>
      </c>
      <c r="N1554" s="7" t="s">
        <v>42</v>
      </c>
      <c r="O1554" s="7" t="s">
        <v>67</v>
      </c>
      <c r="P1554" s="7" t="n">
        <v>6.6</v>
      </c>
      <c r="Q1554" s="7" t="n">
        <v>18</v>
      </c>
      <c r="R1554" s="7" t="s">
        <v>44</v>
      </c>
      <c r="S1554" s="7"/>
      <c r="T1554" s="7"/>
      <c r="U1554" s="7" t="str">
        <f aca="false">IF(COUNTIF($A$2:$A$5001,A1554)&gt;1,"Duplicate","Unique")</f>
        <v>Unique</v>
      </c>
      <c r="V1554" s="7" t="str">
        <f aca="false">IF(COUNTIFS($B$2:$B$5001,B1554,$H$2:$H$5001,H1554,$J$2:$J$5001,J1554)&gt;1,"Possible Duplicate Booking","Unique")</f>
        <v>Unique</v>
      </c>
      <c r="W1554" s="7" t="str">
        <f aca="false">IF((H1554-G1554)&lt;&gt;K1554,"Mismatch","OK")</f>
        <v>OK</v>
      </c>
      <c r="X1554" s="7" t="str">
        <f aca="false">IF(TEXT(H1554,"dddd")&lt;&gt;I1554,"Mismatch","OK")</f>
        <v>OK</v>
      </c>
      <c r="Y1554" s="7" t="str">
        <f aca="false">IF(AND(N1554="No",O1554&lt;&gt;""),"Unexpected: channel present but no reminder sent",IF(AND(N1554="Yes",O1554=""),"Missing channel for sent reminder","OK"))</f>
        <v>OK</v>
      </c>
    </row>
    <row r="1555" customFormat="false" ht="15" hidden="false" customHeight="false" outlineLevel="0" collapsed="false">
      <c r="A1555" s="9" t="s">
        <v>2670</v>
      </c>
      <c r="B1555" s="9" t="s">
        <v>1946</v>
      </c>
      <c r="C1555" s="9" t="s">
        <v>47</v>
      </c>
      <c r="D1555" s="9" t="n">
        <v>62</v>
      </c>
      <c r="E1555" s="9" t="s">
        <v>61</v>
      </c>
      <c r="F1555" s="9" t="s">
        <v>49</v>
      </c>
      <c r="G1555" s="10" t="n">
        <v>45967</v>
      </c>
      <c r="H1555" s="10" t="n">
        <v>45996</v>
      </c>
      <c r="I1555" s="9" t="s">
        <v>50</v>
      </c>
      <c r="J1555" s="9" t="s">
        <v>41</v>
      </c>
      <c r="K1555" s="9" t="n">
        <v>29</v>
      </c>
      <c r="L1555" s="9" t="n">
        <v>4</v>
      </c>
      <c r="M1555" s="9" t="n">
        <v>0</v>
      </c>
      <c r="N1555" s="9" t="s">
        <v>42</v>
      </c>
      <c r="O1555" s="9" t="s">
        <v>52</v>
      </c>
      <c r="P1555" s="9" t="n">
        <v>4.9</v>
      </c>
      <c r="Q1555" s="9" t="n">
        <v>45</v>
      </c>
      <c r="R1555" s="9" t="s">
        <v>53</v>
      </c>
      <c r="S1555" s="9"/>
      <c r="T1555" s="9"/>
      <c r="U1555" s="9" t="str">
        <f aca="false">IF(COUNTIF($A$2:$A$5001,A1555)&gt;1,"Duplicate","Unique")</f>
        <v>Unique</v>
      </c>
      <c r="V1555" s="9" t="str">
        <f aca="false">IF(COUNTIFS($B$2:$B$5001,B1555,$H$2:$H$5001,H1555,$J$2:$J$5001,J1555)&gt;1,"Possible Duplicate Booking","Unique")</f>
        <v>Unique</v>
      </c>
      <c r="W1555" s="9" t="str">
        <f aca="false">IF((H1555-G1555)&lt;&gt;K1555,"Mismatch","OK")</f>
        <v>OK</v>
      </c>
      <c r="X1555" s="9" t="str">
        <f aca="false">IF(TEXT(H1555,"dddd")&lt;&gt;I1555,"Mismatch","OK")</f>
        <v>OK</v>
      </c>
      <c r="Y1555" s="9" t="str">
        <f aca="false">IF(AND(N1555="No",O1555&lt;&gt;""),"Unexpected: channel present but no reminder sent",IF(AND(N1555="Yes",O1555=""),"Missing channel for sent reminder","OK"))</f>
        <v>OK</v>
      </c>
    </row>
    <row r="1556" customFormat="false" ht="15" hidden="false" customHeight="false" outlineLevel="0" collapsed="false">
      <c r="A1556" s="7" t="s">
        <v>2671</v>
      </c>
      <c r="B1556" s="7" t="s">
        <v>2476</v>
      </c>
      <c r="C1556" s="7" t="s">
        <v>37</v>
      </c>
      <c r="D1556" s="7" t="n">
        <v>60</v>
      </c>
      <c r="E1556" s="7" t="s">
        <v>61</v>
      </c>
      <c r="F1556" s="7" t="s">
        <v>49</v>
      </c>
      <c r="G1556" s="8" t="n">
        <v>45882</v>
      </c>
      <c r="H1556" s="8" t="n">
        <v>45907</v>
      </c>
      <c r="I1556" s="7" t="s">
        <v>75</v>
      </c>
      <c r="J1556" s="7" t="s">
        <v>51</v>
      </c>
      <c r="K1556" s="7" t="n">
        <v>25</v>
      </c>
      <c r="L1556" s="7" t="n">
        <v>4</v>
      </c>
      <c r="M1556" s="7" t="n">
        <v>0</v>
      </c>
      <c r="N1556" s="7" t="s">
        <v>42</v>
      </c>
      <c r="O1556" s="7" t="s">
        <v>43</v>
      </c>
      <c r="P1556" s="7" t="n">
        <v>12.9</v>
      </c>
      <c r="Q1556" s="7" t="n">
        <v>24</v>
      </c>
      <c r="R1556" s="7" t="s">
        <v>53</v>
      </c>
      <c r="S1556" s="7"/>
      <c r="T1556" s="7"/>
      <c r="U1556" s="7" t="str">
        <f aca="false">IF(COUNTIF($A$2:$A$5001,A1556)&gt;1,"Duplicate","Unique")</f>
        <v>Unique</v>
      </c>
      <c r="V1556" s="7" t="str">
        <f aca="false">IF(COUNTIFS($B$2:$B$5001,B1556,$H$2:$H$5001,H1556,$J$2:$J$5001,J1556)&gt;1,"Possible Duplicate Booking","Unique")</f>
        <v>Unique</v>
      </c>
      <c r="W1556" s="7" t="str">
        <f aca="false">IF((H1556-G1556)&lt;&gt;K1556,"Mismatch","OK")</f>
        <v>OK</v>
      </c>
      <c r="X1556" s="7" t="str">
        <f aca="false">IF(TEXT(H1556,"dddd")&lt;&gt;I1556,"Mismatch","OK")</f>
        <v>OK</v>
      </c>
      <c r="Y1556" s="7" t="str">
        <f aca="false">IF(AND(N1556="No",O1556&lt;&gt;""),"Unexpected: channel present but no reminder sent",IF(AND(N1556="Yes",O1556=""),"Missing channel for sent reminder","OK"))</f>
        <v>OK</v>
      </c>
    </row>
    <row r="1557" customFormat="false" ht="15" hidden="false" customHeight="false" outlineLevel="0" collapsed="false">
      <c r="A1557" s="9" t="s">
        <v>2672</v>
      </c>
      <c r="B1557" s="9" t="s">
        <v>1554</v>
      </c>
      <c r="C1557" s="9" t="s">
        <v>47</v>
      </c>
      <c r="D1557" s="9" t="n">
        <v>52</v>
      </c>
      <c r="E1557" s="9" t="s">
        <v>56</v>
      </c>
      <c r="F1557" s="9" t="s">
        <v>74</v>
      </c>
      <c r="G1557" s="10" t="n">
        <v>45714</v>
      </c>
      <c r="H1557" s="10" t="n">
        <v>45746</v>
      </c>
      <c r="I1557" s="9" t="s">
        <v>75</v>
      </c>
      <c r="J1557" s="9" t="s">
        <v>51</v>
      </c>
      <c r="K1557" s="9" t="n">
        <v>32</v>
      </c>
      <c r="L1557" s="9" t="n">
        <v>3</v>
      </c>
      <c r="M1557" s="9" t="n">
        <v>0</v>
      </c>
      <c r="N1557" s="9" t="s">
        <v>42</v>
      </c>
      <c r="O1557" s="9" t="s">
        <v>43</v>
      </c>
      <c r="P1557" s="9" t="n">
        <v>12.5</v>
      </c>
      <c r="Q1557" s="9" t="n">
        <v>17</v>
      </c>
      <c r="R1557" s="9" t="s">
        <v>87</v>
      </c>
      <c r="S1557" s="9"/>
      <c r="T1557" s="9"/>
      <c r="U1557" s="9" t="str">
        <f aca="false">IF(COUNTIF($A$2:$A$5001,A1557)&gt;1,"Duplicate","Unique")</f>
        <v>Unique</v>
      </c>
      <c r="V1557" s="9" t="str">
        <f aca="false">IF(COUNTIFS($B$2:$B$5001,B1557,$H$2:$H$5001,H1557,$J$2:$J$5001,J1557)&gt;1,"Possible Duplicate Booking","Unique")</f>
        <v>Unique</v>
      </c>
      <c r="W1557" s="9" t="str">
        <f aca="false">IF((H1557-G1557)&lt;&gt;K1557,"Mismatch","OK")</f>
        <v>OK</v>
      </c>
      <c r="X1557" s="9" t="str">
        <f aca="false">IF(TEXT(H1557,"dddd")&lt;&gt;I1557,"Mismatch","OK")</f>
        <v>OK</v>
      </c>
      <c r="Y1557" s="9" t="str">
        <f aca="false">IF(AND(N1557="No",O1557&lt;&gt;""),"Unexpected: channel present but no reminder sent",IF(AND(N1557="Yes",O1557=""),"Missing channel for sent reminder","OK"))</f>
        <v>OK</v>
      </c>
    </row>
    <row r="1558" customFormat="false" ht="15" hidden="false" customHeight="false" outlineLevel="0" collapsed="false">
      <c r="A1558" s="7" t="s">
        <v>2673</v>
      </c>
      <c r="B1558" s="7" t="s">
        <v>1026</v>
      </c>
      <c r="C1558" s="7" t="s">
        <v>47</v>
      </c>
      <c r="D1558" s="7" t="n">
        <v>40</v>
      </c>
      <c r="E1558" s="7" t="s">
        <v>38</v>
      </c>
      <c r="F1558" s="7" t="s">
        <v>39</v>
      </c>
      <c r="G1558" s="8" t="n">
        <v>46139</v>
      </c>
      <c r="H1558" s="8" t="n">
        <v>46147</v>
      </c>
      <c r="I1558" s="7" t="s">
        <v>40</v>
      </c>
      <c r="J1558" s="7" t="s">
        <v>41</v>
      </c>
      <c r="K1558" s="7" t="n">
        <v>8</v>
      </c>
      <c r="L1558" s="7" t="n">
        <v>0</v>
      </c>
      <c r="M1558" s="7" t="n">
        <v>0</v>
      </c>
      <c r="N1558" s="7" t="s">
        <v>42</v>
      </c>
      <c r="O1558" s="7" t="s">
        <v>52</v>
      </c>
      <c r="P1558" s="7" t="n">
        <v>14.4</v>
      </c>
      <c r="Q1558" s="7"/>
      <c r="R1558" s="7" t="s">
        <v>53</v>
      </c>
      <c r="S1558" s="7"/>
      <c r="T1558" s="7"/>
      <c r="U1558" s="7" t="str">
        <f aca="false">IF(COUNTIF($A$2:$A$5001,A1558)&gt;1,"Duplicate","Unique")</f>
        <v>Unique</v>
      </c>
      <c r="V1558" s="7" t="str">
        <f aca="false">IF(COUNTIFS($B$2:$B$5001,B1558,$H$2:$H$5001,H1558,$J$2:$J$5001,J1558)&gt;1,"Possible Duplicate Booking","Unique")</f>
        <v>Unique</v>
      </c>
      <c r="W1558" s="7" t="str">
        <f aca="false">IF((H1558-G1558)&lt;&gt;K1558,"Mismatch","OK")</f>
        <v>OK</v>
      </c>
      <c r="X1558" s="7" t="str">
        <f aca="false">IF(TEXT(H1558,"dddd")&lt;&gt;I1558,"Mismatch","OK")</f>
        <v>OK</v>
      </c>
      <c r="Y1558" s="7" t="str">
        <f aca="false">IF(AND(N1558="No",O1558&lt;&gt;""),"Unexpected: channel present but no reminder sent",IF(AND(N1558="Yes",O1558=""),"Missing channel for sent reminder","OK"))</f>
        <v>OK</v>
      </c>
    </row>
    <row r="1559" customFormat="false" ht="15" hidden="false" customHeight="false" outlineLevel="0" collapsed="false">
      <c r="A1559" s="9" t="s">
        <v>2674</v>
      </c>
      <c r="B1559" s="9" t="s">
        <v>2675</v>
      </c>
      <c r="C1559" s="9" t="s">
        <v>37</v>
      </c>
      <c r="D1559" s="9" t="n">
        <v>63</v>
      </c>
      <c r="E1559" s="9" t="s">
        <v>61</v>
      </c>
      <c r="F1559" s="9" t="s">
        <v>74</v>
      </c>
      <c r="G1559" s="10" t="n">
        <v>46061</v>
      </c>
      <c r="H1559" s="10" t="n">
        <v>46080</v>
      </c>
      <c r="I1559" s="9" t="s">
        <v>50</v>
      </c>
      <c r="J1559" s="9" t="s">
        <v>51</v>
      </c>
      <c r="K1559" s="9" t="n">
        <v>19</v>
      </c>
      <c r="L1559" s="9" t="n">
        <v>3</v>
      </c>
      <c r="M1559" s="9" t="n">
        <v>1</v>
      </c>
      <c r="N1559" s="9" t="s">
        <v>42</v>
      </c>
      <c r="O1559" s="9" t="s">
        <v>43</v>
      </c>
      <c r="P1559" s="9" t="n">
        <v>0.5</v>
      </c>
      <c r="Q1559" s="9" t="n">
        <v>8</v>
      </c>
      <c r="R1559" s="9" t="s">
        <v>53</v>
      </c>
      <c r="S1559" s="9"/>
      <c r="T1559" s="9"/>
      <c r="U1559" s="9" t="str">
        <f aca="false">IF(COUNTIF($A$2:$A$5001,A1559)&gt;1,"Duplicate","Unique")</f>
        <v>Unique</v>
      </c>
      <c r="V1559" s="9" t="str">
        <f aca="false">IF(COUNTIFS($B$2:$B$5001,B1559,$H$2:$H$5001,H1559,$J$2:$J$5001,J1559)&gt;1,"Possible Duplicate Booking","Unique")</f>
        <v>Unique</v>
      </c>
      <c r="W1559" s="9" t="str">
        <f aca="false">IF((H1559-G1559)&lt;&gt;K1559,"Mismatch","OK")</f>
        <v>OK</v>
      </c>
      <c r="X1559" s="9" t="str">
        <f aca="false">IF(TEXT(H1559,"dddd")&lt;&gt;I1559,"Mismatch","OK")</f>
        <v>OK</v>
      </c>
      <c r="Y1559" s="9" t="str">
        <f aca="false">IF(AND(N1559="No",O1559&lt;&gt;""),"Unexpected: channel present but no reminder sent",IF(AND(N1559="Yes",O1559=""),"Missing channel for sent reminder","OK"))</f>
        <v>OK</v>
      </c>
    </row>
    <row r="1560" customFormat="false" ht="15" hidden="false" customHeight="false" outlineLevel="0" collapsed="false">
      <c r="A1560" s="7" t="s">
        <v>2676</v>
      </c>
      <c r="B1560" s="7" t="s">
        <v>2495</v>
      </c>
      <c r="C1560" s="7" t="s">
        <v>37</v>
      </c>
      <c r="D1560" s="7" t="n">
        <v>72</v>
      </c>
      <c r="E1560" s="7" t="s">
        <v>70</v>
      </c>
      <c r="F1560" s="7" t="s">
        <v>57</v>
      </c>
      <c r="G1560" s="8" t="n">
        <v>46143</v>
      </c>
      <c r="H1560" s="8" t="n">
        <v>46201</v>
      </c>
      <c r="I1560" s="7" t="s">
        <v>75</v>
      </c>
      <c r="J1560" s="7" t="s">
        <v>51</v>
      </c>
      <c r="K1560" s="7" t="n">
        <v>58</v>
      </c>
      <c r="L1560" s="7" t="n">
        <v>1</v>
      </c>
      <c r="M1560" s="7" t="n">
        <v>0</v>
      </c>
      <c r="N1560" s="7" t="s">
        <v>42</v>
      </c>
      <c r="O1560" s="7" t="s">
        <v>52</v>
      </c>
      <c r="P1560" s="7" t="n">
        <v>9.5</v>
      </c>
      <c r="Q1560" s="7" t="n">
        <v>20</v>
      </c>
      <c r="R1560" s="7" t="s">
        <v>53</v>
      </c>
      <c r="S1560" s="7"/>
      <c r="T1560" s="7"/>
      <c r="U1560" s="7" t="str">
        <f aca="false">IF(COUNTIF($A$2:$A$5001,A1560)&gt;1,"Duplicate","Unique")</f>
        <v>Unique</v>
      </c>
      <c r="V1560" s="7" t="str">
        <f aca="false">IF(COUNTIFS($B$2:$B$5001,B1560,$H$2:$H$5001,H1560,$J$2:$J$5001,J1560)&gt;1,"Possible Duplicate Booking","Unique")</f>
        <v>Unique</v>
      </c>
      <c r="W1560" s="7" t="str">
        <f aca="false">IF((H1560-G1560)&lt;&gt;K1560,"Mismatch","OK")</f>
        <v>OK</v>
      </c>
      <c r="X1560" s="7" t="str">
        <f aca="false">IF(TEXT(H1560,"dddd")&lt;&gt;I1560,"Mismatch","OK")</f>
        <v>OK</v>
      </c>
      <c r="Y1560" s="7" t="str">
        <f aca="false">IF(AND(N1560="No",O1560&lt;&gt;""),"Unexpected: channel present but no reminder sent",IF(AND(N1560="Yes",O1560=""),"Missing channel for sent reminder","OK"))</f>
        <v>OK</v>
      </c>
    </row>
    <row r="1561" customFormat="false" ht="15" hidden="false" customHeight="false" outlineLevel="0" collapsed="false">
      <c r="A1561" s="9" t="s">
        <v>2677</v>
      </c>
      <c r="B1561" s="9" t="s">
        <v>1012</v>
      </c>
      <c r="C1561" s="9" t="s">
        <v>37</v>
      </c>
      <c r="D1561" s="9" t="n">
        <v>23</v>
      </c>
      <c r="E1561" s="9" t="s">
        <v>82</v>
      </c>
      <c r="F1561" s="9" t="s">
        <v>49</v>
      </c>
      <c r="G1561" s="10" t="n">
        <v>46119</v>
      </c>
      <c r="H1561" s="10" t="n">
        <v>46125</v>
      </c>
      <c r="I1561" s="9" t="s">
        <v>66</v>
      </c>
      <c r="J1561" s="9" t="s">
        <v>51</v>
      </c>
      <c r="K1561" s="9" t="n">
        <v>6</v>
      </c>
      <c r="L1561" s="9" t="n">
        <v>3</v>
      </c>
      <c r="M1561" s="9" t="n">
        <v>1</v>
      </c>
      <c r="N1561" s="9" t="s">
        <v>42</v>
      </c>
      <c r="O1561" s="9" t="s">
        <v>52</v>
      </c>
      <c r="P1561" s="9" t="n">
        <v>1.8</v>
      </c>
      <c r="Q1561" s="9" t="n">
        <v>27</v>
      </c>
      <c r="R1561" s="9" t="s">
        <v>53</v>
      </c>
      <c r="S1561" s="9"/>
      <c r="T1561" s="9"/>
      <c r="U1561" s="9" t="str">
        <f aca="false">IF(COUNTIF($A$2:$A$5001,A1561)&gt;1,"Duplicate","Unique")</f>
        <v>Unique</v>
      </c>
      <c r="V1561" s="9" t="str">
        <f aca="false">IF(COUNTIFS($B$2:$B$5001,B1561,$H$2:$H$5001,H1561,$J$2:$J$5001,J1561)&gt;1,"Possible Duplicate Booking","Unique")</f>
        <v>Unique</v>
      </c>
      <c r="W1561" s="9" t="str">
        <f aca="false">IF((H1561-G1561)&lt;&gt;K1561,"Mismatch","OK")</f>
        <v>OK</v>
      </c>
      <c r="X1561" s="9" t="str">
        <f aca="false">IF(TEXT(H1561,"dddd")&lt;&gt;I1561,"Mismatch","OK")</f>
        <v>OK</v>
      </c>
      <c r="Y1561" s="9" t="str">
        <f aca="false">IF(AND(N1561="No",O1561&lt;&gt;""),"Unexpected: channel present but no reminder sent",IF(AND(N1561="Yes",O1561=""),"Missing channel for sent reminder","OK"))</f>
        <v>OK</v>
      </c>
    </row>
    <row r="1562" customFormat="false" ht="15" hidden="false" customHeight="false" outlineLevel="0" collapsed="false">
      <c r="A1562" s="7" t="s">
        <v>2678</v>
      </c>
      <c r="B1562" s="7" t="s">
        <v>2679</v>
      </c>
      <c r="C1562" s="7" t="s">
        <v>37</v>
      </c>
      <c r="D1562" s="7" t="n">
        <v>42</v>
      </c>
      <c r="E1562" s="7" t="s">
        <v>38</v>
      </c>
      <c r="F1562" s="7" t="s">
        <v>49</v>
      </c>
      <c r="G1562" s="8" t="n">
        <v>45778</v>
      </c>
      <c r="H1562" s="8" t="n">
        <v>45816</v>
      </c>
      <c r="I1562" s="7" t="s">
        <v>75</v>
      </c>
      <c r="J1562" s="7" t="s">
        <v>51</v>
      </c>
      <c r="K1562" s="7" t="n">
        <v>38</v>
      </c>
      <c r="L1562" s="7" t="n">
        <v>3</v>
      </c>
      <c r="M1562" s="7" t="n">
        <v>1</v>
      </c>
      <c r="N1562" s="7" t="s">
        <v>71</v>
      </c>
      <c r="O1562" s="7"/>
      <c r="P1562" s="7" t="n">
        <v>10.9</v>
      </c>
      <c r="Q1562" s="7" t="n">
        <v>30</v>
      </c>
      <c r="R1562" s="7" t="s">
        <v>44</v>
      </c>
      <c r="S1562" s="7"/>
      <c r="T1562" s="7"/>
      <c r="U1562" s="7" t="str">
        <f aca="false">IF(COUNTIF($A$2:$A$5001,A1562)&gt;1,"Duplicate","Unique")</f>
        <v>Unique</v>
      </c>
      <c r="V1562" s="7" t="str">
        <f aca="false">IF(COUNTIFS($B$2:$B$5001,B1562,$H$2:$H$5001,H1562,$J$2:$J$5001,J1562)&gt;1,"Possible Duplicate Booking","Unique")</f>
        <v>Unique</v>
      </c>
      <c r="W1562" s="7" t="str">
        <f aca="false">IF((H1562-G1562)&lt;&gt;K1562,"Mismatch","OK")</f>
        <v>OK</v>
      </c>
      <c r="X1562" s="7" t="str">
        <f aca="false">IF(TEXT(H1562,"dddd")&lt;&gt;I1562,"Mismatch","OK")</f>
        <v>OK</v>
      </c>
      <c r="Y1562" s="7" t="str">
        <f aca="false">IF(AND(N1562="No",O1562&lt;&gt;""),"Unexpected: channel present but no reminder sent",IF(AND(N1562="Yes",O1562=""),"Missing channel for sent reminder","OK"))</f>
        <v>OK</v>
      </c>
    </row>
    <row r="1563" customFormat="false" ht="15" hidden="false" customHeight="false" outlineLevel="0" collapsed="false">
      <c r="A1563" s="9" t="s">
        <v>2680</v>
      </c>
      <c r="B1563" s="9" t="s">
        <v>946</v>
      </c>
      <c r="C1563" s="9" t="s">
        <v>47</v>
      </c>
      <c r="D1563" s="9" t="n">
        <v>80</v>
      </c>
      <c r="E1563" s="9" t="s">
        <v>70</v>
      </c>
      <c r="F1563" s="9" t="s">
        <v>74</v>
      </c>
      <c r="G1563" s="10" t="n">
        <v>45756</v>
      </c>
      <c r="H1563" s="10" t="n">
        <v>45796</v>
      </c>
      <c r="I1563" s="9" t="s">
        <v>66</v>
      </c>
      <c r="J1563" s="9" t="s">
        <v>51</v>
      </c>
      <c r="K1563" s="9" t="n">
        <v>40</v>
      </c>
      <c r="L1563" s="9" t="n">
        <v>0</v>
      </c>
      <c r="M1563" s="9" t="n">
        <v>0</v>
      </c>
      <c r="N1563" s="9" t="s">
        <v>42</v>
      </c>
      <c r="O1563" s="9" t="s">
        <v>52</v>
      </c>
      <c r="P1563" s="9" t="n">
        <v>2.9</v>
      </c>
      <c r="Q1563" s="9" t="n">
        <v>29</v>
      </c>
      <c r="R1563" s="9" t="s">
        <v>53</v>
      </c>
      <c r="S1563" s="9"/>
      <c r="T1563" s="9"/>
      <c r="U1563" s="9" t="str">
        <f aca="false">IF(COUNTIF($A$2:$A$5001,A1563)&gt;1,"Duplicate","Unique")</f>
        <v>Unique</v>
      </c>
      <c r="V1563" s="9" t="str">
        <f aca="false">IF(COUNTIFS($B$2:$B$5001,B1563,$H$2:$H$5001,H1563,$J$2:$J$5001,J1563)&gt;1,"Possible Duplicate Booking","Unique")</f>
        <v>Unique</v>
      </c>
      <c r="W1563" s="9" t="str">
        <f aca="false">IF((H1563-G1563)&lt;&gt;K1563,"Mismatch","OK")</f>
        <v>OK</v>
      </c>
      <c r="X1563" s="9" t="str">
        <f aca="false">IF(TEXT(H1563,"dddd")&lt;&gt;I1563,"Mismatch","OK")</f>
        <v>OK</v>
      </c>
      <c r="Y1563" s="9" t="str">
        <f aca="false">IF(AND(N1563="No",O1563&lt;&gt;""),"Unexpected: channel present but no reminder sent",IF(AND(N1563="Yes",O1563=""),"Missing channel for sent reminder","OK"))</f>
        <v>OK</v>
      </c>
    </row>
    <row r="1564" customFormat="false" ht="15" hidden="false" customHeight="false" outlineLevel="0" collapsed="false">
      <c r="A1564" s="7" t="s">
        <v>2681</v>
      </c>
      <c r="B1564" s="7" t="s">
        <v>2682</v>
      </c>
      <c r="C1564" s="7" t="s">
        <v>37</v>
      </c>
      <c r="D1564" s="7" t="n">
        <v>72</v>
      </c>
      <c r="E1564" s="7" t="s">
        <v>70</v>
      </c>
      <c r="F1564" s="7" t="s">
        <v>39</v>
      </c>
      <c r="G1564" s="8" t="n">
        <v>45765</v>
      </c>
      <c r="H1564" s="8" t="n">
        <v>45793</v>
      </c>
      <c r="I1564" s="7" t="s">
        <v>50</v>
      </c>
      <c r="J1564" s="7" t="s">
        <v>41</v>
      </c>
      <c r="K1564" s="7" t="n">
        <v>28</v>
      </c>
      <c r="L1564" s="7" t="n">
        <v>1</v>
      </c>
      <c r="M1564" s="7" t="n">
        <v>0</v>
      </c>
      <c r="N1564" s="7" t="s">
        <v>42</v>
      </c>
      <c r="O1564" s="7" t="s">
        <v>52</v>
      </c>
      <c r="P1564" s="7" t="n">
        <v>12.3</v>
      </c>
      <c r="Q1564" s="7" t="n">
        <v>42</v>
      </c>
      <c r="R1564" s="7" t="s">
        <v>53</v>
      </c>
      <c r="S1564" s="7"/>
      <c r="T1564" s="7"/>
      <c r="U1564" s="7" t="str">
        <f aca="false">IF(COUNTIF($A$2:$A$5001,A1564)&gt;1,"Duplicate","Unique")</f>
        <v>Unique</v>
      </c>
      <c r="V1564" s="7" t="str">
        <f aca="false">IF(COUNTIFS($B$2:$B$5001,B1564,$H$2:$H$5001,H1564,$J$2:$J$5001,J1564)&gt;1,"Possible Duplicate Booking","Unique")</f>
        <v>Unique</v>
      </c>
      <c r="W1564" s="7" t="str">
        <f aca="false">IF((H1564-G1564)&lt;&gt;K1564,"Mismatch","OK")</f>
        <v>OK</v>
      </c>
      <c r="X1564" s="7" t="str">
        <f aca="false">IF(TEXT(H1564,"dddd")&lt;&gt;I1564,"Mismatch","OK")</f>
        <v>OK</v>
      </c>
      <c r="Y1564" s="7" t="str">
        <f aca="false">IF(AND(N1564="No",O1564&lt;&gt;""),"Unexpected: channel present but no reminder sent",IF(AND(N1564="Yes",O1564=""),"Missing channel for sent reminder","OK"))</f>
        <v>OK</v>
      </c>
    </row>
    <row r="1565" customFormat="false" ht="15" hidden="false" customHeight="false" outlineLevel="0" collapsed="false">
      <c r="A1565" s="9" t="s">
        <v>2683</v>
      </c>
      <c r="B1565" s="9" t="s">
        <v>2684</v>
      </c>
      <c r="C1565" s="9" t="s">
        <v>236</v>
      </c>
      <c r="D1565" s="9" t="n">
        <v>80</v>
      </c>
      <c r="E1565" s="9" t="s">
        <v>70</v>
      </c>
      <c r="F1565" s="9" t="s">
        <v>49</v>
      </c>
      <c r="G1565" s="10" t="n">
        <v>46157</v>
      </c>
      <c r="H1565" s="10" t="n">
        <v>46159</v>
      </c>
      <c r="I1565" s="9" t="s">
        <v>75</v>
      </c>
      <c r="J1565" s="9" t="s">
        <v>51</v>
      </c>
      <c r="K1565" s="9" t="n">
        <v>2</v>
      </c>
      <c r="L1565" s="9" t="n">
        <v>1</v>
      </c>
      <c r="M1565" s="9" t="n">
        <v>0</v>
      </c>
      <c r="N1565" s="9" t="s">
        <v>71</v>
      </c>
      <c r="O1565" s="9"/>
      <c r="P1565" s="9" t="n">
        <v>3</v>
      </c>
      <c r="Q1565" s="9" t="n">
        <v>17</v>
      </c>
      <c r="R1565" s="9" t="s">
        <v>53</v>
      </c>
      <c r="S1565" s="9"/>
      <c r="T1565" s="9"/>
      <c r="U1565" s="9" t="str">
        <f aca="false">IF(COUNTIF($A$2:$A$5001,A1565)&gt;1,"Duplicate","Unique")</f>
        <v>Unique</v>
      </c>
      <c r="V1565" s="9" t="str">
        <f aca="false">IF(COUNTIFS($B$2:$B$5001,B1565,$H$2:$H$5001,H1565,$J$2:$J$5001,J1565)&gt;1,"Possible Duplicate Booking","Unique")</f>
        <v>Unique</v>
      </c>
      <c r="W1565" s="9" t="str">
        <f aca="false">IF((H1565-G1565)&lt;&gt;K1565,"Mismatch","OK")</f>
        <v>OK</v>
      </c>
      <c r="X1565" s="9" t="str">
        <f aca="false">IF(TEXT(H1565,"dddd")&lt;&gt;I1565,"Mismatch","OK")</f>
        <v>OK</v>
      </c>
      <c r="Y1565" s="9" t="str">
        <f aca="false">IF(AND(N1565="No",O1565&lt;&gt;""),"Unexpected: channel present but no reminder sent",IF(AND(N1565="Yes",O1565=""),"Missing channel for sent reminder","OK"))</f>
        <v>OK</v>
      </c>
    </row>
    <row r="1566" customFormat="false" ht="15" hidden="false" customHeight="false" outlineLevel="0" collapsed="false">
      <c r="A1566" s="7" t="s">
        <v>2685</v>
      </c>
      <c r="B1566" s="7" t="s">
        <v>417</v>
      </c>
      <c r="C1566" s="7" t="s">
        <v>37</v>
      </c>
      <c r="D1566" s="7" t="n">
        <v>29</v>
      </c>
      <c r="E1566" s="7" t="s">
        <v>48</v>
      </c>
      <c r="F1566" s="7" t="s">
        <v>57</v>
      </c>
      <c r="G1566" s="8" t="n">
        <v>45960</v>
      </c>
      <c r="H1566" s="8" t="n">
        <v>45962</v>
      </c>
      <c r="I1566" s="7" t="s">
        <v>102</v>
      </c>
      <c r="J1566" s="7" t="s">
        <v>51</v>
      </c>
      <c r="K1566" s="7" t="n">
        <v>2</v>
      </c>
      <c r="L1566" s="7" t="n">
        <v>4</v>
      </c>
      <c r="M1566" s="7" t="n">
        <v>1</v>
      </c>
      <c r="N1566" s="7" t="s">
        <v>42</v>
      </c>
      <c r="O1566" s="7" t="s">
        <v>52</v>
      </c>
      <c r="P1566" s="7" t="n">
        <v>4.1</v>
      </c>
      <c r="Q1566" s="7" t="n">
        <v>8</v>
      </c>
      <c r="R1566" s="7" t="s">
        <v>53</v>
      </c>
      <c r="S1566" s="7"/>
      <c r="T1566" s="7"/>
      <c r="U1566" s="7" t="str">
        <f aca="false">IF(COUNTIF($A$2:$A$5001,A1566)&gt;1,"Duplicate","Unique")</f>
        <v>Unique</v>
      </c>
      <c r="V1566" s="7" t="str">
        <f aca="false">IF(COUNTIFS($B$2:$B$5001,B1566,$H$2:$H$5001,H1566,$J$2:$J$5001,J1566)&gt;1,"Possible Duplicate Booking","Unique")</f>
        <v>Unique</v>
      </c>
      <c r="W1566" s="7" t="str">
        <f aca="false">IF((H1566-G1566)&lt;&gt;K1566,"Mismatch","OK")</f>
        <v>OK</v>
      </c>
      <c r="X1566" s="7" t="str">
        <f aca="false">IF(TEXT(H1566,"dddd")&lt;&gt;I1566,"Mismatch","OK")</f>
        <v>OK</v>
      </c>
      <c r="Y1566" s="7" t="str">
        <f aca="false">IF(AND(N1566="No",O1566&lt;&gt;""),"Unexpected: channel present but no reminder sent",IF(AND(N1566="Yes",O1566=""),"Missing channel for sent reminder","OK"))</f>
        <v>OK</v>
      </c>
    </row>
    <row r="1567" customFormat="false" ht="15" hidden="false" customHeight="false" outlineLevel="0" collapsed="false">
      <c r="A1567" s="9" t="s">
        <v>2686</v>
      </c>
      <c r="B1567" s="9" t="s">
        <v>1923</v>
      </c>
      <c r="C1567" s="9" t="s">
        <v>47</v>
      </c>
      <c r="D1567" s="9" t="n">
        <v>47</v>
      </c>
      <c r="E1567" s="9" t="s">
        <v>56</v>
      </c>
      <c r="F1567" s="9" t="s">
        <v>39</v>
      </c>
      <c r="G1567" s="10" t="n">
        <v>45890</v>
      </c>
      <c r="H1567" s="10" t="n">
        <v>45906</v>
      </c>
      <c r="I1567" s="9" t="s">
        <v>102</v>
      </c>
      <c r="J1567" s="9" t="s">
        <v>41</v>
      </c>
      <c r="K1567" s="9" t="n">
        <v>16</v>
      </c>
      <c r="L1567" s="9" t="n">
        <v>6</v>
      </c>
      <c r="M1567" s="9" t="n">
        <v>3</v>
      </c>
      <c r="N1567" s="9" t="s">
        <v>42</v>
      </c>
      <c r="O1567" s="9" t="s">
        <v>67</v>
      </c>
      <c r="P1567" s="9" t="n">
        <v>17.7</v>
      </c>
      <c r="Q1567" s="9" t="n">
        <v>21</v>
      </c>
      <c r="R1567" s="9" t="s">
        <v>44</v>
      </c>
      <c r="S1567" s="9"/>
      <c r="T1567" s="9"/>
      <c r="U1567" s="9" t="str">
        <f aca="false">IF(COUNTIF($A$2:$A$5001,A1567)&gt;1,"Duplicate","Unique")</f>
        <v>Unique</v>
      </c>
      <c r="V1567" s="9" t="str">
        <f aca="false">IF(COUNTIFS($B$2:$B$5001,B1567,$H$2:$H$5001,H1567,$J$2:$J$5001,J1567)&gt;1,"Possible Duplicate Booking","Unique")</f>
        <v>Unique</v>
      </c>
      <c r="W1567" s="9" t="str">
        <f aca="false">IF((H1567-G1567)&lt;&gt;K1567,"Mismatch","OK")</f>
        <v>OK</v>
      </c>
      <c r="X1567" s="9" t="str">
        <f aca="false">IF(TEXT(H1567,"dddd")&lt;&gt;I1567,"Mismatch","OK")</f>
        <v>OK</v>
      </c>
      <c r="Y1567" s="9" t="str">
        <f aca="false">IF(AND(N1567="No",O1567&lt;&gt;""),"Unexpected: channel present but no reminder sent",IF(AND(N1567="Yes",O1567=""),"Missing channel for sent reminder","OK"))</f>
        <v>OK</v>
      </c>
    </row>
    <row r="1568" customFormat="false" ht="15" hidden="false" customHeight="false" outlineLevel="0" collapsed="false">
      <c r="A1568" s="7" t="s">
        <v>2687</v>
      </c>
      <c r="B1568" s="7" t="s">
        <v>178</v>
      </c>
      <c r="C1568" s="7" t="s">
        <v>47</v>
      </c>
      <c r="D1568" s="7" t="n">
        <v>26</v>
      </c>
      <c r="E1568" s="7" t="s">
        <v>48</v>
      </c>
      <c r="F1568" s="7" t="s">
        <v>57</v>
      </c>
      <c r="G1568" s="8" t="n">
        <v>46180</v>
      </c>
      <c r="H1568" s="8" t="n">
        <v>46186</v>
      </c>
      <c r="I1568" s="7" t="s">
        <v>102</v>
      </c>
      <c r="J1568" s="7" t="s">
        <v>63</v>
      </c>
      <c r="K1568" s="7" t="n">
        <v>6</v>
      </c>
      <c r="L1568" s="7" t="n">
        <v>6</v>
      </c>
      <c r="M1568" s="7" t="n">
        <v>1</v>
      </c>
      <c r="N1568" s="7" t="s">
        <v>42</v>
      </c>
      <c r="O1568" s="7" t="s">
        <v>52</v>
      </c>
      <c r="P1568" s="7" t="n">
        <v>8.2</v>
      </c>
      <c r="Q1568" s="7" t="n">
        <v>19</v>
      </c>
      <c r="R1568" s="7" t="s">
        <v>53</v>
      </c>
      <c r="S1568" s="7"/>
      <c r="T1568" s="7"/>
      <c r="U1568" s="7" t="str">
        <f aca="false">IF(COUNTIF($A$2:$A$5001,A1568)&gt;1,"Duplicate","Unique")</f>
        <v>Unique</v>
      </c>
      <c r="V1568" s="7" t="str">
        <f aca="false">IF(COUNTIFS($B$2:$B$5001,B1568,$H$2:$H$5001,H1568,$J$2:$J$5001,J1568)&gt;1,"Possible Duplicate Booking","Unique")</f>
        <v>Unique</v>
      </c>
      <c r="W1568" s="7" t="str">
        <f aca="false">IF((H1568-G1568)&lt;&gt;K1568,"Mismatch","OK")</f>
        <v>OK</v>
      </c>
      <c r="X1568" s="7" t="str">
        <f aca="false">IF(TEXT(H1568,"dddd")&lt;&gt;I1568,"Mismatch","OK")</f>
        <v>OK</v>
      </c>
      <c r="Y1568" s="7" t="str">
        <f aca="false">IF(AND(N1568="No",O1568&lt;&gt;""),"Unexpected: channel present but no reminder sent",IF(AND(N1568="Yes",O1568=""),"Missing channel for sent reminder","OK"))</f>
        <v>OK</v>
      </c>
    </row>
    <row r="1569" customFormat="false" ht="15" hidden="false" customHeight="false" outlineLevel="0" collapsed="false">
      <c r="A1569" s="9" t="s">
        <v>2688</v>
      </c>
      <c r="B1569" s="9" t="s">
        <v>235</v>
      </c>
      <c r="C1569" s="9" t="s">
        <v>47</v>
      </c>
      <c r="D1569" s="9" t="n">
        <v>72</v>
      </c>
      <c r="E1569" s="9" t="s">
        <v>70</v>
      </c>
      <c r="F1569" s="9" t="s">
        <v>39</v>
      </c>
      <c r="G1569" s="10" t="n">
        <v>45982</v>
      </c>
      <c r="H1569" s="10" t="n">
        <v>45987</v>
      </c>
      <c r="I1569" s="9" t="s">
        <v>58</v>
      </c>
      <c r="J1569" s="9" t="s">
        <v>41</v>
      </c>
      <c r="K1569" s="9" t="n">
        <v>5</v>
      </c>
      <c r="L1569" s="9" t="n">
        <v>1</v>
      </c>
      <c r="M1569" s="9" t="n">
        <v>0</v>
      </c>
      <c r="N1569" s="9" t="s">
        <v>42</v>
      </c>
      <c r="O1569" s="9" t="s">
        <v>43</v>
      </c>
      <c r="P1569" s="9" t="n">
        <v>8.4</v>
      </c>
      <c r="Q1569" s="9" t="n">
        <v>27</v>
      </c>
      <c r="R1569" s="9" t="s">
        <v>44</v>
      </c>
      <c r="S1569" s="9"/>
      <c r="T1569" s="9"/>
      <c r="U1569" s="9" t="str">
        <f aca="false">IF(COUNTIF($A$2:$A$5001,A1569)&gt;1,"Duplicate","Unique")</f>
        <v>Unique</v>
      </c>
      <c r="V1569" s="9" t="str">
        <f aca="false">IF(COUNTIFS($B$2:$B$5001,B1569,$H$2:$H$5001,H1569,$J$2:$J$5001,J1569)&gt;1,"Possible Duplicate Booking","Unique")</f>
        <v>Unique</v>
      </c>
      <c r="W1569" s="9" t="str">
        <f aca="false">IF((H1569-G1569)&lt;&gt;K1569,"Mismatch","OK")</f>
        <v>OK</v>
      </c>
      <c r="X1569" s="9" t="str">
        <f aca="false">IF(TEXT(H1569,"dddd")&lt;&gt;I1569,"Mismatch","OK")</f>
        <v>OK</v>
      </c>
      <c r="Y1569" s="9" t="str">
        <f aca="false">IF(AND(N1569="No",O1569&lt;&gt;""),"Unexpected: channel present but no reminder sent",IF(AND(N1569="Yes",O1569=""),"Missing channel for sent reminder","OK"))</f>
        <v>OK</v>
      </c>
    </row>
    <row r="1570" customFormat="false" ht="15" hidden="false" customHeight="false" outlineLevel="0" collapsed="false">
      <c r="A1570" s="7" t="s">
        <v>2689</v>
      </c>
      <c r="B1570" s="7" t="s">
        <v>958</v>
      </c>
      <c r="C1570" s="7" t="s">
        <v>47</v>
      </c>
      <c r="D1570" s="7" t="n">
        <v>50</v>
      </c>
      <c r="E1570" s="7" t="s">
        <v>56</v>
      </c>
      <c r="F1570" s="7" t="s">
        <v>39</v>
      </c>
      <c r="G1570" s="8" t="n">
        <v>46145</v>
      </c>
      <c r="H1570" s="8" t="n">
        <v>46154</v>
      </c>
      <c r="I1570" s="7" t="s">
        <v>40</v>
      </c>
      <c r="J1570" s="7" t="s">
        <v>41</v>
      </c>
      <c r="K1570" s="7" t="n">
        <v>9</v>
      </c>
      <c r="L1570" s="7" t="n">
        <v>2</v>
      </c>
      <c r="M1570" s="7" t="n">
        <v>0</v>
      </c>
      <c r="N1570" s="7" t="s">
        <v>42</v>
      </c>
      <c r="O1570" s="7" t="s">
        <v>52</v>
      </c>
      <c r="P1570" s="7" t="n">
        <v>4</v>
      </c>
      <c r="Q1570" s="7" t="n">
        <v>22</v>
      </c>
      <c r="R1570" s="7" t="s">
        <v>53</v>
      </c>
      <c r="S1570" s="7"/>
      <c r="T1570" s="7"/>
      <c r="U1570" s="7" t="str">
        <f aca="false">IF(COUNTIF($A$2:$A$5001,A1570)&gt;1,"Duplicate","Unique")</f>
        <v>Unique</v>
      </c>
      <c r="V1570" s="7" t="str">
        <f aca="false">IF(COUNTIFS($B$2:$B$5001,B1570,$H$2:$H$5001,H1570,$J$2:$J$5001,J1570)&gt;1,"Possible Duplicate Booking","Unique")</f>
        <v>Unique</v>
      </c>
      <c r="W1570" s="7" t="str">
        <f aca="false">IF((H1570-G1570)&lt;&gt;K1570,"Mismatch","OK")</f>
        <v>OK</v>
      </c>
      <c r="X1570" s="7" t="str">
        <f aca="false">IF(TEXT(H1570,"dddd")&lt;&gt;I1570,"Mismatch","OK")</f>
        <v>OK</v>
      </c>
      <c r="Y1570" s="7" t="str">
        <f aca="false">IF(AND(N1570="No",O1570&lt;&gt;""),"Unexpected: channel present but no reminder sent",IF(AND(N1570="Yes",O1570=""),"Missing channel for sent reminder","OK"))</f>
        <v>OK</v>
      </c>
    </row>
    <row r="1571" customFormat="false" ht="15" hidden="false" customHeight="false" outlineLevel="0" collapsed="false">
      <c r="A1571" s="9" t="s">
        <v>2690</v>
      </c>
      <c r="B1571" s="9" t="s">
        <v>1706</v>
      </c>
      <c r="C1571" s="9" t="s">
        <v>47</v>
      </c>
      <c r="D1571" s="9" t="n">
        <v>33</v>
      </c>
      <c r="E1571" s="9" t="s">
        <v>48</v>
      </c>
      <c r="F1571" s="9" t="s">
        <v>57</v>
      </c>
      <c r="G1571" s="10" t="n">
        <v>46184</v>
      </c>
      <c r="H1571" s="10" t="n">
        <v>46195</v>
      </c>
      <c r="I1571" s="9" t="s">
        <v>66</v>
      </c>
      <c r="J1571" s="9" t="s">
        <v>41</v>
      </c>
      <c r="K1571" s="9" t="n">
        <v>11</v>
      </c>
      <c r="L1571" s="9" t="n">
        <v>5</v>
      </c>
      <c r="M1571" s="9" t="n">
        <v>2</v>
      </c>
      <c r="N1571" s="9" t="s">
        <v>42</v>
      </c>
      <c r="O1571" s="9" t="s">
        <v>52</v>
      </c>
      <c r="P1571" s="9" t="n">
        <v>16.6</v>
      </c>
      <c r="Q1571" s="9" t="n">
        <v>26</v>
      </c>
      <c r="R1571" s="9" t="s">
        <v>53</v>
      </c>
      <c r="S1571" s="9"/>
      <c r="T1571" s="9"/>
      <c r="U1571" s="9" t="str">
        <f aca="false">IF(COUNTIF($A$2:$A$5001,A1571)&gt;1,"Duplicate","Unique")</f>
        <v>Unique</v>
      </c>
      <c r="V1571" s="9" t="str">
        <f aca="false">IF(COUNTIFS($B$2:$B$5001,B1571,$H$2:$H$5001,H1571,$J$2:$J$5001,J1571)&gt;1,"Possible Duplicate Booking","Unique")</f>
        <v>Unique</v>
      </c>
      <c r="W1571" s="9" t="str">
        <f aca="false">IF((H1571-G1571)&lt;&gt;K1571,"Mismatch","OK")</f>
        <v>OK</v>
      </c>
      <c r="X1571" s="9" t="str">
        <f aca="false">IF(TEXT(H1571,"dddd")&lt;&gt;I1571,"Mismatch","OK")</f>
        <v>OK</v>
      </c>
      <c r="Y1571" s="9" t="str">
        <f aca="false">IF(AND(N1571="No",O1571&lt;&gt;""),"Unexpected: channel present but no reminder sent",IF(AND(N1571="Yes",O1571=""),"Missing channel for sent reminder","OK"))</f>
        <v>OK</v>
      </c>
    </row>
    <row r="1572" customFormat="false" ht="15" hidden="false" customHeight="false" outlineLevel="0" collapsed="false">
      <c r="A1572" s="7" t="s">
        <v>2691</v>
      </c>
      <c r="B1572" s="7" t="s">
        <v>364</v>
      </c>
      <c r="C1572" s="7" t="s">
        <v>37</v>
      </c>
      <c r="D1572" s="7" t="n">
        <v>23</v>
      </c>
      <c r="E1572" s="7" t="s">
        <v>82</v>
      </c>
      <c r="F1572" s="7" t="s">
        <v>57</v>
      </c>
      <c r="G1572" s="8" t="n">
        <v>45650</v>
      </c>
      <c r="H1572" s="8" t="n">
        <v>45701</v>
      </c>
      <c r="I1572" s="7" t="s">
        <v>62</v>
      </c>
      <c r="J1572" s="7" t="s">
        <v>41</v>
      </c>
      <c r="K1572" s="7" t="n">
        <v>51</v>
      </c>
      <c r="L1572" s="7" t="n">
        <v>2</v>
      </c>
      <c r="M1572" s="7" t="n">
        <v>0</v>
      </c>
      <c r="N1572" s="7" t="s">
        <v>71</v>
      </c>
      <c r="O1572" s="7"/>
      <c r="P1572" s="7" t="n">
        <v>11.3</v>
      </c>
      <c r="Q1572" s="7"/>
      <c r="R1572" s="7" t="s">
        <v>44</v>
      </c>
      <c r="S1572" s="7"/>
      <c r="T1572" s="7"/>
      <c r="U1572" s="7" t="str">
        <f aca="false">IF(COUNTIF($A$2:$A$5001,A1572)&gt;1,"Duplicate","Unique")</f>
        <v>Unique</v>
      </c>
      <c r="V1572" s="7" t="str">
        <f aca="false">IF(COUNTIFS($B$2:$B$5001,B1572,$H$2:$H$5001,H1572,$J$2:$J$5001,J1572)&gt;1,"Possible Duplicate Booking","Unique")</f>
        <v>Unique</v>
      </c>
      <c r="W1572" s="7" t="str">
        <f aca="false">IF((H1572-G1572)&lt;&gt;K1572,"Mismatch","OK")</f>
        <v>OK</v>
      </c>
      <c r="X1572" s="7" t="str">
        <f aca="false">IF(TEXT(H1572,"dddd")&lt;&gt;I1572,"Mismatch","OK")</f>
        <v>OK</v>
      </c>
      <c r="Y1572" s="7" t="str">
        <f aca="false">IF(AND(N1572="No",O1572&lt;&gt;""),"Unexpected: channel present but no reminder sent",IF(AND(N1572="Yes",O1572=""),"Missing channel for sent reminder","OK"))</f>
        <v>OK</v>
      </c>
    </row>
    <row r="1573" customFormat="false" ht="15" hidden="false" customHeight="false" outlineLevel="0" collapsed="false">
      <c r="A1573" s="9" t="s">
        <v>2692</v>
      </c>
      <c r="B1573" s="9" t="s">
        <v>2693</v>
      </c>
      <c r="C1573" s="9" t="s">
        <v>47</v>
      </c>
      <c r="D1573" s="9" t="n">
        <v>64</v>
      </c>
      <c r="E1573" s="9" t="s">
        <v>61</v>
      </c>
      <c r="F1573" s="9" t="s">
        <v>57</v>
      </c>
      <c r="G1573" s="10" t="n">
        <v>45817</v>
      </c>
      <c r="H1573" s="10" t="n">
        <v>45855</v>
      </c>
      <c r="I1573" s="9" t="s">
        <v>62</v>
      </c>
      <c r="J1573" s="9" t="s">
        <v>41</v>
      </c>
      <c r="K1573" s="9" t="n">
        <v>38</v>
      </c>
      <c r="L1573" s="9" t="n">
        <v>3</v>
      </c>
      <c r="M1573" s="9" t="n">
        <v>0</v>
      </c>
      <c r="N1573" s="9" t="s">
        <v>42</v>
      </c>
      <c r="O1573" s="9" t="s">
        <v>43</v>
      </c>
      <c r="P1573" s="9" t="n">
        <v>10.7</v>
      </c>
      <c r="Q1573" s="9" t="n">
        <v>35</v>
      </c>
      <c r="R1573" s="9" t="s">
        <v>53</v>
      </c>
      <c r="S1573" s="9"/>
      <c r="T1573" s="9"/>
      <c r="U1573" s="9" t="str">
        <f aca="false">IF(COUNTIF($A$2:$A$5001,A1573)&gt;1,"Duplicate","Unique")</f>
        <v>Unique</v>
      </c>
      <c r="V1573" s="9" t="str">
        <f aca="false">IF(COUNTIFS($B$2:$B$5001,B1573,$H$2:$H$5001,H1573,$J$2:$J$5001,J1573)&gt;1,"Possible Duplicate Booking","Unique")</f>
        <v>Unique</v>
      </c>
      <c r="W1573" s="9" t="str">
        <f aca="false">IF((H1573-G1573)&lt;&gt;K1573,"Mismatch","OK")</f>
        <v>OK</v>
      </c>
      <c r="X1573" s="9" t="str">
        <f aca="false">IF(TEXT(H1573,"dddd")&lt;&gt;I1573,"Mismatch","OK")</f>
        <v>OK</v>
      </c>
      <c r="Y1573" s="9" t="str">
        <f aca="false">IF(AND(N1573="No",O1573&lt;&gt;""),"Unexpected: channel present but no reminder sent",IF(AND(N1573="Yes",O1573=""),"Missing channel for sent reminder","OK"))</f>
        <v>OK</v>
      </c>
    </row>
    <row r="1574" customFormat="false" ht="15" hidden="false" customHeight="false" outlineLevel="0" collapsed="false">
      <c r="A1574" s="7" t="s">
        <v>2694</v>
      </c>
      <c r="B1574" s="7" t="s">
        <v>2695</v>
      </c>
      <c r="C1574" s="7" t="s">
        <v>47</v>
      </c>
      <c r="D1574" s="7" t="n">
        <v>69</v>
      </c>
      <c r="E1574" s="7" t="s">
        <v>70</v>
      </c>
      <c r="F1574" s="7" t="s">
        <v>39</v>
      </c>
      <c r="G1574" s="8" t="n">
        <v>46057</v>
      </c>
      <c r="H1574" s="8" t="n">
        <v>46058</v>
      </c>
      <c r="I1574" s="7" t="s">
        <v>62</v>
      </c>
      <c r="J1574" s="7" t="s">
        <v>41</v>
      </c>
      <c r="K1574" s="7" t="n">
        <v>1</v>
      </c>
      <c r="L1574" s="7" t="n">
        <v>2</v>
      </c>
      <c r="M1574" s="7" t="n">
        <v>1</v>
      </c>
      <c r="N1574" s="7" t="s">
        <v>42</v>
      </c>
      <c r="O1574" s="7" t="s">
        <v>67</v>
      </c>
      <c r="P1574" s="7" t="n">
        <v>3.5</v>
      </c>
      <c r="Q1574" s="7" t="n">
        <v>25</v>
      </c>
      <c r="R1574" s="7" t="s">
        <v>87</v>
      </c>
      <c r="S1574" s="7"/>
      <c r="T1574" s="7"/>
      <c r="U1574" s="7" t="str">
        <f aca="false">IF(COUNTIF($A$2:$A$5001,A1574)&gt;1,"Duplicate","Unique")</f>
        <v>Unique</v>
      </c>
      <c r="V1574" s="7" t="str">
        <f aca="false">IF(COUNTIFS($B$2:$B$5001,B1574,$H$2:$H$5001,H1574,$J$2:$J$5001,J1574)&gt;1,"Possible Duplicate Booking","Unique")</f>
        <v>Unique</v>
      </c>
      <c r="W1574" s="7" t="str">
        <f aca="false">IF((H1574-G1574)&lt;&gt;K1574,"Mismatch","OK")</f>
        <v>OK</v>
      </c>
      <c r="X1574" s="7" t="str">
        <f aca="false">IF(TEXT(H1574,"dddd")&lt;&gt;I1574,"Mismatch","OK")</f>
        <v>OK</v>
      </c>
      <c r="Y1574" s="7" t="str">
        <f aca="false">IF(AND(N1574="No",O1574&lt;&gt;""),"Unexpected: channel present but no reminder sent",IF(AND(N1574="Yes",O1574=""),"Missing channel for sent reminder","OK"))</f>
        <v>OK</v>
      </c>
    </row>
    <row r="1575" customFormat="false" ht="15" hidden="false" customHeight="false" outlineLevel="0" collapsed="false">
      <c r="A1575" s="9" t="s">
        <v>2696</v>
      </c>
      <c r="B1575" s="9" t="s">
        <v>2697</v>
      </c>
      <c r="C1575" s="9" t="s">
        <v>236</v>
      </c>
      <c r="D1575" s="9" t="n">
        <v>73</v>
      </c>
      <c r="E1575" s="9" t="s">
        <v>70</v>
      </c>
      <c r="F1575" s="9" t="s">
        <v>39</v>
      </c>
      <c r="G1575" s="10" t="n">
        <v>46063</v>
      </c>
      <c r="H1575" s="10" t="n">
        <v>46101</v>
      </c>
      <c r="I1575" s="9" t="s">
        <v>50</v>
      </c>
      <c r="J1575" s="9" t="s">
        <v>41</v>
      </c>
      <c r="K1575" s="9" t="n">
        <v>38</v>
      </c>
      <c r="L1575" s="9" t="n">
        <v>1</v>
      </c>
      <c r="M1575" s="9" t="n">
        <v>0</v>
      </c>
      <c r="N1575" s="9" t="s">
        <v>42</v>
      </c>
      <c r="O1575" s="9" t="s">
        <v>52</v>
      </c>
      <c r="P1575" s="9" t="n">
        <v>9.5</v>
      </c>
      <c r="Q1575" s="9" t="n">
        <v>27</v>
      </c>
      <c r="R1575" s="9" t="s">
        <v>53</v>
      </c>
      <c r="S1575" s="9"/>
      <c r="T1575" s="9"/>
      <c r="U1575" s="9" t="str">
        <f aca="false">IF(COUNTIF($A$2:$A$5001,A1575)&gt;1,"Duplicate","Unique")</f>
        <v>Unique</v>
      </c>
      <c r="V1575" s="9" t="str">
        <f aca="false">IF(COUNTIFS($B$2:$B$5001,B1575,$H$2:$H$5001,H1575,$J$2:$J$5001,J1575)&gt;1,"Possible Duplicate Booking","Unique")</f>
        <v>Unique</v>
      </c>
      <c r="W1575" s="9" t="str">
        <f aca="false">IF((H1575-G1575)&lt;&gt;K1575,"Mismatch","OK")</f>
        <v>OK</v>
      </c>
      <c r="X1575" s="9" t="str">
        <f aca="false">IF(TEXT(H1575,"dddd")&lt;&gt;I1575,"Mismatch","OK")</f>
        <v>OK</v>
      </c>
      <c r="Y1575" s="9" t="str">
        <f aca="false">IF(AND(N1575="No",O1575&lt;&gt;""),"Unexpected: channel present but no reminder sent",IF(AND(N1575="Yes",O1575=""),"Missing channel for sent reminder","OK"))</f>
        <v>OK</v>
      </c>
    </row>
    <row r="1576" customFormat="false" ht="15" hidden="false" customHeight="false" outlineLevel="0" collapsed="false">
      <c r="A1576" s="7" t="s">
        <v>2698</v>
      </c>
      <c r="B1576" s="7" t="s">
        <v>1650</v>
      </c>
      <c r="C1576" s="7" t="s">
        <v>37</v>
      </c>
      <c r="D1576" s="7" t="n">
        <v>79</v>
      </c>
      <c r="E1576" s="7" t="s">
        <v>70</v>
      </c>
      <c r="F1576" s="7" t="s">
        <v>49</v>
      </c>
      <c r="G1576" s="8" t="n">
        <v>45731</v>
      </c>
      <c r="H1576" s="8" t="n">
        <v>45739</v>
      </c>
      <c r="I1576" s="7" t="s">
        <v>75</v>
      </c>
      <c r="J1576" s="7" t="s">
        <v>41</v>
      </c>
      <c r="K1576" s="7" t="n">
        <v>8</v>
      </c>
      <c r="L1576" s="7" t="n">
        <v>1</v>
      </c>
      <c r="M1576" s="7" t="n">
        <v>0</v>
      </c>
      <c r="N1576" s="7" t="s">
        <v>71</v>
      </c>
      <c r="O1576" s="7"/>
      <c r="P1576" s="7" t="n">
        <v>35.4</v>
      </c>
      <c r="Q1576" s="7" t="n">
        <v>44</v>
      </c>
      <c r="R1576" s="7" t="s">
        <v>87</v>
      </c>
      <c r="S1576" s="7"/>
      <c r="T1576" s="7"/>
      <c r="U1576" s="7" t="str">
        <f aca="false">IF(COUNTIF($A$2:$A$5001,A1576)&gt;1,"Duplicate","Unique")</f>
        <v>Unique</v>
      </c>
      <c r="V1576" s="7" t="str">
        <f aca="false">IF(COUNTIFS($B$2:$B$5001,B1576,$H$2:$H$5001,H1576,$J$2:$J$5001,J1576)&gt;1,"Possible Duplicate Booking","Unique")</f>
        <v>Unique</v>
      </c>
      <c r="W1576" s="7" t="str">
        <f aca="false">IF((H1576-G1576)&lt;&gt;K1576,"Mismatch","OK")</f>
        <v>OK</v>
      </c>
      <c r="X1576" s="7" t="str">
        <f aca="false">IF(TEXT(H1576,"dddd")&lt;&gt;I1576,"Mismatch","OK")</f>
        <v>OK</v>
      </c>
      <c r="Y1576" s="7" t="str">
        <f aca="false">IF(AND(N1576="No",O1576&lt;&gt;""),"Unexpected: channel present but no reminder sent",IF(AND(N1576="Yes",O1576=""),"Missing channel for sent reminder","OK"))</f>
        <v>OK</v>
      </c>
    </row>
    <row r="1577" customFormat="false" ht="15" hidden="false" customHeight="false" outlineLevel="0" collapsed="false">
      <c r="A1577" s="9" t="s">
        <v>2699</v>
      </c>
      <c r="B1577" s="9" t="s">
        <v>2700</v>
      </c>
      <c r="C1577" s="9" t="s">
        <v>37</v>
      </c>
      <c r="D1577" s="9" t="n">
        <v>69</v>
      </c>
      <c r="E1577" s="9" t="s">
        <v>70</v>
      </c>
      <c r="F1577" s="9" t="s">
        <v>57</v>
      </c>
      <c r="G1577" s="10" t="n">
        <v>45806</v>
      </c>
      <c r="H1577" s="10" t="n">
        <v>45831</v>
      </c>
      <c r="I1577" s="9" t="s">
        <v>66</v>
      </c>
      <c r="J1577" s="9" t="s">
        <v>51</v>
      </c>
      <c r="K1577" s="9" t="n">
        <v>25</v>
      </c>
      <c r="L1577" s="9" t="n">
        <v>5</v>
      </c>
      <c r="M1577" s="9" t="n">
        <v>1</v>
      </c>
      <c r="N1577" s="9" t="s">
        <v>71</v>
      </c>
      <c r="O1577" s="9"/>
      <c r="P1577" s="9" t="n">
        <v>5.3</v>
      </c>
      <c r="Q1577" s="9" t="n">
        <v>7</v>
      </c>
      <c r="R1577" s="9" t="s">
        <v>53</v>
      </c>
      <c r="S1577" s="9"/>
      <c r="T1577" s="9"/>
      <c r="U1577" s="9" t="str">
        <f aca="false">IF(COUNTIF($A$2:$A$5001,A1577)&gt;1,"Duplicate","Unique")</f>
        <v>Unique</v>
      </c>
      <c r="V1577" s="9" t="str">
        <f aca="false">IF(COUNTIFS($B$2:$B$5001,B1577,$H$2:$H$5001,H1577,$J$2:$J$5001,J1577)&gt;1,"Possible Duplicate Booking","Unique")</f>
        <v>Unique</v>
      </c>
      <c r="W1577" s="9" t="str">
        <f aca="false">IF((H1577-G1577)&lt;&gt;K1577,"Mismatch","OK")</f>
        <v>OK</v>
      </c>
      <c r="X1577" s="9" t="str">
        <f aca="false">IF(TEXT(H1577,"dddd")&lt;&gt;I1577,"Mismatch","OK")</f>
        <v>OK</v>
      </c>
      <c r="Y1577" s="9" t="str">
        <f aca="false">IF(AND(N1577="No",O1577&lt;&gt;""),"Unexpected: channel present but no reminder sent",IF(AND(N1577="Yes",O1577=""),"Missing channel for sent reminder","OK"))</f>
        <v>OK</v>
      </c>
    </row>
    <row r="1578" customFormat="false" ht="15" hidden="false" customHeight="false" outlineLevel="0" collapsed="false">
      <c r="A1578" s="7" t="s">
        <v>2701</v>
      </c>
      <c r="B1578" s="7" t="s">
        <v>2702</v>
      </c>
      <c r="C1578" s="7" t="s">
        <v>37</v>
      </c>
      <c r="D1578" s="7" t="n">
        <v>67</v>
      </c>
      <c r="E1578" s="7" t="s">
        <v>70</v>
      </c>
      <c r="F1578" s="7" t="s">
        <v>49</v>
      </c>
      <c r="G1578" s="8" t="n">
        <v>45955</v>
      </c>
      <c r="H1578" s="8" t="n">
        <v>45957</v>
      </c>
      <c r="I1578" s="7" t="s">
        <v>66</v>
      </c>
      <c r="J1578" s="7" t="s">
        <v>51</v>
      </c>
      <c r="K1578" s="7" t="n">
        <v>2</v>
      </c>
      <c r="L1578" s="7" t="n">
        <v>4</v>
      </c>
      <c r="M1578" s="7" t="n">
        <v>1</v>
      </c>
      <c r="N1578" s="7" t="s">
        <v>42</v>
      </c>
      <c r="O1578" s="7" t="s">
        <v>52</v>
      </c>
      <c r="P1578" s="7" t="n">
        <v>17.4</v>
      </c>
      <c r="Q1578" s="7"/>
      <c r="R1578" s="7" t="s">
        <v>44</v>
      </c>
      <c r="S1578" s="7"/>
      <c r="T1578" s="7"/>
      <c r="U1578" s="7" t="str">
        <f aca="false">IF(COUNTIF($A$2:$A$5001,A1578)&gt;1,"Duplicate","Unique")</f>
        <v>Unique</v>
      </c>
      <c r="V1578" s="7" t="str">
        <f aca="false">IF(COUNTIFS($B$2:$B$5001,B1578,$H$2:$H$5001,H1578,$J$2:$J$5001,J1578)&gt;1,"Possible Duplicate Booking","Unique")</f>
        <v>Unique</v>
      </c>
      <c r="W1578" s="7" t="str">
        <f aca="false">IF((H1578-G1578)&lt;&gt;K1578,"Mismatch","OK")</f>
        <v>OK</v>
      </c>
      <c r="X1578" s="7" t="str">
        <f aca="false">IF(TEXT(H1578,"dddd")&lt;&gt;I1578,"Mismatch","OK")</f>
        <v>OK</v>
      </c>
      <c r="Y1578" s="7" t="str">
        <f aca="false">IF(AND(N1578="No",O1578&lt;&gt;""),"Unexpected: channel present but no reminder sent",IF(AND(N1578="Yes",O1578=""),"Missing channel for sent reminder","OK"))</f>
        <v>OK</v>
      </c>
    </row>
    <row r="1579" customFormat="false" ht="15" hidden="false" customHeight="false" outlineLevel="0" collapsed="false">
      <c r="A1579" s="9" t="s">
        <v>2703</v>
      </c>
      <c r="B1579" s="9" t="s">
        <v>1598</v>
      </c>
      <c r="C1579" s="9" t="s">
        <v>47</v>
      </c>
      <c r="D1579" s="9" t="n">
        <v>69</v>
      </c>
      <c r="E1579" s="9" t="s">
        <v>70</v>
      </c>
      <c r="F1579" s="9" t="s">
        <v>39</v>
      </c>
      <c r="G1579" s="10" t="n">
        <v>46089</v>
      </c>
      <c r="H1579" s="10" t="n">
        <v>46094</v>
      </c>
      <c r="I1579" s="9" t="s">
        <v>50</v>
      </c>
      <c r="J1579" s="9" t="s">
        <v>51</v>
      </c>
      <c r="K1579" s="9" t="n">
        <v>5</v>
      </c>
      <c r="L1579" s="9" t="n">
        <v>1</v>
      </c>
      <c r="M1579" s="9" t="n">
        <v>0</v>
      </c>
      <c r="N1579" s="9" t="s">
        <v>42</v>
      </c>
      <c r="O1579" s="9" t="s">
        <v>52</v>
      </c>
      <c r="P1579" s="9" t="n">
        <v>1.2</v>
      </c>
      <c r="Q1579" s="9" t="n">
        <v>24</v>
      </c>
      <c r="R1579" s="9" t="s">
        <v>53</v>
      </c>
      <c r="S1579" s="9"/>
      <c r="T1579" s="9"/>
      <c r="U1579" s="9" t="str">
        <f aca="false">IF(COUNTIF($A$2:$A$5001,A1579)&gt;1,"Duplicate","Unique")</f>
        <v>Unique</v>
      </c>
      <c r="V1579" s="9" t="str">
        <f aca="false">IF(COUNTIFS($B$2:$B$5001,B1579,$H$2:$H$5001,H1579,$J$2:$J$5001,J1579)&gt;1,"Possible Duplicate Booking","Unique")</f>
        <v>Unique</v>
      </c>
      <c r="W1579" s="9" t="str">
        <f aca="false">IF((H1579-G1579)&lt;&gt;K1579,"Mismatch","OK")</f>
        <v>OK</v>
      </c>
      <c r="X1579" s="9" t="str">
        <f aca="false">IF(TEXT(H1579,"dddd")&lt;&gt;I1579,"Mismatch","OK")</f>
        <v>OK</v>
      </c>
      <c r="Y1579" s="9" t="str">
        <f aca="false">IF(AND(N1579="No",O1579&lt;&gt;""),"Unexpected: channel present but no reminder sent",IF(AND(N1579="Yes",O1579=""),"Missing channel for sent reminder","OK"))</f>
        <v>OK</v>
      </c>
    </row>
    <row r="1580" customFormat="false" ht="15" hidden="false" customHeight="false" outlineLevel="0" collapsed="false">
      <c r="A1580" s="7" t="s">
        <v>2704</v>
      </c>
      <c r="B1580" s="7" t="s">
        <v>306</v>
      </c>
      <c r="C1580" s="7" t="s">
        <v>37</v>
      </c>
      <c r="D1580" s="7" t="n">
        <v>80</v>
      </c>
      <c r="E1580" s="7" t="s">
        <v>70</v>
      </c>
      <c r="F1580" s="7" t="s">
        <v>57</v>
      </c>
      <c r="G1580" s="8" t="n">
        <v>45711</v>
      </c>
      <c r="H1580" s="8" t="n">
        <v>45719</v>
      </c>
      <c r="I1580" s="7" t="s">
        <v>66</v>
      </c>
      <c r="J1580" s="7" t="s">
        <v>51</v>
      </c>
      <c r="K1580" s="7" t="n">
        <v>8</v>
      </c>
      <c r="L1580" s="7" t="n">
        <v>1</v>
      </c>
      <c r="M1580" s="7" t="n">
        <v>0</v>
      </c>
      <c r="N1580" s="7" t="s">
        <v>71</v>
      </c>
      <c r="O1580" s="7"/>
      <c r="P1580" s="7" t="n">
        <v>14.1</v>
      </c>
      <c r="Q1580" s="7" t="n">
        <v>25</v>
      </c>
      <c r="R1580" s="7" t="s">
        <v>87</v>
      </c>
      <c r="S1580" s="7"/>
      <c r="T1580" s="7"/>
      <c r="U1580" s="7" t="str">
        <f aca="false">IF(COUNTIF($A$2:$A$5001,A1580)&gt;1,"Duplicate","Unique")</f>
        <v>Unique</v>
      </c>
      <c r="V1580" s="7" t="str">
        <f aca="false">IF(COUNTIFS($B$2:$B$5001,B1580,$H$2:$H$5001,H1580,$J$2:$J$5001,J1580)&gt;1,"Possible Duplicate Booking","Unique")</f>
        <v>Unique</v>
      </c>
      <c r="W1580" s="7" t="str">
        <f aca="false">IF((H1580-G1580)&lt;&gt;K1580,"Mismatch","OK")</f>
        <v>OK</v>
      </c>
      <c r="X1580" s="7" t="str">
        <f aca="false">IF(TEXT(H1580,"dddd")&lt;&gt;I1580,"Mismatch","OK")</f>
        <v>OK</v>
      </c>
      <c r="Y1580" s="7" t="str">
        <f aca="false">IF(AND(N1580="No",O1580&lt;&gt;""),"Unexpected: channel present but no reminder sent",IF(AND(N1580="Yes",O1580=""),"Missing channel for sent reminder","OK"))</f>
        <v>OK</v>
      </c>
    </row>
    <row r="1581" customFormat="false" ht="15" hidden="false" customHeight="false" outlineLevel="0" collapsed="false">
      <c r="A1581" s="9" t="s">
        <v>2705</v>
      </c>
      <c r="B1581" s="9" t="s">
        <v>1613</v>
      </c>
      <c r="C1581" s="9" t="s">
        <v>37</v>
      </c>
      <c r="D1581" s="9" t="n">
        <v>47</v>
      </c>
      <c r="E1581" s="9" t="s">
        <v>56</v>
      </c>
      <c r="F1581" s="9" t="s">
        <v>57</v>
      </c>
      <c r="G1581" s="10" t="n">
        <v>45960</v>
      </c>
      <c r="H1581" s="10" t="n">
        <v>45986</v>
      </c>
      <c r="I1581" s="9" t="s">
        <v>40</v>
      </c>
      <c r="J1581" s="9" t="s">
        <v>41</v>
      </c>
      <c r="K1581" s="9" t="n">
        <v>26</v>
      </c>
      <c r="L1581" s="9" t="n">
        <v>2</v>
      </c>
      <c r="M1581" s="9" t="n">
        <v>0</v>
      </c>
      <c r="N1581" s="9" t="s">
        <v>42</v>
      </c>
      <c r="O1581" s="9" t="s">
        <v>52</v>
      </c>
      <c r="P1581" s="9" t="n">
        <v>11.6</v>
      </c>
      <c r="Q1581" s="9" t="n">
        <v>31</v>
      </c>
      <c r="R1581" s="9" t="s">
        <v>53</v>
      </c>
      <c r="S1581" s="9"/>
      <c r="T1581" s="9"/>
      <c r="U1581" s="9" t="str">
        <f aca="false">IF(COUNTIF($A$2:$A$5001,A1581)&gt;1,"Duplicate","Unique")</f>
        <v>Unique</v>
      </c>
      <c r="V1581" s="9" t="str">
        <f aca="false">IF(COUNTIFS($B$2:$B$5001,B1581,$H$2:$H$5001,H1581,$J$2:$J$5001,J1581)&gt;1,"Possible Duplicate Booking","Unique")</f>
        <v>Unique</v>
      </c>
      <c r="W1581" s="9" t="str">
        <f aca="false">IF((H1581-G1581)&lt;&gt;K1581,"Mismatch","OK")</f>
        <v>OK</v>
      </c>
      <c r="X1581" s="9" t="str">
        <f aca="false">IF(TEXT(H1581,"dddd")&lt;&gt;I1581,"Mismatch","OK")</f>
        <v>OK</v>
      </c>
      <c r="Y1581" s="9" t="str">
        <f aca="false">IF(AND(N1581="No",O1581&lt;&gt;""),"Unexpected: channel present but no reminder sent",IF(AND(N1581="Yes",O1581=""),"Missing channel for sent reminder","OK"))</f>
        <v>OK</v>
      </c>
    </row>
    <row r="1582" customFormat="false" ht="15" hidden="false" customHeight="false" outlineLevel="0" collapsed="false">
      <c r="A1582" s="7" t="s">
        <v>2706</v>
      </c>
      <c r="B1582" s="7" t="s">
        <v>2707</v>
      </c>
      <c r="C1582" s="7" t="s">
        <v>47</v>
      </c>
      <c r="D1582" s="7" t="n">
        <v>65</v>
      </c>
      <c r="E1582" s="7" t="s">
        <v>70</v>
      </c>
      <c r="F1582" s="7" t="s">
        <v>39</v>
      </c>
      <c r="G1582" s="8" t="n">
        <v>45791</v>
      </c>
      <c r="H1582" s="8" t="n">
        <v>45819</v>
      </c>
      <c r="I1582" s="7" t="s">
        <v>58</v>
      </c>
      <c r="J1582" s="7" t="s">
        <v>41</v>
      </c>
      <c r="K1582" s="7" t="n">
        <v>28</v>
      </c>
      <c r="L1582" s="7" t="n">
        <v>2</v>
      </c>
      <c r="M1582" s="7" t="n">
        <v>0</v>
      </c>
      <c r="N1582" s="7" t="s">
        <v>71</v>
      </c>
      <c r="O1582" s="7"/>
      <c r="P1582" s="7" t="n">
        <v>7.6</v>
      </c>
      <c r="Q1582" s="7" t="n">
        <v>16</v>
      </c>
      <c r="R1582" s="7" t="s">
        <v>87</v>
      </c>
      <c r="S1582" s="7"/>
      <c r="T1582" s="7"/>
      <c r="U1582" s="7" t="str">
        <f aca="false">IF(COUNTIF($A$2:$A$5001,A1582)&gt;1,"Duplicate","Unique")</f>
        <v>Unique</v>
      </c>
      <c r="V1582" s="7" t="str">
        <f aca="false">IF(COUNTIFS($B$2:$B$5001,B1582,$H$2:$H$5001,H1582,$J$2:$J$5001,J1582)&gt;1,"Possible Duplicate Booking","Unique")</f>
        <v>Unique</v>
      </c>
      <c r="W1582" s="7" t="str">
        <f aca="false">IF((H1582-G1582)&lt;&gt;K1582,"Mismatch","OK")</f>
        <v>OK</v>
      </c>
      <c r="X1582" s="7" t="str">
        <f aca="false">IF(TEXT(H1582,"dddd")&lt;&gt;I1582,"Mismatch","OK")</f>
        <v>OK</v>
      </c>
      <c r="Y1582" s="7" t="str">
        <f aca="false">IF(AND(N1582="No",O1582&lt;&gt;""),"Unexpected: channel present but no reminder sent",IF(AND(N1582="Yes",O1582=""),"Missing channel for sent reminder","OK"))</f>
        <v>OK</v>
      </c>
    </row>
    <row r="1583" customFormat="false" ht="15" hidden="false" customHeight="false" outlineLevel="0" collapsed="false">
      <c r="A1583" s="9" t="s">
        <v>2708</v>
      </c>
      <c r="B1583" s="9" t="s">
        <v>2709</v>
      </c>
      <c r="C1583" s="9" t="s">
        <v>37</v>
      </c>
      <c r="D1583" s="9" t="n">
        <v>69</v>
      </c>
      <c r="E1583" s="9" t="s">
        <v>70</v>
      </c>
      <c r="F1583" s="9" t="s">
        <v>57</v>
      </c>
      <c r="G1583" s="10" t="n">
        <v>45755</v>
      </c>
      <c r="H1583" s="10" t="n">
        <v>45776</v>
      </c>
      <c r="I1583" s="9" t="s">
        <v>40</v>
      </c>
      <c r="J1583" s="9" t="s">
        <v>51</v>
      </c>
      <c r="K1583" s="9" t="n">
        <v>21</v>
      </c>
      <c r="L1583" s="9" t="n">
        <v>1</v>
      </c>
      <c r="M1583" s="9" t="n">
        <v>1</v>
      </c>
      <c r="N1583" s="9" t="s">
        <v>42</v>
      </c>
      <c r="O1583" s="9" t="s">
        <v>52</v>
      </c>
      <c r="P1583" s="9" t="n">
        <v>11.2</v>
      </c>
      <c r="Q1583" s="9" t="n">
        <v>19</v>
      </c>
      <c r="R1583" s="9" t="s">
        <v>87</v>
      </c>
      <c r="S1583" s="9"/>
      <c r="T1583" s="9"/>
      <c r="U1583" s="9" t="str">
        <f aca="false">IF(COUNTIF($A$2:$A$5001,A1583)&gt;1,"Duplicate","Unique")</f>
        <v>Unique</v>
      </c>
      <c r="V1583" s="9" t="str">
        <f aca="false">IF(COUNTIFS($B$2:$B$5001,B1583,$H$2:$H$5001,H1583,$J$2:$J$5001,J1583)&gt;1,"Possible Duplicate Booking","Unique")</f>
        <v>Unique</v>
      </c>
      <c r="W1583" s="9" t="str">
        <f aca="false">IF((H1583-G1583)&lt;&gt;K1583,"Mismatch","OK")</f>
        <v>OK</v>
      </c>
      <c r="X1583" s="9" t="str">
        <f aca="false">IF(TEXT(H1583,"dddd")&lt;&gt;I1583,"Mismatch","OK")</f>
        <v>OK</v>
      </c>
      <c r="Y1583" s="9" t="str">
        <f aca="false">IF(AND(N1583="No",O1583&lt;&gt;""),"Unexpected: channel present but no reminder sent",IF(AND(N1583="Yes",O1583=""),"Missing channel for sent reminder","OK"))</f>
        <v>OK</v>
      </c>
    </row>
    <row r="1584" customFormat="false" ht="15" hidden="false" customHeight="false" outlineLevel="0" collapsed="false">
      <c r="A1584" s="7" t="s">
        <v>2710</v>
      </c>
      <c r="B1584" s="7" t="s">
        <v>1699</v>
      </c>
      <c r="C1584" s="7" t="s">
        <v>47</v>
      </c>
      <c r="D1584" s="7" t="n">
        <v>25</v>
      </c>
      <c r="E1584" s="7" t="s">
        <v>48</v>
      </c>
      <c r="F1584" s="7" t="s">
        <v>57</v>
      </c>
      <c r="G1584" s="8" t="n">
        <v>45902</v>
      </c>
      <c r="H1584" s="8" t="n">
        <v>45939</v>
      </c>
      <c r="I1584" s="7" t="s">
        <v>62</v>
      </c>
      <c r="J1584" s="7" t="s">
        <v>51</v>
      </c>
      <c r="K1584" s="7" t="n">
        <v>37</v>
      </c>
      <c r="L1584" s="7" t="n">
        <v>3</v>
      </c>
      <c r="M1584" s="7" t="n">
        <v>1</v>
      </c>
      <c r="N1584" s="7" t="s">
        <v>42</v>
      </c>
      <c r="O1584" s="7" t="s">
        <v>52</v>
      </c>
      <c r="P1584" s="7" t="n">
        <v>11.4</v>
      </c>
      <c r="Q1584" s="7" t="n">
        <v>33</v>
      </c>
      <c r="R1584" s="7" t="s">
        <v>53</v>
      </c>
      <c r="S1584" s="7"/>
      <c r="T1584" s="7"/>
      <c r="U1584" s="7" t="str">
        <f aca="false">IF(COUNTIF($A$2:$A$5001,A1584)&gt;1,"Duplicate","Unique")</f>
        <v>Unique</v>
      </c>
      <c r="V1584" s="7" t="str">
        <f aca="false">IF(COUNTIFS($B$2:$B$5001,B1584,$H$2:$H$5001,H1584,$J$2:$J$5001,J1584)&gt;1,"Possible Duplicate Booking","Unique")</f>
        <v>Unique</v>
      </c>
      <c r="W1584" s="7" t="str">
        <f aca="false">IF((H1584-G1584)&lt;&gt;K1584,"Mismatch","OK")</f>
        <v>OK</v>
      </c>
      <c r="X1584" s="7" t="str">
        <f aca="false">IF(TEXT(H1584,"dddd")&lt;&gt;I1584,"Mismatch","OK")</f>
        <v>OK</v>
      </c>
      <c r="Y1584" s="7" t="str">
        <f aca="false">IF(AND(N1584="No",O1584&lt;&gt;""),"Unexpected: channel present but no reminder sent",IF(AND(N1584="Yes",O1584=""),"Missing channel for sent reminder","OK"))</f>
        <v>OK</v>
      </c>
    </row>
    <row r="1585" customFormat="false" ht="15" hidden="false" customHeight="false" outlineLevel="0" collapsed="false">
      <c r="A1585" s="9" t="s">
        <v>2711</v>
      </c>
      <c r="B1585" s="9" t="s">
        <v>2712</v>
      </c>
      <c r="C1585" s="9" t="s">
        <v>37</v>
      </c>
      <c r="D1585" s="9" t="n">
        <v>61</v>
      </c>
      <c r="E1585" s="9" t="s">
        <v>61</v>
      </c>
      <c r="F1585" s="9" t="s">
        <v>57</v>
      </c>
      <c r="G1585" s="10" t="n">
        <v>45841</v>
      </c>
      <c r="H1585" s="10" t="n">
        <v>45884</v>
      </c>
      <c r="I1585" s="9" t="s">
        <v>50</v>
      </c>
      <c r="J1585" s="9" t="s">
        <v>51</v>
      </c>
      <c r="K1585" s="9" t="n">
        <v>43</v>
      </c>
      <c r="L1585" s="9" t="n">
        <v>8</v>
      </c>
      <c r="M1585" s="9" t="n">
        <v>2</v>
      </c>
      <c r="N1585" s="9" t="s">
        <v>42</v>
      </c>
      <c r="O1585" s="9" t="s">
        <v>43</v>
      </c>
      <c r="P1585" s="9" t="n">
        <v>11.3</v>
      </c>
      <c r="Q1585" s="9" t="n">
        <v>23</v>
      </c>
      <c r="R1585" s="9" t="s">
        <v>44</v>
      </c>
      <c r="S1585" s="9"/>
      <c r="T1585" s="9"/>
      <c r="U1585" s="9" t="str">
        <f aca="false">IF(COUNTIF($A$2:$A$5001,A1585)&gt;1,"Duplicate","Unique")</f>
        <v>Unique</v>
      </c>
      <c r="V1585" s="9" t="str">
        <f aca="false">IF(COUNTIFS($B$2:$B$5001,B1585,$H$2:$H$5001,H1585,$J$2:$J$5001,J1585)&gt;1,"Possible Duplicate Booking","Unique")</f>
        <v>Unique</v>
      </c>
      <c r="W1585" s="9" t="str">
        <f aca="false">IF((H1585-G1585)&lt;&gt;K1585,"Mismatch","OK")</f>
        <v>OK</v>
      </c>
      <c r="X1585" s="9" t="str">
        <f aca="false">IF(TEXT(H1585,"dddd")&lt;&gt;I1585,"Mismatch","OK")</f>
        <v>OK</v>
      </c>
      <c r="Y1585" s="9" t="str">
        <f aca="false">IF(AND(N1585="No",O1585&lt;&gt;""),"Unexpected: channel present but no reminder sent",IF(AND(N1585="Yes",O1585=""),"Missing channel for sent reminder","OK"))</f>
        <v>OK</v>
      </c>
    </row>
    <row r="1586" customFormat="false" ht="15" hidden="false" customHeight="false" outlineLevel="0" collapsed="false">
      <c r="A1586" s="7" t="s">
        <v>2713</v>
      </c>
      <c r="B1586" s="7" t="s">
        <v>1974</v>
      </c>
      <c r="C1586" s="7" t="s">
        <v>47</v>
      </c>
      <c r="D1586" s="7" t="n">
        <v>39</v>
      </c>
      <c r="E1586" s="7" t="s">
        <v>38</v>
      </c>
      <c r="F1586" s="7" t="s">
        <v>57</v>
      </c>
      <c r="G1586" s="8" t="n">
        <v>45961</v>
      </c>
      <c r="H1586" s="8" t="n">
        <v>46005</v>
      </c>
      <c r="I1586" s="7" t="s">
        <v>75</v>
      </c>
      <c r="J1586" s="7" t="s">
        <v>41</v>
      </c>
      <c r="K1586" s="7" t="n">
        <v>44</v>
      </c>
      <c r="L1586" s="7" t="n">
        <v>5</v>
      </c>
      <c r="M1586" s="7" t="n">
        <v>0</v>
      </c>
      <c r="N1586" s="7" t="s">
        <v>42</v>
      </c>
      <c r="O1586" s="7" t="s">
        <v>52</v>
      </c>
      <c r="P1586" s="7" t="n">
        <v>6.7</v>
      </c>
      <c r="Q1586" s="7" t="n">
        <v>14</v>
      </c>
      <c r="R1586" s="7" t="s">
        <v>44</v>
      </c>
      <c r="S1586" s="7"/>
      <c r="T1586" s="7"/>
      <c r="U1586" s="7" t="str">
        <f aca="false">IF(COUNTIF($A$2:$A$5001,A1586)&gt;1,"Duplicate","Unique")</f>
        <v>Unique</v>
      </c>
      <c r="V1586" s="7" t="str">
        <f aca="false">IF(COUNTIFS($B$2:$B$5001,B1586,$H$2:$H$5001,H1586,$J$2:$J$5001,J1586)&gt;1,"Possible Duplicate Booking","Unique")</f>
        <v>Unique</v>
      </c>
      <c r="W1586" s="7" t="str">
        <f aca="false">IF((H1586-G1586)&lt;&gt;K1586,"Mismatch","OK")</f>
        <v>OK</v>
      </c>
      <c r="X1586" s="7" t="str">
        <f aca="false">IF(TEXT(H1586,"dddd")&lt;&gt;I1586,"Mismatch","OK")</f>
        <v>OK</v>
      </c>
      <c r="Y1586" s="7" t="str">
        <f aca="false">IF(AND(N1586="No",O1586&lt;&gt;""),"Unexpected: channel present but no reminder sent",IF(AND(N1586="Yes",O1586=""),"Missing channel for sent reminder","OK"))</f>
        <v>OK</v>
      </c>
    </row>
    <row r="1587" customFormat="false" ht="15" hidden="false" customHeight="false" outlineLevel="0" collapsed="false">
      <c r="A1587" s="9" t="s">
        <v>2714</v>
      </c>
      <c r="B1587" s="9" t="s">
        <v>1133</v>
      </c>
      <c r="C1587" s="9" t="s">
        <v>37</v>
      </c>
      <c r="D1587" s="9" t="n">
        <v>26</v>
      </c>
      <c r="E1587" s="9" t="s">
        <v>48</v>
      </c>
      <c r="F1587" s="9" t="s">
        <v>57</v>
      </c>
      <c r="G1587" s="10" t="n">
        <v>45796</v>
      </c>
      <c r="H1587" s="10" t="n">
        <v>45831</v>
      </c>
      <c r="I1587" s="9" t="s">
        <v>66</v>
      </c>
      <c r="J1587" s="9" t="s">
        <v>51</v>
      </c>
      <c r="K1587" s="9" t="n">
        <v>35</v>
      </c>
      <c r="L1587" s="9" t="n">
        <v>1</v>
      </c>
      <c r="M1587" s="9" t="n">
        <v>1</v>
      </c>
      <c r="N1587" s="9" t="s">
        <v>42</v>
      </c>
      <c r="O1587" s="9" t="s">
        <v>43</v>
      </c>
      <c r="P1587" s="9" t="n">
        <v>6.1</v>
      </c>
      <c r="Q1587" s="9" t="n">
        <v>33</v>
      </c>
      <c r="R1587" s="9" t="s">
        <v>44</v>
      </c>
      <c r="S1587" s="9"/>
      <c r="T1587" s="9"/>
      <c r="U1587" s="9" t="str">
        <f aca="false">IF(COUNTIF($A$2:$A$5001,A1587)&gt;1,"Duplicate","Unique")</f>
        <v>Unique</v>
      </c>
      <c r="V1587" s="9" t="str">
        <f aca="false">IF(COUNTIFS($B$2:$B$5001,B1587,$H$2:$H$5001,H1587,$J$2:$J$5001,J1587)&gt;1,"Possible Duplicate Booking","Unique")</f>
        <v>Unique</v>
      </c>
      <c r="W1587" s="9" t="str">
        <f aca="false">IF((H1587-G1587)&lt;&gt;K1587,"Mismatch","OK")</f>
        <v>OK</v>
      </c>
      <c r="X1587" s="9" t="str">
        <f aca="false">IF(TEXT(H1587,"dddd")&lt;&gt;I1587,"Mismatch","OK")</f>
        <v>OK</v>
      </c>
      <c r="Y1587" s="9" t="str">
        <f aca="false">IF(AND(N1587="No",O1587&lt;&gt;""),"Unexpected: channel present but no reminder sent",IF(AND(N1587="Yes",O1587=""),"Missing channel for sent reminder","OK"))</f>
        <v>OK</v>
      </c>
    </row>
    <row r="1588" customFormat="false" ht="15" hidden="false" customHeight="false" outlineLevel="0" collapsed="false">
      <c r="A1588" s="7" t="s">
        <v>2715</v>
      </c>
      <c r="B1588" s="7" t="s">
        <v>2716</v>
      </c>
      <c r="C1588" s="7" t="s">
        <v>47</v>
      </c>
      <c r="D1588" s="7" t="n">
        <v>28</v>
      </c>
      <c r="E1588" s="7" t="s">
        <v>48</v>
      </c>
      <c r="F1588" s="7" t="s">
        <v>57</v>
      </c>
      <c r="G1588" s="8" t="n">
        <v>46074</v>
      </c>
      <c r="H1588" s="8" t="n">
        <v>46107</v>
      </c>
      <c r="I1588" s="7" t="s">
        <v>62</v>
      </c>
      <c r="J1588" s="7" t="s">
        <v>51</v>
      </c>
      <c r="K1588" s="7" t="n">
        <v>33</v>
      </c>
      <c r="L1588" s="7" t="n">
        <v>3</v>
      </c>
      <c r="M1588" s="7" t="n">
        <v>0</v>
      </c>
      <c r="N1588" s="7" t="s">
        <v>71</v>
      </c>
      <c r="O1588" s="7"/>
      <c r="P1588" s="7" t="n">
        <v>4.8</v>
      </c>
      <c r="Q1588" s="7" t="n">
        <v>32</v>
      </c>
      <c r="R1588" s="7" t="s">
        <v>53</v>
      </c>
      <c r="S1588" s="7"/>
      <c r="T1588" s="7"/>
      <c r="U1588" s="7" t="str">
        <f aca="false">IF(COUNTIF($A$2:$A$5001,A1588)&gt;1,"Duplicate","Unique")</f>
        <v>Unique</v>
      </c>
      <c r="V1588" s="7" t="str">
        <f aca="false">IF(COUNTIFS($B$2:$B$5001,B1588,$H$2:$H$5001,H1588,$J$2:$J$5001,J1588)&gt;1,"Possible Duplicate Booking","Unique")</f>
        <v>Unique</v>
      </c>
      <c r="W1588" s="7" t="str">
        <f aca="false">IF((H1588-G1588)&lt;&gt;K1588,"Mismatch","OK")</f>
        <v>OK</v>
      </c>
      <c r="X1588" s="7" t="str">
        <f aca="false">IF(TEXT(H1588,"dddd")&lt;&gt;I1588,"Mismatch","OK")</f>
        <v>OK</v>
      </c>
      <c r="Y1588" s="7" t="str">
        <f aca="false">IF(AND(N1588="No",O1588&lt;&gt;""),"Unexpected: channel present but no reminder sent",IF(AND(N1588="Yes",O1588=""),"Missing channel for sent reminder","OK"))</f>
        <v>OK</v>
      </c>
    </row>
    <row r="1589" customFormat="false" ht="15" hidden="false" customHeight="false" outlineLevel="0" collapsed="false">
      <c r="A1589" s="9" t="s">
        <v>2717</v>
      </c>
      <c r="B1589" s="9" t="s">
        <v>2718</v>
      </c>
      <c r="C1589" s="9" t="s">
        <v>47</v>
      </c>
      <c r="D1589" s="9" t="n">
        <v>25</v>
      </c>
      <c r="E1589" s="9" t="s">
        <v>48</v>
      </c>
      <c r="F1589" s="9" t="s">
        <v>49</v>
      </c>
      <c r="G1589" s="10" t="n">
        <v>45671</v>
      </c>
      <c r="H1589" s="10" t="n">
        <v>45700</v>
      </c>
      <c r="I1589" s="9" t="s">
        <v>58</v>
      </c>
      <c r="J1589" s="9" t="s">
        <v>51</v>
      </c>
      <c r="K1589" s="9" t="n">
        <v>29</v>
      </c>
      <c r="L1589" s="9" t="n">
        <v>4</v>
      </c>
      <c r="M1589" s="9" t="n">
        <v>2</v>
      </c>
      <c r="N1589" s="9" t="s">
        <v>42</v>
      </c>
      <c r="O1589" s="9" t="s">
        <v>52</v>
      </c>
      <c r="P1589" s="9" t="n">
        <v>2.5</v>
      </c>
      <c r="Q1589" s="9" t="n">
        <v>27</v>
      </c>
      <c r="R1589" s="9" t="s">
        <v>44</v>
      </c>
      <c r="S1589" s="9"/>
      <c r="T1589" s="9"/>
      <c r="U1589" s="9" t="str">
        <f aca="false">IF(COUNTIF($A$2:$A$5001,A1589)&gt;1,"Duplicate","Unique")</f>
        <v>Unique</v>
      </c>
      <c r="V1589" s="9" t="str">
        <f aca="false">IF(COUNTIFS($B$2:$B$5001,B1589,$H$2:$H$5001,H1589,$J$2:$J$5001,J1589)&gt;1,"Possible Duplicate Booking","Unique")</f>
        <v>Unique</v>
      </c>
      <c r="W1589" s="9" t="str">
        <f aca="false">IF((H1589-G1589)&lt;&gt;K1589,"Mismatch","OK")</f>
        <v>OK</v>
      </c>
      <c r="X1589" s="9" t="str">
        <f aca="false">IF(TEXT(H1589,"dddd")&lt;&gt;I1589,"Mismatch","OK")</f>
        <v>OK</v>
      </c>
      <c r="Y1589" s="9" t="str">
        <f aca="false">IF(AND(N1589="No",O1589&lt;&gt;""),"Unexpected: channel present but no reminder sent",IF(AND(N1589="Yes",O1589=""),"Missing channel for sent reminder","OK"))</f>
        <v>OK</v>
      </c>
    </row>
    <row r="1590" customFormat="false" ht="15" hidden="false" customHeight="false" outlineLevel="0" collapsed="false">
      <c r="A1590" s="7" t="s">
        <v>2719</v>
      </c>
      <c r="B1590" s="7" t="s">
        <v>423</v>
      </c>
      <c r="C1590" s="7" t="s">
        <v>37</v>
      </c>
      <c r="D1590" s="7" t="n">
        <v>74</v>
      </c>
      <c r="E1590" s="7" t="s">
        <v>70</v>
      </c>
      <c r="F1590" s="7" t="s">
        <v>39</v>
      </c>
      <c r="G1590" s="8" t="n">
        <v>46114</v>
      </c>
      <c r="H1590" s="8" t="n">
        <v>46128</v>
      </c>
      <c r="I1590" s="7" t="s">
        <v>62</v>
      </c>
      <c r="J1590" s="7" t="s">
        <v>41</v>
      </c>
      <c r="K1590" s="7" t="n">
        <v>14</v>
      </c>
      <c r="L1590" s="7" t="n">
        <v>2</v>
      </c>
      <c r="M1590" s="7" t="n">
        <v>1</v>
      </c>
      <c r="N1590" s="7" t="s">
        <v>71</v>
      </c>
      <c r="O1590" s="7"/>
      <c r="P1590" s="7" t="n">
        <v>8.3</v>
      </c>
      <c r="Q1590" s="7" t="n">
        <v>29</v>
      </c>
      <c r="R1590" s="7" t="s">
        <v>53</v>
      </c>
      <c r="S1590" s="7"/>
      <c r="T1590" s="7"/>
      <c r="U1590" s="7" t="str">
        <f aca="false">IF(COUNTIF($A$2:$A$5001,A1590)&gt;1,"Duplicate","Unique")</f>
        <v>Unique</v>
      </c>
      <c r="V1590" s="7" t="str">
        <f aca="false">IF(COUNTIFS($B$2:$B$5001,B1590,$H$2:$H$5001,H1590,$J$2:$J$5001,J1590)&gt;1,"Possible Duplicate Booking","Unique")</f>
        <v>Unique</v>
      </c>
      <c r="W1590" s="7" t="str">
        <f aca="false">IF((H1590-G1590)&lt;&gt;K1590,"Mismatch","OK")</f>
        <v>OK</v>
      </c>
      <c r="X1590" s="7" t="str">
        <f aca="false">IF(TEXT(H1590,"dddd")&lt;&gt;I1590,"Mismatch","OK")</f>
        <v>OK</v>
      </c>
      <c r="Y1590" s="7" t="str">
        <f aca="false">IF(AND(N1590="No",O1590&lt;&gt;""),"Unexpected: channel present but no reminder sent",IF(AND(N1590="Yes",O1590=""),"Missing channel for sent reminder","OK"))</f>
        <v>OK</v>
      </c>
    </row>
    <row r="1591" customFormat="false" ht="15" hidden="false" customHeight="false" outlineLevel="0" collapsed="false">
      <c r="A1591" s="9" t="s">
        <v>2720</v>
      </c>
      <c r="B1591" s="9" t="s">
        <v>2721</v>
      </c>
      <c r="C1591" s="9" t="s">
        <v>37</v>
      </c>
      <c r="D1591" s="9" t="n">
        <v>66</v>
      </c>
      <c r="E1591" s="9" t="s">
        <v>70</v>
      </c>
      <c r="F1591" s="9" t="s">
        <v>39</v>
      </c>
      <c r="G1591" s="10" t="n">
        <v>45645</v>
      </c>
      <c r="H1591" s="10" t="n">
        <v>45674</v>
      </c>
      <c r="I1591" s="9" t="s">
        <v>50</v>
      </c>
      <c r="J1591" s="9" t="s">
        <v>51</v>
      </c>
      <c r="K1591" s="9" t="n">
        <v>29</v>
      </c>
      <c r="L1591" s="9" t="n">
        <v>4</v>
      </c>
      <c r="M1591" s="9" t="n">
        <v>2</v>
      </c>
      <c r="N1591" s="9" t="s">
        <v>42</v>
      </c>
      <c r="O1591" s="9" t="s">
        <v>52</v>
      </c>
      <c r="P1591" s="9" t="n">
        <v>16</v>
      </c>
      <c r="Q1591" s="9" t="n">
        <v>31</v>
      </c>
      <c r="R1591" s="9" t="s">
        <v>44</v>
      </c>
      <c r="S1591" s="9"/>
      <c r="T1591" s="9"/>
      <c r="U1591" s="9" t="str">
        <f aca="false">IF(COUNTIF($A$2:$A$5001,A1591)&gt;1,"Duplicate","Unique")</f>
        <v>Unique</v>
      </c>
      <c r="V1591" s="9" t="str">
        <f aca="false">IF(COUNTIFS($B$2:$B$5001,B1591,$H$2:$H$5001,H1591,$J$2:$J$5001,J1591)&gt;1,"Possible Duplicate Booking","Unique")</f>
        <v>Unique</v>
      </c>
      <c r="W1591" s="9" t="str">
        <f aca="false">IF((H1591-G1591)&lt;&gt;K1591,"Mismatch","OK")</f>
        <v>OK</v>
      </c>
      <c r="X1591" s="9" t="str">
        <f aca="false">IF(TEXT(H1591,"dddd")&lt;&gt;I1591,"Mismatch","OK")</f>
        <v>OK</v>
      </c>
      <c r="Y1591" s="9" t="str">
        <f aca="false">IF(AND(N1591="No",O1591&lt;&gt;""),"Unexpected: channel present but no reminder sent",IF(AND(N1591="Yes",O1591=""),"Missing channel for sent reminder","OK"))</f>
        <v>OK</v>
      </c>
    </row>
    <row r="1592" customFormat="false" ht="15" hidden="false" customHeight="false" outlineLevel="0" collapsed="false">
      <c r="A1592" s="7" t="s">
        <v>2722</v>
      </c>
      <c r="B1592" s="7" t="s">
        <v>894</v>
      </c>
      <c r="C1592" s="7" t="s">
        <v>47</v>
      </c>
      <c r="D1592" s="7" t="n">
        <v>24</v>
      </c>
      <c r="E1592" s="7" t="s">
        <v>82</v>
      </c>
      <c r="F1592" s="7" t="s">
        <v>39</v>
      </c>
      <c r="G1592" s="8" t="n">
        <v>46059</v>
      </c>
      <c r="H1592" s="8" t="n">
        <v>46059</v>
      </c>
      <c r="I1592" s="7" t="s">
        <v>50</v>
      </c>
      <c r="J1592" s="7" t="s">
        <v>41</v>
      </c>
      <c r="K1592" s="7" t="n">
        <v>0</v>
      </c>
      <c r="L1592" s="7" t="n">
        <v>1</v>
      </c>
      <c r="M1592" s="7" t="n">
        <v>0</v>
      </c>
      <c r="N1592" s="7" t="s">
        <v>71</v>
      </c>
      <c r="O1592" s="7"/>
      <c r="P1592" s="7" t="n">
        <v>5.9</v>
      </c>
      <c r="Q1592" s="7" t="n">
        <v>24</v>
      </c>
      <c r="R1592" s="7" t="s">
        <v>44</v>
      </c>
      <c r="S1592" s="7"/>
      <c r="T1592" s="7"/>
      <c r="U1592" s="7" t="str">
        <f aca="false">IF(COUNTIF($A$2:$A$5001,A1592)&gt;1,"Duplicate","Unique")</f>
        <v>Unique</v>
      </c>
      <c r="V1592" s="7" t="str">
        <f aca="false">IF(COUNTIFS($B$2:$B$5001,B1592,$H$2:$H$5001,H1592,$J$2:$J$5001,J1592)&gt;1,"Possible Duplicate Booking","Unique")</f>
        <v>Unique</v>
      </c>
      <c r="W1592" s="7" t="str">
        <f aca="false">IF((H1592-G1592)&lt;&gt;K1592,"Mismatch","OK")</f>
        <v>OK</v>
      </c>
      <c r="X1592" s="7" t="str">
        <f aca="false">IF(TEXT(H1592,"dddd")&lt;&gt;I1592,"Mismatch","OK")</f>
        <v>OK</v>
      </c>
      <c r="Y1592" s="7" t="str">
        <f aca="false">IF(AND(N1592="No",O1592&lt;&gt;""),"Unexpected: channel present but no reminder sent",IF(AND(N1592="Yes",O1592=""),"Missing channel for sent reminder","OK"))</f>
        <v>OK</v>
      </c>
    </row>
    <row r="1593" customFormat="false" ht="15" hidden="false" customHeight="false" outlineLevel="0" collapsed="false">
      <c r="A1593" s="9" t="s">
        <v>2723</v>
      </c>
      <c r="B1593" s="9" t="s">
        <v>2045</v>
      </c>
      <c r="C1593" s="9" t="s">
        <v>47</v>
      </c>
      <c r="D1593" s="9" t="n">
        <v>57</v>
      </c>
      <c r="E1593" s="9" t="s">
        <v>61</v>
      </c>
      <c r="F1593" s="9" t="s">
        <v>39</v>
      </c>
      <c r="G1593" s="10" t="n">
        <v>45789</v>
      </c>
      <c r="H1593" s="10" t="n">
        <v>45847</v>
      </c>
      <c r="I1593" s="9" t="s">
        <v>58</v>
      </c>
      <c r="J1593" s="9" t="s">
        <v>41</v>
      </c>
      <c r="K1593" s="9" t="n">
        <v>58</v>
      </c>
      <c r="L1593" s="9" t="n">
        <v>3</v>
      </c>
      <c r="M1593" s="9" t="n">
        <v>0</v>
      </c>
      <c r="N1593" s="9" t="s">
        <v>42</v>
      </c>
      <c r="O1593" s="9" t="s">
        <v>52</v>
      </c>
      <c r="P1593" s="9" t="n">
        <v>3.5</v>
      </c>
      <c r="Q1593" s="9" t="n">
        <v>28</v>
      </c>
      <c r="R1593" s="9" t="s">
        <v>44</v>
      </c>
      <c r="S1593" s="9"/>
      <c r="T1593" s="9"/>
      <c r="U1593" s="9" t="str">
        <f aca="false">IF(COUNTIF($A$2:$A$5001,A1593)&gt;1,"Duplicate","Unique")</f>
        <v>Unique</v>
      </c>
      <c r="V1593" s="9" t="str">
        <f aca="false">IF(COUNTIFS($B$2:$B$5001,B1593,$H$2:$H$5001,H1593,$J$2:$J$5001,J1593)&gt;1,"Possible Duplicate Booking","Unique")</f>
        <v>Unique</v>
      </c>
      <c r="W1593" s="9" t="str">
        <f aca="false">IF((H1593-G1593)&lt;&gt;K1593,"Mismatch","OK")</f>
        <v>OK</v>
      </c>
      <c r="X1593" s="9" t="str">
        <f aca="false">IF(TEXT(H1593,"dddd")&lt;&gt;I1593,"Mismatch","OK")</f>
        <v>OK</v>
      </c>
      <c r="Y1593" s="9" t="str">
        <f aca="false">IF(AND(N1593="No",O1593&lt;&gt;""),"Unexpected: channel present but no reminder sent",IF(AND(N1593="Yes",O1593=""),"Missing channel for sent reminder","OK"))</f>
        <v>OK</v>
      </c>
    </row>
    <row r="1594" customFormat="false" ht="15" hidden="false" customHeight="false" outlineLevel="0" collapsed="false">
      <c r="A1594" s="7" t="s">
        <v>2724</v>
      </c>
      <c r="B1594" s="7" t="s">
        <v>2725</v>
      </c>
      <c r="C1594" s="7" t="s">
        <v>37</v>
      </c>
      <c r="D1594" s="7" t="n">
        <v>59</v>
      </c>
      <c r="E1594" s="7" t="s">
        <v>61</v>
      </c>
      <c r="F1594" s="7" t="s">
        <v>57</v>
      </c>
      <c r="G1594" s="8" t="n">
        <v>45845</v>
      </c>
      <c r="H1594" s="8" t="n">
        <v>45867</v>
      </c>
      <c r="I1594" s="7" t="s">
        <v>40</v>
      </c>
      <c r="J1594" s="7" t="s">
        <v>63</v>
      </c>
      <c r="K1594" s="7" t="n">
        <v>22</v>
      </c>
      <c r="L1594" s="7" t="n">
        <v>3</v>
      </c>
      <c r="M1594" s="7" t="n">
        <v>1</v>
      </c>
      <c r="N1594" s="7" t="s">
        <v>71</v>
      </c>
      <c r="O1594" s="7"/>
      <c r="P1594" s="7" t="n">
        <v>4.9</v>
      </c>
      <c r="Q1594" s="7" t="n">
        <v>12</v>
      </c>
      <c r="R1594" s="7" t="s">
        <v>44</v>
      </c>
      <c r="S1594" s="7"/>
      <c r="T1594" s="7"/>
      <c r="U1594" s="7" t="str">
        <f aca="false">IF(COUNTIF($A$2:$A$5001,A1594)&gt;1,"Duplicate","Unique")</f>
        <v>Unique</v>
      </c>
      <c r="V1594" s="7" t="str">
        <f aca="false">IF(COUNTIFS($B$2:$B$5001,B1594,$H$2:$H$5001,H1594,$J$2:$J$5001,J1594)&gt;1,"Possible Duplicate Booking","Unique")</f>
        <v>Unique</v>
      </c>
      <c r="W1594" s="7" t="str">
        <f aca="false">IF((H1594-G1594)&lt;&gt;K1594,"Mismatch","OK")</f>
        <v>OK</v>
      </c>
      <c r="X1594" s="7" t="str">
        <f aca="false">IF(TEXT(H1594,"dddd")&lt;&gt;I1594,"Mismatch","OK")</f>
        <v>OK</v>
      </c>
      <c r="Y1594" s="7" t="str">
        <f aca="false">IF(AND(N1594="No",O1594&lt;&gt;""),"Unexpected: channel present but no reminder sent",IF(AND(N1594="Yes",O1594=""),"Missing channel for sent reminder","OK"))</f>
        <v>OK</v>
      </c>
    </row>
    <row r="1595" customFormat="false" ht="15" hidden="false" customHeight="false" outlineLevel="0" collapsed="false">
      <c r="A1595" s="9" t="s">
        <v>2726</v>
      </c>
      <c r="B1595" s="9" t="s">
        <v>2727</v>
      </c>
      <c r="C1595" s="9" t="s">
        <v>47</v>
      </c>
      <c r="D1595" s="9" t="n">
        <v>50</v>
      </c>
      <c r="E1595" s="9" t="s">
        <v>56</v>
      </c>
      <c r="F1595" s="9" t="s">
        <v>57</v>
      </c>
      <c r="G1595" s="10" t="n">
        <v>45622</v>
      </c>
      <c r="H1595" s="10" t="n">
        <v>45668</v>
      </c>
      <c r="I1595" s="9" t="s">
        <v>102</v>
      </c>
      <c r="J1595" s="9" t="s">
        <v>41</v>
      </c>
      <c r="K1595" s="9" t="n">
        <v>46</v>
      </c>
      <c r="L1595" s="9" t="n">
        <v>6</v>
      </c>
      <c r="M1595" s="9" t="n">
        <v>1</v>
      </c>
      <c r="N1595" s="9" t="s">
        <v>71</v>
      </c>
      <c r="O1595" s="9"/>
      <c r="P1595" s="9" t="n">
        <v>9.3</v>
      </c>
      <c r="Q1595" s="9" t="n">
        <v>22</v>
      </c>
      <c r="R1595" s="9" t="s">
        <v>44</v>
      </c>
      <c r="S1595" s="9"/>
      <c r="T1595" s="9"/>
      <c r="U1595" s="9" t="str">
        <f aca="false">IF(COUNTIF($A$2:$A$5001,A1595)&gt;1,"Duplicate","Unique")</f>
        <v>Unique</v>
      </c>
      <c r="V1595" s="9" t="str">
        <f aca="false">IF(COUNTIFS($B$2:$B$5001,B1595,$H$2:$H$5001,H1595,$J$2:$J$5001,J1595)&gt;1,"Possible Duplicate Booking","Unique")</f>
        <v>Unique</v>
      </c>
      <c r="W1595" s="9" t="str">
        <f aca="false">IF((H1595-G1595)&lt;&gt;K1595,"Mismatch","OK")</f>
        <v>OK</v>
      </c>
      <c r="X1595" s="9" t="str">
        <f aca="false">IF(TEXT(H1595,"dddd")&lt;&gt;I1595,"Mismatch","OK")</f>
        <v>OK</v>
      </c>
      <c r="Y1595" s="9" t="str">
        <f aca="false">IF(AND(N1595="No",O1595&lt;&gt;""),"Unexpected: channel present but no reminder sent",IF(AND(N1595="Yes",O1595=""),"Missing channel for sent reminder","OK"))</f>
        <v>OK</v>
      </c>
    </row>
    <row r="1596" customFormat="false" ht="15" hidden="false" customHeight="false" outlineLevel="0" collapsed="false">
      <c r="A1596" s="7" t="s">
        <v>2728</v>
      </c>
      <c r="B1596" s="7" t="s">
        <v>956</v>
      </c>
      <c r="C1596" s="7" t="s">
        <v>37</v>
      </c>
      <c r="D1596" s="7" t="n">
        <v>56</v>
      </c>
      <c r="E1596" s="7" t="s">
        <v>61</v>
      </c>
      <c r="F1596" s="7" t="s">
        <v>57</v>
      </c>
      <c r="G1596" s="8" t="n">
        <v>45983</v>
      </c>
      <c r="H1596" s="8" t="n">
        <v>46041</v>
      </c>
      <c r="I1596" s="7" t="s">
        <v>66</v>
      </c>
      <c r="J1596" s="7" t="s">
        <v>51</v>
      </c>
      <c r="K1596" s="7" t="n">
        <v>58</v>
      </c>
      <c r="L1596" s="7" t="n">
        <v>1</v>
      </c>
      <c r="M1596" s="7" t="n">
        <v>0</v>
      </c>
      <c r="N1596" s="7" t="s">
        <v>71</v>
      </c>
      <c r="O1596" s="7"/>
      <c r="P1596" s="7"/>
      <c r="Q1596" s="7" t="n">
        <v>35</v>
      </c>
      <c r="R1596" s="7" t="s">
        <v>44</v>
      </c>
      <c r="S1596" s="7"/>
      <c r="T1596" s="7"/>
      <c r="U1596" s="7" t="str">
        <f aca="false">IF(COUNTIF($A$2:$A$5001,A1596)&gt;1,"Duplicate","Unique")</f>
        <v>Unique</v>
      </c>
      <c r="V1596" s="7" t="str">
        <f aca="false">IF(COUNTIFS($B$2:$B$5001,B1596,$H$2:$H$5001,H1596,$J$2:$J$5001,J1596)&gt;1,"Possible Duplicate Booking","Unique")</f>
        <v>Unique</v>
      </c>
      <c r="W1596" s="7" t="str">
        <f aca="false">IF((H1596-G1596)&lt;&gt;K1596,"Mismatch","OK")</f>
        <v>OK</v>
      </c>
      <c r="X1596" s="7" t="str">
        <f aca="false">IF(TEXT(H1596,"dddd")&lt;&gt;I1596,"Mismatch","OK")</f>
        <v>OK</v>
      </c>
      <c r="Y1596" s="7" t="str">
        <f aca="false">IF(AND(N1596="No",O1596&lt;&gt;""),"Unexpected: channel present but no reminder sent",IF(AND(N1596="Yes",O1596=""),"Missing channel for sent reminder","OK"))</f>
        <v>OK</v>
      </c>
    </row>
    <row r="1597" customFormat="false" ht="15" hidden="false" customHeight="false" outlineLevel="0" collapsed="false">
      <c r="A1597" s="9" t="s">
        <v>2729</v>
      </c>
      <c r="B1597" s="9" t="s">
        <v>2730</v>
      </c>
      <c r="C1597" s="9" t="s">
        <v>37</v>
      </c>
      <c r="D1597" s="9" t="n">
        <v>75</v>
      </c>
      <c r="E1597" s="9" t="s">
        <v>70</v>
      </c>
      <c r="F1597" s="9" t="s">
        <v>39</v>
      </c>
      <c r="G1597" s="10" t="n">
        <v>45718</v>
      </c>
      <c r="H1597" s="10" t="n">
        <v>45748</v>
      </c>
      <c r="I1597" s="9" t="s">
        <v>40</v>
      </c>
      <c r="J1597" s="9" t="s">
        <v>51</v>
      </c>
      <c r="K1597" s="9" t="n">
        <v>30</v>
      </c>
      <c r="L1597" s="9" t="n">
        <v>4</v>
      </c>
      <c r="M1597" s="9" t="n">
        <v>1</v>
      </c>
      <c r="N1597" s="9" t="s">
        <v>42</v>
      </c>
      <c r="O1597" s="9" t="s">
        <v>52</v>
      </c>
      <c r="P1597" s="9" t="n">
        <v>4.5</v>
      </c>
      <c r="Q1597" s="9"/>
      <c r="R1597" s="9" t="s">
        <v>44</v>
      </c>
      <c r="S1597" s="9"/>
      <c r="T1597" s="9"/>
      <c r="U1597" s="9" t="str">
        <f aca="false">IF(COUNTIF($A$2:$A$5001,A1597)&gt;1,"Duplicate","Unique")</f>
        <v>Unique</v>
      </c>
      <c r="V1597" s="9" t="str">
        <f aca="false">IF(COUNTIFS($B$2:$B$5001,B1597,$H$2:$H$5001,H1597,$J$2:$J$5001,J1597)&gt;1,"Possible Duplicate Booking","Unique")</f>
        <v>Unique</v>
      </c>
      <c r="W1597" s="9" t="str">
        <f aca="false">IF((H1597-G1597)&lt;&gt;K1597,"Mismatch","OK")</f>
        <v>OK</v>
      </c>
      <c r="X1597" s="9" t="str">
        <f aca="false">IF(TEXT(H1597,"dddd")&lt;&gt;I1597,"Mismatch","OK")</f>
        <v>OK</v>
      </c>
      <c r="Y1597" s="9" t="str">
        <f aca="false">IF(AND(N1597="No",O1597&lt;&gt;""),"Unexpected: channel present but no reminder sent",IF(AND(N1597="Yes",O1597=""),"Missing channel for sent reminder","OK"))</f>
        <v>OK</v>
      </c>
    </row>
    <row r="1598" customFormat="false" ht="15" hidden="false" customHeight="false" outlineLevel="0" collapsed="false">
      <c r="A1598" s="7" t="s">
        <v>2731</v>
      </c>
      <c r="B1598" s="7" t="s">
        <v>2732</v>
      </c>
      <c r="C1598" s="7" t="s">
        <v>37</v>
      </c>
      <c r="D1598" s="7" t="n">
        <v>50</v>
      </c>
      <c r="E1598" s="7" t="s">
        <v>56</v>
      </c>
      <c r="F1598" s="7" t="s">
        <v>39</v>
      </c>
      <c r="G1598" s="8" t="n">
        <v>45965</v>
      </c>
      <c r="H1598" s="8" t="n">
        <v>46017</v>
      </c>
      <c r="I1598" s="7" t="s">
        <v>50</v>
      </c>
      <c r="J1598" s="7" t="s">
        <v>41</v>
      </c>
      <c r="K1598" s="7" t="n">
        <v>52</v>
      </c>
      <c r="L1598" s="7" t="n">
        <v>5</v>
      </c>
      <c r="M1598" s="7" t="n">
        <v>1</v>
      </c>
      <c r="N1598" s="7" t="s">
        <v>42</v>
      </c>
      <c r="O1598" s="7" t="s">
        <v>67</v>
      </c>
      <c r="P1598" s="7" t="n">
        <v>8.4</v>
      </c>
      <c r="Q1598" s="7" t="n">
        <v>26</v>
      </c>
      <c r="R1598" s="7" t="s">
        <v>53</v>
      </c>
      <c r="S1598" s="7"/>
      <c r="T1598" s="7"/>
      <c r="U1598" s="7" t="str">
        <f aca="false">IF(COUNTIF($A$2:$A$5001,A1598)&gt;1,"Duplicate","Unique")</f>
        <v>Unique</v>
      </c>
      <c r="V1598" s="7" t="str">
        <f aca="false">IF(COUNTIFS($B$2:$B$5001,B1598,$H$2:$H$5001,H1598,$J$2:$J$5001,J1598)&gt;1,"Possible Duplicate Booking","Unique")</f>
        <v>Unique</v>
      </c>
      <c r="W1598" s="7" t="str">
        <f aca="false">IF((H1598-G1598)&lt;&gt;K1598,"Mismatch","OK")</f>
        <v>OK</v>
      </c>
      <c r="X1598" s="7" t="str">
        <f aca="false">IF(TEXT(H1598,"dddd")&lt;&gt;I1598,"Mismatch","OK")</f>
        <v>OK</v>
      </c>
      <c r="Y1598" s="7" t="str">
        <f aca="false">IF(AND(N1598="No",O1598&lt;&gt;""),"Unexpected: channel present but no reminder sent",IF(AND(N1598="Yes",O1598=""),"Missing channel for sent reminder","OK"))</f>
        <v>OK</v>
      </c>
    </row>
    <row r="1599" customFormat="false" ht="15" hidden="false" customHeight="false" outlineLevel="0" collapsed="false">
      <c r="A1599" s="9" t="s">
        <v>2733</v>
      </c>
      <c r="B1599" s="9" t="s">
        <v>2734</v>
      </c>
      <c r="C1599" s="9" t="s">
        <v>37</v>
      </c>
      <c r="D1599" s="9" t="n">
        <v>59</v>
      </c>
      <c r="E1599" s="9" t="s">
        <v>61</v>
      </c>
      <c r="F1599" s="9" t="s">
        <v>57</v>
      </c>
      <c r="G1599" s="10" t="n">
        <v>46024</v>
      </c>
      <c r="H1599" s="10" t="n">
        <v>46053</v>
      </c>
      <c r="I1599" s="9" t="s">
        <v>102</v>
      </c>
      <c r="J1599" s="9" t="s">
        <v>51</v>
      </c>
      <c r="K1599" s="9" t="n">
        <v>29</v>
      </c>
      <c r="L1599" s="9" t="n">
        <v>4</v>
      </c>
      <c r="M1599" s="9" t="n">
        <v>0</v>
      </c>
      <c r="N1599" s="9" t="s">
        <v>71</v>
      </c>
      <c r="O1599" s="9"/>
      <c r="P1599" s="9" t="n">
        <v>7.5</v>
      </c>
      <c r="Q1599" s="9" t="n">
        <v>15</v>
      </c>
      <c r="R1599" s="9" t="s">
        <v>53</v>
      </c>
      <c r="S1599" s="9"/>
      <c r="T1599" s="9"/>
      <c r="U1599" s="9" t="str">
        <f aca="false">IF(COUNTIF($A$2:$A$5001,A1599)&gt;1,"Duplicate","Unique")</f>
        <v>Unique</v>
      </c>
      <c r="V1599" s="9" t="str">
        <f aca="false">IF(COUNTIFS($B$2:$B$5001,B1599,$H$2:$H$5001,H1599,$J$2:$J$5001,J1599)&gt;1,"Possible Duplicate Booking","Unique")</f>
        <v>Unique</v>
      </c>
      <c r="W1599" s="9" t="str">
        <f aca="false">IF((H1599-G1599)&lt;&gt;K1599,"Mismatch","OK")</f>
        <v>OK</v>
      </c>
      <c r="X1599" s="9" t="str">
        <f aca="false">IF(TEXT(H1599,"dddd")&lt;&gt;I1599,"Mismatch","OK")</f>
        <v>OK</v>
      </c>
      <c r="Y1599" s="9" t="str">
        <f aca="false">IF(AND(N1599="No",O1599&lt;&gt;""),"Unexpected: channel present but no reminder sent",IF(AND(N1599="Yes",O1599=""),"Missing channel for sent reminder","OK"))</f>
        <v>OK</v>
      </c>
    </row>
    <row r="1600" customFormat="false" ht="15" hidden="false" customHeight="false" outlineLevel="0" collapsed="false">
      <c r="A1600" s="7" t="s">
        <v>2735</v>
      </c>
      <c r="B1600" s="7" t="s">
        <v>2709</v>
      </c>
      <c r="C1600" s="7" t="s">
        <v>37</v>
      </c>
      <c r="D1600" s="7" t="n">
        <v>53</v>
      </c>
      <c r="E1600" s="7" t="s">
        <v>56</v>
      </c>
      <c r="F1600" s="7" t="s">
        <v>39</v>
      </c>
      <c r="G1600" s="8" t="n">
        <v>46111</v>
      </c>
      <c r="H1600" s="8" t="n">
        <v>46119</v>
      </c>
      <c r="I1600" s="7" t="s">
        <v>40</v>
      </c>
      <c r="J1600" s="7" t="s">
        <v>63</v>
      </c>
      <c r="K1600" s="7" t="n">
        <v>8</v>
      </c>
      <c r="L1600" s="7" t="n">
        <v>1</v>
      </c>
      <c r="M1600" s="7" t="n">
        <v>0</v>
      </c>
      <c r="N1600" s="7" t="s">
        <v>42</v>
      </c>
      <c r="O1600" s="7" t="s">
        <v>43</v>
      </c>
      <c r="P1600" s="7" t="n">
        <v>12.3</v>
      </c>
      <c r="Q1600" s="7" t="n">
        <v>21</v>
      </c>
      <c r="R1600" s="7" t="s">
        <v>53</v>
      </c>
      <c r="S1600" s="7"/>
      <c r="T1600" s="7"/>
      <c r="U1600" s="7" t="str">
        <f aca="false">IF(COUNTIF($A$2:$A$5001,A1600)&gt;1,"Duplicate","Unique")</f>
        <v>Unique</v>
      </c>
      <c r="V1600" s="7" t="str">
        <f aca="false">IF(COUNTIFS($B$2:$B$5001,B1600,$H$2:$H$5001,H1600,$J$2:$J$5001,J1600)&gt;1,"Possible Duplicate Booking","Unique")</f>
        <v>Unique</v>
      </c>
      <c r="W1600" s="7" t="str">
        <f aca="false">IF((H1600-G1600)&lt;&gt;K1600,"Mismatch","OK")</f>
        <v>OK</v>
      </c>
      <c r="X1600" s="7" t="str">
        <f aca="false">IF(TEXT(H1600,"dddd")&lt;&gt;I1600,"Mismatch","OK")</f>
        <v>OK</v>
      </c>
      <c r="Y1600" s="7" t="str">
        <f aca="false">IF(AND(N1600="No",O1600&lt;&gt;""),"Unexpected: channel present but no reminder sent",IF(AND(N1600="Yes",O1600=""),"Missing channel for sent reminder","OK"))</f>
        <v>OK</v>
      </c>
    </row>
    <row r="1601" customFormat="false" ht="15" hidden="false" customHeight="false" outlineLevel="0" collapsed="false">
      <c r="A1601" s="9" t="s">
        <v>2736</v>
      </c>
      <c r="B1601" s="9" t="s">
        <v>2737</v>
      </c>
      <c r="C1601" s="9" t="s">
        <v>37</v>
      </c>
      <c r="D1601" s="9" t="n">
        <v>42</v>
      </c>
      <c r="E1601" s="9" t="s">
        <v>38</v>
      </c>
      <c r="F1601" s="9" t="s">
        <v>74</v>
      </c>
      <c r="G1601" s="10" t="n">
        <v>46043</v>
      </c>
      <c r="H1601" s="10" t="n">
        <v>46044</v>
      </c>
      <c r="I1601" s="9" t="s">
        <v>62</v>
      </c>
      <c r="J1601" s="9" t="s">
        <v>41</v>
      </c>
      <c r="K1601" s="9" t="n">
        <v>1</v>
      </c>
      <c r="L1601" s="9" t="n">
        <v>4</v>
      </c>
      <c r="M1601" s="9" t="n">
        <v>1</v>
      </c>
      <c r="N1601" s="9" t="s">
        <v>42</v>
      </c>
      <c r="O1601" s="9" t="s">
        <v>43</v>
      </c>
      <c r="P1601" s="9" t="n">
        <v>20.1</v>
      </c>
      <c r="Q1601" s="9" t="n">
        <v>9</v>
      </c>
      <c r="R1601" s="9" t="s">
        <v>53</v>
      </c>
      <c r="S1601" s="9"/>
      <c r="T1601" s="9"/>
      <c r="U1601" s="9" t="str">
        <f aca="false">IF(COUNTIF($A$2:$A$5001,A1601)&gt;1,"Duplicate","Unique")</f>
        <v>Unique</v>
      </c>
      <c r="V1601" s="9" t="str">
        <f aca="false">IF(COUNTIFS($B$2:$B$5001,B1601,$H$2:$H$5001,H1601,$J$2:$J$5001,J1601)&gt;1,"Possible Duplicate Booking","Unique")</f>
        <v>Unique</v>
      </c>
      <c r="W1601" s="9" t="str">
        <f aca="false">IF((H1601-G1601)&lt;&gt;K1601,"Mismatch","OK")</f>
        <v>OK</v>
      </c>
      <c r="X1601" s="9" t="str">
        <f aca="false">IF(TEXT(H1601,"dddd")&lt;&gt;I1601,"Mismatch","OK")</f>
        <v>OK</v>
      </c>
      <c r="Y1601" s="9" t="str">
        <f aca="false">IF(AND(N1601="No",O1601&lt;&gt;""),"Unexpected: channel present but no reminder sent",IF(AND(N1601="Yes",O1601=""),"Missing channel for sent reminder","OK"))</f>
        <v>OK</v>
      </c>
    </row>
    <row r="1602" customFormat="false" ht="15" hidden="false" customHeight="false" outlineLevel="0" collapsed="false">
      <c r="A1602" s="7" t="s">
        <v>2738</v>
      </c>
      <c r="B1602" s="7" t="s">
        <v>463</v>
      </c>
      <c r="C1602" s="7" t="s">
        <v>37</v>
      </c>
      <c r="D1602" s="7" t="n">
        <v>74</v>
      </c>
      <c r="E1602" s="7" t="s">
        <v>70</v>
      </c>
      <c r="F1602" s="7" t="s">
        <v>57</v>
      </c>
      <c r="G1602" s="8" t="n">
        <v>45814</v>
      </c>
      <c r="H1602" s="8" t="n">
        <v>45822</v>
      </c>
      <c r="I1602" s="7" t="s">
        <v>102</v>
      </c>
      <c r="J1602" s="7" t="s">
        <v>51</v>
      </c>
      <c r="K1602" s="7" t="n">
        <v>8</v>
      </c>
      <c r="L1602" s="7" t="n">
        <v>3</v>
      </c>
      <c r="M1602" s="7" t="n">
        <v>0</v>
      </c>
      <c r="N1602" s="7" t="s">
        <v>42</v>
      </c>
      <c r="O1602" s="7" t="s">
        <v>43</v>
      </c>
      <c r="P1602" s="7" t="n">
        <v>5.8</v>
      </c>
      <c r="Q1602" s="7" t="n">
        <v>32</v>
      </c>
      <c r="R1602" s="7" t="s">
        <v>53</v>
      </c>
      <c r="S1602" s="7"/>
      <c r="T1602" s="7"/>
      <c r="U1602" s="7" t="str">
        <f aca="false">IF(COUNTIF($A$2:$A$5001,A1602)&gt;1,"Duplicate","Unique")</f>
        <v>Unique</v>
      </c>
      <c r="V1602" s="7" t="str">
        <f aca="false">IF(COUNTIFS($B$2:$B$5001,B1602,$H$2:$H$5001,H1602,$J$2:$J$5001,J1602)&gt;1,"Possible Duplicate Booking","Unique")</f>
        <v>Unique</v>
      </c>
      <c r="W1602" s="7" t="str">
        <f aca="false">IF((H1602-G1602)&lt;&gt;K1602,"Mismatch","OK")</f>
        <v>OK</v>
      </c>
      <c r="X1602" s="7" t="str">
        <f aca="false">IF(TEXT(H1602,"dddd")&lt;&gt;I1602,"Mismatch","OK")</f>
        <v>OK</v>
      </c>
      <c r="Y1602" s="7" t="str">
        <f aca="false">IF(AND(N1602="No",O1602&lt;&gt;""),"Unexpected: channel present but no reminder sent",IF(AND(N1602="Yes",O1602=""),"Missing channel for sent reminder","OK"))</f>
        <v>OK</v>
      </c>
    </row>
    <row r="1603" customFormat="false" ht="15" hidden="false" customHeight="false" outlineLevel="0" collapsed="false">
      <c r="A1603" s="9" t="s">
        <v>2739</v>
      </c>
      <c r="B1603" s="9" t="s">
        <v>2740</v>
      </c>
      <c r="C1603" s="9" t="s">
        <v>37</v>
      </c>
      <c r="D1603" s="9" t="n">
        <v>44</v>
      </c>
      <c r="E1603" s="9" t="s">
        <v>38</v>
      </c>
      <c r="F1603" s="9" t="s">
        <v>39</v>
      </c>
      <c r="G1603" s="10" t="n">
        <v>46004</v>
      </c>
      <c r="H1603" s="10" t="n">
        <v>46061</v>
      </c>
      <c r="I1603" s="9" t="s">
        <v>75</v>
      </c>
      <c r="J1603" s="9" t="s">
        <v>51</v>
      </c>
      <c r="K1603" s="9" t="n">
        <v>57</v>
      </c>
      <c r="L1603" s="9" t="n">
        <v>0</v>
      </c>
      <c r="M1603" s="9" t="n">
        <v>0</v>
      </c>
      <c r="N1603" s="9" t="s">
        <v>71</v>
      </c>
      <c r="O1603" s="9"/>
      <c r="P1603" s="9" t="n">
        <v>5.1</v>
      </c>
      <c r="Q1603" s="9" t="n">
        <v>25</v>
      </c>
      <c r="R1603" s="9" t="s">
        <v>44</v>
      </c>
      <c r="S1603" s="9"/>
      <c r="T1603" s="9"/>
      <c r="U1603" s="9" t="str">
        <f aca="false">IF(COUNTIF($A$2:$A$5001,A1603)&gt;1,"Duplicate","Unique")</f>
        <v>Unique</v>
      </c>
      <c r="V1603" s="9" t="str">
        <f aca="false">IF(COUNTIFS($B$2:$B$5001,B1603,$H$2:$H$5001,H1603,$J$2:$J$5001,J1603)&gt;1,"Possible Duplicate Booking","Unique")</f>
        <v>Unique</v>
      </c>
      <c r="W1603" s="9" t="str">
        <f aca="false">IF((H1603-G1603)&lt;&gt;K1603,"Mismatch","OK")</f>
        <v>OK</v>
      </c>
      <c r="X1603" s="9" t="str">
        <f aca="false">IF(TEXT(H1603,"dddd")&lt;&gt;I1603,"Mismatch","OK")</f>
        <v>OK</v>
      </c>
      <c r="Y1603" s="9" t="str">
        <f aca="false">IF(AND(N1603="No",O1603&lt;&gt;""),"Unexpected: channel present but no reminder sent",IF(AND(N1603="Yes",O1603=""),"Missing channel for sent reminder","OK"))</f>
        <v>OK</v>
      </c>
    </row>
    <row r="1604" customFormat="false" ht="15" hidden="false" customHeight="false" outlineLevel="0" collapsed="false">
      <c r="A1604" s="7" t="s">
        <v>2741</v>
      </c>
      <c r="B1604" s="7" t="s">
        <v>2742</v>
      </c>
      <c r="C1604" s="7" t="s">
        <v>47</v>
      </c>
      <c r="D1604" s="7" t="n">
        <v>68</v>
      </c>
      <c r="E1604" s="7" t="s">
        <v>70</v>
      </c>
      <c r="F1604" s="7" t="s">
        <v>39</v>
      </c>
      <c r="G1604" s="8" t="n">
        <v>46080</v>
      </c>
      <c r="H1604" s="8" t="n">
        <v>46108</v>
      </c>
      <c r="I1604" s="7" t="s">
        <v>50</v>
      </c>
      <c r="J1604" s="7" t="s">
        <v>63</v>
      </c>
      <c r="K1604" s="7" t="n">
        <v>28</v>
      </c>
      <c r="L1604" s="7" t="n">
        <v>5</v>
      </c>
      <c r="M1604" s="7" t="n">
        <v>2</v>
      </c>
      <c r="N1604" s="7" t="s">
        <v>71</v>
      </c>
      <c r="O1604" s="7"/>
      <c r="P1604" s="7" t="n">
        <v>9.2</v>
      </c>
      <c r="Q1604" s="7" t="n">
        <v>14</v>
      </c>
      <c r="R1604" s="7" t="s">
        <v>44</v>
      </c>
      <c r="S1604" s="7"/>
      <c r="T1604" s="7"/>
      <c r="U1604" s="7" t="str">
        <f aca="false">IF(COUNTIF($A$2:$A$5001,A1604)&gt;1,"Duplicate","Unique")</f>
        <v>Unique</v>
      </c>
      <c r="V1604" s="7" t="str">
        <f aca="false">IF(COUNTIFS($B$2:$B$5001,B1604,$H$2:$H$5001,H1604,$J$2:$J$5001,J1604)&gt;1,"Possible Duplicate Booking","Unique")</f>
        <v>Unique</v>
      </c>
      <c r="W1604" s="7" t="str">
        <f aca="false">IF((H1604-G1604)&lt;&gt;K1604,"Mismatch","OK")</f>
        <v>OK</v>
      </c>
      <c r="X1604" s="7" t="str">
        <f aca="false">IF(TEXT(H1604,"dddd")&lt;&gt;I1604,"Mismatch","OK")</f>
        <v>OK</v>
      </c>
      <c r="Y1604" s="7" t="str">
        <f aca="false">IF(AND(N1604="No",O1604&lt;&gt;""),"Unexpected: channel present but no reminder sent",IF(AND(N1604="Yes",O1604=""),"Missing channel for sent reminder","OK"))</f>
        <v>OK</v>
      </c>
    </row>
    <row r="1605" customFormat="false" ht="15" hidden="false" customHeight="false" outlineLevel="0" collapsed="false">
      <c r="A1605" s="9" t="s">
        <v>2743</v>
      </c>
      <c r="B1605" s="9" t="s">
        <v>231</v>
      </c>
      <c r="C1605" s="9" t="s">
        <v>47</v>
      </c>
      <c r="D1605" s="9" t="n">
        <v>56</v>
      </c>
      <c r="E1605" s="9" t="s">
        <v>61</v>
      </c>
      <c r="F1605" s="9" t="s">
        <v>49</v>
      </c>
      <c r="G1605" s="10" t="n">
        <v>45812</v>
      </c>
      <c r="H1605" s="10" t="n">
        <v>45831</v>
      </c>
      <c r="I1605" s="9" t="s">
        <v>66</v>
      </c>
      <c r="J1605" s="9" t="s">
        <v>63</v>
      </c>
      <c r="K1605" s="9" t="n">
        <v>19</v>
      </c>
      <c r="L1605" s="9" t="n">
        <v>4</v>
      </c>
      <c r="M1605" s="9" t="n">
        <v>2</v>
      </c>
      <c r="N1605" s="9" t="s">
        <v>71</v>
      </c>
      <c r="O1605" s="9"/>
      <c r="P1605" s="9" t="n">
        <v>10.5</v>
      </c>
      <c r="Q1605" s="9" t="n">
        <v>23</v>
      </c>
      <c r="R1605" s="9" t="s">
        <v>53</v>
      </c>
      <c r="S1605" s="9"/>
      <c r="T1605" s="9"/>
      <c r="U1605" s="9" t="str">
        <f aca="false">IF(COUNTIF($A$2:$A$5001,A1605)&gt;1,"Duplicate","Unique")</f>
        <v>Unique</v>
      </c>
      <c r="V1605" s="9" t="str">
        <f aca="false">IF(COUNTIFS($B$2:$B$5001,B1605,$H$2:$H$5001,H1605,$J$2:$J$5001,J1605)&gt;1,"Possible Duplicate Booking","Unique")</f>
        <v>Unique</v>
      </c>
      <c r="W1605" s="9" t="str">
        <f aca="false">IF((H1605-G1605)&lt;&gt;K1605,"Mismatch","OK")</f>
        <v>OK</v>
      </c>
      <c r="X1605" s="9" t="str">
        <f aca="false">IF(TEXT(H1605,"dddd")&lt;&gt;I1605,"Mismatch","OK")</f>
        <v>OK</v>
      </c>
      <c r="Y1605" s="9" t="str">
        <f aca="false">IF(AND(N1605="No",O1605&lt;&gt;""),"Unexpected: channel present but no reminder sent",IF(AND(N1605="Yes",O1605=""),"Missing channel for sent reminder","OK"))</f>
        <v>OK</v>
      </c>
    </row>
    <row r="1606" customFormat="false" ht="15" hidden="false" customHeight="false" outlineLevel="0" collapsed="false">
      <c r="A1606" s="7" t="s">
        <v>2744</v>
      </c>
      <c r="B1606" s="7" t="s">
        <v>2745</v>
      </c>
      <c r="C1606" s="7" t="s">
        <v>37</v>
      </c>
      <c r="D1606" s="7" t="n">
        <v>61</v>
      </c>
      <c r="E1606" s="7" t="s">
        <v>61</v>
      </c>
      <c r="F1606" s="7" t="s">
        <v>49</v>
      </c>
      <c r="G1606" s="8" t="n">
        <v>45698</v>
      </c>
      <c r="H1606" s="8" t="n">
        <v>45725</v>
      </c>
      <c r="I1606" s="7" t="s">
        <v>75</v>
      </c>
      <c r="J1606" s="7" t="s">
        <v>41</v>
      </c>
      <c r="K1606" s="7" t="n">
        <v>27</v>
      </c>
      <c r="L1606" s="7" t="n">
        <v>0</v>
      </c>
      <c r="M1606" s="7" t="n">
        <v>0</v>
      </c>
      <c r="N1606" s="7" t="s">
        <v>42</v>
      </c>
      <c r="O1606" s="7" t="s">
        <v>52</v>
      </c>
      <c r="P1606" s="7" t="n">
        <v>12.7</v>
      </c>
      <c r="Q1606" s="7" t="n">
        <v>32</v>
      </c>
      <c r="R1606" s="7" t="s">
        <v>53</v>
      </c>
      <c r="S1606" s="7"/>
      <c r="T1606" s="7"/>
      <c r="U1606" s="7" t="str">
        <f aca="false">IF(COUNTIF($A$2:$A$5001,A1606)&gt;1,"Duplicate","Unique")</f>
        <v>Unique</v>
      </c>
      <c r="V1606" s="7" t="str">
        <f aca="false">IF(COUNTIFS($B$2:$B$5001,B1606,$H$2:$H$5001,H1606,$J$2:$J$5001,J1606)&gt;1,"Possible Duplicate Booking","Unique")</f>
        <v>Unique</v>
      </c>
      <c r="W1606" s="7" t="str">
        <f aca="false">IF((H1606-G1606)&lt;&gt;K1606,"Mismatch","OK")</f>
        <v>OK</v>
      </c>
      <c r="X1606" s="7" t="str">
        <f aca="false">IF(TEXT(H1606,"dddd")&lt;&gt;I1606,"Mismatch","OK")</f>
        <v>OK</v>
      </c>
      <c r="Y1606" s="7" t="str">
        <f aca="false">IF(AND(N1606="No",O1606&lt;&gt;""),"Unexpected: channel present but no reminder sent",IF(AND(N1606="Yes",O1606=""),"Missing channel for sent reminder","OK"))</f>
        <v>OK</v>
      </c>
    </row>
    <row r="1607" customFormat="false" ht="15" hidden="false" customHeight="false" outlineLevel="0" collapsed="false">
      <c r="A1607" s="9" t="s">
        <v>2746</v>
      </c>
      <c r="B1607" s="9" t="s">
        <v>1605</v>
      </c>
      <c r="C1607" s="9" t="s">
        <v>37</v>
      </c>
      <c r="D1607" s="9" t="n">
        <v>65</v>
      </c>
      <c r="E1607" s="9" t="s">
        <v>70</v>
      </c>
      <c r="F1607" s="9" t="s">
        <v>49</v>
      </c>
      <c r="G1607" s="10" t="n">
        <v>46128</v>
      </c>
      <c r="H1607" s="10" t="n">
        <v>46143</v>
      </c>
      <c r="I1607" s="9" t="s">
        <v>50</v>
      </c>
      <c r="J1607" s="9" t="s">
        <v>51</v>
      </c>
      <c r="K1607" s="9" t="n">
        <v>15</v>
      </c>
      <c r="L1607" s="9" t="n">
        <v>1</v>
      </c>
      <c r="M1607" s="9" t="n">
        <v>0</v>
      </c>
      <c r="N1607" s="9" t="s">
        <v>42</v>
      </c>
      <c r="O1607" s="9" t="s">
        <v>52</v>
      </c>
      <c r="P1607" s="9" t="n">
        <v>2.1</v>
      </c>
      <c r="Q1607" s="9" t="n">
        <v>25</v>
      </c>
      <c r="R1607" s="9" t="s">
        <v>44</v>
      </c>
      <c r="S1607" s="9"/>
      <c r="T1607" s="9"/>
      <c r="U1607" s="9" t="str">
        <f aca="false">IF(COUNTIF($A$2:$A$5001,A1607)&gt;1,"Duplicate","Unique")</f>
        <v>Unique</v>
      </c>
      <c r="V1607" s="9" t="str">
        <f aca="false">IF(COUNTIFS($B$2:$B$5001,B1607,$H$2:$H$5001,H1607,$J$2:$J$5001,J1607)&gt;1,"Possible Duplicate Booking","Unique")</f>
        <v>Unique</v>
      </c>
      <c r="W1607" s="9" t="str">
        <f aca="false">IF((H1607-G1607)&lt;&gt;K1607,"Mismatch","OK")</f>
        <v>OK</v>
      </c>
      <c r="X1607" s="9" t="str">
        <f aca="false">IF(TEXT(H1607,"dddd")&lt;&gt;I1607,"Mismatch","OK")</f>
        <v>OK</v>
      </c>
      <c r="Y1607" s="9" t="str">
        <f aca="false">IF(AND(N1607="No",O1607&lt;&gt;""),"Unexpected: channel present but no reminder sent",IF(AND(N1607="Yes",O1607=""),"Missing channel for sent reminder","OK"))</f>
        <v>OK</v>
      </c>
    </row>
    <row r="1608" customFormat="false" ht="15" hidden="false" customHeight="false" outlineLevel="0" collapsed="false">
      <c r="A1608" s="7" t="s">
        <v>2747</v>
      </c>
      <c r="B1608" s="7" t="s">
        <v>2051</v>
      </c>
      <c r="C1608" s="7" t="s">
        <v>47</v>
      </c>
      <c r="D1608" s="7" t="n">
        <v>64</v>
      </c>
      <c r="E1608" s="7" t="s">
        <v>61</v>
      </c>
      <c r="F1608" s="7" t="s">
        <v>57</v>
      </c>
      <c r="G1608" s="8" t="n">
        <v>45685</v>
      </c>
      <c r="H1608" s="8" t="n">
        <v>45738</v>
      </c>
      <c r="I1608" s="7" t="s">
        <v>102</v>
      </c>
      <c r="J1608" s="7" t="s">
        <v>41</v>
      </c>
      <c r="K1608" s="7" t="n">
        <v>53</v>
      </c>
      <c r="L1608" s="7" t="n">
        <v>1</v>
      </c>
      <c r="M1608" s="7" t="n">
        <v>1</v>
      </c>
      <c r="N1608" s="7" t="s">
        <v>71</v>
      </c>
      <c r="O1608" s="7"/>
      <c r="P1608" s="7" t="n">
        <v>27.3</v>
      </c>
      <c r="Q1608" s="7" t="n">
        <v>17</v>
      </c>
      <c r="R1608" s="7" t="s">
        <v>44</v>
      </c>
      <c r="S1608" s="7"/>
      <c r="T1608" s="7"/>
      <c r="U1608" s="7" t="str">
        <f aca="false">IF(COUNTIF($A$2:$A$5001,A1608)&gt;1,"Duplicate","Unique")</f>
        <v>Unique</v>
      </c>
      <c r="V1608" s="7" t="str">
        <f aca="false">IF(COUNTIFS($B$2:$B$5001,B1608,$H$2:$H$5001,H1608,$J$2:$J$5001,J1608)&gt;1,"Possible Duplicate Booking","Unique")</f>
        <v>Unique</v>
      </c>
      <c r="W1608" s="7" t="str">
        <f aca="false">IF((H1608-G1608)&lt;&gt;K1608,"Mismatch","OK")</f>
        <v>OK</v>
      </c>
      <c r="X1608" s="7" t="str">
        <f aca="false">IF(TEXT(H1608,"dddd")&lt;&gt;I1608,"Mismatch","OK")</f>
        <v>OK</v>
      </c>
      <c r="Y1608" s="7" t="str">
        <f aca="false">IF(AND(N1608="No",O1608&lt;&gt;""),"Unexpected: channel present but no reminder sent",IF(AND(N1608="Yes",O1608=""),"Missing channel for sent reminder","OK"))</f>
        <v>OK</v>
      </c>
    </row>
    <row r="1609" customFormat="false" ht="15" hidden="false" customHeight="false" outlineLevel="0" collapsed="false">
      <c r="A1609" s="9" t="s">
        <v>2748</v>
      </c>
      <c r="B1609" s="9" t="s">
        <v>2749</v>
      </c>
      <c r="C1609" s="9" t="s">
        <v>47</v>
      </c>
      <c r="D1609" s="9" t="n">
        <v>53</v>
      </c>
      <c r="E1609" s="9" t="s">
        <v>56</v>
      </c>
      <c r="F1609" s="9" t="s">
        <v>39</v>
      </c>
      <c r="G1609" s="10" t="n">
        <v>45922</v>
      </c>
      <c r="H1609" s="10" t="n">
        <v>45982</v>
      </c>
      <c r="I1609" s="9" t="s">
        <v>50</v>
      </c>
      <c r="J1609" s="9" t="s">
        <v>51</v>
      </c>
      <c r="K1609" s="9" t="n">
        <v>60</v>
      </c>
      <c r="L1609" s="9" t="n">
        <v>1</v>
      </c>
      <c r="M1609" s="9" t="n">
        <v>0</v>
      </c>
      <c r="N1609" s="9" t="s">
        <v>42</v>
      </c>
      <c r="O1609" s="9" t="s">
        <v>52</v>
      </c>
      <c r="P1609" s="9" t="n">
        <v>6.9</v>
      </c>
      <c r="Q1609" s="9" t="n">
        <v>36</v>
      </c>
      <c r="R1609" s="9" t="s">
        <v>44</v>
      </c>
      <c r="S1609" s="9"/>
      <c r="T1609" s="9"/>
      <c r="U1609" s="9" t="str">
        <f aca="false">IF(COUNTIF($A$2:$A$5001,A1609)&gt;1,"Duplicate","Unique")</f>
        <v>Unique</v>
      </c>
      <c r="V1609" s="9" t="str">
        <f aca="false">IF(COUNTIFS($B$2:$B$5001,B1609,$H$2:$H$5001,H1609,$J$2:$J$5001,J1609)&gt;1,"Possible Duplicate Booking","Unique")</f>
        <v>Unique</v>
      </c>
      <c r="W1609" s="9" t="str">
        <f aca="false">IF((H1609-G1609)&lt;&gt;K1609,"Mismatch","OK")</f>
        <v>OK</v>
      </c>
      <c r="X1609" s="9" t="str">
        <f aca="false">IF(TEXT(H1609,"dddd")&lt;&gt;I1609,"Mismatch","OK")</f>
        <v>OK</v>
      </c>
      <c r="Y1609" s="9" t="str">
        <f aca="false">IF(AND(N1609="No",O1609&lt;&gt;""),"Unexpected: channel present but no reminder sent",IF(AND(N1609="Yes",O1609=""),"Missing channel for sent reminder","OK"))</f>
        <v>OK</v>
      </c>
    </row>
    <row r="1610" customFormat="false" ht="15" hidden="false" customHeight="false" outlineLevel="0" collapsed="false">
      <c r="A1610" s="7" t="s">
        <v>2750</v>
      </c>
      <c r="B1610" s="7" t="s">
        <v>1293</v>
      </c>
      <c r="C1610" s="7" t="s">
        <v>47</v>
      </c>
      <c r="D1610" s="7" t="n">
        <v>56</v>
      </c>
      <c r="E1610" s="7" t="s">
        <v>61</v>
      </c>
      <c r="F1610" s="7" t="s">
        <v>49</v>
      </c>
      <c r="G1610" s="8" t="n">
        <v>45782</v>
      </c>
      <c r="H1610" s="8" t="n">
        <v>45787</v>
      </c>
      <c r="I1610" s="7" t="s">
        <v>102</v>
      </c>
      <c r="J1610" s="7" t="s">
        <v>51</v>
      </c>
      <c r="K1610" s="7" t="n">
        <v>5</v>
      </c>
      <c r="L1610" s="7" t="n">
        <v>0</v>
      </c>
      <c r="M1610" s="7" t="n">
        <v>0</v>
      </c>
      <c r="N1610" s="7" t="s">
        <v>42</v>
      </c>
      <c r="O1610" s="7" t="s">
        <v>52</v>
      </c>
      <c r="P1610" s="7" t="n">
        <v>5.4</v>
      </c>
      <c r="Q1610" s="7" t="n">
        <v>29</v>
      </c>
      <c r="R1610" s="7" t="s">
        <v>53</v>
      </c>
      <c r="S1610" s="7"/>
      <c r="T1610" s="7"/>
      <c r="U1610" s="7" t="str">
        <f aca="false">IF(COUNTIF($A$2:$A$5001,A1610)&gt;1,"Duplicate","Unique")</f>
        <v>Unique</v>
      </c>
      <c r="V1610" s="7" t="str">
        <f aca="false">IF(COUNTIFS($B$2:$B$5001,B1610,$H$2:$H$5001,H1610,$J$2:$J$5001,J1610)&gt;1,"Possible Duplicate Booking","Unique")</f>
        <v>Unique</v>
      </c>
      <c r="W1610" s="7" t="str">
        <f aca="false">IF((H1610-G1610)&lt;&gt;K1610,"Mismatch","OK")</f>
        <v>OK</v>
      </c>
      <c r="X1610" s="7" t="str">
        <f aca="false">IF(TEXT(H1610,"dddd")&lt;&gt;I1610,"Mismatch","OK")</f>
        <v>OK</v>
      </c>
      <c r="Y1610" s="7" t="str">
        <f aca="false">IF(AND(N1610="No",O1610&lt;&gt;""),"Unexpected: channel present but no reminder sent",IF(AND(N1610="Yes",O1610=""),"Missing channel for sent reminder","OK"))</f>
        <v>OK</v>
      </c>
    </row>
    <row r="1611" customFormat="false" ht="15" hidden="false" customHeight="false" outlineLevel="0" collapsed="false">
      <c r="A1611" s="9" t="s">
        <v>2751</v>
      </c>
      <c r="B1611" s="9" t="s">
        <v>1227</v>
      </c>
      <c r="C1611" s="9" t="s">
        <v>37</v>
      </c>
      <c r="D1611" s="9" t="n">
        <v>50</v>
      </c>
      <c r="E1611" s="9" t="s">
        <v>56</v>
      </c>
      <c r="F1611" s="9" t="s">
        <v>57</v>
      </c>
      <c r="G1611" s="10" t="n">
        <v>45683</v>
      </c>
      <c r="H1611" s="10" t="n">
        <v>45726</v>
      </c>
      <c r="I1611" s="9" t="s">
        <v>66</v>
      </c>
      <c r="J1611" s="9" t="s">
        <v>41</v>
      </c>
      <c r="K1611" s="9" t="n">
        <v>43</v>
      </c>
      <c r="L1611" s="9" t="n">
        <v>3</v>
      </c>
      <c r="M1611" s="9" t="n">
        <v>0</v>
      </c>
      <c r="N1611" s="9" t="s">
        <v>71</v>
      </c>
      <c r="O1611" s="9"/>
      <c r="P1611" s="9" t="n">
        <v>3.5</v>
      </c>
      <c r="Q1611" s="9" t="n">
        <v>16</v>
      </c>
      <c r="R1611" s="9" t="s">
        <v>53</v>
      </c>
      <c r="S1611" s="9"/>
      <c r="T1611" s="9"/>
      <c r="U1611" s="9" t="str">
        <f aca="false">IF(COUNTIF($A$2:$A$5001,A1611)&gt;1,"Duplicate","Unique")</f>
        <v>Unique</v>
      </c>
      <c r="V1611" s="9" t="str">
        <f aca="false">IF(COUNTIFS($B$2:$B$5001,B1611,$H$2:$H$5001,H1611,$J$2:$J$5001,J1611)&gt;1,"Possible Duplicate Booking","Unique")</f>
        <v>Unique</v>
      </c>
      <c r="W1611" s="9" t="str">
        <f aca="false">IF((H1611-G1611)&lt;&gt;K1611,"Mismatch","OK")</f>
        <v>OK</v>
      </c>
      <c r="X1611" s="9" t="str">
        <f aca="false">IF(TEXT(H1611,"dddd")&lt;&gt;I1611,"Mismatch","OK")</f>
        <v>OK</v>
      </c>
      <c r="Y1611" s="9" t="str">
        <f aca="false">IF(AND(N1611="No",O1611&lt;&gt;""),"Unexpected: channel present but no reminder sent",IF(AND(N1611="Yes",O1611=""),"Missing channel for sent reminder","OK"))</f>
        <v>OK</v>
      </c>
    </row>
    <row r="1612" customFormat="false" ht="15" hidden="false" customHeight="false" outlineLevel="0" collapsed="false">
      <c r="A1612" s="7" t="s">
        <v>2752</v>
      </c>
      <c r="B1612" s="7" t="s">
        <v>627</v>
      </c>
      <c r="C1612" s="7" t="s">
        <v>37</v>
      </c>
      <c r="D1612" s="7" t="n">
        <v>39</v>
      </c>
      <c r="E1612" s="7" t="s">
        <v>38</v>
      </c>
      <c r="F1612" s="7" t="s">
        <v>74</v>
      </c>
      <c r="G1612" s="8" t="n">
        <v>46061</v>
      </c>
      <c r="H1612" s="8" t="n">
        <v>46081</v>
      </c>
      <c r="I1612" s="7" t="s">
        <v>102</v>
      </c>
      <c r="J1612" s="7" t="s">
        <v>63</v>
      </c>
      <c r="K1612" s="7" t="n">
        <v>20</v>
      </c>
      <c r="L1612" s="7" t="n">
        <v>2</v>
      </c>
      <c r="M1612" s="7" t="n">
        <v>1</v>
      </c>
      <c r="N1612" s="7" t="s">
        <v>71</v>
      </c>
      <c r="O1612" s="7"/>
      <c r="P1612" s="7" t="n">
        <v>6</v>
      </c>
      <c r="Q1612" s="7" t="n">
        <v>25</v>
      </c>
      <c r="R1612" s="7" t="s">
        <v>53</v>
      </c>
      <c r="S1612" s="7"/>
      <c r="T1612" s="7"/>
      <c r="U1612" s="7" t="str">
        <f aca="false">IF(COUNTIF($A$2:$A$5001,A1612)&gt;1,"Duplicate","Unique")</f>
        <v>Unique</v>
      </c>
      <c r="V1612" s="7" t="str">
        <f aca="false">IF(COUNTIFS($B$2:$B$5001,B1612,$H$2:$H$5001,H1612,$J$2:$J$5001,J1612)&gt;1,"Possible Duplicate Booking","Unique")</f>
        <v>Unique</v>
      </c>
      <c r="W1612" s="7" t="str">
        <f aca="false">IF((H1612-G1612)&lt;&gt;K1612,"Mismatch","OK")</f>
        <v>OK</v>
      </c>
      <c r="X1612" s="7" t="str">
        <f aca="false">IF(TEXT(H1612,"dddd")&lt;&gt;I1612,"Mismatch","OK")</f>
        <v>OK</v>
      </c>
      <c r="Y1612" s="7" t="str">
        <f aca="false">IF(AND(N1612="No",O1612&lt;&gt;""),"Unexpected: channel present but no reminder sent",IF(AND(N1612="Yes",O1612=""),"Missing channel for sent reminder","OK"))</f>
        <v>OK</v>
      </c>
    </row>
    <row r="1613" customFormat="false" ht="15" hidden="false" customHeight="false" outlineLevel="0" collapsed="false">
      <c r="A1613" s="9" t="s">
        <v>2753</v>
      </c>
      <c r="B1613" s="9" t="s">
        <v>2019</v>
      </c>
      <c r="C1613" s="9" t="s">
        <v>37</v>
      </c>
      <c r="D1613" s="9" t="n">
        <v>63</v>
      </c>
      <c r="E1613" s="9" t="s">
        <v>61</v>
      </c>
      <c r="F1613" s="9" t="s">
        <v>57</v>
      </c>
      <c r="G1613" s="10" t="n">
        <v>45734</v>
      </c>
      <c r="H1613" s="10" t="n">
        <v>45736</v>
      </c>
      <c r="I1613" s="9" t="s">
        <v>62</v>
      </c>
      <c r="J1613" s="9" t="s">
        <v>51</v>
      </c>
      <c r="K1613" s="9" t="n">
        <v>2</v>
      </c>
      <c r="L1613" s="9" t="n">
        <v>3</v>
      </c>
      <c r="M1613" s="9" t="n">
        <v>0</v>
      </c>
      <c r="N1613" s="9" t="s">
        <v>42</v>
      </c>
      <c r="O1613" s="9" t="s">
        <v>52</v>
      </c>
      <c r="P1613" s="9" t="n">
        <v>2.4</v>
      </c>
      <c r="Q1613" s="9" t="n">
        <v>2</v>
      </c>
      <c r="R1613" s="9" t="s">
        <v>44</v>
      </c>
      <c r="S1613" s="9"/>
      <c r="T1613" s="9"/>
      <c r="U1613" s="9" t="str">
        <f aca="false">IF(COUNTIF($A$2:$A$5001,A1613)&gt;1,"Duplicate","Unique")</f>
        <v>Unique</v>
      </c>
      <c r="V1613" s="9" t="str">
        <f aca="false">IF(COUNTIFS($B$2:$B$5001,B1613,$H$2:$H$5001,H1613,$J$2:$J$5001,J1613)&gt;1,"Possible Duplicate Booking","Unique")</f>
        <v>Unique</v>
      </c>
      <c r="W1613" s="9" t="str">
        <f aca="false">IF((H1613-G1613)&lt;&gt;K1613,"Mismatch","OK")</f>
        <v>OK</v>
      </c>
      <c r="X1613" s="9" t="str">
        <f aca="false">IF(TEXT(H1613,"dddd")&lt;&gt;I1613,"Mismatch","OK")</f>
        <v>OK</v>
      </c>
      <c r="Y1613" s="9" t="str">
        <f aca="false">IF(AND(N1613="No",O1613&lt;&gt;""),"Unexpected: channel present but no reminder sent",IF(AND(N1613="Yes",O1613=""),"Missing channel for sent reminder","OK"))</f>
        <v>OK</v>
      </c>
    </row>
    <row r="1614" customFormat="false" ht="15" hidden="false" customHeight="false" outlineLevel="0" collapsed="false">
      <c r="A1614" s="7" t="s">
        <v>2754</v>
      </c>
      <c r="B1614" s="7" t="s">
        <v>2755</v>
      </c>
      <c r="C1614" s="7" t="s">
        <v>47</v>
      </c>
      <c r="D1614" s="7" t="n">
        <v>73</v>
      </c>
      <c r="E1614" s="7" t="s">
        <v>70</v>
      </c>
      <c r="F1614" s="7" t="s">
        <v>39</v>
      </c>
      <c r="G1614" s="8" t="n">
        <v>45967</v>
      </c>
      <c r="H1614" s="8" t="n">
        <v>46023</v>
      </c>
      <c r="I1614" s="7" t="s">
        <v>62</v>
      </c>
      <c r="J1614" s="7" t="s">
        <v>41</v>
      </c>
      <c r="K1614" s="7" t="n">
        <v>56</v>
      </c>
      <c r="L1614" s="7" t="n">
        <v>1</v>
      </c>
      <c r="M1614" s="7" t="n">
        <v>0</v>
      </c>
      <c r="N1614" s="7" t="s">
        <v>42</v>
      </c>
      <c r="O1614" s="7" t="s">
        <v>43</v>
      </c>
      <c r="P1614" s="7" t="n">
        <v>17.3</v>
      </c>
      <c r="Q1614" s="7" t="n">
        <v>28</v>
      </c>
      <c r="R1614" s="7" t="s">
        <v>44</v>
      </c>
      <c r="S1614" s="7"/>
      <c r="T1614" s="7"/>
      <c r="U1614" s="7" t="str">
        <f aca="false">IF(COUNTIF($A$2:$A$5001,A1614)&gt;1,"Duplicate","Unique")</f>
        <v>Unique</v>
      </c>
      <c r="V1614" s="7" t="str">
        <f aca="false">IF(COUNTIFS($B$2:$B$5001,B1614,$H$2:$H$5001,H1614,$J$2:$J$5001,J1614)&gt;1,"Possible Duplicate Booking","Unique")</f>
        <v>Unique</v>
      </c>
      <c r="W1614" s="7" t="str">
        <f aca="false">IF((H1614-G1614)&lt;&gt;K1614,"Mismatch","OK")</f>
        <v>OK</v>
      </c>
      <c r="X1614" s="7" t="str">
        <f aca="false">IF(TEXT(H1614,"dddd")&lt;&gt;I1614,"Mismatch","OK")</f>
        <v>OK</v>
      </c>
      <c r="Y1614" s="7" t="str">
        <f aca="false">IF(AND(N1614="No",O1614&lt;&gt;""),"Unexpected: channel present but no reminder sent",IF(AND(N1614="Yes",O1614=""),"Missing channel for sent reminder","OK"))</f>
        <v>OK</v>
      </c>
    </row>
    <row r="1615" customFormat="false" ht="15" hidden="false" customHeight="false" outlineLevel="0" collapsed="false">
      <c r="A1615" s="9" t="s">
        <v>2756</v>
      </c>
      <c r="B1615" s="9" t="s">
        <v>2591</v>
      </c>
      <c r="C1615" s="9" t="s">
        <v>37</v>
      </c>
      <c r="D1615" s="9" t="n">
        <v>62</v>
      </c>
      <c r="E1615" s="9" t="s">
        <v>61</v>
      </c>
      <c r="F1615" s="9" t="s">
        <v>39</v>
      </c>
      <c r="G1615" s="10" t="n">
        <v>46033</v>
      </c>
      <c r="H1615" s="10" t="n">
        <v>46036</v>
      </c>
      <c r="I1615" s="9" t="s">
        <v>58</v>
      </c>
      <c r="J1615" s="9" t="s">
        <v>51</v>
      </c>
      <c r="K1615" s="9" t="n">
        <v>3</v>
      </c>
      <c r="L1615" s="9" t="n">
        <v>1</v>
      </c>
      <c r="M1615" s="9" t="n">
        <v>0</v>
      </c>
      <c r="N1615" s="9" t="s">
        <v>71</v>
      </c>
      <c r="O1615" s="9"/>
      <c r="P1615" s="9" t="n">
        <v>7.6</v>
      </c>
      <c r="Q1615" s="9" t="n">
        <v>55</v>
      </c>
      <c r="R1615" s="9" t="s">
        <v>44</v>
      </c>
      <c r="S1615" s="9"/>
      <c r="T1615" s="9"/>
      <c r="U1615" s="9" t="str">
        <f aca="false">IF(COUNTIF($A$2:$A$5001,A1615)&gt;1,"Duplicate","Unique")</f>
        <v>Unique</v>
      </c>
      <c r="V1615" s="9" t="str">
        <f aca="false">IF(COUNTIFS($B$2:$B$5001,B1615,$H$2:$H$5001,H1615,$J$2:$J$5001,J1615)&gt;1,"Possible Duplicate Booking","Unique")</f>
        <v>Unique</v>
      </c>
      <c r="W1615" s="9" t="str">
        <f aca="false">IF((H1615-G1615)&lt;&gt;K1615,"Mismatch","OK")</f>
        <v>OK</v>
      </c>
      <c r="X1615" s="9" t="str">
        <f aca="false">IF(TEXT(H1615,"dddd")&lt;&gt;I1615,"Mismatch","OK")</f>
        <v>OK</v>
      </c>
      <c r="Y1615" s="9" t="str">
        <f aca="false">IF(AND(N1615="No",O1615&lt;&gt;""),"Unexpected: channel present but no reminder sent",IF(AND(N1615="Yes",O1615=""),"Missing channel for sent reminder","OK"))</f>
        <v>OK</v>
      </c>
    </row>
    <row r="1616" customFormat="false" ht="15" hidden="false" customHeight="false" outlineLevel="0" collapsed="false">
      <c r="A1616" s="7" t="s">
        <v>2757</v>
      </c>
      <c r="B1616" s="7" t="s">
        <v>2758</v>
      </c>
      <c r="C1616" s="7" t="s">
        <v>37</v>
      </c>
      <c r="D1616" s="7" t="n">
        <v>66</v>
      </c>
      <c r="E1616" s="7" t="s">
        <v>70</v>
      </c>
      <c r="F1616" s="7" t="s">
        <v>39</v>
      </c>
      <c r="G1616" s="8" t="n">
        <v>45678</v>
      </c>
      <c r="H1616" s="8" t="n">
        <v>45690</v>
      </c>
      <c r="I1616" s="7" t="s">
        <v>75</v>
      </c>
      <c r="J1616" s="7" t="s">
        <v>51</v>
      </c>
      <c r="K1616" s="7" t="n">
        <v>12</v>
      </c>
      <c r="L1616" s="7" t="n">
        <v>4</v>
      </c>
      <c r="M1616" s="7" t="n">
        <v>0</v>
      </c>
      <c r="N1616" s="7" t="s">
        <v>71</v>
      </c>
      <c r="O1616" s="7"/>
      <c r="P1616" s="7" t="n">
        <v>5.2</v>
      </c>
      <c r="Q1616" s="7" t="n">
        <v>37</v>
      </c>
      <c r="R1616" s="7" t="s">
        <v>53</v>
      </c>
      <c r="S1616" s="7"/>
      <c r="T1616" s="7"/>
      <c r="U1616" s="7" t="str">
        <f aca="false">IF(COUNTIF($A$2:$A$5001,A1616)&gt;1,"Duplicate","Unique")</f>
        <v>Unique</v>
      </c>
      <c r="V1616" s="7" t="str">
        <f aca="false">IF(COUNTIFS($B$2:$B$5001,B1616,$H$2:$H$5001,H1616,$J$2:$J$5001,J1616)&gt;1,"Possible Duplicate Booking","Unique")</f>
        <v>Unique</v>
      </c>
      <c r="W1616" s="7" t="str">
        <f aca="false">IF((H1616-G1616)&lt;&gt;K1616,"Mismatch","OK")</f>
        <v>OK</v>
      </c>
      <c r="X1616" s="7" t="str">
        <f aca="false">IF(TEXT(H1616,"dddd")&lt;&gt;I1616,"Mismatch","OK")</f>
        <v>OK</v>
      </c>
      <c r="Y1616" s="7" t="str">
        <f aca="false">IF(AND(N1616="No",O1616&lt;&gt;""),"Unexpected: channel present but no reminder sent",IF(AND(N1616="Yes",O1616=""),"Missing channel for sent reminder","OK"))</f>
        <v>OK</v>
      </c>
    </row>
    <row r="1617" customFormat="false" ht="15" hidden="false" customHeight="false" outlineLevel="0" collapsed="false">
      <c r="A1617" s="9" t="s">
        <v>2759</v>
      </c>
      <c r="B1617" s="9" t="s">
        <v>664</v>
      </c>
      <c r="C1617" s="9" t="s">
        <v>37</v>
      </c>
      <c r="D1617" s="9" t="n">
        <v>70</v>
      </c>
      <c r="E1617" s="9" t="s">
        <v>70</v>
      </c>
      <c r="F1617" s="9" t="s">
        <v>49</v>
      </c>
      <c r="G1617" s="10" t="n">
        <v>45751</v>
      </c>
      <c r="H1617" s="10" t="n">
        <v>45752</v>
      </c>
      <c r="I1617" s="9" t="s">
        <v>102</v>
      </c>
      <c r="J1617" s="9" t="s">
        <v>51</v>
      </c>
      <c r="K1617" s="9" t="n">
        <v>1</v>
      </c>
      <c r="L1617" s="9" t="n">
        <v>3</v>
      </c>
      <c r="M1617" s="9" t="n">
        <v>0</v>
      </c>
      <c r="N1617" s="9" t="s">
        <v>42</v>
      </c>
      <c r="O1617" s="9" t="s">
        <v>52</v>
      </c>
      <c r="P1617" s="9" t="n">
        <v>15.3</v>
      </c>
      <c r="Q1617" s="9" t="n">
        <v>23</v>
      </c>
      <c r="R1617" s="9" t="s">
        <v>53</v>
      </c>
      <c r="S1617" s="9"/>
      <c r="T1617" s="9"/>
      <c r="U1617" s="9" t="str">
        <f aca="false">IF(COUNTIF($A$2:$A$5001,A1617)&gt;1,"Duplicate","Unique")</f>
        <v>Unique</v>
      </c>
      <c r="V1617" s="9" t="str">
        <f aca="false">IF(COUNTIFS($B$2:$B$5001,B1617,$H$2:$H$5001,H1617,$J$2:$J$5001,J1617)&gt;1,"Possible Duplicate Booking","Unique")</f>
        <v>Unique</v>
      </c>
      <c r="W1617" s="9" t="str">
        <f aca="false">IF((H1617-G1617)&lt;&gt;K1617,"Mismatch","OK")</f>
        <v>OK</v>
      </c>
      <c r="X1617" s="9" t="str">
        <f aca="false">IF(TEXT(H1617,"dddd")&lt;&gt;I1617,"Mismatch","OK")</f>
        <v>OK</v>
      </c>
      <c r="Y1617" s="9" t="str">
        <f aca="false">IF(AND(N1617="No",O1617&lt;&gt;""),"Unexpected: channel present but no reminder sent",IF(AND(N1617="Yes",O1617=""),"Missing channel for sent reminder","OK"))</f>
        <v>OK</v>
      </c>
    </row>
    <row r="1618" customFormat="false" ht="15" hidden="false" customHeight="false" outlineLevel="0" collapsed="false">
      <c r="A1618" s="7" t="s">
        <v>2760</v>
      </c>
      <c r="B1618" s="7" t="s">
        <v>518</v>
      </c>
      <c r="C1618" s="7" t="s">
        <v>47</v>
      </c>
      <c r="D1618" s="7" t="n">
        <v>41</v>
      </c>
      <c r="E1618" s="7" t="s">
        <v>38</v>
      </c>
      <c r="F1618" s="7" t="s">
        <v>57</v>
      </c>
      <c r="G1618" s="8" t="n">
        <v>46063</v>
      </c>
      <c r="H1618" s="8" t="n">
        <v>46091</v>
      </c>
      <c r="I1618" s="7" t="s">
        <v>40</v>
      </c>
      <c r="J1618" s="7" t="s">
        <v>41</v>
      </c>
      <c r="K1618" s="7" t="n">
        <v>28</v>
      </c>
      <c r="L1618" s="7" t="n">
        <v>0</v>
      </c>
      <c r="M1618" s="7" t="n">
        <v>0</v>
      </c>
      <c r="N1618" s="7" t="s">
        <v>71</v>
      </c>
      <c r="O1618" s="7"/>
      <c r="P1618" s="7" t="n">
        <v>7.3</v>
      </c>
      <c r="Q1618" s="7" t="n">
        <v>27</v>
      </c>
      <c r="R1618" s="7" t="s">
        <v>53</v>
      </c>
      <c r="S1618" s="7"/>
      <c r="T1618" s="7"/>
      <c r="U1618" s="7" t="str">
        <f aca="false">IF(COUNTIF($A$2:$A$5001,A1618)&gt;1,"Duplicate","Unique")</f>
        <v>Unique</v>
      </c>
      <c r="V1618" s="7" t="str">
        <f aca="false">IF(COUNTIFS($B$2:$B$5001,B1618,$H$2:$H$5001,H1618,$J$2:$J$5001,J1618)&gt;1,"Possible Duplicate Booking","Unique")</f>
        <v>Unique</v>
      </c>
      <c r="W1618" s="7" t="str">
        <f aca="false">IF((H1618-G1618)&lt;&gt;K1618,"Mismatch","OK")</f>
        <v>OK</v>
      </c>
      <c r="X1618" s="7" t="str">
        <f aca="false">IF(TEXT(H1618,"dddd")&lt;&gt;I1618,"Mismatch","OK")</f>
        <v>OK</v>
      </c>
      <c r="Y1618" s="7" t="str">
        <f aca="false">IF(AND(N1618="No",O1618&lt;&gt;""),"Unexpected: channel present but no reminder sent",IF(AND(N1618="Yes",O1618=""),"Missing channel for sent reminder","OK"))</f>
        <v>OK</v>
      </c>
    </row>
    <row r="1619" customFormat="false" ht="15" hidden="false" customHeight="false" outlineLevel="0" collapsed="false">
      <c r="A1619" s="9" t="s">
        <v>2761</v>
      </c>
      <c r="B1619" s="9" t="s">
        <v>1631</v>
      </c>
      <c r="C1619" s="9" t="s">
        <v>37</v>
      </c>
      <c r="D1619" s="9" t="n">
        <v>21</v>
      </c>
      <c r="E1619" s="9" t="s">
        <v>82</v>
      </c>
      <c r="F1619" s="9" t="s">
        <v>39</v>
      </c>
      <c r="G1619" s="10" t="n">
        <v>45898</v>
      </c>
      <c r="H1619" s="10" t="n">
        <v>45934</v>
      </c>
      <c r="I1619" s="9" t="s">
        <v>102</v>
      </c>
      <c r="J1619" s="9" t="s">
        <v>51</v>
      </c>
      <c r="K1619" s="9" t="n">
        <v>36</v>
      </c>
      <c r="L1619" s="9" t="n">
        <v>1</v>
      </c>
      <c r="M1619" s="9" t="n">
        <v>0</v>
      </c>
      <c r="N1619" s="9" t="s">
        <v>71</v>
      </c>
      <c r="O1619" s="9"/>
      <c r="P1619" s="9" t="n">
        <v>5.1</v>
      </c>
      <c r="Q1619" s="9" t="n">
        <v>31</v>
      </c>
      <c r="R1619" s="9" t="s">
        <v>53</v>
      </c>
      <c r="S1619" s="9"/>
      <c r="T1619" s="9"/>
      <c r="U1619" s="9" t="str">
        <f aca="false">IF(COUNTIF($A$2:$A$5001,A1619)&gt;1,"Duplicate","Unique")</f>
        <v>Unique</v>
      </c>
      <c r="V1619" s="9" t="str">
        <f aca="false">IF(COUNTIFS($B$2:$B$5001,B1619,$H$2:$H$5001,H1619,$J$2:$J$5001,J1619)&gt;1,"Possible Duplicate Booking","Unique")</f>
        <v>Unique</v>
      </c>
      <c r="W1619" s="9" t="str">
        <f aca="false">IF((H1619-G1619)&lt;&gt;K1619,"Mismatch","OK")</f>
        <v>OK</v>
      </c>
      <c r="X1619" s="9" t="str">
        <f aca="false">IF(TEXT(H1619,"dddd")&lt;&gt;I1619,"Mismatch","OK")</f>
        <v>OK</v>
      </c>
      <c r="Y1619" s="9" t="str">
        <f aca="false">IF(AND(N1619="No",O1619&lt;&gt;""),"Unexpected: channel present but no reminder sent",IF(AND(N1619="Yes",O1619=""),"Missing channel for sent reminder","OK"))</f>
        <v>OK</v>
      </c>
    </row>
    <row r="1620" customFormat="false" ht="15" hidden="false" customHeight="false" outlineLevel="0" collapsed="false">
      <c r="A1620" s="7" t="s">
        <v>2762</v>
      </c>
      <c r="B1620" s="7" t="s">
        <v>2763</v>
      </c>
      <c r="C1620" s="7" t="s">
        <v>47</v>
      </c>
      <c r="D1620" s="7" t="n">
        <v>39</v>
      </c>
      <c r="E1620" s="7" t="s">
        <v>38</v>
      </c>
      <c r="F1620" s="7" t="s">
        <v>39</v>
      </c>
      <c r="G1620" s="8" t="n">
        <v>45705</v>
      </c>
      <c r="H1620" s="8" t="n">
        <v>45724</v>
      </c>
      <c r="I1620" s="7" t="s">
        <v>102</v>
      </c>
      <c r="J1620" s="7" t="s">
        <v>41</v>
      </c>
      <c r="K1620" s="7" t="n">
        <v>19</v>
      </c>
      <c r="L1620" s="7" t="n">
        <v>2</v>
      </c>
      <c r="M1620" s="7" t="n">
        <v>1</v>
      </c>
      <c r="N1620" s="7" t="s">
        <v>71</v>
      </c>
      <c r="O1620" s="7"/>
      <c r="P1620" s="7" t="n">
        <v>22.5</v>
      </c>
      <c r="Q1620" s="7" t="n">
        <v>31</v>
      </c>
      <c r="R1620" s="7" t="s">
        <v>44</v>
      </c>
      <c r="S1620" s="7"/>
      <c r="T1620" s="7"/>
      <c r="U1620" s="7" t="str">
        <f aca="false">IF(COUNTIF($A$2:$A$5001,A1620)&gt;1,"Duplicate","Unique")</f>
        <v>Unique</v>
      </c>
      <c r="V1620" s="7" t="str">
        <f aca="false">IF(COUNTIFS($B$2:$B$5001,B1620,$H$2:$H$5001,H1620,$J$2:$J$5001,J1620)&gt;1,"Possible Duplicate Booking","Unique")</f>
        <v>Unique</v>
      </c>
      <c r="W1620" s="7" t="str">
        <f aca="false">IF((H1620-G1620)&lt;&gt;K1620,"Mismatch","OK")</f>
        <v>OK</v>
      </c>
      <c r="X1620" s="7" t="str">
        <f aca="false">IF(TEXT(H1620,"dddd")&lt;&gt;I1620,"Mismatch","OK")</f>
        <v>OK</v>
      </c>
      <c r="Y1620" s="7" t="str">
        <f aca="false">IF(AND(N1620="No",O1620&lt;&gt;""),"Unexpected: channel present but no reminder sent",IF(AND(N1620="Yes",O1620=""),"Missing channel for sent reminder","OK"))</f>
        <v>OK</v>
      </c>
    </row>
    <row r="1621" customFormat="false" ht="15" hidden="false" customHeight="false" outlineLevel="0" collapsed="false">
      <c r="A1621" s="9" t="s">
        <v>2764</v>
      </c>
      <c r="B1621" s="9" t="s">
        <v>2162</v>
      </c>
      <c r="C1621" s="9" t="s">
        <v>37</v>
      </c>
      <c r="D1621" s="9" t="n">
        <v>65</v>
      </c>
      <c r="E1621" s="9" t="s">
        <v>70</v>
      </c>
      <c r="F1621" s="9" t="s">
        <v>49</v>
      </c>
      <c r="G1621" s="10" t="n">
        <v>46195</v>
      </c>
      <c r="H1621" s="10" t="n">
        <v>46199</v>
      </c>
      <c r="I1621" s="9" t="s">
        <v>50</v>
      </c>
      <c r="J1621" s="9" t="s">
        <v>51</v>
      </c>
      <c r="K1621" s="9" t="n">
        <v>4</v>
      </c>
      <c r="L1621" s="9" t="n">
        <v>5</v>
      </c>
      <c r="M1621" s="9" t="n">
        <v>2</v>
      </c>
      <c r="N1621" s="9" t="s">
        <v>42</v>
      </c>
      <c r="O1621" s="9" t="s">
        <v>67</v>
      </c>
      <c r="P1621" s="9" t="n">
        <v>6.2</v>
      </c>
      <c r="Q1621" s="9" t="n">
        <v>23</v>
      </c>
      <c r="R1621" s="9" t="s">
        <v>53</v>
      </c>
      <c r="S1621" s="9"/>
      <c r="T1621" s="9"/>
      <c r="U1621" s="9" t="str">
        <f aca="false">IF(COUNTIF($A$2:$A$5001,A1621)&gt;1,"Duplicate","Unique")</f>
        <v>Unique</v>
      </c>
      <c r="V1621" s="9" t="str">
        <f aca="false">IF(COUNTIFS($B$2:$B$5001,B1621,$H$2:$H$5001,H1621,$J$2:$J$5001,J1621)&gt;1,"Possible Duplicate Booking","Unique")</f>
        <v>Unique</v>
      </c>
      <c r="W1621" s="9" t="str">
        <f aca="false">IF((H1621-G1621)&lt;&gt;K1621,"Mismatch","OK")</f>
        <v>OK</v>
      </c>
      <c r="X1621" s="9" t="str">
        <f aca="false">IF(TEXT(H1621,"dddd")&lt;&gt;I1621,"Mismatch","OK")</f>
        <v>OK</v>
      </c>
      <c r="Y1621" s="9" t="str">
        <f aca="false">IF(AND(N1621="No",O1621&lt;&gt;""),"Unexpected: channel present but no reminder sent",IF(AND(N1621="Yes",O1621=""),"Missing channel for sent reminder","OK"))</f>
        <v>OK</v>
      </c>
    </row>
    <row r="1622" customFormat="false" ht="15" hidden="false" customHeight="false" outlineLevel="0" collapsed="false">
      <c r="A1622" s="7" t="s">
        <v>2765</v>
      </c>
      <c r="B1622" s="7" t="s">
        <v>2766</v>
      </c>
      <c r="C1622" s="7" t="s">
        <v>37</v>
      </c>
      <c r="D1622" s="7" t="n">
        <v>69</v>
      </c>
      <c r="E1622" s="7" t="s">
        <v>70</v>
      </c>
      <c r="F1622" s="7" t="s">
        <v>39</v>
      </c>
      <c r="G1622" s="8" t="n">
        <v>45795</v>
      </c>
      <c r="H1622" s="8" t="n">
        <v>45802</v>
      </c>
      <c r="I1622" s="7" t="s">
        <v>75</v>
      </c>
      <c r="J1622" s="7" t="s">
        <v>41</v>
      </c>
      <c r="K1622" s="7" t="n">
        <v>7</v>
      </c>
      <c r="L1622" s="7" t="n">
        <v>1</v>
      </c>
      <c r="M1622" s="7" t="n">
        <v>0</v>
      </c>
      <c r="N1622" s="7" t="s">
        <v>42</v>
      </c>
      <c r="O1622" s="7" t="s">
        <v>52</v>
      </c>
      <c r="P1622" s="7" t="n">
        <v>1.5</v>
      </c>
      <c r="Q1622" s="7" t="n">
        <v>2</v>
      </c>
      <c r="R1622" s="7" t="s">
        <v>53</v>
      </c>
      <c r="S1622" s="7"/>
      <c r="T1622" s="7"/>
      <c r="U1622" s="7" t="str">
        <f aca="false">IF(COUNTIF($A$2:$A$5001,A1622)&gt;1,"Duplicate","Unique")</f>
        <v>Unique</v>
      </c>
      <c r="V1622" s="7" t="str">
        <f aca="false">IF(COUNTIFS($B$2:$B$5001,B1622,$H$2:$H$5001,H1622,$J$2:$J$5001,J1622)&gt;1,"Possible Duplicate Booking","Unique")</f>
        <v>Unique</v>
      </c>
      <c r="W1622" s="7" t="str">
        <f aca="false">IF((H1622-G1622)&lt;&gt;K1622,"Mismatch","OK")</f>
        <v>OK</v>
      </c>
      <c r="X1622" s="7" t="str">
        <f aca="false">IF(TEXT(H1622,"dddd")&lt;&gt;I1622,"Mismatch","OK")</f>
        <v>OK</v>
      </c>
      <c r="Y1622" s="7" t="str">
        <f aca="false">IF(AND(N1622="No",O1622&lt;&gt;""),"Unexpected: channel present but no reminder sent",IF(AND(N1622="Yes",O1622=""),"Missing channel for sent reminder","OK"))</f>
        <v>OK</v>
      </c>
    </row>
    <row r="1623" customFormat="false" ht="15" hidden="false" customHeight="false" outlineLevel="0" collapsed="false">
      <c r="A1623" s="9" t="s">
        <v>2767</v>
      </c>
      <c r="B1623" s="9" t="s">
        <v>540</v>
      </c>
      <c r="C1623" s="9" t="s">
        <v>37</v>
      </c>
      <c r="D1623" s="9" t="n">
        <v>50</v>
      </c>
      <c r="E1623" s="9" t="s">
        <v>56</v>
      </c>
      <c r="F1623" s="9" t="s">
        <v>74</v>
      </c>
      <c r="G1623" s="10" t="n">
        <v>45604</v>
      </c>
      <c r="H1623" s="10" t="n">
        <v>45660</v>
      </c>
      <c r="I1623" s="9" t="s">
        <v>50</v>
      </c>
      <c r="J1623" s="9" t="s">
        <v>51</v>
      </c>
      <c r="K1623" s="9" t="n">
        <v>56</v>
      </c>
      <c r="L1623" s="9" t="n">
        <v>0</v>
      </c>
      <c r="M1623" s="9" t="n">
        <v>0</v>
      </c>
      <c r="N1623" s="9" t="s">
        <v>42</v>
      </c>
      <c r="O1623" s="9" t="s">
        <v>52</v>
      </c>
      <c r="P1623" s="9" t="n">
        <v>8.4</v>
      </c>
      <c r="Q1623" s="9" t="n">
        <v>21</v>
      </c>
      <c r="R1623" s="9" t="s">
        <v>53</v>
      </c>
      <c r="S1623" s="9"/>
      <c r="T1623" s="9"/>
      <c r="U1623" s="9" t="str">
        <f aca="false">IF(COUNTIF($A$2:$A$5001,A1623)&gt;1,"Duplicate","Unique")</f>
        <v>Unique</v>
      </c>
      <c r="V1623" s="9" t="str">
        <f aca="false">IF(COUNTIFS($B$2:$B$5001,B1623,$H$2:$H$5001,H1623,$J$2:$J$5001,J1623)&gt;1,"Possible Duplicate Booking","Unique")</f>
        <v>Unique</v>
      </c>
      <c r="W1623" s="9" t="str">
        <f aca="false">IF((H1623-G1623)&lt;&gt;K1623,"Mismatch","OK")</f>
        <v>OK</v>
      </c>
      <c r="X1623" s="9" t="str">
        <f aca="false">IF(TEXT(H1623,"dddd")&lt;&gt;I1623,"Mismatch","OK")</f>
        <v>OK</v>
      </c>
      <c r="Y1623" s="9" t="str">
        <f aca="false">IF(AND(N1623="No",O1623&lt;&gt;""),"Unexpected: channel present but no reminder sent",IF(AND(N1623="Yes",O1623=""),"Missing channel for sent reminder","OK"))</f>
        <v>OK</v>
      </c>
    </row>
    <row r="1624" customFormat="false" ht="15" hidden="false" customHeight="false" outlineLevel="0" collapsed="false">
      <c r="A1624" s="7" t="s">
        <v>2768</v>
      </c>
      <c r="B1624" s="7" t="s">
        <v>562</v>
      </c>
      <c r="C1624" s="7" t="s">
        <v>236</v>
      </c>
      <c r="D1624" s="7" t="n">
        <v>67</v>
      </c>
      <c r="E1624" s="7" t="s">
        <v>70</v>
      </c>
      <c r="F1624" s="7" t="s">
        <v>49</v>
      </c>
      <c r="G1624" s="8" t="n">
        <v>46113</v>
      </c>
      <c r="H1624" s="8" t="n">
        <v>46162</v>
      </c>
      <c r="I1624" s="7" t="s">
        <v>58</v>
      </c>
      <c r="J1624" s="7" t="s">
        <v>51</v>
      </c>
      <c r="K1624" s="7" t="n">
        <v>49</v>
      </c>
      <c r="L1624" s="7" t="n">
        <v>2</v>
      </c>
      <c r="M1624" s="7" t="n">
        <v>0</v>
      </c>
      <c r="N1624" s="7" t="s">
        <v>42</v>
      </c>
      <c r="O1624" s="7" t="s">
        <v>67</v>
      </c>
      <c r="P1624" s="7" t="n">
        <v>7.7</v>
      </c>
      <c r="Q1624" s="7" t="n">
        <v>18</v>
      </c>
      <c r="R1624" s="7" t="s">
        <v>53</v>
      </c>
      <c r="S1624" s="7"/>
      <c r="T1624" s="7"/>
      <c r="U1624" s="7" t="str">
        <f aca="false">IF(COUNTIF($A$2:$A$5001,A1624)&gt;1,"Duplicate","Unique")</f>
        <v>Unique</v>
      </c>
      <c r="V1624" s="7" t="str">
        <f aca="false">IF(COUNTIFS($B$2:$B$5001,B1624,$H$2:$H$5001,H1624,$J$2:$J$5001,J1624)&gt;1,"Possible Duplicate Booking","Unique")</f>
        <v>Unique</v>
      </c>
      <c r="W1624" s="7" t="str">
        <f aca="false">IF((H1624-G1624)&lt;&gt;K1624,"Mismatch","OK")</f>
        <v>OK</v>
      </c>
      <c r="X1624" s="7" t="str">
        <f aca="false">IF(TEXT(H1624,"dddd")&lt;&gt;I1624,"Mismatch","OK")</f>
        <v>OK</v>
      </c>
      <c r="Y1624" s="7" t="str">
        <f aca="false">IF(AND(N1624="No",O1624&lt;&gt;""),"Unexpected: channel present but no reminder sent",IF(AND(N1624="Yes",O1624=""),"Missing channel for sent reminder","OK"))</f>
        <v>OK</v>
      </c>
    </row>
    <row r="1625" customFormat="false" ht="15" hidden="false" customHeight="false" outlineLevel="0" collapsed="false">
      <c r="A1625" s="9" t="s">
        <v>2769</v>
      </c>
      <c r="B1625" s="9" t="s">
        <v>2770</v>
      </c>
      <c r="C1625" s="9" t="s">
        <v>37</v>
      </c>
      <c r="D1625" s="9" t="n">
        <v>22</v>
      </c>
      <c r="E1625" s="9" t="s">
        <v>82</v>
      </c>
      <c r="F1625" s="9" t="s">
        <v>57</v>
      </c>
      <c r="G1625" s="10" t="n">
        <v>45610</v>
      </c>
      <c r="H1625" s="10" t="n">
        <v>45667</v>
      </c>
      <c r="I1625" s="9" t="s">
        <v>50</v>
      </c>
      <c r="J1625" s="9" t="s">
        <v>41</v>
      </c>
      <c r="K1625" s="9" t="n">
        <v>57</v>
      </c>
      <c r="L1625" s="9" t="n">
        <v>3</v>
      </c>
      <c r="M1625" s="9" t="n">
        <v>0</v>
      </c>
      <c r="N1625" s="9" t="s">
        <v>42</v>
      </c>
      <c r="O1625" s="9" t="s">
        <v>52</v>
      </c>
      <c r="P1625" s="9" t="n">
        <v>5.3</v>
      </c>
      <c r="Q1625" s="9" t="n">
        <v>24</v>
      </c>
      <c r="R1625" s="9" t="s">
        <v>87</v>
      </c>
      <c r="S1625" s="9"/>
      <c r="T1625" s="9"/>
      <c r="U1625" s="9" t="str">
        <f aca="false">IF(COUNTIF($A$2:$A$5001,A1625)&gt;1,"Duplicate","Unique")</f>
        <v>Unique</v>
      </c>
      <c r="V1625" s="9" t="str">
        <f aca="false">IF(COUNTIFS($B$2:$B$5001,B1625,$H$2:$H$5001,H1625,$J$2:$J$5001,J1625)&gt;1,"Possible Duplicate Booking","Unique")</f>
        <v>Unique</v>
      </c>
      <c r="W1625" s="9" t="str">
        <f aca="false">IF((H1625-G1625)&lt;&gt;K1625,"Mismatch","OK")</f>
        <v>OK</v>
      </c>
      <c r="X1625" s="9" t="str">
        <f aca="false">IF(TEXT(H1625,"dddd")&lt;&gt;I1625,"Mismatch","OK")</f>
        <v>OK</v>
      </c>
      <c r="Y1625" s="9" t="str">
        <f aca="false">IF(AND(N1625="No",O1625&lt;&gt;""),"Unexpected: channel present but no reminder sent",IF(AND(N1625="Yes",O1625=""),"Missing channel for sent reminder","OK"))</f>
        <v>OK</v>
      </c>
    </row>
    <row r="1626" customFormat="false" ht="15" hidden="false" customHeight="false" outlineLevel="0" collapsed="false">
      <c r="A1626" s="7" t="s">
        <v>2771</v>
      </c>
      <c r="B1626" s="7" t="s">
        <v>2772</v>
      </c>
      <c r="C1626" s="7" t="s">
        <v>37</v>
      </c>
      <c r="D1626" s="7" t="n">
        <v>58</v>
      </c>
      <c r="E1626" s="7" t="s">
        <v>61</v>
      </c>
      <c r="F1626" s="7" t="s">
        <v>49</v>
      </c>
      <c r="G1626" s="8" t="n">
        <v>45928</v>
      </c>
      <c r="H1626" s="8" t="n">
        <v>45960</v>
      </c>
      <c r="I1626" s="7" t="s">
        <v>62</v>
      </c>
      <c r="J1626" s="7" t="s">
        <v>41</v>
      </c>
      <c r="K1626" s="7" t="n">
        <v>32</v>
      </c>
      <c r="L1626" s="7" t="n">
        <v>6</v>
      </c>
      <c r="M1626" s="7" t="n">
        <v>1</v>
      </c>
      <c r="N1626" s="7" t="s">
        <v>42</v>
      </c>
      <c r="O1626" s="7" t="s">
        <v>52</v>
      </c>
      <c r="P1626" s="7" t="n">
        <v>4.7</v>
      </c>
      <c r="Q1626" s="7" t="n">
        <v>16</v>
      </c>
      <c r="R1626" s="7" t="s">
        <v>44</v>
      </c>
      <c r="S1626" s="7"/>
      <c r="T1626" s="7"/>
      <c r="U1626" s="7" t="str">
        <f aca="false">IF(COUNTIF($A$2:$A$5001,A1626)&gt;1,"Duplicate","Unique")</f>
        <v>Unique</v>
      </c>
      <c r="V1626" s="7" t="str">
        <f aca="false">IF(COUNTIFS($B$2:$B$5001,B1626,$H$2:$H$5001,H1626,$J$2:$J$5001,J1626)&gt;1,"Possible Duplicate Booking","Unique")</f>
        <v>Unique</v>
      </c>
      <c r="W1626" s="7" t="str">
        <f aca="false">IF((H1626-G1626)&lt;&gt;K1626,"Mismatch","OK")</f>
        <v>OK</v>
      </c>
      <c r="X1626" s="7" t="str">
        <f aca="false">IF(TEXT(H1626,"dddd")&lt;&gt;I1626,"Mismatch","OK")</f>
        <v>OK</v>
      </c>
      <c r="Y1626" s="7" t="str">
        <f aca="false">IF(AND(N1626="No",O1626&lt;&gt;""),"Unexpected: channel present but no reminder sent",IF(AND(N1626="Yes",O1626=""),"Missing channel for sent reminder","OK"))</f>
        <v>OK</v>
      </c>
    </row>
    <row r="1627" customFormat="false" ht="15" hidden="false" customHeight="false" outlineLevel="0" collapsed="false">
      <c r="A1627" s="9" t="s">
        <v>2773</v>
      </c>
      <c r="B1627" s="9" t="s">
        <v>838</v>
      </c>
      <c r="C1627" s="9" t="s">
        <v>47</v>
      </c>
      <c r="D1627" s="9" t="n">
        <v>60</v>
      </c>
      <c r="E1627" s="9" t="s">
        <v>61</v>
      </c>
      <c r="F1627" s="9" t="s">
        <v>74</v>
      </c>
      <c r="G1627" s="10" t="n">
        <v>46167</v>
      </c>
      <c r="H1627" s="10" t="n">
        <v>46200</v>
      </c>
      <c r="I1627" s="9" t="s">
        <v>102</v>
      </c>
      <c r="J1627" s="9" t="s">
        <v>63</v>
      </c>
      <c r="K1627" s="9" t="n">
        <v>33</v>
      </c>
      <c r="L1627" s="9" t="n">
        <v>4</v>
      </c>
      <c r="M1627" s="9" t="n">
        <v>1</v>
      </c>
      <c r="N1627" s="9" t="s">
        <v>42</v>
      </c>
      <c r="O1627" s="9" t="s">
        <v>52</v>
      </c>
      <c r="P1627" s="9" t="n">
        <v>8.9</v>
      </c>
      <c r="Q1627" s="9" t="n">
        <v>31</v>
      </c>
      <c r="R1627" s="9" t="s">
        <v>53</v>
      </c>
      <c r="S1627" s="9"/>
      <c r="T1627" s="9"/>
      <c r="U1627" s="9" t="str">
        <f aca="false">IF(COUNTIF($A$2:$A$5001,A1627)&gt;1,"Duplicate","Unique")</f>
        <v>Unique</v>
      </c>
      <c r="V1627" s="9" t="str">
        <f aca="false">IF(COUNTIFS($B$2:$B$5001,B1627,$H$2:$H$5001,H1627,$J$2:$J$5001,J1627)&gt;1,"Possible Duplicate Booking","Unique")</f>
        <v>Unique</v>
      </c>
      <c r="W1627" s="9" t="str">
        <f aca="false">IF((H1627-G1627)&lt;&gt;K1627,"Mismatch","OK")</f>
        <v>OK</v>
      </c>
      <c r="X1627" s="9" t="str">
        <f aca="false">IF(TEXT(H1627,"dddd")&lt;&gt;I1627,"Mismatch","OK")</f>
        <v>OK</v>
      </c>
      <c r="Y1627" s="9" t="str">
        <f aca="false">IF(AND(N1627="No",O1627&lt;&gt;""),"Unexpected: channel present but no reminder sent",IF(AND(N1627="Yes",O1627=""),"Missing channel for sent reminder","OK"))</f>
        <v>OK</v>
      </c>
    </row>
    <row r="1628" customFormat="false" ht="15" hidden="false" customHeight="false" outlineLevel="0" collapsed="false">
      <c r="A1628" s="7" t="s">
        <v>2774</v>
      </c>
      <c r="B1628" s="7" t="s">
        <v>296</v>
      </c>
      <c r="C1628" s="7" t="s">
        <v>37</v>
      </c>
      <c r="D1628" s="7" t="n">
        <v>49</v>
      </c>
      <c r="E1628" s="7" t="s">
        <v>56</v>
      </c>
      <c r="F1628" s="7" t="s">
        <v>57</v>
      </c>
      <c r="G1628" s="8" t="n">
        <v>45926</v>
      </c>
      <c r="H1628" s="8" t="n">
        <v>45973</v>
      </c>
      <c r="I1628" s="7" t="s">
        <v>58</v>
      </c>
      <c r="J1628" s="7" t="s">
        <v>51</v>
      </c>
      <c r="K1628" s="7" t="n">
        <v>47</v>
      </c>
      <c r="L1628" s="7" t="n">
        <v>2</v>
      </c>
      <c r="M1628" s="7" t="n">
        <v>0</v>
      </c>
      <c r="N1628" s="7" t="s">
        <v>42</v>
      </c>
      <c r="O1628" s="7" t="s">
        <v>52</v>
      </c>
      <c r="P1628" s="7" t="n">
        <v>6.2</v>
      </c>
      <c r="Q1628" s="7" t="n">
        <v>47</v>
      </c>
      <c r="R1628" s="7" t="s">
        <v>53</v>
      </c>
      <c r="S1628" s="7"/>
      <c r="T1628" s="7"/>
      <c r="U1628" s="7" t="str">
        <f aca="false">IF(COUNTIF($A$2:$A$5001,A1628)&gt;1,"Duplicate","Unique")</f>
        <v>Unique</v>
      </c>
      <c r="V1628" s="7" t="str">
        <f aca="false">IF(COUNTIFS($B$2:$B$5001,B1628,$H$2:$H$5001,H1628,$J$2:$J$5001,J1628)&gt;1,"Possible Duplicate Booking","Unique")</f>
        <v>Unique</v>
      </c>
      <c r="W1628" s="7" t="str">
        <f aca="false">IF((H1628-G1628)&lt;&gt;K1628,"Mismatch","OK")</f>
        <v>OK</v>
      </c>
      <c r="X1628" s="7" t="str">
        <f aca="false">IF(TEXT(H1628,"dddd")&lt;&gt;I1628,"Mismatch","OK")</f>
        <v>OK</v>
      </c>
      <c r="Y1628" s="7" t="str">
        <f aca="false">IF(AND(N1628="No",O1628&lt;&gt;""),"Unexpected: channel present but no reminder sent",IF(AND(N1628="Yes",O1628=""),"Missing channel for sent reminder","OK"))</f>
        <v>OK</v>
      </c>
    </row>
    <row r="1629" customFormat="false" ht="15" hidden="false" customHeight="false" outlineLevel="0" collapsed="false">
      <c r="A1629" s="9" t="s">
        <v>2775</v>
      </c>
      <c r="B1629" s="9" t="s">
        <v>842</v>
      </c>
      <c r="C1629" s="9" t="s">
        <v>37</v>
      </c>
      <c r="D1629" s="9" t="n">
        <v>63</v>
      </c>
      <c r="E1629" s="9" t="s">
        <v>61</v>
      </c>
      <c r="F1629" s="9" t="s">
        <v>39</v>
      </c>
      <c r="G1629" s="10" t="n">
        <v>45940</v>
      </c>
      <c r="H1629" s="10" t="n">
        <v>45977</v>
      </c>
      <c r="I1629" s="9" t="s">
        <v>75</v>
      </c>
      <c r="J1629" s="9" t="s">
        <v>41</v>
      </c>
      <c r="K1629" s="9" t="n">
        <v>37</v>
      </c>
      <c r="L1629" s="9" t="n">
        <v>2</v>
      </c>
      <c r="M1629" s="9" t="n">
        <v>0</v>
      </c>
      <c r="N1629" s="9" t="s">
        <v>42</v>
      </c>
      <c r="O1629" s="9" t="s">
        <v>52</v>
      </c>
      <c r="P1629" s="9" t="n">
        <v>6.9</v>
      </c>
      <c r="Q1629" s="9" t="n">
        <v>35</v>
      </c>
      <c r="R1629" s="9" t="s">
        <v>53</v>
      </c>
      <c r="S1629" s="9"/>
      <c r="T1629" s="9"/>
      <c r="U1629" s="9" t="str">
        <f aca="false">IF(COUNTIF($A$2:$A$5001,A1629)&gt;1,"Duplicate","Unique")</f>
        <v>Unique</v>
      </c>
      <c r="V1629" s="9" t="str">
        <f aca="false">IF(COUNTIFS($B$2:$B$5001,B1629,$H$2:$H$5001,H1629,$J$2:$J$5001,J1629)&gt;1,"Possible Duplicate Booking","Unique")</f>
        <v>Unique</v>
      </c>
      <c r="W1629" s="9" t="str">
        <f aca="false">IF((H1629-G1629)&lt;&gt;K1629,"Mismatch","OK")</f>
        <v>OK</v>
      </c>
      <c r="X1629" s="9" t="str">
        <f aca="false">IF(TEXT(H1629,"dddd")&lt;&gt;I1629,"Mismatch","OK")</f>
        <v>OK</v>
      </c>
      <c r="Y1629" s="9" t="str">
        <f aca="false">IF(AND(N1629="No",O1629&lt;&gt;""),"Unexpected: channel present but no reminder sent",IF(AND(N1629="Yes",O1629=""),"Missing channel for sent reminder","OK"))</f>
        <v>OK</v>
      </c>
    </row>
    <row r="1630" customFormat="false" ht="15" hidden="false" customHeight="false" outlineLevel="0" collapsed="false">
      <c r="A1630" s="7" t="s">
        <v>2776</v>
      </c>
      <c r="B1630" s="7" t="s">
        <v>741</v>
      </c>
      <c r="C1630" s="7" t="s">
        <v>37</v>
      </c>
      <c r="D1630" s="7" t="n">
        <v>48</v>
      </c>
      <c r="E1630" s="7" t="s">
        <v>56</v>
      </c>
      <c r="F1630" s="7" t="s">
        <v>57</v>
      </c>
      <c r="G1630" s="8" t="n">
        <v>45843</v>
      </c>
      <c r="H1630" s="8" t="n">
        <v>45869</v>
      </c>
      <c r="I1630" s="7" t="s">
        <v>62</v>
      </c>
      <c r="J1630" s="7" t="s">
        <v>63</v>
      </c>
      <c r="K1630" s="7" t="n">
        <v>26</v>
      </c>
      <c r="L1630" s="7" t="n">
        <v>5</v>
      </c>
      <c r="M1630" s="7" t="n">
        <v>1</v>
      </c>
      <c r="N1630" s="7" t="s">
        <v>71</v>
      </c>
      <c r="O1630" s="7"/>
      <c r="P1630" s="7" t="n">
        <v>10.2</v>
      </c>
      <c r="Q1630" s="7" t="n">
        <v>24</v>
      </c>
      <c r="R1630" s="7" t="s">
        <v>44</v>
      </c>
      <c r="S1630" s="7"/>
      <c r="T1630" s="7"/>
      <c r="U1630" s="7" t="str">
        <f aca="false">IF(COUNTIF($A$2:$A$5001,A1630)&gt;1,"Duplicate","Unique")</f>
        <v>Unique</v>
      </c>
      <c r="V1630" s="7" t="str">
        <f aca="false">IF(COUNTIFS($B$2:$B$5001,B1630,$H$2:$H$5001,H1630,$J$2:$J$5001,J1630)&gt;1,"Possible Duplicate Booking","Unique")</f>
        <v>Unique</v>
      </c>
      <c r="W1630" s="7" t="str">
        <f aca="false">IF((H1630-G1630)&lt;&gt;K1630,"Mismatch","OK")</f>
        <v>OK</v>
      </c>
      <c r="X1630" s="7" t="str">
        <f aca="false">IF(TEXT(H1630,"dddd")&lt;&gt;I1630,"Mismatch","OK")</f>
        <v>OK</v>
      </c>
      <c r="Y1630" s="7" t="str">
        <f aca="false">IF(AND(N1630="No",O1630&lt;&gt;""),"Unexpected: channel present but no reminder sent",IF(AND(N1630="Yes",O1630=""),"Missing channel for sent reminder","OK"))</f>
        <v>OK</v>
      </c>
    </row>
    <row r="1631" customFormat="false" ht="15" hidden="false" customHeight="false" outlineLevel="0" collapsed="false">
      <c r="A1631" s="9" t="s">
        <v>2777</v>
      </c>
      <c r="B1631" s="9" t="s">
        <v>2778</v>
      </c>
      <c r="C1631" s="9" t="s">
        <v>47</v>
      </c>
      <c r="D1631" s="9" t="n">
        <v>50</v>
      </c>
      <c r="E1631" s="9" t="s">
        <v>56</v>
      </c>
      <c r="F1631" s="9" t="s">
        <v>39</v>
      </c>
      <c r="G1631" s="10" t="n">
        <v>45710</v>
      </c>
      <c r="H1631" s="10" t="n">
        <v>45727</v>
      </c>
      <c r="I1631" s="9" t="s">
        <v>40</v>
      </c>
      <c r="J1631" s="9" t="s">
        <v>51</v>
      </c>
      <c r="K1631" s="9" t="n">
        <v>17</v>
      </c>
      <c r="L1631" s="9" t="n">
        <v>1</v>
      </c>
      <c r="M1631" s="9" t="n">
        <v>0</v>
      </c>
      <c r="N1631" s="9" t="s">
        <v>71</v>
      </c>
      <c r="O1631" s="9"/>
      <c r="P1631" s="9" t="n">
        <v>6.7</v>
      </c>
      <c r="Q1631" s="9" t="n">
        <v>41</v>
      </c>
      <c r="R1631" s="9" t="s">
        <v>44</v>
      </c>
      <c r="S1631" s="9"/>
      <c r="T1631" s="9"/>
      <c r="U1631" s="9" t="str">
        <f aca="false">IF(COUNTIF($A$2:$A$5001,A1631)&gt;1,"Duplicate","Unique")</f>
        <v>Unique</v>
      </c>
      <c r="V1631" s="9" t="str">
        <f aca="false">IF(COUNTIFS($B$2:$B$5001,B1631,$H$2:$H$5001,H1631,$J$2:$J$5001,J1631)&gt;1,"Possible Duplicate Booking","Unique")</f>
        <v>Unique</v>
      </c>
      <c r="W1631" s="9" t="str">
        <f aca="false">IF((H1631-G1631)&lt;&gt;K1631,"Mismatch","OK")</f>
        <v>OK</v>
      </c>
      <c r="X1631" s="9" t="str">
        <f aca="false">IF(TEXT(H1631,"dddd")&lt;&gt;I1631,"Mismatch","OK")</f>
        <v>OK</v>
      </c>
      <c r="Y1631" s="9" t="str">
        <f aca="false">IF(AND(N1631="No",O1631&lt;&gt;""),"Unexpected: channel present but no reminder sent",IF(AND(N1631="Yes",O1631=""),"Missing channel for sent reminder","OK"))</f>
        <v>OK</v>
      </c>
    </row>
    <row r="1632" customFormat="false" ht="15" hidden="false" customHeight="false" outlineLevel="0" collapsed="false">
      <c r="A1632" s="7" t="s">
        <v>2779</v>
      </c>
      <c r="B1632" s="7" t="s">
        <v>2780</v>
      </c>
      <c r="C1632" s="7" t="s">
        <v>37</v>
      </c>
      <c r="D1632" s="7" t="n">
        <v>56</v>
      </c>
      <c r="E1632" s="7" t="s">
        <v>61</v>
      </c>
      <c r="F1632" s="7" t="s">
        <v>57</v>
      </c>
      <c r="G1632" s="8" t="n">
        <v>45941</v>
      </c>
      <c r="H1632" s="8" t="n">
        <v>45970</v>
      </c>
      <c r="I1632" s="7" t="s">
        <v>75</v>
      </c>
      <c r="J1632" s="7" t="s">
        <v>41</v>
      </c>
      <c r="K1632" s="7" t="n">
        <v>29</v>
      </c>
      <c r="L1632" s="7" t="n">
        <v>4</v>
      </c>
      <c r="M1632" s="7" t="n">
        <v>1</v>
      </c>
      <c r="N1632" s="7" t="s">
        <v>42</v>
      </c>
      <c r="O1632" s="7" t="s">
        <v>52</v>
      </c>
      <c r="P1632" s="7" t="n">
        <v>5.5</v>
      </c>
      <c r="Q1632" s="7" t="n">
        <v>35</v>
      </c>
      <c r="R1632" s="7" t="s">
        <v>53</v>
      </c>
      <c r="S1632" s="7"/>
      <c r="T1632" s="7"/>
      <c r="U1632" s="7" t="str">
        <f aca="false">IF(COUNTIF($A$2:$A$5001,A1632)&gt;1,"Duplicate","Unique")</f>
        <v>Unique</v>
      </c>
      <c r="V1632" s="7" t="str">
        <f aca="false">IF(COUNTIFS($B$2:$B$5001,B1632,$H$2:$H$5001,H1632,$J$2:$J$5001,J1632)&gt;1,"Possible Duplicate Booking","Unique")</f>
        <v>Unique</v>
      </c>
      <c r="W1632" s="7" t="str">
        <f aca="false">IF((H1632-G1632)&lt;&gt;K1632,"Mismatch","OK")</f>
        <v>OK</v>
      </c>
      <c r="X1632" s="7" t="str">
        <f aca="false">IF(TEXT(H1632,"dddd")&lt;&gt;I1632,"Mismatch","OK")</f>
        <v>OK</v>
      </c>
      <c r="Y1632" s="7" t="str">
        <f aca="false">IF(AND(N1632="No",O1632&lt;&gt;""),"Unexpected: channel present but no reminder sent",IF(AND(N1632="Yes",O1632=""),"Missing channel for sent reminder","OK"))</f>
        <v>OK</v>
      </c>
    </row>
    <row r="1633" customFormat="false" ht="15" hidden="false" customHeight="false" outlineLevel="0" collapsed="false">
      <c r="A1633" s="9" t="s">
        <v>2781</v>
      </c>
      <c r="B1633" s="9" t="s">
        <v>558</v>
      </c>
      <c r="C1633" s="9" t="s">
        <v>47</v>
      </c>
      <c r="D1633" s="9" t="n">
        <v>68</v>
      </c>
      <c r="E1633" s="9" t="s">
        <v>70</v>
      </c>
      <c r="F1633" s="9" t="s">
        <v>49</v>
      </c>
      <c r="G1633" s="10" t="n">
        <v>46144</v>
      </c>
      <c r="H1633" s="10" t="n">
        <v>46147</v>
      </c>
      <c r="I1633" s="9" t="s">
        <v>40</v>
      </c>
      <c r="J1633" s="9" t="s">
        <v>63</v>
      </c>
      <c r="K1633" s="9" t="n">
        <v>3</v>
      </c>
      <c r="L1633" s="9" t="n">
        <v>2</v>
      </c>
      <c r="M1633" s="9" t="n">
        <v>0</v>
      </c>
      <c r="N1633" s="9" t="s">
        <v>42</v>
      </c>
      <c r="O1633" s="9" t="s">
        <v>52</v>
      </c>
      <c r="P1633" s="9" t="n">
        <v>12.8</v>
      </c>
      <c r="Q1633" s="9" t="n">
        <v>33</v>
      </c>
      <c r="R1633" s="9" t="s">
        <v>44</v>
      </c>
      <c r="S1633" s="9"/>
      <c r="T1633" s="9"/>
      <c r="U1633" s="9" t="str">
        <f aca="false">IF(COUNTIF($A$2:$A$5001,A1633)&gt;1,"Duplicate","Unique")</f>
        <v>Unique</v>
      </c>
      <c r="V1633" s="9" t="str">
        <f aca="false">IF(COUNTIFS($B$2:$B$5001,B1633,$H$2:$H$5001,H1633,$J$2:$J$5001,J1633)&gt;1,"Possible Duplicate Booking","Unique")</f>
        <v>Unique</v>
      </c>
      <c r="W1633" s="9" t="str">
        <f aca="false">IF((H1633-G1633)&lt;&gt;K1633,"Mismatch","OK")</f>
        <v>OK</v>
      </c>
      <c r="X1633" s="9" t="str">
        <f aca="false">IF(TEXT(H1633,"dddd")&lt;&gt;I1633,"Mismatch","OK")</f>
        <v>OK</v>
      </c>
      <c r="Y1633" s="9" t="str">
        <f aca="false">IF(AND(N1633="No",O1633&lt;&gt;""),"Unexpected: channel present but no reminder sent",IF(AND(N1633="Yes",O1633=""),"Missing channel for sent reminder","OK"))</f>
        <v>OK</v>
      </c>
    </row>
    <row r="1634" customFormat="false" ht="15" hidden="false" customHeight="false" outlineLevel="0" collapsed="false">
      <c r="A1634" s="7" t="s">
        <v>2782</v>
      </c>
      <c r="B1634" s="7" t="s">
        <v>2783</v>
      </c>
      <c r="C1634" s="7" t="s">
        <v>47</v>
      </c>
      <c r="D1634" s="7" t="n">
        <v>33</v>
      </c>
      <c r="E1634" s="7" t="s">
        <v>48</v>
      </c>
      <c r="F1634" s="7" t="s">
        <v>57</v>
      </c>
      <c r="G1634" s="8" t="n">
        <v>45696</v>
      </c>
      <c r="H1634" s="8" t="n">
        <v>45707</v>
      </c>
      <c r="I1634" s="7" t="s">
        <v>58</v>
      </c>
      <c r="J1634" s="7" t="s">
        <v>41</v>
      </c>
      <c r="K1634" s="7" t="n">
        <v>11</v>
      </c>
      <c r="L1634" s="7" t="n">
        <v>6</v>
      </c>
      <c r="M1634" s="7" t="n">
        <v>0</v>
      </c>
      <c r="N1634" s="7" t="s">
        <v>42</v>
      </c>
      <c r="O1634" s="7" t="s">
        <v>67</v>
      </c>
      <c r="P1634" s="7" t="n">
        <v>6.2</v>
      </c>
      <c r="Q1634" s="7" t="n">
        <v>18</v>
      </c>
      <c r="R1634" s="7" t="s">
        <v>53</v>
      </c>
      <c r="S1634" s="7"/>
      <c r="T1634" s="7"/>
      <c r="U1634" s="7" t="str">
        <f aca="false">IF(COUNTIF($A$2:$A$5001,A1634)&gt;1,"Duplicate","Unique")</f>
        <v>Unique</v>
      </c>
      <c r="V1634" s="7" t="str">
        <f aca="false">IF(COUNTIFS($B$2:$B$5001,B1634,$H$2:$H$5001,H1634,$J$2:$J$5001,J1634)&gt;1,"Possible Duplicate Booking","Unique")</f>
        <v>Unique</v>
      </c>
      <c r="W1634" s="7" t="str">
        <f aca="false">IF((H1634-G1634)&lt;&gt;K1634,"Mismatch","OK")</f>
        <v>OK</v>
      </c>
      <c r="X1634" s="7" t="str">
        <f aca="false">IF(TEXT(H1634,"dddd")&lt;&gt;I1634,"Mismatch","OK")</f>
        <v>OK</v>
      </c>
      <c r="Y1634" s="7" t="str">
        <f aca="false">IF(AND(N1634="No",O1634&lt;&gt;""),"Unexpected: channel present but no reminder sent",IF(AND(N1634="Yes",O1634=""),"Missing channel for sent reminder","OK"))</f>
        <v>OK</v>
      </c>
    </row>
    <row r="1635" customFormat="false" ht="15" hidden="false" customHeight="false" outlineLevel="0" collapsed="false">
      <c r="A1635" s="9" t="s">
        <v>2784</v>
      </c>
      <c r="B1635" s="9" t="s">
        <v>1135</v>
      </c>
      <c r="C1635" s="9" t="s">
        <v>47</v>
      </c>
      <c r="D1635" s="9" t="n">
        <v>36</v>
      </c>
      <c r="E1635" s="9" t="s">
        <v>38</v>
      </c>
      <c r="F1635" s="9" t="s">
        <v>39</v>
      </c>
      <c r="G1635" s="10" t="n">
        <v>46094</v>
      </c>
      <c r="H1635" s="10" t="n">
        <v>46138</v>
      </c>
      <c r="I1635" s="9" t="s">
        <v>75</v>
      </c>
      <c r="J1635" s="9" t="s">
        <v>41</v>
      </c>
      <c r="K1635" s="9" t="n">
        <v>44</v>
      </c>
      <c r="L1635" s="9" t="n">
        <v>7</v>
      </c>
      <c r="M1635" s="9" t="n">
        <v>2</v>
      </c>
      <c r="N1635" s="9" t="s">
        <v>42</v>
      </c>
      <c r="O1635" s="9" t="s">
        <v>52</v>
      </c>
      <c r="P1635" s="9" t="n">
        <v>5.3</v>
      </c>
      <c r="Q1635" s="9"/>
      <c r="R1635" s="9" t="s">
        <v>53</v>
      </c>
      <c r="S1635" s="9"/>
      <c r="T1635" s="9"/>
      <c r="U1635" s="9" t="str">
        <f aca="false">IF(COUNTIF($A$2:$A$5001,A1635)&gt;1,"Duplicate","Unique")</f>
        <v>Unique</v>
      </c>
      <c r="V1635" s="9" t="str">
        <f aca="false">IF(COUNTIFS($B$2:$B$5001,B1635,$H$2:$H$5001,H1635,$J$2:$J$5001,J1635)&gt;1,"Possible Duplicate Booking","Unique")</f>
        <v>Unique</v>
      </c>
      <c r="W1635" s="9" t="str">
        <f aca="false">IF((H1635-G1635)&lt;&gt;K1635,"Mismatch","OK")</f>
        <v>OK</v>
      </c>
      <c r="X1635" s="9" t="str">
        <f aca="false">IF(TEXT(H1635,"dddd")&lt;&gt;I1635,"Mismatch","OK")</f>
        <v>OK</v>
      </c>
      <c r="Y1635" s="9" t="str">
        <f aca="false">IF(AND(N1635="No",O1635&lt;&gt;""),"Unexpected: channel present but no reminder sent",IF(AND(N1635="Yes",O1635=""),"Missing channel for sent reminder","OK"))</f>
        <v>OK</v>
      </c>
    </row>
    <row r="1636" customFormat="false" ht="15" hidden="false" customHeight="false" outlineLevel="0" collapsed="false">
      <c r="A1636" s="7" t="s">
        <v>2785</v>
      </c>
      <c r="B1636" s="7" t="s">
        <v>2786</v>
      </c>
      <c r="C1636" s="7" t="s">
        <v>37</v>
      </c>
      <c r="D1636" s="7" t="n">
        <v>44</v>
      </c>
      <c r="E1636" s="7" t="s">
        <v>38</v>
      </c>
      <c r="F1636" s="7" t="s">
        <v>57</v>
      </c>
      <c r="G1636" s="8" t="n">
        <v>45832</v>
      </c>
      <c r="H1636" s="8" t="n">
        <v>45884</v>
      </c>
      <c r="I1636" s="7" t="s">
        <v>50</v>
      </c>
      <c r="J1636" s="7" t="s">
        <v>41</v>
      </c>
      <c r="K1636" s="7" t="n">
        <v>52</v>
      </c>
      <c r="L1636" s="7" t="n">
        <v>6</v>
      </c>
      <c r="M1636" s="7" t="n">
        <v>2</v>
      </c>
      <c r="N1636" s="7" t="s">
        <v>71</v>
      </c>
      <c r="O1636" s="7"/>
      <c r="P1636" s="7" t="n">
        <v>2.9</v>
      </c>
      <c r="Q1636" s="7" t="n">
        <v>31</v>
      </c>
      <c r="R1636" s="7" t="s">
        <v>44</v>
      </c>
      <c r="S1636" s="7"/>
      <c r="T1636" s="7"/>
      <c r="U1636" s="7" t="str">
        <f aca="false">IF(COUNTIF($A$2:$A$5001,A1636)&gt;1,"Duplicate","Unique")</f>
        <v>Unique</v>
      </c>
      <c r="V1636" s="7" t="str">
        <f aca="false">IF(COUNTIFS($B$2:$B$5001,B1636,$H$2:$H$5001,H1636,$J$2:$J$5001,J1636)&gt;1,"Possible Duplicate Booking","Unique")</f>
        <v>Unique</v>
      </c>
      <c r="W1636" s="7" t="str">
        <f aca="false">IF((H1636-G1636)&lt;&gt;K1636,"Mismatch","OK")</f>
        <v>OK</v>
      </c>
      <c r="X1636" s="7" t="str">
        <f aca="false">IF(TEXT(H1636,"dddd")&lt;&gt;I1636,"Mismatch","OK")</f>
        <v>OK</v>
      </c>
      <c r="Y1636" s="7" t="str">
        <f aca="false">IF(AND(N1636="No",O1636&lt;&gt;""),"Unexpected: channel present but no reminder sent",IF(AND(N1636="Yes",O1636=""),"Missing channel for sent reminder","OK"))</f>
        <v>OK</v>
      </c>
    </row>
    <row r="1637" customFormat="false" ht="15" hidden="false" customHeight="false" outlineLevel="0" collapsed="false">
      <c r="A1637" s="9" t="s">
        <v>2787</v>
      </c>
      <c r="B1637" s="9" t="s">
        <v>2788</v>
      </c>
      <c r="C1637" s="9" t="s">
        <v>47</v>
      </c>
      <c r="D1637" s="9" t="n">
        <v>30</v>
      </c>
      <c r="E1637" s="9" t="s">
        <v>48</v>
      </c>
      <c r="F1637" s="9" t="s">
        <v>39</v>
      </c>
      <c r="G1637" s="10" t="n">
        <v>45944</v>
      </c>
      <c r="H1637" s="10" t="n">
        <v>45950</v>
      </c>
      <c r="I1637" s="9" t="s">
        <v>66</v>
      </c>
      <c r="J1637" s="9" t="s">
        <v>41</v>
      </c>
      <c r="K1637" s="9" t="n">
        <v>6</v>
      </c>
      <c r="L1637" s="9" t="n">
        <v>5</v>
      </c>
      <c r="M1637" s="9" t="n">
        <v>0</v>
      </c>
      <c r="N1637" s="9" t="s">
        <v>71</v>
      </c>
      <c r="O1637" s="9"/>
      <c r="P1637" s="9" t="n">
        <v>4.3</v>
      </c>
      <c r="Q1637" s="9" t="n">
        <v>48</v>
      </c>
      <c r="R1637" s="9" t="s">
        <v>53</v>
      </c>
      <c r="S1637" s="9"/>
      <c r="T1637" s="9"/>
      <c r="U1637" s="9" t="str">
        <f aca="false">IF(COUNTIF($A$2:$A$5001,A1637)&gt;1,"Duplicate","Unique")</f>
        <v>Unique</v>
      </c>
      <c r="V1637" s="9" t="str">
        <f aca="false">IF(COUNTIFS($B$2:$B$5001,B1637,$H$2:$H$5001,H1637,$J$2:$J$5001,J1637)&gt;1,"Possible Duplicate Booking","Unique")</f>
        <v>Unique</v>
      </c>
      <c r="W1637" s="9" t="str">
        <f aca="false">IF((H1637-G1637)&lt;&gt;K1637,"Mismatch","OK")</f>
        <v>OK</v>
      </c>
      <c r="X1637" s="9" t="str">
        <f aca="false">IF(TEXT(H1637,"dddd")&lt;&gt;I1637,"Mismatch","OK")</f>
        <v>OK</v>
      </c>
      <c r="Y1637" s="9" t="str">
        <f aca="false">IF(AND(N1637="No",O1637&lt;&gt;""),"Unexpected: channel present but no reminder sent",IF(AND(N1637="Yes",O1637=""),"Missing channel for sent reminder","OK"))</f>
        <v>OK</v>
      </c>
    </row>
    <row r="1638" customFormat="false" ht="15" hidden="false" customHeight="false" outlineLevel="0" collapsed="false">
      <c r="A1638" s="7" t="s">
        <v>2789</v>
      </c>
      <c r="B1638" s="7" t="s">
        <v>1032</v>
      </c>
      <c r="C1638" s="7" t="s">
        <v>47</v>
      </c>
      <c r="D1638" s="7" t="n">
        <v>39</v>
      </c>
      <c r="E1638" s="7" t="s">
        <v>38</v>
      </c>
      <c r="F1638" s="7" t="s">
        <v>39</v>
      </c>
      <c r="G1638" s="8" t="n">
        <v>45743</v>
      </c>
      <c r="H1638" s="8" t="n">
        <v>45748</v>
      </c>
      <c r="I1638" s="7" t="s">
        <v>40</v>
      </c>
      <c r="J1638" s="7" t="s">
        <v>41</v>
      </c>
      <c r="K1638" s="7" t="n">
        <v>5</v>
      </c>
      <c r="L1638" s="7" t="n">
        <v>4</v>
      </c>
      <c r="M1638" s="7" t="n">
        <v>1</v>
      </c>
      <c r="N1638" s="7" t="s">
        <v>71</v>
      </c>
      <c r="O1638" s="7"/>
      <c r="P1638" s="7" t="n">
        <v>3.4</v>
      </c>
      <c r="Q1638" s="7" t="n">
        <v>40</v>
      </c>
      <c r="R1638" s="7" t="s">
        <v>53</v>
      </c>
      <c r="S1638" s="7"/>
      <c r="T1638" s="7"/>
      <c r="U1638" s="7" t="str">
        <f aca="false">IF(COUNTIF($A$2:$A$5001,A1638)&gt;1,"Duplicate","Unique")</f>
        <v>Unique</v>
      </c>
      <c r="V1638" s="7" t="str">
        <f aca="false">IF(COUNTIFS($B$2:$B$5001,B1638,$H$2:$H$5001,H1638,$J$2:$J$5001,J1638)&gt;1,"Possible Duplicate Booking","Unique")</f>
        <v>Unique</v>
      </c>
      <c r="W1638" s="7" t="str">
        <f aca="false">IF((H1638-G1638)&lt;&gt;K1638,"Mismatch","OK")</f>
        <v>OK</v>
      </c>
      <c r="X1638" s="7" t="str">
        <f aca="false">IF(TEXT(H1638,"dddd")&lt;&gt;I1638,"Mismatch","OK")</f>
        <v>OK</v>
      </c>
      <c r="Y1638" s="7" t="str">
        <f aca="false">IF(AND(N1638="No",O1638&lt;&gt;""),"Unexpected: channel present but no reminder sent",IF(AND(N1638="Yes",O1638=""),"Missing channel for sent reminder","OK"))</f>
        <v>OK</v>
      </c>
    </row>
    <row r="1639" customFormat="false" ht="15" hidden="false" customHeight="false" outlineLevel="0" collapsed="false">
      <c r="A1639" s="9" t="s">
        <v>2790</v>
      </c>
      <c r="B1639" s="9" t="s">
        <v>2791</v>
      </c>
      <c r="C1639" s="9" t="s">
        <v>47</v>
      </c>
      <c r="D1639" s="9" t="n">
        <v>40</v>
      </c>
      <c r="E1639" s="9" t="s">
        <v>38</v>
      </c>
      <c r="F1639" s="9" t="s">
        <v>39</v>
      </c>
      <c r="G1639" s="10" t="n">
        <v>45992</v>
      </c>
      <c r="H1639" s="10" t="n">
        <v>45997</v>
      </c>
      <c r="I1639" s="9" t="s">
        <v>102</v>
      </c>
      <c r="J1639" s="9" t="s">
        <v>63</v>
      </c>
      <c r="K1639" s="9" t="n">
        <v>5</v>
      </c>
      <c r="L1639" s="9" t="n">
        <v>4</v>
      </c>
      <c r="M1639" s="9" t="n">
        <v>0</v>
      </c>
      <c r="N1639" s="9" t="s">
        <v>71</v>
      </c>
      <c r="O1639" s="9"/>
      <c r="P1639" s="9" t="n">
        <v>2.8</v>
      </c>
      <c r="Q1639" s="9" t="n">
        <v>31</v>
      </c>
      <c r="R1639" s="9" t="s">
        <v>53</v>
      </c>
      <c r="S1639" s="9"/>
      <c r="T1639" s="9"/>
      <c r="U1639" s="9" t="str">
        <f aca="false">IF(COUNTIF($A$2:$A$5001,A1639)&gt;1,"Duplicate","Unique")</f>
        <v>Unique</v>
      </c>
      <c r="V1639" s="9" t="str">
        <f aca="false">IF(COUNTIFS($B$2:$B$5001,B1639,$H$2:$H$5001,H1639,$J$2:$J$5001,J1639)&gt;1,"Possible Duplicate Booking","Unique")</f>
        <v>Unique</v>
      </c>
      <c r="W1639" s="9" t="str">
        <f aca="false">IF((H1639-G1639)&lt;&gt;K1639,"Mismatch","OK")</f>
        <v>OK</v>
      </c>
      <c r="X1639" s="9" t="str">
        <f aca="false">IF(TEXT(H1639,"dddd")&lt;&gt;I1639,"Mismatch","OK")</f>
        <v>OK</v>
      </c>
      <c r="Y1639" s="9" t="str">
        <f aca="false">IF(AND(N1639="No",O1639&lt;&gt;""),"Unexpected: channel present but no reminder sent",IF(AND(N1639="Yes",O1639=""),"Missing channel for sent reminder","OK"))</f>
        <v>OK</v>
      </c>
    </row>
    <row r="1640" customFormat="false" ht="15" hidden="false" customHeight="false" outlineLevel="0" collapsed="false">
      <c r="A1640" s="7" t="s">
        <v>2792</v>
      </c>
      <c r="B1640" s="7" t="s">
        <v>2152</v>
      </c>
      <c r="C1640" s="7" t="s">
        <v>37</v>
      </c>
      <c r="D1640" s="7" t="n">
        <v>37</v>
      </c>
      <c r="E1640" s="7" t="s">
        <v>38</v>
      </c>
      <c r="F1640" s="7" t="s">
        <v>57</v>
      </c>
      <c r="G1640" s="8" t="n">
        <v>45709</v>
      </c>
      <c r="H1640" s="8" t="n">
        <v>45757</v>
      </c>
      <c r="I1640" s="7" t="s">
        <v>62</v>
      </c>
      <c r="J1640" s="7" t="s">
        <v>51</v>
      </c>
      <c r="K1640" s="7" t="n">
        <v>48</v>
      </c>
      <c r="L1640" s="7" t="n">
        <v>3</v>
      </c>
      <c r="M1640" s="7" t="n">
        <v>0</v>
      </c>
      <c r="N1640" s="7" t="s">
        <v>42</v>
      </c>
      <c r="O1640" s="7" t="s">
        <v>52</v>
      </c>
      <c r="P1640" s="7" t="n">
        <v>4.7</v>
      </c>
      <c r="Q1640" s="7" t="n">
        <v>26</v>
      </c>
      <c r="R1640" s="7" t="s">
        <v>87</v>
      </c>
      <c r="S1640" s="7"/>
      <c r="T1640" s="7"/>
      <c r="U1640" s="7" t="str">
        <f aca="false">IF(COUNTIF($A$2:$A$5001,A1640)&gt;1,"Duplicate","Unique")</f>
        <v>Unique</v>
      </c>
      <c r="V1640" s="7" t="str">
        <f aca="false">IF(COUNTIFS($B$2:$B$5001,B1640,$H$2:$H$5001,H1640,$J$2:$J$5001,J1640)&gt;1,"Possible Duplicate Booking","Unique")</f>
        <v>Unique</v>
      </c>
      <c r="W1640" s="7" t="str">
        <f aca="false">IF((H1640-G1640)&lt;&gt;K1640,"Mismatch","OK")</f>
        <v>OK</v>
      </c>
      <c r="X1640" s="7" t="str">
        <f aca="false">IF(TEXT(H1640,"dddd")&lt;&gt;I1640,"Mismatch","OK")</f>
        <v>OK</v>
      </c>
      <c r="Y1640" s="7" t="str">
        <f aca="false">IF(AND(N1640="No",O1640&lt;&gt;""),"Unexpected: channel present but no reminder sent",IF(AND(N1640="Yes",O1640=""),"Missing channel for sent reminder","OK"))</f>
        <v>OK</v>
      </c>
    </row>
    <row r="1641" customFormat="false" ht="15" hidden="false" customHeight="false" outlineLevel="0" collapsed="false">
      <c r="A1641" s="9" t="s">
        <v>2793</v>
      </c>
      <c r="B1641" s="9" t="s">
        <v>2794</v>
      </c>
      <c r="C1641" s="9" t="s">
        <v>47</v>
      </c>
      <c r="D1641" s="9" t="n">
        <v>43</v>
      </c>
      <c r="E1641" s="9" t="s">
        <v>38</v>
      </c>
      <c r="F1641" s="9" t="s">
        <v>57</v>
      </c>
      <c r="G1641" s="10" t="n">
        <v>45789</v>
      </c>
      <c r="H1641" s="10" t="n">
        <v>45807</v>
      </c>
      <c r="I1641" s="9" t="s">
        <v>50</v>
      </c>
      <c r="J1641" s="9" t="s">
        <v>41</v>
      </c>
      <c r="K1641" s="9" t="n">
        <v>18</v>
      </c>
      <c r="L1641" s="9" t="n">
        <v>5</v>
      </c>
      <c r="M1641" s="9" t="n">
        <v>0</v>
      </c>
      <c r="N1641" s="9" t="s">
        <v>42</v>
      </c>
      <c r="O1641" s="9" t="s">
        <v>43</v>
      </c>
      <c r="P1641" s="9" t="n">
        <v>10.4</v>
      </c>
      <c r="Q1641" s="9" t="n">
        <v>33</v>
      </c>
      <c r="R1641" s="9" t="s">
        <v>53</v>
      </c>
      <c r="S1641" s="9"/>
      <c r="T1641" s="9"/>
      <c r="U1641" s="9" t="str">
        <f aca="false">IF(COUNTIF($A$2:$A$5001,A1641)&gt;1,"Duplicate","Unique")</f>
        <v>Unique</v>
      </c>
      <c r="V1641" s="9" t="str">
        <f aca="false">IF(COUNTIFS($B$2:$B$5001,B1641,$H$2:$H$5001,H1641,$J$2:$J$5001,J1641)&gt;1,"Possible Duplicate Booking","Unique")</f>
        <v>Unique</v>
      </c>
      <c r="W1641" s="9" t="str">
        <f aca="false">IF((H1641-G1641)&lt;&gt;K1641,"Mismatch","OK")</f>
        <v>OK</v>
      </c>
      <c r="X1641" s="9" t="str">
        <f aca="false">IF(TEXT(H1641,"dddd")&lt;&gt;I1641,"Mismatch","OK")</f>
        <v>OK</v>
      </c>
      <c r="Y1641" s="9" t="str">
        <f aca="false">IF(AND(N1641="No",O1641&lt;&gt;""),"Unexpected: channel present but no reminder sent",IF(AND(N1641="Yes",O1641=""),"Missing channel for sent reminder","OK"))</f>
        <v>OK</v>
      </c>
    </row>
    <row r="1642" customFormat="false" ht="15" hidden="false" customHeight="false" outlineLevel="0" collapsed="false">
      <c r="A1642" s="7" t="s">
        <v>2795</v>
      </c>
      <c r="B1642" s="7" t="s">
        <v>1804</v>
      </c>
      <c r="C1642" s="7" t="s">
        <v>47</v>
      </c>
      <c r="D1642" s="7" t="n">
        <v>49</v>
      </c>
      <c r="E1642" s="7" t="s">
        <v>56</v>
      </c>
      <c r="F1642" s="7" t="s">
        <v>39</v>
      </c>
      <c r="G1642" s="8" t="n">
        <v>46033</v>
      </c>
      <c r="H1642" s="8" t="n">
        <v>46052</v>
      </c>
      <c r="I1642" s="7" t="s">
        <v>50</v>
      </c>
      <c r="J1642" s="7" t="s">
        <v>41</v>
      </c>
      <c r="K1642" s="7" t="n">
        <v>19</v>
      </c>
      <c r="L1642" s="7" t="n">
        <v>5</v>
      </c>
      <c r="M1642" s="7" t="n">
        <v>2</v>
      </c>
      <c r="N1642" s="7" t="s">
        <v>42</v>
      </c>
      <c r="O1642" s="7" t="s">
        <v>43</v>
      </c>
      <c r="P1642" s="7" t="n">
        <v>8.2</v>
      </c>
      <c r="Q1642" s="7" t="n">
        <v>31</v>
      </c>
      <c r="R1642" s="7" t="s">
        <v>44</v>
      </c>
      <c r="S1642" s="7"/>
      <c r="T1642" s="7"/>
      <c r="U1642" s="7" t="str">
        <f aca="false">IF(COUNTIF($A$2:$A$5001,A1642)&gt;1,"Duplicate","Unique")</f>
        <v>Unique</v>
      </c>
      <c r="V1642" s="7" t="str">
        <f aca="false">IF(COUNTIFS($B$2:$B$5001,B1642,$H$2:$H$5001,H1642,$J$2:$J$5001,J1642)&gt;1,"Possible Duplicate Booking","Unique")</f>
        <v>Unique</v>
      </c>
      <c r="W1642" s="7" t="str">
        <f aca="false">IF((H1642-G1642)&lt;&gt;K1642,"Mismatch","OK")</f>
        <v>OK</v>
      </c>
      <c r="X1642" s="7" t="str">
        <f aca="false">IF(TEXT(H1642,"dddd")&lt;&gt;I1642,"Mismatch","OK")</f>
        <v>OK</v>
      </c>
      <c r="Y1642" s="7" t="str">
        <f aca="false">IF(AND(N1642="No",O1642&lt;&gt;""),"Unexpected: channel present but no reminder sent",IF(AND(N1642="Yes",O1642=""),"Missing channel for sent reminder","OK"))</f>
        <v>OK</v>
      </c>
    </row>
    <row r="1643" customFormat="false" ht="15" hidden="false" customHeight="false" outlineLevel="0" collapsed="false">
      <c r="A1643" s="9" t="s">
        <v>2796</v>
      </c>
      <c r="B1643" s="9" t="s">
        <v>1580</v>
      </c>
      <c r="C1643" s="9" t="s">
        <v>47</v>
      </c>
      <c r="D1643" s="9" t="n">
        <v>61</v>
      </c>
      <c r="E1643" s="9" t="s">
        <v>61</v>
      </c>
      <c r="F1643" s="9" t="s">
        <v>74</v>
      </c>
      <c r="G1643" s="10" t="n">
        <v>45685</v>
      </c>
      <c r="H1643" s="10" t="n">
        <v>45685</v>
      </c>
      <c r="I1643" s="9" t="s">
        <v>40</v>
      </c>
      <c r="J1643" s="9" t="s">
        <v>51</v>
      </c>
      <c r="K1643" s="9" t="n">
        <v>0</v>
      </c>
      <c r="L1643" s="9" t="n">
        <v>1</v>
      </c>
      <c r="M1643" s="9" t="n">
        <v>0</v>
      </c>
      <c r="N1643" s="9" t="s">
        <v>42</v>
      </c>
      <c r="O1643" s="9" t="s">
        <v>67</v>
      </c>
      <c r="P1643" s="9" t="n">
        <v>6.6</v>
      </c>
      <c r="Q1643" s="9" t="n">
        <v>41</v>
      </c>
      <c r="R1643" s="9" t="s">
        <v>53</v>
      </c>
      <c r="S1643" s="9"/>
      <c r="T1643" s="9"/>
      <c r="U1643" s="9" t="str">
        <f aca="false">IF(COUNTIF($A$2:$A$5001,A1643)&gt;1,"Duplicate","Unique")</f>
        <v>Unique</v>
      </c>
      <c r="V1643" s="9" t="str">
        <f aca="false">IF(COUNTIFS($B$2:$B$5001,B1643,$H$2:$H$5001,H1643,$J$2:$J$5001,J1643)&gt;1,"Possible Duplicate Booking","Unique")</f>
        <v>Unique</v>
      </c>
      <c r="W1643" s="9" t="str">
        <f aca="false">IF((H1643-G1643)&lt;&gt;K1643,"Mismatch","OK")</f>
        <v>OK</v>
      </c>
      <c r="X1643" s="9" t="str">
        <f aca="false">IF(TEXT(H1643,"dddd")&lt;&gt;I1643,"Mismatch","OK")</f>
        <v>OK</v>
      </c>
      <c r="Y1643" s="9" t="str">
        <f aca="false">IF(AND(N1643="No",O1643&lt;&gt;""),"Unexpected: channel present but no reminder sent",IF(AND(N1643="Yes",O1643=""),"Missing channel for sent reminder","OK"))</f>
        <v>OK</v>
      </c>
    </row>
    <row r="1644" customFormat="false" ht="15" hidden="false" customHeight="false" outlineLevel="0" collapsed="false">
      <c r="A1644" s="7" t="s">
        <v>2797</v>
      </c>
      <c r="B1644" s="7" t="s">
        <v>2248</v>
      </c>
      <c r="C1644" s="7" t="s">
        <v>37</v>
      </c>
      <c r="D1644" s="7" t="n">
        <v>37</v>
      </c>
      <c r="E1644" s="7" t="s">
        <v>38</v>
      </c>
      <c r="F1644" s="7" t="s">
        <v>57</v>
      </c>
      <c r="G1644" s="8" t="n">
        <v>45843</v>
      </c>
      <c r="H1644" s="8" t="n">
        <v>45902</v>
      </c>
      <c r="I1644" s="7" t="s">
        <v>40</v>
      </c>
      <c r="J1644" s="7" t="s">
        <v>41</v>
      </c>
      <c r="K1644" s="7" t="n">
        <v>59</v>
      </c>
      <c r="L1644" s="7" t="n">
        <v>4</v>
      </c>
      <c r="M1644" s="7" t="n">
        <v>1</v>
      </c>
      <c r="N1644" s="7" t="s">
        <v>42</v>
      </c>
      <c r="O1644" s="7" t="s">
        <v>67</v>
      </c>
      <c r="P1644" s="7" t="n">
        <v>11.2</v>
      </c>
      <c r="Q1644" s="7" t="n">
        <v>13</v>
      </c>
      <c r="R1644" s="7" t="s">
        <v>53</v>
      </c>
      <c r="S1644" s="7"/>
      <c r="T1644" s="7"/>
      <c r="U1644" s="7" t="str">
        <f aca="false">IF(COUNTIF($A$2:$A$5001,A1644)&gt;1,"Duplicate","Unique")</f>
        <v>Unique</v>
      </c>
      <c r="V1644" s="7" t="str">
        <f aca="false">IF(COUNTIFS($B$2:$B$5001,B1644,$H$2:$H$5001,H1644,$J$2:$J$5001,J1644)&gt;1,"Possible Duplicate Booking","Unique")</f>
        <v>Unique</v>
      </c>
      <c r="W1644" s="7" t="str">
        <f aca="false">IF((H1644-G1644)&lt;&gt;K1644,"Mismatch","OK")</f>
        <v>OK</v>
      </c>
      <c r="X1644" s="7" t="str">
        <f aca="false">IF(TEXT(H1644,"dddd")&lt;&gt;I1644,"Mismatch","OK")</f>
        <v>OK</v>
      </c>
      <c r="Y1644" s="7" t="str">
        <f aca="false">IF(AND(N1644="No",O1644&lt;&gt;""),"Unexpected: channel present but no reminder sent",IF(AND(N1644="Yes",O1644=""),"Missing channel for sent reminder","OK"))</f>
        <v>OK</v>
      </c>
    </row>
    <row r="1645" customFormat="false" ht="15" hidden="false" customHeight="false" outlineLevel="0" collapsed="false">
      <c r="A1645" s="9" t="s">
        <v>2798</v>
      </c>
      <c r="B1645" s="9" t="s">
        <v>2799</v>
      </c>
      <c r="C1645" s="9" t="s">
        <v>47</v>
      </c>
      <c r="D1645" s="9" t="n">
        <v>71</v>
      </c>
      <c r="E1645" s="9" t="s">
        <v>70</v>
      </c>
      <c r="F1645" s="9" t="s">
        <v>39</v>
      </c>
      <c r="G1645" s="10" t="n">
        <v>45956</v>
      </c>
      <c r="H1645" s="10" t="n">
        <v>45982</v>
      </c>
      <c r="I1645" s="9" t="s">
        <v>50</v>
      </c>
      <c r="J1645" s="9" t="s">
        <v>41</v>
      </c>
      <c r="K1645" s="9" t="n">
        <v>26</v>
      </c>
      <c r="L1645" s="9" t="n">
        <v>0</v>
      </c>
      <c r="M1645" s="9" t="n">
        <v>0</v>
      </c>
      <c r="N1645" s="9" t="s">
        <v>42</v>
      </c>
      <c r="O1645" s="9" t="s">
        <v>43</v>
      </c>
      <c r="P1645" s="9" t="n">
        <v>5.6</v>
      </c>
      <c r="Q1645" s="9" t="n">
        <v>25</v>
      </c>
      <c r="R1645" s="9" t="s">
        <v>53</v>
      </c>
      <c r="S1645" s="9"/>
      <c r="T1645" s="9"/>
      <c r="U1645" s="9" t="str">
        <f aca="false">IF(COUNTIF($A$2:$A$5001,A1645)&gt;1,"Duplicate","Unique")</f>
        <v>Unique</v>
      </c>
      <c r="V1645" s="9" t="str">
        <f aca="false">IF(COUNTIFS($B$2:$B$5001,B1645,$H$2:$H$5001,H1645,$J$2:$J$5001,J1645)&gt;1,"Possible Duplicate Booking","Unique")</f>
        <v>Unique</v>
      </c>
      <c r="W1645" s="9" t="str">
        <f aca="false">IF((H1645-G1645)&lt;&gt;K1645,"Mismatch","OK")</f>
        <v>OK</v>
      </c>
      <c r="X1645" s="9" t="str">
        <f aca="false">IF(TEXT(H1645,"dddd")&lt;&gt;I1645,"Mismatch","OK")</f>
        <v>OK</v>
      </c>
      <c r="Y1645" s="9" t="str">
        <f aca="false">IF(AND(N1645="No",O1645&lt;&gt;""),"Unexpected: channel present but no reminder sent",IF(AND(N1645="Yes",O1645=""),"Missing channel for sent reminder","OK"))</f>
        <v>OK</v>
      </c>
    </row>
    <row r="1646" customFormat="false" ht="15" hidden="false" customHeight="false" outlineLevel="0" collapsed="false">
      <c r="A1646" s="7" t="s">
        <v>2800</v>
      </c>
      <c r="B1646" s="7" t="s">
        <v>405</v>
      </c>
      <c r="C1646" s="7" t="s">
        <v>47</v>
      </c>
      <c r="D1646" s="7" t="n">
        <v>48</v>
      </c>
      <c r="E1646" s="7" t="s">
        <v>56</v>
      </c>
      <c r="F1646" s="7" t="s">
        <v>57</v>
      </c>
      <c r="G1646" s="8" t="n">
        <v>45682</v>
      </c>
      <c r="H1646" s="8" t="n">
        <v>45730</v>
      </c>
      <c r="I1646" s="7" t="s">
        <v>50</v>
      </c>
      <c r="J1646" s="7" t="s">
        <v>41</v>
      </c>
      <c r="K1646" s="7" t="n">
        <v>48</v>
      </c>
      <c r="L1646" s="7" t="n">
        <v>2</v>
      </c>
      <c r="M1646" s="7" t="n">
        <v>0</v>
      </c>
      <c r="N1646" s="7" t="s">
        <v>42</v>
      </c>
      <c r="O1646" s="7" t="s">
        <v>52</v>
      </c>
      <c r="P1646" s="7" t="n">
        <v>9.9</v>
      </c>
      <c r="Q1646" s="7" t="n">
        <v>33</v>
      </c>
      <c r="R1646" s="7" t="s">
        <v>53</v>
      </c>
      <c r="S1646" s="7"/>
      <c r="T1646" s="7"/>
      <c r="U1646" s="7" t="str">
        <f aca="false">IF(COUNTIF($A$2:$A$5001,A1646)&gt;1,"Duplicate","Unique")</f>
        <v>Unique</v>
      </c>
      <c r="V1646" s="7" t="str">
        <f aca="false">IF(COUNTIFS($B$2:$B$5001,B1646,$H$2:$H$5001,H1646,$J$2:$J$5001,J1646)&gt;1,"Possible Duplicate Booking","Unique")</f>
        <v>Unique</v>
      </c>
      <c r="W1646" s="7" t="str">
        <f aca="false">IF((H1646-G1646)&lt;&gt;K1646,"Mismatch","OK")</f>
        <v>OK</v>
      </c>
      <c r="X1646" s="7" t="str">
        <f aca="false">IF(TEXT(H1646,"dddd")&lt;&gt;I1646,"Mismatch","OK")</f>
        <v>OK</v>
      </c>
      <c r="Y1646" s="7" t="str">
        <f aca="false">IF(AND(N1646="No",O1646&lt;&gt;""),"Unexpected: channel present but no reminder sent",IF(AND(N1646="Yes",O1646=""),"Missing channel for sent reminder","OK"))</f>
        <v>OK</v>
      </c>
    </row>
    <row r="1647" customFormat="false" ht="15" hidden="false" customHeight="false" outlineLevel="0" collapsed="false">
      <c r="A1647" s="9" t="s">
        <v>2801</v>
      </c>
      <c r="B1647" s="9" t="s">
        <v>1600</v>
      </c>
      <c r="C1647" s="9" t="s">
        <v>47</v>
      </c>
      <c r="D1647" s="9" t="n">
        <v>63</v>
      </c>
      <c r="E1647" s="9" t="s">
        <v>61</v>
      </c>
      <c r="F1647" s="9" t="s">
        <v>49</v>
      </c>
      <c r="G1647" s="10" t="n">
        <v>45775</v>
      </c>
      <c r="H1647" s="10" t="n">
        <v>45818</v>
      </c>
      <c r="I1647" s="9" t="s">
        <v>40</v>
      </c>
      <c r="J1647" s="9" t="s">
        <v>41</v>
      </c>
      <c r="K1647" s="9" t="n">
        <v>43</v>
      </c>
      <c r="L1647" s="9" t="n">
        <v>1</v>
      </c>
      <c r="M1647" s="9" t="n">
        <v>0</v>
      </c>
      <c r="N1647" s="9" t="s">
        <v>42</v>
      </c>
      <c r="O1647" s="9" t="s">
        <v>67</v>
      </c>
      <c r="P1647" s="9" t="n">
        <v>12.5</v>
      </c>
      <c r="Q1647" s="9" t="n">
        <v>40</v>
      </c>
      <c r="R1647" s="9" t="s">
        <v>53</v>
      </c>
      <c r="S1647" s="9"/>
      <c r="T1647" s="9"/>
      <c r="U1647" s="9" t="str">
        <f aca="false">IF(COUNTIF($A$2:$A$5001,A1647)&gt;1,"Duplicate","Unique")</f>
        <v>Unique</v>
      </c>
      <c r="V1647" s="9" t="str">
        <f aca="false">IF(COUNTIFS($B$2:$B$5001,B1647,$H$2:$H$5001,H1647,$J$2:$J$5001,J1647)&gt;1,"Possible Duplicate Booking","Unique")</f>
        <v>Unique</v>
      </c>
      <c r="W1647" s="9" t="str">
        <f aca="false">IF((H1647-G1647)&lt;&gt;K1647,"Mismatch","OK")</f>
        <v>OK</v>
      </c>
      <c r="X1647" s="9" t="str">
        <f aca="false">IF(TEXT(H1647,"dddd")&lt;&gt;I1647,"Mismatch","OK")</f>
        <v>OK</v>
      </c>
      <c r="Y1647" s="9" t="str">
        <f aca="false">IF(AND(N1647="No",O1647&lt;&gt;""),"Unexpected: channel present but no reminder sent",IF(AND(N1647="Yes",O1647=""),"Missing channel for sent reminder","OK"))</f>
        <v>OK</v>
      </c>
    </row>
    <row r="1648" customFormat="false" ht="15" hidden="false" customHeight="false" outlineLevel="0" collapsed="false">
      <c r="A1648" s="7" t="s">
        <v>2802</v>
      </c>
      <c r="B1648" s="7" t="s">
        <v>1596</v>
      </c>
      <c r="C1648" s="7" t="s">
        <v>47</v>
      </c>
      <c r="D1648" s="7" t="n">
        <v>25</v>
      </c>
      <c r="E1648" s="7" t="s">
        <v>48</v>
      </c>
      <c r="F1648" s="7" t="s">
        <v>57</v>
      </c>
      <c r="G1648" s="8" t="n">
        <v>45837</v>
      </c>
      <c r="H1648" s="8" t="n">
        <v>45845</v>
      </c>
      <c r="I1648" s="7" t="s">
        <v>66</v>
      </c>
      <c r="J1648" s="7" t="s">
        <v>51</v>
      </c>
      <c r="K1648" s="7" t="n">
        <v>8</v>
      </c>
      <c r="L1648" s="7" t="n">
        <v>2</v>
      </c>
      <c r="M1648" s="7" t="n">
        <v>1</v>
      </c>
      <c r="N1648" s="7" t="s">
        <v>71</v>
      </c>
      <c r="O1648" s="7"/>
      <c r="P1648" s="7" t="n">
        <v>1.5</v>
      </c>
      <c r="Q1648" s="7" t="n">
        <v>46</v>
      </c>
      <c r="R1648" s="7" t="s">
        <v>53</v>
      </c>
      <c r="S1648" s="7"/>
      <c r="T1648" s="7"/>
      <c r="U1648" s="7" t="str">
        <f aca="false">IF(COUNTIF($A$2:$A$5001,A1648)&gt;1,"Duplicate","Unique")</f>
        <v>Unique</v>
      </c>
      <c r="V1648" s="7" t="str">
        <f aca="false">IF(COUNTIFS($B$2:$B$5001,B1648,$H$2:$H$5001,H1648,$J$2:$J$5001,J1648)&gt;1,"Possible Duplicate Booking","Unique")</f>
        <v>Unique</v>
      </c>
      <c r="W1648" s="7" t="str">
        <f aca="false">IF((H1648-G1648)&lt;&gt;K1648,"Mismatch","OK")</f>
        <v>OK</v>
      </c>
      <c r="X1648" s="7" t="str">
        <f aca="false">IF(TEXT(H1648,"dddd")&lt;&gt;I1648,"Mismatch","OK")</f>
        <v>OK</v>
      </c>
      <c r="Y1648" s="7" t="str">
        <f aca="false">IF(AND(N1648="No",O1648&lt;&gt;""),"Unexpected: channel present but no reminder sent",IF(AND(N1648="Yes",O1648=""),"Missing channel for sent reminder","OK"))</f>
        <v>OK</v>
      </c>
    </row>
    <row r="1649" customFormat="false" ht="15" hidden="false" customHeight="false" outlineLevel="0" collapsed="false">
      <c r="A1649" s="9" t="s">
        <v>2803</v>
      </c>
      <c r="B1649" s="9" t="s">
        <v>2804</v>
      </c>
      <c r="C1649" s="9" t="s">
        <v>47</v>
      </c>
      <c r="D1649" s="9" t="n">
        <v>28</v>
      </c>
      <c r="E1649" s="9" t="s">
        <v>48</v>
      </c>
      <c r="F1649" s="9" t="s">
        <v>39</v>
      </c>
      <c r="G1649" s="10" t="n">
        <v>45972</v>
      </c>
      <c r="H1649" s="10" t="n">
        <v>46020</v>
      </c>
      <c r="I1649" s="9" t="s">
        <v>66</v>
      </c>
      <c r="J1649" s="9" t="s">
        <v>63</v>
      </c>
      <c r="K1649" s="9" t="n">
        <v>48</v>
      </c>
      <c r="L1649" s="9" t="n">
        <v>6</v>
      </c>
      <c r="M1649" s="9" t="n">
        <v>0</v>
      </c>
      <c r="N1649" s="9" t="s">
        <v>42</v>
      </c>
      <c r="O1649" s="9" t="s">
        <v>52</v>
      </c>
      <c r="P1649" s="9" t="n">
        <v>8.1</v>
      </c>
      <c r="Q1649" s="9" t="n">
        <v>9</v>
      </c>
      <c r="R1649" s="9" t="s">
        <v>44</v>
      </c>
      <c r="S1649" s="9"/>
      <c r="T1649" s="9"/>
      <c r="U1649" s="9" t="str">
        <f aca="false">IF(COUNTIF($A$2:$A$5001,A1649)&gt;1,"Duplicate","Unique")</f>
        <v>Unique</v>
      </c>
      <c r="V1649" s="9" t="str">
        <f aca="false">IF(COUNTIFS($B$2:$B$5001,B1649,$H$2:$H$5001,H1649,$J$2:$J$5001,J1649)&gt;1,"Possible Duplicate Booking","Unique")</f>
        <v>Unique</v>
      </c>
      <c r="W1649" s="9" t="str">
        <f aca="false">IF((H1649-G1649)&lt;&gt;K1649,"Mismatch","OK")</f>
        <v>OK</v>
      </c>
      <c r="X1649" s="9" t="str">
        <f aca="false">IF(TEXT(H1649,"dddd")&lt;&gt;I1649,"Mismatch","OK")</f>
        <v>OK</v>
      </c>
      <c r="Y1649" s="9" t="str">
        <f aca="false">IF(AND(N1649="No",O1649&lt;&gt;""),"Unexpected: channel present but no reminder sent",IF(AND(N1649="Yes",O1649=""),"Missing channel for sent reminder","OK"))</f>
        <v>OK</v>
      </c>
    </row>
    <row r="1650" customFormat="false" ht="15" hidden="false" customHeight="false" outlineLevel="0" collapsed="false">
      <c r="A1650" s="7" t="s">
        <v>2805</v>
      </c>
      <c r="B1650" s="7" t="s">
        <v>2806</v>
      </c>
      <c r="C1650" s="7" t="s">
        <v>37</v>
      </c>
      <c r="D1650" s="7" t="n">
        <v>46</v>
      </c>
      <c r="E1650" s="7" t="s">
        <v>56</v>
      </c>
      <c r="F1650" s="7" t="s">
        <v>57</v>
      </c>
      <c r="G1650" s="8" t="n">
        <v>46158</v>
      </c>
      <c r="H1650" s="8" t="n">
        <v>46191</v>
      </c>
      <c r="I1650" s="7" t="s">
        <v>62</v>
      </c>
      <c r="J1650" s="7" t="s">
        <v>41</v>
      </c>
      <c r="K1650" s="7" t="n">
        <v>33</v>
      </c>
      <c r="L1650" s="7" t="n">
        <v>2</v>
      </c>
      <c r="M1650" s="7" t="n">
        <v>1</v>
      </c>
      <c r="N1650" s="7" t="s">
        <v>42</v>
      </c>
      <c r="O1650" s="7" t="s">
        <v>52</v>
      </c>
      <c r="P1650" s="7" t="n">
        <v>10.8</v>
      </c>
      <c r="Q1650" s="7" t="n">
        <v>17</v>
      </c>
      <c r="R1650" s="7" t="s">
        <v>53</v>
      </c>
      <c r="S1650" s="7"/>
      <c r="T1650" s="7"/>
      <c r="U1650" s="7" t="str">
        <f aca="false">IF(COUNTIF($A$2:$A$5001,A1650)&gt;1,"Duplicate","Unique")</f>
        <v>Unique</v>
      </c>
      <c r="V1650" s="7" t="str">
        <f aca="false">IF(COUNTIFS($B$2:$B$5001,B1650,$H$2:$H$5001,H1650,$J$2:$J$5001,J1650)&gt;1,"Possible Duplicate Booking","Unique")</f>
        <v>Unique</v>
      </c>
      <c r="W1650" s="7" t="str">
        <f aca="false">IF((H1650-G1650)&lt;&gt;K1650,"Mismatch","OK")</f>
        <v>OK</v>
      </c>
      <c r="X1650" s="7" t="str">
        <f aca="false">IF(TEXT(H1650,"dddd")&lt;&gt;I1650,"Mismatch","OK")</f>
        <v>OK</v>
      </c>
      <c r="Y1650" s="7" t="str">
        <f aca="false">IF(AND(N1650="No",O1650&lt;&gt;""),"Unexpected: channel present but no reminder sent",IF(AND(N1650="Yes",O1650=""),"Missing channel for sent reminder","OK"))</f>
        <v>OK</v>
      </c>
    </row>
    <row r="1651" customFormat="false" ht="15" hidden="false" customHeight="false" outlineLevel="0" collapsed="false">
      <c r="A1651" s="9" t="s">
        <v>2807</v>
      </c>
      <c r="B1651" s="9" t="s">
        <v>2808</v>
      </c>
      <c r="C1651" s="9" t="s">
        <v>37</v>
      </c>
      <c r="D1651" s="9" t="n">
        <v>41</v>
      </c>
      <c r="E1651" s="9" t="s">
        <v>38</v>
      </c>
      <c r="F1651" s="9" t="s">
        <v>57</v>
      </c>
      <c r="G1651" s="10" t="n">
        <v>46078</v>
      </c>
      <c r="H1651" s="10" t="n">
        <v>46114</v>
      </c>
      <c r="I1651" s="9" t="s">
        <v>62</v>
      </c>
      <c r="J1651" s="9" t="s">
        <v>41</v>
      </c>
      <c r="K1651" s="9" t="n">
        <v>36</v>
      </c>
      <c r="L1651" s="9" t="n">
        <v>4</v>
      </c>
      <c r="M1651" s="9" t="n">
        <v>1</v>
      </c>
      <c r="N1651" s="9" t="s">
        <v>42</v>
      </c>
      <c r="O1651" s="9" t="s">
        <v>43</v>
      </c>
      <c r="P1651" s="9" t="n">
        <v>10.3</v>
      </c>
      <c r="Q1651" s="9" t="n">
        <v>24</v>
      </c>
      <c r="R1651" s="9" t="s">
        <v>53</v>
      </c>
      <c r="S1651" s="9"/>
      <c r="T1651" s="9"/>
      <c r="U1651" s="9" t="str">
        <f aca="false">IF(COUNTIF($A$2:$A$5001,A1651)&gt;1,"Duplicate","Unique")</f>
        <v>Unique</v>
      </c>
      <c r="V1651" s="9" t="str">
        <f aca="false">IF(COUNTIFS($B$2:$B$5001,B1651,$H$2:$H$5001,H1651,$J$2:$J$5001,J1651)&gt;1,"Possible Duplicate Booking","Unique")</f>
        <v>Unique</v>
      </c>
      <c r="W1651" s="9" t="str">
        <f aca="false">IF((H1651-G1651)&lt;&gt;K1651,"Mismatch","OK")</f>
        <v>OK</v>
      </c>
      <c r="X1651" s="9" t="str">
        <f aca="false">IF(TEXT(H1651,"dddd")&lt;&gt;I1651,"Mismatch","OK")</f>
        <v>OK</v>
      </c>
      <c r="Y1651" s="9" t="str">
        <f aca="false">IF(AND(N1651="No",O1651&lt;&gt;""),"Unexpected: channel present but no reminder sent",IF(AND(N1651="Yes",O1651=""),"Missing channel for sent reminder","OK"))</f>
        <v>OK</v>
      </c>
    </row>
    <row r="1652" customFormat="false" ht="15" hidden="false" customHeight="false" outlineLevel="0" collapsed="false">
      <c r="A1652" s="7" t="s">
        <v>2809</v>
      </c>
      <c r="B1652" s="7" t="s">
        <v>2246</v>
      </c>
      <c r="C1652" s="7" t="s">
        <v>37</v>
      </c>
      <c r="D1652" s="7" t="n">
        <v>49</v>
      </c>
      <c r="E1652" s="7" t="s">
        <v>56</v>
      </c>
      <c r="F1652" s="7" t="s">
        <v>57</v>
      </c>
      <c r="G1652" s="8" t="n">
        <v>45749</v>
      </c>
      <c r="H1652" s="8" t="n">
        <v>45761</v>
      </c>
      <c r="I1652" s="7" t="s">
        <v>66</v>
      </c>
      <c r="J1652" s="7" t="s">
        <v>51</v>
      </c>
      <c r="K1652" s="7" t="n">
        <v>12</v>
      </c>
      <c r="L1652" s="7" t="n">
        <v>0</v>
      </c>
      <c r="M1652" s="7" t="n">
        <v>0</v>
      </c>
      <c r="N1652" s="7" t="s">
        <v>42</v>
      </c>
      <c r="O1652" s="7" t="s">
        <v>52</v>
      </c>
      <c r="P1652" s="7" t="n">
        <v>8.4</v>
      </c>
      <c r="Q1652" s="7" t="n">
        <v>11</v>
      </c>
      <c r="R1652" s="7" t="s">
        <v>53</v>
      </c>
      <c r="S1652" s="7"/>
      <c r="T1652" s="7"/>
      <c r="U1652" s="7" t="str">
        <f aca="false">IF(COUNTIF($A$2:$A$5001,A1652)&gt;1,"Duplicate","Unique")</f>
        <v>Unique</v>
      </c>
      <c r="V1652" s="7" t="str">
        <f aca="false">IF(COUNTIFS($B$2:$B$5001,B1652,$H$2:$H$5001,H1652,$J$2:$J$5001,J1652)&gt;1,"Possible Duplicate Booking","Unique")</f>
        <v>Unique</v>
      </c>
      <c r="W1652" s="7" t="str">
        <f aca="false">IF((H1652-G1652)&lt;&gt;K1652,"Mismatch","OK")</f>
        <v>OK</v>
      </c>
      <c r="X1652" s="7" t="str">
        <f aca="false">IF(TEXT(H1652,"dddd")&lt;&gt;I1652,"Mismatch","OK")</f>
        <v>OK</v>
      </c>
      <c r="Y1652" s="7" t="str">
        <f aca="false">IF(AND(N1652="No",O1652&lt;&gt;""),"Unexpected: channel present but no reminder sent",IF(AND(N1652="Yes",O1652=""),"Missing channel for sent reminder","OK"))</f>
        <v>OK</v>
      </c>
    </row>
    <row r="1653" customFormat="false" ht="15" hidden="false" customHeight="false" outlineLevel="0" collapsed="false">
      <c r="A1653" s="9" t="s">
        <v>2810</v>
      </c>
      <c r="B1653" s="9" t="s">
        <v>2460</v>
      </c>
      <c r="C1653" s="9" t="s">
        <v>47</v>
      </c>
      <c r="D1653" s="9" t="n">
        <v>27</v>
      </c>
      <c r="E1653" s="9" t="s">
        <v>48</v>
      </c>
      <c r="F1653" s="9" t="s">
        <v>57</v>
      </c>
      <c r="G1653" s="10" t="n">
        <v>45616</v>
      </c>
      <c r="H1653" s="10" t="n">
        <v>45667</v>
      </c>
      <c r="I1653" s="9" t="s">
        <v>50</v>
      </c>
      <c r="J1653" s="9" t="s">
        <v>51</v>
      </c>
      <c r="K1653" s="9" t="n">
        <v>51</v>
      </c>
      <c r="L1653" s="9" t="n">
        <v>4</v>
      </c>
      <c r="M1653" s="9" t="n">
        <v>1</v>
      </c>
      <c r="N1653" s="9" t="s">
        <v>71</v>
      </c>
      <c r="O1653" s="9"/>
      <c r="P1653" s="9" t="n">
        <v>5.8</v>
      </c>
      <c r="Q1653" s="9"/>
      <c r="R1653" s="9" t="s">
        <v>44</v>
      </c>
      <c r="S1653" s="9"/>
      <c r="T1653" s="9"/>
      <c r="U1653" s="9" t="str">
        <f aca="false">IF(COUNTIF($A$2:$A$5001,A1653)&gt;1,"Duplicate","Unique")</f>
        <v>Unique</v>
      </c>
      <c r="V1653" s="9" t="str">
        <f aca="false">IF(COUNTIFS($B$2:$B$5001,B1653,$H$2:$H$5001,H1653,$J$2:$J$5001,J1653)&gt;1,"Possible Duplicate Booking","Unique")</f>
        <v>Unique</v>
      </c>
      <c r="W1653" s="9" t="str">
        <f aca="false">IF((H1653-G1653)&lt;&gt;K1653,"Mismatch","OK")</f>
        <v>OK</v>
      </c>
      <c r="X1653" s="9" t="str">
        <f aca="false">IF(TEXT(H1653,"dddd")&lt;&gt;I1653,"Mismatch","OK")</f>
        <v>OK</v>
      </c>
      <c r="Y1653" s="9" t="str">
        <f aca="false">IF(AND(N1653="No",O1653&lt;&gt;""),"Unexpected: channel present but no reminder sent",IF(AND(N1653="Yes",O1653=""),"Missing channel for sent reminder","OK"))</f>
        <v>OK</v>
      </c>
    </row>
    <row r="1654" customFormat="false" ht="15" hidden="false" customHeight="false" outlineLevel="0" collapsed="false">
      <c r="A1654" s="7" t="s">
        <v>2811</v>
      </c>
      <c r="B1654" s="7" t="s">
        <v>2508</v>
      </c>
      <c r="C1654" s="7" t="s">
        <v>37</v>
      </c>
      <c r="D1654" s="7" t="n">
        <v>47</v>
      </c>
      <c r="E1654" s="7" t="s">
        <v>56</v>
      </c>
      <c r="F1654" s="7" t="s">
        <v>39</v>
      </c>
      <c r="G1654" s="8" t="n">
        <v>45630</v>
      </c>
      <c r="H1654" s="8" t="n">
        <v>45686</v>
      </c>
      <c r="I1654" s="7" t="s">
        <v>58</v>
      </c>
      <c r="J1654" s="7" t="s">
        <v>63</v>
      </c>
      <c r="K1654" s="7" t="n">
        <v>56</v>
      </c>
      <c r="L1654" s="7" t="n">
        <v>4</v>
      </c>
      <c r="M1654" s="7" t="n">
        <v>1</v>
      </c>
      <c r="N1654" s="7" t="s">
        <v>42</v>
      </c>
      <c r="O1654" s="7" t="s">
        <v>43</v>
      </c>
      <c r="P1654" s="7" t="n">
        <v>7.1</v>
      </c>
      <c r="Q1654" s="7" t="n">
        <v>26</v>
      </c>
      <c r="R1654" s="7" t="s">
        <v>44</v>
      </c>
      <c r="S1654" s="7"/>
      <c r="T1654" s="7"/>
      <c r="U1654" s="7" t="str">
        <f aca="false">IF(COUNTIF($A$2:$A$5001,A1654)&gt;1,"Duplicate","Unique")</f>
        <v>Unique</v>
      </c>
      <c r="V1654" s="7" t="str">
        <f aca="false">IF(COUNTIFS($B$2:$B$5001,B1654,$H$2:$H$5001,H1654,$J$2:$J$5001,J1654)&gt;1,"Possible Duplicate Booking","Unique")</f>
        <v>Unique</v>
      </c>
      <c r="W1654" s="7" t="str">
        <f aca="false">IF((H1654-G1654)&lt;&gt;K1654,"Mismatch","OK")</f>
        <v>OK</v>
      </c>
      <c r="X1654" s="7" t="str">
        <f aca="false">IF(TEXT(H1654,"dddd")&lt;&gt;I1654,"Mismatch","OK")</f>
        <v>OK</v>
      </c>
      <c r="Y1654" s="7" t="str">
        <f aca="false">IF(AND(N1654="No",O1654&lt;&gt;""),"Unexpected: channel present but no reminder sent",IF(AND(N1654="Yes",O1654=""),"Missing channel for sent reminder","OK"))</f>
        <v>OK</v>
      </c>
    </row>
    <row r="1655" customFormat="false" ht="15" hidden="false" customHeight="false" outlineLevel="0" collapsed="false">
      <c r="A1655" s="9" t="s">
        <v>2812</v>
      </c>
      <c r="B1655" s="9" t="s">
        <v>443</v>
      </c>
      <c r="C1655" s="9" t="s">
        <v>47</v>
      </c>
      <c r="D1655" s="9" t="n">
        <v>61</v>
      </c>
      <c r="E1655" s="9" t="s">
        <v>61</v>
      </c>
      <c r="F1655" s="9" t="s">
        <v>74</v>
      </c>
      <c r="G1655" s="10" t="n">
        <v>45959</v>
      </c>
      <c r="H1655" s="10" t="n">
        <v>45983</v>
      </c>
      <c r="I1655" s="9" t="s">
        <v>102</v>
      </c>
      <c r="J1655" s="9" t="s">
        <v>51</v>
      </c>
      <c r="K1655" s="9" t="n">
        <v>24</v>
      </c>
      <c r="L1655" s="9" t="n">
        <v>2</v>
      </c>
      <c r="M1655" s="9" t="n">
        <v>0</v>
      </c>
      <c r="N1655" s="9" t="s">
        <v>71</v>
      </c>
      <c r="O1655" s="9"/>
      <c r="P1655" s="9" t="n">
        <v>2</v>
      </c>
      <c r="Q1655" s="9" t="n">
        <v>38</v>
      </c>
      <c r="R1655" s="9" t="s">
        <v>44</v>
      </c>
      <c r="S1655" s="9"/>
      <c r="T1655" s="9"/>
      <c r="U1655" s="9" t="str">
        <f aca="false">IF(COUNTIF($A$2:$A$5001,A1655)&gt;1,"Duplicate","Unique")</f>
        <v>Unique</v>
      </c>
      <c r="V1655" s="9" t="str">
        <f aca="false">IF(COUNTIFS($B$2:$B$5001,B1655,$H$2:$H$5001,H1655,$J$2:$J$5001,J1655)&gt;1,"Possible Duplicate Booking","Unique")</f>
        <v>Unique</v>
      </c>
      <c r="W1655" s="9" t="str">
        <f aca="false">IF((H1655-G1655)&lt;&gt;K1655,"Mismatch","OK")</f>
        <v>OK</v>
      </c>
      <c r="X1655" s="9" t="str">
        <f aca="false">IF(TEXT(H1655,"dddd")&lt;&gt;I1655,"Mismatch","OK")</f>
        <v>OK</v>
      </c>
      <c r="Y1655" s="9" t="str">
        <f aca="false">IF(AND(N1655="No",O1655&lt;&gt;""),"Unexpected: channel present but no reminder sent",IF(AND(N1655="Yes",O1655=""),"Missing channel for sent reminder","OK"))</f>
        <v>OK</v>
      </c>
    </row>
    <row r="1656" customFormat="false" ht="15" hidden="false" customHeight="false" outlineLevel="0" collapsed="false">
      <c r="A1656" s="7" t="s">
        <v>2813</v>
      </c>
      <c r="B1656" s="7" t="s">
        <v>2138</v>
      </c>
      <c r="C1656" s="7" t="s">
        <v>236</v>
      </c>
      <c r="D1656" s="7" t="n">
        <v>63</v>
      </c>
      <c r="E1656" s="7" t="s">
        <v>61</v>
      </c>
      <c r="F1656" s="7" t="s">
        <v>39</v>
      </c>
      <c r="G1656" s="8" t="n">
        <v>45738</v>
      </c>
      <c r="H1656" s="8" t="n">
        <v>45743</v>
      </c>
      <c r="I1656" s="7" t="s">
        <v>62</v>
      </c>
      <c r="J1656" s="7" t="s">
        <v>51</v>
      </c>
      <c r="K1656" s="7" t="n">
        <v>5</v>
      </c>
      <c r="L1656" s="7" t="n">
        <v>1</v>
      </c>
      <c r="M1656" s="7" t="n">
        <v>0</v>
      </c>
      <c r="N1656" s="7" t="s">
        <v>71</v>
      </c>
      <c r="O1656" s="7"/>
      <c r="P1656" s="7" t="n">
        <v>18</v>
      </c>
      <c r="Q1656" s="7" t="n">
        <v>23</v>
      </c>
      <c r="R1656" s="7" t="s">
        <v>53</v>
      </c>
      <c r="S1656" s="7"/>
      <c r="T1656" s="7"/>
      <c r="U1656" s="7" t="str">
        <f aca="false">IF(COUNTIF($A$2:$A$5001,A1656)&gt;1,"Duplicate","Unique")</f>
        <v>Unique</v>
      </c>
      <c r="V1656" s="7" t="str">
        <f aca="false">IF(COUNTIFS($B$2:$B$5001,B1656,$H$2:$H$5001,H1656,$J$2:$J$5001,J1656)&gt;1,"Possible Duplicate Booking","Unique")</f>
        <v>Unique</v>
      </c>
      <c r="W1656" s="7" t="str">
        <f aca="false">IF((H1656-G1656)&lt;&gt;K1656,"Mismatch","OK")</f>
        <v>OK</v>
      </c>
      <c r="X1656" s="7" t="str">
        <f aca="false">IF(TEXT(H1656,"dddd")&lt;&gt;I1656,"Mismatch","OK")</f>
        <v>OK</v>
      </c>
      <c r="Y1656" s="7" t="str">
        <f aca="false">IF(AND(N1656="No",O1656&lt;&gt;""),"Unexpected: channel present but no reminder sent",IF(AND(N1656="Yes",O1656=""),"Missing channel for sent reminder","OK"))</f>
        <v>OK</v>
      </c>
    </row>
    <row r="1657" customFormat="false" ht="15" hidden="false" customHeight="false" outlineLevel="0" collapsed="false">
      <c r="A1657" s="9" t="s">
        <v>2814</v>
      </c>
      <c r="B1657" s="9" t="s">
        <v>1407</v>
      </c>
      <c r="C1657" s="9" t="s">
        <v>47</v>
      </c>
      <c r="D1657" s="9" t="n">
        <v>33</v>
      </c>
      <c r="E1657" s="9" t="s">
        <v>48</v>
      </c>
      <c r="F1657" s="9" t="s">
        <v>74</v>
      </c>
      <c r="G1657" s="10" t="n">
        <v>45733</v>
      </c>
      <c r="H1657" s="10" t="n">
        <v>45784</v>
      </c>
      <c r="I1657" s="9" t="s">
        <v>58</v>
      </c>
      <c r="J1657" s="9" t="s">
        <v>41</v>
      </c>
      <c r="K1657" s="9" t="n">
        <v>51</v>
      </c>
      <c r="L1657" s="9" t="n">
        <v>3</v>
      </c>
      <c r="M1657" s="9" t="n">
        <v>0</v>
      </c>
      <c r="N1657" s="9" t="s">
        <v>71</v>
      </c>
      <c r="O1657" s="9"/>
      <c r="P1657" s="9" t="n">
        <v>1.9</v>
      </c>
      <c r="Q1657" s="9" t="n">
        <v>29</v>
      </c>
      <c r="R1657" s="9" t="s">
        <v>44</v>
      </c>
      <c r="S1657" s="9"/>
      <c r="T1657" s="9"/>
      <c r="U1657" s="9" t="str">
        <f aca="false">IF(COUNTIF($A$2:$A$5001,A1657)&gt;1,"Duplicate","Unique")</f>
        <v>Unique</v>
      </c>
      <c r="V1657" s="9" t="str">
        <f aca="false">IF(COUNTIFS($B$2:$B$5001,B1657,$H$2:$H$5001,H1657,$J$2:$J$5001,J1657)&gt;1,"Possible Duplicate Booking","Unique")</f>
        <v>Unique</v>
      </c>
      <c r="W1657" s="9" t="str">
        <f aca="false">IF((H1657-G1657)&lt;&gt;K1657,"Mismatch","OK")</f>
        <v>OK</v>
      </c>
      <c r="X1657" s="9" t="str">
        <f aca="false">IF(TEXT(H1657,"dddd")&lt;&gt;I1657,"Mismatch","OK")</f>
        <v>OK</v>
      </c>
      <c r="Y1657" s="9" t="str">
        <f aca="false">IF(AND(N1657="No",O1657&lt;&gt;""),"Unexpected: channel present but no reminder sent",IF(AND(N1657="Yes",O1657=""),"Missing channel for sent reminder","OK"))</f>
        <v>OK</v>
      </c>
    </row>
    <row r="1658" customFormat="false" ht="15" hidden="false" customHeight="false" outlineLevel="0" collapsed="false">
      <c r="A1658" s="7" t="s">
        <v>2815</v>
      </c>
      <c r="B1658" s="7" t="s">
        <v>1257</v>
      </c>
      <c r="C1658" s="7" t="s">
        <v>47</v>
      </c>
      <c r="D1658" s="7" t="n">
        <v>39</v>
      </c>
      <c r="E1658" s="7" t="s">
        <v>38</v>
      </c>
      <c r="F1658" s="7" t="s">
        <v>39</v>
      </c>
      <c r="G1658" s="8" t="n">
        <v>46066</v>
      </c>
      <c r="H1658" s="8" t="n">
        <v>46120</v>
      </c>
      <c r="I1658" s="7" t="s">
        <v>58</v>
      </c>
      <c r="J1658" s="7" t="s">
        <v>41</v>
      </c>
      <c r="K1658" s="7" t="n">
        <v>54</v>
      </c>
      <c r="L1658" s="7" t="n">
        <v>4</v>
      </c>
      <c r="M1658" s="7" t="n">
        <v>1</v>
      </c>
      <c r="N1658" s="7" t="s">
        <v>42</v>
      </c>
      <c r="O1658" s="7" t="s">
        <v>52</v>
      </c>
      <c r="P1658" s="7" t="n">
        <v>4.9</v>
      </c>
      <c r="Q1658" s="7"/>
      <c r="R1658" s="7" t="s">
        <v>53</v>
      </c>
      <c r="S1658" s="7"/>
      <c r="T1658" s="7"/>
      <c r="U1658" s="7" t="str">
        <f aca="false">IF(COUNTIF($A$2:$A$5001,A1658)&gt;1,"Duplicate","Unique")</f>
        <v>Unique</v>
      </c>
      <c r="V1658" s="7" t="str">
        <f aca="false">IF(COUNTIFS($B$2:$B$5001,B1658,$H$2:$H$5001,H1658,$J$2:$J$5001,J1658)&gt;1,"Possible Duplicate Booking","Unique")</f>
        <v>Unique</v>
      </c>
      <c r="W1658" s="7" t="str">
        <f aca="false">IF((H1658-G1658)&lt;&gt;K1658,"Mismatch","OK")</f>
        <v>OK</v>
      </c>
      <c r="X1658" s="7" t="str">
        <f aca="false">IF(TEXT(H1658,"dddd")&lt;&gt;I1658,"Mismatch","OK")</f>
        <v>OK</v>
      </c>
      <c r="Y1658" s="7" t="str">
        <f aca="false">IF(AND(N1658="No",O1658&lt;&gt;""),"Unexpected: channel present but no reminder sent",IF(AND(N1658="Yes",O1658=""),"Missing channel for sent reminder","OK"))</f>
        <v>OK</v>
      </c>
    </row>
    <row r="1659" customFormat="false" ht="15" hidden="false" customHeight="false" outlineLevel="0" collapsed="false">
      <c r="A1659" s="9" t="s">
        <v>2816</v>
      </c>
      <c r="B1659" s="9" t="s">
        <v>463</v>
      </c>
      <c r="C1659" s="9" t="s">
        <v>47</v>
      </c>
      <c r="D1659" s="9" t="n">
        <v>51</v>
      </c>
      <c r="E1659" s="9" t="s">
        <v>56</v>
      </c>
      <c r="F1659" s="9" t="s">
        <v>57</v>
      </c>
      <c r="G1659" s="10" t="n">
        <v>46105</v>
      </c>
      <c r="H1659" s="10" t="n">
        <v>46135</v>
      </c>
      <c r="I1659" s="9" t="s">
        <v>62</v>
      </c>
      <c r="J1659" s="9" t="s">
        <v>41</v>
      </c>
      <c r="K1659" s="9" t="n">
        <v>30</v>
      </c>
      <c r="L1659" s="9" t="n">
        <v>1</v>
      </c>
      <c r="M1659" s="9" t="n">
        <v>0</v>
      </c>
      <c r="N1659" s="9" t="s">
        <v>42</v>
      </c>
      <c r="O1659" s="9" t="s">
        <v>52</v>
      </c>
      <c r="P1659" s="9" t="n">
        <v>8.2</v>
      </c>
      <c r="Q1659" s="9" t="n">
        <v>13</v>
      </c>
      <c r="R1659" s="9" t="s">
        <v>87</v>
      </c>
      <c r="S1659" s="9"/>
      <c r="T1659" s="9"/>
      <c r="U1659" s="9" t="str">
        <f aca="false">IF(COUNTIF($A$2:$A$5001,A1659)&gt;1,"Duplicate","Unique")</f>
        <v>Unique</v>
      </c>
      <c r="V1659" s="9" t="str">
        <f aca="false">IF(COUNTIFS($B$2:$B$5001,B1659,$H$2:$H$5001,H1659,$J$2:$J$5001,J1659)&gt;1,"Possible Duplicate Booking","Unique")</f>
        <v>Unique</v>
      </c>
      <c r="W1659" s="9" t="str">
        <f aca="false">IF((H1659-G1659)&lt;&gt;K1659,"Mismatch","OK")</f>
        <v>OK</v>
      </c>
      <c r="X1659" s="9" t="str">
        <f aca="false">IF(TEXT(H1659,"dddd")&lt;&gt;I1659,"Mismatch","OK")</f>
        <v>OK</v>
      </c>
      <c r="Y1659" s="9" t="str">
        <f aca="false">IF(AND(N1659="No",O1659&lt;&gt;""),"Unexpected: channel present but no reminder sent",IF(AND(N1659="Yes",O1659=""),"Missing channel for sent reminder","OK"))</f>
        <v>OK</v>
      </c>
    </row>
    <row r="1660" customFormat="false" ht="15" hidden="false" customHeight="false" outlineLevel="0" collapsed="false">
      <c r="A1660" s="7" t="s">
        <v>2817</v>
      </c>
      <c r="B1660" s="7" t="s">
        <v>2818</v>
      </c>
      <c r="C1660" s="7" t="s">
        <v>37</v>
      </c>
      <c r="D1660" s="7" t="n">
        <v>50</v>
      </c>
      <c r="E1660" s="7" t="s">
        <v>56</v>
      </c>
      <c r="F1660" s="7" t="s">
        <v>57</v>
      </c>
      <c r="G1660" s="8" t="n">
        <v>46081</v>
      </c>
      <c r="H1660" s="8" t="n">
        <v>46116</v>
      </c>
      <c r="I1660" s="7" t="s">
        <v>102</v>
      </c>
      <c r="J1660" s="7" t="s">
        <v>41</v>
      </c>
      <c r="K1660" s="7" t="n">
        <v>35</v>
      </c>
      <c r="L1660" s="7" t="n">
        <v>4</v>
      </c>
      <c r="M1660" s="7" t="n">
        <v>0</v>
      </c>
      <c r="N1660" s="7" t="s">
        <v>42</v>
      </c>
      <c r="O1660" s="7" t="s">
        <v>43</v>
      </c>
      <c r="P1660" s="7" t="n">
        <v>2.8</v>
      </c>
      <c r="Q1660" s="7" t="n">
        <v>13</v>
      </c>
      <c r="R1660" s="7" t="s">
        <v>44</v>
      </c>
      <c r="S1660" s="7"/>
      <c r="T1660" s="7"/>
      <c r="U1660" s="7" t="str">
        <f aca="false">IF(COUNTIF($A$2:$A$5001,A1660)&gt;1,"Duplicate","Unique")</f>
        <v>Unique</v>
      </c>
      <c r="V1660" s="7" t="str">
        <f aca="false">IF(COUNTIFS($B$2:$B$5001,B1660,$H$2:$H$5001,H1660,$J$2:$J$5001,J1660)&gt;1,"Possible Duplicate Booking","Unique")</f>
        <v>Unique</v>
      </c>
      <c r="W1660" s="7" t="str">
        <f aca="false">IF((H1660-G1660)&lt;&gt;K1660,"Mismatch","OK")</f>
        <v>OK</v>
      </c>
      <c r="X1660" s="7" t="str">
        <f aca="false">IF(TEXT(H1660,"dddd")&lt;&gt;I1660,"Mismatch","OK")</f>
        <v>OK</v>
      </c>
      <c r="Y1660" s="7" t="str">
        <f aca="false">IF(AND(N1660="No",O1660&lt;&gt;""),"Unexpected: channel present but no reminder sent",IF(AND(N1660="Yes",O1660=""),"Missing channel for sent reminder","OK"))</f>
        <v>OK</v>
      </c>
    </row>
    <row r="1661" customFormat="false" ht="15" hidden="false" customHeight="false" outlineLevel="0" collapsed="false">
      <c r="A1661" s="9" t="s">
        <v>2819</v>
      </c>
      <c r="B1661" s="9" t="s">
        <v>209</v>
      </c>
      <c r="C1661" s="9" t="s">
        <v>37</v>
      </c>
      <c r="D1661" s="9" t="n">
        <v>67</v>
      </c>
      <c r="E1661" s="9" t="s">
        <v>70</v>
      </c>
      <c r="F1661" s="9" t="s">
        <v>57</v>
      </c>
      <c r="G1661" s="10" t="n">
        <v>45783</v>
      </c>
      <c r="H1661" s="10" t="n">
        <v>45796</v>
      </c>
      <c r="I1661" s="9" t="s">
        <v>66</v>
      </c>
      <c r="J1661" s="9" t="s">
        <v>63</v>
      </c>
      <c r="K1661" s="9" t="n">
        <v>13</v>
      </c>
      <c r="L1661" s="9" t="n">
        <v>5</v>
      </c>
      <c r="M1661" s="9" t="n">
        <v>0</v>
      </c>
      <c r="N1661" s="9" t="s">
        <v>71</v>
      </c>
      <c r="O1661" s="9"/>
      <c r="P1661" s="9" t="n">
        <v>6.8</v>
      </c>
      <c r="Q1661" s="9" t="n">
        <v>6</v>
      </c>
      <c r="R1661" s="9" t="s">
        <v>87</v>
      </c>
      <c r="S1661" s="9"/>
      <c r="T1661" s="9"/>
      <c r="U1661" s="9" t="str">
        <f aca="false">IF(COUNTIF($A$2:$A$5001,A1661)&gt;1,"Duplicate","Unique")</f>
        <v>Unique</v>
      </c>
      <c r="V1661" s="9" t="str">
        <f aca="false">IF(COUNTIFS($B$2:$B$5001,B1661,$H$2:$H$5001,H1661,$J$2:$J$5001,J1661)&gt;1,"Possible Duplicate Booking","Unique")</f>
        <v>Unique</v>
      </c>
      <c r="W1661" s="9" t="str">
        <f aca="false">IF((H1661-G1661)&lt;&gt;K1661,"Mismatch","OK")</f>
        <v>OK</v>
      </c>
      <c r="X1661" s="9" t="str">
        <f aca="false">IF(TEXT(H1661,"dddd")&lt;&gt;I1661,"Mismatch","OK")</f>
        <v>OK</v>
      </c>
      <c r="Y1661" s="9" t="str">
        <f aca="false">IF(AND(N1661="No",O1661&lt;&gt;""),"Unexpected: channel present but no reminder sent",IF(AND(N1661="Yes",O1661=""),"Missing channel for sent reminder","OK"))</f>
        <v>OK</v>
      </c>
    </row>
    <row r="1662" customFormat="false" ht="15" hidden="false" customHeight="false" outlineLevel="0" collapsed="false">
      <c r="A1662" s="7" t="s">
        <v>2820</v>
      </c>
      <c r="B1662" s="7" t="s">
        <v>2821</v>
      </c>
      <c r="C1662" s="7" t="s">
        <v>47</v>
      </c>
      <c r="D1662" s="7" t="n">
        <v>42</v>
      </c>
      <c r="E1662" s="7" t="s">
        <v>38</v>
      </c>
      <c r="F1662" s="7" t="s">
        <v>57</v>
      </c>
      <c r="G1662" s="8" t="n">
        <v>45992</v>
      </c>
      <c r="H1662" s="8" t="n">
        <v>45996</v>
      </c>
      <c r="I1662" s="7" t="s">
        <v>50</v>
      </c>
      <c r="J1662" s="7" t="s">
        <v>41</v>
      </c>
      <c r="K1662" s="7" t="n">
        <v>4</v>
      </c>
      <c r="L1662" s="7" t="n">
        <v>3</v>
      </c>
      <c r="M1662" s="7" t="n">
        <v>1</v>
      </c>
      <c r="N1662" s="7" t="s">
        <v>71</v>
      </c>
      <c r="O1662" s="7"/>
      <c r="P1662" s="7" t="n">
        <v>12.9</v>
      </c>
      <c r="Q1662" s="7" t="n">
        <v>36</v>
      </c>
      <c r="R1662" s="7" t="s">
        <v>53</v>
      </c>
      <c r="S1662" s="7"/>
      <c r="T1662" s="7"/>
      <c r="U1662" s="7" t="str">
        <f aca="false">IF(COUNTIF($A$2:$A$5001,A1662)&gt;1,"Duplicate","Unique")</f>
        <v>Unique</v>
      </c>
      <c r="V1662" s="7" t="str">
        <f aca="false">IF(COUNTIFS($B$2:$B$5001,B1662,$H$2:$H$5001,H1662,$J$2:$J$5001,J1662)&gt;1,"Possible Duplicate Booking","Unique")</f>
        <v>Unique</v>
      </c>
      <c r="W1662" s="7" t="str">
        <f aca="false">IF((H1662-G1662)&lt;&gt;K1662,"Mismatch","OK")</f>
        <v>OK</v>
      </c>
      <c r="X1662" s="7" t="str">
        <f aca="false">IF(TEXT(H1662,"dddd")&lt;&gt;I1662,"Mismatch","OK")</f>
        <v>OK</v>
      </c>
      <c r="Y1662" s="7" t="str">
        <f aca="false">IF(AND(N1662="No",O1662&lt;&gt;""),"Unexpected: channel present but no reminder sent",IF(AND(N1662="Yes",O1662=""),"Missing channel for sent reminder","OK"))</f>
        <v>OK</v>
      </c>
    </row>
    <row r="1663" customFormat="false" ht="15" hidden="false" customHeight="false" outlineLevel="0" collapsed="false">
      <c r="A1663" s="9" t="s">
        <v>2822</v>
      </c>
      <c r="B1663" s="9" t="s">
        <v>2823</v>
      </c>
      <c r="C1663" s="9" t="s">
        <v>47</v>
      </c>
      <c r="D1663" s="9" t="n">
        <v>60</v>
      </c>
      <c r="E1663" s="9" t="s">
        <v>61</v>
      </c>
      <c r="F1663" s="9" t="s">
        <v>49</v>
      </c>
      <c r="G1663" s="10" t="n">
        <v>45934</v>
      </c>
      <c r="H1663" s="10" t="n">
        <v>45991</v>
      </c>
      <c r="I1663" s="9" t="s">
        <v>75</v>
      </c>
      <c r="J1663" s="9" t="s">
        <v>41</v>
      </c>
      <c r="K1663" s="9" t="n">
        <v>57</v>
      </c>
      <c r="L1663" s="9" t="n">
        <v>5</v>
      </c>
      <c r="M1663" s="9" t="n">
        <v>2</v>
      </c>
      <c r="N1663" s="9" t="s">
        <v>42</v>
      </c>
      <c r="O1663" s="9" t="s">
        <v>52</v>
      </c>
      <c r="P1663" s="9" t="n">
        <v>11.6</v>
      </c>
      <c r="Q1663" s="9" t="n">
        <v>25</v>
      </c>
      <c r="R1663" s="9" t="s">
        <v>44</v>
      </c>
      <c r="S1663" s="9"/>
      <c r="T1663" s="9"/>
      <c r="U1663" s="9" t="str">
        <f aca="false">IF(COUNTIF($A$2:$A$5001,A1663)&gt;1,"Duplicate","Unique")</f>
        <v>Unique</v>
      </c>
      <c r="V1663" s="9" t="str">
        <f aca="false">IF(COUNTIFS($B$2:$B$5001,B1663,$H$2:$H$5001,H1663,$J$2:$J$5001,J1663)&gt;1,"Possible Duplicate Booking","Unique")</f>
        <v>Unique</v>
      </c>
      <c r="W1663" s="9" t="str">
        <f aca="false">IF((H1663-G1663)&lt;&gt;K1663,"Mismatch","OK")</f>
        <v>OK</v>
      </c>
      <c r="X1663" s="9" t="str">
        <f aca="false">IF(TEXT(H1663,"dddd")&lt;&gt;I1663,"Mismatch","OK")</f>
        <v>OK</v>
      </c>
      <c r="Y1663" s="9" t="str">
        <f aca="false">IF(AND(N1663="No",O1663&lt;&gt;""),"Unexpected: channel present but no reminder sent",IF(AND(N1663="Yes",O1663=""),"Missing channel for sent reminder","OK"))</f>
        <v>OK</v>
      </c>
    </row>
    <row r="1664" customFormat="false" ht="15" hidden="false" customHeight="false" outlineLevel="0" collapsed="false">
      <c r="A1664" s="7" t="s">
        <v>2824</v>
      </c>
      <c r="B1664" s="7" t="s">
        <v>1103</v>
      </c>
      <c r="C1664" s="7" t="s">
        <v>37</v>
      </c>
      <c r="D1664" s="7" t="n">
        <v>73</v>
      </c>
      <c r="E1664" s="7" t="s">
        <v>70</v>
      </c>
      <c r="F1664" s="7" t="s">
        <v>39</v>
      </c>
      <c r="G1664" s="8" t="n">
        <v>45730</v>
      </c>
      <c r="H1664" s="8" t="n">
        <v>45759</v>
      </c>
      <c r="I1664" s="7" t="s">
        <v>102</v>
      </c>
      <c r="J1664" s="7" t="s">
        <v>41</v>
      </c>
      <c r="K1664" s="7" t="n">
        <v>29</v>
      </c>
      <c r="L1664" s="7" t="n">
        <v>5</v>
      </c>
      <c r="M1664" s="7" t="n">
        <v>1</v>
      </c>
      <c r="N1664" s="7" t="s">
        <v>42</v>
      </c>
      <c r="O1664" s="7" t="s">
        <v>52</v>
      </c>
      <c r="P1664" s="7" t="n">
        <v>8.1</v>
      </c>
      <c r="Q1664" s="7" t="n">
        <v>36</v>
      </c>
      <c r="R1664" s="7" t="s">
        <v>44</v>
      </c>
      <c r="S1664" s="7"/>
      <c r="T1664" s="7"/>
      <c r="U1664" s="7" t="str">
        <f aca="false">IF(COUNTIF($A$2:$A$5001,A1664)&gt;1,"Duplicate","Unique")</f>
        <v>Unique</v>
      </c>
      <c r="V1664" s="7" t="str">
        <f aca="false">IF(COUNTIFS($B$2:$B$5001,B1664,$H$2:$H$5001,H1664,$J$2:$J$5001,J1664)&gt;1,"Possible Duplicate Booking","Unique")</f>
        <v>Unique</v>
      </c>
      <c r="W1664" s="7" t="str">
        <f aca="false">IF((H1664-G1664)&lt;&gt;K1664,"Mismatch","OK")</f>
        <v>OK</v>
      </c>
      <c r="X1664" s="7" t="str">
        <f aca="false">IF(TEXT(H1664,"dddd")&lt;&gt;I1664,"Mismatch","OK")</f>
        <v>OK</v>
      </c>
      <c r="Y1664" s="7" t="str">
        <f aca="false">IF(AND(N1664="No",O1664&lt;&gt;""),"Unexpected: channel present but no reminder sent",IF(AND(N1664="Yes",O1664=""),"Missing channel for sent reminder","OK"))</f>
        <v>OK</v>
      </c>
    </row>
    <row r="1665" customFormat="false" ht="15" hidden="false" customHeight="false" outlineLevel="0" collapsed="false">
      <c r="A1665" s="9" t="s">
        <v>2825</v>
      </c>
      <c r="B1665" s="9" t="s">
        <v>2826</v>
      </c>
      <c r="C1665" s="9" t="s">
        <v>37</v>
      </c>
      <c r="D1665" s="9" t="n">
        <v>36</v>
      </c>
      <c r="E1665" s="9" t="s">
        <v>38</v>
      </c>
      <c r="F1665" s="9" t="s">
        <v>39</v>
      </c>
      <c r="G1665" s="10" t="n">
        <v>45944</v>
      </c>
      <c r="H1665" s="10" t="n">
        <v>45960</v>
      </c>
      <c r="I1665" s="9" t="s">
        <v>62</v>
      </c>
      <c r="J1665" s="9" t="s">
        <v>41</v>
      </c>
      <c r="K1665" s="9" t="n">
        <v>16</v>
      </c>
      <c r="L1665" s="9" t="n">
        <v>3</v>
      </c>
      <c r="M1665" s="9" t="n">
        <v>0</v>
      </c>
      <c r="N1665" s="9" t="s">
        <v>42</v>
      </c>
      <c r="O1665" s="9" t="s">
        <v>52</v>
      </c>
      <c r="P1665" s="9" t="n">
        <v>9.1</v>
      </c>
      <c r="Q1665" s="9" t="n">
        <v>23</v>
      </c>
      <c r="R1665" s="9" t="s">
        <v>53</v>
      </c>
      <c r="S1665" s="9"/>
      <c r="T1665" s="9"/>
      <c r="U1665" s="9" t="str">
        <f aca="false">IF(COUNTIF($A$2:$A$5001,A1665)&gt;1,"Duplicate","Unique")</f>
        <v>Unique</v>
      </c>
      <c r="V1665" s="9" t="str">
        <f aca="false">IF(COUNTIFS($B$2:$B$5001,B1665,$H$2:$H$5001,H1665,$J$2:$J$5001,J1665)&gt;1,"Possible Duplicate Booking","Unique")</f>
        <v>Unique</v>
      </c>
      <c r="W1665" s="9" t="str">
        <f aca="false">IF((H1665-G1665)&lt;&gt;K1665,"Mismatch","OK")</f>
        <v>OK</v>
      </c>
      <c r="X1665" s="9" t="str">
        <f aca="false">IF(TEXT(H1665,"dddd")&lt;&gt;I1665,"Mismatch","OK")</f>
        <v>OK</v>
      </c>
      <c r="Y1665" s="9" t="str">
        <f aca="false">IF(AND(N1665="No",O1665&lt;&gt;""),"Unexpected: channel present but no reminder sent",IF(AND(N1665="Yes",O1665=""),"Missing channel for sent reminder","OK"))</f>
        <v>OK</v>
      </c>
    </row>
    <row r="1666" customFormat="false" ht="15" hidden="false" customHeight="false" outlineLevel="0" collapsed="false">
      <c r="A1666" s="7" t="s">
        <v>2827</v>
      </c>
      <c r="B1666" s="7" t="s">
        <v>449</v>
      </c>
      <c r="C1666" s="7" t="s">
        <v>47</v>
      </c>
      <c r="D1666" s="7" t="n">
        <v>69</v>
      </c>
      <c r="E1666" s="7" t="s">
        <v>70</v>
      </c>
      <c r="F1666" s="7" t="s">
        <v>39</v>
      </c>
      <c r="G1666" s="8" t="n">
        <v>45902</v>
      </c>
      <c r="H1666" s="8" t="n">
        <v>45944</v>
      </c>
      <c r="I1666" s="7" t="s">
        <v>40</v>
      </c>
      <c r="J1666" s="7" t="s">
        <v>51</v>
      </c>
      <c r="K1666" s="7" t="n">
        <v>42</v>
      </c>
      <c r="L1666" s="7" t="n">
        <v>6</v>
      </c>
      <c r="M1666" s="7" t="n">
        <v>3</v>
      </c>
      <c r="N1666" s="7" t="s">
        <v>42</v>
      </c>
      <c r="O1666" s="7" t="s">
        <v>43</v>
      </c>
      <c r="P1666" s="7" t="n">
        <v>0.8</v>
      </c>
      <c r="Q1666" s="7" t="n">
        <v>37</v>
      </c>
      <c r="R1666" s="7" t="s">
        <v>44</v>
      </c>
      <c r="S1666" s="7"/>
      <c r="T1666" s="7"/>
      <c r="U1666" s="7" t="str">
        <f aca="false">IF(COUNTIF($A$2:$A$5001,A1666)&gt;1,"Duplicate","Unique")</f>
        <v>Unique</v>
      </c>
      <c r="V1666" s="7" t="str">
        <f aca="false">IF(COUNTIFS($B$2:$B$5001,B1666,$H$2:$H$5001,H1666,$J$2:$J$5001,J1666)&gt;1,"Possible Duplicate Booking","Unique")</f>
        <v>Unique</v>
      </c>
      <c r="W1666" s="7" t="str">
        <f aca="false">IF((H1666-G1666)&lt;&gt;K1666,"Mismatch","OK")</f>
        <v>OK</v>
      </c>
      <c r="X1666" s="7" t="str">
        <f aca="false">IF(TEXT(H1666,"dddd")&lt;&gt;I1666,"Mismatch","OK")</f>
        <v>OK</v>
      </c>
      <c r="Y1666" s="7" t="str">
        <f aca="false">IF(AND(N1666="No",O1666&lt;&gt;""),"Unexpected: channel present but no reminder sent",IF(AND(N1666="Yes",O1666=""),"Missing channel for sent reminder","OK"))</f>
        <v>OK</v>
      </c>
    </row>
    <row r="1667" customFormat="false" ht="15" hidden="false" customHeight="false" outlineLevel="0" collapsed="false">
      <c r="A1667" s="9" t="s">
        <v>2828</v>
      </c>
      <c r="B1667" s="9" t="s">
        <v>2337</v>
      </c>
      <c r="C1667" s="9" t="s">
        <v>37</v>
      </c>
      <c r="D1667" s="9" t="n">
        <v>38</v>
      </c>
      <c r="E1667" s="9" t="s">
        <v>38</v>
      </c>
      <c r="F1667" s="9" t="s">
        <v>57</v>
      </c>
      <c r="G1667" s="10" t="n">
        <v>45873</v>
      </c>
      <c r="H1667" s="10" t="n">
        <v>45874</v>
      </c>
      <c r="I1667" s="9" t="s">
        <v>40</v>
      </c>
      <c r="J1667" s="9" t="s">
        <v>51</v>
      </c>
      <c r="K1667" s="9" t="n">
        <v>1</v>
      </c>
      <c r="L1667" s="9" t="n">
        <v>0</v>
      </c>
      <c r="M1667" s="9" t="n">
        <v>0</v>
      </c>
      <c r="N1667" s="9" t="s">
        <v>71</v>
      </c>
      <c r="O1667" s="9"/>
      <c r="P1667" s="9" t="n">
        <v>3.5</v>
      </c>
      <c r="Q1667" s="9" t="n">
        <v>35</v>
      </c>
      <c r="R1667" s="9" t="s">
        <v>53</v>
      </c>
      <c r="S1667" s="9"/>
      <c r="T1667" s="9"/>
      <c r="U1667" s="9" t="str">
        <f aca="false">IF(COUNTIF($A$2:$A$5001,A1667)&gt;1,"Duplicate","Unique")</f>
        <v>Unique</v>
      </c>
      <c r="V1667" s="9" t="str">
        <f aca="false">IF(COUNTIFS($B$2:$B$5001,B1667,$H$2:$H$5001,H1667,$J$2:$J$5001,J1667)&gt;1,"Possible Duplicate Booking","Unique")</f>
        <v>Unique</v>
      </c>
      <c r="W1667" s="9" t="str">
        <f aca="false">IF((H1667-G1667)&lt;&gt;K1667,"Mismatch","OK")</f>
        <v>OK</v>
      </c>
      <c r="X1667" s="9" t="str">
        <f aca="false">IF(TEXT(H1667,"dddd")&lt;&gt;I1667,"Mismatch","OK")</f>
        <v>OK</v>
      </c>
      <c r="Y1667" s="9" t="str">
        <f aca="false">IF(AND(N1667="No",O1667&lt;&gt;""),"Unexpected: channel present but no reminder sent",IF(AND(N1667="Yes",O1667=""),"Missing channel for sent reminder","OK"))</f>
        <v>OK</v>
      </c>
    </row>
    <row r="1668" customFormat="false" ht="15" hidden="false" customHeight="false" outlineLevel="0" collapsed="false">
      <c r="A1668" s="7" t="s">
        <v>2829</v>
      </c>
      <c r="B1668" s="7" t="s">
        <v>976</v>
      </c>
      <c r="C1668" s="7" t="s">
        <v>47</v>
      </c>
      <c r="D1668" s="7" t="n">
        <v>39</v>
      </c>
      <c r="E1668" s="7" t="s">
        <v>38</v>
      </c>
      <c r="F1668" s="7" t="s">
        <v>39</v>
      </c>
      <c r="G1668" s="8" t="n">
        <v>46064</v>
      </c>
      <c r="H1668" s="8" t="n">
        <v>46068</v>
      </c>
      <c r="I1668" s="7" t="s">
        <v>75</v>
      </c>
      <c r="J1668" s="7" t="s">
        <v>41</v>
      </c>
      <c r="K1668" s="7" t="n">
        <v>4</v>
      </c>
      <c r="L1668" s="7" t="n">
        <v>4</v>
      </c>
      <c r="M1668" s="7" t="n">
        <v>1</v>
      </c>
      <c r="N1668" s="7" t="s">
        <v>42</v>
      </c>
      <c r="O1668" s="7" t="s">
        <v>52</v>
      </c>
      <c r="P1668" s="7" t="n">
        <v>5.3</v>
      </c>
      <c r="Q1668" s="7" t="n">
        <v>23</v>
      </c>
      <c r="R1668" s="7" t="s">
        <v>53</v>
      </c>
      <c r="S1668" s="7"/>
      <c r="T1668" s="7"/>
      <c r="U1668" s="7" t="str">
        <f aca="false">IF(COUNTIF($A$2:$A$5001,A1668)&gt;1,"Duplicate","Unique")</f>
        <v>Unique</v>
      </c>
      <c r="V1668" s="7" t="str">
        <f aca="false">IF(COUNTIFS($B$2:$B$5001,B1668,$H$2:$H$5001,H1668,$J$2:$J$5001,J1668)&gt;1,"Possible Duplicate Booking","Unique")</f>
        <v>Unique</v>
      </c>
      <c r="W1668" s="7" t="str">
        <f aca="false">IF((H1668-G1668)&lt;&gt;K1668,"Mismatch","OK")</f>
        <v>OK</v>
      </c>
      <c r="X1668" s="7" t="str">
        <f aca="false">IF(TEXT(H1668,"dddd")&lt;&gt;I1668,"Mismatch","OK")</f>
        <v>OK</v>
      </c>
      <c r="Y1668" s="7" t="str">
        <f aca="false">IF(AND(N1668="No",O1668&lt;&gt;""),"Unexpected: channel present but no reminder sent",IF(AND(N1668="Yes",O1668=""),"Missing channel for sent reminder","OK"))</f>
        <v>OK</v>
      </c>
    </row>
    <row r="1669" customFormat="false" ht="15" hidden="false" customHeight="false" outlineLevel="0" collapsed="false">
      <c r="A1669" s="9" t="s">
        <v>2830</v>
      </c>
      <c r="B1669" s="9" t="s">
        <v>2831</v>
      </c>
      <c r="C1669" s="9" t="s">
        <v>37</v>
      </c>
      <c r="D1669" s="9" t="n">
        <v>59</v>
      </c>
      <c r="E1669" s="9" t="s">
        <v>61</v>
      </c>
      <c r="F1669" s="9" t="s">
        <v>57</v>
      </c>
      <c r="G1669" s="10" t="n">
        <v>46013</v>
      </c>
      <c r="H1669" s="10" t="n">
        <v>46027</v>
      </c>
      <c r="I1669" s="9" t="s">
        <v>66</v>
      </c>
      <c r="J1669" s="9" t="s">
        <v>41</v>
      </c>
      <c r="K1669" s="9" t="n">
        <v>14</v>
      </c>
      <c r="L1669" s="9" t="n">
        <v>3</v>
      </c>
      <c r="M1669" s="9" t="n">
        <v>0</v>
      </c>
      <c r="N1669" s="9" t="s">
        <v>42</v>
      </c>
      <c r="O1669" s="9" t="s">
        <v>52</v>
      </c>
      <c r="P1669" s="9" t="n">
        <v>6.4</v>
      </c>
      <c r="Q1669" s="9" t="n">
        <v>27</v>
      </c>
      <c r="R1669" s="9" t="s">
        <v>53</v>
      </c>
      <c r="S1669" s="9"/>
      <c r="T1669" s="9"/>
      <c r="U1669" s="9" t="str">
        <f aca="false">IF(COUNTIF($A$2:$A$5001,A1669)&gt;1,"Duplicate","Unique")</f>
        <v>Unique</v>
      </c>
      <c r="V1669" s="9" t="str">
        <f aca="false">IF(COUNTIFS($B$2:$B$5001,B1669,$H$2:$H$5001,H1669,$J$2:$J$5001,J1669)&gt;1,"Possible Duplicate Booking","Unique")</f>
        <v>Unique</v>
      </c>
      <c r="W1669" s="9" t="str">
        <f aca="false">IF((H1669-G1669)&lt;&gt;K1669,"Mismatch","OK")</f>
        <v>OK</v>
      </c>
      <c r="X1669" s="9" t="str">
        <f aca="false">IF(TEXT(H1669,"dddd")&lt;&gt;I1669,"Mismatch","OK")</f>
        <v>OK</v>
      </c>
      <c r="Y1669" s="9" t="str">
        <f aca="false">IF(AND(N1669="No",O1669&lt;&gt;""),"Unexpected: channel present but no reminder sent",IF(AND(N1669="Yes",O1669=""),"Missing channel for sent reminder","OK"))</f>
        <v>OK</v>
      </c>
    </row>
    <row r="1670" customFormat="false" ht="15" hidden="false" customHeight="false" outlineLevel="0" collapsed="false">
      <c r="A1670" s="7" t="s">
        <v>2832</v>
      </c>
      <c r="B1670" s="7" t="s">
        <v>433</v>
      </c>
      <c r="C1670" s="7" t="s">
        <v>47</v>
      </c>
      <c r="D1670" s="7" t="n">
        <v>57</v>
      </c>
      <c r="E1670" s="7" t="s">
        <v>61</v>
      </c>
      <c r="F1670" s="7" t="s">
        <v>57</v>
      </c>
      <c r="G1670" s="8" t="n">
        <v>45921</v>
      </c>
      <c r="H1670" s="8" t="n">
        <v>45948</v>
      </c>
      <c r="I1670" s="7" t="s">
        <v>102</v>
      </c>
      <c r="J1670" s="7" t="s">
        <v>41</v>
      </c>
      <c r="K1670" s="7" t="n">
        <v>27</v>
      </c>
      <c r="L1670" s="7" t="n">
        <v>7</v>
      </c>
      <c r="M1670" s="7" t="n">
        <v>1</v>
      </c>
      <c r="N1670" s="7" t="s">
        <v>42</v>
      </c>
      <c r="O1670" s="7" t="s">
        <v>67</v>
      </c>
      <c r="P1670" s="7" t="n">
        <v>13.3</v>
      </c>
      <c r="Q1670" s="7" t="n">
        <v>29</v>
      </c>
      <c r="R1670" s="7" t="s">
        <v>53</v>
      </c>
      <c r="S1670" s="7"/>
      <c r="T1670" s="7"/>
      <c r="U1670" s="7" t="str">
        <f aca="false">IF(COUNTIF($A$2:$A$5001,A1670)&gt;1,"Duplicate","Unique")</f>
        <v>Unique</v>
      </c>
      <c r="V1670" s="7" t="str">
        <f aca="false">IF(COUNTIFS($B$2:$B$5001,B1670,$H$2:$H$5001,H1670,$J$2:$J$5001,J1670)&gt;1,"Possible Duplicate Booking","Unique")</f>
        <v>Unique</v>
      </c>
      <c r="W1670" s="7" t="str">
        <f aca="false">IF((H1670-G1670)&lt;&gt;K1670,"Mismatch","OK")</f>
        <v>OK</v>
      </c>
      <c r="X1670" s="7" t="str">
        <f aca="false">IF(TEXT(H1670,"dddd")&lt;&gt;I1670,"Mismatch","OK")</f>
        <v>OK</v>
      </c>
      <c r="Y1670" s="7" t="str">
        <f aca="false">IF(AND(N1670="No",O1670&lt;&gt;""),"Unexpected: channel present but no reminder sent",IF(AND(N1670="Yes",O1670=""),"Missing channel for sent reminder","OK"))</f>
        <v>OK</v>
      </c>
    </row>
    <row r="1671" customFormat="false" ht="15" hidden="false" customHeight="false" outlineLevel="0" collapsed="false">
      <c r="A1671" s="9" t="s">
        <v>2833</v>
      </c>
      <c r="B1671" s="9" t="s">
        <v>2834</v>
      </c>
      <c r="C1671" s="9" t="s">
        <v>37</v>
      </c>
      <c r="D1671" s="9" t="n">
        <v>52</v>
      </c>
      <c r="E1671" s="9" t="s">
        <v>56</v>
      </c>
      <c r="F1671" s="9" t="s">
        <v>57</v>
      </c>
      <c r="G1671" s="10" t="n">
        <v>46032</v>
      </c>
      <c r="H1671" s="10" t="n">
        <v>46054</v>
      </c>
      <c r="I1671" s="9" t="s">
        <v>75</v>
      </c>
      <c r="J1671" s="9" t="s">
        <v>41</v>
      </c>
      <c r="K1671" s="9" t="n">
        <v>22</v>
      </c>
      <c r="L1671" s="9" t="n">
        <v>1</v>
      </c>
      <c r="M1671" s="9" t="n">
        <v>0</v>
      </c>
      <c r="N1671" s="9" t="s">
        <v>42</v>
      </c>
      <c r="O1671" s="9" t="s">
        <v>52</v>
      </c>
      <c r="P1671" s="9" t="n">
        <v>23.2</v>
      </c>
      <c r="Q1671" s="9" t="n">
        <v>37</v>
      </c>
      <c r="R1671" s="9" t="s">
        <v>44</v>
      </c>
      <c r="S1671" s="9"/>
      <c r="T1671" s="9"/>
      <c r="U1671" s="9" t="str">
        <f aca="false">IF(COUNTIF($A$2:$A$5001,A1671)&gt;1,"Duplicate","Unique")</f>
        <v>Unique</v>
      </c>
      <c r="V1671" s="9" t="str">
        <f aca="false">IF(COUNTIFS($B$2:$B$5001,B1671,$H$2:$H$5001,H1671,$J$2:$J$5001,J1671)&gt;1,"Possible Duplicate Booking","Unique")</f>
        <v>Unique</v>
      </c>
      <c r="W1671" s="9" t="str">
        <f aca="false">IF((H1671-G1671)&lt;&gt;K1671,"Mismatch","OK")</f>
        <v>OK</v>
      </c>
      <c r="X1671" s="9" t="str">
        <f aca="false">IF(TEXT(H1671,"dddd")&lt;&gt;I1671,"Mismatch","OK")</f>
        <v>OK</v>
      </c>
      <c r="Y1671" s="9" t="str">
        <f aca="false">IF(AND(N1671="No",O1671&lt;&gt;""),"Unexpected: channel present but no reminder sent",IF(AND(N1671="Yes",O1671=""),"Missing channel for sent reminder","OK"))</f>
        <v>OK</v>
      </c>
    </row>
    <row r="1672" customFormat="false" ht="15" hidden="false" customHeight="false" outlineLevel="0" collapsed="false">
      <c r="A1672" s="7" t="s">
        <v>2835</v>
      </c>
      <c r="B1672" s="7" t="s">
        <v>2637</v>
      </c>
      <c r="C1672" s="7" t="s">
        <v>47</v>
      </c>
      <c r="D1672" s="7" t="n">
        <v>32</v>
      </c>
      <c r="E1672" s="7" t="s">
        <v>48</v>
      </c>
      <c r="F1672" s="7" t="s">
        <v>57</v>
      </c>
      <c r="G1672" s="8" t="n">
        <v>46063</v>
      </c>
      <c r="H1672" s="8" t="n">
        <v>46074</v>
      </c>
      <c r="I1672" s="7" t="s">
        <v>102</v>
      </c>
      <c r="J1672" s="7" t="s">
        <v>41</v>
      </c>
      <c r="K1672" s="7" t="n">
        <v>11</v>
      </c>
      <c r="L1672" s="7" t="n">
        <v>4</v>
      </c>
      <c r="M1672" s="7" t="n">
        <v>1</v>
      </c>
      <c r="N1672" s="7" t="s">
        <v>42</v>
      </c>
      <c r="O1672" s="7" t="s">
        <v>52</v>
      </c>
      <c r="P1672" s="7" t="n">
        <v>7.1</v>
      </c>
      <c r="Q1672" s="7" t="n">
        <v>24</v>
      </c>
      <c r="R1672" s="7" t="s">
        <v>53</v>
      </c>
      <c r="S1672" s="7"/>
      <c r="T1672" s="7"/>
      <c r="U1672" s="7" t="str">
        <f aca="false">IF(COUNTIF($A$2:$A$5001,A1672)&gt;1,"Duplicate","Unique")</f>
        <v>Unique</v>
      </c>
      <c r="V1672" s="7" t="str">
        <f aca="false">IF(COUNTIFS($B$2:$B$5001,B1672,$H$2:$H$5001,H1672,$J$2:$J$5001,J1672)&gt;1,"Possible Duplicate Booking","Unique")</f>
        <v>Unique</v>
      </c>
      <c r="W1672" s="7" t="str">
        <f aca="false">IF((H1672-G1672)&lt;&gt;K1672,"Mismatch","OK")</f>
        <v>OK</v>
      </c>
      <c r="X1672" s="7" t="str">
        <f aca="false">IF(TEXT(H1672,"dddd")&lt;&gt;I1672,"Mismatch","OK")</f>
        <v>OK</v>
      </c>
      <c r="Y1672" s="7" t="str">
        <f aca="false">IF(AND(N1672="No",O1672&lt;&gt;""),"Unexpected: channel present but no reminder sent",IF(AND(N1672="Yes",O1672=""),"Missing channel for sent reminder","OK"))</f>
        <v>OK</v>
      </c>
    </row>
    <row r="1673" customFormat="false" ht="15" hidden="false" customHeight="false" outlineLevel="0" collapsed="false">
      <c r="A1673" s="9" t="s">
        <v>2836</v>
      </c>
      <c r="B1673" s="9" t="s">
        <v>2837</v>
      </c>
      <c r="C1673" s="9" t="s">
        <v>47</v>
      </c>
      <c r="D1673" s="9" t="n">
        <v>24</v>
      </c>
      <c r="E1673" s="9" t="s">
        <v>82</v>
      </c>
      <c r="F1673" s="9" t="s">
        <v>39</v>
      </c>
      <c r="G1673" s="10" t="n">
        <v>45946</v>
      </c>
      <c r="H1673" s="10" t="n">
        <v>45967</v>
      </c>
      <c r="I1673" s="9" t="s">
        <v>62</v>
      </c>
      <c r="J1673" s="9" t="s">
        <v>51</v>
      </c>
      <c r="K1673" s="9" t="n">
        <v>21</v>
      </c>
      <c r="L1673" s="9" t="n">
        <v>2</v>
      </c>
      <c r="M1673" s="9" t="n">
        <v>0</v>
      </c>
      <c r="N1673" s="9" t="s">
        <v>42</v>
      </c>
      <c r="O1673" s="9" t="s">
        <v>52</v>
      </c>
      <c r="P1673" s="9" t="n">
        <v>6.9</v>
      </c>
      <c r="Q1673" s="9" t="n">
        <v>29</v>
      </c>
      <c r="R1673" s="9" t="s">
        <v>44</v>
      </c>
      <c r="S1673" s="9"/>
      <c r="T1673" s="9"/>
      <c r="U1673" s="9" t="str">
        <f aca="false">IF(COUNTIF($A$2:$A$5001,A1673)&gt;1,"Duplicate","Unique")</f>
        <v>Unique</v>
      </c>
      <c r="V1673" s="9" t="str">
        <f aca="false">IF(COUNTIFS($B$2:$B$5001,B1673,$H$2:$H$5001,H1673,$J$2:$J$5001,J1673)&gt;1,"Possible Duplicate Booking","Unique")</f>
        <v>Unique</v>
      </c>
      <c r="W1673" s="9" t="str">
        <f aca="false">IF((H1673-G1673)&lt;&gt;K1673,"Mismatch","OK")</f>
        <v>OK</v>
      </c>
      <c r="X1673" s="9" t="str">
        <f aca="false">IF(TEXT(H1673,"dddd")&lt;&gt;I1673,"Mismatch","OK")</f>
        <v>OK</v>
      </c>
      <c r="Y1673" s="9" t="str">
        <f aca="false">IF(AND(N1673="No",O1673&lt;&gt;""),"Unexpected: channel present but no reminder sent",IF(AND(N1673="Yes",O1673=""),"Missing channel for sent reminder","OK"))</f>
        <v>OK</v>
      </c>
    </row>
    <row r="1674" customFormat="false" ht="15" hidden="false" customHeight="false" outlineLevel="0" collapsed="false">
      <c r="A1674" s="7" t="s">
        <v>2838</v>
      </c>
      <c r="B1674" s="7" t="s">
        <v>805</v>
      </c>
      <c r="C1674" s="7" t="s">
        <v>37</v>
      </c>
      <c r="D1674" s="7" t="n">
        <v>75</v>
      </c>
      <c r="E1674" s="7" t="s">
        <v>70</v>
      </c>
      <c r="F1674" s="7" t="s">
        <v>57</v>
      </c>
      <c r="G1674" s="8" t="n">
        <v>45784</v>
      </c>
      <c r="H1674" s="8" t="n">
        <v>45804</v>
      </c>
      <c r="I1674" s="7" t="s">
        <v>40</v>
      </c>
      <c r="J1674" s="7" t="s">
        <v>41</v>
      </c>
      <c r="K1674" s="7" t="n">
        <v>20</v>
      </c>
      <c r="L1674" s="7" t="n">
        <v>2</v>
      </c>
      <c r="M1674" s="7" t="n">
        <v>1</v>
      </c>
      <c r="N1674" s="7" t="s">
        <v>42</v>
      </c>
      <c r="O1674" s="7" t="s">
        <v>43</v>
      </c>
      <c r="P1674" s="7" t="n">
        <v>8</v>
      </c>
      <c r="Q1674" s="7" t="n">
        <v>8</v>
      </c>
      <c r="R1674" s="7" t="s">
        <v>53</v>
      </c>
      <c r="S1674" s="7"/>
      <c r="T1674" s="7"/>
      <c r="U1674" s="7" t="str">
        <f aca="false">IF(COUNTIF($A$2:$A$5001,A1674)&gt;1,"Duplicate","Unique")</f>
        <v>Unique</v>
      </c>
      <c r="V1674" s="7" t="str">
        <f aca="false">IF(COUNTIFS($B$2:$B$5001,B1674,$H$2:$H$5001,H1674,$J$2:$J$5001,J1674)&gt;1,"Possible Duplicate Booking","Unique")</f>
        <v>Unique</v>
      </c>
      <c r="W1674" s="7" t="str">
        <f aca="false">IF((H1674-G1674)&lt;&gt;K1674,"Mismatch","OK")</f>
        <v>OK</v>
      </c>
      <c r="X1674" s="7" t="str">
        <f aca="false">IF(TEXT(H1674,"dddd")&lt;&gt;I1674,"Mismatch","OK")</f>
        <v>OK</v>
      </c>
      <c r="Y1674" s="7" t="str">
        <f aca="false">IF(AND(N1674="No",O1674&lt;&gt;""),"Unexpected: channel present but no reminder sent",IF(AND(N1674="Yes",O1674=""),"Missing channel for sent reminder","OK"))</f>
        <v>OK</v>
      </c>
    </row>
    <row r="1675" customFormat="false" ht="15" hidden="false" customHeight="false" outlineLevel="0" collapsed="false">
      <c r="A1675" s="9" t="s">
        <v>2839</v>
      </c>
      <c r="B1675" s="9" t="s">
        <v>1384</v>
      </c>
      <c r="C1675" s="9" t="s">
        <v>37</v>
      </c>
      <c r="D1675" s="9" t="n">
        <v>73</v>
      </c>
      <c r="E1675" s="9" t="s">
        <v>70</v>
      </c>
      <c r="F1675" s="9" t="s">
        <v>57</v>
      </c>
      <c r="G1675" s="10" t="n">
        <v>46040</v>
      </c>
      <c r="H1675" s="10" t="n">
        <v>46072</v>
      </c>
      <c r="I1675" s="9" t="s">
        <v>62</v>
      </c>
      <c r="J1675" s="9" t="s">
        <v>41</v>
      </c>
      <c r="K1675" s="9" t="n">
        <v>32</v>
      </c>
      <c r="L1675" s="9" t="n">
        <v>2</v>
      </c>
      <c r="M1675" s="9" t="n">
        <v>1</v>
      </c>
      <c r="N1675" s="9" t="s">
        <v>42</v>
      </c>
      <c r="O1675" s="9" t="s">
        <v>52</v>
      </c>
      <c r="P1675" s="9" t="n">
        <v>4.6</v>
      </c>
      <c r="Q1675" s="9" t="n">
        <v>15</v>
      </c>
      <c r="R1675" s="9" t="s">
        <v>53</v>
      </c>
      <c r="S1675" s="9"/>
      <c r="T1675" s="9"/>
      <c r="U1675" s="9" t="str">
        <f aca="false">IF(COUNTIF($A$2:$A$5001,A1675)&gt;1,"Duplicate","Unique")</f>
        <v>Unique</v>
      </c>
      <c r="V1675" s="9" t="str">
        <f aca="false">IF(COUNTIFS($B$2:$B$5001,B1675,$H$2:$H$5001,H1675,$J$2:$J$5001,J1675)&gt;1,"Possible Duplicate Booking","Unique")</f>
        <v>Unique</v>
      </c>
      <c r="W1675" s="9" t="str">
        <f aca="false">IF((H1675-G1675)&lt;&gt;K1675,"Mismatch","OK")</f>
        <v>OK</v>
      </c>
      <c r="X1675" s="9" t="str">
        <f aca="false">IF(TEXT(H1675,"dddd")&lt;&gt;I1675,"Mismatch","OK")</f>
        <v>OK</v>
      </c>
      <c r="Y1675" s="9" t="str">
        <f aca="false">IF(AND(N1675="No",O1675&lt;&gt;""),"Unexpected: channel present but no reminder sent",IF(AND(N1675="Yes",O1675=""),"Missing channel for sent reminder","OK"))</f>
        <v>OK</v>
      </c>
    </row>
    <row r="1676" customFormat="false" ht="15" hidden="false" customHeight="false" outlineLevel="0" collapsed="false">
      <c r="A1676" s="7" t="s">
        <v>2840</v>
      </c>
      <c r="B1676" s="7" t="s">
        <v>1016</v>
      </c>
      <c r="C1676" s="7" t="s">
        <v>47</v>
      </c>
      <c r="D1676" s="7" t="n">
        <v>73</v>
      </c>
      <c r="E1676" s="7" t="s">
        <v>70</v>
      </c>
      <c r="F1676" s="7" t="s">
        <v>74</v>
      </c>
      <c r="G1676" s="8" t="n">
        <v>46015</v>
      </c>
      <c r="H1676" s="8" t="n">
        <v>46049</v>
      </c>
      <c r="I1676" s="7" t="s">
        <v>40</v>
      </c>
      <c r="J1676" s="7" t="s">
        <v>51</v>
      </c>
      <c r="K1676" s="7" t="n">
        <v>34</v>
      </c>
      <c r="L1676" s="7" t="n">
        <v>1</v>
      </c>
      <c r="M1676" s="7" t="n">
        <v>0</v>
      </c>
      <c r="N1676" s="7" t="s">
        <v>42</v>
      </c>
      <c r="O1676" s="7" t="s">
        <v>52</v>
      </c>
      <c r="P1676" s="7" t="n">
        <v>19.4</v>
      </c>
      <c r="Q1676" s="7" t="n">
        <v>17</v>
      </c>
      <c r="R1676" s="7" t="s">
        <v>44</v>
      </c>
      <c r="S1676" s="7"/>
      <c r="T1676" s="7"/>
      <c r="U1676" s="7" t="str">
        <f aca="false">IF(COUNTIF($A$2:$A$5001,A1676)&gt;1,"Duplicate","Unique")</f>
        <v>Unique</v>
      </c>
      <c r="V1676" s="7" t="str">
        <f aca="false">IF(COUNTIFS($B$2:$B$5001,B1676,$H$2:$H$5001,H1676,$J$2:$J$5001,J1676)&gt;1,"Possible Duplicate Booking","Unique")</f>
        <v>Unique</v>
      </c>
      <c r="W1676" s="7" t="str">
        <f aca="false">IF((H1676-G1676)&lt;&gt;K1676,"Mismatch","OK")</f>
        <v>OK</v>
      </c>
      <c r="X1676" s="7" t="str">
        <f aca="false">IF(TEXT(H1676,"dddd")&lt;&gt;I1676,"Mismatch","OK")</f>
        <v>OK</v>
      </c>
      <c r="Y1676" s="7" t="str">
        <f aca="false">IF(AND(N1676="No",O1676&lt;&gt;""),"Unexpected: channel present but no reminder sent",IF(AND(N1676="Yes",O1676=""),"Missing channel for sent reminder","OK"))</f>
        <v>OK</v>
      </c>
    </row>
    <row r="1677" customFormat="false" ht="15" hidden="false" customHeight="false" outlineLevel="0" collapsed="false">
      <c r="A1677" s="9" t="s">
        <v>2841</v>
      </c>
      <c r="B1677" s="9" t="s">
        <v>1747</v>
      </c>
      <c r="C1677" s="9" t="s">
        <v>37</v>
      </c>
      <c r="D1677" s="9" t="n">
        <v>50</v>
      </c>
      <c r="E1677" s="9" t="s">
        <v>56</v>
      </c>
      <c r="F1677" s="9" t="s">
        <v>74</v>
      </c>
      <c r="G1677" s="10" t="n">
        <v>46141</v>
      </c>
      <c r="H1677" s="10" t="n">
        <v>46194</v>
      </c>
      <c r="I1677" s="9" t="s">
        <v>75</v>
      </c>
      <c r="J1677" s="9" t="s">
        <v>41</v>
      </c>
      <c r="K1677" s="9" t="n">
        <v>53</v>
      </c>
      <c r="L1677" s="9" t="n">
        <v>3</v>
      </c>
      <c r="M1677" s="9" t="n">
        <v>0</v>
      </c>
      <c r="N1677" s="9" t="s">
        <v>42</v>
      </c>
      <c r="O1677" s="9" t="s">
        <v>43</v>
      </c>
      <c r="P1677" s="9" t="n">
        <v>4.2</v>
      </c>
      <c r="Q1677" s="9" t="n">
        <v>30</v>
      </c>
      <c r="R1677" s="9" t="s">
        <v>53</v>
      </c>
      <c r="S1677" s="9"/>
      <c r="T1677" s="9"/>
      <c r="U1677" s="9" t="str">
        <f aca="false">IF(COUNTIF($A$2:$A$5001,A1677)&gt;1,"Duplicate","Unique")</f>
        <v>Unique</v>
      </c>
      <c r="V1677" s="9" t="str">
        <f aca="false">IF(COUNTIFS($B$2:$B$5001,B1677,$H$2:$H$5001,H1677,$J$2:$J$5001,J1677)&gt;1,"Possible Duplicate Booking","Unique")</f>
        <v>Unique</v>
      </c>
      <c r="W1677" s="9" t="str">
        <f aca="false">IF((H1677-G1677)&lt;&gt;K1677,"Mismatch","OK")</f>
        <v>OK</v>
      </c>
      <c r="X1677" s="9" t="str">
        <f aca="false">IF(TEXT(H1677,"dddd")&lt;&gt;I1677,"Mismatch","OK")</f>
        <v>OK</v>
      </c>
      <c r="Y1677" s="9" t="str">
        <f aca="false">IF(AND(N1677="No",O1677&lt;&gt;""),"Unexpected: channel present but no reminder sent",IF(AND(N1677="Yes",O1677=""),"Missing channel for sent reminder","OK"))</f>
        <v>OK</v>
      </c>
    </row>
    <row r="1678" customFormat="false" ht="15" hidden="false" customHeight="false" outlineLevel="0" collapsed="false">
      <c r="A1678" s="7" t="s">
        <v>2842</v>
      </c>
      <c r="B1678" s="7" t="s">
        <v>1806</v>
      </c>
      <c r="C1678" s="7" t="s">
        <v>47</v>
      </c>
      <c r="D1678" s="7" t="n">
        <v>73</v>
      </c>
      <c r="E1678" s="7" t="s">
        <v>70</v>
      </c>
      <c r="F1678" s="7" t="s">
        <v>39</v>
      </c>
      <c r="G1678" s="8" t="n">
        <v>45690</v>
      </c>
      <c r="H1678" s="8" t="n">
        <v>45739</v>
      </c>
      <c r="I1678" s="7" t="s">
        <v>75</v>
      </c>
      <c r="J1678" s="7" t="s">
        <v>41</v>
      </c>
      <c r="K1678" s="7" t="n">
        <v>49</v>
      </c>
      <c r="L1678" s="7" t="n">
        <v>0</v>
      </c>
      <c r="M1678" s="7" t="n">
        <v>0</v>
      </c>
      <c r="N1678" s="7" t="s">
        <v>71</v>
      </c>
      <c r="O1678" s="7"/>
      <c r="P1678" s="7" t="n">
        <v>4.3</v>
      </c>
      <c r="Q1678" s="7" t="n">
        <v>17</v>
      </c>
      <c r="R1678" s="7" t="s">
        <v>44</v>
      </c>
      <c r="S1678" s="7"/>
      <c r="T1678" s="7"/>
      <c r="U1678" s="7" t="str">
        <f aca="false">IF(COUNTIF($A$2:$A$5001,A1678)&gt;1,"Duplicate","Unique")</f>
        <v>Unique</v>
      </c>
      <c r="V1678" s="7" t="str">
        <f aca="false">IF(COUNTIFS($B$2:$B$5001,B1678,$H$2:$H$5001,H1678,$J$2:$J$5001,J1678)&gt;1,"Possible Duplicate Booking","Unique")</f>
        <v>Unique</v>
      </c>
      <c r="W1678" s="7" t="str">
        <f aca="false">IF((H1678-G1678)&lt;&gt;K1678,"Mismatch","OK")</f>
        <v>OK</v>
      </c>
      <c r="X1678" s="7" t="str">
        <f aca="false">IF(TEXT(H1678,"dddd")&lt;&gt;I1678,"Mismatch","OK")</f>
        <v>OK</v>
      </c>
      <c r="Y1678" s="7" t="str">
        <f aca="false">IF(AND(N1678="No",O1678&lt;&gt;""),"Unexpected: channel present but no reminder sent",IF(AND(N1678="Yes",O1678=""),"Missing channel for sent reminder","OK"))</f>
        <v>OK</v>
      </c>
    </row>
    <row r="1679" customFormat="false" ht="15" hidden="false" customHeight="false" outlineLevel="0" collapsed="false">
      <c r="A1679" s="9" t="s">
        <v>2843</v>
      </c>
      <c r="B1679" s="9" t="s">
        <v>2844</v>
      </c>
      <c r="C1679" s="9" t="s">
        <v>37</v>
      </c>
      <c r="D1679" s="9" t="n">
        <v>47</v>
      </c>
      <c r="E1679" s="9" t="s">
        <v>56</v>
      </c>
      <c r="F1679" s="9" t="s">
        <v>39</v>
      </c>
      <c r="G1679" s="10" t="n">
        <v>45869</v>
      </c>
      <c r="H1679" s="10" t="n">
        <v>45886</v>
      </c>
      <c r="I1679" s="9" t="s">
        <v>75</v>
      </c>
      <c r="J1679" s="9" t="s">
        <v>41</v>
      </c>
      <c r="K1679" s="9" t="n">
        <v>17</v>
      </c>
      <c r="L1679" s="9" t="n">
        <v>3</v>
      </c>
      <c r="M1679" s="9" t="n">
        <v>1</v>
      </c>
      <c r="N1679" s="9" t="s">
        <v>42</v>
      </c>
      <c r="O1679" s="9" t="s">
        <v>52</v>
      </c>
      <c r="P1679" s="9" t="n">
        <v>5.5</v>
      </c>
      <c r="Q1679" s="9" t="n">
        <v>26</v>
      </c>
      <c r="R1679" s="9" t="s">
        <v>44</v>
      </c>
      <c r="S1679" s="9"/>
      <c r="T1679" s="9"/>
      <c r="U1679" s="9" t="str">
        <f aca="false">IF(COUNTIF($A$2:$A$5001,A1679)&gt;1,"Duplicate","Unique")</f>
        <v>Unique</v>
      </c>
      <c r="V1679" s="9" t="str">
        <f aca="false">IF(COUNTIFS($B$2:$B$5001,B1679,$H$2:$H$5001,H1679,$J$2:$J$5001,J1679)&gt;1,"Possible Duplicate Booking","Unique")</f>
        <v>Unique</v>
      </c>
      <c r="W1679" s="9" t="str">
        <f aca="false">IF((H1679-G1679)&lt;&gt;K1679,"Mismatch","OK")</f>
        <v>OK</v>
      </c>
      <c r="X1679" s="9" t="str">
        <f aca="false">IF(TEXT(H1679,"dddd")&lt;&gt;I1679,"Mismatch","OK")</f>
        <v>OK</v>
      </c>
      <c r="Y1679" s="9" t="str">
        <f aca="false">IF(AND(N1679="No",O1679&lt;&gt;""),"Unexpected: channel present but no reminder sent",IF(AND(N1679="Yes",O1679=""),"Missing channel for sent reminder","OK"))</f>
        <v>OK</v>
      </c>
    </row>
    <row r="1680" customFormat="false" ht="15" hidden="false" customHeight="false" outlineLevel="0" collapsed="false">
      <c r="A1680" s="7" t="s">
        <v>2845</v>
      </c>
      <c r="B1680" s="7" t="s">
        <v>1697</v>
      </c>
      <c r="C1680" s="7" t="s">
        <v>47</v>
      </c>
      <c r="D1680" s="7" t="n">
        <v>22</v>
      </c>
      <c r="E1680" s="7" t="s">
        <v>82</v>
      </c>
      <c r="F1680" s="7" t="s">
        <v>49</v>
      </c>
      <c r="G1680" s="8" t="n">
        <v>46107</v>
      </c>
      <c r="H1680" s="8" t="n">
        <v>46162</v>
      </c>
      <c r="I1680" s="7" t="s">
        <v>58</v>
      </c>
      <c r="J1680" s="7" t="s">
        <v>41</v>
      </c>
      <c r="K1680" s="7" t="n">
        <v>55</v>
      </c>
      <c r="L1680" s="7" t="n">
        <v>6</v>
      </c>
      <c r="M1680" s="7" t="n">
        <v>0</v>
      </c>
      <c r="N1680" s="7" t="s">
        <v>42</v>
      </c>
      <c r="O1680" s="7" t="s">
        <v>52</v>
      </c>
      <c r="P1680" s="7" t="n">
        <v>21.2</v>
      </c>
      <c r="Q1680" s="7" t="n">
        <v>23</v>
      </c>
      <c r="R1680" s="7" t="s">
        <v>44</v>
      </c>
      <c r="S1680" s="7"/>
      <c r="T1680" s="7"/>
      <c r="U1680" s="7" t="str">
        <f aca="false">IF(COUNTIF($A$2:$A$5001,A1680)&gt;1,"Duplicate","Unique")</f>
        <v>Unique</v>
      </c>
      <c r="V1680" s="7" t="str">
        <f aca="false">IF(COUNTIFS($B$2:$B$5001,B1680,$H$2:$H$5001,H1680,$J$2:$J$5001,J1680)&gt;1,"Possible Duplicate Booking","Unique")</f>
        <v>Unique</v>
      </c>
      <c r="W1680" s="7" t="str">
        <f aca="false">IF((H1680-G1680)&lt;&gt;K1680,"Mismatch","OK")</f>
        <v>OK</v>
      </c>
      <c r="X1680" s="7" t="str">
        <f aca="false">IF(TEXT(H1680,"dddd")&lt;&gt;I1680,"Mismatch","OK")</f>
        <v>OK</v>
      </c>
      <c r="Y1680" s="7" t="str">
        <f aca="false">IF(AND(N1680="No",O1680&lt;&gt;""),"Unexpected: channel present but no reminder sent",IF(AND(N1680="Yes",O1680=""),"Missing channel for sent reminder","OK"))</f>
        <v>OK</v>
      </c>
    </row>
    <row r="1681" customFormat="false" ht="15" hidden="false" customHeight="false" outlineLevel="0" collapsed="false">
      <c r="A1681" s="9" t="s">
        <v>2846</v>
      </c>
      <c r="B1681" s="9" t="s">
        <v>2847</v>
      </c>
      <c r="C1681" s="9" t="s">
        <v>37</v>
      </c>
      <c r="D1681" s="9" t="n">
        <v>30</v>
      </c>
      <c r="E1681" s="9" t="s">
        <v>48</v>
      </c>
      <c r="F1681" s="9" t="s">
        <v>57</v>
      </c>
      <c r="G1681" s="10" t="n">
        <v>45907</v>
      </c>
      <c r="H1681" s="10" t="n">
        <v>45938</v>
      </c>
      <c r="I1681" s="9" t="s">
        <v>58</v>
      </c>
      <c r="J1681" s="9" t="s">
        <v>51</v>
      </c>
      <c r="K1681" s="9" t="n">
        <v>31</v>
      </c>
      <c r="L1681" s="9" t="n">
        <v>6</v>
      </c>
      <c r="M1681" s="9" t="n">
        <v>0</v>
      </c>
      <c r="N1681" s="9" t="s">
        <v>42</v>
      </c>
      <c r="O1681" s="9" t="s">
        <v>52</v>
      </c>
      <c r="P1681" s="9" t="n">
        <v>10.7</v>
      </c>
      <c r="Q1681" s="9" t="n">
        <v>25</v>
      </c>
      <c r="R1681" s="9" t="s">
        <v>44</v>
      </c>
      <c r="S1681" s="9"/>
      <c r="T1681" s="9"/>
      <c r="U1681" s="9" t="str">
        <f aca="false">IF(COUNTIF($A$2:$A$5001,A1681)&gt;1,"Duplicate","Unique")</f>
        <v>Unique</v>
      </c>
      <c r="V1681" s="9" t="str">
        <f aca="false">IF(COUNTIFS($B$2:$B$5001,B1681,$H$2:$H$5001,H1681,$J$2:$J$5001,J1681)&gt;1,"Possible Duplicate Booking","Unique")</f>
        <v>Unique</v>
      </c>
      <c r="W1681" s="9" t="str">
        <f aca="false">IF((H1681-G1681)&lt;&gt;K1681,"Mismatch","OK")</f>
        <v>OK</v>
      </c>
      <c r="X1681" s="9" t="str">
        <f aca="false">IF(TEXT(H1681,"dddd")&lt;&gt;I1681,"Mismatch","OK")</f>
        <v>OK</v>
      </c>
      <c r="Y1681" s="9" t="str">
        <f aca="false">IF(AND(N1681="No",O1681&lt;&gt;""),"Unexpected: channel present but no reminder sent",IF(AND(N1681="Yes",O1681=""),"Missing channel for sent reminder","OK"))</f>
        <v>OK</v>
      </c>
    </row>
    <row r="1682" customFormat="false" ht="15" hidden="false" customHeight="false" outlineLevel="0" collapsed="false">
      <c r="A1682" s="7" t="s">
        <v>2848</v>
      </c>
      <c r="B1682" s="7" t="s">
        <v>1582</v>
      </c>
      <c r="C1682" s="7" t="s">
        <v>47</v>
      </c>
      <c r="D1682" s="7" t="n">
        <v>35</v>
      </c>
      <c r="E1682" s="7" t="s">
        <v>38</v>
      </c>
      <c r="F1682" s="7" t="s">
        <v>39</v>
      </c>
      <c r="G1682" s="8" t="n">
        <v>46161</v>
      </c>
      <c r="H1682" s="8" t="n">
        <v>46172</v>
      </c>
      <c r="I1682" s="7" t="s">
        <v>102</v>
      </c>
      <c r="J1682" s="7" t="s">
        <v>41</v>
      </c>
      <c r="K1682" s="7" t="n">
        <v>11</v>
      </c>
      <c r="L1682" s="7" t="n">
        <v>4</v>
      </c>
      <c r="M1682" s="7" t="n">
        <v>0</v>
      </c>
      <c r="N1682" s="7" t="s">
        <v>71</v>
      </c>
      <c r="O1682" s="7"/>
      <c r="P1682" s="7" t="n">
        <v>8</v>
      </c>
      <c r="Q1682" s="7" t="n">
        <v>34</v>
      </c>
      <c r="R1682" s="7" t="s">
        <v>44</v>
      </c>
      <c r="S1682" s="7"/>
      <c r="T1682" s="7"/>
      <c r="U1682" s="7" t="str">
        <f aca="false">IF(COUNTIF($A$2:$A$5001,A1682)&gt;1,"Duplicate","Unique")</f>
        <v>Unique</v>
      </c>
      <c r="V1682" s="7" t="str">
        <f aca="false">IF(COUNTIFS($B$2:$B$5001,B1682,$H$2:$H$5001,H1682,$J$2:$J$5001,J1682)&gt;1,"Possible Duplicate Booking","Unique")</f>
        <v>Unique</v>
      </c>
      <c r="W1682" s="7" t="str">
        <f aca="false">IF((H1682-G1682)&lt;&gt;K1682,"Mismatch","OK")</f>
        <v>OK</v>
      </c>
      <c r="X1682" s="7" t="str">
        <f aca="false">IF(TEXT(H1682,"dddd")&lt;&gt;I1682,"Mismatch","OK")</f>
        <v>OK</v>
      </c>
      <c r="Y1682" s="7" t="str">
        <f aca="false">IF(AND(N1682="No",O1682&lt;&gt;""),"Unexpected: channel present but no reminder sent",IF(AND(N1682="Yes",O1682=""),"Missing channel for sent reminder","OK"))</f>
        <v>OK</v>
      </c>
    </row>
    <row r="1683" customFormat="false" ht="15" hidden="false" customHeight="false" outlineLevel="0" collapsed="false">
      <c r="A1683" s="9" t="s">
        <v>2849</v>
      </c>
      <c r="B1683" s="9" t="s">
        <v>950</v>
      </c>
      <c r="C1683" s="9" t="s">
        <v>47</v>
      </c>
      <c r="D1683" s="9" t="n">
        <v>41</v>
      </c>
      <c r="E1683" s="9" t="s">
        <v>38</v>
      </c>
      <c r="F1683" s="9" t="s">
        <v>57</v>
      </c>
      <c r="G1683" s="10" t="n">
        <v>45644</v>
      </c>
      <c r="H1683" s="10" t="n">
        <v>45664</v>
      </c>
      <c r="I1683" s="9" t="s">
        <v>40</v>
      </c>
      <c r="J1683" s="9" t="s">
        <v>41</v>
      </c>
      <c r="K1683" s="9" t="n">
        <v>20</v>
      </c>
      <c r="L1683" s="9" t="n">
        <v>3</v>
      </c>
      <c r="M1683" s="9" t="n">
        <v>1</v>
      </c>
      <c r="N1683" s="9" t="s">
        <v>42</v>
      </c>
      <c r="O1683" s="9" t="s">
        <v>52</v>
      </c>
      <c r="P1683" s="9" t="n">
        <v>6.6</v>
      </c>
      <c r="Q1683" s="9" t="n">
        <v>26</v>
      </c>
      <c r="R1683" s="9" t="s">
        <v>53</v>
      </c>
      <c r="S1683" s="9"/>
      <c r="T1683" s="9"/>
      <c r="U1683" s="9" t="str">
        <f aca="false">IF(COUNTIF($A$2:$A$5001,A1683)&gt;1,"Duplicate","Unique")</f>
        <v>Unique</v>
      </c>
      <c r="V1683" s="9" t="str">
        <f aca="false">IF(COUNTIFS($B$2:$B$5001,B1683,$H$2:$H$5001,H1683,$J$2:$J$5001,J1683)&gt;1,"Possible Duplicate Booking","Unique")</f>
        <v>Unique</v>
      </c>
      <c r="W1683" s="9" t="str">
        <f aca="false">IF((H1683-G1683)&lt;&gt;K1683,"Mismatch","OK")</f>
        <v>OK</v>
      </c>
      <c r="X1683" s="9" t="str">
        <f aca="false">IF(TEXT(H1683,"dddd")&lt;&gt;I1683,"Mismatch","OK")</f>
        <v>OK</v>
      </c>
      <c r="Y1683" s="9" t="str">
        <f aca="false">IF(AND(N1683="No",O1683&lt;&gt;""),"Unexpected: channel present but no reminder sent",IF(AND(N1683="Yes",O1683=""),"Missing channel for sent reminder","OK"))</f>
        <v>OK</v>
      </c>
    </row>
    <row r="1684" customFormat="false" ht="15" hidden="false" customHeight="false" outlineLevel="0" collapsed="false">
      <c r="A1684" s="7" t="s">
        <v>2850</v>
      </c>
      <c r="B1684" s="7" t="s">
        <v>2851</v>
      </c>
      <c r="C1684" s="7" t="s">
        <v>37</v>
      </c>
      <c r="D1684" s="7" t="n">
        <v>77</v>
      </c>
      <c r="E1684" s="7" t="s">
        <v>70</v>
      </c>
      <c r="F1684" s="7" t="s">
        <v>57</v>
      </c>
      <c r="G1684" s="8" t="n">
        <v>45632</v>
      </c>
      <c r="H1684" s="8" t="n">
        <v>45677</v>
      </c>
      <c r="I1684" s="7" t="s">
        <v>66</v>
      </c>
      <c r="J1684" s="7" t="s">
        <v>41</v>
      </c>
      <c r="K1684" s="7" t="n">
        <v>45</v>
      </c>
      <c r="L1684" s="7" t="n">
        <v>5</v>
      </c>
      <c r="M1684" s="7" t="n">
        <v>1</v>
      </c>
      <c r="N1684" s="7" t="s">
        <v>42</v>
      </c>
      <c r="O1684" s="7" t="s">
        <v>43</v>
      </c>
      <c r="P1684" s="7" t="n">
        <v>7.6</v>
      </c>
      <c r="Q1684" s="7" t="n">
        <v>22</v>
      </c>
      <c r="R1684" s="7" t="s">
        <v>44</v>
      </c>
      <c r="S1684" s="7"/>
      <c r="T1684" s="7"/>
      <c r="U1684" s="7" t="str">
        <f aca="false">IF(COUNTIF($A$2:$A$5001,A1684)&gt;1,"Duplicate","Unique")</f>
        <v>Unique</v>
      </c>
      <c r="V1684" s="7" t="str">
        <f aca="false">IF(COUNTIFS($B$2:$B$5001,B1684,$H$2:$H$5001,H1684,$J$2:$J$5001,J1684)&gt;1,"Possible Duplicate Booking","Unique")</f>
        <v>Unique</v>
      </c>
      <c r="W1684" s="7" t="str">
        <f aca="false">IF((H1684-G1684)&lt;&gt;K1684,"Mismatch","OK")</f>
        <v>OK</v>
      </c>
      <c r="X1684" s="7" t="str">
        <f aca="false">IF(TEXT(H1684,"dddd")&lt;&gt;I1684,"Mismatch","OK")</f>
        <v>OK</v>
      </c>
      <c r="Y1684" s="7" t="str">
        <f aca="false">IF(AND(N1684="No",O1684&lt;&gt;""),"Unexpected: channel present but no reminder sent",IF(AND(N1684="Yes",O1684=""),"Missing channel for sent reminder","OK"))</f>
        <v>OK</v>
      </c>
    </row>
    <row r="1685" customFormat="false" ht="15" hidden="false" customHeight="false" outlineLevel="0" collapsed="false">
      <c r="A1685" s="9" t="s">
        <v>2852</v>
      </c>
      <c r="B1685" s="9" t="s">
        <v>1830</v>
      </c>
      <c r="C1685" s="9" t="s">
        <v>37</v>
      </c>
      <c r="D1685" s="9" t="n">
        <v>38</v>
      </c>
      <c r="E1685" s="9" t="s">
        <v>38</v>
      </c>
      <c r="F1685" s="9" t="s">
        <v>74</v>
      </c>
      <c r="G1685" s="10" t="n">
        <v>46042</v>
      </c>
      <c r="H1685" s="10" t="n">
        <v>46092</v>
      </c>
      <c r="I1685" s="9" t="s">
        <v>58</v>
      </c>
      <c r="J1685" s="9" t="s">
        <v>51</v>
      </c>
      <c r="K1685" s="9" t="n">
        <v>50</v>
      </c>
      <c r="L1685" s="9" t="n">
        <v>1</v>
      </c>
      <c r="M1685" s="9" t="n">
        <v>0</v>
      </c>
      <c r="N1685" s="9" t="s">
        <v>42</v>
      </c>
      <c r="O1685" s="9" t="s">
        <v>52</v>
      </c>
      <c r="P1685" s="9" t="n">
        <v>3.6</v>
      </c>
      <c r="Q1685" s="9" t="n">
        <v>29</v>
      </c>
      <c r="R1685" s="9" t="s">
        <v>53</v>
      </c>
      <c r="S1685" s="9"/>
      <c r="T1685" s="9"/>
      <c r="U1685" s="9" t="str">
        <f aca="false">IF(COUNTIF($A$2:$A$5001,A1685)&gt;1,"Duplicate","Unique")</f>
        <v>Unique</v>
      </c>
      <c r="V1685" s="9" t="str">
        <f aca="false">IF(COUNTIFS($B$2:$B$5001,B1685,$H$2:$H$5001,H1685,$J$2:$J$5001,J1685)&gt;1,"Possible Duplicate Booking","Unique")</f>
        <v>Unique</v>
      </c>
      <c r="W1685" s="9" t="str">
        <f aca="false">IF((H1685-G1685)&lt;&gt;K1685,"Mismatch","OK")</f>
        <v>OK</v>
      </c>
      <c r="X1685" s="9" t="str">
        <f aca="false">IF(TEXT(H1685,"dddd")&lt;&gt;I1685,"Mismatch","OK")</f>
        <v>OK</v>
      </c>
      <c r="Y1685" s="9" t="str">
        <f aca="false">IF(AND(N1685="No",O1685&lt;&gt;""),"Unexpected: channel present but no reminder sent",IF(AND(N1685="Yes",O1685=""),"Missing channel for sent reminder","OK"))</f>
        <v>OK</v>
      </c>
    </row>
    <row r="1686" customFormat="false" ht="15" hidden="false" customHeight="false" outlineLevel="0" collapsed="false">
      <c r="A1686" s="7" t="s">
        <v>2853</v>
      </c>
      <c r="B1686" s="7" t="s">
        <v>980</v>
      </c>
      <c r="C1686" s="7" t="s">
        <v>47</v>
      </c>
      <c r="D1686" s="7" t="n">
        <v>56</v>
      </c>
      <c r="E1686" s="7" t="s">
        <v>61</v>
      </c>
      <c r="F1686" s="7" t="s">
        <v>49</v>
      </c>
      <c r="G1686" s="8" t="n">
        <v>45831</v>
      </c>
      <c r="H1686" s="8" t="n">
        <v>45853</v>
      </c>
      <c r="I1686" s="7" t="s">
        <v>40</v>
      </c>
      <c r="J1686" s="7" t="s">
        <v>63</v>
      </c>
      <c r="K1686" s="7" t="n">
        <v>22</v>
      </c>
      <c r="L1686" s="7" t="n">
        <v>5</v>
      </c>
      <c r="M1686" s="7" t="n">
        <v>1</v>
      </c>
      <c r="N1686" s="7" t="s">
        <v>42</v>
      </c>
      <c r="O1686" s="7" t="s">
        <v>52</v>
      </c>
      <c r="P1686" s="7" t="n">
        <v>1.3</v>
      </c>
      <c r="Q1686" s="7" t="n">
        <v>42</v>
      </c>
      <c r="R1686" s="7" t="s">
        <v>44</v>
      </c>
      <c r="S1686" s="7"/>
      <c r="T1686" s="7"/>
      <c r="U1686" s="7" t="str">
        <f aca="false">IF(COUNTIF($A$2:$A$5001,A1686)&gt;1,"Duplicate","Unique")</f>
        <v>Unique</v>
      </c>
      <c r="V1686" s="7" t="str">
        <f aca="false">IF(COUNTIFS($B$2:$B$5001,B1686,$H$2:$H$5001,H1686,$J$2:$J$5001,J1686)&gt;1,"Possible Duplicate Booking","Unique")</f>
        <v>Unique</v>
      </c>
      <c r="W1686" s="7" t="str">
        <f aca="false">IF((H1686-G1686)&lt;&gt;K1686,"Mismatch","OK")</f>
        <v>OK</v>
      </c>
      <c r="X1686" s="7" t="str">
        <f aca="false">IF(TEXT(H1686,"dddd")&lt;&gt;I1686,"Mismatch","OK")</f>
        <v>OK</v>
      </c>
      <c r="Y1686" s="7" t="str">
        <f aca="false">IF(AND(N1686="No",O1686&lt;&gt;""),"Unexpected: channel present but no reminder sent",IF(AND(N1686="Yes",O1686=""),"Missing channel for sent reminder","OK"))</f>
        <v>OK</v>
      </c>
    </row>
    <row r="1687" customFormat="false" ht="15" hidden="false" customHeight="false" outlineLevel="0" collapsed="false">
      <c r="A1687" s="9" t="s">
        <v>2854</v>
      </c>
      <c r="B1687" s="9" t="s">
        <v>2855</v>
      </c>
      <c r="C1687" s="9" t="s">
        <v>47</v>
      </c>
      <c r="D1687" s="9" t="n">
        <v>35</v>
      </c>
      <c r="E1687" s="9" t="s">
        <v>38</v>
      </c>
      <c r="F1687" s="9" t="s">
        <v>74</v>
      </c>
      <c r="G1687" s="10" t="n">
        <v>45933</v>
      </c>
      <c r="H1687" s="10" t="n">
        <v>45942</v>
      </c>
      <c r="I1687" s="9" t="s">
        <v>75</v>
      </c>
      <c r="J1687" s="9" t="s">
        <v>51</v>
      </c>
      <c r="K1687" s="9" t="n">
        <v>9</v>
      </c>
      <c r="L1687" s="9" t="n">
        <v>4</v>
      </c>
      <c r="M1687" s="9" t="n">
        <v>0</v>
      </c>
      <c r="N1687" s="9" t="s">
        <v>42</v>
      </c>
      <c r="O1687" s="9" t="s">
        <v>67</v>
      </c>
      <c r="P1687" s="9"/>
      <c r="Q1687" s="9" t="n">
        <v>25</v>
      </c>
      <c r="R1687" s="9" t="s">
        <v>44</v>
      </c>
      <c r="S1687" s="9"/>
      <c r="T1687" s="9"/>
      <c r="U1687" s="9" t="str">
        <f aca="false">IF(COUNTIF($A$2:$A$5001,A1687)&gt;1,"Duplicate","Unique")</f>
        <v>Unique</v>
      </c>
      <c r="V1687" s="9" t="str">
        <f aca="false">IF(COUNTIFS($B$2:$B$5001,B1687,$H$2:$H$5001,H1687,$J$2:$J$5001,J1687)&gt;1,"Possible Duplicate Booking","Unique")</f>
        <v>Unique</v>
      </c>
      <c r="W1687" s="9" t="str">
        <f aca="false">IF((H1687-G1687)&lt;&gt;K1687,"Mismatch","OK")</f>
        <v>OK</v>
      </c>
      <c r="X1687" s="9" t="str">
        <f aca="false">IF(TEXT(H1687,"dddd")&lt;&gt;I1687,"Mismatch","OK")</f>
        <v>OK</v>
      </c>
      <c r="Y1687" s="9" t="str">
        <f aca="false">IF(AND(N1687="No",O1687&lt;&gt;""),"Unexpected: channel present but no reminder sent",IF(AND(N1687="Yes",O1687=""),"Missing channel for sent reminder","OK"))</f>
        <v>OK</v>
      </c>
    </row>
    <row r="1688" customFormat="false" ht="15" hidden="false" customHeight="false" outlineLevel="0" collapsed="false">
      <c r="A1688" s="7" t="s">
        <v>2856</v>
      </c>
      <c r="B1688" s="7" t="s">
        <v>2857</v>
      </c>
      <c r="C1688" s="7" t="s">
        <v>236</v>
      </c>
      <c r="D1688" s="7" t="n">
        <v>58</v>
      </c>
      <c r="E1688" s="7" t="s">
        <v>61</v>
      </c>
      <c r="F1688" s="7" t="s">
        <v>49</v>
      </c>
      <c r="G1688" s="8" t="n">
        <v>45880</v>
      </c>
      <c r="H1688" s="8" t="n">
        <v>45891</v>
      </c>
      <c r="I1688" s="7" t="s">
        <v>50</v>
      </c>
      <c r="J1688" s="7" t="s">
        <v>51</v>
      </c>
      <c r="K1688" s="7" t="n">
        <v>11</v>
      </c>
      <c r="L1688" s="7" t="n">
        <v>1</v>
      </c>
      <c r="M1688" s="7" t="n">
        <v>0</v>
      </c>
      <c r="N1688" s="7" t="s">
        <v>42</v>
      </c>
      <c r="O1688" s="7" t="s">
        <v>43</v>
      </c>
      <c r="P1688" s="7" t="n">
        <v>3.1</v>
      </c>
      <c r="Q1688" s="7" t="n">
        <v>11</v>
      </c>
      <c r="R1688" s="7" t="s">
        <v>53</v>
      </c>
      <c r="S1688" s="7"/>
      <c r="T1688" s="7"/>
      <c r="U1688" s="7" t="str">
        <f aca="false">IF(COUNTIF($A$2:$A$5001,A1688)&gt;1,"Duplicate","Unique")</f>
        <v>Unique</v>
      </c>
      <c r="V1688" s="7" t="str">
        <f aca="false">IF(COUNTIFS($B$2:$B$5001,B1688,$H$2:$H$5001,H1688,$J$2:$J$5001,J1688)&gt;1,"Possible Duplicate Booking","Unique")</f>
        <v>Unique</v>
      </c>
      <c r="W1688" s="7" t="str">
        <f aca="false">IF((H1688-G1688)&lt;&gt;K1688,"Mismatch","OK")</f>
        <v>OK</v>
      </c>
      <c r="X1688" s="7" t="str">
        <f aca="false">IF(TEXT(H1688,"dddd")&lt;&gt;I1688,"Mismatch","OK")</f>
        <v>OK</v>
      </c>
      <c r="Y1688" s="7" t="str">
        <f aca="false">IF(AND(N1688="No",O1688&lt;&gt;""),"Unexpected: channel present but no reminder sent",IF(AND(N1688="Yes",O1688=""),"Missing channel for sent reminder","OK"))</f>
        <v>OK</v>
      </c>
    </row>
    <row r="1689" customFormat="false" ht="15" hidden="false" customHeight="false" outlineLevel="0" collapsed="false">
      <c r="A1689" s="9" t="s">
        <v>2858</v>
      </c>
      <c r="B1689" s="9" t="s">
        <v>730</v>
      </c>
      <c r="C1689" s="9" t="s">
        <v>47</v>
      </c>
      <c r="D1689" s="9" t="n">
        <v>53</v>
      </c>
      <c r="E1689" s="9" t="s">
        <v>56</v>
      </c>
      <c r="F1689" s="9" t="s">
        <v>39</v>
      </c>
      <c r="G1689" s="10" t="n">
        <v>45874</v>
      </c>
      <c r="H1689" s="10" t="n">
        <v>45880</v>
      </c>
      <c r="I1689" s="9" t="s">
        <v>66</v>
      </c>
      <c r="J1689" s="9" t="s">
        <v>51</v>
      </c>
      <c r="K1689" s="9" t="n">
        <v>6</v>
      </c>
      <c r="L1689" s="9" t="n">
        <v>3</v>
      </c>
      <c r="M1689" s="9" t="n">
        <v>1</v>
      </c>
      <c r="N1689" s="9" t="s">
        <v>71</v>
      </c>
      <c r="O1689" s="9"/>
      <c r="P1689" s="9" t="n">
        <v>18.9</v>
      </c>
      <c r="Q1689" s="9" t="n">
        <v>10</v>
      </c>
      <c r="R1689" s="9" t="s">
        <v>53</v>
      </c>
      <c r="S1689" s="9"/>
      <c r="T1689" s="9"/>
      <c r="U1689" s="9" t="str">
        <f aca="false">IF(COUNTIF($A$2:$A$5001,A1689)&gt;1,"Duplicate","Unique")</f>
        <v>Unique</v>
      </c>
      <c r="V1689" s="9" t="str">
        <f aca="false">IF(COUNTIFS($B$2:$B$5001,B1689,$H$2:$H$5001,H1689,$J$2:$J$5001,J1689)&gt;1,"Possible Duplicate Booking","Unique")</f>
        <v>Unique</v>
      </c>
      <c r="W1689" s="9" t="str">
        <f aca="false">IF((H1689-G1689)&lt;&gt;K1689,"Mismatch","OK")</f>
        <v>OK</v>
      </c>
      <c r="X1689" s="9" t="str">
        <f aca="false">IF(TEXT(H1689,"dddd")&lt;&gt;I1689,"Mismatch","OK")</f>
        <v>OK</v>
      </c>
      <c r="Y1689" s="9" t="str">
        <f aca="false">IF(AND(N1689="No",O1689&lt;&gt;""),"Unexpected: channel present but no reminder sent",IF(AND(N1689="Yes",O1689=""),"Missing channel for sent reminder","OK"))</f>
        <v>OK</v>
      </c>
    </row>
    <row r="1690" customFormat="false" ht="15" hidden="false" customHeight="false" outlineLevel="0" collapsed="false">
      <c r="A1690" s="7" t="s">
        <v>2859</v>
      </c>
      <c r="B1690" s="7" t="s">
        <v>2818</v>
      </c>
      <c r="C1690" s="7" t="s">
        <v>47</v>
      </c>
      <c r="D1690" s="7" t="n">
        <v>27</v>
      </c>
      <c r="E1690" s="7" t="s">
        <v>48</v>
      </c>
      <c r="F1690" s="7" t="s">
        <v>49</v>
      </c>
      <c r="G1690" s="8" t="n">
        <v>46128</v>
      </c>
      <c r="H1690" s="8" t="n">
        <v>46170</v>
      </c>
      <c r="I1690" s="7" t="s">
        <v>62</v>
      </c>
      <c r="J1690" s="7" t="s">
        <v>41</v>
      </c>
      <c r="K1690" s="7" t="n">
        <v>42</v>
      </c>
      <c r="L1690" s="7" t="n">
        <v>2</v>
      </c>
      <c r="M1690" s="7" t="n">
        <v>0</v>
      </c>
      <c r="N1690" s="7" t="s">
        <v>71</v>
      </c>
      <c r="O1690" s="7"/>
      <c r="P1690" s="7" t="n">
        <v>11</v>
      </c>
      <c r="Q1690" s="7" t="n">
        <v>21</v>
      </c>
      <c r="R1690" s="7" t="s">
        <v>53</v>
      </c>
      <c r="S1690" s="7"/>
      <c r="T1690" s="7"/>
      <c r="U1690" s="7" t="str">
        <f aca="false">IF(COUNTIF($A$2:$A$5001,A1690)&gt;1,"Duplicate","Unique")</f>
        <v>Unique</v>
      </c>
      <c r="V1690" s="7" t="str">
        <f aca="false">IF(COUNTIFS($B$2:$B$5001,B1690,$H$2:$H$5001,H1690,$J$2:$J$5001,J1690)&gt;1,"Possible Duplicate Booking","Unique")</f>
        <v>Unique</v>
      </c>
      <c r="W1690" s="7" t="str">
        <f aca="false">IF((H1690-G1690)&lt;&gt;K1690,"Mismatch","OK")</f>
        <v>OK</v>
      </c>
      <c r="X1690" s="7" t="str">
        <f aca="false">IF(TEXT(H1690,"dddd")&lt;&gt;I1690,"Mismatch","OK")</f>
        <v>OK</v>
      </c>
      <c r="Y1690" s="7" t="str">
        <f aca="false">IF(AND(N1690="No",O1690&lt;&gt;""),"Unexpected: channel present but no reminder sent",IF(AND(N1690="Yes",O1690=""),"Missing channel for sent reminder","OK"))</f>
        <v>OK</v>
      </c>
    </row>
    <row r="1691" customFormat="false" ht="15" hidden="false" customHeight="false" outlineLevel="0" collapsed="false">
      <c r="A1691" s="9" t="s">
        <v>2860</v>
      </c>
      <c r="B1691" s="9" t="s">
        <v>869</v>
      </c>
      <c r="C1691" s="9" t="s">
        <v>47</v>
      </c>
      <c r="D1691" s="9" t="n">
        <v>47</v>
      </c>
      <c r="E1691" s="9" t="s">
        <v>56</v>
      </c>
      <c r="F1691" s="9" t="s">
        <v>39</v>
      </c>
      <c r="G1691" s="10" t="n">
        <v>45679</v>
      </c>
      <c r="H1691" s="10" t="n">
        <v>45709</v>
      </c>
      <c r="I1691" s="9" t="s">
        <v>50</v>
      </c>
      <c r="J1691" s="9" t="s">
        <v>41</v>
      </c>
      <c r="K1691" s="9" t="n">
        <v>30</v>
      </c>
      <c r="L1691" s="9" t="n">
        <v>2</v>
      </c>
      <c r="M1691" s="9" t="n">
        <v>0</v>
      </c>
      <c r="N1691" s="9" t="s">
        <v>42</v>
      </c>
      <c r="O1691" s="9" t="s">
        <v>52</v>
      </c>
      <c r="P1691" s="9" t="n">
        <v>7.1</v>
      </c>
      <c r="Q1691" s="9" t="n">
        <v>11</v>
      </c>
      <c r="R1691" s="9" t="s">
        <v>53</v>
      </c>
      <c r="S1691" s="9"/>
      <c r="T1691" s="9"/>
      <c r="U1691" s="9" t="str">
        <f aca="false">IF(COUNTIF($A$2:$A$5001,A1691)&gt;1,"Duplicate","Unique")</f>
        <v>Unique</v>
      </c>
      <c r="V1691" s="9" t="str">
        <f aca="false">IF(COUNTIFS($B$2:$B$5001,B1691,$H$2:$H$5001,H1691,$J$2:$J$5001,J1691)&gt;1,"Possible Duplicate Booking","Unique")</f>
        <v>Unique</v>
      </c>
      <c r="W1691" s="9" t="str">
        <f aca="false">IF((H1691-G1691)&lt;&gt;K1691,"Mismatch","OK")</f>
        <v>OK</v>
      </c>
      <c r="X1691" s="9" t="str">
        <f aca="false">IF(TEXT(H1691,"dddd")&lt;&gt;I1691,"Mismatch","OK")</f>
        <v>OK</v>
      </c>
      <c r="Y1691" s="9" t="str">
        <f aca="false">IF(AND(N1691="No",O1691&lt;&gt;""),"Unexpected: channel present but no reminder sent",IF(AND(N1691="Yes",O1691=""),"Missing channel for sent reminder","OK"))</f>
        <v>OK</v>
      </c>
    </row>
    <row r="1692" customFormat="false" ht="15" hidden="false" customHeight="false" outlineLevel="0" collapsed="false">
      <c r="A1692" s="7" t="s">
        <v>2861</v>
      </c>
      <c r="B1692" s="7" t="s">
        <v>272</v>
      </c>
      <c r="C1692" s="7" t="s">
        <v>47</v>
      </c>
      <c r="D1692" s="7" t="n">
        <v>24</v>
      </c>
      <c r="E1692" s="7" t="s">
        <v>82</v>
      </c>
      <c r="F1692" s="7" t="s">
        <v>39</v>
      </c>
      <c r="G1692" s="8" t="n">
        <v>46052</v>
      </c>
      <c r="H1692" s="8" t="n">
        <v>46079</v>
      </c>
      <c r="I1692" s="7" t="s">
        <v>62</v>
      </c>
      <c r="J1692" s="7" t="s">
        <v>51</v>
      </c>
      <c r="K1692" s="7" t="n">
        <v>27</v>
      </c>
      <c r="L1692" s="7" t="n">
        <v>3</v>
      </c>
      <c r="M1692" s="7" t="n">
        <v>0</v>
      </c>
      <c r="N1692" s="7" t="s">
        <v>42</v>
      </c>
      <c r="O1692" s="7" t="s">
        <v>52</v>
      </c>
      <c r="P1692" s="7" t="n">
        <v>10.3</v>
      </c>
      <c r="Q1692" s="7" t="n">
        <v>2</v>
      </c>
      <c r="R1692" s="7" t="s">
        <v>44</v>
      </c>
      <c r="S1692" s="7"/>
      <c r="T1692" s="7"/>
      <c r="U1692" s="7" t="str">
        <f aca="false">IF(COUNTIF($A$2:$A$5001,A1692)&gt;1,"Duplicate","Unique")</f>
        <v>Unique</v>
      </c>
      <c r="V1692" s="7" t="str">
        <f aca="false">IF(COUNTIFS($B$2:$B$5001,B1692,$H$2:$H$5001,H1692,$J$2:$J$5001,J1692)&gt;1,"Possible Duplicate Booking","Unique")</f>
        <v>Unique</v>
      </c>
      <c r="W1692" s="7" t="str">
        <f aca="false">IF((H1692-G1692)&lt;&gt;K1692,"Mismatch","OK")</f>
        <v>OK</v>
      </c>
      <c r="X1692" s="7" t="str">
        <f aca="false">IF(TEXT(H1692,"dddd")&lt;&gt;I1692,"Mismatch","OK")</f>
        <v>OK</v>
      </c>
      <c r="Y1692" s="7" t="str">
        <f aca="false">IF(AND(N1692="No",O1692&lt;&gt;""),"Unexpected: channel present but no reminder sent",IF(AND(N1692="Yes",O1692=""),"Missing channel for sent reminder","OK"))</f>
        <v>OK</v>
      </c>
    </row>
    <row r="1693" customFormat="false" ht="15" hidden="false" customHeight="false" outlineLevel="0" collapsed="false">
      <c r="A1693" s="9" t="s">
        <v>2862</v>
      </c>
      <c r="B1693" s="9" t="s">
        <v>417</v>
      </c>
      <c r="C1693" s="9" t="s">
        <v>47</v>
      </c>
      <c r="D1693" s="9" t="n">
        <v>74</v>
      </c>
      <c r="E1693" s="9" t="s">
        <v>70</v>
      </c>
      <c r="F1693" s="9" t="s">
        <v>57</v>
      </c>
      <c r="G1693" s="10" t="n">
        <v>46103</v>
      </c>
      <c r="H1693" s="10" t="n">
        <v>46143</v>
      </c>
      <c r="I1693" s="9" t="s">
        <v>50</v>
      </c>
      <c r="J1693" s="9" t="s">
        <v>41</v>
      </c>
      <c r="K1693" s="9" t="n">
        <v>40</v>
      </c>
      <c r="L1693" s="9" t="n">
        <v>4</v>
      </c>
      <c r="M1693" s="9" t="n">
        <v>0</v>
      </c>
      <c r="N1693" s="9" t="s">
        <v>42</v>
      </c>
      <c r="O1693" s="9" t="s">
        <v>52</v>
      </c>
      <c r="P1693" s="9" t="n">
        <v>8.7</v>
      </c>
      <c r="Q1693" s="9" t="n">
        <v>21</v>
      </c>
      <c r="R1693" s="9" t="s">
        <v>53</v>
      </c>
      <c r="S1693" s="9"/>
      <c r="T1693" s="9"/>
      <c r="U1693" s="9" t="str">
        <f aca="false">IF(COUNTIF($A$2:$A$5001,A1693)&gt;1,"Duplicate","Unique")</f>
        <v>Unique</v>
      </c>
      <c r="V1693" s="9" t="str">
        <f aca="false">IF(COUNTIFS($B$2:$B$5001,B1693,$H$2:$H$5001,H1693,$J$2:$J$5001,J1693)&gt;1,"Possible Duplicate Booking","Unique")</f>
        <v>Unique</v>
      </c>
      <c r="W1693" s="9" t="str">
        <f aca="false">IF((H1693-G1693)&lt;&gt;K1693,"Mismatch","OK")</f>
        <v>OK</v>
      </c>
      <c r="X1693" s="9" t="str">
        <f aca="false">IF(TEXT(H1693,"dddd")&lt;&gt;I1693,"Mismatch","OK")</f>
        <v>OK</v>
      </c>
      <c r="Y1693" s="9" t="str">
        <f aca="false">IF(AND(N1693="No",O1693&lt;&gt;""),"Unexpected: channel present but no reminder sent",IF(AND(N1693="Yes",O1693=""),"Missing channel for sent reminder","OK"))</f>
        <v>OK</v>
      </c>
    </row>
    <row r="1694" customFormat="false" ht="15" hidden="false" customHeight="false" outlineLevel="0" collapsed="false">
      <c r="A1694" s="7" t="s">
        <v>2863</v>
      </c>
      <c r="B1694" s="7" t="s">
        <v>1153</v>
      </c>
      <c r="C1694" s="7" t="s">
        <v>37</v>
      </c>
      <c r="D1694" s="7" t="n">
        <v>62</v>
      </c>
      <c r="E1694" s="7" t="s">
        <v>61</v>
      </c>
      <c r="F1694" s="7" t="s">
        <v>39</v>
      </c>
      <c r="G1694" s="8" t="n">
        <v>45966</v>
      </c>
      <c r="H1694" s="8" t="n">
        <v>46016</v>
      </c>
      <c r="I1694" s="7" t="s">
        <v>62</v>
      </c>
      <c r="J1694" s="7" t="s">
        <v>41</v>
      </c>
      <c r="K1694" s="7" t="n">
        <v>50</v>
      </c>
      <c r="L1694" s="7" t="n">
        <v>4</v>
      </c>
      <c r="M1694" s="7" t="n">
        <v>1</v>
      </c>
      <c r="N1694" s="7" t="s">
        <v>42</v>
      </c>
      <c r="O1694" s="7" t="s">
        <v>52</v>
      </c>
      <c r="P1694" s="7" t="n">
        <v>7.7</v>
      </c>
      <c r="Q1694" s="7" t="n">
        <v>28</v>
      </c>
      <c r="R1694" s="7" t="s">
        <v>44</v>
      </c>
      <c r="S1694" s="7"/>
      <c r="T1694" s="7"/>
      <c r="U1694" s="7" t="str">
        <f aca="false">IF(COUNTIF($A$2:$A$5001,A1694)&gt;1,"Duplicate","Unique")</f>
        <v>Unique</v>
      </c>
      <c r="V1694" s="7" t="str">
        <f aca="false">IF(COUNTIFS($B$2:$B$5001,B1694,$H$2:$H$5001,H1694,$J$2:$J$5001,J1694)&gt;1,"Possible Duplicate Booking","Unique")</f>
        <v>Unique</v>
      </c>
      <c r="W1694" s="7" t="str">
        <f aca="false">IF((H1694-G1694)&lt;&gt;K1694,"Mismatch","OK")</f>
        <v>OK</v>
      </c>
      <c r="X1694" s="7" t="str">
        <f aca="false">IF(TEXT(H1694,"dddd")&lt;&gt;I1694,"Mismatch","OK")</f>
        <v>OK</v>
      </c>
      <c r="Y1694" s="7" t="str">
        <f aca="false">IF(AND(N1694="No",O1694&lt;&gt;""),"Unexpected: channel present but no reminder sent",IF(AND(N1694="Yes",O1694=""),"Missing channel for sent reminder","OK"))</f>
        <v>OK</v>
      </c>
    </row>
    <row r="1695" customFormat="false" ht="15" hidden="false" customHeight="false" outlineLevel="0" collapsed="false">
      <c r="A1695" s="9" t="s">
        <v>2864</v>
      </c>
      <c r="B1695" s="9" t="s">
        <v>831</v>
      </c>
      <c r="C1695" s="9" t="s">
        <v>47</v>
      </c>
      <c r="D1695" s="9" t="n">
        <v>77</v>
      </c>
      <c r="E1695" s="9" t="s">
        <v>70</v>
      </c>
      <c r="F1695" s="9" t="s">
        <v>57</v>
      </c>
      <c r="G1695" s="10" t="n">
        <v>45825</v>
      </c>
      <c r="H1695" s="10" t="n">
        <v>45873</v>
      </c>
      <c r="I1695" s="9" t="s">
        <v>66</v>
      </c>
      <c r="J1695" s="9" t="s">
        <v>63</v>
      </c>
      <c r="K1695" s="9" t="n">
        <v>48</v>
      </c>
      <c r="L1695" s="9" t="n">
        <v>3</v>
      </c>
      <c r="M1695" s="9" t="n">
        <v>1</v>
      </c>
      <c r="N1695" s="9" t="s">
        <v>42</v>
      </c>
      <c r="O1695" s="9" t="s">
        <v>52</v>
      </c>
      <c r="P1695" s="9" t="n">
        <v>8.1</v>
      </c>
      <c r="Q1695" s="9" t="n">
        <v>39</v>
      </c>
      <c r="R1695" s="9" t="s">
        <v>44</v>
      </c>
      <c r="S1695" s="9"/>
      <c r="T1695" s="9"/>
      <c r="U1695" s="9" t="str">
        <f aca="false">IF(COUNTIF($A$2:$A$5001,A1695)&gt;1,"Duplicate","Unique")</f>
        <v>Unique</v>
      </c>
      <c r="V1695" s="9" t="str">
        <f aca="false">IF(COUNTIFS($B$2:$B$5001,B1695,$H$2:$H$5001,H1695,$J$2:$J$5001,J1695)&gt;1,"Possible Duplicate Booking","Unique")</f>
        <v>Unique</v>
      </c>
      <c r="W1695" s="9" t="str">
        <f aca="false">IF((H1695-G1695)&lt;&gt;K1695,"Mismatch","OK")</f>
        <v>OK</v>
      </c>
      <c r="X1695" s="9" t="str">
        <f aca="false">IF(TEXT(H1695,"dddd")&lt;&gt;I1695,"Mismatch","OK")</f>
        <v>OK</v>
      </c>
      <c r="Y1695" s="9" t="str">
        <f aca="false">IF(AND(N1695="No",O1695&lt;&gt;""),"Unexpected: channel present but no reminder sent",IF(AND(N1695="Yes",O1695=""),"Missing channel for sent reminder","OK"))</f>
        <v>OK</v>
      </c>
    </row>
    <row r="1696" customFormat="false" ht="15" hidden="false" customHeight="false" outlineLevel="0" collapsed="false">
      <c r="A1696" s="7" t="s">
        <v>2865</v>
      </c>
      <c r="B1696" s="7" t="s">
        <v>788</v>
      </c>
      <c r="C1696" s="7" t="s">
        <v>47</v>
      </c>
      <c r="D1696" s="7" t="n">
        <v>73</v>
      </c>
      <c r="E1696" s="7" t="s">
        <v>70</v>
      </c>
      <c r="F1696" s="7" t="s">
        <v>39</v>
      </c>
      <c r="G1696" s="8" t="n">
        <v>45737</v>
      </c>
      <c r="H1696" s="8" t="n">
        <v>45745</v>
      </c>
      <c r="I1696" s="7" t="s">
        <v>102</v>
      </c>
      <c r="J1696" s="7" t="s">
        <v>63</v>
      </c>
      <c r="K1696" s="7" t="n">
        <v>8</v>
      </c>
      <c r="L1696" s="7" t="n">
        <v>8</v>
      </c>
      <c r="M1696" s="7" t="n">
        <v>2</v>
      </c>
      <c r="N1696" s="7" t="s">
        <v>42</v>
      </c>
      <c r="O1696" s="7" t="s">
        <v>43</v>
      </c>
      <c r="P1696" s="7" t="n">
        <v>14.2</v>
      </c>
      <c r="Q1696" s="7" t="n">
        <v>24</v>
      </c>
      <c r="R1696" s="7" t="s">
        <v>53</v>
      </c>
      <c r="S1696" s="7"/>
      <c r="T1696" s="7"/>
      <c r="U1696" s="7" t="str">
        <f aca="false">IF(COUNTIF($A$2:$A$5001,A1696)&gt;1,"Duplicate","Unique")</f>
        <v>Unique</v>
      </c>
      <c r="V1696" s="7" t="str">
        <f aca="false">IF(COUNTIFS($B$2:$B$5001,B1696,$H$2:$H$5001,H1696,$J$2:$J$5001,J1696)&gt;1,"Possible Duplicate Booking","Unique")</f>
        <v>Unique</v>
      </c>
      <c r="W1696" s="7" t="str">
        <f aca="false">IF((H1696-G1696)&lt;&gt;K1696,"Mismatch","OK")</f>
        <v>OK</v>
      </c>
      <c r="X1696" s="7" t="str">
        <f aca="false">IF(TEXT(H1696,"dddd")&lt;&gt;I1696,"Mismatch","OK")</f>
        <v>OK</v>
      </c>
      <c r="Y1696" s="7" t="str">
        <f aca="false">IF(AND(N1696="No",O1696&lt;&gt;""),"Unexpected: channel present but no reminder sent",IF(AND(N1696="Yes",O1696=""),"Missing channel for sent reminder","OK"))</f>
        <v>OK</v>
      </c>
    </row>
    <row r="1697" customFormat="false" ht="15" hidden="false" customHeight="false" outlineLevel="0" collapsed="false">
      <c r="A1697" s="9" t="s">
        <v>2866</v>
      </c>
      <c r="B1697" s="9" t="s">
        <v>1986</v>
      </c>
      <c r="C1697" s="9" t="s">
        <v>37</v>
      </c>
      <c r="D1697" s="9" t="n">
        <v>31</v>
      </c>
      <c r="E1697" s="9" t="s">
        <v>48</v>
      </c>
      <c r="F1697" s="9" t="s">
        <v>57</v>
      </c>
      <c r="G1697" s="10" t="n">
        <v>45995</v>
      </c>
      <c r="H1697" s="10" t="n">
        <v>46030</v>
      </c>
      <c r="I1697" s="9" t="s">
        <v>62</v>
      </c>
      <c r="J1697" s="9" t="s">
        <v>41</v>
      </c>
      <c r="K1697" s="9" t="n">
        <v>35</v>
      </c>
      <c r="L1697" s="9" t="n">
        <v>3</v>
      </c>
      <c r="M1697" s="9" t="n">
        <v>2</v>
      </c>
      <c r="N1697" s="9" t="s">
        <v>42</v>
      </c>
      <c r="O1697" s="9" t="s">
        <v>43</v>
      </c>
      <c r="P1697" s="9" t="n">
        <v>10.5</v>
      </c>
      <c r="Q1697" s="9" t="n">
        <v>27</v>
      </c>
      <c r="R1697" s="9" t="s">
        <v>53</v>
      </c>
      <c r="S1697" s="9"/>
      <c r="T1697" s="9"/>
      <c r="U1697" s="9" t="str">
        <f aca="false">IF(COUNTIF($A$2:$A$5001,A1697)&gt;1,"Duplicate","Unique")</f>
        <v>Unique</v>
      </c>
      <c r="V1697" s="9" t="str">
        <f aca="false">IF(COUNTIFS($B$2:$B$5001,B1697,$H$2:$H$5001,H1697,$J$2:$J$5001,J1697)&gt;1,"Possible Duplicate Booking","Unique")</f>
        <v>Unique</v>
      </c>
      <c r="W1697" s="9" t="str">
        <f aca="false">IF((H1697-G1697)&lt;&gt;K1697,"Mismatch","OK")</f>
        <v>OK</v>
      </c>
      <c r="X1697" s="9" t="str">
        <f aca="false">IF(TEXT(H1697,"dddd")&lt;&gt;I1697,"Mismatch","OK")</f>
        <v>OK</v>
      </c>
      <c r="Y1697" s="9" t="str">
        <f aca="false">IF(AND(N1697="No",O1697&lt;&gt;""),"Unexpected: channel present but no reminder sent",IF(AND(N1697="Yes",O1697=""),"Missing channel for sent reminder","OK"))</f>
        <v>OK</v>
      </c>
    </row>
    <row r="1698" customFormat="false" ht="15" hidden="false" customHeight="false" outlineLevel="0" collapsed="false">
      <c r="A1698" s="7" t="s">
        <v>2867</v>
      </c>
      <c r="B1698" s="7" t="s">
        <v>1264</v>
      </c>
      <c r="C1698" s="7" t="s">
        <v>37</v>
      </c>
      <c r="D1698" s="7" t="n">
        <v>62</v>
      </c>
      <c r="E1698" s="7" t="s">
        <v>61</v>
      </c>
      <c r="F1698" s="7" t="s">
        <v>39</v>
      </c>
      <c r="G1698" s="8" t="n">
        <v>45860</v>
      </c>
      <c r="H1698" s="8" t="n">
        <v>45913</v>
      </c>
      <c r="I1698" s="7" t="s">
        <v>102</v>
      </c>
      <c r="J1698" s="7" t="s">
        <v>51</v>
      </c>
      <c r="K1698" s="7" t="n">
        <v>53</v>
      </c>
      <c r="L1698" s="7" t="n">
        <v>3</v>
      </c>
      <c r="M1698" s="7" t="n">
        <v>1</v>
      </c>
      <c r="N1698" s="7" t="s">
        <v>71</v>
      </c>
      <c r="O1698" s="7"/>
      <c r="P1698" s="7" t="n">
        <v>7.3</v>
      </c>
      <c r="Q1698" s="7" t="n">
        <v>30</v>
      </c>
      <c r="R1698" s="7" t="s">
        <v>44</v>
      </c>
      <c r="S1698" s="7"/>
      <c r="T1698" s="7"/>
      <c r="U1698" s="7" t="str">
        <f aca="false">IF(COUNTIF($A$2:$A$5001,A1698)&gt;1,"Duplicate","Unique")</f>
        <v>Unique</v>
      </c>
      <c r="V1698" s="7" t="str">
        <f aca="false">IF(COUNTIFS($B$2:$B$5001,B1698,$H$2:$H$5001,H1698,$J$2:$J$5001,J1698)&gt;1,"Possible Duplicate Booking","Unique")</f>
        <v>Unique</v>
      </c>
      <c r="W1698" s="7" t="str">
        <f aca="false">IF((H1698-G1698)&lt;&gt;K1698,"Mismatch","OK")</f>
        <v>OK</v>
      </c>
      <c r="X1698" s="7" t="str">
        <f aca="false">IF(TEXT(H1698,"dddd")&lt;&gt;I1698,"Mismatch","OK")</f>
        <v>OK</v>
      </c>
      <c r="Y1698" s="7" t="str">
        <f aca="false">IF(AND(N1698="No",O1698&lt;&gt;""),"Unexpected: channel present but no reminder sent",IF(AND(N1698="Yes",O1698=""),"Missing channel for sent reminder","OK"))</f>
        <v>OK</v>
      </c>
    </row>
    <row r="1699" customFormat="false" ht="15" hidden="false" customHeight="false" outlineLevel="0" collapsed="false">
      <c r="A1699" s="9" t="s">
        <v>2868</v>
      </c>
      <c r="B1699" s="9" t="s">
        <v>2869</v>
      </c>
      <c r="C1699" s="9" t="s">
        <v>47</v>
      </c>
      <c r="D1699" s="9" t="n">
        <v>24</v>
      </c>
      <c r="E1699" s="9" t="s">
        <v>82</v>
      </c>
      <c r="F1699" s="9" t="s">
        <v>57</v>
      </c>
      <c r="G1699" s="10" t="n">
        <v>45692</v>
      </c>
      <c r="H1699" s="10" t="n">
        <v>45739</v>
      </c>
      <c r="I1699" s="9" t="s">
        <v>75</v>
      </c>
      <c r="J1699" s="9" t="s">
        <v>51</v>
      </c>
      <c r="K1699" s="9" t="n">
        <v>47</v>
      </c>
      <c r="L1699" s="9" t="n">
        <v>3</v>
      </c>
      <c r="M1699" s="9" t="n">
        <v>0</v>
      </c>
      <c r="N1699" s="9" t="s">
        <v>42</v>
      </c>
      <c r="O1699" s="9" t="s">
        <v>43</v>
      </c>
      <c r="P1699" s="9" t="n">
        <v>12.7</v>
      </c>
      <c r="Q1699" s="9" t="n">
        <v>25</v>
      </c>
      <c r="R1699" s="9" t="s">
        <v>44</v>
      </c>
      <c r="S1699" s="9"/>
      <c r="T1699" s="9"/>
      <c r="U1699" s="9" t="str">
        <f aca="false">IF(COUNTIF($A$2:$A$5001,A1699)&gt;1,"Duplicate","Unique")</f>
        <v>Unique</v>
      </c>
      <c r="V1699" s="9" t="str">
        <f aca="false">IF(COUNTIFS($B$2:$B$5001,B1699,$H$2:$H$5001,H1699,$J$2:$J$5001,J1699)&gt;1,"Possible Duplicate Booking","Unique")</f>
        <v>Unique</v>
      </c>
      <c r="W1699" s="9" t="str">
        <f aca="false">IF((H1699-G1699)&lt;&gt;K1699,"Mismatch","OK")</f>
        <v>OK</v>
      </c>
      <c r="X1699" s="9" t="str">
        <f aca="false">IF(TEXT(H1699,"dddd")&lt;&gt;I1699,"Mismatch","OK")</f>
        <v>OK</v>
      </c>
      <c r="Y1699" s="9" t="str">
        <f aca="false">IF(AND(N1699="No",O1699&lt;&gt;""),"Unexpected: channel present but no reminder sent",IF(AND(N1699="Yes",O1699=""),"Missing channel for sent reminder","OK"))</f>
        <v>OK</v>
      </c>
    </row>
    <row r="1700" customFormat="false" ht="15" hidden="false" customHeight="false" outlineLevel="0" collapsed="false">
      <c r="A1700" s="7" t="s">
        <v>2870</v>
      </c>
      <c r="B1700" s="7" t="s">
        <v>2871</v>
      </c>
      <c r="C1700" s="7" t="s">
        <v>47</v>
      </c>
      <c r="D1700" s="7" t="n">
        <v>78</v>
      </c>
      <c r="E1700" s="7" t="s">
        <v>70</v>
      </c>
      <c r="F1700" s="7" t="s">
        <v>57</v>
      </c>
      <c r="G1700" s="8" t="n">
        <v>45834</v>
      </c>
      <c r="H1700" s="8" t="n">
        <v>45854</v>
      </c>
      <c r="I1700" s="7" t="s">
        <v>58</v>
      </c>
      <c r="J1700" s="7" t="s">
        <v>63</v>
      </c>
      <c r="K1700" s="7" t="n">
        <v>20</v>
      </c>
      <c r="L1700" s="7" t="n">
        <v>4</v>
      </c>
      <c r="M1700" s="7" t="n">
        <v>1</v>
      </c>
      <c r="N1700" s="7" t="s">
        <v>42</v>
      </c>
      <c r="O1700" s="7" t="s">
        <v>52</v>
      </c>
      <c r="P1700" s="7" t="n">
        <v>20.3</v>
      </c>
      <c r="Q1700" s="7" t="n">
        <v>17</v>
      </c>
      <c r="R1700" s="7" t="s">
        <v>44</v>
      </c>
      <c r="S1700" s="7"/>
      <c r="T1700" s="7"/>
      <c r="U1700" s="7" t="str">
        <f aca="false">IF(COUNTIF($A$2:$A$5001,A1700)&gt;1,"Duplicate","Unique")</f>
        <v>Unique</v>
      </c>
      <c r="V1700" s="7" t="str">
        <f aca="false">IF(COUNTIFS($B$2:$B$5001,B1700,$H$2:$H$5001,H1700,$J$2:$J$5001,J1700)&gt;1,"Possible Duplicate Booking","Unique")</f>
        <v>Unique</v>
      </c>
      <c r="W1700" s="7" t="str">
        <f aca="false">IF((H1700-G1700)&lt;&gt;K1700,"Mismatch","OK")</f>
        <v>OK</v>
      </c>
      <c r="X1700" s="7" t="str">
        <f aca="false">IF(TEXT(H1700,"dddd")&lt;&gt;I1700,"Mismatch","OK")</f>
        <v>OK</v>
      </c>
      <c r="Y1700" s="7" t="str">
        <f aca="false">IF(AND(N1700="No",O1700&lt;&gt;""),"Unexpected: channel present but no reminder sent",IF(AND(N1700="Yes",O1700=""),"Missing channel for sent reminder","OK"))</f>
        <v>OK</v>
      </c>
    </row>
    <row r="1701" customFormat="false" ht="15" hidden="false" customHeight="false" outlineLevel="0" collapsed="false">
      <c r="A1701" s="9" t="s">
        <v>2872</v>
      </c>
      <c r="B1701" s="9" t="s">
        <v>2873</v>
      </c>
      <c r="C1701" s="9" t="s">
        <v>37</v>
      </c>
      <c r="D1701" s="9" t="n">
        <v>67</v>
      </c>
      <c r="E1701" s="9" t="s">
        <v>70</v>
      </c>
      <c r="F1701" s="9" t="s">
        <v>39</v>
      </c>
      <c r="G1701" s="10" t="n">
        <v>46160</v>
      </c>
      <c r="H1701" s="10" t="n">
        <v>46183</v>
      </c>
      <c r="I1701" s="9" t="s">
        <v>58</v>
      </c>
      <c r="J1701" s="9" t="s">
        <v>41</v>
      </c>
      <c r="K1701" s="9" t="n">
        <v>23</v>
      </c>
      <c r="L1701" s="9" t="n">
        <v>1</v>
      </c>
      <c r="M1701" s="9" t="n">
        <v>0</v>
      </c>
      <c r="N1701" s="9" t="s">
        <v>42</v>
      </c>
      <c r="O1701" s="9" t="s">
        <v>43</v>
      </c>
      <c r="P1701" s="9" t="n">
        <v>7.3</v>
      </c>
      <c r="Q1701" s="9" t="n">
        <v>48</v>
      </c>
      <c r="R1701" s="9" t="s">
        <v>53</v>
      </c>
      <c r="S1701" s="9"/>
      <c r="T1701" s="9"/>
      <c r="U1701" s="9" t="str">
        <f aca="false">IF(COUNTIF($A$2:$A$5001,A1701)&gt;1,"Duplicate","Unique")</f>
        <v>Unique</v>
      </c>
      <c r="V1701" s="9" t="str">
        <f aca="false">IF(COUNTIFS($B$2:$B$5001,B1701,$H$2:$H$5001,H1701,$J$2:$J$5001,J1701)&gt;1,"Possible Duplicate Booking","Unique")</f>
        <v>Unique</v>
      </c>
      <c r="W1701" s="9" t="str">
        <f aca="false">IF((H1701-G1701)&lt;&gt;K1701,"Mismatch","OK")</f>
        <v>OK</v>
      </c>
      <c r="X1701" s="9" t="str">
        <f aca="false">IF(TEXT(H1701,"dddd")&lt;&gt;I1701,"Mismatch","OK")</f>
        <v>OK</v>
      </c>
      <c r="Y1701" s="9" t="str">
        <f aca="false">IF(AND(N1701="No",O1701&lt;&gt;""),"Unexpected: channel present but no reminder sent",IF(AND(N1701="Yes",O1701=""),"Missing channel for sent reminder","OK"))</f>
        <v>OK</v>
      </c>
    </row>
    <row r="1702" customFormat="false" ht="15" hidden="false" customHeight="false" outlineLevel="0" collapsed="false">
      <c r="A1702" s="7" t="s">
        <v>2874</v>
      </c>
      <c r="B1702" s="7" t="s">
        <v>304</v>
      </c>
      <c r="C1702" s="7" t="s">
        <v>47</v>
      </c>
      <c r="D1702" s="7" t="n">
        <v>60</v>
      </c>
      <c r="E1702" s="7" t="s">
        <v>61</v>
      </c>
      <c r="F1702" s="7" t="s">
        <v>57</v>
      </c>
      <c r="G1702" s="8" t="n">
        <v>45748</v>
      </c>
      <c r="H1702" s="8" t="n">
        <v>45802</v>
      </c>
      <c r="I1702" s="7" t="s">
        <v>75</v>
      </c>
      <c r="J1702" s="7" t="s">
        <v>41</v>
      </c>
      <c r="K1702" s="7" t="n">
        <v>54</v>
      </c>
      <c r="L1702" s="7" t="n">
        <v>3</v>
      </c>
      <c r="M1702" s="7" t="n">
        <v>1</v>
      </c>
      <c r="N1702" s="7" t="s">
        <v>42</v>
      </c>
      <c r="O1702" s="7" t="s">
        <v>52</v>
      </c>
      <c r="P1702" s="7" t="n">
        <v>4.9</v>
      </c>
      <c r="Q1702" s="7" t="n">
        <v>13</v>
      </c>
      <c r="R1702" s="7" t="s">
        <v>44</v>
      </c>
      <c r="S1702" s="7"/>
      <c r="T1702" s="7"/>
      <c r="U1702" s="7" t="str">
        <f aca="false">IF(COUNTIF($A$2:$A$5001,A1702)&gt;1,"Duplicate","Unique")</f>
        <v>Unique</v>
      </c>
      <c r="V1702" s="7" t="str">
        <f aca="false">IF(COUNTIFS($B$2:$B$5001,B1702,$H$2:$H$5001,H1702,$J$2:$J$5001,J1702)&gt;1,"Possible Duplicate Booking","Unique")</f>
        <v>Unique</v>
      </c>
      <c r="W1702" s="7" t="str">
        <f aca="false">IF((H1702-G1702)&lt;&gt;K1702,"Mismatch","OK")</f>
        <v>OK</v>
      </c>
      <c r="X1702" s="7" t="str">
        <f aca="false">IF(TEXT(H1702,"dddd")&lt;&gt;I1702,"Mismatch","OK")</f>
        <v>OK</v>
      </c>
      <c r="Y1702" s="7" t="str">
        <f aca="false">IF(AND(N1702="No",O1702&lt;&gt;""),"Unexpected: channel present but no reminder sent",IF(AND(N1702="Yes",O1702=""),"Missing channel for sent reminder","OK"))</f>
        <v>OK</v>
      </c>
    </row>
    <row r="1703" customFormat="false" ht="15" hidden="false" customHeight="false" outlineLevel="0" collapsed="false">
      <c r="A1703" s="9" t="s">
        <v>2875</v>
      </c>
      <c r="B1703" s="9" t="s">
        <v>93</v>
      </c>
      <c r="C1703" s="9" t="s">
        <v>47</v>
      </c>
      <c r="D1703" s="9" t="n">
        <v>80</v>
      </c>
      <c r="E1703" s="9" t="s">
        <v>70</v>
      </c>
      <c r="F1703" s="9" t="s">
        <v>74</v>
      </c>
      <c r="G1703" s="10" t="n">
        <v>45753</v>
      </c>
      <c r="H1703" s="10" t="n">
        <v>45755</v>
      </c>
      <c r="I1703" s="9" t="s">
        <v>40</v>
      </c>
      <c r="J1703" s="9" t="s">
        <v>63</v>
      </c>
      <c r="K1703" s="9" t="n">
        <v>2</v>
      </c>
      <c r="L1703" s="9" t="n">
        <v>4</v>
      </c>
      <c r="M1703" s="9" t="n">
        <v>0</v>
      </c>
      <c r="N1703" s="9" t="s">
        <v>42</v>
      </c>
      <c r="O1703" s="9" t="s">
        <v>52</v>
      </c>
      <c r="P1703" s="9" t="n">
        <v>13.3</v>
      </c>
      <c r="Q1703" s="9" t="n">
        <v>29</v>
      </c>
      <c r="R1703" s="9" t="s">
        <v>44</v>
      </c>
      <c r="S1703" s="9"/>
      <c r="T1703" s="9"/>
      <c r="U1703" s="9" t="str">
        <f aca="false">IF(COUNTIF($A$2:$A$5001,A1703)&gt;1,"Duplicate","Unique")</f>
        <v>Unique</v>
      </c>
      <c r="V1703" s="9" t="str">
        <f aca="false">IF(COUNTIFS($B$2:$B$5001,B1703,$H$2:$H$5001,H1703,$J$2:$J$5001,J1703)&gt;1,"Possible Duplicate Booking","Unique")</f>
        <v>Unique</v>
      </c>
      <c r="W1703" s="9" t="str">
        <f aca="false">IF((H1703-G1703)&lt;&gt;K1703,"Mismatch","OK")</f>
        <v>OK</v>
      </c>
      <c r="X1703" s="9" t="str">
        <f aca="false">IF(TEXT(H1703,"dddd")&lt;&gt;I1703,"Mismatch","OK")</f>
        <v>OK</v>
      </c>
      <c r="Y1703" s="9" t="str">
        <f aca="false">IF(AND(N1703="No",O1703&lt;&gt;""),"Unexpected: channel present but no reminder sent",IF(AND(N1703="Yes",O1703=""),"Missing channel for sent reminder","OK"))</f>
        <v>OK</v>
      </c>
    </row>
    <row r="1704" customFormat="false" ht="15" hidden="false" customHeight="false" outlineLevel="0" collapsed="false">
      <c r="A1704" s="7" t="s">
        <v>2876</v>
      </c>
      <c r="B1704" s="7" t="s">
        <v>2877</v>
      </c>
      <c r="C1704" s="7" t="s">
        <v>37</v>
      </c>
      <c r="D1704" s="7" t="n">
        <v>71</v>
      </c>
      <c r="E1704" s="7" t="s">
        <v>70</v>
      </c>
      <c r="F1704" s="7" t="s">
        <v>39</v>
      </c>
      <c r="G1704" s="8" t="n">
        <v>45998</v>
      </c>
      <c r="H1704" s="8" t="n">
        <v>46030</v>
      </c>
      <c r="I1704" s="7" t="s">
        <v>62</v>
      </c>
      <c r="J1704" s="7" t="s">
        <v>63</v>
      </c>
      <c r="K1704" s="7" t="n">
        <v>32</v>
      </c>
      <c r="L1704" s="7" t="n">
        <v>0</v>
      </c>
      <c r="M1704" s="7" t="n">
        <v>0</v>
      </c>
      <c r="N1704" s="7" t="s">
        <v>42</v>
      </c>
      <c r="O1704" s="7" t="s">
        <v>52</v>
      </c>
      <c r="P1704" s="7" t="n">
        <v>7.3</v>
      </c>
      <c r="Q1704" s="7" t="n">
        <v>15</v>
      </c>
      <c r="R1704" s="7" t="s">
        <v>53</v>
      </c>
      <c r="S1704" s="7"/>
      <c r="T1704" s="7"/>
      <c r="U1704" s="7" t="str">
        <f aca="false">IF(COUNTIF($A$2:$A$5001,A1704)&gt;1,"Duplicate","Unique")</f>
        <v>Unique</v>
      </c>
      <c r="V1704" s="7" t="str">
        <f aca="false">IF(COUNTIFS($B$2:$B$5001,B1704,$H$2:$H$5001,H1704,$J$2:$J$5001,J1704)&gt;1,"Possible Duplicate Booking","Unique")</f>
        <v>Unique</v>
      </c>
      <c r="W1704" s="7" t="str">
        <f aca="false">IF((H1704-G1704)&lt;&gt;K1704,"Mismatch","OK")</f>
        <v>OK</v>
      </c>
      <c r="X1704" s="7" t="str">
        <f aca="false">IF(TEXT(H1704,"dddd")&lt;&gt;I1704,"Mismatch","OK")</f>
        <v>OK</v>
      </c>
      <c r="Y1704" s="7" t="str">
        <f aca="false">IF(AND(N1704="No",O1704&lt;&gt;""),"Unexpected: channel present but no reminder sent",IF(AND(N1704="Yes",O1704=""),"Missing channel for sent reminder","OK"))</f>
        <v>OK</v>
      </c>
    </row>
    <row r="1705" customFormat="false" ht="15" hidden="false" customHeight="false" outlineLevel="0" collapsed="false">
      <c r="A1705" s="9" t="s">
        <v>2878</v>
      </c>
      <c r="B1705" s="9" t="s">
        <v>411</v>
      </c>
      <c r="C1705" s="9" t="s">
        <v>47</v>
      </c>
      <c r="D1705" s="9" t="n">
        <v>72</v>
      </c>
      <c r="E1705" s="9" t="s">
        <v>70</v>
      </c>
      <c r="F1705" s="9" t="s">
        <v>57</v>
      </c>
      <c r="G1705" s="10" t="n">
        <v>45759</v>
      </c>
      <c r="H1705" s="10" t="n">
        <v>45766</v>
      </c>
      <c r="I1705" s="9" t="s">
        <v>102</v>
      </c>
      <c r="J1705" s="9" t="s">
        <v>41</v>
      </c>
      <c r="K1705" s="9" t="n">
        <v>7</v>
      </c>
      <c r="L1705" s="9" t="n">
        <v>2</v>
      </c>
      <c r="M1705" s="9" t="n">
        <v>0</v>
      </c>
      <c r="N1705" s="9" t="s">
        <v>42</v>
      </c>
      <c r="O1705" s="9" t="s">
        <v>52</v>
      </c>
      <c r="P1705" s="9" t="n">
        <v>15.9</v>
      </c>
      <c r="Q1705" s="9" t="n">
        <v>25</v>
      </c>
      <c r="R1705" s="9" t="s">
        <v>53</v>
      </c>
      <c r="S1705" s="9"/>
      <c r="T1705" s="9"/>
      <c r="U1705" s="9" t="str">
        <f aca="false">IF(COUNTIF($A$2:$A$5001,A1705)&gt;1,"Duplicate","Unique")</f>
        <v>Unique</v>
      </c>
      <c r="V1705" s="9" t="str">
        <f aca="false">IF(COUNTIFS($B$2:$B$5001,B1705,$H$2:$H$5001,H1705,$J$2:$J$5001,J1705)&gt;1,"Possible Duplicate Booking","Unique")</f>
        <v>Unique</v>
      </c>
      <c r="W1705" s="9" t="str">
        <f aca="false">IF((H1705-G1705)&lt;&gt;K1705,"Mismatch","OK")</f>
        <v>OK</v>
      </c>
      <c r="X1705" s="9" t="str">
        <f aca="false">IF(TEXT(H1705,"dddd")&lt;&gt;I1705,"Mismatch","OK")</f>
        <v>OK</v>
      </c>
      <c r="Y1705" s="9" t="str">
        <f aca="false">IF(AND(N1705="No",O1705&lt;&gt;""),"Unexpected: channel present but no reminder sent",IF(AND(N1705="Yes",O1705=""),"Missing channel for sent reminder","OK"))</f>
        <v>OK</v>
      </c>
    </row>
    <row r="1706" customFormat="false" ht="15" hidden="false" customHeight="false" outlineLevel="0" collapsed="false">
      <c r="A1706" s="7" t="s">
        <v>2879</v>
      </c>
      <c r="B1706" s="7" t="s">
        <v>2880</v>
      </c>
      <c r="C1706" s="7" t="s">
        <v>37</v>
      </c>
      <c r="D1706" s="7" t="n">
        <v>24</v>
      </c>
      <c r="E1706" s="7" t="s">
        <v>82</v>
      </c>
      <c r="F1706" s="7" t="s">
        <v>57</v>
      </c>
      <c r="G1706" s="8" t="n">
        <v>46106</v>
      </c>
      <c r="H1706" s="8" t="n">
        <v>46160</v>
      </c>
      <c r="I1706" s="7" t="s">
        <v>66</v>
      </c>
      <c r="J1706" s="7" t="s">
        <v>63</v>
      </c>
      <c r="K1706" s="7" t="n">
        <v>54</v>
      </c>
      <c r="L1706" s="7" t="n">
        <v>2</v>
      </c>
      <c r="M1706" s="7" t="n">
        <v>1</v>
      </c>
      <c r="N1706" s="7" t="s">
        <v>42</v>
      </c>
      <c r="O1706" s="7" t="s">
        <v>67</v>
      </c>
      <c r="P1706" s="7" t="n">
        <v>3.6</v>
      </c>
      <c r="Q1706" s="7" t="n">
        <v>29</v>
      </c>
      <c r="R1706" s="7" t="s">
        <v>53</v>
      </c>
      <c r="S1706" s="7"/>
      <c r="T1706" s="7"/>
      <c r="U1706" s="7" t="str">
        <f aca="false">IF(COUNTIF($A$2:$A$5001,A1706)&gt;1,"Duplicate","Unique")</f>
        <v>Unique</v>
      </c>
      <c r="V1706" s="7" t="str">
        <f aca="false">IF(COUNTIFS($B$2:$B$5001,B1706,$H$2:$H$5001,H1706,$J$2:$J$5001,J1706)&gt;1,"Possible Duplicate Booking","Unique")</f>
        <v>Unique</v>
      </c>
      <c r="W1706" s="7" t="str">
        <f aca="false">IF((H1706-G1706)&lt;&gt;K1706,"Mismatch","OK")</f>
        <v>OK</v>
      </c>
      <c r="X1706" s="7" t="str">
        <f aca="false">IF(TEXT(H1706,"dddd")&lt;&gt;I1706,"Mismatch","OK")</f>
        <v>OK</v>
      </c>
      <c r="Y1706" s="7" t="str">
        <f aca="false">IF(AND(N1706="No",O1706&lt;&gt;""),"Unexpected: channel present but no reminder sent",IF(AND(N1706="Yes",O1706=""),"Missing channel for sent reminder","OK"))</f>
        <v>OK</v>
      </c>
    </row>
    <row r="1707" customFormat="false" ht="15" hidden="false" customHeight="false" outlineLevel="0" collapsed="false">
      <c r="A1707" s="9" t="s">
        <v>2881</v>
      </c>
      <c r="B1707" s="9" t="s">
        <v>2882</v>
      </c>
      <c r="C1707" s="9" t="s">
        <v>47</v>
      </c>
      <c r="D1707" s="9" t="n">
        <v>19</v>
      </c>
      <c r="E1707" s="9" t="s">
        <v>82</v>
      </c>
      <c r="F1707" s="9" t="s">
        <v>49</v>
      </c>
      <c r="G1707" s="10" t="n">
        <v>46125</v>
      </c>
      <c r="H1707" s="10" t="n">
        <v>46127</v>
      </c>
      <c r="I1707" s="9" t="s">
        <v>58</v>
      </c>
      <c r="J1707" s="9" t="s">
        <v>51</v>
      </c>
      <c r="K1707" s="9" t="n">
        <v>2</v>
      </c>
      <c r="L1707" s="9" t="n">
        <v>3</v>
      </c>
      <c r="M1707" s="9" t="n">
        <v>0</v>
      </c>
      <c r="N1707" s="9" t="s">
        <v>42</v>
      </c>
      <c r="O1707" s="9" t="s">
        <v>52</v>
      </c>
      <c r="P1707" s="9" t="n">
        <v>5.9</v>
      </c>
      <c r="Q1707" s="9" t="n">
        <v>22</v>
      </c>
      <c r="R1707" s="9" t="s">
        <v>53</v>
      </c>
      <c r="S1707" s="9"/>
      <c r="T1707" s="9"/>
      <c r="U1707" s="9" t="str">
        <f aca="false">IF(COUNTIF($A$2:$A$5001,A1707)&gt;1,"Duplicate","Unique")</f>
        <v>Unique</v>
      </c>
      <c r="V1707" s="9" t="str">
        <f aca="false">IF(COUNTIFS($B$2:$B$5001,B1707,$H$2:$H$5001,H1707,$J$2:$J$5001,J1707)&gt;1,"Possible Duplicate Booking","Unique")</f>
        <v>Unique</v>
      </c>
      <c r="W1707" s="9" t="str">
        <f aca="false">IF((H1707-G1707)&lt;&gt;K1707,"Mismatch","OK")</f>
        <v>OK</v>
      </c>
      <c r="X1707" s="9" t="str">
        <f aca="false">IF(TEXT(H1707,"dddd")&lt;&gt;I1707,"Mismatch","OK")</f>
        <v>OK</v>
      </c>
      <c r="Y1707" s="9" t="str">
        <f aca="false">IF(AND(N1707="No",O1707&lt;&gt;""),"Unexpected: channel present but no reminder sent",IF(AND(N1707="Yes",O1707=""),"Missing channel for sent reminder","OK"))</f>
        <v>OK</v>
      </c>
    </row>
    <row r="1708" customFormat="false" ht="15" hidden="false" customHeight="false" outlineLevel="0" collapsed="false">
      <c r="A1708" s="7" t="s">
        <v>2883</v>
      </c>
      <c r="B1708" s="7" t="s">
        <v>2884</v>
      </c>
      <c r="C1708" s="7" t="s">
        <v>37</v>
      </c>
      <c r="D1708" s="7" t="n">
        <v>78</v>
      </c>
      <c r="E1708" s="7" t="s">
        <v>70</v>
      </c>
      <c r="F1708" s="7" t="s">
        <v>39</v>
      </c>
      <c r="G1708" s="8" t="n">
        <v>46194</v>
      </c>
      <c r="H1708" s="8" t="n">
        <v>46195</v>
      </c>
      <c r="I1708" s="7" t="s">
        <v>66</v>
      </c>
      <c r="J1708" s="7" t="s">
        <v>41</v>
      </c>
      <c r="K1708" s="7" t="n">
        <v>1</v>
      </c>
      <c r="L1708" s="7" t="n">
        <v>3</v>
      </c>
      <c r="M1708" s="7" t="n">
        <v>1</v>
      </c>
      <c r="N1708" s="7" t="s">
        <v>71</v>
      </c>
      <c r="O1708" s="7"/>
      <c r="P1708" s="7" t="n">
        <v>24.3</v>
      </c>
      <c r="Q1708" s="7" t="n">
        <v>11</v>
      </c>
      <c r="R1708" s="7" t="s">
        <v>53</v>
      </c>
      <c r="S1708" s="7"/>
      <c r="T1708" s="7"/>
      <c r="U1708" s="7" t="str">
        <f aca="false">IF(COUNTIF($A$2:$A$5001,A1708)&gt;1,"Duplicate","Unique")</f>
        <v>Unique</v>
      </c>
      <c r="V1708" s="7" t="str">
        <f aca="false">IF(COUNTIFS($B$2:$B$5001,B1708,$H$2:$H$5001,H1708,$J$2:$J$5001,J1708)&gt;1,"Possible Duplicate Booking","Unique")</f>
        <v>Unique</v>
      </c>
      <c r="W1708" s="7" t="str">
        <f aca="false">IF((H1708-G1708)&lt;&gt;K1708,"Mismatch","OK")</f>
        <v>OK</v>
      </c>
      <c r="X1708" s="7" t="str">
        <f aca="false">IF(TEXT(H1708,"dddd")&lt;&gt;I1708,"Mismatch","OK")</f>
        <v>OK</v>
      </c>
      <c r="Y1708" s="7" t="str">
        <f aca="false">IF(AND(N1708="No",O1708&lt;&gt;""),"Unexpected: channel present but no reminder sent",IF(AND(N1708="Yes",O1708=""),"Missing channel for sent reminder","OK"))</f>
        <v>OK</v>
      </c>
    </row>
    <row r="1709" customFormat="false" ht="15" hidden="false" customHeight="false" outlineLevel="0" collapsed="false">
      <c r="A1709" s="9" t="s">
        <v>2885</v>
      </c>
      <c r="B1709" s="9" t="s">
        <v>2105</v>
      </c>
      <c r="C1709" s="9" t="s">
        <v>47</v>
      </c>
      <c r="D1709" s="9" t="n">
        <v>33</v>
      </c>
      <c r="E1709" s="9" t="s">
        <v>48</v>
      </c>
      <c r="F1709" s="9" t="s">
        <v>57</v>
      </c>
      <c r="G1709" s="10" t="n">
        <v>46136</v>
      </c>
      <c r="H1709" s="10" t="n">
        <v>46156</v>
      </c>
      <c r="I1709" s="9" t="s">
        <v>62</v>
      </c>
      <c r="J1709" s="9" t="s">
        <v>63</v>
      </c>
      <c r="K1709" s="9" t="n">
        <v>20</v>
      </c>
      <c r="L1709" s="9" t="n">
        <v>5</v>
      </c>
      <c r="M1709" s="9" t="n">
        <v>1</v>
      </c>
      <c r="N1709" s="9" t="s">
        <v>42</v>
      </c>
      <c r="O1709" s="9" t="s">
        <v>43</v>
      </c>
      <c r="P1709" s="9" t="n">
        <v>5.7</v>
      </c>
      <c r="Q1709" s="9" t="n">
        <v>20</v>
      </c>
      <c r="R1709" s="9" t="s">
        <v>44</v>
      </c>
      <c r="S1709" s="9"/>
      <c r="T1709" s="9"/>
      <c r="U1709" s="9" t="str">
        <f aca="false">IF(COUNTIF($A$2:$A$5001,A1709)&gt;1,"Duplicate","Unique")</f>
        <v>Unique</v>
      </c>
      <c r="V1709" s="9" t="str">
        <f aca="false">IF(COUNTIFS($B$2:$B$5001,B1709,$H$2:$H$5001,H1709,$J$2:$J$5001,J1709)&gt;1,"Possible Duplicate Booking","Unique")</f>
        <v>Unique</v>
      </c>
      <c r="W1709" s="9" t="str">
        <f aca="false">IF((H1709-G1709)&lt;&gt;K1709,"Mismatch","OK")</f>
        <v>OK</v>
      </c>
      <c r="X1709" s="9" t="str">
        <f aca="false">IF(TEXT(H1709,"dddd")&lt;&gt;I1709,"Mismatch","OK")</f>
        <v>OK</v>
      </c>
      <c r="Y1709" s="9" t="str">
        <f aca="false">IF(AND(N1709="No",O1709&lt;&gt;""),"Unexpected: channel present but no reminder sent",IF(AND(N1709="Yes",O1709=""),"Missing channel for sent reminder","OK"))</f>
        <v>OK</v>
      </c>
    </row>
    <row r="1710" customFormat="false" ht="15" hidden="false" customHeight="false" outlineLevel="0" collapsed="false">
      <c r="A1710" s="7" t="s">
        <v>2886</v>
      </c>
      <c r="B1710" s="7" t="s">
        <v>2887</v>
      </c>
      <c r="C1710" s="7" t="s">
        <v>37</v>
      </c>
      <c r="D1710" s="7" t="n">
        <v>44</v>
      </c>
      <c r="E1710" s="7" t="s">
        <v>38</v>
      </c>
      <c r="F1710" s="7" t="s">
        <v>57</v>
      </c>
      <c r="G1710" s="8" t="n">
        <v>45779</v>
      </c>
      <c r="H1710" s="8" t="n">
        <v>45791</v>
      </c>
      <c r="I1710" s="7" t="s">
        <v>58</v>
      </c>
      <c r="J1710" s="7" t="s">
        <v>51</v>
      </c>
      <c r="K1710" s="7" t="n">
        <v>12</v>
      </c>
      <c r="L1710" s="7" t="n">
        <v>3</v>
      </c>
      <c r="M1710" s="7" t="n">
        <v>0</v>
      </c>
      <c r="N1710" s="7" t="s">
        <v>71</v>
      </c>
      <c r="O1710" s="7"/>
      <c r="P1710" s="7" t="n">
        <v>16.2</v>
      </c>
      <c r="Q1710" s="7" t="n">
        <v>36</v>
      </c>
      <c r="R1710" s="7" t="s">
        <v>53</v>
      </c>
      <c r="S1710" s="7"/>
      <c r="T1710" s="7"/>
      <c r="U1710" s="7" t="str">
        <f aca="false">IF(COUNTIF($A$2:$A$5001,A1710)&gt;1,"Duplicate","Unique")</f>
        <v>Unique</v>
      </c>
      <c r="V1710" s="7" t="str">
        <f aca="false">IF(COUNTIFS($B$2:$B$5001,B1710,$H$2:$H$5001,H1710,$J$2:$J$5001,J1710)&gt;1,"Possible Duplicate Booking","Unique")</f>
        <v>Unique</v>
      </c>
      <c r="W1710" s="7" t="str">
        <f aca="false">IF((H1710-G1710)&lt;&gt;K1710,"Mismatch","OK")</f>
        <v>OK</v>
      </c>
      <c r="X1710" s="7" t="str">
        <f aca="false">IF(TEXT(H1710,"dddd")&lt;&gt;I1710,"Mismatch","OK")</f>
        <v>OK</v>
      </c>
      <c r="Y1710" s="7" t="str">
        <f aca="false">IF(AND(N1710="No",O1710&lt;&gt;""),"Unexpected: channel present but no reminder sent",IF(AND(N1710="Yes",O1710=""),"Missing channel for sent reminder","OK"))</f>
        <v>OK</v>
      </c>
    </row>
    <row r="1711" customFormat="false" ht="15" hidden="false" customHeight="false" outlineLevel="0" collapsed="false">
      <c r="A1711" s="9" t="s">
        <v>2888</v>
      </c>
      <c r="B1711" s="9" t="s">
        <v>2732</v>
      </c>
      <c r="C1711" s="9" t="s">
        <v>47</v>
      </c>
      <c r="D1711" s="9" t="n">
        <v>20</v>
      </c>
      <c r="E1711" s="9" t="s">
        <v>82</v>
      </c>
      <c r="F1711" s="9" t="s">
        <v>49</v>
      </c>
      <c r="G1711" s="10" t="n">
        <v>45743</v>
      </c>
      <c r="H1711" s="10" t="n">
        <v>45773</v>
      </c>
      <c r="I1711" s="9" t="s">
        <v>102</v>
      </c>
      <c r="J1711" s="9" t="s">
        <v>51</v>
      </c>
      <c r="K1711" s="9" t="n">
        <v>30</v>
      </c>
      <c r="L1711" s="9" t="n">
        <v>3</v>
      </c>
      <c r="M1711" s="9" t="n">
        <v>0</v>
      </c>
      <c r="N1711" s="9" t="s">
        <v>42</v>
      </c>
      <c r="O1711" s="9" t="s">
        <v>52</v>
      </c>
      <c r="P1711" s="9" t="n">
        <v>4.8</v>
      </c>
      <c r="Q1711" s="9" t="n">
        <v>7</v>
      </c>
      <c r="R1711" s="9" t="s">
        <v>44</v>
      </c>
      <c r="S1711" s="9"/>
      <c r="T1711" s="9"/>
      <c r="U1711" s="9" t="str">
        <f aca="false">IF(COUNTIF($A$2:$A$5001,A1711)&gt;1,"Duplicate","Unique")</f>
        <v>Unique</v>
      </c>
      <c r="V1711" s="9" t="str">
        <f aca="false">IF(COUNTIFS($B$2:$B$5001,B1711,$H$2:$H$5001,H1711,$J$2:$J$5001,J1711)&gt;1,"Possible Duplicate Booking","Unique")</f>
        <v>Unique</v>
      </c>
      <c r="W1711" s="9" t="str">
        <f aca="false">IF((H1711-G1711)&lt;&gt;K1711,"Mismatch","OK")</f>
        <v>OK</v>
      </c>
      <c r="X1711" s="9" t="str">
        <f aca="false">IF(TEXT(H1711,"dddd")&lt;&gt;I1711,"Mismatch","OK")</f>
        <v>OK</v>
      </c>
      <c r="Y1711" s="9" t="str">
        <f aca="false">IF(AND(N1711="No",O1711&lt;&gt;""),"Unexpected: channel present but no reminder sent",IF(AND(N1711="Yes",O1711=""),"Missing channel for sent reminder","OK"))</f>
        <v>OK</v>
      </c>
    </row>
    <row r="1712" customFormat="false" ht="15" hidden="false" customHeight="false" outlineLevel="0" collapsed="false">
      <c r="A1712" s="7" t="s">
        <v>2889</v>
      </c>
      <c r="B1712" s="7" t="s">
        <v>2890</v>
      </c>
      <c r="C1712" s="7" t="s">
        <v>47</v>
      </c>
      <c r="D1712" s="7" t="n">
        <v>57</v>
      </c>
      <c r="E1712" s="7" t="s">
        <v>61</v>
      </c>
      <c r="F1712" s="7" t="s">
        <v>74</v>
      </c>
      <c r="G1712" s="8" t="n">
        <v>45827</v>
      </c>
      <c r="H1712" s="8" t="n">
        <v>45845</v>
      </c>
      <c r="I1712" s="7" t="s">
        <v>66</v>
      </c>
      <c r="J1712" s="7" t="s">
        <v>41</v>
      </c>
      <c r="K1712" s="7" t="n">
        <v>18</v>
      </c>
      <c r="L1712" s="7" t="n">
        <v>4</v>
      </c>
      <c r="M1712" s="7" t="n">
        <v>1</v>
      </c>
      <c r="N1712" s="7" t="s">
        <v>42</v>
      </c>
      <c r="O1712" s="7" t="s">
        <v>43</v>
      </c>
      <c r="P1712" s="7" t="n">
        <v>12.7</v>
      </c>
      <c r="Q1712" s="7" t="n">
        <v>42</v>
      </c>
      <c r="R1712" s="7" t="s">
        <v>44</v>
      </c>
      <c r="S1712" s="7"/>
      <c r="T1712" s="7"/>
      <c r="U1712" s="7" t="str">
        <f aca="false">IF(COUNTIF($A$2:$A$5001,A1712)&gt;1,"Duplicate","Unique")</f>
        <v>Unique</v>
      </c>
      <c r="V1712" s="7" t="str">
        <f aca="false">IF(COUNTIFS($B$2:$B$5001,B1712,$H$2:$H$5001,H1712,$J$2:$J$5001,J1712)&gt;1,"Possible Duplicate Booking","Unique")</f>
        <v>Unique</v>
      </c>
      <c r="W1712" s="7" t="str">
        <f aca="false">IF((H1712-G1712)&lt;&gt;K1712,"Mismatch","OK")</f>
        <v>OK</v>
      </c>
      <c r="X1712" s="7" t="str">
        <f aca="false">IF(TEXT(H1712,"dddd")&lt;&gt;I1712,"Mismatch","OK")</f>
        <v>OK</v>
      </c>
      <c r="Y1712" s="7" t="str">
        <f aca="false">IF(AND(N1712="No",O1712&lt;&gt;""),"Unexpected: channel present but no reminder sent",IF(AND(N1712="Yes",O1712=""),"Missing channel for sent reminder","OK"))</f>
        <v>OK</v>
      </c>
    </row>
    <row r="1713" customFormat="false" ht="15" hidden="false" customHeight="false" outlineLevel="0" collapsed="false">
      <c r="A1713" s="9" t="s">
        <v>2891</v>
      </c>
      <c r="B1713" s="9" t="s">
        <v>2892</v>
      </c>
      <c r="C1713" s="9" t="s">
        <v>37</v>
      </c>
      <c r="D1713" s="9" t="n">
        <v>69</v>
      </c>
      <c r="E1713" s="9" t="s">
        <v>70</v>
      </c>
      <c r="F1713" s="9" t="s">
        <v>57</v>
      </c>
      <c r="G1713" s="10" t="n">
        <v>45893</v>
      </c>
      <c r="H1713" s="10" t="n">
        <v>45914</v>
      </c>
      <c r="I1713" s="9" t="s">
        <v>75</v>
      </c>
      <c r="J1713" s="9" t="s">
        <v>41</v>
      </c>
      <c r="K1713" s="9" t="n">
        <v>21</v>
      </c>
      <c r="L1713" s="9" t="n">
        <v>2</v>
      </c>
      <c r="M1713" s="9" t="n">
        <v>0</v>
      </c>
      <c r="N1713" s="9" t="s">
        <v>42</v>
      </c>
      <c r="O1713" s="9" t="s">
        <v>52</v>
      </c>
      <c r="P1713" s="9" t="n">
        <v>4.1</v>
      </c>
      <c r="Q1713" s="9" t="n">
        <v>25</v>
      </c>
      <c r="R1713" s="9" t="s">
        <v>44</v>
      </c>
      <c r="S1713" s="9"/>
      <c r="T1713" s="9"/>
      <c r="U1713" s="9" t="str">
        <f aca="false">IF(COUNTIF($A$2:$A$5001,A1713)&gt;1,"Duplicate","Unique")</f>
        <v>Unique</v>
      </c>
      <c r="V1713" s="9" t="str">
        <f aca="false">IF(COUNTIFS($B$2:$B$5001,B1713,$H$2:$H$5001,H1713,$J$2:$J$5001,J1713)&gt;1,"Possible Duplicate Booking","Unique")</f>
        <v>Unique</v>
      </c>
      <c r="W1713" s="9" t="str">
        <f aca="false">IF((H1713-G1713)&lt;&gt;K1713,"Mismatch","OK")</f>
        <v>OK</v>
      </c>
      <c r="X1713" s="9" t="str">
        <f aca="false">IF(TEXT(H1713,"dddd")&lt;&gt;I1713,"Mismatch","OK")</f>
        <v>OK</v>
      </c>
      <c r="Y1713" s="9" t="str">
        <f aca="false">IF(AND(N1713="No",O1713&lt;&gt;""),"Unexpected: channel present but no reminder sent",IF(AND(N1713="Yes",O1713=""),"Missing channel for sent reminder","OK"))</f>
        <v>OK</v>
      </c>
    </row>
    <row r="1714" customFormat="false" ht="15" hidden="false" customHeight="false" outlineLevel="0" collapsed="false">
      <c r="A1714" s="7" t="s">
        <v>2893</v>
      </c>
      <c r="B1714" s="7" t="s">
        <v>2894</v>
      </c>
      <c r="C1714" s="7" t="s">
        <v>47</v>
      </c>
      <c r="D1714" s="7" t="n">
        <v>71</v>
      </c>
      <c r="E1714" s="7" t="s">
        <v>70</v>
      </c>
      <c r="F1714" s="7" t="s">
        <v>57</v>
      </c>
      <c r="G1714" s="8" t="n">
        <v>46104</v>
      </c>
      <c r="H1714" s="8" t="n">
        <v>46138</v>
      </c>
      <c r="I1714" s="7" t="s">
        <v>75</v>
      </c>
      <c r="J1714" s="7" t="s">
        <v>51</v>
      </c>
      <c r="K1714" s="7" t="n">
        <v>34</v>
      </c>
      <c r="L1714" s="7" t="n">
        <v>0</v>
      </c>
      <c r="M1714" s="7" t="n">
        <v>0</v>
      </c>
      <c r="N1714" s="7" t="s">
        <v>71</v>
      </c>
      <c r="O1714" s="7"/>
      <c r="P1714" s="7" t="n">
        <v>13.5</v>
      </c>
      <c r="Q1714" s="7" t="n">
        <v>32</v>
      </c>
      <c r="R1714" s="7" t="s">
        <v>53</v>
      </c>
      <c r="S1714" s="7"/>
      <c r="T1714" s="7"/>
      <c r="U1714" s="7" t="str">
        <f aca="false">IF(COUNTIF($A$2:$A$5001,A1714)&gt;1,"Duplicate","Unique")</f>
        <v>Unique</v>
      </c>
      <c r="V1714" s="7" t="str">
        <f aca="false">IF(COUNTIFS($B$2:$B$5001,B1714,$H$2:$H$5001,H1714,$J$2:$J$5001,J1714)&gt;1,"Possible Duplicate Booking","Unique")</f>
        <v>Unique</v>
      </c>
      <c r="W1714" s="7" t="str">
        <f aca="false">IF((H1714-G1714)&lt;&gt;K1714,"Mismatch","OK")</f>
        <v>OK</v>
      </c>
      <c r="X1714" s="7" t="str">
        <f aca="false">IF(TEXT(H1714,"dddd")&lt;&gt;I1714,"Mismatch","OK")</f>
        <v>OK</v>
      </c>
      <c r="Y1714" s="7" t="str">
        <f aca="false">IF(AND(N1714="No",O1714&lt;&gt;""),"Unexpected: channel present but no reminder sent",IF(AND(N1714="Yes",O1714=""),"Missing channel for sent reminder","OK"))</f>
        <v>OK</v>
      </c>
    </row>
    <row r="1715" customFormat="false" ht="15" hidden="false" customHeight="false" outlineLevel="0" collapsed="false">
      <c r="A1715" s="9" t="s">
        <v>2895</v>
      </c>
      <c r="B1715" s="9" t="s">
        <v>2693</v>
      </c>
      <c r="C1715" s="9" t="s">
        <v>37</v>
      </c>
      <c r="D1715" s="9" t="n">
        <v>54</v>
      </c>
      <c r="E1715" s="9" t="s">
        <v>56</v>
      </c>
      <c r="F1715" s="9" t="s">
        <v>57</v>
      </c>
      <c r="G1715" s="10" t="n">
        <v>46024</v>
      </c>
      <c r="H1715" s="10" t="n">
        <v>46058</v>
      </c>
      <c r="I1715" s="9" t="s">
        <v>62</v>
      </c>
      <c r="J1715" s="9" t="s">
        <v>51</v>
      </c>
      <c r="K1715" s="9" t="n">
        <v>34</v>
      </c>
      <c r="L1715" s="9" t="n">
        <v>1</v>
      </c>
      <c r="M1715" s="9" t="n">
        <v>1</v>
      </c>
      <c r="N1715" s="9" t="s">
        <v>42</v>
      </c>
      <c r="O1715" s="9" t="s">
        <v>52</v>
      </c>
      <c r="P1715" s="9" t="n">
        <v>6.7</v>
      </c>
      <c r="Q1715" s="9" t="n">
        <v>12</v>
      </c>
      <c r="R1715" s="9" t="s">
        <v>53</v>
      </c>
      <c r="S1715" s="9"/>
      <c r="T1715" s="9"/>
      <c r="U1715" s="9" t="str">
        <f aca="false">IF(COUNTIF($A$2:$A$5001,A1715)&gt;1,"Duplicate","Unique")</f>
        <v>Unique</v>
      </c>
      <c r="V1715" s="9" t="str">
        <f aca="false">IF(COUNTIFS($B$2:$B$5001,B1715,$H$2:$H$5001,H1715,$J$2:$J$5001,J1715)&gt;1,"Possible Duplicate Booking","Unique")</f>
        <v>Unique</v>
      </c>
      <c r="W1715" s="9" t="str">
        <f aca="false">IF((H1715-G1715)&lt;&gt;K1715,"Mismatch","OK")</f>
        <v>OK</v>
      </c>
      <c r="X1715" s="9" t="str">
        <f aca="false">IF(TEXT(H1715,"dddd")&lt;&gt;I1715,"Mismatch","OK")</f>
        <v>OK</v>
      </c>
      <c r="Y1715" s="9" t="str">
        <f aca="false">IF(AND(N1715="No",O1715&lt;&gt;""),"Unexpected: channel present but no reminder sent",IF(AND(N1715="Yes",O1715=""),"Missing channel for sent reminder","OK"))</f>
        <v>OK</v>
      </c>
    </row>
    <row r="1716" customFormat="false" ht="15" hidden="false" customHeight="false" outlineLevel="0" collapsed="false">
      <c r="A1716" s="7" t="s">
        <v>2896</v>
      </c>
      <c r="B1716" s="7" t="s">
        <v>2847</v>
      </c>
      <c r="C1716" s="7" t="s">
        <v>47</v>
      </c>
      <c r="D1716" s="7" t="n">
        <v>59</v>
      </c>
      <c r="E1716" s="7" t="s">
        <v>61</v>
      </c>
      <c r="F1716" s="7" t="s">
        <v>57</v>
      </c>
      <c r="G1716" s="8" t="n">
        <v>45952</v>
      </c>
      <c r="H1716" s="8" t="n">
        <v>46009</v>
      </c>
      <c r="I1716" s="7" t="s">
        <v>62</v>
      </c>
      <c r="J1716" s="7" t="s">
        <v>51</v>
      </c>
      <c r="K1716" s="7" t="n">
        <v>57</v>
      </c>
      <c r="L1716" s="7" t="n">
        <v>4</v>
      </c>
      <c r="M1716" s="7" t="n">
        <v>2</v>
      </c>
      <c r="N1716" s="7" t="s">
        <v>42</v>
      </c>
      <c r="O1716" s="7" t="s">
        <v>52</v>
      </c>
      <c r="P1716" s="7" t="n">
        <v>5.8</v>
      </c>
      <c r="Q1716" s="7" t="n">
        <v>22</v>
      </c>
      <c r="R1716" s="7" t="s">
        <v>44</v>
      </c>
      <c r="S1716" s="7"/>
      <c r="T1716" s="7"/>
      <c r="U1716" s="7" t="str">
        <f aca="false">IF(COUNTIF($A$2:$A$5001,A1716)&gt;1,"Duplicate","Unique")</f>
        <v>Unique</v>
      </c>
      <c r="V1716" s="7" t="str">
        <f aca="false">IF(COUNTIFS($B$2:$B$5001,B1716,$H$2:$H$5001,H1716,$J$2:$J$5001,J1716)&gt;1,"Possible Duplicate Booking","Unique")</f>
        <v>Unique</v>
      </c>
      <c r="W1716" s="7" t="str">
        <f aca="false">IF((H1716-G1716)&lt;&gt;K1716,"Mismatch","OK")</f>
        <v>OK</v>
      </c>
      <c r="X1716" s="7" t="str">
        <f aca="false">IF(TEXT(H1716,"dddd")&lt;&gt;I1716,"Mismatch","OK")</f>
        <v>OK</v>
      </c>
      <c r="Y1716" s="7" t="str">
        <f aca="false">IF(AND(N1716="No",O1716&lt;&gt;""),"Unexpected: channel present but no reminder sent",IF(AND(N1716="Yes",O1716=""),"Missing channel for sent reminder","OK"))</f>
        <v>OK</v>
      </c>
    </row>
    <row r="1717" customFormat="false" ht="15" hidden="false" customHeight="false" outlineLevel="0" collapsed="false">
      <c r="A1717" s="9" t="s">
        <v>2897</v>
      </c>
      <c r="B1717" s="9" t="s">
        <v>2898</v>
      </c>
      <c r="C1717" s="9" t="s">
        <v>47</v>
      </c>
      <c r="D1717" s="9" t="n">
        <v>50</v>
      </c>
      <c r="E1717" s="9" t="s">
        <v>56</v>
      </c>
      <c r="F1717" s="9" t="s">
        <v>49</v>
      </c>
      <c r="G1717" s="10" t="n">
        <v>46108</v>
      </c>
      <c r="H1717" s="10" t="n">
        <v>46137</v>
      </c>
      <c r="I1717" s="9" t="s">
        <v>102</v>
      </c>
      <c r="J1717" s="9" t="s">
        <v>51</v>
      </c>
      <c r="K1717" s="9" t="n">
        <v>29</v>
      </c>
      <c r="L1717" s="9" t="n">
        <v>2</v>
      </c>
      <c r="M1717" s="9" t="n">
        <v>0</v>
      </c>
      <c r="N1717" s="9" t="s">
        <v>42</v>
      </c>
      <c r="O1717" s="9" t="s">
        <v>52</v>
      </c>
      <c r="P1717" s="9" t="n">
        <v>6.8</v>
      </c>
      <c r="Q1717" s="9" t="n">
        <v>17</v>
      </c>
      <c r="R1717" s="9" t="s">
        <v>53</v>
      </c>
      <c r="S1717" s="9"/>
      <c r="T1717" s="9"/>
      <c r="U1717" s="9" t="str">
        <f aca="false">IF(COUNTIF($A$2:$A$5001,A1717)&gt;1,"Duplicate","Unique")</f>
        <v>Unique</v>
      </c>
      <c r="V1717" s="9" t="str">
        <f aca="false">IF(COUNTIFS($B$2:$B$5001,B1717,$H$2:$H$5001,H1717,$J$2:$J$5001,J1717)&gt;1,"Possible Duplicate Booking","Unique")</f>
        <v>Unique</v>
      </c>
      <c r="W1717" s="9" t="str">
        <f aca="false">IF((H1717-G1717)&lt;&gt;K1717,"Mismatch","OK")</f>
        <v>OK</v>
      </c>
      <c r="X1717" s="9" t="str">
        <f aca="false">IF(TEXT(H1717,"dddd")&lt;&gt;I1717,"Mismatch","OK")</f>
        <v>OK</v>
      </c>
      <c r="Y1717" s="9" t="str">
        <f aca="false">IF(AND(N1717="No",O1717&lt;&gt;""),"Unexpected: channel present but no reminder sent",IF(AND(N1717="Yes",O1717=""),"Missing channel for sent reminder","OK"))</f>
        <v>OK</v>
      </c>
    </row>
    <row r="1718" customFormat="false" ht="15" hidden="false" customHeight="false" outlineLevel="0" collapsed="false">
      <c r="A1718" s="7" t="s">
        <v>2899</v>
      </c>
      <c r="B1718" s="7" t="s">
        <v>1415</v>
      </c>
      <c r="C1718" s="7" t="s">
        <v>47</v>
      </c>
      <c r="D1718" s="7" t="n">
        <v>46</v>
      </c>
      <c r="E1718" s="7" t="s">
        <v>56</v>
      </c>
      <c r="F1718" s="7" t="s">
        <v>74</v>
      </c>
      <c r="G1718" s="8" t="n">
        <v>45976</v>
      </c>
      <c r="H1718" s="8" t="n">
        <v>46010</v>
      </c>
      <c r="I1718" s="7" t="s">
        <v>50</v>
      </c>
      <c r="J1718" s="7" t="s">
        <v>63</v>
      </c>
      <c r="K1718" s="7" t="n">
        <v>34</v>
      </c>
      <c r="L1718" s="7" t="n">
        <v>2</v>
      </c>
      <c r="M1718" s="7" t="n">
        <v>0</v>
      </c>
      <c r="N1718" s="7" t="s">
        <v>71</v>
      </c>
      <c r="O1718" s="7"/>
      <c r="P1718" s="7" t="n">
        <v>8.2</v>
      </c>
      <c r="Q1718" s="7" t="n">
        <v>27</v>
      </c>
      <c r="R1718" s="7" t="s">
        <v>44</v>
      </c>
      <c r="S1718" s="7"/>
      <c r="T1718" s="7"/>
      <c r="U1718" s="7" t="str">
        <f aca="false">IF(COUNTIF($A$2:$A$5001,A1718)&gt;1,"Duplicate","Unique")</f>
        <v>Unique</v>
      </c>
      <c r="V1718" s="7" t="str">
        <f aca="false">IF(COUNTIFS($B$2:$B$5001,B1718,$H$2:$H$5001,H1718,$J$2:$J$5001,J1718)&gt;1,"Possible Duplicate Booking","Unique")</f>
        <v>Unique</v>
      </c>
      <c r="W1718" s="7" t="str">
        <f aca="false">IF((H1718-G1718)&lt;&gt;K1718,"Mismatch","OK")</f>
        <v>OK</v>
      </c>
      <c r="X1718" s="7" t="str">
        <f aca="false">IF(TEXT(H1718,"dddd")&lt;&gt;I1718,"Mismatch","OK")</f>
        <v>OK</v>
      </c>
      <c r="Y1718" s="7" t="str">
        <f aca="false">IF(AND(N1718="No",O1718&lt;&gt;""),"Unexpected: channel present but no reminder sent",IF(AND(N1718="Yes",O1718=""),"Missing channel for sent reminder","OK"))</f>
        <v>OK</v>
      </c>
    </row>
    <row r="1719" customFormat="false" ht="15" hidden="false" customHeight="false" outlineLevel="0" collapsed="false">
      <c r="A1719" s="9" t="s">
        <v>2900</v>
      </c>
      <c r="B1719" s="9" t="s">
        <v>2901</v>
      </c>
      <c r="C1719" s="9" t="s">
        <v>47</v>
      </c>
      <c r="D1719" s="9" t="n">
        <v>52</v>
      </c>
      <c r="E1719" s="9" t="s">
        <v>56</v>
      </c>
      <c r="F1719" s="9" t="s">
        <v>74</v>
      </c>
      <c r="G1719" s="10" t="n">
        <v>45823</v>
      </c>
      <c r="H1719" s="10" t="n">
        <v>45864</v>
      </c>
      <c r="I1719" s="9" t="s">
        <v>102</v>
      </c>
      <c r="J1719" s="9" t="s">
        <v>41</v>
      </c>
      <c r="K1719" s="9" t="n">
        <v>41</v>
      </c>
      <c r="L1719" s="9" t="n">
        <v>3</v>
      </c>
      <c r="M1719" s="9" t="n">
        <v>1</v>
      </c>
      <c r="N1719" s="9" t="s">
        <v>71</v>
      </c>
      <c r="O1719" s="9"/>
      <c r="P1719" s="9" t="n">
        <v>9.2</v>
      </c>
      <c r="Q1719" s="9" t="n">
        <v>12</v>
      </c>
      <c r="R1719" s="9" t="s">
        <v>44</v>
      </c>
      <c r="S1719" s="9"/>
      <c r="T1719" s="9"/>
      <c r="U1719" s="9" t="str">
        <f aca="false">IF(COUNTIF($A$2:$A$5001,A1719)&gt;1,"Duplicate","Unique")</f>
        <v>Unique</v>
      </c>
      <c r="V1719" s="9" t="str">
        <f aca="false">IF(COUNTIFS($B$2:$B$5001,B1719,$H$2:$H$5001,H1719,$J$2:$J$5001,J1719)&gt;1,"Possible Duplicate Booking","Unique")</f>
        <v>Unique</v>
      </c>
      <c r="W1719" s="9" t="str">
        <f aca="false">IF((H1719-G1719)&lt;&gt;K1719,"Mismatch","OK")</f>
        <v>OK</v>
      </c>
      <c r="X1719" s="9" t="str">
        <f aca="false">IF(TEXT(H1719,"dddd")&lt;&gt;I1719,"Mismatch","OK")</f>
        <v>OK</v>
      </c>
      <c r="Y1719" s="9" t="str">
        <f aca="false">IF(AND(N1719="No",O1719&lt;&gt;""),"Unexpected: channel present but no reminder sent",IF(AND(N1719="Yes",O1719=""),"Missing channel for sent reminder","OK"))</f>
        <v>OK</v>
      </c>
    </row>
    <row r="1720" customFormat="false" ht="15" hidden="false" customHeight="false" outlineLevel="0" collapsed="false">
      <c r="A1720" s="7" t="s">
        <v>2902</v>
      </c>
      <c r="B1720" s="7" t="s">
        <v>1003</v>
      </c>
      <c r="C1720" s="7" t="s">
        <v>47</v>
      </c>
      <c r="D1720" s="7" t="n">
        <v>76</v>
      </c>
      <c r="E1720" s="7" t="s">
        <v>70</v>
      </c>
      <c r="F1720" s="7" t="s">
        <v>49</v>
      </c>
      <c r="G1720" s="8" t="n">
        <v>45873</v>
      </c>
      <c r="H1720" s="8" t="n">
        <v>45883</v>
      </c>
      <c r="I1720" s="7" t="s">
        <v>62</v>
      </c>
      <c r="J1720" s="7" t="s">
        <v>41</v>
      </c>
      <c r="K1720" s="7" t="n">
        <v>10</v>
      </c>
      <c r="L1720" s="7" t="n">
        <v>8</v>
      </c>
      <c r="M1720" s="7" t="n">
        <v>5</v>
      </c>
      <c r="N1720" s="7" t="s">
        <v>42</v>
      </c>
      <c r="O1720" s="7" t="s">
        <v>43</v>
      </c>
      <c r="P1720" s="7" t="n">
        <v>3.3</v>
      </c>
      <c r="Q1720" s="7" t="n">
        <v>17</v>
      </c>
      <c r="R1720" s="7" t="s">
        <v>44</v>
      </c>
      <c r="S1720" s="7"/>
      <c r="T1720" s="7"/>
      <c r="U1720" s="7" t="str">
        <f aca="false">IF(COUNTIF($A$2:$A$5001,A1720)&gt;1,"Duplicate","Unique")</f>
        <v>Unique</v>
      </c>
      <c r="V1720" s="7" t="str">
        <f aca="false">IF(COUNTIFS($B$2:$B$5001,B1720,$H$2:$H$5001,H1720,$J$2:$J$5001,J1720)&gt;1,"Possible Duplicate Booking","Unique")</f>
        <v>Unique</v>
      </c>
      <c r="W1720" s="7" t="str">
        <f aca="false">IF((H1720-G1720)&lt;&gt;K1720,"Mismatch","OK")</f>
        <v>OK</v>
      </c>
      <c r="X1720" s="7" t="str">
        <f aca="false">IF(TEXT(H1720,"dddd")&lt;&gt;I1720,"Mismatch","OK")</f>
        <v>OK</v>
      </c>
      <c r="Y1720" s="7" t="str">
        <f aca="false">IF(AND(N1720="No",O1720&lt;&gt;""),"Unexpected: channel present but no reminder sent",IF(AND(N1720="Yes",O1720=""),"Missing channel for sent reminder","OK"))</f>
        <v>OK</v>
      </c>
    </row>
    <row r="1721" customFormat="false" ht="15" hidden="false" customHeight="false" outlineLevel="0" collapsed="false">
      <c r="A1721" s="9" t="s">
        <v>2903</v>
      </c>
      <c r="B1721" s="9" t="s">
        <v>2904</v>
      </c>
      <c r="C1721" s="9" t="s">
        <v>37</v>
      </c>
      <c r="D1721" s="9" t="n">
        <v>33</v>
      </c>
      <c r="E1721" s="9" t="s">
        <v>48</v>
      </c>
      <c r="F1721" s="9" t="s">
        <v>57</v>
      </c>
      <c r="G1721" s="10" t="n">
        <v>45900</v>
      </c>
      <c r="H1721" s="10" t="n">
        <v>45940</v>
      </c>
      <c r="I1721" s="9" t="s">
        <v>50</v>
      </c>
      <c r="J1721" s="9" t="s">
        <v>51</v>
      </c>
      <c r="K1721" s="9" t="n">
        <v>40</v>
      </c>
      <c r="L1721" s="9" t="n">
        <v>1</v>
      </c>
      <c r="M1721" s="9" t="n">
        <v>0</v>
      </c>
      <c r="N1721" s="9" t="s">
        <v>42</v>
      </c>
      <c r="O1721" s="9" t="s">
        <v>43</v>
      </c>
      <c r="P1721" s="9" t="n">
        <v>9.9</v>
      </c>
      <c r="Q1721" s="9" t="n">
        <v>47</v>
      </c>
      <c r="R1721" s="9" t="s">
        <v>44</v>
      </c>
      <c r="S1721" s="9"/>
      <c r="T1721" s="9"/>
      <c r="U1721" s="9" t="str">
        <f aca="false">IF(COUNTIF($A$2:$A$5001,A1721)&gt;1,"Duplicate","Unique")</f>
        <v>Unique</v>
      </c>
      <c r="V1721" s="9" t="str">
        <f aca="false">IF(COUNTIFS($B$2:$B$5001,B1721,$H$2:$H$5001,H1721,$J$2:$J$5001,J1721)&gt;1,"Possible Duplicate Booking","Unique")</f>
        <v>Unique</v>
      </c>
      <c r="W1721" s="9" t="str">
        <f aca="false">IF((H1721-G1721)&lt;&gt;K1721,"Mismatch","OK")</f>
        <v>OK</v>
      </c>
      <c r="X1721" s="9" t="str">
        <f aca="false">IF(TEXT(H1721,"dddd")&lt;&gt;I1721,"Mismatch","OK")</f>
        <v>OK</v>
      </c>
      <c r="Y1721" s="9" t="str">
        <f aca="false">IF(AND(N1721="No",O1721&lt;&gt;""),"Unexpected: channel present but no reminder sent",IF(AND(N1721="Yes",O1721=""),"Missing channel for sent reminder","OK"))</f>
        <v>OK</v>
      </c>
    </row>
    <row r="1722" customFormat="false" ht="15" hidden="false" customHeight="false" outlineLevel="0" collapsed="false">
      <c r="A1722" s="7" t="s">
        <v>2905</v>
      </c>
      <c r="B1722" s="7" t="s">
        <v>2906</v>
      </c>
      <c r="C1722" s="7" t="s">
        <v>37</v>
      </c>
      <c r="D1722" s="7" t="n">
        <v>47</v>
      </c>
      <c r="E1722" s="7" t="s">
        <v>56</v>
      </c>
      <c r="F1722" s="7" t="s">
        <v>74</v>
      </c>
      <c r="G1722" s="8" t="n">
        <v>45654</v>
      </c>
      <c r="H1722" s="8" t="n">
        <v>45706</v>
      </c>
      <c r="I1722" s="7" t="s">
        <v>40</v>
      </c>
      <c r="J1722" s="7" t="s">
        <v>51</v>
      </c>
      <c r="K1722" s="7" t="n">
        <v>52</v>
      </c>
      <c r="L1722" s="7" t="n">
        <v>1</v>
      </c>
      <c r="M1722" s="7" t="n">
        <v>0</v>
      </c>
      <c r="N1722" s="7" t="s">
        <v>42</v>
      </c>
      <c r="O1722" s="7" t="s">
        <v>43</v>
      </c>
      <c r="P1722" s="7" t="n">
        <v>2.7</v>
      </c>
      <c r="Q1722" s="7" t="n">
        <v>31</v>
      </c>
      <c r="R1722" s="7" t="s">
        <v>44</v>
      </c>
      <c r="S1722" s="7"/>
      <c r="T1722" s="7"/>
      <c r="U1722" s="7" t="str">
        <f aca="false">IF(COUNTIF($A$2:$A$5001,A1722)&gt;1,"Duplicate","Unique")</f>
        <v>Unique</v>
      </c>
      <c r="V1722" s="7" t="str">
        <f aca="false">IF(COUNTIFS($B$2:$B$5001,B1722,$H$2:$H$5001,H1722,$J$2:$J$5001,J1722)&gt;1,"Possible Duplicate Booking","Unique")</f>
        <v>Unique</v>
      </c>
      <c r="W1722" s="7" t="str">
        <f aca="false">IF((H1722-G1722)&lt;&gt;K1722,"Mismatch","OK")</f>
        <v>OK</v>
      </c>
      <c r="X1722" s="7" t="str">
        <f aca="false">IF(TEXT(H1722,"dddd")&lt;&gt;I1722,"Mismatch","OK")</f>
        <v>OK</v>
      </c>
      <c r="Y1722" s="7" t="str">
        <f aca="false">IF(AND(N1722="No",O1722&lt;&gt;""),"Unexpected: channel present but no reminder sent",IF(AND(N1722="Yes",O1722=""),"Missing channel for sent reminder","OK"))</f>
        <v>OK</v>
      </c>
    </row>
    <row r="1723" customFormat="false" ht="15" hidden="false" customHeight="false" outlineLevel="0" collapsed="false">
      <c r="A1723" s="9" t="s">
        <v>2907</v>
      </c>
      <c r="B1723" s="9" t="s">
        <v>2908</v>
      </c>
      <c r="C1723" s="9" t="s">
        <v>37</v>
      </c>
      <c r="D1723" s="9" t="n">
        <v>55</v>
      </c>
      <c r="E1723" s="9" t="s">
        <v>61</v>
      </c>
      <c r="F1723" s="9" t="s">
        <v>57</v>
      </c>
      <c r="G1723" s="10" t="n">
        <v>46043</v>
      </c>
      <c r="H1723" s="10" t="n">
        <v>46062</v>
      </c>
      <c r="I1723" s="9" t="s">
        <v>66</v>
      </c>
      <c r="J1723" s="9" t="s">
        <v>51</v>
      </c>
      <c r="K1723" s="9" t="n">
        <v>19</v>
      </c>
      <c r="L1723" s="9" t="n">
        <v>2</v>
      </c>
      <c r="M1723" s="9" t="n">
        <v>0</v>
      </c>
      <c r="N1723" s="9" t="s">
        <v>42</v>
      </c>
      <c r="O1723" s="9" t="s">
        <v>52</v>
      </c>
      <c r="P1723" s="9" t="n">
        <v>14.8</v>
      </c>
      <c r="Q1723" s="9" t="n">
        <v>28</v>
      </c>
      <c r="R1723" s="9" t="s">
        <v>44</v>
      </c>
      <c r="S1723" s="9"/>
      <c r="T1723" s="9"/>
      <c r="U1723" s="9" t="str">
        <f aca="false">IF(COUNTIF($A$2:$A$5001,A1723)&gt;1,"Duplicate","Unique")</f>
        <v>Unique</v>
      </c>
      <c r="V1723" s="9" t="str">
        <f aca="false">IF(COUNTIFS($B$2:$B$5001,B1723,$H$2:$H$5001,H1723,$J$2:$J$5001,J1723)&gt;1,"Possible Duplicate Booking","Unique")</f>
        <v>Unique</v>
      </c>
      <c r="W1723" s="9" t="str">
        <f aca="false">IF((H1723-G1723)&lt;&gt;K1723,"Mismatch","OK")</f>
        <v>OK</v>
      </c>
      <c r="X1723" s="9" t="str">
        <f aca="false">IF(TEXT(H1723,"dddd")&lt;&gt;I1723,"Mismatch","OK")</f>
        <v>OK</v>
      </c>
      <c r="Y1723" s="9" t="str">
        <f aca="false">IF(AND(N1723="No",O1723&lt;&gt;""),"Unexpected: channel present but no reminder sent",IF(AND(N1723="Yes",O1723=""),"Missing channel for sent reminder","OK"))</f>
        <v>OK</v>
      </c>
    </row>
    <row r="1724" customFormat="false" ht="15" hidden="false" customHeight="false" outlineLevel="0" collapsed="false">
      <c r="A1724" s="7" t="s">
        <v>2909</v>
      </c>
      <c r="B1724" s="7" t="s">
        <v>2910</v>
      </c>
      <c r="C1724" s="7" t="s">
        <v>37</v>
      </c>
      <c r="D1724" s="7" t="n">
        <v>53</v>
      </c>
      <c r="E1724" s="7" t="s">
        <v>56</v>
      </c>
      <c r="F1724" s="7" t="s">
        <v>57</v>
      </c>
      <c r="G1724" s="8" t="n">
        <v>46004</v>
      </c>
      <c r="H1724" s="8" t="n">
        <v>46014</v>
      </c>
      <c r="I1724" s="7" t="s">
        <v>40</v>
      </c>
      <c r="J1724" s="7" t="s">
        <v>41</v>
      </c>
      <c r="K1724" s="7" t="n">
        <v>10</v>
      </c>
      <c r="L1724" s="7" t="n">
        <v>3</v>
      </c>
      <c r="M1724" s="7" t="n">
        <v>0</v>
      </c>
      <c r="N1724" s="7" t="s">
        <v>42</v>
      </c>
      <c r="O1724" s="7" t="s">
        <v>43</v>
      </c>
      <c r="P1724" s="7" t="n">
        <v>10.4</v>
      </c>
      <c r="Q1724" s="7" t="n">
        <v>28</v>
      </c>
      <c r="R1724" s="7" t="s">
        <v>44</v>
      </c>
      <c r="S1724" s="7"/>
      <c r="T1724" s="7"/>
      <c r="U1724" s="7" t="str">
        <f aca="false">IF(COUNTIF($A$2:$A$5001,A1724)&gt;1,"Duplicate","Unique")</f>
        <v>Unique</v>
      </c>
      <c r="V1724" s="7" t="str">
        <f aca="false">IF(COUNTIFS($B$2:$B$5001,B1724,$H$2:$H$5001,H1724,$J$2:$J$5001,J1724)&gt;1,"Possible Duplicate Booking","Unique")</f>
        <v>Unique</v>
      </c>
      <c r="W1724" s="7" t="str">
        <f aca="false">IF((H1724-G1724)&lt;&gt;K1724,"Mismatch","OK")</f>
        <v>OK</v>
      </c>
      <c r="X1724" s="7" t="str">
        <f aca="false">IF(TEXT(H1724,"dddd")&lt;&gt;I1724,"Mismatch","OK")</f>
        <v>OK</v>
      </c>
      <c r="Y1724" s="7" t="str">
        <f aca="false">IF(AND(N1724="No",O1724&lt;&gt;""),"Unexpected: channel present but no reminder sent",IF(AND(N1724="Yes",O1724=""),"Missing channel for sent reminder","OK"))</f>
        <v>OK</v>
      </c>
    </row>
    <row r="1725" customFormat="false" ht="15" hidden="false" customHeight="false" outlineLevel="0" collapsed="false">
      <c r="A1725" s="9" t="s">
        <v>2911</v>
      </c>
      <c r="B1725" s="9" t="s">
        <v>1923</v>
      </c>
      <c r="C1725" s="9" t="s">
        <v>47</v>
      </c>
      <c r="D1725" s="9" t="n">
        <v>19</v>
      </c>
      <c r="E1725" s="9" t="s">
        <v>82</v>
      </c>
      <c r="F1725" s="9" t="s">
        <v>39</v>
      </c>
      <c r="G1725" s="10" t="n">
        <v>46036</v>
      </c>
      <c r="H1725" s="10" t="n">
        <v>46057</v>
      </c>
      <c r="I1725" s="9" t="s">
        <v>58</v>
      </c>
      <c r="J1725" s="9" t="s">
        <v>63</v>
      </c>
      <c r="K1725" s="9" t="n">
        <v>21</v>
      </c>
      <c r="L1725" s="9" t="n">
        <v>5</v>
      </c>
      <c r="M1725" s="9" t="n">
        <v>2</v>
      </c>
      <c r="N1725" s="9" t="s">
        <v>71</v>
      </c>
      <c r="O1725" s="9"/>
      <c r="P1725" s="9" t="n">
        <v>10.4</v>
      </c>
      <c r="Q1725" s="9" t="n">
        <v>40</v>
      </c>
      <c r="R1725" s="9" t="s">
        <v>44</v>
      </c>
      <c r="S1725" s="9"/>
      <c r="T1725" s="9"/>
      <c r="U1725" s="9" t="str">
        <f aca="false">IF(COUNTIF($A$2:$A$5001,A1725)&gt;1,"Duplicate","Unique")</f>
        <v>Unique</v>
      </c>
      <c r="V1725" s="9" t="str">
        <f aca="false">IF(COUNTIFS($B$2:$B$5001,B1725,$H$2:$H$5001,H1725,$J$2:$J$5001,J1725)&gt;1,"Possible Duplicate Booking","Unique")</f>
        <v>Unique</v>
      </c>
      <c r="W1725" s="9" t="str">
        <f aca="false">IF((H1725-G1725)&lt;&gt;K1725,"Mismatch","OK")</f>
        <v>OK</v>
      </c>
      <c r="X1725" s="9" t="str">
        <f aca="false">IF(TEXT(H1725,"dddd")&lt;&gt;I1725,"Mismatch","OK")</f>
        <v>OK</v>
      </c>
      <c r="Y1725" s="9" t="str">
        <f aca="false">IF(AND(N1725="No",O1725&lt;&gt;""),"Unexpected: channel present but no reminder sent",IF(AND(N1725="Yes",O1725=""),"Missing channel for sent reminder","OK"))</f>
        <v>OK</v>
      </c>
    </row>
    <row r="1726" customFormat="false" ht="15" hidden="false" customHeight="false" outlineLevel="0" collapsed="false">
      <c r="A1726" s="7" t="s">
        <v>2912</v>
      </c>
      <c r="B1726" s="7" t="s">
        <v>2913</v>
      </c>
      <c r="C1726" s="7" t="s">
        <v>37</v>
      </c>
      <c r="D1726" s="7" t="n">
        <v>36</v>
      </c>
      <c r="E1726" s="7" t="s">
        <v>38</v>
      </c>
      <c r="F1726" s="7" t="s">
        <v>57</v>
      </c>
      <c r="G1726" s="8" t="n">
        <v>45933</v>
      </c>
      <c r="H1726" s="8" t="n">
        <v>45949</v>
      </c>
      <c r="I1726" s="7" t="s">
        <v>75</v>
      </c>
      <c r="J1726" s="7" t="s">
        <v>51</v>
      </c>
      <c r="K1726" s="7" t="n">
        <v>16</v>
      </c>
      <c r="L1726" s="7" t="n">
        <v>4</v>
      </c>
      <c r="M1726" s="7" t="n">
        <v>0</v>
      </c>
      <c r="N1726" s="7" t="s">
        <v>42</v>
      </c>
      <c r="O1726" s="7" t="s">
        <v>52</v>
      </c>
      <c r="P1726" s="7" t="n">
        <v>13.4</v>
      </c>
      <c r="Q1726" s="7" t="n">
        <v>23</v>
      </c>
      <c r="R1726" s="7" t="s">
        <v>44</v>
      </c>
      <c r="S1726" s="7"/>
      <c r="T1726" s="7"/>
      <c r="U1726" s="7" t="str">
        <f aca="false">IF(COUNTIF($A$2:$A$5001,A1726)&gt;1,"Duplicate","Unique")</f>
        <v>Unique</v>
      </c>
      <c r="V1726" s="7" t="str">
        <f aca="false">IF(COUNTIFS($B$2:$B$5001,B1726,$H$2:$H$5001,H1726,$J$2:$J$5001,J1726)&gt;1,"Possible Duplicate Booking","Unique")</f>
        <v>Unique</v>
      </c>
      <c r="W1726" s="7" t="str">
        <f aca="false">IF((H1726-G1726)&lt;&gt;K1726,"Mismatch","OK")</f>
        <v>OK</v>
      </c>
      <c r="X1726" s="7" t="str">
        <f aca="false">IF(TEXT(H1726,"dddd")&lt;&gt;I1726,"Mismatch","OK")</f>
        <v>OK</v>
      </c>
      <c r="Y1726" s="7" t="str">
        <f aca="false">IF(AND(N1726="No",O1726&lt;&gt;""),"Unexpected: channel present but no reminder sent",IF(AND(N1726="Yes",O1726=""),"Missing channel for sent reminder","OK"))</f>
        <v>OK</v>
      </c>
    </row>
    <row r="1727" customFormat="false" ht="15" hidden="false" customHeight="false" outlineLevel="0" collapsed="false">
      <c r="A1727" s="9" t="s">
        <v>2914</v>
      </c>
      <c r="B1727" s="9" t="s">
        <v>2915</v>
      </c>
      <c r="C1727" s="9" t="s">
        <v>47</v>
      </c>
      <c r="D1727" s="9" t="n">
        <v>58</v>
      </c>
      <c r="E1727" s="9" t="s">
        <v>61</v>
      </c>
      <c r="F1727" s="9" t="s">
        <v>49</v>
      </c>
      <c r="G1727" s="10" t="n">
        <v>46050</v>
      </c>
      <c r="H1727" s="10" t="n">
        <v>46085</v>
      </c>
      <c r="I1727" s="9" t="s">
        <v>58</v>
      </c>
      <c r="J1727" s="9" t="s">
        <v>63</v>
      </c>
      <c r="K1727" s="9" t="n">
        <v>35</v>
      </c>
      <c r="L1727" s="9" t="n">
        <v>2</v>
      </c>
      <c r="M1727" s="9" t="n">
        <v>1</v>
      </c>
      <c r="N1727" s="9" t="s">
        <v>42</v>
      </c>
      <c r="O1727" s="9" t="s">
        <v>52</v>
      </c>
      <c r="P1727" s="9" t="n">
        <v>10.6</v>
      </c>
      <c r="Q1727" s="9" t="n">
        <v>34</v>
      </c>
      <c r="R1727" s="9" t="s">
        <v>44</v>
      </c>
      <c r="S1727" s="9"/>
      <c r="T1727" s="9"/>
      <c r="U1727" s="9" t="str">
        <f aca="false">IF(COUNTIF($A$2:$A$5001,A1727)&gt;1,"Duplicate","Unique")</f>
        <v>Unique</v>
      </c>
      <c r="V1727" s="9" t="str">
        <f aca="false">IF(COUNTIFS($B$2:$B$5001,B1727,$H$2:$H$5001,H1727,$J$2:$J$5001,J1727)&gt;1,"Possible Duplicate Booking","Unique")</f>
        <v>Unique</v>
      </c>
      <c r="W1727" s="9" t="str">
        <f aca="false">IF((H1727-G1727)&lt;&gt;K1727,"Mismatch","OK")</f>
        <v>OK</v>
      </c>
      <c r="X1727" s="9" t="str">
        <f aca="false">IF(TEXT(H1727,"dddd")&lt;&gt;I1727,"Mismatch","OK")</f>
        <v>OK</v>
      </c>
      <c r="Y1727" s="9" t="str">
        <f aca="false">IF(AND(N1727="No",O1727&lt;&gt;""),"Unexpected: channel present but no reminder sent",IF(AND(N1727="Yes",O1727=""),"Missing channel for sent reminder","OK"))</f>
        <v>OK</v>
      </c>
    </row>
    <row r="1728" customFormat="false" ht="15" hidden="false" customHeight="false" outlineLevel="0" collapsed="false">
      <c r="A1728" s="7" t="s">
        <v>2916</v>
      </c>
      <c r="B1728" s="7" t="s">
        <v>1708</v>
      </c>
      <c r="C1728" s="7" t="s">
        <v>37</v>
      </c>
      <c r="D1728" s="7" t="n">
        <v>61</v>
      </c>
      <c r="E1728" s="7" t="s">
        <v>61</v>
      </c>
      <c r="F1728" s="7" t="s">
        <v>74</v>
      </c>
      <c r="G1728" s="8" t="n">
        <v>46124</v>
      </c>
      <c r="H1728" s="8" t="n">
        <v>46176</v>
      </c>
      <c r="I1728" s="7" t="s">
        <v>58</v>
      </c>
      <c r="J1728" s="7" t="s">
        <v>51</v>
      </c>
      <c r="K1728" s="7" t="n">
        <v>52</v>
      </c>
      <c r="L1728" s="7" t="n">
        <v>9</v>
      </c>
      <c r="M1728" s="7" t="n">
        <v>1</v>
      </c>
      <c r="N1728" s="7" t="s">
        <v>71</v>
      </c>
      <c r="O1728" s="7"/>
      <c r="P1728" s="7" t="n">
        <v>20.9</v>
      </c>
      <c r="Q1728" s="7" t="n">
        <v>2</v>
      </c>
      <c r="R1728" s="7" t="s">
        <v>44</v>
      </c>
      <c r="S1728" s="7"/>
      <c r="T1728" s="7"/>
      <c r="U1728" s="7" t="str">
        <f aca="false">IF(COUNTIF($A$2:$A$5001,A1728)&gt;1,"Duplicate","Unique")</f>
        <v>Unique</v>
      </c>
      <c r="V1728" s="7" t="str">
        <f aca="false">IF(COUNTIFS($B$2:$B$5001,B1728,$H$2:$H$5001,H1728,$J$2:$J$5001,J1728)&gt;1,"Possible Duplicate Booking","Unique")</f>
        <v>Unique</v>
      </c>
      <c r="W1728" s="7" t="str">
        <f aca="false">IF((H1728-G1728)&lt;&gt;K1728,"Mismatch","OK")</f>
        <v>OK</v>
      </c>
      <c r="X1728" s="7" t="str">
        <f aca="false">IF(TEXT(H1728,"dddd")&lt;&gt;I1728,"Mismatch","OK")</f>
        <v>OK</v>
      </c>
      <c r="Y1728" s="7" t="str">
        <f aca="false">IF(AND(N1728="No",O1728&lt;&gt;""),"Unexpected: channel present but no reminder sent",IF(AND(N1728="Yes",O1728=""),"Missing channel for sent reminder","OK"))</f>
        <v>OK</v>
      </c>
    </row>
    <row r="1729" customFormat="false" ht="15" hidden="false" customHeight="false" outlineLevel="0" collapsed="false">
      <c r="A1729" s="9" t="s">
        <v>2917</v>
      </c>
      <c r="B1729" s="9" t="s">
        <v>2700</v>
      </c>
      <c r="C1729" s="9" t="s">
        <v>37</v>
      </c>
      <c r="D1729" s="9" t="n">
        <v>64</v>
      </c>
      <c r="E1729" s="9" t="s">
        <v>61</v>
      </c>
      <c r="F1729" s="9" t="s">
        <v>49</v>
      </c>
      <c r="G1729" s="10" t="n">
        <v>45933</v>
      </c>
      <c r="H1729" s="10" t="n">
        <v>45969</v>
      </c>
      <c r="I1729" s="9" t="s">
        <v>102</v>
      </c>
      <c r="J1729" s="9" t="s">
        <v>51</v>
      </c>
      <c r="K1729" s="9" t="n">
        <v>36</v>
      </c>
      <c r="L1729" s="9" t="n">
        <v>1</v>
      </c>
      <c r="M1729" s="9" t="n">
        <v>0</v>
      </c>
      <c r="N1729" s="9" t="s">
        <v>42</v>
      </c>
      <c r="O1729" s="9" t="s">
        <v>52</v>
      </c>
      <c r="P1729" s="9" t="n">
        <v>4.2</v>
      </c>
      <c r="Q1729" s="9" t="n">
        <v>23</v>
      </c>
      <c r="R1729" s="9" t="s">
        <v>44</v>
      </c>
      <c r="S1729" s="9"/>
      <c r="T1729" s="9"/>
      <c r="U1729" s="9" t="str">
        <f aca="false">IF(COUNTIF($A$2:$A$5001,A1729)&gt;1,"Duplicate","Unique")</f>
        <v>Unique</v>
      </c>
      <c r="V1729" s="9" t="str">
        <f aca="false">IF(COUNTIFS($B$2:$B$5001,B1729,$H$2:$H$5001,H1729,$J$2:$J$5001,J1729)&gt;1,"Possible Duplicate Booking","Unique")</f>
        <v>Unique</v>
      </c>
      <c r="W1729" s="9" t="str">
        <f aca="false">IF((H1729-G1729)&lt;&gt;K1729,"Mismatch","OK")</f>
        <v>OK</v>
      </c>
      <c r="X1729" s="9" t="str">
        <f aca="false">IF(TEXT(H1729,"dddd")&lt;&gt;I1729,"Mismatch","OK")</f>
        <v>OK</v>
      </c>
      <c r="Y1729" s="9" t="str">
        <f aca="false">IF(AND(N1729="No",O1729&lt;&gt;""),"Unexpected: channel present but no reminder sent",IF(AND(N1729="Yes",O1729=""),"Missing channel for sent reminder","OK"))</f>
        <v>OK</v>
      </c>
    </row>
    <row r="1730" customFormat="false" ht="15" hidden="false" customHeight="false" outlineLevel="0" collapsed="false">
      <c r="A1730" s="7" t="s">
        <v>2918</v>
      </c>
      <c r="B1730" s="7" t="s">
        <v>455</v>
      </c>
      <c r="C1730" s="7" t="s">
        <v>47</v>
      </c>
      <c r="D1730" s="7" t="n">
        <v>80</v>
      </c>
      <c r="E1730" s="7" t="s">
        <v>70</v>
      </c>
      <c r="F1730" s="7" t="s">
        <v>49</v>
      </c>
      <c r="G1730" s="8" t="n">
        <v>45893</v>
      </c>
      <c r="H1730" s="8" t="n">
        <v>45900</v>
      </c>
      <c r="I1730" s="7" t="s">
        <v>75</v>
      </c>
      <c r="J1730" s="7" t="s">
        <v>41</v>
      </c>
      <c r="K1730" s="7" t="n">
        <v>7</v>
      </c>
      <c r="L1730" s="7" t="n">
        <v>8</v>
      </c>
      <c r="M1730" s="7" t="n">
        <v>2</v>
      </c>
      <c r="N1730" s="7" t="s">
        <v>42</v>
      </c>
      <c r="O1730" s="7" t="s">
        <v>43</v>
      </c>
      <c r="P1730" s="7" t="n">
        <v>3.2</v>
      </c>
      <c r="Q1730" s="7" t="n">
        <v>21</v>
      </c>
      <c r="R1730" s="7" t="s">
        <v>44</v>
      </c>
      <c r="S1730" s="7"/>
      <c r="T1730" s="7"/>
      <c r="U1730" s="7" t="str">
        <f aca="false">IF(COUNTIF($A$2:$A$5001,A1730)&gt;1,"Duplicate","Unique")</f>
        <v>Unique</v>
      </c>
      <c r="V1730" s="7" t="str">
        <f aca="false">IF(COUNTIFS($B$2:$B$5001,B1730,$H$2:$H$5001,H1730,$J$2:$J$5001,J1730)&gt;1,"Possible Duplicate Booking","Unique")</f>
        <v>Unique</v>
      </c>
      <c r="W1730" s="7" t="str">
        <f aca="false">IF((H1730-G1730)&lt;&gt;K1730,"Mismatch","OK")</f>
        <v>OK</v>
      </c>
      <c r="X1730" s="7" t="str">
        <f aca="false">IF(TEXT(H1730,"dddd")&lt;&gt;I1730,"Mismatch","OK")</f>
        <v>OK</v>
      </c>
      <c r="Y1730" s="7" t="str">
        <f aca="false">IF(AND(N1730="No",O1730&lt;&gt;""),"Unexpected: channel present but no reminder sent",IF(AND(N1730="Yes",O1730=""),"Missing channel for sent reminder","OK"))</f>
        <v>OK</v>
      </c>
    </row>
    <row r="1731" customFormat="false" ht="15" hidden="false" customHeight="false" outlineLevel="0" collapsed="false">
      <c r="A1731" s="9" t="s">
        <v>2919</v>
      </c>
      <c r="B1731" s="9" t="s">
        <v>2920</v>
      </c>
      <c r="C1731" s="9" t="s">
        <v>37</v>
      </c>
      <c r="D1731" s="9" t="n">
        <v>60</v>
      </c>
      <c r="E1731" s="9" t="s">
        <v>61</v>
      </c>
      <c r="F1731" s="9" t="s">
        <v>57</v>
      </c>
      <c r="G1731" s="10" t="n">
        <v>45696</v>
      </c>
      <c r="H1731" s="10" t="n">
        <v>45715</v>
      </c>
      <c r="I1731" s="9" t="s">
        <v>62</v>
      </c>
      <c r="J1731" s="9" t="s">
        <v>51</v>
      </c>
      <c r="K1731" s="9" t="n">
        <v>19</v>
      </c>
      <c r="L1731" s="9" t="n">
        <v>4</v>
      </c>
      <c r="M1731" s="9" t="n">
        <v>1</v>
      </c>
      <c r="N1731" s="9" t="s">
        <v>42</v>
      </c>
      <c r="O1731" s="9" t="s">
        <v>52</v>
      </c>
      <c r="P1731" s="9" t="n">
        <v>21.3</v>
      </c>
      <c r="Q1731" s="9" t="n">
        <v>18</v>
      </c>
      <c r="R1731" s="9" t="s">
        <v>53</v>
      </c>
      <c r="S1731" s="9"/>
      <c r="T1731" s="9"/>
      <c r="U1731" s="9" t="str">
        <f aca="false">IF(COUNTIF($A$2:$A$5001,A1731)&gt;1,"Duplicate","Unique")</f>
        <v>Unique</v>
      </c>
      <c r="V1731" s="9" t="str">
        <f aca="false">IF(COUNTIFS($B$2:$B$5001,B1731,$H$2:$H$5001,H1731,$J$2:$J$5001,J1731)&gt;1,"Possible Duplicate Booking","Unique")</f>
        <v>Unique</v>
      </c>
      <c r="W1731" s="9" t="str">
        <f aca="false">IF((H1731-G1731)&lt;&gt;K1731,"Mismatch","OK")</f>
        <v>OK</v>
      </c>
      <c r="X1731" s="9" t="str">
        <f aca="false">IF(TEXT(H1731,"dddd")&lt;&gt;I1731,"Mismatch","OK")</f>
        <v>OK</v>
      </c>
      <c r="Y1731" s="9" t="str">
        <f aca="false">IF(AND(N1731="No",O1731&lt;&gt;""),"Unexpected: channel present but no reminder sent",IF(AND(N1731="Yes",O1731=""),"Missing channel for sent reminder","OK"))</f>
        <v>OK</v>
      </c>
    </row>
    <row r="1732" customFormat="false" ht="15" hidden="false" customHeight="false" outlineLevel="0" collapsed="false">
      <c r="A1732" s="7" t="s">
        <v>2921</v>
      </c>
      <c r="B1732" s="7" t="s">
        <v>2922</v>
      </c>
      <c r="C1732" s="7" t="s">
        <v>47</v>
      </c>
      <c r="D1732" s="7" t="n">
        <v>54</v>
      </c>
      <c r="E1732" s="7" t="s">
        <v>56</v>
      </c>
      <c r="F1732" s="7" t="s">
        <v>57</v>
      </c>
      <c r="G1732" s="8" t="n">
        <v>46041</v>
      </c>
      <c r="H1732" s="8" t="n">
        <v>46083</v>
      </c>
      <c r="I1732" s="7" t="s">
        <v>66</v>
      </c>
      <c r="J1732" s="7" t="s">
        <v>63</v>
      </c>
      <c r="K1732" s="7" t="n">
        <v>42</v>
      </c>
      <c r="L1732" s="7" t="n">
        <v>4</v>
      </c>
      <c r="M1732" s="7" t="n">
        <v>0</v>
      </c>
      <c r="N1732" s="7" t="s">
        <v>42</v>
      </c>
      <c r="O1732" s="7" t="s">
        <v>52</v>
      </c>
      <c r="P1732" s="7" t="n">
        <v>10.6</v>
      </c>
      <c r="Q1732" s="7" t="n">
        <v>32</v>
      </c>
      <c r="R1732" s="7" t="s">
        <v>87</v>
      </c>
      <c r="S1732" s="7"/>
      <c r="T1732" s="7"/>
      <c r="U1732" s="7" t="str">
        <f aca="false">IF(COUNTIF($A$2:$A$5001,A1732)&gt;1,"Duplicate","Unique")</f>
        <v>Unique</v>
      </c>
      <c r="V1732" s="7" t="str">
        <f aca="false">IF(COUNTIFS($B$2:$B$5001,B1732,$H$2:$H$5001,H1732,$J$2:$J$5001,J1732)&gt;1,"Possible Duplicate Booking","Unique")</f>
        <v>Unique</v>
      </c>
      <c r="W1732" s="7" t="str">
        <f aca="false">IF((H1732-G1732)&lt;&gt;K1732,"Mismatch","OK")</f>
        <v>OK</v>
      </c>
      <c r="X1732" s="7" t="str">
        <f aca="false">IF(TEXT(H1732,"dddd")&lt;&gt;I1732,"Mismatch","OK")</f>
        <v>OK</v>
      </c>
      <c r="Y1732" s="7" t="str">
        <f aca="false">IF(AND(N1732="No",O1732&lt;&gt;""),"Unexpected: channel present but no reminder sent",IF(AND(N1732="Yes",O1732=""),"Missing channel for sent reminder","OK"))</f>
        <v>OK</v>
      </c>
    </row>
    <row r="1733" customFormat="false" ht="15" hidden="false" customHeight="false" outlineLevel="0" collapsed="false">
      <c r="A1733" s="9" t="s">
        <v>2923</v>
      </c>
      <c r="B1733" s="9" t="s">
        <v>2444</v>
      </c>
      <c r="C1733" s="9" t="s">
        <v>47</v>
      </c>
      <c r="D1733" s="9" t="n">
        <v>38</v>
      </c>
      <c r="E1733" s="9" t="s">
        <v>38</v>
      </c>
      <c r="F1733" s="9" t="s">
        <v>49</v>
      </c>
      <c r="G1733" s="10" t="n">
        <v>46131</v>
      </c>
      <c r="H1733" s="10" t="n">
        <v>46151</v>
      </c>
      <c r="I1733" s="9" t="s">
        <v>102</v>
      </c>
      <c r="J1733" s="9" t="s">
        <v>51</v>
      </c>
      <c r="K1733" s="9" t="n">
        <v>20</v>
      </c>
      <c r="L1733" s="9" t="n">
        <v>4</v>
      </c>
      <c r="M1733" s="9" t="n">
        <v>0</v>
      </c>
      <c r="N1733" s="9" t="s">
        <v>42</v>
      </c>
      <c r="O1733" s="9" t="s">
        <v>43</v>
      </c>
      <c r="P1733" s="9" t="n">
        <v>11.4</v>
      </c>
      <c r="Q1733" s="9" t="n">
        <v>23</v>
      </c>
      <c r="R1733" s="9" t="s">
        <v>53</v>
      </c>
      <c r="S1733" s="9"/>
      <c r="T1733" s="9"/>
      <c r="U1733" s="9" t="str">
        <f aca="false">IF(COUNTIF($A$2:$A$5001,A1733)&gt;1,"Duplicate","Unique")</f>
        <v>Unique</v>
      </c>
      <c r="V1733" s="9" t="str">
        <f aca="false">IF(COUNTIFS($B$2:$B$5001,B1733,$H$2:$H$5001,H1733,$J$2:$J$5001,J1733)&gt;1,"Possible Duplicate Booking","Unique")</f>
        <v>Unique</v>
      </c>
      <c r="W1733" s="9" t="str">
        <f aca="false">IF((H1733-G1733)&lt;&gt;K1733,"Mismatch","OK")</f>
        <v>OK</v>
      </c>
      <c r="X1733" s="9" t="str">
        <f aca="false">IF(TEXT(H1733,"dddd")&lt;&gt;I1733,"Mismatch","OK")</f>
        <v>OK</v>
      </c>
      <c r="Y1733" s="9" t="str">
        <f aca="false">IF(AND(N1733="No",O1733&lt;&gt;""),"Unexpected: channel present but no reminder sent",IF(AND(N1733="Yes",O1733=""),"Missing channel for sent reminder","OK"))</f>
        <v>OK</v>
      </c>
    </row>
    <row r="1734" customFormat="false" ht="15" hidden="false" customHeight="false" outlineLevel="0" collapsed="false">
      <c r="A1734" s="7" t="s">
        <v>2924</v>
      </c>
      <c r="B1734" s="7" t="s">
        <v>328</v>
      </c>
      <c r="C1734" s="7" t="s">
        <v>47</v>
      </c>
      <c r="D1734" s="7" t="n">
        <v>41</v>
      </c>
      <c r="E1734" s="7" t="s">
        <v>38</v>
      </c>
      <c r="F1734" s="7" t="s">
        <v>39</v>
      </c>
      <c r="G1734" s="8" t="n">
        <v>46004</v>
      </c>
      <c r="H1734" s="8" t="n">
        <v>46039</v>
      </c>
      <c r="I1734" s="7" t="s">
        <v>102</v>
      </c>
      <c r="J1734" s="7" t="s">
        <v>41</v>
      </c>
      <c r="K1734" s="7" t="n">
        <v>35</v>
      </c>
      <c r="L1734" s="7" t="n">
        <v>4</v>
      </c>
      <c r="M1734" s="7" t="n">
        <v>0</v>
      </c>
      <c r="N1734" s="7" t="s">
        <v>42</v>
      </c>
      <c r="O1734" s="7" t="s">
        <v>43</v>
      </c>
      <c r="P1734" s="7" t="n">
        <v>3.9</v>
      </c>
      <c r="Q1734" s="7" t="n">
        <v>22</v>
      </c>
      <c r="R1734" s="7" t="s">
        <v>53</v>
      </c>
      <c r="S1734" s="7"/>
      <c r="T1734" s="7"/>
      <c r="U1734" s="7" t="str">
        <f aca="false">IF(COUNTIF($A$2:$A$5001,A1734)&gt;1,"Duplicate","Unique")</f>
        <v>Unique</v>
      </c>
      <c r="V1734" s="7" t="str">
        <f aca="false">IF(COUNTIFS($B$2:$B$5001,B1734,$H$2:$H$5001,H1734,$J$2:$J$5001,J1734)&gt;1,"Possible Duplicate Booking","Unique")</f>
        <v>Unique</v>
      </c>
      <c r="W1734" s="7" t="str">
        <f aca="false">IF((H1734-G1734)&lt;&gt;K1734,"Mismatch","OK")</f>
        <v>OK</v>
      </c>
      <c r="X1734" s="7" t="str">
        <f aca="false">IF(TEXT(H1734,"dddd")&lt;&gt;I1734,"Mismatch","OK")</f>
        <v>OK</v>
      </c>
      <c r="Y1734" s="7" t="str">
        <f aca="false">IF(AND(N1734="No",O1734&lt;&gt;""),"Unexpected: channel present but no reminder sent",IF(AND(N1734="Yes",O1734=""),"Missing channel for sent reminder","OK"))</f>
        <v>OK</v>
      </c>
    </row>
    <row r="1735" customFormat="false" ht="15" hidden="false" customHeight="false" outlineLevel="0" collapsed="false">
      <c r="A1735" s="9" t="s">
        <v>2925</v>
      </c>
      <c r="B1735" s="9" t="s">
        <v>2555</v>
      </c>
      <c r="C1735" s="9" t="s">
        <v>47</v>
      </c>
      <c r="D1735" s="9" t="n">
        <v>70</v>
      </c>
      <c r="E1735" s="9" t="s">
        <v>70</v>
      </c>
      <c r="F1735" s="9" t="s">
        <v>74</v>
      </c>
      <c r="G1735" s="10" t="n">
        <v>46088</v>
      </c>
      <c r="H1735" s="10" t="n">
        <v>46130</v>
      </c>
      <c r="I1735" s="9" t="s">
        <v>102</v>
      </c>
      <c r="J1735" s="9" t="s">
        <v>51</v>
      </c>
      <c r="K1735" s="9" t="n">
        <v>42</v>
      </c>
      <c r="L1735" s="9" t="n">
        <v>5</v>
      </c>
      <c r="M1735" s="9" t="n">
        <v>2</v>
      </c>
      <c r="N1735" s="9" t="s">
        <v>71</v>
      </c>
      <c r="O1735" s="9"/>
      <c r="P1735" s="9" t="n">
        <v>11</v>
      </c>
      <c r="Q1735" s="9" t="n">
        <v>15</v>
      </c>
      <c r="R1735" s="9" t="s">
        <v>44</v>
      </c>
      <c r="S1735" s="9"/>
      <c r="T1735" s="9"/>
      <c r="U1735" s="9" t="str">
        <f aca="false">IF(COUNTIF($A$2:$A$5001,A1735)&gt;1,"Duplicate","Unique")</f>
        <v>Unique</v>
      </c>
      <c r="V1735" s="9" t="str">
        <f aca="false">IF(COUNTIFS($B$2:$B$5001,B1735,$H$2:$H$5001,H1735,$J$2:$J$5001,J1735)&gt;1,"Possible Duplicate Booking","Unique")</f>
        <v>Unique</v>
      </c>
      <c r="W1735" s="9" t="str">
        <f aca="false">IF((H1735-G1735)&lt;&gt;K1735,"Mismatch","OK")</f>
        <v>OK</v>
      </c>
      <c r="X1735" s="9" t="str">
        <f aca="false">IF(TEXT(H1735,"dddd")&lt;&gt;I1735,"Mismatch","OK")</f>
        <v>OK</v>
      </c>
      <c r="Y1735" s="9" t="str">
        <f aca="false">IF(AND(N1735="No",O1735&lt;&gt;""),"Unexpected: channel present but no reminder sent",IF(AND(N1735="Yes",O1735=""),"Missing channel for sent reminder","OK"))</f>
        <v>OK</v>
      </c>
    </row>
    <row r="1736" customFormat="false" ht="15" hidden="false" customHeight="false" outlineLevel="0" collapsed="false">
      <c r="A1736" s="7" t="s">
        <v>2926</v>
      </c>
      <c r="B1736" s="7" t="s">
        <v>2927</v>
      </c>
      <c r="C1736" s="7" t="s">
        <v>47</v>
      </c>
      <c r="D1736" s="7" t="n">
        <v>47</v>
      </c>
      <c r="E1736" s="7" t="s">
        <v>56</v>
      </c>
      <c r="F1736" s="7" t="s">
        <v>57</v>
      </c>
      <c r="G1736" s="8" t="n">
        <v>46108</v>
      </c>
      <c r="H1736" s="8" t="n">
        <v>46128</v>
      </c>
      <c r="I1736" s="7" t="s">
        <v>62</v>
      </c>
      <c r="J1736" s="7" t="s">
        <v>51</v>
      </c>
      <c r="K1736" s="7" t="n">
        <v>20</v>
      </c>
      <c r="L1736" s="7" t="n">
        <v>4</v>
      </c>
      <c r="M1736" s="7" t="n">
        <v>2</v>
      </c>
      <c r="N1736" s="7" t="s">
        <v>71</v>
      </c>
      <c r="O1736" s="7"/>
      <c r="P1736" s="7" t="n">
        <v>7.6</v>
      </c>
      <c r="Q1736" s="7" t="n">
        <v>20</v>
      </c>
      <c r="R1736" s="7" t="s">
        <v>44</v>
      </c>
      <c r="S1736" s="7"/>
      <c r="T1736" s="7"/>
      <c r="U1736" s="7" t="str">
        <f aca="false">IF(COUNTIF($A$2:$A$5001,A1736)&gt;1,"Duplicate","Unique")</f>
        <v>Unique</v>
      </c>
      <c r="V1736" s="7" t="str">
        <f aca="false">IF(COUNTIFS($B$2:$B$5001,B1736,$H$2:$H$5001,H1736,$J$2:$J$5001,J1736)&gt;1,"Possible Duplicate Booking","Unique")</f>
        <v>Unique</v>
      </c>
      <c r="W1736" s="7" t="str">
        <f aca="false">IF((H1736-G1736)&lt;&gt;K1736,"Mismatch","OK")</f>
        <v>OK</v>
      </c>
      <c r="X1736" s="7" t="str">
        <f aca="false">IF(TEXT(H1736,"dddd")&lt;&gt;I1736,"Mismatch","OK")</f>
        <v>OK</v>
      </c>
      <c r="Y1736" s="7" t="str">
        <f aca="false">IF(AND(N1736="No",O1736&lt;&gt;""),"Unexpected: channel present but no reminder sent",IF(AND(N1736="Yes",O1736=""),"Missing channel for sent reminder","OK"))</f>
        <v>OK</v>
      </c>
    </row>
    <row r="1737" customFormat="false" ht="15" hidden="false" customHeight="false" outlineLevel="0" collapsed="false">
      <c r="A1737" s="9" t="s">
        <v>2928</v>
      </c>
      <c r="B1737" s="9" t="s">
        <v>2929</v>
      </c>
      <c r="C1737" s="9" t="s">
        <v>37</v>
      </c>
      <c r="D1737" s="9" t="n">
        <v>63</v>
      </c>
      <c r="E1737" s="9" t="s">
        <v>61</v>
      </c>
      <c r="F1737" s="9" t="s">
        <v>57</v>
      </c>
      <c r="G1737" s="10" t="n">
        <v>46054</v>
      </c>
      <c r="H1737" s="10" t="n">
        <v>46093</v>
      </c>
      <c r="I1737" s="9" t="s">
        <v>62</v>
      </c>
      <c r="J1737" s="9" t="s">
        <v>51</v>
      </c>
      <c r="K1737" s="9" t="n">
        <v>39</v>
      </c>
      <c r="L1737" s="9" t="n">
        <v>2</v>
      </c>
      <c r="M1737" s="9" t="n">
        <v>0</v>
      </c>
      <c r="N1737" s="9" t="s">
        <v>42</v>
      </c>
      <c r="O1737" s="9" t="s">
        <v>43</v>
      </c>
      <c r="P1737" s="9" t="n">
        <v>12.5</v>
      </c>
      <c r="Q1737" s="9" t="n">
        <v>2</v>
      </c>
      <c r="R1737" s="9" t="s">
        <v>53</v>
      </c>
      <c r="S1737" s="9"/>
      <c r="T1737" s="9"/>
      <c r="U1737" s="9" t="str">
        <f aca="false">IF(COUNTIF($A$2:$A$5001,A1737)&gt;1,"Duplicate","Unique")</f>
        <v>Unique</v>
      </c>
      <c r="V1737" s="9" t="str">
        <f aca="false">IF(COUNTIFS($B$2:$B$5001,B1737,$H$2:$H$5001,H1737,$J$2:$J$5001,J1737)&gt;1,"Possible Duplicate Booking","Unique")</f>
        <v>Unique</v>
      </c>
      <c r="W1737" s="9" t="str">
        <f aca="false">IF((H1737-G1737)&lt;&gt;K1737,"Mismatch","OK")</f>
        <v>OK</v>
      </c>
      <c r="X1737" s="9" t="str">
        <f aca="false">IF(TEXT(H1737,"dddd")&lt;&gt;I1737,"Mismatch","OK")</f>
        <v>OK</v>
      </c>
      <c r="Y1737" s="9" t="str">
        <f aca="false">IF(AND(N1737="No",O1737&lt;&gt;""),"Unexpected: channel present but no reminder sent",IF(AND(N1737="Yes",O1737=""),"Missing channel for sent reminder","OK"))</f>
        <v>OK</v>
      </c>
    </row>
    <row r="1738" customFormat="false" ht="15" hidden="false" customHeight="false" outlineLevel="0" collapsed="false">
      <c r="A1738" s="7" t="s">
        <v>2930</v>
      </c>
      <c r="B1738" s="7" t="s">
        <v>805</v>
      </c>
      <c r="C1738" s="7" t="s">
        <v>47</v>
      </c>
      <c r="D1738" s="7" t="n">
        <v>25</v>
      </c>
      <c r="E1738" s="7" t="s">
        <v>48</v>
      </c>
      <c r="F1738" s="7" t="s">
        <v>57</v>
      </c>
      <c r="G1738" s="8" t="n">
        <v>45908</v>
      </c>
      <c r="H1738" s="8" t="n">
        <v>45932</v>
      </c>
      <c r="I1738" s="7" t="s">
        <v>62</v>
      </c>
      <c r="J1738" s="7" t="s">
        <v>63</v>
      </c>
      <c r="K1738" s="7" t="n">
        <v>24</v>
      </c>
      <c r="L1738" s="7" t="n">
        <v>4</v>
      </c>
      <c r="M1738" s="7" t="n">
        <v>2</v>
      </c>
      <c r="N1738" s="7" t="s">
        <v>71</v>
      </c>
      <c r="O1738" s="7"/>
      <c r="P1738" s="7" t="n">
        <v>8.5</v>
      </c>
      <c r="Q1738" s="7" t="n">
        <v>21</v>
      </c>
      <c r="R1738" s="7" t="s">
        <v>87</v>
      </c>
      <c r="S1738" s="7"/>
      <c r="T1738" s="7"/>
      <c r="U1738" s="7" t="str">
        <f aca="false">IF(COUNTIF($A$2:$A$5001,A1738)&gt;1,"Duplicate","Unique")</f>
        <v>Unique</v>
      </c>
      <c r="V1738" s="7" t="str">
        <f aca="false">IF(COUNTIFS($B$2:$B$5001,B1738,$H$2:$H$5001,H1738,$J$2:$J$5001,J1738)&gt;1,"Possible Duplicate Booking","Unique")</f>
        <v>Unique</v>
      </c>
      <c r="W1738" s="7" t="str">
        <f aca="false">IF((H1738-G1738)&lt;&gt;K1738,"Mismatch","OK")</f>
        <v>OK</v>
      </c>
      <c r="X1738" s="7" t="str">
        <f aca="false">IF(TEXT(H1738,"dddd")&lt;&gt;I1738,"Mismatch","OK")</f>
        <v>OK</v>
      </c>
      <c r="Y1738" s="7" t="str">
        <f aca="false">IF(AND(N1738="No",O1738&lt;&gt;""),"Unexpected: channel present but no reminder sent",IF(AND(N1738="Yes",O1738=""),"Missing channel for sent reminder","OK"))</f>
        <v>OK</v>
      </c>
    </row>
    <row r="1739" customFormat="false" ht="15" hidden="false" customHeight="false" outlineLevel="0" collapsed="false">
      <c r="A1739" s="9" t="s">
        <v>2931</v>
      </c>
      <c r="B1739" s="9" t="s">
        <v>2932</v>
      </c>
      <c r="C1739" s="9" t="s">
        <v>37</v>
      </c>
      <c r="D1739" s="9" t="n">
        <v>26</v>
      </c>
      <c r="E1739" s="9" t="s">
        <v>48</v>
      </c>
      <c r="F1739" s="9" t="s">
        <v>39</v>
      </c>
      <c r="G1739" s="10" t="n">
        <v>45704</v>
      </c>
      <c r="H1739" s="10" t="n">
        <v>45712</v>
      </c>
      <c r="I1739" s="9" t="s">
        <v>66</v>
      </c>
      <c r="J1739" s="9" t="s">
        <v>41</v>
      </c>
      <c r="K1739" s="9" t="n">
        <v>8</v>
      </c>
      <c r="L1739" s="9" t="n">
        <v>3</v>
      </c>
      <c r="M1739" s="9" t="n">
        <v>1</v>
      </c>
      <c r="N1739" s="9" t="s">
        <v>42</v>
      </c>
      <c r="O1739" s="9" t="s">
        <v>67</v>
      </c>
      <c r="P1739" s="9" t="n">
        <v>7.6</v>
      </c>
      <c r="Q1739" s="9" t="n">
        <v>8</v>
      </c>
      <c r="R1739" s="9" t="s">
        <v>44</v>
      </c>
      <c r="S1739" s="9"/>
      <c r="T1739" s="9"/>
      <c r="U1739" s="9" t="str">
        <f aca="false">IF(COUNTIF($A$2:$A$5001,A1739)&gt;1,"Duplicate","Unique")</f>
        <v>Unique</v>
      </c>
      <c r="V1739" s="9" t="str">
        <f aca="false">IF(COUNTIFS($B$2:$B$5001,B1739,$H$2:$H$5001,H1739,$J$2:$J$5001,J1739)&gt;1,"Possible Duplicate Booking","Unique")</f>
        <v>Unique</v>
      </c>
      <c r="W1739" s="9" t="str">
        <f aca="false">IF((H1739-G1739)&lt;&gt;K1739,"Mismatch","OK")</f>
        <v>OK</v>
      </c>
      <c r="X1739" s="9" t="str">
        <f aca="false">IF(TEXT(H1739,"dddd")&lt;&gt;I1739,"Mismatch","OK")</f>
        <v>OK</v>
      </c>
      <c r="Y1739" s="9" t="str">
        <f aca="false">IF(AND(N1739="No",O1739&lt;&gt;""),"Unexpected: channel present but no reminder sent",IF(AND(N1739="Yes",O1739=""),"Missing channel for sent reminder","OK"))</f>
        <v>OK</v>
      </c>
    </row>
    <row r="1740" customFormat="false" ht="15" hidden="false" customHeight="false" outlineLevel="0" collapsed="false">
      <c r="A1740" s="7" t="s">
        <v>2933</v>
      </c>
      <c r="B1740" s="7" t="s">
        <v>1631</v>
      </c>
      <c r="C1740" s="7" t="s">
        <v>37</v>
      </c>
      <c r="D1740" s="7" t="n">
        <v>31</v>
      </c>
      <c r="E1740" s="7" t="s">
        <v>48</v>
      </c>
      <c r="F1740" s="7" t="s">
        <v>49</v>
      </c>
      <c r="G1740" s="8" t="n">
        <v>45637</v>
      </c>
      <c r="H1740" s="8" t="n">
        <v>45659</v>
      </c>
      <c r="I1740" s="7" t="s">
        <v>62</v>
      </c>
      <c r="J1740" s="7" t="s">
        <v>41</v>
      </c>
      <c r="K1740" s="7" t="n">
        <v>22</v>
      </c>
      <c r="L1740" s="7" t="n">
        <v>4</v>
      </c>
      <c r="M1740" s="7" t="n">
        <v>0</v>
      </c>
      <c r="N1740" s="7" t="s">
        <v>42</v>
      </c>
      <c r="O1740" s="7" t="s">
        <v>43</v>
      </c>
      <c r="P1740" s="7" t="n">
        <v>8.6</v>
      </c>
      <c r="Q1740" s="7" t="n">
        <v>41</v>
      </c>
      <c r="R1740" s="7" t="s">
        <v>53</v>
      </c>
      <c r="S1740" s="7"/>
      <c r="T1740" s="7"/>
      <c r="U1740" s="7" t="str">
        <f aca="false">IF(COUNTIF($A$2:$A$5001,A1740)&gt;1,"Duplicate","Unique")</f>
        <v>Unique</v>
      </c>
      <c r="V1740" s="7" t="str">
        <f aca="false">IF(COUNTIFS($B$2:$B$5001,B1740,$H$2:$H$5001,H1740,$J$2:$J$5001,J1740)&gt;1,"Possible Duplicate Booking","Unique")</f>
        <v>Unique</v>
      </c>
      <c r="W1740" s="7" t="str">
        <f aca="false">IF((H1740-G1740)&lt;&gt;K1740,"Mismatch","OK")</f>
        <v>OK</v>
      </c>
      <c r="X1740" s="7" t="str">
        <f aca="false">IF(TEXT(H1740,"dddd")&lt;&gt;I1740,"Mismatch","OK")</f>
        <v>OK</v>
      </c>
      <c r="Y1740" s="7" t="str">
        <f aca="false">IF(AND(N1740="No",O1740&lt;&gt;""),"Unexpected: channel present but no reminder sent",IF(AND(N1740="Yes",O1740=""),"Missing channel for sent reminder","OK"))</f>
        <v>OK</v>
      </c>
    </row>
    <row r="1741" customFormat="false" ht="15" hidden="false" customHeight="false" outlineLevel="0" collapsed="false">
      <c r="A1741" s="9" t="s">
        <v>2934</v>
      </c>
      <c r="B1741" s="9" t="s">
        <v>1756</v>
      </c>
      <c r="C1741" s="9" t="s">
        <v>47</v>
      </c>
      <c r="D1741" s="9" t="n">
        <v>30</v>
      </c>
      <c r="E1741" s="9" t="s">
        <v>48</v>
      </c>
      <c r="F1741" s="9" t="s">
        <v>74</v>
      </c>
      <c r="G1741" s="10" t="n">
        <v>45743</v>
      </c>
      <c r="H1741" s="10" t="n">
        <v>45769</v>
      </c>
      <c r="I1741" s="9" t="s">
        <v>40</v>
      </c>
      <c r="J1741" s="9" t="s">
        <v>51</v>
      </c>
      <c r="K1741" s="9" t="n">
        <v>26</v>
      </c>
      <c r="L1741" s="9" t="n">
        <v>4</v>
      </c>
      <c r="M1741" s="9" t="n">
        <v>1</v>
      </c>
      <c r="N1741" s="9" t="s">
        <v>42</v>
      </c>
      <c r="O1741" s="9" t="s">
        <v>43</v>
      </c>
      <c r="P1741" s="9" t="n">
        <v>5.3</v>
      </c>
      <c r="Q1741" s="9" t="n">
        <v>32</v>
      </c>
      <c r="R1741" s="9" t="s">
        <v>53</v>
      </c>
      <c r="S1741" s="9"/>
      <c r="T1741" s="9"/>
      <c r="U1741" s="9" t="str">
        <f aca="false">IF(COUNTIF($A$2:$A$5001,A1741)&gt;1,"Duplicate","Unique")</f>
        <v>Unique</v>
      </c>
      <c r="V1741" s="9" t="str">
        <f aca="false">IF(COUNTIFS($B$2:$B$5001,B1741,$H$2:$H$5001,H1741,$J$2:$J$5001,J1741)&gt;1,"Possible Duplicate Booking","Unique")</f>
        <v>Unique</v>
      </c>
      <c r="W1741" s="9" t="str">
        <f aca="false">IF((H1741-G1741)&lt;&gt;K1741,"Mismatch","OK")</f>
        <v>OK</v>
      </c>
      <c r="X1741" s="9" t="str">
        <f aca="false">IF(TEXT(H1741,"dddd")&lt;&gt;I1741,"Mismatch","OK")</f>
        <v>OK</v>
      </c>
      <c r="Y1741" s="9" t="str">
        <f aca="false">IF(AND(N1741="No",O1741&lt;&gt;""),"Unexpected: channel present but no reminder sent",IF(AND(N1741="Yes",O1741=""),"Missing channel for sent reminder","OK"))</f>
        <v>OK</v>
      </c>
    </row>
    <row r="1742" customFormat="false" ht="15" hidden="false" customHeight="false" outlineLevel="0" collapsed="false">
      <c r="A1742" s="7" t="s">
        <v>2935</v>
      </c>
      <c r="B1742" s="7" t="s">
        <v>544</v>
      </c>
      <c r="C1742" s="7" t="s">
        <v>47</v>
      </c>
      <c r="D1742" s="7" t="n">
        <v>56</v>
      </c>
      <c r="E1742" s="7" t="s">
        <v>61</v>
      </c>
      <c r="F1742" s="7" t="s">
        <v>57</v>
      </c>
      <c r="G1742" s="8" t="n">
        <v>45893</v>
      </c>
      <c r="H1742" s="8" t="n">
        <v>45893</v>
      </c>
      <c r="I1742" s="7" t="s">
        <v>75</v>
      </c>
      <c r="J1742" s="7" t="s">
        <v>51</v>
      </c>
      <c r="K1742" s="7" t="n">
        <v>0</v>
      </c>
      <c r="L1742" s="7" t="n">
        <v>5</v>
      </c>
      <c r="M1742" s="7" t="n">
        <v>2</v>
      </c>
      <c r="N1742" s="7" t="s">
        <v>42</v>
      </c>
      <c r="O1742" s="7" t="s">
        <v>52</v>
      </c>
      <c r="P1742" s="7" t="n">
        <v>6.2</v>
      </c>
      <c r="Q1742" s="7" t="n">
        <v>34</v>
      </c>
      <c r="R1742" s="7" t="s">
        <v>53</v>
      </c>
      <c r="S1742" s="7"/>
      <c r="T1742" s="7"/>
      <c r="U1742" s="7" t="str">
        <f aca="false">IF(COUNTIF($A$2:$A$5001,A1742)&gt;1,"Duplicate","Unique")</f>
        <v>Unique</v>
      </c>
      <c r="V1742" s="7" t="str">
        <f aca="false">IF(COUNTIFS($B$2:$B$5001,B1742,$H$2:$H$5001,H1742,$J$2:$J$5001,J1742)&gt;1,"Possible Duplicate Booking","Unique")</f>
        <v>Unique</v>
      </c>
      <c r="W1742" s="7" t="str">
        <f aca="false">IF((H1742-G1742)&lt;&gt;K1742,"Mismatch","OK")</f>
        <v>OK</v>
      </c>
      <c r="X1742" s="7" t="str">
        <f aca="false">IF(TEXT(H1742,"dddd")&lt;&gt;I1742,"Mismatch","OK")</f>
        <v>OK</v>
      </c>
      <c r="Y1742" s="7" t="str">
        <f aca="false">IF(AND(N1742="No",O1742&lt;&gt;""),"Unexpected: channel present but no reminder sent",IF(AND(N1742="Yes",O1742=""),"Missing channel for sent reminder","OK"))</f>
        <v>OK</v>
      </c>
    </row>
    <row r="1743" customFormat="false" ht="15" hidden="false" customHeight="false" outlineLevel="0" collapsed="false">
      <c r="A1743" s="9" t="s">
        <v>2936</v>
      </c>
      <c r="B1743" s="9" t="s">
        <v>110</v>
      </c>
      <c r="C1743" s="9" t="s">
        <v>47</v>
      </c>
      <c r="D1743" s="9" t="n">
        <v>58</v>
      </c>
      <c r="E1743" s="9" t="s">
        <v>61</v>
      </c>
      <c r="F1743" s="9" t="s">
        <v>39</v>
      </c>
      <c r="G1743" s="10" t="n">
        <v>46010</v>
      </c>
      <c r="H1743" s="10" t="n">
        <v>46064</v>
      </c>
      <c r="I1743" s="9" t="s">
        <v>58</v>
      </c>
      <c r="J1743" s="9" t="s">
        <v>51</v>
      </c>
      <c r="K1743" s="9" t="n">
        <v>54</v>
      </c>
      <c r="L1743" s="9" t="n">
        <v>2</v>
      </c>
      <c r="M1743" s="9" t="n">
        <v>0</v>
      </c>
      <c r="N1743" s="9" t="s">
        <v>42</v>
      </c>
      <c r="O1743" s="9" t="s">
        <v>43</v>
      </c>
      <c r="P1743" s="9" t="n">
        <v>16.7</v>
      </c>
      <c r="Q1743" s="9" t="n">
        <v>9</v>
      </c>
      <c r="R1743" s="9" t="s">
        <v>44</v>
      </c>
      <c r="S1743" s="9"/>
      <c r="T1743" s="9"/>
      <c r="U1743" s="9" t="str">
        <f aca="false">IF(COUNTIF($A$2:$A$5001,A1743)&gt;1,"Duplicate","Unique")</f>
        <v>Unique</v>
      </c>
      <c r="V1743" s="9" t="str">
        <f aca="false">IF(COUNTIFS($B$2:$B$5001,B1743,$H$2:$H$5001,H1743,$J$2:$J$5001,J1743)&gt;1,"Possible Duplicate Booking","Unique")</f>
        <v>Unique</v>
      </c>
      <c r="W1743" s="9" t="str">
        <f aca="false">IF((H1743-G1743)&lt;&gt;K1743,"Mismatch","OK")</f>
        <v>OK</v>
      </c>
      <c r="X1743" s="9" t="str">
        <f aca="false">IF(TEXT(H1743,"dddd")&lt;&gt;I1743,"Mismatch","OK")</f>
        <v>OK</v>
      </c>
      <c r="Y1743" s="9" t="str">
        <f aca="false">IF(AND(N1743="No",O1743&lt;&gt;""),"Unexpected: channel present but no reminder sent",IF(AND(N1743="Yes",O1743=""),"Missing channel for sent reminder","OK"))</f>
        <v>OK</v>
      </c>
    </row>
    <row r="1744" customFormat="false" ht="15" hidden="false" customHeight="false" outlineLevel="0" collapsed="false">
      <c r="A1744" s="7" t="s">
        <v>2937</v>
      </c>
      <c r="B1744" s="7" t="s">
        <v>914</v>
      </c>
      <c r="C1744" s="7" t="s">
        <v>47</v>
      </c>
      <c r="D1744" s="7" t="n">
        <v>53</v>
      </c>
      <c r="E1744" s="7" t="s">
        <v>56</v>
      </c>
      <c r="F1744" s="7" t="s">
        <v>57</v>
      </c>
      <c r="G1744" s="8" t="n">
        <v>45874</v>
      </c>
      <c r="H1744" s="8" t="n">
        <v>45906</v>
      </c>
      <c r="I1744" s="7" t="s">
        <v>102</v>
      </c>
      <c r="J1744" s="7" t="s">
        <v>41</v>
      </c>
      <c r="K1744" s="7" t="n">
        <v>32</v>
      </c>
      <c r="L1744" s="7" t="n">
        <v>4</v>
      </c>
      <c r="M1744" s="7" t="n">
        <v>2</v>
      </c>
      <c r="N1744" s="7" t="s">
        <v>71</v>
      </c>
      <c r="O1744" s="7"/>
      <c r="P1744" s="7" t="n">
        <v>11.2</v>
      </c>
      <c r="Q1744" s="7" t="n">
        <v>33</v>
      </c>
      <c r="R1744" s="7" t="s">
        <v>53</v>
      </c>
      <c r="S1744" s="7"/>
      <c r="T1744" s="7"/>
      <c r="U1744" s="7" t="str">
        <f aca="false">IF(COUNTIF($A$2:$A$5001,A1744)&gt;1,"Duplicate","Unique")</f>
        <v>Unique</v>
      </c>
      <c r="V1744" s="7" t="str">
        <f aca="false">IF(COUNTIFS($B$2:$B$5001,B1744,$H$2:$H$5001,H1744,$J$2:$J$5001,J1744)&gt;1,"Possible Duplicate Booking","Unique")</f>
        <v>Unique</v>
      </c>
      <c r="W1744" s="7" t="str">
        <f aca="false">IF((H1744-G1744)&lt;&gt;K1744,"Mismatch","OK")</f>
        <v>OK</v>
      </c>
      <c r="X1744" s="7" t="str">
        <f aca="false">IF(TEXT(H1744,"dddd")&lt;&gt;I1744,"Mismatch","OK")</f>
        <v>OK</v>
      </c>
      <c r="Y1744" s="7" t="str">
        <f aca="false">IF(AND(N1744="No",O1744&lt;&gt;""),"Unexpected: channel present but no reminder sent",IF(AND(N1744="Yes",O1744=""),"Missing channel for sent reminder","OK"))</f>
        <v>OK</v>
      </c>
    </row>
    <row r="1745" customFormat="false" ht="15" hidden="false" customHeight="false" outlineLevel="0" collapsed="false">
      <c r="A1745" s="9" t="s">
        <v>2938</v>
      </c>
      <c r="B1745" s="9" t="s">
        <v>2939</v>
      </c>
      <c r="C1745" s="9" t="s">
        <v>47</v>
      </c>
      <c r="D1745" s="9" t="n">
        <v>36</v>
      </c>
      <c r="E1745" s="9" t="s">
        <v>38</v>
      </c>
      <c r="F1745" s="9" t="s">
        <v>57</v>
      </c>
      <c r="G1745" s="10" t="n">
        <v>45668</v>
      </c>
      <c r="H1745" s="10" t="n">
        <v>45670</v>
      </c>
      <c r="I1745" s="9" t="s">
        <v>66</v>
      </c>
      <c r="J1745" s="9" t="s">
        <v>51</v>
      </c>
      <c r="K1745" s="9" t="n">
        <v>2</v>
      </c>
      <c r="L1745" s="9" t="n">
        <v>2</v>
      </c>
      <c r="M1745" s="9" t="n">
        <v>0</v>
      </c>
      <c r="N1745" s="9" t="s">
        <v>71</v>
      </c>
      <c r="O1745" s="9"/>
      <c r="P1745" s="9" t="n">
        <v>7.3</v>
      </c>
      <c r="Q1745" s="9" t="n">
        <v>17</v>
      </c>
      <c r="R1745" s="9" t="s">
        <v>53</v>
      </c>
      <c r="S1745" s="9"/>
      <c r="T1745" s="9"/>
      <c r="U1745" s="9" t="str">
        <f aca="false">IF(COUNTIF($A$2:$A$5001,A1745)&gt;1,"Duplicate","Unique")</f>
        <v>Unique</v>
      </c>
      <c r="V1745" s="9" t="str">
        <f aca="false">IF(COUNTIFS($B$2:$B$5001,B1745,$H$2:$H$5001,H1745,$J$2:$J$5001,J1745)&gt;1,"Possible Duplicate Booking","Unique")</f>
        <v>Unique</v>
      </c>
      <c r="W1745" s="9" t="str">
        <f aca="false">IF((H1745-G1745)&lt;&gt;K1745,"Mismatch","OK")</f>
        <v>OK</v>
      </c>
      <c r="X1745" s="9" t="str">
        <f aca="false">IF(TEXT(H1745,"dddd")&lt;&gt;I1745,"Mismatch","OK")</f>
        <v>OK</v>
      </c>
      <c r="Y1745" s="9" t="str">
        <f aca="false">IF(AND(N1745="No",O1745&lt;&gt;""),"Unexpected: channel present but no reminder sent",IF(AND(N1745="Yes",O1745=""),"Missing channel for sent reminder","OK"))</f>
        <v>OK</v>
      </c>
    </row>
    <row r="1746" customFormat="false" ht="15" hidden="false" customHeight="false" outlineLevel="0" collapsed="false">
      <c r="A1746" s="7" t="s">
        <v>2940</v>
      </c>
      <c r="B1746" s="7" t="s">
        <v>1257</v>
      </c>
      <c r="C1746" s="7" t="s">
        <v>47</v>
      </c>
      <c r="D1746" s="7" t="n">
        <v>54</v>
      </c>
      <c r="E1746" s="7" t="s">
        <v>56</v>
      </c>
      <c r="F1746" s="7" t="s">
        <v>57</v>
      </c>
      <c r="G1746" s="8" t="n">
        <v>45720</v>
      </c>
      <c r="H1746" s="8" t="n">
        <v>45772</v>
      </c>
      <c r="I1746" s="7" t="s">
        <v>50</v>
      </c>
      <c r="J1746" s="7" t="s">
        <v>51</v>
      </c>
      <c r="K1746" s="7" t="n">
        <v>52</v>
      </c>
      <c r="L1746" s="7" t="n">
        <v>8</v>
      </c>
      <c r="M1746" s="7" t="n">
        <v>3</v>
      </c>
      <c r="N1746" s="7" t="s">
        <v>42</v>
      </c>
      <c r="O1746" s="7" t="s">
        <v>67</v>
      </c>
      <c r="P1746" s="7" t="n">
        <v>11.1</v>
      </c>
      <c r="Q1746" s="7" t="n">
        <v>27</v>
      </c>
      <c r="R1746" s="7" t="s">
        <v>44</v>
      </c>
      <c r="S1746" s="7"/>
      <c r="T1746" s="7"/>
      <c r="U1746" s="7" t="str">
        <f aca="false">IF(COUNTIF($A$2:$A$5001,A1746)&gt;1,"Duplicate","Unique")</f>
        <v>Unique</v>
      </c>
      <c r="V1746" s="7" t="str">
        <f aca="false">IF(COUNTIFS($B$2:$B$5001,B1746,$H$2:$H$5001,H1746,$J$2:$J$5001,J1746)&gt;1,"Possible Duplicate Booking","Unique")</f>
        <v>Unique</v>
      </c>
      <c r="W1746" s="7" t="str">
        <f aca="false">IF((H1746-G1746)&lt;&gt;K1746,"Mismatch","OK")</f>
        <v>OK</v>
      </c>
      <c r="X1746" s="7" t="str">
        <f aca="false">IF(TEXT(H1746,"dddd")&lt;&gt;I1746,"Mismatch","OK")</f>
        <v>OK</v>
      </c>
      <c r="Y1746" s="7" t="str">
        <f aca="false">IF(AND(N1746="No",O1746&lt;&gt;""),"Unexpected: channel present but no reminder sent",IF(AND(N1746="Yes",O1746=""),"Missing channel for sent reminder","OK"))</f>
        <v>OK</v>
      </c>
    </row>
    <row r="1747" customFormat="false" ht="15" hidden="false" customHeight="false" outlineLevel="0" collapsed="false">
      <c r="A1747" s="9" t="s">
        <v>2941</v>
      </c>
      <c r="B1747" s="9" t="s">
        <v>2837</v>
      </c>
      <c r="C1747" s="9" t="s">
        <v>37</v>
      </c>
      <c r="D1747" s="9" t="n">
        <v>25</v>
      </c>
      <c r="E1747" s="9" t="s">
        <v>48</v>
      </c>
      <c r="F1747" s="9" t="s">
        <v>39</v>
      </c>
      <c r="G1747" s="10" t="n">
        <v>46140</v>
      </c>
      <c r="H1747" s="10" t="n">
        <v>46192</v>
      </c>
      <c r="I1747" s="9" t="s">
        <v>50</v>
      </c>
      <c r="J1747" s="9" t="s">
        <v>41</v>
      </c>
      <c r="K1747" s="9" t="n">
        <v>52</v>
      </c>
      <c r="L1747" s="9" t="n">
        <v>2</v>
      </c>
      <c r="M1747" s="9" t="n">
        <v>1</v>
      </c>
      <c r="N1747" s="9" t="s">
        <v>42</v>
      </c>
      <c r="O1747" s="9" t="s">
        <v>52</v>
      </c>
      <c r="P1747" s="9" t="n">
        <v>10.1</v>
      </c>
      <c r="Q1747" s="9" t="n">
        <v>22</v>
      </c>
      <c r="R1747" s="9" t="s">
        <v>44</v>
      </c>
      <c r="S1747" s="9"/>
      <c r="T1747" s="9"/>
      <c r="U1747" s="9" t="str">
        <f aca="false">IF(COUNTIF($A$2:$A$5001,A1747)&gt;1,"Duplicate","Unique")</f>
        <v>Unique</v>
      </c>
      <c r="V1747" s="9" t="str">
        <f aca="false">IF(COUNTIFS($B$2:$B$5001,B1747,$H$2:$H$5001,H1747,$J$2:$J$5001,J1747)&gt;1,"Possible Duplicate Booking","Unique")</f>
        <v>Unique</v>
      </c>
      <c r="W1747" s="9" t="str">
        <f aca="false">IF((H1747-G1747)&lt;&gt;K1747,"Mismatch","OK")</f>
        <v>OK</v>
      </c>
      <c r="X1747" s="9" t="str">
        <f aca="false">IF(TEXT(H1747,"dddd")&lt;&gt;I1747,"Mismatch","OK")</f>
        <v>OK</v>
      </c>
      <c r="Y1747" s="9" t="str">
        <f aca="false">IF(AND(N1747="No",O1747&lt;&gt;""),"Unexpected: channel present but no reminder sent",IF(AND(N1747="Yes",O1747=""),"Missing channel for sent reminder","OK"))</f>
        <v>OK</v>
      </c>
    </row>
    <row r="1748" customFormat="false" ht="15" hidden="false" customHeight="false" outlineLevel="0" collapsed="false">
      <c r="A1748" s="7" t="s">
        <v>2942</v>
      </c>
      <c r="B1748" s="7" t="s">
        <v>2943</v>
      </c>
      <c r="C1748" s="7" t="s">
        <v>37</v>
      </c>
      <c r="D1748" s="7" t="n">
        <v>47</v>
      </c>
      <c r="E1748" s="7" t="s">
        <v>56</v>
      </c>
      <c r="F1748" s="7" t="s">
        <v>39</v>
      </c>
      <c r="G1748" s="8" t="n">
        <v>46197</v>
      </c>
      <c r="H1748" s="8" t="n">
        <v>46197</v>
      </c>
      <c r="I1748" s="7" t="s">
        <v>58</v>
      </c>
      <c r="J1748" s="7" t="s">
        <v>41</v>
      </c>
      <c r="K1748" s="7" t="n">
        <v>0</v>
      </c>
      <c r="L1748" s="7" t="n">
        <v>3</v>
      </c>
      <c r="M1748" s="7" t="n">
        <v>1</v>
      </c>
      <c r="N1748" s="7" t="s">
        <v>42</v>
      </c>
      <c r="O1748" s="7" t="s">
        <v>52</v>
      </c>
      <c r="P1748" s="7" t="n">
        <v>6.3</v>
      </c>
      <c r="Q1748" s="7" t="n">
        <v>9</v>
      </c>
      <c r="R1748" s="7" t="s">
        <v>53</v>
      </c>
      <c r="S1748" s="7"/>
      <c r="T1748" s="7"/>
      <c r="U1748" s="7" t="str">
        <f aca="false">IF(COUNTIF($A$2:$A$5001,A1748)&gt;1,"Duplicate","Unique")</f>
        <v>Unique</v>
      </c>
      <c r="V1748" s="7" t="str">
        <f aca="false">IF(COUNTIFS($B$2:$B$5001,B1748,$H$2:$H$5001,H1748,$J$2:$J$5001,J1748)&gt;1,"Possible Duplicate Booking","Unique")</f>
        <v>Unique</v>
      </c>
      <c r="W1748" s="7" t="str">
        <f aca="false">IF((H1748-G1748)&lt;&gt;K1748,"Mismatch","OK")</f>
        <v>OK</v>
      </c>
      <c r="X1748" s="7" t="str">
        <f aca="false">IF(TEXT(H1748,"dddd")&lt;&gt;I1748,"Mismatch","OK")</f>
        <v>OK</v>
      </c>
      <c r="Y1748" s="7" t="str">
        <f aca="false">IF(AND(N1748="No",O1748&lt;&gt;""),"Unexpected: channel present but no reminder sent",IF(AND(N1748="Yes",O1748=""),"Missing channel for sent reminder","OK"))</f>
        <v>OK</v>
      </c>
    </row>
    <row r="1749" customFormat="false" ht="15" hidden="false" customHeight="false" outlineLevel="0" collapsed="false">
      <c r="A1749" s="9" t="s">
        <v>2944</v>
      </c>
      <c r="B1749" s="9" t="s">
        <v>741</v>
      </c>
      <c r="C1749" s="9" t="s">
        <v>47</v>
      </c>
      <c r="D1749" s="9" t="n">
        <v>27</v>
      </c>
      <c r="E1749" s="9" t="s">
        <v>48</v>
      </c>
      <c r="F1749" s="9" t="s">
        <v>57</v>
      </c>
      <c r="G1749" s="10" t="n">
        <v>45854</v>
      </c>
      <c r="H1749" s="10" t="n">
        <v>45863</v>
      </c>
      <c r="I1749" s="9" t="s">
        <v>50</v>
      </c>
      <c r="J1749" s="9" t="s">
        <v>51</v>
      </c>
      <c r="K1749" s="9" t="n">
        <v>9</v>
      </c>
      <c r="L1749" s="9" t="n">
        <v>2</v>
      </c>
      <c r="M1749" s="9" t="n">
        <v>2</v>
      </c>
      <c r="N1749" s="9" t="s">
        <v>71</v>
      </c>
      <c r="O1749" s="9"/>
      <c r="P1749" s="9" t="n">
        <v>5.3</v>
      </c>
      <c r="Q1749" s="9" t="n">
        <v>13</v>
      </c>
      <c r="R1749" s="9" t="s">
        <v>44</v>
      </c>
      <c r="S1749" s="9"/>
      <c r="T1749" s="9"/>
      <c r="U1749" s="9" t="str">
        <f aca="false">IF(COUNTIF($A$2:$A$5001,A1749)&gt;1,"Duplicate","Unique")</f>
        <v>Unique</v>
      </c>
      <c r="V1749" s="9" t="str">
        <f aca="false">IF(COUNTIFS($B$2:$B$5001,B1749,$H$2:$H$5001,H1749,$J$2:$J$5001,J1749)&gt;1,"Possible Duplicate Booking","Unique")</f>
        <v>Unique</v>
      </c>
      <c r="W1749" s="9" t="str">
        <f aca="false">IF((H1749-G1749)&lt;&gt;K1749,"Mismatch","OK")</f>
        <v>OK</v>
      </c>
      <c r="X1749" s="9" t="str">
        <f aca="false">IF(TEXT(H1749,"dddd")&lt;&gt;I1749,"Mismatch","OK")</f>
        <v>OK</v>
      </c>
      <c r="Y1749" s="9" t="str">
        <f aca="false">IF(AND(N1749="No",O1749&lt;&gt;""),"Unexpected: channel present but no reminder sent",IF(AND(N1749="Yes",O1749=""),"Missing channel for sent reminder","OK"))</f>
        <v>OK</v>
      </c>
    </row>
    <row r="1750" customFormat="false" ht="15" hidden="false" customHeight="false" outlineLevel="0" collapsed="false">
      <c r="A1750" s="7" t="s">
        <v>2945</v>
      </c>
      <c r="B1750" s="7" t="s">
        <v>558</v>
      </c>
      <c r="C1750" s="7" t="s">
        <v>47</v>
      </c>
      <c r="D1750" s="7" t="n">
        <v>22</v>
      </c>
      <c r="E1750" s="7" t="s">
        <v>82</v>
      </c>
      <c r="F1750" s="7" t="s">
        <v>39</v>
      </c>
      <c r="G1750" s="8" t="n">
        <v>46075</v>
      </c>
      <c r="H1750" s="8" t="n">
        <v>46097</v>
      </c>
      <c r="I1750" s="7" t="s">
        <v>66</v>
      </c>
      <c r="J1750" s="7" t="s">
        <v>51</v>
      </c>
      <c r="K1750" s="7" t="n">
        <v>22</v>
      </c>
      <c r="L1750" s="7" t="n">
        <v>4</v>
      </c>
      <c r="M1750" s="7" t="n">
        <v>0</v>
      </c>
      <c r="N1750" s="7" t="s">
        <v>42</v>
      </c>
      <c r="O1750" s="7" t="s">
        <v>52</v>
      </c>
      <c r="P1750" s="7" t="n">
        <v>6.2</v>
      </c>
      <c r="Q1750" s="7" t="n">
        <v>31</v>
      </c>
      <c r="R1750" s="7" t="s">
        <v>44</v>
      </c>
      <c r="S1750" s="7"/>
      <c r="T1750" s="7"/>
      <c r="U1750" s="7" t="str">
        <f aca="false">IF(COUNTIF($A$2:$A$5001,A1750)&gt;1,"Duplicate","Unique")</f>
        <v>Unique</v>
      </c>
      <c r="V1750" s="7" t="str">
        <f aca="false">IF(COUNTIFS($B$2:$B$5001,B1750,$H$2:$H$5001,H1750,$J$2:$J$5001,J1750)&gt;1,"Possible Duplicate Booking","Unique")</f>
        <v>Unique</v>
      </c>
      <c r="W1750" s="7" t="str">
        <f aca="false">IF((H1750-G1750)&lt;&gt;K1750,"Mismatch","OK")</f>
        <v>OK</v>
      </c>
      <c r="X1750" s="7" t="str">
        <f aca="false">IF(TEXT(H1750,"dddd")&lt;&gt;I1750,"Mismatch","OK")</f>
        <v>OK</v>
      </c>
      <c r="Y1750" s="7" t="str">
        <f aca="false">IF(AND(N1750="No",O1750&lt;&gt;""),"Unexpected: channel present but no reminder sent",IF(AND(N1750="Yes",O1750=""),"Missing channel for sent reminder","OK"))</f>
        <v>OK</v>
      </c>
    </row>
    <row r="1751" customFormat="false" ht="15" hidden="false" customHeight="false" outlineLevel="0" collapsed="false">
      <c r="A1751" s="9" t="s">
        <v>2946</v>
      </c>
      <c r="B1751" s="9" t="s">
        <v>2947</v>
      </c>
      <c r="C1751" s="9" t="s">
        <v>37</v>
      </c>
      <c r="D1751" s="9" t="n">
        <v>28</v>
      </c>
      <c r="E1751" s="9" t="s">
        <v>48</v>
      </c>
      <c r="F1751" s="9" t="s">
        <v>49</v>
      </c>
      <c r="G1751" s="10" t="n">
        <v>46020</v>
      </c>
      <c r="H1751" s="10" t="n">
        <v>46050</v>
      </c>
      <c r="I1751" s="9" t="s">
        <v>58</v>
      </c>
      <c r="J1751" s="9" t="s">
        <v>51</v>
      </c>
      <c r="K1751" s="9" t="n">
        <v>30</v>
      </c>
      <c r="L1751" s="9" t="n">
        <v>4</v>
      </c>
      <c r="M1751" s="9" t="n">
        <v>1</v>
      </c>
      <c r="N1751" s="9" t="s">
        <v>42</v>
      </c>
      <c r="O1751" s="9" t="s">
        <v>52</v>
      </c>
      <c r="P1751" s="9" t="n">
        <v>15.2</v>
      </c>
      <c r="Q1751" s="9" t="n">
        <v>31</v>
      </c>
      <c r="R1751" s="9" t="s">
        <v>44</v>
      </c>
      <c r="S1751" s="9"/>
      <c r="T1751" s="9"/>
      <c r="U1751" s="9" t="str">
        <f aca="false">IF(COUNTIF($A$2:$A$5001,A1751)&gt;1,"Duplicate","Unique")</f>
        <v>Unique</v>
      </c>
      <c r="V1751" s="9" t="str">
        <f aca="false">IF(COUNTIFS($B$2:$B$5001,B1751,$H$2:$H$5001,H1751,$J$2:$J$5001,J1751)&gt;1,"Possible Duplicate Booking","Unique")</f>
        <v>Unique</v>
      </c>
      <c r="W1751" s="9" t="str">
        <f aca="false">IF((H1751-G1751)&lt;&gt;K1751,"Mismatch","OK")</f>
        <v>OK</v>
      </c>
      <c r="X1751" s="9" t="str">
        <f aca="false">IF(TEXT(H1751,"dddd")&lt;&gt;I1751,"Mismatch","OK")</f>
        <v>OK</v>
      </c>
      <c r="Y1751" s="9" t="str">
        <f aca="false">IF(AND(N1751="No",O1751&lt;&gt;""),"Unexpected: channel present but no reminder sent",IF(AND(N1751="Yes",O1751=""),"Missing channel for sent reminder","OK"))</f>
        <v>OK</v>
      </c>
    </row>
    <row r="1752" customFormat="false" ht="15" hidden="false" customHeight="false" outlineLevel="0" collapsed="false">
      <c r="A1752" s="7" t="s">
        <v>2948</v>
      </c>
      <c r="B1752" s="7" t="s">
        <v>2405</v>
      </c>
      <c r="C1752" s="7" t="s">
        <v>37</v>
      </c>
      <c r="D1752" s="7" t="n">
        <v>25</v>
      </c>
      <c r="E1752" s="7" t="s">
        <v>48</v>
      </c>
      <c r="F1752" s="7" t="s">
        <v>57</v>
      </c>
      <c r="G1752" s="8" t="n">
        <v>46122</v>
      </c>
      <c r="H1752" s="8" t="n">
        <v>46166</v>
      </c>
      <c r="I1752" s="7" t="s">
        <v>75</v>
      </c>
      <c r="J1752" s="7" t="s">
        <v>41</v>
      </c>
      <c r="K1752" s="7" t="n">
        <v>44</v>
      </c>
      <c r="L1752" s="7" t="n">
        <v>2</v>
      </c>
      <c r="M1752" s="7" t="n">
        <v>0</v>
      </c>
      <c r="N1752" s="7" t="s">
        <v>71</v>
      </c>
      <c r="O1752" s="7"/>
      <c r="P1752" s="7" t="n">
        <v>7.2</v>
      </c>
      <c r="Q1752" s="7" t="n">
        <v>9</v>
      </c>
      <c r="R1752" s="7" t="s">
        <v>53</v>
      </c>
      <c r="S1752" s="7"/>
      <c r="T1752" s="7"/>
      <c r="U1752" s="7" t="str">
        <f aca="false">IF(COUNTIF($A$2:$A$5001,A1752)&gt;1,"Duplicate","Unique")</f>
        <v>Unique</v>
      </c>
      <c r="V1752" s="7" t="str">
        <f aca="false">IF(COUNTIFS($B$2:$B$5001,B1752,$H$2:$H$5001,H1752,$J$2:$J$5001,J1752)&gt;1,"Possible Duplicate Booking","Unique")</f>
        <v>Unique</v>
      </c>
      <c r="W1752" s="7" t="str">
        <f aca="false">IF((H1752-G1752)&lt;&gt;K1752,"Mismatch","OK")</f>
        <v>OK</v>
      </c>
      <c r="X1752" s="7" t="str">
        <f aca="false">IF(TEXT(H1752,"dddd")&lt;&gt;I1752,"Mismatch","OK")</f>
        <v>OK</v>
      </c>
      <c r="Y1752" s="7" t="str">
        <f aca="false">IF(AND(N1752="No",O1752&lt;&gt;""),"Unexpected: channel present but no reminder sent",IF(AND(N1752="Yes",O1752=""),"Missing channel for sent reminder","OK"))</f>
        <v>OK</v>
      </c>
    </row>
    <row r="1753" customFormat="false" ht="15" hidden="false" customHeight="false" outlineLevel="0" collapsed="false">
      <c r="A1753" s="9" t="s">
        <v>2949</v>
      </c>
      <c r="B1753" s="9" t="s">
        <v>1009</v>
      </c>
      <c r="C1753" s="9" t="s">
        <v>37</v>
      </c>
      <c r="D1753" s="9" t="n">
        <v>48</v>
      </c>
      <c r="E1753" s="9" t="s">
        <v>56</v>
      </c>
      <c r="F1753" s="9" t="s">
        <v>57</v>
      </c>
      <c r="G1753" s="10" t="n">
        <v>46117</v>
      </c>
      <c r="H1753" s="10" t="n">
        <v>46142</v>
      </c>
      <c r="I1753" s="9" t="s">
        <v>62</v>
      </c>
      <c r="J1753" s="9" t="s">
        <v>51</v>
      </c>
      <c r="K1753" s="9" t="n">
        <v>25</v>
      </c>
      <c r="L1753" s="9" t="n">
        <v>1</v>
      </c>
      <c r="M1753" s="9" t="n">
        <v>1</v>
      </c>
      <c r="N1753" s="9" t="s">
        <v>42</v>
      </c>
      <c r="O1753" s="9" t="s">
        <v>67</v>
      </c>
      <c r="P1753" s="9" t="n">
        <v>16.4</v>
      </c>
      <c r="Q1753" s="9" t="n">
        <v>37</v>
      </c>
      <c r="R1753" s="9" t="s">
        <v>44</v>
      </c>
      <c r="S1753" s="9"/>
      <c r="T1753" s="9"/>
      <c r="U1753" s="9" t="str">
        <f aca="false">IF(COUNTIF($A$2:$A$5001,A1753)&gt;1,"Duplicate","Unique")</f>
        <v>Unique</v>
      </c>
      <c r="V1753" s="9" t="str">
        <f aca="false">IF(COUNTIFS($B$2:$B$5001,B1753,$H$2:$H$5001,H1753,$J$2:$J$5001,J1753)&gt;1,"Possible Duplicate Booking","Unique")</f>
        <v>Unique</v>
      </c>
      <c r="W1753" s="9" t="str">
        <f aca="false">IF((H1753-G1753)&lt;&gt;K1753,"Mismatch","OK")</f>
        <v>OK</v>
      </c>
      <c r="X1753" s="9" t="str">
        <f aca="false">IF(TEXT(H1753,"dddd")&lt;&gt;I1753,"Mismatch","OK")</f>
        <v>OK</v>
      </c>
      <c r="Y1753" s="9" t="str">
        <f aca="false">IF(AND(N1753="No",O1753&lt;&gt;""),"Unexpected: channel present but no reminder sent",IF(AND(N1753="Yes",O1753=""),"Missing channel for sent reminder","OK"))</f>
        <v>OK</v>
      </c>
    </row>
    <row r="1754" customFormat="false" ht="15" hidden="false" customHeight="false" outlineLevel="0" collapsed="false">
      <c r="A1754" s="7" t="s">
        <v>2950</v>
      </c>
      <c r="B1754" s="7" t="s">
        <v>2074</v>
      </c>
      <c r="C1754" s="7" t="s">
        <v>47</v>
      </c>
      <c r="D1754" s="7" t="n">
        <v>52</v>
      </c>
      <c r="E1754" s="7" t="s">
        <v>56</v>
      </c>
      <c r="F1754" s="7" t="s">
        <v>49</v>
      </c>
      <c r="G1754" s="8" t="n">
        <v>45964</v>
      </c>
      <c r="H1754" s="8" t="n">
        <v>46001</v>
      </c>
      <c r="I1754" s="7" t="s">
        <v>58</v>
      </c>
      <c r="J1754" s="7" t="s">
        <v>41</v>
      </c>
      <c r="K1754" s="7" t="n">
        <v>37</v>
      </c>
      <c r="L1754" s="7" t="n">
        <v>2</v>
      </c>
      <c r="M1754" s="7" t="n">
        <v>0</v>
      </c>
      <c r="N1754" s="7" t="s">
        <v>71</v>
      </c>
      <c r="O1754" s="7"/>
      <c r="P1754" s="7" t="n">
        <v>5.8</v>
      </c>
      <c r="Q1754" s="7" t="n">
        <v>20</v>
      </c>
      <c r="R1754" s="7" t="s">
        <v>44</v>
      </c>
      <c r="S1754" s="7"/>
      <c r="T1754" s="7"/>
      <c r="U1754" s="7" t="str">
        <f aca="false">IF(COUNTIF($A$2:$A$5001,A1754)&gt;1,"Duplicate","Unique")</f>
        <v>Unique</v>
      </c>
      <c r="V1754" s="7" t="str">
        <f aca="false">IF(COUNTIFS($B$2:$B$5001,B1754,$H$2:$H$5001,H1754,$J$2:$J$5001,J1754)&gt;1,"Possible Duplicate Booking","Unique")</f>
        <v>Unique</v>
      </c>
      <c r="W1754" s="7" t="str">
        <f aca="false">IF((H1754-G1754)&lt;&gt;K1754,"Mismatch","OK")</f>
        <v>OK</v>
      </c>
      <c r="X1754" s="7" t="str">
        <f aca="false">IF(TEXT(H1754,"dddd")&lt;&gt;I1754,"Mismatch","OK")</f>
        <v>OK</v>
      </c>
      <c r="Y1754" s="7" t="str">
        <f aca="false">IF(AND(N1754="No",O1754&lt;&gt;""),"Unexpected: channel present but no reminder sent",IF(AND(N1754="Yes",O1754=""),"Missing channel for sent reminder","OK"))</f>
        <v>OK</v>
      </c>
    </row>
    <row r="1755" customFormat="false" ht="15" hidden="false" customHeight="false" outlineLevel="0" collapsed="false">
      <c r="A1755" s="9" t="s">
        <v>2951</v>
      </c>
      <c r="B1755" s="9" t="s">
        <v>1068</v>
      </c>
      <c r="C1755" s="9" t="s">
        <v>37</v>
      </c>
      <c r="D1755" s="9" t="n">
        <v>56</v>
      </c>
      <c r="E1755" s="9" t="s">
        <v>61</v>
      </c>
      <c r="F1755" s="9" t="s">
        <v>49</v>
      </c>
      <c r="G1755" s="10" t="n">
        <v>45873</v>
      </c>
      <c r="H1755" s="10" t="n">
        <v>45873</v>
      </c>
      <c r="I1755" s="9" t="s">
        <v>66</v>
      </c>
      <c r="J1755" s="9" t="s">
        <v>51</v>
      </c>
      <c r="K1755" s="9" t="n">
        <v>0</v>
      </c>
      <c r="L1755" s="9" t="n">
        <v>4</v>
      </c>
      <c r="M1755" s="9" t="n">
        <v>0</v>
      </c>
      <c r="N1755" s="9" t="s">
        <v>42</v>
      </c>
      <c r="O1755" s="9" t="s">
        <v>43</v>
      </c>
      <c r="P1755" s="9" t="n">
        <v>4.9</v>
      </c>
      <c r="Q1755" s="9" t="n">
        <v>10</v>
      </c>
      <c r="R1755" s="9" t="s">
        <v>53</v>
      </c>
      <c r="S1755" s="9"/>
      <c r="T1755" s="9"/>
      <c r="U1755" s="9" t="str">
        <f aca="false">IF(COUNTIF($A$2:$A$5001,A1755)&gt;1,"Duplicate","Unique")</f>
        <v>Unique</v>
      </c>
      <c r="V1755" s="9" t="str">
        <f aca="false">IF(COUNTIFS($B$2:$B$5001,B1755,$H$2:$H$5001,H1755,$J$2:$J$5001,J1755)&gt;1,"Possible Duplicate Booking","Unique")</f>
        <v>Unique</v>
      </c>
      <c r="W1755" s="9" t="str">
        <f aca="false">IF((H1755-G1755)&lt;&gt;K1755,"Mismatch","OK")</f>
        <v>OK</v>
      </c>
      <c r="X1755" s="9" t="str">
        <f aca="false">IF(TEXT(H1755,"dddd")&lt;&gt;I1755,"Mismatch","OK")</f>
        <v>OK</v>
      </c>
      <c r="Y1755" s="9" t="str">
        <f aca="false">IF(AND(N1755="No",O1755&lt;&gt;""),"Unexpected: channel present but no reminder sent",IF(AND(N1755="Yes",O1755=""),"Missing channel for sent reminder","OK"))</f>
        <v>OK</v>
      </c>
    </row>
    <row r="1756" customFormat="false" ht="15" hidden="false" customHeight="false" outlineLevel="0" collapsed="false">
      <c r="A1756" s="7" t="s">
        <v>2952</v>
      </c>
      <c r="B1756" s="7" t="s">
        <v>508</v>
      </c>
      <c r="C1756" s="7" t="s">
        <v>37</v>
      </c>
      <c r="D1756" s="7" t="n">
        <v>45</v>
      </c>
      <c r="E1756" s="7" t="s">
        <v>56</v>
      </c>
      <c r="F1756" s="7" t="s">
        <v>49</v>
      </c>
      <c r="G1756" s="8" t="n">
        <v>45960</v>
      </c>
      <c r="H1756" s="8" t="n">
        <v>46000</v>
      </c>
      <c r="I1756" s="7" t="s">
        <v>40</v>
      </c>
      <c r="J1756" s="7" t="s">
        <v>63</v>
      </c>
      <c r="K1756" s="7" t="n">
        <v>40</v>
      </c>
      <c r="L1756" s="7" t="n">
        <v>4</v>
      </c>
      <c r="M1756" s="7" t="n">
        <v>0</v>
      </c>
      <c r="N1756" s="7" t="s">
        <v>71</v>
      </c>
      <c r="O1756" s="7"/>
      <c r="P1756" s="7" t="n">
        <v>7.5</v>
      </c>
      <c r="Q1756" s="7" t="n">
        <v>18</v>
      </c>
      <c r="R1756" s="7" t="s">
        <v>44</v>
      </c>
      <c r="S1756" s="7"/>
      <c r="T1756" s="7"/>
      <c r="U1756" s="7" t="str">
        <f aca="false">IF(COUNTIF($A$2:$A$5001,A1756)&gt;1,"Duplicate","Unique")</f>
        <v>Unique</v>
      </c>
      <c r="V1756" s="7" t="str">
        <f aca="false">IF(COUNTIFS($B$2:$B$5001,B1756,$H$2:$H$5001,H1756,$J$2:$J$5001,J1756)&gt;1,"Possible Duplicate Booking","Unique")</f>
        <v>Unique</v>
      </c>
      <c r="W1756" s="7" t="str">
        <f aca="false">IF((H1756-G1756)&lt;&gt;K1756,"Mismatch","OK")</f>
        <v>OK</v>
      </c>
      <c r="X1756" s="7" t="str">
        <f aca="false">IF(TEXT(H1756,"dddd")&lt;&gt;I1756,"Mismatch","OK")</f>
        <v>OK</v>
      </c>
      <c r="Y1756" s="7" t="str">
        <f aca="false">IF(AND(N1756="No",O1756&lt;&gt;""),"Unexpected: channel present but no reminder sent",IF(AND(N1756="Yes",O1756=""),"Missing channel for sent reminder","OK"))</f>
        <v>OK</v>
      </c>
    </row>
    <row r="1757" customFormat="false" ht="15" hidden="false" customHeight="false" outlineLevel="0" collapsed="false">
      <c r="A1757" s="9" t="s">
        <v>2953</v>
      </c>
      <c r="B1757" s="9" t="s">
        <v>2954</v>
      </c>
      <c r="C1757" s="9" t="s">
        <v>37</v>
      </c>
      <c r="D1757" s="9" t="n">
        <v>29</v>
      </c>
      <c r="E1757" s="9" t="s">
        <v>48</v>
      </c>
      <c r="F1757" s="9" t="s">
        <v>57</v>
      </c>
      <c r="G1757" s="10" t="n">
        <v>45777</v>
      </c>
      <c r="H1757" s="10" t="n">
        <v>45832</v>
      </c>
      <c r="I1757" s="9" t="s">
        <v>40</v>
      </c>
      <c r="J1757" s="9" t="s">
        <v>63</v>
      </c>
      <c r="K1757" s="9" t="n">
        <v>55</v>
      </c>
      <c r="L1757" s="9" t="n">
        <v>3</v>
      </c>
      <c r="M1757" s="9" t="n">
        <v>0</v>
      </c>
      <c r="N1757" s="9" t="s">
        <v>71</v>
      </c>
      <c r="O1757" s="9"/>
      <c r="P1757" s="9" t="n">
        <v>9.7</v>
      </c>
      <c r="Q1757" s="9" t="n">
        <v>9</v>
      </c>
      <c r="R1757" s="9" t="s">
        <v>44</v>
      </c>
      <c r="S1757" s="9"/>
      <c r="T1757" s="9"/>
      <c r="U1757" s="9" t="str">
        <f aca="false">IF(COUNTIF($A$2:$A$5001,A1757)&gt;1,"Duplicate","Unique")</f>
        <v>Unique</v>
      </c>
      <c r="V1757" s="9" t="str">
        <f aca="false">IF(COUNTIFS($B$2:$B$5001,B1757,$H$2:$H$5001,H1757,$J$2:$J$5001,J1757)&gt;1,"Possible Duplicate Booking","Unique")</f>
        <v>Unique</v>
      </c>
      <c r="W1757" s="9" t="str">
        <f aca="false">IF((H1757-G1757)&lt;&gt;K1757,"Mismatch","OK")</f>
        <v>OK</v>
      </c>
      <c r="X1757" s="9" t="str">
        <f aca="false">IF(TEXT(H1757,"dddd")&lt;&gt;I1757,"Mismatch","OK")</f>
        <v>OK</v>
      </c>
      <c r="Y1757" s="9" t="str">
        <f aca="false">IF(AND(N1757="No",O1757&lt;&gt;""),"Unexpected: channel present but no reminder sent",IF(AND(N1757="Yes",O1757=""),"Missing channel for sent reminder","OK"))</f>
        <v>OK</v>
      </c>
    </row>
    <row r="1758" customFormat="false" ht="15" hidden="false" customHeight="false" outlineLevel="0" collapsed="false">
      <c r="A1758" s="7" t="s">
        <v>2955</v>
      </c>
      <c r="B1758" s="7" t="s">
        <v>570</v>
      </c>
      <c r="C1758" s="7" t="s">
        <v>37</v>
      </c>
      <c r="D1758" s="7" t="n">
        <v>19</v>
      </c>
      <c r="E1758" s="7" t="s">
        <v>82</v>
      </c>
      <c r="F1758" s="7" t="s">
        <v>39</v>
      </c>
      <c r="G1758" s="8" t="n">
        <v>45816</v>
      </c>
      <c r="H1758" s="8" t="n">
        <v>45848</v>
      </c>
      <c r="I1758" s="7" t="s">
        <v>62</v>
      </c>
      <c r="J1758" s="7" t="s">
        <v>51</v>
      </c>
      <c r="K1758" s="7" t="n">
        <v>32</v>
      </c>
      <c r="L1758" s="7" t="n">
        <v>3</v>
      </c>
      <c r="M1758" s="7" t="n">
        <v>0</v>
      </c>
      <c r="N1758" s="7" t="s">
        <v>42</v>
      </c>
      <c r="O1758" s="7" t="s">
        <v>52</v>
      </c>
      <c r="P1758" s="7" t="n">
        <v>8.6</v>
      </c>
      <c r="Q1758" s="7" t="n">
        <v>16</v>
      </c>
      <c r="R1758" s="7" t="s">
        <v>44</v>
      </c>
      <c r="S1758" s="7"/>
      <c r="T1758" s="7"/>
      <c r="U1758" s="7" t="str">
        <f aca="false">IF(COUNTIF($A$2:$A$5001,A1758)&gt;1,"Duplicate","Unique")</f>
        <v>Unique</v>
      </c>
      <c r="V1758" s="7" t="str">
        <f aca="false">IF(COUNTIFS($B$2:$B$5001,B1758,$H$2:$H$5001,H1758,$J$2:$J$5001,J1758)&gt;1,"Possible Duplicate Booking","Unique")</f>
        <v>Unique</v>
      </c>
      <c r="W1758" s="7" t="str">
        <f aca="false">IF((H1758-G1758)&lt;&gt;K1758,"Mismatch","OK")</f>
        <v>OK</v>
      </c>
      <c r="X1758" s="7" t="str">
        <f aca="false">IF(TEXT(H1758,"dddd")&lt;&gt;I1758,"Mismatch","OK")</f>
        <v>OK</v>
      </c>
      <c r="Y1758" s="7" t="str">
        <f aca="false">IF(AND(N1758="No",O1758&lt;&gt;""),"Unexpected: channel present but no reminder sent",IF(AND(N1758="Yes",O1758=""),"Missing channel for sent reminder","OK"))</f>
        <v>OK</v>
      </c>
    </row>
    <row r="1759" customFormat="false" ht="15" hidden="false" customHeight="false" outlineLevel="0" collapsed="false">
      <c r="A1759" s="9" t="s">
        <v>2956</v>
      </c>
      <c r="B1759" s="9" t="s">
        <v>2569</v>
      </c>
      <c r="C1759" s="9" t="s">
        <v>47</v>
      </c>
      <c r="D1759" s="9" t="n">
        <v>62</v>
      </c>
      <c r="E1759" s="9" t="s">
        <v>61</v>
      </c>
      <c r="F1759" s="9" t="s">
        <v>74</v>
      </c>
      <c r="G1759" s="10" t="n">
        <v>45963</v>
      </c>
      <c r="H1759" s="10" t="n">
        <v>45990</v>
      </c>
      <c r="I1759" s="9" t="s">
        <v>102</v>
      </c>
      <c r="J1759" s="9" t="s">
        <v>41</v>
      </c>
      <c r="K1759" s="9" t="n">
        <v>27</v>
      </c>
      <c r="L1759" s="9" t="n">
        <v>1</v>
      </c>
      <c r="M1759" s="9" t="n">
        <v>0</v>
      </c>
      <c r="N1759" s="9" t="s">
        <v>42</v>
      </c>
      <c r="O1759" s="9" t="s">
        <v>67</v>
      </c>
      <c r="P1759" s="9"/>
      <c r="Q1759" s="9" t="n">
        <v>19</v>
      </c>
      <c r="R1759" s="9" t="s">
        <v>44</v>
      </c>
      <c r="S1759" s="9"/>
      <c r="T1759" s="9"/>
      <c r="U1759" s="9" t="str">
        <f aca="false">IF(COUNTIF($A$2:$A$5001,A1759)&gt;1,"Duplicate","Unique")</f>
        <v>Unique</v>
      </c>
      <c r="V1759" s="9" t="str">
        <f aca="false">IF(COUNTIFS($B$2:$B$5001,B1759,$H$2:$H$5001,H1759,$J$2:$J$5001,J1759)&gt;1,"Possible Duplicate Booking","Unique")</f>
        <v>Unique</v>
      </c>
      <c r="W1759" s="9" t="str">
        <f aca="false">IF((H1759-G1759)&lt;&gt;K1759,"Mismatch","OK")</f>
        <v>OK</v>
      </c>
      <c r="X1759" s="9" t="str">
        <f aca="false">IF(TEXT(H1759,"dddd")&lt;&gt;I1759,"Mismatch","OK")</f>
        <v>OK</v>
      </c>
      <c r="Y1759" s="9" t="str">
        <f aca="false">IF(AND(N1759="No",O1759&lt;&gt;""),"Unexpected: channel present but no reminder sent",IF(AND(N1759="Yes",O1759=""),"Missing channel for sent reminder","OK"))</f>
        <v>OK</v>
      </c>
    </row>
    <row r="1760" customFormat="false" ht="15" hidden="false" customHeight="false" outlineLevel="0" collapsed="false">
      <c r="A1760" s="7" t="s">
        <v>2957</v>
      </c>
      <c r="B1760" s="7" t="s">
        <v>1771</v>
      </c>
      <c r="C1760" s="7" t="s">
        <v>47</v>
      </c>
      <c r="D1760" s="7" t="n">
        <v>79</v>
      </c>
      <c r="E1760" s="7" t="s">
        <v>70</v>
      </c>
      <c r="F1760" s="7" t="s">
        <v>57</v>
      </c>
      <c r="G1760" s="8" t="n">
        <v>45951</v>
      </c>
      <c r="H1760" s="8" t="n">
        <v>45969</v>
      </c>
      <c r="I1760" s="7" t="s">
        <v>102</v>
      </c>
      <c r="J1760" s="7" t="s">
        <v>51</v>
      </c>
      <c r="K1760" s="7" t="n">
        <v>18</v>
      </c>
      <c r="L1760" s="7" t="n">
        <v>3</v>
      </c>
      <c r="M1760" s="7" t="n">
        <v>2</v>
      </c>
      <c r="N1760" s="7" t="s">
        <v>42</v>
      </c>
      <c r="O1760" s="7" t="s">
        <v>43</v>
      </c>
      <c r="P1760" s="7" t="n">
        <v>10.7</v>
      </c>
      <c r="Q1760" s="7" t="n">
        <v>30</v>
      </c>
      <c r="R1760" s="7" t="s">
        <v>44</v>
      </c>
      <c r="S1760" s="7"/>
      <c r="T1760" s="7"/>
      <c r="U1760" s="7" t="str">
        <f aca="false">IF(COUNTIF($A$2:$A$5001,A1760)&gt;1,"Duplicate","Unique")</f>
        <v>Unique</v>
      </c>
      <c r="V1760" s="7" t="str">
        <f aca="false">IF(COUNTIFS($B$2:$B$5001,B1760,$H$2:$H$5001,H1760,$J$2:$J$5001,J1760)&gt;1,"Possible Duplicate Booking","Unique")</f>
        <v>Unique</v>
      </c>
      <c r="W1760" s="7" t="str">
        <f aca="false">IF((H1760-G1760)&lt;&gt;K1760,"Mismatch","OK")</f>
        <v>OK</v>
      </c>
      <c r="X1760" s="7" t="str">
        <f aca="false">IF(TEXT(H1760,"dddd")&lt;&gt;I1760,"Mismatch","OK")</f>
        <v>OK</v>
      </c>
      <c r="Y1760" s="7" t="str">
        <f aca="false">IF(AND(N1760="No",O1760&lt;&gt;""),"Unexpected: channel present but no reminder sent",IF(AND(N1760="Yes",O1760=""),"Missing channel for sent reminder","OK"))</f>
        <v>OK</v>
      </c>
    </row>
    <row r="1761" customFormat="false" ht="15" hidden="false" customHeight="false" outlineLevel="0" collapsed="false">
      <c r="A1761" s="9" t="s">
        <v>2958</v>
      </c>
      <c r="B1761" s="9" t="s">
        <v>2391</v>
      </c>
      <c r="C1761" s="9" t="s">
        <v>37</v>
      </c>
      <c r="D1761" s="9" t="n">
        <v>35</v>
      </c>
      <c r="E1761" s="9" t="s">
        <v>38</v>
      </c>
      <c r="F1761" s="9" t="s">
        <v>39</v>
      </c>
      <c r="G1761" s="10" t="n">
        <v>45917</v>
      </c>
      <c r="H1761" s="10" t="n">
        <v>45975</v>
      </c>
      <c r="I1761" s="9" t="s">
        <v>50</v>
      </c>
      <c r="J1761" s="9" t="s">
        <v>41</v>
      </c>
      <c r="K1761" s="9" t="n">
        <v>58</v>
      </c>
      <c r="L1761" s="9" t="n">
        <v>6</v>
      </c>
      <c r="M1761" s="9" t="n">
        <v>1</v>
      </c>
      <c r="N1761" s="9" t="s">
        <v>42</v>
      </c>
      <c r="O1761" s="9" t="s">
        <v>43</v>
      </c>
      <c r="P1761" s="9" t="n">
        <v>12.2</v>
      </c>
      <c r="Q1761" s="9" t="n">
        <v>33</v>
      </c>
      <c r="R1761" s="9" t="s">
        <v>44</v>
      </c>
      <c r="S1761" s="9"/>
      <c r="T1761" s="9"/>
      <c r="U1761" s="9" t="str">
        <f aca="false">IF(COUNTIF($A$2:$A$5001,A1761)&gt;1,"Duplicate","Unique")</f>
        <v>Unique</v>
      </c>
      <c r="V1761" s="9" t="str">
        <f aca="false">IF(COUNTIFS($B$2:$B$5001,B1761,$H$2:$H$5001,H1761,$J$2:$J$5001,J1761)&gt;1,"Possible Duplicate Booking","Unique")</f>
        <v>Unique</v>
      </c>
      <c r="W1761" s="9" t="str">
        <f aca="false">IF((H1761-G1761)&lt;&gt;K1761,"Mismatch","OK")</f>
        <v>OK</v>
      </c>
      <c r="X1761" s="9" t="str">
        <f aca="false">IF(TEXT(H1761,"dddd")&lt;&gt;I1761,"Mismatch","OK")</f>
        <v>OK</v>
      </c>
      <c r="Y1761" s="9" t="str">
        <f aca="false">IF(AND(N1761="No",O1761&lt;&gt;""),"Unexpected: channel present but no reminder sent",IF(AND(N1761="Yes",O1761=""),"Missing channel for sent reminder","OK"))</f>
        <v>OK</v>
      </c>
    </row>
    <row r="1762" customFormat="false" ht="15" hidden="false" customHeight="false" outlineLevel="0" collapsed="false">
      <c r="A1762" s="7" t="s">
        <v>2959</v>
      </c>
      <c r="B1762" s="7" t="s">
        <v>364</v>
      </c>
      <c r="C1762" s="7" t="s">
        <v>47</v>
      </c>
      <c r="D1762" s="7" t="n">
        <v>30</v>
      </c>
      <c r="E1762" s="7" t="s">
        <v>48</v>
      </c>
      <c r="F1762" s="7" t="s">
        <v>74</v>
      </c>
      <c r="G1762" s="8" t="n">
        <v>45866</v>
      </c>
      <c r="H1762" s="8" t="n">
        <v>45868</v>
      </c>
      <c r="I1762" s="7" t="s">
        <v>58</v>
      </c>
      <c r="J1762" s="7" t="s">
        <v>41</v>
      </c>
      <c r="K1762" s="7" t="n">
        <v>2</v>
      </c>
      <c r="L1762" s="7" t="n">
        <v>2</v>
      </c>
      <c r="M1762" s="7" t="n">
        <v>2</v>
      </c>
      <c r="N1762" s="7" t="s">
        <v>42</v>
      </c>
      <c r="O1762" s="7" t="s">
        <v>67</v>
      </c>
      <c r="P1762" s="7" t="n">
        <v>4</v>
      </c>
      <c r="Q1762" s="7" t="n">
        <v>36</v>
      </c>
      <c r="R1762" s="7" t="s">
        <v>53</v>
      </c>
      <c r="S1762" s="7"/>
      <c r="T1762" s="7"/>
      <c r="U1762" s="7" t="str">
        <f aca="false">IF(COUNTIF($A$2:$A$5001,A1762)&gt;1,"Duplicate","Unique")</f>
        <v>Unique</v>
      </c>
      <c r="V1762" s="7" t="str">
        <f aca="false">IF(COUNTIFS($B$2:$B$5001,B1762,$H$2:$H$5001,H1762,$J$2:$J$5001,J1762)&gt;1,"Possible Duplicate Booking","Unique")</f>
        <v>Unique</v>
      </c>
      <c r="W1762" s="7" t="str">
        <f aca="false">IF((H1762-G1762)&lt;&gt;K1762,"Mismatch","OK")</f>
        <v>OK</v>
      </c>
      <c r="X1762" s="7" t="str">
        <f aca="false">IF(TEXT(H1762,"dddd")&lt;&gt;I1762,"Mismatch","OK")</f>
        <v>OK</v>
      </c>
      <c r="Y1762" s="7" t="str">
        <f aca="false">IF(AND(N1762="No",O1762&lt;&gt;""),"Unexpected: channel present but no reminder sent",IF(AND(N1762="Yes",O1762=""),"Missing channel for sent reminder","OK"))</f>
        <v>OK</v>
      </c>
    </row>
    <row r="1763" customFormat="false" ht="15" hidden="false" customHeight="false" outlineLevel="0" collapsed="false">
      <c r="A1763" s="9" t="s">
        <v>2960</v>
      </c>
      <c r="B1763" s="9" t="s">
        <v>2961</v>
      </c>
      <c r="C1763" s="9" t="s">
        <v>47</v>
      </c>
      <c r="D1763" s="9" t="n">
        <v>37</v>
      </c>
      <c r="E1763" s="9" t="s">
        <v>38</v>
      </c>
      <c r="F1763" s="9" t="s">
        <v>57</v>
      </c>
      <c r="G1763" s="10" t="n">
        <v>45864</v>
      </c>
      <c r="H1763" s="10" t="n">
        <v>45881</v>
      </c>
      <c r="I1763" s="9" t="s">
        <v>40</v>
      </c>
      <c r="J1763" s="9" t="s">
        <v>41</v>
      </c>
      <c r="K1763" s="9" t="n">
        <v>17</v>
      </c>
      <c r="L1763" s="9" t="n">
        <v>3</v>
      </c>
      <c r="M1763" s="9" t="n">
        <v>0</v>
      </c>
      <c r="N1763" s="9" t="s">
        <v>42</v>
      </c>
      <c r="O1763" s="9" t="s">
        <v>43</v>
      </c>
      <c r="P1763" s="9" t="n">
        <v>5.5</v>
      </c>
      <c r="Q1763" s="9" t="n">
        <v>33</v>
      </c>
      <c r="R1763" s="9" t="s">
        <v>53</v>
      </c>
      <c r="S1763" s="9"/>
      <c r="T1763" s="9"/>
      <c r="U1763" s="9" t="str">
        <f aca="false">IF(COUNTIF($A$2:$A$5001,A1763)&gt;1,"Duplicate","Unique")</f>
        <v>Unique</v>
      </c>
      <c r="V1763" s="9" t="str">
        <f aca="false">IF(COUNTIFS($B$2:$B$5001,B1763,$H$2:$H$5001,H1763,$J$2:$J$5001,J1763)&gt;1,"Possible Duplicate Booking","Unique")</f>
        <v>Unique</v>
      </c>
      <c r="W1763" s="9" t="str">
        <f aca="false">IF((H1763-G1763)&lt;&gt;K1763,"Mismatch","OK")</f>
        <v>OK</v>
      </c>
      <c r="X1763" s="9" t="str">
        <f aca="false">IF(TEXT(H1763,"dddd")&lt;&gt;I1763,"Mismatch","OK")</f>
        <v>OK</v>
      </c>
      <c r="Y1763" s="9" t="str">
        <f aca="false">IF(AND(N1763="No",O1763&lt;&gt;""),"Unexpected: channel present but no reminder sent",IF(AND(N1763="Yes",O1763=""),"Missing channel for sent reminder","OK"))</f>
        <v>OK</v>
      </c>
    </row>
    <row r="1764" customFormat="false" ht="15" hidden="false" customHeight="false" outlineLevel="0" collapsed="false">
      <c r="A1764" s="7" t="s">
        <v>2962</v>
      </c>
      <c r="B1764" s="7" t="s">
        <v>2963</v>
      </c>
      <c r="C1764" s="7" t="s">
        <v>47</v>
      </c>
      <c r="D1764" s="7" t="n">
        <v>31</v>
      </c>
      <c r="E1764" s="7" t="s">
        <v>48</v>
      </c>
      <c r="F1764" s="7" t="s">
        <v>49</v>
      </c>
      <c r="G1764" s="8" t="n">
        <v>45655</v>
      </c>
      <c r="H1764" s="8" t="n">
        <v>45663</v>
      </c>
      <c r="I1764" s="7" t="s">
        <v>66</v>
      </c>
      <c r="J1764" s="7" t="s">
        <v>51</v>
      </c>
      <c r="K1764" s="7" t="n">
        <v>8</v>
      </c>
      <c r="L1764" s="7" t="n">
        <v>5</v>
      </c>
      <c r="M1764" s="7" t="n">
        <v>1</v>
      </c>
      <c r="N1764" s="7" t="s">
        <v>42</v>
      </c>
      <c r="O1764" s="7" t="s">
        <v>52</v>
      </c>
      <c r="P1764" s="7" t="n">
        <v>8.9</v>
      </c>
      <c r="Q1764" s="7" t="n">
        <v>3</v>
      </c>
      <c r="R1764" s="7" t="s">
        <v>53</v>
      </c>
      <c r="S1764" s="7"/>
      <c r="T1764" s="7"/>
      <c r="U1764" s="7" t="str">
        <f aca="false">IF(COUNTIF($A$2:$A$5001,A1764)&gt;1,"Duplicate","Unique")</f>
        <v>Unique</v>
      </c>
      <c r="V1764" s="7" t="str">
        <f aca="false">IF(COUNTIFS($B$2:$B$5001,B1764,$H$2:$H$5001,H1764,$J$2:$J$5001,J1764)&gt;1,"Possible Duplicate Booking","Unique")</f>
        <v>Unique</v>
      </c>
      <c r="W1764" s="7" t="str">
        <f aca="false">IF((H1764-G1764)&lt;&gt;K1764,"Mismatch","OK")</f>
        <v>OK</v>
      </c>
      <c r="X1764" s="7" t="str">
        <f aca="false">IF(TEXT(H1764,"dddd")&lt;&gt;I1764,"Mismatch","OK")</f>
        <v>OK</v>
      </c>
      <c r="Y1764" s="7" t="str">
        <f aca="false">IF(AND(N1764="No",O1764&lt;&gt;""),"Unexpected: channel present but no reminder sent",IF(AND(N1764="Yes",O1764=""),"Missing channel for sent reminder","OK"))</f>
        <v>OK</v>
      </c>
    </row>
    <row r="1765" customFormat="false" ht="15" hidden="false" customHeight="false" outlineLevel="0" collapsed="false">
      <c r="A1765" s="9" t="s">
        <v>2964</v>
      </c>
      <c r="B1765" s="9" t="s">
        <v>2302</v>
      </c>
      <c r="C1765" s="9" t="s">
        <v>37</v>
      </c>
      <c r="D1765" s="9" t="n">
        <v>32</v>
      </c>
      <c r="E1765" s="9" t="s">
        <v>48</v>
      </c>
      <c r="F1765" s="9" t="s">
        <v>49</v>
      </c>
      <c r="G1765" s="10" t="n">
        <v>45934</v>
      </c>
      <c r="H1765" s="10" t="n">
        <v>45986</v>
      </c>
      <c r="I1765" s="9" t="s">
        <v>40</v>
      </c>
      <c r="J1765" s="9" t="s">
        <v>51</v>
      </c>
      <c r="K1765" s="9" t="n">
        <v>52</v>
      </c>
      <c r="L1765" s="9" t="n">
        <v>2</v>
      </c>
      <c r="M1765" s="9" t="n">
        <v>1</v>
      </c>
      <c r="N1765" s="9" t="s">
        <v>71</v>
      </c>
      <c r="O1765" s="9"/>
      <c r="P1765" s="9" t="n">
        <v>6.3</v>
      </c>
      <c r="Q1765" s="9" t="n">
        <v>8</v>
      </c>
      <c r="R1765" s="9" t="s">
        <v>44</v>
      </c>
      <c r="S1765" s="9"/>
      <c r="T1765" s="9"/>
      <c r="U1765" s="9" t="str">
        <f aca="false">IF(COUNTIF($A$2:$A$5001,A1765)&gt;1,"Duplicate","Unique")</f>
        <v>Unique</v>
      </c>
      <c r="V1765" s="9" t="str">
        <f aca="false">IF(COUNTIFS($B$2:$B$5001,B1765,$H$2:$H$5001,H1765,$J$2:$J$5001,J1765)&gt;1,"Possible Duplicate Booking","Unique")</f>
        <v>Unique</v>
      </c>
      <c r="W1765" s="9" t="str">
        <f aca="false">IF((H1765-G1765)&lt;&gt;K1765,"Mismatch","OK")</f>
        <v>OK</v>
      </c>
      <c r="X1765" s="9" t="str">
        <f aca="false">IF(TEXT(H1765,"dddd")&lt;&gt;I1765,"Mismatch","OK")</f>
        <v>OK</v>
      </c>
      <c r="Y1765" s="9" t="str">
        <f aca="false">IF(AND(N1765="No",O1765&lt;&gt;""),"Unexpected: channel present but no reminder sent",IF(AND(N1765="Yes",O1765=""),"Missing channel for sent reminder","OK"))</f>
        <v>OK</v>
      </c>
    </row>
    <row r="1766" customFormat="false" ht="15" hidden="false" customHeight="false" outlineLevel="0" collapsed="false">
      <c r="A1766" s="7" t="s">
        <v>2965</v>
      </c>
      <c r="B1766" s="7" t="s">
        <v>2966</v>
      </c>
      <c r="C1766" s="7" t="s">
        <v>37</v>
      </c>
      <c r="D1766" s="7" t="n">
        <v>49</v>
      </c>
      <c r="E1766" s="7" t="s">
        <v>56</v>
      </c>
      <c r="F1766" s="7" t="s">
        <v>57</v>
      </c>
      <c r="G1766" s="8" t="n">
        <v>45943</v>
      </c>
      <c r="H1766" s="8" t="n">
        <v>45972</v>
      </c>
      <c r="I1766" s="7" t="s">
        <v>40</v>
      </c>
      <c r="J1766" s="7" t="s">
        <v>41</v>
      </c>
      <c r="K1766" s="7" t="n">
        <v>29</v>
      </c>
      <c r="L1766" s="7" t="n">
        <v>7</v>
      </c>
      <c r="M1766" s="7" t="n">
        <v>2</v>
      </c>
      <c r="N1766" s="7" t="s">
        <v>42</v>
      </c>
      <c r="O1766" s="7" t="s">
        <v>52</v>
      </c>
      <c r="P1766" s="7" t="n">
        <v>7.6</v>
      </c>
      <c r="Q1766" s="7" t="n">
        <v>36</v>
      </c>
      <c r="R1766" s="7" t="s">
        <v>53</v>
      </c>
      <c r="S1766" s="7"/>
      <c r="T1766" s="7"/>
      <c r="U1766" s="7" t="str">
        <f aca="false">IF(COUNTIF($A$2:$A$5001,A1766)&gt;1,"Duplicate","Unique")</f>
        <v>Unique</v>
      </c>
      <c r="V1766" s="7" t="str">
        <f aca="false">IF(COUNTIFS($B$2:$B$5001,B1766,$H$2:$H$5001,H1766,$J$2:$J$5001,J1766)&gt;1,"Possible Duplicate Booking","Unique")</f>
        <v>Unique</v>
      </c>
      <c r="W1766" s="7" t="str">
        <f aca="false">IF((H1766-G1766)&lt;&gt;K1766,"Mismatch","OK")</f>
        <v>OK</v>
      </c>
      <c r="X1766" s="7" t="str">
        <f aca="false">IF(TEXT(H1766,"dddd")&lt;&gt;I1766,"Mismatch","OK")</f>
        <v>OK</v>
      </c>
      <c r="Y1766" s="7" t="str">
        <f aca="false">IF(AND(N1766="No",O1766&lt;&gt;""),"Unexpected: channel present but no reminder sent",IF(AND(N1766="Yes",O1766=""),"Missing channel for sent reminder","OK"))</f>
        <v>OK</v>
      </c>
    </row>
    <row r="1767" customFormat="false" ht="15" hidden="false" customHeight="false" outlineLevel="0" collapsed="false">
      <c r="A1767" s="9" t="s">
        <v>2967</v>
      </c>
      <c r="B1767" s="9" t="s">
        <v>134</v>
      </c>
      <c r="C1767" s="9" t="s">
        <v>47</v>
      </c>
      <c r="D1767" s="9" t="n">
        <v>67</v>
      </c>
      <c r="E1767" s="9" t="s">
        <v>70</v>
      </c>
      <c r="F1767" s="9" t="s">
        <v>49</v>
      </c>
      <c r="G1767" s="10" t="n">
        <v>46112</v>
      </c>
      <c r="H1767" s="10" t="n">
        <v>46168</v>
      </c>
      <c r="I1767" s="9" t="s">
        <v>40</v>
      </c>
      <c r="J1767" s="9" t="s">
        <v>41</v>
      </c>
      <c r="K1767" s="9" t="n">
        <v>56</v>
      </c>
      <c r="L1767" s="9" t="n">
        <v>5</v>
      </c>
      <c r="M1767" s="9" t="n">
        <v>0</v>
      </c>
      <c r="N1767" s="9" t="s">
        <v>42</v>
      </c>
      <c r="O1767" s="9" t="s">
        <v>67</v>
      </c>
      <c r="P1767" s="9" t="n">
        <v>8.2</v>
      </c>
      <c r="Q1767" s="9" t="n">
        <v>19</v>
      </c>
      <c r="R1767" s="9" t="s">
        <v>44</v>
      </c>
      <c r="S1767" s="9"/>
      <c r="T1767" s="9"/>
      <c r="U1767" s="9" t="str">
        <f aca="false">IF(COUNTIF($A$2:$A$5001,A1767)&gt;1,"Duplicate","Unique")</f>
        <v>Unique</v>
      </c>
      <c r="V1767" s="9" t="str">
        <f aca="false">IF(COUNTIFS($B$2:$B$5001,B1767,$H$2:$H$5001,H1767,$J$2:$J$5001,J1767)&gt;1,"Possible Duplicate Booking","Unique")</f>
        <v>Unique</v>
      </c>
      <c r="W1767" s="9" t="str">
        <f aca="false">IF((H1767-G1767)&lt;&gt;K1767,"Mismatch","OK")</f>
        <v>OK</v>
      </c>
      <c r="X1767" s="9" t="str">
        <f aca="false">IF(TEXT(H1767,"dddd")&lt;&gt;I1767,"Mismatch","OK")</f>
        <v>OK</v>
      </c>
      <c r="Y1767" s="9" t="str">
        <f aca="false">IF(AND(N1767="No",O1767&lt;&gt;""),"Unexpected: channel present but no reminder sent",IF(AND(N1767="Yes",O1767=""),"Missing channel for sent reminder","OK"))</f>
        <v>OK</v>
      </c>
    </row>
    <row r="1768" customFormat="false" ht="15" hidden="false" customHeight="false" outlineLevel="0" collapsed="false">
      <c r="A1768" s="7" t="s">
        <v>2968</v>
      </c>
      <c r="B1768" s="7" t="s">
        <v>2969</v>
      </c>
      <c r="C1768" s="7" t="s">
        <v>47</v>
      </c>
      <c r="D1768" s="7" t="n">
        <v>62</v>
      </c>
      <c r="E1768" s="7" t="s">
        <v>61</v>
      </c>
      <c r="F1768" s="7" t="s">
        <v>39</v>
      </c>
      <c r="G1768" s="8" t="n">
        <v>45893</v>
      </c>
      <c r="H1768" s="8" t="n">
        <v>45933</v>
      </c>
      <c r="I1768" s="7" t="s">
        <v>50</v>
      </c>
      <c r="J1768" s="7" t="s">
        <v>41</v>
      </c>
      <c r="K1768" s="7" t="n">
        <v>40</v>
      </c>
      <c r="L1768" s="7" t="n">
        <v>5</v>
      </c>
      <c r="M1768" s="7" t="n">
        <v>2</v>
      </c>
      <c r="N1768" s="7" t="s">
        <v>42</v>
      </c>
      <c r="O1768" s="7" t="s">
        <v>52</v>
      </c>
      <c r="P1768" s="7" t="n">
        <v>7</v>
      </c>
      <c r="Q1768" s="7" t="n">
        <v>22</v>
      </c>
      <c r="R1768" s="7" t="s">
        <v>53</v>
      </c>
      <c r="S1768" s="7"/>
      <c r="T1768" s="7"/>
      <c r="U1768" s="7" t="str">
        <f aca="false">IF(COUNTIF($A$2:$A$5001,A1768)&gt;1,"Duplicate","Unique")</f>
        <v>Unique</v>
      </c>
      <c r="V1768" s="7" t="str">
        <f aca="false">IF(COUNTIFS($B$2:$B$5001,B1768,$H$2:$H$5001,H1768,$J$2:$J$5001,J1768)&gt;1,"Possible Duplicate Booking","Unique")</f>
        <v>Unique</v>
      </c>
      <c r="W1768" s="7" t="str">
        <f aca="false">IF((H1768-G1768)&lt;&gt;K1768,"Mismatch","OK")</f>
        <v>OK</v>
      </c>
      <c r="X1768" s="7" t="str">
        <f aca="false">IF(TEXT(H1768,"dddd")&lt;&gt;I1768,"Mismatch","OK")</f>
        <v>OK</v>
      </c>
      <c r="Y1768" s="7" t="str">
        <f aca="false">IF(AND(N1768="No",O1768&lt;&gt;""),"Unexpected: channel present but no reminder sent",IF(AND(N1768="Yes",O1768=""),"Missing channel for sent reminder","OK"))</f>
        <v>OK</v>
      </c>
    </row>
    <row r="1769" customFormat="false" ht="15" hidden="false" customHeight="false" outlineLevel="0" collapsed="false">
      <c r="A1769" s="9" t="s">
        <v>2970</v>
      </c>
      <c r="B1769" s="9" t="s">
        <v>582</v>
      </c>
      <c r="C1769" s="9" t="s">
        <v>37</v>
      </c>
      <c r="D1769" s="9" t="n">
        <v>78</v>
      </c>
      <c r="E1769" s="9" t="s">
        <v>70</v>
      </c>
      <c r="F1769" s="9" t="s">
        <v>49</v>
      </c>
      <c r="G1769" s="10" t="n">
        <v>45880</v>
      </c>
      <c r="H1769" s="10" t="n">
        <v>45913</v>
      </c>
      <c r="I1769" s="9" t="s">
        <v>102</v>
      </c>
      <c r="J1769" s="9" t="s">
        <v>41</v>
      </c>
      <c r="K1769" s="9" t="n">
        <v>33</v>
      </c>
      <c r="L1769" s="9" t="n">
        <v>3</v>
      </c>
      <c r="M1769" s="9" t="n">
        <v>0</v>
      </c>
      <c r="N1769" s="9" t="s">
        <v>42</v>
      </c>
      <c r="O1769" s="9" t="s">
        <v>52</v>
      </c>
      <c r="P1769" s="9" t="n">
        <v>6.3</v>
      </c>
      <c r="Q1769" s="9" t="n">
        <v>31</v>
      </c>
      <c r="R1769" s="9" t="s">
        <v>53</v>
      </c>
      <c r="S1769" s="9"/>
      <c r="T1769" s="9"/>
      <c r="U1769" s="9" t="str">
        <f aca="false">IF(COUNTIF($A$2:$A$5001,A1769)&gt;1,"Duplicate","Unique")</f>
        <v>Unique</v>
      </c>
      <c r="V1769" s="9" t="str">
        <f aca="false">IF(COUNTIFS($B$2:$B$5001,B1769,$H$2:$H$5001,H1769,$J$2:$J$5001,J1769)&gt;1,"Possible Duplicate Booking","Unique")</f>
        <v>Unique</v>
      </c>
      <c r="W1769" s="9" t="str">
        <f aca="false">IF((H1769-G1769)&lt;&gt;K1769,"Mismatch","OK")</f>
        <v>OK</v>
      </c>
      <c r="X1769" s="9" t="str">
        <f aca="false">IF(TEXT(H1769,"dddd")&lt;&gt;I1769,"Mismatch","OK")</f>
        <v>OK</v>
      </c>
      <c r="Y1769" s="9" t="str">
        <f aca="false">IF(AND(N1769="No",O1769&lt;&gt;""),"Unexpected: channel present but no reminder sent",IF(AND(N1769="Yes",O1769=""),"Missing channel for sent reminder","OK"))</f>
        <v>OK</v>
      </c>
    </row>
    <row r="1770" customFormat="false" ht="15" hidden="false" customHeight="false" outlineLevel="0" collapsed="false">
      <c r="A1770" s="7" t="s">
        <v>2971</v>
      </c>
      <c r="B1770" s="7" t="s">
        <v>1131</v>
      </c>
      <c r="C1770" s="7" t="s">
        <v>47</v>
      </c>
      <c r="D1770" s="7" t="n">
        <v>40</v>
      </c>
      <c r="E1770" s="7" t="s">
        <v>38</v>
      </c>
      <c r="F1770" s="7" t="s">
        <v>74</v>
      </c>
      <c r="G1770" s="8" t="n">
        <v>45663</v>
      </c>
      <c r="H1770" s="8" t="n">
        <v>45694</v>
      </c>
      <c r="I1770" s="7" t="s">
        <v>62</v>
      </c>
      <c r="J1770" s="7" t="s">
        <v>41</v>
      </c>
      <c r="K1770" s="7" t="n">
        <v>31</v>
      </c>
      <c r="L1770" s="7" t="n">
        <v>5</v>
      </c>
      <c r="M1770" s="7" t="n">
        <v>0</v>
      </c>
      <c r="N1770" s="7" t="s">
        <v>42</v>
      </c>
      <c r="O1770" s="7" t="s">
        <v>52</v>
      </c>
      <c r="P1770" s="7" t="n">
        <v>4.6</v>
      </c>
      <c r="Q1770" s="7" t="n">
        <v>38</v>
      </c>
      <c r="R1770" s="7" t="s">
        <v>53</v>
      </c>
      <c r="S1770" s="7"/>
      <c r="T1770" s="7"/>
      <c r="U1770" s="7" t="str">
        <f aca="false">IF(COUNTIF($A$2:$A$5001,A1770)&gt;1,"Duplicate","Unique")</f>
        <v>Unique</v>
      </c>
      <c r="V1770" s="7" t="str">
        <f aca="false">IF(COUNTIFS($B$2:$B$5001,B1770,$H$2:$H$5001,H1770,$J$2:$J$5001,J1770)&gt;1,"Possible Duplicate Booking","Unique")</f>
        <v>Unique</v>
      </c>
      <c r="W1770" s="7" t="str">
        <f aca="false">IF((H1770-G1770)&lt;&gt;K1770,"Mismatch","OK")</f>
        <v>OK</v>
      </c>
      <c r="X1770" s="7" t="str">
        <f aca="false">IF(TEXT(H1770,"dddd")&lt;&gt;I1770,"Mismatch","OK")</f>
        <v>OK</v>
      </c>
      <c r="Y1770" s="7" t="str">
        <f aca="false">IF(AND(N1770="No",O1770&lt;&gt;""),"Unexpected: channel present but no reminder sent",IF(AND(N1770="Yes",O1770=""),"Missing channel for sent reminder","OK"))</f>
        <v>OK</v>
      </c>
    </row>
    <row r="1771" customFormat="false" ht="15" hidden="false" customHeight="false" outlineLevel="0" collapsed="false">
      <c r="A1771" s="9" t="s">
        <v>2972</v>
      </c>
      <c r="B1771" s="9" t="s">
        <v>2973</v>
      </c>
      <c r="C1771" s="9" t="s">
        <v>37</v>
      </c>
      <c r="D1771" s="9" t="n">
        <v>49</v>
      </c>
      <c r="E1771" s="9" t="s">
        <v>56</v>
      </c>
      <c r="F1771" s="9" t="s">
        <v>49</v>
      </c>
      <c r="G1771" s="10" t="n">
        <v>45753</v>
      </c>
      <c r="H1771" s="10" t="n">
        <v>45765</v>
      </c>
      <c r="I1771" s="9" t="s">
        <v>50</v>
      </c>
      <c r="J1771" s="9" t="s">
        <v>41</v>
      </c>
      <c r="K1771" s="9" t="n">
        <v>12</v>
      </c>
      <c r="L1771" s="9" t="n">
        <v>5</v>
      </c>
      <c r="M1771" s="9" t="n">
        <v>1</v>
      </c>
      <c r="N1771" s="9" t="s">
        <v>42</v>
      </c>
      <c r="O1771" s="9" t="s">
        <v>52</v>
      </c>
      <c r="P1771" s="9" t="n">
        <v>7.2</v>
      </c>
      <c r="Q1771" s="9" t="n">
        <v>29</v>
      </c>
      <c r="R1771" s="9" t="s">
        <v>44</v>
      </c>
      <c r="S1771" s="9"/>
      <c r="T1771" s="9"/>
      <c r="U1771" s="9" t="str">
        <f aca="false">IF(COUNTIF($A$2:$A$5001,A1771)&gt;1,"Duplicate","Unique")</f>
        <v>Unique</v>
      </c>
      <c r="V1771" s="9" t="str">
        <f aca="false">IF(COUNTIFS($B$2:$B$5001,B1771,$H$2:$H$5001,H1771,$J$2:$J$5001,J1771)&gt;1,"Possible Duplicate Booking","Unique")</f>
        <v>Unique</v>
      </c>
      <c r="W1771" s="9" t="str">
        <f aca="false">IF((H1771-G1771)&lt;&gt;K1771,"Mismatch","OK")</f>
        <v>OK</v>
      </c>
      <c r="X1771" s="9" t="str">
        <f aca="false">IF(TEXT(H1771,"dddd")&lt;&gt;I1771,"Mismatch","OK")</f>
        <v>OK</v>
      </c>
      <c r="Y1771" s="9" t="str">
        <f aca="false">IF(AND(N1771="No",O1771&lt;&gt;""),"Unexpected: channel present but no reminder sent",IF(AND(N1771="Yes",O1771=""),"Missing channel for sent reminder","OK"))</f>
        <v>OK</v>
      </c>
    </row>
    <row r="1772" customFormat="false" ht="15" hidden="false" customHeight="false" outlineLevel="0" collapsed="false">
      <c r="A1772" s="7" t="s">
        <v>2974</v>
      </c>
      <c r="B1772" s="7" t="s">
        <v>978</v>
      </c>
      <c r="C1772" s="7" t="s">
        <v>37</v>
      </c>
      <c r="D1772" s="7" t="n">
        <v>41</v>
      </c>
      <c r="E1772" s="7" t="s">
        <v>38</v>
      </c>
      <c r="F1772" s="7" t="s">
        <v>57</v>
      </c>
      <c r="G1772" s="8" t="n">
        <v>45808</v>
      </c>
      <c r="H1772" s="8" t="n">
        <v>45842</v>
      </c>
      <c r="I1772" s="7" t="s">
        <v>50</v>
      </c>
      <c r="J1772" s="7" t="s">
        <v>63</v>
      </c>
      <c r="K1772" s="7" t="n">
        <v>34</v>
      </c>
      <c r="L1772" s="7" t="n">
        <v>1</v>
      </c>
      <c r="M1772" s="7" t="n">
        <v>0</v>
      </c>
      <c r="N1772" s="7" t="s">
        <v>42</v>
      </c>
      <c r="O1772" s="7" t="s">
        <v>52</v>
      </c>
      <c r="P1772" s="7" t="n">
        <v>6.1</v>
      </c>
      <c r="Q1772" s="7" t="n">
        <v>15</v>
      </c>
      <c r="R1772" s="7" t="s">
        <v>53</v>
      </c>
      <c r="S1772" s="7"/>
      <c r="T1772" s="7"/>
      <c r="U1772" s="7" t="str">
        <f aca="false">IF(COUNTIF($A$2:$A$5001,A1772)&gt;1,"Duplicate","Unique")</f>
        <v>Unique</v>
      </c>
      <c r="V1772" s="7" t="str">
        <f aca="false">IF(COUNTIFS($B$2:$B$5001,B1772,$H$2:$H$5001,H1772,$J$2:$J$5001,J1772)&gt;1,"Possible Duplicate Booking","Unique")</f>
        <v>Unique</v>
      </c>
      <c r="W1772" s="7" t="str">
        <f aca="false">IF((H1772-G1772)&lt;&gt;K1772,"Mismatch","OK")</f>
        <v>OK</v>
      </c>
      <c r="X1772" s="7" t="str">
        <f aca="false">IF(TEXT(H1772,"dddd")&lt;&gt;I1772,"Mismatch","OK")</f>
        <v>OK</v>
      </c>
      <c r="Y1772" s="7" t="str">
        <f aca="false">IF(AND(N1772="No",O1772&lt;&gt;""),"Unexpected: channel present but no reminder sent",IF(AND(N1772="Yes",O1772=""),"Missing channel for sent reminder","OK"))</f>
        <v>OK</v>
      </c>
    </row>
    <row r="1773" customFormat="false" ht="15" hidden="false" customHeight="false" outlineLevel="0" collapsed="false">
      <c r="A1773" s="9" t="s">
        <v>2975</v>
      </c>
      <c r="B1773" s="9" t="s">
        <v>2913</v>
      </c>
      <c r="C1773" s="9" t="s">
        <v>37</v>
      </c>
      <c r="D1773" s="9" t="n">
        <v>20</v>
      </c>
      <c r="E1773" s="9" t="s">
        <v>82</v>
      </c>
      <c r="F1773" s="9" t="s">
        <v>49</v>
      </c>
      <c r="G1773" s="10" t="n">
        <v>45822</v>
      </c>
      <c r="H1773" s="10" t="n">
        <v>45863</v>
      </c>
      <c r="I1773" s="9" t="s">
        <v>50</v>
      </c>
      <c r="J1773" s="9" t="s">
        <v>41</v>
      </c>
      <c r="K1773" s="9" t="n">
        <v>41</v>
      </c>
      <c r="L1773" s="9" t="n">
        <v>3</v>
      </c>
      <c r="M1773" s="9" t="n">
        <v>1</v>
      </c>
      <c r="N1773" s="9" t="s">
        <v>71</v>
      </c>
      <c r="O1773" s="9"/>
      <c r="P1773" s="9" t="n">
        <v>13</v>
      </c>
      <c r="Q1773" s="9" t="n">
        <v>11</v>
      </c>
      <c r="R1773" s="9" t="s">
        <v>53</v>
      </c>
      <c r="S1773" s="9"/>
      <c r="T1773" s="9"/>
      <c r="U1773" s="9" t="str">
        <f aca="false">IF(COUNTIF($A$2:$A$5001,A1773)&gt;1,"Duplicate","Unique")</f>
        <v>Unique</v>
      </c>
      <c r="V1773" s="9" t="str">
        <f aca="false">IF(COUNTIFS($B$2:$B$5001,B1773,$H$2:$H$5001,H1773,$J$2:$J$5001,J1773)&gt;1,"Possible Duplicate Booking","Unique")</f>
        <v>Unique</v>
      </c>
      <c r="W1773" s="9" t="str">
        <f aca="false">IF((H1773-G1773)&lt;&gt;K1773,"Mismatch","OK")</f>
        <v>OK</v>
      </c>
      <c r="X1773" s="9" t="str">
        <f aca="false">IF(TEXT(H1773,"dddd")&lt;&gt;I1773,"Mismatch","OK")</f>
        <v>OK</v>
      </c>
      <c r="Y1773" s="9" t="str">
        <f aca="false">IF(AND(N1773="No",O1773&lt;&gt;""),"Unexpected: channel present but no reminder sent",IF(AND(N1773="Yes",O1773=""),"Missing channel for sent reminder","OK"))</f>
        <v>OK</v>
      </c>
    </row>
    <row r="1774" customFormat="false" ht="15" hidden="false" customHeight="false" outlineLevel="0" collapsed="false">
      <c r="A1774" s="7" t="s">
        <v>2976</v>
      </c>
      <c r="B1774" s="7" t="s">
        <v>350</v>
      </c>
      <c r="C1774" s="7" t="s">
        <v>47</v>
      </c>
      <c r="D1774" s="7" t="n">
        <v>42</v>
      </c>
      <c r="E1774" s="7" t="s">
        <v>38</v>
      </c>
      <c r="F1774" s="7" t="s">
        <v>74</v>
      </c>
      <c r="G1774" s="8" t="n">
        <v>45798</v>
      </c>
      <c r="H1774" s="8" t="n">
        <v>45856</v>
      </c>
      <c r="I1774" s="7" t="s">
        <v>50</v>
      </c>
      <c r="J1774" s="7" t="s">
        <v>63</v>
      </c>
      <c r="K1774" s="7" t="n">
        <v>58</v>
      </c>
      <c r="L1774" s="7" t="n">
        <v>0</v>
      </c>
      <c r="M1774" s="7" t="n">
        <v>0</v>
      </c>
      <c r="N1774" s="7" t="s">
        <v>42</v>
      </c>
      <c r="O1774" s="7" t="s">
        <v>43</v>
      </c>
      <c r="P1774" s="7" t="n">
        <v>11.4</v>
      </c>
      <c r="Q1774" s="7" t="n">
        <v>12</v>
      </c>
      <c r="R1774" s="7" t="s">
        <v>44</v>
      </c>
      <c r="S1774" s="7"/>
      <c r="T1774" s="7"/>
      <c r="U1774" s="7" t="str">
        <f aca="false">IF(COUNTIF($A$2:$A$5001,A1774)&gt;1,"Duplicate","Unique")</f>
        <v>Unique</v>
      </c>
      <c r="V1774" s="7" t="str">
        <f aca="false">IF(COUNTIFS($B$2:$B$5001,B1774,$H$2:$H$5001,H1774,$J$2:$J$5001,J1774)&gt;1,"Possible Duplicate Booking","Unique")</f>
        <v>Unique</v>
      </c>
      <c r="W1774" s="7" t="str">
        <f aca="false">IF((H1774-G1774)&lt;&gt;K1774,"Mismatch","OK")</f>
        <v>OK</v>
      </c>
      <c r="X1774" s="7" t="str">
        <f aca="false">IF(TEXT(H1774,"dddd")&lt;&gt;I1774,"Mismatch","OK")</f>
        <v>OK</v>
      </c>
      <c r="Y1774" s="7" t="str">
        <f aca="false">IF(AND(N1774="No",O1774&lt;&gt;""),"Unexpected: channel present but no reminder sent",IF(AND(N1774="Yes",O1774=""),"Missing channel for sent reminder","OK"))</f>
        <v>OK</v>
      </c>
    </row>
    <row r="1775" customFormat="false" ht="15" hidden="false" customHeight="false" outlineLevel="0" collapsed="false">
      <c r="A1775" s="9" t="s">
        <v>2977</v>
      </c>
      <c r="B1775" s="9" t="s">
        <v>2978</v>
      </c>
      <c r="C1775" s="9" t="s">
        <v>37</v>
      </c>
      <c r="D1775" s="9" t="n">
        <v>34</v>
      </c>
      <c r="E1775" s="9" t="s">
        <v>48</v>
      </c>
      <c r="F1775" s="9" t="s">
        <v>39</v>
      </c>
      <c r="G1775" s="10" t="n">
        <v>45840</v>
      </c>
      <c r="H1775" s="10" t="n">
        <v>45873</v>
      </c>
      <c r="I1775" s="9" t="s">
        <v>66</v>
      </c>
      <c r="J1775" s="9" t="s">
        <v>63</v>
      </c>
      <c r="K1775" s="9" t="n">
        <v>33</v>
      </c>
      <c r="L1775" s="9" t="n">
        <v>2</v>
      </c>
      <c r="M1775" s="9" t="n">
        <v>0</v>
      </c>
      <c r="N1775" s="9" t="s">
        <v>42</v>
      </c>
      <c r="O1775" s="9" t="s">
        <v>52</v>
      </c>
      <c r="P1775" s="9" t="n">
        <v>3.9</v>
      </c>
      <c r="Q1775" s="9" t="n">
        <v>37</v>
      </c>
      <c r="R1775" s="9" t="s">
        <v>44</v>
      </c>
      <c r="S1775" s="9"/>
      <c r="T1775" s="9"/>
      <c r="U1775" s="9" t="str">
        <f aca="false">IF(COUNTIF($A$2:$A$5001,A1775)&gt;1,"Duplicate","Unique")</f>
        <v>Unique</v>
      </c>
      <c r="V1775" s="9" t="str">
        <f aca="false">IF(COUNTIFS($B$2:$B$5001,B1775,$H$2:$H$5001,H1775,$J$2:$J$5001,J1775)&gt;1,"Possible Duplicate Booking","Unique")</f>
        <v>Unique</v>
      </c>
      <c r="W1775" s="9" t="str">
        <f aca="false">IF((H1775-G1775)&lt;&gt;K1775,"Mismatch","OK")</f>
        <v>OK</v>
      </c>
      <c r="X1775" s="9" t="str">
        <f aca="false">IF(TEXT(H1775,"dddd")&lt;&gt;I1775,"Mismatch","OK")</f>
        <v>OK</v>
      </c>
      <c r="Y1775" s="9" t="str">
        <f aca="false">IF(AND(N1775="No",O1775&lt;&gt;""),"Unexpected: channel present but no reminder sent",IF(AND(N1775="Yes",O1775=""),"Missing channel for sent reminder","OK"))</f>
        <v>OK</v>
      </c>
    </row>
    <row r="1776" customFormat="false" ht="15" hidden="false" customHeight="false" outlineLevel="0" collapsed="false">
      <c r="A1776" s="7" t="s">
        <v>2979</v>
      </c>
      <c r="B1776" s="7" t="s">
        <v>1032</v>
      </c>
      <c r="C1776" s="7" t="s">
        <v>37</v>
      </c>
      <c r="D1776" s="7" t="n">
        <v>48</v>
      </c>
      <c r="E1776" s="7" t="s">
        <v>56</v>
      </c>
      <c r="F1776" s="7" t="s">
        <v>39</v>
      </c>
      <c r="G1776" s="8" t="n">
        <v>46020</v>
      </c>
      <c r="H1776" s="8" t="n">
        <v>46077</v>
      </c>
      <c r="I1776" s="7" t="s">
        <v>40</v>
      </c>
      <c r="J1776" s="7" t="s">
        <v>51</v>
      </c>
      <c r="K1776" s="7" t="n">
        <v>57</v>
      </c>
      <c r="L1776" s="7" t="n">
        <v>2</v>
      </c>
      <c r="M1776" s="7" t="n">
        <v>0</v>
      </c>
      <c r="N1776" s="7" t="s">
        <v>71</v>
      </c>
      <c r="O1776" s="7"/>
      <c r="P1776" s="7" t="n">
        <v>19.3</v>
      </c>
      <c r="Q1776" s="7" t="n">
        <v>33</v>
      </c>
      <c r="R1776" s="7" t="s">
        <v>53</v>
      </c>
      <c r="S1776" s="7"/>
      <c r="T1776" s="7"/>
      <c r="U1776" s="7" t="str">
        <f aca="false">IF(COUNTIF($A$2:$A$5001,A1776)&gt;1,"Duplicate","Unique")</f>
        <v>Unique</v>
      </c>
      <c r="V1776" s="7" t="str">
        <f aca="false">IF(COUNTIFS($B$2:$B$5001,B1776,$H$2:$H$5001,H1776,$J$2:$J$5001,J1776)&gt;1,"Possible Duplicate Booking","Unique")</f>
        <v>Unique</v>
      </c>
      <c r="W1776" s="7" t="str">
        <f aca="false">IF((H1776-G1776)&lt;&gt;K1776,"Mismatch","OK")</f>
        <v>OK</v>
      </c>
      <c r="X1776" s="7" t="str">
        <f aca="false">IF(TEXT(H1776,"dddd")&lt;&gt;I1776,"Mismatch","OK")</f>
        <v>OK</v>
      </c>
      <c r="Y1776" s="7" t="str">
        <f aca="false">IF(AND(N1776="No",O1776&lt;&gt;""),"Unexpected: channel present but no reminder sent",IF(AND(N1776="Yes",O1776=""),"Missing channel for sent reminder","OK"))</f>
        <v>OK</v>
      </c>
    </row>
    <row r="1777" customFormat="false" ht="15" hidden="false" customHeight="false" outlineLevel="0" collapsed="false">
      <c r="A1777" s="9" t="s">
        <v>2980</v>
      </c>
      <c r="B1777" s="9" t="s">
        <v>1407</v>
      </c>
      <c r="C1777" s="9" t="s">
        <v>37</v>
      </c>
      <c r="D1777" s="9" t="n">
        <v>27</v>
      </c>
      <c r="E1777" s="9" t="s">
        <v>48</v>
      </c>
      <c r="F1777" s="9" t="s">
        <v>57</v>
      </c>
      <c r="G1777" s="10" t="n">
        <v>45672</v>
      </c>
      <c r="H1777" s="10" t="n">
        <v>45729</v>
      </c>
      <c r="I1777" s="9" t="s">
        <v>62</v>
      </c>
      <c r="J1777" s="9" t="s">
        <v>41</v>
      </c>
      <c r="K1777" s="9" t="n">
        <v>57</v>
      </c>
      <c r="L1777" s="9" t="n">
        <v>3</v>
      </c>
      <c r="M1777" s="9" t="n">
        <v>0</v>
      </c>
      <c r="N1777" s="9" t="s">
        <v>42</v>
      </c>
      <c r="O1777" s="9" t="s">
        <v>52</v>
      </c>
      <c r="P1777" s="9" t="n">
        <v>6.2</v>
      </c>
      <c r="Q1777" s="9" t="n">
        <v>25</v>
      </c>
      <c r="R1777" s="9" t="s">
        <v>53</v>
      </c>
      <c r="S1777" s="9"/>
      <c r="T1777" s="9"/>
      <c r="U1777" s="9" t="str">
        <f aca="false">IF(COUNTIF($A$2:$A$5001,A1777)&gt;1,"Duplicate","Unique")</f>
        <v>Unique</v>
      </c>
      <c r="V1777" s="9" t="str">
        <f aca="false">IF(COUNTIFS($B$2:$B$5001,B1777,$H$2:$H$5001,H1777,$J$2:$J$5001,J1777)&gt;1,"Possible Duplicate Booking","Unique")</f>
        <v>Unique</v>
      </c>
      <c r="W1777" s="9" t="str">
        <f aca="false">IF((H1777-G1777)&lt;&gt;K1777,"Mismatch","OK")</f>
        <v>OK</v>
      </c>
      <c r="X1777" s="9" t="str">
        <f aca="false">IF(TEXT(H1777,"dddd")&lt;&gt;I1777,"Mismatch","OK")</f>
        <v>OK</v>
      </c>
      <c r="Y1777" s="9" t="str">
        <f aca="false">IF(AND(N1777="No",O1777&lt;&gt;""),"Unexpected: channel present but no reminder sent",IF(AND(N1777="Yes",O1777=""),"Missing channel for sent reminder","OK"))</f>
        <v>OK</v>
      </c>
    </row>
    <row r="1778" customFormat="false" ht="15" hidden="false" customHeight="false" outlineLevel="0" collapsed="false">
      <c r="A1778" s="7" t="s">
        <v>2981</v>
      </c>
      <c r="B1778" s="7" t="s">
        <v>2982</v>
      </c>
      <c r="C1778" s="7" t="s">
        <v>37</v>
      </c>
      <c r="D1778" s="7" t="n">
        <v>64</v>
      </c>
      <c r="E1778" s="7" t="s">
        <v>61</v>
      </c>
      <c r="F1778" s="7" t="s">
        <v>49</v>
      </c>
      <c r="G1778" s="8" t="n">
        <v>45808</v>
      </c>
      <c r="H1778" s="8" t="n">
        <v>45839</v>
      </c>
      <c r="I1778" s="7" t="s">
        <v>40</v>
      </c>
      <c r="J1778" s="7" t="s">
        <v>41</v>
      </c>
      <c r="K1778" s="7" t="n">
        <v>31</v>
      </c>
      <c r="L1778" s="7" t="n">
        <v>2</v>
      </c>
      <c r="M1778" s="7" t="n">
        <v>0</v>
      </c>
      <c r="N1778" s="7" t="s">
        <v>71</v>
      </c>
      <c r="O1778" s="7"/>
      <c r="P1778" s="7" t="n">
        <v>3.1</v>
      </c>
      <c r="Q1778" s="7" t="n">
        <v>8</v>
      </c>
      <c r="R1778" s="7" t="s">
        <v>44</v>
      </c>
      <c r="S1778" s="7"/>
      <c r="T1778" s="7"/>
      <c r="U1778" s="7" t="str">
        <f aca="false">IF(COUNTIF($A$2:$A$5001,A1778)&gt;1,"Duplicate","Unique")</f>
        <v>Unique</v>
      </c>
      <c r="V1778" s="7" t="str">
        <f aca="false">IF(COUNTIFS($B$2:$B$5001,B1778,$H$2:$H$5001,H1778,$J$2:$J$5001,J1778)&gt;1,"Possible Duplicate Booking","Unique")</f>
        <v>Unique</v>
      </c>
      <c r="W1778" s="7" t="str">
        <f aca="false">IF((H1778-G1778)&lt;&gt;K1778,"Mismatch","OK")</f>
        <v>OK</v>
      </c>
      <c r="X1778" s="7" t="str">
        <f aca="false">IF(TEXT(H1778,"dddd")&lt;&gt;I1778,"Mismatch","OK")</f>
        <v>OK</v>
      </c>
      <c r="Y1778" s="7" t="str">
        <f aca="false">IF(AND(N1778="No",O1778&lt;&gt;""),"Unexpected: channel present but no reminder sent",IF(AND(N1778="Yes",O1778=""),"Missing channel for sent reminder","OK"))</f>
        <v>OK</v>
      </c>
    </row>
    <row r="1779" customFormat="false" ht="15" hidden="false" customHeight="false" outlineLevel="0" collapsed="false">
      <c r="A1779" s="9" t="s">
        <v>2983</v>
      </c>
      <c r="B1779" s="9" t="s">
        <v>2345</v>
      </c>
      <c r="C1779" s="9" t="s">
        <v>37</v>
      </c>
      <c r="D1779" s="9" t="n">
        <v>71</v>
      </c>
      <c r="E1779" s="9" t="s">
        <v>70</v>
      </c>
      <c r="F1779" s="9" t="s">
        <v>57</v>
      </c>
      <c r="G1779" s="10" t="n">
        <v>45720</v>
      </c>
      <c r="H1779" s="10" t="n">
        <v>45746</v>
      </c>
      <c r="I1779" s="9" t="s">
        <v>75</v>
      </c>
      <c r="J1779" s="9" t="s">
        <v>51</v>
      </c>
      <c r="K1779" s="9" t="n">
        <v>26</v>
      </c>
      <c r="L1779" s="9" t="n">
        <v>0</v>
      </c>
      <c r="M1779" s="9" t="n">
        <v>0</v>
      </c>
      <c r="N1779" s="9" t="s">
        <v>71</v>
      </c>
      <c r="O1779" s="9"/>
      <c r="P1779" s="9" t="n">
        <v>5.7</v>
      </c>
      <c r="Q1779" s="9" t="n">
        <v>34</v>
      </c>
      <c r="R1779" s="9" t="s">
        <v>44</v>
      </c>
      <c r="S1779" s="9"/>
      <c r="T1779" s="9"/>
      <c r="U1779" s="9" t="str">
        <f aca="false">IF(COUNTIF($A$2:$A$5001,A1779)&gt;1,"Duplicate","Unique")</f>
        <v>Unique</v>
      </c>
      <c r="V1779" s="9" t="str">
        <f aca="false">IF(COUNTIFS($B$2:$B$5001,B1779,$H$2:$H$5001,H1779,$J$2:$J$5001,J1779)&gt;1,"Possible Duplicate Booking","Unique")</f>
        <v>Unique</v>
      </c>
      <c r="W1779" s="9" t="str">
        <f aca="false">IF((H1779-G1779)&lt;&gt;K1779,"Mismatch","OK")</f>
        <v>OK</v>
      </c>
      <c r="X1779" s="9" t="str">
        <f aca="false">IF(TEXT(H1779,"dddd")&lt;&gt;I1779,"Mismatch","OK")</f>
        <v>OK</v>
      </c>
      <c r="Y1779" s="9" t="str">
        <f aca="false">IF(AND(N1779="No",O1779&lt;&gt;""),"Unexpected: channel present but no reminder sent",IF(AND(N1779="Yes",O1779=""),"Missing channel for sent reminder","OK"))</f>
        <v>OK</v>
      </c>
    </row>
    <row r="1780" customFormat="false" ht="15" hidden="false" customHeight="false" outlineLevel="0" collapsed="false">
      <c r="A1780" s="7" t="s">
        <v>2984</v>
      </c>
      <c r="B1780" s="7" t="s">
        <v>2985</v>
      </c>
      <c r="C1780" s="7" t="s">
        <v>47</v>
      </c>
      <c r="D1780" s="7" t="n">
        <v>78</v>
      </c>
      <c r="E1780" s="7" t="s">
        <v>70</v>
      </c>
      <c r="F1780" s="7" t="s">
        <v>57</v>
      </c>
      <c r="G1780" s="8" t="n">
        <v>45818</v>
      </c>
      <c r="H1780" s="8" t="n">
        <v>45826</v>
      </c>
      <c r="I1780" s="7" t="s">
        <v>58</v>
      </c>
      <c r="J1780" s="7" t="s">
        <v>41</v>
      </c>
      <c r="K1780" s="7" t="n">
        <v>8</v>
      </c>
      <c r="L1780" s="7" t="n">
        <v>3</v>
      </c>
      <c r="M1780" s="7" t="n">
        <v>1</v>
      </c>
      <c r="N1780" s="7" t="s">
        <v>42</v>
      </c>
      <c r="O1780" s="7" t="s">
        <v>67</v>
      </c>
      <c r="P1780" s="7" t="n">
        <v>2.8</v>
      </c>
      <c r="Q1780" s="7" t="n">
        <v>26</v>
      </c>
      <c r="R1780" s="7" t="s">
        <v>53</v>
      </c>
      <c r="S1780" s="7"/>
      <c r="T1780" s="7"/>
      <c r="U1780" s="7" t="str">
        <f aca="false">IF(COUNTIF($A$2:$A$5001,A1780)&gt;1,"Duplicate","Unique")</f>
        <v>Unique</v>
      </c>
      <c r="V1780" s="7" t="str">
        <f aca="false">IF(COUNTIFS($B$2:$B$5001,B1780,$H$2:$H$5001,H1780,$J$2:$J$5001,J1780)&gt;1,"Possible Duplicate Booking","Unique")</f>
        <v>Unique</v>
      </c>
      <c r="W1780" s="7" t="str">
        <f aca="false">IF((H1780-G1780)&lt;&gt;K1780,"Mismatch","OK")</f>
        <v>OK</v>
      </c>
      <c r="X1780" s="7" t="str">
        <f aca="false">IF(TEXT(H1780,"dddd")&lt;&gt;I1780,"Mismatch","OK")</f>
        <v>OK</v>
      </c>
      <c r="Y1780" s="7" t="str">
        <f aca="false">IF(AND(N1780="No",O1780&lt;&gt;""),"Unexpected: channel present but no reminder sent",IF(AND(N1780="Yes",O1780=""),"Missing channel for sent reminder","OK"))</f>
        <v>OK</v>
      </c>
    </row>
    <row r="1781" customFormat="false" ht="15" hidden="false" customHeight="false" outlineLevel="0" collapsed="false">
      <c r="A1781" s="9" t="s">
        <v>2986</v>
      </c>
      <c r="B1781" s="9" t="s">
        <v>2788</v>
      </c>
      <c r="C1781" s="9" t="s">
        <v>47</v>
      </c>
      <c r="D1781" s="9" t="n">
        <v>23</v>
      </c>
      <c r="E1781" s="9" t="s">
        <v>82</v>
      </c>
      <c r="F1781" s="9" t="s">
        <v>74</v>
      </c>
      <c r="G1781" s="10" t="n">
        <v>46015</v>
      </c>
      <c r="H1781" s="10" t="n">
        <v>46031</v>
      </c>
      <c r="I1781" s="9" t="s">
        <v>50</v>
      </c>
      <c r="J1781" s="9" t="s">
        <v>51</v>
      </c>
      <c r="K1781" s="9" t="n">
        <v>16</v>
      </c>
      <c r="L1781" s="9" t="n">
        <v>2</v>
      </c>
      <c r="M1781" s="9" t="n">
        <v>2</v>
      </c>
      <c r="N1781" s="9" t="s">
        <v>71</v>
      </c>
      <c r="O1781" s="9"/>
      <c r="P1781" s="9" t="n">
        <v>3.1</v>
      </c>
      <c r="Q1781" s="9" t="n">
        <v>16</v>
      </c>
      <c r="R1781" s="9" t="s">
        <v>53</v>
      </c>
      <c r="S1781" s="9"/>
      <c r="T1781" s="9"/>
      <c r="U1781" s="9" t="str">
        <f aca="false">IF(COUNTIF($A$2:$A$5001,A1781)&gt;1,"Duplicate","Unique")</f>
        <v>Unique</v>
      </c>
      <c r="V1781" s="9" t="str">
        <f aca="false">IF(COUNTIFS($B$2:$B$5001,B1781,$H$2:$H$5001,H1781,$J$2:$J$5001,J1781)&gt;1,"Possible Duplicate Booking","Unique")</f>
        <v>Unique</v>
      </c>
      <c r="W1781" s="9" t="str">
        <f aca="false">IF((H1781-G1781)&lt;&gt;K1781,"Mismatch","OK")</f>
        <v>OK</v>
      </c>
      <c r="X1781" s="9" t="str">
        <f aca="false">IF(TEXT(H1781,"dddd")&lt;&gt;I1781,"Mismatch","OK")</f>
        <v>OK</v>
      </c>
      <c r="Y1781" s="9" t="str">
        <f aca="false">IF(AND(N1781="No",O1781&lt;&gt;""),"Unexpected: channel present but no reminder sent",IF(AND(N1781="Yes",O1781=""),"Missing channel for sent reminder","OK"))</f>
        <v>OK</v>
      </c>
    </row>
    <row r="1782" customFormat="false" ht="15" hidden="false" customHeight="false" outlineLevel="0" collapsed="false">
      <c r="A1782" s="7" t="s">
        <v>2987</v>
      </c>
      <c r="B1782" s="7" t="s">
        <v>1923</v>
      </c>
      <c r="C1782" s="7" t="s">
        <v>37</v>
      </c>
      <c r="D1782" s="7" t="n">
        <v>25</v>
      </c>
      <c r="E1782" s="7" t="s">
        <v>48</v>
      </c>
      <c r="F1782" s="7" t="s">
        <v>74</v>
      </c>
      <c r="G1782" s="8" t="n">
        <v>45630</v>
      </c>
      <c r="H1782" s="8" t="n">
        <v>45683</v>
      </c>
      <c r="I1782" s="7" t="s">
        <v>75</v>
      </c>
      <c r="J1782" s="7" t="s">
        <v>41</v>
      </c>
      <c r="K1782" s="7" t="n">
        <v>53</v>
      </c>
      <c r="L1782" s="7" t="n">
        <v>4</v>
      </c>
      <c r="M1782" s="7" t="n">
        <v>1</v>
      </c>
      <c r="N1782" s="7" t="s">
        <v>42</v>
      </c>
      <c r="O1782" s="7" t="s">
        <v>67</v>
      </c>
      <c r="P1782" s="7" t="n">
        <v>32.5</v>
      </c>
      <c r="Q1782" s="7" t="n">
        <v>23</v>
      </c>
      <c r="R1782" s="7" t="s">
        <v>44</v>
      </c>
      <c r="S1782" s="7"/>
      <c r="T1782" s="7"/>
      <c r="U1782" s="7" t="str">
        <f aca="false">IF(COUNTIF($A$2:$A$5001,A1782)&gt;1,"Duplicate","Unique")</f>
        <v>Unique</v>
      </c>
      <c r="V1782" s="7" t="str">
        <f aca="false">IF(COUNTIFS($B$2:$B$5001,B1782,$H$2:$H$5001,H1782,$J$2:$J$5001,J1782)&gt;1,"Possible Duplicate Booking","Unique")</f>
        <v>Unique</v>
      </c>
      <c r="W1782" s="7" t="str">
        <f aca="false">IF((H1782-G1782)&lt;&gt;K1782,"Mismatch","OK")</f>
        <v>OK</v>
      </c>
      <c r="X1782" s="7" t="str">
        <f aca="false">IF(TEXT(H1782,"dddd")&lt;&gt;I1782,"Mismatch","OK")</f>
        <v>OK</v>
      </c>
      <c r="Y1782" s="7" t="str">
        <f aca="false">IF(AND(N1782="No",O1782&lt;&gt;""),"Unexpected: channel present but no reminder sent",IF(AND(N1782="Yes",O1782=""),"Missing channel for sent reminder","OK"))</f>
        <v>OK</v>
      </c>
    </row>
    <row r="1783" customFormat="false" ht="15" hidden="false" customHeight="false" outlineLevel="0" collapsed="false">
      <c r="A1783" s="9" t="s">
        <v>2988</v>
      </c>
      <c r="B1783" s="9" t="s">
        <v>2989</v>
      </c>
      <c r="C1783" s="9" t="s">
        <v>37</v>
      </c>
      <c r="D1783" s="9" t="n">
        <v>78</v>
      </c>
      <c r="E1783" s="9" t="s">
        <v>70</v>
      </c>
      <c r="F1783" s="9" t="s">
        <v>74</v>
      </c>
      <c r="G1783" s="10" t="n">
        <v>45835</v>
      </c>
      <c r="H1783" s="10" t="n">
        <v>45843</v>
      </c>
      <c r="I1783" s="9" t="s">
        <v>102</v>
      </c>
      <c r="J1783" s="9" t="s">
        <v>51</v>
      </c>
      <c r="K1783" s="9" t="n">
        <v>8</v>
      </c>
      <c r="L1783" s="9" t="n">
        <v>3</v>
      </c>
      <c r="M1783" s="9" t="n">
        <v>0</v>
      </c>
      <c r="N1783" s="9" t="s">
        <v>71</v>
      </c>
      <c r="O1783" s="9"/>
      <c r="P1783" s="9" t="n">
        <v>12.6</v>
      </c>
      <c r="Q1783" s="9" t="n">
        <v>30</v>
      </c>
      <c r="R1783" s="9" t="s">
        <v>44</v>
      </c>
      <c r="S1783" s="9"/>
      <c r="T1783" s="9"/>
      <c r="U1783" s="9" t="str">
        <f aca="false">IF(COUNTIF($A$2:$A$5001,A1783)&gt;1,"Duplicate","Unique")</f>
        <v>Unique</v>
      </c>
      <c r="V1783" s="9" t="str">
        <f aca="false">IF(COUNTIFS($B$2:$B$5001,B1783,$H$2:$H$5001,H1783,$J$2:$J$5001,J1783)&gt;1,"Possible Duplicate Booking","Unique")</f>
        <v>Unique</v>
      </c>
      <c r="W1783" s="9" t="str">
        <f aca="false">IF((H1783-G1783)&lt;&gt;K1783,"Mismatch","OK")</f>
        <v>OK</v>
      </c>
      <c r="X1783" s="9" t="str">
        <f aca="false">IF(TEXT(H1783,"dddd")&lt;&gt;I1783,"Mismatch","OK")</f>
        <v>OK</v>
      </c>
      <c r="Y1783" s="9" t="str">
        <f aca="false">IF(AND(N1783="No",O1783&lt;&gt;""),"Unexpected: channel present but no reminder sent",IF(AND(N1783="Yes",O1783=""),"Missing channel for sent reminder","OK"))</f>
        <v>OK</v>
      </c>
    </row>
    <row r="1784" customFormat="false" ht="15" hidden="false" customHeight="false" outlineLevel="0" collapsed="false">
      <c r="A1784" s="7" t="s">
        <v>2990</v>
      </c>
      <c r="B1784" s="7" t="s">
        <v>1751</v>
      </c>
      <c r="C1784" s="7" t="s">
        <v>47</v>
      </c>
      <c r="D1784" s="7" t="n">
        <v>71</v>
      </c>
      <c r="E1784" s="7" t="s">
        <v>70</v>
      </c>
      <c r="F1784" s="7" t="s">
        <v>39</v>
      </c>
      <c r="G1784" s="8" t="n">
        <v>45646</v>
      </c>
      <c r="H1784" s="8" t="n">
        <v>45670</v>
      </c>
      <c r="I1784" s="7" t="s">
        <v>66</v>
      </c>
      <c r="J1784" s="7" t="s">
        <v>41</v>
      </c>
      <c r="K1784" s="7" t="n">
        <v>24</v>
      </c>
      <c r="L1784" s="7" t="n">
        <v>2</v>
      </c>
      <c r="M1784" s="7" t="n">
        <v>0</v>
      </c>
      <c r="N1784" s="7" t="s">
        <v>42</v>
      </c>
      <c r="O1784" s="7" t="s">
        <v>52</v>
      </c>
      <c r="P1784" s="7" t="n">
        <v>3.7</v>
      </c>
      <c r="Q1784" s="7" t="n">
        <v>19</v>
      </c>
      <c r="R1784" s="7" t="s">
        <v>44</v>
      </c>
      <c r="S1784" s="7"/>
      <c r="T1784" s="7"/>
      <c r="U1784" s="7" t="str">
        <f aca="false">IF(COUNTIF($A$2:$A$5001,A1784)&gt;1,"Duplicate","Unique")</f>
        <v>Unique</v>
      </c>
      <c r="V1784" s="7" t="str">
        <f aca="false">IF(COUNTIFS($B$2:$B$5001,B1784,$H$2:$H$5001,H1784,$J$2:$J$5001,J1784)&gt;1,"Possible Duplicate Booking","Unique")</f>
        <v>Unique</v>
      </c>
      <c r="W1784" s="7" t="str">
        <f aca="false">IF((H1784-G1784)&lt;&gt;K1784,"Mismatch","OK")</f>
        <v>OK</v>
      </c>
      <c r="X1784" s="7" t="str">
        <f aca="false">IF(TEXT(H1784,"dddd")&lt;&gt;I1784,"Mismatch","OK")</f>
        <v>OK</v>
      </c>
      <c r="Y1784" s="7" t="str">
        <f aca="false">IF(AND(N1784="No",O1784&lt;&gt;""),"Unexpected: channel present but no reminder sent",IF(AND(N1784="Yes",O1784=""),"Missing channel for sent reminder","OK"))</f>
        <v>OK</v>
      </c>
    </row>
    <row r="1785" customFormat="false" ht="15" hidden="false" customHeight="false" outlineLevel="0" collapsed="false">
      <c r="A1785" s="9" t="s">
        <v>2991</v>
      </c>
      <c r="B1785" s="9" t="s">
        <v>2610</v>
      </c>
      <c r="C1785" s="9" t="s">
        <v>37</v>
      </c>
      <c r="D1785" s="9" t="n">
        <v>55</v>
      </c>
      <c r="E1785" s="9" t="s">
        <v>61</v>
      </c>
      <c r="F1785" s="9" t="s">
        <v>57</v>
      </c>
      <c r="G1785" s="10" t="n">
        <v>46137</v>
      </c>
      <c r="H1785" s="10" t="n">
        <v>46179</v>
      </c>
      <c r="I1785" s="9" t="s">
        <v>102</v>
      </c>
      <c r="J1785" s="9" t="s">
        <v>41</v>
      </c>
      <c r="K1785" s="9" t="n">
        <v>42</v>
      </c>
      <c r="L1785" s="9" t="n">
        <v>5</v>
      </c>
      <c r="M1785" s="9" t="n">
        <v>2</v>
      </c>
      <c r="N1785" s="9" t="s">
        <v>42</v>
      </c>
      <c r="O1785" s="9" t="s">
        <v>43</v>
      </c>
      <c r="P1785" s="9" t="n">
        <v>2.3</v>
      </c>
      <c r="Q1785" s="9" t="n">
        <v>13</v>
      </c>
      <c r="R1785" s="9" t="s">
        <v>53</v>
      </c>
      <c r="S1785" s="9"/>
      <c r="T1785" s="9"/>
      <c r="U1785" s="9" t="str">
        <f aca="false">IF(COUNTIF($A$2:$A$5001,A1785)&gt;1,"Duplicate","Unique")</f>
        <v>Unique</v>
      </c>
      <c r="V1785" s="9" t="str">
        <f aca="false">IF(COUNTIFS($B$2:$B$5001,B1785,$H$2:$H$5001,H1785,$J$2:$J$5001,J1785)&gt;1,"Possible Duplicate Booking","Unique")</f>
        <v>Unique</v>
      </c>
      <c r="W1785" s="9" t="str">
        <f aca="false">IF((H1785-G1785)&lt;&gt;K1785,"Mismatch","OK")</f>
        <v>OK</v>
      </c>
      <c r="X1785" s="9" t="str">
        <f aca="false">IF(TEXT(H1785,"dddd")&lt;&gt;I1785,"Mismatch","OK")</f>
        <v>OK</v>
      </c>
      <c r="Y1785" s="9" t="str">
        <f aca="false">IF(AND(N1785="No",O1785&lt;&gt;""),"Unexpected: channel present but no reminder sent",IF(AND(N1785="Yes",O1785=""),"Missing channel for sent reminder","OK"))</f>
        <v>OK</v>
      </c>
    </row>
    <row r="1786" customFormat="false" ht="15" hidden="false" customHeight="false" outlineLevel="0" collapsed="false">
      <c r="A1786" s="7" t="s">
        <v>2992</v>
      </c>
      <c r="B1786" s="7" t="s">
        <v>99</v>
      </c>
      <c r="C1786" s="7" t="s">
        <v>37</v>
      </c>
      <c r="D1786" s="7" t="n">
        <v>38</v>
      </c>
      <c r="E1786" s="7" t="s">
        <v>38</v>
      </c>
      <c r="F1786" s="7" t="s">
        <v>39</v>
      </c>
      <c r="G1786" s="8" t="n">
        <v>46041</v>
      </c>
      <c r="H1786" s="8" t="n">
        <v>46055</v>
      </c>
      <c r="I1786" s="7" t="s">
        <v>66</v>
      </c>
      <c r="J1786" s="7" t="s">
        <v>41</v>
      </c>
      <c r="K1786" s="7" t="n">
        <v>14</v>
      </c>
      <c r="L1786" s="7" t="n">
        <v>3</v>
      </c>
      <c r="M1786" s="7" t="n">
        <v>0</v>
      </c>
      <c r="N1786" s="7" t="s">
        <v>42</v>
      </c>
      <c r="O1786" s="7" t="s">
        <v>52</v>
      </c>
      <c r="P1786" s="7"/>
      <c r="Q1786" s="7" t="n">
        <v>26</v>
      </c>
      <c r="R1786" s="7" t="s">
        <v>53</v>
      </c>
      <c r="S1786" s="7"/>
      <c r="T1786" s="7"/>
      <c r="U1786" s="7" t="str">
        <f aca="false">IF(COUNTIF($A$2:$A$5001,A1786)&gt;1,"Duplicate","Unique")</f>
        <v>Unique</v>
      </c>
      <c r="V1786" s="7" t="str">
        <f aca="false">IF(COUNTIFS($B$2:$B$5001,B1786,$H$2:$H$5001,H1786,$J$2:$J$5001,J1786)&gt;1,"Possible Duplicate Booking","Unique")</f>
        <v>Unique</v>
      </c>
      <c r="W1786" s="7" t="str">
        <f aca="false">IF((H1786-G1786)&lt;&gt;K1786,"Mismatch","OK")</f>
        <v>OK</v>
      </c>
      <c r="X1786" s="7" t="str">
        <f aca="false">IF(TEXT(H1786,"dddd")&lt;&gt;I1786,"Mismatch","OK")</f>
        <v>OK</v>
      </c>
      <c r="Y1786" s="7" t="str">
        <f aca="false">IF(AND(N1786="No",O1786&lt;&gt;""),"Unexpected: channel present but no reminder sent",IF(AND(N1786="Yes",O1786=""),"Missing channel for sent reminder","OK"))</f>
        <v>OK</v>
      </c>
    </row>
    <row r="1787" customFormat="false" ht="15" hidden="false" customHeight="false" outlineLevel="0" collapsed="false">
      <c r="A1787" s="9" t="s">
        <v>2993</v>
      </c>
      <c r="B1787" s="9" t="s">
        <v>2994</v>
      </c>
      <c r="C1787" s="9" t="s">
        <v>47</v>
      </c>
      <c r="D1787" s="9" t="n">
        <v>50</v>
      </c>
      <c r="E1787" s="9" t="s">
        <v>56</v>
      </c>
      <c r="F1787" s="9" t="s">
        <v>57</v>
      </c>
      <c r="G1787" s="10" t="n">
        <v>45732</v>
      </c>
      <c r="H1787" s="10" t="n">
        <v>45791</v>
      </c>
      <c r="I1787" s="9" t="s">
        <v>58</v>
      </c>
      <c r="J1787" s="9" t="s">
        <v>51</v>
      </c>
      <c r="K1787" s="9" t="n">
        <v>59</v>
      </c>
      <c r="L1787" s="9" t="n">
        <v>6</v>
      </c>
      <c r="M1787" s="9" t="n">
        <v>0</v>
      </c>
      <c r="N1787" s="9" t="s">
        <v>42</v>
      </c>
      <c r="O1787" s="9" t="s">
        <v>52</v>
      </c>
      <c r="P1787" s="9" t="n">
        <v>2</v>
      </c>
      <c r="Q1787" s="9" t="n">
        <v>27</v>
      </c>
      <c r="R1787" s="9" t="s">
        <v>44</v>
      </c>
      <c r="S1787" s="9"/>
      <c r="T1787" s="9"/>
      <c r="U1787" s="9" t="str">
        <f aca="false">IF(COUNTIF($A$2:$A$5001,A1787)&gt;1,"Duplicate","Unique")</f>
        <v>Unique</v>
      </c>
      <c r="V1787" s="9" t="str">
        <f aca="false">IF(COUNTIFS($B$2:$B$5001,B1787,$H$2:$H$5001,H1787,$J$2:$J$5001,J1787)&gt;1,"Possible Duplicate Booking","Unique")</f>
        <v>Unique</v>
      </c>
      <c r="W1787" s="9" t="str">
        <f aca="false">IF((H1787-G1787)&lt;&gt;K1787,"Mismatch","OK")</f>
        <v>OK</v>
      </c>
      <c r="X1787" s="9" t="str">
        <f aca="false">IF(TEXT(H1787,"dddd")&lt;&gt;I1787,"Mismatch","OK")</f>
        <v>OK</v>
      </c>
      <c r="Y1787" s="9" t="str">
        <f aca="false">IF(AND(N1787="No",O1787&lt;&gt;""),"Unexpected: channel present but no reminder sent",IF(AND(N1787="Yes",O1787=""),"Missing channel for sent reminder","OK"))</f>
        <v>OK</v>
      </c>
    </row>
    <row r="1788" customFormat="false" ht="15" hidden="false" customHeight="false" outlineLevel="0" collapsed="false">
      <c r="A1788" s="7" t="s">
        <v>2995</v>
      </c>
      <c r="B1788" s="7" t="s">
        <v>2511</v>
      </c>
      <c r="C1788" s="7" t="s">
        <v>47</v>
      </c>
      <c r="D1788" s="7" t="n">
        <v>51</v>
      </c>
      <c r="E1788" s="7" t="s">
        <v>56</v>
      </c>
      <c r="F1788" s="7" t="s">
        <v>49</v>
      </c>
      <c r="G1788" s="8" t="n">
        <v>45727</v>
      </c>
      <c r="H1788" s="8" t="n">
        <v>45766</v>
      </c>
      <c r="I1788" s="7" t="s">
        <v>102</v>
      </c>
      <c r="J1788" s="7" t="s">
        <v>41</v>
      </c>
      <c r="K1788" s="7" t="n">
        <v>39</v>
      </c>
      <c r="L1788" s="7" t="n">
        <v>2</v>
      </c>
      <c r="M1788" s="7" t="n">
        <v>0</v>
      </c>
      <c r="N1788" s="7" t="s">
        <v>42</v>
      </c>
      <c r="O1788" s="7" t="s">
        <v>52</v>
      </c>
      <c r="P1788" s="7" t="n">
        <v>7.3</v>
      </c>
      <c r="Q1788" s="7" t="n">
        <v>3</v>
      </c>
      <c r="R1788" s="7" t="s">
        <v>44</v>
      </c>
      <c r="S1788" s="7"/>
      <c r="T1788" s="7"/>
      <c r="U1788" s="7" t="str">
        <f aca="false">IF(COUNTIF($A$2:$A$5001,A1788)&gt;1,"Duplicate","Unique")</f>
        <v>Unique</v>
      </c>
      <c r="V1788" s="7" t="str">
        <f aca="false">IF(COUNTIFS($B$2:$B$5001,B1788,$H$2:$H$5001,H1788,$J$2:$J$5001,J1788)&gt;1,"Possible Duplicate Booking","Unique")</f>
        <v>Unique</v>
      </c>
      <c r="W1788" s="7" t="str">
        <f aca="false">IF((H1788-G1788)&lt;&gt;K1788,"Mismatch","OK")</f>
        <v>OK</v>
      </c>
      <c r="X1788" s="7" t="str">
        <f aca="false">IF(TEXT(H1788,"dddd")&lt;&gt;I1788,"Mismatch","OK")</f>
        <v>OK</v>
      </c>
      <c r="Y1788" s="7" t="str">
        <f aca="false">IF(AND(N1788="No",O1788&lt;&gt;""),"Unexpected: channel present but no reminder sent",IF(AND(N1788="Yes",O1788=""),"Missing channel for sent reminder","OK"))</f>
        <v>OK</v>
      </c>
    </row>
    <row r="1789" customFormat="false" ht="15" hidden="false" customHeight="false" outlineLevel="0" collapsed="false">
      <c r="A1789" s="9" t="s">
        <v>2996</v>
      </c>
      <c r="B1789" s="9" t="s">
        <v>1244</v>
      </c>
      <c r="C1789" s="9" t="s">
        <v>37</v>
      </c>
      <c r="D1789" s="9" t="n">
        <v>71</v>
      </c>
      <c r="E1789" s="9" t="s">
        <v>70</v>
      </c>
      <c r="F1789" s="9" t="s">
        <v>39</v>
      </c>
      <c r="G1789" s="10" t="n">
        <v>45711</v>
      </c>
      <c r="H1789" s="10" t="n">
        <v>45712</v>
      </c>
      <c r="I1789" s="9" t="s">
        <v>66</v>
      </c>
      <c r="J1789" s="9" t="s">
        <v>51</v>
      </c>
      <c r="K1789" s="9" t="n">
        <v>1</v>
      </c>
      <c r="L1789" s="9" t="n">
        <v>1</v>
      </c>
      <c r="M1789" s="9" t="n">
        <v>0</v>
      </c>
      <c r="N1789" s="9" t="s">
        <v>42</v>
      </c>
      <c r="O1789" s="9" t="s">
        <v>52</v>
      </c>
      <c r="P1789" s="9" t="n">
        <v>10.1</v>
      </c>
      <c r="Q1789" s="9" t="n">
        <v>23</v>
      </c>
      <c r="R1789" s="9" t="s">
        <v>53</v>
      </c>
      <c r="S1789" s="9"/>
      <c r="T1789" s="9"/>
      <c r="U1789" s="9" t="str">
        <f aca="false">IF(COUNTIF($A$2:$A$5001,A1789)&gt;1,"Duplicate","Unique")</f>
        <v>Unique</v>
      </c>
      <c r="V1789" s="9" t="str">
        <f aca="false">IF(COUNTIFS($B$2:$B$5001,B1789,$H$2:$H$5001,H1789,$J$2:$J$5001,J1789)&gt;1,"Possible Duplicate Booking","Unique")</f>
        <v>Unique</v>
      </c>
      <c r="W1789" s="9" t="str">
        <f aca="false">IF((H1789-G1789)&lt;&gt;K1789,"Mismatch","OK")</f>
        <v>OK</v>
      </c>
      <c r="X1789" s="9" t="str">
        <f aca="false">IF(TEXT(H1789,"dddd")&lt;&gt;I1789,"Mismatch","OK")</f>
        <v>OK</v>
      </c>
      <c r="Y1789" s="9" t="str">
        <f aca="false">IF(AND(N1789="No",O1789&lt;&gt;""),"Unexpected: channel present but no reminder sent",IF(AND(N1789="Yes",O1789=""),"Missing channel for sent reminder","OK"))</f>
        <v>OK</v>
      </c>
    </row>
    <row r="1790" customFormat="false" ht="15" hidden="false" customHeight="false" outlineLevel="0" collapsed="false">
      <c r="A1790" s="7" t="s">
        <v>2997</v>
      </c>
      <c r="B1790" s="7" t="s">
        <v>2998</v>
      </c>
      <c r="C1790" s="7" t="s">
        <v>37</v>
      </c>
      <c r="D1790" s="7" t="n">
        <v>51</v>
      </c>
      <c r="E1790" s="7" t="s">
        <v>56</v>
      </c>
      <c r="F1790" s="7" t="s">
        <v>57</v>
      </c>
      <c r="G1790" s="8" t="n">
        <v>45901</v>
      </c>
      <c r="H1790" s="8" t="n">
        <v>45916</v>
      </c>
      <c r="I1790" s="7" t="s">
        <v>40</v>
      </c>
      <c r="J1790" s="7" t="s">
        <v>51</v>
      </c>
      <c r="K1790" s="7" t="n">
        <v>15</v>
      </c>
      <c r="L1790" s="7" t="n">
        <v>7</v>
      </c>
      <c r="M1790" s="7" t="n">
        <v>3</v>
      </c>
      <c r="N1790" s="7" t="s">
        <v>42</v>
      </c>
      <c r="O1790" s="7" t="s">
        <v>52</v>
      </c>
      <c r="P1790" s="7" t="n">
        <v>10.6</v>
      </c>
      <c r="Q1790" s="7" t="n">
        <v>15</v>
      </c>
      <c r="R1790" s="7" t="s">
        <v>53</v>
      </c>
      <c r="S1790" s="7"/>
      <c r="T1790" s="7"/>
      <c r="U1790" s="7" t="str">
        <f aca="false">IF(COUNTIF($A$2:$A$5001,A1790)&gt;1,"Duplicate","Unique")</f>
        <v>Unique</v>
      </c>
      <c r="V1790" s="7" t="str">
        <f aca="false">IF(COUNTIFS($B$2:$B$5001,B1790,$H$2:$H$5001,H1790,$J$2:$J$5001,J1790)&gt;1,"Possible Duplicate Booking","Unique")</f>
        <v>Unique</v>
      </c>
      <c r="W1790" s="7" t="str">
        <f aca="false">IF((H1790-G1790)&lt;&gt;K1790,"Mismatch","OK")</f>
        <v>OK</v>
      </c>
      <c r="X1790" s="7" t="str">
        <f aca="false">IF(TEXT(H1790,"dddd")&lt;&gt;I1790,"Mismatch","OK")</f>
        <v>OK</v>
      </c>
      <c r="Y1790" s="7" t="str">
        <f aca="false">IF(AND(N1790="No",O1790&lt;&gt;""),"Unexpected: channel present but no reminder sent",IF(AND(N1790="Yes",O1790=""),"Missing channel for sent reminder","OK"))</f>
        <v>OK</v>
      </c>
    </row>
    <row r="1791" customFormat="false" ht="15" hidden="false" customHeight="false" outlineLevel="0" collapsed="false">
      <c r="A1791" s="9" t="s">
        <v>2999</v>
      </c>
      <c r="B1791" s="9" t="s">
        <v>1231</v>
      </c>
      <c r="C1791" s="9" t="s">
        <v>37</v>
      </c>
      <c r="D1791" s="9" t="n">
        <v>19</v>
      </c>
      <c r="E1791" s="9" t="s">
        <v>82</v>
      </c>
      <c r="F1791" s="9" t="s">
        <v>57</v>
      </c>
      <c r="G1791" s="10" t="n">
        <v>46024</v>
      </c>
      <c r="H1791" s="10" t="n">
        <v>46069</v>
      </c>
      <c r="I1791" s="9" t="s">
        <v>66</v>
      </c>
      <c r="J1791" s="9" t="s">
        <v>51</v>
      </c>
      <c r="K1791" s="9" t="n">
        <v>45</v>
      </c>
      <c r="L1791" s="9" t="n">
        <v>7</v>
      </c>
      <c r="M1791" s="9" t="n">
        <v>1</v>
      </c>
      <c r="N1791" s="9" t="s">
        <v>42</v>
      </c>
      <c r="O1791" s="9" t="s">
        <v>52</v>
      </c>
      <c r="P1791" s="9" t="n">
        <v>3.6</v>
      </c>
      <c r="Q1791" s="9" t="n">
        <v>29</v>
      </c>
      <c r="R1791" s="9" t="s">
        <v>53</v>
      </c>
      <c r="S1791" s="9"/>
      <c r="T1791" s="9"/>
      <c r="U1791" s="9" t="str">
        <f aca="false">IF(COUNTIF($A$2:$A$5001,A1791)&gt;1,"Duplicate","Unique")</f>
        <v>Unique</v>
      </c>
      <c r="V1791" s="9" t="str">
        <f aca="false">IF(COUNTIFS($B$2:$B$5001,B1791,$H$2:$H$5001,H1791,$J$2:$J$5001,J1791)&gt;1,"Possible Duplicate Booking","Unique")</f>
        <v>Unique</v>
      </c>
      <c r="W1791" s="9" t="str">
        <f aca="false">IF((H1791-G1791)&lt;&gt;K1791,"Mismatch","OK")</f>
        <v>OK</v>
      </c>
      <c r="X1791" s="9" t="str">
        <f aca="false">IF(TEXT(H1791,"dddd")&lt;&gt;I1791,"Mismatch","OK")</f>
        <v>OK</v>
      </c>
      <c r="Y1791" s="9" t="str">
        <f aca="false">IF(AND(N1791="No",O1791&lt;&gt;""),"Unexpected: channel present but no reminder sent",IF(AND(N1791="Yes",O1791=""),"Missing channel for sent reminder","OK"))</f>
        <v>OK</v>
      </c>
    </row>
    <row r="1792" customFormat="false" ht="15" hidden="false" customHeight="false" outlineLevel="0" collapsed="false">
      <c r="A1792" s="7" t="s">
        <v>3000</v>
      </c>
      <c r="B1792" s="7" t="s">
        <v>3001</v>
      </c>
      <c r="C1792" s="7" t="s">
        <v>37</v>
      </c>
      <c r="D1792" s="7" t="n">
        <v>62</v>
      </c>
      <c r="E1792" s="7" t="s">
        <v>61</v>
      </c>
      <c r="F1792" s="7" t="s">
        <v>57</v>
      </c>
      <c r="G1792" s="8" t="n">
        <v>45924</v>
      </c>
      <c r="H1792" s="8" t="n">
        <v>45976</v>
      </c>
      <c r="I1792" s="7" t="s">
        <v>102</v>
      </c>
      <c r="J1792" s="7" t="s">
        <v>63</v>
      </c>
      <c r="K1792" s="7" t="n">
        <v>52</v>
      </c>
      <c r="L1792" s="7" t="n">
        <v>2</v>
      </c>
      <c r="M1792" s="7" t="n">
        <v>0</v>
      </c>
      <c r="N1792" s="7" t="s">
        <v>42</v>
      </c>
      <c r="O1792" s="7" t="s">
        <v>52</v>
      </c>
      <c r="P1792" s="7" t="n">
        <v>9.2</v>
      </c>
      <c r="Q1792" s="7" t="n">
        <v>5</v>
      </c>
      <c r="R1792" s="7" t="s">
        <v>53</v>
      </c>
      <c r="S1792" s="7"/>
      <c r="T1792" s="7"/>
      <c r="U1792" s="7" t="str">
        <f aca="false">IF(COUNTIF($A$2:$A$5001,A1792)&gt;1,"Duplicate","Unique")</f>
        <v>Unique</v>
      </c>
      <c r="V1792" s="7" t="str">
        <f aca="false">IF(COUNTIFS($B$2:$B$5001,B1792,$H$2:$H$5001,H1792,$J$2:$J$5001,J1792)&gt;1,"Possible Duplicate Booking","Unique")</f>
        <v>Unique</v>
      </c>
      <c r="W1792" s="7" t="str">
        <f aca="false">IF((H1792-G1792)&lt;&gt;K1792,"Mismatch","OK")</f>
        <v>OK</v>
      </c>
      <c r="X1792" s="7" t="str">
        <f aca="false">IF(TEXT(H1792,"dddd")&lt;&gt;I1792,"Mismatch","OK")</f>
        <v>OK</v>
      </c>
      <c r="Y1792" s="7" t="str">
        <f aca="false">IF(AND(N1792="No",O1792&lt;&gt;""),"Unexpected: channel present but no reminder sent",IF(AND(N1792="Yes",O1792=""),"Missing channel for sent reminder","OK"))</f>
        <v>OK</v>
      </c>
    </row>
    <row r="1793" customFormat="false" ht="15" hidden="false" customHeight="false" outlineLevel="0" collapsed="false">
      <c r="A1793" s="9" t="s">
        <v>3002</v>
      </c>
      <c r="B1793" s="9" t="s">
        <v>1627</v>
      </c>
      <c r="C1793" s="9" t="s">
        <v>47</v>
      </c>
      <c r="D1793" s="9" t="n">
        <v>66</v>
      </c>
      <c r="E1793" s="9" t="s">
        <v>70</v>
      </c>
      <c r="F1793" s="9" t="s">
        <v>49</v>
      </c>
      <c r="G1793" s="10" t="n">
        <v>46083</v>
      </c>
      <c r="H1793" s="10" t="n">
        <v>46139</v>
      </c>
      <c r="I1793" s="9" t="s">
        <v>66</v>
      </c>
      <c r="J1793" s="9" t="s">
        <v>51</v>
      </c>
      <c r="K1793" s="9" t="n">
        <v>56</v>
      </c>
      <c r="L1793" s="9" t="n">
        <v>2</v>
      </c>
      <c r="M1793" s="9" t="n">
        <v>0</v>
      </c>
      <c r="N1793" s="9" t="s">
        <v>42</v>
      </c>
      <c r="O1793" s="9" t="s">
        <v>67</v>
      </c>
      <c r="P1793" s="9" t="n">
        <v>14.8</v>
      </c>
      <c r="Q1793" s="9" t="n">
        <v>10</v>
      </c>
      <c r="R1793" s="9" t="s">
        <v>53</v>
      </c>
      <c r="S1793" s="9"/>
      <c r="T1793" s="9"/>
      <c r="U1793" s="9" t="str">
        <f aca="false">IF(COUNTIF($A$2:$A$5001,A1793)&gt;1,"Duplicate","Unique")</f>
        <v>Unique</v>
      </c>
      <c r="V1793" s="9" t="str">
        <f aca="false">IF(COUNTIFS($B$2:$B$5001,B1793,$H$2:$H$5001,H1793,$J$2:$J$5001,J1793)&gt;1,"Possible Duplicate Booking","Unique")</f>
        <v>Unique</v>
      </c>
      <c r="W1793" s="9" t="str">
        <f aca="false">IF((H1793-G1793)&lt;&gt;K1793,"Mismatch","OK")</f>
        <v>OK</v>
      </c>
      <c r="X1793" s="9" t="str">
        <f aca="false">IF(TEXT(H1793,"dddd")&lt;&gt;I1793,"Mismatch","OK")</f>
        <v>OK</v>
      </c>
      <c r="Y1793" s="9" t="str">
        <f aca="false">IF(AND(N1793="No",O1793&lt;&gt;""),"Unexpected: channel present but no reminder sent",IF(AND(N1793="Yes",O1793=""),"Missing channel for sent reminder","OK"))</f>
        <v>OK</v>
      </c>
    </row>
    <row r="1794" customFormat="false" ht="15" hidden="false" customHeight="false" outlineLevel="0" collapsed="false">
      <c r="A1794" s="7" t="s">
        <v>3003</v>
      </c>
      <c r="B1794" s="7" t="s">
        <v>451</v>
      </c>
      <c r="C1794" s="7" t="s">
        <v>47</v>
      </c>
      <c r="D1794" s="7" t="n">
        <v>36</v>
      </c>
      <c r="E1794" s="7" t="s">
        <v>38</v>
      </c>
      <c r="F1794" s="7" t="s">
        <v>49</v>
      </c>
      <c r="G1794" s="8" t="n">
        <v>45794</v>
      </c>
      <c r="H1794" s="8" t="n">
        <v>45845</v>
      </c>
      <c r="I1794" s="7" t="s">
        <v>66</v>
      </c>
      <c r="J1794" s="7" t="s">
        <v>41</v>
      </c>
      <c r="K1794" s="7" t="n">
        <v>51</v>
      </c>
      <c r="L1794" s="7" t="n">
        <v>1</v>
      </c>
      <c r="M1794" s="7" t="n">
        <v>1</v>
      </c>
      <c r="N1794" s="7" t="s">
        <v>42</v>
      </c>
      <c r="O1794" s="7" t="s">
        <v>52</v>
      </c>
      <c r="P1794" s="7" t="n">
        <v>6.4</v>
      </c>
      <c r="Q1794" s="7" t="n">
        <v>2</v>
      </c>
      <c r="R1794" s="7" t="s">
        <v>53</v>
      </c>
      <c r="S1794" s="7"/>
      <c r="T1794" s="7"/>
      <c r="U1794" s="7" t="str">
        <f aca="false">IF(COUNTIF($A$2:$A$5001,A1794)&gt;1,"Duplicate","Unique")</f>
        <v>Unique</v>
      </c>
      <c r="V1794" s="7" t="str">
        <f aca="false">IF(COUNTIFS($B$2:$B$5001,B1794,$H$2:$H$5001,H1794,$J$2:$J$5001,J1794)&gt;1,"Possible Duplicate Booking","Unique")</f>
        <v>Unique</v>
      </c>
      <c r="W1794" s="7" t="str">
        <f aca="false">IF((H1794-G1794)&lt;&gt;K1794,"Mismatch","OK")</f>
        <v>OK</v>
      </c>
      <c r="X1794" s="7" t="str">
        <f aca="false">IF(TEXT(H1794,"dddd")&lt;&gt;I1794,"Mismatch","OK")</f>
        <v>OK</v>
      </c>
      <c r="Y1794" s="7" t="str">
        <f aca="false">IF(AND(N1794="No",O1794&lt;&gt;""),"Unexpected: channel present but no reminder sent",IF(AND(N1794="Yes",O1794=""),"Missing channel for sent reminder","OK"))</f>
        <v>OK</v>
      </c>
    </row>
    <row r="1795" customFormat="false" ht="15" hidden="false" customHeight="false" outlineLevel="0" collapsed="false">
      <c r="A1795" s="9" t="s">
        <v>3004</v>
      </c>
      <c r="B1795" s="9" t="s">
        <v>813</v>
      </c>
      <c r="C1795" s="9" t="s">
        <v>37</v>
      </c>
      <c r="D1795" s="9" t="n">
        <v>25</v>
      </c>
      <c r="E1795" s="9" t="s">
        <v>48</v>
      </c>
      <c r="F1795" s="9" t="s">
        <v>57</v>
      </c>
      <c r="G1795" s="10" t="n">
        <v>45805</v>
      </c>
      <c r="H1795" s="10" t="n">
        <v>45809</v>
      </c>
      <c r="I1795" s="9" t="s">
        <v>75</v>
      </c>
      <c r="J1795" s="9" t="s">
        <v>63</v>
      </c>
      <c r="K1795" s="9" t="n">
        <v>4</v>
      </c>
      <c r="L1795" s="9" t="n">
        <v>3</v>
      </c>
      <c r="M1795" s="9" t="n">
        <v>0</v>
      </c>
      <c r="N1795" s="9" t="s">
        <v>42</v>
      </c>
      <c r="O1795" s="9" t="s">
        <v>52</v>
      </c>
      <c r="P1795" s="9" t="n">
        <v>3.5</v>
      </c>
      <c r="Q1795" s="9" t="n">
        <v>29</v>
      </c>
      <c r="R1795" s="9" t="s">
        <v>44</v>
      </c>
      <c r="S1795" s="9"/>
      <c r="T1795" s="9"/>
      <c r="U1795" s="9" t="str">
        <f aca="false">IF(COUNTIF($A$2:$A$5001,A1795)&gt;1,"Duplicate","Unique")</f>
        <v>Unique</v>
      </c>
      <c r="V1795" s="9" t="str">
        <f aca="false">IF(COUNTIFS($B$2:$B$5001,B1795,$H$2:$H$5001,H1795,$J$2:$J$5001,J1795)&gt;1,"Possible Duplicate Booking","Unique")</f>
        <v>Unique</v>
      </c>
      <c r="W1795" s="9" t="str">
        <f aca="false">IF((H1795-G1795)&lt;&gt;K1795,"Mismatch","OK")</f>
        <v>OK</v>
      </c>
      <c r="X1795" s="9" t="str">
        <f aca="false">IF(TEXT(H1795,"dddd")&lt;&gt;I1795,"Mismatch","OK")</f>
        <v>OK</v>
      </c>
      <c r="Y1795" s="9" t="str">
        <f aca="false">IF(AND(N1795="No",O1795&lt;&gt;""),"Unexpected: channel present but no reminder sent",IF(AND(N1795="Yes",O1795=""),"Missing channel for sent reminder","OK"))</f>
        <v>OK</v>
      </c>
    </row>
    <row r="1796" customFormat="false" ht="15" hidden="false" customHeight="false" outlineLevel="0" collapsed="false">
      <c r="A1796" s="7" t="s">
        <v>3005</v>
      </c>
      <c r="B1796" s="7" t="s">
        <v>2826</v>
      </c>
      <c r="C1796" s="7" t="s">
        <v>37</v>
      </c>
      <c r="D1796" s="7" t="n">
        <v>26</v>
      </c>
      <c r="E1796" s="7" t="s">
        <v>48</v>
      </c>
      <c r="F1796" s="7" t="s">
        <v>57</v>
      </c>
      <c r="G1796" s="8" t="n">
        <v>45875</v>
      </c>
      <c r="H1796" s="8" t="n">
        <v>45919</v>
      </c>
      <c r="I1796" s="7" t="s">
        <v>50</v>
      </c>
      <c r="J1796" s="7" t="s">
        <v>51</v>
      </c>
      <c r="K1796" s="7" t="n">
        <v>44</v>
      </c>
      <c r="L1796" s="7" t="n">
        <v>1</v>
      </c>
      <c r="M1796" s="7" t="n">
        <v>0</v>
      </c>
      <c r="N1796" s="7" t="s">
        <v>42</v>
      </c>
      <c r="O1796" s="7" t="s">
        <v>67</v>
      </c>
      <c r="P1796" s="7" t="n">
        <v>6.2</v>
      </c>
      <c r="Q1796" s="7" t="n">
        <v>8</v>
      </c>
      <c r="R1796" s="7" t="s">
        <v>53</v>
      </c>
      <c r="S1796" s="7"/>
      <c r="T1796" s="7"/>
      <c r="U1796" s="7" t="str">
        <f aca="false">IF(COUNTIF($A$2:$A$5001,A1796)&gt;1,"Duplicate","Unique")</f>
        <v>Unique</v>
      </c>
      <c r="V1796" s="7" t="str">
        <f aca="false">IF(COUNTIFS($B$2:$B$5001,B1796,$H$2:$H$5001,H1796,$J$2:$J$5001,J1796)&gt;1,"Possible Duplicate Booking","Unique")</f>
        <v>Unique</v>
      </c>
      <c r="W1796" s="7" t="str">
        <f aca="false">IF((H1796-G1796)&lt;&gt;K1796,"Mismatch","OK")</f>
        <v>OK</v>
      </c>
      <c r="X1796" s="7" t="str">
        <f aca="false">IF(TEXT(H1796,"dddd")&lt;&gt;I1796,"Mismatch","OK")</f>
        <v>OK</v>
      </c>
      <c r="Y1796" s="7" t="str">
        <f aca="false">IF(AND(N1796="No",O1796&lt;&gt;""),"Unexpected: channel present but no reminder sent",IF(AND(N1796="Yes",O1796=""),"Missing channel for sent reminder","OK"))</f>
        <v>OK</v>
      </c>
    </row>
    <row r="1797" customFormat="false" ht="15" hidden="false" customHeight="false" outlineLevel="0" collapsed="false">
      <c r="A1797" s="9" t="s">
        <v>3006</v>
      </c>
      <c r="B1797" s="9" t="s">
        <v>3007</v>
      </c>
      <c r="C1797" s="9" t="s">
        <v>37</v>
      </c>
      <c r="D1797" s="9" t="n">
        <v>70</v>
      </c>
      <c r="E1797" s="9" t="s">
        <v>70</v>
      </c>
      <c r="F1797" s="9" t="s">
        <v>57</v>
      </c>
      <c r="G1797" s="10" t="n">
        <v>45762</v>
      </c>
      <c r="H1797" s="10" t="n">
        <v>45768</v>
      </c>
      <c r="I1797" s="9" t="s">
        <v>66</v>
      </c>
      <c r="J1797" s="9" t="s">
        <v>63</v>
      </c>
      <c r="K1797" s="9" t="n">
        <v>6</v>
      </c>
      <c r="L1797" s="9" t="n">
        <v>0</v>
      </c>
      <c r="M1797" s="9" t="n">
        <v>0</v>
      </c>
      <c r="N1797" s="9" t="s">
        <v>42</v>
      </c>
      <c r="O1797" s="9" t="s">
        <v>67</v>
      </c>
      <c r="P1797" s="9" t="n">
        <v>4</v>
      </c>
      <c r="Q1797" s="9" t="n">
        <v>9</v>
      </c>
      <c r="R1797" s="9" t="s">
        <v>53</v>
      </c>
      <c r="S1797" s="9"/>
      <c r="T1797" s="9"/>
      <c r="U1797" s="9" t="str">
        <f aca="false">IF(COUNTIF($A$2:$A$5001,A1797)&gt;1,"Duplicate","Unique")</f>
        <v>Unique</v>
      </c>
      <c r="V1797" s="9" t="str">
        <f aca="false">IF(COUNTIFS($B$2:$B$5001,B1797,$H$2:$H$5001,H1797,$J$2:$J$5001,J1797)&gt;1,"Possible Duplicate Booking","Unique")</f>
        <v>Unique</v>
      </c>
      <c r="W1797" s="9" t="str">
        <f aca="false">IF((H1797-G1797)&lt;&gt;K1797,"Mismatch","OK")</f>
        <v>OK</v>
      </c>
      <c r="X1797" s="9" t="str">
        <f aca="false">IF(TEXT(H1797,"dddd")&lt;&gt;I1797,"Mismatch","OK")</f>
        <v>OK</v>
      </c>
      <c r="Y1797" s="9" t="str">
        <f aca="false">IF(AND(N1797="No",O1797&lt;&gt;""),"Unexpected: channel present but no reminder sent",IF(AND(N1797="Yes",O1797=""),"Missing channel for sent reminder","OK"))</f>
        <v>OK</v>
      </c>
    </row>
    <row r="1798" customFormat="false" ht="15" hidden="false" customHeight="false" outlineLevel="0" collapsed="false">
      <c r="A1798" s="7" t="s">
        <v>3008</v>
      </c>
      <c r="B1798" s="7" t="s">
        <v>3009</v>
      </c>
      <c r="C1798" s="7" t="s">
        <v>37</v>
      </c>
      <c r="D1798" s="7" t="n">
        <v>46</v>
      </c>
      <c r="E1798" s="7" t="s">
        <v>56</v>
      </c>
      <c r="F1798" s="7" t="s">
        <v>57</v>
      </c>
      <c r="G1798" s="8" t="n">
        <v>46186</v>
      </c>
      <c r="H1798" s="8" t="n">
        <v>46190</v>
      </c>
      <c r="I1798" s="7" t="s">
        <v>58</v>
      </c>
      <c r="J1798" s="7" t="s">
        <v>51</v>
      </c>
      <c r="K1798" s="7" t="n">
        <v>4</v>
      </c>
      <c r="L1798" s="7" t="n">
        <v>0</v>
      </c>
      <c r="M1798" s="7" t="n">
        <v>0</v>
      </c>
      <c r="N1798" s="7" t="s">
        <v>42</v>
      </c>
      <c r="O1798" s="7" t="s">
        <v>67</v>
      </c>
      <c r="P1798" s="7" t="n">
        <v>38.2</v>
      </c>
      <c r="Q1798" s="7" t="n">
        <v>23</v>
      </c>
      <c r="R1798" s="7" t="s">
        <v>44</v>
      </c>
      <c r="S1798" s="7"/>
      <c r="T1798" s="7"/>
      <c r="U1798" s="7" t="str">
        <f aca="false">IF(COUNTIF($A$2:$A$5001,A1798)&gt;1,"Duplicate","Unique")</f>
        <v>Unique</v>
      </c>
      <c r="V1798" s="7" t="str">
        <f aca="false">IF(COUNTIFS($B$2:$B$5001,B1798,$H$2:$H$5001,H1798,$J$2:$J$5001,J1798)&gt;1,"Possible Duplicate Booking","Unique")</f>
        <v>Unique</v>
      </c>
      <c r="W1798" s="7" t="str">
        <f aca="false">IF((H1798-G1798)&lt;&gt;K1798,"Mismatch","OK")</f>
        <v>OK</v>
      </c>
      <c r="X1798" s="7" t="str">
        <f aca="false">IF(TEXT(H1798,"dddd")&lt;&gt;I1798,"Mismatch","OK")</f>
        <v>OK</v>
      </c>
      <c r="Y1798" s="7" t="str">
        <f aca="false">IF(AND(N1798="No",O1798&lt;&gt;""),"Unexpected: channel present but no reminder sent",IF(AND(N1798="Yes",O1798=""),"Missing channel for sent reminder","OK"))</f>
        <v>OK</v>
      </c>
    </row>
    <row r="1799" customFormat="false" ht="15" hidden="false" customHeight="false" outlineLevel="0" collapsed="false">
      <c r="A1799" s="9" t="s">
        <v>3010</v>
      </c>
      <c r="B1799" s="9" t="s">
        <v>423</v>
      </c>
      <c r="C1799" s="9" t="s">
        <v>47</v>
      </c>
      <c r="D1799" s="9" t="n">
        <v>51</v>
      </c>
      <c r="E1799" s="9" t="s">
        <v>56</v>
      </c>
      <c r="F1799" s="9" t="s">
        <v>74</v>
      </c>
      <c r="G1799" s="10" t="n">
        <v>45717</v>
      </c>
      <c r="H1799" s="10" t="n">
        <v>45759</v>
      </c>
      <c r="I1799" s="9" t="s">
        <v>102</v>
      </c>
      <c r="J1799" s="9" t="s">
        <v>51</v>
      </c>
      <c r="K1799" s="9" t="n">
        <v>42</v>
      </c>
      <c r="L1799" s="9" t="n">
        <v>1</v>
      </c>
      <c r="M1799" s="9" t="n">
        <v>0</v>
      </c>
      <c r="N1799" s="9" t="s">
        <v>71</v>
      </c>
      <c r="O1799" s="9"/>
      <c r="P1799" s="9" t="n">
        <v>13.3</v>
      </c>
      <c r="Q1799" s="9" t="n">
        <v>22</v>
      </c>
      <c r="R1799" s="9" t="s">
        <v>44</v>
      </c>
      <c r="S1799" s="9"/>
      <c r="T1799" s="9"/>
      <c r="U1799" s="9" t="str">
        <f aca="false">IF(COUNTIF($A$2:$A$5001,A1799)&gt;1,"Duplicate","Unique")</f>
        <v>Unique</v>
      </c>
      <c r="V1799" s="9" t="str">
        <f aca="false">IF(COUNTIFS($B$2:$B$5001,B1799,$H$2:$H$5001,H1799,$J$2:$J$5001,J1799)&gt;1,"Possible Duplicate Booking","Unique")</f>
        <v>Unique</v>
      </c>
      <c r="W1799" s="9" t="str">
        <f aca="false">IF((H1799-G1799)&lt;&gt;K1799,"Mismatch","OK")</f>
        <v>OK</v>
      </c>
      <c r="X1799" s="9" t="str">
        <f aca="false">IF(TEXT(H1799,"dddd")&lt;&gt;I1799,"Mismatch","OK")</f>
        <v>OK</v>
      </c>
      <c r="Y1799" s="9" t="str">
        <f aca="false">IF(AND(N1799="No",O1799&lt;&gt;""),"Unexpected: channel present but no reminder sent",IF(AND(N1799="Yes",O1799=""),"Missing channel for sent reminder","OK"))</f>
        <v>OK</v>
      </c>
    </row>
    <row r="1800" customFormat="false" ht="15" hidden="false" customHeight="false" outlineLevel="0" collapsed="false">
      <c r="A1800" s="7" t="s">
        <v>3011</v>
      </c>
      <c r="B1800" s="7" t="s">
        <v>3012</v>
      </c>
      <c r="C1800" s="7" t="s">
        <v>37</v>
      </c>
      <c r="D1800" s="7" t="n">
        <v>78</v>
      </c>
      <c r="E1800" s="7" t="s">
        <v>70</v>
      </c>
      <c r="F1800" s="7" t="s">
        <v>39</v>
      </c>
      <c r="G1800" s="8" t="n">
        <v>45890</v>
      </c>
      <c r="H1800" s="8" t="n">
        <v>45919</v>
      </c>
      <c r="I1800" s="7" t="s">
        <v>50</v>
      </c>
      <c r="J1800" s="7" t="s">
        <v>51</v>
      </c>
      <c r="K1800" s="7" t="n">
        <v>29</v>
      </c>
      <c r="L1800" s="7" t="n">
        <v>4</v>
      </c>
      <c r="M1800" s="7" t="n">
        <v>0</v>
      </c>
      <c r="N1800" s="7" t="s">
        <v>42</v>
      </c>
      <c r="O1800" s="7" t="s">
        <v>43</v>
      </c>
      <c r="P1800" s="7" t="n">
        <v>11.6</v>
      </c>
      <c r="Q1800" s="7" t="n">
        <v>31</v>
      </c>
      <c r="R1800" s="7" t="s">
        <v>44</v>
      </c>
      <c r="S1800" s="7"/>
      <c r="T1800" s="7"/>
      <c r="U1800" s="7" t="str">
        <f aca="false">IF(COUNTIF($A$2:$A$5001,A1800)&gt;1,"Duplicate","Unique")</f>
        <v>Unique</v>
      </c>
      <c r="V1800" s="7" t="str">
        <f aca="false">IF(COUNTIFS($B$2:$B$5001,B1800,$H$2:$H$5001,H1800,$J$2:$J$5001,J1800)&gt;1,"Possible Duplicate Booking","Unique")</f>
        <v>Unique</v>
      </c>
      <c r="W1800" s="7" t="str">
        <f aca="false">IF((H1800-G1800)&lt;&gt;K1800,"Mismatch","OK")</f>
        <v>OK</v>
      </c>
      <c r="X1800" s="7" t="str">
        <f aca="false">IF(TEXT(H1800,"dddd")&lt;&gt;I1800,"Mismatch","OK")</f>
        <v>OK</v>
      </c>
      <c r="Y1800" s="7" t="str">
        <f aca="false">IF(AND(N1800="No",O1800&lt;&gt;""),"Unexpected: channel present but no reminder sent",IF(AND(N1800="Yes",O1800=""),"Missing channel for sent reminder","OK"))</f>
        <v>OK</v>
      </c>
    </row>
    <row r="1801" customFormat="false" ht="15" hidden="false" customHeight="false" outlineLevel="0" collapsed="false">
      <c r="A1801" s="9" t="s">
        <v>3013</v>
      </c>
      <c r="B1801" s="9" t="s">
        <v>366</v>
      </c>
      <c r="C1801" s="9" t="s">
        <v>47</v>
      </c>
      <c r="D1801" s="9" t="n">
        <v>21</v>
      </c>
      <c r="E1801" s="9" t="s">
        <v>82</v>
      </c>
      <c r="F1801" s="9" t="s">
        <v>57</v>
      </c>
      <c r="G1801" s="10" t="n">
        <v>45904</v>
      </c>
      <c r="H1801" s="10" t="n">
        <v>45943</v>
      </c>
      <c r="I1801" s="9" t="s">
        <v>66</v>
      </c>
      <c r="J1801" s="9" t="s">
        <v>41</v>
      </c>
      <c r="K1801" s="9" t="n">
        <v>39</v>
      </c>
      <c r="L1801" s="9" t="n">
        <v>5</v>
      </c>
      <c r="M1801" s="9" t="n">
        <v>2</v>
      </c>
      <c r="N1801" s="9" t="s">
        <v>42</v>
      </c>
      <c r="O1801" s="9" t="s">
        <v>52</v>
      </c>
      <c r="P1801" s="9" t="n">
        <v>2.3</v>
      </c>
      <c r="Q1801" s="9" t="n">
        <v>32</v>
      </c>
      <c r="R1801" s="9" t="s">
        <v>53</v>
      </c>
      <c r="S1801" s="9"/>
      <c r="T1801" s="9"/>
      <c r="U1801" s="9" t="str">
        <f aca="false">IF(COUNTIF($A$2:$A$5001,A1801)&gt;1,"Duplicate","Unique")</f>
        <v>Unique</v>
      </c>
      <c r="V1801" s="9" t="str">
        <f aca="false">IF(COUNTIFS($B$2:$B$5001,B1801,$H$2:$H$5001,H1801,$J$2:$J$5001,J1801)&gt;1,"Possible Duplicate Booking","Unique")</f>
        <v>Unique</v>
      </c>
      <c r="W1801" s="9" t="str">
        <f aca="false">IF((H1801-G1801)&lt;&gt;K1801,"Mismatch","OK")</f>
        <v>OK</v>
      </c>
      <c r="X1801" s="9" t="str">
        <f aca="false">IF(TEXT(H1801,"dddd")&lt;&gt;I1801,"Mismatch","OK")</f>
        <v>OK</v>
      </c>
      <c r="Y1801" s="9" t="str">
        <f aca="false">IF(AND(N1801="No",O1801&lt;&gt;""),"Unexpected: channel present but no reminder sent",IF(AND(N1801="Yes",O1801=""),"Missing channel for sent reminder","OK"))</f>
        <v>OK</v>
      </c>
    </row>
    <row r="1802" customFormat="false" ht="15" hidden="false" customHeight="false" outlineLevel="0" collapsed="false">
      <c r="A1802" s="7" t="s">
        <v>3014</v>
      </c>
      <c r="B1802" s="7" t="s">
        <v>914</v>
      </c>
      <c r="C1802" s="7" t="s">
        <v>47</v>
      </c>
      <c r="D1802" s="7" t="n">
        <v>30</v>
      </c>
      <c r="E1802" s="7" t="s">
        <v>48</v>
      </c>
      <c r="F1802" s="7" t="s">
        <v>49</v>
      </c>
      <c r="G1802" s="8" t="n">
        <v>45638</v>
      </c>
      <c r="H1802" s="8" t="n">
        <v>45689</v>
      </c>
      <c r="I1802" s="7" t="s">
        <v>102</v>
      </c>
      <c r="J1802" s="7" t="s">
        <v>63</v>
      </c>
      <c r="K1802" s="7" t="n">
        <v>51</v>
      </c>
      <c r="L1802" s="7" t="n">
        <v>7</v>
      </c>
      <c r="M1802" s="7" t="n">
        <v>3</v>
      </c>
      <c r="N1802" s="7" t="s">
        <v>42</v>
      </c>
      <c r="O1802" s="7" t="s">
        <v>43</v>
      </c>
      <c r="P1802" s="7" t="n">
        <v>2.9</v>
      </c>
      <c r="Q1802" s="7" t="n">
        <v>36</v>
      </c>
      <c r="R1802" s="7" t="s">
        <v>44</v>
      </c>
      <c r="S1802" s="7"/>
      <c r="T1802" s="7"/>
      <c r="U1802" s="7" t="str">
        <f aca="false">IF(COUNTIF($A$2:$A$5001,A1802)&gt;1,"Duplicate","Unique")</f>
        <v>Unique</v>
      </c>
      <c r="V1802" s="7" t="str">
        <f aca="false">IF(COUNTIFS($B$2:$B$5001,B1802,$H$2:$H$5001,H1802,$J$2:$J$5001,J1802)&gt;1,"Possible Duplicate Booking","Unique")</f>
        <v>Unique</v>
      </c>
      <c r="W1802" s="7" t="str">
        <f aca="false">IF((H1802-G1802)&lt;&gt;K1802,"Mismatch","OK")</f>
        <v>OK</v>
      </c>
      <c r="X1802" s="7" t="str">
        <f aca="false">IF(TEXT(H1802,"dddd")&lt;&gt;I1802,"Mismatch","OK")</f>
        <v>OK</v>
      </c>
      <c r="Y1802" s="7" t="str">
        <f aca="false">IF(AND(N1802="No",O1802&lt;&gt;""),"Unexpected: channel present but no reminder sent",IF(AND(N1802="Yes",O1802=""),"Missing channel for sent reminder","OK"))</f>
        <v>OK</v>
      </c>
    </row>
    <row r="1803" customFormat="false" ht="15" hidden="false" customHeight="false" outlineLevel="0" collapsed="false">
      <c r="A1803" s="9" t="s">
        <v>3015</v>
      </c>
      <c r="B1803" s="9" t="s">
        <v>3016</v>
      </c>
      <c r="C1803" s="9" t="s">
        <v>47</v>
      </c>
      <c r="D1803" s="9" t="n">
        <v>70</v>
      </c>
      <c r="E1803" s="9" t="s">
        <v>70</v>
      </c>
      <c r="F1803" s="9" t="s">
        <v>57</v>
      </c>
      <c r="G1803" s="10" t="n">
        <v>45909</v>
      </c>
      <c r="H1803" s="10" t="n">
        <v>45913</v>
      </c>
      <c r="I1803" s="9" t="s">
        <v>102</v>
      </c>
      <c r="J1803" s="9" t="s">
        <v>41</v>
      </c>
      <c r="K1803" s="9" t="n">
        <v>4</v>
      </c>
      <c r="L1803" s="9" t="n">
        <v>2</v>
      </c>
      <c r="M1803" s="9" t="n">
        <v>0</v>
      </c>
      <c r="N1803" s="9" t="s">
        <v>42</v>
      </c>
      <c r="O1803" s="9" t="s">
        <v>52</v>
      </c>
      <c r="P1803" s="9" t="n">
        <v>6.6</v>
      </c>
      <c r="Q1803" s="9" t="n">
        <v>42</v>
      </c>
      <c r="R1803" s="9" t="s">
        <v>53</v>
      </c>
      <c r="S1803" s="9"/>
      <c r="T1803" s="9"/>
      <c r="U1803" s="9" t="str">
        <f aca="false">IF(COUNTIF($A$2:$A$5001,A1803)&gt;1,"Duplicate","Unique")</f>
        <v>Unique</v>
      </c>
      <c r="V1803" s="9" t="str">
        <f aca="false">IF(COUNTIFS($B$2:$B$5001,B1803,$H$2:$H$5001,H1803,$J$2:$J$5001,J1803)&gt;1,"Possible Duplicate Booking","Unique")</f>
        <v>Unique</v>
      </c>
      <c r="W1803" s="9" t="str">
        <f aca="false">IF((H1803-G1803)&lt;&gt;K1803,"Mismatch","OK")</f>
        <v>OK</v>
      </c>
      <c r="X1803" s="9" t="str">
        <f aca="false">IF(TEXT(H1803,"dddd")&lt;&gt;I1803,"Mismatch","OK")</f>
        <v>OK</v>
      </c>
      <c r="Y1803" s="9" t="str">
        <f aca="false">IF(AND(N1803="No",O1803&lt;&gt;""),"Unexpected: channel present but no reminder sent",IF(AND(N1803="Yes",O1803=""),"Missing channel for sent reminder","OK"))</f>
        <v>OK</v>
      </c>
    </row>
    <row r="1804" customFormat="false" ht="15" hidden="false" customHeight="false" outlineLevel="0" collapsed="false">
      <c r="A1804" s="7" t="s">
        <v>3017</v>
      </c>
      <c r="B1804" s="7" t="s">
        <v>2469</v>
      </c>
      <c r="C1804" s="7" t="s">
        <v>47</v>
      </c>
      <c r="D1804" s="7" t="n">
        <v>52</v>
      </c>
      <c r="E1804" s="7" t="s">
        <v>56</v>
      </c>
      <c r="F1804" s="7" t="s">
        <v>57</v>
      </c>
      <c r="G1804" s="8" t="n">
        <v>45874</v>
      </c>
      <c r="H1804" s="8" t="n">
        <v>45906</v>
      </c>
      <c r="I1804" s="7" t="s">
        <v>102</v>
      </c>
      <c r="J1804" s="7" t="s">
        <v>41</v>
      </c>
      <c r="K1804" s="7" t="n">
        <v>32</v>
      </c>
      <c r="L1804" s="7" t="n">
        <v>3</v>
      </c>
      <c r="M1804" s="7" t="n">
        <v>0</v>
      </c>
      <c r="N1804" s="7" t="s">
        <v>42</v>
      </c>
      <c r="O1804" s="7" t="s">
        <v>43</v>
      </c>
      <c r="P1804" s="7" t="n">
        <v>5.9</v>
      </c>
      <c r="Q1804" s="7" t="n">
        <v>35</v>
      </c>
      <c r="R1804" s="7" t="s">
        <v>53</v>
      </c>
      <c r="S1804" s="7"/>
      <c r="T1804" s="7"/>
      <c r="U1804" s="7" t="str">
        <f aca="false">IF(COUNTIF($A$2:$A$5001,A1804)&gt;1,"Duplicate","Unique")</f>
        <v>Unique</v>
      </c>
      <c r="V1804" s="7" t="str">
        <f aca="false">IF(COUNTIFS($B$2:$B$5001,B1804,$H$2:$H$5001,H1804,$J$2:$J$5001,J1804)&gt;1,"Possible Duplicate Booking","Unique")</f>
        <v>Unique</v>
      </c>
      <c r="W1804" s="7" t="str">
        <f aca="false">IF((H1804-G1804)&lt;&gt;K1804,"Mismatch","OK")</f>
        <v>OK</v>
      </c>
      <c r="X1804" s="7" t="str">
        <f aca="false">IF(TEXT(H1804,"dddd")&lt;&gt;I1804,"Mismatch","OK")</f>
        <v>OK</v>
      </c>
      <c r="Y1804" s="7" t="str">
        <f aca="false">IF(AND(N1804="No",O1804&lt;&gt;""),"Unexpected: channel present but no reminder sent",IF(AND(N1804="Yes",O1804=""),"Missing channel for sent reminder","OK"))</f>
        <v>OK</v>
      </c>
    </row>
    <row r="1805" customFormat="false" ht="15" hidden="false" customHeight="false" outlineLevel="0" collapsed="false">
      <c r="A1805" s="9" t="s">
        <v>3018</v>
      </c>
      <c r="B1805" s="9" t="s">
        <v>233</v>
      </c>
      <c r="C1805" s="9" t="s">
        <v>47</v>
      </c>
      <c r="D1805" s="9" t="n">
        <v>19</v>
      </c>
      <c r="E1805" s="9" t="s">
        <v>82</v>
      </c>
      <c r="F1805" s="9" t="s">
        <v>39</v>
      </c>
      <c r="G1805" s="10" t="n">
        <v>45749</v>
      </c>
      <c r="H1805" s="10" t="n">
        <v>45799</v>
      </c>
      <c r="I1805" s="9" t="s">
        <v>62</v>
      </c>
      <c r="J1805" s="9" t="s">
        <v>51</v>
      </c>
      <c r="K1805" s="9" t="n">
        <v>50</v>
      </c>
      <c r="L1805" s="9" t="n">
        <v>3</v>
      </c>
      <c r="M1805" s="9" t="n">
        <v>0</v>
      </c>
      <c r="N1805" s="9" t="s">
        <v>42</v>
      </c>
      <c r="O1805" s="9" t="s">
        <v>52</v>
      </c>
      <c r="P1805" s="9" t="n">
        <v>5.1</v>
      </c>
      <c r="Q1805" s="9" t="n">
        <v>28</v>
      </c>
      <c r="R1805" s="9" t="s">
        <v>44</v>
      </c>
      <c r="S1805" s="9"/>
      <c r="T1805" s="9"/>
      <c r="U1805" s="9" t="str">
        <f aca="false">IF(COUNTIF($A$2:$A$5001,A1805)&gt;1,"Duplicate","Unique")</f>
        <v>Unique</v>
      </c>
      <c r="V1805" s="9" t="str">
        <f aca="false">IF(COUNTIFS($B$2:$B$5001,B1805,$H$2:$H$5001,H1805,$J$2:$J$5001,J1805)&gt;1,"Possible Duplicate Booking","Unique")</f>
        <v>Unique</v>
      </c>
      <c r="W1805" s="9" t="str">
        <f aca="false">IF((H1805-G1805)&lt;&gt;K1805,"Mismatch","OK")</f>
        <v>OK</v>
      </c>
      <c r="X1805" s="9" t="str">
        <f aca="false">IF(TEXT(H1805,"dddd")&lt;&gt;I1805,"Mismatch","OK")</f>
        <v>OK</v>
      </c>
      <c r="Y1805" s="9" t="str">
        <f aca="false">IF(AND(N1805="No",O1805&lt;&gt;""),"Unexpected: channel present but no reminder sent",IF(AND(N1805="Yes",O1805=""),"Missing channel for sent reminder","OK"))</f>
        <v>OK</v>
      </c>
    </row>
    <row r="1806" customFormat="false" ht="15" hidden="false" customHeight="false" outlineLevel="0" collapsed="false">
      <c r="A1806" s="7" t="s">
        <v>3019</v>
      </c>
      <c r="B1806" s="7" t="s">
        <v>2154</v>
      </c>
      <c r="C1806" s="7" t="s">
        <v>236</v>
      </c>
      <c r="D1806" s="7" t="n">
        <v>62</v>
      </c>
      <c r="E1806" s="7" t="s">
        <v>61</v>
      </c>
      <c r="F1806" s="7" t="s">
        <v>57</v>
      </c>
      <c r="G1806" s="8" t="n">
        <v>45701</v>
      </c>
      <c r="H1806" s="8" t="n">
        <v>45727</v>
      </c>
      <c r="I1806" s="7" t="s">
        <v>40</v>
      </c>
      <c r="J1806" s="7" t="s">
        <v>63</v>
      </c>
      <c r="K1806" s="7" t="n">
        <v>26</v>
      </c>
      <c r="L1806" s="7" t="n">
        <v>4</v>
      </c>
      <c r="M1806" s="7" t="n">
        <v>1</v>
      </c>
      <c r="N1806" s="7" t="s">
        <v>71</v>
      </c>
      <c r="O1806" s="7"/>
      <c r="P1806" s="7" t="n">
        <v>16</v>
      </c>
      <c r="Q1806" s="7" t="n">
        <v>26</v>
      </c>
      <c r="R1806" s="7" t="s">
        <v>44</v>
      </c>
      <c r="S1806" s="7"/>
      <c r="T1806" s="7"/>
      <c r="U1806" s="7" t="str">
        <f aca="false">IF(COUNTIF($A$2:$A$5001,A1806)&gt;1,"Duplicate","Unique")</f>
        <v>Unique</v>
      </c>
      <c r="V1806" s="7" t="str">
        <f aca="false">IF(COUNTIFS($B$2:$B$5001,B1806,$H$2:$H$5001,H1806,$J$2:$J$5001,J1806)&gt;1,"Possible Duplicate Booking","Unique")</f>
        <v>Unique</v>
      </c>
      <c r="W1806" s="7" t="str">
        <f aca="false">IF((H1806-G1806)&lt;&gt;K1806,"Mismatch","OK")</f>
        <v>OK</v>
      </c>
      <c r="X1806" s="7" t="str">
        <f aca="false">IF(TEXT(H1806,"dddd")&lt;&gt;I1806,"Mismatch","OK")</f>
        <v>OK</v>
      </c>
      <c r="Y1806" s="7" t="str">
        <f aca="false">IF(AND(N1806="No",O1806&lt;&gt;""),"Unexpected: channel present but no reminder sent",IF(AND(N1806="Yes",O1806=""),"Missing channel for sent reminder","OK"))</f>
        <v>OK</v>
      </c>
    </row>
    <row r="1807" customFormat="false" ht="15" hidden="false" customHeight="false" outlineLevel="0" collapsed="false">
      <c r="A1807" s="9" t="s">
        <v>3020</v>
      </c>
      <c r="B1807" s="9" t="s">
        <v>340</v>
      </c>
      <c r="C1807" s="9" t="s">
        <v>37</v>
      </c>
      <c r="D1807" s="9" t="n">
        <v>26</v>
      </c>
      <c r="E1807" s="9" t="s">
        <v>48</v>
      </c>
      <c r="F1807" s="9" t="s">
        <v>39</v>
      </c>
      <c r="G1807" s="10" t="n">
        <v>45651</v>
      </c>
      <c r="H1807" s="10" t="n">
        <v>45682</v>
      </c>
      <c r="I1807" s="9" t="s">
        <v>102</v>
      </c>
      <c r="J1807" s="9" t="s">
        <v>41</v>
      </c>
      <c r="K1807" s="9" t="n">
        <v>31</v>
      </c>
      <c r="L1807" s="9" t="n">
        <v>2</v>
      </c>
      <c r="M1807" s="9" t="n">
        <v>0</v>
      </c>
      <c r="N1807" s="9" t="s">
        <v>42</v>
      </c>
      <c r="O1807" s="9" t="s">
        <v>43</v>
      </c>
      <c r="P1807" s="9" t="n">
        <v>28.2</v>
      </c>
      <c r="Q1807" s="9" t="n">
        <v>31</v>
      </c>
      <c r="R1807" s="9" t="s">
        <v>44</v>
      </c>
      <c r="S1807" s="9"/>
      <c r="T1807" s="9"/>
      <c r="U1807" s="9" t="str">
        <f aca="false">IF(COUNTIF($A$2:$A$5001,A1807)&gt;1,"Duplicate","Unique")</f>
        <v>Unique</v>
      </c>
      <c r="V1807" s="9" t="str">
        <f aca="false">IF(COUNTIFS($B$2:$B$5001,B1807,$H$2:$H$5001,H1807,$J$2:$J$5001,J1807)&gt;1,"Possible Duplicate Booking","Unique")</f>
        <v>Unique</v>
      </c>
      <c r="W1807" s="9" t="str">
        <f aca="false">IF((H1807-G1807)&lt;&gt;K1807,"Mismatch","OK")</f>
        <v>OK</v>
      </c>
      <c r="X1807" s="9" t="str">
        <f aca="false">IF(TEXT(H1807,"dddd")&lt;&gt;I1807,"Mismatch","OK")</f>
        <v>OK</v>
      </c>
      <c r="Y1807" s="9" t="str">
        <f aca="false">IF(AND(N1807="No",O1807&lt;&gt;""),"Unexpected: channel present but no reminder sent",IF(AND(N1807="Yes",O1807=""),"Missing channel for sent reminder","OK"))</f>
        <v>OK</v>
      </c>
    </row>
    <row r="1808" customFormat="false" ht="15" hidden="false" customHeight="false" outlineLevel="0" collapsed="false">
      <c r="A1808" s="7" t="s">
        <v>3021</v>
      </c>
      <c r="B1808" s="7" t="s">
        <v>3022</v>
      </c>
      <c r="C1808" s="7" t="s">
        <v>37</v>
      </c>
      <c r="D1808" s="7" t="n">
        <v>67</v>
      </c>
      <c r="E1808" s="7" t="s">
        <v>70</v>
      </c>
      <c r="F1808" s="7" t="s">
        <v>49</v>
      </c>
      <c r="G1808" s="8" t="n">
        <v>45632</v>
      </c>
      <c r="H1808" s="8" t="n">
        <v>45662</v>
      </c>
      <c r="I1808" s="7" t="s">
        <v>75</v>
      </c>
      <c r="J1808" s="7" t="s">
        <v>51</v>
      </c>
      <c r="K1808" s="7" t="n">
        <v>30</v>
      </c>
      <c r="L1808" s="7" t="n">
        <v>2</v>
      </c>
      <c r="M1808" s="7" t="n">
        <v>0</v>
      </c>
      <c r="N1808" s="7" t="s">
        <v>71</v>
      </c>
      <c r="O1808" s="7"/>
      <c r="P1808" s="7" t="n">
        <v>5.1</v>
      </c>
      <c r="Q1808" s="7" t="n">
        <v>2</v>
      </c>
      <c r="R1808" s="7" t="s">
        <v>44</v>
      </c>
      <c r="S1808" s="7"/>
      <c r="T1808" s="7"/>
      <c r="U1808" s="7" t="str">
        <f aca="false">IF(COUNTIF($A$2:$A$5001,A1808)&gt;1,"Duplicate","Unique")</f>
        <v>Unique</v>
      </c>
      <c r="V1808" s="7" t="str">
        <f aca="false">IF(COUNTIFS($B$2:$B$5001,B1808,$H$2:$H$5001,H1808,$J$2:$J$5001,J1808)&gt;1,"Possible Duplicate Booking","Unique")</f>
        <v>Unique</v>
      </c>
      <c r="W1808" s="7" t="str">
        <f aca="false">IF((H1808-G1808)&lt;&gt;K1808,"Mismatch","OK")</f>
        <v>OK</v>
      </c>
      <c r="X1808" s="7" t="str">
        <f aca="false">IF(TEXT(H1808,"dddd")&lt;&gt;I1808,"Mismatch","OK")</f>
        <v>OK</v>
      </c>
      <c r="Y1808" s="7" t="str">
        <f aca="false">IF(AND(N1808="No",O1808&lt;&gt;""),"Unexpected: channel present but no reminder sent",IF(AND(N1808="Yes",O1808=""),"Missing channel for sent reminder","OK"))</f>
        <v>OK</v>
      </c>
    </row>
    <row r="1809" customFormat="false" ht="15" hidden="false" customHeight="false" outlineLevel="0" collapsed="false">
      <c r="A1809" s="9" t="s">
        <v>3023</v>
      </c>
      <c r="B1809" s="9" t="s">
        <v>2497</v>
      </c>
      <c r="C1809" s="9" t="s">
        <v>37</v>
      </c>
      <c r="D1809" s="9" t="n">
        <v>68</v>
      </c>
      <c r="E1809" s="9" t="s">
        <v>70</v>
      </c>
      <c r="F1809" s="9" t="s">
        <v>74</v>
      </c>
      <c r="G1809" s="10" t="n">
        <v>45865</v>
      </c>
      <c r="H1809" s="10" t="n">
        <v>45920</v>
      </c>
      <c r="I1809" s="9" t="s">
        <v>102</v>
      </c>
      <c r="J1809" s="9" t="s">
        <v>63</v>
      </c>
      <c r="K1809" s="9" t="n">
        <v>55</v>
      </c>
      <c r="L1809" s="9" t="n">
        <v>4</v>
      </c>
      <c r="M1809" s="9" t="n">
        <v>1</v>
      </c>
      <c r="N1809" s="9" t="s">
        <v>42</v>
      </c>
      <c r="O1809" s="9" t="s">
        <v>52</v>
      </c>
      <c r="P1809" s="9" t="n">
        <v>1.5</v>
      </c>
      <c r="Q1809" s="9" t="n">
        <v>22</v>
      </c>
      <c r="R1809" s="9" t="s">
        <v>53</v>
      </c>
      <c r="S1809" s="9"/>
      <c r="T1809" s="9"/>
      <c r="U1809" s="9" t="str">
        <f aca="false">IF(COUNTIF($A$2:$A$5001,A1809)&gt;1,"Duplicate","Unique")</f>
        <v>Unique</v>
      </c>
      <c r="V1809" s="9" t="str">
        <f aca="false">IF(COUNTIFS($B$2:$B$5001,B1809,$H$2:$H$5001,H1809,$J$2:$J$5001,J1809)&gt;1,"Possible Duplicate Booking","Unique")</f>
        <v>Unique</v>
      </c>
      <c r="W1809" s="9" t="str">
        <f aca="false">IF((H1809-G1809)&lt;&gt;K1809,"Mismatch","OK")</f>
        <v>OK</v>
      </c>
      <c r="X1809" s="9" t="str">
        <f aca="false">IF(TEXT(H1809,"dddd")&lt;&gt;I1809,"Mismatch","OK")</f>
        <v>OK</v>
      </c>
      <c r="Y1809" s="9" t="str">
        <f aca="false">IF(AND(N1809="No",O1809&lt;&gt;""),"Unexpected: channel present but no reminder sent",IF(AND(N1809="Yes",O1809=""),"Missing channel for sent reminder","OK"))</f>
        <v>OK</v>
      </c>
    </row>
    <row r="1810" customFormat="false" ht="15" hidden="false" customHeight="false" outlineLevel="0" collapsed="false">
      <c r="A1810" s="7" t="s">
        <v>3024</v>
      </c>
      <c r="B1810" s="7" t="s">
        <v>356</v>
      </c>
      <c r="C1810" s="7" t="s">
        <v>47</v>
      </c>
      <c r="D1810" s="7" t="n">
        <v>69</v>
      </c>
      <c r="E1810" s="7" t="s">
        <v>70</v>
      </c>
      <c r="F1810" s="7" t="s">
        <v>57</v>
      </c>
      <c r="G1810" s="8" t="n">
        <v>45704</v>
      </c>
      <c r="H1810" s="8" t="n">
        <v>45707</v>
      </c>
      <c r="I1810" s="7" t="s">
        <v>58</v>
      </c>
      <c r="J1810" s="7" t="s">
        <v>51</v>
      </c>
      <c r="K1810" s="7" t="n">
        <v>3</v>
      </c>
      <c r="L1810" s="7" t="n">
        <v>4</v>
      </c>
      <c r="M1810" s="7" t="n">
        <v>0</v>
      </c>
      <c r="N1810" s="7" t="s">
        <v>71</v>
      </c>
      <c r="O1810" s="7"/>
      <c r="P1810" s="7" t="n">
        <v>5.3</v>
      </c>
      <c r="Q1810" s="7" t="n">
        <v>4</v>
      </c>
      <c r="R1810" s="7" t="s">
        <v>53</v>
      </c>
      <c r="S1810" s="7"/>
      <c r="T1810" s="7"/>
      <c r="U1810" s="7" t="str">
        <f aca="false">IF(COUNTIF($A$2:$A$5001,A1810)&gt;1,"Duplicate","Unique")</f>
        <v>Unique</v>
      </c>
      <c r="V1810" s="7" t="str">
        <f aca="false">IF(COUNTIFS($B$2:$B$5001,B1810,$H$2:$H$5001,H1810,$J$2:$J$5001,J1810)&gt;1,"Possible Duplicate Booking","Unique")</f>
        <v>Unique</v>
      </c>
      <c r="W1810" s="7" t="str">
        <f aca="false">IF((H1810-G1810)&lt;&gt;K1810,"Mismatch","OK")</f>
        <v>OK</v>
      </c>
      <c r="X1810" s="7" t="str">
        <f aca="false">IF(TEXT(H1810,"dddd")&lt;&gt;I1810,"Mismatch","OK")</f>
        <v>OK</v>
      </c>
      <c r="Y1810" s="7" t="str">
        <f aca="false">IF(AND(N1810="No",O1810&lt;&gt;""),"Unexpected: channel present but no reminder sent",IF(AND(N1810="Yes",O1810=""),"Missing channel for sent reminder","OK"))</f>
        <v>OK</v>
      </c>
    </row>
    <row r="1811" customFormat="false" ht="15" hidden="false" customHeight="false" outlineLevel="0" collapsed="false">
      <c r="A1811" s="9" t="s">
        <v>3025</v>
      </c>
      <c r="B1811" s="9" t="s">
        <v>1073</v>
      </c>
      <c r="C1811" s="9" t="s">
        <v>47</v>
      </c>
      <c r="D1811" s="9" t="n">
        <v>47</v>
      </c>
      <c r="E1811" s="9" t="s">
        <v>56</v>
      </c>
      <c r="F1811" s="9" t="s">
        <v>39</v>
      </c>
      <c r="G1811" s="10" t="n">
        <v>46128</v>
      </c>
      <c r="H1811" s="10" t="n">
        <v>46181</v>
      </c>
      <c r="I1811" s="9" t="s">
        <v>66</v>
      </c>
      <c r="J1811" s="9" t="s">
        <v>51</v>
      </c>
      <c r="K1811" s="9" t="n">
        <v>53</v>
      </c>
      <c r="L1811" s="9" t="n">
        <v>4</v>
      </c>
      <c r="M1811" s="9" t="n">
        <v>2</v>
      </c>
      <c r="N1811" s="9" t="s">
        <v>71</v>
      </c>
      <c r="O1811" s="9"/>
      <c r="P1811" s="9" t="n">
        <v>15.5</v>
      </c>
      <c r="Q1811" s="9" t="n">
        <v>16</v>
      </c>
      <c r="R1811" s="9" t="s">
        <v>44</v>
      </c>
      <c r="S1811" s="9"/>
      <c r="T1811" s="9"/>
      <c r="U1811" s="9" t="str">
        <f aca="false">IF(COUNTIF($A$2:$A$5001,A1811)&gt;1,"Duplicate","Unique")</f>
        <v>Unique</v>
      </c>
      <c r="V1811" s="9" t="str">
        <f aca="false">IF(COUNTIFS($B$2:$B$5001,B1811,$H$2:$H$5001,H1811,$J$2:$J$5001,J1811)&gt;1,"Possible Duplicate Booking","Unique")</f>
        <v>Unique</v>
      </c>
      <c r="W1811" s="9" t="str">
        <f aca="false">IF((H1811-G1811)&lt;&gt;K1811,"Mismatch","OK")</f>
        <v>OK</v>
      </c>
      <c r="X1811" s="9" t="str">
        <f aca="false">IF(TEXT(H1811,"dddd")&lt;&gt;I1811,"Mismatch","OK")</f>
        <v>OK</v>
      </c>
      <c r="Y1811" s="9" t="str">
        <f aca="false">IF(AND(N1811="No",O1811&lt;&gt;""),"Unexpected: channel present but no reminder sent",IF(AND(N1811="Yes",O1811=""),"Missing channel for sent reminder","OK"))</f>
        <v>OK</v>
      </c>
    </row>
    <row r="1812" customFormat="false" ht="15" hidden="false" customHeight="false" outlineLevel="0" collapsed="false">
      <c r="A1812" s="7" t="s">
        <v>3026</v>
      </c>
      <c r="B1812" s="7" t="s">
        <v>201</v>
      </c>
      <c r="C1812" s="7" t="s">
        <v>37</v>
      </c>
      <c r="D1812" s="7" t="n">
        <v>34</v>
      </c>
      <c r="E1812" s="7" t="s">
        <v>48</v>
      </c>
      <c r="F1812" s="7" t="s">
        <v>57</v>
      </c>
      <c r="G1812" s="8" t="n">
        <v>45742</v>
      </c>
      <c r="H1812" s="8" t="n">
        <v>45791</v>
      </c>
      <c r="I1812" s="7" t="s">
        <v>58</v>
      </c>
      <c r="J1812" s="7" t="s">
        <v>51</v>
      </c>
      <c r="K1812" s="7" t="n">
        <v>49</v>
      </c>
      <c r="L1812" s="7" t="n">
        <v>3</v>
      </c>
      <c r="M1812" s="7" t="n">
        <v>0</v>
      </c>
      <c r="N1812" s="7" t="s">
        <v>42</v>
      </c>
      <c r="O1812" s="7" t="s">
        <v>52</v>
      </c>
      <c r="P1812" s="7" t="n">
        <v>13.3</v>
      </c>
      <c r="Q1812" s="7" t="n">
        <v>8</v>
      </c>
      <c r="R1812" s="7" t="s">
        <v>44</v>
      </c>
      <c r="S1812" s="7"/>
      <c r="T1812" s="7"/>
      <c r="U1812" s="7" t="str">
        <f aca="false">IF(COUNTIF($A$2:$A$5001,A1812)&gt;1,"Duplicate","Unique")</f>
        <v>Unique</v>
      </c>
      <c r="V1812" s="7" t="str">
        <f aca="false">IF(COUNTIFS($B$2:$B$5001,B1812,$H$2:$H$5001,H1812,$J$2:$J$5001,J1812)&gt;1,"Possible Duplicate Booking","Unique")</f>
        <v>Unique</v>
      </c>
      <c r="W1812" s="7" t="str">
        <f aca="false">IF((H1812-G1812)&lt;&gt;K1812,"Mismatch","OK")</f>
        <v>OK</v>
      </c>
      <c r="X1812" s="7" t="str">
        <f aca="false">IF(TEXT(H1812,"dddd")&lt;&gt;I1812,"Mismatch","OK")</f>
        <v>OK</v>
      </c>
      <c r="Y1812" s="7" t="str">
        <f aca="false">IF(AND(N1812="No",O1812&lt;&gt;""),"Unexpected: channel present but no reminder sent",IF(AND(N1812="Yes",O1812=""),"Missing channel for sent reminder","OK"))</f>
        <v>OK</v>
      </c>
    </row>
    <row r="1813" customFormat="false" ht="15" hidden="false" customHeight="false" outlineLevel="0" collapsed="false">
      <c r="A1813" s="9" t="s">
        <v>3027</v>
      </c>
      <c r="B1813" s="9" t="s">
        <v>2191</v>
      </c>
      <c r="C1813" s="9" t="s">
        <v>47</v>
      </c>
      <c r="D1813" s="9" t="n">
        <v>73</v>
      </c>
      <c r="E1813" s="9" t="s">
        <v>70</v>
      </c>
      <c r="F1813" s="9" t="s">
        <v>39</v>
      </c>
      <c r="G1813" s="10" t="n">
        <v>45965</v>
      </c>
      <c r="H1813" s="10" t="n">
        <v>46014</v>
      </c>
      <c r="I1813" s="9" t="s">
        <v>40</v>
      </c>
      <c r="J1813" s="9" t="s">
        <v>51</v>
      </c>
      <c r="K1813" s="9" t="n">
        <v>49</v>
      </c>
      <c r="L1813" s="9" t="n">
        <v>3</v>
      </c>
      <c r="M1813" s="9" t="n">
        <v>0</v>
      </c>
      <c r="N1813" s="9" t="s">
        <v>42</v>
      </c>
      <c r="O1813" s="9" t="s">
        <v>52</v>
      </c>
      <c r="P1813" s="9" t="n">
        <v>8.2</v>
      </c>
      <c r="Q1813" s="9" t="n">
        <v>28</v>
      </c>
      <c r="R1813" s="9" t="s">
        <v>44</v>
      </c>
      <c r="S1813" s="9"/>
      <c r="T1813" s="9"/>
      <c r="U1813" s="9" t="str">
        <f aca="false">IF(COUNTIF($A$2:$A$5001,A1813)&gt;1,"Duplicate","Unique")</f>
        <v>Unique</v>
      </c>
      <c r="V1813" s="9" t="str">
        <f aca="false">IF(COUNTIFS($B$2:$B$5001,B1813,$H$2:$H$5001,H1813,$J$2:$J$5001,J1813)&gt;1,"Possible Duplicate Booking","Unique")</f>
        <v>Unique</v>
      </c>
      <c r="W1813" s="9" t="str">
        <f aca="false">IF((H1813-G1813)&lt;&gt;K1813,"Mismatch","OK")</f>
        <v>OK</v>
      </c>
      <c r="X1813" s="9" t="str">
        <f aca="false">IF(TEXT(H1813,"dddd")&lt;&gt;I1813,"Mismatch","OK")</f>
        <v>OK</v>
      </c>
      <c r="Y1813" s="9" t="str">
        <f aca="false">IF(AND(N1813="No",O1813&lt;&gt;""),"Unexpected: channel present but no reminder sent",IF(AND(N1813="Yes",O1813=""),"Missing channel for sent reminder","OK"))</f>
        <v>OK</v>
      </c>
    </row>
    <row r="1814" customFormat="false" ht="15" hidden="false" customHeight="false" outlineLevel="0" collapsed="false">
      <c r="A1814" s="7" t="s">
        <v>3028</v>
      </c>
      <c r="B1814" s="7" t="s">
        <v>3029</v>
      </c>
      <c r="C1814" s="7" t="s">
        <v>47</v>
      </c>
      <c r="D1814" s="7" t="n">
        <v>53</v>
      </c>
      <c r="E1814" s="7" t="s">
        <v>56</v>
      </c>
      <c r="F1814" s="7" t="s">
        <v>57</v>
      </c>
      <c r="G1814" s="8" t="n">
        <v>46000</v>
      </c>
      <c r="H1814" s="8" t="n">
        <v>46025</v>
      </c>
      <c r="I1814" s="7" t="s">
        <v>102</v>
      </c>
      <c r="J1814" s="7" t="s">
        <v>41</v>
      </c>
      <c r="K1814" s="7" t="n">
        <v>25</v>
      </c>
      <c r="L1814" s="7" t="n">
        <v>2</v>
      </c>
      <c r="M1814" s="7" t="n">
        <v>1</v>
      </c>
      <c r="N1814" s="7" t="s">
        <v>71</v>
      </c>
      <c r="O1814" s="7"/>
      <c r="P1814" s="7" t="n">
        <v>11.5</v>
      </c>
      <c r="Q1814" s="7" t="n">
        <v>31</v>
      </c>
      <c r="R1814" s="7" t="s">
        <v>53</v>
      </c>
      <c r="S1814" s="7"/>
      <c r="T1814" s="7"/>
      <c r="U1814" s="7" t="str">
        <f aca="false">IF(COUNTIF($A$2:$A$5001,A1814)&gt;1,"Duplicate","Unique")</f>
        <v>Unique</v>
      </c>
      <c r="V1814" s="7" t="str">
        <f aca="false">IF(COUNTIFS($B$2:$B$5001,B1814,$H$2:$H$5001,H1814,$J$2:$J$5001,J1814)&gt;1,"Possible Duplicate Booking","Unique")</f>
        <v>Unique</v>
      </c>
      <c r="W1814" s="7" t="str">
        <f aca="false">IF((H1814-G1814)&lt;&gt;K1814,"Mismatch","OK")</f>
        <v>OK</v>
      </c>
      <c r="X1814" s="7" t="str">
        <f aca="false">IF(TEXT(H1814,"dddd")&lt;&gt;I1814,"Mismatch","OK")</f>
        <v>OK</v>
      </c>
      <c r="Y1814" s="7" t="str">
        <f aca="false">IF(AND(N1814="No",O1814&lt;&gt;""),"Unexpected: channel present but no reminder sent",IF(AND(N1814="Yes",O1814=""),"Missing channel for sent reminder","OK"))</f>
        <v>OK</v>
      </c>
    </row>
    <row r="1815" customFormat="false" ht="15" hidden="false" customHeight="false" outlineLevel="0" collapsed="false">
      <c r="A1815" s="9" t="s">
        <v>3030</v>
      </c>
      <c r="B1815" s="9" t="s">
        <v>2207</v>
      </c>
      <c r="C1815" s="9" t="s">
        <v>47</v>
      </c>
      <c r="D1815" s="9" t="n">
        <v>58</v>
      </c>
      <c r="E1815" s="9" t="s">
        <v>61</v>
      </c>
      <c r="F1815" s="9" t="s">
        <v>39</v>
      </c>
      <c r="G1815" s="10" t="n">
        <v>45897</v>
      </c>
      <c r="H1815" s="10" t="n">
        <v>45928</v>
      </c>
      <c r="I1815" s="9" t="s">
        <v>75</v>
      </c>
      <c r="J1815" s="9" t="s">
        <v>41</v>
      </c>
      <c r="K1815" s="9" t="n">
        <v>31</v>
      </c>
      <c r="L1815" s="9" t="n">
        <v>4</v>
      </c>
      <c r="M1815" s="9" t="n">
        <v>0</v>
      </c>
      <c r="N1815" s="9" t="s">
        <v>42</v>
      </c>
      <c r="O1815" s="9" t="s">
        <v>52</v>
      </c>
      <c r="P1815" s="9" t="n">
        <v>6.3</v>
      </c>
      <c r="Q1815" s="9" t="n">
        <v>37</v>
      </c>
      <c r="R1815" s="9" t="s">
        <v>44</v>
      </c>
      <c r="S1815" s="9"/>
      <c r="T1815" s="9"/>
      <c r="U1815" s="9" t="str">
        <f aca="false">IF(COUNTIF($A$2:$A$5001,A1815)&gt;1,"Duplicate","Unique")</f>
        <v>Unique</v>
      </c>
      <c r="V1815" s="9" t="str">
        <f aca="false">IF(COUNTIFS($B$2:$B$5001,B1815,$H$2:$H$5001,H1815,$J$2:$J$5001,J1815)&gt;1,"Possible Duplicate Booking","Unique")</f>
        <v>Unique</v>
      </c>
      <c r="W1815" s="9" t="str">
        <f aca="false">IF((H1815-G1815)&lt;&gt;K1815,"Mismatch","OK")</f>
        <v>OK</v>
      </c>
      <c r="X1815" s="9" t="str">
        <f aca="false">IF(TEXT(H1815,"dddd")&lt;&gt;I1815,"Mismatch","OK")</f>
        <v>OK</v>
      </c>
      <c r="Y1815" s="9" t="str">
        <f aca="false">IF(AND(N1815="No",O1815&lt;&gt;""),"Unexpected: channel present but no reminder sent",IF(AND(N1815="Yes",O1815=""),"Missing channel for sent reminder","OK"))</f>
        <v>OK</v>
      </c>
    </row>
    <row r="1816" customFormat="false" ht="15" hidden="false" customHeight="false" outlineLevel="0" collapsed="false">
      <c r="A1816" s="7" t="s">
        <v>3031</v>
      </c>
      <c r="B1816" s="7" t="s">
        <v>2575</v>
      </c>
      <c r="C1816" s="7" t="s">
        <v>37</v>
      </c>
      <c r="D1816" s="7" t="n">
        <v>26</v>
      </c>
      <c r="E1816" s="7" t="s">
        <v>48</v>
      </c>
      <c r="F1816" s="7" t="s">
        <v>57</v>
      </c>
      <c r="G1816" s="8" t="n">
        <v>46118</v>
      </c>
      <c r="H1816" s="8" t="n">
        <v>46140</v>
      </c>
      <c r="I1816" s="7" t="s">
        <v>40</v>
      </c>
      <c r="J1816" s="7" t="s">
        <v>63</v>
      </c>
      <c r="K1816" s="7" t="n">
        <v>22</v>
      </c>
      <c r="L1816" s="7" t="n">
        <v>2</v>
      </c>
      <c r="M1816" s="7" t="n">
        <v>0</v>
      </c>
      <c r="N1816" s="7" t="s">
        <v>42</v>
      </c>
      <c r="O1816" s="7" t="s">
        <v>52</v>
      </c>
      <c r="P1816" s="7" t="n">
        <v>5</v>
      </c>
      <c r="Q1816" s="7" t="n">
        <v>13</v>
      </c>
      <c r="R1816" s="7" t="s">
        <v>44</v>
      </c>
      <c r="S1816" s="7"/>
      <c r="T1816" s="7"/>
      <c r="U1816" s="7" t="str">
        <f aca="false">IF(COUNTIF($A$2:$A$5001,A1816)&gt;1,"Duplicate","Unique")</f>
        <v>Unique</v>
      </c>
      <c r="V1816" s="7" t="str">
        <f aca="false">IF(COUNTIFS($B$2:$B$5001,B1816,$H$2:$H$5001,H1816,$J$2:$J$5001,J1816)&gt;1,"Possible Duplicate Booking","Unique")</f>
        <v>Unique</v>
      </c>
      <c r="W1816" s="7" t="str">
        <f aca="false">IF((H1816-G1816)&lt;&gt;K1816,"Mismatch","OK")</f>
        <v>OK</v>
      </c>
      <c r="X1816" s="7" t="str">
        <f aca="false">IF(TEXT(H1816,"dddd")&lt;&gt;I1816,"Mismatch","OK")</f>
        <v>OK</v>
      </c>
      <c r="Y1816" s="7" t="str">
        <f aca="false">IF(AND(N1816="No",O1816&lt;&gt;""),"Unexpected: channel present but no reminder sent",IF(AND(N1816="Yes",O1816=""),"Missing channel for sent reminder","OK"))</f>
        <v>OK</v>
      </c>
    </row>
    <row r="1817" customFormat="false" ht="15" hidden="false" customHeight="false" outlineLevel="0" collapsed="false">
      <c r="A1817" s="9" t="s">
        <v>3032</v>
      </c>
      <c r="B1817" s="9" t="s">
        <v>3033</v>
      </c>
      <c r="C1817" s="9" t="s">
        <v>37</v>
      </c>
      <c r="D1817" s="9" t="n">
        <v>57</v>
      </c>
      <c r="E1817" s="9" t="s">
        <v>61</v>
      </c>
      <c r="F1817" s="9" t="s">
        <v>74</v>
      </c>
      <c r="G1817" s="10" t="n">
        <v>45703</v>
      </c>
      <c r="H1817" s="10" t="n">
        <v>45718</v>
      </c>
      <c r="I1817" s="9" t="s">
        <v>75</v>
      </c>
      <c r="J1817" s="9" t="s">
        <v>51</v>
      </c>
      <c r="K1817" s="9" t="n">
        <v>15</v>
      </c>
      <c r="L1817" s="9" t="n">
        <v>2</v>
      </c>
      <c r="M1817" s="9" t="n">
        <v>0</v>
      </c>
      <c r="N1817" s="9" t="s">
        <v>42</v>
      </c>
      <c r="O1817" s="9" t="s">
        <v>52</v>
      </c>
      <c r="P1817" s="9" t="n">
        <v>4.3</v>
      </c>
      <c r="Q1817" s="9" t="n">
        <v>17</v>
      </c>
      <c r="R1817" s="9" t="s">
        <v>53</v>
      </c>
      <c r="S1817" s="9"/>
      <c r="T1817" s="9"/>
      <c r="U1817" s="9" t="str">
        <f aca="false">IF(COUNTIF($A$2:$A$5001,A1817)&gt;1,"Duplicate","Unique")</f>
        <v>Unique</v>
      </c>
      <c r="V1817" s="9" t="str">
        <f aca="false">IF(COUNTIFS($B$2:$B$5001,B1817,$H$2:$H$5001,H1817,$J$2:$J$5001,J1817)&gt;1,"Possible Duplicate Booking","Unique")</f>
        <v>Unique</v>
      </c>
      <c r="W1817" s="9" t="str">
        <f aca="false">IF((H1817-G1817)&lt;&gt;K1817,"Mismatch","OK")</f>
        <v>OK</v>
      </c>
      <c r="X1817" s="9" t="str">
        <f aca="false">IF(TEXT(H1817,"dddd")&lt;&gt;I1817,"Mismatch","OK")</f>
        <v>OK</v>
      </c>
      <c r="Y1817" s="9" t="str">
        <f aca="false">IF(AND(N1817="No",O1817&lt;&gt;""),"Unexpected: channel present but no reminder sent",IF(AND(N1817="Yes",O1817=""),"Missing channel for sent reminder","OK"))</f>
        <v>OK</v>
      </c>
    </row>
    <row r="1818" customFormat="false" ht="15" hidden="false" customHeight="false" outlineLevel="0" collapsed="false">
      <c r="A1818" s="7" t="s">
        <v>3034</v>
      </c>
      <c r="B1818" s="7" t="s">
        <v>112</v>
      </c>
      <c r="C1818" s="7" t="s">
        <v>37</v>
      </c>
      <c r="D1818" s="7" t="n">
        <v>54</v>
      </c>
      <c r="E1818" s="7" t="s">
        <v>56</v>
      </c>
      <c r="F1818" s="7" t="s">
        <v>74</v>
      </c>
      <c r="G1818" s="8" t="n">
        <v>45732</v>
      </c>
      <c r="H1818" s="8" t="n">
        <v>45785</v>
      </c>
      <c r="I1818" s="7" t="s">
        <v>62</v>
      </c>
      <c r="J1818" s="7" t="s">
        <v>41</v>
      </c>
      <c r="K1818" s="7" t="n">
        <v>53</v>
      </c>
      <c r="L1818" s="7" t="n">
        <v>3</v>
      </c>
      <c r="M1818" s="7" t="n">
        <v>1</v>
      </c>
      <c r="N1818" s="7" t="s">
        <v>42</v>
      </c>
      <c r="O1818" s="7" t="s">
        <v>52</v>
      </c>
      <c r="P1818" s="7" t="n">
        <v>7.9</v>
      </c>
      <c r="Q1818" s="7" t="n">
        <v>36</v>
      </c>
      <c r="R1818" s="7" t="s">
        <v>44</v>
      </c>
      <c r="S1818" s="7"/>
      <c r="T1818" s="7"/>
      <c r="U1818" s="7" t="str">
        <f aca="false">IF(COUNTIF($A$2:$A$5001,A1818)&gt;1,"Duplicate","Unique")</f>
        <v>Unique</v>
      </c>
      <c r="V1818" s="7" t="str">
        <f aca="false">IF(COUNTIFS($B$2:$B$5001,B1818,$H$2:$H$5001,H1818,$J$2:$J$5001,J1818)&gt;1,"Possible Duplicate Booking","Unique")</f>
        <v>Unique</v>
      </c>
      <c r="W1818" s="7" t="str">
        <f aca="false">IF((H1818-G1818)&lt;&gt;K1818,"Mismatch","OK")</f>
        <v>OK</v>
      </c>
      <c r="X1818" s="7" t="str">
        <f aca="false">IF(TEXT(H1818,"dddd")&lt;&gt;I1818,"Mismatch","OK")</f>
        <v>OK</v>
      </c>
      <c r="Y1818" s="7" t="str">
        <f aca="false">IF(AND(N1818="No",O1818&lt;&gt;""),"Unexpected: channel present but no reminder sent",IF(AND(N1818="Yes",O1818=""),"Missing channel for sent reminder","OK"))</f>
        <v>OK</v>
      </c>
    </row>
    <row r="1819" customFormat="false" ht="15" hidden="false" customHeight="false" outlineLevel="0" collapsed="false">
      <c r="A1819" s="9" t="s">
        <v>3035</v>
      </c>
      <c r="B1819" s="9" t="s">
        <v>360</v>
      </c>
      <c r="C1819" s="9" t="s">
        <v>37</v>
      </c>
      <c r="D1819" s="9" t="n">
        <v>36</v>
      </c>
      <c r="E1819" s="9" t="s">
        <v>38</v>
      </c>
      <c r="F1819" s="9" t="s">
        <v>57</v>
      </c>
      <c r="G1819" s="10" t="n">
        <v>45765</v>
      </c>
      <c r="H1819" s="10" t="n">
        <v>45795</v>
      </c>
      <c r="I1819" s="9" t="s">
        <v>75</v>
      </c>
      <c r="J1819" s="9" t="s">
        <v>41</v>
      </c>
      <c r="K1819" s="9" t="n">
        <v>30</v>
      </c>
      <c r="L1819" s="9" t="n">
        <v>0</v>
      </c>
      <c r="M1819" s="9" t="n">
        <v>0</v>
      </c>
      <c r="N1819" s="9" t="s">
        <v>71</v>
      </c>
      <c r="O1819" s="9"/>
      <c r="P1819" s="9" t="n">
        <v>5.4</v>
      </c>
      <c r="Q1819" s="9" t="n">
        <v>18</v>
      </c>
      <c r="R1819" s="9" t="s">
        <v>53</v>
      </c>
      <c r="S1819" s="9"/>
      <c r="T1819" s="9"/>
      <c r="U1819" s="9" t="str">
        <f aca="false">IF(COUNTIF($A$2:$A$5001,A1819)&gt;1,"Duplicate","Unique")</f>
        <v>Unique</v>
      </c>
      <c r="V1819" s="9" t="str">
        <f aca="false">IF(COUNTIFS($B$2:$B$5001,B1819,$H$2:$H$5001,H1819,$J$2:$J$5001,J1819)&gt;1,"Possible Duplicate Booking","Unique")</f>
        <v>Unique</v>
      </c>
      <c r="W1819" s="9" t="str">
        <f aca="false">IF((H1819-G1819)&lt;&gt;K1819,"Mismatch","OK")</f>
        <v>OK</v>
      </c>
      <c r="X1819" s="9" t="str">
        <f aca="false">IF(TEXT(H1819,"dddd")&lt;&gt;I1819,"Mismatch","OK")</f>
        <v>OK</v>
      </c>
      <c r="Y1819" s="9" t="str">
        <f aca="false">IF(AND(N1819="No",O1819&lt;&gt;""),"Unexpected: channel present but no reminder sent",IF(AND(N1819="Yes",O1819=""),"Missing channel for sent reminder","OK"))</f>
        <v>OK</v>
      </c>
    </row>
    <row r="1820" customFormat="false" ht="15" hidden="false" customHeight="false" outlineLevel="0" collapsed="false">
      <c r="A1820" s="7" t="s">
        <v>3036</v>
      </c>
      <c r="B1820" s="7" t="s">
        <v>3037</v>
      </c>
      <c r="C1820" s="7" t="s">
        <v>47</v>
      </c>
      <c r="D1820" s="7" t="n">
        <v>66</v>
      </c>
      <c r="E1820" s="7" t="s">
        <v>70</v>
      </c>
      <c r="F1820" s="7" t="s">
        <v>49</v>
      </c>
      <c r="G1820" s="8" t="n">
        <v>45687</v>
      </c>
      <c r="H1820" s="8" t="n">
        <v>45731</v>
      </c>
      <c r="I1820" s="7" t="s">
        <v>102</v>
      </c>
      <c r="J1820" s="7" t="s">
        <v>41</v>
      </c>
      <c r="K1820" s="7" t="n">
        <v>44</v>
      </c>
      <c r="L1820" s="7" t="n">
        <v>3</v>
      </c>
      <c r="M1820" s="7" t="n">
        <v>2</v>
      </c>
      <c r="N1820" s="7" t="s">
        <v>42</v>
      </c>
      <c r="O1820" s="7" t="s">
        <v>52</v>
      </c>
      <c r="P1820" s="7" t="n">
        <v>3.7</v>
      </c>
      <c r="Q1820" s="7" t="n">
        <v>16</v>
      </c>
      <c r="R1820" s="7" t="s">
        <v>44</v>
      </c>
      <c r="S1820" s="7"/>
      <c r="T1820" s="7"/>
      <c r="U1820" s="7" t="str">
        <f aca="false">IF(COUNTIF($A$2:$A$5001,A1820)&gt;1,"Duplicate","Unique")</f>
        <v>Unique</v>
      </c>
      <c r="V1820" s="7" t="str">
        <f aca="false">IF(COUNTIFS($B$2:$B$5001,B1820,$H$2:$H$5001,H1820,$J$2:$J$5001,J1820)&gt;1,"Possible Duplicate Booking","Unique")</f>
        <v>Unique</v>
      </c>
      <c r="W1820" s="7" t="str">
        <f aca="false">IF((H1820-G1820)&lt;&gt;K1820,"Mismatch","OK")</f>
        <v>OK</v>
      </c>
      <c r="X1820" s="7" t="str">
        <f aca="false">IF(TEXT(H1820,"dddd")&lt;&gt;I1820,"Mismatch","OK")</f>
        <v>OK</v>
      </c>
      <c r="Y1820" s="7" t="str">
        <f aca="false">IF(AND(N1820="No",O1820&lt;&gt;""),"Unexpected: channel present but no reminder sent",IF(AND(N1820="Yes",O1820=""),"Missing channel for sent reminder","OK"))</f>
        <v>OK</v>
      </c>
    </row>
    <row r="1821" customFormat="false" ht="15" hidden="false" customHeight="false" outlineLevel="0" collapsed="false">
      <c r="A1821" s="9" t="s">
        <v>3038</v>
      </c>
      <c r="B1821" s="9" t="s">
        <v>1177</v>
      </c>
      <c r="C1821" s="9" t="s">
        <v>37</v>
      </c>
      <c r="D1821" s="9" t="n">
        <v>26</v>
      </c>
      <c r="E1821" s="9" t="s">
        <v>48</v>
      </c>
      <c r="F1821" s="9" t="s">
        <v>57</v>
      </c>
      <c r="G1821" s="10" t="n">
        <v>45812</v>
      </c>
      <c r="H1821" s="10" t="n">
        <v>45818</v>
      </c>
      <c r="I1821" s="9" t="s">
        <v>40</v>
      </c>
      <c r="J1821" s="9" t="s">
        <v>41</v>
      </c>
      <c r="K1821" s="9" t="n">
        <v>6</v>
      </c>
      <c r="L1821" s="9" t="n">
        <v>5</v>
      </c>
      <c r="M1821" s="9" t="n">
        <v>3</v>
      </c>
      <c r="N1821" s="9" t="s">
        <v>71</v>
      </c>
      <c r="O1821" s="9"/>
      <c r="P1821" s="9" t="n">
        <v>8.9</v>
      </c>
      <c r="Q1821" s="9" t="n">
        <v>32</v>
      </c>
      <c r="R1821" s="9" t="s">
        <v>44</v>
      </c>
      <c r="S1821" s="9"/>
      <c r="T1821" s="9"/>
      <c r="U1821" s="9" t="str">
        <f aca="false">IF(COUNTIF($A$2:$A$5001,A1821)&gt;1,"Duplicate","Unique")</f>
        <v>Unique</v>
      </c>
      <c r="V1821" s="9" t="str">
        <f aca="false">IF(COUNTIFS($B$2:$B$5001,B1821,$H$2:$H$5001,H1821,$J$2:$J$5001,J1821)&gt;1,"Possible Duplicate Booking","Unique")</f>
        <v>Unique</v>
      </c>
      <c r="W1821" s="9" t="str">
        <f aca="false">IF((H1821-G1821)&lt;&gt;K1821,"Mismatch","OK")</f>
        <v>OK</v>
      </c>
      <c r="X1821" s="9" t="str">
        <f aca="false">IF(TEXT(H1821,"dddd")&lt;&gt;I1821,"Mismatch","OK")</f>
        <v>OK</v>
      </c>
      <c r="Y1821" s="9" t="str">
        <f aca="false">IF(AND(N1821="No",O1821&lt;&gt;""),"Unexpected: channel present but no reminder sent",IF(AND(N1821="Yes",O1821=""),"Missing channel for sent reminder","OK"))</f>
        <v>OK</v>
      </c>
    </row>
    <row r="1822" customFormat="false" ht="15" hidden="false" customHeight="false" outlineLevel="0" collapsed="false">
      <c r="A1822" s="7" t="s">
        <v>3039</v>
      </c>
      <c r="B1822" s="7" t="s">
        <v>2213</v>
      </c>
      <c r="C1822" s="7" t="s">
        <v>37</v>
      </c>
      <c r="D1822" s="7" t="n">
        <v>63</v>
      </c>
      <c r="E1822" s="7" t="s">
        <v>61</v>
      </c>
      <c r="F1822" s="7" t="s">
        <v>49</v>
      </c>
      <c r="G1822" s="8" t="n">
        <v>45780</v>
      </c>
      <c r="H1822" s="8" t="n">
        <v>45828</v>
      </c>
      <c r="I1822" s="7" t="s">
        <v>50</v>
      </c>
      <c r="J1822" s="7" t="s">
        <v>41</v>
      </c>
      <c r="K1822" s="7" t="n">
        <v>48</v>
      </c>
      <c r="L1822" s="7" t="n">
        <v>2</v>
      </c>
      <c r="M1822" s="7" t="n">
        <v>0</v>
      </c>
      <c r="N1822" s="7" t="s">
        <v>42</v>
      </c>
      <c r="O1822" s="7" t="s">
        <v>43</v>
      </c>
      <c r="P1822" s="7" t="n">
        <v>5.9</v>
      </c>
      <c r="Q1822" s="7" t="n">
        <v>30</v>
      </c>
      <c r="R1822" s="7" t="s">
        <v>53</v>
      </c>
      <c r="S1822" s="7"/>
      <c r="T1822" s="7"/>
      <c r="U1822" s="7" t="str">
        <f aca="false">IF(COUNTIF($A$2:$A$5001,A1822)&gt;1,"Duplicate","Unique")</f>
        <v>Unique</v>
      </c>
      <c r="V1822" s="7" t="str">
        <f aca="false">IF(COUNTIFS($B$2:$B$5001,B1822,$H$2:$H$5001,H1822,$J$2:$J$5001,J1822)&gt;1,"Possible Duplicate Booking","Unique")</f>
        <v>Unique</v>
      </c>
      <c r="W1822" s="7" t="str">
        <f aca="false">IF((H1822-G1822)&lt;&gt;K1822,"Mismatch","OK")</f>
        <v>OK</v>
      </c>
      <c r="X1822" s="7" t="str">
        <f aca="false">IF(TEXT(H1822,"dddd")&lt;&gt;I1822,"Mismatch","OK")</f>
        <v>OK</v>
      </c>
      <c r="Y1822" s="7" t="str">
        <f aca="false">IF(AND(N1822="No",O1822&lt;&gt;""),"Unexpected: channel present but no reminder sent",IF(AND(N1822="Yes",O1822=""),"Missing channel for sent reminder","OK"))</f>
        <v>OK</v>
      </c>
    </row>
    <row r="1823" customFormat="false" ht="15" hidden="false" customHeight="false" outlineLevel="0" collapsed="false">
      <c r="A1823" s="9" t="s">
        <v>3040</v>
      </c>
      <c r="B1823" s="9" t="s">
        <v>429</v>
      </c>
      <c r="C1823" s="9" t="s">
        <v>37</v>
      </c>
      <c r="D1823" s="9" t="n">
        <v>78</v>
      </c>
      <c r="E1823" s="9" t="s">
        <v>70</v>
      </c>
      <c r="F1823" s="9" t="s">
        <v>57</v>
      </c>
      <c r="G1823" s="10" t="n">
        <v>46035</v>
      </c>
      <c r="H1823" s="10" t="n">
        <v>46075</v>
      </c>
      <c r="I1823" s="9" t="s">
        <v>75</v>
      </c>
      <c r="J1823" s="9" t="s">
        <v>41</v>
      </c>
      <c r="K1823" s="9" t="n">
        <v>40</v>
      </c>
      <c r="L1823" s="9" t="n">
        <v>5</v>
      </c>
      <c r="M1823" s="9" t="n">
        <v>0</v>
      </c>
      <c r="N1823" s="9" t="s">
        <v>42</v>
      </c>
      <c r="O1823" s="9" t="s">
        <v>43</v>
      </c>
      <c r="P1823" s="9" t="n">
        <v>15.9</v>
      </c>
      <c r="Q1823" s="9" t="n">
        <v>35</v>
      </c>
      <c r="R1823" s="9" t="s">
        <v>44</v>
      </c>
      <c r="S1823" s="9"/>
      <c r="T1823" s="9"/>
      <c r="U1823" s="9" t="str">
        <f aca="false">IF(COUNTIF($A$2:$A$5001,A1823)&gt;1,"Duplicate","Unique")</f>
        <v>Unique</v>
      </c>
      <c r="V1823" s="9" t="str">
        <f aca="false">IF(COUNTIFS($B$2:$B$5001,B1823,$H$2:$H$5001,H1823,$J$2:$J$5001,J1823)&gt;1,"Possible Duplicate Booking","Unique")</f>
        <v>Unique</v>
      </c>
      <c r="W1823" s="9" t="str">
        <f aca="false">IF((H1823-G1823)&lt;&gt;K1823,"Mismatch","OK")</f>
        <v>OK</v>
      </c>
      <c r="X1823" s="9" t="str">
        <f aca="false">IF(TEXT(H1823,"dddd")&lt;&gt;I1823,"Mismatch","OK")</f>
        <v>OK</v>
      </c>
      <c r="Y1823" s="9" t="str">
        <f aca="false">IF(AND(N1823="No",O1823&lt;&gt;""),"Unexpected: channel present but no reminder sent",IF(AND(N1823="Yes",O1823=""),"Missing channel for sent reminder","OK"))</f>
        <v>OK</v>
      </c>
    </row>
    <row r="1824" customFormat="false" ht="15" hidden="false" customHeight="false" outlineLevel="0" collapsed="false">
      <c r="A1824" s="7" t="s">
        <v>3041</v>
      </c>
      <c r="B1824" s="7" t="s">
        <v>3042</v>
      </c>
      <c r="C1824" s="7" t="s">
        <v>47</v>
      </c>
      <c r="D1824" s="7" t="n">
        <v>53</v>
      </c>
      <c r="E1824" s="7" t="s">
        <v>56</v>
      </c>
      <c r="F1824" s="7" t="s">
        <v>57</v>
      </c>
      <c r="G1824" s="8" t="n">
        <v>45762</v>
      </c>
      <c r="H1824" s="8" t="n">
        <v>45822</v>
      </c>
      <c r="I1824" s="7" t="s">
        <v>102</v>
      </c>
      <c r="J1824" s="7" t="s">
        <v>41</v>
      </c>
      <c r="K1824" s="7" t="n">
        <v>60</v>
      </c>
      <c r="L1824" s="7" t="n">
        <v>3</v>
      </c>
      <c r="M1824" s="7" t="n">
        <v>1</v>
      </c>
      <c r="N1824" s="7" t="s">
        <v>71</v>
      </c>
      <c r="O1824" s="7"/>
      <c r="P1824" s="7" t="n">
        <v>10</v>
      </c>
      <c r="Q1824" s="7" t="n">
        <v>29</v>
      </c>
      <c r="R1824" s="7" t="s">
        <v>44</v>
      </c>
      <c r="S1824" s="7"/>
      <c r="T1824" s="7"/>
      <c r="U1824" s="7" t="str">
        <f aca="false">IF(COUNTIF($A$2:$A$5001,A1824)&gt;1,"Duplicate","Unique")</f>
        <v>Unique</v>
      </c>
      <c r="V1824" s="7" t="str">
        <f aca="false">IF(COUNTIFS($B$2:$B$5001,B1824,$H$2:$H$5001,H1824,$J$2:$J$5001,J1824)&gt;1,"Possible Duplicate Booking","Unique")</f>
        <v>Unique</v>
      </c>
      <c r="W1824" s="7" t="str">
        <f aca="false">IF((H1824-G1824)&lt;&gt;K1824,"Mismatch","OK")</f>
        <v>OK</v>
      </c>
      <c r="X1824" s="7" t="str">
        <f aca="false">IF(TEXT(H1824,"dddd")&lt;&gt;I1824,"Mismatch","OK")</f>
        <v>OK</v>
      </c>
      <c r="Y1824" s="7" t="str">
        <f aca="false">IF(AND(N1824="No",O1824&lt;&gt;""),"Unexpected: channel present but no reminder sent",IF(AND(N1824="Yes",O1824=""),"Missing channel for sent reminder","OK"))</f>
        <v>OK</v>
      </c>
    </row>
    <row r="1825" customFormat="false" ht="15" hidden="false" customHeight="false" outlineLevel="0" collapsed="false">
      <c r="A1825" s="9" t="s">
        <v>3043</v>
      </c>
      <c r="B1825" s="9" t="s">
        <v>779</v>
      </c>
      <c r="C1825" s="9" t="s">
        <v>37</v>
      </c>
      <c r="D1825" s="9" t="n">
        <v>24</v>
      </c>
      <c r="E1825" s="9" t="s">
        <v>82</v>
      </c>
      <c r="F1825" s="9" t="s">
        <v>39</v>
      </c>
      <c r="G1825" s="10" t="n">
        <v>46128</v>
      </c>
      <c r="H1825" s="10" t="n">
        <v>46136</v>
      </c>
      <c r="I1825" s="9" t="s">
        <v>50</v>
      </c>
      <c r="J1825" s="9" t="s">
        <v>51</v>
      </c>
      <c r="K1825" s="9" t="n">
        <v>8</v>
      </c>
      <c r="L1825" s="9" t="n">
        <v>3</v>
      </c>
      <c r="M1825" s="9" t="n">
        <v>2</v>
      </c>
      <c r="N1825" s="9" t="s">
        <v>42</v>
      </c>
      <c r="O1825" s="9" t="s">
        <v>52</v>
      </c>
      <c r="P1825" s="9" t="n">
        <v>23.2</v>
      </c>
      <c r="Q1825" s="9" t="n">
        <v>20</v>
      </c>
      <c r="R1825" s="9" t="s">
        <v>44</v>
      </c>
      <c r="S1825" s="9"/>
      <c r="T1825" s="9"/>
      <c r="U1825" s="9" t="str">
        <f aca="false">IF(COUNTIF($A$2:$A$5001,A1825)&gt;1,"Duplicate","Unique")</f>
        <v>Unique</v>
      </c>
      <c r="V1825" s="9" t="str">
        <f aca="false">IF(COUNTIFS($B$2:$B$5001,B1825,$H$2:$H$5001,H1825,$J$2:$J$5001,J1825)&gt;1,"Possible Duplicate Booking","Unique")</f>
        <v>Unique</v>
      </c>
      <c r="W1825" s="9" t="str">
        <f aca="false">IF((H1825-G1825)&lt;&gt;K1825,"Mismatch","OK")</f>
        <v>OK</v>
      </c>
      <c r="X1825" s="9" t="str">
        <f aca="false">IF(TEXT(H1825,"dddd")&lt;&gt;I1825,"Mismatch","OK")</f>
        <v>OK</v>
      </c>
      <c r="Y1825" s="9" t="str">
        <f aca="false">IF(AND(N1825="No",O1825&lt;&gt;""),"Unexpected: channel present but no reminder sent",IF(AND(N1825="Yes",O1825=""),"Missing channel for sent reminder","OK"))</f>
        <v>OK</v>
      </c>
    </row>
    <row r="1826" customFormat="false" ht="15" hidden="false" customHeight="false" outlineLevel="0" collapsed="false">
      <c r="A1826" s="7" t="s">
        <v>3044</v>
      </c>
      <c r="B1826" s="7" t="s">
        <v>2847</v>
      </c>
      <c r="C1826" s="7" t="s">
        <v>47</v>
      </c>
      <c r="D1826" s="7" t="n">
        <v>52</v>
      </c>
      <c r="E1826" s="7" t="s">
        <v>56</v>
      </c>
      <c r="F1826" s="7" t="s">
        <v>39</v>
      </c>
      <c r="G1826" s="8" t="n">
        <v>46047</v>
      </c>
      <c r="H1826" s="8" t="n">
        <v>46079</v>
      </c>
      <c r="I1826" s="7" t="s">
        <v>62</v>
      </c>
      <c r="J1826" s="7" t="s">
        <v>41</v>
      </c>
      <c r="K1826" s="7" t="n">
        <v>32</v>
      </c>
      <c r="L1826" s="7" t="n">
        <v>3</v>
      </c>
      <c r="M1826" s="7" t="n">
        <v>0</v>
      </c>
      <c r="N1826" s="7" t="s">
        <v>71</v>
      </c>
      <c r="O1826" s="7"/>
      <c r="P1826" s="7" t="n">
        <v>10.7</v>
      </c>
      <c r="Q1826" s="7" t="n">
        <v>39</v>
      </c>
      <c r="R1826" s="7" t="s">
        <v>53</v>
      </c>
      <c r="S1826" s="7"/>
      <c r="T1826" s="7"/>
      <c r="U1826" s="7" t="str">
        <f aca="false">IF(COUNTIF($A$2:$A$5001,A1826)&gt;1,"Duplicate","Unique")</f>
        <v>Unique</v>
      </c>
      <c r="V1826" s="7" t="str">
        <f aca="false">IF(COUNTIFS($B$2:$B$5001,B1826,$H$2:$H$5001,H1826,$J$2:$J$5001,J1826)&gt;1,"Possible Duplicate Booking","Unique")</f>
        <v>Unique</v>
      </c>
      <c r="W1826" s="7" t="str">
        <f aca="false">IF((H1826-G1826)&lt;&gt;K1826,"Mismatch","OK")</f>
        <v>OK</v>
      </c>
      <c r="X1826" s="7" t="str">
        <f aca="false">IF(TEXT(H1826,"dddd")&lt;&gt;I1826,"Mismatch","OK")</f>
        <v>OK</v>
      </c>
      <c r="Y1826" s="7" t="str">
        <f aca="false">IF(AND(N1826="No",O1826&lt;&gt;""),"Unexpected: channel present but no reminder sent",IF(AND(N1826="Yes",O1826=""),"Missing channel for sent reminder","OK"))</f>
        <v>OK</v>
      </c>
    </row>
    <row r="1827" customFormat="false" ht="15" hidden="false" customHeight="false" outlineLevel="0" collapsed="false">
      <c r="A1827" s="9" t="s">
        <v>3045</v>
      </c>
      <c r="B1827" s="9" t="s">
        <v>3046</v>
      </c>
      <c r="C1827" s="9" t="s">
        <v>37</v>
      </c>
      <c r="D1827" s="9" t="n">
        <v>51</v>
      </c>
      <c r="E1827" s="9" t="s">
        <v>56</v>
      </c>
      <c r="F1827" s="9" t="s">
        <v>39</v>
      </c>
      <c r="G1827" s="10" t="n">
        <v>46119</v>
      </c>
      <c r="H1827" s="10" t="n">
        <v>46150</v>
      </c>
      <c r="I1827" s="9" t="s">
        <v>50</v>
      </c>
      <c r="J1827" s="9" t="s">
        <v>41</v>
      </c>
      <c r="K1827" s="9" t="n">
        <v>31</v>
      </c>
      <c r="L1827" s="9" t="n">
        <v>3</v>
      </c>
      <c r="M1827" s="9" t="n">
        <v>0</v>
      </c>
      <c r="N1827" s="9" t="s">
        <v>42</v>
      </c>
      <c r="O1827" s="9" t="s">
        <v>52</v>
      </c>
      <c r="P1827" s="9" t="n">
        <v>7.4</v>
      </c>
      <c r="Q1827" s="9" t="n">
        <v>34</v>
      </c>
      <c r="R1827" s="9" t="s">
        <v>44</v>
      </c>
      <c r="S1827" s="9"/>
      <c r="T1827" s="9"/>
      <c r="U1827" s="9" t="str">
        <f aca="false">IF(COUNTIF($A$2:$A$5001,A1827)&gt;1,"Duplicate","Unique")</f>
        <v>Unique</v>
      </c>
      <c r="V1827" s="9" t="str">
        <f aca="false">IF(COUNTIFS($B$2:$B$5001,B1827,$H$2:$H$5001,H1827,$J$2:$J$5001,J1827)&gt;1,"Possible Duplicate Booking","Unique")</f>
        <v>Unique</v>
      </c>
      <c r="W1827" s="9" t="str">
        <f aca="false">IF((H1827-G1827)&lt;&gt;K1827,"Mismatch","OK")</f>
        <v>OK</v>
      </c>
      <c r="X1827" s="9" t="str">
        <f aca="false">IF(TEXT(H1827,"dddd")&lt;&gt;I1827,"Mismatch","OK")</f>
        <v>OK</v>
      </c>
      <c r="Y1827" s="9" t="str">
        <f aca="false">IF(AND(N1827="No",O1827&lt;&gt;""),"Unexpected: channel present but no reminder sent",IF(AND(N1827="Yes",O1827=""),"Missing channel for sent reminder","OK"))</f>
        <v>OK</v>
      </c>
    </row>
    <row r="1828" customFormat="false" ht="15" hidden="false" customHeight="false" outlineLevel="0" collapsed="false">
      <c r="A1828" s="7" t="s">
        <v>3047</v>
      </c>
      <c r="B1828" s="7" t="s">
        <v>3048</v>
      </c>
      <c r="C1828" s="7" t="s">
        <v>47</v>
      </c>
      <c r="D1828" s="7" t="n">
        <v>52</v>
      </c>
      <c r="E1828" s="7" t="s">
        <v>56</v>
      </c>
      <c r="F1828" s="7" t="s">
        <v>39</v>
      </c>
      <c r="G1828" s="8" t="n">
        <v>45683</v>
      </c>
      <c r="H1828" s="8" t="n">
        <v>45715</v>
      </c>
      <c r="I1828" s="7" t="s">
        <v>62</v>
      </c>
      <c r="J1828" s="7" t="s">
        <v>51</v>
      </c>
      <c r="K1828" s="7" t="n">
        <v>32</v>
      </c>
      <c r="L1828" s="7" t="n">
        <v>5</v>
      </c>
      <c r="M1828" s="7" t="n">
        <v>0</v>
      </c>
      <c r="N1828" s="7" t="s">
        <v>42</v>
      </c>
      <c r="O1828" s="7" t="s">
        <v>43</v>
      </c>
      <c r="P1828" s="7" t="n">
        <v>14.3</v>
      </c>
      <c r="Q1828" s="7" t="n">
        <v>24</v>
      </c>
      <c r="R1828" s="7" t="s">
        <v>44</v>
      </c>
      <c r="S1828" s="7"/>
      <c r="T1828" s="7"/>
      <c r="U1828" s="7" t="str">
        <f aca="false">IF(COUNTIF($A$2:$A$5001,A1828)&gt;1,"Duplicate","Unique")</f>
        <v>Unique</v>
      </c>
      <c r="V1828" s="7" t="str">
        <f aca="false">IF(COUNTIFS($B$2:$B$5001,B1828,$H$2:$H$5001,H1828,$J$2:$J$5001,J1828)&gt;1,"Possible Duplicate Booking","Unique")</f>
        <v>Unique</v>
      </c>
      <c r="W1828" s="7" t="str">
        <f aca="false">IF((H1828-G1828)&lt;&gt;K1828,"Mismatch","OK")</f>
        <v>OK</v>
      </c>
      <c r="X1828" s="7" t="str">
        <f aca="false">IF(TEXT(H1828,"dddd")&lt;&gt;I1828,"Mismatch","OK")</f>
        <v>OK</v>
      </c>
      <c r="Y1828" s="7" t="str">
        <f aca="false">IF(AND(N1828="No",O1828&lt;&gt;""),"Unexpected: channel present but no reminder sent",IF(AND(N1828="Yes",O1828=""),"Missing channel for sent reminder","OK"))</f>
        <v>OK</v>
      </c>
    </row>
    <row r="1829" customFormat="false" ht="15" hidden="false" customHeight="false" outlineLevel="0" collapsed="false">
      <c r="A1829" s="9" t="s">
        <v>3049</v>
      </c>
      <c r="B1829" s="9" t="s">
        <v>3050</v>
      </c>
      <c r="C1829" s="9" t="s">
        <v>37</v>
      </c>
      <c r="D1829" s="9" t="n">
        <v>35</v>
      </c>
      <c r="E1829" s="9" t="s">
        <v>38</v>
      </c>
      <c r="F1829" s="9" t="s">
        <v>57</v>
      </c>
      <c r="G1829" s="10" t="n">
        <v>46192</v>
      </c>
      <c r="H1829" s="10" t="n">
        <v>46195</v>
      </c>
      <c r="I1829" s="9" t="s">
        <v>66</v>
      </c>
      <c r="J1829" s="9" t="s">
        <v>51</v>
      </c>
      <c r="K1829" s="9" t="n">
        <v>3</v>
      </c>
      <c r="L1829" s="9" t="n">
        <v>4</v>
      </c>
      <c r="M1829" s="9" t="n">
        <v>2</v>
      </c>
      <c r="N1829" s="9" t="s">
        <v>71</v>
      </c>
      <c r="O1829" s="9"/>
      <c r="P1829" s="9" t="n">
        <v>21.6</v>
      </c>
      <c r="Q1829" s="9" t="n">
        <v>34</v>
      </c>
      <c r="R1829" s="9" t="s">
        <v>44</v>
      </c>
      <c r="S1829" s="9"/>
      <c r="T1829" s="9"/>
      <c r="U1829" s="9" t="str">
        <f aca="false">IF(COUNTIF($A$2:$A$5001,A1829)&gt;1,"Duplicate","Unique")</f>
        <v>Unique</v>
      </c>
      <c r="V1829" s="9" t="str">
        <f aca="false">IF(COUNTIFS($B$2:$B$5001,B1829,$H$2:$H$5001,H1829,$J$2:$J$5001,J1829)&gt;1,"Possible Duplicate Booking","Unique")</f>
        <v>Unique</v>
      </c>
      <c r="W1829" s="9" t="str">
        <f aca="false">IF((H1829-G1829)&lt;&gt;K1829,"Mismatch","OK")</f>
        <v>OK</v>
      </c>
      <c r="X1829" s="9" t="str">
        <f aca="false">IF(TEXT(H1829,"dddd")&lt;&gt;I1829,"Mismatch","OK")</f>
        <v>OK</v>
      </c>
      <c r="Y1829" s="9" t="str">
        <f aca="false">IF(AND(N1829="No",O1829&lt;&gt;""),"Unexpected: channel present but no reminder sent",IF(AND(N1829="Yes",O1829=""),"Missing channel for sent reminder","OK"))</f>
        <v>OK</v>
      </c>
    </row>
    <row r="1830" customFormat="false" ht="15" hidden="false" customHeight="false" outlineLevel="0" collapsed="false">
      <c r="A1830" s="7" t="s">
        <v>3051</v>
      </c>
      <c r="B1830" s="7" t="s">
        <v>1032</v>
      </c>
      <c r="C1830" s="7" t="s">
        <v>37</v>
      </c>
      <c r="D1830" s="7" t="n">
        <v>57</v>
      </c>
      <c r="E1830" s="7" t="s">
        <v>61</v>
      </c>
      <c r="F1830" s="7" t="s">
        <v>57</v>
      </c>
      <c r="G1830" s="8" t="n">
        <v>45965</v>
      </c>
      <c r="H1830" s="8" t="n">
        <v>45993</v>
      </c>
      <c r="I1830" s="7" t="s">
        <v>40</v>
      </c>
      <c r="J1830" s="7" t="s">
        <v>63</v>
      </c>
      <c r="K1830" s="7" t="n">
        <v>28</v>
      </c>
      <c r="L1830" s="7" t="n">
        <v>4</v>
      </c>
      <c r="M1830" s="7" t="n">
        <v>0</v>
      </c>
      <c r="N1830" s="7" t="s">
        <v>42</v>
      </c>
      <c r="O1830" s="7" t="s">
        <v>43</v>
      </c>
      <c r="P1830" s="7" t="n">
        <v>2</v>
      </c>
      <c r="Q1830" s="7" t="n">
        <v>24</v>
      </c>
      <c r="R1830" s="7" t="s">
        <v>53</v>
      </c>
      <c r="S1830" s="7"/>
      <c r="T1830" s="7"/>
      <c r="U1830" s="7" t="str">
        <f aca="false">IF(COUNTIF($A$2:$A$5001,A1830)&gt;1,"Duplicate","Unique")</f>
        <v>Unique</v>
      </c>
      <c r="V1830" s="7" t="str">
        <f aca="false">IF(COUNTIFS($B$2:$B$5001,B1830,$H$2:$H$5001,H1830,$J$2:$J$5001,J1830)&gt;1,"Possible Duplicate Booking","Unique")</f>
        <v>Unique</v>
      </c>
      <c r="W1830" s="7" t="str">
        <f aca="false">IF((H1830-G1830)&lt;&gt;K1830,"Mismatch","OK")</f>
        <v>OK</v>
      </c>
      <c r="X1830" s="7" t="str">
        <f aca="false">IF(TEXT(H1830,"dddd")&lt;&gt;I1830,"Mismatch","OK")</f>
        <v>OK</v>
      </c>
      <c r="Y1830" s="7" t="str">
        <f aca="false">IF(AND(N1830="No",O1830&lt;&gt;""),"Unexpected: channel present but no reminder sent",IF(AND(N1830="Yes",O1830=""),"Missing channel for sent reminder","OK"))</f>
        <v>OK</v>
      </c>
    </row>
    <row r="1831" customFormat="false" ht="15" hidden="false" customHeight="false" outlineLevel="0" collapsed="false">
      <c r="A1831" s="9" t="s">
        <v>3052</v>
      </c>
      <c r="B1831" s="9" t="s">
        <v>2712</v>
      </c>
      <c r="C1831" s="9" t="s">
        <v>236</v>
      </c>
      <c r="D1831" s="9" t="n">
        <v>34</v>
      </c>
      <c r="E1831" s="9" t="s">
        <v>48</v>
      </c>
      <c r="F1831" s="9" t="s">
        <v>39</v>
      </c>
      <c r="G1831" s="10" t="n">
        <v>46176</v>
      </c>
      <c r="H1831" s="10" t="n">
        <v>46194</v>
      </c>
      <c r="I1831" s="9" t="s">
        <v>75</v>
      </c>
      <c r="J1831" s="9" t="s">
        <v>51</v>
      </c>
      <c r="K1831" s="9" t="n">
        <v>18</v>
      </c>
      <c r="L1831" s="9" t="n">
        <v>4</v>
      </c>
      <c r="M1831" s="9" t="n">
        <v>1</v>
      </c>
      <c r="N1831" s="9" t="s">
        <v>71</v>
      </c>
      <c r="O1831" s="9"/>
      <c r="P1831" s="9" t="n">
        <v>14.4</v>
      </c>
      <c r="Q1831" s="9" t="n">
        <v>14</v>
      </c>
      <c r="R1831" s="9" t="s">
        <v>53</v>
      </c>
      <c r="S1831" s="9"/>
      <c r="T1831" s="9"/>
      <c r="U1831" s="9" t="str">
        <f aca="false">IF(COUNTIF($A$2:$A$5001,A1831)&gt;1,"Duplicate","Unique")</f>
        <v>Unique</v>
      </c>
      <c r="V1831" s="9" t="str">
        <f aca="false">IF(COUNTIFS($B$2:$B$5001,B1831,$H$2:$H$5001,H1831,$J$2:$J$5001,J1831)&gt;1,"Possible Duplicate Booking","Unique")</f>
        <v>Unique</v>
      </c>
      <c r="W1831" s="9" t="str">
        <f aca="false">IF((H1831-G1831)&lt;&gt;K1831,"Mismatch","OK")</f>
        <v>OK</v>
      </c>
      <c r="X1831" s="9" t="str">
        <f aca="false">IF(TEXT(H1831,"dddd")&lt;&gt;I1831,"Mismatch","OK")</f>
        <v>OK</v>
      </c>
      <c r="Y1831" s="9" t="str">
        <f aca="false">IF(AND(N1831="No",O1831&lt;&gt;""),"Unexpected: channel present but no reminder sent",IF(AND(N1831="Yes",O1831=""),"Missing channel for sent reminder","OK"))</f>
        <v>OK</v>
      </c>
    </row>
    <row r="1832" customFormat="false" ht="15" hidden="false" customHeight="false" outlineLevel="0" collapsed="false">
      <c r="A1832" s="7" t="s">
        <v>3053</v>
      </c>
      <c r="B1832" s="7" t="s">
        <v>1873</v>
      </c>
      <c r="C1832" s="7" t="s">
        <v>47</v>
      </c>
      <c r="D1832" s="7" t="n">
        <v>53</v>
      </c>
      <c r="E1832" s="7" t="s">
        <v>56</v>
      </c>
      <c r="F1832" s="7" t="s">
        <v>39</v>
      </c>
      <c r="G1832" s="8" t="n">
        <v>45814</v>
      </c>
      <c r="H1832" s="8" t="n">
        <v>45851</v>
      </c>
      <c r="I1832" s="7" t="s">
        <v>75</v>
      </c>
      <c r="J1832" s="7" t="s">
        <v>51</v>
      </c>
      <c r="K1832" s="7" t="n">
        <v>37</v>
      </c>
      <c r="L1832" s="7" t="n">
        <v>3</v>
      </c>
      <c r="M1832" s="7" t="n">
        <v>0</v>
      </c>
      <c r="N1832" s="7" t="s">
        <v>71</v>
      </c>
      <c r="O1832" s="7"/>
      <c r="P1832" s="7" t="n">
        <v>7.9</v>
      </c>
      <c r="Q1832" s="7" t="n">
        <v>25</v>
      </c>
      <c r="R1832" s="7" t="s">
        <v>44</v>
      </c>
      <c r="S1832" s="7"/>
      <c r="T1832" s="7"/>
      <c r="U1832" s="7" t="str">
        <f aca="false">IF(COUNTIF($A$2:$A$5001,A1832)&gt;1,"Duplicate","Unique")</f>
        <v>Unique</v>
      </c>
      <c r="V1832" s="7" t="str">
        <f aca="false">IF(COUNTIFS($B$2:$B$5001,B1832,$H$2:$H$5001,H1832,$J$2:$J$5001,J1832)&gt;1,"Possible Duplicate Booking","Unique")</f>
        <v>Unique</v>
      </c>
      <c r="W1832" s="7" t="str">
        <f aca="false">IF((H1832-G1832)&lt;&gt;K1832,"Mismatch","OK")</f>
        <v>OK</v>
      </c>
      <c r="X1832" s="7" t="str">
        <f aca="false">IF(TEXT(H1832,"dddd")&lt;&gt;I1832,"Mismatch","OK")</f>
        <v>OK</v>
      </c>
      <c r="Y1832" s="7" t="str">
        <f aca="false">IF(AND(N1832="No",O1832&lt;&gt;""),"Unexpected: channel present but no reminder sent",IF(AND(N1832="Yes",O1832=""),"Missing channel for sent reminder","OK"))</f>
        <v>OK</v>
      </c>
    </row>
    <row r="1833" customFormat="false" ht="15" hidden="false" customHeight="false" outlineLevel="0" collapsed="false">
      <c r="A1833" s="9" t="s">
        <v>3054</v>
      </c>
      <c r="B1833" s="9" t="s">
        <v>2727</v>
      </c>
      <c r="C1833" s="9" t="s">
        <v>47</v>
      </c>
      <c r="D1833" s="9" t="n">
        <v>55</v>
      </c>
      <c r="E1833" s="9" t="s">
        <v>61</v>
      </c>
      <c r="F1833" s="9" t="s">
        <v>57</v>
      </c>
      <c r="G1833" s="10" t="n">
        <v>46164</v>
      </c>
      <c r="H1833" s="10" t="n">
        <v>46178</v>
      </c>
      <c r="I1833" s="9" t="s">
        <v>50</v>
      </c>
      <c r="J1833" s="9" t="s">
        <v>41</v>
      </c>
      <c r="K1833" s="9" t="n">
        <v>14</v>
      </c>
      <c r="L1833" s="9" t="n">
        <v>3</v>
      </c>
      <c r="M1833" s="9" t="n">
        <v>1</v>
      </c>
      <c r="N1833" s="9" t="s">
        <v>42</v>
      </c>
      <c r="O1833" s="9" t="s">
        <v>52</v>
      </c>
      <c r="P1833" s="9" t="n">
        <v>10.8</v>
      </c>
      <c r="Q1833" s="9" t="n">
        <v>45</v>
      </c>
      <c r="R1833" s="9" t="s">
        <v>53</v>
      </c>
      <c r="S1833" s="9"/>
      <c r="T1833" s="9"/>
      <c r="U1833" s="9" t="str">
        <f aca="false">IF(COUNTIF($A$2:$A$5001,A1833)&gt;1,"Duplicate","Unique")</f>
        <v>Unique</v>
      </c>
      <c r="V1833" s="9" t="str">
        <f aca="false">IF(COUNTIFS($B$2:$B$5001,B1833,$H$2:$H$5001,H1833,$J$2:$J$5001,J1833)&gt;1,"Possible Duplicate Booking","Unique")</f>
        <v>Unique</v>
      </c>
      <c r="W1833" s="9" t="str">
        <f aca="false">IF((H1833-G1833)&lt;&gt;K1833,"Mismatch","OK")</f>
        <v>OK</v>
      </c>
      <c r="X1833" s="9" t="str">
        <f aca="false">IF(TEXT(H1833,"dddd")&lt;&gt;I1833,"Mismatch","OK")</f>
        <v>OK</v>
      </c>
      <c r="Y1833" s="9" t="str">
        <f aca="false">IF(AND(N1833="No",O1833&lt;&gt;""),"Unexpected: channel present but no reminder sent",IF(AND(N1833="Yes",O1833=""),"Missing channel for sent reminder","OK"))</f>
        <v>OK</v>
      </c>
    </row>
    <row r="1834" customFormat="false" ht="15" hidden="false" customHeight="false" outlineLevel="0" collapsed="false">
      <c r="A1834" s="7" t="s">
        <v>3055</v>
      </c>
      <c r="B1834" s="7" t="s">
        <v>1090</v>
      </c>
      <c r="C1834" s="7" t="s">
        <v>47</v>
      </c>
      <c r="D1834" s="7" t="n">
        <v>58</v>
      </c>
      <c r="E1834" s="7" t="s">
        <v>61</v>
      </c>
      <c r="F1834" s="7" t="s">
        <v>57</v>
      </c>
      <c r="G1834" s="8" t="n">
        <v>45953</v>
      </c>
      <c r="H1834" s="8" t="n">
        <v>45979</v>
      </c>
      <c r="I1834" s="7" t="s">
        <v>40</v>
      </c>
      <c r="J1834" s="7" t="s">
        <v>51</v>
      </c>
      <c r="K1834" s="7" t="n">
        <v>26</v>
      </c>
      <c r="L1834" s="7" t="n">
        <v>3</v>
      </c>
      <c r="M1834" s="7" t="n">
        <v>0</v>
      </c>
      <c r="N1834" s="7" t="s">
        <v>71</v>
      </c>
      <c r="O1834" s="7"/>
      <c r="P1834" s="7" t="n">
        <v>22.6</v>
      </c>
      <c r="Q1834" s="7" t="n">
        <v>35</v>
      </c>
      <c r="R1834" s="7" t="s">
        <v>53</v>
      </c>
      <c r="S1834" s="7"/>
      <c r="T1834" s="7"/>
      <c r="U1834" s="7" t="str">
        <f aca="false">IF(COUNTIF($A$2:$A$5001,A1834)&gt;1,"Duplicate","Unique")</f>
        <v>Unique</v>
      </c>
      <c r="V1834" s="7" t="str">
        <f aca="false">IF(COUNTIFS($B$2:$B$5001,B1834,$H$2:$H$5001,H1834,$J$2:$J$5001,J1834)&gt;1,"Possible Duplicate Booking","Unique")</f>
        <v>Unique</v>
      </c>
      <c r="W1834" s="7" t="str">
        <f aca="false">IF((H1834-G1834)&lt;&gt;K1834,"Mismatch","OK")</f>
        <v>OK</v>
      </c>
      <c r="X1834" s="7" t="str">
        <f aca="false">IF(TEXT(H1834,"dddd")&lt;&gt;I1834,"Mismatch","OK")</f>
        <v>OK</v>
      </c>
      <c r="Y1834" s="7" t="str">
        <f aca="false">IF(AND(N1834="No",O1834&lt;&gt;""),"Unexpected: channel present but no reminder sent",IF(AND(N1834="Yes",O1834=""),"Missing channel for sent reminder","OK"))</f>
        <v>OK</v>
      </c>
    </row>
    <row r="1835" customFormat="false" ht="15" hidden="false" customHeight="false" outlineLevel="0" collapsed="false">
      <c r="A1835" s="9" t="s">
        <v>3056</v>
      </c>
      <c r="B1835" s="9" t="s">
        <v>413</v>
      </c>
      <c r="C1835" s="9" t="s">
        <v>37</v>
      </c>
      <c r="D1835" s="9" t="n">
        <v>68</v>
      </c>
      <c r="E1835" s="9" t="s">
        <v>70</v>
      </c>
      <c r="F1835" s="9" t="s">
        <v>39</v>
      </c>
      <c r="G1835" s="10" t="n">
        <v>45660</v>
      </c>
      <c r="H1835" s="10" t="n">
        <v>45697</v>
      </c>
      <c r="I1835" s="9" t="s">
        <v>75</v>
      </c>
      <c r="J1835" s="9" t="s">
        <v>51</v>
      </c>
      <c r="K1835" s="9" t="n">
        <v>37</v>
      </c>
      <c r="L1835" s="9" t="n">
        <v>0</v>
      </c>
      <c r="M1835" s="9" t="n">
        <v>0</v>
      </c>
      <c r="N1835" s="9" t="s">
        <v>71</v>
      </c>
      <c r="O1835" s="9"/>
      <c r="P1835" s="9" t="n">
        <v>8.3</v>
      </c>
      <c r="Q1835" s="9" t="n">
        <v>29</v>
      </c>
      <c r="R1835" s="9" t="s">
        <v>53</v>
      </c>
      <c r="S1835" s="9"/>
      <c r="T1835" s="9"/>
      <c r="U1835" s="9" t="str">
        <f aca="false">IF(COUNTIF($A$2:$A$5001,A1835)&gt;1,"Duplicate","Unique")</f>
        <v>Unique</v>
      </c>
      <c r="V1835" s="9" t="str">
        <f aca="false">IF(COUNTIFS($B$2:$B$5001,B1835,$H$2:$H$5001,H1835,$J$2:$J$5001,J1835)&gt;1,"Possible Duplicate Booking","Unique")</f>
        <v>Unique</v>
      </c>
      <c r="W1835" s="9" t="str">
        <f aca="false">IF((H1835-G1835)&lt;&gt;K1835,"Mismatch","OK")</f>
        <v>OK</v>
      </c>
      <c r="X1835" s="9" t="str">
        <f aca="false">IF(TEXT(H1835,"dddd")&lt;&gt;I1835,"Mismatch","OK")</f>
        <v>OK</v>
      </c>
      <c r="Y1835" s="9" t="str">
        <f aca="false">IF(AND(N1835="No",O1835&lt;&gt;""),"Unexpected: channel present but no reminder sent",IF(AND(N1835="Yes",O1835=""),"Missing channel for sent reminder","OK"))</f>
        <v>OK</v>
      </c>
    </row>
    <row r="1836" customFormat="false" ht="15" hidden="false" customHeight="false" outlineLevel="0" collapsed="false">
      <c r="A1836" s="7" t="s">
        <v>3057</v>
      </c>
      <c r="B1836" s="7" t="s">
        <v>3058</v>
      </c>
      <c r="C1836" s="7" t="s">
        <v>47</v>
      </c>
      <c r="D1836" s="7" t="n">
        <v>73</v>
      </c>
      <c r="E1836" s="7" t="s">
        <v>70</v>
      </c>
      <c r="F1836" s="7" t="s">
        <v>39</v>
      </c>
      <c r="G1836" s="8" t="n">
        <v>45878</v>
      </c>
      <c r="H1836" s="8" t="n">
        <v>45881</v>
      </c>
      <c r="I1836" s="7" t="s">
        <v>40</v>
      </c>
      <c r="J1836" s="7" t="s">
        <v>51</v>
      </c>
      <c r="K1836" s="7" t="n">
        <v>3</v>
      </c>
      <c r="L1836" s="7" t="n">
        <v>1</v>
      </c>
      <c r="M1836" s="7" t="n">
        <v>0</v>
      </c>
      <c r="N1836" s="7" t="s">
        <v>71</v>
      </c>
      <c r="O1836" s="7"/>
      <c r="P1836" s="7" t="n">
        <v>3.5</v>
      </c>
      <c r="Q1836" s="7" t="n">
        <v>14</v>
      </c>
      <c r="R1836" s="7" t="s">
        <v>53</v>
      </c>
      <c r="S1836" s="7"/>
      <c r="T1836" s="7"/>
      <c r="U1836" s="7" t="str">
        <f aca="false">IF(COUNTIF($A$2:$A$5001,A1836)&gt;1,"Duplicate","Unique")</f>
        <v>Unique</v>
      </c>
      <c r="V1836" s="7" t="str">
        <f aca="false">IF(COUNTIFS($B$2:$B$5001,B1836,$H$2:$H$5001,H1836,$J$2:$J$5001,J1836)&gt;1,"Possible Duplicate Booking","Unique")</f>
        <v>Unique</v>
      </c>
      <c r="W1836" s="7" t="str">
        <f aca="false">IF((H1836-G1836)&lt;&gt;K1836,"Mismatch","OK")</f>
        <v>OK</v>
      </c>
      <c r="X1836" s="7" t="str">
        <f aca="false">IF(TEXT(H1836,"dddd")&lt;&gt;I1836,"Mismatch","OK")</f>
        <v>OK</v>
      </c>
      <c r="Y1836" s="7" t="str">
        <f aca="false">IF(AND(N1836="No",O1836&lt;&gt;""),"Unexpected: channel present but no reminder sent",IF(AND(N1836="Yes",O1836=""),"Missing channel for sent reminder","OK"))</f>
        <v>OK</v>
      </c>
    </row>
    <row r="1837" customFormat="false" ht="15" hidden="false" customHeight="false" outlineLevel="0" collapsed="false">
      <c r="A1837" s="9" t="s">
        <v>3059</v>
      </c>
      <c r="B1837" s="9" t="s">
        <v>1935</v>
      </c>
      <c r="C1837" s="9" t="s">
        <v>37</v>
      </c>
      <c r="D1837" s="9" t="n">
        <v>66</v>
      </c>
      <c r="E1837" s="9" t="s">
        <v>70</v>
      </c>
      <c r="F1837" s="9" t="s">
        <v>49</v>
      </c>
      <c r="G1837" s="10" t="n">
        <v>45686</v>
      </c>
      <c r="H1837" s="10" t="n">
        <v>45733</v>
      </c>
      <c r="I1837" s="9" t="s">
        <v>66</v>
      </c>
      <c r="J1837" s="9" t="s">
        <v>51</v>
      </c>
      <c r="K1837" s="9" t="n">
        <v>47</v>
      </c>
      <c r="L1837" s="9" t="n">
        <v>3</v>
      </c>
      <c r="M1837" s="9" t="n">
        <v>0</v>
      </c>
      <c r="N1837" s="9" t="s">
        <v>71</v>
      </c>
      <c r="O1837" s="9"/>
      <c r="P1837" s="9" t="n">
        <v>2.6</v>
      </c>
      <c r="Q1837" s="9" t="n">
        <v>11</v>
      </c>
      <c r="R1837" s="9" t="s">
        <v>44</v>
      </c>
      <c r="S1837" s="9"/>
      <c r="T1837" s="9"/>
      <c r="U1837" s="9" t="str">
        <f aca="false">IF(COUNTIF($A$2:$A$5001,A1837)&gt;1,"Duplicate","Unique")</f>
        <v>Unique</v>
      </c>
      <c r="V1837" s="9" t="str">
        <f aca="false">IF(COUNTIFS($B$2:$B$5001,B1837,$H$2:$H$5001,H1837,$J$2:$J$5001,J1837)&gt;1,"Possible Duplicate Booking","Unique")</f>
        <v>Unique</v>
      </c>
      <c r="W1837" s="9" t="str">
        <f aca="false">IF((H1837-G1837)&lt;&gt;K1837,"Mismatch","OK")</f>
        <v>OK</v>
      </c>
      <c r="X1837" s="9" t="str">
        <f aca="false">IF(TEXT(H1837,"dddd")&lt;&gt;I1837,"Mismatch","OK")</f>
        <v>OK</v>
      </c>
      <c r="Y1837" s="9" t="str">
        <f aca="false">IF(AND(N1837="No",O1837&lt;&gt;""),"Unexpected: channel present but no reminder sent",IF(AND(N1837="Yes",O1837=""),"Missing channel for sent reminder","OK"))</f>
        <v>OK</v>
      </c>
    </row>
    <row r="1838" customFormat="false" ht="15" hidden="false" customHeight="false" outlineLevel="0" collapsed="false">
      <c r="A1838" s="7" t="s">
        <v>3060</v>
      </c>
      <c r="B1838" s="7" t="s">
        <v>3061</v>
      </c>
      <c r="C1838" s="7" t="s">
        <v>47</v>
      </c>
      <c r="D1838" s="7" t="n">
        <v>68</v>
      </c>
      <c r="E1838" s="7" t="s">
        <v>70</v>
      </c>
      <c r="F1838" s="7" t="s">
        <v>39</v>
      </c>
      <c r="G1838" s="8" t="n">
        <v>46128</v>
      </c>
      <c r="H1838" s="8" t="n">
        <v>46171</v>
      </c>
      <c r="I1838" s="7" t="s">
        <v>50</v>
      </c>
      <c r="J1838" s="7" t="s">
        <v>51</v>
      </c>
      <c r="K1838" s="7" t="n">
        <v>43</v>
      </c>
      <c r="L1838" s="7" t="n">
        <v>5</v>
      </c>
      <c r="M1838" s="7" t="n">
        <v>0</v>
      </c>
      <c r="N1838" s="7" t="s">
        <v>42</v>
      </c>
      <c r="O1838" s="7" t="s">
        <v>43</v>
      </c>
      <c r="P1838" s="7" t="n">
        <v>22.2</v>
      </c>
      <c r="Q1838" s="7" t="n">
        <v>21</v>
      </c>
      <c r="R1838" s="7" t="s">
        <v>44</v>
      </c>
      <c r="S1838" s="7"/>
      <c r="T1838" s="7"/>
      <c r="U1838" s="7" t="str">
        <f aca="false">IF(COUNTIF($A$2:$A$5001,A1838)&gt;1,"Duplicate","Unique")</f>
        <v>Unique</v>
      </c>
      <c r="V1838" s="7" t="str">
        <f aca="false">IF(COUNTIFS($B$2:$B$5001,B1838,$H$2:$H$5001,H1838,$J$2:$J$5001,J1838)&gt;1,"Possible Duplicate Booking","Unique")</f>
        <v>Unique</v>
      </c>
      <c r="W1838" s="7" t="str">
        <f aca="false">IF((H1838-G1838)&lt;&gt;K1838,"Mismatch","OK")</f>
        <v>OK</v>
      </c>
      <c r="X1838" s="7" t="str">
        <f aca="false">IF(TEXT(H1838,"dddd")&lt;&gt;I1838,"Mismatch","OK")</f>
        <v>OK</v>
      </c>
      <c r="Y1838" s="7" t="str">
        <f aca="false">IF(AND(N1838="No",O1838&lt;&gt;""),"Unexpected: channel present but no reminder sent",IF(AND(N1838="Yes",O1838=""),"Missing channel for sent reminder","OK"))</f>
        <v>OK</v>
      </c>
    </row>
    <row r="1839" customFormat="false" ht="15" hidden="false" customHeight="false" outlineLevel="0" collapsed="false">
      <c r="A1839" s="9" t="s">
        <v>3062</v>
      </c>
      <c r="B1839" s="9" t="s">
        <v>952</v>
      </c>
      <c r="C1839" s="9" t="s">
        <v>47</v>
      </c>
      <c r="D1839" s="9" t="n">
        <v>72</v>
      </c>
      <c r="E1839" s="9" t="s">
        <v>70</v>
      </c>
      <c r="F1839" s="9" t="s">
        <v>39</v>
      </c>
      <c r="G1839" s="10" t="n">
        <v>45821</v>
      </c>
      <c r="H1839" s="10" t="n">
        <v>45824</v>
      </c>
      <c r="I1839" s="9" t="s">
        <v>66</v>
      </c>
      <c r="J1839" s="9" t="s">
        <v>41</v>
      </c>
      <c r="K1839" s="9" t="n">
        <v>3</v>
      </c>
      <c r="L1839" s="9" t="n">
        <v>6</v>
      </c>
      <c r="M1839" s="9" t="n">
        <v>2</v>
      </c>
      <c r="N1839" s="9" t="s">
        <v>71</v>
      </c>
      <c r="O1839" s="9"/>
      <c r="P1839" s="9" t="n">
        <v>10</v>
      </c>
      <c r="Q1839" s="9" t="n">
        <v>17</v>
      </c>
      <c r="R1839" s="9" t="s">
        <v>44</v>
      </c>
      <c r="S1839" s="9"/>
      <c r="T1839" s="9"/>
      <c r="U1839" s="9" t="str">
        <f aca="false">IF(COUNTIF($A$2:$A$5001,A1839)&gt;1,"Duplicate","Unique")</f>
        <v>Unique</v>
      </c>
      <c r="V1839" s="9" t="str">
        <f aca="false">IF(COUNTIFS($B$2:$B$5001,B1839,$H$2:$H$5001,H1839,$J$2:$J$5001,J1839)&gt;1,"Possible Duplicate Booking","Unique")</f>
        <v>Unique</v>
      </c>
      <c r="W1839" s="9" t="str">
        <f aca="false">IF((H1839-G1839)&lt;&gt;K1839,"Mismatch","OK")</f>
        <v>OK</v>
      </c>
      <c r="X1839" s="9" t="str">
        <f aca="false">IF(TEXT(H1839,"dddd")&lt;&gt;I1839,"Mismatch","OK")</f>
        <v>OK</v>
      </c>
      <c r="Y1839" s="9" t="str">
        <f aca="false">IF(AND(N1839="No",O1839&lt;&gt;""),"Unexpected: channel present but no reminder sent",IF(AND(N1839="Yes",O1839=""),"Missing channel for sent reminder","OK"))</f>
        <v>OK</v>
      </c>
    </row>
    <row r="1840" customFormat="false" ht="15" hidden="false" customHeight="false" outlineLevel="0" collapsed="false">
      <c r="A1840" s="7" t="s">
        <v>3063</v>
      </c>
      <c r="B1840" s="7" t="s">
        <v>1024</v>
      </c>
      <c r="C1840" s="7" t="s">
        <v>47</v>
      </c>
      <c r="D1840" s="7" t="n">
        <v>33</v>
      </c>
      <c r="E1840" s="7" t="s">
        <v>48</v>
      </c>
      <c r="F1840" s="7" t="s">
        <v>39</v>
      </c>
      <c r="G1840" s="8" t="n">
        <v>45776</v>
      </c>
      <c r="H1840" s="8" t="n">
        <v>45779</v>
      </c>
      <c r="I1840" s="7" t="s">
        <v>50</v>
      </c>
      <c r="J1840" s="7" t="s">
        <v>51</v>
      </c>
      <c r="K1840" s="7" t="n">
        <v>3</v>
      </c>
      <c r="L1840" s="7" t="n">
        <v>6</v>
      </c>
      <c r="M1840" s="7" t="n">
        <v>2</v>
      </c>
      <c r="N1840" s="7" t="s">
        <v>42</v>
      </c>
      <c r="O1840" s="7" t="s">
        <v>43</v>
      </c>
      <c r="P1840" s="7" t="n">
        <v>8.3</v>
      </c>
      <c r="Q1840" s="7" t="n">
        <v>24</v>
      </c>
      <c r="R1840" s="7" t="s">
        <v>44</v>
      </c>
      <c r="S1840" s="7"/>
      <c r="T1840" s="7"/>
      <c r="U1840" s="7" t="str">
        <f aca="false">IF(COUNTIF($A$2:$A$5001,A1840)&gt;1,"Duplicate","Unique")</f>
        <v>Unique</v>
      </c>
      <c r="V1840" s="7" t="str">
        <f aca="false">IF(COUNTIFS($B$2:$B$5001,B1840,$H$2:$H$5001,H1840,$J$2:$J$5001,J1840)&gt;1,"Possible Duplicate Booking","Unique")</f>
        <v>Unique</v>
      </c>
      <c r="W1840" s="7" t="str">
        <f aca="false">IF((H1840-G1840)&lt;&gt;K1840,"Mismatch","OK")</f>
        <v>OK</v>
      </c>
      <c r="X1840" s="7" t="str">
        <f aca="false">IF(TEXT(H1840,"dddd")&lt;&gt;I1840,"Mismatch","OK")</f>
        <v>OK</v>
      </c>
      <c r="Y1840" s="7" t="str">
        <f aca="false">IF(AND(N1840="No",O1840&lt;&gt;""),"Unexpected: channel present but no reminder sent",IF(AND(N1840="Yes",O1840=""),"Missing channel for sent reminder","OK"))</f>
        <v>OK</v>
      </c>
    </row>
    <row r="1841" customFormat="false" ht="15" hidden="false" customHeight="false" outlineLevel="0" collapsed="false">
      <c r="A1841" s="9" t="s">
        <v>3064</v>
      </c>
      <c r="B1841" s="9" t="s">
        <v>2308</v>
      </c>
      <c r="C1841" s="9" t="s">
        <v>47</v>
      </c>
      <c r="D1841" s="9" t="n">
        <v>36</v>
      </c>
      <c r="E1841" s="9" t="s">
        <v>38</v>
      </c>
      <c r="F1841" s="9" t="s">
        <v>57</v>
      </c>
      <c r="G1841" s="10" t="n">
        <v>45908</v>
      </c>
      <c r="H1841" s="10" t="n">
        <v>45959</v>
      </c>
      <c r="I1841" s="9" t="s">
        <v>58</v>
      </c>
      <c r="J1841" s="9" t="s">
        <v>51</v>
      </c>
      <c r="K1841" s="9" t="n">
        <v>51</v>
      </c>
      <c r="L1841" s="9" t="n">
        <v>4</v>
      </c>
      <c r="M1841" s="9" t="n">
        <v>0</v>
      </c>
      <c r="N1841" s="9" t="s">
        <v>42</v>
      </c>
      <c r="O1841" s="9" t="s">
        <v>52</v>
      </c>
      <c r="P1841" s="9" t="n">
        <v>20.6</v>
      </c>
      <c r="Q1841" s="9" t="n">
        <v>26</v>
      </c>
      <c r="R1841" s="9" t="s">
        <v>53</v>
      </c>
      <c r="S1841" s="9"/>
      <c r="T1841" s="9"/>
      <c r="U1841" s="9" t="str">
        <f aca="false">IF(COUNTIF($A$2:$A$5001,A1841)&gt;1,"Duplicate","Unique")</f>
        <v>Unique</v>
      </c>
      <c r="V1841" s="9" t="str">
        <f aca="false">IF(COUNTIFS($B$2:$B$5001,B1841,$H$2:$H$5001,H1841,$J$2:$J$5001,J1841)&gt;1,"Possible Duplicate Booking","Unique")</f>
        <v>Unique</v>
      </c>
      <c r="W1841" s="9" t="str">
        <f aca="false">IF((H1841-G1841)&lt;&gt;K1841,"Mismatch","OK")</f>
        <v>OK</v>
      </c>
      <c r="X1841" s="9" t="str">
        <f aca="false">IF(TEXT(H1841,"dddd")&lt;&gt;I1841,"Mismatch","OK")</f>
        <v>OK</v>
      </c>
      <c r="Y1841" s="9" t="str">
        <f aca="false">IF(AND(N1841="No",O1841&lt;&gt;""),"Unexpected: channel present but no reminder sent",IF(AND(N1841="Yes",O1841=""),"Missing channel for sent reminder","OK"))</f>
        <v>OK</v>
      </c>
    </row>
    <row r="1842" customFormat="false" ht="15" hidden="false" customHeight="false" outlineLevel="0" collapsed="false">
      <c r="A1842" s="7" t="s">
        <v>3065</v>
      </c>
      <c r="B1842" s="7" t="s">
        <v>3066</v>
      </c>
      <c r="C1842" s="7" t="s">
        <v>47</v>
      </c>
      <c r="D1842" s="7" t="n">
        <v>51</v>
      </c>
      <c r="E1842" s="7" t="s">
        <v>56</v>
      </c>
      <c r="F1842" s="7" t="s">
        <v>57</v>
      </c>
      <c r="G1842" s="8" t="n">
        <v>45873</v>
      </c>
      <c r="H1842" s="8" t="n">
        <v>45890</v>
      </c>
      <c r="I1842" s="7" t="s">
        <v>62</v>
      </c>
      <c r="J1842" s="7" t="s">
        <v>41</v>
      </c>
      <c r="K1842" s="7" t="n">
        <v>17</v>
      </c>
      <c r="L1842" s="7" t="n">
        <v>1</v>
      </c>
      <c r="M1842" s="7" t="n">
        <v>0</v>
      </c>
      <c r="N1842" s="7" t="s">
        <v>71</v>
      </c>
      <c r="O1842" s="7"/>
      <c r="P1842" s="7" t="n">
        <v>4.7</v>
      </c>
      <c r="Q1842" s="7" t="n">
        <v>8</v>
      </c>
      <c r="R1842" s="7" t="s">
        <v>53</v>
      </c>
      <c r="S1842" s="7"/>
      <c r="T1842" s="7"/>
      <c r="U1842" s="7" t="str">
        <f aca="false">IF(COUNTIF($A$2:$A$5001,A1842)&gt;1,"Duplicate","Unique")</f>
        <v>Unique</v>
      </c>
      <c r="V1842" s="7" t="str">
        <f aca="false">IF(COUNTIFS($B$2:$B$5001,B1842,$H$2:$H$5001,H1842,$J$2:$J$5001,J1842)&gt;1,"Possible Duplicate Booking","Unique")</f>
        <v>Unique</v>
      </c>
      <c r="W1842" s="7" t="str">
        <f aca="false">IF((H1842-G1842)&lt;&gt;K1842,"Mismatch","OK")</f>
        <v>OK</v>
      </c>
      <c r="X1842" s="7" t="str">
        <f aca="false">IF(TEXT(H1842,"dddd")&lt;&gt;I1842,"Mismatch","OK")</f>
        <v>OK</v>
      </c>
      <c r="Y1842" s="7" t="str">
        <f aca="false">IF(AND(N1842="No",O1842&lt;&gt;""),"Unexpected: channel present but no reminder sent",IF(AND(N1842="Yes",O1842=""),"Missing channel for sent reminder","OK"))</f>
        <v>OK</v>
      </c>
    </row>
    <row r="1843" customFormat="false" ht="15" hidden="false" customHeight="false" outlineLevel="0" collapsed="false">
      <c r="A1843" s="9" t="s">
        <v>3067</v>
      </c>
      <c r="B1843" s="9" t="s">
        <v>1571</v>
      </c>
      <c r="C1843" s="9" t="s">
        <v>47</v>
      </c>
      <c r="D1843" s="9" t="n">
        <v>47</v>
      </c>
      <c r="E1843" s="9" t="s">
        <v>56</v>
      </c>
      <c r="F1843" s="9" t="s">
        <v>57</v>
      </c>
      <c r="G1843" s="10" t="n">
        <v>45658</v>
      </c>
      <c r="H1843" s="10" t="n">
        <v>45710</v>
      </c>
      <c r="I1843" s="9" t="s">
        <v>102</v>
      </c>
      <c r="J1843" s="9" t="s">
        <v>51</v>
      </c>
      <c r="K1843" s="9" t="n">
        <v>52</v>
      </c>
      <c r="L1843" s="9" t="n">
        <v>1</v>
      </c>
      <c r="M1843" s="9" t="n">
        <v>0</v>
      </c>
      <c r="N1843" s="9" t="s">
        <v>42</v>
      </c>
      <c r="O1843" s="9" t="s">
        <v>67</v>
      </c>
      <c r="P1843" s="9" t="n">
        <v>4.8</v>
      </c>
      <c r="Q1843" s="9" t="n">
        <v>15</v>
      </c>
      <c r="R1843" s="9" t="s">
        <v>44</v>
      </c>
      <c r="S1843" s="9"/>
      <c r="T1843" s="9"/>
      <c r="U1843" s="9" t="str">
        <f aca="false">IF(COUNTIF($A$2:$A$5001,A1843)&gt;1,"Duplicate","Unique")</f>
        <v>Unique</v>
      </c>
      <c r="V1843" s="9" t="str">
        <f aca="false">IF(COUNTIFS($B$2:$B$5001,B1843,$H$2:$H$5001,H1843,$J$2:$J$5001,J1843)&gt;1,"Possible Duplicate Booking","Unique")</f>
        <v>Unique</v>
      </c>
      <c r="W1843" s="9" t="str">
        <f aca="false">IF((H1843-G1843)&lt;&gt;K1843,"Mismatch","OK")</f>
        <v>OK</v>
      </c>
      <c r="X1843" s="9" t="str">
        <f aca="false">IF(TEXT(H1843,"dddd")&lt;&gt;I1843,"Mismatch","OK")</f>
        <v>OK</v>
      </c>
      <c r="Y1843" s="9" t="str">
        <f aca="false">IF(AND(N1843="No",O1843&lt;&gt;""),"Unexpected: channel present but no reminder sent",IF(AND(N1843="Yes",O1843=""),"Missing channel for sent reminder","OK"))</f>
        <v>OK</v>
      </c>
    </row>
    <row r="1844" customFormat="false" ht="15" hidden="false" customHeight="false" outlineLevel="0" collapsed="false">
      <c r="A1844" s="7" t="s">
        <v>3068</v>
      </c>
      <c r="B1844" s="7" t="s">
        <v>3069</v>
      </c>
      <c r="C1844" s="7" t="s">
        <v>37</v>
      </c>
      <c r="D1844" s="7" t="n">
        <v>62</v>
      </c>
      <c r="E1844" s="7" t="s">
        <v>61</v>
      </c>
      <c r="F1844" s="7" t="s">
        <v>49</v>
      </c>
      <c r="G1844" s="8" t="n">
        <v>46073</v>
      </c>
      <c r="H1844" s="8" t="n">
        <v>46103</v>
      </c>
      <c r="I1844" s="7" t="s">
        <v>75</v>
      </c>
      <c r="J1844" s="7" t="s">
        <v>51</v>
      </c>
      <c r="K1844" s="7" t="n">
        <v>30</v>
      </c>
      <c r="L1844" s="7" t="n">
        <v>2</v>
      </c>
      <c r="M1844" s="7" t="n">
        <v>0</v>
      </c>
      <c r="N1844" s="7" t="s">
        <v>42</v>
      </c>
      <c r="O1844" s="7" t="s">
        <v>52</v>
      </c>
      <c r="P1844" s="7" t="n">
        <v>25</v>
      </c>
      <c r="Q1844" s="7" t="n">
        <v>20</v>
      </c>
      <c r="R1844" s="7" t="s">
        <v>44</v>
      </c>
      <c r="S1844" s="7"/>
      <c r="T1844" s="7"/>
      <c r="U1844" s="7" t="str">
        <f aca="false">IF(COUNTIF($A$2:$A$5001,A1844)&gt;1,"Duplicate","Unique")</f>
        <v>Unique</v>
      </c>
      <c r="V1844" s="7" t="str">
        <f aca="false">IF(COUNTIFS($B$2:$B$5001,B1844,$H$2:$H$5001,H1844,$J$2:$J$5001,J1844)&gt;1,"Possible Duplicate Booking","Unique")</f>
        <v>Unique</v>
      </c>
      <c r="W1844" s="7" t="str">
        <f aca="false">IF((H1844-G1844)&lt;&gt;K1844,"Mismatch","OK")</f>
        <v>OK</v>
      </c>
      <c r="X1844" s="7" t="str">
        <f aca="false">IF(TEXT(H1844,"dddd")&lt;&gt;I1844,"Mismatch","OK")</f>
        <v>OK</v>
      </c>
      <c r="Y1844" s="7" t="str">
        <f aca="false">IF(AND(N1844="No",O1844&lt;&gt;""),"Unexpected: channel present but no reminder sent",IF(AND(N1844="Yes",O1844=""),"Missing channel for sent reminder","OK"))</f>
        <v>OK</v>
      </c>
    </row>
    <row r="1845" customFormat="false" ht="15" hidden="false" customHeight="false" outlineLevel="0" collapsed="false">
      <c r="A1845" s="9" t="s">
        <v>3070</v>
      </c>
      <c r="B1845" s="9" t="s">
        <v>110</v>
      </c>
      <c r="C1845" s="9" t="s">
        <v>47</v>
      </c>
      <c r="D1845" s="9" t="n">
        <v>18</v>
      </c>
      <c r="E1845" s="9" t="s">
        <v>82</v>
      </c>
      <c r="F1845" s="9" t="s">
        <v>57</v>
      </c>
      <c r="G1845" s="10" t="n">
        <v>46099</v>
      </c>
      <c r="H1845" s="10" t="n">
        <v>46119</v>
      </c>
      <c r="I1845" s="9" t="s">
        <v>40</v>
      </c>
      <c r="J1845" s="9" t="s">
        <v>51</v>
      </c>
      <c r="K1845" s="9" t="n">
        <v>20</v>
      </c>
      <c r="L1845" s="9" t="n">
        <v>7</v>
      </c>
      <c r="M1845" s="9" t="n">
        <v>2</v>
      </c>
      <c r="N1845" s="9" t="s">
        <v>42</v>
      </c>
      <c r="O1845" s="9" t="s">
        <v>52</v>
      </c>
      <c r="P1845" s="9" t="n">
        <v>4.2</v>
      </c>
      <c r="Q1845" s="9" t="n">
        <v>29</v>
      </c>
      <c r="R1845" s="9" t="s">
        <v>44</v>
      </c>
      <c r="S1845" s="9"/>
      <c r="T1845" s="9"/>
      <c r="U1845" s="9" t="str">
        <f aca="false">IF(COUNTIF($A$2:$A$5001,A1845)&gt;1,"Duplicate","Unique")</f>
        <v>Unique</v>
      </c>
      <c r="V1845" s="9" t="str">
        <f aca="false">IF(COUNTIFS($B$2:$B$5001,B1845,$H$2:$H$5001,H1845,$J$2:$J$5001,J1845)&gt;1,"Possible Duplicate Booking","Unique")</f>
        <v>Unique</v>
      </c>
      <c r="W1845" s="9" t="str">
        <f aca="false">IF((H1845-G1845)&lt;&gt;K1845,"Mismatch","OK")</f>
        <v>OK</v>
      </c>
      <c r="X1845" s="9" t="str">
        <f aca="false">IF(TEXT(H1845,"dddd")&lt;&gt;I1845,"Mismatch","OK")</f>
        <v>OK</v>
      </c>
      <c r="Y1845" s="9" t="str">
        <f aca="false">IF(AND(N1845="No",O1845&lt;&gt;""),"Unexpected: channel present but no reminder sent",IF(AND(N1845="Yes",O1845=""),"Missing channel for sent reminder","OK"))</f>
        <v>OK</v>
      </c>
    </row>
    <row r="1846" customFormat="false" ht="15" hidden="false" customHeight="false" outlineLevel="0" collapsed="false">
      <c r="A1846" s="7" t="s">
        <v>3071</v>
      </c>
      <c r="B1846" s="7" t="s">
        <v>3072</v>
      </c>
      <c r="C1846" s="7" t="s">
        <v>47</v>
      </c>
      <c r="D1846" s="7" t="n">
        <v>26</v>
      </c>
      <c r="E1846" s="7" t="s">
        <v>48</v>
      </c>
      <c r="F1846" s="7" t="s">
        <v>39</v>
      </c>
      <c r="G1846" s="8" t="n">
        <v>46047</v>
      </c>
      <c r="H1846" s="8" t="n">
        <v>46063</v>
      </c>
      <c r="I1846" s="7" t="s">
        <v>40</v>
      </c>
      <c r="J1846" s="7" t="s">
        <v>51</v>
      </c>
      <c r="K1846" s="7" t="n">
        <v>16</v>
      </c>
      <c r="L1846" s="7" t="n">
        <v>5</v>
      </c>
      <c r="M1846" s="7" t="n">
        <v>0</v>
      </c>
      <c r="N1846" s="7" t="s">
        <v>42</v>
      </c>
      <c r="O1846" s="7" t="s">
        <v>52</v>
      </c>
      <c r="P1846" s="7" t="n">
        <v>3</v>
      </c>
      <c r="Q1846" s="7" t="n">
        <v>29</v>
      </c>
      <c r="R1846" s="7" t="s">
        <v>53</v>
      </c>
      <c r="S1846" s="7"/>
      <c r="T1846" s="7"/>
      <c r="U1846" s="7" t="str">
        <f aca="false">IF(COUNTIF($A$2:$A$5001,A1846)&gt;1,"Duplicate","Unique")</f>
        <v>Unique</v>
      </c>
      <c r="V1846" s="7" t="str">
        <f aca="false">IF(COUNTIFS($B$2:$B$5001,B1846,$H$2:$H$5001,H1846,$J$2:$J$5001,J1846)&gt;1,"Possible Duplicate Booking","Unique")</f>
        <v>Unique</v>
      </c>
      <c r="W1846" s="7" t="str">
        <f aca="false">IF((H1846-G1846)&lt;&gt;K1846,"Mismatch","OK")</f>
        <v>OK</v>
      </c>
      <c r="X1846" s="7" t="str">
        <f aca="false">IF(TEXT(H1846,"dddd")&lt;&gt;I1846,"Mismatch","OK")</f>
        <v>OK</v>
      </c>
      <c r="Y1846" s="7" t="str">
        <f aca="false">IF(AND(N1846="No",O1846&lt;&gt;""),"Unexpected: channel present but no reminder sent",IF(AND(N1846="Yes",O1846=""),"Missing channel for sent reminder","OK"))</f>
        <v>OK</v>
      </c>
    </row>
    <row r="1847" customFormat="false" ht="15" hidden="false" customHeight="false" outlineLevel="0" collapsed="false">
      <c r="A1847" s="9" t="s">
        <v>3073</v>
      </c>
      <c r="B1847" s="9" t="s">
        <v>1841</v>
      </c>
      <c r="C1847" s="9" t="s">
        <v>37</v>
      </c>
      <c r="D1847" s="9" t="n">
        <v>65</v>
      </c>
      <c r="E1847" s="9" t="s">
        <v>70</v>
      </c>
      <c r="F1847" s="9" t="s">
        <v>39</v>
      </c>
      <c r="G1847" s="10" t="n">
        <v>45954</v>
      </c>
      <c r="H1847" s="10" t="n">
        <v>45994</v>
      </c>
      <c r="I1847" s="9" t="s">
        <v>58</v>
      </c>
      <c r="J1847" s="9" t="s">
        <v>51</v>
      </c>
      <c r="K1847" s="9" t="n">
        <v>40</v>
      </c>
      <c r="L1847" s="9" t="n">
        <v>2</v>
      </c>
      <c r="M1847" s="9" t="n">
        <v>0</v>
      </c>
      <c r="N1847" s="9" t="s">
        <v>71</v>
      </c>
      <c r="O1847" s="9"/>
      <c r="P1847" s="9" t="n">
        <v>24.7</v>
      </c>
      <c r="Q1847" s="9" t="n">
        <v>13</v>
      </c>
      <c r="R1847" s="9" t="s">
        <v>44</v>
      </c>
      <c r="S1847" s="9"/>
      <c r="T1847" s="9"/>
      <c r="U1847" s="9" t="str">
        <f aca="false">IF(COUNTIF($A$2:$A$5001,A1847)&gt;1,"Duplicate","Unique")</f>
        <v>Unique</v>
      </c>
      <c r="V1847" s="9" t="str">
        <f aca="false">IF(COUNTIFS($B$2:$B$5001,B1847,$H$2:$H$5001,H1847,$J$2:$J$5001,J1847)&gt;1,"Possible Duplicate Booking","Unique")</f>
        <v>Unique</v>
      </c>
      <c r="W1847" s="9" t="str">
        <f aca="false">IF((H1847-G1847)&lt;&gt;K1847,"Mismatch","OK")</f>
        <v>OK</v>
      </c>
      <c r="X1847" s="9" t="str">
        <f aca="false">IF(TEXT(H1847,"dddd")&lt;&gt;I1847,"Mismatch","OK")</f>
        <v>OK</v>
      </c>
      <c r="Y1847" s="9" t="str">
        <f aca="false">IF(AND(N1847="No",O1847&lt;&gt;""),"Unexpected: channel present but no reminder sent",IF(AND(N1847="Yes",O1847=""),"Missing channel for sent reminder","OK"))</f>
        <v>OK</v>
      </c>
    </row>
    <row r="1848" customFormat="false" ht="15" hidden="false" customHeight="false" outlineLevel="0" collapsed="false">
      <c r="A1848" s="7" t="s">
        <v>3074</v>
      </c>
      <c r="B1848" s="7" t="s">
        <v>1788</v>
      </c>
      <c r="C1848" s="7" t="s">
        <v>47</v>
      </c>
      <c r="D1848" s="7" t="n">
        <v>69</v>
      </c>
      <c r="E1848" s="7" t="s">
        <v>70</v>
      </c>
      <c r="F1848" s="7" t="s">
        <v>57</v>
      </c>
      <c r="G1848" s="8" t="n">
        <v>45871</v>
      </c>
      <c r="H1848" s="8" t="n">
        <v>45877</v>
      </c>
      <c r="I1848" s="7" t="s">
        <v>50</v>
      </c>
      <c r="J1848" s="7" t="s">
        <v>51</v>
      </c>
      <c r="K1848" s="7" t="n">
        <v>6</v>
      </c>
      <c r="L1848" s="7" t="n">
        <v>1</v>
      </c>
      <c r="M1848" s="7" t="n">
        <v>0</v>
      </c>
      <c r="N1848" s="7" t="s">
        <v>42</v>
      </c>
      <c r="O1848" s="7" t="s">
        <v>67</v>
      </c>
      <c r="P1848" s="7" t="n">
        <v>14.1</v>
      </c>
      <c r="Q1848" s="7" t="n">
        <v>11</v>
      </c>
      <c r="R1848" s="7" t="s">
        <v>44</v>
      </c>
      <c r="S1848" s="7"/>
      <c r="T1848" s="7"/>
      <c r="U1848" s="7" t="str">
        <f aca="false">IF(COUNTIF($A$2:$A$5001,A1848)&gt;1,"Duplicate","Unique")</f>
        <v>Unique</v>
      </c>
      <c r="V1848" s="7" t="str">
        <f aca="false">IF(COUNTIFS($B$2:$B$5001,B1848,$H$2:$H$5001,H1848,$J$2:$J$5001,J1848)&gt;1,"Possible Duplicate Booking","Unique")</f>
        <v>Unique</v>
      </c>
      <c r="W1848" s="7" t="str">
        <f aca="false">IF((H1848-G1848)&lt;&gt;K1848,"Mismatch","OK")</f>
        <v>OK</v>
      </c>
      <c r="X1848" s="7" t="str">
        <f aca="false">IF(TEXT(H1848,"dddd")&lt;&gt;I1848,"Mismatch","OK")</f>
        <v>OK</v>
      </c>
      <c r="Y1848" s="7" t="str">
        <f aca="false">IF(AND(N1848="No",O1848&lt;&gt;""),"Unexpected: channel present but no reminder sent",IF(AND(N1848="Yes",O1848=""),"Missing channel for sent reminder","OK"))</f>
        <v>OK</v>
      </c>
    </row>
    <row r="1849" customFormat="false" ht="15" hidden="false" customHeight="false" outlineLevel="0" collapsed="false">
      <c r="A1849" s="9" t="s">
        <v>3075</v>
      </c>
      <c r="B1849" s="9" t="s">
        <v>2871</v>
      </c>
      <c r="C1849" s="9" t="s">
        <v>37</v>
      </c>
      <c r="D1849" s="9" t="n">
        <v>37</v>
      </c>
      <c r="E1849" s="9" t="s">
        <v>38</v>
      </c>
      <c r="F1849" s="9" t="s">
        <v>49</v>
      </c>
      <c r="G1849" s="10" t="n">
        <v>45930</v>
      </c>
      <c r="H1849" s="10" t="n">
        <v>45954</v>
      </c>
      <c r="I1849" s="9" t="s">
        <v>50</v>
      </c>
      <c r="J1849" s="9" t="s">
        <v>63</v>
      </c>
      <c r="K1849" s="9" t="n">
        <v>24</v>
      </c>
      <c r="L1849" s="9" t="n">
        <v>2</v>
      </c>
      <c r="M1849" s="9" t="n">
        <v>1</v>
      </c>
      <c r="N1849" s="9" t="s">
        <v>42</v>
      </c>
      <c r="O1849" s="9" t="s">
        <v>43</v>
      </c>
      <c r="P1849" s="9" t="n">
        <v>7.8</v>
      </c>
      <c r="Q1849" s="9" t="n">
        <v>14</v>
      </c>
      <c r="R1849" s="9" t="s">
        <v>53</v>
      </c>
      <c r="S1849" s="9"/>
      <c r="T1849" s="9"/>
      <c r="U1849" s="9" t="str">
        <f aca="false">IF(COUNTIF($A$2:$A$5001,A1849)&gt;1,"Duplicate","Unique")</f>
        <v>Unique</v>
      </c>
      <c r="V1849" s="9" t="str">
        <f aca="false">IF(COUNTIFS($B$2:$B$5001,B1849,$H$2:$H$5001,H1849,$J$2:$J$5001,J1849)&gt;1,"Possible Duplicate Booking","Unique")</f>
        <v>Unique</v>
      </c>
      <c r="W1849" s="9" t="str">
        <f aca="false">IF((H1849-G1849)&lt;&gt;K1849,"Mismatch","OK")</f>
        <v>OK</v>
      </c>
      <c r="X1849" s="9" t="str">
        <f aca="false">IF(TEXT(H1849,"dddd")&lt;&gt;I1849,"Mismatch","OK")</f>
        <v>OK</v>
      </c>
      <c r="Y1849" s="9" t="str">
        <f aca="false">IF(AND(N1849="No",O1849&lt;&gt;""),"Unexpected: channel present but no reminder sent",IF(AND(N1849="Yes",O1849=""),"Missing channel for sent reminder","OK"))</f>
        <v>OK</v>
      </c>
    </row>
    <row r="1850" customFormat="false" ht="15" hidden="false" customHeight="false" outlineLevel="0" collapsed="false">
      <c r="A1850" s="7" t="s">
        <v>3076</v>
      </c>
      <c r="B1850" s="7" t="s">
        <v>3077</v>
      </c>
      <c r="C1850" s="7" t="s">
        <v>47</v>
      </c>
      <c r="D1850" s="7" t="n">
        <v>37</v>
      </c>
      <c r="E1850" s="7" t="s">
        <v>38</v>
      </c>
      <c r="F1850" s="7" t="s">
        <v>39</v>
      </c>
      <c r="G1850" s="8" t="n">
        <v>45921</v>
      </c>
      <c r="H1850" s="8" t="n">
        <v>45942</v>
      </c>
      <c r="I1850" s="7" t="s">
        <v>75</v>
      </c>
      <c r="J1850" s="7" t="s">
        <v>63</v>
      </c>
      <c r="K1850" s="7" t="n">
        <v>21</v>
      </c>
      <c r="L1850" s="7" t="n">
        <v>3</v>
      </c>
      <c r="M1850" s="7" t="n">
        <v>1</v>
      </c>
      <c r="N1850" s="7" t="s">
        <v>42</v>
      </c>
      <c r="O1850" s="7" t="s">
        <v>43</v>
      </c>
      <c r="P1850" s="7" t="n">
        <v>32.4</v>
      </c>
      <c r="Q1850" s="7" t="n">
        <v>33</v>
      </c>
      <c r="R1850" s="7" t="s">
        <v>44</v>
      </c>
      <c r="S1850" s="7"/>
      <c r="T1850" s="7"/>
      <c r="U1850" s="7" t="str">
        <f aca="false">IF(COUNTIF($A$2:$A$5001,A1850)&gt;1,"Duplicate","Unique")</f>
        <v>Unique</v>
      </c>
      <c r="V1850" s="7" t="str">
        <f aca="false">IF(COUNTIFS($B$2:$B$5001,B1850,$H$2:$H$5001,H1850,$J$2:$J$5001,J1850)&gt;1,"Possible Duplicate Booking","Unique")</f>
        <v>Unique</v>
      </c>
      <c r="W1850" s="7" t="str">
        <f aca="false">IF((H1850-G1850)&lt;&gt;K1850,"Mismatch","OK")</f>
        <v>OK</v>
      </c>
      <c r="X1850" s="7" t="str">
        <f aca="false">IF(TEXT(H1850,"dddd")&lt;&gt;I1850,"Mismatch","OK")</f>
        <v>OK</v>
      </c>
      <c r="Y1850" s="7" t="str">
        <f aca="false">IF(AND(N1850="No",O1850&lt;&gt;""),"Unexpected: channel present but no reminder sent",IF(AND(N1850="Yes",O1850=""),"Missing channel for sent reminder","OK"))</f>
        <v>OK</v>
      </c>
    </row>
    <row r="1851" customFormat="false" ht="15" hidden="false" customHeight="false" outlineLevel="0" collapsed="false">
      <c r="A1851" s="9" t="s">
        <v>3078</v>
      </c>
      <c r="B1851" s="9" t="s">
        <v>1359</v>
      </c>
      <c r="C1851" s="9" t="s">
        <v>47</v>
      </c>
      <c r="D1851" s="9" t="n">
        <v>53</v>
      </c>
      <c r="E1851" s="9" t="s">
        <v>56</v>
      </c>
      <c r="F1851" s="9" t="s">
        <v>57</v>
      </c>
      <c r="G1851" s="10" t="n">
        <v>45739</v>
      </c>
      <c r="H1851" s="10" t="n">
        <v>45748</v>
      </c>
      <c r="I1851" s="9" t="s">
        <v>40</v>
      </c>
      <c r="J1851" s="9" t="s">
        <v>41</v>
      </c>
      <c r="K1851" s="9" t="n">
        <v>9</v>
      </c>
      <c r="L1851" s="9" t="n">
        <v>2</v>
      </c>
      <c r="M1851" s="9" t="n">
        <v>0</v>
      </c>
      <c r="N1851" s="9" t="s">
        <v>42</v>
      </c>
      <c r="O1851" s="9" t="s">
        <v>52</v>
      </c>
      <c r="P1851" s="9" t="n">
        <v>5.7</v>
      </c>
      <c r="Q1851" s="9" t="n">
        <v>19</v>
      </c>
      <c r="R1851" s="9" t="s">
        <v>44</v>
      </c>
      <c r="S1851" s="9"/>
      <c r="T1851" s="9"/>
      <c r="U1851" s="9" t="str">
        <f aca="false">IF(COUNTIF($A$2:$A$5001,A1851)&gt;1,"Duplicate","Unique")</f>
        <v>Unique</v>
      </c>
      <c r="V1851" s="9" t="str">
        <f aca="false">IF(COUNTIFS($B$2:$B$5001,B1851,$H$2:$H$5001,H1851,$J$2:$J$5001,J1851)&gt;1,"Possible Duplicate Booking","Unique")</f>
        <v>Unique</v>
      </c>
      <c r="W1851" s="9" t="str">
        <f aca="false">IF((H1851-G1851)&lt;&gt;K1851,"Mismatch","OK")</f>
        <v>OK</v>
      </c>
      <c r="X1851" s="9" t="str">
        <f aca="false">IF(TEXT(H1851,"dddd")&lt;&gt;I1851,"Mismatch","OK")</f>
        <v>OK</v>
      </c>
      <c r="Y1851" s="9" t="str">
        <f aca="false">IF(AND(N1851="No",O1851&lt;&gt;""),"Unexpected: channel present but no reminder sent",IF(AND(N1851="Yes",O1851=""),"Missing channel for sent reminder","OK"))</f>
        <v>OK</v>
      </c>
    </row>
    <row r="1852" customFormat="false" ht="15" hidden="false" customHeight="false" outlineLevel="0" collapsed="false">
      <c r="A1852" s="7" t="s">
        <v>3079</v>
      </c>
      <c r="B1852" s="7" t="s">
        <v>3080</v>
      </c>
      <c r="C1852" s="7" t="s">
        <v>37</v>
      </c>
      <c r="D1852" s="7" t="n">
        <v>48</v>
      </c>
      <c r="E1852" s="7" t="s">
        <v>56</v>
      </c>
      <c r="F1852" s="7" t="s">
        <v>49</v>
      </c>
      <c r="G1852" s="8" t="n">
        <v>45681</v>
      </c>
      <c r="H1852" s="8" t="n">
        <v>45702</v>
      </c>
      <c r="I1852" s="7" t="s">
        <v>50</v>
      </c>
      <c r="J1852" s="7" t="s">
        <v>51</v>
      </c>
      <c r="K1852" s="7" t="n">
        <v>21</v>
      </c>
      <c r="L1852" s="7" t="n">
        <v>3</v>
      </c>
      <c r="M1852" s="7" t="n">
        <v>0</v>
      </c>
      <c r="N1852" s="7" t="s">
        <v>42</v>
      </c>
      <c r="O1852" s="7" t="s">
        <v>67</v>
      </c>
      <c r="P1852" s="7" t="n">
        <v>12.2</v>
      </c>
      <c r="Q1852" s="7" t="n">
        <v>25</v>
      </c>
      <c r="R1852" s="7" t="s">
        <v>53</v>
      </c>
      <c r="S1852" s="7"/>
      <c r="T1852" s="7"/>
      <c r="U1852" s="7" t="str">
        <f aca="false">IF(COUNTIF($A$2:$A$5001,A1852)&gt;1,"Duplicate","Unique")</f>
        <v>Unique</v>
      </c>
      <c r="V1852" s="7" t="str">
        <f aca="false">IF(COUNTIFS($B$2:$B$5001,B1852,$H$2:$H$5001,H1852,$J$2:$J$5001,J1852)&gt;1,"Possible Duplicate Booking","Unique")</f>
        <v>Unique</v>
      </c>
      <c r="W1852" s="7" t="str">
        <f aca="false">IF((H1852-G1852)&lt;&gt;K1852,"Mismatch","OK")</f>
        <v>OK</v>
      </c>
      <c r="X1852" s="7" t="str">
        <f aca="false">IF(TEXT(H1852,"dddd")&lt;&gt;I1852,"Mismatch","OK")</f>
        <v>OK</v>
      </c>
      <c r="Y1852" s="7" t="str">
        <f aca="false">IF(AND(N1852="No",O1852&lt;&gt;""),"Unexpected: channel present but no reminder sent",IF(AND(N1852="Yes",O1852=""),"Missing channel for sent reminder","OK"))</f>
        <v>OK</v>
      </c>
    </row>
    <row r="1853" customFormat="false" ht="15" hidden="false" customHeight="false" outlineLevel="0" collapsed="false">
      <c r="A1853" s="9" t="s">
        <v>3081</v>
      </c>
      <c r="B1853" s="9" t="s">
        <v>1981</v>
      </c>
      <c r="C1853" s="9" t="s">
        <v>37</v>
      </c>
      <c r="D1853" s="9" t="n">
        <v>28</v>
      </c>
      <c r="E1853" s="9" t="s">
        <v>48</v>
      </c>
      <c r="F1853" s="9" t="s">
        <v>39</v>
      </c>
      <c r="G1853" s="10" t="n">
        <v>45764</v>
      </c>
      <c r="H1853" s="10" t="n">
        <v>45796</v>
      </c>
      <c r="I1853" s="9" t="s">
        <v>66</v>
      </c>
      <c r="J1853" s="9" t="s">
        <v>41</v>
      </c>
      <c r="K1853" s="9" t="n">
        <v>32</v>
      </c>
      <c r="L1853" s="9" t="n">
        <v>1</v>
      </c>
      <c r="M1853" s="9" t="n">
        <v>0</v>
      </c>
      <c r="N1853" s="9" t="s">
        <v>42</v>
      </c>
      <c r="O1853" s="9" t="s">
        <v>52</v>
      </c>
      <c r="P1853" s="9" t="n">
        <v>11.3</v>
      </c>
      <c r="Q1853" s="9" t="n">
        <v>29</v>
      </c>
      <c r="R1853" s="9" t="s">
        <v>53</v>
      </c>
      <c r="S1853" s="9"/>
      <c r="T1853" s="9"/>
      <c r="U1853" s="9" t="str">
        <f aca="false">IF(COUNTIF($A$2:$A$5001,A1853)&gt;1,"Duplicate","Unique")</f>
        <v>Unique</v>
      </c>
      <c r="V1853" s="9" t="str">
        <f aca="false">IF(COUNTIFS($B$2:$B$5001,B1853,$H$2:$H$5001,H1853,$J$2:$J$5001,J1853)&gt;1,"Possible Duplicate Booking","Unique")</f>
        <v>Unique</v>
      </c>
      <c r="W1853" s="9" t="str">
        <f aca="false">IF((H1853-G1853)&lt;&gt;K1853,"Mismatch","OK")</f>
        <v>OK</v>
      </c>
      <c r="X1853" s="9" t="str">
        <f aca="false">IF(TEXT(H1853,"dddd")&lt;&gt;I1853,"Mismatch","OK")</f>
        <v>OK</v>
      </c>
      <c r="Y1853" s="9" t="str">
        <f aca="false">IF(AND(N1853="No",O1853&lt;&gt;""),"Unexpected: channel present but no reminder sent",IF(AND(N1853="Yes",O1853=""),"Missing channel for sent reminder","OK"))</f>
        <v>OK</v>
      </c>
    </row>
    <row r="1854" customFormat="false" ht="15" hidden="false" customHeight="false" outlineLevel="0" collapsed="false">
      <c r="A1854" s="7" t="s">
        <v>3082</v>
      </c>
      <c r="B1854" s="7" t="s">
        <v>3016</v>
      </c>
      <c r="C1854" s="7" t="s">
        <v>47</v>
      </c>
      <c r="D1854" s="7" t="n">
        <v>49</v>
      </c>
      <c r="E1854" s="7" t="s">
        <v>56</v>
      </c>
      <c r="F1854" s="7" t="s">
        <v>57</v>
      </c>
      <c r="G1854" s="8" t="n">
        <v>45865</v>
      </c>
      <c r="H1854" s="8" t="n">
        <v>45906</v>
      </c>
      <c r="I1854" s="7" t="s">
        <v>102</v>
      </c>
      <c r="J1854" s="7" t="s">
        <v>41</v>
      </c>
      <c r="K1854" s="7" t="n">
        <v>41</v>
      </c>
      <c r="L1854" s="7" t="n">
        <v>4</v>
      </c>
      <c r="M1854" s="7" t="n">
        <v>0</v>
      </c>
      <c r="N1854" s="7" t="s">
        <v>42</v>
      </c>
      <c r="O1854" s="7" t="s">
        <v>52</v>
      </c>
      <c r="P1854" s="7" t="n">
        <v>20.9</v>
      </c>
      <c r="Q1854" s="7"/>
      <c r="R1854" s="7" t="s">
        <v>53</v>
      </c>
      <c r="S1854" s="7"/>
      <c r="T1854" s="7"/>
      <c r="U1854" s="7" t="str">
        <f aca="false">IF(COUNTIF($A$2:$A$5001,A1854)&gt;1,"Duplicate","Unique")</f>
        <v>Unique</v>
      </c>
      <c r="V1854" s="7" t="str">
        <f aca="false">IF(COUNTIFS($B$2:$B$5001,B1854,$H$2:$H$5001,H1854,$J$2:$J$5001,J1854)&gt;1,"Possible Duplicate Booking","Unique")</f>
        <v>Unique</v>
      </c>
      <c r="W1854" s="7" t="str">
        <f aca="false">IF((H1854-G1854)&lt;&gt;K1854,"Mismatch","OK")</f>
        <v>OK</v>
      </c>
      <c r="X1854" s="7" t="str">
        <f aca="false">IF(TEXT(H1854,"dddd")&lt;&gt;I1854,"Mismatch","OK")</f>
        <v>OK</v>
      </c>
      <c r="Y1854" s="7" t="str">
        <f aca="false">IF(AND(N1854="No",O1854&lt;&gt;""),"Unexpected: channel present but no reminder sent",IF(AND(N1854="Yes",O1854=""),"Missing channel for sent reminder","OK"))</f>
        <v>OK</v>
      </c>
    </row>
    <row r="1855" customFormat="false" ht="15" hidden="false" customHeight="false" outlineLevel="0" collapsed="false">
      <c r="A1855" s="9" t="s">
        <v>3083</v>
      </c>
      <c r="B1855" s="9" t="s">
        <v>2939</v>
      </c>
      <c r="C1855" s="9" t="s">
        <v>37</v>
      </c>
      <c r="D1855" s="9" t="n">
        <v>69</v>
      </c>
      <c r="E1855" s="9" t="s">
        <v>70</v>
      </c>
      <c r="F1855" s="9" t="s">
        <v>49</v>
      </c>
      <c r="G1855" s="10" t="n">
        <v>45740</v>
      </c>
      <c r="H1855" s="10" t="n">
        <v>45745</v>
      </c>
      <c r="I1855" s="9" t="s">
        <v>102</v>
      </c>
      <c r="J1855" s="9" t="s">
        <v>51</v>
      </c>
      <c r="K1855" s="9" t="n">
        <v>5</v>
      </c>
      <c r="L1855" s="9" t="n">
        <v>4</v>
      </c>
      <c r="M1855" s="9" t="n">
        <v>0</v>
      </c>
      <c r="N1855" s="9" t="s">
        <v>71</v>
      </c>
      <c r="O1855" s="9"/>
      <c r="P1855" s="9" t="n">
        <v>4.7</v>
      </c>
      <c r="Q1855" s="9" t="n">
        <v>11</v>
      </c>
      <c r="R1855" s="9" t="s">
        <v>53</v>
      </c>
      <c r="S1855" s="9"/>
      <c r="T1855" s="9"/>
      <c r="U1855" s="9" t="str">
        <f aca="false">IF(COUNTIF($A$2:$A$5001,A1855)&gt;1,"Duplicate","Unique")</f>
        <v>Unique</v>
      </c>
      <c r="V1855" s="9" t="str">
        <f aca="false">IF(COUNTIFS($B$2:$B$5001,B1855,$H$2:$H$5001,H1855,$J$2:$J$5001,J1855)&gt;1,"Possible Duplicate Booking","Unique")</f>
        <v>Unique</v>
      </c>
      <c r="W1855" s="9" t="str">
        <f aca="false">IF((H1855-G1855)&lt;&gt;K1855,"Mismatch","OK")</f>
        <v>OK</v>
      </c>
      <c r="X1855" s="9" t="str">
        <f aca="false">IF(TEXT(H1855,"dddd")&lt;&gt;I1855,"Mismatch","OK")</f>
        <v>OK</v>
      </c>
      <c r="Y1855" s="9" t="str">
        <f aca="false">IF(AND(N1855="No",O1855&lt;&gt;""),"Unexpected: channel present but no reminder sent",IF(AND(N1855="Yes",O1855=""),"Missing channel for sent reminder","OK"))</f>
        <v>OK</v>
      </c>
    </row>
    <row r="1856" customFormat="false" ht="15" hidden="false" customHeight="false" outlineLevel="0" collapsed="false">
      <c r="A1856" s="7" t="s">
        <v>3084</v>
      </c>
      <c r="B1856" s="7" t="s">
        <v>180</v>
      </c>
      <c r="C1856" s="7" t="s">
        <v>236</v>
      </c>
      <c r="D1856" s="7" t="n">
        <v>63</v>
      </c>
      <c r="E1856" s="7" t="s">
        <v>61</v>
      </c>
      <c r="F1856" s="7" t="s">
        <v>39</v>
      </c>
      <c r="G1856" s="8" t="n">
        <v>45663</v>
      </c>
      <c r="H1856" s="8" t="n">
        <v>45716</v>
      </c>
      <c r="I1856" s="7" t="s">
        <v>50</v>
      </c>
      <c r="J1856" s="7" t="s">
        <v>63</v>
      </c>
      <c r="K1856" s="7" t="n">
        <v>53</v>
      </c>
      <c r="L1856" s="7" t="n">
        <v>3</v>
      </c>
      <c r="M1856" s="7" t="n">
        <v>2</v>
      </c>
      <c r="N1856" s="7" t="s">
        <v>42</v>
      </c>
      <c r="O1856" s="7" t="s">
        <v>43</v>
      </c>
      <c r="P1856" s="7" t="n">
        <v>24.7</v>
      </c>
      <c r="Q1856" s="7" t="n">
        <v>37</v>
      </c>
      <c r="R1856" s="7" t="s">
        <v>53</v>
      </c>
      <c r="S1856" s="7"/>
      <c r="T1856" s="7"/>
      <c r="U1856" s="7" t="str">
        <f aca="false">IF(COUNTIF($A$2:$A$5001,A1856)&gt;1,"Duplicate","Unique")</f>
        <v>Unique</v>
      </c>
      <c r="V1856" s="7" t="str">
        <f aca="false">IF(COUNTIFS($B$2:$B$5001,B1856,$H$2:$H$5001,H1856,$J$2:$J$5001,J1856)&gt;1,"Possible Duplicate Booking","Unique")</f>
        <v>Unique</v>
      </c>
      <c r="W1856" s="7" t="str">
        <f aca="false">IF((H1856-G1856)&lt;&gt;K1856,"Mismatch","OK")</f>
        <v>OK</v>
      </c>
      <c r="X1856" s="7" t="str">
        <f aca="false">IF(TEXT(H1856,"dddd")&lt;&gt;I1856,"Mismatch","OK")</f>
        <v>OK</v>
      </c>
      <c r="Y1856" s="7" t="str">
        <f aca="false">IF(AND(N1856="No",O1856&lt;&gt;""),"Unexpected: channel present but no reminder sent",IF(AND(N1856="Yes",O1856=""),"Missing channel for sent reminder","OK"))</f>
        <v>OK</v>
      </c>
    </row>
    <row r="1857" customFormat="false" ht="15" hidden="false" customHeight="false" outlineLevel="0" collapsed="false">
      <c r="A1857" s="9" t="s">
        <v>3085</v>
      </c>
      <c r="B1857" s="9" t="s">
        <v>3086</v>
      </c>
      <c r="C1857" s="9" t="s">
        <v>37</v>
      </c>
      <c r="D1857" s="9" t="n">
        <v>69</v>
      </c>
      <c r="E1857" s="9" t="s">
        <v>70</v>
      </c>
      <c r="F1857" s="9" t="s">
        <v>57</v>
      </c>
      <c r="G1857" s="10" t="n">
        <v>46070</v>
      </c>
      <c r="H1857" s="10" t="n">
        <v>46123</v>
      </c>
      <c r="I1857" s="9" t="s">
        <v>102</v>
      </c>
      <c r="J1857" s="9" t="s">
        <v>41</v>
      </c>
      <c r="K1857" s="9" t="n">
        <v>53</v>
      </c>
      <c r="L1857" s="9" t="n">
        <v>4</v>
      </c>
      <c r="M1857" s="9" t="n">
        <v>0</v>
      </c>
      <c r="N1857" s="9" t="s">
        <v>71</v>
      </c>
      <c r="O1857" s="9"/>
      <c r="P1857" s="9" t="n">
        <v>30.3</v>
      </c>
      <c r="Q1857" s="9" t="n">
        <v>30</v>
      </c>
      <c r="R1857" s="9" t="s">
        <v>53</v>
      </c>
      <c r="S1857" s="9"/>
      <c r="T1857" s="9"/>
      <c r="U1857" s="9" t="str">
        <f aca="false">IF(COUNTIF($A$2:$A$5001,A1857)&gt;1,"Duplicate","Unique")</f>
        <v>Unique</v>
      </c>
      <c r="V1857" s="9" t="str">
        <f aca="false">IF(COUNTIFS($B$2:$B$5001,B1857,$H$2:$H$5001,H1857,$J$2:$J$5001,J1857)&gt;1,"Possible Duplicate Booking","Unique")</f>
        <v>Unique</v>
      </c>
      <c r="W1857" s="9" t="str">
        <f aca="false">IF((H1857-G1857)&lt;&gt;K1857,"Mismatch","OK")</f>
        <v>OK</v>
      </c>
      <c r="X1857" s="9" t="str">
        <f aca="false">IF(TEXT(H1857,"dddd")&lt;&gt;I1857,"Mismatch","OK")</f>
        <v>OK</v>
      </c>
      <c r="Y1857" s="9" t="str">
        <f aca="false">IF(AND(N1857="No",O1857&lt;&gt;""),"Unexpected: channel present but no reminder sent",IF(AND(N1857="Yes",O1857=""),"Missing channel for sent reminder","OK"))</f>
        <v>OK</v>
      </c>
    </row>
    <row r="1858" customFormat="false" ht="15" hidden="false" customHeight="false" outlineLevel="0" collapsed="false">
      <c r="A1858" s="7" t="s">
        <v>3087</v>
      </c>
      <c r="B1858" s="7" t="s">
        <v>3088</v>
      </c>
      <c r="C1858" s="7" t="s">
        <v>37</v>
      </c>
      <c r="D1858" s="7" t="n">
        <v>58</v>
      </c>
      <c r="E1858" s="7" t="s">
        <v>61</v>
      </c>
      <c r="F1858" s="7" t="s">
        <v>74</v>
      </c>
      <c r="G1858" s="8" t="n">
        <v>45820</v>
      </c>
      <c r="H1858" s="8" t="n">
        <v>45862</v>
      </c>
      <c r="I1858" s="7" t="s">
        <v>62</v>
      </c>
      <c r="J1858" s="7" t="s">
        <v>51</v>
      </c>
      <c r="K1858" s="7" t="n">
        <v>42</v>
      </c>
      <c r="L1858" s="7" t="n">
        <v>2</v>
      </c>
      <c r="M1858" s="7" t="n">
        <v>1</v>
      </c>
      <c r="N1858" s="7" t="s">
        <v>42</v>
      </c>
      <c r="O1858" s="7" t="s">
        <v>52</v>
      </c>
      <c r="P1858" s="7" t="n">
        <v>18.6</v>
      </c>
      <c r="Q1858" s="7" t="n">
        <v>42</v>
      </c>
      <c r="R1858" s="7" t="s">
        <v>53</v>
      </c>
      <c r="S1858" s="7"/>
      <c r="T1858" s="7"/>
      <c r="U1858" s="7" t="str">
        <f aca="false">IF(COUNTIF($A$2:$A$5001,A1858)&gt;1,"Duplicate","Unique")</f>
        <v>Unique</v>
      </c>
      <c r="V1858" s="7" t="str">
        <f aca="false">IF(COUNTIFS($B$2:$B$5001,B1858,$H$2:$H$5001,H1858,$J$2:$J$5001,J1858)&gt;1,"Possible Duplicate Booking","Unique")</f>
        <v>Unique</v>
      </c>
      <c r="W1858" s="7" t="str">
        <f aca="false">IF((H1858-G1858)&lt;&gt;K1858,"Mismatch","OK")</f>
        <v>OK</v>
      </c>
      <c r="X1858" s="7" t="str">
        <f aca="false">IF(TEXT(H1858,"dddd")&lt;&gt;I1858,"Mismatch","OK")</f>
        <v>OK</v>
      </c>
      <c r="Y1858" s="7" t="str">
        <f aca="false">IF(AND(N1858="No",O1858&lt;&gt;""),"Unexpected: channel present but no reminder sent",IF(AND(N1858="Yes",O1858=""),"Missing channel for sent reminder","OK"))</f>
        <v>OK</v>
      </c>
    </row>
    <row r="1859" customFormat="false" ht="15" hidden="false" customHeight="false" outlineLevel="0" collapsed="false">
      <c r="A1859" s="9" t="s">
        <v>3089</v>
      </c>
      <c r="B1859" s="9" t="s">
        <v>3090</v>
      </c>
      <c r="C1859" s="9" t="s">
        <v>37</v>
      </c>
      <c r="D1859" s="9" t="n">
        <v>73</v>
      </c>
      <c r="E1859" s="9" t="s">
        <v>70</v>
      </c>
      <c r="F1859" s="9" t="s">
        <v>39</v>
      </c>
      <c r="G1859" s="10" t="n">
        <v>45920</v>
      </c>
      <c r="H1859" s="10" t="n">
        <v>45976</v>
      </c>
      <c r="I1859" s="9" t="s">
        <v>102</v>
      </c>
      <c r="J1859" s="9" t="s">
        <v>63</v>
      </c>
      <c r="K1859" s="9" t="n">
        <v>56</v>
      </c>
      <c r="L1859" s="9" t="n">
        <v>3</v>
      </c>
      <c r="M1859" s="9" t="n">
        <v>0</v>
      </c>
      <c r="N1859" s="9" t="s">
        <v>42</v>
      </c>
      <c r="O1859" s="9" t="s">
        <v>43</v>
      </c>
      <c r="P1859" s="9" t="n">
        <v>5.1</v>
      </c>
      <c r="Q1859" s="9" t="n">
        <v>39</v>
      </c>
      <c r="R1859" s="9" t="s">
        <v>53</v>
      </c>
      <c r="S1859" s="9"/>
      <c r="T1859" s="9"/>
      <c r="U1859" s="9" t="str">
        <f aca="false">IF(COUNTIF($A$2:$A$5001,A1859)&gt;1,"Duplicate","Unique")</f>
        <v>Unique</v>
      </c>
      <c r="V1859" s="9" t="str">
        <f aca="false">IF(COUNTIFS($B$2:$B$5001,B1859,$H$2:$H$5001,H1859,$J$2:$J$5001,J1859)&gt;1,"Possible Duplicate Booking","Unique")</f>
        <v>Unique</v>
      </c>
      <c r="W1859" s="9" t="str">
        <f aca="false">IF((H1859-G1859)&lt;&gt;K1859,"Mismatch","OK")</f>
        <v>OK</v>
      </c>
      <c r="X1859" s="9" t="str">
        <f aca="false">IF(TEXT(H1859,"dddd")&lt;&gt;I1859,"Mismatch","OK")</f>
        <v>OK</v>
      </c>
      <c r="Y1859" s="9" t="str">
        <f aca="false">IF(AND(N1859="No",O1859&lt;&gt;""),"Unexpected: channel present but no reminder sent",IF(AND(N1859="Yes",O1859=""),"Missing channel for sent reminder","OK"))</f>
        <v>OK</v>
      </c>
    </row>
    <row r="1860" customFormat="false" ht="15" hidden="false" customHeight="false" outlineLevel="0" collapsed="false">
      <c r="A1860" s="7" t="s">
        <v>3091</v>
      </c>
      <c r="B1860" s="7" t="s">
        <v>3092</v>
      </c>
      <c r="C1860" s="7" t="s">
        <v>47</v>
      </c>
      <c r="D1860" s="7" t="n">
        <v>33</v>
      </c>
      <c r="E1860" s="7" t="s">
        <v>48</v>
      </c>
      <c r="F1860" s="7" t="s">
        <v>39</v>
      </c>
      <c r="G1860" s="8" t="n">
        <v>45918</v>
      </c>
      <c r="H1860" s="8" t="n">
        <v>45944</v>
      </c>
      <c r="I1860" s="7" t="s">
        <v>40</v>
      </c>
      <c r="J1860" s="7" t="s">
        <v>51</v>
      </c>
      <c r="K1860" s="7" t="n">
        <v>26</v>
      </c>
      <c r="L1860" s="7" t="n">
        <v>0</v>
      </c>
      <c r="M1860" s="7" t="n">
        <v>0</v>
      </c>
      <c r="N1860" s="7" t="s">
        <v>71</v>
      </c>
      <c r="O1860" s="7"/>
      <c r="P1860" s="7" t="n">
        <v>9.7</v>
      </c>
      <c r="Q1860" s="7" t="n">
        <v>25</v>
      </c>
      <c r="R1860" s="7" t="s">
        <v>44</v>
      </c>
      <c r="S1860" s="7"/>
      <c r="T1860" s="7"/>
      <c r="U1860" s="7" t="str">
        <f aca="false">IF(COUNTIF($A$2:$A$5001,A1860)&gt;1,"Duplicate","Unique")</f>
        <v>Unique</v>
      </c>
      <c r="V1860" s="7" t="str">
        <f aca="false">IF(COUNTIFS($B$2:$B$5001,B1860,$H$2:$H$5001,H1860,$J$2:$J$5001,J1860)&gt;1,"Possible Duplicate Booking","Unique")</f>
        <v>Unique</v>
      </c>
      <c r="W1860" s="7" t="str">
        <f aca="false">IF((H1860-G1860)&lt;&gt;K1860,"Mismatch","OK")</f>
        <v>OK</v>
      </c>
      <c r="X1860" s="7" t="str">
        <f aca="false">IF(TEXT(H1860,"dddd")&lt;&gt;I1860,"Mismatch","OK")</f>
        <v>OK</v>
      </c>
      <c r="Y1860" s="7" t="str">
        <f aca="false">IF(AND(N1860="No",O1860&lt;&gt;""),"Unexpected: channel present but no reminder sent",IF(AND(N1860="Yes",O1860=""),"Missing channel for sent reminder","OK"))</f>
        <v>OK</v>
      </c>
    </row>
    <row r="1861" customFormat="false" ht="15" hidden="false" customHeight="false" outlineLevel="0" collapsed="false">
      <c r="A1861" s="9" t="s">
        <v>3093</v>
      </c>
      <c r="B1861" s="9" t="s">
        <v>401</v>
      </c>
      <c r="C1861" s="9" t="s">
        <v>47</v>
      </c>
      <c r="D1861" s="9" t="n">
        <v>20</v>
      </c>
      <c r="E1861" s="9" t="s">
        <v>82</v>
      </c>
      <c r="F1861" s="9" t="s">
        <v>57</v>
      </c>
      <c r="G1861" s="10" t="n">
        <v>46009</v>
      </c>
      <c r="H1861" s="10" t="n">
        <v>46059</v>
      </c>
      <c r="I1861" s="9" t="s">
        <v>50</v>
      </c>
      <c r="J1861" s="9" t="s">
        <v>41</v>
      </c>
      <c r="K1861" s="9" t="n">
        <v>50</v>
      </c>
      <c r="L1861" s="9" t="n">
        <v>2</v>
      </c>
      <c r="M1861" s="9" t="n">
        <v>0</v>
      </c>
      <c r="N1861" s="9" t="s">
        <v>42</v>
      </c>
      <c r="O1861" s="9" t="s">
        <v>43</v>
      </c>
      <c r="P1861" s="9" t="n">
        <v>11.2</v>
      </c>
      <c r="Q1861" s="9" t="n">
        <v>16</v>
      </c>
      <c r="R1861" s="9" t="s">
        <v>44</v>
      </c>
      <c r="S1861" s="9"/>
      <c r="T1861" s="9"/>
      <c r="U1861" s="9" t="str">
        <f aca="false">IF(COUNTIF($A$2:$A$5001,A1861)&gt;1,"Duplicate","Unique")</f>
        <v>Unique</v>
      </c>
      <c r="V1861" s="9" t="str">
        <f aca="false">IF(COUNTIFS($B$2:$B$5001,B1861,$H$2:$H$5001,H1861,$J$2:$J$5001,J1861)&gt;1,"Possible Duplicate Booking","Unique")</f>
        <v>Unique</v>
      </c>
      <c r="W1861" s="9" t="str">
        <f aca="false">IF((H1861-G1861)&lt;&gt;K1861,"Mismatch","OK")</f>
        <v>OK</v>
      </c>
      <c r="X1861" s="9" t="str">
        <f aca="false">IF(TEXT(H1861,"dddd")&lt;&gt;I1861,"Mismatch","OK")</f>
        <v>OK</v>
      </c>
      <c r="Y1861" s="9" t="str">
        <f aca="false">IF(AND(N1861="No",O1861&lt;&gt;""),"Unexpected: channel present but no reminder sent",IF(AND(N1861="Yes",O1861=""),"Missing channel for sent reminder","OK"))</f>
        <v>OK</v>
      </c>
    </row>
    <row r="1862" customFormat="false" ht="15" hidden="false" customHeight="false" outlineLevel="0" collapsed="false">
      <c r="A1862" s="7" t="s">
        <v>3094</v>
      </c>
      <c r="B1862" s="7" t="s">
        <v>2693</v>
      </c>
      <c r="C1862" s="7" t="s">
        <v>47</v>
      </c>
      <c r="D1862" s="7" t="n">
        <v>25</v>
      </c>
      <c r="E1862" s="7" t="s">
        <v>48</v>
      </c>
      <c r="F1862" s="7" t="s">
        <v>57</v>
      </c>
      <c r="G1862" s="8" t="n">
        <v>46017</v>
      </c>
      <c r="H1862" s="8" t="n">
        <v>46061</v>
      </c>
      <c r="I1862" s="7" t="s">
        <v>75</v>
      </c>
      <c r="J1862" s="7" t="s">
        <v>51</v>
      </c>
      <c r="K1862" s="7" t="n">
        <v>44</v>
      </c>
      <c r="L1862" s="7" t="n">
        <v>0</v>
      </c>
      <c r="M1862" s="7" t="n">
        <v>0</v>
      </c>
      <c r="N1862" s="7" t="s">
        <v>42</v>
      </c>
      <c r="O1862" s="7" t="s">
        <v>52</v>
      </c>
      <c r="P1862" s="7" t="n">
        <v>11</v>
      </c>
      <c r="Q1862" s="7" t="n">
        <v>31</v>
      </c>
      <c r="R1862" s="7" t="s">
        <v>44</v>
      </c>
      <c r="S1862" s="7"/>
      <c r="T1862" s="7"/>
      <c r="U1862" s="7" t="str">
        <f aca="false">IF(COUNTIF($A$2:$A$5001,A1862)&gt;1,"Duplicate","Unique")</f>
        <v>Unique</v>
      </c>
      <c r="V1862" s="7" t="str">
        <f aca="false">IF(COUNTIFS($B$2:$B$5001,B1862,$H$2:$H$5001,H1862,$J$2:$J$5001,J1862)&gt;1,"Possible Duplicate Booking","Unique")</f>
        <v>Unique</v>
      </c>
      <c r="W1862" s="7" t="str">
        <f aca="false">IF((H1862-G1862)&lt;&gt;K1862,"Mismatch","OK")</f>
        <v>OK</v>
      </c>
      <c r="X1862" s="7" t="str">
        <f aca="false">IF(TEXT(H1862,"dddd")&lt;&gt;I1862,"Mismatch","OK")</f>
        <v>OK</v>
      </c>
      <c r="Y1862" s="7" t="str">
        <f aca="false">IF(AND(N1862="No",O1862&lt;&gt;""),"Unexpected: channel present but no reminder sent",IF(AND(N1862="Yes",O1862=""),"Missing channel for sent reminder","OK"))</f>
        <v>OK</v>
      </c>
    </row>
    <row r="1863" customFormat="false" ht="15" hidden="false" customHeight="false" outlineLevel="0" collapsed="false">
      <c r="A1863" s="9" t="s">
        <v>3095</v>
      </c>
      <c r="B1863" s="9" t="s">
        <v>1125</v>
      </c>
      <c r="C1863" s="9" t="s">
        <v>47</v>
      </c>
      <c r="D1863" s="9" t="n">
        <v>80</v>
      </c>
      <c r="E1863" s="9" t="s">
        <v>70</v>
      </c>
      <c r="F1863" s="9" t="s">
        <v>39</v>
      </c>
      <c r="G1863" s="10" t="n">
        <v>45785</v>
      </c>
      <c r="H1863" s="10" t="n">
        <v>45819</v>
      </c>
      <c r="I1863" s="9" t="s">
        <v>58</v>
      </c>
      <c r="J1863" s="9" t="s">
        <v>51</v>
      </c>
      <c r="K1863" s="9" t="n">
        <v>34</v>
      </c>
      <c r="L1863" s="9" t="n">
        <v>5</v>
      </c>
      <c r="M1863" s="9" t="n">
        <v>0</v>
      </c>
      <c r="N1863" s="9" t="s">
        <v>42</v>
      </c>
      <c r="O1863" s="9" t="s">
        <v>52</v>
      </c>
      <c r="P1863" s="9" t="n">
        <v>2.5</v>
      </c>
      <c r="Q1863" s="9" t="n">
        <v>12</v>
      </c>
      <c r="R1863" s="9" t="s">
        <v>44</v>
      </c>
      <c r="S1863" s="9"/>
      <c r="T1863" s="9"/>
      <c r="U1863" s="9" t="str">
        <f aca="false">IF(COUNTIF($A$2:$A$5001,A1863)&gt;1,"Duplicate","Unique")</f>
        <v>Unique</v>
      </c>
      <c r="V1863" s="9" t="str">
        <f aca="false">IF(COUNTIFS($B$2:$B$5001,B1863,$H$2:$H$5001,H1863,$J$2:$J$5001,J1863)&gt;1,"Possible Duplicate Booking","Unique")</f>
        <v>Unique</v>
      </c>
      <c r="W1863" s="9" t="str">
        <f aca="false">IF((H1863-G1863)&lt;&gt;K1863,"Mismatch","OK")</f>
        <v>OK</v>
      </c>
      <c r="X1863" s="9" t="str">
        <f aca="false">IF(TEXT(H1863,"dddd")&lt;&gt;I1863,"Mismatch","OK")</f>
        <v>OK</v>
      </c>
      <c r="Y1863" s="9" t="str">
        <f aca="false">IF(AND(N1863="No",O1863&lt;&gt;""),"Unexpected: channel present but no reminder sent",IF(AND(N1863="Yes",O1863=""),"Missing channel for sent reminder","OK"))</f>
        <v>OK</v>
      </c>
    </row>
    <row r="1864" customFormat="false" ht="15" hidden="false" customHeight="false" outlineLevel="0" collapsed="false">
      <c r="A1864" s="7" t="s">
        <v>3096</v>
      </c>
      <c r="B1864" s="7" t="s">
        <v>2395</v>
      </c>
      <c r="C1864" s="7" t="s">
        <v>47</v>
      </c>
      <c r="D1864" s="7" t="n">
        <v>58</v>
      </c>
      <c r="E1864" s="7" t="s">
        <v>61</v>
      </c>
      <c r="F1864" s="7" t="s">
        <v>39</v>
      </c>
      <c r="G1864" s="8" t="n">
        <v>46110</v>
      </c>
      <c r="H1864" s="8" t="n">
        <v>46120</v>
      </c>
      <c r="I1864" s="7" t="s">
        <v>58</v>
      </c>
      <c r="J1864" s="7" t="s">
        <v>63</v>
      </c>
      <c r="K1864" s="7" t="n">
        <v>10</v>
      </c>
      <c r="L1864" s="7" t="n">
        <v>2</v>
      </c>
      <c r="M1864" s="7" t="n">
        <v>1</v>
      </c>
      <c r="N1864" s="7" t="s">
        <v>42</v>
      </c>
      <c r="O1864" s="7" t="s">
        <v>43</v>
      </c>
      <c r="P1864" s="7" t="n">
        <v>13.3</v>
      </c>
      <c r="Q1864" s="7" t="n">
        <v>26</v>
      </c>
      <c r="R1864" s="7" t="s">
        <v>53</v>
      </c>
      <c r="S1864" s="7"/>
      <c r="T1864" s="7"/>
      <c r="U1864" s="7" t="str">
        <f aca="false">IF(COUNTIF($A$2:$A$5001,A1864)&gt;1,"Duplicate","Unique")</f>
        <v>Unique</v>
      </c>
      <c r="V1864" s="7" t="str">
        <f aca="false">IF(COUNTIFS($B$2:$B$5001,B1864,$H$2:$H$5001,H1864,$J$2:$J$5001,J1864)&gt;1,"Possible Duplicate Booking","Unique")</f>
        <v>Unique</v>
      </c>
      <c r="W1864" s="7" t="str">
        <f aca="false">IF((H1864-G1864)&lt;&gt;K1864,"Mismatch","OK")</f>
        <v>OK</v>
      </c>
      <c r="X1864" s="7" t="str">
        <f aca="false">IF(TEXT(H1864,"dddd")&lt;&gt;I1864,"Mismatch","OK")</f>
        <v>OK</v>
      </c>
      <c r="Y1864" s="7" t="str">
        <f aca="false">IF(AND(N1864="No",O1864&lt;&gt;""),"Unexpected: channel present but no reminder sent",IF(AND(N1864="Yes",O1864=""),"Missing channel for sent reminder","OK"))</f>
        <v>OK</v>
      </c>
    </row>
    <row r="1865" customFormat="false" ht="15" hidden="false" customHeight="false" outlineLevel="0" collapsed="false">
      <c r="A1865" s="9" t="s">
        <v>3097</v>
      </c>
      <c r="B1865" s="9" t="s">
        <v>2857</v>
      </c>
      <c r="C1865" s="9" t="s">
        <v>37</v>
      </c>
      <c r="D1865" s="9" t="n">
        <v>33</v>
      </c>
      <c r="E1865" s="9" t="s">
        <v>48</v>
      </c>
      <c r="F1865" s="9" t="s">
        <v>39</v>
      </c>
      <c r="G1865" s="10" t="n">
        <v>45826</v>
      </c>
      <c r="H1865" s="10" t="n">
        <v>45860</v>
      </c>
      <c r="I1865" s="9" t="s">
        <v>40</v>
      </c>
      <c r="J1865" s="9" t="s">
        <v>41</v>
      </c>
      <c r="K1865" s="9" t="n">
        <v>34</v>
      </c>
      <c r="L1865" s="9" t="n">
        <v>1</v>
      </c>
      <c r="M1865" s="9" t="n">
        <v>0</v>
      </c>
      <c r="N1865" s="9" t="s">
        <v>42</v>
      </c>
      <c r="O1865" s="9" t="s">
        <v>52</v>
      </c>
      <c r="P1865" s="9" t="n">
        <v>10.2</v>
      </c>
      <c r="Q1865" s="9" t="n">
        <v>16</v>
      </c>
      <c r="R1865" s="9" t="s">
        <v>44</v>
      </c>
      <c r="S1865" s="9"/>
      <c r="T1865" s="9"/>
      <c r="U1865" s="9" t="str">
        <f aca="false">IF(COUNTIF($A$2:$A$5001,A1865)&gt;1,"Duplicate","Unique")</f>
        <v>Unique</v>
      </c>
      <c r="V1865" s="9" t="str">
        <f aca="false">IF(COUNTIFS($B$2:$B$5001,B1865,$H$2:$H$5001,H1865,$J$2:$J$5001,J1865)&gt;1,"Possible Duplicate Booking","Unique")</f>
        <v>Unique</v>
      </c>
      <c r="W1865" s="9" t="str">
        <f aca="false">IF((H1865-G1865)&lt;&gt;K1865,"Mismatch","OK")</f>
        <v>OK</v>
      </c>
      <c r="X1865" s="9" t="str">
        <f aca="false">IF(TEXT(H1865,"dddd")&lt;&gt;I1865,"Mismatch","OK")</f>
        <v>OK</v>
      </c>
      <c r="Y1865" s="9" t="str">
        <f aca="false">IF(AND(N1865="No",O1865&lt;&gt;""),"Unexpected: channel present but no reminder sent",IF(AND(N1865="Yes",O1865=""),"Missing channel for sent reminder","OK"))</f>
        <v>OK</v>
      </c>
    </row>
    <row r="1866" customFormat="false" ht="15" hidden="false" customHeight="false" outlineLevel="0" collapsed="false">
      <c r="A1866" s="7" t="s">
        <v>3098</v>
      </c>
      <c r="B1866" s="7" t="s">
        <v>886</v>
      </c>
      <c r="C1866" s="7" t="s">
        <v>37</v>
      </c>
      <c r="D1866" s="7" t="n">
        <v>71</v>
      </c>
      <c r="E1866" s="7" t="s">
        <v>70</v>
      </c>
      <c r="F1866" s="7" t="s">
        <v>49</v>
      </c>
      <c r="G1866" s="8" t="n">
        <v>46060</v>
      </c>
      <c r="H1866" s="8" t="n">
        <v>46114</v>
      </c>
      <c r="I1866" s="7" t="s">
        <v>62</v>
      </c>
      <c r="J1866" s="7" t="s">
        <v>51</v>
      </c>
      <c r="K1866" s="7" t="n">
        <v>54</v>
      </c>
      <c r="L1866" s="7" t="n">
        <v>4</v>
      </c>
      <c r="M1866" s="7" t="n">
        <v>0</v>
      </c>
      <c r="N1866" s="7" t="s">
        <v>42</v>
      </c>
      <c r="O1866" s="7" t="s">
        <v>43</v>
      </c>
      <c r="P1866" s="7" t="n">
        <v>7.6</v>
      </c>
      <c r="Q1866" s="7" t="n">
        <v>21</v>
      </c>
      <c r="R1866" s="7" t="s">
        <v>53</v>
      </c>
      <c r="S1866" s="7"/>
      <c r="T1866" s="7"/>
      <c r="U1866" s="7" t="str">
        <f aca="false">IF(COUNTIF($A$2:$A$5001,A1866)&gt;1,"Duplicate","Unique")</f>
        <v>Unique</v>
      </c>
      <c r="V1866" s="7" t="str">
        <f aca="false">IF(COUNTIFS($B$2:$B$5001,B1866,$H$2:$H$5001,H1866,$J$2:$J$5001,J1866)&gt;1,"Possible Duplicate Booking","Unique")</f>
        <v>Unique</v>
      </c>
      <c r="W1866" s="7" t="str">
        <f aca="false">IF((H1866-G1866)&lt;&gt;K1866,"Mismatch","OK")</f>
        <v>OK</v>
      </c>
      <c r="X1866" s="7" t="str">
        <f aca="false">IF(TEXT(H1866,"dddd")&lt;&gt;I1866,"Mismatch","OK")</f>
        <v>OK</v>
      </c>
      <c r="Y1866" s="7" t="str">
        <f aca="false">IF(AND(N1866="No",O1866&lt;&gt;""),"Unexpected: channel present but no reminder sent",IF(AND(N1866="Yes",O1866=""),"Missing channel for sent reminder","OK"))</f>
        <v>OK</v>
      </c>
    </row>
    <row r="1867" customFormat="false" ht="15" hidden="false" customHeight="false" outlineLevel="0" collapsed="false">
      <c r="A1867" s="9" t="s">
        <v>3099</v>
      </c>
      <c r="B1867" s="9" t="s">
        <v>3100</v>
      </c>
      <c r="C1867" s="9" t="s">
        <v>47</v>
      </c>
      <c r="D1867" s="9" t="n">
        <v>37</v>
      </c>
      <c r="E1867" s="9" t="s">
        <v>38</v>
      </c>
      <c r="F1867" s="9" t="s">
        <v>57</v>
      </c>
      <c r="G1867" s="10" t="n">
        <v>45819</v>
      </c>
      <c r="H1867" s="10" t="n">
        <v>45879</v>
      </c>
      <c r="I1867" s="9" t="s">
        <v>75</v>
      </c>
      <c r="J1867" s="9" t="s">
        <v>41</v>
      </c>
      <c r="K1867" s="9" t="n">
        <v>60</v>
      </c>
      <c r="L1867" s="9" t="n">
        <v>3</v>
      </c>
      <c r="M1867" s="9" t="n">
        <v>0</v>
      </c>
      <c r="N1867" s="9" t="s">
        <v>42</v>
      </c>
      <c r="O1867" s="9" t="s">
        <v>52</v>
      </c>
      <c r="P1867" s="9" t="n">
        <v>8.1</v>
      </c>
      <c r="Q1867" s="9" t="n">
        <v>2</v>
      </c>
      <c r="R1867" s="9" t="s">
        <v>53</v>
      </c>
      <c r="S1867" s="9"/>
      <c r="T1867" s="9"/>
      <c r="U1867" s="9" t="str">
        <f aca="false">IF(COUNTIF($A$2:$A$5001,A1867)&gt;1,"Duplicate","Unique")</f>
        <v>Unique</v>
      </c>
      <c r="V1867" s="9" t="str">
        <f aca="false">IF(COUNTIFS($B$2:$B$5001,B1867,$H$2:$H$5001,H1867,$J$2:$J$5001,J1867)&gt;1,"Possible Duplicate Booking","Unique")</f>
        <v>Unique</v>
      </c>
      <c r="W1867" s="9" t="str">
        <f aca="false">IF((H1867-G1867)&lt;&gt;K1867,"Mismatch","OK")</f>
        <v>OK</v>
      </c>
      <c r="X1867" s="9" t="str">
        <f aca="false">IF(TEXT(H1867,"dddd")&lt;&gt;I1867,"Mismatch","OK")</f>
        <v>OK</v>
      </c>
      <c r="Y1867" s="9" t="str">
        <f aca="false">IF(AND(N1867="No",O1867&lt;&gt;""),"Unexpected: channel present but no reminder sent",IF(AND(N1867="Yes",O1867=""),"Missing channel for sent reminder","OK"))</f>
        <v>OK</v>
      </c>
    </row>
    <row r="1868" customFormat="false" ht="15" hidden="false" customHeight="false" outlineLevel="0" collapsed="false">
      <c r="A1868" s="7" t="s">
        <v>3101</v>
      </c>
      <c r="B1868" s="7" t="s">
        <v>1558</v>
      </c>
      <c r="C1868" s="7" t="s">
        <v>37</v>
      </c>
      <c r="D1868" s="7" t="n">
        <v>55</v>
      </c>
      <c r="E1868" s="7" t="s">
        <v>61</v>
      </c>
      <c r="F1868" s="7" t="s">
        <v>49</v>
      </c>
      <c r="G1868" s="8" t="n">
        <v>45691</v>
      </c>
      <c r="H1868" s="8" t="n">
        <v>45718</v>
      </c>
      <c r="I1868" s="7" t="s">
        <v>75</v>
      </c>
      <c r="J1868" s="7" t="s">
        <v>63</v>
      </c>
      <c r="K1868" s="7" t="n">
        <v>27</v>
      </c>
      <c r="L1868" s="7" t="n">
        <v>2</v>
      </c>
      <c r="M1868" s="7" t="n">
        <v>2</v>
      </c>
      <c r="N1868" s="7" t="s">
        <v>42</v>
      </c>
      <c r="O1868" s="7" t="s">
        <v>43</v>
      </c>
      <c r="P1868" s="7" t="n">
        <v>33.1</v>
      </c>
      <c r="Q1868" s="7" t="n">
        <v>23</v>
      </c>
      <c r="R1868" s="7" t="s">
        <v>44</v>
      </c>
      <c r="S1868" s="7"/>
      <c r="T1868" s="7"/>
      <c r="U1868" s="7" t="str">
        <f aca="false">IF(COUNTIF($A$2:$A$5001,A1868)&gt;1,"Duplicate","Unique")</f>
        <v>Unique</v>
      </c>
      <c r="V1868" s="7" t="str">
        <f aca="false">IF(COUNTIFS($B$2:$B$5001,B1868,$H$2:$H$5001,H1868,$J$2:$J$5001,J1868)&gt;1,"Possible Duplicate Booking","Unique")</f>
        <v>Unique</v>
      </c>
      <c r="W1868" s="7" t="str">
        <f aca="false">IF((H1868-G1868)&lt;&gt;K1868,"Mismatch","OK")</f>
        <v>OK</v>
      </c>
      <c r="X1868" s="7" t="str">
        <f aca="false">IF(TEXT(H1868,"dddd")&lt;&gt;I1868,"Mismatch","OK")</f>
        <v>OK</v>
      </c>
      <c r="Y1868" s="7" t="str">
        <f aca="false">IF(AND(N1868="No",O1868&lt;&gt;""),"Unexpected: channel present but no reminder sent",IF(AND(N1868="Yes",O1868=""),"Missing channel for sent reminder","OK"))</f>
        <v>OK</v>
      </c>
    </row>
    <row r="1869" customFormat="false" ht="15" hidden="false" customHeight="false" outlineLevel="0" collapsed="false">
      <c r="A1869" s="9" t="s">
        <v>3102</v>
      </c>
      <c r="B1869" s="9" t="s">
        <v>292</v>
      </c>
      <c r="C1869" s="9" t="s">
        <v>47</v>
      </c>
      <c r="D1869" s="9" t="n">
        <v>33</v>
      </c>
      <c r="E1869" s="9" t="s">
        <v>48</v>
      </c>
      <c r="F1869" s="9" t="s">
        <v>49</v>
      </c>
      <c r="G1869" s="10" t="n">
        <v>46057</v>
      </c>
      <c r="H1869" s="10" t="n">
        <v>46072</v>
      </c>
      <c r="I1869" s="9" t="s">
        <v>62</v>
      </c>
      <c r="J1869" s="9" t="s">
        <v>63</v>
      </c>
      <c r="K1869" s="9" t="n">
        <v>15</v>
      </c>
      <c r="L1869" s="9" t="n">
        <v>2</v>
      </c>
      <c r="M1869" s="9" t="n">
        <v>0</v>
      </c>
      <c r="N1869" s="9" t="s">
        <v>42</v>
      </c>
      <c r="O1869" s="9" t="s">
        <v>43</v>
      </c>
      <c r="P1869" s="9" t="n">
        <v>18.8</v>
      </c>
      <c r="Q1869" s="9" t="n">
        <v>25</v>
      </c>
      <c r="R1869" s="9" t="s">
        <v>53</v>
      </c>
      <c r="S1869" s="9"/>
      <c r="T1869" s="9"/>
      <c r="U1869" s="9" t="str">
        <f aca="false">IF(COUNTIF($A$2:$A$5001,A1869)&gt;1,"Duplicate","Unique")</f>
        <v>Unique</v>
      </c>
      <c r="V1869" s="9" t="str">
        <f aca="false">IF(COUNTIFS($B$2:$B$5001,B1869,$H$2:$H$5001,H1869,$J$2:$J$5001,J1869)&gt;1,"Possible Duplicate Booking","Unique")</f>
        <v>Unique</v>
      </c>
      <c r="W1869" s="9" t="str">
        <f aca="false">IF((H1869-G1869)&lt;&gt;K1869,"Mismatch","OK")</f>
        <v>OK</v>
      </c>
      <c r="X1869" s="9" t="str">
        <f aca="false">IF(TEXT(H1869,"dddd")&lt;&gt;I1869,"Mismatch","OK")</f>
        <v>OK</v>
      </c>
      <c r="Y1869" s="9" t="str">
        <f aca="false">IF(AND(N1869="No",O1869&lt;&gt;""),"Unexpected: channel present but no reminder sent",IF(AND(N1869="Yes",O1869=""),"Missing channel for sent reminder","OK"))</f>
        <v>OK</v>
      </c>
    </row>
    <row r="1870" customFormat="false" ht="15" hidden="false" customHeight="false" outlineLevel="0" collapsed="false">
      <c r="A1870" s="7" t="s">
        <v>3103</v>
      </c>
      <c r="B1870" s="7" t="s">
        <v>2033</v>
      </c>
      <c r="C1870" s="7" t="s">
        <v>47</v>
      </c>
      <c r="D1870" s="7" t="n">
        <v>23</v>
      </c>
      <c r="E1870" s="7" t="s">
        <v>82</v>
      </c>
      <c r="F1870" s="7" t="s">
        <v>49</v>
      </c>
      <c r="G1870" s="8" t="n">
        <v>45629</v>
      </c>
      <c r="H1870" s="8" t="n">
        <v>45674</v>
      </c>
      <c r="I1870" s="7" t="s">
        <v>50</v>
      </c>
      <c r="J1870" s="7" t="s">
        <v>63</v>
      </c>
      <c r="K1870" s="7" t="n">
        <v>45</v>
      </c>
      <c r="L1870" s="7" t="n">
        <v>0</v>
      </c>
      <c r="M1870" s="7" t="n">
        <v>0</v>
      </c>
      <c r="N1870" s="7" t="s">
        <v>71</v>
      </c>
      <c r="O1870" s="7"/>
      <c r="P1870" s="7" t="n">
        <v>2.2</v>
      </c>
      <c r="Q1870" s="7" t="n">
        <v>18</v>
      </c>
      <c r="R1870" s="7" t="s">
        <v>53</v>
      </c>
      <c r="S1870" s="7"/>
      <c r="T1870" s="7"/>
      <c r="U1870" s="7" t="str">
        <f aca="false">IF(COUNTIF($A$2:$A$5001,A1870)&gt;1,"Duplicate","Unique")</f>
        <v>Unique</v>
      </c>
      <c r="V1870" s="7" t="str">
        <f aca="false">IF(COUNTIFS($B$2:$B$5001,B1870,$H$2:$H$5001,H1870,$J$2:$J$5001,J1870)&gt;1,"Possible Duplicate Booking","Unique")</f>
        <v>Unique</v>
      </c>
      <c r="W1870" s="7" t="str">
        <f aca="false">IF((H1870-G1870)&lt;&gt;K1870,"Mismatch","OK")</f>
        <v>OK</v>
      </c>
      <c r="X1870" s="7" t="str">
        <f aca="false">IF(TEXT(H1870,"dddd")&lt;&gt;I1870,"Mismatch","OK")</f>
        <v>OK</v>
      </c>
      <c r="Y1870" s="7" t="str">
        <f aca="false">IF(AND(N1870="No",O1870&lt;&gt;""),"Unexpected: channel present but no reminder sent",IF(AND(N1870="Yes",O1870=""),"Missing channel for sent reminder","OK"))</f>
        <v>OK</v>
      </c>
    </row>
    <row r="1871" customFormat="false" ht="15" hidden="false" customHeight="false" outlineLevel="0" collapsed="false">
      <c r="A1871" s="9" t="s">
        <v>3104</v>
      </c>
      <c r="B1871" s="9" t="s">
        <v>1505</v>
      </c>
      <c r="C1871" s="9" t="s">
        <v>47</v>
      </c>
      <c r="D1871" s="9" t="n">
        <v>34</v>
      </c>
      <c r="E1871" s="9" t="s">
        <v>48</v>
      </c>
      <c r="F1871" s="9" t="s">
        <v>49</v>
      </c>
      <c r="G1871" s="10" t="n">
        <v>46075</v>
      </c>
      <c r="H1871" s="10" t="n">
        <v>46079</v>
      </c>
      <c r="I1871" s="9" t="s">
        <v>62</v>
      </c>
      <c r="J1871" s="9" t="s">
        <v>63</v>
      </c>
      <c r="K1871" s="9" t="n">
        <v>4</v>
      </c>
      <c r="L1871" s="9" t="n">
        <v>2</v>
      </c>
      <c r="M1871" s="9" t="n">
        <v>1</v>
      </c>
      <c r="N1871" s="9" t="s">
        <v>42</v>
      </c>
      <c r="O1871" s="9" t="s">
        <v>52</v>
      </c>
      <c r="P1871" s="9" t="n">
        <v>7.6</v>
      </c>
      <c r="Q1871" s="9" t="n">
        <v>23</v>
      </c>
      <c r="R1871" s="9" t="s">
        <v>44</v>
      </c>
      <c r="S1871" s="9"/>
      <c r="T1871" s="9"/>
      <c r="U1871" s="9" t="str">
        <f aca="false">IF(COUNTIF($A$2:$A$5001,A1871)&gt;1,"Duplicate","Unique")</f>
        <v>Unique</v>
      </c>
      <c r="V1871" s="9" t="str">
        <f aca="false">IF(COUNTIFS($B$2:$B$5001,B1871,$H$2:$H$5001,H1871,$J$2:$J$5001,J1871)&gt;1,"Possible Duplicate Booking","Unique")</f>
        <v>Unique</v>
      </c>
      <c r="W1871" s="9" t="str">
        <f aca="false">IF((H1871-G1871)&lt;&gt;K1871,"Mismatch","OK")</f>
        <v>OK</v>
      </c>
      <c r="X1871" s="9" t="str">
        <f aca="false">IF(TEXT(H1871,"dddd")&lt;&gt;I1871,"Mismatch","OK")</f>
        <v>OK</v>
      </c>
      <c r="Y1871" s="9" t="str">
        <f aca="false">IF(AND(N1871="No",O1871&lt;&gt;""),"Unexpected: channel present but no reminder sent",IF(AND(N1871="Yes",O1871=""),"Missing channel for sent reminder","OK"))</f>
        <v>OK</v>
      </c>
    </row>
    <row r="1872" customFormat="false" ht="15" hidden="false" customHeight="false" outlineLevel="0" collapsed="false">
      <c r="A1872" s="7" t="s">
        <v>3105</v>
      </c>
      <c r="B1872" s="7" t="s">
        <v>3106</v>
      </c>
      <c r="C1872" s="7" t="s">
        <v>47</v>
      </c>
      <c r="D1872" s="7" t="n">
        <v>32</v>
      </c>
      <c r="E1872" s="7" t="s">
        <v>48</v>
      </c>
      <c r="F1872" s="7" t="s">
        <v>74</v>
      </c>
      <c r="G1872" s="8" t="n">
        <v>45672</v>
      </c>
      <c r="H1872" s="8" t="n">
        <v>45681</v>
      </c>
      <c r="I1872" s="7" t="s">
        <v>50</v>
      </c>
      <c r="J1872" s="7" t="s">
        <v>41</v>
      </c>
      <c r="K1872" s="7" t="n">
        <v>9</v>
      </c>
      <c r="L1872" s="7" t="n">
        <v>3</v>
      </c>
      <c r="M1872" s="7" t="n">
        <v>1</v>
      </c>
      <c r="N1872" s="7" t="s">
        <v>42</v>
      </c>
      <c r="O1872" s="7" t="s">
        <v>43</v>
      </c>
      <c r="P1872" s="7" t="n">
        <v>16.7</v>
      </c>
      <c r="Q1872" s="7" t="n">
        <v>12</v>
      </c>
      <c r="R1872" s="7" t="s">
        <v>53</v>
      </c>
      <c r="S1872" s="7"/>
      <c r="T1872" s="7"/>
      <c r="U1872" s="7" t="str">
        <f aca="false">IF(COUNTIF($A$2:$A$5001,A1872)&gt;1,"Duplicate","Unique")</f>
        <v>Unique</v>
      </c>
      <c r="V1872" s="7" t="str">
        <f aca="false">IF(COUNTIFS($B$2:$B$5001,B1872,$H$2:$H$5001,H1872,$J$2:$J$5001,J1872)&gt;1,"Possible Duplicate Booking","Unique")</f>
        <v>Unique</v>
      </c>
      <c r="W1872" s="7" t="str">
        <f aca="false">IF((H1872-G1872)&lt;&gt;K1872,"Mismatch","OK")</f>
        <v>OK</v>
      </c>
      <c r="X1872" s="7" t="str">
        <f aca="false">IF(TEXT(H1872,"dddd")&lt;&gt;I1872,"Mismatch","OK")</f>
        <v>OK</v>
      </c>
      <c r="Y1872" s="7" t="str">
        <f aca="false">IF(AND(N1872="No",O1872&lt;&gt;""),"Unexpected: channel present but no reminder sent",IF(AND(N1872="Yes",O1872=""),"Missing channel for sent reminder","OK"))</f>
        <v>OK</v>
      </c>
    </row>
    <row r="1873" customFormat="false" ht="15" hidden="false" customHeight="false" outlineLevel="0" collapsed="false">
      <c r="A1873" s="9" t="s">
        <v>3107</v>
      </c>
      <c r="B1873" s="9" t="s">
        <v>909</v>
      </c>
      <c r="C1873" s="9" t="s">
        <v>47</v>
      </c>
      <c r="D1873" s="9" t="n">
        <v>52</v>
      </c>
      <c r="E1873" s="9" t="s">
        <v>56</v>
      </c>
      <c r="F1873" s="9" t="s">
        <v>57</v>
      </c>
      <c r="G1873" s="10" t="n">
        <v>45736</v>
      </c>
      <c r="H1873" s="10" t="n">
        <v>45770</v>
      </c>
      <c r="I1873" s="9" t="s">
        <v>58</v>
      </c>
      <c r="J1873" s="9" t="s">
        <v>51</v>
      </c>
      <c r="K1873" s="9" t="n">
        <v>34</v>
      </c>
      <c r="L1873" s="9" t="n">
        <v>5</v>
      </c>
      <c r="M1873" s="9" t="n">
        <v>0</v>
      </c>
      <c r="N1873" s="9" t="s">
        <v>42</v>
      </c>
      <c r="O1873" s="9" t="s">
        <v>52</v>
      </c>
      <c r="P1873" s="9" t="n">
        <v>19.1</v>
      </c>
      <c r="Q1873" s="9" t="n">
        <v>33</v>
      </c>
      <c r="R1873" s="9" t="s">
        <v>53</v>
      </c>
      <c r="S1873" s="9"/>
      <c r="T1873" s="9"/>
      <c r="U1873" s="9" t="str">
        <f aca="false">IF(COUNTIF($A$2:$A$5001,A1873)&gt;1,"Duplicate","Unique")</f>
        <v>Unique</v>
      </c>
      <c r="V1873" s="9" t="str">
        <f aca="false">IF(COUNTIFS($B$2:$B$5001,B1873,$H$2:$H$5001,H1873,$J$2:$J$5001,J1873)&gt;1,"Possible Duplicate Booking","Unique")</f>
        <v>Unique</v>
      </c>
      <c r="W1873" s="9" t="str">
        <f aca="false">IF((H1873-G1873)&lt;&gt;K1873,"Mismatch","OK")</f>
        <v>OK</v>
      </c>
      <c r="X1873" s="9" t="str">
        <f aca="false">IF(TEXT(H1873,"dddd")&lt;&gt;I1873,"Mismatch","OK")</f>
        <v>OK</v>
      </c>
      <c r="Y1873" s="9" t="str">
        <f aca="false">IF(AND(N1873="No",O1873&lt;&gt;""),"Unexpected: channel present but no reminder sent",IF(AND(N1873="Yes",O1873=""),"Missing channel for sent reminder","OK"))</f>
        <v>OK</v>
      </c>
    </row>
    <row r="1874" customFormat="false" ht="15" hidden="false" customHeight="false" outlineLevel="0" collapsed="false">
      <c r="A1874" s="7" t="s">
        <v>3108</v>
      </c>
      <c r="B1874" s="7" t="s">
        <v>3109</v>
      </c>
      <c r="C1874" s="7" t="s">
        <v>47</v>
      </c>
      <c r="D1874" s="7" t="n">
        <v>19</v>
      </c>
      <c r="E1874" s="7" t="s">
        <v>82</v>
      </c>
      <c r="F1874" s="7" t="s">
        <v>39</v>
      </c>
      <c r="G1874" s="8" t="n">
        <v>45927</v>
      </c>
      <c r="H1874" s="8" t="n">
        <v>45987</v>
      </c>
      <c r="I1874" s="7" t="s">
        <v>58</v>
      </c>
      <c r="J1874" s="7" t="s">
        <v>63</v>
      </c>
      <c r="K1874" s="7" t="n">
        <v>60</v>
      </c>
      <c r="L1874" s="7" t="n">
        <v>6</v>
      </c>
      <c r="M1874" s="7" t="n">
        <v>1</v>
      </c>
      <c r="N1874" s="7" t="s">
        <v>71</v>
      </c>
      <c r="O1874" s="7"/>
      <c r="P1874" s="7" t="n">
        <v>10.8</v>
      </c>
      <c r="Q1874" s="7" t="n">
        <v>24</v>
      </c>
      <c r="R1874" s="7" t="s">
        <v>44</v>
      </c>
      <c r="S1874" s="7"/>
      <c r="T1874" s="7"/>
      <c r="U1874" s="7" t="str">
        <f aca="false">IF(COUNTIF($A$2:$A$5001,A1874)&gt;1,"Duplicate","Unique")</f>
        <v>Unique</v>
      </c>
      <c r="V1874" s="7" t="str">
        <f aca="false">IF(COUNTIFS($B$2:$B$5001,B1874,$H$2:$H$5001,H1874,$J$2:$J$5001,J1874)&gt;1,"Possible Duplicate Booking","Unique")</f>
        <v>Unique</v>
      </c>
      <c r="W1874" s="7" t="str">
        <f aca="false">IF((H1874-G1874)&lt;&gt;K1874,"Mismatch","OK")</f>
        <v>OK</v>
      </c>
      <c r="X1874" s="7" t="str">
        <f aca="false">IF(TEXT(H1874,"dddd")&lt;&gt;I1874,"Mismatch","OK")</f>
        <v>OK</v>
      </c>
      <c r="Y1874" s="7" t="str">
        <f aca="false">IF(AND(N1874="No",O1874&lt;&gt;""),"Unexpected: channel present but no reminder sent",IF(AND(N1874="Yes",O1874=""),"Missing channel for sent reminder","OK"))</f>
        <v>OK</v>
      </c>
    </row>
    <row r="1875" customFormat="false" ht="15" hidden="false" customHeight="false" outlineLevel="0" collapsed="false">
      <c r="A1875" s="9" t="s">
        <v>3110</v>
      </c>
      <c r="B1875" s="9" t="s">
        <v>3111</v>
      </c>
      <c r="C1875" s="9" t="s">
        <v>47</v>
      </c>
      <c r="D1875" s="9" t="n">
        <v>33</v>
      </c>
      <c r="E1875" s="9" t="s">
        <v>48</v>
      </c>
      <c r="F1875" s="9" t="s">
        <v>74</v>
      </c>
      <c r="G1875" s="10" t="n">
        <v>46152</v>
      </c>
      <c r="H1875" s="10" t="n">
        <v>46172</v>
      </c>
      <c r="I1875" s="9" t="s">
        <v>102</v>
      </c>
      <c r="J1875" s="9" t="s">
        <v>51</v>
      </c>
      <c r="K1875" s="9" t="n">
        <v>20</v>
      </c>
      <c r="L1875" s="9" t="n">
        <v>3</v>
      </c>
      <c r="M1875" s="9" t="n">
        <v>0</v>
      </c>
      <c r="N1875" s="9" t="s">
        <v>42</v>
      </c>
      <c r="O1875" s="9" t="s">
        <v>52</v>
      </c>
      <c r="P1875" s="9" t="n">
        <v>3.7</v>
      </c>
      <c r="Q1875" s="9" t="n">
        <v>49</v>
      </c>
      <c r="R1875" s="9" t="s">
        <v>53</v>
      </c>
      <c r="S1875" s="9"/>
      <c r="T1875" s="9"/>
      <c r="U1875" s="9" t="str">
        <f aca="false">IF(COUNTIF($A$2:$A$5001,A1875)&gt;1,"Duplicate","Unique")</f>
        <v>Unique</v>
      </c>
      <c r="V1875" s="9" t="str">
        <f aca="false">IF(COUNTIFS($B$2:$B$5001,B1875,$H$2:$H$5001,H1875,$J$2:$J$5001,J1875)&gt;1,"Possible Duplicate Booking","Unique")</f>
        <v>Unique</v>
      </c>
      <c r="W1875" s="9" t="str">
        <f aca="false">IF((H1875-G1875)&lt;&gt;K1875,"Mismatch","OK")</f>
        <v>OK</v>
      </c>
      <c r="X1875" s="9" t="str">
        <f aca="false">IF(TEXT(H1875,"dddd")&lt;&gt;I1875,"Mismatch","OK")</f>
        <v>OK</v>
      </c>
      <c r="Y1875" s="9" t="str">
        <f aca="false">IF(AND(N1875="No",O1875&lt;&gt;""),"Unexpected: channel present but no reminder sent",IF(AND(N1875="Yes",O1875=""),"Missing channel for sent reminder","OK"))</f>
        <v>OK</v>
      </c>
    </row>
    <row r="1876" customFormat="false" ht="15" hidden="false" customHeight="false" outlineLevel="0" collapsed="false">
      <c r="A1876" s="7" t="s">
        <v>3112</v>
      </c>
      <c r="B1876" s="7" t="s">
        <v>116</v>
      </c>
      <c r="C1876" s="7" t="s">
        <v>37</v>
      </c>
      <c r="D1876" s="7" t="n">
        <v>53</v>
      </c>
      <c r="E1876" s="7" t="s">
        <v>56</v>
      </c>
      <c r="F1876" s="7" t="s">
        <v>39</v>
      </c>
      <c r="G1876" s="8" t="n">
        <v>45854</v>
      </c>
      <c r="H1876" s="8" t="n">
        <v>45881</v>
      </c>
      <c r="I1876" s="7" t="s">
        <v>40</v>
      </c>
      <c r="J1876" s="7" t="s">
        <v>51</v>
      </c>
      <c r="K1876" s="7" t="n">
        <v>27</v>
      </c>
      <c r="L1876" s="7" t="n">
        <v>1</v>
      </c>
      <c r="M1876" s="7" t="n">
        <v>0</v>
      </c>
      <c r="N1876" s="7" t="s">
        <v>42</v>
      </c>
      <c r="O1876" s="7" t="s">
        <v>52</v>
      </c>
      <c r="P1876" s="7" t="n">
        <v>3.4</v>
      </c>
      <c r="Q1876" s="7" t="n">
        <v>27</v>
      </c>
      <c r="R1876" s="7" t="s">
        <v>53</v>
      </c>
      <c r="S1876" s="7"/>
      <c r="T1876" s="7"/>
      <c r="U1876" s="7" t="str">
        <f aca="false">IF(COUNTIF($A$2:$A$5001,A1876)&gt;1,"Duplicate","Unique")</f>
        <v>Unique</v>
      </c>
      <c r="V1876" s="7" t="str">
        <f aca="false">IF(COUNTIFS($B$2:$B$5001,B1876,$H$2:$H$5001,H1876,$J$2:$J$5001,J1876)&gt;1,"Possible Duplicate Booking","Unique")</f>
        <v>Unique</v>
      </c>
      <c r="W1876" s="7" t="str">
        <f aca="false">IF((H1876-G1876)&lt;&gt;K1876,"Mismatch","OK")</f>
        <v>OK</v>
      </c>
      <c r="X1876" s="7" t="str">
        <f aca="false">IF(TEXT(H1876,"dddd")&lt;&gt;I1876,"Mismatch","OK")</f>
        <v>OK</v>
      </c>
      <c r="Y1876" s="7" t="str">
        <f aca="false">IF(AND(N1876="No",O1876&lt;&gt;""),"Unexpected: channel present but no reminder sent",IF(AND(N1876="Yes",O1876=""),"Missing channel for sent reminder","OK"))</f>
        <v>OK</v>
      </c>
    </row>
    <row r="1877" customFormat="false" ht="15" hidden="false" customHeight="false" outlineLevel="0" collapsed="false">
      <c r="A1877" s="9" t="s">
        <v>3113</v>
      </c>
      <c r="B1877" s="9" t="s">
        <v>1883</v>
      </c>
      <c r="C1877" s="9" t="s">
        <v>37</v>
      </c>
      <c r="D1877" s="9" t="n">
        <v>42</v>
      </c>
      <c r="E1877" s="9" t="s">
        <v>38</v>
      </c>
      <c r="F1877" s="9" t="s">
        <v>57</v>
      </c>
      <c r="G1877" s="10" t="n">
        <v>45704</v>
      </c>
      <c r="H1877" s="10" t="n">
        <v>45723</v>
      </c>
      <c r="I1877" s="9" t="s">
        <v>50</v>
      </c>
      <c r="J1877" s="9" t="s">
        <v>51</v>
      </c>
      <c r="K1877" s="9" t="n">
        <v>19</v>
      </c>
      <c r="L1877" s="9" t="n">
        <v>2</v>
      </c>
      <c r="M1877" s="9" t="n">
        <v>0</v>
      </c>
      <c r="N1877" s="9" t="s">
        <v>71</v>
      </c>
      <c r="O1877" s="9"/>
      <c r="P1877" s="9" t="n">
        <v>13.1</v>
      </c>
      <c r="Q1877" s="9" t="n">
        <v>28</v>
      </c>
      <c r="R1877" s="9" t="s">
        <v>53</v>
      </c>
      <c r="S1877" s="9"/>
      <c r="T1877" s="9"/>
      <c r="U1877" s="9" t="str">
        <f aca="false">IF(COUNTIF($A$2:$A$5001,A1877)&gt;1,"Duplicate","Unique")</f>
        <v>Unique</v>
      </c>
      <c r="V1877" s="9" t="str">
        <f aca="false">IF(COUNTIFS($B$2:$B$5001,B1877,$H$2:$H$5001,H1877,$J$2:$J$5001,J1877)&gt;1,"Possible Duplicate Booking","Unique")</f>
        <v>Unique</v>
      </c>
      <c r="W1877" s="9" t="str">
        <f aca="false">IF((H1877-G1877)&lt;&gt;K1877,"Mismatch","OK")</f>
        <v>OK</v>
      </c>
      <c r="X1877" s="9" t="str">
        <f aca="false">IF(TEXT(H1877,"dddd")&lt;&gt;I1877,"Mismatch","OK")</f>
        <v>OK</v>
      </c>
      <c r="Y1877" s="9" t="str">
        <f aca="false">IF(AND(N1877="No",O1877&lt;&gt;""),"Unexpected: channel present but no reminder sent",IF(AND(N1877="Yes",O1877=""),"Missing channel for sent reminder","OK"))</f>
        <v>OK</v>
      </c>
    </row>
    <row r="1878" customFormat="false" ht="15" hidden="false" customHeight="false" outlineLevel="0" collapsed="false">
      <c r="A1878" s="7" t="s">
        <v>3114</v>
      </c>
      <c r="B1878" s="7" t="s">
        <v>3115</v>
      </c>
      <c r="C1878" s="7" t="s">
        <v>37</v>
      </c>
      <c r="D1878" s="7" t="n">
        <v>58</v>
      </c>
      <c r="E1878" s="7" t="s">
        <v>61</v>
      </c>
      <c r="F1878" s="7" t="s">
        <v>74</v>
      </c>
      <c r="G1878" s="8" t="n">
        <v>45759</v>
      </c>
      <c r="H1878" s="8" t="n">
        <v>45785</v>
      </c>
      <c r="I1878" s="7" t="s">
        <v>62</v>
      </c>
      <c r="J1878" s="7" t="s">
        <v>51</v>
      </c>
      <c r="K1878" s="7" t="n">
        <v>26</v>
      </c>
      <c r="L1878" s="7" t="n">
        <v>4</v>
      </c>
      <c r="M1878" s="7" t="n">
        <v>2</v>
      </c>
      <c r="N1878" s="7" t="s">
        <v>42</v>
      </c>
      <c r="O1878" s="7" t="s">
        <v>52</v>
      </c>
      <c r="P1878" s="7" t="n">
        <v>6.5</v>
      </c>
      <c r="Q1878" s="7" t="n">
        <v>19</v>
      </c>
      <c r="R1878" s="7" t="s">
        <v>53</v>
      </c>
      <c r="S1878" s="7"/>
      <c r="T1878" s="7"/>
      <c r="U1878" s="7" t="str">
        <f aca="false">IF(COUNTIF($A$2:$A$5001,A1878)&gt;1,"Duplicate","Unique")</f>
        <v>Unique</v>
      </c>
      <c r="V1878" s="7" t="str">
        <f aca="false">IF(COUNTIFS($B$2:$B$5001,B1878,$H$2:$H$5001,H1878,$J$2:$J$5001,J1878)&gt;1,"Possible Duplicate Booking","Unique")</f>
        <v>Unique</v>
      </c>
      <c r="W1878" s="7" t="str">
        <f aca="false">IF((H1878-G1878)&lt;&gt;K1878,"Mismatch","OK")</f>
        <v>OK</v>
      </c>
      <c r="X1878" s="7" t="str">
        <f aca="false">IF(TEXT(H1878,"dddd")&lt;&gt;I1878,"Mismatch","OK")</f>
        <v>OK</v>
      </c>
      <c r="Y1878" s="7" t="str">
        <f aca="false">IF(AND(N1878="No",O1878&lt;&gt;""),"Unexpected: channel present but no reminder sent",IF(AND(N1878="Yes",O1878=""),"Missing channel for sent reminder","OK"))</f>
        <v>OK</v>
      </c>
    </row>
    <row r="1879" customFormat="false" ht="15" hidden="false" customHeight="false" outlineLevel="0" collapsed="false">
      <c r="A1879" s="9" t="s">
        <v>3116</v>
      </c>
      <c r="B1879" s="9" t="s">
        <v>1821</v>
      </c>
      <c r="C1879" s="9" t="s">
        <v>47</v>
      </c>
      <c r="D1879" s="9" t="n">
        <v>59</v>
      </c>
      <c r="E1879" s="9" t="s">
        <v>61</v>
      </c>
      <c r="F1879" s="9" t="s">
        <v>57</v>
      </c>
      <c r="G1879" s="10" t="n">
        <v>46147</v>
      </c>
      <c r="H1879" s="10" t="n">
        <v>46147</v>
      </c>
      <c r="I1879" s="9" t="s">
        <v>40</v>
      </c>
      <c r="J1879" s="9" t="s">
        <v>41</v>
      </c>
      <c r="K1879" s="9" t="n">
        <v>0</v>
      </c>
      <c r="L1879" s="9" t="n">
        <v>3</v>
      </c>
      <c r="M1879" s="9" t="n">
        <v>1</v>
      </c>
      <c r="N1879" s="9" t="s">
        <v>42</v>
      </c>
      <c r="O1879" s="9" t="s">
        <v>52</v>
      </c>
      <c r="P1879" s="9" t="n">
        <v>4.2</v>
      </c>
      <c r="Q1879" s="9" t="n">
        <v>37</v>
      </c>
      <c r="R1879" s="9" t="s">
        <v>53</v>
      </c>
      <c r="S1879" s="9"/>
      <c r="T1879" s="9"/>
      <c r="U1879" s="9" t="str">
        <f aca="false">IF(COUNTIF($A$2:$A$5001,A1879)&gt;1,"Duplicate","Unique")</f>
        <v>Unique</v>
      </c>
      <c r="V1879" s="9" t="str">
        <f aca="false">IF(COUNTIFS($B$2:$B$5001,B1879,$H$2:$H$5001,H1879,$J$2:$J$5001,J1879)&gt;1,"Possible Duplicate Booking","Unique")</f>
        <v>Unique</v>
      </c>
      <c r="W1879" s="9" t="str">
        <f aca="false">IF((H1879-G1879)&lt;&gt;K1879,"Mismatch","OK")</f>
        <v>OK</v>
      </c>
      <c r="X1879" s="9" t="str">
        <f aca="false">IF(TEXT(H1879,"dddd")&lt;&gt;I1879,"Mismatch","OK")</f>
        <v>OK</v>
      </c>
      <c r="Y1879" s="9" t="str">
        <f aca="false">IF(AND(N1879="No",O1879&lt;&gt;""),"Unexpected: channel present but no reminder sent",IF(AND(N1879="Yes",O1879=""),"Missing channel for sent reminder","OK"))</f>
        <v>OK</v>
      </c>
    </row>
    <row r="1880" customFormat="false" ht="15" hidden="false" customHeight="false" outlineLevel="0" collapsed="false">
      <c r="A1880" s="7" t="s">
        <v>3117</v>
      </c>
      <c r="B1880" s="7" t="s">
        <v>739</v>
      </c>
      <c r="C1880" s="7" t="s">
        <v>47</v>
      </c>
      <c r="D1880" s="7" t="n">
        <v>78</v>
      </c>
      <c r="E1880" s="7" t="s">
        <v>70</v>
      </c>
      <c r="F1880" s="7" t="s">
        <v>57</v>
      </c>
      <c r="G1880" s="8" t="n">
        <v>46018</v>
      </c>
      <c r="H1880" s="8" t="n">
        <v>46054</v>
      </c>
      <c r="I1880" s="7" t="s">
        <v>75</v>
      </c>
      <c r="J1880" s="7" t="s">
        <v>63</v>
      </c>
      <c r="K1880" s="7" t="n">
        <v>36</v>
      </c>
      <c r="L1880" s="7" t="n">
        <v>3</v>
      </c>
      <c r="M1880" s="7" t="n">
        <v>0</v>
      </c>
      <c r="N1880" s="7" t="s">
        <v>42</v>
      </c>
      <c r="O1880" s="7" t="s">
        <v>43</v>
      </c>
      <c r="P1880" s="7" t="n">
        <v>0.9</v>
      </c>
      <c r="Q1880" s="7" t="n">
        <v>19</v>
      </c>
      <c r="R1880" s="7" t="s">
        <v>44</v>
      </c>
      <c r="S1880" s="7"/>
      <c r="T1880" s="7"/>
      <c r="U1880" s="7" t="str">
        <f aca="false">IF(COUNTIF($A$2:$A$5001,A1880)&gt;1,"Duplicate","Unique")</f>
        <v>Unique</v>
      </c>
      <c r="V1880" s="7" t="str">
        <f aca="false">IF(COUNTIFS($B$2:$B$5001,B1880,$H$2:$H$5001,H1880,$J$2:$J$5001,J1880)&gt;1,"Possible Duplicate Booking","Unique")</f>
        <v>Unique</v>
      </c>
      <c r="W1880" s="7" t="str">
        <f aca="false">IF((H1880-G1880)&lt;&gt;K1880,"Mismatch","OK")</f>
        <v>OK</v>
      </c>
      <c r="X1880" s="7" t="str">
        <f aca="false">IF(TEXT(H1880,"dddd")&lt;&gt;I1880,"Mismatch","OK")</f>
        <v>OK</v>
      </c>
      <c r="Y1880" s="7" t="str">
        <f aca="false">IF(AND(N1880="No",O1880&lt;&gt;""),"Unexpected: channel present but no reminder sent",IF(AND(N1880="Yes",O1880=""),"Missing channel for sent reminder","OK"))</f>
        <v>OK</v>
      </c>
    </row>
    <row r="1881" customFormat="false" ht="15" hidden="false" customHeight="false" outlineLevel="0" collapsed="false">
      <c r="A1881" s="9" t="s">
        <v>3118</v>
      </c>
      <c r="B1881" s="9" t="s">
        <v>3119</v>
      </c>
      <c r="C1881" s="9" t="s">
        <v>47</v>
      </c>
      <c r="D1881" s="9" t="n">
        <v>70</v>
      </c>
      <c r="E1881" s="9" t="s">
        <v>70</v>
      </c>
      <c r="F1881" s="9" t="s">
        <v>57</v>
      </c>
      <c r="G1881" s="10" t="n">
        <v>45676</v>
      </c>
      <c r="H1881" s="10" t="n">
        <v>45712</v>
      </c>
      <c r="I1881" s="9" t="s">
        <v>66</v>
      </c>
      <c r="J1881" s="9" t="s">
        <v>41</v>
      </c>
      <c r="K1881" s="9" t="n">
        <v>36</v>
      </c>
      <c r="L1881" s="9" t="n">
        <v>2</v>
      </c>
      <c r="M1881" s="9" t="n">
        <v>0</v>
      </c>
      <c r="N1881" s="9" t="s">
        <v>42</v>
      </c>
      <c r="O1881" s="9" t="s">
        <v>52</v>
      </c>
      <c r="P1881" s="9" t="n">
        <v>2.7</v>
      </c>
      <c r="Q1881" s="9" t="n">
        <v>43</v>
      </c>
      <c r="R1881" s="9" t="s">
        <v>44</v>
      </c>
      <c r="S1881" s="9"/>
      <c r="T1881" s="9"/>
      <c r="U1881" s="9" t="str">
        <f aca="false">IF(COUNTIF($A$2:$A$5001,A1881)&gt;1,"Duplicate","Unique")</f>
        <v>Unique</v>
      </c>
      <c r="V1881" s="9" t="str">
        <f aca="false">IF(COUNTIFS($B$2:$B$5001,B1881,$H$2:$H$5001,H1881,$J$2:$J$5001,J1881)&gt;1,"Possible Duplicate Booking","Unique")</f>
        <v>Unique</v>
      </c>
      <c r="W1881" s="9" t="str">
        <f aca="false">IF((H1881-G1881)&lt;&gt;K1881,"Mismatch","OK")</f>
        <v>OK</v>
      </c>
      <c r="X1881" s="9" t="str">
        <f aca="false">IF(TEXT(H1881,"dddd")&lt;&gt;I1881,"Mismatch","OK")</f>
        <v>OK</v>
      </c>
      <c r="Y1881" s="9" t="str">
        <f aca="false">IF(AND(N1881="No",O1881&lt;&gt;""),"Unexpected: channel present but no reminder sent",IF(AND(N1881="Yes",O1881=""),"Missing channel for sent reminder","OK"))</f>
        <v>OK</v>
      </c>
    </row>
    <row r="1882" customFormat="false" ht="15" hidden="false" customHeight="false" outlineLevel="0" collapsed="false">
      <c r="A1882" s="7" t="s">
        <v>3120</v>
      </c>
      <c r="B1882" s="7" t="s">
        <v>213</v>
      </c>
      <c r="C1882" s="7" t="s">
        <v>37</v>
      </c>
      <c r="D1882" s="7" t="n">
        <v>32</v>
      </c>
      <c r="E1882" s="7" t="s">
        <v>48</v>
      </c>
      <c r="F1882" s="7" t="s">
        <v>39</v>
      </c>
      <c r="G1882" s="8" t="n">
        <v>45849</v>
      </c>
      <c r="H1882" s="8" t="n">
        <v>45868</v>
      </c>
      <c r="I1882" s="7" t="s">
        <v>58</v>
      </c>
      <c r="J1882" s="7" t="s">
        <v>41</v>
      </c>
      <c r="K1882" s="7" t="n">
        <v>19</v>
      </c>
      <c r="L1882" s="7" t="n">
        <v>8</v>
      </c>
      <c r="M1882" s="7" t="n">
        <v>1</v>
      </c>
      <c r="N1882" s="7" t="s">
        <v>42</v>
      </c>
      <c r="O1882" s="7" t="s">
        <v>52</v>
      </c>
      <c r="P1882" s="7" t="n">
        <v>10</v>
      </c>
      <c r="Q1882" s="7" t="n">
        <v>43</v>
      </c>
      <c r="R1882" s="7" t="s">
        <v>44</v>
      </c>
      <c r="S1882" s="7"/>
      <c r="T1882" s="7"/>
      <c r="U1882" s="7" t="str">
        <f aca="false">IF(COUNTIF($A$2:$A$5001,A1882)&gt;1,"Duplicate","Unique")</f>
        <v>Unique</v>
      </c>
      <c r="V1882" s="7" t="str">
        <f aca="false">IF(COUNTIFS($B$2:$B$5001,B1882,$H$2:$H$5001,H1882,$J$2:$J$5001,J1882)&gt;1,"Possible Duplicate Booking","Unique")</f>
        <v>Unique</v>
      </c>
      <c r="W1882" s="7" t="str">
        <f aca="false">IF((H1882-G1882)&lt;&gt;K1882,"Mismatch","OK")</f>
        <v>OK</v>
      </c>
      <c r="X1882" s="7" t="str">
        <f aca="false">IF(TEXT(H1882,"dddd")&lt;&gt;I1882,"Mismatch","OK")</f>
        <v>OK</v>
      </c>
      <c r="Y1882" s="7" t="str">
        <f aca="false">IF(AND(N1882="No",O1882&lt;&gt;""),"Unexpected: channel present but no reminder sent",IF(AND(N1882="Yes",O1882=""),"Missing channel for sent reminder","OK"))</f>
        <v>OK</v>
      </c>
    </row>
    <row r="1883" customFormat="false" ht="15" hidden="false" customHeight="false" outlineLevel="0" collapsed="false">
      <c r="A1883" s="9" t="s">
        <v>3121</v>
      </c>
      <c r="B1883" s="9" t="s">
        <v>1571</v>
      </c>
      <c r="C1883" s="9" t="s">
        <v>47</v>
      </c>
      <c r="D1883" s="9" t="n">
        <v>61</v>
      </c>
      <c r="E1883" s="9" t="s">
        <v>61</v>
      </c>
      <c r="F1883" s="9" t="s">
        <v>57</v>
      </c>
      <c r="G1883" s="10" t="n">
        <v>45786</v>
      </c>
      <c r="H1883" s="10" t="n">
        <v>45802</v>
      </c>
      <c r="I1883" s="9" t="s">
        <v>75</v>
      </c>
      <c r="J1883" s="9" t="s">
        <v>51</v>
      </c>
      <c r="K1883" s="9" t="n">
        <v>16</v>
      </c>
      <c r="L1883" s="9" t="n">
        <v>2</v>
      </c>
      <c r="M1883" s="9" t="n">
        <v>1</v>
      </c>
      <c r="N1883" s="9" t="s">
        <v>42</v>
      </c>
      <c r="O1883" s="9" t="s">
        <v>43</v>
      </c>
      <c r="P1883" s="9" t="n">
        <v>7.2</v>
      </c>
      <c r="Q1883" s="9" t="n">
        <v>18</v>
      </c>
      <c r="R1883" s="9" t="s">
        <v>53</v>
      </c>
      <c r="S1883" s="9"/>
      <c r="T1883" s="9"/>
      <c r="U1883" s="9" t="str">
        <f aca="false">IF(COUNTIF($A$2:$A$5001,A1883)&gt;1,"Duplicate","Unique")</f>
        <v>Unique</v>
      </c>
      <c r="V1883" s="9" t="str">
        <f aca="false">IF(COUNTIFS($B$2:$B$5001,B1883,$H$2:$H$5001,H1883,$J$2:$J$5001,J1883)&gt;1,"Possible Duplicate Booking","Unique")</f>
        <v>Unique</v>
      </c>
      <c r="W1883" s="9" t="str">
        <f aca="false">IF((H1883-G1883)&lt;&gt;K1883,"Mismatch","OK")</f>
        <v>OK</v>
      </c>
      <c r="X1883" s="9" t="str">
        <f aca="false">IF(TEXT(H1883,"dddd")&lt;&gt;I1883,"Mismatch","OK")</f>
        <v>OK</v>
      </c>
      <c r="Y1883" s="9" t="str">
        <f aca="false">IF(AND(N1883="No",O1883&lt;&gt;""),"Unexpected: channel present but no reminder sent",IF(AND(N1883="Yes",O1883=""),"Missing channel for sent reminder","OK"))</f>
        <v>OK</v>
      </c>
    </row>
    <row r="1884" customFormat="false" ht="15" hidden="false" customHeight="false" outlineLevel="0" collapsed="false">
      <c r="A1884" s="7" t="s">
        <v>3122</v>
      </c>
      <c r="B1884" s="7" t="s">
        <v>698</v>
      </c>
      <c r="C1884" s="7" t="s">
        <v>37</v>
      </c>
      <c r="D1884" s="7" t="n">
        <v>57</v>
      </c>
      <c r="E1884" s="7" t="s">
        <v>61</v>
      </c>
      <c r="F1884" s="7" t="s">
        <v>39</v>
      </c>
      <c r="G1884" s="8" t="n">
        <v>45709</v>
      </c>
      <c r="H1884" s="8" t="n">
        <v>45755</v>
      </c>
      <c r="I1884" s="7" t="s">
        <v>40</v>
      </c>
      <c r="J1884" s="7" t="s">
        <v>41</v>
      </c>
      <c r="K1884" s="7" t="n">
        <v>46</v>
      </c>
      <c r="L1884" s="7" t="n">
        <v>5</v>
      </c>
      <c r="M1884" s="7" t="n">
        <v>0</v>
      </c>
      <c r="N1884" s="7" t="s">
        <v>71</v>
      </c>
      <c r="O1884" s="7"/>
      <c r="P1884" s="7" t="n">
        <v>20.3</v>
      </c>
      <c r="Q1884" s="7" t="n">
        <v>21</v>
      </c>
      <c r="R1884" s="7" t="s">
        <v>44</v>
      </c>
      <c r="S1884" s="7"/>
      <c r="T1884" s="7"/>
      <c r="U1884" s="7" t="str">
        <f aca="false">IF(COUNTIF($A$2:$A$5001,A1884)&gt;1,"Duplicate","Unique")</f>
        <v>Unique</v>
      </c>
      <c r="V1884" s="7" t="str">
        <f aca="false">IF(COUNTIFS($B$2:$B$5001,B1884,$H$2:$H$5001,H1884,$J$2:$J$5001,J1884)&gt;1,"Possible Duplicate Booking","Unique")</f>
        <v>Unique</v>
      </c>
      <c r="W1884" s="7" t="str">
        <f aca="false">IF((H1884-G1884)&lt;&gt;K1884,"Mismatch","OK")</f>
        <v>OK</v>
      </c>
      <c r="X1884" s="7" t="str">
        <f aca="false">IF(TEXT(H1884,"dddd")&lt;&gt;I1884,"Mismatch","OK")</f>
        <v>OK</v>
      </c>
      <c r="Y1884" s="7" t="str">
        <f aca="false">IF(AND(N1884="No",O1884&lt;&gt;""),"Unexpected: channel present but no reminder sent",IF(AND(N1884="Yes",O1884=""),"Missing channel for sent reminder","OK"))</f>
        <v>OK</v>
      </c>
    </row>
    <row r="1885" customFormat="false" ht="15" hidden="false" customHeight="false" outlineLevel="0" collapsed="false">
      <c r="A1885" s="9" t="s">
        <v>3123</v>
      </c>
      <c r="B1885" s="9" t="s">
        <v>888</v>
      </c>
      <c r="C1885" s="9" t="s">
        <v>47</v>
      </c>
      <c r="D1885" s="9" t="n">
        <v>55</v>
      </c>
      <c r="E1885" s="9" t="s">
        <v>61</v>
      </c>
      <c r="F1885" s="9" t="s">
        <v>74</v>
      </c>
      <c r="G1885" s="10" t="n">
        <v>46109</v>
      </c>
      <c r="H1885" s="10" t="n">
        <v>46120</v>
      </c>
      <c r="I1885" s="9" t="s">
        <v>58</v>
      </c>
      <c r="J1885" s="9" t="s">
        <v>51</v>
      </c>
      <c r="K1885" s="9" t="n">
        <v>11</v>
      </c>
      <c r="L1885" s="9" t="n">
        <v>1</v>
      </c>
      <c r="M1885" s="9" t="n">
        <v>0</v>
      </c>
      <c r="N1885" s="9" t="s">
        <v>71</v>
      </c>
      <c r="O1885" s="9"/>
      <c r="P1885" s="9" t="n">
        <v>3.2</v>
      </c>
      <c r="Q1885" s="9" t="n">
        <v>16</v>
      </c>
      <c r="R1885" s="9" t="s">
        <v>53</v>
      </c>
      <c r="S1885" s="9"/>
      <c r="T1885" s="9"/>
      <c r="U1885" s="9" t="str">
        <f aca="false">IF(COUNTIF($A$2:$A$5001,A1885)&gt;1,"Duplicate","Unique")</f>
        <v>Unique</v>
      </c>
      <c r="V1885" s="9" t="str">
        <f aca="false">IF(COUNTIFS($B$2:$B$5001,B1885,$H$2:$H$5001,H1885,$J$2:$J$5001,J1885)&gt;1,"Possible Duplicate Booking","Unique")</f>
        <v>Unique</v>
      </c>
      <c r="W1885" s="9" t="str">
        <f aca="false">IF((H1885-G1885)&lt;&gt;K1885,"Mismatch","OK")</f>
        <v>OK</v>
      </c>
      <c r="X1885" s="9" t="str">
        <f aca="false">IF(TEXT(H1885,"dddd")&lt;&gt;I1885,"Mismatch","OK")</f>
        <v>OK</v>
      </c>
      <c r="Y1885" s="9" t="str">
        <f aca="false">IF(AND(N1885="No",O1885&lt;&gt;""),"Unexpected: channel present but no reminder sent",IF(AND(N1885="Yes",O1885=""),"Missing channel for sent reminder","OK"))</f>
        <v>OK</v>
      </c>
    </row>
    <row r="1886" customFormat="false" ht="15" hidden="false" customHeight="false" outlineLevel="0" collapsed="false">
      <c r="A1886" s="7" t="s">
        <v>3124</v>
      </c>
      <c r="B1886" s="7" t="s">
        <v>1459</v>
      </c>
      <c r="C1886" s="7" t="s">
        <v>37</v>
      </c>
      <c r="D1886" s="7" t="n">
        <v>68</v>
      </c>
      <c r="E1886" s="7" t="s">
        <v>70</v>
      </c>
      <c r="F1886" s="7" t="s">
        <v>39</v>
      </c>
      <c r="G1886" s="8" t="n">
        <v>45993</v>
      </c>
      <c r="H1886" s="8" t="n">
        <v>45995</v>
      </c>
      <c r="I1886" s="7" t="s">
        <v>62</v>
      </c>
      <c r="J1886" s="7" t="s">
        <v>51</v>
      </c>
      <c r="K1886" s="7" t="n">
        <v>2</v>
      </c>
      <c r="L1886" s="7" t="n">
        <v>3</v>
      </c>
      <c r="M1886" s="7" t="n">
        <v>1</v>
      </c>
      <c r="N1886" s="7" t="s">
        <v>42</v>
      </c>
      <c r="O1886" s="7" t="s">
        <v>52</v>
      </c>
      <c r="P1886" s="7"/>
      <c r="Q1886" s="7" t="n">
        <v>9</v>
      </c>
      <c r="R1886" s="7" t="s">
        <v>53</v>
      </c>
      <c r="S1886" s="7"/>
      <c r="T1886" s="7"/>
      <c r="U1886" s="7" t="str">
        <f aca="false">IF(COUNTIF($A$2:$A$5001,A1886)&gt;1,"Duplicate","Unique")</f>
        <v>Unique</v>
      </c>
      <c r="V1886" s="7" t="str">
        <f aca="false">IF(COUNTIFS($B$2:$B$5001,B1886,$H$2:$H$5001,H1886,$J$2:$J$5001,J1886)&gt;1,"Possible Duplicate Booking","Unique")</f>
        <v>Unique</v>
      </c>
      <c r="W1886" s="7" t="str">
        <f aca="false">IF((H1886-G1886)&lt;&gt;K1886,"Mismatch","OK")</f>
        <v>OK</v>
      </c>
      <c r="X1886" s="7" t="str">
        <f aca="false">IF(TEXT(H1886,"dddd")&lt;&gt;I1886,"Mismatch","OK")</f>
        <v>OK</v>
      </c>
      <c r="Y1886" s="7" t="str">
        <f aca="false">IF(AND(N1886="No",O1886&lt;&gt;""),"Unexpected: channel present but no reminder sent",IF(AND(N1886="Yes",O1886=""),"Missing channel for sent reminder","OK"))</f>
        <v>OK</v>
      </c>
    </row>
    <row r="1887" customFormat="false" ht="15" hidden="false" customHeight="false" outlineLevel="0" collapsed="false">
      <c r="A1887" s="9" t="s">
        <v>3125</v>
      </c>
      <c r="B1887" s="9" t="s">
        <v>3126</v>
      </c>
      <c r="C1887" s="9" t="s">
        <v>47</v>
      </c>
      <c r="D1887" s="9" t="n">
        <v>27</v>
      </c>
      <c r="E1887" s="9" t="s">
        <v>48</v>
      </c>
      <c r="F1887" s="9" t="s">
        <v>39</v>
      </c>
      <c r="G1887" s="10" t="n">
        <v>45754</v>
      </c>
      <c r="H1887" s="10" t="n">
        <v>45756</v>
      </c>
      <c r="I1887" s="9" t="s">
        <v>58</v>
      </c>
      <c r="J1887" s="9" t="s">
        <v>41</v>
      </c>
      <c r="K1887" s="9" t="n">
        <v>2</v>
      </c>
      <c r="L1887" s="9" t="n">
        <v>6</v>
      </c>
      <c r="M1887" s="9" t="n">
        <v>0</v>
      </c>
      <c r="N1887" s="9" t="s">
        <v>42</v>
      </c>
      <c r="O1887" s="9" t="s">
        <v>52</v>
      </c>
      <c r="P1887" s="9" t="n">
        <v>5.8</v>
      </c>
      <c r="Q1887" s="9" t="n">
        <v>27</v>
      </c>
      <c r="R1887" s="9" t="s">
        <v>53</v>
      </c>
      <c r="S1887" s="9"/>
      <c r="T1887" s="9"/>
      <c r="U1887" s="9" t="str">
        <f aca="false">IF(COUNTIF($A$2:$A$5001,A1887)&gt;1,"Duplicate","Unique")</f>
        <v>Unique</v>
      </c>
      <c r="V1887" s="9" t="str">
        <f aca="false">IF(COUNTIFS($B$2:$B$5001,B1887,$H$2:$H$5001,H1887,$J$2:$J$5001,J1887)&gt;1,"Possible Duplicate Booking","Unique")</f>
        <v>Unique</v>
      </c>
      <c r="W1887" s="9" t="str">
        <f aca="false">IF((H1887-G1887)&lt;&gt;K1887,"Mismatch","OK")</f>
        <v>OK</v>
      </c>
      <c r="X1887" s="9" t="str">
        <f aca="false">IF(TEXT(H1887,"dddd")&lt;&gt;I1887,"Mismatch","OK")</f>
        <v>OK</v>
      </c>
      <c r="Y1887" s="9" t="str">
        <f aca="false">IF(AND(N1887="No",O1887&lt;&gt;""),"Unexpected: channel present but no reminder sent",IF(AND(N1887="Yes",O1887=""),"Missing channel for sent reminder","OK"))</f>
        <v>OK</v>
      </c>
    </row>
    <row r="1888" customFormat="false" ht="15" hidden="false" customHeight="false" outlineLevel="0" collapsed="false">
      <c r="A1888" s="7" t="s">
        <v>3127</v>
      </c>
      <c r="B1888" s="7" t="s">
        <v>146</v>
      </c>
      <c r="C1888" s="7" t="s">
        <v>47</v>
      </c>
      <c r="D1888" s="7" t="n">
        <v>41</v>
      </c>
      <c r="E1888" s="7" t="s">
        <v>38</v>
      </c>
      <c r="F1888" s="7" t="s">
        <v>74</v>
      </c>
      <c r="G1888" s="8" t="n">
        <v>45960</v>
      </c>
      <c r="H1888" s="8" t="n">
        <v>46013</v>
      </c>
      <c r="I1888" s="7" t="s">
        <v>66</v>
      </c>
      <c r="J1888" s="7" t="s">
        <v>41</v>
      </c>
      <c r="K1888" s="7" t="n">
        <v>53</v>
      </c>
      <c r="L1888" s="7" t="n">
        <v>3</v>
      </c>
      <c r="M1888" s="7" t="n">
        <v>0</v>
      </c>
      <c r="N1888" s="7" t="s">
        <v>42</v>
      </c>
      <c r="O1888" s="7" t="s">
        <v>43</v>
      </c>
      <c r="P1888" s="7" t="n">
        <v>9.4</v>
      </c>
      <c r="Q1888" s="7" t="n">
        <v>24</v>
      </c>
      <c r="R1888" s="7" t="s">
        <v>53</v>
      </c>
      <c r="S1888" s="7"/>
      <c r="T1888" s="7"/>
      <c r="U1888" s="7" t="str">
        <f aca="false">IF(COUNTIF($A$2:$A$5001,A1888)&gt;1,"Duplicate","Unique")</f>
        <v>Unique</v>
      </c>
      <c r="V1888" s="7" t="str">
        <f aca="false">IF(COUNTIFS($B$2:$B$5001,B1888,$H$2:$H$5001,H1888,$J$2:$J$5001,J1888)&gt;1,"Possible Duplicate Booking","Unique")</f>
        <v>Unique</v>
      </c>
      <c r="W1888" s="7" t="str">
        <f aca="false">IF((H1888-G1888)&lt;&gt;K1888,"Mismatch","OK")</f>
        <v>OK</v>
      </c>
      <c r="X1888" s="7" t="str">
        <f aca="false">IF(TEXT(H1888,"dddd")&lt;&gt;I1888,"Mismatch","OK")</f>
        <v>OK</v>
      </c>
      <c r="Y1888" s="7" t="str">
        <f aca="false">IF(AND(N1888="No",O1888&lt;&gt;""),"Unexpected: channel present but no reminder sent",IF(AND(N1888="Yes",O1888=""),"Missing channel for sent reminder","OK"))</f>
        <v>OK</v>
      </c>
    </row>
    <row r="1889" customFormat="false" ht="15" hidden="false" customHeight="false" outlineLevel="0" collapsed="false">
      <c r="A1889" s="9" t="s">
        <v>3128</v>
      </c>
      <c r="B1889" s="9" t="s">
        <v>3129</v>
      </c>
      <c r="C1889" s="9" t="s">
        <v>37</v>
      </c>
      <c r="D1889" s="9" t="n">
        <v>69</v>
      </c>
      <c r="E1889" s="9" t="s">
        <v>70</v>
      </c>
      <c r="F1889" s="9" t="s">
        <v>49</v>
      </c>
      <c r="G1889" s="10" t="n">
        <v>45861</v>
      </c>
      <c r="H1889" s="10" t="n">
        <v>45883</v>
      </c>
      <c r="I1889" s="9" t="s">
        <v>62</v>
      </c>
      <c r="J1889" s="9" t="s">
        <v>51</v>
      </c>
      <c r="K1889" s="9" t="n">
        <v>22</v>
      </c>
      <c r="L1889" s="9" t="n">
        <v>5</v>
      </c>
      <c r="M1889" s="9" t="n">
        <v>1</v>
      </c>
      <c r="N1889" s="9" t="s">
        <v>71</v>
      </c>
      <c r="O1889" s="9"/>
      <c r="P1889" s="9" t="n">
        <v>5.9</v>
      </c>
      <c r="Q1889" s="9" t="n">
        <v>31</v>
      </c>
      <c r="R1889" s="9" t="s">
        <v>44</v>
      </c>
      <c r="S1889" s="9"/>
      <c r="T1889" s="9"/>
      <c r="U1889" s="9" t="str">
        <f aca="false">IF(COUNTIF($A$2:$A$5001,A1889)&gt;1,"Duplicate","Unique")</f>
        <v>Unique</v>
      </c>
      <c r="V1889" s="9" t="str">
        <f aca="false">IF(COUNTIFS($B$2:$B$5001,B1889,$H$2:$H$5001,H1889,$J$2:$J$5001,J1889)&gt;1,"Possible Duplicate Booking","Unique")</f>
        <v>Unique</v>
      </c>
      <c r="W1889" s="9" t="str">
        <f aca="false">IF((H1889-G1889)&lt;&gt;K1889,"Mismatch","OK")</f>
        <v>OK</v>
      </c>
      <c r="X1889" s="9" t="str">
        <f aca="false">IF(TEXT(H1889,"dddd")&lt;&gt;I1889,"Mismatch","OK")</f>
        <v>OK</v>
      </c>
      <c r="Y1889" s="9" t="str">
        <f aca="false">IF(AND(N1889="No",O1889&lt;&gt;""),"Unexpected: channel present but no reminder sent",IF(AND(N1889="Yes",O1889=""),"Missing channel for sent reminder","OK"))</f>
        <v>OK</v>
      </c>
    </row>
    <row r="1890" customFormat="false" ht="15" hidden="false" customHeight="false" outlineLevel="0" collapsed="false">
      <c r="A1890" s="7" t="s">
        <v>3130</v>
      </c>
      <c r="B1890" s="7" t="s">
        <v>2529</v>
      </c>
      <c r="C1890" s="7" t="s">
        <v>37</v>
      </c>
      <c r="D1890" s="7" t="n">
        <v>74</v>
      </c>
      <c r="E1890" s="7" t="s">
        <v>70</v>
      </c>
      <c r="F1890" s="7" t="s">
        <v>57</v>
      </c>
      <c r="G1890" s="8" t="n">
        <v>45685</v>
      </c>
      <c r="H1890" s="8" t="n">
        <v>45691</v>
      </c>
      <c r="I1890" s="7" t="s">
        <v>66</v>
      </c>
      <c r="J1890" s="7" t="s">
        <v>51</v>
      </c>
      <c r="K1890" s="7" t="n">
        <v>6</v>
      </c>
      <c r="L1890" s="7" t="n">
        <v>2</v>
      </c>
      <c r="M1890" s="7" t="n">
        <v>1</v>
      </c>
      <c r="N1890" s="7" t="s">
        <v>42</v>
      </c>
      <c r="O1890" s="7" t="s">
        <v>52</v>
      </c>
      <c r="P1890" s="7" t="n">
        <v>4.7</v>
      </c>
      <c r="Q1890" s="7" t="n">
        <v>23</v>
      </c>
      <c r="R1890" s="7" t="s">
        <v>53</v>
      </c>
      <c r="S1890" s="7"/>
      <c r="T1890" s="7"/>
      <c r="U1890" s="7" t="str">
        <f aca="false">IF(COUNTIF($A$2:$A$5001,A1890)&gt;1,"Duplicate","Unique")</f>
        <v>Unique</v>
      </c>
      <c r="V1890" s="7" t="str">
        <f aca="false">IF(COUNTIFS($B$2:$B$5001,B1890,$H$2:$H$5001,H1890,$J$2:$J$5001,J1890)&gt;1,"Possible Duplicate Booking","Unique")</f>
        <v>Unique</v>
      </c>
      <c r="W1890" s="7" t="str">
        <f aca="false">IF((H1890-G1890)&lt;&gt;K1890,"Mismatch","OK")</f>
        <v>OK</v>
      </c>
      <c r="X1890" s="7" t="str">
        <f aca="false">IF(TEXT(H1890,"dddd")&lt;&gt;I1890,"Mismatch","OK")</f>
        <v>OK</v>
      </c>
      <c r="Y1890" s="7" t="str">
        <f aca="false">IF(AND(N1890="No",O1890&lt;&gt;""),"Unexpected: channel present but no reminder sent",IF(AND(N1890="Yes",O1890=""),"Missing channel for sent reminder","OK"))</f>
        <v>OK</v>
      </c>
    </row>
    <row r="1891" customFormat="false" ht="15" hidden="false" customHeight="false" outlineLevel="0" collapsed="false">
      <c r="A1891" s="9" t="s">
        <v>3131</v>
      </c>
      <c r="B1891" s="9" t="s">
        <v>3132</v>
      </c>
      <c r="C1891" s="9" t="s">
        <v>37</v>
      </c>
      <c r="D1891" s="9" t="n">
        <v>20</v>
      </c>
      <c r="E1891" s="9" t="s">
        <v>82</v>
      </c>
      <c r="F1891" s="9" t="s">
        <v>57</v>
      </c>
      <c r="G1891" s="10" t="n">
        <v>45850</v>
      </c>
      <c r="H1891" s="10" t="n">
        <v>45903</v>
      </c>
      <c r="I1891" s="9" t="s">
        <v>58</v>
      </c>
      <c r="J1891" s="9" t="s">
        <v>51</v>
      </c>
      <c r="K1891" s="9" t="n">
        <v>53</v>
      </c>
      <c r="L1891" s="9" t="n">
        <v>1</v>
      </c>
      <c r="M1891" s="9" t="n">
        <v>0</v>
      </c>
      <c r="N1891" s="9" t="s">
        <v>42</v>
      </c>
      <c r="O1891" s="9" t="s">
        <v>52</v>
      </c>
      <c r="P1891" s="9" t="n">
        <v>11</v>
      </c>
      <c r="Q1891" s="9" t="n">
        <v>34</v>
      </c>
      <c r="R1891" s="9" t="s">
        <v>44</v>
      </c>
      <c r="S1891" s="9"/>
      <c r="T1891" s="9"/>
      <c r="U1891" s="9" t="str">
        <f aca="false">IF(COUNTIF($A$2:$A$5001,A1891)&gt;1,"Duplicate","Unique")</f>
        <v>Unique</v>
      </c>
      <c r="V1891" s="9" t="str">
        <f aca="false">IF(COUNTIFS($B$2:$B$5001,B1891,$H$2:$H$5001,H1891,$J$2:$J$5001,J1891)&gt;1,"Possible Duplicate Booking","Unique")</f>
        <v>Unique</v>
      </c>
      <c r="W1891" s="9" t="str">
        <f aca="false">IF((H1891-G1891)&lt;&gt;K1891,"Mismatch","OK")</f>
        <v>OK</v>
      </c>
      <c r="X1891" s="9" t="str">
        <f aca="false">IF(TEXT(H1891,"dddd")&lt;&gt;I1891,"Mismatch","OK")</f>
        <v>OK</v>
      </c>
      <c r="Y1891" s="9" t="str">
        <f aca="false">IF(AND(N1891="No",O1891&lt;&gt;""),"Unexpected: channel present but no reminder sent",IF(AND(N1891="Yes",O1891=""),"Missing channel for sent reminder","OK"))</f>
        <v>OK</v>
      </c>
    </row>
    <row r="1892" customFormat="false" ht="15" hidden="false" customHeight="false" outlineLevel="0" collapsed="false">
      <c r="A1892" s="7" t="s">
        <v>3133</v>
      </c>
      <c r="B1892" s="7" t="s">
        <v>178</v>
      </c>
      <c r="C1892" s="7" t="s">
        <v>37</v>
      </c>
      <c r="D1892" s="7" t="n">
        <v>47</v>
      </c>
      <c r="E1892" s="7" t="s">
        <v>56</v>
      </c>
      <c r="F1892" s="7" t="s">
        <v>39</v>
      </c>
      <c r="G1892" s="8" t="n">
        <v>45750</v>
      </c>
      <c r="H1892" s="8" t="n">
        <v>45759</v>
      </c>
      <c r="I1892" s="7" t="s">
        <v>102</v>
      </c>
      <c r="J1892" s="7" t="s">
        <v>41</v>
      </c>
      <c r="K1892" s="7" t="n">
        <v>9</v>
      </c>
      <c r="L1892" s="7" t="n">
        <v>0</v>
      </c>
      <c r="M1892" s="7" t="n">
        <v>0</v>
      </c>
      <c r="N1892" s="7" t="s">
        <v>71</v>
      </c>
      <c r="O1892" s="7"/>
      <c r="P1892" s="7" t="n">
        <v>9.1</v>
      </c>
      <c r="Q1892" s="7" t="n">
        <v>23</v>
      </c>
      <c r="R1892" s="7" t="s">
        <v>87</v>
      </c>
      <c r="S1892" s="7"/>
      <c r="T1892" s="7"/>
      <c r="U1892" s="7" t="str">
        <f aca="false">IF(COUNTIF($A$2:$A$5001,A1892)&gt;1,"Duplicate","Unique")</f>
        <v>Unique</v>
      </c>
      <c r="V1892" s="7" t="str">
        <f aca="false">IF(COUNTIFS($B$2:$B$5001,B1892,$H$2:$H$5001,H1892,$J$2:$J$5001,J1892)&gt;1,"Possible Duplicate Booking","Unique")</f>
        <v>Unique</v>
      </c>
      <c r="W1892" s="7" t="str">
        <f aca="false">IF((H1892-G1892)&lt;&gt;K1892,"Mismatch","OK")</f>
        <v>OK</v>
      </c>
      <c r="X1892" s="7" t="str">
        <f aca="false">IF(TEXT(H1892,"dddd")&lt;&gt;I1892,"Mismatch","OK")</f>
        <v>OK</v>
      </c>
      <c r="Y1892" s="7" t="str">
        <f aca="false">IF(AND(N1892="No",O1892&lt;&gt;""),"Unexpected: channel present but no reminder sent",IF(AND(N1892="Yes",O1892=""),"Missing channel for sent reminder","OK"))</f>
        <v>OK</v>
      </c>
    </row>
    <row r="1893" customFormat="false" ht="15" hidden="false" customHeight="false" outlineLevel="0" collapsed="false">
      <c r="A1893" s="9" t="s">
        <v>3134</v>
      </c>
      <c r="B1893" s="9" t="s">
        <v>3135</v>
      </c>
      <c r="C1893" s="9" t="s">
        <v>37</v>
      </c>
      <c r="D1893" s="9" t="n">
        <v>34</v>
      </c>
      <c r="E1893" s="9" t="s">
        <v>48</v>
      </c>
      <c r="F1893" s="9" t="s">
        <v>49</v>
      </c>
      <c r="G1893" s="10" t="n">
        <v>45771</v>
      </c>
      <c r="H1893" s="10" t="n">
        <v>45791</v>
      </c>
      <c r="I1893" s="9" t="s">
        <v>58</v>
      </c>
      <c r="J1893" s="9" t="s">
        <v>51</v>
      </c>
      <c r="K1893" s="9" t="n">
        <v>20</v>
      </c>
      <c r="L1893" s="9" t="n">
        <v>1</v>
      </c>
      <c r="M1893" s="9" t="n">
        <v>0</v>
      </c>
      <c r="N1893" s="9" t="s">
        <v>71</v>
      </c>
      <c r="O1893" s="9"/>
      <c r="P1893" s="9" t="n">
        <v>14.4</v>
      </c>
      <c r="Q1893" s="9" t="n">
        <v>22</v>
      </c>
      <c r="R1893" s="9" t="s">
        <v>53</v>
      </c>
      <c r="S1893" s="9"/>
      <c r="T1893" s="9"/>
      <c r="U1893" s="9" t="str">
        <f aca="false">IF(COUNTIF($A$2:$A$5001,A1893)&gt;1,"Duplicate","Unique")</f>
        <v>Unique</v>
      </c>
      <c r="V1893" s="9" t="str">
        <f aca="false">IF(COUNTIFS($B$2:$B$5001,B1893,$H$2:$H$5001,H1893,$J$2:$J$5001,J1893)&gt;1,"Possible Duplicate Booking","Unique")</f>
        <v>Unique</v>
      </c>
      <c r="W1893" s="9" t="str">
        <f aca="false">IF((H1893-G1893)&lt;&gt;K1893,"Mismatch","OK")</f>
        <v>OK</v>
      </c>
      <c r="X1893" s="9" t="str">
        <f aca="false">IF(TEXT(H1893,"dddd")&lt;&gt;I1893,"Mismatch","OK")</f>
        <v>OK</v>
      </c>
      <c r="Y1893" s="9" t="str">
        <f aca="false">IF(AND(N1893="No",O1893&lt;&gt;""),"Unexpected: channel present but no reminder sent",IF(AND(N1893="Yes",O1893=""),"Missing channel for sent reminder","OK"))</f>
        <v>OK</v>
      </c>
    </row>
    <row r="1894" customFormat="false" ht="15" hidden="false" customHeight="false" outlineLevel="0" collapsed="false">
      <c r="A1894" s="7" t="s">
        <v>3136</v>
      </c>
      <c r="B1894" s="7" t="s">
        <v>1998</v>
      </c>
      <c r="C1894" s="7" t="s">
        <v>37</v>
      </c>
      <c r="D1894" s="7" t="n">
        <v>28</v>
      </c>
      <c r="E1894" s="7" t="s">
        <v>48</v>
      </c>
      <c r="F1894" s="7" t="s">
        <v>39</v>
      </c>
      <c r="G1894" s="8" t="n">
        <v>46136</v>
      </c>
      <c r="H1894" s="8" t="n">
        <v>46137</v>
      </c>
      <c r="I1894" s="7" t="s">
        <v>102</v>
      </c>
      <c r="J1894" s="7" t="s">
        <v>51</v>
      </c>
      <c r="K1894" s="7" t="n">
        <v>1</v>
      </c>
      <c r="L1894" s="7" t="n">
        <v>2</v>
      </c>
      <c r="M1894" s="7" t="n">
        <v>1</v>
      </c>
      <c r="N1894" s="7" t="s">
        <v>42</v>
      </c>
      <c r="O1894" s="7" t="s">
        <v>52</v>
      </c>
      <c r="P1894" s="7" t="n">
        <v>7.1</v>
      </c>
      <c r="Q1894" s="7" t="n">
        <v>25</v>
      </c>
      <c r="R1894" s="7" t="s">
        <v>53</v>
      </c>
      <c r="S1894" s="7"/>
      <c r="T1894" s="7"/>
      <c r="U1894" s="7" t="str">
        <f aca="false">IF(COUNTIF($A$2:$A$5001,A1894)&gt;1,"Duplicate","Unique")</f>
        <v>Unique</v>
      </c>
      <c r="V1894" s="7" t="str">
        <f aca="false">IF(COUNTIFS($B$2:$B$5001,B1894,$H$2:$H$5001,H1894,$J$2:$J$5001,J1894)&gt;1,"Possible Duplicate Booking","Unique")</f>
        <v>Unique</v>
      </c>
      <c r="W1894" s="7" t="str">
        <f aca="false">IF((H1894-G1894)&lt;&gt;K1894,"Mismatch","OK")</f>
        <v>OK</v>
      </c>
      <c r="X1894" s="7" t="str">
        <f aca="false">IF(TEXT(H1894,"dddd")&lt;&gt;I1894,"Mismatch","OK")</f>
        <v>OK</v>
      </c>
      <c r="Y1894" s="7" t="str">
        <f aca="false">IF(AND(N1894="No",O1894&lt;&gt;""),"Unexpected: channel present but no reminder sent",IF(AND(N1894="Yes",O1894=""),"Missing channel for sent reminder","OK"))</f>
        <v>OK</v>
      </c>
    </row>
    <row r="1895" customFormat="false" ht="15" hidden="false" customHeight="false" outlineLevel="0" collapsed="false">
      <c r="A1895" s="9" t="s">
        <v>3137</v>
      </c>
      <c r="B1895" s="9" t="s">
        <v>170</v>
      </c>
      <c r="C1895" s="9" t="s">
        <v>37</v>
      </c>
      <c r="D1895" s="9" t="n">
        <v>21</v>
      </c>
      <c r="E1895" s="9" t="s">
        <v>82</v>
      </c>
      <c r="F1895" s="9" t="s">
        <v>57</v>
      </c>
      <c r="G1895" s="10" t="n">
        <v>46004</v>
      </c>
      <c r="H1895" s="10" t="n">
        <v>46045</v>
      </c>
      <c r="I1895" s="9" t="s">
        <v>50</v>
      </c>
      <c r="J1895" s="9" t="s">
        <v>63</v>
      </c>
      <c r="K1895" s="9" t="n">
        <v>41</v>
      </c>
      <c r="L1895" s="9" t="n">
        <v>3</v>
      </c>
      <c r="M1895" s="9" t="n">
        <v>1</v>
      </c>
      <c r="N1895" s="9" t="s">
        <v>42</v>
      </c>
      <c r="O1895" s="9" t="s">
        <v>43</v>
      </c>
      <c r="P1895" s="9" t="n">
        <v>17.9</v>
      </c>
      <c r="Q1895" s="9" t="n">
        <v>32</v>
      </c>
      <c r="R1895" s="9" t="s">
        <v>53</v>
      </c>
      <c r="S1895" s="9"/>
      <c r="T1895" s="9"/>
      <c r="U1895" s="9" t="str">
        <f aca="false">IF(COUNTIF($A$2:$A$5001,A1895)&gt;1,"Duplicate","Unique")</f>
        <v>Unique</v>
      </c>
      <c r="V1895" s="9" t="str">
        <f aca="false">IF(COUNTIFS($B$2:$B$5001,B1895,$H$2:$H$5001,H1895,$J$2:$J$5001,J1895)&gt;1,"Possible Duplicate Booking","Unique")</f>
        <v>Unique</v>
      </c>
      <c r="W1895" s="9" t="str">
        <f aca="false">IF((H1895-G1895)&lt;&gt;K1895,"Mismatch","OK")</f>
        <v>OK</v>
      </c>
      <c r="X1895" s="9" t="str">
        <f aca="false">IF(TEXT(H1895,"dddd")&lt;&gt;I1895,"Mismatch","OK")</f>
        <v>OK</v>
      </c>
      <c r="Y1895" s="9" t="str">
        <f aca="false">IF(AND(N1895="No",O1895&lt;&gt;""),"Unexpected: channel present but no reminder sent",IF(AND(N1895="Yes",O1895=""),"Missing channel for sent reminder","OK"))</f>
        <v>OK</v>
      </c>
    </row>
    <row r="1896" customFormat="false" ht="15" hidden="false" customHeight="false" outlineLevel="0" collapsed="false">
      <c r="A1896" s="7" t="s">
        <v>3138</v>
      </c>
      <c r="B1896" s="7" t="s">
        <v>1109</v>
      </c>
      <c r="C1896" s="7" t="s">
        <v>37</v>
      </c>
      <c r="D1896" s="7" t="n">
        <v>51</v>
      </c>
      <c r="E1896" s="7" t="s">
        <v>56</v>
      </c>
      <c r="F1896" s="7" t="s">
        <v>49</v>
      </c>
      <c r="G1896" s="8" t="n">
        <v>45689</v>
      </c>
      <c r="H1896" s="8" t="n">
        <v>45731</v>
      </c>
      <c r="I1896" s="7" t="s">
        <v>102</v>
      </c>
      <c r="J1896" s="7" t="s">
        <v>41</v>
      </c>
      <c r="K1896" s="7" t="n">
        <v>42</v>
      </c>
      <c r="L1896" s="7" t="n">
        <v>3</v>
      </c>
      <c r="M1896" s="7" t="n">
        <v>1</v>
      </c>
      <c r="N1896" s="7" t="s">
        <v>71</v>
      </c>
      <c r="O1896" s="7"/>
      <c r="P1896" s="7" t="n">
        <v>4.3</v>
      </c>
      <c r="Q1896" s="7" t="n">
        <v>20</v>
      </c>
      <c r="R1896" s="7" t="s">
        <v>44</v>
      </c>
      <c r="S1896" s="7"/>
      <c r="T1896" s="7"/>
      <c r="U1896" s="7" t="str">
        <f aca="false">IF(COUNTIF($A$2:$A$5001,A1896)&gt;1,"Duplicate","Unique")</f>
        <v>Unique</v>
      </c>
      <c r="V1896" s="7" t="str">
        <f aca="false">IF(COUNTIFS($B$2:$B$5001,B1896,$H$2:$H$5001,H1896,$J$2:$J$5001,J1896)&gt;1,"Possible Duplicate Booking","Unique")</f>
        <v>Unique</v>
      </c>
      <c r="W1896" s="7" t="str">
        <f aca="false">IF((H1896-G1896)&lt;&gt;K1896,"Mismatch","OK")</f>
        <v>OK</v>
      </c>
      <c r="X1896" s="7" t="str">
        <f aca="false">IF(TEXT(H1896,"dddd")&lt;&gt;I1896,"Mismatch","OK")</f>
        <v>OK</v>
      </c>
      <c r="Y1896" s="7" t="str">
        <f aca="false">IF(AND(N1896="No",O1896&lt;&gt;""),"Unexpected: channel present but no reminder sent",IF(AND(N1896="Yes",O1896=""),"Missing channel for sent reminder","OK"))</f>
        <v>OK</v>
      </c>
    </row>
    <row r="1897" customFormat="false" ht="15" hidden="false" customHeight="false" outlineLevel="0" collapsed="false">
      <c r="A1897" s="9" t="s">
        <v>3139</v>
      </c>
      <c r="B1897" s="9" t="s">
        <v>1014</v>
      </c>
      <c r="C1897" s="9" t="s">
        <v>47</v>
      </c>
      <c r="D1897" s="9" t="n">
        <v>60</v>
      </c>
      <c r="E1897" s="9" t="s">
        <v>61</v>
      </c>
      <c r="F1897" s="9" t="s">
        <v>39</v>
      </c>
      <c r="G1897" s="10" t="n">
        <v>46076</v>
      </c>
      <c r="H1897" s="10" t="n">
        <v>46122</v>
      </c>
      <c r="I1897" s="9" t="s">
        <v>50</v>
      </c>
      <c r="J1897" s="9" t="s">
        <v>51</v>
      </c>
      <c r="K1897" s="9" t="n">
        <v>46</v>
      </c>
      <c r="L1897" s="9" t="n">
        <v>1</v>
      </c>
      <c r="M1897" s="9" t="n">
        <v>0</v>
      </c>
      <c r="N1897" s="9" t="s">
        <v>42</v>
      </c>
      <c r="O1897" s="9" t="s">
        <v>52</v>
      </c>
      <c r="P1897" s="9" t="n">
        <v>13</v>
      </c>
      <c r="Q1897" s="9" t="n">
        <v>34</v>
      </c>
      <c r="R1897" s="9" t="s">
        <v>53</v>
      </c>
      <c r="S1897" s="9"/>
      <c r="T1897" s="9"/>
      <c r="U1897" s="9" t="str">
        <f aca="false">IF(COUNTIF($A$2:$A$5001,A1897)&gt;1,"Duplicate","Unique")</f>
        <v>Unique</v>
      </c>
      <c r="V1897" s="9" t="str">
        <f aca="false">IF(COUNTIFS($B$2:$B$5001,B1897,$H$2:$H$5001,H1897,$J$2:$J$5001,J1897)&gt;1,"Possible Duplicate Booking","Unique")</f>
        <v>Unique</v>
      </c>
      <c r="W1897" s="9" t="str">
        <f aca="false">IF((H1897-G1897)&lt;&gt;K1897,"Mismatch","OK")</f>
        <v>OK</v>
      </c>
      <c r="X1897" s="9" t="str">
        <f aca="false">IF(TEXT(H1897,"dddd")&lt;&gt;I1897,"Mismatch","OK")</f>
        <v>OK</v>
      </c>
      <c r="Y1897" s="9" t="str">
        <f aca="false">IF(AND(N1897="No",O1897&lt;&gt;""),"Unexpected: channel present but no reminder sent",IF(AND(N1897="Yes",O1897=""),"Missing channel for sent reminder","OK"))</f>
        <v>OK</v>
      </c>
    </row>
    <row r="1898" customFormat="false" ht="15" hidden="false" customHeight="false" outlineLevel="0" collapsed="false">
      <c r="A1898" s="7" t="s">
        <v>3140</v>
      </c>
      <c r="B1898" s="7" t="s">
        <v>134</v>
      </c>
      <c r="C1898" s="7" t="s">
        <v>37</v>
      </c>
      <c r="D1898" s="7" t="n">
        <v>51</v>
      </c>
      <c r="E1898" s="7" t="s">
        <v>56</v>
      </c>
      <c r="F1898" s="7" t="s">
        <v>39</v>
      </c>
      <c r="G1898" s="8" t="n">
        <v>45955</v>
      </c>
      <c r="H1898" s="8" t="n">
        <v>45971</v>
      </c>
      <c r="I1898" s="7" t="s">
        <v>66</v>
      </c>
      <c r="J1898" s="7" t="s">
        <v>41</v>
      </c>
      <c r="K1898" s="7" t="n">
        <v>16</v>
      </c>
      <c r="L1898" s="7" t="n">
        <v>2</v>
      </c>
      <c r="M1898" s="7" t="n">
        <v>0</v>
      </c>
      <c r="N1898" s="7" t="s">
        <v>71</v>
      </c>
      <c r="O1898" s="7"/>
      <c r="P1898" s="7" t="n">
        <v>15.3</v>
      </c>
      <c r="Q1898" s="7" t="n">
        <v>16</v>
      </c>
      <c r="R1898" s="7" t="s">
        <v>53</v>
      </c>
      <c r="S1898" s="7"/>
      <c r="T1898" s="7"/>
      <c r="U1898" s="7" t="str">
        <f aca="false">IF(COUNTIF($A$2:$A$5001,A1898)&gt;1,"Duplicate","Unique")</f>
        <v>Unique</v>
      </c>
      <c r="V1898" s="7" t="str">
        <f aca="false">IF(COUNTIFS($B$2:$B$5001,B1898,$H$2:$H$5001,H1898,$J$2:$J$5001,J1898)&gt;1,"Possible Duplicate Booking","Unique")</f>
        <v>Unique</v>
      </c>
      <c r="W1898" s="7" t="str">
        <f aca="false">IF((H1898-G1898)&lt;&gt;K1898,"Mismatch","OK")</f>
        <v>OK</v>
      </c>
      <c r="X1898" s="7" t="str">
        <f aca="false">IF(TEXT(H1898,"dddd")&lt;&gt;I1898,"Mismatch","OK")</f>
        <v>OK</v>
      </c>
      <c r="Y1898" s="7" t="str">
        <f aca="false">IF(AND(N1898="No",O1898&lt;&gt;""),"Unexpected: channel present but no reminder sent",IF(AND(N1898="Yes",O1898=""),"Missing channel for sent reminder","OK"))</f>
        <v>OK</v>
      </c>
    </row>
    <row r="1899" customFormat="false" ht="15" hidden="false" customHeight="false" outlineLevel="0" collapsed="false">
      <c r="A1899" s="9" t="s">
        <v>3141</v>
      </c>
      <c r="B1899" s="9" t="s">
        <v>3142</v>
      </c>
      <c r="C1899" s="9" t="s">
        <v>37</v>
      </c>
      <c r="D1899" s="9" t="n">
        <v>41</v>
      </c>
      <c r="E1899" s="9" t="s">
        <v>38</v>
      </c>
      <c r="F1899" s="9" t="s">
        <v>49</v>
      </c>
      <c r="G1899" s="10" t="n">
        <v>46115</v>
      </c>
      <c r="H1899" s="10" t="n">
        <v>46135</v>
      </c>
      <c r="I1899" s="9" t="s">
        <v>62</v>
      </c>
      <c r="J1899" s="9" t="s">
        <v>51</v>
      </c>
      <c r="K1899" s="9" t="n">
        <v>20</v>
      </c>
      <c r="L1899" s="9" t="n">
        <v>3</v>
      </c>
      <c r="M1899" s="9" t="n">
        <v>0</v>
      </c>
      <c r="N1899" s="9" t="s">
        <v>42</v>
      </c>
      <c r="O1899" s="9" t="s">
        <v>52</v>
      </c>
      <c r="P1899" s="9" t="n">
        <v>1.1</v>
      </c>
      <c r="Q1899" s="9" t="n">
        <v>21</v>
      </c>
      <c r="R1899" s="9" t="s">
        <v>44</v>
      </c>
      <c r="S1899" s="9"/>
      <c r="T1899" s="9"/>
      <c r="U1899" s="9" t="str">
        <f aca="false">IF(COUNTIF($A$2:$A$5001,A1899)&gt;1,"Duplicate","Unique")</f>
        <v>Unique</v>
      </c>
      <c r="V1899" s="9" t="str">
        <f aca="false">IF(COUNTIFS($B$2:$B$5001,B1899,$H$2:$H$5001,H1899,$J$2:$J$5001,J1899)&gt;1,"Possible Duplicate Booking","Unique")</f>
        <v>Unique</v>
      </c>
      <c r="W1899" s="9" t="str">
        <f aca="false">IF((H1899-G1899)&lt;&gt;K1899,"Mismatch","OK")</f>
        <v>OK</v>
      </c>
      <c r="X1899" s="9" t="str">
        <f aca="false">IF(TEXT(H1899,"dddd")&lt;&gt;I1899,"Mismatch","OK")</f>
        <v>OK</v>
      </c>
      <c r="Y1899" s="9" t="str">
        <f aca="false">IF(AND(N1899="No",O1899&lt;&gt;""),"Unexpected: channel present but no reminder sent",IF(AND(N1899="Yes",O1899=""),"Missing channel for sent reminder","OK"))</f>
        <v>OK</v>
      </c>
    </row>
    <row r="1900" customFormat="false" ht="15" hidden="false" customHeight="false" outlineLevel="0" collapsed="false">
      <c r="A1900" s="7" t="s">
        <v>3143</v>
      </c>
      <c r="B1900" s="7" t="s">
        <v>1248</v>
      </c>
      <c r="C1900" s="7" t="s">
        <v>47</v>
      </c>
      <c r="D1900" s="7" t="n">
        <v>66</v>
      </c>
      <c r="E1900" s="7" t="s">
        <v>70</v>
      </c>
      <c r="F1900" s="7" t="s">
        <v>49</v>
      </c>
      <c r="G1900" s="8" t="n">
        <v>46008</v>
      </c>
      <c r="H1900" s="8" t="n">
        <v>46065</v>
      </c>
      <c r="I1900" s="7" t="s">
        <v>62</v>
      </c>
      <c r="J1900" s="7" t="s">
        <v>51</v>
      </c>
      <c r="K1900" s="7" t="n">
        <v>57</v>
      </c>
      <c r="L1900" s="7" t="n">
        <v>4</v>
      </c>
      <c r="M1900" s="7" t="n">
        <v>1</v>
      </c>
      <c r="N1900" s="7" t="s">
        <v>42</v>
      </c>
      <c r="O1900" s="7" t="s">
        <v>43</v>
      </c>
      <c r="P1900" s="7" t="n">
        <v>13.2</v>
      </c>
      <c r="Q1900" s="7" t="n">
        <v>3</v>
      </c>
      <c r="R1900" s="7" t="s">
        <v>44</v>
      </c>
      <c r="S1900" s="7"/>
      <c r="T1900" s="7"/>
      <c r="U1900" s="7" t="str">
        <f aca="false">IF(COUNTIF($A$2:$A$5001,A1900)&gt;1,"Duplicate","Unique")</f>
        <v>Unique</v>
      </c>
      <c r="V1900" s="7" t="str">
        <f aca="false">IF(COUNTIFS($B$2:$B$5001,B1900,$H$2:$H$5001,H1900,$J$2:$J$5001,J1900)&gt;1,"Possible Duplicate Booking","Unique")</f>
        <v>Unique</v>
      </c>
      <c r="W1900" s="7" t="str">
        <f aca="false">IF((H1900-G1900)&lt;&gt;K1900,"Mismatch","OK")</f>
        <v>OK</v>
      </c>
      <c r="X1900" s="7" t="str">
        <f aca="false">IF(TEXT(H1900,"dddd")&lt;&gt;I1900,"Mismatch","OK")</f>
        <v>OK</v>
      </c>
      <c r="Y1900" s="7" t="str">
        <f aca="false">IF(AND(N1900="No",O1900&lt;&gt;""),"Unexpected: channel present but no reminder sent",IF(AND(N1900="Yes",O1900=""),"Missing channel for sent reminder","OK"))</f>
        <v>OK</v>
      </c>
    </row>
    <row r="1901" customFormat="false" ht="15" hidden="false" customHeight="false" outlineLevel="0" collapsed="false">
      <c r="A1901" s="9" t="s">
        <v>3144</v>
      </c>
      <c r="B1901" s="9" t="s">
        <v>3145</v>
      </c>
      <c r="C1901" s="9" t="s">
        <v>37</v>
      </c>
      <c r="D1901" s="9" t="n">
        <v>59</v>
      </c>
      <c r="E1901" s="9" t="s">
        <v>61</v>
      </c>
      <c r="F1901" s="9" t="s">
        <v>39</v>
      </c>
      <c r="G1901" s="10" t="n">
        <v>45793</v>
      </c>
      <c r="H1901" s="10" t="n">
        <v>45843</v>
      </c>
      <c r="I1901" s="9" t="s">
        <v>102</v>
      </c>
      <c r="J1901" s="9" t="s">
        <v>41</v>
      </c>
      <c r="K1901" s="9" t="n">
        <v>50</v>
      </c>
      <c r="L1901" s="9" t="n">
        <v>6</v>
      </c>
      <c r="M1901" s="9" t="n">
        <v>1</v>
      </c>
      <c r="N1901" s="9" t="s">
        <v>71</v>
      </c>
      <c r="O1901" s="9"/>
      <c r="P1901" s="9" t="n">
        <v>7.8</v>
      </c>
      <c r="Q1901" s="9" t="n">
        <v>20</v>
      </c>
      <c r="R1901" s="9" t="s">
        <v>44</v>
      </c>
      <c r="S1901" s="9"/>
      <c r="T1901" s="9"/>
      <c r="U1901" s="9" t="str">
        <f aca="false">IF(COUNTIF($A$2:$A$5001,A1901)&gt;1,"Duplicate","Unique")</f>
        <v>Unique</v>
      </c>
      <c r="V1901" s="9" t="str">
        <f aca="false">IF(COUNTIFS($B$2:$B$5001,B1901,$H$2:$H$5001,H1901,$J$2:$J$5001,J1901)&gt;1,"Possible Duplicate Booking","Unique")</f>
        <v>Unique</v>
      </c>
      <c r="W1901" s="9" t="str">
        <f aca="false">IF((H1901-G1901)&lt;&gt;K1901,"Mismatch","OK")</f>
        <v>OK</v>
      </c>
      <c r="X1901" s="9" t="str">
        <f aca="false">IF(TEXT(H1901,"dddd")&lt;&gt;I1901,"Mismatch","OK")</f>
        <v>OK</v>
      </c>
      <c r="Y1901" s="9" t="str">
        <f aca="false">IF(AND(N1901="No",O1901&lt;&gt;""),"Unexpected: channel present but no reminder sent",IF(AND(N1901="Yes",O1901=""),"Missing channel for sent reminder","OK"))</f>
        <v>OK</v>
      </c>
    </row>
    <row r="1902" customFormat="false" ht="15" hidden="false" customHeight="false" outlineLevel="0" collapsed="false">
      <c r="A1902" s="7" t="s">
        <v>3146</v>
      </c>
      <c r="B1902" s="7" t="s">
        <v>2148</v>
      </c>
      <c r="C1902" s="7" t="s">
        <v>47</v>
      </c>
      <c r="D1902" s="7" t="n">
        <v>75</v>
      </c>
      <c r="E1902" s="7" t="s">
        <v>70</v>
      </c>
      <c r="F1902" s="7" t="s">
        <v>39</v>
      </c>
      <c r="G1902" s="8" t="n">
        <v>45948</v>
      </c>
      <c r="H1902" s="8" t="n">
        <v>45950</v>
      </c>
      <c r="I1902" s="7" t="s">
        <v>66</v>
      </c>
      <c r="J1902" s="7" t="s">
        <v>51</v>
      </c>
      <c r="K1902" s="7" t="n">
        <v>2</v>
      </c>
      <c r="L1902" s="7" t="n">
        <v>6</v>
      </c>
      <c r="M1902" s="7" t="n">
        <v>1</v>
      </c>
      <c r="N1902" s="7" t="s">
        <v>71</v>
      </c>
      <c r="O1902" s="7"/>
      <c r="P1902" s="7" t="n">
        <v>9.5</v>
      </c>
      <c r="Q1902" s="7" t="n">
        <v>12</v>
      </c>
      <c r="R1902" s="7" t="s">
        <v>44</v>
      </c>
      <c r="S1902" s="7"/>
      <c r="T1902" s="7"/>
      <c r="U1902" s="7" t="str">
        <f aca="false">IF(COUNTIF($A$2:$A$5001,A1902)&gt;1,"Duplicate","Unique")</f>
        <v>Unique</v>
      </c>
      <c r="V1902" s="7" t="str">
        <f aca="false">IF(COUNTIFS($B$2:$B$5001,B1902,$H$2:$H$5001,H1902,$J$2:$J$5001,J1902)&gt;1,"Possible Duplicate Booking","Unique")</f>
        <v>Unique</v>
      </c>
      <c r="W1902" s="7" t="str">
        <f aca="false">IF((H1902-G1902)&lt;&gt;K1902,"Mismatch","OK")</f>
        <v>OK</v>
      </c>
      <c r="X1902" s="7" t="str">
        <f aca="false">IF(TEXT(H1902,"dddd")&lt;&gt;I1902,"Mismatch","OK")</f>
        <v>OK</v>
      </c>
      <c r="Y1902" s="7" t="str">
        <f aca="false">IF(AND(N1902="No",O1902&lt;&gt;""),"Unexpected: channel present but no reminder sent",IF(AND(N1902="Yes",O1902=""),"Missing channel for sent reminder","OK"))</f>
        <v>OK</v>
      </c>
    </row>
    <row r="1903" customFormat="false" ht="15" hidden="false" customHeight="false" outlineLevel="0" collapsed="false">
      <c r="A1903" s="9" t="s">
        <v>3147</v>
      </c>
      <c r="B1903" s="9" t="s">
        <v>3148</v>
      </c>
      <c r="C1903" s="9" t="s">
        <v>47</v>
      </c>
      <c r="D1903" s="9" t="n">
        <v>39</v>
      </c>
      <c r="E1903" s="9" t="s">
        <v>38</v>
      </c>
      <c r="F1903" s="9" t="s">
        <v>39</v>
      </c>
      <c r="G1903" s="10" t="n">
        <v>45905</v>
      </c>
      <c r="H1903" s="10" t="n">
        <v>45947</v>
      </c>
      <c r="I1903" s="9" t="s">
        <v>50</v>
      </c>
      <c r="J1903" s="9" t="s">
        <v>51</v>
      </c>
      <c r="K1903" s="9" t="n">
        <v>42</v>
      </c>
      <c r="L1903" s="9" t="n">
        <v>2</v>
      </c>
      <c r="M1903" s="9" t="n">
        <v>0</v>
      </c>
      <c r="N1903" s="9" t="s">
        <v>42</v>
      </c>
      <c r="O1903" s="9" t="s">
        <v>43</v>
      </c>
      <c r="P1903" s="9" t="n">
        <v>20</v>
      </c>
      <c r="Q1903" s="9" t="n">
        <v>30</v>
      </c>
      <c r="R1903" s="9" t="s">
        <v>53</v>
      </c>
      <c r="S1903" s="9"/>
      <c r="T1903" s="9"/>
      <c r="U1903" s="9" t="str">
        <f aca="false">IF(COUNTIF($A$2:$A$5001,A1903)&gt;1,"Duplicate","Unique")</f>
        <v>Unique</v>
      </c>
      <c r="V1903" s="9" t="str">
        <f aca="false">IF(COUNTIFS($B$2:$B$5001,B1903,$H$2:$H$5001,H1903,$J$2:$J$5001,J1903)&gt;1,"Possible Duplicate Booking","Unique")</f>
        <v>Unique</v>
      </c>
      <c r="W1903" s="9" t="str">
        <f aca="false">IF((H1903-G1903)&lt;&gt;K1903,"Mismatch","OK")</f>
        <v>OK</v>
      </c>
      <c r="X1903" s="9" t="str">
        <f aca="false">IF(TEXT(H1903,"dddd")&lt;&gt;I1903,"Mismatch","OK")</f>
        <v>OK</v>
      </c>
      <c r="Y1903" s="9" t="str">
        <f aca="false">IF(AND(N1903="No",O1903&lt;&gt;""),"Unexpected: channel present but no reminder sent",IF(AND(N1903="Yes",O1903=""),"Missing channel for sent reminder","OK"))</f>
        <v>OK</v>
      </c>
    </row>
    <row r="1904" customFormat="false" ht="15" hidden="false" customHeight="false" outlineLevel="0" collapsed="false">
      <c r="A1904" s="7" t="s">
        <v>3149</v>
      </c>
      <c r="B1904" s="7" t="s">
        <v>413</v>
      </c>
      <c r="C1904" s="7" t="s">
        <v>47</v>
      </c>
      <c r="D1904" s="7" t="n">
        <v>33</v>
      </c>
      <c r="E1904" s="7" t="s">
        <v>48</v>
      </c>
      <c r="F1904" s="7" t="s">
        <v>39</v>
      </c>
      <c r="G1904" s="8" t="n">
        <v>46002</v>
      </c>
      <c r="H1904" s="8" t="n">
        <v>46051</v>
      </c>
      <c r="I1904" s="7" t="s">
        <v>62</v>
      </c>
      <c r="J1904" s="7" t="s">
        <v>63</v>
      </c>
      <c r="K1904" s="7" t="n">
        <v>49</v>
      </c>
      <c r="L1904" s="7" t="n">
        <v>1</v>
      </c>
      <c r="M1904" s="7" t="n">
        <v>0</v>
      </c>
      <c r="N1904" s="7" t="s">
        <v>71</v>
      </c>
      <c r="O1904" s="7"/>
      <c r="P1904" s="7" t="n">
        <v>8.3</v>
      </c>
      <c r="Q1904" s="7" t="n">
        <v>30</v>
      </c>
      <c r="R1904" s="7" t="s">
        <v>44</v>
      </c>
      <c r="S1904" s="7"/>
      <c r="T1904" s="7"/>
      <c r="U1904" s="7" t="str">
        <f aca="false">IF(COUNTIF($A$2:$A$5001,A1904)&gt;1,"Duplicate","Unique")</f>
        <v>Unique</v>
      </c>
      <c r="V1904" s="7" t="str">
        <f aca="false">IF(COUNTIFS($B$2:$B$5001,B1904,$H$2:$H$5001,H1904,$J$2:$J$5001,J1904)&gt;1,"Possible Duplicate Booking","Unique")</f>
        <v>Unique</v>
      </c>
      <c r="W1904" s="7" t="str">
        <f aca="false">IF((H1904-G1904)&lt;&gt;K1904,"Mismatch","OK")</f>
        <v>OK</v>
      </c>
      <c r="X1904" s="7" t="str">
        <f aca="false">IF(TEXT(H1904,"dddd")&lt;&gt;I1904,"Mismatch","OK")</f>
        <v>OK</v>
      </c>
      <c r="Y1904" s="7" t="str">
        <f aca="false">IF(AND(N1904="No",O1904&lt;&gt;""),"Unexpected: channel present but no reminder sent",IF(AND(N1904="Yes",O1904=""),"Missing channel for sent reminder","OK"))</f>
        <v>OK</v>
      </c>
    </row>
    <row r="1905" customFormat="false" ht="15" hidden="false" customHeight="false" outlineLevel="0" collapsed="false">
      <c r="A1905" s="9" t="s">
        <v>3150</v>
      </c>
      <c r="B1905" s="9" t="s">
        <v>1665</v>
      </c>
      <c r="C1905" s="9" t="s">
        <v>47</v>
      </c>
      <c r="D1905" s="9" t="n">
        <v>46</v>
      </c>
      <c r="E1905" s="9" t="s">
        <v>56</v>
      </c>
      <c r="F1905" s="9" t="s">
        <v>39</v>
      </c>
      <c r="G1905" s="10" t="n">
        <v>45759</v>
      </c>
      <c r="H1905" s="10" t="n">
        <v>45793</v>
      </c>
      <c r="I1905" s="9" t="s">
        <v>50</v>
      </c>
      <c r="J1905" s="9" t="s">
        <v>41</v>
      </c>
      <c r="K1905" s="9" t="n">
        <v>34</v>
      </c>
      <c r="L1905" s="9" t="n">
        <v>3</v>
      </c>
      <c r="M1905" s="9" t="n">
        <v>1</v>
      </c>
      <c r="N1905" s="9" t="s">
        <v>42</v>
      </c>
      <c r="O1905" s="9" t="s">
        <v>52</v>
      </c>
      <c r="P1905" s="9" t="n">
        <v>4.1</v>
      </c>
      <c r="Q1905" s="9" t="n">
        <v>37</v>
      </c>
      <c r="R1905" s="9" t="s">
        <v>53</v>
      </c>
      <c r="S1905" s="9"/>
      <c r="T1905" s="9"/>
      <c r="U1905" s="9" t="str">
        <f aca="false">IF(COUNTIF($A$2:$A$5001,A1905)&gt;1,"Duplicate","Unique")</f>
        <v>Unique</v>
      </c>
      <c r="V1905" s="9" t="str">
        <f aca="false">IF(COUNTIFS($B$2:$B$5001,B1905,$H$2:$H$5001,H1905,$J$2:$J$5001,J1905)&gt;1,"Possible Duplicate Booking","Unique")</f>
        <v>Unique</v>
      </c>
      <c r="W1905" s="9" t="str">
        <f aca="false">IF((H1905-G1905)&lt;&gt;K1905,"Mismatch","OK")</f>
        <v>OK</v>
      </c>
      <c r="X1905" s="9" t="str">
        <f aca="false">IF(TEXT(H1905,"dddd")&lt;&gt;I1905,"Mismatch","OK")</f>
        <v>OK</v>
      </c>
      <c r="Y1905" s="9" t="str">
        <f aca="false">IF(AND(N1905="No",O1905&lt;&gt;""),"Unexpected: channel present but no reminder sent",IF(AND(N1905="Yes",O1905=""),"Missing channel for sent reminder","OK"))</f>
        <v>OK</v>
      </c>
    </row>
    <row r="1906" customFormat="false" ht="15" hidden="false" customHeight="false" outlineLevel="0" collapsed="false">
      <c r="A1906" s="7" t="s">
        <v>3151</v>
      </c>
      <c r="B1906" s="7" t="s">
        <v>235</v>
      </c>
      <c r="C1906" s="7" t="s">
        <v>47</v>
      </c>
      <c r="D1906" s="7" t="n">
        <v>49</v>
      </c>
      <c r="E1906" s="7" t="s">
        <v>56</v>
      </c>
      <c r="F1906" s="7" t="s">
        <v>49</v>
      </c>
      <c r="G1906" s="8" t="n">
        <v>45800</v>
      </c>
      <c r="H1906" s="8" t="n">
        <v>45839</v>
      </c>
      <c r="I1906" s="7" t="s">
        <v>40</v>
      </c>
      <c r="J1906" s="7" t="s">
        <v>63</v>
      </c>
      <c r="K1906" s="7" t="n">
        <v>39</v>
      </c>
      <c r="L1906" s="7" t="n">
        <v>4</v>
      </c>
      <c r="M1906" s="7" t="n">
        <v>2</v>
      </c>
      <c r="N1906" s="7" t="s">
        <v>71</v>
      </c>
      <c r="O1906" s="7"/>
      <c r="P1906" s="7" t="n">
        <v>12.6</v>
      </c>
      <c r="Q1906" s="7" t="n">
        <v>42</v>
      </c>
      <c r="R1906" s="7" t="s">
        <v>44</v>
      </c>
      <c r="S1906" s="7"/>
      <c r="T1906" s="7"/>
      <c r="U1906" s="7" t="str">
        <f aca="false">IF(COUNTIF($A$2:$A$5001,A1906)&gt;1,"Duplicate","Unique")</f>
        <v>Unique</v>
      </c>
      <c r="V1906" s="7" t="str">
        <f aca="false">IF(COUNTIFS($B$2:$B$5001,B1906,$H$2:$H$5001,H1906,$J$2:$J$5001,J1906)&gt;1,"Possible Duplicate Booking","Unique")</f>
        <v>Unique</v>
      </c>
      <c r="W1906" s="7" t="str">
        <f aca="false">IF((H1906-G1906)&lt;&gt;K1906,"Mismatch","OK")</f>
        <v>OK</v>
      </c>
      <c r="X1906" s="7" t="str">
        <f aca="false">IF(TEXT(H1906,"dddd")&lt;&gt;I1906,"Mismatch","OK")</f>
        <v>OK</v>
      </c>
      <c r="Y1906" s="7" t="str">
        <f aca="false">IF(AND(N1906="No",O1906&lt;&gt;""),"Unexpected: channel present but no reminder sent",IF(AND(N1906="Yes",O1906=""),"Missing channel for sent reminder","OK"))</f>
        <v>OK</v>
      </c>
    </row>
    <row r="1907" customFormat="false" ht="15" hidden="false" customHeight="false" outlineLevel="0" collapsed="false">
      <c r="A1907" s="9" t="s">
        <v>3152</v>
      </c>
      <c r="B1907" s="9" t="s">
        <v>3153</v>
      </c>
      <c r="C1907" s="9" t="s">
        <v>47</v>
      </c>
      <c r="D1907" s="9" t="n">
        <v>46</v>
      </c>
      <c r="E1907" s="9" t="s">
        <v>56</v>
      </c>
      <c r="F1907" s="9" t="s">
        <v>39</v>
      </c>
      <c r="G1907" s="10" t="n">
        <v>45791</v>
      </c>
      <c r="H1907" s="10" t="n">
        <v>45791</v>
      </c>
      <c r="I1907" s="9" t="s">
        <v>58</v>
      </c>
      <c r="J1907" s="9" t="s">
        <v>63</v>
      </c>
      <c r="K1907" s="9" t="n">
        <v>0</v>
      </c>
      <c r="L1907" s="9" t="n">
        <v>5</v>
      </c>
      <c r="M1907" s="9" t="n">
        <v>0</v>
      </c>
      <c r="N1907" s="9" t="s">
        <v>42</v>
      </c>
      <c r="O1907" s="9" t="s">
        <v>52</v>
      </c>
      <c r="P1907" s="9" t="n">
        <v>7.4</v>
      </c>
      <c r="Q1907" s="9" t="n">
        <v>22</v>
      </c>
      <c r="R1907" s="9" t="s">
        <v>53</v>
      </c>
      <c r="S1907" s="9"/>
      <c r="T1907" s="9"/>
      <c r="U1907" s="9" t="str">
        <f aca="false">IF(COUNTIF($A$2:$A$5001,A1907)&gt;1,"Duplicate","Unique")</f>
        <v>Unique</v>
      </c>
      <c r="V1907" s="9" t="str">
        <f aca="false">IF(COUNTIFS($B$2:$B$5001,B1907,$H$2:$H$5001,H1907,$J$2:$J$5001,J1907)&gt;1,"Possible Duplicate Booking","Unique")</f>
        <v>Unique</v>
      </c>
      <c r="W1907" s="9" t="str">
        <f aca="false">IF((H1907-G1907)&lt;&gt;K1907,"Mismatch","OK")</f>
        <v>OK</v>
      </c>
      <c r="X1907" s="9" t="str">
        <f aca="false">IF(TEXT(H1907,"dddd")&lt;&gt;I1907,"Mismatch","OK")</f>
        <v>OK</v>
      </c>
      <c r="Y1907" s="9" t="str">
        <f aca="false">IF(AND(N1907="No",O1907&lt;&gt;""),"Unexpected: channel present but no reminder sent",IF(AND(N1907="Yes",O1907=""),"Missing channel for sent reminder","OK"))</f>
        <v>OK</v>
      </c>
    </row>
    <row r="1908" customFormat="false" ht="15" hidden="false" customHeight="false" outlineLevel="0" collapsed="false">
      <c r="A1908" s="7" t="s">
        <v>3154</v>
      </c>
      <c r="B1908" s="7" t="s">
        <v>1101</v>
      </c>
      <c r="C1908" s="7" t="s">
        <v>47</v>
      </c>
      <c r="D1908" s="7" t="n">
        <v>70</v>
      </c>
      <c r="E1908" s="7" t="s">
        <v>70</v>
      </c>
      <c r="F1908" s="7" t="s">
        <v>39</v>
      </c>
      <c r="G1908" s="8" t="n">
        <v>45818</v>
      </c>
      <c r="H1908" s="8" t="n">
        <v>45819</v>
      </c>
      <c r="I1908" s="7" t="s">
        <v>58</v>
      </c>
      <c r="J1908" s="7" t="s">
        <v>51</v>
      </c>
      <c r="K1908" s="7" t="n">
        <v>1</v>
      </c>
      <c r="L1908" s="7" t="n">
        <v>4</v>
      </c>
      <c r="M1908" s="7" t="n">
        <v>2</v>
      </c>
      <c r="N1908" s="7" t="s">
        <v>71</v>
      </c>
      <c r="O1908" s="7"/>
      <c r="P1908" s="7" t="n">
        <v>8.5</v>
      </c>
      <c r="Q1908" s="7" t="n">
        <v>16</v>
      </c>
      <c r="R1908" s="7" t="s">
        <v>44</v>
      </c>
      <c r="S1908" s="7"/>
      <c r="T1908" s="7"/>
      <c r="U1908" s="7" t="str">
        <f aca="false">IF(COUNTIF($A$2:$A$5001,A1908)&gt;1,"Duplicate","Unique")</f>
        <v>Unique</v>
      </c>
      <c r="V1908" s="7" t="str">
        <f aca="false">IF(COUNTIFS($B$2:$B$5001,B1908,$H$2:$H$5001,H1908,$J$2:$J$5001,J1908)&gt;1,"Possible Duplicate Booking","Unique")</f>
        <v>Unique</v>
      </c>
      <c r="W1908" s="7" t="str">
        <f aca="false">IF((H1908-G1908)&lt;&gt;K1908,"Mismatch","OK")</f>
        <v>OK</v>
      </c>
      <c r="X1908" s="7" t="str">
        <f aca="false">IF(TEXT(H1908,"dddd")&lt;&gt;I1908,"Mismatch","OK")</f>
        <v>OK</v>
      </c>
      <c r="Y1908" s="7" t="str">
        <f aca="false">IF(AND(N1908="No",O1908&lt;&gt;""),"Unexpected: channel present but no reminder sent",IF(AND(N1908="Yes",O1908=""),"Missing channel for sent reminder","OK"))</f>
        <v>OK</v>
      </c>
    </row>
    <row r="1909" customFormat="false" ht="15" hidden="false" customHeight="false" outlineLevel="0" collapsed="false">
      <c r="A1909" s="9" t="s">
        <v>3155</v>
      </c>
      <c r="B1909" s="9" t="s">
        <v>2524</v>
      </c>
      <c r="C1909" s="9" t="s">
        <v>37</v>
      </c>
      <c r="D1909" s="9" t="n">
        <v>20</v>
      </c>
      <c r="E1909" s="9" t="s">
        <v>82</v>
      </c>
      <c r="F1909" s="9" t="s">
        <v>57</v>
      </c>
      <c r="G1909" s="10" t="n">
        <v>45744</v>
      </c>
      <c r="H1909" s="10" t="n">
        <v>45746</v>
      </c>
      <c r="I1909" s="9" t="s">
        <v>75</v>
      </c>
      <c r="J1909" s="9" t="s">
        <v>41</v>
      </c>
      <c r="K1909" s="9" t="n">
        <v>2</v>
      </c>
      <c r="L1909" s="9" t="n">
        <v>7</v>
      </c>
      <c r="M1909" s="9" t="n">
        <v>0</v>
      </c>
      <c r="N1909" s="9" t="s">
        <v>71</v>
      </c>
      <c r="O1909" s="9"/>
      <c r="P1909" s="9" t="n">
        <v>7.9</v>
      </c>
      <c r="Q1909" s="9" t="n">
        <v>29</v>
      </c>
      <c r="R1909" s="9" t="s">
        <v>53</v>
      </c>
      <c r="S1909" s="9"/>
      <c r="T1909" s="9"/>
      <c r="U1909" s="9" t="str">
        <f aca="false">IF(COUNTIF($A$2:$A$5001,A1909)&gt;1,"Duplicate","Unique")</f>
        <v>Unique</v>
      </c>
      <c r="V1909" s="9" t="str">
        <f aca="false">IF(COUNTIFS($B$2:$B$5001,B1909,$H$2:$H$5001,H1909,$J$2:$J$5001,J1909)&gt;1,"Possible Duplicate Booking","Unique")</f>
        <v>Unique</v>
      </c>
      <c r="W1909" s="9" t="str">
        <f aca="false">IF((H1909-G1909)&lt;&gt;K1909,"Mismatch","OK")</f>
        <v>OK</v>
      </c>
      <c r="X1909" s="9" t="str">
        <f aca="false">IF(TEXT(H1909,"dddd")&lt;&gt;I1909,"Mismatch","OK")</f>
        <v>OK</v>
      </c>
      <c r="Y1909" s="9" t="str">
        <f aca="false">IF(AND(N1909="No",O1909&lt;&gt;""),"Unexpected: channel present but no reminder sent",IF(AND(N1909="Yes",O1909=""),"Missing channel for sent reminder","OK"))</f>
        <v>OK</v>
      </c>
    </row>
    <row r="1910" customFormat="false" ht="15" hidden="false" customHeight="false" outlineLevel="0" collapsed="false">
      <c r="A1910" s="7" t="s">
        <v>3156</v>
      </c>
      <c r="B1910" s="7" t="s">
        <v>3157</v>
      </c>
      <c r="C1910" s="7" t="s">
        <v>47</v>
      </c>
      <c r="D1910" s="7" t="n">
        <v>51</v>
      </c>
      <c r="E1910" s="7" t="s">
        <v>56</v>
      </c>
      <c r="F1910" s="7" t="s">
        <v>49</v>
      </c>
      <c r="G1910" s="8" t="n">
        <v>45668</v>
      </c>
      <c r="H1910" s="8" t="n">
        <v>45677</v>
      </c>
      <c r="I1910" s="7" t="s">
        <v>66</v>
      </c>
      <c r="J1910" s="7" t="s">
        <v>51</v>
      </c>
      <c r="K1910" s="7" t="n">
        <v>9</v>
      </c>
      <c r="L1910" s="7" t="n">
        <v>4</v>
      </c>
      <c r="M1910" s="7" t="n">
        <v>1</v>
      </c>
      <c r="N1910" s="7" t="s">
        <v>71</v>
      </c>
      <c r="O1910" s="7"/>
      <c r="P1910" s="7" t="n">
        <v>14</v>
      </c>
      <c r="Q1910" s="7" t="n">
        <v>20</v>
      </c>
      <c r="R1910" s="7" t="s">
        <v>87</v>
      </c>
      <c r="S1910" s="7"/>
      <c r="T1910" s="7"/>
      <c r="U1910" s="7" t="str">
        <f aca="false">IF(COUNTIF($A$2:$A$5001,A1910)&gt;1,"Duplicate","Unique")</f>
        <v>Unique</v>
      </c>
      <c r="V1910" s="7" t="str">
        <f aca="false">IF(COUNTIFS($B$2:$B$5001,B1910,$H$2:$H$5001,H1910,$J$2:$J$5001,J1910)&gt;1,"Possible Duplicate Booking","Unique")</f>
        <v>Unique</v>
      </c>
      <c r="W1910" s="7" t="str">
        <f aca="false">IF((H1910-G1910)&lt;&gt;K1910,"Mismatch","OK")</f>
        <v>OK</v>
      </c>
      <c r="X1910" s="7" t="str">
        <f aca="false">IF(TEXT(H1910,"dddd")&lt;&gt;I1910,"Mismatch","OK")</f>
        <v>OK</v>
      </c>
      <c r="Y1910" s="7" t="str">
        <f aca="false">IF(AND(N1910="No",O1910&lt;&gt;""),"Unexpected: channel present but no reminder sent",IF(AND(N1910="Yes",O1910=""),"Missing channel for sent reminder","OK"))</f>
        <v>OK</v>
      </c>
    </row>
    <row r="1911" customFormat="false" ht="15" hidden="false" customHeight="false" outlineLevel="0" collapsed="false">
      <c r="A1911" s="9" t="s">
        <v>3158</v>
      </c>
      <c r="B1911" s="9" t="s">
        <v>1044</v>
      </c>
      <c r="C1911" s="9" t="s">
        <v>47</v>
      </c>
      <c r="D1911" s="9" t="n">
        <v>45</v>
      </c>
      <c r="E1911" s="9" t="s">
        <v>56</v>
      </c>
      <c r="F1911" s="9" t="s">
        <v>39</v>
      </c>
      <c r="G1911" s="10" t="n">
        <v>46111</v>
      </c>
      <c r="H1911" s="10" t="n">
        <v>46171</v>
      </c>
      <c r="I1911" s="9" t="s">
        <v>50</v>
      </c>
      <c r="J1911" s="9" t="s">
        <v>41</v>
      </c>
      <c r="K1911" s="9" t="n">
        <v>60</v>
      </c>
      <c r="L1911" s="9" t="n">
        <v>1</v>
      </c>
      <c r="M1911" s="9" t="n">
        <v>0</v>
      </c>
      <c r="N1911" s="9" t="s">
        <v>42</v>
      </c>
      <c r="O1911" s="9" t="s">
        <v>52</v>
      </c>
      <c r="P1911" s="9" t="n">
        <v>10.9</v>
      </c>
      <c r="Q1911" s="9" t="n">
        <v>17</v>
      </c>
      <c r="R1911" s="9" t="s">
        <v>44</v>
      </c>
      <c r="S1911" s="9"/>
      <c r="T1911" s="9"/>
      <c r="U1911" s="9" t="str">
        <f aca="false">IF(COUNTIF($A$2:$A$5001,A1911)&gt;1,"Duplicate","Unique")</f>
        <v>Unique</v>
      </c>
      <c r="V1911" s="9" t="str">
        <f aca="false">IF(COUNTIFS($B$2:$B$5001,B1911,$H$2:$H$5001,H1911,$J$2:$J$5001,J1911)&gt;1,"Possible Duplicate Booking","Unique")</f>
        <v>Unique</v>
      </c>
      <c r="W1911" s="9" t="str">
        <f aca="false">IF((H1911-G1911)&lt;&gt;K1911,"Mismatch","OK")</f>
        <v>OK</v>
      </c>
      <c r="X1911" s="9" t="str">
        <f aca="false">IF(TEXT(H1911,"dddd")&lt;&gt;I1911,"Mismatch","OK")</f>
        <v>OK</v>
      </c>
      <c r="Y1911" s="9" t="str">
        <f aca="false">IF(AND(N1911="No",O1911&lt;&gt;""),"Unexpected: channel present but no reminder sent",IF(AND(N1911="Yes",O1911=""),"Missing channel for sent reminder","OK"))</f>
        <v>OK</v>
      </c>
    </row>
    <row r="1912" customFormat="false" ht="15" hidden="false" customHeight="false" outlineLevel="0" collapsed="false">
      <c r="A1912" s="7" t="s">
        <v>3159</v>
      </c>
      <c r="B1912" s="7" t="s">
        <v>2100</v>
      </c>
      <c r="C1912" s="7" t="s">
        <v>47</v>
      </c>
      <c r="D1912" s="7" t="n">
        <v>31</v>
      </c>
      <c r="E1912" s="7" t="s">
        <v>48</v>
      </c>
      <c r="F1912" s="7" t="s">
        <v>57</v>
      </c>
      <c r="G1912" s="8" t="n">
        <v>45660</v>
      </c>
      <c r="H1912" s="8" t="n">
        <v>45698</v>
      </c>
      <c r="I1912" s="7" t="s">
        <v>66</v>
      </c>
      <c r="J1912" s="7" t="s">
        <v>51</v>
      </c>
      <c r="K1912" s="7" t="n">
        <v>38</v>
      </c>
      <c r="L1912" s="7" t="n">
        <v>3</v>
      </c>
      <c r="M1912" s="7" t="n">
        <v>0</v>
      </c>
      <c r="N1912" s="7" t="s">
        <v>42</v>
      </c>
      <c r="O1912" s="7" t="s">
        <v>67</v>
      </c>
      <c r="P1912" s="7" t="n">
        <v>8.5</v>
      </c>
      <c r="Q1912" s="7" t="n">
        <v>24</v>
      </c>
      <c r="R1912" s="7" t="s">
        <v>44</v>
      </c>
      <c r="S1912" s="7"/>
      <c r="T1912" s="7"/>
      <c r="U1912" s="7" t="str">
        <f aca="false">IF(COUNTIF($A$2:$A$5001,A1912)&gt;1,"Duplicate","Unique")</f>
        <v>Unique</v>
      </c>
      <c r="V1912" s="7" t="str">
        <f aca="false">IF(COUNTIFS($B$2:$B$5001,B1912,$H$2:$H$5001,H1912,$J$2:$J$5001,J1912)&gt;1,"Possible Duplicate Booking","Unique")</f>
        <v>Unique</v>
      </c>
      <c r="W1912" s="7" t="str">
        <f aca="false">IF((H1912-G1912)&lt;&gt;K1912,"Mismatch","OK")</f>
        <v>OK</v>
      </c>
      <c r="X1912" s="7" t="str">
        <f aca="false">IF(TEXT(H1912,"dddd")&lt;&gt;I1912,"Mismatch","OK")</f>
        <v>OK</v>
      </c>
      <c r="Y1912" s="7" t="str">
        <f aca="false">IF(AND(N1912="No",O1912&lt;&gt;""),"Unexpected: channel present but no reminder sent",IF(AND(N1912="Yes",O1912=""),"Missing channel for sent reminder","OK"))</f>
        <v>OK</v>
      </c>
    </row>
    <row r="1913" customFormat="false" ht="15" hidden="false" customHeight="false" outlineLevel="0" collapsed="false">
      <c r="A1913" s="9" t="s">
        <v>3160</v>
      </c>
      <c r="B1913" s="9" t="s">
        <v>3161</v>
      </c>
      <c r="C1913" s="9" t="s">
        <v>37</v>
      </c>
      <c r="D1913" s="9" t="n">
        <v>58</v>
      </c>
      <c r="E1913" s="9" t="s">
        <v>61</v>
      </c>
      <c r="F1913" s="9" t="s">
        <v>57</v>
      </c>
      <c r="G1913" s="10" t="n">
        <v>46095</v>
      </c>
      <c r="H1913" s="10" t="n">
        <v>46142</v>
      </c>
      <c r="I1913" s="9" t="s">
        <v>62</v>
      </c>
      <c r="J1913" s="9" t="s">
        <v>51</v>
      </c>
      <c r="K1913" s="9" t="n">
        <v>47</v>
      </c>
      <c r="L1913" s="9" t="n">
        <v>1</v>
      </c>
      <c r="M1913" s="9" t="n">
        <v>1</v>
      </c>
      <c r="N1913" s="9" t="s">
        <v>42</v>
      </c>
      <c r="O1913" s="9" t="s">
        <v>52</v>
      </c>
      <c r="P1913" s="9" t="n">
        <v>10.4</v>
      </c>
      <c r="Q1913" s="9" t="n">
        <v>18</v>
      </c>
      <c r="R1913" s="9" t="s">
        <v>53</v>
      </c>
      <c r="S1913" s="9"/>
      <c r="T1913" s="9"/>
      <c r="U1913" s="9" t="str">
        <f aca="false">IF(COUNTIF($A$2:$A$5001,A1913)&gt;1,"Duplicate","Unique")</f>
        <v>Unique</v>
      </c>
      <c r="V1913" s="9" t="str">
        <f aca="false">IF(COUNTIFS($B$2:$B$5001,B1913,$H$2:$H$5001,H1913,$J$2:$J$5001,J1913)&gt;1,"Possible Duplicate Booking","Unique")</f>
        <v>Unique</v>
      </c>
      <c r="W1913" s="9" t="str">
        <f aca="false">IF((H1913-G1913)&lt;&gt;K1913,"Mismatch","OK")</f>
        <v>OK</v>
      </c>
      <c r="X1913" s="9" t="str">
        <f aca="false">IF(TEXT(H1913,"dddd")&lt;&gt;I1913,"Mismatch","OK")</f>
        <v>OK</v>
      </c>
      <c r="Y1913" s="9" t="str">
        <f aca="false">IF(AND(N1913="No",O1913&lt;&gt;""),"Unexpected: channel present but no reminder sent",IF(AND(N1913="Yes",O1913=""),"Missing channel for sent reminder","OK"))</f>
        <v>OK</v>
      </c>
    </row>
    <row r="1914" customFormat="false" ht="15" hidden="false" customHeight="false" outlineLevel="0" collapsed="false">
      <c r="A1914" s="7" t="s">
        <v>3162</v>
      </c>
      <c r="B1914" s="7" t="s">
        <v>3163</v>
      </c>
      <c r="C1914" s="7" t="s">
        <v>37</v>
      </c>
      <c r="D1914" s="7" t="n">
        <v>68</v>
      </c>
      <c r="E1914" s="7" t="s">
        <v>70</v>
      </c>
      <c r="F1914" s="7" t="s">
        <v>57</v>
      </c>
      <c r="G1914" s="8" t="n">
        <v>45641</v>
      </c>
      <c r="H1914" s="8" t="n">
        <v>45659</v>
      </c>
      <c r="I1914" s="7" t="s">
        <v>62</v>
      </c>
      <c r="J1914" s="7" t="s">
        <v>51</v>
      </c>
      <c r="K1914" s="7" t="n">
        <v>18</v>
      </c>
      <c r="L1914" s="7" t="n">
        <v>3</v>
      </c>
      <c r="M1914" s="7" t="n">
        <v>0</v>
      </c>
      <c r="N1914" s="7" t="s">
        <v>42</v>
      </c>
      <c r="O1914" s="7" t="s">
        <v>43</v>
      </c>
      <c r="P1914" s="7" t="n">
        <v>4.2</v>
      </c>
      <c r="Q1914" s="7" t="n">
        <v>47</v>
      </c>
      <c r="R1914" s="7" t="s">
        <v>53</v>
      </c>
      <c r="S1914" s="7"/>
      <c r="T1914" s="7"/>
      <c r="U1914" s="7" t="str">
        <f aca="false">IF(COUNTIF($A$2:$A$5001,A1914)&gt;1,"Duplicate","Unique")</f>
        <v>Unique</v>
      </c>
      <c r="V1914" s="7" t="str">
        <f aca="false">IF(COUNTIFS($B$2:$B$5001,B1914,$H$2:$H$5001,H1914,$J$2:$J$5001,J1914)&gt;1,"Possible Duplicate Booking","Unique")</f>
        <v>Unique</v>
      </c>
      <c r="W1914" s="7" t="str">
        <f aca="false">IF((H1914-G1914)&lt;&gt;K1914,"Mismatch","OK")</f>
        <v>OK</v>
      </c>
      <c r="X1914" s="7" t="str">
        <f aca="false">IF(TEXT(H1914,"dddd")&lt;&gt;I1914,"Mismatch","OK")</f>
        <v>OK</v>
      </c>
      <c r="Y1914" s="7" t="str">
        <f aca="false">IF(AND(N1914="No",O1914&lt;&gt;""),"Unexpected: channel present but no reminder sent",IF(AND(N1914="Yes",O1914=""),"Missing channel for sent reminder","OK"))</f>
        <v>OK</v>
      </c>
    </row>
    <row r="1915" customFormat="false" ht="15" hidden="false" customHeight="false" outlineLevel="0" collapsed="false">
      <c r="A1915" s="9" t="s">
        <v>3164</v>
      </c>
      <c r="B1915" s="9" t="s">
        <v>1337</v>
      </c>
      <c r="C1915" s="9" t="s">
        <v>47</v>
      </c>
      <c r="D1915" s="9" t="n">
        <v>52</v>
      </c>
      <c r="E1915" s="9" t="s">
        <v>56</v>
      </c>
      <c r="F1915" s="9" t="s">
        <v>74</v>
      </c>
      <c r="G1915" s="10" t="n">
        <v>46025</v>
      </c>
      <c r="H1915" s="10" t="n">
        <v>46082</v>
      </c>
      <c r="I1915" s="9" t="s">
        <v>75</v>
      </c>
      <c r="J1915" s="9" t="s">
        <v>41</v>
      </c>
      <c r="K1915" s="9" t="n">
        <v>57</v>
      </c>
      <c r="L1915" s="9" t="n">
        <v>2</v>
      </c>
      <c r="M1915" s="9" t="n">
        <v>0</v>
      </c>
      <c r="N1915" s="9" t="s">
        <v>71</v>
      </c>
      <c r="O1915" s="9"/>
      <c r="P1915" s="9" t="n">
        <v>13.3</v>
      </c>
      <c r="Q1915" s="9" t="n">
        <v>21</v>
      </c>
      <c r="R1915" s="9" t="s">
        <v>44</v>
      </c>
      <c r="S1915" s="9"/>
      <c r="T1915" s="9"/>
      <c r="U1915" s="9" t="str">
        <f aca="false">IF(COUNTIF($A$2:$A$5001,A1915)&gt;1,"Duplicate","Unique")</f>
        <v>Unique</v>
      </c>
      <c r="V1915" s="9" t="str">
        <f aca="false">IF(COUNTIFS($B$2:$B$5001,B1915,$H$2:$H$5001,H1915,$J$2:$J$5001,J1915)&gt;1,"Possible Duplicate Booking","Unique")</f>
        <v>Unique</v>
      </c>
      <c r="W1915" s="9" t="str">
        <f aca="false">IF((H1915-G1915)&lt;&gt;K1915,"Mismatch","OK")</f>
        <v>OK</v>
      </c>
      <c r="X1915" s="9" t="str">
        <f aca="false">IF(TEXT(H1915,"dddd")&lt;&gt;I1915,"Mismatch","OK")</f>
        <v>OK</v>
      </c>
      <c r="Y1915" s="9" t="str">
        <f aca="false">IF(AND(N1915="No",O1915&lt;&gt;""),"Unexpected: channel present but no reminder sent",IF(AND(N1915="Yes",O1915=""),"Missing channel for sent reminder","OK"))</f>
        <v>OK</v>
      </c>
    </row>
    <row r="1916" customFormat="false" ht="15" hidden="false" customHeight="false" outlineLevel="0" collapsed="false">
      <c r="A1916" s="7" t="s">
        <v>3165</v>
      </c>
      <c r="B1916" s="7" t="s">
        <v>248</v>
      </c>
      <c r="C1916" s="7" t="s">
        <v>37</v>
      </c>
      <c r="D1916" s="7" t="n">
        <v>23</v>
      </c>
      <c r="E1916" s="7" t="s">
        <v>82</v>
      </c>
      <c r="F1916" s="7" t="s">
        <v>49</v>
      </c>
      <c r="G1916" s="8" t="n">
        <v>45825</v>
      </c>
      <c r="H1916" s="8" t="n">
        <v>45837</v>
      </c>
      <c r="I1916" s="7" t="s">
        <v>75</v>
      </c>
      <c r="J1916" s="7" t="s">
        <v>51</v>
      </c>
      <c r="K1916" s="7" t="n">
        <v>12</v>
      </c>
      <c r="L1916" s="7" t="n">
        <v>0</v>
      </c>
      <c r="M1916" s="7" t="n">
        <v>0</v>
      </c>
      <c r="N1916" s="7" t="s">
        <v>42</v>
      </c>
      <c r="O1916" s="7" t="s">
        <v>52</v>
      </c>
      <c r="P1916" s="7" t="n">
        <v>11.1</v>
      </c>
      <c r="Q1916" s="7" t="n">
        <v>24</v>
      </c>
      <c r="R1916" s="7" t="s">
        <v>53</v>
      </c>
      <c r="S1916" s="7"/>
      <c r="T1916" s="7"/>
      <c r="U1916" s="7" t="str">
        <f aca="false">IF(COUNTIF($A$2:$A$5001,A1916)&gt;1,"Duplicate","Unique")</f>
        <v>Unique</v>
      </c>
      <c r="V1916" s="7" t="str">
        <f aca="false">IF(COUNTIFS($B$2:$B$5001,B1916,$H$2:$H$5001,H1916,$J$2:$J$5001,J1916)&gt;1,"Possible Duplicate Booking","Unique")</f>
        <v>Unique</v>
      </c>
      <c r="W1916" s="7" t="str">
        <f aca="false">IF((H1916-G1916)&lt;&gt;K1916,"Mismatch","OK")</f>
        <v>OK</v>
      </c>
      <c r="X1916" s="7" t="str">
        <f aca="false">IF(TEXT(H1916,"dddd")&lt;&gt;I1916,"Mismatch","OK")</f>
        <v>OK</v>
      </c>
      <c r="Y1916" s="7" t="str">
        <f aca="false">IF(AND(N1916="No",O1916&lt;&gt;""),"Unexpected: channel present but no reminder sent",IF(AND(N1916="Yes",O1916=""),"Missing channel for sent reminder","OK"))</f>
        <v>OK</v>
      </c>
    </row>
    <row r="1917" customFormat="false" ht="15" hidden="false" customHeight="false" outlineLevel="0" collapsed="false">
      <c r="A1917" s="9" t="s">
        <v>3166</v>
      </c>
      <c r="B1917" s="9" t="s">
        <v>1053</v>
      </c>
      <c r="C1917" s="9" t="s">
        <v>47</v>
      </c>
      <c r="D1917" s="9" t="n">
        <v>22</v>
      </c>
      <c r="E1917" s="9" t="s">
        <v>82</v>
      </c>
      <c r="F1917" s="9" t="s">
        <v>39</v>
      </c>
      <c r="G1917" s="10" t="n">
        <v>45885</v>
      </c>
      <c r="H1917" s="10" t="n">
        <v>45940</v>
      </c>
      <c r="I1917" s="9" t="s">
        <v>50</v>
      </c>
      <c r="J1917" s="9" t="s">
        <v>41</v>
      </c>
      <c r="K1917" s="9" t="n">
        <v>55</v>
      </c>
      <c r="L1917" s="9" t="n">
        <v>0</v>
      </c>
      <c r="M1917" s="9" t="n">
        <v>0</v>
      </c>
      <c r="N1917" s="9" t="s">
        <v>42</v>
      </c>
      <c r="O1917" s="9" t="s">
        <v>43</v>
      </c>
      <c r="P1917" s="9" t="n">
        <v>21.7</v>
      </c>
      <c r="Q1917" s="9" t="n">
        <v>33</v>
      </c>
      <c r="R1917" s="9" t="s">
        <v>53</v>
      </c>
      <c r="S1917" s="9"/>
      <c r="T1917" s="9"/>
      <c r="U1917" s="9" t="str">
        <f aca="false">IF(COUNTIF($A$2:$A$5001,A1917)&gt;1,"Duplicate","Unique")</f>
        <v>Unique</v>
      </c>
      <c r="V1917" s="9" t="str">
        <f aca="false">IF(COUNTIFS($B$2:$B$5001,B1917,$H$2:$H$5001,H1917,$J$2:$J$5001,J1917)&gt;1,"Possible Duplicate Booking","Unique")</f>
        <v>Unique</v>
      </c>
      <c r="W1917" s="9" t="str">
        <f aca="false">IF((H1917-G1917)&lt;&gt;K1917,"Mismatch","OK")</f>
        <v>OK</v>
      </c>
      <c r="X1917" s="9" t="str">
        <f aca="false">IF(TEXT(H1917,"dddd")&lt;&gt;I1917,"Mismatch","OK")</f>
        <v>OK</v>
      </c>
      <c r="Y1917" s="9" t="str">
        <f aca="false">IF(AND(N1917="No",O1917&lt;&gt;""),"Unexpected: channel present but no reminder sent",IF(AND(N1917="Yes",O1917=""),"Missing channel for sent reminder","OK"))</f>
        <v>OK</v>
      </c>
    </row>
    <row r="1918" customFormat="false" ht="15" hidden="false" customHeight="false" outlineLevel="0" collapsed="false">
      <c r="A1918" s="7" t="s">
        <v>3167</v>
      </c>
      <c r="B1918" s="7" t="s">
        <v>1282</v>
      </c>
      <c r="C1918" s="7" t="s">
        <v>37</v>
      </c>
      <c r="D1918" s="7" t="n">
        <v>44</v>
      </c>
      <c r="E1918" s="7" t="s">
        <v>38</v>
      </c>
      <c r="F1918" s="7" t="s">
        <v>57</v>
      </c>
      <c r="G1918" s="8" t="n">
        <v>45811</v>
      </c>
      <c r="H1918" s="8" t="n">
        <v>45812</v>
      </c>
      <c r="I1918" s="7" t="s">
        <v>58</v>
      </c>
      <c r="J1918" s="7" t="s">
        <v>41</v>
      </c>
      <c r="K1918" s="7" t="n">
        <v>1</v>
      </c>
      <c r="L1918" s="7" t="n">
        <v>5</v>
      </c>
      <c r="M1918" s="7" t="n">
        <v>1</v>
      </c>
      <c r="N1918" s="7" t="s">
        <v>42</v>
      </c>
      <c r="O1918" s="7" t="s">
        <v>52</v>
      </c>
      <c r="P1918" s="7" t="n">
        <v>5.6</v>
      </c>
      <c r="Q1918" s="7" t="n">
        <v>48</v>
      </c>
      <c r="R1918" s="7" t="s">
        <v>44</v>
      </c>
      <c r="S1918" s="7"/>
      <c r="T1918" s="7"/>
      <c r="U1918" s="7" t="str">
        <f aca="false">IF(COUNTIF($A$2:$A$5001,A1918)&gt;1,"Duplicate","Unique")</f>
        <v>Unique</v>
      </c>
      <c r="V1918" s="7" t="str">
        <f aca="false">IF(COUNTIFS($B$2:$B$5001,B1918,$H$2:$H$5001,H1918,$J$2:$J$5001,J1918)&gt;1,"Possible Duplicate Booking","Unique")</f>
        <v>Unique</v>
      </c>
      <c r="W1918" s="7" t="str">
        <f aca="false">IF((H1918-G1918)&lt;&gt;K1918,"Mismatch","OK")</f>
        <v>OK</v>
      </c>
      <c r="X1918" s="7" t="str">
        <f aca="false">IF(TEXT(H1918,"dddd")&lt;&gt;I1918,"Mismatch","OK")</f>
        <v>OK</v>
      </c>
      <c r="Y1918" s="7" t="str">
        <f aca="false">IF(AND(N1918="No",O1918&lt;&gt;""),"Unexpected: channel present but no reminder sent",IF(AND(N1918="Yes",O1918=""),"Missing channel for sent reminder","OK"))</f>
        <v>OK</v>
      </c>
    </row>
    <row r="1919" customFormat="false" ht="15" hidden="false" customHeight="false" outlineLevel="0" collapsed="false">
      <c r="A1919" s="9" t="s">
        <v>3168</v>
      </c>
      <c r="B1919" s="9" t="s">
        <v>1229</v>
      </c>
      <c r="C1919" s="9" t="s">
        <v>37</v>
      </c>
      <c r="D1919" s="9" t="n">
        <v>60</v>
      </c>
      <c r="E1919" s="9" t="s">
        <v>61</v>
      </c>
      <c r="F1919" s="9" t="s">
        <v>49</v>
      </c>
      <c r="G1919" s="10" t="n">
        <v>45924</v>
      </c>
      <c r="H1919" s="10" t="n">
        <v>45925</v>
      </c>
      <c r="I1919" s="9" t="s">
        <v>62</v>
      </c>
      <c r="J1919" s="9" t="s">
        <v>41</v>
      </c>
      <c r="K1919" s="9" t="n">
        <v>1</v>
      </c>
      <c r="L1919" s="9" t="n">
        <v>3</v>
      </c>
      <c r="M1919" s="9" t="n">
        <v>0</v>
      </c>
      <c r="N1919" s="9" t="s">
        <v>71</v>
      </c>
      <c r="O1919" s="9"/>
      <c r="P1919" s="9" t="n">
        <v>5.7</v>
      </c>
      <c r="Q1919" s="9" t="n">
        <v>22</v>
      </c>
      <c r="R1919" s="9" t="s">
        <v>44</v>
      </c>
      <c r="S1919" s="9"/>
      <c r="T1919" s="9"/>
      <c r="U1919" s="9" t="str">
        <f aca="false">IF(COUNTIF($A$2:$A$5001,A1919)&gt;1,"Duplicate","Unique")</f>
        <v>Unique</v>
      </c>
      <c r="V1919" s="9" t="str">
        <f aca="false">IF(COUNTIFS($B$2:$B$5001,B1919,$H$2:$H$5001,H1919,$J$2:$J$5001,J1919)&gt;1,"Possible Duplicate Booking","Unique")</f>
        <v>Unique</v>
      </c>
      <c r="W1919" s="9" t="str">
        <f aca="false">IF((H1919-G1919)&lt;&gt;K1919,"Mismatch","OK")</f>
        <v>OK</v>
      </c>
      <c r="X1919" s="9" t="str">
        <f aca="false">IF(TEXT(H1919,"dddd")&lt;&gt;I1919,"Mismatch","OK")</f>
        <v>OK</v>
      </c>
      <c r="Y1919" s="9" t="str">
        <f aca="false">IF(AND(N1919="No",O1919&lt;&gt;""),"Unexpected: channel present but no reminder sent",IF(AND(N1919="Yes",O1919=""),"Missing channel for sent reminder","OK"))</f>
        <v>OK</v>
      </c>
    </row>
    <row r="1920" customFormat="false" ht="15" hidden="false" customHeight="false" outlineLevel="0" collapsed="false">
      <c r="A1920" s="7" t="s">
        <v>3169</v>
      </c>
      <c r="B1920" s="7" t="s">
        <v>3170</v>
      </c>
      <c r="C1920" s="7" t="s">
        <v>37</v>
      </c>
      <c r="D1920" s="7" t="n">
        <v>37</v>
      </c>
      <c r="E1920" s="7" t="s">
        <v>38</v>
      </c>
      <c r="F1920" s="7" t="s">
        <v>39</v>
      </c>
      <c r="G1920" s="8" t="n">
        <v>45900</v>
      </c>
      <c r="H1920" s="8" t="n">
        <v>45904</v>
      </c>
      <c r="I1920" s="7" t="s">
        <v>62</v>
      </c>
      <c r="J1920" s="7" t="s">
        <v>51</v>
      </c>
      <c r="K1920" s="7" t="n">
        <v>4</v>
      </c>
      <c r="L1920" s="7" t="n">
        <v>1</v>
      </c>
      <c r="M1920" s="7" t="n">
        <v>0</v>
      </c>
      <c r="N1920" s="7" t="s">
        <v>42</v>
      </c>
      <c r="O1920" s="7" t="s">
        <v>52</v>
      </c>
      <c r="P1920" s="7" t="n">
        <v>9.9</v>
      </c>
      <c r="Q1920" s="7" t="n">
        <v>3</v>
      </c>
      <c r="R1920" s="7" t="s">
        <v>53</v>
      </c>
      <c r="S1920" s="7"/>
      <c r="T1920" s="7"/>
      <c r="U1920" s="7" t="str">
        <f aca="false">IF(COUNTIF($A$2:$A$5001,A1920)&gt;1,"Duplicate","Unique")</f>
        <v>Unique</v>
      </c>
      <c r="V1920" s="7" t="str">
        <f aca="false">IF(COUNTIFS($B$2:$B$5001,B1920,$H$2:$H$5001,H1920,$J$2:$J$5001,J1920)&gt;1,"Possible Duplicate Booking","Unique")</f>
        <v>Unique</v>
      </c>
      <c r="W1920" s="7" t="str">
        <f aca="false">IF((H1920-G1920)&lt;&gt;K1920,"Mismatch","OK")</f>
        <v>OK</v>
      </c>
      <c r="X1920" s="7" t="str">
        <f aca="false">IF(TEXT(H1920,"dddd")&lt;&gt;I1920,"Mismatch","OK")</f>
        <v>OK</v>
      </c>
      <c r="Y1920" s="7" t="str">
        <f aca="false">IF(AND(N1920="No",O1920&lt;&gt;""),"Unexpected: channel present but no reminder sent",IF(AND(N1920="Yes",O1920=""),"Missing channel for sent reminder","OK"))</f>
        <v>OK</v>
      </c>
    </row>
    <row r="1921" customFormat="false" ht="15" hidden="false" customHeight="false" outlineLevel="0" collapsed="false">
      <c r="A1921" s="9" t="s">
        <v>3171</v>
      </c>
      <c r="B1921" s="9" t="s">
        <v>1674</v>
      </c>
      <c r="C1921" s="9" t="s">
        <v>47</v>
      </c>
      <c r="D1921" s="9" t="n">
        <v>37</v>
      </c>
      <c r="E1921" s="9" t="s">
        <v>38</v>
      </c>
      <c r="F1921" s="9" t="s">
        <v>74</v>
      </c>
      <c r="G1921" s="10" t="n">
        <v>45899</v>
      </c>
      <c r="H1921" s="10" t="n">
        <v>45947</v>
      </c>
      <c r="I1921" s="9" t="s">
        <v>50</v>
      </c>
      <c r="J1921" s="9" t="s">
        <v>51</v>
      </c>
      <c r="K1921" s="9" t="n">
        <v>48</v>
      </c>
      <c r="L1921" s="9" t="n">
        <v>4</v>
      </c>
      <c r="M1921" s="9" t="n">
        <v>0</v>
      </c>
      <c r="N1921" s="9" t="s">
        <v>71</v>
      </c>
      <c r="O1921" s="9"/>
      <c r="P1921" s="9" t="n">
        <v>8.3</v>
      </c>
      <c r="Q1921" s="9" t="n">
        <v>23</v>
      </c>
      <c r="R1921" s="9" t="s">
        <v>53</v>
      </c>
      <c r="S1921" s="9"/>
      <c r="T1921" s="9"/>
      <c r="U1921" s="9" t="str">
        <f aca="false">IF(COUNTIF($A$2:$A$5001,A1921)&gt;1,"Duplicate","Unique")</f>
        <v>Unique</v>
      </c>
      <c r="V1921" s="9" t="str">
        <f aca="false">IF(COUNTIFS($B$2:$B$5001,B1921,$H$2:$H$5001,H1921,$J$2:$J$5001,J1921)&gt;1,"Possible Duplicate Booking","Unique")</f>
        <v>Unique</v>
      </c>
      <c r="W1921" s="9" t="str">
        <f aca="false">IF((H1921-G1921)&lt;&gt;K1921,"Mismatch","OK")</f>
        <v>OK</v>
      </c>
      <c r="X1921" s="9" t="str">
        <f aca="false">IF(TEXT(H1921,"dddd")&lt;&gt;I1921,"Mismatch","OK")</f>
        <v>OK</v>
      </c>
      <c r="Y1921" s="9" t="str">
        <f aca="false">IF(AND(N1921="No",O1921&lt;&gt;""),"Unexpected: channel present but no reminder sent",IF(AND(N1921="Yes",O1921=""),"Missing channel for sent reminder","OK"))</f>
        <v>OK</v>
      </c>
    </row>
    <row r="1922" customFormat="false" ht="15" hidden="false" customHeight="false" outlineLevel="0" collapsed="false">
      <c r="A1922" s="7" t="s">
        <v>3172</v>
      </c>
      <c r="B1922" s="7" t="s">
        <v>2259</v>
      </c>
      <c r="C1922" s="7" t="s">
        <v>47</v>
      </c>
      <c r="D1922" s="7" t="n">
        <v>72</v>
      </c>
      <c r="E1922" s="7" t="s">
        <v>70</v>
      </c>
      <c r="F1922" s="7" t="s">
        <v>57</v>
      </c>
      <c r="G1922" s="8" t="n">
        <v>45857</v>
      </c>
      <c r="H1922" s="8" t="n">
        <v>45872</v>
      </c>
      <c r="I1922" s="7" t="s">
        <v>75</v>
      </c>
      <c r="J1922" s="7" t="s">
        <v>63</v>
      </c>
      <c r="K1922" s="7" t="n">
        <v>15</v>
      </c>
      <c r="L1922" s="7" t="n">
        <v>1</v>
      </c>
      <c r="M1922" s="7" t="n">
        <v>0</v>
      </c>
      <c r="N1922" s="7" t="s">
        <v>42</v>
      </c>
      <c r="O1922" s="7" t="s">
        <v>43</v>
      </c>
      <c r="P1922" s="7" t="n">
        <v>4.1</v>
      </c>
      <c r="Q1922" s="7" t="n">
        <v>5</v>
      </c>
      <c r="R1922" s="7" t="s">
        <v>53</v>
      </c>
      <c r="S1922" s="7"/>
      <c r="T1922" s="7"/>
      <c r="U1922" s="7" t="str">
        <f aca="false">IF(COUNTIF($A$2:$A$5001,A1922)&gt;1,"Duplicate","Unique")</f>
        <v>Unique</v>
      </c>
      <c r="V1922" s="7" t="str">
        <f aca="false">IF(COUNTIFS($B$2:$B$5001,B1922,$H$2:$H$5001,H1922,$J$2:$J$5001,J1922)&gt;1,"Possible Duplicate Booking","Unique")</f>
        <v>Unique</v>
      </c>
      <c r="W1922" s="7" t="str">
        <f aca="false">IF((H1922-G1922)&lt;&gt;K1922,"Mismatch","OK")</f>
        <v>OK</v>
      </c>
      <c r="X1922" s="7" t="str">
        <f aca="false">IF(TEXT(H1922,"dddd")&lt;&gt;I1922,"Mismatch","OK")</f>
        <v>OK</v>
      </c>
      <c r="Y1922" s="7" t="str">
        <f aca="false">IF(AND(N1922="No",O1922&lt;&gt;""),"Unexpected: channel present but no reminder sent",IF(AND(N1922="Yes",O1922=""),"Missing channel for sent reminder","OK"))</f>
        <v>OK</v>
      </c>
    </row>
    <row r="1923" customFormat="false" ht="15" hidden="false" customHeight="false" outlineLevel="0" collapsed="false">
      <c r="A1923" s="9" t="s">
        <v>3173</v>
      </c>
      <c r="B1923" s="9" t="s">
        <v>2372</v>
      </c>
      <c r="C1923" s="9" t="s">
        <v>47</v>
      </c>
      <c r="D1923" s="9" t="n">
        <v>18</v>
      </c>
      <c r="E1923" s="9" t="s">
        <v>82</v>
      </c>
      <c r="F1923" s="9" t="s">
        <v>57</v>
      </c>
      <c r="G1923" s="10" t="n">
        <v>45923</v>
      </c>
      <c r="H1923" s="10" t="n">
        <v>45950</v>
      </c>
      <c r="I1923" s="9" t="s">
        <v>66</v>
      </c>
      <c r="J1923" s="9" t="s">
        <v>41</v>
      </c>
      <c r="K1923" s="9" t="n">
        <v>27</v>
      </c>
      <c r="L1923" s="9" t="n">
        <v>4</v>
      </c>
      <c r="M1923" s="9" t="n">
        <v>1</v>
      </c>
      <c r="N1923" s="9" t="s">
        <v>42</v>
      </c>
      <c r="O1923" s="9" t="s">
        <v>43</v>
      </c>
      <c r="P1923" s="9" t="n">
        <v>3.5</v>
      </c>
      <c r="Q1923" s="9" t="n">
        <v>18</v>
      </c>
      <c r="R1923" s="9" t="s">
        <v>53</v>
      </c>
      <c r="S1923" s="9"/>
      <c r="T1923" s="9"/>
      <c r="U1923" s="9" t="str">
        <f aca="false">IF(COUNTIF($A$2:$A$5001,A1923)&gt;1,"Duplicate","Unique")</f>
        <v>Unique</v>
      </c>
      <c r="V1923" s="9" t="str">
        <f aca="false">IF(COUNTIFS($B$2:$B$5001,B1923,$H$2:$H$5001,H1923,$J$2:$J$5001,J1923)&gt;1,"Possible Duplicate Booking","Unique")</f>
        <v>Unique</v>
      </c>
      <c r="W1923" s="9" t="str">
        <f aca="false">IF((H1923-G1923)&lt;&gt;K1923,"Mismatch","OK")</f>
        <v>OK</v>
      </c>
      <c r="X1923" s="9" t="str">
        <f aca="false">IF(TEXT(H1923,"dddd")&lt;&gt;I1923,"Mismatch","OK")</f>
        <v>OK</v>
      </c>
      <c r="Y1923" s="9" t="str">
        <f aca="false">IF(AND(N1923="No",O1923&lt;&gt;""),"Unexpected: channel present but no reminder sent",IF(AND(N1923="Yes",O1923=""),"Missing channel for sent reminder","OK"))</f>
        <v>OK</v>
      </c>
    </row>
    <row r="1924" customFormat="false" ht="15" hidden="false" customHeight="false" outlineLevel="0" collapsed="false">
      <c r="A1924" s="7" t="s">
        <v>3174</v>
      </c>
      <c r="B1924" s="7" t="s">
        <v>1335</v>
      </c>
      <c r="C1924" s="7" t="s">
        <v>47</v>
      </c>
      <c r="D1924" s="7" t="n">
        <v>23</v>
      </c>
      <c r="E1924" s="7" t="s">
        <v>82</v>
      </c>
      <c r="F1924" s="7" t="s">
        <v>39</v>
      </c>
      <c r="G1924" s="8" t="n">
        <v>46080</v>
      </c>
      <c r="H1924" s="8" t="n">
        <v>46108</v>
      </c>
      <c r="I1924" s="7" t="s">
        <v>50</v>
      </c>
      <c r="J1924" s="7" t="s">
        <v>51</v>
      </c>
      <c r="K1924" s="7" t="n">
        <v>28</v>
      </c>
      <c r="L1924" s="7" t="n">
        <v>6</v>
      </c>
      <c r="M1924" s="7" t="n">
        <v>2</v>
      </c>
      <c r="N1924" s="7" t="s">
        <v>42</v>
      </c>
      <c r="O1924" s="7" t="s">
        <v>43</v>
      </c>
      <c r="P1924" s="7" t="n">
        <v>17.3</v>
      </c>
      <c r="Q1924" s="7" t="n">
        <v>40</v>
      </c>
      <c r="R1924" s="7" t="s">
        <v>44</v>
      </c>
      <c r="S1924" s="7"/>
      <c r="T1924" s="7"/>
      <c r="U1924" s="7" t="str">
        <f aca="false">IF(COUNTIF($A$2:$A$5001,A1924)&gt;1,"Duplicate","Unique")</f>
        <v>Unique</v>
      </c>
      <c r="V1924" s="7" t="str">
        <f aca="false">IF(COUNTIFS($B$2:$B$5001,B1924,$H$2:$H$5001,H1924,$J$2:$J$5001,J1924)&gt;1,"Possible Duplicate Booking","Unique")</f>
        <v>Unique</v>
      </c>
      <c r="W1924" s="7" t="str">
        <f aca="false">IF((H1924-G1924)&lt;&gt;K1924,"Mismatch","OK")</f>
        <v>OK</v>
      </c>
      <c r="X1924" s="7" t="str">
        <f aca="false">IF(TEXT(H1924,"dddd")&lt;&gt;I1924,"Mismatch","OK")</f>
        <v>OK</v>
      </c>
      <c r="Y1924" s="7" t="str">
        <f aca="false">IF(AND(N1924="No",O1924&lt;&gt;""),"Unexpected: channel present but no reminder sent",IF(AND(N1924="Yes",O1924=""),"Missing channel for sent reminder","OK"))</f>
        <v>OK</v>
      </c>
    </row>
    <row r="1925" customFormat="false" ht="15" hidden="false" customHeight="false" outlineLevel="0" collapsed="false">
      <c r="A1925" s="9" t="s">
        <v>3175</v>
      </c>
      <c r="B1925" s="9" t="s">
        <v>1955</v>
      </c>
      <c r="C1925" s="9" t="s">
        <v>47</v>
      </c>
      <c r="D1925" s="9" t="n">
        <v>27</v>
      </c>
      <c r="E1925" s="9" t="s">
        <v>48</v>
      </c>
      <c r="F1925" s="9" t="s">
        <v>57</v>
      </c>
      <c r="G1925" s="10" t="n">
        <v>45847</v>
      </c>
      <c r="H1925" s="10" t="n">
        <v>45895</v>
      </c>
      <c r="I1925" s="9" t="s">
        <v>40</v>
      </c>
      <c r="J1925" s="9" t="s">
        <v>63</v>
      </c>
      <c r="K1925" s="9" t="n">
        <v>48</v>
      </c>
      <c r="L1925" s="9" t="n">
        <v>4</v>
      </c>
      <c r="M1925" s="9" t="n">
        <v>0</v>
      </c>
      <c r="N1925" s="9" t="s">
        <v>42</v>
      </c>
      <c r="O1925" s="9" t="s">
        <v>52</v>
      </c>
      <c r="P1925" s="9" t="n">
        <v>5.1</v>
      </c>
      <c r="Q1925" s="9" t="n">
        <v>15</v>
      </c>
      <c r="R1925" s="9" t="s">
        <v>44</v>
      </c>
      <c r="S1925" s="9"/>
      <c r="T1925" s="9"/>
      <c r="U1925" s="9" t="str">
        <f aca="false">IF(COUNTIF($A$2:$A$5001,A1925)&gt;1,"Duplicate","Unique")</f>
        <v>Unique</v>
      </c>
      <c r="V1925" s="9" t="str">
        <f aca="false">IF(COUNTIFS($B$2:$B$5001,B1925,$H$2:$H$5001,H1925,$J$2:$J$5001,J1925)&gt;1,"Possible Duplicate Booking","Unique")</f>
        <v>Unique</v>
      </c>
      <c r="W1925" s="9" t="str">
        <f aca="false">IF((H1925-G1925)&lt;&gt;K1925,"Mismatch","OK")</f>
        <v>OK</v>
      </c>
      <c r="X1925" s="9" t="str">
        <f aca="false">IF(TEXT(H1925,"dddd")&lt;&gt;I1925,"Mismatch","OK")</f>
        <v>OK</v>
      </c>
      <c r="Y1925" s="9" t="str">
        <f aca="false">IF(AND(N1925="No",O1925&lt;&gt;""),"Unexpected: channel present but no reminder sent",IF(AND(N1925="Yes",O1925=""),"Missing channel for sent reminder","OK"))</f>
        <v>OK</v>
      </c>
    </row>
    <row r="1926" customFormat="false" ht="15" hidden="false" customHeight="false" outlineLevel="0" collapsed="false">
      <c r="A1926" s="7" t="s">
        <v>3176</v>
      </c>
      <c r="B1926" s="7" t="s">
        <v>2780</v>
      </c>
      <c r="C1926" s="7" t="s">
        <v>37</v>
      </c>
      <c r="D1926" s="7" t="n">
        <v>79</v>
      </c>
      <c r="E1926" s="7" t="s">
        <v>70</v>
      </c>
      <c r="F1926" s="7" t="s">
        <v>39</v>
      </c>
      <c r="G1926" s="8" t="n">
        <v>45834</v>
      </c>
      <c r="H1926" s="8" t="n">
        <v>45855</v>
      </c>
      <c r="I1926" s="7" t="s">
        <v>62</v>
      </c>
      <c r="J1926" s="7" t="s">
        <v>51</v>
      </c>
      <c r="K1926" s="7" t="n">
        <v>21</v>
      </c>
      <c r="L1926" s="7" t="n">
        <v>4</v>
      </c>
      <c r="M1926" s="7" t="n">
        <v>1</v>
      </c>
      <c r="N1926" s="7" t="s">
        <v>42</v>
      </c>
      <c r="O1926" s="7" t="s">
        <v>52</v>
      </c>
      <c r="P1926" s="7" t="n">
        <v>7.1</v>
      </c>
      <c r="Q1926" s="7" t="n">
        <v>12</v>
      </c>
      <c r="R1926" s="7" t="s">
        <v>53</v>
      </c>
      <c r="S1926" s="7"/>
      <c r="T1926" s="7"/>
      <c r="U1926" s="7" t="str">
        <f aca="false">IF(COUNTIF($A$2:$A$5001,A1926)&gt;1,"Duplicate","Unique")</f>
        <v>Unique</v>
      </c>
      <c r="V1926" s="7" t="str">
        <f aca="false">IF(COUNTIFS($B$2:$B$5001,B1926,$H$2:$H$5001,H1926,$J$2:$J$5001,J1926)&gt;1,"Possible Duplicate Booking","Unique")</f>
        <v>Unique</v>
      </c>
      <c r="W1926" s="7" t="str">
        <f aca="false">IF((H1926-G1926)&lt;&gt;K1926,"Mismatch","OK")</f>
        <v>OK</v>
      </c>
      <c r="X1926" s="7" t="str">
        <f aca="false">IF(TEXT(H1926,"dddd")&lt;&gt;I1926,"Mismatch","OK")</f>
        <v>OK</v>
      </c>
      <c r="Y1926" s="7" t="str">
        <f aca="false">IF(AND(N1926="No",O1926&lt;&gt;""),"Unexpected: channel present but no reminder sent",IF(AND(N1926="Yes",O1926=""),"Missing channel for sent reminder","OK"))</f>
        <v>OK</v>
      </c>
    </row>
    <row r="1927" customFormat="false" ht="15" hidden="false" customHeight="false" outlineLevel="0" collapsed="false">
      <c r="A1927" s="9" t="s">
        <v>3177</v>
      </c>
      <c r="B1927" s="9" t="s">
        <v>3178</v>
      </c>
      <c r="C1927" s="9" t="s">
        <v>37</v>
      </c>
      <c r="D1927" s="9" t="n">
        <v>49</v>
      </c>
      <c r="E1927" s="9" t="s">
        <v>56</v>
      </c>
      <c r="F1927" s="9" t="s">
        <v>49</v>
      </c>
      <c r="G1927" s="10" t="n">
        <v>45729</v>
      </c>
      <c r="H1927" s="10" t="n">
        <v>45729</v>
      </c>
      <c r="I1927" s="9" t="s">
        <v>62</v>
      </c>
      <c r="J1927" s="9" t="s">
        <v>51</v>
      </c>
      <c r="K1927" s="9" t="n">
        <v>0</v>
      </c>
      <c r="L1927" s="9" t="n">
        <v>4</v>
      </c>
      <c r="M1927" s="9" t="n">
        <v>2</v>
      </c>
      <c r="N1927" s="9" t="s">
        <v>42</v>
      </c>
      <c r="O1927" s="9" t="s">
        <v>52</v>
      </c>
      <c r="P1927" s="9" t="n">
        <v>3.3</v>
      </c>
      <c r="Q1927" s="9" t="n">
        <v>33</v>
      </c>
      <c r="R1927" s="9" t="s">
        <v>53</v>
      </c>
      <c r="S1927" s="9"/>
      <c r="T1927" s="9"/>
      <c r="U1927" s="9" t="str">
        <f aca="false">IF(COUNTIF($A$2:$A$5001,A1927)&gt;1,"Duplicate","Unique")</f>
        <v>Unique</v>
      </c>
      <c r="V1927" s="9" t="str">
        <f aca="false">IF(COUNTIFS($B$2:$B$5001,B1927,$H$2:$H$5001,H1927,$J$2:$J$5001,J1927)&gt;1,"Possible Duplicate Booking","Unique")</f>
        <v>Unique</v>
      </c>
      <c r="W1927" s="9" t="str">
        <f aca="false">IF((H1927-G1927)&lt;&gt;K1927,"Mismatch","OK")</f>
        <v>OK</v>
      </c>
      <c r="X1927" s="9" t="str">
        <f aca="false">IF(TEXT(H1927,"dddd")&lt;&gt;I1927,"Mismatch","OK")</f>
        <v>OK</v>
      </c>
      <c r="Y1927" s="9" t="str">
        <f aca="false">IF(AND(N1927="No",O1927&lt;&gt;""),"Unexpected: channel present but no reminder sent",IF(AND(N1927="Yes",O1927=""),"Missing channel for sent reminder","OK"))</f>
        <v>OK</v>
      </c>
    </row>
    <row r="1928" customFormat="false" ht="15" hidden="false" customHeight="false" outlineLevel="0" collapsed="false">
      <c r="A1928" s="7" t="s">
        <v>3179</v>
      </c>
      <c r="B1928" s="7" t="s">
        <v>2368</v>
      </c>
      <c r="C1928" s="7" t="s">
        <v>47</v>
      </c>
      <c r="D1928" s="7" t="n">
        <v>27</v>
      </c>
      <c r="E1928" s="7" t="s">
        <v>48</v>
      </c>
      <c r="F1928" s="7" t="s">
        <v>57</v>
      </c>
      <c r="G1928" s="8" t="n">
        <v>45831</v>
      </c>
      <c r="H1928" s="8" t="n">
        <v>45854</v>
      </c>
      <c r="I1928" s="7" t="s">
        <v>58</v>
      </c>
      <c r="J1928" s="7" t="s">
        <v>51</v>
      </c>
      <c r="K1928" s="7" t="n">
        <v>23</v>
      </c>
      <c r="L1928" s="7" t="n">
        <v>3</v>
      </c>
      <c r="M1928" s="7" t="n">
        <v>0</v>
      </c>
      <c r="N1928" s="7" t="s">
        <v>42</v>
      </c>
      <c r="O1928" s="7" t="s">
        <v>52</v>
      </c>
      <c r="P1928" s="7" t="n">
        <v>30.4</v>
      </c>
      <c r="Q1928" s="7" t="n">
        <v>22</v>
      </c>
      <c r="R1928" s="7" t="s">
        <v>44</v>
      </c>
      <c r="S1928" s="7"/>
      <c r="T1928" s="7"/>
      <c r="U1928" s="7" t="str">
        <f aca="false">IF(COUNTIF($A$2:$A$5001,A1928)&gt;1,"Duplicate","Unique")</f>
        <v>Unique</v>
      </c>
      <c r="V1928" s="7" t="str">
        <f aca="false">IF(COUNTIFS($B$2:$B$5001,B1928,$H$2:$H$5001,H1928,$J$2:$J$5001,J1928)&gt;1,"Possible Duplicate Booking","Unique")</f>
        <v>Unique</v>
      </c>
      <c r="W1928" s="7" t="str">
        <f aca="false">IF((H1928-G1928)&lt;&gt;K1928,"Mismatch","OK")</f>
        <v>OK</v>
      </c>
      <c r="X1928" s="7" t="str">
        <f aca="false">IF(TEXT(H1928,"dddd")&lt;&gt;I1928,"Mismatch","OK")</f>
        <v>OK</v>
      </c>
      <c r="Y1928" s="7" t="str">
        <f aca="false">IF(AND(N1928="No",O1928&lt;&gt;""),"Unexpected: channel present but no reminder sent",IF(AND(N1928="Yes",O1928=""),"Missing channel for sent reminder","OK"))</f>
        <v>OK</v>
      </c>
    </row>
    <row r="1929" customFormat="false" ht="15" hidden="false" customHeight="false" outlineLevel="0" collapsed="false">
      <c r="A1929" s="9" t="s">
        <v>3180</v>
      </c>
      <c r="B1929" s="9" t="s">
        <v>1587</v>
      </c>
      <c r="C1929" s="9" t="s">
        <v>47</v>
      </c>
      <c r="D1929" s="9" t="n">
        <v>37</v>
      </c>
      <c r="E1929" s="9" t="s">
        <v>38</v>
      </c>
      <c r="F1929" s="9" t="s">
        <v>39</v>
      </c>
      <c r="G1929" s="10" t="n">
        <v>45709</v>
      </c>
      <c r="H1929" s="10" t="n">
        <v>45726</v>
      </c>
      <c r="I1929" s="9" t="s">
        <v>66</v>
      </c>
      <c r="J1929" s="9" t="s">
        <v>51</v>
      </c>
      <c r="K1929" s="9" t="n">
        <v>17</v>
      </c>
      <c r="L1929" s="9" t="n">
        <v>2</v>
      </c>
      <c r="M1929" s="9" t="n">
        <v>0</v>
      </c>
      <c r="N1929" s="9" t="s">
        <v>71</v>
      </c>
      <c r="O1929" s="9"/>
      <c r="P1929" s="9" t="n">
        <v>5.4</v>
      </c>
      <c r="Q1929" s="9" t="n">
        <v>37</v>
      </c>
      <c r="R1929" s="9" t="s">
        <v>53</v>
      </c>
      <c r="S1929" s="9"/>
      <c r="T1929" s="9"/>
      <c r="U1929" s="9" t="str">
        <f aca="false">IF(COUNTIF($A$2:$A$5001,A1929)&gt;1,"Duplicate","Unique")</f>
        <v>Unique</v>
      </c>
      <c r="V1929" s="9" t="str">
        <f aca="false">IF(COUNTIFS($B$2:$B$5001,B1929,$H$2:$H$5001,H1929,$J$2:$J$5001,J1929)&gt;1,"Possible Duplicate Booking","Unique")</f>
        <v>Unique</v>
      </c>
      <c r="W1929" s="9" t="str">
        <f aca="false">IF((H1929-G1929)&lt;&gt;K1929,"Mismatch","OK")</f>
        <v>OK</v>
      </c>
      <c r="X1929" s="9" t="str">
        <f aca="false">IF(TEXT(H1929,"dddd")&lt;&gt;I1929,"Mismatch","OK")</f>
        <v>OK</v>
      </c>
      <c r="Y1929" s="9" t="str">
        <f aca="false">IF(AND(N1929="No",O1929&lt;&gt;""),"Unexpected: channel present but no reminder sent",IF(AND(N1929="Yes",O1929=""),"Missing channel for sent reminder","OK"))</f>
        <v>OK</v>
      </c>
    </row>
    <row r="1930" customFormat="false" ht="15" hidden="false" customHeight="false" outlineLevel="0" collapsed="false">
      <c r="A1930" s="7" t="s">
        <v>3181</v>
      </c>
      <c r="B1930" s="7" t="s">
        <v>3182</v>
      </c>
      <c r="C1930" s="7" t="s">
        <v>37</v>
      </c>
      <c r="D1930" s="7" t="n">
        <v>79</v>
      </c>
      <c r="E1930" s="7" t="s">
        <v>70</v>
      </c>
      <c r="F1930" s="7" t="s">
        <v>39</v>
      </c>
      <c r="G1930" s="8" t="n">
        <v>45713</v>
      </c>
      <c r="H1930" s="8" t="n">
        <v>45757</v>
      </c>
      <c r="I1930" s="7" t="s">
        <v>62</v>
      </c>
      <c r="J1930" s="7" t="s">
        <v>51</v>
      </c>
      <c r="K1930" s="7" t="n">
        <v>44</v>
      </c>
      <c r="L1930" s="7" t="n">
        <v>7</v>
      </c>
      <c r="M1930" s="7" t="n">
        <v>4</v>
      </c>
      <c r="N1930" s="7" t="s">
        <v>71</v>
      </c>
      <c r="O1930" s="7"/>
      <c r="P1930" s="7" t="n">
        <v>7.7</v>
      </c>
      <c r="Q1930" s="7" t="n">
        <v>21</v>
      </c>
      <c r="R1930" s="7" t="s">
        <v>44</v>
      </c>
      <c r="S1930" s="7"/>
      <c r="T1930" s="7"/>
      <c r="U1930" s="7" t="str">
        <f aca="false">IF(COUNTIF($A$2:$A$5001,A1930)&gt;1,"Duplicate","Unique")</f>
        <v>Unique</v>
      </c>
      <c r="V1930" s="7" t="str">
        <f aca="false">IF(COUNTIFS($B$2:$B$5001,B1930,$H$2:$H$5001,H1930,$J$2:$J$5001,J1930)&gt;1,"Possible Duplicate Booking","Unique")</f>
        <v>Unique</v>
      </c>
      <c r="W1930" s="7" t="str">
        <f aca="false">IF((H1930-G1930)&lt;&gt;K1930,"Mismatch","OK")</f>
        <v>OK</v>
      </c>
      <c r="X1930" s="7" t="str">
        <f aca="false">IF(TEXT(H1930,"dddd")&lt;&gt;I1930,"Mismatch","OK")</f>
        <v>OK</v>
      </c>
      <c r="Y1930" s="7" t="str">
        <f aca="false">IF(AND(N1930="No",O1930&lt;&gt;""),"Unexpected: channel present but no reminder sent",IF(AND(N1930="Yes",O1930=""),"Missing channel for sent reminder","OK"))</f>
        <v>OK</v>
      </c>
    </row>
    <row r="1931" customFormat="false" ht="15" hidden="false" customHeight="false" outlineLevel="0" collapsed="false">
      <c r="A1931" s="9" t="s">
        <v>3183</v>
      </c>
      <c r="B1931" s="9" t="s">
        <v>1928</v>
      </c>
      <c r="C1931" s="9" t="s">
        <v>47</v>
      </c>
      <c r="D1931" s="9" t="n">
        <v>61</v>
      </c>
      <c r="E1931" s="9" t="s">
        <v>61</v>
      </c>
      <c r="F1931" s="9" t="s">
        <v>49</v>
      </c>
      <c r="G1931" s="10" t="n">
        <v>46132</v>
      </c>
      <c r="H1931" s="10" t="n">
        <v>46177</v>
      </c>
      <c r="I1931" s="9" t="s">
        <v>62</v>
      </c>
      <c r="J1931" s="9" t="s">
        <v>41</v>
      </c>
      <c r="K1931" s="9" t="n">
        <v>45</v>
      </c>
      <c r="L1931" s="9" t="n">
        <v>3</v>
      </c>
      <c r="M1931" s="9" t="n">
        <v>0</v>
      </c>
      <c r="N1931" s="9" t="s">
        <v>71</v>
      </c>
      <c r="O1931" s="9"/>
      <c r="P1931" s="9" t="n">
        <v>2.4</v>
      </c>
      <c r="Q1931" s="9" t="n">
        <v>31</v>
      </c>
      <c r="R1931" s="9" t="s">
        <v>44</v>
      </c>
      <c r="S1931" s="9"/>
      <c r="T1931" s="9"/>
      <c r="U1931" s="9" t="str">
        <f aca="false">IF(COUNTIF($A$2:$A$5001,A1931)&gt;1,"Duplicate","Unique")</f>
        <v>Unique</v>
      </c>
      <c r="V1931" s="9" t="str">
        <f aca="false">IF(COUNTIFS($B$2:$B$5001,B1931,$H$2:$H$5001,H1931,$J$2:$J$5001,J1931)&gt;1,"Possible Duplicate Booking","Unique")</f>
        <v>Unique</v>
      </c>
      <c r="W1931" s="9" t="str">
        <f aca="false">IF((H1931-G1931)&lt;&gt;K1931,"Mismatch","OK")</f>
        <v>OK</v>
      </c>
      <c r="X1931" s="9" t="str">
        <f aca="false">IF(TEXT(H1931,"dddd")&lt;&gt;I1931,"Mismatch","OK")</f>
        <v>OK</v>
      </c>
      <c r="Y1931" s="9" t="str">
        <f aca="false">IF(AND(N1931="No",O1931&lt;&gt;""),"Unexpected: channel present but no reminder sent",IF(AND(N1931="Yes",O1931=""),"Missing channel for sent reminder","OK"))</f>
        <v>OK</v>
      </c>
    </row>
    <row r="1932" customFormat="false" ht="15" hidden="false" customHeight="false" outlineLevel="0" collapsed="false">
      <c r="A1932" s="7" t="s">
        <v>3184</v>
      </c>
      <c r="B1932" s="7" t="s">
        <v>3185</v>
      </c>
      <c r="C1932" s="7" t="s">
        <v>37</v>
      </c>
      <c r="D1932" s="7" t="n">
        <v>32</v>
      </c>
      <c r="E1932" s="7" t="s">
        <v>48</v>
      </c>
      <c r="F1932" s="7" t="s">
        <v>39</v>
      </c>
      <c r="G1932" s="8" t="n">
        <v>45701</v>
      </c>
      <c r="H1932" s="8" t="n">
        <v>45706</v>
      </c>
      <c r="I1932" s="7" t="s">
        <v>40</v>
      </c>
      <c r="J1932" s="7" t="s">
        <v>51</v>
      </c>
      <c r="K1932" s="7" t="n">
        <v>5</v>
      </c>
      <c r="L1932" s="7" t="n">
        <v>3</v>
      </c>
      <c r="M1932" s="7" t="n">
        <v>1</v>
      </c>
      <c r="N1932" s="7" t="s">
        <v>42</v>
      </c>
      <c r="O1932" s="7" t="s">
        <v>43</v>
      </c>
      <c r="P1932" s="7" t="n">
        <v>9.5</v>
      </c>
      <c r="Q1932" s="7" t="n">
        <v>7</v>
      </c>
      <c r="R1932" s="7" t="s">
        <v>87</v>
      </c>
      <c r="S1932" s="7"/>
      <c r="T1932" s="7"/>
      <c r="U1932" s="7" t="str">
        <f aca="false">IF(COUNTIF($A$2:$A$5001,A1932)&gt;1,"Duplicate","Unique")</f>
        <v>Unique</v>
      </c>
      <c r="V1932" s="7" t="str">
        <f aca="false">IF(COUNTIFS($B$2:$B$5001,B1932,$H$2:$H$5001,H1932,$J$2:$J$5001,J1932)&gt;1,"Possible Duplicate Booking","Unique")</f>
        <v>Unique</v>
      </c>
      <c r="W1932" s="7" t="str">
        <f aca="false">IF((H1932-G1932)&lt;&gt;K1932,"Mismatch","OK")</f>
        <v>OK</v>
      </c>
      <c r="X1932" s="7" t="str">
        <f aca="false">IF(TEXT(H1932,"dddd")&lt;&gt;I1932,"Mismatch","OK")</f>
        <v>OK</v>
      </c>
      <c r="Y1932" s="7" t="str">
        <f aca="false">IF(AND(N1932="No",O1932&lt;&gt;""),"Unexpected: channel present but no reminder sent",IF(AND(N1932="Yes",O1932=""),"Missing channel for sent reminder","OK"))</f>
        <v>OK</v>
      </c>
    </row>
    <row r="1933" customFormat="false" ht="15" hidden="false" customHeight="false" outlineLevel="0" collapsed="false">
      <c r="A1933" s="9" t="s">
        <v>3186</v>
      </c>
      <c r="B1933" s="9" t="s">
        <v>3187</v>
      </c>
      <c r="C1933" s="9" t="s">
        <v>47</v>
      </c>
      <c r="D1933" s="9" t="n">
        <v>33</v>
      </c>
      <c r="E1933" s="9" t="s">
        <v>48</v>
      </c>
      <c r="F1933" s="9" t="s">
        <v>57</v>
      </c>
      <c r="G1933" s="10" t="n">
        <v>45873</v>
      </c>
      <c r="H1933" s="10" t="n">
        <v>45921</v>
      </c>
      <c r="I1933" s="9" t="s">
        <v>75</v>
      </c>
      <c r="J1933" s="9" t="s">
        <v>41</v>
      </c>
      <c r="K1933" s="9" t="n">
        <v>48</v>
      </c>
      <c r="L1933" s="9" t="n">
        <v>3</v>
      </c>
      <c r="M1933" s="9" t="n">
        <v>0</v>
      </c>
      <c r="N1933" s="9" t="s">
        <v>42</v>
      </c>
      <c r="O1933" s="9" t="s">
        <v>67</v>
      </c>
      <c r="P1933" s="9" t="n">
        <v>25.5</v>
      </c>
      <c r="Q1933" s="9" t="n">
        <v>14</v>
      </c>
      <c r="R1933" s="9" t="s">
        <v>44</v>
      </c>
      <c r="S1933" s="9"/>
      <c r="T1933" s="9"/>
      <c r="U1933" s="9" t="str">
        <f aca="false">IF(COUNTIF($A$2:$A$5001,A1933)&gt;1,"Duplicate","Unique")</f>
        <v>Unique</v>
      </c>
      <c r="V1933" s="9" t="str">
        <f aca="false">IF(COUNTIFS($B$2:$B$5001,B1933,$H$2:$H$5001,H1933,$J$2:$J$5001,J1933)&gt;1,"Possible Duplicate Booking","Unique")</f>
        <v>Unique</v>
      </c>
      <c r="W1933" s="9" t="str">
        <f aca="false">IF((H1933-G1933)&lt;&gt;K1933,"Mismatch","OK")</f>
        <v>OK</v>
      </c>
      <c r="X1933" s="9" t="str">
        <f aca="false">IF(TEXT(H1933,"dddd")&lt;&gt;I1933,"Mismatch","OK")</f>
        <v>OK</v>
      </c>
      <c r="Y1933" s="9" t="str">
        <f aca="false">IF(AND(N1933="No",O1933&lt;&gt;""),"Unexpected: channel present but no reminder sent",IF(AND(N1933="Yes",O1933=""),"Missing channel for sent reminder","OK"))</f>
        <v>OK</v>
      </c>
    </row>
    <row r="1934" customFormat="false" ht="15" hidden="false" customHeight="false" outlineLevel="0" collapsed="false">
      <c r="A1934" s="7" t="s">
        <v>3188</v>
      </c>
      <c r="B1934" s="7" t="s">
        <v>338</v>
      </c>
      <c r="C1934" s="7" t="s">
        <v>47</v>
      </c>
      <c r="D1934" s="7" t="n">
        <v>22</v>
      </c>
      <c r="E1934" s="7" t="s">
        <v>82</v>
      </c>
      <c r="F1934" s="7" t="s">
        <v>39</v>
      </c>
      <c r="G1934" s="8" t="n">
        <v>46109</v>
      </c>
      <c r="H1934" s="8" t="n">
        <v>46113</v>
      </c>
      <c r="I1934" s="7" t="s">
        <v>58</v>
      </c>
      <c r="J1934" s="7" t="s">
        <v>41</v>
      </c>
      <c r="K1934" s="7" t="n">
        <v>4</v>
      </c>
      <c r="L1934" s="7" t="n">
        <v>0</v>
      </c>
      <c r="M1934" s="7" t="n">
        <v>0</v>
      </c>
      <c r="N1934" s="7" t="s">
        <v>42</v>
      </c>
      <c r="O1934" s="7" t="s">
        <v>43</v>
      </c>
      <c r="P1934" s="7" t="n">
        <v>3.6</v>
      </c>
      <c r="Q1934" s="7" t="n">
        <v>22</v>
      </c>
      <c r="R1934" s="7" t="s">
        <v>53</v>
      </c>
      <c r="S1934" s="7"/>
      <c r="T1934" s="7"/>
      <c r="U1934" s="7" t="str">
        <f aca="false">IF(COUNTIF($A$2:$A$5001,A1934)&gt;1,"Duplicate","Unique")</f>
        <v>Unique</v>
      </c>
      <c r="V1934" s="7" t="str">
        <f aca="false">IF(COUNTIFS($B$2:$B$5001,B1934,$H$2:$H$5001,H1934,$J$2:$J$5001,J1934)&gt;1,"Possible Duplicate Booking","Unique")</f>
        <v>Unique</v>
      </c>
      <c r="W1934" s="7" t="str">
        <f aca="false">IF((H1934-G1934)&lt;&gt;K1934,"Mismatch","OK")</f>
        <v>OK</v>
      </c>
      <c r="X1934" s="7" t="str">
        <f aca="false">IF(TEXT(H1934,"dddd")&lt;&gt;I1934,"Mismatch","OK")</f>
        <v>OK</v>
      </c>
      <c r="Y1934" s="7" t="str">
        <f aca="false">IF(AND(N1934="No",O1934&lt;&gt;""),"Unexpected: channel present but no reminder sent",IF(AND(N1934="Yes",O1934=""),"Missing channel for sent reminder","OK"))</f>
        <v>OK</v>
      </c>
    </row>
    <row r="1935" customFormat="false" ht="15" hidden="false" customHeight="false" outlineLevel="0" collapsed="false">
      <c r="A1935" s="9" t="s">
        <v>3189</v>
      </c>
      <c r="B1935" s="9" t="s">
        <v>2837</v>
      </c>
      <c r="C1935" s="9" t="s">
        <v>37</v>
      </c>
      <c r="D1935" s="9" t="n">
        <v>66</v>
      </c>
      <c r="E1935" s="9" t="s">
        <v>70</v>
      </c>
      <c r="F1935" s="9" t="s">
        <v>39</v>
      </c>
      <c r="G1935" s="10" t="n">
        <v>46141</v>
      </c>
      <c r="H1935" s="10" t="n">
        <v>46178</v>
      </c>
      <c r="I1935" s="9" t="s">
        <v>50</v>
      </c>
      <c r="J1935" s="9" t="s">
        <v>63</v>
      </c>
      <c r="K1935" s="9" t="n">
        <v>37</v>
      </c>
      <c r="L1935" s="9" t="n">
        <v>3</v>
      </c>
      <c r="M1935" s="9" t="n">
        <v>1</v>
      </c>
      <c r="N1935" s="9" t="s">
        <v>42</v>
      </c>
      <c r="O1935" s="9" t="s">
        <v>43</v>
      </c>
      <c r="P1935" s="9" t="n">
        <v>9.8</v>
      </c>
      <c r="Q1935" s="9" t="n">
        <v>20</v>
      </c>
      <c r="R1935" s="9" t="s">
        <v>44</v>
      </c>
      <c r="S1935" s="9"/>
      <c r="T1935" s="9"/>
      <c r="U1935" s="9" t="str">
        <f aca="false">IF(COUNTIF($A$2:$A$5001,A1935)&gt;1,"Duplicate","Unique")</f>
        <v>Unique</v>
      </c>
      <c r="V1935" s="9" t="str">
        <f aca="false">IF(COUNTIFS($B$2:$B$5001,B1935,$H$2:$H$5001,H1935,$J$2:$J$5001,J1935)&gt;1,"Possible Duplicate Booking","Unique")</f>
        <v>Unique</v>
      </c>
      <c r="W1935" s="9" t="str">
        <f aca="false">IF((H1935-G1935)&lt;&gt;K1935,"Mismatch","OK")</f>
        <v>OK</v>
      </c>
      <c r="X1935" s="9" t="str">
        <f aca="false">IF(TEXT(H1935,"dddd")&lt;&gt;I1935,"Mismatch","OK")</f>
        <v>OK</v>
      </c>
      <c r="Y1935" s="9" t="str">
        <f aca="false">IF(AND(N1935="No",O1935&lt;&gt;""),"Unexpected: channel present but no reminder sent",IF(AND(N1935="Yes",O1935=""),"Missing channel for sent reminder","OK"))</f>
        <v>OK</v>
      </c>
    </row>
    <row r="1936" customFormat="false" ht="15" hidden="false" customHeight="false" outlineLevel="0" collapsed="false">
      <c r="A1936" s="7" t="s">
        <v>3190</v>
      </c>
      <c r="B1936" s="7" t="s">
        <v>136</v>
      </c>
      <c r="C1936" s="7" t="s">
        <v>47</v>
      </c>
      <c r="D1936" s="7" t="n">
        <v>26</v>
      </c>
      <c r="E1936" s="7" t="s">
        <v>48</v>
      </c>
      <c r="F1936" s="7" t="s">
        <v>49</v>
      </c>
      <c r="G1936" s="8" t="n">
        <v>45715</v>
      </c>
      <c r="H1936" s="8" t="n">
        <v>45738</v>
      </c>
      <c r="I1936" s="7" t="s">
        <v>102</v>
      </c>
      <c r="J1936" s="7" t="s">
        <v>51</v>
      </c>
      <c r="K1936" s="7" t="n">
        <v>23</v>
      </c>
      <c r="L1936" s="7" t="n">
        <v>4</v>
      </c>
      <c r="M1936" s="7" t="n">
        <v>0</v>
      </c>
      <c r="N1936" s="7" t="s">
        <v>42</v>
      </c>
      <c r="O1936" s="7" t="s">
        <v>52</v>
      </c>
      <c r="P1936" s="7" t="n">
        <v>6.3</v>
      </c>
      <c r="Q1936" s="7" t="n">
        <v>51</v>
      </c>
      <c r="R1936" s="7" t="s">
        <v>87</v>
      </c>
      <c r="S1936" s="7"/>
      <c r="T1936" s="7"/>
      <c r="U1936" s="7" t="str">
        <f aca="false">IF(COUNTIF($A$2:$A$5001,A1936)&gt;1,"Duplicate","Unique")</f>
        <v>Unique</v>
      </c>
      <c r="V1936" s="7" t="str">
        <f aca="false">IF(COUNTIFS($B$2:$B$5001,B1936,$H$2:$H$5001,H1936,$J$2:$J$5001,J1936)&gt;1,"Possible Duplicate Booking","Unique")</f>
        <v>Unique</v>
      </c>
      <c r="W1936" s="7" t="str">
        <f aca="false">IF((H1936-G1936)&lt;&gt;K1936,"Mismatch","OK")</f>
        <v>OK</v>
      </c>
      <c r="X1936" s="7" t="str">
        <f aca="false">IF(TEXT(H1936,"dddd")&lt;&gt;I1936,"Mismatch","OK")</f>
        <v>OK</v>
      </c>
      <c r="Y1936" s="7" t="str">
        <f aca="false">IF(AND(N1936="No",O1936&lt;&gt;""),"Unexpected: channel present but no reminder sent",IF(AND(N1936="Yes",O1936=""),"Missing channel for sent reminder","OK"))</f>
        <v>OK</v>
      </c>
    </row>
    <row r="1937" customFormat="false" ht="15" hidden="false" customHeight="false" outlineLevel="0" collapsed="false">
      <c r="A1937" s="9" t="s">
        <v>3191</v>
      </c>
      <c r="B1937" s="9" t="s">
        <v>2267</v>
      </c>
      <c r="C1937" s="9" t="s">
        <v>47</v>
      </c>
      <c r="D1937" s="9" t="n">
        <v>36</v>
      </c>
      <c r="E1937" s="9" t="s">
        <v>38</v>
      </c>
      <c r="F1937" s="9" t="s">
        <v>39</v>
      </c>
      <c r="G1937" s="10" t="n">
        <v>45729</v>
      </c>
      <c r="H1937" s="10" t="n">
        <v>45747</v>
      </c>
      <c r="I1937" s="9" t="s">
        <v>66</v>
      </c>
      <c r="J1937" s="9" t="s">
        <v>41</v>
      </c>
      <c r="K1937" s="9" t="n">
        <v>18</v>
      </c>
      <c r="L1937" s="9" t="n">
        <v>2</v>
      </c>
      <c r="M1937" s="9" t="n">
        <v>1</v>
      </c>
      <c r="N1937" s="9" t="s">
        <v>42</v>
      </c>
      <c r="O1937" s="9" t="s">
        <v>43</v>
      </c>
      <c r="P1937" s="9" t="n">
        <v>8.6</v>
      </c>
      <c r="Q1937" s="9" t="n">
        <v>35</v>
      </c>
      <c r="R1937" s="9" t="s">
        <v>53</v>
      </c>
      <c r="S1937" s="9"/>
      <c r="T1937" s="9"/>
      <c r="U1937" s="9" t="str">
        <f aca="false">IF(COUNTIF($A$2:$A$5001,A1937)&gt;1,"Duplicate","Unique")</f>
        <v>Unique</v>
      </c>
      <c r="V1937" s="9" t="str">
        <f aca="false">IF(COUNTIFS($B$2:$B$5001,B1937,$H$2:$H$5001,H1937,$J$2:$J$5001,J1937)&gt;1,"Possible Duplicate Booking","Unique")</f>
        <v>Unique</v>
      </c>
      <c r="W1937" s="9" t="str">
        <f aca="false">IF((H1937-G1937)&lt;&gt;K1937,"Mismatch","OK")</f>
        <v>OK</v>
      </c>
      <c r="X1937" s="9" t="str">
        <f aca="false">IF(TEXT(H1937,"dddd")&lt;&gt;I1937,"Mismatch","OK")</f>
        <v>OK</v>
      </c>
      <c r="Y1937" s="9" t="str">
        <f aca="false">IF(AND(N1937="No",O1937&lt;&gt;""),"Unexpected: channel present but no reminder sent",IF(AND(N1937="Yes",O1937=""),"Missing channel for sent reminder","OK"))</f>
        <v>OK</v>
      </c>
    </row>
    <row r="1938" customFormat="false" ht="15" hidden="false" customHeight="false" outlineLevel="0" collapsed="false">
      <c r="A1938" s="7" t="s">
        <v>3192</v>
      </c>
      <c r="B1938" s="7" t="s">
        <v>132</v>
      </c>
      <c r="C1938" s="7" t="s">
        <v>47</v>
      </c>
      <c r="D1938" s="7" t="n">
        <v>39</v>
      </c>
      <c r="E1938" s="7" t="s">
        <v>38</v>
      </c>
      <c r="F1938" s="7" t="s">
        <v>57</v>
      </c>
      <c r="G1938" s="8" t="n">
        <v>45832</v>
      </c>
      <c r="H1938" s="8" t="n">
        <v>45861</v>
      </c>
      <c r="I1938" s="7" t="s">
        <v>58</v>
      </c>
      <c r="J1938" s="7" t="s">
        <v>51</v>
      </c>
      <c r="K1938" s="7" t="n">
        <v>29</v>
      </c>
      <c r="L1938" s="7" t="n">
        <v>0</v>
      </c>
      <c r="M1938" s="7" t="n">
        <v>0</v>
      </c>
      <c r="N1938" s="7" t="s">
        <v>42</v>
      </c>
      <c r="O1938" s="7" t="s">
        <v>43</v>
      </c>
      <c r="P1938" s="7" t="n">
        <v>6.6</v>
      </c>
      <c r="Q1938" s="7" t="n">
        <v>35</v>
      </c>
      <c r="R1938" s="7" t="s">
        <v>53</v>
      </c>
      <c r="S1938" s="7"/>
      <c r="T1938" s="7"/>
      <c r="U1938" s="7" t="str">
        <f aca="false">IF(COUNTIF($A$2:$A$5001,A1938)&gt;1,"Duplicate","Unique")</f>
        <v>Unique</v>
      </c>
      <c r="V1938" s="7" t="str">
        <f aca="false">IF(COUNTIFS($B$2:$B$5001,B1938,$H$2:$H$5001,H1938,$J$2:$J$5001,J1938)&gt;1,"Possible Duplicate Booking","Unique")</f>
        <v>Unique</v>
      </c>
      <c r="W1938" s="7" t="str">
        <f aca="false">IF((H1938-G1938)&lt;&gt;K1938,"Mismatch","OK")</f>
        <v>OK</v>
      </c>
      <c r="X1938" s="7" t="str">
        <f aca="false">IF(TEXT(H1938,"dddd")&lt;&gt;I1938,"Mismatch","OK")</f>
        <v>OK</v>
      </c>
      <c r="Y1938" s="7" t="str">
        <f aca="false">IF(AND(N1938="No",O1938&lt;&gt;""),"Unexpected: channel present but no reminder sent",IF(AND(N1938="Yes",O1938=""),"Missing channel for sent reminder","OK"))</f>
        <v>OK</v>
      </c>
    </row>
    <row r="1939" customFormat="false" ht="15" hidden="false" customHeight="false" outlineLevel="0" collapsed="false">
      <c r="A1939" s="9" t="s">
        <v>3193</v>
      </c>
      <c r="B1939" s="9" t="s">
        <v>724</v>
      </c>
      <c r="C1939" s="9" t="s">
        <v>47</v>
      </c>
      <c r="D1939" s="9" t="n">
        <v>57</v>
      </c>
      <c r="E1939" s="9" t="s">
        <v>61</v>
      </c>
      <c r="F1939" s="9" t="s">
        <v>49</v>
      </c>
      <c r="G1939" s="10" t="n">
        <v>45942</v>
      </c>
      <c r="H1939" s="10" t="n">
        <v>45960</v>
      </c>
      <c r="I1939" s="9" t="s">
        <v>62</v>
      </c>
      <c r="J1939" s="9" t="s">
        <v>41</v>
      </c>
      <c r="K1939" s="9" t="n">
        <v>18</v>
      </c>
      <c r="L1939" s="9" t="n">
        <v>3</v>
      </c>
      <c r="M1939" s="9" t="n">
        <v>0</v>
      </c>
      <c r="N1939" s="9" t="s">
        <v>42</v>
      </c>
      <c r="O1939" s="9" t="s">
        <v>43</v>
      </c>
      <c r="P1939" s="9" t="n">
        <v>3.1</v>
      </c>
      <c r="Q1939" s="9" t="n">
        <v>22</v>
      </c>
      <c r="R1939" s="9" t="s">
        <v>53</v>
      </c>
      <c r="S1939" s="9"/>
      <c r="T1939" s="9"/>
      <c r="U1939" s="9" t="str">
        <f aca="false">IF(COUNTIF($A$2:$A$5001,A1939)&gt;1,"Duplicate","Unique")</f>
        <v>Unique</v>
      </c>
      <c r="V1939" s="9" t="str">
        <f aca="false">IF(COUNTIFS($B$2:$B$5001,B1939,$H$2:$H$5001,H1939,$J$2:$J$5001,J1939)&gt;1,"Possible Duplicate Booking","Unique")</f>
        <v>Unique</v>
      </c>
      <c r="W1939" s="9" t="str">
        <f aca="false">IF((H1939-G1939)&lt;&gt;K1939,"Mismatch","OK")</f>
        <v>OK</v>
      </c>
      <c r="X1939" s="9" t="str">
        <f aca="false">IF(TEXT(H1939,"dddd")&lt;&gt;I1939,"Mismatch","OK")</f>
        <v>OK</v>
      </c>
      <c r="Y1939" s="9" t="str">
        <f aca="false">IF(AND(N1939="No",O1939&lt;&gt;""),"Unexpected: channel present but no reminder sent",IF(AND(N1939="Yes",O1939=""),"Missing channel for sent reminder","OK"))</f>
        <v>OK</v>
      </c>
    </row>
    <row r="1940" customFormat="false" ht="15" hidden="false" customHeight="false" outlineLevel="0" collapsed="false">
      <c r="A1940" s="7" t="s">
        <v>3194</v>
      </c>
      <c r="B1940" s="7" t="s">
        <v>739</v>
      </c>
      <c r="C1940" s="7" t="s">
        <v>37</v>
      </c>
      <c r="D1940" s="7" t="n">
        <v>56</v>
      </c>
      <c r="E1940" s="7" t="s">
        <v>61</v>
      </c>
      <c r="F1940" s="7" t="s">
        <v>39</v>
      </c>
      <c r="G1940" s="8" t="n">
        <v>46134</v>
      </c>
      <c r="H1940" s="8" t="n">
        <v>46182</v>
      </c>
      <c r="I1940" s="7" t="s">
        <v>40</v>
      </c>
      <c r="J1940" s="7" t="s">
        <v>51</v>
      </c>
      <c r="K1940" s="7" t="n">
        <v>48</v>
      </c>
      <c r="L1940" s="7" t="n">
        <v>4</v>
      </c>
      <c r="M1940" s="7" t="n">
        <v>0</v>
      </c>
      <c r="N1940" s="7" t="s">
        <v>42</v>
      </c>
      <c r="O1940" s="7" t="s">
        <v>43</v>
      </c>
      <c r="P1940" s="7" t="n">
        <v>10.4</v>
      </c>
      <c r="Q1940" s="7" t="n">
        <v>9</v>
      </c>
      <c r="R1940" s="7" t="s">
        <v>44</v>
      </c>
      <c r="S1940" s="7"/>
      <c r="T1940" s="7"/>
      <c r="U1940" s="7" t="str">
        <f aca="false">IF(COUNTIF($A$2:$A$5001,A1940)&gt;1,"Duplicate","Unique")</f>
        <v>Unique</v>
      </c>
      <c r="V1940" s="7" t="str">
        <f aca="false">IF(COUNTIFS($B$2:$B$5001,B1940,$H$2:$H$5001,H1940,$J$2:$J$5001,J1940)&gt;1,"Possible Duplicate Booking","Unique")</f>
        <v>Unique</v>
      </c>
      <c r="W1940" s="7" t="str">
        <f aca="false">IF((H1940-G1940)&lt;&gt;K1940,"Mismatch","OK")</f>
        <v>OK</v>
      </c>
      <c r="X1940" s="7" t="str">
        <f aca="false">IF(TEXT(H1940,"dddd")&lt;&gt;I1940,"Mismatch","OK")</f>
        <v>OK</v>
      </c>
      <c r="Y1940" s="7" t="str">
        <f aca="false">IF(AND(N1940="No",O1940&lt;&gt;""),"Unexpected: channel present but no reminder sent",IF(AND(N1940="Yes",O1940=""),"Missing channel for sent reminder","OK"))</f>
        <v>OK</v>
      </c>
    </row>
    <row r="1941" customFormat="false" ht="15" hidden="false" customHeight="false" outlineLevel="0" collapsed="false">
      <c r="A1941" s="9" t="s">
        <v>3195</v>
      </c>
      <c r="B1941" s="9" t="s">
        <v>1101</v>
      </c>
      <c r="C1941" s="9" t="s">
        <v>37</v>
      </c>
      <c r="D1941" s="9" t="n">
        <v>68</v>
      </c>
      <c r="E1941" s="9" t="s">
        <v>70</v>
      </c>
      <c r="F1941" s="9" t="s">
        <v>57</v>
      </c>
      <c r="G1941" s="10" t="n">
        <v>45713</v>
      </c>
      <c r="H1941" s="10" t="n">
        <v>45771</v>
      </c>
      <c r="I1941" s="9" t="s">
        <v>62</v>
      </c>
      <c r="J1941" s="9" t="s">
        <v>41</v>
      </c>
      <c r="K1941" s="9" t="n">
        <v>58</v>
      </c>
      <c r="L1941" s="9" t="n">
        <v>2</v>
      </c>
      <c r="M1941" s="9" t="n">
        <v>1</v>
      </c>
      <c r="N1941" s="9" t="s">
        <v>71</v>
      </c>
      <c r="O1941" s="9"/>
      <c r="P1941" s="9" t="n">
        <v>14.6</v>
      </c>
      <c r="Q1941" s="9" t="n">
        <v>42</v>
      </c>
      <c r="R1941" s="9" t="s">
        <v>44</v>
      </c>
      <c r="S1941" s="9"/>
      <c r="T1941" s="9"/>
      <c r="U1941" s="9" t="str">
        <f aca="false">IF(COUNTIF($A$2:$A$5001,A1941)&gt;1,"Duplicate","Unique")</f>
        <v>Unique</v>
      </c>
      <c r="V1941" s="9" t="str">
        <f aca="false">IF(COUNTIFS($B$2:$B$5001,B1941,$H$2:$H$5001,H1941,$J$2:$J$5001,J1941)&gt;1,"Possible Duplicate Booking","Unique")</f>
        <v>Unique</v>
      </c>
      <c r="W1941" s="9" t="str">
        <f aca="false">IF((H1941-G1941)&lt;&gt;K1941,"Mismatch","OK")</f>
        <v>OK</v>
      </c>
      <c r="X1941" s="9" t="str">
        <f aca="false">IF(TEXT(H1941,"dddd")&lt;&gt;I1941,"Mismatch","OK")</f>
        <v>OK</v>
      </c>
      <c r="Y1941" s="9" t="str">
        <f aca="false">IF(AND(N1941="No",O1941&lt;&gt;""),"Unexpected: channel present but no reminder sent",IF(AND(N1941="Yes",O1941=""),"Missing channel for sent reminder","OK"))</f>
        <v>OK</v>
      </c>
    </row>
    <row r="1942" customFormat="false" ht="15" hidden="false" customHeight="false" outlineLevel="0" collapsed="false">
      <c r="A1942" s="7" t="s">
        <v>3196</v>
      </c>
      <c r="B1942" s="7" t="s">
        <v>1711</v>
      </c>
      <c r="C1942" s="7" t="s">
        <v>37</v>
      </c>
      <c r="D1942" s="7" t="n">
        <v>36</v>
      </c>
      <c r="E1942" s="7" t="s">
        <v>38</v>
      </c>
      <c r="F1942" s="7" t="s">
        <v>39</v>
      </c>
      <c r="G1942" s="8" t="n">
        <v>45698</v>
      </c>
      <c r="H1942" s="8" t="n">
        <v>45747</v>
      </c>
      <c r="I1942" s="7" t="s">
        <v>66</v>
      </c>
      <c r="J1942" s="7" t="s">
        <v>51</v>
      </c>
      <c r="K1942" s="7" t="n">
        <v>49</v>
      </c>
      <c r="L1942" s="7" t="n">
        <v>3</v>
      </c>
      <c r="M1942" s="7" t="n">
        <v>0</v>
      </c>
      <c r="N1942" s="7" t="s">
        <v>42</v>
      </c>
      <c r="O1942" s="7" t="s">
        <v>52</v>
      </c>
      <c r="P1942" s="7" t="n">
        <v>6.4</v>
      </c>
      <c r="Q1942" s="7" t="n">
        <v>6</v>
      </c>
      <c r="R1942" s="7" t="s">
        <v>53</v>
      </c>
      <c r="S1942" s="7"/>
      <c r="T1942" s="7"/>
      <c r="U1942" s="7" t="str">
        <f aca="false">IF(COUNTIF($A$2:$A$5001,A1942)&gt;1,"Duplicate","Unique")</f>
        <v>Unique</v>
      </c>
      <c r="V1942" s="7" t="str">
        <f aca="false">IF(COUNTIFS($B$2:$B$5001,B1942,$H$2:$H$5001,H1942,$J$2:$J$5001,J1942)&gt;1,"Possible Duplicate Booking","Unique")</f>
        <v>Unique</v>
      </c>
      <c r="W1942" s="7" t="str">
        <f aca="false">IF((H1942-G1942)&lt;&gt;K1942,"Mismatch","OK")</f>
        <v>OK</v>
      </c>
      <c r="X1942" s="7" t="str">
        <f aca="false">IF(TEXT(H1942,"dddd")&lt;&gt;I1942,"Mismatch","OK")</f>
        <v>OK</v>
      </c>
      <c r="Y1942" s="7" t="str">
        <f aca="false">IF(AND(N1942="No",O1942&lt;&gt;""),"Unexpected: channel present but no reminder sent",IF(AND(N1942="Yes",O1942=""),"Missing channel for sent reminder","OK"))</f>
        <v>OK</v>
      </c>
    </row>
    <row r="1943" customFormat="false" ht="15" hidden="false" customHeight="false" outlineLevel="0" collapsed="false">
      <c r="A1943" s="9" t="s">
        <v>3197</v>
      </c>
      <c r="B1943" s="9" t="s">
        <v>122</v>
      </c>
      <c r="C1943" s="9" t="s">
        <v>37</v>
      </c>
      <c r="D1943" s="9" t="n">
        <v>42</v>
      </c>
      <c r="E1943" s="9" t="s">
        <v>38</v>
      </c>
      <c r="F1943" s="9" t="s">
        <v>74</v>
      </c>
      <c r="G1943" s="10" t="n">
        <v>45770</v>
      </c>
      <c r="H1943" s="10" t="n">
        <v>45796</v>
      </c>
      <c r="I1943" s="9" t="s">
        <v>66</v>
      </c>
      <c r="J1943" s="9" t="s">
        <v>41</v>
      </c>
      <c r="K1943" s="9" t="n">
        <v>26</v>
      </c>
      <c r="L1943" s="9" t="n">
        <v>3</v>
      </c>
      <c r="M1943" s="9" t="n">
        <v>0</v>
      </c>
      <c r="N1943" s="9" t="s">
        <v>42</v>
      </c>
      <c r="O1943" s="9" t="s">
        <v>43</v>
      </c>
      <c r="P1943" s="9" t="n">
        <v>17.2</v>
      </c>
      <c r="Q1943" s="9" t="n">
        <v>18</v>
      </c>
      <c r="R1943" s="9" t="s">
        <v>53</v>
      </c>
      <c r="S1943" s="9"/>
      <c r="T1943" s="9"/>
      <c r="U1943" s="9" t="str">
        <f aca="false">IF(COUNTIF($A$2:$A$5001,A1943)&gt;1,"Duplicate","Unique")</f>
        <v>Unique</v>
      </c>
      <c r="V1943" s="9" t="str">
        <f aca="false">IF(COUNTIFS($B$2:$B$5001,B1943,$H$2:$H$5001,H1943,$J$2:$J$5001,J1943)&gt;1,"Possible Duplicate Booking","Unique")</f>
        <v>Unique</v>
      </c>
      <c r="W1943" s="9" t="str">
        <f aca="false">IF((H1943-G1943)&lt;&gt;K1943,"Mismatch","OK")</f>
        <v>OK</v>
      </c>
      <c r="X1943" s="9" t="str">
        <f aca="false">IF(TEXT(H1943,"dddd")&lt;&gt;I1943,"Mismatch","OK")</f>
        <v>OK</v>
      </c>
      <c r="Y1943" s="9" t="str">
        <f aca="false">IF(AND(N1943="No",O1943&lt;&gt;""),"Unexpected: channel present but no reminder sent",IF(AND(N1943="Yes",O1943=""),"Missing channel for sent reminder","OK"))</f>
        <v>OK</v>
      </c>
    </row>
    <row r="1944" customFormat="false" ht="15" hidden="false" customHeight="false" outlineLevel="0" collapsed="false">
      <c r="A1944" s="7" t="s">
        <v>3198</v>
      </c>
      <c r="B1944" s="7" t="s">
        <v>3199</v>
      </c>
      <c r="C1944" s="7" t="s">
        <v>37</v>
      </c>
      <c r="D1944" s="7" t="n">
        <v>42</v>
      </c>
      <c r="E1944" s="7" t="s">
        <v>38</v>
      </c>
      <c r="F1944" s="7" t="s">
        <v>49</v>
      </c>
      <c r="G1944" s="8" t="n">
        <v>46105</v>
      </c>
      <c r="H1944" s="8" t="n">
        <v>46135</v>
      </c>
      <c r="I1944" s="7" t="s">
        <v>62</v>
      </c>
      <c r="J1944" s="7" t="s">
        <v>51</v>
      </c>
      <c r="K1944" s="7" t="n">
        <v>30</v>
      </c>
      <c r="L1944" s="7" t="n">
        <v>4</v>
      </c>
      <c r="M1944" s="7" t="n">
        <v>0</v>
      </c>
      <c r="N1944" s="7" t="s">
        <v>42</v>
      </c>
      <c r="O1944" s="7" t="s">
        <v>52</v>
      </c>
      <c r="P1944" s="7" t="n">
        <v>17.4</v>
      </c>
      <c r="Q1944" s="7" t="n">
        <v>30</v>
      </c>
      <c r="R1944" s="7" t="s">
        <v>53</v>
      </c>
      <c r="S1944" s="7"/>
      <c r="T1944" s="7"/>
      <c r="U1944" s="7" t="str">
        <f aca="false">IF(COUNTIF($A$2:$A$5001,A1944)&gt;1,"Duplicate","Unique")</f>
        <v>Unique</v>
      </c>
      <c r="V1944" s="7" t="str">
        <f aca="false">IF(COUNTIFS($B$2:$B$5001,B1944,$H$2:$H$5001,H1944,$J$2:$J$5001,J1944)&gt;1,"Possible Duplicate Booking","Unique")</f>
        <v>Unique</v>
      </c>
      <c r="W1944" s="7" t="str">
        <f aca="false">IF((H1944-G1944)&lt;&gt;K1944,"Mismatch","OK")</f>
        <v>OK</v>
      </c>
      <c r="X1944" s="7" t="str">
        <f aca="false">IF(TEXT(H1944,"dddd")&lt;&gt;I1944,"Mismatch","OK")</f>
        <v>OK</v>
      </c>
      <c r="Y1944" s="7" t="str">
        <f aca="false">IF(AND(N1944="No",O1944&lt;&gt;""),"Unexpected: channel present but no reminder sent",IF(AND(N1944="Yes",O1944=""),"Missing channel for sent reminder","OK"))</f>
        <v>OK</v>
      </c>
    </row>
    <row r="1945" customFormat="false" ht="15" hidden="false" customHeight="false" outlineLevel="0" collapsed="false">
      <c r="A1945" s="9" t="s">
        <v>3200</v>
      </c>
      <c r="B1945" s="9" t="s">
        <v>3201</v>
      </c>
      <c r="C1945" s="9" t="s">
        <v>47</v>
      </c>
      <c r="D1945" s="9" t="n">
        <v>20</v>
      </c>
      <c r="E1945" s="9" t="s">
        <v>82</v>
      </c>
      <c r="F1945" s="9" t="s">
        <v>57</v>
      </c>
      <c r="G1945" s="10" t="n">
        <v>45647</v>
      </c>
      <c r="H1945" s="10" t="n">
        <v>45674</v>
      </c>
      <c r="I1945" s="9" t="s">
        <v>50</v>
      </c>
      <c r="J1945" s="9" t="s">
        <v>51</v>
      </c>
      <c r="K1945" s="9" t="n">
        <v>27</v>
      </c>
      <c r="L1945" s="9" t="n">
        <v>3</v>
      </c>
      <c r="M1945" s="9" t="n">
        <v>1</v>
      </c>
      <c r="N1945" s="9" t="s">
        <v>42</v>
      </c>
      <c r="O1945" s="9" t="s">
        <v>43</v>
      </c>
      <c r="P1945" s="9" t="n">
        <v>14.6</v>
      </c>
      <c r="Q1945" s="9" t="n">
        <v>53</v>
      </c>
      <c r="R1945" s="9" t="s">
        <v>44</v>
      </c>
      <c r="S1945" s="9"/>
      <c r="T1945" s="9"/>
      <c r="U1945" s="9" t="str">
        <f aca="false">IF(COUNTIF($A$2:$A$5001,A1945)&gt;1,"Duplicate","Unique")</f>
        <v>Unique</v>
      </c>
      <c r="V1945" s="9" t="str">
        <f aca="false">IF(COUNTIFS($B$2:$B$5001,B1945,$H$2:$H$5001,H1945,$J$2:$J$5001,J1945)&gt;1,"Possible Duplicate Booking","Unique")</f>
        <v>Unique</v>
      </c>
      <c r="W1945" s="9" t="str">
        <f aca="false">IF((H1945-G1945)&lt;&gt;K1945,"Mismatch","OK")</f>
        <v>OK</v>
      </c>
      <c r="X1945" s="9" t="str">
        <f aca="false">IF(TEXT(H1945,"dddd")&lt;&gt;I1945,"Mismatch","OK")</f>
        <v>OK</v>
      </c>
      <c r="Y1945" s="9" t="str">
        <f aca="false">IF(AND(N1945="No",O1945&lt;&gt;""),"Unexpected: channel present but no reminder sent",IF(AND(N1945="Yes",O1945=""),"Missing channel for sent reminder","OK"))</f>
        <v>OK</v>
      </c>
    </row>
    <row r="1946" customFormat="false" ht="15" hidden="false" customHeight="false" outlineLevel="0" collapsed="false">
      <c r="A1946" s="7" t="s">
        <v>3202</v>
      </c>
      <c r="B1946" s="7" t="s">
        <v>3203</v>
      </c>
      <c r="C1946" s="7" t="s">
        <v>37</v>
      </c>
      <c r="D1946" s="7" t="n">
        <v>64</v>
      </c>
      <c r="E1946" s="7" t="s">
        <v>61</v>
      </c>
      <c r="F1946" s="7" t="s">
        <v>49</v>
      </c>
      <c r="G1946" s="8" t="n">
        <v>45817</v>
      </c>
      <c r="H1946" s="8" t="n">
        <v>45865</v>
      </c>
      <c r="I1946" s="7" t="s">
        <v>75</v>
      </c>
      <c r="J1946" s="7" t="s">
        <v>41</v>
      </c>
      <c r="K1946" s="7" t="n">
        <v>48</v>
      </c>
      <c r="L1946" s="7" t="n">
        <v>0</v>
      </c>
      <c r="M1946" s="7" t="n">
        <v>0</v>
      </c>
      <c r="N1946" s="7" t="s">
        <v>42</v>
      </c>
      <c r="O1946" s="7" t="s">
        <v>52</v>
      </c>
      <c r="P1946" s="7" t="n">
        <v>3.9</v>
      </c>
      <c r="Q1946" s="7" t="n">
        <v>43</v>
      </c>
      <c r="R1946" s="7" t="s">
        <v>44</v>
      </c>
      <c r="S1946" s="7"/>
      <c r="T1946" s="7"/>
      <c r="U1946" s="7" t="str">
        <f aca="false">IF(COUNTIF($A$2:$A$5001,A1946)&gt;1,"Duplicate","Unique")</f>
        <v>Unique</v>
      </c>
      <c r="V1946" s="7" t="str">
        <f aca="false">IF(COUNTIFS($B$2:$B$5001,B1946,$H$2:$H$5001,H1946,$J$2:$J$5001,J1946)&gt;1,"Possible Duplicate Booking","Unique")</f>
        <v>Unique</v>
      </c>
      <c r="W1946" s="7" t="str">
        <f aca="false">IF((H1946-G1946)&lt;&gt;K1946,"Mismatch","OK")</f>
        <v>OK</v>
      </c>
      <c r="X1946" s="7" t="str">
        <f aca="false">IF(TEXT(H1946,"dddd")&lt;&gt;I1946,"Mismatch","OK")</f>
        <v>OK</v>
      </c>
      <c r="Y1946" s="7" t="str">
        <f aca="false">IF(AND(N1946="No",O1946&lt;&gt;""),"Unexpected: channel present but no reminder sent",IF(AND(N1946="Yes",O1946=""),"Missing channel for sent reminder","OK"))</f>
        <v>OK</v>
      </c>
    </row>
    <row r="1947" customFormat="false" ht="15" hidden="false" customHeight="false" outlineLevel="0" collapsed="false">
      <c r="A1947" s="9" t="s">
        <v>3204</v>
      </c>
      <c r="B1947" s="9" t="s">
        <v>3205</v>
      </c>
      <c r="C1947" s="9" t="s">
        <v>47</v>
      </c>
      <c r="D1947" s="9" t="n">
        <v>51</v>
      </c>
      <c r="E1947" s="9" t="s">
        <v>56</v>
      </c>
      <c r="F1947" s="9" t="s">
        <v>57</v>
      </c>
      <c r="G1947" s="10" t="n">
        <v>45689</v>
      </c>
      <c r="H1947" s="10" t="n">
        <v>45722</v>
      </c>
      <c r="I1947" s="9" t="s">
        <v>62</v>
      </c>
      <c r="J1947" s="9" t="s">
        <v>51</v>
      </c>
      <c r="K1947" s="9" t="n">
        <v>33</v>
      </c>
      <c r="L1947" s="9" t="n">
        <v>1</v>
      </c>
      <c r="M1947" s="9" t="n">
        <v>1</v>
      </c>
      <c r="N1947" s="9" t="s">
        <v>42</v>
      </c>
      <c r="O1947" s="9" t="s">
        <v>52</v>
      </c>
      <c r="P1947" s="9" t="n">
        <v>12.4</v>
      </c>
      <c r="Q1947" s="9" t="n">
        <v>31</v>
      </c>
      <c r="R1947" s="9" t="s">
        <v>44</v>
      </c>
      <c r="S1947" s="9"/>
      <c r="T1947" s="9"/>
      <c r="U1947" s="9" t="str">
        <f aca="false">IF(COUNTIF($A$2:$A$5001,A1947)&gt;1,"Duplicate","Unique")</f>
        <v>Unique</v>
      </c>
      <c r="V1947" s="9" t="str">
        <f aca="false">IF(COUNTIFS($B$2:$B$5001,B1947,$H$2:$H$5001,H1947,$J$2:$J$5001,J1947)&gt;1,"Possible Duplicate Booking","Unique")</f>
        <v>Unique</v>
      </c>
      <c r="W1947" s="9" t="str">
        <f aca="false">IF((H1947-G1947)&lt;&gt;K1947,"Mismatch","OK")</f>
        <v>OK</v>
      </c>
      <c r="X1947" s="9" t="str">
        <f aca="false">IF(TEXT(H1947,"dddd")&lt;&gt;I1947,"Mismatch","OK")</f>
        <v>OK</v>
      </c>
      <c r="Y1947" s="9" t="str">
        <f aca="false">IF(AND(N1947="No",O1947&lt;&gt;""),"Unexpected: channel present but no reminder sent",IF(AND(N1947="Yes",O1947=""),"Missing channel for sent reminder","OK"))</f>
        <v>OK</v>
      </c>
    </row>
    <row r="1948" customFormat="false" ht="15" hidden="false" customHeight="false" outlineLevel="0" collapsed="false">
      <c r="A1948" s="7" t="s">
        <v>3206</v>
      </c>
      <c r="B1948" s="7" t="s">
        <v>3207</v>
      </c>
      <c r="C1948" s="7" t="s">
        <v>37</v>
      </c>
      <c r="D1948" s="7" t="n">
        <v>47</v>
      </c>
      <c r="E1948" s="7" t="s">
        <v>56</v>
      </c>
      <c r="F1948" s="7" t="s">
        <v>39</v>
      </c>
      <c r="G1948" s="8" t="n">
        <v>45715</v>
      </c>
      <c r="H1948" s="8" t="n">
        <v>45743</v>
      </c>
      <c r="I1948" s="7" t="s">
        <v>62</v>
      </c>
      <c r="J1948" s="7" t="s">
        <v>41</v>
      </c>
      <c r="K1948" s="7" t="n">
        <v>28</v>
      </c>
      <c r="L1948" s="7" t="n">
        <v>2</v>
      </c>
      <c r="M1948" s="7" t="n">
        <v>0</v>
      </c>
      <c r="N1948" s="7" t="s">
        <v>42</v>
      </c>
      <c r="O1948" s="7" t="s">
        <v>43</v>
      </c>
      <c r="P1948" s="7" t="n">
        <v>11.6</v>
      </c>
      <c r="Q1948" s="7" t="n">
        <v>48</v>
      </c>
      <c r="R1948" s="7" t="s">
        <v>53</v>
      </c>
      <c r="S1948" s="7"/>
      <c r="T1948" s="7"/>
      <c r="U1948" s="7" t="str">
        <f aca="false">IF(COUNTIF($A$2:$A$5001,A1948)&gt;1,"Duplicate","Unique")</f>
        <v>Unique</v>
      </c>
      <c r="V1948" s="7" t="str">
        <f aca="false">IF(COUNTIFS($B$2:$B$5001,B1948,$H$2:$H$5001,H1948,$J$2:$J$5001,J1948)&gt;1,"Possible Duplicate Booking","Unique")</f>
        <v>Unique</v>
      </c>
      <c r="W1948" s="7" t="str">
        <f aca="false">IF((H1948-G1948)&lt;&gt;K1948,"Mismatch","OK")</f>
        <v>OK</v>
      </c>
      <c r="X1948" s="7" t="str">
        <f aca="false">IF(TEXT(H1948,"dddd")&lt;&gt;I1948,"Mismatch","OK")</f>
        <v>OK</v>
      </c>
      <c r="Y1948" s="7" t="str">
        <f aca="false">IF(AND(N1948="No",O1948&lt;&gt;""),"Unexpected: channel present but no reminder sent",IF(AND(N1948="Yes",O1948=""),"Missing channel for sent reminder","OK"))</f>
        <v>OK</v>
      </c>
    </row>
    <row r="1949" customFormat="false" ht="15" hidden="false" customHeight="false" outlineLevel="0" collapsed="false">
      <c r="A1949" s="9" t="s">
        <v>3208</v>
      </c>
      <c r="B1949" s="9" t="s">
        <v>1331</v>
      </c>
      <c r="C1949" s="9" t="s">
        <v>37</v>
      </c>
      <c r="D1949" s="9" t="n">
        <v>80</v>
      </c>
      <c r="E1949" s="9" t="s">
        <v>70</v>
      </c>
      <c r="F1949" s="9" t="s">
        <v>39</v>
      </c>
      <c r="G1949" s="10" t="n">
        <v>46134</v>
      </c>
      <c r="H1949" s="10" t="n">
        <v>46158</v>
      </c>
      <c r="I1949" s="9" t="s">
        <v>102</v>
      </c>
      <c r="J1949" s="9" t="s">
        <v>41</v>
      </c>
      <c r="K1949" s="9" t="n">
        <v>24</v>
      </c>
      <c r="L1949" s="9" t="n">
        <v>3</v>
      </c>
      <c r="M1949" s="9" t="n">
        <v>0</v>
      </c>
      <c r="N1949" s="9" t="s">
        <v>42</v>
      </c>
      <c r="O1949" s="9" t="s">
        <v>52</v>
      </c>
      <c r="P1949" s="9" t="n">
        <v>4.5</v>
      </c>
      <c r="Q1949" s="9" t="n">
        <v>19</v>
      </c>
      <c r="R1949" s="9" t="s">
        <v>53</v>
      </c>
      <c r="S1949" s="9"/>
      <c r="T1949" s="9"/>
      <c r="U1949" s="9" t="str">
        <f aca="false">IF(COUNTIF($A$2:$A$5001,A1949)&gt;1,"Duplicate","Unique")</f>
        <v>Unique</v>
      </c>
      <c r="V1949" s="9" t="str">
        <f aca="false">IF(COUNTIFS($B$2:$B$5001,B1949,$H$2:$H$5001,H1949,$J$2:$J$5001,J1949)&gt;1,"Possible Duplicate Booking","Unique")</f>
        <v>Unique</v>
      </c>
      <c r="W1949" s="9" t="str">
        <f aca="false">IF((H1949-G1949)&lt;&gt;K1949,"Mismatch","OK")</f>
        <v>OK</v>
      </c>
      <c r="X1949" s="9" t="str">
        <f aca="false">IF(TEXT(H1949,"dddd")&lt;&gt;I1949,"Mismatch","OK")</f>
        <v>OK</v>
      </c>
      <c r="Y1949" s="9" t="str">
        <f aca="false">IF(AND(N1949="No",O1949&lt;&gt;""),"Unexpected: channel present but no reminder sent",IF(AND(N1949="Yes",O1949=""),"Missing channel for sent reminder","OK"))</f>
        <v>OK</v>
      </c>
    </row>
    <row r="1950" customFormat="false" ht="15" hidden="false" customHeight="false" outlineLevel="0" collapsed="false">
      <c r="A1950" s="7" t="s">
        <v>3209</v>
      </c>
      <c r="B1950" s="7" t="s">
        <v>2545</v>
      </c>
      <c r="C1950" s="7" t="s">
        <v>47</v>
      </c>
      <c r="D1950" s="7" t="n">
        <v>29</v>
      </c>
      <c r="E1950" s="7" t="s">
        <v>48</v>
      </c>
      <c r="F1950" s="7" t="s">
        <v>57</v>
      </c>
      <c r="G1950" s="8" t="n">
        <v>45636</v>
      </c>
      <c r="H1950" s="8" t="n">
        <v>45658</v>
      </c>
      <c r="I1950" s="7" t="s">
        <v>58</v>
      </c>
      <c r="J1950" s="7" t="s">
        <v>41</v>
      </c>
      <c r="K1950" s="7" t="n">
        <v>22</v>
      </c>
      <c r="L1950" s="7" t="n">
        <v>3</v>
      </c>
      <c r="M1950" s="7" t="n">
        <v>0</v>
      </c>
      <c r="N1950" s="7" t="s">
        <v>42</v>
      </c>
      <c r="O1950" s="7" t="s">
        <v>52</v>
      </c>
      <c r="P1950" s="7" t="n">
        <v>6</v>
      </c>
      <c r="Q1950" s="7" t="n">
        <v>29</v>
      </c>
      <c r="R1950" s="7" t="s">
        <v>53</v>
      </c>
      <c r="S1950" s="7"/>
      <c r="T1950" s="7"/>
      <c r="U1950" s="7" t="str">
        <f aca="false">IF(COUNTIF($A$2:$A$5001,A1950)&gt;1,"Duplicate","Unique")</f>
        <v>Unique</v>
      </c>
      <c r="V1950" s="7" t="str">
        <f aca="false">IF(COUNTIFS($B$2:$B$5001,B1950,$H$2:$H$5001,H1950,$J$2:$J$5001,J1950)&gt;1,"Possible Duplicate Booking","Unique")</f>
        <v>Unique</v>
      </c>
      <c r="W1950" s="7" t="str">
        <f aca="false">IF((H1950-G1950)&lt;&gt;K1950,"Mismatch","OK")</f>
        <v>OK</v>
      </c>
      <c r="X1950" s="7" t="str">
        <f aca="false">IF(TEXT(H1950,"dddd")&lt;&gt;I1950,"Mismatch","OK")</f>
        <v>OK</v>
      </c>
      <c r="Y1950" s="7" t="str">
        <f aca="false">IF(AND(N1950="No",O1950&lt;&gt;""),"Unexpected: channel present but no reminder sent",IF(AND(N1950="Yes",O1950=""),"Missing channel for sent reminder","OK"))</f>
        <v>OK</v>
      </c>
    </row>
    <row r="1951" customFormat="false" ht="15" hidden="false" customHeight="false" outlineLevel="0" collapsed="false">
      <c r="A1951" s="9" t="s">
        <v>3210</v>
      </c>
      <c r="B1951" s="9" t="s">
        <v>3211</v>
      </c>
      <c r="C1951" s="9" t="s">
        <v>236</v>
      </c>
      <c r="D1951" s="9" t="n">
        <v>79</v>
      </c>
      <c r="E1951" s="9" t="s">
        <v>70</v>
      </c>
      <c r="F1951" s="9" t="s">
        <v>57</v>
      </c>
      <c r="G1951" s="10" t="n">
        <v>45800</v>
      </c>
      <c r="H1951" s="10" t="n">
        <v>45833</v>
      </c>
      <c r="I1951" s="9" t="s">
        <v>58</v>
      </c>
      <c r="J1951" s="9" t="s">
        <v>41</v>
      </c>
      <c r="K1951" s="9" t="n">
        <v>33</v>
      </c>
      <c r="L1951" s="9" t="n">
        <v>5</v>
      </c>
      <c r="M1951" s="9" t="n">
        <v>0</v>
      </c>
      <c r="N1951" s="9" t="s">
        <v>42</v>
      </c>
      <c r="O1951" s="9" t="s">
        <v>43</v>
      </c>
      <c r="P1951" s="9" t="n">
        <v>8.7</v>
      </c>
      <c r="Q1951" s="9" t="n">
        <v>40</v>
      </c>
      <c r="R1951" s="9" t="s">
        <v>44</v>
      </c>
      <c r="S1951" s="9"/>
      <c r="T1951" s="9"/>
      <c r="U1951" s="9" t="str">
        <f aca="false">IF(COUNTIF($A$2:$A$5001,A1951)&gt;1,"Duplicate","Unique")</f>
        <v>Unique</v>
      </c>
      <c r="V1951" s="9" t="str">
        <f aca="false">IF(COUNTIFS($B$2:$B$5001,B1951,$H$2:$H$5001,H1951,$J$2:$J$5001,J1951)&gt;1,"Possible Duplicate Booking","Unique")</f>
        <v>Unique</v>
      </c>
      <c r="W1951" s="9" t="str">
        <f aca="false">IF((H1951-G1951)&lt;&gt;K1951,"Mismatch","OK")</f>
        <v>OK</v>
      </c>
      <c r="X1951" s="9" t="str">
        <f aca="false">IF(TEXT(H1951,"dddd")&lt;&gt;I1951,"Mismatch","OK")</f>
        <v>OK</v>
      </c>
      <c r="Y1951" s="9" t="str">
        <f aca="false">IF(AND(N1951="No",O1951&lt;&gt;""),"Unexpected: channel present but no reminder sent",IF(AND(N1951="Yes",O1951=""),"Missing channel for sent reminder","OK"))</f>
        <v>OK</v>
      </c>
    </row>
    <row r="1952" customFormat="false" ht="15" hidden="false" customHeight="false" outlineLevel="0" collapsed="false">
      <c r="A1952" s="7" t="s">
        <v>3212</v>
      </c>
      <c r="B1952" s="7" t="s">
        <v>3213</v>
      </c>
      <c r="C1952" s="7" t="s">
        <v>47</v>
      </c>
      <c r="D1952" s="7" t="n">
        <v>60</v>
      </c>
      <c r="E1952" s="7" t="s">
        <v>61</v>
      </c>
      <c r="F1952" s="7" t="s">
        <v>74</v>
      </c>
      <c r="G1952" s="8" t="n">
        <v>46115</v>
      </c>
      <c r="H1952" s="8" t="n">
        <v>46157</v>
      </c>
      <c r="I1952" s="7" t="s">
        <v>50</v>
      </c>
      <c r="J1952" s="7" t="s">
        <v>41</v>
      </c>
      <c r="K1952" s="7" t="n">
        <v>42</v>
      </c>
      <c r="L1952" s="7" t="n">
        <v>1</v>
      </c>
      <c r="M1952" s="7" t="n">
        <v>0</v>
      </c>
      <c r="N1952" s="7" t="s">
        <v>71</v>
      </c>
      <c r="O1952" s="7"/>
      <c r="P1952" s="7" t="n">
        <v>5.8</v>
      </c>
      <c r="Q1952" s="7" t="n">
        <v>9</v>
      </c>
      <c r="R1952" s="7" t="s">
        <v>44</v>
      </c>
      <c r="S1952" s="7"/>
      <c r="T1952" s="7"/>
      <c r="U1952" s="7" t="str">
        <f aca="false">IF(COUNTIF($A$2:$A$5001,A1952)&gt;1,"Duplicate","Unique")</f>
        <v>Unique</v>
      </c>
      <c r="V1952" s="7" t="str">
        <f aca="false">IF(COUNTIFS($B$2:$B$5001,B1952,$H$2:$H$5001,H1952,$J$2:$J$5001,J1952)&gt;1,"Possible Duplicate Booking","Unique")</f>
        <v>Unique</v>
      </c>
      <c r="W1952" s="7" t="str">
        <f aca="false">IF((H1952-G1952)&lt;&gt;K1952,"Mismatch","OK")</f>
        <v>OK</v>
      </c>
      <c r="X1952" s="7" t="str">
        <f aca="false">IF(TEXT(H1952,"dddd")&lt;&gt;I1952,"Mismatch","OK")</f>
        <v>OK</v>
      </c>
      <c r="Y1952" s="7" t="str">
        <f aca="false">IF(AND(N1952="No",O1952&lt;&gt;""),"Unexpected: channel present but no reminder sent",IF(AND(N1952="Yes",O1952=""),"Missing channel for sent reminder","OK"))</f>
        <v>OK</v>
      </c>
    </row>
    <row r="1953" customFormat="false" ht="15" hidden="false" customHeight="false" outlineLevel="0" collapsed="false">
      <c r="A1953" s="9" t="s">
        <v>3214</v>
      </c>
      <c r="B1953" s="9" t="s">
        <v>1550</v>
      </c>
      <c r="C1953" s="9" t="s">
        <v>37</v>
      </c>
      <c r="D1953" s="9" t="n">
        <v>31</v>
      </c>
      <c r="E1953" s="9" t="s">
        <v>48</v>
      </c>
      <c r="F1953" s="9" t="s">
        <v>57</v>
      </c>
      <c r="G1953" s="10" t="n">
        <v>45964</v>
      </c>
      <c r="H1953" s="10" t="n">
        <v>45990</v>
      </c>
      <c r="I1953" s="9" t="s">
        <v>102</v>
      </c>
      <c r="J1953" s="9" t="s">
        <v>63</v>
      </c>
      <c r="K1953" s="9" t="n">
        <v>26</v>
      </c>
      <c r="L1953" s="9" t="n">
        <v>3</v>
      </c>
      <c r="M1953" s="9" t="n">
        <v>2</v>
      </c>
      <c r="N1953" s="9" t="s">
        <v>42</v>
      </c>
      <c r="O1953" s="9" t="s">
        <v>43</v>
      </c>
      <c r="P1953" s="9" t="n">
        <v>7.8</v>
      </c>
      <c r="Q1953" s="9" t="n">
        <v>28</v>
      </c>
      <c r="R1953" s="9" t="s">
        <v>44</v>
      </c>
      <c r="S1953" s="9"/>
      <c r="T1953" s="9"/>
      <c r="U1953" s="9" t="str">
        <f aca="false">IF(COUNTIF($A$2:$A$5001,A1953)&gt;1,"Duplicate","Unique")</f>
        <v>Unique</v>
      </c>
      <c r="V1953" s="9" t="str">
        <f aca="false">IF(COUNTIFS($B$2:$B$5001,B1953,$H$2:$H$5001,H1953,$J$2:$J$5001,J1953)&gt;1,"Possible Duplicate Booking","Unique")</f>
        <v>Unique</v>
      </c>
      <c r="W1953" s="9" t="str">
        <f aca="false">IF((H1953-G1953)&lt;&gt;K1953,"Mismatch","OK")</f>
        <v>OK</v>
      </c>
      <c r="X1953" s="9" t="str">
        <f aca="false">IF(TEXT(H1953,"dddd")&lt;&gt;I1953,"Mismatch","OK")</f>
        <v>OK</v>
      </c>
      <c r="Y1953" s="9" t="str">
        <f aca="false">IF(AND(N1953="No",O1953&lt;&gt;""),"Unexpected: channel present but no reminder sent",IF(AND(N1953="Yes",O1953=""),"Missing channel for sent reminder","OK"))</f>
        <v>OK</v>
      </c>
    </row>
    <row r="1954" customFormat="false" ht="15" hidden="false" customHeight="false" outlineLevel="0" collapsed="false">
      <c r="A1954" s="7" t="s">
        <v>3215</v>
      </c>
      <c r="B1954" s="7" t="s">
        <v>2038</v>
      </c>
      <c r="C1954" s="7" t="s">
        <v>47</v>
      </c>
      <c r="D1954" s="7" t="n">
        <v>60</v>
      </c>
      <c r="E1954" s="7" t="s">
        <v>61</v>
      </c>
      <c r="F1954" s="7" t="s">
        <v>49</v>
      </c>
      <c r="G1954" s="8" t="n">
        <v>45648</v>
      </c>
      <c r="H1954" s="8" t="n">
        <v>45697</v>
      </c>
      <c r="I1954" s="7" t="s">
        <v>75</v>
      </c>
      <c r="J1954" s="7" t="s">
        <v>51</v>
      </c>
      <c r="K1954" s="7" t="n">
        <v>49</v>
      </c>
      <c r="L1954" s="7" t="n">
        <v>4</v>
      </c>
      <c r="M1954" s="7" t="n">
        <v>1</v>
      </c>
      <c r="N1954" s="7" t="s">
        <v>42</v>
      </c>
      <c r="O1954" s="7" t="s">
        <v>43</v>
      </c>
      <c r="P1954" s="7" t="n">
        <v>22.3</v>
      </c>
      <c r="Q1954" s="7" t="n">
        <v>29</v>
      </c>
      <c r="R1954" s="7" t="s">
        <v>44</v>
      </c>
      <c r="S1954" s="7"/>
      <c r="T1954" s="7"/>
      <c r="U1954" s="7" t="str">
        <f aca="false">IF(COUNTIF($A$2:$A$5001,A1954)&gt;1,"Duplicate","Unique")</f>
        <v>Unique</v>
      </c>
      <c r="V1954" s="7" t="str">
        <f aca="false">IF(COUNTIFS($B$2:$B$5001,B1954,$H$2:$H$5001,H1954,$J$2:$J$5001,J1954)&gt;1,"Possible Duplicate Booking","Unique")</f>
        <v>Unique</v>
      </c>
      <c r="W1954" s="7" t="str">
        <f aca="false">IF((H1954-G1954)&lt;&gt;K1954,"Mismatch","OK")</f>
        <v>OK</v>
      </c>
      <c r="X1954" s="7" t="str">
        <f aca="false">IF(TEXT(H1954,"dddd")&lt;&gt;I1954,"Mismatch","OK")</f>
        <v>OK</v>
      </c>
      <c r="Y1954" s="7" t="str">
        <f aca="false">IF(AND(N1954="No",O1954&lt;&gt;""),"Unexpected: channel present but no reminder sent",IF(AND(N1954="Yes",O1954=""),"Missing channel for sent reminder","OK"))</f>
        <v>OK</v>
      </c>
    </row>
    <row r="1955" customFormat="false" ht="15" hidden="false" customHeight="false" outlineLevel="0" collapsed="false">
      <c r="A1955" s="9" t="s">
        <v>3216</v>
      </c>
      <c r="B1955" s="9" t="s">
        <v>2292</v>
      </c>
      <c r="C1955" s="9" t="s">
        <v>37</v>
      </c>
      <c r="D1955" s="9" t="n">
        <v>65</v>
      </c>
      <c r="E1955" s="9" t="s">
        <v>70</v>
      </c>
      <c r="F1955" s="9" t="s">
        <v>39</v>
      </c>
      <c r="G1955" s="10" t="n">
        <v>45861</v>
      </c>
      <c r="H1955" s="10" t="n">
        <v>45911</v>
      </c>
      <c r="I1955" s="9" t="s">
        <v>62</v>
      </c>
      <c r="J1955" s="9" t="s">
        <v>41</v>
      </c>
      <c r="K1955" s="9" t="n">
        <v>50</v>
      </c>
      <c r="L1955" s="9" t="n">
        <v>2</v>
      </c>
      <c r="M1955" s="9" t="n">
        <v>1</v>
      </c>
      <c r="N1955" s="9" t="s">
        <v>42</v>
      </c>
      <c r="O1955" s="9" t="s">
        <v>52</v>
      </c>
      <c r="P1955" s="9" t="n">
        <v>4.8</v>
      </c>
      <c r="Q1955" s="9" t="n">
        <v>29</v>
      </c>
      <c r="R1955" s="9" t="s">
        <v>44</v>
      </c>
      <c r="S1955" s="9"/>
      <c r="T1955" s="9"/>
      <c r="U1955" s="9" t="str">
        <f aca="false">IF(COUNTIF($A$2:$A$5001,A1955)&gt;1,"Duplicate","Unique")</f>
        <v>Unique</v>
      </c>
      <c r="V1955" s="9" t="str">
        <f aca="false">IF(COUNTIFS($B$2:$B$5001,B1955,$H$2:$H$5001,H1955,$J$2:$J$5001,J1955)&gt;1,"Possible Duplicate Booking","Unique")</f>
        <v>Unique</v>
      </c>
      <c r="W1955" s="9" t="str">
        <f aca="false">IF((H1955-G1955)&lt;&gt;K1955,"Mismatch","OK")</f>
        <v>OK</v>
      </c>
      <c r="X1955" s="9" t="str">
        <f aca="false">IF(TEXT(H1955,"dddd")&lt;&gt;I1955,"Mismatch","OK")</f>
        <v>OK</v>
      </c>
      <c r="Y1955" s="9" t="str">
        <f aca="false">IF(AND(N1955="No",O1955&lt;&gt;""),"Unexpected: channel present but no reminder sent",IF(AND(N1955="Yes",O1955=""),"Missing channel for sent reminder","OK"))</f>
        <v>OK</v>
      </c>
    </row>
    <row r="1956" customFormat="false" ht="15" hidden="false" customHeight="false" outlineLevel="0" collapsed="false">
      <c r="A1956" s="7" t="s">
        <v>3217</v>
      </c>
      <c r="B1956" s="7" t="s">
        <v>3218</v>
      </c>
      <c r="C1956" s="7" t="s">
        <v>47</v>
      </c>
      <c r="D1956" s="7" t="n">
        <v>40</v>
      </c>
      <c r="E1956" s="7" t="s">
        <v>38</v>
      </c>
      <c r="F1956" s="7" t="s">
        <v>39</v>
      </c>
      <c r="G1956" s="8" t="n">
        <v>46162</v>
      </c>
      <c r="H1956" s="8" t="n">
        <v>46188</v>
      </c>
      <c r="I1956" s="7" t="s">
        <v>66</v>
      </c>
      <c r="J1956" s="7" t="s">
        <v>41</v>
      </c>
      <c r="K1956" s="7" t="n">
        <v>26</v>
      </c>
      <c r="L1956" s="7" t="n">
        <v>4</v>
      </c>
      <c r="M1956" s="7" t="n">
        <v>1</v>
      </c>
      <c r="N1956" s="7" t="s">
        <v>71</v>
      </c>
      <c r="O1956" s="7"/>
      <c r="P1956" s="7" t="n">
        <v>4.7</v>
      </c>
      <c r="Q1956" s="7" t="n">
        <v>13</v>
      </c>
      <c r="R1956" s="7" t="s">
        <v>87</v>
      </c>
      <c r="S1956" s="7"/>
      <c r="T1956" s="7"/>
      <c r="U1956" s="7" t="str">
        <f aca="false">IF(COUNTIF($A$2:$A$5001,A1956)&gt;1,"Duplicate","Unique")</f>
        <v>Unique</v>
      </c>
      <c r="V1956" s="7" t="str">
        <f aca="false">IF(COUNTIFS($B$2:$B$5001,B1956,$H$2:$H$5001,H1956,$J$2:$J$5001,J1956)&gt;1,"Possible Duplicate Booking","Unique")</f>
        <v>Unique</v>
      </c>
      <c r="W1956" s="7" t="str">
        <f aca="false">IF((H1956-G1956)&lt;&gt;K1956,"Mismatch","OK")</f>
        <v>OK</v>
      </c>
      <c r="X1956" s="7" t="str">
        <f aca="false">IF(TEXT(H1956,"dddd")&lt;&gt;I1956,"Mismatch","OK")</f>
        <v>OK</v>
      </c>
      <c r="Y1956" s="7" t="str">
        <f aca="false">IF(AND(N1956="No",O1956&lt;&gt;""),"Unexpected: channel present but no reminder sent",IF(AND(N1956="Yes",O1956=""),"Missing channel for sent reminder","OK"))</f>
        <v>OK</v>
      </c>
    </row>
    <row r="1957" customFormat="false" ht="15" hidden="false" customHeight="false" outlineLevel="0" collapsed="false">
      <c r="A1957" s="9" t="s">
        <v>3219</v>
      </c>
      <c r="B1957" s="9" t="s">
        <v>3220</v>
      </c>
      <c r="C1957" s="9" t="s">
        <v>47</v>
      </c>
      <c r="D1957" s="9" t="n">
        <v>39</v>
      </c>
      <c r="E1957" s="9" t="s">
        <v>38</v>
      </c>
      <c r="F1957" s="9" t="s">
        <v>57</v>
      </c>
      <c r="G1957" s="10" t="n">
        <v>45821</v>
      </c>
      <c r="H1957" s="10" t="n">
        <v>45876</v>
      </c>
      <c r="I1957" s="9" t="s">
        <v>62</v>
      </c>
      <c r="J1957" s="9" t="s">
        <v>51</v>
      </c>
      <c r="K1957" s="9" t="n">
        <v>55</v>
      </c>
      <c r="L1957" s="9" t="n">
        <v>1</v>
      </c>
      <c r="M1957" s="9" t="n">
        <v>0</v>
      </c>
      <c r="N1957" s="9" t="s">
        <v>42</v>
      </c>
      <c r="O1957" s="9" t="s">
        <v>52</v>
      </c>
      <c r="P1957" s="9" t="n">
        <v>16.5</v>
      </c>
      <c r="Q1957" s="9" t="n">
        <v>29</v>
      </c>
      <c r="R1957" s="9" t="s">
        <v>53</v>
      </c>
      <c r="S1957" s="9"/>
      <c r="T1957" s="9"/>
      <c r="U1957" s="9" t="str">
        <f aca="false">IF(COUNTIF($A$2:$A$5001,A1957)&gt;1,"Duplicate","Unique")</f>
        <v>Unique</v>
      </c>
      <c r="V1957" s="9" t="str">
        <f aca="false">IF(COUNTIFS($B$2:$B$5001,B1957,$H$2:$H$5001,H1957,$J$2:$J$5001,J1957)&gt;1,"Possible Duplicate Booking","Unique")</f>
        <v>Unique</v>
      </c>
      <c r="W1957" s="9" t="str">
        <f aca="false">IF((H1957-G1957)&lt;&gt;K1957,"Mismatch","OK")</f>
        <v>OK</v>
      </c>
      <c r="X1957" s="9" t="str">
        <f aca="false">IF(TEXT(H1957,"dddd")&lt;&gt;I1957,"Mismatch","OK")</f>
        <v>OK</v>
      </c>
      <c r="Y1957" s="9" t="str">
        <f aca="false">IF(AND(N1957="No",O1957&lt;&gt;""),"Unexpected: channel present but no reminder sent",IF(AND(N1957="Yes",O1957=""),"Missing channel for sent reminder","OK"))</f>
        <v>OK</v>
      </c>
    </row>
    <row r="1958" customFormat="false" ht="15" hidden="false" customHeight="false" outlineLevel="0" collapsed="false">
      <c r="A1958" s="7" t="s">
        <v>3221</v>
      </c>
      <c r="B1958" s="7" t="s">
        <v>1448</v>
      </c>
      <c r="C1958" s="7" t="s">
        <v>37</v>
      </c>
      <c r="D1958" s="7" t="n">
        <v>70</v>
      </c>
      <c r="E1958" s="7" t="s">
        <v>70</v>
      </c>
      <c r="F1958" s="7" t="s">
        <v>57</v>
      </c>
      <c r="G1958" s="8" t="n">
        <v>45936</v>
      </c>
      <c r="H1958" s="8" t="n">
        <v>45946</v>
      </c>
      <c r="I1958" s="7" t="s">
        <v>62</v>
      </c>
      <c r="J1958" s="7" t="s">
        <v>51</v>
      </c>
      <c r="K1958" s="7" t="n">
        <v>10</v>
      </c>
      <c r="L1958" s="7" t="n">
        <v>3</v>
      </c>
      <c r="M1958" s="7" t="n">
        <v>0</v>
      </c>
      <c r="N1958" s="7" t="s">
        <v>42</v>
      </c>
      <c r="O1958" s="7" t="s">
        <v>43</v>
      </c>
      <c r="P1958" s="7" t="n">
        <v>9</v>
      </c>
      <c r="Q1958" s="7" t="n">
        <v>27</v>
      </c>
      <c r="R1958" s="7" t="s">
        <v>53</v>
      </c>
      <c r="S1958" s="7"/>
      <c r="T1958" s="7"/>
      <c r="U1958" s="7" t="str">
        <f aca="false">IF(COUNTIF($A$2:$A$5001,A1958)&gt;1,"Duplicate","Unique")</f>
        <v>Unique</v>
      </c>
      <c r="V1958" s="7" t="str">
        <f aca="false">IF(COUNTIFS($B$2:$B$5001,B1958,$H$2:$H$5001,H1958,$J$2:$J$5001,J1958)&gt;1,"Possible Duplicate Booking","Unique")</f>
        <v>Unique</v>
      </c>
      <c r="W1958" s="7" t="str">
        <f aca="false">IF((H1958-G1958)&lt;&gt;K1958,"Mismatch","OK")</f>
        <v>OK</v>
      </c>
      <c r="X1958" s="7" t="str">
        <f aca="false">IF(TEXT(H1958,"dddd")&lt;&gt;I1958,"Mismatch","OK")</f>
        <v>OK</v>
      </c>
      <c r="Y1958" s="7" t="str">
        <f aca="false">IF(AND(N1958="No",O1958&lt;&gt;""),"Unexpected: channel present but no reminder sent",IF(AND(N1958="Yes",O1958=""),"Missing channel for sent reminder","OK"))</f>
        <v>OK</v>
      </c>
    </row>
    <row r="1959" customFormat="false" ht="15" hidden="false" customHeight="false" outlineLevel="0" collapsed="false">
      <c r="A1959" s="9" t="s">
        <v>3222</v>
      </c>
      <c r="B1959" s="9" t="s">
        <v>708</v>
      </c>
      <c r="C1959" s="9" t="s">
        <v>47</v>
      </c>
      <c r="D1959" s="9" t="n">
        <v>28</v>
      </c>
      <c r="E1959" s="9" t="s">
        <v>48</v>
      </c>
      <c r="F1959" s="9" t="s">
        <v>57</v>
      </c>
      <c r="G1959" s="10" t="n">
        <v>45892</v>
      </c>
      <c r="H1959" s="10" t="n">
        <v>45948</v>
      </c>
      <c r="I1959" s="9" t="s">
        <v>102</v>
      </c>
      <c r="J1959" s="9" t="s">
        <v>51</v>
      </c>
      <c r="K1959" s="9" t="n">
        <v>56</v>
      </c>
      <c r="L1959" s="9" t="n">
        <v>2</v>
      </c>
      <c r="M1959" s="9" t="n">
        <v>0</v>
      </c>
      <c r="N1959" s="9" t="s">
        <v>42</v>
      </c>
      <c r="O1959" s="9" t="s">
        <v>52</v>
      </c>
      <c r="P1959" s="9" t="n">
        <v>9.7</v>
      </c>
      <c r="Q1959" s="9" t="n">
        <v>18</v>
      </c>
      <c r="R1959" s="9" t="s">
        <v>44</v>
      </c>
      <c r="S1959" s="9"/>
      <c r="T1959" s="9"/>
      <c r="U1959" s="9" t="str">
        <f aca="false">IF(COUNTIF($A$2:$A$5001,A1959)&gt;1,"Duplicate","Unique")</f>
        <v>Unique</v>
      </c>
      <c r="V1959" s="9" t="str">
        <f aca="false">IF(COUNTIFS($B$2:$B$5001,B1959,$H$2:$H$5001,H1959,$J$2:$J$5001,J1959)&gt;1,"Possible Duplicate Booking","Unique")</f>
        <v>Unique</v>
      </c>
      <c r="W1959" s="9" t="str">
        <f aca="false">IF((H1959-G1959)&lt;&gt;K1959,"Mismatch","OK")</f>
        <v>OK</v>
      </c>
      <c r="X1959" s="9" t="str">
        <f aca="false">IF(TEXT(H1959,"dddd")&lt;&gt;I1959,"Mismatch","OK")</f>
        <v>OK</v>
      </c>
      <c r="Y1959" s="9" t="str">
        <f aca="false">IF(AND(N1959="No",O1959&lt;&gt;""),"Unexpected: channel present but no reminder sent",IF(AND(N1959="Yes",O1959=""),"Missing channel for sent reminder","OK"))</f>
        <v>OK</v>
      </c>
    </row>
    <row r="1960" customFormat="false" ht="15" hidden="false" customHeight="false" outlineLevel="0" collapsed="false">
      <c r="A1960" s="7" t="s">
        <v>3223</v>
      </c>
      <c r="B1960" s="7" t="s">
        <v>2242</v>
      </c>
      <c r="C1960" s="7" t="s">
        <v>47</v>
      </c>
      <c r="D1960" s="7" t="n">
        <v>18</v>
      </c>
      <c r="E1960" s="7" t="s">
        <v>82</v>
      </c>
      <c r="F1960" s="7" t="s">
        <v>39</v>
      </c>
      <c r="G1960" s="8" t="n">
        <v>46001</v>
      </c>
      <c r="H1960" s="8" t="n">
        <v>46018</v>
      </c>
      <c r="I1960" s="7" t="s">
        <v>102</v>
      </c>
      <c r="J1960" s="7" t="s">
        <v>41</v>
      </c>
      <c r="K1960" s="7" t="n">
        <v>17</v>
      </c>
      <c r="L1960" s="7" t="n">
        <v>7</v>
      </c>
      <c r="M1960" s="7" t="n">
        <v>4</v>
      </c>
      <c r="N1960" s="7" t="s">
        <v>71</v>
      </c>
      <c r="O1960" s="7"/>
      <c r="P1960" s="7" t="n">
        <v>7.2</v>
      </c>
      <c r="Q1960" s="7" t="n">
        <v>33</v>
      </c>
      <c r="R1960" s="7" t="s">
        <v>44</v>
      </c>
      <c r="S1960" s="7"/>
      <c r="T1960" s="7"/>
      <c r="U1960" s="7" t="str">
        <f aca="false">IF(COUNTIF($A$2:$A$5001,A1960)&gt;1,"Duplicate","Unique")</f>
        <v>Unique</v>
      </c>
      <c r="V1960" s="7" t="str">
        <f aca="false">IF(COUNTIFS($B$2:$B$5001,B1960,$H$2:$H$5001,H1960,$J$2:$J$5001,J1960)&gt;1,"Possible Duplicate Booking","Unique")</f>
        <v>Unique</v>
      </c>
      <c r="W1960" s="7" t="str">
        <f aca="false">IF((H1960-G1960)&lt;&gt;K1960,"Mismatch","OK")</f>
        <v>OK</v>
      </c>
      <c r="X1960" s="7" t="str">
        <f aca="false">IF(TEXT(H1960,"dddd")&lt;&gt;I1960,"Mismatch","OK")</f>
        <v>OK</v>
      </c>
      <c r="Y1960" s="7" t="str">
        <f aca="false">IF(AND(N1960="No",O1960&lt;&gt;""),"Unexpected: channel present but no reminder sent",IF(AND(N1960="Yes",O1960=""),"Missing channel for sent reminder","OK"))</f>
        <v>OK</v>
      </c>
    </row>
    <row r="1961" customFormat="false" ht="15" hidden="false" customHeight="false" outlineLevel="0" collapsed="false">
      <c r="A1961" s="9" t="s">
        <v>3224</v>
      </c>
      <c r="B1961" s="9" t="s">
        <v>844</v>
      </c>
      <c r="C1961" s="9" t="s">
        <v>37</v>
      </c>
      <c r="D1961" s="9" t="n">
        <v>59</v>
      </c>
      <c r="E1961" s="9" t="s">
        <v>61</v>
      </c>
      <c r="F1961" s="9" t="s">
        <v>74</v>
      </c>
      <c r="G1961" s="10" t="n">
        <v>45726</v>
      </c>
      <c r="H1961" s="10" t="n">
        <v>45760</v>
      </c>
      <c r="I1961" s="9" t="s">
        <v>75</v>
      </c>
      <c r="J1961" s="9" t="s">
        <v>51</v>
      </c>
      <c r="K1961" s="9" t="n">
        <v>34</v>
      </c>
      <c r="L1961" s="9" t="n">
        <v>3</v>
      </c>
      <c r="M1961" s="9" t="n">
        <v>1</v>
      </c>
      <c r="N1961" s="9" t="s">
        <v>42</v>
      </c>
      <c r="O1961" s="9" t="s">
        <v>43</v>
      </c>
      <c r="P1961" s="9" t="n">
        <v>7.2</v>
      </c>
      <c r="Q1961" s="9" t="n">
        <v>39</v>
      </c>
      <c r="R1961" s="9" t="s">
        <v>53</v>
      </c>
      <c r="S1961" s="9"/>
      <c r="T1961" s="9"/>
      <c r="U1961" s="9" t="str">
        <f aca="false">IF(COUNTIF($A$2:$A$5001,A1961)&gt;1,"Duplicate","Unique")</f>
        <v>Unique</v>
      </c>
      <c r="V1961" s="9" t="str">
        <f aca="false">IF(COUNTIFS($B$2:$B$5001,B1961,$H$2:$H$5001,H1961,$J$2:$J$5001,J1961)&gt;1,"Possible Duplicate Booking","Unique")</f>
        <v>Unique</v>
      </c>
      <c r="W1961" s="9" t="str">
        <f aca="false">IF((H1961-G1961)&lt;&gt;K1961,"Mismatch","OK")</f>
        <v>OK</v>
      </c>
      <c r="X1961" s="9" t="str">
        <f aca="false">IF(TEXT(H1961,"dddd")&lt;&gt;I1961,"Mismatch","OK")</f>
        <v>OK</v>
      </c>
      <c r="Y1961" s="9" t="str">
        <f aca="false">IF(AND(N1961="No",O1961&lt;&gt;""),"Unexpected: channel present but no reminder sent",IF(AND(N1961="Yes",O1961=""),"Missing channel for sent reminder","OK"))</f>
        <v>OK</v>
      </c>
    </row>
    <row r="1962" customFormat="false" ht="15" hidden="false" customHeight="false" outlineLevel="0" collapsed="false">
      <c r="A1962" s="7" t="s">
        <v>3225</v>
      </c>
      <c r="B1962" s="7" t="s">
        <v>1731</v>
      </c>
      <c r="C1962" s="7" t="s">
        <v>37</v>
      </c>
      <c r="D1962" s="7" t="n">
        <v>75</v>
      </c>
      <c r="E1962" s="7" t="s">
        <v>70</v>
      </c>
      <c r="F1962" s="7" t="s">
        <v>49</v>
      </c>
      <c r="G1962" s="8" t="n">
        <v>46099</v>
      </c>
      <c r="H1962" s="8" t="n">
        <v>46116</v>
      </c>
      <c r="I1962" s="7" t="s">
        <v>102</v>
      </c>
      <c r="J1962" s="7" t="s">
        <v>41</v>
      </c>
      <c r="K1962" s="7" t="n">
        <v>17</v>
      </c>
      <c r="L1962" s="7" t="n">
        <v>5</v>
      </c>
      <c r="M1962" s="7" t="n">
        <v>1</v>
      </c>
      <c r="N1962" s="7" t="s">
        <v>42</v>
      </c>
      <c r="O1962" s="7" t="s">
        <v>52</v>
      </c>
      <c r="P1962" s="7" t="n">
        <v>8</v>
      </c>
      <c r="Q1962" s="7" t="n">
        <v>16</v>
      </c>
      <c r="R1962" s="7" t="s">
        <v>53</v>
      </c>
      <c r="S1962" s="7"/>
      <c r="T1962" s="7"/>
      <c r="U1962" s="7" t="str">
        <f aca="false">IF(COUNTIF($A$2:$A$5001,A1962)&gt;1,"Duplicate","Unique")</f>
        <v>Unique</v>
      </c>
      <c r="V1962" s="7" t="str">
        <f aca="false">IF(COUNTIFS($B$2:$B$5001,B1962,$H$2:$H$5001,H1962,$J$2:$J$5001,J1962)&gt;1,"Possible Duplicate Booking","Unique")</f>
        <v>Unique</v>
      </c>
      <c r="W1962" s="7" t="str">
        <f aca="false">IF((H1962-G1962)&lt;&gt;K1962,"Mismatch","OK")</f>
        <v>OK</v>
      </c>
      <c r="X1962" s="7" t="str">
        <f aca="false">IF(TEXT(H1962,"dddd")&lt;&gt;I1962,"Mismatch","OK")</f>
        <v>OK</v>
      </c>
      <c r="Y1962" s="7" t="str">
        <f aca="false">IF(AND(N1962="No",O1962&lt;&gt;""),"Unexpected: channel present but no reminder sent",IF(AND(N1962="Yes",O1962=""),"Missing channel for sent reminder","OK"))</f>
        <v>OK</v>
      </c>
    </row>
    <row r="1963" customFormat="false" ht="15" hidden="false" customHeight="false" outlineLevel="0" collapsed="false">
      <c r="A1963" s="9" t="s">
        <v>3226</v>
      </c>
      <c r="B1963" s="9" t="s">
        <v>3227</v>
      </c>
      <c r="C1963" s="9" t="s">
        <v>47</v>
      </c>
      <c r="D1963" s="9" t="n">
        <v>49</v>
      </c>
      <c r="E1963" s="9" t="s">
        <v>56</v>
      </c>
      <c r="F1963" s="9" t="s">
        <v>57</v>
      </c>
      <c r="G1963" s="10" t="n">
        <v>46171</v>
      </c>
      <c r="H1963" s="10" t="n">
        <v>46197</v>
      </c>
      <c r="I1963" s="9" t="s">
        <v>58</v>
      </c>
      <c r="J1963" s="9" t="s">
        <v>41</v>
      </c>
      <c r="K1963" s="9" t="n">
        <v>26</v>
      </c>
      <c r="L1963" s="9" t="n">
        <v>3</v>
      </c>
      <c r="M1963" s="9" t="n">
        <v>0</v>
      </c>
      <c r="N1963" s="9" t="s">
        <v>42</v>
      </c>
      <c r="O1963" s="9" t="s">
        <v>43</v>
      </c>
      <c r="P1963" s="9" t="n">
        <v>9.7</v>
      </c>
      <c r="Q1963" s="9" t="n">
        <v>29</v>
      </c>
      <c r="R1963" s="9" t="s">
        <v>44</v>
      </c>
      <c r="S1963" s="9"/>
      <c r="T1963" s="9"/>
      <c r="U1963" s="9" t="str">
        <f aca="false">IF(COUNTIF($A$2:$A$5001,A1963)&gt;1,"Duplicate","Unique")</f>
        <v>Unique</v>
      </c>
      <c r="V1963" s="9" t="str">
        <f aca="false">IF(COUNTIFS($B$2:$B$5001,B1963,$H$2:$H$5001,H1963,$J$2:$J$5001,J1963)&gt;1,"Possible Duplicate Booking","Unique")</f>
        <v>Unique</v>
      </c>
      <c r="W1963" s="9" t="str">
        <f aca="false">IF((H1963-G1963)&lt;&gt;K1963,"Mismatch","OK")</f>
        <v>OK</v>
      </c>
      <c r="X1963" s="9" t="str">
        <f aca="false">IF(TEXT(H1963,"dddd")&lt;&gt;I1963,"Mismatch","OK")</f>
        <v>OK</v>
      </c>
      <c r="Y1963" s="9" t="str">
        <f aca="false">IF(AND(N1963="No",O1963&lt;&gt;""),"Unexpected: channel present but no reminder sent",IF(AND(N1963="Yes",O1963=""),"Missing channel for sent reminder","OK"))</f>
        <v>OK</v>
      </c>
    </row>
    <row r="1964" customFormat="false" ht="15" hidden="false" customHeight="false" outlineLevel="0" collapsed="false">
      <c r="A1964" s="7" t="s">
        <v>3228</v>
      </c>
      <c r="B1964" s="7" t="s">
        <v>2028</v>
      </c>
      <c r="C1964" s="7" t="s">
        <v>37</v>
      </c>
      <c r="D1964" s="7" t="n">
        <v>26</v>
      </c>
      <c r="E1964" s="7" t="s">
        <v>48</v>
      </c>
      <c r="F1964" s="7" t="s">
        <v>57</v>
      </c>
      <c r="G1964" s="8" t="n">
        <v>45715</v>
      </c>
      <c r="H1964" s="8" t="n">
        <v>45735</v>
      </c>
      <c r="I1964" s="7" t="s">
        <v>58</v>
      </c>
      <c r="J1964" s="7" t="s">
        <v>41</v>
      </c>
      <c r="K1964" s="7" t="n">
        <v>20</v>
      </c>
      <c r="L1964" s="7" t="n">
        <v>3</v>
      </c>
      <c r="M1964" s="7" t="n">
        <v>1</v>
      </c>
      <c r="N1964" s="7" t="s">
        <v>42</v>
      </c>
      <c r="O1964" s="7" t="s">
        <v>52</v>
      </c>
      <c r="P1964" s="7" t="n">
        <v>14.5</v>
      </c>
      <c r="Q1964" s="7" t="n">
        <v>39</v>
      </c>
      <c r="R1964" s="7" t="s">
        <v>44</v>
      </c>
      <c r="S1964" s="7"/>
      <c r="T1964" s="7"/>
      <c r="U1964" s="7" t="str">
        <f aca="false">IF(COUNTIF($A$2:$A$5001,A1964)&gt;1,"Duplicate","Unique")</f>
        <v>Unique</v>
      </c>
      <c r="V1964" s="7" t="str">
        <f aca="false">IF(COUNTIFS($B$2:$B$5001,B1964,$H$2:$H$5001,H1964,$J$2:$J$5001,J1964)&gt;1,"Possible Duplicate Booking","Unique")</f>
        <v>Unique</v>
      </c>
      <c r="W1964" s="7" t="str">
        <f aca="false">IF((H1964-G1964)&lt;&gt;K1964,"Mismatch","OK")</f>
        <v>OK</v>
      </c>
      <c r="X1964" s="7" t="str">
        <f aca="false">IF(TEXT(H1964,"dddd")&lt;&gt;I1964,"Mismatch","OK")</f>
        <v>OK</v>
      </c>
      <c r="Y1964" s="7" t="str">
        <f aca="false">IF(AND(N1964="No",O1964&lt;&gt;""),"Unexpected: channel present but no reminder sent",IF(AND(N1964="Yes",O1964=""),"Missing channel for sent reminder","OK"))</f>
        <v>OK</v>
      </c>
    </row>
    <row r="1965" customFormat="false" ht="15" hidden="false" customHeight="false" outlineLevel="0" collapsed="false">
      <c r="A1965" s="9" t="s">
        <v>3229</v>
      </c>
      <c r="B1965" s="9" t="s">
        <v>1895</v>
      </c>
      <c r="C1965" s="9" t="s">
        <v>37</v>
      </c>
      <c r="D1965" s="9" t="n">
        <v>51</v>
      </c>
      <c r="E1965" s="9" t="s">
        <v>56</v>
      </c>
      <c r="F1965" s="9" t="s">
        <v>57</v>
      </c>
      <c r="G1965" s="10" t="n">
        <v>46061</v>
      </c>
      <c r="H1965" s="10" t="n">
        <v>46104</v>
      </c>
      <c r="I1965" s="9" t="s">
        <v>66</v>
      </c>
      <c r="J1965" s="9" t="s">
        <v>51</v>
      </c>
      <c r="K1965" s="9" t="n">
        <v>43</v>
      </c>
      <c r="L1965" s="9" t="n">
        <v>2</v>
      </c>
      <c r="M1965" s="9" t="n">
        <v>1</v>
      </c>
      <c r="N1965" s="9" t="s">
        <v>42</v>
      </c>
      <c r="O1965" s="9" t="s">
        <v>43</v>
      </c>
      <c r="P1965" s="9" t="n">
        <v>4.2</v>
      </c>
      <c r="Q1965" s="9" t="n">
        <v>39</v>
      </c>
      <c r="R1965" s="9" t="s">
        <v>44</v>
      </c>
      <c r="S1965" s="9"/>
      <c r="T1965" s="9"/>
      <c r="U1965" s="9" t="str">
        <f aca="false">IF(COUNTIF($A$2:$A$5001,A1965)&gt;1,"Duplicate","Unique")</f>
        <v>Unique</v>
      </c>
      <c r="V1965" s="9" t="str">
        <f aca="false">IF(COUNTIFS($B$2:$B$5001,B1965,$H$2:$H$5001,H1965,$J$2:$J$5001,J1965)&gt;1,"Possible Duplicate Booking","Unique")</f>
        <v>Unique</v>
      </c>
      <c r="W1965" s="9" t="str">
        <f aca="false">IF((H1965-G1965)&lt;&gt;K1965,"Mismatch","OK")</f>
        <v>OK</v>
      </c>
      <c r="X1965" s="9" t="str">
        <f aca="false">IF(TEXT(H1965,"dddd")&lt;&gt;I1965,"Mismatch","OK")</f>
        <v>OK</v>
      </c>
      <c r="Y1965" s="9" t="str">
        <f aca="false">IF(AND(N1965="No",O1965&lt;&gt;""),"Unexpected: channel present but no reminder sent",IF(AND(N1965="Yes",O1965=""),"Missing channel for sent reminder","OK"))</f>
        <v>OK</v>
      </c>
    </row>
    <row r="1966" customFormat="false" ht="15" hidden="false" customHeight="false" outlineLevel="0" collapsed="false">
      <c r="A1966" s="7" t="s">
        <v>3230</v>
      </c>
      <c r="B1966" s="7" t="s">
        <v>3231</v>
      </c>
      <c r="C1966" s="7" t="s">
        <v>37</v>
      </c>
      <c r="D1966" s="7" t="n">
        <v>33</v>
      </c>
      <c r="E1966" s="7" t="s">
        <v>48</v>
      </c>
      <c r="F1966" s="7" t="s">
        <v>74</v>
      </c>
      <c r="G1966" s="8" t="n">
        <v>46100</v>
      </c>
      <c r="H1966" s="8" t="n">
        <v>46104</v>
      </c>
      <c r="I1966" s="7" t="s">
        <v>66</v>
      </c>
      <c r="J1966" s="7" t="s">
        <v>41</v>
      </c>
      <c r="K1966" s="7" t="n">
        <v>4</v>
      </c>
      <c r="L1966" s="7" t="n">
        <v>0</v>
      </c>
      <c r="M1966" s="7" t="n">
        <v>0</v>
      </c>
      <c r="N1966" s="7" t="s">
        <v>42</v>
      </c>
      <c r="O1966" s="7" t="s">
        <v>67</v>
      </c>
      <c r="P1966" s="7" t="n">
        <v>5</v>
      </c>
      <c r="Q1966" s="7" t="n">
        <v>22</v>
      </c>
      <c r="R1966" s="7" t="s">
        <v>44</v>
      </c>
      <c r="S1966" s="7"/>
      <c r="T1966" s="7"/>
      <c r="U1966" s="7" t="str">
        <f aca="false">IF(COUNTIF($A$2:$A$5001,A1966)&gt;1,"Duplicate","Unique")</f>
        <v>Unique</v>
      </c>
      <c r="V1966" s="7" t="str">
        <f aca="false">IF(COUNTIFS($B$2:$B$5001,B1966,$H$2:$H$5001,H1966,$J$2:$J$5001,J1966)&gt;1,"Possible Duplicate Booking","Unique")</f>
        <v>Unique</v>
      </c>
      <c r="W1966" s="7" t="str">
        <f aca="false">IF((H1966-G1966)&lt;&gt;K1966,"Mismatch","OK")</f>
        <v>OK</v>
      </c>
      <c r="X1966" s="7" t="str">
        <f aca="false">IF(TEXT(H1966,"dddd")&lt;&gt;I1966,"Mismatch","OK")</f>
        <v>OK</v>
      </c>
      <c r="Y1966" s="7" t="str">
        <f aca="false">IF(AND(N1966="No",O1966&lt;&gt;""),"Unexpected: channel present but no reminder sent",IF(AND(N1966="Yes",O1966=""),"Missing channel for sent reminder","OK"))</f>
        <v>OK</v>
      </c>
    </row>
    <row r="1967" customFormat="false" ht="15" hidden="false" customHeight="false" outlineLevel="0" collapsed="false">
      <c r="A1967" s="9" t="s">
        <v>3232</v>
      </c>
      <c r="B1967" s="9" t="s">
        <v>260</v>
      </c>
      <c r="C1967" s="9" t="s">
        <v>47</v>
      </c>
      <c r="D1967" s="9" t="n">
        <v>70</v>
      </c>
      <c r="E1967" s="9" t="s">
        <v>70</v>
      </c>
      <c r="F1967" s="9" t="s">
        <v>57</v>
      </c>
      <c r="G1967" s="10" t="n">
        <v>46011</v>
      </c>
      <c r="H1967" s="10" t="n">
        <v>46062</v>
      </c>
      <c r="I1967" s="9" t="s">
        <v>66</v>
      </c>
      <c r="J1967" s="9" t="s">
        <v>41</v>
      </c>
      <c r="K1967" s="9" t="n">
        <v>51</v>
      </c>
      <c r="L1967" s="9" t="n">
        <v>5</v>
      </c>
      <c r="M1967" s="9" t="n">
        <v>1</v>
      </c>
      <c r="N1967" s="9" t="s">
        <v>42</v>
      </c>
      <c r="O1967" s="9" t="s">
        <v>67</v>
      </c>
      <c r="P1967" s="9" t="n">
        <v>16.7</v>
      </c>
      <c r="Q1967" s="9" t="n">
        <v>36</v>
      </c>
      <c r="R1967" s="9" t="s">
        <v>53</v>
      </c>
      <c r="S1967" s="9"/>
      <c r="T1967" s="9"/>
      <c r="U1967" s="9" t="str">
        <f aca="false">IF(COUNTIF($A$2:$A$5001,A1967)&gt;1,"Duplicate","Unique")</f>
        <v>Unique</v>
      </c>
      <c r="V1967" s="9" t="str">
        <f aca="false">IF(COUNTIFS($B$2:$B$5001,B1967,$H$2:$H$5001,H1967,$J$2:$J$5001,J1967)&gt;1,"Possible Duplicate Booking","Unique")</f>
        <v>Unique</v>
      </c>
      <c r="W1967" s="9" t="str">
        <f aca="false">IF((H1967-G1967)&lt;&gt;K1967,"Mismatch","OK")</f>
        <v>OK</v>
      </c>
      <c r="X1967" s="9" t="str">
        <f aca="false">IF(TEXT(H1967,"dddd")&lt;&gt;I1967,"Mismatch","OK")</f>
        <v>OK</v>
      </c>
      <c r="Y1967" s="9" t="str">
        <f aca="false">IF(AND(N1967="No",O1967&lt;&gt;""),"Unexpected: channel present but no reminder sent",IF(AND(N1967="Yes",O1967=""),"Missing channel for sent reminder","OK"))</f>
        <v>OK</v>
      </c>
    </row>
    <row r="1968" customFormat="false" ht="15" hidden="false" customHeight="false" outlineLevel="0" collapsed="false">
      <c r="A1968" s="7" t="s">
        <v>3233</v>
      </c>
      <c r="B1968" s="7" t="s">
        <v>1941</v>
      </c>
      <c r="C1968" s="7" t="s">
        <v>37</v>
      </c>
      <c r="D1968" s="7" t="n">
        <v>56</v>
      </c>
      <c r="E1968" s="7" t="s">
        <v>61</v>
      </c>
      <c r="F1968" s="7" t="s">
        <v>57</v>
      </c>
      <c r="G1968" s="8" t="n">
        <v>45805</v>
      </c>
      <c r="H1968" s="8" t="n">
        <v>45860</v>
      </c>
      <c r="I1968" s="7" t="s">
        <v>40</v>
      </c>
      <c r="J1968" s="7" t="s">
        <v>51</v>
      </c>
      <c r="K1968" s="7" t="n">
        <v>55</v>
      </c>
      <c r="L1968" s="7" t="n">
        <v>3</v>
      </c>
      <c r="M1968" s="7" t="n">
        <v>0</v>
      </c>
      <c r="N1968" s="7" t="s">
        <v>42</v>
      </c>
      <c r="O1968" s="7" t="s">
        <v>52</v>
      </c>
      <c r="P1968" s="7" t="n">
        <v>9.3</v>
      </c>
      <c r="Q1968" s="7" t="n">
        <v>21</v>
      </c>
      <c r="R1968" s="7" t="s">
        <v>44</v>
      </c>
      <c r="S1968" s="7"/>
      <c r="T1968" s="7"/>
      <c r="U1968" s="7" t="str">
        <f aca="false">IF(COUNTIF($A$2:$A$5001,A1968)&gt;1,"Duplicate","Unique")</f>
        <v>Unique</v>
      </c>
      <c r="V1968" s="7" t="str">
        <f aca="false">IF(COUNTIFS($B$2:$B$5001,B1968,$H$2:$H$5001,H1968,$J$2:$J$5001,J1968)&gt;1,"Possible Duplicate Booking","Unique")</f>
        <v>Unique</v>
      </c>
      <c r="W1968" s="7" t="str">
        <f aca="false">IF((H1968-G1968)&lt;&gt;K1968,"Mismatch","OK")</f>
        <v>OK</v>
      </c>
      <c r="X1968" s="7" t="str">
        <f aca="false">IF(TEXT(H1968,"dddd")&lt;&gt;I1968,"Mismatch","OK")</f>
        <v>OK</v>
      </c>
      <c r="Y1968" s="7" t="str">
        <f aca="false">IF(AND(N1968="No",O1968&lt;&gt;""),"Unexpected: channel present but no reminder sent",IF(AND(N1968="Yes",O1968=""),"Missing channel for sent reminder","OK"))</f>
        <v>OK</v>
      </c>
    </row>
    <row r="1969" customFormat="false" ht="15" hidden="false" customHeight="false" outlineLevel="0" collapsed="false">
      <c r="A1969" s="9" t="s">
        <v>3234</v>
      </c>
      <c r="B1969" s="9" t="s">
        <v>3033</v>
      </c>
      <c r="C1969" s="9" t="s">
        <v>47</v>
      </c>
      <c r="D1969" s="9" t="n">
        <v>39</v>
      </c>
      <c r="E1969" s="9" t="s">
        <v>38</v>
      </c>
      <c r="F1969" s="9" t="s">
        <v>39</v>
      </c>
      <c r="G1969" s="10" t="n">
        <v>45879</v>
      </c>
      <c r="H1969" s="10" t="n">
        <v>45913</v>
      </c>
      <c r="I1969" s="9" t="s">
        <v>102</v>
      </c>
      <c r="J1969" s="9" t="s">
        <v>51</v>
      </c>
      <c r="K1969" s="9" t="n">
        <v>34</v>
      </c>
      <c r="L1969" s="9" t="n">
        <v>3</v>
      </c>
      <c r="M1969" s="9" t="n">
        <v>1</v>
      </c>
      <c r="N1969" s="9" t="s">
        <v>42</v>
      </c>
      <c r="O1969" s="9" t="s">
        <v>43</v>
      </c>
      <c r="P1969" s="9" t="n">
        <v>6.7</v>
      </c>
      <c r="Q1969" s="9" t="n">
        <v>33</v>
      </c>
      <c r="R1969" s="9" t="s">
        <v>44</v>
      </c>
      <c r="S1969" s="9"/>
      <c r="T1969" s="9"/>
      <c r="U1969" s="9" t="str">
        <f aca="false">IF(COUNTIF($A$2:$A$5001,A1969)&gt;1,"Duplicate","Unique")</f>
        <v>Unique</v>
      </c>
      <c r="V1969" s="9" t="str">
        <f aca="false">IF(COUNTIFS($B$2:$B$5001,B1969,$H$2:$H$5001,H1969,$J$2:$J$5001,J1969)&gt;1,"Possible Duplicate Booking","Unique")</f>
        <v>Unique</v>
      </c>
      <c r="W1969" s="9" t="str">
        <f aca="false">IF((H1969-G1969)&lt;&gt;K1969,"Mismatch","OK")</f>
        <v>OK</v>
      </c>
      <c r="X1969" s="9" t="str">
        <f aca="false">IF(TEXT(H1969,"dddd")&lt;&gt;I1969,"Mismatch","OK")</f>
        <v>OK</v>
      </c>
      <c r="Y1969" s="9" t="str">
        <f aca="false">IF(AND(N1969="No",O1969&lt;&gt;""),"Unexpected: channel present but no reminder sent",IF(AND(N1969="Yes",O1969=""),"Missing channel for sent reminder","OK"))</f>
        <v>OK</v>
      </c>
    </row>
    <row r="1970" customFormat="false" ht="15" hidden="false" customHeight="false" outlineLevel="0" collapsed="false">
      <c r="A1970" s="7" t="s">
        <v>3235</v>
      </c>
      <c r="B1970" s="7" t="s">
        <v>470</v>
      </c>
      <c r="C1970" s="7" t="s">
        <v>47</v>
      </c>
      <c r="D1970" s="7" t="n">
        <v>57</v>
      </c>
      <c r="E1970" s="7" t="s">
        <v>61</v>
      </c>
      <c r="F1970" s="7" t="s">
        <v>39</v>
      </c>
      <c r="G1970" s="8" t="n">
        <v>46083</v>
      </c>
      <c r="H1970" s="8" t="n">
        <v>46116</v>
      </c>
      <c r="I1970" s="7" t="s">
        <v>102</v>
      </c>
      <c r="J1970" s="7" t="s">
        <v>51</v>
      </c>
      <c r="K1970" s="7" t="n">
        <v>33</v>
      </c>
      <c r="L1970" s="7" t="n">
        <v>2</v>
      </c>
      <c r="M1970" s="7" t="n">
        <v>0</v>
      </c>
      <c r="N1970" s="7" t="s">
        <v>71</v>
      </c>
      <c r="O1970" s="7"/>
      <c r="P1970" s="7" t="n">
        <v>10.6</v>
      </c>
      <c r="Q1970" s="7" t="n">
        <v>16</v>
      </c>
      <c r="R1970" s="7" t="s">
        <v>44</v>
      </c>
      <c r="S1970" s="7"/>
      <c r="T1970" s="7"/>
      <c r="U1970" s="7" t="str">
        <f aca="false">IF(COUNTIF($A$2:$A$5001,A1970)&gt;1,"Duplicate","Unique")</f>
        <v>Unique</v>
      </c>
      <c r="V1970" s="7" t="str">
        <f aca="false">IF(COUNTIFS($B$2:$B$5001,B1970,$H$2:$H$5001,H1970,$J$2:$J$5001,J1970)&gt;1,"Possible Duplicate Booking","Unique")</f>
        <v>Unique</v>
      </c>
      <c r="W1970" s="7" t="str">
        <f aca="false">IF((H1970-G1970)&lt;&gt;K1970,"Mismatch","OK")</f>
        <v>OK</v>
      </c>
      <c r="X1970" s="7" t="str">
        <f aca="false">IF(TEXT(H1970,"dddd")&lt;&gt;I1970,"Mismatch","OK")</f>
        <v>OK</v>
      </c>
      <c r="Y1970" s="7" t="str">
        <f aca="false">IF(AND(N1970="No",O1970&lt;&gt;""),"Unexpected: channel present but no reminder sent",IF(AND(N1970="Yes",O1970=""),"Missing channel for sent reminder","OK"))</f>
        <v>OK</v>
      </c>
    </row>
    <row r="1971" customFormat="false" ht="15" hidden="false" customHeight="false" outlineLevel="0" collapsed="false">
      <c r="A1971" s="9" t="s">
        <v>3236</v>
      </c>
      <c r="B1971" s="9" t="s">
        <v>2588</v>
      </c>
      <c r="C1971" s="9" t="s">
        <v>37</v>
      </c>
      <c r="D1971" s="9" t="n">
        <v>60</v>
      </c>
      <c r="E1971" s="9" t="s">
        <v>61</v>
      </c>
      <c r="F1971" s="9" t="s">
        <v>57</v>
      </c>
      <c r="G1971" s="10" t="n">
        <v>45699</v>
      </c>
      <c r="H1971" s="10" t="n">
        <v>45741</v>
      </c>
      <c r="I1971" s="9" t="s">
        <v>40</v>
      </c>
      <c r="J1971" s="9" t="s">
        <v>63</v>
      </c>
      <c r="K1971" s="9" t="n">
        <v>42</v>
      </c>
      <c r="L1971" s="9" t="n">
        <v>8</v>
      </c>
      <c r="M1971" s="9" t="n">
        <v>1</v>
      </c>
      <c r="N1971" s="9" t="s">
        <v>42</v>
      </c>
      <c r="O1971" s="9" t="s">
        <v>43</v>
      </c>
      <c r="P1971" s="9" t="n">
        <v>5.9</v>
      </c>
      <c r="Q1971" s="9" t="n">
        <v>7</v>
      </c>
      <c r="R1971" s="9" t="s">
        <v>44</v>
      </c>
      <c r="S1971" s="9"/>
      <c r="T1971" s="9"/>
      <c r="U1971" s="9" t="str">
        <f aca="false">IF(COUNTIF($A$2:$A$5001,A1971)&gt;1,"Duplicate","Unique")</f>
        <v>Unique</v>
      </c>
      <c r="V1971" s="9" t="str">
        <f aca="false">IF(COUNTIFS($B$2:$B$5001,B1971,$H$2:$H$5001,H1971,$J$2:$J$5001,J1971)&gt;1,"Possible Duplicate Booking","Unique")</f>
        <v>Unique</v>
      </c>
      <c r="W1971" s="9" t="str">
        <f aca="false">IF((H1971-G1971)&lt;&gt;K1971,"Mismatch","OK")</f>
        <v>OK</v>
      </c>
      <c r="X1971" s="9" t="str">
        <f aca="false">IF(TEXT(H1971,"dddd")&lt;&gt;I1971,"Mismatch","OK")</f>
        <v>OK</v>
      </c>
      <c r="Y1971" s="9" t="str">
        <f aca="false">IF(AND(N1971="No",O1971&lt;&gt;""),"Unexpected: channel present but no reminder sent",IF(AND(N1971="Yes",O1971=""),"Missing channel for sent reminder","OK"))</f>
        <v>OK</v>
      </c>
    </row>
    <row r="1972" customFormat="false" ht="15" hidden="false" customHeight="false" outlineLevel="0" collapsed="false">
      <c r="A1972" s="7" t="s">
        <v>3237</v>
      </c>
      <c r="B1972" s="7" t="s">
        <v>1575</v>
      </c>
      <c r="C1972" s="7" t="s">
        <v>37</v>
      </c>
      <c r="D1972" s="7" t="n">
        <v>60</v>
      </c>
      <c r="E1972" s="7" t="s">
        <v>61</v>
      </c>
      <c r="F1972" s="7" t="s">
        <v>39</v>
      </c>
      <c r="G1972" s="8" t="n">
        <v>46098</v>
      </c>
      <c r="H1972" s="8" t="n">
        <v>46110</v>
      </c>
      <c r="I1972" s="7" t="s">
        <v>75</v>
      </c>
      <c r="J1972" s="7" t="s">
        <v>51</v>
      </c>
      <c r="K1972" s="7" t="n">
        <v>12</v>
      </c>
      <c r="L1972" s="7" t="n">
        <v>1</v>
      </c>
      <c r="M1972" s="7" t="n">
        <v>0</v>
      </c>
      <c r="N1972" s="7" t="s">
        <v>42</v>
      </c>
      <c r="O1972" s="7" t="s">
        <v>43</v>
      </c>
      <c r="P1972" s="7" t="n">
        <v>16.1</v>
      </c>
      <c r="Q1972" s="7" t="n">
        <v>30</v>
      </c>
      <c r="R1972" s="7" t="s">
        <v>44</v>
      </c>
      <c r="S1972" s="7"/>
      <c r="T1972" s="7"/>
      <c r="U1972" s="7" t="str">
        <f aca="false">IF(COUNTIF($A$2:$A$5001,A1972)&gt;1,"Duplicate","Unique")</f>
        <v>Unique</v>
      </c>
      <c r="V1972" s="7" t="str">
        <f aca="false">IF(COUNTIFS($B$2:$B$5001,B1972,$H$2:$H$5001,H1972,$J$2:$J$5001,J1972)&gt;1,"Possible Duplicate Booking","Unique")</f>
        <v>Unique</v>
      </c>
      <c r="W1972" s="7" t="str">
        <f aca="false">IF((H1972-G1972)&lt;&gt;K1972,"Mismatch","OK")</f>
        <v>OK</v>
      </c>
      <c r="X1972" s="7" t="str">
        <f aca="false">IF(TEXT(H1972,"dddd")&lt;&gt;I1972,"Mismatch","OK")</f>
        <v>OK</v>
      </c>
      <c r="Y1972" s="7" t="str">
        <f aca="false">IF(AND(N1972="No",O1972&lt;&gt;""),"Unexpected: channel present but no reminder sent",IF(AND(N1972="Yes",O1972=""),"Missing channel for sent reminder","OK"))</f>
        <v>OK</v>
      </c>
    </row>
    <row r="1973" customFormat="false" ht="15" hidden="false" customHeight="false" outlineLevel="0" collapsed="false">
      <c r="A1973" s="9" t="s">
        <v>3238</v>
      </c>
      <c r="B1973" s="9" t="s">
        <v>2368</v>
      </c>
      <c r="C1973" s="9" t="s">
        <v>47</v>
      </c>
      <c r="D1973" s="9" t="n">
        <v>41</v>
      </c>
      <c r="E1973" s="9" t="s">
        <v>38</v>
      </c>
      <c r="F1973" s="9" t="s">
        <v>57</v>
      </c>
      <c r="G1973" s="10" t="n">
        <v>46115</v>
      </c>
      <c r="H1973" s="10" t="n">
        <v>46160</v>
      </c>
      <c r="I1973" s="9" t="s">
        <v>66</v>
      </c>
      <c r="J1973" s="9" t="s">
        <v>51</v>
      </c>
      <c r="K1973" s="9" t="n">
        <v>45</v>
      </c>
      <c r="L1973" s="9" t="n">
        <v>2</v>
      </c>
      <c r="M1973" s="9" t="n">
        <v>1</v>
      </c>
      <c r="N1973" s="9" t="s">
        <v>42</v>
      </c>
      <c r="O1973" s="9" t="s">
        <v>43</v>
      </c>
      <c r="P1973" s="9" t="n">
        <v>5.3</v>
      </c>
      <c r="Q1973" s="9" t="n">
        <v>34</v>
      </c>
      <c r="R1973" s="9" t="s">
        <v>53</v>
      </c>
      <c r="S1973" s="9"/>
      <c r="T1973" s="9"/>
      <c r="U1973" s="9" t="str">
        <f aca="false">IF(COUNTIF($A$2:$A$5001,A1973)&gt;1,"Duplicate","Unique")</f>
        <v>Unique</v>
      </c>
      <c r="V1973" s="9" t="str">
        <f aca="false">IF(COUNTIFS($B$2:$B$5001,B1973,$H$2:$H$5001,H1973,$J$2:$J$5001,J1973)&gt;1,"Possible Duplicate Booking","Unique")</f>
        <v>Unique</v>
      </c>
      <c r="W1973" s="9" t="str">
        <f aca="false">IF((H1973-G1973)&lt;&gt;K1973,"Mismatch","OK")</f>
        <v>OK</v>
      </c>
      <c r="X1973" s="9" t="str">
        <f aca="false">IF(TEXT(H1973,"dddd")&lt;&gt;I1973,"Mismatch","OK")</f>
        <v>OK</v>
      </c>
      <c r="Y1973" s="9" t="str">
        <f aca="false">IF(AND(N1973="No",O1973&lt;&gt;""),"Unexpected: channel present but no reminder sent",IF(AND(N1973="Yes",O1973=""),"Missing channel for sent reminder","OK"))</f>
        <v>OK</v>
      </c>
    </row>
    <row r="1974" customFormat="false" ht="15" hidden="false" customHeight="false" outlineLevel="0" collapsed="false">
      <c r="A1974" s="7" t="s">
        <v>3239</v>
      </c>
      <c r="B1974" s="7" t="s">
        <v>529</v>
      </c>
      <c r="C1974" s="7" t="s">
        <v>37</v>
      </c>
      <c r="D1974" s="7" t="n">
        <v>53</v>
      </c>
      <c r="E1974" s="7" t="s">
        <v>56</v>
      </c>
      <c r="F1974" s="7" t="s">
        <v>57</v>
      </c>
      <c r="G1974" s="8" t="n">
        <v>46017</v>
      </c>
      <c r="H1974" s="8" t="n">
        <v>46030</v>
      </c>
      <c r="I1974" s="7" t="s">
        <v>62</v>
      </c>
      <c r="J1974" s="7" t="s">
        <v>51</v>
      </c>
      <c r="K1974" s="7" t="n">
        <v>13</v>
      </c>
      <c r="L1974" s="7" t="n">
        <v>2</v>
      </c>
      <c r="M1974" s="7" t="n">
        <v>1</v>
      </c>
      <c r="N1974" s="7" t="s">
        <v>42</v>
      </c>
      <c r="O1974" s="7" t="s">
        <v>52</v>
      </c>
      <c r="P1974" s="7" t="n">
        <v>5.8</v>
      </c>
      <c r="Q1974" s="7" t="n">
        <v>32</v>
      </c>
      <c r="R1974" s="7" t="s">
        <v>44</v>
      </c>
      <c r="S1974" s="7"/>
      <c r="T1974" s="7"/>
      <c r="U1974" s="7" t="str">
        <f aca="false">IF(COUNTIF($A$2:$A$5001,A1974)&gt;1,"Duplicate","Unique")</f>
        <v>Unique</v>
      </c>
      <c r="V1974" s="7" t="str">
        <f aca="false">IF(COUNTIFS($B$2:$B$5001,B1974,$H$2:$H$5001,H1974,$J$2:$J$5001,J1974)&gt;1,"Possible Duplicate Booking","Unique")</f>
        <v>Unique</v>
      </c>
      <c r="W1974" s="7" t="str">
        <f aca="false">IF((H1974-G1974)&lt;&gt;K1974,"Mismatch","OK")</f>
        <v>OK</v>
      </c>
      <c r="X1974" s="7" t="str">
        <f aca="false">IF(TEXT(H1974,"dddd")&lt;&gt;I1974,"Mismatch","OK")</f>
        <v>OK</v>
      </c>
      <c r="Y1974" s="7" t="str">
        <f aca="false">IF(AND(N1974="No",O1974&lt;&gt;""),"Unexpected: channel present but no reminder sent",IF(AND(N1974="Yes",O1974=""),"Missing channel for sent reminder","OK"))</f>
        <v>OK</v>
      </c>
    </row>
    <row r="1975" customFormat="false" ht="15" hidden="false" customHeight="false" outlineLevel="0" collapsed="false">
      <c r="A1975" s="9" t="s">
        <v>3240</v>
      </c>
      <c r="B1975" s="9" t="s">
        <v>2766</v>
      </c>
      <c r="C1975" s="9" t="s">
        <v>37</v>
      </c>
      <c r="D1975" s="9" t="n">
        <v>20</v>
      </c>
      <c r="E1975" s="9" t="s">
        <v>82</v>
      </c>
      <c r="F1975" s="9" t="s">
        <v>57</v>
      </c>
      <c r="G1975" s="10" t="n">
        <v>45803</v>
      </c>
      <c r="H1975" s="10" t="n">
        <v>45844</v>
      </c>
      <c r="I1975" s="9" t="s">
        <v>75</v>
      </c>
      <c r="J1975" s="9" t="s">
        <v>51</v>
      </c>
      <c r="K1975" s="9" t="n">
        <v>41</v>
      </c>
      <c r="L1975" s="9" t="n">
        <v>1</v>
      </c>
      <c r="M1975" s="9" t="n">
        <v>0</v>
      </c>
      <c r="N1975" s="9" t="s">
        <v>42</v>
      </c>
      <c r="O1975" s="9" t="s">
        <v>43</v>
      </c>
      <c r="P1975" s="9" t="n">
        <v>6.5</v>
      </c>
      <c r="Q1975" s="9" t="n">
        <v>15</v>
      </c>
      <c r="R1975" s="9" t="s">
        <v>44</v>
      </c>
      <c r="S1975" s="9"/>
      <c r="T1975" s="9"/>
      <c r="U1975" s="9" t="str">
        <f aca="false">IF(COUNTIF($A$2:$A$5001,A1975)&gt;1,"Duplicate","Unique")</f>
        <v>Unique</v>
      </c>
      <c r="V1975" s="9" t="str">
        <f aca="false">IF(COUNTIFS($B$2:$B$5001,B1975,$H$2:$H$5001,H1975,$J$2:$J$5001,J1975)&gt;1,"Possible Duplicate Booking","Unique")</f>
        <v>Unique</v>
      </c>
      <c r="W1975" s="9" t="str">
        <f aca="false">IF((H1975-G1975)&lt;&gt;K1975,"Mismatch","OK")</f>
        <v>OK</v>
      </c>
      <c r="X1975" s="9" t="str">
        <f aca="false">IF(TEXT(H1975,"dddd")&lt;&gt;I1975,"Mismatch","OK")</f>
        <v>OK</v>
      </c>
      <c r="Y1975" s="9" t="str">
        <f aca="false">IF(AND(N1975="No",O1975&lt;&gt;""),"Unexpected: channel present but no reminder sent",IF(AND(N1975="Yes",O1975=""),"Missing channel for sent reminder","OK"))</f>
        <v>OK</v>
      </c>
    </row>
    <row r="1976" customFormat="false" ht="15" hidden="false" customHeight="false" outlineLevel="0" collapsed="false">
      <c r="A1976" s="7" t="s">
        <v>3241</v>
      </c>
      <c r="B1976" s="7" t="s">
        <v>258</v>
      </c>
      <c r="C1976" s="7" t="s">
        <v>37</v>
      </c>
      <c r="D1976" s="7" t="n">
        <v>43</v>
      </c>
      <c r="E1976" s="7" t="s">
        <v>38</v>
      </c>
      <c r="F1976" s="7" t="s">
        <v>57</v>
      </c>
      <c r="G1976" s="8" t="n">
        <v>45945</v>
      </c>
      <c r="H1976" s="8" t="n">
        <v>45963</v>
      </c>
      <c r="I1976" s="7" t="s">
        <v>75</v>
      </c>
      <c r="J1976" s="7" t="s">
        <v>51</v>
      </c>
      <c r="K1976" s="7" t="n">
        <v>18</v>
      </c>
      <c r="L1976" s="7" t="n">
        <v>2</v>
      </c>
      <c r="M1976" s="7" t="n">
        <v>0</v>
      </c>
      <c r="N1976" s="7" t="s">
        <v>42</v>
      </c>
      <c r="O1976" s="7" t="s">
        <v>43</v>
      </c>
      <c r="P1976" s="7" t="n">
        <v>11.6</v>
      </c>
      <c r="Q1976" s="7" t="n">
        <v>2</v>
      </c>
      <c r="R1976" s="7" t="s">
        <v>53</v>
      </c>
      <c r="S1976" s="7"/>
      <c r="T1976" s="7"/>
      <c r="U1976" s="7" t="str">
        <f aca="false">IF(COUNTIF($A$2:$A$5001,A1976)&gt;1,"Duplicate","Unique")</f>
        <v>Unique</v>
      </c>
      <c r="V1976" s="7" t="str">
        <f aca="false">IF(COUNTIFS($B$2:$B$5001,B1976,$H$2:$H$5001,H1976,$J$2:$J$5001,J1976)&gt;1,"Possible Duplicate Booking","Unique")</f>
        <v>Unique</v>
      </c>
      <c r="W1976" s="7" t="str">
        <f aca="false">IF((H1976-G1976)&lt;&gt;K1976,"Mismatch","OK")</f>
        <v>OK</v>
      </c>
      <c r="X1976" s="7" t="str">
        <f aca="false">IF(TEXT(H1976,"dddd")&lt;&gt;I1976,"Mismatch","OK")</f>
        <v>OK</v>
      </c>
      <c r="Y1976" s="7" t="str">
        <f aca="false">IF(AND(N1976="No",O1976&lt;&gt;""),"Unexpected: channel present but no reminder sent",IF(AND(N1976="Yes",O1976=""),"Missing channel for sent reminder","OK"))</f>
        <v>OK</v>
      </c>
    </row>
    <row r="1977" customFormat="false" ht="15" hidden="false" customHeight="false" outlineLevel="0" collapsed="false">
      <c r="A1977" s="9" t="s">
        <v>3242</v>
      </c>
      <c r="B1977" s="9" t="s">
        <v>933</v>
      </c>
      <c r="C1977" s="9" t="s">
        <v>47</v>
      </c>
      <c r="D1977" s="9" t="n">
        <v>41</v>
      </c>
      <c r="E1977" s="9" t="s">
        <v>38</v>
      </c>
      <c r="F1977" s="9" t="s">
        <v>74</v>
      </c>
      <c r="G1977" s="10" t="n">
        <v>45640</v>
      </c>
      <c r="H1977" s="10" t="n">
        <v>45685</v>
      </c>
      <c r="I1977" s="9" t="s">
        <v>40</v>
      </c>
      <c r="J1977" s="9" t="s">
        <v>41</v>
      </c>
      <c r="K1977" s="9" t="n">
        <v>45</v>
      </c>
      <c r="L1977" s="9" t="n">
        <v>4</v>
      </c>
      <c r="M1977" s="9" t="n">
        <v>0</v>
      </c>
      <c r="N1977" s="9" t="s">
        <v>42</v>
      </c>
      <c r="O1977" s="9" t="s">
        <v>43</v>
      </c>
      <c r="P1977" s="9" t="n">
        <v>17.3</v>
      </c>
      <c r="Q1977" s="9" t="n">
        <v>34</v>
      </c>
      <c r="R1977" s="9" t="s">
        <v>53</v>
      </c>
      <c r="S1977" s="9"/>
      <c r="T1977" s="9"/>
      <c r="U1977" s="9" t="str">
        <f aca="false">IF(COUNTIF($A$2:$A$5001,A1977)&gt;1,"Duplicate","Unique")</f>
        <v>Unique</v>
      </c>
      <c r="V1977" s="9" t="str">
        <f aca="false">IF(COUNTIFS($B$2:$B$5001,B1977,$H$2:$H$5001,H1977,$J$2:$J$5001,J1977)&gt;1,"Possible Duplicate Booking","Unique")</f>
        <v>Unique</v>
      </c>
      <c r="W1977" s="9" t="str">
        <f aca="false">IF((H1977-G1977)&lt;&gt;K1977,"Mismatch","OK")</f>
        <v>OK</v>
      </c>
      <c r="X1977" s="9" t="str">
        <f aca="false">IF(TEXT(H1977,"dddd")&lt;&gt;I1977,"Mismatch","OK")</f>
        <v>OK</v>
      </c>
      <c r="Y1977" s="9" t="str">
        <f aca="false">IF(AND(N1977="No",O1977&lt;&gt;""),"Unexpected: channel present but no reminder sent",IF(AND(N1977="Yes",O1977=""),"Missing channel for sent reminder","OK"))</f>
        <v>OK</v>
      </c>
    </row>
    <row r="1978" customFormat="false" ht="15" hidden="false" customHeight="false" outlineLevel="0" collapsed="false">
      <c r="A1978" s="7" t="s">
        <v>3243</v>
      </c>
      <c r="B1978" s="7" t="s">
        <v>397</v>
      </c>
      <c r="C1978" s="7" t="s">
        <v>47</v>
      </c>
      <c r="D1978" s="7" t="n">
        <v>51</v>
      </c>
      <c r="E1978" s="7" t="s">
        <v>56</v>
      </c>
      <c r="F1978" s="7" t="s">
        <v>39</v>
      </c>
      <c r="G1978" s="8" t="n">
        <v>46118</v>
      </c>
      <c r="H1978" s="8" t="n">
        <v>46166</v>
      </c>
      <c r="I1978" s="7" t="s">
        <v>75</v>
      </c>
      <c r="J1978" s="7" t="s">
        <v>41</v>
      </c>
      <c r="K1978" s="7" t="n">
        <v>48</v>
      </c>
      <c r="L1978" s="7" t="n">
        <v>1</v>
      </c>
      <c r="M1978" s="7" t="n">
        <v>0</v>
      </c>
      <c r="N1978" s="7" t="s">
        <v>71</v>
      </c>
      <c r="O1978" s="7"/>
      <c r="P1978" s="7" t="n">
        <v>12.4</v>
      </c>
      <c r="Q1978" s="7" t="n">
        <v>40</v>
      </c>
      <c r="R1978" s="7" t="s">
        <v>44</v>
      </c>
      <c r="S1978" s="7"/>
      <c r="T1978" s="7"/>
      <c r="U1978" s="7" t="str">
        <f aca="false">IF(COUNTIF($A$2:$A$5001,A1978)&gt;1,"Duplicate","Unique")</f>
        <v>Unique</v>
      </c>
      <c r="V1978" s="7" t="str">
        <f aca="false">IF(COUNTIFS($B$2:$B$5001,B1978,$H$2:$H$5001,H1978,$J$2:$J$5001,J1978)&gt;1,"Possible Duplicate Booking","Unique")</f>
        <v>Unique</v>
      </c>
      <c r="W1978" s="7" t="str">
        <f aca="false">IF((H1978-G1978)&lt;&gt;K1978,"Mismatch","OK")</f>
        <v>OK</v>
      </c>
      <c r="X1978" s="7" t="str">
        <f aca="false">IF(TEXT(H1978,"dddd")&lt;&gt;I1978,"Mismatch","OK")</f>
        <v>OK</v>
      </c>
      <c r="Y1978" s="7" t="str">
        <f aca="false">IF(AND(N1978="No",O1978&lt;&gt;""),"Unexpected: channel present but no reminder sent",IF(AND(N1978="Yes",O1978=""),"Missing channel for sent reminder","OK"))</f>
        <v>OK</v>
      </c>
    </row>
    <row r="1979" customFormat="false" ht="15" hidden="false" customHeight="false" outlineLevel="0" collapsed="false">
      <c r="A1979" s="9" t="s">
        <v>3244</v>
      </c>
      <c r="B1979" s="9" t="s">
        <v>3245</v>
      </c>
      <c r="C1979" s="9" t="s">
        <v>37</v>
      </c>
      <c r="D1979" s="9" t="n">
        <v>77</v>
      </c>
      <c r="E1979" s="9" t="s">
        <v>70</v>
      </c>
      <c r="F1979" s="9" t="s">
        <v>49</v>
      </c>
      <c r="G1979" s="10" t="n">
        <v>45832</v>
      </c>
      <c r="H1979" s="10" t="n">
        <v>45844</v>
      </c>
      <c r="I1979" s="9" t="s">
        <v>75</v>
      </c>
      <c r="J1979" s="9" t="s">
        <v>41</v>
      </c>
      <c r="K1979" s="9" t="n">
        <v>12</v>
      </c>
      <c r="L1979" s="9" t="n">
        <v>3</v>
      </c>
      <c r="M1979" s="9" t="n">
        <v>1</v>
      </c>
      <c r="N1979" s="9" t="s">
        <v>42</v>
      </c>
      <c r="O1979" s="9" t="s">
        <v>52</v>
      </c>
      <c r="P1979" s="9" t="n">
        <v>14.6</v>
      </c>
      <c r="Q1979" s="9" t="n">
        <v>3</v>
      </c>
      <c r="R1979" s="9" t="s">
        <v>53</v>
      </c>
      <c r="S1979" s="9"/>
      <c r="T1979" s="9"/>
      <c r="U1979" s="9" t="str">
        <f aca="false">IF(COUNTIF($A$2:$A$5001,A1979)&gt;1,"Duplicate","Unique")</f>
        <v>Unique</v>
      </c>
      <c r="V1979" s="9" t="str">
        <f aca="false">IF(COUNTIFS($B$2:$B$5001,B1979,$H$2:$H$5001,H1979,$J$2:$J$5001,J1979)&gt;1,"Possible Duplicate Booking","Unique")</f>
        <v>Unique</v>
      </c>
      <c r="W1979" s="9" t="str">
        <f aca="false">IF((H1979-G1979)&lt;&gt;K1979,"Mismatch","OK")</f>
        <v>OK</v>
      </c>
      <c r="X1979" s="9" t="str">
        <f aca="false">IF(TEXT(H1979,"dddd")&lt;&gt;I1979,"Mismatch","OK")</f>
        <v>OK</v>
      </c>
      <c r="Y1979" s="9" t="str">
        <f aca="false">IF(AND(N1979="No",O1979&lt;&gt;""),"Unexpected: channel present but no reminder sent",IF(AND(N1979="Yes",O1979=""),"Missing channel for sent reminder","OK"))</f>
        <v>OK</v>
      </c>
    </row>
    <row r="1980" customFormat="false" ht="15" hidden="false" customHeight="false" outlineLevel="0" collapsed="false">
      <c r="A1980" s="7" t="s">
        <v>3246</v>
      </c>
      <c r="B1980" s="7" t="s">
        <v>3247</v>
      </c>
      <c r="C1980" s="7" t="s">
        <v>37</v>
      </c>
      <c r="D1980" s="7" t="n">
        <v>78</v>
      </c>
      <c r="E1980" s="7" t="s">
        <v>70</v>
      </c>
      <c r="F1980" s="7" t="s">
        <v>57</v>
      </c>
      <c r="G1980" s="8" t="n">
        <v>45652</v>
      </c>
      <c r="H1980" s="8" t="n">
        <v>45689</v>
      </c>
      <c r="I1980" s="7" t="s">
        <v>102</v>
      </c>
      <c r="J1980" s="7" t="s">
        <v>51</v>
      </c>
      <c r="K1980" s="7" t="n">
        <v>37</v>
      </c>
      <c r="L1980" s="7" t="n">
        <v>1</v>
      </c>
      <c r="M1980" s="7" t="n">
        <v>0</v>
      </c>
      <c r="N1980" s="7" t="s">
        <v>71</v>
      </c>
      <c r="O1980" s="7"/>
      <c r="P1980" s="7" t="n">
        <v>2.5</v>
      </c>
      <c r="Q1980" s="7" t="n">
        <v>21</v>
      </c>
      <c r="R1980" s="7" t="s">
        <v>44</v>
      </c>
      <c r="S1980" s="7"/>
      <c r="T1980" s="7"/>
      <c r="U1980" s="7" t="str">
        <f aca="false">IF(COUNTIF($A$2:$A$5001,A1980)&gt;1,"Duplicate","Unique")</f>
        <v>Unique</v>
      </c>
      <c r="V1980" s="7" t="str">
        <f aca="false">IF(COUNTIFS($B$2:$B$5001,B1980,$H$2:$H$5001,H1980,$J$2:$J$5001,J1980)&gt;1,"Possible Duplicate Booking","Unique")</f>
        <v>Unique</v>
      </c>
      <c r="W1980" s="7" t="str">
        <f aca="false">IF((H1980-G1980)&lt;&gt;K1980,"Mismatch","OK")</f>
        <v>OK</v>
      </c>
      <c r="X1980" s="7" t="str">
        <f aca="false">IF(TEXT(H1980,"dddd")&lt;&gt;I1980,"Mismatch","OK")</f>
        <v>OK</v>
      </c>
      <c r="Y1980" s="7" t="str">
        <f aca="false">IF(AND(N1980="No",O1980&lt;&gt;""),"Unexpected: channel present but no reminder sent",IF(AND(N1980="Yes",O1980=""),"Missing channel for sent reminder","OK"))</f>
        <v>OK</v>
      </c>
    </row>
    <row r="1981" customFormat="false" ht="15" hidden="false" customHeight="false" outlineLevel="0" collapsed="false">
      <c r="A1981" s="9" t="s">
        <v>3248</v>
      </c>
      <c r="B1981" s="9" t="s">
        <v>180</v>
      </c>
      <c r="C1981" s="9" t="s">
        <v>37</v>
      </c>
      <c r="D1981" s="9" t="n">
        <v>48</v>
      </c>
      <c r="E1981" s="9" t="s">
        <v>56</v>
      </c>
      <c r="F1981" s="9" t="s">
        <v>49</v>
      </c>
      <c r="G1981" s="10" t="n">
        <v>46061</v>
      </c>
      <c r="H1981" s="10" t="n">
        <v>46091</v>
      </c>
      <c r="I1981" s="9" t="s">
        <v>40</v>
      </c>
      <c r="J1981" s="9" t="s">
        <v>41</v>
      </c>
      <c r="K1981" s="9" t="n">
        <v>30</v>
      </c>
      <c r="L1981" s="9" t="n">
        <v>3</v>
      </c>
      <c r="M1981" s="9" t="n">
        <v>0</v>
      </c>
      <c r="N1981" s="9" t="s">
        <v>71</v>
      </c>
      <c r="O1981" s="9"/>
      <c r="P1981" s="9" t="n">
        <v>2.4</v>
      </c>
      <c r="Q1981" s="9" t="n">
        <v>14</v>
      </c>
      <c r="R1981" s="9" t="s">
        <v>44</v>
      </c>
      <c r="S1981" s="9"/>
      <c r="T1981" s="9"/>
      <c r="U1981" s="9" t="str">
        <f aca="false">IF(COUNTIF($A$2:$A$5001,A1981)&gt;1,"Duplicate","Unique")</f>
        <v>Unique</v>
      </c>
      <c r="V1981" s="9" t="str">
        <f aca="false">IF(COUNTIFS($B$2:$B$5001,B1981,$H$2:$H$5001,H1981,$J$2:$J$5001,J1981)&gt;1,"Possible Duplicate Booking","Unique")</f>
        <v>Unique</v>
      </c>
      <c r="W1981" s="9" t="str">
        <f aca="false">IF((H1981-G1981)&lt;&gt;K1981,"Mismatch","OK")</f>
        <v>OK</v>
      </c>
      <c r="X1981" s="9" t="str">
        <f aca="false">IF(TEXT(H1981,"dddd")&lt;&gt;I1981,"Mismatch","OK")</f>
        <v>OK</v>
      </c>
      <c r="Y1981" s="9" t="str">
        <f aca="false">IF(AND(N1981="No",O1981&lt;&gt;""),"Unexpected: channel present but no reminder sent",IF(AND(N1981="Yes",O1981=""),"Missing channel for sent reminder","OK"))</f>
        <v>OK</v>
      </c>
    </row>
    <row r="1982" customFormat="false" ht="15" hidden="false" customHeight="false" outlineLevel="0" collapsed="false">
      <c r="A1982" s="7" t="s">
        <v>3249</v>
      </c>
      <c r="B1982" s="7" t="s">
        <v>741</v>
      </c>
      <c r="C1982" s="7" t="s">
        <v>47</v>
      </c>
      <c r="D1982" s="7" t="n">
        <v>58</v>
      </c>
      <c r="E1982" s="7" t="s">
        <v>61</v>
      </c>
      <c r="F1982" s="7" t="s">
        <v>74</v>
      </c>
      <c r="G1982" s="8" t="n">
        <v>46000</v>
      </c>
      <c r="H1982" s="8" t="n">
        <v>46017</v>
      </c>
      <c r="I1982" s="7" t="s">
        <v>50</v>
      </c>
      <c r="J1982" s="7" t="s">
        <v>41</v>
      </c>
      <c r="K1982" s="7" t="n">
        <v>17</v>
      </c>
      <c r="L1982" s="7" t="n">
        <v>1</v>
      </c>
      <c r="M1982" s="7" t="n">
        <v>0</v>
      </c>
      <c r="N1982" s="7" t="s">
        <v>42</v>
      </c>
      <c r="O1982" s="7" t="s">
        <v>43</v>
      </c>
      <c r="P1982" s="7" t="n">
        <v>3.1</v>
      </c>
      <c r="Q1982" s="7" t="n">
        <v>27</v>
      </c>
      <c r="R1982" s="7" t="s">
        <v>87</v>
      </c>
      <c r="S1982" s="7"/>
      <c r="T1982" s="7"/>
      <c r="U1982" s="7" t="str">
        <f aca="false">IF(COUNTIF($A$2:$A$5001,A1982)&gt;1,"Duplicate","Unique")</f>
        <v>Unique</v>
      </c>
      <c r="V1982" s="7" t="str">
        <f aca="false">IF(COUNTIFS($B$2:$B$5001,B1982,$H$2:$H$5001,H1982,$J$2:$J$5001,J1982)&gt;1,"Possible Duplicate Booking","Unique")</f>
        <v>Unique</v>
      </c>
      <c r="W1982" s="7" t="str">
        <f aca="false">IF((H1982-G1982)&lt;&gt;K1982,"Mismatch","OK")</f>
        <v>OK</v>
      </c>
      <c r="X1982" s="7" t="str">
        <f aca="false">IF(TEXT(H1982,"dddd")&lt;&gt;I1982,"Mismatch","OK")</f>
        <v>OK</v>
      </c>
      <c r="Y1982" s="7" t="str">
        <f aca="false">IF(AND(N1982="No",O1982&lt;&gt;""),"Unexpected: channel present but no reminder sent",IF(AND(N1982="Yes",O1982=""),"Missing channel for sent reminder","OK"))</f>
        <v>OK</v>
      </c>
    </row>
    <row r="1983" customFormat="false" ht="15" hidden="false" customHeight="false" outlineLevel="0" collapsed="false">
      <c r="A1983" s="9" t="s">
        <v>3250</v>
      </c>
      <c r="B1983" s="9" t="s">
        <v>1883</v>
      </c>
      <c r="C1983" s="9" t="s">
        <v>37</v>
      </c>
      <c r="D1983" s="9" t="n">
        <v>24</v>
      </c>
      <c r="E1983" s="9" t="s">
        <v>82</v>
      </c>
      <c r="F1983" s="9" t="s">
        <v>57</v>
      </c>
      <c r="G1983" s="10" t="n">
        <v>45962</v>
      </c>
      <c r="H1983" s="10" t="n">
        <v>45997</v>
      </c>
      <c r="I1983" s="9" t="s">
        <v>102</v>
      </c>
      <c r="J1983" s="9" t="s">
        <v>41</v>
      </c>
      <c r="K1983" s="9" t="n">
        <v>35</v>
      </c>
      <c r="L1983" s="9" t="n">
        <v>3</v>
      </c>
      <c r="M1983" s="9" t="n">
        <v>0</v>
      </c>
      <c r="N1983" s="9" t="s">
        <v>71</v>
      </c>
      <c r="O1983" s="9"/>
      <c r="P1983" s="9" t="n">
        <v>8.2</v>
      </c>
      <c r="Q1983" s="9" t="n">
        <v>39</v>
      </c>
      <c r="R1983" s="9" t="s">
        <v>53</v>
      </c>
      <c r="S1983" s="9"/>
      <c r="T1983" s="9"/>
      <c r="U1983" s="9" t="str">
        <f aca="false">IF(COUNTIF($A$2:$A$5001,A1983)&gt;1,"Duplicate","Unique")</f>
        <v>Unique</v>
      </c>
      <c r="V1983" s="9" t="str">
        <f aca="false">IF(COUNTIFS($B$2:$B$5001,B1983,$H$2:$H$5001,H1983,$J$2:$J$5001,J1983)&gt;1,"Possible Duplicate Booking","Unique")</f>
        <v>Unique</v>
      </c>
      <c r="W1983" s="9" t="str">
        <f aca="false">IF((H1983-G1983)&lt;&gt;K1983,"Mismatch","OK")</f>
        <v>OK</v>
      </c>
      <c r="X1983" s="9" t="str">
        <f aca="false">IF(TEXT(H1983,"dddd")&lt;&gt;I1983,"Mismatch","OK")</f>
        <v>OK</v>
      </c>
      <c r="Y1983" s="9" t="str">
        <f aca="false">IF(AND(N1983="No",O1983&lt;&gt;""),"Unexpected: channel present but no reminder sent",IF(AND(N1983="Yes",O1983=""),"Missing channel for sent reminder","OK"))</f>
        <v>OK</v>
      </c>
    </row>
    <row r="1984" customFormat="false" ht="15" hidden="false" customHeight="false" outlineLevel="0" collapsed="false">
      <c r="A1984" s="7" t="s">
        <v>3251</v>
      </c>
      <c r="B1984" s="7" t="s">
        <v>348</v>
      </c>
      <c r="C1984" s="7" t="s">
        <v>236</v>
      </c>
      <c r="D1984" s="7" t="n">
        <v>48</v>
      </c>
      <c r="E1984" s="7" t="s">
        <v>56</v>
      </c>
      <c r="F1984" s="7" t="s">
        <v>74</v>
      </c>
      <c r="G1984" s="8" t="n">
        <v>45627</v>
      </c>
      <c r="H1984" s="8" t="n">
        <v>45687</v>
      </c>
      <c r="I1984" s="7" t="s">
        <v>62</v>
      </c>
      <c r="J1984" s="7" t="s">
        <v>41</v>
      </c>
      <c r="K1984" s="7" t="n">
        <v>60</v>
      </c>
      <c r="L1984" s="7" t="n">
        <v>1</v>
      </c>
      <c r="M1984" s="7" t="n">
        <v>0</v>
      </c>
      <c r="N1984" s="7" t="s">
        <v>42</v>
      </c>
      <c r="O1984" s="7" t="s">
        <v>43</v>
      </c>
      <c r="P1984" s="7" t="n">
        <v>6.2</v>
      </c>
      <c r="Q1984" s="7" t="n">
        <v>21</v>
      </c>
      <c r="R1984" s="7" t="s">
        <v>44</v>
      </c>
      <c r="S1984" s="7"/>
      <c r="T1984" s="7"/>
      <c r="U1984" s="7" t="str">
        <f aca="false">IF(COUNTIF($A$2:$A$5001,A1984)&gt;1,"Duplicate","Unique")</f>
        <v>Unique</v>
      </c>
      <c r="V1984" s="7" t="str">
        <f aca="false">IF(COUNTIFS($B$2:$B$5001,B1984,$H$2:$H$5001,H1984,$J$2:$J$5001,J1984)&gt;1,"Possible Duplicate Booking","Unique")</f>
        <v>Unique</v>
      </c>
      <c r="W1984" s="7" t="str">
        <f aca="false">IF((H1984-G1984)&lt;&gt;K1984,"Mismatch","OK")</f>
        <v>OK</v>
      </c>
      <c r="X1984" s="7" t="str">
        <f aca="false">IF(TEXT(H1984,"dddd")&lt;&gt;I1984,"Mismatch","OK")</f>
        <v>OK</v>
      </c>
      <c r="Y1984" s="7" t="str">
        <f aca="false">IF(AND(N1984="No",O1984&lt;&gt;""),"Unexpected: channel present but no reminder sent",IF(AND(N1984="Yes",O1984=""),"Missing channel for sent reminder","OK"))</f>
        <v>OK</v>
      </c>
    </row>
    <row r="1985" customFormat="false" ht="15" hidden="false" customHeight="false" outlineLevel="0" collapsed="false">
      <c r="A1985" s="9" t="s">
        <v>3252</v>
      </c>
      <c r="B1985" s="9" t="s">
        <v>3253</v>
      </c>
      <c r="C1985" s="9" t="s">
        <v>47</v>
      </c>
      <c r="D1985" s="9" t="n">
        <v>61</v>
      </c>
      <c r="E1985" s="9" t="s">
        <v>61</v>
      </c>
      <c r="F1985" s="9" t="s">
        <v>39</v>
      </c>
      <c r="G1985" s="10" t="n">
        <v>46067</v>
      </c>
      <c r="H1985" s="10" t="n">
        <v>46067</v>
      </c>
      <c r="I1985" s="9" t="s">
        <v>102</v>
      </c>
      <c r="J1985" s="9" t="s">
        <v>51</v>
      </c>
      <c r="K1985" s="9" t="n">
        <v>0</v>
      </c>
      <c r="L1985" s="9" t="n">
        <v>5</v>
      </c>
      <c r="M1985" s="9" t="n">
        <v>2</v>
      </c>
      <c r="N1985" s="9" t="s">
        <v>42</v>
      </c>
      <c r="O1985" s="9" t="s">
        <v>52</v>
      </c>
      <c r="P1985" s="9" t="n">
        <v>3.2</v>
      </c>
      <c r="Q1985" s="9" t="n">
        <v>18</v>
      </c>
      <c r="R1985" s="9" t="s">
        <v>44</v>
      </c>
      <c r="S1985" s="9"/>
      <c r="T1985" s="9"/>
      <c r="U1985" s="9" t="str">
        <f aca="false">IF(COUNTIF($A$2:$A$5001,A1985)&gt;1,"Duplicate","Unique")</f>
        <v>Unique</v>
      </c>
      <c r="V1985" s="9" t="str">
        <f aca="false">IF(COUNTIFS($B$2:$B$5001,B1985,$H$2:$H$5001,H1985,$J$2:$J$5001,J1985)&gt;1,"Possible Duplicate Booking","Unique")</f>
        <v>Unique</v>
      </c>
      <c r="W1985" s="9" t="str">
        <f aca="false">IF((H1985-G1985)&lt;&gt;K1985,"Mismatch","OK")</f>
        <v>OK</v>
      </c>
      <c r="X1985" s="9" t="str">
        <f aca="false">IF(TEXT(H1985,"dddd")&lt;&gt;I1985,"Mismatch","OK")</f>
        <v>OK</v>
      </c>
      <c r="Y1985" s="9" t="str">
        <f aca="false">IF(AND(N1985="No",O1985&lt;&gt;""),"Unexpected: channel present but no reminder sent",IF(AND(N1985="Yes",O1985=""),"Missing channel for sent reminder","OK"))</f>
        <v>OK</v>
      </c>
    </row>
    <row r="1986" customFormat="false" ht="15" hidden="false" customHeight="false" outlineLevel="0" collapsed="false">
      <c r="A1986" s="7" t="s">
        <v>3254</v>
      </c>
      <c r="B1986" s="7" t="s">
        <v>2920</v>
      </c>
      <c r="C1986" s="7" t="s">
        <v>37</v>
      </c>
      <c r="D1986" s="7" t="n">
        <v>61</v>
      </c>
      <c r="E1986" s="7" t="s">
        <v>61</v>
      </c>
      <c r="F1986" s="7" t="s">
        <v>49</v>
      </c>
      <c r="G1986" s="8" t="n">
        <v>45947</v>
      </c>
      <c r="H1986" s="8" t="n">
        <v>46005</v>
      </c>
      <c r="I1986" s="7" t="s">
        <v>75</v>
      </c>
      <c r="J1986" s="7" t="s">
        <v>41</v>
      </c>
      <c r="K1986" s="7" t="n">
        <v>58</v>
      </c>
      <c r="L1986" s="7" t="n">
        <v>3</v>
      </c>
      <c r="M1986" s="7" t="n">
        <v>0</v>
      </c>
      <c r="N1986" s="7" t="s">
        <v>42</v>
      </c>
      <c r="O1986" s="7" t="s">
        <v>67</v>
      </c>
      <c r="P1986" s="7" t="n">
        <v>0.5</v>
      </c>
      <c r="Q1986" s="7" t="n">
        <v>28</v>
      </c>
      <c r="R1986" s="7" t="s">
        <v>44</v>
      </c>
      <c r="S1986" s="7"/>
      <c r="T1986" s="7"/>
      <c r="U1986" s="7" t="str">
        <f aca="false">IF(COUNTIF($A$2:$A$5001,A1986)&gt;1,"Duplicate","Unique")</f>
        <v>Unique</v>
      </c>
      <c r="V1986" s="7" t="str">
        <f aca="false">IF(COUNTIFS($B$2:$B$5001,B1986,$H$2:$H$5001,H1986,$J$2:$J$5001,J1986)&gt;1,"Possible Duplicate Booking","Unique")</f>
        <v>Unique</v>
      </c>
      <c r="W1986" s="7" t="str">
        <f aca="false">IF((H1986-G1986)&lt;&gt;K1986,"Mismatch","OK")</f>
        <v>OK</v>
      </c>
      <c r="X1986" s="7" t="str">
        <f aca="false">IF(TEXT(H1986,"dddd")&lt;&gt;I1986,"Mismatch","OK")</f>
        <v>OK</v>
      </c>
      <c r="Y1986" s="7" t="str">
        <f aca="false">IF(AND(N1986="No",O1986&lt;&gt;""),"Unexpected: channel present but no reminder sent",IF(AND(N1986="Yes",O1986=""),"Missing channel for sent reminder","OK"))</f>
        <v>OK</v>
      </c>
    </row>
    <row r="1987" customFormat="false" ht="15" hidden="false" customHeight="false" outlineLevel="0" collapsed="false">
      <c r="A1987" s="9" t="s">
        <v>3255</v>
      </c>
      <c r="B1987" s="9" t="s">
        <v>850</v>
      </c>
      <c r="C1987" s="9" t="s">
        <v>47</v>
      </c>
      <c r="D1987" s="9" t="n">
        <v>78</v>
      </c>
      <c r="E1987" s="9" t="s">
        <v>70</v>
      </c>
      <c r="F1987" s="9" t="s">
        <v>57</v>
      </c>
      <c r="G1987" s="10" t="n">
        <v>46039</v>
      </c>
      <c r="H1987" s="10" t="n">
        <v>46091</v>
      </c>
      <c r="I1987" s="9" t="s">
        <v>40</v>
      </c>
      <c r="J1987" s="9" t="s">
        <v>41</v>
      </c>
      <c r="K1987" s="9" t="n">
        <v>52</v>
      </c>
      <c r="L1987" s="9" t="n">
        <v>6</v>
      </c>
      <c r="M1987" s="9" t="n">
        <v>0</v>
      </c>
      <c r="N1987" s="9" t="s">
        <v>42</v>
      </c>
      <c r="O1987" s="9" t="s">
        <v>52</v>
      </c>
      <c r="P1987" s="9" t="n">
        <v>12.1</v>
      </c>
      <c r="Q1987" s="9" t="n">
        <v>2</v>
      </c>
      <c r="R1987" s="9" t="s">
        <v>53</v>
      </c>
      <c r="S1987" s="9"/>
      <c r="T1987" s="9"/>
      <c r="U1987" s="9" t="str">
        <f aca="false">IF(COUNTIF($A$2:$A$5001,A1987)&gt;1,"Duplicate","Unique")</f>
        <v>Unique</v>
      </c>
      <c r="V1987" s="9" t="str">
        <f aca="false">IF(COUNTIFS($B$2:$B$5001,B1987,$H$2:$H$5001,H1987,$J$2:$J$5001,J1987)&gt;1,"Possible Duplicate Booking","Unique")</f>
        <v>Unique</v>
      </c>
      <c r="W1987" s="9" t="str">
        <f aca="false">IF((H1987-G1987)&lt;&gt;K1987,"Mismatch","OK")</f>
        <v>OK</v>
      </c>
      <c r="X1987" s="9" t="str">
        <f aca="false">IF(TEXT(H1987,"dddd")&lt;&gt;I1987,"Mismatch","OK")</f>
        <v>OK</v>
      </c>
      <c r="Y1987" s="9" t="str">
        <f aca="false">IF(AND(N1987="No",O1987&lt;&gt;""),"Unexpected: channel present but no reminder sent",IF(AND(N1987="Yes",O1987=""),"Missing channel for sent reminder","OK"))</f>
        <v>OK</v>
      </c>
    </row>
    <row r="1988" customFormat="false" ht="15" hidden="false" customHeight="false" outlineLevel="0" collapsed="false">
      <c r="A1988" s="7" t="s">
        <v>3256</v>
      </c>
      <c r="B1988" s="7" t="s">
        <v>3257</v>
      </c>
      <c r="C1988" s="7" t="s">
        <v>47</v>
      </c>
      <c r="D1988" s="7" t="n">
        <v>47</v>
      </c>
      <c r="E1988" s="7" t="s">
        <v>56</v>
      </c>
      <c r="F1988" s="7" t="s">
        <v>39</v>
      </c>
      <c r="G1988" s="8" t="n">
        <v>46077</v>
      </c>
      <c r="H1988" s="8" t="n">
        <v>46109</v>
      </c>
      <c r="I1988" s="7" t="s">
        <v>102</v>
      </c>
      <c r="J1988" s="7" t="s">
        <v>51</v>
      </c>
      <c r="K1988" s="7" t="n">
        <v>32</v>
      </c>
      <c r="L1988" s="7" t="n">
        <v>5</v>
      </c>
      <c r="M1988" s="7" t="n">
        <v>1</v>
      </c>
      <c r="N1988" s="7" t="s">
        <v>42</v>
      </c>
      <c r="O1988" s="7" t="s">
        <v>52</v>
      </c>
      <c r="P1988" s="7" t="n">
        <v>19.2</v>
      </c>
      <c r="Q1988" s="7" t="n">
        <v>33</v>
      </c>
      <c r="R1988" s="7" t="s">
        <v>44</v>
      </c>
      <c r="S1988" s="7"/>
      <c r="T1988" s="7"/>
      <c r="U1988" s="7" t="str">
        <f aca="false">IF(COUNTIF($A$2:$A$5001,A1988)&gt;1,"Duplicate","Unique")</f>
        <v>Unique</v>
      </c>
      <c r="V1988" s="7" t="str">
        <f aca="false">IF(COUNTIFS($B$2:$B$5001,B1988,$H$2:$H$5001,H1988,$J$2:$J$5001,J1988)&gt;1,"Possible Duplicate Booking","Unique")</f>
        <v>Unique</v>
      </c>
      <c r="W1988" s="7" t="str">
        <f aca="false">IF((H1988-G1988)&lt;&gt;K1988,"Mismatch","OK")</f>
        <v>OK</v>
      </c>
      <c r="X1988" s="7" t="str">
        <f aca="false">IF(TEXT(H1988,"dddd")&lt;&gt;I1988,"Mismatch","OK")</f>
        <v>OK</v>
      </c>
      <c r="Y1988" s="7" t="str">
        <f aca="false">IF(AND(N1988="No",O1988&lt;&gt;""),"Unexpected: channel present but no reminder sent",IF(AND(N1988="Yes",O1988=""),"Missing channel for sent reminder","OK"))</f>
        <v>OK</v>
      </c>
    </row>
    <row r="1989" customFormat="false" ht="15" hidden="false" customHeight="false" outlineLevel="0" collapsed="false">
      <c r="A1989" s="9" t="s">
        <v>3258</v>
      </c>
      <c r="B1989" s="9" t="s">
        <v>3259</v>
      </c>
      <c r="C1989" s="9" t="s">
        <v>47</v>
      </c>
      <c r="D1989" s="9" t="n">
        <v>75</v>
      </c>
      <c r="E1989" s="9" t="s">
        <v>70</v>
      </c>
      <c r="F1989" s="9" t="s">
        <v>39</v>
      </c>
      <c r="G1989" s="10" t="n">
        <v>45736</v>
      </c>
      <c r="H1989" s="10" t="n">
        <v>45773</v>
      </c>
      <c r="I1989" s="9" t="s">
        <v>102</v>
      </c>
      <c r="J1989" s="9" t="s">
        <v>41</v>
      </c>
      <c r="K1989" s="9" t="n">
        <v>37</v>
      </c>
      <c r="L1989" s="9" t="n">
        <v>2</v>
      </c>
      <c r="M1989" s="9" t="n">
        <v>0</v>
      </c>
      <c r="N1989" s="9" t="s">
        <v>42</v>
      </c>
      <c r="O1989" s="9" t="s">
        <v>52</v>
      </c>
      <c r="P1989" s="9" t="n">
        <v>14.9</v>
      </c>
      <c r="Q1989" s="9" t="n">
        <v>36</v>
      </c>
      <c r="R1989" s="9" t="s">
        <v>44</v>
      </c>
      <c r="S1989" s="9"/>
      <c r="T1989" s="9"/>
      <c r="U1989" s="9" t="str">
        <f aca="false">IF(COUNTIF($A$2:$A$5001,A1989)&gt;1,"Duplicate","Unique")</f>
        <v>Unique</v>
      </c>
      <c r="V1989" s="9" t="str">
        <f aca="false">IF(COUNTIFS($B$2:$B$5001,B1989,$H$2:$H$5001,H1989,$J$2:$J$5001,J1989)&gt;1,"Possible Duplicate Booking","Unique")</f>
        <v>Unique</v>
      </c>
      <c r="W1989" s="9" t="str">
        <f aca="false">IF((H1989-G1989)&lt;&gt;K1989,"Mismatch","OK")</f>
        <v>OK</v>
      </c>
      <c r="X1989" s="9" t="str">
        <f aca="false">IF(TEXT(H1989,"dddd")&lt;&gt;I1989,"Mismatch","OK")</f>
        <v>OK</v>
      </c>
      <c r="Y1989" s="9" t="str">
        <f aca="false">IF(AND(N1989="No",O1989&lt;&gt;""),"Unexpected: channel present but no reminder sent",IF(AND(N1989="Yes",O1989=""),"Missing channel for sent reminder","OK"))</f>
        <v>OK</v>
      </c>
    </row>
    <row r="1990" customFormat="false" ht="15" hidden="false" customHeight="false" outlineLevel="0" collapsed="false">
      <c r="A1990" s="7" t="s">
        <v>3260</v>
      </c>
      <c r="B1990" s="7" t="s">
        <v>1496</v>
      </c>
      <c r="C1990" s="7" t="s">
        <v>37</v>
      </c>
      <c r="D1990" s="7" t="n">
        <v>79</v>
      </c>
      <c r="E1990" s="7" t="s">
        <v>70</v>
      </c>
      <c r="F1990" s="7" t="s">
        <v>74</v>
      </c>
      <c r="G1990" s="8" t="n">
        <v>45751</v>
      </c>
      <c r="H1990" s="8" t="n">
        <v>45773</v>
      </c>
      <c r="I1990" s="7" t="s">
        <v>102</v>
      </c>
      <c r="J1990" s="7" t="s">
        <v>51</v>
      </c>
      <c r="K1990" s="7" t="n">
        <v>22</v>
      </c>
      <c r="L1990" s="7" t="n">
        <v>5</v>
      </c>
      <c r="M1990" s="7" t="n">
        <v>1</v>
      </c>
      <c r="N1990" s="7" t="s">
        <v>42</v>
      </c>
      <c r="O1990" s="7" t="s">
        <v>67</v>
      </c>
      <c r="P1990" s="7" t="n">
        <v>7.9</v>
      </c>
      <c r="Q1990" s="7" t="n">
        <v>24</v>
      </c>
      <c r="R1990" s="7" t="s">
        <v>44</v>
      </c>
      <c r="S1990" s="7"/>
      <c r="T1990" s="7"/>
      <c r="U1990" s="7" t="str">
        <f aca="false">IF(COUNTIF($A$2:$A$5001,A1990)&gt;1,"Duplicate","Unique")</f>
        <v>Unique</v>
      </c>
      <c r="V1990" s="7" t="str">
        <f aca="false">IF(COUNTIFS($B$2:$B$5001,B1990,$H$2:$H$5001,H1990,$J$2:$J$5001,J1990)&gt;1,"Possible Duplicate Booking","Unique")</f>
        <v>Unique</v>
      </c>
      <c r="W1990" s="7" t="str">
        <f aca="false">IF((H1990-G1990)&lt;&gt;K1990,"Mismatch","OK")</f>
        <v>OK</v>
      </c>
      <c r="X1990" s="7" t="str">
        <f aca="false">IF(TEXT(H1990,"dddd")&lt;&gt;I1990,"Mismatch","OK")</f>
        <v>OK</v>
      </c>
      <c r="Y1990" s="7" t="str">
        <f aca="false">IF(AND(N1990="No",O1990&lt;&gt;""),"Unexpected: channel present but no reminder sent",IF(AND(N1990="Yes",O1990=""),"Missing channel for sent reminder","OK"))</f>
        <v>OK</v>
      </c>
    </row>
    <row r="1991" customFormat="false" ht="15" hidden="false" customHeight="false" outlineLevel="0" collapsed="false">
      <c r="A1991" s="9" t="s">
        <v>3261</v>
      </c>
      <c r="B1991" s="9" t="s">
        <v>2003</v>
      </c>
      <c r="C1991" s="9" t="s">
        <v>47</v>
      </c>
      <c r="D1991" s="9" t="n">
        <v>54</v>
      </c>
      <c r="E1991" s="9" t="s">
        <v>56</v>
      </c>
      <c r="F1991" s="9" t="s">
        <v>74</v>
      </c>
      <c r="G1991" s="10" t="n">
        <v>46155</v>
      </c>
      <c r="H1991" s="10" t="n">
        <v>46162</v>
      </c>
      <c r="I1991" s="9" t="s">
        <v>58</v>
      </c>
      <c r="J1991" s="9" t="s">
        <v>51</v>
      </c>
      <c r="K1991" s="9" t="n">
        <v>7</v>
      </c>
      <c r="L1991" s="9" t="n">
        <v>1</v>
      </c>
      <c r="M1991" s="9" t="n">
        <v>1</v>
      </c>
      <c r="N1991" s="9" t="s">
        <v>42</v>
      </c>
      <c r="O1991" s="9" t="s">
        <v>52</v>
      </c>
      <c r="P1991" s="9" t="n">
        <v>9.9</v>
      </c>
      <c r="Q1991" s="9" t="n">
        <v>19</v>
      </c>
      <c r="R1991" s="9" t="s">
        <v>53</v>
      </c>
      <c r="S1991" s="9"/>
      <c r="T1991" s="9"/>
      <c r="U1991" s="9" t="str">
        <f aca="false">IF(COUNTIF($A$2:$A$5001,A1991)&gt;1,"Duplicate","Unique")</f>
        <v>Unique</v>
      </c>
      <c r="V1991" s="9" t="str">
        <f aca="false">IF(COUNTIFS($B$2:$B$5001,B1991,$H$2:$H$5001,H1991,$J$2:$J$5001,J1991)&gt;1,"Possible Duplicate Booking","Unique")</f>
        <v>Unique</v>
      </c>
      <c r="W1991" s="9" t="str">
        <f aca="false">IF((H1991-G1991)&lt;&gt;K1991,"Mismatch","OK")</f>
        <v>OK</v>
      </c>
      <c r="X1991" s="9" t="str">
        <f aca="false">IF(TEXT(H1991,"dddd")&lt;&gt;I1991,"Mismatch","OK")</f>
        <v>OK</v>
      </c>
      <c r="Y1991" s="9" t="str">
        <f aca="false">IF(AND(N1991="No",O1991&lt;&gt;""),"Unexpected: channel present but no reminder sent",IF(AND(N1991="Yes",O1991=""),"Missing channel for sent reminder","OK"))</f>
        <v>OK</v>
      </c>
    </row>
    <row r="1992" customFormat="false" ht="15" hidden="false" customHeight="false" outlineLevel="0" collapsed="false">
      <c r="A1992" s="7" t="s">
        <v>3262</v>
      </c>
      <c r="B1992" s="7" t="s">
        <v>2315</v>
      </c>
      <c r="C1992" s="7" t="s">
        <v>37</v>
      </c>
      <c r="D1992" s="7" t="n">
        <v>23</v>
      </c>
      <c r="E1992" s="7" t="s">
        <v>82</v>
      </c>
      <c r="F1992" s="7" t="s">
        <v>57</v>
      </c>
      <c r="G1992" s="8" t="n">
        <v>45913</v>
      </c>
      <c r="H1992" s="8" t="n">
        <v>45947</v>
      </c>
      <c r="I1992" s="7" t="s">
        <v>50</v>
      </c>
      <c r="J1992" s="7" t="s">
        <v>41</v>
      </c>
      <c r="K1992" s="7" t="n">
        <v>34</v>
      </c>
      <c r="L1992" s="7" t="n">
        <v>2</v>
      </c>
      <c r="M1992" s="7" t="n">
        <v>0</v>
      </c>
      <c r="N1992" s="7" t="s">
        <v>42</v>
      </c>
      <c r="O1992" s="7" t="s">
        <v>43</v>
      </c>
      <c r="P1992" s="7" t="n">
        <v>5.3</v>
      </c>
      <c r="Q1992" s="7" t="n">
        <v>21</v>
      </c>
      <c r="R1992" s="7" t="s">
        <v>53</v>
      </c>
      <c r="S1992" s="7"/>
      <c r="T1992" s="7"/>
      <c r="U1992" s="7" t="str">
        <f aca="false">IF(COUNTIF($A$2:$A$5001,A1992)&gt;1,"Duplicate","Unique")</f>
        <v>Unique</v>
      </c>
      <c r="V1992" s="7" t="str">
        <f aca="false">IF(COUNTIFS($B$2:$B$5001,B1992,$H$2:$H$5001,H1992,$J$2:$J$5001,J1992)&gt;1,"Possible Duplicate Booking","Unique")</f>
        <v>Unique</v>
      </c>
      <c r="W1992" s="7" t="str">
        <f aca="false">IF((H1992-G1992)&lt;&gt;K1992,"Mismatch","OK")</f>
        <v>OK</v>
      </c>
      <c r="X1992" s="7" t="str">
        <f aca="false">IF(TEXT(H1992,"dddd")&lt;&gt;I1992,"Mismatch","OK")</f>
        <v>OK</v>
      </c>
      <c r="Y1992" s="7" t="str">
        <f aca="false">IF(AND(N1992="No",O1992&lt;&gt;""),"Unexpected: channel present but no reminder sent",IF(AND(N1992="Yes",O1992=""),"Missing channel for sent reminder","OK"))</f>
        <v>OK</v>
      </c>
    </row>
    <row r="1993" customFormat="false" ht="15" hidden="false" customHeight="false" outlineLevel="0" collapsed="false">
      <c r="A1993" s="9" t="s">
        <v>3263</v>
      </c>
      <c r="B1993" s="9" t="s">
        <v>3264</v>
      </c>
      <c r="C1993" s="9" t="s">
        <v>47</v>
      </c>
      <c r="D1993" s="9" t="n">
        <v>41</v>
      </c>
      <c r="E1993" s="9" t="s">
        <v>38</v>
      </c>
      <c r="F1993" s="9" t="s">
        <v>74</v>
      </c>
      <c r="G1993" s="10" t="n">
        <v>45848</v>
      </c>
      <c r="H1993" s="10" t="n">
        <v>45897</v>
      </c>
      <c r="I1993" s="9" t="s">
        <v>62</v>
      </c>
      <c r="J1993" s="9" t="s">
        <v>41</v>
      </c>
      <c r="K1993" s="9" t="n">
        <v>49</v>
      </c>
      <c r="L1993" s="9" t="n">
        <v>5</v>
      </c>
      <c r="M1993" s="9" t="n">
        <v>2</v>
      </c>
      <c r="N1993" s="9" t="s">
        <v>42</v>
      </c>
      <c r="O1993" s="9" t="s">
        <v>52</v>
      </c>
      <c r="P1993" s="9" t="n">
        <v>8.5</v>
      </c>
      <c r="Q1993" s="9" t="n">
        <v>21</v>
      </c>
      <c r="R1993" s="9" t="s">
        <v>53</v>
      </c>
      <c r="S1993" s="9"/>
      <c r="T1993" s="9"/>
      <c r="U1993" s="9" t="str">
        <f aca="false">IF(COUNTIF($A$2:$A$5001,A1993)&gt;1,"Duplicate","Unique")</f>
        <v>Unique</v>
      </c>
      <c r="V1993" s="9" t="str">
        <f aca="false">IF(COUNTIFS($B$2:$B$5001,B1993,$H$2:$H$5001,H1993,$J$2:$J$5001,J1993)&gt;1,"Possible Duplicate Booking","Unique")</f>
        <v>Unique</v>
      </c>
      <c r="W1993" s="9" t="str">
        <f aca="false">IF((H1993-G1993)&lt;&gt;K1993,"Mismatch","OK")</f>
        <v>OK</v>
      </c>
      <c r="X1993" s="9" t="str">
        <f aca="false">IF(TEXT(H1993,"dddd")&lt;&gt;I1993,"Mismatch","OK")</f>
        <v>OK</v>
      </c>
      <c r="Y1993" s="9" t="str">
        <f aca="false">IF(AND(N1993="No",O1993&lt;&gt;""),"Unexpected: channel present but no reminder sent",IF(AND(N1993="Yes",O1993=""),"Missing channel for sent reminder","OK"))</f>
        <v>OK</v>
      </c>
    </row>
    <row r="1994" customFormat="false" ht="15" hidden="false" customHeight="false" outlineLevel="0" collapsed="false">
      <c r="A1994" s="7" t="s">
        <v>3265</v>
      </c>
      <c r="B1994" s="7" t="s">
        <v>3266</v>
      </c>
      <c r="C1994" s="7" t="s">
        <v>37</v>
      </c>
      <c r="D1994" s="7" t="n">
        <v>66</v>
      </c>
      <c r="E1994" s="7" t="s">
        <v>70</v>
      </c>
      <c r="F1994" s="7" t="s">
        <v>74</v>
      </c>
      <c r="G1994" s="8" t="n">
        <v>45800</v>
      </c>
      <c r="H1994" s="8" t="n">
        <v>45814</v>
      </c>
      <c r="I1994" s="7" t="s">
        <v>50</v>
      </c>
      <c r="J1994" s="7" t="s">
        <v>63</v>
      </c>
      <c r="K1994" s="7" t="n">
        <v>14</v>
      </c>
      <c r="L1994" s="7" t="n">
        <v>1</v>
      </c>
      <c r="M1994" s="7" t="n">
        <v>0</v>
      </c>
      <c r="N1994" s="7" t="s">
        <v>71</v>
      </c>
      <c r="O1994" s="7"/>
      <c r="P1994" s="7" t="n">
        <v>8.1</v>
      </c>
      <c r="Q1994" s="7" t="n">
        <v>23</v>
      </c>
      <c r="R1994" s="7" t="s">
        <v>44</v>
      </c>
      <c r="S1994" s="7"/>
      <c r="T1994" s="7"/>
      <c r="U1994" s="7" t="str">
        <f aca="false">IF(COUNTIF($A$2:$A$5001,A1994)&gt;1,"Duplicate","Unique")</f>
        <v>Unique</v>
      </c>
      <c r="V1994" s="7" t="str">
        <f aca="false">IF(COUNTIFS($B$2:$B$5001,B1994,$H$2:$H$5001,H1994,$J$2:$J$5001,J1994)&gt;1,"Possible Duplicate Booking","Unique")</f>
        <v>Unique</v>
      </c>
      <c r="W1994" s="7" t="str">
        <f aca="false">IF((H1994-G1994)&lt;&gt;K1994,"Mismatch","OK")</f>
        <v>OK</v>
      </c>
      <c r="X1994" s="7" t="str">
        <f aca="false">IF(TEXT(H1994,"dddd")&lt;&gt;I1994,"Mismatch","OK")</f>
        <v>OK</v>
      </c>
      <c r="Y1994" s="7" t="str">
        <f aca="false">IF(AND(N1994="No",O1994&lt;&gt;""),"Unexpected: channel present but no reminder sent",IF(AND(N1994="Yes",O1994=""),"Missing channel for sent reminder","OK"))</f>
        <v>OK</v>
      </c>
    </row>
    <row r="1995" customFormat="false" ht="15" hidden="false" customHeight="false" outlineLevel="0" collapsed="false">
      <c r="A1995" s="9" t="s">
        <v>3267</v>
      </c>
      <c r="B1995" s="9" t="s">
        <v>1763</v>
      </c>
      <c r="C1995" s="9" t="s">
        <v>37</v>
      </c>
      <c r="D1995" s="9" t="n">
        <v>54</v>
      </c>
      <c r="E1995" s="9" t="s">
        <v>56</v>
      </c>
      <c r="F1995" s="9" t="s">
        <v>39</v>
      </c>
      <c r="G1995" s="10" t="n">
        <v>45963</v>
      </c>
      <c r="H1995" s="10" t="n">
        <v>46006</v>
      </c>
      <c r="I1995" s="9" t="s">
        <v>66</v>
      </c>
      <c r="J1995" s="9" t="s">
        <v>63</v>
      </c>
      <c r="K1995" s="9" t="n">
        <v>43</v>
      </c>
      <c r="L1995" s="9" t="n">
        <v>5</v>
      </c>
      <c r="M1995" s="9" t="n">
        <v>1</v>
      </c>
      <c r="N1995" s="9" t="s">
        <v>71</v>
      </c>
      <c r="O1995" s="9"/>
      <c r="P1995" s="9" t="n">
        <v>11.1</v>
      </c>
      <c r="Q1995" s="9" t="n">
        <v>7</v>
      </c>
      <c r="R1995" s="9" t="s">
        <v>44</v>
      </c>
      <c r="S1995" s="9"/>
      <c r="T1995" s="9"/>
      <c r="U1995" s="9" t="str">
        <f aca="false">IF(COUNTIF($A$2:$A$5001,A1995)&gt;1,"Duplicate","Unique")</f>
        <v>Unique</v>
      </c>
      <c r="V1995" s="9" t="str">
        <f aca="false">IF(COUNTIFS($B$2:$B$5001,B1995,$H$2:$H$5001,H1995,$J$2:$J$5001,J1995)&gt;1,"Possible Duplicate Booking","Unique")</f>
        <v>Unique</v>
      </c>
      <c r="W1995" s="9" t="str">
        <f aca="false">IF((H1995-G1995)&lt;&gt;K1995,"Mismatch","OK")</f>
        <v>OK</v>
      </c>
      <c r="X1995" s="9" t="str">
        <f aca="false">IF(TEXT(H1995,"dddd")&lt;&gt;I1995,"Mismatch","OK")</f>
        <v>OK</v>
      </c>
      <c r="Y1995" s="9" t="str">
        <f aca="false">IF(AND(N1995="No",O1995&lt;&gt;""),"Unexpected: channel present but no reminder sent",IF(AND(N1995="Yes",O1995=""),"Missing channel for sent reminder","OK"))</f>
        <v>OK</v>
      </c>
    </row>
    <row r="1996" customFormat="false" ht="15" hidden="false" customHeight="false" outlineLevel="0" collapsed="false">
      <c r="A1996" s="7" t="s">
        <v>3268</v>
      </c>
      <c r="B1996" s="7" t="s">
        <v>1448</v>
      </c>
      <c r="C1996" s="7" t="s">
        <v>47</v>
      </c>
      <c r="D1996" s="7" t="n">
        <v>76</v>
      </c>
      <c r="E1996" s="7" t="s">
        <v>70</v>
      </c>
      <c r="F1996" s="7" t="s">
        <v>57</v>
      </c>
      <c r="G1996" s="8" t="n">
        <v>46024</v>
      </c>
      <c r="H1996" s="8" t="n">
        <v>46069</v>
      </c>
      <c r="I1996" s="7" t="s">
        <v>66</v>
      </c>
      <c r="J1996" s="7" t="s">
        <v>51</v>
      </c>
      <c r="K1996" s="7" t="n">
        <v>45</v>
      </c>
      <c r="L1996" s="7" t="n">
        <v>0</v>
      </c>
      <c r="M1996" s="7" t="n">
        <v>0</v>
      </c>
      <c r="N1996" s="7" t="s">
        <v>42</v>
      </c>
      <c r="O1996" s="7" t="s">
        <v>52</v>
      </c>
      <c r="P1996" s="7" t="n">
        <v>5.1</v>
      </c>
      <c r="Q1996" s="7" t="n">
        <v>29</v>
      </c>
      <c r="R1996" s="7" t="s">
        <v>44</v>
      </c>
      <c r="S1996" s="7"/>
      <c r="T1996" s="7"/>
      <c r="U1996" s="7" t="str">
        <f aca="false">IF(COUNTIF($A$2:$A$5001,A1996)&gt;1,"Duplicate","Unique")</f>
        <v>Unique</v>
      </c>
      <c r="V1996" s="7" t="str">
        <f aca="false">IF(COUNTIFS($B$2:$B$5001,B1996,$H$2:$H$5001,H1996,$J$2:$J$5001,J1996)&gt;1,"Possible Duplicate Booking","Unique")</f>
        <v>Unique</v>
      </c>
      <c r="W1996" s="7" t="str">
        <f aca="false">IF((H1996-G1996)&lt;&gt;K1996,"Mismatch","OK")</f>
        <v>OK</v>
      </c>
      <c r="X1996" s="7" t="str">
        <f aca="false">IF(TEXT(H1996,"dddd")&lt;&gt;I1996,"Mismatch","OK")</f>
        <v>OK</v>
      </c>
      <c r="Y1996" s="7" t="str">
        <f aca="false">IF(AND(N1996="No",O1996&lt;&gt;""),"Unexpected: channel present but no reminder sent",IF(AND(N1996="Yes",O1996=""),"Missing channel for sent reminder","OK"))</f>
        <v>OK</v>
      </c>
    </row>
    <row r="1997" customFormat="false" ht="15" hidden="false" customHeight="false" outlineLevel="0" collapsed="false">
      <c r="A1997" s="9" t="s">
        <v>3269</v>
      </c>
      <c r="B1997" s="9" t="s">
        <v>1094</v>
      </c>
      <c r="C1997" s="9" t="s">
        <v>37</v>
      </c>
      <c r="D1997" s="9" t="n">
        <v>69</v>
      </c>
      <c r="E1997" s="9" t="s">
        <v>70</v>
      </c>
      <c r="F1997" s="9" t="s">
        <v>57</v>
      </c>
      <c r="G1997" s="10" t="n">
        <v>45613</v>
      </c>
      <c r="H1997" s="10" t="n">
        <v>45659</v>
      </c>
      <c r="I1997" s="9" t="s">
        <v>62</v>
      </c>
      <c r="J1997" s="9" t="s">
        <v>41</v>
      </c>
      <c r="K1997" s="9" t="n">
        <v>46</v>
      </c>
      <c r="L1997" s="9" t="n">
        <v>3</v>
      </c>
      <c r="M1997" s="9" t="n">
        <v>1</v>
      </c>
      <c r="N1997" s="9" t="s">
        <v>71</v>
      </c>
      <c r="O1997" s="9"/>
      <c r="P1997" s="9" t="n">
        <v>30</v>
      </c>
      <c r="Q1997" s="9" t="n">
        <v>20</v>
      </c>
      <c r="R1997" s="9" t="s">
        <v>44</v>
      </c>
      <c r="S1997" s="9"/>
      <c r="T1997" s="9"/>
      <c r="U1997" s="9" t="str">
        <f aca="false">IF(COUNTIF($A$2:$A$5001,A1997)&gt;1,"Duplicate","Unique")</f>
        <v>Unique</v>
      </c>
      <c r="V1997" s="9" t="str">
        <f aca="false">IF(COUNTIFS($B$2:$B$5001,B1997,$H$2:$H$5001,H1997,$J$2:$J$5001,J1997)&gt;1,"Possible Duplicate Booking","Unique")</f>
        <v>Unique</v>
      </c>
      <c r="W1997" s="9" t="str">
        <f aca="false">IF((H1997-G1997)&lt;&gt;K1997,"Mismatch","OK")</f>
        <v>OK</v>
      </c>
      <c r="X1997" s="9" t="str">
        <f aca="false">IF(TEXT(H1997,"dddd")&lt;&gt;I1997,"Mismatch","OK")</f>
        <v>OK</v>
      </c>
      <c r="Y1997" s="9" t="str">
        <f aca="false">IF(AND(N1997="No",O1997&lt;&gt;""),"Unexpected: channel present but no reminder sent",IF(AND(N1997="Yes",O1997=""),"Missing channel for sent reminder","OK"))</f>
        <v>OK</v>
      </c>
    </row>
    <row r="1998" customFormat="false" ht="15" hidden="false" customHeight="false" outlineLevel="0" collapsed="false">
      <c r="A1998" s="7" t="s">
        <v>3270</v>
      </c>
      <c r="B1998" s="7" t="s">
        <v>1941</v>
      </c>
      <c r="C1998" s="7" t="s">
        <v>37</v>
      </c>
      <c r="D1998" s="7" t="n">
        <v>21</v>
      </c>
      <c r="E1998" s="7" t="s">
        <v>82</v>
      </c>
      <c r="F1998" s="7" t="s">
        <v>57</v>
      </c>
      <c r="G1998" s="8" t="n">
        <v>45939</v>
      </c>
      <c r="H1998" s="8" t="n">
        <v>45959</v>
      </c>
      <c r="I1998" s="7" t="s">
        <v>58</v>
      </c>
      <c r="J1998" s="7" t="s">
        <v>63</v>
      </c>
      <c r="K1998" s="7" t="n">
        <v>20</v>
      </c>
      <c r="L1998" s="7" t="n">
        <v>3</v>
      </c>
      <c r="M1998" s="7" t="n">
        <v>3</v>
      </c>
      <c r="N1998" s="7" t="s">
        <v>71</v>
      </c>
      <c r="O1998" s="7"/>
      <c r="P1998" s="7" t="n">
        <v>3.5</v>
      </c>
      <c r="Q1998" s="7" t="n">
        <v>24</v>
      </c>
      <c r="R1998" s="7" t="s">
        <v>44</v>
      </c>
      <c r="S1998" s="7"/>
      <c r="T1998" s="7"/>
      <c r="U1998" s="7" t="str">
        <f aca="false">IF(COUNTIF($A$2:$A$5001,A1998)&gt;1,"Duplicate","Unique")</f>
        <v>Unique</v>
      </c>
      <c r="V1998" s="7" t="str">
        <f aca="false">IF(COUNTIFS($B$2:$B$5001,B1998,$H$2:$H$5001,H1998,$J$2:$J$5001,J1998)&gt;1,"Possible Duplicate Booking","Unique")</f>
        <v>Unique</v>
      </c>
      <c r="W1998" s="7" t="str">
        <f aca="false">IF((H1998-G1998)&lt;&gt;K1998,"Mismatch","OK")</f>
        <v>OK</v>
      </c>
      <c r="X1998" s="7" t="str">
        <f aca="false">IF(TEXT(H1998,"dddd")&lt;&gt;I1998,"Mismatch","OK")</f>
        <v>OK</v>
      </c>
      <c r="Y1998" s="7" t="str">
        <f aca="false">IF(AND(N1998="No",O1998&lt;&gt;""),"Unexpected: channel present but no reminder sent",IF(AND(N1998="Yes",O1998=""),"Missing channel for sent reminder","OK"))</f>
        <v>OK</v>
      </c>
    </row>
    <row r="1999" customFormat="false" ht="15" hidden="false" customHeight="false" outlineLevel="0" collapsed="false">
      <c r="A1999" s="9" t="s">
        <v>3271</v>
      </c>
      <c r="B1999" s="9" t="s">
        <v>1671</v>
      </c>
      <c r="C1999" s="9" t="s">
        <v>47</v>
      </c>
      <c r="D1999" s="9" t="n">
        <v>72</v>
      </c>
      <c r="E1999" s="9" t="s">
        <v>70</v>
      </c>
      <c r="F1999" s="9" t="s">
        <v>57</v>
      </c>
      <c r="G1999" s="10" t="n">
        <v>46177</v>
      </c>
      <c r="H1999" s="10" t="n">
        <v>46200</v>
      </c>
      <c r="I1999" s="9" t="s">
        <v>102</v>
      </c>
      <c r="J1999" s="9" t="s">
        <v>51</v>
      </c>
      <c r="K1999" s="9" t="n">
        <v>23</v>
      </c>
      <c r="L1999" s="9" t="n">
        <v>4</v>
      </c>
      <c r="M1999" s="9" t="n">
        <v>0</v>
      </c>
      <c r="N1999" s="9" t="s">
        <v>42</v>
      </c>
      <c r="O1999" s="9" t="s">
        <v>52</v>
      </c>
      <c r="P1999" s="9" t="n">
        <v>9.9</v>
      </c>
      <c r="Q1999" s="9" t="n">
        <v>18</v>
      </c>
      <c r="R1999" s="9" t="s">
        <v>53</v>
      </c>
      <c r="S1999" s="9"/>
      <c r="T1999" s="9"/>
      <c r="U1999" s="9" t="str">
        <f aca="false">IF(COUNTIF($A$2:$A$5001,A1999)&gt;1,"Duplicate","Unique")</f>
        <v>Unique</v>
      </c>
      <c r="V1999" s="9" t="str">
        <f aca="false">IF(COUNTIFS($B$2:$B$5001,B1999,$H$2:$H$5001,H1999,$J$2:$J$5001,J1999)&gt;1,"Possible Duplicate Booking","Unique")</f>
        <v>Unique</v>
      </c>
      <c r="W1999" s="9" t="str">
        <f aca="false">IF((H1999-G1999)&lt;&gt;K1999,"Mismatch","OK")</f>
        <v>OK</v>
      </c>
      <c r="X1999" s="9" t="str">
        <f aca="false">IF(TEXT(H1999,"dddd")&lt;&gt;I1999,"Mismatch","OK")</f>
        <v>OK</v>
      </c>
      <c r="Y1999" s="9" t="str">
        <f aca="false">IF(AND(N1999="No",O1999&lt;&gt;""),"Unexpected: channel present but no reminder sent",IF(AND(N1999="Yes",O1999=""),"Missing channel for sent reminder","OK"))</f>
        <v>OK</v>
      </c>
    </row>
    <row r="2000" customFormat="false" ht="15" hidden="false" customHeight="false" outlineLevel="0" collapsed="false">
      <c r="A2000" s="7" t="s">
        <v>3272</v>
      </c>
      <c r="B2000" s="7" t="s">
        <v>252</v>
      </c>
      <c r="C2000" s="7" t="s">
        <v>37</v>
      </c>
      <c r="D2000" s="7" t="n">
        <v>40</v>
      </c>
      <c r="E2000" s="7" t="s">
        <v>38</v>
      </c>
      <c r="F2000" s="7" t="s">
        <v>74</v>
      </c>
      <c r="G2000" s="8" t="n">
        <v>45786</v>
      </c>
      <c r="H2000" s="8" t="n">
        <v>45811</v>
      </c>
      <c r="I2000" s="7" t="s">
        <v>40</v>
      </c>
      <c r="J2000" s="7" t="s">
        <v>41</v>
      </c>
      <c r="K2000" s="7" t="n">
        <v>25</v>
      </c>
      <c r="L2000" s="7" t="n">
        <v>5</v>
      </c>
      <c r="M2000" s="7" t="n">
        <v>2</v>
      </c>
      <c r="N2000" s="7" t="s">
        <v>71</v>
      </c>
      <c r="O2000" s="7"/>
      <c r="P2000" s="7" t="n">
        <v>13.3</v>
      </c>
      <c r="Q2000" s="7" t="n">
        <v>28</v>
      </c>
      <c r="R2000" s="7" t="s">
        <v>53</v>
      </c>
      <c r="S2000" s="7"/>
      <c r="T2000" s="7"/>
      <c r="U2000" s="7" t="str">
        <f aca="false">IF(COUNTIF($A$2:$A$5001,A2000)&gt;1,"Duplicate","Unique")</f>
        <v>Unique</v>
      </c>
      <c r="V2000" s="7" t="str">
        <f aca="false">IF(COUNTIFS($B$2:$B$5001,B2000,$H$2:$H$5001,H2000,$J$2:$J$5001,J2000)&gt;1,"Possible Duplicate Booking","Unique")</f>
        <v>Unique</v>
      </c>
      <c r="W2000" s="7" t="str">
        <f aca="false">IF((H2000-G2000)&lt;&gt;K2000,"Mismatch","OK")</f>
        <v>OK</v>
      </c>
      <c r="X2000" s="7" t="str">
        <f aca="false">IF(TEXT(H2000,"dddd")&lt;&gt;I2000,"Mismatch","OK")</f>
        <v>OK</v>
      </c>
      <c r="Y2000" s="7" t="str">
        <f aca="false">IF(AND(N2000="No",O2000&lt;&gt;""),"Unexpected: channel present but no reminder sent",IF(AND(N2000="Yes",O2000=""),"Missing channel for sent reminder","OK"))</f>
        <v>OK</v>
      </c>
    </row>
    <row r="2001" customFormat="false" ht="15" hidden="false" customHeight="false" outlineLevel="0" collapsed="false">
      <c r="A2001" s="9" t="s">
        <v>3273</v>
      </c>
      <c r="B2001" s="9" t="s">
        <v>2182</v>
      </c>
      <c r="C2001" s="9" t="s">
        <v>47</v>
      </c>
      <c r="D2001" s="9" t="n">
        <v>69</v>
      </c>
      <c r="E2001" s="9" t="s">
        <v>70</v>
      </c>
      <c r="F2001" s="9" t="s">
        <v>57</v>
      </c>
      <c r="G2001" s="10" t="n">
        <v>45759</v>
      </c>
      <c r="H2001" s="10" t="n">
        <v>45811</v>
      </c>
      <c r="I2001" s="9" t="s">
        <v>40</v>
      </c>
      <c r="J2001" s="9" t="s">
        <v>63</v>
      </c>
      <c r="K2001" s="9" t="n">
        <v>52</v>
      </c>
      <c r="L2001" s="9" t="n">
        <v>4</v>
      </c>
      <c r="M2001" s="9" t="n">
        <v>1</v>
      </c>
      <c r="N2001" s="9" t="s">
        <v>71</v>
      </c>
      <c r="O2001" s="9"/>
      <c r="P2001" s="9" t="n">
        <v>3.7</v>
      </c>
      <c r="Q2001" s="9" t="n">
        <v>39</v>
      </c>
      <c r="R2001" s="9" t="s">
        <v>53</v>
      </c>
      <c r="S2001" s="9"/>
      <c r="T2001" s="9"/>
      <c r="U2001" s="9" t="str">
        <f aca="false">IF(COUNTIF($A$2:$A$5001,A2001)&gt;1,"Duplicate","Unique")</f>
        <v>Unique</v>
      </c>
      <c r="V2001" s="9" t="str">
        <f aca="false">IF(COUNTIFS($B$2:$B$5001,B2001,$H$2:$H$5001,H2001,$J$2:$J$5001,J2001)&gt;1,"Possible Duplicate Booking","Unique")</f>
        <v>Unique</v>
      </c>
      <c r="W2001" s="9" t="str">
        <f aca="false">IF((H2001-G2001)&lt;&gt;K2001,"Mismatch","OK")</f>
        <v>OK</v>
      </c>
      <c r="X2001" s="9" t="str">
        <f aca="false">IF(TEXT(H2001,"dddd")&lt;&gt;I2001,"Mismatch","OK")</f>
        <v>OK</v>
      </c>
      <c r="Y2001" s="9" t="str">
        <f aca="false">IF(AND(N2001="No",O2001&lt;&gt;""),"Unexpected: channel present but no reminder sent",IF(AND(N2001="Yes",O2001=""),"Missing channel for sent reminder","OK"))</f>
        <v>OK</v>
      </c>
    </row>
    <row r="2002" customFormat="false" ht="15" hidden="false" customHeight="false" outlineLevel="0" collapsed="false">
      <c r="A2002" s="7" t="s">
        <v>3274</v>
      </c>
      <c r="B2002" s="7" t="s">
        <v>2460</v>
      </c>
      <c r="C2002" s="7" t="s">
        <v>47</v>
      </c>
      <c r="D2002" s="7" t="n">
        <v>49</v>
      </c>
      <c r="E2002" s="7" t="s">
        <v>56</v>
      </c>
      <c r="F2002" s="7" t="s">
        <v>39</v>
      </c>
      <c r="G2002" s="8" t="n">
        <v>46083</v>
      </c>
      <c r="H2002" s="8" t="n">
        <v>46137</v>
      </c>
      <c r="I2002" s="7" t="s">
        <v>102</v>
      </c>
      <c r="J2002" s="7" t="s">
        <v>51</v>
      </c>
      <c r="K2002" s="7" t="n">
        <v>54</v>
      </c>
      <c r="L2002" s="7" t="n">
        <v>3</v>
      </c>
      <c r="M2002" s="7" t="n">
        <v>2</v>
      </c>
      <c r="N2002" s="7" t="s">
        <v>71</v>
      </c>
      <c r="O2002" s="7"/>
      <c r="P2002" s="7" t="n">
        <v>2.2</v>
      </c>
      <c r="Q2002" s="7" t="n">
        <v>26</v>
      </c>
      <c r="R2002" s="7" t="s">
        <v>44</v>
      </c>
      <c r="S2002" s="7"/>
      <c r="T2002" s="7"/>
      <c r="U2002" s="7" t="str">
        <f aca="false">IF(COUNTIF($A$2:$A$5001,A2002)&gt;1,"Duplicate","Unique")</f>
        <v>Unique</v>
      </c>
      <c r="V2002" s="7" t="str">
        <f aca="false">IF(COUNTIFS($B$2:$B$5001,B2002,$H$2:$H$5001,H2002,$J$2:$J$5001,J2002)&gt;1,"Possible Duplicate Booking","Unique")</f>
        <v>Unique</v>
      </c>
      <c r="W2002" s="7" t="str">
        <f aca="false">IF((H2002-G2002)&lt;&gt;K2002,"Mismatch","OK")</f>
        <v>OK</v>
      </c>
      <c r="X2002" s="7" t="str">
        <f aca="false">IF(TEXT(H2002,"dddd")&lt;&gt;I2002,"Mismatch","OK")</f>
        <v>OK</v>
      </c>
      <c r="Y2002" s="7" t="str">
        <f aca="false">IF(AND(N2002="No",O2002&lt;&gt;""),"Unexpected: channel present but no reminder sent",IF(AND(N2002="Yes",O2002=""),"Missing channel for sent reminder","OK"))</f>
        <v>OK</v>
      </c>
    </row>
    <row r="2003" customFormat="false" ht="15" hidden="false" customHeight="false" outlineLevel="0" collapsed="false">
      <c r="A2003" s="9" t="s">
        <v>3275</v>
      </c>
      <c r="B2003" s="9" t="s">
        <v>3276</v>
      </c>
      <c r="C2003" s="9" t="s">
        <v>37</v>
      </c>
      <c r="D2003" s="9" t="n">
        <v>46</v>
      </c>
      <c r="E2003" s="9" t="s">
        <v>56</v>
      </c>
      <c r="F2003" s="9" t="s">
        <v>39</v>
      </c>
      <c r="G2003" s="10" t="n">
        <v>45666</v>
      </c>
      <c r="H2003" s="10" t="n">
        <v>45691</v>
      </c>
      <c r="I2003" s="9" t="s">
        <v>66</v>
      </c>
      <c r="J2003" s="9" t="s">
        <v>63</v>
      </c>
      <c r="K2003" s="9" t="n">
        <v>25</v>
      </c>
      <c r="L2003" s="9" t="n">
        <v>1</v>
      </c>
      <c r="M2003" s="9" t="n">
        <v>0</v>
      </c>
      <c r="N2003" s="9" t="s">
        <v>42</v>
      </c>
      <c r="O2003" s="9" t="s">
        <v>52</v>
      </c>
      <c r="P2003" s="9" t="n">
        <v>13.4</v>
      </c>
      <c r="Q2003" s="9" t="n">
        <v>6</v>
      </c>
      <c r="R2003" s="9" t="s">
        <v>44</v>
      </c>
      <c r="S2003" s="9"/>
      <c r="T2003" s="9"/>
      <c r="U2003" s="9" t="str">
        <f aca="false">IF(COUNTIF($A$2:$A$5001,A2003)&gt;1,"Duplicate","Unique")</f>
        <v>Unique</v>
      </c>
      <c r="V2003" s="9" t="str">
        <f aca="false">IF(COUNTIFS($B$2:$B$5001,B2003,$H$2:$H$5001,H2003,$J$2:$J$5001,J2003)&gt;1,"Possible Duplicate Booking","Unique")</f>
        <v>Unique</v>
      </c>
      <c r="W2003" s="9" t="str">
        <f aca="false">IF((H2003-G2003)&lt;&gt;K2003,"Mismatch","OK")</f>
        <v>OK</v>
      </c>
      <c r="X2003" s="9" t="str">
        <f aca="false">IF(TEXT(H2003,"dddd")&lt;&gt;I2003,"Mismatch","OK")</f>
        <v>OK</v>
      </c>
      <c r="Y2003" s="9" t="str">
        <f aca="false">IF(AND(N2003="No",O2003&lt;&gt;""),"Unexpected: channel present but no reminder sent",IF(AND(N2003="Yes",O2003=""),"Missing channel for sent reminder","OK"))</f>
        <v>OK</v>
      </c>
    </row>
    <row r="2004" customFormat="false" ht="15" hidden="false" customHeight="false" outlineLevel="0" collapsed="false">
      <c r="A2004" s="7" t="s">
        <v>3277</v>
      </c>
      <c r="B2004" s="7" t="s">
        <v>3278</v>
      </c>
      <c r="C2004" s="7" t="s">
        <v>47</v>
      </c>
      <c r="D2004" s="7" t="n">
        <v>22</v>
      </c>
      <c r="E2004" s="7" t="s">
        <v>82</v>
      </c>
      <c r="F2004" s="7" t="s">
        <v>39</v>
      </c>
      <c r="G2004" s="8" t="n">
        <v>45816</v>
      </c>
      <c r="H2004" s="8" t="n">
        <v>45875</v>
      </c>
      <c r="I2004" s="7" t="s">
        <v>58</v>
      </c>
      <c r="J2004" s="7" t="s">
        <v>41</v>
      </c>
      <c r="K2004" s="7" t="n">
        <v>59</v>
      </c>
      <c r="L2004" s="7" t="n">
        <v>7</v>
      </c>
      <c r="M2004" s="7" t="n">
        <v>2</v>
      </c>
      <c r="N2004" s="7" t="s">
        <v>71</v>
      </c>
      <c r="O2004" s="7"/>
      <c r="P2004" s="7" t="n">
        <v>30.3</v>
      </c>
      <c r="Q2004" s="7" t="n">
        <v>24</v>
      </c>
      <c r="R2004" s="7" t="s">
        <v>53</v>
      </c>
      <c r="S2004" s="7"/>
      <c r="T2004" s="7"/>
      <c r="U2004" s="7" t="str">
        <f aca="false">IF(COUNTIF($A$2:$A$5001,A2004)&gt;1,"Duplicate","Unique")</f>
        <v>Unique</v>
      </c>
      <c r="V2004" s="7" t="str">
        <f aca="false">IF(COUNTIFS($B$2:$B$5001,B2004,$H$2:$H$5001,H2004,$J$2:$J$5001,J2004)&gt;1,"Possible Duplicate Booking","Unique")</f>
        <v>Unique</v>
      </c>
      <c r="W2004" s="7" t="str">
        <f aca="false">IF((H2004-G2004)&lt;&gt;K2004,"Mismatch","OK")</f>
        <v>OK</v>
      </c>
      <c r="X2004" s="7" t="str">
        <f aca="false">IF(TEXT(H2004,"dddd")&lt;&gt;I2004,"Mismatch","OK")</f>
        <v>OK</v>
      </c>
      <c r="Y2004" s="7" t="str">
        <f aca="false">IF(AND(N2004="No",O2004&lt;&gt;""),"Unexpected: channel present but no reminder sent",IF(AND(N2004="Yes",O2004=""),"Missing channel for sent reminder","OK"))</f>
        <v>OK</v>
      </c>
    </row>
    <row r="2005" customFormat="false" ht="15" hidden="false" customHeight="false" outlineLevel="0" collapsed="false">
      <c r="A2005" s="9" t="s">
        <v>3279</v>
      </c>
      <c r="B2005" s="9" t="s">
        <v>1529</v>
      </c>
      <c r="C2005" s="9" t="s">
        <v>236</v>
      </c>
      <c r="D2005" s="9" t="n">
        <v>25</v>
      </c>
      <c r="E2005" s="9" t="s">
        <v>48</v>
      </c>
      <c r="F2005" s="9" t="s">
        <v>57</v>
      </c>
      <c r="G2005" s="10" t="n">
        <v>45874</v>
      </c>
      <c r="H2005" s="10" t="n">
        <v>45908</v>
      </c>
      <c r="I2005" s="9" t="s">
        <v>66</v>
      </c>
      <c r="J2005" s="9" t="s">
        <v>63</v>
      </c>
      <c r="K2005" s="9" t="n">
        <v>34</v>
      </c>
      <c r="L2005" s="9" t="n">
        <v>4</v>
      </c>
      <c r="M2005" s="9" t="n">
        <v>2</v>
      </c>
      <c r="N2005" s="9" t="s">
        <v>42</v>
      </c>
      <c r="O2005" s="9" t="s">
        <v>52</v>
      </c>
      <c r="P2005" s="9" t="n">
        <v>1.7</v>
      </c>
      <c r="Q2005" s="9" t="n">
        <v>26</v>
      </c>
      <c r="R2005" s="9" t="s">
        <v>53</v>
      </c>
      <c r="S2005" s="9"/>
      <c r="T2005" s="9"/>
      <c r="U2005" s="9" t="str">
        <f aca="false">IF(COUNTIF($A$2:$A$5001,A2005)&gt;1,"Duplicate","Unique")</f>
        <v>Unique</v>
      </c>
      <c r="V2005" s="9" t="str">
        <f aca="false">IF(COUNTIFS($B$2:$B$5001,B2005,$H$2:$H$5001,H2005,$J$2:$J$5001,J2005)&gt;1,"Possible Duplicate Booking","Unique")</f>
        <v>Unique</v>
      </c>
      <c r="W2005" s="9" t="str">
        <f aca="false">IF((H2005-G2005)&lt;&gt;K2005,"Mismatch","OK")</f>
        <v>OK</v>
      </c>
      <c r="X2005" s="9" t="str">
        <f aca="false">IF(TEXT(H2005,"dddd")&lt;&gt;I2005,"Mismatch","OK")</f>
        <v>OK</v>
      </c>
      <c r="Y2005" s="9" t="str">
        <f aca="false">IF(AND(N2005="No",O2005&lt;&gt;""),"Unexpected: channel present but no reminder sent",IF(AND(N2005="Yes",O2005=""),"Missing channel for sent reminder","OK"))</f>
        <v>OK</v>
      </c>
    </row>
    <row r="2006" customFormat="false" ht="15" hidden="false" customHeight="false" outlineLevel="0" collapsed="false">
      <c r="A2006" s="7" t="s">
        <v>3280</v>
      </c>
      <c r="B2006" s="7" t="s">
        <v>3281</v>
      </c>
      <c r="C2006" s="7" t="s">
        <v>47</v>
      </c>
      <c r="D2006" s="7" t="n">
        <v>55</v>
      </c>
      <c r="E2006" s="7" t="s">
        <v>61</v>
      </c>
      <c r="F2006" s="7" t="s">
        <v>39</v>
      </c>
      <c r="G2006" s="8" t="n">
        <v>46070</v>
      </c>
      <c r="H2006" s="8" t="n">
        <v>46093</v>
      </c>
      <c r="I2006" s="7" t="s">
        <v>62</v>
      </c>
      <c r="J2006" s="7" t="s">
        <v>41</v>
      </c>
      <c r="K2006" s="7" t="n">
        <v>23</v>
      </c>
      <c r="L2006" s="7" t="n">
        <v>4</v>
      </c>
      <c r="M2006" s="7" t="n">
        <v>1</v>
      </c>
      <c r="N2006" s="7" t="s">
        <v>71</v>
      </c>
      <c r="O2006" s="7"/>
      <c r="P2006" s="7" t="n">
        <v>30.2</v>
      </c>
      <c r="Q2006" s="7" t="n">
        <v>23</v>
      </c>
      <c r="R2006" s="7" t="s">
        <v>44</v>
      </c>
      <c r="S2006" s="7"/>
      <c r="T2006" s="7"/>
      <c r="U2006" s="7" t="str">
        <f aca="false">IF(COUNTIF($A$2:$A$5001,A2006)&gt;1,"Duplicate","Unique")</f>
        <v>Unique</v>
      </c>
      <c r="V2006" s="7" t="str">
        <f aca="false">IF(COUNTIFS($B$2:$B$5001,B2006,$H$2:$H$5001,H2006,$J$2:$J$5001,J2006)&gt;1,"Possible Duplicate Booking","Unique")</f>
        <v>Unique</v>
      </c>
      <c r="W2006" s="7" t="str">
        <f aca="false">IF((H2006-G2006)&lt;&gt;K2006,"Mismatch","OK")</f>
        <v>OK</v>
      </c>
      <c r="X2006" s="7" t="str">
        <f aca="false">IF(TEXT(H2006,"dddd")&lt;&gt;I2006,"Mismatch","OK")</f>
        <v>OK</v>
      </c>
      <c r="Y2006" s="7" t="str">
        <f aca="false">IF(AND(N2006="No",O2006&lt;&gt;""),"Unexpected: channel present but no reminder sent",IF(AND(N2006="Yes",O2006=""),"Missing channel for sent reminder","OK"))</f>
        <v>OK</v>
      </c>
    </row>
    <row r="2007" customFormat="false" ht="15" hidden="false" customHeight="false" outlineLevel="0" collapsed="false">
      <c r="A2007" s="9" t="s">
        <v>3282</v>
      </c>
      <c r="B2007" s="9" t="s">
        <v>3283</v>
      </c>
      <c r="C2007" s="9" t="s">
        <v>47</v>
      </c>
      <c r="D2007" s="9" t="n">
        <v>53</v>
      </c>
      <c r="E2007" s="9" t="s">
        <v>56</v>
      </c>
      <c r="F2007" s="9" t="s">
        <v>39</v>
      </c>
      <c r="G2007" s="10" t="n">
        <v>45728</v>
      </c>
      <c r="H2007" s="10" t="n">
        <v>45728</v>
      </c>
      <c r="I2007" s="9" t="s">
        <v>58</v>
      </c>
      <c r="J2007" s="9" t="s">
        <v>41</v>
      </c>
      <c r="K2007" s="9" t="n">
        <v>0</v>
      </c>
      <c r="L2007" s="9" t="n">
        <v>9</v>
      </c>
      <c r="M2007" s="9" t="n">
        <v>3</v>
      </c>
      <c r="N2007" s="9" t="s">
        <v>42</v>
      </c>
      <c r="O2007" s="9" t="s">
        <v>52</v>
      </c>
      <c r="P2007" s="9" t="n">
        <v>13.7</v>
      </c>
      <c r="Q2007" s="9" t="n">
        <v>16</v>
      </c>
      <c r="R2007" s="9" t="s">
        <v>53</v>
      </c>
      <c r="S2007" s="9"/>
      <c r="T2007" s="9"/>
      <c r="U2007" s="9" t="str">
        <f aca="false">IF(COUNTIF($A$2:$A$5001,A2007)&gt;1,"Duplicate","Unique")</f>
        <v>Unique</v>
      </c>
      <c r="V2007" s="9" t="str">
        <f aca="false">IF(COUNTIFS($B$2:$B$5001,B2007,$H$2:$H$5001,H2007,$J$2:$J$5001,J2007)&gt;1,"Possible Duplicate Booking","Unique")</f>
        <v>Unique</v>
      </c>
      <c r="W2007" s="9" t="str">
        <f aca="false">IF((H2007-G2007)&lt;&gt;K2007,"Mismatch","OK")</f>
        <v>OK</v>
      </c>
      <c r="X2007" s="9" t="str">
        <f aca="false">IF(TEXT(H2007,"dddd")&lt;&gt;I2007,"Mismatch","OK")</f>
        <v>OK</v>
      </c>
      <c r="Y2007" s="9" t="str">
        <f aca="false">IF(AND(N2007="No",O2007&lt;&gt;""),"Unexpected: channel present but no reminder sent",IF(AND(N2007="Yes",O2007=""),"Missing channel for sent reminder","OK"))</f>
        <v>OK</v>
      </c>
    </row>
    <row r="2008" customFormat="false" ht="15" hidden="false" customHeight="false" outlineLevel="0" collapsed="false">
      <c r="A2008" s="7" t="s">
        <v>3284</v>
      </c>
      <c r="B2008" s="7" t="s">
        <v>2489</v>
      </c>
      <c r="C2008" s="7" t="s">
        <v>47</v>
      </c>
      <c r="D2008" s="7" t="n">
        <v>52</v>
      </c>
      <c r="E2008" s="7" t="s">
        <v>56</v>
      </c>
      <c r="F2008" s="7" t="s">
        <v>39</v>
      </c>
      <c r="G2008" s="8" t="n">
        <v>45857</v>
      </c>
      <c r="H2008" s="8" t="n">
        <v>45894</v>
      </c>
      <c r="I2008" s="7" t="s">
        <v>66</v>
      </c>
      <c r="J2008" s="7" t="s">
        <v>41</v>
      </c>
      <c r="K2008" s="7" t="n">
        <v>37</v>
      </c>
      <c r="L2008" s="7" t="n">
        <v>1</v>
      </c>
      <c r="M2008" s="7" t="n">
        <v>0</v>
      </c>
      <c r="N2008" s="7" t="s">
        <v>71</v>
      </c>
      <c r="O2008" s="7"/>
      <c r="P2008" s="7" t="n">
        <v>8.4</v>
      </c>
      <c r="Q2008" s="7" t="n">
        <v>23</v>
      </c>
      <c r="R2008" s="7" t="s">
        <v>44</v>
      </c>
      <c r="S2008" s="7"/>
      <c r="T2008" s="7"/>
      <c r="U2008" s="7" t="str">
        <f aca="false">IF(COUNTIF($A$2:$A$5001,A2008)&gt;1,"Duplicate","Unique")</f>
        <v>Unique</v>
      </c>
      <c r="V2008" s="7" t="str">
        <f aca="false">IF(COUNTIFS($B$2:$B$5001,B2008,$H$2:$H$5001,H2008,$J$2:$J$5001,J2008)&gt;1,"Possible Duplicate Booking","Unique")</f>
        <v>Unique</v>
      </c>
      <c r="W2008" s="7" t="str">
        <f aca="false">IF((H2008-G2008)&lt;&gt;K2008,"Mismatch","OK")</f>
        <v>OK</v>
      </c>
      <c r="X2008" s="7" t="str">
        <f aca="false">IF(TEXT(H2008,"dddd")&lt;&gt;I2008,"Mismatch","OK")</f>
        <v>OK</v>
      </c>
      <c r="Y2008" s="7" t="str">
        <f aca="false">IF(AND(N2008="No",O2008&lt;&gt;""),"Unexpected: channel present but no reminder sent",IF(AND(N2008="Yes",O2008=""),"Missing channel for sent reminder","OK"))</f>
        <v>OK</v>
      </c>
    </row>
    <row r="2009" customFormat="false" ht="15" hidden="false" customHeight="false" outlineLevel="0" collapsed="false">
      <c r="A2009" s="9" t="s">
        <v>3285</v>
      </c>
      <c r="B2009" s="9" t="s">
        <v>1051</v>
      </c>
      <c r="C2009" s="9" t="s">
        <v>47</v>
      </c>
      <c r="D2009" s="9" t="n">
        <v>27</v>
      </c>
      <c r="E2009" s="9" t="s">
        <v>48</v>
      </c>
      <c r="F2009" s="9" t="s">
        <v>57</v>
      </c>
      <c r="G2009" s="10" t="n">
        <v>45702</v>
      </c>
      <c r="H2009" s="10" t="n">
        <v>45741</v>
      </c>
      <c r="I2009" s="9" t="s">
        <v>40</v>
      </c>
      <c r="J2009" s="9" t="s">
        <v>51</v>
      </c>
      <c r="K2009" s="9" t="n">
        <v>39</v>
      </c>
      <c r="L2009" s="9" t="n">
        <v>6</v>
      </c>
      <c r="M2009" s="9" t="n">
        <v>0</v>
      </c>
      <c r="N2009" s="9" t="s">
        <v>71</v>
      </c>
      <c r="O2009" s="9"/>
      <c r="P2009" s="9" t="n">
        <v>14.9</v>
      </c>
      <c r="Q2009" s="9" t="n">
        <v>33</v>
      </c>
      <c r="R2009" s="9" t="s">
        <v>53</v>
      </c>
      <c r="S2009" s="9"/>
      <c r="T2009" s="9"/>
      <c r="U2009" s="9" t="str">
        <f aca="false">IF(COUNTIF($A$2:$A$5001,A2009)&gt;1,"Duplicate","Unique")</f>
        <v>Unique</v>
      </c>
      <c r="V2009" s="9" t="str">
        <f aca="false">IF(COUNTIFS($B$2:$B$5001,B2009,$H$2:$H$5001,H2009,$J$2:$J$5001,J2009)&gt;1,"Possible Duplicate Booking","Unique")</f>
        <v>Unique</v>
      </c>
      <c r="W2009" s="9" t="str">
        <f aca="false">IF((H2009-G2009)&lt;&gt;K2009,"Mismatch","OK")</f>
        <v>OK</v>
      </c>
      <c r="X2009" s="9" t="str">
        <f aca="false">IF(TEXT(H2009,"dddd")&lt;&gt;I2009,"Mismatch","OK")</f>
        <v>OK</v>
      </c>
      <c r="Y2009" s="9" t="str">
        <f aca="false">IF(AND(N2009="No",O2009&lt;&gt;""),"Unexpected: channel present but no reminder sent",IF(AND(N2009="Yes",O2009=""),"Missing channel for sent reminder","OK"))</f>
        <v>OK</v>
      </c>
    </row>
    <row r="2010" customFormat="false" ht="15" hidden="false" customHeight="false" outlineLevel="0" collapsed="false">
      <c r="A2010" s="7" t="s">
        <v>3286</v>
      </c>
      <c r="B2010" s="7" t="s">
        <v>3287</v>
      </c>
      <c r="C2010" s="7" t="s">
        <v>37</v>
      </c>
      <c r="D2010" s="7" t="n">
        <v>50</v>
      </c>
      <c r="E2010" s="7" t="s">
        <v>56</v>
      </c>
      <c r="F2010" s="7" t="s">
        <v>49</v>
      </c>
      <c r="G2010" s="8" t="n">
        <v>46029</v>
      </c>
      <c r="H2010" s="8" t="n">
        <v>46088</v>
      </c>
      <c r="I2010" s="7" t="s">
        <v>102</v>
      </c>
      <c r="J2010" s="7" t="s">
        <v>41</v>
      </c>
      <c r="K2010" s="7" t="n">
        <v>59</v>
      </c>
      <c r="L2010" s="7" t="n">
        <v>5</v>
      </c>
      <c r="M2010" s="7" t="n">
        <v>1</v>
      </c>
      <c r="N2010" s="7" t="s">
        <v>42</v>
      </c>
      <c r="O2010" s="7" t="s">
        <v>67</v>
      </c>
      <c r="P2010" s="7" t="n">
        <v>17.7</v>
      </c>
      <c r="Q2010" s="7" t="n">
        <v>21</v>
      </c>
      <c r="R2010" s="7" t="s">
        <v>44</v>
      </c>
      <c r="S2010" s="7"/>
      <c r="T2010" s="7"/>
      <c r="U2010" s="7" t="str">
        <f aca="false">IF(COUNTIF($A$2:$A$5001,A2010)&gt;1,"Duplicate","Unique")</f>
        <v>Unique</v>
      </c>
      <c r="V2010" s="7" t="str">
        <f aca="false">IF(COUNTIFS($B$2:$B$5001,B2010,$H$2:$H$5001,H2010,$J$2:$J$5001,J2010)&gt;1,"Possible Duplicate Booking","Unique")</f>
        <v>Unique</v>
      </c>
      <c r="W2010" s="7" t="str">
        <f aca="false">IF((H2010-G2010)&lt;&gt;K2010,"Mismatch","OK")</f>
        <v>OK</v>
      </c>
      <c r="X2010" s="7" t="str">
        <f aca="false">IF(TEXT(H2010,"dddd")&lt;&gt;I2010,"Mismatch","OK")</f>
        <v>OK</v>
      </c>
      <c r="Y2010" s="7" t="str">
        <f aca="false">IF(AND(N2010="No",O2010&lt;&gt;""),"Unexpected: channel present but no reminder sent",IF(AND(N2010="Yes",O2010=""),"Missing channel for sent reminder","OK"))</f>
        <v>OK</v>
      </c>
    </row>
    <row r="2011" customFormat="false" ht="15" hidden="false" customHeight="false" outlineLevel="0" collapsed="false">
      <c r="A2011" s="9" t="s">
        <v>3288</v>
      </c>
      <c r="B2011" s="9" t="s">
        <v>2887</v>
      </c>
      <c r="C2011" s="9" t="s">
        <v>47</v>
      </c>
      <c r="D2011" s="9" t="n">
        <v>21</v>
      </c>
      <c r="E2011" s="9" t="s">
        <v>82</v>
      </c>
      <c r="F2011" s="9" t="s">
        <v>57</v>
      </c>
      <c r="G2011" s="10" t="n">
        <v>45960</v>
      </c>
      <c r="H2011" s="10" t="n">
        <v>46003</v>
      </c>
      <c r="I2011" s="9" t="s">
        <v>50</v>
      </c>
      <c r="J2011" s="9" t="s">
        <v>63</v>
      </c>
      <c r="K2011" s="9" t="n">
        <v>43</v>
      </c>
      <c r="L2011" s="9" t="n">
        <v>5</v>
      </c>
      <c r="M2011" s="9" t="n">
        <v>0</v>
      </c>
      <c r="N2011" s="9" t="s">
        <v>42</v>
      </c>
      <c r="O2011" s="9" t="s">
        <v>52</v>
      </c>
      <c r="P2011" s="9" t="n">
        <v>7.5</v>
      </c>
      <c r="Q2011" s="9" t="n">
        <v>39</v>
      </c>
      <c r="R2011" s="9" t="s">
        <v>53</v>
      </c>
      <c r="S2011" s="9"/>
      <c r="T2011" s="9"/>
      <c r="U2011" s="9" t="str">
        <f aca="false">IF(COUNTIF($A$2:$A$5001,A2011)&gt;1,"Duplicate","Unique")</f>
        <v>Unique</v>
      </c>
      <c r="V2011" s="9" t="str">
        <f aca="false">IF(COUNTIFS($B$2:$B$5001,B2011,$H$2:$H$5001,H2011,$J$2:$J$5001,J2011)&gt;1,"Possible Duplicate Booking","Unique")</f>
        <v>Unique</v>
      </c>
      <c r="W2011" s="9" t="str">
        <f aca="false">IF((H2011-G2011)&lt;&gt;K2011,"Mismatch","OK")</f>
        <v>OK</v>
      </c>
      <c r="X2011" s="9" t="str">
        <f aca="false">IF(TEXT(H2011,"dddd")&lt;&gt;I2011,"Mismatch","OK")</f>
        <v>OK</v>
      </c>
      <c r="Y2011" s="9" t="str">
        <f aca="false">IF(AND(N2011="No",O2011&lt;&gt;""),"Unexpected: channel present but no reminder sent",IF(AND(N2011="Yes",O2011=""),"Missing channel for sent reminder","OK"))</f>
        <v>OK</v>
      </c>
    </row>
    <row r="2012" customFormat="false" ht="15" hidden="false" customHeight="false" outlineLevel="0" collapsed="false">
      <c r="A2012" s="7" t="s">
        <v>3289</v>
      </c>
      <c r="B2012" s="7" t="s">
        <v>722</v>
      </c>
      <c r="C2012" s="7" t="s">
        <v>37</v>
      </c>
      <c r="D2012" s="7" t="n">
        <v>27</v>
      </c>
      <c r="E2012" s="7" t="s">
        <v>48</v>
      </c>
      <c r="F2012" s="7" t="s">
        <v>39</v>
      </c>
      <c r="G2012" s="8" t="n">
        <v>45928</v>
      </c>
      <c r="H2012" s="8" t="n">
        <v>45929</v>
      </c>
      <c r="I2012" s="7" t="s">
        <v>66</v>
      </c>
      <c r="J2012" s="7" t="s">
        <v>63</v>
      </c>
      <c r="K2012" s="7" t="n">
        <v>1</v>
      </c>
      <c r="L2012" s="7" t="n">
        <v>2</v>
      </c>
      <c r="M2012" s="7" t="n">
        <v>0</v>
      </c>
      <c r="N2012" s="7" t="s">
        <v>42</v>
      </c>
      <c r="O2012" s="7" t="s">
        <v>52</v>
      </c>
      <c r="P2012" s="7" t="n">
        <v>35.7</v>
      </c>
      <c r="Q2012" s="7" t="n">
        <v>17</v>
      </c>
      <c r="R2012" s="7" t="s">
        <v>44</v>
      </c>
      <c r="S2012" s="7"/>
      <c r="T2012" s="7"/>
      <c r="U2012" s="7" t="str">
        <f aca="false">IF(COUNTIF($A$2:$A$5001,A2012)&gt;1,"Duplicate","Unique")</f>
        <v>Unique</v>
      </c>
      <c r="V2012" s="7" t="str">
        <f aca="false">IF(COUNTIFS($B$2:$B$5001,B2012,$H$2:$H$5001,H2012,$J$2:$J$5001,J2012)&gt;1,"Possible Duplicate Booking","Unique")</f>
        <v>Unique</v>
      </c>
      <c r="W2012" s="7" t="str">
        <f aca="false">IF((H2012-G2012)&lt;&gt;K2012,"Mismatch","OK")</f>
        <v>OK</v>
      </c>
      <c r="X2012" s="7" t="str">
        <f aca="false">IF(TEXT(H2012,"dddd")&lt;&gt;I2012,"Mismatch","OK")</f>
        <v>OK</v>
      </c>
      <c r="Y2012" s="7" t="str">
        <f aca="false">IF(AND(N2012="No",O2012&lt;&gt;""),"Unexpected: channel present but no reminder sent",IF(AND(N2012="Yes",O2012=""),"Missing channel for sent reminder","OK"))</f>
        <v>OK</v>
      </c>
    </row>
    <row r="2013" customFormat="false" ht="15" hidden="false" customHeight="false" outlineLevel="0" collapsed="false">
      <c r="A2013" s="9" t="s">
        <v>3290</v>
      </c>
      <c r="B2013" s="9" t="s">
        <v>1618</v>
      </c>
      <c r="C2013" s="9" t="s">
        <v>37</v>
      </c>
      <c r="D2013" s="9" t="n">
        <v>49</v>
      </c>
      <c r="E2013" s="9" t="s">
        <v>56</v>
      </c>
      <c r="F2013" s="9" t="s">
        <v>39</v>
      </c>
      <c r="G2013" s="10" t="n">
        <v>45838</v>
      </c>
      <c r="H2013" s="10" t="n">
        <v>45872</v>
      </c>
      <c r="I2013" s="9" t="s">
        <v>75</v>
      </c>
      <c r="J2013" s="9" t="s">
        <v>63</v>
      </c>
      <c r="K2013" s="9" t="n">
        <v>34</v>
      </c>
      <c r="L2013" s="9" t="n">
        <v>4</v>
      </c>
      <c r="M2013" s="9" t="n">
        <v>2</v>
      </c>
      <c r="N2013" s="9" t="s">
        <v>42</v>
      </c>
      <c r="O2013" s="9" t="s">
        <v>52</v>
      </c>
      <c r="P2013" s="9" t="n">
        <v>29.6</v>
      </c>
      <c r="Q2013" s="9" t="n">
        <v>13</v>
      </c>
      <c r="R2013" s="9" t="s">
        <v>44</v>
      </c>
      <c r="S2013" s="9"/>
      <c r="T2013" s="9"/>
      <c r="U2013" s="9" t="str">
        <f aca="false">IF(COUNTIF($A$2:$A$5001,A2013)&gt;1,"Duplicate","Unique")</f>
        <v>Unique</v>
      </c>
      <c r="V2013" s="9" t="str">
        <f aca="false">IF(COUNTIFS($B$2:$B$5001,B2013,$H$2:$H$5001,H2013,$J$2:$J$5001,J2013)&gt;1,"Possible Duplicate Booking","Unique")</f>
        <v>Unique</v>
      </c>
      <c r="W2013" s="9" t="str">
        <f aca="false">IF((H2013-G2013)&lt;&gt;K2013,"Mismatch","OK")</f>
        <v>OK</v>
      </c>
      <c r="X2013" s="9" t="str">
        <f aca="false">IF(TEXT(H2013,"dddd")&lt;&gt;I2013,"Mismatch","OK")</f>
        <v>OK</v>
      </c>
      <c r="Y2013" s="9" t="str">
        <f aca="false">IF(AND(N2013="No",O2013&lt;&gt;""),"Unexpected: channel present but no reminder sent",IF(AND(N2013="Yes",O2013=""),"Missing channel for sent reminder","OK"))</f>
        <v>OK</v>
      </c>
    </row>
    <row r="2014" customFormat="false" ht="15" hidden="false" customHeight="false" outlineLevel="0" collapsed="false">
      <c r="A2014" s="7" t="s">
        <v>3291</v>
      </c>
      <c r="B2014" s="7" t="s">
        <v>3292</v>
      </c>
      <c r="C2014" s="7" t="s">
        <v>37</v>
      </c>
      <c r="D2014" s="7" t="n">
        <v>56</v>
      </c>
      <c r="E2014" s="7" t="s">
        <v>61</v>
      </c>
      <c r="F2014" s="7" t="s">
        <v>57</v>
      </c>
      <c r="G2014" s="8" t="n">
        <v>45696</v>
      </c>
      <c r="H2014" s="8" t="n">
        <v>45741</v>
      </c>
      <c r="I2014" s="7" t="s">
        <v>40</v>
      </c>
      <c r="J2014" s="7" t="s">
        <v>41</v>
      </c>
      <c r="K2014" s="7" t="n">
        <v>45</v>
      </c>
      <c r="L2014" s="7" t="n">
        <v>7</v>
      </c>
      <c r="M2014" s="7" t="n">
        <v>1</v>
      </c>
      <c r="N2014" s="7" t="s">
        <v>71</v>
      </c>
      <c r="O2014" s="7"/>
      <c r="P2014" s="7" t="n">
        <v>5.6</v>
      </c>
      <c r="Q2014" s="7" t="n">
        <v>21</v>
      </c>
      <c r="R2014" s="7" t="s">
        <v>44</v>
      </c>
      <c r="S2014" s="7"/>
      <c r="T2014" s="7"/>
      <c r="U2014" s="7" t="str">
        <f aca="false">IF(COUNTIF($A$2:$A$5001,A2014)&gt;1,"Duplicate","Unique")</f>
        <v>Unique</v>
      </c>
      <c r="V2014" s="7" t="str">
        <f aca="false">IF(COUNTIFS($B$2:$B$5001,B2014,$H$2:$H$5001,H2014,$J$2:$J$5001,J2014)&gt;1,"Possible Duplicate Booking","Unique")</f>
        <v>Unique</v>
      </c>
      <c r="W2014" s="7" t="str">
        <f aca="false">IF((H2014-G2014)&lt;&gt;K2014,"Mismatch","OK")</f>
        <v>OK</v>
      </c>
      <c r="X2014" s="7" t="str">
        <f aca="false">IF(TEXT(H2014,"dddd")&lt;&gt;I2014,"Mismatch","OK")</f>
        <v>OK</v>
      </c>
      <c r="Y2014" s="7" t="str">
        <f aca="false">IF(AND(N2014="No",O2014&lt;&gt;""),"Unexpected: channel present but no reminder sent",IF(AND(N2014="Yes",O2014=""),"Missing channel for sent reminder","OK"))</f>
        <v>OK</v>
      </c>
    </row>
    <row r="2015" customFormat="false" ht="15" hidden="false" customHeight="false" outlineLevel="0" collapsed="false">
      <c r="A2015" s="9" t="s">
        <v>3293</v>
      </c>
      <c r="B2015" s="9" t="s">
        <v>2275</v>
      </c>
      <c r="C2015" s="9" t="s">
        <v>47</v>
      </c>
      <c r="D2015" s="9" t="n">
        <v>59</v>
      </c>
      <c r="E2015" s="9" t="s">
        <v>61</v>
      </c>
      <c r="F2015" s="9" t="s">
        <v>49</v>
      </c>
      <c r="G2015" s="10" t="n">
        <v>46131</v>
      </c>
      <c r="H2015" s="10" t="n">
        <v>46161</v>
      </c>
      <c r="I2015" s="9" t="s">
        <v>40</v>
      </c>
      <c r="J2015" s="9" t="s">
        <v>41</v>
      </c>
      <c r="K2015" s="9" t="n">
        <v>30</v>
      </c>
      <c r="L2015" s="9" t="n">
        <v>3</v>
      </c>
      <c r="M2015" s="9" t="n">
        <v>2</v>
      </c>
      <c r="N2015" s="9" t="s">
        <v>71</v>
      </c>
      <c r="O2015" s="9"/>
      <c r="P2015" s="9" t="n">
        <v>10.6</v>
      </c>
      <c r="Q2015" s="9" t="n">
        <v>2</v>
      </c>
      <c r="R2015" s="9" t="s">
        <v>44</v>
      </c>
      <c r="S2015" s="9"/>
      <c r="T2015" s="9"/>
      <c r="U2015" s="9" t="str">
        <f aca="false">IF(COUNTIF($A$2:$A$5001,A2015)&gt;1,"Duplicate","Unique")</f>
        <v>Unique</v>
      </c>
      <c r="V2015" s="9" t="str">
        <f aca="false">IF(COUNTIFS($B$2:$B$5001,B2015,$H$2:$H$5001,H2015,$J$2:$J$5001,J2015)&gt;1,"Possible Duplicate Booking","Unique")</f>
        <v>Unique</v>
      </c>
      <c r="W2015" s="9" t="str">
        <f aca="false">IF((H2015-G2015)&lt;&gt;K2015,"Mismatch","OK")</f>
        <v>OK</v>
      </c>
      <c r="X2015" s="9" t="str">
        <f aca="false">IF(TEXT(H2015,"dddd")&lt;&gt;I2015,"Mismatch","OK")</f>
        <v>OK</v>
      </c>
      <c r="Y2015" s="9" t="str">
        <f aca="false">IF(AND(N2015="No",O2015&lt;&gt;""),"Unexpected: channel present but no reminder sent",IF(AND(N2015="Yes",O2015=""),"Missing channel for sent reminder","OK"))</f>
        <v>OK</v>
      </c>
    </row>
    <row r="2016" customFormat="false" ht="15" hidden="false" customHeight="false" outlineLevel="0" collapsed="false">
      <c r="A2016" s="7" t="s">
        <v>3294</v>
      </c>
      <c r="B2016" s="7" t="s">
        <v>1607</v>
      </c>
      <c r="C2016" s="7" t="s">
        <v>37</v>
      </c>
      <c r="D2016" s="7" t="n">
        <v>79</v>
      </c>
      <c r="E2016" s="7" t="s">
        <v>70</v>
      </c>
      <c r="F2016" s="7" t="s">
        <v>57</v>
      </c>
      <c r="G2016" s="8" t="n">
        <v>45985</v>
      </c>
      <c r="H2016" s="8" t="n">
        <v>46011</v>
      </c>
      <c r="I2016" s="7" t="s">
        <v>102</v>
      </c>
      <c r="J2016" s="7" t="s">
        <v>41</v>
      </c>
      <c r="K2016" s="7" t="n">
        <v>26</v>
      </c>
      <c r="L2016" s="7" t="n">
        <v>2</v>
      </c>
      <c r="M2016" s="7" t="n">
        <v>0</v>
      </c>
      <c r="N2016" s="7" t="s">
        <v>71</v>
      </c>
      <c r="O2016" s="7"/>
      <c r="P2016" s="7" t="n">
        <v>3.6</v>
      </c>
      <c r="Q2016" s="7" t="n">
        <v>24</v>
      </c>
      <c r="R2016" s="7" t="s">
        <v>44</v>
      </c>
      <c r="S2016" s="7"/>
      <c r="T2016" s="7"/>
      <c r="U2016" s="7" t="str">
        <f aca="false">IF(COUNTIF($A$2:$A$5001,A2016)&gt;1,"Duplicate","Unique")</f>
        <v>Unique</v>
      </c>
      <c r="V2016" s="7" t="str">
        <f aca="false">IF(COUNTIFS($B$2:$B$5001,B2016,$H$2:$H$5001,H2016,$J$2:$J$5001,J2016)&gt;1,"Possible Duplicate Booking","Unique")</f>
        <v>Unique</v>
      </c>
      <c r="W2016" s="7" t="str">
        <f aca="false">IF((H2016-G2016)&lt;&gt;K2016,"Mismatch","OK")</f>
        <v>OK</v>
      </c>
      <c r="X2016" s="7" t="str">
        <f aca="false">IF(TEXT(H2016,"dddd")&lt;&gt;I2016,"Mismatch","OK")</f>
        <v>OK</v>
      </c>
      <c r="Y2016" s="7" t="str">
        <f aca="false">IF(AND(N2016="No",O2016&lt;&gt;""),"Unexpected: channel present but no reminder sent",IF(AND(N2016="Yes",O2016=""),"Missing channel for sent reminder","OK"))</f>
        <v>OK</v>
      </c>
    </row>
    <row r="2017" customFormat="false" ht="15" hidden="false" customHeight="false" outlineLevel="0" collapsed="false">
      <c r="A2017" s="9" t="s">
        <v>3295</v>
      </c>
      <c r="B2017" s="9" t="s">
        <v>439</v>
      </c>
      <c r="C2017" s="9" t="s">
        <v>37</v>
      </c>
      <c r="D2017" s="9" t="n">
        <v>71</v>
      </c>
      <c r="E2017" s="9" t="s">
        <v>70</v>
      </c>
      <c r="F2017" s="9" t="s">
        <v>74</v>
      </c>
      <c r="G2017" s="10" t="n">
        <v>45783</v>
      </c>
      <c r="H2017" s="10" t="n">
        <v>45832</v>
      </c>
      <c r="I2017" s="9" t="s">
        <v>40</v>
      </c>
      <c r="J2017" s="9" t="s">
        <v>41</v>
      </c>
      <c r="K2017" s="9" t="n">
        <v>49</v>
      </c>
      <c r="L2017" s="9" t="n">
        <v>5</v>
      </c>
      <c r="M2017" s="9" t="n">
        <v>0</v>
      </c>
      <c r="N2017" s="9" t="s">
        <v>71</v>
      </c>
      <c r="O2017" s="9"/>
      <c r="P2017" s="9" t="n">
        <v>2.9</v>
      </c>
      <c r="Q2017" s="9" t="n">
        <v>20</v>
      </c>
      <c r="R2017" s="9" t="s">
        <v>53</v>
      </c>
      <c r="S2017" s="9"/>
      <c r="T2017" s="9"/>
      <c r="U2017" s="9" t="str">
        <f aca="false">IF(COUNTIF($A$2:$A$5001,A2017)&gt;1,"Duplicate","Unique")</f>
        <v>Unique</v>
      </c>
      <c r="V2017" s="9" t="str">
        <f aca="false">IF(COUNTIFS($B$2:$B$5001,B2017,$H$2:$H$5001,H2017,$J$2:$J$5001,J2017)&gt;1,"Possible Duplicate Booking","Unique")</f>
        <v>Unique</v>
      </c>
      <c r="W2017" s="9" t="str">
        <f aca="false">IF((H2017-G2017)&lt;&gt;K2017,"Mismatch","OK")</f>
        <v>OK</v>
      </c>
      <c r="X2017" s="9" t="str">
        <f aca="false">IF(TEXT(H2017,"dddd")&lt;&gt;I2017,"Mismatch","OK")</f>
        <v>OK</v>
      </c>
      <c r="Y2017" s="9" t="str">
        <f aca="false">IF(AND(N2017="No",O2017&lt;&gt;""),"Unexpected: channel present but no reminder sent",IF(AND(N2017="Yes",O2017=""),"Missing channel for sent reminder","OK"))</f>
        <v>OK</v>
      </c>
    </row>
    <row r="2018" customFormat="false" ht="15" hidden="false" customHeight="false" outlineLevel="0" collapsed="false">
      <c r="A2018" s="7" t="s">
        <v>3296</v>
      </c>
      <c r="B2018" s="7" t="s">
        <v>3037</v>
      </c>
      <c r="C2018" s="7" t="s">
        <v>37</v>
      </c>
      <c r="D2018" s="7" t="n">
        <v>41</v>
      </c>
      <c r="E2018" s="7" t="s">
        <v>38</v>
      </c>
      <c r="F2018" s="7" t="s">
        <v>74</v>
      </c>
      <c r="G2018" s="8" t="n">
        <v>45847</v>
      </c>
      <c r="H2018" s="8" t="n">
        <v>45884</v>
      </c>
      <c r="I2018" s="7" t="s">
        <v>50</v>
      </c>
      <c r="J2018" s="7" t="s">
        <v>41</v>
      </c>
      <c r="K2018" s="7" t="n">
        <v>37</v>
      </c>
      <c r="L2018" s="7" t="n">
        <v>2</v>
      </c>
      <c r="M2018" s="7" t="n">
        <v>0</v>
      </c>
      <c r="N2018" s="7" t="s">
        <v>42</v>
      </c>
      <c r="O2018" s="7" t="s">
        <v>43</v>
      </c>
      <c r="P2018" s="7" t="n">
        <v>6.9</v>
      </c>
      <c r="Q2018" s="7" t="n">
        <v>32</v>
      </c>
      <c r="R2018" s="7" t="s">
        <v>44</v>
      </c>
      <c r="S2018" s="7"/>
      <c r="T2018" s="7"/>
      <c r="U2018" s="7" t="str">
        <f aca="false">IF(COUNTIF($A$2:$A$5001,A2018)&gt;1,"Duplicate","Unique")</f>
        <v>Unique</v>
      </c>
      <c r="V2018" s="7" t="str">
        <f aca="false">IF(COUNTIFS($B$2:$B$5001,B2018,$H$2:$H$5001,H2018,$J$2:$J$5001,J2018)&gt;1,"Possible Duplicate Booking","Unique")</f>
        <v>Unique</v>
      </c>
      <c r="W2018" s="7" t="str">
        <f aca="false">IF((H2018-G2018)&lt;&gt;K2018,"Mismatch","OK")</f>
        <v>OK</v>
      </c>
      <c r="X2018" s="7" t="str">
        <f aca="false">IF(TEXT(H2018,"dddd")&lt;&gt;I2018,"Mismatch","OK")</f>
        <v>OK</v>
      </c>
      <c r="Y2018" s="7" t="str">
        <f aca="false">IF(AND(N2018="No",O2018&lt;&gt;""),"Unexpected: channel present but no reminder sent",IF(AND(N2018="Yes",O2018=""),"Missing channel for sent reminder","OK"))</f>
        <v>OK</v>
      </c>
    </row>
    <row r="2019" customFormat="false" ht="15" hidden="false" customHeight="false" outlineLevel="0" collapsed="false">
      <c r="A2019" s="9" t="s">
        <v>3297</v>
      </c>
      <c r="B2019" s="9" t="s">
        <v>3298</v>
      </c>
      <c r="C2019" s="9" t="s">
        <v>37</v>
      </c>
      <c r="D2019" s="9" t="n">
        <v>67</v>
      </c>
      <c r="E2019" s="9" t="s">
        <v>70</v>
      </c>
      <c r="F2019" s="9" t="s">
        <v>57</v>
      </c>
      <c r="G2019" s="10" t="n">
        <v>46013</v>
      </c>
      <c r="H2019" s="10" t="n">
        <v>46054</v>
      </c>
      <c r="I2019" s="9" t="s">
        <v>75</v>
      </c>
      <c r="J2019" s="9" t="s">
        <v>51</v>
      </c>
      <c r="K2019" s="9" t="n">
        <v>41</v>
      </c>
      <c r="L2019" s="9" t="n">
        <v>4</v>
      </c>
      <c r="M2019" s="9" t="n">
        <v>2</v>
      </c>
      <c r="N2019" s="9" t="s">
        <v>42</v>
      </c>
      <c r="O2019" s="9" t="s">
        <v>43</v>
      </c>
      <c r="P2019" s="9" t="n">
        <v>10.3</v>
      </c>
      <c r="Q2019" s="9" t="n">
        <v>5</v>
      </c>
      <c r="R2019" s="9" t="s">
        <v>44</v>
      </c>
      <c r="S2019" s="9"/>
      <c r="T2019" s="9"/>
      <c r="U2019" s="9" t="str">
        <f aca="false">IF(COUNTIF($A$2:$A$5001,A2019)&gt;1,"Duplicate","Unique")</f>
        <v>Unique</v>
      </c>
      <c r="V2019" s="9" t="str">
        <f aca="false">IF(COUNTIFS($B$2:$B$5001,B2019,$H$2:$H$5001,H2019,$J$2:$J$5001,J2019)&gt;1,"Possible Duplicate Booking","Unique")</f>
        <v>Unique</v>
      </c>
      <c r="W2019" s="9" t="str">
        <f aca="false">IF((H2019-G2019)&lt;&gt;K2019,"Mismatch","OK")</f>
        <v>OK</v>
      </c>
      <c r="X2019" s="9" t="str">
        <f aca="false">IF(TEXT(H2019,"dddd")&lt;&gt;I2019,"Mismatch","OK")</f>
        <v>OK</v>
      </c>
      <c r="Y2019" s="9" t="str">
        <f aca="false">IF(AND(N2019="No",O2019&lt;&gt;""),"Unexpected: channel present but no reminder sent",IF(AND(N2019="Yes",O2019=""),"Missing channel for sent reminder","OK"))</f>
        <v>OK</v>
      </c>
    </row>
    <row r="2020" customFormat="false" ht="15" hidden="false" customHeight="false" outlineLevel="0" collapsed="false">
      <c r="A2020" s="7" t="s">
        <v>3299</v>
      </c>
      <c r="B2020" s="7" t="s">
        <v>2281</v>
      </c>
      <c r="C2020" s="7" t="s">
        <v>47</v>
      </c>
      <c r="D2020" s="7" t="n">
        <v>24</v>
      </c>
      <c r="E2020" s="7" t="s">
        <v>82</v>
      </c>
      <c r="F2020" s="7" t="s">
        <v>57</v>
      </c>
      <c r="G2020" s="8" t="n">
        <v>46022</v>
      </c>
      <c r="H2020" s="8" t="n">
        <v>46050</v>
      </c>
      <c r="I2020" s="7" t="s">
        <v>58</v>
      </c>
      <c r="J2020" s="7" t="s">
        <v>51</v>
      </c>
      <c r="K2020" s="7" t="n">
        <v>28</v>
      </c>
      <c r="L2020" s="7" t="n">
        <v>1</v>
      </c>
      <c r="M2020" s="7" t="n">
        <v>0</v>
      </c>
      <c r="N2020" s="7" t="s">
        <v>42</v>
      </c>
      <c r="O2020" s="7" t="s">
        <v>52</v>
      </c>
      <c r="P2020" s="7" t="n">
        <v>4.5</v>
      </c>
      <c r="Q2020" s="7" t="n">
        <v>32</v>
      </c>
      <c r="R2020" s="7" t="s">
        <v>44</v>
      </c>
      <c r="S2020" s="7"/>
      <c r="T2020" s="7"/>
      <c r="U2020" s="7" t="str">
        <f aca="false">IF(COUNTIF($A$2:$A$5001,A2020)&gt;1,"Duplicate","Unique")</f>
        <v>Unique</v>
      </c>
      <c r="V2020" s="7" t="str">
        <f aca="false">IF(COUNTIFS($B$2:$B$5001,B2020,$H$2:$H$5001,H2020,$J$2:$J$5001,J2020)&gt;1,"Possible Duplicate Booking","Unique")</f>
        <v>Unique</v>
      </c>
      <c r="W2020" s="7" t="str">
        <f aca="false">IF((H2020-G2020)&lt;&gt;K2020,"Mismatch","OK")</f>
        <v>OK</v>
      </c>
      <c r="X2020" s="7" t="str">
        <f aca="false">IF(TEXT(H2020,"dddd")&lt;&gt;I2020,"Mismatch","OK")</f>
        <v>OK</v>
      </c>
      <c r="Y2020" s="7" t="str">
        <f aca="false">IF(AND(N2020="No",O2020&lt;&gt;""),"Unexpected: channel present but no reminder sent",IF(AND(N2020="Yes",O2020=""),"Missing channel for sent reminder","OK"))</f>
        <v>OK</v>
      </c>
    </row>
    <row r="2021" customFormat="false" ht="15" hidden="false" customHeight="false" outlineLevel="0" collapsed="false">
      <c r="A2021" s="9" t="s">
        <v>3300</v>
      </c>
      <c r="B2021" s="9" t="s">
        <v>2742</v>
      </c>
      <c r="C2021" s="9" t="s">
        <v>37</v>
      </c>
      <c r="D2021" s="9" t="n">
        <v>72</v>
      </c>
      <c r="E2021" s="9" t="s">
        <v>70</v>
      </c>
      <c r="F2021" s="9" t="s">
        <v>57</v>
      </c>
      <c r="G2021" s="10" t="n">
        <v>45893</v>
      </c>
      <c r="H2021" s="10" t="n">
        <v>45909</v>
      </c>
      <c r="I2021" s="9" t="s">
        <v>40</v>
      </c>
      <c r="J2021" s="9" t="s">
        <v>41</v>
      </c>
      <c r="K2021" s="9" t="n">
        <v>16</v>
      </c>
      <c r="L2021" s="9" t="n">
        <v>3</v>
      </c>
      <c r="M2021" s="9" t="n">
        <v>2</v>
      </c>
      <c r="N2021" s="9" t="s">
        <v>42</v>
      </c>
      <c r="O2021" s="9" t="s">
        <v>43</v>
      </c>
      <c r="P2021" s="9" t="n">
        <v>14.6</v>
      </c>
      <c r="Q2021" s="9" t="n">
        <v>26</v>
      </c>
      <c r="R2021" s="9" t="s">
        <v>53</v>
      </c>
      <c r="S2021" s="9"/>
      <c r="T2021" s="9"/>
      <c r="U2021" s="9" t="str">
        <f aca="false">IF(COUNTIF($A$2:$A$5001,A2021)&gt;1,"Duplicate","Unique")</f>
        <v>Unique</v>
      </c>
      <c r="V2021" s="9" t="str">
        <f aca="false">IF(COUNTIFS($B$2:$B$5001,B2021,$H$2:$H$5001,H2021,$J$2:$J$5001,J2021)&gt;1,"Possible Duplicate Booking","Unique")</f>
        <v>Unique</v>
      </c>
      <c r="W2021" s="9" t="str">
        <f aca="false">IF((H2021-G2021)&lt;&gt;K2021,"Mismatch","OK")</f>
        <v>OK</v>
      </c>
      <c r="X2021" s="9" t="str">
        <f aca="false">IF(TEXT(H2021,"dddd")&lt;&gt;I2021,"Mismatch","OK")</f>
        <v>OK</v>
      </c>
      <c r="Y2021" s="9" t="str">
        <f aca="false">IF(AND(N2021="No",O2021&lt;&gt;""),"Unexpected: channel present but no reminder sent",IF(AND(N2021="Yes",O2021=""),"Missing channel for sent reminder","OK"))</f>
        <v>OK</v>
      </c>
    </row>
    <row r="2022" customFormat="false" ht="15" hidden="false" customHeight="false" outlineLevel="0" collapsed="false">
      <c r="A2022" s="7" t="s">
        <v>3301</v>
      </c>
      <c r="B2022" s="7" t="s">
        <v>1688</v>
      </c>
      <c r="C2022" s="7" t="s">
        <v>37</v>
      </c>
      <c r="D2022" s="7" t="n">
        <v>42</v>
      </c>
      <c r="E2022" s="7" t="s">
        <v>38</v>
      </c>
      <c r="F2022" s="7" t="s">
        <v>74</v>
      </c>
      <c r="G2022" s="8" t="n">
        <v>45792</v>
      </c>
      <c r="H2022" s="8" t="n">
        <v>45823</v>
      </c>
      <c r="I2022" s="7" t="s">
        <v>75</v>
      </c>
      <c r="J2022" s="7" t="s">
        <v>51</v>
      </c>
      <c r="K2022" s="7" t="n">
        <v>31</v>
      </c>
      <c r="L2022" s="7" t="n">
        <v>3</v>
      </c>
      <c r="M2022" s="7" t="n">
        <v>0</v>
      </c>
      <c r="N2022" s="7" t="s">
        <v>71</v>
      </c>
      <c r="O2022" s="7"/>
      <c r="P2022" s="7" t="n">
        <v>10.9</v>
      </c>
      <c r="Q2022" s="7" t="n">
        <v>41</v>
      </c>
      <c r="R2022" s="7" t="s">
        <v>44</v>
      </c>
      <c r="S2022" s="7"/>
      <c r="T2022" s="7"/>
      <c r="U2022" s="7" t="str">
        <f aca="false">IF(COUNTIF($A$2:$A$5001,A2022)&gt;1,"Duplicate","Unique")</f>
        <v>Unique</v>
      </c>
      <c r="V2022" s="7" t="str">
        <f aca="false">IF(COUNTIFS($B$2:$B$5001,B2022,$H$2:$H$5001,H2022,$J$2:$J$5001,J2022)&gt;1,"Possible Duplicate Booking","Unique")</f>
        <v>Unique</v>
      </c>
      <c r="W2022" s="7" t="str">
        <f aca="false">IF((H2022-G2022)&lt;&gt;K2022,"Mismatch","OK")</f>
        <v>OK</v>
      </c>
      <c r="X2022" s="7" t="str">
        <f aca="false">IF(TEXT(H2022,"dddd")&lt;&gt;I2022,"Mismatch","OK")</f>
        <v>OK</v>
      </c>
      <c r="Y2022" s="7" t="str">
        <f aca="false">IF(AND(N2022="No",O2022&lt;&gt;""),"Unexpected: channel present but no reminder sent",IF(AND(N2022="Yes",O2022=""),"Missing channel for sent reminder","OK"))</f>
        <v>OK</v>
      </c>
    </row>
    <row r="2023" customFormat="false" ht="15" hidden="false" customHeight="false" outlineLevel="0" collapsed="false">
      <c r="A2023" s="9" t="s">
        <v>3302</v>
      </c>
      <c r="B2023" s="9" t="s">
        <v>2395</v>
      </c>
      <c r="C2023" s="9" t="s">
        <v>47</v>
      </c>
      <c r="D2023" s="9" t="n">
        <v>65</v>
      </c>
      <c r="E2023" s="9" t="s">
        <v>70</v>
      </c>
      <c r="F2023" s="9" t="s">
        <v>39</v>
      </c>
      <c r="G2023" s="10" t="n">
        <v>45960</v>
      </c>
      <c r="H2023" s="10" t="n">
        <v>46018</v>
      </c>
      <c r="I2023" s="9" t="s">
        <v>102</v>
      </c>
      <c r="J2023" s="9" t="s">
        <v>51</v>
      </c>
      <c r="K2023" s="9" t="n">
        <v>58</v>
      </c>
      <c r="L2023" s="9" t="n">
        <v>5</v>
      </c>
      <c r="M2023" s="9" t="n">
        <v>0</v>
      </c>
      <c r="N2023" s="9" t="s">
        <v>71</v>
      </c>
      <c r="O2023" s="9"/>
      <c r="P2023" s="9" t="n">
        <v>8.9</v>
      </c>
      <c r="Q2023" s="9" t="n">
        <v>22</v>
      </c>
      <c r="R2023" s="9" t="s">
        <v>44</v>
      </c>
      <c r="S2023" s="9"/>
      <c r="T2023" s="9"/>
      <c r="U2023" s="9" t="str">
        <f aca="false">IF(COUNTIF($A$2:$A$5001,A2023)&gt;1,"Duplicate","Unique")</f>
        <v>Unique</v>
      </c>
      <c r="V2023" s="9" t="str">
        <f aca="false">IF(COUNTIFS($B$2:$B$5001,B2023,$H$2:$H$5001,H2023,$J$2:$J$5001,J2023)&gt;1,"Possible Duplicate Booking","Unique")</f>
        <v>Unique</v>
      </c>
      <c r="W2023" s="9" t="str">
        <f aca="false">IF((H2023-G2023)&lt;&gt;K2023,"Mismatch","OK")</f>
        <v>OK</v>
      </c>
      <c r="X2023" s="9" t="str">
        <f aca="false">IF(TEXT(H2023,"dddd")&lt;&gt;I2023,"Mismatch","OK")</f>
        <v>OK</v>
      </c>
      <c r="Y2023" s="9" t="str">
        <f aca="false">IF(AND(N2023="No",O2023&lt;&gt;""),"Unexpected: channel present but no reminder sent",IF(AND(N2023="Yes",O2023=""),"Missing channel for sent reminder","OK"))</f>
        <v>OK</v>
      </c>
    </row>
    <row r="2024" customFormat="false" ht="15" hidden="false" customHeight="false" outlineLevel="0" collapsed="false">
      <c r="A2024" s="7" t="s">
        <v>3303</v>
      </c>
      <c r="B2024" s="7" t="s">
        <v>645</v>
      </c>
      <c r="C2024" s="7" t="s">
        <v>37</v>
      </c>
      <c r="D2024" s="7" t="n">
        <v>79</v>
      </c>
      <c r="E2024" s="7" t="s">
        <v>70</v>
      </c>
      <c r="F2024" s="7" t="s">
        <v>57</v>
      </c>
      <c r="G2024" s="8" t="n">
        <v>45981</v>
      </c>
      <c r="H2024" s="8" t="n">
        <v>46017</v>
      </c>
      <c r="I2024" s="7" t="s">
        <v>50</v>
      </c>
      <c r="J2024" s="7" t="s">
        <v>51</v>
      </c>
      <c r="K2024" s="7" t="n">
        <v>36</v>
      </c>
      <c r="L2024" s="7" t="n">
        <v>4</v>
      </c>
      <c r="M2024" s="7" t="n">
        <v>1</v>
      </c>
      <c r="N2024" s="7" t="s">
        <v>42</v>
      </c>
      <c r="O2024" s="7" t="s">
        <v>43</v>
      </c>
      <c r="P2024" s="7" t="n">
        <v>4.9</v>
      </c>
      <c r="Q2024" s="7" t="n">
        <v>28</v>
      </c>
      <c r="R2024" s="7" t="s">
        <v>44</v>
      </c>
      <c r="S2024" s="7"/>
      <c r="T2024" s="7"/>
      <c r="U2024" s="7" t="str">
        <f aca="false">IF(COUNTIF($A$2:$A$5001,A2024)&gt;1,"Duplicate","Unique")</f>
        <v>Unique</v>
      </c>
      <c r="V2024" s="7" t="str">
        <f aca="false">IF(COUNTIFS($B$2:$B$5001,B2024,$H$2:$H$5001,H2024,$J$2:$J$5001,J2024)&gt;1,"Possible Duplicate Booking","Unique")</f>
        <v>Unique</v>
      </c>
      <c r="W2024" s="7" t="str">
        <f aca="false">IF((H2024-G2024)&lt;&gt;K2024,"Mismatch","OK")</f>
        <v>OK</v>
      </c>
      <c r="X2024" s="7" t="str">
        <f aca="false">IF(TEXT(H2024,"dddd")&lt;&gt;I2024,"Mismatch","OK")</f>
        <v>OK</v>
      </c>
      <c r="Y2024" s="7" t="str">
        <f aca="false">IF(AND(N2024="No",O2024&lt;&gt;""),"Unexpected: channel present but no reminder sent",IF(AND(N2024="Yes",O2024=""),"Missing channel for sent reminder","OK"))</f>
        <v>OK</v>
      </c>
    </row>
    <row r="2025" customFormat="false" ht="15" hidden="false" customHeight="false" outlineLevel="0" collapsed="false">
      <c r="A2025" s="9" t="s">
        <v>3304</v>
      </c>
      <c r="B2025" s="9" t="s">
        <v>3305</v>
      </c>
      <c r="C2025" s="9" t="s">
        <v>37</v>
      </c>
      <c r="D2025" s="9" t="n">
        <v>62</v>
      </c>
      <c r="E2025" s="9" t="s">
        <v>61</v>
      </c>
      <c r="F2025" s="9" t="s">
        <v>39</v>
      </c>
      <c r="G2025" s="10" t="n">
        <v>45942</v>
      </c>
      <c r="H2025" s="10" t="n">
        <v>45985</v>
      </c>
      <c r="I2025" s="9" t="s">
        <v>66</v>
      </c>
      <c r="J2025" s="9" t="s">
        <v>41</v>
      </c>
      <c r="K2025" s="9" t="n">
        <v>43</v>
      </c>
      <c r="L2025" s="9" t="n">
        <v>2</v>
      </c>
      <c r="M2025" s="9" t="n">
        <v>0</v>
      </c>
      <c r="N2025" s="9" t="s">
        <v>42</v>
      </c>
      <c r="O2025" s="9" t="s">
        <v>43</v>
      </c>
      <c r="P2025" s="9" t="n">
        <v>5.3</v>
      </c>
      <c r="Q2025" s="9" t="n">
        <v>31</v>
      </c>
      <c r="R2025" s="9" t="s">
        <v>44</v>
      </c>
      <c r="S2025" s="9"/>
      <c r="T2025" s="9"/>
      <c r="U2025" s="9" t="str">
        <f aca="false">IF(COUNTIF($A$2:$A$5001,A2025)&gt;1,"Duplicate","Unique")</f>
        <v>Unique</v>
      </c>
      <c r="V2025" s="9" t="str">
        <f aca="false">IF(COUNTIFS($B$2:$B$5001,B2025,$H$2:$H$5001,H2025,$J$2:$J$5001,J2025)&gt;1,"Possible Duplicate Booking","Unique")</f>
        <v>Unique</v>
      </c>
      <c r="W2025" s="9" t="str">
        <f aca="false">IF((H2025-G2025)&lt;&gt;K2025,"Mismatch","OK")</f>
        <v>OK</v>
      </c>
      <c r="X2025" s="9" t="str">
        <f aca="false">IF(TEXT(H2025,"dddd")&lt;&gt;I2025,"Mismatch","OK")</f>
        <v>OK</v>
      </c>
      <c r="Y2025" s="9" t="str">
        <f aca="false">IF(AND(N2025="No",O2025&lt;&gt;""),"Unexpected: channel present but no reminder sent",IF(AND(N2025="Yes",O2025=""),"Missing channel for sent reminder","OK"))</f>
        <v>OK</v>
      </c>
    </row>
    <row r="2026" customFormat="false" ht="15" hidden="false" customHeight="false" outlineLevel="0" collapsed="false">
      <c r="A2026" s="7" t="s">
        <v>3306</v>
      </c>
      <c r="B2026" s="7" t="s">
        <v>3307</v>
      </c>
      <c r="C2026" s="7" t="s">
        <v>47</v>
      </c>
      <c r="D2026" s="7" t="n">
        <v>75</v>
      </c>
      <c r="E2026" s="7" t="s">
        <v>70</v>
      </c>
      <c r="F2026" s="7" t="s">
        <v>57</v>
      </c>
      <c r="G2026" s="8" t="n">
        <v>45690</v>
      </c>
      <c r="H2026" s="8" t="n">
        <v>45697</v>
      </c>
      <c r="I2026" s="7" t="s">
        <v>75</v>
      </c>
      <c r="J2026" s="7" t="s">
        <v>63</v>
      </c>
      <c r="K2026" s="7" t="n">
        <v>7</v>
      </c>
      <c r="L2026" s="7" t="n">
        <v>2</v>
      </c>
      <c r="M2026" s="7" t="n">
        <v>0</v>
      </c>
      <c r="N2026" s="7" t="s">
        <v>42</v>
      </c>
      <c r="O2026" s="7" t="s">
        <v>52</v>
      </c>
      <c r="P2026" s="7" t="n">
        <v>7.2</v>
      </c>
      <c r="Q2026" s="7" t="n">
        <v>2</v>
      </c>
      <c r="R2026" s="7" t="s">
        <v>53</v>
      </c>
      <c r="S2026" s="7"/>
      <c r="T2026" s="7"/>
      <c r="U2026" s="7" t="str">
        <f aca="false">IF(COUNTIF($A$2:$A$5001,A2026)&gt;1,"Duplicate","Unique")</f>
        <v>Unique</v>
      </c>
      <c r="V2026" s="7" t="str">
        <f aca="false">IF(COUNTIFS($B$2:$B$5001,B2026,$H$2:$H$5001,H2026,$J$2:$J$5001,J2026)&gt;1,"Possible Duplicate Booking","Unique")</f>
        <v>Unique</v>
      </c>
      <c r="W2026" s="7" t="str">
        <f aca="false">IF((H2026-G2026)&lt;&gt;K2026,"Mismatch","OK")</f>
        <v>OK</v>
      </c>
      <c r="X2026" s="7" t="str">
        <f aca="false">IF(TEXT(H2026,"dddd")&lt;&gt;I2026,"Mismatch","OK")</f>
        <v>OK</v>
      </c>
      <c r="Y2026" s="7" t="str">
        <f aca="false">IF(AND(N2026="No",O2026&lt;&gt;""),"Unexpected: channel present but no reminder sent",IF(AND(N2026="Yes",O2026=""),"Missing channel for sent reminder","OK"))</f>
        <v>OK</v>
      </c>
    </row>
    <row r="2027" customFormat="false" ht="15" hidden="false" customHeight="false" outlineLevel="0" collapsed="false">
      <c r="A2027" s="9" t="s">
        <v>3308</v>
      </c>
      <c r="B2027" s="9" t="s">
        <v>3309</v>
      </c>
      <c r="C2027" s="9" t="s">
        <v>47</v>
      </c>
      <c r="D2027" s="9" t="n">
        <v>18</v>
      </c>
      <c r="E2027" s="9" t="s">
        <v>82</v>
      </c>
      <c r="F2027" s="9" t="s">
        <v>39</v>
      </c>
      <c r="G2027" s="10" t="n">
        <v>45856</v>
      </c>
      <c r="H2027" s="10" t="n">
        <v>45916</v>
      </c>
      <c r="I2027" s="9" t="s">
        <v>40</v>
      </c>
      <c r="J2027" s="9" t="s">
        <v>41</v>
      </c>
      <c r="K2027" s="9" t="n">
        <v>60</v>
      </c>
      <c r="L2027" s="9" t="n">
        <v>2</v>
      </c>
      <c r="M2027" s="9" t="n">
        <v>0</v>
      </c>
      <c r="N2027" s="9" t="s">
        <v>42</v>
      </c>
      <c r="O2027" s="9" t="s">
        <v>52</v>
      </c>
      <c r="P2027" s="9" t="n">
        <v>5.6</v>
      </c>
      <c r="Q2027" s="9" t="n">
        <v>36</v>
      </c>
      <c r="R2027" s="9" t="s">
        <v>44</v>
      </c>
      <c r="S2027" s="9"/>
      <c r="T2027" s="9"/>
      <c r="U2027" s="9" t="str">
        <f aca="false">IF(COUNTIF($A$2:$A$5001,A2027)&gt;1,"Duplicate","Unique")</f>
        <v>Unique</v>
      </c>
      <c r="V2027" s="9" t="str">
        <f aca="false">IF(COUNTIFS($B$2:$B$5001,B2027,$H$2:$H$5001,H2027,$J$2:$J$5001,J2027)&gt;1,"Possible Duplicate Booking","Unique")</f>
        <v>Unique</v>
      </c>
      <c r="W2027" s="9" t="str">
        <f aca="false">IF((H2027-G2027)&lt;&gt;K2027,"Mismatch","OK")</f>
        <v>OK</v>
      </c>
      <c r="X2027" s="9" t="str">
        <f aca="false">IF(TEXT(H2027,"dddd")&lt;&gt;I2027,"Mismatch","OK")</f>
        <v>OK</v>
      </c>
      <c r="Y2027" s="9" t="str">
        <f aca="false">IF(AND(N2027="No",O2027&lt;&gt;""),"Unexpected: channel present but no reminder sent",IF(AND(N2027="Yes",O2027=""),"Missing channel for sent reminder","OK"))</f>
        <v>OK</v>
      </c>
    </row>
    <row r="2028" customFormat="false" ht="15" hidden="false" customHeight="false" outlineLevel="0" collapsed="false">
      <c r="A2028" s="7" t="s">
        <v>3310</v>
      </c>
      <c r="B2028" s="7" t="s">
        <v>3311</v>
      </c>
      <c r="C2028" s="7" t="s">
        <v>37</v>
      </c>
      <c r="D2028" s="7" t="n">
        <v>28</v>
      </c>
      <c r="E2028" s="7" t="s">
        <v>48</v>
      </c>
      <c r="F2028" s="7" t="s">
        <v>39</v>
      </c>
      <c r="G2028" s="8" t="n">
        <v>45979</v>
      </c>
      <c r="H2028" s="8" t="n">
        <v>45993</v>
      </c>
      <c r="I2028" s="7" t="s">
        <v>40</v>
      </c>
      <c r="J2028" s="7" t="s">
        <v>63</v>
      </c>
      <c r="K2028" s="7" t="n">
        <v>14</v>
      </c>
      <c r="L2028" s="7" t="n">
        <v>3</v>
      </c>
      <c r="M2028" s="7" t="n">
        <v>0</v>
      </c>
      <c r="N2028" s="7" t="s">
        <v>42</v>
      </c>
      <c r="O2028" s="7" t="s">
        <v>43</v>
      </c>
      <c r="P2028" s="7" t="n">
        <v>6.6</v>
      </c>
      <c r="Q2028" s="7" t="n">
        <v>23</v>
      </c>
      <c r="R2028" s="7" t="s">
        <v>53</v>
      </c>
      <c r="S2028" s="7"/>
      <c r="T2028" s="7"/>
      <c r="U2028" s="7" t="str">
        <f aca="false">IF(COUNTIF($A$2:$A$5001,A2028)&gt;1,"Duplicate","Unique")</f>
        <v>Unique</v>
      </c>
      <c r="V2028" s="7" t="str">
        <f aca="false">IF(COUNTIFS($B$2:$B$5001,B2028,$H$2:$H$5001,H2028,$J$2:$J$5001,J2028)&gt;1,"Possible Duplicate Booking","Unique")</f>
        <v>Unique</v>
      </c>
      <c r="W2028" s="7" t="str">
        <f aca="false">IF((H2028-G2028)&lt;&gt;K2028,"Mismatch","OK")</f>
        <v>OK</v>
      </c>
      <c r="X2028" s="7" t="str">
        <f aca="false">IF(TEXT(H2028,"dddd")&lt;&gt;I2028,"Mismatch","OK")</f>
        <v>OK</v>
      </c>
      <c r="Y2028" s="7" t="str">
        <f aca="false">IF(AND(N2028="No",O2028&lt;&gt;""),"Unexpected: channel present but no reminder sent",IF(AND(N2028="Yes",O2028=""),"Missing channel for sent reminder","OK"))</f>
        <v>OK</v>
      </c>
    </row>
    <row r="2029" customFormat="false" ht="15" hidden="false" customHeight="false" outlineLevel="0" collapsed="false">
      <c r="A2029" s="9" t="s">
        <v>3312</v>
      </c>
      <c r="B2029" s="9" t="s">
        <v>1905</v>
      </c>
      <c r="C2029" s="9" t="s">
        <v>47</v>
      </c>
      <c r="D2029" s="9" t="n">
        <v>57</v>
      </c>
      <c r="E2029" s="9" t="s">
        <v>61</v>
      </c>
      <c r="F2029" s="9" t="s">
        <v>57</v>
      </c>
      <c r="G2029" s="10" t="n">
        <v>46117</v>
      </c>
      <c r="H2029" s="10" t="n">
        <v>46176</v>
      </c>
      <c r="I2029" s="9" t="s">
        <v>58</v>
      </c>
      <c r="J2029" s="9" t="s">
        <v>63</v>
      </c>
      <c r="K2029" s="9" t="n">
        <v>59</v>
      </c>
      <c r="L2029" s="9" t="n">
        <v>5</v>
      </c>
      <c r="M2029" s="9" t="n">
        <v>2</v>
      </c>
      <c r="N2029" s="9" t="s">
        <v>42</v>
      </c>
      <c r="O2029" s="9" t="s">
        <v>52</v>
      </c>
      <c r="P2029" s="9" t="n">
        <v>5</v>
      </c>
      <c r="Q2029" s="9" t="n">
        <v>10</v>
      </c>
      <c r="R2029" s="9" t="s">
        <v>87</v>
      </c>
      <c r="S2029" s="9"/>
      <c r="T2029" s="9"/>
      <c r="U2029" s="9" t="str">
        <f aca="false">IF(COUNTIF($A$2:$A$5001,A2029)&gt;1,"Duplicate","Unique")</f>
        <v>Unique</v>
      </c>
      <c r="V2029" s="9" t="str">
        <f aca="false">IF(COUNTIFS($B$2:$B$5001,B2029,$H$2:$H$5001,H2029,$J$2:$J$5001,J2029)&gt;1,"Possible Duplicate Booking","Unique")</f>
        <v>Unique</v>
      </c>
      <c r="W2029" s="9" t="str">
        <f aca="false">IF((H2029-G2029)&lt;&gt;K2029,"Mismatch","OK")</f>
        <v>OK</v>
      </c>
      <c r="X2029" s="9" t="str">
        <f aca="false">IF(TEXT(H2029,"dddd")&lt;&gt;I2029,"Mismatch","OK")</f>
        <v>OK</v>
      </c>
      <c r="Y2029" s="9" t="str">
        <f aca="false">IF(AND(N2029="No",O2029&lt;&gt;""),"Unexpected: channel present but no reminder sent",IF(AND(N2029="Yes",O2029=""),"Missing channel for sent reminder","OK"))</f>
        <v>OK</v>
      </c>
    </row>
    <row r="2030" customFormat="false" ht="15" hidden="false" customHeight="false" outlineLevel="0" collapsed="false">
      <c r="A2030" s="7" t="s">
        <v>3313</v>
      </c>
      <c r="B2030" s="7" t="s">
        <v>645</v>
      </c>
      <c r="C2030" s="7" t="s">
        <v>47</v>
      </c>
      <c r="D2030" s="7" t="n">
        <v>52</v>
      </c>
      <c r="E2030" s="7" t="s">
        <v>56</v>
      </c>
      <c r="F2030" s="7" t="s">
        <v>49</v>
      </c>
      <c r="G2030" s="8" t="n">
        <v>45917</v>
      </c>
      <c r="H2030" s="8" t="n">
        <v>45944</v>
      </c>
      <c r="I2030" s="7" t="s">
        <v>40</v>
      </c>
      <c r="J2030" s="7" t="s">
        <v>51</v>
      </c>
      <c r="K2030" s="7" t="n">
        <v>27</v>
      </c>
      <c r="L2030" s="7" t="n">
        <v>3</v>
      </c>
      <c r="M2030" s="7" t="n">
        <v>0</v>
      </c>
      <c r="N2030" s="7" t="s">
        <v>42</v>
      </c>
      <c r="O2030" s="7" t="s">
        <v>43</v>
      </c>
      <c r="P2030" s="7" t="n">
        <v>11.6</v>
      </c>
      <c r="Q2030" s="7" t="n">
        <v>23</v>
      </c>
      <c r="R2030" s="7" t="s">
        <v>44</v>
      </c>
      <c r="S2030" s="7"/>
      <c r="T2030" s="7"/>
      <c r="U2030" s="7" t="str">
        <f aca="false">IF(COUNTIF($A$2:$A$5001,A2030)&gt;1,"Duplicate","Unique")</f>
        <v>Unique</v>
      </c>
      <c r="V2030" s="7" t="str">
        <f aca="false">IF(COUNTIFS($B$2:$B$5001,B2030,$H$2:$H$5001,H2030,$J$2:$J$5001,J2030)&gt;1,"Possible Duplicate Booking","Unique")</f>
        <v>Unique</v>
      </c>
      <c r="W2030" s="7" t="str">
        <f aca="false">IF((H2030-G2030)&lt;&gt;K2030,"Mismatch","OK")</f>
        <v>OK</v>
      </c>
      <c r="X2030" s="7" t="str">
        <f aca="false">IF(TEXT(H2030,"dddd")&lt;&gt;I2030,"Mismatch","OK")</f>
        <v>OK</v>
      </c>
      <c r="Y2030" s="7" t="str">
        <f aca="false">IF(AND(N2030="No",O2030&lt;&gt;""),"Unexpected: channel present but no reminder sent",IF(AND(N2030="Yes",O2030=""),"Missing channel for sent reminder","OK"))</f>
        <v>OK</v>
      </c>
    </row>
    <row r="2031" customFormat="false" ht="15" hidden="false" customHeight="false" outlineLevel="0" collapsed="false">
      <c r="A2031" s="9" t="s">
        <v>3314</v>
      </c>
      <c r="B2031" s="9" t="s">
        <v>1818</v>
      </c>
      <c r="C2031" s="9" t="s">
        <v>47</v>
      </c>
      <c r="D2031" s="9" t="n">
        <v>25</v>
      </c>
      <c r="E2031" s="9" t="s">
        <v>48</v>
      </c>
      <c r="F2031" s="9" t="s">
        <v>57</v>
      </c>
      <c r="G2031" s="10" t="n">
        <v>45789</v>
      </c>
      <c r="H2031" s="10" t="n">
        <v>45845</v>
      </c>
      <c r="I2031" s="9" t="s">
        <v>66</v>
      </c>
      <c r="J2031" s="9" t="s">
        <v>51</v>
      </c>
      <c r="K2031" s="9" t="n">
        <v>56</v>
      </c>
      <c r="L2031" s="9" t="n">
        <v>3</v>
      </c>
      <c r="M2031" s="9" t="n">
        <v>0</v>
      </c>
      <c r="N2031" s="9" t="s">
        <v>71</v>
      </c>
      <c r="O2031" s="9"/>
      <c r="P2031" s="9" t="n">
        <v>3.3</v>
      </c>
      <c r="Q2031" s="9" t="n">
        <v>37</v>
      </c>
      <c r="R2031" s="9" t="s">
        <v>44</v>
      </c>
      <c r="S2031" s="9"/>
      <c r="T2031" s="9"/>
      <c r="U2031" s="9" t="str">
        <f aca="false">IF(COUNTIF($A$2:$A$5001,A2031)&gt;1,"Duplicate","Unique")</f>
        <v>Unique</v>
      </c>
      <c r="V2031" s="9" t="str">
        <f aca="false">IF(COUNTIFS($B$2:$B$5001,B2031,$H$2:$H$5001,H2031,$J$2:$J$5001,J2031)&gt;1,"Possible Duplicate Booking","Unique")</f>
        <v>Unique</v>
      </c>
      <c r="W2031" s="9" t="str">
        <f aca="false">IF((H2031-G2031)&lt;&gt;K2031,"Mismatch","OK")</f>
        <v>OK</v>
      </c>
      <c r="X2031" s="9" t="str">
        <f aca="false">IF(TEXT(H2031,"dddd")&lt;&gt;I2031,"Mismatch","OK")</f>
        <v>OK</v>
      </c>
      <c r="Y2031" s="9" t="str">
        <f aca="false">IF(AND(N2031="No",O2031&lt;&gt;""),"Unexpected: channel present but no reminder sent",IF(AND(N2031="Yes",O2031=""),"Missing channel for sent reminder","OK"))</f>
        <v>OK</v>
      </c>
    </row>
    <row r="2032" customFormat="false" ht="15" hidden="false" customHeight="false" outlineLevel="0" collapsed="false">
      <c r="A2032" s="7" t="s">
        <v>3315</v>
      </c>
      <c r="B2032" s="7" t="s">
        <v>1461</v>
      </c>
      <c r="C2032" s="7" t="s">
        <v>37</v>
      </c>
      <c r="D2032" s="7" t="n">
        <v>63</v>
      </c>
      <c r="E2032" s="7" t="s">
        <v>61</v>
      </c>
      <c r="F2032" s="7" t="s">
        <v>39</v>
      </c>
      <c r="G2032" s="8" t="n">
        <v>45907</v>
      </c>
      <c r="H2032" s="8" t="n">
        <v>45961</v>
      </c>
      <c r="I2032" s="7" t="s">
        <v>50</v>
      </c>
      <c r="J2032" s="7" t="s">
        <v>51</v>
      </c>
      <c r="K2032" s="7" t="n">
        <v>54</v>
      </c>
      <c r="L2032" s="7" t="n">
        <v>2</v>
      </c>
      <c r="M2032" s="7" t="n">
        <v>0</v>
      </c>
      <c r="N2032" s="7" t="s">
        <v>42</v>
      </c>
      <c r="O2032" s="7" t="s">
        <v>43</v>
      </c>
      <c r="P2032" s="7" t="n">
        <v>15.9</v>
      </c>
      <c r="Q2032" s="7" t="n">
        <v>20</v>
      </c>
      <c r="R2032" s="7" t="s">
        <v>44</v>
      </c>
      <c r="S2032" s="7"/>
      <c r="T2032" s="7"/>
      <c r="U2032" s="7" t="str">
        <f aca="false">IF(COUNTIF($A$2:$A$5001,A2032)&gt;1,"Duplicate","Unique")</f>
        <v>Unique</v>
      </c>
      <c r="V2032" s="7" t="str">
        <f aca="false">IF(COUNTIFS($B$2:$B$5001,B2032,$H$2:$H$5001,H2032,$J$2:$J$5001,J2032)&gt;1,"Possible Duplicate Booking","Unique")</f>
        <v>Unique</v>
      </c>
      <c r="W2032" s="7" t="str">
        <f aca="false">IF((H2032-G2032)&lt;&gt;K2032,"Mismatch","OK")</f>
        <v>OK</v>
      </c>
      <c r="X2032" s="7" t="str">
        <f aca="false">IF(TEXT(H2032,"dddd")&lt;&gt;I2032,"Mismatch","OK")</f>
        <v>OK</v>
      </c>
      <c r="Y2032" s="7" t="str">
        <f aca="false">IF(AND(N2032="No",O2032&lt;&gt;""),"Unexpected: channel present but no reminder sent",IF(AND(N2032="Yes",O2032=""),"Missing channel for sent reminder","OK"))</f>
        <v>OK</v>
      </c>
    </row>
    <row r="2033" customFormat="false" ht="15" hidden="false" customHeight="false" outlineLevel="0" collapsed="false">
      <c r="A2033" s="9" t="s">
        <v>3316</v>
      </c>
      <c r="B2033" s="9" t="s">
        <v>1582</v>
      </c>
      <c r="C2033" s="9" t="s">
        <v>47</v>
      </c>
      <c r="D2033" s="9" t="n">
        <v>21</v>
      </c>
      <c r="E2033" s="9" t="s">
        <v>82</v>
      </c>
      <c r="F2033" s="9" t="s">
        <v>39</v>
      </c>
      <c r="G2033" s="10" t="n">
        <v>45708</v>
      </c>
      <c r="H2033" s="10" t="n">
        <v>45754</v>
      </c>
      <c r="I2033" s="9" t="s">
        <v>66</v>
      </c>
      <c r="J2033" s="9" t="s">
        <v>51</v>
      </c>
      <c r="K2033" s="9" t="n">
        <v>46</v>
      </c>
      <c r="L2033" s="9" t="n">
        <v>7</v>
      </c>
      <c r="M2033" s="9" t="n">
        <v>1</v>
      </c>
      <c r="N2033" s="9" t="s">
        <v>42</v>
      </c>
      <c r="O2033" s="9" t="s">
        <v>52</v>
      </c>
      <c r="P2033" s="9" t="n">
        <v>5.9</v>
      </c>
      <c r="Q2033" s="9" t="n">
        <v>25</v>
      </c>
      <c r="R2033" s="9" t="s">
        <v>87</v>
      </c>
      <c r="S2033" s="9"/>
      <c r="T2033" s="9"/>
      <c r="U2033" s="9" t="str">
        <f aca="false">IF(COUNTIF($A$2:$A$5001,A2033)&gt;1,"Duplicate","Unique")</f>
        <v>Unique</v>
      </c>
      <c r="V2033" s="9" t="str">
        <f aca="false">IF(COUNTIFS($B$2:$B$5001,B2033,$H$2:$H$5001,H2033,$J$2:$J$5001,J2033)&gt;1,"Possible Duplicate Booking","Unique")</f>
        <v>Unique</v>
      </c>
      <c r="W2033" s="9" t="str">
        <f aca="false">IF((H2033-G2033)&lt;&gt;K2033,"Mismatch","OK")</f>
        <v>OK</v>
      </c>
      <c r="X2033" s="9" t="str">
        <f aca="false">IF(TEXT(H2033,"dddd")&lt;&gt;I2033,"Mismatch","OK")</f>
        <v>OK</v>
      </c>
      <c r="Y2033" s="9" t="str">
        <f aca="false">IF(AND(N2033="No",O2033&lt;&gt;""),"Unexpected: channel present but no reminder sent",IF(AND(N2033="Yes",O2033=""),"Missing channel for sent reminder","OK"))</f>
        <v>OK</v>
      </c>
    </row>
    <row r="2034" customFormat="false" ht="15" hidden="false" customHeight="false" outlineLevel="0" collapsed="false">
      <c r="A2034" s="7" t="s">
        <v>3317</v>
      </c>
      <c r="B2034" s="7" t="s">
        <v>3318</v>
      </c>
      <c r="C2034" s="7" t="s">
        <v>47</v>
      </c>
      <c r="D2034" s="7" t="n">
        <v>80</v>
      </c>
      <c r="E2034" s="7" t="s">
        <v>70</v>
      </c>
      <c r="F2034" s="7" t="s">
        <v>74</v>
      </c>
      <c r="G2034" s="8" t="n">
        <v>45652</v>
      </c>
      <c r="H2034" s="8" t="n">
        <v>45707</v>
      </c>
      <c r="I2034" s="7" t="s">
        <v>58</v>
      </c>
      <c r="J2034" s="7" t="s">
        <v>41</v>
      </c>
      <c r="K2034" s="7" t="n">
        <v>55</v>
      </c>
      <c r="L2034" s="7" t="n">
        <v>4</v>
      </c>
      <c r="M2034" s="7" t="n">
        <v>1</v>
      </c>
      <c r="N2034" s="7" t="s">
        <v>42</v>
      </c>
      <c r="O2034" s="7" t="s">
        <v>43</v>
      </c>
      <c r="P2034" s="7" t="n">
        <v>11.9</v>
      </c>
      <c r="Q2034" s="7" t="n">
        <v>2</v>
      </c>
      <c r="R2034" s="7" t="s">
        <v>44</v>
      </c>
      <c r="S2034" s="7"/>
      <c r="T2034" s="7"/>
      <c r="U2034" s="7" t="str">
        <f aca="false">IF(COUNTIF($A$2:$A$5001,A2034)&gt;1,"Duplicate","Unique")</f>
        <v>Unique</v>
      </c>
      <c r="V2034" s="7" t="str">
        <f aca="false">IF(COUNTIFS($B$2:$B$5001,B2034,$H$2:$H$5001,H2034,$J$2:$J$5001,J2034)&gt;1,"Possible Duplicate Booking","Unique")</f>
        <v>Unique</v>
      </c>
      <c r="W2034" s="7" t="str">
        <f aca="false">IF((H2034-G2034)&lt;&gt;K2034,"Mismatch","OK")</f>
        <v>OK</v>
      </c>
      <c r="X2034" s="7" t="str">
        <f aca="false">IF(TEXT(H2034,"dddd")&lt;&gt;I2034,"Mismatch","OK")</f>
        <v>OK</v>
      </c>
      <c r="Y2034" s="7" t="str">
        <f aca="false">IF(AND(N2034="No",O2034&lt;&gt;""),"Unexpected: channel present but no reminder sent",IF(AND(N2034="Yes",O2034=""),"Missing channel for sent reminder","OK"))</f>
        <v>OK</v>
      </c>
    </row>
    <row r="2035" customFormat="false" ht="15" hidden="false" customHeight="false" outlineLevel="0" collapsed="false">
      <c r="A2035" s="9" t="s">
        <v>3319</v>
      </c>
      <c r="B2035" s="9" t="s">
        <v>3320</v>
      </c>
      <c r="C2035" s="9" t="s">
        <v>47</v>
      </c>
      <c r="D2035" s="9" t="n">
        <v>27</v>
      </c>
      <c r="E2035" s="9" t="s">
        <v>48</v>
      </c>
      <c r="F2035" s="9" t="s">
        <v>39</v>
      </c>
      <c r="G2035" s="10" t="n">
        <v>45991</v>
      </c>
      <c r="H2035" s="10" t="n">
        <v>46028</v>
      </c>
      <c r="I2035" s="9" t="s">
        <v>40</v>
      </c>
      <c r="J2035" s="9" t="s">
        <v>51</v>
      </c>
      <c r="K2035" s="9" t="n">
        <v>37</v>
      </c>
      <c r="L2035" s="9" t="n">
        <v>1</v>
      </c>
      <c r="M2035" s="9" t="n">
        <v>0</v>
      </c>
      <c r="N2035" s="9" t="s">
        <v>71</v>
      </c>
      <c r="O2035" s="9"/>
      <c r="P2035" s="9" t="n">
        <v>8.7</v>
      </c>
      <c r="Q2035" s="9" t="n">
        <v>15</v>
      </c>
      <c r="R2035" s="9" t="s">
        <v>44</v>
      </c>
      <c r="S2035" s="9"/>
      <c r="T2035" s="9"/>
      <c r="U2035" s="9" t="str">
        <f aca="false">IF(COUNTIF($A$2:$A$5001,A2035)&gt;1,"Duplicate","Unique")</f>
        <v>Unique</v>
      </c>
      <c r="V2035" s="9" t="str">
        <f aca="false">IF(COUNTIFS($B$2:$B$5001,B2035,$H$2:$H$5001,H2035,$J$2:$J$5001,J2035)&gt;1,"Possible Duplicate Booking","Unique")</f>
        <v>Unique</v>
      </c>
      <c r="W2035" s="9" t="str">
        <f aca="false">IF((H2035-G2035)&lt;&gt;K2035,"Mismatch","OK")</f>
        <v>OK</v>
      </c>
      <c r="X2035" s="9" t="str">
        <f aca="false">IF(TEXT(H2035,"dddd")&lt;&gt;I2035,"Mismatch","OK")</f>
        <v>OK</v>
      </c>
      <c r="Y2035" s="9" t="str">
        <f aca="false">IF(AND(N2035="No",O2035&lt;&gt;""),"Unexpected: channel present but no reminder sent",IF(AND(N2035="Yes",O2035=""),"Missing channel for sent reminder","OK"))</f>
        <v>OK</v>
      </c>
    </row>
    <row r="2036" customFormat="false" ht="15" hidden="false" customHeight="false" outlineLevel="0" collapsed="false">
      <c r="A2036" s="7" t="s">
        <v>3321</v>
      </c>
      <c r="B2036" s="7" t="s">
        <v>203</v>
      </c>
      <c r="C2036" s="7" t="s">
        <v>47</v>
      </c>
      <c r="D2036" s="7" t="n">
        <v>46</v>
      </c>
      <c r="E2036" s="7" t="s">
        <v>56</v>
      </c>
      <c r="F2036" s="7" t="s">
        <v>74</v>
      </c>
      <c r="G2036" s="8" t="n">
        <v>46145</v>
      </c>
      <c r="H2036" s="8" t="n">
        <v>46196</v>
      </c>
      <c r="I2036" s="7" t="s">
        <v>40</v>
      </c>
      <c r="J2036" s="7" t="s">
        <v>63</v>
      </c>
      <c r="K2036" s="7" t="n">
        <v>51</v>
      </c>
      <c r="L2036" s="7" t="n">
        <v>4</v>
      </c>
      <c r="M2036" s="7" t="n">
        <v>3</v>
      </c>
      <c r="N2036" s="7" t="s">
        <v>71</v>
      </c>
      <c r="O2036" s="7"/>
      <c r="P2036" s="7" t="n">
        <v>2.9</v>
      </c>
      <c r="Q2036" s="7" t="n">
        <v>32</v>
      </c>
      <c r="R2036" s="7" t="s">
        <v>44</v>
      </c>
      <c r="S2036" s="7"/>
      <c r="T2036" s="7"/>
      <c r="U2036" s="7" t="str">
        <f aca="false">IF(COUNTIF($A$2:$A$5001,A2036)&gt;1,"Duplicate","Unique")</f>
        <v>Unique</v>
      </c>
      <c r="V2036" s="7" t="str">
        <f aca="false">IF(COUNTIFS($B$2:$B$5001,B2036,$H$2:$H$5001,H2036,$J$2:$J$5001,J2036)&gt;1,"Possible Duplicate Booking","Unique")</f>
        <v>Unique</v>
      </c>
      <c r="W2036" s="7" t="str">
        <f aca="false">IF((H2036-G2036)&lt;&gt;K2036,"Mismatch","OK")</f>
        <v>OK</v>
      </c>
      <c r="X2036" s="7" t="str">
        <f aca="false">IF(TEXT(H2036,"dddd")&lt;&gt;I2036,"Mismatch","OK")</f>
        <v>OK</v>
      </c>
      <c r="Y2036" s="7" t="str">
        <f aca="false">IF(AND(N2036="No",O2036&lt;&gt;""),"Unexpected: channel present but no reminder sent",IF(AND(N2036="Yes",O2036=""),"Missing channel for sent reminder","OK"))</f>
        <v>OK</v>
      </c>
    </row>
    <row r="2037" customFormat="false" ht="15" hidden="false" customHeight="false" outlineLevel="0" collapsed="false">
      <c r="A2037" s="9" t="s">
        <v>3322</v>
      </c>
      <c r="B2037" s="9" t="s">
        <v>2732</v>
      </c>
      <c r="C2037" s="9" t="s">
        <v>47</v>
      </c>
      <c r="D2037" s="9" t="n">
        <v>69</v>
      </c>
      <c r="E2037" s="9" t="s">
        <v>70</v>
      </c>
      <c r="F2037" s="9" t="s">
        <v>57</v>
      </c>
      <c r="G2037" s="10" t="n">
        <v>46109</v>
      </c>
      <c r="H2037" s="10" t="n">
        <v>46119</v>
      </c>
      <c r="I2037" s="9" t="s">
        <v>40</v>
      </c>
      <c r="J2037" s="9" t="s">
        <v>41</v>
      </c>
      <c r="K2037" s="9" t="n">
        <v>10</v>
      </c>
      <c r="L2037" s="9" t="n">
        <v>2</v>
      </c>
      <c r="M2037" s="9" t="n">
        <v>0</v>
      </c>
      <c r="N2037" s="9" t="s">
        <v>42</v>
      </c>
      <c r="O2037" s="9" t="s">
        <v>52</v>
      </c>
      <c r="P2037" s="9" t="n">
        <v>15.3</v>
      </c>
      <c r="Q2037" s="9" t="n">
        <v>36</v>
      </c>
      <c r="R2037" s="9" t="s">
        <v>53</v>
      </c>
      <c r="S2037" s="9"/>
      <c r="T2037" s="9"/>
      <c r="U2037" s="9" t="str">
        <f aca="false">IF(COUNTIF($A$2:$A$5001,A2037)&gt;1,"Duplicate","Unique")</f>
        <v>Unique</v>
      </c>
      <c r="V2037" s="9" t="str">
        <f aca="false">IF(COUNTIFS($B$2:$B$5001,B2037,$H$2:$H$5001,H2037,$J$2:$J$5001,J2037)&gt;1,"Possible Duplicate Booking","Unique")</f>
        <v>Unique</v>
      </c>
      <c r="W2037" s="9" t="str">
        <f aca="false">IF((H2037-G2037)&lt;&gt;K2037,"Mismatch","OK")</f>
        <v>OK</v>
      </c>
      <c r="X2037" s="9" t="str">
        <f aca="false">IF(TEXT(H2037,"dddd")&lt;&gt;I2037,"Mismatch","OK")</f>
        <v>OK</v>
      </c>
      <c r="Y2037" s="9" t="str">
        <f aca="false">IF(AND(N2037="No",O2037&lt;&gt;""),"Unexpected: channel present but no reminder sent",IF(AND(N2037="Yes",O2037=""),"Missing channel for sent reminder","OK"))</f>
        <v>OK</v>
      </c>
    </row>
    <row r="2038" customFormat="false" ht="15" hidden="false" customHeight="false" outlineLevel="0" collapsed="false">
      <c r="A2038" s="7" t="s">
        <v>3323</v>
      </c>
      <c r="B2038" s="7" t="s">
        <v>1034</v>
      </c>
      <c r="C2038" s="7" t="s">
        <v>47</v>
      </c>
      <c r="D2038" s="7" t="n">
        <v>50</v>
      </c>
      <c r="E2038" s="7" t="s">
        <v>56</v>
      </c>
      <c r="F2038" s="7" t="s">
        <v>49</v>
      </c>
      <c r="G2038" s="8" t="n">
        <v>45972</v>
      </c>
      <c r="H2038" s="8" t="n">
        <v>45976</v>
      </c>
      <c r="I2038" s="7" t="s">
        <v>102</v>
      </c>
      <c r="J2038" s="7" t="s">
        <v>51</v>
      </c>
      <c r="K2038" s="7" t="n">
        <v>4</v>
      </c>
      <c r="L2038" s="7" t="n">
        <v>2</v>
      </c>
      <c r="M2038" s="7" t="n">
        <v>0</v>
      </c>
      <c r="N2038" s="7" t="s">
        <v>42</v>
      </c>
      <c r="O2038" s="7" t="s">
        <v>52</v>
      </c>
      <c r="P2038" s="7" t="n">
        <v>23.6</v>
      </c>
      <c r="Q2038" s="7" t="n">
        <v>26</v>
      </c>
      <c r="R2038" s="7" t="s">
        <v>53</v>
      </c>
      <c r="S2038" s="7"/>
      <c r="T2038" s="7"/>
      <c r="U2038" s="7" t="str">
        <f aca="false">IF(COUNTIF($A$2:$A$5001,A2038)&gt;1,"Duplicate","Unique")</f>
        <v>Unique</v>
      </c>
      <c r="V2038" s="7" t="str">
        <f aca="false">IF(COUNTIFS($B$2:$B$5001,B2038,$H$2:$H$5001,H2038,$J$2:$J$5001,J2038)&gt;1,"Possible Duplicate Booking","Unique")</f>
        <v>Unique</v>
      </c>
      <c r="W2038" s="7" t="str">
        <f aca="false">IF((H2038-G2038)&lt;&gt;K2038,"Mismatch","OK")</f>
        <v>OK</v>
      </c>
      <c r="X2038" s="7" t="str">
        <f aca="false">IF(TEXT(H2038,"dddd")&lt;&gt;I2038,"Mismatch","OK")</f>
        <v>OK</v>
      </c>
      <c r="Y2038" s="7" t="str">
        <f aca="false">IF(AND(N2038="No",O2038&lt;&gt;""),"Unexpected: channel present but no reminder sent",IF(AND(N2038="Yes",O2038=""),"Missing channel for sent reminder","OK"))</f>
        <v>OK</v>
      </c>
    </row>
    <row r="2039" customFormat="false" ht="15" hidden="false" customHeight="false" outlineLevel="0" collapsed="false">
      <c r="A2039" s="9" t="s">
        <v>3324</v>
      </c>
      <c r="B2039" s="9" t="s">
        <v>950</v>
      </c>
      <c r="C2039" s="9" t="s">
        <v>37</v>
      </c>
      <c r="D2039" s="9" t="n">
        <v>64</v>
      </c>
      <c r="E2039" s="9" t="s">
        <v>61</v>
      </c>
      <c r="F2039" s="9" t="s">
        <v>57</v>
      </c>
      <c r="G2039" s="10" t="n">
        <v>45646</v>
      </c>
      <c r="H2039" s="10" t="n">
        <v>45679</v>
      </c>
      <c r="I2039" s="9" t="s">
        <v>58</v>
      </c>
      <c r="J2039" s="9" t="s">
        <v>63</v>
      </c>
      <c r="K2039" s="9" t="n">
        <v>33</v>
      </c>
      <c r="L2039" s="9" t="n">
        <v>2</v>
      </c>
      <c r="M2039" s="9" t="n">
        <v>0</v>
      </c>
      <c r="N2039" s="9" t="s">
        <v>71</v>
      </c>
      <c r="O2039" s="9"/>
      <c r="P2039" s="9" t="n">
        <v>7.7</v>
      </c>
      <c r="Q2039" s="9" t="n">
        <v>30</v>
      </c>
      <c r="R2039" s="9" t="s">
        <v>53</v>
      </c>
      <c r="S2039" s="9"/>
      <c r="T2039" s="9"/>
      <c r="U2039" s="9" t="str">
        <f aca="false">IF(COUNTIF($A$2:$A$5001,A2039)&gt;1,"Duplicate","Unique")</f>
        <v>Unique</v>
      </c>
      <c r="V2039" s="9" t="str">
        <f aca="false">IF(COUNTIFS($B$2:$B$5001,B2039,$H$2:$H$5001,H2039,$J$2:$J$5001,J2039)&gt;1,"Possible Duplicate Booking","Unique")</f>
        <v>Unique</v>
      </c>
      <c r="W2039" s="9" t="str">
        <f aca="false">IF((H2039-G2039)&lt;&gt;K2039,"Mismatch","OK")</f>
        <v>OK</v>
      </c>
      <c r="X2039" s="9" t="str">
        <f aca="false">IF(TEXT(H2039,"dddd")&lt;&gt;I2039,"Mismatch","OK")</f>
        <v>OK</v>
      </c>
      <c r="Y2039" s="9" t="str">
        <f aca="false">IF(AND(N2039="No",O2039&lt;&gt;""),"Unexpected: channel present but no reminder sent",IF(AND(N2039="Yes",O2039=""),"Missing channel for sent reminder","OK"))</f>
        <v>OK</v>
      </c>
    </row>
    <row r="2040" customFormat="false" ht="15" hidden="false" customHeight="false" outlineLevel="0" collapsed="false">
      <c r="A2040" s="7" t="s">
        <v>3325</v>
      </c>
      <c r="B2040" s="7" t="s">
        <v>3326</v>
      </c>
      <c r="C2040" s="7" t="s">
        <v>37</v>
      </c>
      <c r="D2040" s="7" t="n">
        <v>62</v>
      </c>
      <c r="E2040" s="7" t="s">
        <v>61</v>
      </c>
      <c r="F2040" s="7" t="s">
        <v>49</v>
      </c>
      <c r="G2040" s="8" t="n">
        <v>46148</v>
      </c>
      <c r="H2040" s="8" t="n">
        <v>46197</v>
      </c>
      <c r="I2040" s="7" t="s">
        <v>58</v>
      </c>
      <c r="J2040" s="7" t="s">
        <v>63</v>
      </c>
      <c r="K2040" s="7" t="n">
        <v>49</v>
      </c>
      <c r="L2040" s="7" t="n">
        <v>6</v>
      </c>
      <c r="M2040" s="7" t="n">
        <v>2</v>
      </c>
      <c r="N2040" s="7" t="s">
        <v>42</v>
      </c>
      <c r="O2040" s="7" t="s">
        <v>43</v>
      </c>
      <c r="P2040" s="7" t="n">
        <v>1.9</v>
      </c>
      <c r="Q2040" s="7" t="n">
        <v>20</v>
      </c>
      <c r="R2040" s="7" t="s">
        <v>53</v>
      </c>
      <c r="S2040" s="7"/>
      <c r="T2040" s="7"/>
      <c r="U2040" s="7" t="str">
        <f aca="false">IF(COUNTIF($A$2:$A$5001,A2040)&gt;1,"Duplicate","Unique")</f>
        <v>Unique</v>
      </c>
      <c r="V2040" s="7" t="str">
        <f aca="false">IF(COUNTIFS($B$2:$B$5001,B2040,$H$2:$H$5001,H2040,$J$2:$J$5001,J2040)&gt;1,"Possible Duplicate Booking","Unique")</f>
        <v>Unique</v>
      </c>
      <c r="W2040" s="7" t="str">
        <f aca="false">IF((H2040-G2040)&lt;&gt;K2040,"Mismatch","OK")</f>
        <v>OK</v>
      </c>
      <c r="X2040" s="7" t="str">
        <f aca="false">IF(TEXT(H2040,"dddd")&lt;&gt;I2040,"Mismatch","OK")</f>
        <v>OK</v>
      </c>
      <c r="Y2040" s="7" t="str">
        <f aca="false">IF(AND(N2040="No",O2040&lt;&gt;""),"Unexpected: channel present but no reminder sent",IF(AND(N2040="Yes",O2040=""),"Missing channel for sent reminder","OK"))</f>
        <v>OK</v>
      </c>
    </row>
    <row r="2041" customFormat="false" ht="15" hidden="false" customHeight="false" outlineLevel="0" collapsed="false">
      <c r="A2041" s="9" t="s">
        <v>3327</v>
      </c>
      <c r="B2041" s="9" t="s">
        <v>3253</v>
      </c>
      <c r="C2041" s="9" t="s">
        <v>47</v>
      </c>
      <c r="D2041" s="9" t="n">
        <v>77</v>
      </c>
      <c r="E2041" s="9" t="s">
        <v>70</v>
      </c>
      <c r="F2041" s="9" t="s">
        <v>57</v>
      </c>
      <c r="G2041" s="10" t="n">
        <v>45857</v>
      </c>
      <c r="H2041" s="10" t="n">
        <v>45903</v>
      </c>
      <c r="I2041" s="9" t="s">
        <v>58</v>
      </c>
      <c r="J2041" s="9" t="s">
        <v>41</v>
      </c>
      <c r="K2041" s="9" t="n">
        <v>46</v>
      </c>
      <c r="L2041" s="9" t="n">
        <v>4</v>
      </c>
      <c r="M2041" s="9" t="n">
        <v>0</v>
      </c>
      <c r="N2041" s="9" t="s">
        <v>42</v>
      </c>
      <c r="O2041" s="9" t="s">
        <v>52</v>
      </c>
      <c r="P2041" s="9" t="n">
        <v>11.1</v>
      </c>
      <c r="Q2041" s="9" t="n">
        <v>24</v>
      </c>
      <c r="R2041" s="9" t="s">
        <v>53</v>
      </c>
      <c r="S2041" s="9"/>
      <c r="T2041" s="9"/>
      <c r="U2041" s="9" t="str">
        <f aca="false">IF(COUNTIF($A$2:$A$5001,A2041)&gt;1,"Duplicate","Unique")</f>
        <v>Unique</v>
      </c>
      <c r="V2041" s="9" t="str">
        <f aca="false">IF(COUNTIFS($B$2:$B$5001,B2041,$H$2:$H$5001,H2041,$J$2:$J$5001,J2041)&gt;1,"Possible Duplicate Booking","Unique")</f>
        <v>Unique</v>
      </c>
      <c r="W2041" s="9" t="str">
        <f aca="false">IF((H2041-G2041)&lt;&gt;K2041,"Mismatch","OK")</f>
        <v>OK</v>
      </c>
      <c r="X2041" s="9" t="str">
        <f aca="false">IF(TEXT(H2041,"dddd")&lt;&gt;I2041,"Mismatch","OK")</f>
        <v>OK</v>
      </c>
      <c r="Y2041" s="9" t="str">
        <f aca="false">IF(AND(N2041="No",O2041&lt;&gt;""),"Unexpected: channel present but no reminder sent",IF(AND(N2041="Yes",O2041=""),"Missing channel for sent reminder","OK"))</f>
        <v>OK</v>
      </c>
    </row>
    <row r="2042" customFormat="false" ht="15" hidden="false" customHeight="false" outlineLevel="0" collapsed="false">
      <c r="A2042" s="7" t="s">
        <v>3328</v>
      </c>
      <c r="B2042" s="7" t="s">
        <v>673</v>
      </c>
      <c r="C2042" s="7" t="s">
        <v>37</v>
      </c>
      <c r="D2042" s="7" t="n">
        <v>47</v>
      </c>
      <c r="E2042" s="7" t="s">
        <v>56</v>
      </c>
      <c r="F2042" s="7" t="s">
        <v>74</v>
      </c>
      <c r="G2042" s="8" t="n">
        <v>45784</v>
      </c>
      <c r="H2042" s="8" t="n">
        <v>45816</v>
      </c>
      <c r="I2042" s="7" t="s">
        <v>75</v>
      </c>
      <c r="J2042" s="7" t="s">
        <v>41</v>
      </c>
      <c r="K2042" s="7" t="n">
        <v>32</v>
      </c>
      <c r="L2042" s="7" t="n">
        <v>2</v>
      </c>
      <c r="M2042" s="7" t="n">
        <v>0</v>
      </c>
      <c r="N2042" s="7" t="s">
        <v>42</v>
      </c>
      <c r="O2042" s="7" t="s">
        <v>52</v>
      </c>
      <c r="P2042" s="7" t="n">
        <v>9.1</v>
      </c>
      <c r="Q2042" s="7" t="n">
        <v>12</v>
      </c>
      <c r="R2042" s="7" t="s">
        <v>44</v>
      </c>
      <c r="S2042" s="7"/>
      <c r="T2042" s="7"/>
      <c r="U2042" s="7" t="str">
        <f aca="false">IF(COUNTIF($A$2:$A$5001,A2042)&gt;1,"Duplicate","Unique")</f>
        <v>Unique</v>
      </c>
      <c r="V2042" s="7" t="str">
        <f aca="false">IF(COUNTIFS($B$2:$B$5001,B2042,$H$2:$H$5001,H2042,$J$2:$J$5001,J2042)&gt;1,"Possible Duplicate Booking","Unique")</f>
        <v>Unique</v>
      </c>
      <c r="W2042" s="7" t="str">
        <f aca="false">IF((H2042-G2042)&lt;&gt;K2042,"Mismatch","OK")</f>
        <v>OK</v>
      </c>
      <c r="X2042" s="7" t="str">
        <f aca="false">IF(TEXT(H2042,"dddd")&lt;&gt;I2042,"Mismatch","OK")</f>
        <v>OK</v>
      </c>
      <c r="Y2042" s="7" t="str">
        <f aca="false">IF(AND(N2042="No",O2042&lt;&gt;""),"Unexpected: channel present but no reminder sent",IF(AND(N2042="Yes",O2042=""),"Missing channel for sent reminder","OK"))</f>
        <v>OK</v>
      </c>
    </row>
    <row r="2043" customFormat="false" ht="15" hidden="false" customHeight="false" outlineLevel="0" collapsed="false">
      <c r="A2043" s="9" t="s">
        <v>3329</v>
      </c>
      <c r="B2043" s="9" t="s">
        <v>3330</v>
      </c>
      <c r="C2043" s="9" t="s">
        <v>47</v>
      </c>
      <c r="D2043" s="9" t="n">
        <v>79</v>
      </c>
      <c r="E2043" s="9" t="s">
        <v>70</v>
      </c>
      <c r="F2043" s="9" t="s">
        <v>74</v>
      </c>
      <c r="G2043" s="10" t="n">
        <v>46114</v>
      </c>
      <c r="H2043" s="10" t="n">
        <v>46145</v>
      </c>
      <c r="I2043" s="9" t="s">
        <v>75</v>
      </c>
      <c r="J2043" s="9" t="s">
        <v>63</v>
      </c>
      <c r="K2043" s="9" t="n">
        <v>31</v>
      </c>
      <c r="L2043" s="9" t="n">
        <v>3</v>
      </c>
      <c r="M2043" s="9" t="n">
        <v>0</v>
      </c>
      <c r="N2043" s="9" t="s">
        <v>42</v>
      </c>
      <c r="O2043" s="9" t="s">
        <v>52</v>
      </c>
      <c r="P2043" s="9" t="n">
        <v>4.6</v>
      </c>
      <c r="Q2043" s="9" t="n">
        <v>19</v>
      </c>
      <c r="R2043" s="9" t="s">
        <v>53</v>
      </c>
      <c r="S2043" s="9"/>
      <c r="T2043" s="9"/>
      <c r="U2043" s="9" t="str">
        <f aca="false">IF(COUNTIF($A$2:$A$5001,A2043)&gt;1,"Duplicate","Unique")</f>
        <v>Unique</v>
      </c>
      <c r="V2043" s="9" t="str">
        <f aca="false">IF(COUNTIFS($B$2:$B$5001,B2043,$H$2:$H$5001,H2043,$J$2:$J$5001,J2043)&gt;1,"Possible Duplicate Booking","Unique")</f>
        <v>Unique</v>
      </c>
      <c r="W2043" s="9" t="str">
        <f aca="false">IF((H2043-G2043)&lt;&gt;K2043,"Mismatch","OK")</f>
        <v>OK</v>
      </c>
      <c r="X2043" s="9" t="str">
        <f aca="false">IF(TEXT(H2043,"dddd")&lt;&gt;I2043,"Mismatch","OK")</f>
        <v>OK</v>
      </c>
      <c r="Y2043" s="9" t="str">
        <f aca="false">IF(AND(N2043="No",O2043&lt;&gt;""),"Unexpected: channel present but no reminder sent",IF(AND(N2043="Yes",O2043=""),"Missing channel for sent reminder","OK"))</f>
        <v>OK</v>
      </c>
    </row>
    <row r="2044" customFormat="false" ht="15" hidden="false" customHeight="false" outlineLevel="0" collapsed="false">
      <c r="A2044" s="7" t="s">
        <v>3331</v>
      </c>
      <c r="B2044" s="7" t="s">
        <v>3022</v>
      </c>
      <c r="C2044" s="7" t="s">
        <v>47</v>
      </c>
      <c r="D2044" s="7" t="n">
        <v>50</v>
      </c>
      <c r="E2044" s="7" t="s">
        <v>56</v>
      </c>
      <c r="F2044" s="7" t="s">
        <v>39</v>
      </c>
      <c r="G2044" s="8" t="n">
        <v>46028</v>
      </c>
      <c r="H2044" s="8" t="n">
        <v>46065</v>
      </c>
      <c r="I2044" s="7" t="s">
        <v>62</v>
      </c>
      <c r="J2044" s="7" t="s">
        <v>41</v>
      </c>
      <c r="K2044" s="7" t="n">
        <v>37</v>
      </c>
      <c r="L2044" s="7" t="n">
        <v>1</v>
      </c>
      <c r="M2044" s="7" t="n">
        <v>1</v>
      </c>
      <c r="N2044" s="7" t="s">
        <v>71</v>
      </c>
      <c r="O2044" s="7"/>
      <c r="P2044" s="7" t="n">
        <v>9.2</v>
      </c>
      <c r="Q2044" s="7" t="n">
        <v>24</v>
      </c>
      <c r="R2044" s="7" t="s">
        <v>44</v>
      </c>
      <c r="S2044" s="7"/>
      <c r="T2044" s="7"/>
      <c r="U2044" s="7" t="str">
        <f aca="false">IF(COUNTIF($A$2:$A$5001,A2044)&gt;1,"Duplicate","Unique")</f>
        <v>Unique</v>
      </c>
      <c r="V2044" s="7" t="str">
        <f aca="false">IF(COUNTIFS($B$2:$B$5001,B2044,$H$2:$H$5001,H2044,$J$2:$J$5001,J2044)&gt;1,"Possible Duplicate Booking","Unique")</f>
        <v>Unique</v>
      </c>
      <c r="W2044" s="7" t="str">
        <f aca="false">IF((H2044-G2044)&lt;&gt;K2044,"Mismatch","OK")</f>
        <v>OK</v>
      </c>
      <c r="X2044" s="7" t="str">
        <f aca="false">IF(TEXT(H2044,"dddd")&lt;&gt;I2044,"Mismatch","OK")</f>
        <v>OK</v>
      </c>
      <c r="Y2044" s="7" t="str">
        <f aca="false">IF(AND(N2044="No",O2044&lt;&gt;""),"Unexpected: channel present but no reminder sent",IF(AND(N2044="Yes",O2044=""),"Missing channel for sent reminder","OK"))</f>
        <v>OK</v>
      </c>
    </row>
    <row r="2045" customFormat="false" ht="15" hidden="false" customHeight="false" outlineLevel="0" collapsed="false">
      <c r="A2045" s="9" t="s">
        <v>3332</v>
      </c>
      <c r="B2045" s="9" t="s">
        <v>453</v>
      </c>
      <c r="C2045" s="9" t="s">
        <v>47</v>
      </c>
      <c r="D2045" s="9" t="n">
        <v>74</v>
      </c>
      <c r="E2045" s="9" t="s">
        <v>70</v>
      </c>
      <c r="F2045" s="9" t="s">
        <v>39</v>
      </c>
      <c r="G2045" s="10" t="n">
        <v>46015</v>
      </c>
      <c r="H2045" s="10" t="n">
        <v>46067</v>
      </c>
      <c r="I2045" s="9" t="s">
        <v>102</v>
      </c>
      <c r="J2045" s="9" t="s">
        <v>63</v>
      </c>
      <c r="K2045" s="9" t="n">
        <v>52</v>
      </c>
      <c r="L2045" s="9" t="n">
        <v>4</v>
      </c>
      <c r="M2045" s="9" t="n">
        <v>0</v>
      </c>
      <c r="N2045" s="9" t="s">
        <v>42</v>
      </c>
      <c r="O2045" s="9" t="s">
        <v>43</v>
      </c>
      <c r="P2045" s="9" t="n">
        <v>19.5</v>
      </c>
      <c r="Q2045" s="9" t="n">
        <v>7</v>
      </c>
      <c r="R2045" s="9" t="s">
        <v>44</v>
      </c>
      <c r="S2045" s="9"/>
      <c r="T2045" s="9"/>
      <c r="U2045" s="9" t="str">
        <f aca="false">IF(COUNTIF($A$2:$A$5001,A2045)&gt;1,"Duplicate","Unique")</f>
        <v>Unique</v>
      </c>
      <c r="V2045" s="9" t="str">
        <f aca="false">IF(COUNTIFS($B$2:$B$5001,B2045,$H$2:$H$5001,H2045,$J$2:$J$5001,J2045)&gt;1,"Possible Duplicate Booking","Unique")</f>
        <v>Unique</v>
      </c>
      <c r="W2045" s="9" t="str">
        <f aca="false">IF((H2045-G2045)&lt;&gt;K2045,"Mismatch","OK")</f>
        <v>OK</v>
      </c>
      <c r="X2045" s="9" t="str">
        <f aca="false">IF(TEXT(H2045,"dddd")&lt;&gt;I2045,"Mismatch","OK")</f>
        <v>OK</v>
      </c>
      <c r="Y2045" s="9" t="str">
        <f aca="false">IF(AND(N2045="No",O2045&lt;&gt;""),"Unexpected: channel present but no reminder sent",IF(AND(N2045="Yes",O2045=""),"Missing channel for sent reminder","OK"))</f>
        <v>OK</v>
      </c>
    </row>
    <row r="2046" customFormat="false" ht="15" hidden="false" customHeight="false" outlineLevel="0" collapsed="false">
      <c r="A2046" s="7" t="s">
        <v>3333</v>
      </c>
      <c r="B2046" s="7" t="s">
        <v>3334</v>
      </c>
      <c r="C2046" s="7" t="s">
        <v>37</v>
      </c>
      <c r="D2046" s="7" t="n">
        <v>64</v>
      </c>
      <c r="E2046" s="7" t="s">
        <v>61</v>
      </c>
      <c r="F2046" s="7" t="s">
        <v>39</v>
      </c>
      <c r="G2046" s="8" t="n">
        <v>45758</v>
      </c>
      <c r="H2046" s="8" t="n">
        <v>45809</v>
      </c>
      <c r="I2046" s="7" t="s">
        <v>75</v>
      </c>
      <c r="J2046" s="7" t="s">
        <v>51</v>
      </c>
      <c r="K2046" s="7" t="n">
        <v>51</v>
      </c>
      <c r="L2046" s="7" t="n">
        <v>2</v>
      </c>
      <c r="M2046" s="7" t="n">
        <v>0</v>
      </c>
      <c r="N2046" s="7" t="s">
        <v>71</v>
      </c>
      <c r="O2046" s="7"/>
      <c r="P2046" s="7" t="n">
        <v>17.2</v>
      </c>
      <c r="Q2046" s="7" t="n">
        <v>50</v>
      </c>
      <c r="R2046" s="7" t="s">
        <v>44</v>
      </c>
      <c r="S2046" s="7"/>
      <c r="T2046" s="7"/>
      <c r="U2046" s="7" t="str">
        <f aca="false">IF(COUNTIF($A$2:$A$5001,A2046)&gt;1,"Duplicate","Unique")</f>
        <v>Unique</v>
      </c>
      <c r="V2046" s="7" t="str">
        <f aca="false">IF(COUNTIFS($B$2:$B$5001,B2046,$H$2:$H$5001,H2046,$J$2:$J$5001,J2046)&gt;1,"Possible Duplicate Booking","Unique")</f>
        <v>Unique</v>
      </c>
      <c r="W2046" s="7" t="str">
        <f aca="false">IF((H2046-G2046)&lt;&gt;K2046,"Mismatch","OK")</f>
        <v>OK</v>
      </c>
      <c r="X2046" s="7" t="str">
        <f aca="false">IF(TEXT(H2046,"dddd")&lt;&gt;I2046,"Mismatch","OK")</f>
        <v>OK</v>
      </c>
      <c r="Y2046" s="7" t="str">
        <f aca="false">IF(AND(N2046="No",O2046&lt;&gt;""),"Unexpected: channel present but no reminder sent",IF(AND(N2046="Yes",O2046=""),"Missing channel for sent reminder","OK"))</f>
        <v>OK</v>
      </c>
    </row>
    <row r="2047" customFormat="false" ht="15" hidden="false" customHeight="false" outlineLevel="0" collapsed="false">
      <c r="A2047" s="9" t="s">
        <v>3335</v>
      </c>
      <c r="B2047" s="9" t="s">
        <v>244</v>
      </c>
      <c r="C2047" s="9" t="s">
        <v>47</v>
      </c>
      <c r="D2047" s="9" t="n">
        <v>26</v>
      </c>
      <c r="E2047" s="9" t="s">
        <v>48</v>
      </c>
      <c r="F2047" s="9" t="s">
        <v>57</v>
      </c>
      <c r="G2047" s="10" t="n">
        <v>46193</v>
      </c>
      <c r="H2047" s="10" t="n">
        <v>46199</v>
      </c>
      <c r="I2047" s="9" t="s">
        <v>50</v>
      </c>
      <c r="J2047" s="9" t="s">
        <v>41</v>
      </c>
      <c r="K2047" s="9" t="n">
        <v>6</v>
      </c>
      <c r="L2047" s="9" t="n">
        <v>1</v>
      </c>
      <c r="M2047" s="9" t="n">
        <v>0</v>
      </c>
      <c r="N2047" s="9" t="s">
        <v>71</v>
      </c>
      <c r="O2047" s="9"/>
      <c r="P2047" s="9" t="n">
        <v>6.8</v>
      </c>
      <c r="Q2047" s="9" t="n">
        <v>16</v>
      </c>
      <c r="R2047" s="9" t="s">
        <v>53</v>
      </c>
      <c r="S2047" s="9"/>
      <c r="T2047" s="9"/>
      <c r="U2047" s="9" t="str">
        <f aca="false">IF(COUNTIF($A$2:$A$5001,A2047)&gt;1,"Duplicate","Unique")</f>
        <v>Unique</v>
      </c>
      <c r="V2047" s="9" t="str">
        <f aca="false">IF(COUNTIFS($B$2:$B$5001,B2047,$H$2:$H$5001,H2047,$J$2:$J$5001,J2047)&gt;1,"Possible Duplicate Booking","Unique")</f>
        <v>Unique</v>
      </c>
      <c r="W2047" s="9" t="str">
        <f aca="false">IF((H2047-G2047)&lt;&gt;K2047,"Mismatch","OK")</f>
        <v>OK</v>
      </c>
      <c r="X2047" s="9" t="str">
        <f aca="false">IF(TEXT(H2047,"dddd")&lt;&gt;I2047,"Mismatch","OK")</f>
        <v>OK</v>
      </c>
      <c r="Y2047" s="9" t="str">
        <f aca="false">IF(AND(N2047="No",O2047&lt;&gt;""),"Unexpected: channel present but no reminder sent",IF(AND(N2047="Yes",O2047=""),"Missing channel for sent reminder","OK"))</f>
        <v>OK</v>
      </c>
    </row>
    <row r="2048" customFormat="false" ht="15" hidden="false" customHeight="false" outlineLevel="0" collapsed="false">
      <c r="A2048" s="7" t="s">
        <v>3336</v>
      </c>
      <c r="B2048" s="7" t="s">
        <v>379</v>
      </c>
      <c r="C2048" s="7" t="s">
        <v>47</v>
      </c>
      <c r="D2048" s="7" t="n">
        <v>58</v>
      </c>
      <c r="E2048" s="7" t="s">
        <v>61</v>
      </c>
      <c r="F2048" s="7" t="s">
        <v>39</v>
      </c>
      <c r="G2048" s="8" t="n">
        <v>45869</v>
      </c>
      <c r="H2048" s="8" t="n">
        <v>45905</v>
      </c>
      <c r="I2048" s="7" t="s">
        <v>50</v>
      </c>
      <c r="J2048" s="7" t="s">
        <v>41</v>
      </c>
      <c r="K2048" s="7" t="n">
        <v>36</v>
      </c>
      <c r="L2048" s="7" t="n">
        <v>5</v>
      </c>
      <c r="M2048" s="7" t="n">
        <v>1</v>
      </c>
      <c r="N2048" s="7" t="s">
        <v>42</v>
      </c>
      <c r="O2048" s="7" t="s">
        <v>52</v>
      </c>
      <c r="P2048" s="7" t="n">
        <v>6.7</v>
      </c>
      <c r="Q2048" s="7" t="n">
        <v>26</v>
      </c>
      <c r="R2048" s="7" t="s">
        <v>44</v>
      </c>
      <c r="S2048" s="7"/>
      <c r="T2048" s="7"/>
      <c r="U2048" s="7" t="str">
        <f aca="false">IF(COUNTIF($A$2:$A$5001,A2048)&gt;1,"Duplicate","Unique")</f>
        <v>Unique</v>
      </c>
      <c r="V2048" s="7" t="str">
        <f aca="false">IF(COUNTIFS($B$2:$B$5001,B2048,$H$2:$H$5001,H2048,$J$2:$J$5001,J2048)&gt;1,"Possible Duplicate Booking","Unique")</f>
        <v>Unique</v>
      </c>
      <c r="W2048" s="7" t="str">
        <f aca="false">IF((H2048-G2048)&lt;&gt;K2048,"Mismatch","OK")</f>
        <v>OK</v>
      </c>
      <c r="X2048" s="7" t="str">
        <f aca="false">IF(TEXT(H2048,"dddd")&lt;&gt;I2048,"Mismatch","OK")</f>
        <v>OK</v>
      </c>
      <c r="Y2048" s="7" t="str">
        <f aca="false">IF(AND(N2048="No",O2048&lt;&gt;""),"Unexpected: channel present but no reminder sent",IF(AND(N2048="Yes",O2048=""),"Missing channel for sent reminder","OK"))</f>
        <v>OK</v>
      </c>
    </row>
    <row r="2049" customFormat="false" ht="15" hidden="false" customHeight="false" outlineLevel="0" collapsed="false">
      <c r="A2049" s="9" t="s">
        <v>3337</v>
      </c>
      <c r="B2049" s="9" t="s">
        <v>264</v>
      </c>
      <c r="C2049" s="9" t="s">
        <v>47</v>
      </c>
      <c r="D2049" s="9" t="n">
        <v>73</v>
      </c>
      <c r="E2049" s="9" t="s">
        <v>70</v>
      </c>
      <c r="F2049" s="9" t="s">
        <v>39</v>
      </c>
      <c r="G2049" s="10" t="n">
        <v>45925</v>
      </c>
      <c r="H2049" s="10" t="n">
        <v>45948</v>
      </c>
      <c r="I2049" s="9" t="s">
        <v>102</v>
      </c>
      <c r="J2049" s="9" t="s">
        <v>51</v>
      </c>
      <c r="K2049" s="9" t="n">
        <v>23</v>
      </c>
      <c r="L2049" s="9" t="n">
        <v>3</v>
      </c>
      <c r="M2049" s="9" t="n">
        <v>0</v>
      </c>
      <c r="N2049" s="9" t="s">
        <v>42</v>
      </c>
      <c r="O2049" s="9" t="s">
        <v>43</v>
      </c>
      <c r="P2049" s="9" t="n">
        <v>4.3</v>
      </c>
      <c r="Q2049" s="9" t="n">
        <v>10</v>
      </c>
      <c r="R2049" s="9" t="s">
        <v>53</v>
      </c>
      <c r="S2049" s="9"/>
      <c r="T2049" s="9"/>
      <c r="U2049" s="9" t="str">
        <f aca="false">IF(COUNTIF($A$2:$A$5001,A2049)&gt;1,"Duplicate","Unique")</f>
        <v>Unique</v>
      </c>
      <c r="V2049" s="9" t="str">
        <f aca="false">IF(COUNTIFS($B$2:$B$5001,B2049,$H$2:$H$5001,H2049,$J$2:$J$5001,J2049)&gt;1,"Possible Duplicate Booking","Unique")</f>
        <v>Unique</v>
      </c>
      <c r="W2049" s="9" t="str">
        <f aca="false">IF((H2049-G2049)&lt;&gt;K2049,"Mismatch","OK")</f>
        <v>OK</v>
      </c>
      <c r="X2049" s="9" t="str">
        <f aca="false">IF(TEXT(H2049,"dddd")&lt;&gt;I2049,"Mismatch","OK")</f>
        <v>OK</v>
      </c>
      <c r="Y2049" s="9" t="str">
        <f aca="false">IF(AND(N2049="No",O2049&lt;&gt;""),"Unexpected: channel present but no reminder sent",IF(AND(N2049="Yes",O2049=""),"Missing channel for sent reminder","OK"))</f>
        <v>OK</v>
      </c>
    </row>
    <row r="2050" customFormat="false" ht="15" hidden="false" customHeight="false" outlineLevel="0" collapsed="false">
      <c r="A2050" s="7" t="s">
        <v>3338</v>
      </c>
      <c r="B2050" s="7" t="s">
        <v>3339</v>
      </c>
      <c r="C2050" s="7" t="s">
        <v>47</v>
      </c>
      <c r="D2050" s="7" t="n">
        <v>26</v>
      </c>
      <c r="E2050" s="7" t="s">
        <v>48</v>
      </c>
      <c r="F2050" s="7" t="s">
        <v>39</v>
      </c>
      <c r="G2050" s="8" t="n">
        <v>46020</v>
      </c>
      <c r="H2050" s="8" t="n">
        <v>46068</v>
      </c>
      <c r="I2050" s="7" t="s">
        <v>75</v>
      </c>
      <c r="J2050" s="7" t="s">
        <v>51</v>
      </c>
      <c r="K2050" s="7" t="n">
        <v>48</v>
      </c>
      <c r="L2050" s="7" t="n">
        <v>1</v>
      </c>
      <c r="M2050" s="7" t="n">
        <v>0</v>
      </c>
      <c r="N2050" s="7" t="s">
        <v>42</v>
      </c>
      <c r="O2050" s="7" t="s">
        <v>43</v>
      </c>
      <c r="P2050" s="7" t="n">
        <v>6.9</v>
      </c>
      <c r="Q2050" s="7" t="n">
        <v>2</v>
      </c>
      <c r="R2050" s="7" t="s">
        <v>44</v>
      </c>
      <c r="S2050" s="7"/>
      <c r="T2050" s="7"/>
      <c r="U2050" s="7" t="str">
        <f aca="false">IF(COUNTIF($A$2:$A$5001,A2050)&gt;1,"Duplicate","Unique")</f>
        <v>Unique</v>
      </c>
      <c r="V2050" s="7" t="str">
        <f aca="false">IF(COUNTIFS($B$2:$B$5001,B2050,$H$2:$H$5001,H2050,$J$2:$J$5001,J2050)&gt;1,"Possible Duplicate Booking","Unique")</f>
        <v>Unique</v>
      </c>
      <c r="W2050" s="7" t="str">
        <f aca="false">IF((H2050-G2050)&lt;&gt;K2050,"Mismatch","OK")</f>
        <v>OK</v>
      </c>
      <c r="X2050" s="7" t="str">
        <f aca="false">IF(TEXT(H2050,"dddd")&lt;&gt;I2050,"Mismatch","OK")</f>
        <v>OK</v>
      </c>
      <c r="Y2050" s="7" t="str">
        <f aca="false">IF(AND(N2050="No",O2050&lt;&gt;""),"Unexpected: channel present but no reminder sent",IF(AND(N2050="Yes",O2050=""),"Missing channel for sent reminder","OK"))</f>
        <v>OK</v>
      </c>
    </row>
    <row r="2051" customFormat="false" ht="15" hidden="false" customHeight="false" outlineLevel="0" collapsed="false">
      <c r="A2051" s="9" t="s">
        <v>3340</v>
      </c>
      <c r="B2051" s="9" t="s">
        <v>154</v>
      </c>
      <c r="C2051" s="9" t="s">
        <v>37</v>
      </c>
      <c r="D2051" s="9" t="n">
        <v>70</v>
      </c>
      <c r="E2051" s="9" t="s">
        <v>70</v>
      </c>
      <c r="F2051" s="9" t="s">
        <v>57</v>
      </c>
      <c r="G2051" s="10" t="n">
        <v>45988</v>
      </c>
      <c r="H2051" s="10" t="n">
        <v>46018</v>
      </c>
      <c r="I2051" s="9" t="s">
        <v>102</v>
      </c>
      <c r="J2051" s="9" t="s">
        <v>51</v>
      </c>
      <c r="K2051" s="9" t="n">
        <v>30</v>
      </c>
      <c r="L2051" s="9" t="n">
        <v>3</v>
      </c>
      <c r="M2051" s="9" t="n">
        <v>1</v>
      </c>
      <c r="N2051" s="9" t="s">
        <v>71</v>
      </c>
      <c r="O2051" s="9"/>
      <c r="P2051" s="9" t="n">
        <v>10</v>
      </c>
      <c r="Q2051" s="9" t="n">
        <v>43</v>
      </c>
      <c r="R2051" s="9" t="s">
        <v>53</v>
      </c>
      <c r="S2051" s="9"/>
      <c r="T2051" s="9"/>
      <c r="U2051" s="9" t="str">
        <f aca="false">IF(COUNTIF($A$2:$A$5001,A2051)&gt;1,"Duplicate","Unique")</f>
        <v>Unique</v>
      </c>
      <c r="V2051" s="9" t="str">
        <f aca="false">IF(COUNTIFS($B$2:$B$5001,B2051,$H$2:$H$5001,H2051,$J$2:$J$5001,J2051)&gt;1,"Possible Duplicate Booking","Unique")</f>
        <v>Unique</v>
      </c>
      <c r="W2051" s="9" t="str">
        <f aca="false">IF((H2051-G2051)&lt;&gt;K2051,"Mismatch","OK")</f>
        <v>OK</v>
      </c>
      <c r="X2051" s="9" t="str">
        <f aca="false">IF(TEXT(H2051,"dddd")&lt;&gt;I2051,"Mismatch","OK")</f>
        <v>OK</v>
      </c>
      <c r="Y2051" s="9" t="str">
        <f aca="false">IF(AND(N2051="No",O2051&lt;&gt;""),"Unexpected: channel present but no reminder sent",IF(AND(N2051="Yes",O2051=""),"Missing channel for sent reminder","OK"))</f>
        <v>OK</v>
      </c>
    </row>
    <row r="2052" customFormat="false" ht="15" hidden="false" customHeight="false" outlineLevel="0" collapsed="false">
      <c r="A2052" s="7" t="s">
        <v>3341</v>
      </c>
      <c r="B2052" s="7" t="s">
        <v>73</v>
      </c>
      <c r="C2052" s="7" t="s">
        <v>47</v>
      </c>
      <c r="D2052" s="7" t="n">
        <v>24</v>
      </c>
      <c r="E2052" s="7" t="s">
        <v>82</v>
      </c>
      <c r="F2052" s="7" t="s">
        <v>74</v>
      </c>
      <c r="G2052" s="8" t="n">
        <v>45692</v>
      </c>
      <c r="H2052" s="8" t="n">
        <v>45752</v>
      </c>
      <c r="I2052" s="7" t="s">
        <v>102</v>
      </c>
      <c r="J2052" s="7" t="s">
        <v>51</v>
      </c>
      <c r="K2052" s="7" t="n">
        <v>60</v>
      </c>
      <c r="L2052" s="7" t="n">
        <v>1</v>
      </c>
      <c r="M2052" s="7" t="n">
        <v>0</v>
      </c>
      <c r="N2052" s="7" t="s">
        <v>42</v>
      </c>
      <c r="O2052" s="7" t="s">
        <v>52</v>
      </c>
      <c r="P2052" s="7" t="n">
        <v>9.7</v>
      </c>
      <c r="Q2052" s="7" t="n">
        <v>25</v>
      </c>
      <c r="R2052" s="7" t="s">
        <v>53</v>
      </c>
      <c r="S2052" s="7"/>
      <c r="T2052" s="7"/>
      <c r="U2052" s="7" t="str">
        <f aca="false">IF(COUNTIF($A$2:$A$5001,A2052)&gt;1,"Duplicate","Unique")</f>
        <v>Unique</v>
      </c>
      <c r="V2052" s="7" t="str">
        <f aca="false">IF(COUNTIFS($B$2:$B$5001,B2052,$H$2:$H$5001,H2052,$J$2:$J$5001,J2052)&gt;1,"Possible Duplicate Booking","Unique")</f>
        <v>Unique</v>
      </c>
      <c r="W2052" s="7" t="str">
        <f aca="false">IF((H2052-G2052)&lt;&gt;K2052,"Mismatch","OK")</f>
        <v>OK</v>
      </c>
      <c r="X2052" s="7" t="str">
        <f aca="false">IF(TEXT(H2052,"dddd")&lt;&gt;I2052,"Mismatch","OK")</f>
        <v>OK</v>
      </c>
      <c r="Y2052" s="7" t="str">
        <f aca="false">IF(AND(N2052="No",O2052&lt;&gt;""),"Unexpected: channel present but no reminder sent",IF(AND(N2052="Yes",O2052=""),"Missing channel for sent reminder","OK"))</f>
        <v>OK</v>
      </c>
    </row>
    <row r="2053" customFormat="false" ht="15" hidden="false" customHeight="false" outlineLevel="0" collapsed="false">
      <c r="A2053" s="9" t="s">
        <v>3342</v>
      </c>
      <c r="B2053" s="9" t="s">
        <v>3343</v>
      </c>
      <c r="C2053" s="9" t="s">
        <v>37</v>
      </c>
      <c r="D2053" s="9" t="n">
        <v>72</v>
      </c>
      <c r="E2053" s="9" t="s">
        <v>70</v>
      </c>
      <c r="F2053" s="9" t="s">
        <v>57</v>
      </c>
      <c r="G2053" s="10" t="n">
        <v>45797</v>
      </c>
      <c r="H2053" s="10" t="n">
        <v>45823</v>
      </c>
      <c r="I2053" s="9" t="s">
        <v>75</v>
      </c>
      <c r="J2053" s="9" t="s">
        <v>51</v>
      </c>
      <c r="K2053" s="9" t="n">
        <v>26</v>
      </c>
      <c r="L2053" s="9" t="n">
        <v>4</v>
      </c>
      <c r="M2053" s="9" t="n">
        <v>0</v>
      </c>
      <c r="N2053" s="9" t="s">
        <v>42</v>
      </c>
      <c r="O2053" s="9" t="s">
        <v>67</v>
      </c>
      <c r="P2053" s="9" t="n">
        <v>10.7</v>
      </c>
      <c r="Q2053" s="9" t="n">
        <v>2</v>
      </c>
      <c r="R2053" s="9" t="s">
        <v>44</v>
      </c>
      <c r="S2053" s="9"/>
      <c r="T2053" s="9"/>
      <c r="U2053" s="9" t="str">
        <f aca="false">IF(COUNTIF($A$2:$A$5001,A2053)&gt;1,"Duplicate","Unique")</f>
        <v>Unique</v>
      </c>
      <c r="V2053" s="9" t="str">
        <f aca="false">IF(COUNTIFS($B$2:$B$5001,B2053,$H$2:$H$5001,H2053,$J$2:$J$5001,J2053)&gt;1,"Possible Duplicate Booking","Unique")</f>
        <v>Unique</v>
      </c>
      <c r="W2053" s="9" t="str">
        <f aca="false">IF((H2053-G2053)&lt;&gt;K2053,"Mismatch","OK")</f>
        <v>OK</v>
      </c>
      <c r="X2053" s="9" t="str">
        <f aca="false">IF(TEXT(H2053,"dddd")&lt;&gt;I2053,"Mismatch","OK")</f>
        <v>OK</v>
      </c>
      <c r="Y2053" s="9" t="str">
        <f aca="false">IF(AND(N2053="No",O2053&lt;&gt;""),"Unexpected: channel present but no reminder sent",IF(AND(N2053="Yes",O2053=""),"Missing channel for sent reminder","OK"))</f>
        <v>OK</v>
      </c>
    </row>
    <row r="2054" customFormat="false" ht="15" hidden="false" customHeight="false" outlineLevel="0" collapsed="false">
      <c r="A2054" s="7" t="s">
        <v>3344</v>
      </c>
      <c r="B2054" s="7" t="s">
        <v>2182</v>
      </c>
      <c r="C2054" s="7" t="s">
        <v>47</v>
      </c>
      <c r="D2054" s="7" t="n">
        <v>67</v>
      </c>
      <c r="E2054" s="7" t="s">
        <v>70</v>
      </c>
      <c r="F2054" s="7" t="s">
        <v>39</v>
      </c>
      <c r="G2054" s="8" t="n">
        <v>45814</v>
      </c>
      <c r="H2054" s="8" t="n">
        <v>45855</v>
      </c>
      <c r="I2054" s="7" t="s">
        <v>62</v>
      </c>
      <c r="J2054" s="7" t="s">
        <v>51</v>
      </c>
      <c r="K2054" s="7" t="n">
        <v>41</v>
      </c>
      <c r="L2054" s="7" t="n">
        <v>3</v>
      </c>
      <c r="M2054" s="7" t="n">
        <v>0</v>
      </c>
      <c r="N2054" s="7" t="s">
        <v>71</v>
      </c>
      <c r="O2054" s="7"/>
      <c r="P2054" s="7" t="n">
        <v>10.6</v>
      </c>
      <c r="Q2054" s="7" t="n">
        <v>13</v>
      </c>
      <c r="R2054" s="7" t="s">
        <v>44</v>
      </c>
      <c r="S2054" s="7"/>
      <c r="T2054" s="7"/>
      <c r="U2054" s="7" t="str">
        <f aca="false">IF(COUNTIF($A$2:$A$5001,A2054)&gt;1,"Duplicate","Unique")</f>
        <v>Unique</v>
      </c>
      <c r="V2054" s="7" t="str">
        <f aca="false">IF(COUNTIFS($B$2:$B$5001,B2054,$H$2:$H$5001,H2054,$J$2:$J$5001,J2054)&gt;1,"Possible Duplicate Booking","Unique")</f>
        <v>Unique</v>
      </c>
      <c r="W2054" s="7" t="str">
        <f aca="false">IF((H2054-G2054)&lt;&gt;K2054,"Mismatch","OK")</f>
        <v>OK</v>
      </c>
      <c r="X2054" s="7" t="str">
        <f aca="false">IF(TEXT(H2054,"dddd")&lt;&gt;I2054,"Mismatch","OK")</f>
        <v>OK</v>
      </c>
      <c r="Y2054" s="7" t="str">
        <f aca="false">IF(AND(N2054="No",O2054&lt;&gt;""),"Unexpected: channel present but no reminder sent",IF(AND(N2054="Yes",O2054=""),"Missing channel for sent reminder","OK"))</f>
        <v>OK</v>
      </c>
    </row>
    <row r="2055" customFormat="false" ht="15" hidden="false" customHeight="false" outlineLevel="0" collapsed="false">
      <c r="A2055" s="9" t="s">
        <v>3345</v>
      </c>
      <c r="B2055" s="9" t="s">
        <v>120</v>
      </c>
      <c r="C2055" s="9" t="s">
        <v>37</v>
      </c>
      <c r="D2055" s="9" t="n">
        <v>27</v>
      </c>
      <c r="E2055" s="9" t="s">
        <v>48</v>
      </c>
      <c r="F2055" s="9" t="s">
        <v>57</v>
      </c>
      <c r="G2055" s="10" t="n">
        <v>46169</v>
      </c>
      <c r="H2055" s="10" t="n">
        <v>46175</v>
      </c>
      <c r="I2055" s="9" t="s">
        <v>40</v>
      </c>
      <c r="J2055" s="9" t="s">
        <v>41</v>
      </c>
      <c r="K2055" s="9" t="n">
        <v>6</v>
      </c>
      <c r="L2055" s="9" t="n">
        <v>1</v>
      </c>
      <c r="M2055" s="9" t="n">
        <v>0</v>
      </c>
      <c r="N2055" s="9" t="s">
        <v>42</v>
      </c>
      <c r="O2055" s="9" t="s">
        <v>43</v>
      </c>
      <c r="P2055" s="9" t="n">
        <v>5</v>
      </c>
      <c r="Q2055" s="9" t="n">
        <v>47</v>
      </c>
      <c r="R2055" s="9" t="s">
        <v>53</v>
      </c>
      <c r="S2055" s="9"/>
      <c r="T2055" s="9"/>
      <c r="U2055" s="9" t="str">
        <f aca="false">IF(COUNTIF($A$2:$A$5001,A2055)&gt;1,"Duplicate","Unique")</f>
        <v>Unique</v>
      </c>
      <c r="V2055" s="9" t="str">
        <f aca="false">IF(COUNTIFS($B$2:$B$5001,B2055,$H$2:$H$5001,H2055,$J$2:$J$5001,J2055)&gt;1,"Possible Duplicate Booking","Unique")</f>
        <v>Unique</v>
      </c>
      <c r="W2055" s="9" t="str">
        <f aca="false">IF((H2055-G2055)&lt;&gt;K2055,"Mismatch","OK")</f>
        <v>OK</v>
      </c>
      <c r="X2055" s="9" t="str">
        <f aca="false">IF(TEXT(H2055,"dddd")&lt;&gt;I2055,"Mismatch","OK")</f>
        <v>OK</v>
      </c>
      <c r="Y2055" s="9" t="str">
        <f aca="false">IF(AND(N2055="No",O2055&lt;&gt;""),"Unexpected: channel present but no reminder sent",IF(AND(N2055="Yes",O2055=""),"Missing channel for sent reminder","OK"))</f>
        <v>OK</v>
      </c>
    </row>
    <row r="2056" customFormat="false" ht="15" hidden="false" customHeight="false" outlineLevel="0" collapsed="false">
      <c r="A2056" s="7" t="s">
        <v>3346</v>
      </c>
      <c r="B2056" s="7" t="s">
        <v>875</v>
      </c>
      <c r="C2056" s="7" t="s">
        <v>37</v>
      </c>
      <c r="D2056" s="7" t="n">
        <v>63</v>
      </c>
      <c r="E2056" s="7" t="s">
        <v>61</v>
      </c>
      <c r="F2056" s="7" t="s">
        <v>57</v>
      </c>
      <c r="G2056" s="8" t="n">
        <v>45992</v>
      </c>
      <c r="H2056" s="8" t="n">
        <v>46048</v>
      </c>
      <c r="I2056" s="7" t="s">
        <v>66</v>
      </c>
      <c r="J2056" s="7" t="s">
        <v>41</v>
      </c>
      <c r="K2056" s="7" t="n">
        <v>56</v>
      </c>
      <c r="L2056" s="7" t="n">
        <v>2</v>
      </c>
      <c r="M2056" s="7" t="n">
        <v>0</v>
      </c>
      <c r="N2056" s="7" t="s">
        <v>42</v>
      </c>
      <c r="O2056" s="7" t="s">
        <v>52</v>
      </c>
      <c r="P2056" s="7" t="n">
        <v>15.2</v>
      </c>
      <c r="Q2056" s="7" t="n">
        <v>29</v>
      </c>
      <c r="R2056" s="7" t="s">
        <v>44</v>
      </c>
      <c r="S2056" s="7"/>
      <c r="T2056" s="7"/>
      <c r="U2056" s="7" t="str">
        <f aca="false">IF(COUNTIF($A$2:$A$5001,A2056)&gt;1,"Duplicate","Unique")</f>
        <v>Unique</v>
      </c>
      <c r="V2056" s="7" t="str">
        <f aca="false">IF(COUNTIFS($B$2:$B$5001,B2056,$H$2:$H$5001,H2056,$J$2:$J$5001,J2056)&gt;1,"Possible Duplicate Booking","Unique")</f>
        <v>Unique</v>
      </c>
      <c r="W2056" s="7" t="str">
        <f aca="false">IF((H2056-G2056)&lt;&gt;K2056,"Mismatch","OK")</f>
        <v>OK</v>
      </c>
      <c r="X2056" s="7" t="str">
        <f aca="false">IF(TEXT(H2056,"dddd")&lt;&gt;I2056,"Mismatch","OK")</f>
        <v>OK</v>
      </c>
      <c r="Y2056" s="7" t="str">
        <f aca="false">IF(AND(N2056="No",O2056&lt;&gt;""),"Unexpected: channel present but no reminder sent",IF(AND(N2056="Yes",O2056=""),"Missing channel for sent reminder","OK"))</f>
        <v>OK</v>
      </c>
    </row>
    <row r="2057" customFormat="false" ht="15" hidden="false" customHeight="false" outlineLevel="0" collapsed="false">
      <c r="A2057" s="9" t="s">
        <v>3347</v>
      </c>
      <c r="B2057" s="9" t="s">
        <v>1301</v>
      </c>
      <c r="C2057" s="9" t="s">
        <v>37</v>
      </c>
      <c r="D2057" s="9" t="n">
        <v>25</v>
      </c>
      <c r="E2057" s="9" t="s">
        <v>48</v>
      </c>
      <c r="F2057" s="9" t="s">
        <v>57</v>
      </c>
      <c r="G2057" s="10" t="n">
        <v>45849</v>
      </c>
      <c r="H2057" s="10" t="n">
        <v>45858</v>
      </c>
      <c r="I2057" s="9" t="s">
        <v>75</v>
      </c>
      <c r="J2057" s="9" t="s">
        <v>41</v>
      </c>
      <c r="K2057" s="9" t="n">
        <v>9</v>
      </c>
      <c r="L2057" s="9" t="n">
        <v>2</v>
      </c>
      <c r="M2057" s="9" t="n">
        <v>0</v>
      </c>
      <c r="N2057" s="9" t="s">
        <v>42</v>
      </c>
      <c r="O2057" s="9" t="s">
        <v>52</v>
      </c>
      <c r="P2057" s="9" t="n">
        <v>16.9</v>
      </c>
      <c r="Q2057" s="9" t="n">
        <v>2</v>
      </c>
      <c r="R2057" s="9" t="s">
        <v>53</v>
      </c>
      <c r="S2057" s="9"/>
      <c r="T2057" s="9"/>
      <c r="U2057" s="9" t="str">
        <f aca="false">IF(COUNTIF($A$2:$A$5001,A2057)&gt;1,"Duplicate","Unique")</f>
        <v>Unique</v>
      </c>
      <c r="V2057" s="9" t="str">
        <f aca="false">IF(COUNTIFS($B$2:$B$5001,B2057,$H$2:$H$5001,H2057,$J$2:$J$5001,J2057)&gt;1,"Possible Duplicate Booking","Unique")</f>
        <v>Unique</v>
      </c>
      <c r="W2057" s="9" t="str">
        <f aca="false">IF((H2057-G2057)&lt;&gt;K2057,"Mismatch","OK")</f>
        <v>OK</v>
      </c>
      <c r="X2057" s="9" t="str">
        <f aca="false">IF(TEXT(H2057,"dddd")&lt;&gt;I2057,"Mismatch","OK")</f>
        <v>OK</v>
      </c>
      <c r="Y2057" s="9" t="str">
        <f aca="false">IF(AND(N2057="No",O2057&lt;&gt;""),"Unexpected: channel present but no reminder sent",IF(AND(N2057="Yes",O2057=""),"Missing channel for sent reminder","OK"))</f>
        <v>OK</v>
      </c>
    </row>
    <row r="2058" customFormat="false" ht="15" hidden="false" customHeight="false" outlineLevel="0" collapsed="false">
      <c r="A2058" s="7" t="s">
        <v>3348</v>
      </c>
      <c r="B2058" s="7" t="s">
        <v>320</v>
      </c>
      <c r="C2058" s="7" t="s">
        <v>37</v>
      </c>
      <c r="D2058" s="7" t="n">
        <v>53</v>
      </c>
      <c r="E2058" s="7" t="s">
        <v>56</v>
      </c>
      <c r="F2058" s="7" t="s">
        <v>57</v>
      </c>
      <c r="G2058" s="8" t="n">
        <v>46036</v>
      </c>
      <c r="H2058" s="8" t="n">
        <v>46059</v>
      </c>
      <c r="I2058" s="7" t="s">
        <v>50</v>
      </c>
      <c r="J2058" s="7" t="s">
        <v>51</v>
      </c>
      <c r="K2058" s="7" t="n">
        <v>23</v>
      </c>
      <c r="L2058" s="7" t="n">
        <v>1</v>
      </c>
      <c r="M2058" s="7" t="n">
        <v>0</v>
      </c>
      <c r="N2058" s="7" t="s">
        <v>42</v>
      </c>
      <c r="O2058" s="7" t="s">
        <v>52</v>
      </c>
      <c r="P2058" s="7" t="n">
        <v>9</v>
      </c>
      <c r="Q2058" s="7" t="n">
        <v>18</v>
      </c>
      <c r="R2058" s="7" t="s">
        <v>53</v>
      </c>
      <c r="S2058" s="7"/>
      <c r="T2058" s="7"/>
      <c r="U2058" s="7" t="str">
        <f aca="false">IF(COUNTIF($A$2:$A$5001,A2058)&gt;1,"Duplicate","Unique")</f>
        <v>Unique</v>
      </c>
      <c r="V2058" s="7" t="str">
        <f aca="false">IF(COUNTIFS($B$2:$B$5001,B2058,$H$2:$H$5001,H2058,$J$2:$J$5001,J2058)&gt;1,"Possible Duplicate Booking","Unique")</f>
        <v>Unique</v>
      </c>
      <c r="W2058" s="7" t="str">
        <f aca="false">IF((H2058-G2058)&lt;&gt;K2058,"Mismatch","OK")</f>
        <v>OK</v>
      </c>
      <c r="X2058" s="7" t="str">
        <f aca="false">IF(TEXT(H2058,"dddd")&lt;&gt;I2058,"Mismatch","OK")</f>
        <v>OK</v>
      </c>
      <c r="Y2058" s="7" t="str">
        <f aca="false">IF(AND(N2058="No",O2058&lt;&gt;""),"Unexpected: channel present but no reminder sent",IF(AND(N2058="Yes",O2058=""),"Missing channel for sent reminder","OK"))</f>
        <v>OK</v>
      </c>
    </row>
    <row r="2059" customFormat="false" ht="15" hidden="false" customHeight="false" outlineLevel="0" collapsed="false">
      <c r="A2059" s="9" t="s">
        <v>3349</v>
      </c>
      <c r="B2059" s="9" t="s">
        <v>3350</v>
      </c>
      <c r="C2059" s="9" t="s">
        <v>47</v>
      </c>
      <c r="D2059" s="9" t="n">
        <v>76</v>
      </c>
      <c r="E2059" s="9" t="s">
        <v>70</v>
      </c>
      <c r="F2059" s="9" t="s">
        <v>39</v>
      </c>
      <c r="G2059" s="10" t="n">
        <v>46010</v>
      </c>
      <c r="H2059" s="10" t="n">
        <v>46061</v>
      </c>
      <c r="I2059" s="9" t="s">
        <v>75</v>
      </c>
      <c r="J2059" s="9" t="s">
        <v>41</v>
      </c>
      <c r="K2059" s="9" t="n">
        <v>51</v>
      </c>
      <c r="L2059" s="9" t="n">
        <v>2</v>
      </c>
      <c r="M2059" s="9" t="n">
        <v>0</v>
      </c>
      <c r="N2059" s="9" t="s">
        <v>42</v>
      </c>
      <c r="O2059" s="9" t="s">
        <v>52</v>
      </c>
      <c r="P2059" s="9" t="n">
        <v>36.3</v>
      </c>
      <c r="Q2059" s="9" t="n">
        <v>22</v>
      </c>
      <c r="R2059" s="9" t="s">
        <v>53</v>
      </c>
      <c r="S2059" s="9"/>
      <c r="T2059" s="9"/>
      <c r="U2059" s="9" t="str">
        <f aca="false">IF(COUNTIF($A$2:$A$5001,A2059)&gt;1,"Duplicate","Unique")</f>
        <v>Unique</v>
      </c>
      <c r="V2059" s="9" t="str">
        <f aca="false">IF(COUNTIFS($B$2:$B$5001,B2059,$H$2:$H$5001,H2059,$J$2:$J$5001,J2059)&gt;1,"Possible Duplicate Booking","Unique")</f>
        <v>Unique</v>
      </c>
      <c r="W2059" s="9" t="str">
        <f aca="false">IF((H2059-G2059)&lt;&gt;K2059,"Mismatch","OK")</f>
        <v>OK</v>
      </c>
      <c r="X2059" s="9" t="str">
        <f aca="false">IF(TEXT(H2059,"dddd")&lt;&gt;I2059,"Mismatch","OK")</f>
        <v>OK</v>
      </c>
      <c r="Y2059" s="9" t="str">
        <f aca="false">IF(AND(N2059="No",O2059&lt;&gt;""),"Unexpected: channel present but no reminder sent",IF(AND(N2059="Yes",O2059=""),"Missing channel for sent reminder","OK"))</f>
        <v>OK</v>
      </c>
    </row>
    <row r="2060" customFormat="false" ht="15" hidden="false" customHeight="false" outlineLevel="0" collapsed="false">
      <c r="A2060" s="7" t="s">
        <v>3351</v>
      </c>
      <c r="B2060" s="7" t="s">
        <v>244</v>
      </c>
      <c r="C2060" s="7" t="s">
        <v>47</v>
      </c>
      <c r="D2060" s="7" t="n">
        <v>30</v>
      </c>
      <c r="E2060" s="7" t="s">
        <v>48</v>
      </c>
      <c r="F2060" s="7" t="s">
        <v>39</v>
      </c>
      <c r="G2060" s="8" t="n">
        <v>45814</v>
      </c>
      <c r="H2060" s="8" t="n">
        <v>45873</v>
      </c>
      <c r="I2060" s="7" t="s">
        <v>66</v>
      </c>
      <c r="J2060" s="7" t="s">
        <v>51</v>
      </c>
      <c r="K2060" s="7" t="n">
        <v>59</v>
      </c>
      <c r="L2060" s="7" t="n">
        <v>4</v>
      </c>
      <c r="M2060" s="7" t="n">
        <v>1</v>
      </c>
      <c r="N2060" s="7" t="s">
        <v>42</v>
      </c>
      <c r="O2060" s="7" t="s">
        <v>43</v>
      </c>
      <c r="P2060" s="7" t="n">
        <v>11.5</v>
      </c>
      <c r="Q2060" s="7" t="n">
        <v>30</v>
      </c>
      <c r="R2060" s="7" t="s">
        <v>53</v>
      </c>
      <c r="S2060" s="7"/>
      <c r="T2060" s="7"/>
      <c r="U2060" s="7" t="str">
        <f aca="false">IF(COUNTIF($A$2:$A$5001,A2060)&gt;1,"Duplicate","Unique")</f>
        <v>Unique</v>
      </c>
      <c r="V2060" s="7" t="str">
        <f aca="false">IF(COUNTIFS($B$2:$B$5001,B2060,$H$2:$H$5001,H2060,$J$2:$J$5001,J2060)&gt;1,"Possible Duplicate Booking","Unique")</f>
        <v>Unique</v>
      </c>
      <c r="W2060" s="7" t="str">
        <f aca="false">IF((H2060-G2060)&lt;&gt;K2060,"Mismatch","OK")</f>
        <v>OK</v>
      </c>
      <c r="X2060" s="7" t="str">
        <f aca="false">IF(TEXT(H2060,"dddd")&lt;&gt;I2060,"Mismatch","OK")</f>
        <v>OK</v>
      </c>
      <c r="Y2060" s="7" t="str">
        <f aca="false">IF(AND(N2060="No",O2060&lt;&gt;""),"Unexpected: channel present but no reminder sent",IF(AND(N2060="Yes",O2060=""),"Missing channel for sent reminder","OK"))</f>
        <v>OK</v>
      </c>
    </row>
    <row r="2061" customFormat="false" ht="15" hidden="false" customHeight="false" outlineLevel="0" collapsed="false">
      <c r="A2061" s="9" t="s">
        <v>3352</v>
      </c>
      <c r="B2061" s="9" t="s">
        <v>877</v>
      </c>
      <c r="C2061" s="9" t="s">
        <v>37</v>
      </c>
      <c r="D2061" s="9" t="n">
        <v>28</v>
      </c>
      <c r="E2061" s="9" t="s">
        <v>48</v>
      </c>
      <c r="F2061" s="9" t="s">
        <v>39</v>
      </c>
      <c r="G2061" s="10" t="n">
        <v>45849</v>
      </c>
      <c r="H2061" s="10" t="n">
        <v>45878</v>
      </c>
      <c r="I2061" s="9" t="s">
        <v>102</v>
      </c>
      <c r="J2061" s="9" t="s">
        <v>51</v>
      </c>
      <c r="K2061" s="9" t="n">
        <v>29</v>
      </c>
      <c r="L2061" s="9" t="n">
        <v>2</v>
      </c>
      <c r="M2061" s="9" t="n">
        <v>0</v>
      </c>
      <c r="N2061" s="9" t="s">
        <v>71</v>
      </c>
      <c r="O2061" s="9"/>
      <c r="P2061" s="9" t="n">
        <v>3.4</v>
      </c>
      <c r="Q2061" s="9" t="n">
        <v>24</v>
      </c>
      <c r="R2061" s="9" t="s">
        <v>53</v>
      </c>
      <c r="S2061" s="9"/>
      <c r="T2061" s="9"/>
      <c r="U2061" s="9" t="str">
        <f aca="false">IF(COUNTIF($A$2:$A$5001,A2061)&gt;1,"Duplicate","Unique")</f>
        <v>Unique</v>
      </c>
      <c r="V2061" s="9" t="str">
        <f aca="false">IF(COUNTIFS($B$2:$B$5001,B2061,$H$2:$H$5001,H2061,$J$2:$J$5001,J2061)&gt;1,"Possible Duplicate Booking","Unique")</f>
        <v>Unique</v>
      </c>
      <c r="W2061" s="9" t="str">
        <f aca="false">IF((H2061-G2061)&lt;&gt;K2061,"Mismatch","OK")</f>
        <v>OK</v>
      </c>
      <c r="X2061" s="9" t="str">
        <f aca="false">IF(TEXT(H2061,"dddd")&lt;&gt;I2061,"Mismatch","OK")</f>
        <v>OK</v>
      </c>
      <c r="Y2061" s="9" t="str">
        <f aca="false">IF(AND(N2061="No",O2061&lt;&gt;""),"Unexpected: channel present but no reminder sent",IF(AND(N2061="Yes",O2061=""),"Missing channel for sent reminder","OK"))</f>
        <v>OK</v>
      </c>
    </row>
    <row r="2062" customFormat="false" ht="15" hidden="false" customHeight="false" outlineLevel="0" collapsed="false">
      <c r="A2062" s="7" t="s">
        <v>3353</v>
      </c>
      <c r="B2062" s="7" t="s">
        <v>1193</v>
      </c>
      <c r="C2062" s="7" t="s">
        <v>37</v>
      </c>
      <c r="D2062" s="7" t="n">
        <v>44</v>
      </c>
      <c r="E2062" s="7" t="s">
        <v>38</v>
      </c>
      <c r="F2062" s="7" t="s">
        <v>39</v>
      </c>
      <c r="G2062" s="8" t="n">
        <v>46117</v>
      </c>
      <c r="H2062" s="8" t="n">
        <v>46146</v>
      </c>
      <c r="I2062" s="7" t="s">
        <v>66</v>
      </c>
      <c r="J2062" s="7" t="s">
        <v>41</v>
      </c>
      <c r="K2062" s="7" t="n">
        <v>29</v>
      </c>
      <c r="L2062" s="7" t="n">
        <v>1</v>
      </c>
      <c r="M2062" s="7" t="n">
        <v>0</v>
      </c>
      <c r="N2062" s="7" t="s">
        <v>71</v>
      </c>
      <c r="O2062" s="7"/>
      <c r="P2062" s="7" t="n">
        <v>7.2</v>
      </c>
      <c r="Q2062" s="7" t="n">
        <v>5</v>
      </c>
      <c r="R2062" s="7" t="s">
        <v>44</v>
      </c>
      <c r="S2062" s="7"/>
      <c r="T2062" s="7"/>
      <c r="U2062" s="7" t="str">
        <f aca="false">IF(COUNTIF($A$2:$A$5001,A2062)&gt;1,"Duplicate","Unique")</f>
        <v>Unique</v>
      </c>
      <c r="V2062" s="7" t="str">
        <f aca="false">IF(COUNTIFS($B$2:$B$5001,B2062,$H$2:$H$5001,H2062,$J$2:$J$5001,J2062)&gt;1,"Possible Duplicate Booking","Unique")</f>
        <v>Unique</v>
      </c>
      <c r="W2062" s="7" t="str">
        <f aca="false">IF((H2062-G2062)&lt;&gt;K2062,"Mismatch","OK")</f>
        <v>OK</v>
      </c>
      <c r="X2062" s="7" t="str">
        <f aca="false">IF(TEXT(H2062,"dddd")&lt;&gt;I2062,"Mismatch","OK")</f>
        <v>OK</v>
      </c>
      <c r="Y2062" s="7" t="str">
        <f aca="false">IF(AND(N2062="No",O2062&lt;&gt;""),"Unexpected: channel present but no reminder sent",IF(AND(N2062="Yes",O2062=""),"Missing channel for sent reminder","OK"))</f>
        <v>OK</v>
      </c>
    </row>
    <row r="2063" customFormat="false" ht="15" hidden="false" customHeight="false" outlineLevel="0" collapsed="false">
      <c r="A2063" s="9" t="s">
        <v>3354</v>
      </c>
      <c r="B2063" s="9" t="s">
        <v>1891</v>
      </c>
      <c r="C2063" s="9" t="s">
        <v>47</v>
      </c>
      <c r="D2063" s="9" t="n">
        <v>41</v>
      </c>
      <c r="E2063" s="9" t="s">
        <v>38</v>
      </c>
      <c r="F2063" s="9" t="s">
        <v>57</v>
      </c>
      <c r="G2063" s="10" t="n">
        <v>45962</v>
      </c>
      <c r="H2063" s="10" t="n">
        <v>45964</v>
      </c>
      <c r="I2063" s="9" t="s">
        <v>66</v>
      </c>
      <c r="J2063" s="9" t="s">
        <v>63</v>
      </c>
      <c r="K2063" s="9" t="n">
        <v>2</v>
      </c>
      <c r="L2063" s="9" t="n">
        <v>1</v>
      </c>
      <c r="M2063" s="9" t="n">
        <v>1</v>
      </c>
      <c r="N2063" s="9" t="s">
        <v>42</v>
      </c>
      <c r="O2063" s="9" t="s">
        <v>52</v>
      </c>
      <c r="P2063" s="9" t="n">
        <v>6.9</v>
      </c>
      <c r="Q2063" s="9" t="n">
        <v>17</v>
      </c>
      <c r="R2063" s="9" t="s">
        <v>53</v>
      </c>
      <c r="S2063" s="9"/>
      <c r="T2063" s="9"/>
      <c r="U2063" s="9" t="str">
        <f aca="false">IF(COUNTIF($A$2:$A$5001,A2063)&gt;1,"Duplicate","Unique")</f>
        <v>Unique</v>
      </c>
      <c r="V2063" s="9" t="str">
        <f aca="false">IF(COUNTIFS($B$2:$B$5001,B2063,$H$2:$H$5001,H2063,$J$2:$J$5001,J2063)&gt;1,"Possible Duplicate Booking","Unique")</f>
        <v>Unique</v>
      </c>
      <c r="W2063" s="9" t="str">
        <f aca="false">IF((H2063-G2063)&lt;&gt;K2063,"Mismatch","OK")</f>
        <v>OK</v>
      </c>
      <c r="X2063" s="9" t="str">
        <f aca="false">IF(TEXT(H2063,"dddd")&lt;&gt;I2063,"Mismatch","OK")</f>
        <v>OK</v>
      </c>
      <c r="Y2063" s="9" t="str">
        <f aca="false">IF(AND(N2063="No",O2063&lt;&gt;""),"Unexpected: channel present but no reminder sent",IF(AND(N2063="Yes",O2063=""),"Missing channel for sent reminder","OK"))</f>
        <v>OK</v>
      </c>
    </row>
    <row r="2064" customFormat="false" ht="15" hidden="false" customHeight="false" outlineLevel="0" collapsed="false">
      <c r="A2064" s="7" t="s">
        <v>3355</v>
      </c>
      <c r="B2064" s="7" t="s">
        <v>2851</v>
      </c>
      <c r="C2064" s="7" t="s">
        <v>37</v>
      </c>
      <c r="D2064" s="7" t="n">
        <v>21</v>
      </c>
      <c r="E2064" s="7" t="s">
        <v>82</v>
      </c>
      <c r="F2064" s="7" t="s">
        <v>57</v>
      </c>
      <c r="G2064" s="8" t="n">
        <v>45680</v>
      </c>
      <c r="H2064" s="8" t="n">
        <v>45739</v>
      </c>
      <c r="I2064" s="7" t="s">
        <v>75</v>
      </c>
      <c r="J2064" s="7" t="s">
        <v>63</v>
      </c>
      <c r="K2064" s="7" t="n">
        <v>59</v>
      </c>
      <c r="L2064" s="7" t="n">
        <v>3</v>
      </c>
      <c r="M2064" s="7" t="n">
        <v>1</v>
      </c>
      <c r="N2064" s="7" t="s">
        <v>42</v>
      </c>
      <c r="O2064" s="7" t="s">
        <v>67</v>
      </c>
      <c r="P2064" s="7" t="n">
        <v>1.9</v>
      </c>
      <c r="Q2064" s="7" t="n">
        <v>14</v>
      </c>
      <c r="R2064" s="7" t="s">
        <v>53</v>
      </c>
      <c r="S2064" s="7"/>
      <c r="T2064" s="7"/>
      <c r="U2064" s="7" t="str">
        <f aca="false">IF(COUNTIF($A$2:$A$5001,A2064)&gt;1,"Duplicate","Unique")</f>
        <v>Unique</v>
      </c>
      <c r="V2064" s="7" t="str">
        <f aca="false">IF(COUNTIFS($B$2:$B$5001,B2064,$H$2:$H$5001,H2064,$J$2:$J$5001,J2064)&gt;1,"Possible Duplicate Booking","Unique")</f>
        <v>Unique</v>
      </c>
      <c r="W2064" s="7" t="str">
        <f aca="false">IF((H2064-G2064)&lt;&gt;K2064,"Mismatch","OK")</f>
        <v>OK</v>
      </c>
      <c r="X2064" s="7" t="str">
        <f aca="false">IF(TEXT(H2064,"dddd")&lt;&gt;I2064,"Mismatch","OK")</f>
        <v>OK</v>
      </c>
      <c r="Y2064" s="7" t="str">
        <f aca="false">IF(AND(N2064="No",O2064&lt;&gt;""),"Unexpected: channel present but no reminder sent",IF(AND(N2064="Yes",O2064=""),"Missing channel for sent reminder","OK"))</f>
        <v>OK</v>
      </c>
    </row>
    <row r="2065" customFormat="false" ht="15" hidden="false" customHeight="false" outlineLevel="0" collapsed="false">
      <c r="A2065" s="9" t="s">
        <v>3356</v>
      </c>
      <c r="B2065" s="9" t="s">
        <v>445</v>
      </c>
      <c r="C2065" s="9" t="s">
        <v>37</v>
      </c>
      <c r="D2065" s="9" t="n">
        <v>46</v>
      </c>
      <c r="E2065" s="9" t="s">
        <v>56</v>
      </c>
      <c r="F2065" s="9" t="s">
        <v>39</v>
      </c>
      <c r="G2065" s="10" t="n">
        <v>46050</v>
      </c>
      <c r="H2065" s="10" t="n">
        <v>46051</v>
      </c>
      <c r="I2065" s="9" t="s">
        <v>62</v>
      </c>
      <c r="J2065" s="9" t="s">
        <v>41</v>
      </c>
      <c r="K2065" s="9" t="n">
        <v>1</v>
      </c>
      <c r="L2065" s="9" t="n">
        <v>2</v>
      </c>
      <c r="M2065" s="9" t="n">
        <v>1</v>
      </c>
      <c r="N2065" s="9" t="s">
        <v>42</v>
      </c>
      <c r="O2065" s="9" t="s">
        <v>52</v>
      </c>
      <c r="P2065" s="9" t="n">
        <v>7.4</v>
      </c>
      <c r="Q2065" s="9" t="n">
        <v>32</v>
      </c>
      <c r="R2065" s="9" t="s">
        <v>53</v>
      </c>
      <c r="S2065" s="9"/>
      <c r="T2065" s="9"/>
      <c r="U2065" s="9" t="str">
        <f aca="false">IF(COUNTIF($A$2:$A$5001,A2065)&gt;1,"Duplicate","Unique")</f>
        <v>Unique</v>
      </c>
      <c r="V2065" s="9" t="str">
        <f aca="false">IF(COUNTIFS($B$2:$B$5001,B2065,$H$2:$H$5001,H2065,$J$2:$J$5001,J2065)&gt;1,"Possible Duplicate Booking","Unique")</f>
        <v>Unique</v>
      </c>
      <c r="W2065" s="9" t="str">
        <f aca="false">IF((H2065-G2065)&lt;&gt;K2065,"Mismatch","OK")</f>
        <v>OK</v>
      </c>
      <c r="X2065" s="9" t="str">
        <f aca="false">IF(TEXT(H2065,"dddd")&lt;&gt;I2065,"Mismatch","OK")</f>
        <v>OK</v>
      </c>
      <c r="Y2065" s="9" t="str">
        <f aca="false">IF(AND(N2065="No",O2065&lt;&gt;""),"Unexpected: channel present but no reminder sent",IF(AND(N2065="Yes",O2065=""),"Missing channel for sent reminder","OK"))</f>
        <v>OK</v>
      </c>
    </row>
    <row r="2066" customFormat="false" ht="15" hidden="false" customHeight="false" outlineLevel="0" collapsed="false">
      <c r="A2066" s="7" t="s">
        <v>3357</v>
      </c>
      <c r="B2066" s="7" t="s">
        <v>3358</v>
      </c>
      <c r="C2066" s="7" t="s">
        <v>37</v>
      </c>
      <c r="D2066" s="7" t="n">
        <v>34</v>
      </c>
      <c r="E2066" s="7" t="s">
        <v>48</v>
      </c>
      <c r="F2066" s="7" t="s">
        <v>39</v>
      </c>
      <c r="G2066" s="8" t="n">
        <v>45978</v>
      </c>
      <c r="H2066" s="8" t="n">
        <v>45979</v>
      </c>
      <c r="I2066" s="7" t="s">
        <v>40</v>
      </c>
      <c r="J2066" s="7" t="s">
        <v>41</v>
      </c>
      <c r="K2066" s="7" t="n">
        <v>1</v>
      </c>
      <c r="L2066" s="7" t="n">
        <v>4</v>
      </c>
      <c r="M2066" s="7" t="n">
        <v>1</v>
      </c>
      <c r="N2066" s="7" t="s">
        <v>42</v>
      </c>
      <c r="O2066" s="7" t="s">
        <v>43</v>
      </c>
      <c r="P2066" s="7" t="n">
        <v>14.8</v>
      </c>
      <c r="Q2066" s="7" t="n">
        <v>18</v>
      </c>
      <c r="R2066" s="7" t="s">
        <v>53</v>
      </c>
      <c r="S2066" s="7"/>
      <c r="T2066" s="7"/>
      <c r="U2066" s="7" t="str">
        <f aca="false">IF(COUNTIF($A$2:$A$5001,A2066)&gt;1,"Duplicate","Unique")</f>
        <v>Unique</v>
      </c>
      <c r="V2066" s="7" t="str">
        <f aca="false">IF(COUNTIFS($B$2:$B$5001,B2066,$H$2:$H$5001,H2066,$J$2:$J$5001,J2066)&gt;1,"Possible Duplicate Booking","Unique")</f>
        <v>Unique</v>
      </c>
      <c r="W2066" s="7" t="str">
        <f aca="false">IF((H2066-G2066)&lt;&gt;K2066,"Mismatch","OK")</f>
        <v>OK</v>
      </c>
      <c r="X2066" s="7" t="str">
        <f aca="false">IF(TEXT(H2066,"dddd")&lt;&gt;I2066,"Mismatch","OK")</f>
        <v>OK</v>
      </c>
      <c r="Y2066" s="7" t="str">
        <f aca="false">IF(AND(N2066="No",O2066&lt;&gt;""),"Unexpected: channel present but no reminder sent",IF(AND(N2066="Yes",O2066=""),"Missing channel for sent reminder","OK"))</f>
        <v>OK</v>
      </c>
    </row>
    <row r="2067" customFormat="false" ht="15" hidden="false" customHeight="false" outlineLevel="0" collapsed="false">
      <c r="A2067" s="9" t="s">
        <v>3359</v>
      </c>
      <c r="B2067" s="9" t="s">
        <v>2253</v>
      </c>
      <c r="C2067" s="9" t="s">
        <v>47</v>
      </c>
      <c r="D2067" s="9" t="n">
        <v>25</v>
      </c>
      <c r="E2067" s="9" t="s">
        <v>48</v>
      </c>
      <c r="F2067" s="9" t="s">
        <v>39</v>
      </c>
      <c r="G2067" s="10" t="n">
        <v>45907</v>
      </c>
      <c r="H2067" s="10" t="n">
        <v>45935</v>
      </c>
      <c r="I2067" s="9" t="s">
        <v>75</v>
      </c>
      <c r="J2067" s="9" t="s">
        <v>41</v>
      </c>
      <c r="K2067" s="9" t="n">
        <v>28</v>
      </c>
      <c r="L2067" s="9" t="n">
        <v>1</v>
      </c>
      <c r="M2067" s="9" t="n">
        <v>0</v>
      </c>
      <c r="N2067" s="9" t="s">
        <v>71</v>
      </c>
      <c r="O2067" s="9"/>
      <c r="P2067" s="9" t="n">
        <v>16.4</v>
      </c>
      <c r="Q2067" s="9" t="n">
        <v>18</v>
      </c>
      <c r="R2067" s="9" t="s">
        <v>53</v>
      </c>
      <c r="S2067" s="9"/>
      <c r="T2067" s="9"/>
      <c r="U2067" s="9" t="str">
        <f aca="false">IF(COUNTIF($A$2:$A$5001,A2067)&gt;1,"Duplicate","Unique")</f>
        <v>Unique</v>
      </c>
      <c r="V2067" s="9" t="str">
        <f aca="false">IF(COUNTIFS($B$2:$B$5001,B2067,$H$2:$H$5001,H2067,$J$2:$J$5001,J2067)&gt;1,"Possible Duplicate Booking","Unique")</f>
        <v>Unique</v>
      </c>
      <c r="W2067" s="9" t="str">
        <f aca="false">IF((H2067-G2067)&lt;&gt;K2067,"Mismatch","OK")</f>
        <v>OK</v>
      </c>
      <c r="X2067" s="9" t="str">
        <f aca="false">IF(TEXT(H2067,"dddd")&lt;&gt;I2067,"Mismatch","OK")</f>
        <v>OK</v>
      </c>
      <c r="Y2067" s="9" t="str">
        <f aca="false">IF(AND(N2067="No",O2067&lt;&gt;""),"Unexpected: channel present but no reminder sent",IF(AND(N2067="Yes",O2067=""),"Missing channel for sent reminder","OK"))</f>
        <v>OK</v>
      </c>
    </row>
    <row r="2068" customFormat="false" ht="15" hidden="false" customHeight="false" outlineLevel="0" collapsed="false">
      <c r="A2068" s="7" t="s">
        <v>3360</v>
      </c>
      <c r="B2068" s="7" t="s">
        <v>1728</v>
      </c>
      <c r="C2068" s="7" t="s">
        <v>236</v>
      </c>
      <c r="D2068" s="7" t="n">
        <v>35</v>
      </c>
      <c r="E2068" s="7" t="s">
        <v>38</v>
      </c>
      <c r="F2068" s="7" t="s">
        <v>57</v>
      </c>
      <c r="G2068" s="8" t="n">
        <v>46053</v>
      </c>
      <c r="H2068" s="8" t="n">
        <v>46053</v>
      </c>
      <c r="I2068" s="7" t="s">
        <v>102</v>
      </c>
      <c r="J2068" s="7" t="s">
        <v>41</v>
      </c>
      <c r="K2068" s="7" t="n">
        <v>0</v>
      </c>
      <c r="L2068" s="7" t="n">
        <v>3</v>
      </c>
      <c r="M2068" s="7" t="n">
        <v>0</v>
      </c>
      <c r="N2068" s="7" t="s">
        <v>42</v>
      </c>
      <c r="O2068" s="7" t="s">
        <v>67</v>
      </c>
      <c r="P2068" s="7" t="n">
        <v>24.7</v>
      </c>
      <c r="Q2068" s="7" t="n">
        <v>21</v>
      </c>
      <c r="R2068" s="7" t="s">
        <v>53</v>
      </c>
      <c r="S2068" s="7"/>
      <c r="T2068" s="7"/>
      <c r="U2068" s="7" t="str">
        <f aca="false">IF(COUNTIF($A$2:$A$5001,A2068)&gt;1,"Duplicate","Unique")</f>
        <v>Unique</v>
      </c>
      <c r="V2068" s="7" t="str">
        <f aca="false">IF(COUNTIFS($B$2:$B$5001,B2068,$H$2:$H$5001,H2068,$J$2:$J$5001,J2068)&gt;1,"Possible Duplicate Booking","Unique")</f>
        <v>Unique</v>
      </c>
      <c r="W2068" s="7" t="str">
        <f aca="false">IF((H2068-G2068)&lt;&gt;K2068,"Mismatch","OK")</f>
        <v>OK</v>
      </c>
      <c r="X2068" s="7" t="str">
        <f aca="false">IF(TEXT(H2068,"dddd")&lt;&gt;I2068,"Mismatch","OK")</f>
        <v>OK</v>
      </c>
      <c r="Y2068" s="7" t="str">
        <f aca="false">IF(AND(N2068="No",O2068&lt;&gt;""),"Unexpected: channel present but no reminder sent",IF(AND(N2068="Yes",O2068=""),"Missing channel for sent reminder","OK"))</f>
        <v>OK</v>
      </c>
    </row>
    <row r="2069" customFormat="false" ht="15" hidden="false" customHeight="false" outlineLevel="0" collapsed="false">
      <c r="A2069" s="9" t="s">
        <v>3361</v>
      </c>
      <c r="B2069" s="9" t="s">
        <v>1967</v>
      </c>
      <c r="C2069" s="9" t="s">
        <v>37</v>
      </c>
      <c r="D2069" s="9" t="n">
        <v>19</v>
      </c>
      <c r="E2069" s="9" t="s">
        <v>82</v>
      </c>
      <c r="F2069" s="9" t="s">
        <v>49</v>
      </c>
      <c r="G2069" s="10" t="n">
        <v>46143</v>
      </c>
      <c r="H2069" s="10" t="n">
        <v>46153</v>
      </c>
      <c r="I2069" s="9" t="s">
        <v>66</v>
      </c>
      <c r="J2069" s="9" t="s">
        <v>51</v>
      </c>
      <c r="K2069" s="9" t="n">
        <v>10</v>
      </c>
      <c r="L2069" s="9" t="n">
        <v>4</v>
      </c>
      <c r="M2069" s="9" t="n">
        <v>0</v>
      </c>
      <c r="N2069" s="9" t="s">
        <v>42</v>
      </c>
      <c r="O2069" s="9" t="s">
        <v>52</v>
      </c>
      <c r="P2069" s="9" t="n">
        <v>12</v>
      </c>
      <c r="Q2069" s="9" t="n">
        <v>15</v>
      </c>
      <c r="R2069" s="9" t="s">
        <v>53</v>
      </c>
      <c r="S2069" s="9"/>
      <c r="T2069" s="9"/>
      <c r="U2069" s="9" t="str">
        <f aca="false">IF(COUNTIF($A$2:$A$5001,A2069)&gt;1,"Duplicate","Unique")</f>
        <v>Unique</v>
      </c>
      <c r="V2069" s="9" t="str">
        <f aca="false">IF(COUNTIFS($B$2:$B$5001,B2069,$H$2:$H$5001,H2069,$J$2:$J$5001,J2069)&gt;1,"Possible Duplicate Booking","Unique")</f>
        <v>Unique</v>
      </c>
      <c r="W2069" s="9" t="str">
        <f aca="false">IF((H2069-G2069)&lt;&gt;K2069,"Mismatch","OK")</f>
        <v>OK</v>
      </c>
      <c r="X2069" s="9" t="str">
        <f aca="false">IF(TEXT(H2069,"dddd")&lt;&gt;I2069,"Mismatch","OK")</f>
        <v>OK</v>
      </c>
      <c r="Y2069" s="9" t="str">
        <f aca="false">IF(AND(N2069="No",O2069&lt;&gt;""),"Unexpected: channel present but no reminder sent",IF(AND(N2069="Yes",O2069=""),"Missing channel for sent reminder","OK"))</f>
        <v>OK</v>
      </c>
    </row>
    <row r="2070" customFormat="false" ht="15" hidden="false" customHeight="false" outlineLevel="0" collapsed="false">
      <c r="A2070" s="7" t="s">
        <v>3362</v>
      </c>
      <c r="B2070" s="7" t="s">
        <v>3363</v>
      </c>
      <c r="C2070" s="7" t="s">
        <v>47</v>
      </c>
      <c r="D2070" s="7" t="n">
        <v>75</v>
      </c>
      <c r="E2070" s="7" t="s">
        <v>70</v>
      </c>
      <c r="F2070" s="7" t="s">
        <v>57</v>
      </c>
      <c r="G2070" s="8" t="n">
        <v>45800</v>
      </c>
      <c r="H2070" s="8" t="n">
        <v>45838</v>
      </c>
      <c r="I2070" s="7" t="s">
        <v>66</v>
      </c>
      <c r="J2070" s="7" t="s">
        <v>51</v>
      </c>
      <c r="K2070" s="7" t="n">
        <v>38</v>
      </c>
      <c r="L2070" s="7" t="n">
        <v>3</v>
      </c>
      <c r="M2070" s="7" t="n">
        <v>1</v>
      </c>
      <c r="N2070" s="7" t="s">
        <v>42</v>
      </c>
      <c r="O2070" s="7" t="s">
        <v>67</v>
      </c>
      <c r="P2070" s="7" t="n">
        <v>14</v>
      </c>
      <c r="Q2070" s="7" t="n">
        <v>41</v>
      </c>
      <c r="R2070" s="7" t="s">
        <v>44</v>
      </c>
      <c r="S2070" s="7"/>
      <c r="T2070" s="7"/>
      <c r="U2070" s="7" t="str">
        <f aca="false">IF(COUNTIF($A$2:$A$5001,A2070)&gt;1,"Duplicate","Unique")</f>
        <v>Unique</v>
      </c>
      <c r="V2070" s="7" t="str">
        <f aca="false">IF(COUNTIFS($B$2:$B$5001,B2070,$H$2:$H$5001,H2070,$J$2:$J$5001,J2070)&gt;1,"Possible Duplicate Booking","Unique")</f>
        <v>Unique</v>
      </c>
      <c r="W2070" s="7" t="str">
        <f aca="false">IF((H2070-G2070)&lt;&gt;K2070,"Mismatch","OK")</f>
        <v>OK</v>
      </c>
      <c r="X2070" s="7" t="str">
        <f aca="false">IF(TEXT(H2070,"dddd")&lt;&gt;I2070,"Mismatch","OK")</f>
        <v>OK</v>
      </c>
      <c r="Y2070" s="7" t="str">
        <f aca="false">IF(AND(N2070="No",O2070&lt;&gt;""),"Unexpected: channel present but no reminder sent",IF(AND(N2070="Yes",O2070=""),"Missing channel for sent reminder","OK"))</f>
        <v>OK</v>
      </c>
    </row>
    <row r="2071" customFormat="false" ht="15" hidden="false" customHeight="false" outlineLevel="0" collapsed="false">
      <c r="A2071" s="9" t="s">
        <v>3364</v>
      </c>
      <c r="B2071" s="9" t="s">
        <v>3365</v>
      </c>
      <c r="C2071" s="9" t="s">
        <v>47</v>
      </c>
      <c r="D2071" s="9" t="n">
        <v>80</v>
      </c>
      <c r="E2071" s="9" t="s">
        <v>70</v>
      </c>
      <c r="F2071" s="9" t="s">
        <v>39</v>
      </c>
      <c r="G2071" s="10" t="n">
        <v>45843</v>
      </c>
      <c r="H2071" s="10" t="n">
        <v>45886</v>
      </c>
      <c r="I2071" s="9" t="s">
        <v>75</v>
      </c>
      <c r="J2071" s="9" t="s">
        <v>63</v>
      </c>
      <c r="K2071" s="9" t="n">
        <v>43</v>
      </c>
      <c r="L2071" s="9" t="n">
        <v>5</v>
      </c>
      <c r="M2071" s="9" t="n">
        <v>1</v>
      </c>
      <c r="N2071" s="9" t="s">
        <v>42</v>
      </c>
      <c r="O2071" s="9" t="s">
        <v>67</v>
      </c>
      <c r="P2071" s="9" t="n">
        <v>5.7</v>
      </c>
      <c r="Q2071" s="9" t="n">
        <v>36</v>
      </c>
      <c r="R2071" s="9" t="s">
        <v>44</v>
      </c>
      <c r="S2071" s="9"/>
      <c r="T2071" s="9"/>
      <c r="U2071" s="9" t="str">
        <f aca="false">IF(COUNTIF($A$2:$A$5001,A2071)&gt;1,"Duplicate","Unique")</f>
        <v>Unique</v>
      </c>
      <c r="V2071" s="9" t="str">
        <f aca="false">IF(COUNTIFS($B$2:$B$5001,B2071,$H$2:$H$5001,H2071,$J$2:$J$5001,J2071)&gt;1,"Possible Duplicate Booking","Unique")</f>
        <v>Unique</v>
      </c>
      <c r="W2071" s="9" t="str">
        <f aca="false">IF((H2071-G2071)&lt;&gt;K2071,"Mismatch","OK")</f>
        <v>OK</v>
      </c>
      <c r="X2071" s="9" t="str">
        <f aca="false">IF(TEXT(H2071,"dddd")&lt;&gt;I2071,"Mismatch","OK")</f>
        <v>OK</v>
      </c>
      <c r="Y2071" s="9" t="str">
        <f aca="false">IF(AND(N2071="No",O2071&lt;&gt;""),"Unexpected: channel present but no reminder sent",IF(AND(N2071="Yes",O2071=""),"Missing channel for sent reminder","OK"))</f>
        <v>OK</v>
      </c>
    </row>
    <row r="2072" customFormat="false" ht="15" hidden="false" customHeight="false" outlineLevel="0" collapsed="false">
      <c r="A2072" s="7" t="s">
        <v>3366</v>
      </c>
      <c r="B2072" s="7" t="s">
        <v>899</v>
      </c>
      <c r="C2072" s="7" t="s">
        <v>236</v>
      </c>
      <c r="D2072" s="7" t="n">
        <v>41</v>
      </c>
      <c r="E2072" s="7" t="s">
        <v>38</v>
      </c>
      <c r="F2072" s="7" t="s">
        <v>57</v>
      </c>
      <c r="G2072" s="8" t="n">
        <v>45743</v>
      </c>
      <c r="H2072" s="8" t="n">
        <v>45761</v>
      </c>
      <c r="I2072" s="7" t="s">
        <v>66</v>
      </c>
      <c r="J2072" s="7" t="s">
        <v>63</v>
      </c>
      <c r="K2072" s="7" t="n">
        <v>18</v>
      </c>
      <c r="L2072" s="7" t="n">
        <v>3</v>
      </c>
      <c r="M2072" s="7" t="n">
        <v>0</v>
      </c>
      <c r="N2072" s="7" t="s">
        <v>42</v>
      </c>
      <c r="O2072" s="7" t="s">
        <v>67</v>
      </c>
      <c r="P2072" s="7" t="n">
        <v>12.9</v>
      </c>
      <c r="Q2072" s="7" t="n">
        <v>37</v>
      </c>
      <c r="R2072" s="7" t="s">
        <v>44</v>
      </c>
      <c r="S2072" s="7"/>
      <c r="T2072" s="7"/>
      <c r="U2072" s="7" t="str">
        <f aca="false">IF(COUNTIF($A$2:$A$5001,A2072)&gt;1,"Duplicate","Unique")</f>
        <v>Unique</v>
      </c>
      <c r="V2072" s="7" t="str">
        <f aca="false">IF(COUNTIFS($B$2:$B$5001,B2072,$H$2:$H$5001,H2072,$J$2:$J$5001,J2072)&gt;1,"Possible Duplicate Booking","Unique")</f>
        <v>Unique</v>
      </c>
      <c r="W2072" s="7" t="str">
        <f aca="false">IF((H2072-G2072)&lt;&gt;K2072,"Mismatch","OK")</f>
        <v>OK</v>
      </c>
      <c r="X2072" s="7" t="str">
        <f aca="false">IF(TEXT(H2072,"dddd")&lt;&gt;I2072,"Mismatch","OK")</f>
        <v>OK</v>
      </c>
      <c r="Y2072" s="7" t="str">
        <f aca="false">IF(AND(N2072="No",O2072&lt;&gt;""),"Unexpected: channel present but no reminder sent",IF(AND(N2072="Yes",O2072=""),"Missing channel for sent reminder","OK"))</f>
        <v>OK</v>
      </c>
    </row>
    <row r="2073" customFormat="false" ht="15" hidden="false" customHeight="false" outlineLevel="0" collapsed="false">
      <c r="A2073" s="9" t="s">
        <v>3367</v>
      </c>
      <c r="B2073" s="9" t="s">
        <v>2725</v>
      </c>
      <c r="C2073" s="9" t="s">
        <v>47</v>
      </c>
      <c r="D2073" s="9" t="n">
        <v>73</v>
      </c>
      <c r="E2073" s="9" t="s">
        <v>70</v>
      </c>
      <c r="F2073" s="9" t="s">
        <v>39</v>
      </c>
      <c r="G2073" s="10" t="n">
        <v>45963</v>
      </c>
      <c r="H2073" s="10" t="n">
        <v>46011</v>
      </c>
      <c r="I2073" s="9" t="s">
        <v>102</v>
      </c>
      <c r="J2073" s="9" t="s">
        <v>51</v>
      </c>
      <c r="K2073" s="9" t="n">
        <v>48</v>
      </c>
      <c r="L2073" s="9" t="n">
        <v>7</v>
      </c>
      <c r="M2073" s="9" t="n">
        <v>3</v>
      </c>
      <c r="N2073" s="9" t="s">
        <v>71</v>
      </c>
      <c r="O2073" s="9"/>
      <c r="P2073" s="9" t="n">
        <v>11.3</v>
      </c>
      <c r="Q2073" s="9" t="n">
        <v>10</v>
      </c>
      <c r="R2073" s="9" t="s">
        <v>44</v>
      </c>
      <c r="S2073" s="9"/>
      <c r="T2073" s="9"/>
      <c r="U2073" s="9" t="str">
        <f aca="false">IF(COUNTIF($A$2:$A$5001,A2073)&gt;1,"Duplicate","Unique")</f>
        <v>Unique</v>
      </c>
      <c r="V2073" s="9" t="str">
        <f aca="false">IF(COUNTIFS($B$2:$B$5001,B2073,$H$2:$H$5001,H2073,$J$2:$J$5001,J2073)&gt;1,"Possible Duplicate Booking","Unique")</f>
        <v>Unique</v>
      </c>
      <c r="W2073" s="9" t="str">
        <f aca="false">IF((H2073-G2073)&lt;&gt;K2073,"Mismatch","OK")</f>
        <v>OK</v>
      </c>
      <c r="X2073" s="9" t="str">
        <f aca="false">IF(TEXT(H2073,"dddd")&lt;&gt;I2073,"Mismatch","OK")</f>
        <v>OK</v>
      </c>
      <c r="Y2073" s="9" t="str">
        <f aca="false">IF(AND(N2073="No",O2073&lt;&gt;""),"Unexpected: channel present but no reminder sent",IF(AND(N2073="Yes",O2073=""),"Missing channel for sent reminder","OK"))</f>
        <v>OK</v>
      </c>
    </row>
    <row r="2074" customFormat="false" ht="15" hidden="false" customHeight="false" outlineLevel="0" collapsed="false">
      <c r="A2074" s="7" t="s">
        <v>3368</v>
      </c>
      <c r="B2074" s="7" t="s">
        <v>1791</v>
      </c>
      <c r="C2074" s="7" t="s">
        <v>47</v>
      </c>
      <c r="D2074" s="7" t="n">
        <v>47</v>
      </c>
      <c r="E2074" s="7" t="s">
        <v>56</v>
      </c>
      <c r="F2074" s="7" t="s">
        <v>57</v>
      </c>
      <c r="G2074" s="8" t="n">
        <v>45840</v>
      </c>
      <c r="H2074" s="8" t="n">
        <v>45877</v>
      </c>
      <c r="I2074" s="7" t="s">
        <v>50</v>
      </c>
      <c r="J2074" s="7" t="s">
        <v>51</v>
      </c>
      <c r="K2074" s="7" t="n">
        <v>37</v>
      </c>
      <c r="L2074" s="7" t="n">
        <v>2</v>
      </c>
      <c r="M2074" s="7" t="n">
        <v>0</v>
      </c>
      <c r="N2074" s="7" t="s">
        <v>71</v>
      </c>
      <c r="O2074" s="7"/>
      <c r="P2074" s="7" t="n">
        <v>6.9</v>
      </c>
      <c r="Q2074" s="7" t="n">
        <v>28</v>
      </c>
      <c r="R2074" s="7" t="s">
        <v>53</v>
      </c>
      <c r="S2074" s="7"/>
      <c r="T2074" s="7"/>
      <c r="U2074" s="7" t="str">
        <f aca="false">IF(COUNTIF($A$2:$A$5001,A2074)&gt;1,"Duplicate","Unique")</f>
        <v>Unique</v>
      </c>
      <c r="V2074" s="7" t="str">
        <f aca="false">IF(COUNTIFS($B$2:$B$5001,B2074,$H$2:$H$5001,H2074,$J$2:$J$5001,J2074)&gt;1,"Possible Duplicate Booking","Unique")</f>
        <v>Unique</v>
      </c>
      <c r="W2074" s="7" t="str">
        <f aca="false">IF((H2074-G2074)&lt;&gt;K2074,"Mismatch","OK")</f>
        <v>OK</v>
      </c>
      <c r="X2074" s="7" t="str">
        <f aca="false">IF(TEXT(H2074,"dddd")&lt;&gt;I2074,"Mismatch","OK")</f>
        <v>OK</v>
      </c>
      <c r="Y2074" s="7" t="str">
        <f aca="false">IF(AND(N2074="No",O2074&lt;&gt;""),"Unexpected: channel present but no reminder sent",IF(AND(N2074="Yes",O2074=""),"Missing channel for sent reminder","OK"))</f>
        <v>OK</v>
      </c>
    </row>
    <row r="2075" customFormat="false" ht="15" hidden="false" customHeight="false" outlineLevel="0" collapsed="false">
      <c r="A2075" s="9" t="s">
        <v>3369</v>
      </c>
      <c r="B2075" s="9" t="s">
        <v>3370</v>
      </c>
      <c r="C2075" s="9" t="s">
        <v>47</v>
      </c>
      <c r="D2075" s="9" t="n">
        <v>75</v>
      </c>
      <c r="E2075" s="9" t="s">
        <v>70</v>
      </c>
      <c r="F2075" s="9" t="s">
        <v>49</v>
      </c>
      <c r="G2075" s="10" t="n">
        <v>45831</v>
      </c>
      <c r="H2075" s="10" t="n">
        <v>45844</v>
      </c>
      <c r="I2075" s="9" t="s">
        <v>75</v>
      </c>
      <c r="J2075" s="9" t="s">
        <v>51</v>
      </c>
      <c r="K2075" s="9" t="n">
        <v>13</v>
      </c>
      <c r="L2075" s="9" t="n">
        <v>8</v>
      </c>
      <c r="M2075" s="9" t="n">
        <v>1</v>
      </c>
      <c r="N2075" s="9" t="s">
        <v>42</v>
      </c>
      <c r="O2075" s="9" t="s">
        <v>52</v>
      </c>
      <c r="P2075" s="9" t="n">
        <v>25.3</v>
      </c>
      <c r="Q2075" s="9" t="n">
        <v>33</v>
      </c>
      <c r="R2075" s="9" t="s">
        <v>44</v>
      </c>
      <c r="S2075" s="9"/>
      <c r="T2075" s="9"/>
      <c r="U2075" s="9" t="str">
        <f aca="false">IF(COUNTIF($A$2:$A$5001,A2075)&gt;1,"Duplicate","Unique")</f>
        <v>Unique</v>
      </c>
      <c r="V2075" s="9" t="str">
        <f aca="false">IF(COUNTIFS($B$2:$B$5001,B2075,$H$2:$H$5001,H2075,$J$2:$J$5001,J2075)&gt;1,"Possible Duplicate Booking","Unique")</f>
        <v>Unique</v>
      </c>
      <c r="W2075" s="9" t="str">
        <f aca="false">IF((H2075-G2075)&lt;&gt;K2075,"Mismatch","OK")</f>
        <v>OK</v>
      </c>
      <c r="X2075" s="9" t="str">
        <f aca="false">IF(TEXT(H2075,"dddd")&lt;&gt;I2075,"Mismatch","OK")</f>
        <v>OK</v>
      </c>
      <c r="Y2075" s="9" t="str">
        <f aca="false">IF(AND(N2075="No",O2075&lt;&gt;""),"Unexpected: channel present but no reminder sent",IF(AND(N2075="Yes",O2075=""),"Missing channel for sent reminder","OK"))</f>
        <v>OK</v>
      </c>
    </row>
    <row r="2076" customFormat="false" ht="15" hidden="false" customHeight="false" outlineLevel="0" collapsed="false">
      <c r="A2076" s="7" t="s">
        <v>3371</v>
      </c>
      <c r="B2076" s="7" t="s">
        <v>354</v>
      </c>
      <c r="C2076" s="7" t="s">
        <v>47</v>
      </c>
      <c r="D2076" s="7" t="n">
        <v>28</v>
      </c>
      <c r="E2076" s="7" t="s">
        <v>48</v>
      </c>
      <c r="F2076" s="7" t="s">
        <v>57</v>
      </c>
      <c r="G2076" s="8" t="n">
        <v>45995</v>
      </c>
      <c r="H2076" s="8" t="n">
        <v>46038</v>
      </c>
      <c r="I2076" s="7" t="s">
        <v>50</v>
      </c>
      <c r="J2076" s="7" t="s">
        <v>41</v>
      </c>
      <c r="K2076" s="7" t="n">
        <v>43</v>
      </c>
      <c r="L2076" s="7" t="n">
        <v>9</v>
      </c>
      <c r="M2076" s="7" t="n">
        <v>1</v>
      </c>
      <c r="N2076" s="7" t="s">
        <v>71</v>
      </c>
      <c r="O2076" s="7"/>
      <c r="P2076" s="7" t="n">
        <v>3.3</v>
      </c>
      <c r="Q2076" s="7" t="n">
        <v>13</v>
      </c>
      <c r="R2076" s="7" t="s">
        <v>44</v>
      </c>
      <c r="S2076" s="7"/>
      <c r="T2076" s="7"/>
      <c r="U2076" s="7" t="str">
        <f aca="false">IF(COUNTIF($A$2:$A$5001,A2076)&gt;1,"Duplicate","Unique")</f>
        <v>Unique</v>
      </c>
      <c r="V2076" s="7" t="str">
        <f aca="false">IF(COUNTIFS($B$2:$B$5001,B2076,$H$2:$H$5001,H2076,$J$2:$J$5001,J2076)&gt;1,"Possible Duplicate Booking","Unique")</f>
        <v>Unique</v>
      </c>
      <c r="W2076" s="7" t="str">
        <f aca="false">IF((H2076-G2076)&lt;&gt;K2076,"Mismatch","OK")</f>
        <v>OK</v>
      </c>
      <c r="X2076" s="7" t="str">
        <f aca="false">IF(TEXT(H2076,"dddd")&lt;&gt;I2076,"Mismatch","OK")</f>
        <v>OK</v>
      </c>
      <c r="Y2076" s="7" t="str">
        <f aca="false">IF(AND(N2076="No",O2076&lt;&gt;""),"Unexpected: channel present but no reminder sent",IF(AND(N2076="Yes",O2076=""),"Missing channel for sent reminder","OK"))</f>
        <v>OK</v>
      </c>
    </row>
    <row r="2077" customFormat="false" ht="15" hidden="false" customHeight="false" outlineLevel="0" collapsed="false">
      <c r="A2077" s="9" t="s">
        <v>3372</v>
      </c>
      <c r="B2077" s="9" t="s">
        <v>1129</v>
      </c>
      <c r="C2077" s="9" t="s">
        <v>37</v>
      </c>
      <c r="D2077" s="9" t="n">
        <v>35</v>
      </c>
      <c r="E2077" s="9" t="s">
        <v>38</v>
      </c>
      <c r="F2077" s="9" t="s">
        <v>39</v>
      </c>
      <c r="G2077" s="10" t="n">
        <v>45844</v>
      </c>
      <c r="H2077" s="10" t="n">
        <v>45880</v>
      </c>
      <c r="I2077" s="9" t="s">
        <v>66</v>
      </c>
      <c r="J2077" s="9" t="s">
        <v>51</v>
      </c>
      <c r="K2077" s="9" t="n">
        <v>36</v>
      </c>
      <c r="L2077" s="9" t="n">
        <v>2</v>
      </c>
      <c r="M2077" s="9" t="n">
        <v>1</v>
      </c>
      <c r="N2077" s="9" t="s">
        <v>42</v>
      </c>
      <c r="O2077" s="9" t="s">
        <v>52</v>
      </c>
      <c r="P2077" s="9" t="n">
        <v>9.2</v>
      </c>
      <c r="Q2077" s="9" t="n">
        <v>11</v>
      </c>
      <c r="R2077" s="9" t="s">
        <v>44</v>
      </c>
      <c r="S2077" s="9"/>
      <c r="T2077" s="9"/>
      <c r="U2077" s="9" t="str">
        <f aca="false">IF(COUNTIF($A$2:$A$5001,A2077)&gt;1,"Duplicate","Unique")</f>
        <v>Unique</v>
      </c>
      <c r="V2077" s="9" t="str">
        <f aca="false">IF(COUNTIFS($B$2:$B$5001,B2077,$H$2:$H$5001,H2077,$J$2:$J$5001,J2077)&gt;1,"Possible Duplicate Booking","Unique")</f>
        <v>Unique</v>
      </c>
      <c r="W2077" s="9" t="str">
        <f aca="false">IF((H2077-G2077)&lt;&gt;K2077,"Mismatch","OK")</f>
        <v>OK</v>
      </c>
      <c r="X2077" s="9" t="str">
        <f aca="false">IF(TEXT(H2077,"dddd")&lt;&gt;I2077,"Mismatch","OK")</f>
        <v>OK</v>
      </c>
      <c r="Y2077" s="9" t="str">
        <f aca="false">IF(AND(N2077="No",O2077&lt;&gt;""),"Unexpected: channel present but no reminder sent",IF(AND(N2077="Yes",O2077=""),"Missing channel for sent reminder","OK"))</f>
        <v>OK</v>
      </c>
    </row>
    <row r="2078" customFormat="false" ht="15" hidden="false" customHeight="false" outlineLevel="0" collapsed="false">
      <c r="A2078" s="7" t="s">
        <v>3373</v>
      </c>
      <c r="B2078" s="7" t="s">
        <v>890</v>
      </c>
      <c r="C2078" s="7" t="s">
        <v>47</v>
      </c>
      <c r="D2078" s="7" t="n">
        <v>64</v>
      </c>
      <c r="E2078" s="7" t="s">
        <v>61</v>
      </c>
      <c r="F2078" s="7" t="s">
        <v>57</v>
      </c>
      <c r="G2078" s="8" t="n">
        <v>45862</v>
      </c>
      <c r="H2078" s="8" t="n">
        <v>45911</v>
      </c>
      <c r="I2078" s="7" t="s">
        <v>62</v>
      </c>
      <c r="J2078" s="7" t="s">
        <v>41</v>
      </c>
      <c r="K2078" s="7" t="n">
        <v>49</v>
      </c>
      <c r="L2078" s="7" t="n">
        <v>1</v>
      </c>
      <c r="M2078" s="7" t="n">
        <v>0</v>
      </c>
      <c r="N2078" s="7" t="s">
        <v>42</v>
      </c>
      <c r="O2078" s="7" t="s">
        <v>43</v>
      </c>
      <c r="P2078" s="7" t="n">
        <v>19.5</v>
      </c>
      <c r="Q2078" s="7" t="n">
        <v>13</v>
      </c>
      <c r="R2078" s="7" t="s">
        <v>44</v>
      </c>
      <c r="S2078" s="7"/>
      <c r="T2078" s="7"/>
      <c r="U2078" s="7" t="str">
        <f aca="false">IF(COUNTIF($A$2:$A$5001,A2078)&gt;1,"Duplicate","Unique")</f>
        <v>Unique</v>
      </c>
      <c r="V2078" s="7" t="str">
        <f aca="false">IF(COUNTIFS($B$2:$B$5001,B2078,$H$2:$H$5001,H2078,$J$2:$J$5001,J2078)&gt;1,"Possible Duplicate Booking","Unique")</f>
        <v>Unique</v>
      </c>
      <c r="W2078" s="7" t="str">
        <f aca="false">IF((H2078-G2078)&lt;&gt;K2078,"Mismatch","OK")</f>
        <v>OK</v>
      </c>
      <c r="X2078" s="7" t="str">
        <f aca="false">IF(TEXT(H2078,"dddd")&lt;&gt;I2078,"Mismatch","OK")</f>
        <v>OK</v>
      </c>
      <c r="Y2078" s="7" t="str">
        <f aca="false">IF(AND(N2078="No",O2078&lt;&gt;""),"Unexpected: channel present but no reminder sent",IF(AND(N2078="Yes",O2078=""),"Missing channel for sent reminder","OK"))</f>
        <v>OK</v>
      </c>
    </row>
    <row r="2079" customFormat="false" ht="15" hidden="false" customHeight="false" outlineLevel="0" collapsed="false">
      <c r="A2079" s="9" t="s">
        <v>3374</v>
      </c>
      <c r="B2079" s="9" t="s">
        <v>409</v>
      </c>
      <c r="C2079" s="9" t="s">
        <v>47</v>
      </c>
      <c r="D2079" s="9" t="n">
        <v>31</v>
      </c>
      <c r="E2079" s="9" t="s">
        <v>48</v>
      </c>
      <c r="F2079" s="9" t="s">
        <v>39</v>
      </c>
      <c r="G2079" s="10" t="n">
        <v>45889</v>
      </c>
      <c r="H2079" s="10" t="n">
        <v>45898</v>
      </c>
      <c r="I2079" s="9" t="s">
        <v>50</v>
      </c>
      <c r="J2079" s="9" t="s">
        <v>51</v>
      </c>
      <c r="K2079" s="9" t="n">
        <v>9</v>
      </c>
      <c r="L2079" s="9" t="n">
        <v>3</v>
      </c>
      <c r="M2079" s="9" t="n">
        <v>0</v>
      </c>
      <c r="N2079" s="9" t="s">
        <v>42</v>
      </c>
      <c r="O2079" s="9" t="s">
        <v>52</v>
      </c>
      <c r="P2079" s="9" t="n">
        <v>4.6</v>
      </c>
      <c r="Q2079" s="9" t="n">
        <v>8</v>
      </c>
      <c r="R2079" s="9" t="s">
        <v>53</v>
      </c>
      <c r="S2079" s="9"/>
      <c r="T2079" s="9"/>
      <c r="U2079" s="9" t="str">
        <f aca="false">IF(COUNTIF($A$2:$A$5001,A2079)&gt;1,"Duplicate","Unique")</f>
        <v>Unique</v>
      </c>
      <c r="V2079" s="9" t="str">
        <f aca="false">IF(COUNTIFS($B$2:$B$5001,B2079,$H$2:$H$5001,H2079,$J$2:$J$5001,J2079)&gt;1,"Possible Duplicate Booking","Unique")</f>
        <v>Unique</v>
      </c>
      <c r="W2079" s="9" t="str">
        <f aca="false">IF((H2079-G2079)&lt;&gt;K2079,"Mismatch","OK")</f>
        <v>OK</v>
      </c>
      <c r="X2079" s="9" t="str">
        <f aca="false">IF(TEXT(H2079,"dddd")&lt;&gt;I2079,"Mismatch","OK")</f>
        <v>OK</v>
      </c>
      <c r="Y2079" s="9" t="str">
        <f aca="false">IF(AND(N2079="No",O2079&lt;&gt;""),"Unexpected: channel present but no reminder sent",IF(AND(N2079="Yes",O2079=""),"Missing channel for sent reminder","OK"))</f>
        <v>OK</v>
      </c>
    </row>
    <row r="2080" customFormat="false" ht="15" hidden="false" customHeight="false" outlineLevel="0" collapsed="false">
      <c r="A2080" s="7" t="s">
        <v>3375</v>
      </c>
      <c r="B2080" s="7" t="s">
        <v>805</v>
      </c>
      <c r="C2080" s="7" t="s">
        <v>37</v>
      </c>
      <c r="D2080" s="7" t="n">
        <v>69</v>
      </c>
      <c r="E2080" s="7" t="s">
        <v>70</v>
      </c>
      <c r="F2080" s="7" t="s">
        <v>57</v>
      </c>
      <c r="G2080" s="8" t="n">
        <v>45785</v>
      </c>
      <c r="H2080" s="8" t="n">
        <v>45799</v>
      </c>
      <c r="I2080" s="7" t="s">
        <v>62</v>
      </c>
      <c r="J2080" s="7" t="s">
        <v>51</v>
      </c>
      <c r="K2080" s="7" t="n">
        <v>14</v>
      </c>
      <c r="L2080" s="7" t="n">
        <v>4</v>
      </c>
      <c r="M2080" s="7" t="n">
        <v>1</v>
      </c>
      <c r="N2080" s="7" t="s">
        <v>42</v>
      </c>
      <c r="O2080" s="7" t="s">
        <v>52</v>
      </c>
      <c r="P2080" s="7" t="n">
        <v>6.1</v>
      </c>
      <c r="Q2080" s="7" t="n">
        <v>36</v>
      </c>
      <c r="R2080" s="7" t="s">
        <v>53</v>
      </c>
      <c r="S2080" s="7"/>
      <c r="T2080" s="7"/>
      <c r="U2080" s="7" t="str">
        <f aca="false">IF(COUNTIF($A$2:$A$5001,A2080)&gt;1,"Duplicate","Unique")</f>
        <v>Unique</v>
      </c>
      <c r="V2080" s="7" t="str">
        <f aca="false">IF(COUNTIFS($B$2:$B$5001,B2080,$H$2:$H$5001,H2080,$J$2:$J$5001,J2080)&gt;1,"Possible Duplicate Booking","Unique")</f>
        <v>Unique</v>
      </c>
      <c r="W2080" s="7" t="str">
        <f aca="false">IF((H2080-G2080)&lt;&gt;K2080,"Mismatch","OK")</f>
        <v>OK</v>
      </c>
      <c r="X2080" s="7" t="str">
        <f aca="false">IF(TEXT(H2080,"dddd")&lt;&gt;I2080,"Mismatch","OK")</f>
        <v>OK</v>
      </c>
      <c r="Y2080" s="7" t="str">
        <f aca="false">IF(AND(N2080="No",O2080&lt;&gt;""),"Unexpected: channel present but no reminder sent",IF(AND(N2080="Yes",O2080=""),"Missing channel for sent reminder","OK"))</f>
        <v>OK</v>
      </c>
    </row>
    <row r="2081" customFormat="false" ht="15" hidden="false" customHeight="false" outlineLevel="0" collapsed="false">
      <c r="A2081" s="9" t="s">
        <v>3376</v>
      </c>
      <c r="B2081" s="9" t="s">
        <v>3377</v>
      </c>
      <c r="C2081" s="9" t="s">
        <v>37</v>
      </c>
      <c r="D2081" s="9" t="n">
        <v>44</v>
      </c>
      <c r="E2081" s="9" t="s">
        <v>38</v>
      </c>
      <c r="F2081" s="9" t="s">
        <v>57</v>
      </c>
      <c r="G2081" s="10" t="n">
        <v>45708</v>
      </c>
      <c r="H2081" s="10" t="n">
        <v>45726</v>
      </c>
      <c r="I2081" s="9" t="s">
        <v>66</v>
      </c>
      <c r="J2081" s="9" t="s">
        <v>51</v>
      </c>
      <c r="K2081" s="9" t="n">
        <v>18</v>
      </c>
      <c r="L2081" s="9" t="n">
        <v>3</v>
      </c>
      <c r="M2081" s="9" t="n">
        <v>1</v>
      </c>
      <c r="N2081" s="9" t="s">
        <v>71</v>
      </c>
      <c r="O2081" s="9"/>
      <c r="P2081" s="9" t="n">
        <v>14.4</v>
      </c>
      <c r="Q2081" s="9" t="n">
        <v>34</v>
      </c>
      <c r="R2081" s="9" t="s">
        <v>44</v>
      </c>
      <c r="S2081" s="9"/>
      <c r="T2081" s="9"/>
      <c r="U2081" s="9" t="str">
        <f aca="false">IF(COUNTIF($A$2:$A$5001,A2081)&gt;1,"Duplicate","Unique")</f>
        <v>Unique</v>
      </c>
      <c r="V2081" s="9" t="str">
        <f aca="false">IF(COUNTIFS($B$2:$B$5001,B2081,$H$2:$H$5001,H2081,$J$2:$J$5001,J2081)&gt;1,"Possible Duplicate Booking","Unique")</f>
        <v>Unique</v>
      </c>
      <c r="W2081" s="9" t="str">
        <f aca="false">IF((H2081-G2081)&lt;&gt;K2081,"Mismatch","OK")</f>
        <v>OK</v>
      </c>
      <c r="X2081" s="9" t="str">
        <f aca="false">IF(TEXT(H2081,"dddd")&lt;&gt;I2081,"Mismatch","OK")</f>
        <v>OK</v>
      </c>
      <c r="Y2081" s="9" t="str">
        <f aca="false">IF(AND(N2081="No",O2081&lt;&gt;""),"Unexpected: channel present but no reminder sent",IF(AND(N2081="Yes",O2081=""),"Missing channel for sent reminder","OK"))</f>
        <v>OK</v>
      </c>
    </row>
    <row r="2082" customFormat="false" ht="15" hidden="false" customHeight="false" outlineLevel="0" collapsed="false">
      <c r="A2082" s="7" t="s">
        <v>3378</v>
      </c>
      <c r="B2082" s="7" t="s">
        <v>805</v>
      </c>
      <c r="C2082" s="7" t="s">
        <v>37</v>
      </c>
      <c r="D2082" s="7" t="n">
        <v>43</v>
      </c>
      <c r="E2082" s="7" t="s">
        <v>38</v>
      </c>
      <c r="F2082" s="7" t="s">
        <v>49</v>
      </c>
      <c r="G2082" s="8" t="n">
        <v>46089</v>
      </c>
      <c r="H2082" s="8" t="n">
        <v>46109</v>
      </c>
      <c r="I2082" s="7" t="s">
        <v>102</v>
      </c>
      <c r="J2082" s="7" t="s">
        <v>41</v>
      </c>
      <c r="K2082" s="7" t="n">
        <v>20</v>
      </c>
      <c r="L2082" s="7" t="n">
        <v>3</v>
      </c>
      <c r="M2082" s="7" t="n">
        <v>0</v>
      </c>
      <c r="N2082" s="7" t="s">
        <v>42</v>
      </c>
      <c r="O2082" s="7" t="s">
        <v>43</v>
      </c>
      <c r="P2082" s="7" t="n">
        <v>14.4</v>
      </c>
      <c r="Q2082" s="7" t="n">
        <v>20</v>
      </c>
      <c r="R2082" s="7" t="s">
        <v>53</v>
      </c>
      <c r="S2082" s="7"/>
      <c r="T2082" s="7"/>
      <c r="U2082" s="7" t="str">
        <f aca="false">IF(COUNTIF($A$2:$A$5001,A2082)&gt;1,"Duplicate","Unique")</f>
        <v>Unique</v>
      </c>
      <c r="V2082" s="7" t="str">
        <f aca="false">IF(COUNTIFS($B$2:$B$5001,B2082,$H$2:$H$5001,H2082,$J$2:$J$5001,J2082)&gt;1,"Possible Duplicate Booking","Unique")</f>
        <v>Unique</v>
      </c>
      <c r="W2082" s="7" t="str">
        <f aca="false">IF((H2082-G2082)&lt;&gt;K2082,"Mismatch","OK")</f>
        <v>OK</v>
      </c>
      <c r="X2082" s="7" t="str">
        <f aca="false">IF(TEXT(H2082,"dddd")&lt;&gt;I2082,"Mismatch","OK")</f>
        <v>OK</v>
      </c>
      <c r="Y2082" s="7" t="str">
        <f aca="false">IF(AND(N2082="No",O2082&lt;&gt;""),"Unexpected: channel present but no reminder sent",IF(AND(N2082="Yes",O2082=""),"Missing channel for sent reminder","OK"))</f>
        <v>OK</v>
      </c>
    </row>
    <row r="2083" customFormat="false" ht="15" hidden="false" customHeight="false" outlineLevel="0" collapsed="false">
      <c r="A2083" s="9" t="s">
        <v>3379</v>
      </c>
      <c r="B2083" s="9" t="s">
        <v>3245</v>
      </c>
      <c r="C2083" s="9" t="s">
        <v>37</v>
      </c>
      <c r="D2083" s="9" t="n">
        <v>46</v>
      </c>
      <c r="E2083" s="9" t="s">
        <v>56</v>
      </c>
      <c r="F2083" s="9" t="s">
        <v>57</v>
      </c>
      <c r="G2083" s="10" t="n">
        <v>45654</v>
      </c>
      <c r="H2083" s="10" t="n">
        <v>45708</v>
      </c>
      <c r="I2083" s="9" t="s">
        <v>62</v>
      </c>
      <c r="J2083" s="9" t="s">
        <v>51</v>
      </c>
      <c r="K2083" s="9" t="n">
        <v>54</v>
      </c>
      <c r="L2083" s="9" t="n">
        <v>1</v>
      </c>
      <c r="M2083" s="9" t="n">
        <v>0</v>
      </c>
      <c r="N2083" s="9" t="s">
        <v>42</v>
      </c>
      <c r="O2083" s="9" t="s">
        <v>67</v>
      </c>
      <c r="P2083" s="9" t="n">
        <v>8</v>
      </c>
      <c r="Q2083" s="9" t="n">
        <v>23</v>
      </c>
      <c r="R2083" s="9" t="s">
        <v>44</v>
      </c>
      <c r="S2083" s="9"/>
      <c r="T2083" s="9"/>
      <c r="U2083" s="9" t="str">
        <f aca="false">IF(COUNTIF($A$2:$A$5001,A2083)&gt;1,"Duplicate","Unique")</f>
        <v>Unique</v>
      </c>
      <c r="V2083" s="9" t="str">
        <f aca="false">IF(COUNTIFS($B$2:$B$5001,B2083,$H$2:$H$5001,H2083,$J$2:$J$5001,J2083)&gt;1,"Possible Duplicate Booking","Unique")</f>
        <v>Unique</v>
      </c>
      <c r="W2083" s="9" t="str">
        <f aca="false">IF((H2083-G2083)&lt;&gt;K2083,"Mismatch","OK")</f>
        <v>OK</v>
      </c>
      <c r="X2083" s="9" t="str">
        <f aca="false">IF(TEXT(H2083,"dddd")&lt;&gt;I2083,"Mismatch","OK")</f>
        <v>OK</v>
      </c>
      <c r="Y2083" s="9" t="str">
        <f aca="false">IF(AND(N2083="No",O2083&lt;&gt;""),"Unexpected: channel present but no reminder sent",IF(AND(N2083="Yes",O2083=""),"Missing channel for sent reminder","OK"))</f>
        <v>OK</v>
      </c>
    </row>
    <row r="2084" customFormat="false" ht="15" hidden="false" customHeight="false" outlineLevel="0" collapsed="false">
      <c r="A2084" s="7" t="s">
        <v>3380</v>
      </c>
      <c r="B2084" s="7" t="s">
        <v>3381</v>
      </c>
      <c r="C2084" s="7" t="s">
        <v>37</v>
      </c>
      <c r="D2084" s="7" t="n">
        <v>68</v>
      </c>
      <c r="E2084" s="7" t="s">
        <v>70</v>
      </c>
      <c r="F2084" s="7" t="s">
        <v>57</v>
      </c>
      <c r="G2084" s="8" t="n">
        <v>45791</v>
      </c>
      <c r="H2084" s="8" t="n">
        <v>45835</v>
      </c>
      <c r="I2084" s="7" t="s">
        <v>50</v>
      </c>
      <c r="J2084" s="7" t="s">
        <v>41</v>
      </c>
      <c r="K2084" s="7" t="n">
        <v>44</v>
      </c>
      <c r="L2084" s="7" t="n">
        <v>5</v>
      </c>
      <c r="M2084" s="7" t="n">
        <v>2</v>
      </c>
      <c r="N2084" s="7" t="s">
        <v>42</v>
      </c>
      <c r="O2084" s="7" t="s">
        <v>52</v>
      </c>
      <c r="P2084" s="7" t="n">
        <v>10.7</v>
      </c>
      <c r="Q2084" s="7" t="n">
        <v>17</v>
      </c>
      <c r="R2084" s="7" t="s">
        <v>44</v>
      </c>
      <c r="S2084" s="7"/>
      <c r="T2084" s="7"/>
      <c r="U2084" s="7" t="str">
        <f aca="false">IF(COUNTIF($A$2:$A$5001,A2084)&gt;1,"Duplicate","Unique")</f>
        <v>Unique</v>
      </c>
      <c r="V2084" s="7" t="str">
        <f aca="false">IF(COUNTIFS($B$2:$B$5001,B2084,$H$2:$H$5001,H2084,$J$2:$J$5001,J2084)&gt;1,"Possible Duplicate Booking","Unique")</f>
        <v>Unique</v>
      </c>
      <c r="W2084" s="7" t="str">
        <f aca="false">IF((H2084-G2084)&lt;&gt;K2084,"Mismatch","OK")</f>
        <v>OK</v>
      </c>
      <c r="X2084" s="7" t="str">
        <f aca="false">IF(TEXT(H2084,"dddd")&lt;&gt;I2084,"Mismatch","OK")</f>
        <v>OK</v>
      </c>
      <c r="Y2084" s="7" t="str">
        <f aca="false">IF(AND(N2084="No",O2084&lt;&gt;""),"Unexpected: channel present but no reminder sent",IF(AND(N2084="Yes",O2084=""),"Missing channel for sent reminder","OK"))</f>
        <v>OK</v>
      </c>
    </row>
    <row r="2085" customFormat="false" ht="15" hidden="false" customHeight="false" outlineLevel="0" collapsed="false">
      <c r="A2085" s="9" t="s">
        <v>3382</v>
      </c>
      <c r="B2085" s="9" t="s">
        <v>162</v>
      </c>
      <c r="C2085" s="9" t="s">
        <v>37</v>
      </c>
      <c r="D2085" s="9" t="n">
        <v>18</v>
      </c>
      <c r="E2085" s="9" t="s">
        <v>82</v>
      </c>
      <c r="F2085" s="9" t="s">
        <v>49</v>
      </c>
      <c r="G2085" s="10" t="n">
        <v>45989</v>
      </c>
      <c r="H2085" s="10" t="n">
        <v>46022</v>
      </c>
      <c r="I2085" s="9" t="s">
        <v>58</v>
      </c>
      <c r="J2085" s="9" t="s">
        <v>41</v>
      </c>
      <c r="K2085" s="9" t="n">
        <v>33</v>
      </c>
      <c r="L2085" s="9" t="n">
        <v>3</v>
      </c>
      <c r="M2085" s="9" t="n">
        <v>0</v>
      </c>
      <c r="N2085" s="9" t="s">
        <v>71</v>
      </c>
      <c r="O2085" s="9"/>
      <c r="P2085" s="9" t="n">
        <v>9.2</v>
      </c>
      <c r="Q2085" s="9" t="n">
        <v>49</v>
      </c>
      <c r="R2085" s="9" t="s">
        <v>44</v>
      </c>
      <c r="S2085" s="9"/>
      <c r="T2085" s="9"/>
      <c r="U2085" s="9" t="str">
        <f aca="false">IF(COUNTIF($A$2:$A$5001,A2085)&gt;1,"Duplicate","Unique")</f>
        <v>Unique</v>
      </c>
      <c r="V2085" s="9" t="str">
        <f aca="false">IF(COUNTIFS($B$2:$B$5001,B2085,$H$2:$H$5001,H2085,$J$2:$J$5001,J2085)&gt;1,"Possible Duplicate Booking","Unique")</f>
        <v>Unique</v>
      </c>
      <c r="W2085" s="9" t="str">
        <f aca="false">IF((H2085-G2085)&lt;&gt;K2085,"Mismatch","OK")</f>
        <v>OK</v>
      </c>
      <c r="X2085" s="9" t="str">
        <f aca="false">IF(TEXT(H2085,"dddd")&lt;&gt;I2085,"Mismatch","OK")</f>
        <v>OK</v>
      </c>
      <c r="Y2085" s="9" t="str">
        <f aca="false">IF(AND(N2085="No",O2085&lt;&gt;""),"Unexpected: channel present but no reminder sent",IF(AND(N2085="Yes",O2085=""),"Missing channel for sent reminder","OK"))</f>
        <v>OK</v>
      </c>
    </row>
    <row r="2086" customFormat="false" ht="15" hidden="false" customHeight="false" outlineLevel="0" collapsed="false">
      <c r="A2086" s="7" t="s">
        <v>3383</v>
      </c>
      <c r="B2086" s="7" t="s">
        <v>3384</v>
      </c>
      <c r="C2086" s="7" t="s">
        <v>37</v>
      </c>
      <c r="D2086" s="7" t="n">
        <v>65</v>
      </c>
      <c r="E2086" s="7" t="s">
        <v>70</v>
      </c>
      <c r="F2086" s="7" t="s">
        <v>49</v>
      </c>
      <c r="G2086" s="8" t="n">
        <v>45697</v>
      </c>
      <c r="H2086" s="8" t="n">
        <v>45729</v>
      </c>
      <c r="I2086" s="7" t="s">
        <v>62</v>
      </c>
      <c r="J2086" s="7" t="s">
        <v>41</v>
      </c>
      <c r="K2086" s="7" t="n">
        <v>32</v>
      </c>
      <c r="L2086" s="7" t="n">
        <v>2</v>
      </c>
      <c r="M2086" s="7" t="n">
        <v>1</v>
      </c>
      <c r="N2086" s="7" t="s">
        <v>71</v>
      </c>
      <c r="O2086" s="7"/>
      <c r="P2086" s="7" t="n">
        <v>15.4</v>
      </c>
      <c r="Q2086" s="7" t="n">
        <v>19</v>
      </c>
      <c r="R2086" s="7" t="s">
        <v>44</v>
      </c>
      <c r="S2086" s="7"/>
      <c r="T2086" s="7"/>
      <c r="U2086" s="7" t="str">
        <f aca="false">IF(COUNTIF($A$2:$A$5001,A2086)&gt;1,"Duplicate","Unique")</f>
        <v>Unique</v>
      </c>
      <c r="V2086" s="7" t="str">
        <f aca="false">IF(COUNTIFS($B$2:$B$5001,B2086,$H$2:$H$5001,H2086,$J$2:$J$5001,J2086)&gt;1,"Possible Duplicate Booking","Unique")</f>
        <v>Unique</v>
      </c>
      <c r="W2086" s="7" t="str">
        <f aca="false">IF((H2086-G2086)&lt;&gt;K2086,"Mismatch","OK")</f>
        <v>OK</v>
      </c>
      <c r="X2086" s="7" t="str">
        <f aca="false">IF(TEXT(H2086,"dddd")&lt;&gt;I2086,"Mismatch","OK")</f>
        <v>OK</v>
      </c>
      <c r="Y2086" s="7" t="str">
        <f aca="false">IF(AND(N2086="No",O2086&lt;&gt;""),"Unexpected: channel present but no reminder sent",IF(AND(N2086="Yes",O2086=""),"Missing channel for sent reminder","OK"))</f>
        <v>OK</v>
      </c>
    </row>
    <row r="2087" customFormat="false" ht="15" hidden="false" customHeight="false" outlineLevel="0" collapsed="false">
      <c r="A2087" s="9" t="s">
        <v>3385</v>
      </c>
      <c r="B2087" s="9" t="s">
        <v>2065</v>
      </c>
      <c r="C2087" s="9" t="s">
        <v>47</v>
      </c>
      <c r="D2087" s="9" t="n">
        <v>67</v>
      </c>
      <c r="E2087" s="9" t="s">
        <v>70</v>
      </c>
      <c r="F2087" s="9" t="s">
        <v>49</v>
      </c>
      <c r="G2087" s="10" t="n">
        <v>45961</v>
      </c>
      <c r="H2087" s="10" t="n">
        <v>46015</v>
      </c>
      <c r="I2087" s="9" t="s">
        <v>58</v>
      </c>
      <c r="J2087" s="9" t="s">
        <v>51</v>
      </c>
      <c r="K2087" s="9" t="n">
        <v>54</v>
      </c>
      <c r="L2087" s="9" t="n">
        <v>3</v>
      </c>
      <c r="M2087" s="9" t="n">
        <v>0</v>
      </c>
      <c r="N2087" s="9" t="s">
        <v>42</v>
      </c>
      <c r="O2087" s="9" t="s">
        <v>43</v>
      </c>
      <c r="P2087" s="9" t="n">
        <v>15.8</v>
      </c>
      <c r="Q2087" s="9" t="n">
        <v>18</v>
      </c>
      <c r="R2087" s="9" t="s">
        <v>44</v>
      </c>
      <c r="S2087" s="9"/>
      <c r="T2087" s="9"/>
      <c r="U2087" s="9" t="str">
        <f aca="false">IF(COUNTIF($A$2:$A$5001,A2087)&gt;1,"Duplicate","Unique")</f>
        <v>Unique</v>
      </c>
      <c r="V2087" s="9" t="str">
        <f aca="false">IF(COUNTIFS($B$2:$B$5001,B2087,$H$2:$H$5001,H2087,$J$2:$J$5001,J2087)&gt;1,"Possible Duplicate Booking","Unique")</f>
        <v>Unique</v>
      </c>
      <c r="W2087" s="9" t="str">
        <f aca="false">IF((H2087-G2087)&lt;&gt;K2087,"Mismatch","OK")</f>
        <v>OK</v>
      </c>
      <c r="X2087" s="9" t="str">
        <f aca="false">IF(TEXT(H2087,"dddd")&lt;&gt;I2087,"Mismatch","OK")</f>
        <v>OK</v>
      </c>
      <c r="Y2087" s="9" t="str">
        <f aca="false">IF(AND(N2087="No",O2087&lt;&gt;""),"Unexpected: channel present but no reminder sent",IF(AND(N2087="Yes",O2087=""),"Missing channel for sent reminder","OK"))</f>
        <v>OK</v>
      </c>
    </row>
    <row r="2088" customFormat="false" ht="15" hidden="false" customHeight="false" outlineLevel="0" collapsed="false">
      <c r="A2088" s="7" t="s">
        <v>3386</v>
      </c>
      <c r="B2088" s="7" t="s">
        <v>3387</v>
      </c>
      <c r="C2088" s="7" t="s">
        <v>37</v>
      </c>
      <c r="D2088" s="7" t="n">
        <v>69</v>
      </c>
      <c r="E2088" s="7" t="s">
        <v>70</v>
      </c>
      <c r="F2088" s="7" t="s">
        <v>57</v>
      </c>
      <c r="G2088" s="8" t="n">
        <v>46031</v>
      </c>
      <c r="H2088" s="8" t="n">
        <v>46058</v>
      </c>
      <c r="I2088" s="7" t="s">
        <v>62</v>
      </c>
      <c r="J2088" s="7" t="s">
        <v>41</v>
      </c>
      <c r="K2088" s="7" t="n">
        <v>27</v>
      </c>
      <c r="L2088" s="7" t="n">
        <v>2</v>
      </c>
      <c r="M2088" s="7" t="n">
        <v>0</v>
      </c>
      <c r="N2088" s="7" t="s">
        <v>42</v>
      </c>
      <c r="O2088" s="7" t="s">
        <v>43</v>
      </c>
      <c r="P2088" s="7" t="n">
        <v>20.7</v>
      </c>
      <c r="Q2088" s="7" t="n">
        <v>23</v>
      </c>
      <c r="R2088" s="7" t="s">
        <v>53</v>
      </c>
      <c r="S2088" s="7"/>
      <c r="T2088" s="7"/>
      <c r="U2088" s="7" t="str">
        <f aca="false">IF(COUNTIF($A$2:$A$5001,A2088)&gt;1,"Duplicate","Unique")</f>
        <v>Unique</v>
      </c>
      <c r="V2088" s="7" t="str">
        <f aca="false">IF(COUNTIFS($B$2:$B$5001,B2088,$H$2:$H$5001,H2088,$J$2:$J$5001,J2088)&gt;1,"Possible Duplicate Booking","Unique")</f>
        <v>Unique</v>
      </c>
      <c r="W2088" s="7" t="str">
        <f aca="false">IF((H2088-G2088)&lt;&gt;K2088,"Mismatch","OK")</f>
        <v>OK</v>
      </c>
      <c r="X2088" s="7" t="str">
        <f aca="false">IF(TEXT(H2088,"dddd")&lt;&gt;I2088,"Mismatch","OK")</f>
        <v>OK</v>
      </c>
      <c r="Y2088" s="7" t="str">
        <f aca="false">IF(AND(N2088="No",O2088&lt;&gt;""),"Unexpected: channel present but no reminder sent",IF(AND(N2088="Yes",O2088=""),"Missing channel for sent reminder","OK"))</f>
        <v>OK</v>
      </c>
    </row>
    <row r="2089" customFormat="false" ht="15" hidden="false" customHeight="false" outlineLevel="0" collapsed="false">
      <c r="A2089" s="9" t="s">
        <v>3388</v>
      </c>
      <c r="B2089" s="9" t="s">
        <v>1198</v>
      </c>
      <c r="C2089" s="9" t="s">
        <v>37</v>
      </c>
      <c r="D2089" s="9" t="n">
        <v>80</v>
      </c>
      <c r="E2089" s="9" t="s">
        <v>70</v>
      </c>
      <c r="F2089" s="9" t="s">
        <v>39</v>
      </c>
      <c r="G2089" s="10" t="n">
        <v>46006</v>
      </c>
      <c r="H2089" s="10" t="n">
        <v>46019</v>
      </c>
      <c r="I2089" s="9" t="s">
        <v>75</v>
      </c>
      <c r="J2089" s="9" t="s">
        <v>51</v>
      </c>
      <c r="K2089" s="9" t="n">
        <v>13</v>
      </c>
      <c r="L2089" s="9" t="n">
        <v>2</v>
      </c>
      <c r="M2089" s="9" t="n">
        <v>0</v>
      </c>
      <c r="N2089" s="9" t="s">
        <v>42</v>
      </c>
      <c r="O2089" s="9" t="s">
        <v>43</v>
      </c>
      <c r="P2089" s="9" t="n">
        <v>20.6</v>
      </c>
      <c r="Q2089" s="9" t="n">
        <v>10</v>
      </c>
      <c r="R2089" s="9" t="s">
        <v>53</v>
      </c>
      <c r="S2089" s="9"/>
      <c r="T2089" s="9"/>
      <c r="U2089" s="9" t="str">
        <f aca="false">IF(COUNTIF($A$2:$A$5001,A2089)&gt;1,"Duplicate","Unique")</f>
        <v>Unique</v>
      </c>
      <c r="V2089" s="9" t="str">
        <f aca="false">IF(COUNTIFS($B$2:$B$5001,B2089,$H$2:$H$5001,H2089,$J$2:$J$5001,J2089)&gt;1,"Possible Duplicate Booking","Unique")</f>
        <v>Unique</v>
      </c>
      <c r="W2089" s="9" t="str">
        <f aca="false">IF((H2089-G2089)&lt;&gt;K2089,"Mismatch","OK")</f>
        <v>OK</v>
      </c>
      <c r="X2089" s="9" t="str">
        <f aca="false">IF(TEXT(H2089,"dddd")&lt;&gt;I2089,"Mismatch","OK")</f>
        <v>OK</v>
      </c>
      <c r="Y2089" s="9" t="str">
        <f aca="false">IF(AND(N2089="No",O2089&lt;&gt;""),"Unexpected: channel present but no reminder sent",IF(AND(N2089="Yes",O2089=""),"Missing channel for sent reminder","OK"))</f>
        <v>OK</v>
      </c>
    </row>
    <row r="2090" customFormat="false" ht="15" hidden="false" customHeight="false" outlineLevel="0" collapsed="false">
      <c r="A2090" s="7" t="s">
        <v>3389</v>
      </c>
      <c r="B2090" s="7" t="s">
        <v>762</v>
      </c>
      <c r="C2090" s="7" t="s">
        <v>37</v>
      </c>
      <c r="D2090" s="7" t="n">
        <v>67</v>
      </c>
      <c r="E2090" s="7" t="s">
        <v>70</v>
      </c>
      <c r="F2090" s="7" t="s">
        <v>49</v>
      </c>
      <c r="G2090" s="8" t="n">
        <v>45816</v>
      </c>
      <c r="H2090" s="8" t="n">
        <v>45824</v>
      </c>
      <c r="I2090" s="7" t="s">
        <v>66</v>
      </c>
      <c r="J2090" s="7" t="s">
        <v>41</v>
      </c>
      <c r="K2090" s="7" t="n">
        <v>8</v>
      </c>
      <c r="L2090" s="7" t="n">
        <v>4</v>
      </c>
      <c r="M2090" s="7" t="n">
        <v>3</v>
      </c>
      <c r="N2090" s="7" t="s">
        <v>42</v>
      </c>
      <c r="O2090" s="7" t="s">
        <v>52</v>
      </c>
      <c r="P2090" s="7" t="n">
        <v>10.9</v>
      </c>
      <c r="Q2090" s="7" t="n">
        <v>27</v>
      </c>
      <c r="R2090" s="7" t="s">
        <v>53</v>
      </c>
      <c r="S2090" s="7"/>
      <c r="T2090" s="7"/>
      <c r="U2090" s="7" t="str">
        <f aca="false">IF(COUNTIF($A$2:$A$5001,A2090)&gt;1,"Duplicate","Unique")</f>
        <v>Unique</v>
      </c>
      <c r="V2090" s="7" t="str">
        <f aca="false">IF(COUNTIFS($B$2:$B$5001,B2090,$H$2:$H$5001,H2090,$J$2:$J$5001,J2090)&gt;1,"Possible Duplicate Booking","Unique")</f>
        <v>Unique</v>
      </c>
      <c r="W2090" s="7" t="str">
        <f aca="false">IF((H2090-G2090)&lt;&gt;K2090,"Mismatch","OK")</f>
        <v>OK</v>
      </c>
      <c r="X2090" s="7" t="str">
        <f aca="false">IF(TEXT(H2090,"dddd")&lt;&gt;I2090,"Mismatch","OK")</f>
        <v>OK</v>
      </c>
      <c r="Y2090" s="7" t="str">
        <f aca="false">IF(AND(N2090="No",O2090&lt;&gt;""),"Unexpected: channel present but no reminder sent",IF(AND(N2090="Yes",O2090=""),"Missing channel for sent reminder","OK"))</f>
        <v>OK</v>
      </c>
    </row>
    <row r="2091" customFormat="false" ht="15" hidden="false" customHeight="false" outlineLevel="0" collapsed="false">
      <c r="A2091" s="9" t="s">
        <v>3390</v>
      </c>
      <c r="B2091" s="9" t="s">
        <v>3391</v>
      </c>
      <c r="C2091" s="9" t="s">
        <v>37</v>
      </c>
      <c r="D2091" s="9" t="n">
        <v>51</v>
      </c>
      <c r="E2091" s="9" t="s">
        <v>56</v>
      </c>
      <c r="F2091" s="9" t="s">
        <v>57</v>
      </c>
      <c r="G2091" s="10" t="n">
        <v>45648</v>
      </c>
      <c r="H2091" s="10" t="n">
        <v>45668</v>
      </c>
      <c r="I2091" s="9" t="s">
        <v>102</v>
      </c>
      <c r="J2091" s="9" t="s">
        <v>41</v>
      </c>
      <c r="K2091" s="9" t="n">
        <v>20</v>
      </c>
      <c r="L2091" s="9" t="n">
        <v>3</v>
      </c>
      <c r="M2091" s="9" t="n">
        <v>0</v>
      </c>
      <c r="N2091" s="9" t="s">
        <v>71</v>
      </c>
      <c r="O2091" s="9"/>
      <c r="P2091" s="9" t="n">
        <v>3.9</v>
      </c>
      <c r="Q2091" s="9" t="n">
        <v>40</v>
      </c>
      <c r="R2091" s="9" t="s">
        <v>53</v>
      </c>
      <c r="S2091" s="9"/>
      <c r="T2091" s="9"/>
      <c r="U2091" s="9" t="str">
        <f aca="false">IF(COUNTIF($A$2:$A$5001,A2091)&gt;1,"Duplicate","Unique")</f>
        <v>Unique</v>
      </c>
      <c r="V2091" s="9" t="str">
        <f aca="false">IF(COUNTIFS($B$2:$B$5001,B2091,$H$2:$H$5001,H2091,$J$2:$J$5001,J2091)&gt;1,"Possible Duplicate Booking","Unique")</f>
        <v>Unique</v>
      </c>
      <c r="W2091" s="9" t="str">
        <f aca="false">IF((H2091-G2091)&lt;&gt;K2091,"Mismatch","OK")</f>
        <v>OK</v>
      </c>
      <c r="X2091" s="9" t="str">
        <f aca="false">IF(TEXT(H2091,"dddd")&lt;&gt;I2091,"Mismatch","OK")</f>
        <v>OK</v>
      </c>
      <c r="Y2091" s="9" t="str">
        <f aca="false">IF(AND(N2091="No",O2091&lt;&gt;""),"Unexpected: channel present but no reminder sent",IF(AND(N2091="Yes",O2091=""),"Missing channel for sent reminder","OK"))</f>
        <v>OK</v>
      </c>
    </row>
    <row r="2092" customFormat="false" ht="15" hidden="false" customHeight="false" outlineLevel="0" collapsed="false">
      <c r="A2092" s="7" t="s">
        <v>3392</v>
      </c>
      <c r="B2092" s="7" t="s">
        <v>1163</v>
      </c>
      <c r="C2092" s="7" t="s">
        <v>37</v>
      </c>
      <c r="D2092" s="7" t="n">
        <v>47</v>
      </c>
      <c r="E2092" s="7" t="s">
        <v>56</v>
      </c>
      <c r="F2092" s="7" t="s">
        <v>49</v>
      </c>
      <c r="G2092" s="8" t="n">
        <v>46103</v>
      </c>
      <c r="H2092" s="8" t="n">
        <v>46142</v>
      </c>
      <c r="I2092" s="7" t="s">
        <v>62</v>
      </c>
      <c r="J2092" s="7" t="s">
        <v>63</v>
      </c>
      <c r="K2092" s="7" t="n">
        <v>39</v>
      </c>
      <c r="L2092" s="7" t="n">
        <v>2</v>
      </c>
      <c r="M2092" s="7" t="n">
        <v>1</v>
      </c>
      <c r="N2092" s="7" t="s">
        <v>71</v>
      </c>
      <c r="O2092" s="7"/>
      <c r="P2092" s="7" t="n">
        <v>5.2</v>
      </c>
      <c r="Q2092" s="7" t="n">
        <v>22</v>
      </c>
      <c r="R2092" s="7" t="s">
        <v>53</v>
      </c>
      <c r="S2092" s="7"/>
      <c r="T2092" s="7"/>
      <c r="U2092" s="7" t="str">
        <f aca="false">IF(COUNTIF($A$2:$A$5001,A2092)&gt;1,"Duplicate","Unique")</f>
        <v>Unique</v>
      </c>
      <c r="V2092" s="7" t="str">
        <f aca="false">IF(COUNTIFS($B$2:$B$5001,B2092,$H$2:$H$5001,H2092,$J$2:$J$5001,J2092)&gt;1,"Possible Duplicate Booking","Unique")</f>
        <v>Unique</v>
      </c>
      <c r="W2092" s="7" t="str">
        <f aca="false">IF((H2092-G2092)&lt;&gt;K2092,"Mismatch","OK")</f>
        <v>OK</v>
      </c>
      <c r="X2092" s="7" t="str">
        <f aca="false">IF(TEXT(H2092,"dddd")&lt;&gt;I2092,"Mismatch","OK")</f>
        <v>OK</v>
      </c>
      <c r="Y2092" s="7" t="str">
        <f aca="false">IF(AND(N2092="No",O2092&lt;&gt;""),"Unexpected: channel present but no reminder sent",IF(AND(N2092="Yes",O2092=""),"Missing channel for sent reminder","OK"))</f>
        <v>OK</v>
      </c>
    </row>
    <row r="2093" customFormat="false" ht="15" hidden="false" customHeight="false" outlineLevel="0" collapsed="false">
      <c r="A2093" s="9" t="s">
        <v>3393</v>
      </c>
      <c r="B2093" s="9" t="s">
        <v>1042</v>
      </c>
      <c r="C2093" s="9" t="s">
        <v>236</v>
      </c>
      <c r="D2093" s="9" t="n">
        <v>42</v>
      </c>
      <c r="E2093" s="9" t="s">
        <v>38</v>
      </c>
      <c r="F2093" s="9" t="s">
        <v>57</v>
      </c>
      <c r="G2093" s="10" t="n">
        <v>45808</v>
      </c>
      <c r="H2093" s="10" t="n">
        <v>45836</v>
      </c>
      <c r="I2093" s="9" t="s">
        <v>102</v>
      </c>
      <c r="J2093" s="9" t="s">
        <v>63</v>
      </c>
      <c r="K2093" s="9" t="n">
        <v>28</v>
      </c>
      <c r="L2093" s="9" t="n">
        <v>4</v>
      </c>
      <c r="M2093" s="9" t="n">
        <v>0</v>
      </c>
      <c r="N2093" s="9" t="s">
        <v>71</v>
      </c>
      <c r="O2093" s="9"/>
      <c r="P2093" s="9" t="n">
        <v>5.8</v>
      </c>
      <c r="Q2093" s="9" t="n">
        <v>33</v>
      </c>
      <c r="R2093" s="9" t="s">
        <v>53</v>
      </c>
      <c r="S2093" s="9"/>
      <c r="T2093" s="9"/>
      <c r="U2093" s="9" t="str">
        <f aca="false">IF(COUNTIF($A$2:$A$5001,A2093)&gt;1,"Duplicate","Unique")</f>
        <v>Unique</v>
      </c>
      <c r="V2093" s="9" t="str">
        <f aca="false">IF(COUNTIFS($B$2:$B$5001,B2093,$H$2:$H$5001,H2093,$J$2:$J$5001,J2093)&gt;1,"Possible Duplicate Booking","Unique")</f>
        <v>Unique</v>
      </c>
      <c r="W2093" s="9" t="str">
        <f aca="false">IF((H2093-G2093)&lt;&gt;K2093,"Mismatch","OK")</f>
        <v>OK</v>
      </c>
      <c r="X2093" s="9" t="str">
        <f aca="false">IF(TEXT(H2093,"dddd")&lt;&gt;I2093,"Mismatch","OK")</f>
        <v>OK</v>
      </c>
      <c r="Y2093" s="9" t="str">
        <f aca="false">IF(AND(N2093="No",O2093&lt;&gt;""),"Unexpected: channel present but no reminder sent",IF(AND(N2093="Yes",O2093=""),"Missing channel for sent reminder","OK"))</f>
        <v>OK</v>
      </c>
    </row>
    <row r="2094" customFormat="false" ht="15" hidden="false" customHeight="false" outlineLevel="0" collapsed="false">
      <c r="A2094" s="7" t="s">
        <v>3394</v>
      </c>
      <c r="B2094" s="7" t="s">
        <v>1127</v>
      </c>
      <c r="C2094" s="7" t="s">
        <v>37</v>
      </c>
      <c r="D2094" s="7" t="n">
        <v>70</v>
      </c>
      <c r="E2094" s="7" t="s">
        <v>70</v>
      </c>
      <c r="F2094" s="7" t="s">
        <v>74</v>
      </c>
      <c r="G2094" s="8" t="n">
        <v>46072</v>
      </c>
      <c r="H2094" s="8" t="n">
        <v>46097</v>
      </c>
      <c r="I2094" s="7" t="s">
        <v>66</v>
      </c>
      <c r="J2094" s="7" t="s">
        <v>41</v>
      </c>
      <c r="K2094" s="7" t="n">
        <v>25</v>
      </c>
      <c r="L2094" s="7" t="n">
        <v>5</v>
      </c>
      <c r="M2094" s="7" t="n">
        <v>1</v>
      </c>
      <c r="N2094" s="7" t="s">
        <v>42</v>
      </c>
      <c r="O2094" s="7" t="s">
        <v>52</v>
      </c>
      <c r="P2094" s="7" t="n">
        <v>8.2</v>
      </c>
      <c r="Q2094" s="7" t="n">
        <v>2</v>
      </c>
      <c r="R2094" s="7" t="s">
        <v>44</v>
      </c>
      <c r="S2094" s="7"/>
      <c r="T2094" s="7"/>
      <c r="U2094" s="7" t="str">
        <f aca="false">IF(COUNTIF($A$2:$A$5001,A2094)&gt;1,"Duplicate","Unique")</f>
        <v>Unique</v>
      </c>
      <c r="V2094" s="7" t="str">
        <f aca="false">IF(COUNTIFS($B$2:$B$5001,B2094,$H$2:$H$5001,H2094,$J$2:$J$5001,J2094)&gt;1,"Possible Duplicate Booking","Unique")</f>
        <v>Unique</v>
      </c>
      <c r="W2094" s="7" t="str">
        <f aca="false">IF((H2094-G2094)&lt;&gt;K2094,"Mismatch","OK")</f>
        <v>OK</v>
      </c>
      <c r="X2094" s="7" t="str">
        <f aca="false">IF(TEXT(H2094,"dddd")&lt;&gt;I2094,"Mismatch","OK")</f>
        <v>OK</v>
      </c>
      <c r="Y2094" s="7" t="str">
        <f aca="false">IF(AND(N2094="No",O2094&lt;&gt;""),"Unexpected: channel present but no reminder sent",IF(AND(N2094="Yes",O2094=""),"Missing channel for sent reminder","OK"))</f>
        <v>OK</v>
      </c>
    </row>
    <row r="2095" customFormat="false" ht="15" hidden="false" customHeight="false" outlineLevel="0" collapsed="false">
      <c r="A2095" s="9" t="s">
        <v>3395</v>
      </c>
      <c r="B2095" s="9" t="s">
        <v>3396</v>
      </c>
      <c r="C2095" s="9" t="s">
        <v>37</v>
      </c>
      <c r="D2095" s="9" t="n">
        <v>42</v>
      </c>
      <c r="E2095" s="9" t="s">
        <v>38</v>
      </c>
      <c r="F2095" s="9" t="s">
        <v>39</v>
      </c>
      <c r="G2095" s="10" t="n">
        <v>45737</v>
      </c>
      <c r="H2095" s="10" t="n">
        <v>45766</v>
      </c>
      <c r="I2095" s="9" t="s">
        <v>102</v>
      </c>
      <c r="J2095" s="9" t="s">
        <v>63</v>
      </c>
      <c r="K2095" s="9" t="n">
        <v>29</v>
      </c>
      <c r="L2095" s="9" t="n">
        <v>2</v>
      </c>
      <c r="M2095" s="9" t="n">
        <v>0</v>
      </c>
      <c r="N2095" s="9" t="s">
        <v>42</v>
      </c>
      <c r="O2095" s="9" t="s">
        <v>52</v>
      </c>
      <c r="P2095" s="9" t="n">
        <v>9.6</v>
      </c>
      <c r="Q2095" s="9" t="n">
        <v>14</v>
      </c>
      <c r="R2095" s="9" t="s">
        <v>53</v>
      </c>
      <c r="S2095" s="9"/>
      <c r="T2095" s="9"/>
      <c r="U2095" s="9" t="str">
        <f aca="false">IF(COUNTIF($A$2:$A$5001,A2095)&gt;1,"Duplicate","Unique")</f>
        <v>Unique</v>
      </c>
      <c r="V2095" s="9" t="str">
        <f aca="false">IF(COUNTIFS($B$2:$B$5001,B2095,$H$2:$H$5001,H2095,$J$2:$J$5001,J2095)&gt;1,"Possible Duplicate Booking","Unique")</f>
        <v>Unique</v>
      </c>
      <c r="W2095" s="9" t="str">
        <f aca="false">IF((H2095-G2095)&lt;&gt;K2095,"Mismatch","OK")</f>
        <v>OK</v>
      </c>
      <c r="X2095" s="9" t="str">
        <f aca="false">IF(TEXT(H2095,"dddd")&lt;&gt;I2095,"Mismatch","OK")</f>
        <v>OK</v>
      </c>
      <c r="Y2095" s="9" t="str">
        <f aca="false">IF(AND(N2095="No",O2095&lt;&gt;""),"Unexpected: channel present but no reminder sent",IF(AND(N2095="Yes",O2095=""),"Missing channel for sent reminder","OK"))</f>
        <v>OK</v>
      </c>
    </row>
    <row r="2096" customFormat="false" ht="15" hidden="false" customHeight="false" outlineLevel="0" collapsed="false">
      <c r="A2096" s="7" t="s">
        <v>3397</v>
      </c>
      <c r="B2096" s="7" t="s">
        <v>3398</v>
      </c>
      <c r="C2096" s="7" t="s">
        <v>47</v>
      </c>
      <c r="D2096" s="7" t="n">
        <v>54</v>
      </c>
      <c r="E2096" s="7" t="s">
        <v>56</v>
      </c>
      <c r="F2096" s="7" t="s">
        <v>39</v>
      </c>
      <c r="G2096" s="8" t="n">
        <v>45687</v>
      </c>
      <c r="H2096" s="8" t="n">
        <v>45746</v>
      </c>
      <c r="I2096" s="7" t="s">
        <v>75</v>
      </c>
      <c r="J2096" s="7" t="s">
        <v>51</v>
      </c>
      <c r="K2096" s="7" t="n">
        <v>59</v>
      </c>
      <c r="L2096" s="7" t="n">
        <v>3</v>
      </c>
      <c r="M2096" s="7" t="n">
        <v>0</v>
      </c>
      <c r="N2096" s="7" t="s">
        <v>71</v>
      </c>
      <c r="O2096" s="7"/>
      <c r="P2096" s="7" t="n">
        <v>4.4</v>
      </c>
      <c r="Q2096" s="7" t="n">
        <v>25</v>
      </c>
      <c r="R2096" s="7" t="s">
        <v>44</v>
      </c>
      <c r="S2096" s="7"/>
      <c r="T2096" s="7"/>
      <c r="U2096" s="7" t="str">
        <f aca="false">IF(COUNTIF($A$2:$A$5001,A2096)&gt;1,"Duplicate","Unique")</f>
        <v>Unique</v>
      </c>
      <c r="V2096" s="7" t="str">
        <f aca="false">IF(COUNTIFS($B$2:$B$5001,B2096,$H$2:$H$5001,H2096,$J$2:$J$5001,J2096)&gt;1,"Possible Duplicate Booking","Unique")</f>
        <v>Unique</v>
      </c>
      <c r="W2096" s="7" t="str">
        <f aca="false">IF((H2096-G2096)&lt;&gt;K2096,"Mismatch","OK")</f>
        <v>OK</v>
      </c>
      <c r="X2096" s="7" t="str">
        <f aca="false">IF(TEXT(H2096,"dddd")&lt;&gt;I2096,"Mismatch","OK")</f>
        <v>OK</v>
      </c>
      <c r="Y2096" s="7" t="str">
        <f aca="false">IF(AND(N2096="No",O2096&lt;&gt;""),"Unexpected: channel present but no reminder sent",IF(AND(N2096="Yes",O2096=""),"Missing channel for sent reminder","OK"))</f>
        <v>OK</v>
      </c>
    </row>
    <row r="2097" customFormat="false" ht="15" hidden="false" customHeight="false" outlineLevel="0" collapsed="false">
      <c r="A2097" s="9" t="s">
        <v>3399</v>
      </c>
      <c r="B2097" s="9" t="s">
        <v>3400</v>
      </c>
      <c r="C2097" s="9" t="s">
        <v>47</v>
      </c>
      <c r="D2097" s="9" t="n">
        <v>24</v>
      </c>
      <c r="E2097" s="9" t="s">
        <v>82</v>
      </c>
      <c r="F2097" s="9" t="s">
        <v>39</v>
      </c>
      <c r="G2097" s="10" t="n">
        <v>46022</v>
      </c>
      <c r="H2097" s="10" t="n">
        <v>46082</v>
      </c>
      <c r="I2097" s="9" t="s">
        <v>75</v>
      </c>
      <c r="J2097" s="9" t="s">
        <v>41</v>
      </c>
      <c r="K2097" s="9" t="n">
        <v>60</v>
      </c>
      <c r="L2097" s="9" t="n">
        <v>4</v>
      </c>
      <c r="M2097" s="9" t="n">
        <v>0</v>
      </c>
      <c r="N2097" s="9" t="s">
        <v>42</v>
      </c>
      <c r="O2097" s="9" t="s">
        <v>52</v>
      </c>
      <c r="P2097" s="9" t="n">
        <v>1.7</v>
      </c>
      <c r="Q2097" s="9" t="n">
        <v>4</v>
      </c>
      <c r="R2097" s="9" t="s">
        <v>44</v>
      </c>
      <c r="S2097" s="9"/>
      <c r="T2097" s="9"/>
      <c r="U2097" s="9" t="str">
        <f aca="false">IF(COUNTIF($A$2:$A$5001,A2097)&gt;1,"Duplicate","Unique")</f>
        <v>Unique</v>
      </c>
      <c r="V2097" s="9" t="str">
        <f aca="false">IF(COUNTIFS($B$2:$B$5001,B2097,$H$2:$H$5001,H2097,$J$2:$J$5001,J2097)&gt;1,"Possible Duplicate Booking","Unique")</f>
        <v>Unique</v>
      </c>
      <c r="W2097" s="9" t="str">
        <f aca="false">IF((H2097-G2097)&lt;&gt;K2097,"Mismatch","OK")</f>
        <v>OK</v>
      </c>
      <c r="X2097" s="9" t="str">
        <f aca="false">IF(TEXT(H2097,"dddd")&lt;&gt;I2097,"Mismatch","OK")</f>
        <v>OK</v>
      </c>
      <c r="Y2097" s="9" t="str">
        <f aca="false">IF(AND(N2097="No",O2097&lt;&gt;""),"Unexpected: channel present but no reminder sent",IF(AND(N2097="Yes",O2097=""),"Missing channel for sent reminder","OK"))</f>
        <v>OK</v>
      </c>
    </row>
    <row r="2098" customFormat="false" ht="15" hidden="false" customHeight="false" outlineLevel="0" collapsed="false">
      <c r="A2098" s="7" t="s">
        <v>3401</v>
      </c>
      <c r="B2098" s="7" t="s">
        <v>739</v>
      </c>
      <c r="C2098" s="7" t="s">
        <v>37</v>
      </c>
      <c r="D2098" s="7" t="n">
        <v>37</v>
      </c>
      <c r="E2098" s="7" t="s">
        <v>38</v>
      </c>
      <c r="F2098" s="7" t="s">
        <v>57</v>
      </c>
      <c r="G2098" s="8" t="n">
        <v>46162</v>
      </c>
      <c r="H2098" s="8" t="n">
        <v>46171</v>
      </c>
      <c r="I2098" s="7" t="s">
        <v>50</v>
      </c>
      <c r="J2098" s="7" t="s">
        <v>51</v>
      </c>
      <c r="K2098" s="7" t="n">
        <v>9</v>
      </c>
      <c r="L2098" s="7" t="n">
        <v>1</v>
      </c>
      <c r="M2098" s="7" t="n">
        <v>0</v>
      </c>
      <c r="N2098" s="7" t="s">
        <v>42</v>
      </c>
      <c r="O2098" s="7" t="s">
        <v>43</v>
      </c>
      <c r="P2098" s="7" t="n">
        <v>12.4</v>
      </c>
      <c r="Q2098" s="7" t="n">
        <v>28</v>
      </c>
      <c r="R2098" s="7" t="s">
        <v>53</v>
      </c>
      <c r="S2098" s="7"/>
      <c r="T2098" s="7"/>
      <c r="U2098" s="7" t="str">
        <f aca="false">IF(COUNTIF($A$2:$A$5001,A2098)&gt;1,"Duplicate","Unique")</f>
        <v>Unique</v>
      </c>
      <c r="V2098" s="7" t="str">
        <f aca="false">IF(COUNTIFS($B$2:$B$5001,B2098,$H$2:$H$5001,H2098,$J$2:$J$5001,J2098)&gt;1,"Possible Duplicate Booking","Unique")</f>
        <v>Unique</v>
      </c>
      <c r="W2098" s="7" t="str">
        <f aca="false">IF((H2098-G2098)&lt;&gt;K2098,"Mismatch","OK")</f>
        <v>OK</v>
      </c>
      <c r="X2098" s="7" t="str">
        <f aca="false">IF(TEXT(H2098,"dddd")&lt;&gt;I2098,"Mismatch","OK")</f>
        <v>OK</v>
      </c>
      <c r="Y2098" s="7" t="str">
        <f aca="false">IF(AND(N2098="No",O2098&lt;&gt;""),"Unexpected: channel present but no reminder sent",IF(AND(N2098="Yes",O2098=""),"Missing channel for sent reminder","OK"))</f>
        <v>OK</v>
      </c>
    </row>
    <row r="2099" customFormat="false" ht="15" hidden="false" customHeight="false" outlineLevel="0" collapsed="false">
      <c r="A2099" s="9" t="s">
        <v>3402</v>
      </c>
      <c r="B2099" s="9" t="s">
        <v>3403</v>
      </c>
      <c r="C2099" s="9" t="s">
        <v>37</v>
      </c>
      <c r="D2099" s="9" t="n">
        <v>34</v>
      </c>
      <c r="E2099" s="9" t="s">
        <v>48</v>
      </c>
      <c r="F2099" s="9" t="s">
        <v>57</v>
      </c>
      <c r="G2099" s="10" t="n">
        <v>46121</v>
      </c>
      <c r="H2099" s="10" t="n">
        <v>46127</v>
      </c>
      <c r="I2099" s="9" t="s">
        <v>58</v>
      </c>
      <c r="J2099" s="9" t="s">
        <v>51</v>
      </c>
      <c r="K2099" s="9" t="n">
        <v>6</v>
      </c>
      <c r="L2099" s="9" t="n">
        <v>3</v>
      </c>
      <c r="M2099" s="9" t="n">
        <v>1</v>
      </c>
      <c r="N2099" s="9" t="s">
        <v>42</v>
      </c>
      <c r="O2099" s="9" t="s">
        <v>67</v>
      </c>
      <c r="P2099" s="9" t="n">
        <v>8.8</v>
      </c>
      <c r="Q2099" s="9" t="n">
        <v>21</v>
      </c>
      <c r="R2099" s="9" t="s">
        <v>53</v>
      </c>
      <c r="S2099" s="9"/>
      <c r="T2099" s="9"/>
      <c r="U2099" s="9" t="str">
        <f aca="false">IF(COUNTIF($A$2:$A$5001,A2099)&gt;1,"Duplicate","Unique")</f>
        <v>Unique</v>
      </c>
      <c r="V2099" s="9" t="str">
        <f aca="false">IF(COUNTIFS($B$2:$B$5001,B2099,$H$2:$H$5001,H2099,$J$2:$J$5001,J2099)&gt;1,"Possible Duplicate Booking","Unique")</f>
        <v>Unique</v>
      </c>
      <c r="W2099" s="9" t="str">
        <f aca="false">IF((H2099-G2099)&lt;&gt;K2099,"Mismatch","OK")</f>
        <v>OK</v>
      </c>
      <c r="X2099" s="9" t="str">
        <f aca="false">IF(TEXT(H2099,"dddd")&lt;&gt;I2099,"Mismatch","OK")</f>
        <v>OK</v>
      </c>
      <c r="Y2099" s="9" t="str">
        <f aca="false">IF(AND(N2099="No",O2099&lt;&gt;""),"Unexpected: channel present but no reminder sent",IF(AND(N2099="Yes",O2099=""),"Missing channel for sent reminder","OK"))</f>
        <v>OK</v>
      </c>
    </row>
    <row r="2100" customFormat="false" ht="15" hidden="false" customHeight="false" outlineLevel="0" collapsed="false">
      <c r="A2100" s="7" t="s">
        <v>3404</v>
      </c>
      <c r="B2100" s="7" t="s">
        <v>3283</v>
      </c>
      <c r="C2100" s="7" t="s">
        <v>47</v>
      </c>
      <c r="D2100" s="7" t="n">
        <v>45</v>
      </c>
      <c r="E2100" s="7" t="s">
        <v>56</v>
      </c>
      <c r="F2100" s="7" t="s">
        <v>49</v>
      </c>
      <c r="G2100" s="8" t="n">
        <v>46054</v>
      </c>
      <c r="H2100" s="8" t="n">
        <v>46068</v>
      </c>
      <c r="I2100" s="7" t="s">
        <v>75</v>
      </c>
      <c r="J2100" s="7" t="s">
        <v>41</v>
      </c>
      <c r="K2100" s="7" t="n">
        <v>14</v>
      </c>
      <c r="L2100" s="7" t="n">
        <v>1</v>
      </c>
      <c r="M2100" s="7" t="n">
        <v>0</v>
      </c>
      <c r="N2100" s="7" t="s">
        <v>42</v>
      </c>
      <c r="O2100" s="7" t="s">
        <v>43</v>
      </c>
      <c r="P2100" s="7" t="n">
        <v>26.4</v>
      </c>
      <c r="Q2100" s="7" t="n">
        <v>27</v>
      </c>
      <c r="R2100" s="7" t="s">
        <v>53</v>
      </c>
      <c r="S2100" s="7"/>
      <c r="T2100" s="7"/>
      <c r="U2100" s="7" t="str">
        <f aca="false">IF(COUNTIF($A$2:$A$5001,A2100)&gt;1,"Duplicate","Unique")</f>
        <v>Unique</v>
      </c>
      <c r="V2100" s="7" t="str">
        <f aca="false">IF(COUNTIFS($B$2:$B$5001,B2100,$H$2:$H$5001,H2100,$J$2:$J$5001,J2100)&gt;1,"Possible Duplicate Booking","Unique")</f>
        <v>Unique</v>
      </c>
      <c r="W2100" s="7" t="str">
        <f aca="false">IF((H2100-G2100)&lt;&gt;K2100,"Mismatch","OK")</f>
        <v>OK</v>
      </c>
      <c r="X2100" s="7" t="str">
        <f aca="false">IF(TEXT(H2100,"dddd")&lt;&gt;I2100,"Mismatch","OK")</f>
        <v>OK</v>
      </c>
      <c r="Y2100" s="7" t="str">
        <f aca="false">IF(AND(N2100="No",O2100&lt;&gt;""),"Unexpected: channel present but no reminder sent",IF(AND(N2100="Yes",O2100=""),"Missing channel for sent reminder","OK"))</f>
        <v>OK</v>
      </c>
    </row>
    <row r="2101" customFormat="false" ht="15" hidden="false" customHeight="false" outlineLevel="0" collapsed="false">
      <c r="A2101" s="9" t="s">
        <v>3405</v>
      </c>
      <c r="B2101" s="9" t="s">
        <v>252</v>
      </c>
      <c r="C2101" s="9" t="s">
        <v>37</v>
      </c>
      <c r="D2101" s="9" t="n">
        <v>49</v>
      </c>
      <c r="E2101" s="9" t="s">
        <v>56</v>
      </c>
      <c r="F2101" s="9" t="s">
        <v>39</v>
      </c>
      <c r="G2101" s="10" t="n">
        <v>45741</v>
      </c>
      <c r="H2101" s="10" t="n">
        <v>45792</v>
      </c>
      <c r="I2101" s="9" t="s">
        <v>62</v>
      </c>
      <c r="J2101" s="9" t="s">
        <v>41</v>
      </c>
      <c r="K2101" s="9" t="n">
        <v>51</v>
      </c>
      <c r="L2101" s="9" t="n">
        <v>6</v>
      </c>
      <c r="M2101" s="9" t="n">
        <v>4</v>
      </c>
      <c r="N2101" s="9" t="s">
        <v>71</v>
      </c>
      <c r="O2101" s="9"/>
      <c r="P2101" s="9" t="n">
        <v>5.7</v>
      </c>
      <c r="Q2101" s="9" t="n">
        <v>21</v>
      </c>
      <c r="R2101" s="9" t="s">
        <v>44</v>
      </c>
      <c r="S2101" s="9"/>
      <c r="T2101" s="9"/>
      <c r="U2101" s="9" t="str">
        <f aca="false">IF(COUNTIF($A$2:$A$5001,A2101)&gt;1,"Duplicate","Unique")</f>
        <v>Unique</v>
      </c>
      <c r="V2101" s="9" t="str">
        <f aca="false">IF(COUNTIFS($B$2:$B$5001,B2101,$H$2:$H$5001,H2101,$J$2:$J$5001,J2101)&gt;1,"Possible Duplicate Booking","Unique")</f>
        <v>Unique</v>
      </c>
      <c r="W2101" s="9" t="str">
        <f aca="false">IF((H2101-G2101)&lt;&gt;K2101,"Mismatch","OK")</f>
        <v>OK</v>
      </c>
      <c r="X2101" s="9" t="str">
        <f aca="false">IF(TEXT(H2101,"dddd")&lt;&gt;I2101,"Mismatch","OK")</f>
        <v>OK</v>
      </c>
      <c r="Y2101" s="9" t="str">
        <f aca="false">IF(AND(N2101="No",O2101&lt;&gt;""),"Unexpected: channel present but no reminder sent",IF(AND(N2101="Yes",O2101=""),"Missing channel for sent reminder","OK"))</f>
        <v>OK</v>
      </c>
    </row>
    <row r="2102" customFormat="false" ht="15" hidden="false" customHeight="false" outlineLevel="0" collapsed="false">
      <c r="A2102" s="7" t="s">
        <v>3406</v>
      </c>
      <c r="B2102" s="7" t="s">
        <v>480</v>
      </c>
      <c r="C2102" s="7" t="s">
        <v>37</v>
      </c>
      <c r="D2102" s="7" t="n">
        <v>63</v>
      </c>
      <c r="E2102" s="7" t="s">
        <v>61</v>
      </c>
      <c r="F2102" s="7" t="s">
        <v>39</v>
      </c>
      <c r="G2102" s="8" t="n">
        <v>46128</v>
      </c>
      <c r="H2102" s="8" t="n">
        <v>46156</v>
      </c>
      <c r="I2102" s="7" t="s">
        <v>62</v>
      </c>
      <c r="J2102" s="7" t="s">
        <v>41</v>
      </c>
      <c r="K2102" s="7" t="n">
        <v>28</v>
      </c>
      <c r="L2102" s="7" t="n">
        <v>2</v>
      </c>
      <c r="M2102" s="7" t="n">
        <v>0</v>
      </c>
      <c r="N2102" s="7" t="s">
        <v>42</v>
      </c>
      <c r="O2102" s="7" t="s">
        <v>52</v>
      </c>
      <c r="P2102" s="7" t="n">
        <v>23.7</v>
      </c>
      <c r="Q2102" s="7" t="n">
        <v>22</v>
      </c>
      <c r="R2102" s="7" t="s">
        <v>53</v>
      </c>
      <c r="S2102" s="7"/>
      <c r="T2102" s="7"/>
      <c r="U2102" s="7" t="str">
        <f aca="false">IF(COUNTIF($A$2:$A$5001,A2102)&gt;1,"Duplicate","Unique")</f>
        <v>Unique</v>
      </c>
      <c r="V2102" s="7" t="str">
        <f aca="false">IF(COUNTIFS($B$2:$B$5001,B2102,$H$2:$H$5001,H2102,$J$2:$J$5001,J2102)&gt;1,"Possible Duplicate Booking","Unique")</f>
        <v>Unique</v>
      </c>
      <c r="W2102" s="7" t="str">
        <f aca="false">IF((H2102-G2102)&lt;&gt;K2102,"Mismatch","OK")</f>
        <v>OK</v>
      </c>
      <c r="X2102" s="7" t="str">
        <f aca="false">IF(TEXT(H2102,"dddd")&lt;&gt;I2102,"Mismatch","OK")</f>
        <v>OK</v>
      </c>
      <c r="Y2102" s="7" t="str">
        <f aca="false">IF(AND(N2102="No",O2102&lt;&gt;""),"Unexpected: channel present but no reminder sent",IF(AND(N2102="Yes",O2102=""),"Missing channel for sent reminder","OK"))</f>
        <v>OK</v>
      </c>
    </row>
    <row r="2103" customFormat="false" ht="15" hidden="false" customHeight="false" outlineLevel="0" collapsed="false">
      <c r="A2103" s="9" t="s">
        <v>3407</v>
      </c>
      <c r="B2103" s="9" t="s">
        <v>3408</v>
      </c>
      <c r="C2103" s="9" t="s">
        <v>236</v>
      </c>
      <c r="D2103" s="9" t="n">
        <v>45</v>
      </c>
      <c r="E2103" s="9" t="s">
        <v>56</v>
      </c>
      <c r="F2103" s="9" t="s">
        <v>57</v>
      </c>
      <c r="G2103" s="10" t="n">
        <v>45970</v>
      </c>
      <c r="H2103" s="10" t="n">
        <v>46022</v>
      </c>
      <c r="I2103" s="9" t="s">
        <v>58</v>
      </c>
      <c r="J2103" s="9" t="s">
        <v>41</v>
      </c>
      <c r="K2103" s="9" t="n">
        <v>52</v>
      </c>
      <c r="L2103" s="9" t="n">
        <v>4</v>
      </c>
      <c r="M2103" s="9" t="n">
        <v>1</v>
      </c>
      <c r="N2103" s="9" t="s">
        <v>71</v>
      </c>
      <c r="O2103" s="9"/>
      <c r="P2103" s="9" t="n">
        <v>4.7</v>
      </c>
      <c r="Q2103" s="9" t="n">
        <v>2</v>
      </c>
      <c r="R2103" s="9" t="s">
        <v>44</v>
      </c>
      <c r="S2103" s="9"/>
      <c r="T2103" s="9"/>
      <c r="U2103" s="9" t="str">
        <f aca="false">IF(COUNTIF($A$2:$A$5001,A2103)&gt;1,"Duplicate","Unique")</f>
        <v>Unique</v>
      </c>
      <c r="V2103" s="9" t="str">
        <f aca="false">IF(COUNTIFS($B$2:$B$5001,B2103,$H$2:$H$5001,H2103,$J$2:$J$5001,J2103)&gt;1,"Possible Duplicate Booking","Unique")</f>
        <v>Unique</v>
      </c>
      <c r="W2103" s="9" t="str">
        <f aca="false">IF((H2103-G2103)&lt;&gt;K2103,"Mismatch","OK")</f>
        <v>OK</v>
      </c>
      <c r="X2103" s="9" t="str">
        <f aca="false">IF(TEXT(H2103,"dddd")&lt;&gt;I2103,"Mismatch","OK")</f>
        <v>OK</v>
      </c>
      <c r="Y2103" s="9" t="str">
        <f aca="false">IF(AND(N2103="No",O2103&lt;&gt;""),"Unexpected: channel present but no reminder sent",IF(AND(N2103="Yes",O2103=""),"Missing channel for sent reminder","OK"))</f>
        <v>OK</v>
      </c>
    </row>
    <row r="2104" customFormat="false" ht="15" hidden="false" customHeight="false" outlineLevel="0" collapsed="false">
      <c r="A2104" s="7" t="s">
        <v>3409</v>
      </c>
      <c r="B2104" s="7" t="s">
        <v>2455</v>
      </c>
      <c r="C2104" s="7" t="s">
        <v>236</v>
      </c>
      <c r="D2104" s="7" t="n">
        <v>27</v>
      </c>
      <c r="E2104" s="7" t="s">
        <v>48</v>
      </c>
      <c r="F2104" s="7" t="s">
        <v>39</v>
      </c>
      <c r="G2104" s="8" t="n">
        <v>45713</v>
      </c>
      <c r="H2104" s="8" t="n">
        <v>45752</v>
      </c>
      <c r="I2104" s="7" t="s">
        <v>102</v>
      </c>
      <c r="J2104" s="7" t="s">
        <v>41</v>
      </c>
      <c r="K2104" s="7" t="n">
        <v>39</v>
      </c>
      <c r="L2104" s="7" t="n">
        <v>4</v>
      </c>
      <c r="M2104" s="7" t="n">
        <v>0</v>
      </c>
      <c r="N2104" s="7" t="s">
        <v>42</v>
      </c>
      <c r="O2104" s="7" t="s">
        <v>43</v>
      </c>
      <c r="P2104" s="7" t="n">
        <v>8.5</v>
      </c>
      <c r="Q2104" s="7"/>
      <c r="R2104" s="7" t="s">
        <v>44</v>
      </c>
      <c r="S2104" s="7"/>
      <c r="T2104" s="7"/>
      <c r="U2104" s="7" t="str">
        <f aca="false">IF(COUNTIF($A$2:$A$5001,A2104)&gt;1,"Duplicate","Unique")</f>
        <v>Unique</v>
      </c>
      <c r="V2104" s="7" t="str">
        <f aca="false">IF(COUNTIFS($B$2:$B$5001,B2104,$H$2:$H$5001,H2104,$J$2:$J$5001,J2104)&gt;1,"Possible Duplicate Booking","Unique")</f>
        <v>Unique</v>
      </c>
      <c r="W2104" s="7" t="str">
        <f aca="false">IF((H2104-G2104)&lt;&gt;K2104,"Mismatch","OK")</f>
        <v>OK</v>
      </c>
      <c r="X2104" s="7" t="str">
        <f aca="false">IF(TEXT(H2104,"dddd")&lt;&gt;I2104,"Mismatch","OK")</f>
        <v>OK</v>
      </c>
      <c r="Y2104" s="7" t="str">
        <f aca="false">IF(AND(N2104="No",O2104&lt;&gt;""),"Unexpected: channel present but no reminder sent",IF(AND(N2104="Yes",O2104=""),"Missing channel for sent reminder","OK"))</f>
        <v>OK</v>
      </c>
    </row>
    <row r="2105" customFormat="false" ht="15" hidden="false" customHeight="false" outlineLevel="0" collapsed="false">
      <c r="A2105" s="9" t="s">
        <v>3410</v>
      </c>
      <c r="B2105" s="9" t="s">
        <v>516</v>
      </c>
      <c r="C2105" s="9" t="s">
        <v>47</v>
      </c>
      <c r="D2105" s="9" t="n">
        <v>52</v>
      </c>
      <c r="E2105" s="9" t="s">
        <v>56</v>
      </c>
      <c r="F2105" s="9" t="s">
        <v>57</v>
      </c>
      <c r="G2105" s="10" t="n">
        <v>45695</v>
      </c>
      <c r="H2105" s="10" t="n">
        <v>45728</v>
      </c>
      <c r="I2105" s="9" t="s">
        <v>58</v>
      </c>
      <c r="J2105" s="9" t="s">
        <v>63</v>
      </c>
      <c r="K2105" s="9" t="n">
        <v>33</v>
      </c>
      <c r="L2105" s="9" t="n">
        <v>4</v>
      </c>
      <c r="M2105" s="9" t="n">
        <v>1</v>
      </c>
      <c r="N2105" s="9" t="s">
        <v>42</v>
      </c>
      <c r="O2105" s="9" t="s">
        <v>52</v>
      </c>
      <c r="P2105" s="9" t="n">
        <v>9.1</v>
      </c>
      <c r="Q2105" s="9" t="n">
        <v>30</v>
      </c>
      <c r="R2105" s="9" t="s">
        <v>44</v>
      </c>
      <c r="S2105" s="9"/>
      <c r="T2105" s="9"/>
      <c r="U2105" s="9" t="str">
        <f aca="false">IF(COUNTIF($A$2:$A$5001,A2105)&gt;1,"Duplicate","Unique")</f>
        <v>Unique</v>
      </c>
      <c r="V2105" s="9" t="str">
        <f aca="false">IF(COUNTIFS($B$2:$B$5001,B2105,$H$2:$H$5001,H2105,$J$2:$J$5001,J2105)&gt;1,"Possible Duplicate Booking","Unique")</f>
        <v>Unique</v>
      </c>
      <c r="W2105" s="9" t="str">
        <f aca="false">IF((H2105-G2105)&lt;&gt;K2105,"Mismatch","OK")</f>
        <v>OK</v>
      </c>
      <c r="X2105" s="9" t="str">
        <f aca="false">IF(TEXT(H2105,"dddd")&lt;&gt;I2105,"Mismatch","OK")</f>
        <v>OK</v>
      </c>
      <c r="Y2105" s="9" t="str">
        <f aca="false">IF(AND(N2105="No",O2105&lt;&gt;""),"Unexpected: channel present but no reminder sent",IF(AND(N2105="Yes",O2105=""),"Missing channel for sent reminder","OK"))</f>
        <v>OK</v>
      </c>
    </row>
    <row r="2106" customFormat="false" ht="15" hidden="false" customHeight="false" outlineLevel="0" collapsed="false">
      <c r="A2106" s="7" t="s">
        <v>3411</v>
      </c>
      <c r="B2106" s="7" t="s">
        <v>3412</v>
      </c>
      <c r="C2106" s="7" t="s">
        <v>37</v>
      </c>
      <c r="D2106" s="7" t="n">
        <v>21</v>
      </c>
      <c r="E2106" s="7" t="s">
        <v>82</v>
      </c>
      <c r="F2106" s="7" t="s">
        <v>57</v>
      </c>
      <c r="G2106" s="8" t="n">
        <v>46116</v>
      </c>
      <c r="H2106" s="8" t="n">
        <v>46133</v>
      </c>
      <c r="I2106" s="7" t="s">
        <v>40</v>
      </c>
      <c r="J2106" s="7" t="s">
        <v>63</v>
      </c>
      <c r="K2106" s="7" t="n">
        <v>17</v>
      </c>
      <c r="L2106" s="7" t="n">
        <v>2</v>
      </c>
      <c r="M2106" s="7" t="n">
        <v>0</v>
      </c>
      <c r="N2106" s="7" t="s">
        <v>71</v>
      </c>
      <c r="O2106" s="7"/>
      <c r="P2106" s="7" t="n">
        <v>2.7</v>
      </c>
      <c r="Q2106" s="7" t="n">
        <v>8</v>
      </c>
      <c r="R2106" s="7" t="s">
        <v>53</v>
      </c>
      <c r="S2106" s="7"/>
      <c r="T2106" s="7"/>
      <c r="U2106" s="7" t="str">
        <f aca="false">IF(COUNTIF($A$2:$A$5001,A2106)&gt;1,"Duplicate","Unique")</f>
        <v>Unique</v>
      </c>
      <c r="V2106" s="7" t="str">
        <f aca="false">IF(COUNTIFS($B$2:$B$5001,B2106,$H$2:$H$5001,H2106,$J$2:$J$5001,J2106)&gt;1,"Possible Duplicate Booking","Unique")</f>
        <v>Unique</v>
      </c>
      <c r="W2106" s="7" t="str">
        <f aca="false">IF((H2106-G2106)&lt;&gt;K2106,"Mismatch","OK")</f>
        <v>OK</v>
      </c>
      <c r="X2106" s="7" t="str">
        <f aca="false">IF(TEXT(H2106,"dddd")&lt;&gt;I2106,"Mismatch","OK")</f>
        <v>OK</v>
      </c>
      <c r="Y2106" s="7" t="str">
        <f aca="false">IF(AND(N2106="No",O2106&lt;&gt;""),"Unexpected: channel present but no reminder sent",IF(AND(N2106="Yes",O2106=""),"Missing channel for sent reminder","OK"))</f>
        <v>OK</v>
      </c>
    </row>
    <row r="2107" customFormat="false" ht="15" hidden="false" customHeight="false" outlineLevel="0" collapsed="false">
      <c r="A2107" s="9" t="s">
        <v>3413</v>
      </c>
      <c r="B2107" s="9" t="s">
        <v>3182</v>
      </c>
      <c r="C2107" s="9" t="s">
        <v>47</v>
      </c>
      <c r="D2107" s="9" t="n">
        <v>71</v>
      </c>
      <c r="E2107" s="9" t="s">
        <v>70</v>
      </c>
      <c r="F2107" s="9" t="s">
        <v>74</v>
      </c>
      <c r="G2107" s="10" t="n">
        <v>45788</v>
      </c>
      <c r="H2107" s="10" t="n">
        <v>45808</v>
      </c>
      <c r="I2107" s="9" t="s">
        <v>102</v>
      </c>
      <c r="J2107" s="9" t="s">
        <v>41</v>
      </c>
      <c r="K2107" s="9" t="n">
        <v>20</v>
      </c>
      <c r="L2107" s="9" t="n">
        <v>2</v>
      </c>
      <c r="M2107" s="9" t="n">
        <v>1</v>
      </c>
      <c r="N2107" s="9" t="s">
        <v>71</v>
      </c>
      <c r="O2107" s="9"/>
      <c r="P2107" s="9" t="n">
        <v>10.4</v>
      </c>
      <c r="Q2107" s="9" t="n">
        <v>13</v>
      </c>
      <c r="R2107" s="9" t="s">
        <v>44</v>
      </c>
      <c r="S2107" s="9"/>
      <c r="T2107" s="9"/>
      <c r="U2107" s="9" t="str">
        <f aca="false">IF(COUNTIF($A$2:$A$5001,A2107)&gt;1,"Duplicate","Unique")</f>
        <v>Unique</v>
      </c>
      <c r="V2107" s="9" t="str">
        <f aca="false">IF(COUNTIFS($B$2:$B$5001,B2107,$H$2:$H$5001,H2107,$J$2:$J$5001,J2107)&gt;1,"Possible Duplicate Booking","Unique")</f>
        <v>Unique</v>
      </c>
      <c r="W2107" s="9" t="str">
        <f aca="false">IF((H2107-G2107)&lt;&gt;K2107,"Mismatch","OK")</f>
        <v>OK</v>
      </c>
      <c r="X2107" s="9" t="str">
        <f aca="false">IF(TEXT(H2107,"dddd")&lt;&gt;I2107,"Mismatch","OK")</f>
        <v>OK</v>
      </c>
      <c r="Y2107" s="9" t="str">
        <f aca="false">IF(AND(N2107="No",O2107&lt;&gt;""),"Unexpected: channel present but no reminder sent",IF(AND(N2107="Yes",O2107=""),"Missing channel for sent reminder","OK"))</f>
        <v>OK</v>
      </c>
    </row>
    <row r="2108" customFormat="false" ht="15" hidden="false" customHeight="false" outlineLevel="0" collapsed="false">
      <c r="A2108" s="7" t="s">
        <v>3414</v>
      </c>
      <c r="B2108" s="7" t="s">
        <v>540</v>
      </c>
      <c r="C2108" s="7" t="s">
        <v>47</v>
      </c>
      <c r="D2108" s="7" t="n">
        <v>66</v>
      </c>
      <c r="E2108" s="7" t="s">
        <v>70</v>
      </c>
      <c r="F2108" s="7" t="s">
        <v>39</v>
      </c>
      <c r="G2108" s="8" t="n">
        <v>46067</v>
      </c>
      <c r="H2108" s="8" t="n">
        <v>46076</v>
      </c>
      <c r="I2108" s="7" t="s">
        <v>66</v>
      </c>
      <c r="J2108" s="7" t="s">
        <v>51</v>
      </c>
      <c r="K2108" s="7" t="n">
        <v>9</v>
      </c>
      <c r="L2108" s="7" t="n">
        <v>0</v>
      </c>
      <c r="M2108" s="7" t="n">
        <v>0</v>
      </c>
      <c r="N2108" s="7" t="s">
        <v>42</v>
      </c>
      <c r="O2108" s="7" t="s">
        <v>43</v>
      </c>
      <c r="P2108" s="7" t="n">
        <v>5.2</v>
      </c>
      <c r="Q2108" s="7" t="n">
        <v>19</v>
      </c>
      <c r="R2108" s="7" t="s">
        <v>44</v>
      </c>
      <c r="S2108" s="7"/>
      <c r="T2108" s="7"/>
      <c r="U2108" s="7" t="str">
        <f aca="false">IF(COUNTIF($A$2:$A$5001,A2108)&gt;1,"Duplicate","Unique")</f>
        <v>Unique</v>
      </c>
      <c r="V2108" s="7" t="str">
        <f aca="false">IF(COUNTIFS($B$2:$B$5001,B2108,$H$2:$H$5001,H2108,$J$2:$J$5001,J2108)&gt;1,"Possible Duplicate Booking","Unique")</f>
        <v>Unique</v>
      </c>
      <c r="W2108" s="7" t="str">
        <f aca="false">IF((H2108-G2108)&lt;&gt;K2108,"Mismatch","OK")</f>
        <v>OK</v>
      </c>
      <c r="X2108" s="7" t="str">
        <f aca="false">IF(TEXT(H2108,"dddd")&lt;&gt;I2108,"Mismatch","OK")</f>
        <v>OK</v>
      </c>
      <c r="Y2108" s="7" t="str">
        <f aca="false">IF(AND(N2108="No",O2108&lt;&gt;""),"Unexpected: channel present but no reminder sent",IF(AND(N2108="Yes",O2108=""),"Missing channel for sent reminder","OK"))</f>
        <v>OK</v>
      </c>
    </row>
    <row r="2109" customFormat="false" ht="15" hidden="false" customHeight="false" outlineLevel="0" collapsed="false">
      <c r="A2109" s="9" t="s">
        <v>3415</v>
      </c>
      <c r="B2109" s="9" t="s">
        <v>1584</v>
      </c>
      <c r="C2109" s="9" t="s">
        <v>47</v>
      </c>
      <c r="D2109" s="9" t="n">
        <v>32</v>
      </c>
      <c r="E2109" s="9" t="s">
        <v>48</v>
      </c>
      <c r="F2109" s="9" t="s">
        <v>39</v>
      </c>
      <c r="G2109" s="10" t="n">
        <v>45702</v>
      </c>
      <c r="H2109" s="10" t="n">
        <v>45733</v>
      </c>
      <c r="I2109" s="9" t="s">
        <v>66</v>
      </c>
      <c r="J2109" s="9" t="s">
        <v>41</v>
      </c>
      <c r="K2109" s="9" t="n">
        <v>31</v>
      </c>
      <c r="L2109" s="9" t="n">
        <v>6</v>
      </c>
      <c r="M2109" s="9" t="n">
        <v>1</v>
      </c>
      <c r="N2109" s="9" t="s">
        <v>42</v>
      </c>
      <c r="O2109" s="9" t="s">
        <v>67</v>
      </c>
      <c r="P2109" s="9" t="n">
        <v>17.9</v>
      </c>
      <c r="Q2109" s="9" t="n">
        <v>20</v>
      </c>
      <c r="R2109" s="9" t="s">
        <v>44</v>
      </c>
      <c r="S2109" s="9"/>
      <c r="T2109" s="9"/>
      <c r="U2109" s="9" t="str">
        <f aca="false">IF(COUNTIF($A$2:$A$5001,A2109)&gt;1,"Duplicate","Unique")</f>
        <v>Unique</v>
      </c>
      <c r="V2109" s="9" t="str">
        <f aca="false">IF(COUNTIFS($B$2:$B$5001,B2109,$H$2:$H$5001,H2109,$J$2:$J$5001,J2109)&gt;1,"Possible Duplicate Booking","Unique")</f>
        <v>Unique</v>
      </c>
      <c r="W2109" s="9" t="str">
        <f aca="false">IF((H2109-G2109)&lt;&gt;K2109,"Mismatch","OK")</f>
        <v>OK</v>
      </c>
      <c r="X2109" s="9" t="str">
        <f aca="false">IF(TEXT(H2109,"dddd")&lt;&gt;I2109,"Mismatch","OK")</f>
        <v>OK</v>
      </c>
      <c r="Y2109" s="9" t="str">
        <f aca="false">IF(AND(N2109="No",O2109&lt;&gt;""),"Unexpected: channel present but no reminder sent",IF(AND(N2109="Yes",O2109=""),"Missing channel for sent reminder","OK"))</f>
        <v>OK</v>
      </c>
    </row>
    <row r="2110" customFormat="false" ht="15" hidden="false" customHeight="false" outlineLevel="0" collapsed="false">
      <c r="A2110" s="7" t="s">
        <v>3416</v>
      </c>
      <c r="B2110" s="7" t="s">
        <v>3417</v>
      </c>
      <c r="C2110" s="7" t="s">
        <v>37</v>
      </c>
      <c r="D2110" s="7" t="n">
        <v>34</v>
      </c>
      <c r="E2110" s="7" t="s">
        <v>48</v>
      </c>
      <c r="F2110" s="7" t="s">
        <v>74</v>
      </c>
      <c r="G2110" s="8" t="n">
        <v>45794</v>
      </c>
      <c r="H2110" s="8" t="n">
        <v>45811</v>
      </c>
      <c r="I2110" s="7" t="s">
        <v>40</v>
      </c>
      <c r="J2110" s="7" t="s">
        <v>41</v>
      </c>
      <c r="K2110" s="7" t="n">
        <v>17</v>
      </c>
      <c r="L2110" s="7" t="n">
        <v>3</v>
      </c>
      <c r="M2110" s="7" t="n">
        <v>0</v>
      </c>
      <c r="N2110" s="7" t="s">
        <v>42</v>
      </c>
      <c r="O2110" s="7" t="s">
        <v>52</v>
      </c>
      <c r="P2110" s="7" t="n">
        <v>14.2</v>
      </c>
      <c r="Q2110" s="7" t="n">
        <v>32</v>
      </c>
      <c r="R2110" s="7" t="s">
        <v>53</v>
      </c>
      <c r="S2110" s="7"/>
      <c r="T2110" s="7"/>
      <c r="U2110" s="7" t="str">
        <f aca="false">IF(COUNTIF($A$2:$A$5001,A2110)&gt;1,"Duplicate","Unique")</f>
        <v>Unique</v>
      </c>
      <c r="V2110" s="7" t="str">
        <f aca="false">IF(COUNTIFS($B$2:$B$5001,B2110,$H$2:$H$5001,H2110,$J$2:$J$5001,J2110)&gt;1,"Possible Duplicate Booking","Unique")</f>
        <v>Unique</v>
      </c>
      <c r="W2110" s="7" t="str">
        <f aca="false">IF((H2110-G2110)&lt;&gt;K2110,"Mismatch","OK")</f>
        <v>OK</v>
      </c>
      <c r="X2110" s="7" t="str">
        <f aca="false">IF(TEXT(H2110,"dddd")&lt;&gt;I2110,"Mismatch","OK")</f>
        <v>OK</v>
      </c>
      <c r="Y2110" s="7" t="str">
        <f aca="false">IF(AND(N2110="No",O2110&lt;&gt;""),"Unexpected: channel present but no reminder sent",IF(AND(N2110="Yes",O2110=""),"Missing channel for sent reminder","OK"))</f>
        <v>OK</v>
      </c>
    </row>
    <row r="2111" customFormat="false" ht="15" hidden="false" customHeight="false" outlineLevel="0" collapsed="false">
      <c r="A2111" s="9" t="s">
        <v>3418</v>
      </c>
      <c r="B2111" s="9" t="s">
        <v>3419</v>
      </c>
      <c r="C2111" s="9" t="s">
        <v>37</v>
      </c>
      <c r="D2111" s="9" t="n">
        <v>19</v>
      </c>
      <c r="E2111" s="9" t="s">
        <v>82</v>
      </c>
      <c r="F2111" s="9" t="s">
        <v>57</v>
      </c>
      <c r="G2111" s="10" t="n">
        <v>45795</v>
      </c>
      <c r="H2111" s="10" t="n">
        <v>45812</v>
      </c>
      <c r="I2111" s="9" t="s">
        <v>58</v>
      </c>
      <c r="J2111" s="9" t="s">
        <v>63</v>
      </c>
      <c r="K2111" s="9" t="n">
        <v>17</v>
      </c>
      <c r="L2111" s="9" t="n">
        <v>3</v>
      </c>
      <c r="M2111" s="9" t="n">
        <v>0</v>
      </c>
      <c r="N2111" s="9" t="s">
        <v>42</v>
      </c>
      <c r="O2111" s="9" t="s">
        <v>43</v>
      </c>
      <c r="P2111" s="9" t="n">
        <v>11.4</v>
      </c>
      <c r="Q2111" s="9" t="n">
        <v>27</v>
      </c>
      <c r="R2111" s="9" t="s">
        <v>44</v>
      </c>
      <c r="S2111" s="9"/>
      <c r="T2111" s="9"/>
      <c r="U2111" s="9" t="str">
        <f aca="false">IF(COUNTIF($A$2:$A$5001,A2111)&gt;1,"Duplicate","Unique")</f>
        <v>Unique</v>
      </c>
      <c r="V2111" s="9" t="str">
        <f aca="false">IF(COUNTIFS($B$2:$B$5001,B2111,$H$2:$H$5001,H2111,$J$2:$J$5001,J2111)&gt;1,"Possible Duplicate Booking","Unique")</f>
        <v>Unique</v>
      </c>
      <c r="W2111" s="9" t="str">
        <f aca="false">IF((H2111-G2111)&lt;&gt;K2111,"Mismatch","OK")</f>
        <v>OK</v>
      </c>
      <c r="X2111" s="9" t="str">
        <f aca="false">IF(TEXT(H2111,"dddd")&lt;&gt;I2111,"Mismatch","OK")</f>
        <v>OK</v>
      </c>
      <c r="Y2111" s="9" t="str">
        <f aca="false">IF(AND(N2111="No",O2111&lt;&gt;""),"Unexpected: channel present but no reminder sent",IF(AND(N2111="Yes",O2111=""),"Missing channel for sent reminder","OK"))</f>
        <v>OK</v>
      </c>
    </row>
    <row r="2112" customFormat="false" ht="15" hidden="false" customHeight="false" outlineLevel="0" collapsed="false">
      <c r="A2112" s="7" t="s">
        <v>3420</v>
      </c>
      <c r="B2112" s="7" t="s">
        <v>835</v>
      </c>
      <c r="C2112" s="7" t="s">
        <v>37</v>
      </c>
      <c r="D2112" s="7" t="n">
        <v>40</v>
      </c>
      <c r="E2112" s="7" t="s">
        <v>38</v>
      </c>
      <c r="F2112" s="7" t="s">
        <v>74</v>
      </c>
      <c r="G2112" s="8" t="n">
        <v>45809</v>
      </c>
      <c r="H2112" s="8" t="n">
        <v>45811</v>
      </c>
      <c r="I2112" s="7" t="s">
        <v>40</v>
      </c>
      <c r="J2112" s="7" t="s">
        <v>51</v>
      </c>
      <c r="K2112" s="7" t="n">
        <v>2</v>
      </c>
      <c r="L2112" s="7" t="n">
        <v>4</v>
      </c>
      <c r="M2112" s="7" t="n">
        <v>0</v>
      </c>
      <c r="N2112" s="7" t="s">
        <v>42</v>
      </c>
      <c r="O2112" s="7" t="s">
        <v>43</v>
      </c>
      <c r="P2112" s="7" t="n">
        <v>6.1</v>
      </c>
      <c r="Q2112" s="7" t="n">
        <v>17</v>
      </c>
      <c r="R2112" s="7" t="s">
        <v>53</v>
      </c>
      <c r="S2112" s="7"/>
      <c r="T2112" s="7"/>
      <c r="U2112" s="7" t="str">
        <f aca="false">IF(COUNTIF($A$2:$A$5001,A2112)&gt;1,"Duplicate","Unique")</f>
        <v>Unique</v>
      </c>
      <c r="V2112" s="7" t="str">
        <f aca="false">IF(COUNTIFS($B$2:$B$5001,B2112,$H$2:$H$5001,H2112,$J$2:$J$5001,J2112)&gt;1,"Possible Duplicate Booking","Unique")</f>
        <v>Unique</v>
      </c>
      <c r="W2112" s="7" t="str">
        <f aca="false">IF((H2112-G2112)&lt;&gt;K2112,"Mismatch","OK")</f>
        <v>OK</v>
      </c>
      <c r="X2112" s="7" t="str">
        <f aca="false">IF(TEXT(H2112,"dddd")&lt;&gt;I2112,"Mismatch","OK")</f>
        <v>OK</v>
      </c>
      <c r="Y2112" s="7" t="str">
        <f aca="false">IF(AND(N2112="No",O2112&lt;&gt;""),"Unexpected: channel present but no reminder sent",IF(AND(N2112="Yes",O2112=""),"Missing channel for sent reminder","OK"))</f>
        <v>OK</v>
      </c>
    </row>
    <row r="2113" customFormat="false" ht="15" hidden="false" customHeight="false" outlineLevel="0" collapsed="false">
      <c r="A2113" s="9" t="s">
        <v>3421</v>
      </c>
      <c r="B2113" s="9" t="s">
        <v>907</v>
      </c>
      <c r="C2113" s="9" t="s">
        <v>47</v>
      </c>
      <c r="D2113" s="9" t="n">
        <v>20</v>
      </c>
      <c r="E2113" s="9" t="s">
        <v>82</v>
      </c>
      <c r="F2113" s="9" t="s">
        <v>39</v>
      </c>
      <c r="G2113" s="10" t="n">
        <v>45978</v>
      </c>
      <c r="H2113" s="10" t="n">
        <v>46026</v>
      </c>
      <c r="I2113" s="9" t="s">
        <v>75</v>
      </c>
      <c r="J2113" s="9" t="s">
        <v>51</v>
      </c>
      <c r="K2113" s="9" t="n">
        <v>48</v>
      </c>
      <c r="L2113" s="9" t="n">
        <v>1</v>
      </c>
      <c r="M2113" s="9" t="n">
        <v>0</v>
      </c>
      <c r="N2113" s="9" t="s">
        <v>42</v>
      </c>
      <c r="O2113" s="9" t="s">
        <v>43</v>
      </c>
      <c r="P2113" s="9" t="n">
        <v>3.6</v>
      </c>
      <c r="Q2113" s="9" t="n">
        <v>5</v>
      </c>
      <c r="R2113" s="9" t="s">
        <v>44</v>
      </c>
      <c r="S2113" s="9"/>
      <c r="T2113" s="9"/>
      <c r="U2113" s="9" t="str">
        <f aca="false">IF(COUNTIF($A$2:$A$5001,A2113)&gt;1,"Duplicate","Unique")</f>
        <v>Unique</v>
      </c>
      <c r="V2113" s="9" t="str">
        <f aca="false">IF(COUNTIFS($B$2:$B$5001,B2113,$H$2:$H$5001,H2113,$J$2:$J$5001,J2113)&gt;1,"Possible Duplicate Booking","Unique")</f>
        <v>Unique</v>
      </c>
      <c r="W2113" s="9" t="str">
        <f aca="false">IF((H2113-G2113)&lt;&gt;K2113,"Mismatch","OK")</f>
        <v>OK</v>
      </c>
      <c r="X2113" s="9" t="str">
        <f aca="false">IF(TEXT(H2113,"dddd")&lt;&gt;I2113,"Mismatch","OK")</f>
        <v>OK</v>
      </c>
      <c r="Y2113" s="9" t="str">
        <f aca="false">IF(AND(N2113="No",O2113&lt;&gt;""),"Unexpected: channel present but no reminder sent",IF(AND(N2113="Yes",O2113=""),"Missing channel for sent reminder","OK"))</f>
        <v>OK</v>
      </c>
    </row>
    <row r="2114" customFormat="false" ht="15" hidden="false" customHeight="false" outlineLevel="0" collapsed="false">
      <c r="A2114" s="7" t="s">
        <v>3422</v>
      </c>
      <c r="B2114" s="7" t="s">
        <v>3090</v>
      </c>
      <c r="C2114" s="7" t="s">
        <v>37</v>
      </c>
      <c r="D2114" s="7" t="n">
        <v>76</v>
      </c>
      <c r="E2114" s="7" t="s">
        <v>70</v>
      </c>
      <c r="F2114" s="7" t="s">
        <v>39</v>
      </c>
      <c r="G2114" s="8" t="n">
        <v>46100</v>
      </c>
      <c r="H2114" s="8" t="n">
        <v>46157</v>
      </c>
      <c r="I2114" s="7" t="s">
        <v>50</v>
      </c>
      <c r="J2114" s="7" t="s">
        <v>51</v>
      </c>
      <c r="K2114" s="7" t="n">
        <v>57</v>
      </c>
      <c r="L2114" s="7" t="n">
        <v>5</v>
      </c>
      <c r="M2114" s="7" t="n">
        <v>1</v>
      </c>
      <c r="N2114" s="7" t="s">
        <v>42</v>
      </c>
      <c r="O2114" s="7" t="s">
        <v>52</v>
      </c>
      <c r="P2114" s="7" t="n">
        <v>22.9</v>
      </c>
      <c r="Q2114" s="7" t="n">
        <v>58</v>
      </c>
      <c r="R2114" s="7" t="s">
        <v>44</v>
      </c>
      <c r="S2114" s="7"/>
      <c r="T2114" s="7"/>
      <c r="U2114" s="7" t="str">
        <f aca="false">IF(COUNTIF($A$2:$A$5001,A2114)&gt;1,"Duplicate","Unique")</f>
        <v>Unique</v>
      </c>
      <c r="V2114" s="7" t="str">
        <f aca="false">IF(COUNTIFS($B$2:$B$5001,B2114,$H$2:$H$5001,H2114,$J$2:$J$5001,J2114)&gt;1,"Possible Duplicate Booking","Unique")</f>
        <v>Unique</v>
      </c>
      <c r="W2114" s="7" t="str">
        <f aca="false">IF((H2114-G2114)&lt;&gt;K2114,"Mismatch","OK")</f>
        <v>OK</v>
      </c>
      <c r="X2114" s="7" t="str">
        <f aca="false">IF(TEXT(H2114,"dddd")&lt;&gt;I2114,"Mismatch","OK")</f>
        <v>OK</v>
      </c>
      <c r="Y2114" s="7" t="str">
        <f aca="false">IF(AND(N2114="No",O2114&lt;&gt;""),"Unexpected: channel present but no reminder sent",IF(AND(N2114="Yes",O2114=""),"Missing channel for sent reminder","OK"))</f>
        <v>OK</v>
      </c>
    </row>
    <row r="2115" customFormat="false" ht="15" hidden="false" customHeight="false" outlineLevel="0" collapsed="false">
      <c r="A2115" s="9" t="s">
        <v>3423</v>
      </c>
      <c r="B2115" s="9" t="s">
        <v>2377</v>
      </c>
      <c r="C2115" s="9" t="s">
        <v>37</v>
      </c>
      <c r="D2115" s="9" t="n">
        <v>26</v>
      </c>
      <c r="E2115" s="9" t="s">
        <v>48</v>
      </c>
      <c r="F2115" s="9" t="s">
        <v>57</v>
      </c>
      <c r="G2115" s="10" t="n">
        <v>46125</v>
      </c>
      <c r="H2115" s="10" t="n">
        <v>46155</v>
      </c>
      <c r="I2115" s="9" t="s">
        <v>58</v>
      </c>
      <c r="J2115" s="9" t="s">
        <v>51</v>
      </c>
      <c r="K2115" s="9" t="n">
        <v>30</v>
      </c>
      <c r="L2115" s="9" t="n">
        <v>2</v>
      </c>
      <c r="M2115" s="9" t="n">
        <v>0</v>
      </c>
      <c r="N2115" s="9" t="s">
        <v>71</v>
      </c>
      <c r="O2115" s="9"/>
      <c r="P2115" s="9" t="n">
        <v>21.8</v>
      </c>
      <c r="Q2115" s="9" t="n">
        <v>24</v>
      </c>
      <c r="R2115" s="9" t="s">
        <v>44</v>
      </c>
      <c r="S2115" s="9"/>
      <c r="T2115" s="9"/>
      <c r="U2115" s="9" t="str">
        <f aca="false">IF(COUNTIF($A$2:$A$5001,A2115)&gt;1,"Duplicate","Unique")</f>
        <v>Unique</v>
      </c>
      <c r="V2115" s="9" t="str">
        <f aca="false">IF(COUNTIFS($B$2:$B$5001,B2115,$H$2:$H$5001,H2115,$J$2:$J$5001,J2115)&gt;1,"Possible Duplicate Booking","Unique")</f>
        <v>Unique</v>
      </c>
      <c r="W2115" s="9" t="str">
        <f aca="false">IF((H2115-G2115)&lt;&gt;K2115,"Mismatch","OK")</f>
        <v>OK</v>
      </c>
      <c r="X2115" s="9" t="str">
        <f aca="false">IF(TEXT(H2115,"dddd")&lt;&gt;I2115,"Mismatch","OK")</f>
        <v>OK</v>
      </c>
      <c r="Y2115" s="9" t="str">
        <f aca="false">IF(AND(N2115="No",O2115&lt;&gt;""),"Unexpected: channel present but no reminder sent",IF(AND(N2115="Yes",O2115=""),"Missing channel for sent reminder","OK"))</f>
        <v>OK</v>
      </c>
    </row>
    <row r="2116" customFormat="false" ht="15" hidden="false" customHeight="false" outlineLevel="0" collapsed="false">
      <c r="A2116" s="7" t="s">
        <v>3424</v>
      </c>
      <c r="B2116" s="7" t="s">
        <v>312</v>
      </c>
      <c r="C2116" s="7" t="s">
        <v>37</v>
      </c>
      <c r="D2116" s="7" t="n">
        <v>59</v>
      </c>
      <c r="E2116" s="7" t="s">
        <v>61</v>
      </c>
      <c r="F2116" s="7" t="s">
        <v>57</v>
      </c>
      <c r="G2116" s="8" t="n">
        <v>46030</v>
      </c>
      <c r="H2116" s="8" t="n">
        <v>46062</v>
      </c>
      <c r="I2116" s="7" t="s">
        <v>66</v>
      </c>
      <c r="J2116" s="7" t="s">
        <v>41</v>
      </c>
      <c r="K2116" s="7" t="n">
        <v>32</v>
      </c>
      <c r="L2116" s="7" t="n">
        <v>1</v>
      </c>
      <c r="M2116" s="7" t="n">
        <v>0</v>
      </c>
      <c r="N2116" s="7" t="s">
        <v>71</v>
      </c>
      <c r="O2116" s="7"/>
      <c r="P2116" s="7" t="n">
        <v>6</v>
      </c>
      <c r="Q2116" s="7" t="n">
        <v>34</v>
      </c>
      <c r="R2116" s="7" t="s">
        <v>44</v>
      </c>
      <c r="S2116" s="7"/>
      <c r="T2116" s="7"/>
      <c r="U2116" s="7" t="str">
        <f aca="false">IF(COUNTIF($A$2:$A$5001,A2116)&gt;1,"Duplicate","Unique")</f>
        <v>Unique</v>
      </c>
      <c r="V2116" s="7" t="str">
        <f aca="false">IF(COUNTIFS($B$2:$B$5001,B2116,$H$2:$H$5001,H2116,$J$2:$J$5001,J2116)&gt;1,"Possible Duplicate Booking","Unique")</f>
        <v>Unique</v>
      </c>
      <c r="W2116" s="7" t="str">
        <f aca="false">IF((H2116-G2116)&lt;&gt;K2116,"Mismatch","OK")</f>
        <v>OK</v>
      </c>
      <c r="X2116" s="7" t="str">
        <f aca="false">IF(TEXT(H2116,"dddd")&lt;&gt;I2116,"Mismatch","OK")</f>
        <v>OK</v>
      </c>
      <c r="Y2116" s="7" t="str">
        <f aca="false">IF(AND(N2116="No",O2116&lt;&gt;""),"Unexpected: channel present but no reminder sent",IF(AND(N2116="Yes",O2116=""),"Missing channel for sent reminder","OK"))</f>
        <v>OK</v>
      </c>
    </row>
    <row r="2117" customFormat="false" ht="15" hidden="false" customHeight="false" outlineLevel="0" collapsed="false">
      <c r="A2117" s="9" t="s">
        <v>3425</v>
      </c>
      <c r="B2117" s="9" t="s">
        <v>3426</v>
      </c>
      <c r="C2117" s="9" t="s">
        <v>37</v>
      </c>
      <c r="D2117" s="9" t="n">
        <v>53</v>
      </c>
      <c r="E2117" s="9" t="s">
        <v>56</v>
      </c>
      <c r="F2117" s="9" t="s">
        <v>39</v>
      </c>
      <c r="G2117" s="10" t="n">
        <v>45712</v>
      </c>
      <c r="H2117" s="10" t="n">
        <v>45768</v>
      </c>
      <c r="I2117" s="9" t="s">
        <v>66</v>
      </c>
      <c r="J2117" s="9" t="s">
        <v>51</v>
      </c>
      <c r="K2117" s="9" t="n">
        <v>56</v>
      </c>
      <c r="L2117" s="9" t="n">
        <v>1</v>
      </c>
      <c r="M2117" s="9" t="n">
        <v>0</v>
      </c>
      <c r="N2117" s="9" t="s">
        <v>42</v>
      </c>
      <c r="O2117" s="9" t="s">
        <v>52</v>
      </c>
      <c r="P2117" s="9" t="n">
        <v>15.7</v>
      </c>
      <c r="Q2117" s="9" t="n">
        <v>2</v>
      </c>
      <c r="R2117" s="9" t="s">
        <v>44</v>
      </c>
      <c r="S2117" s="9"/>
      <c r="T2117" s="9"/>
      <c r="U2117" s="9" t="str">
        <f aca="false">IF(COUNTIF($A$2:$A$5001,A2117)&gt;1,"Duplicate","Unique")</f>
        <v>Unique</v>
      </c>
      <c r="V2117" s="9" t="str">
        <f aca="false">IF(COUNTIFS($B$2:$B$5001,B2117,$H$2:$H$5001,H2117,$J$2:$J$5001,J2117)&gt;1,"Possible Duplicate Booking","Unique")</f>
        <v>Unique</v>
      </c>
      <c r="W2117" s="9" t="str">
        <f aca="false">IF((H2117-G2117)&lt;&gt;K2117,"Mismatch","OK")</f>
        <v>OK</v>
      </c>
      <c r="X2117" s="9" t="str">
        <f aca="false">IF(TEXT(H2117,"dddd")&lt;&gt;I2117,"Mismatch","OK")</f>
        <v>OK</v>
      </c>
      <c r="Y2117" s="9" t="str">
        <f aca="false">IF(AND(N2117="No",O2117&lt;&gt;""),"Unexpected: channel present but no reminder sent",IF(AND(N2117="Yes",O2117=""),"Missing channel for sent reminder","OK"))</f>
        <v>OK</v>
      </c>
    </row>
    <row r="2118" customFormat="false" ht="15" hidden="false" customHeight="false" outlineLevel="0" collapsed="false">
      <c r="A2118" s="7" t="s">
        <v>3427</v>
      </c>
      <c r="B2118" s="7" t="s">
        <v>1061</v>
      </c>
      <c r="C2118" s="7" t="s">
        <v>47</v>
      </c>
      <c r="D2118" s="7" t="n">
        <v>32</v>
      </c>
      <c r="E2118" s="7" t="s">
        <v>48</v>
      </c>
      <c r="F2118" s="7" t="s">
        <v>57</v>
      </c>
      <c r="G2118" s="8" t="n">
        <v>46151</v>
      </c>
      <c r="H2118" s="8" t="n">
        <v>46182</v>
      </c>
      <c r="I2118" s="7" t="s">
        <v>40</v>
      </c>
      <c r="J2118" s="7" t="s">
        <v>51</v>
      </c>
      <c r="K2118" s="7" t="n">
        <v>31</v>
      </c>
      <c r="L2118" s="7" t="n">
        <v>2</v>
      </c>
      <c r="M2118" s="7" t="n">
        <v>0</v>
      </c>
      <c r="N2118" s="7" t="s">
        <v>42</v>
      </c>
      <c r="O2118" s="7" t="s">
        <v>67</v>
      </c>
      <c r="P2118" s="7" t="n">
        <v>4.5</v>
      </c>
      <c r="Q2118" s="7" t="n">
        <v>20</v>
      </c>
      <c r="R2118" s="7" t="s">
        <v>44</v>
      </c>
      <c r="S2118" s="7"/>
      <c r="T2118" s="7"/>
      <c r="U2118" s="7" t="str">
        <f aca="false">IF(COUNTIF($A$2:$A$5001,A2118)&gt;1,"Duplicate","Unique")</f>
        <v>Unique</v>
      </c>
      <c r="V2118" s="7" t="str">
        <f aca="false">IF(COUNTIFS($B$2:$B$5001,B2118,$H$2:$H$5001,H2118,$J$2:$J$5001,J2118)&gt;1,"Possible Duplicate Booking","Unique")</f>
        <v>Unique</v>
      </c>
      <c r="W2118" s="7" t="str">
        <f aca="false">IF((H2118-G2118)&lt;&gt;K2118,"Mismatch","OK")</f>
        <v>OK</v>
      </c>
      <c r="X2118" s="7" t="str">
        <f aca="false">IF(TEXT(H2118,"dddd")&lt;&gt;I2118,"Mismatch","OK")</f>
        <v>OK</v>
      </c>
      <c r="Y2118" s="7" t="str">
        <f aca="false">IF(AND(N2118="No",O2118&lt;&gt;""),"Unexpected: channel present but no reminder sent",IF(AND(N2118="Yes",O2118=""),"Missing channel for sent reminder","OK"))</f>
        <v>OK</v>
      </c>
    </row>
    <row r="2119" customFormat="false" ht="15" hidden="false" customHeight="false" outlineLevel="0" collapsed="false">
      <c r="A2119" s="9" t="s">
        <v>3428</v>
      </c>
      <c r="B2119" s="9" t="s">
        <v>1639</v>
      </c>
      <c r="C2119" s="9" t="s">
        <v>37</v>
      </c>
      <c r="D2119" s="9" t="n">
        <v>68</v>
      </c>
      <c r="E2119" s="9" t="s">
        <v>70</v>
      </c>
      <c r="F2119" s="9" t="s">
        <v>57</v>
      </c>
      <c r="G2119" s="10" t="n">
        <v>45916</v>
      </c>
      <c r="H2119" s="10" t="n">
        <v>45953</v>
      </c>
      <c r="I2119" s="9" t="s">
        <v>62</v>
      </c>
      <c r="J2119" s="9" t="s">
        <v>41</v>
      </c>
      <c r="K2119" s="9" t="n">
        <v>37</v>
      </c>
      <c r="L2119" s="9" t="n">
        <v>2</v>
      </c>
      <c r="M2119" s="9" t="n">
        <v>0</v>
      </c>
      <c r="N2119" s="9" t="s">
        <v>42</v>
      </c>
      <c r="O2119" s="9" t="s">
        <v>43</v>
      </c>
      <c r="P2119" s="9" t="n">
        <v>5.3</v>
      </c>
      <c r="Q2119" s="9" t="n">
        <v>19</v>
      </c>
      <c r="R2119" s="9" t="s">
        <v>87</v>
      </c>
      <c r="S2119" s="9"/>
      <c r="T2119" s="9"/>
      <c r="U2119" s="9" t="str">
        <f aca="false">IF(COUNTIF($A$2:$A$5001,A2119)&gt;1,"Duplicate","Unique")</f>
        <v>Unique</v>
      </c>
      <c r="V2119" s="9" t="str">
        <f aca="false">IF(COUNTIFS($B$2:$B$5001,B2119,$H$2:$H$5001,H2119,$J$2:$J$5001,J2119)&gt;1,"Possible Duplicate Booking","Unique")</f>
        <v>Unique</v>
      </c>
      <c r="W2119" s="9" t="str">
        <f aca="false">IF((H2119-G2119)&lt;&gt;K2119,"Mismatch","OK")</f>
        <v>OK</v>
      </c>
      <c r="X2119" s="9" t="str">
        <f aca="false">IF(TEXT(H2119,"dddd")&lt;&gt;I2119,"Mismatch","OK")</f>
        <v>OK</v>
      </c>
      <c r="Y2119" s="9" t="str">
        <f aca="false">IF(AND(N2119="No",O2119&lt;&gt;""),"Unexpected: channel present but no reminder sent",IF(AND(N2119="Yes",O2119=""),"Missing channel for sent reminder","OK"))</f>
        <v>OK</v>
      </c>
    </row>
    <row r="2120" customFormat="false" ht="15" hidden="false" customHeight="false" outlineLevel="0" collapsed="false">
      <c r="A2120" s="7" t="s">
        <v>3429</v>
      </c>
      <c r="B2120" s="7" t="s">
        <v>280</v>
      </c>
      <c r="C2120" s="7" t="s">
        <v>37</v>
      </c>
      <c r="D2120" s="7" t="n">
        <v>24</v>
      </c>
      <c r="E2120" s="7" t="s">
        <v>82</v>
      </c>
      <c r="F2120" s="7" t="s">
        <v>39</v>
      </c>
      <c r="G2120" s="8" t="n">
        <v>45930</v>
      </c>
      <c r="H2120" s="8" t="n">
        <v>45956</v>
      </c>
      <c r="I2120" s="7" t="s">
        <v>75</v>
      </c>
      <c r="J2120" s="7" t="s">
        <v>51</v>
      </c>
      <c r="K2120" s="7" t="n">
        <v>26</v>
      </c>
      <c r="L2120" s="7" t="n">
        <v>4</v>
      </c>
      <c r="M2120" s="7" t="n">
        <v>0</v>
      </c>
      <c r="N2120" s="7" t="s">
        <v>42</v>
      </c>
      <c r="O2120" s="7" t="s">
        <v>52</v>
      </c>
      <c r="P2120" s="7" t="n">
        <v>8.8</v>
      </c>
      <c r="Q2120" s="7" t="n">
        <v>19</v>
      </c>
      <c r="R2120" s="7" t="s">
        <v>44</v>
      </c>
      <c r="S2120" s="7"/>
      <c r="T2120" s="7"/>
      <c r="U2120" s="7" t="str">
        <f aca="false">IF(COUNTIF($A$2:$A$5001,A2120)&gt;1,"Duplicate","Unique")</f>
        <v>Unique</v>
      </c>
      <c r="V2120" s="7" t="str">
        <f aca="false">IF(COUNTIFS($B$2:$B$5001,B2120,$H$2:$H$5001,H2120,$J$2:$J$5001,J2120)&gt;1,"Possible Duplicate Booking","Unique")</f>
        <v>Unique</v>
      </c>
      <c r="W2120" s="7" t="str">
        <f aca="false">IF((H2120-G2120)&lt;&gt;K2120,"Mismatch","OK")</f>
        <v>OK</v>
      </c>
      <c r="X2120" s="7" t="str">
        <f aca="false">IF(TEXT(H2120,"dddd")&lt;&gt;I2120,"Mismatch","OK")</f>
        <v>OK</v>
      </c>
      <c r="Y2120" s="7" t="str">
        <f aca="false">IF(AND(N2120="No",O2120&lt;&gt;""),"Unexpected: channel present but no reminder sent",IF(AND(N2120="Yes",O2120=""),"Missing channel for sent reminder","OK"))</f>
        <v>OK</v>
      </c>
    </row>
    <row r="2121" customFormat="false" ht="15" hidden="false" customHeight="false" outlineLevel="0" collapsed="false">
      <c r="A2121" s="9" t="s">
        <v>3430</v>
      </c>
      <c r="B2121" s="9" t="s">
        <v>2242</v>
      </c>
      <c r="C2121" s="9" t="s">
        <v>47</v>
      </c>
      <c r="D2121" s="9" t="n">
        <v>73</v>
      </c>
      <c r="E2121" s="9" t="s">
        <v>70</v>
      </c>
      <c r="F2121" s="9" t="s">
        <v>49</v>
      </c>
      <c r="G2121" s="10" t="n">
        <v>46009</v>
      </c>
      <c r="H2121" s="10" t="n">
        <v>46040</v>
      </c>
      <c r="I2121" s="9" t="s">
        <v>75</v>
      </c>
      <c r="J2121" s="9" t="s">
        <v>51</v>
      </c>
      <c r="K2121" s="9" t="n">
        <v>31</v>
      </c>
      <c r="L2121" s="9" t="n">
        <v>2</v>
      </c>
      <c r="M2121" s="9" t="n">
        <v>0</v>
      </c>
      <c r="N2121" s="9" t="s">
        <v>42</v>
      </c>
      <c r="O2121" s="9" t="s">
        <v>52</v>
      </c>
      <c r="P2121" s="9" t="n">
        <v>11.8</v>
      </c>
      <c r="Q2121" s="9" t="n">
        <v>33</v>
      </c>
      <c r="R2121" s="9" t="s">
        <v>53</v>
      </c>
      <c r="S2121" s="9"/>
      <c r="T2121" s="9"/>
      <c r="U2121" s="9" t="str">
        <f aca="false">IF(COUNTIF($A$2:$A$5001,A2121)&gt;1,"Duplicate","Unique")</f>
        <v>Unique</v>
      </c>
      <c r="V2121" s="9" t="str">
        <f aca="false">IF(COUNTIFS($B$2:$B$5001,B2121,$H$2:$H$5001,H2121,$J$2:$J$5001,J2121)&gt;1,"Possible Duplicate Booking","Unique")</f>
        <v>Unique</v>
      </c>
      <c r="W2121" s="9" t="str">
        <f aca="false">IF((H2121-G2121)&lt;&gt;K2121,"Mismatch","OK")</f>
        <v>OK</v>
      </c>
      <c r="X2121" s="9" t="str">
        <f aca="false">IF(TEXT(H2121,"dddd")&lt;&gt;I2121,"Mismatch","OK")</f>
        <v>OK</v>
      </c>
      <c r="Y2121" s="9" t="str">
        <f aca="false">IF(AND(N2121="No",O2121&lt;&gt;""),"Unexpected: channel present but no reminder sent",IF(AND(N2121="Yes",O2121=""),"Missing channel for sent reminder","OK"))</f>
        <v>OK</v>
      </c>
    </row>
    <row r="2122" customFormat="false" ht="15" hidden="false" customHeight="false" outlineLevel="0" collapsed="false">
      <c r="A2122" s="7" t="s">
        <v>3431</v>
      </c>
      <c r="B2122" s="7" t="s">
        <v>3432</v>
      </c>
      <c r="C2122" s="7" t="s">
        <v>47</v>
      </c>
      <c r="D2122" s="7" t="n">
        <v>64</v>
      </c>
      <c r="E2122" s="7" t="s">
        <v>61</v>
      </c>
      <c r="F2122" s="7" t="s">
        <v>57</v>
      </c>
      <c r="G2122" s="8" t="n">
        <v>46046</v>
      </c>
      <c r="H2122" s="8" t="n">
        <v>46077</v>
      </c>
      <c r="I2122" s="7" t="s">
        <v>40</v>
      </c>
      <c r="J2122" s="7" t="s">
        <v>41</v>
      </c>
      <c r="K2122" s="7" t="n">
        <v>31</v>
      </c>
      <c r="L2122" s="7" t="n">
        <v>2</v>
      </c>
      <c r="M2122" s="7" t="n">
        <v>0</v>
      </c>
      <c r="N2122" s="7" t="s">
        <v>71</v>
      </c>
      <c r="O2122" s="7"/>
      <c r="P2122" s="7" t="n">
        <v>3.4</v>
      </c>
      <c r="Q2122" s="7" t="n">
        <v>21</v>
      </c>
      <c r="R2122" s="7" t="s">
        <v>44</v>
      </c>
      <c r="S2122" s="7"/>
      <c r="T2122" s="7"/>
      <c r="U2122" s="7" t="str">
        <f aca="false">IF(COUNTIF($A$2:$A$5001,A2122)&gt;1,"Duplicate","Unique")</f>
        <v>Unique</v>
      </c>
      <c r="V2122" s="7" t="str">
        <f aca="false">IF(COUNTIFS($B$2:$B$5001,B2122,$H$2:$H$5001,H2122,$J$2:$J$5001,J2122)&gt;1,"Possible Duplicate Booking","Unique")</f>
        <v>Unique</v>
      </c>
      <c r="W2122" s="7" t="str">
        <f aca="false">IF((H2122-G2122)&lt;&gt;K2122,"Mismatch","OK")</f>
        <v>OK</v>
      </c>
      <c r="X2122" s="7" t="str">
        <f aca="false">IF(TEXT(H2122,"dddd")&lt;&gt;I2122,"Mismatch","OK")</f>
        <v>OK</v>
      </c>
      <c r="Y2122" s="7" t="str">
        <f aca="false">IF(AND(N2122="No",O2122&lt;&gt;""),"Unexpected: channel present but no reminder sent",IF(AND(N2122="Yes",O2122=""),"Missing channel for sent reminder","OK"))</f>
        <v>OK</v>
      </c>
    </row>
    <row r="2123" customFormat="false" ht="15" hidden="false" customHeight="false" outlineLevel="0" collapsed="false">
      <c r="A2123" s="9" t="s">
        <v>3433</v>
      </c>
      <c r="B2123" s="9" t="s">
        <v>1394</v>
      </c>
      <c r="C2123" s="9" t="s">
        <v>47</v>
      </c>
      <c r="D2123" s="9" t="n">
        <v>58</v>
      </c>
      <c r="E2123" s="9" t="s">
        <v>61</v>
      </c>
      <c r="F2123" s="9" t="s">
        <v>49</v>
      </c>
      <c r="G2123" s="10" t="n">
        <v>46135</v>
      </c>
      <c r="H2123" s="10" t="n">
        <v>46178</v>
      </c>
      <c r="I2123" s="9" t="s">
        <v>50</v>
      </c>
      <c r="J2123" s="9" t="s">
        <v>41</v>
      </c>
      <c r="K2123" s="9" t="n">
        <v>43</v>
      </c>
      <c r="L2123" s="9" t="n">
        <v>9</v>
      </c>
      <c r="M2123" s="9" t="n">
        <v>2</v>
      </c>
      <c r="N2123" s="9" t="s">
        <v>71</v>
      </c>
      <c r="O2123" s="9"/>
      <c r="P2123" s="9" t="n">
        <v>1.8</v>
      </c>
      <c r="Q2123" s="9" t="n">
        <v>19</v>
      </c>
      <c r="R2123" s="9" t="s">
        <v>44</v>
      </c>
      <c r="S2123" s="9"/>
      <c r="T2123" s="9"/>
      <c r="U2123" s="9" t="str">
        <f aca="false">IF(COUNTIF($A$2:$A$5001,A2123)&gt;1,"Duplicate","Unique")</f>
        <v>Unique</v>
      </c>
      <c r="V2123" s="9" t="str">
        <f aca="false">IF(COUNTIFS($B$2:$B$5001,B2123,$H$2:$H$5001,H2123,$J$2:$J$5001,J2123)&gt;1,"Possible Duplicate Booking","Unique")</f>
        <v>Unique</v>
      </c>
      <c r="W2123" s="9" t="str">
        <f aca="false">IF((H2123-G2123)&lt;&gt;K2123,"Mismatch","OK")</f>
        <v>OK</v>
      </c>
      <c r="X2123" s="9" t="str">
        <f aca="false">IF(TEXT(H2123,"dddd")&lt;&gt;I2123,"Mismatch","OK")</f>
        <v>OK</v>
      </c>
      <c r="Y2123" s="9" t="str">
        <f aca="false">IF(AND(N2123="No",O2123&lt;&gt;""),"Unexpected: channel present but no reminder sent",IF(AND(N2123="Yes",O2123=""),"Missing channel for sent reminder","OK"))</f>
        <v>OK</v>
      </c>
    </row>
    <row r="2124" customFormat="false" ht="15" hidden="false" customHeight="false" outlineLevel="0" collapsed="false">
      <c r="A2124" s="7" t="s">
        <v>3434</v>
      </c>
      <c r="B2124" s="7" t="s">
        <v>3435</v>
      </c>
      <c r="C2124" s="7" t="s">
        <v>47</v>
      </c>
      <c r="D2124" s="7" t="n">
        <v>73</v>
      </c>
      <c r="E2124" s="7" t="s">
        <v>70</v>
      </c>
      <c r="F2124" s="7" t="s">
        <v>74</v>
      </c>
      <c r="G2124" s="8" t="n">
        <v>45939</v>
      </c>
      <c r="H2124" s="8" t="n">
        <v>45975</v>
      </c>
      <c r="I2124" s="7" t="s">
        <v>50</v>
      </c>
      <c r="J2124" s="7" t="s">
        <v>63</v>
      </c>
      <c r="K2124" s="7" t="n">
        <v>36</v>
      </c>
      <c r="L2124" s="7" t="n">
        <v>4</v>
      </c>
      <c r="M2124" s="7" t="n">
        <v>1</v>
      </c>
      <c r="N2124" s="7" t="s">
        <v>42</v>
      </c>
      <c r="O2124" s="7" t="s">
        <v>43</v>
      </c>
      <c r="P2124" s="7" t="n">
        <v>5.1</v>
      </c>
      <c r="Q2124" s="7" t="n">
        <v>24</v>
      </c>
      <c r="R2124" s="7" t="s">
        <v>44</v>
      </c>
      <c r="S2124" s="7"/>
      <c r="T2124" s="7"/>
      <c r="U2124" s="7" t="str">
        <f aca="false">IF(COUNTIF($A$2:$A$5001,A2124)&gt;1,"Duplicate","Unique")</f>
        <v>Unique</v>
      </c>
      <c r="V2124" s="7" t="str">
        <f aca="false">IF(COUNTIFS($B$2:$B$5001,B2124,$H$2:$H$5001,H2124,$J$2:$J$5001,J2124)&gt;1,"Possible Duplicate Booking","Unique")</f>
        <v>Unique</v>
      </c>
      <c r="W2124" s="7" t="str">
        <f aca="false">IF((H2124-G2124)&lt;&gt;K2124,"Mismatch","OK")</f>
        <v>OK</v>
      </c>
      <c r="X2124" s="7" t="str">
        <f aca="false">IF(TEXT(H2124,"dddd")&lt;&gt;I2124,"Mismatch","OK")</f>
        <v>OK</v>
      </c>
      <c r="Y2124" s="7" t="str">
        <f aca="false">IF(AND(N2124="No",O2124&lt;&gt;""),"Unexpected: channel present but no reminder sent",IF(AND(N2124="Yes",O2124=""),"Missing channel for sent reminder","OK"))</f>
        <v>OK</v>
      </c>
    </row>
    <row r="2125" customFormat="false" ht="15" hidden="false" customHeight="false" outlineLevel="0" collapsed="false">
      <c r="A2125" s="9" t="s">
        <v>3436</v>
      </c>
      <c r="B2125" s="9" t="s">
        <v>3185</v>
      </c>
      <c r="C2125" s="9" t="s">
        <v>37</v>
      </c>
      <c r="D2125" s="9" t="n">
        <v>43</v>
      </c>
      <c r="E2125" s="9" t="s">
        <v>38</v>
      </c>
      <c r="F2125" s="9" t="s">
        <v>49</v>
      </c>
      <c r="G2125" s="10" t="n">
        <v>45961</v>
      </c>
      <c r="H2125" s="10" t="n">
        <v>45991</v>
      </c>
      <c r="I2125" s="9" t="s">
        <v>75</v>
      </c>
      <c r="J2125" s="9" t="s">
        <v>41</v>
      </c>
      <c r="K2125" s="9" t="n">
        <v>30</v>
      </c>
      <c r="L2125" s="9" t="n">
        <v>2</v>
      </c>
      <c r="M2125" s="9" t="n">
        <v>0</v>
      </c>
      <c r="N2125" s="9" t="s">
        <v>42</v>
      </c>
      <c r="O2125" s="9" t="s">
        <v>52</v>
      </c>
      <c r="P2125" s="9" t="n">
        <v>8.2</v>
      </c>
      <c r="Q2125" s="9" t="n">
        <v>24</v>
      </c>
      <c r="R2125" s="9" t="s">
        <v>44</v>
      </c>
      <c r="S2125" s="9"/>
      <c r="T2125" s="9"/>
      <c r="U2125" s="9" t="str">
        <f aca="false">IF(COUNTIF($A$2:$A$5001,A2125)&gt;1,"Duplicate","Unique")</f>
        <v>Unique</v>
      </c>
      <c r="V2125" s="9" t="str">
        <f aca="false">IF(COUNTIFS($B$2:$B$5001,B2125,$H$2:$H$5001,H2125,$J$2:$J$5001,J2125)&gt;1,"Possible Duplicate Booking","Unique")</f>
        <v>Unique</v>
      </c>
      <c r="W2125" s="9" t="str">
        <f aca="false">IF((H2125-G2125)&lt;&gt;K2125,"Mismatch","OK")</f>
        <v>OK</v>
      </c>
      <c r="X2125" s="9" t="str">
        <f aca="false">IF(TEXT(H2125,"dddd")&lt;&gt;I2125,"Mismatch","OK")</f>
        <v>OK</v>
      </c>
      <c r="Y2125" s="9" t="str">
        <f aca="false">IF(AND(N2125="No",O2125&lt;&gt;""),"Unexpected: channel present but no reminder sent",IF(AND(N2125="Yes",O2125=""),"Missing channel for sent reminder","OK"))</f>
        <v>OK</v>
      </c>
    </row>
    <row r="2126" customFormat="false" ht="15" hidden="false" customHeight="false" outlineLevel="0" collapsed="false">
      <c r="A2126" s="7" t="s">
        <v>3437</v>
      </c>
      <c r="B2126" s="7" t="s">
        <v>2884</v>
      </c>
      <c r="C2126" s="7" t="s">
        <v>37</v>
      </c>
      <c r="D2126" s="7" t="n">
        <v>35</v>
      </c>
      <c r="E2126" s="7" t="s">
        <v>38</v>
      </c>
      <c r="F2126" s="7" t="s">
        <v>49</v>
      </c>
      <c r="G2126" s="8" t="n">
        <v>46061</v>
      </c>
      <c r="H2126" s="8" t="n">
        <v>46065</v>
      </c>
      <c r="I2126" s="7" t="s">
        <v>62</v>
      </c>
      <c r="J2126" s="7" t="s">
        <v>63</v>
      </c>
      <c r="K2126" s="7" t="n">
        <v>4</v>
      </c>
      <c r="L2126" s="7" t="n">
        <v>2</v>
      </c>
      <c r="M2126" s="7" t="n">
        <v>0</v>
      </c>
      <c r="N2126" s="7" t="s">
        <v>42</v>
      </c>
      <c r="O2126" s="7" t="s">
        <v>52</v>
      </c>
      <c r="P2126" s="7" t="n">
        <v>3.3</v>
      </c>
      <c r="Q2126" s="7" t="n">
        <v>11</v>
      </c>
      <c r="R2126" s="7" t="s">
        <v>53</v>
      </c>
      <c r="S2126" s="7"/>
      <c r="T2126" s="7"/>
      <c r="U2126" s="7" t="str">
        <f aca="false">IF(COUNTIF($A$2:$A$5001,A2126)&gt;1,"Duplicate","Unique")</f>
        <v>Unique</v>
      </c>
      <c r="V2126" s="7" t="str">
        <f aca="false">IF(COUNTIFS($B$2:$B$5001,B2126,$H$2:$H$5001,H2126,$J$2:$J$5001,J2126)&gt;1,"Possible Duplicate Booking","Unique")</f>
        <v>Unique</v>
      </c>
      <c r="W2126" s="7" t="str">
        <f aca="false">IF((H2126-G2126)&lt;&gt;K2126,"Mismatch","OK")</f>
        <v>OK</v>
      </c>
      <c r="X2126" s="7" t="str">
        <f aca="false">IF(TEXT(H2126,"dddd")&lt;&gt;I2126,"Mismatch","OK")</f>
        <v>OK</v>
      </c>
      <c r="Y2126" s="7" t="str">
        <f aca="false">IF(AND(N2126="No",O2126&lt;&gt;""),"Unexpected: channel present but no reminder sent",IF(AND(N2126="Yes",O2126=""),"Missing channel for sent reminder","OK"))</f>
        <v>OK</v>
      </c>
    </row>
    <row r="2127" customFormat="false" ht="15" hidden="false" customHeight="false" outlineLevel="0" collapsed="false">
      <c r="A2127" s="9" t="s">
        <v>3438</v>
      </c>
      <c r="B2127" s="9" t="s">
        <v>3439</v>
      </c>
      <c r="C2127" s="9" t="s">
        <v>37</v>
      </c>
      <c r="D2127" s="9" t="n">
        <v>27</v>
      </c>
      <c r="E2127" s="9" t="s">
        <v>48</v>
      </c>
      <c r="F2127" s="9" t="s">
        <v>49</v>
      </c>
      <c r="G2127" s="10" t="n">
        <v>45742</v>
      </c>
      <c r="H2127" s="10" t="n">
        <v>45797</v>
      </c>
      <c r="I2127" s="9" t="s">
        <v>40</v>
      </c>
      <c r="J2127" s="9" t="s">
        <v>51</v>
      </c>
      <c r="K2127" s="9" t="n">
        <v>55</v>
      </c>
      <c r="L2127" s="9" t="n">
        <v>3</v>
      </c>
      <c r="M2127" s="9" t="n">
        <v>1</v>
      </c>
      <c r="N2127" s="9" t="s">
        <v>71</v>
      </c>
      <c r="O2127" s="9"/>
      <c r="P2127" s="9" t="n">
        <v>6.4</v>
      </c>
      <c r="Q2127" s="9" t="n">
        <v>35</v>
      </c>
      <c r="R2127" s="9" t="s">
        <v>44</v>
      </c>
      <c r="S2127" s="9"/>
      <c r="T2127" s="9"/>
      <c r="U2127" s="9" t="str">
        <f aca="false">IF(COUNTIF($A$2:$A$5001,A2127)&gt;1,"Duplicate","Unique")</f>
        <v>Unique</v>
      </c>
      <c r="V2127" s="9" t="str">
        <f aca="false">IF(COUNTIFS($B$2:$B$5001,B2127,$H$2:$H$5001,H2127,$J$2:$J$5001,J2127)&gt;1,"Possible Duplicate Booking","Unique")</f>
        <v>Unique</v>
      </c>
      <c r="W2127" s="9" t="str">
        <f aca="false">IF((H2127-G2127)&lt;&gt;K2127,"Mismatch","OK")</f>
        <v>OK</v>
      </c>
      <c r="X2127" s="9" t="str">
        <f aca="false">IF(TEXT(H2127,"dddd")&lt;&gt;I2127,"Mismatch","OK")</f>
        <v>OK</v>
      </c>
      <c r="Y2127" s="9" t="str">
        <f aca="false">IF(AND(N2127="No",O2127&lt;&gt;""),"Unexpected: channel present but no reminder sent",IF(AND(N2127="Yes",O2127=""),"Missing channel for sent reminder","OK"))</f>
        <v>OK</v>
      </c>
    </row>
    <row r="2128" customFormat="false" ht="15" hidden="false" customHeight="false" outlineLevel="0" collapsed="false">
      <c r="A2128" s="7" t="s">
        <v>3440</v>
      </c>
      <c r="B2128" s="7" t="s">
        <v>340</v>
      </c>
      <c r="C2128" s="7" t="s">
        <v>47</v>
      </c>
      <c r="D2128" s="7" t="n">
        <v>76</v>
      </c>
      <c r="E2128" s="7" t="s">
        <v>70</v>
      </c>
      <c r="F2128" s="7" t="s">
        <v>57</v>
      </c>
      <c r="G2128" s="8" t="n">
        <v>45772</v>
      </c>
      <c r="H2128" s="8" t="n">
        <v>45826</v>
      </c>
      <c r="I2128" s="7" t="s">
        <v>58</v>
      </c>
      <c r="J2128" s="7" t="s">
        <v>41</v>
      </c>
      <c r="K2128" s="7" t="n">
        <v>54</v>
      </c>
      <c r="L2128" s="7" t="n">
        <v>5</v>
      </c>
      <c r="M2128" s="7" t="n">
        <v>0</v>
      </c>
      <c r="N2128" s="7" t="s">
        <v>42</v>
      </c>
      <c r="O2128" s="7" t="s">
        <v>43</v>
      </c>
      <c r="P2128" s="7" t="n">
        <v>6.6</v>
      </c>
      <c r="Q2128" s="7" t="n">
        <v>18</v>
      </c>
      <c r="R2128" s="7" t="s">
        <v>87</v>
      </c>
      <c r="S2128" s="7"/>
      <c r="T2128" s="7"/>
      <c r="U2128" s="7" t="str">
        <f aca="false">IF(COUNTIF($A$2:$A$5001,A2128)&gt;1,"Duplicate","Unique")</f>
        <v>Unique</v>
      </c>
      <c r="V2128" s="7" t="str">
        <f aca="false">IF(COUNTIFS($B$2:$B$5001,B2128,$H$2:$H$5001,H2128,$J$2:$J$5001,J2128)&gt;1,"Possible Duplicate Booking","Unique")</f>
        <v>Unique</v>
      </c>
      <c r="W2128" s="7" t="str">
        <f aca="false">IF((H2128-G2128)&lt;&gt;K2128,"Mismatch","OK")</f>
        <v>OK</v>
      </c>
      <c r="X2128" s="7" t="str">
        <f aca="false">IF(TEXT(H2128,"dddd")&lt;&gt;I2128,"Mismatch","OK")</f>
        <v>OK</v>
      </c>
      <c r="Y2128" s="7" t="str">
        <f aca="false">IF(AND(N2128="No",O2128&lt;&gt;""),"Unexpected: channel present but no reminder sent",IF(AND(N2128="Yes",O2128=""),"Missing channel for sent reminder","OK"))</f>
        <v>OK</v>
      </c>
    </row>
    <row r="2129" customFormat="false" ht="15" hidden="false" customHeight="false" outlineLevel="0" collapsed="false">
      <c r="A2129" s="9" t="s">
        <v>3441</v>
      </c>
      <c r="B2129" s="9" t="s">
        <v>3442</v>
      </c>
      <c r="C2129" s="9" t="s">
        <v>47</v>
      </c>
      <c r="D2129" s="9" t="n">
        <v>43</v>
      </c>
      <c r="E2129" s="9" t="s">
        <v>38</v>
      </c>
      <c r="F2129" s="9" t="s">
        <v>57</v>
      </c>
      <c r="G2129" s="10" t="n">
        <v>45988</v>
      </c>
      <c r="H2129" s="10" t="n">
        <v>45999</v>
      </c>
      <c r="I2129" s="9" t="s">
        <v>66</v>
      </c>
      <c r="J2129" s="9" t="s">
        <v>41</v>
      </c>
      <c r="K2129" s="9" t="n">
        <v>11</v>
      </c>
      <c r="L2129" s="9" t="n">
        <v>6</v>
      </c>
      <c r="M2129" s="9" t="n">
        <v>3</v>
      </c>
      <c r="N2129" s="9" t="s">
        <v>42</v>
      </c>
      <c r="O2129" s="9" t="s">
        <v>43</v>
      </c>
      <c r="P2129" s="9" t="n">
        <v>29.6</v>
      </c>
      <c r="Q2129" s="9" t="n">
        <v>23</v>
      </c>
      <c r="R2129" s="9" t="s">
        <v>44</v>
      </c>
      <c r="S2129" s="9"/>
      <c r="T2129" s="9"/>
      <c r="U2129" s="9" t="str">
        <f aca="false">IF(COUNTIF($A$2:$A$5001,A2129)&gt;1,"Duplicate","Unique")</f>
        <v>Unique</v>
      </c>
      <c r="V2129" s="9" t="str">
        <f aca="false">IF(COUNTIFS($B$2:$B$5001,B2129,$H$2:$H$5001,H2129,$J$2:$J$5001,J2129)&gt;1,"Possible Duplicate Booking","Unique")</f>
        <v>Unique</v>
      </c>
      <c r="W2129" s="9" t="str">
        <f aca="false">IF((H2129-G2129)&lt;&gt;K2129,"Mismatch","OK")</f>
        <v>OK</v>
      </c>
      <c r="X2129" s="9" t="str">
        <f aca="false">IF(TEXT(H2129,"dddd")&lt;&gt;I2129,"Mismatch","OK")</f>
        <v>OK</v>
      </c>
      <c r="Y2129" s="9" t="str">
        <f aca="false">IF(AND(N2129="No",O2129&lt;&gt;""),"Unexpected: channel present but no reminder sent",IF(AND(N2129="Yes",O2129=""),"Missing channel for sent reminder","OK"))</f>
        <v>OK</v>
      </c>
    </row>
    <row r="2130" customFormat="false" ht="15" hidden="false" customHeight="false" outlineLevel="0" collapsed="false">
      <c r="A2130" s="7" t="s">
        <v>3443</v>
      </c>
      <c r="B2130" s="7" t="s">
        <v>1206</v>
      </c>
      <c r="C2130" s="7" t="s">
        <v>37</v>
      </c>
      <c r="D2130" s="7" t="n">
        <v>70</v>
      </c>
      <c r="E2130" s="7" t="s">
        <v>70</v>
      </c>
      <c r="F2130" s="7" t="s">
        <v>74</v>
      </c>
      <c r="G2130" s="8" t="n">
        <v>45676</v>
      </c>
      <c r="H2130" s="8" t="n">
        <v>45693</v>
      </c>
      <c r="I2130" s="7" t="s">
        <v>58</v>
      </c>
      <c r="J2130" s="7" t="s">
        <v>41</v>
      </c>
      <c r="K2130" s="7" t="n">
        <v>17</v>
      </c>
      <c r="L2130" s="7" t="n">
        <v>0</v>
      </c>
      <c r="M2130" s="7" t="n">
        <v>0</v>
      </c>
      <c r="N2130" s="7" t="s">
        <v>71</v>
      </c>
      <c r="O2130" s="7"/>
      <c r="P2130" s="7" t="n">
        <v>12</v>
      </c>
      <c r="Q2130" s="7" t="n">
        <v>40</v>
      </c>
      <c r="R2130" s="7" t="s">
        <v>44</v>
      </c>
      <c r="S2130" s="7"/>
      <c r="T2130" s="7"/>
      <c r="U2130" s="7" t="str">
        <f aca="false">IF(COUNTIF($A$2:$A$5001,A2130)&gt;1,"Duplicate","Unique")</f>
        <v>Unique</v>
      </c>
      <c r="V2130" s="7" t="str">
        <f aca="false">IF(COUNTIFS($B$2:$B$5001,B2130,$H$2:$H$5001,H2130,$J$2:$J$5001,J2130)&gt;1,"Possible Duplicate Booking","Unique")</f>
        <v>Unique</v>
      </c>
      <c r="W2130" s="7" t="str">
        <f aca="false">IF((H2130-G2130)&lt;&gt;K2130,"Mismatch","OK")</f>
        <v>OK</v>
      </c>
      <c r="X2130" s="7" t="str">
        <f aca="false">IF(TEXT(H2130,"dddd")&lt;&gt;I2130,"Mismatch","OK")</f>
        <v>OK</v>
      </c>
      <c r="Y2130" s="7" t="str">
        <f aca="false">IF(AND(N2130="No",O2130&lt;&gt;""),"Unexpected: channel present but no reminder sent",IF(AND(N2130="Yes",O2130=""),"Missing channel for sent reminder","OK"))</f>
        <v>OK</v>
      </c>
    </row>
    <row r="2131" customFormat="false" ht="15" hidden="false" customHeight="false" outlineLevel="0" collapsed="false">
      <c r="A2131" s="9" t="s">
        <v>3444</v>
      </c>
      <c r="B2131" s="9" t="s">
        <v>1129</v>
      </c>
      <c r="C2131" s="9" t="s">
        <v>47</v>
      </c>
      <c r="D2131" s="9" t="n">
        <v>38</v>
      </c>
      <c r="E2131" s="9" t="s">
        <v>38</v>
      </c>
      <c r="F2131" s="9" t="s">
        <v>39</v>
      </c>
      <c r="G2131" s="10" t="n">
        <v>45773</v>
      </c>
      <c r="H2131" s="10" t="n">
        <v>45832</v>
      </c>
      <c r="I2131" s="9" t="s">
        <v>40</v>
      </c>
      <c r="J2131" s="9" t="s">
        <v>41</v>
      </c>
      <c r="K2131" s="9" t="n">
        <v>59</v>
      </c>
      <c r="L2131" s="9" t="n">
        <v>1</v>
      </c>
      <c r="M2131" s="9" t="n">
        <v>0</v>
      </c>
      <c r="N2131" s="9" t="s">
        <v>42</v>
      </c>
      <c r="O2131" s="9" t="s">
        <v>43</v>
      </c>
      <c r="P2131" s="9" t="n">
        <v>10.1</v>
      </c>
      <c r="Q2131" s="9" t="n">
        <v>56</v>
      </c>
      <c r="R2131" s="9" t="s">
        <v>44</v>
      </c>
      <c r="S2131" s="9"/>
      <c r="T2131" s="9"/>
      <c r="U2131" s="9" t="str">
        <f aca="false">IF(COUNTIF($A$2:$A$5001,A2131)&gt;1,"Duplicate","Unique")</f>
        <v>Unique</v>
      </c>
      <c r="V2131" s="9" t="str">
        <f aca="false">IF(COUNTIFS($B$2:$B$5001,B2131,$H$2:$H$5001,H2131,$J$2:$J$5001,J2131)&gt;1,"Possible Duplicate Booking","Unique")</f>
        <v>Unique</v>
      </c>
      <c r="W2131" s="9" t="str">
        <f aca="false">IF((H2131-G2131)&lt;&gt;K2131,"Mismatch","OK")</f>
        <v>OK</v>
      </c>
      <c r="X2131" s="9" t="str">
        <f aca="false">IF(TEXT(H2131,"dddd")&lt;&gt;I2131,"Mismatch","OK")</f>
        <v>OK</v>
      </c>
      <c r="Y2131" s="9" t="str">
        <f aca="false">IF(AND(N2131="No",O2131&lt;&gt;""),"Unexpected: channel present but no reminder sent",IF(AND(N2131="Yes",O2131=""),"Missing channel for sent reminder","OK"))</f>
        <v>OK</v>
      </c>
    </row>
    <row r="2132" customFormat="false" ht="15" hidden="false" customHeight="false" outlineLevel="0" collapsed="false">
      <c r="A2132" s="7" t="s">
        <v>3445</v>
      </c>
      <c r="B2132" s="7" t="s">
        <v>3446</v>
      </c>
      <c r="C2132" s="7" t="s">
        <v>47</v>
      </c>
      <c r="D2132" s="7" t="n">
        <v>78</v>
      </c>
      <c r="E2132" s="7" t="s">
        <v>70</v>
      </c>
      <c r="F2132" s="7" t="s">
        <v>49</v>
      </c>
      <c r="G2132" s="8" t="n">
        <v>46031</v>
      </c>
      <c r="H2132" s="8" t="n">
        <v>46050</v>
      </c>
      <c r="I2132" s="7" t="s">
        <v>58</v>
      </c>
      <c r="J2132" s="7" t="s">
        <v>51</v>
      </c>
      <c r="K2132" s="7" t="n">
        <v>19</v>
      </c>
      <c r="L2132" s="7" t="n">
        <v>1</v>
      </c>
      <c r="M2132" s="7" t="n">
        <v>0</v>
      </c>
      <c r="N2132" s="7" t="s">
        <v>42</v>
      </c>
      <c r="O2132" s="7" t="s">
        <v>52</v>
      </c>
      <c r="P2132" s="7" t="n">
        <v>7.2</v>
      </c>
      <c r="Q2132" s="7" t="n">
        <v>29</v>
      </c>
      <c r="R2132" s="7" t="s">
        <v>53</v>
      </c>
      <c r="S2132" s="7"/>
      <c r="T2132" s="7"/>
      <c r="U2132" s="7" t="str">
        <f aca="false">IF(COUNTIF($A$2:$A$5001,A2132)&gt;1,"Duplicate","Unique")</f>
        <v>Unique</v>
      </c>
      <c r="V2132" s="7" t="str">
        <f aca="false">IF(COUNTIFS($B$2:$B$5001,B2132,$H$2:$H$5001,H2132,$J$2:$J$5001,J2132)&gt;1,"Possible Duplicate Booking","Unique")</f>
        <v>Unique</v>
      </c>
      <c r="W2132" s="7" t="str">
        <f aca="false">IF((H2132-G2132)&lt;&gt;K2132,"Mismatch","OK")</f>
        <v>OK</v>
      </c>
      <c r="X2132" s="7" t="str">
        <f aca="false">IF(TEXT(H2132,"dddd")&lt;&gt;I2132,"Mismatch","OK")</f>
        <v>OK</v>
      </c>
      <c r="Y2132" s="7" t="str">
        <f aca="false">IF(AND(N2132="No",O2132&lt;&gt;""),"Unexpected: channel present but no reminder sent",IF(AND(N2132="Yes",O2132=""),"Missing channel for sent reminder","OK"))</f>
        <v>OK</v>
      </c>
    </row>
    <row r="2133" customFormat="false" ht="15" hidden="false" customHeight="false" outlineLevel="0" collapsed="false">
      <c r="A2133" s="9" t="s">
        <v>3447</v>
      </c>
      <c r="B2133" s="9" t="s">
        <v>2666</v>
      </c>
      <c r="C2133" s="9" t="s">
        <v>47</v>
      </c>
      <c r="D2133" s="9" t="n">
        <v>72</v>
      </c>
      <c r="E2133" s="9" t="s">
        <v>70</v>
      </c>
      <c r="F2133" s="9" t="s">
        <v>74</v>
      </c>
      <c r="G2133" s="10" t="n">
        <v>46141</v>
      </c>
      <c r="H2133" s="10" t="n">
        <v>46190</v>
      </c>
      <c r="I2133" s="9" t="s">
        <v>58</v>
      </c>
      <c r="J2133" s="9" t="s">
        <v>51</v>
      </c>
      <c r="K2133" s="9" t="n">
        <v>49</v>
      </c>
      <c r="L2133" s="9" t="n">
        <v>1</v>
      </c>
      <c r="M2133" s="9" t="n">
        <v>0</v>
      </c>
      <c r="N2133" s="9" t="s">
        <v>42</v>
      </c>
      <c r="O2133" s="9" t="s">
        <v>52</v>
      </c>
      <c r="P2133" s="9" t="n">
        <v>20.7</v>
      </c>
      <c r="Q2133" s="9" t="n">
        <v>5</v>
      </c>
      <c r="R2133" s="9" t="s">
        <v>44</v>
      </c>
      <c r="S2133" s="9"/>
      <c r="T2133" s="9"/>
      <c r="U2133" s="9" t="str">
        <f aca="false">IF(COUNTIF($A$2:$A$5001,A2133)&gt;1,"Duplicate","Unique")</f>
        <v>Unique</v>
      </c>
      <c r="V2133" s="9" t="str">
        <f aca="false">IF(COUNTIFS($B$2:$B$5001,B2133,$H$2:$H$5001,H2133,$J$2:$J$5001,J2133)&gt;1,"Possible Duplicate Booking","Unique")</f>
        <v>Unique</v>
      </c>
      <c r="W2133" s="9" t="str">
        <f aca="false">IF((H2133-G2133)&lt;&gt;K2133,"Mismatch","OK")</f>
        <v>OK</v>
      </c>
      <c r="X2133" s="9" t="str">
        <f aca="false">IF(TEXT(H2133,"dddd")&lt;&gt;I2133,"Mismatch","OK")</f>
        <v>OK</v>
      </c>
      <c r="Y2133" s="9" t="str">
        <f aca="false">IF(AND(N2133="No",O2133&lt;&gt;""),"Unexpected: channel present but no reminder sent",IF(AND(N2133="Yes",O2133=""),"Missing channel for sent reminder","OK"))</f>
        <v>OK</v>
      </c>
    </row>
    <row r="2134" customFormat="false" ht="15" hidden="false" customHeight="false" outlineLevel="0" collapsed="false">
      <c r="A2134" s="7" t="s">
        <v>3448</v>
      </c>
      <c r="B2134" s="7" t="s">
        <v>3115</v>
      </c>
      <c r="C2134" s="7" t="s">
        <v>37</v>
      </c>
      <c r="D2134" s="7" t="n">
        <v>37</v>
      </c>
      <c r="E2134" s="7" t="s">
        <v>38</v>
      </c>
      <c r="F2134" s="7" t="s">
        <v>57</v>
      </c>
      <c r="G2134" s="8" t="n">
        <v>45894</v>
      </c>
      <c r="H2134" s="8" t="n">
        <v>45941</v>
      </c>
      <c r="I2134" s="7" t="s">
        <v>102</v>
      </c>
      <c r="J2134" s="7" t="s">
        <v>41</v>
      </c>
      <c r="K2134" s="7" t="n">
        <v>47</v>
      </c>
      <c r="L2134" s="7" t="n">
        <v>3</v>
      </c>
      <c r="M2134" s="7" t="n">
        <v>0</v>
      </c>
      <c r="N2134" s="7" t="s">
        <v>42</v>
      </c>
      <c r="O2134" s="7" t="s">
        <v>52</v>
      </c>
      <c r="P2134" s="7" t="n">
        <v>3.6</v>
      </c>
      <c r="Q2134" s="7" t="n">
        <v>21</v>
      </c>
      <c r="R2134" s="7" t="s">
        <v>53</v>
      </c>
      <c r="S2134" s="7"/>
      <c r="T2134" s="7"/>
      <c r="U2134" s="7" t="str">
        <f aca="false">IF(COUNTIF($A$2:$A$5001,A2134)&gt;1,"Duplicate","Unique")</f>
        <v>Unique</v>
      </c>
      <c r="V2134" s="7" t="str">
        <f aca="false">IF(COUNTIFS($B$2:$B$5001,B2134,$H$2:$H$5001,H2134,$J$2:$J$5001,J2134)&gt;1,"Possible Duplicate Booking","Unique")</f>
        <v>Unique</v>
      </c>
      <c r="W2134" s="7" t="str">
        <f aca="false">IF((H2134-G2134)&lt;&gt;K2134,"Mismatch","OK")</f>
        <v>OK</v>
      </c>
      <c r="X2134" s="7" t="str">
        <f aca="false">IF(TEXT(H2134,"dddd")&lt;&gt;I2134,"Mismatch","OK")</f>
        <v>OK</v>
      </c>
      <c r="Y2134" s="7" t="str">
        <f aca="false">IF(AND(N2134="No",O2134&lt;&gt;""),"Unexpected: channel present but no reminder sent",IF(AND(N2134="Yes",O2134=""),"Missing channel for sent reminder","OK"))</f>
        <v>OK</v>
      </c>
    </row>
    <row r="2135" customFormat="false" ht="15" hidden="false" customHeight="false" outlineLevel="0" collapsed="false">
      <c r="A2135" s="9" t="s">
        <v>3449</v>
      </c>
      <c r="B2135" s="9" t="s">
        <v>514</v>
      </c>
      <c r="C2135" s="9" t="s">
        <v>37</v>
      </c>
      <c r="D2135" s="9" t="n">
        <v>48</v>
      </c>
      <c r="E2135" s="9" t="s">
        <v>56</v>
      </c>
      <c r="F2135" s="9" t="s">
        <v>57</v>
      </c>
      <c r="G2135" s="10" t="n">
        <v>45824</v>
      </c>
      <c r="H2135" s="10" t="n">
        <v>45876</v>
      </c>
      <c r="I2135" s="9" t="s">
        <v>62</v>
      </c>
      <c r="J2135" s="9" t="s">
        <v>41</v>
      </c>
      <c r="K2135" s="9" t="n">
        <v>52</v>
      </c>
      <c r="L2135" s="9" t="n">
        <v>3</v>
      </c>
      <c r="M2135" s="9" t="n">
        <v>0</v>
      </c>
      <c r="N2135" s="9" t="s">
        <v>42</v>
      </c>
      <c r="O2135" s="9" t="s">
        <v>43</v>
      </c>
      <c r="P2135" s="9" t="n">
        <v>13.3</v>
      </c>
      <c r="Q2135" s="9" t="n">
        <v>43</v>
      </c>
      <c r="R2135" s="9" t="s">
        <v>53</v>
      </c>
      <c r="S2135" s="9"/>
      <c r="T2135" s="9"/>
      <c r="U2135" s="9" t="str">
        <f aca="false">IF(COUNTIF($A$2:$A$5001,A2135)&gt;1,"Duplicate","Unique")</f>
        <v>Unique</v>
      </c>
      <c r="V2135" s="9" t="str">
        <f aca="false">IF(COUNTIFS($B$2:$B$5001,B2135,$H$2:$H$5001,H2135,$J$2:$J$5001,J2135)&gt;1,"Possible Duplicate Booking","Unique")</f>
        <v>Unique</v>
      </c>
      <c r="W2135" s="9" t="str">
        <f aca="false">IF((H2135-G2135)&lt;&gt;K2135,"Mismatch","OK")</f>
        <v>OK</v>
      </c>
      <c r="X2135" s="9" t="str">
        <f aca="false">IF(TEXT(H2135,"dddd")&lt;&gt;I2135,"Mismatch","OK")</f>
        <v>OK</v>
      </c>
      <c r="Y2135" s="9" t="str">
        <f aca="false">IF(AND(N2135="No",O2135&lt;&gt;""),"Unexpected: channel present but no reminder sent",IF(AND(N2135="Yes",O2135=""),"Missing channel for sent reminder","OK"))</f>
        <v>OK</v>
      </c>
    </row>
    <row r="2136" customFormat="false" ht="15" hidden="false" customHeight="false" outlineLevel="0" collapsed="false">
      <c r="A2136" s="7" t="s">
        <v>3450</v>
      </c>
      <c r="B2136" s="7" t="s">
        <v>320</v>
      </c>
      <c r="C2136" s="7" t="s">
        <v>47</v>
      </c>
      <c r="D2136" s="7" t="n">
        <v>68</v>
      </c>
      <c r="E2136" s="7" t="s">
        <v>70</v>
      </c>
      <c r="F2136" s="7" t="s">
        <v>39</v>
      </c>
      <c r="G2136" s="8" t="n">
        <v>45898</v>
      </c>
      <c r="H2136" s="8" t="n">
        <v>45898</v>
      </c>
      <c r="I2136" s="7" t="s">
        <v>50</v>
      </c>
      <c r="J2136" s="7" t="s">
        <v>51</v>
      </c>
      <c r="K2136" s="7" t="n">
        <v>0</v>
      </c>
      <c r="L2136" s="7" t="n">
        <v>4</v>
      </c>
      <c r="M2136" s="7" t="n">
        <v>1</v>
      </c>
      <c r="N2136" s="7" t="s">
        <v>71</v>
      </c>
      <c r="O2136" s="7"/>
      <c r="P2136" s="7" t="n">
        <v>21.4</v>
      </c>
      <c r="Q2136" s="7" t="n">
        <v>21</v>
      </c>
      <c r="R2136" s="7" t="s">
        <v>87</v>
      </c>
      <c r="S2136" s="7"/>
      <c r="T2136" s="7"/>
      <c r="U2136" s="7" t="str">
        <f aca="false">IF(COUNTIF($A$2:$A$5001,A2136)&gt;1,"Duplicate","Unique")</f>
        <v>Unique</v>
      </c>
      <c r="V2136" s="7" t="str">
        <f aca="false">IF(COUNTIFS($B$2:$B$5001,B2136,$H$2:$H$5001,H2136,$J$2:$J$5001,J2136)&gt;1,"Possible Duplicate Booking","Unique")</f>
        <v>Unique</v>
      </c>
      <c r="W2136" s="7" t="str">
        <f aca="false">IF((H2136-G2136)&lt;&gt;K2136,"Mismatch","OK")</f>
        <v>OK</v>
      </c>
      <c r="X2136" s="7" t="str">
        <f aca="false">IF(TEXT(H2136,"dddd")&lt;&gt;I2136,"Mismatch","OK")</f>
        <v>OK</v>
      </c>
      <c r="Y2136" s="7" t="str">
        <f aca="false">IF(AND(N2136="No",O2136&lt;&gt;""),"Unexpected: channel present but no reminder sent",IF(AND(N2136="Yes",O2136=""),"Missing channel for sent reminder","OK"))</f>
        <v>OK</v>
      </c>
    </row>
    <row r="2137" customFormat="false" ht="15" hidden="false" customHeight="false" outlineLevel="0" collapsed="false">
      <c r="A2137" s="9" t="s">
        <v>3451</v>
      </c>
      <c r="B2137" s="9" t="s">
        <v>3452</v>
      </c>
      <c r="C2137" s="9" t="s">
        <v>47</v>
      </c>
      <c r="D2137" s="9" t="n">
        <v>32</v>
      </c>
      <c r="E2137" s="9" t="s">
        <v>48</v>
      </c>
      <c r="F2137" s="9" t="s">
        <v>57</v>
      </c>
      <c r="G2137" s="10" t="n">
        <v>46003</v>
      </c>
      <c r="H2137" s="10" t="n">
        <v>46032</v>
      </c>
      <c r="I2137" s="9" t="s">
        <v>102</v>
      </c>
      <c r="J2137" s="9" t="s">
        <v>41</v>
      </c>
      <c r="K2137" s="9" t="n">
        <v>29</v>
      </c>
      <c r="L2137" s="9" t="n">
        <v>2</v>
      </c>
      <c r="M2137" s="9" t="n">
        <v>1</v>
      </c>
      <c r="N2137" s="9" t="s">
        <v>71</v>
      </c>
      <c r="O2137" s="9"/>
      <c r="P2137" s="9" t="n">
        <v>15</v>
      </c>
      <c r="Q2137" s="9" t="n">
        <v>33</v>
      </c>
      <c r="R2137" s="9" t="s">
        <v>44</v>
      </c>
      <c r="S2137" s="9"/>
      <c r="T2137" s="9"/>
      <c r="U2137" s="9" t="str">
        <f aca="false">IF(COUNTIF($A$2:$A$5001,A2137)&gt;1,"Duplicate","Unique")</f>
        <v>Unique</v>
      </c>
      <c r="V2137" s="9" t="str">
        <f aca="false">IF(COUNTIFS($B$2:$B$5001,B2137,$H$2:$H$5001,H2137,$J$2:$J$5001,J2137)&gt;1,"Possible Duplicate Booking","Unique")</f>
        <v>Unique</v>
      </c>
      <c r="W2137" s="9" t="str">
        <f aca="false">IF((H2137-G2137)&lt;&gt;K2137,"Mismatch","OK")</f>
        <v>OK</v>
      </c>
      <c r="X2137" s="9" t="str">
        <f aca="false">IF(TEXT(H2137,"dddd")&lt;&gt;I2137,"Mismatch","OK")</f>
        <v>OK</v>
      </c>
      <c r="Y2137" s="9" t="str">
        <f aca="false">IF(AND(N2137="No",O2137&lt;&gt;""),"Unexpected: channel present but no reminder sent",IF(AND(N2137="Yes",O2137=""),"Missing channel for sent reminder","OK"))</f>
        <v>OK</v>
      </c>
    </row>
    <row r="2138" customFormat="false" ht="15" hidden="false" customHeight="false" outlineLevel="0" collapsed="false">
      <c r="A2138" s="7" t="s">
        <v>3453</v>
      </c>
      <c r="B2138" s="7" t="s">
        <v>1092</v>
      </c>
      <c r="C2138" s="7" t="s">
        <v>47</v>
      </c>
      <c r="D2138" s="7" t="n">
        <v>19</v>
      </c>
      <c r="E2138" s="7" t="s">
        <v>82</v>
      </c>
      <c r="F2138" s="7" t="s">
        <v>39</v>
      </c>
      <c r="G2138" s="8" t="n">
        <v>45921</v>
      </c>
      <c r="H2138" s="8" t="n">
        <v>45955</v>
      </c>
      <c r="I2138" s="7" t="s">
        <v>102</v>
      </c>
      <c r="J2138" s="7" t="s">
        <v>41</v>
      </c>
      <c r="K2138" s="7" t="n">
        <v>34</v>
      </c>
      <c r="L2138" s="7" t="n">
        <v>4</v>
      </c>
      <c r="M2138" s="7" t="n">
        <v>2</v>
      </c>
      <c r="N2138" s="7" t="s">
        <v>71</v>
      </c>
      <c r="O2138" s="7"/>
      <c r="P2138" s="7" t="n">
        <v>5.4</v>
      </c>
      <c r="Q2138" s="7" t="n">
        <v>33</v>
      </c>
      <c r="R2138" s="7" t="s">
        <v>87</v>
      </c>
      <c r="S2138" s="7"/>
      <c r="T2138" s="7"/>
      <c r="U2138" s="7" t="str">
        <f aca="false">IF(COUNTIF($A$2:$A$5001,A2138)&gt;1,"Duplicate","Unique")</f>
        <v>Unique</v>
      </c>
      <c r="V2138" s="7" t="str">
        <f aca="false">IF(COUNTIFS($B$2:$B$5001,B2138,$H$2:$H$5001,H2138,$J$2:$J$5001,J2138)&gt;1,"Possible Duplicate Booking","Unique")</f>
        <v>Unique</v>
      </c>
      <c r="W2138" s="7" t="str">
        <f aca="false">IF((H2138-G2138)&lt;&gt;K2138,"Mismatch","OK")</f>
        <v>OK</v>
      </c>
      <c r="X2138" s="7" t="str">
        <f aca="false">IF(TEXT(H2138,"dddd")&lt;&gt;I2138,"Mismatch","OK")</f>
        <v>OK</v>
      </c>
      <c r="Y2138" s="7" t="str">
        <f aca="false">IF(AND(N2138="No",O2138&lt;&gt;""),"Unexpected: channel present but no reminder sent",IF(AND(N2138="Yes",O2138=""),"Missing channel for sent reminder","OK"))</f>
        <v>OK</v>
      </c>
    </row>
    <row r="2139" customFormat="false" ht="15" hidden="false" customHeight="false" outlineLevel="0" collapsed="false">
      <c r="A2139" s="9" t="s">
        <v>3454</v>
      </c>
      <c r="B2139" s="9" t="s">
        <v>1111</v>
      </c>
      <c r="C2139" s="9" t="s">
        <v>47</v>
      </c>
      <c r="D2139" s="9" t="n">
        <v>36</v>
      </c>
      <c r="E2139" s="9" t="s">
        <v>38</v>
      </c>
      <c r="F2139" s="9" t="s">
        <v>49</v>
      </c>
      <c r="G2139" s="10" t="n">
        <v>45619</v>
      </c>
      <c r="H2139" s="10" t="n">
        <v>45670</v>
      </c>
      <c r="I2139" s="9" t="s">
        <v>66</v>
      </c>
      <c r="J2139" s="9" t="s">
        <v>41</v>
      </c>
      <c r="K2139" s="9" t="n">
        <v>51</v>
      </c>
      <c r="L2139" s="9" t="n">
        <v>4</v>
      </c>
      <c r="M2139" s="9" t="n">
        <v>0</v>
      </c>
      <c r="N2139" s="9" t="s">
        <v>42</v>
      </c>
      <c r="O2139" s="9" t="s">
        <v>43</v>
      </c>
      <c r="P2139" s="9" t="n">
        <v>3.3</v>
      </c>
      <c r="Q2139" s="9" t="n">
        <v>16</v>
      </c>
      <c r="R2139" s="9" t="s">
        <v>44</v>
      </c>
      <c r="S2139" s="9"/>
      <c r="T2139" s="9"/>
      <c r="U2139" s="9" t="str">
        <f aca="false">IF(COUNTIF($A$2:$A$5001,A2139)&gt;1,"Duplicate","Unique")</f>
        <v>Unique</v>
      </c>
      <c r="V2139" s="9" t="str">
        <f aca="false">IF(COUNTIFS($B$2:$B$5001,B2139,$H$2:$H$5001,H2139,$J$2:$J$5001,J2139)&gt;1,"Possible Duplicate Booking","Unique")</f>
        <v>Unique</v>
      </c>
      <c r="W2139" s="9" t="str">
        <f aca="false">IF((H2139-G2139)&lt;&gt;K2139,"Mismatch","OK")</f>
        <v>OK</v>
      </c>
      <c r="X2139" s="9" t="str">
        <f aca="false">IF(TEXT(H2139,"dddd")&lt;&gt;I2139,"Mismatch","OK")</f>
        <v>OK</v>
      </c>
      <c r="Y2139" s="9" t="str">
        <f aca="false">IF(AND(N2139="No",O2139&lt;&gt;""),"Unexpected: channel present but no reminder sent",IF(AND(N2139="Yes",O2139=""),"Missing channel for sent reminder","OK"))</f>
        <v>OK</v>
      </c>
    </row>
    <row r="2140" customFormat="false" ht="15" hidden="false" customHeight="false" outlineLevel="0" collapsed="false">
      <c r="A2140" s="7" t="s">
        <v>3455</v>
      </c>
      <c r="B2140" s="7" t="s">
        <v>3456</v>
      </c>
      <c r="C2140" s="7" t="s">
        <v>37</v>
      </c>
      <c r="D2140" s="7" t="n">
        <v>55</v>
      </c>
      <c r="E2140" s="7" t="s">
        <v>61</v>
      </c>
      <c r="F2140" s="7" t="s">
        <v>39</v>
      </c>
      <c r="G2140" s="8" t="n">
        <v>45939</v>
      </c>
      <c r="H2140" s="8" t="n">
        <v>45952</v>
      </c>
      <c r="I2140" s="7" t="s">
        <v>58</v>
      </c>
      <c r="J2140" s="7" t="s">
        <v>51</v>
      </c>
      <c r="K2140" s="7" t="n">
        <v>13</v>
      </c>
      <c r="L2140" s="7" t="n">
        <v>3</v>
      </c>
      <c r="M2140" s="7" t="n">
        <v>2</v>
      </c>
      <c r="N2140" s="7" t="s">
        <v>42</v>
      </c>
      <c r="O2140" s="7" t="s">
        <v>52</v>
      </c>
      <c r="P2140" s="7" t="n">
        <v>15.5</v>
      </c>
      <c r="Q2140" s="7" t="n">
        <v>45</v>
      </c>
      <c r="R2140" s="7" t="s">
        <v>44</v>
      </c>
      <c r="S2140" s="7"/>
      <c r="T2140" s="7"/>
      <c r="U2140" s="7" t="str">
        <f aca="false">IF(COUNTIF($A$2:$A$5001,A2140)&gt;1,"Duplicate","Unique")</f>
        <v>Unique</v>
      </c>
      <c r="V2140" s="7" t="str">
        <f aca="false">IF(COUNTIFS($B$2:$B$5001,B2140,$H$2:$H$5001,H2140,$J$2:$J$5001,J2140)&gt;1,"Possible Duplicate Booking","Unique")</f>
        <v>Unique</v>
      </c>
      <c r="W2140" s="7" t="str">
        <f aca="false">IF((H2140-G2140)&lt;&gt;K2140,"Mismatch","OK")</f>
        <v>OK</v>
      </c>
      <c r="X2140" s="7" t="str">
        <f aca="false">IF(TEXT(H2140,"dddd")&lt;&gt;I2140,"Mismatch","OK")</f>
        <v>OK</v>
      </c>
      <c r="Y2140" s="7" t="str">
        <f aca="false">IF(AND(N2140="No",O2140&lt;&gt;""),"Unexpected: channel present but no reminder sent",IF(AND(N2140="Yes",O2140=""),"Missing channel for sent reminder","OK"))</f>
        <v>OK</v>
      </c>
    </row>
    <row r="2141" customFormat="false" ht="15" hidden="false" customHeight="false" outlineLevel="0" collapsed="false">
      <c r="A2141" s="9" t="s">
        <v>3457</v>
      </c>
      <c r="B2141" s="9" t="s">
        <v>3403</v>
      </c>
      <c r="C2141" s="9" t="s">
        <v>47</v>
      </c>
      <c r="D2141" s="9" t="n">
        <v>26</v>
      </c>
      <c r="E2141" s="9" t="s">
        <v>48</v>
      </c>
      <c r="F2141" s="9" t="s">
        <v>57</v>
      </c>
      <c r="G2141" s="10" t="n">
        <v>45858</v>
      </c>
      <c r="H2141" s="10" t="n">
        <v>45876</v>
      </c>
      <c r="I2141" s="9" t="s">
        <v>62</v>
      </c>
      <c r="J2141" s="9" t="s">
        <v>63</v>
      </c>
      <c r="K2141" s="9" t="n">
        <v>18</v>
      </c>
      <c r="L2141" s="9" t="n">
        <v>3</v>
      </c>
      <c r="M2141" s="9" t="n">
        <v>1</v>
      </c>
      <c r="N2141" s="9" t="s">
        <v>42</v>
      </c>
      <c r="O2141" s="9" t="s">
        <v>52</v>
      </c>
      <c r="P2141" s="9" t="n">
        <v>13.5</v>
      </c>
      <c r="Q2141" s="9" t="n">
        <v>29</v>
      </c>
      <c r="R2141" s="9" t="s">
        <v>53</v>
      </c>
      <c r="S2141" s="9"/>
      <c r="T2141" s="9"/>
      <c r="U2141" s="9" t="str">
        <f aca="false">IF(COUNTIF($A$2:$A$5001,A2141)&gt;1,"Duplicate","Unique")</f>
        <v>Unique</v>
      </c>
      <c r="V2141" s="9" t="str">
        <f aca="false">IF(COUNTIFS($B$2:$B$5001,B2141,$H$2:$H$5001,H2141,$J$2:$J$5001,J2141)&gt;1,"Possible Duplicate Booking","Unique")</f>
        <v>Unique</v>
      </c>
      <c r="W2141" s="9" t="str">
        <f aca="false">IF((H2141-G2141)&lt;&gt;K2141,"Mismatch","OK")</f>
        <v>OK</v>
      </c>
      <c r="X2141" s="9" t="str">
        <f aca="false">IF(TEXT(H2141,"dddd")&lt;&gt;I2141,"Mismatch","OK")</f>
        <v>OK</v>
      </c>
      <c r="Y2141" s="9" t="str">
        <f aca="false">IF(AND(N2141="No",O2141&lt;&gt;""),"Unexpected: channel present but no reminder sent",IF(AND(N2141="Yes",O2141=""),"Missing channel for sent reminder","OK"))</f>
        <v>OK</v>
      </c>
    </row>
    <row r="2142" customFormat="false" ht="15" hidden="false" customHeight="false" outlineLevel="0" collapsed="false">
      <c r="A2142" s="7" t="s">
        <v>3458</v>
      </c>
      <c r="B2142" s="7" t="s">
        <v>229</v>
      </c>
      <c r="C2142" s="7" t="s">
        <v>37</v>
      </c>
      <c r="D2142" s="7" t="n">
        <v>39</v>
      </c>
      <c r="E2142" s="7" t="s">
        <v>38</v>
      </c>
      <c r="F2142" s="7" t="s">
        <v>49</v>
      </c>
      <c r="G2142" s="8" t="n">
        <v>46030</v>
      </c>
      <c r="H2142" s="8" t="n">
        <v>46040</v>
      </c>
      <c r="I2142" s="7" t="s">
        <v>75</v>
      </c>
      <c r="J2142" s="7" t="s">
        <v>41</v>
      </c>
      <c r="K2142" s="7" t="n">
        <v>10</v>
      </c>
      <c r="L2142" s="7" t="n">
        <v>6</v>
      </c>
      <c r="M2142" s="7" t="n">
        <v>1</v>
      </c>
      <c r="N2142" s="7" t="s">
        <v>42</v>
      </c>
      <c r="O2142" s="7" t="s">
        <v>52</v>
      </c>
      <c r="P2142" s="7" t="n">
        <v>17.3</v>
      </c>
      <c r="Q2142" s="7" t="n">
        <v>24</v>
      </c>
      <c r="R2142" s="7" t="s">
        <v>53</v>
      </c>
      <c r="S2142" s="7"/>
      <c r="T2142" s="7"/>
      <c r="U2142" s="7" t="str">
        <f aca="false">IF(COUNTIF($A$2:$A$5001,A2142)&gt;1,"Duplicate","Unique")</f>
        <v>Unique</v>
      </c>
      <c r="V2142" s="7" t="str">
        <f aca="false">IF(COUNTIFS($B$2:$B$5001,B2142,$H$2:$H$5001,H2142,$J$2:$J$5001,J2142)&gt;1,"Possible Duplicate Booking","Unique")</f>
        <v>Unique</v>
      </c>
      <c r="W2142" s="7" t="str">
        <f aca="false">IF((H2142-G2142)&lt;&gt;K2142,"Mismatch","OK")</f>
        <v>OK</v>
      </c>
      <c r="X2142" s="7" t="str">
        <f aca="false">IF(TEXT(H2142,"dddd")&lt;&gt;I2142,"Mismatch","OK")</f>
        <v>OK</v>
      </c>
      <c r="Y2142" s="7" t="str">
        <f aca="false">IF(AND(N2142="No",O2142&lt;&gt;""),"Unexpected: channel present but no reminder sent",IF(AND(N2142="Yes",O2142=""),"Missing channel for sent reminder","OK"))</f>
        <v>OK</v>
      </c>
    </row>
    <row r="2143" customFormat="false" ht="15" hidden="false" customHeight="false" outlineLevel="0" collapsed="false">
      <c r="A2143" s="9" t="s">
        <v>3459</v>
      </c>
      <c r="B2143" s="9" t="s">
        <v>3460</v>
      </c>
      <c r="C2143" s="9" t="s">
        <v>37</v>
      </c>
      <c r="D2143" s="9" t="n">
        <v>75</v>
      </c>
      <c r="E2143" s="9" t="s">
        <v>70</v>
      </c>
      <c r="F2143" s="9" t="s">
        <v>57</v>
      </c>
      <c r="G2143" s="10" t="n">
        <v>46089</v>
      </c>
      <c r="H2143" s="10" t="n">
        <v>46135</v>
      </c>
      <c r="I2143" s="9" t="s">
        <v>62</v>
      </c>
      <c r="J2143" s="9" t="s">
        <v>41</v>
      </c>
      <c r="K2143" s="9" t="n">
        <v>46</v>
      </c>
      <c r="L2143" s="9" t="n">
        <v>3</v>
      </c>
      <c r="M2143" s="9" t="n">
        <v>2</v>
      </c>
      <c r="N2143" s="9" t="s">
        <v>42</v>
      </c>
      <c r="O2143" s="9" t="s">
        <v>52</v>
      </c>
      <c r="P2143" s="9" t="n">
        <v>14.3</v>
      </c>
      <c r="Q2143" s="9" t="n">
        <v>22</v>
      </c>
      <c r="R2143" s="9" t="s">
        <v>44</v>
      </c>
      <c r="S2143" s="9"/>
      <c r="T2143" s="9"/>
      <c r="U2143" s="9" t="str">
        <f aca="false">IF(COUNTIF($A$2:$A$5001,A2143)&gt;1,"Duplicate","Unique")</f>
        <v>Unique</v>
      </c>
      <c r="V2143" s="9" t="str">
        <f aca="false">IF(COUNTIFS($B$2:$B$5001,B2143,$H$2:$H$5001,H2143,$J$2:$J$5001,J2143)&gt;1,"Possible Duplicate Booking","Unique")</f>
        <v>Unique</v>
      </c>
      <c r="W2143" s="9" t="str">
        <f aca="false">IF((H2143-G2143)&lt;&gt;K2143,"Mismatch","OK")</f>
        <v>OK</v>
      </c>
      <c r="X2143" s="9" t="str">
        <f aca="false">IF(TEXT(H2143,"dddd")&lt;&gt;I2143,"Mismatch","OK")</f>
        <v>OK</v>
      </c>
      <c r="Y2143" s="9" t="str">
        <f aca="false">IF(AND(N2143="No",O2143&lt;&gt;""),"Unexpected: channel present but no reminder sent",IF(AND(N2143="Yes",O2143=""),"Missing channel for sent reminder","OK"))</f>
        <v>OK</v>
      </c>
    </row>
    <row r="2144" customFormat="false" ht="15" hidden="false" customHeight="false" outlineLevel="0" collapsed="false">
      <c r="A2144" s="7" t="s">
        <v>3461</v>
      </c>
      <c r="B2144" s="7" t="s">
        <v>1760</v>
      </c>
      <c r="C2144" s="7" t="s">
        <v>37</v>
      </c>
      <c r="D2144" s="7" t="n">
        <v>22</v>
      </c>
      <c r="E2144" s="7" t="s">
        <v>82</v>
      </c>
      <c r="F2144" s="7" t="s">
        <v>74</v>
      </c>
      <c r="G2144" s="8" t="n">
        <v>46123</v>
      </c>
      <c r="H2144" s="8" t="n">
        <v>46183</v>
      </c>
      <c r="I2144" s="7" t="s">
        <v>58</v>
      </c>
      <c r="J2144" s="7" t="s">
        <v>41</v>
      </c>
      <c r="K2144" s="7" t="n">
        <v>60</v>
      </c>
      <c r="L2144" s="7" t="n">
        <v>5</v>
      </c>
      <c r="M2144" s="7" t="n">
        <v>3</v>
      </c>
      <c r="N2144" s="7" t="s">
        <v>71</v>
      </c>
      <c r="O2144" s="7"/>
      <c r="P2144" s="7" t="n">
        <v>18.2</v>
      </c>
      <c r="Q2144" s="7" t="n">
        <v>11</v>
      </c>
      <c r="R2144" s="7" t="s">
        <v>44</v>
      </c>
      <c r="S2144" s="7"/>
      <c r="T2144" s="7"/>
      <c r="U2144" s="7" t="str">
        <f aca="false">IF(COUNTIF($A$2:$A$5001,A2144)&gt;1,"Duplicate","Unique")</f>
        <v>Unique</v>
      </c>
      <c r="V2144" s="7" t="str">
        <f aca="false">IF(COUNTIFS($B$2:$B$5001,B2144,$H$2:$H$5001,H2144,$J$2:$J$5001,J2144)&gt;1,"Possible Duplicate Booking","Unique")</f>
        <v>Unique</v>
      </c>
      <c r="W2144" s="7" t="str">
        <f aca="false">IF((H2144-G2144)&lt;&gt;K2144,"Mismatch","OK")</f>
        <v>OK</v>
      </c>
      <c r="X2144" s="7" t="str">
        <f aca="false">IF(TEXT(H2144,"dddd")&lt;&gt;I2144,"Mismatch","OK")</f>
        <v>OK</v>
      </c>
      <c r="Y2144" s="7" t="str">
        <f aca="false">IF(AND(N2144="No",O2144&lt;&gt;""),"Unexpected: channel present but no reminder sent",IF(AND(N2144="Yes",O2144=""),"Missing channel for sent reminder","OK"))</f>
        <v>OK</v>
      </c>
    </row>
    <row r="2145" customFormat="false" ht="15" hidden="false" customHeight="false" outlineLevel="0" collapsed="false">
      <c r="A2145" s="9" t="s">
        <v>3462</v>
      </c>
      <c r="B2145" s="9" t="s">
        <v>449</v>
      </c>
      <c r="C2145" s="9" t="s">
        <v>37</v>
      </c>
      <c r="D2145" s="9" t="n">
        <v>21</v>
      </c>
      <c r="E2145" s="9" t="s">
        <v>82</v>
      </c>
      <c r="F2145" s="9" t="s">
        <v>57</v>
      </c>
      <c r="G2145" s="10" t="n">
        <v>45983</v>
      </c>
      <c r="H2145" s="10" t="n">
        <v>45991</v>
      </c>
      <c r="I2145" s="9" t="s">
        <v>75</v>
      </c>
      <c r="J2145" s="9" t="s">
        <v>41</v>
      </c>
      <c r="K2145" s="9" t="n">
        <v>8</v>
      </c>
      <c r="L2145" s="9" t="n">
        <v>4</v>
      </c>
      <c r="M2145" s="9" t="n">
        <v>1</v>
      </c>
      <c r="N2145" s="9" t="s">
        <v>42</v>
      </c>
      <c r="O2145" s="9" t="s">
        <v>67</v>
      </c>
      <c r="P2145" s="9" t="n">
        <v>7.2</v>
      </c>
      <c r="Q2145" s="9" t="n">
        <v>15</v>
      </c>
      <c r="R2145" s="9" t="s">
        <v>44</v>
      </c>
      <c r="S2145" s="9"/>
      <c r="T2145" s="9"/>
      <c r="U2145" s="9" t="str">
        <f aca="false">IF(COUNTIF($A$2:$A$5001,A2145)&gt;1,"Duplicate","Unique")</f>
        <v>Unique</v>
      </c>
      <c r="V2145" s="9" t="str">
        <f aca="false">IF(COUNTIFS($B$2:$B$5001,B2145,$H$2:$H$5001,H2145,$J$2:$J$5001,J2145)&gt;1,"Possible Duplicate Booking","Unique")</f>
        <v>Unique</v>
      </c>
      <c r="W2145" s="9" t="str">
        <f aca="false">IF((H2145-G2145)&lt;&gt;K2145,"Mismatch","OK")</f>
        <v>OK</v>
      </c>
      <c r="X2145" s="9" t="str">
        <f aca="false">IF(TEXT(H2145,"dddd")&lt;&gt;I2145,"Mismatch","OK")</f>
        <v>OK</v>
      </c>
      <c r="Y2145" s="9" t="str">
        <f aca="false">IF(AND(N2145="No",O2145&lt;&gt;""),"Unexpected: channel present but no reminder sent",IF(AND(N2145="Yes",O2145=""),"Missing channel for sent reminder","OK"))</f>
        <v>OK</v>
      </c>
    </row>
    <row r="2146" customFormat="false" ht="15" hidden="false" customHeight="false" outlineLevel="0" collapsed="false">
      <c r="A2146" s="7" t="s">
        <v>3463</v>
      </c>
      <c r="B2146" s="7" t="s">
        <v>73</v>
      </c>
      <c r="C2146" s="7" t="s">
        <v>37</v>
      </c>
      <c r="D2146" s="7" t="n">
        <v>44</v>
      </c>
      <c r="E2146" s="7" t="s">
        <v>38</v>
      </c>
      <c r="F2146" s="7" t="s">
        <v>49</v>
      </c>
      <c r="G2146" s="8" t="n">
        <v>45841</v>
      </c>
      <c r="H2146" s="8" t="n">
        <v>45855</v>
      </c>
      <c r="I2146" s="7" t="s">
        <v>62</v>
      </c>
      <c r="J2146" s="7" t="s">
        <v>51</v>
      </c>
      <c r="K2146" s="7" t="n">
        <v>14</v>
      </c>
      <c r="L2146" s="7" t="n">
        <v>4</v>
      </c>
      <c r="M2146" s="7" t="n">
        <v>1</v>
      </c>
      <c r="N2146" s="7" t="s">
        <v>71</v>
      </c>
      <c r="O2146" s="7"/>
      <c r="P2146" s="7" t="n">
        <v>9.3</v>
      </c>
      <c r="Q2146" s="7" t="n">
        <v>13</v>
      </c>
      <c r="R2146" s="7" t="s">
        <v>53</v>
      </c>
      <c r="S2146" s="7"/>
      <c r="T2146" s="7"/>
      <c r="U2146" s="7" t="str">
        <f aca="false">IF(COUNTIF($A$2:$A$5001,A2146)&gt;1,"Duplicate","Unique")</f>
        <v>Unique</v>
      </c>
      <c r="V2146" s="7" t="str">
        <f aca="false">IF(COUNTIFS($B$2:$B$5001,B2146,$H$2:$H$5001,H2146,$J$2:$J$5001,J2146)&gt;1,"Possible Duplicate Booking","Unique")</f>
        <v>Unique</v>
      </c>
      <c r="W2146" s="7" t="str">
        <f aca="false">IF((H2146-G2146)&lt;&gt;K2146,"Mismatch","OK")</f>
        <v>OK</v>
      </c>
      <c r="X2146" s="7" t="str">
        <f aca="false">IF(TEXT(H2146,"dddd")&lt;&gt;I2146,"Mismatch","OK")</f>
        <v>OK</v>
      </c>
      <c r="Y2146" s="7" t="str">
        <f aca="false">IF(AND(N2146="No",O2146&lt;&gt;""),"Unexpected: channel present but no reminder sent",IF(AND(N2146="Yes",O2146=""),"Missing channel for sent reminder","OK"))</f>
        <v>OK</v>
      </c>
    </row>
    <row r="2147" customFormat="false" ht="15" hidden="false" customHeight="false" outlineLevel="0" collapsed="false">
      <c r="A2147" s="9" t="s">
        <v>3464</v>
      </c>
      <c r="B2147" s="9" t="s">
        <v>3465</v>
      </c>
      <c r="C2147" s="9" t="s">
        <v>47</v>
      </c>
      <c r="D2147" s="9" t="n">
        <v>18</v>
      </c>
      <c r="E2147" s="9" t="s">
        <v>82</v>
      </c>
      <c r="F2147" s="9" t="s">
        <v>39</v>
      </c>
      <c r="G2147" s="10" t="n">
        <v>45882</v>
      </c>
      <c r="H2147" s="10" t="n">
        <v>45900</v>
      </c>
      <c r="I2147" s="9" t="s">
        <v>75</v>
      </c>
      <c r="J2147" s="9" t="s">
        <v>63</v>
      </c>
      <c r="K2147" s="9" t="n">
        <v>18</v>
      </c>
      <c r="L2147" s="9" t="n">
        <v>3</v>
      </c>
      <c r="M2147" s="9" t="n">
        <v>1</v>
      </c>
      <c r="N2147" s="9" t="s">
        <v>71</v>
      </c>
      <c r="O2147" s="9"/>
      <c r="P2147" s="9" t="n">
        <v>3.8</v>
      </c>
      <c r="Q2147" s="9" t="n">
        <v>49</v>
      </c>
      <c r="R2147" s="9" t="s">
        <v>44</v>
      </c>
      <c r="S2147" s="9"/>
      <c r="T2147" s="9"/>
      <c r="U2147" s="9" t="str">
        <f aca="false">IF(COUNTIF($A$2:$A$5001,A2147)&gt;1,"Duplicate","Unique")</f>
        <v>Unique</v>
      </c>
      <c r="V2147" s="9" t="str">
        <f aca="false">IF(COUNTIFS($B$2:$B$5001,B2147,$H$2:$H$5001,H2147,$J$2:$J$5001,J2147)&gt;1,"Possible Duplicate Booking","Unique")</f>
        <v>Unique</v>
      </c>
      <c r="W2147" s="9" t="str">
        <f aca="false">IF((H2147-G2147)&lt;&gt;K2147,"Mismatch","OK")</f>
        <v>OK</v>
      </c>
      <c r="X2147" s="9" t="str">
        <f aca="false">IF(TEXT(H2147,"dddd")&lt;&gt;I2147,"Mismatch","OK")</f>
        <v>OK</v>
      </c>
      <c r="Y2147" s="9" t="str">
        <f aca="false">IF(AND(N2147="No",O2147&lt;&gt;""),"Unexpected: channel present but no reminder sent",IF(AND(N2147="Yes",O2147=""),"Missing channel for sent reminder","OK"))</f>
        <v>OK</v>
      </c>
    </row>
    <row r="2148" customFormat="false" ht="15" hidden="false" customHeight="false" outlineLevel="0" collapsed="false">
      <c r="A2148" s="7" t="s">
        <v>3466</v>
      </c>
      <c r="B2148" s="7" t="s">
        <v>2778</v>
      </c>
      <c r="C2148" s="7" t="s">
        <v>47</v>
      </c>
      <c r="D2148" s="7" t="n">
        <v>19</v>
      </c>
      <c r="E2148" s="7" t="s">
        <v>82</v>
      </c>
      <c r="F2148" s="7" t="s">
        <v>39</v>
      </c>
      <c r="G2148" s="8" t="n">
        <v>45700</v>
      </c>
      <c r="H2148" s="8" t="n">
        <v>45754</v>
      </c>
      <c r="I2148" s="7" t="s">
        <v>66</v>
      </c>
      <c r="J2148" s="7" t="s">
        <v>51</v>
      </c>
      <c r="K2148" s="7" t="n">
        <v>54</v>
      </c>
      <c r="L2148" s="7" t="n">
        <v>1</v>
      </c>
      <c r="M2148" s="7" t="n">
        <v>0</v>
      </c>
      <c r="N2148" s="7" t="s">
        <v>42</v>
      </c>
      <c r="O2148" s="7" t="s">
        <v>52</v>
      </c>
      <c r="P2148" s="7" t="n">
        <v>3.2</v>
      </c>
      <c r="Q2148" s="7" t="n">
        <v>35</v>
      </c>
      <c r="R2148" s="7" t="s">
        <v>53</v>
      </c>
      <c r="S2148" s="7"/>
      <c r="T2148" s="7"/>
      <c r="U2148" s="7" t="str">
        <f aca="false">IF(COUNTIF($A$2:$A$5001,A2148)&gt;1,"Duplicate","Unique")</f>
        <v>Unique</v>
      </c>
      <c r="V2148" s="7" t="str">
        <f aca="false">IF(COUNTIFS($B$2:$B$5001,B2148,$H$2:$H$5001,H2148,$J$2:$J$5001,J2148)&gt;1,"Possible Duplicate Booking","Unique")</f>
        <v>Unique</v>
      </c>
      <c r="W2148" s="7" t="str">
        <f aca="false">IF((H2148-G2148)&lt;&gt;K2148,"Mismatch","OK")</f>
        <v>OK</v>
      </c>
      <c r="X2148" s="7" t="str">
        <f aca="false">IF(TEXT(H2148,"dddd")&lt;&gt;I2148,"Mismatch","OK")</f>
        <v>OK</v>
      </c>
      <c r="Y2148" s="7" t="str">
        <f aca="false">IF(AND(N2148="No",O2148&lt;&gt;""),"Unexpected: channel present but no reminder sent",IF(AND(N2148="Yes",O2148=""),"Missing channel for sent reminder","OK"))</f>
        <v>OK</v>
      </c>
    </row>
    <row r="2149" customFormat="false" ht="15" hidden="false" customHeight="false" outlineLevel="0" collapsed="false">
      <c r="A2149" s="9" t="s">
        <v>3467</v>
      </c>
      <c r="B2149" s="9" t="s">
        <v>1552</v>
      </c>
      <c r="C2149" s="9" t="s">
        <v>37</v>
      </c>
      <c r="D2149" s="9" t="n">
        <v>29</v>
      </c>
      <c r="E2149" s="9" t="s">
        <v>48</v>
      </c>
      <c r="F2149" s="9" t="s">
        <v>39</v>
      </c>
      <c r="G2149" s="10" t="n">
        <v>46142</v>
      </c>
      <c r="H2149" s="10" t="n">
        <v>46169</v>
      </c>
      <c r="I2149" s="9" t="s">
        <v>58</v>
      </c>
      <c r="J2149" s="9" t="s">
        <v>41</v>
      </c>
      <c r="K2149" s="9" t="n">
        <v>27</v>
      </c>
      <c r="L2149" s="9" t="n">
        <v>4</v>
      </c>
      <c r="M2149" s="9" t="n">
        <v>0</v>
      </c>
      <c r="N2149" s="9" t="s">
        <v>42</v>
      </c>
      <c r="O2149" s="9" t="s">
        <v>52</v>
      </c>
      <c r="P2149" s="9" t="n">
        <v>11.3</v>
      </c>
      <c r="Q2149" s="9" t="n">
        <v>13</v>
      </c>
      <c r="R2149" s="9" t="s">
        <v>87</v>
      </c>
      <c r="S2149" s="9"/>
      <c r="T2149" s="9"/>
      <c r="U2149" s="9" t="str">
        <f aca="false">IF(COUNTIF($A$2:$A$5001,A2149)&gt;1,"Duplicate","Unique")</f>
        <v>Unique</v>
      </c>
      <c r="V2149" s="9" t="str">
        <f aca="false">IF(COUNTIFS($B$2:$B$5001,B2149,$H$2:$H$5001,H2149,$J$2:$J$5001,J2149)&gt;1,"Possible Duplicate Booking","Unique")</f>
        <v>Unique</v>
      </c>
      <c r="W2149" s="9" t="str">
        <f aca="false">IF((H2149-G2149)&lt;&gt;K2149,"Mismatch","OK")</f>
        <v>OK</v>
      </c>
      <c r="X2149" s="9" t="str">
        <f aca="false">IF(TEXT(H2149,"dddd")&lt;&gt;I2149,"Mismatch","OK")</f>
        <v>OK</v>
      </c>
      <c r="Y2149" s="9" t="str">
        <f aca="false">IF(AND(N2149="No",O2149&lt;&gt;""),"Unexpected: channel present but no reminder sent",IF(AND(N2149="Yes",O2149=""),"Missing channel for sent reminder","OK"))</f>
        <v>OK</v>
      </c>
    </row>
    <row r="2150" customFormat="false" ht="15" hidden="false" customHeight="false" outlineLevel="0" collapsed="false">
      <c r="A2150" s="7" t="s">
        <v>3468</v>
      </c>
      <c r="B2150" s="7" t="s">
        <v>3469</v>
      </c>
      <c r="C2150" s="7" t="s">
        <v>37</v>
      </c>
      <c r="D2150" s="7" t="n">
        <v>24</v>
      </c>
      <c r="E2150" s="7" t="s">
        <v>82</v>
      </c>
      <c r="F2150" s="7" t="s">
        <v>57</v>
      </c>
      <c r="G2150" s="8" t="n">
        <v>46103</v>
      </c>
      <c r="H2150" s="8" t="n">
        <v>46120</v>
      </c>
      <c r="I2150" s="7" t="s">
        <v>58</v>
      </c>
      <c r="J2150" s="7" t="s">
        <v>63</v>
      </c>
      <c r="K2150" s="7" t="n">
        <v>17</v>
      </c>
      <c r="L2150" s="7" t="n">
        <v>2</v>
      </c>
      <c r="M2150" s="7" t="n">
        <v>0</v>
      </c>
      <c r="N2150" s="7" t="s">
        <v>71</v>
      </c>
      <c r="O2150" s="7"/>
      <c r="P2150" s="7" t="n">
        <v>5.9</v>
      </c>
      <c r="Q2150" s="7" t="n">
        <v>44</v>
      </c>
      <c r="R2150" s="7" t="s">
        <v>44</v>
      </c>
      <c r="S2150" s="7"/>
      <c r="T2150" s="7"/>
      <c r="U2150" s="7" t="str">
        <f aca="false">IF(COUNTIF($A$2:$A$5001,A2150)&gt;1,"Duplicate","Unique")</f>
        <v>Unique</v>
      </c>
      <c r="V2150" s="7" t="str">
        <f aca="false">IF(COUNTIFS($B$2:$B$5001,B2150,$H$2:$H$5001,H2150,$J$2:$J$5001,J2150)&gt;1,"Possible Duplicate Booking","Unique")</f>
        <v>Unique</v>
      </c>
      <c r="W2150" s="7" t="str">
        <f aca="false">IF((H2150-G2150)&lt;&gt;K2150,"Mismatch","OK")</f>
        <v>OK</v>
      </c>
      <c r="X2150" s="7" t="str">
        <f aca="false">IF(TEXT(H2150,"dddd")&lt;&gt;I2150,"Mismatch","OK")</f>
        <v>OK</v>
      </c>
      <c r="Y2150" s="7" t="str">
        <f aca="false">IF(AND(N2150="No",O2150&lt;&gt;""),"Unexpected: channel present but no reminder sent",IF(AND(N2150="Yes",O2150=""),"Missing channel for sent reminder","OK"))</f>
        <v>OK</v>
      </c>
    </row>
    <row r="2151" customFormat="false" ht="15" hidden="false" customHeight="false" outlineLevel="0" collapsed="false">
      <c r="A2151" s="9" t="s">
        <v>3470</v>
      </c>
      <c r="B2151" s="9" t="s">
        <v>3218</v>
      </c>
      <c r="C2151" s="9" t="s">
        <v>37</v>
      </c>
      <c r="D2151" s="9" t="n">
        <v>69</v>
      </c>
      <c r="E2151" s="9" t="s">
        <v>70</v>
      </c>
      <c r="F2151" s="9" t="s">
        <v>39</v>
      </c>
      <c r="G2151" s="10" t="n">
        <v>46105</v>
      </c>
      <c r="H2151" s="10" t="n">
        <v>46124</v>
      </c>
      <c r="I2151" s="9" t="s">
        <v>75</v>
      </c>
      <c r="J2151" s="9" t="s">
        <v>41</v>
      </c>
      <c r="K2151" s="9" t="n">
        <v>19</v>
      </c>
      <c r="L2151" s="9" t="n">
        <v>2</v>
      </c>
      <c r="M2151" s="9" t="n">
        <v>2</v>
      </c>
      <c r="N2151" s="9" t="s">
        <v>42</v>
      </c>
      <c r="O2151" s="9" t="s">
        <v>43</v>
      </c>
      <c r="P2151" s="9" t="n">
        <v>21.9</v>
      </c>
      <c r="Q2151" s="9" t="n">
        <v>39</v>
      </c>
      <c r="R2151" s="9" t="s">
        <v>53</v>
      </c>
      <c r="S2151" s="9"/>
      <c r="T2151" s="9"/>
      <c r="U2151" s="9" t="str">
        <f aca="false">IF(COUNTIF($A$2:$A$5001,A2151)&gt;1,"Duplicate","Unique")</f>
        <v>Unique</v>
      </c>
      <c r="V2151" s="9" t="str">
        <f aca="false">IF(COUNTIFS($B$2:$B$5001,B2151,$H$2:$H$5001,H2151,$J$2:$J$5001,J2151)&gt;1,"Possible Duplicate Booking","Unique")</f>
        <v>Unique</v>
      </c>
      <c r="W2151" s="9" t="str">
        <f aca="false">IF((H2151-G2151)&lt;&gt;K2151,"Mismatch","OK")</f>
        <v>OK</v>
      </c>
      <c r="X2151" s="9" t="str">
        <f aca="false">IF(TEXT(H2151,"dddd")&lt;&gt;I2151,"Mismatch","OK")</f>
        <v>OK</v>
      </c>
      <c r="Y2151" s="9" t="str">
        <f aca="false">IF(AND(N2151="No",O2151&lt;&gt;""),"Unexpected: channel present but no reminder sent",IF(AND(N2151="Yes",O2151=""),"Missing channel for sent reminder","OK"))</f>
        <v>OK</v>
      </c>
    </row>
    <row r="2152" customFormat="false" ht="15" hidden="false" customHeight="false" outlineLevel="0" collapsed="false">
      <c r="A2152" s="7" t="s">
        <v>3471</v>
      </c>
      <c r="B2152" s="7" t="s">
        <v>2381</v>
      </c>
      <c r="C2152" s="7" t="s">
        <v>37</v>
      </c>
      <c r="D2152" s="7" t="n">
        <v>25</v>
      </c>
      <c r="E2152" s="7" t="s">
        <v>48</v>
      </c>
      <c r="F2152" s="7" t="s">
        <v>49</v>
      </c>
      <c r="G2152" s="8" t="n">
        <v>45801</v>
      </c>
      <c r="H2152" s="8" t="n">
        <v>45837</v>
      </c>
      <c r="I2152" s="7" t="s">
        <v>75</v>
      </c>
      <c r="J2152" s="7" t="s">
        <v>41</v>
      </c>
      <c r="K2152" s="7" t="n">
        <v>36</v>
      </c>
      <c r="L2152" s="7" t="n">
        <v>1</v>
      </c>
      <c r="M2152" s="7" t="n">
        <v>0</v>
      </c>
      <c r="N2152" s="7" t="s">
        <v>42</v>
      </c>
      <c r="O2152" s="7" t="s">
        <v>52</v>
      </c>
      <c r="P2152" s="7" t="n">
        <v>13.4</v>
      </c>
      <c r="Q2152" s="7" t="n">
        <v>17</v>
      </c>
      <c r="R2152" s="7" t="s">
        <v>44</v>
      </c>
      <c r="S2152" s="7"/>
      <c r="T2152" s="7"/>
      <c r="U2152" s="7" t="str">
        <f aca="false">IF(COUNTIF($A$2:$A$5001,A2152)&gt;1,"Duplicate","Unique")</f>
        <v>Unique</v>
      </c>
      <c r="V2152" s="7" t="str">
        <f aca="false">IF(COUNTIFS($B$2:$B$5001,B2152,$H$2:$H$5001,H2152,$J$2:$J$5001,J2152)&gt;1,"Possible Duplicate Booking","Unique")</f>
        <v>Unique</v>
      </c>
      <c r="W2152" s="7" t="str">
        <f aca="false">IF((H2152-G2152)&lt;&gt;K2152,"Mismatch","OK")</f>
        <v>OK</v>
      </c>
      <c r="X2152" s="7" t="str">
        <f aca="false">IF(TEXT(H2152,"dddd")&lt;&gt;I2152,"Mismatch","OK")</f>
        <v>OK</v>
      </c>
      <c r="Y2152" s="7" t="str">
        <f aca="false">IF(AND(N2152="No",O2152&lt;&gt;""),"Unexpected: channel present but no reminder sent",IF(AND(N2152="Yes",O2152=""),"Missing channel for sent reminder","OK"))</f>
        <v>OK</v>
      </c>
    </row>
    <row r="2153" customFormat="false" ht="15" hidden="false" customHeight="false" outlineLevel="0" collapsed="false">
      <c r="A2153" s="9" t="s">
        <v>3472</v>
      </c>
      <c r="B2153" s="9" t="s">
        <v>385</v>
      </c>
      <c r="C2153" s="9" t="s">
        <v>37</v>
      </c>
      <c r="D2153" s="9" t="n">
        <v>50</v>
      </c>
      <c r="E2153" s="9" t="s">
        <v>56</v>
      </c>
      <c r="F2153" s="9" t="s">
        <v>49</v>
      </c>
      <c r="G2153" s="10" t="n">
        <v>45810</v>
      </c>
      <c r="H2153" s="10" t="n">
        <v>45833</v>
      </c>
      <c r="I2153" s="9" t="s">
        <v>58</v>
      </c>
      <c r="J2153" s="9" t="s">
        <v>51</v>
      </c>
      <c r="K2153" s="9" t="n">
        <v>23</v>
      </c>
      <c r="L2153" s="9" t="n">
        <v>3</v>
      </c>
      <c r="M2153" s="9" t="n">
        <v>0</v>
      </c>
      <c r="N2153" s="9" t="s">
        <v>42</v>
      </c>
      <c r="O2153" s="9" t="s">
        <v>52</v>
      </c>
      <c r="P2153" s="9" t="n">
        <v>9.8</v>
      </c>
      <c r="Q2153" s="9" t="n">
        <v>30</v>
      </c>
      <c r="R2153" s="9" t="s">
        <v>44</v>
      </c>
      <c r="S2153" s="9"/>
      <c r="T2153" s="9"/>
      <c r="U2153" s="9" t="str">
        <f aca="false">IF(COUNTIF($A$2:$A$5001,A2153)&gt;1,"Duplicate","Unique")</f>
        <v>Unique</v>
      </c>
      <c r="V2153" s="9" t="str">
        <f aca="false">IF(COUNTIFS($B$2:$B$5001,B2153,$H$2:$H$5001,H2153,$J$2:$J$5001,J2153)&gt;1,"Possible Duplicate Booking","Unique")</f>
        <v>Unique</v>
      </c>
      <c r="W2153" s="9" t="str">
        <f aca="false">IF((H2153-G2153)&lt;&gt;K2153,"Mismatch","OK")</f>
        <v>OK</v>
      </c>
      <c r="X2153" s="9" t="str">
        <f aca="false">IF(TEXT(H2153,"dddd")&lt;&gt;I2153,"Mismatch","OK")</f>
        <v>OK</v>
      </c>
      <c r="Y2153" s="9" t="str">
        <f aca="false">IF(AND(N2153="No",O2153&lt;&gt;""),"Unexpected: channel present but no reminder sent",IF(AND(N2153="Yes",O2153=""),"Missing channel for sent reminder","OK"))</f>
        <v>OK</v>
      </c>
    </row>
    <row r="2154" customFormat="false" ht="15" hidden="false" customHeight="false" outlineLevel="0" collapsed="false">
      <c r="A2154" s="7" t="s">
        <v>3473</v>
      </c>
      <c r="B2154" s="7" t="s">
        <v>1165</v>
      </c>
      <c r="C2154" s="7" t="s">
        <v>47</v>
      </c>
      <c r="D2154" s="7" t="n">
        <v>62</v>
      </c>
      <c r="E2154" s="7" t="s">
        <v>61</v>
      </c>
      <c r="F2154" s="7" t="s">
        <v>57</v>
      </c>
      <c r="G2154" s="8" t="n">
        <v>46117</v>
      </c>
      <c r="H2154" s="8" t="n">
        <v>46125</v>
      </c>
      <c r="I2154" s="7" t="s">
        <v>66</v>
      </c>
      <c r="J2154" s="7" t="s">
        <v>51</v>
      </c>
      <c r="K2154" s="7" t="n">
        <v>8</v>
      </c>
      <c r="L2154" s="7" t="n">
        <v>3</v>
      </c>
      <c r="M2154" s="7" t="n">
        <v>0</v>
      </c>
      <c r="N2154" s="7" t="s">
        <v>71</v>
      </c>
      <c r="O2154" s="7"/>
      <c r="P2154" s="7" t="n">
        <v>2.6</v>
      </c>
      <c r="Q2154" s="7" t="n">
        <v>17</v>
      </c>
      <c r="R2154" s="7" t="s">
        <v>53</v>
      </c>
      <c r="S2154" s="7"/>
      <c r="T2154" s="7"/>
      <c r="U2154" s="7" t="str">
        <f aca="false">IF(COUNTIF($A$2:$A$5001,A2154)&gt;1,"Duplicate","Unique")</f>
        <v>Unique</v>
      </c>
      <c r="V2154" s="7" t="str">
        <f aca="false">IF(COUNTIFS($B$2:$B$5001,B2154,$H$2:$H$5001,H2154,$J$2:$J$5001,J2154)&gt;1,"Possible Duplicate Booking","Unique")</f>
        <v>Unique</v>
      </c>
      <c r="W2154" s="7" t="str">
        <f aca="false">IF((H2154-G2154)&lt;&gt;K2154,"Mismatch","OK")</f>
        <v>OK</v>
      </c>
      <c r="X2154" s="7" t="str">
        <f aca="false">IF(TEXT(H2154,"dddd")&lt;&gt;I2154,"Mismatch","OK")</f>
        <v>OK</v>
      </c>
      <c r="Y2154" s="7" t="str">
        <f aca="false">IF(AND(N2154="No",O2154&lt;&gt;""),"Unexpected: channel present but no reminder sent",IF(AND(N2154="Yes",O2154=""),"Missing channel for sent reminder","OK"))</f>
        <v>OK</v>
      </c>
    </row>
    <row r="2155" customFormat="false" ht="15" hidden="false" customHeight="false" outlineLevel="0" collapsed="false">
      <c r="A2155" s="9" t="s">
        <v>3474</v>
      </c>
      <c r="B2155" s="9" t="s">
        <v>687</v>
      </c>
      <c r="C2155" s="9" t="s">
        <v>47</v>
      </c>
      <c r="D2155" s="9" t="n">
        <v>57</v>
      </c>
      <c r="E2155" s="9" t="s">
        <v>61</v>
      </c>
      <c r="F2155" s="9" t="s">
        <v>39</v>
      </c>
      <c r="G2155" s="10" t="n">
        <v>45905</v>
      </c>
      <c r="H2155" s="10" t="n">
        <v>45955</v>
      </c>
      <c r="I2155" s="9" t="s">
        <v>102</v>
      </c>
      <c r="J2155" s="9" t="s">
        <v>41</v>
      </c>
      <c r="K2155" s="9" t="n">
        <v>50</v>
      </c>
      <c r="L2155" s="9" t="n">
        <v>1</v>
      </c>
      <c r="M2155" s="9" t="n">
        <v>0</v>
      </c>
      <c r="N2155" s="9" t="s">
        <v>42</v>
      </c>
      <c r="O2155" s="9" t="s">
        <v>43</v>
      </c>
      <c r="P2155" s="9" t="n">
        <v>4.3</v>
      </c>
      <c r="Q2155" s="9" t="n">
        <v>35</v>
      </c>
      <c r="R2155" s="9" t="s">
        <v>44</v>
      </c>
      <c r="S2155" s="9"/>
      <c r="T2155" s="9"/>
      <c r="U2155" s="9" t="str">
        <f aca="false">IF(COUNTIF($A$2:$A$5001,A2155)&gt;1,"Duplicate","Unique")</f>
        <v>Unique</v>
      </c>
      <c r="V2155" s="9" t="str">
        <f aca="false">IF(COUNTIFS($B$2:$B$5001,B2155,$H$2:$H$5001,H2155,$J$2:$J$5001,J2155)&gt;1,"Possible Duplicate Booking","Unique")</f>
        <v>Unique</v>
      </c>
      <c r="W2155" s="9" t="str">
        <f aca="false">IF((H2155-G2155)&lt;&gt;K2155,"Mismatch","OK")</f>
        <v>OK</v>
      </c>
      <c r="X2155" s="9" t="str">
        <f aca="false">IF(TEXT(H2155,"dddd")&lt;&gt;I2155,"Mismatch","OK")</f>
        <v>OK</v>
      </c>
      <c r="Y2155" s="9" t="str">
        <f aca="false">IF(AND(N2155="No",O2155&lt;&gt;""),"Unexpected: channel present but no reminder sent",IF(AND(N2155="Yes",O2155=""),"Missing channel for sent reminder","OK"))</f>
        <v>OK</v>
      </c>
    </row>
    <row r="2156" customFormat="false" ht="15" hidden="false" customHeight="false" outlineLevel="0" collapsed="false">
      <c r="A2156" s="7" t="s">
        <v>3475</v>
      </c>
      <c r="B2156" s="7" t="s">
        <v>2645</v>
      </c>
      <c r="C2156" s="7" t="s">
        <v>37</v>
      </c>
      <c r="D2156" s="7" t="n">
        <v>59</v>
      </c>
      <c r="E2156" s="7" t="s">
        <v>61</v>
      </c>
      <c r="F2156" s="7" t="s">
        <v>49</v>
      </c>
      <c r="G2156" s="8" t="n">
        <v>46017</v>
      </c>
      <c r="H2156" s="8" t="n">
        <v>46042</v>
      </c>
      <c r="I2156" s="7" t="s">
        <v>40</v>
      </c>
      <c r="J2156" s="7" t="s">
        <v>51</v>
      </c>
      <c r="K2156" s="7" t="n">
        <v>25</v>
      </c>
      <c r="L2156" s="7" t="n">
        <v>3</v>
      </c>
      <c r="M2156" s="7" t="n">
        <v>0</v>
      </c>
      <c r="N2156" s="7" t="s">
        <v>42</v>
      </c>
      <c r="O2156" s="7" t="s">
        <v>52</v>
      </c>
      <c r="P2156" s="7" t="n">
        <v>5.3</v>
      </c>
      <c r="Q2156" s="7" t="n">
        <v>29</v>
      </c>
      <c r="R2156" s="7" t="s">
        <v>44</v>
      </c>
      <c r="S2156" s="7"/>
      <c r="T2156" s="7"/>
      <c r="U2156" s="7" t="str">
        <f aca="false">IF(COUNTIF($A$2:$A$5001,A2156)&gt;1,"Duplicate","Unique")</f>
        <v>Unique</v>
      </c>
      <c r="V2156" s="7" t="str">
        <f aca="false">IF(COUNTIFS($B$2:$B$5001,B2156,$H$2:$H$5001,H2156,$J$2:$J$5001,J2156)&gt;1,"Possible Duplicate Booking","Unique")</f>
        <v>Unique</v>
      </c>
      <c r="W2156" s="7" t="str">
        <f aca="false">IF((H2156-G2156)&lt;&gt;K2156,"Mismatch","OK")</f>
        <v>OK</v>
      </c>
      <c r="X2156" s="7" t="str">
        <f aca="false">IF(TEXT(H2156,"dddd")&lt;&gt;I2156,"Mismatch","OK")</f>
        <v>OK</v>
      </c>
      <c r="Y2156" s="7" t="str">
        <f aca="false">IF(AND(N2156="No",O2156&lt;&gt;""),"Unexpected: channel present but no reminder sent",IF(AND(N2156="Yes",O2156=""),"Missing channel for sent reminder","OK"))</f>
        <v>OK</v>
      </c>
    </row>
    <row r="2157" customFormat="false" ht="15" hidden="false" customHeight="false" outlineLevel="0" collapsed="false">
      <c r="A2157" s="9" t="s">
        <v>3476</v>
      </c>
      <c r="B2157" s="9" t="s">
        <v>1584</v>
      </c>
      <c r="C2157" s="9" t="s">
        <v>47</v>
      </c>
      <c r="D2157" s="9" t="n">
        <v>40</v>
      </c>
      <c r="E2157" s="9" t="s">
        <v>38</v>
      </c>
      <c r="F2157" s="9" t="s">
        <v>49</v>
      </c>
      <c r="G2157" s="10" t="n">
        <v>45910</v>
      </c>
      <c r="H2157" s="10" t="n">
        <v>45925</v>
      </c>
      <c r="I2157" s="9" t="s">
        <v>62</v>
      </c>
      <c r="J2157" s="9" t="s">
        <v>51</v>
      </c>
      <c r="K2157" s="9" t="n">
        <v>15</v>
      </c>
      <c r="L2157" s="9" t="n">
        <v>3</v>
      </c>
      <c r="M2157" s="9" t="n">
        <v>0</v>
      </c>
      <c r="N2157" s="9" t="s">
        <v>71</v>
      </c>
      <c r="O2157" s="9"/>
      <c r="P2157" s="9" t="n">
        <v>6.9</v>
      </c>
      <c r="Q2157" s="9" t="n">
        <v>19</v>
      </c>
      <c r="R2157" s="9" t="s">
        <v>44</v>
      </c>
      <c r="S2157" s="9"/>
      <c r="T2157" s="9"/>
      <c r="U2157" s="9" t="str">
        <f aca="false">IF(COUNTIF($A$2:$A$5001,A2157)&gt;1,"Duplicate","Unique")</f>
        <v>Unique</v>
      </c>
      <c r="V2157" s="9" t="str">
        <f aca="false">IF(COUNTIFS($B$2:$B$5001,B2157,$H$2:$H$5001,H2157,$J$2:$J$5001,J2157)&gt;1,"Possible Duplicate Booking","Unique")</f>
        <v>Unique</v>
      </c>
      <c r="W2157" s="9" t="str">
        <f aca="false">IF((H2157-G2157)&lt;&gt;K2157,"Mismatch","OK")</f>
        <v>OK</v>
      </c>
      <c r="X2157" s="9" t="str">
        <f aca="false">IF(TEXT(H2157,"dddd")&lt;&gt;I2157,"Mismatch","OK")</f>
        <v>OK</v>
      </c>
      <c r="Y2157" s="9" t="str">
        <f aca="false">IF(AND(N2157="No",O2157&lt;&gt;""),"Unexpected: channel present but no reminder sent",IF(AND(N2157="Yes",O2157=""),"Missing channel for sent reminder","OK"))</f>
        <v>OK</v>
      </c>
    </row>
    <row r="2158" customFormat="false" ht="15" hidden="false" customHeight="false" outlineLevel="0" collapsed="false">
      <c r="A2158" s="7" t="s">
        <v>3477</v>
      </c>
      <c r="B2158" s="7" t="s">
        <v>1529</v>
      </c>
      <c r="C2158" s="7" t="s">
        <v>47</v>
      </c>
      <c r="D2158" s="7" t="n">
        <v>73</v>
      </c>
      <c r="E2158" s="7" t="s">
        <v>70</v>
      </c>
      <c r="F2158" s="7" t="s">
        <v>39</v>
      </c>
      <c r="G2158" s="8" t="n">
        <v>45855</v>
      </c>
      <c r="H2158" s="8" t="n">
        <v>45899</v>
      </c>
      <c r="I2158" s="7" t="s">
        <v>102</v>
      </c>
      <c r="J2158" s="7" t="s">
        <v>63</v>
      </c>
      <c r="K2158" s="7" t="n">
        <v>44</v>
      </c>
      <c r="L2158" s="7" t="n">
        <v>1</v>
      </c>
      <c r="M2158" s="7" t="n">
        <v>1</v>
      </c>
      <c r="N2158" s="7" t="s">
        <v>71</v>
      </c>
      <c r="O2158" s="7"/>
      <c r="P2158" s="7" t="n">
        <v>16.2</v>
      </c>
      <c r="Q2158" s="7" t="n">
        <v>10</v>
      </c>
      <c r="R2158" s="7" t="s">
        <v>44</v>
      </c>
      <c r="S2158" s="7"/>
      <c r="T2158" s="7"/>
      <c r="U2158" s="7" t="str">
        <f aca="false">IF(COUNTIF($A$2:$A$5001,A2158)&gt;1,"Duplicate","Unique")</f>
        <v>Unique</v>
      </c>
      <c r="V2158" s="7" t="str">
        <f aca="false">IF(COUNTIFS($B$2:$B$5001,B2158,$H$2:$H$5001,H2158,$J$2:$J$5001,J2158)&gt;1,"Possible Duplicate Booking","Unique")</f>
        <v>Unique</v>
      </c>
      <c r="W2158" s="7" t="str">
        <f aca="false">IF((H2158-G2158)&lt;&gt;K2158,"Mismatch","OK")</f>
        <v>OK</v>
      </c>
      <c r="X2158" s="7" t="str">
        <f aca="false">IF(TEXT(H2158,"dddd")&lt;&gt;I2158,"Mismatch","OK")</f>
        <v>OK</v>
      </c>
      <c r="Y2158" s="7" t="str">
        <f aca="false">IF(AND(N2158="No",O2158&lt;&gt;""),"Unexpected: channel present but no reminder sent",IF(AND(N2158="Yes",O2158=""),"Missing channel for sent reminder","OK"))</f>
        <v>OK</v>
      </c>
    </row>
    <row r="2159" customFormat="false" ht="15" hidden="false" customHeight="false" outlineLevel="0" collapsed="false">
      <c r="A2159" s="9" t="s">
        <v>3478</v>
      </c>
      <c r="B2159" s="9" t="s">
        <v>3479</v>
      </c>
      <c r="C2159" s="9" t="s">
        <v>37</v>
      </c>
      <c r="D2159" s="9" t="n">
        <v>22</v>
      </c>
      <c r="E2159" s="9" t="s">
        <v>82</v>
      </c>
      <c r="F2159" s="9" t="s">
        <v>57</v>
      </c>
      <c r="G2159" s="10" t="n">
        <v>45958</v>
      </c>
      <c r="H2159" s="10" t="n">
        <v>46003</v>
      </c>
      <c r="I2159" s="9" t="s">
        <v>50</v>
      </c>
      <c r="J2159" s="9" t="s">
        <v>51</v>
      </c>
      <c r="K2159" s="9" t="n">
        <v>45</v>
      </c>
      <c r="L2159" s="9" t="n">
        <v>2</v>
      </c>
      <c r="M2159" s="9" t="n">
        <v>0</v>
      </c>
      <c r="N2159" s="9" t="s">
        <v>42</v>
      </c>
      <c r="O2159" s="9" t="s">
        <v>43</v>
      </c>
      <c r="P2159" s="9" t="n">
        <v>3.1</v>
      </c>
      <c r="Q2159" s="9" t="n">
        <v>23</v>
      </c>
      <c r="R2159" s="9" t="s">
        <v>53</v>
      </c>
      <c r="S2159" s="9"/>
      <c r="T2159" s="9"/>
      <c r="U2159" s="9" t="str">
        <f aca="false">IF(COUNTIF($A$2:$A$5001,A2159)&gt;1,"Duplicate","Unique")</f>
        <v>Unique</v>
      </c>
      <c r="V2159" s="9" t="str">
        <f aca="false">IF(COUNTIFS($B$2:$B$5001,B2159,$H$2:$H$5001,H2159,$J$2:$J$5001,J2159)&gt;1,"Possible Duplicate Booking","Unique")</f>
        <v>Unique</v>
      </c>
      <c r="W2159" s="9" t="str">
        <f aca="false">IF((H2159-G2159)&lt;&gt;K2159,"Mismatch","OK")</f>
        <v>OK</v>
      </c>
      <c r="X2159" s="9" t="str">
        <f aca="false">IF(TEXT(H2159,"dddd")&lt;&gt;I2159,"Mismatch","OK")</f>
        <v>OK</v>
      </c>
      <c r="Y2159" s="9" t="str">
        <f aca="false">IF(AND(N2159="No",O2159&lt;&gt;""),"Unexpected: channel present but no reminder sent",IF(AND(N2159="Yes",O2159=""),"Missing channel for sent reminder","OK"))</f>
        <v>OK</v>
      </c>
    </row>
    <row r="2160" customFormat="false" ht="15" hidden="false" customHeight="false" outlineLevel="0" collapsed="false">
      <c r="A2160" s="7" t="s">
        <v>3480</v>
      </c>
      <c r="B2160" s="7" t="s">
        <v>931</v>
      </c>
      <c r="C2160" s="7" t="s">
        <v>37</v>
      </c>
      <c r="D2160" s="7" t="n">
        <v>24</v>
      </c>
      <c r="E2160" s="7" t="s">
        <v>82</v>
      </c>
      <c r="F2160" s="7" t="s">
        <v>74</v>
      </c>
      <c r="G2160" s="8" t="n">
        <v>46092</v>
      </c>
      <c r="H2160" s="8" t="n">
        <v>46101</v>
      </c>
      <c r="I2160" s="7" t="s">
        <v>50</v>
      </c>
      <c r="J2160" s="7" t="s">
        <v>51</v>
      </c>
      <c r="K2160" s="7" t="n">
        <v>9</v>
      </c>
      <c r="L2160" s="7" t="n">
        <v>2</v>
      </c>
      <c r="M2160" s="7" t="n">
        <v>2</v>
      </c>
      <c r="N2160" s="7" t="s">
        <v>71</v>
      </c>
      <c r="O2160" s="7"/>
      <c r="P2160" s="7" t="n">
        <v>29.3</v>
      </c>
      <c r="Q2160" s="7" t="n">
        <v>29</v>
      </c>
      <c r="R2160" s="7" t="s">
        <v>44</v>
      </c>
      <c r="S2160" s="7"/>
      <c r="T2160" s="7"/>
      <c r="U2160" s="7" t="str">
        <f aca="false">IF(COUNTIF($A$2:$A$5001,A2160)&gt;1,"Duplicate","Unique")</f>
        <v>Unique</v>
      </c>
      <c r="V2160" s="7" t="str">
        <f aca="false">IF(COUNTIFS($B$2:$B$5001,B2160,$H$2:$H$5001,H2160,$J$2:$J$5001,J2160)&gt;1,"Possible Duplicate Booking","Unique")</f>
        <v>Unique</v>
      </c>
      <c r="W2160" s="7" t="str">
        <f aca="false">IF((H2160-G2160)&lt;&gt;K2160,"Mismatch","OK")</f>
        <v>OK</v>
      </c>
      <c r="X2160" s="7" t="str">
        <f aca="false">IF(TEXT(H2160,"dddd")&lt;&gt;I2160,"Mismatch","OK")</f>
        <v>OK</v>
      </c>
      <c r="Y2160" s="7" t="str">
        <f aca="false">IF(AND(N2160="No",O2160&lt;&gt;""),"Unexpected: channel present but no reminder sent",IF(AND(N2160="Yes",O2160=""),"Missing channel for sent reminder","OK"))</f>
        <v>OK</v>
      </c>
    </row>
    <row r="2161" customFormat="false" ht="15" hidden="false" customHeight="false" outlineLevel="0" collapsed="false">
      <c r="A2161" s="9" t="s">
        <v>3481</v>
      </c>
      <c r="B2161" s="9" t="s">
        <v>274</v>
      </c>
      <c r="C2161" s="9" t="s">
        <v>37</v>
      </c>
      <c r="D2161" s="9" t="n">
        <v>71</v>
      </c>
      <c r="E2161" s="9" t="s">
        <v>70</v>
      </c>
      <c r="F2161" s="9" t="s">
        <v>57</v>
      </c>
      <c r="G2161" s="10" t="n">
        <v>45836</v>
      </c>
      <c r="H2161" s="10" t="n">
        <v>45840</v>
      </c>
      <c r="I2161" s="9" t="s">
        <v>58</v>
      </c>
      <c r="J2161" s="9" t="s">
        <v>51</v>
      </c>
      <c r="K2161" s="9" t="n">
        <v>4</v>
      </c>
      <c r="L2161" s="9" t="n">
        <v>2</v>
      </c>
      <c r="M2161" s="9" t="n">
        <v>1</v>
      </c>
      <c r="N2161" s="9" t="s">
        <v>71</v>
      </c>
      <c r="O2161" s="9"/>
      <c r="P2161" s="9" t="n">
        <v>14.7</v>
      </c>
      <c r="Q2161" s="9" t="n">
        <v>38</v>
      </c>
      <c r="R2161" s="9" t="s">
        <v>44</v>
      </c>
      <c r="S2161" s="9"/>
      <c r="T2161" s="9"/>
      <c r="U2161" s="9" t="str">
        <f aca="false">IF(COUNTIF($A$2:$A$5001,A2161)&gt;1,"Duplicate","Unique")</f>
        <v>Unique</v>
      </c>
      <c r="V2161" s="9" t="str">
        <f aca="false">IF(COUNTIFS($B$2:$B$5001,B2161,$H$2:$H$5001,H2161,$J$2:$J$5001,J2161)&gt;1,"Possible Duplicate Booking","Unique")</f>
        <v>Unique</v>
      </c>
      <c r="W2161" s="9" t="str">
        <f aca="false">IF((H2161-G2161)&lt;&gt;K2161,"Mismatch","OK")</f>
        <v>OK</v>
      </c>
      <c r="X2161" s="9" t="str">
        <f aca="false">IF(TEXT(H2161,"dddd")&lt;&gt;I2161,"Mismatch","OK")</f>
        <v>OK</v>
      </c>
      <c r="Y2161" s="9" t="str">
        <f aca="false">IF(AND(N2161="No",O2161&lt;&gt;""),"Unexpected: channel present but no reminder sent",IF(AND(N2161="Yes",O2161=""),"Missing channel for sent reminder","OK"))</f>
        <v>OK</v>
      </c>
    </row>
    <row r="2162" customFormat="false" ht="15" hidden="false" customHeight="false" outlineLevel="0" collapsed="false">
      <c r="A2162" s="7" t="s">
        <v>3482</v>
      </c>
      <c r="B2162" s="7" t="s">
        <v>142</v>
      </c>
      <c r="C2162" s="7" t="s">
        <v>37</v>
      </c>
      <c r="D2162" s="7" t="n">
        <v>22</v>
      </c>
      <c r="E2162" s="7" t="s">
        <v>82</v>
      </c>
      <c r="F2162" s="7" t="s">
        <v>57</v>
      </c>
      <c r="G2162" s="8" t="n">
        <v>46097</v>
      </c>
      <c r="H2162" s="8" t="n">
        <v>46099</v>
      </c>
      <c r="I2162" s="7" t="s">
        <v>58</v>
      </c>
      <c r="J2162" s="7" t="s">
        <v>41</v>
      </c>
      <c r="K2162" s="7" t="n">
        <v>2</v>
      </c>
      <c r="L2162" s="7" t="n">
        <v>0</v>
      </c>
      <c r="M2162" s="7" t="n">
        <v>0</v>
      </c>
      <c r="N2162" s="7" t="s">
        <v>71</v>
      </c>
      <c r="O2162" s="7"/>
      <c r="P2162" s="7" t="n">
        <v>3.9</v>
      </c>
      <c r="Q2162" s="7" t="n">
        <v>31</v>
      </c>
      <c r="R2162" s="7" t="s">
        <v>53</v>
      </c>
      <c r="S2162" s="7"/>
      <c r="T2162" s="7"/>
      <c r="U2162" s="7" t="str">
        <f aca="false">IF(COUNTIF($A$2:$A$5001,A2162)&gt;1,"Duplicate","Unique")</f>
        <v>Unique</v>
      </c>
      <c r="V2162" s="7" t="str">
        <f aca="false">IF(COUNTIFS($B$2:$B$5001,B2162,$H$2:$H$5001,H2162,$J$2:$J$5001,J2162)&gt;1,"Possible Duplicate Booking","Unique")</f>
        <v>Unique</v>
      </c>
      <c r="W2162" s="7" t="str">
        <f aca="false">IF((H2162-G2162)&lt;&gt;K2162,"Mismatch","OK")</f>
        <v>OK</v>
      </c>
      <c r="X2162" s="7" t="str">
        <f aca="false">IF(TEXT(H2162,"dddd")&lt;&gt;I2162,"Mismatch","OK")</f>
        <v>OK</v>
      </c>
      <c r="Y2162" s="7" t="str">
        <f aca="false">IF(AND(N2162="No",O2162&lt;&gt;""),"Unexpected: channel present but no reminder sent",IF(AND(N2162="Yes",O2162=""),"Missing channel for sent reminder","OK"))</f>
        <v>OK</v>
      </c>
    </row>
    <row r="2163" customFormat="false" ht="15" hidden="false" customHeight="false" outlineLevel="0" collapsed="false">
      <c r="A2163" s="9" t="s">
        <v>3483</v>
      </c>
      <c r="B2163" s="9" t="s">
        <v>1946</v>
      </c>
      <c r="C2163" s="9" t="s">
        <v>47</v>
      </c>
      <c r="D2163" s="9" t="n">
        <v>30</v>
      </c>
      <c r="E2163" s="9" t="s">
        <v>48</v>
      </c>
      <c r="F2163" s="9" t="s">
        <v>49</v>
      </c>
      <c r="G2163" s="10" t="n">
        <v>45745</v>
      </c>
      <c r="H2163" s="10" t="n">
        <v>45791</v>
      </c>
      <c r="I2163" s="9" t="s">
        <v>58</v>
      </c>
      <c r="J2163" s="9" t="s">
        <v>41</v>
      </c>
      <c r="K2163" s="9" t="n">
        <v>46</v>
      </c>
      <c r="L2163" s="9" t="n">
        <v>0</v>
      </c>
      <c r="M2163" s="9" t="n">
        <v>0</v>
      </c>
      <c r="N2163" s="9" t="s">
        <v>71</v>
      </c>
      <c r="O2163" s="9"/>
      <c r="P2163" s="9" t="n">
        <v>20.9</v>
      </c>
      <c r="Q2163" s="9" t="n">
        <v>34</v>
      </c>
      <c r="R2163" s="9" t="s">
        <v>44</v>
      </c>
      <c r="S2163" s="9"/>
      <c r="T2163" s="9"/>
      <c r="U2163" s="9" t="str">
        <f aca="false">IF(COUNTIF($A$2:$A$5001,A2163)&gt;1,"Duplicate","Unique")</f>
        <v>Unique</v>
      </c>
      <c r="V2163" s="9" t="str">
        <f aca="false">IF(COUNTIFS($B$2:$B$5001,B2163,$H$2:$H$5001,H2163,$J$2:$J$5001,J2163)&gt;1,"Possible Duplicate Booking","Unique")</f>
        <v>Unique</v>
      </c>
      <c r="W2163" s="9" t="str">
        <f aca="false">IF((H2163-G2163)&lt;&gt;K2163,"Mismatch","OK")</f>
        <v>OK</v>
      </c>
      <c r="X2163" s="9" t="str">
        <f aca="false">IF(TEXT(H2163,"dddd")&lt;&gt;I2163,"Mismatch","OK")</f>
        <v>OK</v>
      </c>
      <c r="Y2163" s="9" t="str">
        <f aca="false">IF(AND(N2163="No",O2163&lt;&gt;""),"Unexpected: channel present but no reminder sent",IF(AND(N2163="Yes",O2163=""),"Missing channel for sent reminder","OK"))</f>
        <v>OK</v>
      </c>
    </row>
    <row r="2164" customFormat="false" ht="15" hidden="false" customHeight="false" outlineLevel="0" collapsed="false">
      <c r="A2164" s="7" t="s">
        <v>3484</v>
      </c>
      <c r="B2164" s="7" t="s">
        <v>3426</v>
      </c>
      <c r="C2164" s="7" t="s">
        <v>37</v>
      </c>
      <c r="D2164" s="7" t="n">
        <v>28</v>
      </c>
      <c r="E2164" s="7" t="s">
        <v>48</v>
      </c>
      <c r="F2164" s="7" t="s">
        <v>57</v>
      </c>
      <c r="G2164" s="8" t="n">
        <v>45839</v>
      </c>
      <c r="H2164" s="8" t="n">
        <v>45877</v>
      </c>
      <c r="I2164" s="7" t="s">
        <v>50</v>
      </c>
      <c r="J2164" s="7" t="s">
        <v>41</v>
      </c>
      <c r="K2164" s="7" t="n">
        <v>38</v>
      </c>
      <c r="L2164" s="7" t="n">
        <v>1</v>
      </c>
      <c r="M2164" s="7" t="n">
        <v>0</v>
      </c>
      <c r="N2164" s="7" t="s">
        <v>42</v>
      </c>
      <c r="O2164" s="7" t="s">
        <v>52</v>
      </c>
      <c r="P2164" s="7" t="n">
        <v>13.3</v>
      </c>
      <c r="Q2164" s="7" t="n">
        <v>16</v>
      </c>
      <c r="R2164" s="7" t="s">
        <v>53</v>
      </c>
      <c r="S2164" s="7"/>
      <c r="T2164" s="7"/>
      <c r="U2164" s="7" t="str">
        <f aca="false">IF(COUNTIF($A$2:$A$5001,A2164)&gt;1,"Duplicate","Unique")</f>
        <v>Unique</v>
      </c>
      <c r="V2164" s="7" t="str">
        <f aca="false">IF(COUNTIFS($B$2:$B$5001,B2164,$H$2:$H$5001,H2164,$J$2:$J$5001,J2164)&gt;1,"Possible Duplicate Booking","Unique")</f>
        <v>Unique</v>
      </c>
      <c r="W2164" s="7" t="str">
        <f aca="false">IF((H2164-G2164)&lt;&gt;K2164,"Mismatch","OK")</f>
        <v>OK</v>
      </c>
      <c r="X2164" s="7" t="str">
        <f aca="false">IF(TEXT(H2164,"dddd")&lt;&gt;I2164,"Mismatch","OK")</f>
        <v>OK</v>
      </c>
      <c r="Y2164" s="7" t="str">
        <f aca="false">IF(AND(N2164="No",O2164&lt;&gt;""),"Unexpected: channel present but no reminder sent",IF(AND(N2164="Yes",O2164=""),"Missing channel for sent reminder","OK"))</f>
        <v>OK</v>
      </c>
    </row>
    <row r="2165" customFormat="false" ht="15" hidden="false" customHeight="false" outlineLevel="0" collapsed="false">
      <c r="A2165" s="9" t="s">
        <v>3485</v>
      </c>
      <c r="B2165" s="9" t="s">
        <v>918</v>
      </c>
      <c r="C2165" s="9" t="s">
        <v>37</v>
      </c>
      <c r="D2165" s="9" t="n">
        <v>20</v>
      </c>
      <c r="E2165" s="9" t="s">
        <v>82</v>
      </c>
      <c r="F2165" s="9" t="s">
        <v>49</v>
      </c>
      <c r="G2165" s="10" t="n">
        <v>46108</v>
      </c>
      <c r="H2165" s="10" t="n">
        <v>46156</v>
      </c>
      <c r="I2165" s="9" t="s">
        <v>62</v>
      </c>
      <c r="J2165" s="9" t="s">
        <v>41</v>
      </c>
      <c r="K2165" s="9" t="n">
        <v>48</v>
      </c>
      <c r="L2165" s="9" t="n">
        <v>3</v>
      </c>
      <c r="M2165" s="9" t="n">
        <v>2</v>
      </c>
      <c r="N2165" s="9" t="s">
        <v>71</v>
      </c>
      <c r="O2165" s="9"/>
      <c r="P2165" s="9" t="n">
        <v>5.8</v>
      </c>
      <c r="Q2165" s="9" t="n">
        <v>2</v>
      </c>
      <c r="R2165" s="9" t="s">
        <v>44</v>
      </c>
      <c r="S2165" s="9"/>
      <c r="T2165" s="9"/>
      <c r="U2165" s="9" t="str">
        <f aca="false">IF(COUNTIF($A$2:$A$5001,A2165)&gt;1,"Duplicate","Unique")</f>
        <v>Unique</v>
      </c>
      <c r="V2165" s="9" t="str">
        <f aca="false">IF(COUNTIFS($B$2:$B$5001,B2165,$H$2:$H$5001,H2165,$J$2:$J$5001,J2165)&gt;1,"Possible Duplicate Booking","Unique")</f>
        <v>Unique</v>
      </c>
      <c r="W2165" s="9" t="str">
        <f aca="false">IF((H2165-G2165)&lt;&gt;K2165,"Mismatch","OK")</f>
        <v>OK</v>
      </c>
      <c r="X2165" s="9" t="str">
        <f aca="false">IF(TEXT(H2165,"dddd")&lt;&gt;I2165,"Mismatch","OK")</f>
        <v>OK</v>
      </c>
      <c r="Y2165" s="9" t="str">
        <f aca="false">IF(AND(N2165="No",O2165&lt;&gt;""),"Unexpected: channel present but no reminder sent",IF(AND(N2165="Yes",O2165=""),"Missing channel for sent reminder","OK"))</f>
        <v>OK</v>
      </c>
    </row>
    <row r="2166" customFormat="false" ht="15" hidden="false" customHeight="false" outlineLevel="0" collapsed="false">
      <c r="A2166" s="7" t="s">
        <v>3486</v>
      </c>
      <c r="B2166" s="7" t="s">
        <v>2111</v>
      </c>
      <c r="C2166" s="7" t="s">
        <v>37</v>
      </c>
      <c r="D2166" s="7" t="n">
        <v>25</v>
      </c>
      <c r="E2166" s="7" t="s">
        <v>48</v>
      </c>
      <c r="F2166" s="7" t="s">
        <v>57</v>
      </c>
      <c r="G2166" s="8" t="n">
        <v>46141</v>
      </c>
      <c r="H2166" s="8" t="n">
        <v>46179</v>
      </c>
      <c r="I2166" s="7" t="s">
        <v>102</v>
      </c>
      <c r="J2166" s="7" t="s">
        <v>51</v>
      </c>
      <c r="K2166" s="7" t="n">
        <v>38</v>
      </c>
      <c r="L2166" s="7" t="n">
        <v>3</v>
      </c>
      <c r="M2166" s="7" t="n">
        <v>1</v>
      </c>
      <c r="N2166" s="7" t="s">
        <v>71</v>
      </c>
      <c r="O2166" s="7"/>
      <c r="P2166" s="7" t="n">
        <v>14.8</v>
      </c>
      <c r="Q2166" s="7" t="n">
        <v>5</v>
      </c>
      <c r="R2166" s="7" t="s">
        <v>44</v>
      </c>
      <c r="S2166" s="7"/>
      <c r="T2166" s="7"/>
      <c r="U2166" s="7" t="str">
        <f aca="false">IF(COUNTIF($A$2:$A$5001,A2166)&gt;1,"Duplicate","Unique")</f>
        <v>Unique</v>
      </c>
      <c r="V2166" s="7" t="str">
        <f aca="false">IF(COUNTIFS($B$2:$B$5001,B2166,$H$2:$H$5001,H2166,$J$2:$J$5001,J2166)&gt;1,"Possible Duplicate Booking","Unique")</f>
        <v>Unique</v>
      </c>
      <c r="W2166" s="7" t="str">
        <f aca="false">IF((H2166-G2166)&lt;&gt;K2166,"Mismatch","OK")</f>
        <v>OK</v>
      </c>
      <c r="X2166" s="7" t="str">
        <f aca="false">IF(TEXT(H2166,"dddd")&lt;&gt;I2166,"Mismatch","OK")</f>
        <v>OK</v>
      </c>
      <c r="Y2166" s="7" t="str">
        <f aca="false">IF(AND(N2166="No",O2166&lt;&gt;""),"Unexpected: channel present but no reminder sent",IF(AND(N2166="Yes",O2166=""),"Missing channel for sent reminder","OK"))</f>
        <v>OK</v>
      </c>
    </row>
    <row r="2167" customFormat="false" ht="15" hidden="false" customHeight="false" outlineLevel="0" collapsed="false">
      <c r="A2167" s="9" t="s">
        <v>3487</v>
      </c>
      <c r="B2167" s="9" t="s">
        <v>790</v>
      </c>
      <c r="C2167" s="9" t="s">
        <v>37</v>
      </c>
      <c r="D2167" s="9" t="n">
        <v>54</v>
      </c>
      <c r="E2167" s="9" t="s">
        <v>56</v>
      </c>
      <c r="F2167" s="9" t="s">
        <v>49</v>
      </c>
      <c r="G2167" s="10" t="n">
        <v>46138</v>
      </c>
      <c r="H2167" s="10" t="n">
        <v>46162</v>
      </c>
      <c r="I2167" s="9" t="s">
        <v>58</v>
      </c>
      <c r="J2167" s="9" t="s">
        <v>41</v>
      </c>
      <c r="K2167" s="9" t="n">
        <v>24</v>
      </c>
      <c r="L2167" s="9" t="n">
        <v>1</v>
      </c>
      <c r="M2167" s="9" t="n">
        <v>1</v>
      </c>
      <c r="N2167" s="9" t="s">
        <v>42</v>
      </c>
      <c r="O2167" s="9" t="s">
        <v>52</v>
      </c>
      <c r="P2167" s="9" t="n">
        <v>4.1</v>
      </c>
      <c r="Q2167" s="9" t="n">
        <v>21</v>
      </c>
      <c r="R2167" s="9" t="s">
        <v>53</v>
      </c>
      <c r="S2167" s="9"/>
      <c r="T2167" s="9"/>
      <c r="U2167" s="9" t="str">
        <f aca="false">IF(COUNTIF($A$2:$A$5001,A2167)&gt;1,"Duplicate","Unique")</f>
        <v>Unique</v>
      </c>
      <c r="V2167" s="9" t="str">
        <f aca="false">IF(COUNTIFS($B$2:$B$5001,B2167,$H$2:$H$5001,H2167,$J$2:$J$5001,J2167)&gt;1,"Possible Duplicate Booking","Unique")</f>
        <v>Unique</v>
      </c>
      <c r="W2167" s="9" t="str">
        <f aca="false">IF((H2167-G2167)&lt;&gt;K2167,"Mismatch","OK")</f>
        <v>OK</v>
      </c>
      <c r="X2167" s="9" t="str">
        <f aca="false">IF(TEXT(H2167,"dddd")&lt;&gt;I2167,"Mismatch","OK")</f>
        <v>OK</v>
      </c>
      <c r="Y2167" s="9" t="str">
        <f aca="false">IF(AND(N2167="No",O2167&lt;&gt;""),"Unexpected: channel present but no reminder sent",IF(AND(N2167="Yes",O2167=""),"Missing channel for sent reminder","OK"))</f>
        <v>OK</v>
      </c>
    </row>
    <row r="2168" customFormat="false" ht="15" hidden="false" customHeight="false" outlineLevel="0" collapsed="false">
      <c r="A2168" s="7" t="s">
        <v>3488</v>
      </c>
      <c r="B2168" s="7" t="s">
        <v>2969</v>
      </c>
      <c r="C2168" s="7" t="s">
        <v>47</v>
      </c>
      <c r="D2168" s="7" t="n">
        <v>59</v>
      </c>
      <c r="E2168" s="7" t="s">
        <v>61</v>
      </c>
      <c r="F2168" s="7" t="s">
        <v>74</v>
      </c>
      <c r="G2168" s="8" t="n">
        <v>45795</v>
      </c>
      <c r="H2168" s="8" t="n">
        <v>45830</v>
      </c>
      <c r="I2168" s="7" t="s">
        <v>75</v>
      </c>
      <c r="J2168" s="7" t="s">
        <v>51</v>
      </c>
      <c r="K2168" s="7" t="n">
        <v>35</v>
      </c>
      <c r="L2168" s="7" t="n">
        <v>1</v>
      </c>
      <c r="M2168" s="7" t="n">
        <v>1</v>
      </c>
      <c r="N2168" s="7" t="s">
        <v>42</v>
      </c>
      <c r="O2168" s="7" t="s">
        <v>43</v>
      </c>
      <c r="P2168" s="7" t="n">
        <v>9.3</v>
      </c>
      <c r="Q2168" s="7" t="n">
        <v>15</v>
      </c>
      <c r="R2168" s="7" t="s">
        <v>53</v>
      </c>
      <c r="S2168" s="7"/>
      <c r="T2168" s="7"/>
      <c r="U2168" s="7" t="str">
        <f aca="false">IF(COUNTIF($A$2:$A$5001,A2168)&gt;1,"Duplicate","Unique")</f>
        <v>Unique</v>
      </c>
      <c r="V2168" s="7" t="str">
        <f aca="false">IF(COUNTIFS($B$2:$B$5001,B2168,$H$2:$H$5001,H2168,$J$2:$J$5001,J2168)&gt;1,"Possible Duplicate Booking","Unique")</f>
        <v>Unique</v>
      </c>
      <c r="W2168" s="7" t="str">
        <f aca="false">IF((H2168-G2168)&lt;&gt;K2168,"Mismatch","OK")</f>
        <v>OK</v>
      </c>
      <c r="X2168" s="7" t="str">
        <f aca="false">IF(TEXT(H2168,"dddd")&lt;&gt;I2168,"Mismatch","OK")</f>
        <v>OK</v>
      </c>
      <c r="Y2168" s="7" t="str">
        <f aca="false">IF(AND(N2168="No",O2168&lt;&gt;""),"Unexpected: channel present but no reminder sent",IF(AND(N2168="Yes",O2168=""),"Missing channel for sent reminder","OK"))</f>
        <v>OK</v>
      </c>
    </row>
    <row r="2169" customFormat="false" ht="15" hidden="false" customHeight="false" outlineLevel="0" collapsed="false">
      <c r="A2169" s="9" t="s">
        <v>3489</v>
      </c>
      <c r="B2169" s="9" t="s">
        <v>476</v>
      </c>
      <c r="C2169" s="9" t="s">
        <v>37</v>
      </c>
      <c r="D2169" s="9" t="n">
        <v>23</v>
      </c>
      <c r="E2169" s="9" t="s">
        <v>82</v>
      </c>
      <c r="F2169" s="9" t="s">
        <v>74</v>
      </c>
      <c r="G2169" s="10" t="n">
        <v>46074</v>
      </c>
      <c r="H2169" s="10" t="n">
        <v>46118</v>
      </c>
      <c r="I2169" s="9" t="s">
        <v>66</v>
      </c>
      <c r="J2169" s="9" t="s">
        <v>41</v>
      </c>
      <c r="K2169" s="9" t="n">
        <v>44</v>
      </c>
      <c r="L2169" s="9" t="n">
        <v>3</v>
      </c>
      <c r="M2169" s="9" t="n">
        <v>0</v>
      </c>
      <c r="N2169" s="9" t="s">
        <v>42</v>
      </c>
      <c r="O2169" s="9" t="s">
        <v>52</v>
      </c>
      <c r="P2169" s="9" t="n">
        <v>12.6</v>
      </c>
      <c r="Q2169" s="9" t="n">
        <v>23</v>
      </c>
      <c r="R2169" s="9" t="s">
        <v>44</v>
      </c>
      <c r="S2169" s="9"/>
      <c r="T2169" s="9"/>
      <c r="U2169" s="9" t="str">
        <f aca="false">IF(COUNTIF($A$2:$A$5001,A2169)&gt;1,"Duplicate","Unique")</f>
        <v>Unique</v>
      </c>
      <c r="V2169" s="9" t="str">
        <f aca="false">IF(COUNTIFS($B$2:$B$5001,B2169,$H$2:$H$5001,H2169,$J$2:$J$5001,J2169)&gt;1,"Possible Duplicate Booking","Unique")</f>
        <v>Unique</v>
      </c>
      <c r="W2169" s="9" t="str">
        <f aca="false">IF((H2169-G2169)&lt;&gt;K2169,"Mismatch","OK")</f>
        <v>OK</v>
      </c>
      <c r="X2169" s="9" t="str">
        <f aca="false">IF(TEXT(H2169,"dddd")&lt;&gt;I2169,"Mismatch","OK")</f>
        <v>OK</v>
      </c>
      <c r="Y2169" s="9" t="str">
        <f aca="false">IF(AND(N2169="No",O2169&lt;&gt;""),"Unexpected: channel present but no reminder sent",IF(AND(N2169="Yes",O2169=""),"Missing channel for sent reminder","OK"))</f>
        <v>OK</v>
      </c>
    </row>
    <row r="2170" customFormat="false" ht="15" hidden="false" customHeight="false" outlineLevel="0" collapsed="false">
      <c r="A2170" s="7" t="s">
        <v>3490</v>
      </c>
      <c r="B2170" s="7" t="s">
        <v>3491</v>
      </c>
      <c r="C2170" s="7" t="s">
        <v>47</v>
      </c>
      <c r="D2170" s="7" t="n">
        <v>77</v>
      </c>
      <c r="E2170" s="7" t="s">
        <v>70</v>
      </c>
      <c r="F2170" s="7" t="s">
        <v>74</v>
      </c>
      <c r="G2170" s="8" t="n">
        <v>46145</v>
      </c>
      <c r="H2170" s="8" t="n">
        <v>46169</v>
      </c>
      <c r="I2170" s="7" t="s">
        <v>58</v>
      </c>
      <c r="J2170" s="7" t="s">
        <v>51</v>
      </c>
      <c r="K2170" s="7" t="n">
        <v>24</v>
      </c>
      <c r="L2170" s="7" t="n">
        <v>3</v>
      </c>
      <c r="M2170" s="7" t="n">
        <v>2</v>
      </c>
      <c r="N2170" s="7" t="s">
        <v>42</v>
      </c>
      <c r="O2170" s="7" t="s">
        <v>52</v>
      </c>
      <c r="P2170" s="7" t="n">
        <v>4.3</v>
      </c>
      <c r="Q2170" s="7" t="n">
        <v>32</v>
      </c>
      <c r="R2170" s="7" t="s">
        <v>53</v>
      </c>
      <c r="S2170" s="7"/>
      <c r="T2170" s="7"/>
      <c r="U2170" s="7" t="str">
        <f aca="false">IF(COUNTIF($A$2:$A$5001,A2170)&gt;1,"Duplicate","Unique")</f>
        <v>Unique</v>
      </c>
      <c r="V2170" s="7" t="str">
        <f aca="false">IF(COUNTIFS($B$2:$B$5001,B2170,$H$2:$H$5001,H2170,$J$2:$J$5001,J2170)&gt;1,"Possible Duplicate Booking","Unique")</f>
        <v>Unique</v>
      </c>
      <c r="W2170" s="7" t="str">
        <f aca="false">IF((H2170-G2170)&lt;&gt;K2170,"Mismatch","OK")</f>
        <v>OK</v>
      </c>
      <c r="X2170" s="7" t="str">
        <f aca="false">IF(TEXT(H2170,"dddd")&lt;&gt;I2170,"Mismatch","OK")</f>
        <v>OK</v>
      </c>
      <c r="Y2170" s="7" t="str">
        <f aca="false">IF(AND(N2170="No",O2170&lt;&gt;""),"Unexpected: channel present but no reminder sent",IF(AND(N2170="Yes",O2170=""),"Missing channel for sent reminder","OK"))</f>
        <v>OK</v>
      </c>
    </row>
    <row r="2171" customFormat="false" ht="15" hidden="false" customHeight="false" outlineLevel="0" collapsed="false">
      <c r="A2171" s="9" t="s">
        <v>3492</v>
      </c>
      <c r="B2171" s="9" t="s">
        <v>2627</v>
      </c>
      <c r="C2171" s="9" t="s">
        <v>37</v>
      </c>
      <c r="D2171" s="9" t="n">
        <v>24</v>
      </c>
      <c r="E2171" s="9" t="s">
        <v>82</v>
      </c>
      <c r="F2171" s="9" t="s">
        <v>49</v>
      </c>
      <c r="G2171" s="10" t="n">
        <v>46137</v>
      </c>
      <c r="H2171" s="10" t="n">
        <v>46192</v>
      </c>
      <c r="I2171" s="9" t="s">
        <v>50</v>
      </c>
      <c r="J2171" s="9" t="s">
        <v>51</v>
      </c>
      <c r="K2171" s="9" t="n">
        <v>55</v>
      </c>
      <c r="L2171" s="9" t="n">
        <v>4</v>
      </c>
      <c r="M2171" s="9" t="n">
        <v>1</v>
      </c>
      <c r="N2171" s="9" t="s">
        <v>42</v>
      </c>
      <c r="O2171" s="9" t="s">
        <v>43</v>
      </c>
      <c r="P2171" s="9" t="n">
        <v>10.1</v>
      </c>
      <c r="Q2171" s="9" t="n">
        <v>31</v>
      </c>
      <c r="R2171" s="9" t="s">
        <v>44</v>
      </c>
      <c r="S2171" s="9"/>
      <c r="T2171" s="9"/>
      <c r="U2171" s="9" t="str">
        <f aca="false">IF(COUNTIF($A$2:$A$5001,A2171)&gt;1,"Duplicate","Unique")</f>
        <v>Unique</v>
      </c>
      <c r="V2171" s="9" t="str">
        <f aca="false">IF(COUNTIFS($B$2:$B$5001,B2171,$H$2:$H$5001,H2171,$J$2:$J$5001,J2171)&gt;1,"Possible Duplicate Booking","Unique")</f>
        <v>Unique</v>
      </c>
      <c r="W2171" s="9" t="str">
        <f aca="false">IF((H2171-G2171)&lt;&gt;K2171,"Mismatch","OK")</f>
        <v>OK</v>
      </c>
      <c r="X2171" s="9" t="str">
        <f aca="false">IF(TEXT(H2171,"dddd")&lt;&gt;I2171,"Mismatch","OK")</f>
        <v>OK</v>
      </c>
      <c r="Y2171" s="9" t="str">
        <f aca="false">IF(AND(N2171="No",O2171&lt;&gt;""),"Unexpected: channel present but no reminder sent",IF(AND(N2171="Yes",O2171=""),"Missing channel for sent reminder","OK"))</f>
        <v>OK</v>
      </c>
    </row>
    <row r="2172" customFormat="false" ht="15" hidden="false" customHeight="false" outlineLevel="0" collapsed="false">
      <c r="A2172" s="7" t="s">
        <v>3493</v>
      </c>
      <c r="B2172" s="7" t="s">
        <v>3494</v>
      </c>
      <c r="C2172" s="7" t="s">
        <v>37</v>
      </c>
      <c r="D2172" s="7" t="n">
        <v>61</v>
      </c>
      <c r="E2172" s="7" t="s">
        <v>61</v>
      </c>
      <c r="F2172" s="7" t="s">
        <v>57</v>
      </c>
      <c r="G2172" s="8" t="n">
        <v>45615</v>
      </c>
      <c r="H2172" s="8" t="n">
        <v>45669</v>
      </c>
      <c r="I2172" s="7" t="s">
        <v>75</v>
      </c>
      <c r="J2172" s="7" t="s">
        <v>41</v>
      </c>
      <c r="K2172" s="7" t="n">
        <v>54</v>
      </c>
      <c r="L2172" s="7" t="n">
        <v>5</v>
      </c>
      <c r="M2172" s="7" t="n">
        <v>1</v>
      </c>
      <c r="N2172" s="7" t="s">
        <v>42</v>
      </c>
      <c r="O2172" s="7" t="s">
        <v>43</v>
      </c>
      <c r="P2172" s="7" t="n">
        <v>11.7</v>
      </c>
      <c r="Q2172" s="7" t="n">
        <v>2</v>
      </c>
      <c r="R2172" s="7" t="s">
        <v>44</v>
      </c>
      <c r="S2172" s="7"/>
      <c r="T2172" s="7"/>
      <c r="U2172" s="7" t="str">
        <f aca="false">IF(COUNTIF($A$2:$A$5001,A2172)&gt;1,"Duplicate","Unique")</f>
        <v>Unique</v>
      </c>
      <c r="V2172" s="7" t="str">
        <f aca="false">IF(COUNTIFS($B$2:$B$5001,B2172,$H$2:$H$5001,H2172,$J$2:$J$5001,J2172)&gt;1,"Possible Duplicate Booking","Unique")</f>
        <v>Unique</v>
      </c>
      <c r="W2172" s="7" t="str">
        <f aca="false">IF((H2172-G2172)&lt;&gt;K2172,"Mismatch","OK")</f>
        <v>OK</v>
      </c>
      <c r="X2172" s="7" t="str">
        <f aca="false">IF(TEXT(H2172,"dddd")&lt;&gt;I2172,"Mismatch","OK")</f>
        <v>OK</v>
      </c>
      <c r="Y2172" s="7" t="str">
        <f aca="false">IF(AND(N2172="No",O2172&lt;&gt;""),"Unexpected: channel present but no reminder sent",IF(AND(N2172="Yes",O2172=""),"Missing channel for sent reminder","OK"))</f>
        <v>OK</v>
      </c>
    </row>
    <row r="2173" customFormat="false" ht="15" hidden="false" customHeight="false" outlineLevel="0" collapsed="false">
      <c r="A2173" s="9" t="s">
        <v>3495</v>
      </c>
      <c r="B2173" s="9" t="s">
        <v>2697</v>
      </c>
      <c r="C2173" s="9" t="s">
        <v>37</v>
      </c>
      <c r="D2173" s="9" t="n">
        <v>68</v>
      </c>
      <c r="E2173" s="9" t="s">
        <v>70</v>
      </c>
      <c r="F2173" s="9" t="s">
        <v>74</v>
      </c>
      <c r="G2173" s="10" t="n">
        <v>46016</v>
      </c>
      <c r="H2173" s="10" t="n">
        <v>46064</v>
      </c>
      <c r="I2173" s="9" t="s">
        <v>58</v>
      </c>
      <c r="J2173" s="9" t="s">
        <v>51</v>
      </c>
      <c r="K2173" s="9" t="n">
        <v>48</v>
      </c>
      <c r="L2173" s="9" t="n">
        <v>5</v>
      </c>
      <c r="M2173" s="9" t="n">
        <v>2</v>
      </c>
      <c r="N2173" s="9" t="s">
        <v>42</v>
      </c>
      <c r="O2173" s="9" t="s">
        <v>52</v>
      </c>
      <c r="P2173" s="9" t="n">
        <v>6.8</v>
      </c>
      <c r="Q2173" s="9" t="n">
        <v>52</v>
      </c>
      <c r="R2173" s="9" t="s">
        <v>44</v>
      </c>
      <c r="S2173" s="9"/>
      <c r="T2173" s="9"/>
      <c r="U2173" s="9" t="str">
        <f aca="false">IF(COUNTIF($A$2:$A$5001,A2173)&gt;1,"Duplicate","Unique")</f>
        <v>Unique</v>
      </c>
      <c r="V2173" s="9" t="str">
        <f aca="false">IF(COUNTIFS($B$2:$B$5001,B2173,$H$2:$H$5001,H2173,$J$2:$J$5001,J2173)&gt;1,"Possible Duplicate Booking","Unique")</f>
        <v>Unique</v>
      </c>
      <c r="W2173" s="9" t="str">
        <f aca="false">IF((H2173-G2173)&lt;&gt;K2173,"Mismatch","OK")</f>
        <v>OK</v>
      </c>
      <c r="X2173" s="9" t="str">
        <f aca="false">IF(TEXT(H2173,"dddd")&lt;&gt;I2173,"Mismatch","OK")</f>
        <v>OK</v>
      </c>
      <c r="Y2173" s="9" t="str">
        <f aca="false">IF(AND(N2173="No",O2173&lt;&gt;""),"Unexpected: channel present but no reminder sent",IF(AND(N2173="Yes",O2173=""),"Missing channel for sent reminder","OK"))</f>
        <v>OK</v>
      </c>
    </row>
    <row r="2174" customFormat="false" ht="15" hidden="false" customHeight="false" outlineLevel="0" collapsed="false">
      <c r="A2174" s="7" t="s">
        <v>3496</v>
      </c>
      <c r="B2174" s="7" t="s">
        <v>1322</v>
      </c>
      <c r="C2174" s="7" t="s">
        <v>47</v>
      </c>
      <c r="D2174" s="7" t="n">
        <v>50</v>
      </c>
      <c r="E2174" s="7" t="s">
        <v>56</v>
      </c>
      <c r="F2174" s="7" t="s">
        <v>74</v>
      </c>
      <c r="G2174" s="8" t="n">
        <v>46142</v>
      </c>
      <c r="H2174" s="8" t="n">
        <v>46202</v>
      </c>
      <c r="I2174" s="7" t="s">
        <v>66</v>
      </c>
      <c r="J2174" s="7" t="s">
        <v>41</v>
      </c>
      <c r="K2174" s="7" t="n">
        <v>60</v>
      </c>
      <c r="L2174" s="7" t="n">
        <v>5</v>
      </c>
      <c r="M2174" s="7" t="n">
        <v>1</v>
      </c>
      <c r="N2174" s="7" t="s">
        <v>42</v>
      </c>
      <c r="O2174" s="7" t="s">
        <v>52</v>
      </c>
      <c r="P2174" s="7" t="n">
        <v>5.4</v>
      </c>
      <c r="Q2174" s="7" t="n">
        <v>28</v>
      </c>
      <c r="R2174" s="7" t="s">
        <v>44</v>
      </c>
      <c r="S2174" s="7"/>
      <c r="T2174" s="7"/>
      <c r="U2174" s="7" t="str">
        <f aca="false">IF(COUNTIF($A$2:$A$5001,A2174)&gt;1,"Duplicate","Unique")</f>
        <v>Unique</v>
      </c>
      <c r="V2174" s="7" t="str">
        <f aca="false">IF(COUNTIFS($B$2:$B$5001,B2174,$H$2:$H$5001,H2174,$J$2:$J$5001,J2174)&gt;1,"Possible Duplicate Booking","Unique")</f>
        <v>Unique</v>
      </c>
      <c r="W2174" s="7" t="str">
        <f aca="false">IF((H2174-G2174)&lt;&gt;K2174,"Mismatch","OK")</f>
        <v>OK</v>
      </c>
      <c r="X2174" s="7" t="str">
        <f aca="false">IF(TEXT(H2174,"dddd")&lt;&gt;I2174,"Mismatch","OK")</f>
        <v>OK</v>
      </c>
      <c r="Y2174" s="7" t="str">
        <f aca="false">IF(AND(N2174="No",O2174&lt;&gt;""),"Unexpected: channel present but no reminder sent",IF(AND(N2174="Yes",O2174=""),"Missing channel for sent reminder","OK"))</f>
        <v>OK</v>
      </c>
    </row>
    <row r="2175" customFormat="false" ht="15" hidden="false" customHeight="false" outlineLevel="0" collapsed="false">
      <c r="A2175" s="9" t="s">
        <v>3497</v>
      </c>
      <c r="B2175" s="9" t="s">
        <v>3498</v>
      </c>
      <c r="C2175" s="9" t="s">
        <v>37</v>
      </c>
      <c r="D2175" s="9" t="n">
        <v>48</v>
      </c>
      <c r="E2175" s="9" t="s">
        <v>56</v>
      </c>
      <c r="F2175" s="9" t="s">
        <v>39</v>
      </c>
      <c r="G2175" s="10" t="n">
        <v>46052</v>
      </c>
      <c r="H2175" s="10" t="n">
        <v>46075</v>
      </c>
      <c r="I2175" s="9" t="s">
        <v>75</v>
      </c>
      <c r="J2175" s="9" t="s">
        <v>41</v>
      </c>
      <c r="K2175" s="9" t="n">
        <v>23</v>
      </c>
      <c r="L2175" s="9" t="n">
        <v>3</v>
      </c>
      <c r="M2175" s="9" t="n">
        <v>0</v>
      </c>
      <c r="N2175" s="9" t="s">
        <v>71</v>
      </c>
      <c r="O2175" s="9"/>
      <c r="P2175" s="9" t="n">
        <v>9.6</v>
      </c>
      <c r="Q2175" s="9" t="n">
        <v>27</v>
      </c>
      <c r="R2175" s="9" t="s">
        <v>44</v>
      </c>
      <c r="S2175" s="9"/>
      <c r="T2175" s="9"/>
      <c r="U2175" s="9" t="str">
        <f aca="false">IF(COUNTIF($A$2:$A$5001,A2175)&gt;1,"Duplicate","Unique")</f>
        <v>Unique</v>
      </c>
      <c r="V2175" s="9" t="str">
        <f aca="false">IF(COUNTIFS($B$2:$B$5001,B2175,$H$2:$H$5001,H2175,$J$2:$J$5001,J2175)&gt;1,"Possible Duplicate Booking","Unique")</f>
        <v>Unique</v>
      </c>
      <c r="W2175" s="9" t="str">
        <f aca="false">IF((H2175-G2175)&lt;&gt;K2175,"Mismatch","OK")</f>
        <v>OK</v>
      </c>
      <c r="X2175" s="9" t="str">
        <f aca="false">IF(TEXT(H2175,"dddd")&lt;&gt;I2175,"Mismatch","OK")</f>
        <v>OK</v>
      </c>
      <c r="Y2175" s="9" t="str">
        <f aca="false">IF(AND(N2175="No",O2175&lt;&gt;""),"Unexpected: channel present but no reminder sent",IF(AND(N2175="Yes",O2175=""),"Missing channel for sent reminder","OK"))</f>
        <v>OK</v>
      </c>
    </row>
    <row r="2176" customFormat="false" ht="15" hidden="false" customHeight="false" outlineLevel="0" collapsed="false">
      <c r="A2176" s="7" t="s">
        <v>3499</v>
      </c>
      <c r="B2176" s="7" t="s">
        <v>3500</v>
      </c>
      <c r="C2176" s="7" t="s">
        <v>47</v>
      </c>
      <c r="D2176" s="7" t="n">
        <v>24</v>
      </c>
      <c r="E2176" s="7" t="s">
        <v>82</v>
      </c>
      <c r="F2176" s="7" t="s">
        <v>57</v>
      </c>
      <c r="G2176" s="8" t="n">
        <v>45779</v>
      </c>
      <c r="H2176" s="8" t="n">
        <v>45785</v>
      </c>
      <c r="I2176" s="7" t="s">
        <v>62</v>
      </c>
      <c r="J2176" s="7" t="s">
        <v>63</v>
      </c>
      <c r="K2176" s="7" t="n">
        <v>6</v>
      </c>
      <c r="L2176" s="7" t="n">
        <v>2</v>
      </c>
      <c r="M2176" s="7" t="n">
        <v>0</v>
      </c>
      <c r="N2176" s="7" t="s">
        <v>42</v>
      </c>
      <c r="O2176" s="7" t="s">
        <v>52</v>
      </c>
      <c r="P2176" s="7" t="n">
        <v>7.5</v>
      </c>
      <c r="Q2176" s="7" t="n">
        <v>22</v>
      </c>
      <c r="R2176" s="7" t="s">
        <v>53</v>
      </c>
      <c r="S2176" s="7"/>
      <c r="T2176" s="7"/>
      <c r="U2176" s="7" t="str">
        <f aca="false">IF(COUNTIF($A$2:$A$5001,A2176)&gt;1,"Duplicate","Unique")</f>
        <v>Unique</v>
      </c>
      <c r="V2176" s="7" t="str">
        <f aca="false">IF(COUNTIFS($B$2:$B$5001,B2176,$H$2:$H$5001,H2176,$J$2:$J$5001,J2176)&gt;1,"Possible Duplicate Booking","Unique")</f>
        <v>Unique</v>
      </c>
      <c r="W2176" s="7" t="str">
        <f aca="false">IF((H2176-G2176)&lt;&gt;K2176,"Mismatch","OK")</f>
        <v>OK</v>
      </c>
      <c r="X2176" s="7" t="str">
        <f aca="false">IF(TEXT(H2176,"dddd")&lt;&gt;I2176,"Mismatch","OK")</f>
        <v>OK</v>
      </c>
      <c r="Y2176" s="7" t="str">
        <f aca="false">IF(AND(N2176="No",O2176&lt;&gt;""),"Unexpected: channel present but no reminder sent",IF(AND(N2176="Yes",O2176=""),"Missing channel for sent reminder","OK"))</f>
        <v>OK</v>
      </c>
    </row>
    <row r="2177" customFormat="false" ht="15" hidden="false" customHeight="false" outlineLevel="0" collapsed="false">
      <c r="A2177" s="9" t="s">
        <v>3501</v>
      </c>
      <c r="B2177" s="9" t="s">
        <v>3502</v>
      </c>
      <c r="C2177" s="9" t="s">
        <v>37</v>
      </c>
      <c r="D2177" s="9" t="n">
        <v>33</v>
      </c>
      <c r="E2177" s="9" t="s">
        <v>48</v>
      </c>
      <c r="F2177" s="9" t="s">
        <v>57</v>
      </c>
      <c r="G2177" s="10" t="n">
        <v>46045</v>
      </c>
      <c r="H2177" s="10" t="n">
        <v>46074</v>
      </c>
      <c r="I2177" s="9" t="s">
        <v>102</v>
      </c>
      <c r="J2177" s="9" t="s">
        <v>51</v>
      </c>
      <c r="K2177" s="9" t="n">
        <v>29</v>
      </c>
      <c r="L2177" s="9" t="n">
        <v>1</v>
      </c>
      <c r="M2177" s="9" t="n">
        <v>0</v>
      </c>
      <c r="N2177" s="9" t="s">
        <v>71</v>
      </c>
      <c r="O2177" s="9"/>
      <c r="P2177" s="9" t="n">
        <v>23</v>
      </c>
      <c r="Q2177" s="9" t="n">
        <v>21</v>
      </c>
      <c r="R2177" s="9" t="s">
        <v>44</v>
      </c>
      <c r="S2177" s="9"/>
      <c r="T2177" s="9"/>
      <c r="U2177" s="9" t="str">
        <f aca="false">IF(COUNTIF($A$2:$A$5001,A2177)&gt;1,"Duplicate","Unique")</f>
        <v>Unique</v>
      </c>
      <c r="V2177" s="9" t="str">
        <f aca="false">IF(COUNTIFS($B$2:$B$5001,B2177,$H$2:$H$5001,H2177,$J$2:$J$5001,J2177)&gt;1,"Possible Duplicate Booking","Unique")</f>
        <v>Unique</v>
      </c>
      <c r="W2177" s="9" t="str">
        <f aca="false">IF((H2177-G2177)&lt;&gt;K2177,"Mismatch","OK")</f>
        <v>OK</v>
      </c>
      <c r="X2177" s="9" t="str">
        <f aca="false">IF(TEXT(H2177,"dddd")&lt;&gt;I2177,"Mismatch","OK")</f>
        <v>OK</v>
      </c>
      <c r="Y2177" s="9" t="str">
        <f aca="false">IF(AND(N2177="No",O2177&lt;&gt;""),"Unexpected: channel present but no reminder sent",IF(AND(N2177="Yes",O2177=""),"Missing channel for sent reminder","OK"))</f>
        <v>OK</v>
      </c>
    </row>
    <row r="2178" customFormat="false" ht="15" hidden="false" customHeight="false" outlineLevel="0" collapsed="false">
      <c r="A2178" s="7" t="s">
        <v>3503</v>
      </c>
      <c r="B2178" s="7" t="s">
        <v>1799</v>
      </c>
      <c r="C2178" s="7" t="s">
        <v>47</v>
      </c>
      <c r="D2178" s="7" t="n">
        <v>71</v>
      </c>
      <c r="E2178" s="7" t="s">
        <v>70</v>
      </c>
      <c r="F2178" s="7" t="s">
        <v>39</v>
      </c>
      <c r="G2178" s="8" t="n">
        <v>45670</v>
      </c>
      <c r="H2178" s="8" t="n">
        <v>45715</v>
      </c>
      <c r="I2178" s="7" t="s">
        <v>62</v>
      </c>
      <c r="J2178" s="7" t="s">
        <v>41</v>
      </c>
      <c r="K2178" s="7" t="n">
        <v>45</v>
      </c>
      <c r="L2178" s="7" t="n">
        <v>1</v>
      </c>
      <c r="M2178" s="7" t="n">
        <v>0</v>
      </c>
      <c r="N2178" s="7" t="s">
        <v>42</v>
      </c>
      <c r="O2178" s="7" t="s">
        <v>52</v>
      </c>
      <c r="P2178" s="7" t="n">
        <v>12.7</v>
      </c>
      <c r="Q2178" s="7" t="n">
        <v>36</v>
      </c>
      <c r="R2178" s="7" t="s">
        <v>44</v>
      </c>
      <c r="S2178" s="7"/>
      <c r="T2178" s="7"/>
      <c r="U2178" s="7" t="str">
        <f aca="false">IF(COUNTIF($A$2:$A$5001,A2178)&gt;1,"Duplicate","Unique")</f>
        <v>Unique</v>
      </c>
      <c r="V2178" s="7" t="str">
        <f aca="false">IF(COUNTIFS($B$2:$B$5001,B2178,$H$2:$H$5001,H2178,$J$2:$J$5001,J2178)&gt;1,"Possible Duplicate Booking","Unique")</f>
        <v>Unique</v>
      </c>
      <c r="W2178" s="7" t="str">
        <f aca="false">IF((H2178-G2178)&lt;&gt;K2178,"Mismatch","OK")</f>
        <v>OK</v>
      </c>
      <c r="X2178" s="7" t="str">
        <f aca="false">IF(TEXT(H2178,"dddd")&lt;&gt;I2178,"Mismatch","OK")</f>
        <v>OK</v>
      </c>
      <c r="Y2178" s="7" t="str">
        <f aca="false">IF(AND(N2178="No",O2178&lt;&gt;""),"Unexpected: channel present but no reminder sent",IF(AND(N2178="Yes",O2178=""),"Missing channel for sent reminder","OK"))</f>
        <v>OK</v>
      </c>
    </row>
    <row r="2179" customFormat="false" ht="15" hidden="false" customHeight="false" outlineLevel="0" collapsed="false">
      <c r="A2179" s="9" t="s">
        <v>3504</v>
      </c>
      <c r="B2179" s="9" t="s">
        <v>3505</v>
      </c>
      <c r="C2179" s="9" t="s">
        <v>47</v>
      </c>
      <c r="D2179" s="9" t="n">
        <v>39</v>
      </c>
      <c r="E2179" s="9" t="s">
        <v>38</v>
      </c>
      <c r="F2179" s="9" t="s">
        <v>49</v>
      </c>
      <c r="G2179" s="10" t="n">
        <v>45873</v>
      </c>
      <c r="H2179" s="10" t="n">
        <v>45920</v>
      </c>
      <c r="I2179" s="9" t="s">
        <v>102</v>
      </c>
      <c r="J2179" s="9" t="s">
        <v>41</v>
      </c>
      <c r="K2179" s="9" t="n">
        <v>47</v>
      </c>
      <c r="L2179" s="9" t="n">
        <v>6</v>
      </c>
      <c r="M2179" s="9" t="n">
        <v>0</v>
      </c>
      <c r="N2179" s="9" t="s">
        <v>71</v>
      </c>
      <c r="O2179" s="9"/>
      <c r="P2179" s="9" t="n">
        <v>7.7</v>
      </c>
      <c r="Q2179" s="9" t="n">
        <v>13</v>
      </c>
      <c r="R2179" s="9" t="s">
        <v>53</v>
      </c>
      <c r="S2179" s="9"/>
      <c r="T2179" s="9"/>
      <c r="U2179" s="9" t="str">
        <f aca="false">IF(COUNTIF($A$2:$A$5001,A2179)&gt;1,"Duplicate","Unique")</f>
        <v>Unique</v>
      </c>
      <c r="V2179" s="9" t="str">
        <f aca="false">IF(COUNTIFS($B$2:$B$5001,B2179,$H$2:$H$5001,H2179,$J$2:$J$5001,J2179)&gt;1,"Possible Duplicate Booking","Unique")</f>
        <v>Unique</v>
      </c>
      <c r="W2179" s="9" t="str">
        <f aca="false">IF((H2179-G2179)&lt;&gt;K2179,"Mismatch","OK")</f>
        <v>OK</v>
      </c>
      <c r="X2179" s="9" t="str">
        <f aca="false">IF(TEXT(H2179,"dddd")&lt;&gt;I2179,"Mismatch","OK")</f>
        <v>OK</v>
      </c>
      <c r="Y2179" s="9" t="str">
        <f aca="false">IF(AND(N2179="No",O2179&lt;&gt;""),"Unexpected: channel present but no reminder sent",IF(AND(N2179="Yes",O2179=""),"Missing channel for sent reminder","OK"))</f>
        <v>OK</v>
      </c>
    </row>
    <row r="2180" customFormat="false" ht="15" hidden="false" customHeight="false" outlineLevel="0" collapsed="false">
      <c r="A2180" s="7" t="s">
        <v>3506</v>
      </c>
      <c r="B2180" s="7" t="s">
        <v>69</v>
      </c>
      <c r="C2180" s="7" t="s">
        <v>47</v>
      </c>
      <c r="D2180" s="7" t="n">
        <v>20</v>
      </c>
      <c r="E2180" s="7" t="s">
        <v>82</v>
      </c>
      <c r="F2180" s="7" t="s">
        <v>57</v>
      </c>
      <c r="G2180" s="8" t="n">
        <v>45976</v>
      </c>
      <c r="H2180" s="8" t="n">
        <v>45999</v>
      </c>
      <c r="I2180" s="7" t="s">
        <v>66</v>
      </c>
      <c r="J2180" s="7" t="s">
        <v>51</v>
      </c>
      <c r="K2180" s="7" t="n">
        <v>23</v>
      </c>
      <c r="L2180" s="7" t="n">
        <v>6</v>
      </c>
      <c r="M2180" s="7" t="n">
        <v>1</v>
      </c>
      <c r="N2180" s="7" t="s">
        <v>42</v>
      </c>
      <c r="O2180" s="7" t="s">
        <v>52</v>
      </c>
      <c r="P2180" s="7" t="n">
        <v>8.8</v>
      </c>
      <c r="Q2180" s="7" t="n">
        <v>27</v>
      </c>
      <c r="R2180" s="7" t="s">
        <v>53</v>
      </c>
      <c r="S2180" s="7"/>
      <c r="T2180" s="7"/>
      <c r="U2180" s="7" t="str">
        <f aca="false">IF(COUNTIF($A$2:$A$5001,A2180)&gt;1,"Duplicate","Unique")</f>
        <v>Unique</v>
      </c>
      <c r="V2180" s="7" t="str">
        <f aca="false">IF(COUNTIFS($B$2:$B$5001,B2180,$H$2:$H$5001,H2180,$J$2:$J$5001,J2180)&gt;1,"Possible Duplicate Booking","Unique")</f>
        <v>Unique</v>
      </c>
      <c r="W2180" s="7" t="str">
        <f aca="false">IF((H2180-G2180)&lt;&gt;K2180,"Mismatch","OK")</f>
        <v>OK</v>
      </c>
      <c r="X2180" s="7" t="str">
        <f aca="false">IF(TEXT(H2180,"dddd")&lt;&gt;I2180,"Mismatch","OK")</f>
        <v>OK</v>
      </c>
      <c r="Y2180" s="7" t="str">
        <f aca="false">IF(AND(N2180="No",O2180&lt;&gt;""),"Unexpected: channel present but no reminder sent",IF(AND(N2180="Yes",O2180=""),"Missing channel for sent reminder","OK"))</f>
        <v>OK</v>
      </c>
    </row>
    <row r="2181" customFormat="false" ht="15" hidden="false" customHeight="false" outlineLevel="0" collapsed="false">
      <c r="A2181" s="9" t="s">
        <v>3507</v>
      </c>
      <c r="B2181" s="9" t="s">
        <v>2732</v>
      </c>
      <c r="C2181" s="9" t="s">
        <v>37</v>
      </c>
      <c r="D2181" s="9" t="n">
        <v>63</v>
      </c>
      <c r="E2181" s="9" t="s">
        <v>61</v>
      </c>
      <c r="F2181" s="9" t="s">
        <v>57</v>
      </c>
      <c r="G2181" s="10" t="n">
        <v>45890</v>
      </c>
      <c r="H2181" s="10" t="n">
        <v>45907</v>
      </c>
      <c r="I2181" s="9" t="s">
        <v>75</v>
      </c>
      <c r="J2181" s="9" t="s">
        <v>41</v>
      </c>
      <c r="K2181" s="9" t="n">
        <v>17</v>
      </c>
      <c r="L2181" s="9" t="n">
        <v>2</v>
      </c>
      <c r="M2181" s="9" t="n">
        <v>0</v>
      </c>
      <c r="N2181" s="9" t="s">
        <v>42</v>
      </c>
      <c r="O2181" s="9" t="s">
        <v>52</v>
      </c>
      <c r="P2181" s="9" t="n">
        <v>5.6</v>
      </c>
      <c r="Q2181" s="9" t="n">
        <v>41</v>
      </c>
      <c r="R2181" s="9" t="s">
        <v>53</v>
      </c>
      <c r="S2181" s="9"/>
      <c r="T2181" s="9"/>
      <c r="U2181" s="9" t="str">
        <f aca="false">IF(COUNTIF($A$2:$A$5001,A2181)&gt;1,"Duplicate","Unique")</f>
        <v>Unique</v>
      </c>
      <c r="V2181" s="9" t="str">
        <f aca="false">IF(COUNTIFS($B$2:$B$5001,B2181,$H$2:$H$5001,H2181,$J$2:$J$5001,J2181)&gt;1,"Possible Duplicate Booking","Unique")</f>
        <v>Unique</v>
      </c>
      <c r="W2181" s="9" t="str">
        <f aca="false">IF((H2181-G2181)&lt;&gt;K2181,"Mismatch","OK")</f>
        <v>OK</v>
      </c>
      <c r="X2181" s="9" t="str">
        <f aca="false">IF(TEXT(H2181,"dddd")&lt;&gt;I2181,"Mismatch","OK")</f>
        <v>OK</v>
      </c>
      <c r="Y2181" s="9" t="str">
        <f aca="false">IF(AND(N2181="No",O2181&lt;&gt;""),"Unexpected: channel present but no reminder sent",IF(AND(N2181="Yes",O2181=""),"Missing channel for sent reminder","OK"))</f>
        <v>OK</v>
      </c>
    </row>
    <row r="2182" customFormat="false" ht="15" hidden="false" customHeight="false" outlineLevel="0" collapsed="false">
      <c r="A2182" s="7" t="s">
        <v>3508</v>
      </c>
      <c r="B2182" s="7" t="s">
        <v>3086</v>
      </c>
      <c r="C2182" s="7" t="s">
        <v>37</v>
      </c>
      <c r="D2182" s="7" t="n">
        <v>61</v>
      </c>
      <c r="E2182" s="7" t="s">
        <v>61</v>
      </c>
      <c r="F2182" s="7" t="s">
        <v>39</v>
      </c>
      <c r="G2182" s="8" t="n">
        <v>46013</v>
      </c>
      <c r="H2182" s="8" t="n">
        <v>46040</v>
      </c>
      <c r="I2182" s="7" t="s">
        <v>75</v>
      </c>
      <c r="J2182" s="7" t="s">
        <v>41</v>
      </c>
      <c r="K2182" s="7" t="n">
        <v>27</v>
      </c>
      <c r="L2182" s="7" t="n">
        <v>0</v>
      </c>
      <c r="M2182" s="7" t="n">
        <v>0</v>
      </c>
      <c r="N2182" s="7" t="s">
        <v>42</v>
      </c>
      <c r="O2182" s="7" t="s">
        <v>52</v>
      </c>
      <c r="P2182" s="7" t="n">
        <v>17.8</v>
      </c>
      <c r="Q2182" s="7" t="n">
        <v>26</v>
      </c>
      <c r="R2182" s="7" t="s">
        <v>53</v>
      </c>
      <c r="S2182" s="7"/>
      <c r="T2182" s="7"/>
      <c r="U2182" s="7" t="str">
        <f aca="false">IF(COUNTIF($A$2:$A$5001,A2182)&gt;1,"Duplicate","Unique")</f>
        <v>Unique</v>
      </c>
      <c r="V2182" s="7" t="str">
        <f aca="false">IF(COUNTIFS($B$2:$B$5001,B2182,$H$2:$H$5001,H2182,$J$2:$J$5001,J2182)&gt;1,"Possible Duplicate Booking","Unique")</f>
        <v>Unique</v>
      </c>
      <c r="W2182" s="7" t="str">
        <f aca="false">IF((H2182-G2182)&lt;&gt;K2182,"Mismatch","OK")</f>
        <v>OK</v>
      </c>
      <c r="X2182" s="7" t="str">
        <f aca="false">IF(TEXT(H2182,"dddd")&lt;&gt;I2182,"Mismatch","OK")</f>
        <v>OK</v>
      </c>
      <c r="Y2182" s="7" t="str">
        <f aca="false">IF(AND(N2182="No",O2182&lt;&gt;""),"Unexpected: channel present but no reminder sent",IF(AND(N2182="Yes",O2182=""),"Missing channel for sent reminder","OK"))</f>
        <v>OK</v>
      </c>
    </row>
    <row r="2183" customFormat="false" ht="15" hidden="false" customHeight="false" outlineLevel="0" collapsed="false">
      <c r="A2183" s="9" t="s">
        <v>3509</v>
      </c>
      <c r="B2183" s="9" t="s">
        <v>2013</v>
      </c>
      <c r="C2183" s="9" t="s">
        <v>47</v>
      </c>
      <c r="D2183" s="9" t="n">
        <v>22</v>
      </c>
      <c r="E2183" s="9" t="s">
        <v>82</v>
      </c>
      <c r="F2183" s="9" t="s">
        <v>57</v>
      </c>
      <c r="G2183" s="10" t="n">
        <v>45740</v>
      </c>
      <c r="H2183" s="10" t="n">
        <v>45789</v>
      </c>
      <c r="I2183" s="9" t="s">
        <v>66</v>
      </c>
      <c r="J2183" s="9" t="s">
        <v>41</v>
      </c>
      <c r="K2183" s="9" t="n">
        <v>49</v>
      </c>
      <c r="L2183" s="9" t="n">
        <v>4</v>
      </c>
      <c r="M2183" s="9" t="n">
        <v>1</v>
      </c>
      <c r="N2183" s="9" t="s">
        <v>42</v>
      </c>
      <c r="O2183" s="9" t="s">
        <v>52</v>
      </c>
      <c r="P2183" s="9" t="n">
        <v>13.4</v>
      </c>
      <c r="Q2183" s="9" t="n">
        <v>30</v>
      </c>
      <c r="R2183" s="9" t="s">
        <v>44</v>
      </c>
      <c r="S2183" s="9"/>
      <c r="T2183" s="9"/>
      <c r="U2183" s="9" t="str">
        <f aca="false">IF(COUNTIF($A$2:$A$5001,A2183)&gt;1,"Duplicate","Unique")</f>
        <v>Unique</v>
      </c>
      <c r="V2183" s="9" t="str">
        <f aca="false">IF(COUNTIFS($B$2:$B$5001,B2183,$H$2:$H$5001,H2183,$J$2:$J$5001,J2183)&gt;1,"Possible Duplicate Booking","Unique")</f>
        <v>Unique</v>
      </c>
      <c r="W2183" s="9" t="str">
        <f aca="false">IF((H2183-G2183)&lt;&gt;K2183,"Mismatch","OK")</f>
        <v>OK</v>
      </c>
      <c r="X2183" s="9" t="str">
        <f aca="false">IF(TEXT(H2183,"dddd")&lt;&gt;I2183,"Mismatch","OK")</f>
        <v>OK</v>
      </c>
      <c r="Y2183" s="9" t="str">
        <f aca="false">IF(AND(N2183="No",O2183&lt;&gt;""),"Unexpected: channel present but no reminder sent",IF(AND(N2183="Yes",O2183=""),"Missing channel for sent reminder","OK"))</f>
        <v>OK</v>
      </c>
    </row>
    <row r="2184" customFormat="false" ht="15" hidden="false" customHeight="false" outlineLevel="0" collapsed="false">
      <c r="A2184" s="7" t="s">
        <v>3510</v>
      </c>
      <c r="B2184" s="7" t="s">
        <v>664</v>
      </c>
      <c r="C2184" s="7" t="s">
        <v>47</v>
      </c>
      <c r="D2184" s="7" t="n">
        <v>21</v>
      </c>
      <c r="E2184" s="7" t="s">
        <v>82</v>
      </c>
      <c r="F2184" s="7" t="s">
        <v>74</v>
      </c>
      <c r="G2184" s="8" t="n">
        <v>45985</v>
      </c>
      <c r="H2184" s="8" t="n">
        <v>45988</v>
      </c>
      <c r="I2184" s="7" t="s">
        <v>62</v>
      </c>
      <c r="J2184" s="7" t="s">
        <v>63</v>
      </c>
      <c r="K2184" s="7" t="n">
        <v>3</v>
      </c>
      <c r="L2184" s="7" t="n">
        <v>4</v>
      </c>
      <c r="M2184" s="7" t="n">
        <v>1</v>
      </c>
      <c r="N2184" s="7" t="s">
        <v>71</v>
      </c>
      <c r="O2184" s="7"/>
      <c r="P2184" s="7"/>
      <c r="Q2184" s="7" t="n">
        <v>9</v>
      </c>
      <c r="R2184" s="7" t="s">
        <v>53</v>
      </c>
      <c r="S2184" s="7"/>
      <c r="T2184" s="7"/>
      <c r="U2184" s="7" t="str">
        <f aca="false">IF(COUNTIF($A$2:$A$5001,A2184)&gt;1,"Duplicate","Unique")</f>
        <v>Unique</v>
      </c>
      <c r="V2184" s="7" t="str">
        <f aca="false">IF(COUNTIFS($B$2:$B$5001,B2184,$H$2:$H$5001,H2184,$J$2:$J$5001,J2184)&gt;1,"Possible Duplicate Booking","Unique")</f>
        <v>Unique</v>
      </c>
      <c r="W2184" s="7" t="str">
        <f aca="false">IF((H2184-G2184)&lt;&gt;K2184,"Mismatch","OK")</f>
        <v>OK</v>
      </c>
      <c r="X2184" s="7" t="str">
        <f aca="false">IF(TEXT(H2184,"dddd")&lt;&gt;I2184,"Mismatch","OK")</f>
        <v>OK</v>
      </c>
      <c r="Y2184" s="7" t="str">
        <f aca="false">IF(AND(N2184="No",O2184&lt;&gt;""),"Unexpected: channel present but no reminder sent",IF(AND(N2184="Yes",O2184=""),"Missing channel for sent reminder","OK"))</f>
        <v>OK</v>
      </c>
    </row>
    <row r="2185" customFormat="false" ht="15" hidden="false" customHeight="false" outlineLevel="0" collapsed="false">
      <c r="A2185" s="9" t="s">
        <v>3511</v>
      </c>
      <c r="B2185" s="9" t="s">
        <v>1348</v>
      </c>
      <c r="C2185" s="9" t="s">
        <v>37</v>
      </c>
      <c r="D2185" s="9" t="n">
        <v>25</v>
      </c>
      <c r="E2185" s="9" t="s">
        <v>48</v>
      </c>
      <c r="F2185" s="9" t="s">
        <v>57</v>
      </c>
      <c r="G2185" s="10" t="n">
        <v>45990</v>
      </c>
      <c r="H2185" s="10" t="n">
        <v>46010</v>
      </c>
      <c r="I2185" s="9" t="s">
        <v>50</v>
      </c>
      <c r="J2185" s="9" t="s">
        <v>41</v>
      </c>
      <c r="K2185" s="9" t="n">
        <v>20</v>
      </c>
      <c r="L2185" s="9" t="n">
        <v>3</v>
      </c>
      <c r="M2185" s="9" t="n">
        <v>0</v>
      </c>
      <c r="N2185" s="9" t="s">
        <v>42</v>
      </c>
      <c r="O2185" s="9" t="s">
        <v>43</v>
      </c>
      <c r="P2185" s="9" t="n">
        <v>10.1</v>
      </c>
      <c r="Q2185" s="9" t="n">
        <v>33</v>
      </c>
      <c r="R2185" s="9" t="s">
        <v>53</v>
      </c>
      <c r="S2185" s="9"/>
      <c r="T2185" s="9"/>
      <c r="U2185" s="9" t="str">
        <f aca="false">IF(COUNTIF($A$2:$A$5001,A2185)&gt;1,"Duplicate","Unique")</f>
        <v>Unique</v>
      </c>
      <c r="V2185" s="9" t="str">
        <f aca="false">IF(COUNTIFS($B$2:$B$5001,B2185,$H$2:$H$5001,H2185,$J$2:$J$5001,J2185)&gt;1,"Possible Duplicate Booking","Unique")</f>
        <v>Unique</v>
      </c>
      <c r="W2185" s="9" t="str">
        <f aca="false">IF((H2185-G2185)&lt;&gt;K2185,"Mismatch","OK")</f>
        <v>OK</v>
      </c>
      <c r="X2185" s="9" t="str">
        <f aca="false">IF(TEXT(H2185,"dddd")&lt;&gt;I2185,"Mismatch","OK")</f>
        <v>OK</v>
      </c>
      <c r="Y2185" s="9" t="str">
        <f aca="false">IF(AND(N2185="No",O2185&lt;&gt;""),"Unexpected: channel present but no reminder sent",IF(AND(N2185="Yes",O2185=""),"Missing channel for sent reminder","OK"))</f>
        <v>OK</v>
      </c>
    </row>
    <row r="2186" customFormat="false" ht="15" hidden="false" customHeight="false" outlineLevel="0" collapsed="false">
      <c r="A2186" s="7" t="s">
        <v>3512</v>
      </c>
      <c r="B2186" s="7" t="s">
        <v>3513</v>
      </c>
      <c r="C2186" s="7" t="s">
        <v>37</v>
      </c>
      <c r="D2186" s="7" t="n">
        <v>21</v>
      </c>
      <c r="E2186" s="7" t="s">
        <v>82</v>
      </c>
      <c r="F2186" s="7" t="s">
        <v>57</v>
      </c>
      <c r="G2186" s="8" t="n">
        <v>45990</v>
      </c>
      <c r="H2186" s="8" t="n">
        <v>46004</v>
      </c>
      <c r="I2186" s="7" t="s">
        <v>102</v>
      </c>
      <c r="J2186" s="7" t="s">
        <v>51</v>
      </c>
      <c r="K2186" s="7" t="n">
        <v>14</v>
      </c>
      <c r="L2186" s="7" t="n">
        <v>1</v>
      </c>
      <c r="M2186" s="7" t="n">
        <v>0</v>
      </c>
      <c r="N2186" s="7" t="s">
        <v>42</v>
      </c>
      <c r="O2186" s="7" t="s">
        <v>43</v>
      </c>
      <c r="P2186" s="7" t="n">
        <v>7.9</v>
      </c>
      <c r="Q2186" s="7" t="n">
        <v>28</v>
      </c>
      <c r="R2186" s="7" t="s">
        <v>53</v>
      </c>
      <c r="S2186" s="7"/>
      <c r="T2186" s="7"/>
      <c r="U2186" s="7" t="str">
        <f aca="false">IF(COUNTIF($A$2:$A$5001,A2186)&gt;1,"Duplicate","Unique")</f>
        <v>Unique</v>
      </c>
      <c r="V2186" s="7" t="str">
        <f aca="false">IF(COUNTIFS($B$2:$B$5001,B2186,$H$2:$H$5001,H2186,$J$2:$J$5001,J2186)&gt;1,"Possible Duplicate Booking","Unique")</f>
        <v>Unique</v>
      </c>
      <c r="W2186" s="7" t="str">
        <f aca="false">IF((H2186-G2186)&lt;&gt;K2186,"Mismatch","OK")</f>
        <v>OK</v>
      </c>
      <c r="X2186" s="7" t="str">
        <f aca="false">IF(TEXT(H2186,"dddd")&lt;&gt;I2186,"Mismatch","OK")</f>
        <v>OK</v>
      </c>
      <c r="Y2186" s="7" t="str">
        <f aca="false">IF(AND(N2186="No",O2186&lt;&gt;""),"Unexpected: channel present but no reminder sent",IF(AND(N2186="Yes",O2186=""),"Missing channel for sent reminder","OK"))</f>
        <v>OK</v>
      </c>
    </row>
    <row r="2187" customFormat="false" ht="15" hidden="false" customHeight="false" outlineLevel="0" collapsed="false">
      <c r="A2187" s="9" t="s">
        <v>3514</v>
      </c>
      <c r="B2187" s="9" t="s">
        <v>203</v>
      </c>
      <c r="C2187" s="9" t="s">
        <v>37</v>
      </c>
      <c r="D2187" s="9" t="n">
        <v>56</v>
      </c>
      <c r="E2187" s="9" t="s">
        <v>61</v>
      </c>
      <c r="F2187" s="9" t="s">
        <v>57</v>
      </c>
      <c r="G2187" s="10" t="n">
        <v>45766</v>
      </c>
      <c r="H2187" s="10" t="n">
        <v>45815</v>
      </c>
      <c r="I2187" s="9" t="s">
        <v>102</v>
      </c>
      <c r="J2187" s="9" t="s">
        <v>63</v>
      </c>
      <c r="K2187" s="9" t="n">
        <v>49</v>
      </c>
      <c r="L2187" s="9" t="n">
        <v>3</v>
      </c>
      <c r="M2187" s="9" t="n">
        <v>0</v>
      </c>
      <c r="N2187" s="9" t="s">
        <v>71</v>
      </c>
      <c r="O2187" s="9"/>
      <c r="P2187" s="9" t="n">
        <v>10.3</v>
      </c>
      <c r="Q2187" s="9" t="n">
        <v>23</v>
      </c>
      <c r="R2187" s="9" t="s">
        <v>44</v>
      </c>
      <c r="S2187" s="9"/>
      <c r="T2187" s="9"/>
      <c r="U2187" s="9" t="str">
        <f aca="false">IF(COUNTIF($A$2:$A$5001,A2187)&gt;1,"Duplicate","Unique")</f>
        <v>Unique</v>
      </c>
      <c r="V2187" s="9" t="str">
        <f aca="false">IF(COUNTIFS($B$2:$B$5001,B2187,$H$2:$H$5001,H2187,$J$2:$J$5001,J2187)&gt;1,"Possible Duplicate Booking","Unique")</f>
        <v>Unique</v>
      </c>
      <c r="W2187" s="9" t="str">
        <f aca="false">IF((H2187-G2187)&lt;&gt;K2187,"Mismatch","OK")</f>
        <v>OK</v>
      </c>
      <c r="X2187" s="9" t="str">
        <f aca="false">IF(TEXT(H2187,"dddd")&lt;&gt;I2187,"Mismatch","OK")</f>
        <v>OK</v>
      </c>
      <c r="Y2187" s="9" t="str">
        <f aca="false">IF(AND(N2187="No",O2187&lt;&gt;""),"Unexpected: channel present but no reminder sent",IF(AND(N2187="Yes",O2187=""),"Missing channel for sent reminder","OK"))</f>
        <v>OK</v>
      </c>
    </row>
    <row r="2188" customFormat="false" ht="15" hidden="false" customHeight="false" outlineLevel="0" collapsed="false">
      <c r="A2188" s="7" t="s">
        <v>3515</v>
      </c>
      <c r="B2188" s="7" t="s">
        <v>288</v>
      </c>
      <c r="C2188" s="7" t="s">
        <v>37</v>
      </c>
      <c r="D2188" s="7" t="n">
        <v>26</v>
      </c>
      <c r="E2188" s="7" t="s">
        <v>48</v>
      </c>
      <c r="F2188" s="7" t="s">
        <v>49</v>
      </c>
      <c r="G2188" s="8" t="n">
        <v>45796</v>
      </c>
      <c r="H2188" s="8" t="n">
        <v>45824</v>
      </c>
      <c r="I2188" s="7" t="s">
        <v>66</v>
      </c>
      <c r="J2188" s="7" t="s">
        <v>51</v>
      </c>
      <c r="K2188" s="7" t="n">
        <v>28</v>
      </c>
      <c r="L2188" s="7" t="n">
        <v>3</v>
      </c>
      <c r="M2188" s="7" t="n">
        <v>2</v>
      </c>
      <c r="N2188" s="7" t="s">
        <v>42</v>
      </c>
      <c r="O2188" s="7" t="s">
        <v>52</v>
      </c>
      <c r="P2188" s="7" t="n">
        <v>23.4</v>
      </c>
      <c r="Q2188" s="7" t="n">
        <v>32</v>
      </c>
      <c r="R2188" s="7" t="s">
        <v>87</v>
      </c>
      <c r="S2188" s="7"/>
      <c r="T2188" s="7"/>
      <c r="U2188" s="7" t="str">
        <f aca="false">IF(COUNTIF($A$2:$A$5001,A2188)&gt;1,"Duplicate","Unique")</f>
        <v>Unique</v>
      </c>
      <c r="V2188" s="7" t="str">
        <f aca="false">IF(COUNTIFS($B$2:$B$5001,B2188,$H$2:$H$5001,H2188,$J$2:$J$5001,J2188)&gt;1,"Possible Duplicate Booking","Unique")</f>
        <v>Unique</v>
      </c>
      <c r="W2188" s="7" t="str">
        <f aca="false">IF((H2188-G2188)&lt;&gt;K2188,"Mismatch","OK")</f>
        <v>OK</v>
      </c>
      <c r="X2188" s="7" t="str">
        <f aca="false">IF(TEXT(H2188,"dddd")&lt;&gt;I2188,"Mismatch","OK")</f>
        <v>OK</v>
      </c>
      <c r="Y2188" s="7" t="str">
        <f aca="false">IF(AND(N2188="No",O2188&lt;&gt;""),"Unexpected: channel present but no reminder sent",IF(AND(N2188="Yes",O2188=""),"Missing channel for sent reminder","OK"))</f>
        <v>OK</v>
      </c>
    </row>
    <row r="2189" customFormat="false" ht="15" hidden="false" customHeight="false" outlineLevel="0" collapsed="false">
      <c r="A2189" s="9" t="s">
        <v>3516</v>
      </c>
      <c r="B2189" s="9" t="s">
        <v>1821</v>
      </c>
      <c r="C2189" s="9" t="s">
        <v>37</v>
      </c>
      <c r="D2189" s="9" t="n">
        <v>56</v>
      </c>
      <c r="E2189" s="9" t="s">
        <v>61</v>
      </c>
      <c r="F2189" s="9" t="s">
        <v>49</v>
      </c>
      <c r="G2189" s="10" t="n">
        <v>45793</v>
      </c>
      <c r="H2189" s="10" t="n">
        <v>45798</v>
      </c>
      <c r="I2189" s="9" t="s">
        <v>58</v>
      </c>
      <c r="J2189" s="9" t="s">
        <v>41</v>
      </c>
      <c r="K2189" s="9" t="n">
        <v>5</v>
      </c>
      <c r="L2189" s="9" t="n">
        <v>3</v>
      </c>
      <c r="M2189" s="9" t="n">
        <v>0</v>
      </c>
      <c r="N2189" s="9" t="s">
        <v>42</v>
      </c>
      <c r="O2189" s="9" t="s">
        <v>43</v>
      </c>
      <c r="P2189" s="9" t="n">
        <v>6.7</v>
      </c>
      <c r="Q2189" s="9" t="n">
        <v>11</v>
      </c>
      <c r="R2189" s="9" t="s">
        <v>53</v>
      </c>
      <c r="S2189" s="9"/>
      <c r="T2189" s="9"/>
      <c r="U2189" s="9" t="str">
        <f aca="false">IF(COUNTIF($A$2:$A$5001,A2189)&gt;1,"Duplicate","Unique")</f>
        <v>Unique</v>
      </c>
      <c r="V2189" s="9" t="str">
        <f aca="false">IF(COUNTIFS($B$2:$B$5001,B2189,$H$2:$H$5001,H2189,$J$2:$J$5001,J2189)&gt;1,"Possible Duplicate Booking","Unique")</f>
        <v>Unique</v>
      </c>
      <c r="W2189" s="9" t="str">
        <f aca="false">IF((H2189-G2189)&lt;&gt;K2189,"Mismatch","OK")</f>
        <v>OK</v>
      </c>
      <c r="X2189" s="9" t="str">
        <f aca="false">IF(TEXT(H2189,"dddd")&lt;&gt;I2189,"Mismatch","OK")</f>
        <v>OK</v>
      </c>
      <c r="Y2189" s="9" t="str">
        <f aca="false">IF(AND(N2189="No",O2189&lt;&gt;""),"Unexpected: channel present but no reminder sent",IF(AND(N2189="Yes",O2189=""),"Missing channel for sent reminder","OK"))</f>
        <v>OK</v>
      </c>
    </row>
    <row r="2190" customFormat="false" ht="15" hidden="false" customHeight="false" outlineLevel="0" collapsed="false">
      <c r="A2190" s="7" t="s">
        <v>3517</v>
      </c>
      <c r="B2190" s="7" t="s">
        <v>2834</v>
      </c>
      <c r="C2190" s="7" t="s">
        <v>37</v>
      </c>
      <c r="D2190" s="7" t="n">
        <v>29</v>
      </c>
      <c r="E2190" s="7" t="s">
        <v>48</v>
      </c>
      <c r="F2190" s="7" t="s">
        <v>57</v>
      </c>
      <c r="G2190" s="8" t="n">
        <v>45895</v>
      </c>
      <c r="H2190" s="8" t="n">
        <v>45910</v>
      </c>
      <c r="I2190" s="7" t="s">
        <v>58</v>
      </c>
      <c r="J2190" s="7" t="s">
        <v>41</v>
      </c>
      <c r="K2190" s="7" t="n">
        <v>15</v>
      </c>
      <c r="L2190" s="7" t="n">
        <v>4</v>
      </c>
      <c r="M2190" s="7" t="n">
        <v>0</v>
      </c>
      <c r="N2190" s="7" t="s">
        <v>71</v>
      </c>
      <c r="O2190" s="7"/>
      <c r="P2190" s="7" t="n">
        <v>6.1</v>
      </c>
      <c r="Q2190" s="7" t="n">
        <v>44</v>
      </c>
      <c r="R2190" s="7" t="s">
        <v>44</v>
      </c>
      <c r="S2190" s="7"/>
      <c r="T2190" s="7"/>
      <c r="U2190" s="7" t="str">
        <f aca="false">IF(COUNTIF($A$2:$A$5001,A2190)&gt;1,"Duplicate","Unique")</f>
        <v>Unique</v>
      </c>
      <c r="V2190" s="7" t="str">
        <f aca="false">IF(COUNTIFS($B$2:$B$5001,B2190,$H$2:$H$5001,H2190,$J$2:$J$5001,J2190)&gt;1,"Possible Duplicate Booking","Unique")</f>
        <v>Unique</v>
      </c>
      <c r="W2190" s="7" t="str">
        <f aca="false">IF((H2190-G2190)&lt;&gt;K2190,"Mismatch","OK")</f>
        <v>OK</v>
      </c>
      <c r="X2190" s="7" t="str">
        <f aca="false">IF(TEXT(H2190,"dddd")&lt;&gt;I2190,"Mismatch","OK")</f>
        <v>OK</v>
      </c>
      <c r="Y2190" s="7" t="str">
        <f aca="false">IF(AND(N2190="No",O2190&lt;&gt;""),"Unexpected: channel present but no reminder sent",IF(AND(N2190="Yes",O2190=""),"Missing channel for sent reminder","OK"))</f>
        <v>OK</v>
      </c>
    </row>
    <row r="2191" customFormat="false" ht="15" hidden="false" customHeight="false" outlineLevel="0" collapsed="false">
      <c r="A2191" s="9" t="s">
        <v>3518</v>
      </c>
      <c r="B2191" s="9" t="s">
        <v>3519</v>
      </c>
      <c r="C2191" s="9" t="s">
        <v>37</v>
      </c>
      <c r="D2191" s="9" t="n">
        <v>79</v>
      </c>
      <c r="E2191" s="9" t="s">
        <v>70</v>
      </c>
      <c r="F2191" s="9" t="s">
        <v>57</v>
      </c>
      <c r="G2191" s="10" t="n">
        <v>45975</v>
      </c>
      <c r="H2191" s="10" t="n">
        <v>45977</v>
      </c>
      <c r="I2191" s="9" t="s">
        <v>75</v>
      </c>
      <c r="J2191" s="9" t="s">
        <v>63</v>
      </c>
      <c r="K2191" s="9" t="n">
        <v>2</v>
      </c>
      <c r="L2191" s="9" t="n">
        <v>2</v>
      </c>
      <c r="M2191" s="9" t="n">
        <v>0</v>
      </c>
      <c r="N2191" s="9" t="s">
        <v>42</v>
      </c>
      <c r="O2191" s="9" t="s">
        <v>52</v>
      </c>
      <c r="P2191" s="9" t="n">
        <v>7.2</v>
      </c>
      <c r="Q2191" s="9" t="n">
        <v>56</v>
      </c>
      <c r="R2191" s="9" t="s">
        <v>53</v>
      </c>
      <c r="S2191" s="9"/>
      <c r="T2191" s="9"/>
      <c r="U2191" s="9" t="str">
        <f aca="false">IF(COUNTIF($A$2:$A$5001,A2191)&gt;1,"Duplicate","Unique")</f>
        <v>Unique</v>
      </c>
      <c r="V2191" s="9" t="str">
        <f aca="false">IF(COUNTIFS($B$2:$B$5001,B2191,$H$2:$H$5001,H2191,$J$2:$J$5001,J2191)&gt;1,"Possible Duplicate Booking","Unique")</f>
        <v>Unique</v>
      </c>
      <c r="W2191" s="9" t="str">
        <f aca="false">IF((H2191-G2191)&lt;&gt;K2191,"Mismatch","OK")</f>
        <v>OK</v>
      </c>
      <c r="X2191" s="9" t="str">
        <f aca="false">IF(TEXT(H2191,"dddd")&lt;&gt;I2191,"Mismatch","OK")</f>
        <v>OK</v>
      </c>
      <c r="Y2191" s="9" t="str">
        <f aca="false">IF(AND(N2191="No",O2191&lt;&gt;""),"Unexpected: channel present but no reminder sent",IF(AND(N2191="Yes",O2191=""),"Missing channel for sent reminder","OK"))</f>
        <v>OK</v>
      </c>
    </row>
    <row r="2192" customFormat="false" ht="15" hidden="false" customHeight="false" outlineLevel="0" collapsed="false">
      <c r="A2192" s="7" t="s">
        <v>3520</v>
      </c>
      <c r="B2192" s="7" t="s">
        <v>2721</v>
      </c>
      <c r="C2192" s="7" t="s">
        <v>47</v>
      </c>
      <c r="D2192" s="7" t="n">
        <v>63</v>
      </c>
      <c r="E2192" s="7" t="s">
        <v>61</v>
      </c>
      <c r="F2192" s="7" t="s">
        <v>39</v>
      </c>
      <c r="G2192" s="8" t="n">
        <v>45826</v>
      </c>
      <c r="H2192" s="8" t="n">
        <v>45855</v>
      </c>
      <c r="I2192" s="7" t="s">
        <v>62</v>
      </c>
      <c r="J2192" s="7" t="s">
        <v>63</v>
      </c>
      <c r="K2192" s="7" t="n">
        <v>29</v>
      </c>
      <c r="L2192" s="7" t="n">
        <v>4</v>
      </c>
      <c r="M2192" s="7" t="n">
        <v>0</v>
      </c>
      <c r="N2192" s="7" t="s">
        <v>42</v>
      </c>
      <c r="O2192" s="7" t="s">
        <v>43</v>
      </c>
      <c r="P2192" s="7" t="n">
        <v>5.6</v>
      </c>
      <c r="Q2192" s="7" t="n">
        <v>17</v>
      </c>
      <c r="R2192" s="7" t="s">
        <v>87</v>
      </c>
      <c r="S2192" s="7"/>
      <c r="T2192" s="7"/>
      <c r="U2192" s="7" t="str">
        <f aca="false">IF(COUNTIF($A$2:$A$5001,A2192)&gt;1,"Duplicate","Unique")</f>
        <v>Unique</v>
      </c>
      <c r="V2192" s="7" t="str">
        <f aca="false">IF(COUNTIFS($B$2:$B$5001,B2192,$H$2:$H$5001,H2192,$J$2:$J$5001,J2192)&gt;1,"Possible Duplicate Booking","Unique")</f>
        <v>Unique</v>
      </c>
      <c r="W2192" s="7" t="str">
        <f aca="false">IF((H2192-G2192)&lt;&gt;K2192,"Mismatch","OK")</f>
        <v>OK</v>
      </c>
      <c r="X2192" s="7" t="str">
        <f aca="false">IF(TEXT(H2192,"dddd")&lt;&gt;I2192,"Mismatch","OK")</f>
        <v>OK</v>
      </c>
      <c r="Y2192" s="7" t="str">
        <f aca="false">IF(AND(N2192="No",O2192&lt;&gt;""),"Unexpected: channel present but no reminder sent",IF(AND(N2192="Yes",O2192=""),"Missing channel for sent reminder","OK"))</f>
        <v>OK</v>
      </c>
    </row>
    <row r="2193" customFormat="false" ht="15" hidden="false" customHeight="false" outlineLevel="0" collapsed="false">
      <c r="A2193" s="9" t="s">
        <v>3521</v>
      </c>
      <c r="B2193" s="9" t="s">
        <v>560</v>
      </c>
      <c r="C2193" s="9" t="s">
        <v>47</v>
      </c>
      <c r="D2193" s="9" t="n">
        <v>41</v>
      </c>
      <c r="E2193" s="9" t="s">
        <v>38</v>
      </c>
      <c r="F2193" s="9" t="s">
        <v>57</v>
      </c>
      <c r="G2193" s="10" t="n">
        <v>45821</v>
      </c>
      <c r="H2193" s="10" t="n">
        <v>45881</v>
      </c>
      <c r="I2193" s="9" t="s">
        <v>40</v>
      </c>
      <c r="J2193" s="9" t="s">
        <v>51</v>
      </c>
      <c r="K2193" s="9" t="n">
        <v>60</v>
      </c>
      <c r="L2193" s="9" t="n">
        <v>4</v>
      </c>
      <c r="M2193" s="9" t="n">
        <v>1</v>
      </c>
      <c r="N2193" s="9" t="s">
        <v>42</v>
      </c>
      <c r="O2193" s="9" t="s">
        <v>52</v>
      </c>
      <c r="P2193" s="9" t="n">
        <v>10.8</v>
      </c>
      <c r="Q2193" s="9" t="n">
        <v>37</v>
      </c>
      <c r="R2193" s="9" t="s">
        <v>53</v>
      </c>
      <c r="S2193" s="9"/>
      <c r="T2193" s="9"/>
      <c r="U2193" s="9" t="str">
        <f aca="false">IF(COUNTIF($A$2:$A$5001,A2193)&gt;1,"Duplicate","Unique")</f>
        <v>Unique</v>
      </c>
      <c r="V2193" s="9" t="str">
        <f aca="false">IF(COUNTIFS($B$2:$B$5001,B2193,$H$2:$H$5001,H2193,$J$2:$J$5001,J2193)&gt;1,"Possible Duplicate Booking","Unique")</f>
        <v>Unique</v>
      </c>
      <c r="W2193" s="9" t="str">
        <f aca="false">IF((H2193-G2193)&lt;&gt;K2193,"Mismatch","OK")</f>
        <v>OK</v>
      </c>
      <c r="X2193" s="9" t="str">
        <f aca="false">IF(TEXT(H2193,"dddd")&lt;&gt;I2193,"Mismatch","OK")</f>
        <v>OK</v>
      </c>
      <c r="Y2193" s="9" t="str">
        <f aca="false">IF(AND(N2193="No",O2193&lt;&gt;""),"Unexpected: channel present but no reminder sent",IF(AND(N2193="Yes",O2193=""),"Missing channel for sent reminder","OK"))</f>
        <v>OK</v>
      </c>
    </row>
    <row r="2194" customFormat="false" ht="15" hidden="false" customHeight="false" outlineLevel="0" collapsed="false">
      <c r="A2194" s="7" t="s">
        <v>3522</v>
      </c>
      <c r="B2194" s="7" t="s">
        <v>2818</v>
      </c>
      <c r="C2194" s="7" t="s">
        <v>47</v>
      </c>
      <c r="D2194" s="7" t="n">
        <v>45</v>
      </c>
      <c r="E2194" s="7" t="s">
        <v>56</v>
      </c>
      <c r="F2194" s="7" t="s">
        <v>49</v>
      </c>
      <c r="G2194" s="8" t="n">
        <v>45780</v>
      </c>
      <c r="H2194" s="8" t="n">
        <v>45814</v>
      </c>
      <c r="I2194" s="7" t="s">
        <v>50</v>
      </c>
      <c r="J2194" s="7" t="s">
        <v>41</v>
      </c>
      <c r="K2194" s="7" t="n">
        <v>34</v>
      </c>
      <c r="L2194" s="7" t="n">
        <v>5</v>
      </c>
      <c r="M2194" s="7" t="n">
        <v>1</v>
      </c>
      <c r="N2194" s="7" t="s">
        <v>42</v>
      </c>
      <c r="O2194" s="7" t="s">
        <v>52</v>
      </c>
      <c r="P2194" s="7" t="n">
        <v>6.8</v>
      </c>
      <c r="Q2194" s="7" t="n">
        <v>22</v>
      </c>
      <c r="R2194" s="7" t="s">
        <v>87</v>
      </c>
      <c r="S2194" s="7"/>
      <c r="T2194" s="7"/>
      <c r="U2194" s="7" t="str">
        <f aca="false">IF(COUNTIF($A$2:$A$5001,A2194)&gt;1,"Duplicate","Unique")</f>
        <v>Unique</v>
      </c>
      <c r="V2194" s="7" t="str">
        <f aca="false">IF(COUNTIFS($B$2:$B$5001,B2194,$H$2:$H$5001,H2194,$J$2:$J$5001,J2194)&gt;1,"Possible Duplicate Booking","Unique")</f>
        <v>Unique</v>
      </c>
      <c r="W2194" s="7" t="str">
        <f aca="false">IF((H2194-G2194)&lt;&gt;K2194,"Mismatch","OK")</f>
        <v>OK</v>
      </c>
      <c r="X2194" s="7" t="str">
        <f aca="false">IF(TEXT(H2194,"dddd")&lt;&gt;I2194,"Mismatch","OK")</f>
        <v>OK</v>
      </c>
      <c r="Y2194" s="7" t="str">
        <f aca="false">IF(AND(N2194="No",O2194&lt;&gt;""),"Unexpected: channel present but no reminder sent",IF(AND(N2194="Yes",O2194=""),"Missing channel for sent reminder","OK"))</f>
        <v>OK</v>
      </c>
    </row>
    <row r="2195" customFormat="false" ht="15" hidden="false" customHeight="false" outlineLevel="0" collapsed="false">
      <c r="A2195" s="9" t="s">
        <v>3523</v>
      </c>
      <c r="B2195" s="9" t="s">
        <v>2172</v>
      </c>
      <c r="C2195" s="9" t="s">
        <v>37</v>
      </c>
      <c r="D2195" s="9" t="n">
        <v>22</v>
      </c>
      <c r="E2195" s="9" t="s">
        <v>82</v>
      </c>
      <c r="F2195" s="9" t="s">
        <v>57</v>
      </c>
      <c r="G2195" s="10" t="n">
        <v>45724</v>
      </c>
      <c r="H2195" s="10" t="n">
        <v>45777</v>
      </c>
      <c r="I2195" s="9" t="s">
        <v>58</v>
      </c>
      <c r="J2195" s="9" t="s">
        <v>51</v>
      </c>
      <c r="K2195" s="9" t="n">
        <v>53</v>
      </c>
      <c r="L2195" s="9" t="n">
        <v>6</v>
      </c>
      <c r="M2195" s="9" t="n">
        <v>2</v>
      </c>
      <c r="N2195" s="9" t="s">
        <v>42</v>
      </c>
      <c r="O2195" s="9" t="s">
        <v>52</v>
      </c>
      <c r="P2195" s="9"/>
      <c r="Q2195" s="9" t="n">
        <v>10</v>
      </c>
      <c r="R2195" s="9" t="s">
        <v>44</v>
      </c>
      <c r="S2195" s="9"/>
      <c r="T2195" s="9"/>
      <c r="U2195" s="9" t="str">
        <f aca="false">IF(COUNTIF($A$2:$A$5001,A2195)&gt;1,"Duplicate","Unique")</f>
        <v>Unique</v>
      </c>
      <c r="V2195" s="9" t="str">
        <f aca="false">IF(COUNTIFS($B$2:$B$5001,B2195,$H$2:$H$5001,H2195,$J$2:$J$5001,J2195)&gt;1,"Possible Duplicate Booking","Unique")</f>
        <v>Unique</v>
      </c>
      <c r="W2195" s="9" t="str">
        <f aca="false">IF((H2195-G2195)&lt;&gt;K2195,"Mismatch","OK")</f>
        <v>OK</v>
      </c>
      <c r="X2195" s="9" t="str">
        <f aca="false">IF(TEXT(H2195,"dddd")&lt;&gt;I2195,"Mismatch","OK")</f>
        <v>OK</v>
      </c>
      <c r="Y2195" s="9" t="str">
        <f aca="false">IF(AND(N2195="No",O2195&lt;&gt;""),"Unexpected: channel present but no reminder sent",IF(AND(N2195="Yes",O2195=""),"Missing channel for sent reminder","OK"))</f>
        <v>OK</v>
      </c>
    </row>
    <row r="2196" customFormat="false" ht="15" hidden="false" customHeight="false" outlineLevel="0" collapsed="false">
      <c r="A2196" s="7" t="s">
        <v>3524</v>
      </c>
      <c r="B2196" s="7" t="s">
        <v>3525</v>
      </c>
      <c r="C2196" s="7" t="s">
        <v>47</v>
      </c>
      <c r="D2196" s="7" t="n">
        <v>21</v>
      </c>
      <c r="E2196" s="7" t="s">
        <v>82</v>
      </c>
      <c r="F2196" s="7" t="s">
        <v>39</v>
      </c>
      <c r="G2196" s="8" t="n">
        <v>45971</v>
      </c>
      <c r="H2196" s="8" t="n">
        <v>46016</v>
      </c>
      <c r="I2196" s="7" t="s">
        <v>62</v>
      </c>
      <c r="J2196" s="7" t="s">
        <v>41</v>
      </c>
      <c r="K2196" s="7" t="n">
        <v>45</v>
      </c>
      <c r="L2196" s="7" t="n">
        <v>5</v>
      </c>
      <c r="M2196" s="7" t="n">
        <v>0</v>
      </c>
      <c r="N2196" s="7" t="s">
        <v>42</v>
      </c>
      <c r="O2196" s="7" t="s">
        <v>52</v>
      </c>
      <c r="P2196" s="7" t="n">
        <v>3.9</v>
      </c>
      <c r="Q2196" s="7" t="n">
        <v>38</v>
      </c>
      <c r="R2196" s="7" t="s">
        <v>44</v>
      </c>
      <c r="S2196" s="7"/>
      <c r="T2196" s="7"/>
      <c r="U2196" s="7" t="str">
        <f aca="false">IF(COUNTIF($A$2:$A$5001,A2196)&gt;1,"Duplicate","Unique")</f>
        <v>Unique</v>
      </c>
      <c r="V2196" s="7" t="str">
        <f aca="false">IF(COUNTIFS($B$2:$B$5001,B2196,$H$2:$H$5001,H2196,$J$2:$J$5001,J2196)&gt;1,"Possible Duplicate Booking","Unique")</f>
        <v>Unique</v>
      </c>
      <c r="W2196" s="7" t="str">
        <f aca="false">IF((H2196-G2196)&lt;&gt;K2196,"Mismatch","OK")</f>
        <v>OK</v>
      </c>
      <c r="X2196" s="7" t="str">
        <f aca="false">IF(TEXT(H2196,"dddd")&lt;&gt;I2196,"Mismatch","OK")</f>
        <v>OK</v>
      </c>
      <c r="Y2196" s="7" t="str">
        <f aca="false">IF(AND(N2196="No",O2196&lt;&gt;""),"Unexpected: channel present but no reminder sent",IF(AND(N2196="Yes",O2196=""),"Missing channel for sent reminder","OK"))</f>
        <v>OK</v>
      </c>
    </row>
    <row r="2197" customFormat="false" ht="15" hidden="false" customHeight="false" outlineLevel="0" collapsed="false">
      <c r="A2197" s="9" t="s">
        <v>3526</v>
      </c>
      <c r="B2197" s="9" t="s">
        <v>1044</v>
      </c>
      <c r="C2197" s="9" t="s">
        <v>37</v>
      </c>
      <c r="D2197" s="9" t="n">
        <v>51</v>
      </c>
      <c r="E2197" s="9" t="s">
        <v>56</v>
      </c>
      <c r="F2197" s="9" t="s">
        <v>57</v>
      </c>
      <c r="G2197" s="10" t="n">
        <v>46050</v>
      </c>
      <c r="H2197" s="10" t="n">
        <v>46103</v>
      </c>
      <c r="I2197" s="9" t="s">
        <v>75</v>
      </c>
      <c r="J2197" s="9" t="s">
        <v>41</v>
      </c>
      <c r="K2197" s="9" t="n">
        <v>53</v>
      </c>
      <c r="L2197" s="9" t="n">
        <v>2</v>
      </c>
      <c r="M2197" s="9" t="n">
        <v>0</v>
      </c>
      <c r="N2197" s="9" t="s">
        <v>42</v>
      </c>
      <c r="O2197" s="9" t="s">
        <v>52</v>
      </c>
      <c r="P2197" s="9" t="n">
        <v>13.6</v>
      </c>
      <c r="Q2197" s="9" t="n">
        <v>21</v>
      </c>
      <c r="R2197" s="9" t="s">
        <v>44</v>
      </c>
      <c r="S2197" s="9"/>
      <c r="T2197" s="9"/>
      <c r="U2197" s="9" t="str">
        <f aca="false">IF(COUNTIF($A$2:$A$5001,A2197)&gt;1,"Duplicate","Unique")</f>
        <v>Unique</v>
      </c>
      <c r="V2197" s="9" t="str">
        <f aca="false">IF(COUNTIFS($B$2:$B$5001,B2197,$H$2:$H$5001,H2197,$J$2:$J$5001,J2197)&gt;1,"Possible Duplicate Booking","Unique")</f>
        <v>Unique</v>
      </c>
      <c r="W2197" s="9" t="str">
        <f aca="false">IF((H2197-G2197)&lt;&gt;K2197,"Mismatch","OK")</f>
        <v>OK</v>
      </c>
      <c r="X2197" s="9" t="str">
        <f aca="false">IF(TEXT(H2197,"dddd")&lt;&gt;I2197,"Mismatch","OK")</f>
        <v>OK</v>
      </c>
      <c r="Y2197" s="9" t="str">
        <f aca="false">IF(AND(N2197="No",O2197&lt;&gt;""),"Unexpected: channel present but no reminder sent",IF(AND(N2197="Yes",O2197=""),"Missing channel for sent reminder","OK"))</f>
        <v>OK</v>
      </c>
    </row>
    <row r="2198" customFormat="false" ht="15" hidden="false" customHeight="false" outlineLevel="0" collapsed="false">
      <c r="A2198" s="7" t="s">
        <v>3527</v>
      </c>
      <c r="B2198" s="7" t="s">
        <v>1765</v>
      </c>
      <c r="C2198" s="7" t="s">
        <v>47</v>
      </c>
      <c r="D2198" s="7" t="n">
        <v>19</v>
      </c>
      <c r="E2198" s="7" t="s">
        <v>82</v>
      </c>
      <c r="F2198" s="7" t="s">
        <v>39</v>
      </c>
      <c r="G2198" s="8" t="n">
        <v>45798</v>
      </c>
      <c r="H2198" s="8" t="n">
        <v>45816</v>
      </c>
      <c r="I2198" s="7" t="s">
        <v>75</v>
      </c>
      <c r="J2198" s="7" t="s">
        <v>51</v>
      </c>
      <c r="K2198" s="7" t="n">
        <v>18</v>
      </c>
      <c r="L2198" s="7" t="n">
        <v>2</v>
      </c>
      <c r="M2198" s="7" t="n">
        <v>0</v>
      </c>
      <c r="N2198" s="7" t="s">
        <v>42</v>
      </c>
      <c r="O2198" s="7" t="s">
        <v>52</v>
      </c>
      <c r="P2198" s="7" t="n">
        <v>18.6</v>
      </c>
      <c r="Q2198" s="7" t="n">
        <v>31</v>
      </c>
      <c r="R2198" s="7" t="s">
        <v>44</v>
      </c>
      <c r="S2198" s="7"/>
      <c r="T2198" s="7"/>
      <c r="U2198" s="7" t="str">
        <f aca="false">IF(COUNTIF($A$2:$A$5001,A2198)&gt;1,"Duplicate","Unique")</f>
        <v>Unique</v>
      </c>
      <c r="V2198" s="7" t="str">
        <f aca="false">IF(COUNTIFS($B$2:$B$5001,B2198,$H$2:$H$5001,H2198,$J$2:$J$5001,J2198)&gt;1,"Possible Duplicate Booking","Unique")</f>
        <v>Unique</v>
      </c>
      <c r="W2198" s="7" t="str">
        <f aca="false">IF((H2198-G2198)&lt;&gt;K2198,"Mismatch","OK")</f>
        <v>OK</v>
      </c>
      <c r="X2198" s="7" t="str">
        <f aca="false">IF(TEXT(H2198,"dddd")&lt;&gt;I2198,"Mismatch","OK")</f>
        <v>OK</v>
      </c>
      <c r="Y2198" s="7" t="str">
        <f aca="false">IF(AND(N2198="No",O2198&lt;&gt;""),"Unexpected: channel present but no reminder sent",IF(AND(N2198="Yes",O2198=""),"Missing channel for sent reminder","OK"))</f>
        <v>OK</v>
      </c>
    </row>
    <row r="2199" customFormat="false" ht="15" hidden="false" customHeight="false" outlineLevel="0" collapsed="false">
      <c r="A2199" s="9" t="s">
        <v>3528</v>
      </c>
      <c r="B2199" s="9" t="s">
        <v>1131</v>
      </c>
      <c r="C2199" s="9" t="s">
        <v>37</v>
      </c>
      <c r="D2199" s="9" t="n">
        <v>58</v>
      </c>
      <c r="E2199" s="9" t="s">
        <v>61</v>
      </c>
      <c r="F2199" s="9" t="s">
        <v>39</v>
      </c>
      <c r="G2199" s="10" t="n">
        <v>46069</v>
      </c>
      <c r="H2199" s="10" t="n">
        <v>46127</v>
      </c>
      <c r="I2199" s="9" t="s">
        <v>58</v>
      </c>
      <c r="J2199" s="9" t="s">
        <v>41</v>
      </c>
      <c r="K2199" s="9" t="n">
        <v>58</v>
      </c>
      <c r="L2199" s="9" t="n">
        <v>1</v>
      </c>
      <c r="M2199" s="9" t="n">
        <v>0</v>
      </c>
      <c r="N2199" s="9" t="s">
        <v>42</v>
      </c>
      <c r="O2199" s="9" t="s">
        <v>67</v>
      </c>
      <c r="P2199" s="9" t="n">
        <v>3.8</v>
      </c>
      <c r="Q2199" s="9" t="n">
        <v>45</v>
      </c>
      <c r="R2199" s="9" t="s">
        <v>53</v>
      </c>
      <c r="S2199" s="9"/>
      <c r="T2199" s="9"/>
      <c r="U2199" s="9" t="str">
        <f aca="false">IF(COUNTIF($A$2:$A$5001,A2199)&gt;1,"Duplicate","Unique")</f>
        <v>Unique</v>
      </c>
      <c r="V2199" s="9" t="str">
        <f aca="false">IF(COUNTIFS($B$2:$B$5001,B2199,$H$2:$H$5001,H2199,$J$2:$J$5001,J2199)&gt;1,"Possible Duplicate Booking","Unique")</f>
        <v>Unique</v>
      </c>
      <c r="W2199" s="9" t="str">
        <f aca="false">IF((H2199-G2199)&lt;&gt;K2199,"Mismatch","OK")</f>
        <v>OK</v>
      </c>
      <c r="X2199" s="9" t="str">
        <f aca="false">IF(TEXT(H2199,"dddd")&lt;&gt;I2199,"Mismatch","OK")</f>
        <v>OK</v>
      </c>
      <c r="Y2199" s="9" t="str">
        <f aca="false">IF(AND(N2199="No",O2199&lt;&gt;""),"Unexpected: channel present but no reminder sent",IF(AND(N2199="Yes",O2199=""),"Missing channel for sent reminder","OK"))</f>
        <v>OK</v>
      </c>
    </row>
    <row r="2200" customFormat="false" ht="15" hidden="false" customHeight="false" outlineLevel="0" collapsed="false">
      <c r="A2200" s="7" t="s">
        <v>3529</v>
      </c>
      <c r="B2200" s="7" t="s">
        <v>3530</v>
      </c>
      <c r="C2200" s="7" t="s">
        <v>37</v>
      </c>
      <c r="D2200" s="7" t="n">
        <v>42</v>
      </c>
      <c r="E2200" s="7" t="s">
        <v>38</v>
      </c>
      <c r="F2200" s="7" t="s">
        <v>57</v>
      </c>
      <c r="G2200" s="8" t="n">
        <v>45955</v>
      </c>
      <c r="H2200" s="8" t="n">
        <v>45969</v>
      </c>
      <c r="I2200" s="7" t="s">
        <v>102</v>
      </c>
      <c r="J2200" s="7" t="s">
        <v>41</v>
      </c>
      <c r="K2200" s="7" t="n">
        <v>14</v>
      </c>
      <c r="L2200" s="7" t="n">
        <v>2</v>
      </c>
      <c r="M2200" s="7" t="n">
        <v>0</v>
      </c>
      <c r="N2200" s="7" t="s">
        <v>71</v>
      </c>
      <c r="O2200" s="7"/>
      <c r="P2200" s="7" t="n">
        <v>12.3</v>
      </c>
      <c r="Q2200" s="7" t="n">
        <v>30</v>
      </c>
      <c r="R2200" s="7" t="s">
        <v>44</v>
      </c>
      <c r="S2200" s="7"/>
      <c r="T2200" s="7"/>
      <c r="U2200" s="7" t="str">
        <f aca="false">IF(COUNTIF($A$2:$A$5001,A2200)&gt;1,"Duplicate","Unique")</f>
        <v>Unique</v>
      </c>
      <c r="V2200" s="7" t="str">
        <f aca="false">IF(COUNTIFS($B$2:$B$5001,B2200,$H$2:$H$5001,H2200,$J$2:$J$5001,J2200)&gt;1,"Possible Duplicate Booking","Unique")</f>
        <v>Unique</v>
      </c>
      <c r="W2200" s="7" t="str">
        <f aca="false">IF((H2200-G2200)&lt;&gt;K2200,"Mismatch","OK")</f>
        <v>OK</v>
      </c>
      <c r="X2200" s="7" t="str">
        <f aca="false">IF(TEXT(H2200,"dddd")&lt;&gt;I2200,"Mismatch","OK")</f>
        <v>OK</v>
      </c>
      <c r="Y2200" s="7" t="str">
        <f aca="false">IF(AND(N2200="No",O2200&lt;&gt;""),"Unexpected: channel present but no reminder sent",IF(AND(N2200="Yes",O2200=""),"Missing channel for sent reminder","OK"))</f>
        <v>OK</v>
      </c>
    </row>
    <row r="2201" customFormat="false" ht="15" hidden="false" customHeight="false" outlineLevel="0" collapsed="false">
      <c r="A2201" s="9" t="s">
        <v>3531</v>
      </c>
      <c r="B2201" s="9" t="s">
        <v>3161</v>
      </c>
      <c r="C2201" s="9" t="s">
        <v>47</v>
      </c>
      <c r="D2201" s="9" t="n">
        <v>26</v>
      </c>
      <c r="E2201" s="9" t="s">
        <v>48</v>
      </c>
      <c r="F2201" s="9" t="s">
        <v>57</v>
      </c>
      <c r="G2201" s="10" t="n">
        <v>45723</v>
      </c>
      <c r="H2201" s="10" t="n">
        <v>45749</v>
      </c>
      <c r="I2201" s="9" t="s">
        <v>58</v>
      </c>
      <c r="J2201" s="9" t="s">
        <v>41</v>
      </c>
      <c r="K2201" s="9" t="n">
        <v>26</v>
      </c>
      <c r="L2201" s="9" t="n">
        <v>4</v>
      </c>
      <c r="M2201" s="9" t="n">
        <v>0</v>
      </c>
      <c r="N2201" s="9" t="s">
        <v>71</v>
      </c>
      <c r="O2201" s="9"/>
      <c r="P2201" s="9" t="n">
        <v>16.4</v>
      </c>
      <c r="Q2201" s="9" t="n">
        <v>26</v>
      </c>
      <c r="R2201" s="9" t="s">
        <v>44</v>
      </c>
      <c r="S2201" s="9"/>
      <c r="T2201" s="9"/>
      <c r="U2201" s="9" t="str">
        <f aca="false">IF(COUNTIF($A$2:$A$5001,A2201)&gt;1,"Duplicate","Unique")</f>
        <v>Unique</v>
      </c>
      <c r="V2201" s="9" t="str">
        <f aca="false">IF(COUNTIFS($B$2:$B$5001,B2201,$H$2:$H$5001,H2201,$J$2:$J$5001,J2201)&gt;1,"Possible Duplicate Booking","Unique")</f>
        <v>Unique</v>
      </c>
      <c r="W2201" s="9" t="str">
        <f aca="false">IF((H2201-G2201)&lt;&gt;K2201,"Mismatch","OK")</f>
        <v>OK</v>
      </c>
      <c r="X2201" s="9" t="str">
        <f aca="false">IF(TEXT(H2201,"dddd")&lt;&gt;I2201,"Mismatch","OK")</f>
        <v>OK</v>
      </c>
      <c r="Y2201" s="9" t="str">
        <f aca="false">IF(AND(N2201="No",O2201&lt;&gt;""),"Unexpected: channel present but no reminder sent",IF(AND(N2201="Yes",O2201=""),"Missing channel for sent reminder","OK"))</f>
        <v>OK</v>
      </c>
    </row>
    <row r="2202" customFormat="false" ht="15" hidden="false" customHeight="false" outlineLevel="0" collapsed="false">
      <c r="A2202" s="7" t="s">
        <v>3532</v>
      </c>
      <c r="B2202" s="7" t="s">
        <v>1411</v>
      </c>
      <c r="C2202" s="7" t="s">
        <v>37</v>
      </c>
      <c r="D2202" s="7" t="n">
        <v>51</v>
      </c>
      <c r="E2202" s="7" t="s">
        <v>56</v>
      </c>
      <c r="F2202" s="7" t="s">
        <v>57</v>
      </c>
      <c r="G2202" s="8" t="n">
        <v>45816</v>
      </c>
      <c r="H2202" s="8" t="n">
        <v>45857</v>
      </c>
      <c r="I2202" s="7" t="s">
        <v>102</v>
      </c>
      <c r="J2202" s="7" t="s">
        <v>63</v>
      </c>
      <c r="K2202" s="7" t="n">
        <v>41</v>
      </c>
      <c r="L2202" s="7" t="n">
        <v>5</v>
      </c>
      <c r="M2202" s="7" t="n">
        <v>1</v>
      </c>
      <c r="N2202" s="7" t="s">
        <v>42</v>
      </c>
      <c r="O2202" s="7" t="s">
        <v>52</v>
      </c>
      <c r="P2202" s="7" t="n">
        <v>2.5</v>
      </c>
      <c r="Q2202" s="7" t="n">
        <v>13</v>
      </c>
      <c r="R2202" s="7" t="s">
        <v>53</v>
      </c>
      <c r="S2202" s="7"/>
      <c r="T2202" s="7"/>
      <c r="U2202" s="7" t="str">
        <f aca="false">IF(COUNTIF($A$2:$A$5001,A2202)&gt;1,"Duplicate","Unique")</f>
        <v>Unique</v>
      </c>
      <c r="V2202" s="7" t="str">
        <f aca="false">IF(COUNTIFS($B$2:$B$5001,B2202,$H$2:$H$5001,H2202,$J$2:$J$5001,J2202)&gt;1,"Possible Duplicate Booking","Unique")</f>
        <v>Unique</v>
      </c>
      <c r="W2202" s="7" t="str">
        <f aca="false">IF((H2202-G2202)&lt;&gt;K2202,"Mismatch","OK")</f>
        <v>OK</v>
      </c>
      <c r="X2202" s="7" t="str">
        <f aca="false">IF(TEXT(H2202,"dddd")&lt;&gt;I2202,"Mismatch","OK")</f>
        <v>OK</v>
      </c>
      <c r="Y2202" s="7" t="str">
        <f aca="false">IF(AND(N2202="No",O2202&lt;&gt;""),"Unexpected: channel present but no reminder sent",IF(AND(N2202="Yes",O2202=""),"Missing channel for sent reminder","OK"))</f>
        <v>OK</v>
      </c>
    </row>
    <row r="2203" customFormat="false" ht="15" hidden="false" customHeight="false" outlineLevel="0" collapsed="false">
      <c r="A2203" s="9" t="s">
        <v>3533</v>
      </c>
      <c r="B2203" s="9" t="s">
        <v>3534</v>
      </c>
      <c r="C2203" s="9" t="s">
        <v>47</v>
      </c>
      <c r="D2203" s="9" t="n">
        <v>52</v>
      </c>
      <c r="E2203" s="9" t="s">
        <v>56</v>
      </c>
      <c r="F2203" s="9" t="s">
        <v>57</v>
      </c>
      <c r="G2203" s="10" t="n">
        <v>45645</v>
      </c>
      <c r="H2203" s="10" t="n">
        <v>45662</v>
      </c>
      <c r="I2203" s="9" t="s">
        <v>75</v>
      </c>
      <c r="J2203" s="9" t="s">
        <v>41</v>
      </c>
      <c r="K2203" s="9" t="n">
        <v>17</v>
      </c>
      <c r="L2203" s="9" t="n">
        <v>3</v>
      </c>
      <c r="M2203" s="9" t="n">
        <v>1</v>
      </c>
      <c r="N2203" s="9" t="s">
        <v>42</v>
      </c>
      <c r="O2203" s="9" t="s">
        <v>52</v>
      </c>
      <c r="P2203" s="9" t="n">
        <v>4.9</v>
      </c>
      <c r="Q2203" s="9" t="n">
        <v>13</v>
      </c>
      <c r="R2203" s="9" t="s">
        <v>53</v>
      </c>
      <c r="S2203" s="9"/>
      <c r="T2203" s="9"/>
      <c r="U2203" s="9" t="str">
        <f aca="false">IF(COUNTIF($A$2:$A$5001,A2203)&gt;1,"Duplicate","Unique")</f>
        <v>Unique</v>
      </c>
      <c r="V2203" s="9" t="str">
        <f aca="false">IF(COUNTIFS($B$2:$B$5001,B2203,$H$2:$H$5001,H2203,$J$2:$J$5001,J2203)&gt;1,"Possible Duplicate Booking","Unique")</f>
        <v>Unique</v>
      </c>
      <c r="W2203" s="9" t="str">
        <f aca="false">IF((H2203-G2203)&lt;&gt;K2203,"Mismatch","OK")</f>
        <v>OK</v>
      </c>
      <c r="X2203" s="9" t="str">
        <f aca="false">IF(TEXT(H2203,"dddd")&lt;&gt;I2203,"Mismatch","OK")</f>
        <v>OK</v>
      </c>
      <c r="Y2203" s="9" t="str">
        <f aca="false">IF(AND(N2203="No",O2203&lt;&gt;""),"Unexpected: channel present but no reminder sent",IF(AND(N2203="Yes",O2203=""),"Missing channel for sent reminder","OK"))</f>
        <v>OK</v>
      </c>
    </row>
    <row r="2204" customFormat="false" ht="15" hidden="false" customHeight="false" outlineLevel="0" collapsed="false">
      <c r="A2204" s="7" t="s">
        <v>3535</v>
      </c>
      <c r="B2204" s="7" t="s">
        <v>718</v>
      </c>
      <c r="C2204" s="7" t="s">
        <v>47</v>
      </c>
      <c r="D2204" s="7" t="n">
        <v>65</v>
      </c>
      <c r="E2204" s="7" t="s">
        <v>70</v>
      </c>
      <c r="F2204" s="7" t="s">
        <v>74</v>
      </c>
      <c r="G2204" s="8" t="n">
        <v>45663</v>
      </c>
      <c r="H2204" s="8" t="n">
        <v>45679</v>
      </c>
      <c r="I2204" s="7" t="s">
        <v>58</v>
      </c>
      <c r="J2204" s="7" t="s">
        <v>41</v>
      </c>
      <c r="K2204" s="7" t="n">
        <v>16</v>
      </c>
      <c r="L2204" s="7" t="n">
        <v>3</v>
      </c>
      <c r="M2204" s="7" t="n">
        <v>0</v>
      </c>
      <c r="N2204" s="7" t="s">
        <v>42</v>
      </c>
      <c r="O2204" s="7" t="s">
        <v>52</v>
      </c>
      <c r="P2204" s="7" t="n">
        <v>17.8</v>
      </c>
      <c r="Q2204" s="7" t="n">
        <v>23</v>
      </c>
      <c r="R2204" s="7" t="s">
        <v>44</v>
      </c>
      <c r="S2204" s="7"/>
      <c r="T2204" s="7"/>
      <c r="U2204" s="7" t="str">
        <f aca="false">IF(COUNTIF($A$2:$A$5001,A2204)&gt;1,"Duplicate","Unique")</f>
        <v>Unique</v>
      </c>
      <c r="V2204" s="7" t="str">
        <f aca="false">IF(COUNTIFS($B$2:$B$5001,B2204,$H$2:$H$5001,H2204,$J$2:$J$5001,J2204)&gt;1,"Possible Duplicate Booking","Unique")</f>
        <v>Unique</v>
      </c>
      <c r="W2204" s="7" t="str">
        <f aca="false">IF((H2204-G2204)&lt;&gt;K2204,"Mismatch","OK")</f>
        <v>OK</v>
      </c>
      <c r="X2204" s="7" t="str">
        <f aca="false">IF(TEXT(H2204,"dddd")&lt;&gt;I2204,"Mismatch","OK")</f>
        <v>OK</v>
      </c>
      <c r="Y2204" s="7" t="str">
        <f aca="false">IF(AND(N2204="No",O2204&lt;&gt;""),"Unexpected: channel present but no reminder sent",IF(AND(N2204="Yes",O2204=""),"Missing channel for sent reminder","OK"))</f>
        <v>OK</v>
      </c>
    </row>
    <row r="2205" customFormat="false" ht="15" hidden="false" customHeight="false" outlineLevel="0" collapsed="false">
      <c r="A2205" s="9" t="s">
        <v>3536</v>
      </c>
      <c r="B2205" s="9" t="s">
        <v>3537</v>
      </c>
      <c r="C2205" s="9" t="s">
        <v>37</v>
      </c>
      <c r="D2205" s="9" t="n">
        <v>30</v>
      </c>
      <c r="E2205" s="9" t="s">
        <v>48</v>
      </c>
      <c r="F2205" s="9" t="s">
        <v>57</v>
      </c>
      <c r="G2205" s="10" t="n">
        <v>45834</v>
      </c>
      <c r="H2205" s="10" t="n">
        <v>45841</v>
      </c>
      <c r="I2205" s="9" t="s">
        <v>62</v>
      </c>
      <c r="J2205" s="9" t="s">
        <v>51</v>
      </c>
      <c r="K2205" s="9" t="n">
        <v>7</v>
      </c>
      <c r="L2205" s="9" t="n">
        <v>7</v>
      </c>
      <c r="M2205" s="9" t="n">
        <v>1</v>
      </c>
      <c r="N2205" s="9" t="s">
        <v>42</v>
      </c>
      <c r="O2205" s="9" t="s">
        <v>43</v>
      </c>
      <c r="P2205" s="9" t="n">
        <v>17.8</v>
      </c>
      <c r="Q2205" s="9" t="n">
        <v>20</v>
      </c>
      <c r="R2205" s="9" t="s">
        <v>44</v>
      </c>
      <c r="S2205" s="9"/>
      <c r="T2205" s="9"/>
      <c r="U2205" s="9" t="str">
        <f aca="false">IF(COUNTIF($A$2:$A$5001,A2205)&gt;1,"Duplicate","Unique")</f>
        <v>Unique</v>
      </c>
      <c r="V2205" s="9" t="str">
        <f aca="false">IF(COUNTIFS($B$2:$B$5001,B2205,$H$2:$H$5001,H2205,$J$2:$J$5001,J2205)&gt;1,"Possible Duplicate Booking","Unique")</f>
        <v>Unique</v>
      </c>
      <c r="W2205" s="9" t="str">
        <f aca="false">IF((H2205-G2205)&lt;&gt;K2205,"Mismatch","OK")</f>
        <v>OK</v>
      </c>
      <c r="X2205" s="9" t="str">
        <f aca="false">IF(TEXT(H2205,"dddd")&lt;&gt;I2205,"Mismatch","OK")</f>
        <v>OK</v>
      </c>
      <c r="Y2205" s="9" t="str">
        <f aca="false">IF(AND(N2205="No",O2205&lt;&gt;""),"Unexpected: channel present but no reminder sent",IF(AND(N2205="Yes",O2205=""),"Missing channel for sent reminder","OK"))</f>
        <v>OK</v>
      </c>
    </row>
    <row r="2206" customFormat="false" ht="15" hidden="false" customHeight="false" outlineLevel="0" collapsed="false">
      <c r="A2206" s="7" t="s">
        <v>3538</v>
      </c>
      <c r="B2206" s="7" t="s">
        <v>2033</v>
      </c>
      <c r="C2206" s="7" t="s">
        <v>37</v>
      </c>
      <c r="D2206" s="7" t="n">
        <v>52</v>
      </c>
      <c r="E2206" s="7" t="s">
        <v>56</v>
      </c>
      <c r="F2206" s="7" t="s">
        <v>57</v>
      </c>
      <c r="G2206" s="8" t="n">
        <v>45906</v>
      </c>
      <c r="H2206" s="8" t="n">
        <v>45906</v>
      </c>
      <c r="I2206" s="7" t="s">
        <v>102</v>
      </c>
      <c r="J2206" s="7" t="s">
        <v>51</v>
      </c>
      <c r="K2206" s="7" t="n">
        <v>0</v>
      </c>
      <c r="L2206" s="7" t="n">
        <v>5</v>
      </c>
      <c r="M2206" s="7" t="n">
        <v>0</v>
      </c>
      <c r="N2206" s="7" t="s">
        <v>42</v>
      </c>
      <c r="O2206" s="7" t="s">
        <v>52</v>
      </c>
      <c r="P2206" s="7" t="n">
        <v>8.6</v>
      </c>
      <c r="Q2206" s="7" t="n">
        <v>31</v>
      </c>
      <c r="R2206" s="7" t="s">
        <v>53</v>
      </c>
      <c r="S2206" s="7"/>
      <c r="T2206" s="7"/>
      <c r="U2206" s="7" t="str">
        <f aca="false">IF(COUNTIF($A$2:$A$5001,A2206)&gt;1,"Duplicate","Unique")</f>
        <v>Unique</v>
      </c>
      <c r="V2206" s="7" t="str">
        <f aca="false">IF(COUNTIFS($B$2:$B$5001,B2206,$H$2:$H$5001,H2206,$J$2:$J$5001,J2206)&gt;1,"Possible Duplicate Booking","Unique")</f>
        <v>Unique</v>
      </c>
      <c r="W2206" s="7" t="str">
        <f aca="false">IF((H2206-G2206)&lt;&gt;K2206,"Mismatch","OK")</f>
        <v>OK</v>
      </c>
      <c r="X2206" s="7" t="str">
        <f aca="false">IF(TEXT(H2206,"dddd")&lt;&gt;I2206,"Mismatch","OK")</f>
        <v>OK</v>
      </c>
      <c r="Y2206" s="7" t="str">
        <f aca="false">IF(AND(N2206="No",O2206&lt;&gt;""),"Unexpected: channel present but no reminder sent",IF(AND(N2206="Yes",O2206=""),"Missing channel for sent reminder","OK"))</f>
        <v>OK</v>
      </c>
    </row>
    <row r="2207" customFormat="false" ht="15" hidden="false" customHeight="false" outlineLevel="0" collapsed="false">
      <c r="A2207" s="9" t="s">
        <v>3539</v>
      </c>
      <c r="B2207" s="9" t="s">
        <v>3540</v>
      </c>
      <c r="C2207" s="9" t="s">
        <v>47</v>
      </c>
      <c r="D2207" s="9" t="n">
        <v>71</v>
      </c>
      <c r="E2207" s="9" t="s">
        <v>70</v>
      </c>
      <c r="F2207" s="9" t="s">
        <v>57</v>
      </c>
      <c r="G2207" s="10" t="n">
        <v>46063</v>
      </c>
      <c r="H2207" s="10" t="n">
        <v>46093</v>
      </c>
      <c r="I2207" s="9" t="s">
        <v>62</v>
      </c>
      <c r="J2207" s="9" t="s">
        <v>51</v>
      </c>
      <c r="K2207" s="9" t="n">
        <v>30</v>
      </c>
      <c r="L2207" s="9" t="n">
        <v>1</v>
      </c>
      <c r="M2207" s="9" t="n">
        <v>0</v>
      </c>
      <c r="N2207" s="9" t="s">
        <v>42</v>
      </c>
      <c r="O2207" s="9" t="s">
        <v>43</v>
      </c>
      <c r="P2207" s="9" t="n">
        <v>10.4</v>
      </c>
      <c r="Q2207" s="9" t="n">
        <v>12</v>
      </c>
      <c r="R2207" s="9" t="s">
        <v>44</v>
      </c>
      <c r="S2207" s="9"/>
      <c r="T2207" s="9"/>
      <c r="U2207" s="9" t="str">
        <f aca="false">IF(COUNTIF($A$2:$A$5001,A2207)&gt;1,"Duplicate","Unique")</f>
        <v>Unique</v>
      </c>
      <c r="V2207" s="9" t="str">
        <f aca="false">IF(COUNTIFS($B$2:$B$5001,B2207,$H$2:$H$5001,H2207,$J$2:$J$5001,J2207)&gt;1,"Possible Duplicate Booking","Unique")</f>
        <v>Unique</v>
      </c>
      <c r="W2207" s="9" t="str">
        <f aca="false">IF((H2207-G2207)&lt;&gt;K2207,"Mismatch","OK")</f>
        <v>OK</v>
      </c>
      <c r="X2207" s="9" t="str">
        <f aca="false">IF(TEXT(H2207,"dddd")&lt;&gt;I2207,"Mismatch","OK")</f>
        <v>OK</v>
      </c>
      <c r="Y2207" s="9" t="str">
        <f aca="false">IF(AND(N2207="No",O2207&lt;&gt;""),"Unexpected: channel present but no reminder sent",IF(AND(N2207="Yes",O2207=""),"Missing channel for sent reminder","OK"))</f>
        <v>OK</v>
      </c>
    </row>
    <row r="2208" customFormat="false" ht="15" hidden="false" customHeight="false" outlineLevel="0" collapsed="false">
      <c r="A2208" s="7" t="s">
        <v>3541</v>
      </c>
      <c r="B2208" s="7" t="s">
        <v>1584</v>
      </c>
      <c r="C2208" s="7" t="s">
        <v>47</v>
      </c>
      <c r="D2208" s="7" t="n">
        <v>35</v>
      </c>
      <c r="E2208" s="7" t="s">
        <v>38</v>
      </c>
      <c r="F2208" s="7" t="s">
        <v>49</v>
      </c>
      <c r="G2208" s="8" t="n">
        <v>45671</v>
      </c>
      <c r="H2208" s="8" t="n">
        <v>45731</v>
      </c>
      <c r="I2208" s="7" t="s">
        <v>102</v>
      </c>
      <c r="J2208" s="7" t="s">
        <v>51</v>
      </c>
      <c r="K2208" s="7" t="n">
        <v>60</v>
      </c>
      <c r="L2208" s="7" t="n">
        <v>4</v>
      </c>
      <c r="M2208" s="7" t="n">
        <v>1</v>
      </c>
      <c r="N2208" s="7" t="s">
        <v>42</v>
      </c>
      <c r="O2208" s="7" t="s">
        <v>43</v>
      </c>
      <c r="P2208" s="7" t="n">
        <v>13.2</v>
      </c>
      <c r="Q2208" s="7" t="n">
        <v>15</v>
      </c>
      <c r="R2208" s="7" t="s">
        <v>44</v>
      </c>
      <c r="S2208" s="7"/>
      <c r="T2208" s="7"/>
      <c r="U2208" s="7" t="str">
        <f aca="false">IF(COUNTIF($A$2:$A$5001,A2208)&gt;1,"Duplicate","Unique")</f>
        <v>Unique</v>
      </c>
      <c r="V2208" s="7" t="str">
        <f aca="false">IF(COUNTIFS($B$2:$B$5001,B2208,$H$2:$H$5001,H2208,$J$2:$J$5001,J2208)&gt;1,"Possible Duplicate Booking","Unique")</f>
        <v>Unique</v>
      </c>
      <c r="W2208" s="7" t="str">
        <f aca="false">IF((H2208-G2208)&lt;&gt;K2208,"Mismatch","OK")</f>
        <v>OK</v>
      </c>
      <c r="X2208" s="7" t="str">
        <f aca="false">IF(TEXT(H2208,"dddd")&lt;&gt;I2208,"Mismatch","OK")</f>
        <v>OK</v>
      </c>
      <c r="Y2208" s="7" t="str">
        <f aca="false">IF(AND(N2208="No",O2208&lt;&gt;""),"Unexpected: channel present but no reminder sent",IF(AND(N2208="Yes",O2208=""),"Missing channel for sent reminder","OK"))</f>
        <v>OK</v>
      </c>
    </row>
    <row r="2209" customFormat="false" ht="15" hidden="false" customHeight="false" outlineLevel="0" collapsed="false">
      <c r="A2209" s="9" t="s">
        <v>3542</v>
      </c>
      <c r="B2209" s="9" t="s">
        <v>753</v>
      </c>
      <c r="C2209" s="9" t="s">
        <v>47</v>
      </c>
      <c r="D2209" s="9" t="n">
        <v>70</v>
      </c>
      <c r="E2209" s="9" t="s">
        <v>70</v>
      </c>
      <c r="F2209" s="9" t="s">
        <v>74</v>
      </c>
      <c r="G2209" s="10" t="n">
        <v>46103</v>
      </c>
      <c r="H2209" s="10" t="n">
        <v>46116</v>
      </c>
      <c r="I2209" s="9" t="s">
        <v>102</v>
      </c>
      <c r="J2209" s="9" t="s">
        <v>51</v>
      </c>
      <c r="K2209" s="9" t="n">
        <v>13</v>
      </c>
      <c r="L2209" s="9" t="n">
        <v>1</v>
      </c>
      <c r="M2209" s="9" t="n">
        <v>0</v>
      </c>
      <c r="N2209" s="9" t="s">
        <v>71</v>
      </c>
      <c r="O2209" s="9"/>
      <c r="P2209" s="9" t="n">
        <v>16.1</v>
      </c>
      <c r="Q2209" s="9" t="n">
        <v>22</v>
      </c>
      <c r="R2209" s="9" t="s">
        <v>53</v>
      </c>
      <c r="S2209" s="9"/>
      <c r="T2209" s="9"/>
      <c r="U2209" s="9" t="str">
        <f aca="false">IF(COUNTIF($A$2:$A$5001,A2209)&gt;1,"Duplicate","Unique")</f>
        <v>Unique</v>
      </c>
      <c r="V2209" s="9" t="str">
        <f aca="false">IF(COUNTIFS($B$2:$B$5001,B2209,$H$2:$H$5001,H2209,$J$2:$J$5001,J2209)&gt;1,"Possible Duplicate Booking","Unique")</f>
        <v>Unique</v>
      </c>
      <c r="W2209" s="9" t="str">
        <f aca="false">IF((H2209-G2209)&lt;&gt;K2209,"Mismatch","OK")</f>
        <v>OK</v>
      </c>
      <c r="X2209" s="9" t="str">
        <f aca="false">IF(TEXT(H2209,"dddd")&lt;&gt;I2209,"Mismatch","OK")</f>
        <v>OK</v>
      </c>
      <c r="Y2209" s="9" t="str">
        <f aca="false">IF(AND(N2209="No",O2209&lt;&gt;""),"Unexpected: channel present but no reminder sent",IF(AND(N2209="Yes",O2209=""),"Missing channel for sent reminder","OK"))</f>
        <v>OK</v>
      </c>
    </row>
    <row r="2210" customFormat="false" ht="15" hidden="false" customHeight="false" outlineLevel="0" collapsed="false">
      <c r="A2210" s="7" t="s">
        <v>3543</v>
      </c>
      <c r="B2210" s="7" t="s">
        <v>3544</v>
      </c>
      <c r="C2210" s="7" t="s">
        <v>37</v>
      </c>
      <c r="D2210" s="7" t="n">
        <v>63</v>
      </c>
      <c r="E2210" s="7" t="s">
        <v>61</v>
      </c>
      <c r="F2210" s="7" t="s">
        <v>49</v>
      </c>
      <c r="G2210" s="8" t="n">
        <v>45760</v>
      </c>
      <c r="H2210" s="8" t="n">
        <v>45786</v>
      </c>
      <c r="I2210" s="7" t="s">
        <v>50</v>
      </c>
      <c r="J2210" s="7" t="s">
        <v>41</v>
      </c>
      <c r="K2210" s="7" t="n">
        <v>26</v>
      </c>
      <c r="L2210" s="7" t="n">
        <v>3</v>
      </c>
      <c r="M2210" s="7" t="n">
        <v>1</v>
      </c>
      <c r="N2210" s="7" t="s">
        <v>71</v>
      </c>
      <c r="O2210" s="7"/>
      <c r="P2210" s="7" t="n">
        <v>9.7</v>
      </c>
      <c r="Q2210" s="7" t="n">
        <v>25</v>
      </c>
      <c r="R2210" s="7" t="s">
        <v>44</v>
      </c>
      <c r="S2210" s="7"/>
      <c r="T2210" s="7"/>
      <c r="U2210" s="7" t="str">
        <f aca="false">IF(COUNTIF($A$2:$A$5001,A2210)&gt;1,"Duplicate","Unique")</f>
        <v>Unique</v>
      </c>
      <c r="V2210" s="7" t="str">
        <f aca="false">IF(COUNTIFS($B$2:$B$5001,B2210,$H$2:$H$5001,H2210,$J$2:$J$5001,J2210)&gt;1,"Possible Duplicate Booking","Unique")</f>
        <v>Unique</v>
      </c>
      <c r="W2210" s="7" t="str">
        <f aca="false">IF((H2210-G2210)&lt;&gt;K2210,"Mismatch","OK")</f>
        <v>OK</v>
      </c>
      <c r="X2210" s="7" t="str">
        <f aca="false">IF(TEXT(H2210,"dddd")&lt;&gt;I2210,"Mismatch","OK")</f>
        <v>OK</v>
      </c>
      <c r="Y2210" s="7" t="str">
        <f aca="false">IF(AND(N2210="No",O2210&lt;&gt;""),"Unexpected: channel present but no reminder sent",IF(AND(N2210="Yes",O2210=""),"Missing channel for sent reminder","OK"))</f>
        <v>OK</v>
      </c>
    </row>
    <row r="2211" customFormat="false" ht="15" hidden="false" customHeight="false" outlineLevel="0" collapsed="false">
      <c r="A2211" s="9" t="s">
        <v>3545</v>
      </c>
      <c r="B2211" s="9" t="s">
        <v>2573</v>
      </c>
      <c r="C2211" s="9" t="s">
        <v>47</v>
      </c>
      <c r="D2211" s="9" t="n">
        <v>45</v>
      </c>
      <c r="E2211" s="9" t="s">
        <v>56</v>
      </c>
      <c r="F2211" s="9" t="s">
        <v>39</v>
      </c>
      <c r="G2211" s="10" t="n">
        <v>45676</v>
      </c>
      <c r="H2211" s="10" t="n">
        <v>45733</v>
      </c>
      <c r="I2211" s="9" t="s">
        <v>66</v>
      </c>
      <c r="J2211" s="9" t="s">
        <v>41</v>
      </c>
      <c r="K2211" s="9" t="n">
        <v>57</v>
      </c>
      <c r="L2211" s="9" t="n">
        <v>5</v>
      </c>
      <c r="M2211" s="9" t="n">
        <v>1</v>
      </c>
      <c r="N2211" s="9" t="s">
        <v>71</v>
      </c>
      <c r="O2211" s="9"/>
      <c r="P2211" s="9" t="n">
        <v>16.1</v>
      </c>
      <c r="Q2211" s="9" t="n">
        <v>25</v>
      </c>
      <c r="R2211" s="9" t="s">
        <v>87</v>
      </c>
      <c r="S2211" s="9"/>
      <c r="T2211" s="9"/>
      <c r="U2211" s="9" t="str">
        <f aca="false">IF(COUNTIF($A$2:$A$5001,A2211)&gt;1,"Duplicate","Unique")</f>
        <v>Unique</v>
      </c>
      <c r="V2211" s="9" t="str">
        <f aca="false">IF(COUNTIFS($B$2:$B$5001,B2211,$H$2:$H$5001,H2211,$J$2:$J$5001,J2211)&gt;1,"Possible Duplicate Booking","Unique")</f>
        <v>Unique</v>
      </c>
      <c r="W2211" s="9" t="str">
        <f aca="false">IF((H2211-G2211)&lt;&gt;K2211,"Mismatch","OK")</f>
        <v>OK</v>
      </c>
      <c r="X2211" s="9" t="str">
        <f aca="false">IF(TEXT(H2211,"dddd")&lt;&gt;I2211,"Mismatch","OK")</f>
        <v>OK</v>
      </c>
      <c r="Y2211" s="9" t="str">
        <f aca="false">IF(AND(N2211="No",O2211&lt;&gt;""),"Unexpected: channel present but no reminder sent",IF(AND(N2211="Yes",O2211=""),"Missing channel for sent reminder","OK"))</f>
        <v>OK</v>
      </c>
    </row>
    <row r="2212" customFormat="false" ht="15" hidden="false" customHeight="false" outlineLevel="0" collapsed="false">
      <c r="A2212" s="7" t="s">
        <v>3546</v>
      </c>
      <c r="B2212" s="7" t="s">
        <v>3547</v>
      </c>
      <c r="C2212" s="7" t="s">
        <v>37</v>
      </c>
      <c r="D2212" s="7" t="n">
        <v>73</v>
      </c>
      <c r="E2212" s="7" t="s">
        <v>70</v>
      </c>
      <c r="F2212" s="7" t="s">
        <v>49</v>
      </c>
      <c r="G2212" s="8" t="n">
        <v>45993</v>
      </c>
      <c r="H2212" s="8" t="n">
        <v>46040</v>
      </c>
      <c r="I2212" s="7" t="s">
        <v>75</v>
      </c>
      <c r="J2212" s="7" t="s">
        <v>51</v>
      </c>
      <c r="K2212" s="7" t="n">
        <v>47</v>
      </c>
      <c r="L2212" s="7" t="n">
        <v>2</v>
      </c>
      <c r="M2212" s="7" t="n">
        <v>0</v>
      </c>
      <c r="N2212" s="7" t="s">
        <v>71</v>
      </c>
      <c r="O2212" s="7"/>
      <c r="P2212" s="7" t="n">
        <v>1.7</v>
      </c>
      <c r="Q2212" s="7" t="n">
        <v>22</v>
      </c>
      <c r="R2212" s="7" t="s">
        <v>44</v>
      </c>
      <c r="S2212" s="7"/>
      <c r="T2212" s="7"/>
      <c r="U2212" s="7" t="str">
        <f aca="false">IF(COUNTIF($A$2:$A$5001,A2212)&gt;1,"Duplicate","Unique")</f>
        <v>Unique</v>
      </c>
      <c r="V2212" s="7" t="str">
        <f aca="false">IF(COUNTIFS($B$2:$B$5001,B2212,$H$2:$H$5001,H2212,$J$2:$J$5001,J2212)&gt;1,"Possible Duplicate Booking","Unique")</f>
        <v>Unique</v>
      </c>
      <c r="W2212" s="7" t="str">
        <f aca="false">IF((H2212-G2212)&lt;&gt;K2212,"Mismatch","OK")</f>
        <v>OK</v>
      </c>
      <c r="X2212" s="7" t="str">
        <f aca="false">IF(TEXT(H2212,"dddd")&lt;&gt;I2212,"Mismatch","OK")</f>
        <v>OK</v>
      </c>
      <c r="Y2212" s="7" t="str">
        <f aca="false">IF(AND(N2212="No",O2212&lt;&gt;""),"Unexpected: channel present but no reminder sent",IF(AND(N2212="Yes",O2212=""),"Missing channel for sent reminder","OK"))</f>
        <v>OK</v>
      </c>
    </row>
    <row r="2213" customFormat="false" ht="15" hidden="false" customHeight="false" outlineLevel="0" collapsed="false">
      <c r="A2213" s="9" t="s">
        <v>3548</v>
      </c>
      <c r="B2213" s="9" t="s">
        <v>108</v>
      </c>
      <c r="C2213" s="9" t="s">
        <v>37</v>
      </c>
      <c r="D2213" s="9" t="n">
        <v>78</v>
      </c>
      <c r="E2213" s="9" t="s">
        <v>70</v>
      </c>
      <c r="F2213" s="9" t="s">
        <v>57</v>
      </c>
      <c r="G2213" s="10" t="n">
        <v>46080</v>
      </c>
      <c r="H2213" s="10" t="n">
        <v>46080</v>
      </c>
      <c r="I2213" s="9" t="s">
        <v>50</v>
      </c>
      <c r="J2213" s="9" t="s">
        <v>41</v>
      </c>
      <c r="K2213" s="9" t="n">
        <v>0</v>
      </c>
      <c r="L2213" s="9" t="n">
        <v>1</v>
      </c>
      <c r="M2213" s="9" t="n">
        <v>0</v>
      </c>
      <c r="N2213" s="9" t="s">
        <v>42</v>
      </c>
      <c r="O2213" s="9" t="s">
        <v>43</v>
      </c>
      <c r="P2213" s="9" t="n">
        <v>7.8</v>
      </c>
      <c r="Q2213" s="9" t="n">
        <v>15</v>
      </c>
      <c r="R2213" s="9" t="s">
        <v>53</v>
      </c>
      <c r="S2213" s="9"/>
      <c r="T2213" s="9"/>
      <c r="U2213" s="9" t="str">
        <f aca="false">IF(COUNTIF($A$2:$A$5001,A2213)&gt;1,"Duplicate","Unique")</f>
        <v>Unique</v>
      </c>
      <c r="V2213" s="9" t="str">
        <f aca="false">IF(COUNTIFS($B$2:$B$5001,B2213,$H$2:$H$5001,H2213,$J$2:$J$5001,J2213)&gt;1,"Possible Duplicate Booking","Unique")</f>
        <v>Unique</v>
      </c>
      <c r="W2213" s="9" t="str">
        <f aca="false">IF((H2213-G2213)&lt;&gt;K2213,"Mismatch","OK")</f>
        <v>OK</v>
      </c>
      <c r="X2213" s="9" t="str">
        <f aca="false">IF(TEXT(H2213,"dddd")&lt;&gt;I2213,"Mismatch","OK")</f>
        <v>OK</v>
      </c>
      <c r="Y2213" s="9" t="str">
        <f aca="false">IF(AND(N2213="No",O2213&lt;&gt;""),"Unexpected: channel present but no reminder sent",IF(AND(N2213="Yes",O2213=""),"Missing channel for sent reminder","OK"))</f>
        <v>OK</v>
      </c>
    </row>
    <row r="2214" customFormat="false" ht="15" hidden="false" customHeight="false" outlineLevel="0" collapsed="false">
      <c r="A2214" s="7" t="s">
        <v>3549</v>
      </c>
      <c r="B2214" s="7" t="s">
        <v>3550</v>
      </c>
      <c r="C2214" s="7" t="s">
        <v>47</v>
      </c>
      <c r="D2214" s="7" t="n">
        <v>32</v>
      </c>
      <c r="E2214" s="7" t="s">
        <v>48</v>
      </c>
      <c r="F2214" s="7" t="s">
        <v>49</v>
      </c>
      <c r="G2214" s="8" t="n">
        <v>45958</v>
      </c>
      <c r="H2214" s="8" t="n">
        <v>45988</v>
      </c>
      <c r="I2214" s="7" t="s">
        <v>62</v>
      </c>
      <c r="J2214" s="7" t="s">
        <v>63</v>
      </c>
      <c r="K2214" s="7" t="n">
        <v>30</v>
      </c>
      <c r="L2214" s="7" t="n">
        <v>5</v>
      </c>
      <c r="M2214" s="7" t="n">
        <v>2</v>
      </c>
      <c r="N2214" s="7" t="s">
        <v>42</v>
      </c>
      <c r="O2214" s="7" t="s">
        <v>67</v>
      </c>
      <c r="P2214" s="7" t="n">
        <v>13</v>
      </c>
      <c r="Q2214" s="7" t="n">
        <v>30</v>
      </c>
      <c r="R2214" s="7" t="s">
        <v>44</v>
      </c>
      <c r="S2214" s="7"/>
      <c r="T2214" s="7"/>
      <c r="U2214" s="7" t="str">
        <f aca="false">IF(COUNTIF($A$2:$A$5001,A2214)&gt;1,"Duplicate","Unique")</f>
        <v>Unique</v>
      </c>
      <c r="V2214" s="7" t="str">
        <f aca="false">IF(COUNTIFS($B$2:$B$5001,B2214,$H$2:$H$5001,H2214,$J$2:$J$5001,J2214)&gt;1,"Possible Duplicate Booking","Unique")</f>
        <v>Unique</v>
      </c>
      <c r="W2214" s="7" t="str">
        <f aca="false">IF((H2214-G2214)&lt;&gt;K2214,"Mismatch","OK")</f>
        <v>OK</v>
      </c>
      <c r="X2214" s="7" t="str">
        <f aca="false">IF(TEXT(H2214,"dddd")&lt;&gt;I2214,"Mismatch","OK")</f>
        <v>OK</v>
      </c>
      <c r="Y2214" s="7" t="str">
        <f aca="false">IF(AND(N2214="No",O2214&lt;&gt;""),"Unexpected: channel present but no reminder sent",IF(AND(N2214="Yes",O2214=""),"Missing channel for sent reminder","OK"))</f>
        <v>OK</v>
      </c>
    </row>
    <row r="2215" customFormat="false" ht="15" hidden="false" customHeight="false" outlineLevel="0" collapsed="false">
      <c r="A2215" s="9" t="s">
        <v>3551</v>
      </c>
      <c r="B2215" s="9" t="s">
        <v>3266</v>
      </c>
      <c r="C2215" s="9" t="s">
        <v>37</v>
      </c>
      <c r="D2215" s="9" t="n">
        <v>79</v>
      </c>
      <c r="E2215" s="9" t="s">
        <v>70</v>
      </c>
      <c r="F2215" s="9" t="s">
        <v>49</v>
      </c>
      <c r="G2215" s="10" t="n">
        <v>45713</v>
      </c>
      <c r="H2215" s="10" t="n">
        <v>45721</v>
      </c>
      <c r="I2215" s="9" t="s">
        <v>58</v>
      </c>
      <c r="J2215" s="9" t="s">
        <v>51</v>
      </c>
      <c r="K2215" s="9" t="n">
        <v>8</v>
      </c>
      <c r="L2215" s="9" t="n">
        <v>2</v>
      </c>
      <c r="M2215" s="9" t="n">
        <v>0</v>
      </c>
      <c r="N2215" s="9" t="s">
        <v>42</v>
      </c>
      <c r="O2215" s="9" t="s">
        <v>43</v>
      </c>
      <c r="P2215" s="9" t="n">
        <v>11.3</v>
      </c>
      <c r="Q2215" s="9" t="n">
        <v>37</v>
      </c>
      <c r="R2215" s="9" t="s">
        <v>87</v>
      </c>
      <c r="S2215" s="9"/>
      <c r="T2215" s="9"/>
      <c r="U2215" s="9" t="str">
        <f aca="false">IF(COUNTIF($A$2:$A$5001,A2215)&gt;1,"Duplicate","Unique")</f>
        <v>Unique</v>
      </c>
      <c r="V2215" s="9" t="str">
        <f aca="false">IF(COUNTIFS($B$2:$B$5001,B2215,$H$2:$H$5001,H2215,$J$2:$J$5001,J2215)&gt;1,"Possible Duplicate Booking","Unique")</f>
        <v>Unique</v>
      </c>
      <c r="W2215" s="9" t="str">
        <f aca="false">IF((H2215-G2215)&lt;&gt;K2215,"Mismatch","OK")</f>
        <v>OK</v>
      </c>
      <c r="X2215" s="9" t="str">
        <f aca="false">IF(TEXT(H2215,"dddd")&lt;&gt;I2215,"Mismatch","OK")</f>
        <v>OK</v>
      </c>
      <c r="Y2215" s="9" t="str">
        <f aca="false">IF(AND(N2215="No",O2215&lt;&gt;""),"Unexpected: channel present but no reminder sent",IF(AND(N2215="Yes",O2215=""),"Missing channel for sent reminder","OK"))</f>
        <v>OK</v>
      </c>
    </row>
    <row r="2216" customFormat="false" ht="15" hidden="false" customHeight="false" outlineLevel="0" collapsed="false">
      <c r="A2216" s="7" t="s">
        <v>3552</v>
      </c>
      <c r="B2216" s="7" t="s">
        <v>3553</v>
      </c>
      <c r="C2216" s="7" t="s">
        <v>37</v>
      </c>
      <c r="D2216" s="7" t="n">
        <v>18</v>
      </c>
      <c r="E2216" s="7" t="s">
        <v>82</v>
      </c>
      <c r="F2216" s="7" t="s">
        <v>57</v>
      </c>
      <c r="G2216" s="8" t="n">
        <v>45705</v>
      </c>
      <c r="H2216" s="8" t="n">
        <v>45720</v>
      </c>
      <c r="I2216" s="7" t="s">
        <v>40</v>
      </c>
      <c r="J2216" s="7" t="s">
        <v>41</v>
      </c>
      <c r="K2216" s="7" t="n">
        <v>15</v>
      </c>
      <c r="L2216" s="7" t="n">
        <v>3</v>
      </c>
      <c r="M2216" s="7" t="n">
        <v>0</v>
      </c>
      <c r="N2216" s="7" t="s">
        <v>42</v>
      </c>
      <c r="O2216" s="7" t="s">
        <v>43</v>
      </c>
      <c r="P2216" s="7" t="n">
        <v>21.3</v>
      </c>
      <c r="Q2216" s="7" t="n">
        <v>27</v>
      </c>
      <c r="R2216" s="7" t="s">
        <v>53</v>
      </c>
      <c r="S2216" s="7"/>
      <c r="T2216" s="7"/>
      <c r="U2216" s="7" t="str">
        <f aca="false">IF(COUNTIF($A$2:$A$5001,A2216)&gt;1,"Duplicate","Unique")</f>
        <v>Unique</v>
      </c>
      <c r="V2216" s="7" t="str">
        <f aca="false">IF(COUNTIFS($B$2:$B$5001,B2216,$H$2:$H$5001,H2216,$J$2:$J$5001,J2216)&gt;1,"Possible Duplicate Booking","Unique")</f>
        <v>Unique</v>
      </c>
      <c r="W2216" s="7" t="str">
        <f aca="false">IF((H2216-G2216)&lt;&gt;K2216,"Mismatch","OK")</f>
        <v>OK</v>
      </c>
      <c r="X2216" s="7" t="str">
        <f aca="false">IF(TEXT(H2216,"dddd")&lt;&gt;I2216,"Mismatch","OK")</f>
        <v>OK</v>
      </c>
      <c r="Y2216" s="7" t="str">
        <f aca="false">IF(AND(N2216="No",O2216&lt;&gt;""),"Unexpected: channel present but no reminder sent",IF(AND(N2216="Yes",O2216=""),"Missing channel for sent reminder","OK"))</f>
        <v>OK</v>
      </c>
    </row>
    <row r="2217" customFormat="false" ht="15" hidden="false" customHeight="false" outlineLevel="0" collapsed="false">
      <c r="A2217" s="9" t="s">
        <v>3554</v>
      </c>
      <c r="B2217" s="9" t="s">
        <v>65</v>
      </c>
      <c r="C2217" s="9" t="s">
        <v>37</v>
      </c>
      <c r="D2217" s="9" t="n">
        <v>26</v>
      </c>
      <c r="E2217" s="9" t="s">
        <v>48</v>
      </c>
      <c r="F2217" s="9" t="s">
        <v>39</v>
      </c>
      <c r="G2217" s="10" t="n">
        <v>45855</v>
      </c>
      <c r="H2217" s="10" t="n">
        <v>45870</v>
      </c>
      <c r="I2217" s="9" t="s">
        <v>50</v>
      </c>
      <c r="J2217" s="9" t="s">
        <v>51</v>
      </c>
      <c r="K2217" s="9" t="n">
        <v>15</v>
      </c>
      <c r="L2217" s="9" t="n">
        <v>5</v>
      </c>
      <c r="M2217" s="9" t="n">
        <v>2</v>
      </c>
      <c r="N2217" s="9" t="s">
        <v>42</v>
      </c>
      <c r="O2217" s="9" t="s">
        <v>67</v>
      </c>
      <c r="P2217" s="9" t="n">
        <v>4.8</v>
      </c>
      <c r="Q2217" s="9" t="n">
        <v>18</v>
      </c>
      <c r="R2217" s="9" t="s">
        <v>44</v>
      </c>
      <c r="S2217" s="9"/>
      <c r="T2217" s="9"/>
      <c r="U2217" s="9" t="str">
        <f aca="false">IF(COUNTIF($A$2:$A$5001,A2217)&gt;1,"Duplicate","Unique")</f>
        <v>Unique</v>
      </c>
      <c r="V2217" s="9" t="str">
        <f aca="false">IF(COUNTIFS($B$2:$B$5001,B2217,$H$2:$H$5001,H2217,$J$2:$J$5001,J2217)&gt;1,"Possible Duplicate Booking","Unique")</f>
        <v>Unique</v>
      </c>
      <c r="W2217" s="9" t="str">
        <f aca="false">IF((H2217-G2217)&lt;&gt;K2217,"Mismatch","OK")</f>
        <v>OK</v>
      </c>
      <c r="X2217" s="9" t="str">
        <f aca="false">IF(TEXT(H2217,"dddd")&lt;&gt;I2217,"Mismatch","OK")</f>
        <v>OK</v>
      </c>
      <c r="Y2217" s="9" t="str">
        <f aca="false">IF(AND(N2217="No",O2217&lt;&gt;""),"Unexpected: channel present but no reminder sent",IF(AND(N2217="Yes",O2217=""),"Missing channel for sent reminder","OK"))</f>
        <v>OK</v>
      </c>
    </row>
    <row r="2218" customFormat="false" ht="15" hidden="false" customHeight="false" outlineLevel="0" collapsed="false">
      <c r="A2218" s="7" t="s">
        <v>3555</v>
      </c>
      <c r="B2218" s="7" t="s">
        <v>1498</v>
      </c>
      <c r="C2218" s="7" t="s">
        <v>47</v>
      </c>
      <c r="D2218" s="7" t="n">
        <v>20</v>
      </c>
      <c r="E2218" s="7" t="s">
        <v>82</v>
      </c>
      <c r="F2218" s="7" t="s">
        <v>57</v>
      </c>
      <c r="G2218" s="8" t="n">
        <v>45867</v>
      </c>
      <c r="H2218" s="8" t="n">
        <v>45904</v>
      </c>
      <c r="I2218" s="7" t="s">
        <v>62</v>
      </c>
      <c r="J2218" s="7" t="s">
        <v>41</v>
      </c>
      <c r="K2218" s="7" t="n">
        <v>37</v>
      </c>
      <c r="L2218" s="7" t="n">
        <v>2</v>
      </c>
      <c r="M2218" s="7" t="n">
        <v>1</v>
      </c>
      <c r="N2218" s="7" t="s">
        <v>42</v>
      </c>
      <c r="O2218" s="7" t="s">
        <v>43</v>
      </c>
      <c r="P2218" s="7" t="n">
        <v>4.6</v>
      </c>
      <c r="Q2218" s="7" t="n">
        <v>3</v>
      </c>
      <c r="R2218" s="7" t="s">
        <v>44</v>
      </c>
      <c r="S2218" s="7"/>
      <c r="T2218" s="7"/>
      <c r="U2218" s="7" t="str">
        <f aca="false">IF(COUNTIF($A$2:$A$5001,A2218)&gt;1,"Duplicate","Unique")</f>
        <v>Unique</v>
      </c>
      <c r="V2218" s="7" t="str">
        <f aca="false">IF(COUNTIFS($B$2:$B$5001,B2218,$H$2:$H$5001,H2218,$J$2:$J$5001,J2218)&gt;1,"Possible Duplicate Booking","Unique")</f>
        <v>Unique</v>
      </c>
      <c r="W2218" s="7" t="str">
        <f aca="false">IF((H2218-G2218)&lt;&gt;K2218,"Mismatch","OK")</f>
        <v>OK</v>
      </c>
      <c r="X2218" s="7" t="str">
        <f aca="false">IF(TEXT(H2218,"dddd")&lt;&gt;I2218,"Mismatch","OK")</f>
        <v>OK</v>
      </c>
      <c r="Y2218" s="7" t="str">
        <f aca="false">IF(AND(N2218="No",O2218&lt;&gt;""),"Unexpected: channel present but no reminder sent",IF(AND(N2218="Yes",O2218=""),"Missing channel for sent reminder","OK"))</f>
        <v>OK</v>
      </c>
    </row>
    <row r="2219" customFormat="false" ht="15" hidden="false" customHeight="false" outlineLevel="0" collapsed="false">
      <c r="A2219" s="9" t="s">
        <v>3556</v>
      </c>
      <c r="B2219" s="9" t="s">
        <v>3557</v>
      </c>
      <c r="C2219" s="9" t="s">
        <v>47</v>
      </c>
      <c r="D2219" s="9" t="n">
        <v>41</v>
      </c>
      <c r="E2219" s="9" t="s">
        <v>38</v>
      </c>
      <c r="F2219" s="9" t="s">
        <v>57</v>
      </c>
      <c r="G2219" s="10" t="n">
        <v>46191</v>
      </c>
      <c r="H2219" s="10" t="n">
        <v>46203</v>
      </c>
      <c r="I2219" s="9" t="s">
        <v>40</v>
      </c>
      <c r="J2219" s="9" t="s">
        <v>41</v>
      </c>
      <c r="K2219" s="9" t="n">
        <v>12</v>
      </c>
      <c r="L2219" s="9" t="n">
        <v>5</v>
      </c>
      <c r="M2219" s="9" t="n">
        <v>2</v>
      </c>
      <c r="N2219" s="9" t="s">
        <v>71</v>
      </c>
      <c r="O2219" s="9"/>
      <c r="P2219" s="9" t="n">
        <v>22.9</v>
      </c>
      <c r="Q2219" s="9" t="n">
        <v>42</v>
      </c>
      <c r="R2219" s="9" t="s">
        <v>44</v>
      </c>
      <c r="S2219" s="9"/>
      <c r="T2219" s="9"/>
      <c r="U2219" s="9" t="str">
        <f aca="false">IF(COUNTIF($A$2:$A$5001,A2219)&gt;1,"Duplicate","Unique")</f>
        <v>Unique</v>
      </c>
      <c r="V2219" s="9" t="str">
        <f aca="false">IF(COUNTIFS($B$2:$B$5001,B2219,$H$2:$H$5001,H2219,$J$2:$J$5001,J2219)&gt;1,"Possible Duplicate Booking","Unique")</f>
        <v>Unique</v>
      </c>
      <c r="W2219" s="9" t="str">
        <f aca="false">IF((H2219-G2219)&lt;&gt;K2219,"Mismatch","OK")</f>
        <v>OK</v>
      </c>
      <c r="X2219" s="9" t="str">
        <f aca="false">IF(TEXT(H2219,"dddd")&lt;&gt;I2219,"Mismatch","OK")</f>
        <v>OK</v>
      </c>
      <c r="Y2219" s="9" t="str">
        <f aca="false">IF(AND(N2219="No",O2219&lt;&gt;""),"Unexpected: channel present but no reminder sent",IF(AND(N2219="Yes",O2219=""),"Missing channel for sent reminder","OK"))</f>
        <v>OK</v>
      </c>
    </row>
    <row r="2220" customFormat="false" ht="15" hidden="false" customHeight="false" outlineLevel="0" collapsed="false">
      <c r="A2220" s="7" t="s">
        <v>3558</v>
      </c>
      <c r="B2220" s="7" t="s">
        <v>393</v>
      </c>
      <c r="C2220" s="7" t="s">
        <v>47</v>
      </c>
      <c r="D2220" s="7" t="n">
        <v>77</v>
      </c>
      <c r="E2220" s="7" t="s">
        <v>70</v>
      </c>
      <c r="F2220" s="7" t="s">
        <v>49</v>
      </c>
      <c r="G2220" s="8" t="n">
        <v>45799</v>
      </c>
      <c r="H2220" s="8" t="n">
        <v>45814</v>
      </c>
      <c r="I2220" s="7" t="s">
        <v>50</v>
      </c>
      <c r="J2220" s="7" t="s">
        <v>51</v>
      </c>
      <c r="K2220" s="7" t="n">
        <v>15</v>
      </c>
      <c r="L2220" s="7" t="n">
        <v>5</v>
      </c>
      <c r="M2220" s="7" t="n">
        <v>0</v>
      </c>
      <c r="N2220" s="7" t="s">
        <v>42</v>
      </c>
      <c r="O2220" s="7" t="s">
        <v>52</v>
      </c>
      <c r="P2220" s="7" t="n">
        <v>2.8</v>
      </c>
      <c r="Q2220" s="7" t="n">
        <v>22</v>
      </c>
      <c r="R2220" s="7" t="s">
        <v>53</v>
      </c>
      <c r="S2220" s="7"/>
      <c r="T2220" s="7"/>
      <c r="U2220" s="7" t="str">
        <f aca="false">IF(COUNTIF($A$2:$A$5001,A2220)&gt;1,"Duplicate","Unique")</f>
        <v>Unique</v>
      </c>
      <c r="V2220" s="7" t="str">
        <f aca="false">IF(COUNTIFS($B$2:$B$5001,B2220,$H$2:$H$5001,H2220,$J$2:$J$5001,J2220)&gt;1,"Possible Duplicate Booking","Unique")</f>
        <v>Unique</v>
      </c>
      <c r="W2220" s="7" t="str">
        <f aca="false">IF((H2220-G2220)&lt;&gt;K2220,"Mismatch","OK")</f>
        <v>OK</v>
      </c>
      <c r="X2220" s="7" t="str">
        <f aca="false">IF(TEXT(H2220,"dddd")&lt;&gt;I2220,"Mismatch","OK")</f>
        <v>OK</v>
      </c>
      <c r="Y2220" s="7" t="str">
        <f aca="false">IF(AND(N2220="No",O2220&lt;&gt;""),"Unexpected: channel present but no reminder sent",IF(AND(N2220="Yes",O2220=""),"Missing channel for sent reminder","OK"))</f>
        <v>OK</v>
      </c>
    </row>
    <row r="2221" customFormat="false" ht="15" hidden="false" customHeight="false" outlineLevel="0" collapsed="false">
      <c r="A2221" s="9" t="s">
        <v>3559</v>
      </c>
      <c r="B2221" s="9" t="s">
        <v>3560</v>
      </c>
      <c r="C2221" s="9" t="s">
        <v>37</v>
      </c>
      <c r="D2221" s="9" t="n">
        <v>55</v>
      </c>
      <c r="E2221" s="9" t="s">
        <v>61</v>
      </c>
      <c r="F2221" s="9" t="s">
        <v>57</v>
      </c>
      <c r="G2221" s="10" t="n">
        <v>45750</v>
      </c>
      <c r="H2221" s="10" t="n">
        <v>45763</v>
      </c>
      <c r="I2221" s="9" t="s">
        <v>58</v>
      </c>
      <c r="J2221" s="9" t="s">
        <v>51</v>
      </c>
      <c r="K2221" s="9" t="n">
        <v>13</v>
      </c>
      <c r="L2221" s="9" t="n">
        <v>2</v>
      </c>
      <c r="M2221" s="9" t="n">
        <v>0</v>
      </c>
      <c r="N2221" s="9" t="s">
        <v>42</v>
      </c>
      <c r="O2221" s="9" t="s">
        <v>43</v>
      </c>
      <c r="P2221" s="9" t="n">
        <v>14.6</v>
      </c>
      <c r="Q2221" s="9" t="n">
        <v>39</v>
      </c>
      <c r="R2221" s="9" t="s">
        <v>53</v>
      </c>
      <c r="S2221" s="9"/>
      <c r="T2221" s="9"/>
      <c r="U2221" s="9" t="str">
        <f aca="false">IF(COUNTIF($A$2:$A$5001,A2221)&gt;1,"Duplicate","Unique")</f>
        <v>Unique</v>
      </c>
      <c r="V2221" s="9" t="str">
        <f aca="false">IF(COUNTIFS($B$2:$B$5001,B2221,$H$2:$H$5001,H2221,$J$2:$J$5001,J2221)&gt;1,"Possible Duplicate Booking","Unique")</f>
        <v>Unique</v>
      </c>
      <c r="W2221" s="9" t="str">
        <f aca="false">IF((H2221-G2221)&lt;&gt;K2221,"Mismatch","OK")</f>
        <v>OK</v>
      </c>
      <c r="X2221" s="9" t="str">
        <f aca="false">IF(TEXT(H2221,"dddd")&lt;&gt;I2221,"Mismatch","OK")</f>
        <v>OK</v>
      </c>
      <c r="Y2221" s="9" t="str">
        <f aca="false">IF(AND(N2221="No",O2221&lt;&gt;""),"Unexpected: channel present but no reminder sent",IF(AND(N2221="Yes",O2221=""),"Missing channel for sent reminder","OK"))</f>
        <v>OK</v>
      </c>
    </row>
    <row r="2222" customFormat="false" ht="15" hidden="false" customHeight="false" outlineLevel="0" collapsed="false">
      <c r="A2222" s="7" t="s">
        <v>3561</v>
      </c>
      <c r="B2222" s="7" t="s">
        <v>1486</v>
      </c>
      <c r="C2222" s="7" t="s">
        <v>37</v>
      </c>
      <c r="D2222" s="7" t="n">
        <v>56</v>
      </c>
      <c r="E2222" s="7" t="s">
        <v>61</v>
      </c>
      <c r="F2222" s="7" t="s">
        <v>49</v>
      </c>
      <c r="G2222" s="8" t="n">
        <v>46153</v>
      </c>
      <c r="H2222" s="8" t="n">
        <v>46174</v>
      </c>
      <c r="I2222" s="7" t="s">
        <v>66</v>
      </c>
      <c r="J2222" s="7" t="s">
        <v>63</v>
      </c>
      <c r="K2222" s="7" t="n">
        <v>21</v>
      </c>
      <c r="L2222" s="7" t="n">
        <v>3</v>
      </c>
      <c r="M2222" s="7" t="n">
        <v>0</v>
      </c>
      <c r="N2222" s="7" t="s">
        <v>71</v>
      </c>
      <c r="O2222" s="7"/>
      <c r="P2222" s="7" t="n">
        <v>13.6</v>
      </c>
      <c r="Q2222" s="7" t="n">
        <v>42</v>
      </c>
      <c r="R2222" s="7" t="s">
        <v>53</v>
      </c>
      <c r="S2222" s="7"/>
      <c r="T2222" s="7"/>
      <c r="U2222" s="7" t="str">
        <f aca="false">IF(COUNTIF($A$2:$A$5001,A2222)&gt;1,"Duplicate","Unique")</f>
        <v>Unique</v>
      </c>
      <c r="V2222" s="7" t="str">
        <f aca="false">IF(COUNTIFS($B$2:$B$5001,B2222,$H$2:$H$5001,H2222,$J$2:$J$5001,J2222)&gt;1,"Possible Duplicate Booking","Unique")</f>
        <v>Unique</v>
      </c>
      <c r="W2222" s="7" t="str">
        <f aca="false">IF((H2222-G2222)&lt;&gt;K2222,"Mismatch","OK")</f>
        <v>OK</v>
      </c>
      <c r="X2222" s="7" t="str">
        <f aca="false">IF(TEXT(H2222,"dddd")&lt;&gt;I2222,"Mismatch","OK")</f>
        <v>OK</v>
      </c>
      <c r="Y2222" s="7" t="str">
        <f aca="false">IF(AND(N2222="No",O2222&lt;&gt;""),"Unexpected: channel present but no reminder sent",IF(AND(N2222="Yes",O2222=""),"Missing channel for sent reminder","OK"))</f>
        <v>OK</v>
      </c>
    </row>
    <row r="2223" customFormat="false" ht="15" hidden="false" customHeight="false" outlineLevel="0" collapsed="false">
      <c r="A2223" s="9" t="s">
        <v>3562</v>
      </c>
      <c r="B2223" s="9" t="s">
        <v>956</v>
      </c>
      <c r="C2223" s="9" t="s">
        <v>47</v>
      </c>
      <c r="D2223" s="9" t="n">
        <v>23</v>
      </c>
      <c r="E2223" s="9" t="s">
        <v>82</v>
      </c>
      <c r="F2223" s="9" t="s">
        <v>74</v>
      </c>
      <c r="G2223" s="10" t="n">
        <v>45702</v>
      </c>
      <c r="H2223" s="10" t="n">
        <v>45742</v>
      </c>
      <c r="I2223" s="9" t="s">
        <v>58</v>
      </c>
      <c r="J2223" s="9" t="s">
        <v>51</v>
      </c>
      <c r="K2223" s="9" t="n">
        <v>40</v>
      </c>
      <c r="L2223" s="9" t="n">
        <v>3</v>
      </c>
      <c r="M2223" s="9" t="n">
        <v>0</v>
      </c>
      <c r="N2223" s="9" t="s">
        <v>42</v>
      </c>
      <c r="O2223" s="9" t="s">
        <v>52</v>
      </c>
      <c r="P2223" s="9" t="n">
        <v>6.4</v>
      </c>
      <c r="Q2223" s="9" t="n">
        <v>33</v>
      </c>
      <c r="R2223" s="9" t="s">
        <v>44</v>
      </c>
      <c r="S2223" s="9"/>
      <c r="T2223" s="9"/>
      <c r="U2223" s="9" t="str">
        <f aca="false">IF(COUNTIF($A$2:$A$5001,A2223)&gt;1,"Duplicate","Unique")</f>
        <v>Unique</v>
      </c>
      <c r="V2223" s="9" t="str">
        <f aca="false">IF(COUNTIFS($B$2:$B$5001,B2223,$H$2:$H$5001,H2223,$J$2:$J$5001,J2223)&gt;1,"Possible Duplicate Booking","Unique")</f>
        <v>Unique</v>
      </c>
      <c r="W2223" s="9" t="str">
        <f aca="false">IF((H2223-G2223)&lt;&gt;K2223,"Mismatch","OK")</f>
        <v>OK</v>
      </c>
      <c r="X2223" s="9" t="str">
        <f aca="false">IF(TEXT(H2223,"dddd")&lt;&gt;I2223,"Mismatch","OK")</f>
        <v>OK</v>
      </c>
      <c r="Y2223" s="9" t="str">
        <f aca="false">IF(AND(N2223="No",O2223&lt;&gt;""),"Unexpected: channel present but no reminder sent",IF(AND(N2223="Yes",O2223=""),"Missing channel for sent reminder","OK"))</f>
        <v>OK</v>
      </c>
    </row>
    <row r="2224" customFormat="false" ht="15" hidden="false" customHeight="false" outlineLevel="0" collapsed="false">
      <c r="A2224" s="7" t="s">
        <v>3563</v>
      </c>
      <c r="B2224" s="7" t="s">
        <v>2855</v>
      </c>
      <c r="C2224" s="7" t="s">
        <v>37</v>
      </c>
      <c r="D2224" s="7" t="n">
        <v>50</v>
      </c>
      <c r="E2224" s="7" t="s">
        <v>56</v>
      </c>
      <c r="F2224" s="7" t="s">
        <v>39</v>
      </c>
      <c r="G2224" s="8" t="n">
        <v>45648</v>
      </c>
      <c r="H2224" s="8" t="n">
        <v>45672</v>
      </c>
      <c r="I2224" s="7" t="s">
        <v>58</v>
      </c>
      <c r="J2224" s="7" t="s">
        <v>41</v>
      </c>
      <c r="K2224" s="7" t="n">
        <v>24</v>
      </c>
      <c r="L2224" s="7" t="n">
        <v>2</v>
      </c>
      <c r="M2224" s="7" t="n">
        <v>0</v>
      </c>
      <c r="N2224" s="7" t="s">
        <v>42</v>
      </c>
      <c r="O2224" s="7" t="s">
        <v>52</v>
      </c>
      <c r="P2224" s="7" t="n">
        <v>22.5</v>
      </c>
      <c r="Q2224" s="7" t="n">
        <v>35</v>
      </c>
      <c r="R2224" s="7" t="s">
        <v>44</v>
      </c>
      <c r="S2224" s="7"/>
      <c r="T2224" s="7"/>
      <c r="U2224" s="7" t="str">
        <f aca="false">IF(COUNTIF($A$2:$A$5001,A2224)&gt;1,"Duplicate","Unique")</f>
        <v>Unique</v>
      </c>
      <c r="V2224" s="7" t="str">
        <f aca="false">IF(COUNTIFS($B$2:$B$5001,B2224,$H$2:$H$5001,H2224,$J$2:$J$5001,J2224)&gt;1,"Possible Duplicate Booking","Unique")</f>
        <v>Unique</v>
      </c>
      <c r="W2224" s="7" t="str">
        <f aca="false">IF((H2224-G2224)&lt;&gt;K2224,"Mismatch","OK")</f>
        <v>OK</v>
      </c>
      <c r="X2224" s="7" t="str">
        <f aca="false">IF(TEXT(H2224,"dddd")&lt;&gt;I2224,"Mismatch","OK")</f>
        <v>OK</v>
      </c>
      <c r="Y2224" s="7" t="str">
        <f aca="false">IF(AND(N2224="No",O2224&lt;&gt;""),"Unexpected: channel present but no reminder sent",IF(AND(N2224="Yes",O2224=""),"Missing channel for sent reminder","OK"))</f>
        <v>OK</v>
      </c>
    </row>
    <row r="2225" customFormat="false" ht="15" hidden="false" customHeight="false" outlineLevel="0" collapsed="false">
      <c r="A2225" s="9" t="s">
        <v>3564</v>
      </c>
      <c r="B2225" s="9" t="s">
        <v>3565</v>
      </c>
      <c r="C2225" s="9" t="s">
        <v>37</v>
      </c>
      <c r="D2225" s="9" t="n">
        <v>42</v>
      </c>
      <c r="E2225" s="9" t="s">
        <v>38</v>
      </c>
      <c r="F2225" s="9" t="s">
        <v>57</v>
      </c>
      <c r="G2225" s="10" t="n">
        <v>45869</v>
      </c>
      <c r="H2225" s="10" t="n">
        <v>45888</v>
      </c>
      <c r="I2225" s="9" t="s">
        <v>40</v>
      </c>
      <c r="J2225" s="9" t="s">
        <v>41</v>
      </c>
      <c r="K2225" s="9" t="n">
        <v>19</v>
      </c>
      <c r="L2225" s="9" t="n">
        <v>2</v>
      </c>
      <c r="M2225" s="9" t="n">
        <v>1</v>
      </c>
      <c r="N2225" s="9" t="s">
        <v>42</v>
      </c>
      <c r="O2225" s="9" t="s">
        <v>52</v>
      </c>
      <c r="P2225" s="9" t="n">
        <v>8.9</v>
      </c>
      <c r="Q2225" s="9" t="n">
        <v>34</v>
      </c>
      <c r="R2225" s="9" t="s">
        <v>44</v>
      </c>
      <c r="S2225" s="9"/>
      <c r="T2225" s="9"/>
      <c r="U2225" s="9" t="str">
        <f aca="false">IF(COUNTIF($A$2:$A$5001,A2225)&gt;1,"Duplicate","Unique")</f>
        <v>Unique</v>
      </c>
      <c r="V2225" s="9" t="str">
        <f aca="false">IF(COUNTIFS($B$2:$B$5001,B2225,$H$2:$H$5001,H2225,$J$2:$J$5001,J2225)&gt;1,"Possible Duplicate Booking","Unique")</f>
        <v>Unique</v>
      </c>
      <c r="W2225" s="9" t="str">
        <f aca="false">IF((H2225-G2225)&lt;&gt;K2225,"Mismatch","OK")</f>
        <v>OK</v>
      </c>
      <c r="X2225" s="9" t="str">
        <f aca="false">IF(TEXT(H2225,"dddd")&lt;&gt;I2225,"Mismatch","OK")</f>
        <v>OK</v>
      </c>
      <c r="Y2225" s="9" t="str">
        <f aca="false">IF(AND(N2225="No",O2225&lt;&gt;""),"Unexpected: channel present but no reminder sent",IF(AND(N2225="Yes",O2225=""),"Missing channel for sent reminder","OK"))</f>
        <v>OK</v>
      </c>
    </row>
    <row r="2226" customFormat="false" ht="15" hidden="false" customHeight="false" outlineLevel="0" collapsed="false">
      <c r="A2226" s="7" t="s">
        <v>3566</v>
      </c>
      <c r="B2226" s="7" t="s">
        <v>2693</v>
      </c>
      <c r="C2226" s="7" t="s">
        <v>37</v>
      </c>
      <c r="D2226" s="7" t="n">
        <v>48</v>
      </c>
      <c r="E2226" s="7" t="s">
        <v>56</v>
      </c>
      <c r="F2226" s="7" t="s">
        <v>39</v>
      </c>
      <c r="G2226" s="8" t="n">
        <v>45845</v>
      </c>
      <c r="H2226" s="8" t="n">
        <v>45876</v>
      </c>
      <c r="I2226" s="7" t="s">
        <v>62</v>
      </c>
      <c r="J2226" s="7" t="s">
        <v>51</v>
      </c>
      <c r="K2226" s="7" t="n">
        <v>31</v>
      </c>
      <c r="L2226" s="7" t="n">
        <v>1</v>
      </c>
      <c r="M2226" s="7" t="n">
        <v>0</v>
      </c>
      <c r="N2226" s="7" t="s">
        <v>42</v>
      </c>
      <c r="O2226" s="7" t="s">
        <v>52</v>
      </c>
      <c r="P2226" s="7" t="n">
        <v>9.5</v>
      </c>
      <c r="Q2226" s="7" t="n">
        <v>22</v>
      </c>
      <c r="R2226" s="7" t="s">
        <v>44</v>
      </c>
      <c r="S2226" s="7"/>
      <c r="T2226" s="7"/>
      <c r="U2226" s="7" t="str">
        <f aca="false">IF(COUNTIF($A$2:$A$5001,A2226)&gt;1,"Duplicate","Unique")</f>
        <v>Unique</v>
      </c>
      <c r="V2226" s="7" t="str">
        <f aca="false">IF(COUNTIFS($B$2:$B$5001,B2226,$H$2:$H$5001,H2226,$J$2:$J$5001,J2226)&gt;1,"Possible Duplicate Booking","Unique")</f>
        <v>Unique</v>
      </c>
      <c r="W2226" s="7" t="str">
        <f aca="false">IF((H2226-G2226)&lt;&gt;K2226,"Mismatch","OK")</f>
        <v>OK</v>
      </c>
      <c r="X2226" s="7" t="str">
        <f aca="false">IF(TEXT(H2226,"dddd")&lt;&gt;I2226,"Mismatch","OK")</f>
        <v>OK</v>
      </c>
      <c r="Y2226" s="7" t="str">
        <f aca="false">IF(AND(N2226="No",O2226&lt;&gt;""),"Unexpected: channel present but no reminder sent",IF(AND(N2226="Yes",O2226=""),"Missing channel for sent reminder","OK"))</f>
        <v>OK</v>
      </c>
    </row>
    <row r="2227" customFormat="false" ht="15" hidden="false" customHeight="false" outlineLevel="0" collapsed="false">
      <c r="A2227" s="9" t="s">
        <v>3567</v>
      </c>
      <c r="B2227" s="9" t="s">
        <v>3568</v>
      </c>
      <c r="C2227" s="9" t="s">
        <v>47</v>
      </c>
      <c r="D2227" s="9" t="n">
        <v>34</v>
      </c>
      <c r="E2227" s="9" t="s">
        <v>48</v>
      </c>
      <c r="F2227" s="9" t="s">
        <v>49</v>
      </c>
      <c r="G2227" s="10" t="n">
        <v>45959</v>
      </c>
      <c r="H2227" s="10" t="n">
        <v>45996</v>
      </c>
      <c r="I2227" s="9" t="s">
        <v>50</v>
      </c>
      <c r="J2227" s="9" t="s">
        <v>41</v>
      </c>
      <c r="K2227" s="9" t="n">
        <v>37</v>
      </c>
      <c r="L2227" s="9" t="n">
        <v>1</v>
      </c>
      <c r="M2227" s="9" t="n">
        <v>0</v>
      </c>
      <c r="N2227" s="9" t="s">
        <v>71</v>
      </c>
      <c r="O2227" s="9"/>
      <c r="P2227" s="9" t="n">
        <v>4.9</v>
      </c>
      <c r="Q2227" s="9" t="n">
        <v>11</v>
      </c>
      <c r="R2227" s="9" t="s">
        <v>44</v>
      </c>
      <c r="S2227" s="9"/>
      <c r="T2227" s="9"/>
      <c r="U2227" s="9" t="str">
        <f aca="false">IF(COUNTIF($A$2:$A$5001,A2227)&gt;1,"Duplicate","Unique")</f>
        <v>Unique</v>
      </c>
      <c r="V2227" s="9" t="str">
        <f aca="false">IF(COUNTIFS($B$2:$B$5001,B2227,$H$2:$H$5001,H2227,$J$2:$J$5001,J2227)&gt;1,"Possible Duplicate Booking","Unique")</f>
        <v>Unique</v>
      </c>
      <c r="W2227" s="9" t="str">
        <f aca="false">IF((H2227-G2227)&lt;&gt;K2227,"Mismatch","OK")</f>
        <v>OK</v>
      </c>
      <c r="X2227" s="9" t="str">
        <f aca="false">IF(TEXT(H2227,"dddd")&lt;&gt;I2227,"Mismatch","OK")</f>
        <v>OK</v>
      </c>
      <c r="Y2227" s="9" t="str">
        <f aca="false">IF(AND(N2227="No",O2227&lt;&gt;""),"Unexpected: channel present but no reminder sent",IF(AND(N2227="Yes",O2227=""),"Missing channel for sent reminder","OK"))</f>
        <v>OK</v>
      </c>
    </row>
    <row r="2228" customFormat="false" ht="15" hidden="false" customHeight="false" outlineLevel="0" collapsed="false">
      <c r="A2228" s="7" t="s">
        <v>3569</v>
      </c>
      <c r="B2228" s="7" t="s">
        <v>2808</v>
      </c>
      <c r="C2228" s="7" t="s">
        <v>47</v>
      </c>
      <c r="D2228" s="7" t="n">
        <v>30</v>
      </c>
      <c r="E2228" s="7" t="s">
        <v>48</v>
      </c>
      <c r="F2228" s="7" t="s">
        <v>57</v>
      </c>
      <c r="G2228" s="8" t="n">
        <v>46137</v>
      </c>
      <c r="H2228" s="8" t="n">
        <v>46137</v>
      </c>
      <c r="I2228" s="7" t="s">
        <v>102</v>
      </c>
      <c r="J2228" s="7" t="s">
        <v>41</v>
      </c>
      <c r="K2228" s="7" t="n">
        <v>0</v>
      </c>
      <c r="L2228" s="7" t="n">
        <v>4</v>
      </c>
      <c r="M2228" s="7" t="n">
        <v>0</v>
      </c>
      <c r="N2228" s="7" t="s">
        <v>71</v>
      </c>
      <c r="O2228" s="7"/>
      <c r="P2228" s="7" t="n">
        <v>5.4</v>
      </c>
      <c r="Q2228" s="7" t="n">
        <v>33</v>
      </c>
      <c r="R2228" s="7" t="s">
        <v>53</v>
      </c>
      <c r="S2228" s="7"/>
      <c r="T2228" s="7"/>
      <c r="U2228" s="7" t="str">
        <f aca="false">IF(COUNTIF($A$2:$A$5001,A2228)&gt;1,"Duplicate","Unique")</f>
        <v>Unique</v>
      </c>
      <c r="V2228" s="7" t="str">
        <f aca="false">IF(COUNTIFS($B$2:$B$5001,B2228,$H$2:$H$5001,H2228,$J$2:$J$5001,J2228)&gt;1,"Possible Duplicate Booking","Unique")</f>
        <v>Unique</v>
      </c>
      <c r="W2228" s="7" t="str">
        <f aca="false">IF((H2228-G2228)&lt;&gt;K2228,"Mismatch","OK")</f>
        <v>OK</v>
      </c>
      <c r="X2228" s="7" t="str">
        <f aca="false">IF(TEXT(H2228,"dddd")&lt;&gt;I2228,"Mismatch","OK")</f>
        <v>OK</v>
      </c>
      <c r="Y2228" s="7" t="str">
        <f aca="false">IF(AND(N2228="No",O2228&lt;&gt;""),"Unexpected: channel present but no reminder sent",IF(AND(N2228="Yes",O2228=""),"Missing channel for sent reminder","OK"))</f>
        <v>OK</v>
      </c>
    </row>
    <row r="2229" customFormat="false" ht="15" hidden="false" customHeight="false" outlineLevel="0" collapsed="false">
      <c r="A2229" s="9" t="s">
        <v>3570</v>
      </c>
      <c r="B2229" s="9" t="s">
        <v>3571</v>
      </c>
      <c r="C2229" s="9" t="s">
        <v>37</v>
      </c>
      <c r="D2229" s="9" t="n">
        <v>77</v>
      </c>
      <c r="E2229" s="9" t="s">
        <v>70</v>
      </c>
      <c r="F2229" s="9" t="s">
        <v>57</v>
      </c>
      <c r="G2229" s="10" t="n">
        <v>46113</v>
      </c>
      <c r="H2229" s="10" t="n">
        <v>46167</v>
      </c>
      <c r="I2229" s="9" t="s">
        <v>66</v>
      </c>
      <c r="J2229" s="9" t="s">
        <v>51</v>
      </c>
      <c r="K2229" s="9" t="n">
        <v>54</v>
      </c>
      <c r="L2229" s="9" t="n">
        <v>6</v>
      </c>
      <c r="M2229" s="9" t="n">
        <v>1</v>
      </c>
      <c r="N2229" s="9" t="s">
        <v>71</v>
      </c>
      <c r="O2229" s="9"/>
      <c r="P2229" s="9" t="n">
        <v>4.4</v>
      </c>
      <c r="Q2229" s="9" t="n">
        <v>7</v>
      </c>
      <c r="R2229" s="9" t="s">
        <v>44</v>
      </c>
      <c r="S2229" s="9"/>
      <c r="T2229" s="9"/>
      <c r="U2229" s="9" t="str">
        <f aca="false">IF(COUNTIF($A$2:$A$5001,A2229)&gt;1,"Duplicate","Unique")</f>
        <v>Unique</v>
      </c>
      <c r="V2229" s="9" t="str">
        <f aca="false">IF(COUNTIFS($B$2:$B$5001,B2229,$H$2:$H$5001,H2229,$J$2:$J$5001,J2229)&gt;1,"Possible Duplicate Booking","Unique")</f>
        <v>Unique</v>
      </c>
      <c r="W2229" s="9" t="str">
        <f aca="false">IF((H2229-G2229)&lt;&gt;K2229,"Mismatch","OK")</f>
        <v>OK</v>
      </c>
      <c r="X2229" s="9" t="str">
        <f aca="false">IF(TEXT(H2229,"dddd")&lt;&gt;I2229,"Mismatch","OK")</f>
        <v>OK</v>
      </c>
      <c r="Y2229" s="9" t="str">
        <f aca="false">IF(AND(N2229="No",O2229&lt;&gt;""),"Unexpected: channel present but no reminder sent",IF(AND(N2229="Yes",O2229=""),"Missing channel for sent reminder","OK"))</f>
        <v>OK</v>
      </c>
    </row>
    <row r="2230" customFormat="false" ht="15" hidden="false" customHeight="false" outlineLevel="0" collapsed="false">
      <c r="A2230" s="7" t="s">
        <v>3572</v>
      </c>
      <c r="B2230" s="7" t="s">
        <v>3573</v>
      </c>
      <c r="C2230" s="7" t="s">
        <v>37</v>
      </c>
      <c r="D2230" s="7" t="n">
        <v>53</v>
      </c>
      <c r="E2230" s="7" t="s">
        <v>56</v>
      </c>
      <c r="F2230" s="7" t="s">
        <v>39</v>
      </c>
      <c r="G2230" s="8" t="n">
        <v>45761</v>
      </c>
      <c r="H2230" s="8" t="n">
        <v>45816</v>
      </c>
      <c r="I2230" s="7" t="s">
        <v>75</v>
      </c>
      <c r="J2230" s="7" t="s">
        <v>63</v>
      </c>
      <c r="K2230" s="7" t="n">
        <v>55</v>
      </c>
      <c r="L2230" s="7" t="n">
        <v>5</v>
      </c>
      <c r="M2230" s="7" t="n">
        <v>1</v>
      </c>
      <c r="N2230" s="7" t="s">
        <v>42</v>
      </c>
      <c r="O2230" s="7" t="s">
        <v>52</v>
      </c>
      <c r="P2230" s="7" t="n">
        <v>12.5</v>
      </c>
      <c r="Q2230" s="7" t="n">
        <v>20</v>
      </c>
      <c r="R2230" s="7" t="s">
        <v>44</v>
      </c>
      <c r="S2230" s="7"/>
      <c r="T2230" s="7"/>
      <c r="U2230" s="7" t="str">
        <f aca="false">IF(COUNTIF($A$2:$A$5001,A2230)&gt;1,"Duplicate","Unique")</f>
        <v>Unique</v>
      </c>
      <c r="V2230" s="7" t="str">
        <f aca="false">IF(COUNTIFS($B$2:$B$5001,B2230,$H$2:$H$5001,H2230,$J$2:$J$5001,J2230)&gt;1,"Possible Duplicate Booking","Unique")</f>
        <v>Unique</v>
      </c>
      <c r="W2230" s="7" t="str">
        <f aca="false">IF((H2230-G2230)&lt;&gt;K2230,"Mismatch","OK")</f>
        <v>OK</v>
      </c>
      <c r="X2230" s="7" t="str">
        <f aca="false">IF(TEXT(H2230,"dddd")&lt;&gt;I2230,"Mismatch","OK")</f>
        <v>OK</v>
      </c>
      <c r="Y2230" s="7" t="str">
        <f aca="false">IF(AND(N2230="No",O2230&lt;&gt;""),"Unexpected: channel present but no reminder sent",IF(AND(N2230="Yes",O2230=""),"Missing channel for sent reminder","OK"))</f>
        <v>OK</v>
      </c>
    </row>
    <row r="2231" customFormat="false" ht="15" hidden="false" customHeight="false" outlineLevel="0" collapsed="false">
      <c r="A2231" s="9" t="s">
        <v>3574</v>
      </c>
      <c r="B2231" s="9" t="s">
        <v>3498</v>
      </c>
      <c r="C2231" s="9" t="s">
        <v>47</v>
      </c>
      <c r="D2231" s="9" t="n">
        <v>43</v>
      </c>
      <c r="E2231" s="9" t="s">
        <v>38</v>
      </c>
      <c r="F2231" s="9" t="s">
        <v>74</v>
      </c>
      <c r="G2231" s="10" t="n">
        <v>46157</v>
      </c>
      <c r="H2231" s="10" t="n">
        <v>46193</v>
      </c>
      <c r="I2231" s="9" t="s">
        <v>102</v>
      </c>
      <c r="J2231" s="9" t="s">
        <v>41</v>
      </c>
      <c r="K2231" s="9" t="n">
        <v>36</v>
      </c>
      <c r="L2231" s="9" t="n">
        <v>3</v>
      </c>
      <c r="M2231" s="9" t="n">
        <v>0</v>
      </c>
      <c r="N2231" s="9" t="s">
        <v>71</v>
      </c>
      <c r="O2231" s="9"/>
      <c r="P2231" s="9" t="n">
        <v>12.1</v>
      </c>
      <c r="Q2231" s="9" t="n">
        <v>17</v>
      </c>
      <c r="R2231" s="9" t="s">
        <v>44</v>
      </c>
      <c r="S2231" s="9"/>
      <c r="T2231" s="9"/>
      <c r="U2231" s="9" t="str">
        <f aca="false">IF(COUNTIF($A$2:$A$5001,A2231)&gt;1,"Duplicate","Unique")</f>
        <v>Unique</v>
      </c>
      <c r="V2231" s="9" t="str">
        <f aca="false">IF(COUNTIFS($B$2:$B$5001,B2231,$H$2:$H$5001,H2231,$J$2:$J$5001,J2231)&gt;1,"Possible Duplicate Booking","Unique")</f>
        <v>Unique</v>
      </c>
      <c r="W2231" s="9" t="str">
        <f aca="false">IF((H2231-G2231)&lt;&gt;K2231,"Mismatch","OK")</f>
        <v>OK</v>
      </c>
      <c r="X2231" s="9" t="str">
        <f aca="false">IF(TEXT(H2231,"dddd")&lt;&gt;I2231,"Mismatch","OK")</f>
        <v>OK</v>
      </c>
      <c r="Y2231" s="9" t="str">
        <f aca="false">IF(AND(N2231="No",O2231&lt;&gt;""),"Unexpected: channel present but no reminder sent",IF(AND(N2231="Yes",O2231=""),"Missing channel for sent reminder","OK"))</f>
        <v>OK</v>
      </c>
    </row>
    <row r="2232" customFormat="false" ht="15" hidden="false" customHeight="false" outlineLevel="0" collapsed="false">
      <c r="A2232" s="7" t="s">
        <v>3575</v>
      </c>
      <c r="B2232" s="7" t="s">
        <v>1645</v>
      </c>
      <c r="C2232" s="7" t="s">
        <v>47</v>
      </c>
      <c r="D2232" s="7" t="n">
        <v>22</v>
      </c>
      <c r="E2232" s="7" t="s">
        <v>82</v>
      </c>
      <c r="F2232" s="7" t="s">
        <v>57</v>
      </c>
      <c r="G2232" s="8" t="n">
        <v>45968</v>
      </c>
      <c r="H2232" s="8" t="n">
        <v>46003</v>
      </c>
      <c r="I2232" s="7" t="s">
        <v>50</v>
      </c>
      <c r="J2232" s="7" t="s">
        <v>41</v>
      </c>
      <c r="K2232" s="7" t="n">
        <v>35</v>
      </c>
      <c r="L2232" s="7" t="n">
        <v>4</v>
      </c>
      <c r="M2232" s="7" t="n">
        <v>1</v>
      </c>
      <c r="N2232" s="7" t="s">
        <v>71</v>
      </c>
      <c r="O2232" s="7"/>
      <c r="P2232" s="7" t="n">
        <v>1.6</v>
      </c>
      <c r="Q2232" s="7" t="n">
        <v>30</v>
      </c>
      <c r="R2232" s="7" t="s">
        <v>53</v>
      </c>
      <c r="S2232" s="7"/>
      <c r="T2232" s="7"/>
      <c r="U2232" s="7" t="str">
        <f aca="false">IF(COUNTIF($A$2:$A$5001,A2232)&gt;1,"Duplicate","Unique")</f>
        <v>Unique</v>
      </c>
      <c r="V2232" s="7" t="str">
        <f aca="false">IF(COUNTIFS($B$2:$B$5001,B2232,$H$2:$H$5001,H2232,$J$2:$J$5001,J2232)&gt;1,"Possible Duplicate Booking","Unique")</f>
        <v>Unique</v>
      </c>
      <c r="W2232" s="7" t="str">
        <f aca="false">IF((H2232-G2232)&lt;&gt;K2232,"Mismatch","OK")</f>
        <v>OK</v>
      </c>
      <c r="X2232" s="7" t="str">
        <f aca="false">IF(TEXT(H2232,"dddd")&lt;&gt;I2232,"Mismatch","OK")</f>
        <v>OK</v>
      </c>
      <c r="Y2232" s="7" t="str">
        <f aca="false">IF(AND(N2232="No",O2232&lt;&gt;""),"Unexpected: channel present but no reminder sent",IF(AND(N2232="Yes",O2232=""),"Missing channel for sent reminder","OK"))</f>
        <v>OK</v>
      </c>
    </row>
    <row r="2233" customFormat="false" ht="15" hidden="false" customHeight="false" outlineLevel="0" collapsed="false">
      <c r="A2233" s="9" t="s">
        <v>3576</v>
      </c>
      <c r="B2233" s="9" t="s">
        <v>3577</v>
      </c>
      <c r="C2233" s="9" t="s">
        <v>37</v>
      </c>
      <c r="D2233" s="9" t="n">
        <v>66</v>
      </c>
      <c r="E2233" s="9" t="s">
        <v>70</v>
      </c>
      <c r="F2233" s="9" t="s">
        <v>57</v>
      </c>
      <c r="G2233" s="10" t="n">
        <v>45654</v>
      </c>
      <c r="H2233" s="10" t="n">
        <v>45696</v>
      </c>
      <c r="I2233" s="9" t="s">
        <v>102</v>
      </c>
      <c r="J2233" s="9" t="s">
        <v>51</v>
      </c>
      <c r="K2233" s="9" t="n">
        <v>42</v>
      </c>
      <c r="L2233" s="9" t="n">
        <v>1</v>
      </c>
      <c r="M2233" s="9" t="n">
        <v>0</v>
      </c>
      <c r="N2233" s="9" t="s">
        <v>71</v>
      </c>
      <c r="O2233" s="9"/>
      <c r="P2233" s="9" t="n">
        <v>17.2</v>
      </c>
      <c r="Q2233" s="9" t="n">
        <v>27</v>
      </c>
      <c r="R2233" s="9" t="s">
        <v>53</v>
      </c>
      <c r="S2233" s="9"/>
      <c r="T2233" s="9"/>
      <c r="U2233" s="9" t="str">
        <f aca="false">IF(COUNTIF($A$2:$A$5001,A2233)&gt;1,"Duplicate","Unique")</f>
        <v>Unique</v>
      </c>
      <c r="V2233" s="9" t="str">
        <f aca="false">IF(COUNTIFS($B$2:$B$5001,B2233,$H$2:$H$5001,H2233,$J$2:$J$5001,J2233)&gt;1,"Possible Duplicate Booking","Unique")</f>
        <v>Unique</v>
      </c>
      <c r="W2233" s="9" t="str">
        <f aca="false">IF((H2233-G2233)&lt;&gt;K2233,"Mismatch","OK")</f>
        <v>OK</v>
      </c>
      <c r="X2233" s="9" t="str">
        <f aca="false">IF(TEXT(H2233,"dddd")&lt;&gt;I2233,"Mismatch","OK")</f>
        <v>OK</v>
      </c>
      <c r="Y2233" s="9" t="str">
        <f aca="false">IF(AND(N2233="No",O2233&lt;&gt;""),"Unexpected: channel present but no reminder sent",IF(AND(N2233="Yes",O2233=""),"Missing channel for sent reminder","OK"))</f>
        <v>OK</v>
      </c>
    </row>
    <row r="2234" customFormat="false" ht="15" hidden="false" customHeight="false" outlineLevel="0" collapsed="false">
      <c r="A2234" s="7" t="s">
        <v>3578</v>
      </c>
      <c r="B2234" s="7" t="s">
        <v>3579</v>
      </c>
      <c r="C2234" s="7" t="s">
        <v>37</v>
      </c>
      <c r="D2234" s="7" t="n">
        <v>47</v>
      </c>
      <c r="E2234" s="7" t="s">
        <v>56</v>
      </c>
      <c r="F2234" s="7" t="s">
        <v>74</v>
      </c>
      <c r="G2234" s="8" t="n">
        <v>46144</v>
      </c>
      <c r="H2234" s="8" t="n">
        <v>46170</v>
      </c>
      <c r="I2234" s="7" t="s">
        <v>62</v>
      </c>
      <c r="J2234" s="7" t="s">
        <v>51</v>
      </c>
      <c r="K2234" s="7" t="n">
        <v>26</v>
      </c>
      <c r="L2234" s="7" t="n">
        <v>3</v>
      </c>
      <c r="M2234" s="7" t="n">
        <v>0</v>
      </c>
      <c r="N2234" s="7" t="s">
        <v>42</v>
      </c>
      <c r="O2234" s="7" t="s">
        <v>52</v>
      </c>
      <c r="P2234" s="7" t="n">
        <v>8.2</v>
      </c>
      <c r="Q2234" s="7" t="n">
        <v>17</v>
      </c>
      <c r="R2234" s="7" t="s">
        <v>44</v>
      </c>
      <c r="S2234" s="7"/>
      <c r="T2234" s="7"/>
      <c r="U2234" s="7" t="str">
        <f aca="false">IF(COUNTIF($A$2:$A$5001,A2234)&gt;1,"Duplicate","Unique")</f>
        <v>Unique</v>
      </c>
      <c r="V2234" s="7" t="str">
        <f aca="false">IF(COUNTIFS($B$2:$B$5001,B2234,$H$2:$H$5001,H2234,$J$2:$J$5001,J2234)&gt;1,"Possible Duplicate Booking","Unique")</f>
        <v>Unique</v>
      </c>
      <c r="W2234" s="7" t="str">
        <f aca="false">IF((H2234-G2234)&lt;&gt;K2234,"Mismatch","OK")</f>
        <v>OK</v>
      </c>
      <c r="X2234" s="7" t="str">
        <f aca="false">IF(TEXT(H2234,"dddd")&lt;&gt;I2234,"Mismatch","OK")</f>
        <v>OK</v>
      </c>
      <c r="Y2234" s="7" t="str">
        <f aca="false">IF(AND(N2234="No",O2234&lt;&gt;""),"Unexpected: channel present but no reminder sent",IF(AND(N2234="Yes",O2234=""),"Missing channel for sent reminder","OK"))</f>
        <v>OK</v>
      </c>
    </row>
    <row r="2235" customFormat="false" ht="15" hidden="false" customHeight="false" outlineLevel="0" collapsed="false">
      <c r="A2235" s="9" t="s">
        <v>3580</v>
      </c>
      <c r="B2235" s="9" t="s">
        <v>3157</v>
      </c>
      <c r="C2235" s="9" t="s">
        <v>47</v>
      </c>
      <c r="D2235" s="9" t="n">
        <v>42</v>
      </c>
      <c r="E2235" s="9" t="s">
        <v>38</v>
      </c>
      <c r="F2235" s="9" t="s">
        <v>57</v>
      </c>
      <c r="G2235" s="10" t="n">
        <v>45711</v>
      </c>
      <c r="H2235" s="10" t="n">
        <v>45733</v>
      </c>
      <c r="I2235" s="9" t="s">
        <v>66</v>
      </c>
      <c r="J2235" s="9" t="s">
        <v>41</v>
      </c>
      <c r="K2235" s="9" t="n">
        <v>22</v>
      </c>
      <c r="L2235" s="9" t="n">
        <v>9</v>
      </c>
      <c r="M2235" s="9" t="n">
        <v>1</v>
      </c>
      <c r="N2235" s="9" t="s">
        <v>42</v>
      </c>
      <c r="O2235" s="9" t="s">
        <v>67</v>
      </c>
      <c r="P2235" s="9" t="n">
        <v>2.7</v>
      </c>
      <c r="Q2235" s="9" t="n">
        <v>19</v>
      </c>
      <c r="R2235" s="9" t="s">
        <v>53</v>
      </c>
      <c r="S2235" s="9"/>
      <c r="T2235" s="9"/>
      <c r="U2235" s="9" t="str">
        <f aca="false">IF(COUNTIF($A$2:$A$5001,A2235)&gt;1,"Duplicate","Unique")</f>
        <v>Unique</v>
      </c>
      <c r="V2235" s="9" t="str">
        <f aca="false">IF(COUNTIFS($B$2:$B$5001,B2235,$H$2:$H$5001,H2235,$J$2:$J$5001,J2235)&gt;1,"Possible Duplicate Booking","Unique")</f>
        <v>Unique</v>
      </c>
      <c r="W2235" s="9" t="str">
        <f aca="false">IF((H2235-G2235)&lt;&gt;K2235,"Mismatch","OK")</f>
        <v>OK</v>
      </c>
      <c r="X2235" s="9" t="str">
        <f aca="false">IF(TEXT(H2235,"dddd")&lt;&gt;I2235,"Mismatch","OK")</f>
        <v>OK</v>
      </c>
      <c r="Y2235" s="9" t="str">
        <f aca="false">IF(AND(N2235="No",O2235&lt;&gt;""),"Unexpected: channel present but no reminder sent",IF(AND(N2235="Yes",O2235=""),"Missing channel for sent reminder","OK"))</f>
        <v>OK</v>
      </c>
    </row>
    <row r="2236" customFormat="false" ht="15" hidden="false" customHeight="false" outlineLevel="0" collapsed="false">
      <c r="A2236" s="7" t="s">
        <v>3581</v>
      </c>
      <c r="B2236" s="7" t="s">
        <v>2019</v>
      </c>
      <c r="C2236" s="7" t="s">
        <v>47</v>
      </c>
      <c r="D2236" s="7" t="n">
        <v>60</v>
      </c>
      <c r="E2236" s="7" t="s">
        <v>61</v>
      </c>
      <c r="F2236" s="7" t="s">
        <v>57</v>
      </c>
      <c r="G2236" s="8" t="n">
        <v>45958</v>
      </c>
      <c r="H2236" s="8" t="n">
        <v>45979</v>
      </c>
      <c r="I2236" s="7" t="s">
        <v>40</v>
      </c>
      <c r="J2236" s="7" t="s">
        <v>41</v>
      </c>
      <c r="K2236" s="7" t="n">
        <v>21</v>
      </c>
      <c r="L2236" s="7" t="n">
        <v>2</v>
      </c>
      <c r="M2236" s="7" t="n">
        <v>0</v>
      </c>
      <c r="N2236" s="7" t="s">
        <v>42</v>
      </c>
      <c r="O2236" s="7" t="s">
        <v>52</v>
      </c>
      <c r="P2236" s="7" t="n">
        <v>21.6</v>
      </c>
      <c r="Q2236" s="7" t="n">
        <v>46</v>
      </c>
      <c r="R2236" s="7" t="s">
        <v>53</v>
      </c>
      <c r="S2236" s="7"/>
      <c r="T2236" s="7"/>
      <c r="U2236" s="7" t="str">
        <f aca="false">IF(COUNTIF($A$2:$A$5001,A2236)&gt;1,"Duplicate","Unique")</f>
        <v>Unique</v>
      </c>
      <c r="V2236" s="7" t="str">
        <f aca="false">IF(COUNTIFS($B$2:$B$5001,B2236,$H$2:$H$5001,H2236,$J$2:$J$5001,J2236)&gt;1,"Possible Duplicate Booking","Unique")</f>
        <v>Unique</v>
      </c>
      <c r="W2236" s="7" t="str">
        <f aca="false">IF((H2236-G2236)&lt;&gt;K2236,"Mismatch","OK")</f>
        <v>OK</v>
      </c>
      <c r="X2236" s="7" t="str">
        <f aca="false">IF(TEXT(H2236,"dddd")&lt;&gt;I2236,"Mismatch","OK")</f>
        <v>OK</v>
      </c>
      <c r="Y2236" s="7" t="str">
        <f aca="false">IF(AND(N2236="No",O2236&lt;&gt;""),"Unexpected: channel present but no reminder sent",IF(AND(N2236="Yes",O2236=""),"Missing channel for sent reminder","OK"))</f>
        <v>OK</v>
      </c>
    </row>
    <row r="2237" customFormat="false" ht="15" hidden="false" customHeight="false" outlineLevel="0" collapsed="false">
      <c r="A2237" s="9" t="s">
        <v>3582</v>
      </c>
      <c r="B2237" s="9" t="s">
        <v>395</v>
      </c>
      <c r="C2237" s="9" t="s">
        <v>47</v>
      </c>
      <c r="D2237" s="9" t="n">
        <v>26</v>
      </c>
      <c r="E2237" s="9" t="s">
        <v>48</v>
      </c>
      <c r="F2237" s="9" t="s">
        <v>39</v>
      </c>
      <c r="G2237" s="10" t="n">
        <v>46080</v>
      </c>
      <c r="H2237" s="10" t="n">
        <v>46089</v>
      </c>
      <c r="I2237" s="9" t="s">
        <v>75</v>
      </c>
      <c r="J2237" s="9" t="s">
        <v>51</v>
      </c>
      <c r="K2237" s="9" t="n">
        <v>9</v>
      </c>
      <c r="L2237" s="9" t="n">
        <v>4</v>
      </c>
      <c r="M2237" s="9" t="n">
        <v>3</v>
      </c>
      <c r="N2237" s="9" t="s">
        <v>42</v>
      </c>
      <c r="O2237" s="9" t="s">
        <v>67</v>
      </c>
      <c r="P2237" s="9" t="n">
        <v>7.2</v>
      </c>
      <c r="Q2237" s="9" t="n">
        <v>15</v>
      </c>
      <c r="R2237" s="9" t="s">
        <v>53</v>
      </c>
      <c r="S2237" s="9"/>
      <c r="T2237" s="9"/>
      <c r="U2237" s="9" t="str">
        <f aca="false">IF(COUNTIF($A$2:$A$5001,A2237)&gt;1,"Duplicate","Unique")</f>
        <v>Unique</v>
      </c>
      <c r="V2237" s="9" t="str">
        <f aca="false">IF(COUNTIFS($B$2:$B$5001,B2237,$H$2:$H$5001,H2237,$J$2:$J$5001,J2237)&gt;1,"Possible Duplicate Booking","Unique")</f>
        <v>Unique</v>
      </c>
      <c r="W2237" s="9" t="str">
        <f aca="false">IF((H2237-G2237)&lt;&gt;K2237,"Mismatch","OK")</f>
        <v>OK</v>
      </c>
      <c r="X2237" s="9" t="str">
        <f aca="false">IF(TEXT(H2237,"dddd")&lt;&gt;I2237,"Mismatch","OK")</f>
        <v>OK</v>
      </c>
      <c r="Y2237" s="9" t="str">
        <f aca="false">IF(AND(N2237="No",O2237&lt;&gt;""),"Unexpected: channel present but no reminder sent",IF(AND(N2237="Yes",O2237=""),"Missing channel for sent reminder","OK"))</f>
        <v>OK</v>
      </c>
    </row>
    <row r="2238" customFormat="false" ht="15" hidden="false" customHeight="false" outlineLevel="0" collapsed="false">
      <c r="A2238" s="7" t="s">
        <v>3583</v>
      </c>
      <c r="B2238" s="7" t="s">
        <v>3207</v>
      </c>
      <c r="C2238" s="7" t="s">
        <v>47</v>
      </c>
      <c r="D2238" s="7" t="n">
        <v>51</v>
      </c>
      <c r="E2238" s="7" t="s">
        <v>56</v>
      </c>
      <c r="F2238" s="7" t="s">
        <v>57</v>
      </c>
      <c r="G2238" s="8" t="n">
        <v>45743</v>
      </c>
      <c r="H2238" s="8" t="n">
        <v>45794</v>
      </c>
      <c r="I2238" s="7" t="s">
        <v>102</v>
      </c>
      <c r="J2238" s="7" t="s">
        <v>41</v>
      </c>
      <c r="K2238" s="7" t="n">
        <v>51</v>
      </c>
      <c r="L2238" s="7" t="n">
        <v>5</v>
      </c>
      <c r="M2238" s="7" t="n">
        <v>1</v>
      </c>
      <c r="N2238" s="7" t="s">
        <v>71</v>
      </c>
      <c r="O2238" s="7"/>
      <c r="P2238" s="7" t="n">
        <v>7.1</v>
      </c>
      <c r="Q2238" s="7" t="n">
        <v>22</v>
      </c>
      <c r="R2238" s="7" t="s">
        <v>44</v>
      </c>
      <c r="S2238" s="7"/>
      <c r="T2238" s="7"/>
      <c r="U2238" s="7" t="str">
        <f aca="false">IF(COUNTIF($A$2:$A$5001,A2238)&gt;1,"Duplicate","Unique")</f>
        <v>Unique</v>
      </c>
      <c r="V2238" s="7" t="str">
        <f aca="false">IF(COUNTIFS($B$2:$B$5001,B2238,$H$2:$H$5001,H2238,$J$2:$J$5001,J2238)&gt;1,"Possible Duplicate Booking","Unique")</f>
        <v>Unique</v>
      </c>
      <c r="W2238" s="7" t="str">
        <f aca="false">IF((H2238-G2238)&lt;&gt;K2238,"Mismatch","OK")</f>
        <v>OK</v>
      </c>
      <c r="X2238" s="7" t="str">
        <f aca="false">IF(TEXT(H2238,"dddd")&lt;&gt;I2238,"Mismatch","OK")</f>
        <v>OK</v>
      </c>
      <c r="Y2238" s="7" t="str">
        <f aca="false">IF(AND(N2238="No",O2238&lt;&gt;""),"Unexpected: channel present but no reminder sent",IF(AND(N2238="Yes",O2238=""),"Missing channel for sent reminder","OK"))</f>
        <v>OK</v>
      </c>
    </row>
    <row r="2239" customFormat="false" ht="15" hidden="false" customHeight="false" outlineLevel="0" collapsed="false">
      <c r="A2239" s="9" t="s">
        <v>3584</v>
      </c>
      <c r="B2239" s="9" t="s">
        <v>828</v>
      </c>
      <c r="C2239" s="9" t="s">
        <v>47</v>
      </c>
      <c r="D2239" s="9" t="n">
        <v>72</v>
      </c>
      <c r="E2239" s="9" t="s">
        <v>70</v>
      </c>
      <c r="F2239" s="9" t="s">
        <v>57</v>
      </c>
      <c r="G2239" s="10" t="n">
        <v>45786</v>
      </c>
      <c r="H2239" s="10" t="n">
        <v>45805</v>
      </c>
      <c r="I2239" s="9" t="s">
        <v>58</v>
      </c>
      <c r="J2239" s="9" t="s">
        <v>41</v>
      </c>
      <c r="K2239" s="9" t="n">
        <v>19</v>
      </c>
      <c r="L2239" s="9" t="n">
        <v>1</v>
      </c>
      <c r="M2239" s="9" t="n">
        <v>0</v>
      </c>
      <c r="N2239" s="9" t="s">
        <v>71</v>
      </c>
      <c r="O2239" s="9"/>
      <c r="P2239" s="9" t="n">
        <v>8.6</v>
      </c>
      <c r="Q2239" s="9" t="n">
        <v>30</v>
      </c>
      <c r="R2239" s="9" t="s">
        <v>44</v>
      </c>
      <c r="S2239" s="9"/>
      <c r="T2239" s="9"/>
      <c r="U2239" s="9" t="str">
        <f aca="false">IF(COUNTIF($A$2:$A$5001,A2239)&gt;1,"Duplicate","Unique")</f>
        <v>Unique</v>
      </c>
      <c r="V2239" s="9" t="str">
        <f aca="false">IF(COUNTIFS($B$2:$B$5001,B2239,$H$2:$H$5001,H2239,$J$2:$J$5001,J2239)&gt;1,"Possible Duplicate Booking","Unique")</f>
        <v>Possible Duplicate Booking</v>
      </c>
      <c r="W2239" s="9" t="str">
        <f aca="false">IF((H2239-G2239)&lt;&gt;K2239,"Mismatch","OK")</f>
        <v>OK</v>
      </c>
      <c r="X2239" s="9" t="str">
        <f aca="false">IF(TEXT(H2239,"dddd")&lt;&gt;I2239,"Mismatch","OK")</f>
        <v>OK</v>
      </c>
      <c r="Y2239" s="9" t="str">
        <f aca="false">IF(AND(N2239="No",O2239&lt;&gt;""),"Unexpected: channel present but no reminder sent",IF(AND(N2239="Yes",O2239=""),"Missing channel for sent reminder","OK"))</f>
        <v>OK</v>
      </c>
    </row>
    <row r="2240" customFormat="false" ht="15" hidden="false" customHeight="false" outlineLevel="0" collapsed="false">
      <c r="A2240" s="7" t="s">
        <v>3585</v>
      </c>
      <c r="B2240" s="7" t="s">
        <v>1022</v>
      </c>
      <c r="C2240" s="7" t="s">
        <v>37</v>
      </c>
      <c r="D2240" s="7" t="n">
        <v>47</v>
      </c>
      <c r="E2240" s="7" t="s">
        <v>56</v>
      </c>
      <c r="F2240" s="7" t="s">
        <v>39</v>
      </c>
      <c r="G2240" s="8" t="n">
        <v>45900</v>
      </c>
      <c r="H2240" s="8" t="n">
        <v>45917</v>
      </c>
      <c r="I2240" s="7" t="s">
        <v>58</v>
      </c>
      <c r="J2240" s="7" t="s">
        <v>51</v>
      </c>
      <c r="K2240" s="7" t="n">
        <v>17</v>
      </c>
      <c r="L2240" s="7" t="n">
        <v>2</v>
      </c>
      <c r="M2240" s="7" t="n">
        <v>1</v>
      </c>
      <c r="N2240" s="7" t="s">
        <v>71</v>
      </c>
      <c r="O2240" s="7"/>
      <c r="P2240" s="7" t="n">
        <v>16.3</v>
      </c>
      <c r="Q2240" s="7" t="n">
        <v>25</v>
      </c>
      <c r="R2240" s="7" t="s">
        <v>44</v>
      </c>
      <c r="S2240" s="7"/>
      <c r="T2240" s="7"/>
      <c r="U2240" s="7" t="str">
        <f aca="false">IF(COUNTIF($A$2:$A$5001,A2240)&gt;1,"Duplicate","Unique")</f>
        <v>Unique</v>
      </c>
      <c r="V2240" s="7" t="str">
        <f aca="false">IF(COUNTIFS($B$2:$B$5001,B2240,$H$2:$H$5001,H2240,$J$2:$J$5001,J2240)&gt;1,"Possible Duplicate Booking","Unique")</f>
        <v>Unique</v>
      </c>
      <c r="W2240" s="7" t="str">
        <f aca="false">IF((H2240-G2240)&lt;&gt;K2240,"Mismatch","OK")</f>
        <v>OK</v>
      </c>
      <c r="X2240" s="7" t="str">
        <f aca="false">IF(TEXT(H2240,"dddd")&lt;&gt;I2240,"Mismatch","OK")</f>
        <v>OK</v>
      </c>
      <c r="Y2240" s="7" t="str">
        <f aca="false">IF(AND(N2240="No",O2240&lt;&gt;""),"Unexpected: channel present but no reminder sent",IF(AND(N2240="Yes",O2240=""),"Missing channel for sent reminder","OK"))</f>
        <v>OK</v>
      </c>
    </row>
    <row r="2241" customFormat="false" ht="15" hidden="false" customHeight="false" outlineLevel="0" collapsed="false">
      <c r="A2241" s="9" t="s">
        <v>3586</v>
      </c>
      <c r="B2241" s="9" t="s">
        <v>2586</v>
      </c>
      <c r="C2241" s="9" t="s">
        <v>37</v>
      </c>
      <c r="D2241" s="9" t="n">
        <v>18</v>
      </c>
      <c r="E2241" s="9" t="s">
        <v>82</v>
      </c>
      <c r="F2241" s="9" t="s">
        <v>39</v>
      </c>
      <c r="G2241" s="10" t="n">
        <v>46083</v>
      </c>
      <c r="H2241" s="10" t="n">
        <v>46141</v>
      </c>
      <c r="I2241" s="9" t="s">
        <v>58</v>
      </c>
      <c r="J2241" s="9" t="s">
        <v>41</v>
      </c>
      <c r="K2241" s="9" t="n">
        <v>58</v>
      </c>
      <c r="L2241" s="9" t="n">
        <v>6</v>
      </c>
      <c r="M2241" s="9" t="n">
        <v>1</v>
      </c>
      <c r="N2241" s="9" t="s">
        <v>42</v>
      </c>
      <c r="O2241" s="9" t="s">
        <v>43</v>
      </c>
      <c r="P2241" s="9" t="n">
        <v>6.3</v>
      </c>
      <c r="Q2241" s="9" t="n">
        <v>31</v>
      </c>
      <c r="R2241" s="9" t="s">
        <v>44</v>
      </c>
      <c r="S2241" s="9"/>
      <c r="T2241" s="9"/>
      <c r="U2241" s="9" t="str">
        <f aca="false">IF(COUNTIF($A$2:$A$5001,A2241)&gt;1,"Duplicate","Unique")</f>
        <v>Unique</v>
      </c>
      <c r="V2241" s="9" t="str">
        <f aca="false">IF(COUNTIFS($B$2:$B$5001,B2241,$H$2:$H$5001,H2241,$J$2:$J$5001,J2241)&gt;1,"Possible Duplicate Booking","Unique")</f>
        <v>Unique</v>
      </c>
      <c r="W2241" s="9" t="str">
        <f aca="false">IF((H2241-G2241)&lt;&gt;K2241,"Mismatch","OK")</f>
        <v>OK</v>
      </c>
      <c r="X2241" s="9" t="str">
        <f aca="false">IF(TEXT(H2241,"dddd")&lt;&gt;I2241,"Mismatch","OK")</f>
        <v>OK</v>
      </c>
      <c r="Y2241" s="9" t="str">
        <f aca="false">IF(AND(N2241="No",O2241&lt;&gt;""),"Unexpected: channel present but no reminder sent",IF(AND(N2241="Yes",O2241=""),"Missing channel for sent reminder","OK"))</f>
        <v>OK</v>
      </c>
    </row>
    <row r="2242" customFormat="false" ht="15" hidden="false" customHeight="false" outlineLevel="0" collapsed="false">
      <c r="A2242" s="7" t="s">
        <v>3587</v>
      </c>
      <c r="B2242" s="7" t="s">
        <v>3266</v>
      </c>
      <c r="C2242" s="7" t="s">
        <v>37</v>
      </c>
      <c r="D2242" s="7" t="n">
        <v>32</v>
      </c>
      <c r="E2242" s="7" t="s">
        <v>48</v>
      </c>
      <c r="F2242" s="7" t="s">
        <v>39</v>
      </c>
      <c r="G2242" s="8" t="n">
        <v>45750</v>
      </c>
      <c r="H2242" s="8" t="n">
        <v>45780</v>
      </c>
      <c r="I2242" s="7" t="s">
        <v>102</v>
      </c>
      <c r="J2242" s="7" t="s">
        <v>41</v>
      </c>
      <c r="K2242" s="7" t="n">
        <v>30</v>
      </c>
      <c r="L2242" s="7" t="n">
        <v>5</v>
      </c>
      <c r="M2242" s="7" t="n">
        <v>1</v>
      </c>
      <c r="N2242" s="7" t="s">
        <v>42</v>
      </c>
      <c r="O2242" s="7" t="s">
        <v>52</v>
      </c>
      <c r="P2242" s="7" t="n">
        <v>19.2</v>
      </c>
      <c r="Q2242" s="7" t="n">
        <v>36</v>
      </c>
      <c r="R2242" s="7" t="s">
        <v>53</v>
      </c>
      <c r="S2242" s="7"/>
      <c r="T2242" s="7"/>
      <c r="U2242" s="7" t="str">
        <f aca="false">IF(COUNTIF($A$2:$A$5001,A2242)&gt;1,"Duplicate","Unique")</f>
        <v>Unique</v>
      </c>
      <c r="V2242" s="7" t="str">
        <f aca="false">IF(COUNTIFS($B$2:$B$5001,B2242,$H$2:$H$5001,H2242,$J$2:$J$5001,J2242)&gt;1,"Possible Duplicate Booking","Unique")</f>
        <v>Unique</v>
      </c>
      <c r="W2242" s="7" t="str">
        <f aca="false">IF((H2242-G2242)&lt;&gt;K2242,"Mismatch","OK")</f>
        <v>OK</v>
      </c>
      <c r="X2242" s="7" t="str">
        <f aca="false">IF(TEXT(H2242,"dddd")&lt;&gt;I2242,"Mismatch","OK")</f>
        <v>OK</v>
      </c>
      <c r="Y2242" s="7" t="str">
        <f aca="false">IF(AND(N2242="No",O2242&lt;&gt;""),"Unexpected: channel present but no reminder sent",IF(AND(N2242="Yes",O2242=""),"Missing channel for sent reminder","OK"))</f>
        <v>OK</v>
      </c>
    </row>
    <row r="2243" customFormat="false" ht="15" hidden="false" customHeight="false" outlineLevel="0" collapsed="false">
      <c r="A2243" s="9" t="s">
        <v>3588</v>
      </c>
      <c r="B2243" s="9" t="s">
        <v>3589</v>
      </c>
      <c r="C2243" s="9" t="s">
        <v>47</v>
      </c>
      <c r="D2243" s="9" t="n">
        <v>21</v>
      </c>
      <c r="E2243" s="9" t="s">
        <v>82</v>
      </c>
      <c r="F2243" s="9" t="s">
        <v>57</v>
      </c>
      <c r="G2243" s="10" t="n">
        <v>45983</v>
      </c>
      <c r="H2243" s="10" t="n">
        <v>46020</v>
      </c>
      <c r="I2243" s="9" t="s">
        <v>66</v>
      </c>
      <c r="J2243" s="9" t="s">
        <v>41</v>
      </c>
      <c r="K2243" s="9" t="n">
        <v>37</v>
      </c>
      <c r="L2243" s="9" t="n">
        <v>5</v>
      </c>
      <c r="M2243" s="9" t="n">
        <v>2</v>
      </c>
      <c r="N2243" s="9" t="s">
        <v>71</v>
      </c>
      <c r="O2243" s="9"/>
      <c r="P2243" s="9" t="n">
        <v>4.4</v>
      </c>
      <c r="Q2243" s="9" t="n">
        <v>40</v>
      </c>
      <c r="R2243" s="9" t="s">
        <v>44</v>
      </c>
      <c r="S2243" s="9"/>
      <c r="T2243" s="9"/>
      <c r="U2243" s="9" t="str">
        <f aca="false">IF(COUNTIF($A$2:$A$5001,A2243)&gt;1,"Duplicate","Unique")</f>
        <v>Unique</v>
      </c>
      <c r="V2243" s="9" t="str">
        <f aca="false">IF(COUNTIFS($B$2:$B$5001,B2243,$H$2:$H$5001,H2243,$J$2:$J$5001,J2243)&gt;1,"Possible Duplicate Booking","Unique")</f>
        <v>Unique</v>
      </c>
      <c r="W2243" s="9" t="str">
        <f aca="false">IF((H2243-G2243)&lt;&gt;K2243,"Mismatch","OK")</f>
        <v>OK</v>
      </c>
      <c r="X2243" s="9" t="str">
        <f aca="false">IF(TEXT(H2243,"dddd")&lt;&gt;I2243,"Mismatch","OK")</f>
        <v>OK</v>
      </c>
      <c r="Y2243" s="9" t="str">
        <f aca="false">IF(AND(N2243="No",O2243&lt;&gt;""),"Unexpected: channel present but no reminder sent",IF(AND(N2243="Yes",O2243=""),"Missing channel for sent reminder","OK"))</f>
        <v>OK</v>
      </c>
    </row>
    <row r="2244" customFormat="false" ht="15" hidden="false" customHeight="false" outlineLevel="0" collapsed="false">
      <c r="A2244" s="7" t="s">
        <v>3590</v>
      </c>
      <c r="B2244" s="7" t="s">
        <v>3090</v>
      </c>
      <c r="C2244" s="7" t="s">
        <v>37</v>
      </c>
      <c r="D2244" s="7" t="n">
        <v>49</v>
      </c>
      <c r="E2244" s="7" t="s">
        <v>56</v>
      </c>
      <c r="F2244" s="7" t="s">
        <v>39</v>
      </c>
      <c r="G2244" s="8" t="n">
        <v>45891</v>
      </c>
      <c r="H2244" s="8" t="n">
        <v>45905</v>
      </c>
      <c r="I2244" s="7" t="s">
        <v>50</v>
      </c>
      <c r="J2244" s="7" t="s">
        <v>41</v>
      </c>
      <c r="K2244" s="7" t="n">
        <v>14</v>
      </c>
      <c r="L2244" s="7" t="n">
        <v>5</v>
      </c>
      <c r="M2244" s="7" t="n">
        <v>1</v>
      </c>
      <c r="N2244" s="7" t="s">
        <v>42</v>
      </c>
      <c r="O2244" s="7" t="s">
        <v>43</v>
      </c>
      <c r="P2244" s="7" t="n">
        <v>6.8</v>
      </c>
      <c r="Q2244" s="7" t="n">
        <v>24</v>
      </c>
      <c r="R2244" s="7" t="s">
        <v>53</v>
      </c>
      <c r="S2244" s="7"/>
      <c r="T2244" s="7"/>
      <c r="U2244" s="7" t="str">
        <f aca="false">IF(COUNTIF($A$2:$A$5001,A2244)&gt;1,"Duplicate","Unique")</f>
        <v>Unique</v>
      </c>
      <c r="V2244" s="7" t="str">
        <f aca="false">IF(COUNTIFS($B$2:$B$5001,B2244,$H$2:$H$5001,H2244,$J$2:$J$5001,J2244)&gt;1,"Possible Duplicate Booking","Unique")</f>
        <v>Unique</v>
      </c>
      <c r="W2244" s="7" t="str">
        <f aca="false">IF((H2244-G2244)&lt;&gt;K2244,"Mismatch","OK")</f>
        <v>OK</v>
      </c>
      <c r="X2244" s="7" t="str">
        <f aca="false">IF(TEXT(H2244,"dddd")&lt;&gt;I2244,"Mismatch","OK")</f>
        <v>OK</v>
      </c>
      <c r="Y2244" s="7" t="str">
        <f aca="false">IF(AND(N2244="No",O2244&lt;&gt;""),"Unexpected: channel present but no reminder sent",IF(AND(N2244="Yes",O2244=""),"Missing channel for sent reminder","OK"))</f>
        <v>OK</v>
      </c>
    </row>
    <row r="2245" customFormat="false" ht="15" hidden="false" customHeight="false" outlineLevel="0" collapsed="false">
      <c r="A2245" s="9" t="s">
        <v>3591</v>
      </c>
      <c r="B2245" s="9" t="s">
        <v>516</v>
      </c>
      <c r="C2245" s="9" t="s">
        <v>37</v>
      </c>
      <c r="D2245" s="9" t="n">
        <v>40</v>
      </c>
      <c r="E2245" s="9" t="s">
        <v>38</v>
      </c>
      <c r="F2245" s="9" t="s">
        <v>39</v>
      </c>
      <c r="G2245" s="10" t="n">
        <v>45703</v>
      </c>
      <c r="H2245" s="10" t="n">
        <v>45719</v>
      </c>
      <c r="I2245" s="9" t="s">
        <v>66</v>
      </c>
      <c r="J2245" s="9" t="s">
        <v>41</v>
      </c>
      <c r="K2245" s="9" t="n">
        <v>16</v>
      </c>
      <c r="L2245" s="9" t="n">
        <v>3</v>
      </c>
      <c r="M2245" s="9" t="n">
        <v>1</v>
      </c>
      <c r="N2245" s="9" t="s">
        <v>42</v>
      </c>
      <c r="O2245" s="9" t="s">
        <v>52</v>
      </c>
      <c r="P2245" s="9" t="n">
        <v>1.3</v>
      </c>
      <c r="Q2245" s="9" t="n">
        <v>28</v>
      </c>
      <c r="R2245" s="9" t="s">
        <v>44</v>
      </c>
      <c r="S2245" s="9"/>
      <c r="T2245" s="9"/>
      <c r="U2245" s="9" t="str">
        <f aca="false">IF(COUNTIF($A$2:$A$5001,A2245)&gt;1,"Duplicate","Unique")</f>
        <v>Unique</v>
      </c>
      <c r="V2245" s="9" t="str">
        <f aca="false">IF(COUNTIFS($B$2:$B$5001,B2245,$H$2:$H$5001,H2245,$J$2:$J$5001,J2245)&gt;1,"Possible Duplicate Booking","Unique")</f>
        <v>Unique</v>
      </c>
      <c r="W2245" s="9" t="str">
        <f aca="false">IF((H2245-G2245)&lt;&gt;K2245,"Mismatch","OK")</f>
        <v>OK</v>
      </c>
      <c r="X2245" s="9" t="str">
        <f aca="false">IF(TEXT(H2245,"dddd")&lt;&gt;I2245,"Mismatch","OK")</f>
        <v>OK</v>
      </c>
      <c r="Y2245" s="9" t="str">
        <f aca="false">IF(AND(N2245="No",O2245&lt;&gt;""),"Unexpected: channel present but no reminder sent",IF(AND(N2245="Yes",O2245=""),"Missing channel for sent reminder","OK"))</f>
        <v>OK</v>
      </c>
    </row>
    <row r="2246" customFormat="false" ht="15" hidden="false" customHeight="false" outlineLevel="0" collapsed="false">
      <c r="A2246" s="7" t="s">
        <v>3592</v>
      </c>
      <c r="B2246" s="7" t="s">
        <v>3593</v>
      </c>
      <c r="C2246" s="7" t="s">
        <v>37</v>
      </c>
      <c r="D2246" s="7" t="n">
        <v>26</v>
      </c>
      <c r="E2246" s="7" t="s">
        <v>48</v>
      </c>
      <c r="F2246" s="7" t="s">
        <v>49</v>
      </c>
      <c r="G2246" s="8" t="n">
        <v>46002</v>
      </c>
      <c r="H2246" s="8" t="n">
        <v>46046</v>
      </c>
      <c r="I2246" s="7" t="s">
        <v>102</v>
      </c>
      <c r="J2246" s="7" t="s">
        <v>63</v>
      </c>
      <c r="K2246" s="7" t="n">
        <v>44</v>
      </c>
      <c r="L2246" s="7" t="n">
        <v>4</v>
      </c>
      <c r="M2246" s="7" t="n">
        <v>0</v>
      </c>
      <c r="N2246" s="7" t="s">
        <v>42</v>
      </c>
      <c r="O2246" s="7" t="s">
        <v>43</v>
      </c>
      <c r="P2246" s="7" t="n">
        <v>7.3</v>
      </c>
      <c r="Q2246" s="7" t="n">
        <v>26</v>
      </c>
      <c r="R2246" s="7" t="s">
        <v>53</v>
      </c>
      <c r="S2246" s="7"/>
      <c r="T2246" s="7"/>
      <c r="U2246" s="7" t="str">
        <f aca="false">IF(COUNTIF($A$2:$A$5001,A2246)&gt;1,"Duplicate","Unique")</f>
        <v>Unique</v>
      </c>
      <c r="V2246" s="7" t="str">
        <f aca="false">IF(COUNTIFS($B$2:$B$5001,B2246,$H$2:$H$5001,H2246,$J$2:$J$5001,J2246)&gt;1,"Possible Duplicate Booking","Unique")</f>
        <v>Unique</v>
      </c>
      <c r="W2246" s="7" t="str">
        <f aca="false">IF((H2246-G2246)&lt;&gt;K2246,"Mismatch","OK")</f>
        <v>OK</v>
      </c>
      <c r="X2246" s="7" t="str">
        <f aca="false">IF(TEXT(H2246,"dddd")&lt;&gt;I2246,"Mismatch","OK")</f>
        <v>OK</v>
      </c>
      <c r="Y2246" s="7" t="str">
        <f aca="false">IF(AND(N2246="No",O2246&lt;&gt;""),"Unexpected: channel present but no reminder sent",IF(AND(N2246="Yes",O2246=""),"Missing channel for sent reminder","OK"))</f>
        <v>OK</v>
      </c>
    </row>
    <row r="2247" customFormat="false" ht="15" hidden="false" customHeight="false" outlineLevel="0" collapsed="false">
      <c r="A2247" s="9" t="s">
        <v>3594</v>
      </c>
      <c r="B2247" s="9" t="s">
        <v>1351</v>
      </c>
      <c r="C2247" s="9" t="s">
        <v>47</v>
      </c>
      <c r="D2247" s="9" t="n">
        <v>61</v>
      </c>
      <c r="E2247" s="9" t="s">
        <v>61</v>
      </c>
      <c r="F2247" s="9" t="s">
        <v>49</v>
      </c>
      <c r="G2247" s="10" t="n">
        <v>46085</v>
      </c>
      <c r="H2247" s="10" t="n">
        <v>46112</v>
      </c>
      <c r="I2247" s="9" t="s">
        <v>40</v>
      </c>
      <c r="J2247" s="9" t="s">
        <v>41</v>
      </c>
      <c r="K2247" s="9" t="n">
        <v>27</v>
      </c>
      <c r="L2247" s="9" t="n">
        <v>3</v>
      </c>
      <c r="M2247" s="9" t="n">
        <v>0</v>
      </c>
      <c r="N2247" s="9" t="s">
        <v>71</v>
      </c>
      <c r="O2247" s="9"/>
      <c r="P2247" s="9" t="n">
        <v>3.2</v>
      </c>
      <c r="Q2247" s="9" t="n">
        <v>14</v>
      </c>
      <c r="R2247" s="9" t="s">
        <v>53</v>
      </c>
      <c r="S2247" s="9"/>
      <c r="T2247" s="9"/>
      <c r="U2247" s="9" t="str">
        <f aca="false">IF(COUNTIF($A$2:$A$5001,A2247)&gt;1,"Duplicate","Unique")</f>
        <v>Unique</v>
      </c>
      <c r="V2247" s="9" t="str">
        <f aca="false">IF(COUNTIFS($B$2:$B$5001,B2247,$H$2:$H$5001,H2247,$J$2:$J$5001,J2247)&gt;1,"Possible Duplicate Booking","Unique")</f>
        <v>Unique</v>
      </c>
      <c r="W2247" s="9" t="str">
        <f aca="false">IF((H2247-G2247)&lt;&gt;K2247,"Mismatch","OK")</f>
        <v>OK</v>
      </c>
      <c r="X2247" s="9" t="str">
        <f aca="false">IF(TEXT(H2247,"dddd")&lt;&gt;I2247,"Mismatch","OK")</f>
        <v>OK</v>
      </c>
      <c r="Y2247" s="9" t="str">
        <f aca="false">IF(AND(N2247="No",O2247&lt;&gt;""),"Unexpected: channel present but no reminder sent",IF(AND(N2247="Yes",O2247=""),"Missing channel for sent reminder","OK"))</f>
        <v>OK</v>
      </c>
    </row>
    <row r="2248" customFormat="false" ht="15" hidden="false" customHeight="false" outlineLevel="0" collapsed="false">
      <c r="A2248" s="7" t="s">
        <v>3595</v>
      </c>
      <c r="B2248" s="7" t="s">
        <v>941</v>
      </c>
      <c r="C2248" s="7" t="s">
        <v>47</v>
      </c>
      <c r="D2248" s="7" t="n">
        <v>29</v>
      </c>
      <c r="E2248" s="7" t="s">
        <v>48</v>
      </c>
      <c r="F2248" s="7" t="s">
        <v>39</v>
      </c>
      <c r="G2248" s="8" t="n">
        <v>45963</v>
      </c>
      <c r="H2248" s="8" t="n">
        <v>45972</v>
      </c>
      <c r="I2248" s="7" t="s">
        <v>40</v>
      </c>
      <c r="J2248" s="7" t="s">
        <v>51</v>
      </c>
      <c r="K2248" s="7" t="n">
        <v>9</v>
      </c>
      <c r="L2248" s="7" t="n">
        <v>4</v>
      </c>
      <c r="M2248" s="7" t="n">
        <v>2</v>
      </c>
      <c r="N2248" s="7" t="s">
        <v>42</v>
      </c>
      <c r="O2248" s="7" t="s">
        <v>43</v>
      </c>
      <c r="P2248" s="7" t="n">
        <v>3.7</v>
      </c>
      <c r="Q2248" s="7" t="n">
        <v>26</v>
      </c>
      <c r="R2248" s="7" t="s">
        <v>53</v>
      </c>
      <c r="S2248" s="7"/>
      <c r="T2248" s="7"/>
      <c r="U2248" s="7" t="str">
        <f aca="false">IF(COUNTIF($A$2:$A$5001,A2248)&gt;1,"Duplicate","Unique")</f>
        <v>Unique</v>
      </c>
      <c r="V2248" s="7" t="str">
        <f aca="false">IF(COUNTIFS($B$2:$B$5001,B2248,$H$2:$H$5001,H2248,$J$2:$J$5001,J2248)&gt;1,"Possible Duplicate Booking","Unique")</f>
        <v>Unique</v>
      </c>
      <c r="W2248" s="7" t="str">
        <f aca="false">IF((H2248-G2248)&lt;&gt;K2248,"Mismatch","OK")</f>
        <v>OK</v>
      </c>
      <c r="X2248" s="7" t="str">
        <f aca="false">IF(TEXT(H2248,"dddd")&lt;&gt;I2248,"Mismatch","OK")</f>
        <v>OK</v>
      </c>
      <c r="Y2248" s="7" t="str">
        <f aca="false">IF(AND(N2248="No",O2248&lt;&gt;""),"Unexpected: channel present but no reminder sent",IF(AND(N2248="Yes",O2248=""),"Missing channel for sent reminder","OK"))</f>
        <v>OK</v>
      </c>
    </row>
    <row r="2249" customFormat="false" ht="15" hidden="false" customHeight="false" outlineLevel="0" collapsed="false">
      <c r="A2249" s="9" t="s">
        <v>3596</v>
      </c>
      <c r="B2249" s="9" t="s">
        <v>447</v>
      </c>
      <c r="C2249" s="9" t="s">
        <v>37</v>
      </c>
      <c r="D2249" s="9" t="n">
        <v>39</v>
      </c>
      <c r="E2249" s="9" t="s">
        <v>38</v>
      </c>
      <c r="F2249" s="9" t="s">
        <v>74</v>
      </c>
      <c r="G2249" s="10" t="n">
        <v>45704</v>
      </c>
      <c r="H2249" s="10" t="n">
        <v>45754</v>
      </c>
      <c r="I2249" s="9" t="s">
        <v>66</v>
      </c>
      <c r="J2249" s="9" t="s">
        <v>41</v>
      </c>
      <c r="K2249" s="9" t="n">
        <v>50</v>
      </c>
      <c r="L2249" s="9" t="n">
        <v>5</v>
      </c>
      <c r="M2249" s="9" t="n">
        <v>1</v>
      </c>
      <c r="N2249" s="9" t="s">
        <v>42</v>
      </c>
      <c r="O2249" s="9" t="s">
        <v>52</v>
      </c>
      <c r="P2249" s="9" t="n">
        <v>3.3</v>
      </c>
      <c r="Q2249" s="9" t="n">
        <v>6</v>
      </c>
      <c r="R2249" s="9" t="s">
        <v>53</v>
      </c>
      <c r="S2249" s="9"/>
      <c r="T2249" s="9"/>
      <c r="U2249" s="9" t="str">
        <f aca="false">IF(COUNTIF($A$2:$A$5001,A2249)&gt;1,"Duplicate","Unique")</f>
        <v>Unique</v>
      </c>
      <c r="V2249" s="9" t="str">
        <f aca="false">IF(COUNTIFS($B$2:$B$5001,B2249,$H$2:$H$5001,H2249,$J$2:$J$5001,J2249)&gt;1,"Possible Duplicate Booking","Unique")</f>
        <v>Unique</v>
      </c>
      <c r="W2249" s="9" t="str">
        <f aca="false">IF((H2249-G2249)&lt;&gt;K2249,"Mismatch","OK")</f>
        <v>OK</v>
      </c>
      <c r="X2249" s="9" t="str">
        <f aca="false">IF(TEXT(H2249,"dddd")&lt;&gt;I2249,"Mismatch","OK")</f>
        <v>OK</v>
      </c>
      <c r="Y2249" s="9" t="str">
        <f aca="false">IF(AND(N2249="No",O2249&lt;&gt;""),"Unexpected: channel present but no reminder sent",IF(AND(N2249="Yes",O2249=""),"Missing channel for sent reminder","OK"))</f>
        <v>OK</v>
      </c>
    </row>
    <row r="2250" customFormat="false" ht="15" hidden="false" customHeight="false" outlineLevel="0" collapsed="false">
      <c r="A2250" s="7" t="s">
        <v>3597</v>
      </c>
      <c r="B2250" s="7" t="s">
        <v>1773</v>
      </c>
      <c r="C2250" s="7" t="s">
        <v>37</v>
      </c>
      <c r="D2250" s="7" t="n">
        <v>80</v>
      </c>
      <c r="E2250" s="7" t="s">
        <v>70</v>
      </c>
      <c r="F2250" s="7" t="s">
        <v>49</v>
      </c>
      <c r="G2250" s="8" t="n">
        <v>45719</v>
      </c>
      <c r="H2250" s="8" t="n">
        <v>45743</v>
      </c>
      <c r="I2250" s="7" t="s">
        <v>62</v>
      </c>
      <c r="J2250" s="7" t="s">
        <v>63</v>
      </c>
      <c r="K2250" s="7" t="n">
        <v>24</v>
      </c>
      <c r="L2250" s="7" t="n">
        <v>4</v>
      </c>
      <c r="M2250" s="7" t="n">
        <v>1</v>
      </c>
      <c r="N2250" s="7" t="s">
        <v>42</v>
      </c>
      <c r="O2250" s="7" t="s">
        <v>52</v>
      </c>
      <c r="P2250" s="7" t="n">
        <v>8.9</v>
      </c>
      <c r="Q2250" s="7" t="n">
        <v>28</v>
      </c>
      <c r="R2250" s="7" t="s">
        <v>53</v>
      </c>
      <c r="S2250" s="7"/>
      <c r="T2250" s="7"/>
      <c r="U2250" s="7" t="str">
        <f aca="false">IF(COUNTIF($A$2:$A$5001,A2250)&gt;1,"Duplicate","Unique")</f>
        <v>Unique</v>
      </c>
      <c r="V2250" s="7" t="str">
        <f aca="false">IF(COUNTIFS($B$2:$B$5001,B2250,$H$2:$H$5001,H2250,$J$2:$J$5001,J2250)&gt;1,"Possible Duplicate Booking","Unique")</f>
        <v>Unique</v>
      </c>
      <c r="W2250" s="7" t="str">
        <f aca="false">IF((H2250-G2250)&lt;&gt;K2250,"Mismatch","OK")</f>
        <v>OK</v>
      </c>
      <c r="X2250" s="7" t="str">
        <f aca="false">IF(TEXT(H2250,"dddd")&lt;&gt;I2250,"Mismatch","OK")</f>
        <v>OK</v>
      </c>
      <c r="Y2250" s="7" t="str">
        <f aca="false">IF(AND(N2250="No",O2250&lt;&gt;""),"Unexpected: channel present but no reminder sent",IF(AND(N2250="Yes",O2250=""),"Missing channel for sent reminder","OK"))</f>
        <v>OK</v>
      </c>
    </row>
    <row r="2251" customFormat="false" ht="15" hidden="false" customHeight="false" outlineLevel="0" collapsed="false">
      <c r="A2251" s="9" t="s">
        <v>3598</v>
      </c>
      <c r="B2251" s="9" t="s">
        <v>112</v>
      </c>
      <c r="C2251" s="9" t="s">
        <v>47</v>
      </c>
      <c r="D2251" s="9" t="n">
        <v>22</v>
      </c>
      <c r="E2251" s="9" t="s">
        <v>82</v>
      </c>
      <c r="F2251" s="9" t="s">
        <v>57</v>
      </c>
      <c r="G2251" s="10" t="n">
        <v>45849</v>
      </c>
      <c r="H2251" s="10" t="n">
        <v>45889</v>
      </c>
      <c r="I2251" s="9" t="s">
        <v>58</v>
      </c>
      <c r="J2251" s="9" t="s">
        <v>63</v>
      </c>
      <c r="K2251" s="9" t="n">
        <v>40</v>
      </c>
      <c r="L2251" s="9" t="n">
        <v>2</v>
      </c>
      <c r="M2251" s="9" t="n">
        <v>1</v>
      </c>
      <c r="N2251" s="9" t="s">
        <v>71</v>
      </c>
      <c r="O2251" s="9"/>
      <c r="P2251" s="9" t="n">
        <v>8.7</v>
      </c>
      <c r="Q2251" s="9"/>
      <c r="R2251" s="9" t="s">
        <v>44</v>
      </c>
      <c r="S2251" s="9"/>
      <c r="T2251" s="9"/>
      <c r="U2251" s="9" t="str">
        <f aca="false">IF(COUNTIF($A$2:$A$5001,A2251)&gt;1,"Duplicate","Unique")</f>
        <v>Unique</v>
      </c>
      <c r="V2251" s="9" t="str">
        <f aca="false">IF(COUNTIFS($B$2:$B$5001,B2251,$H$2:$H$5001,H2251,$J$2:$J$5001,J2251)&gt;1,"Possible Duplicate Booking","Unique")</f>
        <v>Unique</v>
      </c>
      <c r="W2251" s="9" t="str">
        <f aca="false">IF((H2251-G2251)&lt;&gt;K2251,"Mismatch","OK")</f>
        <v>OK</v>
      </c>
      <c r="X2251" s="9" t="str">
        <f aca="false">IF(TEXT(H2251,"dddd")&lt;&gt;I2251,"Mismatch","OK")</f>
        <v>OK</v>
      </c>
      <c r="Y2251" s="9" t="str">
        <f aca="false">IF(AND(N2251="No",O2251&lt;&gt;""),"Unexpected: channel present but no reminder sent",IF(AND(N2251="Yes",O2251=""),"Missing channel for sent reminder","OK"))</f>
        <v>OK</v>
      </c>
    </row>
    <row r="2252" customFormat="false" ht="15" hidden="false" customHeight="false" outlineLevel="0" collapsed="false">
      <c r="A2252" s="7" t="s">
        <v>3599</v>
      </c>
      <c r="B2252" s="7" t="s">
        <v>3142</v>
      </c>
      <c r="C2252" s="7" t="s">
        <v>37</v>
      </c>
      <c r="D2252" s="7" t="n">
        <v>33</v>
      </c>
      <c r="E2252" s="7" t="s">
        <v>48</v>
      </c>
      <c r="F2252" s="7" t="s">
        <v>74</v>
      </c>
      <c r="G2252" s="8" t="n">
        <v>45914</v>
      </c>
      <c r="H2252" s="8" t="n">
        <v>45934</v>
      </c>
      <c r="I2252" s="7" t="s">
        <v>102</v>
      </c>
      <c r="J2252" s="7" t="s">
        <v>51</v>
      </c>
      <c r="K2252" s="7" t="n">
        <v>20</v>
      </c>
      <c r="L2252" s="7" t="n">
        <v>3</v>
      </c>
      <c r="M2252" s="7" t="n">
        <v>1</v>
      </c>
      <c r="N2252" s="7" t="s">
        <v>42</v>
      </c>
      <c r="O2252" s="7" t="s">
        <v>67</v>
      </c>
      <c r="P2252" s="7" t="n">
        <v>14.3</v>
      </c>
      <c r="Q2252" s="7" t="n">
        <v>13</v>
      </c>
      <c r="R2252" s="7" t="s">
        <v>53</v>
      </c>
      <c r="S2252" s="7"/>
      <c r="T2252" s="7"/>
      <c r="U2252" s="7" t="str">
        <f aca="false">IF(COUNTIF($A$2:$A$5001,A2252)&gt;1,"Duplicate","Unique")</f>
        <v>Unique</v>
      </c>
      <c r="V2252" s="7" t="str">
        <f aca="false">IF(COUNTIFS($B$2:$B$5001,B2252,$H$2:$H$5001,H2252,$J$2:$J$5001,J2252)&gt;1,"Possible Duplicate Booking","Unique")</f>
        <v>Unique</v>
      </c>
      <c r="W2252" s="7" t="str">
        <f aca="false">IF((H2252-G2252)&lt;&gt;K2252,"Mismatch","OK")</f>
        <v>OK</v>
      </c>
      <c r="X2252" s="7" t="str">
        <f aca="false">IF(TEXT(H2252,"dddd")&lt;&gt;I2252,"Mismatch","OK")</f>
        <v>OK</v>
      </c>
      <c r="Y2252" s="7" t="str">
        <f aca="false">IF(AND(N2252="No",O2252&lt;&gt;""),"Unexpected: channel present but no reminder sent",IF(AND(N2252="Yes",O2252=""),"Missing channel for sent reminder","OK"))</f>
        <v>OK</v>
      </c>
    </row>
    <row r="2253" customFormat="false" ht="15" hidden="false" customHeight="false" outlineLevel="0" collapsed="false">
      <c r="A2253" s="9" t="s">
        <v>3600</v>
      </c>
      <c r="B2253" s="9" t="s">
        <v>901</v>
      </c>
      <c r="C2253" s="9" t="s">
        <v>47</v>
      </c>
      <c r="D2253" s="9" t="n">
        <v>38</v>
      </c>
      <c r="E2253" s="9" t="s">
        <v>38</v>
      </c>
      <c r="F2253" s="9" t="s">
        <v>74</v>
      </c>
      <c r="G2253" s="10" t="n">
        <v>45925</v>
      </c>
      <c r="H2253" s="10" t="n">
        <v>45959</v>
      </c>
      <c r="I2253" s="9" t="s">
        <v>58</v>
      </c>
      <c r="J2253" s="9" t="s">
        <v>51</v>
      </c>
      <c r="K2253" s="9" t="n">
        <v>34</v>
      </c>
      <c r="L2253" s="9" t="n">
        <v>2</v>
      </c>
      <c r="M2253" s="9" t="n">
        <v>0</v>
      </c>
      <c r="N2253" s="9" t="s">
        <v>42</v>
      </c>
      <c r="O2253" s="9" t="s">
        <v>52</v>
      </c>
      <c r="P2253" s="9" t="n">
        <v>7</v>
      </c>
      <c r="Q2253" s="9" t="n">
        <v>33</v>
      </c>
      <c r="R2253" s="9" t="s">
        <v>44</v>
      </c>
      <c r="S2253" s="9"/>
      <c r="T2253" s="9"/>
      <c r="U2253" s="9" t="str">
        <f aca="false">IF(COUNTIF($A$2:$A$5001,A2253)&gt;1,"Duplicate","Unique")</f>
        <v>Unique</v>
      </c>
      <c r="V2253" s="9" t="str">
        <f aca="false">IF(COUNTIFS($B$2:$B$5001,B2253,$H$2:$H$5001,H2253,$J$2:$J$5001,J2253)&gt;1,"Possible Duplicate Booking","Unique")</f>
        <v>Unique</v>
      </c>
      <c r="W2253" s="9" t="str">
        <f aca="false">IF((H2253-G2253)&lt;&gt;K2253,"Mismatch","OK")</f>
        <v>OK</v>
      </c>
      <c r="X2253" s="9" t="str">
        <f aca="false">IF(TEXT(H2253,"dddd")&lt;&gt;I2253,"Mismatch","OK")</f>
        <v>OK</v>
      </c>
      <c r="Y2253" s="9" t="str">
        <f aca="false">IF(AND(N2253="No",O2253&lt;&gt;""),"Unexpected: channel present but no reminder sent",IF(AND(N2253="Yes",O2253=""),"Missing channel for sent reminder","OK"))</f>
        <v>OK</v>
      </c>
    </row>
    <row r="2254" customFormat="false" ht="15" hidden="false" customHeight="false" outlineLevel="0" collapsed="false">
      <c r="A2254" s="7" t="s">
        <v>3601</v>
      </c>
      <c r="B2254" s="7" t="s">
        <v>2395</v>
      </c>
      <c r="C2254" s="7" t="s">
        <v>37</v>
      </c>
      <c r="D2254" s="7" t="n">
        <v>50</v>
      </c>
      <c r="E2254" s="7" t="s">
        <v>56</v>
      </c>
      <c r="F2254" s="7" t="s">
        <v>57</v>
      </c>
      <c r="G2254" s="8" t="n">
        <v>45744</v>
      </c>
      <c r="H2254" s="8" t="n">
        <v>45791</v>
      </c>
      <c r="I2254" s="7" t="s">
        <v>58</v>
      </c>
      <c r="J2254" s="7" t="s">
        <v>51</v>
      </c>
      <c r="K2254" s="7" t="n">
        <v>47</v>
      </c>
      <c r="L2254" s="7" t="n">
        <v>2</v>
      </c>
      <c r="M2254" s="7" t="n">
        <v>0</v>
      </c>
      <c r="N2254" s="7" t="s">
        <v>42</v>
      </c>
      <c r="O2254" s="7" t="s">
        <v>52</v>
      </c>
      <c r="P2254" s="7" t="n">
        <v>12.6</v>
      </c>
      <c r="Q2254" s="7" t="n">
        <v>29</v>
      </c>
      <c r="R2254" s="7" t="s">
        <v>44</v>
      </c>
      <c r="S2254" s="7"/>
      <c r="T2254" s="7"/>
      <c r="U2254" s="7" t="str">
        <f aca="false">IF(COUNTIF($A$2:$A$5001,A2254)&gt;1,"Duplicate","Unique")</f>
        <v>Unique</v>
      </c>
      <c r="V2254" s="7" t="str">
        <f aca="false">IF(COUNTIFS($B$2:$B$5001,B2254,$H$2:$H$5001,H2254,$J$2:$J$5001,J2254)&gt;1,"Possible Duplicate Booking","Unique")</f>
        <v>Unique</v>
      </c>
      <c r="W2254" s="7" t="str">
        <f aca="false">IF((H2254-G2254)&lt;&gt;K2254,"Mismatch","OK")</f>
        <v>OK</v>
      </c>
      <c r="X2254" s="7" t="str">
        <f aca="false">IF(TEXT(H2254,"dddd")&lt;&gt;I2254,"Mismatch","OK")</f>
        <v>OK</v>
      </c>
      <c r="Y2254" s="7" t="str">
        <f aca="false">IF(AND(N2254="No",O2254&lt;&gt;""),"Unexpected: channel present but no reminder sent",IF(AND(N2254="Yes",O2254=""),"Missing channel for sent reminder","OK"))</f>
        <v>OK</v>
      </c>
    </row>
    <row r="2255" customFormat="false" ht="15" hidden="false" customHeight="false" outlineLevel="0" collapsed="false">
      <c r="A2255" s="9" t="s">
        <v>3602</v>
      </c>
      <c r="B2255" s="9" t="s">
        <v>3603</v>
      </c>
      <c r="C2255" s="9" t="s">
        <v>47</v>
      </c>
      <c r="D2255" s="9" t="n">
        <v>33</v>
      </c>
      <c r="E2255" s="9" t="s">
        <v>48</v>
      </c>
      <c r="F2255" s="9" t="s">
        <v>57</v>
      </c>
      <c r="G2255" s="10" t="n">
        <v>45878</v>
      </c>
      <c r="H2255" s="10" t="n">
        <v>45931</v>
      </c>
      <c r="I2255" s="9" t="s">
        <v>58</v>
      </c>
      <c r="J2255" s="9" t="s">
        <v>63</v>
      </c>
      <c r="K2255" s="9" t="n">
        <v>53</v>
      </c>
      <c r="L2255" s="9" t="n">
        <v>1</v>
      </c>
      <c r="M2255" s="9" t="n">
        <v>0</v>
      </c>
      <c r="N2255" s="9" t="s">
        <v>42</v>
      </c>
      <c r="O2255" s="9" t="s">
        <v>52</v>
      </c>
      <c r="P2255" s="9" t="n">
        <v>9.6</v>
      </c>
      <c r="Q2255" s="9" t="n">
        <v>24</v>
      </c>
      <c r="R2255" s="9" t="s">
        <v>44</v>
      </c>
      <c r="S2255" s="9"/>
      <c r="T2255" s="9"/>
      <c r="U2255" s="9" t="str">
        <f aca="false">IF(COUNTIF($A$2:$A$5001,A2255)&gt;1,"Duplicate","Unique")</f>
        <v>Unique</v>
      </c>
      <c r="V2255" s="9" t="str">
        <f aca="false">IF(COUNTIFS($B$2:$B$5001,B2255,$H$2:$H$5001,H2255,$J$2:$J$5001,J2255)&gt;1,"Possible Duplicate Booking","Unique")</f>
        <v>Unique</v>
      </c>
      <c r="W2255" s="9" t="str">
        <f aca="false">IF((H2255-G2255)&lt;&gt;K2255,"Mismatch","OK")</f>
        <v>OK</v>
      </c>
      <c r="X2255" s="9" t="str">
        <f aca="false">IF(TEXT(H2255,"dddd")&lt;&gt;I2255,"Mismatch","OK")</f>
        <v>OK</v>
      </c>
      <c r="Y2255" s="9" t="str">
        <f aca="false">IF(AND(N2255="No",O2255&lt;&gt;""),"Unexpected: channel present but no reminder sent",IF(AND(N2255="Yes",O2255=""),"Missing channel for sent reminder","OK"))</f>
        <v>OK</v>
      </c>
    </row>
    <row r="2256" customFormat="false" ht="15" hidden="false" customHeight="false" outlineLevel="0" collapsed="false">
      <c r="A2256" s="7" t="s">
        <v>3604</v>
      </c>
      <c r="B2256" s="7" t="s">
        <v>201</v>
      </c>
      <c r="C2256" s="7" t="s">
        <v>37</v>
      </c>
      <c r="D2256" s="7" t="n">
        <v>79</v>
      </c>
      <c r="E2256" s="7" t="s">
        <v>70</v>
      </c>
      <c r="F2256" s="7" t="s">
        <v>39</v>
      </c>
      <c r="G2256" s="8" t="n">
        <v>45807</v>
      </c>
      <c r="H2256" s="8" t="n">
        <v>45819</v>
      </c>
      <c r="I2256" s="7" t="s">
        <v>58</v>
      </c>
      <c r="J2256" s="7" t="s">
        <v>63</v>
      </c>
      <c r="K2256" s="7" t="n">
        <v>12</v>
      </c>
      <c r="L2256" s="7" t="n">
        <v>2</v>
      </c>
      <c r="M2256" s="7" t="n">
        <v>0</v>
      </c>
      <c r="N2256" s="7" t="s">
        <v>42</v>
      </c>
      <c r="O2256" s="7" t="s">
        <v>52</v>
      </c>
      <c r="P2256" s="7" t="n">
        <v>5.9</v>
      </c>
      <c r="Q2256" s="7" t="n">
        <v>19</v>
      </c>
      <c r="R2256" s="7" t="s">
        <v>53</v>
      </c>
      <c r="S2256" s="7"/>
      <c r="T2256" s="7"/>
      <c r="U2256" s="7" t="str">
        <f aca="false">IF(COUNTIF($A$2:$A$5001,A2256)&gt;1,"Duplicate","Unique")</f>
        <v>Unique</v>
      </c>
      <c r="V2256" s="7" t="str">
        <f aca="false">IF(COUNTIFS($B$2:$B$5001,B2256,$H$2:$H$5001,H2256,$J$2:$J$5001,J2256)&gt;1,"Possible Duplicate Booking","Unique")</f>
        <v>Unique</v>
      </c>
      <c r="W2256" s="7" t="str">
        <f aca="false">IF((H2256-G2256)&lt;&gt;K2256,"Mismatch","OK")</f>
        <v>OK</v>
      </c>
      <c r="X2256" s="7" t="str">
        <f aca="false">IF(TEXT(H2256,"dddd")&lt;&gt;I2256,"Mismatch","OK")</f>
        <v>OK</v>
      </c>
      <c r="Y2256" s="7" t="str">
        <f aca="false">IF(AND(N2256="No",O2256&lt;&gt;""),"Unexpected: channel present but no reminder sent",IF(AND(N2256="Yes",O2256=""),"Missing channel for sent reminder","OK"))</f>
        <v>OK</v>
      </c>
    </row>
    <row r="2257" customFormat="false" ht="15" hidden="false" customHeight="false" outlineLevel="0" collapsed="false">
      <c r="A2257" s="9" t="s">
        <v>3605</v>
      </c>
      <c r="B2257" s="9" t="s">
        <v>81</v>
      </c>
      <c r="C2257" s="9" t="s">
        <v>47</v>
      </c>
      <c r="D2257" s="9" t="n">
        <v>18</v>
      </c>
      <c r="E2257" s="9" t="s">
        <v>82</v>
      </c>
      <c r="F2257" s="9" t="s">
        <v>39</v>
      </c>
      <c r="G2257" s="10" t="n">
        <v>45991</v>
      </c>
      <c r="H2257" s="10" t="n">
        <v>46032</v>
      </c>
      <c r="I2257" s="9" t="s">
        <v>102</v>
      </c>
      <c r="J2257" s="9" t="s">
        <v>41</v>
      </c>
      <c r="K2257" s="9" t="n">
        <v>41</v>
      </c>
      <c r="L2257" s="9" t="n">
        <v>5</v>
      </c>
      <c r="M2257" s="9" t="n">
        <v>1</v>
      </c>
      <c r="N2257" s="9" t="s">
        <v>42</v>
      </c>
      <c r="O2257" s="9" t="s">
        <v>52</v>
      </c>
      <c r="P2257" s="9" t="n">
        <v>16.7</v>
      </c>
      <c r="Q2257" s="9" t="n">
        <v>14</v>
      </c>
      <c r="R2257" s="9" t="s">
        <v>44</v>
      </c>
      <c r="S2257" s="9"/>
      <c r="T2257" s="9"/>
      <c r="U2257" s="9" t="str">
        <f aca="false">IF(COUNTIF($A$2:$A$5001,A2257)&gt;1,"Duplicate","Unique")</f>
        <v>Unique</v>
      </c>
      <c r="V2257" s="9" t="str">
        <f aca="false">IF(COUNTIFS($B$2:$B$5001,B2257,$H$2:$H$5001,H2257,$J$2:$J$5001,J2257)&gt;1,"Possible Duplicate Booking","Unique")</f>
        <v>Unique</v>
      </c>
      <c r="W2257" s="9" t="str">
        <f aca="false">IF((H2257-G2257)&lt;&gt;K2257,"Mismatch","OK")</f>
        <v>OK</v>
      </c>
      <c r="X2257" s="9" t="str">
        <f aca="false">IF(TEXT(H2257,"dddd")&lt;&gt;I2257,"Mismatch","OK")</f>
        <v>OK</v>
      </c>
      <c r="Y2257" s="9" t="str">
        <f aca="false">IF(AND(N2257="No",O2257&lt;&gt;""),"Unexpected: channel present but no reminder sent",IF(AND(N2257="Yes",O2257=""),"Missing channel for sent reminder","OK"))</f>
        <v>OK</v>
      </c>
    </row>
    <row r="2258" customFormat="false" ht="15" hidden="false" customHeight="false" outlineLevel="0" collapsed="false">
      <c r="A2258" s="7" t="s">
        <v>3606</v>
      </c>
      <c r="B2258" s="7" t="s">
        <v>3607</v>
      </c>
      <c r="C2258" s="7" t="s">
        <v>37</v>
      </c>
      <c r="D2258" s="7" t="n">
        <v>77</v>
      </c>
      <c r="E2258" s="7" t="s">
        <v>70</v>
      </c>
      <c r="F2258" s="7" t="s">
        <v>49</v>
      </c>
      <c r="G2258" s="8" t="n">
        <v>46037</v>
      </c>
      <c r="H2258" s="8" t="n">
        <v>46092</v>
      </c>
      <c r="I2258" s="7" t="s">
        <v>58</v>
      </c>
      <c r="J2258" s="7" t="s">
        <v>51</v>
      </c>
      <c r="K2258" s="7" t="n">
        <v>55</v>
      </c>
      <c r="L2258" s="7" t="n">
        <v>3</v>
      </c>
      <c r="M2258" s="7" t="n">
        <v>0</v>
      </c>
      <c r="N2258" s="7" t="s">
        <v>71</v>
      </c>
      <c r="O2258" s="7"/>
      <c r="P2258" s="7" t="n">
        <v>5.2</v>
      </c>
      <c r="Q2258" s="7" t="n">
        <v>18</v>
      </c>
      <c r="R2258" s="7" t="s">
        <v>53</v>
      </c>
      <c r="S2258" s="7"/>
      <c r="T2258" s="7"/>
      <c r="U2258" s="7" t="str">
        <f aca="false">IF(COUNTIF($A$2:$A$5001,A2258)&gt;1,"Duplicate","Unique")</f>
        <v>Unique</v>
      </c>
      <c r="V2258" s="7" t="str">
        <f aca="false">IF(COUNTIFS($B$2:$B$5001,B2258,$H$2:$H$5001,H2258,$J$2:$J$5001,J2258)&gt;1,"Possible Duplicate Booking","Unique")</f>
        <v>Unique</v>
      </c>
      <c r="W2258" s="7" t="str">
        <f aca="false">IF((H2258-G2258)&lt;&gt;K2258,"Mismatch","OK")</f>
        <v>OK</v>
      </c>
      <c r="X2258" s="7" t="str">
        <f aca="false">IF(TEXT(H2258,"dddd")&lt;&gt;I2258,"Mismatch","OK")</f>
        <v>OK</v>
      </c>
      <c r="Y2258" s="7" t="str">
        <f aca="false">IF(AND(N2258="No",O2258&lt;&gt;""),"Unexpected: channel present but no reminder sent",IF(AND(N2258="Yes",O2258=""),"Missing channel for sent reminder","OK"))</f>
        <v>OK</v>
      </c>
    </row>
    <row r="2259" customFormat="false" ht="15" hidden="false" customHeight="false" outlineLevel="0" collapsed="false">
      <c r="A2259" s="9" t="s">
        <v>3608</v>
      </c>
      <c r="B2259" s="9" t="s">
        <v>225</v>
      </c>
      <c r="C2259" s="9" t="s">
        <v>37</v>
      </c>
      <c r="D2259" s="9" t="n">
        <v>51</v>
      </c>
      <c r="E2259" s="9" t="s">
        <v>56</v>
      </c>
      <c r="F2259" s="9" t="s">
        <v>39</v>
      </c>
      <c r="G2259" s="10" t="n">
        <v>45975</v>
      </c>
      <c r="H2259" s="10" t="n">
        <v>46014</v>
      </c>
      <c r="I2259" s="9" t="s">
        <v>40</v>
      </c>
      <c r="J2259" s="9" t="s">
        <v>63</v>
      </c>
      <c r="K2259" s="9" t="n">
        <v>39</v>
      </c>
      <c r="L2259" s="9" t="n">
        <v>6</v>
      </c>
      <c r="M2259" s="9" t="n">
        <v>0</v>
      </c>
      <c r="N2259" s="9" t="s">
        <v>71</v>
      </c>
      <c r="O2259" s="9"/>
      <c r="P2259" s="9" t="n">
        <v>2.4</v>
      </c>
      <c r="Q2259" s="9" t="n">
        <v>32</v>
      </c>
      <c r="R2259" s="9" t="s">
        <v>53</v>
      </c>
      <c r="S2259" s="9"/>
      <c r="T2259" s="9"/>
      <c r="U2259" s="9" t="str">
        <f aca="false">IF(COUNTIF($A$2:$A$5001,A2259)&gt;1,"Duplicate","Unique")</f>
        <v>Unique</v>
      </c>
      <c r="V2259" s="9" t="str">
        <f aca="false">IF(COUNTIFS($B$2:$B$5001,B2259,$H$2:$H$5001,H2259,$J$2:$J$5001,J2259)&gt;1,"Possible Duplicate Booking","Unique")</f>
        <v>Unique</v>
      </c>
      <c r="W2259" s="9" t="str">
        <f aca="false">IF((H2259-G2259)&lt;&gt;K2259,"Mismatch","OK")</f>
        <v>OK</v>
      </c>
      <c r="X2259" s="9" t="str">
        <f aca="false">IF(TEXT(H2259,"dddd")&lt;&gt;I2259,"Mismatch","OK")</f>
        <v>OK</v>
      </c>
      <c r="Y2259" s="9" t="str">
        <f aca="false">IF(AND(N2259="No",O2259&lt;&gt;""),"Unexpected: channel present but no reminder sent",IF(AND(N2259="Yes",O2259=""),"Missing channel for sent reminder","OK"))</f>
        <v>OK</v>
      </c>
    </row>
    <row r="2260" customFormat="false" ht="15" hidden="false" customHeight="false" outlineLevel="0" collapsed="false">
      <c r="A2260" s="7" t="s">
        <v>3609</v>
      </c>
      <c r="B2260" s="7" t="s">
        <v>3610</v>
      </c>
      <c r="C2260" s="7" t="s">
        <v>47</v>
      </c>
      <c r="D2260" s="7" t="n">
        <v>20</v>
      </c>
      <c r="E2260" s="7" t="s">
        <v>82</v>
      </c>
      <c r="F2260" s="7" t="s">
        <v>57</v>
      </c>
      <c r="G2260" s="8" t="n">
        <v>45650</v>
      </c>
      <c r="H2260" s="8" t="n">
        <v>45658</v>
      </c>
      <c r="I2260" s="7" t="s">
        <v>58</v>
      </c>
      <c r="J2260" s="7" t="s">
        <v>51</v>
      </c>
      <c r="K2260" s="7" t="n">
        <v>8</v>
      </c>
      <c r="L2260" s="7" t="n">
        <v>2</v>
      </c>
      <c r="M2260" s="7" t="n">
        <v>0</v>
      </c>
      <c r="N2260" s="7" t="s">
        <v>42</v>
      </c>
      <c r="O2260" s="7" t="s">
        <v>67</v>
      </c>
      <c r="P2260" s="7" t="n">
        <v>1.4</v>
      </c>
      <c r="Q2260" s="7" t="n">
        <v>21</v>
      </c>
      <c r="R2260" s="7" t="s">
        <v>53</v>
      </c>
      <c r="S2260" s="7"/>
      <c r="T2260" s="7"/>
      <c r="U2260" s="7" t="str">
        <f aca="false">IF(COUNTIF($A$2:$A$5001,A2260)&gt;1,"Duplicate","Unique")</f>
        <v>Unique</v>
      </c>
      <c r="V2260" s="7" t="str">
        <f aca="false">IF(COUNTIFS($B$2:$B$5001,B2260,$H$2:$H$5001,H2260,$J$2:$J$5001,J2260)&gt;1,"Possible Duplicate Booking","Unique")</f>
        <v>Unique</v>
      </c>
      <c r="W2260" s="7" t="str">
        <f aca="false">IF((H2260-G2260)&lt;&gt;K2260,"Mismatch","OK")</f>
        <v>OK</v>
      </c>
      <c r="X2260" s="7" t="str">
        <f aca="false">IF(TEXT(H2260,"dddd")&lt;&gt;I2260,"Mismatch","OK")</f>
        <v>OK</v>
      </c>
      <c r="Y2260" s="7" t="str">
        <f aca="false">IF(AND(N2260="No",O2260&lt;&gt;""),"Unexpected: channel present but no reminder sent",IF(AND(N2260="Yes",O2260=""),"Missing channel for sent reminder","OK"))</f>
        <v>OK</v>
      </c>
    </row>
    <row r="2261" customFormat="false" ht="15" hidden="false" customHeight="false" outlineLevel="0" collapsed="false">
      <c r="A2261" s="9" t="s">
        <v>3611</v>
      </c>
      <c r="B2261" s="9" t="s">
        <v>3612</v>
      </c>
      <c r="C2261" s="9" t="s">
        <v>47</v>
      </c>
      <c r="D2261" s="9" t="n">
        <v>25</v>
      </c>
      <c r="E2261" s="9" t="s">
        <v>48</v>
      </c>
      <c r="F2261" s="9" t="s">
        <v>57</v>
      </c>
      <c r="G2261" s="10" t="n">
        <v>46188</v>
      </c>
      <c r="H2261" s="10" t="n">
        <v>46199</v>
      </c>
      <c r="I2261" s="9" t="s">
        <v>50</v>
      </c>
      <c r="J2261" s="9" t="s">
        <v>51</v>
      </c>
      <c r="K2261" s="9" t="n">
        <v>11</v>
      </c>
      <c r="L2261" s="9" t="n">
        <v>2</v>
      </c>
      <c r="M2261" s="9" t="n">
        <v>0</v>
      </c>
      <c r="N2261" s="9" t="s">
        <v>42</v>
      </c>
      <c r="O2261" s="9" t="s">
        <v>52</v>
      </c>
      <c r="P2261" s="9" t="n">
        <v>6.2</v>
      </c>
      <c r="Q2261" s="9" t="n">
        <v>2</v>
      </c>
      <c r="R2261" s="9" t="s">
        <v>44</v>
      </c>
      <c r="S2261" s="9"/>
      <c r="T2261" s="9"/>
      <c r="U2261" s="9" t="str">
        <f aca="false">IF(COUNTIF($A$2:$A$5001,A2261)&gt;1,"Duplicate","Unique")</f>
        <v>Unique</v>
      </c>
      <c r="V2261" s="9" t="str">
        <f aca="false">IF(COUNTIFS($B$2:$B$5001,B2261,$H$2:$H$5001,H2261,$J$2:$J$5001,J2261)&gt;1,"Possible Duplicate Booking","Unique")</f>
        <v>Unique</v>
      </c>
      <c r="W2261" s="9" t="str">
        <f aca="false">IF((H2261-G2261)&lt;&gt;K2261,"Mismatch","OK")</f>
        <v>OK</v>
      </c>
      <c r="X2261" s="9" t="str">
        <f aca="false">IF(TEXT(H2261,"dddd")&lt;&gt;I2261,"Mismatch","OK")</f>
        <v>OK</v>
      </c>
      <c r="Y2261" s="9" t="str">
        <f aca="false">IF(AND(N2261="No",O2261&lt;&gt;""),"Unexpected: channel present but no reminder sent",IF(AND(N2261="Yes",O2261=""),"Missing channel for sent reminder","OK"))</f>
        <v>OK</v>
      </c>
    </row>
    <row r="2262" customFormat="false" ht="15" hidden="false" customHeight="false" outlineLevel="0" collapsed="false">
      <c r="A2262" s="7" t="s">
        <v>3613</v>
      </c>
      <c r="B2262" s="7" t="s">
        <v>3614</v>
      </c>
      <c r="C2262" s="7" t="s">
        <v>47</v>
      </c>
      <c r="D2262" s="7" t="n">
        <v>24</v>
      </c>
      <c r="E2262" s="7" t="s">
        <v>82</v>
      </c>
      <c r="F2262" s="7" t="s">
        <v>74</v>
      </c>
      <c r="G2262" s="8" t="n">
        <v>45658</v>
      </c>
      <c r="H2262" s="8" t="n">
        <v>45670</v>
      </c>
      <c r="I2262" s="7" t="s">
        <v>66</v>
      </c>
      <c r="J2262" s="7" t="s">
        <v>51</v>
      </c>
      <c r="K2262" s="7" t="n">
        <v>12</v>
      </c>
      <c r="L2262" s="7" t="n">
        <v>1</v>
      </c>
      <c r="M2262" s="7" t="n">
        <v>0</v>
      </c>
      <c r="N2262" s="7" t="s">
        <v>42</v>
      </c>
      <c r="O2262" s="7" t="s">
        <v>52</v>
      </c>
      <c r="P2262" s="7" t="n">
        <v>7.8</v>
      </c>
      <c r="Q2262" s="7" t="n">
        <v>10</v>
      </c>
      <c r="R2262" s="7" t="s">
        <v>53</v>
      </c>
      <c r="S2262" s="7"/>
      <c r="T2262" s="7"/>
      <c r="U2262" s="7" t="str">
        <f aca="false">IF(COUNTIF($A$2:$A$5001,A2262)&gt;1,"Duplicate","Unique")</f>
        <v>Unique</v>
      </c>
      <c r="V2262" s="7" t="str">
        <f aca="false">IF(COUNTIFS($B$2:$B$5001,B2262,$H$2:$H$5001,H2262,$J$2:$J$5001,J2262)&gt;1,"Possible Duplicate Booking","Unique")</f>
        <v>Unique</v>
      </c>
      <c r="W2262" s="7" t="str">
        <f aca="false">IF((H2262-G2262)&lt;&gt;K2262,"Mismatch","OK")</f>
        <v>OK</v>
      </c>
      <c r="X2262" s="7" t="str">
        <f aca="false">IF(TEXT(H2262,"dddd")&lt;&gt;I2262,"Mismatch","OK")</f>
        <v>OK</v>
      </c>
      <c r="Y2262" s="7" t="str">
        <f aca="false">IF(AND(N2262="No",O2262&lt;&gt;""),"Unexpected: channel present but no reminder sent",IF(AND(N2262="Yes",O2262=""),"Missing channel for sent reminder","OK"))</f>
        <v>OK</v>
      </c>
    </row>
    <row r="2263" customFormat="false" ht="15" hidden="false" customHeight="false" outlineLevel="0" collapsed="false">
      <c r="A2263" s="9" t="s">
        <v>3615</v>
      </c>
      <c r="B2263" s="9" t="s">
        <v>3616</v>
      </c>
      <c r="C2263" s="9" t="s">
        <v>47</v>
      </c>
      <c r="D2263" s="9" t="n">
        <v>36</v>
      </c>
      <c r="E2263" s="9" t="s">
        <v>38</v>
      </c>
      <c r="F2263" s="9" t="s">
        <v>57</v>
      </c>
      <c r="G2263" s="10" t="n">
        <v>46197</v>
      </c>
      <c r="H2263" s="10" t="n">
        <v>46203</v>
      </c>
      <c r="I2263" s="9" t="s">
        <v>40</v>
      </c>
      <c r="J2263" s="9" t="s">
        <v>41</v>
      </c>
      <c r="K2263" s="9" t="n">
        <v>6</v>
      </c>
      <c r="L2263" s="9" t="n">
        <v>2</v>
      </c>
      <c r="M2263" s="9" t="n">
        <v>0</v>
      </c>
      <c r="N2263" s="9" t="s">
        <v>42</v>
      </c>
      <c r="O2263" s="9" t="s">
        <v>52</v>
      </c>
      <c r="P2263" s="9" t="n">
        <v>7.9</v>
      </c>
      <c r="Q2263" s="9" t="n">
        <v>15</v>
      </c>
      <c r="R2263" s="9" t="s">
        <v>53</v>
      </c>
      <c r="S2263" s="9"/>
      <c r="T2263" s="9"/>
      <c r="U2263" s="9" t="str">
        <f aca="false">IF(COUNTIF($A$2:$A$5001,A2263)&gt;1,"Duplicate","Unique")</f>
        <v>Unique</v>
      </c>
      <c r="V2263" s="9" t="str">
        <f aca="false">IF(COUNTIFS($B$2:$B$5001,B2263,$H$2:$H$5001,H2263,$J$2:$J$5001,J2263)&gt;1,"Possible Duplicate Booking","Unique")</f>
        <v>Unique</v>
      </c>
      <c r="W2263" s="9" t="str">
        <f aca="false">IF((H2263-G2263)&lt;&gt;K2263,"Mismatch","OK")</f>
        <v>OK</v>
      </c>
      <c r="X2263" s="9" t="str">
        <f aca="false">IF(TEXT(H2263,"dddd")&lt;&gt;I2263,"Mismatch","OK")</f>
        <v>OK</v>
      </c>
      <c r="Y2263" s="9" t="str">
        <f aca="false">IF(AND(N2263="No",O2263&lt;&gt;""),"Unexpected: channel present but no reminder sent",IF(AND(N2263="Yes",O2263=""),"Missing channel for sent reminder","OK"))</f>
        <v>OK</v>
      </c>
    </row>
    <row r="2264" customFormat="false" ht="15" hidden="false" customHeight="false" outlineLevel="0" collapsed="false">
      <c r="A2264" s="7" t="s">
        <v>3617</v>
      </c>
      <c r="B2264" s="7" t="s">
        <v>941</v>
      </c>
      <c r="C2264" s="7" t="s">
        <v>47</v>
      </c>
      <c r="D2264" s="7" t="n">
        <v>38</v>
      </c>
      <c r="E2264" s="7" t="s">
        <v>38</v>
      </c>
      <c r="F2264" s="7" t="s">
        <v>49</v>
      </c>
      <c r="G2264" s="8" t="n">
        <v>45630</v>
      </c>
      <c r="H2264" s="8" t="n">
        <v>45675</v>
      </c>
      <c r="I2264" s="7" t="s">
        <v>102</v>
      </c>
      <c r="J2264" s="7" t="s">
        <v>41</v>
      </c>
      <c r="K2264" s="7" t="n">
        <v>45</v>
      </c>
      <c r="L2264" s="7" t="n">
        <v>2</v>
      </c>
      <c r="M2264" s="7" t="n">
        <v>0</v>
      </c>
      <c r="N2264" s="7" t="s">
        <v>42</v>
      </c>
      <c r="O2264" s="7" t="s">
        <v>52</v>
      </c>
      <c r="P2264" s="7" t="n">
        <v>1.2</v>
      </c>
      <c r="Q2264" s="7" t="n">
        <v>21</v>
      </c>
      <c r="R2264" s="7" t="s">
        <v>44</v>
      </c>
      <c r="S2264" s="7"/>
      <c r="T2264" s="7"/>
      <c r="U2264" s="7" t="str">
        <f aca="false">IF(COUNTIF($A$2:$A$5001,A2264)&gt;1,"Duplicate","Unique")</f>
        <v>Unique</v>
      </c>
      <c r="V2264" s="7" t="str">
        <f aca="false">IF(COUNTIFS($B$2:$B$5001,B2264,$H$2:$H$5001,H2264,$J$2:$J$5001,J2264)&gt;1,"Possible Duplicate Booking","Unique")</f>
        <v>Unique</v>
      </c>
      <c r="W2264" s="7" t="str">
        <f aca="false">IF((H2264-G2264)&lt;&gt;K2264,"Mismatch","OK")</f>
        <v>OK</v>
      </c>
      <c r="X2264" s="7" t="str">
        <f aca="false">IF(TEXT(H2264,"dddd")&lt;&gt;I2264,"Mismatch","OK")</f>
        <v>OK</v>
      </c>
      <c r="Y2264" s="7" t="str">
        <f aca="false">IF(AND(N2264="No",O2264&lt;&gt;""),"Unexpected: channel present but no reminder sent",IF(AND(N2264="Yes",O2264=""),"Missing channel for sent reminder","OK"))</f>
        <v>OK</v>
      </c>
    </row>
    <row r="2265" customFormat="false" ht="15" hidden="false" customHeight="false" outlineLevel="0" collapsed="false">
      <c r="A2265" s="9" t="s">
        <v>3618</v>
      </c>
      <c r="B2265" s="9" t="s">
        <v>3619</v>
      </c>
      <c r="C2265" s="9" t="s">
        <v>47</v>
      </c>
      <c r="D2265" s="9" t="n">
        <v>58</v>
      </c>
      <c r="E2265" s="9" t="s">
        <v>61</v>
      </c>
      <c r="F2265" s="9" t="s">
        <v>57</v>
      </c>
      <c r="G2265" s="10" t="n">
        <v>45881</v>
      </c>
      <c r="H2265" s="10" t="n">
        <v>45939</v>
      </c>
      <c r="I2265" s="9" t="s">
        <v>62</v>
      </c>
      <c r="J2265" s="9" t="s">
        <v>51</v>
      </c>
      <c r="K2265" s="9" t="n">
        <v>58</v>
      </c>
      <c r="L2265" s="9" t="n">
        <v>2</v>
      </c>
      <c r="M2265" s="9" t="n">
        <v>1</v>
      </c>
      <c r="N2265" s="9" t="s">
        <v>42</v>
      </c>
      <c r="O2265" s="9" t="s">
        <v>52</v>
      </c>
      <c r="P2265" s="9" t="n">
        <v>11.2</v>
      </c>
      <c r="Q2265" s="9" t="n">
        <v>21</v>
      </c>
      <c r="R2265" s="9" t="s">
        <v>53</v>
      </c>
      <c r="S2265" s="9"/>
      <c r="T2265" s="9"/>
      <c r="U2265" s="9" t="str">
        <f aca="false">IF(COUNTIF($A$2:$A$5001,A2265)&gt;1,"Duplicate","Unique")</f>
        <v>Unique</v>
      </c>
      <c r="V2265" s="9" t="str">
        <f aca="false">IF(COUNTIFS($B$2:$B$5001,B2265,$H$2:$H$5001,H2265,$J$2:$J$5001,J2265)&gt;1,"Possible Duplicate Booking","Unique")</f>
        <v>Unique</v>
      </c>
      <c r="W2265" s="9" t="str">
        <f aca="false">IF((H2265-G2265)&lt;&gt;K2265,"Mismatch","OK")</f>
        <v>OK</v>
      </c>
      <c r="X2265" s="9" t="str">
        <f aca="false">IF(TEXT(H2265,"dddd")&lt;&gt;I2265,"Mismatch","OK")</f>
        <v>OK</v>
      </c>
      <c r="Y2265" s="9" t="str">
        <f aca="false">IF(AND(N2265="No",O2265&lt;&gt;""),"Unexpected: channel present but no reminder sent",IF(AND(N2265="Yes",O2265=""),"Missing channel for sent reminder","OK"))</f>
        <v>OK</v>
      </c>
    </row>
    <row r="2266" customFormat="false" ht="15" hidden="false" customHeight="false" outlineLevel="0" collapsed="false">
      <c r="A2266" s="7" t="s">
        <v>3620</v>
      </c>
      <c r="B2266" s="7" t="s">
        <v>2508</v>
      </c>
      <c r="C2266" s="7" t="s">
        <v>37</v>
      </c>
      <c r="D2266" s="7" t="n">
        <v>37</v>
      </c>
      <c r="E2266" s="7" t="s">
        <v>38</v>
      </c>
      <c r="F2266" s="7" t="s">
        <v>39</v>
      </c>
      <c r="G2266" s="8" t="n">
        <v>45684</v>
      </c>
      <c r="H2266" s="8" t="n">
        <v>45715</v>
      </c>
      <c r="I2266" s="7" t="s">
        <v>62</v>
      </c>
      <c r="J2266" s="7" t="s">
        <v>51</v>
      </c>
      <c r="K2266" s="7" t="n">
        <v>31</v>
      </c>
      <c r="L2266" s="7" t="n">
        <v>3</v>
      </c>
      <c r="M2266" s="7" t="n">
        <v>0</v>
      </c>
      <c r="N2266" s="7" t="s">
        <v>42</v>
      </c>
      <c r="O2266" s="7" t="s">
        <v>67</v>
      </c>
      <c r="P2266" s="7" t="n">
        <v>6.9</v>
      </c>
      <c r="Q2266" s="7" t="n">
        <v>12</v>
      </c>
      <c r="R2266" s="7" t="s">
        <v>44</v>
      </c>
      <c r="S2266" s="7"/>
      <c r="T2266" s="7"/>
      <c r="U2266" s="7" t="str">
        <f aca="false">IF(COUNTIF($A$2:$A$5001,A2266)&gt;1,"Duplicate","Unique")</f>
        <v>Unique</v>
      </c>
      <c r="V2266" s="7" t="str">
        <f aca="false">IF(COUNTIFS($B$2:$B$5001,B2266,$H$2:$H$5001,H2266,$J$2:$J$5001,J2266)&gt;1,"Possible Duplicate Booking","Unique")</f>
        <v>Unique</v>
      </c>
      <c r="W2266" s="7" t="str">
        <f aca="false">IF((H2266-G2266)&lt;&gt;K2266,"Mismatch","OK")</f>
        <v>OK</v>
      </c>
      <c r="X2266" s="7" t="str">
        <f aca="false">IF(TEXT(H2266,"dddd")&lt;&gt;I2266,"Mismatch","OK")</f>
        <v>OK</v>
      </c>
      <c r="Y2266" s="7" t="str">
        <f aca="false">IF(AND(N2266="No",O2266&lt;&gt;""),"Unexpected: channel present but no reminder sent",IF(AND(N2266="Yes",O2266=""),"Missing channel for sent reminder","OK"))</f>
        <v>OK</v>
      </c>
    </row>
    <row r="2267" customFormat="false" ht="15" hidden="false" customHeight="false" outlineLevel="0" collapsed="false">
      <c r="A2267" s="9" t="s">
        <v>3621</v>
      </c>
      <c r="B2267" s="9" t="s">
        <v>3622</v>
      </c>
      <c r="C2267" s="9" t="s">
        <v>47</v>
      </c>
      <c r="D2267" s="9" t="n">
        <v>63</v>
      </c>
      <c r="E2267" s="9" t="s">
        <v>61</v>
      </c>
      <c r="F2267" s="9" t="s">
        <v>39</v>
      </c>
      <c r="G2267" s="10" t="n">
        <v>45673</v>
      </c>
      <c r="H2267" s="10" t="n">
        <v>45709</v>
      </c>
      <c r="I2267" s="9" t="s">
        <v>50</v>
      </c>
      <c r="J2267" s="9" t="s">
        <v>41</v>
      </c>
      <c r="K2267" s="9" t="n">
        <v>36</v>
      </c>
      <c r="L2267" s="9" t="n">
        <v>3</v>
      </c>
      <c r="M2267" s="9" t="n">
        <v>0</v>
      </c>
      <c r="N2267" s="9" t="s">
        <v>42</v>
      </c>
      <c r="O2267" s="9" t="s">
        <v>67</v>
      </c>
      <c r="P2267" s="9" t="n">
        <v>13.8</v>
      </c>
      <c r="Q2267" s="9" t="n">
        <v>31</v>
      </c>
      <c r="R2267" s="9" t="s">
        <v>53</v>
      </c>
      <c r="S2267" s="9"/>
      <c r="T2267" s="9"/>
      <c r="U2267" s="9" t="str">
        <f aca="false">IF(COUNTIF($A$2:$A$5001,A2267)&gt;1,"Duplicate","Unique")</f>
        <v>Unique</v>
      </c>
      <c r="V2267" s="9" t="str">
        <f aca="false">IF(COUNTIFS($B$2:$B$5001,B2267,$H$2:$H$5001,H2267,$J$2:$J$5001,J2267)&gt;1,"Possible Duplicate Booking","Unique")</f>
        <v>Unique</v>
      </c>
      <c r="W2267" s="9" t="str">
        <f aca="false">IF((H2267-G2267)&lt;&gt;K2267,"Mismatch","OK")</f>
        <v>OK</v>
      </c>
      <c r="X2267" s="9" t="str">
        <f aca="false">IF(TEXT(H2267,"dddd")&lt;&gt;I2267,"Mismatch","OK")</f>
        <v>OK</v>
      </c>
      <c r="Y2267" s="9" t="str">
        <f aca="false">IF(AND(N2267="No",O2267&lt;&gt;""),"Unexpected: channel present but no reminder sent",IF(AND(N2267="Yes",O2267=""),"Missing channel for sent reminder","OK"))</f>
        <v>OK</v>
      </c>
    </row>
    <row r="2268" customFormat="false" ht="15" hidden="false" customHeight="false" outlineLevel="0" collapsed="false">
      <c r="A2268" s="7" t="s">
        <v>3623</v>
      </c>
      <c r="B2268" s="7" t="s">
        <v>3624</v>
      </c>
      <c r="C2268" s="7" t="s">
        <v>37</v>
      </c>
      <c r="D2268" s="7" t="n">
        <v>36</v>
      </c>
      <c r="E2268" s="7" t="s">
        <v>38</v>
      </c>
      <c r="F2268" s="7" t="s">
        <v>57</v>
      </c>
      <c r="G2268" s="8" t="n">
        <v>45984</v>
      </c>
      <c r="H2268" s="8" t="n">
        <v>46031</v>
      </c>
      <c r="I2268" s="7" t="s">
        <v>50</v>
      </c>
      <c r="J2268" s="7" t="s">
        <v>51</v>
      </c>
      <c r="K2268" s="7" t="n">
        <v>47</v>
      </c>
      <c r="L2268" s="7" t="n">
        <v>2</v>
      </c>
      <c r="M2268" s="7" t="n">
        <v>0</v>
      </c>
      <c r="N2268" s="7" t="s">
        <v>42</v>
      </c>
      <c r="O2268" s="7" t="s">
        <v>52</v>
      </c>
      <c r="P2268" s="7" t="n">
        <v>8.8</v>
      </c>
      <c r="Q2268" s="7" t="n">
        <v>2</v>
      </c>
      <c r="R2268" s="7" t="s">
        <v>87</v>
      </c>
      <c r="S2268" s="7"/>
      <c r="T2268" s="7"/>
      <c r="U2268" s="7" t="str">
        <f aca="false">IF(COUNTIF($A$2:$A$5001,A2268)&gt;1,"Duplicate","Unique")</f>
        <v>Unique</v>
      </c>
      <c r="V2268" s="7" t="str">
        <f aca="false">IF(COUNTIFS($B$2:$B$5001,B2268,$H$2:$H$5001,H2268,$J$2:$J$5001,J2268)&gt;1,"Possible Duplicate Booking","Unique")</f>
        <v>Unique</v>
      </c>
      <c r="W2268" s="7" t="str">
        <f aca="false">IF((H2268-G2268)&lt;&gt;K2268,"Mismatch","OK")</f>
        <v>OK</v>
      </c>
      <c r="X2268" s="7" t="str">
        <f aca="false">IF(TEXT(H2268,"dddd")&lt;&gt;I2268,"Mismatch","OK")</f>
        <v>OK</v>
      </c>
      <c r="Y2268" s="7" t="str">
        <f aca="false">IF(AND(N2268="No",O2268&lt;&gt;""),"Unexpected: channel present but no reminder sent",IF(AND(N2268="Yes",O2268=""),"Missing channel for sent reminder","OK"))</f>
        <v>OK</v>
      </c>
    </row>
    <row r="2269" customFormat="false" ht="15" hidden="false" customHeight="false" outlineLevel="0" collapsed="false">
      <c r="A2269" s="9" t="s">
        <v>3625</v>
      </c>
      <c r="B2269" s="9" t="s">
        <v>1325</v>
      </c>
      <c r="C2269" s="9" t="s">
        <v>37</v>
      </c>
      <c r="D2269" s="9" t="n">
        <v>34</v>
      </c>
      <c r="E2269" s="9" t="s">
        <v>48</v>
      </c>
      <c r="F2269" s="9" t="s">
        <v>39</v>
      </c>
      <c r="G2269" s="10" t="n">
        <v>46030</v>
      </c>
      <c r="H2269" s="10" t="n">
        <v>46055</v>
      </c>
      <c r="I2269" s="9" t="s">
        <v>66</v>
      </c>
      <c r="J2269" s="9" t="s">
        <v>41</v>
      </c>
      <c r="K2269" s="9" t="n">
        <v>25</v>
      </c>
      <c r="L2269" s="9" t="n">
        <v>3</v>
      </c>
      <c r="M2269" s="9" t="n">
        <v>0</v>
      </c>
      <c r="N2269" s="9" t="s">
        <v>42</v>
      </c>
      <c r="O2269" s="9" t="s">
        <v>43</v>
      </c>
      <c r="P2269" s="9" t="n">
        <v>12.3</v>
      </c>
      <c r="Q2269" s="9" t="n">
        <v>16</v>
      </c>
      <c r="R2269" s="9" t="s">
        <v>53</v>
      </c>
      <c r="S2269" s="9"/>
      <c r="T2269" s="9"/>
      <c r="U2269" s="9" t="str">
        <f aca="false">IF(COUNTIF($A$2:$A$5001,A2269)&gt;1,"Duplicate","Unique")</f>
        <v>Unique</v>
      </c>
      <c r="V2269" s="9" t="str">
        <f aca="false">IF(COUNTIFS($B$2:$B$5001,B2269,$H$2:$H$5001,H2269,$J$2:$J$5001,J2269)&gt;1,"Possible Duplicate Booking","Unique")</f>
        <v>Unique</v>
      </c>
      <c r="W2269" s="9" t="str">
        <f aca="false">IF((H2269-G2269)&lt;&gt;K2269,"Mismatch","OK")</f>
        <v>OK</v>
      </c>
      <c r="X2269" s="9" t="str">
        <f aca="false">IF(TEXT(H2269,"dddd")&lt;&gt;I2269,"Mismatch","OK")</f>
        <v>OK</v>
      </c>
      <c r="Y2269" s="9" t="str">
        <f aca="false">IF(AND(N2269="No",O2269&lt;&gt;""),"Unexpected: channel present but no reminder sent",IF(AND(N2269="Yes",O2269=""),"Missing channel for sent reminder","OK"))</f>
        <v>OK</v>
      </c>
    </row>
    <row r="2270" customFormat="false" ht="15" hidden="false" customHeight="false" outlineLevel="0" collapsed="false">
      <c r="A2270" s="7" t="s">
        <v>3626</v>
      </c>
      <c r="B2270" s="7" t="s">
        <v>3627</v>
      </c>
      <c r="C2270" s="7" t="s">
        <v>47</v>
      </c>
      <c r="D2270" s="7" t="n">
        <v>35</v>
      </c>
      <c r="E2270" s="7" t="s">
        <v>38</v>
      </c>
      <c r="F2270" s="7" t="s">
        <v>39</v>
      </c>
      <c r="G2270" s="8" t="n">
        <v>45694</v>
      </c>
      <c r="H2270" s="8" t="n">
        <v>45722</v>
      </c>
      <c r="I2270" s="7" t="s">
        <v>62</v>
      </c>
      <c r="J2270" s="7" t="s">
        <v>51</v>
      </c>
      <c r="K2270" s="7" t="n">
        <v>28</v>
      </c>
      <c r="L2270" s="7" t="n">
        <v>2</v>
      </c>
      <c r="M2270" s="7" t="n">
        <v>1</v>
      </c>
      <c r="N2270" s="7" t="s">
        <v>42</v>
      </c>
      <c r="O2270" s="7" t="s">
        <v>43</v>
      </c>
      <c r="P2270" s="7" t="n">
        <v>2.9</v>
      </c>
      <c r="Q2270" s="7" t="n">
        <v>33</v>
      </c>
      <c r="R2270" s="7" t="s">
        <v>44</v>
      </c>
      <c r="S2270" s="7"/>
      <c r="T2270" s="7"/>
      <c r="U2270" s="7" t="str">
        <f aca="false">IF(COUNTIF($A$2:$A$5001,A2270)&gt;1,"Duplicate","Unique")</f>
        <v>Unique</v>
      </c>
      <c r="V2270" s="7" t="str">
        <f aca="false">IF(COUNTIFS($B$2:$B$5001,B2270,$H$2:$H$5001,H2270,$J$2:$J$5001,J2270)&gt;1,"Possible Duplicate Booking","Unique")</f>
        <v>Unique</v>
      </c>
      <c r="W2270" s="7" t="str">
        <f aca="false">IF((H2270-G2270)&lt;&gt;K2270,"Mismatch","OK")</f>
        <v>OK</v>
      </c>
      <c r="X2270" s="7" t="str">
        <f aca="false">IF(TEXT(H2270,"dddd")&lt;&gt;I2270,"Mismatch","OK")</f>
        <v>OK</v>
      </c>
      <c r="Y2270" s="7" t="str">
        <f aca="false">IF(AND(N2270="No",O2270&lt;&gt;""),"Unexpected: channel present but no reminder sent",IF(AND(N2270="Yes",O2270=""),"Missing channel for sent reminder","OK"))</f>
        <v>OK</v>
      </c>
    </row>
    <row r="2271" customFormat="false" ht="15" hidden="false" customHeight="false" outlineLevel="0" collapsed="false">
      <c r="A2271" s="9" t="s">
        <v>3628</v>
      </c>
      <c r="B2271" s="9" t="s">
        <v>3629</v>
      </c>
      <c r="C2271" s="9" t="s">
        <v>37</v>
      </c>
      <c r="D2271" s="9" t="n">
        <v>38</v>
      </c>
      <c r="E2271" s="9" t="s">
        <v>38</v>
      </c>
      <c r="F2271" s="9" t="s">
        <v>57</v>
      </c>
      <c r="G2271" s="10" t="n">
        <v>46156</v>
      </c>
      <c r="H2271" s="10" t="n">
        <v>46191</v>
      </c>
      <c r="I2271" s="9" t="s">
        <v>62</v>
      </c>
      <c r="J2271" s="9" t="s">
        <v>51</v>
      </c>
      <c r="K2271" s="9" t="n">
        <v>35</v>
      </c>
      <c r="L2271" s="9" t="n">
        <v>2</v>
      </c>
      <c r="M2271" s="9" t="n">
        <v>1</v>
      </c>
      <c r="N2271" s="9" t="s">
        <v>42</v>
      </c>
      <c r="O2271" s="9" t="s">
        <v>43</v>
      </c>
      <c r="P2271" s="9" t="n">
        <v>13.8</v>
      </c>
      <c r="Q2271" s="9" t="n">
        <v>30</v>
      </c>
      <c r="R2271" s="9" t="s">
        <v>53</v>
      </c>
      <c r="S2271" s="9"/>
      <c r="T2271" s="9"/>
      <c r="U2271" s="9" t="str">
        <f aca="false">IF(COUNTIF($A$2:$A$5001,A2271)&gt;1,"Duplicate","Unique")</f>
        <v>Unique</v>
      </c>
      <c r="V2271" s="9" t="str">
        <f aca="false">IF(COUNTIFS($B$2:$B$5001,B2271,$H$2:$H$5001,H2271,$J$2:$J$5001,J2271)&gt;1,"Possible Duplicate Booking","Unique")</f>
        <v>Unique</v>
      </c>
      <c r="W2271" s="9" t="str">
        <f aca="false">IF((H2271-G2271)&lt;&gt;K2271,"Mismatch","OK")</f>
        <v>OK</v>
      </c>
      <c r="X2271" s="9" t="str">
        <f aca="false">IF(TEXT(H2271,"dddd")&lt;&gt;I2271,"Mismatch","OK")</f>
        <v>OK</v>
      </c>
      <c r="Y2271" s="9" t="str">
        <f aca="false">IF(AND(N2271="No",O2271&lt;&gt;""),"Unexpected: channel present but no reminder sent",IF(AND(N2271="Yes",O2271=""),"Missing channel for sent reminder","OK"))</f>
        <v>OK</v>
      </c>
    </row>
    <row r="2272" customFormat="false" ht="15" hidden="false" customHeight="false" outlineLevel="0" collapsed="false">
      <c r="A2272" s="7" t="s">
        <v>3630</v>
      </c>
      <c r="B2272" s="7" t="s">
        <v>2847</v>
      </c>
      <c r="C2272" s="7" t="s">
        <v>37</v>
      </c>
      <c r="D2272" s="7" t="n">
        <v>70</v>
      </c>
      <c r="E2272" s="7" t="s">
        <v>70</v>
      </c>
      <c r="F2272" s="7" t="s">
        <v>57</v>
      </c>
      <c r="G2272" s="8" t="n">
        <v>45814</v>
      </c>
      <c r="H2272" s="8" t="n">
        <v>45832</v>
      </c>
      <c r="I2272" s="7" t="s">
        <v>40</v>
      </c>
      <c r="J2272" s="7" t="s">
        <v>51</v>
      </c>
      <c r="K2272" s="7" t="n">
        <v>18</v>
      </c>
      <c r="L2272" s="7" t="n">
        <v>1</v>
      </c>
      <c r="M2272" s="7" t="n">
        <v>0</v>
      </c>
      <c r="N2272" s="7" t="s">
        <v>42</v>
      </c>
      <c r="O2272" s="7" t="s">
        <v>52</v>
      </c>
      <c r="P2272" s="7" t="n">
        <v>10.6</v>
      </c>
      <c r="Q2272" s="7" t="n">
        <v>21</v>
      </c>
      <c r="R2272" s="7" t="s">
        <v>53</v>
      </c>
      <c r="S2272" s="7"/>
      <c r="T2272" s="7"/>
      <c r="U2272" s="7" t="str">
        <f aca="false">IF(COUNTIF($A$2:$A$5001,A2272)&gt;1,"Duplicate","Unique")</f>
        <v>Unique</v>
      </c>
      <c r="V2272" s="7" t="str">
        <f aca="false">IF(COUNTIFS($B$2:$B$5001,B2272,$H$2:$H$5001,H2272,$J$2:$J$5001,J2272)&gt;1,"Possible Duplicate Booking","Unique")</f>
        <v>Unique</v>
      </c>
      <c r="W2272" s="7" t="str">
        <f aca="false">IF((H2272-G2272)&lt;&gt;K2272,"Mismatch","OK")</f>
        <v>OK</v>
      </c>
      <c r="X2272" s="7" t="str">
        <f aca="false">IF(TEXT(H2272,"dddd")&lt;&gt;I2272,"Mismatch","OK")</f>
        <v>OK</v>
      </c>
      <c r="Y2272" s="7" t="str">
        <f aca="false">IF(AND(N2272="No",O2272&lt;&gt;""),"Unexpected: channel present but no reminder sent",IF(AND(N2272="Yes",O2272=""),"Missing channel for sent reminder","OK"))</f>
        <v>OK</v>
      </c>
    </row>
    <row r="2273" customFormat="false" ht="15" hidden="false" customHeight="false" outlineLevel="0" collapsed="false">
      <c r="A2273" s="9" t="s">
        <v>3631</v>
      </c>
      <c r="B2273" s="9" t="s">
        <v>3632</v>
      </c>
      <c r="C2273" s="9" t="s">
        <v>37</v>
      </c>
      <c r="D2273" s="9" t="n">
        <v>33</v>
      </c>
      <c r="E2273" s="9" t="s">
        <v>48</v>
      </c>
      <c r="F2273" s="9" t="s">
        <v>49</v>
      </c>
      <c r="G2273" s="10" t="n">
        <v>45828</v>
      </c>
      <c r="H2273" s="10" t="n">
        <v>45831</v>
      </c>
      <c r="I2273" s="9" t="s">
        <v>66</v>
      </c>
      <c r="J2273" s="9" t="s">
        <v>41</v>
      </c>
      <c r="K2273" s="9" t="n">
        <v>3</v>
      </c>
      <c r="L2273" s="9" t="n">
        <v>2</v>
      </c>
      <c r="M2273" s="9" t="n">
        <v>0</v>
      </c>
      <c r="N2273" s="9" t="s">
        <v>42</v>
      </c>
      <c r="O2273" s="9" t="s">
        <v>52</v>
      </c>
      <c r="P2273" s="9" t="n">
        <v>5.3</v>
      </c>
      <c r="Q2273" s="9" t="n">
        <v>34</v>
      </c>
      <c r="R2273" s="9" t="s">
        <v>44</v>
      </c>
      <c r="S2273" s="9"/>
      <c r="T2273" s="9"/>
      <c r="U2273" s="9" t="str">
        <f aca="false">IF(COUNTIF($A$2:$A$5001,A2273)&gt;1,"Duplicate","Unique")</f>
        <v>Unique</v>
      </c>
      <c r="V2273" s="9" t="str">
        <f aca="false">IF(COUNTIFS($B$2:$B$5001,B2273,$H$2:$H$5001,H2273,$J$2:$J$5001,J2273)&gt;1,"Possible Duplicate Booking","Unique")</f>
        <v>Unique</v>
      </c>
      <c r="W2273" s="9" t="str">
        <f aca="false">IF((H2273-G2273)&lt;&gt;K2273,"Mismatch","OK")</f>
        <v>OK</v>
      </c>
      <c r="X2273" s="9" t="str">
        <f aca="false">IF(TEXT(H2273,"dddd")&lt;&gt;I2273,"Mismatch","OK")</f>
        <v>OK</v>
      </c>
      <c r="Y2273" s="9" t="str">
        <f aca="false">IF(AND(N2273="No",O2273&lt;&gt;""),"Unexpected: channel present but no reminder sent",IF(AND(N2273="Yes",O2273=""),"Missing channel for sent reminder","OK"))</f>
        <v>OK</v>
      </c>
    </row>
    <row r="2274" customFormat="false" ht="15" hidden="false" customHeight="false" outlineLevel="0" collapsed="false">
      <c r="A2274" s="7" t="s">
        <v>3633</v>
      </c>
      <c r="B2274" s="7" t="s">
        <v>3309</v>
      </c>
      <c r="C2274" s="7" t="s">
        <v>47</v>
      </c>
      <c r="D2274" s="7" t="n">
        <v>35</v>
      </c>
      <c r="E2274" s="7" t="s">
        <v>38</v>
      </c>
      <c r="F2274" s="7" t="s">
        <v>49</v>
      </c>
      <c r="G2274" s="8" t="n">
        <v>45786</v>
      </c>
      <c r="H2274" s="8" t="n">
        <v>45820</v>
      </c>
      <c r="I2274" s="7" t="s">
        <v>62</v>
      </c>
      <c r="J2274" s="7" t="s">
        <v>41</v>
      </c>
      <c r="K2274" s="7" t="n">
        <v>34</v>
      </c>
      <c r="L2274" s="7" t="n">
        <v>4</v>
      </c>
      <c r="M2274" s="7" t="n">
        <v>1</v>
      </c>
      <c r="N2274" s="7" t="s">
        <v>42</v>
      </c>
      <c r="O2274" s="7" t="s">
        <v>67</v>
      </c>
      <c r="P2274" s="7" t="n">
        <v>21.2</v>
      </c>
      <c r="Q2274" s="7" t="n">
        <v>27</v>
      </c>
      <c r="R2274" s="7" t="s">
        <v>44</v>
      </c>
      <c r="S2274" s="7"/>
      <c r="T2274" s="7"/>
      <c r="U2274" s="7" t="str">
        <f aca="false">IF(COUNTIF($A$2:$A$5001,A2274)&gt;1,"Duplicate","Unique")</f>
        <v>Unique</v>
      </c>
      <c r="V2274" s="7" t="str">
        <f aca="false">IF(COUNTIFS($B$2:$B$5001,B2274,$H$2:$H$5001,H2274,$J$2:$J$5001,J2274)&gt;1,"Possible Duplicate Booking","Unique")</f>
        <v>Unique</v>
      </c>
      <c r="W2274" s="7" t="str">
        <f aca="false">IF((H2274-G2274)&lt;&gt;K2274,"Mismatch","OK")</f>
        <v>OK</v>
      </c>
      <c r="X2274" s="7" t="str">
        <f aca="false">IF(TEXT(H2274,"dddd")&lt;&gt;I2274,"Mismatch","OK")</f>
        <v>OK</v>
      </c>
      <c r="Y2274" s="7" t="str">
        <f aca="false">IF(AND(N2274="No",O2274&lt;&gt;""),"Unexpected: channel present but no reminder sent",IF(AND(N2274="Yes",O2274=""),"Missing channel for sent reminder","OK"))</f>
        <v>OK</v>
      </c>
    </row>
    <row r="2275" customFormat="false" ht="15" hidden="false" customHeight="false" outlineLevel="0" collapsed="false">
      <c r="A2275" s="9" t="s">
        <v>3634</v>
      </c>
      <c r="B2275" s="9" t="s">
        <v>1747</v>
      </c>
      <c r="C2275" s="9" t="s">
        <v>47</v>
      </c>
      <c r="D2275" s="9" t="n">
        <v>78</v>
      </c>
      <c r="E2275" s="9" t="s">
        <v>70</v>
      </c>
      <c r="F2275" s="9" t="s">
        <v>39</v>
      </c>
      <c r="G2275" s="10" t="n">
        <v>45859</v>
      </c>
      <c r="H2275" s="10" t="n">
        <v>45909</v>
      </c>
      <c r="I2275" s="9" t="s">
        <v>40</v>
      </c>
      <c r="J2275" s="9" t="s">
        <v>51</v>
      </c>
      <c r="K2275" s="9" t="n">
        <v>50</v>
      </c>
      <c r="L2275" s="9" t="n">
        <v>1</v>
      </c>
      <c r="M2275" s="9" t="n">
        <v>0</v>
      </c>
      <c r="N2275" s="9" t="s">
        <v>42</v>
      </c>
      <c r="O2275" s="9" t="s">
        <v>67</v>
      </c>
      <c r="P2275" s="9" t="n">
        <v>30.7</v>
      </c>
      <c r="Q2275" s="9" t="n">
        <v>25</v>
      </c>
      <c r="R2275" s="9" t="s">
        <v>44</v>
      </c>
      <c r="S2275" s="9"/>
      <c r="T2275" s="9"/>
      <c r="U2275" s="9" t="str">
        <f aca="false">IF(COUNTIF($A$2:$A$5001,A2275)&gt;1,"Duplicate","Unique")</f>
        <v>Unique</v>
      </c>
      <c r="V2275" s="9" t="str">
        <f aca="false">IF(COUNTIFS($B$2:$B$5001,B2275,$H$2:$H$5001,H2275,$J$2:$J$5001,J2275)&gt;1,"Possible Duplicate Booking","Unique")</f>
        <v>Unique</v>
      </c>
      <c r="W2275" s="9" t="str">
        <f aca="false">IF((H2275-G2275)&lt;&gt;K2275,"Mismatch","OK")</f>
        <v>OK</v>
      </c>
      <c r="X2275" s="9" t="str">
        <f aca="false">IF(TEXT(H2275,"dddd")&lt;&gt;I2275,"Mismatch","OK")</f>
        <v>OK</v>
      </c>
      <c r="Y2275" s="9" t="str">
        <f aca="false">IF(AND(N2275="No",O2275&lt;&gt;""),"Unexpected: channel present but no reminder sent",IF(AND(N2275="Yes",O2275=""),"Missing channel for sent reminder","OK"))</f>
        <v>OK</v>
      </c>
    </row>
    <row r="2276" customFormat="false" ht="15" hidden="false" customHeight="false" outlineLevel="0" collapsed="false">
      <c r="A2276" s="7" t="s">
        <v>3635</v>
      </c>
      <c r="B2276" s="7" t="s">
        <v>3636</v>
      </c>
      <c r="C2276" s="7" t="s">
        <v>37</v>
      </c>
      <c r="D2276" s="7" t="n">
        <v>59</v>
      </c>
      <c r="E2276" s="7" t="s">
        <v>61</v>
      </c>
      <c r="F2276" s="7" t="s">
        <v>49</v>
      </c>
      <c r="G2276" s="8" t="n">
        <v>45751</v>
      </c>
      <c r="H2276" s="8" t="n">
        <v>45755</v>
      </c>
      <c r="I2276" s="7" t="s">
        <v>40</v>
      </c>
      <c r="J2276" s="7" t="s">
        <v>41</v>
      </c>
      <c r="K2276" s="7" t="n">
        <v>4</v>
      </c>
      <c r="L2276" s="7" t="n">
        <v>3</v>
      </c>
      <c r="M2276" s="7" t="n">
        <v>0</v>
      </c>
      <c r="N2276" s="7" t="s">
        <v>42</v>
      </c>
      <c r="O2276" s="7" t="s">
        <v>67</v>
      </c>
      <c r="P2276" s="7" t="n">
        <v>5.4</v>
      </c>
      <c r="Q2276" s="7" t="n">
        <v>31</v>
      </c>
      <c r="R2276" s="7" t="s">
        <v>53</v>
      </c>
      <c r="S2276" s="7"/>
      <c r="T2276" s="7"/>
      <c r="U2276" s="7" t="str">
        <f aca="false">IF(COUNTIF($A$2:$A$5001,A2276)&gt;1,"Duplicate","Unique")</f>
        <v>Unique</v>
      </c>
      <c r="V2276" s="7" t="str">
        <f aca="false">IF(COUNTIFS($B$2:$B$5001,B2276,$H$2:$H$5001,H2276,$J$2:$J$5001,J2276)&gt;1,"Possible Duplicate Booking","Unique")</f>
        <v>Unique</v>
      </c>
      <c r="W2276" s="7" t="str">
        <f aca="false">IF((H2276-G2276)&lt;&gt;K2276,"Mismatch","OK")</f>
        <v>OK</v>
      </c>
      <c r="X2276" s="7" t="str">
        <f aca="false">IF(TEXT(H2276,"dddd")&lt;&gt;I2276,"Mismatch","OK")</f>
        <v>OK</v>
      </c>
      <c r="Y2276" s="7" t="str">
        <f aca="false">IF(AND(N2276="No",O2276&lt;&gt;""),"Unexpected: channel present but no reminder sent",IF(AND(N2276="Yes",O2276=""),"Missing channel for sent reminder","OK"))</f>
        <v>OK</v>
      </c>
    </row>
    <row r="2277" customFormat="false" ht="15" hidden="false" customHeight="false" outlineLevel="0" collapsed="false">
      <c r="A2277" s="9" t="s">
        <v>3637</v>
      </c>
      <c r="B2277" s="9" t="s">
        <v>3638</v>
      </c>
      <c r="C2277" s="9" t="s">
        <v>37</v>
      </c>
      <c r="D2277" s="9" t="n">
        <v>30</v>
      </c>
      <c r="E2277" s="9" t="s">
        <v>48</v>
      </c>
      <c r="F2277" s="9" t="s">
        <v>57</v>
      </c>
      <c r="G2277" s="10" t="n">
        <v>45876</v>
      </c>
      <c r="H2277" s="10" t="n">
        <v>45889</v>
      </c>
      <c r="I2277" s="9" t="s">
        <v>58</v>
      </c>
      <c r="J2277" s="9" t="s">
        <v>51</v>
      </c>
      <c r="K2277" s="9" t="n">
        <v>13</v>
      </c>
      <c r="L2277" s="9" t="n">
        <v>1</v>
      </c>
      <c r="M2277" s="9" t="n">
        <v>0</v>
      </c>
      <c r="N2277" s="9" t="s">
        <v>42</v>
      </c>
      <c r="O2277" s="9" t="s">
        <v>52</v>
      </c>
      <c r="P2277" s="9" t="n">
        <v>14.5</v>
      </c>
      <c r="Q2277" s="9" t="n">
        <v>28</v>
      </c>
      <c r="R2277" s="9" t="s">
        <v>53</v>
      </c>
      <c r="S2277" s="9"/>
      <c r="T2277" s="9"/>
      <c r="U2277" s="9" t="str">
        <f aca="false">IF(COUNTIF($A$2:$A$5001,A2277)&gt;1,"Duplicate","Unique")</f>
        <v>Unique</v>
      </c>
      <c r="V2277" s="9" t="str">
        <f aca="false">IF(COUNTIFS($B$2:$B$5001,B2277,$H$2:$H$5001,H2277,$J$2:$J$5001,J2277)&gt;1,"Possible Duplicate Booking","Unique")</f>
        <v>Unique</v>
      </c>
      <c r="W2277" s="9" t="str">
        <f aca="false">IF((H2277-G2277)&lt;&gt;K2277,"Mismatch","OK")</f>
        <v>OK</v>
      </c>
      <c r="X2277" s="9" t="str">
        <f aca="false">IF(TEXT(H2277,"dddd")&lt;&gt;I2277,"Mismatch","OK")</f>
        <v>OK</v>
      </c>
      <c r="Y2277" s="9" t="str">
        <f aca="false">IF(AND(N2277="No",O2277&lt;&gt;""),"Unexpected: channel present but no reminder sent",IF(AND(N2277="Yes",O2277=""),"Missing channel for sent reminder","OK"))</f>
        <v>OK</v>
      </c>
    </row>
    <row r="2278" customFormat="false" ht="15" hidden="false" customHeight="false" outlineLevel="0" collapsed="false">
      <c r="A2278" s="7" t="s">
        <v>3639</v>
      </c>
      <c r="B2278" s="7" t="s">
        <v>936</v>
      </c>
      <c r="C2278" s="7" t="s">
        <v>37</v>
      </c>
      <c r="D2278" s="7" t="n">
        <v>72</v>
      </c>
      <c r="E2278" s="7" t="s">
        <v>70</v>
      </c>
      <c r="F2278" s="7" t="s">
        <v>57</v>
      </c>
      <c r="G2278" s="8" t="n">
        <v>45756</v>
      </c>
      <c r="H2278" s="8" t="n">
        <v>45772</v>
      </c>
      <c r="I2278" s="7" t="s">
        <v>50</v>
      </c>
      <c r="J2278" s="7" t="s">
        <v>41</v>
      </c>
      <c r="K2278" s="7" t="n">
        <v>16</v>
      </c>
      <c r="L2278" s="7" t="n">
        <v>5</v>
      </c>
      <c r="M2278" s="7" t="n">
        <v>2</v>
      </c>
      <c r="N2278" s="7" t="s">
        <v>42</v>
      </c>
      <c r="O2278" s="7" t="s">
        <v>52</v>
      </c>
      <c r="P2278" s="7" t="n">
        <v>8.4</v>
      </c>
      <c r="Q2278" s="7" t="n">
        <v>39</v>
      </c>
      <c r="R2278" s="7" t="s">
        <v>53</v>
      </c>
      <c r="S2278" s="7"/>
      <c r="T2278" s="7"/>
      <c r="U2278" s="7" t="str">
        <f aca="false">IF(COUNTIF($A$2:$A$5001,A2278)&gt;1,"Duplicate","Unique")</f>
        <v>Unique</v>
      </c>
      <c r="V2278" s="7" t="str">
        <f aca="false">IF(COUNTIFS($B$2:$B$5001,B2278,$H$2:$H$5001,H2278,$J$2:$J$5001,J2278)&gt;1,"Possible Duplicate Booking","Unique")</f>
        <v>Unique</v>
      </c>
      <c r="W2278" s="7" t="str">
        <f aca="false">IF((H2278-G2278)&lt;&gt;K2278,"Mismatch","OK")</f>
        <v>OK</v>
      </c>
      <c r="X2278" s="7" t="str">
        <f aca="false">IF(TEXT(H2278,"dddd")&lt;&gt;I2278,"Mismatch","OK")</f>
        <v>OK</v>
      </c>
      <c r="Y2278" s="7" t="str">
        <f aca="false">IF(AND(N2278="No",O2278&lt;&gt;""),"Unexpected: channel present but no reminder sent",IF(AND(N2278="Yes",O2278=""),"Missing channel for sent reminder","OK"))</f>
        <v>OK</v>
      </c>
    </row>
    <row r="2279" customFormat="false" ht="15" hidden="false" customHeight="false" outlineLevel="0" collapsed="false">
      <c r="A2279" s="9" t="s">
        <v>3640</v>
      </c>
      <c r="B2279" s="9" t="s">
        <v>1379</v>
      </c>
      <c r="C2279" s="9" t="s">
        <v>37</v>
      </c>
      <c r="D2279" s="9" t="n">
        <v>29</v>
      </c>
      <c r="E2279" s="9" t="s">
        <v>48</v>
      </c>
      <c r="F2279" s="9" t="s">
        <v>39</v>
      </c>
      <c r="G2279" s="10" t="n">
        <v>45637</v>
      </c>
      <c r="H2279" s="10" t="n">
        <v>45686</v>
      </c>
      <c r="I2279" s="9" t="s">
        <v>58</v>
      </c>
      <c r="J2279" s="9" t="s">
        <v>51</v>
      </c>
      <c r="K2279" s="9" t="n">
        <v>49</v>
      </c>
      <c r="L2279" s="9" t="n">
        <v>2</v>
      </c>
      <c r="M2279" s="9" t="n">
        <v>0</v>
      </c>
      <c r="N2279" s="9" t="s">
        <v>71</v>
      </c>
      <c r="O2279" s="9"/>
      <c r="P2279" s="9" t="n">
        <v>12</v>
      </c>
      <c r="Q2279" s="9" t="n">
        <v>21</v>
      </c>
      <c r="R2279" s="9" t="s">
        <v>44</v>
      </c>
      <c r="S2279" s="9"/>
      <c r="T2279" s="9"/>
      <c r="U2279" s="9" t="str">
        <f aca="false">IF(COUNTIF($A$2:$A$5001,A2279)&gt;1,"Duplicate","Unique")</f>
        <v>Unique</v>
      </c>
      <c r="V2279" s="9" t="str">
        <f aca="false">IF(COUNTIFS($B$2:$B$5001,B2279,$H$2:$H$5001,H2279,$J$2:$J$5001,J2279)&gt;1,"Possible Duplicate Booking","Unique")</f>
        <v>Unique</v>
      </c>
      <c r="W2279" s="9" t="str">
        <f aca="false">IF((H2279-G2279)&lt;&gt;K2279,"Mismatch","OK")</f>
        <v>OK</v>
      </c>
      <c r="X2279" s="9" t="str">
        <f aca="false">IF(TEXT(H2279,"dddd")&lt;&gt;I2279,"Mismatch","OK")</f>
        <v>OK</v>
      </c>
      <c r="Y2279" s="9" t="str">
        <f aca="false">IF(AND(N2279="No",O2279&lt;&gt;""),"Unexpected: channel present but no reminder sent",IF(AND(N2279="Yes",O2279=""),"Missing channel for sent reminder","OK"))</f>
        <v>OK</v>
      </c>
    </row>
    <row r="2280" customFormat="false" ht="15" hidden="false" customHeight="false" outlineLevel="0" collapsed="false">
      <c r="A2280" s="7" t="s">
        <v>3641</v>
      </c>
      <c r="B2280" s="7" t="s">
        <v>1747</v>
      </c>
      <c r="C2280" s="7" t="s">
        <v>37</v>
      </c>
      <c r="D2280" s="7" t="n">
        <v>28</v>
      </c>
      <c r="E2280" s="7" t="s">
        <v>48</v>
      </c>
      <c r="F2280" s="7" t="s">
        <v>39</v>
      </c>
      <c r="G2280" s="8" t="n">
        <v>45829</v>
      </c>
      <c r="H2280" s="8" t="n">
        <v>45859</v>
      </c>
      <c r="I2280" s="7" t="s">
        <v>66</v>
      </c>
      <c r="J2280" s="7" t="s">
        <v>63</v>
      </c>
      <c r="K2280" s="7" t="n">
        <v>30</v>
      </c>
      <c r="L2280" s="7" t="n">
        <v>1</v>
      </c>
      <c r="M2280" s="7" t="n">
        <v>0</v>
      </c>
      <c r="N2280" s="7" t="s">
        <v>71</v>
      </c>
      <c r="O2280" s="7"/>
      <c r="P2280" s="7" t="n">
        <v>10</v>
      </c>
      <c r="Q2280" s="7" t="n">
        <v>21</v>
      </c>
      <c r="R2280" s="7" t="s">
        <v>53</v>
      </c>
      <c r="S2280" s="7"/>
      <c r="T2280" s="7"/>
      <c r="U2280" s="7" t="str">
        <f aca="false">IF(COUNTIF($A$2:$A$5001,A2280)&gt;1,"Duplicate","Unique")</f>
        <v>Unique</v>
      </c>
      <c r="V2280" s="7" t="str">
        <f aca="false">IF(COUNTIFS($B$2:$B$5001,B2280,$H$2:$H$5001,H2280,$J$2:$J$5001,J2280)&gt;1,"Possible Duplicate Booking","Unique")</f>
        <v>Unique</v>
      </c>
      <c r="W2280" s="7" t="str">
        <f aca="false">IF((H2280-G2280)&lt;&gt;K2280,"Mismatch","OK")</f>
        <v>OK</v>
      </c>
      <c r="X2280" s="7" t="str">
        <f aca="false">IF(TEXT(H2280,"dddd")&lt;&gt;I2280,"Mismatch","OK")</f>
        <v>OK</v>
      </c>
      <c r="Y2280" s="7" t="str">
        <f aca="false">IF(AND(N2280="No",O2280&lt;&gt;""),"Unexpected: channel present but no reminder sent",IF(AND(N2280="Yes",O2280=""),"Missing channel for sent reminder","OK"))</f>
        <v>OK</v>
      </c>
    </row>
    <row r="2281" customFormat="false" ht="15" hidden="false" customHeight="false" outlineLevel="0" collapsed="false">
      <c r="A2281" s="9" t="s">
        <v>3642</v>
      </c>
      <c r="B2281" s="9" t="s">
        <v>3643</v>
      </c>
      <c r="C2281" s="9" t="s">
        <v>37</v>
      </c>
      <c r="D2281" s="9" t="n">
        <v>46</v>
      </c>
      <c r="E2281" s="9" t="s">
        <v>56</v>
      </c>
      <c r="F2281" s="9" t="s">
        <v>49</v>
      </c>
      <c r="G2281" s="10" t="n">
        <v>45993</v>
      </c>
      <c r="H2281" s="10" t="n">
        <v>46025</v>
      </c>
      <c r="I2281" s="9" t="s">
        <v>102</v>
      </c>
      <c r="J2281" s="9" t="s">
        <v>51</v>
      </c>
      <c r="K2281" s="9" t="n">
        <v>32</v>
      </c>
      <c r="L2281" s="9" t="n">
        <v>2</v>
      </c>
      <c r="M2281" s="9" t="n">
        <v>1</v>
      </c>
      <c r="N2281" s="9" t="s">
        <v>42</v>
      </c>
      <c r="O2281" s="9" t="s">
        <v>67</v>
      </c>
      <c r="P2281" s="9"/>
      <c r="Q2281" s="9" t="n">
        <v>26</v>
      </c>
      <c r="R2281" s="9" t="s">
        <v>44</v>
      </c>
      <c r="S2281" s="9"/>
      <c r="T2281" s="9"/>
      <c r="U2281" s="9" t="str">
        <f aca="false">IF(COUNTIF($A$2:$A$5001,A2281)&gt;1,"Duplicate","Unique")</f>
        <v>Unique</v>
      </c>
      <c r="V2281" s="9" t="str">
        <f aca="false">IF(COUNTIFS($B$2:$B$5001,B2281,$H$2:$H$5001,H2281,$J$2:$J$5001,J2281)&gt;1,"Possible Duplicate Booking","Unique")</f>
        <v>Unique</v>
      </c>
      <c r="W2281" s="9" t="str">
        <f aca="false">IF((H2281-G2281)&lt;&gt;K2281,"Mismatch","OK")</f>
        <v>OK</v>
      </c>
      <c r="X2281" s="9" t="str">
        <f aca="false">IF(TEXT(H2281,"dddd")&lt;&gt;I2281,"Mismatch","OK")</f>
        <v>OK</v>
      </c>
      <c r="Y2281" s="9" t="str">
        <f aca="false">IF(AND(N2281="No",O2281&lt;&gt;""),"Unexpected: channel present but no reminder sent",IF(AND(N2281="Yes",O2281=""),"Missing channel for sent reminder","OK"))</f>
        <v>OK</v>
      </c>
    </row>
    <row r="2282" customFormat="false" ht="15" hidden="false" customHeight="false" outlineLevel="0" collapsed="false">
      <c r="A2282" s="7" t="s">
        <v>3644</v>
      </c>
      <c r="B2282" s="7" t="s">
        <v>2613</v>
      </c>
      <c r="C2282" s="7" t="s">
        <v>47</v>
      </c>
      <c r="D2282" s="7" t="n">
        <v>61</v>
      </c>
      <c r="E2282" s="7" t="s">
        <v>61</v>
      </c>
      <c r="F2282" s="7" t="s">
        <v>57</v>
      </c>
      <c r="G2282" s="8" t="n">
        <v>46035</v>
      </c>
      <c r="H2282" s="8" t="n">
        <v>46074</v>
      </c>
      <c r="I2282" s="7" t="s">
        <v>102</v>
      </c>
      <c r="J2282" s="7" t="s">
        <v>41</v>
      </c>
      <c r="K2282" s="7" t="n">
        <v>39</v>
      </c>
      <c r="L2282" s="7" t="n">
        <v>3</v>
      </c>
      <c r="M2282" s="7" t="n">
        <v>0</v>
      </c>
      <c r="N2282" s="7" t="s">
        <v>42</v>
      </c>
      <c r="O2282" s="7" t="s">
        <v>52</v>
      </c>
      <c r="P2282" s="7" t="n">
        <v>1.6</v>
      </c>
      <c r="Q2282" s="7" t="n">
        <v>24</v>
      </c>
      <c r="R2282" s="7" t="s">
        <v>44</v>
      </c>
      <c r="S2282" s="7"/>
      <c r="T2282" s="7"/>
      <c r="U2282" s="7" t="str">
        <f aca="false">IF(COUNTIF($A$2:$A$5001,A2282)&gt;1,"Duplicate","Unique")</f>
        <v>Unique</v>
      </c>
      <c r="V2282" s="7" t="str">
        <f aca="false">IF(COUNTIFS($B$2:$B$5001,B2282,$H$2:$H$5001,H2282,$J$2:$J$5001,J2282)&gt;1,"Possible Duplicate Booking","Unique")</f>
        <v>Unique</v>
      </c>
      <c r="W2282" s="7" t="str">
        <f aca="false">IF((H2282-G2282)&lt;&gt;K2282,"Mismatch","OK")</f>
        <v>OK</v>
      </c>
      <c r="X2282" s="7" t="str">
        <f aca="false">IF(TEXT(H2282,"dddd")&lt;&gt;I2282,"Mismatch","OK")</f>
        <v>OK</v>
      </c>
      <c r="Y2282" s="7" t="str">
        <f aca="false">IF(AND(N2282="No",O2282&lt;&gt;""),"Unexpected: channel present but no reminder sent",IF(AND(N2282="Yes",O2282=""),"Missing channel for sent reminder","OK"))</f>
        <v>OK</v>
      </c>
    </row>
    <row r="2283" customFormat="false" ht="15" hidden="false" customHeight="false" outlineLevel="0" collapsed="false">
      <c r="A2283" s="9" t="s">
        <v>3645</v>
      </c>
      <c r="B2283" s="9" t="s">
        <v>1561</v>
      </c>
      <c r="C2283" s="9" t="s">
        <v>47</v>
      </c>
      <c r="D2283" s="9" t="n">
        <v>29</v>
      </c>
      <c r="E2283" s="9" t="s">
        <v>48</v>
      </c>
      <c r="F2283" s="9" t="s">
        <v>39</v>
      </c>
      <c r="G2283" s="10" t="n">
        <v>45834</v>
      </c>
      <c r="H2283" s="10" t="n">
        <v>45850</v>
      </c>
      <c r="I2283" s="9" t="s">
        <v>102</v>
      </c>
      <c r="J2283" s="9" t="s">
        <v>41</v>
      </c>
      <c r="K2283" s="9" t="n">
        <v>16</v>
      </c>
      <c r="L2283" s="9" t="n">
        <v>2</v>
      </c>
      <c r="M2283" s="9" t="n">
        <v>1</v>
      </c>
      <c r="N2283" s="9" t="s">
        <v>71</v>
      </c>
      <c r="O2283" s="9"/>
      <c r="P2283" s="9" t="n">
        <v>11.8</v>
      </c>
      <c r="Q2283" s="9" t="n">
        <v>44</v>
      </c>
      <c r="R2283" s="9" t="s">
        <v>53</v>
      </c>
      <c r="S2283" s="9"/>
      <c r="T2283" s="9"/>
      <c r="U2283" s="9" t="str">
        <f aca="false">IF(COUNTIF($A$2:$A$5001,A2283)&gt;1,"Duplicate","Unique")</f>
        <v>Unique</v>
      </c>
      <c r="V2283" s="9" t="str">
        <f aca="false">IF(COUNTIFS($B$2:$B$5001,B2283,$H$2:$H$5001,H2283,$J$2:$J$5001,J2283)&gt;1,"Possible Duplicate Booking","Unique")</f>
        <v>Unique</v>
      </c>
      <c r="W2283" s="9" t="str">
        <f aca="false">IF((H2283-G2283)&lt;&gt;K2283,"Mismatch","OK")</f>
        <v>OK</v>
      </c>
      <c r="X2283" s="9" t="str">
        <f aca="false">IF(TEXT(H2283,"dddd")&lt;&gt;I2283,"Mismatch","OK")</f>
        <v>OK</v>
      </c>
      <c r="Y2283" s="9" t="str">
        <f aca="false">IF(AND(N2283="No",O2283&lt;&gt;""),"Unexpected: channel present but no reminder sent",IF(AND(N2283="Yes",O2283=""),"Missing channel for sent reminder","OK"))</f>
        <v>OK</v>
      </c>
    </row>
    <row r="2284" customFormat="false" ht="15" hidden="false" customHeight="false" outlineLevel="0" collapsed="false">
      <c r="A2284" s="7" t="s">
        <v>3646</v>
      </c>
      <c r="B2284" s="7" t="s">
        <v>3647</v>
      </c>
      <c r="C2284" s="7" t="s">
        <v>37</v>
      </c>
      <c r="D2284" s="7" t="n">
        <v>65</v>
      </c>
      <c r="E2284" s="7" t="s">
        <v>70</v>
      </c>
      <c r="F2284" s="7" t="s">
        <v>39</v>
      </c>
      <c r="G2284" s="8" t="n">
        <v>45791</v>
      </c>
      <c r="H2284" s="8" t="n">
        <v>45834</v>
      </c>
      <c r="I2284" s="7" t="s">
        <v>62</v>
      </c>
      <c r="J2284" s="7" t="s">
        <v>41</v>
      </c>
      <c r="K2284" s="7" t="n">
        <v>43</v>
      </c>
      <c r="L2284" s="7" t="n">
        <v>4</v>
      </c>
      <c r="M2284" s="7" t="n">
        <v>2</v>
      </c>
      <c r="N2284" s="7" t="s">
        <v>42</v>
      </c>
      <c r="O2284" s="7" t="s">
        <v>67</v>
      </c>
      <c r="P2284" s="7" t="n">
        <v>10.4</v>
      </c>
      <c r="Q2284" s="7" t="n">
        <v>30</v>
      </c>
      <c r="R2284" s="7" t="s">
        <v>53</v>
      </c>
      <c r="S2284" s="7"/>
      <c r="T2284" s="7"/>
      <c r="U2284" s="7" t="str">
        <f aca="false">IF(COUNTIF($A$2:$A$5001,A2284)&gt;1,"Duplicate","Unique")</f>
        <v>Unique</v>
      </c>
      <c r="V2284" s="7" t="str">
        <f aca="false">IF(COUNTIFS($B$2:$B$5001,B2284,$H$2:$H$5001,H2284,$J$2:$J$5001,J2284)&gt;1,"Possible Duplicate Booking","Unique")</f>
        <v>Unique</v>
      </c>
      <c r="W2284" s="7" t="str">
        <f aca="false">IF((H2284-G2284)&lt;&gt;K2284,"Mismatch","OK")</f>
        <v>OK</v>
      </c>
      <c r="X2284" s="7" t="str">
        <f aca="false">IF(TEXT(H2284,"dddd")&lt;&gt;I2284,"Mismatch","OK")</f>
        <v>OK</v>
      </c>
      <c r="Y2284" s="7" t="str">
        <f aca="false">IF(AND(N2284="No",O2284&lt;&gt;""),"Unexpected: channel present but no reminder sent",IF(AND(N2284="Yes",O2284=""),"Missing channel for sent reminder","OK"))</f>
        <v>OK</v>
      </c>
    </row>
    <row r="2285" customFormat="false" ht="15" hidden="false" customHeight="false" outlineLevel="0" collapsed="false">
      <c r="A2285" s="9" t="s">
        <v>3648</v>
      </c>
      <c r="B2285" s="9" t="s">
        <v>1765</v>
      </c>
      <c r="C2285" s="9" t="s">
        <v>37</v>
      </c>
      <c r="D2285" s="9" t="n">
        <v>27</v>
      </c>
      <c r="E2285" s="9" t="s">
        <v>48</v>
      </c>
      <c r="F2285" s="9" t="s">
        <v>57</v>
      </c>
      <c r="G2285" s="10" t="n">
        <v>46086</v>
      </c>
      <c r="H2285" s="10" t="n">
        <v>46087</v>
      </c>
      <c r="I2285" s="9" t="s">
        <v>50</v>
      </c>
      <c r="J2285" s="9" t="s">
        <v>41</v>
      </c>
      <c r="K2285" s="9" t="n">
        <v>1</v>
      </c>
      <c r="L2285" s="9" t="n">
        <v>4</v>
      </c>
      <c r="M2285" s="9" t="n">
        <v>1</v>
      </c>
      <c r="N2285" s="9" t="s">
        <v>42</v>
      </c>
      <c r="O2285" s="9" t="s">
        <v>67</v>
      </c>
      <c r="P2285" s="9" t="n">
        <v>9.1</v>
      </c>
      <c r="Q2285" s="9" t="n">
        <v>16</v>
      </c>
      <c r="R2285" s="9" t="s">
        <v>53</v>
      </c>
      <c r="S2285" s="9"/>
      <c r="T2285" s="9"/>
      <c r="U2285" s="9" t="str">
        <f aca="false">IF(COUNTIF($A$2:$A$5001,A2285)&gt;1,"Duplicate","Unique")</f>
        <v>Unique</v>
      </c>
      <c r="V2285" s="9" t="str">
        <f aca="false">IF(COUNTIFS($B$2:$B$5001,B2285,$H$2:$H$5001,H2285,$J$2:$J$5001,J2285)&gt;1,"Possible Duplicate Booking","Unique")</f>
        <v>Unique</v>
      </c>
      <c r="W2285" s="9" t="str">
        <f aca="false">IF((H2285-G2285)&lt;&gt;K2285,"Mismatch","OK")</f>
        <v>OK</v>
      </c>
      <c r="X2285" s="9" t="str">
        <f aca="false">IF(TEXT(H2285,"dddd")&lt;&gt;I2285,"Mismatch","OK")</f>
        <v>OK</v>
      </c>
      <c r="Y2285" s="9" t="str">
        <f aca="false">IF(AND(N2285="No",O2285&lt;&gt;""),"Unexpected: channel present but no reminder sent",IF(AND(N2285="Yes",O2285=""),"Missing channel for sent reminder","OK"))</f>
        <v>OK</v>
      </c>
    </row>
    <row r="2286" customFormat="false" ht="15" hidden="false" customHeight="false" outlineLevel="0" collapsed="false">
      <c r="A2286" s="7" t="s">
        <v>3649</v>
      </c>
      <c r="B2286" s="7" t="s">
        <v>3650</v>
      </c>
      <c r="C2286" s="7" t="s">
        <v>37</v>
      </c>
      <c r="D2286" s="7" t="n">
        <v>67</v>
      </c>
      <c r="E2286" s="7" t="s">
        <v>70</v>
      </c>
      <c r="F2286" s="7" t="s">
        <v>39</v>
      </c>
      <c r="G2286" s="8" t="n">
        <v>46023</v>
      </c>
      <c r="H2286" s="8" t="n">
        <v>46029</v>
      </c>
      <c r="I2286" s="7" t="s">
        <v>58</v>
      </c>
      <c r="J2286" s="7" t="s">
        <v>51</v>
      </c>
      <c r="K2286" s="7" t="n">
        <v>6</v>
      </c>
      <c r="L2286" s="7" t="n">
        <v>1</v>
      </c>
      <c r="M2286" s="7" t="n">
        <v>0</v>
      </c>
      <c r="N2286" s="7" t="s">
        <v>71</v>
      </c>
      <c r="O2286" s="7"/>
      <c r="P2286" s="7" t="n">
        <v>18</v>
      </c>
      <c r="Q2286" s="7" t="n">
        <v>8</v>
      </c>
      <c r="R2286" s="7" t="s">
        <v>53</v>
      </c>
      <c r="S2286" s="7"/>
      <c r="T2286" s="7"/>
      <c r="U2286" s="7" t="str">
        <f aca="false">IF(COUNTIF($A$2:$A$5001,A2286)&gt;1,"Duplicate","Unique")</f>
        <v>Unique</v>
      </c>
      <c r="V2286" s="7" t="str">
        <f aca="false">IF(COUNTIFS($B$2:$B$5001,B2286,$H$2:$H$5001,H2286,$J$2:$J$5001,J2286)&gt;1,"Possible Duplicate Booking","Unique")</f>
        <v>Unique</v>
      </c>
      <c r="W2286" s="7" t="str">
        <f aca="false">IF((H2286-G2286)&lt;&gt;K2286,"Mismatch","OK")</f>
        <v>OK</v>
      </c>
      <c r="X2286" s="7" t="str">
        <f aca="false">IF(TEXT(H2286,"dddd")&lt;&gt;I2286,"Mismatch","OK")</f>
        <v>OK</v>
      </c>
      <c r="Y2286" s="7" t="str">
        <f aca="false">IF(AND(N2286="No",O2286&lt;&gt;""),"Unexpected: channel present but no reminder sent",IF(AND(N2286="Yes",O2286=""),"Missing channel for sent reminder","OK"))</f>
        <v>OK</v>
      </c>
    </row>
    <row r="2287" customFormat="false" ht="15" hidden="false" customHeight="false" outlineLevel="0" collapsed="false">
      <c r="A2287" s="9" t="s">
        <v>3651</v>
      </c>
      <c r="B2287" s="9" t="s">
        <v>3652</v>
      </c>
      <c r="C2287" s="9" t="s">
        <v>37</v>
      </c>
      <c r="D2287" s="9" t="n">
        <v>24</v>
      </c>
      <c r="E2287" s="9" t="s">
        <v>82</v>
      </c>
      <c r="F2287" s="9" t="s">
        <v>39</v>
      </c>
      <c r="G2287" s="10" t="n">
        <v>46063</v>
      </c>
      <c r="H2287" s="10" t="n">
        <v>46112</v>
      </c>
      <c r="I2287" s="9" t="s">
        <v>40</v>
      </c>
      <c r="J2287" s="9" t="s">
        <v>51</v>
      </c>
      <c r="K2287" s="9" t="n">
        <v>49</v>
      </c>
      <c r="L2287" s="9" t="n">
        <v>0</v>
      </c>
      <c r="M2287" s="9" t="n">
        <v>0</v>
      </c>
      <c r="N2287" s="9" t="s">
        <v>42</v>
      </c>
      <c r="O2287" s="9" t="s">
        <v>52</v>
      </c>
      <c r="P2287" s="9" t="n">
        <v>3.8</v>
      </c>
      <c r="Q2287" s="9" t="n">
        <v>41</v>
      </c>
      <c r="R2287" s="9" t="s">
        <v>44</v>
      </c>
      <c r="S2287" s="9"/>
      <c r="T2287" s="9"/>
      <c r="U2287" s="9" t="str">
        <f aca="false">IF(COUNTIF($A$2:$A$5001,A2287)&gt;1,"Duplicate","Unique")</f>
        <v>Unique</v>
      </c>
      <c r="V2287" s="9" t="str">
        <f aca="false">IF(COUNTIFS($B$2:$B$5001,B2287,$H$2:$H$5001,H2287,$J$2:$J$5001,J2287)&gt;1,"Possible Duplicate Booking","Unique")</f>
        <v>Unique</v>
      </c>
      <c r="W2287" s="9" t="str">
        <f aca="false">IF((H2287-G2287)&lt;&gt;K2287,"Mismatch","OK")</f>
        <v>OK</v>
      </c>
      <c r="X2287" s="9" t="str">
        <f aca="false">IF(TEXT(H2287,"dddd")&lt;&gt;I2287,"Mismatch","OK")</f>
        <v>OK</v>
      </c>
      <c r="Y2287" s="9" t="str">
        <f aca="false">IF(AND(N2287="No",O2287&lt;&gt;""),"Unexpected: channel present but no reminder sent",IF(AND(N2287="Yes",O2287=""),"Missing channel for sent reminder","OK"))</f>
        <v>OK</v>
      </c>
    </row>
    <row r="2288" customFormat="false" ht="15" hidden="false" customHeight="false" outlineLevel="0" collapsed="false">
      <c r="A2288" s="7" t="s">
        <v>3653</v>
      </c>
      <c r="B2288" s="7" t="s">
        <v>1297</v>
      </c>
      <c r="C2288" s="7" t="s">
        <v>37</v>
      </c>
      <c r="D2288" s="7" t="n">
        <v>47</v>
      </c>
      <c r="E2288" s="7" t="s">
        <v>56</v>
      </c>
      <c r="F2288" s="7" t="s">
        <v>57</v>
      </c>
      <c r="G2288" s="8" t="n">
        <v>46112</v>
      </c>
      <c r="H2288" s="8" t="n">
        <v>46152</v>
      </c>
      <c r="I2288" s="7" t="s">
        <v>75</v>
      </c>
      <c r="J2288" s="7" t="s">
        <v>41</v>
      </c>
      <c r="K2288" s="7" t="n">
        <v>40</v>
      </c>
      <c r="L2288" s="7" t="n">
        <v>1</v>
      </c>
      <c r="M2288" s="7" t="n">
        <v>0</v>
      </c>
      <c r="N2288" s="7" t="s">
        <v>42</v>
      </c>
      <c r="O2288" s="7" t="s">
        <v>52</v>
      </c>
      <c r="P2288" s="7" t="n">
        <v>13.7</v>
      </c>
      <c r="Q2288" s="7" t="n">
        <v>20</v>
      </c>
      <c r="R2288" s="7" t="s">
        <v>44</v>
      </c>
      <c r="S2288" s="7"/>
      <c r="T2288" s="7"/>
      <c r="U2288" s="7" t="str">
        <f aca="false">IF(COUNTIF($A$2:$A$5001,A2288)&gt;1,"Duplicate","Unique")</f>
        <v>Unique</v>
      </c>
      <c r="V2288" s="7" t="str">
        <f aca="false">IF(COUNTIFS($B$2:$B$5001,B2288,$H$2:$H$5001,H2288,$J$2:$J$5001,J2288)&gt;1,"Possible Duplicate Booking","Unique")</f>
        <v>Unique</v>
      </c>
      <c r="W2288" s="7" t="str">
        <f aca="false">IF((H2288-G2288)&lt;&gt;K2288,"Mismatch","OK")</f>
        <v>OK</v>
      </c>
      <c r="X2288" s="7" t="str">
        <f aca="false">IF(TEXT(H2288,"dddd")&lt;&gt;I2288,"Mismatch","OK")</f>
        <v>OK</v>
      </c>
      <c r="Y2288" s="7" t="str">
        <f aca="false">IF(AND(N2288="No",O2288&lt;&gt;""),"Unexpected: channel present but no reminder sent",IF(AND(N2288="Yes",O2288=""),"Missing channel for sent reminder","OK"))</f>
        <v>OK</v>
      </c>
    </row>
    <row r="2289" customFormat="false" ht="15" hidden="false" customHeight="false" outlineLevel="0" collapsed="false">
      <c r="A2289" s="9" t="s">
        <v>3654</v>
      </c>
      <c r="B2289" s="9" t="s">
        <v>1512</v>
      </c>
      <c r="C2289" s="9" t="s">
        <v>47</v>
      </c>
      <c r="D2289" s="9" t="n">
        <v>58</v>
      </c>
      <c r="E2289" s="9" t="s">
        <v>61</v>
      </c>
      <c r="F2289" s="9" t="s">
        <v>57</v>
      </c>
      <c r="G2289" s="10" t="n">
        <v>46096</v>
      </c>
      <c r="H2289" s="10" t="n">
        <v>46106</v>
      </c>
      <c r="I2289" s="9" t="s">
        <v>58</v>
      </c>
      <c r="J2289" s="9" t="s">
        <v>63</v>
      </c>
      <c r="K2289" s="9" t="n">
        <v>10</v>
      </c>
      <c r="L2289" s="9" t="n">
        <v>1</v>
      </c>
      <c r="M2289" s="9" t="n">
        <v>0</v>
      </c>
      <c r="N2289" s="9" t="s">
        <v>42</v>
      </c>
      <c r="O2289" s="9" t="s">
        <v>67</v>
      </c>
      <c r="P2289" s="9" t="n">
        <v>5</v>
      </c>
      <c r="Q2289" s="9" t="n">
        <v>28</v>
      </c>
      <c r="R2289" s="9" t="s">
        <v>53</v>
      </c>
      <c r="S2289" s="9"/>
      <c r="T2289" s="9"/>
      <c r="U2289" s="9" t="str">
        <f aca="false">IF(COUNTIF($A$2:$A$5001,A2289)&gt;1,"Duplicate","Unique")</f>
        <v>Unique</v>
      </c>
      <c r="V2289" s="9" t="str">
        <f aca="false">IF(COUNTIFS($B$2:$B$5001,B2289,$H$2:$H$5001,H2289,$J$2:$J$5001,J2289)&gt;1,"Possible Duplicate Booking","Unique")</f>
        <v>Unique</v>
      </c>
      <c r="W2289" s="9" t="str">
        <f aca="false">IF((H2289-G2289)&lt;&gt;K2289,"Mismatch","OK")</f>
        <v>OK</v>
      </c>
      <c r="X2289" s="9" t="str">
        <f aca="false">IF(TEXT(H2289,"dddd")&lt;&gt;I2289,"Mismatch","OK")</f>
        <v>OK</v>
      </c>
      <c r="Y2289" s="9" t="str">
        <f aca="false">IF(AND(N2289="No",O2289&lt;&gt;""),"Unexpected: channel present but no reminder sent",IF(AND(N2289="Yes",O2289=""),"Missing channel for sent reminder","OK"))</f>
        <v>OK</v>
      </c>
    </row>
    <row r="2290" customFormat="false" ht="15" hidden="false" customHeight="false" outlineLevel="0" collapsed="false">
      <c r="A2290" s="7" t="s">
        <v>3655</v>
      </c>
      <c r="B2290" s="7" t="s">
        <v>1280</v>
      </c>
      <c r="C2290" s="7" t="s">
        <v>47</v>
      </c>
      <c r="D2290" s="7" t="n">
        <v>34</v>
      </c>
      <c r="E2290" s="7" t="s">
        <v>48</v>
      </c>
      <c r="F2290" s="7" t="s">
        <v>57</v>
      </c>
      <c r="G2290" s="8" t="n">
        <v>46143</v>
      </c>
      <c r="H2290" s="8" t="n">
        <v>46169</v>
      </c>
      <c r="I2290" s="7" t="s">
        <v>58</v>
      </c>
      <c r="J2290" s="7" t="s">
        <v>41</v>
      </c>
      <c r="K2290" s="7" t="n">
        <v>26</v>
      </c>
      <c r="L2290" s="7" t="n">
        <v>1</v>
      </c>
      <c r="M2290" s="7" t="n">
        <v>0</v>
      </c>
      <c r="N2290" s="7" t="s">
        <v>42</v>
      </c>
      <c r="O2290" s="7" t="s">
        <v>52</v>
      </c>
      <c r="P2290" s="7" t="n">
        <v>6.1</v>
      </c>
      <c r="Q2290" s="7" t="n">
        <v>24</v>
      </c>
      <c r="R2290" s="7" t="s">
        <v>53</v>
      </c>
      <c r="S2290" s="7"/>
      <c r="T2290" s="7"/>
      <c r="U2290" s="7" t="str">
        <f aca="false">IF(COUNTIF($A$2:$A$5001,A2290)&gt;1,"Duplicate","Unique")</f>
        <v>Unique</v>
      </c>
      <c r="V2290" s="7" t="str">
        <f aca="false">IF(COUNTIFS($B$2:$B$5001,B2290,$H$2:$H$5001,H2290,$J$2:$J$5001,J2290)&gt;1,"Possible Duplicate Booking","Unique")</f>
        <v>Unique</v>
      </c>
      <c r="W2290" s="7" t="str">
        <f aca="false">IF((H2290-G2290)&lt;&gt;K2290,"Mismatch","OK")</f>
        <v>OK</v>
      </c>
      <c r="X2290" s="7" t="str">
        <f aca="false">IF(TEXT(H2290,"dddd")&lt;&gt;I2290,"Mismatch","OK")</f>
        <v>OK</v>
      </c>
      <c r="Y2290" s="7" t="str">
        <f aca="false">IF(AND(N2290="No",O2290&lt;&gt;""),"Unexpected: channel present but no reminder sent",IF(AND(N2290="Yes",O2290=""),"Missing channel for sent reminder","OK"))</f>
        <v>OK</v>
      </c>
    </row>
    <row r="2291" customFormat="false" ht="15" hidden="false" customHeight="false" outlineLevel="0" collapsed="false">
      <c r="A2291" s="9" t="s">
        <v>3656</v>
      </c>
      <c r="B2291" s="9" t="s">
        <v>1561</v>
      </c>
      <c r="C2291" s="9" t="s">
        <v>37</v>
      </c>
      <c r="D2291" s="9" t="n">
        <v>56</v>
      </c>
      <c r="E2291" s="9" t="s">
        <v>61</v>
      </c>
      <c r="F2291" s="9" t="s">
        <v>74</v>
      </c>
      <c r="G2291" s="10" t="n">
        <v>45882</v>
      </c>
      <c r="H2291" s="10" t="n">
        <v>45885</v>
      </c>
      <c r="I2291" s="9" t="s">
        <v>102</v>
      </c>
      <c r="J2291" s="9" t="s">
        <v>41</v>
      </c>
      <c r="K2291" s="9" t="n">
        <v>3</v>
      </c>
      <c r="L2291" s="9" t="n">
        <v>2</v>
      </c>
      <c r="M2291" s="9" t="n">
        <v>0</v>
      </c>
      <c r="N2291" s="9" t="s">
        <v>42</v>
      </c>
      <c r="O2291" s="9" t="s">
        <v>52</v>
      </c>
      <c r="P2291" s="9" t="n">
        <v>5.4</v>
      </c>
      <c r="Q2291" s="9" t="n">
        <v>33</v>
      </c>
      <c r="R2291" s="9" t="s">
        <v>53</v>
      </c>
      <c r="S2291" s="9"/>
      <c r="T2291" s="9"/>
      <c r="U2291" s="9" t="str">
        <f aca="false">IF(COUNTIF($A$2:$A$5001,A2291)&gt;1,"Duplicate","Unique")</f>
        <v>Unique</v>
      </c>
      <c r="V2291" s="9" t="str">
        <f aca="false">IF(COUNTIFS($B$2:$B$5001,B2291,$H$2:$H$5001,H2291,$J$2:$J$5001,J2291)&gt;1,"Possible Duplicate Booking","Unique")</f>
        <v>Unique</v>
      </c>
      <c r="W2291" s="9" t="str">
        <f aca="false">IF((H2291-G2291)&lt;&gt;K2291,"Mismatch","OK")</f>
        <v>OK</v>
      </c>
      <c r="X2291" s="9" t="str">
        <f aca="false">IF(TEXT(H2291,"dddd")&lt;&gt;I2291,"Mismatch","OK")</f>
        <v>OK</v>
      </c>
      <c r="Y2291" s="9" t="str">
        <f aca="false">IF(AND(N2291="No",O2291&lt;&gt;""),"Unexpected: channel present but no reminder sent",IF(AND(N2291="Yes",O2291=""),"Missing channel for sent reminder","OK"))</f>
        <v>OK</v>
      </c>
    </row>
    <row r="2292" customFormat="false" ht="15" hidden="false" customHeight="false" outlineLevel="0" collapsed="false">
      <c r="A2292" s="7" t="s">
        <v>3657</v>
      </c>
      <c r="B2292" s="7" t="s">
        <v>1951</v>
      </c>
      <c r="C2292" s="7" t="s">
        <v>37</v>
      </c>
      <c r="D2292" s="7" t="n">
        <v>61</v>
      </c>
      <c r="E2292" s="7" t="s">
        <v>61</v>
      </c>
      <c r="F2292" s="7" t="s">
        <v>57</v>
      </c>
      <c r="G2292" s="8" t="n">
        <v>45833</v>
      </c>
      <c r="H2292" s="8" t="n">
        <v>45873</v>
      </c>
      <c r="I2292" s="7" t="s">
        <v>66</v>
      </c>
      <c r="J2292" s="7" t="s">
        <v>41</v>
      </c>
      <c r="K2292" s="7" t="n">
        <v>40</v>
      </c>
      <c r="L2292" s="7" t="n">
        <v>5</v>
      </c>
      <c r="M2292" s="7" t="n">
        <v>0</v>
      </c>
      <c r="N2292" s="7" t="s">
        <v>42</v>
      </c>
      <c r="O2292" s="7" t="s">
        <v>52</v>
      </c>
      <c r="P2292" s="7" t="n">
        <v>9</v>
      </c>
      <c r="Q2292" s="7" t="n">
        <v>18</v>
      </c>
      <c r="R2292" s="7" t="s">
        <v>44</v>
      </c>
      <c r="S2292" s="7"/>
      <c r="T2292" s="7"/>
      <c r="U2292" s="7" t="str">
        <f aca="false">IF(COUNTIF($A$2:$A$5001,A2292)&gt;1,"Duplicate","Unique")</f>
        <v>Unique</v>
      </c>
      <c r="V2292" s="7" t="str">
        <f aca="false">IF(COUNTIFS($B$2:$B$5001,B2292,$H$2:$H$5001,H2292,$J$2:$J$5001,J2292)&gt;1,"Possible Duplicate Booking","Unique")</f>
        <v>Unique</v>
      </c>
      <c r="W2292" s="7" t="str">
        <f aca="false">IF((H2292-G2292)&lt;&gt;K2292,"Mismatch","OK")</f>
        <v>OK</v>
      </c>
      <c r="X2292" s="7" t="str">
        <f aca="false">IF(TEXT(H2292,"dddd")&lt;&gt;I2292,"Mismatch","OK")</f>
        <v>OK</v>
      </c>
      <c r="Y2292" s="7" t="str">
        <f aca="false">IF(AND(N2292="No",O2292&lt;&gt;""),"Unexpected: channel present but no reminder sent",IF(AND(N2292="Yes",O2292=""),"Missing channel for sent reminder","OK"))</f>
        <v>OK</v>
      </c>
    </row>
    <row r="2293" customFormat="false" ht="15" hidden="false" customHeight="false" outlineLevel="0" collapsed="false">
      <c r="A2293" s="9" t="s">
        <v>3658</v>
      </c>
      <c r="B2293" s="9" t="s">
        <v>1844</v>
      </c>
      <c r="C2293" s="9" t="s">
        <v>47</v>
      </c>
      <c r="D2293" s="9" t="n">
        <v>58</v>
      </c>
      <c r="E2293" s="9" t="s">
        <v>61</v>
      </c>
      <c r="F2293" s="9" t="s">
        <v>57</v>
      </c>
      <c r="G2293" s="10" t="n">
        <v>45787</v>
      </c>
      <c r="H2293" s="10" t="n">
        <v>45833</v>
      </c>
      <c r="I2293" s="9" t="s">
        <v>58</v>
      </c>
      <c r="J2293" s="9" t="s">
        <v>41</v>
      </c>
      <c r="K2293" s="9" t="n">
        <v>46</v>
      </c>
      <c r="L2293" s="9" t="n">
        <v>2</v>
      </c>
      <c r="M2293" s="9" t="n">
        <v>1</v>
      </c>
      <c r="N2293" s="9" t="s">
        <v>71</v>
      </c>
      <c r="O2293" s="9"/>
      <c r="P2293" s="9" t="n">
        <v>13.9</v>
      </c>
      <c r="Q2293" s="9" t="n">
        <v>25</v>
      </c>
      <c r="R2293" s="9" t="s">
        <v>44</v>
      </c>
      <c r="S2293" s="9"/>
      <c r="T2293" s="9"/>
      <c r="U2293" s="9" t="str">
        <f aca="false">IF(COUNTIF($A$2:$A$5001,A2293)&gt;1,"Duplicate","Unique")</f>
        <v>Unique</v>
      </c>
      <c r="V2293" s="9" t="str">
        <f aca="false">IF(COUNTIFS($B$2:$B$5001,B2293,$H$2:$H$5001,H2293,$J$2:$J$5001,J2293)&gt;1,"Possible Duplicate Booking","Unique")</f>
        <v>Unique</v>
      </c>
      <c r="W2293" s="9" t="str">
        <f aca="false">IF((H2293-G2293)&lt;&gt;K2293,"Mismatch","OK")</f>
        <v>OK</v>
      </c>
      <c r="X2293" s="9" t="str">
        <f aca="false">IF(TEXT(H2293,"dddd")&lt;&gt;I2293,"Mismatch","OK")</f>
        <v>OK</v>
      </c>
      <c r="Y2293" s="9" t="str">
        <f aca="false">IF(AND(N2293="No",O2293&lt;&gt;""),"Unexpected: channel present but no reminder sent",IF(AND(N2293="Yes",O2293=""),"Missing channel for sent reminder","OK"))</f>
        <v>OK</v>
      </c>
    </row>
    <row r="2294" customFormat="false" ht="15" hidden="false" customHeight="false" outlineLevel="0" collapsed="false">
      <c r="A2294" s="7" t="s">
        <v>3659</v>
      </c>
      <c r="B2294" s="7" t="s">
        <v>2148</v>
      </c>
      <c r="C2294" s="7" t="s">
        <v>47</v>
      </c>
      <c r="D2294" s="7" t="n">
        <v>43</v>
      </c>
      <c r="E2294" s="7" t="s">
        <v>38</v>
      </c>
      <c r="F2294" s="7" t="s">
        <v>57</v>
      </c>
      <c r="G2294" s="8" t="n">
        <v>45770</v>
      </c>
      <c r="H2294" s="8" t="n">
        <v>45786</v>
      </c>
      <c r="I2294" s="7" t="s">
        <v>50</v>
      </c>
      <c r="J2294" s="7" t="s">
        <v>63</v>
      </c>
      <c r="K2294" s="7" t="n">
        <v>16</v>
      </c>
      <c r="L2294" s="7" t="n">
        <v>1</v>
      </c>
      <c r="M2294" s="7" t="n">
        <v>1</v>
      </c>
      <c r="N2294" s="7" t="s">
        <v>71</v>
      </c>
      <c r="O2294" s="7"/>
      <c r="P2294" s="7" t="n">
        <v>8.5</v>
      </c>
      <c r="Q2294" s="7" t="n">
        <v>18</v>
      </c>
      <c r="R2294" s="7" t="s">
        <v>53</v>
      </c>
      <c r="S2294" s="7"/>
      <c r="T2294" s="7"/>
      <c r="U2294" s="7" t="str">
        <f aca="false">IF(COUNTIF($A$2:$A$5001,A2294)&gt;1,"Duplicate","Unique")</f>
        <v>Unique</v>
      </c>
      <c r="V2294" s="7" t="str">
        <f aca="false">IF(COUNTIFS($B$2:$B$5001,B2294,$H$2:$H$5001,H2294,$J$2:$J$5001,J2294)&gt;1,"Possible Duplicate Booking","Unique")</f>
        <v>Unique</v>
      </c>
      <c r="W2294" s="7" t="str">
        <f aca="false">IF((H2294-G2294)&lt;&gt;K2294,"Mismatch","OK")</f>
        <v>OK</v>
      </c>
      <c r="X2294" s="7" t="str">
        <f aca="false">IF(TEXT(H2294,"dddd")&lt;&gt;I2294,"Mismatch","OK")</f>
        <v>OK</v>
      </c>
      <c r="Y2294" s="7" t="str">
        <f aca="false">IF(AND(N2294="No",O2294&lt;&gt;""),"Unexpected: channel present but no reminder sent",IF(AND(N2294="Yes",O2294=""),"Missing channel for sent reminder","OK"))</f>
        <v>OK</v>
      </c>
    </row>
    <row r="2295" customFormat="false" ht="15" hidden="false" customHeight="false" outlineLevel="0" collapsed="false">
      <c r="A2295" s="9" t="s">
        <v>3660</v>
      </c>
      <c r="B2295" s="9" t="s">
        <v>1165</v>
      </c>
      <c r="C2295" s="9" t="s">
        <v>37</v>
      </c>
      <c r="D2295" s="9" t="n">
        <v>66</v>
      </c>
      <c r="E2295" s="9" t="s">
        <v>70</v>
      </c>
      <c r="F2295" s="9" t="s">
        <v>57</v>
      </c>
      <c r="G2295" s="10" t="n">
        <v>46045</v>
      </c>
      <c r="H2295" s="10" t="n">
        <v>46066</v>
      </c>
      <c r="I2295" s="9" t="s">
        <v>50</v>
      </c>
      <c r="J2295" s="9" t="s">
        <v>41</v>
      </c>
      <c r="K2295" s="9" t="n">
        <v>21</v>
      </c>
      <c r="L2295" s="9" t="n">
        <v>4</v>
      </c>
      <c r="M2295" s="9" t="n">
        <v>0</v>
      </c>
      <c r="N2295" s="9" t="s">
        <v>42</v>
      </c>
      <c r="O2295" s="9" t="s">
        <v>52</v>
      </c>
      <c r="P2295" s="9" t="n">
        <v>15.3</v>
      </c>
      <c r="Q2295" s="9" t="n">
        <v>55</v>
      </c>
      <c r="R2295" s="9" t="s">
        <v>53</v>
      </c>
      <c r="S2295" s="9"/>
      <c r="T2295" s="9"/>
      <c r="U2295" s="9" t="str">
        <f aca="false">IF(COUNTIF($A$2:$A$5001,A2295)&gt;1,"Duplicate","Unique")</f>
        <v>Unique</v>
      </c>
      <c r="V2295" s="9" t="str">
        <f aca="false">IF(COUNTIFS($B$2:$B$5001,B2295,$H$2:$H$5001,H2295,$J$2:$J$5001,J2295)&gt;1,"Possible Duplicate Booking","Unique")</f>
        <v>Unique</v>
      </c>
      <c r="W2295" s="9" t="str">
        <f aca="false">IF((H2295-G2295)&lt;&gt;K2295,"Mismatch","OK")</f>
        <v>OK</v>
      </c>
      <c r="X2295" s="9" t="str">
        <f aca="false">IF(TEXT(H2295,"dddd")&lt;&gt;I2295,"Mismatch","OK")</f>
        <v>OK</v>
      </c>
      <c r="Y2295" s="9" t="str">
        <f aca="false">IF(AND(N2295="No",O2295&lt;&gt;""),"Unexpected: channel present but no reminder sent",IF(AND(N2295="Yes",O2295=""),"Missing channel for sent reminder","OK"))</f>
        <v>OK</v>
      </c>
    </row>
    <row r="2296" customFormat="false" ht="15" hidden="false" customHeight="false" outlineLevel="0" collapsed="false">
      <c r="A2296" s="7" t="s">
        <v>3661</v>
      </c>
      <c r="B2296" s="7" t="s">
        <v>3662</v>
      </c>
      <c r="C2296" s="7" t="s">
        <v>47</v>
      </c>
      <c r="D2296" s="7" t="n">
        <v>64</v>
      </c>
      <c r="E2296" s="7" t="s">
        <v>61</v>
      </c>
      <c r="F2296" s="7" t="s">
        <v>57</v>
      </c>
      <c r="G2296" s="8" t="n">
        <v>46034</v>
      </c>
      <c r="H2296" s="8" t="n">
        <v>46048</v>
      </c>
      <c r="I2296" s="7" t="s">
        <v>66</v>
      </c>
      <c r="J2296" s="7" t="s">
        <v>51</v>
      </c>
      <c r="K2296" s="7" t="n">
        <v>14</v>
      </c>
      <c r="L2296" s="7" t="n">
        <v>1</v>
      </c>
      <c r="M2296" s="7" t="n">
        <v>0</v>
      </c>
      <c r="N2296" s="7" t="s">
        <v>42</v>
      </c>
      <c r="O2296" s="7" t="s">
        <v>52</v>
      </c>
      <c r="P2296" s="7" t="n">
        <v>6.7</v>
      </c>
      <c r="Q2296" s="7" t="n">
        <v>16</v>
      </c>
      <c r="R2296" s="7" t="s">
        <v>44</v>
      </c>
      <c r="S2296" s="7"/>
      <c r="T2296" s="7"/>
      <c r="U2296" s="7" t="str">
        <f aca="false">IF(COUNTIF($A$2:$A$5001,A2296)&gt;1,"Duplicate","Unique")</f>
        <v>Unique</v>
      </c>
      <c r="V2296" s="7" t="str">
        <f aca="false">IF(COUNTIFS($B$2:$B$5001,B2296,$H$2:$H$5001,H2296,$J$2:$J$5001,J2296)&gt;1,"Possible Duplicate Booking","Unique")</f>
        <v>Unique</v>
      </c>
      <c r="W2296" s="7" t="str">
        <f aca="false">IF((H2296-G2296)&lt;&gt;K2296,"Mismatch","OK")</f>
        <v>OK</v>
      </c>
      <c r="X2296" s="7" t="str">
        <f aca="false">IF(TEXT(H2296,"dddd")&lt;&gt;I2296,"Mismatch","OK")</f>
        <v>OK</v>
      </c>
      <c r="Y2296" s="7" t="str">
        <f aca="false">IF(AND(N2296="No",O2296&lt;&gt;""),"Unexpected: channel present but no reminder sent",IF(AND(N2296="Yes",O2296=""),"Missing channel for sent reminder","OK"))</f>
        <v>OK</v>
      </c>
    </row>
    <row r="2297" customFormat="false" ht="15" hidden="false" customHeight="false" outlineLevel="0" collapsed="false">
      <c r="A2297" s="9" t="s">
        <v>3663</v>
      </c>
      <c r="B2297" s="9" t="s">
        <v>411</v>
      </c>
      <c r="C2297" s="9" t="s">
        <v>37</v>
      </c>
      <c r="D2297" s="9" t="n">
        <v>38</v>
      </c>
      <c r="E2297" s="9" t="s">
        <v>38</v>
      </c>
      <c r="F2297" s="9" t="s">
        <v>39</v>
      </c>
      <c r="G2297" s="10" t="n">
        <v>46072</v>
      </c>
      <c r="H2297" s="10" t="n">
        <v>46095</v>
      </c>
      <c r="I2297" s="9" t="s">
        <v>102</v>
      </c>
      <c r="J2297" s="9" t="s">
        <v>41</v>
      </c>
      <c r="K2297" s="9" t="n">
        <v>23</v>
      </c>
      <c r="L2297" s="9" t="n">
        <v>6</v>
      </c>
      <c r="M2297" s="9" t="n">
        <v>1</v>
      </c>
      <c r="N2297" s="9" t="s">
        <v>42</v>
      </c>
      <c r="O2297" s="9" t="s">
        <v>52</v>
      </c>
      <c r="P2297" s="9" t="n">
        <v>2.6</v>
      </c>
      <c r="Q2297" s="9" t="n">
        <v>30</v>
      </c>
      <c r="R2297" s="9" t="s">
        <v>53</v>
      </c>
      <c r="S2297" s="9"/>
      <c r="T2297" s="9"/>
      <c r="U2297" s="9" t="str">
        <f aca="false">IF(COUNTIF($A$2:$A$5001,A2297)&gt;1,"Duplicate","Unique")</f>
        <v>Unique</v>
      </c>
      <c r="V2297" s="9" t="str">
        <f aca="false">IF(COUNTIFS($B$2:$B$5001,B2297,$H$2:$H$5001,H2297,$J$2:$J$5001,J2297)&gt;1,"Possible Duplicate Booking","Unique")</f>
        <v>Unique</v>
      </c>
      <c r="W2297" s="9" t="str">
        <f aca="false">IF((H2297-G2297)&lt;&gt;K2297,"Mismatch","OK")</f>
        <v>OK</v>
      </c>
      <c r="X2297" s="9" t="str">
        <f aca="false">IF(TEXT(H2297,"dddd")&lt;&gt;I2297,"Mismatch","OK")</f>
        <v>OK</v>
      </c>
      <c r="Y2297" s="9" t="str">
        <f aca="false">IF(AND(N2297="No",O2297&lt;&gt;""),"Unexpected: channel present but no reminder sent",IF(AND(N2297="Yes",O2297=""),"Missing channel for sent reminder","OK"))</f>
        <v>OK</v>
      </c>
    </row>
    <row r="2298" customFormat="false" ht="15" hidden="false" customHeight="false" outlineLevel="0" collapsed="false">
      <c r="A2298" s="7" t="s">
        <v>3664</v>
      </c>
      <c r="B2298" s="7" t="s">
        <v>490</v>
      </c>
      <c r="C2298" s="7" t="s">
        <v>47</v>
      </c>
      <c r="D2298" s="7" t="n">
        <v>64</v>
      </c>
      <c r="E2298" s="7" t="s">
        <v>61</v>
      </c>
      <c r="F2298" s="7" t="s">
        <v>57</v>
      </c>
      <c r="G2298" s="8" t="n">
        <v>45733</v>
      </c>
      <c r="H2298" s="8" t="n">
        <v>45749</v>
      </c>
      <c r="I2298" s="7" t="s">
        <v>58</v>
      </c>
      <c r="J2298" s="7" t="s">
        <v>41</v>
      </c>
      <c r="K2298" s="7" t="n">
        <v>16</v>
      </c>
      <c r="L2298" s="7" t="n">
        <v>4</v>
      </c>
      <c r="M2298" s="7" t="n">
        <v>1</v>
      </c>
      <c r="N2298" s="7" t="s">
        <v>42</v>
      </c>
      <c r="O2298" s="7" t="s">
        <v>52</v>
      </c>
      <c r="P2298" s="7" t="n">
        <v>10</v>
      </c>
      <c r="Q2298" s="7" t="n">
        <v>55</v>
      </c>
      <c r="R2298" s="7" t="s">
        <v>87</v>
      </c>
      <c r="S2298" s="7"/>
      <c r="T2298" s="7"/>
      <c r="U2298" s="7" t="str">
        <f aca="false">IF(COUNTIF($A$2:$A$5001,A2298)&gt;1,"Duplicate","Unique")</f>
        <v>Unique</v>
      </c>
      <c r="V2298" s="7" t="str">
        <f aca="false">IF(COUNTIFS($B$2:$B$5001,B2298,$H$2:$H$5001,H2298,$J$2:$J$5001,J2298)&gt;1,"Possible Duplicate Booking","Unique")</f>
        <v>Unique</v>
      </c>
      <c r="W2298" s="7" t="str">
        <f aca="false">IF((H2298-G2298)&lt;&gt;K2298,"Mismatch","OK")</f>
        <v>OK</v>
      </c>
      <c r="X2298" s="7" t="str">
        <f aca="false">IF(TEXT(H2298,"dddd")&lt;&gt;I2298,"Mismatch","OK")</f>
        <v>OK</v>
      </c>
      <c r="Y2298" s="7" t="str">
        <f aca="false">IF(AND(N2298="No",O2298&lt;&gt;""),"Unexpected: channel present but no reminder sent",IF(AND(N2298="Yes",O2298=""),"Missing channel for sent reminder","OK"))</f>
        <v>OK</v>
      </c>
    </row>
    <row r="2299" customFormat="false" ht="15" hidden="false" customHeight="false" outlineLevel="0" collapsed="false">
      <c r="A2299" s="9" t="s">
        <v>3665</v>
      </c>
      <c r="B2299" s="9" t="s">
        <v>2884</v>
      </c>
      <c r="C2299" s="9" t="s">
        <v>37</v>
      </c>
      <c r="D2299" s="9" t="n">
        <v>75</v>
      </c>
      <c r="E2299" s="9" t="s">
        <v>70</v>
      </c>
      <c r="F2299" s="9" t="s">
        <v>57</v>
      </c>
      <c r="G2299" s="10" t="n">
        <v>45911</v>
      </c>
      <c r="H2299" s="10" t="n">
        <v>45926</v>
      </c>
      <c r="I2299" s="9" t="s">
        <v>50</v>
      </c>
      <c r="J2299" s="9" t="s">
        <v>51</v>
      </c>
      <c r="K2299" s="9" t="n">
        <v>15</v>
      </c>
      <c r="L2299" s="9" t="n">
        <v>2</v>
      </c>
      <c r="M2299" s="9" t="n">
        <v>1</v>
      </c>
      <c r="N2299" s="9" t="s">
        <v>42</v>
      </c>
      <c r="O2299" s="9" t="s">
        <v>43</v>
      </c>
      <c r="P2299" s="9" t="n">
        <v>7.5</v>
      </c>
      <c r="Q2299" s="9" t="n">
        <v>36</v>
      </c>
      <c r="R2299" s="9" t="s">
        <v>53</v>
      </c>
      <c r="S2299" s="9"/>
      <c r="T2299" s="9"/>
      <c r="U2299" s="9" t="str">
        <f aca="false">IF(COUNTIF($A$2:$A$5001,A2299)&gt;1,"Duplicate","Unique")</f>
        <v>Unique</v>
      </c>
      <c r="V2299" s="9" t="str">
        <f aca="false">IF(COUNTIFS($B$2:$B$5001,B2299,$H$2:$H$5001,H2299,$J$2:$J$5001,J2299)&gt;1,"Possible Duplicate Booking","Unique")</f>
        <v>Unique</v>
      </c>
      <c r="W2299" s="9" t="str">
        <f aca="false">IF((H2299-G2299)&lt;&gt;K2299,"Mismatch","OK")</f>
        <v>OK</v>
      </c>
      <c r="X2299" s="9" t="str">
        <f aca="false">IF(TEXT(H2299,"dddd")&lt;&gt;I2299,"Mismatch","OK")</f>
        <v>OK</v>
      </c>
      <c r="Y2299" s="9" t="str">
        <f aca="false">IF(AND(N2299="No",O2299&lt;&gt;""),"Unexpected: channel present but no reminder sent",IF(AND(N2299="Yes",O2299=""),"Missing channel for sent reminder","OK"))</f>
        <v>OK</v>
      </c>
    </row>
    <row r="2300" customFormat="false" ht="15" hidden="false" customHeight="false" outlineLevel="0" collapsed="false">
      <c r="A2300" s="7" t="s">
        <v>3666</v>
      </c>
      <c r="B2300" s="7" t="s">
        <v>3667</v>
      </c>
      <c r="C2300" s="7" t="s">
        <v>47</v>
      </c>
      <c r="D2300" s="7" t="n">
        <v>69</v>
      </c>
      <c r="E2300" s="7" t="s">
        <v>70</v>
      </c>
      <c r="F2300" s="7" t="s">
        <v>57</v>
      </c>
      <c r="G2300" s="8" t="n">
        <v>45753</v>
      </c>
      <c r="H2300" s="8" t="n">
        <v>45779</v>
      </c>
      <c r="I2300" s="7" t="s">
        <v>50</v>
      </c>
      <c r="J2300" s="7" t="s">
        <v>41</v>
      </c>
      <c r="K2300" s="7" t="n">
        <v>26</v>
      </c>
      <c r="L2300" s="7" t="n">
        <v>2</v>
      </c>
      <c r="M2300" s="7" t="n">
        <v>0</v>
      </c>
      <c r="N2300" s="7" t="s">
        <v>71</v>
      </c>
      <c r="O2300" s="7"/>
      <c r="P2300" s="7" t="n">
        <v>20.9</v>
      </c>
      <c r="Q2300" s="7" t="n">
        <v>24</v>
      </c>
      <c r="R2300" s="7" t="s">
        <v>53</v>
      </c>
      <c r="S2300" s="7"/>
      <c r="T2300" s="7"/>
      <c r="U2300" s="7" t="str">
        <f aca="false">IF(COUNTIF($A$2:$A$5001,A2300)&gt;1,"Duplicate","Unique")</f>
        <v>Unique</v>
      </c>
      <c r="V2300" s="7" t="str">
        <f aca="false">IF(COUNTIFS($B$2:$B$5001,B2300,$H$2:$H$5001,H2300,$J$2:$J$5001,J2300)&gt;1,"Possible Duplicate Booking","Unique")</f>
        <v>Unique</v>
      </c>
      <c r="W2300" s="7" t="str">
        <f aca="false">IF((H2300-G2300)&lt;&gt;K2300,"Mismatch","OK")</f>
        <v>OK</v>
      </c>
      <c r="X2300" s="7" t="str">
        <f aca="false">IF(TEXT(H2300,"dddd")&lt;&gt;I2300,"Mismatch","OK")</f>
        <v>OK</v>
      </c>
      <c r="Y2300" s="7" t="str">
        <f aca="false">IF(AND(N2300="No",O2300&lt;&gt;""),"Unexpected: channel present but no reminder sent",IF(AND(N2300="Yes",O2300=""),"Missing channel for sent reminder","OK"))</f>
        <v>OK</v>
      </c>
    </row>
    <row r="2301" customFormat="false" ht="15" hidden="false" customHeight="false" outlineLevel="0" collapsed="false">
      <c r="A2301" s="9" t="s">
        <v>3668</v>
      </c>
      <c r="B2301" s="9" t="s">
        <v>2021</v>
      </c>
      <c r="C2301" s="9" t="s">
        <v>37</v>
      </c>
      <c r="D2301" s="9" t="n">
        <v>64</v>
      </c>
      <c r="E2301" s="9" t="s">
        <v>61</v>
      </c>
      <c r="F2301" s="9" t="s">
        <v>57</v>
      </c>
      <c r="G2301" s="10" t="n">
        <v>46093</v>
      </c>
      <c r="H2301" s="10" t="n">
        <v>46145</v>
      </c>
      <c r="I2301" s="9" t="s">
        <v>75</v>
      </c>
      <c r="J2301" s="9" t="s">
        <v>41</v>
      </c>
      <c r="K2301" s="9" t="n">
        <v>52</v>
      </c>
      <c r="L2301" s="9" t="n">
        <v>1</v>
      </c>
      <c r="M2301" s="9" t="n">
        <v>0</v>
      </c>
      <c r="N2301" s="9" t="s">
        <v>71</v>
      </c>
      <c r="O2301" s="9"/>
      <c r="P2301" s="9" t="n">
        <v>4.2</v>
      </c>
      <c r="Q2301" s="9" t="n">
        <v>26</v>
      </c>
      <c r="R2301" s="9" t="s">
        <v>44</v>
      </c>
      <c r="S2301" s="9"/>
      <c r="T2301" s="9"/>
      <c r="U2301" s="9" t="str">
        <f aca="false">IF(COUNTIF($A$2:$A$5001,A2301)&gt;1,"Duplicate","Unique")</f>
        <v>Unique</v>
      </c>
      <c r="V2301" s="9" t="str">
        <f aca="false">IF(COUNTIFS($B$2:$B$5001,B2301,$H$2:$H$5001,H2301,$J$2:$J$5001,J2301)&gt;1,"Possible Duplicate Booking","Unique")</f>
        <v>Unique</v>
      </c>
      <c r="W2301" s="9" t="str">
        <f aca="false">IF((H2301-G2301)&lt;&gt;K2301,"Mismatch","OK")</f>
        <v>OK</v>
      </c>
      <c r="X2301" s="9" t="str">
        <f aca="false">IF(TEXT(H2301,"dddd")&lt;&gt;I2301,"Mismatch","OK")</f>
        <v>OK</v>
      </c>
      <c r="Y2301" s="9" t="str">
        <f aca="false">IF(AND(N2301="No",O2301&lt;&gt;""),"Unexpected: channel present but no reminder sent",IF(AND(N2301="Yes",O2301=""),"Missing channel for sent reminder","OK"))</f>
        <v>OK</v>
      </c>
    </row>
    <row r="2302" customFormat="false" ht="15" hidden="false" customHeight="false" outlineLevel="0" collapsed="false">
      <c r="A2302" s="7" t="s">
        <v>3669</v>
      </c>
      <c r="B2302" s="7" t="s">
        <v>1627</v>
      </c>
      <c r="C2302" s="7" t="s">
        <v>47</v>
      </c>
      <c r="D2302" s="7" t="n">
        <v>66</v>
      </c>
      <c r="E2302" s="7" t="s">
        <v>70</v>
      </c>
      <c r="F2302" s="7" t="s">
        <v>57</v>
      </c>
      <c r="G2302" s="8" t="n">
        <v>45758</v>
      </c>
      <c r="H2302" s="8" t="n">
        <v>45804</v>
      </c>
      <c r="I2302" s="7" t="s">
        <v>40</v>
      </c>
      <c r="J2302" s="7" t="s">
        <v>51</v>
      </c>
      <c r="K2302" s="7" t="n">
        <v>46</v>
      </c>
      <c r="L2302" s="7" t="n">
        <v>2</v>
      </c>
      <c r="M2302" s="7" t="n">
        <v>0</v>
      </c>
      <c r="N2302" s="7" t="s">
        <v>71</v>
      </c>
      <c r="O2302" s="7"/>
      <c r="P2302" s="7" t="n">
        <v>11.1</v>
      </c>
      <c r="Q2302" s="7" t="n">
        <v>15</v>
      </c>
      <c r="R2302" s="7" t="s">
        <v>44</v>
      </c>
      <c r="S2302" s="7"/>
      <c r="T2302" s="7"/>
      <c r="U2302" s="7" t="str">
        <f aca="false">IF(COUNTIF($A$2:$A$5001,A2302)&gt;1,"Duplicate","Unique")</f>
        <v>Unique</v>
      </c>
      <c r="V2302" s="7" t="str">
        <f aca="false">IF(COUNTIFS($B$2:$B$5001,B2302,$H$2:$H$5001,H2302,$J$2:$J$5001,J2302)&gt;1,"Possible Duplicate Booking","Unique")</f>
        <v>Unique</v>
      </c>
      <c r="W2302" s="7" t="str">
        <f aca="false">IF((H2302-G2302)&lt;&gt;K2302,"Mismatch","OK")</f>
        <v>OK</v>
      </c>
      <c r="X2302" s="7" t="str">
        <f aca="false">IF(TEXT(H2302,"dddd")&lt;&gt;I2302,"Mismatch","OK")</f>
        <v>OK</v>
      </c>
      <c r="Y2302" s="7" t="str">
        <f aca="false">IF(AND(N2302="No",O2302&lt;&gt;""),"Unexpected: channel present but no reminder sent",IF(AND(N2302="Yes",O2302=""),"Missing channel for sent reminder","OK"))</f>
        <v>OK</v>
      </c>
    </row>
    <row r="2303" customFormat="false" ht="15" hidden="false" customHeight="false" outlineLevel="0" collapsed="false">
      <c r="A2303" s="9" t="s">
        <v>3670</v>
      </c>
      <c r="B2303" s="9" t="s">
        <v>3266</v>
      </c>
      <c r="C2303" s="9" t="s">
        <v>47</v>
      </c>
      <c r="D2303" s="9" t="n">
        <v>68</v>
      </c>
      <c r="E2303" s="9" t="s">
        <v>70</v>
      </c>
      <c r="F2303" s="9" t="s">
        <v>39</v>
      </c>
      <c r="G2303" s="10" t="n">
        <v>45718</v>
      </c>
      <c r="H2303" s="10" t="n">
        <v>45736</v>
      </c>
      <c r="I2303" s="9" t="s">
        <v>62</v>
      </c>
      <c r="J2303" s="9" t="s">
        <v>41</v>
      </c>
      <c r="K2303" s="9" t="n">
        <v>18</v>
      </c>
      <c r="L2303" s="9" t="n">
        <v>1</v>
      </c>
      <c r="M2303" s="9" t="n">
        <v>1</v>
      </c>
      <c r="N2303" s="9" t="s">
        <v>42</v>
      </c>
      <c r="O2303" s="9" t="s">
        <v>52</v>
      </c>
      <c r="P2303" s="9" t="n">
        <v>8.5</v>
      </c>
      <c r="Q2303" s="9" t="n">
        <v>42</v>
      </c>
      <c r="R2303" s="9" t="s">
        <v>44</v>
      </c>
      <c r="S2303" s="9"/>
      <c r="T2303" s="9"/>
      <c r="U2303" s="9" t="str">
        <f aca="false">IF(COUNTIF($A$2:$A$5001,A2303)&gt;1,"Duplicate","Unique")</f>
        <v>Unique</v>
      </c>
      <c r="V2303" s="9" t="str">
        <f aca="false">IF(COUNTIFS($B$2:$B$5001,B2303,$H$2:$H$5001,H2303,$J$2:$J$5001,J2303)&gt;1,"Possible Duplicate Booking","Unique")</f>
        <v>Unique</v>
      </c>
      <c r="W2303" s="9" t="str">
        <f aca="false">IF((H2303-G2303)&lt;&gt;K2303,"Mismatch","OK")</f>
        <v>OK</v>
      </c>
      <c r="X2303" s="9" t="str">
        <f aca="false">IF(TEXT(H2303,"dddd")&lt;&gt;I2303,"Mismatch","OK")</f>
        <v>OK</v>
      </c>
      <c r="Y2303" s="9" t="str">
        <f aca="false">IF(AND(N2303="No",O2303&lt;&gt;""),"Unexpected: channel present but no reminder sent",IF(AND(N2303="Yes",O2303=""),"Missing channel for sent reminder","OK"))</f>
        <v>OK</v>
      </c>
    </row>
    <row r="2304" customFormat="false" ht="15" hidden="false" customHeight="false" outlineLevel="0" collapsed="false">
      <c r="A2304" s="7" t="s">
        <v>3671</v>
      </c>
      <c r="B2304" s="7" t="s">
        <v>383</v>
      </c>
      <c r="C2304" s="7" t="s">
        <v>47</v>
      </c>
      <c r="D2304" s="7" t="n">
        <v>36</v>
      </c>
      <c r="E2304" s="7" t="s">
        <v>38</v>
      </c>
      <c r="F2304" s="7" t="s">
        <v>39</v>
      </c>
      <c r="G2304" s="8" t="n">
        <v>45912</v>
      </c>
      <c r="H2304" s="8" t="n">
        <v>45969</v>
      </c>
      <c r="I2304" s="7" t="s">
        <v>102</v>
      </c>
      <c r="J2304" s="7" t="s">
        <v>51</v>
      </c>
      <c r="K2304" s="7" t="n">
        <v>57</v>
      </c>
      <c r="L2304" s="7" t="n">
        <v>2</v>
      </c>
      <c r="M2304" s="7" t="n">
        <v>1</v>
      </c>
      <c r="N2304" s="7" t="s">
        <v>42</v>
      </c>
      <c r="O2304" s="7" t="s">
        <v>52</v>
      </c>
      <c r="P2304" s="7" t="n">
        <v>2.8</v>
      </c>
      <c r="Q2304" s="7" t="n">
        <v>22</v>
      </c>
      <c r="R2304" s="7" t="s">
        <v>44</v>
      </c>
      <c r="S2304" s="7"/>
      <c r="T2304" s="7"/>
      <c r="U2304" s="7" t="str">
        <f aca="false">IF(COUNTIF($A$2:$A$5001,A2304)&gt;1,"Duplicate","Unique")</f>
        <v>Unique</v>
      </c>
      <c r="V2304" s="7" t="str">
        <f aca="false">IF(COUNTIFS($B$2:$B$5001,B2304,$H$2:$H$5001,H2304,$J$2:$J$5001,J2304)&gt;1,"Possible Duplicate Booking","Unique")</f>
        <v>Unique</v>
      </c>
      <c r="W2304" s="7" t="str">
        <f aca="false">IF((H2304-G2304)&lt;&gt;K2304,"Mismatch","OK")</f>
        <v>OK</v>
      </c>
      <c r="X2304" s="7" t="str">
        <f aca="false">IF(TEXT(H2304,"dddd")&lt;&gt;I2304,"Mismatch","OK")</f>
        <v>OK</v>
      </c>
      <c r="Y2304" s="7" t="str">
        <f aca="false">IF(AND(N2304="No",O2304&lt;&gt;""),"Unexpected: channel present but no reminder sent",IF(AND(N2304="Yes",O2304=""),"Missing channel for sent reminder","OK"))</f>
        <v>OK</v>
      </c>
    </row>
    <row r="2305" customFormat="false" ht="15" hidden="false" customHeight="false" outlineLevel="0" collapsed="false">
      <c r="A2305" s="9" t="s">
        <v>3672</v>
      </c>
      <c r="B2305" s="9" t="s">
        <v>3673</v>
      </c>
      <c r="C2305" s="9" t="s">
        <v>47</v>
      </c>
      <c r="D2305" s="9" t="n">
        <v>63</v>
      </c>
      <c r="E2305" s="9" t="s">
        <v>61</v>
      </c>
      <c r="F2305" s="9" t="s">
        <v>49</v>
      </c>
      <c r="G2305" s="10" t="n">
        <v>46125</v>
      </c>
      <c r="H2305" s="10" t="n">
        <v>46137</v>
      </c>
      <c r="I2305" s="9" t="s">
        <v>102</v>
      </c>
      <c r="J2305" s="9" t="s">
        <v>51</v>
      </c>
      <c r="K2305" s="9" t="n">
        <v>12</v>
      </c>
      <c r="L2305" s="9" t="n">
        <v>2</v>
      </c>
      <c r="M2305" s="9" t="n">
        <v>0</v>
      </c>
      <c r="N2305" s="9" t="s">
        <v>71</v>
      </c>
      <c r="O2305" s="9"/>
      <c r="P2305" s="9" t="n">
        <v>2</v>
      </c>
      <c r="Q2305" s="9" t="n">
        <v>23</v>
      </c>
      <c r="R2305" s="9" t="s">
        <v>53</v>
      </c>
      <c r="S2305" s="9"/>
      <c r="T2305" s="9"/>
      <c r="U2305" s="9" t="str">
        <f aca="false">IF(COUNTIF($A$2:$A$5001,A2305)&gt;1,"Duplicate","Unique")</f>
        <v>Unique</v>
      </c>
      <c r="V2305" s="9" t="str">
        <f aca="false">IF(COUNTIFS($B$2:$B$5001,B2305,$H$2:$H$5001,H2305,$J$2:$J$5001,J2305)&gt;1,"Possible Duplicate Booking","Unique")</f>
        <v>Unique</v>
      </c>
      <c r="W2305" s="9" t="str">
        <f aca="false">IF((H2305-G2305)&lt;&gt;K2305,"Mismatch","OK")</f>
        <v>OK</v>
      </c>
      <c r="X2305" s="9" t="str">
        <f aca="false">IF(TEXT(H2305,"dddd")&lt;&gt;I2305,"Mismatch","OK")</f>
        <v>OK</v>
      </c>
      <c r="Y2305" s="9" t="str">
        <f aca="false">IF(AND(N2305="No",O2305&lt;&gt;""),"Unexpected: channel present but no reminder sent",IF(AND(N2305="Yes",O2305=""),"Missing channel for sent reminder","OK"))</f>
        <v>OK</v>
      </c>
    </row>
    <row r="2306" customFormat="false" ht="15" hidden="false" customHeight="false" outlineLevel="0" collapsed="false">
      <c r="A2306" s="7" t="s">
        <v>3674</v>
      </c>
      <c r="B2306" s="7" t="s">
        <v>3675</v>
      </c>
      <c r="C2306" s="7" t="s">
        <v>37</v>
      </c>
      <c r="D2306" s="7" t="n">
        <v>30</v>
      </c>
      <c r="E2306" s="7" t="s">
        <v>48</v>
      </c>
      <c r="F2306" s="7" t="s">
        <v>57</v>
      </c>
      <c r="G2306" s="8" t="n">
        <v>46102</v>
      </c>
      <c r="H2306" s="8" t="n">
        <v>46157</v>
      </c>
      <c r="I2306" s="7" t="s">
        <v>50</v>
      </c>
      <c r="J2306" s="7" t="s">
        <v>41</v>
      </c>
      <c r="K2306" s="7" t="n">
        <v>55</v>
      </c>
      <c r="L2306" s="7" t="n">
        <v>0</v>
      </c>
      <c r="M2306" s="7" t="n">
        <v>0</v>
      </c>
      <c r="N2306" s="7" t="s">
        <v>71</v>
      </c>
      <c r="O2306" s="7"/>
      <c r="P2306" s="7" t="n">
        <v>2.1</v>
      </c>
      <c r="Q2306" s="7" t="n">
        <v>14</v>
      </c>
      <c r="R2306" s="7" t="s">
        <v>53</v>
      </c>
      <c r="S2306" s="7"/>
      <c r="T2306" s="7"/>
      <c r="U2306" s="7" t="str">
        <f aca="false">IF(COUNTIF($A$2:$A$5001,A2306)&gt;1,"Duplicate","Unique")</f>
        <v>Unique</v>
      </c>
      <c r="V2306" s="7" t="str">
        <f aca="false">IF(COUNTIFS($B$2:$B$5001,B2306,$H$2:$H$5001,H2306,$J$2:$J$5001,J2306)&gt;1,"Possible Duplicate Booking","Unique")</f>
        <v>Unique</v>
      </c>
      <c r="W2306" s="7" t="str">
        <f aca="false">IF((H2306-G2306)&lt;&gt;K2306,"Mismatch","OK")</f>
        <v>OK</v>
      </c>
      <c r="X2306" s="7" t="str">
        <f aca="false">IF(TEXT(H2306,"dddd")&lt;&gt;I2306,"Mismatch","OK")</f>
        <v>OK</v>
      </c>
      <c r="Y2306" s="7" t="str">
        <f aca="false">IF(AND(N2306="No",O2306&lt;&gt;""),"Unexpected: channel present but no reminder sent",IF(AND(N2306="Yes",O2306=""),"Missing channel for sent reminder","OK"))</f>
        <v>OK</v>
      </c>
    </row>
    <row r="2307" customFormat="false" ht="15" hidden="false" customHeight="false" outlineLevel="0" collapsed="false">
      <c r="A2307" s="9" t="s">
        <v>3676</v>
      </c>
      <c r="B2307" s="9" t="s">
        <v>3677</v>
      </c>
      <c r="C2307" s="9" t="s">
        <v>47</v>
      </c>
      <c r="D2307" s="9" t="n">
        <v>40</v>
      </c>
      <c r="E2307" s="9" t="s">
        <v>38</v>
      </c>
      <c r="F2307" s="9" t="s">
        <v>49</v>
      </c>
      <c r="G2307" s="10" t="n">
        <v>45692</v>
      </c>
      <c r="H2307" s="10" t="n">
        <v>45710</v>
      </c>
      <c r="I2307" s="9" t="s">
        <v>102</v>
      </c>
      <c r="J2307" s="9" t="s">
        <v>41</v>
      </c>
      <c r="K2307" s="9" t="n">
        <v>18</v>
      </c>
      <c r="L2307" s="9" t="n">
        <v>4</v>
      </c>
      <c r="M2307" s="9" t="n">
        <v>1</v>
      </c>
      <c r="N2307" s="9" t="s">
        <v>42</v>
      </c>
      <c r="O2307" s="9" t="s">
        <v>52</v>
      </c>
      <c r="P2307" s="9" t="n">
        <v>13.9</v>
      </c>
      <c r="Q2307" s="9" t="n">
        <v>21</v>
      </c>
      <c r="R2307" s="9" t="s">
        <v>53</v>
      </c>
      <c r="S2307" s="9"/>
      <c r="T2307" s="9"/>
      <c r="U2307" s="9" t="str">
        <f aca="false">IF(COUNTIF($A$2:$A$5001,A2307)&gt;1,"Duplicate","Unique")</f>
        <v>Unique</v>
      </c>
      <c r="V2307" s="9" t="str">
        <f aca="false">IF(COUNTIFS($B$2:$B$5001,B2307,$H$2:$H$5001,H2307,$J$2:$J$5001,J2307)&gt;1,"Possible Duplicate Booking","Unique")</f>
        <v>Unique</v>
      </c>
      <c r="W2307" s="9" t="str">
        <f aca="false">IF((H2307-G2307)&lt;&gt;K2307,"Mismatch","OK")</f>
        <v>OK</v>
      </c>
      <c r="X2307" s="9" t="str">
        <f aca="false">IF(TEXT(H2307,"dddd")&lt;&gt;I2307,"Mismatch","OK")</f>
        <v>OK</v>
      </c>
      <c r="Y2307" s="9" t="str">
        <f aca="false">IF(AND(N2307="No",O2307&lt;&gt;""),"Unexpected: channel present but no reminder sent",IF(AND(N2307="Yes",O2307=""),"Missing channel for sent reminder","OK"))</f>
        <v>OK</v>
      </c>
    </row>
    <row r="2308" customFormat="false" ht="15" hidden="false" customHeight="false" outlineLevel="0" collapsed="false">
      <c r="A2308" s="7" t="s">
        <v>3678</v>
      </c>
      <c r="B2308" s="7" t="s">
        <v>1916</v>
      </c>
      <c r="C2308" s="7" t="s">
        <v>37</v>
      </c>
      <c r="D2308" s="7" t="n">
        <v>76</v>
      </c>
      <c r="E2308" s="7" t="s">
        <v>70</v>
      </c>
      <c r="F2308" s="7" t="s">
        <v>39</v>
      </c>
      <c r="G2308" s="8" t="n">
        <v>45803</v>
      </c>
      <c r="H2308" s="8" t="n">
        <v>45835</v>
      </c>
      <c r="I2308" s="7" t="s">
        <v>50</v>
      </c>
      <c r="J2308" s="7" t="s">
        <v>41</v>
      </c>
      <c r="K2308" s="7" t="n">
        <v>32</v>
      </c>
      <c r="L2308" s="7" t="n">
        <v>4</v>
      </c>
      <c r="M2308" s="7" t="n">
        <v>0</v>
      </c>
      <c r="N2308" s="7" t="s">
        <v>42</v>
      </c>
      <c r="O2308" s="7" t="s">
        <v>52</v>
      </c>
      <c r="P2308" s="7" t="n">
        <v>8.3</v>
      </c>
      <c r="Q2308" s="7" t="n">
        <v>25</v>
      </c>
      <c r="R2308" s="7" t="s">
        <v>53</v>
      </c>
      <c r="S2308" s="7"/>
      <c r="T2308" s="7"/>
      <c r="U2308" s="7" t="str">
        <f aca="false">IF(COUNTIF($A$2:$A$5001,A2308)&gt;1,"Duplicate","Unique")</f>
        <v>Unique</v>
      </c>
      <c r="V2308" s="7" t="str">
        <f aca="false">IF(COUNTIFS($B$2:$B$5001,B2308,$H$2:$H$5001,H2308,$J$2:$J$5001,J2308)&gt;1,"Possible Duplicate Booking","Unique")</f>
        <v>Unique</v>
      </c>
      <c r="W2308" s="7" t="str">
        <f aca="false">IF((H2308-G2308)&lt;&gt;K2308,"Mismatch","OK")</f>
        <v>OK</v>
      </c>
      <c r="X2308" s="7" t="str">
        <f aca="false">IF(TEXT(H2308,"dddd")&lt;&gt;I2308,"Mismatch","OK")</f>
        <v>OK</v>
      </c>
      <c r="Y2308" s="7" t="str">
        <f aca="false">IF(AND(N2308="No",O2308&lt;&gt;""),"Unexpected: channel present but no reminder sent",IF(AND(N2308="Yes",O2308=""),"Missing channel for sent reminder","OK"))</f>
        <v>OK</v>
      </c>
    </row>
    <row r="2309" customFormat="false" ht="15" hidden="false" customHeight="false" outlineLevel="0" collapsed="false">
      <c r="A2309" s="9" t="s">
        <v>3679</v>
      </c>
      <c r="B2309" s="9" t="s">
        <v>1264</v>
      </c>
      <c r="C2309" s="9" t="s">
        <v>47</v>
      </c>
      <c r="D2309" s="9" t="n">
        <v>35</v>
      </c>
      <c r="E2309" s="9" t="s">
        <v>38</v>
      </c>
      <c r="F2309" s="9" t="s">
        <v>57</v>
      </c>
      <c r="G2309" s="10" t="n">
        <v>45729</v>
      </c>
      <c r="H2309" s="10" t="n">
        <v>45741</v>
      </c>
      <c r="I2309" s="9" t="s">
        <v>40</v>
      </c>
      <c r="J2309" s="9" t="s">
        <v>51</v>
      </c>
      <c r="K2309" s="9" t="n">
        <v>12</v>
      </c>
      <c r="L2309" s="9" t="n">
        <v>2</v>
      </c>
      <c r="M2309" s="9" t="n">
        <v>0</v>
      </c>
      <c r="N2309" s="9" t="s">
        <v>71</v>
      </c>
      <c r="O2309" s="9"/>
      <c r="P2309" s="9" t="n">
        <v>12.2</v>
      </c>
      <c r="Q2309" s="9" t="n">
        <v>36</v>
      </c>
      <c r="R2309" s="9" t="s">
        <v>53</v>
      </c>
      <c r="S2309" s="9"/>
      <c r="T2309" s="9"/>
      <c r="U2309" s="9" t="str">
        <f aca="false">IF(COUNTIF($A$2:$A$5001,A2309)&gt;1,"Duplicate","Unique")</f>
        <v>Unique</v>
      </c>
      <c r="V2309" s="9" t="str">
        <f aca="false">IF(COUNTIFS($B$2:$B$5001,B2309,$H$2:$H$5001,H2309,$J$2:$J$5001,J2309)&gt;1,"Possible Duplicate Booking","Unique")</f>
        <v>Unique</v>
      </c>
      <c r="W2309" s="9" t="str">
        <f aca="false">IF((H2309-G2309)&lt;&gt;K2309,"Mismatch","OK")</f>
        <v>OK</v>
      </c>
      <c r="X2309" s="9" t="str">
        <f aca="false">IF(TEXT(H2309,"dddd")&lt;&gt;I2309,"Mismatch","OK")</f>
        <v>OK</v>
      </c>
      <c r="Y2309" s="9" t="str">
        <f aca="false">IF(AND(N2309="No",O2309&lt;&gt;""),"Unexpected: channel present but no reminder sent",IF(AND(N2309="Yes",O2309=""),"Missing channel for sent reminder","OK"))</f>
        <v>OK</v>
      </c>
    </row>
    <row r="2310" customFormat="false" ht="15" hidden="false" customHeight="false" outlineLevel="0" collapsed="false">
      <c r="A2310" s="7" t="s">
        <v>3680</v>
      </c>
      <c r="B2310" s="7" t="s">
        <v>3681</v>
      </c>
      <c r="C2310" s="7" t="s">
        <v>37</v>
      </c>
      <c r="D2310" s="7" t="n">
        <v>71</v>
      </c>
      <c r="E2310" s="7" t="s">
        <v>70</v>
      </c>
      <c r="F2310" s="7" t="s">
        <v>39</v>
      </c>
      <c r="G2310" s="8" t="n">
        <v>45780</v>
      </c>
      <c r="H2310" s="8" t="n">
        <v>45826</v>
      </c>
      <c r="I2310" s="7" t="s">
        <v>58</v>
      </c>
      <c r="J2310" s="7" t="s">
        <v>41</v>
      </c>
      <c r="K2310" s="7" t="n">
        <v>46</v>
      </c>
      <c r="L2310" s="7" t="n">
        <v>3</v>
      </c>
      <c r="M2310" s="7" t="n">
        <v>0</v>
      </c>
      <c r="N2310" s="7" t="s">
        <v>42</v>
      </c>
      <c r="O2310" s="7" t="s">
        <v>52</v>
      </c>
      <c r="P2310" s="7" t="n">
        <v>12.5</v>
      </c>
      <c r="Q2310" s="7"/>
      <c r="R2310" s="7" t="s">
        <v>53</v>
      </c>
      <c r="S2310" s="7"/>
      <c r="T2310" s="7"/>
      <c r="U2310" s="7" t="str">
        <f aca="false">IF(COUNTIF($A$2:$A$5001,A2310)&gt;1,"Duplicate","Unique")</f>
        <v>Unique</v>
      </c>
      <c r="V2310" s="7" t="str">
        <f aca="false">IF(COUNTIFS($B$2:$B$5001,B2310,$H$2:$H$5001,H2310,$J$2:$J$5001,J2310)&gt;1,"Possible Duplicate Booking","Unique")</f>
        <v>Unique</v>
      </c>
      <c r="W2310" s="7" t="str">
        <f aca="false">IF((H2310-G2310)&lt;&gt;K2310,"Mismatch","OK")</f>
        <v>OK</v>
      </c>
      <c r="X2310" s="7" t="str">
        <f aca="false">IF(TEXT(H2310,"dddd")&lt;&gt;I2310,"Mismatch","OK")</f>
        <v>OK</v>
      </c>
      <c r="Y2310" s="7" t="str">
        <f aca="false">IF(AND(N2310="No",O2310&lt;&gt;""),"Unexpected: channel present but no reminder sent",IF(AND(N2310="Yes",O2310=""),"Missing channel for sent reminder","OK"))</f>
        <v>OK</v>
      </c>
    </row>
    <row r="2311" customFormat="false" ht="15" hidden="false" customHeight="false" outlineLevel="0" collapsed="false">
      <c r="A2311" s="9" t="s">
        <v>3682</v>
      </c>
      <c r="B2311" s="9" t="s">
        <v>3683</v>
      </c>
      <c r="C2311" s="9" t="s">
        <v>37</v>
      </c>
      <c r="D2311" s="9" t="n">
        <v>44</v>
      </c>
      <c r="E2311" s="9" t="s">
        <v>38</v>
      </c>
      <c r="F2311" s="9" t="s">
        <v>49</v>
      </c>
      <c r="G2311" s="10" t="n">
        <v>45930</v>
      </c>
      <c r="H2311" s="10" t="n">
        <v>45949</v>
      </c>
      <c r="I2311" s="9" t="s">
        <v>75</v>
      </c>
      <c r="J2311" s="9" t="s">
        <v>51</v>
      </c>
      <c r="K2311" s="9" t="n">
        <v>19</v>
      </c>
      <c r="L2311" s="9" t="n">
        <v>1</v>
      </c>
      <c r="M2311" s="9" t="n">
        <v>0</v>
      </c>
      <c r="N2311" s="9" t="s">
        <v>71</v>
      </c>
      <c r="O2311" s="9"/>
      <c r="P2311" s="9" t="n">
        <v>1.4</v>
      </c>
      <c r="Q2311" s="9" t="n">
        <v>36</v>
      </c>
      <c r="R2311" s="9" t="s">
        <v>87</v>
      </c>
      <c r="S2311" s="9"/>
      <c r="T2311" s="9"/>
      <c r="U2311" s="9" t="str">
        <f aca="false">IF(COUNTIF($A$2:$A$5001,A2311)&gt;1,"Duplicate","Unique")</f>
        <v>Unique</v>
      </c>
      <c r="V2311" s="9" t="str">
        <f aca="false">IF(COUNTIFS($B$2:$B$5001,B2311,$H$2:$H$5001,H2311,$J$2:$J$5001,J2311)&gt;1,"Possible Duplicate Booking","Unique")</f>
        <v>Unique</v>
      </c>
      <c r="W2311" s="9" t="str">
        <f aca="false">IF((H2311-G2311)&lt;&gt;K2311,"Mismatch","OK")</f>
        <v>OK</v>
      </c>
      <c r="X2311" s="9" t="str">
        <f aca="false">IF(TEXT(H2311,"dddd")&lt;&gt;I2311,"Mismatch","OK")</f>
        <v>OK</v>
      </c>
      <c r="Y2311" s="9" t="str">
        <f aca="false">IF(AND(N2311="No",O2311&lt;&gt;""),"Unexpected: channel present but no reminder sent",IF(AND(N2311="Yes",O2311=""),"Missing channel for sent reminder","OK"))</f>
        <v>OK</v>
      </c>
    </row>
    <row r="2312" customFormat="false" ht="15" hidden="false" customHeight="false" outlineLevel="0" collapsed="false">
      <c r="A2312" s="7" t="s">
        <v>3684</v>
      </c>
      <c r="B2312" s="7" t="s">
        <v>3685</v>
      </c>
      <c r="C2312" s="7" t="s">
        <v>37</v>
      </c>
      <c r="D2312" s="7" t="n">
        <v>31</v>
      </c>
      <c r="E2312" s="7" t="s">
        <v>48</v>
      </c>
      <c r="F2312" s="7" t="s">
        <v>57</v>
      </c>
      <c r="G2312" s="8" t="n">
        <v>45758</v>
      </c>
      <c r="H2312" s="8" t="n">
        <v>45811</v>
      </c>
      <c r="I2312" s="7" t="s">
        <v>40</v>
      </c>
      <c r="J2312" s="7" t="s">
        <v>63</v>
      </c>
      <c r="K2312" s="7" t="n">
        <v>53</v>
      </c>
      <c r="L2312" s="7" t="n">
        <v>5</v>
      </c>
      <c r="M2312" s="7" t="n">
        <v>3</v>
      </c>
      <c r="N2312" s="7" t="s">
        <v>42</v>
      </c>
      <c r="O2312" s="7" t="s">
        <v>52</v>
      </c>
      <c r="P2312" s="7"/>
      <c r="Q2312" s="7" t="n">
        <v>2</v>
      </c>
      <c r="R2312" s="7" t="s">
        <v>53</v>
      </c>
      <c r="S2312" s="7"/>
      <c r="T2312" s="7"/>
      <c r="U2312" s="7" t="str">
        <f aca="false">IF(COUNTIF($A$2:$A$5001,A2312)&gt;1,"Duplicate","Unique")</f>
        <v>Unique</v>
      </c>
      <c r="V2312" s="7" t="str">
        <f aca="false">IF(COUNTIFS($B$2:$B$5001,B2312,$H$2:$H$5001,H2312,$J$2:$J$5001,J2312)&gt;1,"Possible Duplicate Booking","Unique")</f>
        <v>Unique</v>
      </c>
      <c r="W2312" s="7" t="str">
        <f aca="false">IF((H2312-G2312)&lt;&gt;K2312,"Mismatch","OK")</f>
        <v>OK</v>
      </c>
      <c r="X2312" s="7" t="str">
        <f aca="false">IF(TEXT(H2312,"dddd")&lt;&gt;I2312,"Mismatch","OK")</f>
        <v>OK</v>
      </c>
      <c r="Y2312" s="7" t="str">
        <f aca="false">IF(AND(N2312="No",O2312&lt;&gt;""),"Unexpected: channel present but no reminder sent",IF(AND(N2312="Yes",O2312=""),"Missing channel for sent reminder","OK"))</f>
        <v>OK</v>
      </c>
    </row>
    <row r="2313" customFormat="false" ht="15" hidden="false" customHeight="false" outlineLevel="0" collapsed="false">
      <c r="A2313" s="9" t="s">
        <v>3686</v>
      </c>
      <c r="B2313" s="9" t="s">
        <v>81</v>
      </c>
      <c r="C2313" s="9" t="s">
        <v>47</v>
      </c>
      <c r="D2313" s="9" t="n">
        <v>24</v>
      </c>
      <c r="E2313" s="9" t="s">
        <v>82</v>
      </c>
      <c r="F2313" s="9" t="s">
        <v>57</v>
      </c>
      <c r="G2313" s="10" t="n">
        <v>45689</v>
      </c>
      <c r="H2313" s="10" t="n">
        <v>45694</v>
      </c>
      <c r="I2313" s="9" t="s">
        <v>62</v>
      </c>
      <c r="J2313" s="9" t="s">
        <v>51</v>
      </c>
      <c r="K2313" s="9" t="n">
        <v>5</v>
      </c>
      <c r="L2313" s="9" t="n">
        <v>5</v>
      </c>
      <c r="M2313" s="9" t="n">
        <v>1</v>
      </c>
      <c r="N2313" s="9" t="s">
        <v>42</v>
      </c>
      <c r="O2313" s="9" t="s">
        <v>43</v>
      </c>
      <c r="P2313" s="9" t="n">
        <v>15.9</v>
      </c>
      <c r="Q2313" s="9" t="n">
        <v>39</v>
      </c>
      <c r="R2313" s="9" t="s">
        <v>44</v>
      </c>
      <c r="S2313" s="9"/>
      <c r="T2313" s="9"/>
      <c r="U2313" s="9" t="str">
        <f aca="false">IF(COUNTIF($A$2:$A$5001,A2313)&gt;1,"Duplicate","Unique")</f>
        <v>Unique</v>
      </c>
      <c r="V2313" s="9" t="str">
        <f aca="false">IF(COUNTIFS($B$2:$B$5001,B2313,$H$2:$H$5001,H2313,$J$2:$J$5001,J2313)&gt;1,"Possible Duplicate Booking","Unique")</f>
        <v>Unique</v>
      </c>
      <c r="W2313" s="9" t="str">
        <f aca="false">IF((H2313-G2313)&lt;&gt;K2313,"Mismatch","OK")</f>
        <v>OK</v>
      </c>
      <c r="X2313" s="9" t="str">
        <f aca="false">IF(TEXT(H2313,"dddd")&lt;&gt;I2313,"Mismatch","OK")</f>
        <v>OK</v>
      </c>
      <c r="Y2313" s="9" t="str">
        <f aca="false">IF(AND(N2313="No",O2313&lt;&gt;""),"Unexpected: channel present but no reminder sent",IF(AND(N2313="Yes",O2313=""),"Missing channel for sent reminder","OK"))</f>
        <v>OK</v>
      </c>
    </row>
    <row r="2314" customFormat="false" ht="15" hidden="false" customHeight="false" outlineLevel="0" collapsed="false">
      <c r="A2314" s="7" t="s">
        <v>3687</v>
      </c>
      <c r="B2314" s="7" t="s">
        <v>1014</v>
      </c>
      <c r="C2314" s="7" t="s">
        <v>47</v>
      </c>
      <c r="D2314" s="7" t="n">
        <v>52</v>
      </c>
      <c r="E2314" s="7" t="s">
        <v>56</v>
      </c>
      <c r="F2314" s="7" t="s">
        <v>39</v>
      </c>
      <c r="G2314" s="8" t="n">
        <v>45906</v>
      </c>
      <c r="H2314" s="8" t="n">
        <v>45936</v>
      </c>
      <c r="I2314" s="7" t="s">
        <v>66</v>
      </c>
      <c r="J2314" s="7" t="s">
        <v>63</v>
      </c>
      <c r="K2314" s="7" t="n">
        <v>30</v>
      </c>
      <c r="L2314" s="7" t="n">
        <v>4</v>
      </c>
      <c r="M2314" s="7" t="n">
        <v>1</v>
      </c>
      <c r="N2314" s="7" t="s">
        <v>42</v>
      </c>
      <c r="O2314" s="7" t="s">
        <v>52</v>
      </c>
      <c r="P2314" s="7" t="n">
        <v>8.3</v>
      </c>
      <c r="Q2314" s="7" t="n">
        <v>9</v>
      </c>
      <c r="R2314" s="7" t="s">
        <v>53</v>
      </c>
      <c r="S2314" s="7"/>
      <c r="T2314" s="7"/>
      <c r="U2314" s="7" t="str">
        <f aca="false">IF(COUNTIF($A$2:$A$5001,A2314)&gt;1,"Duplicate","Unique")</f>
        <v>Unique</v>
      </c>
      <c r="V2314" s="7" t="str">
        <f aca="false">IF(COUNTIFS($B$2:$B$5001,B2314,$H$2:$H$5001,H2314,$J$2:$J$5001,J2314)&gt;1,"Possible Duplicate Booking","Unique")</f>
        <v>Unique</v>
      </c>
      <c r="W2314" s="7" t="str">
        <f aca="false">IF((H2314-G2314)&lt;&gt;K2314,"Mismatch","OK")</f>
        <v>OK</v>
      </c>
      <c r="X2314" s="7" t="str">
        <f aca="false">IF(TEXT(H2314,"dddd")&lt;&gt;I2314,"Mismatch","OK")</f>
        <v>OK</v>
      </c>
      <c r="Y2314" s="7" t="str">
        <f aca="false">IF(AND(N2314="No",O2314&lt;&gt;""),"Unexpected: channel present but no reminder sent",IF(AND(N2314="Yes",O2314=""),"Missing channel for sent reminder","OK"))</f>
        <v>OK</v>
      </c>
    </row>
    <row r="2315" customFormat="false" ht="15" hidden="false" customHeight="false" outlineLevel="0" collapsed="false">
      <c r="A2315" s="9" t="s">
        <v>3688</v>
      </c>
      <c r="B2315" s="9" t="s">
        <v>2758</v>
      </c>
      <c r="C2315" s="9" t="s">
        <v>37</v>
      </c>
      <c r="D2315" s="9" t="n">
        <v>46</v>
      </c>
      <c r="E2315" s="9" t="s">
        <v>56</v>
      </c>
      <c r="F2315" s="9" t="s">
        <v>57</v>
      </c>
      <c r="G2315" s="10" t="n">
        <v>45677</v>
      </c>
      <c r="H2315" s="10" t="n">
        <v>45686</v>
      </c>
      <c r="I2315" s="9" t="s">
        <v>58</v>
      </c>
      <c r="J2315" s="9" t="s">
        <v>51</v>
      </c>
      <c r="K2315" s="9" t="n">
        <v>9</v>
      </c>
      <c r="L2315" s="9" t="n">
        <v>2</v>
      </c>
      <c r="M2315" s="9" t="n">
        <v>1</v>
      </c>
      <c r="N2315" s="9" t="s">
        <v>42</v>
      </c>
      <c r="O2315" s="9" t="s">
        <v>67</v>
      </c>
      <c r="P2315" s="9" t="n">
        <v>11.6</v>
      </c>
      <c r="Q2315" s="9" t="n">
        <v>32</v>
      </c>
      <c r="R2315" s="9" t="s">
        <v>53</v>
      </c>
      <c r="S2315" s="9"/>
      <c r="T2315" s="9"/>
      <c r="U2315" s="9" t="str">
        <f aca="false">IF(COUNTIF($A$2:$A$5001,A2315)&gt;1,"Duplicate","Unique")</f>
        <v>Unique</v>
      </c>
      <c r="V2315" s="9" t="str">
        <f aca="false">IF(COUNTIFS($B$2:$B$5001,B2315,$H$2:$H$5001,H2315,$J$2:$J$5001,J2315)&gt;1,"Possible Duplicate Booking","Unique")</f>
        <v>Unique</v>
      </c>
      <c r="W2315" s="9" t="str">
        <f aca="false">IF((H2315-G2315)&lt;&gt;K2315,"Mismatch","OK")</f>
        <v>OK</v>
      </c>
      <c r="X2315" s="9" t="str">
        <f aca="false">IF(TEXT(H2315,"dddd")&lt;&gt;I2315,"Mismatch","OK")</f>
        <v>OK</v>
      </c>
      <c r="Y2315" s="9" t="str">
        <f aca="false">IF(AND(N2315="No",O2315&lt;&gt;""),"Unexpected: channel present but no reminder sent",IF(AND(N2315="Yes",O2315=""),"Missing channel for sent reminder","OK"))</f>
        <v>OK</v>
      </c>
    </row>
    <row r="2316" customFormat="false" ht="15" hidden="false" customHeight="false" outlineLevel="0" collapsed="false">
      <c r="A2316" s="7" t="s">
        <v>3689</v>
      </c>
      <c r="B2316" s="7" t="s">
        <v>2440</v>
      </c>
      <c r="C2316" s="7" t="s">
        <v>47</v>
      </c>
      <c r="D2316" s="7" t="n">
        <v>50</v>
      </c>
      <c r="E2316" s="7" t="s">
        <v>56</v>
      </c>
      <c r="F2316" s="7" t="s">
        <v>74</v>
      </c>
      <c r="G2316" s="8" t="n">
        <v>45727</v>
      </c>
      <c r="H2316" s="8" t="n">
        <v>45781</v>
      </c>
      <c r="I2316" s="7" t="s">
        <v>75</v>
      </c>
      <c r="J2316" s="7" t="s">
        <v>51</v>
      </c>
      <c r="K2316" s="7" t="n">
        <v>54</v>
      </c>
      <c r="L2316" s="7" t="n">
        <v>5</v>
      </c>
      <c r="M2316" s="7" t="n">
        <v>1</v>
      </c>
      <c r="N2316" s="7" t="s">
        <v>71</v>
      </c>
      <c r="O2316" s="7"/>
      <c r="P2316" s="7" t="n">
        <v>3.5</v>
      </c>
      <c r="Q2316" s="7" t="n">
        <v>2</v>
      </c>
      <c r="R2316" s="7" t="s">
        <v>44</v>
      </c>
      <c r="S2316" s="7"/>
      <c r="T2316" s="7"/>
      <c r="U2316" s="7" t="str">
        <f aca="false">IF(COUNTIF($A$2:$A$5001,A2316)&gt;1,"Duplicate","Unique")</f>
        <v>Unique</v>
      </c>
      <c r="V2316" s="7" t="str">
        <f aca="false">IF(COUNTIFS($B$2:$B$5001,B2316,$H$2:$H$5001,H2316,$J$2:$J$5001,J2316)&gt;1,"Possible Duplicate Booking","Unique")</f>
        <v>Unique</v>
      </c>
      <c r="W2316" s="7" t="str">
        <f aca="false">IF((H2316-G2316)&lt;&gt;K2316,"Mismatch","OK")</f>
        <v>OK</v>
      </c>
      <c r="X2316" s="7" t="str">
        <f aca="false">IF(TEXT(H2316,"dddd")&lt;&gt;I2316,"Mismatch","OK")</f>
        <v>OK</v>
      </c>
      <c r="Y2316" s="7" t="str">
        <f aca="false">IF(AND(N2316="No",O2316&lt;&gt;""),"Unexpected: channel present but no reminder sent",IF(AND(N2316="Yes",O2316=""),"Missing channel for sent reminder","OK"))</f>
        <v>OK</v>
      </c>
    </row>
    <row r="2317" customFormat="false" ht="15" hidden="false" customHeight="false" outlineLevel="0" collapsed="false">
      <c r="A2317" s="9" t="s">
        <v>3690</v>
      </c>
      <c r="B2317" s="9" t="s">
        <v>993</v>
      </c>
      <c r="C2317" s="9" t="s">
        <v>37</v>
      </c>
      <c r="D2317" s="9" t="n">
        <v>20</v>
      </c>
      <c r="E2317" s="9" t="s">
        <v>82</v>
      </c>
      <c r="F2317" s="9" t="s">
        <v>57</v>
      </c>
      <c r="G2317" s="10" t="n">
        <v>45633</v>
      </c>
      <c r="H2317" s="10" t="n">
        <v>45658</v>
      </c>
      <c r="I2317" s="9" t="s">
        <v>58</v>
      </c>
      <c r="J2317" s="9" t="s">
        <v>41</v>
      </c>
      <c r="K2317" s="9" t="n">
        <v>25</v>
      </c>
      <c r="L2317" s="9" t="n">
        <v>1</v>
      </c>
      <c r="M2317" s="9" t="n">
        <v>0</v>
      </c>
      <c r="N2317" s="9" t="s">
        <v>42</v>
      </c>
      <c r="O2317" s="9" t="s">
        <v>52</v>
      </c>
      <c r="P2317" s="9" t="n">
        <v>3</v>
      </c>
      <c r="Q2317" s="9" t="n">
        <v>25</v>
      </c>
      <c r="R2317" s="9" t="s">
        <v>53</v>
      </c>
      <c r="S2317" s="9"/>
      <c r="T2317" s="9"/>
      <c r="U2317" s="9" t="str">
        <f aca="false">IF(COUNTIF($A$2:$A$5001,A2317)&gt;1,"Duplicate","Unique")</f>
        <v>Unique</v>
      </c>
      <c r="V2317" s="9" t="str">
        <f aca="false">IF(COUNTIFS($B$2:$B$5001,B2317,$H$2:$H$5001,H2317,$J$2:$J$5001,J2317)&gt;1,"Possible Duplicate Booking","Unique")</f>
        <v>Unique</v>
      </c>
      <c r="W2317" s="9" t="str">
        <f aca="false">IF((H2317-G2317)&lt;&gt;K2317,"Mismatch","OK")</f>
        <v>OK</v>
      </c>
      <c r="X2317" s="9" t="str">
        <f aca="false">IF(TEXT(H2317,"dddd")&lt;&gt;I2317,"Mismatch","OK")</f>
        <v>OK</v>
      </c>
      <c r="Y2317" s="9" t="str">
        <f aca="false">IF(AND(N2317="No",O2317&lt;&gt;""),"Unexpected: channel present but no reminder sent",IF(AND(N2317="Yes",O2317=""),"Missing channel for sent reminder","OK"))</f>
        <v>OK</v>
      </c>
    </row>
    <row r="2318" customFormat="false" ht="15" hidden="false" customHeight="false" outlineLevel="0" collapsed="false">
      <c r="A2318" s="7" t="s">
        <v>3691</v>
      </c>
      <c r="B2318" s="7" t="s">
        <v>918</v>
      </c>
      <c r="C2318" s="7" t="s">
        <v>37</v>
      </c>
      <c r="D2318" s="7" t="n">
        <v>34</v>
      </c>
      <c r="E2318" s="7" t="s">
        <v>48</v>
      </c>
      <c r="F2318" s="7" t="s">
        <v>57</v>
      </c>
      <c r="G2318" s="8" t="n">
        <v>45664</v>
      </c>
      <c r="H2318" s="8" t="n">
        <v>45705</v>
      </c>
      <c r="I2318" s="7" t="s">
        <v>66</v>
      </c>
      <c r="J2318" s="7" t="s">
        <v>41</v>
      </c>
      <c r="K2318" s="7" t="n">
        <v>41</v>
      </c>
      <c r="L2318" s="7" t="n">
        <v>5</v>
      </c>
      <c r="M2318" s="7" t="n">
        <v>2</v>
      </c>
      <c r="N2318" s="7" t="s">
        <v>42</v>
      </c>
      <c r="O2318" s="7" t="s">
        <v>52</v>
      </c>
      <c r="P2318" s="7" t="n">
        <v>7.6</v>
      </c>
      <c r="Q2318" s="7" t="n">
        <v>34</v>
      </c>
      <c r="R2318" s="7" t="s">
        <v>44</v>
      </c>
      <c r="S2318" s="7"/>
      <c r="T2318" s="7"/>
      <c r="U2318" s="7" t="str">
        <f aca="false">IF(COUNTIF($A$2:$A$5001,A2318)&gt;1,"Duplicate","Unique")</f>
        <v>Unique</v>
      </c>
      <c r="V2318" s="7" t="str">
        <f aca="false">IF(COUNTIFS($B$2:$B$5001,B2318,$H$2:$H$5001,H2318,$J$2:$J$5001,J2318)&gt;1,"Possible Duplicate Booking","Unique")</f>
        <v>Unique</v>
      </c>
      <c r="W2318" s="7" t="str">
        <f aca="false">IF((H2318-G2318)&lt;&gt;K2318,"Mismatch","OK")</f>
        <v>OK</v>
      </c>
      <c r="X2318" s="7" t="str">
        <f aca="false">IF(TEXT(H2318,"dddd")&lt;&gt;I2318,"Mismatch","OK")</f>
        <v>OK</v>
      </c>
      <c r="Y2318" s="7" t="str">
        <f aca="false">IF(AND(N2318="No",O2318&lt;&gt;""),"Unexpected: channel present but no reminder sent",IF(AND(N2318="Yes",O2318=""),"Missing channel for sent reminder","OK"))</f>
        <v>OK</v>
      </c>
    </row>
    <row r="2319" customFormat="false" ht="15" hidden="false" customHeight="false" outlineLevel="0" collapsed="false">
      <c r="A2319" s="9" t="s">
        <v>3692</v>
      </c>
      <c r="B2319" s="9" t="s">
        <v>1448</v>
      </c>
      <c r="C2319" s="9" t="s">
        <v>37</v>
      </c>
      <c r="D2319" s="9" t="n">
        <v>18</v>
      </c>
      <c r="E2319" s="9" t="s">
        <v>82</v>
      </c>
      <c r="F2319" s="9" t="s">
        <v>57</v>
      </c>
      <c r="G2319" s="10" t="n">
        <v>45843</v>
      </c>
      <c r="H2319" s="10" t="n">
        <v>45896</v>
      </c>
      <c r="I2319" s="9" t="s">
        <v>58</v>
      </c>
      <c r="J2319" s="9" t="s">
        <v>63</v>
      </c>
      <c r="K2319" s="9" t="n">
        <v>53</v>
      </c>
      <c r="L2319" s="9" t="n">
        <v>1</v>
      </c>
      <c r="M2319" s="9" t="n">
        <v>0</v>
      </c>
      <c r="N2319" s="9" t="s">
        <v>42</v>
      </c>
      <c r="O2319" s="9" t="s">
        <v>52</v>
      </c>
      <c r="P2319" s="9" t="n">
        <v>5.2</v>
      </c>
      <c r="Q2319" s="9" t="n">
        <v>15</v>
      </c>
      <c r="R2319" s="9" t="s">
        <v>44</v>
      </c>
      <c r="S2319" s="9"/>
      <c r="T2319" s="9"/>
      <c r="U2319" s="9" t="str">
        <f aca="false">IF(COUNTIF($A$2:$A$5001,A2319)&gt;1,"Duplicate","Unique")</f>
        <v>Unique</v>
      </c>
      <c r="V2319" s="9" t="str">
        <f aca="false">IF(COUNTIFS($B$2:$B$5001,B2319,$H$2:$H$5001,H2319,$J$2:$J$5001,J2319)&gt;1,"Possible Duplicate Booking","Unique")</f>
        <v>Unique</v>
      </c>
      <c r="W2319" s="9" t="str">
        <f aca="false">IF((H2319-G2319)&lt;&gt;K2319,"Mismatch","OK")</f>
        <v>OK</v>
      </c>
      <c r="X2319" s="9" t="str">
        <f aca="false">IF(TEXT(H2319,"dddd")&lt;&gt;I2319,"Mismatch","OK")</f>
        <v>OK</v>
      </c>
      <c r="Y2319" s="9" t="str">
        <f aca="false">IF(AND(N2319="No",O2319&lt;&gt;""),"Unexpected: channel present but no reminder sent",IF(AND(N2319="Yes",O2319=""),"Missing channel for sent reminder","OK"))</f>
        <v>OK</v>
      </c>
    </row>
    <row r="2320" customFormat="false" ht="15" hidden="false" customHeight="false" outlineLevel="0" collapsed="false">
      <c r="A2320" s="7" t="s">
        <v>3693</v>
      </c>
      <c r="B2320" s="7" t="s">
        <v>3694</v>
      </c>
      <c r="C2320" s="7" t="s">
        <v>47</v>
      </c>
      <c r="D2320" s="7" t="n">
        <v>37</v>
      </c>
      <c r="E2320" s="7" t="s">
        <v>38</v>
      </c>
      <c r="F2320" s="7" t="s">
        <v>57</v>
      </c>
      <c r="G2320" s="8" t="n">
        <v>46090</v>
      </c>
      <c r="H2320" s="8" t="n">
        <v>46122</v>
      </c>
      <c r="I2320" s="7" t="s">
        <v>50</v>
      </c>
      <c r="J2320" s="7" t="s">
        <v>41</v>
      </c>
      <c r="K2320" s="7" t="n">
        <v>32</v>
      </c>
      <c r="L2320" s="7" t="n">
        <v>0</v>
      </c>
      <c r="M2320" s="7" t="n">
        <v>0</v>
      </c>
      <c r="N2320" s="7" t="s">
        <v>42</v>
      </c>
      <c r="O2320" s="7" t="s">
        <v>52</v>
      </c>
      <c r="P2320" s="7" t="n">
        <v>8.7</v>
      </c>
      <c r="Q2320" s="7" t="n">
        <v>24</v>
      </c>
      <c r="R2320" s="7" t="s">
        <v>53</v>
      </c>
      <c r="S2320" s="7"/>
      <c r="T2320" s="7"/>
      <c r="U2320" s="7" t="str">
        <f aca="false">IF(COUNTIF($A$2:$A$5001,A2320)&gt;1,"Duplicate","Unique")</f>
        <v>Unique</v>
      </c>
      <c r="V2320" s="7" t="str">
        <f aca="false">IF(COUNTIFS($B$2:$B$5001,B2320,$H$2:$H$5001,H2320,$J$2:$J$5001,J2320)&gt;1,"Possible Duplicate Booking","Unique")</f>
        <v>Unique</v>
      </c>
      <c r="W2320" s="7" t="str">
        <f aca="false">IF((H2320-G2320)&lt;&gt;K2320,"Mismatch","OK")</f>
        <v>OK</v>
      </c>
      <c r="X2320" s="7" t="str">
        <f aca="false">IF(TEXT(H2320,"dddd")&lt;&gt;I2320,"Mismatch","OK")</f>
        <v>OK</v>
      </c>
      <c r="Y2320" s="7" t="str">
        <f aca="false">IF(AND(N2320="No",O2320&lt;&gt;""),"Unexpected: channel present but no reminder sent",IF(AND(N2320="Yes",O2320=""),"Missing channel for sent reminder","OK"))</f>
        <v>OK</v>
      </c>
    </row>
    <row r="2321" customFormat="false" ht="15" hidden="false" customHeight="false" outlineLevel="0" collapsed="false">
      <c r="A2321" s="9" t="s">
        <v>3695</v>
      </c>
      <c r="B2321" s="9" t="s">
        <v>3614</v>
      </c>
      <c r="C2321" s="9" t="s">
        <v>47</v>
      </c>
      <c r="D2321" s="9" t="n">
        <v>76</v>
      </c>
      <c r="E2321" s="9" t="s">
        <v>70</v>
      </c>
      <c r="F2321" s="9" t="s">
        <v>74</v>
      </c>
      <c r="G2321" s="10" t="n">
        <v>46077</v>
      </c>
      <c r="H2321" s="10" t="n">
        <v>46080</v>
      </c>
      <c r="I2321" s="9" t="s">
        <v>50</v>
      </c>
      <c r="J2321" s="9" t="s">
        <v>51</v>
      </c>
      <c r="K2321" s="9" t="n">
        <v>3</v>
      </c>
      <c r="L2321" s="9" t="n">
        <v>4</v>
      </c>
      <c r="M2321" s="9" t="n">
        <v>1</v>
      </c>
      <c r="N2321" s="9" t="s">
        <v>42</v>
      </c>
      <c r="O2321" s="9" t="s">
        <v>67</v>
      </c>
      <c r="P2321" s="9" t="n">
        <v>6.1</v>
      </c>
      <c r="Q2321" s="9" t="n">
        <v>34</v>
      </c>
      <c r="R2321" s="9" t="s">
        <v>44</v>
      </c>
      <c r="S2321" s="9"/>
      <c r="T2321" s="9"/>
      <c r="U2321" s="9" t="str">
        <f aca="false">IF(COUNTIF($A$2:$A$5001,A2321)&gt;1,"Duplicate","Unique")</f>
        <v>Unique</v>
      </c>
      <c r="V2321" s="9" t="str">
        <f aca="false">IF(COUNTIFS($B$2:$B$5001,B2321,$H$2:$H$5001,H2321,$J$2:$J$5001,J2321)&gt;1,"Possible Duplicate Booking","Unique")</f>
        <v>Unique</v>
      </c>
      <c r="W2321" s="9" t="str">
        <f aca="false">IF((H2321-G2321)&lt;&gt;K2321,"Mismatch","OK")</f>
        <v>OK</v>
      </c>
      <c r="X2321" s="9" t="str">
        <f aca="false">IF(TEXT(H2321,"dddd")&lt;&gt;I2321,"Mismatch","OK")</f>
        <v>OK</v>
      </c>
      <c r="Y2321" s="9" t="str">
        <f aca="false">IF(AND(N2321="No",O2321&lt;&gt;""),"Unexpected: channel present but no reminder sent",IF(AND(N2321="Yes",O2321=""),"Missing channel for sent reminder","OK"))</f>
        <v>OK</v>
      </c>
    </row>
    <row r="2322" customFormat="false" ht="15" hidden="false" customHeight="false" outlineLevel="0" collapsed="false">
      <c r="A2322" s="7" t="s">
        <v>3696</v>
      </c>
      <c r="B2322" s="7" t="s">
        <v>2159</v>
      </c>
      <c r="C2322" s="7" t="s">
        <v>47</v>
      </c>
      <c r="D2322" s="7" t="n">
        <v>27</v>
      </c>
      <c r="E2322" s="7" t="s">
        <v>48</v>
      </c>
      <c r="F2322" s="7" t="s">
        <v>49</v>
      </c>
      <c r="G2322" s="8" t="n">
        <v>45698</v>
      </c>
      <c r="H2322" s="8" t="n">
        <v>45711</v>
      </c>
      <c r="I2322" s="7" t="s">
        <v>75</v>
      </c>
      <c r="J2322" s="7" t="s">
        <v>51</v>
      </c>
      <c r="K2322" s="7" t="n">
        <v>13</v>
      </c>
      <c r="L2322" s="7" t="n">
        <v>8</v>
      </c>
      <c r="M2322" s="7" t="n">
        <v>0</v>
      </c>
      <c r="N2322" s="7" t="s">
        <v>42</v>
      </c>
      <c r="O2322" s="7" t="s">
        <v>52</v>
      </c>
      <c r="P2322" s="7" t="n">
        <v>15.2</v>
      </c>
      <c r="Q2322" s="7" t="n">
        <v>32</v>
      </c>
      <c r="R2322" s="7" t="s">
        <v>53</v>
      </c>
      <c r="S2322" s="7"/>
      <c r="T2322" s="7"/>
      <c r="U2322" s="7" t="str">
        <f aca="false">IF(COUNTIF($A$2:$A$5001,A2322)&gt;1,"Duplicate","Unique")</f>
        <v>Unique</v>
      </c>
      <c r="V2322" s="7" t="str">
        <f aca="false">IF(COUNTIFS($B$2:$B$5001,B2322,$H$2:$H$5001,H2322,$J$2:$J$5001,J2322)&gt;1,"Possible Duplicate Booking","Unique")</f>
        <v>Unique</v>
      </c>
      <c r="W2322" s="7" t="str">
        <f aca="false">IF((H2322-G2322)&lt;&gt;K2322,"Mismatch","OK")</f>
        <v>OK</v>
      </c>
      <c r="X2322" s="7" t="str">
        <f aca="false">IF(TEXT(H2322,"dddd")&lt;&gt;I2322,"Mismatch","OK")</f>
        <v>OK</v>
      </c>
      <c r="Y2322" s="7" t="str">
        <f aca="false">IF(AND(N2322="No",O2322&lt;&gt;""),"Unexpected: channel present but no reminder sent",IF(AND(N2322="Yes",O2322=""),"Missing channel for sent reminder","OK"))</f>
        <v>OK</v>
      </c>
    </row>
    <row r="2323" customFormat="false" ht="15" hidden="false" customHeight="false" outlineLevel="0" collapsed="false">
      <c r="A2323" s="9" t="s">
        <v>3697</v>
      </c>
      <c r="B2323" s="9" t="s">
        <v>3698</v>
      </c>
      <c r="C2323" s="9" t="s">
        <v>37</v>
      </c>
      <c r="D2323" s="9" t="n">
        <v>61</v>
      </c>
      <c r="E2323" s="9" t="s">
        <v>61</v>
      </c>
      <c r="F2323" s="9" t="s">
        <v>74</v>
      </c>
      <c r="G2323" s="10" t="n">
        <v>45665</v>
      </c>
      <c r="H2323" s="10" t="n">
        <v>45677</v>
      </c>
      <c r="I2323" s="9" t="s">
        <v>66</v>
      </c>
      <c r="J2323" s="9" t="s">
        <v>41</v>
      </c>
      <c r="K2323" s="9" t="n">
        <v>12</v>
      </c>
      <c r="L2323" s="9" t="n">
        <v>3</v>
      </c>
      <c r="M2323" s="9" t="n">
        <v>1</v>
      </c>
      <c r="N2323" s="9" t="s">
        <v>42</v>
      </c>
      <c r="O2323" s="9" t="s">
        <v>67</v>
      </c>
      <c r="P2323" s="9" t="n">
        <v>11.5</v>
      </c>
      <c r="Q2323" s="9" t="n">
        <v>7</v>
      </c>
      <c r="R2323" s="9" t="s">
        <v>44</v>
      </c>
      <c r="S2323" s="9"/>
      <c r="T2323" s="9"/>
      <c r="U2323" s="9" t="str">
        <f aca="false">IF(COUNTIF($A$2:$A$5001,A2323)&gt;1,"Duplicate","Unique")</f>
        <v>Unique</v>
      </c>
      <c r="V2323" s="9" t="str">
        <f aca="false">IF(COUNTIFS($B$2:$B$5001,B2323,$H$2:$H$5001,H2323,$J$2:$J$5001,J2323)&gt;1,"Possible Duplicate Booking","Unique")</f>
        <v>Unique</v>
      </c>
      <c r="W2323" s="9" t="str">
        <f aca="false">IF((H2323-G2323)&lt;&gt;K2323,"Mismatch","OK")</f>
        <v>OK</v>
      </c>
      <c r="X2323" s="9" t="str">
        <f aca="false">IF(TEXT(H2323,"dddd")&lt;&gt;I2323,"Mismatch","OK")</f>
        <v>OK</v>
      </c>
      <c r="Y2323" s="9" t="str">
        <f aca="false">IF(AND(N2323="No",O2323&lt;&gt;""),"Unexpected: channel present but no reminder sent",IF(AND(N2323="Yes",O2323=""),"Missing channel for sent reminder","OK"))</f>
        <v>OK</v>
      </c>
    </row>
    <row r="2324" customFormat="false" ht="15" hidden="false" customHeight="false" outlineLevel="0" collapsed="false">
      <c r="A2324" s="7" t="s">
        <v>3699</v>
      </c>
      <c r="B2324" s="7" t="s">
        <v>3700</v>
      </c>
      <c r="C2324" s="7" t="s">
        <v>37</v>
      </c>
      <c r="D2324" s="7" t="n">
        <v>18</v>
      </c>
      <c r="E2324" s="7" t="s">
        <v>82</v>
      </c>
      <c r="F2324" s="7" t="s">
        <v>39</v>
      </c>
      <c r="G2324" s="8" t="n">
        <v>45787</v>
      </c>
      <c r="H2324" s="8" t="n">
        <v>45842</v>
      </c>
      <c r="I2324" s="7" t="s">
        <v>50</v>
      </c>
      <c r="J2324" s="7" t="s">
        <v>51</v>
      </c>
      <c r="K2324" s="7" t="n">
        <v>55</v>
      </c>
      <c r="L2324" s="7" t="n">
        <v>3</v>
      </c>
      <c r="M2324" s="7" t="n">
        <v>1</v>
      </c>
      <c r="N2324" s="7" t="s">
        <v>42</v>
      </c>
      <c r="O2324" s="7" t="s">
        <v>52</v>
      </c>
      <c r="P2324" s="7" t="n">
        <v>5.4</v>
      </c>
      <c r="Q2324" s="7" t="n">
        <v>35</v>
      </c>
      <c r="R2324" s="7" t="s">
        <v>53</v>
      </c>
      <c r="S2324" s="7"/>
      <c r="T2324" s="7"/>
      <c r="U2324" s="7" t="str">
        <f aca="false">IF(COUNTIF($A$2:$A$5001,A2324)&gt;1,"Duplicate","Unique")</f>
        <v>Unique</v>
      </c>
      <c r="V2324" s="7" t="str">
        <f aca="false">IF(COUNTIFS($B$2:$B$5001,B2324,$H$2:$H$5001,H2324,$J$2:$J$5001,J2324)&gt;1,"Possible Duplicate Booking","Unique")</f>
        <v>Unique</v>
      </c>
      <c r="W2324" s="7" t="str">
        <f aca="false">IF((H2324-G2324)&lt;&gt;K2324,"Mismatch","OK")</f>
        <v>OK</v>
      </c>
      <c r="X2324" s="7" t="str">
        <f aca="false">IF(TEXT(H2324,"dddd")&lt;&gt;I2324,"Mismatch","OK")</f>
        <v>OK</v>
      </c>
      <c r="Y2324" s="7" t="str">
        <f aca="false">IF(AND(N2324="No",O2324&lt;&gt;""),"Unexpected: channel present but no reminder sent",IF(AND(N2324="Yes",O2324=""),"Missing channel for sent reminder","OK"))</f>
        <v>OK</v>
      </c>
    </row>
    <row r="2325" customFormat="false" ht="15" hidden="false" customHeight="false" outlineLevel="0" collapsed="false">
      <c r="A2325" s="9" t="s">
        <v>3701</v>
      </c>
      <c r="B2325" s="9" t="s">
        <v>1155</v>
      </c>
      <c r="C2325" s="9" t="s">
        <v>47</v>
      </c>
      <c r="D2325" s="9" t="n">
        <v>53</v>
      </c>
      <c r="E2325" s="9" t="s">
        <v>56</v>
      </c>
      <c r="F2325" s="9" t="s">
        <v>39</v>
      </c>
      <c r="G2325" s="10" t="n">
        <v>45959</v>
      </c>
      <c r="H2325" s="10" t="n">
        <v>46014</v>
      </c>
      <c r="I2325" s="9" t="s">
        <v>40</v>
      </c>
      <c r="J2325" s="9" t="s">
        <v>63</v>
      </c>
      <c r="K2325" s="9" t="n">
        <v>55</v>
      </c>
      <c r="L2325" s="9" t="n">
        <v>2</v>
      </c>
      <c r="M2325" s="9" t="n">
        <v>1</v>
      </c>
      <c r="N2325" s="9" t="s">
        <v>71</v>
      </c>
      <c r="O2325" s="9"/>
      <c r="P2325" s="9" t="n">
        <v>12.6</v>
      </c>
      <c r="Q2325" s="9" t="n">
        <v>43</v>
      </c>
      <c r="R2325" s="9" t="s">
        <v>44</v>
      </c>
      <c r="S2325" s="9"/>
      <c r="T2325" s="9"/>
      <c r="U2325" s="9" t="str">
        <f aca="false">IF(COUNTIF($A$2:$A$5001,A2325)&gt;1,"Duplicate","Unique")</f>
        <v>Unique</v>
      </c>
      <c r="V2325" s="9" t="str">
        <f aca="false">IF(COUNTIFS($B$2:$B$5001,B2325,$H$2:$H$5001,H2325,$J$2:$J$5001,J2325)&gt;1,"Possible Duplicate Booking","Unique")</f>
        <v>Unique</v>
      </c>
      <c r="W2325" s="9" t="str">
        <f aca="false">IF((H2325-G2325)&lt;&gt;K2325,"Mismatch","OK")</f>
        <v>OK</v>
      </c>
      <c r="X2325" s="9" t="str">
        <f aca="false">IF(TEXT(H2325,"dddd")&lt;&gt;I2325,"Mismatch","OK")</f>
        <v>OK</v>
      </c>
      <c r="Y2325" s="9" t="str">
        <f aca="false">IF(AND(N2325="No",O2325&lt;&gt;""),"Unexpected: channel present but no reminder sent",IF(AND(N2325="Yes",O2325=""),"Missing channel for sent reminder","OK"))</f>
        <v>OK</v>
      </c>
    </row>
    <row r="2326" customFormat="false" ht="15" hidden="false" customHeight="false" outlineLevel="0" collapsed="false">
      <c r="A2326" s="7" t="s">
        <v>3702</v>
      </c>
      <c r="B2326" s="7" t="s">
        <v>358</v>
      </c>
      <c r="C2326" s="7" t="s">
        <v>37</v>
      </c>
      <c r="D2326" s="7" t="n">
        <v>76</v>
      </c>
      <c r="E2326" s="7" t="s">
        <v>70</v>
      </c>
      <c r="F2326" s="7" t="s">
        <v>57</v>
      </c>
      <c r="G2326" s="8" t="n">
        <v>46036</v>
      </c>
      <c r="H2326" s="8" t="n">
        <v>46065</v>
      </c>
      <c r="I2326" s="7" t="s">
        <v>62</v>
      </c>
      <c r="J2326" s="7" t="s">
        <v>41</v>
      </c>
      <c r="K2326" s="7" t="n">
        <v>29</v>
      </c>
      <c r="L2326" s="7" t="n">
        <v>3</v>
      </c>
      <c r="M2326" s="7" t="n">
        <v>0</v>
      </c>
      <c r="N2326" s="7" t="s">
        <v>42</v>
      </c>
      <c r="O2326" s="7" t="s">
        <v>43</v>
      </c>
      <c r="P2326" s="7" t="n">
        <v>3.6</v>
      </c>
      <c r="Q2326" s="7" t="n">
        <v>37</v>
      </c>
      <c r="R2326" s="7" t="s">
        <v>53</v>
      </c>
      <c r="S2326" s="7"/>
      <c r="T2326" s="7"/>
      <c r="U2326" s="7" t="str">
        <f aca="false">IF(COUNTIF($A$2:$A$5001,A2326)&gt;1,"Duplicate","Unique")</f>
        <v>Unique</v>
      </c>
      <c r="V2326" s="7" t="str">
        <f aca="false">IF(COUNTIFS($B$2:$B$5001,B2326,$H$2:$H$5001,H2326,$J$2:$J$5001,J2326)&gt;1,"Possible Duplicate Booking","Unique")</f>
        <v>Unique</v>
      </c>
      <c r="W2326" s="7" t="str">
        <f aca="false">IF((H2326-G2326)&lt;&gt;K2326,"Mismatch","OK")</f>
        <v>OK</v>
      </c>
      <c r="X2326" s="7" t="str">
        <f aca="false">IF(TEXT(H2326,"dddd")&lt;&gt;I2326,"Mismatch","OK")</f>
        <v>OK</v>
      </c>
      <c r="Y2326" s="7" t="str">
        <f aca="false">IF(AND(N2326="No",O2326&lt;&gt;""),"Unexpected: channel present but no reminder sent",IF(AND(N2326="Yes",O2326=""),"Missing channel for sent reminder","OK"))</f>
        <v>OK</v>
      </c>
    </row>
    <row r="2327" customFormat="false" ht="15" hidden="false" customHeight="false" outlineLevel="0" collapsed="false">
      <c r="A2327" s="9" t="s">
        <v>3703</v>
      </c>
      <c r="B2327" s="9" t="s">
        <v>2251</v>
      </c>
      <c r="C2327" s="9" t="s">
        <v>47</v>
      </c>
      <c r="D2327" s="9" t="n">
        <v>39</v>
      </c>
      <c r="E2327" s="9" t="s">
        <v>38</v>
      </c>
      <c r="F2327" s="9" t="s">
        <v>57</v>
      </c>
      <c r="G2327" s="10" t="n">
        <v>46053</v>
      </c>
      <c r="H2327" s="10" t="n">
        <v>46107</v>
      </c>
      <c r="I2327" s="9" t="s">
        <v>62</v>
      </c>
      <c r="J2327" s="9" t="s">
        <v>41</v>
      </c>
      <c r="K2327" s="9" t="n">
        <v>54</v>
      </c>
      <c r="L2327" s="9" t="n">
        <v>4</v>
      </c>
      <c r="M2327" s="9" t="n">
        <v>0</v>
      </c>
      <c r="N2327" s="9" t="s">
        <v>42</v>
      </c>
      <c r="O2327" s="9" t="s">
        <v>52</v>
      </c>
      <c r="P2327" s="9" t="n">
        <v>8.1</v>
      </c>
      <c r="Q2327" s="9" t="n">
        <v>10</v>
      </c>
      <c r="R2327" s="9" t="s">
        <v>44</v>
      </c>
      <c r="S2327" s="9"/>
      <c r="T2327" s="9"/>
      <c r="U2327" s="9" t="str">
        <f aca="false">IF(COUNTIF($A$2:$A$5001,A2327)&gt;1,"Duplicate","Unique")</f>
        <v>Unique</v>
      </c>
      <c r="V2327" s="9" t="str">
        <f aca="false">IF(COUNTIFS($B$2:$B$5001,B2327,$H$2:$H$5001,H2327,$J$2:$J$5001,J2327)&gt;1,"Possible Duplicate Booking","Unique")</f>
        <v>Unique</v>
      </c>
      <c r="W2327" s="9" t="str">
        <f aca="false">IF((H2327-G2327)&lt;&gt;K2327,"Mismatch","OK")</f>
        <v>OK</v>
      </c>
      <c r="X2327" s="9" t="str">
        <f aca="false">IF(TEXT(H2327,"dddd")&lt;&gt;I2327,"Mismatch","OK")</f>
        <v>OK</v>
      </c>
      <c r="Y2327" s="9" t="str">
        <f aca="false">IF(AND(N2327="No",O2327&lt;&gt;""),"Unexpected: channel present but no reminder sent",IF(AND(N2327="Yes",O2327=""),"Missing channel for sent reminder","OK"))</f>
        <v>OK</v>
      </c>
    </row>
    <row r="2328" customFormat="false" ht="15" hidden="false" customHeight="false" outlineLevel="0" collapsed="false">
      <c r="A2328" s="7" t="s">
        <v>3704</v>
      </c>
      <c r="B2328" s="7" t="s">
        <v>215</v>
      </c>
      <c r="C2328" s="7" t="s">
        <v>47</v>
      </c>
      <c r="D2328" s="7" t="n">
        <v>30</v>
      </c>
      <c r="E2328" s="7" t="s">
        <v>48</v>
      </c>
      <c r="F2328" s="7" t="s">
        <v>74</v>
      </c>
      <c r="G2328" s="8" t="n">
        <v>45829</v>
      </c>
      <c r="H2328" s="8" t="n">
        <v>45844</v>
      </c>
      <c r="I2328" s="7" t="s">
        <v>75</v>
      </c>
      <c r="J2328" s="7" t="s">
        <v>41</v>
      </c>
      <c r="K2328" s="7" t="n">
        <v>15</v>
      </c>
      <c r="L2328" s="7" t="n">
        <v>6</v>
      </c>
      <c r="M2328" s="7" t="n">
        <v>3</v>
      </c>
      <c r="N2328" s="7" t="s">
        <v>42</v>
      </c>
      <c r="O2328" s="7" t="s">
        <v>43</v>
      </c>
      <c r="P2328" s="7" t="n">
        <v>15.4</v>
      </c>
      <c r="Q2328" s="7" t="n">
        <v>12</v>
      </c>
      <c r="R2328" s="7" t="s">
        <v>44</v>
      </c>
      <c r="S2328" s="7"/>
      <c r="T2328" s="7"/>
      <c r="U2328" s="7" t="str">
        <f aca="false">IF(COUNTIF($A$2:$A$5001,A2328)&gt;1,"Duplicate","Unique")</f>
        <v>Unique</v>
      </c>
      <c r="V2328" s="7" t="str">
        <f aca="false">IF(COUNTIFS($B$2:$B$5001,B2328,$H$2:$H$5001,H2328,$J$2:$J$5001,J2328)&gt;1,"Possible Duplicate Booking","Unique")</f>
        <v>Unique</v>
      </c>
      <c r="W2328" s="7" t="str">
        <f aca="false">IF((H2328-G2328)&lt;&gt;K2328,"Mismatch","OK")</f>
        <v>OK</v>
      </c>
      <c r="X2328" s="7" t="str">
        <f aca="false">IF(TEXT(H2328,"dddd")&lt;&gt;I2328,"Mismatch","OK")</f>
        <v>OK</v>
      </c>
      <c r="Y2328" s="7" t="str">
        <f aca="false">IF(AND(N2328="No",O2328&lt;&gt;""),"Unexpected: channel present but no reminder sent",IF(AND(N2328="Yes",O2328=""),"Missing channel for sent reminder","OK"))</f>
        <v>OK</v>
      </c>
    </row>
    <row r="2329" customFormat="false" ht="15" hidden="false" customHeight="false" outlineLevel="0" collapsed="false">
      <c r="A2329" s="9" t="s">
        <v>3705</v>
      </c>
      <c r="B2329" s="9" t="s">
        <v>2007</v>
      </c>
      <c r="C2329" s="9" t="s">
        <v>37</v>
      </c>
      <c r="D2329" s="9" t="n">
        <v>53</v>
      </c>
      <c r="E2329" s="9" t="s">
        <v>56</v>
      </c>
      <c r="F2329" s="9" t="s">
        <v>39</v>
      </c>
      <c r="G2329" s="10" t="n">
        <v>45708</v>
      </c>
      <c r="H2329" s="10" t="n">
        <v>45749</v>
      </c>
      <c r="I2329" s="9" t="s">
        <v>58</v>
      </c>
      <c r="J2329" s="9" t="s">
        <v>51</v>
      </c>
      <c r="K2329" s="9" t="n">
        <v>41</v>
      </c>
      <c r="L2329" s="9" t="n">
        <v>3</v>
      </c>
      <c r="M2329" s="9" t="n">
        <v>1</v>
      </c>
      <c r="N2329" s="9" t="s">
        <v>42</v>
      </c>
      <c r="O2329" s="9" t="s">
        <v>52</v>
      </c>
      <c r="P2329" s="9" t="n">
        <v>1.7</v>
      </c>
      <c r="Q2329" s="9" t="n">
        <v>25</v>
      </c>
      <c r="R2329" s="9" t="s">
        <v>44</v>
      </c>
      <c r="S2329" s="9"/>
      <c r="T2329" s="9"/>
      <c r="U2329" s="9" t="str">
        <f aca="false">IF(COUNTIF($A$2:$A$5001,A2329)&gt;1,"Duplicate","Unique")</f>
        <v>Unique</v>
      </c>
      <c r="V2329" s="9" t="str">
        <f aca="false">IF(COUNTIFS($B$2:$B$5001,B2329,$H$2:$H$5001,H2329,$J$2:$J$5001,J2329)&gt;1,"Possible Duplicate Booking","Unique")</f>
        <v>Unique</v>
      </c>
      <c r="W2329" s="9" t="str">
        <f aca="false">IF((H2329-G2329)&lt;&gt;K2329,"Mismatch","OK")</f>
        <v>OK</v>
      </c>
      <c r="X2329" s="9" t="str">
        <f aca="false">IF(TEXT(H2329,"dddd")&lt;&gt;I2329,"Mismatch","OK")</f>
        <v>OK</v>
      </c>
      <c r="Y2329" s="9" t="str">
        <f aca="false">IF(AND(N2329="No",O2329&lt;&gt;""),"Unexpected: channel present but no reminder sent",IF(AND(N2329="Yes",O2329=""),"Missing channel for sent reminder","OK"))</f>
        <v>OK</v>
      </c>
    </row>
    <row r="2330" customFormat="false" ht="15" hidden="false" customHeight="false" outlineLevel="0" collapsed="false">
      <c r="A2330" s="7" t="s">
        <v>3706</v>
      </c>
      <c r="B2330" s="7" t="s">
        <v>2520</v>
      </c>
      <c r="C2330" s="7" t="s">
        <v>37</v>
      </c>
      <c r="D2330" s="7" t="n">
        <v>35</v>
      </c>
      <c r="E2330" s="7" t="s">
        <v>38</v>
      </c>
      <c r="F2330" s="7" t="s">
        <v>39</v>
      </c>
      <c r="G2330" s="8" t="n">
        <v>45649</v>
      </c>
      <c r="H2330" s="8" t="n">
        <v>45672</v>
      </c>
      <c r="I2330" s="7" t="s">
        <v>58</v>
      </c>
      <c r="J2330" s="7" t="s">
        <v>51</v>
      </c>
      <c r="K2330" s="7" t="n">
        <v>23</v>
      </c>
      <c r="L2330" s="7" t="n">
        <v>3</v>
      </c>
      <c r="M2330" s="7" t="n">
        <v>0</v>
      </c>
      <c r="N2330" s="7" t="s">
        <v>71</v>
      </c>
      <c r="O2330" s="7"/>
      <c r="P2330" s="7" t="n">
        <v>18.5</v>
      </c>
      <c r="Q2330" s="7" t="n">
        <v>30</v>
      </c>
      <c r="R2330" s="7" t="s">
        <v>53</v>
      </c>
      <c r="S2330" s="7"/>
      <c r="T2330" s="7"/>
      <c r="U2330" s="7" t="str">
        <f aca="false">IF(COUNTIF($A$2:$A$5001,A2330)&gt;1,"Duplicate","Unique")</f>
        <v>Unique</v>
      </c>
      <c r="V2330" s="7" t="str">
        <f aca="false">IF(COUNTIFS($B$2:$B$5001,B2330,$H$2:$H$5001,H2330,$J$2:$J$5001,J2330)&gt;1,"Possible Duplicate Booking","Unique")</f>
        <v>Unique</v>
      </c>
      <c r="W2330" s="7" t="str">
        <f aca="false">IF((H2330-G2330)&lt;&gt;K2330,"Mismatch","OK")</f>
        <v>OK</v>
      </c>
      <c r="X2330" s="7" t="str">
        <f aca="false">IF(TEXT(H2330,"dddd")&lt;&gt;I2330,"Mismatch","OK")</f>
        <v>OK</v>
      </c>
      <c r="Y2330" s="7" t="str">
        <f aca="false">IF(AND(N2330="No",O2330&lt;&gt;""),"Unexpected: channel present but no reminder sent",IF(AND(N2330="Yes",O2330=""),"Missing channel for sent reminder","OK"))</f>
        <v>OK</v>
      </c>
    </row>
    <row r="2331" customFormat="false" ht="15" hidden="false" customHeight="false" outlineLevel="0" collapsed="false">
      <c r="A2331" s="9" t="s">
        <v>3707</v>
      </c>
      <c r="B2331" s="9" t="s">
        <v>2660</v>
      </c>
      <c r="C2331" s="9" t="s">
        <v>47</v>
      </c>
      <c r="D2331" s="9" t="n">
        <v>74</v>
      </c>
      <c r="E2331" s="9" t="s">
        <v>70</v>
      </c>
      <c r="F2331" s="9" t="s">
        <v>39</v>
      </c>
      <c r="G2331" s="10" t="n">
        <v>45724</v>
      </c>
      <c r="H2331" s="10" t="n">
        <v>45738</v>
      </c>
      <c r="I2331" s="9" t="s">
        <v>102</v>
      </c>
      <c r="J2331" s="9" t="s">
        <v>63</v>
      </c>
      <c r="K2331" s="9" t="n">
        <v>14</v>
      </c>
      <c r="L2331" s="9" t="n">
        <v>0</v>
      </c>
      <c r="M2331" s="9" t="n">
        <v>0</v>
      </c>
      <c r="N2331" s="9" t="s">
        <v>42</v>
      </c>
      <c r="O2331" s="9" t="s">
        <v>43</v>
      </c>
      <c r="P2331" s="9" t="n">
        <v>6.3</v>
      </c>
      <c r="Q2331" s="9" t="n">
        <v>34</v>
      </c>
      <c r="R2331" s="9" t="s">
        <v>53</v>
      </c>
      <c r="S2331" s="9"/>
      <c r="T2331" s="9"/>
      <c r="U2331" s="9" t="str">
        <f aca="false">IF(COUNTIF($A$2:$A$5001,A2331)&gt;1,"Duplicate","Unique")</f>
        <v>Unique</v>
      </c>
      <c r="V2331" s="9" t="str">
        <f aca="false">IF(COUNTIFS($B$2:$B$5001,B2331,$H$2:$H$5001,H2331,$J$2:$J$5001,J2331)&gt;1,"Possible Duplicate Booking","Unique")</f>
        <v>Unique</v>
      </c>
      <c r="W2331" s="9" t="str">
        <f aca="false">IF((H2331-G2331)&lt;&gt;K2331,"Mismatch","OK")</f>
        <v>OK</v>
      </c>
      <c r="X2331" s="9" t="str">
        <f aca="false">IF(TEXT(H2331,"dddd")&lt;&gt;I2331,"Mismatch","OK")</f>
        <v>OK</v>
      </c>
      <c r="Y2331" s="9" t="str">
        <f aca="false">IF(AND(N2331="No",O2331&lt;&gt;""),"Unexpected: channel present but no reminder sent",IF(AND(N2331="Yes",O2331=""),"Missing channel for sent reminder","OK"))</f>
        <v>OK</v>
      </c>
    </row>
    <row r="2332" customFormat="false" ht="15" hidden="false" customHeight="false" outlineLevel="0" collapsed="false">
      <c r="A2332" s="7" t="s">
        <v>3708</v>
      </c>
      <c r="B2332" s="7" t="s">
        <v>3709</v>
      </c>
      <c r="C2332" s="7" t="s">
        <v>47</v>
      </c>
      <c r="D2332" s="7" t="n">
        <v>71</v>
      </c>
      <c r="E2332" s="7" t="s">
        <v>70</v>
      </c>
      <c r="F2332" s="7" t="s">
        <v>49</v>
      </c>
      <c r="G2332" s="8" t="n">
        <v>45678</v>
      </c>
      <c r="H2332" s="8" t="n">
        <v>45693</v>
      </c>
      <c r="I2332" s="7" t="s">
        <v>58</v>
      </c>
      <c r="J2332" s="7" t="s">
        <v>51</v>
      </c>
      <c r="K2332" s="7" t="n">
        <v>15</v>
      </c>
      <c r="L2332" s="7" t="n">
        <v>3</v>
      </c>
      <c r="M2332" s="7" t="n">
        <v>1</v>
      </c>
      <c r="N2332" s="7" t="s">
        <v>71</v>
      </c>
      <c r="O2332" s="7"/>
      <c r="P2332" s="7" t="n">
        <v>15.6</v>
      </c>
      <c r="Q2332" s="7" t="n">
        <v>15</v>
      </c>
      <c r="R2332" s="7" t="s">
        <v>44</v>
      </c>
      <c r="S2332" s="7"/>
      <c r="T2332" s="7"/>
      <c r="U2332" s="7" t="str">
        <f aca="false">IF(COUNTIF($A$2:$A$5001,A2332)&gt;1,"Duplicate","Unique")</f>
        <v>Unique</v>
      </c>
      <c r="V2332" s="7" t="str">
        <f aca="false">IF(COUNTIFS($B$2:$B$5001,B2332,$H$2:$H$5001,H2332,$J$2:$J$5001,J2332)&gt;1,"Possible Duplicate Booking","Unique")</f>
        <v>Unique</v>
      </c>
      <c r="W2332" s="7" t="str">
        <f aca="false">IF((H2332-G2332)&lt;&gt;K2332,"Mismatch","OK")</f>
        <v>OK</v>
      </c>
      <c r="X2332" s="7" t="str">
        <f aca="false">IF(TEXT(H2332,"dddd")&lt;&gt;I2332,"Mismatch","OK")</f>
        <v>OK</v>
      </c>
      <c r="Y2332" s="7" t="str">
        <f aca="false">IF(AND(N2332="No",O2332&lt;&gt;""),"Unexpected: channel present but no reminder sent",IF(AND(N2332="Yes",O2332=""),"Missing channel for sent reminder","OK"))</f>
        <v>OK</v>
      </c>
    </row>
    <row r="2333" customFormat="false" ht="15" hidden="false" customHeight="false" outlineLevel="0" collapsed="false">
      <c r="A2333" s="9" t="s">
        <v>3710</v>
      </c>
      <c r="B2333" s="9" t="s">
        <v>664</v>
      </c>
      <c r="C2333" s="9" t="s">
        <v>47</v>
      </c>
      <c r="D2333" s="9" t="n">
        <v>59</v>
      </c>
      <c r="E2333" s="9" t="s">
        <v>61</v>
      </c>
      <c r="F2333" s="9" t="s">
        <v>57</v>
      </c>
      <c r="G2333" s="10" t="n">
        <v>46102</v>
      </c>
      <c r="H2333" s="10" t="n">
        <v>46127</v>
      </c>
      <c r="I2333" s="9" t="s">
        <v>58</v>
      </c>
      <c r="J2333" s="9" t="s">
        <v>41</v>
      </c>
      <c r="K2333" s="9" t="n">
        <v>25</v>
      </c>
      <c r="L2333" s="9" t="n">
        <v>1</v>
      </c>
      <c r="M2333" s="9" t="n">
        <v>0</v>
      </c>
      <c r="N2333" s="9" t="s">
        <v>42</v>
      </c>
      <c r="O2333" s="9" t="s">
        <v>43</v>
      </c>
      <c r="P2333" s="9" t="n">
        <v>6.3</v>
      </c>
      <c r="Q2333" s="9" t="n">
        <v>23</v>
      </c>
      <c r="R2333" s="9" t="s">
        <v>53</v>
      </c>
      <c r="S2333" s="9"/>
      <c r="T2333" s="9"/>
      <c r="U2333" s="9" t="str">
        <f aca="false">IF(COUNTIF($A$2:$A$5001,A2333)&gt;1,"Duplicate","Unique")</f>
        <v>Unique</v>
      </c>
      <c r="V2333" s="9" t="str">
        <f aca="false">IF(COUNTIFS($B$2:$B$5001,B2333,$H$2:$H$5001,H2333,$J$2:$J$5001,J2333)&gt;1,"Possible Duplicate Booking","Unique")</f>
        <v>Unique</v>
      </c>
      <c r="W2333" s="9" t="str">
        <f aca="false">IF((H2333-G2333)&lt;&gt;K2333,"Mismatch","OK")</f>
        <v>OK</v>
      </c>
      <c r="X2333" s="9" t="str">
        <f aca="false">IF(TEXT(H2333,"dddd")&lt;&gt;I2333,"Mismatch","OK")</f>
        <v>OK</v>
      </c>
      <c r="Y2333" s="9" t="str">
        <f aca="false">IF(AND(N2333="No",O2333&lt;&gt;""),"Unexpected: channel present but no reminder sent",IF(AND(N2333="Yes",O2333=""),"Missing channel for sent reminder","OK"))</f>
        <v>OK</v>
      </c>
    </row>
    <row r="2334" customFormat="false" ht="15" hidden="false" customHeight="false" outlineLevel="0" collapsed="false">
      <c r="A2334" s="7" t="s">
        <v>3711</v>
      </c>
      <c r="B2334" s="7" t="s">
        <v>3636</v>
      </c>
      <c r="C2334" s="7" t="s">
        <v>47</v>
      </c>
      <c r="D2334" s="7" t="n">
        <v>58</v>
      </c>
      <c r="E2334" s="7" t="s">
        <v>61</v>
      </c>
      <c r="F2334" s="7" t="s">
        <v>49</v>
      </c>
      <c r="G2334" s="8" t="n">
        <v>45784</v>
      </c>
      <c r="H2334" s="8" t="n">
        <v>45804</v>
      </c>
      <c r="I2334" s="7" t="s">
        <v>40</v>
      </c>
      <c r="J2334" s="7" t="s">
        <v>63</v>
      </c>
      <c r="K2334" s="7" t="n">
        <v>20</v>
      </c>
      <c r="L2334" s="7" t="n">
        <v>7</v>
      </c>
      <c r="M2334" s="7" t="n">
        <v>1</v>
      </c>
      <c r="N2334" s="7" t="s">
        <v>42</v>
      </c>
      <c r="O2334" s="7" t="s">
        <v>52</v>
      </c>
      <c r="P2334" s="7" t="n">
        <v>2.3</v>
      </c>
      <c r="Q2334" s="7" t="n">
        <v>15</v>
      </c>
      <c r="R2334" s="7" t="s">
        <v>53</v>
      </c>
      <c r="S2334" s="7"/>
      <c r="T2334" s="7"/>
      <c r="U2334" s="7" t="str">
        <f aca="false">IF(COUNTIF($A$2:$A$5001,A2334)&gt;1,"Duplicate","Unique")</f>
        <v>Unique</v>
      </c>
      <c r="V2334" s="7" t="str">
        <f aca="false">IF(COUNTIFS($B$2:$B$5001,B2334,$H$2:$H$5001,H2334,$J$2:$J$5001,J2334)&gt;1,"Possible Duplicate Booking","Unique")</f>
        <v>Unique</v>
      </c>
      <c r="W2334" s="7" t="str">
        <f aca="false">IF((H2334-G2334)&lt;&gt;K2334,"Mismatch","OK")</f>
        <v>OK</v>
      </c>
      <c r="X2334" s="7" t="str">
        <f aca="false">IF(TEXT(H2334,"dddd")&lt;&gt;I2334,"Mismatch","OK")</f>
        <v>OK</v>
      </c>
      <c r="Y2334" s="7" t="str">
        <f aca="false">IF(AND(N2334="No",O2334&lt;&gt;""),"Unexpected: channel present but no reminder sent",IF(AND(N2334="Yes",O2334=""),"Missing channel for sent reminder","OK"))</f>
        <v>OK</v>
      </c>
    </row>
    <row r="2335" customFormat="false" ht="15" hidden="false" customHeight="false" outlineLevel="0" collapsed="false">
      <c r="A2335" s="9" t="s">
        <v>3712</v>
      </c>
      <c r="B2335" s="9" t="s">
        <v>525</v>
      </c>
      <c r="C2335" s="9" t="s">
        <v>37</v>
      </c>
      <c r="D2335" s="9" t="n">
        <v>55</v>
      </c>
      <c r="E2335" s="9" t="s">
        <v>61</v>
      </c>
      <c r="F2335" s="9" t="s">
        <v>49</v>
      </c>
      <c r="G2335" s="10" t="n">
        <v>46095</v>
      </c>
      <c r="H2335" s="10" t="n">
        <v>46107</v>
      </c>
      <c r="I2335" s="9" t="s">
        <v>62</v>
      </c>
      <c r="J2335" s="9" t="s">
        <v>51</v>
      </c>
      <c r="K2335" s="9" t="n">
        <v>12</v>
      </c>
      <c r="L2335" s="9" t="n">
        <v>3</v>
      </c>
      <c r="M2335" s="9" t="n">
        <v>2</v>
      </c>
      <c r="N2335" s="9" t="s">
        <v>42</v>
      </c>
      <c r="O2335" s="9" t="s">
        <v>43</v>
      </c>
      <c r="P2335" s="9" t="n">
        <v>5.6</v>
      </c>
      <c r="Q2335" s="9" t="n">
        <v>13</v>
      </c>
      <c r="R2335" s="9" t="s">
        <v>44</v>
      </c>
      <c r="S2335" s="9"/>
      <c r="T2335" s="9"/>
      <c r="U2335" s="9" t="str">
        <f aca="false">IF(COUNTIF($A$2:$A$5001,A2335)&gt;1,"Duplicate","Unique")</f>
        <v>Unique</v>
      </c>
      <c r="V2335" s="9" t="str">
        <f aca="false">IF(COUNTIFS($B$2:$B$5001,B2335,$H$2:$H$5001,H2335,$J$2:$J$5001,J2335)&gt;1,"Possible Duplicate Booking","Unique")</f>
        <v>Unique</v>
      </c>
      <c r="W2335" s="9" t="str">
        <f aca="false">IF((H2335-G2335)&lt;&gt;K2335,"Mismatch","OK")</f>
        <v>OK</v>
      </c>
      <c r="X2335" s="9" t="str">
        <f aca="false">IF(TEXT(H2335,"dddd")&lt;&gt;I2335,"Mismatch","OK")</f>
        <v>OK</v>
      </c>
      <c r="Y2335" s="9" t="str">
        <f aca="false">IF(AND(N2335="No",O2335&lt;&gt;""),"Unexpected: channel present but no reminder sent",IF(AND(N2335="Yes",O2335=""),"Missing channel for sent reminder","OK"))</f>
        <v>OK</v>
      </c>
    </row>
    <row r="2336" customFormat="false" ht="15" hidden="false" customHeight="false" outlineLevel="0" collapsed="false">
      <c r="A2336" s="7" t="s">
        <v>3713</v>
      </c>
      <c r="B2336" s="7" t="s">
        <v>1865</v>
      </c>
      <c r="C2336" s="7" t="s">
        <v>47</v>
      </c>
      <c r="D2336" s="7" t="n">
        <v>64</v>
      </c>
      <c r="E2336" s="7" t="s">
        <v>61</v>
      </c>
      <c r="F2336" s="7" t="s">
        <v>49</v>
      </c>
      <c r="G2336" s="8" t="n">
        <v>45940</v>
      </c>
      <c r="H2336" s="8" t="n">
        <v>45960</v>
      </c>
      <c r="I2336" s="7" t="s">
        <v>62</v>
      </c>
      <c r="J2336" s="7" t="s">
        <v>63</v>
      </c>
      <c r="K2336" s="7" t="n">
        <v>20</v>
      </c>
      <c r="L2336" s="7" t="n">
        <v>2</v>
      </c>
      <c r="M2336" s="7" t="n">
        <v>1</v>
      </c>
      <c r="N2336" s="7" t="s">
        <v>42</v>
      </c>
      <c r="O2336" s="7" t="s">
        <v>52</v>
      </c>
      <c r="P2336" s="7" t="n">
        <v>17.5</v>
      </c>
      <c r="Q2336" s="7" t="n">
        <v>28</v>
      </c>
      <c r="R2336" s="7" t="s">
        <v>44</v>
      </c>
      <c r="S2336" s="7"/>
      <c r="T2336" s="7"/>
      <c r="U2336" s="7" t="str">
        <f aca="false">IF(COUNTIF($A$2:$A$5001,A2336)&gt;1,"Duplicate","Unique")</f>
        <v>Unique</v>
      </c>
      <c r="V2336" s="7" t="str">
        <f aca="false">IF(COUNTIFS($B$2:$B$5001,B2336,$H$2:$H$5001,H2336,$J$2:$J$5001,J2336)&gt;1,"Possible Duplicate Booking","Unique")</f>
        <v>Unique</v>
      </c>
      <c r="W2336" s="7" t="str">
        <f aca="false">IF((H2336-G2336)&lt;&gt;K2336,"Mismatch","OK")</f>
        <v>OK</v>
      </c>
      <c r="X2336" s="7" t="str">
        <f aca="false">IF(TEXT(H2336,"dddd")&lt;&gt;I2336,"Mismatch","OK")</f>
        <v>OK</v>
      </c>
      <c r="Y2336" s="7" t="str">
        <f aca="false">IF(AND(N2336="No",O2336&lt;&gt;""),"Unexpected: channel present but no reminder sent",IF(AND(N2336="Yes",O2336=""),"Missing channel for sent reminder","OK"))</f>
        <v>OK</v>
      </c>
    </row>
    <row r="2337" customFormat="false" ht="15" hidden="false" customHeight="false" outlineLevel="0" collapsed="false">
      <c r="A2337" s="9" t="s">
        <v>3714</v>
      </c>
      <c r="B2337" s="9" t="s">
        <v>580</v>
      </c>
      <c r="C2337" s="9" t="s">
        <v>47</v>
      </c>
      <c r="D2337" s="9" t="n">
        <v>46</v>
      </c>
      <c r="E2337" s="9" t="s">
        <v>56</v>
      </c>
      <c r="F2337" s="9" t="s">
        <v>57</v>
      </c>
      <c r="G2337" s="10" t="n">
        <v>45945</v>
      </c>
      <c r="H2337" s="10" t="n">
        <v>45952</v>
      </c>
      <c r="I2337" s="9" t="s">
        <v>58</v>
      </c>
      <c r="J2337" s="9" t="s">
        <v>51</v>
      </c>
      <c r="K2337" s="9" t="n">
        <v>7</v>
      </c>
      <c r="L2337" s="9" t="n">
        <v>2</v>
      </c>
      <c r="M2337" s="9" t="n">
        <v>0</v>
      </c>
      <c r="N2337" s="9" t="s">
        <v>42</v>
      </c>
      <c r="O2337" s="9" t="s">
        <v>52</v>
      </c>
      <c r="P2337" s="9" t="n">
        <v>9.5</v>
      </c>
      <c r="Q2337" s="9" t="n">
        <v>23</v>
      </c>
      <c r="R2337" s="9" t="s">
        <v>44</v>
      </c>
      <c r="S2337" s="9"/>
      <c r="T2337" s="9"/>
      <c r="U2337" s="9" t="str">
        <f aca="false">IF(COUNTIF($A$2:$A$5001,A2337)&gt;1,"Duplicate","Unique")</f>
        <v>Unique</v>
      </c>
      <c r="V2337" s="9" t="str">
        <f aca="false">IF(COUNTIFS($B$2:$B$5001,B2337,$H$2:$H$5001,H2337,$J$2:$J$5001,J2337)&gt;1,"Possible Duplicate Booking","Unique")</f>
        <v>Unique</v>
      </c>
      <c r="W2337" s="9" t="str">
        <f aca="false">IF((H2337-G2337)&lt;&gt;K2337,"Mismatch","OK")</f>
        <v>OK</v>
      </c>
      <c r="X2337" s="9" t="str">
        <f aca="false">IF(TEXT(H2337,"dddd")&lt;&gt;I2337,"Mismatch","OK")</f>
        <v>OK</v>
      </c>
      <c r="Y2337" s="9" t="str">
        <f aca="false">IF(AND(N2337="No",O2337&lt;&gt;""),"Unexpected: channel present but no reminder sent",IF(AND(N2337="Yes",O2337=""),"Missing channel for sent reminder","OK"))</f>
        <v>OK</v>
      </c>
    </row>
    <row r="2338" customFormat="false" ht="15" hidden="false" customHeight="false" outlineLevel="0" collapsed="false">
      <c r="A2338" s="7" t="s">
        <v>3715</v>
      </c>
      <c r="B2338" s="7" t="s">
        <v>3716</v>
      </c>
      <c r="C2338" s="7" t="s">
        <v>47</v>
      </c>
      <c r="D2338" s="7" t="n">
        <v>79</v>
      </c>
      <c r="E2338" s="7" t="s">
        <v>70</v>
      </c>
      <c r="F2338" s="7" t="s">
        <v>57</v>
      </c>
      <c r="G2338" s="8" t="n">
        <v>45847</v>
      </c>
      <c r="H2338" s="8" t="n">
        <v>45906</v>
      </c>
      <c r="I2338" s="7" t="s">
        <v>102</v>
      </c>
      <c r="J2338" s="7" t="s">
        <v>41</v>
      </c>
      <c r="K2338" s="7" t="n">
        <v>59</v>
      </c>
      <c r="L2338" s="7" t="n">
        <v>4</v>
      </c>
      <c r="M2338" s="7" t="n">
        <v>2</v>
      </c>
      <c r="N2338" s="7" t="s">
        <v>71</v>
      </c>
      <c r="O2338" s="7"/>
      <c r="P2338" s="7" t="n">
        <v>15.8</v>
      </c>
      <c r="Q2338" s="7" t="n">
        <v>29</v>
      </c>
      <c r="R2338" s="7" t="s">
        <v>44</v>
      </c>
      <c r="S2338" s="7"/>
      <c r="T2338" s="7"/>
      <c r="U2338" s="7" t="str">
        <f aca="false">IF(COUNTIF($A$2:$A$5001,A2338)&gt;1,"Duplicate","Unique")</f>
        <v>Unique</v>
      </c>
      <c r="V2338" s="7" t="str">
        <f aca="false">IF(COUNTIFS($B$2:$B$5001,B2338,$H$2:$H$5001,H2338,$J$2:$J$5001,J2338)&gt;1,"Possible Duplicate Booking","Unique")</f>
        <v>Unique</v>
      </c>
      <c r="W2338" s="7" t="str">
        <f aca="false">IF((H2338-G2338)&lt;&gt;K2338,"Mismatch","OK")</f>
        <v>OK</v>
      </c>
      <c r="X2338" s="7" t="str">
        <f aca="false">IF(TEXT(H2338,"dddd")&lt;&gt;I2338,"Mismatch","OK")</f>
        <v>OK</v>
      </c>
      <c r="Y2338" s="7" t="str">
        <f aca="false">IF(AND(N2338="No",O2338&lt;&gt;""),"Unexpected: channel present but no reminder sent",IF(AND(N2338="Yes",O2338=""),"Missing channel for sent reminder","OK"))</f>
        <v>OK</v>
      </c>
    </row>
    <row r="2339" customFormat="false" ht="15" hidden="false" customHeight="false" outlineLevel="0" collapsed="false">
      <c r="A2339" s="9" t="s">
        <v>3717</v>
      </c>
      <c r="B2339" s="9" t="s">
        <v>3718</v>
      </c>
      <c r="C2339" s="9" t="s">
        <v>37</v>
      </c>
      <c r="D2339" s="9" t="n">
        <v>39</v>
      </c>
      <c r="E2339" s="9" t="s">
        <v>38</v>
      </c>
      <c r="F2339" s="9" t="s">
        <v>39</v>
      </c>
      <c r="G2339" s="10" t="n">
        <v>46082</v>
      </c>
      <c r="H2339" s="10" t="n">
        <v>46105</v>
      </c>
      <c r="I2339" s="9" t="s">
        <v>40</v>
      </c>
      <c r="J2339" s="9" t="s">
        <v>51</v>
      </c>
      <c r="K2339" s="9" t="n">
        <v>23</v>
      </c>
      <c r="L2339" s="9" t="n">
        <v>3</v>
      </c>
      <c r="M2339" s="9" t="n">
        <v>1</v>
      </c>
      <c r="N2339" s="9" t="s">
        <v>71</v>
      </c>
      <c r="O2339" s="9"/>
      <c r="P2339" s="9" t="n">
        <v>6.5</v>
      </c>
      <c r="Q2339" s="9" t="n">
        <v>18</v>
      </c>
      <c r="R2339" s="9" t="s">
        <v>44</v>
      </c>
      <c r="S2339" s="9"/>
      <c r="T2339" s="9"/>
      <c r="U2339" s="9" t="str">
        <f aca="false">IF(COUNTIF($A$2:$A$5001,A2339)&gt;1,"Duplicate","Unique")</f>
        <v>Unique</v>
      </c>
      <c r="V2339" s="9" t="str">
        <f aca="false">IF(COUNTIFS($B$2:$B$5001,B2339,$H$2:$H$5001,H2339,$J$2:$J$5001,J2339)&gt;1,"Possible Duplicate Booking","Unique")</f>
        <v>Unique</v>
      </c>
      <c r="W2339" s="9" t="str">
        <f aca="false">IF((H2339-G2339)&lt;&gt;K2339,"Mismatch","OK")</f>
        <v>OK</v>
      </c>
      <c r="X2339" s="9" t="str">
        <f aca="false">IF(TEXT(H2339,"dddd")&lt;&gt;I2339,"Mismatch","OK")</f>
        <v>OK</v>
      </c>
      <c r="Y2339" s="9" t="str">
        <f aca="false">IF(AND(N2339="No",O2339&lt;&gt;""),"Unexpected: channel present but no reminder sent",IF(AND(N2339="Yes",O2339=""),"Missing channel for sent reminder","OK"))</f>
        <v>OK</v>
      </c>
    </row>
    <row r="2340" customFormat="false" ht="15" hidden="false" customHeight="false" outlineLevel="0" collapsed="false">
      <c r="A2340" s="7" t="s">
        <v>3719</v>
      </c>
      <c r="B2340" s="7" t="s">
        <v>3720</v>
      </c>
      <c r="C2340" s="7" t="s">
        <v>37</v>
      </c>
      <c r="D2340" s="7" t="n">
        <v>18</v>
      </c>
      <c r="E2340" s="7" t="s">
        <v>82</v>
      </c>
      <c r="F2340" s="7" t="s">
        <v>49</v>
      </c>
      <c r="G2340" s="8" t="n">
        <v>45675</v>
      </c>
      <c r="H2340" s="8" t="n">
        <v>45681</v>
      </c>
      <c r="I2340" s="7" t="s">
        <v>50</v>
      </c>
      <c r="J2340" s="7" t="s">
        <v>41</v>
      </c>
      <c r="K2340" s="7" t="n">
        <v>6</v>
      </c>
      <c r="L2340" s="7" t="n">
        <v>1</v>
      </c>
      <c r="M2340" s="7" t="n">
        <v>0</v>
      </c>
      <c r="N2340" s="7" t="s">
        <v>42</v>
      </c>
      <c r="O2340" s="7" t="s">
        <v>67</v>
      </c>
      <c r="P2340" s="7" t="n">
        <v>4.7</v>
      </c>
      <c r="Q2340" s="7" t="n">
        <v>31</v>
      </c>
      <c r="R2340" s="7" t="s">
        <v>44</v>
      </c>
      <c r="S2340" s="7"/>
      <c r="T2340" s="7"/>
      <c r="U2340" s="7" t="str">
        <f aca="false">IF(COUNTIF($A$2:$A$5001,A2340)&gt;1,"Duplicate","Unique")</f>
        <v>Unique</v>
      </c>
      <c r="V2340" s="7" t="str">
        <f aca="false">IF(COUNTIFS($B$2:$B$5001,B2340,$H$2:$H$5001,H2340,$J$2:$J$5001,J2340)&gt;1,"Possible Duplicate Booking","Unique")</f>
        <v>Unique</v>
      </c>
      <c r="W2340" s="7" t="str">
        <f aca="false">IF((H2340-G2340)&lt;&gt;K2340,"Mismatch","OK")</f>
        <v>OK</v>
      </c>
      <c r="X2340" s="7" t="str">
        <f aca="false">IF(TEXT(H2340,"dddd")&lt;&gt;I2340,"Mismatch","OK")</f>
        <v>OK</v>
      </c>
      <c r="Y2340" s="7" t="str">
        <f aca="false">IF(AND(N2340="No",O2340&lt;&gt;""),"Unexpected: channel present but no reminder sent",IF(AND(N2340="Yes",O2340=""),"Missing channel for sent reminder","OK"))</f>
        <v>OK</v>
      </c>
    </row>
    <row r="2341" customFormat="false" ht="15" hidden="false" customHeight="false" outlineLevel="0" collapsed="false">
      <c r="A2341" s="9" t="s">
        <v>3721</v>
      </c>
      <c r="B2341" s="9" t="s">
        <v>2122</v>
      </c>
      <c r="C2341" s="9" t="s">
        <v>37</v>
      </c>
      <c r="D2341" s="9" t="n">
        <v>62</v>
      </c>
      <c r="E2341" s="9" t="s">
        <v>61</v>
      </c>
      <c r="F2341" s="9" t="s">
        <v>74</v>
      </c>
      <c r="G2341" s="10" t="n">
        <v>45673</v>
      </c>
      <c r="H2341" s="10" t="n">
        <v>45708</v>
      </c>
      <c r="I2341" s="9" t="s">
        <v>62</v>
      </c>
      <c r="J2341" s="9" t="s">
        <v>51</v>
      </c>
      <c r="K2341" s="9" t="n">
        <v>35</v>
      </c>
      <c r="L2341" s="9" t="n">
        <v>3</v>
      </c>
      <c r="M2341" s="9" t="n">
        <v>0</v>
      </c>
      <c r="N2341" s="9" t="s">
        <v>71</v>
      </c>
      <c r="O2341" s="9"/>
      <c r="P2341" s="9" t="n">
        <v>15.2</v>
      </c>
      <c r="Q2341" s="9" t="n">
        <v>12</v>
      </c>
      <c r="R2341" s="9" t="s">
        <v>53</v>
      </c>
      <c r="S2341" s="9"/>
      <c r="T2341" s="9"/>
      <c r="U2341" s="9" t="str">
        <f aca="false">IF(COUNTIF($A$2:$A$5001,A2341)&gt;1,"Duplicate","Unique")</f>
        <v>Unique</v>
      </c>
      <c r="V2341" s="9" t="str">
        <f aca="false">IF(COUNTIFS($B$2:$B$5001,B2341,$H$2:$H$5001,H2341,$J$2:$J$5001,J2341)&gt;1,"Possible Duplicate Booking","Unique")</f>
        <v>Unique</v>
      </c>
      <c r="W2341" s="9" t="str">
        <f aca="false">IF((H2341-G2341)&lt;&gt;K2341,"Mismatch","OK")</f>
        <v>OK</v>
      </c>
      <c r="X2341" s="9" t="str">
        <f aca="false">IF(TEXT(H2341,"dddd")&lt;&gt;I2341,"Mismatch","OK")</f>
        <v>OK</v>
      </c>
      <c r="Y2341" s="9" t="str">
        <f aca="false">IF(AND(N2341="No",O2341&lt;&gt;""),"Unexpected: channel present but no reminder sent",IF(AND(N2341="Yes",O2341=""),"Missing channel for sent reminder","OK"))</f>
        <v>OK</v>
      </c>
    </row>
    <row r="2342" customFormat="false" ht="15" hidden="false" customHeight="false" outlineLevel="0" collapsed="false">
      <c r="A2342" s="7" t="s">
        <v>3722</v>
      </c>
      <c r="B2342" s="7" t="s">
        <v>3723</v>
      </c>
      <c r="C2342" s="7" t="s">
        <v>37</v>
      </c>
      <c r="D2342" s="7" t="n">
        <v>59</v>
      </c>
      <c r="E2342" s="7" t="s">
        <v>61</v>
      </c>
      <c r="F2342" s="7" t="s">
        <v>39</v>
      </c>
      <c r="G2342" s="8" t="n">
        <v>45836</v>
      </c>
      <c r="H2342" s="8" t="n">
        <v>45889</v>
      </c>
      <c r="I2342" s="7" t="s">
        <v>58</v>
      </c>
      <c r="J2342" s="7" t="s">
        <v>51</v>
      </c>
      <c r="K2342" s="7" t="n">
        <v>53</v>
      </c>
      <c r="L2342" s="7" t="n">
        <v>3</v>
      </c>
      <c r="M2342" s="7" t="n">
        <v>1</v>
      </c>
      <c r="N2342" s="7" t="s">
        <v>42</v>
      </c>
      <c r="O2342" s="7" t="s">
        <v>52</v>
      </c>
      <c r="P2342" s="7" t="n">
        <v>8.2</v>
      </c>
      <c r="Q2342" s="7" t="n">
        <v>19</v>
      </c>
      <c r="R2342" s="7" t="s">
        <v>44</v>
      </c>
      <c r="S2342" s="7"/>
      <c r="T2342" s="7"/>
      <c r="U2342" s="7" t="str">
        <f aca="false">IF(COUNTIF($A$2:$A$5001,A2342)&gt;1,"Duplicate","Unique")</f>
        <v>Unique</v>
      </c>
      <c r="V2342" s="7" t="str">
        <f aca="false">IF(COUNTIFS($B$2:$B$5001,B2342,$H$2:$H$5001,H2342,$J$2:$J$5001,J2342)&gt;1,"Possible Duplicate Booking","Unique")</f>
        <v>Unique</v>
      </c>
      <c r="W2342" s="7" t="str">
        <f aca="false">IF((H2342-G2342)&lt;&gt;K2342,"Mismatch","OK")</f>
        <v>OK</v>
      </c>
      <c r="X2342" s="7" t="str">
        <f aca="false">IF(TEXT(H2342,"dddd")&lt;&gt;I2342,"Mismatch","OK")</f>
        <v>OK</v>
      </c>
      <c r="Y2342" s="7" t="str">
        <f aca="false">IF(AND(N2342="No",O2342&lt;&gt;""),"Unexpected: channel present but no reminder sent",IF(AND(N2342="Yes",O2342=""),"Missing channel for sent reminder","OK"))</f>
        <v>OK</v>
      </c>
    </row>
    <row r="2343" customFormat="false" ht="15" hidden="false" customHeight="false" outlineLevel="0" collapsed="false">
      <c r="A2343" s="9" t="s">
        <v>3724</v>
      </c>
      <c r="B2343" s="9" t="s">
        <v>2175</v>
      </c>
      <c r="C2343" s="9" t="s">
        <v>236</v>
      </c>
      <c r="D2343" s="9" t="n">
        <v>79</v>
      </c>
      <c r="E2343" s="9" t="s">
        <v>70</v>
      </c>
      <c r="F2343" s="9" t="s">
        <v>57</v>
      </c>
      <c r="G2343" s="10" t="n">
        <v>45852</v>
      </c>
      <c r="H2343" s="10" t="n">
        <v>45873</v>
      </c>
      <c r="I2343" s="9" t="s">
        <v>66</v>
      </c>
      <c r="J2343" s="9" t="s">
        <v>51</v>
      </c>
      <c r="K2343" s="9" t="n">
        <v>21</v>
      </c>
      <c r="L2343" s="9" t="n">
        <v>3</v>
      </c>
      <c r="M2343" s="9" t="n">
        <v>0</v>
      </c>
      <c r="N2343" s="9" t="s">
        <v>71</v>
      </c>
      <c r="O2343" s="9"/>
      <c r="P2343" s="9" t="n">
        <v>10.5</v>
      </c>
      <c r="Q2343" s="9" t="n">
        <v>12</v>
      </c>
      <c r="R2343" s="9" t="s">
        <v>53</v>
      </c>
      <c r="S2343" s="9"/>
      <c r="T2343" s="9"/>
      <c r="U2343" s="9" t="str">
        <f aca="false">IF(COUNTIF($A$2:$A$5001,A2343)&gt;1,"Duplicate","Unique")</f>
        <v>Unique</v>
      </c>
      <c r="V2343" s="9" t="str">
        <f aca="false">IF(COUNTIFS($B$2:$B$5001,B2343,$H$2:$H$5001,H2343,$J$2:$J$5001,J2343)&gt;1,"Possible Duplicate Booking","Unique")</f>
        <v>Unique</v>
      </c>
      <c r="W2343" s="9" t="str">
        <f aca="false">IF((H2343-G2343)&lt;&gt;K2343,"Mismatch","OK")</f>
        <v>OK</v>
      </c>
      <c r="X2343" s="9" t="str">
        <f aca="false">IF(TEXT(H2343,"dddd")&lt;&gt;I2343,"Mismatch","OK")</f>
        <v>OK</v>
      </c>
      <c r="Y2343" s="9" t="str">
        <f aca="false">IF(AND(N2343="No",O2343&lt;&gt;""),"Unexpected: channel present but no reminder sent",IF(AND(N2343="Yes",O2343=""),"Missing channel for sent reminder","OK"))</f>
        <v>OK</v>
      </c>
    </row>
    <row r="2344" customFormat="false" ht="15" hidden="false" customHeight="false" outlineLevel="0" collapsed="false">
      <c r="A2344" s="7" t="s">
        <v>3725</v>
      </c>
      <c r="B2344" s="7" t="s">
        <v>894</v>
      </c>
      <c r="C2344" s="7" t="s">
        <v>47</v>
      </c>
      <c r="D2344" s="7" t="n">
        <v>42</v>
      </c>
      <c r="E2344" s="7" t="s">
        <v>38</v>
      </c>
      <c r="F2344" s="7" t="s">
        <v>57</v>
      </c>
      <c r="G2344" s="8" t="n">
        <v>45904</v>
      </c>
      <c r="H2344" s="8" t="n">
        <v>45955</v>
      </c>
      <c r="I2344" s="7" t="s">
        <v>102</v>
      </c>
      <c r="J2344" s="7" t="s">
        <v>51</v>
      </c>
      <c r="K2344" s="7" t="n">
        <v>51</v>
      </c>
      <c r="L2344" s="7" t="n">
        <v>3</v>
      </c>
      <c r="M2344" s="7" t="n">
        <v>0</v>
      </c>
      <c r="N2344" s="7" t="s">
        <v>71</v>
      </c>
      <c r="O2344" s="7"/>
      <c r="P2344" s="7" t="n">
        <v>11</v>
      </c>
      <c r="Q2344" s="7" t="n">
        <v>27</v>
      </c>
      <c r="R2344" s="7" t="s">
        <v>53</v>
      </c>
      <c r="S2344" s="7"/>
      <c r="T2344" s="7"/>
      <c r="U2344" s="7" t="str">
        <f aca="false">IF(COUNTIF($A$2:$A$5001,A2344)&gt;1,"Duplicate","Unique")</f>
        <v>Unique</v>
      </c>
      <c r="V2344" s="7" t="str">
        <f aca="false">IF(COUNTIFS($B$2:$B$5001,B2344,$H$2:$H$5001,H2344,$J$2:$J$5001,J2344)&gt;1,"Possible Duplicate Booking","Unique")</f>
        <v>Unique</v>
      </c>
      <c r="W2344" s="7" t="str">
        <f aca="false">IF((H2344-G2344)&lt;&gt;K2344,"Mismatch","OK")</f>
        <v>OK</v>
      </c>
      <c r="X2344" s="7" t="str">
        <f aca="false">IF(TEXT(H2344,"dddd")&lt;&gt;I2344,"Mismatch","OK")</f>
        <v>OK</v>
      </c>
      <c r="Y2344" s="7" t="str">
        <f aca="false">IF(AND(N2344="No",O2344&lt;&gt;""),"Unexpected: channel present but no reminder sent",IF(AND(N2344="Yes",O2344=""),"Missing channel for sent reminder","OK"))</f>
        <v>OK</v>
      </c>
    </row>
    <row r="2345" customFormat="false" ht="15" hidden="false" customHeight="false" outlineLevel="0" collapsed="false">
      <c r="A2345" s="9" t="s">
        <v>3726</v>
      </c>
      <c r="B2345" s="9" t="s">
        <v>2072</v>
      </c>
      <c r="C2345" s="9" t="s">
        <v>47</v>
      </c>
      <c r="D2345" s="9" t="n">
        <v>44</v>
      </c>
      <c r="E2345" s="9" t="s">
        <v>38</v>
      </c>
      <c r="F2345" s="9" t="s">
        <v>39</v>
      </c>
      <c r="G2345" s="10" t="n">
        <v>46023</v>
      </c>
      <c r="H2345" s="10" t="n">
        <v>46060</v>
      </c>
      <c r="I2345" s="9" t="s">
        <v>102</v>
      </c>
      <c r="J2345" s="9" t="s">
        <v>41</v>
      </c>
      <c r="K2345" s="9" t="n">
        <v>37</v>
      </c>
      <c r="L2345" s="9" t="n">
        <v>0</v>
      </c>
      <c r="M2345" s="9" t="n">
        <v>0</v>
      </c>
      <c r="N2345" s="9" t="s">
        <v>71</v>
      </c>
      <c r="O2345" s="9"/>
      <c r="P2345" s="9" t="n">
        <v>1.6</v>
      </c>
      <c r="Q2345" s="9" t="n">
        <v>44</v>
      </c>
      <c r="R2345" s="9" t="s">
        <v>44</v>
      </c>
      <c r="S2345" s="9"/>
      <c r="T2345" s="9"/>
      <c r="U2345" s="9" t="str">
        <f aca="false">IF(COUNTIF($A$2:$A$5001,A2345)&gt;1,"Duplicate","Unique")</f>
        <v>Unique</v>
      </c>
      <c r="V2345" s="9" t="str">
        <f aca="false">IF(COUNTIFS($B$2:$B$5001,B2345,$H$2:$H$5001,H2345,$J$2:$J$5001,J2345)&gt;1,"Possible Duplicate Booking","Unique")</f>
        <v>Unique</v>
      </c>
      <c r="W2345" s="9" t="str">
        <f aca="false">IF((H2345-G2345)&lt;&gt;K2345,"Mismatch","OK")</f>
        <v>OK</v>
      </c>
      <c r="X2345" s="9" t="str">
        <f aca="false">IF(TEXT(H2345,"dddd")&lt;&gt;I2345,"Mismatch","OK")</f>
        <v>OK</v>
      </c>
      <c r="Y2345" s="9" t="str">
        <f aca="false">IF(AND(N2345="No",O2345&lt;&gt;""),"Unexpected: channel present but no reminder sent",IF(AND(N2345="Yes",O2345=""),"Missing channel for sent reminder","OK"))</f>
        <v>OK</v>
      </c>
    </row>
    <row r="2346" customFormat="false" ht="15" hidden="false" customHeight="false" outlineLevel="0" collapsed="false">
      <c r="A2346" s="7" t="s">
        <v>3727</v>
      </c>
      <c r="B2346" s="7" t="s">
        <v>415</v>
      </c>
      <c r="C2346" s="7" t="s">
        <v>47</v>
      </c>
      <c r="D2346" s="7" t="n">
        <v>53</v>
      </c>
      <c r="E2346" s="7" t="s">
        <v>56</v>
      </c>
      <c r="F2346" s="7" t="s">
        <v>57</v>
      </c>
      <c r="G2346" s="8" t="n">
        <v>45933</v>
      </c>
      <c r="H2346" s="8" t="n">
        <v>45978</v>
      </c>
      <c r="I2346" s="7" t="s">
        <v>66</v>
      </c>
      <c r="J2346" s="7" t="s">
        <v>51</v>
      </c>
      <c r="K2346" s="7" t="n">
        <v>45</v>
      </c>
      <c r="L2346" s="7" t="n">
        <v>1</v>
      </c>
      <c r="M2346" s="7" t="n">
        <v>0</v>
      </c>
      <c r="N2346" s="7" t="s">
        <v>42</v>
      </c>
      <c r="O2346" s="7" t="s">
        <v>52</v>
      </c>
      <c r="P2346" s="7" t="n">
        <v>13</v>
      </c>
      <c r="Q2346" s="7" t="n">
        <v>28</v>
      </c>
      <c r="R2346" s="7" t="s">
        <v>44</v>
      </c>
      <c r="S2346" s="7"/>
      <c r="T2346" s="7"/>
      <c r="U2346" s="7" t="str">
        <f aca="false">IF(COUNTIF($A$2:$A$5001,A2346)&gt;1,"Duplicate","Unique")</f>
        <v>Unique</v>
      </c>
      <c r="V2346" s="7" t="str">
        <f aca="false">IF(COUNTIFS($B$2:$B$5001,B2346,$H$2:$H$5001,H2346,$J$2:$J$5001,J2346)&gt;1,"Possible Duplicate Booking","Unique")</f>
        <v>Unique</v>
      </c>
      <c r="W2346" s="7" t="str">
        <f aca="false">IF((H2346-G2346)&lt;&gt;K2346,"Mismatch","OK")</f>
        <v>OK</v>
      </c>
      <c r="X2346" s="7" t="str">
        <f aca="false">IF(TEXT(H2346,"dddd")&lt;&gt;I2346,"Mismatch","OK")</f>
        <v>OK</v>
      </c>
      <c r="Y2346" s="7" t="str">
        <f aca="false">IF(AND(N2346="No",O2346&lt;&gt;""),"Unexpected: channel present but no reminder sent",IF(AND(N2346="Yes",O2346=""),"Missing channel for sent reminder","OK"))</f>
        <v>OK</v>
      </c>
    </row>
    <row r="2347" customFormat="false" ht="15" hidden="false" customHeight="false" outlineLevel="0" collapsed="false">
      <c r="A2347" s="9" t="s">
        <v>3728</v>
      </c>
      <c r="B2347" s="9" t="s">
        <v>3729</v>
      </c>
      <c r="C2347" s="9" t="s">
        <v>37</v>
      </c>
      <c r="D2347" s="9" t="n">
        <v>42</v>
      </c>
      <c r="E2347" s="9" t="s">
        <v>38</v>
      </c>
      <c r="F2347" s="9" t="s">
        <v>39</v>
      </c>
      <c r="G2347" s="10" t="n">
        <v>45780</v>
      </c>
      <c r="H2347" s="10" t="n">
        <v>45798</v>
      </c>
      <c r="I2347" s="9" t="s">
        <v>58</v>
      </c>
      <c r="J2347" s="9" t="s">
        <v>51</v>
      </c>
      <c r="K2347" s="9" t="n">
        <v>18</v>
      </c>
      <c r="L2347" s="9" t="n">
        <v>7</v>
      </c>
      <c r="M2347" s="9" t="n">
        <v>0</v>
      </c>
      <c r="N2347" s="9" t="s">
        <v>42</v>
      </c>
      <c r="O2347" s="9" t="s">
        <v>52</v>
      </c>
      <c r="P2347" s="9"/>
      <c r="Q2347" s="9" t="n">
        <v>23</v>
      </c>
      <c r="R2347" s="9" t="s">
        <v>44</v>
      </c>
      <c r="S2347" s="9"/>
      <c r="T2347" s="9"/>
      <c r="U2347" s="9" t="str">
        <f aca="false">IF(COUNTIF($A$2:$A$5001,A2347)&gt;1,"Duplicate","Unique")</f>
        <v>Unique</v>
      </c>
      <c r="V2347" s="9" t="str">
        <f aca="false">IF(COUNTIFS($B$2:$B$5001,B2347,$H$2:$H$5001,H2347,$J$2:$J$5001,J2347)&gt;1,"Possible Duplicate Booking","Unique")</f>
        <v>Unique</v>
      </c>
      <c r="W2347" s="9" t="str">
        <f aca="false">IF((H2347-G2347)&lt;&gt;K2347,"Mismatch","OK")</f>
        <v>OK</v>
      </c>
      <c r="X2347" s="9" t="str">
        <f aca="false">IF(TEXT(H2347,"dddd")&lt;&gt;I2347,"Mismatch","OK")</f>
        <v>OK</v>
      </c>
      <c r="Y2347" s="9" t="str">
        <f aca="false">IF(AND(N2347="No",O2347&lt;&gt;""),"Unexpected: channel present but no reminder sent",IF(AND(N2347="Yes",O2347=""),"Missing channel for sent reminder","OK"))</f>
        <v>OK</v>
      </c>
    </row>
    <row r="2348" customFormat="false" ht="15" hidden="false" customHeight="false" outlineLevel="0" collapsed="false">
      <c r="A2348" s="7" t="s">
        <v>3730</v>
      </c>
      <c r="B2348" s="7" t="s">
        <v>3731</v>
      </c>
      <c r="C2348" s="7" t="s">
        <v>47</v>
      </c>
      <c r="D2348" s="7" t="n">
        <v>67</v>
      </c>
      <c r="E2348" s="7" t="s">
        <v>70</v>
      </c>
      <c r="F2348" s="7" t="s">
        <v>49</v>
      </c>
      <c r="G2348" s="8" t="n">
        <v>45834</v>
      </c>
      <c r="H2348" s="8" t="n">
        <v>45836</v>
      </c>
      <c r="I2348" s="7" t="s">
        <v>102</v>
      </c>
      <c r="J2348" s="7" t="s">
        <v>51</v>
      </c>
      <c r="K2348" s="7" t="n">
        <v>2</v>
      </c>
      <c r="L2348" s="7" t="n">
        <v>6</v>
      </c>
      <c r="M2348" s="7" t="n">
        <v>0</v>
      </c>
      <c r="N2348" s="7" t="s">
        <v>42</v>
      </c>
      <c r="O2348" s="7" t="s">
        <v>43</v>
      </c>
      <c r="P2348" s="7" t="n">
        <v>2</v>
      </c>
      <c r="Q2348" s="7" t="n">
        <v>22</v>
      </c>
      <c r="R2348" s="7" t="s">
        <v>53</v>
      </c>
      <c r="S2348" s="7"/>
      <c r="T2348" s="7"/>
      <c r="U2348" s="7" t="str">
        <f aca="false">IF(COUNTIF($A$2:$A$5001,A2348)&gt;1,"Duplicate","Unique")</f>
        <v>Unique</v>
      </c>
      <c r="V2348" s="7" t="str">
        <f aca="false">IF(COUNTIFS($B$2:$B$5001,B2348,$H$2:$H$5001,H2348,$J$2:$J$5001,J2348)&gt;1,"Possible Duplicate Booking","Unique")</f>
        <v>Unique</v>
      </c>
      <c r="W2348" s="7" t="str">
        <f aca="false">IF((H2348-G2348)&lt;&gt;K2348,"Mismatch","OK")</f>
        <v>OK</v>
      </c>
      <c r="X2348" s="7" t="str">
        <f aca="false">IF(TEXT(H2348,"dddd")&lt;&gt;I2348,"Mismatch","OK")</f>
        <v>OK</v>
      </c>
      <c r="Y2348" s="7" t="str">
        <f aca="false">IF(AND(N2348="No",O2348&lt;&gt;""),"Unexpected: channel present but no reminder sent",IF(AND(N2348="Yes",O2348=""),"Missing channel for sent reminder","OK"))</f>
        <v>OK</v>
      </c>
    </row>
    <row r="2349" customFormat="false" ht="15" hidden="false" customHeight="false" outlineLevel="0" collapsed="false">
      <c r="A2349" s="9" t="s">
        <v>3732</v>
      </c>
      <c r="B2349" s="9" t="s">
        <v>3733</v>
      </c>
      <c r="C2349" s="9" t="s">
        <v>47</v>
      </c>
      <c r="D2349" s="9" t="n">
        <v>44</v>
      </c>
      <c r="E2349" s="9" t="s">
        <v>38</v>
      </c>
      <c r="F2349" s="9" t="s">
        <v>57</v>
      </c>
      <c r="G2349" s="10" t="n">
        <v>46047</v>
      </c>
      <c r="H2349" s="10" t="n">
        <v>46068</v>
      </c>
      <c r="I2349" s="9" t="s">
        <v>75</v>
      </c>
      <c r="J2349" s="9" t="s">
        <v>51</v>
      </c>
      <c r="K2349" s="9" t="n">
        <v>21</v>
      </c>
      <c r="L2349" s="9" t="n">
        <v>3</v>
      </c>
      <c r="M2349" s="9" t="n">
        <v>1</v>
      </c>
      <c r="N2349" s="9" t="s">
        <v>42</v>
      </c>
      <c r="O2349" s="9" t="s">
        <v>52</v>
      </c>
      <c r="P2349" s="9" t="n">
        <v>5.8</v>
      </c>
      <c r="Q2349" s="9" t="n">
        <v>18</v>
      </c>
      <c r="R2349" s="9" t="s">
        <v>53</v>
      </c>
      <c r="S2349" s="9"/>
      <c r="T2349" s="9"/>
      <c r="U2349" s="9" t="str">
        <f aca="false">IF(COUNTIF($A$2:$A$5001,A2349)&gt;1,"Duplicate","Unique")</f>
        <v>Unique</v>
      </c>
      <c r="V2349" s="9" t="str">
        <f aca="false">IF(COUNTIFS($B$2:$B$5001,B2349,$H$2:$H$5001,H2349,$J$2:$J$5001,J2349)&gt;1,"Possible Duplicate Booking","Unique")</f>
        <v>Unique</v>
      </c>
      <c r="W2349" s="9" t="str">
        <f aca="false">IF((H2349-G2349)&lt;&gt;K2349,"Mismatch","OK")</f>
        <v>OK</v>
      </c>
      <c r="X2349" s="9" t="str">
        <f aca="false">IF(TEXT(H2349,"dddd")&lt;&gt;I2349,"Mismatch","OK")</f>
        <v>OK</v>
      </c>
      <c r="Y2349" s="9" t="str">
        <f aca="false">IF(AND(N2349="No",O2349&lt;&gt;""),"Unexpected: channel present but no reminder sent",IF(AND(N2349="Yes",O2349=""),"Missing channel for sent reminder","OK"))</f>
        <v>OK</v>
      </c>
    </row>
    <row r="2350" customFormat="false" ht="15" hidden="false" customHeight="false" outlineLevel="0" collapsed="false">
      <c r="A2350" s="7" t="s">
        <v>3734</v>
      </c>
      <c r="B2350" s="7" t="s">
        <v>89</v>
      </c>
      <c r="C2350" s="7" t="s">
        <v>47</v>
      </c>
      <c r="D2350" s="7" t="n">
        <v>67</v>
      </c>
      <c r="E2350" s="7" t="s">
        <v>70</v>
      </c>
      <c r="F2350" s="7" t="s">
        <v>57</v>
      </c>
      <c r="G2350" s="8" t="n">
        <v>45712</v>
      </c>
      <c r="H2350" s="8" t="n">
        <v>45768</v>
      </c>
      <c r="I2350" s="7" t="s">
        <v>66</v>
      </c>
      <c r="J2350" s="7" t="s">
        <v>51</v>
      </c>
      <c r="K2350" s="7" t="n">
        <v>56</v>
      </c>
      <c r="L2350" s="7" t="n">
        <v>0</v>
      </c>
      <c r="M2350" s="7" t="n">
        <v>0</v>
      </c>
      <c r="N2350" s="7" t="s">
        <v>42</v>
      </c>
      <c r="O2350" s="7" t="s">
        <v>52</v>
      </c>
      <c r="P2350" s="7" t="n">
        <v>7.4</v>
      </c>
      <c r="Q2350" s="7" t="n">
        <v>36</v>
      </c>
      <c r="R2350" s="7" t="s">
        <v>44</v>
      </c>
      <c r="S2350" s="7"/>
      <c r="T2350" s="7"/>
      <c r="U2350" s="7" t="str">
        <f aca="false">IF(COUNTIF($A$2:$A$5001,A2350)&gt;1,"Duplicate","Unique")</f>
        <v>Unique</v>
      </c>
      <c r="V2350" s="7" t="str">
        <f aca="false">IF(COUNTIFS($B$2:$B$5001,B2350,$H$2:$H$5001,H2350,$J$2:$J$5001,J2350)&gt;1,"Possible Duplicate Booking","Unique")</f>
        <v>Unique</v>
      </c>
      <c r="W2350" s="7" t="str">
        <f aca="false">IF((H2350-G2350)&lt;&gt;K2350,"Mismatch","OK")</f>
        <v>OK</v>
      </c>
      <c r="X2350" s="7" t="str">
        <f aca="false">IF(TEXT(H2350,"dddd")&lt;&gt;I2350,"Mismatch","OK")</f>
        <v>OK</v>
      </c>
      <c r="Y2350" s="7" t="str">
        <f aca="false">IF(AND(N2350="No",O2350&lt;&gt;""),"Unexpected: channel present but no reminder sent",IF(AND(N2350="Yes",O2350=""),"Missing channel for sent reminder","OK"))</f>
        <v>OK</v>
      </c>
    </row>
    <row r="2351" customFormat="false" ht="15" hidden="false" customHeight="false" outlineLevel="0" collapsed="false">
      <c r="A2351" s="9" t="s">
        <v>3735</v>
      </c>
      <c r="B2351" s="9" t="s">
        <v>3736</v>
      </c>
      <c r="C2351" s="9" t="s">
        <v>47</v>
      </c>
      <c r="D2351" s="9" t="n">
        <v>44</v>
      </c>
      <c r="E2351" s="9" t="s">
        <v>38</v>
      </c>
      <c r="F2351" s="9" t="s">
        <v>57</v>
      </c>
      <c r="G2351" s="10" t="n">
        <v>45885</v>
      </c>
      <c r="H2351" s="10" t="n">
        <v>45933</v>
      </c>
      <c r="I2351" s="9" t="s">
        <v>50</v>
      </c>
      <c r="J2351" s="9" t="s">
        <v>51</v>
      </c>
      <c r="K2351" s="9" t="n">
        <v>48</v>
      </c>
      <c r="L2351" s="9" t="n">
        <v>4</v>
      </c>
      <c r="M2351" s="9" t="n">
        <v>0</v>
      </c>
      <c r="N2351" s="9" t="s">
        <v>71</v>
      </c>
      <c r="O2351" s="9"/>
      <c r="P2351" s="9" t="n">
        <v>19.8</v>
      </c>
      <c r="Q2351" s="9" t="n">
        <v>29</v>
      </c>
      <c r="R2351" s="9" t="s">
        <v>44</v>
      </c>
      <c r="S2351" s="9"/>
      <c r="T2351" s="9"/>
      <c r="U2351" s="9" t="str">
        <f aca="false">IF(COUNTIF($A$2:$A$5001,A2351)&gt;1,"Duplicate","Unique")</f>
        <v>Unique</v>
      </c>
      <c r="V2351" s="9" t="str">
        <f aca="false">IF(COUNTIFS($B$2:$B$5001,B2351,$H$2:$H$5001,H2351,$J$2:$J$5001,J2351)&gt;1,"Possible Duplicate Booking","Unique")</f>
        <v>Unique</v>
      </c>
      <c r="W2351" s="9" t="str">
        <f aca="false">IF((H2351-G2351)&lt;&gt;K2351,"Mismatch","OK")</f>
        <v>OK</v>
      </c>
      <c r="X2351" s="9" t="str">
        <f aca="false">IF(TEXT(H2351,"dddd")&lt;&gt;I2351,"Mismatch","OK")</f>
        <v>OK</v>
      </c>
      <c r="Y2351" s="9" t="str">
        <f aca="false">IF(AND(N2351="No",O2351&lt;&gt;""),"Unexpected: channel present but no reminder sent",IF(AND(N2351="Yes",O2351=""),"Missing channel for sent reminder","OK"))</f>
        <v>OK</v>
      </c>
    </row>
    <row r="2352" customFormat="false" ht="15" hidden="false" customHeight="false" outlineLevel="0" collapsed="false">
      <c r="A2352" s="7" t="s">
        <v>3737</v>
      </c>
      <c r="B2352" s="7" t="s">
        <v>250</v>
      </c>
      <c r="C2352" s="7" t="s">
        <v>47</v>
      </c>
      <c r="D2352" s="7" t="n">
        <v>32</v>
      </c>
      <c r="E2352" s="7" t="s">
        <v>48</v>
      </c>
      <c r="F2352" s="7" t="s">
        <v>57</v>
      </c>
      <c r="G2352" s="8" t="n">
        <v>45905</v>
      </c>
      <c r="H2352" s="8" t="n">
        <v>45952</v>
      </c>
      <c r="I2352" s="7" t="s">
        <v>58</v>
      </c>
      <c r="J2352" s="7" t="s">
        <v>41</v>
      </c>
      <c r="K2352" s="7" t="n">
        <v>47</v>
      </c>
      <c r="L2352" s="7" t="n">
        <v>4</v>
      </c>
      <c r="M2352" s="7" t="n">
        <v>2</v>
      </c>
      <c r="N2352" s="7" t="s">
        <v>42</v>
      </c>
      <c r="O2352" s="7" t="s">
        <v>52</v>
      </c>
      <c r="P2352" s="7" t="n">
        <v>13.4</v>
      </c>
      <c r="Q2352" s="7" t="n">
        <v>6</v>
      </c>
      <c r="R2352" s="7" t="s">
        <v>44</v>
      </c>
      <c r="S2352" s="7"/>
      <c r="T2352" s="7"/>
      <c r="U2352" s="7" t="str">
        <f aca="false">IF(COUNTIF($A$2:$A$5001,A2352)&gt;1,"Duplicate","Unique")</f>
        <v>Unique</v>
      </c>
      <c r="V2352" s="7" t="str">
        <f aca="false">IF(COUNTIFS($B$2:$B$5001,B2352,$H$2:$H$5001,H2352,$J$2:$J$5001,J2352)&gt;1,"Possible Duplicate Booking","Unique")</f>
        <v>Unique</v>
      </c>
      <c r="W2352" s="7" t="str">
        <f aca="false">IF((H2352-G2352)&lt;&gt;K2352,"Mismatch","OK")</f>
        <v>OK</v>
      </c>
      <c r="X2352" s="7" t="str">
        <f aca="false">IF(TEXT(H2352,"dddd")&lt;&gt;I2352,"Mismatch","OK")</f>
        <v>OK</v>
      </c>
      <c r="Y2352" s="7" t="str">
        <f aca="false">IF(AND(N2352="No",O2352&lt;&gt;""),"Unexpected: channel present but no reminder sent",IF(AND(N2352="Yes",O2352=""),"Missing channel for sent reminder","OK"))</f>
        <v>OK</v>
      </c>
    </row>
    <row r="2353" customFormat="false" ht="15" hidden="false" customHeight="false" outlineLevel="0" collapsed="false">
      <c r="A2353" s="9" t="s">
        <v>3738</v>
      </c>
      <c r="B2353" s="9" t="s">
        <v>3739</v>
      </c>
      <c r="C2353" s="9" t="s">
        <v>47</v>
      </c>
      <c r="D2353" s="9" t="n">
        <v>80</v>
      </c>
      <c r="E2353" s="9" t="s">
        <v>70</v>
      </c>
      <c r="F2353" s="9" t="s">
        <v>39</v>
      </c>
      <c r="G2353" s="10" t="n">
        <v>46014</v>
      </c>
      <c r="H2353" s="10" t="n">
        <v>46067</v>
      </c>
      <c r="I2353" s="9" t="s">
        <v>102</v>
      </c>
      <c r="J2353" s="9" t="s">
        <v>41</v>
      </c>
      <c r="K2353" s="9" t="n">
        <v>53</v>
      </c>
      <c r="L2353" s="9" t="n">
        <v>0</v>
      </c>
      <c r="M2353" s="9" t="n">
        <v>0</v>
      </c>
      <c r="N2353" s="9" t="s">
        <v>42</v>
      </c>
      <c r="O2353" s="9" t="s">
        <v>52</v>
      </c>
      <c r="P2353" s="9" t="n">
        <v>1.9</v>
      </c>
      <c r="Q2353" s="9" t="n">
        <v>36</v>
      </c>
      <c r="R2353" s="9" t="s">
        <v>53</v>
      </c>
      <c r="S2353" s="9"/>
      <c r="T2353" s="9"/>
      <c r="U2353" s="9" t="str">
        <f aca="false">IF(COUNTIF($A$2:$A$5001,A2353)&gt;1,"Duplicate","Unique")</f>
        <v>Unique</v>
      </c>
      <c r="V2353" s="9" t="str">
        <f aca="false">IF(COUNTIFS($B$2:$B$5001,B2353,$H$2:$H$5001,H2353,$J$2:$J$5001,J2353)&gt;1,"Possible Duplicate Booking","Unique")</f>
        <v>Unique</v>
      </c>
      <c r="W2353" s="9" t="str">
        <f aca="false">IF((H2353-G2353)&lt;&gt;K2353,"Mismatch","OK")</f>
        <v>OK</v>
      </c>
      <c r="X2353" s="9" t="str">
        <f aca="false">IF(TEXT(H2353,"dddd")&lt;&gt;I2353,"Mismatch","OK")</f>
        <v>OK</v>
      </c>
      <c r="Y2353" s="9" t="str">
        <f aca="false">IF(AND(N2353="No",O2353&lt;&gt;""),"Unexpected: channel present but no reminder sent",IF(AND(N2353="Yes",O2353=""),"Missing channel for sent reminder","OK"))</f>
        <v>OK</v>
      </c>
    </row>
    <row r="2354" customFormat="false" ht="15" hidden="false" customHeight="false" outlineLevel="0" collapsed="false">
      <c r="A2354" s="7" t="s">
        <v>3740</v>
      </c>
      <c r="B2354" s="7" t="s">
        <v>3001</v>
      </c>
      <c r="C2354" s="7" t="s">
        <v>37</v>
      </c>
      <c r="D2354" s="7" t="n">
        <v>51</v>
      </c>
      <c r="E2354" s="7" t="s">
        <v>56</v>
      </c>
      <c r="F2354" s="7" t="s">
        <v>57</v>
      </c>
      <c r="G2354" s="8" t="n">
        <v>46026</v>
      </c>
      <c r="H2354" s="8" t="n">
        <v>46048</v>
      </c>
      <c r="I2354" s="7" t="s">
        <v>66</v>
      </c>
      <c r="J2354" s="7" t="s">
        <v>41</v>
      </c>
      <c r="K2354" s="7" t="n">
        <v>22</v>
      </c>
      <c r="L2354" s="7" t="n">
        <v>3</v>
      </c>
      <c r="M2354" s="7" t="n">
        <v>0</v>
      </c>
      <c r="N2354" s="7" t="s">
        <v>42</v>
      </c>
      <c r="O2354" s="7" t="s">
        <v>52</v>
      </c>
      <c r="P2354" s="7" t="n">
        <v>10.4</v>
      </c>
      <c r="Q2354" s="7" t="n">
        <v>14</v>
      </c>
      <c r="R2354" s="7" t="s">
        <v>44</v>
      </c>
      <c r="S2354" s="7"/>
      <c r="T2354" s="7"/>
      <c r="U2354" s="7" t="str">
        <f aca="false">IF(COUNTIF($A$2:$A$5001,A2354)&gt;1,"Duplicate","Unique")</f>
        <v>Unique</v>
      </c>
      <c r="V2354" s="7" t="str">
        <f aca="false">IF(COUNTIFS($B$2:$B$5001,B2354,$H$2:$H$5001,H2354,$J$2:$J$5001,J2354)&gt;1,"Possible Duplicate Booking","Unique")</f>
        <v>Unique</v>
      </c>
      <c r="W2354" s="7" t="str">
        <f aca="false">IF((H2354-G2354)&lt;&gt;K2354,"Mismatch","OK")</f>
        <v>OK</v>
      </c>
      <c r="X2354" s="7" t="str">
        <f aca="false">IF(TEXT(H2354,"dddd")&lt;&gt;I2354,"Mismatch","OK")</f>
        <v>OK</v>
      </c>
      <c r="Y2354" s="7" t="str">
        <f aca="false">IF(AND(N2354="No",O2354&lt;&gt;""),"Unexpected: channel present but no reminder sent",IF(AND(N2354="Yes",O2354=""),"Missing channel for sent reminder","OK"))</f>
        <v>OK</v>
      </c>
    </row>
    <row r="2355" customFormat="false" ht="15" hidden="false" customHeight="false" outlineLevel="0" collapsed="false">
      <c r="A2355" s="9" t="s">
        <v>3741</v>
      </c>
      <c r="B2355" s="9" t="s">
        <v>923</v>
      </c>
      <c r="C2355" s="9" t="s">
        <v>47</v>
      </c>
      <c r="D2355" s="9" t="n">
        <v>62</v>
      </c>
      <c r="E2355" s="9" t="s">
        <v>61</v>
      </c>
      <c r="F2355" s="9" t="s">
        <v>57</v>
      </c>
      <c r="G2355" s="10" t="n">
        <v>45892</v>
      </c>
      <c r="H2355" s="10" t="n">
        <v>45911</v>
      </c>
      <c r="I2355" s="9" t="s">
        <v>62</v>
      </c>
      <c r="J2355" s="9" t="s">
        <v>51</v>
      </c>
      <c r="K2355" s="9" t="n">
        <v>19</v>
      </c>
      <c r="L2355" s="9" t="n">
        <v>5</v>
      </c>
      <c r="M2355" s="9" t="n">
        <v>1</v>
      </c>
      <c r="N2355" s="9" t="s">
        <v>42</v>
      </c>
      <c r="O2355" s="9" t="s">
        <v>43</v>
      </c>
      <c r="P2355" s="9" t="n">
        <v>8.2</v>
      </c>
      <c r="Q2355" s="9" t="n">
        <v>17</v>
      </c>
      <c r="R2355" s="9" t="s">
        <v>44</v>
      </c>
      <c r="S2355" s="9"/>
      <c r="T2355" s="9"/>
      <c r="U2355" s="9" t="str">
        <f aca="false">IF(COUNTIF($A$2:$A$5001,A2355)&gt;1,"Duplicate","Unique")</f>
        <v>Unique</v>
      </c>
      <c r="V2355" s="9" t="str">
        <f aca="false">IF(COUNTIFS($B$2:$B$5001,B2355,$H$2:$H$5001,H2355,$J$2:$J$5001,J2355)&gt;1,"Possible Duplicate Booking","Unique")</f>
        <v>Unique</v>
      </c>
      <c r="W2355" s="9" t="str">
        <f aca="false">IF((H2355-G2355)&lt;&gt;K2355,"Mismatch","OK")</f>
        <v>OK</v>
      </c>
      <c r="X2355" s="9" t="str">
        <f aca="false">IF(TEXT(H2355,"dddd")&lt;&gt;I2355,"Mismatch","OK")</f>
        <v>OK</v>
      </c>
      <c r="Y2355" s="9" t="str">
        <f aca="false">IF(AND(N2355="No",O2355&lt;&gt;""),"Unexpected: channel present but no reminder sent",IF(AND(N2355="Yes",O2355=""),"Missing channel for sent reminder","OK"))</f>
        <v>OK</v>
      </c>
    </row>
    <row r="2356" customFormat="false" ht="15" hidden="false" customHeight="false" outlineLevel="0" collapsed="false">
      <c r="A2356" s="7" t="s">
        <v>3742</v>
      </c>
      <c r="B2356" s="7" t="s">
        <v>3743</v>
      </c>
      <c r="C2356" s="7" t="s">
        <v>37</v>
      </c>
      <c r="D2356" s="7" t="n">
        <v>55</v>
      </c>
      <c r="E2356" s="7" t="s">
        <v>61</v>
      </c>
      <c r="F2356" s="7" t="s">
        <v>57</v>
      </c>
      <c r="G2356" s="8" t="n">
        <v>45770</v>
      </c>
      <c r="H2356" s="8" t="n">
        <v>45826</v>
      </c>
      <c r="I2356" s="7" t="s">
        <v>58</v>
      </c>
      <c r="J2356" s="7" t="s">
        <v>41</v>
      </c>
      <c r="K2356" s="7" t="n">
        <v>56</v>
      </c>
      <c r="L2356" s="7" t="n">
        <v>4</v>
      </c>
      <c r="M2356" s="7" t="n">
        <v>0</v>
      </c>
      <c r="N2356" s="7" t="s">
        <v>42</v>
      </c>
      <c r="O2356" s="7" t="s">
        <v>43</v>
      </c>
      <c r="P2356" s="7" t="n">
        <v>4.1</v>
      </c>
      <c r="Q2356" s="7" t="n">
        <v>28</v>
      </c>
      <c r="R2356" s="7" t="s">
        <v>44</v>
      </c>
      <c r="S2356" s="7"/>
      <c r="T2356" s="7"/>
      <c r="U2356" s="7" t="str">
        <f aca="false">IF(COUNTIF($A$2:$A$5001,A2356)&gt;1,"Duplicate","Unique")</f>
        <v>Unique</v>
      </c>
      <c r="V2356" s="7" t="str">
        <f aca="false">IF(COUNTIFS($B$2:$B$5001,B2356,$H$2:$H$5001,H2356,$J$2:$J$5001,J2356)&gt;1,"Possible Duplicate Booking","Unique")</f>
        <v>Unique</v>
      </c>
      <c r="W2356" s="7" t="str">
        <f aca="false">IF((H2356-G2356)&lt;&gt;K2356,"Mismatch","OK")</f>
        <v>OK</v>
      </c>
      <c r="X2356" s="7" t="str">
        <f aca="false">IF(TEXT(H2356,"dddd")&lt;&gt;I2356,"Mismatch","OK")</f>
        <v>OK</v>
      </c>
      <c r="Y2356" s="7" t="str">
        <f aca="false">IF(AND(N2356="No",O2356&lt;&gt;""),"Unexpected: channel present but no reminder sent",IF(AND(N2356="Yes",O2356=""),"Missing channel for sent reminder","OK"))</f>
        <v>OK</v>
      </c>
    </row>
    <row r="2357" customFormat="false" ht="15" hidden="false" customHeight="false" outlineLevel="0" collapsed="false">
      <c r="A2357" s="9" t="s">
        <v>3744</v>
      </c>
      <c r="B2357" s="9" t="s">
        <v>2518</v>
      </c>
      <c r="C2357" s="9" t="s">
        <v>37</v>
      </c>
      <c r="D2357" s="9" t="n">
        <v>40</v>
      </c>
      <c r="E2357" s="9" t="s">
        <v>38</v>
      </c>
      <c r="F2357" s="9" t="s">
        <v>57</v>
      </c>
      <c r="G2357" s="10" t="n">
        <v>45824</v>
      </c>
      <c r="H2357" s="10" t="n">
        <v>45858</v>
      </c>
      <c r="I2357" s="9" t="s">
        <v>75</v>
      </c>
      <c r="J2357" s="9" t="s">
        <v>41</v>
      </c>
      <c r="K2357" s="9" t="n">
        <v>34</v>
      </c>
      <c r="L2357" s="9" t="n">
        <v>4</v>
      </c>
      <c r="M2357" s="9" t="n">
        <v>0</v>
      </c>
      <c r="N2357" s="9" t="s">
        <v>71</v>
      </c>
      <c r="O2357" s="9"/>
      <c r="P2357" s="9" t="n">
        <v>12.5</v>
      </c>
      <c r="Q2357" s="9" t="n">
        <v>17</v>
      </c>
      <c r="R2357" s="9" t="s">
        <v>44</v>
      </c>
      <c r="S2357" s="9"/>
      <c r="T2357" s="9"/>
      <c r="U2357" s="9" t="str">
        <f aca="false">IF(COUNTIF($A$2:$A$5001,A2357)&gt;1,"Duplicate","Unique")</f>
        <v>Unique</v>
      </c>
      <c r="V2357" s="9" t="str">
        <f aca="false">IF(COUNTIFS($B$2:$B$5001,B2357,$H$2:$H$5001,H2357,$J$2:$J$5001,J2357)&gt;1,"Possible Duplicate Booking","Unique")</f>
        <v>Unique</v>
      </c>
      <c r="W2357" s="9" t="str">
        <f aca="false">IF((H2357-G2357)&lt;&gt;K2357,"Mismatch","OK")</f>
        <v>OK</v>
      </c>
      <c r="X2357" s="9" t="str">
        <f aca="false">IF(TEXT(H2357,"dddd")&lt;&gt;I2357,"Mismatch","OK")</f>
        <v>OK</v>
      </c>
      <c r="Y2357" s="9" t="str">
        <f aca="false">IF(AND(N2357="No",O2357&lt;&gt;""),"Unexpected: channel present but no reminder sent",IF(AND(N2357="Yes",O2357=""),"Missing channel for sent reminder","OK"))</f>
        <v>OK</v>
      </c>
    </row>
    <row r="2358" customFormat="false" ht="15" hidden="false" customHeight="false" outlineLevel="0" collapsed="false">
      <c r="A2358" s="7" t="s">
        <v>3745</v>
      </c>
      <c r="B2358" s="7" t="s">
        <v>3153</v>
      </c>
      <c r="C2358" s="7" t="s">
        <v>47</v>
      </c>
      <c r="D2358" s="7" t="n">
        <v>79</v>
      </c>
      <c r="E2358" s="7" t="s">
        <v>70</v>
      </c>
      <c r="F2358" s="7" t="s">
        <v>39</v>
      </c>
      <c r="G2358" s="8" t="n">
        <v>45864</v>
      </c>
      <c r="H2358" s="8" t="n">
        <v>45882</v>
      </c>
      <c r="I2358" s="7" t="s">
        <v>58</v>
      </c>
      <c r="J2358" s="7" t="s">
        <v>41</v>
      </c>
      <c r="K2358" s="7" t="n">
        <v>18</v>
      </c>
      <c r="L2358" s="7" t="n">
        <v>3</v>
      </c>
      <c r="M2358" s="7" t="n">
        <v>2</v>
      </c>
      <c r="N2358" s="7" t="s">
        <v>71</v>
      </c>
      <c r="O2358" s="7"/>
      <c r="P2358" s="7" t="n">
        <v>19.7</v>
      </c>
      <c r="Q2358" s="7" t="n">
        <v>49</v>
      </c>
      <c r="R2358" s="7" t="s">
        <v>44</v>
      </c>
      <c r="S2358" s="7"/>
      <c r="T2358" s="7"/>
      <c r="U2358" s="7" t="str">
        <f aca="false">IF(COUNTIF($A$2:$A$5001,A2358)&gt;1,"Duplicate","Unique")</f>
        <v>Unique</v>
      </c>
      <c r="V2358" s="7" t="str">
        <f aca="false">IF(COUNTIFS($B$2:$B$5001,B2358,$H$2:$H$5001,H2358,$J$2:$J$5001,J2358)&gt;1,"Possible Duplicate Booking","Unique")</f>
        <v>Unique</v>
      </c>
      <c r="W2358" s="7" t="str">
        <f aca="false">IF((H2358-G2358)&lt;&gt;K2358,"Mismatch","OK")</f>
        <v>OK</v>
      </c>
      <c r="X2358" s="7" t="str">
        <f aca="false">IF(TEXT(H2358,"dddd")&lt;&gt;I2358,"Mismatch","OK")</f>
        <v>OK</v>
      </c>
      <c r="Y2358" s="7" t="str">
        <f aca="false">IF(AND(N2358="No",O2358&lt;&gt;""),"Unexpected: channel present but no reminder sent",IF(AND(N2358="Yes",O2358=""),"Missing channel for sent reminder","OK"))</f>
        <v>OK</v>
      </c>
    </row>
    <row r="2359" customFormat="false" ht="15" hidden="false" customHeight="false" outlineLevel="0" collapsed="false">
      <c r="A2359" s="9" t="s">
        <v>3746</v>
      </c>
      <c r="B2359" s="9" t="s">
        <v>1955</v>
      </c>
      <c r="C2359" s="9" t="s">
        <v>47</v>
      </c>
      <c r="D2359" s="9" t="n">
        <v>41</v>
      </c>
      <c r="E2359" s="9" t="s">
        <v>38</v>
      </c>
      <c r="F2359" s="9" t="s">
        <v>39</v>
      </c>
      <c r="G2359" s="10" t="n">
        <v>45761</v>
      </c>
      <c r="H2359" s="10" t="n">
        <v>45777</v>
      </c>
      <c r="I2359" s="9" t="s">
        <v>58</v>
      </c>
      <c r="J2359" s="9" t="s">
        <v>51</v>
      </c>
      <c r="K2359" s="9" t="n">
        <v>16</v>
      </c>
      <c r="L2359" s="9" t="n">
        <v>1</v>
      </c>
      <c r="M2359" s="9" t="n">
        <v>0</v>
      </c>
      <c r="N2359" s="9" t="s">
        <v>42</v>
      </c>
      <c r="O2359" s="9" t="s">
        <v>52</v>
      </c>
      <c r="P2359" s="9" t="n">
        <v>8.7</v>
      </c>
      <c r="Q2359" s="9" t="n">
        <v>21</v>
      </c>
      <c r="R2359" s="9" t="s">
        <v>44</v>
      </c>
      <c r="S2359" s="9"/>
      <c r="T2359" s="9"/>
      <c r="U2359" s="9" t="str">
        <f aca="false">IF(COUNTIF($A$2:$A$5001,A2359)&gt;1,"Duplicate","Unique")</f>
        <v>Unique</v>
      </c>
      <c r="V2359" s="9" t="str">
        <f aca="false">IF(COUNTIFS($B$2:$B$5001,B2359,$H$2:$H$5001,H2359,$J$2:$J$5001,J2359)&gt;1,"Possible Duplicate Booking","Unique")</f>
        <v>Unique</v>
      </c>
      <c r="W2359" s="9" t="str">
        <f aca="false">IF((H2359-G2359)&lt;&gt;K2359,"Mismatch","OK")</f>
        <v>OK</v>
      </c>
      <c r="X2359" s="9" t="str">
        <f aca="false">IF(TEXT(H2359,"dddd")&lt;&gt;I2359,"Mismatch","OK")</f>
        <v>OK</v>
      </c>
      <c r="Y2359" s="9" t="str">
        <f aca="false">IF(AND(N2359="No",O2359&lt;&gt;""),"Unexpected: channel present but no reminder sent",IF(AND(N2359="Yes",O2359=""),"Missing channel for sent reminder","OK"))</f>
        <v>OK</v>
      </c>
    </row>
    <row r="2360" customFormat="false" ht="15" hidden="false" customHeight="false" outlineLevel="0" collapsed="false">
      <c r="A2360" s="7" t="s">
        <v>3747</v>
      </c>
      <c r="B2360" s="7" t="s">
        <v>3033</v>
      </c>
      <c r="C2360" s="7" t="s">
        <v>47</v>
      </c>
      <c r="D2360" s="7" t="n">
        <v>80</v>
      </c>
      <c r="E2360" s="7" t="s">
        <v>70</v>
      </c>
      <c r="F2360" s="7" t="s">
        <v>39</v>
      </c>
      <c r="G2360" s="8" t="n">
        <v>45946</v>
      </c>
      <c r="H2360" s="8" t="n">
        <v>45999</v>
      </c>
      <c r="I2360" s="7" t="s">
        <v>66</v>
      </c>
      <c r="J2360" s="7" t="s">
        <v>51</v>
      </c>
      <c r="K2360" s="7" t="n">
        <v>53</v>
      </c>
      <c r="L2360" s="7" t="n">
        <v>7</v>
      </c>
      <c r="M2360" s="7" t="n">
        <v>2</v>
      </c>
      <c r="N2360" s="7" t="s">
        <v>42</v>
      </c>
      <c r="O2360" s="7" t="s">
        <v>43</v>
      </c>
      <c r="P2360" s="7" t="n">
        <v>6.4</v>
      </c>
      <c r="Q2360" s="7" t="n">
        <v>31</v>
      </c>
      <c r="R2360" s="7" t="s">
        <v>44</v>
      </c>
      <c r="S2360" s="7"/>
      <c r="T2360" s="7"/>
      <c r="U2360" s="7" t="str">
        <f aca="false">IF(COUNTIF($A$2:$A$5001,A2360)&gt;1,"Duplicate","Unique")</f>
        <v>Unique</v>
      </c>
      <c r="V2360" s="7" t="str">
        <f aca="false">IF(COUNTIFS($B$2:$B$5001,B2360,$H$2:$H$5001,H2360,$J$2:$J$5001,J2360)&gt;1,"Possible Duplicate Booking","Unique")</f>
        <v>Unique</v>
      </c>
      <c r="W2360" s="7" t="str">
        <f aca="false">IF((H2360-G2360)&lt;&gt;K2360,"Mismatch","OK")</f>
        <v>OK</v>
      </c>
      <c r="X2360" s="7" t="str">
        <f aca="false">IF(TEXT(H2360,"dddd")&lt;&gt;I2360,"Mismatch","OK")</f>
        <v>OK</v>
      </c>
      <c r="Y2360" s="7" t="str">
        <f aca="false">IF(AND(N2360="No",O2360&lt;&gt;""),"Unexpected: channel present but no reminder sent",IF(AND(N2360="Yes",O2360=""),"Missing channel for sent reminder","OK"))</f>
        <v>OK</v>
      </c>
    </row>
    <row r="2361" customFormat="false" ht="15" hidden="false" customHeight="false" outlineLevel="0" collapsed="false">
      <c r="A2361" s="9" t="s">
        <v>3748</v>
      </c>
      <c r="B2361" s="9" t="s">
        <v>2364</v>
      </c>
      <c r="C2361" s="9" t="s">
        <v>37</v>
      </c>
      <c r="D2361" s="9" t="n">
        <v>45</v>
      </c>
      <c r="E2361" s="9" t="s">
        <v>56</v>
      </c>
      <c r="F2361" s="9" t="s">
        <v>39</v>
      </c>
      <c r="G2361" s="10" t="n">
        <v>45768</v>
      </c>
      <c r="H2361" s="10" t="n">
        <v>45771</v>
      </c>
      <c r="I2361" s="9" t="s">
        <v>62</v>
      </c>
      <c r="J2361" s="9" t="s">
        <v>41</v>
      </c>
      <c r="K2361" s="9" t="n">
        <v>3</v>
      </c>
      <c r="L2361" s="9" t="n">
        <v>2</v>
      </c>
      <c r="M2361" s="9" t="n">
        <v>0</v>
      </c>
      <c r="N2361" s="9" t="s">
        <v>42</v>
      </c>
      <c r="O2361" s="9" t="s">
        <v>43</v>
      </c>
      <c r="P2361" s="9" t="n">
        <v>9.1</v>
      </c>
      <c r="Q2361" s="9" t="n">
        <v>7</v>
      </c>
      <c r="R2361" s="9" t="s">
        <v>53</v>
      </c>
      <c r="S2361" s="9"/>
      <c r="T2361" s="9"/>
      <c r="U2361" s="9" t="str">
        <f aca="false">IF(COUNTIF($A$2:$A$5001,A2361)&gt;1,"Duplicate","Unique")</f>
        <v>Unique</v>
      </c>
      <c r="V2361" s="9" t="str">
        <f aca="false">IF(COUNTIFS($B$2:$B$5001,B2361,$H$2:$H$5001,H2361,$J$2:$J$5001,J2361)&gt;1,"Possible Duplicate Booking","Unique")</f>
        <v>Unique</v>
      </c>
      <c r="W2361" s="9" t="str">
        <f aca="false">IF((H2361-G2361)&lt;&gt;K2361,"Mismatch","OK")</f>
        <v>OK</v>
      </c>
      <c r="X2361" s="9" t="str">
        <f aca="false">IF(TEXT(H2361,"dddd")&lt;&gt;I2361,"Mismatch","OK")</f>
        <v>OK</v>
      </c>
      <c r="Y2361" s="9" t="str">
        <f aca="false">IF(AND(N2361="No",O2361&lt;&gt;""),"Unexpected: channel present but no reminder sent",IF(AND(N2361="Yes",O2361=""),"Missing channel for sent reminder","OK"))</f>
        <v>OK</v>
      </c>
    </row>
    <row r="2362" customFormat="false" ht="15" hidden="false" customHeight="false" outlineLevel="0" collapsed="false">
      <c r="A2362" s="7" t="s">
        <v>3749</v>
      </c>
      <c r="B2362" s="7" t="s">
        <v>3750</v>
      </c>
      <c r="C2362" s="7" t="s">
        <v>37</v>
      </c>
      <c r="D2362" s="7" t="n">
        <v>19</v>
      </c>
      <c r="E2362" s="7" t="s">
        <v>82</v>
      </c>
      <c r="F2362" s="7" t="s">
        <v>57</v>
      </c>
      <c r="G2362" s="8" t="n">
        <v>46009</v>
      </c>
      <c r="H2362" s="8" t="n">
        <v>46012</v>
      </c>
      <c r="I2362" s="7" t="s">
        <v>75</v>
      </c>
      <c r="J2362" s="7" t="s">
        <v>51</v>
      </c>
      <c r="K2362" s="7" t="n">
        <v>3</v>
      </c>
      <c r="L2362" s="7" t="n">
        <v>4</v>
      </c>
      <c r="M2362" s="7" t="n">
        <v>1</v>
      </c>
      <c r="N2362" s="7" t="s">
        <v>42</v>
      </c>
      <c r="O2362" s="7" t="s">
        <v>52</v>
      </c>
      <c r="P2362" s="7" t="n">
        <v>10.4</v>
      </c>
      <c r="Q2362" s="7" t="n">
        <v>17</v>
      </c>
      <c r="R2362" s="7" t="s">
        <v>44</v>
      </c>
      <c r="S2362" s="7"/>
      <c r="T2362" s="7"/>
      <c r="U2362" s="7" t="str">
        <f aca="false">IF(COUNTIF($A$2:$A$5001,A2362)&gt;1,"Duplicate","Unique")</f>
        <v>Unique</v>
      </c>
      <c r="V2362" s="7" t="str">
        <f aca="false">IF(COUNTIFS($B$2:$B$5001,B2362,$H$2:$H$5001,H2362,$J$2:$J$5001,J2362)&gt;1,"Possible Duplicate Booking","Unique")</f>
        <v>Unique</v>
      </c>
      <c r="W2362" s="7" t="str">
        <f aca="false">IF((H2362-G2362)&lt;&gt;K2362,"Mismatch","OK")</f>
        <v>OK</v>
      </c>
      <c r="X2362" s="7" t="str">
        <f aca="false">IF(TEXT(H2362,"dddd")&lt;&gt;I2362,"Mismatch","OK")</f>
        <v>OK</v>
      </c>
      <c r="Y2362" s="7" t="str">
        <f aca="false">IF(AND(N2362="No",O2362&lt;&gt;""),"Unexpected: channel present but no reminder sent",IF(AND(N2362="Yes",O2362=""),"Missing channel for sent reminder","OK"))</f>
        <v>OK</v>
      </c>
    </row>
    <row r="2363" customFormat="false" ht="15" hidden="false" customHeight="false" outlineLevel="0" collapsed="false">
      <c r="A2363" s="9" t="s">
        <v>3751</v>
      </c>
      <c r="B2363" s="9" t="s">
        <v>3752</v>
      </c>
      <c r="C2363" s="9" t="s">
        <v>37</v>
      </c>
      <c r="D2363" s="9" t="n">
        <v>20</v>
      </c>
      <c r="E2363" s="9" t="s">
        <v>82</v>
      </c>
      <c r="F2363" s="9" t="s">
        <v>39</v>
      </c>
      <c r="G2363" s="10" t="n">
        <v>46023</v>
      </c>
      <c r="H2363" s="10" t="n">
        <v>46068</v>
      </c>
      <c r="I2363" s="9" t="s">
        <v>75</v>
      </c>
      <c r="J2363" s="9" t="s">
        <v>41</v>
      </c>
      <c r="K2363" s="9" t="n">
        <v>45</v>
      </c>
      <c r="L2363" s="9" t="n">
        <v>3</v>
      </c>
      <c r="M2363" s="9" t="n">
        <v>0</v>
      </c>
      <c r="N2363" s="9" t="s">
        <v>42</v>
      </c>
      <c r="O2363" s="9" t="s">
        <v>52</v>
      </c>
      <c r="P2363" s="9" t="n">
        <v>26.5</v>
      </c>
      <c r="Q2363" s="9" t="n">
        <v>23</v>
      </c>
      <c r="R2363" s="9" t="s">
        <v>53</v>
      </c>
      <c r="S2363" s="9"/>
      <c r="T2363" s="9"/>
      <c r="U2363" s="9" t="str">
        <f aca="false">IF(COUNTIF($A$2:$A$5001,A2363)&gt;1,"Duplicate","Unique")</f>
        <v>Unique</v>
      </c>
      <c r="V2363" s="9" t="str">
        <f aca="false">IF(COUNTIFS($B$2:$B$5001,B2363,$H$2:$H$5001,H2363,$J$2:$J$5001,J2363)&gt;1,"Possible Duplicate Booking","Unique")</f>
        <v>Unique</v>
      </c>
      <c r="W2363" s="9" t="str">
        <f aca="false">IF((H2363-G2363)&lt;&gt;K2363,"Mismatch","OK")</f>
        <v>OK</v>
      </c>
      <c r="X2363" s="9" t="str">
        <f aca="false">IF(TEXT(H2363,"dddd")&lt;&gt;I2363,"Mismatch","OK")</f>
        <v>OK</v>
      </c>
      <c r="Y2363" s="9" t="str">
        <f aca="false">IF(AND(N2363="No",O2363&lt;&gt;""),"Unexpected: channel present but no reminder sent",IF(AND(N2363="Yes",O2363=""),"Missing channel for sent reminder","OK"))</f>
        <v>OK</v>
      </c>
    </row>
    <row r="2364" customFormat="false" ht="15" hidden="false" customHeight="false" outlineLevel="0" collapsed="false">
      <c r="A2364" s="7" t="s">
        <v>3753</v>
      </c>
      <c r="B2364" s="7" t="s">
        <v>538</v>
      </c>
      <c r="C2364" s="7" t="s">
        <v>47</v>
      </c>
      <c r="D2364" s="7" t="n">
        <v>79</v>
      </c>
      <c r="E2364" s="7" t="s">
        <v>70</v>
      </c>
      <c r="F2364" s="7" t="s">
        <v>57</v>
      </c>
      <c r="G2364" s="8" t="n">
        <v>46183</v>
      </c>
      <c r="H2364" s="8" t="n">
        <v>46183</v>
      </c>
      <c r="I2364" s="7" t="s">
        <v>58</v>
      </c>
      <c r="J2364" s="7" t="s">
        <v>51</v>
      </c>
      <c r="K2364" s="7" t="n">
        <v>0</v>
      </c>
      <c r="L2364" s="7" t="n">
        <v>2</v>
      </c>
      <c r="M2364" s="7" t="n">
        <v>0</v>
      </c>
      <c r="N2364" s="7" t="s">
        <v>42</v>
      </c>
      <c r="O2364" s="7" t="s">
        <v>52</v>
      </c>
      <c r="P2364" s="7" t="n">
        <v>5</v>
      </c>
      <c r="Q2364" s="7" t="n">
        <v>35</v>
      </c>
      <c r="R2364" s="7" t="s">
        <v>53</v>
      </c>
      <c r="S2364" s="7"/>
      <c r="T2364" s="7"/>
      <c r="U2364" s="7" t="str">
        <f aca="false">IF(COUNTIF($A$2:$A$5001,A2364)&gt;1,"Duplicate","Unique")</f>
        <v>Unique</v>
      </c>
      <c r="V2364" s="7" t="str">
        <f aca="false">IF(COUNTIFS($B$2:$B$5001,B2364,$H$2:$H$5001,H2364,$J$2:$J$5001,J2364)&gt;1,"Possible Duplicate Booking","Unique")</f>
        <v>Unique</v>
      </c>
      <c r="W2364" s="7" t="str">
        <f aca="false">IF((H2364-G2364)&lt;&gt;K2364,"Mismatch","OK")</f>
        <v>OK</v>
      </c>
      <c r="X2364" s="7" t="str">
        <f aca="false">IF(TEXT(H2364,"dddd")&lt;&gt;I2364,"Mismatch","OK")</f>
        <v>OK</v>
      </c>
      <c r="Y2364" s="7" t="str">
        <f aca="false">IF(AND(N2364="No",O2364&lt;&gt;""),"Unexpected: channel present but no reminder sent",IF(AND(N2364="Yes",O2364=""),"Missing channel for sent reminder","OK"))</f>
        <v>OK</v>
      </c>
    </row>
    <row r="2365" customFormat="false" ht="15" hidden="false" customHeight="false" outlineLevel="0" collapsed="false">
      <c r="A2365" s="9" t="s">
        <v>3754</v>
      </c>
      <c r="B2365" s="9" t="s">
        <v>1187</v>
      </c>
      <c r="C2365" s="9" t="s">
        <v>47</v>
      </c>
      <c r="D2365" s="9" t="n">
        <v>51</v>
      </c>
      <c r="E2365" s="9" t="s">
        <v>56</v>
      </c>
      <c r="F2365" s="9" t="s">
        <v>74</v>
      </c>
      <c r="G2365" s="10" t="n">
        <v>45712</v>
      </c>
      <c r="H2365" s="10" t="n">
        <v>45722</v>
      </c>
      <c r="I2365" s="9" t="s">
        <v>62</v>
      </c>
      <c r="J2365" s="9" t="s">
        <v>51</v>
      </c>
      <c r="K2365" s="9" t="n">
        <v>10</v>
      </c>
      <c r="L2365" s="9" t="n">
        <v>2</v>
      </c>
      <c r="M2365" s="9" t="n">
        <v>0</v>
      </c>
      <c r="N2365" s="9" t="s">
        <v>42</v>
      </c>
      <c r="O2365" s="9" t="s">
        <v>67</v>
      </c>
      <c r="P2365" s="9" t="n">
        <v>5.1</v>
      </c>
      <c r="Q2365" s="9" t="n">
        <v>12</v>
      </c>
      <c r="R2365" s="9" t="s">
        <v>53</v>
      </c>
      <c r="S2365" s="9"/>
      <c r="T2365" s="9"/>
      <c r="U2365" s="9" t="str">
        <f aca="false">IF(COUNTIF($A$2:$A$5001,A2365)&gt;1,"Duplicate","Unique")</f>
        <v>Unique</v>
      </c>
      <c r="V2365" s="9" t="str">
        <f aca="false">IF(COUNTIFS($B$2:$B$5001,B2365,$H$2:$H$5001,H2365,$J$2:$J$5001,J2365)&gt;1,"Possible Duplicate Booking","Unique")</f>
        <v>Unique</v>
      </c>
      <c r="W2365" s="9" t="str">
        <f aca="false">IF((H2365-G2365)&lt;&gt;K2365,"Mismatch","OK")</f>
        <v>OK</v>
      </c>
      <c r="X2365" s="9" t="str">
        <f aca="false">IF(TEXT(H2365,"dddd")&lt;&gt;I2365,"Mismatch","OK")</f>
        <v>OK</v>
      </c>
      <c r="Y2365" s="9" t="str">
        <f aca="false">IF(AND(N2365="No",O2365&lt;&gt;""),"Unexpected: channel present but no reminder sent",IF(AND(N2365="Yes",O2365=""),"Missing channel for sent reminder","OK"))</f>
        <v>OK</v>
      </c>
    </row>
    <row r="2366" customFormat="false" ht="15" hidden="false" customHeight="false" outlineLevel="0" collapsed="false">
      <c r="A2366" s="7" t="s">
        <v>3755</v>
      </c>
      <c r="B2366" s="7" t="s">
        <v>1518</v>
      </c>
      <c r="C2366" s="7" t="s">
        <v>47</v>
      </c>
      <c r="D2366" s="7" t="n">
        <v>42</v>
      </c>
      <c r="E2366" s="7" t="s">
        <v>38</v>
      </c>
      <c r="F2366" s="7" t="s">
        <v>57</v>
      </c>
      <c r="G2366" s="8" t="n">
        <v>46012</v>
      </c>
      <c r="H2366" s="8" t="n">
        <v>46072</v>
      </c>
      <c r="I2366" s="7" t="s">
        <v>62</v>
      </c>
      <c r="J2366" s="7" t="s">
        <v>51</v>
      </c>
      <c r="K2366" s="7" t="n">
        <v>60</v>
      </c>
      <c r="L2366" s="7" t="n">
        <v>6</v>
      </c>
      <c r="M2366" s="7" t="n">
        <v>2</v>
      </c>
      <c r="N2366" s="7" t="s">
        <v>42</v>
      </c>
      <c r="O2366" s="7" t="s">
        <v>52</v>
      </c>
      <c r="P2366" s="7" t="n">
        <v>15</v>
      </c>
      <c r="Q2366" s="7" t="n">
        <v>37</v>
      </c>
      <c r="R2366" s="7" t="s">
        <v>53</v>
      </c>
      <c r="S2366" s="7"/>
      <c r="T2366" s="7"/>
      <c r="U2366" s="7" t="str">
        <f aca="false">IF(COUNTIF($A$2:$A$5001,A2366)&gt;1,"Duplicate","Unique")</f>
        <v>Unique</v>
      </c>
      <c r="V2366" s="7" t="str">
        <f aca="false">IF(COUNTIFS($B$2:$B$5001,B2366,$H$2:$H$5001,H2366,$J$2:$J$5001,J2366)&gt;1,"Possible Duplicate Booking","Unique")</f>
        <v>Unique</v>
      </c>
      <c r="W2366" s="7" t="str">
        <f aca="false">IF((H2366-G2366)&lt;&gt;K2366,"Mismatch","OK")</f>
        <v>OK</v>
      </c>
      <c r="X2366" s="7" t="str">
        <f aca="false">IF(TEXT(H2366,"dddd")&lt;&gt;I2366,"Mismatch","OK")</f>
        <v>OK</v>
      </c>
      <c r="Y2366" s="7" t="str">
        <f aca="false">IF(AND(N2366="No",O2366&lt;&gt;""),"Unexpected: channel present but no reminder sent",IF(AND(N2366="Yes",O2366=""),"Missing channel for sent reminder","OK"))</f>
        <v>OK</v>
      </c>
    </row>
    <row r="2367" customFormat="false" ht="15" hidden="false" customHeight="false" outlineLevel="0" collapsed="false">
      <c r="A2367" s="9" t="s">
        <v>3756</v>
      </c>
      <c r="B2367" s="9" t="s">
        <v>943</v>
      </c>
      <c r="C2367" s="9" t="s">
        <v>37</v>
      </c>
      <c r="D2367" s="9" t="n">
        <v>69</v>
      </c>
      <c r="E2367" s="9" t="s">
        <v>70</v>
      </c>
      <c r="F2367" s="9" t="s">
        <v>39</v>
      </c>
      <c r="G2367" s="10" t="n">
        <v>45679</v>
      </c>
      <c r="H2367" s="10" t="n">
        <v>45704</v>
      </c>
      <c r="I2367" s="9" t="s">
        <v>75</v>
      </c>
      <c r="J2367" s="9" t="s">
        <v>51</v>
      </c>
      <c r="K2367" s="9" t="n">
        <v>25</v>
      </c>
      <c r="L2367" s="9" t="n">
        <v>3</v>
      </c>
      <c r="M2367" s="9" t="n">
        <v>1</v>
      </c>
      <c r="N2367" s="9" t="s">
        <v>42</v>
      </c>
      <c r="O2367" s="9" t="s">
        <v>52</v>
      </c>
      <c r="P2367" s="9" t="n">
        <v>6</v>
      </c>
      <c r="Q2367" s="9" t="n">
        <v>25</v>
      </c>
      <c r="R2367" s="9" t="s">
        <v>53</v>
      </c>
      <c r="S2367" s="9"/>
      <c r="T2367" s="9"/>
      <c r="U2367" s="9" t="str">
        <f aca="false">IF(COUNTIF($A$2:$A$5001,A2367)&gt;1,"Duplicate","Unique")</f>
        <v>Unique</v>
      </c>
      <c r="V2367" s="9" t="str">
        <f aca="false">IF(COUNTIFS($B$2:$B$5001,B2367,$H$2:$H$5001,H2367,$J$2:$J$5001,J2367)&gt;1,"Possible Duplicate Booking","Unique")</f>
        <v>Unique</v>
      </c>
      <c r="W2367" s="9" t="str">
        <f aca="false">IF((H2367-G2367)&lt;&gt;K2367,"Mismatch","OK")</f>
        <v>OK</v>
      </c>
      <c r="X2367" s="9" t="str">
        <f aca="false">IF(TEXT(H2367,"dddd")&lt;&gt;I2367,"Mismatch","OK")</f>
        <v>OK</v>
      </c>
      <c r="Y2367" s="9" t="str">
        <f aca="false">IF(AND(N2367="No",O2367&lt;&gt;""),"Unexpected: channel present but no reminder sent",IF(AND(N2367="Yes",O2367=""),"Missing channel for sent reminder","OK"))</f>
        <v>OK</v>
      </c>
    </row>
    <row r="2368" customFormat="false" ht="15" hidden="false" customHeight="false" outlineLevel="0" collapsed="false">
      <c r="A2368" s="7" t="s">
        <v>3757</v>
      </c>
      <c r="B2368" s="7" t="s">
        <v>3758</v>
      </c>
      <c r="C2368" s="7" t="s">
        <v>47</v>
      </c>
      <c r="D2368" s="7" t="n">
        <v>56</v>
      </c>
      <c r="E2368" s="7" t="s">
        <v>61</v>
      </c>
      <c r="F2368" s="7" t="s">
        <v>57</v>
      </c>
      <c r="G2368" s="8" t="n">
        <v>45798</v>
      </c>
      <c r="H2368" s="8" t="n">
        <v>45842</v>
      </c>
      <c r="I2368" s="7" t="s">
        <v>50</v>
      </c>
      <c r="J2368" s="7" t="s">
        <v>51</v>
      </c>
      <c r="K2368" s="7" t="n">
        <v>44</v>
      </c>
      <c r="L2368" s="7" t="n">
        <v>4</v>
      </c>
      <c r="M2368" s="7" t="n">
        <v>0</v>
      </c>
      <c r="N2368" s="7" t="s">
        <v>71</v>
      </c>
      <c r="O2368" s="7"/>
      <c r="P2368" s="7" t="n">
        <v>1.5</v>
      </c>
      <c r="Q2368" s="7" t="n">
        <v>28</v>
      </c>
      <c r="R2368" s="7" t="s">
        <v>44</v>
      </c>
      <c r="S2368" s="7"/>
      <c r="T2368" s="7"/>
      <c r="U2368" s="7" t="str">
        <f aca="false">IF(COUNTIF($A$2:$A$5001,A2368)&gt;1,"Duplicate","Unique")</f>
        <v>Unique</v>
      </c>
      <c r="V2368" s="7" t="str">
        <f aca="false">IF(COUNTIFS($B$2:$B$5001,B2368,$H$2:$H$5001,H2368,$J$2:$J$5001,J2368)&gt;1,"Possible Duplicate Booking","Unique")</f>
        <v>Unique</v>
      </c>
      <c r="W2368" s="7" t="str">
        <f aca="false">IF((H2368-G2368)&lt;&gt;K2368,"Mismatch","OK")</f>
        <v>OK</v>
      </c>
      <c r="X2368" s="7" t="str">
        <f aca="false">IF(TEXT(H2368,"dddd")&lt;&gt;I2368,"Mismatch","OK")</f>
        <v>OK</v>
      </c>
      <c r="Y2368" s="7" t="str">
        <f aca="false">IF(AND(N2368="No",O2368&lt;&gt;""),"Unexpected: channel present but no reminder sent",IF(AND(N2368="Yes",O2368=""),"Missing channel for sent reminder","OK"))</f>
        <v>OK</v>
      </c>
    </row>
    <row r="2369" customFormat="false" ht="15" hidden="false" customHeight="false" outlineLevel="0" collapsed="false">
      <c r="A2369" s="9" t="s">
        <v>3759</v>
      </c>
      <c r="B2369" s="9" t="s">
        <v>1115</v>
      </c>
      <c r="C2369" s="9" t="s">
        <v>37</v>
      </c>
      <c r="D2369" s="9" t="n">
        <v>59</v>
      </c>
      <c r="E2369" s="9" t="s">
        <v>61</v>
      </c>
      <c r="F2369" s="9" t="s">
        <v>49</v>
      </c>
      <c r="G2369" s="10" t="n">
        <v>45725</v>
      </c>
      <c r="H2369" s="10" t="n">
        <v>45754</v>
      </c>
      <c r="I2369" s="9" t="s">
        <v>66</v>
      </c>
      <c r="J2369" s="9" t="s">
        <v>51</v>
      </c>
      <c r="K2369" s="9" t="n">
        <v>29</v>
      </c>
      <c r="L2369" s="9" t="n">
        <v>4</v>
      </c>
      <c r="M2369" s="9" t="n">
        <v>1</v>
      </c>
      <c r="N2369" s="9" t="s">
        <v>71</v>
      </c>
      <c r="O2369" s="9"/>
      <c r="P2369" s="9" t="n">
        <v>19.9</v>
      </c>
      <c r="Q2369" s="9" t="n">
        <v>16</v>
      </c>
      <c r="R2369" s="9" t="s">
        <v>53</v>
      </c>
      <c r="S2369" s="9"/>
      <c r="T2369" s="9"/>
      <c r="U2369" s="9" t="str">
        <f aca="false">IF(COUNTIF($A$2:$A$5001,A2369)&gt;1,"Duplicate","Unique")</f>
        <v>Unique</v>
      </c>
      <c r="V2369" s="9" t="str">
        <f aca="false">IF(COUNTIFS($B$2:$B$5001,B2369,$H$2:$H$5001,H2369,$J$2:$J$5001,J2369)&gt;1,"Possible Duplicate Booking","Unique")</f>
        <v>Unique</v>
      </c>
      <c r="W2369" s="9" t="str">
        <f aca="false">IF((H2369-G2369)&lt;&gt;K2369,"Mismatch","OK")</f>
        <v>OK</v>
      </c>
      <c r="X2369" s="9" t="str">
        <f aca="false">IF(TEXT(H2369,"dddd")&lt;&gt;I2369,"Mismatch","OK")</f>
        <v>OK</v>
      </c>
      <c r="Y2369" s="9" t="str">
        <f aca="false">IF(AND(N2369="No",O2369&lt;&gt;""),"Unexpected: channel present but no reminder sent",IF(AND(N2369="Yes",O2369=""),"Missing channel for sent reminder","OK"))</f>
        <v>OK</v>
      </c>
    </row>
    <row r="2370" customFormat="false" ht="15" hidden="false" customHeight="false" outlineLevel="0" collapsed="false">
      <c r="A2370" s="7" t="s">
        <v>3760</v>
      </c>
      <c r="B2370" s="7" t="s">
        <v>786</v>
      </c>
      <c r="C2370" s="7" t="s">
        <v>47</v>
      </c>
      <c r="D2370" s="7" t="n">
        <v>61</v>
      </c>
      <c r="E2370" s="7" t="s">
        <v>61</v>
      </c>
      <c r="F2370" s="7" t="s">
        <v>57</v>
      </c>
      <c r="G2370" s="8" t="n">
        <v>45741</v>
      </c>
      <c r="H2370" s="8" t="n">
        <v>45746</v>
      </c>
      <c r="I2370" s="7" t="s">
        <v>75</v>
      </c>
      <c r="J2370" s="7" t="s">
        <v>41</v>
      </c>
      <c r="K2370" s="7" t="n">
        <v>5</v>
      </c>
      <c r="L2370" s="7" t="n">
        <v>5</v>
      </c>
      <c r="M2370" s="7" t="n">
        <v>1</v>
      </c>
      <c r="N2370" s="7" t="s">
        <v>42</v>
      </c>
      <c r="O2370" s="7" t="s">
        <v>52</v>
      </c>
      <c r="P2370" s="7" t="n">
        <v>19.2</v>
      </c>
      <c r="Q2370" s="7" t="n">
        <v>13</v>
      </c>
      <c r="R2370" s="7" t="s">
        <v>53</v>
      </c>
      <c r="S2370" s="7"/>
      <c r="T2370" s="7"/>
      <c r="U2370" s="7" t="str">
        <f aca="false">IF(COUNTIF($A$2:$A$5001,A2370)&gt;1,"Duplicate","Unique")</f>
        <v>Unique</v>
      </c>
      <c r="V2370" s="7" t="str">
        <f aca="false">IF(COUNTIFS($B$2:$B$5001,B2370,$H$2:$H$5001,H2370,$J$2:$J$5001,J2370)&gt;1,"Possible Duplicate Booking","Unique")</f>
        <v>Unique</v>
      </c>
      <c r="W2370" s="7" t="str">
        <f aca="false">IF((H2370-G2370)&lt;&gt;K2370,"Mismatch","OK")</f>
        <v>OK</v>
      </c>
      <c r="X2370" s="7" t="str">
        <f aca="false">IF(TEXT(H2370,"dddd")&lt;&gt;I2370,"Mismatch","OK")</f>
        <v>OK</v>
      </c>
      <c r="Y2370" s="7" t="str">
        <f aca="false">IF(AND(N2370="No",O2370&lt;&gt;""),"Unexpected: channel present but no reminder sent",IF(AND(N2370="Yes",O2370=""),"Missing channel for sent reminder","OK"))</f>
        <v>OK</v>
      </c>
    </row>
    <row r="2371" customFormat="false" ht="15" hidden="false" customHeight="false" outlineLevel="0" collapsed="false">
      <c r="A2371" s="9" t="s">
        <v>3761</v>
      </c>
      <c r="B2371" s="9" t="s">
        <v>474</v>
      </c>
      <c r="C2371" s="9" t="s">
        <v>47</v>
      </c>
      <c r="D2371" s="9" t="n">
        <v>30</v>
      </c>
      <c r="E2371" s="9" t="s">
        <v>48</v>
      </c>
      <c r="F2371" s="9" t="s">
        <v>74</v>
      </c>
      <c r="G2371" s="10" t="n">
        <v>45742</v>
      </c>
      <c r="H2371" s="10" t="n">
        <v>45753</v>
      </c>
      <c r="I2371" s="9" t="s">
        <v>75</v>
      </c>
      <c r="J2371" s="9" t="s">
        <v>51</v>
      </c>
      <c r="K2371" s="9" t="n">
        <v>11</v>
      </c>
      <c r="L2371" s="9" t="n">
        <v>1</v>
      </c>
      <c r="M2371" s="9" t="n">
        <v>0</v>
      </c>
      <c r="N2371" s="9" t="s">
        <v>42</v>
      </c>
      <c r="O2371" s="9" t="s">
        <v>52</v>
      </c>
      <c r="P2371" s="9" t="n">
        <v>3.1</v>
      </c>
      <c r="Q2371" s="9" t="n">
        <v>2</v>
      </c>
      <c r="R2371" s="9" t="s">
        <v>53</v>
      </c>
      <c r="S2371" s="9"/>
      <c r="T2371" s="9"/>
      <c r="U2371" s="9" t="str">
        <f aca="false">IF(COUNTIF($A$2:$A$5001,A2371)&gt;1,"Duplicate","Unique")</f>
        <v>Unique</v>
      </c>
      <c r="V2371" s="9" t="str">
        <f aca="false">IF(COUNTIFS($B$2:$B$5001,B2371,$H$2:$H$5001,H2371,$J$2:$J$5001,J2371)&gt;1,"Possible Duplicate Booking","Unique")</f>
        <v>Unique</v>
      </c>
      <c r="W2371" s="9" t="str">
        <f aca="false">IF((H2371-G2371)&lt;&gt;K2371,"Mismatch","OK")</f>
        <v>OK</v>
      </c>
      <c r="X2371" s="9" t="str">
        <f aca="false">IF(TEXT(H2371,"dddd")&lt;&gt;I2371,"Mismatch","OK")</f>
        <v>OK</v>
      </c>
      <c r="Y2371" s="9" t="str">
        <f aca="false">IF(AND(N2371="No",O2371&lt;&gt;""),"Unexpected: channel present but no reminder sent",IF(AND(N2371="Yes",O2371=""),"Missing channel for sent reminder","OK"))</f>
        <v>OK</v>
      </c>
    </row>
    <row r="2372" customFormat="false" ht="15" hidden="false" customHeight="false" outlineLevel="0" collapsed="false">
      <c r="A2372" s="7" t="s">
        <v>3762</v>
      </c>
      <c r="B2372" s="7" t="s">
        <v>3763</v>
      </c>
      <c r="C2372" s="7" t="s">
        <v>37</v>
      </c>
      <c r="D2372" s="7" t="n">
        <v>23</v>
      </c>
      <c r="E2372" s="7" t="s">
        <v>82</v>
      </c>
      <c r="F2372" s="7" t="s">
        <v>57</v>
      </c>
      <c r="G2372" s="8" t="n">
        <v>45635</v>
      </c>
      <c r="H2372" s="8" t="n">
        <v>45681</v>
      </c>
      <c r="I2372" s="7" t="s">
        <v>50</v>
      </c>
      <c r="J2372" s="7" t="s">
        <v>41</v>
      </c>
      <c r="K2372" s="7" t="n">
        <v>46</v>
      </c>
      <c r="L2372" s="7" t="n">
        <v>3</v>
      </c>
      <c r="M2372" s="7" t="n">
        <v>1</v>
      </c>
      <c r="N2372" s="7" t="s">
        <v>42</v>
      </c>
      <c r="O2372" s="7" t="s">
        <v>43</v>
      </c>
      <c r="P2372" s="7" t="n">
        <v>8.8</v>
      </c>
      <c r="Q2372" s="7" t="n">
        <v>27</v>
      </c>
      <c r="R2372" s="7" t="s">
        <v>44</v>
      </c>
      <c r="S2372" s="7"/>
      <c r="T2372" s="7"/>
      <c r="U2372" s="7" t="str">
        <f aca="false">IF(COUNTIF($A$2:$A$5001,A2372)&gt;1,"Duplicate","Unique")</f>
        <v>Unique</v>
      </c>
      <c r="V2372" s="7" t="str">
        <f aca="false">IF(COUNTIFS($B$2:$B$5001,B2372,$H$2:$H$5001,H2372,$J$2:$J$5001,J2372)&gt;1,"Possible Duplicate Booking","Unique")</f>
        <v>Unique</v>
      </c>
      <c r="W2372" s="7" t="str">
        <f aca="false">IF((H2372-G2372)&lt;&gt;K2372,"Mismatch","OK")</f>
        <v>OK</v>
      </c>
      <c r="X2372" s="7" t="str">
        <f aca="false">IF(TEXT(H2372,"dddd")&lt;&gt;I2372,"Mismatch","OK")</f>
        <v>OK</v>
      </c>
      <c r="Y2372" s="7" t="str">
        <f aca="false">IF(AND(N2372="No",O2372&lt;&gt;""),"Unexpected: channel present but no reminder sent",IF(AND(N2372="Yes",O2372=""),"Missing channel for sent reminder","OK"))</f>
        <v>OK</v>
      </c>
    </row>
    <row r="2373" customFormat="false" ht="15" hidden="false" customHeight="false" outlineLevel="0" collapsed="false">
      <c r="A2373" s="9" t="s">
        <v>3764</v>
      </c>
      <c r="B2373" s="9" t="s">
        <v>3298</v>
      </c>
      <c r="C2373" s="9" t="s">
        <v>47</v>
      </c>
      <c r="D2373" s="9" t="n">
        <v>63</v>
      </c>
      <c r="E2373" s="9" t="s">
        <v>61</v>
      </c>
      <c r="F2373" s="9" t="s">
        <v>49</v>
      </c>
      <c r="G2373" s="10" t="n">
        <v>46102</v>
      </c>
      <c r="H2373" s="10" t="n">
        <v>46107</v>
      </c>
      <c r="I2373" s="9" t="s">
        <v>62</v>
      </c>
      <c r="J2373" s="9" t="s">
        <v>63</v>
      </c>
      <c r="K2373" s="9" t="n">
        <v>5</v>
      </c>
      <c r="L2373" s="9" t="n">
        <v>3</v>
      </c>
      <c r="M2373" s="9" t="n">
        <v>1</v>
      </c>
      <c r="N2373" s="9" t="s">
        <v>71</v>
      </c>
      <c r="O2373" s="9"/>
      <c r="P2373" s="9" t="n">
        <v>2</v>
      </c>
      <c r="Q2373" s="9" t="n">
        <v>31</v>
      </c>
      <c r="R2373" s="9" t="s">
        <v>44</v>
      </c>
      <c r="S2373" s="9"/>
      <c r="T2373" s="9"/>
      <c r="U2373" s="9" t="str">
        <f aca="false">IF(COUNTIF($A$2:$A$5001,A2373)&gt;1,"Duplicate","Unique")</f>
        <v>Unique</v>
      </c>
      <c r="V2373" s="9" t="str">
        <f aca="false">IF(COUNTIFS($B$2:$B$5001,B2373,$H$2:$H$5001,H2373,$J$2:$J$5001,J2373)&gt;1,"Possible Duplicate Booking","Unique")</f>
        <v>Unique</v>
      </c>
      <c r="W2373" s="9" t="str">
        <f aca="false">IF((H2373-G2373)&lt;&gt;K2373,"Mismatch","OK")</f>
        <v>OK</v>
      </c>
      <c r="X2373" s="9" t="str">
        <f aca="false">IF(TEXT(H2373,"dddd")&lt;&gt;I2373,"Mismatch","OK")</f>
        <v>OK</v>
      </c>
      <c r="Y2373" s="9" t="str">
        <f aca="false">IF(AND(N2373="No",O2373&lt;&gt;""),"Unexpected: channel present but no reminder sent",IF(AND(N2373="Yes",O2373=""),"Missing channel for sent reminder","OK"))</f>
        <v>OK</v>
      </c>
    </row>
    <row r="2374" customFormat="false" ht="15" hidden="false" customHeight="false" outlineLevel="0" collapsed="false">
      <c r="A2374" s="7" t="s">
        <v>3765</v>
      </c>
      <c r="B2374" s="7" t="s">
        <v>1214</v>
      </c>
      <c r="C2374" s="7" t="s">
        <v>47</v>
      </c>
      <c r="D2374" s="7" t="n">
        <v>19</v>
      </c>
      <c r="E2374" s="7" t="s">
        <v>82</v>
      </c>
      <c r="F2374" s="7" t="s">
        <v>39</v>
      </c>
      <c r="G2374" s="8" t="n">
        <v>45655</v>
      </c>
      <c r="H2374" s="8" t="n">
        <v>45691</v>
      </c>
      <c r="I2374" s="7" t="s">
        <v>66</v>
      </c>
      <c r="J2374" s="7" t="s">
        <v>41</v>
      </c>
      <c r="K2374" s="7" t="n">
        <v>36</v>
      </c>
      <c r="L2374" s="7" t="n">
        <v>4</v>
      </c>
      <c r="M2374" s="7" t="n">
        <v>0</v>
      </c>
      <c r="N2374" s="7" t="s">
        <v>71</v>
      </c>
      <c r="O2374" s="7"/>
      <c r="P2374" s="7" t="n">
        <v>14.1</v>
      </c>
      <c r="Q2374" s="7" t="n">
        <v>20</v>
      </c>
      <c r="R2374" s="7" t="s">
        <v>53</v>
      </c>
      <c r="S2374" s="7"/>
      <c r="T2374" s="7"/>
      <c r="U2374" s="7" t="str">
        <f aca="false">IF(COUNTIF($A$2:$A$5001,A2374)&gt;1,"Duplicate","Unique")</f>
        <v>Unique</v>
      </c>
      <c r="V2374" s="7" t="str">
        <f aca="false">IF(COUNTIFS($B$2:$B$5001,B2374,$H$2:$H$5001,H2374,$J$2:$J$5001,J2374)&gt;1,"Possible Duplicate Booking","Unique")</f>
        <v>Unique</v>
      </c>
      <c r="W2374" s="7" t="str">
        <f aca="false">IF((H2374-G2374)&lt;&gt;K2374,"Mismatch","OK")</f>
        <v>OK</v>
      </c>
      <c r="X2374" s="7" t="str">
        <f aca="false">IF(TEXT(H2374,"dddd")&lt;&gt;I2374,"Mismatch","OK")</f>
        <v>OK</v>
      </c>
      <c r="Y2374" s="7" t="str">
        <f aca="false">IF(AND(N2374="No",O2374&lt;&gt;""),"Unexpected: channel present but no reminder sent",IF(AND(N2374="Yes",O2374=""),"Missing channel for sent reminder","OK"))</f>
        <v>OK</v>
      </c>
    </row>
    <row r="2375" customFormat="false" ht="15" hidden="false" customHeight="false" outlineLevel="0" collapsed="false">
      <c r="A2375" s="9" t="s">
        <v>3766</v>
      </c>
      <c r="B2375" s="9" t="s">
        <v>3767</v>
      </c>
      <c r="C2375" s="9" t="s">
        <v>37</v>
      </c>
      <c r="D2375" s="9" t="n">
        <v>63</v>
      </c>
      <c r="E2375" s="9" t="s">
        <v>61</v>
      </c>
      <c r="F2375" s="9" t="s">
        <v>57</v>
      </c>
      <c r="G2375" s="10" t="n">
        <v>45854</v>
      </c>
      <c r="H2375" s="10" t="n">
        <v>45875</v>
      </c>
      <c r="I2375" s="9" t="s">
        <v>58</v>
      </c>
      <c r="J2375" s="9" t="s">
        <v>41</v>
      </c>
      <c r="K2375" s="9" t="n">
        <v>21</v>
      </c>
      <c r="L2375" s="9" t="n">
        <v>4</v>
      </c>
      <c r="M2375" s="9" t="n">
        <v>1</v>
      </c>
      <c r="N2375" s="9" t="s">
        <v>42</v>
      </c>
      <c r="O2375" s="9" t="s">
        <v>52</v>
      </c>
      <c r="P2375" s="9" t="n">
        <v>13.7</v>
      </c>
      <c r="Q2375" s="9" t="n">
        <v>7</v>
      </c>
      <c r="R2375" s="9" t="s">
        <v>44</v>
      </c>
      <c r="S2375" s="9"/>
      <c r="T2375" s="9"/>
      <c r="U2375" s="9" t="str">
        <f aca="false">IF(COUNTIF($A$2:$A$5001,A2375)&gt;1,"Duplicate","Unique")</f>
        <v>Unique</v>
      </c>
      <c r="V2375" s="9" t="str">
        <f aca="false">IF(COUNTIFS($B$2:$B$5001,B2375,$H$2:$H$5001,H2375,$J$2:$J$5001,J2375)&gt;1,"Possible Duplicate Booking","Unique")</f>
        <v>Unique</v>
      </c>
      <c r="W2375" s="9" t="str">
        <f aca="false">IF((H2375-G2375)&lt;&gt;K2375,"Mismatch","OK")</f>
        <v>OK</v>
      </c>
      <c r="X2375" s="9" t="str">
        <f aca="false">IF(TEXT(H2375,"dddd")&lt;&gt;I2375,"Mismatch","OK")</f>
        <v>OK</v>
      </c>
      <c r="Y2375" s="9" t="str">
        <f aca="false">IF(AND(N2375="No",O2375&lt;&gt;""),"Unexpected: channel present but no reminder sent",IF(AND(N2375="Yes",O2375=""),"Missing channel for sent reminder","OK"))</f>
        <v>OK</v>
      </c>
    </row>
    <row r="2376" customFormat="false" ht="15" hidden="false" customHeight="false" outlineLevel="0" collapsed="false">
      <c r="A2376" s="7" t="s">
        <v>3768</v>
      </c>
      <c r="B2376" s="7" t="s">
        <v>1231</v>
      </c>
      <c r="C2376" s="7" t="s">
        <v>37</v>
      </c>
      <c r="D2376" s="7" t="n">
        <v>26</v>
      </c>
      <c r="E2376" s="7" t="s">
        <v>48</v>
      </c>
      <c r="F2376" s="7" t="s">
        <v>57</v>
      </c>
      <c r="G2376" s="8" t="n">
        <v>46017</v>
      </c>
      <c r="H2376" s="8" t="n">
        <v>46039</v>
      </c>
      <c r="I2376" s="7" t="s">
        <v>102</v>
      </c>
      <c r="J2376" s="7" t="s">
        <v>51</v>
      </c>
      <c r="K2376" s="7" t="n">
        <v>22</v>
      </c>
      <c r="L2376" s="7" t="n">
        <v>4</v>
      </c>
      <c r="M2376" s="7" t="n">
        <v>0</v>
      </c>
      <c r="N2376" s="7" t="s">
        <v>42</v>
      </c>
      <c r="O2376" s="7" t="s">
        <v>52</v>
      </c>
      <c r="P2376" s="7" t="n">
        <v>8.3</v>
      </c>
      <c r="Q2376" s="7" t="n">
        <v>18</v>
      </c>
      <c r="R2376" s="7" t="s">
        <v>87</v>
      </c>
      <c r="S2376" s="7"/>
      <c r="T2376" s="7"/>
      <c r="U2376" s="7" t="str">
        <f aca="false">IF(COUNTIF($A$2:$A$5001,A2376)&gt;1,"Duplicate","Unique")</f>
        <v>Unique</v>
      </c>
      <c r="V2376" s="7" t="str">
        <f aca="false">IF(COUNTIFS($B$2:$B$5001,B2376,$H$2:$H$5001,H2376,$J$2:$J$5001,J2376)&gt;1,"Possible Duplicate Booking","Unique")</f>
        <v>Unique</v>
      </c>
      <c r="W2376" s="7" t="str">
        <f aca="false">IF((H2376-G2376)&lt;&gt;K2376,"Mismatch","OK")</f>
        <v>OK</v>
      </c>
      <c r="X2376" s="7" t="str">
        <f aca="false">IF(TEXT(H2376,"dddd")&lt;&gt;I2376,"Mismatch","OK")</f>
        <v>OK</v>
      </c>
      <c r="Y2376" s="7" t="str">
        <f aca="false">IF(AND(N2376="No",O2376&lt;&gt;""),"Unexpected: channel present but no reminder sent",IF(AND(N2376="Yes",O2376=""),"Missing channel for sent reminder","OK"))</f>
        <v>OK</v>
      </c>
    </row>
    <row r="2377" customFormat="false" ht="15" hidden="false" customHeight="false" outlineLevel="0" collapsed="false">
      <c r="A2377" s="9" t="s">
        <v>3769</v>
      </c>
      <c r="B2377" s="9" t="s">
        <v>3770</v>
      </c>
      <c r="C2377" s="9" t="s">
        <v>47</v>
      </c>
      <c r="D2377" s="9" t="n">
        <v>34</v>
      </c>
      <c r="E2377" s="9" t="s">
        <v>48</v>
      </c>
      <c r="F2377" s="9" t="s">
        <v>57</v>
      </c>
      <c r="G2377" s="10" t="n">
        <v>46140</v>
      </c>
      <c r="H2377" s="10" t="n">
        <v>46198</v>
      </c>
      <c r="I2377" s="9" t="s">
        <v>62</v>
      </c>
      <c r="J2377" s="9" t="s">
        <v>41</v>
      </c>
      <c r="K2377" s="9" t="n">
        <v>58</v>
      </c>
      <c r="L2377" s="9" t="n">
        <v>2</v>
      </c>
      <c r="M2377" s="9" t="n">
        <v>0</v>
      </c>
      <c r="N2377" s="9" t="s">
        <v>71</v>
      </c>
      <c r="O2377" s="9"/>
      <c r="P2377" s="9" t="n">
        <v>16.4</v>
      </c>
      <c r="Q2377" s="9" t="n">
        <v>28</v>
      </c>
      <c r="R2377" s="9" t="s">
        <v>44</v>
      </c>
      <c r="S2377" s="9"/>
      <c r="T2377" s="9"/>
      <c r="U2377" s="9" t="str">
        <f aca="false">IF(COUNTIF($A$2:$A$5001,A2377)&gt;1,"Duplicate","Unique")</f>
        <v>Unique</v>
      </c>
      <c r="V2377" s="9" t="str">
        <f aca="false">IF(COUNTIFS($B$2:$B$5001,B2377,$H$2:$H$5001,H2377,$J$2:$J$5001,J2377)&gt;1,"Possible Duplicate Booking","Unique")</f>
        <v>Unique</v>
      </c>
      <c r="W2377" s="9" t="str">
        <f aca="false">IF((H2377-G2377)&lt;&gt;K2377,"Mismatch","OK")</f>
        <v>OK</v>
      </c>
      <c r="X2377" s="9" t="str">
        <f aca="false">IF(TEXT(H2377,"dddd")&lt;&gt;I2377,"Mismatch","OK")</f>
        <v>OK</v>
      </c>
      <c r="Y2377" s="9" t="str">
        <f aca="false">IF(AND(N2377="No",O2377&lt;&gt;""),"Unexpected: channel present but no reminder sent",IF(AND(N2377="Yes",O2377=""),"Missing channel for sent reminder","OK"))</f>
        <v>OK</v>
      </c>
    </row>
    <row r="2378" customFormat="false" ht="15" hidden="false" customHeight="false" outlineLevel="0" collapsed="false">
      <c r="A2378" s="7" t="s">
        <v>3771</v>
      </c>
      <c r="B2378" s="7" t="s">
        <v>722</v>
      </c>
      <c r="C2378" s="7" t="s">
        <v>47</v>
      </c>
      <c r="D2378" s="7" t="n">
        <v>62</v>
      </c>
      <c r="E2378" s="7" t="s">
        <v>61</v>
      </c>
      <c r="F2378" s="7" t="s">
        <v>49</v>
      </c>
      <c r="G2378" s="8" t="n">
        <v>46088</v>
      </c>
      <c r="H2378" s="8" t="n">
        <v>46124</v>
      </c>
      <c r="I2378" s="7" t="s">
        <v>75</v>
      </c>
      <c r="J2378" s="7" t="s">
        <v>63</v>
      </c>
      <c r="K2378" s="7" t="n">
        <v>36</v>
      </c>
      <c r="L2378" s="7" t="n">
        <v>2</v>
      </c>
      <c r="M2378" s="7" t="n">
        <v>0</v>
      </c>
      <c r="N2378" s="7" t="s">
        <v>42</v>
      </c>
      <c r="O2378" s="7" t="s">
        <v>43</v>
      </c>
      <c r="P2378" s="7" t="n">
        <v>2.2</v>
      </c>
      <c r="Q2378" s="7" t="n">
        <v>26</v>
      </c>
      <c r="R2378" s="7" t="s">
        <v>87</v>
      </c>
      <c r="S2378" s="7"/>
      <c r="T2378" s="7"/>
      <c r="U2378" s="7" t="str">
        <f aca="false">IF(COUNTIF($A$2:$A$5001,A2378)&gt;1,"Duplicate","Unique")</f>
        <v>Unique</v>
      </c>
      <c r="V2378" s="7" t="str">
        <f aca="false">IF(COUNTIFS($B$2:$B$5001,B2378,$H$2:$H$5001,H2378,$J$2:$J$5001,J2378)&gt;1,"Possible Duplicate Booking","Unique")</f>
        <v>Unique</v>
      </c>
      <c r="W2378" s="7" t="str">
        <f aca="false">IF((H2378-G2378)&lt;&gt;K2378,"Mismatch","OK")</f>
        <v>OK</v>
      </c>
      <c r="X2378" s="7" t="str">
        <f aca="false">IF(TEXT(H2378,"dddd")&lt;&gt;I2378,"Mismatch","OK")</f>
        <v>OK</v>
      </c>
      <c r="Y2378" s="7" t="str">
        <f aca="false">IF(AND(N2378="No",O2378&lt;&gt;""),"Unexpected: channel present but no reminder sent",IF(AND(N2378="Yes",O2378=""),"Missing channel for sent reminder","OK"))</f>
        <v>OK</v>
      </c>
    </row>
    <row r="2379" customFormat="false" ht="15" hidden="false" customHeight="false" outlineLevel="0" collapsed="false">
      <c r="A2379" s="9" t="s">
        <v>3772</v>
      </c>
      <c r="B2379" s="9" t="s">
        <v>3773</v>
      </c>
      <c r="C2379" s="9" t="s">
        <v>47</v>
      </c>
      <c r="D2379" s="9" t="n">
        <v>57</v>
      </c>
      <c r="E2379" s="9" t="s">
        <v>61</v>
      </c>
      <c r="F2379" s="9" t="s">
        <v>49</v>
      </c>
      <c r="G2379" s="10" t="n">
        <v>45695</v>
      </c>
      <c r="H2379" s="10" t="n">
        <v>45732</v>
      </c>
      <c r="I2379" s="9" t="s">
        <v>75</v>
      </c>
      <c r="J2379" s="9" t="s">
        <v>41</v>
      </c>
      <c r="K2379" s="9" t="n">
        <v>37</v>
      </c>
      <c r="L2379" s="9" t="n">
        <v>8</v>
      </c>
      <c r="M2379" s="9" t="n">
        <v>1</v>
      </c>
      <c r="N2379" s="9" t="s">
        <v>42</v>
      </c>
      <c r="O2379" s="9" t="s">
        <v>52</v>
      </c>
      <c r="P2379" s="9"/>
      <c r="Q2379" s="9" t="n">
        <v>31</v>
      </c>
      <c r="R2379" s="9" t="s">
        <v>53</v>
      </c>
      <c r="S2379" s="9"/>
      <c r="T2379" s="9"/>
      <c r="U2379" s="9" t="str">
        <f aca="false">IF(COUNTIF($A$2:$A$5001,A2379)&gt;1,"Duplicate","Unique")</f>
        <v>Unique</v>
      </c>
      <c r="V2379" s="9" t="str">
        <f aca="false">IF(COUNTIFS($B$2:$B$5001,B2379,$H$2:$H$5001,H2379,$J$2:$J$5001,J2379)&gt;1,"Possible Duplicate Booking","Unique")</f>
        <v>Unique</v>
      </c>
      <c r="W2379" s="9" t="str">
        <f aca="false">IF((H2379-G2379)&lt;&gt;K2379,"Mismatch","OK")</f>
        <v>OK</v>
      </c>
      <c r="X2379" s="9" t="str">
        <f aca="false">IF(TEXT(H2379,"dddd")&lt;&gt;I2379,"Mismatch","OK")</f>
        <v>OK</v>
      </c>
      <c r="Y2379" s="9" t="str">
        <f aca="false">IF(AND(N2379="No",O2379&lt;&gt;""),"Unexpected: channel present but no reminder sent",IF(AND(N2379="Yes",O2379=""),"Missing channel for sent reminder","OK"))</f>
        <v>OK</v>
      </c>
    </row>
    <row r="2380" customFormat="false" ht="15" hidden="false" customHeight="false" outlineLevel="0" collapsed="false">
      <c r="A2380" s="7" t="s">
        <v>3774</v>
      </c>
      <c r="B2380" s="7" t="s">
        <v>1422</v>
      </c>
      <c r="C2380" s="7" t="s">
        <v>37</v>
      </c>
      <c r="D2380" s="7" t="n">
        <v>67</v>
      </c>
      <c r="E2380" s="7" t="s">
        <v>70</v>
      </c>
      <c r="F2380" s="7" t="s">
        <v>57</v>
      </c>
      <c r="G2380" s="8" t="n">
        <v>46176</v>
      </c>
      <c r="H2380" s="8" t="n">
        <v>46197</v>
      </c>
      <c r="I2380" s="7" t="s">
        <v>58</v>
      </c>
      <c r="J2380" s="7" t="s">
        <v>51</v>
      </c>
      <c r="K2380" s="7" t="n">
        <v>21</v>
      </c>
      <c r="L2380" s="7" t="n">
        <v>2</v>
      </c>
      <c r="M2380" s="7" t="n">
        <v>0</v>
      </c>
      <c r="N2380" s="7" t="s">
        <v>42</v>
      </c>
      <c r="O2380" s="7" t="s">
        <v>52</v>
      </c>
      <c r="P2380" s="7" t="n">
        <v>1.5</v>
      </c>
      <c r="Q2380" s="7" t="n">
        <v>6</v>
      </c>
      <c r="R2380" s="7" t="s">
        <v>44</v>
      </c>
      <c r="S2380" s="7"/>
      <c r="T2380" s="7"/>
      <c r="U2380" s="7" t="str">
        <f aca="false">IF(COUNTIF($A$2:$A$5001,A2380)&gt;1,"Duplicate","Unique")</f>
        <v>Unique</v>
      </c>
      <c r="V2380" s="7" t="str">
        <f aca="false">IF(COUNTIFS($B$2:$B$5001,B2380,$H$2:$H$5001,H2380,$J$2:$J$5001,J2380)&gt;1,"Possible Duplicate Booking","Unique")</f>
        <v>Unique</v>
      </c>
      <c r="W2380" s="7" t="str">
        <f aca="false">IF((H2380-G2380)&lt;&gt;K2380,"Mismatch","OK")</f>
        <v>OK</v>
      </c>
      <c r="X2380" s="7" t="str">
        <f aca="false">IF(TEXT(H2380,"dddd")&lt;&gt;I2380,"Mismatch","OK")</f>
        <v>OK</v>
      </c>
      <c r="Y2380" s="7" t="str">
        <f aca="false">IF(AND(N2380="No",O2380&lt;&gt;""),"Unexpected: channel present but no reminder sent",IF(AND(N2380="Yes",O2380=""),"Missing channel for sent reminder","OK"))</f>
        <v>OK</v>
      </c>
    </row>
    <row r="2381" customFormat="false" ht="15" hidden="false" customHeight="false" outlineLevel="0" collapsed="false">
      <c r="A2381" s="9" t="s">
        <v>3775</v>
      </c>
      <c r="B2381" s="9" t="s">
        <v>3776</v>
      </c>
      <c r="C2381" s="9" t="s">
        <v>47</v>
      </c>
      <c r="D2381" s="9" t="n">
        <v>56</v>
      </c>
      <c r="E2381" s="9" t="s">
        <v>61</v>
      </c>
      <c r="F2381" s="9" t="s">
        <v>57</v>
      </c>
      <c r="G2381" s="10" t="n">
        <v>45991</v>
      </c>
      <c r="H2381" s="10" t="n">
        <v>46014</v>
      </c>
      <c r="I2381" s="9" t="s">
        <v>40</v>
      </c>
      <c r="J2381" s="9" t="s">
        <v>41</v>
      </c>
      <c r="K2381" s="9" t="n">
        <v>23</v>
      </c>
      <c r="L2381" s="9" t="n">
        <v>1</v>
      </c>
      <c r="M2381" s="9" t="n">
        <v>0</v>
      </c>
      <c r="N2381" s="9" t="s">
        <v>42</v>
      </c>
      <c r="O2381" s="9" t="s">
        <v>52</v>
      </c>
      <c r="P2381" s="9" t="n">
        <v>4</v>
      </c>
      <c r="Q2381" s="9" t="n">
        <v>20</v>
      </c>
      <c r="R2381" s="9" t="s">
        <v>53</v>
      </c>
      <c r="S2381" s="9"/>
      <c r="T2381" s="9"/>
      <c r="U2381" s="9" t="str">
        <f aca="false">IF(COUNTIF($A$2:$A$5001,A2381)&gt;1,"Duplicate","Unique")</f>
        <v>Unique</v>
      </c>
      <c r="V2381" s="9" t="str">
        <f aca="false">IF(COUNTIFS($B$2:$B$5001,B2381,$H$2:$H$5001,H2381,$J$2:$J$5001,J2381)&gt;1,"Possible Duplicate Booking","Unique")</f>
        <v>Unique</v>
      </c>
      <c r="W2381" s="9" t="str">
        <f aca="false">IF((H2381-G2381)&lt;&gt;K2381,"Mismatch","OK")</f>
        <v>OK</v>
      </c>
      <c r="X2381" s="9" t="str">
        <f aca="false">IF(TEXT(H2381,"dddd")&lt;&gt;I2381,"Mismatch","OK")</f>
        <v>OK</v>
      </c>
      <c r="Y2381" s="9" t="str">
        <f aca="false">IF(AND(N2381="No",O2381&lt;&gt;""),"Unexpected: channel present but no reminder sent",IF(AND(N2381="Yes",O2381=""),"Missing channel for sent reminder","OK"))</f>
        <v>OK</v>
      </c>
    </row>
    <row r="2382" customFormat="false" ht="15" hidden="false" customHeight="false" outlineLevel="0" collapsed="false">
      <c r="A2382" s="7" t="s">
        <v>3777</v>
      </c>
      <c r="B2382" s="7" t="s">
        <v>2598</v>
      </c>
      <c r="C2382" s="7" t="s">
        <v>37</v>
      </c>
      <c r="D2382" s="7" t="n">
        <v>21</v>
      </c>
      <c r="E2382" s="7" t="s">
        <v>82</v>
      </c>
      <c r="F2382" s="7" t="s">
        <v>57</v>
      </c>
      <c r="G2382" s="8" t="n">
        <v>45715</v>
      </c>
      <c r="H2382" s="8" t="n">
        <v>45756</v>
      </c>
      <c r="I2382" s="7" t="s">
        <v>58</v>
      </c>
      <c r="J2382" s="7" t="s">
        <v>51</v>
      </c>
      <c r="K2382" s="7" t="n">
        <v>41</v>
      </c>
      <c r="L2382" s="7" t="n">
        <v>3</v>
      </c>
      <c r="M2382" s="7" t="n">
        <v>1</v>
      </c>
      <c r="N2382" s="7" t="s">
        <v>42</v>
      </c>
      <c r="O2382" s="7" t="s">
        <v>67</v>
      </c>
      <c r="P2382" s="7"/>
      <c r="Q2382" s="7" t="n">
        <v>23</v>
      </c>
      <c r="R2382" s="7" t="s">
        <v>44</v>
      </c>
      <c r="S2382" s="7"/>
      <c r="T2382" s="7"/>
      <c r="U2382" s="7" t="str">
        <f aca="false">IF(COUNTIF($A$2:$A$5001,A2382)&gt;1,"Duplicate","Unique")</f>
        <v>Unique</v>
      </c>
      <c r="V2382" s="7" t="str">
        <f aca="false">IF(COUNTIFS($B$2:$B$5001,B2382,$H$2:$H$5001,H2382,$J$2:$J$5001,J2382)&gt;1,"Possible Duplicate Booking","Unique")</f>
        <v>Unique</v>
      </c>
      <c r="W2382" s="7" t="str">
        <f aca="false">IF((H2382-G2382)&lt;&gt;K2382,"Mismatch","OK")</f>
        <v>OK</v>
      </c>
      <c r="X2382" s="7" t="str">
        <f aca="false">IF(TEXT(H2382,"dddd")&lt;&gt;I2382,"Mismatch","OK")</f>
        <v>OK</v>
      </c>
      <c r="Y2382" s="7" t="str">
        <f aca="false">IF(AND(N2382="No",O2382&lt;&gt;""),"Unexpected: channel present but no reminder sent",IF(AND(N2382="Yes",O2382=""),"Missing channel for sent reminder","OK"))</f>
        <v>OK</v>
      </c>
    </row>
    <row r="2383" customFormat="false" ht="15" hidden="false" customHeight="false" outlineLevel="0" collapsed="false">
      <c r="A2383" s="9" t="s">
        <v>3778</v>
      </c>
      <c r="B2383" s="9" t="s">
        <v>366</v>
      </c>
      <c r="C2383" s="9" t="s">
        <v>37</v>
      </c>
      <c r="D2383" s="9" t="n">
        <v>70</v>
      </c>
      <c r="E2383" s="9" t="s">
        <v>70</v>
      </c>
      <c r="F2383" s="9" t="s">
        <v>57</v>
      </c>
      <c r="G2383" s="10" t="n">
        <v>45901</v>
      </c>
      <c r="H2383" s="10" t="n">
        <v>45903</v>
      </c>
      <c r="I2383" s="9" t="s">
        <v>58</v>
      </c>
      <c r="J2383" s="9" t="s">
        <v>41</v>
      </c>
      <c r="K2383" s="9" t="n">
        <v>2</v>
      </c>
      <c r="L2383" s="9" t="n">
        <v>2</v>
      </c>
      <c r="M2383" s="9" t="n">
        <v>0</v>
      </c>
      <c r="N2383" s="9" t="s">
        <v>42</v>
      </c>
      <c r="O2383" s="9" t="s">
        <v>52</v>
      </c>
      <c r="P2383" s="9" t="n">
        <v>21.7</v>
      </c>
      <c r="Q2383" s="9" t="n">
        <v>31</v>
      </c>
      <c r="R2383" s="9" t="s">
        <v>53</v>
      </c>
      <c r="S2383" s="9"/>
      <c r="T2383" s="9"/>
      <c r="U2383" s="9" t="str">
        <f aca="false">IF(COUNTIF($A$2:$A$5001,A2383)&gt;1,"Duplicate","Unique")</f>
        <v>Unique</v>
      </c>
      <c r="V2383" s="9" t="str">
        <f aca="false">IF(COUNTIFS($B$2:$B$5001,B2383,$H$2:$H$5001,H2383,$J$2:$J$5001,J2383)&gt;1,"Possible Duplicate Booking","Unique")</f>
        <v>Unique</v>
      </c>
      <c r="W2383" s="9" t="str">
        <f aca="false">IF((H2383-G2383)&lt;&gt;K2383,"Mismatch","OK")</f>
        <v>OK</v>
      </c>
      <c r="X2383" s="9" t="str">
        <f aca="false">IF(TEXT(H2383,"dddd")&lt;&gt;I2383,"Mismatch","OK")</f>
        <v>OK</v>
      </c>
      <c r="Y2383" s="9" t="str">
        <f aca="false">IF(AND(N2383="No",O2383&lt;&gt;""),"Unexpected: channel present but no reminder sent",IF(AND(N2383="Yes",O2383=""),"Missing channel for sent reminder","OK"))</f>
        <v>OK</v>
      </c>
    </row>
    <row r="2384" customFormat="false" ht="15" hidden="false" customHeight="false" outlineLevel="0" collapsed="false">
      <c r="A2384" s="7" t="s">
        <v>3779</v>
      </c>
      <c r="B2384" s="7" t="s">
        <v>1797</v>
      </c>
      <c r="C2384" s="7" t="s">
        <v>37</v>
      </c>
      <c r="D2384" s="7" t="n">
        <v>31</v>
      </c>
      <c r="E2384" s="7" t="s">
        <v>48</v>
      </c>
      <c r="F2384" s="7" t="s">
        <v>39</v>
      </c>
      <c r="G2384" s="8" t="n">
        <v>46145</v>
      </c>
      <c r="H2384" s="8" t="n">
        <v>46159</v>
      </c>
      <c r="I2384" s="7" t="s">
        <v>75</v>
      </c>
      <c r="J2384" s="7" t="s">
        <v>51</v>
      </c>
      <c r="K2384" s="7" t="n">
        <v>14</v>
      </c>
      <c r="L2384" s="7" t="n">
        <v>2</v>
      </c>
      <c r="M2384" s="7" t="n">
        <v>0</v>
      </c>
      <c r="N2384" s="7" t="s">
        <v>42</v>
      </c>
      <c r="O2384" s="7" t="s">
        <v>52</v>
      </c>
      <c r="P2384" s="7" t="n">
        <v>16</v>
      </c>
      <c r="Q2384" s="7" t="n">
        <v>17</v>
      </c>
      <c r="R2384" s="7" t="s">
        <v>53</v>
      </c>
      <c r="S2384" s="7"/>
      <c r="T2384" s="7"/>
      <c r="U2384" s="7" t="str">
        <f aca="false">IF(COUNTIF($A$2:$A$5001,A2384)&gt;1,"Duplicate","Unique")</f>
        <v>Unique</v>
      </c>
      <c r="V2384" s="7" t="str">
        <f aca="false">IF(COUNTIFS($B$2:$B$5001,B2384,$H$2:$H$5001,H2384,$J$2:$J$5001,J2384)&gt;1,"Possible Duplicate Booking","Unique")</f>
        <v>Unique</v>
      </c>
      <c r="W2384" s="7" t="str">
        <f aca="false">IF((H2384-G2384)&lt;&gt;K2384,"Mismatch","OK")</f>
        <v>OK</v>
      </c>
      <c r="X2384" s="7" t="str">
        <f aca="false">IF(TEXT(H2384,"dddd")&lt;&gt;I2384,"Mismatch","OK")</f>
        <v>OK</v>
      </c>
      <c r="Y2384" s="7" t="str">
        <f aca="false">IF(AND(N2384="No",O2384&lt;&gt;""),"Unexpected: channel present but no reminder sent",IF(AND(N2384="Yes",O2384=""),"Missing channel for sent reminder","OK"))</f>
        <v>OK</v>
      </c>
    </row>
    <row r="2385" customFormat="false" ht="15" hidden="false" customHeight="false" outlineLevel="0" collapsed="false">
      <c r="A2385" s="9" t="s">
        <v>3780</v>
      </c>
      <c r="B2385" s="9" t="s">
        <v>1503</v>
      </c>
      <c r="C2385" s="9" t="s">
        <v>37</v>
      </c>
      <c r="D2385" s="9" t="n">
        <v>26</v>
      </c>
      <c r="E2385" s="9" t="s">
        <v>48</v>
      </c>
      <c r="F2385" s="9" t="s">
        <v>57</v>
      </c>
      <c r="G2385" s="10" t="n">
        <v>45836</v>
      </c>
      <c r="H2385" s="10" t="n">
        <v>45872</v>
      </c>
      <c r="I2385" s="9" t="s">
        <v>75</v>
      </c>
      <c r="J2385" s="9" t="s">
        <v>51</v>
      </c>
      <c r="K2385" s="9" t="n">
        <v>36</v>
      </c>
      <c r="L2385" s="9" t="n">
        <v>5</v>
      </c>
      <c r="M2385" s="9" t="n">
        <v>0</v>
      </c>
      <c r="N2385" s="9" t="s">
        <v>42</v>
      </c>
      <c r="O2385" s="9" t="s">
        <v>52</v>
      </c>
      <c r="P2385" s="9" t="n">
        <v>1.6</v>
      </c>
      <c r="Q2385" s="9" t="n">
        <v>30</v>
      </c>
      <c r="R2385" s="9" t="s">
        <v>53</v>
      </c>
      <c r="S2385" s="9"/>
      <c r="T2385" s="9"/>
      <c r="U2385" s="9" t="str">
        <f aca="false">IF(COUNTIF($A$2:$A$5001,A2385)&gt;1,"Duplicate","Unique")</f>
        <v>Unique</v>
      </c>
      <c r="V2385" s="9" t="str">
        <f aca="false">IF(COUNTIFS($B$2:$B$5001,B2385,$H$2:$H$5001,H2385,$J$2:$J$5001,J2385)&gt;1,"Possible Duplicate Booking","Unique")</f>
        <v>Unique</v>
      </c>
      <c r="W2385" s="9" t="str">
        <f aca="false">IF((H2385-G2385)&lt;&gt;K2385,"Mismatch","OK")</f>
        <v>OK</v>
      </c>
      <c r="X2385" s="9" t="str">
        <f aca="false">IF(TEXT(H2385,"dddd")&lt;&gt;I2385,"Mismatch","OK")</f>
        <v>OK</v>
      </c>
      <c r="Y2385" s="9" t="str">
        <f aca="false">IF(AND(N2385="No",O2385&lt;&gt;""),"Unexpected: channel present but no reminder sent",IF(AND(N2385="Yes",O2385=""),"Missing channel for sent reminder","OK"))</f>
        <v>OK</v>
      </c>
    </row>
    <row r="2386" customFormat="false" ht="15" hidden="false" customHeight="false" outlineLevel="0" collapsed="false">
      <c r="A2386" s="7" t="s">
        <v>3781</v>
      </c>
      <c r="B2386" s="7" t="s">
        <v>79</v>
      </c>
      <c r="C2386" s="7" t="s">
        <v>37</v>
      </c>
      <c r="D2386" s="7" t="n">
        <v>73</v>
      </c>
      <c r="E2386" s="7" t="s">
        <v>70</v>
      </c>
      <c r="F2386" s="7" t="s">
        <v>57</v>
      </c>
      <c r="G2386" s="8" t="n">
        <v>45720</v>
      </c>
      <c r="H2386" s="8" t="n">
        <v>45758</v>
      </c>
      <c r="I2386" s="7" t="s">
        <v>50</v>
      </c>
      <c r="J2386" s="7" t="s">
        <v>41</v>
      </c>
      <c r="K2386" s="7" t="n">
        <v>38</v>
      </c>
      <c r="L2386" s="7" t="n">
        <v>1</v>
      </c>
      <c r="M2386" s="7" t="n">
        <v>0</v>
      </c>
      <c r="N2386" s="7" t="s">
        <v>71</v>
      </c>
      <c r="O2386" s="7"/>
      <c r="P2386" s="7" t="n">
        <v>10.2</v>
      </c>
      <c r="Q2386" s="7" t="n">
        <v>14</v>
      </c>
      <c r="R2386" s="7" t="s">
        <v>44</v>
      </c>
      <c r="S2386" s="7"/>
      <c r="T2386" s="7"/>
      <c r="U2386" s="7" t="str">
        <f aca="false">IF(COUNTIF($A$2:$A$5001,A2386)&gt;1,"Duplicate","Unique")</f>
        <v>Unique</v>
      </c>
      <c r="V2386" s="7" t="str">
        <f aca="false">IF(COUNTIFS($B$2:$B$5001,B2386,$H$2:$H$5001,H2386,$J$2:$J$5001,J2386)&gt;1,"Possible Duplicate Booking","Unique")</f>
        <v>Unique</v>
      </c>
      <c r="W2386" s="7" t="str">
        <f aca="false">IF((H2386-G2386)&lt;&gt;K2386,"Mismatch","OK")</f>
        <v>OK</v>
      </c>
      <c r="X2386" s="7" t="str">
        <f aca="false">IF(TEXT(H2386,"dddd")&lt;&gt;I2386,"Mismatch","OK")</f>
        <v>OK</v>
      </c>
      <c r="Y2386" s="7" t="str">
        <f aca="false">IF(AND(N2386="No",O2386&lt;&gt;""),"Unexpected: channel present but no reminder sent",IF(AND(N2386="Yes",O2386=""),"Missing channel for sent reminder","OK"))</f>
        <v>OK</v>
      </c>
    </row>
    <row r="2387" customFormat="false" ht="15" hidden="false" customHeight="false" outlineLevel="0" collapsed="false">
      <c r="A2387" s="9" t="s">
        <v>3782</v>
      </c>
      <c r="B2387" s="9" t="s">
        <v>3783</v>
      </c>
      <c r="C2387" s="9" t="s">
        <v>37</v>
      </c>
      <c r="D2387" s="9" t="n">
        <v>30</v>
      </c>
      <c r="E2387" s="9" t="s">
        <v>48</v>
      </c>
      <c r="F2387" s="9" t="s">
        <v>49</v>
      </c>
      <c r="G2387" s="10" t="n">
        <v>46130</v>
      </c>
      <c r="H2387" s="10" t="n">
        <v>46135</v>
      </c>
      <c r="I2387" s="9" t="s">
        <v>62</v>
      </c>
      <c r="J2387" s="9" t="s">
        <v>41</v>
      </c>
      <c r="K2387" s="9" t="n">
        <v>5</v>
      </c>
      <c r="L2387" s="9" t="n">
        <v>3</v>
      </c>
      <c r="M2387" s="9" t="n">
        <v>0</v>
      </c>
      <c r="N2387" s="9" t="s">
        <v>42</v>
      </c>
      <c r="O2387" s="9" t="s">
        <v>52</v>
      </c>
      <c r="P2387" s="9" t="n">
        <v>1.6</v>
      </c>
      <c r="Q2387" s="9" t="n">
        <v>26</v>
      </c>
      <c r="R2387" s="9" t="s">
        <v>53</v>
      </c>
      <c r="S2387" s="9"/>
      <c r="T2387" s="9"/>
      <c r="U2387" s="9" t="str">
        <f aca="false">IF(COUNTIF($A$2:$A$5001,A2387)&gt;1,"Duplicate","Unique")</f>
        <v>Unique</v>
      </c>
      <c r="V2387" s="9" t="str">
        <f aca="false">IF(COUNTIFS($B$2:$B$5001,B2387,$H$2:$H$5001,H2387,$J$2:$J$5001,J2387)&gt;1,"Possible Duplicate Booking","Unique")</f>
        <v>Unique</v>
      </c>
      <c r="W2387" s="9" t="str">
        <f aca="false">IF((H2387-G2387)&lt;&gt;K2387,"Mismatch","OK")</f>
        <v>OK</v>
      </c>
      <c r="X2387" s="9" t="str">
        <f aca="false">IF(TEXT(H2387,"dddd")&lt;&gt;I2387,"Mismatch","OK")</f>
        <v>OK</v>
      </c>
      <c r="Y2387" s="9" t="str">
        <f aca="false">IF(AND(N2387="No",O2387&lt;&gt;""),"Unexpected: channel present but no reminder sent",IF(AND(N2387="Yes",O2387=""),"Missing channel for sent reminder","OK"))</f>
        <v>OK</v>
      </c>
    </row>
    <row r="2388" customFormat="false" ht="15" hidden="false" customHeight="false" outlineLevel="0" collapsed="false">
      <c r="A2388" s="7" t="s">
        <v>3784</v>
      </c>
      <c r="B2388" s="7" t="s">
        <v>2837</v>
      </c>
      <c r="C2388" s="7" t="s">
        <v>37</v>
      </c>
      <c r="D2388" s="7" t="n">
        <v>51</v>
      </c>
      <c r="E2388" s="7" t="s">
        <v>56</v>
      </c>
      <c r="F2388" s="7" t="s">
        <v>49</v>
      </c>
      <c r="G2388" s="8" t="n">
        <v>46130</v>
      </c>
      <c r="H2388" s="8" t="n">
        <v>46178</v>
      </c>
      <c r="I2388" s="7" t="s">
        <v>50</v>
      </c>
      <c r="J2388" s="7" t="s">
        <v>41</v>
      </c>
      <c r="K2388" s="7" t="n">
        <v>48</v>
      </c>
      <c r="L2388" s="7" t="n">
        <v>1</v>
      </c>
      <c r="M2388" s="7" t="n">
        <v>0</v>
      </c>
      <c r="N2388" s="7" t="s">
        <v>42</v>
      </c>
      <c r="O2388" s="7" t="s">
        <v>67</v>
      </c>
      <c r="P2388" s="7" t="n">
        <v>13</v>
      </c>
      <c r="Q2388" s="7" t="n">
        <v>21</v>
      </c>
      <c r="R2388" s="7" t="s">
        <v>44</v>
      </c>
      <c r="S2388" s="7"/>
      <c r="T2388" s="7"/>
      <c r="U2388" s="7" t="str">
        <f aca="false">IF(COUNTIF($A$2:$A$5001,A2388)&gt;1,"Duplicate","Unique")</f>
        <v>Unique</v>
      </c>
      <c r="V2388" s="7" t="str">
        <f aca="false">IF(COUNTIFS($B$2:$B$5001,B2388,$H$2:$H$5001,H2388,$J$2:$J$5001,J2388)&gt;1,"Possible Duplicate Booking","Unique")</f>
        <v>Unique</v>
      </c>
      <c r="W2388" s="7" t="str">
        <f aca="false">IF((H2388-G2388)&lt;&gt;K2388,"Mismatch","OK")</f>
        <v>OK</v>
      </c>
      <c r="X2388" s="7" t="str">
        <f aca="false">IF(TEXT(H2388,"dddd")&lt;&gt;I2388,"Mismatch","OK")</f>
        <v>OK</v>
      </c>
      <c r="Y2388" s="7" t="str">
        <f aca="false">IF(AND(N2388="No",O2388&lt;&gt;""),"Unexpected: channel present but no reminder sent",IF(AND(N2388="Yes",O2388=""),"Missing channel for sent reminder","OK"))</f>
        <v>OK</v>
      </c>
    </row>
    <row r="2389" customFormat="false" ht="15" hidden="false" customHeight="false" outlineLevel="0" collapsed="false">
      <c r="A2389" s="9" t="s">
        <v>3785</v>
      </c>
      <c r="B2389" s="9" t="s">
        <v>468</v>
      </c>
      <c r="C2389" s="9" t="s">
        <v>47</v>
      </c>
      <c r="D2389" s="9" t="n">
        <v>48</v>
      </c>
      <c r="E2389" s="9" t="s">
        <v>56</v>
      </c>
      <c r="F2389" s="9" t="s">
        <v>49</v>
      </c>
      <c r="G2389" s="10" t="n">
        <v>46157</v>
      </c>
      <c r="H2389" s="10" t="n">
        <v>46190</v>
      </c>
      <c r="I2389" s="9" t="s">
        <v>58</v>
      </c>
      <c r="J2389" s="9" t="s">
        <v>41</v>
      </c>
      <c r="K2389" s="9" t="n">
        <v>33</v>
      </c>
      <c r="L2389" s="9" t="n">
        <v>0</v>
      </c>
      <c r="M2389" s="9" t="n">
        <v>0</v>
      </c>
      <c r="N2389" s="9" t="s">
        <v>42</v>
      </c>
      <c r="O2389" s="9" t="s">
        <v>52</v>
      </c>
      <c r="P2389" s="9" t="n">
        <v>14.9</v>
      </c>
      <c r="Q2389" s="9" t="n">
        <v>20</v>
      </c>
      <c r="R2389" s="9" t="s">
        <v>44</v>
      </c>
      <c r="S2389" s="9"/>
      <c r="T2389" s="9"/>
      <c r="U2389" s="9" t="str">
        <f aca="false">IF(COUNTIF($A$2:$A$5001,A2389)&gt;1,"Duplicate","Unique")</f>
        <v>Unique</v>
      </c>
      <c r="V2389" s="9" t="str">
        <f aca="false">IF(COUNTIFS($B$2:$B$5001,B2389,$H$2:$H$5001,H2389,$J$2:$J$5001,J2389)&gt;1,"Possible Duplicate Booking","Unique")</f>
        <v>Unique</v>
      </c>
      <c r="W2389" s="9" t="str">
        <f aca="false">IF((H2389-G2389)&lt;&gt;K2389,"Mismatch","OK")</f>
        <v>OK</v>
      </c>
      <c r="X2389" s="9" t="str">
        <f aca="false">IF(TEXT(H2389,"dddd")&lt;&gt;I2389,"Mismatch","OK")</f>
        <v>OK</v>
      </c>
      <c r="Y2389" s="9" t="str">
        <f aca="false">IF(AND(N2389="No",O2389&lt;&gt;""),"Unexpected: channel present but no reminder sent",IF(AND(N2389="Yes",O2389=""),"Missing channel for sent reminder","OK"))</f>
        <v>OK</v>
      </c>
    </row>
    <row r="2390" customFormat="false" ht="15" hidden="false" customHeight="false" outlineLevel="0" collapsed="false">
      <c r="A2390" s="7" t="s">
        <v>3786</v>
      </c>
      <c r="B2390" s="7" t="s">
        <v>2476</v>
      </c>
      <c r="C2390" s="7" t="s">
        <v>37</v>
      </c>
      <c r="D2390" s="7" t="n">
        <v>66</v>
      </c>
      <c r="E2390" s="7" t="s">
        <v>70</v>
      </c>
      <c r="F2390" s="7" t="s">
        <v>57</v>
      </c>
      <c r="G2390" s="8" t="n">
        <v>46165</v>
      </c>
      <c r="H2390" s="8" t="n">
        <v>46179</v>
      </c>
      <c r="I2390" s="7" t="s">
        <v>102</v>
      </c>
      <c r="J2390" s="7" t="s">
        <v>41</v>
      </c>
      <c r="K2390" s="7" t="n">
        <v>14</v>
      </c>
      <c r="L2390" s="7" t="n">
        <v>2</v>
      </c>
      <c r="M2390" s="7" t="n">
        <v>1</v>
      </c>
      <c r="N2390" s="7" t="s">
        <v>71</v>
      </c>
      <c r="O2390" s="7"/>
      <c r="P2390" s="7" t="n">
        <v>13.1</v>
      </c>
      <c r="Q2390" s="7" t="n">
        <v>51</v>
      </c>
      <c r="R2390" s="7" t="s">
        <v>53</v>
      </c>
      <c r="S2390" s="7"/>
      <c r="T2390" s="7"/>
      <c r="U2390" s="7" t="str">
        <f aca="false">IF(COUNTIF($A$2:$A$5001,A2390)&gt;1,"Duplicate","Unique")</f>
        <v>Unique</v>
      </c>
      <c r="V2390" s="7" t="str">
        <f aca="false">IF(COUNTIFS($B$2:$B$5001,B2390,$H$2:$H$5001,H2390,$J$2:$J$5001,J2390)&gt;1,"Possible Duplicate Booking","Unique")</f>
        <v>Unique</v>
      </c>
      <c r="W2390" s="7" t="str">
        <f aca="false">IF((H2390-G2390)&lt;&gt;K2390,"Mismatch","OK")</f>
        <v>OK</v>
      </c>
      <c r="X2390" s="7" t="str">
        <f aca="false">IF(TEXT(H2390,"dddd")&lt;&gt;I2390,"Mismatch","OK")</f>
        <v>OK</v>
      </c>
      <c r="Y2390" s="7" t="str">
        <f aca="false">IF(AND(N2390="No",O2390&lt;&gt;""),"Unexpected: channel present but no reminder sent",IF(AND(N2390="Yes",O2390=""),"Missing channel for sent reminder","OK"))</f>
        <v>OK</v>
      </c>
    </row>
    <row r="2391" customFormat="false" ht="15" hidden="false" customHeight="false" outlineLevel="0" collapsed="false">
      <c r="A2391" s="9" t="s">
        <v>3787</v>
      </c>
      <c r="B2391" s="9" t="s">
        <v>2520</v>
      </c>
      <c r="C2391" s="9" t="s">
        <v>37</v>
      </c>
      <c r="D2391" s="9" t="n">
        <v>20</v>
      </c>
      <c r="E2391" s="9" t="s">
        <v>82</v>
      </c>
      <c r="F2391" s="9" t="s">
        <v>74</v>
      </c>
      <c r="G2391" s="10" t="n">
        <v>46089</v>
      </c>
      <c r="H2391" s="10" t="n">
        <v>46134</v>
      </c>
      <c r="I2391" s="9" t="s">
        <v>58</v>
      </c>
      <c r="J2391" s="9" t="s">
        <v>41</v>
      </c>
      <c r="K2391" s="9" t="n">
        <v>45</v>
      </c>
      <c r="L2391" s="9" t="n">
        <v>2</v>
      </c>
      <c r="M2391" s="9" t="n">
        <v>0</v>
      </c>
      <c r="N2391" s="9" t="s">
        <v>42</v>
      </c>
      <c r="O2391" s="9" t="s">
        <v>43</v>
      </c>
      <c r="P2391" s="9" t="n">
        <v>10.2</v>
      </c>
      <c r="Q2391" s="9" t="n">
        <v>20</v>
      </c>
      <c r="R2391" s="9" t="s">
        <v>53</v>
      </c>
      <c r="S2391" s="9"/>
      <c r="T2391" s="9"/>
      <c r="U2391" s="9" t="str">
        <f aca="false">IF(COUNTIF($A$2:$A$5001,A2391)&gt;1,"Duplicate","Unique")</f>
        <v>Unique</v>
      </c>
      <c r="V2391" s="9" t="str">
        <f aca="false">IF(COUNTIFS($B$2:$B$5001,B2391,$H$2:$H$5001,H2391,$J$2:$J$5001,J2391)&gt;1,"Possible Duplicate Booking","Unique")</f>
        <v>Unique</v>
      </c>
      <c r="W2391" s="9" t="str">
        <f aca="false">IF((H2391-G2391)&lt;&gt;K2391,"Mismatch","OK")</f>
        <v>OK</v>
      </c>
      <c r="X2391" s="9" t="str">
        <f aca="false">IF(TEXT(H2391,"dddd")&lt;&gt;I2391,"Mismatch","OK")</f>
        <v>OK</v>
      </c>
      <c r="Y2391" s="9" t="str">
        <f aca="false">IF(AND(N2391="No",O2391&lt;&gt;""),"Unexpected: channel present but no reminder sent",IF(AND(N2391="Yes",O2391=""),"Missing channel for sent reminder","OK"))</f>
        <v>OK</v>
      </c>
    </row>
    <row r="2392" customFormat="false" ht="15" hidden="false" customHeight="false" outlineLevel="0" collapsed="false">
      <c r="A2392" s="7" t="s">
        <v>3788</v>
      </c>
      <c r="B2392" s="7" t="s">
        <v>397</v>
      </c>
      <c r="C2392" s="7" t="s">
        <v>47</v>
      </c>
      <c r="D2392" s="7" t="n">
        <v>24</v>
      </c>
      <c r="E2392" s="7" t="s">
        <v>82</v>
      </c>
      <c r="F2392" s="7" t="s">
        <v>39</v>
      </c>
      <c r="G2392" s="8" t="n">
        <v>45846</v>
      </c>
      <c r="H2392" s="8" t="n">
        <v>45906</v>
      </c>
      <c r="I2392" s="7" t="s">
        <v>102</v>
      </c>
      <c r="J2392" s="7" t="s">
        <v>63</v>
      </c>
      <c r="K2392" s="7" t="n">
        <v>60</v>
      </c>
      <c r="L2392" s="7" t="n">
        <v>3</v>
      </c>
      <c r="M2392" s="7" t="n">
        <v>1</v>
      </c>
      <c r="N2392" s="7" t="s">
        <v>42</v>
      </c>
      <c r="O2392" s="7" t="s">
        <v>52</v>
      </c>
      <c r="P2392" s="7" t="n">
        <v>7.4</v>
      </c>
      <c r="Q2392" s="7" t="n">
        <v>19</v>
      </c>
      <c r="R2392" s="7" t="s">
        <v>44</v>
      </c>
      <c r="S2392" s="7"/>
      <c r="T2392" s="7"/>
      <c r="U2392" s="7" t="str">
        <f aca="false">IF(COUNTIF($A$2:$A$5001,A2392)&gt;1,"Duplicate","Unique")</f>
        <v>Unique</v>
      </c>
      <c r="V2392" s="7" t="str">
        <f aca="false">IF(COUNTIFS($B$2:$B$5001,B2392,$H$2:$H$5001,H2392,$J$2:$J$5001,J2392)&gt;1,"Possible Duplicate Booking","Unique")</f>
        <v>Unique</v>
      </c>
      <c r="W2392" s="7" t="str">
        <f aca="false">IF((H2392-G2392)&lt;&gt;K2392,"Mismatch","OK")</f>
        <v>OK</v>
      </c>
      <c r="X2392" s="7" t="str">
        <f aca="false">IF(TEXT(H2392,"dddd")&lt;&gt;I2392,"Mismatch","OK")</f>
        <v>OK</v>
      </c>
      <c r="Y2392" s="7" t="str">
        <f aca="false">IF(AND(N2392="No",O2392&lt;&gt;""),"Unexpected: channel present but no reminder sent",IF(AND(N2392="Yes",O2392=""),"Missing channel for sent reminder","OK"))</f>
        <v>OK</v>
      </c>
    </row>
    <row r="2393" customFormat="false" ht="15" hidden="false" customHeight="false" outlineLevel="0" collapsed="false">
      <c r="A2393" s="9" t="s">
        <v>3789</v>
      </c>
      <c r="B2393" s="9" t="s">
        <v>911</v>
      </c>
      <c r="C2393" s="9" t="s">
        <v>47</v>
      </c>
      <c r="D2393" s="9" t="n">
        <v>44</v>
      </c>
      <c r="E2393" s="9" t="s">
        <v>38</v>
      </c>
      <c r="F2393" s="9" t="s">
        <v>39</v>
      </c>
      <c r="G2393" s="10" t="n">
        <v>45737</v>
      </c>
      <c r="H2393" s="10" t="n">
        <v>45762</v>
      </c>
      <c r="I2393" s="9" t="s">
        <v>40</v>
      </c>
      <c r="J2393" s="9" t="s">
        <v>51</v>
      </c>
      <c r="K2393" s="9" t="n">
        <v>25</v>
      </c>
      <c r="L2393" s="9" t="n">
        <v>4</v>
      </c>
      <c r="M2393" s="9" t="n">
        <v>0</v>
      </c>
      <c r="N2393" s="9" t="s">
        <v>42</v>
      </c>
      <c r="O2393" s="9" t="s">
        <v>52</v>
      </c>
      <c r="P2393" s="9" t="n">
        <v>9.8</v>
      </c>
      <c r="Q2393" s="9" t="n">
        <v>8</v>
      </c>
      <c r="R2393" s="9" t="s">
        <v>53</v>
      </c>
      <c r="S2393" s="9"/>
      <c r="T2393" s="9"/>
      <c r="U2393" s="9" t="str">
        <f aca="false">IF(COUNTIF($A$2:$A$5001,A2393)&gt;1,"Duplicate","Unique")</f>
        <v>Unique</v>
      </c>
      <c r="V2393" s="9" t="str">
        <f aca="false">IF(COUNTIFS($B$2:$B$5001,B2393,$H$2:$H$5001,H2393,$J$2:$J$5001,J2393)&gt;1,"Possible Duplicate Booking","Unique")</f>
        <v>Unique</v>
      </c>
      <c r="W2393" s="9" t="str">
        <f aca="false">IF((H2393-G2393)&lt;&gt;K2393,"Mismatch","OK")</f>
        <v>OK</v>
      </c>
      <c r="X2393" s="9" t="str">
        <f aca="false">IF(TEXT(H2393,"dddd")&lt;&gt;I2393,"Mismatch","OK")</f>
        <v>OK</v>
      </c>
      <c r="Y2393" s="9" t="str">
        <f aca="false">IF(AND(N2393="No",O2393&lt;&gt;""),"Unexpected: channel present but no reminder sent",IF(AND(N2393="Yes",O2393=""),"Missing channel for sent reminder","OK"))</f>
        <v>OK</v>
      </c>
    </row>
    <row r="2394" customFormat="false" ht="15" hidden="false" customHeight="false" outlineLevel="0" collapsed="false">
      <c r="A2394" s="7" t="s">
        <v>3790</v>
      </c>
      <c r="B2394" s="7" t="s">
        <v>3739</v>
      </c>
      <c r="C2394" s="7" t="s">
        <v>47</v>
      </c>
      <c r="D2394" s="7" t="n">
        <v>47</v>
      </c>
      <c r="E2394" s="7" t="s">
        <v>56</v>
      </c>
      <c r="F2394" s="7" t="s">
        <v>57</v>
      </c>
      <c r="G2394" s="8" t="n">
        <v>45977</v>
      </c>
      <c r="H2394" s="8" t="n">
        <v>45994</v>
      </c>
      <c r="I2394" s="7" t="s">
        <v>58</v>
      </c>
      <c r="J2394" s="7" t="s">
        <v>51</v>
      </c>
      <c r="K2394" s="7" t="n">
        <v>17</v>
      </c>
      <c r="L2394" s="7" t="n">
        <v>3</v>
      </c>
      <c r="M2394" s="7" t="n">
        <v>1</v>
      </c>
      <c r="N2394" s="7" t="s">
        <v>42</v>
      </c>
      <c r="O2394" s="7" t="s">
        <v>43</v>
      </c>
      <c r="P2394" s="7" t="n">
        <v>4.1</v>
      </c>
      <c r="Q2394" s="7" t="n">
        <v>35</v>
      </c>
      <c r="R2394" s="7" t="s">
        <v>53</v>
      </c>
      <c r="S2394" s="7"/>
      <c r="T2394" s="7"/>
      <c r="U2394" s="7" t="str">
        <f aca="false">IF(COUNTIF($A$2:$A$5001,A2394)&gt;1,"Duplicate","Unique")</f>
        <v>Unique</v>
      </c>
      <c r="V2394" s="7" t="str">
        <f aca="false">IF(COUNTIFS($B$2:$B$5001,B2394,$H$2:$H$5001,H2394,$J$2:$J$5001,J2394)&gt;1,"Possible Duplicate Booking","Unique")</f>
        <v>Unique</v>
      </c>
      <c r="W2394" s="7" t="str">
        <f aca="false">IF((H2394-G2394)&lt;&gt;K2394,"Mismatch","OK")</f>
        <v>OK</v>
      </c>
      <c r="X2394" s="7" t="str">
        <f aca="false">IF(TEXT(H2394,"dddd")&lt;&gt;I2394,"Mismatch","OK")</f>
        <v>OK</v>
      </c>
      <c r="Y2394" s="7" t="str">
        <f aca="false">IF(AND(N2394="No",O2394&lt;&gt;""),"Unexpected: channel present but no reminder sent",IF(AND(N2394="Yes",O2394=""),"Missing channel for sent reminder","OK"))</f>
        <v>OK</v>
      </c>
    </row>
    <row r="2395" customFormat="false" ht="15" hidden="false" customHeight="false" outlineLevel="0" collapsed="false">
      <c r="A2395" s="9" t="s">
        <v>3791</v>
      </c>
      <c r="B2395" s="9" t="s">
        <v>1424</v>
      </c>
      <c r="C2395" s="9" t="s">
        <v>37</v>
      </c>
      <c r="D2395" s="9" t="n">
        <v>67</v>
      </c>
      <c r="E2395" s="9" t="s">
        <v>70</v>
      </c>
      <c r="F2395" s="9" t="s">
        <v>74</v>
      </c>
      <c r="G2395" s="10" t="n">
        <v>45760</v>
      </c>
      <c r="H2395" s="10" t="n">
        <v>45778</v>
      </c>
      <c r="I2395" s="9" t="s">
        <v>62</v>
      </c>
      <c r="J2395" s="9" t="s">
        <v>41</v>
      </c>
      <c r="K2395" s="9" t="n">
        <v>18</v>
      </c>
      <c r="L2395" s="9" t="n">
        <v>2</v>
      </c>
      <c r="M2395" s="9" t="n">
        <v>0</v>
      </c>
      <c r="N2395" s="9" t="s">
        <v>71</v>
      </c>
      <c r="O2395" s="9"/>
      <c r="P2395" s="9" t="n">
        <v>10.2</v>
      </c>
      <c r="Q2395" s="9" t="n">
        <v>18</v>
      </c>
      <c r="R2395" s="9" t="s">
        <v>53</v>
      </c>
      <c r="S2395" s="9"/>
      <c r="T2395" s="9"/>
      <c r="U2395" s="9" t="str">
        <f aca="false">IF(COUNTIF($A$2:$A$5001,A2395)&gt;1,"Duplicate","Unique")</f>
        <v>Unique</v>
      </c>
      <c r="V2395" s="9" t="str">
        <f aca="false">IF(COUNTIFS($B$2:$B$5001,B2395,$H$2:$H$5001,H2395,$J$2:$J$5001,J2395)&gt;1,"Possible Duplicate Booking","Unique")</f>
        <v>Unique</v>
      </c>
      <c r="W2395" s="9" t="str">
        <f aca="false">IF((H2395-G2395)&lt;&gt;K2395,"Mismatch","OK")</f>
        <v>OK</v>
      </c>
      <c r="X2395" s="9" t="str">
        <f aca="false">IF(TEXT(H2395,"dddd")&lt;&gt;I2395,"Mismatch","OK")</f>
        <v>OK</v>
      </c>
      <c r="Y2395" s="9" t="str">
        <f aca="false">IF(AND(N2395="No",O2395&lt;&gt;""),"Unexpected: channel present but no reminder sent",IF(AND(N2395="Yes",O2395=""),"Missing channel for sent reminder","OK"))</f>
        <v>OK</v>
      </c>
    </row>
    <row r="2396" customFormat="false" ht="15" hidden="false" customHeight="false" outlineLevel="0" collapsed="false">
      <c r="A2396" s="7" t="s">
        <v>3792</v>
      </c>
      <c r="B2396" s="7" t="s">
        <v>2399</v>
      </c>
      <c r="C2396" s="7" t="s">
        <v>47</v>
      </c>
      <c r="D2396" s="7" t="n">
        <v>56</v>
      </c>
      <c r="E2396" s="7" t="s">
        <v>61</v>
      </c>
      <c r="F2396" s="7" t="s">
        <v>39</v>
      </c>
      <c r="G2396" s="8" t="n">
        <v>45880</v>
      </c>
      <c r="H2396" s="8" t="n">
        <v>45916</v>
      </c>
      <c r="I2396" s="7" t="s">
        <v>40</v>
      </c>
      <c r="J2396" s="7" t="s">
        <v>51</v>
      </c>
      <c r="K2396" s="7" t="n">
        <v>36</v>
      </c>
      <c r="L2396" s="7" t="n">
        <v>4</v>
      </c>
      <c r="M2396" s="7" t="n">
        <v>2</v>
      </c>
      <c r="N2396" s="7" t="s">
        <v>42</v>
      </c>
      <c r="O2396" s="7" t="s">
        <v>67</v>
      </c>
      <c r="P2396" s="7" t="n">
        <v>6.6</v>
      </c>
      <c r="Q2396" s="7" t="n">
        <v>24</v>
      </c>
      <c r="R2396" s="7" t="s">
        <v>44</v>
      </c>
      <c r="S2396" s="7"/>
      <c r="T2396" s="7"/>
      <c r="U2396" s="7" t="str">
        <f aca="false">IF(COUNTIF($A$2:$A$5001,A2396)&gt;1,"Duplicate","Unique")</f>
        <v>Unique</v>
      </c>
      <c r="V2396" s="7" t="str">
        <f aca="false">IF(COUNTIFS($B$2:$B$5001,B2396,$H$2:$H$5001,H2396,$J$2:$J$5001,J2396)&gt;1,"Possible Duplicate Booking","Unique")</f>
        <v>Unique</v>
      </c>
      <c r="W2396" s="7" t="str">
        <f aca="false">IF((H2396-G2396)&lt;&gt;K2396,"Mismatch","OK")</f>
        <v>OK</v>
      </c>
      <c r="X2396" s="7" t="str">
        <f aca="false">IF(TEXT(H2396,"dddd")&lt;&gt;I2396,"Mismatch","OK")</f>
        <v>OK</v>
      </c>
      <c r="Y2396" s="7" t="str">
        <f aca="false">IF(AND(N2396="No",O2396&lt;&gt;""),"Unexpected: channel present but no reminder sent",IF(AND(N2396="Yes",O2396=""),"Missing channel for sent reminder","OK"))</f>
        <v>OK</v>
      </c>
    </row>
    <row r="2397" customFormat="false" ht="15" hidden="false" customHeight="false" outlineLevel="0" collapsed="false">
      <c r="A2397" s="9" t="s">
        <v>3793</v>
      </c>
      <c r="B2397" s="9" t="s">
        <v>3794</v>
      </c>
      <c r="C2397" s="9" t="s">
        <v>47</v>
      </c>
      <c r="D2397" s="9" t="n">
        <v>27</v>
      </c>
      <c r="E2397" s="9" t="s">
        <v>48</v>
      </c>
      <c r="F2397" s="9" t="s">
        <v>49</v>
      </c>
      <c r="G2397" s="10" t="n">
        <v>46014</v>
      </c>
      <c r="H2397" s="10" t="n">
        <v>46016</v>
      </c>
      <c r="I2397" s="9" t="s">
        <v>62</v>
      </c>
      <c r="J2397" s="9" t="s">
        <v>63</v>
      </c>
      <c r="K2397" s="9" t="n">
        <v>2</v>
      </c>
      <c r="L2397" s="9" t="n">
        <v>3</v>
      </c>
      <c r="M2397" s="9" t="n">
        <v>0</v>
      </c>
      <c r="N2397" s="9" t="s">
        <v>42</v>
      </c>
      <c r="O2397" s="9" t="s">
        <v>52</v>
      </c>
      <c r="P2397" s="9" t="n">
        <v>2</v>
      </c>
      <c r="Q2397" s="9" t="n">
        <v>15</v>
      </c>
      <c r="R2397" s="9" t="s">
        <v>44</v>
      </c>
      <c r="S2397" s="9"/>
      <c r="T2397" s="9"/>
      <c r="U2397" s="9" t="str">
        <f aca="false">IF(COUNTIF($A$2:$A$5001,A2397)&gt;1,"Duplicate","Unique")</f>
        <v>Unique</v>
      </c>
      <c r="V2397" s="9" t="str">
        <f aca="false">IF(COUNTIFS($B$2:$B$5001,B2397,$H$2:$H$5001,H2397,$J$2:$J$5001,J2397)&gt;1,"Possible Duplicate Booking","Unique")</f>
        <v>Unique</v>
      </c>
      <c r="W2397" s="9" t="str">
        <f aca="false">IF((H2397-G2397)&lt;&gt;K2397,"Mismatch","OK")</f>
        <v>OK</v>
      </c>
      <c r="X2397" s="9" t="str">
        <f aca="false">IF(TEXT(H2397,"dddd")&lt;&gt;I2397,"Mismatch","OK")</f>
        <v>OK</v>
      </c>
      <c r="Y2397" s="9" t="str">
        <f aca="false">IF(AND(N2397="No",O2397&lt;&gt;""),"Unexpected: channel present but no reminder sent",IF(AND(N2397="Yes",O2397=""),"Missing channel for sent reminder","OK"))</f>
        <v>OK</v>
      </c>
    </row>
    <row r="2398" customFormat="false" ht="15" hidden="false" customHeight="false" outlineLevel="0" collapsed="false">
      <c r="A2398" s="7" t="s">
        <v>3795</v>
      </c>
      <c r="B2398" s="7" t="s">
        <v>3412</v>
      </c>
      <c r="C2398" s="7" t="s">
        <v>47</v>
      </c>
      <c r="D2398" s="7" t="n">
        <v>79</v>
      </c>
      <c r="E2398" s="7" t="s">
        <v>70</v>
      </c>
      <c r="F2398" s="7" t="s">
        <v>39</v>
      </c>
      <c r="G2398" s="8" t="n">
        <v>46145</v>
      </c>
      <c r="H2398" s="8" t="n">
        <v>46174</v>
      </c>
      <c r="I2398" s="7" t="s">
        <v>66</v>
      </c>
      <c r="J2398" s="7" t="s">
        <v>51</v>
      </c>
      <c r="K2398" s="7" t="n">
        <v>29</v>
      </c>
      <c r="L2398" s="7" t="n">
        <v>2</v>
      </c>
      <c r="M2398" s="7" t="n">
        <v>2</v>
      </c>
      <c r="N2398" s="7" t="s">
        <v>42</v>
      </c>
      <c r="O2398" s="7" t="s">
        <v>43</v>
      </c>
      <c r="P2398" s="7" t="n">
        <v>3.6</v>
      </c>
      <c r="Q2398" s="7" t="n">
        <v>29</v>
      </c>
      <c r="R2398" s="7" t="s">
        <v>53</v>
      </c>
      <c r="S2398" s="7"/>
      <c r="T2398" s="7"/>
      <c r="U2398" s="7" t="str">
        <f aca="false">IF(COUNTIF($A$2:$A$5001,A2398)&gt;1,"Duplicate","Unique")</f>
        <v>Unique</v>
      </c>
      <c r="V2398" s="7" t="str">
        <f aca="false">IF(COUNTIFS($B$2:$B$5001,B2398,$H$2:$H$5001,H2398,$J$2:$J$5001,J2398)&gt;1,"Possible Duplicate Booking","Unique")</f>
        <v>Unique</v>
      </c>
      <c r="W2398" s="7" t="str">
        <f aca="false">IF((H2398-G2398)&lt;&gt;K2398,"Mismatch","OK")</f>
        <v>OK</v>
      </c>
      <c r="X2398" s="7" t="str">
        <f aca="false">IF(TEXT(H2398,"dddd")&lt;&gt;I2398,"Mismatch","OK")</f>
        <v>OK</v>
      </c>
      <c r="Y2398" s="7" t="str">
        <f aca="false">IF(AND(N2398="No",O2398&lt;&gt;""),"Unexpected: channel present but no reminder sent",IF(AND(N2398="Yes",O2398=""),"Missing channel for sent reminder","OK"))</f>
        <v>OK</v>
      </c>
    </row>
    <row r="2399" customFormat="false" ht="15" hidden="false" customHeight="false" outlineLevel="0" collapsed="false">
      <c r="A2399" s="9" t="s">
        <v>3796</v>
      </c>
      <c r="B2399" s="9" t="s">
        <v>1195</v>
      </c>
      <c r="C2399" s="9" t="s">
        <v>47</v>
      </c>
      <c r="D2399" s="9" t="n">
        <v>46</v>
      </c>
      <c r="E2399" s="9" t="s">
        <v>56</v>
      </c>
      <c r="F2399" s="9" t="s">
        <v>49</v>
      </c>
      <c r="G2399" s="10" t="n">
        <v>45814</v>
      </c>
      <c r="H2399" s="10" t="n">
        <v>45815</v>
      </c>
      <c r="I2399" s="9" t="s">
        <v>102</v>
      </c>
      <c r="J2399" s="9" t="s">
        <v>51</v>
      </c>
      <c r="K2399" s="9" t="n">
        <v>1</v>
      </c>
      <c r="L2399" s="9" t="n">
        <v>5</v>
      </c>
      <c r="M2399" s="9" t="n">
        <v>0</v>
      </c>
      <c r="N2399" s="9" t="s">
        <v>42</v>
      </c>
      <c r="O2399" s="9" t="s">
        <v>43</v>
      </c>
      <c r="P2399" s="9" t="n">
        <v>14.8</v>
      </c>
      <c r="Q2399" s="9" t="n">
        <v>34</v>
      </c>
      <c r="R2399" s="9" t="s">
        <v>53</v>
      </c>
      <c r="S2399" s="9"/>
      <c r="T2399" s="9"/>
      <c r="U2399" s="9" t="str">
        <f aca="false">IF(COUNTIF($A$2:$A$5001,A2399)&gt;1,"Duplicate","Unique")</f>
        <v>Unique</v>
      </c>
      <c r="V2399" s="9" t="str">
        <f aca="false">IF(COUNTIFS($B$2:$B$5001,B2399,$H$2:$H$5001,H2399,$J$2:$J$5001,J2399)&gt;1,"Possible Duplicate Booking","Unique")</f>
        <v>Unique</v>
      </c>
      <c r="W2399" s="9" t="str">
        <f aca="false">IF((H2399-G2399)&lt;&gt;K2399,"Mismatch","OK")</f>
        <v>OK</v>
      </c>
      <c r="X2399" s="9" t="str">
        <f aca="false">IF(TEXT(H2399,"dddd")&lt;&gt;I2399,"Mismatch","OK")</f>
        <v>OK</v>
      </c>
      <c r="Y2399" s="9" t="str">
        <f aca="false">IF(AND(N2399="No",O2399&lt;&gt;""),"Unexpected: channel present but no reminder sent",IF(AND(N2399="Yes",O2399=""),"Missing channel for sent reminder","OK"))</f>
        <v>OK</v>
      </c>
    </row>
    <row r="2400" customFormat="false" ht="15" hidden="false" customHeight="false" outlineLevel="0" collapsed="false">
      <c r="A2400" s="7" t="s">
        <v>3797</v>
      </c>
      <c r="B2400" s="7" t="s">
        <v>523</v>
      </c>
      <c r="C2400" s="7" t="s">
        <v>37</v>
      </c>
      <c r="D2400" s="7" t="n">
        <v>78</v>
      </c>
      <c r="E2400" s="7" t="s">
        <v>70</v>
      </c>
      <c r="F2400" s="7" t="s">
        <v>39</v>
      </c>
      <c r="G2400" s="8" t="n">
        <v>45793</v>
      </c>
      <c r="H2400" s="8" t="n">
        <v>45795</v>
      </c>
      <c r="I2400" s="7" t="s">
        <v>75</v>
      </c>
      <c r="J2400" s="7" t="s">
        <v>51</v>
      </c>
      <c r="K2400" s="7" t="n">
        <v>2</v>
      </c>
      <c r="L2400" s="7" t="n">
        <v>1</v>
      </c>
      <c r="M2400" s="7" t="n">
        <v>0</v>
      </c>
      <c r="N2400" s="7" t="s">
        <v>71</v>
      </c>
      <c r="O2400" s="7"/>
      <c r="P2400" s="7" t="n">
        <v>2.1</v>
      </c>
      <c r="Q2400" s="7" t="n">
        <v>38</v>
      </c>
      <c r="R2400" s="7" t="s">
        <v>87</v>
      </c>
      <c r="S2400" s="7"/>
      <c r="T2400" s="7"/>
      <c r="U2400" s="7" t="str">
        <f aca="false">IF(COUNTIF($A$2:$A$5001,A2400)&gt;1,"Duplicate","Unique")</f>
        <v>Unique</v>
      </c>
      <c r="V2400" s="7" t="str">
        <f aca="false">IF(COUNTIFS($B$2:$B$5001,B2400,$H$2:$H$5001,H2400,$J$2:$J$5001,J2400)&gt;1,"Possible Duplicate Booking","Unique")</f>
        <v>Unique</v>
      </c>
      <c r="W2400" s="7" t="str">
        <f aca="false">IF((H2400-G2400)&lt;&gt;K2400,"Mismatch","OK")</f>
        <v>OK</v>
      </c>
      <c r="X2400" s="7" t="str">
        <f aca="false">IF(TEXT(H2400,"dddd")&lt;&gt;I2400,"Mismatch","OK")</f>
        <v>OK</v>
      </c>
      <c r="Y2400" s="7" t="str">
        <f aca="false">IF(AND(N2400="No",O2400&lt;&gt;""),"Unexpected: channel present but no reminder sent",IF(AND(N2400="Yes",O2400=""),"Missing channel for sent reminder","OK"))</f>
        <v>OK</v>
      </c>
    </row>
    <row r="2401" customFormat="false" ht="15" hidden="false" customHeight="false" outlineLevel="0" collapsed="false">
      <c r="A2401" s="9" t="s">
        <v>3798</v>
      </c>
      <c r="B2401" s="9" t="s">
        <v>1925</v>
      </c>
      <c r="C2401" s="9" t="s">
        <v>37</v>
      </c>
      <c r="D2401" s="9" t="n">
        <v>80</v>
      </c>
      <c r="E2401" s="9" t="s">
        <v>70</v>
      </c>
      <c r="F2401" s="9" t="s">
        <v>74</v>
      </c>
      <c r="G2401" s="10" t="n">
        <v>46033</v>
      </c>
      <c r="H2401" s="10" t="n">
        <v>46059</v>
      </c>
      <c r="I2401" s="9" t="s">
        <v>50</v>
      </c>
      <c r="J2401" s="9" t="s">
        <v>41</v>
      </c>
      <c r="K2401" s="9" t="n">
        <v>26</v>
      </c>
      <c r="L2401" s="9" t="n">
        <v>2</v>
      </c>
      <c r="M2401" s="9" t="n">
        <v>0</v>
      </c>
      <c r="N2401" s="9" t="s">
        <v>42</v>
      </c>
      <c r="O2401" s="9" t="s">
        <v>52</v>
      </c>
      <c r="P2401" s="9" t="n">
        <v>9.2</v>
      </c>
      <c r="Q2401" s="9" t="n">
        <v>23</v>
      </c>
      <c r="R2401" s="9" t="s">
        <v>44</v>
      </c>
      <c r="S2401" s="9"/>
      <c r="T2401" s="9"/>
      <c r="U2401" s="9" t="str">
        <f aca="false">IF(COUNTIF($A$2:$A$5001,A2401)&gt;1,"Duplicate","Unique")</f>
        <v>Unique</v>
      </c>
      <c r="V2401" s="9" t="str">
        <f aca="false">IF(COUNTIFS($B$2:$B$5001,B2401,$H$2:$H$5001,H2401,$J$2:$J$5001,J2401)&gt;1,"Possible Duplicate Booking","Unique")</f>
        <v>Unique</v>
      </c>
      <c r="W2401" s="9" t="str">
        <f aca="false">IF((H2401-G2401)&lt;&gt;K2401,"Mismatch","OK")</f>
        <v>OK</v>
      </c>
      <c r="X2401" s="9" t="str">
        <f aca="false">IF(TEXT(H2401,"dddd")&lt;&gt;I2401,"Mismatch","OK")</f>
        <v>OK</v>
      </c>
      <c r="Y2401" s="9" t="str">
        <f aca="false">IF(AND(N2401="No",O2401&lt;&gt;""),"Unexpected: channel present but no reminder sent",IF(AND(N2401="Yes",O2401=""),"Missing channel for sent reminder","OK"))</f>
        <v>OK</v>
      </c>
    </row>
    <row r="2402" customFormat="false" ht="15" hidden="false" customHeight="false" outlineLevel="0" collapsed="false">
      <c r="A2402" s="7" t="s">
        <v>3799</v>
      </c>
      <c r="B2402" s="7" t="s">
        <v>728</v>
      </c>
      <c r="C2402" s="7" t="s">
        <v>37</v>
      </c>
      <c r="D2402" s="7" t="n">
        <v>21</v>
      </c>
      <c r="E2402" s="7" t="s">
        <v>82</v>
      </c>
      <c r="F2402" s="7" t="s">
        <v>57</v>
      </c>
      <c r="G2402" s="8" t="n">
        <v>45616</v>
      </c>
      <c r="H2402" s="8" t="n">
        <v>45661</v>
      </c>
      <c r="I2402" s="7" t="s">
        <v>102</v>
      </c>
      <c r="J2402" s="7" t="s">
        <v>41</v>
      </c>
      <c r="K2402" s="7" t="n">
        <v>45</v>
      </c>
      <c r="L2402" s="7" t="n">
        <v>3</v>
      </c>
      <c r="M2402" s="7" t="n">
        <v>0</v>
      </c>
      <c r="N2402" s="7" t="s">
        <v>71</v>
      </c>
      <c r="O2402" s="7"/>
      <c r="P2402" s="7" t="n">
        <v>6.3</v>
      </c>
      <c r="Q2402" s="7" t="n">
        <v>17</v>
      </c>
      <c r="R2402" s="7" t="s">
        <v>53</v>
      </c>
      <c r="S2402" s="7"/>
      <c r="T2402" s="7"/>
      <c r="U2402" s="7" t="str">
        <f aca="false">IF(COUNTIF($A$2:$A$5001,A2402)&gt;1,"Duplicate","Unique")</f>
        <v>Unique</v>
      </c>
      <c r="V2402" s="7" t="str">
        <f aca="false">IF(COUNTIFS($B$2:$B$5001,B2402,$H$2:$H$5001,H2402,$J$2:$J$5001,J2402)&gt;1,"Possible Duplicate Booking","Unique")</f>
        <v>Unique</v>
      </c>
      <c r="W2402" s="7" t="str">
        <f aca="false">IF((H2402-G2402)&lt;&gt;K2402,"Mismatch","OK")</f>
        <v>OK</v>
      </c>
      <c r="X2402" s="7" t="str">
        <f aca="false">IF(TEXT(H2402,"dddd")&lt;&gt;I2402,"Mismatch","OK")</f>
        <v>OK</v>
      </c>
      <c r="Y2402" s="7" t="str">
        <f aca="false">IF(AND(N2402="No",O2402&lt;&gt;""),"Unexpected: channel present but no reminder sent",IF(AND(N2402="Yes",O2402=""),"Missing channel for sent reminder","OK"))</f>
        <v>OK</v>
      </c>
    </row>
    <row r="2403" customFormat="false" ht="15" hidden="false" customHeight="false" outlineLevel="0" collapsed="false">
      <c r="A2403" s="9" t="s">
        <v>3800</v>
      </c>
      <c r="B2403" s="9" t="s">
        <v>1012</v>
      </c>
      <c r="C2403" s="9" t="s">
        <v>37</v>
      </c>
      <c r="D2403" s="9" t="n">
        <v>49</v>
      </c>
      <c r="E2403" s="9" t="s">
        <v>56</v>
      </c>
      <c r="F2403" s="9" t="s">
        <v>57</v>
      </c>
      <c r="G2403" s="10" t="n">
        <v>45914</v>
      </c>
      <c r="H2403" s="10" t="n">
        <v>45967</v>
      </c>
      <c r="I2403" s="9" t="s">
        <v>62</v>
      </c>
      <c r="J2403" s="9" t="s">
        <v>51</v>
      </c>
      <c r="K2403" s="9" t="n">
        <v>53</v>
      </c>
      <c r="L2403" s="9" t="n">
        <v>3</v>
      </c>
      <c r="M2403" s="9" t="n">
        <v>0</v>
      </c>
      <c r="N2403" s="9" t="s">
        <v>42</v>
      </c>
      <c r="O2403" s="9" t="s">
        <v>52</v>
      </c>
      <c r="P2403" s="9" t="n">
        <v>3.6</v>
      </c>
      <c r="Q2403" s="9" t="n">
        <v>17</v>
      </c>
      <c r="R2403" s="9" t="s">
        <v>53</v>
      </c>
      <c r="S2403" s="9"/>
      <c r="T2403" s="9"/>
      <c r="U2403" s="9" t="str">
        <f aca="false">IF(COUNTIF($A$2:$A$5001,A2403)&gt;1,"Duplicate","Unique")</f>
        <v>Unique</v>
      </c>
      <c r="V2403" s="9" t="str">
        <f aca="false">IF(COUNTIFS($B$2:$B$5001,B2403,$H$2:$H$5001,H2403,$J$2:$J$5001,J2403)&gt;1,"Possible Duplicate Booking","Unique")</f>
        <v>Unique</v>
      </c>
      <c r="W2403" s="9" t="str">
        <f aca="false">IF((H2403-G2403)&lt;&gt;K2403,"Mismatch","OK")</f>
        <v>OK</v>
      </c>
      <c r="X2403" s="9" t="str">
        <f aca="false">IF(TEXT(H2403,"dddd")&lt;&gt;I2403,"Mismatch","OK")</f>
        <v>OK</v>
      </c>
      <c r="Y2403" s="9" t="str">
        <f aca="false">IF(AND(N2403="No",O2403&lt;&gt;""),"Unexpected: channel present but no reminder sent",IF(AND(N2403="Yes",O2403=""),"Missing channel for sent reminder","OK"))</f>
        <v>OK</v>
      </c>
    </row>
    <row r="2404" customFormat="false" ht="15" hidden="false" customHeight="false" outlineLevel="0" collapsed="false">
      <c r="A2404" s="7" t="s">
        <v>3801</v>
      </c>
      <c r="B2404" s="7" t="s">
        <v>3802</v>
      </c>
      <c r="C2404" s="7" t="s">
        <v>47</v>
      </c>
      <c r="D2404" s="7" t="n">
        <v>44</v>
      </c>
      <c r="E2404" s="7" t="s">
        <v>38</v>
      </c>
      <c r="F2404" s="7" t="s">
        <v>49</v>
      </c>
      <c r="G2404" s="8" t="n">
        <v>46060</v>
      </c>
      <c r="H2404" s="8" t="n">
        <v>46065</v>
      </c>
      <c r="I2404" s="7" t="s">
        <v>62</v>
      </c>
      <c r="J2404" s="7" t="s">
        <v>51</v>
      </c>
      <c r="K2404" s="7" t="n">
        <v>5</v>
      </c>
      <c r="L2404" s="7" t="n">
        <v>1</v>
      </c>
      <c r="M2404" s="7" t="n">
        <v>0</v>
      </c>
      <c r="N2404" s="7" t="s">
        <v>42</v>
      </c>
      <c r="O2404" s="7" t="s">
        <v>52</v>
      </c>
      <c r="P2404" s="7" t="n">
        <v>16.6</v>
      </c>
      <c r="Q2404" s="7" t="n">
        <v>24</v>
      </c>
      <c r="R2404" s="7" t="s">
        <v>44</v>
      </c>
      <c r="S2404" s="7"/>
      <c r="T2404" s="7"/>
      <c r="U2404" s="7" t="str">
        <f aca="false">IF(COUNTIF($A$2:$A$5001,A2404)&gt;1,"Duplicate","Unique")</f>
        <v>Unique</v>
      </c>
      <c r="V2404" s="7" t="str">
        <f aca="false">IF(COUNTIFS($B$2:$B$5001,B2404,$H$2:$H$5001,H2404,$J$2:$J$5001,J2404)&gt;1,"Possible Duplicate Booking","Unique")</f>
        <v>Unique</v>
      </c>
      <c r="W2404" s="7" t="str">
        <f aca="false">IF((H2404-G2404)&lt;&gt;K2404,"Mismatch","OK")</f>
        <v>OK</v>
      </c>
      <c r="X2404" s="7" t="str">
        <f aca="false">IF(TEXT(H2404,"dddd")&lt;&gt;I2404,"Mismatch","OK")</f>
        <v>OK</v>
      </c>
      <c r="Y2404" s="7" t="str">
        <f aca="false">IF(AND(N2404="No",O2404&lt;&gt;""),"Unexpected: channel present but no reminder sent",IF(AND(N2404="Yes",O2404=""),"Missing channel for sent reminder","OK"))</f>
        <v>OK</v>
      </c>
    </row>
    <row r="2405" customFormat="false" ht="15" hidden="false" customHeight="false" outlineLevel="0" collapsed="false">
      <c r="A2405" s="9" t="s">
        <v>3803</v>
      </c>
      <c r="B2405" s="9" t="s">
        <v>3568</v>
      </c>
      <c r="C2405" s="9" t="s">
        <v>37</v>
      </c>
      <c r="D2405" s="9" t="n">
        <v>49</v>
      </c>
      <c r="E2405" s="9" t="s">
        <v>56</v>
      </c>
      <c r="F2405" s="9" t="s">
        <v>39</v>
      </c>
      <c r="G2405" s="10" t="n">
        <v>45944</v>
      </c>
      <c r="H2405" s="10" t="n">
        <v>45958</v>
      </c>
      <c r="I2405" s="9" t="s">
        <v>40</v>
      </c>
      <c r="J2405" s="9" t="s">
        <v>51</v>
      </c>
      <c r="K2405" s="9" t="n">
        <v>14</v>
      </c>
      <c r="L2405" s="9" t="n">
        <v>2</v>
      </c>
      <c r="M2405" s="9" t="n">
        <v>0</v>
      </c>
      <c r="N2405" s="9" t="s">
        <v>71</v>
      </c>
      <c r="O2405" s="9"/>
      <c r="P2405" s="9" t="n">
        <v>18.4</v>
      </c>
      <c r="Q2405" s="9" t="n">
        <v>27</v>
      </c>
      <c r="R2405" s="9" t="s">
        <v>53</v>
      </c>
      <c r="S2405" s="9"/>
      <c r="T2405" s="9"/>
      <c r="U2405" s="9" t="str">
        <f aca="false">IF(COUNTIF($A$2:$A$5001,A2405)&gt;1,"Duplicate","Unique")</f>
        <v>Unique</v>
      </c>
      <c r="V2405" s="9" t="str">
        <f aca="false">IF(COUNTIFS($B$2:$B$5001,B2405,$H$2:$H$5001,H2405,$J$2:$J$5001,J2405)&gt;1,"Possible Duplicate Booking","Unique")</f>
        <v>Unique</v>
      </c>
      <c r="W2405" s="9" t="str">
        <f aca="false">IF((H2405-G2405)&lt;&gt;K2405,"Mismatch","OK")</f>
        <v>OK</v>
      </c>
      <c r="X2405" s="9" t="str">
        <f aca="false">IF(TEXT(H2405,"dddd")&lt;&gt;I2405,"Mismatch","OK")</f>
        <v>OK</v>
      </c>
      <c r="Y2405" s="9" t="str">
        <f aca="false">IF(AND(N2405="No",O2405&lt;&gt;""),"Unexpected: channel present but no reminder sent",IF(AND(N2405="Yes",O2405=""),"Missing channel for sent reminder","OK"))</f>
        <v>OK</v>
      </c>
    </row>
    <row r="2406" customFormat="false" ht="15" hidden="false" customHeight="false" outlineLevel="0" collapsed="false">
      <c r="A2406" s="7" t="s">
        <v>3804</v>
      </c>
      <c r="B2406" s="7" t="s">
        <v>1933</v>
      </c>
      <c r="C2406" s="7" t="s">
        <v>47</v>
      </c>
      <c r="D2406" s="7" t="n">
        <v>37</v>
      </c>
      <c r="E2406" s="7" t="s">
        <v>38</v>
      </c>
      <c r="F2406" s="7" t="s">
        <v>39</v>
      </c>
      <c r="G2406" s="8" t="n">
        <v>45842</v>
      </c>
      <c r="H2406" s="8" t="n">
        <v>45867</v>
      </c>
      <c r="I2406" s="7" t="s">
        <v>40</v>
      </c>
      <c r="J2406" s="7" t="s">
        <v>51</v>
      </c>
      <c r="K2406" s="7" t="n">
        <v>25</v>
      </c>
      <c r="L2406" s="7" t="n">
        <v>6</v>
      </c>
      <c r="M2406" s="7" t="n">
        <v>1</v>
      </c>
      <c r="N2406" s="7" t="s">
        <v>71</v>
      </c>
      <c r="O2406" s="7"/>
      <c r="P2406" s="7" t="n">
        <v>2.4</v>
      </c>
      <c r="Q2406" s="7" t="n">
        <v>30</v>
      </c>
      <c r="R2406" s="7" t="s">
        <v>53</v>
      </c>
      <c r="S2406" s="7"/>
      <c r="T2406" s="7"/>
      <c r="U2406" s="7" t="str">
        <f aca="false">IF(COUNTIF($A$2:$A$5001,A2406)&gt;1,"Duplicate","Unique")</f>
        <v>Unique</v>
      </c>
      <c r="V2406" s="7" t="str">
        <f aca="false">IF(COUNTIFS($B$2:$B$5001,B2406,$H$2:$H$5001,H2406,$J$2:$J$5001,J2406)&gt;1,"Possible Duplicate Booking","Unique")</f>
        <v>Unique</v>
      </c>
      <c r="W2406" s="7" t="str">
        <f aca="false">IF((H2406-G2406)&lt;&gt;K2406,"Mismatch","OK")</f>
        <v>OK</v>
      </c>
      <c r="X2406" s="7" t="str">
        <f aca="false">IF(TEXT(H2406,"dddd")&lt;&gt;I2406,"Mismatch","OK")</f>
        <v>OK</v>
      </c>
      <c r="Y2406" s="7" t="str">
        <f aca="false">IF(AND(N2406="No",O2406&lt;&gt;""),"Unexpected: channel present but no reminder sent",IF(AND(N2406="Yes",O2406=""),"Missing channel for sent reminder","OK"))</f>
        <v>OK</v>
      </c>
    </row>
    <row r="2407" customFormat="false" ht="15" hidden="false" customHeight="false" outlineLevel="0" collapsed="false">
      <c r="A2407" s="9" t="s">
        <v>3805</v>
      </c>
      <c r="B2407" s="9" t="s">
        <v>3806</v>
      </c>
      <c r="C2407" s="9" t="s">
        <v>236</v>
      </c>
      <c r="D2407" s="9" t="n">
        <v>53</v>
      </c>
      <c r="E2407" s="9" t="s">
        <v>56</v>
      </c>
      <c r="F2407" s="9" t="s">
        <v>49</v>
      </c>
      <c r="G2407" s="10" t="n">
        <v>46075</v>
      </c>
      <c r="H2407" s="10" t="n">
        <v>46110</v>
      </c>
      <c r="I2407" s="9" t="s">
        <v>75</v>
      </c>
      <c r="J2407" s="9" t="s">
        <v>41</v>
      </c>
      <c r="K2407" s="9" t="n">
        <v>35</v>
      </c>
      <c r="L2407" s="9" t="n">
        <v>7</v>
      </c>
      <c r="M2407" s="9" t="n">
        <v>1</v>
      </c>
      <c r="N2407" s="9" t="s">
        <v>42</v>
      </c>
      <c r="O2407" s="9" t="s">
        <v>67</v>
      </c>
      <c r="P2407" s="9" t="n">
        <v>9.4</v>
      </c>
      <c r="Q2407" s="9" t="n">
        <v>15</v>
      </c>
      <c r="R2407" s="9" t="s">
        <v>53</v>
      </c>
      <c r="S2407" s="9"/>
      <c r="T2407" s="9"/>
      <c r="U2407" s="9" t="str">
        <f aca="false">IF(COUNTIF($A$2:$A$5001,A2407)&gt;1,"Duplicate","Unique")</f>
        <v>Unique</v>
      </c>
      <c r="V2407" s="9" t="str">
        <f aca="false">IF(COUNTIFS($B$2:$B$5001,B2407,$H$2:$H$5001,H2407,$J$2:$J$5001,J2407)&gt;1,"Possible Duplicate Booking","Unique")</f>
        <v>Unique</v>
      </c>
      <c r="W2407" s="9" t="str">
        <f aca="false">IF((H2407-G2407)&lt;&gt;K2407,"Mismatch","OK")</f>
        <v>OK</v>
      </c>
      <c r="X2407" s="9" t="str">
        <f aca="false">IF(TEXT(H2407,"dddd")&lt;&gt;I2407,"Mismatch","OK")</f>
        <v>OK</v>
      </c>
      <c r="Y2407" s="9" t="str">
        <f aca="false">IF(AND(N2407="No",O2407&lt;&gt;""),"Unexpected: channel present but no reminder sent",IF(AND(N2407="Yes",O2407=""),"Missing channel for sent reminder","OK"))</f>
        <v>OK</v>
      </c>
    </row>
    <row r="2408" customFormat="false" ht="15" hidden="false" customHeight="false" outlineLevel="0" collapsed="false">
      <c r="A2408" s="7" t="s">
        <v>3807</v>
      </c>
      <c r="B2408" s="7" t="s">
        <v>2591</v>
      </c>
      <c r="C2408" s="7" t="s">
        <v>47</v>
      </c>
      <c r="D2408" s="7" t="n">
        <v>49</v>
      </c>
      <c r="E2408" s="7" t="s">
        <v>56</v>
      </c>
      <c r="F2408" s="7" t="s">
        <v>39</v>
      </c>
      <c r="G2408" s="8" t="n">
        <v>45800</v>
      </c>
      <c r="H2408" s="8" t="n">
        <v>45860</v>
      </c>
      <c r="I2408" s="7" t="s">
        <v>40</v>
      </c>
      <c r="J2408" s="7" t="s">
        <v>41</v>
      </c>
      <c r="K2408" s="7" t="n">
        <v>60</v>
      </c>
      <c r="L2408" s="7" t="n">
        <v>2</v>
      </c>
      <c r="M2408" s="7" t="n">
        <v>0</v>
      </c>
      <c r="N2408" s="7" t="s">
        <v>71</v>
      </c>
      <c r="O2408" s="7"/>
      <c r="P2408" s="7" t="n">
        <v>7</v>
      </c>
      <c r="Q2408" s="7" t="n">
        <v>25</v>
      </c>
      <c r="R2408" s="7" t="s">
        <v>44</v>
      </c>
      <c r="S2408" s="7"/>
      <c r="T2408" s="7"/>
      <c r="U2408" s="7" t="str">
        <f aca="false">IF(COUNTIF($A$2:$A$5001,A2408)&gt;1,"Duplicate","Unique")</f>
        <v>Unique</v>
      </c>
      <c r="V2408" s="7" t="str">
        <f aca="false">IF(COUNTIFS($B$2:$B$5001,B2408,$H$2:$H$5001,H2408,$J$2:$J$5001,J2408)&gt;1,"Possible Duplicate Booking","Unique")</f>
        <v>Unique</v>
      </c>
      <c r="W2408" s="7" t="str">
        <f aca="false">IF((H2408-G2408)&lt;&gt;K2408,"Mismatch","OK")</f>
        <v>OK</v>
      </c>
      <c r="X2408" s="7" t="str">
        <f aca="false">IF(TEXT(H2408,"dddd")&lt;&gt;I2408,"Mismatch","OK")</f>
        <v>OK</v>
      </c>
      <c r="Y2408" s="7" t="str">
        <f aca="false">IF(AND(N2408="No",O2408&lt;&gt;""),"Unexpected: channel present but no reminder sent",IF(AND(N2408="Yes",O2408=""),"Missing channel for sent reminder","OK"))</f>
        <v>OK</v>
      </c>
    </row>
    <row r="2409" customFormat="false" ht="15" hidden="false" customHeight="false" outlineLevel="0" collapsed="false">
      <c r="A2409" s="9" t="s">
        <v>3808</v>
      </c>
      <c r="B2409" s="9" t="s">
        <v>978</v>
      </c>
      <c r="C2409" s="9" t="s">
        <v>37</v>
      </c>
      <c r="D2409" s="9" t="n">
        <v>29</v>
      </c>
      <c r="E2409" s="9" t="s">
        <v>48</v>
      </c>
      <c r="F2409" s="9" t="s">
        <v>49</v>
      </c>
      <c r="G2409" s="10" t="n">
        <v>46004</v>
      </c>
      <c r="H2409" s="10" t="n">
        <v>46045</v>
      </c>
      <c r="I2409" s="9" t="s">
        <v>50</v>
      </c>
      <c r="J2409" s="9" t="s">
        <v>51</v>
      </c>
      <c r="K2409" s="9" t="n">
        <v>41</v>
      </c>
      <c r="L2409" s="9" t="n">
        <v>1</v>
      </c>
      <c r="M2409" s="9" t="n">
        <v>0</v>
      </c>
      <c r="N2409" s="9" t="s">
        <v>42</v>
      </c>
      <c r="O2409" s="9" t="s">
        <v>52</v>
      </c>
      <c r="P2409" s="9" t="n">
        <v>9.1</v>
      </c>
      <c r="Q2409" s="9" t="n">
        <v>13</v>
      </c>
      <c r="R2409" s="9" t="s">
        <v>53</v>
      </c>
      <c r="S2409" s="9"/>
      <c r="T2409" s="9"/>
      <c r="U2409" s="9" t="str">
        <f aca="false">IF(COUNTIF($A$2:$A$5001,A2409)&gt;1,"Duplicate","Unique")</f>
        <v>Unique</v>
      </c>
      <c r="V2409" s="9" t="str">
        <f aca="false">IF(COUNTIFS($B$2:$B$5001,B2409,$H$2:$H$5001,H2409,$J$2:$J$5001,J2409)&gt;1,"Possible Duplicate Booking","Unique")</f>
        <v>Unique</v>
      </c>
      <c r="W2409" s="9" t="str">
        <f aca="false">IF((H2409-G2409)&lt;&gt;K2409,"Mismatch","OK")</f>
        <v>OK</v>
      </c>
      <c r="X2409" s="9" t="str">
        <f aca="false">IF(TEXT(H2409,"dddd")&lt;&gt;I2409,"Mismatch","OK")</f>
        <v>OK</v>
      </c>
      <c r="Y2409" s="9" t="str">
        <f aca="false">IF(AND(N2409="No",O2409&lt;&gt;""),"Unexpected: channel present but no reminder sent",IF(AND(N2409="Yes",O2409=""),"Missing channel for sent reminder","OK"))</f>
        <v>OK</v>
      </c>
    </row>
    <row r="2410" customFormat="false" ht="15" hidden="false" customHeight="false" outlineLevel="0" collapsed="false">
      <c r="A2410" s="7" t="s">
        <v>3809</v>
      </c>
      <c r="B2410" s="7" t="s">
        <v>3810</v>
      </c>
      <c r="C2410" s="7" t="s">
        <v>47</v>
      </c>
      <c r="D2410" s="7" t="n">
        <v>36</v>
      </c>
      <c r="E2410" s="7" t="s">
        <v>38</v>
      </c>
      <c r="F2410" s="7" t="s">
        <v>57</v>
      </c>
      <c r="G2410" s="8" t="n">
        <v>45879</v>
      </c>
      <c r="H2410" s="8" t="n">
        <v>45911</v>
      </c>
      <c r="I2410" s="7" t="s">
        <v>62</v>
      </c>
      <c r="J2410" s="7" t="s">
        <v>51</v>
      </c>
      <c r="K2410" s="7" t="n">
        <v>32</v>
      </c>
      <c r="L2410" s="7" t="n">
        <v>5</v>
      </c>
      <c r="M2410" s="7" t="n">
        <v>1</v>
      </c>
      <c r="N2410" s="7" t="s">
        <v>71</v>
      </c>
      <c r="O2410" s="7"/>
      <c r="P2410" s="7" t="n">
        <v>36.3</v>
      </c>
      <c r="Q2410" s="7" t="n">
        <v>23</v>
      </c>
      <c r="R2410" s="7" t="s">
        <v>44</v>
      </c>
      <c r="S2410" s="7"/>
      <c r="T2410" s="7"/>
      <c r="U2410" s="7" t="str">
        <f aca="false">IF(COUNTIF($A$2:$A$5001,A2410)&gt;1,"Duplicate","Unique")</f>
        <v>Unique</v>
      </c>
      <c r="V2410" s="7" t="str">
        <f aca="false">IF(COUNTIFS($B$2:$B$5001,B2410,$H$2:$H$5001,H2410,$J$2:$J$5001,J2410)&gt;1,"Possible Duplicate Booking","Unique")</f>
        <v>Unique</v>
      </c>
      <c r="W2410" s="7" t="str">
        <f aca="false">IF((H2410-G2410)&lt;&gt;K2410,"Mismatch","OK")</f>
        <v>OK</v>
      </c>
      <c r="X2410" s="7" t="str">
        <f aca="false">IF(TEXT(H2410,"dddd")&lt;&gt;I2410,"Mismatch","OK")</f>
        <v>OK</v>
      </c>
      <c r="Y2410" s="7" t="str">
        <f aca="false">IF(AND(N2410="No",O2410&lt;&gt;""),"Unexpected: channel present but no reminder sent",IF(AND(N2410="Yes",O2410=""),"Missing channel for sent reminder","OK"))</f>
        <v>OK</v>
      </c>
    </row>
    <row r="2411" customFormat="false" ht="15" hidden="false" customHeight="false" outlineLevel="0" collapsed="false">
      <c r="A2411" s="9" t="s">
        <v>3811</v>
      </c>
      <c r="B2411" s="9" t="s">
        <v>3465</v>
      </c>
      <c r="C2411" s="9" t="s">
        <v>37</v>
      </c>
      <c r="D2411" s="9" t="n">
        <v>27</v>
      </c>
      <c r="E2411" s="9" t="s">
        <v>48</v>
      </c>
      <c r="F2411" s="9" t="s">
        <v>49</v>
      </c>
      <c r="G2411" s="10" t="n">
        <v>45669</v>
      </c>
      <c r="H2411" s="10" t="n">
        <v>45672</v>
      </c>
      <c r="I2411" s="9" t="s">
        <v>58</v>
      </c>
      <c r="J2411" s="9" t="s">
        <v>41</v>
      </c>
      <c r="K2411" s="9" t="n">
        <v>3</v>
      </c>
      <c r="L2411" s="9" t="n">
        <v>2</v>
      </c>
      <c r="M2411" s="9" t="n">
        <v>1</v>
      </c>
      <c r="N2411" s="9" t="s">
        <v>42</v>
      </c>
      <c r="O2411" s="9" t="s">
        <v>52</v>
      </c>
      <c r="P2411" s="9" t="n">
        <v>6.3</v>
      </c>
      <c r="Q2411" s="9" t="n">
        <v>39</v>
      </c>
      <c r="R2411" s="9" t="s">
        <v>53</v>
      </c>
      <c r="S2411" s="9"/>
      <c r="T2411" s="9"/>
      <c r="U2411" s="9" t="str">
        <f aca="false">IF(COUNTIF($A$2:$A$5001,A2411)&gt;1,"Duplicate","Unique")</f>
        <v>Unique</v>
      </c>
      <c r="V2411" s="9" t="str">
        <f aca="false">IF(COUNTIFS($B$2:$B$5001,B2411,$H$2:$H$5001,H2411,$J$2:$J$5001,J2411)&gt;1,"Possible Duplicate Booking","Unique")</f>
        <v>Unique</v>
      </c>
      <c r="W2411" s="9" t="str">
        <f aca="false">IF((H2411-G2411)&lt;&gt;K2411,"Mismatch","OK")</f>
        <v>OK</v>
      </c>
      <c r="X2411" s="9" t="str">
        <f aca="false">IF(TEXT(H2411,"dddd")&lt;&gt;I2411,"Mismatch","OK")</f>
        <v>OK</v>
      </c>
      <c r="Y2411" s="9" t="str">
        <f aca="false">IF(AND(N2411="No",O2411&lt;&gt;""),"Unexpected: channel present but no reminder sent",IF(AND(N2411="Yes",O2411=""),"Missing channel for sent reminder","OK"))</f>
        <v>OK</v>
      </c>
    </row>
    <row r="2412" customFormat="false" ht="15" hidden="false" customHeight="false" outlineLevel="0" collapsed="false">
      <c r="A2412" s="7" t="s">
        <v>3812</v>
      </c>
      <c r="B2412" s="7" t="s">
        <v>1907</v>
      </c>
      <c r="C2412" s="7" t="s">
        <v>37</v>
      </c>
      <c r="D2412" s="7" t="n">
        <v>71</v>
      </c>
      <c r="E2412" s="7" t="s">
        <v>70</v>
      </c>
      <c r="F2412" s="7" t="s">
        <v>57</v>
      </c>
      <c r="G2412" s="8" t="n">
        <v>45943</v>
      </c>
      <c r="H2412" s="8" t="n">
        <v>45947</v>
      </c>
      <c r="I2412" s="7" t="s">
        <v>50</v>
      </c>
      <c r="J2412" s="7" t="s">
        <v>51</v>
      </c>
      <c r="K2412" s="7" t="n">
        <v>4</v>
      </c>
      <c r="L2412" s="7" t="n">
        <v>4</v>
      </c>
      <c r="M2412" s="7" t="n">
        <v>0</v>
      </c>
      <c r="N2412" s="7" t="s">
        <v>42</v>
      </c>
      <c r="O2412" s="7" t="s">
        <v>43</v>
      </c>
      <c r="P2412" s="7" t="n">
        <v>4.6</v>
      </c>
      <c r="Q2412" s="7" t="n">
        <v>21</v>
      </c>
      <c r="R2412" s="7" t="s">
        <v>53</v>
      </c>
      <c r="S2412" s="7"/>
      <c r="T2412" s="7"/>
      <c r="U2412" s="7" t="str">
        <f aca="false">IF(COUNTIF($A$2:$A$5001,A2412)&gt;1,"Duplicate","Unique")</f>
        <v>Unique</v>
      </c>
      <c r="V2412" s="7" t="str">
        <f aca="false">IF(COUNTIFS($B$2:$B$5001,B2412,$H$2:$H$5001,H2412,$J$2:$J$5001,J2412)&gt;1,"Possible Duplicate Booking","Unique")</f>
        <v>Unique</v>
      </c>
      <c r="W2412" s="7" t="str">
        <f aca="false">IF((H2412-G2412)&lt;&gt;K2412,"Mismatch","OK")</f>
        <v>OK</v>
      </c>
      <c r="X2412" s="7" t="str">
        <f aca="false">IF(TEXT(H2412,"dddd")&lt;&gt;I2412,"Mismatch","OK")</f>
        <v>OK</v>
      </c>
      <c r="Y2412" s="7" t="str">
        <f aca="false">IF(AND(N2412="No",O2412&lt;&gt;""),"Unexpected: channel present but no reminder sent",IF(AND(N2412="Yes",O2412=""),"Missing channel for sent reminder","OK"))</f>
        <v>OK</v>
      </c>
    </row>
    <row r="2413" customFormat="false" ht="15" hidden="false" customHeight="false" outlineLevel="0" collapsed="false">
      <c r="A2413" s="9" t="s">
        <v>3813</v>
      </c>
      <c r="B2413" s="9" t="s">
        <v>2164</v>
      </c>
      <c r="C2413" s="9" t="s">
        <v>37</v>
      </c>
      <c r="D2413" s="9" t="n">
        <v>60</v>
      </c>
      <c r="E2413" s="9" t="s">
        <v>61</v>
      </c>
      <c r="F2413" s="9" t="s">
        <v>39</v>
      </c>
      <c r="G2413" s="10" t="n">
        <v>45676</v>
      </c>
      <c r="H2413" s="10" t="n">
        <v>45685</v>
      </c>
      <c r="I2413" s="9" t="s">
        <v>40</v>
      </c>
      <c r="J2413" s="9" t="s">
        <v>51</v>
      </c>
      <c r="K2413" s="9" t="n">
        <v>9</v>
      </c>
      <c r="L2413" s="9" t="n">
        <v>5</v>
      </c>
      <c r="M2413" s="9" t="n">
        <v>2</v>
      </c>
      <c r="N2413" s="9" t="s">
        <v>71</v>
      </c>
      <c r="O2413" s="9"/>
      <c r="P2413" s="9" t="n">
        <v>7.8</v>
      </c>
      <c r="Q2413" s="9" t="n">
        <v>14</v>
      </c>
      <c r="R2413" s="9" t="s">
        <v>44</v>
      </c>
      <c r="S2413" s="9"/>
      <c r="T2413" s="9"/>
      <c r="U2413" s="9" t="str">
        <f aca="false">IF(COUNTIF($A$2:$A$5001,A2413)&gt;1,"Duplicate","Unique")</f>
        <v>Unique</v>
      </c>
      <c r="V2413" s="9" t="str">
        <f aca="false">IF(COUNTIFS($B$2:$B$5001,B2413,$H$2:$H$5001,H2413,$J$2:$J$5001,J2413)&gt;1,"Possible Duplicate Booking","Unique")</f>
        <v>Unique</v>
      </c>
      <c r="W2413" s="9" t="str">
        <f aca="false">IF((H2413-G2413)&lt;&gt;K2413,"Mismatch","OK")</f>
        <v>OK</v>
      </c>
      <c r="X2413" s="9" t="str">
        <f aca="false">IF(TEXT(H2413,"dddd")&lt;&gt;I2413,"Mismatch","OK")</f>
        <v>OK</v>
      </c>
      <c r="Y2413" s="9" t="str">
        <f aca="false">IF(AND(N2413="No",O2413&lt;&gt;""),"Unexpected: channel present but no reminder sent",IF(AND(N2413="Yes",O2413=""),"Missing channel for sent reminder","OK"))</f>
        <v>OK</v>
      </c>
    </row>
    <row r="2414" customFormat="false" ht="15" hidden="false" customHeight="false" outlineLevel="0" collapsed="false">
      <c r="A2414" s="7" t="s">
        <v>3814</v>
      </c>
      <c r="B2414" s="7" t="s">
        <v>1508</v>
      </c>
      <c r="C2414" s="7" t="s">
        <v>37</v>
      </c>
      <c r="D2414" s="7" t="n">
        <v>42</v>
      </c>
      <c r="E2414" s="7" t="s">
        <v>38</v>
      </c>
      <c r="F2414" s="7" t="s">
        <v>74</v>
      </c>
      <c r="G2414" s="8" t="n">
        <v>46126</v>
      </c>
      <c r="H2414" s="8" t="n">
        <v>46166</v>
      </c>
      <c r="I2414" s="7" t="s">
        <v>75</v>
      </c>
      <c r="J2414" s="7" t="s">
        <v>41</v>
      </c>
      <c r="K2414" s="7" t="n">
        <v>40</v>
      </c>
      <c r="L2414" s="7" t="n">
        <v>2</v>
      </c>
      <c r="M2414" s="7" t="n">
        <v>0</v>
      </c>
      <c r="N2414" s="7" t="s">
        <v>42</v>
      </c>
      <c r="O2414" s="7" t="s">
        <v>52</v>
      </c>
      <c r="P2414" s="7" t="n">
        <v>10.7</v>
      </c>
      <c r="Q2414" s="7" t="n">
        <v>28</v>
      </c>
      <c r="R2414" s="7" t="s">
        <v>53</v>
      </c>
      <c r="S2414" s="7"/>
      <c r="T2414" s="7"/>
      <c r="U2414" s="7" t="str">
        <f aca="false">IF(COUNTIF($A$2:$A$5001,A2414)&gt;1,"Duplicate","Unique")</f>
        <v>Unique</v>
      </c>
      <c r="V2414" s="7" t="str">
        <f aca="false">IF(COUNTIFS($B$2:$B$5001,B2414,$H$2:$H$5001,H2414,$J$2:$J$5001,J2414)&gt;1,"Possible Duplicate Booking","Unique")</f>
        <v>Unique</v>
      </c>
      <c r="W2414" s="7" t="str">
        <f aca="false">IF((H2414-G2414)&lt;&gt;K2414,"Mismatch","OK")</f>
        <v>OK</v>
      </c>
      <c r="X2414" s="7" t="str">
        <f aca="false">IF(TEXT(H2414,"dddd")&lt;&gt;I2414,"Mismatch","OK")</f>
        <v>OK</v>
      </c>
      <c r="Y2414" s="7" t="str">
        <f aca="false">IF(AND(N2414="No",O2414&lt;&gt;""),"Unexpected: channel present but no reminder sent",IF(AND(N2414="Yes",O2414=""),"Missing channel for sent reminder","OK"))</f>
        <v>OK</v>
      </c>
    </row>
    <row r="2415" customFormat="false" ht="15" hidden="false" customHeight="false" outlineLevel="0" collapsed="false">
      <c r="A2415" s="9" t="s">
        <v>3815</v>
      </c>
      <c r="B2415" s="9" t="s">
        <v>2539</v>
      </c>
      <c r="C2415" s="9" t="s">
        <v>47</v>
      </c>
      <c r="D2415" s="9" t="n">
        <v>42</v>
      </c>
      <c r="E2415" s="9" t="s">
        <v>38</v>
      </c>
      <c r="F2415" s="9" t="s">
        <v>57</v>
      </c>
      <c r="G2415" s="10" t="n">
        <v>45966</v>
      </c>
      <c r="H2415" s="10" t="n">
        <v>45986</v>
      </c>
      <c r="I2415" s="9" t="s">
        <v>40</v>
      </c>
      <c r="J2415" s="9" t="s">
        <v>51</v>
      </c>
      <c r="K2415" s="9" t="n">
        <v>20</v>
      </c>
      <c r="L2415" s="9" t="n">
        <v>2</v>
      </c>
      <c r="M2415" s="9" t="n">
        <v>0</v>
      </c>
      <c r="N2415" s="9" t="s">
        <v>42</v>
      </c>
      <c r="O2415" s="9" t="s">
        <v>52</v>
      </c>
      <c r="P2415" s="9" t="n">
        <v>6.1</v>
      </c>
      <c r="Q2415" s="9" t="n">
        <v>34</v>
      </c>
      <c r="R2415" s="9" t="s">
        <v>44</v>
      </c>
      <c r="S2415" s="9"/>
      <c r="T2415" s="9"/>
      <c r="U2415" s="9" t="str">
        <f aca="false">IF(COUNTIF($A$2:$A$5001,A2415)&gt;1,"Duplicate","Unique")</f>
        <v>Unique</v>
      </c>
      <c r="V2415" s="9" t="str">
        <f aca="false">IF(COUNTIFS($B$2:$B$5001,B2415,$H$2:$H$5001,H2415,$J$2:$J$5001,J2415)&gt;1,"Possible Duplicate Booking","Unique")</f>
        <v>Unique</v>
      </c>
      <c r="W2415" s="9" t="str">
        <f aca="false">IF((H2415-G2415)&lt;&gt;K2415,"Mismatch","OK")</f>
        <v>OK</v>
      </c>
      <c r="X2415" s="9" t="str">
        <f aca="false">IF(TEXT(H2415,"dddd")&lt;&gt;I2415,"Mismatch","OK")</f>
        <v>OK</v>
      </c>
      <c r="Y2415" s="9" t="str">
        <f aca="false">IF(AND(N2415="No",O2415&lt;&gt;""),"Unexpected: channel present but no reminder sent",IF(AND(N2415="Yes",O2415=""),"Missing channel for sent reminder","OK"))</f>
        <v>OK</v>
      </c>
    </row>
    <row r="2416" customFormat="false" ht="15" hidden="false" customHeight="false" outlineLevel="0" collapsed="false">
      <c r="A2416" s="7" t="s">
        <v>3816</v>
      </c>
      <c r="B2416" s="7" t="s">
        <v>2060</v>
      </c>
      <c r="C2416" s="7" t="s">
        <v>37</v>
      </c>
      <c r="D2416" s="7" t="n">
        <v>22</v>
      </c>
      <c r="E2416" s="7" t="s">
        <v>82</v>
      </c>
      <c r="F2416" s="7" t="s">
        <v>57</v>
      </c>
      <c r="G2416" s="8" t="n">
        <v>45847</v>
      </c>
      <c r="H2416" s="8" t="n">
        <v>45861</v>
      </c>
      <c r="I2416" s="7" t="s">
        <v>58</v>
      </c>
      <c r="J2416" s="7" t="s">
        <v>51</v>
      </c>
      <c r="K2416" s="7" t="n">
        <v>14</v>
      </c>
      <c r="L2416" s="7" t="n">
        <v>4</v>
      </c>
      <c r="M2416" s="7" t="n">
        <v>1</v>
      </c>
      <c r="N2416" s="7" t="s">
        <v>71</v>
      </c>
      <c r="O2416" s="7"/>
      <c r="P2416" s="7" t="n">
        <v>34.4</v>
      </c>
      <c r="Q2416" s="7" t="n">
        <v>16</v>
      </c>
      <c r="R2416" s="7" t="s">
        <v>44</v>
      </c>
      <c r="S2416" s="7"/>
      <c r="T2416" s="7"/>
      <c r="U2416" s="7" t="str">
        <f aca="false">IF(COUNTIF($A$2:$A$5001,A2416)&gt;1,"Duplicate","Unique")</f>
        <v>Unique</v>
      </c>
      <c r="V2416" s="7" t="str">
        <f aca="false">IF(COUNTIFS($B$2:$B$5001,B2416,$H$2:$H$5001,H2416,$J$2:$J$5001,J2416)&gt;1,"Possible Duplicate Booking","Unique")</f>
        <v>Unique</v>
      </c>
      <c r="W2416" s="7" t="str">
        <f aca="false">IF((H2416-G2416)&lt;&gt;K2416,"Mismatch","OK")</f>
        <v>OK</v>
      </c>
      <c r="X2416" s="7" t="str">
        <f aca="false">IF(TEXT(H2416,"dddd")&lt;&gt;I2416,"Mismatch","OK")</f>
        <v>OK</v>
      </c>
      <c r="Y2416" s="7" t="str">
        <f aca="false">IF(AND(N2416="No",O2416&lt;&gt;""),"Unexpected: channel present but no reminder sent",IF(AND(N2416="Yes",O2416=""),"Missing channel for sent reminder","OK"))</f>
        <v>OK</v>
      </c>
    </row>
    <row r="2417" customFormat="false" ht="15" hidden="false" customHeight="false" outlineLevel="0" collapsed="false">
      <c r="A2417" s="9" t="s">
        <v>3817</v>
      </c>
      <c r="B2417" s="9" t="s">
        <v>3163</v>
      </c>
      <c r="C2417" s="9" t="s">
        <v>47</v>
      </c>
      <c r="D2417" s="9" t="n">
        <v>36</v>
      </c>
      <c r="E2417" s="9" t="s">
        <v>38</v>
      </c>
      <c r="F2417" s="9" t="s">
        <v>57</v>
      </c>
      <c r="G2417" s="10" t="n">
        <v>45883</v>
      </c>
      <c r="H2417" s="10" t="n">
        <v>45923</v>
      </c>
      <c r="I2417" s="9" t="s">
        <v>40</v>
      </c>
      <c r="J2417" s="9" t="s">
        <v>51</v>
      </c>
      <c r="K2417" s="9" t="n">
        <v>40</v>
      </c>
      <c r="L2417" s="9" t="n">
        <v>4</v>
      </c>
      <c r="M2417" s="9" t="n">
        <v>1</v>
      </c>
      <c r="N2417" s="9" t="s">
        <v>42</v>
      </c>
      <c r="O2417" s="9" t="s">
        <v>52</v>
      </c>
      <c r="P2417" s="9" t="n">
        <v>4.3</v>
      </c>
      <c r="Q2417" s="9" t="n">
        <v>9</v>
      </c>
      <c r="R2417" s="9" t="s">
        <v>44</v>
      </c>
      <c r="S2417" s="9"/>
      <c r="T2417" s="9"/>
      <c r="U2417" s="9" t="str">
        <f aca="false">IF(COUNTIF($A$2:$A$5001,A2417)&gt;1,"Duplicate","Unique")</f>
        <v>Unique</v>
      </c>
      <c r="V2417" s="9" t="str">
        <f aca="false">IF(COUNTIFS($B$2:$B$5001,B2417,$H$2:$H$5001,H2417,$J$2:$J$5001,J2417)&gt;1,"Possible Duplicate Booking","Unique")</f>
        <v>Unique</v>
      </c>
      <c r="W2417" s="9" t="str">
        <f aca="false">IF((H2417-G2417)&lt;&gt;K2417,"Mismatch","OK")</f>
        <v>OK</v>
      </c>
      <c r="X2417" s="9" t="str">
        <f aca="false">IF(TEXT(H2417,"dddd")&lt;&gt;I2417,"Mismatch","OK")</f>
        <v>OK</v>
      </c>
      <c r="Y2417" s="9" t="str">
        <f aca="false">IF(AND(N2417="No",O2417&lt;&gt;""),"Unexpected: channel present but no reminder sent",IF(AND(N2417="Yes",O2417=""),"Missing channel for sent reminder","OK"))</f>
        <v>OK</v>
      </c>
    </row>
    <row r="2418" customFormat="false" ht="15" hidden="false" customHeight="false" outlineLevel="0" collapsed="false">
      <c r="A2418" s="7" t="s">
        <v>3818</v>
      </c>
      <c r="B2418" s="7" t="s">
        <v>751</v>
      </c>
      <c r="C2418" s="7" t="s">
        <v>37</v>
      </c>
      <c r="D2418" s="7" t="n">
        <v>76</v>
      </c>
      <c r="E2418" s="7" t="s">
        <v>70</v>
      </c>
      <c r="F2418" s="7" t="s">
        <v>39</v>
      </c>
      <c r="G2418" s="8" t="n">
        <v>45947</v>
      </c>
      <c r="H2418" s="8" t="n">
        <v>45996</v>
      </c>
      <c r="I2418" s="7" t="s">
        <v>50</v>
      </c>
      <c r="J2418" s="7" t="s">
        <v>41</v>
      </c>
      <c r="K2418" s="7" t="n">
        <v>49</v>
      </c>
      <c r="L2418" s="7" t="n">
        <v>3</v>
      </c>
      <c r="M2418" s="7" t="n">
        <v>0</v>
      </c>
      <c r="N2418" s="7" t="s">
        <v>71</v>
      </c>
      <c r="O2418" s="7"/>
      <c r="P2418" s="7" t="n">
        <v>13.2</v>
      </c>
      <c r="Q2418" s="7" t="n">
        <v>15</v>
      </c>
      <c r="R2418" s="7" t="s">
        <v>53</v>
      </c>
      <c r="S2418" s="7"/>
      <c r="T2418" s="7"/>
      <c r="U2418" s="7" t="str">
        <f aca="false">IF(COUNTIF($A$2:$A$5001,A2418)&gt;1,"Duplicate","Unique")</f>
        <v>Unique</v>
      </c>
      <c r="V2418" s="7" t="str">
        <f aca="false">IF(COUNTIFS($B$2:$B$5001,B2418,$H$2:$H$5001,H2418,$J$2:$J$5001,J2418)&gt;1,"Possible Duplicate Booking","Unique")</f>
        <v>Unique</v>
      </c>
      <c r="W2418" s="7" t="str">
        <f aca="false">IF((H2418-G2418)&lt;&gt;K2418,"Mismatch","OK")</f>
        <v>OK</v>
      </c>
      <c r="X2418" s="7" t="str">
        <f aca="false">IF(TEXT(H2418,"dddd")&lt;&gt;I2418,"Mismatch","OK")</f>
        <v>OK</v>
      </c>
      <c r="Y2418" s="7" t="str">
        <f aca="false">IF(AND(N2418="No",O2418&lt;&gt;""),"Unexpected: channel present but no reminder sent",IF(AND(N2418="Yes",O2418=""),"Missing channel for sent reminder","OK"))</f>
        <v>OK</v>
      </c>
    </row>
    <row r="2419" customFormat="false" ht="15" hidden="false" customHeight="false" outlineLevel="0" collapsed="false">
      <c r="A2419" s="9" t="s">
        <v>3819</v>
      </c>
      <c r="B2419" s="9" t="s">
        <v>844</v>
      </c>
      <c r="C2419" s="9" t="s">
        <v>47</v>
      </c>
      <c r="D2419" s="9" t="n">
        <v>19</v>
      </c>
      <c r="E2419" s="9" t="s">
        <v>82</v>
      </c>
      <c r="F2419" s="9" t="s">
        <v>57</v>
      </c>
      <c r="G2419" s="10" t="n">
        <v>45774</v>
      </c>
      <c r="H2419" s="10" t="n">
        <v>45800</v>
      </c>
      <c r="I2419" s="9" t="s">
        <v>50</v>
      </c>
      <c r="J2419" s="9" t="s">
        <v>51</v>
      </c>
      <c r="K2419" s="9" t="n">
        <v>26</v>
      </c>
      <c r="L2419" s="9" t="n">
        <v>3</v>
      </c>
      <c r="M2419" s="9" t="n">
        <v>0</v>
      </c>
      <c r="N2419" s="9" t="s">
        <v>42</v>
      </c>
      <c r="O2419" s="9" t="s">
        <v>43</v>
      </c>
      <c r="P2419" s="9" t="n">
        <v>20.7</v>
      </c>
      <c r="Q2419" s="9" t="n">
        <v>19</v>
      </c>
      <c r="R2419" s="9" t="s">
        <v>44</v>
      </c>
      <c r="S2419" s="9"/>
      <c r="T2419" s="9"/>
      <c r="U2419" s="9" t="str">
        <f aca="false">IF(COUNTIF($A$2:$A$5001,A2419)&gt;1,"Duplicate","Unique")</f>
        <v>Unique</v>
      </c>
      <c r="V2419" s="9" t="str">
        <f aca="false">IF(COUNTIFS($B$2:$B$5001,B2419,$H$2:$H$5001,H2419,$J$2:$J$5001,J2419)&gt;1,"Possible Duplicate Booking","Unique")</f>
        <v>Unique</v>
      </c>
      <c r="W2419" s="9" t="str">
        <f aca="false">IF((H2419-G2419)&lt;&gt;K2419,"Mismatch","OK")</f>
        <v>OK</v>
      </c>
      <c r="X2419" s="9" t="str">
        <f aca="false">IF(TEXT(H2419,"dddd")&lt;&gt;I2419,"Mismatch","OK")</f>
        <v>OK</v>
      </c>
      <c r="Y2419" s="9" t="str">
        <f aca="false">IF(AND(N2419="No",O2419&lt;&gt;""),"Unexpected: channel present but no reminder sent",IF(AND(N2419="Yes",O2419=""),"Missing channel for sent reminder","OK"))</f>
        <v>OK</v>
      </c>
    </row>
    <row r="2420" customFormat="false" ht="15" hidden="false" customHeight="false" outlineLevel="0" collapsed="false">
      <c r="A2420" s="7" t="s">
        <v>3820</v>
      </c>
      <c r="B2420" s="7" t="s">
        <v>1907</v>
      </c>
      <c r="C2420" s="7" t="s">
        <v>37</v>
      </c>
      <c r="D2420" s="7" t="n">
        <v>27</v>
      </c>
      <c r="E2420" s="7" t="s">
        <v>48</v>
      </c>
      <c r="F2420" s="7" t="s">
        <v>57</v>
      </c>
      <c r="G2420" s="8" t="n">
        <v>45762</v>
      </c>
      <c r="H2420" s="8" t="n">
        <v>45815</v>
      </c>
      <c r="I2420" s="7" t="s">
        <v>102</v>
      </c>
      <c r="J2420" s="7" t="s">
        <v>41</v>
      </c>
      <c r="K2420" s="7" t="n">
        <v>53</v>
      </c>
      <c r="L2420" s="7" t="n">
        <v>3</v>
      </c>
      <c r="M2420" s="7" t="n">
        <v>1</v>
      </c>
      <c r="N2420" s="7" t="s">
        <v>42</v>
      </c>
      <c r="O2420" s="7" t="s">
        <v>52</v>
      </c>
      <c r="P2420" s="7" t="n">
        <v>0.8</v>
      </c>
      <c r="Q2420" s="7" t="n">
        <v>41</v>
      </c>
      <c r="R2420" s="7" t="s">
        <v>44</v>
      </c>
      <c r="S2420" s="7"/>
      <c r="T2420" s="7"/>
      <c r="U2420" s="7" t="str">
        <f aca="false">IF(COUNTIF($A$2:$A$5001,A2420)&gt;1,"Duplicate","Unique")</f>
        <v>Unique</v>
      </c>
      <c r="V2420" s="7" t="str">
        <f aca="false">IF(COUNTIFS($B$2:$B$5001,B2420,$H$2:$H$5001,H2420,$J$2:$J$5001,J2420)&gt;1,"Possible Duplicate Booking","Unique")</f>
        <v>Unique</v>
      </c>
      <c r="W2420" s="7" t="str">
        <f aca="false">IF((H2420-G2420)&lt;&gt;K2420,"Mismatch","OK")</f>
        <v>OK</v>
      </c>
      <c r="X2420" s="7" t="str">
        <f aca="false">IF(TEXT(H2420,"dddd")&lt;&gt;I2420,"Mismatch","OK")</f>
        <v>OK</v>
      </c>
      <c r="Y2420" s="7" t="str">
        <f aca="false">IF(AND(N2420="No",O2420&lt;&gt;""),"Unexpected: channel present but no reminder sent",IF(AND(N2420="Yes",O2420=""),"Missing channel for sent reminder","OK"))</f>
        <v>OK</v>
      </c>
    </row>
    <row r="2421" customFormat="false" ht="15" hidden="false" customHeight="false" outlineLevel="0" collapsed="false">
      <c r="A2421" s="9" t="s">
        <v>3821</v>
      </c>
      <c r="B2421" s="9" t="s">
        <v>195</v>
      </c>
      <c r="C2421" s="9" t="s">
        <v>47</v>
      </c>
      <c r="D2421" s="9" t="n">
        <v>71</v>
      </c>
      <c r="E2421" s="9" t="s">
        <v>70</v>
      </c>
      <c r="F2421" s="9" t="s">
        <v>74</v>
      </c>
      <c r="G2421" s="10" t="n">
        <v>45842</v>
      </c>
      <c r="H2421" s="10" t="n">
        <v>45886</v>
      </c>
      <c r="I2421" s="9" t="s">
        <v>75</v>
      </c>
      <c r="J2421" s="9" t="s">
        <v>41</v>
      </c>
      <c r="K2421" s="9" t="n">
        <v>44</v>
      </c>
      <c r="L2421" s="9" t="n">
        <v>5</v>
      </c>
      <c r="M2421" s="9" t="n">
        <v>1</v>
      </c>
      <c r="N2421" s="9" t="s">
        <v>42</v>
      </c>
      <c r="O2421" s="9" t="s">
        <v>43</v>
      </c>
      <c r="P2421" s="9" t="n">
        <v>11.4</v>
      </c>
      <c r="Q2421" s="9" t="n">
        <v>9</v>
      </c>
      <c r="R2421" s="9" t="s">
        <v>44</v>
      </c>
      <c r="S2421" s="9"/>
      <c r="T2421" s="9"/>
      <c r="U2421" s="9" t="str">
        <f aca="false">IF(COUNTIF($A$2:$A$5001,A2421)&gt;1,"Duplicate","Unique")</f>
        <v>Unique</v>
      </c>
      <c r="V2421" s="9" t="str">
        <f aca="false">IF(COUNTIFS($B$2:$B$5001,B2421,$H$2:$H$5001,H2421,$J$2:$J$5001,J2421)&gt;1,"Possible Duplicate Booking","Unique")</f>
        <v>Unique</v>
      </c>
      <c r="W2421" s="9" t="str">
        <f aca="false">IF((H2421-G2421)&lt;&gt;K2421,"Mismatch","OK")</f>
        <v>OK</v>
      </c>
      <c r="X2421" s="9" t="str">
        <f aca="false">IF(TEXT(H2421,"dddd")&lt;&gt;I2421,"Mismatch","OK")</f>
        <v>OK</v>
      </c>
      <c r="Y2421" s="9" t="str">
        <f aca="false">IF(AND(N2421="No",O2421&lt;&gt;""),"Unexpected: channel present but no reminder sent",IF(AND(N2421="Yes",O2421=""),"Missing channel for sent reminder","OK"))</f>
        <v>OK</v>
      </c>
    </row>
    <row r="2422" customFormat="false" ht="15" hidden="false" customHeight="false" outlineLevel="0" collapsed="false">
      <c r="A2422" s="7" t="s">
        <v>3822</v>
      </c>
      <c r="B2422" s="7" t="s">
        <v>1214</v>
      </c>
      <c r="C2422" s="7" t="s">
        <v>37</v>
      </c>
      <c r="D2422" s="7" t="n">
        <v>50</v>
      </c>
      <c r="E2422" s="7" t="s">
        <v>56</v>
      </c>
      <c r="F2422" s="7" t="s">
        <v>57</v>
      </c>
      <c r="G2422" s="8" t="n">
        <v>45756</v>
      </c>
      <c r="H2422" s="8" t="n">
        <v>45799</v>
      </c>
      <c r="I2422" s="7" t="s">
        <v>62</v>
      </c>
      <c r="J2422" s="7" t="s">
        <v>41</v>
      </c>
      <c r="K2422" s="7" t="n">
        <v>43</v>
      </c>
      <c r="L2422" s="7" t="n">
        <v>3</v>
      </c>
      <c r="M2422" s="7" t="n">
        <v>2</v>
      </c>
      <c r="N2422" s="7" t="s">
        <v>42</v>
      </c>
      <c r="O2422" s="7" t="s">
        <v>43</v>
      </c>
      <c r="P2422" s="7" t="n">
        <v>4.5</v>
      </c>
      <c r="Q2422" s="7"/>
      <c r="R2422" s="7" t="s">
        <v>44</v>
      </c>
      <c r="S2422" s="7"/>
      <c r="T2422" s="7"/>
      <c r="U2422" s="7" t="str">
        <f aca="false">IF(COUNTIF($A$2:$A$5001,A2422)&gt;1,"Duplicate","Unique")</f>
        <v>Unique</v>
      </c>
      <c r="V2422" s="7" t="str">
        <f aca="false">IF(COUNTIFS($B$2:$B$5001,B2422,$H$2:$H$5001,H2422,$J$2:$J$5001,J2422)&gt;1,"Possible Duplicate Booking","Unique")</f>
        <v>Unique</v>
      </c>
      <c r="W2422" s="7" t="str">
        <f aca="false">IF((H2422-G2422)&lt;&gt;K2422,"Mismatch","OK")</f>
        <v>OK</v>
      </c>
      <c r="X2422" s="7" t="str">
        <f aca="false">IF(TEXT(H2422,"dddd")&lt;&gt;I2422,"Mismatch","OK")</f>
        <v>OK</v>
      </c>
      <c r="Y2422" s="7" t="str">
        <f aca="false">IF(AND(N2422="No",O2422&lt;&gt;""),"Unexpected: channel present but no reminder sent",IF(AND(N2422="Yes",O2422=""),"Missing channel for sent reminder","OK"))</f>
        <v>OK</v>
      </c>
    </row>
    <row r="2423" customFormat="false" ht="15" hidden="false" customHeight="false" outlineLevel="0" collapsed="false">
      <c r="A2423" s="9" t="s">
        <v>3823</v>
      </c>
      <c r="B2423" s="9" t="s">
        <v>3824</v>
      </c>
      <c r="C2423" s="9" t="s">
        <v>47</v>
      </c>
      <c r="D2423" s="9" t="n">
        <v>20</v>
      </c>
      <c r="E2423" s="9" t="s">
        <v>82</v>
      </c>
      <c r="F2423" s="9" t="s">
        <v>39</v>
      </c>
      <c r="G2423" s="10" t="n">
        <v>46019</v>
      </c>
      <c r="H2423" s="10" t="n">
        <v>46071</v>
      </c>
      <c r="I2423" s="9" t="s">
        <v>58</v>
      </c>
      <c r="J2423" s="9" t="s">
        <v>41</v>
      </c>
      <c r="K2423" s="9" t="n">
        <v>52</v>
      </c>
      <c r="L2423" s="9" t="n">
        <v>3</v>
      </c>
      <c r="M2423" s="9" t="n">
        <v>1</v>
      </c>
      <c r="N2423" s="9" t="s">
        <v>42</v>
      </c>
      <c r="O2423" s="9" t="s">
        <v>52</v>
      </c>
      <c r="P2423" s="9" t="n">
        <v>3.6</v>
      </c>
      <c r="Q2423" s="9" t="n">
        <v>27</v>
      </c>
      <c r="R2423" s="9" t="s">
        <v>44</v>
      </c>
      <c r="S2423" s="9"/>
      <c r="T2423" s="9"/>
      <c r="U2423" s="9" t="str">
        <f aca="false">IF(COUNTIF($A$2:$A$5001,A2423)&gt;1,"Duplicate","Unique")</f>
        <v>Unique</v>
      </c>
      <c r="V2423" s="9" t="str">
        <f aca="false">IF(COUNTIFS($B$2:$B$5001,B2423,$H$2:$H$5001,H2423,$J$2:$J$5001,J2423)&gt;1,"Possible Duplicate Booking","Unique")</f>
        <v>Unique</v>
      </c>
      <c r="W2423" s="9" t="str">
        <f aca="false">IF((H2423-G2423)&lt;&gt;K2423,"Mismatch","OK")</f>
        <v>OK</v>
      </c>
      <c r="X2423" s="9" t="str">
        <f aca="false">IF(TEXT(H2423,"dddd")&lt;&gt;I2423,"Mismatch","OK")</f>
        <v>OK</v>
      </c>
      <c r="Y2423" s="9" t="str">
        <f aca="false">IF(AND(N2423="No",O2423&lt;&gt;""),"Unexpected: channel present but no reminder sent",IF(AND(N2423="Yes",O2423=""),"Missing channel for sent reminder","OK"))</f>
        <v>OK</v>
      </c>
    </row>
    <row r="2424" customFormat="false" ht="15" hidden="false" customHeight="false" outlineLevel="0" collapsed="false">
      <c r="A2424" s="7" t="s">
        <v>3825</v>
      </c>
      <c r="B2424" s="7" t="s">
        <v>65</v>
      </c>
      <c r="C2424" s="7" t="s">
        <v>47</v>
      </c>
      <c r="D2424" s="7" t="n">
        <v>48</v>
      </c>
      <c r="E2424" s="7" t="s">
        <v>56</v>
      </c>
      <c r="F2424" s="7" t="s">
        <v>39</v>
      </c>
      <c r="G2424" s="8" t="n">
        <v>45703</v>
      </c>
      <c r="H2424" s="8" t="n">
        <v>45714</v>
      </c>
      <c r="I2424" s="7" t="s">
        <v>58</v>
      </c>
      <c r="J2424" s="7" t="s">
        <v>51</v>
      </c>
      <c r="K2424" s="7" t="n">
        <v>11</v>
      </c>
      <c r="L2424" s="7" t="n">
        <v>6</v>
      </c>
      <c r="M2424" s="7" t="n">
        <v>0</v>
      </c>
      <c r="N2424" s="7" t="s">
        <v>42</v>
      </c>
      <c r="O2424" s="7" t="s">
        <v>52</v>
      </c>
      <c r="P2424" s="7" t="n">
        <v>7.4</v>
      </c>
      <c r="Q2424" s="7" t="n">
        <v>16</v>
      </c>
      <c r="R2424" s="7" t="s">
        <v>53</v>
      </c>
      <c r="S2424" s="7"/>
      <c r="T2424" s="7"/>
      <c r="U2424" s="7" t="str">
        <f aca="false">IF(COUNTIF($A$2:$A$5001,A2424)&gt;1,"Duplicate","Unique")</f>
        <v>Unique</v>
      </c>
      <c r="V2424" s="7" t="str">
        <f aca="false">IF(COUNTIFS($B$2:$B$5001,B2424,$H$2:$H$5001,H2424,$J$2:$J$5001,J2424)&gt;1,"Possible Duplicate Booking","Unique")</f>
        <v>Unique</v>
      </c>
      <c r="W2424" s="7" t="str">
        <f aca="false">IF((H2424-G2424)&lt;&gt;K2424,"Mismatch","OK")</f>
        <v>OK</v>
      </c>
      <c r="X2424" s="7" t="str">
        <f aca="false">IF(TEXT(H2424,"dddd")&lt;&gt;I2424,"Mismatch","OK")</f>
        <v>OK</v>
      </c>
      <c r="Y2424" s="7" t="str">
        <f aca="false">IF(AND(N2424="No",O2424&lt;&gt;""),"Unexpected: channel present but no reminder sent",IF(AND(N2424="Yes",O2424=""),"Missing channel for sent reminder","OK"))</f>
        <v>OK</v>
      </c>
    </row>
    <row r="2425" customFormat="false" ht="15" hidden="false" customHeight="false" outlineLevel="0" collapsed="false">
      <c r="A2425" s="9" t="s">
        <v>3826</v>
      </c>
      <c r="B2425" s="9" t="s">
        <v>2682</v>
      </c>
      <c r="C2425" s="9" t="s">
        <v>47</v>
      </c>
      <c r="D2425" s="9" t="n">
        <v>65</v>
      </c>
      <c r="E2425" s="9" t="s">
        <v>70</v>
      </c>
      <c r="F2425" s="9" t="s">
        <v>57</v>
      </c>
      <c r="G2425" s="10" t="n">
        <v>46063</v>
      </c>
      <c r="H2425" s="10" t="n">
        <v>46109</v>
      </c>
      <c r="I2425" s="9" t="s">
        <v>102</v>
      </c>
      <c r="J2425" s="9" t="s">
        <v>51</v>
      </c>
      <c r="K2425" s="9" t="n">
        <v>46</v>
      </c>
      <c r="L2425" s="9" t="n">
        <v>2</v>
      </c>
      <c r="M2425" s="9" t="n">
        <v>0</v>
      </c>
      <c r="N2425" s="9" t="s">
        <v>42</v>
      </c>
      <c r="O2425" s="9" t="s">
        <v>67</v>
      </c>
      <c r="P2425" s="9" t="n">
        <v>19.9</v>
      </c>
      <c r="Q2425" s="9" t="n">
        <v>13</v>
      </c>
      <c r="R2425" s="9" t="s">
        <v>44</v>
      </c>
      <c r="S2425" s="9"/>
      <c r="T2425" s="9"/>
      <c r="U2425" s="9" t="str">
        <f aca="false">IF(COUNTIF($A$2:$A$5001,A2425)&gt;1,"Duplicate","Unique")</f>
        <v>Unique</v>
      </c>
      <c r="V2425" s="9" t="str">
        <f aca="false">IF(COUNTIFS($B$2:$B$5001,B2425,$H$2:$H$5001,H2425,$J$2:$J$5001,J2425)&gt;1,"Possible Duplicate Booking","Unique")</f>
        <v>Unique</v>
      </c>
      <c r="W2425" s="9" t="str">
        <f aca="false">IF((H2425-G2425)&lt;&gt;K2425,"Mismatch","OK")</f>
        <v>OK</v>
      </c>
      <c r="X2425" s="9" t="str">
        <f aca="false">IF(TEXT(H2425,"dddd")&lt;&gt;I2425,"Mismatch","OK")</f>
        <v>OK</v>
      </c>
      <c r="Y2425" s="9" t="str">
        <f aca="false">IF(AND(N2425="No",O2425&lt;&gt;""),"Unexpected: channel present but no reminder sent",IF(AND(N2425="Yes",O2425=""),"Missing channel for sent reminder","OK"))</f>
        <v>OK</v>
      </c>
    </row>
    <row r="2426" customFormat="false" ht="15" hidden="false" customHeight="false" outlineLevel="0" collapsed="false">
      <c r="A2426" s="7" t="s">
        <v>3827</v>
      </c>
      <c r="B2426" s="7" t="s">
        <v>3398</v>
      </c>
      <c r="C2426" s="7" t="s">
        <v>37</v>
      </c>
      <c r="D2426" s="7" t="n">
        <v>39</v>
      </c>
      <c r="E2426" s="7" t="s">
        <v>38</v>
      </c>
      <c r="F2426" s="7" t="s">
        <v>57</v>
      </c>
      <c r="G2426" s="8" t="n">
        <v>45790</v>
      </c>
      <c r="H2426" s="8" t="n">
        <v>45848</v>
      </c>
      <c r="I2426" s="7" t="s">
        <v>62</v>
      </c>
      <c r="J2426" s="7" t="s">
        <v>51</v>
      </c>
      <c r="K2426" s="7" t="n">
        <v>58</v>
      </c>
      <c r="L2426" s="7" t="n">
        <v>1</v>
      </c>
      <c r="M2426" s="7" t="n">
        <v>0</v>
      </c>
      <c r="N2426" s="7" t="s">
        <v>42</v>
      </c>
      <c r="O2426" s="7" t="s">
        <v>52</v>
      </c>
      <c r="P2426" s="7" t="n">
        <v>15.3</v>
      </c>
      <c r="Q2426" s="7" t="n">
        <v>31</v>
      </c>
      <c r="R2426" s="7" t="s">
        <v>44</v>
      </c>
      <c r="S2426" s="7"/>
      <c r="T2426" s="7"/>
      <c r="U2426" s="7" t="str">
        <f aca="false">IF(COUNTIF($A$2:$A$5001,A2426)&gt;1,"Duplicate","Unique")</f>
        <v>Unique</v>
      </c>
      <c r="V2426" s="7" t="str">
        <f aca="false">IF(COUNTIFS($B$2:$B$5001,B2426,$H$2:$H$5001,H2426,$J$2:$J$5001,J2426)&gt;1,"Possible Duplicate Booking","Unique")</f>
        <v>Unique</v>
      </c>
      <c r="W2426" s="7" t="str">
        <f aca="false">IF((H2426-G2426)&lt;&gt;K2426,"Mismatch","OK")</f>
        <v>OK</v>
      </c>
      <c r="X2426" s="7" t="str">
        <f aca="false">IF(TEXT(H2426,"dddd")&lt;&gt;I2426,"Mismatch","OK")</f>
        <v>OK</v>
      </c>
      <c r="Y2426" s="7" t="str">
        <f aca="false">IF(AND(N2426="No",O2426&lt;&gt;""),"Unexpected: channel present but no reminder sent",IF(AND(N2426="Yes",O2426=""),"Missing channel for sent reminder","OK"))</f>
        <v>OK</v>
      </c>
    </row>
    <row r="2427" customFormat="false" ht="15" hidden="false" customHeight="false" outlineLevel="0" collapsed="false">
      <c r="A2427" s="9" t="s">
        <v>3828</v>
      </c>
      <c r="B2427" s="9" t="s">
        <v>664</v>
      </c>
      <c r="C2427" s="9" t="s">
        <v>47</v>
      </c>
      <c r="D2427" s="9" t="n">
        <v>42</v>
      </c>
      <c r="E2427" s="9" t="s">
        <v>38</v>
      </c>
      <c r="F2427" s="9" t="s">
        <v>74</v>
      </c>
      <c r="G2427" s="10" t="n">
        <v>45904</v>
      </c>
      <c r="H2427" s="10" t="n">
        <v>45964</v>
      </c>
      <c r="I2427" s="9" t="s">
        <v>66</v>
      </c>
      <c r="J2427" s="9" t="s">
        <v>41</v>
      </c>
      <c r="K2427" s="9" t="n">
        <v>60</v>
      </c>
      <c r="L2427" s="9" t="n">
        <v>4</v>
      </c>
      <c r="M2427" s="9" t="n">
        <v>1</v>
      </c>
      <c r="N2427" s="9" t="s">
        <v>42</v>
      </c>
      <c r="O2427" s="9" t="s">
        <v>52</v>
      </c>
      <c r="P2427" s="9" t="n">
        <v>1.9</v>
      </c>
      <c r="Q2427" s="9" t="n">
        <v>25</v>
      </c>
      <c r="R2427" s="9" t="s">
        <v>44</v>
      </c>
      <c r="S2427" s="9"/>
      <c r="T2427" s="9"/>
      <c r="U2427" s="9" t="str">
        <f aca="false">IF(COUNTIF($A$2:$A$5001,A2427)&gt;1,"Duplicate","Unique")</f>
        <v>Unique</v>
      </c>
      <c r="V2427" s="9" t="str">
        <f aca="false">IF(COUNTIFS($B$2:$B$5001,B2427,$H$2:$H$5001,H2427,$J$2:$J$5001,J2427)&gt;1,"Possible Duplicate Booking","Unique")</f>
        <v>Unique</v>
      </c>
      <c r="W2427" s="9" t="str">
        <f aca="false">IF((H2427-G2427)&lt;&gt;K2427,"Mismatch","OK")</f>
        <v>OK</v>
      </c>
      <c r="X2427" s="9" t="str">
        <f aca="false">IF(TEXT(H2427,"dddd")&lt;&gt;I2427,"Mismatch","OK")</f>
        <v>OK</v>
      </c>
      <c r="Y2427" s="9" t="str">
        <f aca="false">IF(AND(N2427="No",O2427&lt;&gt;""),"Unexpected: channel present but no reminder sent",IF(AND(N2427="Yes",O2427=""),"Missing channel for sent reminder","OK"))</f>
        <v>OK</v>
      </c>
    </row>
    <row r="2428" customFormat="false" ht="15" hidden="false" customHeight="false" outlineLevel="0" collapsed="false">
      <c r="A2428" s="7" t="s">
        <v>3829</v>
      </c>
      <c r="B2428" s="7" t="s">
        <v>3830</v>
      </c>
      <c r="C2428" s="7" t="s">
        <v>47</v>
      </c>
      <c r="D2428" s="7" t="n">
        <v>57</v>
      </c>
      <c r="E2428" s="7" t="s">
        <v>61</v>
      </c>
      <c r="F2428" s="7" t="s">
        <v>39</v>
      </c>
      <c r="G2428" s="8" t="n">
        <v>45709</v>
      </c>
      <c r="H2428" s="8" t="n">
        <v>45744</v>
      </c>
      <c r="I2428" s="7" t="s">
        <v>50</v>
      </c>
      <c r="J2428" s="7" t="s">
        <v>41</v>
      </c>
      <c r="K2428" s="7" t="n">
        <v>35</v>
      </c>
      <c r="L2428" s="7" t="n">
        <v>2</v>
      </c>
      <c r="M2428" s="7" t="n">
        <v>0</v>
      </c>
      <c r="N2428" s="7" t="s">
        <v>71</v>
      </c>
      <c r="O2428" s="7"/>
      <c r="P2428" s="7" t="n">
        <v>15.2</v>
      </c>
      <c r="Q2428" s="7" t="n">
        <v>35</v>
      </c>
      <c r="R2428" s="7" t="s">
        <v>53</v>
      </c>
      <c r="S2428" s="7"/>
      <c r="T2428" s="7"/>
      <c r="U2428" s="7" t="str">
        <f aca="false">IF(COUNTIF($A$2:$A$5001,A2428)&gt;1,"Duplicate","Unique")</f>
        <v>Unique</v>
      </c>
      <c r="V2428" s="7" t="str">
        <f aca="false">IF(COUNTIFS($B$2:$B$5001,B2428,$H$2:$H$5001,H2428,$J$2:$J$5001,J2428)&gt;1,"Possible Duplicate Booking","Unique")</f>
        <v>Unique</v>
      </c>
      <c r="W2428" s="7" t="str">
        <f aca="false">IF((H2428-G2428)&lt;&gt;K2428,"Mismatch","OK")</f>
        <v>OK</v>
      </c>
      <c r="X2428" s="7" t="str">
        <f aca="false">IF(TEXT(H2428,"dddd")&lt;&gt;I2428,"Mismatch","OK")</f>
        <v>OK</v>
      </c>
      <c r="Y2428" s="7" t="str">
        <f aca="false">IF(AND(N2428="No",O2428&lt;&gt;""),"Unexpected: channel present but no reminder sent",IF(AND(N2428="Yes",O2428=""),"Missing channel for sent reminder","OK"))</f>
        <v>OK</v>
      </c>
    </row>
    <row r="2429" customFormat="false" ht="15" hidden="false" customHeight="false" outlineLevel="0" collapsed="false">
      <c r="A2429" s="9" t="s">
        <v>3831</v>
      </c>
      <c r="B2429" s="9" t="s">
        <v>3832</v>
      </c>
      <c r="C2429" s="9" t="s">
        <v>47</v>
      </c>
      <c r="D2429" s="9" t="n">
        <v>55</v>
      </c>
      <c r="E2429" s="9" t="s">
        <v>61</v>
      </c>
      <c r="F2429" s="9" t="s">
        <v>57</v>
      </c>
      <c r="G2429" s="10" t="n">
        <v>45822</v>
      </c>
      <c r="H2429" s="10" t="n">
        <v>45868</v>
      </c>
      <c r="I2429" s="9" t="s">
        <v>58</v>
      </c>
      <c r="J2429" s="9" t="s">
        <v>41</v>
      </c>
      <c r="K2429" s="9" t="n">
        <v>46</v>
      </c>
      <c r="L2429" s="9" t="n">
        <v>4</v>
      </c>
      <c r="M2429" s="9" t="n">
        <v>1</v>
      </c>
      <c r="N2429" s="9" t="s">
        <v>42</v>
      </c>
      <c r="O2429" s="9" t="s">
        <v>67</v>
      </c>
      <c r="P2429" s="9" t="n">
        <v>4.4</v>
      </c>
      <c r="Q2429" s="9" t="n">
        <v>32</v>
      </c>
      <c r="R2429" s="9" t="s">
        <v>44</v>
      </c>
      <c r="S2429" s="9"/>
      <c r="T2429" s="9"/>
      <c r="U2429" s="9" t="str">
        <f aca="false">IF(COUNTIF($A$2:$A$5001,A2429)&gt;1,"Duplicate","Unique")</f>
        <v>Unique</v>
      </c>
      <c r="V2429" s="9" t="str">
        <f aca="false">IF(COUNTIFS($B$2:$B$5001,B2429,$H$2:$H$5001,H2429,$J$2:$J$5001,J2429)&gt;1,"Possible Duplicate Booking","Unique")</f>
        <v>Unique</v>
      </c>
      <c r="W2429" s="9" t="str">
        <f aca="false">IF((H2429-G2429)&lt;&gt;K2429,"Mismatch","OK")</f>
        <v>OK</v>
      </c>
      <c r="X2429" s="9" t="str">
        <f aca="false">IF(TEXT(H2429,"dddd")&lt;&gt;I2429,"Mismatch","OK")</f>
        <v>OK</v>
      </c>
      <c r="Y2429" s="9" t="str">
        <f aca="false">IF(AND(N2429="No",O2429&lt;&gt;""),"Unexpected: channel present but no reminder sent",IF(AND(N2429="Yes",O2429=""),"Missing channel for sent reminder","OK"))</f>
        <v>OK</v>
      </c>
    </row>
    <row r="2430" customFormat="false" ht="15" hidden="false" customHeight="false" outlineLevel="0" collapsed="false">
      <c r="A2430" s="7" t="s">
        <v>3833</v>
      </c>
      <c r="B2430" s="7" t="s">
        <v>578</v>
      </c>
      <c r="C2430" s="7" t="s">
        <v>47</v>
      </c>
      <c r="D2430" s="7" t="n">
        <v>74</v>
      </c>
      <c r="E2430" s="7" t="s">
        <v>70</v>
      </c>
      <c r="F2430" s="7" t="s">
        <v>49</v>
      </c>
      <c r="G2430" s="8" t="n">
        <v>46016</v>
      </c>
      <c r="H2430" s="8" t="n">
        <v>46070</v>
      </c>
      <c r="I2430" s="7" t="s">
        <v>40</v>
      </c>
      <c r="J2430" s="7" t="s">
        <v>41</v>
      </c>
      <c r="K2430" s="7" t="n">
        <v>54</v>
      </c>
      <c r="L2430" s="7" t="n">
        <v>3</v>
      </c>
      <c r="M2430" s="7" t="n">
        <v>1</v>
      </c>
      <c r="N2430" s="7" t="s">
        <v>71</v>
      </c>
      <c r="O2430" s="7"/>
      <c r="P2430" s="7" t="n">
        <v>17.8</v>
      </c>
      <c r="Q2430" s="7" t="n">
        <v>11</v>
      </c>
      <c r="R2430" s="7" t="s">
        <v>44</v>
      </c>
      <c r="S2430" s="7"/>
      <c r="T2430" s="7"/>
      <c r="U2430" s="7" t="str">
        <f aca="false">IF(COUNTIF($A$2:$A$5001,A2430)&gt;1,"Duplicate","Unique")</f>
        <v>Unique</v>
      </c>
      <c r="V2430" s="7" t="str">
        <f aca="false">IF(COUNTIFS($B$2:$B$5001,B2430,$H$2:$H$5001,H2430,$J$2:$J$5001,J2430)&gt;1,"Possible Duplicate Booking","Unique")</f>
        <v>Unique</v>
      </c>
      <c r="W2430" s="7" t="str">
        <f aca="false">IF((H2430-G2430)&lt;&gt;K2430,"Mismatch","OK")</f>
        <v>OK</v>
      </c>
      <c r="X2430" s="7" t="str">
        <f aca="false">IF(TEXT(H2430,"dddd")&lt;&gt;I2430,"Mismatch","OK")</f>
        <v>OK</v>
      </c>
      <c r="Y2430" s="7" t="str">
        <f aca="false">IF(AND(N2430="No",O2430&lt;&gt;""),"Unexpected: channel present but no reminder sent",IF(AND(N2430="Yes",O2430=""),"Missing channel for sent reminder","OK"))</f>
        <v>OK</v>
      </c>
    </row>
    <row r="2431" customFormat="false" ht="15" hidden="false" customHeight="false" outlineLevel="0" collapsed="false">
      <c r="A2431" s="9" t="s">
        <v>3834</v>
      </c>
      <c r="B2431" s="9" t="s">
        <v>3088</v>
      </c>
      <c r="C2431" s="9" t="s">
        <v>47</v>
      </c>
      <c r="D2431" s="9" t="n">
        <v>33</v>
      </c>
      <c r="E2431" s="9" t="s">
        <v>48</v>
      </c>
      <c r="F2431" s="9" t="s">
        <v>39</v>
      </c>
      <c r="G2431" s="10" t="n">
        <v>45754</v>
      </c>
      <c r="H2431" s="10" t="n">
        <v>45805</v>
      </c>
      <c r="I2431" s="9" t="s">
        <v>58</v>
      </c>
      <c r="J2431" s="9" t="s">
        <v>51</v>
      </c>
      <c r="K2431" s="9" t="n">
        <v>51</v>
      </c>
      <c r="L2431" s="9" t="n">
        <v>0</v>
      </c>
      <c r="M2431" s="9" t="n">
        <v>0</v>
      </c>
      <c r="N2431" s="9" t="s">
        <v>42</v>
      </c>
      <c r="O2431" s="9" t="s">
        <v>43</v>
      </c>
      <c r="P2431" s="9" t="n">
        <v>1.2</v>
      </c>
      <c r="Q2431" s="9" t="n">
        <v>6</v>
      </c>
      <c r="R2431" s="9" t="s">
        <v>44</v>
      </c>
      <c r="S2431" s="9"/>
      <c r="T2431" s="9"/>
      <c r="U2431" s="9" t="str">
        <f aca="false">IF(COUNTIF($A$2:$A$5001,A2431)&gt;1,"Duplicate","Unique")</f>
        <v>Unique</v>
      </c>
      <c r="V2431" s="9" t="str">
        <f aca="false">IF(COUNTIFS($B$2:$B$5001,B2431,$H$2:$H$5001,H2431,$J$2:$J$5001,J2431)&gt;1,"Possible Duplicate Booking","Unique")</f>
        <v>Unique</v>
      </c>
      <c r="W2431" s="9" t="str">
        <f aca="false">IF((H2431-G2431)&lt;&gt;K2431,"Mismatch","OK")</f>
        <v>OK</v>
      </c>
      <c r="X2431" s="9" t="str">
        <f aca="false">IF(TEXT(H2431,"dddd")&lt;&gt;I2431,"Mismatch","OK")</f>
        <v>OK</v>
      </c>
      <c r="Y2431" s="9" t="str">
        <f aca="false">IF(AND(N2431="No",O2431&lt;&gt;""),"Unexpected: channel present but no reminder sent",IF(AND(N2431="Yes",O2431=""),"Missing channel for sent reminder","OK"))</f>
        <v>OK</v>
      </c>
    </row>
    <row r="2432" customFormat="false" ht="15" hidden="false" customHeight="false" outlineLevel="0" collapsed="false">
      <c r="A2432" s="7" t="s">
        <v>3835</v>
      </c>
      <c r="B2432" s="7" t="s">
        <v>1155</v>
      </c>
      <c r="C2432" s="7" t="s">
        <v>236</v>
      </c>
      <c r="D2432" s="7" t="n">
        <v>35</v>
      </c>
      <c r="E2432" s="7" t="s">
        <v>38</v>
      </c>
      <c r="F2432" s="7" t="s">
        <v>57</v>
      </c>
      <c r="G2432" s="8" t="n">
        <v>45676</v>
      </c>
      <c r="H2432" s="8" t="n">
        <v>45730</v>
      </c>
      <c r="I2432" s="7" t="s">
        <v>50</v>
      </c>
      <c r="J2432" s="7" t="s">
        <v>51</v>
      </c>
      <c r="K2432" s="7" t="n">
        <v>54</v>
      </c>
      <c r="L2432" s="7" t="n">
        <v>3</v>
      </c>
      <c r="M2432" s="7" t="n">
        <v>0</v>
      </c>
      <c r="N2432" s="7" t="s">
        <v>71</v>
      </c>
      <c r="O2432" s="7"/>
      <c r="P2432" s="7" t="n">
        <v>12</v>
      </c>
      <c r="Q2432" s="7" t="n">
        <v>36</v>
      </c>
      <c r="R2432" s="7" t="s">
        <v>44</v>
      </c>
      <c r="S2432" s="7"/>
      <c r="T2432" s="7"/>
      <c r="U2432" s="7" t="str">
        <f aca="false">IF(COUNTIF($A$2:$A$5001,A2432)&gt;1,"Duplicate","Unique")</f>
        <v>Unique</v>
      </c>
      <c r="V2432" s="7" t="str">
        <f aca="false">IF(COUNTIFS($B$2:$B$5001,B2432,$H$2:$H$5001,H2432,$J$2:$J$5001,J2432)&gt;1,"Possible Duplicate Booking","Unique")</f>
        <v>Unique</v>
      </c>
      <c r="W2432" s="7" t="str">
        <f aca="false">IF((H2432-G2432)&lt;&gt;K2432,"Mismatch","OK")</f>
        <v>OK</v>
      </c>
      <c r="X2432" s="7" t="str">
        <f aca="false">IF(TEXT(H2432,"dddd")&lt;&gt;I2432,"Mismatch","OK")</f>
        <v>OK</v>
      </c>
      <c r="Y2432" s="7" t="str">
        <f aca="false">IF(AND(N2432="No",O2432&lt;&gt;""),"Unexpected: channel present but no reminder sent",IF(AND(N2432="Yes",O2432=""),"Missing channel for sent reminder","OK"))</f>
        <v>OK</v>
      </c>
    </row>
    <row r="2433" customFormat="false" ht="15" hidden="false" customHeight="false" outlineLevel="0" collapsed="false">
      <c r="A2433" s="9" t="s">
        <v>3836</v>
      </c>
      <c r="B2433" s="9" t="s">
        <v>2319</v>
      </c>
      <c r="C2433" s="9" t="s">
        <v>47</v>
      </c>
      <c r="D2433" s="9" t="n">
        <v>27</v>
      </c>
      <c r="E2433" s="9" t="s">
        <v>48</v>
      </c>
      <c r="F2433" s="9" t="s">
        <v>39</v>
      </c>
      <c r="G2433" s="10" t="n">
        <v>45892</v>
      </c>
      <c r="H2433" s="10" t="n">
        <v>45942</v>
      </c>
      <c r="I2433" s="9" t="s">
        <v>75</v>
      </c>
      <c r="J2433" s="9" t="s">
        <v>51</v>
      </c>
      <c r="K2433" s="9" t="n">
        <v>50</v>
      </c>
      <c r="L2433" s="9" t="n">
        <v>1</v>
      </c>
      <c r="M2433" s="9" t="n">
        <v>0</v>
      </c>
      <c r="N2433" s="9" t="s">
        <v>71</v>
      </c>
      <c r="O2433" s="9"/>
      <c r="P2433" s="9" t="n">
        <v>4</v>
      </c>
      <c r="Q2433" s="9" t="n">
        <v>23</v>
      </c>
      <c r="R2433" s="9" t="s">
        <v>44</v>
      </c>
      <c r="S2433" s="9"/>
      <c r="T2433" s="9"/>
      <c r="U2433" s="9" t="str">
        <f aca="false">IF(COUNTIF($A$2:$A$5001,A2433)&gt;1,"Duplicate","Unique")</f>
        <v>Unique</v>
      </c>
      <c r="V2433" s="9" t="str">
        <f aca="false">IF(COUNTIFS($B$2:$B$5001,B2433,$H$2:$H$5001,H2433,$J$2:$J$5001,J2433)&gt;1,"Possible Duplicate Booking","Unique")</f>
        <v>Unique</v>
      </c>
      <c r="W2433" s="9" t="str">
        <f aca="false">IF((H2433-G2433)&lt;&gt;K2433,"Mismatch","OK")</f>
        <v>OK</v>
      </c>
      <c r="X2433" s="9" t="str">
        <f aca="false">IF(TEXT(H2433,"dddd")&lt;&gt;I2433,"Mismatch","OK")</f>
        <v>OK</v>
      </c>
      <c r="Y2433" s="9" t="str">
        <f aca="false">IF(AND(N2433="No",O2433&lt;&gt;""),"Unexpected: channel present but no reminder sent",IF(AND(N2433="Yes",O2433=""),"Missing channel for sent reminder","OK"))</f>
        <v>OK</v>
      </c>
    </row>
    <row r="2434" customFormat="false" ht="15" hidden="false" customHeight="false" outlineLevel="0" collapsed="false">
      <c r="A2434" s="7" t="s">
        <v>3837</v>
      </c>
      <c r="B2434" s="7" t="s">
        <v>1607</v>
      </c>
      <c r="C2434" s="7" t="s">
        <v>37</v>
      </c>
      <c r="D2434" s="7" t="n">
        <v>59</v>
      </c>
      <c r="E2434" s="7" t="s">
        <v>61</v>
      </c>
      <c r="F2434" s="7" t="s">
        <v>39</v>
      </c>
      <c r="G2434" s="8" t="n">
        <v>45723</v>
      </c>
      <c r="H2434" s="8" t="n">
        <v>45746</v>
      </c>
      <c r="I2434" s="7" t="s">
        <v>75</v>
      </c>
      <c r="J2434" s="7" t="s">
        <v>41</v>
      </c>
      <c r="K2434" s="7" t="n">
        <v>23</v>
      </c>
      <c r="L2434" s="7" t="n">
        <v>1</v>
      </c>
      <c r="M2434" s="7" t="n">
        <v>0</v>
      </c>
      <c r="N2434" s="7" t="s">
        <v>42</v>
      </c>
      <c r="O2434" s="7" t="s">
        <v>52</v>
      </c>
      <c r="P2434" s="7" t="n">
        <v>15.1</v>
      </c>
      <c r="Q2434" s="7" t="n">
        <v>57</v>
      </c>
      <c r="R2434" s="7" t="s">
        <v>53</v>
      </c>
      <c r="S2434" s="7"/>
      <c r="T2434" s="7"/>
      <c r="U2434" s="7" t="str">
        <f aca="false">IF(COUNTIF($A$2:$A$5001,A2434)&gt;1,"Duplicate","Unique")</f>
        <v>Unique</v>
      </c>
      <c r="V2434" s="7" t="str">
        <f aca="false">IF(COUNTIFS($B$2:$B$5001,B2434,$H$2:$H$5001,H2434,$J$2:$J$5001,J2434)&gt;1,"Possible Duplicate Booking","Unique")</f>
        <v>Unique</v>
      </c>
      <c r="W2434" s="7" t="str">
        <f aca="false">IF((H2434-G2434)&lt;&gt;K2434,"Mismatch","OK")</f>
        <v>OK</v>
      </c>
      <c r="X2434" s="7" t="str">
        <f aca="false">IF(TEXT(H2434,"dddd")&lt;&gt;I2434,"Mismatch","OK")</f>
        <v>OK</v>
      </c>
      <c r="Y2434" s="7" t="str">
        <f aca="false">IF(AND(N2434="No",O2434&lt;&gt;""),"Unexpected: channel present but no reminder sent",IF(AND(N2434="Yes",O2434=""),"Missing channel for sent reminder","OK"))</f>
        <v>OK</v>
      </c>
    </row>
    <row r="2435" customFormat="false" ht="15" hidden="false" customHeight="false" outlineLevel="0" collapsed="false">
      <c r="A2435" s="9" t="s">
        <v>3838</v>
      </c>
      <c r="B2435" s="9" t="s">
        <v>669</v>
      </c>
      <c r="C2435" s="9" t="s">
        <v>37</v>
      </c>
      <c r="D2435" s="9" t="n">
        <v>51</v>
      </c>
      <c r="E2435" s="9" t="s">
        <v>56</v>
      </c>
      <c r="F2435" s="9" t="s">
        <v>57</v>
      </c>
      <c r="G2435" s="10" t="n">
        <v>45785</v>
      </c>
      <c r="H2435" s="10" t="n">
        <v>45829</v>
      </c>
      <c r="I2435" s="9" t="s">
        <v>102</v>
      </c>
      <c r="J2435" s="9" t="s">
        <v>51</v>
      </c>
      <c r="K2435" s="9" t="n">
        <v>44</v>
      </c>
      <c r="L2435" s="9" t="n">
        <v>4</v>
      </c>
      <c r="M2435" s="9" t="n">
        <v>0</v>
      </c>
      <c r="N2435" s="9" t="s">
        <v>42</v>
      </c>
      <c r="O2435" s="9" t="s">
        <v>67</v>
      </c>
      <c r="P2435" s="9" t="n">
        <v>23.2</v>
      </c>
      <c r="Q2435" s="9" t="n">
        <v>35</v>
      </c>
      <c r="R2435" s="9" t="s">
        <v>44</v>
      </c>
      <c r="S2435" s="9"/>
      <c r="T2435" s="9"/>
      <c r="U2435" s="9" t="str">
        <f aca="false">IF(COUNTIF($A$2:$A$5001,A2435)&gt;1,"Duplicate","Unique")</f>
        <v>Unique</v>
      </c>
      <c r="V2435" s="9" t="str">
        <f aca="false">IF(COUNTIFS($B$2:$B$5001,B2435,$H$2:$H$5001,H2435,$J$2:$J$5001,J2435)&gt;1,"Possible Duplicate Booking","Unique")</f>
        <v>Unique</v>
      </c>
      <c r="W2435" s="9" t="str">
        <f aca="false">IF((H2435-G2435)&lt;&gt;K2435,"Mismatch","OK")</f>
        <v>OK</v>
      </c>
      <c r="X2435" s="9" t="str">
        <f aca="false">IF(TEXT(H2435,"dddd")&lt;&gt;I2435,"Mismatch","OK")</f>
        <v>OK</v>
      </c>
      <c r="Y2435" s="9" t="str">
        <f aca="false">IF(AND(N2435="No",O2435&lt;&gt;""),"Unexpected: channel present but no reminder sent",IF(AND(N2435="Yes",O2435=""),"Missing channel for sent reminder","OK"))</f>
        <v>OK</v>
      </c>
    </row>
    <row r="2436" customFormat="false" ht="15" hidden="false" customHeight="false" outlineLevel="0" collapsed="false">
      <c r="A2436" s="7" t="s">
        <v>3839</v>
      </c>
      <c r="B2436" s="7" t="s">
        <v>952</v>
      </c>
      <c r="C2436" s="7" t="s">
        <v>47</v>
      </c>
      <c r="D2436" s="7" t="n">
        <v>39</v>
      </c>
      <c r="E2436" s="7" t="s">
        <v>38</v>
      </c>
      <c r="F2436" s="7" t="s">
        <v>49</v>
      </c>
      <c r="G2436" s="8" t="n">
        <v>45878</v>
      </c>
      <c r="H2436" s="8" t="n">
        <v>45903</v>
      </c>
      <c r="I2436" s="7" t="s">
        <v>58</v>
      </c>
      <c r="J2436" s="7" t="s">
        <v>63</v>
      </c>
      <c r="K2436" s="7" t="n">
        <v>25</v>
      </c>
      <c r="L2436" s="7" t="n">
        <v>0</v>
      </c>
      <c r="M2436" s="7" t="n">
        <v>0</v>
      </c>
      <c r="N2436" s="7" t="s">
        <v>42</v>
      </c>
      <c r="O2436" s="7" t="s">
        <v>43</v>
      </c>
      <c r="P2436" s="7" t="n">
        <v>7.5</v>
      </c>
      <c r="Q2436" s="7" t="n">
        <v>39</v>
      </c>
      <c r="R2436" s="7" t="s">
        <v>53</v>
      </c>
      <c r="S2436" s="7"/>
      <c r="T2436" s="7"/>
      <c r="U2436" s="7" t="str">
        <f aca="false">IF(COUNTIF($A$2:$A$5001,A2436)&gt;1,"Duplicate","Unique")</f>
        <v>Unique</v>
      </c>
      <c r="V2436" s="7" t="str">
        <f aca="false">IF(COUNTIFS($B$2:$B$5001,B2436,$H$2:$H$5001,H2436,$J$2:$J$5001,J2436)&gt;1,"Possible Duplicate Booking","Unique")</f>
        <v>Unique</v>
      </c>
      <c r="W2436" s="7" t="str">
        <f aca="false">IF((H2436-G2436)&lt;&gt;K2436,"Mismatch","OK")</f>
        <v>OK</v>
      </c>
      <c r="X2436" s="7" t="str">
        <f aca="false">IF(TEXT(H2436,"dddd")&lt;&gt;I2436,"Mismatch","OK")</f>
        <v>OK</v>
      </c>
      <c r="Y2436" s="7" t="str">
        <f aca="false">IF(AND(N2436="No",O2436&lt;&gt;""),"Unexpected: channel present but no reminder sent",IF(AND(N2436="Yes",O2436=""),"Missing channel for sent reminder","OK"))</f>
        <v>OK</v>
      </c>
    </row>
    <row r="2437" customFormat="false" ht="15" hidden="false" customHeight="false" outlineLevel="0" collapsed="false">
      <c r="A2437" s="9" t="s">
        <v>3840</v>
      </c>
      <c r="B2437" s="9" t="s">
        <v>1856</v>
      </c>
      <c r="C2437" s="9" t="s">
        <v>236</v>
      </c>
      <c r="D2437" s="9" t="n">
        <v>61</v>
      </c>
      <c r="E2437" s="9" t="s">
        <v>61</v>
      </c>
      <c r="F2437" s="9" t="s">
        <v>57</v>
      </c>
      <c r="G2437" s="10" t="n">
        <v>45917</v>
      </c>
      <c r="H2437" s="10" t="n">
        <v>45965</v>
      </c>
      <c r="I2437" s="9" t="s">
        <v>40</v>
      </c>
      <c r="J2437" s="9" t="s">
        <v>51</v>
      </c>
      <c r="K2437" s="9" t="n">
        <v>48</v>
      </c>
      <c r="L2437" s="9" t="n">
        <v>1</v>
      </c>
      <c r="M2437" s="9" t="n">
        <v>0</v>
      </c>
      <c r="N2437" s="9" t="s">
        <v>42</v>
      </c>
      <c r="O2437" s="9" t="s">
        <v>43</v>
      </c>
      <c r="P2437" s="9" t="n">
        <v>5.4</v>
      </c>
      <c r="Q2437" s="9" t="n">
        <v>14</v>
      </c>
      <c r="R2437" s="9" t="s">
        <v>53</v>
      </c>
      <c r="S2437" s="9"/>
      <c r="T2437" s="9"/>
      <c r="U2437" s="9" t="str">
        <f aca="false">IF(COUNTIF($A$2:$A$5001,A2437)&gt;1,"Duplicate","Unique")</f>
        <v>Unique</v>
      </c>
      <c r="V2437" s="9" t="str">
        <f aca="false">IF(COUNTIFS($B$2:$B$5001,B2437,$H$2:$H$5001,H2437,$J$2:$J$5001,J2437)&gt;1,"Possible Duplicate Booking","Unique")</f>
        <v>Unique</v>
      </c>
      <c r="W2437" s="9" t="str">
        <f aca="false">IF((H2437-G2437)&lt;&gt;K2437,"Mismatch","OK")</f>
        <v>OK</v>
      </c>
      <c r="X2437" s="9" t="str">
        <f aca="false">IF(TEXT(H2437,"dddd")&lt;&gt;I2437,"Mismatch","OK")</f>
        <v>OK</v>
      </c>
      <c r="Y2437" s="9" t="str">
        <f aca="false">IF(AND(N2437="No",O2437&lt;&gt;""),"Unexpected: channel present but no reminder sent",IF(AND(N2437="Yes",O2437=""),"Missing channel for sent reminder","OK"))</f>
        <v>OK</v>
      </c>
    </row>
    <row r="2438" customFormat="false" ht="15" hidden="false" customHeight="false" outlineLevel="0" collapsed="false">
      <c r="A2438" s="7" t="s">
        <v>3841</v>
      </c>
      <c r="B2438" s="7" t="s">
        <v>3616</v>
      </c>
      <c r="C2438" s="7" t="s">
        <v>37</v>
      </c>
      <c r="D2438" s="7" t="n">
        <v>41</v>
      </c>
      <c r="E2438" s="7" t="s">
        <v>38</v>
      </c>
      <c r="F2438" s="7" t="s">
        <v>57</v>
      </c>
      <c r="G2438" s="8" t="n">
        <v>45958</v>
      </c>
      <c r="H2438" s="8" t="n">
        <v>46007</v>
      </c>
      <c r="I2438" s="7" t="s">
        <v>40</v>
      </c>
      <c r="J2438" s="7" t="s">
        <v>41</v>
      </c>
      <c r="K2438" s="7" t="n">
        <v>49</v>
      </c>
      <c r="L2438" s="7" t="n">
        <v>1</v>
      </c>
      <c r="M2438" s="7" t="n">
        <v>0</v>
      </c>
      <c r="N2438" s="7" t="s">
        <v>42</v>
      </c>
      <c r="O2438" s="7" t="s">
        <v>52</v>
      </c>
      <c r="P2438" s="7" t="n">
        <v>6.7</v>
      </c>
      <c r="Q2438" s="7" t="n">
        <v>23</v>
      </c>
      <c r="R2438" s="7" t="s">
        <v>44</v>
      </c>
      <c r="S2438" s="7"/>
      <c r="T2438" s="7"/>
      <c r="U2438" s="7" t="str">
        <f aca="false">IF(COUNTIF($A$2:$A$5001,A2438)&gt;1,"Duplicate","Unique")</f>
        <v>Unique</v>
      </c>
      <c r="V2438" s="7" t="str">
        <f aca="false">IF(COUNTIFS($B$2:$B$5001,B2438,$H$2:$H$5001,H2438,$J$2:$J$5001,J2438)&gt;1,"Possible Duplicate Booking","Unique")</f>
        <v>Unique</v>
      </c>
      <c r="W2438" s="7" t="str">
        <f aca="false">IF((H2438-G2438)&lt;&gt;K2438,"Mismatch","OK")</f>
        <v>OK</v>
      </c>
      <c r="X2438" s="7" t="str">
        <f aca="false">IF(TEXT(H2438,"dddd")&lt;&gt;I2438,"Mismatch","OK")</f>
        <v>OK</v>
      </c>
      <c r="Y2438" s="7" t="str">
        <f aca="false">IF(AND(N2438="No",O2438&lt;&gt;""),"Unexpected: channel present but no reminder sent",IF(AND(N2438="Yes",O2438=""),"Missing channel for sent reminder","OK"))</f>
        <v>OK</v>
      </c>
    </row>
    <row r="2439" customFormat="false" ht="15" hidden="false" customHeight="false" outlineLevel="0" collapsed="false">
      <c r="A2439" s="9" t="s">
        <v>3842</v>
      </c>
      <c r="B2439" s="9" t="s">
        <v>1797</v>
      </c>
      <c r="C2439" s="9" t="s">
        <v>37</v>
      </c>
      <c r="D2439" s="9" t="n">
        <v>30</v>
      </c>
      <c r="E2439" s="9" t="s">
        <v>48</v>
      </c>
      <c r="F2439" s="9" t="s">
        <v>57</v>
      </c>
      <c r="G2439" s="10" t="n">
        <v>45970</v>
      </c>
      <c r="H2439" s="10" t="n">
        <v>46027</v>
      </c>
      <c r="I2439" s="9" t="s">
        <v>66</v>
      </c>
      <c r="J2439" s="9" t="s">
        <v>51</v>
      </c>
      <c r="K2439" s="9" t="n">
        <v>57</v>
      </c>
      <c r="L2439" s="9" t="n">
        <v>3</v>
      </c>
      <c r="M2439" s="9" t="n">
        <v>1</v>
      </c>
      <c r="N2439" s="9" t="s">
        <v>42</v>
      </c>
      <c r="O2439" s="9" t="s">
        <v>67</v>
      </c>
      <c r="P2439" s="9" t="n">
        <v>7.9</v>
      </c>
      <c r="Q2439" s="9" t="n">
        <v>33</v>
      </c>
      <c r="R2439" s="9" t="s">
        <v>44</v>
      </c>
      <c r="S2439" s="9"/>
      <c r="T2439" s="9"/>
      <c r="U2439" s="9" t="str">
        <f aca="false">IF(COUNTIF($A$2:$A$5001,A2439)&gt;1,"Duplicate","Unique")</f>
        <v>Unique</v>
      </c>
      <c r="V2439" s="9" t="str">
        <f aca="false">IF(COUNTIFS($B$2:$B$5001,B2439,$H$2:$H$5001,H2439,$J$2:$J$5001,J2439)&gt;1,"Possible Duplicate Booking","Unique")</f>
        <v>Unique</v>
      </c>
      <c r="W2439" s="9" t="str">
        <f aca="false">IF((H2439-G2439)&lt;&gt;K2439,"Mismatch","OK")</f>
        <v>OK</v>
      </c>
      <c r="X2439" s="9" t="str">
        <f aca="false">IF(TEXT(H2439,"dddd")&lt;&gt;I2439,"Mismatch","OK")</f>
        <v>OK</v>
      </c>
      <c r="Y2439" s="9" t="str">
        <f aca="false">IF(AND(N2439="No",O2439&lt;&gt;""),"Unexpected: channel present but no reminder sent",IF(AND(N2439="Yes",O2439=""),"Missing channel for sent reminder","OK"))</f>
        <v>OK</v>
      </c>
    </row>
    <row r="2440" customFormat="false" ht="15" hidden="false" customHeight="false" outlineLevel="0" collapsed="false">
      <c r="A2440" s="7" t="s">
        <v>3843</v>
      </c>
      <c r="B2440" s="7" t="s">
        <v>2622</v>
      </c>
      <c r="C2440" s="7" t="s">
        <v>37</v>
      </c>
      <c r="D2440" s="7" t="n">
        <v>52</v>
      </c>
      <c r="E2440" s="7" t="s">
        <v>56</v>
      </c>
      <c r="F2440" s="7" t="s">
        <v>49</v>
      </c>
      <c r="G2440" s="8" t="n">
        <v>46083</v>
      </c>
      <c r="H2440" s="8" t="n">
        <v>46118</v>
      </c>
      <c r="I2440" s="7" t="s">
        <v>66</v>
      </c>
      <c r="J2440" s="7" t="s">
        <v>41</v>
      </c>
      <c r="K2440" s="7" t="n">
        <v>35</v>
      </c>
      <c r="L2440" s="7" t="n">
        <v>2</v>
      </c>
      <c r="M2440" s="7" t="n">
        <v>0</v>
      </c>
      <c r="N2440" s="7" t="s">
        <v>42</v>
      </c>
      <c r="O2440" s="7" t="s">
        <v>43</v>
      </c>
      <c r="P2440" s="7" t="n">
        <v>11.7</v>
      </c>
      <c r="Q2440" s="7" t="n">
        <v>23</v>
      </c>
      <c r="R2440" s="7" t="s">
        <v>53</v>
      </c>
      <c r="S2440" s="7"/>
      <c r="T2440" s="7"/>
      <c r="U2440" s="7" t="str">
        <f aca="false">IF(COUNTIF($A$2:$A$5001,A2440)&gt;1,"Duplicate","Unique")</f>
        <v>Unique</v>
      </c>
      <c r="V2440" s="7" t="str">
        <f aca="false">IF(COUNTIFS($B$2:$B$5001,B2440,$H$2:$H$5001,H2440,$J$2:$J$5001,J2440)&gt;1,"Possible Duplicate Booking","Unique")</f>
        <v>Unique</v>
      </c>
      <c r="W2440" s="7" t="str">
        <f aca="false">IF((H2440-G2440)&lt;&gt;K2440,"Mismatch","OK")</f>
        <v>OK</v>
      </c>
      <c r="X2440" s="7" t="str">
        <f aca="false">IF(TEXT(H2440,"dddd")&lt;&gt;I2440,"Mismatch","OK")</f>
        <v>OK</v>
      </c>
      <c r="Y2440" s="7" t="str">
        <f aca="false">IF(AND(N2440="No",O2440&lt;&gt;""),"Unexpected: channel present but no reminder sent",IF(AND(N2440="Yes",O2440=""),"Missing channel for sent reminder","OK"))</f>
        <v>OK</v>
      </c>
    </row>
    <row r="2441" customFormat="false" ht="15" hidden="false" customHeight="false" outlineLevel="0" collapsed="false">
      <c r="A2441" s="9" t="s">
        <v>3844</v>
      </c>
      <c r="B2441" s="9" t="s">
        <v>3845</v>
      </c>
      <c r="C2441" s="9" t="s">
        <v>37</v>
      </c>
      <c r="D2441" s="9" t="n">
        <v>45</v>
      </c>
      <c r="E2441" s="9" t="s">
        <v>56</v>
      </c>
      <c r="F2441" s="9" t="s">
        <v>49</v>
      </c>
      <c r="G2441" s="10" t="n">
        <v>45666</v>
      </c>
      <c r="H2441" s="10" t="n">
        <v>45694</v>
      </c>
      <c r="I2441" s="9" t="s">
        <v>62</v>
      </c>
      <c r="J2441" s="9" t="s">
        <v>51</v>
      </c>
      <c r="K2441" s="9" t="n">
        <v>28</v>
      </c>
      <c r="L2441" s="9" t="n">
        <v>4</v>
      </c>
      <c r="M2441" s="9" t="n">
        <v>1</v>
      </c>
      <c r="N2441" s="9" t="s">
        <v>71</v>
      </c>
      <c r="O2441" s="9"/>
      <c r="P2441" s="9" t="n">
        <v>2.1</v>
      </c>
      <c r="Q2441" s="9" t="n">
        <v>25</v>
      </c>
      <c r="R2441" s="9" t="s">
        <v>44</v>
      </c>
      <c r="S2441" s="9"/>
      <c r="T2441" s="9"/>
      <c r="U2441" s="9" t="str">
        <f aca="false">IF(COUNTIF($A$2:$A$5001,A2441)&gt;1,"Duplicate","Unique")</f>
        <v>Unique</v>
      </c>
      <c r="V2441" s="9" t="str">
        <f aca="false">IF(COUNTIFS($B$2:$B$5001,B2441,$H$2:$H$5001,H2441,$J$2:$J$5001,J2441)&gt;1,"Possible Duplicate Booking","Unique")</f>
        <v>Unique</v>
      </c>
      <c r="W2441" s="9" t="str">
        <f aca="false">IF((H2441-G2441)&lt;&gt;K2441,"Mismatch","OK")</f>
        <v>OK</v>
      </c>
      <c r="X2441" s="9" t="str">
        <f aca="false">IF(TEXT(H2441,"dddd")&lt;&gt;I2441,"Mismatch","OK")</f>
        <v>OK</v>
      </c>
      <c r="Y2441" s="9" t="str">
        <f aca="false">IF(AND(N2441="No",O2441&lt;&gt;""),"Unexpected: channel present but no reminder sent",IF(AND(N2441="Yes",O2441=""),"Missing channel for sent reminder","OK"))</f>
        <v>OK</v>
      </c>
    </row>
    <row r="2442" customFormat="false" ht="15" hidden="false" customHeight="false" outlineLevel="0" collapsed="false">
      <c r="A2442" s="7" t="s">
        <v>3846</v>
      </c>
      <c r="B2442" s="7" t="s">
        <v>3847</v>
      </c>
      <c r="C2442" s="7" t="s">
        <v>236</v>
      </c>
      <c r="D2442" s="7" t="n">
        <v>43</v>
      </c>
      <c r="E2442" s="7" t="s">
        <v>38</v>
      </c>
      <c r="F2442" s="7" t="s">
        <v>74</v>
      </c>
      <c r="G2442" s="8" t="n">
        <v>45845</v>
      </c>
      <c r="H2442" s="8" t="n">
        <v>45855</v>
      </c>
      <c r="I2442" s="7" t="s">
        <v>62</v>
      </c>
      <c r="J2442" s="7" t="s">
        <v>41</v>
      </c>
      <c r="K2442" s="7" t="n">
        <v>10</v>
      </c>
      <c r="L2442" s="7" t="n">
        <v>4</v>
      </c>
      <c r="M2442" s="7" t="n">
        <v>0</v>
      </c>
      <c r="N2442" s="7" t="s">
        <v>42</v>
      </c>
      <c r="O2442" s="7" t="s">
        <v>52</v>
      </c>
      <c r="P2442" s="7" t="n">
        <v>3.3</v>
      </c>
      <c r="Q2442" s="7" t="n">
        <v>27</v>
      </c>
      <c r="R2442" s="7" t="s">
        <v>44</v>
      </c>
      <c r="S2442" s="7"/>
      <c r="T2442" s="7"/>
      <c r="U2442" s="7" t="str">
        <f aca="false">IF(COUNTIF($A$2:$A$5001,A2442)&gt;1,"Duplicate","Unique")</f>
        <v>Unique</v>
      </c>
      <c r="V2442" s="7" t="str">
        <f aca="false">IF(COUNTIFS($B$2:$B$5001,B2442,$H$2:$H$5001,H2442,$J$2:$J$5001,J2442)&gt;1,"Possible Duplicate Booking","Unique")</f>
        <v>Unique</v>
      </c>
      <c r="W2442" s="7" t="str">
        <f aca="false">IF((H2442-G2442)&lt;&gt;K2442,"Mismatch","OK")</f>
        <v>OK</v>
      </c>
      <c r="X2442" s="7" t="str">
        <f aca="false">IF(TEXT(H2442,"dddd")&lt;&gt;I2442,"Mismatch","OK")</f>
        <v>OK</v>
      </c>
      <c r="Y2442" s="7" t="str">
        <f aca="false">IF(AND(N2442="No",O2442&lt;&gt;""),"Unexpected: channel present but no reminder sent",IF(AND(N2442="Yes",O2442=""),"Missing channel for sent reminder","OK"))</f>
        <v>OK</v>
      </c>
    </row>
    <row r="2443" customFormat="false" ht="15" hidden="false" customHeight="false" outlineLevel="0" collapsed="false">
      <c r="A2443" s="9" t="s">
        <v>3848</v>
      </c>
      <c r="B2443" s="9" t="s">
        <v>2395</v>
      </c>
      <c r="C2443" s="9" t="s">
        <v>47</v>
      </c>
      <c r="D2443" s="9" t="n">
        <v>46</v>
      </c>
      <c r="E2443" s="9" t="s">
        <v>56</v>
      </c>
      <c r="F2443" s="9" t="s">
        <v>57</v>
      </c>
      <c r="G2443" s="10" t="n">
        <v>45620</v>
      </c>
      <c r="H2443" s="10" t="n">
        <v>45658</v>
      </c>
      <c r="I2443" s="9" t="s">
        <v>58</v>
      </c>
      <c r="J2443" s="9" t="s">
        <v>63</v>
      </c>
      <c r="K2443" s="9" t="n">
        <v>38</v>
      </c>
      <c r="L2443" s="9" t="n">
        <v>4</v>
      </c>
      <c r="M2443" s="9" t="n">
        <v>1</v>
      </c>
      <c r="N2443" s="9" t="s">
        <v>71</v>
      </c>
      <c r="O2443" s="9"/>
      <c r="P2443" s="9" t="n">
        <v>9</v>
      </c>
      <c r="Q2443" s="9" t="n">
        <v>16</v>
      </c>
      <c r="R2443" s="9" t="s">
        <v>44</v>
      </c>
      <c r="S2443" s="9"/>
      <c r="T2443" s="9"/>
      <c r="U2443" s="9" t="str">
        <f aca="false">IF(COUNTIF($A$2:$A$5001,A2443)&gt;1,"Duplicate","Unique")</f>
        <v>Unique</v>
      </c>
      <c r="V2443" s="9" t="str">
        <f aca="false">IF(COUNTIFS($B$2:$B$5001,B2443,$H$2:$H$5001,H2443,$J$2:$J$5001,J2443)&gt;1,"Possible Duplicate Booking","Unique")</f>
        <v>Unique</v>
      </c>
      <c r="W2443" s="9" t="str">
        <f aca="false">IF((H2443-G2443)&lt;&gt;K2443,"Mismatch","OK")</f>
        <v>OK</v>
      </c>
      <c r="X2443" s="9" t="str">
        <f aca="false">IF(TEXT(H2443,"dddd")&lt;&gt;I2443,"Mismatch","OK")</f>
        <v>OK</v>
      </c>
      <c r="Y2443" s="9" t="str">
        <f aca="false">IF(AND(N2443="No",O2443&lt;&gt;""),"Unexpected: channel present but no reminder sent",IF(AND(N2443="Yes",O2443=""),"Missing channel for sent reminder","OK"))</f>
        <v>OK</v>
      </c>
    </row>
    <row r="2444" customFormat="false" ht="15" hidden="false" customHeight="false" outlineLevel="0" collapsed="false">
      <c r="A2444" s="7" t="s">
        <v>3849</v>
      </c>
      <c r="B2444" s="7" t="s">
        <v>1046</v>
      </c>
      <c r="C2444" s="7" t="s">
        <v>37</v>
      </c>
      <c r="D2444" s="7" t="n">
        <v>75</v>
      </c>
      <c r="E2444" s="7" t="s">
        <v>70</v>
      </c>
      <c r="F2444" s="7" t="s">
        <v>49</v>
      </c>
      <c r="G2444" s="8" t="n">
        <v>45629</v>
      </c>
      <c r="H2444" s="8" t="n">
        <v>45663</v>
      </c>
      <c r="I2444" s="7" t="s">
        <v>66</v>
      </c>
      <c r="J2444" s="7" t="s">
        <v>41</v>
      </c>
      <c r="K2444" s="7" t="n">
        <v>34</v>
      </c>
      <c r="L2444" s="7" t="n">
        <v>1</v>
      </c>
      <c r="M2444" s="7" t="n">
        <v>1</v>
      </c>
      <c r="N2444" s="7" t="s">
        <v>71</v>
      </c>
      <c r="O2444" s="7"/>
      <c r="P2444" s="7" t="n">
        <v>8.1</v>
      </c>
      <c r="Q2444" s="7" t="n">
        <v>14</v>
      </c>
      <c r="R2444" s="7" t="s">
        <v>44</v>
      </c>
      <c r="S2444" s="7"/>
      <c r="T2444" s="7"/>
      <c r="U2444" s="7" t="str">
        <f aca="false">IF(COUNTIF($A$2:$A$5001,A2444)&gt;1,"Duplicate","Unique")</f>
        <v>Unique</v>
      </c>
      <c r="V2444" s="7" t="str">
        <f aca="false">IF(COUNTIFS($B$2:$B$5001,B2444,$H$2:$H$5001,H2444,$J$2:$J$5001,J2444)&gt;1,"Possible Duplicate Booking","Unique")</f>
        <v>Unique</v>
      </c>
      <c r="W2444" s="7" t="str">
        <f aca="false">IF((H2444-G2444)&lt;&gt;K2444,"Mismatch","OK")</f>
        <v>OK</v>
      </c>
      <c r="X2444" s="7" t="str">
        <f aca="false">IF(TEXT(H2444,"dddd")&lt;&gt;I2444,"Mismatch","OK")</f>
        <v>OK</v>
      </c>
      <c r="Y2444" s="7" t="str">
        <f aca="false">IF(AND(N2444="No",O2444&lt;&gt;""),"Unexpected: channel present but no reminder sent",IF(AND(N2444="Yes",O2444=""),"Missing channel for sent reminder","OK"))</f>
        <v>OK</v>
      </c>
    </row>
    <row r="2445" customFormat="false" ht="15" hidden="false" customHeight="false" outlineLevel="0" collapsed="false">
      <c r="A2445" s="9" t="s">
        <v>3850</v>
      </c>
      <c r="B2445" s="9" t="s">
        <v>3851</v>
      </c>
      <c r="C2445" s="9" t="s">
        <v>37</v>
      </c>
      <c r="D2445" s="9" t="n">
        <v>31</v>
      </c>
      <c r="E2445" s="9" t="s">
        <v>48</v>
      </c>
      <c r="F2445" s="9" t="s">
        <v>39</v>
      </c>
      <c r="G2445" s="10" t="n">
        <v>45742</v>
      </c>
      <c r="H2445" s="10" t="n">
        <v>45773</v>
      </c>
      <c r="I2445" s="9" t="s">
        <v>102</v>
      </c>
      <c r="J2445" s="9" t="s">
        <v>51</v>
      </c>
      <c r="K2445" s="9" t="n">
        <v>31</v>
      </c>
      <c r="L2445" s="9" t="n">
        <v>0</v>
      </c>
      <c r="M2445" s="9" t="n">
        <v>0</v>
      </c>
      <c r="N2445" s="9" t="s">
        <v>42</v>
      </c>
      <c r="O2445" s="9" t="s">
        <v>52</v>
      </c>
      <c r="P2445" s="9" t="n">
        <v>3.1</v>
      </c>
      <c r="Q2445" s="9" t="n">
        <v>22</v>
      </c>
      <c r="R2445" s="9" t="s">
        <v>53</v>
      </c>
      <c r="S2445" s="9"/>
      <c r="T2445" s="9"/>
      <c r="U2445" s="9" t="str">
        <f aca="false">IF(COUNTIF($A$2:$A$5001,A2445)&gt;1,"Duplicate","Unique")</f>
        <v>Unique</v>
      </c>
      <c r="V2445" s="9" t="str">
        <f aca="false">IF(COUNTIFS($B$2:$B$5001,B2445,$H$2:$H$5001,H2445,$J$2:$J$5001,J2445)&gt;1,"Possible Duplicate Booking","Unique")</f>
        <v>Unique</v>
      </c>
      <c r="W2445" s="9" t="str">
        <f aca="false">IF((H2445-G2445)&lt;&gt;K2445,"Mismatch","OK")</f>
        <v>OK</v>
      </c>
      <c r="X2445" s="9" t="str">
        <f aca="false">IF(TEXT(H2445,"dddd")&lt;&gt;I2445,"Mismatch","OK")</f>
        <v>OK</v>
      </c>
      <c r="Y2445" s="9" t="str">
        <f aca="false">IF(AND(N2445="No",O2445&lt;&gt;""),"Unexpected: channel present but no reminder sent",IF(AND(N2445="Yes",O2445=""),"Missing channel for sent reminder","OK"))</f>
        <v>OK</v>
      </c>
    </row>
    <row r="2446" customFormat="false" ht="15" hidden="false" customHeight="false" outlineLevel="0" collapsed="false">
      <c r="A2446" s="7" t="s">
        <v>3852</v>
      </c>
      <c r="B2446" s="7" t="s">
        <v>3853</v>
      </c>
      <c r="C2446" s="7" t="s">
        <v>37</v>
      </c>
      <c r="D2446" s="7" t="n">
        <v>35</v>
      </c>
      <c r="E2446" s="7" t="s">
        <v>38</v>
      </c>
      <c r="F2446" s="7" t="s">
        <v>57</v>
      </c>
      <c r="G2446" s="8" t="n">
        <v>45943</v>
      </c>
      <c r="H2446" s="8" t="n">
        <v>45984</v>
      </c>
      <c r="I2446" s="7" t="s">
        <v>75</v>
      </c>
      <c r="J2446" s="7" t="s">
        <v>41</v>
      </c>
      <c r="K2446" s="7" t="n">
        <v>41</v>
      </c>
      <c r="L2446" s="7" t="n">
        <v>1</v>
      </c>
      <c r="M2446" s="7" t="n">
        <v>1</v>
      </c>
      <c r="N2446" s="7" t="s">
        <v>42</v>
      </c>
      <c r="O2446" s="7" t="s">
        <v>52</v>
      </c>
      <c r="P2446" s="7" t="n">
        <v>17.3</v>
      </c>
      <c r="Q2446" s="7" t="n">
        <v>19</v>
      </c>
      <c r="R2446" s="7" t="s">
        <v>53</v>
      </c>
      <c r="S2446" s="7"/>
      <c r="T2446" s="7"/>
      <c r="U2446" s="7" t="str">
        <f aca="false">IF(COUNTIF($A$2:$A$5001,A2446)&gt;1,"Duplicate","Unique")</f>
        <v>Unique</v>
      </c>
      <c r="V2446" s="7" t="str">
        <f aca="false">IF(COUNTIFS($B$2:$B$5001,B2446,$H$2:$H$5001,H2446,$J$2:$J$5001,J2446)&gt;1,"Possible Duplicate Booking","Unique")</f>
        <v>Unique</v>
      </c>
      <c r="W2446" s="7" t="str">
        <f aca="false">IF((H2446-G2446)&lt;&gt;K2446,"Mismatch","OK")</f>
        <v>OK</v>
      </c>
      <c r="X2446" s="7" t="str">
        <f aca="false">IF(TEXT(H2446,"dddd")&lt;&gt;I2446,"Mismatch","OK")</f>
        <v>OK</v>
      </c>
      <c r="Y2446" s="7" t="str">
        <f aca="false">IF(AND(N2446="No",O2446&lt;&gt;""),"Unexpected: channel present but no reminder sent",IF(AND(N2446="Yes",O2446=""),"Missing channel for sent reminder","OK"))</f>
        <v>OK</v>
      </c>
    </row>
    <row r="2447" customFormat="false" ht="15" hidden="false" customHeight="false" outlineLevel="0" collapsed="false">
      <c r="A2447" s="9" t="s">
        <v>3854</v>
      </c>
      <c r="B2447" s="9" t="s">
        <v>3733</v>
      </c>
      <c r="C2447" s="9" t="s">
        <v>47</v>
      </c>
      <c r="D2447" s="9" t="n">
        <v>53</v>
      </c>
      <c r="E2447" s="9" t="s">
        <v>56</v>
      </c>
      <c r="F2447" s="9" t="s">
        <v>57</v>
      </c>
      <c r="G2447" s="10" t="n">
        <v>46095</v>
      </c>
      <c r="H2447" s="10" t="n">
        <v>46146</v>
      </c>
      <c r="I2447" s="9" t="s">
        <v>66</v>
      </c>
      <c r="J2447" s="9" t="s">
        <v>51</v>
      </c>
      <c r="K2447" s="9" t="n">
        <v>51</v>
      </c>
      <c r="L2447" s="9" t="n">
        <v>9</v>
      </c>
      <c r="M2447" s="9" t="n">
        <v>2</v>
      </c>
      <c r="N2447" s="9" t="s">
        <v>42</v>
      </c>
      <c r="O2447" s="9" t="s">
        <v>43</v>
      </c>
      <c r="P2447" s="9" t="n">
        <v>4.9</v>
      </c>
      <c r="Q2447" s="9" t="n">
        <v>14</v>
      </c>
      <c r="R2447" s="9" t="s">
        <v>44</v>
      </c>
      <c r="S2447" s="9"/>
      <c r="T2447" s="9"/>
      <c r="U2447" s="9" t="str">
        <f aca="false">IF(COUNTIF($A$2:$A$5001,A2447)&gt;1,"Duplicate","Unique")</f>
        <v>Unique</v>
      </c>
      <c r="V2447" s="9" t="str">
        <f aca="false">IF(COUNTIFS($B$2:$B$5001,B2447,$H$2:$H$5001,H2447,$J$2:$J$5001,J2447)&gt;1,"Possible Duplicate Booking","Unique")</f>
        <v>Unique</v>
      </c>
      <c r="W2447" s="9" t="str">
        <f aca="false">IF((H2447-G2447)&lt;&gt;K2447,"Mismatch","OK")</f>
        <v>OK</v>
      </c>
      <c r="X2447" s="9" t="str">
        <f aca="false">IF(TEXT(H2447,"dddd")&lt;&gt;I2447,"Mismatch","OK")</f>
        <v>OK</v>
      </c>
      <c r="Y2447" s="9" t="str">
        <f aca="false">IF(AND(N2447="No",O2447&lt;&gt;""),"Unexpected: channel present but no reminder sent",IF(AND(N2447="Yes",O2447=""),"Missing channel for sent reminder","OK"))</f>
        <v>OK</v>
      </c>
    </row>
    <row r="2448" customFormat="false" ht="15" hidden="false" customHeight="false" outlineLevel="0" collapsed="false">
      <c r="A2448" s="7" t="s">
        <v>3855</v>
      </c>
      <c r="B2448" s="7" t="s">
        <v>1314</v>
      </c>
      <c r="C2448" s="7" t="s">
        <v>47</v>
      </c>
      <c r="D2448" s="7" t="n">
        <v>20</v>
      </c>
      <c r="E2448" s="7" t="s">
        <v>82</v>
      </c>
      <c r="F2448" s="7" t="s">
        <v>49</v>
      </c>
      <c r="G2448" s="8" t="n">
        <v>46071</v>
      </c>
      <c r="H2448" s="8" t="n">
        <v>46080</v>
      </c>
      <c r="I2448" s="7" t="s">
        <v>50</v>
      </c>
      <c r="J2448" s="7" t="s">
        <v>51</v>
      </c>
      <c r="K2448" s="7" t="n">
        <v>9</v>
      </c>
      <c r="L2448" s="7" t="n">
        <v>3</v>
      </c>
      <c r="M2448" s="7" t="n">
        <v>1</v>
      </c>
      <c r="N2448" s="7" t="s">
        <v>71</v>
      </c>
      <c r="O2448" s="7"/>
      <c r="P2448" s="7" t="n">
        <v>26.3</v>
      </c>
      <c r="Q2448" s="7" t="n">
        <v>23</v>
      </c>
      <c r="R2448" s="7" t="s">
        <v>53</v>
      </c>
      <c r="S2448" s="7"/>
      <c r="T2448" s="7"/>
      <c r="U2448" s="7" t="str">
        <f aca="false">IF(COUNTIF($A$2:$A$5001,A2448)&gt;1,"Duplicate","Unique")</f>
        <v>Unique</v>
      </c>
      <c r="V2448" s="7" t="str">
        <f aca="false">IF(COUNTIFS($B$2:$B$5001,B2448,$H$2:$H$5001,H2448,$J$2:$J$5001,J2448)&gt;1,"Possible Duplicate Booking","Unique")</f>
        <v>Unique</v>
      </c>
      <c r="W2448" s="7" t="str">
        <f aca="false">IF((H2448-G2448)&lt;&gt;K2448,"Mismatch","OK")</f>
        <v>OK</v>
      </c>
      <c r="X2448" s="7" t="str">
        <f aca="false">IF(TEXT(H2448,"dddd")&lt;&gt;I2448,"Mismatch","OK")</f>
        <v>OK</v>
      </c>
      <c r="Y2448" s="7" t="str">
        <f aca="false">IF(AND(N2448="No",O2448&lt;&gt;""),"Unexpected: channel present but no reminder sent",IF(AND(N2448="Yes",O2448=""),"Missing channel for sent reminder","OK"))</f>
        <v>OK</v>
      </c>
    </row>
    <row r="2449" customFormat="false" ht="15" hidden="false" customHeight="false" outlineLevel="0" collapsed="false">
      <c r="A2449" s="9" t="s">
        <v>3856</v>
      </c>
      <c r="B2449" s="9" t="s">
        <v>2982</v>
      </c>
      <c r="C2449" s="9" t="s">
        <v>37</v>
      </c>
      <c r="D2449" s="9" t="n">
        <v>27</v>
      </c>
      <c r="E2449" s="9" t="s">
        <v>48</v>
      </c>
      <c r="F2449" s="9" t="s">
        <v>57</v>
      </c>
      <c r="G2449" s="10" t="n">
        <v>45984</v>
      </c>
      <c r="H2449" s="10" t="n">
        <v>46010</v>
      </c>
      <c r="I2449" s="9" t="s">
        <v>50</v>
      </c>
      <c r="J2449" s="9" t="s">
        <v>41</v>
      </c>
      <c r="K2449" s="9" t="n">
        <v>26</v>
      </c>
      <c r="L2449" s="9" t="n">
        <v>1</v>
      </c>
      <c r="M2449" s="9" t="n">
        <v>0</v>
      </c>
      <c r="N2449" s="9" t="s">
        <v>71</v>
      </c>
      <c r="O2449" s="9"/>
      <c r="P2449" s="9" t="n">
        <v>11.4</v>
      </c>
      <c r="Q2449" s="9" t="n">
        <v>10</v>
      </c>
      <c r="R2449" s="9" t="s">
        <v>44</v>
      </c>
      <c r="S2449" s="9"/>
      <c r="T2449" s="9"/>
      <c r="U2449" s="9" t="str">
        <f aca="false">IF(COUNTIF($A$2:$A$5001,A2449)&gt;1,"Duplicate","Unique")</f>
        <v>Unique</v>
      </c>
      <c r="V2449" s="9" t="str">
        <f aca="false">IF(COUNTIFS($B$2:$B$5001,B2449,$H$2:$H$5001,H2449,$J$2:$J$5001,J2449)&gt;1,"Possible Duplicate Booking","Unique")</f>
        <v>Unique</v>
      </c>
      <c r="W2449" s="9" t="str">
        <f aca="false">IF((H2449-G2449)&lt;&gt;K2449,"Mismatch","OK")</f>
        <v>OK</v>
      </c>
      <c r="X2449" s="9" t="str">
        <f aca="false">IF(TEXT(H2449,"dddd")&lt;&gt;I2449,"Mismatch","OK")</f>
        <v>OK</v>
      </c>
      <c r="Y2449" s="9" t="str">
        <f aca="false">IF(AND(N2449="No",O2449&lt;&gt;""),"Unexpected: channel present but no reminder sent",IF(AND(N2449="Yes",O2449=""),"Missing channel for sent reminder","OK"))</f>
        <v>OK</v>
      </c>
    </row>
    <row r="2450" customFormat="false" ht="15" hidden="false" customHeight="false" outlineLevel="0" collapsed="false">
      <c r="A2450" s="7" t="s">
        <v>3857</v>
      </c>
      <c r="B2450" s="7" t="s">
        <v>375</v>
      </c>
      <c r="C2450" s="7" t="s">
        <v>37</v>
      </c>
      <c r="D2450" s="7" t="n">
        <v>53</v>
      </c>
      <c r="E2450" s="7" t="s">
        <v>56</v>
      </c>
      <c r="F2450" s="7" t="s">
        <v>39</v>
      </c>
      <c r="G2450" s="8" t="n">
        <v>46038</v>
      </c>
      <c r="H2450" s="8" t="n">
        <v>46082</v>
      </c>
      <c r="I2450" s="7" t="s">
        <v>75</v>
      </c>
      <c r="J2450" s="7" t="s">
        <v>41</v>
      </c>
      <c r="K2450" s="7" t="n">
        <v>44</v>
      </c>
      <c r="L2450" s="7" t="n">
        <v>3</v>
      </c>
      <c r="M2450" s="7" t="n">
        <v>1</v>
      </c>
      <c r="N2450" s="7" t="s">
        <v>42</v>
      </c>
      <c r="O2450" s="7" t="s">
        <v>52</v>
      </c>
      <c r="P2450" s="7"/>
      <c r="Q2450" s="7" t="n">
        <v>32</v>
      </c>
      <c r="R2450" s="7" t="s">
        <v>53</v>
      </c>
      <c r="S2450" s="7"/>
      <c r="T2450" s="7"/>
      <c r="U2450" s="7" t="str">
        <f aca="false">IF(COUNTIF($A$2:$A$5001,A2450)&gt;1,"Duplicate","Unique")</f>
        <v>Unique</v>
      </c>
      <c r="V2450" s="7" t="str">
        <f aca="false">IF(COUNTIFS($B$2:$B$5001,B2450,$H$2:$H$5001,H2450,$J$2:$J$5001,J2450)&gt;1,"Possible Duplicate Booking","Unique")</f>
        <v>Unique</v>
      </c>
      <c r="W2450" s="7" t="str">
        <f aca="false">IF((H2450-G2450)&lt;&gt;K2450,"Mismatch","OK")</f>
        <v>OK</v>
      </c>
      <c r="X2450" s="7" t="str">
        <f aca="false">IF(TEXT(H2450,"dddd")&lt;&gt;I2450,"Mismatch","OK")</f>
        <v>OK</v>
      </c>
      <c r="Y2450" s="7" t="str">
        <f aca="false">IF(AND(N2450="No",O2450&lt;&gt;""),"Unexpected: channel present but no reminder sent",IF(AND(N2450="Yes",O2450=""),"Missing channel for sent reminder","OK"))</f>
        <v>OK</v>
      </c>
    </row>
    <row r="2451" customFormat="false" ht="15" hidden="false" customHeight="false" outlineLevel="0" collapsed="false">
      <c r="A2451" s="9" t="s">
        <v>3858</v>
      </c>
      <c r="B2451" s="9" t="s">
        <v>158</v>
      </c>
      <c r="C2451" s="9" t="s">
        <v>47</v>
      </c>
      <c r="D2451" s="9" t="n">
        <v>50</v>
      </c>
      <c r="E2451" s="9" t="s">
        <v>56</v>
      </c>
      <c r="F2451" s="9" t="s">
        <v>39</v>
      </c>
      <c r="G2451" s="10" t="n">
        <v>45701</v>
      </c>
      <c r="H2451" s="10" t="n">
        <v>45751</v>
      </c>
      <c r="I2451" s="9" t="s">
        <v>50</v>
      </c>
      <c r="J2451" s="9" t="s">
        <v>51</v>
      </c>
      <c r="K2451" s="9" t="n">
        <v>50</v>
      </c>
      <c r="L2451" s="9" t="n">
        <v>1</v>
      </c>
      <c r="M2451" s="9" t="n">
        <v>0</v>
      </c>
      <c r="N2451" s="9" t="s">
        <v>71</v>
      </c>
      <c r="O2451" s="9"/>
      <c r="P2451" s="9" t="n">
        <v>9.8</v>
      </c>
      <c r="Q2451" s="9" t="n">
        <v>30</v>
      </c>
      <c r="R2451" s="9" t="s">
        <v>44</v>
      </c>
      <c r="S2451" s="9"/>
      <c r="T2451" s="9"/>
      <c r="U2451" s="9" t="str">
        <f aca="false">IF(COUNTIF($A$2:$A$5001,A2451)&gt;1,"Duplicate","Unique")</f>
        <v>Unique</v>
      </c>
      <c r="V2451" s="9" t="str">
        <f aca="false">IF(COUNTIFS($B$2:$B$5001,B2451,$H$2:$H$5001,H2451,$J$2:$J$5001,J2451)&gt;1,"Possible Duplicate Booking","Unique")</f>
        <v>Unique</v>
      </c>
      <c r="W2451" s="9" t="str">
        <f aca="false">IF((H2451-G2451)&lt;&gt;K2451,"Mismatch","OK")</f>
        <v>OK</v>
      </c>
      <c r="X2451" s="9" t="str">
        <f aca="false">IF(TEXT(H2451,"dddd")&lt;&gt;I2451,"Mismatch","OK")</f>
        <v>OK</v>
      </c>
      <c r="Y2451" s="9" t="str">
        <f aca="false">IF(AND(N2451="No",O2451&lt;&gt;""),"Unexpected: channel present but no reminder sent",IF(AND(N2451="Yes",O2451=""),"Missing channel for sent reminder","OK"))</f>
        <v>OK</v>
      </c>
    </row>
    <row r="2452" customFormat="false" ht="15" hidden="false" customHeight="false" outlineLevel="0" collapsed="false">
      <c r="A2452" s="7" t="s">
        <v>3859</v>
      </c>
      <c r="B2452" s="7" t="s">
        <v>2284</v>
      </c>
      <c r="C2452" s="7" t="s">
        <v>47</v>
      </c>
      <c r="D2452" s="7" t="n">
        <v>59</v>
      </c>
      <c r="E2452" s="7" t="s">
        <v>61</v>
      </c>
      <c r="F2452" s="7" t="s">
        <v>57</v>
      </c>
      <c r="G2452" s="8" t="n">
        <v>46069</v>
      </c>
      <c r="H2452" s="8" t="n">
        <v>46116</v>
      </c>
      <c r="I2452" s="7" t="s">
        <v>102</v>
      </c>
      <c r="J2452" s="7" t="s">
        <v>41</v>
      </c>
      <c r="K2452" s="7" t="n">
        <v>47</v>
      </c>
      <c r="L2452" s="7" t="n">
        <v>1</v>
      </c>
      <c r="M2452" s="7" t="n">
        <v>0</v>
      </c>
      <c r="N2452" s="7" t="s">
        <v>42</v>
      </c>
      <c r="O2452" s="7" t="s">
        <v>52</v>
      </c>
      <c r="P2452" s="7" t="n">
        <v>5.5</v>
      </c>
      <c r="Q2452" s="7" t="n">
        <v>32</v>
      </c>
      <c r="R2452" s="7" t="s">
        <v>53</v>
      </c>
      <c r="S2452" s="7"/>
      <c r="T2452" s="7"/>
      <c r="U2452" s="7" t="str">
        <f aca="false">IF(COUNTIF($A$2:$A$5001,A2452)&gt;1,"Duplicate","Unique")</f>
        <v>Unique</v>
      </c>
      <c r="V2452" s="7" t="str">
        <f aca="false">IF(COUNTIFS($B$2:$B$5001,B2452,$H$2:$H$5001,H2452,$J$2:$J$5001,J2452)&gt;1,"Possible Duplicate Booking","Unique")</f>
        <v>Unique</v>
      </c>
      <c r="W2452" s="7" t="str">
        <f aca="false">IF((H2452-G2452)&lt;&gt;K2452,"Mismatch","OK")</f>
        <v>OK</v>
      </c>
      <c r="X2452" s="7" t="str">
        <f aca="false">IF(TEXT(H2452,"dddd")&lt;&gt;I2452,"Mismatch","OK")</f>
        <v>OK</v>
      </c>
      <c r="Y2452" s="7" t="str">
        <f aca="false">IF(AND(N2452="No",O2452&lt;&gt;""),"Unexpected: channel present but no reminder sent",IF(AND(N2452="Yes",O2452=""),"Missing channel for sent reminder","OK"))</f>
        <v>OK</v>
      </c>
    </row>
    <row r="2453" customFormat="false" ht="15" hidden="false" customHeight="false" outlineLevel="0" collapsed="false">
      <c r="A2453" s="9" t="s">
        <v>3860</v>
      </c>
      <c r="B2453" s="9" t="s">
        <v>2927</v>
      </c>
      <c r="C2453" s="9" t="s">
        <v>47</v>
      </c>
      <c r="D2453" s="9" t="n">
        <v>25</v>
      </c>
      <c r="E2453" s="9" t="s">
        <v>48</v>
      </c>
      <c r="F2453" s="9" t="s">
        <v>74</v>
      </c>
      <c r="G2453" s="10" t="n">
        <v>46096</v>
      </c>
      <c r="H2453" s="10" t="n">
        <v>46144</v>
      </c>
      <c r="I2453" s="9" t="s">
        <v>102</v>
      </c>
      <c r="J2453" s="9" t="s">
        <v>41</v>
      </c>
      <c r="K2453" s="9" t="n">
        <v>48</v>
      </c>
      <c r="L2453" s="9" t="n">
        <v>1</v>
      </c>
      <c r="M2453" s="9" t="n">
        <v>1</v>
      </c>
      <c r="N2453" s="9" t="s">
        <v>42</v>
      </c>
      <c r="O2453" s="9" t="s">
        <v>52</v>
      </c>
      <c r="P2453" s="9" t="n">
        <v>9.5</v>
      </c>
      <c r="Q2453" s="9" t="n">
        <v>15</v>
      </c>
      <c r="R2453" s="9" t="s">
        <v>53</v>
      </c>
      <c r="S2453" s="9"/>
      <c r="T2453" s="9"/>
      <c r="U2453" s="9" t="str">
        <f aca="false">IF(COUNTIF($A$2:$A$5001,A2453)&gt;1,"Duplicate","Unique")</f>
        <v>Unique</v>
      </c>
      <c r="V2453" s="9" t="str">
        <f aca="false">IF(COUNTIFS($B$2:$B$5001,B2453,$H$2:$H$5001,H2453,$J$2:$J$5001,J2453)&gt;1,"Possible Duplicate Booking","Unique")</f>
        <v>Unique</v>
      </c>
      <c r="W2453" s="9" t="str">
        <f aca="false">IF((H2453-G2453)&lt;&gt;K2453,"Mismatch","OK")</f>
        <v>OK</v>
      </c>
      <c r="X2453" s="9" t="str">
        <f aca="false">IF(TEXT(H2453,"dddd")&lt;&gt;I2453,"Mismatch","OK")</f>
        <v>OK</v>
      </c>
      <c r="Y2453" s="9" t="str">
        <f aca="false">IF(AND(N2453="No",O2453&lt;&gt;""),"Unexpected: channel present but no reminder sent",IF(AND(N2453="Yes",O2453=""),"Missing channel for sent reminder","OK"))</f>
        <v>OK</v>
      </c>
    </row>
    <row r="2454" customFormat="false" ht="15" hidden="false" customHeight="false" outlineLevel="0" collapsed="false">
      <c r="A2454" s="7" t="s">
        <v>3861</v>
      </c>
      <c r="B2454" s="7" t="s">
        <v>2311</v>
      </c>
      <c r="C2454" s="7" t="s">
        <v>37</v>
      </c>
      <c r="D2454" s="7" t="n">
        <v>71</v>
      </c>
      <c r="E2454" s="7" t="s">
        <v>70</v>
      </c>
      <c r="F2454" s="7" t="s">
        <v>49</v>
      </c>
      <c r="G2454" s="8" t="n">
        <v>45657</v>
      </c>
      <c r="H2454" s="8" t="n">
        <v>45709</v>
      </c>
      <c r="I2454" s="7" t="s">
        <v>50</v>
      </c>
      <c r="J2454" s="7" t="s">
        <v>41</v>
      </c>
      <c r="K2454" s="7" t="n">
        <v>52</v>
      </c>
      <c r="L2454" s="7" t="n">
        <v>2</v>
      </c>
      <c r="M2454" s="7" t="n">
        <v>1</v>
      </c>
      <c r="N2454" s="7" t="s">
        <v>42</v>
      </c>
      <c r="O2454" s="7" t="s">
        <v>52</v>
      </c>
      <c r="P2454" s="7" t="n">
        <v>7.2</v>
      </c>
      <c r="Q2454" s="7" t="n">
        <v>13</v>
      </c>
      <c r="R2454" s="7" t="s">
        <v>44</v>
      </c>
      <c r="S2454" s="7"/>
      <c r="T2454" s="7"/>
      <c r="U2454" s="7" t="str">
        <f aca="false">IF(COUNTIF($A$2:$A$5001,A2454)&gt;1,"Duplicate","Unique")</f>
        <v>Unique</v>
      </c>
      <c r="V2454" s="7" t="str">
        <f aca="false">IF(COUNTIFS($B$2:$B$5001,B2454,$H$2:$H$5001,H2454,$J$2:$J$5001,J2454)&gt;1,"Possible Duplicate Booking","Unique")</f>
        <v>Unique</v>
      </c>
      <c r="W2454" s="7" t="str">
        <f aca="false">IF((H2454-G2454)&lt;&gt;K2454,"Mismatch","OK")</f>
        <v>OK</v>
      </c>
      <c r="X2454" s="7" t="str">
        <f aca="false">IF(TEXT(H2454,"dddd")&lt;&gt;I2454,"Mismatch","OK")</f>
        <v>OK</v>
      </c>
      <c r="Y2454" s="7" t="str">
        <f aca="false">IF(AND(N2454="No",O2454&lt;&gt;""),"Unexpected: channel present but no reminder sent",IF(AND(N2454="Yes",O2454=""),"Missing channel for sent reminder","OK"))</f>
        <v>OK</v>
      </c>
    </row>
    <row r="2455" customFormat="false" ht="15" hidden="false" customHeight="false" outlineLevel="0" collapsed="false">
      <c r="A2455" s="9" t="s">
        <v>3862</v>
      </c>
      <c r="B2455" s="9" t="s">
        <v>3863</v>
      </c>
      <c r="C2455" s="9" t="s">
        <v>236</v>
      </c>
      <c r="D2455" s="9" t="n">
        <v>48</v>
      </c>
      <c r="E2455" s="9" t="s">
        <v>56</v>
      </c>
      <c r="F2455" s="9" t="s">
        <v>39</v>
      </c>
      <c r="G2455" s="10" t="n">
        <v>45856</v>
      </c>
      <c r="H2455" s="10" t="n">
        <v>45914</v>
      </c>
      <c r="I2455" s="9" t="s">
        <v>75</v>
      </c>
      <c r="J2455" s="9" t="s">
        <v>51</v>
      </c>
      <c r="K2455" s="9" t="n">
        <v>58</v>
      </c>
      <c r="L2455" s="9" t="n">
        <v>0</v>
      </c>
      <c r="M2455" s="9" t="n">
        <v>0</v>
      </c>
      <c r="N2455" s="9" t="s">
        <v>71</v>
      </c>
      <c r="O2455" s="9"/>
      <c r="P2455" s="9" t="n">
        <v>2.5</v>
      </c>
      <c r="Q2455" s="9" t="n">
        <v>39</v>
      </c>
      <c r="R2455" s="9" t="s">
        <v>44</v>
      </c>
      <c r="S2455" s="9"/>
      <c r="T2455" s="9"/>
      <c r="U2455" s="9" t="str">
        <f aca="false">IF(COUNTIF($A$2:$A$5001,A2455)&gt;1,"Duplicate","Unique")</f>
        <v>Unique</v>
      </c>
      <c r="V2455" s="9" t="str">
        <f aca="false">IF(COUNTIFS($B$2:$B$5001,B2455,$H$2:$H$5001,H2455,$J$2:$J$5001,J2455)&gt;1,"Possible Duplicate Booking","Unique")</f>
        <v>Unique</v>
      </c>
      <c r="W2455" s="9" t="str">
        <f aca="false">IF((H2455-G2455)&lt;&gt;K2455,"Mismatch","OK")</f>
        <v>OK</v>
      </c>
      <c r="X2455" s="9" t="str">
        <f aca="false">IF(TEXT(H2455,"dddd")&lt;&gt;I2455,"Mismatch","OK")</f>
        <v>OK</v>
      </c>
      <c r="Y2455" s="9" t="str">
        <f aca="false">IF(AND(N2455="No",O2455&lt;&gt;""),"Unexpected: channel present but no reminder sent",IF(AND(N2455="Yes",O2455=""),"Missing channel for sent reminder","OK"))</f>
        <v>OK</v>
      </c>
    </row>
    <row r="2456" customFormat="false" ht="15" hidden="false" customHeight="false" outlineLevel="0" collapsed="false">
      <c r="A2456" s="7" t="s">
        <v>3864</v>
      </c>
      <c r="B2456" s="7" t="s">
        <v>3865</v>
      </c>
      <c r="C2456" s="7" t="s">
        <v>47</v>
      </c>
      <c r="D2456" s="7" t="n">
        <v>27</v>
      </c>
      <c r="E2456" s="7" t="s">
        <v>48</v>
      </c>
      <c r="F2456" s="7" t="s">
        <v>39</v>
      </c>
      <c r="G2456" s="8" t="n">
        <v>46074</v>
      </c>
      <c r="H2456" s="8" t="n">
        <v>46111</v>
      </c>
      <c r="I2456" s="7" t="s">
        <v>66</v>
      </c>
      <c r="J2456" s="7" t="s">
        <v>41</v>
      </c>
      <c r="K2456" s="7" t="n">
        <v>37</v>
      </c>
      <c r="L2456" s="7" t="n">
        <v>0</v>
      </c>
      <c r="M2456" s="7" t="n">
        <v>0</v>
      </c>
      <c r="N2456" s="7" t="s">
        <v>42</v>
      </c>
      <c r="O2456" s="7" t="s">
        <v>43</v>
      </c>
      <c r="P2456" s="7" t="n">
        <v>2.6</v>
      </c>
      <c r="Q2456" s="7" t="n">
        <v>22</v>
      </c>
      <c r="R2456" s="7" t="s">
        <v>44</v>
      </c>
      <c r="S2456" s="7"/>
      <c r="T2456" s="7"/>
      <c r="U2456" s="7" t="str">
        <f aca="false">IF(COUNTIF($A$2:$A$5001,A2456)&gt;1,"Duplicate","Unique")</f>
        <v>Unique</v>
      </c>
      <c r="V2456" s="7" t="str">
        <f aca="false">IF(COUNTIFS($B$2:$B$5001,B2456,$H$2:$H$5001,H2456,$J$2:$J$5001,J2456)&gt;1,"Possible Duplicate Booking","Unique")</f>
        <v>Unique</v>
      </c>
      <c r="W2456" s="7" t="str">
        <f aca="false">IF((H2456-G2456)&lt;&gt;K2456,"Mismatch","OK")</f>
        <v>OK</v>
      </c>
      <c r="X2456" s="7" t="str">
        <f aca="false">IF(TEXT(H2456,"dddd")&lt;&gt;I2456,"Mismatch","OK")</f>
        <v>OK</v>
      </c>
      <c r="Y2456" s="7" t="str">
        <f aca="false">IF(AND(N2456="No",O2456&lt;&gt;""),"Unexpected: channel present but no reminder sent",IF(AND(N2456="Yes",O2456=""),"Missing channel for sent reminder","OK"))</f>
        <v>OK</v>
      </c>
    </row>
    <row r="2457" customFormat="false" ht="15" hidden="false" customHeight="false" outlineLevel="0" collapsed="false">
      <c r="A2457" s="9" t="s">
        <v>3866</v>
      </c>
      <c r="B2457" s="9" t="s">
        <v>1618</v>
      </c>
      <c r="C2457" s="9" t="s">
        <v>47</v>
      </c>
      <c r="D2457" s="9" t="n">
        <v>37</v>
      </c>
      <c r="E2457" s="9" t="s">
        <v>38</v>
      </c>
      <c r="F2457" s="9" t="s">
        <v>39</v>
      </c>
      <c r="G2457" s="10" t="n">
        <v>45902</v>
      </c>
      <c r="H2457" s="10" t="n">
        <v>45917</v>
      </c>
      <c r="I2457" s="9" t="s">
        <v>58</v>
      </c>
      <c r="J2457" s="9" t="s">
        <v>51</v>
      </c>
      <c r="K2457" s="9" t="n">
        <v>15</v>
      </c>
      <c r="L2457" s="9" t="n">
        <v>2</v>
      </c>
      <c r="M2457" s="9" t="n">
        <v>2</v>
      </c>
      <c r="N2457" s="9" t="s">
        <v>71</v>
      </c>
      <c r="O2457" s="9"/>
      <c r="P2457" s="9" t="n">
        <v>6.4</v>
      </c>
      <c r="Q2457" s="9" t="n">
        <v>30</v>
      </c>
      <c r="R2457" s="9" t="s">
        <v>44</v>
      </c>
      <c r="S2457" s="9"/>
      <c r="T2457" s="9"/>
      <c r="U2457" s="9" t="str">
        <f aca="false">IF(COUNTIF($A$2:$A$5001,A2457)&gt;1,"Duplicate","Unique")</f>
        <v>Unique</v>
      </c>
      <c r="V2457" s="9" t="str">
        <f aca="false">IF(COUNTIFS($B$2:$B$5001,B2457,$H$2:$H$5001,H2457,$J$2:$J$5001,J2457)&gt;1,"Possible Duplicate Booking","Unique")</f>
        <v>Unique</v>
      </c>
      <c r="W2457" s="9" t="str">
        <f aca="false">IF((H2457-G2457)&lt;&gt;K2457,"Mismatch","OK")</f>
        <v>OK</v>
      </c>
      <c r="X2457" s="9" t="str">
        <f aca="false">IF(TEXT(H2457,"dddd")&lt;&gt;I2457,"Mismatch","OK")</f>
        <v>OK</v>
      </c>
      <c r="Y2457" s="9" t="str">
        <f aca="false">IF(AND(N2457="No",O2457&lt;&gt;""),"Unexpected: channel present but no reminder sent",IF(AND(N2457="Yes",O2457=""),"Missing channel for sent reminder","OK"))</f>
        <v>OK</v>
      </c>
    </row>
    <row r="2458" customFormat="false" ht="15" hidden="false" customHeight="false" outlineLevel="0" collapsed="false">
      <c r="A2458" s="7" t="s">
        <v>3867</v>
      </c>
      <c r="B2458" s="7" t="s">
        <v>1005</v>
      </c>
      <c r="C2458" s="7" t="s">
        <v>37</v>
      </c>
      <c r="D2458" s="7" t="n">
        <v>32</v>
      </c>
      <c r="E2458" s="7" t="s">
        <v>48</v>
      </c>
      <c r="F2458" s="7" t="s">
        <v>49</v>
      </c>
      <c r="G2458" s="8" t="n">
        <v>46082</v>
      </c>
      <c r="H2458" s="8" t="n">
        <v>46116</v>
      </c>
      <c r="I2458" s="7" t="s">
        <v>102</v>
      </c>
      <c r="J2458" s="7" t="s">
        <v>51</v>
      </c>
      <c r="K2458" s="7" t="n">
        <v>34</v>
      </c>
      <c r="L2458" s="7" t="n">
        <v>6</v>
      </c>
      <c r="M2458" s="7" t="n">
        <v>1</v>
      </c>
      <c r="N2458" s="7" t="s">
        <v>42</v>
      </c>
      <c r="O2458" s="7" t="s">
        <v>52</v>
      </c>
      <c r="P2458" s="7" t="n">
        <v>11.9</v>
      </c>
      <c r="Q2458" s="7" t="n">
        <v>11</v>
      </c>
      <c r="R2458" s="7" t="s">
        <v>53</v>
      </c>
      <c r="S2458" s="7"/>
      <c r="T2458" s="7"/>
      <c r="U2458" s="7" t="str">
        <f aca="false">IF(COUNTIF($A$2:$A$5001,A2458)&gt;1,"Duplicate","Unique")</f>
        <v>Unique</v>
      </c>
      <c r="V2458" s="7" t="str">
        <f aca="false">IF(COUNTIFS($B$2:$B$5001,B2458,$H$2:$H$5001,H2458,$J$2:$J$5001,J2458)&gt;1,"Possible Duplicate Booking","Unique")</f>
        <v>Unique</v>
      </c>
      <c r="W2458" s="7" t="str">
        <f aca="false">IF((H2458-G2458)&lt;&gt;K2458,"Mismatch","OK")</f>
        <v>OK</v>
      </c>
      <c r="X2458" s="7" t="str">
        <f aca="false">IF(TEXT(H2458,"dddd")&lt;&gt;I2458,"Mismatch","OK")</f>
        <v>OK</v>
      </c>
      <c r="Y2458" s="7" t="str">
        <f aca="false">IF(AND(N2458="No",O2458&lt;&gt;""),"Unexpected: channel present but no reminder sent",IF(AND(N2458="Yes",O2458=""),"Missing channel for sent reminder","OK"))</f>
        <v>OK</v>
      </c>
    </row>
    <row r="2459" customFormat="false" ht="15" hidden="false" customHeight="false" outlineLevel="0" collapsed="false">
      <c r="A2459" s="9" t="s">
        <v>3868</v>
      </c>
      <c r="B2459" s="9" t="s">
        <v>1625</v>
      </c>
      <c r="C2459" s="9" t="s">
        <v>37</v>
      </c>
      <c r="D2459" s="9" t="n">
        <v>46</v>
      </c>
      <c r="E2459" s="9" t="s">
        <v>56</v>
      </c>
      <c r="F2459" s="9" t="s">
        <v>57</v>
      </c>
      <c r="G2459" s="10" t="n">
        <v>46125</v>
      </c>
      <c r="H2459" s="10" t="n">
        <v>46168</v>
      </c>
      <c r="I2459" s="9" t="s">
        <v>40</v>
      </c>
      <c r="J2459" s="9" t="s">
        <v>51</v>
      </c>
      <c r="K2459" s="9" t="n">
        <v>43</v>
      </c>
      <c r="L2459" s="9" t="n">
        <v>2</v>
      </c>
      <c r="M2459" s="9" t="n">
        <v>0</v>
      </c>
      <c r="N2459" s="9" t="s">
        <v>42</v>
      </c>
      <c r="O2459" s="9" t="s">
        <v>43</v>
      </c>
      <c r="P2459" s="9" t="n">
        <v>6.3</v>
      </c>
      <c r="Q2459" s="9" t="n">
        <v>21</v>
      </c>
      <c r="R2459" s="9" t="s">
        <v>53</v>
      </c>
      <c r="S2459" s="9"/>
      <c r="T2459" s="9"/>
      <c r="U2459" s="9" t="str">
        <f aca="false">IF(COUNTIF($A$2:$A$5001,A2459)&gt;1,"Duplicate","Unique")</f>
        <v>Unique</v>
      </c>
      <c r="V2459" s="9" t="str">
        <f aca="false">IF(COUNTIFS($B$2:$B$5001,B2459,$H$2:$H$5001,H2459,$J$2:$J$5001,J2459)&gt;1,"Possible Duplicate Booking","Unique")</f>
        <v>Unique</v>
      </c>
      <c r="W2459" s="9" t="str">
        <f aca="false">IF((H2459-G2459)&lt;&gt;K2459,"Mismatch","OK")</f>
        <v>OK</v>
      </c>
      <c r="X2459" s="9" t="str">
        <f aca="false">IF(TEXT(H2459,"dddd")&lt;&gt;I2459,"Mismatch","OK")</f>
        <v>OK</v>
      </c>
      <c r="Y2459" s="9" t="str">
        <f aca="false">IF(AND(N2459="No",O2459&lt;&gt;""),"Unexpected: channel present but no reminder sent",IF(AND(N2459="Yes",O2459=""),"Missing channel for sent reminder","OK"))</f>
        <v>OK</v>
      </c>
    </row>
    <row r="2460" customFormat="false" ht="15" hidden="false" customHeight="false" outlineLevel="0" collapsed="false">
      <c r="A2460" s="7" t="s">
        <v>3869</v>
      </c>
      <c r="B2460" s="7" t="s">
        <v>3870</v>
      </c>
      <c r="C2460" s="7" t="s">
        <v>37</v>
      </c>
      <c r="D2460" s="7" t="n">
        <v>47</v>
      </c>
      <c r="E2460" s="7" t="s">
        <v>56</v>
      </c>
      <c r="F2460" s="7" t="s">
        <v>39</v>
      </c>
      <c r="G2460" s="8" t="n">
        <v>45911</v>
      </c>
      <c r="H2460" s="8" t="n">
        <v>45917</v>
      </c>
      <c r="I2460" s="7" t="s">
        <v>58</v>
      </c>
      <c r="J2460" s="7" t="s">
        <v>63</v>
      </c>
      <c r="K2460" s="7" t="n">
        <v>6</v>
      </c>
      <c r="L2460" s="7" t="n">
        <v>2</v>
      </c>
      <c r="M2460" s="7" t="n">
        <v>0</v>
      </c>
      <c r="N2460" s="7" t="s">
        <v>71</v>
      </c>
      <c r="O2460" s="7"/>
      <c r="P2460" s="7" t="n">
        <v>6.5</v>
      </c>
      <c r="Q2460" s="7" t="n">
        <v>37</v>
      </c>
      <c r="R2460" s="7" t="s">
        <v>53</v>
      </c>
      <c r="S2460" s="7"/>
      <c r="T2460" s="7"/>
      <c r="U2460" s="7" t="str">
        <f aca="false">IF(COUNTIF($A$2:$A$5001,A2460)&gt;1,"Duplicate","Unique")</f>
        <v>Unique</v>
      </c>
      <c r="V2460" s="7" t="str">
        <f aca="false">IF(COUNTIFS($B$2:$B$5001,B2460,$H$2:$H$5001,H2460,$J$2:$J$5001,J2460)&gt;1,"Possible Duplicate Booking","Unique")</f>
        <v>Unique</v>
      </c>
      <c r="W2460" s="7" t="str">
        <f aca="false">IF((H2460-G2460)&lt;&gt;K2460,"Mismatch","OK")</f>
        <v>OK</v>
      </c>
      <c r="X2460" s="7" t="str">
        <f aca="false">IF(TEXT(H2460,"dddd")&lt;&gt;I2460,"Mismatch","OK")</f>
        <v>OK</v>
      </c>
      <c r="Y2460" s="7" t="str">
        <f aca="false">IF(AND(N2460="No",O2460&lt;&gt;""),"Unexpected: channel present but no reminder sent",IF(AND(N2460="Yes",O2460=""),"Missing channel for sent reminder","OK"))</f>
        <v>OK</v>
      </c>
    </row>
    <row r="2461" customFormat="false" ht="15" hidden="false" customHeight="false" outlineLevel="0" collapsed="false">
      <c r="A2461" s="9" t="s">
        <v>3871</v>
      </c>
      <c r="B2461" s="9" t="s">
        <v>3872</v>
      </c>
      <c r="C2461" s="9" t="s">
        <v>47</v>
      </c>
      <c r="D2461" s="9" t="n">
        <v>45</v>
      </c>
      <c r="E2461" s="9" t="s">
        <v>56</v>
      </c>
      <c r="F2461" s="9" t="s">
        <v>57</v>
      </c>
      <c r="G2461" s="10" t="n">
        <v>45644</v>
      </c>
      <c r="H2461" s="10" t="n">
        <v>45690</v>
      </c>
      <c r="I2461" s="9" t="s">
        <v>75</v>
      </c>
      <c r="J2461" s="9" t="s">
        <v>51</v>
      </c>
      <c r="K2461" s="9" t="n">
        <v>46</v>
      </c>
      <c r="L2461" s="9" t="n">
        <v>3</v>
      </c>
      <c r="M2461" s="9" t="n">
        <v>0</v>
      </c>
      <c r="N2461" s="9" t="s">
        <v>42</v>
      </c>
      <c r="O2461" s="9" t="s">
        <v>52</v>
      </c>
      <c r="P2461" s="9" t="n">
        <v>12.2</v>
      </c>
      <c r="Q2461" s="9" t="n">
        <v>25</v>
      </c>
      <c r="R2461" s="9" t="s">
        <v>53</v>
      </c>
      <c r="S2461" s="9"/>
      <c r="T2461" s="9"/>
      <c r="U2461" s="9" t="str">
        <f aca="false">IF(COUNTIF($A$2:$A$5001,A2461)&gt;1,"Duplicate","Unique")</f>
        <v>Unique</v>
      </c>
      <c r="V2461" s="9" t="str">
        <f aca="false">IF(COUNTIFS($B$2:$B$5001,B2461,$H$2:$H$5001,H2461,$J$2:$J$5001,J2461)&gt;1,"Possible Duplicate Booking","Unique")</f>
        <v>Unique</v>
      </c>
      <c r="W2461" s="9" t="str">
        <f aca="false">IF((H2461-G2461)&lt;&gt;K2461,"Mismatch","OK")</f>
        <v>OK</v>
      </c>
      <c r="X2461" s="9" t="str">
        <f aca="false">IF(TEXT(H2461,"dddd")&lt;&gt;I2461,"Mismatch","OK")</f>
        <v>OK</v>
      </c>
      <c r="Y2461" s="9" t="str">
        <f aca="false">IF(AND(N2461="No",O2461&lt;&gt;""),"Unexpected: channel present but no reminder sent",IF(AND(N2461="Yes",O2461=""),"Missing channel for sent reminder","OK"))</f>
        <v>OK</v>
      </c>
    </row>
    <row r="2462" customFormat="false" ht="15" hidden="false" customHeight="false" outlineLevel="0" collapsed="false">
      <c r="A2462" s="7" t="s">
        <v>3873</v>
      </c>
      <c r="B2462" s="7" t="s">
        <v>1567</v>
      </c>
      <c r="C2462" s="7" t="s">
        <v>47</v>
      </c>
      <c r="D2462" s="7" t="n">
        <v>47</v>
      </c>
      <c r="E2462" s="7" t="s">
        <v>56</v>
      </c>
      <c r="F2462" s="7" t="s">
        <v>39</v>
      </c>
      <c r="G2462" s="8" t="n">
        <v>45810</v>
      </c>
      <c r="H2462" s="8" t="n">
        <v>45843</v>
      </c>
      <c r="I2462" s="7" t="s">
        <v>102</v>
      </c>
      <c r="J2462" s="7" t="s">
        <v>51</v>
      </c>
      <c r="K2462" s="7" t="n">
        <v>33</v>
      </c>
      <c r="L2462" s="7" t="n">
        <v>2</v>
      </c>
      <c r="M2462" s="7" t="n">
        <v>0</v>
      </c>
      <c r="N2462" s="7" t="s">
        <v>42</v>
      </c>
      <c r="O2462" s="7" t="s">
        <v>43</v>
      </c>
      <c r="P2462" s="7" t="n">
        <v>6.3</v>
      </c>
      <c r="Q2462" s="7" t="n">
        <v>21</v>
      </c>
      <c r="R2462" s="7" t="s">
        <v>44</v>
      </c>
      <c r="S2462" s="7"/>
      <c r="T2462" s="7"/>
      <c r="U2462" s="7" t="str">
        <f aca="false">IF(COUNTIF($A$2:$A$5001,A2462)&gt;1,"Duplicate","Unique")</f>
        <v>Unique</v>
      </c>
      <c r="V2462" s="7" t="str">
        <f aca="false">IF(COUNTIFS($B$2:$B$5001,B2462,$H$2:$H$5001,H2462,$J$2:$J$5001,J2462)&gt;1,"Possible Duplicate Booking","Unique")</f>
        <v>Unique</v>
      </c>
      <c r="W2462" s="7" t="str">
        <f aca="false">IF((H2462-G2462)&lt;&gt;K2462,"Mismatch","OK")</f>
        <v>OK</v>
      </c>
      <c r="X2462" s="7" t="str">
        <f aca="false">IF(TEXT(H2462,"dddd")&lt;&gt;I2462,"Mismatch","OK")</f>
        <v>OK</v>
      </c>
      <c r="Y2462" s="7" t="str">
        <f aca="false">IF(AND(N2462="No",O2462&lt;&gt;""),"Unexpected: channel present but no reminder sent",IF(AND(N2462="Yes",O2462=""),"Missing channel for sent reminder","OK"))</f>
        <v>OK</v>
      </c>
    </row>
    <row r="2463" customFormat="false" ht="15" hidden="false" customHeight="false" outlineLevel="0" collapsed="false">
      <c r="A2463" s="9" t="s">
        <v>3874</v>
      </c>
      <c r="B2463" s="9" t="s">
        <v>3875</v>
      </c>
      <c r="C2463" s="9" t="s">
        <v>37</v>
      </c>
      <c r="D2463" s="9" t="n">
        <v>75</v>
      </c>
      <c r="E2463" s="9" t="s">
        <v>70</v>
      </c>
      <c r="F2463" s="9" t="s">
        <v>39</v>
      </c>
      <c r="G2463" s="10" t="n">
        <v>45718</v>
      </c>
      <c r="H2463" s="10" t="n">
        <v>45775</v>
      </c>
      <c r="I2463" s="9" t="s">
        <v>66</v>
      </c>
      <c r="J2463" s="9" t="s">
        <v>51</v>
      </c>
      <c r="K2463" s="9" t="n">
        <v>57</v>
      </c>
      <c r="L2463" s="9" t="n">
        <v>1</v>
      </c>
      <c r="M2463" s="9" t="n">
        <v>0</v>
      </c>
      <c r="N2463" s="9" t="s">
        <v>71</v>
      </c>
      <c r="O2463" s="9"/>
      <c r="P2463" s="9" t="n">
        <v>32.7</v>
      </c>
      <c r="Q2463" s="9" t="n">
        <v>30</v>
      </c>
      <c r="R2463" s="9" t="s">
        <v>44</v>
      </c>
      <c r="S2463" s="9"/>
      <c r="T2463" s="9"/>
      <c r="U2463" s="9" t="str">
        <f aca="false">IF(COUNTIF($A$2:$A$5001,A2463)&gt;1,"Duplicate","Unique")</f>
        <v>Unique</v>
      </c>
      <c r="V2463" s="9" t="str">
        <f aca="false">IF(COUNTIFS($B$2:$B$5001,B2463,$H$2:$H$5001,H2463,$J$2:$J$5001,J2463)&gt;1,"Possible Duplicate Booking","Unique")</f>
        <v>Unique</v>
      </c>
      <c r="W2463" s="9" t="str">
        <f aca="false">IF((H2463-G2463)&lt;&gt;K2463,"Mismatch","OK")</f>
        <v>OK</v>
      </c>
      <c r="X2463" s="9" t="str">
        <f aca="false">IF(TEXT(H2463,"dddd")&lt;&gt;I2463,"Mismatch","OK")</f>
        <v>OK</v>
      </c>
      <c r="Y2463" s="9" t="str">
        <f aca="false">IF(AND(N2463="No",O2463&lt;&gt;""),"Unexpected: channel present but no reminder sent",IF(AND(N2463="Yes",O2463=""),"Missing channel for sent reminder","OK"))</f>
        <v>OK</v>
      </c>
    </row>
    <row r="2464" customFormat="false" ht="15" hidden="false" customHeight="false" outlineLevel="0" collapsed="false">
      <c r="A2464" s="7" t="s">
        <v>3876</v>
      </c>
      <c r="B2464" s="7" t="s">
        <v>116</v>
      </c>
      <c r="C2464" s="7" t="s">
        <v>47</v>
      </c>
      <c r="D2464" s="7" t="n">
        <v>78</v>
      </c>
      <c r="E2464" s="7" t="s">
        <v>70</v>
      </c>
      <c r="F2464" s="7" t="s">
        <v>57</v>
      </c>
      <c r="G2464" s="8" t="n">
        <v>45904</v>
      </c>
      <c r="H2464" s="8" t="n">
        <v>45916</v>
      </c>
      <c r="I2464" s="7" t="s">
        <v>40</v>
      </c>
      <c r="J2464" s="7" t="s">
        <v>51</v>
      </c>
      <c r="K2464" s="7" t="n">
        <v>12</v>
      </c>
      <c r="L2464" s="7" t="n">
        <v>2</v>
      </c>
      <c r="M2464" s="7" t="n">
        <v>0</v>
      </c>
      <c r="N2464" s="7" t="s">
        <v>42</v>
      </c>
      <c r="O2464" s="7" t="s">
        <v>52</v>
      </c>
      <c r="P2464" s="7" t="n">
        <v>4.9</v>
      </c>
      <c r="Q2464" s="7" t="n">
        <v>27</v>
      </c>
      <c r="R2464" s="7" t="s">
        <v>53</v>
      </c>
      <c r="S2464" s="7"/>
      <c r="T2464" s="7"/>
      <c r="U2464" s="7" t="str">
        <f aca="false">IF(COUNTIF($A$2:$A$5001,A2464)&gt;1,"Duplicate","Unique")</f>
        <v>Unique</v>
      </c>
      <c r="V2464" s="7" t="str">
        <f aca="false">IF(COUNTIFS($B$2:$B$5001,B2464,$H$2:$H$5001,H2464,$J$2:$J$5001,J2464)&gt;1,"Possible Duplicate Booking","Unique")</f>
        <v>Unique</v>
      </c>
      <c r="W2464" s="7" t="str">
        <f aca="false">IF((H2464-G2464)&lt;&gt;K2464,"Mismatch","OK")</f>
        <v>OK</v>
      </c>
      <c r="X2464" s="7" t="str">
        <f aca="false">IF(TEXT(H2464,"dddd")&lt;&gt;I2464,"Mismatch","OK")</f>
        <v>OK</v>
      </c>
      <c r="Y2464" s="7" t="str">
        <f aca="false">IF(AND(N2464="No",O2464&lt;&gt;""),"Unexpected: channel present but no reminder sent",IF(AND(N2464="Yes",O2464=""),"Missing channel for sent reminder","OK"))</f>
        <v>OK</v>
      </c>
    </row>
    <row r="2465" customFormat="false" ht="15" hidden="false" customHeight="false" outlineLevel="0" collapsed="false">
      <c r="A2465" s="9" t="s">
        <v>3877</v>
      </c>
      <c r="B2465" s="9" t="s">
        <v>2804</v>
      </c>
      <c r="C2465" s="9" t="s">
        <v>47</v>
      </c>
      <c r="D2465" s="9" t="n">
        <v>48</v>
      </c>
      <c r="E2465" s="9" t="s">
        <v>56</v>
      </c>
      <c r="F2465" s="9" t="s">
        <v>74</v>
      </c>
      <c r="G2465" s="10" t="n">
        <v>45922</v>
      </c>
      <c r="H2465" s="10" t="n">
        <v>45977</v>
      </c>
      <c r="I2465" s="9" t="s">
        <v>75</v>
      </c>
      <c r="J2465" s="9" t="s">
        <v>63</v>
      </c>
      <c r="K2465" s="9" t="n">
        <v>55</v>
      </c>
      <c r="L2465" s="9" t="n">
        <v>3</v>
      </c>
      <c r="M2465" s="9" t="n">
        <v>1</v>
      </c>
      <c r="N2465" s="9" t="s">
        <v>42</v>
      </c>
      <c r="O2465" s="9" t="s">
        <v>67</v>
      </c>
      <c r="P2465" s="9" t="n">
        <v>15</v>
      </c>
      <c r="Q2465" s="9" t="n">
        <v>47</v>
      </c>
      <c r="R2465" s="9" t="s">
        <v>44</v>
      </c>
      <c r="S2465" s="9"/>
      <c r="T2465" s="9"/>
      <c r="U2465" s="9" t="str">
        <f aca="false">IF(COUNTIF($A$2:$A$5001,A2465)&gt;1,"Duplicate","Unique")</f>
        <v>Unique</v>
      </c>
      <c r="V2465" s="9" t="str">
        <f aca="false">IF(COUNTIFS($B$2:$B$5001,B2465,$H$2:$H$5001,H2465,$J$2:$J$5001,J2465)&gt;1,"Possible Duplicate Booking","Unique")</f>
        <v>Unique</v>
      </c>
      <c r="W2465" s="9" t="str">
        <f aca="false">IF((H2465-G2465)&lt;&gt;K2465,"Mismatch","OK")</f>
        <v>OK</v>
      </c>
      <c r="X2465" s="9" t="str">
        <f aca="false">IF(TEXT(H2465,"dddd")&lt;&gt;I2465,"Mismatch","OK")</f>
        <v>OK</v>
      </c>
      <c r="Y2465" s="9" t="str">
        <f aca="false">IF(AND(N2465="No",O2465&lt;&gt;""),"Unexpected: channel present but no reminder sent",IF(AND(N2465="Yes",O2465=""),"Missing channel for sent reminder","OK"))</f>
        <v>OK</v>
      </c>
    </row>
    <row r="2466" customFormat="false" ht="15" hidden="false" customHeight="false" outlineLevel="0" collapsed="false">
      <c r="A2466" s="7" t="s">
        <v>3878</v>
      </c>
      <c r="B2466" s="7" t="s">
        <v>207</v>
      </c>
      <c r="C2466" s="7" t="s">
        <v>37</v>
      </c>
      <c r="D2466" s="7" t="n">
        <v>78</v>
      </c>
      <c r="E2466" s="7" t="s">
        <v>70</v>
      </c>
      <c r="F2466" s="7" t="s">
        <v>57</v>
      </c>
      <c r="G2466" s="8" t="n">
        <v>45884</v>
      </c>
      <c r="H2466" s="8" t="n">
        <v>45911</v>
      </c>
      <c r="I2466" s="7" t="s">
        <v>62</v>
      </c>
      <c r="J2466" s="7" t="s">
        <v>41</v>
      </c>
      <c r="K2466" s="7" t="n">
        <v>27</v>
      </c>
      <c r="L2466" s="7" t="n">
        <v>5</v>
      </c>
      <c r="M2466" s="7" t="n">
        <v>0</v>
      </c>
      <c r="N2466" s="7" t="s">
        <v>42</v>
      </c>
      <c r="O2466" s="7" t="s">
        <v>52</v>
      </c>
      <c r="P2466" s="7" t="n">
        <v>8.9</v>
      </c>
      <c r="Q2466" s="7" t="n">
        <v>24</v>
      </c>
      <c r="R2466" s="7" t="s">
        <v>53</v>
      </c>
      <c r="S2466" s="7"/>
      <c r="T2466" s="7"/>
      <c r="U2466" s="7" t="str">
        <f aca="false">IF(COUNTIF($A$2:$A$5001,A2466)&gt;1,"Duplicate","Unique")</f>
        <v>Unique</v>
      </c>
      <c r="V2466" s="7" t="str">
        <f aca="false">IF(COUNTIFS($B$2:$B$5001,B2466,$H$2:$H$5001,H2466,$J$2:$J$5001,J2466)&gt;1,"Possible Duplicate Booking","Unique")</f>
        <v>Unique</v>
      </c>
      <c r="W2466" s="7" t="str">
        <f aca="false">IF((H2466-G2466)&lt;&gt;K2466,"Mismatch","OK")</f>
        <v>OK</v>
      </c>
      <c r="X2466" s="7" t="str">
        <f aca="false">IF(TEXT(H2466,"dddd")&lt;&gt;I2466,"Mismatch","OK")</f>
        <v>OK</v>
      </c>
      <c r="Y2466" s="7" t="str">
        <f aca="false">IF(AND(N2466="No",O2466&lt;&gt;""),"Unexpected: channel present but no reminder sent",IF(AND(N2466="Yes",O2466=""),"Missing channel for sent reminder","OK"))</f>
        <v>OK</v>
      </c>
    </row>
    <row r="2467" customFormat="false" ht="15" hidden="false" customHeight="false" outlineLevel="0" collapsed="false">
      <c r="A2467" s="9" t="s">
        <v>3879</v>
      </c>
      <c r="B2467" s="9" t="s">
        <v>1668</v>
      </c>
      <c r="C2467" s="9" t="s">
        <v>47</v>
      </c>
      <c r="D2467" s="9" t="n">
        <v>69</v>
      </c>
      <c r="E2467" s="9" t="s">
        <v>70</v>
      </c>
      <c r="F2467" s="9" t="s">
        <v>57</v>
      </c>
      <c r="G2467" s="10" t="n">
        <v>45730</v>
      </c>
      <c r="H2467" s="10" t="n">
        <v>45764</v>
      </c>
      <c r="I2467" s="9" t="s">
        <v>62</v>
      </c>
      <c r="J2467" s="9" t="s">
        <v>41</v>
      </c>
      <c r="K2467" s="9" t="n">
        <v>34</v>
      </c>
      <c r="L2467" s="9" t="n">
        <v>2</v>
      </c>
      <c r="M2467" s="9" t="n">
        <v>1</v>
      </c>
      <c r="N2467" s="9" t="s">
        <v>71</v>
      </c>
      <c r="O2467" s="9"/>
      <c r="P2467" s="9" t="n">
        <v>45</v>
      </c>
      <c r="Q2467" s="9" t="n">
        <v>31</v>
      </c>
      <c r="R2467" s="9" t="s">
        <v>53</v>
      </c>
      <c r="S2467" s="9"/>
      <c r="T2467" s="9"/>
      <c r="U2467" s="9" t="str">
        <f aca="false">IF(COUNTIF($A$2:$A$5001,A2467)&gt;1,"Duplicate","Unique")</f>
        <v>Unique</v>
      </c>
      <c r="V2467" s="9" t="str">
        <f aca="false">IF(COUNTIFS($B$2:$B$5001,B2467,$H$2:$H$5001,H2467,$J$2:$J$5001,J2467)&gt;1,"Possible Duplicate Booking","Unique")</f>
        <v>Unique</v>
      </c>
      <c r="W2467" s="9" t="str">
        <f aca="false">IF((H2467-G2467)&lt;&gt;K2467,"Mismatch","OK")</f>
        <v>OK</v>
      </c>
      <c r="X2467" s="9" t="str">
        <f aca="false">IF(TEXT(H2467,"dddd")&lt;&gt;I2467,"Mismatch","OK")</f>
        <v>OK</v>
      </c>
      <c r="Y2467" s="9" t="str">
        <f aca="false">IF(AND(N2467="No",O2467&lt;&gt;""),"Unexpected: channel present but no reminder sent",IF(AND(N2467="Yes",O2467=""),"Missing channel for sent reminder","OK"))</f>
        <v>OK</v>
      </c>
    </row>
    <row r="2468" customFormat="false" ht="15" hidden="false" customHeight="false" outlineLevel="0" collapsed="false">
      <c r="A2468" s="7" t="s">
        <v>3880</v>
      </c>
      <c r="B2468" s="7" t="s">
        <v>3881</v>
      </c>
      <c r="C2468" s="7" t="s">
        <v>47</v>
      </c>
      <c r="D2468" s="7" t="n">
        <v>69</v>
      </c>
      <c r="E2468" s="7" t="s">
        <v>70</v>
      </c>
      <c r="F2468" s="7" t="s">
        <v>57</v>
      </c>
      <c r="G2468" s="8" t="n">
        <v>45782</v>
      </c>
      <c r="H2468" s="8" t="n">
        <v>45822</v>
      </c>
      <c r="I2468" s="7" t="s">
        <v>102</v>
      </c>
      <c r="J2468" s="7" t="s">
        <v>41</v>
      </c>
      <c r="K2468" s="7" t="n">
        <v>40</v>
      </c>
      <c r="L2468" s="7" t="n">
        <v>1</v>
      </c>
      <c r="M2468" s="7" t="n">
        <v>0</v>
      </c>
      <c r="N2468" s="7" t="s">
        <v>42</v>
      </c>
      <c r="O2468" s="7" t="s">
        <v>52</v>
      </c>
      <c r="P2468" s="7" t="n">
        <v>6</v>
      </c>
      <c r="Q2468" s="7" t="n">
        <v>23</v>
      </c>
      <c r="R2468" s="7" t="s">
        <v>44</v>
      </c>
      <c r="S2468" s="7"/>
      <c r="T2468" s="7"/>
      <c r="U2468" s="7" t="str">
        <f aca="false">IF(COUNTIF($A$2:$A$5001,A2468)&gt;1,"Duplicate","Unique")</f>
        <v>Unique</v>
      </c>
      <c r="V2468" s="7" t="str">
        <f aca="false">IF(COUNTIFS($B$2:$B$5001,B2468,$H$2:$H$5001,H2468,$J$2:$J$5001,J2468)&gt;1,"Possible Duplicate Booking","Unique")</f>
        <v>Unique</v>
      </c>
      <c r="W2468" s="7" t="str">
        <f aca="false">IF((H2468-G2468)&lt;&gt;K2468,"Mismatch","OK")</f>
        <v>OK</v>
      </c>
      <c r="X2468" s="7" t="str">
        <f aca="false">IF(TEXT(H2468,"dddd")&lt;&gt;I2468,"Mismatch","OK")</f>
        <v>OK</v>
      </c>
      <c r="Y2468" s="7" t="str">
        <f aca="false">IF(AND(N2468="No",O2468&lt;&gt;""),"Unexpected: channel present but no reminder sent",IF(AND(N2468="Yes",O2468=""),"Missing channel for sent reminder","OK"))</f>
        <v>OK</v>
      </c>
    </row>
    <row r="2469" customFormat="false" ht="15" hidden="false" customHeight="false" outlineLevel="0" collapsed="false">
      <c r="A2469" s="9" t="s">
        <v>3882</v>
      </c>
      <c r="B2469" s="9" t="s">
        <v>1459</v>
      </c>
      <c r="C2469" s="9" t="s">
        <v>37</v>
      </c>
      <c r="D2469" s="9" t="n">
        <v>32</v>
      </c>
      <c r="E2469" s="9" t="s">
        <v>48</v>
      </c>
      <c r="F2469" s="9" t="s">
        <v>39</v>
      </c>
      <c r="G2469" s="10" t="n">
        <v>45994</v>
      </c>
      <c r="H2469" s="10" t="n">
        <v>46029</v>
      </c>
      <c r="I2469" s="9" t="s">
        <v>58</v>
      </c>
      <c r="J2469" s="9" t="s">
        <v>51</v>
      </c>
      <c r="K2469" s="9" t="n">
        <v>35</v>
      </c>
      <c r="L2469" s="9" t="n">
        <v>1</v>
      </c>
      <c r="M2469" s="9" t="n">
        <v>0</v>
      </c>
      <c r="N2469" s="9" t="s">
        <v>42</v>
      </c>
      <c r="O2469" s="9" t="s">
        <v>43</v>
      </c>
      <c r="P2469" s="9" t="n">
        <v>13.5</v>
      </c>
      <c r="Q2469" s="9" t="n">
        <v>13</v>
      </c>
      <c r="R2469" s="9" t="s">
        <v>53</v>
      </c>
      <c r="S2469" s="9"/>
      <c r="T2469" s="9"/>
      <c r="U2469" s="9" t="str">
        <f aca="false">IF(COUNTIF($A$2:$A$5001,A2469)&gt;1,"Duplicate","Unique")</f>
        <v>Unique</v>
      </c>
      <c r="V2469" s="9" t="str">
        <f aca="false">IF(COUNTIFS($B$2:$B$5001,B2469,$H$2:$H$5001,H2469,$J$2:$J$5001,J2469)&gt;1,"Possible Duplicate Booking","Unique")</f>
        <v>Unique</v>
      </c>
      <c r="W2469" s="9" t="str">
        <f aca="false">IF((H2469-G2469)&lt;&gt;K2469,"Mismatch","OK")</f>
        <v>OK</v>
      </c>
      <c r="X2469" s="9" t="str">
        <f aca="false">IF(TEXT(H2469,"dddd")&lt;&gt;I2469,"Mismatch","OK")</f>
        <v>OK</v>
      </c>
      <c r="Y2469" s="9" t="str">
        <f aca="false">IF(AND(N2469="No",O2469&lt;&gt;""),"Unexpected: channel present but no reminder sent",IF(AND(N2469="Yes",O2469=""),"Missing channel for sent reminder","OK"))</f>
        <v>OK</v>
      </c>
    </row>
    <row r="2470" customFormat="false" ht="15" hidden="false" customHeight="false" outlineLevel="0" collapsed="false">
      <c r="A2470" s="7" t="s">
        <v>3883</v>
      </c>
      <c r="B2470" s="7" t="s">
        <v>195</v>
      </c>
      <c r="C2470" s="7" t="s">
        <v>47</v>
      </c>
      <c r="D2470" s="7" t="n">
        <v>45</v>
      </c>
      <c r="E2470" s="7" t="s">
        <v>56</v>
      </c>
      <c r="F2470" s="7" t="s">
        <v>57</v>
      </c>
      <c r="G2470" s="8" t="n">
        <v>45617</v>
      </c>
      <c r="H2470" s="8" t="n">
        <v>45672</v>
      </c>
      <c r="I2470" s="7" t="s">
        <v>58</v>
      </c>
      <c r="J2470" s="7" t="s">
        <v>41</v>
      </c>
      <c r="K2470" s="7" t="n">
        <v>55</v>
      </c>
      <c r="L2470" s="7" t="n">
        <v>7</v>
      </c>
      <c r="M2470" s="7" t="n">
        <v>2</v>
      </c>
      <c r="N2470" s="7" t="s">
        <v>71</v>
      </c>
      <c r="O2470" s="7"/>
      <c r="P2470" s="7" t="n">
        <v>8</v>
      </c>
      <c r="Q2470" s="7" t="n">
        <v>29</v>
      </c>
      <c r="R2470" s="7" t="s">
        <v>44</v>
      </c>
      <c r="S2470" s="7"/>
      <c r="T2470" s="7"/>
      <c r="U2470" s="7" t="str">
        <f aca="false">IF(COUNTIF($A$2:$A$5001,A2470)&gt;1,"Duplicate","Unique")</f>
        <v>Unique</v>
      </c>
      <c r="V2470" s="7" t="str">
        <f aca="false">IF(COUNTIFS($B$2:$B$5001,B2470,$H$2:$H$5001,H2470,$J$2:$J$5001,J2470)&gt;1,"Possible Duplicate Booking","Unique")</f>
        <v>Unique</v>
      </c>
      <c r="W2470" s="7" t="str">
        <f aca="false">IF((H2470-G2470)&lt;&gt;K2470,"Mismatch","OK")</f>
        <v>OK</v>
      </c>
      <c r="X2470" s="7" t="str">
        <f aca="false">IF(TEXT(H2470,"dddd")&lt;&gt;I2470,"Mismatch","OK")</f>
        <v>OK</v>
      </c>
      <c r="Y2470" s="7" t="str">
        <f aca="false">IF(AND(N2470="No",O2470&lt;&gt;""),"Unexpected: channel present but no reminder sent",IF(AND(N2470="Yes",O2470=""),"Missing channel for sent reminder","OK"))</f>
        <v>OK</v>
      </c>
    </row>
    <row r="2471" customFormat="false" ht="15" hidden="false" customHeight="false" outlineLevel="0" collapsed="false">
      <c r="A2471" s="9" t="s">
        <v>3884</v>
      </c>
      <c r="B2471" s="9" t="s">
        <v>630</v>
      </c>
      <c r="C2471" s="9" t="s">
        <v>37</v>
      </c>
      <c r="D2471" s="9" t="n">
        <v>40</v>
      </c>
      <c r="E2471" s="9" t="s">
        <v>38</v>
      </c>
      <c r="F2471" s="9" t="s">
        <v>39</v>
      </c>
      <c r="G2471" s="10" t="n">
        <v>45764</v>
      </c>
      <c r="H2471" s="10" t="n">
        <v>45774</v>
      </c>
      <c r="I2471" s="9" t="s">
        <v>75</v>
      </c>
      <c r="J2471" s="9" t="s">
        <v>63</v>
      </c>
      <c r="K2471" s="9" t="n">
        <v>10</v>
      </c>
      <c r="L2471" s="9" t="n">
        <v>3</v>
      </c>
      <c r="M2471" s="9" t="n">
        <v>1</v>
      </c>
      <c r="N2471" s="9" t="s">
        <v>42</v>
      </c>
      <c r="O2471" s="9" t="s">
        <v>52</v>
      </c>
      <c r="P2471" s="9" t="n">
        <v>1.1</v>
      </c>
      <c r="Q2471" s="9" t="n">
        <v>8</v>
      </c>
      <c r="R2471" s="9" t="s">
        <v>44</v>
      </c>
      <c r="S2471" s="9"/>
      <c r="T2471" s="9"/>
      <c r="U2471" s="9" t="str">
        <f aca="false">IF(COUNTIF($A$2:$A$5001,A2471)&gt;1,"Duplicate","Unique")</f>
        <v>Unique</v>
      </c>
      <c r="V2471" s="9" t="str">
        <f aca="false">IF(COUNTIFS($B$2:$B$5001,B2471,$H$2:$H$5001,H2471,$J$2:$J$5001,J2471)&gt;1,"Possible Duplicate Booking","Unique")</f>
        <v>Unique</v>
      </c>
      <c r="W2471" s="9" t="str">
        <f aca="false">IF((H2471-G2471)&lt;&gt;K2471,"Mismatch","OK")</f>
        <v>OK</v>
      </c>
      <c r="X2471" s="9" t="str">
        <f aca="false">IF(TEXT(H2471,"dddd")&lt;&gt;I2471,"Mismatch","OK")</f>
        <v>OK</v>
      </c>
      <c r="Y2471" s="9" t="str">
        <f aca="false">IF(AND(N2471="No",O2471&lt;&gt;""),"Unexpected: channel present but no reminder sent",IF(AND(N2471="Yes",O2471=""),"Missing channel for sent reminder","OK"))</f>
        <v>OK</v>
      </c>
    </row>
    <row r="2472" customFormat="false" ht="15" hidden="false" customHeight="false" outlineLevel="0" collapsed="false">
      <c r="A2472" s="7" t="s">
        <v>3885</v>
      </c>
      <c r="B2472" s="7" t="s">
        <v>3886</v>
      </c>
      <c r="C2472" s="7" t="s">
        <v>47</v>
      </c>
      <c r="D2472" s="7" t="n">
        <v>24</v>
      </c>
      <c r="E2472" s="7" t="s">
        <v>82</v>
      </c>
      <c r="F2472" s="7" t="s">
        <v>49</v>
      </c>
      <c r="G2472" s="8" t="n">
        <v>46101</v>
      </c>
      <c r="H2472" s="8" t="n">
        <v>46145</v>
      </c>
      <c r="I2472" s="7" t="s">
        <v>75</v>
      </c>
      <c r="J2472" s="7" t="s">
        <v>41</v>
      </c>
      <c r="K2472" s="7" t="n">
        <v>44</v>
      </c>
      <c r="L2472" s="7" t="n">
        <v>6</v>
      </c>
      <c r="M2472" s="7" t="n">
        <v>0</v>
      </c>
      <c r="N2472" s="7" t="s">
        <v>42</v>
      </c>
      <c r="O2472" s="7" t="s">
        <v>67</v>
      </c>
      <c r="P2472" s="7" t="n">
        <v>8.6</v>
      </c>
      <c r="Q2472" s="7" t="n">
        <v>35</v>
      </c>
      <c r="R2472" s="7" t="s">
        <v>53</v>
      </c>
      <c r="S2472" s="7"/>
      <c r="T2472" s="7"/>
      <c r="U2472" s="7" t="str">
        <f aca="false">IF(COUNTIF($A$2:$A$5001,A2472)&gt;1,"Duplicate","Unique")</f>
        <v>Unique</v>
      </c>
      <c r="V2472" s="7" t="str">
        <f aca="false">IF(COUNTIFS($B$2:$B$5001,B2472,$H$2:$H$5001,H2472,$J$2:$J$5001,J2472)&gt;1,"Possible Duplicate Booking","Unique")</f>
        <v>Unique</v>
      </c>
      <c r="W2472" s="7" t="str">
        <f aca="false">IF((H2472-G2472)&lt;&gt;K2472,"Mismatch","OK")</f>
        <v>OK</v>
      </c>
      <c r="X2472" s="7" t="str">
        <f aca="false">IF(TEXT(H2472,"dddd")&lt;&gt;I2472,"Mismatch","OK")</f>
        <v>OK</v>
      </c>
      <c r="Y2472" s="7" t="str">
        <f aca="false">IF(AND(N2472="No",O2472&lt;&gt;""),"Unexpected: channel present but no reminder sent",IF(AND(N2472="Yes",O2472=""),"Missing channel for sent reminder","OK"))</f>
        <v>OK</v>
      </c>
    </row>
    <row r="2473" customFormat="false" ht="15" hidden="false" customHeight="false" outlineLevel="0" collapsed="false">
      <c r="A2473" s="9" t="s">
        <v>3887</v>
      </c>
      <c r="B2473" s="9" t="s">
        <v>3888</v>
      </c>
      <c r="C2473" s="9" t="s">
        <v>47</v>
      </c>
      <c r="D2473" s="9" t="n">
        <v>22</v>
      </c>
      <c r="E2473" s="9" t="s">
        <v>82</v>
      </c>
      <c r="F2473" s="9" t="s">
        <v>57</v>
      </c>
      <c r="G2473" s="10" t="n">
        <v>45653</v>
      </c>
      <c r="H2473" s="10" t="n">
        <v>45712</v>
      </c>
      <c r="I2473" s="9" t="s">
        <v>66</v>
      </c>
      <c r="J2473" s="9" t="s">
        <v>41</v>
      </c>
      <c r="K2473" s="9" t="n">
        <v>59</v>
      </c>
      <c r="L2473" s="9" t="n">
        <v>1</v>
      </c>
      <c r="M2473" s="9" t="n">
        <v>1</v>
      </c>
      <c r="N2473" s="9" t="s">
        <v>42</v>
      </c>
      <c r="O2473" s="9" t="s">
        <v>52</v>
      </c>
      <c r="P2473" s="9" t="n">
        <v>5.9</v>
      </c>
      <c r="Q2473" s="9" t="n">
        <v>10</v>
      </c>
      <c r="R2473" s="9" t="s">
        <v>44</v>
      </c>
      <c r="S2473" s="9"/>
      <c r="T2473" s="9"/>
      <c r="U2473" s="9" t="str">
        <f aca="false">IF(COUNTIF($A$2:$A$5001,A2473)&gt;1,"Duplicate","Unique")</f>
        <v>Unique</v>
      </c>
      <c r="V2473" s="9" t="str">
        <f aca="false">IF(COUNTIFS($B$2:$B$5001,B2473,$H$2:$H$5001,H2473,$J$2:$J$5001,J2473)&gt;1,"Possible Duplicate Booking","Unique")</f>
        <v>Unique</v>
      </c>
      <c r="W2473" s="9" t="str">
        <f aca="false">IF((H2473-G2473)&lt;&gt;K2473,"Mismatch","OK")</f>
        <v>OK</v>
      </c>
      <c r="X2473" s="9" t="str">
        <f aca="false">IF(TEXT(H2473,"dddd")&lt;&gt;I2473,"Mismatch","OK")</f>
        <v>OK</v>
      </c>
      <c r="Y2473" s="9" t="str">
        <f aca="false">IF(AND(N2473="No",O2473&lt;&gt;""),"Unexpected: channel present but no reminder sent",IF(AND(N2473="Yes",O2473=""),"Missing channel for sent reminder","OK"))</f>
        <v>OK</v>
      </c>
    </row>
    <row r="2474" customFormat="false" ht="15" hidden="false" customHeight="false" outlineLevel="0" collapsed="false">
      <c r="A2474" s="7" t="s">
        <v>3889</v>
      </c>
      <c r="B2474" s="7" t="s">
        <v>2989</v>
      </c>
      <c r="C2474" s="7" t="s">
        <v>47</v>
      </c>
      <c r="D2474" s="7" t="n">
        <v>57</v>
      </c>
      <c r="E2474" s="7" t="s">
        <v>61</v>
      </c>
      <c r="F2474" s="7" t="s">
        <v>74</v>
      </c>
      <c r="G2474" s="8" t="n">
        <v>45871</v>
      </c>
      <c r="H2474" s="8" t="n">
        <v>45884</v>
      </c>
      <c r="I2474" s="7" t="s">
        <v>50</v>
      </c>
      <c r="J2474" s="7" t="s">
        <v>51</v>
      </c>
      <c r="K2474" s="7" t="n">
        <v>13</v>
      </c>
      <c r="L2474" s="7" t="n">
        <v>1</v>
      </c>
      <c r="M2474" s="7" t="n">
        <v>0</v>
      </c>
      <c r="N2474" s="7" t="s">
        <v>71</v>
      </c>
      <c r="O2474" s="7"/>
      <c r="P2474" s="7" t="n">
        <v>10.1</v>
      </c>
      <c r="Q2474" s="7" t="n">
        <v>14</v>
      </c>
      <c r="R2474" s="7" t="s">
        <v>44</v>
      </c>
      <c r="S2474" s="7"/>
      <c r="T2474" s="7"/>
      <c r="U2474" s="7" t="str">
        <f aca="false">IF(COUNTIF($A$2:$A$5001,A2474)&gt;1,"Duplicate","Unique")</f>
        <v>Unique</v>
      </c>
      <c r="V2474" s="7" t="str">
        <f aca="false">IF(COUNTIFS($B$2:$B$5001,B2474,$H$2:$H$5001,H2474,$J$2:$J$5001,J2474)&gt;1,"Possible Duplicate Booking","Unique")</f>
        <v>Unique</v>
      </c>
      <c r="W2474" s="7" t="str">
        <f aca="false">IF((H2474-G2474)&lt;&gt;K2474,"Mismatch","OK")</f>
        <v>OK</v>
      </c>
      <c r="X2474" s="7" t="str">
        <f aca="false">IF(TEXT(H2474,"dddd")&lt;&gt;I2474,"Mismatch","OK")</f>
        <v>OK</v>
      </c>
      <c r="Y2474" s="7" t="str">
        <f aca="false">IF(AND(N2474="No",O2474&lt;&gt;""),"Unexpected: channel present but no reminder sent",IF(AND(N2474="Yes",O2474=""),"Missing channel for sent reminder","OK"))</f>
        <v>OK</v>
      </c>
    </row>
    <row r="2475" customFormat="false" ht="15" hidden="false" customHeight="false" outlineLevel="0" collapsed="false">
      <c r="A2475" s="9" t="s">
        <v>3890</v>
      </c>
      <c r="B2475" s="9" t="s">
        <v>2162</v>
      </c>
      <c r="C2475" s="9" t="s">
        <v>47</v>
      </c>
      <c r="D2475" s="9" t="n">
        <v>44</v>
      </c>
      <c r="E2475" s="9" t="s">
        <v>38</v>
      </c>
      <c r="F2475" s="9" t="s">
        <v>57</v>
      </c>
      <c r="G2475" s="10" t="n">
        <v>45756</v>
      </c>
      <c r="H2475" s="10" t="n">
        <v>45771</v>
      </c>
      <c r="I2475" s="9" t="s">
        <v>62</v>
      </c>
      <c r="J2475" s="9" t="s">
        <v>41</v>
      </c>
      <c r="K2475" s="9" t="n">
        <v>15</v>
      </c>
      <c r="L2475" s="9" t="n">
        <v>2</v>
      </c>
      <c r="M2475" s="9" t="n">
        <v>0</v>
      </c>
      <c r="N2475" s="9" t="s">
        <v>42</v>
      </c>
      <c r="O2475" s="9" t="s">
        <v>52</v>
      </c>
      <c r="P2475" s="9" t="n">
        <v>4.7</v>
      </c>
      <c r="Q2475" s="9" t="n">
        <v>13</v>
      </c>
      <c r="R2475" s="9" t="s">
        <v>53</v>
      </c>
      <c r="S2475" s="9"/>
      <c r="T2475" s="9"/>
      <c r="U2475" s="9" t="str">
        <f aca="false">IF(COUNTIF($A$2:$A$5001,A2475)&gt;1,"Duplicate","Unique")</f>
        <v>Unique</v>
      </c>
      <c r="V2475" s="9" t="str">
        <f aca="false">IF(COUNTIFS($B$2:$B$5001,B2475,$H$2:$H$5001,H2475,$J$2:$J$5001,J2475)&gt;1,"Possible Duplicate Booking","Unique")</f>
        <v>Unique</v>
      </c>
      <c r="W2475" s="9" t="str">
        <f aca="false">IF((H2475-G2475)&lt;&gt;K2475,"Mismatch","OK")</f>
        <v>OK</v>
      </c>
      <c r="X2475" s="9" t="str">
        <f aca="false">IF(TEXT(H2475,"dddd")&lt;&gt;I2475,"Mismatch","OK")</f>
        <v>OK</v>
      </c>
      <c r="Y2475" s="9" t="str">
        <f aca="false">IF(AND(N2475="No",O2475&lt;&gt;""),"Unexpected: channel present but no reminder sent",IF(AND(N2475="Yes",O2475=""),"Missing channel for sent reminder","OK"))</f>
        <v>OK</v>
      </c>
    </row>
    <row r="2476" customFormat="false" ht="15" hidden="false" customHeight="false" outlineLevel="0" collapsed="false">
      <c r="A2476" s="7" t="s">
        <v>3891</v>
      </c>
      <c r="B2476" s="7" t="s">
        <v>3892</v>
      </c>
      <c r="C2476" s="7" t="s">
        <v>37</v>
      </c>
      <c r="D2476" s="7" t="n">
        <v>70</v>
      </c>
      <c r="E2476" s="7" t="s">
        <v>70</v>
      </c>
      <c r="F2476" s="7" t="s">
        <v>39</v>
      </c>
      <c r="G2476" s="8" t="n">
        <v>45687</v>
      </c>
      <c r="H2476" s="8" t="n">
        <v>45715</v>
      </c>
      <c r="I2476" s="7" t="s">
        <v>62</v>
      </c>
      <c r="J2476" s="7" t="s">
        <v>51</v>
      </c>
      <c r="K2476" s="7" t="n">
        <v>28</v>
      </c>
      <c r="L2476" s="7" t="n">
        <v>1</v>
      </c>
      <c r="M2476" s="7" t="n">
        <v>1</v>
      </c>
      <c r="N2476" s="7" t="s">
        <v>42</v>
      </c>
      <c r="O2476" s="7" t="s">
        <v>43</v>
      </c>
      <c r="P2476" s="7" t="n">
        <v>0.8</v>
      </c>
      <c r="Q2476" s="7" t="n">
        <v>31</v>
      </c>
      <c r="R2476" s="7" t="s">
        <v>44</v>
      </c>
      <c r="S2476" s="7"/>
      <c r="T2476" s="7"/>
      <c r="U2476" s="7" t="str">
        <f aca="false">IF(COUNTIF($A$2:$A$5001,A2476)&gt;1,"Duplicate","Unique")</f>
        <v>Unique</v>
      </c>
      <c r="V2476" s="7" t="str">
        <f aca="false">IF(COUNTIFS($B$2:$B$5001,B2476,$H$2:$H$5001,H2476,$J$2:$J$5001,J2476)&gt;1,"Possible Duplicate Booking","Unique")</f>
        <v>Unique</v>
      </c>
      <c r="W2476" s="7" t="str">
        <f aca="false">IF((H2476-G2476)&lt;&gt;K2476,"Mismatch","OK")</f>
        <v>OK</v>
      </c>
      <c r="X2476" s="7" t="str">
        <f aca="false">IF(TEXT(H2476,"dddd")&lt;&gt;I2476,"Mismatch","OK")</f>
        <v>OK</v>
      </c>
      <c r="Y2476" s="7" t="str">
        <f aca="false">IF(AND(N2476="No",O2476&lt;&gt;""),"Unexpected: channel present but no reminder sent",IF(AND(N2476="Yes",O2476=""),"Missing channel for sent reminder","OK"))</f>
        <v>OK</v>
      </c>
    </row>
    <row r="2477" customFormat="false" ht="15" hidden="false" customHeight="false" outlineLevel="0" collapsed="false">
      <c r="A2477" s="9" t="s">
        <v>3893</v>
      </c>
      <c r="B2477" s="9" t="s">
        <v>3894</v>
      </c>
      <c r="C2477" s="9" t="s">
        <v>37</v>
      </c>
      <c r="D2477" s="9" t="n">
        <v>60</v>
      </c>
      <c r="E2477" s="9" t="s">
        <v>61</v>
      </c>
      <c r="F2477" s="9" t="s">
        <v>57</v>
      </c>
      <c r="G2477" s="10" t="n">
        <v>45844</v>
      </c>
      <c r="H2477" s="10" t="n">
        <v>45888</v>
      </c>
      <c r="I2477" s="9" t="s">
        <v>40</v>
      </c>
      <c r="J2477" s="9" t="s">
        <v>41</v>
      </c>
      <c r="K2477" s="9" t="n">
        <v>44</v>
      </c>
      <c r="L2477" s="9" t="n">
        <v>0</v>
      </c>
      <c r="M2477" s="9" t="n">
        <v>0</v>
      </c>
      <c r="N2477" s="9" t="s">
        <v>42</v>
      </c>
      <c r="O2477" s="9" t="s">
        <v>67</v>
      </c>
      <c r="P2477" s="9" t="n">
        <v>22.1</v>
      </c>
      <c r="Q2477" s="9" t="n">
        <v>12</v>
      </c>
      <c r="R2477" s="9" t="s">
        <v>44</v>
      </c>
      <c r="S2477" s="9"/>
      <c r="T2477" s="9"/>
      <c r="U2477" s="9" t="str">
        <f aca="false">IF(COUNTIF($A$2:$A$5001,A2477)&gt;1,"Duplicate","Unique")</f>
        <v>Unique</v>
      </c>
      <c r="V2477" s="9" t="str">
        <f aca="false">IF(COUNTIFS($B$2:$B$5001,B2477,$H$2:$H$5001,H2477,$J$2:$J$5001,J2477)&gt;1,"Possible Duplicate Booking","Unique")</f>
        <v>Unique</v>
      </c>
      <c r="W2477" s="9" t="str">
        <f aca="false">IF((H2477-G2477)&lt;&gt;K2477,"Mismatch","OK")</f>
        <v>OK</v>
      </c>
      <c r="X2477" s="9" t="str">
        <f aca="false">IF(TEXT(H2477,"dddd")&lt;&gt;I2477,"Mismatch","OK")</f>
        <v>OK</v>
      </c>
      <c r="Y2477" s="9" t="str">
        <f aca="false">IF(AND(N2477="No",O2477&lt;&gt;""),"Unexpected: channel present but no reminder sent",IF(AND(N2477="Yes",O2477=""),"Missing channel for sent reminder","OK"))</f>
        <v>OK</v>
      </c>
    </row>
    <row r="2478" customFormat="false" ht="15" hidden="false" customHeight="false" outlineLevel="0" collapsed="false">
      <c r="A2478" s="7" t="s">
        <v>3895</v>
      </c>
      <c r="B2478" s="7" t="s">
        <v>3896</v>
      </c>
      <c r="C2478" s="7" t="s">
        <v>47</v>
      </c>
      <c r="D2478" s="7" t="n">
        <v>23</v>
      </c>
      <c r="E2478" s="7" t="s">
        <v>82</v>
      </c>
      <c r="F2478" s="7" t="s">
        <v>49</v>
      </c>
      <c r="G2478" s="8" t="n">
        <v>45884</v>
      </c>
      <c r="H2478" s="8" t="n">
        <v>45942</v>
      </c>
      <c r="I2478" s="7" t="s">
        <v>75</v>
      </c>
      <c r="J2478" s="7" t="s">
        <v>51</v>
      </c>
      <c r="K2478" s="7" t="n">
        <v>58</v>
      </c>
      <c r="L2478" s="7" t="n">
        <v>3</v>
      </c>
      <c r="M2478" s="7" t="n">
        <v>0</v>
      </c>
      <c r="N2478" s="7" t="s">
        <v>42</v>
      </c>
      <c r="O2478" s="7" t="s">
        <v>67</v>
      </c>
      <c r="P2478" s="7" t="n">
        <v>5.2</v>
      </c>
      <c r="Q2478" s="7" t="n">
        <v>30</v>
      </c>
      <c r="R2478" s="7" t="s">
        <v>44</v>
      </c>
      <c r="S2478" s="7"/>
      <c r="T2478" s="7"/>
      <c r="U2478" s="7" t="str">
        <f aca="false">IF(COUNTIF($A$2:$A$5001,A2478)&gt;1,"Duplicate","Unique")</f>
        <v>Unique</v>
      </c>
      <c r="V2478" s="7" t="str">
        <f aca="false">IF(COUNTIFS($B$2:$B$5001,B2478,$H$2:$H$5001,H2478,$J$2:$J$5001,J2478)&gt;1,"Possible Duplicate Booking","Unique")</f>
        <v>Unique</v>
      </c>
      <c r="W2478" s="7" t="str">
        <f aca="false">IF((H2478-G2478)&lt;&gt;K2478,"Mismatch","OK")</f>
        <v>OK</v>
      </c>
      <c r="X2478" s="7" t="str">
        <f aca="false">IF(TEXT(H2478,"dddd")&lt;&gt;I2478,"Mismatch","OK")</f>
        <v>OK</v>
      </c>
      <c r="Y2478" s="7" t="str">
        <f aca="false">IF(AND(N2478="No",O2478&lt;&gt;""),"Unexpected: channel present but no reminder sent",IF(AND(N2478="Yes",O2478=""),"Missing channel for sent reminder","OK"))</f>
        <v>OK</v>
      </c>
    </row>
    <row r="2479" customFormat="false" ht="15" hidden="false" customHeight="false" outlineLevel="0" collapsed="false">
      <c r="A2479" s="9" t="s">
        <v>3897</v>
      </c>
      <c r="B2479" s="9" t="s">
        <v>2292</v>
      </c>
      <c r="C2479" s="9" t="s">
        <v>37</v>
      </c>
      <c r="D2479" s="9" t="n">
        <v>70</v>
      </c>
      <c r="E2479" s="9" t="s">
        <v>70</v>
      </c>
      <c r="F2479" s="9" t="s">
        <v>49</v>
      </c>
      <c r="G2479" s="10" t="n">
        <v>45706</v>
      </c>
      <c r="H2479" s="10" t="n">
        <v>45754</v>
      </c>
      <c r="I2479" s="9" t="s">
        <v>66</v>
      </c>
      <c r="J2479" s="9" t="s">
        <v>41</v>
      </c>
      <c r="K2479" s="9" t="n">
        <v>48</v>
      </c>
      <c r="L2479" s="9" t="n">
        <v>2</v>
      </c>
      <c r="M2479" s="9" t="n">
        <v>1</v>
      </c>
      <c r="N2479" s="9" t="s">
        <v>42</v>
      </c>
      <c r="O2479" s="9" t="s">
        <v>52</v>
      </c>
      <c r="P2479" s="9" t="n">
        <v>14.6</v>
      </c>
      <c r="Q2479" s="9" t="n">
        <v>17</v>
      </c>
      <c r="R2479" s="9" t="s">
        <v>44</v>
      </c>
      <c r="S2479" s="9"/>
      <c r="T2479" s="9"/>
      <c r="U2479" s="9" t="str">
        <f aca="false">IF(COUNTIF($A$2:$A$5001,A2479)&gt;1,"Duplicate","Unique")</f>
        <v>Unique</v>
      </c>
      <c r="V2479" s="9" t="str">
        <f aca="false">IF(COUNTIFS($B$2:$B$5001,B2479,$H$2:$H$5001,H2479,$J$2:$J$5001,J2479)&gt;1,"Possible Duplicate Booking","Unique")</f>
        <v>Unique</v>
      </c>
      <c r="W2479" s="9" t="str">
        <f aca="false">IF((H2479-G2479)&lt;&gt;K2479,"Mismatch","OK")</f>
        <v>OK</v>
      </c>
      <c r="X2479" s="9" t="str">
        <f aca="false">IF(TEXT(H2479,"dddd")&lt;&gt;I2479,"Mismatch","OK")</f>
        <v>OK</v>
      </c>
      <c r="Y2479" s="9" t="str">
        <f aca="false">IF(AND(N2479="No",O2479&lt;&gt;""),"Unexpected: channel present but no reminder sent",IF(AND(N2479="Yes",O2479=""),"Missing channel for sent reminder","OK"))</f>
        <v>OK</v>
      </c>
    </row>
    <row r="2480" customFormat="false" ht="15" hidden="false" customHeight="false" outlineLevel="0" collapsed="false">
      <c r="A2480" s="7" t="s">
        <v>3898</v>
      </c>
      <c r="B2480" s="7" t="s">
        <v>1146</v>
      </c>
      <c r="C2480" s="7" t="s">
        <v>47</v>
      </c>
      <c r="D2480" s="7" t="n">
        <v>49</v>
      </c>
      <c r="E2480" s="7" t="s">
        <v>56</v>
      </c>
      <c r="F2480" s="7" t="s">
        <v>57</v>
      </c>
      <c r="G2480" s="8" t="n">
        <v>45652</v>
      </c>
      <c r="H2480" s="8" t="n">
        <v>45700</v>
      </c>
      <c r="I2480" s="7" t="s">
        <v>58</v>
      </c>
      <c r="J2480" s="7" t="s">
        <v>63</v>
      </c>
      <c r="K2480" s="7" t="n">
        <v>48</v>
      </c>
      <c r="L2480" s="7" t="n">
        <v>2</v>
      </c>
      <c r="M2480" s="7" t="n">
        <v>0</v>
      </c>
      <c r="N2480" s="7" t="s">
        <v>42</v>
      </c>
      <c r="O2480" s="7" t="s">
        <v>67</v>
      </c>
      <c r="P2480" s="7" t="n">
        <v>7.6</v>
      </c>
      <c r="Q2480" s="7" t="n">
        <v>23</v>
      </c>
      <c r="R2480" s="7" t="s">
        <v>44</v>
      </c>
      <c r="S2480" s="7"/>
      <c r="T2480" s="7"/>
      <c r="U2480" s="7" t="str">
        <f aca="false">IF(COUNTIF($A$2:$A$5001,A2480)&gt;1,"Duplicate","Unique")</f>
        <v>Unique</v>
      </c>
      <c r="V2480" s="7" t="str">
        <f aca="false">IF(COUNTIFS($B$2:$B$5001,B2480,$H$2:$H$5001,H2480,$J$2:$J$5001,J2480)&gt;1,"Possible Duplicate Booking","Unique")</f>
        <v>Unique</v>
      </c>
      <c r="W2480" s="7" t="str">
        <f aca="false">IF((H2480-G2480)&lt;&gt;K2480,"Mismatch","OK")</f>
        <v>OK</v>
      </c>
      <c r="X2480" s="7" t="str">
        <f aca="false">IF(TEXT(H2480,"dddd")&lt;&gt;I2480,"Mismatch","OK")</f>
        <v>OK</v>
      </c>
      <c r="Y2480" s="7" t="str">
        <f aca="false">IF(AND(N2480="No",O2480&lt;&gt;""),"Unexpected: channel present but no reminder sent",IF(AND(N2480="Yes",O2480=""),"Missing channel for sent reminder","OK"))</f>
        <v>OK</v>
      </c>
    </row>
    <row r="2481" customFormat="false" ht="15" hidden="false" customHeight="false" outlineLevel="0" collapsed="false">
      <c r="A2481" s="9" t="s">
        <v>3899</v>
      </c>
      <c r="B2481" s="9" t="s">
        <v>498</v>
      </c>
      <c r="C2481" s="9" t="s">
        <v>37</v>
      </c>
      <c r="D2481" s="9" t="n">
        <v>53</v>
      </c>
      <c r="E2481" s="9" t="s">
        <v>56</v>
      </c>
      <c r="F2481" s="9" t="s">
        <v>57</v>
      </c>
      <c r="G2481" s="10" t="n">
        <v>45705</v>
      </c>
      <c r="H2481" s="10" t="n">
        <v>45731</v>
      </c>
      <c r="I2481" s="9" t="s">
        <v>102</v>
      </c>
      <c r="J2481" s="9" t="s">
        <v>41</v>
      </c>
      <c r="K2481" s="9" t="n">
        <v>26</v>
      </c>
      <c r="L2481" s="9" t="n">
        <v>3</v>
      </c>
      <c r="M2481" s="9" t="n">
        <v>1</v>
      </c>
      <c r="N2481" s="9" t="s">
        <v>42</v>
      </c>
      <c r="O2481" s="9" t="s">
        <v>43</v>
      </c>
      <c r="P2481" s="9" t="n">
        <v>10</v>
      </c>
      <c r="Q2481" s="9" t="n">
        <v>18</v>
      </c>
      <c r="R2481" s="9" t="s">
        <v>44</v>
      </c>
      <c r="S2481" s="9"/>
      <c r="T2481" s="9"/>
      <c r="U2481" s="9" t="str">
        <f aca="false">IF(COUNTIF($A$2:$A$5001,A2481)&gt;1,"Duplicate","Unique")</f>
        <v>Unique</v>
      </c>
      <c r="V2481" s="9" t="str">
        <f aca="false">IF(COUNTIFS($B$2:$B$5001,B2481,$H$2:$H$5001,H2481,$J$2:$J$5001,J2481)&gt;1,"Possible Duplicate Booking","Unique")</f>
        <v>Unique</v>
      </c>
      <c r="W2481" s="9" t="str">
        <f aca="false">IF((H2481-G2481)&lt;&gt;K2481,"Mismatch","OK")</f>
        <v>OK</v>
      </c>
      <c r="X2481" s="9" t="str">
        <f aca="false">IF(TEXT(H2481,"dddd")&lt;&gt;I2481,"Mismatch","OK")</f>
        <v>OK</v>
      </c>
      <c r="Y2481" s="9" t="str">
        <f aca="false">IF(AND(N2481="No",O2481&lt;&gt;""),"Unexpected: channel present but no reminder sent",IF(AND(N2481="Yes",O2481=""),"Missing channel for sent reminder","OK"))</f>
        <v>OK</v>
      </c>
    </row>
    <row r="2482" customFormat="false" ht="15" hidden="false" customHeight="false" outlineLevel="0" collapsed="false">
      <c r="A2482" s="7" t="s">
        <v>3900</v>
      </c>
      <c r="B2482" s="7" t="s">
        <v>2927</v>
      </c>
      <c r="C2482" s="7" t="s">
        <v>37</v>
      </c>
      <c r="D2482" s="7" t="n">
        <v>78</v>
      </c>
      <c r="E2482" s="7" t="s">
        <v>70</v>
      </c>
      <c r="F2482" s="7" t="s">
        <v>57</v>
      </c>
      <c r="G2482" s="8" t="n">
        <v>45974</v>
      </c>
      <c r="H2482" s="8" t="n">
        <v>46013</v>
      </c>
      <c r="I2482" s="7" t="s">
        <v>66</v>
      </c>
      <c r="J2482" s="7" t="s">
        <v>51</v>
      </c>
      <c r="K2482" s="7" t="n">
        <v>39</v>
      </c>
      <c r="L2482" s="7" t="n">
        <v>5</v>
      </c>
      <c r="M2482" s="7" t="n">
        <v>1</v>
      </c>
      <c r="N2482" s="7" t="s">
        <v>42</v>
      </c>
      <c r="O2482" s="7" t="s">
        <v>43</v>
      </c>
      <c r="P2482" s="7" t="n">
        <v>9.4</v>
      </c>
      <c r="Q2482" s="7" t="n">
        <v>50</v>
      </c>
      <c r="R2482" s="7" t="s">
        <v>44</v>
      </c>
      <c r="S2482" s="7"/>
      <c r="T2482" s="7"/>
      <c r="U2482" s="7" t="str">
        <f aca="false">IF(COUNTIF($A$2:$A$5001,A2482)&gt;1,"Duplicate","Unique")</f>
        <v>Unique</v>
      </c>
      <c r="V2482" s="7" t="str">
        <f aca="false">IF(COUNTIFS($B$2:$B$5001,B2482,$H$2:$H$5001,H2482,$J$2:$J$5001,J2482)&gt;1,"Possible Duplicate Booking","Unique")</f>
        <v>Unique</v>
      </c>
      <c r="W2482" s="7" t="str">
        <f aca="false">IF((H2482-G2482)&lt;&gt;K2482,"Mismatch","OK")</f>
        <v>OK</v>
      </c>
      <c r="X2482" s="7" t="str">
        <f aca="false">IF(TEXT(H2482,"dddd")&lt;&gt;I2482,"Mismatch","OK")</f>
        <v>OK</v>
      </c>
      <c r="Y2482" s="7" t="str">
        <f aca="false">IF(AND(N2482="No",O2482&lt;&gt;""),"Unexpected: channel present but no reminder sent",IF(AND(N2482="Yes",O2482=""),"Missing channel for sent reminder","OK"))</f>
        <v>OK</v>
      </c>
    </row>
    <row r="2483" customFormat="false" ht="15" hidden="false" customHeight="false" outlineLevel="0" collapsed="false">
      <c r="A2483" s="9" t="s">
        <v>3901</v>
      </c>
      <c r="B2483" s="9" t="s">
        <v>1282</v>
      </c>
      <c r="C2483" s="9" t="s">
        <v>47</v>
      </c>
      <c r="D2483" s="9" t="n">
        <v>58</v>
      </c>
      <c r="E2483" s="9" t="s">
        <v>61</v>
      </c>
      <c r="F2483" s="9" t="s">
        <v>57</v>
      </c>
      <c r="G2483" s="10" t="n">
        <v>46115</v>
      </c>
      <c r="H2483" s="10" t="n">
        <v>46127</v>
      </c>
      <c r="I2483" s="9" t="s">
        <v>58</v>
      </c>
      <c r="J2483" s="9" t="s">
        <v>41</v>
      </c>
      <c r="K2483" s="9" t="n">
        <v>12</v>
      </c>
      <c r="L2483" s="9" t="n">
        <v>1</v>
      </c>
      <c r="M2483" s="9" t="n">
        <v>0</v>
      </c>
      <c r="N2483" s="9" t="s">
        <v>42</v>
      </c>
      <c r="O2483" s="9" t="s">
        <v>43</v>
      </c>
      <c r="P2483" s="9" t="n">
        <v>6.3</v>
      </c>
      <c r="Q2483" s="9" t="n">
        <v>6</v>
      </c>
      <c r="R2483" s="9" t="s">
        <v>44</v>
      </c>
      <c r="S2483" s="9"/>
      <c r="T2483" s="9"/>
      <c r="U2483" s="9" t="str">
        <f aca="false">IF(COUNTIF($A$2:$A$5001,A2483)&gt;1,"Duplicate","Unique")</f>
        <v>Unique</v>
      </c>
      <c r="V2483" s="9" t="str">
        <f aca="false">IF(COUNTIFS($B$2:$B$5001,B2483,$H$2:$H$5001,H2483,$J$2:$J$5001,J2483)&gt;1,"Possible Duplicate Booking","Unique")</f>
        <v>Unique</v>
      </c>
      <c r="W2483" s="9" t="str">
        <f aca="false">IF((H2483-G2483)&lt;&gt;K2483,"Mismatch","OK")</f>
        <v>OK</v>
      </c>
      <c r="X2483" s="9" t="str">
        <f aca="false">IF(TEXT(H2483,"dddd")&lt;&gt;I2483,"Mismatch","OK")</f>
        <v>OK</v>
      </c>
      <c r="Y2483" s="9" t="str">
        <f aca="false">IF(AND(N2483="No",O2483&lt;&gt;""),"Unexpected: channel present but no reminder sent",IF(AND(N2483="Yes",O2483=""),"Missing channel for sent reminder","OK"))</f>
        <v>OK</v>
      </c>
    </row>
    <row r="2484" customFormat="false" ht="15" hidden="false" customHeight="false" outlineLevel="0" collapsed="false">
      <c r="A2484" s="7" t="s">
        <v>3902</v>
      </c>
      <c r="B2484" s="7" t="s">
        <v>3903</v>
      </c>
      <c r="C2484" s="7" t="s">
        <v>47</v>
      </c>
      <c r="D2484" s="7" t="n">
        <v>19</v>
      </c>
      <c r="E2484" s="7" t="s">
        <v>82</v>
      </c>
      <c r="F2484" s="7" t="s">
        <v>74</v>
      </c>
      <c r="G2484" s="8" t="n">
        <v>45728</v>
      </c>
      <c r="H2484" s="8" t="n">
        <v>45756</v>
      </c>
      <c r="I2484" s="7" t="s">
        <v>58</v>
      </c>
      <c r="J2484" s="7" t="s">
        <v>63</v>
      </c>
      <c r="K2484" s="7" t="n">
        <v>28</v>
      </c>
      <c r="L2484" s="7" t="n">
        <v>3</v>
      </c>
      <c r="M2484" s="7" t="n">
        <v>0</v>
      </c>
      <c r="N2484" s="7" t="s">
        <v>42</v>
      </c>
      <c r="O2484" s="7" t="s">
        <v>52</v>
      </c>
      <c r="P2484" s="7" t="n">
        <v>8.6</v>
      </c>
      <c r="Q2484" s="7" t="n">
        <v>29</v>
      </c>
      <c r="R2484" s="7" t="s">
        <v>44</v>
      </c>
      <c r="S2484" s="7"/>
      <c r="T2484" s="7"/>
      <c r="U2484" s="7" t="str">
        <f aca="false">IF(COUNTIF($A$2:$A$5001,A2484)&gt;1,"Duplicate","Unique")</f>
        <v>Unique</v>
      </c>
      <c r="V2484" s="7" t="str">
        <f aca="false">IF(COUNTIFS($B$2:$B$5001,B2484,$H$2:$H$5001,H2484,$J$2:$J$5001,J2484)&gt;1,"Possible Duplicate Booking","Unique")</f>
        <v>Unique</v>
      </c>
      <c r="W2484" s="7" t="str">
        <f aca="false">IF((H2484-G2484)&lt;&gt;K2484,"Mismatch","OK")</f>
        <v>OK</v>
      </c>
      <c r="X2484" s="7" t="str">
        <f aca="false">IF(TEXT(H2484,"dddd")&lt;&gt;I2484,"Mismatch","OK")</f>
        <v>OK</v>
      </c>
      <c r="Y2484" s="7" t="str">
        <f aca="false">IF(AND(N2484="No",O2484&lt;&gt;""),"Unexpected: channel present but no reminder sent",IF(AND(N2484="Yes",O2484=""),"Missing channel for sent reminder","OK"))</f>
        <v>OK</v>
      </c>
    </row>
    <row r="2485" customFormat="false" ht="15" hidden="false" customHeight="false" outlineLevel="0" collapsed="false">
      <c r="A2485" s="9" t="s">
        <v>3904</v>
      </c>
      <c r="B2485" s="9" t="s">
        <v>3905</v>
      </c>
      <c r="C2485" s="9" t="s">
        <v>47</v>
      </c>
      <c r="D2485" s="9" t="n">
        <v>29</v>
      </c>
      <c r="E2485" s="9" t="s">
        <v>48</v>
      </c>
      <c r="F2485" s="9" t="s">
        <v>39</v>
      </c>
      <c r="G2485" s="10" t="n">
        <v>45821</v>
      </c>
      <c r="H2485" s="10" t="n">
        <v>45832</v>
      </c>
      <c r="I2485" s="9" t="s">
        <v>40</v>
      </c>
      <c r="J2485" s="9" t="s">
        <v>41</v>
      </c>
      <c r="K2485" s="9" t="n">
        <v>11</v>
      </c>
      <c r="L2485" s="9" t="n">
        <v>5</v>
      </c>
      <c r="M2485" s="9" t="n">
        <v>1</v>
      </c>
      <c r="N2485" s="9" t="s">
        <v>42</v>
      </c>
      <c r="O2485" s="9" t="s">
        <v>43</v>
      </c>
      <c r="P2485" s="9" t="n">
        <v>14</v>
      </c>
      <c r="Q2485" s="9" t="n">
        <v>24</v>
      </c>
      <c r="R2485" s="9" t="s">
        <v>53</v>
      </c>
      <c r="S2485" s="9"/>
      <c r="T2485" s="9"/>
      <c r="U2485" s="9" t="str">
        <f aca="false">IF(COUNTIF($A$2:$A$5001,A2485)&gt;1,"Duplicate","Unique")</f>
        <v>Unique</v>
      </c>
      <c r="V2485" s="9" t="str">
        <f aca="false">IF(COUNTIFS($B$2:$B$5001,B2485,$H$2:$H$5001,H2485,$J$2:$J$5001,J2485)&gt;1,"Possible Duplicate Booking","Unique")</f>
        <v>Unique</v>
      </c>
      <c r="W2485" s="9" t="str">
        <f aca="false">IF((H2485-G2485)&lt;&gt;K2485,"Mismatch","OK")</f>
        <v>OK</v>
      </c>
      <c r="X2485" s="9" t="str">
        <f aca="false">IF(TEXT(H2485,"dddd")&lt;&gt;I2485,"Mismatch","OK")</f>
        <v>OK</v>
      </c>
      <c r="Y2485" s="9" t="str">
        <f aca="false">IF(AND(N2485="No",O2485&lt;&gt;""),"Unexpected: channel present but no reminder sent",IF(AND(N2485="Yes",O2485=""),"Missing channel for sent reminder","OK"))</f>
        <v>OK</v>
      </c>
    </row>
    <row r="2486" customFormat="false" ht="15" hidden="false" customHeight="false" outlineLevel="0" collapsed="false">
      <c r="A2486" s="7" t="s">
        <v>3906</v>
      </c>
      <c r="B2486" s="7" t="s">
        <v>1262</v>
      </c>
      <c r="C2486" s="7" t="s">
        <v>47</v>
      </c>
      <c r="D2486" s="7" t="n">
        <v>44</v>
      </c>
      <c r="E2486" s="7" t="s">
        <v>38</v>
      </c>
      <c r="F2486" s="7" t="s">
        <v>39</v>
      </c>
      <c r="G2486" s="8" t="n">
        <v>45844</v>
      </c>
      <c r="H2486" s="8" t="n">
        <v>45845</v>
      </c>
      <c r="I2486" s="7" t="s">
        <v>66</v>
      </c>
      <c r="J2486" s="7" t="s">
        <v>41</v>
      </c>
      <c r="K2486" s="7" t="n">
        <v>1</v>
      </c>
      <c r="L2486" s="7" t="n">
        <v>3</v>
      </c>
      <c r="M2486" s="7" t="n">
        <v>1</v>
      </c>
      <c r="N2486" s="7" t="s">
        <v>71</v>
      </c>
      <c r="O2486" s="7"/>
      <c r="P2486" s="7" t="n">
        <v>8.9</v>
      </c>
      <c r="Q2486" s="7" t="n">
        <v>15</v>
      </c>
      <c r="R2486" s="7" t="s">
        <v>44</v>
      </c>
      <c r="S2486" s="7"/>
      <c r="T2486" s="7"/>
      <c r="U2486" s="7" t="str">
        <f aca="false">IF(COUNTIF($A$2:$A$5001,A2486)&gt;1,"Duplicate","Unique")</f>
        <v>Unique</v>
      </c>
      <c r="V2486" s="7" t="str">
        <f aca="false">IF(COUNTIFS($B$2:$B$5001,B2486,$H$2:$H$5001,H2486,$J$2:$J$5001,J2486)&gt;1,"Possible Duplicate Booking","Unique")</f>
        <v>Unique</v>
      </c>
      <c r="W2486" s="7" t="str">
        <f aca="false">IF((H2486-G2486)&lt;&gt;K2486,"Mismatch","OK")</f>
        <v>OK</v>
      </c>
      <c r="X2486" s="7" t="str">
        <f aca="false">IF(TEXT(H2486,"dddd")&lt;&gt;I2486,"Mismatch","OK")</f>
        <v>OK</v>
      </c>
      <c r="Y2486" s="7" t="str">
        <f aca="false">IF(AND(N2486="No",O2486&lt;&gt;""),"Unexpected: channel present but no reminder sent",IF(AND(N2486="Yes",O2486=""),"Missing channel for sent reminder","OK"))</f>
        <v>OK</v>
      </c>
    </row>
    <row r="2487" customFormat="false" ht="15" hidden="false" customHeight="false" outlineLevel="0" collapsed="false">
      <c r="A2487" s="9" t="s">
        <v>3907</v>
      </c>
      <c r="B2487" s="9" t="s">
        <v>3908</v>
      </c>
      <c r="C2487" s="9" t="s">
        <v>37</v>
      </c>
      <c r="D2487" s="9" t="n">
        <v>20</v>
      </c>
      <c r="E2487" s="9" t="s">
        <v>82</v>
      </c>
      <c r="F2487" s="9" t="s">
        <v>74</v>
      </c>
      <c r="G2487" s="10" t="n">
        <v>45802</v>
      </c>
      <c r="H2487" s="10" t="n">
        <v>45854</v>
      </c>
      <c r="I2487" s="9" t="s">
        <v>58</v>
      </c>
      <c r="J2487" s="9" t="s">
        <v>41</v>
      </c>
      <c r="K2487" s="9" t="n">
        <v>52</v>
      </c>
      <c r="L2487" s="9" t="n">
        <v>7</v>
      </c>
      <c r="M2487" s="9" t="n">
        <v>2</v>
      </c>
      <c r="N2487" s="9" t="s">
        <v>42</v>
      </c>
      <c r="O2487" s="9" t="s">
        <v>52</v>
      </c>
      <c r="P2487" s="9" t="n">
        <v>15.9</v>
      </c>
      <c r="Q2487" s="9" t="n">
        <v>28</v>
      </c>
      <c r="R2487" s="9" t="s">
        <v>44</v>
      </c>
      <c r="S2487" s="9"/>
      <c r="T2487" s="9"/>
      <c r="U2487" s="9" t="str">
        <f aca="false">IF(COUNTIF($A$2:$A$5001,A2487)&gt;1,"Duplicate","Unique")</f>
        <v>Unique</v>
      </c>
      <c r="V2487" s="9" t="str">
        <f aca="false">IF(COUNTIFS($B$2:$B$5001,B2487,$H$2:$H$5001,H2487,$J$2:$J$5001,J2487)&gt;1,"Possible Duplicate Booking","Unique")</f>
        <v>Unique</v>
      </c>
      <c r="W2487" s="9" t="str">
        <f aca="false">IF((H2487-G2487)&lt;&gt;K2487,"Mismatch","OK")</f>
        <v>OK</v>
      </c>
      <c r="X2487" s="9" t="str">
        <f aca="false">IF(TEXT(H2487,"dddd")&lt;&gt;I2487,"Mismatch","OK")</f>
        <v>OK</v>
      </c>
      <c r="Y2487" s="9" t="str">
        <f aca="false">IF(AND(N2487="No",O2487&lt;&gt;""),"Unexpected: channel present but no reminder sent",IF(AND(N2487="Yes",O2487=""),"Missing channel for sent reminder","OK"))</f>
        <v>OK</v>
      </c>
    </row>
    <row r="2488" customFormat="false" ht="15" hidden="false" customHeight="false" outlineLevel="0" collapsed="false">
      <c r="A2488" s="7" t="s">
        <v>3909</v>
      </c>
      <c r="B2488" s="7" t="s">
        <v>3910</v>
      </c>
      <c r="C2488" s="7" t="s">
        <v>47</v>
      </c>
      <c r="D2488" s="7" t="n">
        <v>28</v>
      </c>
      <c r="E2488" s="7" t="s">
        <v>48</v>
      </c>
      <c r="F2488" s="7" t="s">
        <v>49</v>
      </c>
      <c r="G2488" s="8" t="n">
        <v>45742</v>
      </c>
      <c r="H2488" s="8" t="n">
        <v>45791</v>
      </c>
      <c r="I2488" s="7" t="s">
        <v>58</v>
      </c>
      <c r="J2488" s="7" t="s">
        <v>41</v>
      </c>
      <c r="K2488" s="7" t="n">
        <v>49</v>
      </c>
      <c r="L2488" s="7" t="n">
        <v>3</v>
      </c>
      <c r="M2488" s="7" t="n">
        <v>0</v>
      </c>
      <c r="N2488" s="7" t="s">
        <v>42</v>
      </c>
      <c r="O2488" s="7" t="s">
        <v>43</v>
      </c>
      <c r="P2488" s="7" t="n">
        <v>5.9</v>
      </c>
      <c r="Q2488" s="7" t="n">
        <v>13</v>
      </c>
      <c r="R2488" s="7" t="s">
        <v>53</v>
      </c>
      <c r="S2488" s="7"/>
      <c r="T2488" s="7"/>
      <c r="U2488" s="7" t="str">
        <f aca="false">IF(COUNTIF($A$2:$A$5001,A2488)&gt;1,"Duplicate","Unique")</f>
        <v>Unique</v>
      </c>
      <c r="V2488" s="7" t="str">
        <f aca="false">IF(COUNTIFS($B$2:$B$5001,B2488,$H$2:$H$5001,H2488,$J$2:$J$5001,J2488)&gt;1,"Possible Duplicate Booking","Unique")</f>
        <v>Unique</v>
      </c>
      <c r="W2488" s="7" t="str">
        <f aca="false">IF((H2488-G2488)&lt;&gt;K2488,"Mismatch","OK")</f>
        <v>OK</v>
      </c>
      <c r="X2488" s="7" t="str">
        <f aca="false">IF(TEXT(H2488,"dddd")&lt;&gt;I2488,"Mismatch","OK")</f>
        <v>OK</v>
      </c>
      <c r="Y2488" s="7" t="str">
        <f aca="false">IF(AND(N2488="No",O2488&lt;&gt;""),"Unexpected: channel present but no reminder sent",IF(AND(N2488="Yes",O2488=""),"Missing channel for sent reminder","OK"))</f>
        <v>OK</v>
      </c>
    </row>
    <row r="2489" customFormat="false" ht="15" hidden="false" customHeight="false" outlineLevel="0" collapsed="false">
      <c r="A2489" s="9" t="s">
        <v>3911</v>
      </c>
      <c r="B2489" s="9" t="s">
        <v>3720</v>
      </c>
      <c r="C2489" s="9" t="s">
        <v>47</v>
      </c>
      <c r="D2489" s="9" t="n">
        <v>67</v>
      </c>
      <c r="E2489" s="9" t="s">
        <v>70</v>
      </c>
      <c r="F2489" s="9" t="s">
        <v>49</v>
      </c>
      <c r="G2489" s="10" t="n">
        <v>45657</v>
      </c>
      <c r="H2489" s="10" t="n">
        <v>45688</v>
      </c>
      <c r="I2489" s="9" t="s">
        <v>50</v>
      </c>
      <c r="J2489" s="9" t="s">
        <v>51</v>
      </c>
      <c r="K2489" s="9" t="n">
        <v>31</v>
      </c>
      <c r="L2489" s="9" t="n">
        <v>0</v>
      </c>
      <c r="M2489" s="9" t="n">
        <v>0</v>
      </c>
      <c r="N2489" s="9" t="s">
        <v>42</v>
      </c>
      <c r="O2489" s="9" t="s">
        <v>52</v>
      </c>
      <c r="P2489" s="9" t="n">
        <v>8</v>
      </c>
      <c r="Q2489" s="9" t="n">
        <v>12</v>
      </c>
      <c r="R2489" s="9" t="s">
        <v>44</v>
      </c>
      <c r="S2489" s="9"/>
      <c r="T2489" s="9"/>
      <c r="U2489" s="9" t="str">
        <f aca="false">IF(COUNTIF($A$2:$A$5001,A2489)&gt;1,"Duplicate","Unique")</f>
        <v>Unique</v>
      </c>
      <c r="V2489" s="9" t="str">
        <f aca="false">IF(COUNTIFS($B$2:$B$5001,B2489,$H$2:$H$5001,H2489,$J$2:$J$5001,J2489)&gt;1,"Possible Duplicate Booking","Unique")</f>
        <v>Unique</v>
      </c>
      <c r="W2489" s="9" t="str">
        <f aca="false">IF((H2489-G2489)&lt;&gt;K2489,"Mismatch","OK")</f>
        <v>OK</v>
      </c>
      <c r="X2489" s="9" t="str">
        <f aca="false">IF(TEXT(H2489,"dddd")&lt;&gt;I2489,"Mismatch","OK")</f>
        <v>OK</v>
      </c>
      <c r="Y2489" s="9" t="str">
        <f aca="false">IF(AND(N2489="No",O2489&lt;&gt;""),"Unexpected: channel present but no reminder sent",IF(AND(N2489="Yes",O2489=""),"Missing channel for sent reminder","OK"))</f>
        <v>OK</v>
      </c>
    </row>
    <row r="2490" customFormat="false" ht="15" hidden="false" customHeight="false" outlineLevel="0" collapsed="false">
      <c r="A2490" s="7" t="s">
        <v>3912</v>
      </c>
      <c r="B2490" s="7" t="s">
        <v>3752</v>
      </c>
      <c r="C2490" s="7" t="s">
        <v>47</v>
      </c>
      <c r="D2490" s="7" t="n">
        <v>26</v>
      </c>
      <c r="E2490" s="7" t="s">
        <v>48</v>
      </c>
      <c r="F2490" s="7" t="s">
        <v>57</v>
      </c>
      <c r="G2490" s="8" t="n">
        <v>45944</v>
      </c>
      <c r="H2490" s="8" t="n">
        <v>45944</v>
      </c>
      <c r="I2490" s="7" t="s">
        <v>40</v>
      </c>
      <c r="J2490" s="7" t="s">
        <v>41</v>
      </c>
      <c r="K2490" s="7" t="n">
        <v>0</v>
      </c>
      <c r="L2490" s="7" t="n">
        <v>1</v>
      </c>
      <c r="M2490" s="7" t="n">
        <v>0</v>
      </c>
      <c r="N2490" s="7" t="s">
        <v>42</v>
      </c>
      <c r="O2490" s="7" t="s">
        <v>67</v>
      </c>
      <c r="P2490" s="7"/>
      <c r="Q2490" s="7" t="n">
        <v>11</v>
      </c>
      <c r="R2490" s="7" t="s">
        <v>53</v>
      </c>
      <c r="S2490" s="7"/>
      <c r="T2490" s="7"/>
      <c r="U2490" s="7" t="str">
        <f aca="false">IF(COUNTIF($A$2:$A$5001,A2490)&gt;1,"Duplicate","Unique")</f>
        <v>Unique</v>
      </c>
      <c r="V2490" s="7" t="str">
        <f aca="false">IF(COUNTIFS($B$2:$B$5001,B2490,$H$2:$H$5001,H2490,$J$2:$J$5001,J2490)&gt;1,"Possible Duplicate Booking","Unique")</f>
        <v>Unique</v>
      </c>
      <c r="W2490" s="7" t="str">
        <f aca="false">IF((H2490-G2490)&lt;&gt;K2490,"Mismatch","OK")</f>
        <v>OK</v>
      </c>
      <c r="X2490" s="7" t="str">
        <f aca="false">IF(TEXT(H2490,"dddd")&lt;&gt;I2490,"Mismatch","OK")</f>
        <v>OK</v>
      </c>
      <c r="Y2490" s="7" t="str">
        <f aca="false">IF(AND(N2490="No",O2490&lt;&gt;""),"Unexpected: channel present but no reminder sent",IF(AND(N2490="Yes",O2490=""),"Missing channel for sent reminder","OK"))</f>
        <v>OK</v>
      </c>
    </row>
    <row r="2491" customFormat="false" ht="15" hidden="false" customHeight="false" outlineLevel="0" collapsed="false">
      <c r="A2491" s="9" t="s">
        <v>3913</v>
      </c>
      <c r="B2491" s="9" t="s">
        <v>1355</v>
      </c>
      <c r="C2491" s="9" t="s">
        <v>37</v>
      </c>
      <c r="D2491" s="9" t="n">
        <v>28</v>
      </c>
      <c r="E2491" s="9" t="s">
        <v>48</v>
      </c>
      <c r="F2491" s="9" t="s">
        <v>57</v>
      </c>
      <c r="G2491" s="10" t="n">
        <v>45848</v>
      </c>
      <c r="H2491" s="10" t="n">
        <v>45853</v>
      </c>
      <c r="I2491" s="9" t="s">
        <v>40</v>
      </c>
      <c r="J2491" s="9" t="s">
        <v>41</v>
      </c>
      <c r="K2491" s="9" t="n">
        <v>5</v>
      </c>
      <c r="L2491" s="9" t="n">
        <v>3</v>
      </c>
      <c r="M2491" s="9" t="n">
        <v>1</v>
      </c>
      <c r="N2491" s="9" t="s">
        <v>71</v>
      </c>
      <c r="O2491" s="9"/>
      <c r="P2491" s="9" t="n">
        <v>10.6</v>
      </c>
      <c r="Q2491" s="9" t="n">
        <v>25</v>
      </c>
      <c r="R2491" s="9" t="s">
        <v>53</v>
      </c>
      <c r="S2491" s="9"/>
      <c r="T2491" s="9"/>
      <c r="U2491" s="9" t="str">
        <f aca="false">IF(COUNTIF($A$2:$A$5001,A2491)&gt;1,"Duplicate","Unique")</f>
        <v>Unique</v>
      </c>
      <c r="V2491" s="9" t="str">
        <f aca="false">IF(COUNTIFS($B$2:$B$5001,B2491,$H$2:$H$5001,H2491,$J$2:$J$5001,J2491)&gt;1,"Possible Duplicate Booking","Unique")</f>
        <v>Unique</v>
      </c>
      <c r="W2491" s="9" t="str">
        <f aca="false">IF((H2491-G2491)&lt;&gt;K2491,"Mismatch","OK")</f>
        <v>OK</v>
      </c>
      <c r="X2491" s="9" t="str">
        <f aca="false">IF(TEXT(H2491,"dddd")&lt;&gt;I2491,"Mismatch","OK")</f>
        <v>OK</v>
      </c>
      <c r="Y2491" s="9" t="str">
        <f aca="false">IF(AND(N2491="No",O2491&lt;&gt;""),"Unexpected: channel present but no reminder sent",IF(AND(N2491="Yes",O2491=""),"Missing channel for sent reminder","OK"))</f>
        <v>OK</v>
      </c>
    </row>
    <row r="2492" customFormat="false" ht="15" hidden="false" customHeight="false" outlineLevel="0" collapsed="false">
      <c r="A2492" s="7" t="s">
        <v>3914</v>
      </c>
      <c r="B2492" s="7" t="s">
        <v>3915</v>
      </c>
      <c r="C2492" s="7" t="s">
        <v>47</v>
      </c>
      <c r="D2492" s="7" t="n">
        <v>49</v>
      </c>
      <c r="E2492" s="7" t="s">
        <v>56</v>
      </c>
      <c r="F2492" s="7" t="s">
        <v>57</v>
      </c>
      <c r="G2492" s="8" t="n">
        <v>45838</v>
      </c>
      <c r="H2492" s="8" t="n">
        <v>45844</v>
      </c>
      <c r="I2492" s="7" t="s">
        <v>75</v>
      </c>
      <c r="J2492" s="7" t="s">
        <v>63</v>
      </c>
      <c r="K2492" s="7" t="n">
        <v>6</v>
      </c>
      <c r="L2492" s="7" t="n">
        <v>1</v>
      </c>
      <c r="M2492" s="7" t="n">
        <v>0</v>
      </c>
      <c r="N2492" s="7" t="s">
        <v>71</v>
      </c>
      <c r="O2492" s="7"/>
      <c r="P2492" s="7" t="n">
        <v>7.6</v>
      </c>
      <c r="Q2492" s="7" t="n">
        <v>17</v>
      </c>
      <c r="R2492" s="7" t="s">
        <v>53</v>
      </c>
      <c r="S2492" s="7"/>
      <c r="T2492" s="7"/>
      <c r="U2492" s="7" t="str">
        <f aca="false">IF(COUNTIF($A$2:$A$5001,A2492)&gt;1,"Duplicate","Unique")</f>
        <v>Unique</v>
      </c>
      <c r="V2492" s="7" t="str">
        <f aca="false">IF(COUNTIFS($B$2:$B$5001,B2492,$H$2:$H$5001,H2492,$J$2:$J$5001,J2492)&gt;1,"Possible Duplicate Booking","Unique")</f>
        <v>Unique</v>
      </c>
      <c r="W2492" s="7" t="str">
        <f aca="false">IF((H2492-G2492)&lt;&gt;K2492,"Mismatch","OK")</f>
        <v>OK</v>
      </c>
      <c r="X2492" s="7" t="str">
        <f aca="false">IF(TEXT(H2492,"dddd")&lt;&gt;I2492,"Mismatch","OK")</f>
        <v>OK</v>
      </c>
      <c r="Y2492" s="7" t="str">
        <f aca="false">IF(AND(N2492="No",O2492&lt;&gt;""),"Unexpected: channel present but no reminder sent",IF(AND(N2492="Yes",O2492=""),"Missing channel for sent reminder","OK"))</f>
        <v>OK</v>
      </c>
    </row>
    <row r="2493" customFormat="false" ht="15" hidden="false" customHeight="false" outlineLevel="0" collapsed="false">
      <c r="A2493" s="9" t="s">
        <v>3916</v>
      </c>
      <c r="B2493" s="9" t="s">
        <v>1127</v>
      </c>
      <c r="C2493" s="9" t="s">
        <v>37</v>
      </c>
      <c r="D2493" s="9" t="n">
        <v>23</v>
      </c>
      <c r="E2493" s="9" t="s">
        <v>82</v>
      </c>
      <c r="F2493" s="9" t="s">
        <v>57</v>
      </c>
      <c r="G2493" s="10" t="n">
        <v>45759</v>
      </c>
      <c r="H2493" s="10" t="n">
        <v>45802</v>
      </c>
      <c r="I2493" s="9" t="s">
        <v>75</v>
      </c>
      <c r="J2493" s="9" t="s">
        <v>51</v>
      </c>
      <c r="K2493" s="9" t="n">
        <v>43</v>
      </c>
      <c r="L2493" s="9" t="n">
        <v>3</v>
      </c>
      <c r="M2493" s="9" t="n">
        <v>0</v>
      </c>
      <c r="N2493" s="9" t="s">
        <v>42</v>
      </c>
      <c r="O2493" s="9" t="s">
        <v>52</v>
      </c>
      <c r="P2493" s="9" t="n">
        <v>9.3</v>
      </c>
      <c r="Q2493" s="9" t="n">
        <v>14</v>
      </c>
      <c r="R2493" s="9" t="s">
        <v>44</v>
      </c>
      <c r="S2493" s="9"/>
      <c r="T2493" s="9"/>
      <c r="U2493" s="9" t="str">
        <f aca="false">IF(COUNTIF($A$2:$A$5001,A2493)&gt;1,"Duplicate","Unique")</f>
        <v>Unique</v>
      </c>
      <c r="V2493" s="9" t="str">
        <f aca="false">IF(COUNTIFS($B$2:$B$5001,B2493,$H$2:$H$5001,H2493,$J$2:$J$5001,J2493)&gt;1,"Possible Duplicate Booking","Unique")</f>
        <v>Unique</v>
      </c>
      <c r="W2493" s="9" t="str">
        <f aca="false">IF((H2493-G2493)&lt;&gt;K2493,"Mismatch","OK")</f>
        <v>OK</v>
      </c>
      <c r="X2493" s="9" t="str">
        <f aca="false">IF(TEXT(H2493,"dddd")&lt;&gt;I2493,"Mismatch","OK")</f>
        <v>OK</v>
      </c>
      <c r="Y2493" s="9" t="str">
        <f aca="false">IF(AND(N2493="No",O2493&lt;&gt;""),"Unexpected: channel present but no reminder sent",IF(AND(N2493="Yes",O2493=""),"Missing channel for sent reminder","OK"))</f>
        <v>OK</v>
      </c>
    </row>
    <row r="2494" customFormat="false" ht="15" hidden="false" customHeight="false" outlineLevel="0" collapsed="false">
      <c r="A2494" s="7" t="s">
        <v>3917</v>
      </c>
      <c r="B2494" s="7" t="s">
        <v>3918</v>
      </c>
      <c r="C2494" s="7" t="s">
        <v>47</v>
      </c>
      <c r="D2494" s="7" t="n">
        <v>34</v>
      </c>
      <c r="E2494" s="7" t="s">
        <v>48</v>
      </c>
      <c r="F2494" s="7" t="s">
        <v>57</v>
      </c>
      <c r="G2494" s="8" t="n">
        <v>46153</v>
      </c>
      <c r="H2494" s="8" t="n">
        <v>46165</v>
      </c>
      <c r="I2494" s="7" t="s">
        <v>102</v>
      </c>
      <c r="J2494" s="7" t="s">
        <v>51</v>
      </c>
      <c r="K2494" s="7" t="n">
        <v>12</v>
      </c>
      <c r="L2494" s="7" t="n">
        <v>2</v>
      </c>
      <c r="M2494" s="7" t="n">
        <v>0</v>
      </c>
      <c r="N2494" s="7" t="s">
        <v>42</v>
      </c>
      <c r="O2494" s="7" t="s">
        <v>43</v>
      </c>
      <c r="P2494" s="7" t="n">
        <v>21.3</v>
      </c>
      <c r="Q2494" s="7" t="n">
        <v>28</v>
      </c>
      <c r="R2494" s="7" t="s">
        <v>44</v>
      </c>
      <c r="S2494" s="7"/>
      <c r="T2494" s="7"/>
      <c r="U2494" s="7" t="str">
        <f aca="false">IF(COUNTIF($A$2:$A$5001,A2494)&gt;1,"Duplicate","Unique")</f>
        <v>Unique</v>
      </c>
      <c r="V2494" s="7" t="str">
        <f aca="false">IF(COUNTIFS($B$2:$B$5001,B2494,$H$2:$H$5001,H2494,$J$2:$J$5001,J2494)&gt;1,"Possible Duplicate Booking","Unique")</f>
        <v>Unique</v>
      </c>
      <c r="W2494" s="7" t="str">
        <f aca="false">IF((H2494-G2494)&lt;&gt;K2494,"Mismatch","OK")</f>
        <v>OK</v>
      </c>
      <c r="X2494" s="7" t="str">
        <f aca="false">IF(TEXT(H2494,"dddd")&lt;&gt;I2494,"Mismatch","OK")</f>
        <v>OK</v>
      </c>
      <c r="Y2494" s="7" t="str">
        <f aca="false">IF(AND(N2494="No",O2494&lt;&gt;""),"Unexpected: channel present but no reminder sent",IF(AND(N2494="Yes",O2494=""),"Missing channel for sent reminder","OK"))</f>
        <v>OK</v>
      </c>
    </row>
    <row r="2495" customFormat="false" ht="15" hidden="false" customHeight="false" outlineLevel="0" collapsed="false">
      <c r="A2495" s="9" t="s">
        <v>3919</v>
      </c>
      <c r="B2495" s="9" t="s">
        <v>3579</v>
      </c>
      <c r="C2495" s="9" t="s">
        <v>37</v>
      </c>
      <c r="D2495" s="9" t="n">
        <v>77</v>
      </c>
      <c r="E2495" s="9" t="s">
        <v>70</v>
      </c>
      <c r="F2495" s="9" t="s">
        <v>57</v>
      </c>
      <c r="G2495" s="10" t="n">
        <v>45976</v>
      </c>
      <c r="H2495" s="10" t="n">
        <v>45991</v>
      </c>
      <c r="I2495" s="9" t="s">
        <v>75</v>
      </c>
      <c r="J2495" s="9" t="s">
        <v>51</v>
      </c>
      <c r="K2495" s="9" t="n">
        <v>15</v>
      </c>
      <c r="L2495" s="9" t="n">
        <v>3</v>
      </c>
      <c r="M2495" s="9" t="n">
        <v>1</v>
      </c>
      <c r="N2495" s="9" t="s">
        <v>42</v>
      </c>
      <c r="O2495" s="9" t="s">
        <v>52</v>
      </c>
      <c r="P2495" s="9" t="n">
        <v>7.7</v>
      </c>
      <c r="Q2495" s="9" t="n">
        <v>36</v>
      </c>
      <c r="R2495" s="9" t="s">
        <v>44</v>
      </c>
      <c r="S2495" s="9"/>
      <c r="T2495" s="9"/>
      <c r="U2495" s="9" t="str">
        <f aca="false">IF(COUNTIF($A$2:$A$5001,A2495)&gt;1,"Duplicate","Unique")</f>
        <v>Unique</v>
      </c>
      <c r="V2495" s="9" t="str">
        <f aca="false">IF(COUNTIFS($B$2:$B$5001,B2495,$H$2:$H$5001,H2495,$J$2:$J$5001,J2495)&gt;1,"Possible Duplicate Booking","Unique")</f>
        <v>Unique</v>
      </c>
      <c r="W2495" s="9" t="str">
        <f aca="false">IF((H2495-G2495)&lt;&gt;K2495,"Mismatch","OK")</f>
        <v>OK</v>
      </c>
      <c r="X2495" s="9" t="str">
        <f aca="false">IF(TEXT(H2495,"dddd")&lt;&gt;I2495,"Mismatch","OK")</f>
        <v>OK</v>
      </c>
      <c r="Y2495" s="9" t="str">
        <f aca="false">IF(AND(N2495="No",O2495&lt;&gt;""),"Unexpected: channel present but no reminder sent",IF(AND(N2495="Yes",O2495=""),"Missing channel for sent reminder","OK"))</f>
        <v>OK</v>
      </c>
    </row>
    <row r="2496" customFormat="false" ht="15" hidden="false" customHeight="false" outlineLevel="0" collapsed="false">
      <c r="A2496" s="7" t="s">
        <v>3920</v>
      </c>
      <c r="B2496" s="7" t="s">
        <v>2489</v>
      </c>
      <c r="C2496" s="7" t="s">
        <v>47</v>
      </c>
      <c r="D2496" s="7" t="n">
        <v>57</v>
      </c>
      <c r="E2496" s="7" t="s">
        <v>61</v>
      </c>
      <c r="F2496" s="7" t="s">
        <v>57</v>
      </c>
      <c r="G2496" s="8" t="n">
        <v>45834</v>
      </c>
      <c r="H2496" s="8" t="n">
        <v>45886</v>
      </c>
      <c r="I2496" s="7" t="s">
        <v>75</v>
      </c>
      <c r="J2496" s="7" t="s">
        <v>41</v>
      </c>
      <c r="K2496" s="7" t="n">
        <v>52</v>
      </c>
      <c r="L2496" s="7" t="n">
        <v>0</v>
      </c>
      <c r="M2496" s="7" t="n">
        <v>0</v>
      </c>
      <c r="N2496" s="7" t="s">
        <v>42</v>
      </c>
      <c r="O2496" s="7" t="s">
        <v>52</v>
      </c>
      <c r="P2496" s="7" t="n">
        <v>19.7</v>
      </c>
      <c r="Q2496" s="7" t="n">
        <v>8</v>
      </c>
      <c r="R2496" s="7" t="s">
        <v>44</v>
      </c>
      <c r="S2496" s="7"/>
      <c r="T2496" s="7"/>
      <c r="U2496" s="7" t="str">
        <f aca="false">IF(COUNTIF($A$2:$A$5001,A2496)&gt;1,"Duplicate","Unique")</f>
        <v>Unique</v>
      </c>
      <c r="V2496" s="7" t="str">
        <f aca="false">IF(COUNTIFS($B$2:$B$5001,B2496,$H$2:$H$5001,H2496,$J$2:$J$5001,J2496)&gt;1,"Possible Duplicate Booking","Unique")</f>
        <v>Unique</v>
      </c>
      <c r="W2496" s="7" t="str">
        <f aca="false">IF((H2496-G2496)&lt;&gt;K2496,"Mismatch","OK")</f>
        <v>OK</v>
      </c>
      <c r="X2496" s="7" t="str">
        <f aca="false">IF(TEXT(H2496,"dddd")&lt;&gt;I2496,"Mismatch","OK")</f>
        <v>OK</v>
      </c>
      <c r="Y2496" s="7" t="str">
        <f aca="false">IF(AND(N2496="No",O2496&lt;&gt;""),"Unexpected: channel present but no reminder sent",IF(AND(N2496="Yes",O2496=""),"Missing channel for sent reminder","OK"))</f>
        <v>OK</v>
      </c>
    </row>
    <row r="2497" customFormat="false" ht="15" hidden="false" customHeight="false" outlineLevel="0" collapsed="false">
      <c r="A2497" s="9" t="s">
        <v>3921</v>
      </c>
      <c r="B2497" s="9" t="s">
        <v>1878</v>
      </c>
      <c r="C2497" s="9" t="s">
        <v>47</v>
      </c>
      <c r="D2497" s="9" t="n">
        <v>78</v>
      </c>
      <c r="E2497" s="9" t="s">
        <v>70</v>
      </c>
      <c r="F2497" s="9" t="s">
        <v>39</v>
      </c>
      <c r="G2497" s="10" t="n">
        <v>45717</v>
      </c>
      <c r="H2497" s="10" t="n">
        <v>45770</v>
      </c>
      <c r="I2497" s="9" t="s">
        <v>58</v>
      </c>
      <c r="J2497" s="9" t="s">
        <v>63</v>
      </c>
      <c r="K2497" s="9" t="n">
        <v>53</v>
      </c>
      <c r="L2497" s="9" t="n">
        <v>1</v>
      </c>
      <c r="M2497" s="9" t="n">
        <v>0</v>
      </c>
      <c r="N2497" s="9" t="s">
        <v>42</v>
      </c>
      <c r="O2497" s="9" t="s">
        <v>52</v>
      </c>
      <c r="P2497" s="9" t="n">
        <v>4.3</v>
      </c>
      <c r="Q2497" s="9" t="n">
        <v>28</v>
      </c>
      <c r="R2497" s="9" t="s">
        <v>44</v>
      </c>
      <c r="S2497" s="9"/>
      <c r="T2497" s="9"/>
      <c r="U2497" s="9" t="str">
        <f aca="false">IF(COUNTIF($A$2:$A$5001,A2497)&gt;1,"Duplicate","Unique")</f>
        <v>Unique</v>
      </c>
      <c r="V2497" s="9" t="str">
        <f aca="false">IF(COUNTIFS($B$2:$B$5001,B2497,$H$2:$H$5001,H2497,$J$2:$J$5001,J2497)&gt;1,"Possible Duplicate Booking","Unique")</f>
        <v>Unique</v>
      </c>
      <c r="W2497" s="9" t="str">
        <f aca="false">IF((H2497-G2497)&lt;&gt;K2497,"Mismatch","OK")</f>
        <v>OK</v>
      </c>
      <c r="X2497" s="9" t="str">
        <f aca="false">IF(TEXT(H2497,"dddd")&lt;&gt;I2497,"Mismatch","OK")</f>
        <v>OK</v>
      </c>
      <c r="Y2497" s="9" t="str">
        <f aca="false">IF(AND(N2497="No",O2497&lt;&gt;""),"Unexpected: channel present but no reminder sent",IF(AND(N2497="Yes",O2497=""),"Missing channel for sent reminder","OK"))</f>
        <v>OK</v>
      </c>
    </row>
    <row r="2498" customFormat="false" ht="15" hidden="false" customHeight="false" outlineLevel="0" collapsed="false">
      <c r="A2498" s="7" t="s">
        <v>3922</v>
      </c>
      <c r="B2498" s="7" t="s">
        <v>962</v>
      </c>
      <c r="C2498" s="7" t="s">
        <v>47</v>
      </c>
      <c r="D2498" s="7" t="n">
        <v>40</v>
      </c>
      <c r="E2498" s="7" t="s">
        <v>38</v>
      </c>
      <c r="F2498" s="7" t="s">
        <v>57</v>
      </c>
      <c r="G2498" s="8" t="n">
        <v>46049</v>
      </c>
      <c r="H2498" s="8" t="n">
        <v>46095</v>
      </c>
      <c r="I2498" s="7" t="s">
        <v>102</v>
      </c>
      <c r="J2498" s="7" t="s">
        <v>41</v>
      </c>
      <c r="K2498" s="7" t="n">
        <v>46</v>
      </c>
      <c r="L2498" s="7" t="n">
        <v>1</v>
      </c>
      <c r="M2498" s="7" t="n">
        <v>1</v>
      </c>
      <c r="N2498" s="7" t="s">
        <v>42</v>
      </c>
      <c r="O2498" s="7" t="s">
        <v>52</v>
      </c>
      <c r="P2498" s="7" t="n">
        <v>4.7</v>
      </c>
      <c r="Q2498" s="7" t="n">
        <v>30</v>
      </c>
      <c r="R2498" s="7" t="s">
        <v>44</v>
      </c>
      <c r="S2498" s="7"/>
      <c r="T2498" s="7"/>
      <c r="U2498" s="7" t="str">
        <f aca="false">IF(COUNTIF($A$2:$A$5001,A2498)&gt;1,"Duplicate","Unique")</f>
        <v>Unique</v>
      </c>
      <c r="V2498" s="7" t="str">
        <f aca="false">IF(COUNTIFS($B$2:$B$5001,B2498,$H$2:$H$5001,H2498,$J$2:$J$5001,J2498)&gt;1,"Possible Duplicate Booking","Unique")</f>
        <v>Unique</v>
      </c>
      <c r="W2498" s="7" t="str">
        <f aca="false">IF((H2498-G2498)&lt;&gt;K2498,"Mismatch","OK")</f>
        <v>OK</v>
      </c>
      <c r="X2498" s="7" t="str">
        <f aca="false">IF(TEXT(H2498,"dddd")&lt;&gt;I2498,"Mismatch","OK")</f>
        <v>OK</v>
      </c>
      <c r="Y2498" s="7" t="str">
        <f aca="false">IF(AND(N2498="No",O2498&lt;&gt;""),"Unexpected: channel present but no reminder sent",IF(AND(N2498="Yes",O2498=""),"Missing channel for sent reminder","OK"))</f>
        <v>OK</v>
      </c>
    </row>
    <row r="2499" customFormat="false" ht="15" hidden="false" customHeight="false" outlineLevel="0" collapsed="false">
      <c r="A2499" s="9" t="s">
        <v>3923</v>
      </c>
      <c r="B2499" s="9" t="s">
        <v>3924</v>
      </c>
      <c r="C2499" s="9" t="s">
        <v>47</v>
      </c>
      <c r="D2499" s="9" t="n">
        <v>56</v>
      </c>
      <c r="E2499" s="9" t="s">
        <v>61</v>
      </c>
      <c r="F2499" s="9" t="s">
        <v>57</v>
      </c>
      <c r="G2499" s="10" t="n">
        <v>46125</v>
      </c>
      <c r="H2499" s="10" t="n">
        <v>46143</v>
      </c>
      <c r="I2499" s="9" t="s">
        <v>50</v>
      </c>
      <c r="J2499" s="9" t="s">
        <v>51</v>
      </c>
      <c r="K2499" s="9" t="n">
        <v>18</v>
      </c>
      <c r="L2499" s="9" t="n">
        <v>1</v>
      </c>
      <c r="M2499" s="9" t="n">
        <v>0</v>
      </c>
      <c r="N2499" s="9" t="s">
        <v>42</v>
      </c>
      <c r="O2499" s="9" t="s">
        <v>67</v>
      </c>
      <c r="P2499" s="9"/>
      <c r="Q2499" s="9" t="n">
        <v>38</v>
      </c>
      <c r="R2499" s="9" t="s">
        <v>53</v>
      </c>
      <c r="S2499" s="9"/>
      <c r="T2499" s="9"/>
      <c r="U2499" s="9" t="str">
        <f aca="false">IF(COUNTIF($A$2:$A$5001,A2499)&gt;1,"Duplicate","Unique")</f>
        <v>Unique</v>
      </c>
      <c r="V2499" s="9" t="str">
        <f aca="false">IF(COUNTIFS($B$2:$B$5001,B2499,$H$2:$H$5001,H2499,$J$2:$J$5001,J2499)&gt;1,"Possible Duplicate Booking","Unique")</f>
        <v>Unique</v>
      </c>
      <c r="W2499" s="9" t="str">
        <f aca="false">IF((H2499-G2499)&lt;&gt;K2499,"Mismatch","OK")</f>
        <v>OK</v>
      </c>
      <c r="X2499" s="9" t="str">
        <f aca="false">IF(TEXT(H2499,"dddd")&lt;&gt;I2499,"Mismatch","OK")</f>
        <v>OK</v>
      </c>
      <c r="Y2499" s="9" t="str">
        <f aca="false">IF(AND(N2499="No",O2499&lt;&gt;""),"Unexpected: channel present but no reminder sent",IF(AND(N2499="Yes",O2499=""),"Missing channel for sent reminder","OK"))</f>
        <v>OK</v>
      </c>
    </row>
    <row r="2500" customFormat="false" ht="15" hidden="false" customHeight="false" outlineLevel="0" collapsed="false">
      <c r="A2500" s="7" t="s">
        <v>3925</v>
      </c>
      <c r="B2500" s="7" t="s">
        <v>1706</v>
      </c>
      <c r="C2500" s="7" t="s">
        <v>47</v>
      </c>
      <c r="D2500" s="7" t="n">
        <v>33</v>
      </c>
      <c r="E2500" s="7" t="s">
        <v>48</v>
      </c>
      <c r="F2500" s="7" t="s">
        <v>57</v>
      </c>
      <c r="G2500" s="8" t="n">
        <v>45640</v>
      </c>
      <c r="H2500" s="8" t="n">
        <v>45675</v>
      </c>
      <c r="I2500" s="7" t="s">
        <v>102</v>
      </c>
      <c r="J2500" s="7" t="s">
        <v>51</v>
      </c>
      <c r="K2500" s="7" t="n">
        <v>35</v>
      </c>
      <c r="L2500" s="7" t="n">
        <v>1</v>
      </c>
      <c r="M2500" s="7" t="n">
        <v>0</v>
      </c>
      <c r="N2500" s="7" t="s">
        <v>42</v>
      </c>
      <c r="O2500" s="7" t="s">
        <v>52</v>
      </c>
      <c r="P2500" s="7" t="n">
        <v>3</v>
      </c>
      <c r="Q2500" s="7" t="n">
        <v>21</v>
      </c>
      <c r="R2500" s="7" t="s">
        <v>87</v>
      </c>
      <c r="S2500" s="7"/>
      <c r="T2500" s="7"/>
      <c r="U2500" s="7" t="str">
        <f aca="false">IF(COUNTIF($A$2:$A$5001,A2500)&gt;1,"Duplicate","Unique")</f>
        <v>Unique</v>
      </c>
      <c r="V2500" s="7" t="str">
        <f aca="false">IF(COUNTIFS($B$2:$B$5001,B2500,$H$2:$H$5001,H2500,$J$2:$J$5001,J2500)&gt;1,"Possible Duplicate Booking","Unique")</f>
        <v>Unique</v>
      </c>
      <c r="W2500" s="7" t="str">
        <f aca="false">IF((H2500-G2500)&lt;&gt;K2500,"Mismatch","OK")</f>
        <v>OK</v>
      </c>
      <c r="X2500" s="7" t="str">
        <f aca="false">IF(TEXT(H2500,"dddd")&lt;&gt;I2500,"Mismatch","OK")</f>
        <v>OK</v>
      </c>
      <c r="Y2500" s="7" t="str">
        <f aca="false">IF(AND(N2500="No",O2500&lt;&gt;""),"Unexpected: channel present but no reminder sent",IF(AND(N2500="Yes",O2500=""),"Missing channel for sent reminder","OK"))</f>
        <v>OK</v>
      </c>
    </row>
    <row r="2501" customFormat="false" ht="15" hidden="false" customHeight="false" outlineLevel="0" collapsed="false">
      <c r="A2501" s="9" t="s">
        <v>3926</v>
      </c>
      <c r="B2501" s="9" t="s">
        <v>3872</v>
      </c>
      <c r="C2501" s="9" t="s">
        <v>37</v>
      </c>
      <c r="D2501" s="9" t="n">
        <v>41</v>
      </c>
      <c r="E2501" s="9" t="s">
        <v>38</v>
      </c>
      <c r="F2501" s="9" t="s">
        <v>39</v>
      </c>
      <c r="G2501" s="10" t="n">
        <v>46153</v>
      </c>
      <c r="H2501" s="10" t="n">
        <v>46165</v>
      </c>
      <c r="I2501" s="9" t="s">
        <v>102</v>
      </c>
      <c r="J2501" s="9" t="s">
        <v>41</v>
      </c>
      <c r="K2501" s="9" t="n">
        <v>12</v>
      </c>
      <c r="L2501" s="9" t="n">
        <v>5</v>
      </c>
      <c r="M2501" s="9" t="n">
        <v>0</v>
      </c>
      <c r="N2501" s="9" t="s">
        <v>42</v>
      </c>
      <c r="O2501" s="9" t="s">
        <v>52</v>
      </c>
      <c r="P2501" s="9" t="n">
        <v>8.9</v>
      </c>
      <c r="Q2501" s="9" t="n">
        <v>41</v>
      </c>
      <c r="R2501" s="9" t="s">
        <v>53</v>
      </c>
      <c r="S2501" s="9"/>
      <c r="T2501" s="9"/>
      <c r="U2501" s="9" t="str">
        <f aca="false">IF(COUNTIF($A$2:$A$5001,A2501)&gt;1,"Duplicate","Unique")</f>
        <v>Unique</v>
      </c>
      <c r="V2501" s="9" t="str">
        <f aca="false">IF(COUNTIFS($B$2:$B$5001,B2501,$H$2:$H$5001,H2501,$J$2:$J$5001,J2501)&gt;1,"Possible Duplicate Booking","Unique")</f>
        <v>Unique</v>
      </c>
      <c r="W2501" s="9" t="str">
        <f aca="false">IF((H2501-G2501)&lt;&gt;K2501,"Mismatch","OK")</f>
        <v>OK</v>
      </c>
      <c r="X2501" s="9" t="str">
        <f aca="false">IF(TEXT(H2501,"dddd")&lt;&gt;I2501,"Mismatch","OK")</f>
        <v>OK</v>
      </c>
      <c r="Y2501" s="9" t="str">
        <f aca="false">IF(AND(N2501="No",O2501&lt;&gt;""),"Unexpected: channel present but no reminder sent",IF(AND(N2501="Yes",O2501=""),"Missing channel for sent reminder","OK"))</f>
        <v>OK</v>
      </c>
    </row>
    <row r="2502" customFormat="false" ht="15" hidden="false" customHeight="false" outlineLevel="0" collapsed="false">
      <c r="A2502" s="7" t="s">
        <v>3927</v>
      </c>
      <c r="B2502" s="7" t="s">
        <v>1426</v>
      </c>
      <c r="C2502" s="7" t="s">
        <v>47</v>
      </c>
      <c r="D2502" s="7" t="n">
        <v>29</v>
      </c>
      <c r="E2502" s="7" t="s">
        <v>48</v>
      </c>
      <c r="F2502" s="7" t="s">
        <v>49</v>
      </c>
      <c r="G2502" s="8" t="n">
        <v>45987</v>
      </c>
      <c r="H2502" s="8" t="n">
        <v>46039</v>
      </c>
      <c r="I2502" s="7" t="s">
        <v>102</v>
      </c>
      <c r="J2502" s="7" t="s">
        <v>51</v>
      </c>
      <c r="K2502" s="7" t="n">
        <v>52</v>
      </c>
      <c r="L2502" s="7" t="n">
        <v>5</v>
      </c>
      <c r="M2502" s="7" t="n">
        <v>1</v>
      </c>
      <c r="N2502" s="7" t="s">
        <v>42</v>
      </c>
      <c r="O2502" s="7" t="s">
        <v>43</v>
      </c>
      <c r="P2502" s="7" t="n">
        <v>11.8</v>
      </c>
      <c r="Q2502" s="7" t="n">
        <v>30</v>
      </c>
      <c r="R2502" s="7" t="s">
        <v>44</v>
      </c>
      <c r="S2502" s="7"/>
      <c r="T2502" s="7"/>
      <c r="U2502" s="7" t="str">
        <f aca="false">IF(COUNTIF($A$2:$A$5001,A2502)&gt;1,"Duplicate","Unique")</f>
        <v>Unique</v>
      </c>
      <c r="V2502" s="7" t="str">
        <f aca="false">IF(COUNTIFS($B$2:$B$5001,B2502,$H$2:$H$5001,H2502,$J$2:$J$5001,J2502)&gt;1,"Possible Duplicate Booking","Unique")</f>
        <v>Unique</v>
      </c>
      <c r="W2502" s="7" t="str">
        <f aca="false">IF((H2502-G2502)&lt;&gt;K2502,"Mismatch","OK")</f>
        <v>OK</v>
      </c>
      <c r="X2502" s="7" t="str">
        <f aca="false">IF(TEXT(H2502,"dddd")&lt;&gt;I2502,"Mismatch","OK")</f>
        <v>OK</v>
      </c>
      <c r="Y2502" s="7" t="str">
        <f aca="false">IF(AND(N2502="No",O2502&lt;&gt;""),"Unexpected: channel present but no reminder sent",IF(AND(N2502="Yes",O2502=""),"Missing channel for sent reminder","OK"))</f>
        <v>OK</v>
      </c>
    </row>
    <row r="2503" customFormat="false" ht="15" hidden="false" customHeight="false" outlineLevel="0" collapsed="false">
      <c r="A2503" s="9" t="s">
        <v>3928</v>
      </c>
      <c r="B2503" s="9" t="s">
        <v>474</v>
      </c>
      <c r="C2503" s="9" t="s">
        <v>236</v>
      </c>
      <c r="D2503" s="9" t="n">
        <v>70</v>
      </c>
      <c r="E2503" s="9" t="s">
        <v>70</v>
      </c>
      <c r="F2503" s="9" t="s">
        <v>49</v>
      </c>
      <c r="G2503" s="10" t="n">
        <v>45707</v>
      </c>
      <c r="H2503" s="10" t="n">
        <v>45712</v>
      </c>
      <c r="I2503" s="9" t="s">
        <v>66</v>
      </c>
      <c r="J2503" s="9" t="s">
        <v>51</v>
      </c>
      <c r="K2503" s="9" t="n">
        <v>5</v>
      </c>
      <c r="L2503" s="9" t="n">
        <v>2</v>
      </c>
      <c r="M2503" s="9" t="n">
        <v>0</v>
      </c>
      <c r="N2503" s="9" t="s">
        <v>42</v>
      </c>
      <c r="O2503" s="9" t="s">
        <v>67</v>
      </c>
      <c r="P2503" s="9" t="n">
        <v>27.3</v>
      </c>
      <c r="Q2503" s="9" t="n">
        <v>3</v>
      </c>
      <c r="R2503" s="9" t="s">
        <v>44</v>
      </c>
      <c r="S2503" s="9"/>
      <c r="T2503" s="9"/>
      <c r="U2503" s="9" t="str">
        <f aca="false">IF(COUNTIF($A$2:$A$5001,A2503)&gt;1,"Duplicate","Unique")</f>
        <v>Unique</v>
      </c>
      <c r="V2503" s="9" t="str">
        <f aca="false">IF(COUNTIFS($B$2:$B$5001,B2503,$H$2:$H$5001,H2503,$J$2:$J$5001,J2503)&gt;1,"Possible Duplicate Booking","Unique")</f>
        <v>Unique</v>
      </c>
      <c r="W2503" s="9" t="str">
        <f aca="false">IF((H2503-G2503)&lt;&gt;K2503,"Mismatch","OK")</f>
        <v>OK</v>
      </c>
      <c r="X2503" s="9" t="str">
        <f aca="false">IF(TEXT(H2503,"dddd")&lt;&gt;I2503,"Mismatch","OK")</f>
        <v>OK</v>
      </c>
      <c r="Y2503" s="9" t="str">
        <f aca="false">IF(AND(N2503="No",O2503&lt;&gt;""),"Unexpected: channel present but no reminder sent",IF(AND(N2503="Yes",O2503=""),"Missing channel for sent reminder","OK"))</f>
        <v>OK</v>
      </c>
    </row>
    <row r="2504" customFormat="false" ht="15" hidden="false" customHeight="false" outlineLevel="0" collapsed="false">
      <c r="A2504" s="7" t="s">
        <v>3929</v>
      </c>
      <c r="B2504" s="7" t="s">
        <v>1836</v>
      </c>
      <c r="C2504" s="7" t="s">
        <v>37</v>
      </c>
      <c r="D2504" s="7" t="n">
        <v>29</v>
      </c>
      <c r="E2504" s="7" t="s">
        <v>48</v>
      </c>
      <c r="F2504" s="7" t="s">
        <v>57</v>
      </c>
      <c r="G2504" s="8" t="n">
        <v>46024</v>
      </c>
      <c r="H2504" s="8" t="n">
        <v>46069</v>
      </c>
      <c r="I2504" s="7" t="s">
        <v>66</v>
      </c>
      <c r="J2504" s="7" t="s">
        <v>51</v>
      </c>
      <c r="K2504" s="7" t="n">
        <v>45</v>
      </c>
      <c r="L2504" s="7" t="n">
        <v>2</v>
      </c>
      <c r="M2504" s="7" t="n">
        <v>1</v>
      </c>
      <c r="N2504" s="7" t="s">
        <v>42</v>
      </c>
      <c r="O2504" s="7" t="s">
        <v>52</v>
      </c>
      <c r="P2504" s="7" t="n">
        <v>7.4</v>
      </c>
      <c r="Q2504" s="7" t="n">
        <v>27</v>
      </c>
      <c r="R2504" s="7" t="s">
        <v>53</v>
      </c>
      <c r="S2504" s="7"/>
      <c r="T2504" s="7"/>
      <c r="U2504" s="7" t="str">
        <f aca="false">IF(COUNTIF($A$2:$A$5001,A2504)&gt;1,"Duplicate","Unique")</f>
        <v>Unique</v>
      </c>
      <c r="V2504" s="7" t="str">
        <f aca="false">IF(COUNTIFS($B$2:$B$5001,B2504,$H$2:$H$5001,H2504,$J$2:$J$5001,J2504)&gt;1,"Possible Duplicate Booking","Unique")</f>
        <v>Unique</v>
      </c>
      <c r="W2504" s="7" t="str">
        <f aca="false">IF((H2504-G2504)&lt;&gt;K2504,"Mismatch","OK")</f>
        <v>OK</v>
      </c>
      <c r="X2504" s="7" t="str">
        <f aca="false">IF(TEXT(H2504,"dddd")&lt;&gt;I2504,"Mismatch","OK")</f>
        <v>OK</v>
      </c>
      <c r="Y2504" s="7" t="str">
        <f aca="false">IF(AND(N2504="No",O2504&lt;&gt;""),"Unexpected: channel present but no reminder sent",IF(AND(N2504="Yes",O2504=""),"Missing channel for sent reminder","OK"))</f>
        <v>OK</v>
      </c>
    </row>
    <row r="2505" customFormat="false" ht="15" hidden="false" customHeight="false" outlineLevel="0" collapsed="false">
      <c r="A2505" s="9" t="s">
        <v>3930</v>
      </c>
      <c r="B2505" s="9" t="s">
        <v>1598</v>
      </c>
      <c r="C2505" s="9" t="s">
        <v>37</v>
      </c>
      <c r="D2505" s="9" t="n">
        <v>30</v>
      </c>
      <c r="E2505" s="9" t="s">
        <v>48</v>
      </c>
      <c r="F2505" s="9" t="s">
        <v>57</v>
      </c>
      <c r="G2505" s="10" t="n">
        <v>45685</v>
      </c>
      <c r="H2505" s="10" t="n">
        <v>45716</v>
      </c>
      <c r="I2505" s="9" t="s">
        <v>50</v>
      </c>
      <c r="J2505" s="9" t="s">
        <v>41</v>
      </c>
      <c r="K2505" s="9" t="n">
        <v>31</v>
      </c>
      <c r="L2505" s="9" t="n">
        <v>5</v>
      </c>
      <c r="M2505" s="9" t="n">
        <v>0</v>
      </c>
      <c r="N2505" s="9" t="s">
        <v>42</v>
      </c>
      <c r="O2505" s="9" t="s">
        <v>52</v>
      </c>
      <c r="P2505" s="9" t="n">
        <v>20.7</v>
      </c>
      <c r="Q2505" s="9" t="n">
        <v>24</v>
      </c>
      <c r="R2505" s="9" t="s">
        <v>44</v>
      </c>
      <c r="S2505" s="9"/>
      <c r="T2505" s="9"/>
      <c r="U2505" s="9" t="str">
        <f aca="false">IF(COUNTIF($A$2:$A$5001,A2505)&gt;1,"Duplicate","Unique")</f>
        <v>Unique</v>
      </c>
      <c r="V2505" s="9" t="str">
        <f aca="false">IF(COUNTIFS($B$2:$B$5001,B2505,$H$2:$H$5001,H2505,$J$2:$J$5001,J2505)&gt;1,"Possible Duplicate Booking","Unique")</f>
        <v>Unique</v>
      </c>
      <c r="W2505" s="9" t="str">
        <f aca="false">IF((H2505-G2505)&lt;&gt;K2505,"Mismatch","OK")</f>
        <v>OK</v>
      </c>
      <c r="X2505" s="9" t="str">
        <f aca="false">IF(TEXT(H2505,"dddd")&lt;&gt;I2505,"Mismatch","OK")</f>
        <v>OK</v>
      </c>
      <c r="Y2505" s="9" t="str">
        <f aca="false">IF(AND(N2505="No",O2505&lt;&gt;""),"Unexpected: channel present but no reminder sent",IF(AND(N2505="Yes",O2505=""),"Missing channel for sent reminder","OK"))</f>
        <v>OK</v>
      </c>
    </row>
    <row r="2506" customFormat="false" ht="15" hidden="false" customHeight="false" outlineLevel="0" collapsed="false">
      <c r="A2506" s="7" t="s">
        <v>3931</v>
      </c>
      <c r="B2506" s="7" t="s">
        <v>514</v>
      </c>
      <c r="C2506" s="7" t="s">
        <v>47</v>
      </c>
      <c r="D2506" s="7" t="n">
        <v>47</v>
      </c>
      <c r="E2506" s="7" t="s">
        <v>56</v>
      </c>
      <c r="F2506" s="7" t="s">
        <v>57</v>
      </c>
      <c r="G2506" s="8" t="n">
        <v>45639</v>
      </c>
      <c r="H2506" s="8" t="n">
        <v>45685</v>
      </c>
      <c r="I2506" s="7" t="s">
        <v>40</v>
      </c>
      <c r="J2506" s="7" t="s">
        <v>41</v>
      </c>
      <c r="K2506" s="7" t="n">
        <v>46</v>
      </c>
      <c r="L2506" s="7" t="n">
        <v>1</v>
      </c>
      <c r="M2506" s="7" t="n">
        <v>1</v>
      </c>
      <c r="N2506" s="7" t="s">
        <v>42</v>
      </c>
      <c r="O2506" s="7" t="s">
        <v>43</v>
      </c>
      <c r="P2506" s="7" t="n">
        <v>3.5</v>
      </c>
      <c r="Q2506" s="7" t="n">
        <v>35</v>
      </c>
      <c r="R2506" s="7" t="s">
        <v>87</v>
      </c>
      <c r="S2506" s="7"/>
      <c r="T2506" s="7"/>
      <c r="U2506" s="7" t="str">
        <f aca="false">IF(COUNTIF($A$2:$A$5001,A2506)&gt;1,"Duplicate","Unique")</f>
        <v>Unique</v>
      </c>
      <c r="V2506" s="7" t="str">
        <f aca="false">IF(COUNTIFS($B$2:$B$5001,B2506,$H$2:$H$5001,H2506,$J$2:$J$5001,J2506)&gt;1,"Possible Duplicate Booking","Unique")</f>
        <v>Unique</v>
      </c>
      <c r="W2506" s="7" t="str">
        <f aca="false">IF((H2506-G2506)&lt;&gt;K2506,"Mismatch","OK")</f>
        <v>OK</v>
      </c>
      <c r="X2506" s="7" t="str">
        <f aca="false">IF(TEXT(H2506,"dddd")&lt;&gt;I2506,"Mismatch","OK")</f>
        <v>OK</v>
      </c>
      <c r="Y2506" s="7" t="str">
        <f aca="false">IF(AND(N2506="No",O2506&lt;&gt;""),"Unexpected: channel present but no reminder sent",IF(AND(N2506="Yes",O2506=""),"Missing channel for sent reminder","OK"))</f>
        <v>OK</v>
      </c>
    </row>
    <row r="2507" customFormat="false" ht="15" hidden="false" customHeight="false" outlineLevel="0" collapsed="false">
      <c r="A2507" s="9" t="s">
        <v>3932</v>
      </c>
      <c r="B2507" s="9" t="s">
        <v>110</v>
      </c>
      <c r="C2507" s="9" t="s">
        <v>37</v>
      </c>
      <c r="D2507" s="9" t="n">
        <v>45</v>
      </c>
      <c r="E2507" s="9" t="s">
        <v>56</v>
      </c>
      <c r="F2507" s="9" t="s">
        <v>57</v>
      </c>
      <c r="G2507" s="10" t="n">
        <v>45693</v>
      </c>
      <c r="H2507" s="10" t="n">
        <v>45720</v>
      </c>
      <c r="I2507" s="9" t="s">
        <v>40</v>
      </c>
      <c r="J2507" s="9" t="s">
        <v>51</v>
      </c>
      <c r="K2507" s="9" t="n">
        <v>27</v>
      </c>
      <c r="L2507" s="9" t="n">
        <v>1</v>
      </c>
      <c r="M2507" s="9" t="n">
        <v>0</v>
      </c>
      <c r="N2507" s="9" t="s">
        <v>42</v>
      </c>
      <c r="O2507" s="9" t="s">
        <v>52</v>
      </c>
      <c r="P2507" s="9"/>
      <c r="Q2507" s="9" t="n">
        <v>37</v>
      </c>
      <c r="R2507" s="9" t="s">
        <v>53</v>
      </c>
      <c r="S2507" s="9"/>
      <c r="T2507" s="9"/>
      <c r="U2507" s="9" t="str">
        <f aca="false">IF(COUNTIF($A$2:$A$5001,A2507)&gt;1,"Duplicate","Unique")</f>
        <v>Unique</v>
      </c>
      <c r="V2507" s="9" t="str">
        <f aca="false">IF(COUNTIFS($B$2:$B$5001,B2507,$H$2:$H$5001,H2507,$J$2:$J$5001,J2507)&gt;1,"Possible Duplicate Booking","Unique")</f>
        <v>Unique</v>
      </c>
      <c r="W2507" s="9" t="str">
        <f aca="false">IF((H2507-G2507)&lt;&gt;K2507,"Mismatch","OK")</f>
        <v>OK</v>
      </c>
      <c r="X2507" s="9" t="str">
        <f aca="false">IF(TEXT(H2507,"dddd")&lt;&gt;I2507,"Mismatch","OK")</f>
        <v>OK</v>
      </c>
      <c r="Y2507" s="9" t="str">
        <f aca="false">IF(AND(N2507="No",O2507&lt;&gt;""),"Unexpected: channel present but no reminder sent",IF(AND(N2507="Yes",O2507=""),"Missing channel for sent reminder","OK"))</f>
        <v>OK</v>
      </c>
    </row>
    <row r="2508" customFormat="false" ht="15" hidden="false" customHeight="false" outlineLevel="0" collapsed="false">
      <c r="A2508" s="7" t="s">
        <v>3933</v>
      </c>
      <c r="B2508" s="7" t="s">
        <v>3934</v>
      </c>
      <c r="C2508" s="7" t="s">
        <v>47</v>
      </c>
      <c r="D2508" s="7" t="n">
        <v>37</v>
      </c>
      <c r="E2508" s="7" t="s">
        <v>38</v>
      </c>
      <c r="F2508" s="7" t="s">
        <v>57</v>
      </c>
      <c r="G2508" s="8" t="n">
        <v>45900</v>
      </c>
      <c r="H2508" s="8" t="n">
        <v>45909</v>
      </c>
      <c r="I2508" s="7" t="s">
        <v>40</v>
      </c>
      <c r="J2508" s="7" t="s">
        <v>51</v>
      </c>
      <c r="K2508" s="7" t="n">
        <v>9</v>
      </c>
      <c r="L2508" s="7" t="n">
        <v>4</v>
      </c>
      <c r="M2508" s="7" t="n">
        <v>1</v>
      </c>
      <c r="N2508" s="7" t="s">
        <v>71</v>
      </c>
      <c r="O2508" s="7"/>
      <c r="P2508" s="7" t="n">
        <v>7.2</v>
      </c>
      <c r="Q2508" s="7" t="n">
        <v>13</v>
      </c>
      <c r="R2508" s="7" t="s">
        <v>44</v>
      </c>
      <c r="S2508" s="7"/>
      <c r="T2508" s="7"/>
      <c r="U2508" s="7" t="str">
        <f aca="false">IF(COUNTIF($A$2:$A$5001,A2508)&gt;1,"Duplicate","Unique")</f>
        <v>Unique</v>
      </c>
      <c r="V2508" s="7" t="str">
        <f aca="false">IF(COUNTIFS($B$2:$B$5001,B2508,$H$2:$H$5001,H2508,$J$2:$J$5001,J2508)&gt;1,"Possible Duplicate Booking","Unique")</f>
        <v>Unique</v>
      </c>
      <c r="W2508" s="7" t="str">
        <f aca="false">IF((H2508-G2508)&lt;&gt;K2508,"Mismatch","OK")</f>
        <v>OK</v>
      </c>
      <c r="X2508" s="7" t="str">
        <f aca="false">IF(TEXT(H2508,"dddd")&lt;&gt;I2508,"Mismatch","OK")</f>
        <v>OK</v>
      </c>
      <c r="Y2508" s="7" t="str">
        <f aca="false">IF(AND(N2508="No",O2508&lt;&gt;""),"Unexpected: channel present but no reminder sent",IF(AND(N2508="Yes",O2508=""),"Missing channel for sent reminder","OK"))</f>
        <v>OK</v>
      </c>
    </row>
    <row r="2509" customFormat="false" ht="15" hidden="false" customHeight="false" outlineLevel="0" collapsed="false">
      <c r="A2509" s="9" t="s">
        <v>3935</v>
      </c>
      <c r="B2509" s="9" t="s">
        <v>3227</v>
      </c>
      <c r="C2509" s="9" t="s">
        <v>47</v>
      </c>
      <c r="D2509" s="9" t="n">
        <v>40</v>
      </c>
      <c r="E2509" s="9" t="s">
        <v>38</v>
      </c>
      <c r="F2509" s="9" t="s">
        <v>74</v>
      </c>
      <c r="G2509" s="10" t="n">
        <v>45951</v>
      </c>
      <c r="H2509" s="10" t="n">
        <v>45996</v>
      </c>
      <c r="I2509" s="9" t="s">
        <v>50</v>
      </c>
      <c r="J2509" s="9" t="s">
        <v>63</v>
      </c>
      <c r="K2509" s="9" t="n">
        <v>45</v>
      </c>
      <c r="L2509" s="9" t="n">
        <v>3</v>
      </c>
      <c r="M2509" s="9" t="n">
        <v>0</v>
      </c>
      <c r="N2509" s="9" t="s">
        <v>42</v>
      </c>
      <c r="O2509" s="9" t="s">
        <v>52</v>
      </c>
      <c r="P2509" s="9" t="n">
        <v>3.6</v>
      </c>
      <c r="Q2509" s="9" t="n">
        <v>34</v>
      </c>
      <c r="R2509" s="9" t="s">
        <v>53</v>
      </c>
      <c r="S2509" s="9"/>
      <c r="T2509" s="9"/>
      <c r="U2509" s="9" t="str">
        <f aca="false">IF(COUNTIF($A$2:$A$5001,A2509)&gt;1,"Duplicate","Unique")</f>
        <v>Unique</v>
      </c>
      <c r="V2509" s="9" t="str">
        <f aca="false">IF(COUNTIFS($B$2:$B$5001,B2509,$H$2:$H$5001,H2509,$J$2:$J$5001,J2509)&gt;1,"Possible Duplicate Booking","Unique")</f>
        <v>Unique</v>
      </c>
      <c r="W2509" s="9" t="str">
        <f aca="false">IF((H2509-G2509)&lt;&gt;K2509,"Mismatch","OK")</f>
        <v>OK</v>
      </c>
      <c r="X2509" s="9" t="str">
        <f aca="false">IF(TEXT(H2509,"dddd")&lt;&gt;I2509,"Mismatch","OK")</f>
        <v>OK</v>
      </c>
      <c r="Y2509" s="9" t="str">
        <f aca="false">IF(AND(N2509="No",O2509&lt;&gt;""),"Unexpected: channel present but no reminder sent",IF(AND(N2509="Yes",O2509=""),"Missing channel for sent reminder","OK"))</f>
        <v>OK</v>
      </c>
    </row>
    <row r="2510" customFormat="false" ht="15" hidden="false" customHeight="false" outlineLevel="0" collapsed="false">
      <c r="A2510" s="7" t="s">
        <v>3936</v>
      </c>
      <c r="B2510" s="7" t="s">
        <v>2513</v>
      </c>
      <c r="C2510" s="7" t="s">
        <v>47</v>
      </c>
      <c r="D2510" s="7" t="n">
        <v>36</v>
      </c>
      <c r="E2510" s="7" t="s">
        <v>38</v>
      </c>
      <c r="F2510" s="7" t="s">
        <v>57</v>
      </c>
      <c r="G2510" s="8" t="n">
        <v>45842</v>
      </c>
      <c r="H2510" s="8" t="n">
        <v>45880</v>
      </c>
      <c r="I2510" s="7" t="s">
        <v>66</v>
      </c>
      <c r="J2510" s="7" t="s">
        <v>51</v>
      </c>
      <c r="K2510" s="7" t="n">
        <v>38</v>
      </c>
      <c r="L2510" s="7" t="n">
        <v>3</v>
      </c>
      <c r="M2510" s="7" t="n">
        <v>0</v>
      </c>
      <c r="N2510" s="7" t="s">
        <v>42</v>
      </c>
      <c r="O2510" s="7" t="s">
        <v>67</v>
      </c>
      <c r="P2510" s="7" t="n">
        <v>9.6</v>
      </c>
      <c r="Q2510" s="7" t="n">
        <v>23</v>
      </c>
      <c r="R2510" s="7" t="s">
        <v>87</v>
      </c>
      <c r="S2510" s="7"/>
      <c r="T2510" s="7"/>
      <c r="U2510" s="7" t="str">
        <f aca="false">IF(COUNTIF($A$2:$A$5001,A2510)&gt;1,"Duplicate","Unique")</f>
        <v>Unique</v>
      </c>
      <c r="V2510" s="7" t="str">
        <f aca="false">IF(COUNTIFS($B$2:$B$5001,B2510,$H$2:$H$5001,H2510,$J$2:$J$5001,J2510)&gt;1,"Possible Duplicate Booking","Unique")</f>
        <v>Unique</v>
      </c>
      <c r="W2510" s="7" t="str">
        <f aca="false">IF((H2510-G2510)&lt;&gt;K2510,"Mismatch","OK")</f>
        <v>OK</v>
      </c>
      <c r="X2510" s="7" t="str">
        <f aca="false">IF(TEXT(H2510,"dddd")&lt;&gt;I2510,"Mismatch","OK")</f>
        <v>OK</v>
      </c>
      <c r="Y2510" s="7" t="str">
        <f aca="false">IF(AND(N2510="No",O2510&lt;&gt;""),"Unexpected: channel present but no reminder sent",IF(AND(N2510="Yes",O2510=""),"Missing channel for sent reminder","OK"))</f>
        <v>OK</v>
      </c>
    </row>
    <row r="2511" customFormat="false" ht="15" hidden="false" customHeight="false" outlineLevel="0" collapsed="false">
      <c r="A2511" s="9" t="s">
        <v>3937</v>
      </c>
      <c r="B2511" s="9" t="s">
        <v>3938</v>
      </c>
      <c r="C2511" s="9" t="s">
        <v>37</v>
      </c>
      <c r="D2511" s="9" t="n">
        <v>75</v>
      </c>
      <c r="E2511" s="9" t="s">
        <v>70</v>
      </c>
      <c r="F2511" s="9" t="s">
        <v>57</v>
      </c>
      <c r="G2511" s="10" t="n">
        <v>45696</v>
      </c>
      <c r="H2511" s="10" t="n">
        <v>45724</v>
      </c>
      <c r="I2511" s="9" t="s">
        <v>102</v>
      </c>
      <c r="J2511" s="9" t="s">
        <v>51</v>
      </c>
      <c r="K2511" s="9" t="n">
        <v>28</v>
      </c>
      <c r="L2511" s="9" t="n">
        <v>3</v>
      </c>
      <c r="M2511" s="9" t="n">
        <v>1</v>
      </c>
      <c r="N2511" s="9" t="s">
        <v>42</v>
      </c>
      <c r="O2511" s="9" t="s">
        <v>52</v>
      </c>
      <c r="P2511" s="9" t="n">
        <v>2.8</v>
      </c>
      <c r="Q2511" s="9" t="n">
        <v>16</v>
      </c>
      <c r="R2511" s="9" t="s">
        <v>87</v>
      </c>
      <c r="S2511" s="9"/>
      <c r="T2511" s="9"/>
      <c r="U2511" s="9" t="str">
        <f aca="false">IF(COUNTIF($A$2:$A$5001,A2511)&gt;1,"Duplicate","Unique")</f>
        <v>Unique</v>
      </c>
      <c r="V2511" s="9" t="str">
        <f aca="false">IF(COUNTIFS($B$2:$B$5001,B2511,$H$2:$H$5001,H2511,$J$2:$J$5001,J2511)&gt;1,"Possible Duplicate Booking","Unique")</f>
        <v>Unique</v>
      </c>
      <c r="W2511" s="9" t="str">
        <f aca="false">IF((H2511-G2511)&lt;&gt;K2511,"Mismatch","OK")</f>
        <v>OK</v>
      </c>
      <c r="X2511" s="9" t="str">
        <f aca="false">IF(TEXT(H2511,"dddd")&lt;&gt;I2511,"Mismatch","OK")</f>
        <v>OK</v>
      </c>
      <c r="Y2511" s="9" t="str">
        <f aca="false">IF(AND(N2511="No",O2511&lt;&gt;""),"Unexpected: channel present but no reminder sent",IF(AND(N2511="Yes",O2511=""),"Missing channel for sent reminder","OK"))</f>
        <v>OK</v>
      </c>
    </row>
    <row r="2512" customFormat="false" ht="15" hidden="false" customHeight="false" outlineLevel="0" collapsed="false">
      <c r="A2512" s="7" t="s">
        <v>3939</v>
      </c>
      <c r="B2512" s="7" t="s">
        <v>3281</v>
      </c>
      <c r="C2512" s="7" t="s">
        <v>37</v>
      </c>
      <c r="D2512" s="7" t="n">
        <v>54</v>
      </c>
      <c r="E2512" s="7" t="s">
        <v>56</v>
      </c>
      <c r="F2512" s="7" t="s">
        <v>49</v>
      </c>
      <c r="G2512" s="8" t="n">
        <v>45744</v>
      </c>
      <c r="H2512" s="8" t="n">
        <v>45766</v>
      </c>
      <c r="I2512" s="7" t="s">
        <v>102</v>
      </c>
      <c r="J2512" s="7" t="s">
        <v>51</v>
      </c>
      <c r="K2512" s="7" t="n">
        <v>22</v>
      </c>
      <c r="L2512" s="7" t="n">
        <v>10</v>
      </c>
      <c r="M2512" s="7" t="n">
        <v>1</v>
      </c>
      <c r="N2512" s="7" t="s">
        <v>42</v>
      </c>
      <c r="O2512" s="7" t="s">
        <v>43</v>
      </c>
      <c r="P2512" s="7" t="n">
        <v>8.4</v>
      </c>
      <c r="Q2512" s="7" t="n">
        <v>40</v>
      </c>
      <c r="R2512" s="7" t="s">
        <v>53</v>
      </c>
      <c r="S2512" s="7"/>
      <c r="T2512" s="7"/>
      <c r="U2512" s="7" t="str">
        <f aca="false">IF(COUNTIF($A$2:$A$5001,A2512)&gt;1,"Duplicate","Unique")</f>
        <v>Unique</v>
      </c>
      <c r="V2512" s="7" t="str">
        <f aca="false">IF(COUNTIFS($B$2:$B$5001,B2512,$H$2:$H$5001,H2512,$J$2:$J$5001,J2512)&gt;1,"Possible Duplicate Booking","Unique")</f>
        <v>Unique</v>
      </c>
      <c r="W2512" s="7" t="str">
        <f aca="false">IF((H2512-G2512)&lt;&gt;K2512,"Mismatch","OK")</f>
        <v>OK</v>
      </c>
      <c r="X2512" s="7" t="str">
        <f aca="false">IF(TEXT(H2512,"dddd")&lt;&gt;I2512,"Mismatch","OK")</f>
        <v>OK</v>
      </c>
      <c r="Y2512" s="7" t="str">
        <f aca="false">IF(AND(N2512="No",O2512&lt;&gt;""),"Unexpected: channel present but no reminder sent",IF(AND(N2512="Yes",O2512=""),"Missing channel for sent reminder","OK"))</f>
        <v>OK</v>
      </c>
    </row>
    <row r="2513" customFormat="false" ht="15" hidden="false" customHeight="false" outlineLevel="0" collapsed="false">
      <c r="A2513" s="9" t="s">
        <v>3940</v>
      </c>
      <c r="B2513" s="9" t="s">
        <v>1220</v>
      </c>
      <c r="C2513" s="9" t="s">
        <v>47</v>
      </c>
      <c r="D2513" s="9" t="n">
        <v>75</v>
      </c>
      <c r="E2513" s="9" t="s">
        <v>70</v>
      </c>
      <c r="F2513" s="9" t="s">
        <v>39</v>
      </c>
      <c r="G2513" s="10" t="n">
        <v>46103</v>
      </c>
      <c r="H2513" s="10" t="n">
        <v>46123</v>
      </c>
      <c r="I2513" s="9" t="s">
        <v>102</v>
      </c>
      <c r="J2513" s="9" t="s">
        <v>51</v>
      </c>
      <c r="K2513" s="9" t="n">
        <v>20</v>
      </c>
      <c r="L2513" s="9" t="n">
        <v>3</v>
      </c>
      <c r="M2513" s="9" t="n">
        <v>1</v>
      </c>
      <c r="N2513" s="9" t="s">
        <v>42</v>
      </c>
      <c r="O2513" s="9" t="s">
        <v>52</v>
      </c>
      <c r="P2513" s="9" t="n">
        <v>8</v>
      </c>
      <c r="Q2513" s="9" t="n">
        <v>19</v>
      </c>
      <c r="R2513" s="9" t="s">
        <v>53</v>
      </c>
      <c r="S2513" s="9"/>
      <c r="T2513" s="9"/>
      <c r="U2513" s="9" t="str">
        <f aca="false">IF(COUNTIF($A$2:$A$5001,A2513)&gt;1,"Duplicate","Unique")</f>
        <v>Unique</v>
      </c>
      <c r="V2513" s="9" t="str">
        <f aca="false">IF(COUNTIFS($B$2:$B$5001,B2513,$H$2:$H$5001,H2513,$J$2:$J$5001,J2513)&gt;1,"Possible Duplicate Booking","Unique")</f>
        <v>Unique</v>
      </c>
      <c r="W2513" s="9" t="str">
        <f aca="false">IF((H2513-G2513)&lt;&gt;K2513,"Mismatch","OK")</f>
        <v>OK</v>
      </c>
      <c r="X2513" s="9" t="str">
        <f aca="false">IF(TEXT(H2513,"dddd")&lt;&gt;I2513,"Mismatch","OK")</f>
        <v>OK</v>
      </c>
      <c r="Y2513" s="9" t="str">
        <f aca="false">IF(AND(N2513="No",O2513&lt;&gt;""),"Unexpected: channel present but no reminder sent",IF(AND(N2513="Yes",O2513=""),"Missing channel for sent reminder","OK"))</f>
        <v>OK</v>
      </c>
    </row>
    <row r="2514" customFormat="false" ht="15" hidden="false" customHeight="false" outlineLevel="0" collapsed="false">
      <c r="A2514" s="7" t="s">
        <v>3941</v>
      </c>
      <c r="B2514" s="7" t="s">
        <v>2721</v>
      </c>
      <c r="C2514" s="7" t="s">
        <v>37</v>
      </c>
      <c r="D2514" s="7" t="n">
        <v>80</v>
      </c>
      <c r="E2514" s="7" t="s">
        <v>70</v>
      </c>
      <c r="F2514" s="7" t="s">
        <v>57</v>
      </c>
      <c r="G2514" s="8" t="n">
        <v>46154</v>
      </c>
      <c r="H2514" s="8" t="n">
        <v>46183</v>
      </c>
      <c r="I2514" s="7" t="s">
        <v>58</v>
      </c>
      <c r="J2514" s="7" t="s">
        <v>41</v>
      </c>
      <c r="K2514" s="7" t="n">
        <v>29</v>
      </c>
      <c r="L2514" s="7" t="n">
        <v>7</v>
      </c>
      <c r="M2514" s="7" t="n">
        <v>2</v>
      </c>
      <c r="N2514" s="7" t="s">
        <v>42</v>
      </c>
      <c r="O2514" s="7" t="s">
        <v>67</v>
      </c>
      <c r="P2514" s="7" t="n">
        <v>10.6</v>
      </c>
      <c r="Q2514" s="7" t="n">
        <v>24</v>
      </c>
      <c r="R2514" s="7" t="s">
        <v>53</v>
      </c>
      <c r="S2514" s="7"/>
      <c r="T2514" s="7"/>
      <c r="U2514" s="7" t="str">
        <f aca="false">IF(COUNTIF($A$2:$A$5001,A2514)&gt;1,"Duplicate","Unique")</f>
        <v>Unique</v>
      </c>
      <c r="V2514" s="7" t="str">
        <f aca="false">IF(COUNTIFS($B$2:$B$5001,B2514,$H$2:$H$5001,H2514,$J$2:$J$5001,J2514)&gt;1,"Possible Duplicate Booking","Unique")</f>
        <v>Unique</v>
      </c>
      <c r="W2514" s="7" t="str">
        <f aca="false">IF((H2514-G2514)&lt;&gt;K2514,"Mismatch","OK")</f>
        <v>OK</v>
      </c>
      <c r="X2514" s="7" t="str">
        <f aca="false">IF(TEXT(H2514,"dddd")&lt;&gt;I2514,"Mismatch","OK")</f>
        <v>OK</v>
      </c>
      <c r="Y2514" s="7" t="str">
        <f aca="false">IF(AND(N2514="No",O2514&lt;&gt;""),"Unexpected: channel present but no reminder sent",IF(AND(N2514="Yes",O2514=""),"Missing channel for sent reminder","OK"))</f>
        <v>OK</v>
      </c>
    </row>
    <row r="2515" customFormat="false" ht="15" hidden="false" customHeight="false" outlineLevel="0" collapsed="false">
      <c r="A2515" s="9" t="s">
        <v>3942</v>
      </c>
      <c r="B2515" s="9" t="s">
        <v>1941</v>
      </c>
      <c r="C2515" s="9" t="s">
        <v>37</v>
      </c>
      <c r="D2515" s="9" t="n">
        <v>59</v>
      </c>
      <c r="E2515" s="9" t="s">
        <v>61</v>
      </c>
      <c r="F2515" s="9" t="s">
        <v>57</v>
      </c>
      <c r="G2515" s="10" t="n">
        <v>46054</v>
      </c>
      <c r="H2515" s="10" t="n">
        <v>46069</v>
      </c>
      <c r="I2515" s="9" t="s">
        <v>66</v>
      </c>
      <c r="J2515" s="9" t="s">
        <v>41</v>
      </c>
      <c r="K2515" s="9" t="n">
        <v>15</v>
      </c>
      <c r="L2515" s="9" t="n">
        <v>3</v>
      </c>
      <c r="M2515" s="9" t="n">
        <v>0</v>
      </c>
      <c r="N2515" s="9" t="s">
        <v>42</v>
      </c>
      <c r="O2515" s="9" t="s">
        <v>52</v>
      </c>
      <c r="P2515" s="9" t="n">
        <v>19.6</v>
      </c>
      <c r="Q2515" s="9" t="n">
        <v>23</v>
      </c>
      <c r="R2515" s="9" t="s">
        <v>87</v>
      </c>
      <c r="S2515" s="9"/>
      <c r="T2515" s="9"/>
      <c r="U2515" s="9" t="str">
        <f aca="false">IF(COUNTIF($A$2:$A$5001,A2515)&gt;1,"Duplicate","Unique")</f>
        <v>Unique</v>
      </c>
      <c r="V2515" s="9" t="str">
        <f aca="false">IF(COUNTIFS($B$2:$B$5001,B2515,$H$2:$H$5001,H2515,$J$2:$J$5001,J2515)&gt;1,"Possible Duplicate Booking","Unique")</f>
        <v>Unique</v>
      </c>
      <c r="W2515" s="9" t="str">
        <f aca="false">IF((H2515-G2515)&lt;&gt;K2515,"Mismatch","OK")</f>
        <v>OK</v>
      </c>
      <c r="X2515" s="9" t="str">
        <f aca="false">IF(TEXT(H2515,"dddd")&lt;&gt;I2515,"Mismatch","OK")</f>
        <v>OK</v>
      </c>
      <c r="Y2515" s="9" t="str">
        <f aca="false">IF(AND(N2515="No",O2515&lt;&gt;""),"Unexpected: channel present but no reminder sent",IF(AND(N2515="Yes",O2515=""),"Missing channel for sent reminder","OK"))</f>
        <v>OK</v>
      </c>
    </row>
    <row r="2516" customFormat="false" ht="15" hidden="false" customHeight="false" outlineLevel="0" collapsed="false">
      <c r="A2516" s="7" t="s">
        <v>3943</v>
      </c>
      <c r="B2516" s="7" t="s">
        <v>521</v>
      </c>
      <c r="C2516" s="7" t="s">
        <v>37</v>
      </c>
      <c r="D2516" s="7" t="n">
        <v>70</v>
      </c>
      <c r="E2516" s="7" t="s">
        <v>70</v>
      </c>
      <c r="F2516" s="7" t="s">
        <v>74</v>
      </c>
      <c r="G2516" s="8" t="n">
        <v>45697</v>
      </c>
      <c r="H2516" s="8" t="n">
        <v>45714</v>
      </c>
      <c r="I2516" s="7" t="s">
        <v>58</v>
      </c>
      <c r="J2516" s="7" t="s">
        <v>51</v>
      </c>
      <c r="K2516" s="7" t="n">
        <v>17</v>
      </c>
      <c r="L2516" s="7" t="n">
        <v>1</v>
      </c>
      <c r="M2516" s="7" t="n">
        <v>0</v>
      </c>
      <c r="N2516" s="7" t="s">
        <v>42</v>
      </c>
      <c r="O2516" s="7" t="s">
        <v>43</v>
      </c>
      <c r="P2516" s="7" t="n">
        <v>5</v>
      </c>
      <c r="Q2516" s="7" t="n">
        <v>30</v>
      </c>
      <c r="R2516" s="7" t="s">
        <v>53</v>
      </c>
      <c r="S2516" s="7"/>
      <c r="T2516" s="7"/>
      <c r="U2516" s="7" t="str">
        <f aca="false">IF(COUNTIF($A$2:$A$5001,A2516)&gt;1,"Duplicate","Unique")</f>
        <v>Unique</v>
      </c>
      <c r="V2516" s="7" t="str">
        <f aca="false">IF(COUNTIFS($B$2:$B$5001,B2516,$H$2:$H$5001,H2516,$J$2:$J$5001,J2516)&gt;1,"Possible Duplicate Booking","Unique")</f>
        <v>Unique</v>
      </c>
      <c r="W2516" s="7" t="str">
        <f aca="false">IF((H2516-G2516)&lt;&gt;K2516,"Mismatch","OK")</f>
        <v>OK</v>
      </c>
      <c r="X2516" s="7" t="str">
        <f aca="false">IF(TEXT(H2516,"dddd")&lt;&gt;I2516,"Mismatch","OK")</f>
        <v>OK</v>
      </c>
      <c r="Y2516" s="7" t="str">
        <f aca="false">IF(AND(N2516="No",O2516&lt;&gt;""),"Unexpected: channel present but no reminder sent",IF(AND(N2516="Yes",O2516=""),"Missing channel for sent reminder","OK"))</f>
        <v>OK</v>
      </c>
    </row>
    <row r="2517" customFormat="false" ht="15" hidden="false" customHeight="false" outlineLevel="0" collapsed="false">
      <c r="A2517" s="9" t="s">
        <v>3944</v>
      </c>
      <c r="B2517" s="9" t="s">
        <v>268</v>
      </c>
      <c r="C2517" s="9" t="s">
        <v>37</v>
      </c>
      <c r="D2517" s="9" t="n">
        <v>24</v>
      </c>
      <c r="E2517" s="9" t="s">
        <v>82</v>
      </c>
      <c r="F2517" s="9" t="s">
        <v>57</v>
      </c>
      <c r="G2517" s="10" t="n">
        <v>46089</v>
      </c>
      <c r="H2517" s="10" t="n">
        <v>46105</v>
      </c>
      <c r="I2517" s="9" t="s">
        <v>40</v>
      </c>
      <c r="J2517" s="9" t="s">
        <v>63</v>
      </c>
      <c r="K2517" s="9" t="n">
        <v>16</v>
      </c>
      <c r="L2517" s="9" t="n">
        <v>1</v>
      </c>
      <c r="M2517" s="9" t="n">
        <v>1</v>
      </c>
      <c r="N2517" s="9" t="s">
        <v>42</v>
      </c>
      <c r="O2517" s="9" t="s">
        <v>52</v>
      </c>
      <c r="P2517" s="9" t="n">
        <v>24.4</v>
      </c>
      <c r="Q2517" s="9" t="n">
        <v>39</v>
      </c>
      <c r="R2517" s="9" t="s">
        <v>53</v>
      </c>
      <c r="S2517" s="9"/>
      <c r="T2517" s="9"/>
      <c r="U2517" s="9" t="str">
        <f aca="false">IF(COUNTIF($A$2:$A$5001,A2517)&gt;1,"Duplicate","Unique")</f>
        <v>Unique</v>
      </c>
      <c r="V2517" s="9" t="str">
        <f aca="false">IF(COUNTIFS($B$2:$B$5001,B2517,$H$2:$H$5001,H2517,$J$2:$J$5001,J2517)&gt;1,"Possible Duplicate Booking","Unique")</f>
        <v>Unique</v>
      </c>
      <c r="W2517" s="9" t="str">
        <f aca="false">IF((H2517-G2517)&lt;&gt;K2517,"Mismatch","OK")</f>
        <v>OK</v>
      </c>
      <c r="X2517" s="9" t="str">
        <f aca="false">IF(TEXT(H2517,"dddd")&lt;&gt;I2517,"Mismatch","OK")</f>
        <v>OK</v>
      </c>
      <c r="Y2517" s="9" t="str">
        <f aca="false">IF(AND(N2517="No",O2517&lt;&gt;""),"Unexpected: channel present but no reminder sent",IF(AND(N2517="Yes",O2517=""),"Missing channel for sent reminder","OK"))</f>
        <v>OK</v>
      </c>
    </row>
    <row r="2518" customFormat="false" ht="15" hidden="false" customHeight="false" outlineLevel="0" collapsed="false">
      <c r="A2518" s="7" t="s">
        <v>3945</v>
      </c>
      <c r="B2518" s="7" t="s">
        <v>3946</v>
      </c>
      <c r="C2518" s="7" t="s">
        <v>37</v>
      </c>
      <c r="D2518" s="7" t="n">
        <v>77</v>
      </c>
      <c r="E2518" s="7" t="s">
        <v>70</v>
      </c>
      <c r="F2518" s="7" t="s">
        <v>39</v>
      </c>
      <c r="G2518" s="8" t="n">
        <v>46035</v>
      </c>
      <c r="H2518" s="8" t="n">
        <v>46035</v>
      </c>
      <c r="I2518" s="7" t="s">
        <v>40</v>
      </c>
      <c r="J2518" s="7" t="s">
        <v>51</v>
      </c>
      <c r="K2518" s="7" t="n">
        <v>0</v>
      </c>
      <c r="L2518" s="7" t="n">
        <v>2</v>
      </c>
      <c r="M2518" s="7" t="n">
        <v>0</v>
      </c>
      <c r="N2518" s="7" t="s">
        <v>42</v>
      </c>
      <c r="O2518" s="7" t="s">
        <v>52</v>
      </c>
      <c r="P2518" s="7" t="n">
        <v>16</v>
      </c>
      <c r="Q2518" s="7" t="n">
        <v>42</v>
      </c>
      <c r="R2518" s="7" t="s">
        <v>53</v>
      </c>
      <c r="S2518" s="7"/>
      <c r="T2518" s="7"/>
      <c r="U2518" s="7" t="str">
        <f aca="false">IF(COUNTIF($A$2:$A$5001,A2518)&gt;1,"Duplicate","Unique")</f>
        <v>Unique</v>
      </c>
      <c r="V2518" s="7" t="str">
        <f aca="false">IF(COUNTIFS($B$2:$B$5001,B2518,$H$2:$H$5001,H2518,$J$2:$J$5001,J2518)&gt;1,"Possible Duplicate Booking","Unique")</f>
        <v>Unique</v>
      </c>
      <c r="W2518" s="7" t="str">
        <f aca="false">IF((H2518-G2518)&lt;&gt;K2518,"Mismatch","OK")</f>
        <v>OK</v>
      </c>
      <c r="X2518" s="7" t="str">
        <f aca="false">IF(TEXT(H2518,"dddd")&lt;&gt;I2518,"Mismatch","OK")</f>
        <v>OK</v>
      </c>
      <c r="Y2518" s="7" t="str">
        <f aca="false">IF(AND(N2518="No",O2518&lt;&gt;""),"Unexpected: channel present but no reminder sent",IF(AND(N2518="Yes",O2518=""),"Missing channel for sent reminder","OK"))</f>
        <v>OK</v>
      </c>
    </row>
    <row r="2519" customFormat="false" ht="15" hidden="false" customHeight="false" outlineLevel="0" collapsed="false">
      <c r="A2519" s="9" t="s">
        <v>3947</v>
      </c>
      <c r="B2519" s="9" t="s">
        <v>890</v>
      </c>
      <c r="C2519" s="9" t="s">
        <v>37</v>
      </c>
      <c r="D2519" s="9" t="n">
        <v>48</v>
      </c>
      <c r="E2519" s="9" t="s">
        <v>56</v>
      </c>
      <c r="F2519" s="9" t="s">
        <v>49</v>
      </c>
      <c r="G2519" s="10" t="n">
        <v>45889</v>
      </c>
      <c r="H2519" s="10" t="n">
        <v>45945</v>
      </c>
      <c r="I2519" s="9" t="s">
        <v>58</v>
      </c>
      <c r="J2519" s="9" t="s">
        <v>41</v>
      </c>
      <c r="K2519" s="9" t="n">
        <v>56</v>
      </c>
      <c r="L2519" s="9" t="n">
        <v>2</v>
      </c>
      <c r="M2519" s="9" t="n">
        <v>1</v>
      </c>
      <c r="N2519" s="9" t="s">
        <v>71</v>
      </c>
      <c r="O2519" s="9"/>
      <c r="P2519" s="9" t="n">
        <v>10.6</v>
      </c>
      <c r="Q2519" s="9" t="n">
        <v>34</v>
      </c>
      <c r="R2519" s="9" t="s">
        <v>44</v>
      </c>
      <c r="S2519" s="9"/>
      <c r="T2519" s="9"/>
      <c r="U2519" s="9" t="str">
        <f aca="false">IF(COUNTIF($A$2:$A$5001,A2519)&gt;1,"Duplicate","Unique")</f>
        <v>Unique</v>
      </c>
      <c r="V2519" s="9" t="str">
        <f aca="false">IF(COUNTIFS($B$2:$B$5001,B2519,$H$2:$H$5001,H2519,$J$2:$J$5001,J2519)&gt;1,"Possible Duplicate Booking","Unique")</f>
        <v>Unique</v>
      </c>
      <c r="W2519" s="9" t="str">
        <f aca="false">IF((H2519-G2519)&lt;&gt;K2519,"Mismatch","OK")</f>
        <v>OK</v>
      </c>
      <c r="X2519" s="9" t="str">
        <f aca="false">IF(TEXT(H2519,"dddd")&lt;&gt;I2519,"Mismatch","OK")</f>
        <v>OK</v>
      </c>
      <c r="Y2519" s="9" t="str">
        <f aca="false">IF(AND(N2519="No",O2519&lt;&gt;""),"Unexpected: channel present but no reminder sent",IF(AND(N2519="Yes",O2519=""),"Missing channel for sent reminder","OK"))</f>
        <v>OK</v>
      </c>
    </row>
    <row r="2520" customFormat="false" ht="15" hidden="false" customHeight="false" outlineLevel="0" collapsed="false">
      <c r="A2520" s="7" t="s">
        <v>3948</v>
      </c>
      <c r="B2520" s="7" t="s">
        <v>238</v>
      </c>
      <c r="C2520" s="7" t="s">
        <v>47</v>
      </c>
      <c r="D2520" s="7" t="n">
        <v>62</v>
      </c>
      <c r="E2520" s="7" t="s">
        <v>61</v>
      </c>
      <c r="F2520" s="7" t="s">
        <v>57</v>
      </c>
      <c r="G2520" s="8" t="n">
        <v>45722</v>
      </c>
      <c r="H2520" s="8" t="n">
        <v>45736</v>
      </c>
      <c r="I2520" s="7" t="s">
        <v>62</v>
      </c>
      <c r="J2520" s="7" t="s">
        <v>51</v>
      </c>
      <c r="K2520" s="7" t="n">
        <v>14</v>
      </c>
      <c r="L2520" s="7" t="n">
        <v>6</v>
      </c>
      <c r="M2520" s="7" t="n">
        <v>2</v>
      </c>
      <c r="N2520" s="7" t="s">
        <v>42</v>
      </c>
      <c r="O2520" s="7" t="s">
        <v>52</v>
      </c>
      <c r="P2520" s="7" t="n">
        <v>2.8</v>
      </c>
      <c r="Q2520" s="7" t="n">
        <v>5</v>
      </c>
      <c r="R2520" s="7" t="s">
        <v>53</v>
      </c>
      <c r="S2520" s="7"/>
      <c r="T2520" s="7"/>
      <c r="U2520" s="7" t="str">
        <f aca="false">IF(COUNTIF($A$2:$A$5001,A2520)&gt;1,"Duplicate","Unique")</f>
        <v>Unique</v>
      </c>
      <c r="V2520" s="7" t="str">
        <f aca="false">IF(COUNTIFS($B$2:$B$5001,B2520,$H$2:$H$5001,H2520,$J$2:$J$5001,J2520)&gt;1,"Possible Duplicate Booking","Unique")</f>
        <v>Unique</v>
      </c>
      <c r="W2520" s="7" t="str">
        <f aca="false">IF((H2520-G2520)&lt;&gt;K2520,"Mismatch","OK")</f>
        <v>OK</v>
      </c>
      <c r="X2520" s="7" t="str">
        <f aca="false">IF(TEXT(H2520,"dddd")&lt;&gt;I2520,"Mismatch","OK")</f>
        <v>OK</v>
      </c>
      <c r="Y2520" s="7" t="str">
        <f aca="false">IF(AND(N2520="No",O2520&lt;&gt;""),"Unexpected: channel present but no reminder sent",IF(AND(N2520="Yes",O2520=""),"Missing channel for sent reminder","OK"))</f>
        <v>OK</v>
      </c>
    </row>
    <row r="2521" customFormat="false" ht="15" hidden="false" customHeight="false" outlineLevel="0" collapsed="false">
      <c r="A2521" s="9" t="s">
        <v>3949</v>
      </c>
      <c r="B2521" s="9" t="s">
        <v>916</v>
      </c>
      <c r="C2521" s="9" t="s">
        <v>47</v>
      </c>
      <c r="D2521" s="9" t="n">
        <v>33</v>
      </c>
      <c r="E2521" s="9" t="s">
        <v>48</v>
      </c>
      <c r="F2521" s="9" t="s">
        <v>49</v>
      </c>
      <c r="G2521" s="10" t="n">
        <v>46192</v>
      </c>
      <c r="H2521" s="10" t="n">
        <v>46202</v>
      </c>
      <c r="I2521" s="9" t="s">
        <v>66</v>
      </c>
      <c r="J2521" s="9" t="s">
        <v>51</v>
      </c>
      <c r="K2521" s="9" t="n">
        <v>10</v>
      </c>
      <c r="L2521" s="9" t="n">
        <v>4</v>
      </c>
      <c r="M2521" s="9" t="n">
        <v>1</v>
      </c>
      <c r="N2521" s="9" t="s">
        <v>71</v>
      </c>
      <c r="O2521" s="9"/>
      <c r="P2521" s="9" t="n">
        <v>9.5</v>
      </c>
      <c r="Q2521" s="9" t="n">
        <v>40</v>
      </c>
      <c r="R2521" s="9" t="s">
        <v>53</v>
      </c>
      <c r="S2521" s="9"/>
      <c r="T2521" s="9"/>
      <c r="U2521" s="9" t="str">
        <f aca="false">IF(COUNTIF($A$2:$A$5001,A2521)&gt;1,"Duplicate","Unique")</f>
        <v>Unique</v>
      </c>
      <c r="V2521" s="9" t="str">
        <f aca="false">IF(COUNTIFS($B$2:$B$5001,B2521,$H$2:$H$5001,H2521,$J$2:$J$5001,J2521)&gt;1,"Possible Duplicate Booking","Unique")</f>
        <v>Unique</v>
      </c>
      <c r="W2521" s="9" t="str">
        <f aca="false">IF((H2521-G2521)&lt;&gt;K2521,"Mismatch","OK")</f>
        <v>OK</v>
      </c>
      <c r="X2521" s="9" t="str">
        <f aca="false">IF(TEXT(H2521,"dddd")&lt;&gt;I2521,"Mismatch","OK")</f>
        <v>OK</v>
      </c>
      <c r="Y2521" s="9" t="str">
        <f aca="false">IF(AND(N2521="No",O2521&lt;&gt;""),"Unexpected: channel present but no reminder sent",IF(AND(N2521="Yes",O2521=""),"Missing channel for sent reminder","OK"))</f>
        <v>OK</v>
      </c>
    </row>
    <row r="2522" customFormat="false" ht="15" hidden="false" customHeight="false" outlineLevel="0" collapsed="false">
      <c r="A2522" s="7" t="s">
        <v>3950</v>
      </c>
      <c r="B2522" s="7" t="s">
        <v>1295</v>
      </c>
      <c r="C2522" s="7" t="s">
        <v>47</v>
      </c>
      <c r="D2522" s="7" t="n">
        <v>24</v>
      </c>
      <c r="E2522" s="7" t="s">
        <v>82</v>
      </c>
      <c r="F2522" s="7" t="s">
        <v>57</v>
      </c>
      <c r="G2522" s="8" t="n">
        <v>45890</v>
      </c>
      <c r="H2522" s="8" t="n">
        <v>45899</v>
      </c>
      <c r="I2522" s="7" t="s">
        <v>102</v>
      </c>
      <c r="J2522" s="7" t="s">
        <v>41</v>
      </c>
      <c r="K2522" s="7" t="n">
        <v>9</v>
      </c>
      <c r="L2522" s="7" t="n">
        <v>4</v>
      </c>
      <c r="M2522" s="7" t="n">
        <v>1</v>
      </c>
      <c r="N2522" s="7" t="s">
        <v>42</v>
      </c>
      <c r="O2522" s="7" t="s">
        <v>52</v>
      </c>
      <c r="P2522" s="7" t="n">
        <v>3.3</v>
      </c>
      <c r="Q2522" s="7" t="n">
        <v>31</v>
      </c>
      <c r="R2522" s="7" t="s">
        <v>44</v>
      </c>
      <c r="S2522" s="7"/>
      <c r="T2522" s="7"/>
      <c r="U2522" s="7" t="str">
        <f aca="false">IF(COUNTIF($A$2:$A$5001,A2522)&gt;1,"Duplicate","Unique")</f>
        <v>Unique</v>
      </c>
      <c r="V2522" s="7" t="str">
        <f aca="false">IF(COUNTIFS($B$2:$B$5001,B2522,$H$2:$H$5001,H2522,$J$2:$J$5001,J2522)&gt;1,"Possible Duplicate Booking","Unique")</f>
        <v>Unique</v>
      </c>
      <c r="W2522" s="7" t="str">
        <f aca="false">IF((H2522-G2522)&lt;&gt;K2522,"Mismatch","OK")</f>
        <v>OK</v>
      </c>
      <c r="X2522" s="7" t="str">
        <f aca="false">IF(TEXT(H2522,"dddd")&lt;&gt;I2522,"Mismatch","OK")</f>
        <v>OK</v>
      </c>
      <c r="Y2522" s="7" t="str">
        <f aca="false">IF(AND(N2522="No",O2522&lt;&gt;""),"Unexpected: channel present but no reminder sent",IF(AND(N2522="Yes",O2522=""),"Missing channel for sent reminder","OK"))</f>
        <v>OK</v>
      </c>
    </row>
    <row r="2523" customFormat="false" ht="15" hidden="false" customHeight="false" outlineLevel="0" collapsed="false">
      <c r="A2523" s="9" t="s">
        <v>3951</v>
      </c>
      <c r="B2523" s="9" t="s">
        <v>2887</v>
      </c>
      <c r="C2523" s="9" t="s">
        <v>47</v>
      </c>
      <c r="D2523" s="9" t="n">
        <v>73</v>
      </c>
      <c r="E2523" s="9" t="s">
        <v>70</v>
      </c>
      <c r="F2523" s="9" t="s">
        <v>57</v>
      </c>
      <c r="G2523" s="10" t="n">
        <v>45622</v>
      </c>
      <c r="H2523" s="10" t="n">
        <v>45682</v>
      </c>
      <c r="I2523" s="9" t="s">
        <v>102</v>
      </c>
      <c r="J2523" s="9" t="s">
        <v>63</v>
      </c>
      <c r="K2523" s="9" t="n">
        <v>60</v>
      </c>
      <c r="L2523" s="9" t="n">
        <v>2</v>
      </c>
      <c r="M2523" s="9" t="n">
        <v>0</v>
      </c>
      <c r="N2523" s="9" t="s">
        <v>42</v>
      </c>
      <c r="O2523" s="9" t="s">
        <v>67</v>
      </c>
      <c r="P2523" s="9" t="n">
        <v>12.6</v>
      </c>
      <c r="Q2523" s="9" t="n">
        <v>36</v>
      </c>
      <c r="R2523" s="9" t="s">
        <v>53</v>
      </c>
      <c r="S2523" s="9"/>
      <c r="T2523" s="9"/>
      <c r="U2523" s="9" t="str">
        <f aca="false">IF(COUNTIF($A$2:$A$5001,A2523)&gt;1,"Duplicate","Unique")</f>
        <v>Unique</v>
      </c>
      <c r="V2523" s="9" t="str">
        <f aca="false">IF(COUNTIFS($B$2:$B$5001,B2523,$H$2:$H$5001,H2523,$J$2:$J$5001,J2523)&gt;1,"Possible Duplicate Booking","Unique")</f>
        <v>Unique</v>
      </c>
      <c r="W2523" s="9" t="str">
        <f aca="false">IF((H2523-G2523)&lt;&gt;K2523,"Mismatch","OK")</f>
        <v>OK</v>
      </c>
      <c r="X2523" s="9" t="str">
        <f aca="false">IF(TEXT(H2523,"dddd")&lt;&gt;I2523,"Mismatch","OK")</f>
        <v>OK</v>
      </c>
      <c r="Y2523" s="9" t="str">
        <f aca="false">IF(AND(N2523="No",O2523&lt;&gt;""),"Unexpected: channel present but no reminder sent",IF(AND(N2523="Yes",O2523=""),"Missing channel for sent reminder","OK"))</f>
        <v>OK</v>
      </c>
    </row>
    <row r="2524" customFormat="false" ht="15" hidden="false" customHeight="false" outlineLevel="0" collapsed="false">
      <c r="A2524" s="7" t="s">
        <v>3952</v>
      </c>
      <c r="B2524" s="7" t="s">
        <v>284</v>
      </c>
      <c r="C2524" s="7" t="s">
        <v>37</v>
      </c>
      <c r="D2524" s="7" t="n">
        <v>46</v>
      </c>
      <c r="E2524" s="7" t="s">
        <v>56</v>
      </c>
      <c r="F2524" s="7" t="s">
        <v>57</v>
      </c>
      <c r="G2524" s="8" t="n">
        <v>45743</v>
      </c>
      <c r="H2524" s="8" t="n">
        <v>45772</v>
      </c>
      <c r="I2524" s="7" t="s">
        <v>50</v>
      </c>
      <c r="J2524" s="7" t="s">
        <v>41</v>
      </c>
      <c r="K2524" s="7" t="n">
        <v>29</v>
      </c>
      <c r="L2524" s="7" t="n">
        <v>3</v>
      </c>
      <c r="M2524" s="7" t="n">
        <v>1</v>
      </c>
      <c r="N2524" s="7" t="s">
        <v>42</v>
      </c>
      <c r="O2524" s="7" t="s">
        <v>52</v>
      </c>
      <c r="P2524" s="7" t="n">
        <v>6</v>
      </c>
      <c r="Q2524" s="7" t="n">
        <v>21</v>
      </c>
      <c r="R2524" s="7" t="s">
        <v>53</v>
      </c>
      <c r="S2524" s="7"/>
      <c r="T2524" s="7"/>
      <c r="U2524" s="7" t="str">
        <f aca="false">IF(COUNTIF($A$2:$A$5001,A2524)&gt;1,"Duplicate","Unique")</f>
        <v>Unique</v>
      </c>
      <c r="V2524" s="7" t="str">
        <f aca="false">IF(COUNTIFS($B$2:$B$5001,B2524,$H$2:$H$5001,H2524,$J$2:$J$5001,J2524)&gt;1,"Possible Duplicate Booking","Unique")</f>
        <v>Unique</v>
      </c>
      <c r="W2524" s="7" t="str">
        <f aca="false">IF((H2524-G2524)&lt;&gt;K2524,"Mismatch","OK")</f>
        <v>OK</v>
      </c>
      <c r="X2524" s="7" t="str">
        <f aca="false">IF(TEXT(H2524,"dddd")&lt;&gt;I2524,"Mismatch","OK")</f>
        <v>OK</v>
      </c>
      <c r="Y2524" s="7" t="str">
        <f aca="false">IF(AND(N2524="No",O2524&lt;&gt;""),"Unexpected: channel present but no reminder sent",IF(AND(N2524="Yes",O2524=""),"Missing channel for sent reminder","OK"))</f>
        <v>OK</v>
      </c>
    </row>
    <row r="2525" customFormat="false" ht="15" hidden="false" customHeight="false" outlineLevel="0" collapsed="false">
      <c r="A2525" s="9" t="s">
        <v>3953</v>
      </c>
      <c r="B2525" s="9" t="s">
        <v>1073</v>
      </c>
      <c r="C2525" s="9" t="s">
        <v>37</v>
      </c>
      <c r="D2525" s="9" t="n">
        <v>26</v>
      </c>
      <c r="E2525" s="9" t="s">
        <v>48</v>
      </c>
      <c r="F2525" s="9" t="s">
        <v>74</v>
      </c>
      <c r="G2525" s="10" t="n">
        <v>45858</v>
      </c>
      <c r="H2525" s="10" t="n">
        <v>45877</v>
      </c>
      <c r="I2525" s="9" t="s">
        <v>50</v>
      </c>
      <c r="J2525" s="9" t="s">
        <v>41</v>
      </c>
      <c r="K2525" s="9" t="n">
        <v>19</v>
      </c>
      <c r="L2525" s="9" t="n">
        <v>2</v>
      </c>
      <c r="M2525" s="9" t="n">
        <v>1</v>
      </c>
      <c r="N2525" s="9" t="s">
        <v>71</v>
      </c>
      <c r="O2525" s="9"/>
      <c r="P2525" s="9" t="n">
        <v>18.2</v>
      </c>
      <c r="Q2525" s="9" t="n">
        <v>24</v>
      </c>
      <c r="R2525" s="9" t="s">
        <v>53</v>
      </c>
      <c r="S2525" s="9"/>
      <c r="T2525" s="9"/>
      <c r="U2525" s="9" t="str">
        <f aca="false">IF(COUNTIF($A$2:$A$5001,A2525)&gt;1,"Duplicate","Unique")</f>
        <v>Unique</v>
      </c>
      <c r="V2525" s="9" t="str">
        <f aca="false">IF(COUNTIFS($B$2:$B$5001,B2525,$H$2:$H$5001,H2525,$J$2:$J$5001,J2525)&gt;1,"Possible Duplicate Booking","Unique")</f>
        <v>Unique</v>
      </c>
      <c r="W2525" s="9" t="str">
        <f aca="false">IF((H2525-G2525)&lt;&gt;K2525,"Mismatch","OK")</f>
        <v>OK</v>
      </c>
      <c r="X2525" s="9" t="str">
        <f aca="false">IF(TEXT(H2525,"dddd")&lt;&gt;I2525,"Mismatch","OK")</f>
        <v>OK</v>
      </c>
      <c r="Y2525" s="9" t="str">
        <f aca="false">IF(AND(N2525="No",O2525&lt;&gt;""),"Unexpected: channel present but no reminder sent",IF(AND(N2525="Yes",O2525=""),"Missing channel for sent reminder","OK"))</f>
        <v>OK</v>
      </c>
    </row>
    <row r="2526" customFormat="false" ht="15" hidden="false" customHeight="false" outlineLevel="0" collapsed="false">
      <c r="A2526" s="7" t="s">
        <v>3954</v>
      </c>
      <c r="B2526" s="7" t="s">
        <v>3955</v>
      </c>
      <c r="C2526" s="7" t="s">
        <v>47</v>
      </c>
      <c r="D2526" s="7" t="n">
        <v>59</v>
      </c>
      <c r="E2526" s="7" t="s">
        <v>61</v>
      </c>
      <c r="F2526" s="7" t="s">
        <v>57</v>
      </c>
      <c r="G2526" s="8" t="n">
        <v>45668</v>
      </c>
      <c r="H2526" s="8" t="n">
        <v>45692</v>
      </c>
      <c r="I2526" s="7" t="s">
        <v>40</v>
      </c>
      <c r="J2526" s="7" t="s">
        <v>41</v>
      </c>
      <c r="K2526" s="7" t="n">
        <v>24</v>
      </c>
      <c r="L2526" s="7" t="n">
        <v>3</v>
      </c>
      <c r="M2526" s="7" t="n">
        <v>1</v>
      </c>
      <c r="N2526" s="7" t="s">
        <v>42</v>
      </c>
      <c r="O2526" s="7" t="s">
        <v>52</v>
      </c>
      <c r="P2526" s="7" t="n">
        <v>18.7</v>
      </c>
      <c r="Q2526" s="7" t="n">
        <v>34</v>
      </c>
      <c r="R2526" s="7" t="s">
        <v>53</v>
      </c>
      <c r="S2526" s="7"/>
      <c r="T2526" s="7"/>
      <c r="U2526" s="7" t="str">
        <f aca="false">IF(COUNTIF($A$2:$A$5001,A2526)&gt;1,"Duplicate","Unique")</f>
        <v>Unique</v>
      </c>
      <c r="V2526" s="7" t="str">
        <f aca="false">IF(COUNTIFS($B$2:$B$5001,B2526,$H$2:$H$5001,H2526,$J$2:$J$5001,J2526)&gt;1,"Possible Duplicate Booking","Unique")</f>
        <v>Unique</v>
      </c>
      <c r="W2526" s="7" t="str">
        <f aca="false">IF((H2526-G2526)&lt;&gt;K2526,"Mismatch","OK")</f>
        <v>OK</v>
      </c>
      <c r="X2526" s="7" t="str">
        <f aca="false">IF(TEXT(H2526,"dddd")&lt;&gt;I2526,"Mismatch","OK")</f>
        <v>OK</v>
      </c>
      <c r="Y2526" s="7" t="str">
        <f aca="false">IF(AND(N2526="No",O2526&lt;&gt;""),"Unexpected: channel present but no reminder sent",IF(AND(N2526="Yes",O2526=""),"Missing channel for sent reminder","OK"))</f>
        <v>OK</v>
      </c>
    </row>
    <row r="2527" customFormat="false" ht="15" hidden="false" customHeight="false" outlineLevel="0" collapsed="false">
      <c r="A2527" s="9" t="s">
        <v>3956</v>
      </c>
      <c r="B2527" s="9" t="s">
        <v>1044</v>
      </c>
      <c r="C2527" s="9" t="s">
        <v>37</v>
      </c>
      <c r="D2527" s="9" t="n">
        <v>21</v>
      </c>
      <c r="E2527" s="9" t="s">
        <v>82</v>
      </c>
      <c r="F2527" s="9" t="s">
        <v>57</v>
      </c>
      <c r="G2527" s="10" t="n">
        <v>45829</v>
      </c>
      <c r="H2527" s="10" t="n">
        <v>45834</v>
      </c>
      <c r="I2527" s="9" t="s">
        <v>62</v>
      </c>
      <c r="J2527" s="9" t="s">
        <v>41</v>
      </c>
      <c r="K2527" s="9" t="n">
        <v>5</v>
      </c>
      <c r="L2527" s="9" t="n">
        <v>3</v>
      </c>
      <c r="M2527" s="9" t="n">
        <v>1</v>
      </c>
      <c r="N2527" s="9" t="s">
        <v>42</v>
      </c>
      <c r="O2527" s="9" t="s">
        <v>52</v>
      </c>
      <c r="P2527" s="9" t="n">
        <v>13.2</v>
      </c>
      <c r="Q2527" s="9" t="n">
        <v>46</v>
      </c>
      <c r="R2527" s="9" t="s">
        <v>53</v>
      </c>
      <c r="S2527" s="9"/>
      <c r="T2527" s="9"/>
      <c r="U2527" s="9" t="str">
        <f aca="false">IF(COUNTIF($A$2:$A$5001,A2527)&gt;1,"Duplicate","Unique")</f>
        <v>Unique</v>
      </c>
      <c r="V2527" s="9" t="str">
        <f aca="false">IF(COUNTIFS($B$2:$B$5001,B2527,$H$2:$H$5001,H2527,$J$2:$J$5001,J2527)&gt;1,"Possible Duplicate Booking","Unique")</f>
        <v>Unique</v>
      </c>
      <c r="W2527" s="9" t="str">
        <f aca="false">IF((H2527-G2527)&lt;&gt;K2527,"Mismatch","OK")</f>
        <v>OK</v>
      </c>
      <c r="X2527" s="9" t="str">
        <f aca="false">IF(TEXT(H2527,"dddd")&lt;&gt;I2527,"Mismatch","OK")</f>
        <v>OK</v>
      </c>
      <c r="Y2527" s="9" t="str">
        <f aca="false">IF(AND(N2527="No",O2527&lt;&gt;""),"Unexpected: channel present but no reminder sent",IF(AND(N2527="Yes",O2527=""),"Missing channel for sent reminder","OK"))</f>
        <v>OK</v>
      </c>
    </row>
    <row r="2528" customFormat="false" ht="15" hidden="false" customHeight="false" outlineLevel="0" collapsed="false">
      <c r="A2528" s="7" t="s">
        <v>3957</v>
      </c>
      <c r="B2528" s="7" t="s">
        <v>3958</v>
      </c>
      <c r="C2528" s="7" t="s">
        <v>37</v>
      </c>
      <c r="D2528" s="7" t="n">
        <v>46</v>
      </c>
      <c r="E2528" s="7" t="s">
        <v>56</v>
      </c>
      <c r="F2528" s="7" t="s">
        <v>74</v>
      </c>
      <c r="G2528" s="8" t="n">
        <v>45894</v>
      </c>
      <c r="H2528" s="8" t="n">
        <v>45913</v>
      </c>
      <c r="I2528" s="7" t="s">
        <v>102</v>
      </c>
      <c r="J2528" s="7" t="s">
        <v>51</v>
      </c>
      <c r="K2528" s="7" t="n">
        <v>19</v>
      </c>
      <c r="L2528" s="7" t="n">
        <v>4</v>
      </c>
      <c r="M2528" s="7" t="n">
        <v>0</v>
      </c>
      <c r="N2528" s="7" t="s">
        <v>42</v>
      </c>
      <c r="O2528" s="7" t="s">
        <v>43</v>
      </c>
      <c r="P2528" s="7" t="n">
        <v>3.8</v>
      </c>
      <c r="Q2528" s="7" t="n">
        <v>26</v>
      </c>
      <c r="R2528" s="7" t="s">
        <v>44</v>
      </c>
      <c r="S2528" s="7"/>
      <c r="T2528" s="7"/>
      <c r="U2528" s="7" t="str">
        <f aca="false">IF(COUNTIF($A$2:$A$5001,A2528)&gt;1,"Duplicate","Unique")</f>
        <v>Unique</v>
      </c>
      <c r="V2528" s="7" t="str">
        <f aca="false">IF(COUNTIFS($B$2:$B$5001,B2528,$H$2:$H$5001,H2528,$J$2:$J$5001,J2528)&gt;1,"Possible Duplicate Booking","Unique")</f>
        <v>Unique</v>
      </c>
      <c r="W2528" s="7" t="str">
        <f aca="false">IF((H2528-G2528)&lt;&gt;K2528,"Mismatch","OK")</f>
        <v>OK</v>
      </c>
      <c r="X2528" s="7" t="str">
        <f aca="false">IF(TEXT(H2528,"dddd")&lt;&gt;I2528,"Mismatch","OK")</f>
        <v>OK</v>
      </c>
      <c r="Y2528" s="7" t="str">
        <f aca="false">IF(AND(N2528="No",O2528&lt;&gt;""),"Unexpected: channel present but no reminder sent",IF(AND(N2528="Yes",O2528=""),"Missing channel for sent reminder","OK"))</f>
        <v>OK</v>
      </c>
    </row>
    <row r="2529" customFormat="false" ht="15" hidden="false" customHeight="false" outlineLevel="0" collapsed="false">
      <c r="A2529" s="9" t="s">
        <v>3959</v>
      </c>
      <c r="B2529" s="9" t="s">
        <v>3960</v>
      </c>
      <c r="C2529" s="9" t="s">
        <v>37</v>
      </c>
      <c r="D2529" s="9" t="n">
        <v>62</v>
      </c>
      <c r="E2529" s="9" t="s">
        <v>61</v>
      </c>
      <c r="F2529" s="9" t="s">
        <v>57</v>
      </c>
      <c r="G2529" s="10" t="n">
        <v>46160</v>
      </c>
      <c r="H2529" s="10" t="n">
        <v>46175</v>
      </c>
      <c r="I2529" s="9" t="s">
        <v>40</v>
      </c>
      <c r="J2529" s="9" t="s">
        <v>41</v>
      </c>
      <c r="K2529" s="9" t="n">
        <v>15</v>
      </c>
      <c r="L2529" s="9" t="n">
        <v>2</v>
      </c>
      <c r="M2529" s="9" t="n">
        <v>0</v>
      </c>
      <c r="N2529" s="9" t="s">
        <v>42</v>
      </c>
      <c r="O2529" s="9" t="s">
        <v>52</v>
      </c>
      <c r="P2529" s="9" t="n">
        <v>6.7</v>
      </c>
      <c r="Q2529" s="9" t="n">
        <v>10</v>
      </c>
      <c r="R2529" s="9" t="s">
        <v>53</v>
      </c>
      <c r="S2529" s="9"/>
      <c r="T2529" s="9"/>
      <c r="U2529" s="9" t="str">
        <f aca="false">IF(COUNTIF($A$2:$A$5001,A2529)&gt;1,"Duplicate","Unique")</f>
        <v>Unique</v>
      </c>
      <c r="V2529" s="9" t="str">
        <f aca="false">IF(COUNTIFS($B$2:$B$5001,B2529,$H$2:$H$5001,H2529,$J$2:$J$5001,J2529)&gt;1,"Possible Duplicate Booking","Unique")</f>
        <v>Unique</v>
      </c>
      <c r="W2529" s="9" t="str">
        <f aca="false">IF((H2529-G2529)&lt;&gt;K2529,"Mismatch","OK")</f>
        <v>OK</v>
      </c>
      <c r="X2529" s="9" t="str">
        <f aca="false">IF(TEXT(H2529,"dddd")&lt;&gt;I2529,"Mismatch","OK")</f>
        <v>OK</v>
      </c>
      <c r="Y2529" s="9" t="str">
        <f aca="false">IF(AND(N2529="No",O2529&lt;&gt;""),"Unexpected: channel present but no reminder sent",IF(AND(N2529="Yes",O2529=""),"Missing channel for sent reminder","OK"))</f>
        <v>OK</v>
      </c>
    </row>
    <row r="2530" customFormat="false" ht="15" hidden="false" customHeight="false" outlineLevel="0" collapsed="false">
      <c r="A2530" s="7" t="s">
        <v>3961</v>
      </c>
      <c r="B2530" s="7" t="s">
        <v>3100</v>
      </c>
      <c r="C2530" s="7" t="s">
        <v>47</v>
      </c>
      <c r="D2530" s="7" t="n">
        <v>63</v>
      </c>
      <c r="E2530" s="7" t="s">
        <v>61</v>
      </c>
      <c r="F2530" s="7" t="s">
        <v>49</v>
      </c>
      <c r="G2530" s="8" t="n">
        <v>45657</v>
      </c>
      <c r="H2530" s="8" t="n">
        <v>45705</v>
      </c>
      <c r="I2530" s="7" t="s">
        <v>66</v>
      </c>
      <c r="J2530" s="7" t="s">
        <v>41</v>
      </c>
      <c r="K2530" s="7" t="n">
        <v>48</v>
      </c>
      <c r="L2530" s="7" t="n">
        <v>3</v>
      </c>
      <c r="M2530" s="7" t="n">
        <v>0</v>
      </c>
      <c r="N2530" s="7" t="s">
        <v>42</v>
      </c>
      <c r="O2530" s="7" t="s">
        <v>43</v>
      </c>
      <c r="P2530" s="7" t="n">
        <v>18.7</v>
      </c>
      <c r="Q2530" s="7" t="n">
        <v>31</v>
      </c>
      <c r="R2530" s="7" t="s">
        <v>53</v>
      </c>
      <c r="S2530" s="7"/>
      <c r="T2530" s="7"/>
      <c r="U2530" s="7" t="str">
        <f aca="false">IF(COUNTIF($A$2:$A$5001,A2530)&gt;1,"Duplicate","Unique")</f>
        <v>Unique</v>
      </c>
      <c r="V2530" s="7" t="str">
        <f aca="false">IF(COUNTIFS($B$2:$B$5001,B2530,$H$2:$H$5001,H2530,$J$2:$J$5001,J2530)&gt;1,"Possible Duplicate Booking","Unique")</f>
        <v>Unique</v>
      </c>
      <c r="W2530" s="7" t="str">
        <f aca="false">IF((H2530-G2530)&lt;&gt;K2530,"Mismatch","OK")</f>
        <v>OK</v>
      </c>
      <c r="X2530" s="7" t="str">
        <f aca="false">IF(TEXT(H2530,"dddd")&lt;&gt;I2530,"Mismatch","OK")</f>
        <v>OK</v>
      </c>
      <c r="Y2530" s="7" t="str">
        <f aca="false">IF(AND(N2530="No",O2530&lt;&gt;""),"Unexpected: channel present but no reminder sent",IF(AND(N2530="Yes",O2530=""),"Missing channel for sent reminder","OK"))</f>
        <v>OK</v>
      </c>
    </row>
    <row r="2531" customFormat="false" ht="15" hidden="false" customHeight="false" outlineLevel="0" collapsed="false">
      <c r="A2531" s="9" t="s">
        <v>3962</v>
      </c>
      <c r="B2531" s="9" t="s">
        <v>413</v>
      </c>
      <c r="C2531" s="9" t="s">
        <v>37</v>
      </c>
      <c r="D2531" s="9" t="n">
        <v>46</v>
      </c>
      <c r="E2531" s="9" t="s">
        <v>56</v>
      </c>
      <c r="F2531" s="9" t="s">
        <v>39</v>
      </c>
      <c r="G2531" s="10" t="n">
        <v>45969</v>
      </c>
      <c r="H2531" s="10" t="n">
        <v>45972</v>
      </c>
      <c r="I2531" s="9" t="s">
        <v>40</v>
      </c>
      <c r="J2531" s="9" t="s">
        <v>41</v>
      </c>
      <c r="K2531" s="9" t="n">
        <v>3</v>
      </c>
      <c r="L2531" s="9" t="n">
        <v>3</v>
      </c>
      <c r="M2531" s="9" t="n">
        <v>1</v>
      </c>
      <c r="N2531" s="9" t="s">
        <v>42</v>
      </c>
      <c r="O2531" s="9" t="s">
        <v>52</v>
      </c>
      <c r="P2531" s="9" t="n">
        <v>34.2</v>
      </c>
      <c r="Q2531" s="9" t="n">
        <v>22</v>
      </c>
      <c r="R2531" s="9" t="s">
        <v>44</v>
      </c>
      <c r="S2531" s="9"/>
      <c r="T2531" s="9"/>
      <c r="U2531" s="9" t="str">
        <f aca="false">IF(COUNTIF($A$2:$A$5001,A2531)&gt;1,"Duplicate","Unique")</f>
        <v>Unique</v>
      </c>
      <c r="V2531" s="9" t="str">
        <f aca="false">IF(COUNTIFS($B$2:$B$5001,B2531,$H$2:$H$5001,H2531,$J$2:$J$5001,J2531)&gt;1,"Possible Duplicate Booking","Unique")</f>
        <v>Unique</v>
      </c>
      <c r="W2531" s="9" t="str">
        <f aca="false">IF((H2531-G2531)&lt;&gt;K2531,"Mismatch","OK")</f>
        <v>OK</v>
      </c>
      <c r="X2531" s="9" t="str">
        <f aca="false">IF(TEXT(H2531,"dddd")&lt;&gt;I2531,"Mismatch","OK")</f>
        <v>OK</v>
      </c>
      <c r="Y2531" s="9" t="str">
        <f aca="false">IF(AND(N2531="No",O2531&lt;&gt;""),"Unexpected: channel present but no reminder sent",IF(AND(N2531="Yes",O2531=""),"Missing channel for sent reminder","OK"))</f>
        <v>OK</v>
      </c>
    </row>
    <row r="2532" customFormat="false" ht="15" hidden="false" customHeight="false" outlineLevel="0" collapsed="false">
      <c r="A2532" s="7" t="s">
        <v>3963</v>
      </c>
      <c r="B2532" s="7" t="s">
        <v>3400</v>
      </c>
      <c r="C2532" s="7" t="s">
        <v>37</v>
      </c>
      <c r="D2532" s="7" t="n">
        <v>41</v>
      </c>
      <c r="E2532" s="7" t="s">
        <v>38</v>
      </c>
      <c r="F2532" s="7" t="s">
        <v>39</v>
      </c>
      <c r="G2532" s="8" t="n">
        <v>46133</v>
      </c>
      <c r="H2532" s="8" t="n">
        <v>46158</v>
      </c>
      <c r="I2532" s="7" t="s">
        <v>102</v>
      </c>
      <c r="J2532" s="7" t="s">
        <v>63</v>
      </c>
      <c r="K2532" s="7" t="n">
        <v>25</v>
      </c>
      <c r="L2532" s="7" t="n">
        <v>2</v>
      </c>
      <c r="M2532" s="7" t="n">
        <v>0</v>
      </c>
      <c r="N2532" s="7" t="s">
        <v>71</v>
      </c>
      <c r="O2532" s="7"/>
      <c r="P2532" s="7" t="n">
        <v>5.7</v>
      </c>
      <c r="Q2532" s="7" t="n">
        <v>12</v>
      </c>
      <c r="R2532" s="7" t="s">
        <v>87</v>
      </c>
      <c r="S2532" s="7"/>
      <c r="T2532" s="7"/>
      <c r="U2532" s="7" t="str">
        <f aca="false">IF(COUNTIF($A$2:$A$5001,A2532)&gt;1,"Duplicate","Unique")</f>
        <v>Unique</v>
      </c>
      <c r="V2532" s="7" t="str">
        <f aca="false">IF(COUNTIFS($B$2:$B$5001,B2532,$H$2:$H$5001,H2532,$J$2:$J$5001,J2532)&gt;1,"Possible Duplicate Booking","Unique")</f>
        <v>Unique</v>
      </c>
      <c r="W2532" s="7" t="str">
        <f aca="false">IF((H2532-G2532)&lt;&gt;K2532,"Mismatch","OK")</f>
        <v>OK</v>
      </c>
      <c r="X2532" s="7" t="str">
        <f aca="false">IF(TEXT(H2532,"dddd")&lt;&gt;I2532,"Mismatch","OK")</f>
        <v>OK</v>
      </c>
      <c r="Y2532" s="7" t="str">
        <f aca="false">IF(AND(N2532="No",O2532&lt;&gt;""),"Unexpected: channel present but no reminder sent",IF(AND(N2532="Yes",O2532=""),"Missing channel for sent reminder","OK"))</f>
        <v>OK</v>
      </c>
    </row>
    <row r="2533" customFormat="false" ht="15" hidden="false" customHeight="false" outlineLevel="0" collapsed="false">
      <c r="A2533" s="9" t="s">
        <v>3964</v>
      </c>
      <c r="B2533" s="9" t="s">
        <v>2405</v>
      </c>
      <c r="C2533" s="9" t="s">
        <v>37</v>
      </c>
      <c r="D2533" s="9" t="n">
        <v>70</v>
      </c>
      <c r="E2533" s="9" t="s">
        <v>70</v>
      </c>
      <c r="F2533" s="9" t="s">
        <v>49</v>
      </c>
      <c r="G2533" s="10" t="n">
        <v>46050</v>
      </c>
      <c r="H2533" s="10" t="n">
        <v>46098</v>
      </c>
      <c r="I2533" s="9" t="s">
        <v>40</v>
      </c>
      <c r="J2533" s="9" t="s">
        <v>41</v>
      </c>
      <c r="K2533" s="9" t="n">
        <v>48</v>
      </c>
      <c r="L2533" s="9" t="n">
        <v>0</v>
      </c>
      <c r="M2533" s="9" t="n">
        <v>0</v>
      </c>
      <c r="N2533" s="9" t="s">
        <v>42</v>
      </c>
      <c r="O2533" s="9" t="s">
        <v>43</v>
      </c>
      <c r="P2533" s="9" t="n">
        <v>9.6</v>
      </c>
      <c r="Q2533" s="9" t="n">
        <v>23</v>
      </c>
      <c r="R2533" s="9" t="s">
        <v>44</v>
      </c>
      <c r="S2533" s="9"/>
      <c r="T2533" s="9"/>
      <c r="U2533" s="9" t="str">
        <f aca="false">IF(COUNTIF($A$2:$A$5001,A2533)&gt;1,"Duplicate","Unique")</f>
        <v>Unique</v>
      </c>
      <c r="V2533" s="9" t="str">
        <f aca="false">IF(COUNTIFS($B$2:$B$5001,B2533,$H$2:$H$5001,H2533,$J$2:$J$5001,J2533)&gt;1,"Possible Duplicate Booking","Unique")</f>
        <v>Unique</v>
      </c>
      <c r="W2533" s="9" t="str">
        <f aca="false">IF((H2533-G2533)&lt;&gt;K2533,"Mismatch","OK")</f>
        <v>OK</v>
      </c>
      <c r="X2533" s="9" t="str">
        <f aca="false">IF(TEXT(H2533,"dddd")&lt;&gt;I2533,"Mismatch","OK")</f>
        <v>OK</v>
      </c>
      <c r="Y2533" s="9" t="str">
        <f aca="false">IF(AND(N2533="No",O2533&lt;&gt;""),"Unexpected: channel present but no reminder sent",IF(AND(N2533="Yes",O2533=""),"Missing channel for sent reminder","OK"))</f>
        <v>OK</v>
      </c>
    </row>
    <row r="2534" customFormat="false" ht="15" hidden="false" customHeight="false" outlineLevel="0" collapsed="false">
      <c r="A2534" s="7" t="s">
        <v>3965</v>
      </c>
      <c r="B2534" s="7" t="s">
        <v>150</v>
      </c>
      <c r="C2534" s="7" t="s">
        <v>47</v>
      </c>
      <c r="D2534" s="7" t="n">
        <v>29</v>
      </c>
      <c r="E2534" s="7" t="s">
        <v>48</v>
      </c>
      <c r="F2534" s="7" t="s">
        <v>49</v>
      </c>
      <c r="G2534" s="8" t="n">
        <v>46113</v>
      </c>
      <c r="H2534" s="8" t="n">
        <v>46163</v>
      </c>
      <c r="I2534" s="7" t="s">
        <v>62</v>
      </c>
      <c r="J2534" s="7" t="s">
        <v>51</v>
      </c>
      <c r="K2534" s="7" t="n">
        <v>50</v>
      </c>
      <c r="L2534" s="7" t="n">
        <v>6</v>
      </c>
      <c r="M2534" s="7" t="n">
        <v>1</v>
      </c>
      <c r="N2534" s="7" t="s">
        <v>42</v>
      </c>
      <c r="O2534" s="7" t="s">
        <v>67</v>
      </c>
      <c r="P2534" s="7"/>
      <c r="Q2534" s="7" t="n">
        <v>29</v>
      </c>
      <c r="R2534" s="7" t="s">
        <v>44</v>
      </c>
      <c r="S2534" s="7"/>
      <c r="T2534" s="7"/>
      <c r="U2534" s="7" t="str">
        <f aca="false">IF(COUNTIF($A$2:$A$5001,A2534)&gt;1,"Duplicate","Unique")</f>
        <v>Unique</v>
      </c>
      <c r="V2534" s="7" t="str">
        <f aca="false">IF(COUNTIFS($B$2:$B$5001,B2534,$H$2:$H$5001,H2534,$J$2:$J$5001,J2534)&gt;1,"Possible Duplicate Booking","Unique")</f>
        <v>Unique</v>
      </c>
      <c r="W2534" s="7" t="str">
        <f aca="false">IF((H2534-G2534)&lt;&gt;K2534,"Mismatch","OK")</f>
        <v>OK</v>
      </c>
      <c r="X2534" s="7" t="str">
        <f aca="false">IF(TEXT(H2534,"dddd")&lt;&gt;I2534,"Mismatch","OK")</f>
        <v>OK</v>
      </c>
      <c r="Y2534" s="7" t="str">
        <f aca="false">IF(AND(N2534="No",O2534&lt;&gt;""),"Unexpected: channel present but no reminder sent",IF(AND(N2534="Yes",O2534=""),"Missing channel for sent reminder","OK"))</f>
        <v>OK</v>
      </c>
    </row>
    <row r="2535" customFormat="false" ht="15" hidden="false" customHeight="false" outlineLevel="0" collapsed="false">
      <c r="A2535" s="9" t="s">
        <v>3966</v>
      </c>
      <c r="B2535" s="9" t="s">
        <v>3794</v>
      </c>
      <c r="C2535" s="9" t="s">
        <v>37</v>
      </c>
      <c r="D2535" s="9" t="n">
        <v>22</v>
      </c>
      <c r="E2535" s="9" t="s">
        <v>82</v>
      </c>
      <c r="F2535" s="9" t="s">
        <v>57</v>
      </c>
      <c r="G2535" s="10" t="n">
        <v>45720</v>
      </c>
      <c r="H2535" s="10" t="n">
        <v>45751</v>
      </c>
      <c r="I2535" s="9" t="s">
        <v>50</v>
      </c>
      <c r="J2535" s="9" t="s">
        <v>51</v>
      </c>
      <c r="K2535" s="9" t="n">
        <v>31</v>
      </c>
      <c r="L2535" s="9" t="n">
        <v>4</v>
      </c>
      <c r="M2535" s="9" t="n">
        <v>0</v>
      </c>
      <c r="N2535" s="9" t="s">
        <v>42</v>
      </c>
      <c r="O2535" s="9" t="s">
        <v>67</v>
      </c>
      <c r="P2535" s="9" t="n">
        <v>4</v>
      </c>
      <c r="Q2535" s="9" t="n">
        <v>36</v>
      </c>
      <c r="R2535" s="9" t="s">
        <v>53</v>
      </c>
      <c r="S2535" s="9"/>
      <c r="T2535" s="9"/>
      <c r="U2535" s="9" t="str">
        <f aca="false">IF(COUNTIF($A$2:$A$5001,A2535)&gt;1,"Duplicate","Unique")</f>
        <v>Unique</v>
      </c>
      <c r="V2535" s="9" t="str">
        <f aca="false">IF(COUNTIFS($B$2:$B$5001,B2535,$H$2:$H$5001,H2535,$J$2:$J$5001,J2535)&gt;1,"Possible Duplicate Booking","Unique")</f>
        <v>Unique</v>
      </c>
      <c r="W2535" s="9" t="str">
        <f aca="false">IF((H2535-G2535)&lt;&gt;K2535,"Mismatch","OK")</f>
        <v>OK</v>
      </c>
      <c r="X2535" s="9" t="str">
        <f aca="false">IF(TEXT(H2535,"dddd")&lt;&gt;I2535,"Mismatch","OK")</f>
        <v>OK</v>
      </c>
      <c r="Y2535" s="9" t="str">
        <f aca="false">IF(AND(N2535="No",O2535&lt;&gt;""),"Unexpected: channel present but no reminder sent",IF(AND(N2535="Yes",O2535=""),"Missing channel for sent reminder","OK"))</f>
        <v>OK</v>
      </c>
    </row>
    <row r="2536" customFormat="false" ht="15" hidden="false" customHeight="false" outlineLevel="0" collapsed="false">
      <c r="A2536" s="7" t="s">
        <v>3967</v>
      </c>
      <c r="B2536" s="7" t="s">
        <v>492</v>
      </c>
      <c r="C2536" s="7" t="s">
        <v>47</v>
      </c>
      <c r="D2536" s="7" t="n">
        <v>27</v>
      </c>
      <c r="E2536" s="7" t="s">
        <v>48</v>
      </c>
      <c r="F2536" s="7" t="s">
        <v>74</v>
      </c>
      <c r="G2536" s="8" t="n">
        <v>46082</v>
      </c>
      <c r="H2536" s="8" t="n">
        <v>46095</v>
      </c>
      <c r="I2536" s="7" t="s">
        <v>102</v>
      </c>
      <c r="J2536" s="7" t="s">
        <v>41</v>
      </c>
      <c r="K2536" s="7" t="n">
        <v>13</v>
      </c>
      <c r="L2536" s="7" t="n">
        <v>3</v>
      </c>
      <c r="M2536" s="7" t="n">
        <v>0</v>
      </c>
      <c r="N2536" s="7" t="s">
        <v>42</v>
      </c>
      <c r="O2536" s="7" t="s">
        <v>52</v>
      </c>
      <c r="P2536" s="7" t="n">
        <v>4.6</v>
      </c>
      <c r="Q2536" s="7"/>
      <c r="R2536" s="7" t="s">
        <v>44</v>
      </c>
      <c r="S2536" s="7"/>
      <c r="T2536" s="7"/>
      <c r="U2536" s="7" t="str">
        <f aca="false">IF(COUNTIF($A$2:$A$5001,A2536)&gt;1,"Duplicate","Unique")</f>
        <v>Unique</v>
      </c>
      <c r="V2536" s="7" t="str">
        <f aca="false">IF(COUNTIFS($B$2:$B$5001,B2536,$H$2:$H$5001,H2536,$J$2:$J$5001,J2536)&gt;1,"Possible Duplicate Booking","Unique")</f>
        <v>Unique</v>
      </c>
      <c r="W2536" s="7" t="str">
        <f aca="false">IF((H2536-G2536)&lt;&gt;K2536,"Mismatch","OK")</f>
        <v>OK</v>
      </c>
      <c r="X2536" s="7" t="str">
        <f aca="false">IF(TEXT(H2536,"dddd")&lt;&gt;I2536,"Mismatch","OK")</f>
        <v>OK</v>
      </c>
      <c r="Y2536" s="7" t="str">
        <f aca="false">IF(AND(N2536="No",O2536&lt;&gt;""),"Unexpected: channel present but no reminder sent",IF(AND(N2536="Yes",O2536=""),"Missing channel for sent reminder","OK"))</f>
        <v>OK</v>
      </c>
    </row>
    <row r="2537" customFormat="false" ht="15" hidden="false" customHeight="false" outlineLevel="0" collapsed="false">
      <c r="A2537" s="9" t="s">
        <v>3968</v>
      </c>
      <c r="B2537" s="9" t="s">
        <v>3126</v>
      </c>
      <c r="C2537" s="9" t="s">
        <v>37</v>
      </c>
      <c r="D2537" s="9" t="n">
        <v>68</v>
      </c>
      <c r="E2537" s="9" t="s">
        <v>70</v>
      </c>
      <c r="F2537" s="9" t="s">
        <v>74</v>
      </c>
      <c r="G2537" s="10" t="n">
        <v>46172</v>
      </c>
      <c r="H2537" s="10" t="n">
        <v>46192</v>
      </c>
      <c r="I2537" s="9" t="s">
        <v>50</v>
      </c>
      <c r="J2537" s="9" t="s">
        <v>51</v>
      </c>
      <c r="K2537" s="9" t="n">
        <v>20</v>
      </c>
      <c r="L2537" s="9" t="n">
        <v>3</v>
      </c>
      <c r="M2537" s="9" t="n">
        <v>0</v>
      </c>
      <c r="N2537" s="9" t="s">
        <v>42</v>
      </c>
      <c r="O2537" s="9" t="s">
        <v>43</v>
      </c>
      <c r="P2537" s="9" t="n">
        <v>8.2</v>
      </c>
      <c r="Q2537" s="9" t="n">
        <v>19</v>
      </c>
      <c r="R2537" s="9" t="s">
        <v>44</v>
      </c>
      <c r="S2537" s="9"/>
      <c r="T2537" s="9"/>
      <c r="U2537" s="9" t="str">
        <f aca="false">IF(COUNTIF($A$2:$A$5001,A2537)&gt;1,"Duplicate","Unique")</f>
        <v>Unique</v>
      </c>
      <c r="V2537" s="9" t="str">
        <f aca="false">IF(COUNTIFS($B$2:$B$5001,B2537,$H$2:$H$5001,H2537,$J$2:$J$5001,J2537)&gt;1,"Possible Duplicate Booking","Unique")</f>
        <v>Unique</v>
      </c>
      <c r="W2537" s="9" t="str">
        <f aca="false">IF((H2537-G2537)&lt;&gt;K2537,"Mismatch","OK")</f>
        <v>OK</v>
      </c>
      <c r="X2537" s="9" t="str">
        <f aca="false">IF(TEXT(H2537,"dddd")&lt;&gt;I2537,"Mismatch","OK")</f>
        <v>OK</v>
      </c>
      <c r="Y2537" s="9" t="str">
        <f aca="false">IF(AND(N2537="No",O2537&lt;&gt;""),"Unexpected: channel present but no reminder sent",IF(AND(N2537="Yes",O2537=""),"Missing channel for sent reminder","OK"))</f>
        <v>OK</v>
      </c>
    </row>
    <row r="2538" customFormat="false" ht="15" hidden="false" customHeight="false" outlineLevel="0" collapsed="false">
      <c r="A2538" s="7" t="s">
        <v>3969</v>
      </c>
      <c r="B2538" s="7" t="s">
        <v>2038</v>
      </c>
      <c r="C2538" s="7" t="s">
        <v>37</v>
      </c>
      <c r="D2538" s="7" t="n">
        <v>47</v>
      </c>
      <c r="E2538" s="7" t="s">
        <v>56</v>
      </c>
      <c r="F2538" s="7" t="s">
        <v>74</v>
      </c>
      <c r="G2538" s="8" t="n">
        <v>45823</v>
      </c>
      <c r="H2538" s="8" t="n">
        <v>45836</v>
      </c>
      <c r="I2538" s="7" t="s">
        <v>102</v>
      </c>
      <c r="J2538" s="7" t="s">
        <v>41</v>
      </c>
      <c r="K2538" s="7" t="n">
        <v>13</v>
      </c>
      <c r="L2538" s="7" t="n">
        <v>2</v>
      </c>
      <c r="M2538" s="7" t="n">
        <v>0</v>
      </c>
      <c r="N2538" s="7" t="s">
        <v>42</v>
      </c>
      <c r="O2538" s="7" t="s">
        <v>43</v>
      </c>
      <c r="P2538" s="7" t="n">
        <v>2.1</v>
      </c>
      <c r="Q2538" s="7" t="n">
        <v>23</v>
      </c>
      <c r="R2538" s="7" t="s">
        <v>44</v>
      </c>
      <c r="S2538" s="7"/>
      <c r="T2538" s="7"/>
      <c r="U2538" s="7" t="str">
        <f aca="false">IF(COUNTIF($A$2:$A$5001,A2538)&gt;1,"Duplicate","Unique")</f>
        <v>Unique</v>
      </c>
      <c r="V2538" s="7" t="str">
        <f aca="false">IF(COUNTIFS($B$2:$B$5001,B2538,$H$2:$H$5001,H2538,$J$2:$J$5001,J2538)&gt;1,"Possible Duplicate Booking","Unique")</f>
        <v>Unique</v>
      </c>
      <c r="W2538" s="7" t="str">
        <f aca="false">IF((H2538-G2538)&lt;&gt;K2538,"Mismatch","OK")</f>
        <v>OK</v>
      </c>
      <c r="X2538" s="7" t="str">
        <f aca="false">IF(TEXT(H2538,"dddd")&lt;&gt;I2538,"Mismatch","OK")</f>
        <v>OK</v>
      </c>
      <c r="Y2538" s="7" t="str">
        <f aca="false">IF(AND(N2538="No",O2538&lt;&gt;""),"Unexpected: channel present but no reminder sent",IF(AND(N2538="Yes",O2538=""),"Missing channel for sent reminder","OK"))</f>
        <v>OK</v>
      </c>
    </row>
    <row r="2539" customFormat="false" ht="15" hidden="false" customHeight="false" outlineLevel="0" collapsed="false">
      <c r="A2539" s="9" t="s">
        <v>3970</v>
      </c>
      <c r="B2539" s="9" t="s">
        <v>298</v>
      </c>
      <c r="C2539" s="9" t="s">
        <v>37</v>
      </c>
      <c r="D2539" s="9" t="n">
        <v>20</v>
      </c>
      <c r="E2539" s="9" t="s">
        <v>82</v>
      </c>
      <c r="F2539" s="9" t="s">
        <v>39</v>
      </c>
      <c r="G2539" s="10" t="n">
        <v>45890</v>
      </c>
      <c r="H2539" s="10" t="n">
        <v>45930</v>
      </c>
      <c r="I2539" s="9" t="s">
        <v>40</v>
      </c>
      <c r="J2539" s="9" t="s">
        <v>51</v>
      </c>
      <c r="K2539" s="9" t="n">
        <v>40</v>
      </c>
      <c r="L2539" s="9" t="n">
        <v>2</v>
      </c>
      <c r="M2539" s="9" t="n">
        <v>0</v>
      </c>
      <c r="N2539" s="9" t="s">
        <v>71</v>
      </c>
      <c r="O2539" s="9"/>
      <c r="P2539" s="9" t="n">
        <v>16.5</v>
      </c>
      <c r="Q2539" s="9" t="n">
        <v>43</v>
      </c>
      <c r="R2539" s="9" t="s">
        <v>44</v>
      </c>
      <c r="S2539" s="9"/>
      <c r="T2539" s="9"/>
      <c r="U2539" s="9" t="str">
        <f aca="false">IF(COUNTIF($A$2:$A$5001,A2539)&gt;1,"Duplicate","Unique")</f>
        <v>Unique</v>
      </c>
      <c r="V2539" s="9" t="str">
        <f aca="false">IF(COUNTIFS($B$2:$B$5001,B2539,$H$2:$H$5001,H2539,$J$2:$J$5001,J2539)&gt;1,"Possible Duplicate Booking","Unique")</f>
        <v>Unique</v>
      </c>
      <c r="W2539" s="9" t="str">
        <f aca="false">IF((H2539-G2539)&lt;&gt;K2539,"Mismatch","OK")</f>
        <v>OK</v>
      </c>
      <c r="X2539" s="9" t="str">
        <f aca="false">IF(TEXT(H2539,"dddd")&lt;&gt;I2539,"Mismatch","OK")</f>
        <v>OK</v>
      </c>
      <c r="Y2539" s="9" t="str">
        <f aca="false">IF(AND(N2539="No",O2539&lt;&gt;""),"Unexpected: channel present but no reminder sent",IF(AND(N2539="Yes",O2539=""),"Missing channel for sent reminder","OK"))</f>
        <v>OK</v>
      </c>
    </row>
    <row r="2540" customFormat="false" ht="15" hidden="false" customHeight="false" outlineLevel="0" collapsed="false">
      <c r="A2540" s="7" t="s">
        <v>3971</v>
      </c>
      <c r="B2540" s="7" t="s">
        <v>3972</v>
      </c>
      <c r="C2540" s="7" t="s">
        <v>37</v>
      </c>
      <c r="D2540" s="7" t="n">
        <v>28</v>
      </c>
      <c r="E2540" s="7" t="s">
        <v>48</v>
      </c>
      <c r="F2540" s="7" t="s">
        <v>39</v>
      </c>
      <c r="G2540" s="8" t="n">
        <v>45930</v>
      </c>
      <c r="H2540" s="8" t="n">
        <v>45947</v>
      </c>
      <c r="I2540" s="7" t="s">
        <v>50</v>
      </c>
      <c r="J2540" s="7" t="s">
        <v>51</v>
      </c>
      <c r="K2540" s="7" t="n">
        <v>17</v>
      </c>
      <c r="L2540" s="7" t="n">
        <v>4</v>
      </c>
      <c r="M2540" s="7" t="n">
        <v>0</v>
      </c>
      <c r="N2540" s="7" t="s">
        <v>42</v>
      </c>
      <c r="O2540" s="7" t="s">
        <v>52</v>
      </c>
      <c r="P2540" s="7" t="n">
        <v>7</v>
      </c>
      <c r="Q2540" s="7" t="n">
        <v>39</v>
      </c>
      <c r="R2540" s="7" t="s">
        <v>44</v>
      </c>
      <c r="S2540" s="7"/>
      <c r="T2540" s="7"/>
      <c r="U2540" s="7" t="str">
        <f aca="false">IF(COUNTIF($A$2:$A$5001,A2540)&gt;1,"Duplicate","Unique")</f>
        <v>Unique</v>
      </c>
      <c r="V2540" s="7" t="str">
        <f aca="false">IF(COUNTIFS($B$2:$B$5001,B2540,$H$2:$H$5001,H2540,$J$2:$J$5001,J2540)&gt;1,"Possible Duplicate Booking","Unique")</f>
        <v>Unique</v>
      </c>
      <c r="W2540" s="7" t="str">
        <f aca="false">IF((H2540-G2540)&lt;&gt;K2540,"Mismatch","OK")</f>
        <v>OK</v>
      </c>
      <c r="X2540" s="7" t="str">
        <f aca="false">IF(TEXT(H2540,"dddd")&lt;&gt;I2540,"Mismatch","OK")</f>
        <v>OK</v>
      </c>
      <c r="Y2540" s="7" t="str">
        <f aca="false">IF(AND(N2540="No",O2540&lt;&gt;""),"Unexpected: channel present but no reminder sent",IF(AND(N2540="Yes",O2540=""),"Missing channel for sent reminder","OK"))</f>
        <v>OK</v>
      </c>
    </row>
    <row r="2541" customFormat="false" ht="15" hidden="false" customHeight="false" outlineLevel="0" collapsed="false">
      <c r="A2541" s="9" t="s">
        <v>3973</v>
      </c>
      <c r="B2541" s="9" t="s">
        <v>1165</v>
      </c>
      <c r="C2541" s="9" t="s">
        <v>37</v>
      </c>
      <c r="D2541" s="9" t="n">
        <v>19</v>
      </c>
      <c r="E2541" s="9" t="s">
        <v>82</v>
      </c>
      <c r="F2541" s="9" t="s">
        <v>39</v>
      </c>
      <c r="G2541" s="10" t="n">
        <v>45889</v>
      </c>
      <c r="H2541" s="10" t="n">
        <v>45927</v>
      </c>
      <c r="I2541" s="9" t="s">
        <v>102</v>
      </c>
      <c r="J2541" s="9" t="s">
        <v>41</v>
      </c>
      <c r="K2541" s="9" t="n">
        <v>38</v>
      </c>
      <c r="L2541" s="9" t="n">
        <v>2</v>
      </c>
      <c r="M2541" s="9" t="n">
        <v>0</v>
      </c>
      <c r="N2541" s="9" t="s">
        <v>71</v>
      </c>
      <c r="O2541" s="9"/>
      <c r="P2541" s="9" t="n">
        <v>10</v>
      </c>
      <c r="Q2541" s="9" t="n">
        <v>30</v>
      </c>
      <c r="R2541" s="9" t="s">
        <v>53</v>
      </c>
      <c r="S2541" s="9"/>
      <c r="T2541" s="9"/>
      <c r="U2541" s="9" t="str">
        <f aca="false">IF(COUNTIF($A$2:$A$5001,A2541)&gt;1,"Duplicate","Unique")</f>
        <v>Unique</v>
      </c>
      <c r="V2541" s="9" t="str">
        <f aca="false">IF(COUNTIFS($B$2:$B$5001,B2541,$H$2:$H$5001,H2541,$J$2:$J$5001,J2541)&gt;1,"Possible Duplicate Booking","Unique")</f>
        <v>Unique</v>
      </c>
      <c r="W2541" s="9" t="str">
        <f aca="false">IF((H2541-G2541)&lt;&gt;K2541,"Mismatch","OK")</f>
        <v>OK</v>
      </c>
      <c r="X2541" s="9" t="str">
        <f aca="false">IF(TEXT(H2541,"dddd")&lt;&gt;I2541,"Mismatch","OK")</f>
        <v>OK</v>
      </c>
      <c r="Y2541" s="9" t="str">
        <f aca="false">IF(AND(N2541="No",O2541&lt;&gt;""),"Unexpected: channel present but no reminder sent",IF(AND(N2541="Yes",O2541=""),"Missing channel for sent reminder","OK"))</f>
        <v>OK</v>
      </c>
    </row>
    <row r="2542" customFormat="false" ht="15" hidden="false" customHeight="false" outlineLevel="0" collapsed="false">
      <c r="A2542" s="7" t="s">
        <v>3974</v>
      </c>
      <c r="B2542" s="7" t="s">
        <v>691</v>
      </c>
      <c r="C2542" s="7" t="s">
        <v>47</v>
      </c>
      <c r="D2542" s="7" t="n">
        <v>69</v>
      </c>
      <c r="E2542" s="7" t="s">
        <v>70</v>
      </c>
      <c r="F2542" s="7" t="s">
        <v>57</v>
      </c>
      <c r="G2542" s="8" t="n">
        <v>45777</v>
      </c>
      <c r="H2542" s="8" t="n">
        <v>45816</v>
      </c>
      <c r="I2542" s="7" t="s">
        <v>75</v>
      </c>
      <c r="J2542" s="7" t="s">
        <v>51</v>
      </c>
      <c r="K2542" s="7" t="n">
        <v>39</v>
      </c>
      <c r="L2542" s="7" t="n">
        <v>7</v>
      </c>
      <c r="M2542" s="7" t="n">
        <v>1</v>
      </c>
      <c r="N2542" s="7" t="s">
        <v>71</v>
      </c>
      <c r="O2542" s="7"/>
      <c r="P2542" s="7" t="n">
        <v>9.8</v>
      </c>
      <c r="Q2542" s="7" t="n">
        <v>30</v>
      </c>
      <c r="R2542" s="7" t="s">
        <v>44</v>
      </c>
      <c r="S2542" s="7"/>
      <c r="T2542" s="7"/>
      <c r="U2542" s="7" t="str">
        <f aca="false">IF(COUNTIF($A$2:$A$5001,A2542)&gt;1,"Duplicate","Unique")</f>
        <v>Unique</v>
      </c>
      <c r="V2542" s="7" t="str">
        <f aca="false">IF(COUNTIFS($B$2:$B$5001,B2542,$H$2:$H$5001,H2542,$J$2:$J$5001,J2542)&gt;1,"Possible Duplicate Booking","Unique")</f>
        <v>Unique</v>
      </c>
      <c r="W2542" s="7" t="str">
        <f aca="false">IF((H2542-G2542)&lt;&gt;K2542,"Mismatch","OK")</f>
        <v>OK</v>
      </c>
      <c r="X2542" s="7" t="str">
        <f aca="false">IF(TEXT(H2542,"dddd")&lt;&gt;I2542,"Mismatch","OK")</f>
        <v>OK</v>
      </c>
      <c r="Y2542" s="7" t="str">
        <f aca="false">IF(AND(N2542="No",O2542&lt;&gt;""),"Unexpected: channel present but no reminder sent",IF(AND(N2542="Yes",O2542=""),"Missing channel for sent reminder","OK"))</f>
        <v>OK</v>
      </c>
    </row>
    <row r="2543" customFormat="false" ht="15" hidden="false" customHeight="false" outlineLevel="0" collapsed="false">
      <c r="A2543" s="9" t="s">
        <v>3975</v>
      </c>
      <c r="B2543" s="9" t="s">
        <v>3915</v>
      </c>
      <c r="C2543" s="9" t="s">
        <v>37</v>
      </c>
      <c r="D2543" s="9" t="n">
        <v>47</v>
      </c>
      <c r="E2543" s="9" t="s">
        <v>56</v>
      </c>
      <c r="F2543" s="9" t="s">
        <v>39</v>
      </c>
      <c r="G2543" s="10" t="n">
        <v>46131</v>
      </c>
      <c r="H2543" s="10" t="n">
        <v>46188</v>
      </c>
      <c r="I2543" s="9" t="s">
        <v>66</v>
      </c>
      <c r="J2543" s="9" t="s">
        <v>41</v>
      </c>
      <c r="K2543" s="9" t="n">
        <v>57</v>
      </c>
      <c r="L2543" s="9" t="n">
        <v>2</v>
      </c>
      <c r="M2543" s="9" t="n">
        <v>1</v>
      </c>
      <c r="N2543" s="9" t="s">
        <v>42</v>
      </c>
      <c r="O2543" s="9" t="s">
        <v>52</v>
      </c>
      <c r="P2543" s="9" t="n">
        <v>7.2</v>
      </c>
      <c r="Q2543" s="9" t="n">
        <v>21</v>
      </c>
      <c r="R2543" s="9" t="s">
        <v>44</v>
      </c>
      <c r="S2543" s="9"/>
      <c r="T2543" s="9"/>
      <c r="U2543" s="9" t="str">
        <f aca="false">IF(COUNTIF($A$2:$A$5001,A2543)&gt;1,"Duplicate","Unique")</f>
        <v>Unique</v>
      </c>
      <c r="V2543" s="9" t="str">
        <f aca="false">IF(COUNTIFS($B$2:$B$5001,B2543,$H$2:$H$5001,H2543,$J$2:$J$5001,J2543)&gt;1,"Possible Duplicate Booking","Unique")</f>
        <v>Unique</v>
      </c>
      <c r="W2543" s="9" t="str">
        <f aca="false">IF((H2543-G2543)&lt;&gt;K2543,"Mismatch","OK")</f>
        <v>OK</v>
      </c>
      <c r="X2543" s="9" t="str">
        <f aca="false">IF(TEXT(H2543,"dddd")&lt;&gt;I2543,"Mismatch","OK")</f>
        <v>OK</v>
      </c>
      <c r="Y2543" s="9" t="str">
        <f aca="false">IF(AND(N2543="No",O2543&lt;&gt;""),"Unexpected: channel present but no reminder sent",IF(AND(N2543="Yes",O2543=""),"Missing channel for sent reminder","OK"))</f>
        <v>OK</v>
      </c>
    </row>
    <row r="2544" customFormat="false" ht="15" hidden="false" customHeight="false" outlineLevel="0" collapsed="false">
      <c r="A2544" s="7" t="s">
        <v>3976</v>
      </c>
      <c r="B2544" s="7" t="s">
        <v>1394</v>
      </c>
      <c r="C2544" s="7" t="s">
        <v>47</v>
      </c>
      <c r="D2544" s="7" t="n">
        <v>22</v>
      </c>
      <c r="E2544" s="7" t="s">
        <v>82</v>
      </c>
      <c r="F2544" s="7" t="s">
        <v>39</v>
      </c>
      <c r="G2544" s="8" t="n">
        <v>46158</v>
      </c>
      <c r="H2544" s="8" t="n">
        <v>46180</v>
      </c>
      <c r="I2544" s="7" t="s">
        <v>75</v>
      </c>
      <c r="J2544" s="7" t="s">
        <v>51</v>
      </c>
      <c r="K2544" s="7" t="n">
        <v>22</v>
      </c>
      <c r="L2544" s="7" t="n">
        <v>3</v>
      </c>
      <c r="M2544" s="7" t="n">
        <v>0</v>
      </c>
      <c r="N2544" s="7" t="s">
        <v>42</v>
      </c>
      <c r="O2544" s="7" t="s">
        <v>52</v>
      </c>
      <c r="P2544" s="7" t="n">
        <v>5.6</v>
      </c>
      <c r="Q2544" s="7" t="n">
        <v>32</v>
      </c>
      <c r="R2544" s="7" t="s">
        <v>53</v>
      </c>
      <c r="S2544" s="7"/>
      <c r="T2544" s="7"/>
      <c r="U2544" s="7" t="str">
        <f aca="false">IF(COUNTIF($A$2:$A$5001,A2544)&gt;1,"Duplicate","Unique")</f>
        <v>Unique</v>
      </c>
      <c r="V2544" s="7" t="str">
        <f aca="false">IF(COUNTIFS($B$2:$B$5001,B2544,$H$2:$H$5001,H2544,$J$2:$J$5001,J2544)&gt;1,"Possible Duplicate Booking","Unique")</f>
        <v>Unique</v>
      </c>
      <c r="W2544" s="7" t="str">
        <f aca="false">IF((H2544-G2544)&lt;&gt;K2544,"Mismatch","OK")</f>
        <v>OK</v>
      </c>
      <c r="X2544" s="7" t="str">
        <f aca="false">IF(TEXT(H2544,"dddd")&lt;&gt;I2544,"Mismatch","OK")</f>
        <v>OK</v>
      </c>
      <c r="Y2544" s="7" t="str">
        <f aca="false">IF(AND(N2544="No",O2544&lt;&gt;""),"Unexpected: channel present but no reminder sent",IF(AND(N2544="Yes",O2544=""),"Missing channel for sent reminder","OK"))</f>
        <v>OK</v>
      </c>
    </row>
    <row r="2545" customFormat="false" ht="15" hidden="false" customHeight="false" outlineLevel="0" collapsed="false">
      <c r="A2545" s="9" t="s">
        <v>3977</v>
      </c>
      <c r="B2545" s="9" t="s">
        <v>3978</v>
      </c>
      <c r="C2545" s="9" t="s">
        <v>37</v>
      </c>
      <c r="D2545" s="9" t="n">
        <v>31</v>
      </c>
      <c r="E2545" s="9" t="s">
        <v>48</v>
      </c>
      <c r="F2545" s="9" t="s">
        <v>39</v>
      </c>
      <c r="G2545" s="10" t="n">
        <v>45807</v>
      </c>
      <c r="H2545" s="10" t="n">
        <v>45865</v>
      </c>
      <c r="I2545" s="9" t="s">
        <v>75</v>
      </c>
      <c r="J2545" s="9" t="s">
        <v>41</v>
      </c>
      <c r="K2545" s="9" t="n">
        <v>58</v>
      </c>
      <c r="L2545" s="9" t="n">
        <v>1</v>
      </c>
      <c r="M2545" s="9" t="n">
        <v>0</v>
      </c>
      <c r="N2545" s="9" t="s">
        <v>71</v>
      </c>
      <c r="O2545" s="9"/>
      <c r="P2545" s="9" t="n">
        <v>5.1</v>
      </c>
      <c r="Q2545" s="9" t="n">
        <v>13</v>
      </c>
      <c r="R2545" s="9" t="s">
        <v>87</v>
      </c>
      <c r="S2545" s="9"/>
      <c r="T2545" s="9"/>
      <c r="U2545" s="9" t="str">
        <f aca="false">IF(COUNTIF($A$2:$A$5001,A2545)&gt;1,"Duplicate","Unique")</f>
        <v>Unique</v>
      </c>
      <c r="V2545" s="9" t="str">
        <f aca="false">IF(COUNTIFS($B$2:$B$5001,B2545,$H$2:$H$5001,H2545,$J$2:$J$5001,J2545)&gt;1,"Possible Duplicate Booking","Unique")</f>
        <v>Unique</v>
      </c>
      <c r="W2545" s="9" t="str">
        <f aca="false">IF((H2545-G2545)&lt;&gt;K2545,"Mismatch","OK")</f>
        <v>OK</v>
      </c>
      <c r="X2545" s="9" t="str">
        <f aca="false">IF(TEXT(H2545,"dddd")&lt;&gt;I2545,"Mismatch","OK")</f>
        <v>OK</v>
      </c>
      <c r="Y2545" s="9" t="str">
        <f aca="false">IF(AND(N2545="No",O2545&lt;&gt;""),"Unexpected: channel present but no reminder sent",IF(AND(N2545="Yes",O2545=""),"Missing channel for sent reminder","OK"))</f>
        <v>OK</v>
      </c>
    </row>
    <row r="2546" customFormat="false" ht="15" hidden="false" customHeight="false" outlineLevel="0" collapsed="false">
      <c r="A2546" s="7" t="s">
        <v>3979</v>
      </c>
      <c r="B2546" s="7" t="s">
        <v>1293</v>
      </c>
      <c r="C2546" s="7" t="s">
        <v>37</v>
      </c>
      <c r="D2546" s="7" t="n">
        <v>56</v>
      </c>
      <c r="E2546" s="7" t="s">
        <v>61</v>
      </c>
      <c r="F2546" s="7" t="s">
        <v>57</v>
      </c>
      <c r="G2546" s="8" t="n">
        <v>46073</v>
      </c>
      <c r="H2546" s="8" t="n">
        <v>46097</v>
      </c>
      <c r="I2546" s="7" t="s">
        <v>66</v>
      </c>
      <c r="J2546" s="7" t="s">
        <v>41</v>
      </c>
      <c r="K2546" s="7" t="n">
        <v>24</v>
      </c>
      <c r="L2546" s="7" t="n">
        <v>3</v>
      </c>
      <c r="M2546" s="7" t="n">
        <v>1</v>
      </c>
      <c r="N2546" s="7" t="s">
        <v>71</v>
      </c>
      <c r="O2546" s="7"/>
      <c r="P2546" s="7" t="n">
        <v>15.9</v>
      </c>
      <c r="Q2546" s="7" t="n">
        <v>29</v>
      </c>
      <c r="R2546" s="7" t="s">
        <v>53</v>
      </c>
      <c r="S2546" s="7"/>
      <c r="T2546" s="7"/>
      <c r="U2546" s="7" t="str">
        <f aca="false">IF(COUNTIF($A$2:$A$5001,A2546)&gt;1,"Duplicate","Unique")</f>
        <v>Unique</v>
      </c>
      <c r="V2546" s="7" t="str">
        <f aca="false">IF(COUNTIFS($B$2:$B$5001,B2546,$H$2:$H$5001,H2546,$J$2:$J$5001,J2546)&gt;1,"Possible Duplicate Booking","Unique")</f>
        <v>Unique</v>
      </c>
      <c r="W2546" s="7" t="str">
        <f aca="false">IF((H2546-G2546)&lt;&gt;K2546,"Mismatch","OK")</f>
        <v>OK</v>
      </c>
      <c r="X2546" s="7" t="str">
        <f aca="false">IF(TEXT(H2546,"dddd")&lt;&gt;I2546,"Mismatch","OK")</f>
        <v>OK</v>
      </c>
      <c r="Y2546" s="7" t="str">
        <f aca="false">IF(AND(N2546="No",O2546&lt;&gt;""),"Unexpected: channel present but no reminder sent",IF(AND(N2546="Yes",O2546=""),"Missing channel for sent reminder","OK"))</f>
        <v>OK</v>
      </c>
    </row>
    <row r="2547" customFormat="false" ht="15" hidden="false" customHeight="false" outlineLevel="0" collapsed="false">
      <c r="A2547" s="9" t="s">
        <v>3980</v>
      </c>
      <c r="B2547" s="9" t="s">
        <v>3981</v>
      </c>
      <c r="C2547" s="9" t="s">
        <v>47</v>
      </c>
      <c r="D2547" s="9" t="n">
        <v>55</v>
      </c>
      <c r="E2547" s="9" t="s">
        <v>61</v>
      </c>
      <c r="F2547" s="9" t="s">
        <v>39</v>
      </c>
      <c r="G2547" s="10" t="n">
        <v>45834</v>
      </c>
      <c r="H2547" s="10" t="n">
        <v>45875</v>
      </c>
      <c r="I2547" s="9" t="s">
        <v>58</v>
      </c>
      <c r="J2547" s="9" t="s">
        <v>63</v>
      </c>
      <c r="K2547" s="9" t="n">
        <v>41</v>
      </c>
      <c r="L2547" s="9" t="n">
        <v>3</v>
      </c>
      <c r="M2547" s="9" t="n">
        <v>0</v>
      </c>
      <c r="N2547" s="9" t="s">
        <v>42</v>
      </c>
      <c r="O2547" s="9" t="s">
        <v>52</v>
      </c>
      <c r="P2547" s="9" t="n">
        <v>2.9</v>
      </c>
      <c r="Q2547" s="9" t="n">
        <v>2</v>
      </c>
      <c r="R2547" s="9" t="s">
        <v>44</v>
      </c>
      <c r="S2547" s="9"/>
      <c r="T2547" s="9"/>
      <c r="U2547" s="9" t="str">
        <f aca="false">IF(COUNTIF($A$2:$A$5001,A2547)&gt;1,"Duplicate","Unique")</f>
        <v>Unique</v>
      </c>
      <c r="V2547" s="9" t="str">
        <f aca="false">IF(COUNTIFS($B$2:$B$5001,B2547,$H$2:$H$5001,H2547,$J$2:$J$5001,J2547)&gt;1,"Possible Duplicate Booking","Unique")</f>
        <v>Unique</v>
      </c>
      <c r="W2547" s="9" t="str">
        <f aca="false">IF((H2547-G2547)&lt;&gt;K2547,"Mismatch","OK")</f>
        <v>OK</v>
      </c>
      <c r="X2547" s="9" t="str">
        <f aca="false">IF(TEXT(H2547,"dddd")&lt;&gt;I2547,"Mismatch","OK")</f>
        <v>OK</v>
      </c>
      <c r="Y2547" s="9" t="str">
        <f aca="false">IF(AND(N2547="No",O2547&lt;&gt;""),"Unexpected: channel present but no reminder sent",IF(AND(N2547="Yes",O2547=""),"Missing channel for sent reminder","OK"))</f>
        <v>OK</v>
      </c>
    </row>
    <row r="2548" customFormat="false" ht="15" hidden="false" customHeight="false" outlineLevel="0" collapsed="false">
      <c r="A2548" s="7" t="s">
        <v>3982</v>
      </c>
      <c r="B2548" s="7" t="s">
        <v>657</v>
      </c>
      <c r="C2548" s="7" t="s">
        <v>47</v>
      </c>
      <c r="D2548" s="7" t="n">
        <v>69</v>
      </c>
      <c r="E2548" s="7" t="s">
        <v>70</v>
      </c>
      <c r="F2548" s="7" t="s">
        <v>39</v>
      </c>
      <c r="G2548" s="8" t="n">
        <v>46051</v>
      </c>
      <c r="H2548" s="8" t="n">
        <v>46091</v>
      </c>
      <c r="I2548" s="7" t="s">
        <v>40</v>
      </c>
      <c r="J2548" s="7" t="s">
        <v>51</v>
      </c>
      <c r="K2548" s="7" t="n">
        <v>40</v>
      </c>
      <c r="L2548" s="7" t="n">
        <v>3</v>
      </c>
      <c r="M2548" s="7" t="n">
        <v>0</v>
      </c>
      <c r="N2548" s="7" t="s">
        <v>71</v>
      </c>
      <c r="O2548" s="7"/>
      <c r="P2548" s="7" t="n">
        <v>13.2</v>
      </c>
      <c r="Q2548" s="7" t="n">
        <v>6</v>
      </c>
      <c r="R2548" s="7" t="s">
        <v>53</v>
      </c>
      <c r="S2548" s="7"/>
      <c r="T2548" s="7"/>
      <c r="U2548" s="7" t="str">
        <f aca="false">IF(COUNTIF($A$2:$A$5001,A2548)&gt;1,"Duplicate","Unique")</f>
        <v>Unique</v>
      </c>
      <c r="V2548" s="7" t="str">
        <f aca="false">IF(COUNTIFS($B$2:$B$5001,B2548,$H$2:$H$5001,H2548,$J$2:$J$5001,J2548)&gt;1,"Possible Duplicate Booking","Unique")</f>
        <v>Unique</v>
      </c>
      <c r="W2548" s="7" t="str">
        <f aca="false">IF((H2548-G2548)&lt;&gt;K2548,"Mismatch","OK")</f>
        <v>OK</v>
      </c>
      <c r="X2548" s="7" t="str">
        <f aca="false">IF(TEXT(H2548,"dddd")&lt;&gt;I2548,"Mismatch","OK")</f>
        <v>OK</v>
      </c>
      <c r="Y2548" s="7" t="str">
        <f aca="false">IF(AND(N2548="No",O2548&lt;&gt;""),"Unexpected: channel present but no reminder sent",IF(AND(N2548="Yes",O2548=""),"Missing channel for sent reminder","OK"))</f>
        <v>OK</v>
      </c>
    </row>
    <row r="2549" customFormat="false" ht="15" hidden="false" customHeight="false" outlineLevel="0" collapsed="false">
      <c r="A2549" s="9" t="s">
        <v>3983</v>
      </c>
      <c r="B2549" s="9" t="s">
        <v>1109</v>
      </c>
      <c r="C2549" s="9" t="s">
        <v>37</v>
      </c>
      <c r="D2549" s="9" t="n">
        <v>19</v>
      </c>
      <c r="E2549" s="9" t="s">
        <v>82</v>
      </c>
      <c r="F2549" s="9" t="s">
        <v>39</v>
      </c>
      <c r="G2549" s="10" t="n">
        <v>45928</v>
      </c>
      <c r="H2549" s="10" t="n">
        <v>45977</v>
      </c>
      <c r="I2549" s="9" t="s">
        <v>75</v>
      </c>
      <c r="J2549" s="9" t="s">
        <v>51</v>
      </c>
      <c r="K2549" s="9" t="n">
        <v>49</v>
      </c>
      <c r="L2549" s="9" t="n">
        <v>2</v>
      </c>
      <c r="M2549" s="9" t="n">
        <v>1</v>
      </c>
      <c r="N2549" s="9" t="s">
        <v>42</v>
      </c>
      <c r="O2549" s="9" t="s">
        <v>52</v>
      </c>
      <c r="P2549" s="9" t="n">
        <v>13.7</v>
      </c>
      <c r="Q2549" s="9" t="n">
        <v>3</v>
      </c>
      <c r="R2549" s="9" t="s">
        <v>44</v>
      </c>
      <c r="S2549" s="9"/>
      <c r="T2549" s="9"/>
      <c r="U2549" s="9" t="str">
        <f aca="false">IF(COUNTIF($A$2:$A$5001,A2549)&gt;1,"Duplicate","Unique")</f>
        <v>Unique</v>
      </c>
      <c r="V2549" s="9" t="str">
        <f aca="false">IF(COUNTIFS($B$2:$B$5001,B2549,$H$2:$H$5001,H2549,$J$2:$J$5001,J2549)&gt;1,"Possible Duplicate Booking","Unique")</f>
        <v>Unique</v>
      </c>
      <c r="W2549" s="9" t="str">
        <f aca="false">IF((H2549-G2549)&lt;&gt;K2549,"Mismatch","OK")</f>
        <v>OK</v>
      </c>
      <c r="X2549" s="9" t="str">
        <f aca="false">IF(TEXT(H2549,"dddd")&lt;&gt;I2549,"Mismatch","OK")</f>
        <v>OK</v>
      </c>
      <c r="Y2549" s="9" t="str">
        <f aca="false">IF(AND(N2549="No",O2549&lt;&gt;""),"Unexpected: channel present but no reminder sent",IF(AND(N2549="Yes",O2549=""),"Missing channel for sent reminder","OK"))</f>
        <v>OK</v>
      </c>
    </row>
    <row r="2550" customFormat="false" ht="15" hidden="false" customHeight="false" outlineLevel="0" collapsed="false">
      <c r="A2550" s="7" t="s">
        <v>3984</v>
      </c>
      <c r="B2550" s="7" t="s">
        <v>903</v>
      </c>
      <c r="C2550" s="7" t="s">
        <v>37</v>
      </c>
      <c r="D2550" s="7" t="n">
        <v>22</v>
      </c>
      <c r="E2550" s="7" t="s">
        <v>82</v>
      </c>
      <c r="F2550" s="7" t="s">
        <v>74</v>
      </c>
      <c r="G2550" s="8" t="n">
        <v>45886</v>
      </c>
      <c r="H2550" s="8" t="n">
        <v>45914</v>
      </c>
      <c r="I2550" s="7" t="s">
        <v>75</v>
      </c>
      <c r="J2550" s="7" t="s">
        <v>41</v>
      </c>
      <c r="K2550" s="7" t="n">
        <v>28</v>
      </c>
      <c r="L2550" s="7" t="n">
        <v>5</v>
      </c>
      <c r="M2550" s="7" t="n">
        <v>0</v>
      </c>
      <c r="N2550" s="7" t="s">
        <v>42</v>
      </c>
      <c r="O2550" s="7" t="s">
        <v>52</v>
      </c>
      <c r="P2550" s="7"/>
      <c r="Q2550" s="7" t="n">
        <v>45</v>
      </c>
      <c r="R2550" s="7" t="s">
        <v>53</v>
      </c>
      <c r="S2550" s="7"/>
      <c r="T2550" s="7"/>
      <c r="U2550" s="7" t="str">
        <f aca="false">IF(COUNTIF($A$2:$A$5001,A2550)&gt;1,"Duplicate","Unique")</f>
        <v>Unique</v>
      </c>
      <c r="V2550" s="7" t="str">
        <f aca="false">IF(COUNTIFS($B$2:$B$5001,B2550,$H$2:$H$5001,H2550,$J$2:$J$5001,J2550)&gt;1,"Possible Duplicate Booking","Unique")</f>
        <v>Unique</v>
      </c>
      <c r="W2550" s="7" t="str">
        <f aca="false">IF((H2550-G2550)&lt;&gt;K2550,"Mismatch","OK")</f>
        <v>OK</v>
      </c>
      <c r="X2550" s="7" t="str">
        <f aca="false">IF(TEXT(H2550,"dddd")&lt;&gt;I2550,"Mismatch","OK")</f>
        <v>OK</v>
      </c>
      <c r="Y2550" s="7" t="str">
        <f aca="false">IF(AND(N2550="No",O2550&lt;&gt;""),"Unexpected: channel present but no reminder sent",IF(AND(N2550="Yes",O2550=""),"Missing channel for sent reminder","OK"))</f>
        <v>OK</v>
      </c>
    </row>
    <row r="2551" customFormat="false" ht="15" hidden="false" customHeight="false" outlineLevel="0" collapsed="false">
      <c r="A2551" s="9" t="s">
        <v>3985</v>
      </c>
      <c r="B2551" s="9" t="s">
        <v>3986</v>
      </c>
      <c r="C2551" s="9" t="s">
        <v>47</v>
      </c>
      <c r="D2551" s="9" t="n">
        <v>20</v>
      </c>
      <c r="E2551" s="9" t="s">
        <v>82</v>
      </c>
      <c r="F2551" s="9" t="s">
        <v>49</v>
      </c>
      <c r="G2551" s="10" t="n">
        <v>45679</v>
      </c>
      <c r="H2551" s="10" t="n">
        <v>45727</v>
      </c>
      <c r="I2551" s="9" t="s">
        <v>40</v>
      </c>
      <c r="J2551" s="9" t="s">
        <v>63</v>
      </c>
      <c r="K2551" s="9" t="n">
        <v>48</v>
      </c>
      <c r="L2551" s="9" t="n">
        <v>6</v>
      </c>
      <c r="M2551" s="9" t="n">
        <v>3</v>
      </c>
      <c r="N2551" s="9" t="s">
        <v>71</v>
      </c>
      <c r="O2551" s="9"/>
      <c r="P2551" s="9" t="n">
        <v>6.2</v>
      </c>
      <c r="Q2551" s="9" t="n">
        <v>22</v>
      </c>
      <c r="R2551" s="9" t="s">
        <v>44</v>
      </c>
      <c r="S2551" s="9"/>
      <c r="T2551" s="9"/>
      <c r="U2551" s="9" t="str">
        <f aca="false">IF(COUNTIF($A$2:$A$5001,A2551)&gt;1,"Duplicate","Unique")</f>
        <v>Unique</v>
      </c>
      <c r="V2551" s="9" t="str">
        <f aca="false">IF(COUNTIFS($B$2:$B$5001,B2551,$H$2:$H$5001,H2551,$J$2:$J$5001,J2551)&gt;1,"Possible Duplicate Booking","Unique")</f>
        <v>Unique</v>
      </c>
      <c r="W2551" s="9" t="str">
        <f aca="false">IF((H2551-G2551)&lt;&gt;K2551,"Mismatch","OK")</f>
        <v>OK</v>
      </c>
      <c r="X2551" s="9" t="str">
        <f aca="false">IF(TEXT(H2551,"dddd")&lt;&gt;I2551,"Mismatch","OK")</f>
        <v>OK</v>
      </c>
      <c r="Y2551" s="9" t="str">
        <f aca="false">IF(AND(N2551="No",O2551&lt;&gt;""),"Unexpected: channel present but no reminder sent",IF(AND(N2551="Yes",O2551=""),"Missing channel for sent reminder","OK"))</f>
        <v>OK</v>
      </c>
    </row>
    <row r="2552" customFormat="false" ht="15" hidden="false" customHeight="false" outlineLevel="0" collapsed="false">
      <c r="A2552" s="7" t="s">
        <v>3987</v>
      </c>
      <c r="B2552" s="7" t="s">
        <v>3988</v>
      </c>
      <c r="C2552" s="7" t="s">
        <v>37</v>
      </c>
      <c r="D2552" s="7" t="n">
        <v>42</v>
      </c>
      <c r="E2552" s="7" t="s">
        <v>38</v>
      </c>
      <c r="F2552" s="7" t="s">
        <v>57</v>
      </c>
      <c r="G2552" s="8" t="n">
        <v>45994</v>
      </c>
      <c r="H2552" s="8" t="n">
        <v>46015</v>
      </c>
      <c r="I2552" s="7" t="s">
        <v>58</v>
      </c>
      <c r="J2552" s="7" t="s">
        <v>41</v>
      </c>
      <c r="K2552" s="7" t="n">
        <v>21</v>
      </c>
      <c r="L2552" s="7" t="n">
        <v>3</v>
      </c>
      <c r="M2552" s="7" t="n">
        <v>0</v>
      </c>
      <c r="N2552" s="7" t="s">
        <v>42</v>
      </c>
      <c r="O2552" s="7" t="s">
        <v>43</v>
      </c>
      <c r="P2552" s="7" t="n">
        <v>10.4</v>
      </c>
      <c r="Q2552" s="7" t="n">
        <v>9</v>
      </c>
      <c r="R2552" s="7" t="s">
        <v>53</v>
      </c>
      <c r="S2552" s="7"/>
      <c r="T2552" s="7"/>
      <c r="U2552" s="7" t="str">
        <f aca="false">IF(COUNTIF($A$2:$A$5001,A2552)&gt;1,"Duplicate","Unique")</f>
        <v>Unique</v>
      </c>
      <c r="V2552" s="7" t="str">
        <f aca="false">IF(COUNTIFS($B$2:$B$5001,B2552,$H$2:$H$5001,H2552,$J$2:$J$5001,J2552)&gt;1,"Possible Duplicate Booking","Unique")</f>
        <v>Unique</v>
      </c>
      <c r="W2552" s="7" t="str">
        <f aca="false">IF((H2552-G2552)&lt;&gt;K2552,"Mismatch","OK")</f>
        <v>OK</v>
      </c>
      <c r="X2552" s="7" t="str">
        <f aca="false">IF(TEXT(H2552,"dddd")&lt;&gt;I2552,"Mismatch","OK")</f>
        <v>OK</v>
      </c>
      <c r="Y2552" s="7" t="str">
        <f aca="false">IF(AND(N2552="No",O2552&lt;&gt;""),"Unexpected: channel present but no reminder sent",IF(AND(N2552="Yes",O2552=""),"Missing channel for sent reminder","OK"))</f>
        <v>OK</v>
      </c>
    </row>
    <row r="2553" customFormat="false" ht="15" hidden="false" customHeight="false" outlineLevel="0" collapsed="false">
      <c r="A2553" s="9" t="s">
        <v>3989</v>
      </c>
      <c r="B2553" s="9" t="s">
        <v>3990</v>
      </c>
      <c r="C2553" s="9" t="s">
        <v>47</v>
      </c>
      <c r="D2553" s="9" t="n">
        <v>63</v>
      </c>
      <c r="E2553" s="9" t="s">
        <v>61</v>
      </c>
      <c r="F2553" s="9" t="s">
        <v>57</v>
      </c>
      <c r="G2553" s="10" t="n">
        <v>45804</v>
      </c>
      <c r="H2553" s="10" t="n">
        <v>45833</v>
      </c>
      <c r="I2553" s="9" t="s">
        <v>58</v>
      </c>
      <c r="J2553" s="9" t="s">
        <v>41</v>
      </c>
      <c r="K2553" s="9" t="n">
        <v>29</v>
      </c>
      <c r="L2553" s="9" t="n">
        <v>2</v>
      </c>
      <c r="M2553" s="9" t="n">
        <v>1</v>
      </c>
      <c r="N2553" s="9" t="s">
        <v>71</v>
      </c>
      <c r="O2553" s="9"/>
      <c r="P2553" s="9" t="n">
        <v>9.9</v>
      </c>
      <c r="Q2553" s="9" t="n">
        <v>51</v>
      </c>
      <c r="R2553" s="9" t="s">
        <v>44</v>
      </c>
      <c r="S2553" s="9"/>
      <c r="T2553" s="9"/>
      <c r="U2553" s="9" t="str">
        <f aca="false">IF(COUNTIF($A$2:$A$5001,A2553)&gt;1,"Duplicate","Unique")</f>
        <v>Unique</v>
      </c>
      <c r="V2553" s="9" t="str">
        <f aca="false">IF(COUNTIFS($B$2:$B$5001,B2553,$H$2:$H$5001,H2553,$J$2:$J$5001,J2553)&gt;1,"Possible Duplicate Booking","Unique")</f>
        <v>Unique</v>
      </c>
      <c r="W2553" s="9" t="str">
        <f aca="false">IF((H2553-G2553)&lt;&gt;K2553,"Mismatch","OK")</f>
        <v>OK</v>
      </c>
      <c r="X2553" s="9" t="str">
        <f aca="false">IF(TEXT(H2553,"dddd")&lt;&gt;I2553,"Mismatch","OK")</f>
        <v>OK</v>
      </c>
      <c r="Y2553" s="9" t="str">
        <f aca="false">IF(AND(N2553="No",O2553&lt;&gt;""),"Unexpected: channel present but no reminder sent",IF(AND(N2553="Yes",O2553=""),"Missing channel for sent reminder","OK"))</f>
        <v>OK</v>
      </c>
    </row>
    <row r="2554" customFormat="false" ht="15" hidden="false" customHeight="false" outlineLevel="0" collapsed="false">
      <c r="A2554" s="7" t="s">
        <v>3991</v>
      </c>
      <c r="B2554" s="7" t="s">
        <v>933</v>
      </c>
      <c r="C2554" s="7" t="s">
        <v>47</v>
      </c>
      <c r="D2554" s="7" t="n">
        <v>59</v>
      </c>
      <c r="E2554" s="7" t="s">
        <v>61</v>
      </c>
      <c r="F2554" s="7" t="s">
        <v>39</v>
      </c>
      <c r="G2554" s="8" t="n">
        <v>45746</v>
      </c>
      <c r="H2554" s="8" t="n">
        <v>45776</v>
      </c>
      <c r="I2554" s="7" t="s">
        <v>40</v>
      </c>
      <c r="J2554" s="7" t="s">
        <v>41</v>
      </c>
      <c r="K2554" s="7" t="n">
        <v>30</v>
      </c>
      <c r="L2554" s="7" t="n">
        <v>2</v>
      </c>
      <c r="M2554" s="7" t="n">
        <v>1</v>
      </c>
      <c r="N2554" s="7" t="s">
        <v>42</v>
      </c>
      <c r="O2554" s="7" t="s">
        <v>52</v>
      </c>
      <c r="P2554" s="7" t="n">
        <v>15.8</v>
      </c>
      <c r="Q2554" s="7" t="n">
        <v>15</v>
      </c>
      <c r="R2554" s="7" t="s">
        <v>53</v>
      </c>
      <c r="S2554" s="7"/>
      <c r="T2554" s="7"/>
      <c r="U2554" s="7" t="str">
        <f aca="false">IF(COUNTIF($A$2:$A$5001,A2554)&gt;1,"Duplicate","Unique")</f>
        <v>Unique</v>
      </c>
      <c r="V2554" s="7" t="str">
        <f aca="false">IF(COUNTIFS($B$2:$B$5001,B2554,$H$2:$H$5001,H2554,$J$2:$J$5001,J2554)&gt;1,"Possible Duplicate Booking","Unique")</f>
        <v>Unique</v>
      </c>
      <c r="W2554" s="7" t="str">
        <f aca="false">IF((H2554-G2554)&lt;&gt;K2554,"Mismatch","OK")</f>
        <v>OK</v>
      </c>
      <c r="X2554" s="7" t="str">
        <f aca="false">IF(TEXT(H2554,"dddd")&lt;&gt;I2554,"Mismatch","OK")</f>
        <v>OK</v>
      </c>
      <c r="Y2554" s="7" t="str">
        <f aca="false">IF(AND(N2554="No",O2554&lt;&gt;""),"Unexpected: channel present but no reminder sent",IF(AND(N2554="Yes",O2554=""),"Missing channel for sent reminder","OK"))</f>
        <v>OK</v>
      </c>
    </row>
    <row r="2555" customFormat="false" ht="15" hidden="false" customHeight="false" outlineLevel="0" collapsed="false">
      <c r="A2555" s="9" t="s">
        <v>3992</v>
      </c>
      <c r="B2555" s="9" t="s">
        <v>1598</v>
      </c>
      <c r="C2555" s="9" t="s">
        <v>37</v>
      </c>
      <c r="D2555" s="9" t="n">
        <v>31</v>
      </c>
      <c r="E2555" s="9" t="s">
        <v>48</v>
      </c>
      <c r="F2555" s="9" t="s">
        <v>57</v>
      </c>
      <c r="G2555" s="10" t="n">
        <v>45721</v>
      </c>
      <c r="H2555" s="10" t="n">
        <v>45763</v>
      </c>
      <c r="I2555" s="9" t="s">
        <v>58</v>
      </c>
      <c r="J2555" s="9" t="s">
        <v>41</v>
      </c>
      <c r="K2555" s="9" t="n">
        <v>42</v>
      </c>
      <c r="L2555" s="9" t="n">
        <v>3</v>
      </c>
      <c r="M2555" s="9" t="n">
        <v>1</v>
      </c>
      <c r="N2555" s="9" t="s">
        <v>42</v>
      </c>
      <c r="O2555" s="9" t="s">
        <v>43</v>
      </c>
      <c r="P2555" s="9" t="n">
        <v>13.9</v>
      </c>
      <c r="Q2555" s="9" t="n">
        <v>30</v>
      </c>
      <c r="R2555" s="9" t="s">
        <v>44</v>
      </c>
      <c r="S2555" s="9"/>
      <c r="T2555" s="9"/>
      <c r="U2555" s="9" t="str">
        <f aca="false">IF(COUNTIF($A$2:$A$5001,A2555)&gt;1,"Duplicate","Unique")</f>
        <v>Unique</v>
      </c>
      <c r="V2555" s="9" t="str">
        <f aca="false">IF(COUNTIFS($B$2:$B$5001,B2555,$H$2:$H$5001,H2555,$J$2:$J$5001,J2555)&gt;1,"Possible Duplicate Booking","Unique")</f>
        <v>Unique</v>
      </c>
      <c r="W2555" s="9" t="str">
        <f aca="false">IF((H2555-G2555)&lt;&gt;K2555,"Mismatch","OK")</f>
        <v>OK</v>
      </c>
      <c r="X2555" s="9" t="str">
        <f aca="false">IF(TEXT(H2555,"dddd")&lt;&gt;I2555,"Mismatch","OK")</f>
        <v>OK</v>
      </c>
      <c r="Y2555" s="9" t="str">
        <f aca="false">IF(AND(N2555="No",O2555&lt;&gt;""),"Unexpected: channel present but no reminder sent",IF(AND(N2555="Yes",O2555=""),"Missing channel for sent reminder","OK"))</f>
        <v>OK</v>
      </c>
    </row>
    <row r="2556" customFormat="false" ht="15" hidden="false" customHeight="false" outlineLevel="0" collapsed="false">
      <c r="A2556" s="7" t="s">
        <v>3993</v>
      </c>
      <c r="B2556" s="7" t="s">
        <v>3994</v>
      </c>
      <c r="C2556" s="7" t="s">
        <v>47</v>
      </c>
      <c r="D2556" s="7" t="n">
        <v>59</v>
      </c>
      <c r="E2556" s="7" t="s">
        <v>61</v>
      </c>
      <c r="F2556" s="7" t="s">
        <v>49</v>
      </c>
      <c r="G2556" s="8" t="n">
        <v>46157</v>
      </c>
      <c r="H2556" s="8" t="n">
        <v>46194</v>
      </c>
      <c r="I2556" s="7" t="s">
        <v>75</v>
      </c>
      <c r="J2556" s="7" t="s">
        <v>41</v>
      </c>
      <c r="K2556" s="7" t="n">
        <v>37</v>
      </c>
      <c r="L2556" s="7" t="n">
        <v>3</v>
      </c>
      <c r="M2556" s="7" t="n">
        <v>0</v>
      </c>
      <c r="N2556" s="7" t="s">
        <v>71</v>
      </c>
      <c r="O2556" s="7"/>
      <c r="P2556" s="7" t="n">
        <v>4.6</v>
      </c>
      <c r="Q2556" s="7" t="n">
        <v>15</v>
      </c>
      <c r="R2556" s="7" t="s">
        <v>44</v>
      </c>
      <c r="S2556" s="7"/>
      <c r="T2556" s="7"/>
      <c r="U2556" s="7" t="str">
        <f aca="false">IF(COUNTIF($A$2:$A$5001,A2556)&gt;1,"Duplicate","Unique")</f>
        <v>Unique</v>
      </c>
      <c r="V2556" s="7" t="str">
        <f aca="false">IF(COUNTIFS($B$2:$B$5001,B2556,$H$2:$H$5001,H2556,$J$2:$J$5001,J2556)&gt;1,"Possible Duplicate Booking","Unique")</f>
        <v>Unique</v>
      </c>
      <c r="W2556" s="7" t="str">
        <f aca="false">IF((H2556-G2556)&lt;&gt;K2556,"Mismatch","OK")</f>
        <v>OK</v>
      </c>
      <c r="X2556" s="7" t="str">
        <f aca="false">IF(TEXT(H2556,"dddd")&lt;&gt;I2556,"Mismatch","OK")</f>
        <v>OK</v>
      </c>
      <c r="Y2556" s="7" t="str">
        <f aca="false">IF(AND(N2556="No",O2556&lt;&gt;""),"Unexpected: channel present but no reminder sent",IF(AND(N2556="Yes",O2556=""),"Missing channel for sent reminder","OK"))</f>
        <v>OK</v>
      </c>
    </row>
    <row r="2557" customFormat="false" ht="15" hidden="false" customHeight="false" outlineLevel="0" collapsed="false">
      <c r="A2557" s="9" t="s">
        <v>3995</v>
      </c>
      <c r="B2557" s="9" t="s">
        <v>3550</v>
      </c>
      <c r="C2557" s="9" t="s">
        <v>37</v>
      </c>
      <c r="D2557" s="9" t="n">
        <v>59</v>
      </c>
      <c r="E2557" s="9" t="s">
        <v>61</v>
      </c>
      <c r="F2557" s="9" t="s">
        <v>57</v>
      </c>
      <c r="G2557" s="10" t="n">
        <v>45710</v>
      </c>
      <c r="H2557" s="10" t="n">
        <v>45714</v>
      </c>
      <c r="I2557" s="9" t="s">
        <v>58</v>
      </c>
      <c r="J2557" s="9" t="s">
        <v>41</v>
      </c>
      <c r="K2557" s="9" t="n">
        <v>4</v>
      </c>
      <c r="L2557" s="9" t="n">
        <v>3</v>
      </c>
      <c r="M2557" s="9" t="n">
        <v>1</v>
      </c>
      <c r="N2557" s="9" t="s">
        <v>42</v>
      </c>
      <c r="O2557" s="9" t="s">
        <v>43</v>
      </c>
      <c r="P2557" s="9" t="n">
        <v>18.3</v>
      </c>
      <c r="Q2557" s="9" t="n">
        <v>33</v>
      </c>
      <c r="R2557" s="9" t="s">
        <v>53</v>
      </c>
      <c r="S2557" s="9"/>
      <c r="T2557" s="9"/>
      <c r="U2557" s="9" t="str">
        <f aca="false">IF(COUNTIF($A$2:$A$5001,A2557)&gt;1,"Duplicate","Unique")</f>
        <v>Unique</v>
      </c>
      <c r="V2557" s="9" t="str">
        <f aca="false">IF(COUNTIFS($B$2:$B$5001,B2557,$H$2:$H$5001,H2557,$J$2:$J$5001,J2557)&gt;1,"Possible Duplicate Booking","Unique")</f>
        <v>Unique</v>
      </c>
      <c r="W2557" s="9" t="str">
        <f aca="false">IF((H2557-G2557)&lt;&gt;K2557,"Mismatch","OK")</f>
        <v>OK</v>
      </c>
      <c r="X2557" s="9" t="str">
        <f aca="false">IF(TEXT(H2557,"dddd")&lt;&gt;I2557,"Mismatch","OK")</f>
        <v>OK</v>
      </c>
      <c r="Y2557" s="9" t="str">
        <f aca="false">IF(AND(N2557="No",O2557&lt;&gt;""),"Unexpected: channel present but no reminder sent",IF(AND(N2557="Yes",O2557=""),"Missing channel for sent reminder","OK"))</f>
        <v>OK</v>
      </c>
    </row>
    <row r="2558" customFormat="false" ht="15" hidden="false" customHeight="false" outlineLevel="0" collapsed="false">
      <c r="A2558" s="7" t="s">
        <v>3996</v>
      </c>
      <c r="B2558" s="7" t="s">
        <v>1939</v>
      </c>
      <c r="C2558" s="7" t="s">
        <v>47</v>
      </c>
      <c r="D2558" s="7" t="n">
        <v>30</v>
      </c>
      <c r="E2558" s="7" t="s">
        <v>48</v>
      </c>
      <c r="F2558" s="7" t="s">
        <v>57</v>
      </c>
      <c r="G2558" s="8" t="n">
        <v>46044</v>
      </c>
      <c r="H2558" s="8" t="n">
        <v>46093</v>
      </c>
      <c r="I2558" s="7" t="s">
        <v>62</v>
      </c>
      <c r="J2558" s="7" t="s">
        <v>41</v>
      </c>
      <c r="K2558" s="7" t="n">
        <v>49</v>
      </c>
      <c r="L2558" s="7" t="n">
        <v>4</v>
      </c>
      <c r="M2558" s="7" t="n">
        <v>0</v>
      </c>
      <c r="N2558" s="7" t="s">
        <v>42</v>
      </c>
      <c r="O2558" s="7" t="s">
        <v>43</v>
      </c>
      <c r="P2558" s="7" t="n">
        <v>6</v>
      </c>
      <c r="Q2558" s="7" t="n">
        <v>24</v>
      </c>
      <c r="R2558" s="7" t="s">
        <v>44</v>
      </c>
      <c r="S2558" s="7"/>
      <c r="T2558" s="7"/>
      <c r="U2558" s="7" t="str">
        <f aca="false">IF(COUNTIF($A$2:$A$5001,A2558)&gt;1,"Duplicate","Unique")</f>
        <v>Unique</v>
      </c>
      <c r="V2558" s="7" t="str">
        <f aca="false">IF(COUNTIFS($B$2:$B$5001,B2558,$H$2:$H$5001,H2558,$J$2:$J$5001,J2558)&gt;1,"Possible Duplicate Booking","Unique")</f>
        <v>Unique</v>
      </c>
      <c r="W2558" s="7" t="str">
        <f aca="false">IF((H2558-G2558)&lt;&gt;K2558,"Mismatch","OK")</f>
        <v>OK</v>
      </c>
      <c r="X2558" s="7" t="str">
        <f aca="false">IF(TEXT(H2558,"dddd")&lt;&gt;I2558,"Mismatch","OK")</f>
        <v>OK</v>
      </c>
      <c r="Y2558" s="7" t="str">
        <f aca="false">IF(AND(N2558="No",O2558&lt;&gt;""),"Unexpected: channel present but no reminder sent",IF(AND(N2558="Yes",O2558=""),"Missing channel for sent reminder","OK"))</f>
        <v>OK</v>
      </c>
    </row>
    <row r="2559" customFormat="false" ht="15" hidden="false" customHeight="false" outlineLevel="0" collapsed="false">
      <c r="A2559" s="9" t="s">
        <v>3997</v>
      </c>
      <c r="B2559" s="9" t="s">
        <v>3998</v>
      </c>
      <c r="C2559" s="9" t="s">
        <v>47</v>
      </c>
      <c r="D2559" s="9" t="n">
        <v>65</v>
      </c>
      <c r="E2559" s="9" t="s">
        <v>70</v>
      </c>
      <c r="F2559" s="9" t="s">
        <v>57</v>
      </c>
      <c r="G2559" s="10" t="n">
        <v>46084</v>
      </c>
      <c r="H2559" s="10" t="n">
        <v>46130</v>
      </c>
      <c r="I2559" s="9" t="s">
        <v>102</v>
      </c>
      <c r="J2559" s="9" t="s">
        <v>41</v>
      </c>
      <c r="K2559" s="9" t="n">
        <v>46</v>
      </c>
      <c r="L2559" s="9" t="n">
        <v>4</v>
      </c>
      <c r="M2559" s="9" t="n">
        <v>1</v>
      </c>
      <c r="N2559" s="9" t="s">
        <v>71</v>
      </c>
      <c r="O2559" s="9"/>
      <c r="P2559" s="9" t="n">
        <v>2.8</v>
      </c>
      <c r="Q2559" s="9" t="n">
        <v>16</v>
      </c>
      <c r="R2559" s="9" t="s">
        <v>53</v>
      </c>
      <c r="S2559" s="9"/>
      <c r="T2559" s="9"/>
      <c r="U2559" s="9" t="str">
        <f aca="false">IF(COUNTIF($A$2:$A$5001,A2559)&gt;1,"Duplicate","Unique")</f>
        <v>Unique</v>
      </c>
      <c r="V2559" s="9" t="str">
        <f aca="false">IF(COUNTIFS($B$2:$B$5001,B2559,$H$2:$H$5001,H2559,$J$2:$J$5001,J2559)&gt;1,"Possible Duplicate Booking","Unique")</f>
        <v>Unique</v>
      </c>
      <c r="W2559" s="9" t="str">
        <f aca="false">IF((H2559-G2559)&lt;&gt;K2559,"Mismatch","OK")</f>
        <v>OK</v>
      </c>
      <c r="X2559" s="9" t="str">
        <f aca="false">IF(TEXT(H2559,"dddd")&lt;&gt;I2559,"Mismatch","OK")</f>
        <v>OK</v>
      </c>
      <c r="Y2559" s="9" t="str">
        <f aca="false">IF(AND(N2559="No",O2559&lt;&gt;""),"Unexpected: channel present but no reminder sent",IF(AND(N2559="Yes",O2559=""),"Missing channel for sent reminder","OK"))</f>
        <v>OK</v>
      </c>
    </row>
    <row r="2560" customFormat="false" ht="15" hidden="false" customHeight="false" outlineLevel="0" collapsed="false">
      <c r="A2560" s="7" t="s">
        <v>3999</v>
      </c>
      <c r="B2560" s="7" t="s">
        <v>2132</v>
      </c>
      <c r="C2560" s="7" t="s">
        <v>47</v>
      </c>
      <c r="D2560" s="7" t="n">
        <v>44</v>
      </c>
      <c r="E2560" s="7" t="s">
        <v>38</v>
      </c>
      <c r="F2560" s="7" t="s">
        <v>49</v>
      </c>
      <c r="G2560" s="8" t="n">
        <v>45668</v>
      </c>
      <c r="H2560" s="8" t="n">
        <v>45674</v>
      </c>
      <c r="I2560" s="7" t="s">
        <v>50</v>
      </c>
      <c r="J2560" s="7" t="s">
        <v>63</v>
      </c>
      <c r="K2560" s="7" t="n">
        <v>6</v>
      </c>
      <c r="L2560" s="7" t="n">
        <v>5</v>
      </c>
      <c r="M2560" s="7" t="n">
        <v>2</v>
      </c>
      <c r="N2560" s="7" t="s">
        <v>71</v>
      </c>
      <c r="O2560" s="7"/>
      <c r="P2560" s="7" t="n">
        <v>2.2</v>
      </c>
      <c r="Q2560" s="7" t="n">
        <v>9</v>
      </c>
      <c r="R2560" s="7" t="s">
        <v>44</v>
      </c>
      <c r="S2560" s="7"/>
      <c r="T2560" s="7"/>
      <c r="U2560" s="7" t="str">
        <f aca="false">IF(COUNTIF($A$2:$A$5001,A2560)&gt;1,"Duplicate","Unique")</f>
        <v>Unique</v>
      </c>
      <c r="V2560" s="7" t="str">
        <f aca="false">IF(COUNTIFS($B$2:$B$5001,B2560,$H$2:$H$5001,H2560,$J$2:$J$5001,J2560)&gt;1,"Possible Duplicate Booking","Unique")</f>
        <v>Unique</v>
      </c>
      <c r="W2560" s="7" t="str">
        <f aca="false">IF((H2560-G2560)&lt;&gt;K2560,"Mismatch","OK")</f>
        <v>OK</v>
      </c>
      <c r="X2560" s="7" t="str">
        <f aca="false">IF(TEXT(H2560,"dddd")&lt;&gt;I2560,"Mismatch","OK")</f>
        <v>OK</v>
      </c>
      <c r="Y2560" s="7" t="str">
        <f aca="false">IF(AND(N2560="No",O2560&lt;&gt;""),"Unexpected: channel present but no reminder sent",IF(AND(N2560="Yes",O2560=""),"Missing channel for sent reminder","OK"))</f>
        <v>OK</v>
      </c>
    </row>
    <row r="2561" customFormat="false" ht="15" hidden="false" customHeight="false" outlineLevel="0" collapsed="false">
      <c r="A2561" s="9" t="s">
        <v>4000</v>
      </c>
      <c r="B2561" s="9" t="s">
        <v>671</v>
      </c>
      <c r="C2561" s="9" t="s">
        <v>236</v>
      </c>
      <c r="D2561" s="9" t="n">
        <v>21</v>
      </c>
      <c r="E2561" s="9" t="s">
        <v>82</v>
      </c>
      <c r="F2561" s="9" t="s">
        <v>74</v>
      </c>
      <c r="G2561" s="10" t="n">
        <v>45921</v>
      </c>
      <c r="H2561" s="10" t="n">
        <v>45979</v>
      </c>
      <c r="I2561" s="9" t="s">
        <v>40</v>
      </c>
      <c r="J2561" s="9" t="s">
        <v>51</v>
      </c>
      <c r="K2561" s="9" t="n">
        <v>58</v>
      </c>
      <c r="L2561" s="9" t="n">
        <v>3</v>
      </c>
      <c r="M2561" s="9" t="n">
        <v>0</v>
      </c>
      <c r="N2561" s="9" t="s">
        <v>71</v>
      </c>
      <c r="O2561" s="9"/>
      <c r="P2561" s="9" t="n">
        <v>12.9</v>
      </c>
      <c r="Q2561" s="9" t="n">
        <v>16</v>
      </c>
      <c r="R2561" s="9" t="s">
        <v>44</v>
      </c>
      <c r="S2561" s="9"/>
      <c r="T2561" s="9"/>
      <c r="U2561" s="9" t="str">
        <f aca="false">IF(COUNTIF($A$2:$A$5001,A2561)&gt;1,"Duplicate","Unique")</f>
        <v>Unique</v>
      </c>
      <c r="V2561" s="9" t="str">
        <f aca="false">IF(COUNTIFS($B$2:$B$5001,B2561,$H$2:$H$5001,H2561,$J$2:$J$5001,J2561)&gt;1,"Possible Duplicate Booking","Unique")</f>
        <v>Unique</v>
      </c>
      <c r="W2561" s="9" t="str">
        <f aca="false">IF((H2561-G2561)&lt;&gt;K2561,"Mismatch","OK")</f>
        <v>OK</v>
      </c>
      <c r="X2561" s="9" t="str">
        <f aca="false">IF(TEXT(H2561,"dddd")&lt;&gt;I2561,"Mismatch","OK")</f>
        <v>OK</v>
      </c>
      <c r="Y2561" s="9" t="str">
        <f aca="false">IF(AND(N2561="No",O2561&lt;&gt;""),"Unexpected: channel present but no reminder sent",IF(AND(N2561="Yes",O2561=""),"Missing channel for sent reminder","OK"))</f>
        <v>OK</v>
      </c>
    </row>
    <row r="2562" customFormat="false" ht="15" hidden="false" customHeight="false" outlineLevel="0" collapsed="false">
      <c r="A2562" s="7" t="s">
        <v>4001</v>
      </c>
      <c r="B2562" s="7" t="s">
        <v>4002</v>
      </c>
      <c r="C2562" s="7" t="s">
        <v>47</v>
      </c>
      <c r="D2562" s="7" t="n">
        <v>42</v>
      </c>
      <c r="E2562" s="7" t="s">
        <v>38</v>
      </c>
      <c r="F2562" s="7" t="s">
        <v>74</v>
      </c>
      <c r="G2562" s="8" t="n">
        <v>45933</v>
      </c>
      <c r="H2562" s="8" t="n">
        <v>45973</v>
      </c>
      <c r="I2562" s="7" t="s">
        <v>58</v>
      </c>
      <c r="J2562" s="7" t="s">
        <v>51</v>
      </c>
      <c r="K2562" s="7" t="n">
        <v>40</v>
      </c>
      <c r="L2562" s="7" t="n">
        <v>3</v>
      </c>
      <c r="M2562" s="7" t="n">
        <v>0</v>
      </c>
      <c r="N2562" s="7" t="s">
        <v>71</v>
      </c>
      <c r="O2562" s="7"/>
      <c r="P2562" s="7" t="n">
        <v>29.2</v>
      </c>
      <c r="Q2562" s="7" t="n">
        <v>13</v>
      </c>
      <c r="R2562" s="7" t="s">
        <v>44</v>
      </c>
      <c r="S2562" s="7"/>
      <c r="T2562" s="7"/>
      <c r="U2562" s="7" t="str">
        <f aca="false">IF(COUNTIF($A$2:$A$5001,A2562)&gt;1,"Duplicate","Unique")</f>
        <v>Unique</v>
      </c>
      <c r="V2562" s="7" t="str">
        <f aca="false">IF(COUNTIFS($B$2:$B$5001,B2562,$H$2:$H$5001,H2562,$J$2:$J$5001,J2562)&gt;1,"Possible Duplicate Booking","Unique")</f>
        <v>Unique</v>
      </c>
      <c r="W2562" s="7" t="str">
        <f aca="false">IF((H2562-G2562)&lt;&gt;K2562,"Mismatch","OK")</f>
        <v>OK</v>
      </c>
      <c r="X2562" s="7" t="str">
        <f aca="false">IF(TEXT(H2562,"dddd")&lt;&gt;I2562,"Mismatch","OK")</f>
        <v>OK</v>
      </c>
      <c r="Y2562" s="7" t="str">
        <f aca="false">IF(AND(N2562="No",O2562&lt;&gt;""),"Unexpected: channel present but no reminder sent",IF(AND(N2562="Yes",O2562=""),"Missing channel for sent reminder","OK"))</f>
        <v>OK</v>
      </c>
    </row>
    <row r="2563" customFormat="false" ht="15" hidden="false" customHeight="false" outlineLevel="0" collapsed="false">
      <c r="A2563" s="9" t="s">
        <v>4003</v>
      </c>
      <c r="B2563" s="9" t="s">
        <v>4004</v>
      </c>
      <c r="C2563" s="9" t="s">
        <v>37</v>
      </c>
      <c r="D2563" s="9" t="n">
        <v>66</v>
      </c>
      <c r="E2563" s="9" t="s">
        <v>70</v>
      </c>
      <c r="F2563" s="9" t="s">
        <v>39</v>
      </c>
      <c r="G2563" s="10" t="n">
        <v>45848</v>
      </c>
      <c r="H2563" s="10" t="n">
        <v>45853</v>
      </c>
      <c r="I2563" s="9" t="s">
        <v>40</v>
      </c>
      <c r="J2563" s="9" t="s">
        <v>63</v>
      </c>
      <c r="K2563" s="9" t="n">
        <v>5</v>
      </c>
      <c r="L2563" s="9" t="n">
        <v>6</v>
      </c>
      <c r="M2563" s="9" t="n">
        <v>1</v>
      </c>
      <c r="N2563" s="9" t="s">
        <v>42</v>
      </c>
      <c r="O2563" s="9" t="s">
        <v>67</v>
      </c>
      <c r="P2563" s="9" t="n">
        <v>4.4</v>
      </c>
      <c r="Q2563" s="9" t="n">
        <v>5</v>
      </c>
      <c r="R2563" s="9" t="s">
        <v>53</v>
      </c>
      <c r="S2563" s="9"/>
      <c r="T2563" s="9"/>
      <c r="U2563" s="9" t="str">
        <f aca="false">IF(COUNTIF($A$2:$A$5001,A2563)&gt;1,"Duplicate","Unique")</f>
        <v>Unique</v>
      </c>
      <c r="V2563" s="9" t="str">
        <f aca="false">IF(COUNTIFS($B$2:$B$5001,B2563,$H$2:$H$5001,H2563,$J$2:$J$5001,J2563)&gt;1,"Possible Duplicate Booking","Unique")</f>
        <v>Unique</v>
      </c>
      <c r="W2563" s="9" t="str">
        <f aca="false">IF((H2563-G2563)&lt;&gt;K2563,"Mismatch","OK")</f>
        <v>OK</v>
      </c>
      <c r="X2563" s="9" t="str">
        <f aca="false">IF(TEXT(H2563,"dddd")&lt;&gt;I2563,"Mismatch","OK")</f>
        <v>OK</v>
      </c>
      <c r="Y2563" s="9" t="str">
        <f aca="false">IF(AND(N2563="No",O2563&lt;&gt;""),"Unexpected: channel present but no reminder sent",IF(AND(N2563="Yes",O2563=""),"Missing channel for sent reminder","OK"))</f>
        <v>OK</v>
      </c>
    </row>
    <row r="2564" customFormat="false" ht="15" hidden="false" customHeight="false" outlineLevel="0" collapsed="false">
      <c r="A2564" s="7" t="s">
        <v>4005</v>
      </c>
      <c r="B2564" s="7" t="s">
        <v>136</v>
      </c>
      <c r="C2564" s="7" t="s">
        <v>37</v>
      </c>
      <c r="D2564" s="7" t="n">
        <v>61</v>
      </c>
      <c r="E2564" s="7" t="s">
        <v>61</v>
      </c>
      <c r="F2564" s="7" t="s">
        <v>49</v>
      </c>
      <c r="G2564" s="8" t="n">
        <v>45993</v>
      </c>
      <c r="H2564" s="8" t="n">
        <v>46022</v>
      </c>
      <c r="I2564" s="7" t="s">
        <v>58</v>
      </c>
      <c r="J2564" s="7" t="s">
        <v>41</v>
      </c>
      <c r="K2564" s="7" t="n">
        <v>29</v>
      </c>
      <c r="L2564" s="7" t="n">
        <v>3</v>
      </c>
      <c r="M2564" s="7" t="n">
        <v>0</v>
      </c>
      <c r="N2564" s="7" t="s">
        <v>42</v>
      </c>
      <c r="O2564" s="7" t="s">
        <v>52</v>
      </c>
      <c r="P2564" s="7" t="n">
        <v>1.9</v>
      </c>
      <c r="Q2564" s="7" t="n">
        <v>32</v>
      </c>
      <c r="R2564" s="7" t="s">
        <v>44</v>
      </c>
      <c r="S2564" s="7"/>
      <c r="T2564" s="7"/>
      <c r="U2564" s="7" t="str">
        <f aca="false">IF(COUNTIF($A$2:$A$5001,A2564)&gt;1,"Duplicate","Unique")</f>
        <v>Unique</v>
      </c>
      <c r="V2564" s="7" t="str">
        <f aca="false">IF(COUNTIFS($B$2:$B$5001,B2564,$H$2:$H$5001,H2564,$J$2:$J$5001,J2564)&gt;1,"Possible Duplicate Booking","Unique")</f>
        <v>Unique</v>
      </c>
      <c r="W2564" s="7" t="str">
        <f aca="false">IF((H2564-G2564)&lt;&gt;K2564,"Mismatch","OK")</f>
        <v>OK</v>
      </c>
      <c r="X2564" s="7" t="str">
        <f aca="false">IF(TEXT(H2564,"dddd")&lt;&gt;I2564,"Mismatch","OK")</f>
        <v>OK</v>
      </c>
      <c r="Y2564" s="7" t="str">
        <f aca="false">IF(AND(N2564="No",O2564&lt;&gt;""),"Unexpected: channel present but no reminder sent",IF(AND(N2564="Yes",O2564=""),"Missing channel for sent reminder","OK"))</f>
        <v>OK</v>
      </c>
    </row>
    <row r="2565" customFormat="false" ht="15" hidden="false" customHeight="false" outlineLevel="0" collapsed="false">
      <c r="A2565" s="9" t="s">
        <v>4006</v>
      </c>
      <c r="B2565" s="9" t="s">
        <v>1142</v>
      </c>
      <c r="C2565" s="9" t="s">
        <v>37</v>
      </c>
      <c r="D2565" s="9" t="n">
        <v>34</v>
      </c>
      <c r="E2565" s="9" t="s">
        <v>48</v>
      </c>
      <c r="F2565" s="9" t="s">
        <v>57</v>
      </c>
      <c r="G2565" s="10" t="n">
        <v>45830</v>
      </c>
      <c r="H2565" s="10" t="n">
        <v>45881</v>
      </c>
      <c r="I2565" s="9" t="s">
        <v>40</v>
      </c>
      <c r="J2565" s="9" t="s">
        <v>51</v>
      </c>
      <c r="K2565" s="9" t="n">
        <v>51</v>
      </c>
      <c r="L2565" s="9" t="n">
        <v>2</v>
      </c>
      <c r="M2565" s="9" t="n">
        <v>0</v>
      </c>
      <c r="N2565" s="9" t="s">
        <v>42</v>
      </c>
      <c r="O2565" s="9" t="s">
        <v>43</v>
      </c>
      <c r="P2565" s="9" t="n">
        <v>12.1</v>
      </c>
      <c r="Q2565" s="9" t="n">
        <v>36</v>
      </c>
      <c r="R2565" s="9" t="s">
        <v>44</v>
      </c>
      <c r="S2565" s="9"/>
      <c r="T2565" s="9"/>
      <c r="U2565" s="9" t="str">
        <f aca="false">IF(COUNTIF($A$2:$A$5001,A2565)&gt;1,"Duplicate","Unique")</f>
        <v>Unique</v>
      </c>
      <c r="V2565" s="9" t="str">
        <f aca="false">IF(COUNTIFS($B$2:$B$5001,B2565,$H$2:$H$5001,H2565,$J$2:$J$5001,J2565)&gt;1,"Possible Duplicate Booking","Unique")</f>
        <v>Unique</v>
      </c>
      <c r="W2565" s="9" t="str">
        <f aca="false">IF((H2565-G2565)&lt;&gt;K2565,"Mismatch","OK")</f>
        <v>OK</v>
      </c>
      <c r="X2565" s="9" t="str">
        <f aca="false">IF(TEXT(H2565,"dddd")&lt;&gt;I2565,"Mismatch","OK")</f>
        <v>OK</v>
      </c>
      <c r="Y2565" s="9" t="str">
        <f aca="false">IF(AND(N2565="No",O2565&lt;&gt;""),"Unexpected: channel present but no reminder sent",IF(AND(N2565="Yes",O2565=""),"Missing channel for sent reminder","OK"))</f>
        <v>OK</v>
      </c>
    </row>
    <row r="2566" customFormat="false" ht="15" hidden="false" customHeight="false" outlineLevel="0" collapsed="false">
      <c r="A2566" s="7" t="s">
        <v>4007</v>
      </c>
      <c r="B2566" s="7" t="s">
        <v>1731</v>
      </c>
      <c r="C2566" s="7" t="s">
        <v>37</v>
      </c>
      <c r="D2566" s="7" t="n">
        <v>65</v>
      </c>
      <c r="E2566" s="7" t="s">
        <v>70</v>
      </c>
      <c r="F2566" s="7" t="s">
        <v>39</v>
      </c>
      <c r="G2566" s="8" t="n">
        <v>45881</v>
      </c>
      <c r="H2566" s="8" t="n">
        <v>45898</v>
      </c>
      <c r="I2566" s="7" t="s">
        <v>50</v>
      </c>
      <c r="J2566" s="7" t="s">
        <v>41</v>
      </c>
      <c r="K2566" s="7" t="n">
        <v>17</v>
      </c>
      <c r="L2566" s="7" t="n">
        <v>4</v>
      </c>
      <c r="M2566" s="7" t="n">
        <v>0</v>
      </c>
      <c r="N2566" s="7" t="s">
        <v>42</v>
      </c>
      <c r="O2566" s="7" t="s">
        <v>67</v>
      </c>
      <c r="P2566" s="7" t="n">
        <v>3.6</v>
      </c>
      <c r="Q2566" s="7" t="n">
        <v>17</v>
      </c>
      <c r="R2566" s="7" t="s">
        <v>44</v>
      </c>
      <c r="S2566" s="7"/>
      <c r="T2566" s="7"/>
      <c r="U2566" s="7" t="str">
        <f aca="false">IF(COUNTIF($A$2:$A$5001,A2566)&gt;1,"Duplicate","Unique")</f>
        <v>Unique</v>
      </c>
      <c r="V2566" s="7" t="str">
        <f aca="false">IF(COUNTIFS($B$2:$B$5001,B2566,$H$2:$H$5001,H2566,$J$2:$J$5001,J2566)&gt;1,"Possible Duplicate Booking","Unique")</f>
        <v>Unique</v>
      </c>
      <c r="W2566" s="7" t="str">
        <f aca="false">IF((H2566-G2566)&lt;&gt;K2566,"Mismatch","OK")</f>
        <v>OK</v>
      </c>
      <c r="X2566" s="7" t="str">
        <f aca="false">IF(TEXT(H2566,"dddd")&lt;&gt;I2566,"Mismatch","OK")</f>
        <v>OK</v>
      </c>
      <c r="Y2566" s="7" t="str">
        <f aca="false">IF(AND(N2566="No",O2566&lt;&gt;""),"Unexpected: channel present but no reminder sent",IF(AND(N2566="Yes",O2566=""),"Missing channel for sent reminder","OK"))</f>
        <v>OK</v>
      </c>
    </row>
    <row r="2567" customFormat="false" ht="15" hidden="false" customHeight="false" outlineLevel="0" collapsed="false">
      <c r="A2567" s="9" t="s">
        <v>4008</v>
      </c>
      <c r="B2567" s="9" t="s">
        <v>790</v>
      </c>
      <c r="C2567" s="9" t="s">
        <v>47</v>
      </c>
      <c r="D2567" s="9" t="n">
        <v>42</v>
      </c>
      <c r="E2567" s="9" t="s">
        <v>38</v>
      </c>
      <c r="F2567" s="9" t="s">
        <v>74</v>
      </c>
      <c r="G2567" s="10" t="n">
        <v>45837</v>
      </c>
      <c r="H2567" s="10" t="n">
        <v>45893</v>
      </c>
      <c r="I2567" s="9" t="s">
        <v>75</v>
      </c>
      <c r="J2567" s="9" t="s">
        <v>41</v>
      </c>
      <c r="K2567" s="9" t="n">
        <v>56</v>
      </c>
      <c r="L2567" s="9" t="n">
        <v>6</v>
      </c>
      <c r="M2567" s="9" t="n">
        <v>1</v>
      </c>
      <c r="N2567" s="9" t="s">
        <v>71</v>
      </c>
      <c r="O2567" s="9"/>
      <c r="P2567" s="9" t="n">
        <v>14.7</v>
      </c>
      <c r="Q2567" s="9" t="n">
        <v>2</v>
      </c>
      <c r="R2567" s="9" t="s">
        <v>44</v>
      </c>
      <c r="S2567" s="9"/>
      <c r="T2567" s="9"/>
      <c r="U2567" s="9" t="str">
        <f aca="false">IF(COUNTIF($A$2:$A$5001,A2567)&gt;1,"Duplicate","Unique")</f>
        <v>Unique</v>
      </c>
      <c r="V2567" s="9" t="str">
        <f aca="false">IF(COUNTIFS($B$2:$B$5001,B2567,$H$2:$H$5001,H2567,$J$2:$J$5001,J2567)&gt;1,"Possible Duplicate Booking","Unique")</f>
        <v>Unique</v>
      </c>
      <c r="W2567" s="9" t="str">
        <f aca="false">IF((H2567-G2567)&lt;&gt;K2567,"Mismatch","OK")</f>
        <v>OK</v>
      </c>
      <c r="X2567" s="9" t="str">
        <f aca="false">IF(TEXT(H2567,"dddd")&lt;&gt;I2567,"Mismatch","OK")</f>
        <v>OK</v>
      </c>
      <c r="Y2567" s="9" t="str">
        <f aca="false">IF(AND(N2567="No",O2567&lt;&gt;""),"Unexpected: channel present but no reminder sent",IF(AND(N2567="Yes",O2567=""),"Missing channel for sent reminder","OK"))</f>
        <v>OK</v>
      </c>
    </row>
    <row r="2568" customFormat="false" ht="15" hidden="false" customHeight="false" outlineLevel="0" collapsed="false">
      <c r="A2568" s="7" t="s">
        <v>4009</v>
      </c>
      <c r="B2568" s="7" t="s">
        <v>2534</v>
      </c>
      <c r="C2568" s="7" t="s">
        <v>37</v>
      </c>
      <c r="D2568" s="7" t="n">
        <v>46</v>
      </c>
      <c r="E2568" s="7" t="s">
        <v>56</v>
      </c>
      <c r="F2568" s="7" t="s">
        <v>57</v>
      </c>
      <c r="G2568" s="8" t="n">
        <v>46070</v>
      </c>
      <c r="H2568" s="8" t="n">
        <v>46095</v>
      </c>
      <c r="I2568" s="7" t="s">
        <v>102</v>
      </c>
      <c r="J2568" s="7" t="s">
        <v>41</v>
      </c>
      <c r="K2568" s="7" t="n">
        <v>25</v>
      </c>
      <c r="L2568" s="7" t="n">
        <v>4</v>
      </c>
      <c r="M2568" s="7" t="n">
        <v>0</v>
      </c>
      <c r="N2568" s="7" t="s">
        <v>42</v>
      </c>
      <c r="O2568" s="7" t="s">
        <v>67</v>
      </c>
      <c r="P2568" s="7" t="n">
        <v>7.2</v>
      </c>
      <c r="Q2568" s="7" t="n">
        <v>28</v>
      </c>
      <c r="R2568" s="7" t="s">
        <v>53</v>
      </c>
      <c r="S2568" s="7"/>
      <c r="T2568" s="7"/>
      <c r="U2568" s="7" t="str">
        <f aca="false">IF(COUNTIF($A$2:$A$5001,A2568)&gt;1,"Duplicate","Unique")</f>
        <v>Unique</v>
      </c>
      <c r="V2568" s="7" t="str">
        <f aca="false">IF(COUNTIFS($B$2:$B$5001,B2568,$H$2:$H$5001,H2568,$J$2:$J$5001,J2568)&gt;1,"Possible Duplicate Booking","Unique")</f>
        <v>Unique</v>
      </c>
      <c r="W2568" s="7" t="str">
        <f aca="false">IF((H2568-G2568)&lt;&gt;K2568,"Mismatch","OK")</f>
        <v>OK</v>
      </c>
      <c r="X2568" s="7" t="str">
        <f aca="false">IF(TEXT(H2568,"dddd")&lt;&gt;I2568,"Mismatch","OK")</f>
        <v>OK</v>
      </c>
      <c r="Y2568" s="7" t="str">
        <f aca="false">IF(AND(N2568="No",O2568&lt;&gt;""),"Unexpected: channel present but no reminder sent",IF(AND(N2568="Yes",O2568=""),"Missing channel for sent reminder","OK"))</f>
        <v>OK</v>
      </c>
    </row>
    <row r="2569" customFormat="false" ht="15" hidden="false" customHeight="false" outlineLevel="0" collapsed="false">
      <c r="A2569" s="9" t="s">
        <v>4010</v>
      </c>
      <c r="B2569" s="9" t="s">
        <v>2693</v>
      </c>
      <c r="C2569" s="9" t="s">
        <v>47</v>
      </c>
      <c r="D2569" s="9" t="n">
        <v>23</v>
      </c>
      <c r="E2569" s="9" t="s">
        <v>82</v>
      </c>
      <c r="F2569" s="9" t="s">
        <v>74</v>
      </c>
      <c r="G2569" s="10" t="n">
        <v>45990</v>
      </c>
      <c r="H2569" s="10" t="n">
        <v>46003</v>
      </c>
      <c r="I2569" s="9" t="s">
        <v>50</v>
      </c>
      <c r="J2569" s="9" t="s">
        <v>41</v>
      </c>
      <c r="K2569" s="9" t="n">
        <v>13</v>
      </c>
      <c r="L2569" s="9" t="n">
        <v>6</v>
      </c>
      <c r="M2569" s="9" t="n">
        <v>2</v>
      </c>
      <c r="N2569" s="9" t="s">
        <v>71</v>
      </c>
      <c r="O2569" s="9"/>
      <c r="P2569" s="9" t="n">
        <v>4.7</v>
      </c>
      <c r="Q2569" s="9" t="n">
        <v>26</v>
      </c>
      <c r="R2569" s="9" t="s">
        <v>53</v>
      </c>
      <c r="S2569" s="9"/>
      <c r="T2569" s="9"/>
      <c r="U2569" s="9" t="str">
        <f aca="false">IF(COUNTIF($A$2:$A$5001,A2569)&gt;1,"Duplicate","Unique")</f>
        <v>Unique</v>
      </c>
      <c r="V2569" s="9" t="str">
        <f aca="false">IF(COUNTIFS($B$2:$B$5001,B2569,$H$2:$H$5001,H2569,$J$2:$J$5001,J2569)&gt;1,"Possible Duplicate Booking","Unique")</f>
        <v>Unique</v>
      </c>
      <c r="W2569" s="9" t="str">
        <f aca="false">IF((H2569-G2569)&lt;&gt;K2569,"Mismatch","OK")</f>
        <v>OK</v>
      </c>
      <c r="X2569" s="9" t="str">
        <f aca="false">IF(TEXT(H2569,"dddd")&lt;&gt;I2569,"Mismatch","OK")</f>
        <v>OK</v>
      </c>
      <c r="Y2569" s="9" t="str">
        <f aca="false">IF(AND(N2569="No",O2569&lt;&gt;""),"Unexpected: channel present but no reminder sent",IF(AND(N2569="Yes",O2569=""),"Missing channel for sent reminder","OK"))</f>
        <v>OK</v>
      </c>
    </row>
    <row r="2570" customFormat="false" ht="15" hidden="false" customHeight="false" outlineLevel="0" collapsed="false">
      <c r="A2570" s="7" t="s">
        <v>4011</v>
      </c>
      <c r="B2570" s="7" t="s">
        <v>1257</v>
      </c>
      <c r="C2570" s="7" t="s">
        <v>37</v>
      </c>
      <c r="D2570" s="7" t="n">
        <v>80</v>
      </c>
      <c r="E2570" s="7" t="s">
        <v>70</v>
      </c>
      <c r="F2570" s="7" t="s">
        <v>57</v>
      </c>
      <c r="G2570" s="8" t="n">
        <v>45843</v>
      </c>
      <c r="H2570" s="8" t="n">
        <v>45864</v>
      </c>
      <c r="I2570" s="7" t="s">
        <v>102</v>
      </c>
      <c r="J2570" s="7" t="s">
        <v>51</v>
      </c>
      <c r="K2570" s="7" t="n">
        <v>21</v>
      </c>
      <c r="L2570" s="7" t="n">
        <v>4</v>
      </c>
      <c r="M2570" s="7" t="n">
        <v>0</v>
      </c>
      <c r="N2570" s="7" t="s">
        <v>42</v>
      </c>
      <c r="O2570" s="7" t="s">
        <v>52</v>
      </c>
      <c r="P2570" s="7" t="n">
        <v>7.4</v>
      </c>
      <c r="Q2570" s="7" t="n">
        <v>13</v>
      </c>
      <c r="R2570" s="7" t="s">
        <v>53</v>
      </c>
      <c r="S2570" s="7"/>
      <c r="T2570" s="7"/>
      <c r="U2570" s="7" t="str">
        <f aca="false">IF(COUNTIF($A$2:$A$5001,A2570)&gt;1,"Duplicate","Unique")</f>
        <v>Unique</v>
      </c>
      <c r="V2570" s="7" t="str">
        <f aca="false">IF(COUNTIFS($B$2:$B$5001,B2570,$H$2:$H$5001,H2570,$J$2:$J$5001,J2570)&gt;1,"Possible Duplicate Booking","Unique")</f>
        <v>Unique</v>
      </c>
      <c r="W2570" s="7" t="str">
        <f aca="false">IF((H2570-G2570)&lt;&gt;K2570,"Mismatch","OK")</f>
        <v>OK</v>
      </c>
      <c r="X2570" s="7" t="str">
        <f aca="false">IF(TEXT(H2570,"dddd")&lt;&gt;I2570,"Mismatch","OK")</f>
        <v>OK</v>
      </c>
      <c r="Y2570" s="7" t="str">
        <f aca="false">IF(AND(N2570="No",O2570&lt;&gt;""),"Unexpected: channel present but no reminder sent",IF(AND(N2570="Yes",O2570=""),"Missing channel for sent reminder","OK"))</f>
        <v>OK</v>
      </c>
    </row>
    <row r="2571" customFormat="false" ht="15" hidden="false" customHeight="false" outlineLevel="0" collapsed="false">
      <c r="A2571" s="9" t="s">
        <v>4012</v>
      </c>
      <c r="B2571" s="9" t="s">
        <v>759</v>
      </c>
      <c r="C2571" s="9" t="s">
        <v>37</v>
      </c>
      <c r="D2571" s="9" t="n">
        <v>70</v>
      </c>
      <c r="E2571" s="9" t="s">
        <v>70</v>
      </c>
      <c r="F2571" s="9" t="s">
        <v>57</v>
      </c>
      <c r="G2571" s="10" t="n">
        <v>46132</v>
      </c>
      <c r="H2571" s="10" t="n">
        <v>46164</v>
      </c>
      <c r="I2571" s="9" t="s">
        <v>50</v>
      </c>
      <c r="J2571" s="9" t="s">
        <v>41</v>
      </c>
      <c r="K2571" s="9" t="n">
        <v>32</v>
      </c>
      <c r="L2571" s="9" t="n">
        <v>3</v>
      </c>
      <c r="M2571" s="9" t="n">
        <v>1</v>
      </c>
      <c r="N2571" s="9" t="s">
        <v>42</v>
      </c>
      <c r="O2571" s="9" t="s">
        <v>43</v>
      </c>
      <c r="P2571" s="9" t="n">
        <v>20.9</v>
      </c>
      <c r="Q2571" s="9" t="n">
        <v>23</v>
      </c>
      <c r="R2571" s="9" t="s">
        <v>53</v>
      </c>
      <c r="S2571" s="9"/>
      <c r="T2571" s="9"/>
      <c r="U2571" s="9" t="str">
        <f aca="false">IF(COUNTIF($A$2:$A$5001,A2571)&gt;1,"Duplicate","Unique")</f>
        <v>Unique</v>
      </c>
      <c r="V2571" s="9" t="str">
        <f aca="false">IF(COUNTIFS($B$2:$B$5001,B2571,$H$2:$H$5001,H2571,$J$2:$J$5001,J2571)&gt;1,"Possible Duplicate Booking","Unique")</f>
        <v>Unique</v>
      </c>
      <c r="W2571" s="9" t="str">
        <f aca="false">IF((H2571-G2571)&lt;&gt;K2571,"Mismatch","OK")</f>
        <v>OK</v>
      </c>
      <c r="X2571" s="9" t="str">
        <f aca="false">IF(TEXT(H2571,"dddd")&lt;&gt;I2571,"Mismatch","OK")</f>
        <v>OK</v>
      </c>
      <c r="Y2571" s="9" t="str">
        <f aca="false">IF(AND(N2571="No",O2571&lt;&gt;""),"Unexpected: channel present but no reminder sent",IF(AND(N2571="Yes",O2571=""),"Missing channel for sent reminder","OK"))</f>
        <v>OK</v>
      </c>
    </row>
    <row r="2572" customFormat="false" ht="15" hidden="false" customHeight="false" outlineLevel="0" collapsed="false">
      <c r="A2572" s="7" t="s">
        <v>4013</v>
      </c>
      <c r="B2572" s="7" t="s">
        <v>3460</v>
      </c>
      <c r="C2572" s="7" t="s">
        <v>37</v>
      </c>
      <c r="D2572" s="7" t="n">
        <v>30</v>
      </c>
      <c r="E2572" s="7" t="s">
        <v>48</v>
      </c>
      <c r="F2572" s="7" t="s">
        <v>39</v>
      </c>
      <c r="G2572" s="8" t="n">
        <v>46054</v>
      </c>
      <c r="H2572" s="8" t="n">
        <v>46095</v>
      </c>
      <c r="I2572" s="7" t="s">
        <v>102</v>
      </c>
      <c r="J2572" s="7" t="s">
        <v>51</v>
      </c>
      <c r="K2572" s="7" t="n">
        <v>41</v>
      </c>
      <c r="L2572" s="7" t="n">
        <v>1</v>
      </c>
      <c r="M2572" s="7" t="n">
        <v>0</v>
      </c>
      <c r="N2572" s="7" t="s">
        <v>42</v>
      </c>
      <c r="O2572" s="7" t="s">
        <v>52</v>
      </c>
      <c r="P2572" s="7" t="n">
        <v>1.8</v>
      </c>
      <c r="Q2572" s="7" t="n">
        <v>2</v>
      </c>
      <c r="R2572" s="7" t="s">
        <v>44</v>
      </c>
      <c r="S2572" s="7"/>
      <c r="T2572" s="7"/>
      <c r="U2572" s="7" t="str">
        <f aca="false">IF(COUNTIF($A$2:$A$5001,A2572)&gt;1,"Duplicate","Unique")</f>
        <v>Unique</v>
      </c>
      <c r="V2572" s="7" t="str">
        <f aca="false">IF(COUNTIFS($B$2:$B$5001,B2572,$H$2:$H$5001,H2572,$J$2:$J$5001,J2572)&gt;1,"Possible Duplicate Booking","Unique")</f>
        <v>Unique</v>
      </c>
      <c r="W2572" s="7" t="str">
        <f aca="false">IF((H2572-G2572)&lt;&gt;K2572,"Mismatch","OK")</f>
        <v>OK</v>
      </c>
      <c r="X2572" s="7" t="str">
        <f aca="false">IF(TEXT(H2572,"dddd")&lt;&gt;I2572,"Mismatch","OK")</f>
        <v>OK</v>
      </c>
      <c r="Y2572" s="7" t="str">
        <f aca="false">IF(AND(N2572="No",O2572&lt;&gt;""),"Unexpected: channel present but no reminder sent",IF(AND(N2572="Yes",O2572=""),"Missing channel for sent reminder","OK"))</f>
        <v>OK</v>
      </c>
    </row>
    <row r="2573" customFormat="false" ht="15" hidden="false" customHeight="false" outlineLevel="0" collapsed="false">
      <c r="A2573" s="9" t="s">
        <v>4014</v>
      </c>
      <c r="B2573" s="9" t="s">
        <v>4015</v>
      </c>
      <c r="C2573" s="9" t="s">
        <v>236</v>
      </c>
      <c r="D2573" s="9" t="n">
        <v>53</v>
      </c>
      <c r="E2573" s="9" t="s">
        <v>56</v>
      </c>
      <c r="F2573" s="9" t="s">
        <v>74</v>
      </c>
      <c r="G2573" s="10" t="n">
        <v>46111</v>
      </c>
      <c r="H2573" s="10" t="n">
        <v>46167</v>
      </c>
      <c r="I2573" s="9" t="s">
        <v>66</v>
      </c>
      <c r="J2573" s="9" t="s">
        <v>63</v>
      </c>
      <c r="K2573" s="9" t="n">
        <v>56</v>
      </c>
      <c r="L2573" s="9" t="n">
        <v>5</v>
      </c>
      <c r="M2573" s="9" t="n">
        <v>1</v>
      </c>
      <c r="N2573" s="9" t="s">
        <v>42</v>
      </c>
      <c r="O2573" s="9" t="s">
        <v>43</v>
      </c>
      <c r="P2573" s="9" t="n">
        <v>15.2</v>
      </c>
      <c r="Q2573" s="9" t="n">
        <v>24</v>
      </c>
      <c r="R2573" s="9" t="s">
        <v>44</v>
      </c>
      <c r="S2573" s="9"/>
      <c r="T2573" s="9"/>
      <c r="U2573" s="9" t="str">
        <f aca="false">IF(COUNTIF($A$2:$A$5001,A2573)&gt;1,"Duplicate","Unique")</f>
        <v>Unique</v>
      </c>
      <c r="V2573" s="9" t="str">
        <f aca="false">IF(COUNTIFS($B$2:$B$5001,B2573,$H$2:$H$5001,H2573,$J$2:$J$5001,J2573)&gt;1,"Possible Duplicate Booking","Unique")</f>
        <v>Unique</v>
      </c>
      <c r="W2573" s="9" t="str">
        <f aca="false">IF((H2573-G2573)&lt;&gt;K2573,"Mismatch","OK")</f>
        <v>OK</v>
      </c>
      <c r="X2573" s="9" t="str">
        <f aca="false">IF(TEXT(H2573,"dddd")&lt;&gt;I2573,"Mismatch","OK")</f>
        <v>OK</v>
      </c>
      <c r="Y2573" s="9" t="str">
        <f aca="false">IF(AND(N2573="No",O2573&lt;&gt;""),"Unexpected: channel present but no reminder sent",IF(AND(N2573="Yes",O2573=""),"Missing channel for sent reminder","OK"))</f>
        <v>OK</v>
      </c>
    </row>
    <row r="2574" customFormat="false" ht="15" hidden="false" customHeight="false" outlineLevel="0" collapsed="false">
      <c r="A2574" s="7" t="s">
        <v>4016</v>
      </c>
      <c r="B2574" s="7" t="s">
        <v>500</v>
      </c>
      <c r="C2574" s="7" t="s">
        <v>37</v>
      </c>
      <c r="D2574" s="7" t="n">
        <v>67</v>
      </c>
      <c r="E2574" s="7" t="s">
        <v>70</v>
      </c>
      <c r="F2574" s="7" t="s">
        <v>57</v>
      </c>
      <c r="G2574" s="8" t="n">
        <v>46045</v>
      </c>
      <c r="H2574" s="8" t="n">
        <v>46056</v>
      </c>
      <c r="I2574" s="7" t="s">
        <v>40</v>
      </c>
      <c r="J2574" s="7" t="s">
        <v>51</v>
      </c>
      <c r="K2574" s="7" t="n">
        <v>11</v>
      </c>
      <c r="L2574" s="7" t="n">
        <v>2</v>
      </c>
      <c r="M2574" s="7" t="n">
        <v>0</v>
      </c>
      <c r="N2574" s="7" t="s">
        <v>42</v>
      </c>
      <c r="O2574" s="7" t="s">
        <v>52</v>
      </c>
      <c r="P2574" s="7" t="n">
        <v>16.1</v>
      </c>
      <c r="Q2574" s="7" t="n">
        <v>22</v>
      </c>
      <c r="R2574" s="7" t="s">
        <v>53</v>
      </c>
      <c r="S2574" s="7"/>
      <c r="T2574" s="7"/>
      <c r="U2574" s="7" t="str">
        <f aca="false">IF(COUNTIF($A$2:$A$5001,A2574)&gt;1,"Duplicate","Unique")</f>
        <v>Unique</v>
      </c>
      <c r="V2574" s="7" t="str">
        <f aca="false">IF(COUNTIFS($B$2:$B$5001,B2574,$H$2:$H$5001,H2574,$J$2:$J$5001,J2574)&gt;1,"Possible Duplicate Booking","Unique")</f>
        <v>Unique</v>
      </c>
      <c r="W2574" s="7" t="str">
        <f aca="false">IF((H2574-G2574)&lt;&gt;K2574,"Mismatch","OK")</f>
        <v>OK</v>
      </c>
      <c r="X2574" s="7" t="str">
        <f aca="false">IF(TEXT(H2574,"dddd")&lt;&gt;I2574,"Mismatch","OK")</f>
        <v>OK</v>
      </c>
      <c r="Y2574" s="7" t="str">
        <f aca="false">IF(AND(N2574="No",O2574&lt;&gt;""),"Unexpected: channel present but no reminder sent",IF(AND(N2574="Yes",O2574=""),"Missing channel for sent reminder","OK"))</f>
        <v>OK</v>
      </c>
    </row>
    <row r="2575" customFormat="false" ht="15" hidden="false" customHeight="false" outlineLevel="0" collapsed="false">
      <c r="A2575" s="9" t="s">
        <v>4017</v>
      </c>
      <c r="B2575" s="9" t="s">
        <v>4018</v>
      </c>
      <c r="C2575" s="9" t="s">
        <v>37</v>
      </c>
      <c r="D2575" s="9" t="n">
        <v>49</v>
      </c>
      <c r="E2575" s="9" t="s">
        <v>56</v>
      </c>
      <c r="F2575" s="9" t="s">
        <v>49</v>
      </c>
      <c r="G2575" s="10" t="n">
        <v>45813</v>
      </c>
      <c r="H2575" s="10" t="n">
        <v>45871</v>
      </c>
      <c r="I2575" s="9" t="s">
        <v>102</v>
      </c>
      <c r="J2575" s="9" t="s">
        <v>41</v>
      </c>
      <c r="K2575" s="9" t="n">
        <v>58</v>
      </c>
      <c r="L2575" s="9" t="n">
        <v>7</v>
      </c>
      <c r="M2575" s="9" t="n">
        <v>2</v>
      </c>
      <c r="N2575" s="9" t="s">
        <v>42</v>
      </c>
      <c r="O2575" s="9" t="s">
        <v>67</v>
      </c>
      <c r="P2575" s="9" t="n">
        <v>6.1</v>
      </c>
      <c r="Q2575" s="9" t="n">
        <v>39</v>
      </c>
      <c r="R2575" s="9" t="s">
        <v>44</v>
      </c>
      <c r="S2575" s="9"/>
      <c r="T2575" s="9"/>
      <c r="U2575" s="9" t="str">
        <f aca="false">IF(COUNTIF($A$2:$A$5001,A2575)&gt;1,"Duplicate","Unique")</f>
        <v>Unique</v>
      </c>
      <c r="V2575" s="9" t="str">
        <f aca="false">IF(COUNTIFS($B$2:$B$5001,B2575,$H$2:$H$5001,H2575,$J$2:$J$5001,J2575)&gt;1,"Possible Duplicate Booking","Unique")</f>
        <v>Unique</v>
      </c>
      <c r="W2575" s="9" t="str">
        <f aca="false">IF((H2575-G2575)&lt;&gt;K2575,"Mismatch","OK")</f>
        <v>OK</v>
      </c>
      <c r="X2575" s="9" t="str">
        <f aca="false">IF(TEXT(H2575,"dddd")&lt;&gt;I2575,"Mismatch","OK")</f>
        <v>OK</v>
      </c>
      <c r="Y2575" s="9" t="str">
        <f aca="false">IF(AND(N2575="No",O2575&lt;&gt;""),"Unexpected: channel present but no reminder sent",IF(AND(N2575="Yes",O2575=""),"Missing channel for sent reminder","OK"))</f>
        <v>OK</v>
      </c>
    </row>
    <row r="2576" customFormat="false" ht="15" hidden="false" customHeight="false" outlineLevel="0" collapsed="false">
      <c r="A2576" s="7" t="s">
        <v>4019</v>
      </c>
      <c r="B2576" s="7" t="s">
        <v>4020</v>
      </c>
      <c r="C2576" s="7" t="s">
        <v>37</v>
      </c>
      <c r="D2576" s="7" t="n">
        <v>31</v>
      </c>
      <c r="E2576" s="7" t="s">
        <v>48</v>
      </c>
      <c r="F2576" s="7" t="s">
        <v>57</v>
      </c>
      <c r="G2576" s="8" t="n">
        <v>46048</v>
      </c>
      <c r="H2576" s="8" t="n">
        <v>46080</v>
      </c>
      <c r="I2576" s="7" t="s">
        <v>50</v>
      </c>
      <c r="J2576" s="7" t="s">
        <v>41</v>
      </c>
      <c r="K2576" s="7" t="n">
        <v>32</v>
      </c>
      <c r="L2576" s="7" t="n">
        <v>0</v>
      </c>
      <c r="M2576" s="7" t="n">
        <v>0</v>
      </c>
      <c r="N2576" s="7" t="s">
        <v>71</v>
      </c>
      <c r="O2576" s="7"/>
      <c r="P2576" s="7" t="n">
        <v>12.6</v>
      </c>
      <c r="Q2576" s="7" t="n">
        <v>27</v>
      </c>
      <c r="R2576" s="7" t="s">
        <v>44</v>
      </c>
      <c r="S2576" s="7"/>
      <c r="T2576" s="7"/>
      <c r="U2576" s="7" t="str">
        <f aca="false">IF(COUNTIF($A$2:$A$5001,A2576)&gt;1,"Duplicate","Unique")</f>
        <v>Unique</v>
      </c>
      <c r="V2576" s="7" t="str">
        <f aca="false">IF(COUNTIFS($B$2:$B$5001,B2576,$H$2:$H$5001,H2576,$J$2:$J$5001,J2576)&gt;1,"Possible Duplicate Booking","Unique")</f>
        <v>Unique</v>
      </c>
      <c r="W2576" s="7" t="str">
        <f aca="false">IF((H2576-G2576)&lt;&gt;K2576,"Mismatch","OK")</f>
        <v>OK</v>
      </c>
      <c r="X2576" s="7" t="str">
        <f aca="false">IF(TEXT(H2576,"dddd")&lt;&gt;I2576,"Mismatch","OK")</f>
        <v>OK</v>
      </c>
      <c r="Y2576" s="7" t="str">
        <f aca="false">IF(AND(N2576="No",O2576&lt;&gt;""),"Unexpected: channel present but no reminder sent",IF(AND(N2576="Yes",O2576=""),"Missing channel for sent reminder","OK"))</f>
        <v>OK</v>
      </c>
    </row>
    <row r="2577" customFormat="false" ht="15" hidden="false" customHeight="false" outlineLevel="0" collapsed="false">
      <c r="A2577" s="9" t="s">
        <v>4021</v>
      </c>
      <c r="B2577" s="9" t="s">
        <v>1167</v>
      </c>
      <c r="C2577" s="9" t="s">
        <v>236</v>
      </c>
      <c r="D2577" s="9" t="n">
        <v>79</v>
      </c>
      <c r="E2577" s="9" t="s">
        <v>70</v>
      </c>
      <c r="F2577" s="9" t="s">
        <v>49</v>
      </c>
      <c r="G2577" s="10" t="n">
        <v>45830</v>
      </c>
      <c r="H2577" s="10" t="n">
        <v>45837</v>
      </c>
      <c r="I2577" s="9" t="s">
        <v>75</v>
      </c>
      <c r="J2577" s="9" t="s">
        <v>41</v>
      </c>
      <c r="K2577" s="9" t="n">
        <v>7</v>
      </c>
      <c r="L2577" s="9" t="n">
        <v>5</v>
      </c>
      <c r="M2577" s="9" t="n">
        <v>1</v>
      </c>
      <c r="N2577" s="9" t="s">
        <v>71</v>
      </c>
      <c r="O2577" s="9"/>
      <c r="P2577" s="9" t="n">
        <v>10.4</v>
      </c>
      <c r="Q2577" s="9" t="n">
        <v>25</v>
      </c>
      <c r="R2577" s="9" t="s">
        <v>87</v>
      </c>
      <c r="S2577" s="9"/>
      <c r="T2577" s="9"/>
      <c r="U2577" s="9" t="str">
        <f aca="false">IF(COUNTIF($A$2:$A$5001,A2577)&gt;1,"Duplicate","Unique")</f>
        <v>Unique</v>
      </c>
      <c r="V2577" s="9" t="str">
        <f aca="false">IF(COUNTIFS($B$2:$B$5001,B2577,$H$2:$H$5001,H2577,$J$2:$J$5001,J2577)&gt;1,"Possible Duplicate Booking","Unique")</f>
        <v>Unique</v>
      </c>
      <c r="W2577" s="9" t="str">
        <f aca="false">IF((H2577-G2577)&lt;&gt;K2577,"Mismatch","OK")</f>
        <v>OK</v>
      </c>
      <c r="X2577" s="9" t="str">
        <f aca="false">IF(TEXT(H2577,"dddd")&lt;&gt;I2577,"Mismatch","OK")</f>
        <v>OK</v>
      </c>
      <c r="Y2577" s="9" t="str">
        <f aca="false">IF(AND(N2577="No",O2577&lt;&gt;""),"Unexpected: channel present but no reminder sent",IF(AND(N2577="Yes",O2577=""),"Missing channel for sent reminder","OK"))</f>
        <v>OK</v>
      </c>
    </row>
    <row r="2578" customFormat="false" ht="15" hidden="false" customHeight="false" outlineLevel="0" collapsed="false">
      <c r="A2578" s="7" t="s">
        <v>4022</v>
      </c>
      <c r="B2578" s="7" t="s">
        <v>4023</v>
      </c>
      <c r="C2578" s="7" t="s">
        <v>37</v>
      </c>
      <c r="D2578" s="7" t="n">
        <v>34</v>
      </c>
      <c r="E2578" s="7" t="s">
        <v>48</v>
      </c>
      <c r="F2578" s="7" t="s">
        <v>39</v>
      </c>
      <c r="G2578" s="8" t="n">
        <v>45749</v>
      </c>
      <c r="H2578" s="8" t="n">
        <v>45805</v>
      </c>
      <c r="I2578" s="7" t="s">
        <v>58</v>
      </c>
      <c r="J2578" s="7" t="s">
        <v>41</v>
      </c>
      <c r="K2578" s="7" t="n">
        <v>56</v>
      </c>
      <c r="L2578" s="7" t="n">
        <v>3</v>
      </c>
      <c r="M2578" s="7" t="n">
        <v>0</v>
      </c>
      <c r="N2578" s="7" t="s">
        <v>71</v>
      </c>
      <c r="O2578" s="7"/>
      <c r="P2578" s="7" t="n">
        <v>16</v>
      </c>
      <c r="Q2578" s="7" t="n">
        <v>46</v>
      </c>
      <c r="R2578" s="7" t="s">
        <v>44</v>
      </c>
      <c r="S2578" s="7"/>
      <c r="T2578" s="7"/>
      <c r="U2578" s="7" t="str">
        <f aca="false">IF(COUNTIF($A$2:$A$5001,A2578)&gt;1,"Duplicate","Unique")</f>
        <v>Unique</v>
      </c>
      <c r="V2578" s="7" t="str">
        <f aca="false">IF(COUNTIFS($B$2:$B$5001,B2578,$H$2:$H$5001,H2578,$J$2:$J$5001,J2578)&gt;1,"Possible Duplicate Booking","Unique")</f>
        <v>Unique</v>
      </c>
      <c r="W2578" s="7" t="str">
        <f aca="false">IF((H2578-G2578)&lt;&gt;K2578,"Mismatch","OK")</f>
        <v>OK</v>
      </c>
      <c r="X2578" s="7" t="str">
        <f aca="false">IF(TEXT(H2578,"dddd")&lt;&gt;I2578,"Mismatch","OK")</f>
        <v>OK</v>
      </c>
      <c r="Y2578" s="7" t="str">
        <f aca="false">IF(AND(N2578="No",O2578&lt;&gt;""),"Unexpected: channel present but no reminder sent",IF(AND(N2578="Yes",O2578=""),"Missing channel for sent reminder","OK"))</f>
        <v>OK</v>
      </c>
    </row>
    <row r="2579" customFormat="false" ht="15" hidden="false" customHeight="false" outlineLevel="0" collapsed="false">
      <c r="A2579" s="9" t="s">
        <v>4024</v>
      </c>
      <c r="B2579" s="9" t="s">
        <v>4025</v>
      </c>
      <c r="C2579" s="9" t="s">
        <v>47</v>
      </c>
      <c r="D2579" s="9" t="n">
        <v>39</v>
      </c>
      <c r="E2579" s="9" t="s">
        <v>38</v>
      </c>
      <c r="F2579" s="9" t="s">
        <v>57</v>
      </c>
      <c r="G2579" s="10" t="n">
        <v>45883</v>
      </c>
      <c r="H2579" s="10" t="n">
        <v>45904</v>
      </c>
      <c r="I2579" s="9" t="s">
        <v>62</v>
      </c>
      <c r="J2579" s="9" t="s">
        <v>41</v>
      </c>
      <c r="K2579" s="9" t="n">
        <v>21</v>
      </c>
      <c r="L2579" s="9" t="n">
        <v>3</v>
      </c>
      <c r="M2579" s="9" t="n">
        <v>1</v>
      </c>
      <c r="N2579" s="9" t="s">
        <v>71</v>
      </c>
      <c r="O2579" s="9"/>
      <c r="P2579" s="9" t="n">
        <v>7.5</v>
      </c>
      <c r="Q2579" s="9" t="n">
        <v>15</v>
      </c>
      <c r="R2579" s="9" t="s">
        <v>44</v>
      </c>
      <c r="S2579" s="9"/>
      <c r="T2579" s="9"/>
      <c r="U2579" s="9" t="str">
        <f aca="false">IF(COUNTIF($A$2:$A$5001,A2579)&gt;1,"Duplicate","Unique")</f>
        <v>Unique</v>
      </c>
      <c r="V2579" s="9" t="str">
        <f aca="false">IF(COUNTIFS($B$2:$B$5001,B2579,$H$2:$H$5001,H2579,$J$2:$J$5001,J2579)&gt;1,"Possible Duplicate Booking","Unique")</f>
        <v>Unique</v>
      </c>
      <c r="W2579" s="9" t="str">
        <f aca="false">IF((H2579-G2579)&lt;&gt;K2579,"Mismatch","OK")</f>
        <v>OK</v>
      </c>
      <c r="X2579" s="9" t="str">
        <f aca="false">IF(TEXT(H2579,"dddd")&lt;&gt;I2579,"Mismatch","OK")</f>
        <v>OK</v>
      </c>
      <c r="Y2579" s="9" t="str">
        <f aca="false">IF(AND(N2579="No",O2579&lt;&gt;""),"Unexpected: channel present but no reminder sent",IF(AND(N2579="Yes",O2579=""),"Missing channel for sent reminder","OK"))</f>
        <v>OK</v>
      </c>
    </row>
    <row r="2580" customFormat="false" ht="15" hidden="false" customHeight="false" outlineLevel="0" collapsed="false">
      <c r="A2580" s="7" t="s">
        <v>4026</v>
      </c>
      <c r="B2580" s="7" t="s">
        <v>1250</v>
      </c>
      <c r="C2580" s="7" t="s">
        <v>37</v>
      </c>
      <c r="D2580" s="7" t="n">
        <v>41</v>
      </c>
      <c r="E2580" s="7" t="s">
        <v>38</v>
      </c>
      <c r="F2580" s="7" t="s">
        <v>49</v>
      </c>
      <c r="G2580" s="8" t="n">
        <v>46150</v>
      </c>
      <c r="H2580" s="8" t="n">
        <v>46187</v>
      </c>
      <c r="I2580" s="7" t="s">
        <v>75</v>
      </c>
      <c r="J2580" s="7" t="s">
        <v>41</v>
      </c>
      <c r="K2580" s="7" t="n">
        <v>37</v>
      </c>
      <c r="L2580" s="7" t="n">
        <v>6</v>
      </c>
      <c r="M2580" s="7" t="n">
        <v>2</v>
      </c>
      <c r="N2580" s="7" t="s">
        <v>71</v>
      </c>
      <c r="O2580" s="7"/>
      <c r="P2580" s="7" t="n">
        <v>2.6</v>
      </c>
      <c r="Q2580" s="7" t="n">
        <v>8</v>
      </c>
      <c r="R2580" s="7" t="s">
        <v>53</v>
      </c>
      <c r="S2580" s="7"/>
      <c r="T2580" s="7"/>
      <c r="U2580" s="7" t="str">
        <f aca="false">IF(COUNTIF($A$2:$A$5001,A2580)&gt;1,"Duplicate","Unique")</f>
        <v>Unique</v>
      </c>
      <c r="V2580" s="7" t="str">
        <f aca="false">IF(COUNTIFS($B$2:$B$5001,B2580,$H$2:$H$5001,H2580,$J$2:$J$5001,J2580)&gt;1,"Possible Duplicate Booking","Unique")</f>
        <v>Unique</v>
      </c>
      <c r="W2580" s="7" t="str">
        <f aca="false">IF((H2580-G2580)&lt;&gt;K2580,"Mismatch","OK")</f>
        <v>OK</v>
      </c>
      <c r="X2580" s="7" t="str">
        <f aca="false">IF(TEXT(H2580,"dddd")&lt;&gt;I2580,"Mismatch","OK")</f>
        <v>OK</v>
      </c>
      <c r="Y2580" s="7" t="str">
        <f aca="false">IF(AND(N2580="No",O2580&lt;&gt;""),"Unexpected: channel present but no reminder sent",IF(AND(N2580="Yes",O2580=""),"Missing channel for sent reminder","OK"))</f>
        <v>OK</v>
      </c>
    </row>
    <row r="2581" customFormat="false" ht="15" hidden="false" customHeight="false" outlineLevel="0" collapsed="false">
      <c r="A2581" s="9" t="s">
        <v>4027</v>
      </c>
      <c r="B2581" s="9" t="s">
        <v>2224</v>
      </c>
      <c r="C2581" s="9" t="s">
        <v>37</v>
      </c>
      <c r="D2581" s="9" t="n">
        <v>74</v>
      </c>
      <c r="E2581" s="9" t="s">
        <v>70</v>
      </c>
      <c r="F2581" s="9" t="s">
        <v>49</v>
      </c>
      <c r="G2581" s="10" t="n">
        <v>45926</v>
      </c>
      <c r="H2581" s="10" t="n">
        <v>45968</v>
      </c>
      <c r="I2581" s="9" t="s">
        <v>50</v>
      </c>
      <c r="J2581" s="9" t="s">
        <v>51</v>
      </c>
      <c r="K2581" s="9" t="n">
        <v>42</v>
      </c>
      <c r="L2581" s="9" t="n">
        <v>5</v>
      </c>
      <c r="M2581" s="9" t="n">
        <v>1</v>
      </c>
      <c r="N2581" s="9" t="s">
        <v>42</v>
      </c>
      <c r="O2581" s="9" t="s">
        <v>67</v>
      </c>
      <c r="P2581" s="9" t="n">
        <v>19</v>
      </c>
      <c r="Q2581" s="9" t="n">
        <v>34</v>
      </c>
      <c r="R2581" s="9" t="s">
        <v>44</v>
      </c>
      <c r="S2581" s="9"/>
      <c r="T2581" s="9"/>
      <c r="U2581" s="9" t="str">
        <f aca="false">IF(COUNTIF($A$2:$A$5001,A2581)&gt;1,"Duplicate","Unique")</f>
        <v>Unique</v>
      </c>
      <c r="V2581" s="9" t="str">
        <f aca="false">IF(COUNTIFS($B$2:$B$5001,B2581,$H$2:$H$5001,H2581,$J$2:$J$5001,J2581)&gt;1,"Possible Duplicate Booking","Unique")</f>
        <v>Unique</v>
      </c>
      <c r="W2581" s="9" t="str">
        <f aca="false">IF((H2581-G2581)&lt;&gt;K2581,"Mismatch","OK")</f>
        <v>OK</v>
      </c>
      <c r="X2581" s="9" t="str">
        <f aca="false">IF(TEXT(H2581,"dddd")&lt;&gt;I2581,"Mismatch","OK")</f>
        <v>OK</v>
      </c>
      <c r="Y2581" s="9" t="str">
        <f aca="false">IF(AND(N2581="No",O2581&lt;&gt;""),"Unexpected: channel present but no reminder sent",IF(AND(N2581="Yes",O2581=""),"Missing channel for sent reminder","OK"))</f>
        <v>OK</v>
      </c>
    </row>
    <row r="2582" customFormat="false" ht="15" hidden="false" customHeight="false" outlineLevel="0" collapsed="false">
      <c r="A2582" s="7" t="s">
        <v>4028</v>
      </c>
      <c r="B2582" s="7" t="s">
        <v>3370</v>
      </c>
      <c r="C2582" s="7" t="s">
        <v>47</v>
      </c>
      <c r="D2582" s="7" t="n">
        <v>49</v>
      </c>
      <c r="E2582" s="7" t="s">
        <v>56</v>
      </c>
      <c r="F2582" s="7" t="s">
        <v>39</v>
      </c>
      <c r="G2582" s="8" t="n">
        <v>45867</v>
      </c>
      <c r="H2582" s="8" t="n">
        <v>45867</v>
      </c>
      <c r="I2582" s="7" t="s">
        <v>40</v>
      </c>
      <c r="J2582" s="7" t="s">
        <v>51</v>
      </c>
      <c r="K2582" s="7" t="n">
        <v>0</v>
      </c>
      <c r="L2582" s="7" t="n">
        <v>3</v>
      </c>
      <c r="M2582" s="7" t="n">
        <v>0</v>
      </c>
      <c r="N2582" s="7" t="s">
        <v>42</v>
      </c>
      <c r="O2582" s="7" t="s">
        <v>52</v>
      </c>
      <c r="P2582" s="7" t="n">
        <v>4.9</v>
      </c>
      <c r="Q2582" s="7" t="n">
        <v>35</v>
      </c>
      <c r="R2582" s="7" t="s">
        <v>53</v>
      </c>
      <c r="S2582" s="7"/>
      <c r="T2582" s="7"/>
      <c r="U2582" s="7" t="str">
        <f aca="false">IF(COUNTIF($A$2:$A$5001,A2582)&gt;1,"Duplicate","Unique")</f>
        <v>Unique</v>
      </c>
      <c r="V2582" s="7" t="str">
        <f aca="false">IF(COUNTIFS($B$2:$B$5001,B2582,$H$2:$H$5001,H2582,$J$2:$J$5001,J2582)&gt;1,"Possible Duplicate Booking","Unique")</f>
        <v>Unique</v>
      </c>
      <c r="W2582" s="7" t="str">
        <f aca="false">IF((H2582-G2582)&lt;&gt;K2582,"Mismatch","OK")</f>
        <v>OK</v>
      </c>
      <c r="X2582" s="7" t="str">
        <f aca="false">IF(TEXT(H2582,"dddd")&lt;&gt;I2582,"Mismatch","OK")</f>
        <v>OK</v>
      </c>
      <c r="Y2582" s="7" t="str">
        <f aca="false">IF(AND(N2582="No",O2582&lt;&gt;""),"Unexpected: channel present but no reminder sent",IF(AND(N2582="Yes",O2582=""),"Missing channel for sent reminder","OK"))</f>
        <v>OK</v>
      </c>
    </row>
    <row r="2583" customFormat="false" ht="15" hidden="false" customHeight="false" outlineLevel="0" collapsed="false">
      <c r="A2583" s="9" t="s">
        <v>4029</v>
      </c>
      <c r="B2583" s="9" t="s">
        <v>941</v>
      </c>
      <c r="C2583" s="9" t="s">
        <v>47</v>
      </c>
      <c r="D2583" s="9" t="n">
        <v>63</v>
      </c>
      <c r="E2583" s="9" t="s">
        <v>61</v>
      </c>
      <c r="F2583" s="9" t="s">
        <v>57</v>
      </c>
      <c r="G2583" s="10" t="n">
        <v>45897</v>
      </c>
      <c r="H2583" s="10" t="n">
        <v>45910</v>
      </c>
      <c r="I2583" s="9" t="s">
        <v>58</v>
      </c>
      <c r="J2583" s="9" t="s">
        <v>41</v>
      </c>
      <c r="K2583" s="9" t="n">
        <v>13</v>
      </c>
      <c r="L2583" s="9" t="n">
        <v>1</v>
      </c>
      <c r="M2583" s="9" t="n">
        <v>0</v>
      </c>
      <c r="N2583" s="9" t="s">
        <v>42</v>
      </c>
      <c r="O2583" s="9" t="s">
        <v>43</v>
      </c>
      <c r="P2583" s="9" t="n">
        <v>6</v>
      </c>
      <c r="Q2583" s="9" t="n">
        <v>36</v>
      </c>
      <c r="R2583" s="9" t="s">
        <v>44</v>
      </c>
      <c r="S2583" s="9"/>
      <c r="T2583" s="9"/>
      <c r="U2583" s="9" t="str">
        <f aca="false">IF(COUNTIF($A$2:$A$5001,A2583)&gt;1,"Duplicate","Unique")</f>
        <v>Unique</v>
      </c>
      <c r="V2583" s="9" t="str">
        <f aca="false">IF(COUNTIFS($B$2:$B$5001,B2583,$H$2:$H$5001,H2583,$J$2:$J$5001,J2583)&gt;1,"Possible Duplicate Booking","Unique")</f>
        <v>Unique</v>
      </c>
      <c r="W2583" s="9" t="str">
        <f aca="false">IF((H2583-G2583)&lt;&gt;K2583,"Mismatch","OK")</f>
        <v>OK</v>
      </c>
      <c r="X2583" s="9" t="str">
        <f aca="false">IF(TEXT(H2583,"dddd")&lt;&gt;I2583,"Mismatch","OK")</f>
        <v>OK</v>
      </c>
      <c r="Y2583" s="9" t="str">
        <f aca="false">IF(AND(N2583="No",O2583&lt;&gt;""),"Unexpected: channel present but no reminder sent",IF(AND(N2583="Yes",O2583=""),"Missing channel for sent reminder","OK"))</f>
        <v>OK</v>
      </c>
    </row>
    <row r="2584" customFormat="false" ht="15" hidden="false" customHeight="false" outlineLevel="0" collapsed="false">
      <c r="A2584" s="7" t="s">
        <v>4030</v>
      </c>
      <c r="B2584" s="7" t="s">
        <v>2732</v>
      </c>
      <c r="C2584" s="7" t="s">
        <v>47</v>
      </c>
      <c r="D2584" s="7" t="n">
        <v>74</v>
      </c>
      <c r="E2584" s="7" t="s">
        <v>70</v>
      </c>
      <c r="F2584" s="7" t="s">
        <v>57</v>
      </c>
      <c r="G2584" s="8" t="n">
        <v>45776</v>
      </c>
      <c r="H2584" s="8" t="n">
        <v>45817</v>
      </c>
      <c r="I2584" s="7" t="s">
        <v>66</v>
      </c>
      <c r="J2584" s="7" t="s">
        <v>51</v>
      </c>
      <c r="K2584" s="7" t="n">
        <v>41</v>
      </c>
      <c r="L2584" s="7" t="n">
        <v>2</v>
      </c>
      <c r="M2584" s="7" t="n">
        <v>0</v>
      </c>
      <c r="N2584" s="7" t="s">
        <v>42</v>
      </c>
      <c r="O2584" s="7" t="s">
        <v>43</v>
      </c>
      <c r="P2584" s="7" t="n">
        <v>6.9</v>
      </c>
      <c r="Q2584" s="7" t="n">
        <v>21</v>
      </c>
      <c r="R2584" s="7" t="s">
        <v>87</v>
      </c>
      <c r="S2584" s="7"/>
      <c r="T2584" s="7"/>
      <c r="U2584" s="7" t="str">
        <f aca="false">IF(COUNTIF($A$2:$A$5001,A2584)&gt;1,"Duplicate","Unique")</f>
        <v>Unique</v>
      </c>
      <c r="V2584" s="7" t="str">
        <f aca="false">IF(COUNTIFS($B$2:$B$5001,B2584,$H$2:$H$5001,H2584,$J$2:$J$5001,J2584)&gt;1,"Possible Duplicate Booking","Unique")</f>
        <v>Unique</v>
      </c>
      <c r="W2584" s="7" t="str">
        <f aca="false">IF((H2584-G2584)&lt;&gt;K2584,"Mismatch","OK")</f>
        <v>OK</v>
      </c>
      <c r="X2584" s="7" t="str">
        <f aca="false">IF(TEXT(H2584,"dddd")&lt;&gt;I2584,"Mismatch","OK")</f>
        <v>OK</v>
      </c>
      <c r="Y2584" s="7" t="str">
        <f aca="false">IF(AND(N2584="No",O2584&lt;&gt;""),"Unexpected: channel present but no reminder sent",IF(AND(N2584="Yes",O2584=""),"Missing channel for sent reminder","OK"))</f>
        <v>OK</v>
      </c>
    </row>
    <row r="2585" customFormat="false" ht="15" hidden="false" customHeight="false" outlineLevel="0" collapsed="false">
      <c r="A2585" s="9" t="s">
        <v>4031</v>
      </c>
      <c r="B2585" s="9" t="s">
        <v>4032</v>
      </c>
      <c r="C2585" s="9" t="s">
        <v>37</v>
      </c>
      <c r="D2585" s="9" t="n">
        <v>76</v>
      </c>
      <c r="E2585" s="9" t="s">
        <v>70</v>
      </c>
      <c r="F2585" s="9" t="s">
        <v>74</v>
      </c>
      <c r="G2585" s="10" t="n">
        <v>45998</v>
      </c>
      <c r="H2585" s="10" t="n">
        <v>46017</v>
      </c>
      <c r="I2585" s="9" t="s">
        <v>50</v>
      </c>
      <c r="J2585" s="9" t="s">
        <v>41</v>
      </c>
      <c r="K2585" s="9" t="n">
        <v>19</v>
      </c>
      <c r="L2585" s="9" t="n">
        <v>2</v>
      </c>
      <c r="M2585" s="9" t="n">
        <v>0</v>
      </c>
      <c r="N2585" s="9" t="s">
        <v>71</v>
      </c>
      <c r="O2585" s="9"/>
      <c r="P2585" s="9" t="n">
        <v>17.5</v>
      </c>
      <c r="Q2585" s="9" t="n">
        <v>16</v>
      </c>
      <c r="R2585" s="9" t="s">
        <v>87</v>
      </c>
      <c r="S2585" s="9"/>
      <c r="T2585" s="9"/>
      <c r="U2585" s="9" t="str">
        <f aca="false">IF(COUNTIF($A$2:$A$5001,A2585)&gt;1,"Duplicate","Unique")</f>
        <v>Unique</v>
      </c>
      <c r="V2585" s="9" t="str">
        <f aca="false">IF(COUNTIFS($B$2:$B$5001,B2585,$H$2:$H$5001,H2585,$J$2:$J$5001,J2585)&gt;1,"Possible Duplicate Booking","Unique")</f>
        <v>Unique</v>
      </c>
      <c r="W2585" s="9" t="str">
        <f aca="false">IF((H2585-G2585)&lt;&gt;K2585,"Mismatch","OK")</f>
        <v>OK</v>
      </c>
      <c r="X2585" s="9" t="str">
        <f aca="false">IF(TEXT(H2585,"dddd")&lt;&gt;I2585,"Mismatch","OK")</f>
        <v>OK</v>
      </c>
      <c r="Y2585" s="9" t="str">
        <f aca="false">IF(AND(N2585="No",O2585&lt;&gt;""),"Unexpected: channel present but no reminder sent",IF(AND(N2585="Yes",O2585=""),"Missing channel for sent reminder","OK"))</f>
        <v>OK</v>
      </c>
    </row>
    <row r="2586" customFormat="false" ht="15" hidden="false" customHeight="false" outlineLevel="0" collapsed="false">
      <c r="A2586" s="7" t="s">
        <v>4033</v>
      </c>
      <c r="B2586" s="7" t="s">
        <v>4034</v>
      </c>
      <c r="C2586" s="7" t="s">
        <v>236</v>
      </c>
      <c r="D2586" s="7" t="n">
        <v>71</v>
      </c>
      <c r="E2586" s="7" t="s">
        <v>70</v>
      </c>
      <c r="F2586" s="7" t="s">
        <v>39</v>
      </c>
      <c r="G2586" s="8" t="n">
        <v>45849</v>
      </c>
      <c r="H2586" s="8" t="n">
        <v>45849</v>
      </c>
      <c r="I2586" s="7" t="s">
        <v>50</v>
      </c>
      <c r="J2586" s="7" t="s">
        <v>51</v>
      </c>
      <c r="K2586" s="7" t="n">
        <v>0</v>
      </c>
      <c r="L2586" s="7" t="n">
        <v>3</v>
      </c>
      <c r="M2586" s="7" t="n">
        <v>1</v>
      </c>
      <c r="N2586" s="7" t="s">
        <v>71</v>
      </c>
      <c r="O2586" s="7"/>
      <c r="P2586" s="7" t="n">
        <v>26.3</v>
      </c>
      <c r="Q2586" s="7" t="n">
        <v>10</v>
      </c>
      <c r="R2586" s="7" t="s">
        <v>44</v>
      </c>
      <c r="S2586" s="7"/>
      <c r="T2586" s="7"/>
      <c r="U2586" s="7" t="str">
        <f aca="false">IF(COUNTIF($A$2:$A$5001,A2586)&gt;1,"Duplicate","Unique")</f>
        <v>Unique</v>
      </c>
      <c r="V2586" s="7" t="str">
        <f aca="false">IF(COUNTIFS($B$2:$B$5001,B2586,$H$2:$H$5001,H2586,$J$2:$J$5001,J2586)&gt;1,"Possible Duplicate Booking","Unique")</f>
        <v>Unique</v>
      </c>
      <c r="W2586" s="7" t="str">
        <f aca="false">IF((H2586-G2586)&lt;&gt;K2586,"Mismatch","OK")</f>
        <v>OK</v>
      </c>
      <c r="X2586" s="7" t="str">
        <f aca="false">IF(TEXT(H2586,"dddd")&lt;&gt;I2586,"Mismatch","OK")</f>
        <v>OK</v>
      </c>
      <c r="Y2586" s="7" t="str">
        <f aca="false">IF(AND(N2586="No",O2586&lt;&gt;""),"Unexpected: channel present but no reminder sent",IF(AND(N2586="Yes",O2586=""),"Missing channel for sent reminder","OK"))</f>
        <v>OK</v>
      </c>
    </row>
    <row r="2587" customFormat="false" ht="15" hidden="false" customHeight="false" outlineLevel="0" collapsed="false">
      <c r="A2587" s="9" t="s">
        <v>4035</v>
      </c>
      <c r="B2587" s="9" t="s">
        <v>739</v>
      </c>
      <c r="C2587" s="9" t="s">
        <v>47</v>
      </c>
      <c r="D2587" s="9" t="n">
        <v>75</v>
      </c>
      <c r="E2587" s="9" t="s">
        <v>70</v>
      </c>
      <c r="F2587" s="9" t="s">
        <v>49</v>
      </c>
      <c r="G2587" s="10" t="n">
        <v>45959</v>
      </c>
      <c r="H2587" s="10" t="n">
        <v>45960</v>
      </c>
      <c r="I2587" s="9" t="s">
        <v>62</v>
      </c>
      <c r="J2587" s="9" t="s">
        <v>41</v>
      </c>
      <c r="K2587" s="9" t="n">
        <v>1</v>
      </c>
      <c r="L2587" s="9" t="n">
        <v>4</v>
      </c>
      <c r="M2587" s="9" t="n">
        <v>1</v>
      </c>
      <c r="N2587" s="9" t="s">
        <v>42</v>
      </c>
      <c r="O2587" s="9" t="s">
        <v>43</v>
      </c>
      <c r="P2587" s="9" t="n">
        <v>6.5</v>
      </c>
      <c r="Q2587" s="9" t="n">
        <v>14</v>
      </c>
      <c r="R2587" s="9" t="s">
        <v>44</v>
      </c>
      <c r="S2587" s="9"/>
      <c r="T2587" s="9"/>
      <c r="U2587" s="9" t="str">
        <f aca="false">IF(COUNTIF($A$2:$A$5001,A2587)&gt;1,"Duplicate","Unique")</f>
        <v>Unique</v>
      </c>
      <c r="V2587" s="9" t="str">
        <f aca="false">IF(COUNTIFS($B$2:$B$5001,B2587,$H$2:$H$5001,H2587,$J$2:$J$5001,J2587)&gt;1,"Possible Duplicate Booking","Unique")</f>
        <v>Unique</v>
      </c>
      <c r="W2587" s="9" t="str">
        <f aca="false">IF((H2587-G2587)&lt;&gt;K2587,"Mismatch","OK")</f>
        <v>OK</v>
      </c>
      <c r="X2587" s="9" t="str">
        <f aca="false">IF(TEXT(H2587,"dddd")&lt;&gt;I2587,"Mismatch","OK")</f>
        <v>OK</v>
      </c>
      <c r="Y2587" s="9" t="str">
        <f aca="false">IF(AND(N2587="No",O2587&lt;&gt;""),"Unexpected: channel present but no reminder sent",IF(AND(N2587="Yes",O2587=""),"Missing channel for sent reminder","OK"))</f>
        <v>OK</v>
      </c>
    </row>
    <row r="2588" customFormat="false" ht="15" hidden="false" customHeight="false" outlineLevel="0" collapsed="false">
      <c r="A2588" s="7" t="s">
        <v>4036</v>
      </c>
      <c r="B2588" s="7" t="s">
        <v>3685</v>
      </c>
      <c r="C2588" s="7" t="s">
        <v>47</v>
      </c>
      <c r="D2588" s="7" t="n">
        <v>77</v>
      </c>
      <c r="E2588" s="7" t="s">
        <v>70</v>
      </c>
      <c r="F2588" s="7" t="s">
        <v>39</v>
      </c>
      <c r="G2588" s="8" t="n">
        <v>45809</v>
      </c>
      <c r="H2588" s="8" t="n">
        <v>45859</v>
      </c>
      <c r="I2588" s="7" t="s">
        <v>66</v>
      </c>
      <c r="J2588" s="7" t="s">
        <v>51</v>
      </c>
      <c r="K2588" s="7" t="n">
        <v>50</v>
      </c>
      <c r="L2588" s="7" t="n">
        <v>6</v>
      </c>
      <c r="M2588" s="7" t="n">
        <v>2</v>
      </c>
      <c r="N2588" s="7" t="s">
        <v>42</v>
      </c>
      <c r="O2588" s="7" t="s">
        <v>67</v>
      </c>
      <c r="P2588" s="7" t="n">
        <v>6.6</v>
      </c>
      <c r="Q2588" s="7" t="n">
        <v>7</v>
      </c>
      <c r="R2588" s="7" t="s">
        <v>53</v>
      </c>
      <c r="S2588" s="7"/>
      <c r="T2588" s="7"/>
      <c r="U2588" s="7" t="str">
        <f aca="false">IF(COUNTIF($A$2:$A$5001,A2588)&gt;1,"Duplicate","Unique")</f>
        <v>Unique</v>
      </c>
      <c r="V2588" s="7" t="str">
        <f aca="false">IF(COUNTIFS($B$2:$B$5001,B2588,$H$2:$H$5001,H2588,$J$2:$J$5001,J2588)&gt;1,"Possible Duplicate Booking","Unique")</f>
        <v>Unique</v>
      </c>
      <c r="W2588" s="7" t="str">
        <f aca="false">IF((H2588-G2588)&lt;&gt;K2588,"Mismatch","OK")</f>
        <v>OK</v>
      </c>
      <c r="X2588" s="7" t="str">
        <f aca="false">IF(TEXT(H2588,"dddd")&lt;&gt;I2588,"Mismatch","OK")</f>
        <v>OK</v>
      </c>
      <c r="Y2588" s="7" t="str">
        <f aca="false">IF(AND(N2588="No",O2588&lt;&gt;""),"Unexpected: channel present but no reminder sent",IF(AND(N2588="Yes",O2588=""),"Missing channel for sent reminder","OK"))</f>
        <v>OK</v>
      </c>
    </row>
    <row r="2589" customFormat="false" ht="15" hidden="false" customHeight="false" outlineLevel="0" collapsed="false">
      <c r="A2589" s="9" t="s">
        <v>4037</v>
      </c>
      <c r="B2589" s="9" t="s">
        <v>3946</v>
      </c>
      <c r="C2589" s="9" t="s">
        <v>37</v>
      </c>
      <c r="D2589" s="9" t="n">
        <v>80</v>
      </c>
      <c r="E2589" s="9" t="s">
        <v>70</v>
      </c>
      <c r="F2589" s="9" t="s">
        <v>49</v>
      </c>
      <c r="G2589" s="10" t="n">
        <v>45824</v>
      </c>
      <c r="H2589" s="10" t="n">
        <v>45833</v>
      </c>
      <c r="I2589" s="9" t="s">
        <v>58</v>
      </c>
      <c r="J2589" s="9" t="s">
        <v>41</v>
      </c>
      <c r="K2589" s="9" t="n">
        <v>9</v>
      </c>
      <c r="L2589" s="9" t="n">
        <v>6</v>
      </c>
      <c r="M2589" s="9" t="n">
        <v>0</v>
      </c>
      <c r="N2589" s="9" t="s">
        <v>42</v>
      </c>
      <c r="O2589" s="9" t="s">
        <v>52</v>
      </c>
      <c r="P2589" s="9" t="n">
        <v>10.1</v>
      </c>
      <c r="Q2589" s="9" t="n">
        <v>19</v>
      </c>
      <c r="R2589" s="9" t="s">
        <v>53</v>
      </c>
      <c r="S2589" s="9"/>
      <c r="T2589" s="9"/>
      <c r="U2589" s="9" t="str">
        <f aca="false">IF(COUNTIF($A$2:$A$5001,A2589)&gt;1,"Duplicate","Unique")</f>
        <v>Unique</v>
      </c>
      <c r="V2589" s="9" t="str">
        <f aca="false">IF(COUNTIFS($B$2:$B$5001,B2589,$H$2:$H$5001,H2589,$J$2:$J$5001,J2589)&gt;1,"Possible Duplicate Booking","Unique")</f>
        <v>Unique</v>
      </c>
      <c r="W2589" s="9" t="str">
        <f aca="false">IF((H2589-G2589)&lt;&gt;K2589,"Mismatch","OK")</f>
        <v>OK</v>
      </c>
      <c r="X2589" s="9" t="str">
        <f aca="false">IF(TEXT(H2589,"dddd")&lt;&gt;I2589,"Mismatch","OK")</f>
        <v>OK</v>
      </c>
      <c r="Y2589" s="9" t="str">
        <f aca="false">IF(AND(N2589="No",O2589&lt;&gt;""),"Unexpected: channel present but no reminder sent",IF(AND(N2589="Yes",O2589=""),"Missing channel for sent reminder","OK"))</f>
        <v>OK</v>
      </c>
    </row>
    <row r="2590" customFormat="false" ht="15" hidden="false" customHeight="false" outlineLevel="0" collapsed="false">
      <c r="A2590" s="7" t="s">
        <v>4038</v>
      </c>
      <c r="B2590" s="7" t="s">
        <v>2721</v>
      </c>
      <c r="C2590" s="7" t="s">
        <v>37</v>
      </c>
      <c r="D2590" s="7" t="n">
        <v>58</v>
      </c>
      <c r="E2590" s="7" t="s">
        <v>61</v>
      </c>
      <c r="F2590" s="7" t="s">
        <v>57</v>
      </c>
      <c r="G2590" s="8" t="n">
        <v>46181</v>
      </c>
      <c r="H2590" s="8" t="n">
        <v>46187</v>
      </c>
      <c r="I2590" s="7" t="s">
        <v>75</v>
      </c>
      <c r="J2590" s="7" t="s">
        <v>51</v>
      </c>
      <c r="K2590" s="7" t="n">
        <v>6</v>
      </c>
      <c r="L2590" s="7" t="n">
        <v>2</v>
      </c>
      <c r="M2590" s="7" t="n">
        <v>1</v>
      </c>
      <c r="N2590" s="7" t="s">
        <v>71</v>
      </c>
      <c r="O2590" s="7"/>
      <c r="P2590" s="7" t="n">
        <v>3.9</v>
      </c>
      <c r="Q2590" s="7" t="n">
        <v>42</v>
      </c>
      <c r="R2590" s="7" t="s">
        <v>53</v>
      </c>
      <c r="S2590" s="7"/>
      <c r="T2590" s="7"/>
      <c r="U2590" s="7" t="str">
        <f aca="false">IF(COUNTIF($A$2:$A$5001,A2590)&gt;1,"Duplicate","Unique")</f>
        <v>Unique</v>
      </c>
      <c r="V2590" s="7" t="str">
        <f aca="false">IF(COUNTIFS($B$2:$B$5001,B2590,$H$2:$H$5001,H2590,$J$2:$J$5001,J2590)&gt;1,"Possible Duplicate Booking","Unique")</f>
        <v>Unique</v>
      </c>
      <c r="W2590" s="7" t="str">
        <f aca="false">IF((H2590-G2590)&lt;&gt;K2590,"Mismatch","OK")</f>
        <v>OK</v>
      </c>
      <c r="X2590" s="7" t="str">
        <f aca="false">IF(TEXT(H2590,"dddd")&lt;&gt;I2590,"Mismatch","OK")</f>
        <v>OK</v>
      </c>
      <c r="Y2590" s="7" t="str">
        <f aca="false">IF(AND(N2590="No",O2590&lt;&gt;""),"Unexpected: channel present but no reminder sent",IF(AND(N2590="Yes",O2590=""),"Missing channel for sent reminder","OK"))</f>
        <v>OK</v>
      </c>
    </row>
    <row r="2591" customFormat="false" ht="15" hidden="false" customHeight="false" outlineLevel="0" collapsed="false">
      <c r="A2591" s="9" t="s">
        <v>4039</v>
      </c>
      <c r="B2591" s="9" t="s">
        <v>128</v>
      </c>
      <c r="C2591" s="9" t="s">
        <v>37</v>
      </c>
      <c r="D2591" s="9" t="n">
        <v>26</v>
      </c>
      <c r="E2591" s="9" t="s">
        <v>48</v>
      </c>
      <c r="F2591" s="9" t="s">
        <v>39</v>
      </c>
      <c r="G2591" s="10" t="n">
        <v>45812</v>
      </c>
      <c r="H2591" s="10" t="n">
        <v>45846</v>
      </c>
      <c r="I2591" s="9" t="s">
        <v>40</v>
      </c>
      <c r="J2591" s="9" t="s">
        <v>41</v>
      </c>
      <c r="K2591" s="9" t="n">
        <v>34</v>
      </c>
      <c r="L2591" s="9" t="n">
        <v>1</v>
      </c>
      <c r="M2591" s="9" t="n">
        <v>0</v>
      </c>
      <c r="N2591" s="9" t="s">
        <v>42</v>
      </c>
      <c r="O2591" s="9" t="s">
        <v>52</v>
      </c>
      <c r="P2591" s="9" t="n">
        <v>12.2</v>
      </c>
      <c r="Q2591" s="9" t="n">
        <v>18</v>
      </c>
      <c r="R2591" s="9" t="s">
        <v>87</v>
      </c>
      <c r="S2591" s="9"/>
      <c r="T2591" s="9"/>
      <c r="U2591" s="9" t="str">
        <f aca="false">IF(COUNTIF($A$2:$A$5001,A2591)&gt;1,"Duplicate","Unique")</f>
        <v>Unique</v>
      </c>
      <c r="V2591" s="9" t="str">
        <f aca="false">IF(COUNTIFS($B$2:$B$5001,B2591,$H$2:$H$5001,H2591,$J$2:$J$5001,J2591)&gt;1,"Possible Duplicate Booking","Unique")</f>
        <v>Unique</v>
      </c>
      <c r="W2591" s="9" t="str">
        <f aca="false">IF((H2591-G2591)&lt;&gt;K2591,"Mismatch","OK")</f>
        <v>OK</v>
      </c>
      <c r="X2591" s="9" t="str">
        <f aca="false">IF(TEXT(H2591,"dddd")&lt;&gt;I2591,"Mismatch","OK")</f>
        <v>OK</v>
      </c>
      <c r="Y2591" s="9" t="str">
        <f aca="false">IF(AND(N2591="No",O2591&lt;&gt;""),"Unexpected: channel present but no reminder sent",IF(AND(N2591="Yes",O2591=""),"Missing channel for sent reminder","OK"))</f>
        <v>OK</v>
      </c>
    </row>
    <row r="2592" customFormat="false" ht="15" hidden="false" customHeight="false" outlineLevel="0" collapsed="false">
      <c r="A2592" s="7" t="s">
        <v>4040</v>
      </c>
      <c r="B2592" s="7" t="s">
        <v>4041</v>
      </c>
      <c r="C2592" s="7" t="s">
        <v>47</v>
      </c>
      <c r="D2592" s="7" t="n">
        <v>25</v>
      </c>
      <c r="E2592" s="7" t="s">
        <v>48</v>
      </c>
      <c r="F2592" s="7" t="s">
        <v>39</v>
      </c>
      <c r="G2592" s="8" t="n">
        <v>45689</v>
      </c>
      <c r="H2592" s="8" t="n">
        <v>45696</v>
      </c>
      <c r="I2592" s="7" t="s">
        <v>102</v>
      </c>
      <c r="J2592" s="7" t="s">
        <v>51</v>
      </c>
      <c r="K2592" s="7" t="n">
        <v>7</v>
      </c>
      <c r="L2592" s="7" t="n">
        <v>4</v>
      </c>
      <c r="M2592" s="7" t="n">
        <v>0</v>
      </c>
      <c r="N2592" s="7" t="s">
        <v>42</v>
      </c>
      <c r="O2592" s="7" t="s">
        <v>52</v>
      </c>
      <c r="P2592" s="7"/>
      <c r="Q2592" s="7" t="n">
        <v>25</v>
      </c>
      <c r="R2592" s="7" t="s">
        <v>53</v>
      </c>
      <c r="S2592" s="7"/>
      <c r="T2592" s="7"/>
      <c r="U2592" s="7" t="str">
        <f aca="false">IF(COUNTIF($A$2:$A$5001,A2592)&gt;1,"Duplicate","Unique")</f>
        <v>Unique</v>
      </c>
      <c r="V2592" s="7" t="str">
        <f aca="false">IF(COUNTIFS($B$2:$B$5001,B2592,$H$2:$H$5001,H2592,$J$2:$J$5001,J2592)&gt;1,"Possible Duplicate Booking","Unique")</f>
        <v>Unique</v>
      </c>
      <c r="W2592" s="7" t="str">
        <f aca="false">IF((H2592-G2592)&lt;&gt;K2592,"Mismatch","OK")</f>
        <v>OK</v>
      </c>
      <c r="X2592" s="7" t="str">
        <f aca="false">IF(TEXT(H2592,"dddd")&lt;&gt;I2592,"Mismatch","OK")</f>
        <v>OK</v>
      </c>
      <c r="Y2592" s="7" t="str">
        <f aca="false">IF(AND(N2592="No",O2592&lt;&gt;""),"Unexpected: channel present but no reminder sent",IF(AND(N2592="Yes",O2592=""),"Missing channel for sent reminder","OK"))</f>
        <v>OK</v>
      </c>
    </row>
    <row r="2593" customFormat="false" ht="15" hidden="false" customHeight="false" outlineLevel="0" collapsed="false">
      <c r="A2593" s="9" t="s">
        <v>4042</v>
      </c>
      <c r="B2593" s="9" t="s">
        <v>4043</v>
      </c>
      <c r="C2593" s="9" t="s">
        <v>47</v>
      </c>
      <c r="D2593" s="9" t="n">
        <v>68</v>
      </c>
      <c r="E2593" s="9" t="s">
        <v>70</v>
      </c>
      <c r="F2593" s="9" t="s">
        <v>57</v>
      </c>
      <c r="G2593" s="10" t="n">
        <v>45825</v>
      </c>
      <c r="H2593" s="10" t="n">
        <v>45864</v>
      </c>
      <c r="I2593" s="9" t="s">
        <v>102</v>
      </c>
      <c r="J2593" s="9" t="s">
        <v>41</v>
      </c>
      <c r="K2593" s="9" t="n">
        <v>39</v>
      </c>
      <c r="L2593" s="9" t="n">
        <v>4</v>
      </c>
      <c r="M2593" s="9" t="n">
        <v>1</v>
      </c>
      <c r="N2593" s="9" t="s">
        <v>42</v>
      </c>
      <c r="O2593" s="9" t="s">
        <v>52</v>
      </c>
      <c r="P2593" s="9" t="n">
        <v>10.3</v>
      </c>
      <c r="Q2593" s="9" t="n">
        <v>30</v>
      </c>
      <c r="R2593" s="9" t="s">
        <v>44</v>
      </c>
      <c r="S2593" s="9"/>
      <c r="T2593" s="9"/>
      <c r="U2593" s="9" t="str">
        <f aca="false">IF(COUNTIF($A$2:$A$5001,A2593)&gt;1,"Duplicate","Unique")</f>
        <v>Unique</v>
      </c>
      <c r="V2593" s="9" t="str">
        <f aca="false">IF(COUNTIFS($B$2:$B$5001,B2593,$H$2:$H$5001,H2593,$J$2:$J$5001,J2593)&gt;1,"Possible Duplicate Booking","Unique")</f>
        <v>Unique</v>
      </c>
      <c r="W2593" s="9" t="str">
        <f aca="false">IF((H2593-G2593)&lt;&gt;K2593,"Mismatch","OK")</f>
        <v>OK</v>
      </c>
      <c r="X2593" s="9" t="str">
        <f aca="false">IF(TEXT(H2593,"dddd")&lt;&gt;I2593,"Mismatch","OK")</f>
        <v>OK</v>
      </c>
      <c r="Y2593" s="9" t="str">
        <f aca="false">IF(AND(N2593="No",O2593&lt;&gt;""),"Unexpected: channel present but no reminder sent",IF(AND(N2593="Yes",O2593=""),"Missing channel for sent reminder","OK"))</f>
        <v>OK</v>
      </c>
    </row>
    <row r="2594" customFormat="false" ht="15" hidden="false" customHeight="false" outlineLevel="0" collapsed="false">
      <c r="A2594" s="7" t="s">
        <v>4044</v>
      </c>
      <c r="B2594" s="7" t="s">
        <v>4015</v>
      </c>
      <c r="C2594" s="7" t="s">
        <v>37</v>
      </c>
      <c r="D2594" s="7" t="n">
        <v>37</v>
      </c>
      <c r="E2594" s="7" t="s">
        <v>38</v>
      </c>
      <c r="F2594" s="7" t="s">
        <v>57</v>
      </c>
      <c r="G2594" s="8" t="n">
        <v>45915</v>
      </c>
      <c r="H2594" s="8" t="n">
        <v>45948</v>
      </c>
      <c r="I2594" s="7" t="s">
        <v>102</v>
      </c>
      <c r="J2594" s="7" t="s">
        <v>51</v>
      </c>
      <c r="K2594" s="7" t="n">
        <v>33</v>
      </c>
      <c r="L2594" s="7" t="n">
        <v>5</v>
      </c>
      <c r="M2594" s="7" t="n">
        <v>1</v>
      </c>
      <c r="N2594" s="7" t="s">
        <v>71</v>
      </c>
      <c r="O2594" s="7"/>
      <c r="P2594" s="7" t="n">
        <v>2.9</v>
      </c>
      <c r="Q2594" s="7" t="n">
        <v>20</v>
      </c>
      <c r="R2594" s="7" t="s">
        <v>44</v>
      </c>
      <c r="S2594" s="7"/>
      <c r="T2594" s="7"/>
      <c r="U2594" s="7" t="str">
        <f aca="false">IF(COUNTIF($A$2:$A$5001,A2594)&gt;1,"Duplicate","Unique")</f>
        <v>Unique</v>
      </c>
      <c r="V2594" s="7" t="str">
        <f aca="false">IF(COUNTIFS($B$2:$B$5001,B2594,$H$2:$H$5001,H2594,$J$2:$J$5001,J2594)&gt;1,"Possible Duplicate Booking","Unique")</f>
        <v>Unique</v>
      </c>
      <c r="W2594" s="7" t="str">
        <f aca="false">IF((H2594-G2594)&lt;&gt;K2594,"Mismatch","OK")</f>
        <v>OK</v>
      </c>
      <c r="X2594" s="7" t="str">
        <f aca="false">IF(TEXT(H2594,"dddd")&lt;&gt;I2594,"Mismatch","OK")</f>
        <v>OK</v>
      </c>
      <c r="Y2594" s="7" t="str">
        <f aca="false">IF(AND(N2594="No",O2594&lt;&gt;""),"Unexpected: channel present but no reminder sent",IF(AND(N2594="Yes",O2594=""),"Missing channel for sent reminder","OK"))</f>
        <v>OK</v>
      </c>
    </row>
    <row r="2595" customFormat="false" ht="15" hidden="false" customHeight="false" outlineLevel="0" collapsed="false">
      <c r="A2595" s="9" t="s">
        <v>4045</v>
      </c>
      <c r="B2595" s="9" t="s">
        <v>873</v>
      </c>
      <c r="C2595" s="9" t="s">
        <v>37</v>
      </c>
      <c r="D2595" s="9" t="n">
        <v>68</v>
      </c>
      <c r="E2595" s="9" t="s">
        <v>70</v>
      </c>
      <c r="F2595" s="9" t="s">
        <v>39</v>
      </c>
      <c r="G2595" s="10" t="n">
        <v>45670</v>
      </c>
      <c r="H2595" s="10" t="n">
        <v>45709</v>
      </c>
      <c r="I2595" s="9" t="s">
        <v>50</v>
      </c>
      <c r="J2595" s="9" t="s">
        <v>41</v>
      </c>
      <c r="K2595" s="9" t="n">
        <v>39</v>
      </c>
      <c r="L2595" s="9" t="n">
        <v>2</v>
      </c>
      <c r="M2595" s="9" t="n">
        <v>0</v>
      </c>
      <c r="N2595" s="9" t="s">
        <v>42</v>
      </c>
      <c r="O2595" s="9" t="s">
        <v>52</v>
      </c>
      <c r="P2595" s="9" t="n">
        <v>25.7</v>
      </c>
      <c r="Q2595" s="9" t="n">
        <v>20</v>
      </c>
      <c r="R2595" s="9" t="s">
        <v>44</v>
      </c>
      <c r="S2595" s="9"/>
      <c r="T2595" s="9"/>
      <c r="U2595" s="9" t="str">
        <f aca="false">IF(COUNTIF($A$2:$A$5001,A2595)&gt;1,"Duplicate","Unique")</f>
        <v>Unique</v>
      </c>
      <c r="V2595" s="9" t="str">
        <f aca="false">IF(COUNTIFS($B$2:$B$5001,B2595,$H$2:$H$5001,H2595,$J$2:$J$5001,J2595)&gt;1,"Possible Duplicate Booking","Unique")</f>
        <v>Unique</v>
      </c>
      <c r="W2595" s="9" t="str">
        <f aca="false">IF((H2595-G2595)&lt;&gt;K2595,"Mismatch","OK")</f>
        <v>OK</v>
      </c>
      <c r="X2595" s="9" t="str">
        <f aca="false">IF(TEXT(H2595,"dddd")&lt;&gt;I2595,"Mismatch","OK")</f>
        <v>OK</v>
      </c>
      <c r="Y2595" s="9" t="str">
        <f aca="false">IF(AND(N2595="No",O2595&lt;&gt;""),"Unexpected: channel present but no reminder sent",IF(AND(N2595="Yes",O2595=""),"Missing channel for sent reminder","OK"))</f>
        <v>OK</v>
      </c>
    </row>
    <row r="2596" customFormat="false" ht="15" hidden="false" customHeight="false" outlineLevel="0" collapsed="false">
      <c r="A2596" s="7" t="s">
        <v>4046</v>
      </c>
      <c r="B2596" s="7" t="s">
        <v>154</v>
      </c>
      <c r="C2596" s="7" t="s">
        <v>37</v>
      </c>
      <c r="D2596" s="7" t="n">
        <v>76</v>
      </c>
      <c r="E2596" s="7" t="s">
        <v>70</v>
      </c>
      <c r="F2596" s="7" t="s">
        <v>49</v>
      </c>
      <c r="G2596" s="8" t="n">
        <v>45795</v>
      </c>
      <c r="H2596" s="8" t="n">
        <v>45824</v>
      </c>
      <c r="I2596" s="7" t="s">
        <v>66</v>
      </c>
      <c r="J2596" s="7" t="s">
        <v>41</v>
      </c>
      <c r="K2596" s="7" t="n">
        <v>29</v>
      </c>
      <c r="L2596" s="7" t="n">
        <v>5</v>
      </c>
      <c r="M2596" s="7" t="n">
        <v>2</v>
      </c>
      <c r="N2596" s="7" t="s">
        <v>42</v>
      </c>
      <c r="O2596" s="7" t="s">
        <v>67</v>
      </c>
      <c r="P2596" s="7" t="n">
        <v>12.9</v>
      </c>
      <c r="Q2596" s="7" t="n">
        <v>38</v>
      </c>
      <c r="R2596" s="7" t="s">
        <v>44</v>
      </c>
      <c r="S2596" s="7"/>
      <c r="T2596" s="7"/>
      <c r="U2596" s="7" t="str">
        <f aca="false">IF(COUNTIF($A$2:$A$5001,A2596)&gt;1,"Duplicate","Unique")</f>
        <v>Unique</v>
      </c>
      <c r="V2596" s="7" t="str">
        <f aca="false">IF(COUNTIFS($B$2:$B$5001,B2596,$H$2:$H$5001,H2596,$J$2:$J$5001,J2596)&gt;1,"Possible Duplicate Booking","Unique")</f>
        <v>Unique</v>
      </c>
      <c r="W2596" s="7" t="str">
        <f aca="false">IF((H2596-G2596)&lt;&gt;K2596,"Mismatch","OK")</f>
        <v>OK</v>
      </c>
      <c r="X2596" s="7" t="str">
        <f aca="false">IF(TEXT(H2596,"dddd")&lt;&gt;I2596,"Mismatch","OK")</f>
        <v>OK</v>
      </c>
      <c r="Y2596" s="7" t="str">
        <f aca="false">IF(AND(N2596="No",O2596&lt;&gt;""),"Unexpected: channel present but no reminder sent",IF(AND(N2596="Yes",O2596=""),"Missing channel for sent reminder","OK"))</f>
        <v>OK</v>
      </c>
    </row>
    <row r="2597" customFormat="false" ht="15" hidden="false" customHeight="false" outlineLevel="0" collapsed="false">
      <c r="A2597" s="9" t="s">
        <v>4047</v>
      </c>
      <c r="B2597" s="9" t="s">
        <v>2927</v>
      </c>
      <c r="C2597" s="9" t="s">
        <v>37</v>
      </c>
      <c r="D2597" s="9" t="n">
        <v>58</v>
      </c>
      <c r="E2597" s="9" t="s">
        <v>61</v>
      </c>
      <c r="F2597" s="9" t="s">
        <v>39</v>
      </c>
      <c r="G2597" s="10" t="n">
        <v>45701</v>
      </c>
      <c r="H2597" s="10" t="n">
        <v>45748</v>
      </c>
      <c r="I2597" s="9" t="s">
        <v>40</v>
      </c>
      <c r="J2597" s="9" t="s">
        <v>63</v>
      </c>
      <c r="K2597" s="9" t="n">
        <v>47</v>
      </c>
      <c r="L2597" s="9" t="n">
        <v>1</v>
      </c>
      <c r="M2597" s="9" t="n">
        <v>0</v>
      </c>
      <c r="N2597" s="9" t="s">
        <v>42</v>
      </c>
      <c r="O2597" s="9" t="s">
        <v>67</v>
      </c>
      <c r="P2597" s="9" t="n">
        <v>23.5</v>
      </c>
      <c r="Q2597" s="9" t="n">
        <v>26</v>
      </c>
      <c r="R2597" s="9" t="s">
        <v>44</v>
      </c>
      <c r="S2597" s="9"/>
      <c r="T2597" s="9"/>
      <c r="U2597" s="9" t="str">
        <f aca="false">IF(COUNTIF($A$2:$A$5001,A2597)&gt;1,"Duplicate","Unique")</f>
        <v>Unique</v>
      </c>
      <c r="V2597" s="9" t="str">
        <f aca="false">IF(COUNTIFS($B$2:$B$5001,B2597,$H$2:$H$5001,H2597,$J$2:$J$5001,J2597)&gt;1,"Possible Duplicate Booking","Unique")</f>
        <v>Unique</v>
      </c>
      <c r="W2597" s="9" t="str">
        <f aca="false">IF((H2597-G2597)&lt;&gt;K2597,"Mismatch","OK")</f>
        <v>OK</v>
      </c>
      <c r="X2597" s="9" t="str">
        <f aca="false">IF(TEXT(H2597,"dddd")&lt;&gt;I2597,"Mismatch","OK")</f>
        <v>OK</v>
      </c>
      <c r="Y2597" s="9" t="str">
        <f aca="false">IF(AND(N2597="No",O2597&lt;&gt;""),"Unexpected: channel present but no reminder sent",IF(AND(N2597="Yes",O2597=""),"Missing channel for sent reminder","OK"))</f>
        <v>OK</v>
      </c>
    </row>
    <row r="2598" customFormat="false" ht="15" hidden="false" customHeight="false" outlineLevel="0" collapsed="false">
      <c r="A2598" s="7" t="s">
        <v>4048</v>
      </c>
      <c r="B2598" s="7" t="s">
        <v>4049</v>
      </c>
      <c r="C2598" s="7" t="s">
        <v>47</v>
      </c>
      <c r="D2598" s="7" t="n">
        <v>66</v>
      </c>
      <c r="E2598" s="7" t="s">
        <v>70</v>
      </c>
      <c r="F2598" s="7" t="s">
        <v>57</v>
      </c>
      <c r="G2598" s="8" t="n">
        <v>45892</v>
      </c>
      <c r="H2598" s="8" t="n">
        <v>45931</v>
      </c>
      <c r="I2598" s="7" t="s">
        <v>58</v>
      </c>
      <c r="J2598" s="7" t="s">
        <v>41</v>
      </c>
      <c r="K2598" s="7" t="n">
        <v>39</v>
      </c>
      <c r="L2598" s="7" t="n">
        <v>6</v>
      </c>
      <c r="M2598" s="7" t="n">
        <v>1</v>
      </c>
      <c r="N2598" s="7" t="s">
        <v>42</v>
      </c>
      <c r="O2598" s="7" t="s">
        <v>67</v>
      </c>
      <c r="P2598" s="7" t="n">
        <v>3.2</v>
      </c>
      <c r="Q2598" s="7" t="n">
        <v>36</v>
      </c>
      <c r="R2598" s="7" t="s">
        <v>53</v>
      </c>
      <c r="S2598" s="7"/>
      <c r="T2598" s="7"/>
      <c r="U2598" s="7" t="str">
        <f aca="false">IF(COUNTIF($A$2:$A$5001,A2598)&gt;1,"Duplicate","Unique")</f>
        <v>Unique</v>
      </c>
      <c r="V2598" s="7" t="str">
        <f aca="false">IF(COUNTIFS($B$2:$B$5001,B2598,$H$2:$H$5001,H2598,$J$2:$J$5001,J2598)&gt;1,"Possible Duplicate Booking","Unique")</f>
        <v>Unique</v>
      </c>
      <c r="W2598" s="7" t="str">
        <f aca="false">IF((H2598-G2598)&lt;&gt;K2598,"Mismatch","OK")</f>
        <v>OK</v>
      </c>
      <c r="X2598" s="7" t="str">
        <f aca="false">IF(TEXT(H2598,"dddd")&lt;&gt;I2598,"Mismatch","OK")</f>
        <v>OK</v>
      </c>
      <c r="Y2598" s="7" t="str">
        <f aca="false">IF(AND(N2598="No",O2598&lt;&gt;""),"Unexpected: channel present but no reminder sent",IF(AND(N2598="Yes",O2598=""),"Missing channel for sent reminder","OK"))</f>
        <v>OK</v>
      </c>
    </row>
    <row r="2599" customFormat="false" ht="15" hidden="false" customHeight="false" outlineLevel="0" collapsed="false">
      <c r="A2599" s="9" t="s">
        <v>4050</v>
      </c>
      <c r="B2599" s="9" t="s">
        <v>1529</v>
      </c>
      <c r="C2599" s="9" t="s">
        <v>37</v>
      </c>
      <c r="D2599" s="9" t="n">
        <v>35</v>
      </c>
      <c r="E2599" s="9" t="s">
        <v>38</v>
      </c>
      <c r="F2599" s="9" t="s">
        <v>74</v>
      </c>
      <c r="G2599" s="10" t="n">
        <v>46027</v>
      </c>
      <c r="H2599" s="10" t="n">
        <v>46052</v>
      </c>
      <c r="I2599" s="9" t="s">
        <v>50</v>
      </c>
      <c r="J2599" s="9" t="s">
        <v>41</v>
      </c>
      <c r="K2599" s="9" t="n">
        <v>25</v>
      </c>
      <c r="L2599" s="9" t="n">
        <v>2</v>
      </c>
      <c r="M2599" s="9" t="n">
        <v>0</v>
      </c>
      <c r="N2599" s="9" t="s">
        <v>42</v>
      </c>
      <c r="O2599" s="9" t="s">
        <v>52</v>
      </c>
      <c r="P2599" s="9" t="n">
        <v>4.3</v>
      </c>
      <c r="Q2599" s="9" t="n">
        <v>50</v>
      </c>
      <c r="R2599" s="9" t="s">
        <v>53</v>
      </c>
      <c r="S2599" s="9"/>
      <c r="T2599" s="9"/>
      <c r="U2599" s="9" t="str">
        <f aca="false">IF(COUNTIF($A$2:$A$5001,A2599)&gt;1,"Duplicate","Unique")</f>
        <v>Unique</v>
      </c>
      <c r="V2599" s="9" t="str">
        <f aca="false">IF(COUNTIFS($B$2:$B$5001,B2599,$H$2:$H$5001,H2599,$J$2:$J$5001,J2599)&gt;1,"Possible Duplicate Booking","Unique")</f>
        <v>Unique</v>
      </c>
      <c r="W2599" s="9" t="str">
        <f aca="false">IF((H2599-G2599)&lt;&gt;K2599,"Mismatch","OK")</f>
        <v>OK</v>
      </c>
      <c r="X2599" s="9" t="str">
        <f aca="false">IF(TEXT(H2599,"dddd")&lt;&gt;I2599,"Mismatch","OK")</f>
        <v>OK</v>
      </c>
      <c r="Y2599" s="9" t="str">
        <f aca="false">IF(AND(N2599="No",O2599&lt;&gt;""),"Unexpected: channel present but no reminder sent",IF(AND(N2599="Yes",O2599=""),"Missing channel for sent reminder","OK"))</f>
        <v>OK</v>
      </c>
    </row>
    <row r="2600" customFormat="false" ht="15" hidden="false" customHeight="false" outlineLevel="0" collapsed="false">
      <c r="A2600" s="7" t="s">
        <v>4051</v>
      </c>
      <c r="B2600" s="7" t="s">
        <v>3736</v>
      </c>
      <c r="C2600" s="7" t="s">
        <v>37</v>
      </c>
      <c r="D2600" s="7" t="n">
        <v>45</v>
      </c>
      <c r="E2600" s="7" t="s">
        <v>56</v>
      </c>
      <c r="F2600" s="7" t="s">
        <v>57</v>
      </c>
      <c r="G2600" s="8" t="n">
        <v>46186</v>
      </c>
      <c r="H2600" s="8" t="n">
        <v>46186</v>
      </c>
      <c r="I2600" s="7" t="s">
        <v>102</v>
      </c>
      <c r="J2600" s="7" t="s">
        <v>41</v>
      </c>
      <c r="K2600" s="7" t="n">
        <v>0</v>
      </c>
      <c r="L2600" s="7" t="n">
        <v>2</v>
      </c>
      <c r="M2600" s="7" t="n">
        <v>0</v>
      </c>
      <c r="N2600" s="7" t="s">
        <v>42</v>
      </c>
      <c r="O2600" s="7" t="s">
        <v>52</v>
      </c>
      <c r="P2600" s="7" t="n">
        <v>5.1</v>
      </c>
      <c r="Q2600" s="7" t="n">
        <v>14</v>
      </c>
      <c r="R2600" s="7" t="s">
        <v>53</v>
      </c>
      <c r="S2600" s="7"/>
      <c r="T2600" s="7"/>
      <c r="U2600" s="7" t="str">
        <f aca="false">IF(COUNTIF($A$2:$A$5001,A2600)&gt;1,"Duplicate","Unique")</f>
        <v>Unique</v>
      </c>
      <c r="V2600" s="7" t="str">
        <f aca="false">IF(COUNTIFS($B$2:$B$5001,B2600,$H$2:$H$5001,H2600,$J$2:$J$5001,J2600)&gt;1,"Possible Duplicate Booking","Unique")</f>
        <v>Unique</v>
      </c>
      <c r="W2600" s="7" t="str">
        <f aca="false">IF((H2600-G2600)&lt;&gt;K2600,"Mismatch","OK")</f>
        <v>OK</v>
      </c>
      <c r="X2600" s="7" t="str">
        <f aca="false">IF(TEXT(H2600,"dddd")&lt;&gt;I2600,"Mismatch","OK")</f>
        <v>OK</v>
      </c>
      <c r="Y2600" s="7" t="str">
        <f aca="false">IF(AND(N2600="No",O2600&lt;&gt;""),"Unexpected: channel present but no reminder sent",IF(AND(N2600="Yes",O2600=""),"Missing channel for sent reminder","OK"))</f>
        <v>OK</v>
      </c>
    </row>
    <row r="2601" customFormat="false" ht="15" hidden="false" customHeight="false" outlineLevel="0" collapsed="false">
      <c r="A2601" s="9" t="s">
        <v>4052</v>
      </c>
      <c r="B2601" s="9" t="s">
        <v>3491</v>
      </c>
      <c r="C2601" s="9" t="s">
        <v>37</v>
      </c>
      <c r="D2601" s="9" t="n">
        <v>78</v>
      </c>
      <c r="E2601" s="9" t="s">
        <v>70</v>
      </c>
      <c r="F2601" s="9" t="s">
        <v>57</v>
      </c>
      <c r="G2601" s="10" t="n">
        <v>45854</v>
      </c>
      <c r="H2601" s="10" t="n">
        <v>45870</v>
      </c>
      <c r="I2601" s="9" t="s">
        <v>50</v>
      </c>
      <c r="J2601" s="9" t="s">
        <v>51</v>
      </c>
      <c r="K2601" s="9" t="n">
        <v>16</v>
      </c>
      <c r="L2601" s="9" t="n">
        <v>1</v>
      </c>
      <c r="M2601" s="9" t="n">
        <v>0</v>
      </c>
      <c r="N2601" s="9" t="s">
        <v>42</v>
      </c>
      <c r="O2601" s="9" t="s">
        <v>43</v>
      </c>
      <c r="P2601" s="9" t="n">
        <v>26.5</v>
      </c>
      <c r="Q2601" s="9" t="n">
        <v>22</v>
      </c>
      <c r="R2601" s="9" t="s">
        <v>53</v>
      </c>
      <c r="S2601" s="9"/>
      <c r="T2601" s="9"/>
      <c r="U2601" s="9" t="str">
        <f aca="false">IF(COUNTIF($A$2:$A$5001,A2601)&gt;1,"Duplicate","Unique")</f>
        <v>Unique</v>
      </c>
      <c r="V2601" s="9" t="str">
        <f aca="false">IF(COUNTIFS($B$2:$B$5001,B2601,$H$2:$H$5001,H2601,$J$2:$J$5001,J2601)&gt;1,"Possible Duplicate Booking","Unique")</f>
        <v>Unique</v>
      </c>
      <c r="W2601" s="9" t="str">
        <f aca="false">IF((H2601-G2601)&lt;&gt;K2601,"Mismatch","OK")</f>
        <v>OK</v>
      </c>
      <c r="X2601" s="9" t="str">
        <f aca="false">IF(TEXT(H2601,"dddd")&lt;&gt;I2601,"Mismatch","OK")</f>
        <v>OK</v>
      </c>
      <c r="Y2601" s="9" t="str">
        <f aca="false">IF(AND(N2601="No",O2601&lt;&gt;""),"Unexpected: channel present but no reminder sent",IF(AND(N2601="Yes",O2601=""),"Missing channel for sent reminder","OK"))</f>
        <v>OK</v>
      </c>
    </row>
    <row r="2602" customFormat="false" ht="15" hidden="false" customHeight="false" outlineLevel="0" collapsed="false">
      <c r="A2602" s="7" t="s">
        <v>4053</v>
      </c>
      <c r="B2602" s="7" t="s">
        <v>1503</v>
      </c>
      <c r="C2602" s="7" t="s">
        <v>37</v>
      </c>
      <c r="D2602" s="7" t="n">
        <v>69</v>
      </c>
      <c r="E2602" s="7" t="s">
        <v>70</v>
      </c>
      <c r="F2602" s="7" t="s">
        <v>74</v>
      </c>
      <c r="G2602" s="8" t="n">
        <v>46121</v>
      </c>
      <c r="H2602" s="8" t="n">
        <v>46129</v>
      </c>
      <c r="I2602" s="7" t="s">
        <v>50</v>
      </c>
      <c r="J2602" s="7" t="s">
        <v>41</v>
      </c>
      <c r="K2602" s="7" t="n">
        <v>8</v>
      </c>
      <c r="L2602" s="7" t="n">
        <v>3</v>
      </c>
      <c r="M2602" s="7" t="n">
        <v>1</v>
      </c>
      <c r="N2602" s="7" t="s">
        <v>42</v>
      </c>
      <c r="O2602" s="7" t="s">
        <v>67</v>
      </c>
      <c r="P2602" s="7" t="n">
        <v>9.8</v>
      </c>
      <c r="Q2602" s="7" t="n">
        <v>22</v>
      </c>
      <c r="R2602" s="7" t="s">
        <v>53</v>
      </c>
      <c r="S2602" s="7"/>
      <c r="T2602" s="7"/>
      <c r="U2602" s="7" t="str">
        <f aca="false">IF(COUNTIF($A$2:$A$5001,A2602)&gt;1,"Duplicate","Unique")</f>
        <v>Unique</v>
      </c>
      <c r="V2602" s="7" t="str">
        <f aca="false">IF(COUNTIFS($B$2:$B$5001,B2602,$H$2:$H$5001,H2602,$J$2:$J$5001,J2602)&gt;1,"Possible Duplicate Booking","Unique")</f>
        <v>Unique</v>
      </c>
      <c r="W2602" s="7" t="str">
        <f aca="false">IF((H2602-G2602)&lt;&gt;K2602,"Mismatch","OK")</f>
        <v>OK</v>
      </c>
      <c r="X2602" s="7" t="str">
        <f aca="false">IF(TEXT(H2602,"dddd")&lt;&gt;I2602,"Mismatch","OK")</f>
        <v>OK</v>
      </c>
      <c r="Y2602" s="7" t="str">
        <f aca="false">IF(AND(N2602="No",O2602&lt;&gt;""),"Unexpected: channel present but no reminder sent",IF(AND(N2602="Yes",O2602=""),"Missing channel for sent reminder","OK"))</f>
        <v>OK</v>
      </c>
    </row>
    <row r="2603" customFormat="false" ht="15" hidden="false" customHeight="false" outlineLevel="0" collapsed="false">
      <c r="A2603" s="9" t="s">
        <v>4054</v>
      </c>
      <c r="B2603" s="9" t="s">
        <v>1976</v>
      </c>
      <c r="C2603" s="9" t="s">
        <v>47</v>
      </c>
      <c r="D2603" s="9" t="n">
        <v>30</v>
      </c>
      <c r="E2603" s="9" t="s">
        <v>48</v>
      </c>
      <c r="F2603" s="9" t="s">
        <v>49</v>
      </c>
      <c r="G2603" s="10" t="n">
        <v>45775</v>
      </c>
      <c r="H2603" s="10" t="n">
        <v>45775</v>
      </c>
      <c r="I2603" s="9" t="s">
        <v>66</v>
      </c>
      <c r="J2603" s="9" t="s">
        <v>51</v>
      </c>
      <c r="K2603" s="9" t="n">
        <v>0</v>
      </c>
      <c r="L2603" s="9" t="n">
        <v>1</v>
      </c>
      <c r="M2603" s="9" t="n">
        <v>0</v>
      </c>
      <c r="N2603" s="9" t="s">
        <v>42</v>
      </c>
      <c r="O2603" s="9" t="s">
        <v>52</v>
      </c>
      <c r="P2603" s="9" t="n">
        <v>8.4</v>
      </c>
      <c r="Q2603" s="9" t="n">
        <v>19</v>
      </c>
      <c r="R2603" s="9" t="s">
        <v>53</v>
      </c>
      <c r="S2603" s="9"/>
      <c r="T2603" s="9"/>
      <c r="U2603" s="9" t="str">
        <f aca="false">IF(COUNTIF($A$2:$A$5001,A2603)&gt;1,"Duplicate","Unique")</f>
        <v>Unique</v>
      </c>
      <c r="V2603" s="9" t="str">
        <f aca="false">IF(COUNTIFS($B$2:$B$5001,B2603,$H$2:$H$5001,H2603,$J$2:$J$5001,J2603)&gt;1,"Possible Duplicate Booking","Unique")</f>
        <v>Unique</v>
      </c>
      <c r="W2603" s="9" t="str">
        <f aca="false">IF((H2603-G2603)&lt;&gt;K2603,"Mismatch","OK")</f>
        <v>OK</v>
      </c>
      <c r="X2603" s="9" t="str">
        <f aca="false">IF(TEXT(H2603,"dddd")&lt;&gt;I2603,"Mismatch","OK")</f>
        <v>OK</v>
      </c>
      <c r="Y2603" s="9" t="str">
        <f aca="false">IF(AND(N2603="No",O2603&lt;&gt;""),"Unexpected: channel present but no reminder sent",IF(AND(N2603="Yes",O2603=""),"Missing channel for sent reminder","OK"))</f>
        <v>OK</v>
      </c>
    </row>
    <row r="2604" customFormat="false" ht="15" hidden="false" customHeight="false" outlineLevel="0" collapsed="false">
      <c r="A2604" s="7" t="s">
        <v>4055</v>
      </c>
      <c r="B2604" s="7" t="s">
        <v>326</v>
      </c>
      <c r="C2604" s="7" t="s">
        <v>37</v>
      </c>
      <c r="D2604" s="7" t="n">
        <v>76</v>
      </c>
      <c r="E2604" s="7" t="s">
        <v>70</v>
      </c>
      <c r="F2604" s="7" t="s">
        <v>74</v>
      </c>
      <c r="G2604" s="8" t="n">
        <v>46068</v>
      </c>
      <c r="H2604" s="8" t="n">
        <v>46084</v>
      </c>
      <c r="I2604" s="7" t="s">
        <v>40</v>
      </c>
      <c r="J2604" s="7" t="s">
        <v>41</v>
      </c>
      <c r="K2604" s="7" t="n">
        <v>16</v>
      </c>
      <c r="L2604" s="7" t="n">
        <v>2</v>
      </c>
      <c r="M2604" s="7" t="n">
        <v>0</v>
      </c>
      <c r="N2604" s="7" t="s">
        <v>42</v>
      </c>
      <c r="O2604" s="7" t="s">
        <v>43</v>
      </c>
      <c r="P2604" s="7" t="n">
        <v>1</v>
      </c>
      <c r="Q2604" s="7" t="n">
        <v>19</v>
      </c>
      <c r="R2604" s="7" t="s">
        <v>53</v>
      </c>
      <c r="S2604" s="7"/>
      <c r="T2604" s="7"/>
      <c r="U2604" s="7" t="str">
        <f aca="false">IF(COUNTIF($A$2:$A$5001,A2604)&gt;1,"Duplicate","Unique")</f>
        <v>Unique</v>
      </c>
      <c r="V2604" s="7" t="str">
        <f aca="false">IF(COUNTIFS($B$2:$B$5001,B2604,$H$2:$H$5001,H2604,$J$2:$J$5001,J2604)&gt;1,"Possible Duplicate Booking","Unique")</f>
        <v>Unique</v>
      </c>
      <c r="W2604" s="7" t="str">
        <f aca="false">IF((H2604-G2604)&lt;&gt;K2604,"Mismatch","OK")</f>
        <v>OK</v>
      </c>
      <c r="X2604" s="7" t="str">
        <f aca="false">IF(TEXT(H2604,"dddd")&lt;&gt;I2604,"Mismatch","OK")</f>
        <v>OK</v>
      </c>
      <c r="Y2604" s="7" t="str">
        <f aca="false">IF(AND(N2604="No",O2604&lt;&gt;""),"Unexpected: channel present but no reminder sent",IF(AND(N2604="Yes",O2604=""),"Missing channel for sent reminder","OK"))</f>
        <v>OK</v>
      </c>
    </row>
    <row r="2605" customFormat="false" ht="15" hidden="false" customHeight="false" outlineLevel="0" collapsed="false">
      <c r="A2605" s="9" t="s">
        <v>4056</v>
      </c>
      <c r="B2605" s="9" t="s">
        <v>168</v>
      </c>
      <c r="C2605" s="9" t="s">
        <v>47</v>
      </c>
      <c r="D2605" s="9" t="n">
        <v>49</v>
      </c>
      <c r="E2605" s="9" t="s">
        <v>56</v>
      </c>
      <c r="F2605" s="9" t="s">
        <v>49</v>
      </c>
      <c r="G2605" s="10" t="n">
        <v>45953</v>
      </c>
      <c r="H2605" s="10" t="n">
        <v>45965</v>
      </c>
      <c r="I2605" s="9" t="s">
        <v>40</v>
      </c>
      <c r="J2605" s="9" t="s">
        <v>51</v>
      </c>
      <c r="K2605" s="9" t="n">
        <v>12</v>
      </c>
      <c r="L2605" s="9" t="n">
        <v>3</v>
      </c>
      <c r="M2605" s="9" t="n">
        <v>0</v>
      </c>
      <c r="N2605" s="9" t="s">
        <v>42</v>
      </c>
      <c r="O2605" s="9" t="s">
        <v>52</v>
      </c>
      <c r="P2605" s="9" t="n">
        <v>6.6</v>
      </c>
      <c r="Q2605" s="9" t="n">
        <v>39</v>
      </c>
      <c r="R2605" s="9" t="s">
        <v>53</v>
      </c>
      <c r="S2605" s="9"/>
      <c r="T2605" s="9"/>
      <c r="U2605" s="9" t="str">
        <f aca="false">IF(COUNTIF($A$2:$A$5001,A2605)&gt;1,"Duplicate","Unique")</f>
        <v>Unique</v>
      </c>
      <c r="V2605" s="9" t="str">
        <f aca="false">IF(COUNTIFS($B$2:$B$5001,B2605,$H$2:$H$5001,H2605,$J$2:$J$5001,J2605)&gt;1,"Possible Duplicate Booking","Unique")</f>
        <v>Unique</v>
      </c>
      <c r="W2605" s="9" t="str">
        <f aca="false">IF((H2605-G2605)&lt;&gt;K2605,"Mismatch","OK")</f>
        <v>OK</v>
      </c>
      <c r="X2605" s="9" t="str">
        <f aca="false">IF(TEXT(H2605,"dddd")&lt;&gt;I2605,"Mismatch","OK")</f>
        <v>OK</v>
      </c>
      <c r="Y2605" s="9" t="str">
        <f aca="false">IF(AND(N2605="No",O2605&lt;&gt;""),"Unexpected: channel present but no reminder sent",IF(AND(N2605="Yes",O2605=""),"Missing channel for sent reminder","OK"))</f>
        <v>OK</v>
      </c>
    </row>
    <row r="2606" customFormat="false" ht="15" hidden="false" customHeight="false" outlineLevel="0" collapsed="false">
      <c r="A2606" s="7" t="s">
        <v>4057</v>
      </c>
      <c r="B2606" s="7" t="s">
        <v>3729</v>
      </c>
      <c r="C2606" s="7" t="s">
        <v>47</v>
      </c>
      <c r="D2606" s="7" t="n">
        <v>71</v>
      </c>
      <c r="E2606" s="7" t="s">
        <v>70</v>
      </c>
      <c r="F2606" s="7" t="s">
        <v>39</v>
      </c>
      <c r="G2606" s="8" t="n">
        <v>46067</v>
      </c>
      <c r="H2606" s="8" t="n">
        <v>46071</v>
      </c>
      <c r="I2606" s="7" t="s">
        <v>58</v>
      </c>
      <c r="J2606" s="7" t="s">
        <v>51</v>
      </c>
      <c r="K2606" s="7" t="n">
        <v>4</v>
      </c>
      <c r="L2606" s="7" t="n">
        <v>1</v>
      </c>
      <c r="M2606" s="7" t="n">
        <v>0</v>
      </c>
      <c r="N2606" s="7" t="s">
        <v>71</v>
      </c>
      <c r="O2606" s="7"/>
      <c r="P2606" s="7" t="n">
        <v>7.5</v>
      </c>
      <c r="Q2606" s="7" t="n">
        <v>25</v>
      </c>
      <c r="R2606" s="7" t="s">
        <v>44</v>
      </c>
      <c r="S2606" s="7"/>
      <c r="T2606" s="7"/>
      <c r="U2606" s="7" t="str">
        <f aca="false">IF(COUNTIF($A$2:$A$5001,A2606)&gt;1,"Duplicate","Unique")</f>
        <v>Unique</v>
      </c>
      <c r="V2606" s="7" t="str">
        <f aca="false">IF(COUNTIFS($B$2:$B$5001,B2606,$H$2:$H$5001,H2606,$J$2:$J$5001,J2606)&gt;1,"Possible Duplicate Booking","Unique")</f>
        <v>Unique</v>
      </c>
      <c r="W2606" s="7" t="str">
        <f aca="false">IF((H2606-G2606)&lt;&gt;K2606,"Mismatch","OK")</f>
        <v>OK</v>
      </c>
      <c r="X2606" s="7" t="str">
        <f aca="false">IF(TEXT(H2606,"dddd")&lt;&gt;I2606,"Mismatch","OK")</f>
        <v>OK</v>
      </c>
      <c r="Y2606" s="7" t="str">
        <f aca="false">IF(AND(N2606="No",O2606&lt;&gt;""),"Unexpected: channel present but no reminder sent",IF(AND(N2606="Yes",O2606=""),"Missing channel for sent reminder","OK"))</f>
        <v>OK</v>
      </c>
    </row>
    <row r="2607" customFormat="false" ht="15" hidden="false" customHeight="false" outlineLevel="0" collapsed="false">
      <c r="A2607" s="9" t="s">
        <v>4058</v>
      </c>
      <c r="B2607" s="9" t="s">
        <v>2379</v>
      </c>
      <c r="C2607" s="9" t="s">
        <v>47</v>
      </c>
      <c r="D2607" s="9" t="n">
        <v>50</v>
      </c>
      <c r="E2607" s="9" t="s">
        <v>56</v>
      </c>
      <c r="F2607" s="9" t="s">
        <v>57</v>
      </c>
      <c r="G2607" s="10" t="n">
        <v>46051</v>
      </c>
      <c r="H2607" s="10" t="n">
        <v>46070</v>
      </c>
      <c r="I2607" s="9" t="s">
        <v>40</v>
      </c>
      <c r="J2607" s="9" t="s">
        <v>41</v>
      </c>
      <c r="K2607" s="9" t="n">
        <v>19</v>
      </c>
      <c r="L2607" s="9" t="n">
        <v>2</v>
      </c>
      <c r="M2607" s="9" t="n">
        <v>0</v>
      </c>
      <c r="N2607" s="9" t="s">
        <v>42</v>
      </c>
      <c r="O2607" s="9" t="s">
        <v>43</v>
      </c>
      <c r="P2607" s="9" t="n">
        <v>10.6</v>
      </c>
      <c r="Q2607" s="9" t="n">
        <v>51</v>
      </c>
      <c r="R2607" s="9" t="s">
        <v>44</v>
      </c>
      <c r="S2607" s="9"/>
      <c r="T2607" s="9"/>
      <c r="U2607" s="9" t="str">
        <f aca="false">IF(COUNTIF($A$2:$A$5001,A2607)&gt;1,"Duplicate","Unique")</f>
        <v>Unique</v>
      </c>
      <c r="V2607" s="9" t="str">
        <f aca="false">IF(COUNTIFS($B$2:$B$5001,B2607,$H$2:$H$5001,H2607,$J$2:$J$5001,J2607)&gt;1,"Possible Duplicate Booking","Unique")</f>
        <v>Unique</v>
      </c>
      <c r="W2607" s="9" t="str">
        <f aca="false">IF((H2607-G2607)&lt;&gt;K2607,"Mismatch","OK")</f>
        <v>OK</v>
      </c>
      <c r="X2607" s="9" t="str">
        <f aca="false">IF(TEXT(H2607,"dddd")&lt;&gt;I2607,"Mismatch","OK")</f>
        <v>OK</v>
      </c>
      <c r="Y2607" s="9" t="str">
        <f aca="false">IF(AND(N2607="No",O2607&lt;&gt;""),"Unexpected: channel present but no reminder sent",IF(AND(N2607="Yes",O2607=""),"Missing channel for sent reminder","OK"))</f>
        <v>OK</v>
      </c>
    </row>
    <row r="2608" customFormat="false" ht="15" hidden="false" customHeight="false" outlineLevel="0" collapsed="false">
      <c r="A2608" s="7" t="s">
        <v>4059</v>
      </c>
      <c r="B2608" s="7" t="s">
        <v>3847</v>
      </c>
      <c r="C2608" s="7" t="s">
        <v>37</v>
      </c>
      <c r="D2608" s="7" t="n">
        <v>56</v>
      </c>
      <c r="E2608" s="7" t="s">
        <v>61</v>
      </c>
      <c r="F2608" s="7" t="s">
        <v>57</v>
      </c>
      <c r="G2608" s="8" t="n">
        <v>45918</v>
      </c>
      <c r="H2608" s="8" t="n">
        <v>45948</v>
      </c>
      <c r="I2608" s="7" t="s">
        <v>102</v>
      </c>
      <c r="J2608" s="7" t="s">
        <v>41</v>
      </c>
      <c r="K2608" s="7" t="n">
        <v>30</v>
      </c>
      <c r="L2608" s="7" t="n">
        <v>8</v>
      </c>
      <c r="M2608" s="7" t="n">
        <v>2</v>
      </c>
      <c r="N2608" s="7" t="s">
        <v>42</v>
      </c>
      <c r="O2608" s="7" t="s">
        <v>52</v>
      </c>
      <c r="P2608" s="7" t="n">
        <v>26.8</v>
      </c>
      <c r="Q2608" s="7" t="n">
        <v>20</v>
      </c>
      <c r="R2608" s="7" t="s">
        <v>53</v>
      </c>
      <c r="S2608" s="7"/>
      <c r="T2608" s="7"/>
      <c r="U2608" s="7" t="str">
        <f aca="false">IF(COUNTIF($A$2:$A$5001,A2608)&gt;1,"Duplicate","Unique")</f>
        <v>Unique</v>
      </c>
      <c r="V2608" s="7" t="str">
        <f aca="false">IF(COUNTIFS($B$2:$B$5001,B2608,$H$2:$H$5001,H2608,$J$2:$J$5001,J2608)&gt;1,"Possible Duplicate Booking","Unique")</f>
        <v>Unique</v>
      </c>
      <c r="W2608" s="7" t="str">
        <f aca="false">IF((H2608-G2608)&lt;&gt;K2608,"Mismatch","OK")</f>
        <v>OK</v>
      </c>
      <c r="X2608" s="7" t="str">
        <f aca="false">IF(TEXT(H2608,"dddd")&lt;&gt;I2608,"Mismatch","OK")</f>
        <v>OK</v>
      </c>
      <c r="Y2608" s="7" t="str">
        <f aca="false">IF(AND(N2608="No",O2608&lt;&gt;""),"Unexpected: channel present but no reminder sent",IF(AND(N2608="Yes",O2608=""),"Missing channel for sent reminder","OK"))</f>
        <v>OK</v>
      </c>
    </row>
    <row r="2609" customFormat="false" ht="15" hidden="false" customHeight="false" outlineLevel="0" collapsed="false">
      <c r="A2609" s="9" t="s">
        <v>4060</v>
      </c>
      <c r="B2609" s="9" t="s">
        <v>4061</v>
      </c>
      <c r="C2609" s="9" t="s">
        <v>47</v>
      </c>
      <c r="D2609" s="9" t="n">
        <v>28</v>
      </c>
      <c r="E2609" s="9" t="s">
        <v>48</v>
      </c>
      <c r="F2609" s="9" t="s">
        <v>74</v>
      </c>
      <c r="G2609" s="10" t="n">
        <v>45788</v>
      </c>
      <c r="H2609" s="10" t="n">
        <v>45798</v>
      </c>
      <c r="I2609" s="9" t="s">
        <v>58</v>
      </c>
      <c r="J2609" s="9" t="s">
        <v>51</v>
      </c>
      <c r="K2609" s="9" t="n">
        <v>10</v>
      </c>
      <c r="L2609" s="9" t="n">
        <v>8</v>
      </c>
      <c r="M2609" s="9" t="n">
        <v>2</v>
      </c>
      <c r="N2609" s="9" t="s">
        <v>42</v>
      </c>
      <c r="O2609" s="9" t="s">
        <v>52</v>
      </c>
      <c r="P2609" s="9" t="n">
        <v>20.6</v>
      </c>
      <c r="Q2609" s="9" t="n">
        <v>41</v>
      </c>
      <c r="R2609" s="9" t="s">
        <v>53</v>
      </c>
      <c r="S2609" s="9"/>
      <c r="T2609" s="9"/>
      <c r="U2609" s="9" t="str">
        <f aca="false">IF(COUNTIF($A$2:$A$5001,A2609)&gt;1,"Duplicate","Unique")</f>
        <v>Unique</v>
      </c>
      <c r="V2609" s="9" t="str">
        <f aca="false">IF(COUNTIFS($B$2:$B$5001,B2609,$H$2:$H$5001,H2609,$J$2:$J$5001,J2609)&gt;1,"Possible Duplicate Booking","Unique")</f>
        <v>Unique</v>
      </c>
      <c r="W2609" s="9" t="str">
        <f aca="false">IF((H2609-G2609)&lt;&gt;K2609,"Mismatch","OK")</f>
        <v>OK</v>
      </c>
      <c r="X2609" s="9" t="str">
        <f aca="false">IF(TEXT(H2609,"dddd")&lt;&gt;I2609,"Mismatch","OK")</f>
        <v>OK</v>
      </c>
      <c r="Y2609" s="9" t="str">
        <f aca="false">IF(AND(N2609="No",O2609&lt;&gt;""),"Unexpected: channel present but no reminder sent",IF(AND(N2609="Yes",O2609=""),"Missing channel for sent reminder","OK"))</f>
        <v>OK</v>
      </c>
    </row>
    <row r="2610" customFormat="false" ht="15" hidden="false" customHeight="false" outlineLevel="0" collapsed="false">
      <c r="A2610" s="7" t="s">
        <v>4062</v>
      </c>
      <c r="B2610" s="7" t="s">
        <v>79</v>
      </c>
      <c r="C2610" s="7" t="s">
        <v>47</v>
      </c>
      <c r="D2610" s="7" t="n">
        <v>39</v>
      </c>
      <c r="E2610" s="7" t="s">
        <v>38</v>
      </c>
      <c r="F2610" s="7" t="s">
        <v>49</v>
      </c>
      <c r="G2610" s="8" t="n">
        <v>45929</v>
      </c>
      <c r="H2610" s="8" t="n">
        <v>45945</v>
      </c>
      <c r="I2610" s="7" t="s">
        <v>58</v>
      </c>
      <c r="J2610" s="7" t="s">
        <v>41</v>
      </c>
      <c r="K2610" s="7" t="n">
        <v>16</v>
      </c>
      <c r="L2610" s="7" t="n">
        <v>2</v>
      </c>
      <c r="M2610" s="7" t="n">
        <v>1</v>
      </c>
      <c r="N2610" s="7" t="s">
        <v>71</v>
      </c>
      <c r="O2610" s="7"/>
      <c r="P2610" s="7" t="n">
        <v>7.2</v>
      </c>
      <c r="Q2610" s="7" t="n">
        <v>43</v>
      </c>
      <c r="R2610" s="7" t="s">
        <v>53</v>
      </c>
      <c r="S2610" s="7"/>
      <c r="T2610" s="7"/>
      <c r="U2610" s="7" t="str">
        <f aca="false">IF(COUNTIF($A$2:$A$5001,A2610)&gt;1,"Duplicate","Unique")</f>
        <v>Unique</v>
      </c>
      <c r="V2610" s="7" t="str">
        <f aca="false">IF(COUNTIFS($B$2:$B$5001,B2610,$H$2:$H$5001,H2610,$J$2:$J$5001,J2610)&gt;1,"Possible Duplicate Booking","Unique")</f>
        <v>Unique</v>
      </c>
      <c r="W2610" s="7" t="str">
        <f aca="false">IF((H2610-G2610)&lt;&gt;K2610,"Mismatch","OK")</f>
        <v>OK</v>
      </c>
      <c r="X2610" s="7" t="str">
        <f aca="false">IF(TEXT(H2610,"dddd")&lt;&gt;I2610,"Mismatch","OK")</f>
        <v>OK</v>
      </c>
      <c r="Y2610" s="7" t="str">
        <f aca="false">IF(AND(N2610="No",O2610&lt;&gt;""),"Unexpected: channel present but no reminder sent",IF(AND(N2610="Yes",O2610=""),"Missing channel for sent reminder","OK"))</f>
        <v>OK</v>
      </c>
    </row>
    <row r="2611" customFormat="false" ht="15" hidden="false" customHeight="false" outlineLevel="0" collapsed="false">
      <c r="A2611" s="9" t="s">
        <v>4063</v>
      </c>
      <c r="B2611" s="9" t="s">
        <v>2226</v>
      </c>
      <c r="C2611" s="9" t="s">
        <v>37</v>
      </c>
      <c r="D2611" s="9" t="n">
        <v>63</v>
      </c>
      <c r="E2611" s="9" t="s">
        <v>61</v>
      </c>
      <c r="F2611" s="9" t="s">
        <v>57</v>
      </c>
      <c r="G2611" s="10" t="n">
        <v>46108</v>
      </c>
      <c r="H2611" s="10" t="n">
        <v>46109</v>
      </c>
      <c r="I2611" s="9" t="s">
        <v>102</v>
      </c>
      <c r="J2611" s="9" t="s">
        <v>41</v>
      </c>
      <c r="K2611" s="9" t="n">
        <v>1</v>
      </c>
      <c r="L2611" s="9" t="n">
        <v>6</v>
      </c>
      <c r="M2611" s="9" t="n">
        <v>0</v>
      </c>
      <c r="N2611" s="9" t="s">
        <v>71</v>
      </c>
      <c r="O2611" s="9"/>
      <c r="P2611" s="9" t="n">
        <v>4.2</v>
      </c>
      <c r="Q2611" s="9" t="n">
        <v>23</v>
      </c>
      <c r="R2611" s="9" t="s">
        <v>44</v>
      </c>
      <c r="S2611" s="9"/>
      <c r="T2611" s="9"/>
      <c r="U2611" s="9" t="str">
        <f aca="false">IF(COUNTIF($A$2:$A$5001,A2611)&gt;1,"Duplicate","Unique")</f>
        <v>Unique</v>
      </c>
      <c r="V2611" s="9" t="str">
        <f aca="false">IF(COUNTIFS($B$2:$B$5001,B2611,$H$2:$H$5001,H2611,$J$2:$J$5001,J2611)&gt;1,"Possible Duplicate Booking","Unique")</f>
        <v>Unique</v>
      </c>
      <c r="W2611" s="9" t="str">
        <f aca="false">IF((H2611-G2611)&lt;&gt;K2611,"Mismatch","OK")</f>
        <v>OK</v>
      </c>
      <c r="X2611" s="9" t="str">
        <f aca="false">IF(TEXT(H2611,"dddd")&lt;&gt;I2611,"Mismatch","OK")</f>
        <v>OK</v>
      </c>
      <c r="Y2611" s="9" t="str">
        <f aca="false">IF(AND(N2611="No",O2611&lt;&gt;""),"Unexpected: channel present but no reminder sent",IF(AND(N2611="Yes",O2611=""),"Missing channel for sent reminder","OK"))</f>
        <v>OK</v>
      </c>
    </row>
    <row r="2612" customFormat="false" ht="15" hidden="false" customHeight="false" outlineLevel="0" collapsed="false">
      <c r="A2612" s="7" t="s">
        <v>4064</v>
      </c>
      <c r="B2612" s="7" t="s">
        <v>3622</v>
      </c>
      <c r="C2612" s="7" t="s">
        <v>47</v>
      </c>
      <c r="D2612" s="7" t="n">
        <v>71</v>
      </c>
      <c r="E2612" s="7" t="s">
        <v>70</v>
      </c>
      <c r="F2612" s="7" t="s">
        <v>57</v>
      </c>
      <c r="G2612" s="8" t="n">
        <v>46184</v>
      </c>
      <c r="H2612" s="8" t="n">
        <v>46187</v>
      </c>
      <c r="I2612" s="7" t="s">
        <v>75</v>
      </c>
      <c r="J2612" s="7" t="s">
        <v>51</v>
      </c>
      <c r="K2612" s="7" t="n">
        <v>3</v>
      </c>
      <c r="L2612" s="7" t="n">
        <v>5</v>
      </c>
      <c r="M2612" s="7" t="n">
        <v>1</v>
      </c>
      <c r="N2612" s="7" t="s">
        <v>42</v>
      </c>
      <c r="O2612" s="7" t="s">
        <v>67</v>
      </c>
      <c r="P2612" s="7" t="n">
        <v>7.1</v>
      </c>
      <c r="Q2612" s="7" t="n">
        <v>29</v>
      </c>
      <c r="R2612" s="7" t="s">
        <v>87</v>
      </c>
      <c r="S2612" s="7"/>
      <c r="T2612" s="7"/>
      <c r="U2612" s="7" t="str">
        <f aca="false">IF(COUNTIF($A$2:$A$5001,A2612)&gt;1,"Duplicate","Unique")</f>
        <v>Unique</v>
      </c>
      <c r="V2612" s="7" t="str">
        <f aca="false">IF(COUNTIFS($B$2:$B$5001,B2612,$H$2:$H$5001,H2612,$J$2:$J$5001,J2612)&gt;1,"Possible Duplicate Booking","Unique")</f>
        <v>Unique</v>
      </c>
      <c r="W2612" s="7" t="str">
        <f aca="false">IF((H2612-G2612)&lt;&gt;K2612,"Mismatch","OK")</f>
        <v>OK</v>
      </c>
      <c r="X2612" s="7" t="str">
        <f aca="false">IF(TEXT(H2612,"dddd")&lt;&gt;I2612,"Mismatch","OK")</f>
        <v>OK</v>
      </c>
      <c r="Y2612" s="7" t="str">
        <f aca="false">IF(AND(N2612="No",O2612&lt;&gt;""),"Unexpected: channel present but no reminder sent",IF(AND(N2612="Yes",O2612=""),"Missing channel for sent reminder","OK"))</f>
        <v>OK</v>
      </c>
    </row>
    <row r="2613" customFormat="false" ht="15" hidden="false" customHeight="false" outlineLevel="0" collapsed="false">
      <c r="A2613" s="9" t="s">
        <v>4065</v>
      </c>
      <c r="B2613" s="9" t="s">
        <v>2529</v>
      </c>
      <c r="C2613" s="9" t="s">
        <v>37</v>
      </c>
      <c r="D2613" s="9" t="n">
        <v>23</v>
      </c>
      <c r="E2613" s="9" t="s">
        <v>82</v>
      </c>
      <c r="F2613" s="9" t="s">
        <v>57</v>
      </c>
      <c r="G2613" s="10" t="n">
        <v>46155</v>
      </c>
      <c r="H2613" s="10" t="n">
        <v>46164</v>
      </c>
      <c r="I2613" s="9" t="s">
        <v>50</v>
      </c>
      <c r="J2613" s="9" t="s">
        <v>51</v>
      </c>
      <c r="K2613" s="9" t="n">
        <v>9</v>
      </c>
      <c r="L2613" s="9" t="n">
        <v>2</v>
      </c>
      <c r="M2613" s="9" t="n">
        <v>0</v>
      </c>
      <c r="N2613" s="9" t="s">
        <v>42</v>
      </c>
      <c r="O2613" s="9" t="s">
        <v>52</v>
      </c>
      <c r="P2613" s="9" t="n">
        <v>9.2</v>
      </c>
      <c r="Q2613" s="9" t="n">
        <v>34</v>
      </c>
      <c r="R2613" s="9" t="s">
        <v>87</v>
      </c>
      <c r="S2613" s="9"/>
      <c r="T2613" s="9"/>
      <c r="U2613" s="9" t="str">
        <f aca="false">IF(COUNTIF($A$2:$A$5001,A2613)&gt;1,"Duplicate","Unique")</f>
        <v>Unique</v>
      </c>
      <c r="V2613" s="9" t="str">
        <f aca="false">IF(COUNTIFS($B$2:$B$5001,B2613,$H$2:$H$5001,H2613,$J$2:$J$5001,J2613)&gt;1,"Possible Duplicate Booking","Unique")</f>
        <v>Unique</v>
      </c>
      <c r="W2613" s="9" t="str">
        <f aca="false">IF((H2613-G2613)&lt;&gt;K2613,"Mismatch","OK")</f>
        <v>OK</v>
      </c>
      <c r="X2613" s="9" t="str">
        <f aca="false">IF(TEXT(H2613,"dddd")&lt;&gt;I2613,"Mismatch","OK")</f>
        <v>OK</v>
      </c>
      <c r="Y2613" s="9" t="str">
        <f aca="false">IF(AND(N2613="No",O2613&lt;&gt;""),"Unexpected: channel present but no reminder sent",IF(AND(N2613="Yes",O2613=""),"Missing channel for sent reminder","OK"))</f>
        <v>OK</v>
      </c>
    </row>
    <row r="2614" customFormat="false" ht="15" hidden="false" customHeight="false" outlineLevel="0" collapsed="false">
      <c r="A2614" s="7" t="s">
        <v>4066</v>
      </c>
      <c r="B2614" s="7" t="s">
        <v>2497</v>
      </c>
      <c r="C2614" s="7" t="s">
        <v>37</v>
      </c>
      <c r="D2614" s="7" t="n">
        <v>22</v>
      </c>
      <c r="E2614" s="7" t="s">
        <v>82</v>
      </c>
      <c r="F2614" s="7" t="s">
        <v>57</v>
      </c>
      <c r="G2614" s="8" t="n">
        <v>45730</v>
      </c>
      <c r="H2614" s="8" t="n">
        <v>45757</v>
      </c>
      <c r="I2614" s="7" t="s">
        <v>62</v>
      </c>
      <c r="J2614" s="7" t="s">
        <v>63</v>
      </c>
      <c r="K2614" s="7" t="n">
        <v>27</v>
      </c>
      <c r="L2614" s="7" t="n">
        <v>5</v>
      </c>
      <c r="M2614" s="7" t="n">
        <v>2</v>
      </c>
      <c r="N2614" s="7" t="s">
        <v>42</v>
      </c>
      <c r="O2614" s="7" t="s">
        <v>43</v>
      </c>
      <c r="P2614" s="7" t="n">
        <v>12.6</v>
      </c>
      <c r="Q2614" s="7" t="n">
        <v>18</v>
      </c>
      <c r="R2614" s="7" t="s">
        <v>53</v>
      </c>
      <c r="S2614" s="7"/>
      <c r="T2614" s="7"/>
      <c r="U2614" s="7" t="str">
        <f aca="false">IF(COUNTIF($A$2:$A$5001,A2614)&gt;1,"Duplicate","Unique")</f>
        <v>Unique</v>
      </c>
      <c r="V2614" s="7" t="str">
        <f aca="false">IF(COUNTIFS($B$2:$B$5001,B2614,$H$2:$H$5001,H2614,$J$2:$J$5001,J2614)&gt;1,"Possible Duplicate Booking","Unique")</f>
        <v>Unique</v>
      </c>
      <c r="W2614" s="7" t="str">
        <f aca="false">IF((H2614-G2614)&lt;&gt;K2614,"Mismatch","OK")</f>
        <v>OK</v>
      </c>
      <c r="X2614" s="7" t="str">
        <f aca="false">IF(TEXT(H2614,"dddd")&lt;&gt;I2614,"Mismatch","OK")</f>
        <v>OK</v>
      </c>
      <c r="Y2614" s="7" t="str">
        <f aca="false">IF(AND(N2614="No",O2614&lt;&gt;""),"Unexpected: channel present but no reminder sent",IF(AND(N2614="Yes",O2614=""),"Missing channel for sent reminder","OK"))</f>
        <v>OK</v>
      </c>
    </row>
    <row r="2615" customFormat="false" ht="15" hidden="false" customHeight="false" outlineLevel="0" collapsed="false">
      <c r="A2615" s="9" t="s">
        <v>4067</v>
      </c>
      <c r="B2615" s="9" t="s">
        <v>4068</v>
      </c>
      <c r="C2615" s="9" t="s">
        <v>37</v>
      </c>
      <c r="D2615" s="9" t="n">
        <v>61</v>
      </c>
      <c r="E2615" s="9" t="s">
        <v>61</v>
      </c>
      <c r="F2615" s="9" t="s">
        <v>49</v>
      </c>
      <c r="G2615" s="10" t="n">
        <v>45944</v>
      </c>
      <c r="H2615" s="10" t="n">
        <v>45984</v>
      </c>
      <c r="I2615" s="9" t="s">
        <v>75</v>
      </c>
      <c r="J2615" s="9" t="s">
        <v>63</v>
      </c>
      <c r="K2615" s="9" t="n">
        <v>40</v>
      </c>
      <c r="L2615" s="9" t="n">
        <v>3</v>
      </c>
      <c r="M2615" s="9" t="n">
        <v>0</v>
      </c>
      <c r="N2615" s="9" t="s">
        <v>42</v>
      </c>
      <c r="O2615" s="9" t="s">
        <v>52</v>
      </c>
      <c r="P2615" s="9" t="n">
        <v>0.5</v>
      </c>
      <c r="Q2615" s="9" t="n">
        <v>42</v>
      </c>
      <c r="R2615" s="9" t="s">
        <v>53</v>
      </c>
      <c r="S2615" s="9"/>
      <c r="T2615" s="9"/>
      <c r="U2615" s="9" t="str">
        <f aca="false">IF(COUNTIF($A$2:$A$5001,A2615)&gt;1,"Duplicate","Unique")</f>
        <v>Unique</v>
      </c>
      <c r="V2615" s="9" t="str">
        <f aca="false">IF(COUNTIFS($B$2:$B$5001,B2615,$H$2:$H$5001,H2615,$J$2:$J$5001,J2615)&gt;1,"Possible Duplicate Booking","Unique")</f>
        <v>Unique</v>
      </c>
      <c r="W2615" s="9" t="str">
        <f aca="false">IF((H2615-G2615)&lt;&gt;K2615,"Mismatch","OK")</f>
        <v>OK</v>
      </c>
      <c r="X2615" s="9" t="str">
        <f aca="false">IF(TEXT(H2615,"dddd")&lt;&gt;I2615,"Mismatch","OK")</f>
        <v>OK</v>
      </c>
      <c r="Y2615" s="9" t="str">
        <f aca="false">IF(AND(N2615="No",O2615&lt;&gt;""),"Unexpected: channel present but no reminder sent",IF(AND(N2615="Yes",O2615=""),"Missing channel for sent reminder","OK"))</f>
        <v>OK</v>
      </c>
    </row>
    <row r="2616" customFormat="false" ht="15" hidden="false" customHeight="false" outlineLevel="0" collapsed="false">
      <c r="A2616" s="7" t="s">
        <v>4069</v>
      </c>
      <c r="B2616" s="7" t="s">
        <v>3307</v>
      </c>
      <c r="C2616" s="7" t="s">
        <v>47</v>
      </c>
      <c r="D2616" s="7" t="n">
        <v>46</v>
      </c>
      <c r="E2616" s="7" t="s">
        <v>56</v>
      </c>
      <c r="F2616" s="7" t="s">
        <v>57</v>
      </c>
      <c r="G2616" s="8" t="n">
        <v>45667</v>
      </c>
      <c r="H2616" s="8" t="n">
        <v>45715</v>
      </c>
      <c r="I2616" s="7" t="s">
        <v>62</v>
      </c>
      <c r="J2616" s="7" t="s">
        <v>51</v>
      </c>
      <c r="K2616" s="7" t="n">
        <v>48</v>
      </c>
      <c r="L2616" s="7" t="n">
        <v>4</v>
      </c>
      <c r="M2616" s="7" t="n">
        <v>0</v>
      </c>
      <c r="N2616" s="7" t="s">
        <v>42</v>
      </c>
      <c r="O2616" s="7" t="s">
        <v>43</v>
      </c>
      <c r="P2616" s="7"/>
      <c r="Q2616" s="7" t="n">
        <v>15</v>
      </c>
      <c r="R2616" s="7" t="s">
        <v>53</v>
      </c>
      <c r="S2616" s="7"/>
      <c r="T2616" s="7"/>
      <c r="U2616" s="7" t="str">
        <f aca="false">IF(COUNTIF($A$2:$A$5001,A2616)&gt;1,"Duplicate","Unique")</f>
        <v>Unique</v>
      </c>
      <c r="V2616" s="7" t="str">
        <f aca="false">IF(COUNTIFS($B$2:$B$5001,B2616,$H$2:$H$5001,H2616,$J$2:$J$5001,J2616)&gt;1,"Possible Duplicate Booking","Unique")</f>
        <v>Unique</v>
      </c>
      <c r="W2616" s="7" t="str">
        <f aca="false">IF((H2616-G2616)&lt;&gt;K2616,"Mismatch","OK")</f>
        <v>OK</v>
      </c>
      <c r="X2616" s="7" t="str">
        <f aca="false">IF(TEXT(H2616,"dddd")&lt;&gt;I2616,"Mismatch","OK")</f>
        <v>OK</v>
      </c>
      <c r="Y2616" s="7" t="str">
        <f aca="false">IF(AND(N2616="No",O2616&lt;&gt;""),"Unexpected: channel present but no reminder sent",IF(AND(N2616="Yes",O2616=""),"Missing channel for sent reminder","OK"))</f>
        <v>OK</v>
      </c>
    </row>
    <row r="2617" customFormat="false" ht="15" hidden="false" customHeight="false" outlineLevel="0" collapsed="false">
      <c r="A2617" s="9" t="s">
        <v>4070</v>
      </c>
      <c r="B2617" s="9" t="s">
        <v>3132</v>
      </c>
      <c r="C2617" s="9" t="s">
        <v>37</v>
      </c>
      <c r="D2617" s="9" t="n">
        <v>71</v>
      </c>
      <c r="E2617" s="9" t="s">
        <v>70</v>
      </c>
      <c r="F2617" s="9" t="s">
        <v>39</v>
      </c>
      <c r="G2617" s="10" t="n">
        <v>45985</v>
      </c>
      <c r="H2617" s="10" t="n">
        <v>46023</v>
      </c>
      <c r="I2617" s="9" t="s">
        <v>62</v>
      </c>
      <c r="J2617" s="9" t="s">
        <v>41</v>
      </c>
      <c r="K2617" s="9" t="n">
        <v>38</v>
      </c>
      <c r="L2617" s="9" t="n">
        <v>1</v>
      </c>
      <c r="M2617" s="9" t="n">
        <v>1</v>
      </c>
      <c r="N2617" s="9" t="s">
        <v>42</v>
      </c>
      <c r="O2617" s="9" t="s">
        <v>52</v>
      </c>
      <c r="P2617" s="9" t="n">
        <v>7.6</v>
      </c>
      <c r="Q2617" s="9" t="n">
        <v>18</v>
      </c>
      <c r="R2617" s="9" t="s">
        <v>44</v>
      </c>
      <c r="S2617" s="9"/>
      <c r="T2617" s="9"/>
      <c r="U2617" s="9" t="str">
        <f aca="false">IF(COUNTIF($A$2:$A$5001,A2617)&gt;1,"Duplicate","Unique")</f>
        <v>Unique</v>
      </c>
      <c r="V2617" s="9" t="str">
        <f aca="false">IF(COUNTIFS($B$2:$B$5001,B2617,$H$2:$H$5001,H2617,$J$2:$J$5001,J2617)&gt;1,"Possible Duplicate Booking","Unique")</f>
        <v>Unique</v>
      </c>
      <c r="W2617" s="9" t="str">
        <f aca="false">IF((H2617-G2617)&lt;&gt;K2617,"Mismatch","OK")</f>
        <v>OK</v>
      </c>
      <c r="X2617" s="9" t="str">
        <f aca="false">IF(TEXT(H2617,"dddd")&lt;&gt;I2617,"Mismatch","OK")</f>
        <v>OK</v>
      </c>
      <c r="Y2617" s="9" t="str">
        <f aca="false">IF(AND(N2617="No",O2617&lt;&gt;""),"Unexpected: channel present but no reminder sent",IF(AND(N2617="Yes",O2617=""),"Missing channel for sent reminder","OK"))</f>
        <v>OK</v>
      </c>
    </row>
    <row r="2618" customFormat="false" ht="15" hidden="false" customHeight="false" outlineLevel="0" collapsed="false">
      <c r="A2618" s="7" t="s">
        <v>4071</v>
      </c>
      <c r="B2618" s="7" t="s">
        <v>1756</v>
      </c>
      <c r="C2618" s="7" t="s">
        <v>37</v>
      </c>
      <c r="D2618" s="7" t="n">
        <v>22</v>
      </c>
      <c r="E2618" s="7" t="s">
        <v>82</v>
      </c>
      <c r="F2618" s="7" t="s">
        <v>74</v>
      </c>
      <c r="G2618" s="8" t="n">
        <v>46162</v>
      </c>
      <c r="H2618" s="8" t="n">
        <v>46199</v>
      </c>
      <c r="I2618" s="7" t="s">
        <v>50</v>
      </c>
      <c r="J2618" s="7" t="s">
        <v>51</v>
      </c>
      <c r="K2618" s="7" t="n">
        <v>37</v>
      </c>
      <c r="L2618" s="7" t="n">
        <v>2</v>
      </c>
      <c r="M2618" s="7" t="n">
        <v>0</v>
      </c>
      <c r="N2618" s="7" t="s">
        <v>42</v>
      </c>
      <c r="O2618" s="7" t="s">
        <v>43</v>
      </c>
      <c r="P2618" s="7" t="n">
        <v>7</v>
      </c>
      <c r="Q2618" s="7" t="n">
        <v>18</v>
      </c>
      <c r="R2618" s="7" t="s">
        <v>53</v>
      </c>
      <c r="S2618" s="7"/>
      <c r="T2618" s="7"/>
      <c r="U2618" s="7" t="str">
        <f aca="false">IF(COUNTIF($A$2:$A$5001,A2618)&gt;1,"Duplicate","Unique")</f>
        <v>Unique</v>
      </c>
      <c r="V2618" s="7" t="str">
        <f aca="false">IF(COUNTIFS($B$2:$B$5001,B2618,$H$2:$H$5001,H2618,$J$2:$J$5001,J2618)&gt;1,"Possible Duplicate Booking","Unique")</f>
        <v>Unique</v>
      </c>
      <c r="W2618" s="7" t="str">
        <f aca="false">IF((H2618-G2618)&lt;&gt;K2618,"Mismatch","OK")</f>
        <v>OK</v>
      </c>
      <c r="X2618" s="7" t="str">
        <f aca="false">IF(TEXT(H2618,"dddd")&lt;&gt;I2618,"Mismatch","OK")</f>
        <v>OK</v>
      </c>
      <c r="Y2618" s="7" t="str">
        <f aca="false">IF(AND(N2618="No",O2618&lt;&gt;""),"Unexpected: channel present but no reminder sent",IF(AND(N2618="Yes",O2618=""),"Missing channel for sent reminder","OK"))</f>
        <v>OK</v>
      </c>
    </row>
    <row r="2619" customFormat="false" ht="15" hidden="false" customHeight="false" outlineLevel="0" collapsed="false">
      <c r="A2619" s="9" t="s">
        <v>4072</v>
      </c>
      <c r="B2619" s="9" t="s">
        <v>2869</v>
      </c>
      <c r="C2619" s="9" t="s">
        <v>37</v>
      </c>
      <c r="D2619" s="9" t="n">
        <v>40</v>
      </c>
      <c r="E2619" s="9" t="s">
        <v>38</v>
      </c>
      <c r="F2619" s="9" t="s">
        <v>39</v>
      </c>
      <c r="G2619" s="10" t="n">
        <v>45629</v>
      </c>
      <c r="H2619" s="10" t="n">
        <v>45686</v>
      </c>
      <c r="I2619" s="9" t="s">
        <v>58</v>
      </c>
      <c r="J2619" s="9" t="s">
        <v>63</v>
      </c>
      <c r="K2619" s="9" t="n">
        <v>57</v>
      </c>
      <c r="L2619" s="9" t="n">
        <v>2</v>
      </c>
      <c r="M2619" s="9" t="n">
        <v>2</v>
      </c>
      <c r="N2619" s="9" t="s">
        <v>42</v>
      </c>
      <c r="O2619" s="9" t="s">
        <v>43</v>
      </c>
      <c r="P2619" s="9" t="n">
        <v>26.7</v>
      </c>
      <c r="Q2619" s="9" t="n">
        <v>26</v>
      </c>
      <c r="R2619" s="9" t="s">
        <v>44</v>
      </c>
      <c r="S2619" s="9"/>
      <c r="T2619" s="9"/>
      <c r="U2619" s="9" t="str">
        <f aca="false">IF(COUNTIF($A$2:$A$5001,A2619)&gt;1,"Duplicate","Unique")</f>
        <v>Unique</v>
      </c>
      <c r="V2619" s="9" t="str">
        <f aca="false">IF(COUNTIFS($B$2:$B$5001,B2619,$H$2:$H$5001,H2619,$J$2:$J$5001,J2619)&gt;1,"Possible Duplicate Booking","Unique")</f>
        <v>Unique</v>
      </c>
      <c r="W2619" s="9" t="str">
        <f aca="false">IF((H2619-G2619)&lt;&gt;K2619,"Mismatch","OK")</f>
        <v>OK</v>
      </c>
      <c r="X2619" s="9" t="str">
        <f aca="false">IF(TEXT(H2619,"dddd")&lt;&gt;I2619,"Mismatch","OK")</f>
        <v>OK</v>
      </c>
      <c r="Y2619" s="9" t="str">
        <f aca="false">IF(AND(N2619="No",O2619&lt;&gt;""),"Unexpected: channel present but no reminder sent",IF(AND(N2619="Yes",O2619=""),"Missing channel for sent reminder","OK"))</f>
        <v>OK</v>
      </c>
    </row>
    <row r="2620" customFormat="false" ht="15" hidden="false" customHeight="false" outlineLevel="0" collapsed="false">
      <c r="A2620" s="7" t="s">
        <v>4073</v>
      </c>
      <c r="B2620" s="7" t="s">
        <v>1916</v>
      </c>
      <c r="C2620" s="7" t="s">
        <v>37</v>
      </c>
      <c r="D2620" s="7" t="n">
        <v>20</v>
      </c>
      <c r="E2620" s="7" t="s">
        <v>82</v>
      </c>
      <c r="F2620" s="7" t="s">
        <v>39</v>
      </c>
      <c r="G2620" s="8" t="n">
        <v>46001</v>
      </c>
      <c r="H2620" s="8" t="n">
        <v>46016</v>
      </c>
      <c r="I2620" s="7" t="s">
        <v>62</v>
      </c>
      <c r="J2620" s="7" t="s">
        <v>51</v>
      </c>
      <c r="K2620" s="7" t="n">
        <v>15</v>
      </c>
      <c r="L2620" s="7" t="n">
        <v>3</v>
      </c>
      <c r="M2620" s="7" t="n">
        <v>1</v>
      </c>
      <c r="N2620" s="7" t="s">
        <v>42</v>
      </c>
      <c r="O2620" s="7" t="s">
        <v>52</v>
      </c>
      <c r="P2620" s="7" t="n">
        <v>7.9</v>
      </c>
      <c r="Q2620" s="7" t="n">
        <v>28</v>
      </c>
      <c r="R2620" s="7" t="s">
        <v>44</v>
      </c>
      <c r="S2620" s="7"/>
      <c r="T2620" s="7"/>
      <c r="U2620" s="7" t="str">
        <f aca="false">IF(COUNTIF($A$2:$A$5001,A2620)&gt;1,"Duplicate","Unique")</f>
        <v>Unique</v>
      </c>
      <c r="V2620" s="7" t="str">
        <f aca="false">IF(COUNTIFS($B$2:$B$5001,B2620,$H$2:$H$5001,H2620,$J$2:$J$5001,J2620)&gt;1,"Possible Duplicate Booking","Unique")</f>
        <v>Unique</v>
      </c>
      <c r="W2620" s="7" t="str">
        <f aca="false">IF((H2620-G2620)&lt;&gt;K2620,"Mismatch","OK")</f>
        <v>OK</v>
      </c>
      <c r="X2620" s="7" t="str">
        <f aca="false">IF(TEXT(H2620,"dddd")&lt;&gt;I2620,"Mismatch","OK")</f>
        <v>OK</v>
      </c>
      <c r="Y2620" s="7" t="str">
        <f aca="false">IF(AND(N2620="No",O2620&lt;&gt;""),"Unexpected: channel present but no reminder sent",IF(AND(N2620="Yes",O2620=""),"Missing channel for sent reminder","OK"))</f>
        <v>OK</v>
      </c>
    </row>
    <row r="2621" customFormat="false" ht="15" hidden="false" customHeight="false" outlineLevel="0" collapsed="false">
      <c r="A2621" s="9" t="s">
        <v>4074</v>
      </c>
      <c r="B2621" s="9" t="s">
        <v>2727</v>
      </c>
      <c r="C2621" s="9" t="s">
        <v>37</v>
      </c>
      <c r="D2621" s="9" t="n">
        <v>62</v>
      </c>
      <c r="E2621" s="9" t="s">
        <v>61</v>
      </c>
      <c r="F2621" s="9" t="s">
        <v>57</v>
      </c>
      <c r="G2621" s="10" t="n">
        <v>46126</v>
      </c>
      <c r="H2621" s="10" t="n">
        <v>46174</v>
      </c>
      <c r="I2621" s="9" t="s">
        <v>66</v>
      </c>
      <c r="J2621" s="9" t="s">
        <v>51</v>
      </c>
      <c r="K2621" s="9" t="n">
        <v>48</v>
      </c>
      <c r="L2621" s="9" t="n">
        <v>2</v>
      </c>
      <c r="M2621" s="9" t="n">
        <v>0</v>
      </c>
      <c r="N2621" s="9" t="s">
        <v>42</v>
      </c>
      <c r="O2621" s="9" t="s">
        <v>67</v>
      </c>
      <c r="P2621" s="9" t="n">
        <v>8.7</v>
      </c>
      <c r="Q2621" s="9" t="n">
        <v>17</v>
      </c>
      <c r="R2621" s="9" t="s">
        <v>53</v>
      </c>
      <c r="S2621" s="9"/>
      <c r="T2621" s="9"/>
      <c r="U2621" s="9" t="str">
        <f aca="false">IF(COUNTIF($A$2:$A$5001,A2621)&gt;1,"Duplicate","Unique")</f>
        <v>Unique</v>
      </c>
      <c r="V2621" s="9" t="str">
        <f aca="false">IF(COUNTIFS($B$2:$B$5001,B2621,$H$2:$H$5001,H2621,$J$2:$J$5001,J2621)&gt;1,"Possible Duplicate Booking","Unique")</f>
        <v>Unique</v>
      </c>
      <c r="W2621" s="9" t="str">
        <f aca="false">IF((H2621-G2621)&lt;&gt;K2621,"Mismatch","OK")</f>
        <v>OK</v>
      </c>
      <c r="X2621" s="9" t="str">
        <f aca="false">IF(TEXT(H2621,"dddd")&lt;&gt;I2621,"Mismatch","OK")</f>
        <v>OK</v>
      </c>
      <c r="Y2621" s="9" t="str">
        <f aca="false">IF(AND(N2621="No",O2621&lt;&gt;""),"Unexpected: channel present but no reminder sent",IF(AND(N2621="Yes",O2621=""),"Missing channel for sent reminder","OK"))</f>
        <v>OK</v>
      </c>
    </row>
    <row r="2622" customFormat="false" ht="15" hidden="false" customHeight="false" outlineLevel="0" collapsed="false">
      <c r="A2622" s="7" t="s">
        <v>4075</v>
      </c>
      <c r="B2622" s="7" t="s">
        <v>4076</v>
      </c>
      <c r="C2622" s="7" t="s">
        <v>47</v>
      </c>
      <c r="D2622" s="7" t="n">
        <v>72</v>
      </c>
      <c r="E2622" s="7" t="s">
        <v>70</v>
      </c>
      <c r="F2622" s="7" t="s">
        <v>57</v>
      </c>
      <c r="G2622" s="8" t="n">
        <v>46063</v>
      </c>
      <c r="H2622" s="8" t="n">
        <v>46120</v>
      </c>
      <c r="I2622" s="7" t="s">
        <v>58</v>
      </c>
      <c r="J2622" s="7" t="s">
        <v>51</v>
      </c>
      <c r="K2622" s="7" t="n">
        <v>57</v>
      </c>
      <c r="L2622" s="7" t="n">
        <v>1</v>
      </c>
      <c r="M2622" s="7" t="n">
        <v>0</v>
      </c>
      <c r="N2622" s="7" t="s">
        <v>42</v>
      </c>
      <c r="O2622" s="7" t="s">
        <v>52</v>
      </c>
      <c r="P2622" s="7" t="n">
        <v>24.7</v>
      </c>
      <c r="Q2622" s="7" t="n">
        <v>23</v>
      </c>
      <c r="R2622" s="7" t="s">
        <v>44</v>
      </c>
      <c r="S2622" s="7"/>
      <c r="T2622" s="7"/>
      <c r="U2622" s="7" t="str">
        <f aca="false">IF(COUNTIF($A$2:$A$5001,A2622)&gt;1,"Duplicate","Unique")</f>
        <v>Unique</v>
      </c>
      <c r="V2622" s="7" t="str">
        <f aca="false">IF(COUNTIFS($B$2:$B$5001,B2622,$H$2:$H$5001,H2622,$J$2:$J$5001,J2622)&gt;1,"Possible Duplicate Booking","Unique")</f>
        <v>Unique</v>
      </c>
      <c r="W2622" s="7" t="str">
        <f aca="false">IF((H2622-G2622)&lt;&gt;K2622,"Mismatch","OK")</f>
        <v>OK</v>
      </c>
      <c r="X2622" s="7" t="str">
        <f aca="false">IF(TEXT(H2622,"dddd")&lt;&gt;I2622,"Mismatch","OK")</f>
        <v>OK</v>
      </c>
      <c r="Y2622" s="7" t="str">
        <f aca="false">IF(AND(N2622="No",O2622&lt;&gt;""),"Unexpected: channel present but no reminder sent",IF(AND(N2622="Yes",O2622=""),"Missing channel for sent reminder","OK"))</f>
        <v>OK</v>
      </c>
    </row>
    <row r="2623" customFormat="false" ht="15" hidden="false" customHeight="false" outlineLevel="0" collapsed="false">
      <c r="A2623" s="9" t="s">
        <v>4077</v>
      </c>
      <c r="B2623" s="9" t="s">
        <v>712</v>
      </c>
      <c r="C2623" s="9" t="s">
        <v>37</v>
      </c>
      <c r="D2623" s="9" t="n">
        <v>27</v>
      </c>
      <c r="E2623" s="9" t="s">
        <v>48</v>
      </c>
      <c r="F2623" s="9" t="s">
        <v>57</v>
      </c>
      <c r="G2623" s="10" t="n">
        <v>45838</v>
      </c>
      <c r="H2623" s="10" t="n">
        <v>45872</v>
      </c>
      <c r="I2623" s="9" t="s">
        <v>75</v>
      </c>
      <c r="J2623" s="9" t="s">
        <v>41</v>
      </c>
      <c r="K2623" s="9" t="n">
        <v>34</v>
      </c>
      <c r="L2623" s="9" t="n">
        <v>0</v>
      </c>
      <c r="M2623" s="9" t="n">
        <v>0</v>
      </c>
      <c r="N2623" s="9" t="s">
        <v>71</v>
      </c>
      <c r="O2623" s="9"/>
      <c r="P2623" s="9" t="n">
        <v>20.4</v>
      </c>
      <c r="Q2623" s="9" t="n">
        <v>12</v>
      </c>
      <c r="R2623" s="9" t="s">
        <v>53</v>
      </c>
      <c r="S2623" s="9"/>
      <c r="T2623" s="9"/>
      <c r="U2623" s="9" t="str">
        <f aca="false">IF(COUNTIF($A$2:$A$5001,A2623)&gt;1,"Duplicate","Unique")</f>
        <v>Unique</v>
      </c>
      <c r="V2623" s="9" t="str">
        <f aca="false">IF(COUNTIFS($B$2:$B$5001,B2623,$H$2:$H$5001,H2623,$J$2:$J$5001,J2623)&gt;1,"Possible Duplicate Booking","Unique")</f>
        <v>Unique</v>
      </c>
      <c r="W2623" s="9" t="str">
        <f aca="false">IF((H2623-G2623)&lt;&gt;K2623,"Mismatch","OK")</f>
        <v>OK</v>
      </c>
      <c r="X2623" s="9" t="str">
        <f aca="false">IF(TEXT(H2623,"dddd")&lt;&gt;I2623,"Mismatch","OK")</f>
        <v>OK</v>
      </c>
      <c r="Y2623" s="9" t="str">
        <f aca="false">IF(AND(N2623="No",O2623&lt;&gt;""),"Unexpected: channel present but no reminder sent",IF(AND(N2623="Yes",O2623=""),"Missing channel for sent reminder","OK"))</f>
        <v>OK</v>
      </c>
    </row>
    <row r="2624" customFormat="false" ht="15" hidden="false" customHeight="false" outlineLevel="0" collapsed="false">
      <c r="A2624" s="7" t="s">
        <v>4078</v>
      </c>
      <c r="B2624" s="7" t="s">
        <v>618</v>
      </c>
      <c r="C2624" s="7" t="s">
        <v>47</v>
      </c>
      <c r="D2624" s="7" t="n">
        <v>38</v>
      </c>
      <c r="E2624" s="7" t="s">
        <v>38</v>
      </c>
      <c r="F2624" s="7" t="s">
        <v>57</v>
      </c>
      <c r="G2624" s="8" t="n">
        <v>45663</v>
      </c>
      <c r="H2624" s="8" t="n">
        <v>45714</v>
      </c>
      <c r="I2624" s="7" t="s">
        <v>58</v>
      </c>
      <c r="J2624" s="7" t="s">
        <v>51</v>
      </c>
      <c r="K2624" s="7" t="n">
        <v>51</v>
      </c>
      <c r="L2624" s="7" t="n">
        <v>1</v>
      </c>
      <c r="M2624" s="7" t="n">
        <v>0</v>
      </c>
      <c r="N2624" s="7" t="s">
        <v>42</v>
      </c>
      <c r="O2624" s="7" t="s">
        <v>52</v>
      </c>
      <c r="P2624" s="7" t="n">
        <v>18.6</v>
      </c>
      <c r="Q2624" s="7" t="n">
        <v>37</v>
      </c>
      <c r="R2624" s="7" t="s">
        <v>53</v>
      </c>
      <c r="S2624" s="7"/>
      <c r="T2624" s="7"/>
      <c r="U2624" s="7" t="str">
        <f aca="false">IF(COUNTIF($A$2:$A$5001,A2624)&gt;1,"Duplicate","Unique")</f>
        <v>Unique</v>
      </c>
      <c r="V2624" s="7" t="str">
        <f aca="false">IF(COUNTIFS($B$2:$B$5001,B2624,$H$2:$H$5001,H2624,$J$2:$J$5001,J2624)&gt;1,"Possible Duplicate Booking","Unique")</f>
        <v>Unique</v>
      </c>
      <c r="W2624" s="7" t="str">
        <f aca="false">IF((H2624-G2624)&lt;&gt;K2624,"Mismatch","OK")</f>
        <v>OK</v>
      </c>
      <c r="X2624" s="7" t="str">
        <f aca="false">IF(TEXT(H2624,"dddd")&lt;&gt;I2624,"Mismatch","OK")</f>
        <v>OK</v>
      </c>
      <c r="Y2624" s="7" t="str">
        <f aca="false">IF(AND(N2624="No",O2624&lt;&gt;""),"Unexpected: channel present but no reminder sent",IF(AND(N2624="Yes",O2624=""),"Missing channel for sent reminder","OK"))</f>
        <v>OK</v>
      </c>
    </row>
    <row r="2625" customFormat="false" ht="15" hidden="false" customHeight="false" outlineLevel="0" collapsed="false">
      <c r="A2625" s="9" t="s">
        <v>4079</v>
      </c>
      <c r="B2625" s="9" t="s">
        <v>1584</v>
      </c>
      <c r="C2625" s="9" t="s">
        <v>47</v>
      </c>
      <c r="D2625" s="9" t="n">
        <v>71</v>
      </c>
      <c r="E2625" s="9" t="s">
        <v>70</v>
      </c>
      <c r="F2625" s="9" t="s">
        <v>57</v>
      </c>
      <c r="G2625" s="10" t="n">
        <v>46154</v>
      </c>
      <c r="H2625" s="10" t="n">
        <v>46162</v>
      </c>
      <c r="I2625" s="9" t="s">
        <v>58</v>
      </c>
      <c r="J2625" s="9" t="s">
        <v>41</v>
      </c>
      <c r="K2625" s="9" t="n">
        <v>8</v>
      </c>
      <c r="L2625" s="9" t="n">
        <v>3</v>
      </c>
      <c r="M2625" s="9" t="n">
        <v>0</v>
      </c>
      <c r="N2625" s="9" t="s">
        <v>42</v>
      </c>
      <c r="O2625" s="9" t="s">
        <v>43</v>
      </c>
      <c r="P2625" s="9" t="n">
        <v>10.3</v>
      </c>
      <c r="Q2625" s="9" t="n">
        <v>32</v>
      </c>
      <c r="R2625" s="9" t="s">
        <v>53</v>
      </c>
      <c r="S2625" s="9"/>
      <c r="T2625" s="9"/>
      <c r="U2625" s="9" t="str">
        <f aca="false">IF(COUNTIF($A$2:$A$5001,A2625)&gt;1,"Duplicate","Unique")</f>
        <v>Unique</v>
      </c>
      <c r="V2625" s="9" t="str">
        <f aca="false">IF(COUNTIFS($B$2:$B$5001,B2625,$H$2:$H$5001,H2625,$J$2:$J$5001,J2625)&gt;1,"Possible Duplicate Booking","Unique")</f>
        <v>Unique</v>
      </c>
      <c r="W2625" s="9" t="str">
        <f aca="false">IF((H2625-G2625)&lt;&gt;K2625,"Mismatch","OK")</f>
        <v>OK</v>
      </c>
      <c r="X2625" s="9" t="str">
        <f aca="false">IF(TEXT(H2625,"dddd")&lt;&gt;I2625,"Mismatch","OK")</f>
        <v>OK</v>
      </c>
      <c r="Y2625" s="9" t="str">
        <f aca="false">IF(AND(N2625="No",O2625&lt;&gt;""),"Unexpected: channel present but no reminder sent",IF(AND(N2625="Yes",O2625=""),"Missing channel for sent reminder","OK"))</f>
        <v>OK</v>
      </c>
    </row>
    <row r="2626" customFormat="false" ht="15" hidden="false" customHeight="false" outlineLevel="0" collapsed="false">
      <c r="A2626" s="7" t="s">
        <v>4080</v>
      </c>
      <c r="B2626" s="7" t="s">
        <v>3092</v>
      </c>
      <c r="C2626" s="7" t="s">
        <v>47</v>
      </c>
      <c r="D2626" s="7" t="n">
        <v>20</v>
      </c>
      <c r="E2626" s="7" t="s">
        <v>82</v>
      </c>
      <c r="F2626" s="7" t="s">
        <v>57</v>
      </c>
      <c r="G2626" s="8" t="n">
        <v>46108</v>
      </c>
      <c r="H2626" s="8" t="n">
        <v>46161</v>
      </c>
      <c r="I2626" s="7" t="s">
        <v>40</v>
      </c>
      <c r="J2626" s="7" t="s">
        <v>41</v>
      </c>
      <c r="K2626" s="7" t="n">
        <v>53</v>
      </c>
      <c r="L2626" s="7" t="n">
        <v>5</v>
      </c>
      <c r="M2626" s="7" t="n">
        <v>0</v>
      </c>
      <c r="N2626" s="7" t="s">
        <v>71</v>
      </c>
      <c r="O2626" s="7"/>
      <c r="P2626" s="7" t="n">
        <v>6.3</v>
      </c>
      <c r="Q2626" s="7" t="n">
        <v>20</v>
      </c>
      <c r="R2626" s="7" t="s">
        <v>53</v>
      </c>
      <c r="S2626" s="7"/>
      <c r="T2626" s="7"/>
      <c r="U2626" s="7" t="str">
        <f aca="false">IF(COUNTIF($A$2:$A$5001,A2626)&gt;1,"Duplicate","Unique")</f>
        <v>Unique</v>
      </c>
      <c r="V2626" s="7" t="str">
        <f aca="false">IF(COUNTIFS($B$2:$B$5001,B2626,$H$2:$H$5001,H2626,$J$2:$J$5001,J2626)&gt;1,"Possible Duplicate Booking","Unique")</f>
        <v>Unique</v>
      </c>
      <c r="W2626" s="7" t="str">
        <f aca="false">IF((H2626-G2626)&lt;&gt;K2626,"Mismatch","OK")</f>
        <v>OK</v>
      </c>
      <c r="X2626" s="7" t="str">
        <f aca="false">IF(TEXT(H2626,"dddd")&lt;&gt;I2626,"Mismatch","OK")</f>
        <v>OK</v>
      </c>
      <c r="Y2626" s="7" t="str">
        <f aca="false">IF(AND(N2626="No",O2626&lt;&gt;""),"Unexpected: channel present but no reminder sent",IF(AND(N2626="Yes",O2626=""),"Missing channel for sent reminder","OK"))</f>
        <v>OK</v>
      </c>
    </row>
    <row r="2627" customFormat="false" ht="15" hidden="false" customHeight="false" outlineLevel="0" collapsed="false">
      <c r="A2627" s="9" t="s">
        <v>4081</v>
      </c>
      <c r="B2627" s="9" t="s">
        <v>645</v>
      </c>
      <c r="C2627" s="9" t="s">
        <v>47</v>
      </c>
      <c r="D2627" s="9" t="n">
        <v>77</v>
      </c>
      <c r="E2627" s="9" t="s">
        <v>70</v>
      </c>
      <c r="F2627" s="9" t="s">
        <v>57</v>
      </c>
      <c r="G2627" s="10" t="n">
        <v>45940</v>
      </c>
      <c r="H2627" s="10" t="n">
        <v>45974</v>
      </c>
      <c r="I2627" s="9" t="s">
        <v>62</v>
      </c>
      <c r="J2627" s="9" t="s">
        <v>41</v>
      </c>
      <c r="K2627" s="9" t="n">
        <v>34</v>
      </c>
      <c r="L2627" s="9" t="n">
        <v>4</v>
      </c>
      <c r="M2627" s="9" t="n">
        <v>0</v>
      </c>
      <c r="N2627" s="9" t="s">
        <v>42</v>
      </c>
      <c r="O2627" s="9" t="s">
        <v>67</v>
      </c>
      <c r="P2627" s="9" t="n">
        <v>4.1</v>
      </c>
      <c r="Q2627" s="9" t="n">
        <v>22</v>
      </c>
      <c r="R2627" s="9" t="s">
        <v>87</v>
      </c>
      <c r="S2627" s="9"/>
      <c r="T2627" s="9"/>
      <c r="U2627" s="9" t="str">
        <f aca="false">IF(COUNTIF($A$2:$A$5001,A2627)&gt;1,"Duplicate","Unique")</f>
        <v>Unique</v>
      </c>
      <c r="V2627" s="9" t="str">
        <f aca="false">IF(COUNTIFS($B$2:$B$5001,B2627,$H$2:$H$5001,H2627,$J$2:$J$5001,J2627)&gt;1,"Possible Duplicate Booking","Unique")</f>
        <v>Unique</v>
      </c>
      <c r="W2627" s="9" t="str">
        <f aca="false">IF((H2627-G2627)&lt;&gt;K2627,"Mismatch","OK")</f>
        <v>OK</v>
      </c>
      <c r="X2627" s="9" t="str">
        <f aca="false">IF(TEXT(H2627,"dddd")&lt;&gt;I2627,"Mismatch","OK")</f>
        <v>OK</v>
      </c>
      <c r="Y2627" s="9" t="str">
        <f aca="false">IF(AND(N2627="No",O2627&lt;&gt;""),"Unexpected: channel present but no reminder sent",IF(AND(N2627="Yes",O2627=""),"Missing channel for sent reminder","OK"))</f>
        <v>OK</v>
      </c>
    </row>
    <row r="2628" customFormat="false" ht="15" hidden="false" customHeight="false" outlineLevel="0" collapsed="false">
      <c r="A2628" s="7" t="s">
        <v>4082</v>
      </c>
      <c r="B2628" s="7" t="s">
        <v>1573</v>
      </c>
      <c r="C2628" s="7" t="s">
        <v>37</v>
      </c>
      <c r="D2628" s="7" t="n">
        <v>73</v>
      </c>
      <c r="E2628" s="7" t="s">
        <v>70</v>
      </c>
      <c r="F2628" s="7" t="s">
        <v>57</v>
      </c>
      <c r="G2628" s="8" t="n">
        <v>46179</v>
      </c>
      <c r="H2628" s="8" t="n">
        <v>46192</v>
      </c>
      <c r="I2628" s="7" t="s">
        <v>50</v>
      </c>
      <c r="J2628" s="7" t="s">
        <v>41</v>
      </c>
      <c r="K2628" s="7" t="n">
        <v>13</v>
      </c>
      <c r="L2628" s="7" t="n">
        <v>1</v>
      </c>
      <c r="M2628" s="7" t="n">
        <v>0</v>
      </c>
      <c r="N2628" s="7" t="s">
        <v>42</v>
      </c>
      <c r="O2628" s="7" t="s">
        <v>43</v>
      </c>
      <c r="P2628" s="7" t="n">
        <v>16.1</v>
      </c>
      <c r="Q2628" s="7" t="n">
        <v>17</v>
      </c>
      <c r="R2628" s="7" t="s">
        <v>53</v>
      </c>
      <c r="S2628" s="7"/>
      <c r="T2628" s="7"/>
      <c r="U2628" s="7" t="str">
        <f aca="false">IF(COUNTIF($A$2:$A$5001,A2628)&gt;1,"Duplicate","Unique")</f>
        <v>Unique</v>
      </c>
      <c r="V2628" s="7" t="str">
        <f aca="false">IF(COUNTIFS($B$2:$B$5001,B2628,$H$2:$H$5001,H2628,$J$2:$J$5001,J2628)&gt;1,"Possible Duplicate Booking","Unique")</f>
        <v>Unique</v>
      </c>
      <c r="W2628" s="7" t="str">
        <f aca="false">IF((H2628-G2628)&lt;&gt;K2628,"Mismatch","OK")</f>
        <v>OK</v>
      </c>
      <c r="X2628" s="7" t="str">
        <f aca="false">IF(TEXT(H2628,"dddd")&lt;&gt;I2628,"Mismatch","OK")</f>
        <v>OK</v>
      </c>
      <c r="Y2628" s="7" t="str">
        <f aca="false">IF(AND(N2628="No",O2628&lt;&gt;""),"Unexpected: channel present but no reminder sent",IF(AND(N2628="Yes",O2628=""),"Missing channel for sent reminder","OK"))</f>
        <v>OK</v>
      </c>
    </row>
    <row r="2629" customFormat="false" ht="15" hidden="false" customHeight="false" outlineLevel="0" collapsed="false">
      <c r="A2629" s="9" t="s">
        <v>4083</v>
      </c>
      <c r="B2629" s="9" t="s">
        <v>4084</v>
      </c>
      <c r="C2629" s="9" t="s">
        <v>47</v>
      </c>
      <c r="D2629" s="9" t="n">
        <v>27</v>
      </c>
      <c r="E2629" s="9" t="s">
        <v>48</v>
      </c>
      <c r="F2629" s="9" t="s">
        <v>74</v>
      </c>
      <c r="G2629" s="10" t="n">
        <v>45657</v>
      </c>
      <c r="H2629" s="10" t="n">
        <v>45660</v>
      </c>
      <c r="I2629" s="9" t="s">
        <v>50</v>
      </c>
      <c r="J2629" s="9" t="s">
        <v>51</v>
      </c>
      <c r="K2629" s="9" t="n">
        <v>3</v>
      </c>
      <c r="L2629" s="9" t="n">
        <v>2</v>
      </c>
      <c r="M2629" s="9" t="n">
        <v>0</v>
      </c>
      <c r="N2629" s="9" t="s">
        <v>42</v>
      </c>
      <c r="O2629" s="9" t="s">
        <v>52</v>
      </c>
      <c r="P2629" s="9" t="n">
        <v>23.4</v>
      </c>
      <c r="Q2629" s="9" t="n">
        <v>14</v>
      </c>
      <c r="R2629" s="9" t="s">
        <v>53</v>
      </c>
      <c r="S2629" s="9"/>
      <c r="T2629" s="9"/>
      <c r="U2629" s="9" t="str">
        <f aca="false">IF(COUNTIF($A$2:$A$5001,A2629)&gt;1,"Duplicate","Unique")</f>
        <v>Unique</v>
      </c>
      <c r="V2629" s="9" t="str">
        <f aca="false">IF(COUNTIFS($B$2:$B$5001,B2629,$H$2:$H$5001,H2629,$J$2:$J$5001,J2629)&gt;1,"Possible Duplicate Booking","Unique")</f>
        <v>Unique</v>
      </c>
      <c r="W2629" s="9" t="str">
        <f aca="false">IF((H2629-G2629)&lt;&gt;K2629,"Mismatch","OK")</f>
        <v>OK</v>
      </c>
      <c r="X2629" s="9" t="str">
        <f aca="false">IF(TEXT(H2629,"dddd")&lt;&gt;I2629,"Mismatch","OK")</f>
        <v>OK</v>
      </c>
      <c r="Y2629" s="9" t="str">
        <f aca="false">IF(AND(N2629="No",O2629&lt;&gt;""),"Unexpected: channel present but no reminder sent",IF(AND(N2629="Yes",O2629=""),"Missing channel for sent reminder","OK"))</f>
        <v>OK</v>
      </c>
    </row>
    <row r="2630" customFormat="false" ht="15" hidden="false" customHeight="false" outlineLevel="0" collapsed="false">
      <c r="A2630" s="7" t="s">
        <v>4085</v>
      </c>
      <c r="B2630" s="7" t="s">
        <v>4086</v>
      </c>
      <c r="C2630" s="7" t="s">
        <v>37</v>
      </c>
      <c r="D2630" s="7" t="n">
        <v>26</v>
      </c>
      <c r="E2630" s="7" t="s">
        <v>48</v>
      </c>
      <c r="F2630" s="7" t="s">
        <v>57</v>
      </c>
      <c r="G2630" s="8" t="n">
        <v>45951</v>
      </c>
      <c r="H2630" s="8" t="n">
        <v>45994</v>
      </c>
      <c r="I2630" s="7" t="s">
        <v>58</v>
      </c>
      <c r="J2630" s="7" t="s">
        <v>51</v>
      </c>
      <c r="K2630" s="7" t="n">
        <v>43</v>
      </c>
      <c r="L2630" s="7" t="n">
        <v>4</v>
      </c>
      <c r="M2630" s="7" t="n">
        <v>1</v>
      </c>
      <c r="N2630" s="7" t="s">
        <v>42</v>
      </c>
      <c r="O2630" s="7" t="s">
        <v>52</v>
      </c>
      <c r="P2630" s="7" t="n">
        <v>12.6</v>
      </c>
      <c r="Q2630" s="7"/>
      <c r="R2630" s="7" t="s">
        <v>87</v>
      </c>
      <c r="S2630" s="7"/>
      <c r="T2630" s="7"/>
      <c r="U2630" s="7" t="str">
        <f aca="false">IF(COUNTIF($A$2:$A$5001,A2630)&gt;1,"Duplicate","Unique")</f>
        <v>Unique</v>
      </c>
      <c r="V2630" s="7" t="str">
        <f aca="false">IF(COUNTIFS($B$2:$B$5001,B2630,$H$2:$H$5001,H2630,$J$2:$J$5001,J2630)&gt;1,"Possible Duplicate Booking","Unique")</f>
        <v>Unique</v>
      </c>
      <c r="W2630" s="7" t="str">
        <f aca="false">IF((H2630-G2630)&lt;&gt;K2630,"Mismatch","OK")</f>
        <v>OK</v>
      </c>
      <c r="X2630" s="7" t="str">
        <f aca="false">IF(TEXT(H2630,"dddd")&lt;&gt;I2630,"Mismatch","OK")</f>
        <v>OK</v>
      </c>
      <c r="Y2630" s="7" t="str">
        <f aca="false">IF(AND(N2630="No",O2630&lt;&gt;""),"Unexpected: channel present but no reminder sent",IF(AND(N2630="Yes",O2630=""),"Missing channel for sent reminder","OK"))</f>
        <v>OK</v>
      </c>
    </row>
    <row r="2631" customFormat="false" ht="15" hidden="false" customHeight="false" outlineLevel="0" collapsed="false">
      <c r="A2631" s="9" t="s">
        <v>4087</v>
      </c>
      <c r="B2631" s="9" t="s">
        <v>1105</v>
      </c>
      <c r="C2631" s="9" t="s">
        <v>37</v>
      </c>
      <c r="D2631" s="9" t="n">
        <v>61</v>
      </c>
      <c r="E2631" s="9" t="s">
        <v>61</v>
      </c>
      <c r="F2631" s="9" t="s">
        <v>57</v>
      </c>
      <c r="G2631" s="10" t="n">
        <v>45653</v>
      </c>
      <c r="H2631" s="10" t="n">
        <v>45679</v>
      </c>
      <c r="I2631" s="9" t="s">
        <v>58</v>
      </c>
      <c r="J2631" s="9" t="s">
        <v>51</v>
      </c>
      <c r="K2631" s="9" t="n">
        <v>26</v>
      </c>
      <c r="L2631" s="9" t="n">
        <v>2</v>
      </c>
      <c r="M2631" s="9" t="n">
        <v>1</v>
      </c>
      <c r="N2631" s="9" t="s">
        <v>42</v>
      </c>
      <c r="O2631" s="9" t="s">
        <v>67</v>
      </c>
      <c r="P2631" s="9" t="n">
        <v>3.6</v>
      </c>
      <c r="Q2631" s="9" t="n">
        <v>14</v>
      </c>
      <c r="R2631" s="9" t="s">
        <v>53</v>
      </c>
      <c r="S2631" s="9"/>
      <c r="T2631" s="9"/>
      <c r="U2631" s="9" t="str">
        <f aca="false">IF(COUNTIF($A$2:$A$5001,A2631)&gt;1,"Duplicate","Unique")</f>
        <v>Unique</v>
      </c>
      <c r="V2631" s="9" t="str">
        <f aca="false">IF(COUNTIFS($B$2:$B$5001,B2631,$H$2:$H$5001,H2631,$J$2:$J$5001,J2631)&gt;1,"Possible Duplicate Booking","Unique")</f>
        <v>Unique</v>
      </c>
      <c r="W2631" s="9" t="str">
        <f aca="false">IF((H2631-G2631)&lt;&gt;K2631,"Mismatch","OK")</f>
        <v>OK</v>
      </c>
      <c r="X2631" s="9" t="str">
        <f aca="false">IF(TEXT(H2631,"dddd")&lt;&gt;I2631,"Mismatch","OK")</f>
        <v>OK</v>
      </c>
      <c r="Y2631" s="9" t="str">
        <f aca="false">IF(AND(N2631="No",O2631&lt;&gt;""),"Unexpected: channel present but no reminder sent",IF(AND(N2631="Yes",O2631=""),"Missing channel for sent reminder","OK"))</f>
        <v>OK</v>
      </c>
    </row>
    <row r="2632" customFormat="false" ht="15" hidden="false" customHeight="false" outlineLevel="0" collapsed="false">
      <c r="A2632" s="7" t="s">
        <v>4088</v>
      </c>
      <c r="B2632" s="7" t="s">
        <v>1897</v>
      </c>
      <c r="C2632" s="7" t="s">
        <v>37</v>
      </c>
      <c r="D2632" s="7" t="n">
        <v>18</v>
      </c>
      <c r="E2632" s="7" t="s">
        <v>82</v>
      </c>
      <c r="F2632" s="7" t="s">
        <v>49</v>
      </c>
      <c r="G2632" s="8" t="n">
        <v>46150</v>
      </c>
      <c r="H2632" s="8" t="n">
        <v>46168</v>
      </c>
      <c r="I2632" s="7" t="s">
        <v>40</v>
      </c>
      <c r="J2632" s="7" t="s">
        <v>41</v>
      </c>
      <c r="K2632" s="7" t="n">
        <v>18</v>
      </c>
      <c r="L2632" s="7" t="n">
        <v>4</v>
      </c>
      <c r="M2632" s="7" t="n">
        <v>1</v>
      </c>
      <c r="N2632" s="7" t="s">
        <v>71</v>
      </c>
      <c r="O2632" s="7"/>
      <c r="P2632" s="7" t="n">
        <v>9.8</v>
      </c>
      <c r="Q2632" s="7" t="n">
        <v>35</v>
      </c>
      <c r="R2632" s="7" t="s">
        <v>53</v>
      </c>
      <c r="S2632" s="7"/>
      <c r="T2632" s="7"/>
      <c r="U2632" s="7" t="str">
        <f aca="false">IF(COUNTIF($A$2:$A$5001,A2632)&gt;1,"Duplicate","Unique")</f>
        <v>Unique</v>
      </c>
      <c r="V2632" s="7" t="str">
        <f aca="false">IF(COUNTIFS($B$2:$B$5001,B2632,$H$2:$H$5001,H2632,$J$2:$J$5001,J2632)&gt;1,"Possible Duplicate Booking","Unique")</f>
        <v>Unique</v>
      </c>
      <c r="W2632" s="7" t="str">
        <f aca="false">IF((H2632-G2632)&lt;&gt;K2632,"Mismatch","OK")</f>
        <v>OK</v>
      </c>
      <c r="X2632" s="7" t="str">
        <f aca="false">IF(TEXT(H2632,"dddd")&lt;&gt;I2632,"Mismatch","OK")</f>
        <v>OK</v>
      </c>
      <c r="Y2632" s="7" t="str">
        <f aca="false">IF(AND(N2632="No",O2632&lt;&gt;""),"Unexpected: channel present but no reminder sent",IF(AND(N2632="Yes",O2632=""),"Missing channel for sent reminder","OK"))</f>
        <v>OK</v>
      </c>
    </row>
    <row r="2633" customFormat="false" ht="15" hidden="false" customHeight="false" outlineLevel="0" collapsed="false">
      <c r="A2633" s="9" t="s">
        <v>4089</v>
      </c>
      <c r="B2633" s="9" t="s">
        <v>1092</v>
      </c>
      <c r="C2633" s="9" t="s">
        <v>47</v>
      </c>
      <c r="D2633" s="9" t="n">
        <v>49</v>
      </c>
      <c r="E2633" s="9" t="s">
        <v>56</v>
      </c>
      <c r="F2633" s="9" t="s">
        <v>57</v>
      </c>
      <c r="G2633" s="10" t="n">
        <v>46006</v>
      </c>
      <c r="H2633" s="10" t="n">
        <v>46029</v>
      </c>
      <c r="I2633" s="9" t="s">
        <v>58</v>
      </c>
      <c r="J2633" s="9" t="s">
        <v>51</v>
      </c>
      <c r="K2633" s="9" t="n">
        <v>23</v>
      </c>
      <c r="L2633" s="9" t="n">
        <v>3</v>
      </c>
      <c r="M2633" s="9" t="n">
        <v>1</v>
      </c>
      <c r="N2633" s="9" t="s">
        <v>42</v>
      </c>
      <c r="O2633" s="9" t="s">
        <v>52</v>
      </c>
      <c r="P2633" s="9" t="n">
        <v>18.2</v>
      </c>
      <c r="Q2633" s="9" t="n">
        <v>35</v>
      </c>
      <c r="R2633" s="9" t="s">
        <v>44</v>
      </c>
      <c r="S2633" s="9"/>
      <c r="T2633" s="9"/>
      <c r="U2633" s="9" t="str">
        <f aca="false">IF(COUNTIF($A$2:$A$5001,A2633)&gt;1,"Duplicate","Unique")</f>
        <v>Unique</v>
      </c>
      <c r="V2633" s="9" t="str">
        <f aca="false">IF(COUNTIFS($B$2:$B$5001,B2633,$H$2:$H$5001,H2633,$J$2:$J$5001,J2633)&gt;1,"Possible Duplicate Booking","Unique")</f>
        <v>Unique</v>
      </c>
      <c r="W2633" s="9" t="str">
        <f aca="false">IF((H2633-G2633)&lt;&gt;K2633,"Mismatch","OK")</f>
        <v>OK</v>
      </c>
      <c r="X2633" s="9" t="str">
        <f aca="false">IF(TEXT(H2633,"dddd")&lt;&gt;I2633,"Mismatch","OK")</f>
        <v>OK</v>
      </c>
      <c r="Y2633" s="9" t="str">
        <f aca="false">IF(AND(N2633="No",O2633&lt;&gt;""),"Unexpected: channel present but no reminder sent",IF(AND(N2633="Yes",O2633=""),"Missing channel for sent reminder","OK"))</f>
        <v>OK</v>
      </c>
    </row>
    <row r="2634" customFormat="false" ht="15" hidden="false" customHeight="false" outlineLevel="0" collapsed="false">
      <c r="A2634" s="7" t="s">
        <v>4090</v>
      </c>
      <c r="B2634" s="7" t="s">
        <v>1986</v>
      </c>
      <c r="C2634" s="7" t="s">
        <v>47</v>
      </c>
      <c r="D2634" s="7" t="n">
        <v>22</v>
      </c>
      <c r="E2634" s="7" t="s">
        <v>82</v>
      </c>
      <c r="F2634" s="7" t="s">
        <v>39</v>
      </c>
      <c r="G2634" s="8" t="n">
        <v>46096</v>
      </c>
      <c r="H2634" s="8" t="n">
        <v>46156</v>
      </c>
      <c r="I2634" s="7" t="s">
        <v>62</v>
      </c>
      <c r="J2634" s="7" t="s">
        <v>41</v>
      </c>
      <c r="K2634" s="7" t="n">
        <v>60</v>
      </c>
      <c r="L2634" s="7" t="n">
        <v>3</v>
      </c>
      <c r="M2634" s="7" t="n">
        <v>0</v>
      </c>
      <c r="N2634" s="7" t="s">
        <v>71</v>
      </c>
      <c r="O2634" s="7"/>
      <c r="P2634" s="7" t="n">
        <v>4.4</v>
      </c>
      <c r="Q2634" s="7" t="n">
        <v>9</v>
      </c>
      <c r="R2634" s="7" t="s">
        <v>44</v>
      </c>
      <c r="S2634" s="7"/>
      <c r="T2634" s="7"/>
      <c r="U2634" s="7" t="str">
        <f aca="false">IF(COUNTIF($A$2:$A$5001,A2634)&gt;1,"Duplicate","Unique")</f>
        <v>Unique</v>
      </c>
      <c r="V2634" s="7" t="str">
        <f aca="false">IF(COUNTIFS($B$2:$B$5001,B2634,$H$2:$H$5001,H2634,$J$2:$J$5001,J2634)&gt;1,"Possible Duplicate Booking","Unique")</f>
        <v>Unique</v>
      </c>
      <c r="W2634" s="7" t="str">
        <f aca="false">IF((H2634-G2634)&lt;&gt;K2634,"Mismatch","OK")</f>
        <v>OK</v>
      </c>
      <c r="X2634" s="7" t="str">
        <f aca="false">IF(TEXT(H2634,"dddd")&lt;&gt;I2634,"Mismatch","OK")</f>
        <v>OK</v>
      </c>
      <c r="Y2634" s="7" t="str">
        <f aca="false">IF(AND(N2634="No",O2634&lt;&gt;""),"Unexpected: channel present but no reminder sent",IF(AND(N2634="Yes",O2634=""),"Missing channel for sent reminder","OK"))</f>
        <v>OK</v>
      </c>
    </row>
    <row r="2635" customFormat="false" ht="15" hidden="false" customHeight="false" outlineLevel="0" collapsed="false">
      <c r="A2635" s="9" t="s">
        <v>4091</v>
      </c>
      <c r="B2635" s="9" t="s">
        <v>2253</v>
      </c>
      <c r="C2635" s="9" t="s">
        <v>37</v>
      </c>
      <c r="D2635" s="9" t="n">
        <v>51</v>
      </c>
      <c r="E2635" s="9" t="s">
        <v>56</v>
      </c>
      <c r="F2635" s="9" t="s">
        <v>49</v>
      </c>
      <c r="G2635" s="10" t="n">
        <v>45939</v>
      </c>
      <c r="H2635" s="10" t="n">
        <v>45965</v>
      </c>
      <c r="I2635" s="9" t="s">
        <v>40</v>
      </c>
      <c r="J2635" s="9" t="s">
        <v>41</v>
      </c>
      <c r="K2635" s="9" t="n">
        <v>26</v>
      </c>
      <c r="L2635" s="9" t="n">
        <v>5</v>
      </c>
      <c r="M2635" s="9" t="n">
        <v>2</v>
      </c>
      <c r="N2635" s="9" t="s">
        <v>42</v>
      </c>
      <c r="O2635" s="9" t="s">
        <v>52</v>
      </c>
      <c r="P2635" s="9" t="n">
        <v>4.6</v>
      </c>
      <c r="Q2635" s="9" t="n">
        <v>32</v>
      </c>
      <c r="R2635" s="9" t="s">
        <v>44</v>
      </c>
      <c r="S2635" s="9"/>
      <c r="T2635" s="9"/>
      <c r="U2635" s="9" t="str">
        <f aca="false">IF(COUNTIF($A$2:$A$5001,A2635)&gt;1,"Duplicate","Unique")</f>
        <v>Unique</v>
      </c>
      <c r="V2635" s="9" t="str">
        <f aca="false">IF(COUNTIFS($B$2:$B$5001,B2635,$H$2:$H$5001,H2635,$J$2:$J$5001,J2635)&gt;1,"Possible Duplicate Booking","Unique")</f>
        <v>Unique</v>
      </c>
      <c r="W2635" s="9" t="str">
        <f aca="false">IF((H2635-G2635)&lt;&gt;K2635,"Mismatch","OK")</f>
        <v>OK</v>
      </c>
      <c r="X2635" s="9" t="str">
        <f aca="false">IF(TEXT(H2635,"dddd")&lt;&gt;I2635,"Mismatch","OK")</f>
        <v>OK</v>
      </c>
      <c r="Y2635" s="9" t="str">
        <f aca="false">IF(AND(N2635="No",O2635&lt;&gt;""),"Unexpected: channel present but no reminder sent",IF(AND(N2635="Yes",O2635=""),"Missing channel for sent reminder","OK"))</f>
        <v>OK</v>
      </c>
    </row>
    <row r="2636" customFormat="false" ht="15" hidden="false" customHeight="false" outlineLevel="0" collapsed="false">
      <c r="A2636" s="7" t="s">
        <v>4092</v>
      </c>
      <c r="B2636" s="7" t="s">
        <v>4093</v>
      </c>
      <c r="C2636" s="7" t="s">
        <v>47</v>
      </c>
      <c r="D2636" s="7" t="n">
        <v>40</v>
      </c>
      <c r="E2636" s="7" t="s">
        <v>38</v>
      </c>
      <c r="F2636" s="7" t="s">
        <v>39</v>
      </c>
      <c r="G2636" s="8" t="n">
        <v>45699</v>
      </c>
      <c r="H2636" s="8" t="n">
        <v>45703</v>
      </c>
      <c r="I2636" s="7" t="s">
        <v>102</v>
      </c>
      <c r="J2636" s="7" t="s">
        <v>41</v>
      </c>
      <c r="K2636" s="7" t="n">
        <v>4</v>
      </c>
      <c r="L2636" s="7" t="n">
        <v>2</v>
      </c>
      <c r="M2636" s="7" t="n">
        <v>0</v>
      </c>
      <c r="N2636" s="7" t="s">
        <v>42</v>
      </c>
      <c r="O2636" s="7" t="s">
        <v>67</v>
      </c>
      <c r="P2636" s="7" t="n">
        <v>12</v>
      </c>
      <c r="Q2636" s="7" t="n">
        <v>11</v>
      </c>
      <c r="R2636" s="7" t="s">
        <v>44</v>
      </c>
      <c r="S2636" s="7"/>
      <c r="T2636" s="7"/>
      <c r="U2636" s="7" t="str">
        <f aca="false">IF(COUNTIF($A$2:$A$5001,A2636)&gt;1,"Duplicate","Unique")</f>
        <v>Unique</v>
      </c>
      <c r="V2636" s="7" t="str">
        <f aca="false">IF(COUNTIFS($B$2:$B$5001,B2636,$H$2:$H$5001,H2636,$J$2:$J$5001,J2636)&gt;1,"Possible Duplicate Booking","Unique")</f>
        <v>Unique</v>
      </c>
      <c r="W2636" s="7" t="str">
        <f aca="false">IF((H2636-G2636)&lt;&gt;K2636,"Mismatch","OK")</f>
        <v>OK</v>
      </c>
      <c r="X2636" s="7" t="str">
        <f aca="false">IF(TEXT(H2636,"dddd")&lt;&gt;I2636,"Mismatch","OK")</f>
        <v>OK</v>
      </c>
      <c r="Y2636" s="7" t="str">
        <f aca="false">IF(AND(N2636="No",O2636&lt;&gt;""),"Unexpected: channel present but no reminder sent",IF(AND(N2636="Yes",O2636=""),"Missing channel for sent reminder","OK"))</f>
        <v>OK</v>
      </c>
    </row>
    <row r="2637" customFormat="false" ht="15" hidden="false" customHeight="false" outlineLevel="0" collapsed="false">
      <c r="A2637" s="9" t="s">
        <v>4094</v>
      </c>
      <c r="B2637" s="9" t="s">
        <v>1375</v>
      </c>
      <c r="C2637" s="9" t="s">
        <v>37</v>
      </c>
      <c r="D2637" s="9" t="n">
        <v>62</v>
      </c>
      <c r="E2637" s="9" t="s">
        <v>61</v>
      </c>
      <c r="F2637" s="9" t="s">
        <v>57</v>
      </c>
      <c r="G2637" s="10" t="n">
        <v>45655</v>
      </c>
      <c r="H2637" s="10" t="n">
        <v>45672</v>
      </c>
      <c r="I2637" s="9" t="s">
        <v>58</v>
      </c>
      <c r="J2637" s="9" t="s">
        <v>41</v>
      </c>
      <c r="K2637" s="9" t="n">
        <v>17</v>
      </c>
      <c r="L2637" s="9" t="n">
        <v>3</v>
      </c>
      <c r="M2637" s="9" t="n">
        <v>1</v>
      </c>
      <c r="N2637" s="9" t="s">
        <v>42</v>
      </c>
      <c r="O2637" s="9" t="s">
        <v>52</v>
      </c>
      <c r="P2637" s="9" t="n">
        <v>12.7</v>
      </c>
      <c r="Q2637" s="9" t="n">
        <v>32</v>
      </c>
      <c r="R2637" s="9" t="s">
        <v>53</v>
      </c>
      <c r="S2637" s="9"/>
      <c r="T2637" s="9"/>
      <c r="U2637" s="9" t="str">
        <f aca="false">IF(COUNTIF($A$2:$A$5001,A2637)&gt;1,"Duplicate","Unique")</f>
        <v>Unique</v>
      </c>
      <c r="V2637" s="9" t="str">
        <f aca="false">IF(COUNTIFS($B$2:$B$5001,B2637,$H$2:$H$5001,H2637,$J$2:$J$5001,J2637)&gt;1,"Possible Duplicate Booking","Unique")</f>
        <v>Unique</v>
      </c>
      <c r="W2637" s="9" t="str">
        <f aca="false">IF((H2637-G2637)&lt;&gt;K2637,"Mismatch","OK")</f>
        <v>OK</v>
      </c>
      <c r="X2637" s="9" t="str">
        <f aca="false">IF(TEXT(H2637,"dddd")&lt;&gt;I2637,"Mismatch","OK")</f>
        <v>OK</v>
      </c>
      <c r="Y2637" s="9" t="str">
        <f aca="false">IF(AND(N2637="No",O2637&lt;&gt;""),"Unexpected: channel present but no reminder sent",IF(AND(N2637="Yes",O2637=""),"Missing channel for sent reminder","OK"))</f>
        <v>OK</v>
      </c>
    </row>
    <row r="2638" customFormat="false" ht="15" hidden="false" customHeight="false" outlineLevel="0" collapsed="false">
      <c r="A2638" s="7" t="s">
        <v>4095</v>
      </c>
      <c r="B2638" s="7" t="s">
        <v>191</v>
      </c>
      <c r="C2638" s="7" t="s">
        <v>37</v>
      </c>
      <c r="D2638" s="7" t="n">
        <v>73</v>
      </c>
      <c r="E2638" s="7" t="s">
        <v>70</v>
      </c>
      <c r="F2638" s="7" t="s">
        <v>49</v>
      </c>
      <c r="G2638" s="8" t="n">
        <v>45833</v>
      </c>
      <c r="H2638" s="8" t="n">
        <v>45841</v>
      </c>
      <c r="I2638" s="7" t="s">
        <v>62</v>
      </c>
      <c r="J2638" s="7" t="s">
        <v>51</v>
      </c>
      <c r="K2638" s="7" t="n">
        <v>8</v>
      </c>
      <c r="L2638" s="7" t="n">
        <v>3</v>
      </c>
      <c r="M2638" s="7" t="n">
        <v>1</v>
      </c>
      <c r="N2638" s="7" t="s">
        <v>42</v>
      </c>
      <c r="O2638" s="7" t="s">
        <v>43</v>
      </c>
      <c r="P2638" s="7" t="n">
        <v>11.6</v>
      </c>
      <c r="Q2638" s="7" t="n">
        <v>25</v>
      </c>
      <c r="R2638" s="7" t="s">
        <v>53</v>
      </c>
      <c r="S2638" s="7"/>
      <c r="T2638" s="7"/>
      <c r="U2638" s="7" t="str">
        <f aca="false">IF(COUNTIF($A$2:$A$5001,A2638)&gt;1,"Duplicate","Unique")</f>
        <v>Unique</v>
      </c>
      <c r="V2638" s="7" t="str">
        <f aca="false">IF(COUNTIFS($B$2:$B$5001,B2638,$H$2:$H$5001,H2638,$J$2:$J$5001,J2638)&gt;1,"Possible Duplicate Booking","Unique")</f>
        <v>Unique</v>
      </c>
      <c r="W2638" s="7" t="str">
        <f aca="false">IF((H2638-G2638)&lt;&gt;K2638,"Mismatch","OK")</f>
        <v>OK</v>
      </c>
      <c r="X2638" s="7" t="str">
        <f aca="false">IF(TEXT(H2638,"dddd")&lt;&gt;I2638,"Mismatch","OK")</f>
        <v>OK</v>
      </c>
      <c r="Y2638" s="7" t="str">
        <f aca="false">IF(AND(N2638="No",O2638&lt;&gt;""),"Unexpected: channel present but no reminder sent",IF(AND(N2638="Yes",O2638=""),"Missing channel for sent reminder","OK"))</f>
        <v>OK</v>
      </c>
    </row>
    <row r="2639" customFormat="false" ht="15" hidden="false" customHeight="false" outlineLevel="0" collapsed="false">
      <c r="A2639" s="9" t="s">
        <v>4096</v>
      </c>
      <c r="B2639" s="9" t="s">
        <v>423</v>
      </c>
      <c r="C2639" s="9" t="s">
        <v>37</v>
      </c>
      <c r="D2639" s="9" t="n">
        <v>48</v>
      </c>
      <c r="E2639" s="9" t="s">
        <v>56</v>
      </c>
      <c r="F2639" s="9" t="s">
        <v>39</v>
      </c>
      <c r="G2639" s="10" t="n">
        <v>46022</v>
      </c>
      <c r="H2639" s="10" t="n">
        <v>46063</v>
      </c>
      <c r="I2639" s="9" t="s">
        <v>40</v>
      </c>
      <c r="J2639" s="9" t="s">
        <v>51</v>
      </c>
      <c r="K2639" s="9" t="n">
        <v>41</v>
      </c>
      <c r="L2639" s="9" t="n">
        <v>3</v>
      </c>
      <c r="M2639" s="9" t="n">
        <v>1</v>
      </c>
      <c r="N2639" s="9" t="s">
        <v>42</v>
      </c>
      <c r="O2639" s="9" t="s">
        <v>43</v>
      </c>
      <c r="P2639" s="9" t="n">
        <v>19.7</v>
      </c>
      <c r="Q2639" s="9" t="n">
        <v>18</v>
      </c>
      <c r="R2639" s="9" t="s">
        <v>44</v>
      </c>
      <c r="S2639" s="9"/>
      <c r="T2639" s="9"/>
      <c r="U2639" s="9" t="str">
        <f aca="false">IF(COUNTIF($A$2:$A$5001,A2639)&gt;1,"Duplicate","Unique")</f>
        <v>Unique</v>
      </c>
      <c r="V2639" s="9" t="str">
        <f aca="false">IF(COUNTIFS($B$2:$B$5001,B2639,$H$2:$H$5001,H2639,$J$2:$J$5001,J2639)&gt;1,"Possible Duplicate Booking","Unique")</f>
        <v>Unique</v>
      </c>
      <c r="W2639" s="9" t="str">
        <f aca="false">IF((H2639-G2639)&lt;&gt;K2639,"Mismatch","OK")</f>
        <v>OK</v>
      </c>
      <c r="X2639" s="9" t="str">
        <f aca="false">IF(TEXT(H2639,"dddd")&lt;&gt;I2639,"Mismatch","OK")</f>
        <v>OK</v>
      </c>
      <c r="Y2639" s="9" t="str">
        <f aca="false">IF(AND(N2639="No",O2639&lt;&gt;""),"Unexpected: channel present but no reminder sent",IF(AND(N2639="Yes",O2639=""),"Missing channel for sent reminder","OK"))</f>
        <v>OK</v>
      </c>
    </row>
    <row r="2640" customFormat="false" ht="15" hidden="false" customHeight="false" outlineLevel="0" collapsed="false">
      <c r="A2640" s="7" t="s">
        <v>4097</v>
      </c>
      <c r="B2640" s="7" t="s">
        <v>1264</v>
      </c>
      <c r="C2640" s="7" t="s">
        <v>47</v>
      </c>
      <c r="D2640" s="7" t="n">
        <v>58</v>
      </c>
      <c r="E2640" s="7" t="s">
        <v>61</v>
      </c>
      <c r="F2640" s="7" t="s">
        <v>57</v>
      </c>
      <c r="G2640" s="8" t="n">
        <v>45692</v>
      </c>
      <c r="H2640" s="8" t="n">
        <v>45740</v>
      </c>
      <c r="I2640" s="7" t="s">
        <v>66</v>
      </c>
      <c r="J2640" s="7" t="s">
        <v>41</v>
      </c>
      <c r="K2640" s="7" t="n">
        <v>48</v>
      </c>
      <c r="L2640" s="7" t="n">
        <v>3</v>
      </c>
      <c r="M2640" s="7" t="n">
        <v>0</v>
      </c>
      <c r="N2640" s="7" t="s">
        <v>42</v>
      </c>
      <c r="O2640" s="7" t="s">
        <v>43</v>
      </c>
      <c r="P2640" s="7" t="n">
        <v>8.6</v>
      </c>
      <c r="Q2640" s="7" t="n">
        <v>29</v>
      </c>
      <c r="R2640" s="7" t="s">
        <v>44</v>
      </c>
      <c r="S2640" s="7"/>
      <c r="T2640" s="7"/>
      <c r="U2640" s="7" t="str">
        <f aca="false">IF(COUNTIF($A$2:$A$5001,A2640)&gt;1,"Duplicate","Unique")</f>
        <v>Unique</v>
      </c>
      <c r="V2640" s="7" t="str">
        <f aca="false">IF(COUNTIFS($B$2:$B$5001,B2640,$H$2:$H$5001,H2640,$J$2:$J$5001,J2640)&gt;1,"Possible Duplicate Booking","Unique")</f>
        <v>Unique</v>
      </c>
      <c r="W2640" s="7" t="str">
        <f aca="false">IF((H2640-G2640)&lt;&gt;K2640,"Mismatch","OK")</f>
        <v>OK</v>
      </c>
      <c r="X2640" s="7" t="str">
        <f aca="false">IF(TEXT(H2640,"dddd")&lt;&gt;I2640,"Mismatch","OK")</f>
        <v>OK</v>
      </c>
      <c r="Y2640" s="7" t="str">
        <f aca="false">IF(AND(N2640="No",O2640&lt;&gt;""),"Unexpected: channel present but no reminder sent",IF(AND(N2640="Yes",O2640=""),"Missing channel for sent reminder","OK"))</f>
        <v>OK</v>
      </c>
    </row>
    <row r="2641" customFormat="false" ht="15" hidden="false" customHeight="false" outlineLevel="0" collapsed="false">
      <c r="A2641" s="9" t="s">
        <v>4098</v>
      </c>
      <c r="B2641" s="9" t="s">
        <v>2051</v>
      </c>
      <c r="C2641" s="9" t="s">
        <v>37</v>
      </c>
      <c r="D2641" s="9" t="n">
        <v>55</v>
      </c>
      <c r="E2641" s="9" t="s">
        <v>61</v>
      </c>
      <c r="F2641" s="9" t="s">
        <v>57</v>
      </c>
      <c r="G2641" s="10" t="n">
        <v>46072</v>
      </c>
      <c r="H2641" s="10" t="n">
        <v>46123</v>
      </c>
      <c r="I2641" s="9" t="s">
        <v>102</v>
      </c>
      <c r="J2641" s="9" t="s">
        <v>51</v>
      </c>
      <c r="K2641" s="9" t="n">
        <v>51</v>
      </c>
      <c r="L2641" s="9" t="n">
        <v>3</v>
      </c>
      <c r="M2641" s="9" t="n">
        <v>0</v>
      </c>
      <c r="N2641" s="9" t="s">
        <v>42</v>
      </c>
      <c r="O2641" s="9" t="s">
        <v>67</v>
      </c>
      <c r="P2641" s="9" t="n">
        <v>5.9</v>
      </c>
      <c r="Q2641" s="9" t="n">
        <v>39</v>
      </c>
      <c r="R2641" s="9" t="s">
        <v>44</v>
      </c>
      <c r="S2641" s="9"/>
      <c r="T2641" s="9"/>
      <c r="U2641" s="9" t="str">
        <f aca="false">IF(COUNTIF($A$2:$A$5001,A2641)&gt;1,"Duplicate","Unique")</f>
        <v>Unique</v>
      </c>
      <c r="V2641" s="9" t="str">
        <f aca="false">IF(COUNTIFS($B$2:$B$5001,B2641,$H$2:$H$5001,H2641,$J$2:$J$5001,J2641)&gt;1,"Possible Duplicate Booking","Unique")</f>
        <v>Unique</v>
      </c>
      <c r="W2641" s="9" t="str">
        <f aca="false">IF((H2641-G2641)&lt;&gt;K2641,"Mismatch","OK")</f>
        <v>OK</v>
      </c>
      <c r="X2641" s="9" t="str">
        <f aca="false">IF(TEXT(H2641,"dddd")&lt;&gt;I2641,"Mismatch","OK")</f>
        <v>OK</v>
      </c>
      <c r="Y2641" s="9" t="str">
        <f aca="false">IF(AND(N2641="No",O2641&lt;&gt;""),"Unexpected: channel present but no reminder sent",IF(AND(N2641="Yes",O2641=""),"Missing channel for sent reminder","OK"))</f>
        <v>OK</v>
      </c>
    </row>
    <row r="2642" customFormat="false" ht="15" hidden="false" customHeight="false" outlineLevel="0" collapsed="false">
      <c r="A2642" s="7" t="s">
        <v>4099</v>
      </c>
      <c r="B2642" s="7" t="s">
        <v>3960</v>
      </c>
      <c r="C2642" s="7" t="s">
        <v>37</v>
      </c>
      <c r="D2642" s="7" t="n">
        <v>80</v>
      </c>
      <c r="E2642" s="7" t="s">
        <v>70</v>
      </c>
      <c r="F2642" s="7" t="s">
        <v>57</v>
      </c>
      <c r="G2642" s="8" t="n">
        <v>45750</v>
      </c>
      <c r="H2642" s="8" t="n">
        <v>45788</v>
      </c>
      <c r="I2642" s="7" t="s">
        <v>75</v>
      </c>
      <c r="J2642" s="7" t="s">
        <v>41</v>
      </c>
      <c r="K2642" s="7" t="n">
        <v>38</v>
      </c>
      <c r="L2642" s="7" t="n">
        <v>2</v>
      </c>
      <c r="M2642" s="7" t="n">
        <v>1</v>
      </c>
      <c r="N2642" s="7" t="s">
        <v>71</v>
      </c>
      <c r="O2642" s="7"/>
      <c r="P2642" s="7" t="n">
        <v>15.3</v>
      </c>
      <c r="Q2642" s="7" t="n">
        <v>3</v>
      </c>
      <c r="R2642" s="7" t="s">
        <v>44</v>
      </c>
      <c r="S2642" s="7"/>
      <c r="T2642" s="7"/>
      <c r="U2642" s="7" t="str">
        <f aca="false">IF(COUNTIF($A$2:$A$5001,A2642)&gt;1,"Duplicate","Unique")</f>
        <v>Unique</v>
      </c>
      <c r="V2642" s="7" t="str">
        <f aca="false">IF(COUNTIFS($B$2:$B$5001,B2642,$H$2:$H$5001,H2642,$J$2:$J$5001,J2642)&gt;1,"Possible Duplicate Booking","Unique")</f>
        <v>Unique</v>
      </c>
      <c r="W2642" s="7" t="str">
        <f aca="false">IF((H2642-G2642)&lt;&gt;K2642,"Mismatch","OK")</f>
        <v>OK</v>
      </c>
      <c r="X2642" s="7" t="str">
        <f aca="false">IF(TEXT(H2642,"dddd")&lt;&gt;I2642,"Mismatch","OK")</f>
        <v>OK</v>
      </c>
      <c r="Y2642" s="7" t="str">
        <f aca="false">IF(AND(N2642="No",O2642&lt;&gt;""),"Unexpected: channel present but no reminder sent",IF(AND(N2642="Yes",O2642=""),"Missing channel for sent reminder","OK"))</f>
        <v>OK</v>
      </c>
    </row>
    <row r="2643" customFormat="false" ht="15" hidden="false" customHeight="false" outlineLevel="0" collapsed="false">
      <c r="A2643" s="9" t="s">
        <v>4100</v>
      </c>
      <c r="B2643" s="9" t="s">
        <v>86</v>
      </c>
      <c r="C2643" s="9" t="s">
        <v>37</v>
      </c>
      <c r="D2643" s="9" t="n">
        <v>32</v>
      </c>
      <c r="E2643" s="9" t="s">
        <v>48</v>
      </c>
      <c r="F2643" s="9" t="s">
        <v>49</v>
      </c>
      <c r="G2643" s="10" t="n">
        <v>45883</v>
      </c>
      <c r="H2643" s="10" t="n">
        <v>45929</v>
      </c>
      <c r="I2643" s="9" t="s">
        <v>66</v>
      </c>
      <c r="J2643" s="9" t="s">
        <v>63</v>
      </c>
      <c r="K2643" s="9" t="n">
        <v>46</v>
      </c>
      <c r="L2643" s="9" t="n">
        <v>3</v>
      </c>
      <c r="M2643" s="9" t="n">
        <v>1</v>
      </c>
      <c r="N2643" s="9" t="s">
        <v>42</v>
      </c>
      <c r="O2643" s="9" t="s">
        <v>52</v>
      </c>
      <c r="P2643" s="9" t="n">
        <v>30.2</v>
      </c>
      <c r="Q2643" s="9" t="n">
        <v>37</v>
      </c>
      <c r="R2643" s="9" t="s">
        <v>44</v>
      </c>
      <c r="S2643" s="9"/>
      <c r="T2643" s="9"/>
      <c r="U2643" s="9" t="str">
        <f aca="false">IF(COUNTIF($A$2:$A$5001,A2643)&gt;1,"Duplicate","Unique")</f>
        <v>Unique</v>
      </c>
      <c r="V2643" s="9" t="str">
        <f aca="false">IF(COUNTIFS($B$2:$B$5001,B2643,$H$2:$H$5001,H2643,$J$2:$J$5001,J2643)&gt;1,"Possible Duplicate Booking","Unique")</f>
        <v>Unique</v>
      </c>
      <c r="W2643" s="9" t="str">
        <f aca="false">IF((H2643-G2643)&lt;&gt;K2643,"Mismatch","OK")</f>
        <v>OK</v>
      </c>
      <c r="X2643" s="9" t="str">
        <f aca="false">IF(TEXT(H2643,"dddd")&lt;&gt;I2643,"Mismatch","OK")</f>
        <v>OK</v>
      </c>
      <c r="Y2643" s="9" t="str">
        <f aca="false">IF(AND(N2643="No",O2643&lt;&gt;""),"Unexpected: channel present but no reminder sent",IF(AND(N2643="Yes",O2643=""),"Missing channel for sent reminder","OK"))</f>
        <v>OK</v>
      </c>
    </row>
    <row r="2644" customFormat="false" ht="15" hidden="false" customHeight="false" outlineLevel="0" collapsed="false">
      <c r="A2644" s="7" t="s">
        <v>4101</v>
      </c>
      <c r="B2644" s="7" t="s">
        <v>1297</v>
      </c>
      <c r="C2644" s="7" t="s">
        <v>47</v>
      </c>
      <c r="D2644" s="7" t="n">
        <v>33</v>
      </c>
      <c r="E2644" s="7" t="s">
        <v>48</v>
      </c>
      <c r="F2644" s="7" t="s">
        <v>57</v>
      </c>
      <c r="G2644" s="8" t="n">
        <v>45743</v>
      </c>
      <c r="H2644" s="8" t="n">
        <v>45768</v>
      </c>
      <c r="I2644" s="7" t="s">
        <v>66</v>
      </c>
      <c r="J2644" s="7" t="s">
        <v>51</v>
      </c>
      <c r="K2644" s="7" t="n">
        <v>25</v>
      </c>
      <c r="L2644" s="7" t="n">
        <v>0</v>
      </c>
      <c r="M2644" s="7" t="n">
        <v>0</v>
      </c>
      <c r="N2644" s="7" t="s">
        <v>71</v>
      </c>
      <c r="O2644" s="7"/>
      <c r="P2644" s="7" t="n">
        <v>6.2</v>
      </c>
      <c r="Q2644" s="7" t="n">
        <v>15</v>
      </c>
      <c r="R2644" s="7" t="s">
        <v>53</v>
      </c>
      <c r="S2644" s="7"/>
      <c r="T2644" s="7"/>
      <c r="U2644" s="7" t="str">
        <f aca="false">IF(COUNTIF($A$2:$A$5001,A2644)&gt;1,"Duplicate","Unique")</f>
        <v>Unique</v>
      </c>
      <c r="V2644" s="7" t="str">
        <f aca="false">IF(COUNTIFS($B$2:$B$5001,B2644,$H$2:$H$5001,H2644,$J$2:$J$5001,J2644)&gt;1,"Possible Duplicate Booking","Unique")</f>
        <v>Possible Duplicate Booking</v>
      </c>
      <c r="W2644" s="7" t="str">
        <f aca="false">IF((H2644-G2644)&lt;&gt;K2644,"Mismatch","OK")</f>
        <v>OK</v>
      </c>
      <c r="X2644" s="7" t="str">
        <f aca="false">IF(TEXT(H2644,"dddd")&lt;&gt;I2644,"Mismatch","OK")</f>
        <v>OK</v>
      </c>
      <c r="Y2644" s="7" t="str">
        <f aca="false">IF(AND(N2644="No",O2644&lt;&gt;""),"Unexpected: channel present but no reminder sent",IF(AND(N2644="Yes",O2644=""),"Missing channel for sent reminder","OK"))</f>
        <v>OK</v>
      </c>
    </row>
    <row r="2645" customFormat="false" ht="15" hidden="false" customHeight="false" outlineLevel="0" collapsed="false">
      <c r="A2645" s="9" t="s">
        <v>4102</v>
      </c>
      <c r="B2645" s="9" t="s">
        <v>4103</v>
      </c>
      <c r="C2645" s="9" t="s">
        <v>47</v>
      </c>
      <c r="D2645" s="9" t="n">
        <v>41</v>
      </c>
      <c r="E2645" s="9" t="s">
        <v>38</v>
      </c>
      <c r="F2645" s="9" t="s">
        <v>57</v>
      </c>
      <c r="G2645" s="10" t="n">
        <v>45874</v>
      </c>
      <c r="H2645" s="10" t="n">
        <v>45912</v>
      </c>
      <c r="I2645" s="9" t="s">
        <v>50</v>
      </c>
      <c r="J2645" s="9" t="s">
        <v>51</v>
      </c>
      <c r="K2645" s="9" t="n">
        <v>38</v>
      </c>
      <c r="L2645" s="9" t="n">
        <v>3</v>
      </c>
      <c r="M2645" s="9" t="n">
        <v>0</v>
      </c>
      <c r="N2645" s="9" t="s">
        <v>42</v>
      </c>
      <c r="O2645" s="9" t="s">
        <v>43</v>
      </c>
      <c r="P2645" s="9" t="n">
        <v>14</v>
      </c>
      <c r="Q2645" s="9" t="n">
        <v>40</v>
      </c>
      <c r="R2645" s="9" t="s">
        <v>44</v>
      </c>
      <c r="S2645" s="9"/>
      <c r="T2645" s="9"/>
      <c r="U2645" s="9" t="str">
        <f aca="false">IF(COUNTIF($A$2:$A$5001,A2645)&gt;1,"Duplicate","Unique")</f>
        <v>Unique</v>
      </c>
      <c r="V2645" s="9" t="str">
        <f aca="false">IF(COUNTIFS($B$2:$B$5001,B2645,$H$2:$H$5001,H2645,$J$2:$J$5001,J2645)&gt;1,"Possible Duplicate Booking","Unique")</f>
        <v>Unique</v>
      </c>
      <c r="W2645" s="9" t="str">
        <f aca="false">IF((H2645-G2645)&lt;&gt;K2645,"Mismatch","OK")</f>
        <v>OK</v>
      </c>
      <c r="X2645" s="9" t="str">
        <f aca="false">IF(TEXT(H2645,"dddd")&lt;&gt;I2645,"Mismatch","OK")</f>
        <v>OK</v>
      </c>
      <c r="Y2645" s="9" t="str">
        <f aca="false">IF(AND(N2645="No",O2645&lt;&gt;""),"Unexpected: channel present but no reminder sent",IF(AND(N2645="Yes",O2645=""),"Missing channel for sent reminder","OK"))</f>
        <v>OK</v>
      </c>
    </row>
    <row r="2646" customFormat="false" ht="15" hidden="false" customHeight="false" outlineLevel="0" collapsed="false">
      <c r="A2646" s="7" t="s">
        <v>4104</v>
      </c>
      <c r="B2646" s="7" t="s">
        <v>1278</v>
      </c>
      <c r="C2646" s="7" t="s">
        <v>37</v>
      </c>
      <c r="D2646" s="7" t="n">
        <v>64</v>
      </c>
      <c r="E2646" s="7" t="s">
        <v>61</v>
      </c>
      <c r="F2646" s="7" t="s">
        <v>39</v>
      </c>
      <c r="G2646" s="8" t="n">
        <v>45898</v>
      </c>
      <c r="H2646" s="8" t="n">
        <v>45904</v>
      </c>
      <c r="I2646" s="7" t="s">
        <v>62</v>
      </c>
      <c r="J2646" s="7" t="s">
        <v>51</v>
      </c>
      <c r="K2646" s="7" t="n">
        <v>6</v>
      </c>
      <c r="L2646" s="7" t="n">
        <v>2</v>
      </c>
      <c r="M2646" s="7" t="n">
        <v>0</v>
      </c>
      <c r="N2646" s="7" t="s">
        <v>42</v>
      </c>
      <c r="O2646" s="7" t="s">
        <v>67</v>
      </c>
      <c r="P2646" s="7"/>
      <c r="Q2646" s="7" t="n">
        <v>34</v>
      </c>
      <c r="R2646" s="7" t="s">
        <v>53</v>
      </c>
      <c r="S2646" s="7"/>
      <c r="T2646" s="7"/>
      <c r="U2646" s="7" t="str">
        <f aca="false">IF(COUNTIF($A$2:$A$5001,A2646)&gt;1,"Duplicate","Unique")</f>
        <v>Unique</v>
      </c>
      <c r="V2646" s="7" t="str">
        <f aca="false">IF(COUNTIFS($B$2:$B$5001,B2646,$H$2:$H$5001,H2646,$J$2:$J$5001,J2646)&gt;1,"Possible Duplicate Booking","Unique")</f>
        <v>Unique</v>
      </c>
      <c r="W2646" s="7" t="str">
        <f aca="false">IF((H2646-G2646)&lt;&gt;K2646,"Mismatch","OK")</f>
        <v>OK</v>
      </c>
      <c r="X2646" s="7" t="str">
        <f aca="false">IF(TEXT(H2646,"dddd")&lt;&gt;I2646,"Mismatch","OK")</f>
        <v>OK</v>
      </c>
      <c r="Y2646" s="7" t="str">
        <f aca="false">IF(AND(N2646="No",O2646&lt;&gt;""),"Unexpected: channel present but no reminder sent",IF(AND(N2646="Yes",O2646=""),"Missing channel for sent reminder","OK"))</f>
        <v>OK</v>
      </c>
    </row>
    <row r="2647" customFormat="false" ht="15" hidden="false" customHeight="false" outlineLevel="0" collapsed="false">
      <c r="A2647" s="9" t="s">
        <v>4105</v>
      </c>
      <c r="B2647" s="9" t="s">
        <v>4106</v>
      </c>
      <c r="C2647" s="9" t="s">
        <v>47</v>
      </c>
      <c r="D2647" s="9" t="n">
        <v>72</v>
      </c>
      <c r="E2647" s="9" t="s">
        <v>70</v>
      </c>
      <c r="F2647" s="9" t="s">
        <v>74</v>
      </c>
      <c r="G2647" s="10" t="n">
        <v>45628</v>
      </c>
      <c r="H2647" s="10" t="n">
        <v>45660</v>
      </c>
      <c r="I2647" s="9" t="s">
        <v>50</v>
      </c>
      <c r="J2647" s="9" t="s">
        <v>51</v>
      </c>
      <c r="K2647" s="9" t="n">
        <v>32</v>
      </c>
      <c r="L2647" s="9" t="n">
        <v>3</v>
      </c>
      <c r="M2647" s="9" t="n">
        <v>2</v>
      </c>
      <c r="N2647" s="9" t="s">
        <v>42</v>
      </c>
      <c r="O2647" s="9" t="s">
        <v>52</v>
      </c>
      <c r="P2647" s="9" t="n">
        <v>10.8</v>
      </c>
      <c r="Q2647" s="9" t="n">
        <v>12</v>
      </c>
      <c r="R2647" s="9" t="s">
        <v>44</v>
      </c>
      <c r="S2647" s="9"/>
      <c r="T2647" s="9"/>
      <c r="U2647" s="9" t="str">
        <f aca="false">IF(COUNTIF($A$2:$A$5001,A2647)&gt;1,"Duplicate","Unique")</f>
        <v>Unique</v>
      </c>
      <c r="V2647" s="9" t="str">
        <f aca="false">IF(COUNTIFS($B$2:$B$5001,B2647,$H$2:$H$5001,H2647,$J$2:$J$5001,J2647)&gt;1,"Possible Duplicate Booking","Unique")</f>
        <v>Unique</v>
      </c>
      <c r="W2647" s="9" t="str">
        <f aca="false">IF((H2647-G2647)&lt;&gt;K2647,"Mismatch","OK")</f>
        <v>OK</v>
      </c>
      <c r="X2647" s="9" t="str">
        <f aca="false">IF(TEXT(H2647,"dddd")&lt;&gt;I2647,"Mismatch","OK")</f>
        <v>OK</v>
      </c>
      <c r="Y2647" s="9" t="str">
        <f aca="false">IF(AND(N2647="No",O2647&lt;&gt;""),"Unexpected: channel present but no reminder sent",IF(AND(N2647="Yes",O2647=""),"Missing channel for sent reminder","OK"))</f>
        <v>OK</v>
      </c>
    </row>
    <row r="2648" customFormat="false" ht="15" hidden="false" customHeight="false" outlineLevel="0" collapsed="false">
      <c r="A2648" s="7" t="s">
        <v>4107</v>
      </c>
      <c r="B2648" s="7" t="s">
        <v>3203</v>
      </c>
      <c r="C2648" s="7" t="s">
        <v>47</v>
      </c>
      <c r="D2648" s="7" t="n">
        <v>35</v>
      </c>
      <c r="E2648" s="7" t="s">
        <v>38</v>
      </c>
      <c r="F2648" s="7" t="s">
        <v>57</v>
      </c>
      <c r="G2648" s="8" t="n">
        <v>45934</v>
      </c>
      <c r="H2648" s="8" t="n">
        <v>45968</v>
      </c>
      <c r="I2648" s="7" t="s">
        <v>50</v>
      </c>
      <c r="J2648" s="7" t="s">
        <v>63</v>
      </c>
      <c r="K2648" s="7" t="n">
        <v>34</v>
      </c>
      <c r="L2648" s="7" t="n">
        <v>0</v>
      </c>
      <c r="M2648" s="7" t="n">
        <v>0</v>
      </c>
      <c r="N2648" s="7" t="s">
        <v>42</v>
      </c>
      <c r="O2648" s="7" t="s">
        <v>67</v>
      </c>
      <c r="P2648" s="7" t="n">
        <v>3.7</v>
      </c>
      <c r="Q2648" s="7" t="n">
        <v>18</v>
      </c>
      <c r="R2648" s="7" t="s">
        <v>44</v>
      </c>
      <c r="S2648" s="7"/>
      <c r="T2648" s="7"/>
      <c r="U2648" s="7" t="str">
        <f aca="false">IF(COUNTIF($A$2:$A$5001,A2648)&gt;1,"Duplicate","Unique")</f>
        <v>Unique</v>
      </c>
      <c r="V2648" s="7" t="str">
        <f aca="false">IF(COUNTIFS($B$2:$B$5001,B2648,$H$2:$H$5001,H2648,$J$2:$J$5001,J2648)&gt;1,"Possible Duplicate Booking","Unique")</f>
        <v>Unique</v>
      </c>
      <c r="W2648" s="7" t="str">
        <f aca="false">IF((H2648-G2648)&lt;&gt;K2648,"Mismatch","OK")</f>
        <v>OK</v>
      </c>
      <c r="X2648" s="7" t="str">
        <f aca="false">IF(TEXT(H2648,"dddd")&lt;&gt;I2648,"Mismatch","OK")</f>
        <v>OK</v>
      </c>
      <c r="Y2648" s="7" t="str">
        <f aca="false">IF(AND(N2648="No",O2648&lt;&gt;""),"Unexpected: channel present but no reminder sent",IF(AND(N2648="Yes",O2648=""),"Missing channel for sent reminder","OK"))</f>
        <v>OK</v>
      </c>
    </row>
    <row r="2649" customFormat="false" ht="15" hidden="false" customHeight="false" outlineLevel="0" collapsed="false">
      <c r="A2649" s="9" t="s">
        <v>4108</v>
      </c>
      <c r="B2649" s="9" t="s">
        <v>1286</v>
      </c>
      <c r="C2649" s="9" t="s">
        <v>37</v>
      </c>
      <c r="D2649" s="9" t="n">
        <v>24</v>
      </c>
      <c r="E2649" s="9" t="s">
        <v>82</v>
      </c>
      <c r="F2649" s="9" t="s">
        <v>57</v>
      </c>
      <c r="G2649" s="10" t="n">
        <v>46086</v>
      </c>
      <c r="H2649" s="10" t="n">
        <v>46087</v>
      </c>
      <c r="I2649" s="9" t="s">
        <v>50</v>
      </c>
      <c r="J2649" s="9" t="s">
        <v>63</v>
      </c>
      <c r="K2649" s="9" t="n">
        <v>1</v>
      </c>
      <c r="L2649" s="9" t="n">
        <v>7</v>
      </c>
      <c r="M2649" s="9" t="n">
        <v>2</v>
      </c>
      <c r="N2649" s="9" t="s">
        <v>71</v>
      </c>
      <c r="O2649" s="9"/>
      <c r="P2649" s="9" t="n">
        <v>11</v>
      </c>
      <c r="Q2649" s="9" t="n">
        <v>29</v>
      </c>
      <c r="R2649" s="9" t="s">
        <v>44</v>
      </c>
      <c r="S2649" s="9"/>
      <c r="T2649" s="9"/>
      <c r="U2649" s="9" t="str">
        <f aca="false">IF(COUNTIF($A$2:$A$5001,A2649)&gt;1,"Duplicate","Unique")</f>
        <v>Unique</v>
      </c>
      <c r="V2649" s="9" t="str">
        <f aca="false">IF(COUNTIFS($B$2:$B$5001,B2649,$H$2:$H$5001,H2649,$J$2:$J$5001,J2649)&gt;1,"Possible Duplicate Booking","Unique")</f>
        <v>Unique</v>
      </c>
      <c r="W2649" s="9" t="str">
        <f aca="false">IF((H2649-G2649)&lt;&gt;K2649,"Mismatch","OK")</f>
        <v>OK</v>
      </c>
      <c r="X2649" s="9" t="str">
        <f aca="false">IF(TEXT(H2649,"dddd")&lt;&gt;I2649,"Mismatch","OK")</f>
        <v>OK</v>
      </c>
      <c r="Y2649" s="9" t="str">
        <f aca="false">IF(AND(N2649="No",O2649&lt;&gt;""),"Unexpected: channel present but no reminder sent",IF(AND(N2649="Yes",O2649=""),"Missing channel for sent reminder","OK"))</f>
        <v>OK</v>
      </c>
    </row>
    <row r="2650" customFormat="false" ht="15" hidden="false" customHeight="false" outlineLevel="0" collapsed="false">
      <c r="A2650" s="7" t="s">
        <v>4109</v>
      </c>
      <c r="B2650" s="7" t="s">
        <v>1418</v>
      </c>
      <c r="C2650" s="7" t="s">
        <v>37</v>
      </c>
      <c r="D2650" s="7" t="n">
        <v>56</v>
      </c>
      <c r="E2650" s="7" t="s">
        <v>61</v>
      </c>
      <c r="F2650" s="7" t="s">
        <v>57</v>
      </c>
      <c r="G2650" s="8" t="n">
        <v>46136</v>
      </c>
      <c r="H2650" s="8" t="n">
        <v>46169</v>
      </c>
      <c r="I2650" s="7" t="s">
        <v>58</v>
      </c>
      <c r="J2650" s="7" t="s">
        <v>51</v>
      </c>
      <c r="K2650" s="7" t="n">
        <v>33</v>
      </c>
      <c r="L2650" s="7" t="n">
        <v>2</v>
      </c>
      <c r="M2650" s="7" t="n">
        <v>0</v>
      </c>
      <c r="N2650" s="7" t="s">
        <v>42</v>
      </c>
      <c r="O2650" s="7" t="s">
        <v>67</v>
      </c>
      <c r="P2650" s="7" t="n">
        <v>12.2</v>
      </c>
      <c r="Q2650" s="7" t="n">
        <v>34</v>
      </c>
      <c r="R2650" s="7" t="s">
        <v>53</v>
      </c>
      <c r="S2650" s="7"/>
      <c r="T2650" s="7"/>
      <c r="U2650" s="7" t="str">
        <f aca="false">IF(COUNTIF($A$2:$A$5001,A2650)&gt;1,"Duplicate","Unique")</f>
        <v>Unique</v>
      </c>
      <c r="V2650" s="7" t="str">
        <f aca="false">IF(COUNTIFS($B$2:$B$5001,B2650,$H$2:$H$5001,H2650,$J$2:$J$5001,J2650)&gt;1,"Possible Duplicate Booking","Unique")</f>
        <v>Unique</v>
      </c>
      <c r="W2650" s="7" t="str">
        <f aca="false">IF((H2650-G2650)&lt;&gt;K2650,"Mismatch","OK")</f>
        <v>OK</v>
      </c>
      <c r="X2650" s="7" t="str">
        <f aca="false">IF(TEXT(H2650,"dddd")&lt;&gt;I2650,"Mismatch","OK")</f>
        <v>OK</v>
      </c>
      <c r="Y2650" s="7" t="str">
        <f aca="false">IF(AND(N2650="No",O2650&lt;&gt;""),"Unexpected: channel present but no reminder sent",IF(AND(N2650="Yes",O2650=""),"Missing channel for sent reminder","OK"))</f>
        <v>OK</v>
      </c>
    </row>
    <row r="2651" customFormat="false" ht="15" hidden="false" customHeight="false" outlineLevel="0" collapsed="false">
      <c r="A2651" s="9" t="s">
        <v>4110</v>
      </c>
      <c r="B2651" s="9" t="s">
        <v>1794</v>
      </c>
      <c r="C2651" s="9" t="s">
        <v>47</v>
      </c>
      <c r="D2651" s="9" t="n">
        <v>55</v>
      </c>
      <c r="E2651" s="9" t="s">
        <v>61</v>
      </c>
      <c r="F2651" s="9" t="s">
        <v>39</v>
      </c>
      <c r="G2651" s="10" t="n">
        <v>45794</v>
      </c>
      <c r="H2651" s="10" t="n">
        <v>45838</v>
      </c>
      <c r="I2651" s="9" t="s">
        <v>66</v>
      </c>
      <c r="J2651" s="9" t="s">
        <v>63</v>
      </c>
      <c r="K2651" s="9" t="n">
        <v>44</v>
      </c>
      <c r="L2651" s="9" t="n">
        <v>4</v>
      </c>
      <c r="M2651" s="9" t="n">
        <v>1</v>
      </c>
      <c r="N2651" s="9" t="s">
        <v>42</v>
      </c>
      <c r="O2651" s="9" t="s">
        <v>52</v>
      </c>
      <c r="P2651" s="9" t="n">
        <v>7.3</v>
      </c>
      <c r="Q2651" s="9" t="n">
        <v>29</v>
      </c>
      <c r="R2651" s="9" t="s">
        <v>53</v>
      </c>
      <c r="S2651" s="9"/>
      <c r="T2651" s="9"/>
      <c r="U2651" s="9" t="str">
        <f aca="false">IF(COUNTIF($A$2:$A$5001,A2651)&gt;1,"Duplicate","Unique")</f>
        <v>Unique</v>
      </c>
      <c r="V2651" s="9" t="str">
        <f aca="false">IF(COUNTIFS($B$2:$B$5001,B2651,$H$2:$H$5001,H2651,$J$2:$J$5001,J2651)&gt;1,"Possible Duplicate Booking","Unique")</f>
        <v>Unique</v>
      </c>
      <c r="W2651" s="9" t="str">
        <f aca="false">IF((H2651-G2651)&lt;&gt;K2651,"Mismatch","OK")</f>
        <v>OK</v>
      </c>
      <c r="X2651" s="9" t="str">
        <f aca="false">IF(TEXT(H2651,"dddd")&lt;&gt;I2651,"Mismatch","OK")</f>
        <v>OK</v>
      </c>
      <c r="Y2651" s="9" t="str">
        <f aca="false">IF(AND(N2651="No",O2651&lt;&gt;""),"Unexpected: channel present but no reminder sent",IF(AND(N2651="Yes",O2651=""),"Missing channel for sent reminder","OK"))</f>
        <v>OK</v>
      </c>
    </row>
    <row r="2652" customFormat="false" ht="15" hidden="false" customHeight="false" outlineLevel="0" collapsed="false">
      <c r="A2652" s="7" t="s">
        <v>4111</v>
      </c>
      <c r="B2652" s="7" t="s">
        <v>4112</v>
      </c>
      <c r="C2652" s="7" t="s">
        <v>37</v>
      </c>
      <c r="D2652" s="7" t="n">
        <v>41</v>
      </c>
      <c r="E2652" s="7" t="s">
        <v>38</v>
      </c>
      <c r="F2652" s="7" t="s">
        <v>39</v>
      </c>
      <c r="G2652" s="8" t="n">
        <v>46116</v>
      </c>
      <c r="H2652" s="8" t="n">
        <v>46138</v>
      </c>
      <c r="I2652" s="7" t="s">
        <v>75</v>
      </c>
      <c r="J2652" s="7" t="s">
        <v>51</v>
      </c>
      <c r="K2652" s="7" t="n">
        <v>22</v>
      </c>
      <c r="L2652" s="7" t="n">
        <v>4</v>
      </c>
      <c r="M2652" s="7" t="n">
        <v>0</v>
      </c>
      <c r="N2652" s="7" t="s">
        <v>71</v>
      </c>
      <c r="O2652" s="7"/>
      <c r="P2652" s="7" t="n">
        <v>7.2</v>
      </c>
      <c r="Q2652" s="7" t="n">
        <v>28</v>
      </c>
      <c r="R2652" s="7" t="s">
        <v>53</v>
      </c>
      <c r="S2652" s="7"/>
      <c r="T2652" s="7"/>
      <c r="U2652" s="7" t="str">
        <f aca="false">IF(COUNTIF($A$2:$A$5001,A2652)&gt;1,"Duplicate","Unique")</f>
        <v>Unique</v>
      </c>
      <c r="V2652" s="7" t="str">
        <f aca="false">IF(COUNTIFS($B$2:$B$5001,B2652,$H$2:$H$5001,H2652,$J$2:$J$5001,J2652)&gt;1,"Possible Duplicate Booking","Unique")</f>
        <v>Unique</v>
      </c>
      <c r="W2652" s="7" t="str">
        <f aca="false">IF((H2652-G2652)&lt;&gt;K2652,"Mismatch","OK")</f>
        <v>OK</v>
      </c>
      <c r="X2652" s="7" t="str">
        <f aca="false">IF(TEXT(H2652,"dddd")&lt;&gt;I2652,"Mismatch","OK")</f>
        <v>OK</v>
      </c>
      <c r="Y2652" s="7" t="str">
        <f aca="false">IF(AND(N2652="No",O2652&lt;&gt;""),"Unexpected: channel present but no reminder sent",IF(AND(N2652="Yes",O2652=""),"Missing channel for sent reminder","OK"))</f>
        <v>OK</v>
      </c>
    </row>
    <row r="2653" customFormat="false" ht="15" hidden="false" customHeight="false" outlineLevel="0" collapsed="false">
      <c r="A2653" s="9" t="s">
        <v>4113</v>
      </c>
      <c r="B2653" s="9" t="s">
        <v>4114</v>
      </c>
      <c r="C2653" s="9" t="s">
        <v>37</v>
      </c>
      <c r="D2653" s="9" t="n">
        <v>29</v>
      </c>
      <c r="E2653" s="9" t="s">
        <v>48</v>
      </c>
      <c r="F2653" s="9" t="s">
        <v>74</v>
      </c>
      <c r="G2653" s="10" t="n">
        <v>46104</v>
      </c>
      <c r="H2653" s="10" t="n">
        <v>46137</v>
      </c>
      <c r="I2653" s="9" t="s">
        <v>102</v>
      </c>
      <c r="J2653" s="9" t="s">
        <v>63</v>
      </c>
      <c r="K2653" s="9" t="n">
        <v>33</v>
      </c>
      <c r="L2653" s="9" t="n">
        <v>2</v>
      </c>
      <c r="M2653" s="9" t="n">
        <v>0</v>
      </c>
      <c r="N2653" s="9" t="s">
        <v>42</v>
      </c>
      <c r="O2653" s="9" t="s">
        <v>52</v>
      </c>
      <c r="P2653" s="9" t="n">
        <v>2.9</v>
      </c>
      <c r="Q2653" s="9" t="n">
        <v>17</v>
      </c>
      <c r="R2653" s="9" t="s">
        <v>53</v>
      </c>
      <c r="S2653" s="9"/>
      <c r="T2653" s="9"/>
      <c r="U2653" s="9" t="str">
        <f aca="false">IF(COUNTIF($A$2:$A$5001,A2653)&gt;1,"Duplicate","Unique")</f>
        <v>Unique</v>
      </c>
      <c r="V2653" s="9" t="str">
        <f aca="false">IF(COUNTIFS($B$2:$B$5001,B2653,$H$2:$H$5001,H2653,$J$2:$J$5001,J2653)&gt;1,"Possible Duplicate Booking","Unique")</f>
        <v>Unique</v>
      </c>
      <c r="W2653" s="9" t="str">
        <f aca="false">IF((H2653-G2653)&lt;&gt;K2653,"Mismatch","OK")</f>
        <v>OK</v>
      </c>
      <c r="X2653" s="9" t="str">
        <f aca="false">IF(TEXT(H2653,"dddd")&lt;&gt;I2653,"Mismatch","OK")</f>
        <v>OK</v>
      </c>
      <c r="Y2653" s="9" t="str">
        <f aca="false">IF(AND(N2653="No",O2653&lt;&gt;""),"Unexpected: channel present but no reminder sent",IF(AND(N2653="Yes",O2653=""),"Missing channel for sent reminder","OK"))</f>
        <v>OK</v>
      </c>
    </row>
    <row r="2654" customFormat="false" ht="15" hidden="false" customHeight="false" outlineLevel="0" collapsed="false">
      <c r="A2654" s="7" t="s">
        <v>4115</v>
      </c>
      <c r="B2654" s="7" t="s">
        <v>4116</v>
      </c>
      <c r="C2654" s="7" t="s">
        <v>47</v>
      </c>
      <c r="D2654" s="7" t="n">
        <v>71</v>
      </c>
      <c r="E2654" s="7" t="s">
        <v>70</v>
      </c>
      <c r="F2654" s="7" t="s">
        <v>57</v>
      </c>
      <c r="G2654" s="8" t="n">
        <v>46180</v>
      </c>
      <c r="H2654" s="8" t="n">
        <v>46197</v>
      </c>
      <c r="I2654" s="7" t="s">
        <v>58</v>
      </c>
      <c r="J2654" s="7" t="s">
        <v>41</v>
      </c>
      <c r="K2654" s="7" t="n">
        <v>17</v>
      </c>
      <c r="L2654" s="7" t="n">
        <v>3</v>
      </c>
      <c r="M2654" s="7" t="n">
        <v>0</v>
      </c>
      <c r="N2654" s="7" t="s">
        <v>42</v>
      </c>
      <c r="O2654" s="7" t="s">
        <v>43</v>
      </c>
      <c r="P2654" s="7" t="n">
        <v>5.2</v>
      </c>
      <c r="Q2654" s="7" t="n">
        <v>24</v>
      </c>
      <c r="R2654" s="7" t="s">
        <v>53</v>
      </c>
      <c r="S2654" s="7"/>
      <c r="T2654" s="7"/>
      <c r="U2654" s="7" t="str">
        <f aca="false">IF(COUNTIF($A$2:$A$5001,A2654)&gt;1,"Duplicate","Unique")</f>
        <v>Unique</v>
      </c>
      <c r="V2654" s="7" t="str">
        <f aca="false">IF(COUNTIFS($B$2:$B$5001,B2654,$H$2:$H$5001,H2654,$J$2:$J$5001,J2654)&gt;1,"Possible Duplicate Booking","Unique")</f>
        <v>Unique</v>
      </c>
      <c r="W2654" s="7" t="str">
        <f aca="false">IF((H2654-G2654)&lt;&gt;K2654,"Mismatch","OK")</f>
        <v>OK</v>
      </c>
      <c r="X2654" s="7" t="str">
        <f aca="false">IF(TEXT(H2654,"dddd")&lt;&gt;I2654,"Mismatch","OK")</f>
        <v>OK</v>
      </c>
      <c r="Y2654" s="7" t="str">
        <f aca="false">IF(AND(N2654="No",O2654&lt;&gt;""),"Unexpected: channel present but no reminder sent",IF(AND(N2654="Yes",O2654=""),"Missing channel for sent reminder","OK"))</f>
        <v>OK</v>
      </c>
    </row>
    <row r="2655" customFormat="false" ht="15" hidden="false" customHeight="false" outlineLevel="0" collapsed="false">
      <c r="A2655" s="9" t="s">
        <v>4117</v>
      </c>
      <c r="B2655" s="9" t="s">
        <v>1955</v>
      </c>
      <c r="C2655" s="9" t="s">
        <v>47</v>
      </c>
      <c r="D2655" s="9" t="n">
        <v>71</v>
      </c>
      <c r="E2655" s="9" t="s">
        <v>70</v>
      </c>
      <c r="F2655" s="9" t="s">
        <v>57</v>
      </c>
      <c r="G2655" s="10" t="n">
        <v>45845</v>
      </c>
      <c r="H2655" s="10" t="n">
        <v>45861</v>
      </c>
      <c r="I2655" s="9" t="s">
        <v>58</v>
      </c>
      <c r="J2655" s="9" t="s">
        <v>51</v>
      </c>
      <c r="K2655" s="9" t="n">
        <v>16</v>
      </c>
      <c r="L2655" s="9" t="n">
        <v>1</v>
      </c>
      <c r="M2655" s="9" t="n">
        <v>1</v>
      </c>
      <c r="N2655" s="9" t="s">
        <v>42</v>
      </c>
      <c r="O2655" s="9" t="s">
        <v>67</v>
      </c>
      <c r="P2655" s="9" t="n">
        <v>5.7</v>
      </c>
      <c r="Q2655" s="9" t="n">
        <v>23</v>
      </c>
      <c r="R2655" s="9" t="s">
        <v>44</v>
      </c>
      <c r="S2655" s="9"/>
      <c r="T2655" s="9"/>
      <c r="U2655" s="9" t="str">
        <f aca="false">IF(COUNTIF($A$2:$A$5001,A2655)&gt;1,"Duplicate","Unique")</f>
        <v>Unique</v>
      </c>
      <c r="V2655" s="9" t="str">
        <f aca="false">IF(COUNTIFS($B$2:$B$5001,B2655,$H$2:$H$5001,H2655,$J$2:$J$5001,J2655)&gt;1,"Possible Duplicate Booking","Unique")</f>
        <v>Unique</v>
      </c>
      <c r="W2655" s="9" t="str">
        <f aca="false">IF((H2655-G2655)&lt;&gt;K2655,"Mismatch","OK")</f>
        <v>OK</v>
      </c>
      <c r="X2655" s="9" t="str">
        <f aca="false">IF(TEXT(H2655,"dddd")&lt;&gt;I2655,"Mismatch","OK")</f>
        <v>OK</v>
      </c>
      <c r="Y2655" s="9" t="str">
        <f aca="false">IF(AND(N2655="No",O2655&lt;&gt;""),"Unexpected: channel present but no reminder sent",IF(AND(N2655="Yes",O2655=""),"Missing channel for sent reminder","OK"))</f>
        <v>OK</v>
      </c>
    </row>
    <row r="2656" customFormat="false" ht="15" hidden="false" customHeight="false" outlineLevel="0" collapsed="false">
      <c r="A2656" s="7" t="s">
        <v>4118</v>
      </c>
      <c r="B2656" s="7" t="s">
        <v>4119</v>
      </c>
      <c r="C2656" s="7" t="s">
        <v>47</v>
      </c>
      <c r="D2656" s="7" t="n">
        <v>65</v>
      </c>
      <c r="E2656" s="7" t="s">
        <v>70</v>
      </c>
      <c r="F2656" s="7" t="s">
        <v>57</v>
      </c>
      <c r="G2656" s="8" t="n">
        <v>46115</v>
      </c>
      <c r="H2656" s="8" t="n">
        <v>46122</v>
      </c>
      <c r="I2656" s="7" t="s">
        <v>50</v>
      </c>
      <c r="J2656" s="7" t="s">
        <v>41</v>
      </c>
      <c r="K2656" s="7" t="n">
        <v>7</v>
      </c>
      <c r="L2656" s="7" t="n">
        <v>2</v>
      </c>
      <c r="M2656" s="7" t="n">
        <v>1</v>
      </c>
      <c r="N2656" s="7" t="s">
        <v>42</v>
      </c>
      <c r="O2656" s="7" t="s">
        <v>52</v>
      </c>
      <c r="P2656" s="7" t="n">
        <v>4.6</v>
      </c>
      <c r="Q2656" s="7" t="n">
        <v>7</v>
      </c>
      <c r="R2656" s="7" t="s">
        <v>53</v>
      </c>
      <c r="S2656" s="7"/>
      <c r="T2656" s="7"/>
      <c r="U2656" s="7" t="str">
        <f aca="false">IF(COUNTIF($A$2:$A$5001,A2656)&gt;1,"Duplicate","Unique")</f>
        <v>Unique</v>
      </c>
      <c r="V2656" s="7" t="str">
        <f aca="false">IF(COUNTIFS($B$2:$B$5001,B2656,$H$2:$H$5001,H2656,$J$2:$J$5001,J2656)&gt;1,"Possible Duplicate Booking","Unique")</f>
        <v>Unique</v>
      </c>
      <c r="W2656" s="7" t="str">
        <f aca="false">IF((H2656-G2656)&lt;&gt;K2656,"Mismatch","OK")</f>
        <v>OK</v>
      </c>
      <c r="X2656" s="7" t="str">
        <f aca="false">IF(TEXT(H2656,"dddd")&lt;&gt;I2656,"Mismatch","OK")</f>
        <v>OK</v>
      </c>
      <c r="Y2656" s="7" t="str">
        <f aca="false">IF(AND(N2656="No",O2656&lt;&gt;""),"Unexpected: channel present but no reminder sent",IF(AND(N2656="Yes",O2656=""),"Missing channel for sent reminder","OK"))</f>
        <v>OK</v>
      </c>
    </row>
    <row r="2657" customFormat="false" ht="15" hidden="false" customHeight="false" outlineLevel="0" collapsed="false">
      <c r="A2657" s="9" t="s">
        <v>4120</v>
      </c>
      <c r="B2657" s="9" t="s">
        <v>2036</v>
      </c>
      <c r="C2657" s="9" t="s">
        <v>47</v>
      </c>
      <c r="D2657" s="9" t="n">
        <v>54</v>
      </c>
      <c r="E2657" s="9" t="s">
        <v>56</v>
      </c>
      <c r="F2657" s="9" t="s">
        <v>57</v>
      </c>
      <c r="G2657" s="10" t="n">
        <v>45947</v>
      </c>
      <c r="H2657" s="10" t="n">
        <v>45966</v>
      </c>
      <c r="I2657" s="9" t="s">
        <v>58</v>
      </c>
      <c r="J2657" s="9" t="s">
        <v>41</v>
      </c>
      <c r="K2657" s="9" t="n">
        <v>19</v>
      </c>
      <c r="L2657" s="9" t="n">
        <v>2</v>
      </c>
      <c r="M2657" s="9" t="n">
        <v>0</v>
      </c>
      <c r="N2657" s="9" t="s">
        <v>42</v>
      </c>
      <c r="O2657" s="9" t="s">
        <v>52</v>
      </c>
      <c r="P2657" s="9" t="n">
        <v>8.2</v>
      </c>
      <c r="Q2657" s="9"/>
      <c r="R2657" s="9" t="s">
        <v>53</v>
      </c>
      <c r="S2657" s="9"/>
      <c r="T2657" s="9"/>
      <c r="U2657" s="9" t="str">
        <f aca="false">IF(COUNTIF($A$2:$A$5001,A2657)&gt;1,"Duplicate","Unique")</f>
        <v>Unique</v>
      </c>
      <c r="V2657" s="9" t="str">
        <f aca="false">IF(COUNTIFS($B$2:$B$5001,B2657,$H$2:$H$5001,H2657,$J$2:$J$5001,J2657)&gt;1,"Possible Duplicate Booking","Unique")</f>
        <v>Unique</v>
      </c>
      <c r="W2657" s="9" t="str">
        <f aca="false">IF((H2657-G2657)&lt;&gt;K2657,"Mismatch","OK")</f>
        <v>OK</v>
      </c>
      <c r="X2657" s="9" t="str">
        <f aca="false">IF(TEXT(H2657,"dddd")&lt;&gt;I2657,"Mismatch","OK")</f>
        <v>OK</v>
      </c>
      <c r="Y2657" s="9" t="str">
        <f aca="false">IF(AND(N2657="No",O2657&lt;&gt;""),"Unexpected: channel present but no reminder sent",IF(AND(N2657="Yes",O2657=""),"Missing channel for sent reminder","OK"))</f>
        <v>OK</v>
      </c>
    </row>
    <row r="2658" customFormat="false" ht="15" hidden="false" customHeight="false" outlineLevel="0" collapsed="false">
      <c r="A2658" s="7" t="s">
        <v>4121</v>
      </c>
      <c r="B2658" s="7" t="s">
        <v>2737</v>
      </c>
      <c r="C2658" s="7" t="s">
        <v>37</v>
      </c>
      <c r="D2658" s="7" t="n">
        <v>34</v>
      </c>
      <c r="E2658" s="7" t="s">
        <v>48</v>
      </c>
      <c r="F2658" s="7" t="s">
        <v>39</v>
      </c>
      <c r="G2658" s="8" t="n">
        <v>45641</v>
      </c>
      <c r="H2658" s="8" t="n">
        <v>45689</v>
      </c>
      <c r="I2658" s="7" t="s">
        <v>102</v>
      </c>
      <c r="J2658" s="7" t="s">
        <v>51</v>
      </c>
      <c r="K2658" s="7" t="n">
        <v>48</v>
      </c>
      <c r="L2658" s="7" t="n">
        <v>2</v>
      </c>
      <c r="M2658" s="7" t="n">
        <v>2</v>
      </c>
      <c r="N2658" s="7" t="s">
        <v>42</v>
      </c>
      <c r="O2658" s="7" t="s">
        <v>52</v>
      </c>
      <c r="P2658" s="7" t="n">
        <v>16.8</v>
      </c>
      <c r="Q2658" s="7" t="n">
        <v>20</v>
      </c>
      <c r="R2658" s="7" t="s">
        <v>44</v>
      </c>
      <c r="S2658" s="7"/>
      <c r="T2658" s="7"/>
      <c r="U2658" s="7" t="str">
        <f aca="false">IF(COUNTIF($A$2:$A$5001,A2658)&gt;1,"Duplicate","Unique")</f>
        <v>Unique</v>
      </c>
      <c r="V2658" s="7" t="str">
        <f aca="false">IF(COUNTIFS($B$2:$B$5001,B2658,$H$2:$H$5001,H2658,$J$2:$J$5001,J2658)&gt;1,"Possible Duplicate Booking","Unique")</f>
        <v>Unique</v>
      </c>
      <c r="W2658" s="7" t="str">
        <f aca="false">IF((H2658-G2658)&lt;&gt;K2658,"Mismatch","OK")</f>
        <v>OK</v>
      </c>
      <c r="X2658" s="7" t="str">
        <f aca="false">IF(TEXT(H2658,"dddd")&lt;&gt;I2658,"Mismatch","OK")</f>
        <v>OK</v>
      </c>
      <c r="Y2658" s="7" t="str">
        <f aca="false">IF(AND(N2658="No",O2658&lt;&gt;""),"Unexpected: channel present but no reminder sent",IF(AND(N2658="Yes",O2658=""),"Missing channel for sent reminder","OK"))</f>
        <v>OK</v>
      </c>
    </row>
    <row r="2659" customFormat="false" ht="15" hidden="false" customHeight="false" outlineLevel="0" collapsed="false">
      <c r="A2659" s="9" t="s">
        <v>4122</v>
      </c>
      <c r="B2659" s="9" t="s">
        <v>4123</v>
      </c>
      <c r="C2659" s="9" t="s">
        <v>47</v>
      </c>
      <c r="D2659" s="9" t="n">
        <v>43</v>
      </c>
      <c r="E2659" s="9" t="s">
        <v>38</v>
      </c>
      <c r="F2659" s="9" t="s">
        <v>49</v>
      </c>
      <c r="G2659" s="10" t="n">
        <v>45748</v>
      </c>
      <c r="H2659" s="10" t="n">
        <v>45805</v>
      </c>
      <c r="I2659" s="9" t="s">
        <v>58</v>
      </c>
      <c r="J2659" s="9" t="s">
        <v>51</v>
      </c>
      <c r="K2659" s="9" t="n">
        <v>57</v>
      </c>
      <c r="L2659" s="9" t="n">
        <v>4</v>
      </c>
      <c r="M2659" s="9" t="n">
        <v>0</v>
      </c>
      <c r="N2659" s="9" t="s">
        <v>42</v>
      </c>
      <c r="O2659" s="9" t="s">
        <v>52</v>
      </c>
      <c r="P2659" s="9" t="n">
        <v>5.6</v>
      </c>
      <c r="Q2659" s="9" t="n">
        <v>39</v>
      </c>
      <c r="R2659" s="9" t="s">
        <v>53</v>
      </c>
      <c r="S2659" s="9"/>
      <c r="T2659" s="9"/>
      <c r="U2659" s="9" t="str">
        <f aca="false">IF(COUNTIF($A$2:$A$5001,A2659)&gt;1,"Duplicate","Unique")</f>
        <v>Unique</v>
      </c>
      <c r="V2659" s="9" t="str">
        <f aca="false">IF(COUNTIFS($B$2:$B$5001,B2659,$H$2:$H$5001,H2659,$J$2:$J$5001,J2659)&gt;1,"Possible Duplicate Booking","Unique")</f>
        <v>Unique</v>
      </c>
      <c r="W2659" s="9" t="str">
        <f aca="false">IF((H2659-G2659)&lt;&gt;K2659,"Mismatch","OK")</f>
        <v>OK</v>
      </c>
      <c r="X2659" s="9" t="str">
        <f aca="false">IF(TEXT(H2659,"dddd")&lt;&gt;I2659,"Mismatch","OK")</f>
        <v>OK</v>
      </c>
      <c r="Y2659" s="9" t="str">
        <f aca="false">IF(AND(N2659="No",O2659&lt;&gt;""),"Unexpected: channel present but no reminder sent",IF(AND(N2659="Yes",O2659=""),"Missing channel for sent reminder","OK"))</f>
        <v>OK</v>
      </c>
    </row>
    <row r="2660" customFormat="false" ht="15" hidden="false" customHeight="false" outlineLevel="0" collapsed="false">
      <c r="A2660" s="7" t="s">
        <v>4124</v>
      </c>
      <c r="B2660" s="7" t="s">
        <v>2145</v>
      </c>
      <c r="C2660" s="7" t="s">
        <v>37</v>
      </c>
      <c r="D2660" s="7" t="n">
        <v>22</v>
      </c>
      <c r="E2660" s="7" t="s">
        <v>82</v>
      </c>
      <c r="F2660" s="7" t="s">
        <v>57</v>
      </c>
      <c r="G2660" s="8" t="n">
        <v>45986</v>
      </c>
      <c r="H2660" s="8" t="n">
        <v>46024</v>
      </c>
      <c r="I2660" s="7" t="s">
        <v>50</v>
      </c>
      <c r="J2660" s="7" t="s">
        <v>41</v>
      </c>
      <c r="K2660" s="7" t="n">
        <v>38</v>
      </c>
      <c r="L2660" s="7" t="n">
        <v>3</v>
      </c>
      <c r="M2660" s="7" t="n">
        <v>1</v>
      </c>
      <c r="N2660" s="7" t="s">
        <v>42</v>
      </c>
      <c r="O2660" s="7" t="s">
        <v>67</v>
      </c>
      <c r="P2660" s="7" t="n">
        <v>22.3</v>
      </c>
      <c r="Q2660" s="7" t="n">
        <v>37</v>
      </c>
      <c r="R2660" s="7" t="s">
        <v>44</v>
      </c>
      <c r="S2660" s="7"/>
      <c r="T2660" s="7"/>
      <c r="U2660" s="7" t="str">
        <f aca="false">IF(COUNTIF($A$2:$A$5001,A2660)&gt;1,"Duplicate","Unique")</f>
        <v>Unique</v>
      </c>
      <c r="V2660" s="7" t="str">
        <f aca="false">IF(COUNTIFS($B$2:$B$5001,B2660,$H$2:$H$5001,H2660,$J$2:$J$5001,J2660)&gt;1,"Possible Duplicate Booking","Unique")</f>
        <v>Unique</v>
      </c>
      <c r="W2660" s="7" t="str">
        <f aca="false">IF((H2660-G2660)&lt;&gt;K2660,"Mismatch","OK")</f>
        <v>OK</v>
      </c>
      <c r="X2660" s="7" t="str">
        <f aca="false">IF(TEXT(H2660,"dddd")&lt;&gt;I2660,"Mismatch","OK")</f>
        <v>OK</v>
      </c>
      <c r="Y2660" s="7" t="str">
        <f aca="false">IF(AND(N2660="No",O2660&lt;&gt;""),"Unexpected: channel present but no reminder sent",IF(AND(N2660="Yes",O2660=""),"Missing channel for sent reminder","OK"))</f>
        <v>OK</v>
      </c>
    </row>
    <row r="2661" customFormat="false" ht="15" hidden="false" customHeight="false" outlineLevel="0" collapsed="false">
      <c r="A2661" s="9" t="s">
        <v>4125</v>
      </c>
      <c r="B2661" s="9" t="s">
        <v>1957</v>
      </c>
      <c r="C2661" s="9" t="s">
        <v>47</v>
      </c>
      <c r="D2661" s="9" t="n">
        <v>33</v>
      </c>
      <c r="E2661" s="9" t="s">
        <v>48</v>
      </c>
      <c r="F2661" s="9" t="s">
        <v>49</v>
      </c>
      <c r="G2661" s="10" t="n">
        <v>45707</v>
      </c>
      <c r="H2661" s="10" t="n">
        <v>45745</v>
      </c>
      <c r="I2661" s="9" t="s">
        <v>102</v>
      </c>
      <c r="J2661" s="9" t="s">
        <v>51</v>
      </c>
      <c r="K2661" s="9" t="n">
        <v>38</v>
      </c>
      <c r="L2661" s="9" t="n">
        <v>3</v>
      </c>
      <c r="M2661" s="9" t="n">
        <v>0</v>
      </c>
      <c r="N2661" s="9" t="s">
        <v>42</v>
      </c>
      <c r="O2661" s="9" t="s">
        <v>52</v>
      </c>
      <c r="P2661" s="9" t="n">
        <v>11.8</v>
      </c>
      <c r="Q2661" s="9" t="n">
        <v>26</v>
      </c>
      <c r="R2661" s="9" t="s">
        <v>53</v>
      </c>
      <c r="S2661" s="9"/>
      <c r="T2661" s="9"/>
      <c r="U2661" s="9" t="str">
        <f aca="false">IF(COUNTIF($A$2:$A$5001,A2661)&gt;1,"Duplicate","Unique")</f>
        <v>Unique</v>
      </c>
      <c r="V2661" s="9" t="str">
        <f aca="false">IF(COUNTIFS($B$2:$B$5001,B2661,$H$2:$H$5001,H2661,$J$2:$J$5001,J2661)&gt;1,"Possible Duplicate Booking","Unique")</f>
        <v>Unique</v>
      </c>
      <c r="W2661" s="9" t="str">
        <f aca="false">IF((H2661-G2661)&lt;&gt;K2661,"Mismatch","OK")</f>
        <v>OK</v>
      </c>
      <c r="X2661" s="9" t="str">
        <f aca="false">IF(TEXT(H2661,"dddd")&lt;&gt;I2661,"Mismatch","OK")</f>
        <v>OK</v>
      </c>
      <c r="Y2661" s="9" t="str">
        <f aca="false">IF(AND(N2661="No",O2661&lt;&gt;""),"Unexpected: channel present but no reminder sent",IF(AND(N2661="Yes",O2661=""),"Missing channel for sent reminder","OK"))</f>
        <v>OK</v>
      </c>
    </row>
    <row r="2662" customFormat="false" ht="15" hidden="false" customHeight="false" outlineLevel="0" collapsed="false">
      <c r="A2662" s="7" t="s">
        <v>4126</v>
      </c>
      <c r="B2662" s="7" t="s">
        <v>3802</v>
      </c>
      <c r="C2662" s="7" t="s">
        <v>37</v>
      </c>
      <c r="D2662" s="7" t="n">
        <v>46</v>
      </c>
      <c r="E2662" s="7" t="s">
        <v>56</v>
      </c>
      <c r="F2662" s="7" t="s">
        <v>57</v>
      </c>
      <c r="G2662" s="8" t="n">
        <v>45858</v>
      </c>
      <c r="H2662" s="8" t="n">
        <v>45895</v>
      </c>
      <c r="I2662" s="7" t="s">
        <v>40</v>
      </c>
      <c r="J2662" s="7" t="s">
        <v>51</v>
      </c>
      <c r="K2662" s="7" t="n">
        <v>37</v>
      </c>
      <c r="L2662" s="7" t="n">
        <v>4</v>
      </c>
      <c r="M2662" s="7" t="n">
        <v>0</v>
      </c>
      <c r="N2662" s="7" t="s">
        <v>42</v>
      </c>
      <c r="O2662" s="7" t="s">
        <v>52</v>
      </c>
      <c r="P2662" s="7" t="n">
        <v>36.5</v>
      </c>
      <c r="Q2662" s="7" t="n">
        <v>36</v>
      </c>
      <c r="R2662" s="7" t="s">
        <v>44</v>
      </c>
      <c r="S2662" s="7"/>
      <c r="T2662" s="7"/>
      <c r="U2662" s="7" t="str">
        <f aca="false">IF(COUNTIF($A$2:$A$5001,A2662)&gt;1,"Duplicate","Unique")</f>
        <v>Unique</v>
      </c>
      <c r="V2662" s="7" t="str">
        <f aca="false">IF(COUNTIFS($B$2:$B$5001,B2662,$H$2:$H$5001,H2662,$J$2:$J$5001,J2662)&gt;1,"Possible Duplicate Booking","Unique")</f>
        <v>Unique</v>
      </c>
      <c r="W2662" s="7" t="str">
        <f aca="false">IF((H2662-G2662)&lt;&gt;K2662,"Mismatch","OK")</f>
        <v>OK</v>
      </c>
      <c r="X2662" s="7" t="str">
        <f aca="false">IF(TEXT(H2662,"dddd")&lt;&gt;I2662,"Mismatch","OK")</f>
        <v>OK</v>
      </c>
      <c r="Y2662" s="7" t="str">
        <f aca="false">IF(AND(N2662="No",O2662&lt;&gt;""),"Unexpected: channel present but no reminder sent",IF(AND(N2662="Yes",O2662=""),"Missing channel for sent reminder","OK"))</f>
        <v>OK</v>
      </c>
    </row>
    <row r="2663" customFormat="false" ht="15" hidden="false" customHeight="false" outlineLevel="0" collapsed="false">
      <c r="A2663" s="9" t="s">
        <v>4127</v>
      </c>
      <c r="B2663" s="9" t="s">
        <v>342</v>
      </c>
      <c r="C2663" s="9" t="s">
        <v>37</v>
      </c>
      <c r="D2663" s="9" t="n">
        <v>45</v>
      </c>
      <c r="E2663" s="9" t="s">
        <v>56</v>
      </c>
      <c r="F2663" s="9" t="s">
        <v>39</v>
      </c>
      <c r="G2663" s="10" t="n">
        <v>46052</v>
      </c>
      <c r="H2663" s="10" t="n">
        <v>46081</v>
      </c>
      <c r="I2663" s="9" t="s">
        <v>102</v>
      </c>
      <c r="J2663" s="9" t="s">
        <v>51</v>
      </c>
      <c r="K2663" s="9" t="n">
        <v>29</v>
      </c>
      <c r="L2663" s="9" t="n">
        <v>1</v>
      </c>
      <c r="M2663" s="9" t="n">
        <v>0</v>
      </c>
      <c r="N2663" s="9" t="s">
        <v>42</v>
      </c>
      <c r="O2663" s="9" t="s">
        <v>52</v>
      </c>
      <c r="P2663" s="9" t="n">
        <v>14.1</v>
      </c>
      <c r="Q2663" s="9" t="n">
        <v>31</v>
      </c>
      <c r="R2663" s="9" t="s">
        <v>44</v>
      </c>
      <c r="S2663" s="9"/>
      <c r="T2663" s="9"/>
      <c r="U2663" s="9" t="str">
        <f aca="false">IF(COUNTIF($A$2:$A$5001,A2663)&gt;1,"Duplicate","Unique")</f>
        <v>Unique</v>
      </c>
      <c r="V2663" s="9" t="str">
        <f aca="false">IF(COUNTIFS($B$2:$B$5001,B2663,$H$2:$H$5001,H2663,$J$2:$J$5001,J2663)&gt;1,"Possible Duplicate Booking","Unique")</f>
        <v>Unique</v>
      </c>
      <c r="W2663" s="9" t="str">
        <f aca="false">IF((H2663-G2663)&lt;&gt;K2663,"Mismatch","OK")</f>
        <v>OK</v>
      </c>
      <c r="X2663" s="9" t="str">
        <f aca="false">IF(TEXT(H2663,"dddd")&lt;&gt;I2663,"Mismatch","OK")</f>
        <v>OK</v>
      </c>
      <c r="Y2663" s="9" t="str">
        <f aca="false">IF(AND(N2663="No",O2663&lt;&gt;""),"Unexpected: channel present but no reminder sent",IF(AND(N2663="Yes",O2663=""),"Missing channel for sent reminder","OK"))</f>
        <v>OK</v>
      </c>
    </row>
    <row r="2664" customFormat="false" ht="15" hidden="false" customHeight="false" outlineLevel="0" collapsed="false">
      <c r="A2664" s="7" t="s">
        <v>4128</v>
      </c>
      <c r="B2664" s="7" t="s">
        <v>3863</v>
      </c>
      <c r="C2664" s="7" t="s">
        <v>37</v>
      </c>
      <c r="D2664" s="7" t="n">
        <v>23</v>
      </c>
      <c r="E2664" s="7" t="s">
        <v>82</v>
      </c>
      <c r="F2664" s="7" t="s">
        <v>57</v>
      </c>
      <c r="G2664" s="8" t="n">
        <v>45714</v>
      </c>
      <c r="H2664" s="8" t="n">
        <v>45739</v>
      </c>
      <c r="I2664" s="7" t="s">
        <v>75</v>
      </c>
      <c r="J2664" s="7" t="s">
        <v>41</v>
      </c>
      <c r="K2664" s="7" t="n">
        <v>25</v>
      </c>
      <c r="L2664" s="7" t="n">
        <v>4</v>
      </c>
      <c r="M2664" s="7" t="n">
        <v>2</v>
      </c>
      <c r="N2664" s="7" t="s">
        <v>42</v>
      </c>
      <c r="O2664" s="7" t="s">
        <v>43</v>
      </c>
      <c r="P2664" s="7" t="n">
        <v>2.5</v>
      </c>
      <c r="Q2664" s="7" t="n">
        <v>24</v>
      </c>
      <c r="R2664" s="7" t="s">
        <v>44</v>
      </c>
      <c r="S2664" s="7"/>
      <c r="T2664" s="7"/>
      <c r="U2664" s="7" t="str">
        <f aca="false">IF(COUNTIF($A$2:$A$5001,A2664)&gt;1,"Duplicate","Unique")</f>
        <v>Unique</v>
      </c>
      <c r="V2664" s="7" t="str">
        <f aca="false">IF(COUNTIFS($B$2:$B$5001,B2664,$H$2:$H$5001,H2664,$J$2:$J$5001,J2664)&gt;1,"Possible Duplicate Booking","Unique")</f>
        <v>Unique</v>
      </c>
      <c r="W2664" s="7" t="str">
        <f aca="false">IF((H2664-G2664)&lt;&gt;K2664,"Mismatch","OK")</f>
        <v>OK</v>
      </c>
      <c r="X2664" s="7" t="str">
        <f aca="false">IF(TEXT(H2664,"dddd")&lt;&gt;I2664,"Mismatch","OK")</f>
        <v>OK</v>
      </c>
      <c r="Y2664" s="7" t="str">
        <f aca="false">IF(AND(N2664="No",O2664&lt;&gt;""),"Unexpected: channel present but no reminder sent",IF(AND(N2664="Yes",O2664=""),"Missing channel for sent reminder","OK"))</f>
        <v>OK</v>
      </c>
    </row>
    <row r="2665" customFormat="false" ht="15" hidden="false" customHeight="false" outlineLevel="0" collapsed="false">
      <c r="A2665" s="9" t="s">
        <v>4129</v>
      </c>
      <c r="B2665" s="9" t="s">
        <v>2421</v>
      </c>
      <c r="C2665" s="9" t="s">
        <v>47</v>
      </c>
      <c r="D2665" s="9" t="n">
        <v>78</v>
      </c>
      <c r="E2665" s="9" t="s">
        <v>70</v>
      </c>
      <c r="F2665" s="9" t="s">
        <v>39</v>
      </c>
      <c r="G2665" s="10" t="n">
        <v>45892</v>
      </c>
      <c r="H2665" s="10" t="n">
        <v>45929</v>
      </c>
      <c r="I2665" s="9" t="s">
        <v>66</v>
      </c>
      <c r="J2665" s="9" t="s">
        <v>51</v>
      </c>
      <c r="K2665" s="9" t="n">
        <v>37</v>
      </c>
      <c r="L2665" s="9" t="n">
        <v>2</v>
      </c>
      <c r="M2665" s="9" t="n">
        <v>1</v>
      </c>
      <c r="N2665" s="9" t="s">
        <v>71</v>
      </c>
      <c r="O2665" s="9"/>
      <c r="P2665" s="9" t="n">
        <v>19.9</v>
      </c>
      <c r="Q2665" s="9" t="n">
        <v>8</v>
      </c>
      <c r="R2665" s="9" t="s">
        <v>44</v>
      </c>
      <c r="S2665" s="9"/>
      <c r="T2665" s="9"/>
      <c r="U2665" s="9" t="str">
        <f aca="false">IF(COUNTIF($A$2:$A$5001,A2665)&gt;1,"Duplicate","Unique")</f>
        <v>Unique</v>
      </c>
      <c r="V2665" s="9" t="str">
        <f aca="false">IF(COUNTIFS($B$2:$B$5001,B2665,$H$2:$H$5001,H2665,$J$2:$J$5001,J2665)&gt;1,"Possible Duplicate Booking","Unique")</f>
        <v>Unique</v>
      </c>
      <c r="W2665" s="9" t="str">
        <f aca="false">IF((H2665-G2665)&lt;&gt;K2665,"Mismatch","OK")</f>
        <v>OK</v>
      </c>
      <c r="X2665" s="9" t="str">
        <f aca="false">IF(TEXT(H2665,"dddd")&lt;&gt;I2665,"Mismatch","OK")</f>
        <v>OK</v>
      </c>
      <c r="Y2665" s="9" t="str">
        <f aca="false">IF(AND(N2665="No",O2665&lt;&gt;""),"Unexpected: channel present but no reminder sent",IF(AND(N2665="Yes",O2665=""),"Missing channel for sent reminder","OK"))</f>
        <v>OK</v>
      </c>
    </row>
    <row r="2666" customFormat="false" ht="15" hidden="false" customHeight="false" outlineLevel="0" collapsed="false">
      <c r="A2666" s="7" t="s">
        <v>4130</v>
      </c>
      <c r="B2666" s="7" t="s">
        <v>757</v>
      </c>
      <c r="C2666" s="7" t="s">
        <v>37</v>
      </c>
      <c r="D2666" s="7" t="n">
        <v>34</v>
      </c>
      <c r="E2666" s="7" t="s">
        <v>48</v>
      </c>
      <c r="F2666" s="7" t="s">
        <v>57</v>
      </c>
      <c r="G2666" s="8" t="n">
        <v>45728</v>
      </c>
      <c r="H2666" s="8" t="n">
        <v>45775</v>
      </c>
      <c r="I2666" s="7" t="s">
        <v>66</v>
      </c>
      <c r="J2666" s="7" t="s">
        <v>41</v>
      </c>
      <c r="K2666" s="7" t="n">
        <v>47</v>
      </c>
      <c r="L2666" s="7" t="n">
        <v>4</v>
      </c>
      <c r="M2666" s="7" t="n">
        <v>0</v>
      </c>
      <c r="N2666" s="7" t="s">
        <v>71</v>
      </c>
      <c r="O2666" s="7"/>
      <c r="P2666" s="7"/>
      <c r="Q2666" s="7" t="n">
        <v>22</v>
      </c>
      <c r="R2666" s="7" t="s">
        <v>53</v>
      </c>
      <c r="S2666" s="7"/>
      <c r="T2666" s="7"/>
      <c r="U2666" s="7" t="str">
        <f aca="false">IF(COUNTIF($A$2:$A$5001,A2666)&gt;1,"Duplicate","Unique")</f>
        <v>Unique</v>
      </c>
      <c r="V2666" s="7" t="str">
        <f aca="false">IF(COUNTIFS($B$2:$B$5001,B2666,$H$2:$H$5001,H2666,$J$2:$J$5001,J2666)&gt;1,"Possible Duplicate Booking","Unique")</f>
        <v>Unique</v>
      </c>
      <c r="W2666" s="7" t="str">
        <f aca="false">IF((H2666-G2666)&lt;&gt;K2666,"Mismatch","OK")</f>
        <v>OK</v>
      </c>
      <c r="X2666" s="7" t="str">
        <f aca="false">IF(TEXT(H2666,"dddd")&lt;&gt;I2666,"Mismatch","OK")</f>
        <v>OK</v>
      </c>
      <c r="Y2666" s="7" t="str">
        <f aca="false">IF(AND(N2666="No",O2666&lt;&gt;""),"Unexpected: channel present but no reminder sent",IF(AND(N2666="Yes",O2666=""),"Missing channel for sent reminder","OK"))</f>
        <v>OK</v>
      </c>
    </row>
    <row r="2667" customFormat="false" ht="15" hidden="false" customHeight="false" outlineLevel="0" collapsed="false">
      <c r="A2667" s="9" t="s">
        <v>4131</v>
      </c>
      <c r="B2667" s="9" t="s">
        <v>1680</v>
      </c>
      <c r="C2667" s="9" t="s">
        <v>47</v>
      </c>
      <c r="D2667" s="9" t="n">
        <v>50</v>
      </c>
      <c r="E2667" s="9" t="s">
        <v>56</v>
      </c>
      <c r="F2667" s="9" t="s">
        <v>74</v>
      </c>
      <c r="G2667" s="10" t="n">
        <v>45925</v>
      </c>
      <c r="H2667" s="10" t="n">
        <v>45950</v>
      </c>
      <c r="I2667" s="9" t="s">
        <v>66</v>
      </c>
      <c r="J2667" s="9" t="s">
        <v>51</v>
      </c>
      <c r="K2667" s="9" t="n">
        <v>25</v>
      </c>
      <c r="L2667" s="9" t="n">
        <v>4</v>
      </c>
      <c r="M2667" s="9" t="n">
        <v>2</v>
      </c>
      <c r="N2667" s="9" t="s">
        <v>42</v>
      </c>
      <c r="O2667" s="9" t="s">
        <v>52</v>
      </c>
      <c r="P2667" s="9" t="n">
        <v>2.1</v>
      </c>
      <c r="Q2667" s="9" t="n">
        <v>20</v>
      </c>
      <c r="R2667" s="9" t="s">
        <v>44</v>
      </c>
      <c r="S2667" s="9"/>
      <c r="T2667" s="9"/>
      <c r="U2667" s="9" t="str">
        <f aca="false">IF(COUNTIF($A$2:$A$5001,A2667)&gt;1,"Duplicate","Unique")</f>
        <v>Unique</v>
      </c>
      <c r="V2667" s="9" t="str">
        <f aca="false">IF(COUNTIFS($B$2:$B$5001,B2667,$H$2:$H$5001,H2667,$J$2:$J$5001,J2667)&gt;1,"Possible Duplicate Booking","Unique")</f>
        <v>Unique</v>
      </c>
      <c r="W2667" s="9" t="str">
        <f aca="false">IF((H2667-G2667)&lt;&gt;K2667,"Mismatch","OK")</f>
        <v>OK</v>
      </c>
      <c r="X2667" s="9" t="str">
        <f aca="false">IF(TEXT(H2667,"dddd")&lt;&gt;I2667,"Mismatch","OK")</f>
        <v>OK</v>
      </c>
      <c r="Y2667" s="9" t="str">
        <f aca="false">IF(AND(N2667="No",O2667&lt;&gt;""),"Unexpected: channel present but no reminder sent",IF(AND(N2667="Yes",O2667=""),"Missing channel for sent reminder","OK"))</f>
        <v>OK</v>
      </c>
    </row>
    <row r="2668" customFormat="false" ht="15" hidden="false" customHeight="false" outlineLevel="0" collapsed="false">
      <c r="A2668" s="7" t="s">
        <v>4132</v>
      </c>
      <c r="B2668" s="7" t="s">
        <v>288</v>
      </c>
      <c r="C2668" s="7" t="s">
        <v>37</v>
      </c>
      <c r="D2668" s="7" t="n">
        <v>47</v>
      </c>
      <c r="E2668" s="7" t="s">
        <v>56</v>
      </c>
      <c r="F2668" s="7" t="s">
        <v>74</v>
      </c>
      <c r="G2668" s="8" t="n">
        <v>45755</v>
      </c>
      <c r="H2668" s="8" t="n">
        <v>45789</v>
      </c>
      <c r="I2668" s="7" t="s">
        <v>66</v>
      </c>
      <c r="J2668" s="7" t="s">
        <v>51</v>
      </c>
      <c r="K2668" s="7" t="n">
        <v>34</v>
      </c>
      <c r="L2668" s="7" t="n">
        <v>1</v>
      </c>
      <c r="M2668" s="7" t="n">
        <v>0</v>
      </c>
      <c r="N2668" s="7" t="s">
        <v>42</v>
      </c>
      <c r="O2668" s="7" t="s">
        <v>43</v>
      </c>
      <c r="P2668" s="7" t="n">
        <v>16.8</v>
      </c>
      <c r="Q2668" s="7" t="n">
        <v>23</v>
      </c>
      <c r="R2668" s="7" t="s">
        <v>44</v>
      </c>
      <c r="S2668" s="7"/>
      <c r="T2668" s="7"/>
      <c r="U2668" s="7" t="str">
        <f aca="false">IF(COUNTIF($A$2:$A$5001,A2668)&gt;1,"Duplicate","Unique")</f>
        <v>Unique</v>
      </c>
      <c r="V2668" s="7" t="str">
        <f aca="false">IF(COUNTIFS($B$2:$B$5001,B2668,$H$2:$H$5001,H2668,$J$2:$J$5001,J2668)&gt;1,"Possible Duplicate Booking","Unique")</f>
        <v>Unique</v>
      </c>
      <c r="W2668" s="7" t="str">
        <f aca="false">IF((H2668-G2668)&lt;&gt;K2668,"Mismatch","OK")</f>
        <v>OK</v>
      </c>
      <c r="X2668" s="7" t="str">
        <f aca="false">IF(TEXT(H2668,"dddd")&lt;&gt;I2668,"Mismatch","OK")</f>
        <v>OK</v>
      </c>
      <c r="Y2668" s="7" t="str">
        <f aca="false">IF(AND(N2668="No",O2668&lt;&gt;""),"Unexpected: channel present but no reminder sent",IF(AND(N2668="Yes",O2668=""),"Missing channel for sent reminder","OK"))</f>
        <v>OK</v>
      </c>
    </row>
    <row r="2669" customFormat="false" ht="15" hidden="false" customHeight="false" outlineLevel="0" collapsed="false">
      <c r="A2669" s="9" t="s">
        <v>4133</v>
      </c>
      <c r="B2669" s="9" t="s">
        <v>3733</v>
      </c>
      <c r="C2669" s="9" t="s">
        <v>37</v>
      </c>
      <c r="D2669" s="9" t="n">
        <v>47</v>
      </c>
      <c r="E2669" s="9" t="s">
        <v>56</v>
      </c>
      <c r="F2669" s="9" t="s">
        <v>49</v>
      </c>
      <c r="G2669" s="10" t="n">
        <v>46157</v>
      </c>
      <c r="H2669" s="10" t="n">
        <v>46185</v>
      </c>
      <c r="I2669" s="9" t="s">
        <v>50</v>
      </c>
      <c r="J2669" s="9" t="s">
        <v>41</v>
      </c>
      <c r="K2669" s="9" t="n">
        <v>28</v>
      </c>
      <c r="L2669" s="9" t="n">
        <v>3</v>
      </c>
      <c r="M2669" s="9" t="n">
        <v>1</v>
      </c>
      <c r="N2669" s="9" t="s">
        <v>71</v>
      </c>
      <c r="O2669" s="9"/>
      <c r="P2669" s="9" t="n">
        <v>28</v>
      </c>
      <c r="Q2669" s="9" t="n">
        <v>21</v>
      </c>
      <c r="R2669" s="9" t="s">
        <v>44</v>
      </c>
      <c r="S2669" s="9"/>
      <c r="T2669" s="9"/>
      <c r="U2669" s="9" t="str">
        <f aca="false">IF(COUNTIF($A$2:$A$5001,A2669)&gt;1,"Duplicate","Unique")</f>
        <v>Unique</v>
      </c>
      <c r="V2669" s="9" t="str">
        <f aca="false">IF(COUNTIFS($B$2:$B$5001,B2669,$H$2:$H$5001,H2669,$J$2:$J$5001,J2669)&gt;1,"Possible Duplicate Booking","Unique")</f>
        <v>Unique</v>
      </c>
      <c r="W2669" s="9" t="str">
        <f aca="false">IF((H2669-G2669)&lt;&gt;K2669,"Mismatch","OK")</f>
        <v>OK</v>
      </c>
      <c r="X2669" s="9" t="str">
        <f aca="false">IF(TEXT(H2669,"dddd")&lt;&gt;I2669,"Mismatch","OK")</f>
        <v>OK</v>
      </c>
      <c r="Y2669" s="9" t="str">
        <f aca="false">IF(AND(N2669="No",O2669&lt;&gt;""),"Unexpected: channel present but no reminder sent",IF(AND(N2669="Yes",O2669=""),"Missing channel for sent reminder","OK"))</f>
        <v>OK</v>
      </c>
    </row>
    <row r="2670" customFormat="false" ht="15" hidden="false" customHeight="false" outlineLevel="0" collapsed="false">
      <c r="A2670" s="7" t="s">
        <v>4134</v>
      </c>
      <c r="B2670" s="7" t="s">
        <v>2557</v>
      </c>
      <c r="C2670" s="7" t="s">
        <v>47</v>
      </c>
      <c r="D2670" s="7" t="n">
        <v>71</v>
      </c>
      <c r="E2670" s="7" t="s">
        <v>70</v>
      </c>
      <c r="F2670" s="7" t="s">
        <v>74</v>
      </c>
      <c r="G2670" s="8" t="n">
        <v>45682</v>
      </c>
      <c r="H2670" s="8" t="n">
        <v>45699</v>
      </c>
      <c r="I2670" s="7" t="s">
        <v>40</v>
      </c>
      <c r="J2670" s="7" t="s">
        <v>51</v>
      </c>
      <c r="K2670" s="7" t="n">
        <v>17</v>
      </c>
      <c r="L2670" s="7" t="n">
        <v>1</v>
      </c>
      <c r="M2670" s="7" t="n">
        <v>0</v>
      </c>
      <c r="N2670" s="7" t="s">
        <v>42</v>
      </c>
      <c r="O2670" s="7" t="s">
        <v>52</v>
      </c>
      <c r="P2670" s="7" t="n">
        <v>28</v>
      </c>
      <c r="Q2670" s="7" t="n">
        <v>36</v>
      </c>
      <c r="R2670" s="7" t="s">
        <v>53</v>
      </c>
      <c r="S2670" s="7"/>
      <c r="T2670" s="7"/>
      <c r="U2670" s="7" t="str">
        <f aca="false">IF(COUNTIF($A$2:$A$5001,A2670)&gt;1,"Duplicate","Unique")</f>
        <v>Unique</v>
      </c>
      <c r="V2670" s="7" t="str">
        <f aca="false">IF(COUNTIFS($B$2:$B$5001,B2670,$H$2:$H$5001,H2670,$J$2:$J$5001,J2670)&gt;1,"Possible Duplicate Booking","Unique")</f>
        <v>Unique</v>
      </c>
      <c r="W2670" s="7" t="str">
        <f aca="false">IF((H2670-G2670)&lt;&gt;K2670,"Mismatch","OK")</f>
        <v>OK</v>
      </c>
      <c r="X2670" s="7" t="str">
        <f aca="false">IF(TEXT(H2670,"dddd")&lt;&gt;I2670,"Mismatch","OK")</f>
        <v>OK</v>
      </c>
      <c r="Y2670" s="7" t="str">
        <f aca="false">IF(AND(N2670="No",O2670&lt;&gt;""),"Unexpected: channel present but no reminder sent",IF(AND(N2670="Yes",O2670=""),"Missing channel for sent reminder","OK"))</f>
        <v>OK</v>
      </c>
    </row>
    <row r="2671" customFormat="false" ht="15" hidden="false" customHeight="false" outlineLevel="0" collapsed="false">
      <c r="A2671" s="9" t="s">
        <v>4135</v>
      </c>
      <c r="B2671" s="9" t="s">
        <v>2697</v>
      </c>
      <c r="C2671" s="9" t="s">
        <v>37</v>
      </c>
      <c r="D2671" s="9" t="n">
        <v>65</v>
      </c>
      <c r="E2671" s="9" t="s">
        <v>70</v>
      </c>
      <c r="F2671" s="9" t="s">
        <v>57</v>
      </c>
      <c r="G2671" s="10" t="n">
        <v>46167</v>
      </c>
      <c r="H2671" s="10" t="n">
        <v>46184</v>
      </c>
      <c r="I2671" s="9" t="s">
        <v>62</v>
      </c>
      <c r="J2671" s="9" t="s">
        <v>41</v>
      </c>
      <c r="K2671" s="9" t="n">
        <v>17</v>
      </c>
      <c r="L2671" s="9" t="n">
        <v>2</v>
      </c>
      <c r="M2671" s="9" t="n">
        <v>0</v>
      </c>
      <c r="N2671" s="9" t="s">
        <v>42</v>
      </c>
      <c r="O2671" s="9" t="s">
        <v>52</v>
      </c>
      <c r="P2671" s="9" t="n">
        <v>11.1</v>
      </c>
      <c r="Q2671" s="9" t="n">
        <v>37</v>
      </c>
      <c r="R2671" s="9" t="s">
        <v>44</v>
      </c>
      <c r="S2671" s="9"/>
      <c r="T2671" s="9"/>
      <c r="U2671" s="9" t="str">
        <f aca="false">IF(COUNTIF($A$2:$A$5001,A2671)&gt;1,"Duplicate","Unique")</f>
        <v>Unique</v>
      </c>
      <c r="V2671" s="9" t="str">
        <f aca="false">IF(COUNTIFS($B$2:$B$5001,B2671,$H$2:$H$5001,H2671,$J$2:$J$5001,J2671)&gt;1,"Possible Duplicate Booking","Unique")</f>
        <v>Unique</v>
      </c>
      <c r="W2671" s="9" t="str">
        <f aca="false">IF((H2671-G2671)&lt;&gt;K2671,"Mismatch","OK")</f>
        <v>OK</v>
      </c>
      <c r="X2671" s="9" t="str">
        <f aca="false">IF(TEXT(H2671,"dddd")&lt;&gt;I2671,"Mismatch","OK")</f>
        <v>OK</v>
      </c>
      <c r="Y2671" s="9" t="str">
        <f aca="false">IF(AND(N2671="No",O2671&lt;&gt;""),"Unexpected: channel present but no reminder sent",IF(AND(N2671="Yes",O2671=""),"Missing channel for sent reminder","OK"))</f>
        <v>OK</v>
      </c>
    </row>
    <row r="2672" customFormat="false" ht="15" hidden="false" customHeight="false" outlineLevel="0" collapsed="false">
      <c r="A2672" s="7" t="s">
        <v>4136</v>
      </c>
      <c r="B2672" s="7" t="s">
        <v>4093</v>
      </c>
      <c r="C2672" s="7" t="s">
        <v>47</v>
      </c>
      <c r="D2672" s="7" t="n">
        <v>72</v>
      </c>
      <c r="E2672" s="7" t="s">
        <v>70</v>
      </c>
      <c r="F2672" s="7" t="s">
        <v>39</v>
      </c>
      <c r="G2672" s="8" t="n">
        <v>46086</v>
      </c>
      <c r="H2672" s="8" t="n">
        <v>46090</v>
      </c>
      <c r="I2672" s="7" t="s">
        <v>66</v>
      </c>
      <c r="J2672" s="7" t="s">
        <v>51</v>
      </c>
      <c r="K2672" s="7" t="n">
        <v>4</v>
      </c>
      <c r="L2672" s="7" t="n">
        <v>2</v>
      </c>
      <c r="M2672" s="7" t="n">
        <v>0</v>
      </c>
      <c r="N2672" s="7" t="s">
        <v>42</v>
      </c>
      <c r="O2672" s="7" t="s">
        <v>67</v>
      </c>
      <c r="P2672" s="7" t="n">
        <v>7.1</v>
      </c>
      <c r="Q2672" s="7" t="n">
        <v>19</v>
      </c>
      <c r="R2672" s="7" t="s">
        <v>53</v>
      </c>
      <c r="S2672" s="7"/>
      <c r="T2672" s="7"/>
      <c r="U2672" s="7" t="str">
        <f aca="false">IF(COUNTIF($A$2:$A$5001,A2672)&gt;1,"Duplicate","Unique")</f>
        <v>Unique</v>
      </c>
      <c r="V2672" s="7" t="str">
        <f aca="false">IF(COUNTIFS($B$2:$B$5001,B2672,$H$2:$H$5001,H2672,$J$2:$J$5001,J2672)&gt;1,"Possible Duplicate Booking","Unique")</f>
        <v>Unique</v>
      </c>
      <c r="W2672" s="7" t="str">
        <f aca="false">IF((H2672-G2672)&lt;&gt;K2672,"Mismatch","OK")</f>
        <v>OK</v>
      </c>
      <c r="X2672" s="7" t="str">
        <f aca="false">IF(TEXT(H2672,"dddd")&lt;&gt;I2672,"Mismatch","OK")</f>
        <v>OK</v>
      </c>
      <c r="Y2672" s="7" t="str">
        <f aca="false">IF(AND(N2672="No",O2672&lt;&gt;""),"Unexpected: channel present but no reminder sent",IF(AND(N2672="Yes",O2672=""),"Missing channel for sent reminder","OK"))</f>
        <v>OK</v>
      </c>
    </row>
    <row r="2673" customFormat="false" ht="15" hidden="false" customHeight="false" outlineLevel="0" collapsed="false">
      <c r="A2673" s="9" t="s">
        <v>4137</v>
      </c>
      <c r="B2673" s="9" t="s">
        <v>1824</v>
      </c>
      <c r="C2673" s="9" t="s">
        <v>47</v>
      </c>
      <c r="D2673" s="9" t="n">
        <v>41</v>
      </c>
      <c r="E2673" s="9" t="s">
        <v>38</v>
      </c>
      <c r="F2673" s="9" t="s">
        <v>57</v>
      </c>
      <c r="G2673" s="10" t="n">
        <v>46099</v>
      </c>
      <c r="H2673" s="10" t="n">
        <v>46125</v>
      </c>
      <c r="I2673" s="9" t="s">
        <v>66</v>
      </c>
      <c r="J2673" s="9" t="s">
        <v>41</v>
      </c>
      <c r="K2673" s="9" t="n">
        <v>26</v>
      </c>
      <c r="L2673" s="9" t="n">
        <v>2</v>
      </c>
      <c r="M2673" s="9" t="n">
        <v>0</v>
      </c>
      <c r="N2673" s="9" t="s">
        <v>42</v>
      </c>
      <c r="O2673" s="9" t="s">
        <v>52</v>
      </c>
      <c r="P2673" s="9" t="n">
        <v>8.4</v>
      </c>
      <c r="Q2673" s="9" t="n">
        <v>9</v>
      </c>
      <c r="R2673" s="9" t="s">
        <v>44</v>
      </c>
      <c r="S2673" s="9"/>
      <c r="T2673" s="9"/>
      <c r="U2673" s="9" t="str">
        <f aca="false">IF(COUNTIF($A$2:$A$5001,A2673)&gt;1,"Duplicate","Unique")</f>
        <v>Unique</v>
      </c>
      <c r="V2673" s="9" t="str">
        <f aca="false">IF(COUNTIFS($B$2:$B$5001,B2673,$H$2:$H$5001,H2673,$J$2:$J$5001,J2673)&gt;1,"Possible Duplicate Booking","Unique")</f>
        <v>Unique</v>
      </c>
      <c r="W2673" s="9" t="str">
        <f aca="false">IF((H2673-G2673)&lt;&gt;K2673,"Mismatch","OK")</f>
        <v>OK</v>
      </c>
      <c r="X2673" s="9" t="str">
        <f aca="false">IF(TEXT(H2673,"dddd")&lt;&gt;I2673,"Mismatch","OK")</f>
        <v>OK</v>
      </c>
      <c r="Y2673" s="9" t="str">
        <f aca="false">IF(AND(N2673="No",O2673&lt;&gt;""),"Unexpected: channel present but no reminder sent",IF(AND(N2673="Yes",O2673=""),"Missing channel for sent reminder","OK"))</f>
        <v>OK</v>
      </c>
    </row>
    <row r="2674" customFormat="false" ht="15" hidden="false" customHeight="false" outlineLevel="0" collapsed="false">
      <c r="A2674" s="7" t="s">
        <v>4138</v>
      </c>
      <c r="B2674" s="7" t="s">
        <v>1099</v>
      </c>
      <c r="C2674" s="7" t="s">
        <v>47</v>
      </c>
      <c r="D2674" s="7" t="n">
        <v>34</v>
      </c>
      <c r="E2674" s="7" t="s">
        <v>48</v>
      </c>
      <c r="F2674" s="7" t="s">
        <v>74</v>
      </c>
      <c r="G2674" s="8" t="n">
        <v>46079</v>
      </c>
      <c r="H2674" s="8" t="n">
        <v>46122</v>
      </c>
      <c r="I2674" s="7" t="s">
        <v>50</v>
      </c>
      <c r="J2674" s="7" t="s">
        <v>51</v>
      </c>
      <c r="K2674" s="7" t="n">
        <v>43</v>
      </c>
      <c r="L2674" s="7" t="n">
        <v>2</v>
      </c>
      <c r="M2674" s="7" t="n">
        <v>0</v>
      </c>
      <c r="N2674" s="7" t="s">
        <v>71</v>
      </c>
      <c r="O2674" s="7"/>
      <c r="P2674" s="7" t="n">
        <v>8.5</v>
      </c>
      <c r="Q2674" s="7" t="n">
        <v>13</v>
      </c>
      <c r="R2674" s="7" t="s">
        <v>53</v>
      </c>
      <c r="S2674" s="7"/>
      <c r="T2674" s="7"/>
      <c r="U2674" s="7" t="str">
        <f aca="false">IF(COUNTIF($A$2:$A$5001,A2674)&gt;1,"Duplicate","Unique")</f>
        <v>Unique</v>
      </c>
      <c r="V2674" s="7" t="str">
        <f aca="false">IF(COUNTIFS($B$2:$B$5001,B2674,$H$2:$H$5001,H2674,$J$2:$J$5001,J2674)&gt;1,"Possible Duplicate Booking","Unique")</f>
        <v>Unique</v>
      </c>
      <c r="W2674" s="7" t="str">
        <f aca="false">IF((H2674-G2674)&lt;&gt;K2674,"Mismatch","OK")</f>
        <v>OK</v>
      </c>
      <c r="X2674" s="7" t="str">
        <f aca="false">IF(TEXT(H2674,"dddd")&lt;&gt;I2674,"Mismatch","OK")</f>
        <v>OK</v>
      </c>
      <c r="Y2674" s="7" t="str">
        <f aca="false">IF(AND(N2674="No",O2674&lt;&gt;""),"Unexpected: channel present but no reminder sent",IF(AND(N2674="Yes",O2674=""),"Missing channel for sent reminder","OK"))</f>
        <v>OK</v>
      </c>
    </row>
    <row r="2675" customFormat="false" ht="15" hidden="false" customHeight="false" outlineLevel="0" collapsed="false">
      <c r="A2675" s="9" t="s">
        <v>4139</v>
      </c>
      <c r="B2675" s="9" t="s">
        <v>846</v>
      </c>
      <c r="C2675" s="9" t="s">
        <v>37</v>
      </c>
      <c r="D2675" s="9" t="n">
        <v>44</v>
      </c>
      <c r="E2675" s="9" t="s">
        <v>38</v>
      </c>
      <c r="F2675" s="9" t="s">
        <v>57</v>
      </c>
      <c r="G2675" s="10" t="n">
        <v>45719</v>
      </c>
      <c r="H2675" s="10" t="n">
        <v>45760</v>
      </c>
      <c r="I2675" s="9" t="s">
        <v>75</v>
      </c>
      <c r="J2675" s="9" t="s">
        <v>41</v>
      </c>
      <c r="K2675" s="9" t="n">
        <v>41</v>
      </c>
      <c r="L2675" s="9" t="n">
        <v>3</v>
      </c>
      <c r="M2675" s="9" t="n">
        <v>1</v>
      </c>
      <c r="N2675" s="9" t="s">
        <v>71</v>
      </c>
      <c r="O2675" s="9"/>
      <c r="P2675" s="9" t="n">
        <v>9.6</v>
      </c>
      <c r="Q2675" s="9" t="n">
        <v>38</v>
      </c>
      <c r="R2675" s="9" t="s">
        <v>44</v>
      </c>
      <c r="S2675" s="9"/>
      <c r="T2675" s="9"/>
      <c r="U2675" s="9" t="str">
        <f aca="false">IF(COUNTIF($A$2:$A$5001,A2675)&gt;1,"Duplicate","Unique")</f>
        <v>Unique</v>
      </c>
      <c r="V2675" s="9" t="str">
        <f aca="false">IF(COUNTIFS($B$2:$B$5001,B2675,$H$2:$H$5001,H2675,$J$2:$J$5001,J2675)&gt;1,"Possible Duplicate Booking","Unique")</f>
        <v>Unique</v>
      </c>
      <c r="W2675" s="9" t="str">
        <f aca="false">IF((H2675-G2675)&lt;&gt;K2675,"Mismatch","OK")</f>
        <v>OK</v>
      </c>
      <c r="X2675" s="9" t="str">
        <f aca="false">IF(TEXT(H2675,"dddd")&lt;&gt;I2675,"Mismatch","OK")</f>
        <v>OK</v>
      </c>
      <c r="Y2675" s="9" t="str">
        <f aca="false">IF(AND(N2675="No",O2675&lt;&gt;""),"Unexpected: channel present but no reminder sent",IF(AND(N2675="Yes",O2675=""),"Missing channel for sent reminder","OK"))</f>
        <v>OK</v>
      </c>
    </row>
    <row r="2676" customFormat="false" ht="15" hidden="false" customHeight="false" outlineLevel="0" collapsed="false">
      <c r="A2676" s="7" t="s">
        <v>4140</v>
      </c>
      <c r="B2676" s="7" t="s">
        <v>2446</v>
      </c>
      <c r="C2676" s="7" t="s">
        <v>47</v>
      </c>
      <c r="D2676" s="7" t="n">
        <v>53</v>
      </c>
      <c r="E2676" s="7" t="s">
        <v>56</v>
      </c>
      <c r="F2676" s="7" t="s">
        <v>57</v>
      </c>
      <c r="G2676" s="8" t="n">
        <v>46106</v>
      </c>
      <c r="H2676" s="8" t="n">
        <v>46166</v>
      </c>
      <c r="I2676" s="7" t="s">
        <v>75</v>
      </c>
      <c r="J2676" s="7" t="s">
        <v>51</v>
      </c>
      <c r="K2676" s="7" t="n">
        <v>60</v>
      </c>
      <c r="L2676" s="7" t="n">
        <v>3</v>
      </c>
      <c r="M2676" s="7" t="n">
        <v>0</v>
      </c>
      <c r="N2676" s="7" t="s">
        <v>42</v>
      </c>
      <c r="O2676" s="7" t="s">
        <v>52</v>
      </c>
      <c r="P2676" s="7" t="n">
        <v>5</v>
      </c>
      <c r="Q2676" s="7" t="n">
        <v>35</v>
      </c>
      <c r="R2676" s="7" t="s">
        <v>44</v>
      </c>
      <c r="S2676" s="7"/>
      <c r="T2676" s="7"/>
      <c r="U2676" s="7" t="str">
        <f aca="false">IF(COUNTIF($A$2:$A$5001,A2676)&gt;1,"Duplicate","Unique")</f>
        <v>Unique</v>
      </c>
      <c r="V2676" s="7" t="str">
        <f aca="false">IF(COUNTIFS($B$2:$B$5001,B2676,$H$2:$H$5001,H2676,$J$2:$J$5001,J2676)&gt;1,"Possible Duplicate Booking","Unique")</f>
        <v>Unique</v>
      </c>
      <c r="W2676" s="7" t="str">
        <f aca="false">IF((H2676-G2676)&lt;&gt;K2676,"Mismatch","OK")</f>
        <v>OK</v>
      </c>
      <c r="X2676" s="7" t="str">
        <f aca="false">IF(TEXT(H2676,"dddd")&lt;&gt;I2676,"Mismatch","OK")</f>
        <v>OK</v>
      </c>
      <c r="Y2676" s="7" t="str">
        <f aca="false">IF(AND(N2676="No",O2676&lt;&gt;""),"Unexpected: channel present but no reminder sent",IF(AND(N2676="Yes",O2676=""),"Missing channel for sent reminder","OK"))</f>
        <v>OK</v>
      </c>
    </row>
    <row r="2677" customFormat="false" ht="15" hidden="false" customHeight="false" outlineLevel="0" collapsed="false">
      <c r="A2677" s="9" t="s">
        <v>4141</v>
      </c>
      <c r="B2677" s="9" t="s">
        <v>4142</v>
      </c>
      <c r="C2677" s="9" t="s">
        <v>47</v>
      </c>
      <c r="D2677" s="9" t="n">
        <v>39</v>
      </c>
      <c r="E2677" s="9" t="s">
        <v>38</v>
      </c>
      <c r="F2677" s="9" t="s">
        <v>39</v>
      </c>
      <c r="G2677" s="10" t="n">
        <v>45980</v>
      </c>
      <c r="H2677" s="10" t="n">
        <v>45982</v>
      </c>
      <c r="I2677" s="9" t="s">
        <v>50</v>
      </c>
      <c r="J2677" s="9" t="s">
        <v>63</v>
      </c>
      <c r="K2677" s="9" t="n">
        <v>2</v>
      </c>
      <c r="L2677" s="9" t="n">
        <v>2</v>
      </c>
      <c r="M2677" s="9" t="n">
        <v>0</v>
      </c>
      <c r="N2677" s="9" t="s">
        <v>42</v>
      </c>
      <c r="O2677" s="9" t="s">
        <v>67</v>
      </c>
      <c r="P2677" s="9" t="n">
        <v>9.3</v>
      </c>
      <c r="Q2677" s="9" t="n">
        <v>11</v>
      </c>
      <c r="R2677" s="9" t="s">
        <v>87</v>
      </c>
      <c r="S2677" s="9"/>
      <c r="T2677" s="9"/>
      <c r="U2677" s="9" t="str">
        <f aca="false">IF(COUNTIF($A$2:$A$5001,A2677)&gt;1,"Duplicate","Unique")</f>
        <v>Unique</v>
      </c>
      <c r="V2677" s="9" t="str">
        <f aca="false">IF(COUNTIFS($B$2:$B$5001,B2677,$H$2:$H$5001,H2677,$J$2:$J$5001,J2677)&gt;1,"Possible Duplicate Booking","Unique")</f>
        <v>Unique</v>
      </c>
      <c r="W2677" s="9" t="str">
        <f aca="false">IF((H2677-G2677)&lt;&gt;K2677,"Mismatch","OK")</f>
        <v>OK</v>
      </c>
      <c r="X2677" s="9" t="str">
        <f aca="false">IF(TEXT(H2677,"dddd")&lt;&gt;I2677,"Mismatch","OK")</f>
        <v>OK</v>
      </c>
      <c r="Y2677" s="9" t="str">
        <f aca="false">IF(AND(N2677="No",O2677&lt;&gt;""),"Unexpected: channel present but no reminder sent",IF(AND(N2677="Yes",O2677=""),"Missing channel for sent reminder","OK"))</f>
        <v>OK</v>
      </c>
    </row>
    <row r="2678" customFormat="false" ht="15" hidden="false" customHeight="false" outlineLevel="0" collapsed="false">
      <c r="A2678" s="7" t="s">
        <v>4143</v>
      </c>
      <c r="B2678" s="7" t="s">
        <v>4144</v>
      </c>
      <c r="C2678" s="7" t="s">
        <v>47</v>
      </c>
      <c r="D2678" s="7" t="n">
        <v>46</v>
      </c>
      <c r="E2678" s="7" t="s">
        <v>56</v>
      </c>
      <c r="F2678" s="7" t="s">
        <v>57</v>
      </c>
      <c r="G2678" s="8" t="n">
        <v>46137</v>
      </c>
      <c r="H2678" s="8" t="n">
        <v>46183</v>
      </c>
      <c r="I2678" s="7" t="s">
        <v>58</v>
      </c>
      <c r="J2678" s="7" t="s">
        <v>51</v>
      </c>
      <c r="K2678" s="7" t="n">
        <v>46</v>
      </c>
      <c r="L2678" s="7" t="n">
        <v>1</v>
      </c>
      <c r="M2678" s="7" t="n">
        <v>1</v>
      </c>
      <c r="N2678" s="7" t="s">
        <v>71</v>
      </c>
      <c r="O2678" s="7"/>
      <c r="P2678" s="7" t="n">
        <v>6.3</v>
      </c>
      <c r="Q2678" s="7" t="n">
        <v>8</v>
      </c>
      <c r="R2678" s="7" t="s">
        <v>53</v>
      </c>
      <c r="S2678" s="7"/>
      <c r="T2678" s="7"/>
      <c r="U2678" s="7" t="str">
        <f aca="false">IF(COUNTIF($A$2:$A$5001,A2678)&gt;1,"Duplicate","Unique")</f>
        <v>Unique</v>
      </c>
      <c r="V2678" s="7" t="str">
        <f aca="false">IF(COUNTIFS($B$2:$B$5001,B2678,$H$2:$H$5001,H2678,$J$2:$J$5001,J2678)&gt;1,"Possible Duplicate Booking","Unique")</f>
        <v>Unique</v>
      </c>
      <c r="W2678" s="7" t="str">
        <f aca="false">IF((H2678-G2678)&lt;&gt;K2678,"Mismatch","OK")</f>
        <v>OK</v>
      </c>
      <c r="X2678" s="7" t="str">
        <f aca="false">IF(TEXT(H2678,"dddd")&lt;&gt;I2678,"Mismatch","OK")</f>
        <v>OK</v>
      </c>
      <c r="Y2678" s="7" t="str">
        <f aca="false">IF(AND(N2678="No",O2678&lt;&gt;""),"Unexpected: channel present but no reminder sent",IF(AND(N2678="Yes",O2678=""),"Missing channel for sent reminder","OK"))</f>
        <v>OK</v>
      </c>
    </row>
    <row r="2679" customFormat="false" ht="15" hidden="false" customHeight="false" outlineLevel="0" collapsed="false">
      <c r="A2679" s="9" t="s">
        <v>4145</v>
      </c>
      <c r="B2679" s="9" t="s">
        <v>4146</v>
      </c>
      <c r="C2679" s="9" t="s">
        <v>47</v>
      </c>
      <c r="D2679" s="9" t="n">
        <v>27</v>
      </c>
      <c r="E2679" s="9" t="s">
        <v>48</v>
      </c>
      <c r="F2679" s="9" t="s">
        <v>49</v>
      </c>
      <c r="G2679" s="10" t="n">
        <v>46089</v>
      </c>
      <c r="H2679" s="10" t="n">
        <v>46137</v>
      </c>
      <c r="I2679" s="9" t="s">
        <v>102</v>
      </c>
      <c r="J2679" s="9" t="s">
        <v>51</v>
      </c>
      <c r="K2679" s="9" t="n">
        <v>48</v>
      </c>
      <c r="L2679" s="9" t="n">
        <v>1</v>
      </c>
      <c r="M2679" s="9" t="n">
        <v>0</v>
      </c>
      <c r="N2679" s="9" t="s">
        <v>42</v>
      </c>
      <c r="O2679" s="9" t="s">
        <v>52</v>
      </c>
      <c r="P2679" s="9" t="n">
        <v>4.6</v>
      </c>
      <c r="Q2679" s="9" t="n">
        <v>17</v>
      </c>
      <c r="R2679" s="9" t="s">
        <v>44</v>
      </c>
      <c r="S2679" s="9"/>
      <c r="T2679" s="9"/>
      <c r="U2679" s="9" t="str">
        <f aca="false">IF(COUNTIF($A$2:$A$5001,A2679)&gt;1,"Duplicate","Unique")</f>
        <v>Unique</v>
      </c>
      <c r="V2679" s="9" t="str">
        <f aca="false">IF(COUNTIFS($B$2:$B$5001,B2679,$H$2:$H$5001,H2679,$J$2:$J$5001,J2679)&gt;1,"Possible Duplicate Booking","Unique")</f>
        <v>Unique</v>
      </c>
      <c r="W2679" s="9" t="str">
        <f aca="false">IF((H2679-G2679)&lt;&gt;K2679,"Mismatch","OK")</f>
        <v>OK</v>
      </c>
      <c r="X2679" s="9" t="str">
        <f aca="false">IF(TEXT(H2679,"dddd")&lt;&gt;I2679,"Mismatch","OK")</f>
        <v>OK</v>
      </c>
      <c r="Y2679" s="9" t="str">
        <f aca="false">IF(AND(N2679="No",O2679&lt;&gt;""),"Unexpected: channel present but no reminder sent",IF(AND(N2679="Yes",O2679=""),"Missing channel for sent reminder","OK"))</f>
        <v>OK</v>
      </c>
    </row>
    <row r="2680" customFormat="false" ht="15" hidden="false" customHeight="false" outlineLevel="0" collapsed="false">
      <c r="A2680" s="7" t="s">
        <v>4147</v>
      </c>
      <c r="B2680" s="7" t="s">
        <v>4148</v>
      </c>
      <c r="C2680" s="7" t="s">
        <v>37</v>
      </c>
      <c r="D2680" s="7" t="n">
        <v>54</v>
      </c>
      <c r="E2680" s="7" t="s">
        <v>56</v>
      </c>
      <c r="F2680" s="7" t="s">
        <v>57</v>
      </c>
      <c r="G2680" s="8" t="n">
        <v>45948</v>
      </c>
      <c r="H2680" s="8" t="n">
        <v>45974</v>
      </c>
      <c r="I2680" s="7" t="s">
        <v>62</v>
      </c>
      <c r="J2680" s="7" t="s">
        <v>41</v>
      </c>
      <c r="K2680" s="7" t="n">
        <v>26</v>
      </c>
      <c r="L2680" s="7" t="n">
        <v>2</v>
      </c>
      <c r="M2680" s="7" t="n">
        <v>0</v>
      </c>
      <c r="N2680" s="7" t="s">
        <v>71</v>
      </c>
      <c r="O2680" s="7"/>
      <c r="P2680" s="7" t="n">
        <v>22.8</v>
      </c>
      <c r="Q2680" s="7" t="n">
        <v>44</v>
      </c>
      <c r="R2680" s="7" t="s">
        <v>87</v>
      </c>
      <c r="S2680" s="7"/>
      <c r="T2680" s="7"/>
      <c r="U2680" s="7" t="str">
        <f aca="false">IF(COUNTIF($A$2:$A$5001,A2680)&gt;1,"Duplicate","Unique")</f>
        <v>Unique</v>
      </c>
      <c r="V2680" s="7" t="str">
        <f aca="false">IF(COUNTIFS($B$2:$B$5001,B2680,$H$2:$H$5001,H2680,$J$2:$J$5001,J2680)&gt;1,"Possible Duplicate Booking","Unique")</f>
        <v>Unique</v>
      </c>
      <c r="W2680" s="7" t="str">
        <f aca="false">IF((H2680-G2680)&lt;&gt;K2680,"Mismatch","OK")</f>
        <v>OK</v>
      </c>
      <c r="X2680" s="7" t="str">
        <f aca="false">IF(TEXT(H2680,"dddd")&lt;&gt;I2680,"Mismatch","OK")</f>
        <v>OK</v>
      </c>
      <c r="Y2680" s="7" t="str">
        <f aca="false">IF(AND(N2680="No",O2680&lt;&gt;""),"Unexpected: channel present but no reminder sent",IF(AND(N2680="Yes",O2680=""),"Missing channel for sent reminder","OK"))</f>
        <v>OK</v>
      </c>
    </row>
    <row r="2681" customFormat="false" ht="15" hidden="false" customHeight="false" outlineLevel="0" collapsed="false">
      <c r="A2681" s="9" t="s">
        <v>4149</v>
      </c>
      <c r="B2681" s="9" t="s">
        <v>3525</v>
      </c>
      <c r="C2681" s="9" t="s">
        <v>47</v>
      </c>
      <c r="D2681" s="9" t="n">
        <v>62</v>
      </c>
      <c r="E2681" s="9" t="s">
        <v>61</v>
      </c>
      <c r="F2681" s="9" t="s">
        <v>39</v>
      </c>
      <c r="G2681" s="10" t="n">
        <v>45845</v>
      </c>
      <c r="H2681" s="10" t="n">
        <v>45862</v>
      </c>
      <c r="I2681" s="9" t="s">
        <v>62</v>
      </c>
      <c r="J2681" s="9" t="s">
        <v>51</v>
      </c>
      <c r="K2681" s="9" t="n">
        <v>17</v>
      </c>
      <c r="L2681" s="9" t="n">
        <v>2</v>
      </c>
      <c r="M2681" s="9" t="n">
        <v>0</v>
      </c>
      <c r="N2681" s="9" t="s">
        <v>42</v>
      </c>
      <c r="O2681" s="9" t="s">
        <v>52</v>
      </c>
      <c r="P2681" s="9" t="n">
        <v>12.6</v>
      </c>
      <c r="Q2681" s="9" t="n">
        <v>29</v>
      </c>
      <c r="R2681" s="9" t="s">
        <v>53</v>
      </c>
      <c r="S2681" s="9"/>
      <c r="T2681" s="9"/>
      <c r="U2681" s="9" t="str">
        <f aca="false">IF(COUNTIF($A$2:$A$5001,A2681)&gt;1,"Duplicate","Unique")</f>
        <v>Unique</v>
      </c>
      <c r="V2681" s="9" t="str">
        <f aca="false">IF(COUNTIFS($B$2:$B$5001,B2681,$H$2:$H$5001,H2681,$J$2:$J$5001,J2681)&gt;1,"Possible Duplicate Booking","Unique")</f>
        <v>Unique</v>
      </c>
      <c r="W2681" s="9" t="str">
        <f aca="false">IF((H2681-G2681)&lt;&gt;K2681,"Mismatch","OK")</f>
        <v>OK</v>
      </c>
      <c r="X2681" s="9" t="str">
        <f aca="false">IF(TEXT(H2681,"dddd")&lt;&gt;I2681,"Mismatch","OK")</f>
        <v>OK</v>
      </c>
      <c r="Y2681" s="9" t="str">
        <f aca="false">IF(AND(N2681="No",O2681&lt;&gt;""),"Unexpected: channel present but no reminder sent",IF(AND(N2681="Yes",O2681=""),"Missing channel for sent reminder","OK"))</f>
        <v>OK</v>
      </c>
    </row>
    <row r="2682" customFormat="false" ht="15" hidden="false" customHeight="false" outlineLevel="0" collapsed="false">
      <c r="A2682" s="7" t="s">
        <v>4150</v>
      </c>
      <c r="B2682" s="7" t="s">
        <v>1018</v>
      </c>
      <c r="C2682" s="7" t="s">
        <v>37</v>
      </c>
      <c r="D2682" s="7" t="n">
        <v>51</v>
      </c>
      <c r="E2682" s="7" t="s">
        <v>56</v>
      </c>
      <c r="F2682" s="7" t="s">
        <v>49</v>
      </c>
      <c r="G2682" s="8" t="n">
        <v>45701</v>
      </c>
      <c r="H2682" s="8" t="n">
        <v>45722</v>
      </c>
      <c r="I2682" s="7" t="s">
        <v>62</v>
      </c>
      <c r="J2682" s="7" t="s">
        <v>41</v>
      </c>
      <c r="K2682" s="7" t="n">
        <v>21</v>
      </c>
      <c r="L2682" s="7" t="n">
        <v>2</v>
      </c>
      <c r="M2682" s="7" t="n">
        <v>0</v>
      </c>
      <c r="N2682" s="7" t="s">
        <v>42</v>
      </c>
      <c r="O2682" s="7" t="s">
        <v>43</v>
      </c>
      <c r="P2682" s="7" t="n">
        <v>12.5</v>
      </c>
      <c r="Q2682" s="7" t="n">
        <v>21</v>
      </c>
      <c r="R2682" s="7" t="s">
        <v>53</v>
      </c>
      <c r="S2682" s="7"/>
      <c r="T2682" s="7"/>
      <c r="U2682" s="7" t="str">
        <f aca="false">IF(COUNTIF($A$2:$A$5001,A2682)&gt;1,"Duplicate","Unique")</f>
        <v>Unique</v>
      </c>
      <c r="V2682" s="7" t="str">
        <f aca="false">IF(COUNTIFS($B$2:$B$5001,B2682,$H$2:$H$5001,H2682,$J$2:$J$5001,J2682)&gt;1,"Possible Duplicate Booking","Unique")</f>
        <v>Unique</v>
      </c>
      <c r="W2682" s="7" t="str">
        <f aca="false">IF((H2682-G2682)&lt;&gt;K2682,"Mismatch","OK")</f>
        <v>OK</v>
      </c>
      <c r="X2682" s="7" t="str">
        <f aca="false">IF(TEXT(H2682,"dddd")&lt;&gt;I2682,"Mismatch","OK")</f>
        <v>OK</v>
      </c>
      <c r="Y2682" s="7" t="str">
        <f aca="false">IF(AND(N2682="No",O2682&lt;&gt;""),"Unexpected: channel present but no reminder sent",IF(AND(N2682="Yes",O2682=""),"Missing channel for sent reminder","OK"))</f>
        <v>OK</v>
      </c>
    </row>
    <row r="2683" customFormat="false" ht="15" hidden="false" customHeight="false" outlineLevel="0" collapsed="false">
      <c r="A2683" s="9" t="s">
        <v>4151</v>
      </c>
      <c r="B2683" s="9" t="s">
        <v>605</v>
      </c>
      <c r="C2683" s="9" t="s">
        <v>47</v>
      </c>
      <c r="D2683" s="9" t="n">
        <v>73</v>
      </c>
      <c r="E2683" s="9" t="s">
        <v>70</v>
      </c>
      <c r="F2683" s="9" t="s">
        <v>39</v>
      </c>
      <c r="G2683" s="10" t="n">
        <v>45672</v>
      </c>
      <c r="H2683" s="10" t="n">
        <v>45713</v>
      </c>
      <c r="I2683" s="9" t="s">
        <v>40</v>
      </c>
      <c r="J2683" s="9" t="s">
        <v>41</v>
      </c>
      <c r="K2683" s="9" t="n">
        <v>41</v>
      </c>
      <c r="L2683" s="9" t="n">
        <v>1</v>
      </c>
      <c r="M2683" s="9" t="n">
        <v>0</v>
      </c>
      <c r="N2683" s="9" t="s">
        <v>71</v>
      </c>
      <c r="O2683" s="9"/>
      <c r="P2683" s="9" t="n">
        <v>9.7</v>
      </c>
      <c r="Q2683" s="9" t="n">
        <v>23</v>
      </c>
      <c r="R2683" s="9" t="s">
        <v>44</v>
      </c>
      <c r="S2683" s="9"/>
      <c r="T2683" s="9"/>
      <c r="U2683" s="9" t="str">
        <f aca="false">IF(COUNTIF($A$2:$A$5001,A2683)&gt;1,"Duplicate","Unique")</f>
        <v>Unique</v>
      </c>
      <c r="V2683" s="9" t="str">
        <f aca="false">IF(COUNTIFS($B$2:$B$5001,B2683,$H$2:$H$5001,H2683,$J$2:$J$5001,J2683)&gt;1,"Possible Duplicate Booking","Unique")</f>
        <v>Unique</v>
      </c>
      <c r="W2683" s="9" t="str">
        <f aca="false">IF((H2683-G2683)&lt;&gt;K2683,"Mismatch","OK")</f>
        <v>OK</v>
      </c>
      <c r="X2683" s="9" t="str">
        <f aca="false">IF(TEXT(H2683,"dddd")&lt;&gt;I2683,"Mismatch","OK")</f>
        <v>OK</v>
      </c>
      <c r="Y2683" s="9" t="str">
        <f aca="false">IF(AND(N2683="No",O2683&lt;&gt;""),"Unexpected: channel present but no reminder sent",IF(AND(N2683="Yes",O2683=""),"Missing channel for sent reminder","OK"))</f>
        <v>OK</v>
      </c>
    </row>
    <row r="2684" customFormat="false" ht="15" hidden="false" customHeight="false" outlineLevel="0" collapsed="false">
      <c r="A2684" s="7" t="s">
        <v>4152</v>
      </c>
      <c r="B2684" s="7" t="s">
        <v>1295</v>
      </c>
      <c r="C2684" s="7" t="s">
        <v>47</v>
      </c>
      <c r="D2684" s="7" t="n">
        <v>80</v>
      </c>
      <c r="E2684" s="7" t="s">
        <v>70</v>
      </c>
      <c r="F2684" s="7" t="s">
        <v>57</v>
      </c>
      <c r="G2684" s="8" t="n">
        <v>45818</v>
      </c>
      <c r="H2684" s="8" t="n">
        <v>45870</v>
      </c>
      <c r="I2684" s="7" t="s">
        <v>50</v>
      </c>
      <c r="J2684" s="7" t="s">
        <v>41</v>
      </c>
      <c r="K2684" s="7" t="n">
        <v>52</v>
      </c>
      <c r="L2684" s="7" t="n">
        <v>5</v>
      </c>
      <c r="M2684" s="7" t="n">
        <v>0</v>
      </c>
      <c r="N2684" s="7" t="s">
        <v>42</v>
      </c>
      <c r="O2684" s="7" t="s">
        <v>43</v>
      </c>
      <c r="P2684" s="7" t="n">
        <v>5</v>
      </c>
      <c r="Q2684" s="7" t="n">
        <v>3</v>
      </c>
      <c r="R2684" s="7" t="s">
        <v>44</v>
      </c>
      <c r="S2684" s="7"/>
      <c r="T2684" s="7"/>
      <c r="U2684" s="7" t="str">
        <f aca="false">IF(COUNTIF($A$2:$A$5001,A2684)&gt;1,"Duplicate","Unique")</f>
        <v>Unique</v>
      </c>
      <c r="V2684" s="7" t="str">
        <f aca="false">IF(COUNTIFS($B$2:$B$5001,B2684,$H$2:$H$5001,H2684,$J$2:$J$5001,J2684)&gt;1,"Possible Duplicate Booking","Unique")</f>
        <v>Unique</v>
      </c>
      <c r="W2684" s="7" t="str">
        <f aca="false">IF((H2684-G2684)&lt;&gt;K2684,"Mismatch","OK")</f>
        <v>OK</v>
      </c>
      <c r="X2684" s="7" t="str">
        <f aca="false">IF(TEXT(H2684,"dddd")&lt;&gt;I2684,"Mismatch","OK")</f>
        <v>OK</v>
      </c>
      <c r="Y2684" s="7" t="str">
        <f aca="false">IF(AND(N2684="No",O2684&lt;&gt;""),"Unexpected: channel present but no reminder sent",IF(AND(N2684="Yes",O2684=""),"Missing channel for sent reminder","OK"))</f>
        <v>OK</v>
      </c>
    </row>
    <row r="2685" customFormat="false" ht="15" hidden="false" customHeight="false" outlineLevel="0" collapsed="false">
      <c r="A2685" s="9" t="s">
        <v>4153</v>
      </c>
      <c r="B2685" s="9" t="s">
        <v>4154</v>
      </c>
      <c r="C2685" s="9" t="s">
        <v>47</v>
      </c>
      <c r="D2685" s="9" t="n">
        <v>75</v>
      </c>
      <c r="E2685" s="9" t="s">
        <v>70</v>
      </c>
      <c r="F2685" s="9" t="s">
        <v>57</v>
      </c>
      <c r="G2685" s="10" t="n">
        <v>46061</v>
      </c>
      <c r="H2685" s="10" t="n">
        <v>46100</v>
      </c>
      <c r="I2685" s="9" t="s">
        <v>62</v>
      </c>
      <c r="J2685" s="9" t="s">
        <v>41</v>
      </c>
      <c r="K2685" s="9" t="n">
        <v>39</v>
      </c>
      <c r="L2685" s="9" t="n">
        <v>4</v>
      </c>
      <c r="M2685" s="9" t="n">
        <v>0</v>
      </c>
      <c r="N2685" s="9" t="s">
        <v>42</v>
      </c>
      <c r="O2685" s="9" t="s">
        <v>43</v>
      </c>
      <c r="P2685" s="9" t="n">
        <v>9.1</v>
      </c>
      <c r="Q2685" s="9" t="n">
        <v>21</v>
      </c>
      <c r="R2685" s="9" t="s">
        <v>53</v>
      </c>
      <c r="S2685" s="9"/>
      <c r="T2685" s="9"/>
      <c r="U2685" s="9" t="str">
        <f aca="false">IF(COUNTIF($A$2:$A$5001,A2685)&gt;1,"Duplicate","Unique")</f>
        <v>Unique</v>
      </c>
      <c r="V2685" s="9" t="str">
        <f aca="false">IF(COUNTIFS($B$2:$B$5001,B2685,$H$2:$H$5001,H2685,$J$2:$J$5001,J2685)&gt;1,"Possible Duplicate Booking","Unique")</f>
        <v>Unique</v>
      </c>
      <c r="W2685" s="9" t="str">
        <f aca="false">IF((H2685-G2685)&lt;&gt;K2685,"Mismatch","OK")</f>
        <v>OK</v>
      </c>
      <c r="X2685" s="9" t="str">
        <f aca="false">IF(TEXT(H2685,"dddd")&lt;&gt;I2685,"Mismatch","OK")</f>
        <v>OK</v>
      </c>
      <c r="Y2685" s="9" t="str">
        <f aca="false">IF(AND(N2685="No",O2685&lt;&gt;""),"Unexpected: channel present but no reminder sent",IF(AND(N2685="Yes",O2685=""),"Missing channel for sent reminder","OK"))</f>
        <v>OK</v>
      </c>
    </row>
    <row r="2686" customFormat="false" ht="15" hidden="false" customHeight="false" outlineLevel="0" collapsed="false">
      <c r="A2686" s="7" t="s">
        <v>4155</v>
      </c>
      <c r="B2686" s="7" t="s">
        <v>3832</v>
      </c>
      <c r="C2686" s="7" t="s">
        <v>37</v>
      </c>
      <c r="D2686" s="7" t="n">
        <v>23</v>
      </c>
      <c r="E2686" s="7" t="s">
        <v>82</v>
      </c>
      <c r="F2686" s="7" t="s">
        <v>57</v>
      </c>
      <c r="G2686" s="8" t="n">
        <v>45902</v>
      </c>
      <c r="H2686" s="8" t="n">
        <v>45933</v>
      </c>
      <c r="I2686" s="7" t="s">
        <v>50</v>
      </c>
      <c r="J2686" s="7" t="s">
        <v>63</v>
      </c>
      <c r="K2686" s="7" t="n">
        <v>31</v>
      </c>
      <c r="L2686" s="7" t="n">
        <v>2</v>
      </c>
      <c r="M2686" s="7" t="n">
        <v>0</v>
      </c>
      <c r="N2686" s="7" t="s">
        <v>42</v>
      </c>
      <c r="O2686" s="7" t="s">
        <v>52</v>
      </c>
      <c r="P2686" s="7" t="n">
        <v>27.4</v>
      </c>
      <c r="Q2686" s="7" t="n">
        <v>38</v>
      </c>
      <c r="R2686" s="7" t="s">
        <v>44</v>
      </c>
      <c r="S2686" s="7"/>
      <c r="T2686" s="7"/>
      <c r="U2686" s="7" t="str">
        <f aca="false">IF(COUNTIF($A$2:$A$5001,A2686)&gt;1,"Duplicate","Unique")</f>
        <v>Unique</v>
      </c>
      <c r="V2686" s="7" t="str">
        <f aca="false">IF(COUNTIFS($B$2:$B$5001,B2686,$H$2:$H$5001,H2686,$J$2:$J$5001,J2686)&gt;1,"Possible Duplicate Booking","Unique")</f>
        <v>Unique</v>
      </c>
      <c r="W2686" s="7" t="str">
        <f aca="false">IF((H2686-G2686)&lt;&gt;K2686,"Mismatch","OK")</f>
        <v>OK</v>
      </c>
      <c r="X2686" s="7" t="str">
        <f aca="false">IF(TEXT(H2686,"dddd")&lt;&gt;I2686,"Mismatch","OK")</f>
        <v>OK</v>
      </c>
      <c r="Y2686" s="7" t="str">
        <f aca="false">IF(AND(N2686="No",O2686&lt;&gt;""),"Unexpected: channel present but no reminder sent",IF(AND(N2686="Yes",O2686=""),"Missing channel for sent reminder","OK"))</f>
        <v>OK</v>
      </c>
    </row>
    <row r="2687" customFormat="false" ht="15" hidden="false" customHeight="false" outlineLevel="0" collapsed="false">
      <c r="A2687" s="9" t="s">
        <v>4156</v>
      </c>
      <c r="B2687" s="9" t="s">
        <v>512</v>
      </c>
      <c r="C2687" s="9" t="s">
        <v>47</v>
      </c>
      <c r="D2687" s="9" t="n">
        <v>73</v>
      </c>
      <c r="E2687" s="9" t="s">
        <v>70</v>
      </c>
      <c r="F2687" s="9" t="s">
        <v>57</v>
      </c>
      <c r="G2687" s="10" t="n">
        <v>45882</v>
      </c>
      <c r="H2687" s="10" t="n">
        <v>45921</v>
      </c>
      <c r="I2687" s="9" t="s">
        <v>75</v>
      </c>
      <c r="J2687" s="9" t="s">
        <v>41</v>
      </c>
      <c r="K2687" s="9" t="n">
        <v>39</v>
      </c>
      <c r="L2687" s="9" t="n">
        <v>2</v>
      </c>
      <c r="M2687" s="9" t="n">
        <v>1</v>
      </c>
      <c r="N2687" s="9" t="s">
        <v>42</v>
      </c>
      <c r="O2687" s="9" t="s">
        <v>43</v>
      </c>
      <c r="P2687" s="9" t="n">
        <v>12.7</v>
      </c>
      <c r="Q2687" s="9" t="n">
        <v>20</v>
      </c>
      <c r="R2687" s="9" t="s">
        <v>44</v>
      </c>
      <c r="S2687" s="9"/>
      <c r="T2687" s="9"/>
      <c r="U2687" s="9" t="str">
        <f aca="false">IF(COUNTIF($A$2:$A$5001,A2687)&gt;1,"Duplicate","Unique")</f>
        <v>Unique</v>
      </c>
      <c r="V2687" s="9" t="str">
        <f aca="false">IF(COUNTIFS($B$2:$B$5001,B2687,$H$2:$H$5001,H2687,$J$2:$J$5001,J2687)&gt;1,"Possible Duplicate Booking","Unique")</f>
        <v>Unique</v>
      </c>
      <c r="W2687" s="9" t="str">
        <f aca="false">IF((H2687-G2687)&lt;&gt;K2687,"Mismatch","OK")</f>
        <v>OK</v>
      </c>
      <c r="X2687" s="9" t="str">
        <f aca="false">IF(TEXT(H2687,"dddd")&lt;&gt;I2687,"Mismatch","OK")</f>
        <v>OK</v>
      </c>
      <c r="Y2687" s="9" t="str">
        <f aca="false">IF(AND(N2687="No",O2687&lt;&gt;""),"Unexpected: channel present but no reminder sent",IF(AND(N2687="Yes",O2687=""),"Missing channel for sent reminder","OK"))</f>
        <v>OK</v>
      </c>
    </row>
    <row r="2688" customFormat="false" ht="15" hidden="false" customHeight="false" outlineLevel="0" collapsed="false">
      <c r="A2688" s="7" t="s">
        <v>4157</v>
      </c>
      <c r="B2688" s="7" t="s">
        <v>1068</v>
      </c>
      <c r="C2688" s="7" t="s">
        <v>37</v>
      </c>
      <c r="D2688" s="7" t="n">
        <v>39</v>
      </c>
      <c r="E2688" s="7" t="s">
        <v>38</v>
      </c>
      <c r="F2688" s="7" t="s">
        <v>39</v>
      </c>
      <c r="G2688" s="8" t="n">
        <v>45787</v>
      </c>
      <c r="H2688" s="8" t="n">
        <v>45791</v>
      </c>
      <c r="I2688" s="7" t="s">
        <v>58</v>
      </c>
      <c r="J2688" s="7" t="s">
        <v>51</v>
      </c>
      <c r="K2688" s="7" t="n">
        <v>4</v>
      </c>
      <c r="L2688" s="7" t="n">
        <v>5</v>
      </c>
      <c r="M2688" s="7" t="n">
        <v>0</v>
      </c>
      <c r="N2688" s="7" t="s">
        <v>42</v>
      </c>
      <c r="O2688" s="7" t="s">
        <v>52</v>
      </c>
      <c r="P2688" s="7" t="n">
        <v>8.2</v>
      </c>
      <c r="Q2688" s="7" t="n">
        <v>21</v>
      </c>
      <c r="R2688" s="7" t="s">
        <v>53</v>
      </c>
      <c r="S2688" s="7"/>
      <c r="T2688" s="7"/>
      <c r="U2688" s="7" t="str">
        <f aca="false">IF(COUNTIF($A$2:$A$5001,A2688)&gt;1,"Duplicate","Unique")</f>
        <v>Unique</v>
      </c>
      <c r="V2688" s="7" t="str">
        <f aca="false">IF(COUNTIFS($B$2:$B$5001,B2688,$H$2:$H$5001,H2688,$J$2:$J$5001,J2688)&gt;1,"Possible Duplicate Booking","Unique")</f>
        <v>Unique</v>
      </c>
      <c r="W2688" s="7" t="str">
        <f aca="false">IF((H2688-G2688)&lt;&gt;K2688,"Mismatch","OK")</f>
        <v>OK</v>
      </c>
      <c r="X2688" s="7" t="str">
        <f aca="false">IF(TEXT(H2688,"dddd")&lt;&gt;I2688,"Mismatch","OK")</f>
        <v>OK</v>
      </c>
      <c r="Y2688" s="7" t="str">
        <f aca="false">IF(AND(N2688="No",O2688&lt;&gt;""),"Unexpected: channel present but no reminder sent",IF(AND(N2688="Yes",O2688=""),"Missing channel for sent reminder","OK"))</f>
        <v>OK</v>
      </c>
    </row>
    <row r="2689" customFormat="false" ht="15" hidden="false" customHeight="false" outlineLevel="0" collapsed="false">
      <c r="A2689" s="9" t="s">
        <v>4158</v>
      </c>
      <c r="B2689" s="9" t="s">
        <v>2884</v>
      </c>
      <c r="C2689" s="9" t="s">
        <v>37</v>
      </c>
      <c r="D2689" s="9" t="n">
        <v>46</v>
      </c>
      <c r="E2689" s="9" t="s">
        <v>56</v>
      </c>
      <c r="F2689" s="9" t="s">
        <v>57</v>
      </c>
      <c r="G2689" s="10" t="n">
        <v>45929</v>
      </c>
      <c r="H2689" s="10" t="n">
        <v>45966</v>
      </c>
      <c r="I2689" s="9" t="s">
        <v>58</v>
      </c>
      <c r="J2689" s="9" t="s">
        <v>41</v>
      </c>
      <c r="K2689" s="9" t="n">
        <v>37</v>
      </c>
      <c r="L2689" s="9" t="n">
        <v>5</v>
      </c>
      <c r="M2689" s="9" t="n">
        <v>0</v>
      </c>
      <c r="N2689" s="9" t="s">
        <v>42</v>
      </c>
      <c r="O2689" s="9" t="s">
        <v>52</v>
      </c>
      <c r="P2689" s="9" t="n">
        <v>11.5</v>
      </c>
      <c r="Q2689" s="9" t="n">
        <v>28</v>
      </c>
      <c r="R2689" s="9" t="s">
        <v>44</v>
      </c>
      <c r="S2689" s="9"/>
      <c r="T2689" s="9"/>
      <c r="U2689" s="9" t="str">
        <f aca="false">IF(COUNTIF($A$2:$A$5001,A2689)&gt;1,"Duplicate","Unique")</f>
        <v>Unique</v>
      </c>
      <c r="V2689" s="9" t="str">
        <f aca="false">IF(COUNTIFS($B$2:$B$5001,B2689,$H$2:$H$5001,H2689,$J$2:$J$5001,J2689)&gt;1,"Possible Duplicate Booking","Unique")</f>
        <v>Unique</v>
      </c>
      <c r="W2689" s="9" t="str">
        <f aca="false">IF((H2689-G2689)&lt;&gt;K2689,"Mismatch","OK")</f>
        <v>OK</v>
      </c>
      <c r="X2689" s="9" t="str">
        <f aca="false">IF(TEXT(H2689,"dddd")&lt;&gt;I2689,"Mismatch","OK")</f>
        <v>OK</v>
      </c>
      <c r="Y2689" s="9" t="str">
        <f aca="false">IF(AND(N2689="No",O2689&lt;&gt;""),"Unexpected: channel present but no reminder sent",IF(AND(N2689="Yes",O2689=""),"Missing channel for sent reminder","OK"))</f>
        <v>OK</v>
      </c>
    </row>
    <row r="2690" customFormat="false" ht="15" hidden="false" customHeight="false" outlineLevel="0" collapsed="false">
      <c r="A2690" s="7" t="s">
        <v>4159</v>
      </c>
      <c r="B2690" s="7" t="s">
        <v>654</v>
      </c>
      <c r="C2690" s="7" t="s">
        <v>47</v>
      </c>
      <c r="D2690" s="7" t="n">
        <v>43</v>
      </c>
      <c r="E2690" s="7" t="s">
        <v>38</v>
      </c>
      <c r="F2690" s="7" t="s">
        <v>57</v>
      </c>
      <c r="G2690" s="8" t="n">
        <v>46004</v>
      </c>
      <c r="H2690" s="8" t="n">
        <v>46006</v>
      </c>
      <c r="I2690" s="7" t="s">
        <v>66</v>
      </c>
      <c r="J2690" s="7" t="s">
        <v>51</v>
      </c>
      <c r="K2690" s="7" t="n">
        <v>2</v>
      </c>
      <c r="L2690" s="7" t="n">
        <v>6</v>
      </c>
      <c r="M2690" s="7" t="n">
        <v>2</v>
      </c>
      <c r="N2690" s="7" t="s">
        <v>42</v>
      </c>
      <c r="O2690" s="7" t="s">
        <v>67</v>
      </c>
      <c r="P2690" s="7" t="n">
        <v>7</v>
      </c>
      <c r="Q2690" s="7" t="n">
        <v>12</v>
      </c>
      <c r="R2690" s="7" t="s">
        <v>53</v>
      </c>
      <c r="S2690" s="7"/>
      <c r="T2690" s="7"/>
      <c r="U2690" s="7" t="str">
        <f aca="false">IF(COUNTIF($A$2:$A$5001,A2690)&gt;1,"Duplicate","Unique")</f>
        <v>Unique</v>
      </c>
      <c r="V2690" s="7" t="str">
        <f aca="false">IF(COUNTIFS($B$2:$B$5001,B2690,$H$2:$H$5001,H2690,$J$2:$J$5001,J2690)&gt;1,"Possible Duplicate Booking","Unique")</f>
        <v>Unique</v>
      </c>
      <c r="W2690" s="7" t="str">
        <f aca="false">IF((H2690-G2690)&lt;&gt;K2690,"Mismatch","OK")</f>
        <v>OK</v>
      </c>
      <c r="X2690" s="7" t="str">
        <f aca="false">IF(TEXT(H2690,"dddd")&lt;&gt;I2690,"Mismatch","OK")</f>
        <v>OK</v>
      </c>
      <c r="Y2690" s="7" t="str">
        <f aca="false">IF(AND(N2690="No",O2690&lt;&gt;""),"Unexpected: channel present but no reminder sent",IF(AND(N2690="Yes",O2690=""),"Missing channel for sent reminder","OK"))</f>
        <v>OK</v>
      </c>
    </row>
    <row r="2691" customFormat="false" ht="15" hidden="false" customHeight="false" outlineLevel="0" collapsed="false">
      <c r="A2691" s="9" t="s">
        <v>4160</v>
      </c>
      <c r="B2691" s="9" t="s">
        <v>4161</v>
      </c>
      <c r="C2691" s="9" t="s">
        <v>37</v>
      </c>
      <c r="D2691" s="9" t="n">
        <v>35</v>
      </c>
      <c r="E2691" s="9" t="s">
        <v>38</v>
      </c>
      <c r="F2691" s="9" t="s">
        <v>57</v>
      </c>
      <c r="G2691" s="10" t="n">
        <v>46136</v>
      </c>
      <c r="H2691" s="10" t="n">
        <v>46194</v>
      </c>
      <c r="I2691" s="9" t="s">
        <v>75</v>
      </c>
      <c r="J2691" s="9" t="s">
        <v>51</v>
      </c>
      <c r="K2691" s="9" t="n">
        <v>58</v>
      </c>
      <c r="L2691" s="9" t="n">
        <v>3</v>
      </c>
      <c r="M2691" s="9" t="n">
        <v>0</v>
      </c>
      <c r="N2691" s="9" t="s">
        <v>71</v>
      </c>
      <c r="O2691" s="9"/>
      <c r="P2691" s="9" t="n">
        <v>6.8</v>
      </c>
      <c r="Q2691" s="9" t="n">
        <v>28</v>
      </c>
      <c r="R2691" s="9" t="s">
        <v>44</v>
      </c>
      <c r="S2691" s="9"/>
      <c r="T2691" s="9"/>
      <c r="U2691" s="9" t="str">
        <f aca="false">IF(COUNTIF($A$2:$A$5001,A2691)&gt;1,"Duplicate","Unique")</f>
        <v>Unique</v>
      </c>
      <c r="V2691" s="9" t="str">
        <f aca="false">IF(COUNTIFS($B$2:$B$5001,B2691,$H$2:$H$5001,H2691,$J$2:$J$5001,J2691)&gt;1,"Possible Duplicate Booking","Unique")</f>
        <v>Unique</v>
      </c>
      <c r="W2691" s="9" t="str">
        <f aca="false">IF((H2691-G2691)&lt;&gt;K2691,"Mismatch","OK")</f>
        <v>OK</v>
      </c>
      <c r="X2691" s="9" t="str">
        <f aca="false">IF(TEXT(H2691,"dddd")&lt;&gt;I2691,"Mismatch","OK")</f>
        <v>OK</v>
      </c>
      <c r="Y2691" s="9" t="str">
        <f aca="false">IF(AND(N2691="No",O2691&lt;&gt;""),"Unexpected: channel present but no reminder sent",IF(AND(N2691="Yes",O2691=""),"Missing channel for sent reminder","OK"))</f>
        <v>OK</v>
      </c>
    </row>
    <row r="2692" customFormat="false" ht="15" hidden="false" customHeight="false" outlineLevel="0" collapsed="false">
      <c r="A2692" s="7" t="s">
        <v>4162</v>
      </c>
      <c r="B2692" s="7" t="s">
        <v>1554</v>
      </c>
      <c r="C2692" s="7" t="s">
        <v>37</v>
      </c>
      <c r="D2692" s="7" t="n">
        <v>73</v>
      </c>
      <c r="E2692" s="7" t="s">
        <v>70</v>
      </c>
      <c r="F2692" s="7" t="s">
        <v>74</v>
      </c>
      <c r="G2692" s="8" t="n">
        <v>46002</v>
      </c>
      <c r="H2692" s="8" t="n">
        <v>46056</v>
      </c>
      <c r="I2692" s="7" t="s">
        <v>40</v>
      </c>
      <c r="J2692" s="7" t="s">
        <v>51</v>
      </c>
      <c r="K2692" s="7" t="n">
        <v>54</v>
      </c>
      <c r="L2692" s="7" t="n">
        <v>2</v>
      </c>
      <c r="M2692" s="7" t="n">
        <v>0</v>
      </c>
      <c r="N2692" s="7" t="s">
        <v>71</v>
      </c>
      <c r="O2692" s="7"/>
      <c r="P2692" s="7" t="n">
        <v>17.3</v>
      </c>
      <c r="Q2692" s="7" t="n">
        <v>15</v>
      </c>
      <c r="R2692" s="7" t="s">
        <v>87</v>
      </c>
      <c r="S2692" s="7"/>
      <c r="T2692" s="7"/>
      <c r="U2692" s="7" t="str">
        <f aca="false">IF(COUNTIF($A$2:$A$5001,A2692)&gt;1,"Duplicate","Unique")</f>
        <v>Unique</v>
      </c>
      <c r="V2692" s="7" t="str">
        <f aca="false">IF(COUNTIFS($B$2:$B$5001,B2692,$H$2:$H$5001,H2692,$J$2:$J$5001,J2692)&gt;1,"Possible Duplicate Booking","Unique")</f>
        <v>Unique</v>
      </c>
      <c r="W2692" s="7" t="str">
        <f aca="false">IF((H2692-G2692)&lt;&gt;K2692,"Mismatch","OK")</f>
        <v>OK</v>
      </c>
      <c r="X2692" s="7" t="str">
        <f aca="false">IF(TEXT(H2692,"dddd")&lt;&gt;I2692,"Mismatch","OK")</f>
        <v>OK</v>
      </c>
      <c r="Y2692" s="7" t="str">
        <f aca="false">IF(AND(N2692="No",O2692&lt;&gt;""),"Unexpected: channel present but no reminder sent",IF(AND(N2692="Yes",O2692=""),"Missing channel for sent reminder","OK"))</f>
        <v>OK</v>
      </c>
    </row>
    <row r="2693" customFormat="false" ht="15" hidden="false" customHeight="false" outlineLevel="0" collapsed="false">
      <c r="A2693" s="9" t="s">
        <v>4163</v>
      </c>
      <c r="B2693" s="9" t="s">
        <v>4164</v>
      </c>
      <c r="C2693" s="9" t="s">
        <v>47</v>
      </c>
      <c r="D2693" s="9" t="n">
        <v>58</v>
      </c>
      <c r="E2693" s="9" t="s">
        <v>61</v>
      </c>
      <c r="F2693" s="9" t="s">
        <v>57</v>
      </c>
      <c r="G2693" s="10" t="n">
        <v>45958</v>
      </c>
      <c r="H2693" s="10" t="n">
        <v>45989</v>
      </c>
      <c r="I2693" s="9" t="s">
        <v>50</v>
      </c>
      <c r="J2693" s="9" t="s">
        <v>51</v>
      </c>
      <c r="K2693" s="9" t="n">
        <v>31</v>
      </c>
      <c r="L2693" s="9" t="n">
        <v>5</v>
      </c>
      <c r="M2693" s="9" t="n">
        <v>1</v>
      </c>
      <c r="N2693" s="9" t="s">
        <v>42</v>
      </c>
      <c r="O2693" s="9" t="s">
        <v>43</v>
      </c>
      <c r="P2693" s="9" t="n">
        <v>9.8</v>
      </c>
      <c r="Q2693" s="9" t="n">
        <v>19</v>
      </c>
      <c r="R2693" s="9" t="s">
        <v>44</v>
      </c>
      <c r="S2693" s="9"/>
      <c r="T2693" s="9"/>
      <c r="U2693" s="9" t="str">
        <f aca="false">IF(COUNTIF($A$2:$A$5001,A2693)&gt;1,"Duplicate","Unique")</f>
        <v>Unique</v>
      </c>
      <c r="V2693" s="9" t="str">
        <f aca="false">IF(COUNTIFS($B$2:$B$5001,B2693,$H$2:$H$5001,H2693,$J$2:$J$5001,J2693)&gt;1,"Possible Duplicate Booking","Unique")</f>
        <v>Unique</v>
      </c>
      <c r="W2693" s="9" t="str">
        <f aca="false">IF((H2693-G2693)&lt;&gt;K2693,"Mismatch","OK")</f>
        <v>OK</v>
      </c>
      <c r="X2693" s="9" t="str">
        <f aca="false">IF(TEXT(H2693,"dddd")&lt;&gt;I2693,"Mismatch","OK")</f>
        <v>OK</v>
      </c>
      <c r="Y2693" s="9" t="str">
        <f aca="false">IF(AND(N2693="No",O2693&lt;&gt;""),"Unexpected: channel present but no reminder sent",IF(AND(N2693="Yes",O2693=""),"Missing channel for sent reminder","OK"))</f>
        <v>OK</v>
      </c>
    </row>
    <row r="2694" customFormat="false" ht="15" hidden="false" customHeight="false" outlineLevel="0" collapsed="false">
      <c r="A2694" s="7" t="s">
        <v>4165</v>
      </c>
      <c r="B2694" s="7" t="s">
        <v>1891</v>
      </c>
      <c r="C2694" s="7" t="s">
        <v>47</v>
      </c>
      <c r="D2694" s="7" t="n">
        <v>78</v>
      </c>
      <c r="E2694" s="7" t="s">
        <v>70</v>
      </c>
      <c r="F2694" s="7" t="s">
        <v>57</v>
      </c>
      <c r="G2694" s="8" t="n">
        <v>46132</v>
      </c>
      <c r="H2694" s="8" t="n">
        <v>46154</v>
      </c>
      <c r="I2694" s="7" t="s">
        <v>40</v>
      </c>
      <c r="J2694" s="7" t="s">
        <v>51</v>
      </c>
      <c r="K2694" s="7" t="n">
        <v>22</v>
      </c>
      <c r="L2694" s="7" t="n">
        <v>5</v>
      </c>
      <c r="M2694" s="7" t="n">
        <v>1</v>
      </c>
      <c r="N2694" s="7" t="s">
        <v>71</v>
      </c>
      <c r="O2694" s="7"/>
      <c r="P2694" s="7" t="n">
        <v>13</v>
      </c>
      <c r="Q2694" s="7" t="n">
        <v>20</v>
      </c>
      <c r="R2694" s="7" t="s">
        <v>53</v>
      </c>
      <c r="S2694" s="7"/>
      <c r="T2694" s="7"/>
      <c r="U2694" s="7" t="str">
        <f aca="false">IF(COUNTIF($A$2:$A$5001,A2694)&gt;1,"Duplicate","Unique")</f>
        <v>Unique</v>
      </c>
      <c r="V2694" s="7" t="str">
        <f aca="false">IF(COUNTIFS($B$2:$B$5001,B2694,$H$2:$H$5001,H2694,$J$2:$J$5001,J2694)&gt;1,"Possible Duplicate Booking","Unique")</f>
        <v>Unique</v>
      </c>
      <c r="W2694" s="7" t="str">
        <f aca="false">IF((H2694-G2694)&lt;&gt;K2694,"Mismatch","OK")</f>
        <v>OK</v>
      </c>
      <c r="X2694" s="7" t="str">
        <f aca="false">IF(TEXT(H2694,"dddd")&lt;&gt;I2694,"Mismatch","OK")</f>
        <v>OK</v>
      </c>
      <c r="Y2694" s="7" t="str">
        <f aca="false">IF(AND(N2694="No",O2694&lt;&gt;""),"Unexpected: channel present but no reminder sent",IF(AND(N2694="Yes",O2694=""),"Missing channel for sent reminder","OK"))</f>
        <v>OK</v>
      </c>
    </row>
    <row r="2695" customFormat="false" ht="15" hidden="false" customHeight="false" outlineLevel="0" collapsed="false">
      <c r="A2695" s="9" t="s">
        <v>4166</v>
      </c>
      <c r="B2695" s="9" t="s">
        <v>4167</v>
      </c>
      <c r="C2695" s="9" t="s">
        <v>47</v>
      </c>
      <c r="D2695" s="9" t="n">
        <v>78</v>
      </c>
      <c r="E2695" s="9" t="s">
        <v>70</v>
      </c>
      <c r="F2695" s="9" t="s">
        <v>39</v>
      </c>
      <c r="G2695" s="10" t="n">
        <v>45846</v>
      </c>
      <c r="H2695" s="10" t="n">
        <v>45890</v>
      </c>
      <c r="I2695" s="9" t="s">
        <v>62</v>
      </c>
      <c r="J2695" s="9" t="s">
        <v>51</v>
      </c>
      <c r="K2695" s="9" t="n">
        <v>44</v>
      </c>
      <c r="L2695" s="9" t="n">
        <v>3</v>
      </c>
      <c r="M2695" s="9" t="n">
        <v>0</v>
      </c>
      <c r="N2695" s="9" t="s">
        <v>42</v>
      </c>
      <c r="O2695" s="9" t="s">
        <v>52</v>
      </c>
      <c r="P2695" s="9" t="n">
        <v>9.4</v>
      </c>
      <c r="Q2695" s="9" t="n">
        <v>20</v>
      </c>
      <c r="R2695" s="9" t="s">
        <v>44</v>
      </c>
      <c r="S2695" s="9"/>
      <c r="T2695" s="9"/>
      <c r="U2695" s="9" t="str">
        <f aca="false">IF(COUNTIF($A$2:$A$5001,A2695)&gt;1,"Duplicate","Unique")</f>
        <v>Unique</v>
      </c>
      <c r="V2695" s="9" t="str">
        <f aca="false">IF(COUNTIFS($B$2:$B$5001,B2695,$H$2:$H$5001,H2695,$J$2:$J$5001,J2695)&gt;1,"Possible Duplicate Booking","Unique")</f>
        <v>Unique</v>
      </c>
      <c r="W2695" s="9" t="str">
        <f aca="false">IF((H2695-G2695)&lt;&gt;K2695,"Mismatch","OK")</f>
        <v>OK</v>
      </c>
      <c r="X2695" s="9" t="str">
        <f aca="false">IF(TEXT(H2695,"dddd")&lt;&gt;I2695,"Mismatch","OK")</f>
        <v>OK</v>
      </c>
      <c r="Y2695" s="9" t="str">
        <f aca="false">IF(AND(N2695="No",O2695&lt;&gt;""),"Unexpected: channel present but no reminder sent",IF(AND(N2695="Yes",O2695=""),"Missing channel for sent reminder","OK"))</f>
        <v>OK</v>
      </c>
    </row>
    <row r="2696" customFormat="false" ht="15" hidden="false" customHeight="false" outlineLevel="0" collapsed="false">
      <c r="A2696" s="7" t="s">
        <v>4168</v>
      </c>
      <c r="B2696" s="7" t="s">
        <v>3307</v>
      </c>
      <c r="C2696" s="7" t="s">
        <v>47</v>
      </c>
      <c r="D2696" s="7" t="n">
        <v>44</v>
      </c>
      <c r="E2696" s="7" t="s">
        <v>38</v>
      </c>
      <c r="F2696" s="7" t="s">
        <v>57</v>
      </c>
      <c r="G2696" s="8" t="n">
        <v>46130</v>
      </c>
      <c r="H2696" s="8" t="n">
        <v>46168</v>
      </c>
      <c r="I2696" s="7" t="s">
        <v>40</v>
      </c>
      <c r="J2696" s="7" t="s">
        <v>41</v>
      </c>
      <c r="K2696" s="7" t="n">
        <v>38</v>
      </c>
      <c r="L2696" s="7" t="n">
        <v>4</v>
      </c>
      <c r="M2696" s="7" t="n">
        <v>0</v>
      </c>
      <c r="N2696" s="7" t="s">
        <v>71</v>
      </c>
      <c r="O2696" s="7"/>
      <c r="P2696" s="7" t="n">
        <v>14.9</v>
      </c>
      <c r="Q2696" s="7" t="n">
        <v>25</v>
      </c>
      <c r="R2696" s="7" t="s">
        <v>87</v>
      </c>
      <c r="S2696" s="7"/>
      <c r="T2696" s="7"/>
      <c r="U2696" s="7" t="str">
        <f aca="false">IF(COUNTIF($A$2:$A$5001,A2696)&gt;1,"Duplicate","Unique")</f>
        <v>Unique</v>
      </c>
      <c r="V2696" s="7" t="str">
        <f aca="false">IF(COUNTIFS($B$2:$B$5001,B2696,$H$2:$H$5001,H2696,$J$2:$J$5001,J2696)&gt;1,"Possible Duplicate Booking","Unique")</f>
        <v>Unique</v>
      </c>
      <c r="W2696" s="7" t="str">
        <f aca="false">IF((H2696-G2696)&lt;&gt;K2696,"Mismatch","OK")</f>
        <v>OK</v>
      </c>
      <c r="X2696" s="7" t="str">
        <f aca="false">IF(TEXT(H2696,"dddd")&lt;&gt;I2696,"Mismatch","OK")</f>
        <v>OK</v>
      </c>
      <c r="Y2696" s="7" t="str">
        <f aca="false">IF(AND(N2696="No",O2696&lt;&gt;""),"Unexpected: channel present but no reminder sent",IF(AND(N2696="Yes",O2696=""),"Missing channel for sent reminder","OK"))</f>
        <v>OK</v>
      </c>
    </row>
    <row r="2697" customFormat="false" ht="15" hidden="false" customHeight="false" outlineLevel="0" collapsed="false">
      <c r="A2697" s="9" t="s">
        <v>4169</v>
      </c>
      <c r="B2697" s="9" t="s">
        <v>4084</v>
      </c>
      <c r="C2697" s="9" t="s">
        <v>47</v>
      </c>
      <c r="D2697" s="9" t="n">
        <v>63</v>
      </c>
      <c r="E2697" s="9" t="s">
        <v>61</v>
      </c>
      <c r="F2697" s="9" t="s">
        <v>74</v>
      </c>
      <c r="G2697" s="10" t="n">
        <v>45817</v>
      </c>
      <c r="H2697" s="10" t="n">
        <v>45860</v>
      </c>
      <c r="I2697" s="9" t="s">
        <v>40</v>
      </c>
      <c r="J2697" s="9" t="s">
        <v>41</v>
      </c>
      <c r="K2697" s="9" t="n">
        <v>43</v>
      </c>
      <c r="L2697" s="9" t="n">
        <v>4</v>
      </c>
      <c r="M2697" s="9" t="n">
        <v>3</v>
      </c>
      <c r="N2697" s="9" t="s">
        <v>42</v>
      </c>
      <c r="O2697" s="9" t="s">
        <v>67</v>
      </c>
      <c r="P2697" s="9" t="n">
        <v>6.7</v>
      </c>
      <c r="Q2697" s="9" t="n">
        <v>23</v>
      </c>
      <c r="R2697" s="9" t="s">
        <v>44</v>
      </c>
      <c r="S2697" s="9"/>
      <c r="T2697" s="9"/>
      <c r="U2697" s="9" t="str">
        <f aca="false">IF(COUNTIF($A$2:$A$5001,A2697)&gt;1,"Duplicate","Unique")</f>
        <v>Unique</v>
      </c>
      <c r="V2697" s="9" t="str">
        <f aca="false">IF(COUNTIFS($B$2:$B$5001,B2697,$H$2:$H$5001,H2697,$J$2:$J$5001,J2697)&gt;1,"Possible Duplicate Booking","Unique")</f>
        <v>Unique</v>
      </c>
      <c r="W2697" s="9" t="str">
        <f aca="false">IF((H2697-G2697)&lt;&gt;K2697,"Mismatch","OK")</f>
        <v>OK</v>
      </c>
      <c r="X2697" s="9" t="str">
        <f aca="false">IF(TEXT(H2697,"dddd")&lt;&gt;I2697,"Mismatch","OK")</f>
        <v>OK</v>
      </c>
      <c r="Y2697" s="9" t="str">
        <f aca="false">IF(AND(N2697="No",O2697&lt;&gt;""),"Unexpected: channel present but no reminder sent",IF(AND(N2697="Yes",O2697=""),"Missing channel for sent reminder","OK"))</f>
        <v>OK</v>
      </c>
    </row>
    <row r="2698" customFormat="false" ht="15" hidden="false" customHeight="false" outlineLevel="0" collapsed="false">
      <c r="A2698" s="7" t="s">
        <v>4170</v>
      </c>
      <c r="B2698" s="7" t="s">
        <v>2511</v>
      </c>
      <c r="C2698" s="7" t="s">
        <v>37</v>
      </c>
      <c r="D2698" s="7" t="n">
        <v>49</v>
      </c>
      <c r="E2698" s="7" t="s">
        <v>56</v>
      </c>
      <c r="F2698" s="7" t="s">
        <v>57</v>
      </c>
      <c r="G2698" s="8" t="n">
        <v>45696</v>
      </c>
      <c r="H2698" s="8" t="n">
        <v>45727</v>
      </c>
      <c r="I2698" s="7" t="s">
        <v>40</v>
      </c>
      <c r="J2698" s="7" t="s">
        <v>63</v>
      </c>
      <c r="K2698" s="7" t="n">
        <v>31</v>
      </c>
      <c r="L2698" s="7" t="n">
        <v>1</v>
      </c>
      <c r="M2698" s="7" t="n">
        <v>1</v>
      </c>
      <c r="N2698" s="7" t="s">
        <v>71</v>
      </c>
      <c r="O2698" s="7"/>
      <c r="P2698" s="7" t="n">
        <v>7.5</v>
      </c>
      <c r="Q2698" s="7" t="n">
        <v>22</v>
      </c>
      <c r="R2698" s="7" t="s">
        <v>44</v>
      </c>
      <c r="S2698" s="7"/>
      <c r="T2698" s="7"/>
      <c r="U2698" s="7" t="str">
        <f aca="false">IF(COUNTIF($A$2:$A$5001,A2698)&gt;1,"Duplicate","Unique")</f>
        <v>Unique</v>
      </c>
      <c r="V2698" s="7" t="str">
        <f aca="false">IF(COUNTIFS($B$2:$B$5001,B2698,$H$2:$H$5001,H2698,$J$2:$J$5001,J2698)&gt;1,"Possible Duplicate Booking","Unique")</f>
        <v>Unique</v>
      </c>
      <c r="W2698" s="7" t="str">
        <f aca="false">IF((H2698-G2698)&lt;&gt;K2698,"Mismatch","OK")</f>
        <v>OK</v>
      </c>
      <c r="X2698" s="7" t="str">
        <f aca="false">IF(TEXT(H2698,"dddd")&lt;&gt;I2698,"Mismatch","OK")</f>
        <v>OK</v>
      </c>
      <c r="Y2698" s="7" t="str">
        <f aca="false">IF(AND(N2698="No",O2698&lt;&gt;""),"Unexpected: channel present but no reminder sent",IF(AND(N2698="Yes",O2698=""),"Missing channel for sent reminder","OK"))</f>
        <v>OK</v>
      </c>
    </row>
    <row r="2699" customFormat="false" ht="15" hidden="false" customHeight="false" outlineLevel="0" collapsed="false">
      <c r="A2699" s="9" t="s">
        <v>4171</v>
      </c>
      <c r="B2699" s="9" t="s">
        <v>2232</v>
      </c>
      <c r="C2699" s="9" t="s">
        <v>37</v>
      </c>
      <c r="D2699" s="9" t="n">
        <v>49</v>
      </c>
      <c r="E2699" s="9" t="s">
        <v>56</v>
      </c>
      <c r="F2699" s="9" t="s">
        <v>39</v>
      </c>
      <c r="G2699" s="10" t="n">
        <v>45872</v>
      </c>
      <c r="H2699" s="10" t="n">
        <v>45886</v>
      </c>
      <c r="I2699" s="9" t="s">
        <v>75</v>
      </c>
      <c r="J2699" s="9" t="s">
        <v>51</v>
      </c>
      <c r="K2699" s="9" t="n">
        <v>14</v>
      </c>
      <c r="L2699" s="9" t="n">
        <v>1</v>
      </c>
      <c r="M2699" s="9" t="n">
        <v>0</v>
      </c>
      <c r="N2699" s="9" t="s">
        <v>71</v>
      </c>
      <c r="O2699" s="9"/>
      <c r="P2699" s="9" t="n">
        <v>25.8</v>
      </c>
      <c r="Q2699" s="9" t="n">
        <v>25</v>
      </c>
      <c r="R2699" s="9" t="s">
        <v>87</v>
      </c>
      <c r="S2699" s="9"/>
      <c r="T2699" s="9"/>
      <c r="U2699" s="9" t="str">
        <f aca="false">IF(COUNTIF($A$2:$A$5001,A2699)&gt;1,"Duplicate","Unique")</f>
        <v>Unique</v>
      </c>
      <c r="V2699" s="9" t="str">
        <f aca="false">IF(COUNTIFS($B$2:$B$5001,B2699,$H$2:$H$5001,H2699,$J$2:$J$5001,J2699)&gt;1,"Possible Duplicate Booking","Unique")</f>
        <v>Unique</v>
      </c>
      <c r="W2699" s="9" t="str">
        <f aca="false">IF((H2699-G2699)&lt;&gt;K2699,"Mismatch","OK")</f>
        <v>OK</v>
      </c>
      <c r="X2699" s="9" t="str">
        <f aca="false">IF(TEXT(H2699,"dddd")&lt;&gt;I2699,"Mismatch","OK")</f>
        <v>OK</v>
      </c>
      <c r="Y2699" s="9" t="str">
        <f aca="false">IF(AND(N2699="No",O2699&lt;&gt;""),"Unexpected: channel present but no reminder sent",IF(AND(N2699="Yes",O2699=""),"Missing channel for sent reminder","OK"))</f>
        <v>OK</v>
      </c>
    </row>
    <row r="2700" customFormat="false" ht="15" hidden="false" customHeight="false" outlineLevel="0" collapsed="false">
      <c r="A2700" s="7" t="s">
        <v>4172</v>
      </c>
      <c r="B2700" s="7" t="s">
        <v>4173</v>
      </c>
      <c r="C2700" s="7" t="s">
        <v>47</v>
      </c>
      <c r="D2700" s="7" t="n">
        <v>64</v>
      </c>
      <c r="E2700" s="7" t="s">
        <v>61</v>
      </c>
      <c r="F2700" s="7" t="s">
        <v>39</v>
      </c>
      <c r="G2700" s="8" t="n">
        <v>45724</v>
      </c>
      <c r="H2700" s="8" t="n">
        <v>45728</v>
      </c>
      <c r="I2700" s="7" t="s">
        <v>58</v>
      </c>
      <c r="J2700" s="7" t="s">
        <v>51</v>
      </c>
      <c r="K2700" s="7" t="n">
        <v>4</v>
      </c>
      <c r="L2700" s="7" t="n">
        <v>5</v>
      </c>
      <c r="M2700" s="7" t="n">
        <v>0</v>
      </c>
      <c r="N2700" s="7" t="s">
        <v>71</v>
      </c>
      <c r="O2700" s="7"/>
      <c r="P2700" s="7" t="n">
        <v>2.1</v>
      </c>
      <c r="Q2700" s="7" t="n">
        <v>14</v>
      </c>
      <c r="R2700" s="7" t="s">
        <v>44</v>
      </c>
      <c r="S2700" s="7"/>
      <c r="T2700" s="7"/>
      <c r="U2700" s="7" t="str">
        <f aca="false">IF(COUNTIF($A$2:$A$5001,A2700)&gt;1,"Duplicate","Unique")</f>
        <v>Unique</v>
      </c>
      <c r="V2700" s="7" t="str">
        <f aca="false">IF(COUNTIFS($B$2:$B$5001,B2700,$H$2:$H$5001,H2700,$J$2:$J$5001,J2700)&gt;1,"Possible Duplicate Booking","Unique")</f>
        <v>Unique</v>
      </c>
      <c r="W2700" s="7" t="str">
        <f aca="false">IF((H2700-G2700)&lt;&gt;K2700,"Mismatch","OK")</f>
        <v>OK</v>
      </c>
      <c r="X2700" s="7" t="str">
        <f aca="false">IF(TEXT(H2700,"dddd")&lt;&gt;I2700,"Mismatch","OK")</f>
        <v>OK</v>
      </c>
      <c r="Y2700" s="7" t="str">
        <f aca="false">IF(AND(N2700="No",O2700&lt;&gt;""),"Unexpected: channel present but no reminder sent",IF(AND(N2700="Yes",O2700=""),"Missing channel for sent reminder","OK"))</f>
        <v>OK</v>
      </c>
    </row>
    <row r="2701" customFormat="false" ht="15" hidden="false" customHeight="false" outlineLevel="0" collapsed="false">
      <c r="A2701" s="9" t="s">
        <v>4174</v>
      </c>
      <c r="B2701" s="9" t="s">
        <v>3446</v>
      </c>
      <c r="C2701" s="9" t="s">
        <v>47</v>
      </c>
      <c r="D2701" s="9" t="n">
        <v>61</v>
      </c>
      <c r="E2701" s="9" t="s">
        <v>61</v>
      </c>
      <c r="F2701" s="9" t="s">
        <v>49</v>
      </c>
      <c r="G2701" s="10" t="n">
        <v>45705</v>
      </c>
      <c r="H2701" s="10" t="n">
        <v>45722</v>
      </c>
      <c r="I2701" s="9" t="s">
        <v>62</v>
      </c>
      <c r="J2701" s="9" t="s">
        <v>41</v>
      </c>
      <c r="K2701" s="9" t="n">
        <v>17</v>
      </c>
      <c r="L2701" s="9" t="n">
        <v>0</v>
      </c>
      <c r="M2701" s="9" t="n">
        <v>0</v>
      </c>
      <c r="N2701" s="9" t="s">
        <v>42</v>
      </c>
      <c r="O2701" s="9" t="s">
        <v>52</v>
      </c>
      <c r="P2701" s="9" t="n">
        <v>14.6</v>
      </c>
      <c r="Q2701" s="9" t="n">
        <v>2</v>
      </c>
      <c r="R2701" s="9" t="s">
        <v>53</v>
      </c>
      <c r="S2701" s="9"/>
      <c r="T2701" s="9"/>
      <c r="U2701" s="9" t="str">
        <f aca="false">IF(COUNTIF($A$2:$A$5001,A2701)&gt;1,"Duplicate","Unique")</f>
        <v>Unique</v>
      </c>
      <c r="V2701" s="9" t="str">
        <f aca="false">IF(COUNTIFS($B$2:$B$5001,B2701,$H$2:$H$5001,H2701,$J$2:$J$5001,J2701)&gt;1,"Possible Duplicate Booking","Unique")</f>
        <v>Unique</v>
      </c>
      <c r="W2701" s="9" t="str">
        <f aca="false">IF((H2701-G2701)&lt;&gt;K2701,"Mismatch","OK")</f>
        <v>OK</v>
      </c>
      <c r="X2701" s="9" t="str">
        <f aca="false">IF(TEXT(H2701,"dddd")&lt;&gt;I2701,"Mismatch","OK")</f>
        <v>OK</v>
      </c>
      <c r="Y2701" s="9" t="str">
        <f aca="false">IF(AND(N2701="No",O2701&lt;&gt;""),"Unexpected: channel present but no reminder sent",IF(AND(N2701="Yes",O2701=""),"Missing channel for sent reminder","OK"))</f>
        <v>OK</v>
      </c>
    </row>
    <row r="2702" customFormat="false" ht="15" hidden="false" customHeight="false" outlineLevel="0" collapsed="false">
      <c r="A2702" s="7" t="s">
        <v>4175</v>
      </c>
      <c r="B2702" s="7" t="s">
        <v>221</v>
      </c>
      <c r="C2702" s="7" t="s">
        <v>37</v>
      </c>
      <c r="D2702" s="7" t="n">
        <v>75</v>
      </c>
      <c r="E2702" s="7" t="s">
        <v>70</v>
      </c>
      <c r="F2702" s="7" t="s">
        <v>39</v>
      </c>
      <c r="G2702" s="8" t="n">
        <v>46107</v>
      </c>
      <c r="H2702" s="8" t="n">
        <v>46139</v>
      </c>
      <c r="I2702" s="7" t="s">
        <v>66</v>
      </c>
      <c r="J2702" s="7" t="s">
        <v>51</v>
      </c>
      <c r="K2702" s="7" t="n">
        <v>32</v>
      </c>
      <c r="L2702" s="7" t="n">
        <v>6</v>
      </c>
      <c r="M2702" s="7" t="n">
        <v>2</v>
      </c>
      <c r="N2702" s="7" t="s">
        <v>71</v>
      </c>
      <c r="O2702" s="7"/>
      <c r="P2702" s="7" t="n">
        <v>10.4</v>
      </c>
      <c r="Q2702" s="7" t="n">
        <v>24</v>
      </c>
      <c r="R2702" s="7" t="s">
        <v>53</v>
      </c>
      <c r="S2702" s="7"/>
      <c r="T2702" s="7"/>
      <c r="U2702" s="7" t="str">
        <f aca="false">IF(COUNTIF($A$2:$A$5001,A2702)&gt;1,"Duplicate","Unique")</f>
        <v>Unique</v>
      </c>
      <c r="V2702" s="7" t="str">
        <f aca="false">IF(COUNTIFS($B$2:$B$5001,B2702,$H$2:$H$5001,H2702,$J$2:$J$5001,J2702)&gt;1,"Possible Duplicate Booking","Unique")</f>
        <v>Unique</v>
      </c>
      <c r="W2702" s="7" t="str">
        <f aca="false">IF((H2702-G2702)&lt;&gt;K2702,"Mismatch","OK")</f>
        <v>OK</v>
      </c>
      <c r="X2702" s="7" t="str">
        <f aca="false">IF(TEXT(H2702,"dddd")&lt;&gt;I2702,"Mismatch","OK")</f>
        <v>OK</v>
      </c>
      <c r="Y2702" s="7" t="str">
        <f aca="false">IF(AND(N2702="No",O2702&lt;&gt;""),"Unexpected: channel present but no reminder sent",IF(AND(N2702="Yes",O2702=""),"Missing channel for sent reminder","OK"))</f>
        <v>OK</v>
      </c>
    </row>
    <row r="2703" customFormat="false" ht="15" hidden="false" customHeight="false" outlineLevel="0" collapsed="false">
      <c r="A2703" s="9" t="s">
        <v>4176</v>
      </c>
      <c r="B2703" s="9" t="s">
        <v>2877</v>
      </c>
      <c r="C2703" s="9" t="s">
        <v>37</v>
      </c>
      <c r="D2703" s="9" t="n">
        <v>66</v>
      </c>
      <c r="E2703" s="9" t="s">
        <v>70</v>
      </c>
      <c r="F2703" s="9" t="s">
        <v>49</v>
      </c>
      <c r="G2703" s="10" t="n">
        <v>46066</v>
      </c>
      <c r="H2703" s="10" t="n">
        <v>46091</v>
      </c>
      <c r="I2703" s="9" t="s">
        <v>40</v>
      </c>
      <c r="J2703" s="9" t="s">
        <v>51</v>
      </c>
      <c r="K2703" s="9" t="n">
        <v>25</v>
      </c>
      <c r="L2703" s="9" t="n">
        <v>2</v>
      </c>
      <c r="M2703" s="9" t="n">
        <v>0</v>
      </c>
      <c r="N2703" s="9" t="s">
        <v>42</v>
      </c>
      <c r="O2703" s="9" t="s">
        <v>52</v>
      </c>
      <c r="P2703" s="9" t="n">
        <v>7.8</v>
      </c>
      <c r="Q2703" s="9" t="n">
        <v>16</v>
      </c>
      <c r="R2703" s="9" t="s">
        <v>53</v>
      </c>
      <c r="S2703" s="9"/>
      <c r="T2703" s="9"/>
      <c r="U2703" s="9" t="str">
        <f aca="false">IF(COUNTIF($A$2:$A$5001,A2703)&gt;1,"Duplicate","Unique")</f>
        <v>Unique</v>
      </c>
      <c r="V2703" s="9" t="str">
        <f aca="false">IF(COUNTIFS($B$2:$B$5001,B2703,$H$2:$H$5001,H2703,$J$2:$J$5001,J2703)&gt;1,"Possible Duplicate Booking","Unique")</f>
        <v>Unique</v>
      </c>
      <c r="W2703" s="9" t="str">
        <f aca="false">IF((H2703-G2703)&lt;&gt;K2703,"Mismatch","OK")</f>
        <v>OK</v>
      </c>
      <c r="X2703" s="9" t="str">
        <f aca="false">IF(TEXT(H2703,"dddd")&lt;&gt;I2703,"Mismatch","OK")</f>
        <v>OK</v>
      </c>
      <c r="Y2703" s="9" t="str">
        <f aca="false">IF(AND(N2703="No",O2703&lt;&gt;""),"Unexpected: channel present but no reminder sent",IF(AND(N2703="Yes",O2703=""),"Missing channel for sent reminder","OK"))</f>
        <v>OK</v>
      </c>
    </row>
    <row r="2704" customFormat="false" ht="15" hidden="false" customHeight="false" outlineLevel="0" collapsed="false">
      <c r="A2704" s="7" t="s">
        <v>4177</v>
      </c>
      <c r="B2704" s="7" t="s">
        <v>897</v>
      </c>
      <c r="C2704" s="7" t="s">
        <v>47</v>
      </c>
      <c r="D2704" s="7" t="n">
        <v>57</v>
      </c>
      <c r="E2704" s="7" t="s">
        <v>61</v>
      </c>
      <c r="F2704" s="7" t="s">
        <v>39</v>
      </c>
      <c r="G2704" s="8" t="n">
        <v>45748</v>
      </c>
      <c r="H2704" s="8" t="n">
        <v>45778</v>
      </c>
      <c r="I2704" s="7" t="s">
        <v>62</v>
      </c>
      <c r="J2704" s="7" t="s">
        <v>41</v>
      </c>
      <c r="K2704" s="7" t="n">
        <v>30</v>
      </c>
      <c r="L2704" s="7" t="n">
        <v>4</v>
      </c>
      <c r="M2704" s="7" t="n">
        <v>2</v>
      </c>
      <c r="N2704" s="7" t="s">
        <v>42</v>
      </c>
      <c r="O2704" s="7" t="s">
        <v>43</v>
      </c>
      <c r="P2704" s="7" t="n">
        <v>5.2</v>
      </c>
      <c r="Q2704" s="7" t="n">
        <v>29</v>
      </c>
      <c r="R2704" s="7" t="s">
        <v>44</v>
      </c>
      <c r="S2704" s="7"/>
      <c r="T2704" s="7"/>
      <c r="U2704" s="7" t="str">
        <f aca="false">IF(COUNTIF($A$2:$A$5001,A2704)&gt;1,"Duplicate","Unique")</f>
        <v>Unique</v>
      </c>
      <c r="V2704" s="7" t="str">
        <f aca="false">IF(COUNTIFS($B$2:$B$5001,B2704,$H$2:$H$5001,H2704,$J$2:$J$5001,J2704)&gt;1,"Possible Duplicate Booking","Unique")</f>
        <v>Unique</v>
      </c>
      <c r="W2704" s="7" t="str">
        <f aca="false">IF((H2704-G2704)&lt;&gt;K2704,"Mismatch","OK")</f>
        <v>OK</v>
      </c>
      <c r="X2704" s="7" t="str">
        <f aca="false">IF(TEXT(H2704,"dddd")&lt;&gt;I2704,"Mismatch","OK")</f>
        <v>OK</v>
      </c>
      <c r="Y2704" s="7" t="str">
        <f aca="false">IF(AND(N2704="No",O2704&lt;&gt;""),"Unexpected: channel present but no reminder sent",IF(AND(N2704="Yes",O2704=""),"Missing channel for sent reminder","OK"))</f>
        <v>OK</v>
      </c>
    </row>
    <row r="2705" customFormat="false" ht="15" hidden="false" customHeight="false" outlineLevel="0" collapsed="false">
      <c r="A2705" s="9" t="s">
        <v>4178</v>
      </c>
      <c r="B2705" s="9" t="s">
        <v>470</v>
      </c>
      <c r="C2705" s="9" t="s">
        <v>47</v>
      </c>
      <c r="D2705" s="9" t="n">
        <v>75</v>
      </c>
      <c r="E2705" s="9" t="s">
        <v>70</v>
      </c>
      <c r="F2705" s="9" t="s">
        <v>39</v>
      </c>
      <c r="G2705" s="10" t="n">
        <v>46099</v>
      </c>
      <c r="H2705" s="10" t="n">
        <v>46115</v>
      </c>
      <c r="I2705" s="9" t="s">
        <v>50</v>
      </c>
      <c r="J2705" s="9" t="s">
        <v>41</v>
      </c>
      <c r="K2705" s="9" t="n">
        <v>16</v>
      </c>
      <c r="L2705" s="9" t="n">
        <v>3</v>
      </c>
      <c r="M2705" s="9" t="n">
        <v>2</v>
      </c>
      <c r="N2705" s="9" t="s">
        <v>71</v>
      </c>
      <c r="O2705" s="9"/>
      <c r="P2705" s="9" t="n">
        <v>19.2</v>
      </c>
      <c r="Q2705" s="9"/>
      <c r="R2705" s="9" t="s">
        <v>44</v>
      </c>
      <c r="S2705" s="9"/>
      <c r="T2705" s="9"/>
      <c r="U2705" s="9" t="str">
        <f aca="false">IF(COUNTIF($A$2:$A$5001,A2705)&gt;1,"Duplicate","Unique")</f>
        <v>Unique</v>
      </c>
      <c r="V2705" s="9" t="str">
        <f aca="false">IF(COUNTIFS($B$2:$B$5001,B2705,$H$2:$H$5001,H2705,$J$2:$J$5001,J2705)&gt;1,"Possible Duplicate Booking","Unique")</f>
        <v>Unique</v>
      </c>
      <c r="W2705" s="9" t="str">
        <f aca="false">IF((H2705-G2705)&lt;&gt;K2705,"Mismatch","OK")</f>
        <v>OK</v>
      </c>
      <c r="X2705" s="9" t="str">
        <f aca="false">IF(TEXT(H2705,"dddd")&lt;&gt;I2705,"Mismatch","OK")</f>
        <v>OK</v>
      </c>
      <c r="Y2705" s="9" t="str">
        <f aca="false">IF(AND(N2705="No",O2705&lt;&gt;""),"Unexpected: channel present but no reminder sent",IF(AND(N2705="Yes",O2705=""),"Missing channel for sent reminder","OK"))</f>
        <v>OK</v>
      </c>
    </row>
    <row r="2706" customFormat="false" ht="15" hidden="false" customHeight="false" outlineLevel="0" collapsed="false">
      <c r="A2706" s="7" t="s">
        <v>4179</v>
      </c>
      <c r="B2706" s="7" t="s">
        <v>1236</v>
      </c>
      <c r="C2706" s="7" t="s">
        <v>47</v>
      </c>
      <c r="D2706" s="7" t="n">
        <v>24</v>
      </c>
      <c r="E2706" s="7" t="s">
        <v>82</v>
      </c>
      <c r="F2706" s="7" t="s">
        <v>49</v>
      </c>
      <c r="G2706" s="8" t="n">
        <v>45638</v>
      </c>
      <c r="H2706" s="8" t="n">
        <v>45695</v>
      </c>
      <c r="I2706" s="7" t="s">
        <v>50</v>
      </c>
      <c r="J2706" s="7" t="s">
        <v>51</v>
      </c>
      <c r="K2706" s="7" t="n">
        <v>57</v>
      </c>
      <c r="L2706" s="7" t="n">
        <v>3</v>
      </c>
      <c r="M2706" s="7" t="n">
        <v>0</v>
      </c>
      <c r="N2706" s="7" t="s">
        <v>71</v>
      </c>
      <c r="O2706" s="7"/>
      <c r="P2706" s="7" t="n">
        <v>27.8</v>
      </c>
      <c r="Q2706" s="7" t="n">
        <v>3</v>
      </c>
      <c r="R2706" s="7" t="s">
        <v>44</v>
      </c>
      <c r="S2706" s="7"/>
      <c r="T2706" s="7"/>
      <c r="U2706" s="7" t="str">
        <f aca="false">IF(COUNTIF($A$2:$A$5001,A2706)&gt;1,"Duplicate","Unique")</f>
        <v>Unique</v>
      </c>
      <c r="V2706" s="7" t="str">
        <f aca="false">IF(COUNTIFS($B$2:$B$5001,B2706,$H$2:$H$5001,H2706,$J$2:$J$5001,J2706)&gt;1,"Possible Duplicate Booking","Unique")</f>
        <v>Unique</v>
      </c>
      <c r="W2706" s="7" t="str">
        <f aca="false">IF((H2706-G2706)&lt;&gt;K2706,"Mismatch","OK")</f>
        <v>OK</v>
      </c>
      <c r="X2706" s="7" t="str">
        <f aca="false">IF(TEXT(H2706,"dddd")&lt;&gt;I2706,"Mismatch","OK")</f>
        <v>OK</v>
      </c>
      <c r="Y2706" s="7" t="str">
        <f aca="false">IF(AND(N2706="No",O2706&lt;&gt;""),"Unexpected: channel present but no reminder sent",IF(AND(N2706="Yes",O2706=""),"Missing channel for sent reminder","OK"))</f>
        <v>OK</v>
      </c>
    </row>
    <row r="2707" customFormat="false" ht="15" hidden="false" customHeight="false" outlineLevel="0" collapsed="false">
      <c r="A2707" s="9" t="s">
        <v>4180</v>
      </c>
      <c r="B2707" s="9" t="s">
        <v>2251</v>
      </c>
      <c r="C2707" s="9" t="s">
        <v>47</v>
      </c>
      <c r="D2707" s="9" t="n">
        <v>66</v>
      </c>
      <c r="E2707" s="9" t="s">
        <v>70</v>
      </c>
      <c r="F2707" s="9" t="s">
        <v>39</v>
      </c>
      <c r="G2707" s="10" t="n">
        <v>45791</v>
      </c>
      <c r="H2707" s="10" t="n">
        <v>45813</v>
      </c>
      <c r="I2707" s="9" t="s">
        <v>62</v>
      </c>
      <c r="J2707" s="9" t="s">
        <v>41</v>
      </c>
      <c r="K2707" s="9" t="n">
        <v>22</v>
      </c>
      <c r="L2707" s="9" t="n">
        <v>2</v>
      </c>
      <c r="M2707" s="9" t="n">
        <v>0</v>
      </c>
      <c r="N2707" s="9" t="s">
        <v>42</v>
      </c>
      <c r="O2707" s="9" t="s">
        <v>43</v>
      </c>
      <c r="P2707" s="9" t="n">
        <v>7.5</v>
      </c>
      <c r="Q2707" s="9" t="n">
        <v>23</v>
      </c>
      <c r="R2707" s="9" t="s">
        <v>44</v>
      </c>
      <c r="S2707" s="9"/>
      <c r="T2707" s="9"/>
      <c r="U2707" s="9" t="str">
        <f aca="false">IF(COUNTIF($A$2:$A$5001,A2707)&gt;1,"Duplicate","Unique")</f>
        <v>Unique</v>
      </c>
      <c r="V2707" s="9" t="str">
        <f aca="false">IF(COUNTIFS($B$2:$B$5001,B2707,$H$2:$H$5001,H2707,$J$2:$J$5001,J2707)&gt;1,"Possible Duplicate Booking","Unique")</f>
        <v>Unique</v>
      </c>
      <c r="W2707" s="9" t="str">
        <f aca="false">IF((H2707-G2707)&lt;&gt;K2707,"Mismatch","OK")</f>
        <v>OK</v>
      </c>
      <c r="X2707" s="9" t="str">
        <f aca="false">IF(TEXT(H2707,"dddd")&lt;&gt;I2707,"Mismatch","OK")</f>
        <v>OK</v>
      </c>
      <c r="Y2707" s="9" t="str">
        <f aca="false">IF(AND(N2707="No",O2707&lt;&gt;""),"Unexpected: channel present but no reminder sent",IF(AND(N2707="Yes",O2707=""),"Missing channel for sent reminder","OK"))</f>
        <v>OK</v>
      </c>
    </row>
    <row r="2708" customFormat="false" ht="15" hidden="false" customHeight="false" outlineLevel="0" collapsed="false">
      <c r="A2708" s="7" t="s">
        <v>4181</v>
      </c>
      <c r="B2708" s="7" t="s">
        <v>627</v>
      </c>
      <c r="C2708" s="7" t="s">
        <v>47</v>
      </c>
      <c r="D2708" s="7" t="n">
        <v>42</v>
      </c>
      <c r="E2708" s="7" t="s">
        <v>38</v>
      </c>
      <c r="F2708" s="7" t="s">
        <v>39</v>
      </c>
      <c r="G2708" s="8" t="n">
        <v>45992</v>
      </c>
      <c r="H2708" s="8" t="n">
        <v>46043</v>
      </c>
      <c r="I2708" s="7" t="s">
        <v>58</v>
      </c>
      <c r="J2708" s="7" t="s">
        <v>41</v>
      </c>
      <c r="K2708" s="7" t="n">
        <v>51</v>
      </c>
      <c r="L2708" s="7" t="n">
        <v>4</v>
      </c>
      <c r="M2708" s="7" t="n">
        <v>0</v>
      </c>
      <c r="N2708" s="7" t="s">
        <v>42</v>
      </c>
      <c r="O2708" s="7" t="s">
        <v>52</v>
      </c>
      <c r="P2708" s="7" t="n">
        <v>13.7</v>
      </c>
      <c r="Q2708" s="7" t="n">
        <v>36</v>
      </c>
      <c r="R2708" s="7" t="s">
        <v>87</v>
      </c>
      <c r="S2708" s="7"/>
      <c r="T2708" s="7"/>
      <c r="U2708" s="7" t="str">
        <f aca="false">IF(COUNTIF($A$2:$A$5001,A2708)&gt;1,"Duplicate","Unique")</f>
        <v>Unique</v>
      </c>
      <c r="V2708" s="7" t="str">
        <f aca="false">IF(COUNTIFS($B$2:$B$5001,B2708,$H$2:$H$5001,H2708,$J$2:$J$5001,J2708)&gt;1,"Possible Duplicate Booking","Unique")</f>
        <v>Unique</v>
      </c>
      <c r="W2708" s="7" t="str">
        <f aca="false">IF((H2708-G2708)&lt;&gt;K2708,"Mismatch","OK")</f>
        <v>OK</v>
      </c>
      <c r="X2708" s="7" t="str">
        <f aca="false">IF(TEXT(H2708,"dddd")&lt;&gt;I2708,"Mismatch","OK")</f>
        <v>OK</v>
      </c>
      <c r="Y2708" s="7" t="str">
        <f aca="false">IF(AND(N2708="No",O2708&lt;&gt;""),"Unexpected: channel present but no reminder sent",IF(AND(N2708="Yes",O2708=""),"Missing channel for sent reminder","OK"))</f>
        <v>OK</v>
      </c>
    </row>
    <row r="2709" customFormat="false" ht="15" hidden="false" customHeight="false" outlineLevel="0" collapsed="false">
      <c r="A2709" s="9" t="s">
        <v>4182</v>
      </c>
      <c r="B2709" s="9" t="s">
        <v>2458</v>
      </c>
      <c r="C2709" s="9" t="s">
        <v>47</v>
      </c>
      <c r="D2709" s="9" t="n">
        <v>45</v>
      </c>
      <c r="E2709" s="9" t="s">
        <v>56</v>
      </c>
      <c r="F2709" s="9" t="s">
        <v>57</v>
      </c>
      <c r="G2709" s="10" t="n">
        <v>45800</v>
      </c>
      <c r="H2709" s="10" t="n">
        <v>45823</v>
      </c>
      <c r="I2709" s="9" t="s">
        <v>75</v>
      </c>
      <c r="J2709" s="9" t="s">
        <v>41</v>
      </c>
      <c r="K2709" s="9" t="n">
        <v>23</v>
      </c>
      <c r="L2709" s="9" t="n">
        <v>2</v>
      </c>
      <c r="M2709" s="9" t="n">
        <v>0</v>
      </c>
      <c r="N2709" s="9" t="s">
        <v>42</v>
      </c>
      <c r="O2709" s="9" t="s">
        <v>43</v>
      </c>
      <c r="P2709" s="9" t="n">
        <v>13.4</v>
      </c>
      <c r="Q2709" s="9" t="n">
        <v>27</v>
      </c>
      <c r="R2709" s="9" t="s">
        <v>53</v>
      </c>
      <c r="S2709" s="9"/>
      <c r="T2709" s="9"/>
      <c r="U2709" s="9" t="str">
        <f aca="false">IF(COUNTIF($A$2:$A$5001,A2709)&gt;1,"Duplicate","Unique")</f>
        <v>Unique</v>
      </c>
      <c r="V2709" s="9" t="str">
        <f aca="false">IF(COUNTIFS($B$2:$B$5001,B2709,$H$2:$H$5001,H2709,$J$2:$J$5001,J2709)&gt;1,"Possible Duplicate Booking","Unique")</f>
        <v>Unique</v>
      </c>
      <c r="W2709" s="9" t="str">
        <f aca="false">IF((H2709-G2709)&lt;&gt;K2709,"Mismatch","OK")</f>
        <v>OK</v>
      </c>
      <c r="X2709" s="9" t="str">
        <f aca="false">IF(TEXT(H2709,"dddd")&lt;&gt;I2709,"Mismatch","OK")</f>
        <v>OK</v>
      </c>
      <c r="Y2709" s="9" t="str">
        <f aca="false">IF(AND(N2709="No",O2709&lt;&gt;""),"Unexpected: channel present but no reminder sent",IF(AND(N2709="Yes",O2709=""),"Missing channel for sent reminder","OK"))</f>
        <v>OK</v>
      </c>
    </row>
    <row r="2710" customFormat="false" ht="15" hidden="false" customHeight="false" outlineLevel="0" collapsed="false">
      <c r="A2710" s="7" t="s">
        <v>4183</v>
      </c>
      <c r="B2710" s="7" t="s">
        <v>702</v>
      </c>
      <c r="C2710" s="7" t="s">
        <v>37</v>
      </c>
      <c r="D2710" s="7" t="n">
        <v>67</v>
      </c>
      <c r="E2710" s="7" t="s">
        <v>70</v>
      </c>
      <c r="F2710" s="7" t="s">
        <v>57</v>
      </c>
      <c r="G2710" s="8" t="n">
        <v>46029</v>
      </c>
      <c r="H2710" s="8" t="n">
        <v>46056</v>
      </c>
      <c r="I2710" s="7" t="s">
        <v>40</v>
      </c>
      <c r="J2710" s="7" t="s">
        <v>51</v>
      </c>
      <c r="K2710" s="7" t="n">
        <v>27</v>
      </c>
      <c r="L2710" s="7" t="n">
        <v>7</v>
      </c>
      <c r="M2710" s="7" t="n">
        <v>1</v>
      </c>
      <c r="N2710" s="7" t="s">
        <v>42</v>
      </c>
      <c r="O2710" s="7" t="s">
        <v>52</v>
      </c>
      <c r="P2710" s="7" t="n">
        <v>14</v>
      </c>
      <c r="Q2710" s="7" t="n">
        <v>8</v>
      </c>
      <c r="R2710" s="7" t="s">
        <v>44</v>
      </c>
      <c r="S2710" s="7"/>
      <c r="T2710" s="7"/>
      <c r="U2710" s="7" t="str">
        <f aca="false">IF(COUNTIF($A$2:$A$5001,A2710)&gt;1,"Duplicate","Unique")</f>
        <v>Unique</v>
      </c>
      <c r="V2710" s="7" t="str">
        <f aca="false">IF(COUNTIFS($B$2:$B$5001,B2710,$H$2:$H$5001,H2710,$J$2:$J$5001,J2710)&gt;1,"Possible Duplicate Booking","Unique")</f>
        <v>Unique</v>
      </c>
      <c r="W2710" s="7" t="str">
        <f aca="false">IF((H2710-G2710)&lt;&gt;K2710,"Mismatch","OK")</f>
        <v>OK</v>
      </c>
      <c r="X2710" s="7" t="str">
        <f aca="false">IF(TEXT(H2710,"dddd")&lt;&gt;I2710,"Mismatch","OK")</f>
        <v>OK</v>
      </c>
      <c r="Y2710" s="7" t="str">
        <f aca="false">IF(AND(N2710="No",O2710&lt;&gt;""),"Unexpected: channel present but no reminder sent",IF(AND(N2710="Yes",O2710=""),"Missing channel for sent reminder","OK"))</f>
        <v>OK</v>
      </c>
    </row>
    <row r="2711" customFormat="false" ht="15" hidden="false" customHeight="false" outlineLevel="0" collapsed="false">
      <c r="A2711" s="9" t="s">
        <v>4184</v>
      </c>
      <c r="B2711" s="9" t="s">
        <v>2627</v>
      </c>
      <c r="C2711" s="9" t="s">
        <v>47</v>
      </c>
      <c r="D2711" s="9" t="n">
        <v>35</v>
      </c>
      <c r="E2711" s="9" t="s">
        <v>38</v>
      </c>
      <c r="F2711" s="9" t="s">
        <v>57</v>
      </c>
      <c r="G2711" s="10" t="n">
        <v>46099</v>
      </c>
      <c r="H2711" s="10" t="n">
        <v>46135</v>
      </c>
      <c r="I2711" s="9" t="s">
        <v>62</v>
      </c>
      <c r="J2711" s="9" t="s">
        <v>41</v>
      </c>
      <c r="K2711" s="9" t="n">
        <v>36</v>
      </c>
      <c r="L2711" s="9" t="n">
        <v>5</v>
      </c>
      <c r="M2711" s="9" t="n">
        <v>1</v>
      </c>
      <c r="N2711" s="9" t="s">
        <v>42</v>
      </c>
      <c r="O2711" s="9" t="s">
        <v>52</v>
      </c>
      <c r="P2711" s="9" t="n">
        <v>3.5</v>
      </c>
      <c r="Q2711" s="9" t="n">
        <v>17</v>
      </c>
      <c r="R2711" s="9" t="s">
        <v>44</v>
      </c>
      <c r="S2711" s="9"/>
      <c r="T2711" s="9"/>
      <c r="U2711" s="9" t="str">
        <f aca="false">IF(COUNTIF($A$2:$A$5001,A2711)&gt;1,"Duplicate","Unique")</f>
        <v>Unique</v>
      </c>
      <c r="V2711" s="9" t="str">
        <f aca="false">IF(COUNTIFS($B$2:$B$5001,B2711,$H$2:$H$5001,H2711,$J$2:$J$5001,J2711)&gt;1,"Possible Duplicate Booking","Unique")</f>
        <v>Unique</v>
      </c>
      <c r="W2711" s="9" t="str">
        <f aca="false">IF((H2711-G2711)&lt;&gt;K2711,"Mismatch","OK")</f>
        <v>OK</v>
      </c>
      <c r="X2711" s="9" t="str">
        <f aca="false">IF(TEXT(H2711,"dddd")&lt;&gt;I2711,"Mismatch","OK")</f>
        <v>OK</v>
      </c>
      <c r="Y2711" s="9" t="str">
        <f aca="false">IF(AND(N2711="No",O2711&lt;&gt;""),"Unexpected: channel present but no reminder sent",IF(AND(N2711="Yes",O2711=""),"Missing channel for sent reminder","OK"))</f>
        <v>OK</v>
      </c>
    </row>
    <row r="2712" customFormat="false" ht="15" hidden="false" customHeight="false" outlineLevel="0" collapsed="false">
      <c r="A2712" s="7" t="s">
        <v>4185</v>
      </c>
      <c r="B2712" s="7" t="s">
        <v>3145</v>
      </c>
      <c r="C2712" s="7" t="s">
        <v>47</v>
      </c>
      <c r="D2712" s="7" t="n">
        <v>73</v>
      </c>
      <c r="E2712" s="7" t="s">
        <v>70</v>
      </c>
      <c r="F2712" s="7" t="s">
        <v>57</v>
      </c>
      <c r="G2712" s="8" t="n">
        <v>45678</v>
      </c>
      <c r="H2712" s="8" t="n">
        <v>45694</v>
      </c>
      <c r="I2712" s="7" t="s">
        <v>62</v>
      </c>
      <c r="J2712" s="7" t="s">
        <v>41</v>
      </c>
      <c r="K2712" s="7" t="n">
        <v>16</v>
      </c>
      <c r="L2712" s="7" t="n">
        <v>3</v>
      </c>
      <c r="M2712" s="7" t="n">
        <v>0</v>
      </c>
      <c r="N2712" s="7" t="s">
        <v>71</v>
      </c>
      <c r="O2712" s="7"/>
      <c r="P2712" s="7" t="n">
        <v>18</v>
      </c>
      <c r="Q2712" s="7" t="n">
        <v>19</v>
      </c>
      <c r="R2712" s="7" t="s">
        <v>44</v>
      </c>
      <c r="S2712" s="7"/>
      <c r="T2712" s="7"/>
      <c r="U2712" s="7" t="str">
        <f aca="false">IF(COUNTIF($A$2:$A$5001,A2712)&gt;1,"Duplicate","Unique")</f>
        <v>Unique</v>
      </c>
      <c r="V2712" s="7" t="str">
        <f aca="false">IF(COUNTIFS($B$2:$B$5001,B2712,$H$2:$H$5001,H2712,$J$2:$J$5001,J2712)&gt;1,"Possible Duplicate Booking","Unique")</f>
        <v>Unique</v>
      </c>
      <c r="W2712" s="7" t="str">
        <f aca="false">IF((H2712-G2712)&lt;&gt;K2712,"Mismatch","OK")</f>
        <v>OK</v>
      </c>
      <c r="X2712" s="7" t="str">
        <f aca="false">IF(TEXT(H2712,"dddd")&lt;&gt;I2712,"Mismatch","OK")</f>
        <v>OK</v>
      </c>
      <c r="Y2712" s="7" t="str">
        <f aca="false">IF(AND(N2712="No",O2712&lt;&gt;""),"Unexpected: channel present but no reminder sent",IF(AND(N2712="Yes",O2712=""),"Missing channel for sent reminder","OK"))</f>
        <v>OK</v>
      </c>
    </row>
    <row r="2713" customFormat="false" ht="15" hidden="false" customHeight="false" outlineLevel="0" collapsed="false">
      <c r="A2713" s="9" t="s">
        <v>4186</v>
      </c>
      <c r="B2713" s="9" t="s">
        <v>1437</v>
      </c>
      <c r="C2713" s="9" t="s">
        <v>47</v>
      </c>
      <c r="D2713" s="9" t="n">
        <v>49</v>
      </c>
      <c r="E2713" s="9" t="s">
        <v>56</v>
      </c>
      <c r="F2713" s="9" t="s">
        <v>57</v>
      </c>
      <c r="G2713" s="10" t="n">
        <v>45658</v>
      </c>
      <c r="H2713" s="10" t="n">
        <v>45671</v>
      </c>
      <c r="I2713" s="9" t="s">
        <v>40</v>
      </c>
      <c r="J2713" s="9" t="s">
        <v>51</v>
      </c>
      <c r="K2713" s="9" t="n">
        <v>13</v>
      </c>
      <c r="L2713" s="9" t="n">
        <v>6</v>
      </c>
      <c r="M2713" s="9" t="n">
        <v>0</v>
      </c>
      <c r="N2713" s="9" t="s">
        <v>42</v>
      </c>
      <c r="O2713" s="9" t="s">
        <v>52</v>
      </c>
      <c r="P2713" s="9" t="n">
        <v>2.6</v>
      </c>
      <c r="Q2713" s="9" t="n">
        <v>22</v>
      </c>
      <c r="R2713" s="9" t="s">
        <v>87</v>
      </c>
      <c r="S2713" s="9"/>
      <c r="T2713" s="9"/>
      <c r="U2713" s="9" t="str">
        <f aca="false">IF(COUNTIF($A$2:$A$5001,A2713)&gt;1,"Duplicate","Unique")</f>
        <v>Unique</v>
      </c>
      <c r="V2713" s="9" t="str">
        <f aca="false">IF(COUNTIFS($B$2:$B$5001,B2713,$H$2:$H$5001,H2713,$J$2:$J$5001,J2713)&gt;1,"Possible Duplicate Booking","Unique")</f>
        <v>Unique</v>
      </c>
      <c r="W2713" s="9" t="str">
        <f aca="false">IF((H2713-G2713)&lt;&gt;K2713,"Mismatch","OK")</f>
        <v>OK</v>
      </c>
      <c r="X2713" s="9" t="str">
        <f aca="false">IF(TEXT(H2713,"dddd")&lt;&gt;I2713,"Mismatch","OK")</f>
        <v>OK</v>
      </c>
      <c r="Y2713" s="9" t="str">
        <f aca="false">IF(AND(N2713="No",O2713&lt;&gt;""),"Unexpected: channel present but no reminder sent",IF(AND(N2713="Yes",O2713=""),"Missing channel for sent reminder","OK"))</f>
        <v>OK</v>
      </c>
    </row>
    <row r="2714" customFormat="false" ht="15" hidden="false" customHeight="false" outlineLevel="0" collapsed="false">
      <c r="A2714" s="7" t="s">
        <v>4187</v>
      </c>
      <c r="B2714" s="7" t="s">
        <v>4188</v>
      </c>
      <c r="C2714" s="7" t="s">
        <v>37</v>
      </c>
      <c r="D2714" s="7" t="n">
        <v>39</v>
      </c>
      <c r="E2714" s="7" t="s">
        <v>38</v>
      </c>
      <c r="F2714" s="7" t="s">
        <v>57</v>
      </c>
      <c r="G2714" s="8" t="n">
        <v>46148</v>
      </c>
      <c r="H2714" s="8" t="n">
        <v>46171</v>
      </c>
      <c r="I2714" s="7" t="s">
        <v>50</v>
      </c>
      <c r="J2714" s="7" t="s">
        <v>41</v>
      </c>
      <c r="K2714" s="7" t="n">
        <v>23</v>
      </c>
      <c r="L2714" s="7" t="n">
        <v>7</v>
      </c>
      <c r="M2714" s="7" t="n">
        <v>1</v>
      </c>
      <c r="N2714" s="7" t="s">
        <v>42</v>
      </c>
      <c r="O2714" s="7" t="s">
        <v>52</v>
      </c>
      <c r="P2714" s="7" t="n">
        <v>13.3</v>
      </c>
      <c r="Q2714" s="7" t="n">
        <v>18</v>
      </c>
      <c r="R2714" s="7" t="s">
        <v>44</v>
      </c>
      <c r="S2714" s="7"/>
      <c r="T2714" s="7"/>
      <c r="U2714" s="7" t="str">
        <f aca="false">IF(COUNTIF($A$2:$A$5001,A2714)&gt;1,"Duplicate","Unique")</f>
        <v>Unique</v>
      </c>
      <c r="V2714" s="7" t="str">
        <f aca="false">IF(COUNTIFS($B$2:$B$5001,B2714,$H$2:$H$5001,H2714,$J$2:$J$5001,J2714)&gt;1,"Possible Duplicate Booking","Unique")</f>
        <v>Unique</v>
      </c>
      <c r="W2714" s="7" t="str">
        <f aca="false">IF((H2714-G2714)&lt;&gt;K2714,"Mismatch","OK")</f>
        <v>OK</v>
      </c>
      <c r="X2714" s="7" t="str">
        <f aca="false">IF(TEXT(H2714,"dddd")&lt;&gt;I2714,"Mismatch","OK")</f>
        <v>OK</v>
      </c>
      <c r="Y2714" s="7" t="str">
        <f aca="false">IF(AND(N2714="No",O2714&lt;&gt;""),"Unexpected: channel present but no reminder sent",IF(AND(N2714="Yes",O2714=""),"Missing channel for sent reminder","OK"))</f>
        <v>OK</v>
      </c>
    </row>
    <row r="2715" customFormat="false" ht="15" hidden="false" customHeight="false" outlineLevel="0" collapsed="false">
      <c r="A2715" s="9" t="s">
        <v>4189</v>
      </c>
      <c r="B2715" s="9" t="s">
        <v>1113</v>
      </c>
      <c r="C2715" s="9" t="s">
        <v>47</v>
      </c>
      <c r="D2715" s="9" t="n">
        <v>38</v>
      </c>
      <c r="E2715" s="9" t="s">
        <v>38</v>
      </c>
      <c r="F2715" s="9" t="s">
        <v>39</v>
      </c>
      <c r="G2715" s="10" t="n">
        <v>45893</v>
      </c>
      <c r="H2715" s="10" t="n">
        <v>45942</v>
      </c>
      <c r="I2715" s="9" t="s">
        <v>75</v>
      </c>
      <c r="J2715" s="9" t="s">
        <v>41</v>
      </c>
      <c r="K2715" s="9" t="n">
        <v>49</v>
      </c>
      <c r="L2715" s="9" t="n">
        <v>0</v>
      </c>
      <c r="M2715" s="9" t="n">
        <v>0</v>
      </c>
      <c r="N2715" s="9" t="s">
        <v>42</v>
      </c>
      <c r="O2715" s="9" t="s">
        <v>52</v>
      </c>
      <c r="P2715" s="9" t="n">
        <v>20.6</v>
      </c>
      <c r="Q2715" s="9" t="n">
        <v>5</v>
      </c>
      <c r="R2715" s="9" t="s">
        <v>44</v>
      </c>
      <c r="S2715" s="9"/>
      <c r="T2715" s="9"/>
      <c r="U2715" s="9" t="str">
        <f aca="false">IF(COUNTIF($A$2:$A$5001,A2715)&gt;1,"Duplicate","Unique")</f>
        <v>Unique</v>
      </c>
      <c r="V2715" s="9" t="str">
        <f aca="false">IF(COUNTIFS($B$2:$B$5001,B2715,$H$2:$H$5001,H2715,$J$2:$J$5001,J2715)&gt;1,"Possible Duplicate Booking","Unique")</f>
        <v>Unique</v>
      </c>
      <c r="W2715" s="9" t="str">
        <f aca="false">IF((H2715-G2715)&lt;&gt;K2715,"Mismatch","OK")</f>
        <v>OK</v>
      </c>
      <c r="X2715" s="9" t="str">
        <f aca="false">IF(TEXT(H2715,"dddd")&lt;&gt;I2715,"Mismatch","OK")</f>
        <v>OK</v>
      </c>
      <c r="Y2715" s="9" t="str">
        <f aca="false">IF(AND(N2715="No",O2715&lt;&gt;""),"Unexpected: channel present but no reminder sent",IF(AND(N2715="Yes",O2715=""),"Missing channel for sent reminder","OK"))</f>
        <v>OK</v>
      </c>
    </row>
    <row r="2716" customFormat="false" ht="15" hidden="false" customHeight="false" outlineLevel="0" collapsed="false">
      <c r="A2716" s="7" t="s">
        <v>4190</v>
      </c>
      <c r="B2716" s="7" t="s">
        <v>2455</v>
      </c>
      <c r="C2716" s="7" t="s">
        <v>47</v>
      </c>
      <c r="D2716" s="7" t="n">
        <v>44</v>
      </c>
      <c r="E2716" s="7" t="s">
        <v>38</v>
      </c>
      <c r="F2716" s="7" t="s">
        <v>49</v>
      </c>
      <c r="G2716" s="8" t="n">
        <v>45926</v>
      </c>
      <c r="H2716" s="8" t="n">
        <v>45934</v>
      </c>
      <c r="I2716" s="7" t="s">
        <v>102</v>
      </c>
      <c r="J2716" s="7" t="s">
        <v>51</v>
      </c>
      <c r="K2716" s="7" t="n">
        <v>8</v>
      </c>
      <c r="L2716" s="7" t="n">
        <v>0</v>
      </c>
      <c r="M2716" s="7" t="n">
        <v>0</v>
      </c>
      <c r="N2716" s="7" t="s">
        <v>42</v>
      </c>
      <c r="O2716" s="7" t="s">
        <v>52</v>
      </c>
      <c r="P2716" s="7" t="n">
        <v>6.4</v>
      </c>
      <c r="Q2716" s="7" t="n">
        <v>22</v>
      </c>
      <c r="R2716" s="7" t="s">
        <v>44</v>
      </c>
      <c r="S2716" s="7"/>
      <c r="T2716" s="7"/>
      <c r="U2716" s="7" t="str">
        <f aca="false">IF(COUNTIF($A$2:$A$5001,A2716)&gt;1,"Duplicate","Unique")</f>
        <v>Unique</v>
      </c>
      <c r="V2716" s="7" t="str">
        <f aca="false">IF(COUNTIFS($B$2:$B$5001,B2716,$H$2:$H$5001,H2716,$J$2:$J$5001,J2716)&gt;1,"Possible Duplicate Booking","Unique")</f>
        <v>Unique</v>
      </c>
      <c r="W2716" s="7" t="str">
        <f aca="false">IF((H2716-G2716)&lt;&gt;K2716,"Mismatch","OK")</f>
        <v>OK</v>
      </c>
      <c r="X2716" s="7" t="str">
        <f aca="false">IF(TEXT(H2716,"dddd")&lt;&gt;I2716,"Mismatch","OK")</f>
        <v>OK</v>
      </c>
      <c r="Y2716" s="7" t="str">
        <f aca="false">IF(AND(N2716="No",O2716&lt;&gt;""),"Unexpected: channel present but no reminder sent",IF(AND(N2716="Yes",O2716=""),"Missing channel for sent reminder","OK"))</f>
        <v>OK</v>
      </c>
    </row>
    <row r="2717" customFormat="false" ht="15" hidden="false" customHeight="false" outlineLevel="0" collapsed="false">
      <c r="A2717" s="9" t="s">
        <v>4191</v>
      </c>
      <c r="B2717" s="9" t="s">
        <v>2325</v>
      </c>
      <c r="C2717" s="9" t="s">
        <v>37</v>
      </c>
      <c r="D2717" s="9" t="n">
        <v>77</v>
      </c>
      <c r="E2717" s="9" t="s">
        <v>70</v>
      </c>
      <c r="F2717" s="9" t="s">
        <v>39</v>
      </c>
      <c r="G2717" s="10" t="n">
        <v>45885</v>
      </c>
      <c r="H2717" s="10" t="n">
        <v>45911</v>
      </c>
      <c r="I2717" s="9" t="s">
        <v>62</v>
      </c>
      <c r="J2717" s="9" t="s">
        <v>41</v>
      </c>
      <c r="K2717" s="9" t="n">
        <v>26</v>
      </c>
      <c r="L2717" s="9" t="n">
        <v>4</v>
      </c>
      <c r="M2717" s="9" t="n">
        <v>2</v>
      </c>
      <c r="N2717" s="9" t="s">
        <v>42</v>
      </c>
      <c r="O2717" s="9" t="s">
        <v>43</v>
      </c>
      <c r="P2717" s="9" t="n">
        <v>10.2</v>
      </c>
      <c r="Q2717" s="9" t="n">
        <v>40</v>
      </c>
      <c r="R2717" s="9" t="s">
        <v>44</v>
      </c>
      <c r="S2717" s="9"/>
      <c r="T2717" s="9"/>
      <c r="U2717" s="9" t="str">
        <f aca="false">IF(COUNTIF($A$2:$A$5001,A2717)&gt;1,"Duplicate","Unique")</f>
        <v>Unique</v>
      </c>
      <c r="V2717" s="9" t="str">
        <f aca="false">IF(COUNTIFS($B$2:$B$5001,B2717,$H$2:$H$5001,H2717,$J$2:$J$5001,J2717)&gt;1,"Possible Duplicate Booking","Unique")</f>
        <v>Unique</v>
      </c>
      <c r="W2717" s="9" t="str">
        <f aca="false">IF((H2717-G2717)&lt;&gt;K2717,"Mismatch","OK")</f>
        <v>OK</v>
      </c>
      <c r="X2717" s="9" t="str">
        <f aca="false">IF(TEXT(H2717,"dddd")&lt;&gt;I2717,"Mismatch","OK")</f>
        <v>OK</v>
      </c>
      <c r="Y2717" s="9" t="str">
        <f aca="false">IF(AND(N2717="No",O2717&lt;&gt;""),"Unexpected: channel present but no reminder sent",IF(AND(N2717="Yes",O2717=""),"Missing channel for sent reminder","OK"))</f>
        <v>OK</v>
      </c>
    </row>
    <row r="2718" customFormat="false" ht="15" hidden="false" customHeight="false" outlineLevel="0" collapsed="false">
      <c r="A2718" s="7" t="s">
        <v>4192</v>
      </c>
      <c r="B2718" s="7" t="s">
        <v>3259</v>
      </c>
      <c r="C2718" s="7" t="s">
        <v>236</v>
      </c>
      <c r="D2718" s="7" t="n">
        <v>24</v>
      </c>
      <c r="E2718" s="7" t="s">
        <v>82</v>
      </c>
      <c r="F2718" s="7" t="s">
        <v>39</v>
      </c>
      <c r="G2718" s="8" t="n">
        <v>45854</v>
      </c>
      <c r="H2718" s="8" t="n">
        <v>45894</v>
      </c>
      <c r="I2718" s="7" t="s">
        <v>66</v>
      </c>
      <c r="J2718" s="7" t="s">
        <v>51</v>
      </c>
      <c r="K2718" s="7" t="n">
        <v>40</v>
      </c>
      <c r="L2718" s="7" t="n">
        <v>1</v>
      </c>
      <c r="M2718" s="7" t="n">
        <v>0</v>
      </c>
      <c r="N2718" s="7" t="s">
        <v>71</v>
      </c>
      <c r="O2718" s="7"/>
      <c r="P2718" s="7" t="n">
        <v>15.1</v>
      </c>
      <c r="Q2718" s="7" t="n">
        <v>17</v>
      </c>
      <c r="R2718" s="7" t="s">
        <v>53</v>
      </c>
      <c r="S2718" s="7"/>
      <c r="T2718" s="7"/>
      <c r="U2718" s="7" t="str">
        <f aca="false">IF(COUNTIF($A$2:$A$5001,A2718)&gt;1,"Duplicate","Unique")</f>
        <v>Unique</v>
      </c>
      <c r="V2718" s="7" t="str">
        <f aca="false">IF(COUNTIFS($B$2:$B$5001,B2718,$H$2:$H$5001,H2718,$J$2:$J$5001,J2718)&gt;1,"Possible Duplicate Booking","Unique")</f>
        <v>Unique</v>
      </c>
      <c r="W2718" s="7" t="str">
        <f aca="false">IF((H2718-G2718)&lt;&gt;K2718,"Mismatch","OK")</f>
        <v>OK</v>
      </c>
      <c r="X2718" s="7" t="str">
        <f aca="false">IF(TEXT(H2718,"dddd")&lt;&gt;I2718,"Mismatch","OK")</f>
        <v>OK</v>
      </c>
      <c r="Y2718" s="7" t="str">
        <f aca="false">IF(AND(N2718="No",O2718&lt;&gt;""),"Unexpected: channel present but no reminder sent",IF(AND(N2718="Yes",O2718=""),"Missing channel for sent reminder","OK"))</f>
        <v>OK</v>
      </c>
    </row>
    <row r="2719" customFormat="false" ht="15" hidden="false" customHeight="false" outlineLevel="0" collapsed="false">
      <c r="A2719" s="9" t="s">
        <v>4193</v>
      </c>
      <c r="B2719" s="9" t="s">
        <v>1550</v>
      </c>
      <c r="C2719" s="9" t="s">
        <v>47</v>
      </c>
      <c r="D2719" s="9" t="n">
        <v>50</v>
      </c>
      <c r="E2719" s="9" t="s">
        <v>56</v>
      </c>
      <c r="F2719" s="9" t="s">
        <v>57</v>
      </c>
      <c r="G2719" s="10" t="n">
        <v>45991</v>
      </c>
      <c r="H2719" s="10" t="n">
        <v>46034</v>
      </c>
      <c r="I2719" s="9" t="s">
        <v>66</v>
      </c>
      <c r="J2719" s="9" t="s">
        <v>41</v>
      </c>
      <c r="K2719" s="9" t="n">
        <v>43</v>
      </c>
      <c r="L2719" s="9" t="n">
        <v>2</v>
      </c>
      <c r="M2719" s="9" t="n">
        <v>1</v>
      </c>
      <c r="N2719" s="9" t="s">
        <v>42</v>
      </c>
      <c r="O2719" s="9" t="s">
        <v>52</v>
      </c>
      <c r="P2719" s="9" t="n">
        <v>7.7</v>
      </c>
      <c r="Q2719" s="9" t="n">
        <v>10</v>
      </c>
      <c r="R2719" s="9" t="s">
        <v>44</v>
      </c>
      <c r="S2719" s="9"/>
      <c r="T2719" s="9"/>
      <c r="U2719" s="9" t="str">
        <f aca="false">IF(COUNTIF($A$2:$A$5001,A2719)&gt;1,"Duplicate","Unique")</f>
        <v>Unique</v>
      </c>
      <c r="V2719" s="9" t="str">
        <f aca="false">IF(COUNTIFS($B$2:$B$5001,B2719,$H$2:$H$5001,H2719,$J$2:$J$5001,J2719)&gt;1,"Possible Duplicate Booking","Unique")</f>
        <v>Unique</v>
      </c>
      <c r="W2719" s="9" t="str">
        <f aca="false">IF((H2719-G2719)&lt;&gt;K2719,"Mismatch","OK")</f>
        <v>OK</v>
      </c>
      <c r="X2719" s="9" t="str">
        <f aca="false">IF(TEXT(H2719,"dddd")&lt;&gt;I2719,"Mismatch","OK")</f>
        <v>OK</v>
      </c>
      <c r="Y2719" s="9" t="str">
        <f aca="false">IF(AND(N2719="No",O2719&lt;&gt;""),"Unexpected: channel present but no reminder sent",IF(AND(N2719="Yes",O2719=""),"Missing channel for sent reminder","OK"))</f>
        <v>OK</v>
      </c>
    </row>
    <row r="2720" customFormat="false" ht="15" hidden="false" customHeight="false" outlineLevel="0" collapsed="false">
      <c r="A2720" s="7" t="s">
        <v>4194</v>
      </c>
      <c r="B2720" s="7" t="s">
        <v>146</v>
      </c>
      <c r="C2720" s="7" t="s">
        <v>47</v>
      </c>
      <c r="D2720" s="7" t="n">
        <v>70</v>
      </c>
      <c r="E2720" s="7" t="s">
        <v>70</v>
      </c>
      <c r="F2720" s="7" t="s">
        <v>57</v>
      </c>
      <c r="G2720" s="8" t="n">
        <v>45948</v>
      </c>
      <c r="H2720" s="8" t="n">
        <v>45974</v>
      </c>
      <c r="I2720" s="7" t="s">
        <v>62</v>
      </c>
      <c r="J2720" s="7" t="s">
        <v>51</v>
      </c>
      <c r="K2720" s="7" t="n">
        <v>26</v>
      </c>
      <c r="L2720" s="7" t="n">
        <v>6</v>
      </c>
      <c r="M2720" s="7" t="n">
        <v>1</v>
      </c>
      <c r="N2720" s="7" t="s">
        <v>42</v>
      </c>
      <c r="O2720" s="7" t="s">
        <v>52</v>
      </c>
      <c r="P2720" s="7" t="n">
        <v>4.8</v>
      </c>
      <c r="Q2720" s="7" t="n">
        <v>40</v>
      </c>
      <c r="R2720" s="7" t="s">
        <v>44</v>
      </c>
      <c r="S2720" s="7"/>
      <c r="T2720" s="7"/>
      <c r="U2720" s="7" t="str">
        <f aca="false">IF(COUNTIF($A$2:$A$5001,A2720)&gt;1,"Duplicate","Unique")</f>
        <v>Unique</v>
      </c>
      <c r="V2720" s="7" t="str">
        <f aca="false">IF(COUNTIFS($B$2:$B$5001,B2720,$H$2:$H$5001,H2720,$J$2:$J$5001,J2720)&gt;1,"Possible Duplicate Booking","Unique")</f>
        <v>Unique</v>
      </c>
      <c r="W2720" s="7" t="str">
        <f aca="false">IF((H2720-G2720)&lt;&gt;K2720,"Mismatch","OK")</f>
        <v>OK</v>
      </c>
      <c r="X2720" s="7" t="str">
        <f aca="false">IF(TEXT(H2720,"dddd")&lt;&gt;I2720,"Mismatch","OK")</f>
        <v>OK</v>
      </c>
      <c r="Y2720" s="7" t="str">
        <f aca="false">IF(AND(N2720="No",O2720&lt;&gt;""),"Unexpected: channel present but no reminder sent",IF(AND(N2720="Yes",O2720=""),"Missing channel for sent reminder","OK"))</f>
        <v>OK</v>
      </c>
    </row>
    <row r="2721" customFormat="false" ht="15" hidden="false" customHeight="false" outlineLevel="0" collapsed="false">
      <c r="A2721" s="9" t="s">
        <v>4195</v>
      </c>
      <c r="B2721" s="9" t="s">
        <v>1398</v>
      </c>
      <c r="C2721" s="9" t="s">
        <v>47</v>
      </c>
      <c r="D2721" s="9" t="n">
        <v>47</v>
      </c>
      <c r="E2721" s="9" t="s">
        <v>56</v>
      </c>
      <c r="F2721" s="9" t="s">
        <v>39</v>
      </c>
      <c r="G2721" s="10" t="n">
        <v>45743</v>
      </c>
      <c r="H2721" s="10" t="n">
        <v>45747</v>
      </c>
      <c r="I2721" s="9" t="s">
        <v>66</v>
      </c>
      <c r="J2721" s="9" t="s">
        <v>41</v>
      </c>
      <c r="K2721" s="9" t="n">
        <v>4</v>
      </c>
      <c r="L2721" s="9" t="n">
        <v>2</v>
      </c>
      <c r="M2721" s="9" t="n">
        <v>1</v>
      </c>
      <c r="N2721" s="9" t="s">
        <v>42</v>
      </c>
      <c r="O2721" s="9" t="s">
        <v>52</v>
      </c>
      <c r="P2721" s="9" t="n">
        <v>13.9</v>
      </c>
      <c r="Q2721" s="9" t="n">
        <v>45</v>
      </c>
      <c r="R2721" s="9" t="s">
        <v>53</v>
      </c>
      <c r="S2721" s="9"/>
      <c r="T2721" s="9"/>
      <c r="U2721" s="9" t="str">
        <f aca="false">IF(COUNTIF($A$2:$A$5001,A2721)&gt;1,"Duplicate","Unique")</f>
        <v>Unique</v>
      </c>
      <c r="V2721" s="9" t="str">
        <f aca="false">IF(COUNTIFS($B$2:$B$5001,B2721,$H$2:$H$5001,H2721,$J$2:$J$5001,J2721)&gt;1,"Possible Duplicate Booking","Unique")</f>
        <v>Unique</v>
      </c>
      <c r="W2721" s="9" t="str">
        <f aca="false">IF((H2721-G2721)&lt;&gt;K2721,"Mismatch","OK")</f>
        <v>OK</v>
      </c>
      <c r="X2721" s="9" t="str">
        <f aca="false">IF(TEXT(H2721,"dddd")&lt;&gt;I2721,"Mismatch","OK")</f>
        <v>OK</v>
      </c>
      <c r="Y2721" s="9" t="str">
        <f aca="false">IF(AND(N2721="No",O2721&lt;&gt;""),"Unexpected: channel present but no reminder sent",IF(AND(N2721="Yes",O2721=""),"Missing channel for sent reminder","OK"))</f>
        <v>OK</v>
      </c>
    </row>
    <row r="2722" customFormat="false" ht="15" hidden="false" customHeight="false" outlineLevel="0" collapsed="false">
      <c r="A2722" s="7" t="s">
        <v>4196</v>
      </c>
      <c r="B2722" s="7" t="s">
        <v>1767</v>
      </c>
      <c r="C2722" s="7" t="s">
        <v>37</v>
      </c>
      <c r="D2722" s="7" t="n">
        <v>53</v>
      </c>
      <c r="E2722" s="7" t="s">
        <v>56</v>
      </c>
      <c r="F2722" s="7" t="s">
        <v>49</v>
      </c>
      <c r="G2722" s="8" t="n">
        <v>46000</v>
      </c>
      <c r="H2722" s="8" t="n">
        <v>46000</v>
      </c>
      <c r="I2722" s="7" t="s">
        <v>40</v>
      </c>
      <c r="J2722" s="7" t="s">
        <v>51</v>
      </c>
      <c r="K2722" s="7" t="n">
        <v>0</v>
      </c>
      <c r="L2722" s="7" t="n">
        <v>0</v>
      </c>
      <c r="M2722" s="7" t="n">
        <v>0</v>
      </c>
      <c r="N2722" s="7" t="s">
        <v>42</v>
      </c>
      <c r="O2722" s="7" t="s">
        <v>67</v>
      </c>
      <c r="P2722" s="7" t="n">
        <v>4.1</v>
      </c>
      <c r="Q2722" s="7" t="n">
        <v>20</v>
      </c>
      <c r="R2722" s="7" t="s">
        <v>53</v>
      </c>
      <c r="S2722" s="7"/>
      <c r="T2722" s="7"/>
      <c r="U2722" s="7" t="str">
        <f aca="false">IF(COUNTIF($A$2:$A$5001,A2722)&gt;1,"Duplicate","Unique")</f>
        <v>Unique</v>
      </c>
      <c r="V2722" s="7" t="str">
        <f aca="false">IF(COUNTIFS($B$2:$B$5001,B2722,$H$2:$H$5001,H2722,$J$2:$J$5001,J2722)&gt;1,"Possible Duplicate Booking","Unique")</f>
        <v>Unique</v>
      </c>
      <c r="W2722" s="7" t="str">
        <f aca="false">IF((H2722-G2722)&lt;&gt;K2722,"Mismatch","OK")</f>
        <v>OK</v>
      </c>
      <c r="X2722" s="7" t="str">
        <f aca="false">IF(TEXT(H2722,"dddd")&lt;&gt;I2722,"Mismatch","OK")</f>
        <v>OK</v>
      </c>
      <c r="Y2722" s="7" t="str">
        <f aca="false">IF(AND(N2722="No",O2722&lt;&gt;""),"Unexpected: channel present but no reminder sent",IF(AND(N2722="Yes",O2722=""),"Missing channel for sent reminder","OK"))</f>
        <v>OK</v>
      </c>
    </row>
    <row r="2723" customFormat="false" ht="15" hidden="false" customHeight="false" outlineLevel="0" collapsed="false">
      <c r="A2723" s="9" t="s">
        <v>4197</v>
      </c>
      <c r="B2723" s="9" t="s">
        <v>1453</v>
      </c>
      <c r="C2723" s="9" t="s">
        <v>47</v>
      </c>
      <c r="D2723" s="9" t="n">
        <v>39</v>
      </c>
      <c r="E2723" s="9" t="s">
        <v>38</v>
      </c>
      <c r="F2723" s="9" t="s">
        <v>49</v>
      </c>
      <c r="G2723" s="10" t="n">
        <v>45994</v>
      </c>
      <c r="H2723" s="10" t="n">
        <v>46022</v>
      </c>
      <c r="I2723" s="9" t="s">
        <v>58</v>
      </c>
      <c r="J2723" s="9" t="s">
        <v>41</v>
      </c>
      <c r="K2723" s="9" t="n">
        <v>28</v>
      </c>
      <c r="L2723" s="9" t="n">
        <v>4</v>
      </c>
      <c r="M2723" s="9" t="n">
        <v>0</v>
      </c>
      <c r="N2723" s="9" t="s">
        <v>42</v>
      </c>
      <c r="O2723" s="9" t="s">
        <v>52</v>
      </c>
      <c r="P2723" s="9"/>
      <c r="Q2723" s="9" t="n">
        <v>27</v>
      </c>
      <c r="R2723" s="9" t="s">
        <v>44</v>
      </c>
      <c r="S2723" s="9"/>
      <c r="T2723" s="9"/>
      <c r="U2723" s="9" t="str">
        <f aca="false">IF(COUNTIF($A$2:$A$5001,A2723)&gt;1,"Duplicate","Unique")</f>
        <v>Unique</v>
      </c>
      <c r="V2723" s="9" t="str">
        <f aca="false">IF(COUNTIFS($B$2:$B$5001,B2723,$H$2:$H$5001,H2723,$J$2:$J$5001,J2723)&gt;1,"Possible Duplicate Booking","Unique")</f>
        <v>Unique</v>
      </c>
      <c r="W2723" s="9" t="str">
        <f aca="false">IF((H2723-G2723)&lt;&gt;K2723,"Mismatch","OK")</f>
        <v>OK</v>
      </c>
      <c r="X2723" s="9" t="str">
        <f aca="false">IF(TEXT(H2723,"dddd")&lt;&gt;I2723,"Mismatch","OK")</f>
        <v>OK</v>
      </c>
      <c r="Y2723" s="9" t="str">
        <f aca="false">IF(AND(N2723="No",O2723&lt;&gt;""),"Unexpected: channel present but no reminder sent",IF(AND(N2723="Yes",O2723=""),"Missing channel for sent reminder","OK"))</f>
        <v>OK</v>
      </c>
    </row>
    <row r="2724" customFormat="false" ht="15" hidden="false" customHeight="false" outlineLevel="0" collapsed="false">
      <c r="A2724" s="7" t="s">
        <v>4198</v>
      </c>
      <c r="B2724" s="7" t="s">
        <v>110</v>
      </c>
      <c r="C2724" s="7" t="s">
        <v>37</v>
      </c>
      <c r="D2724" s="7" t="n">
        <v>26</v>
      </c>
      <c r="E2724" s="7" t="s">
        <v>48</v>
      </c>
      <c r="F2724" s="7" t="s">
        <v>39</v>
      </c>
      <c r="G2724" s="8" t="n">
        <v>45671</v>
      </c>
      <c r="H2724" s="8" t="n">
        <v>45720</v>
      </c>
      <c r="I2724" s="7" t="s">
        <v>40</v>
      </c>
      <c r="J2724" s="7" t="s">
        <v>41</v>
      </c>
      <c r="K2724" s="7" t="n">
        <v>49</v>
      </c>
      <c r="L2724" s="7" t="n">
        <v>0</v>
      </c>
      <c r="M2724" s="7" t="n">
        <v>0</v>
      </c>
      <c r="N2724" s="7" t="s">
        <v>42</v>
      </c>
      <c r="O2724" s="7" t="s">
        <v>52</v>
      </c>
      <c r="P2724" s="7" t="n">
        <v>9.9</v>
      </c>
      <c r="Q2724" s="7" t="n">
        <v>26</v>
      </c>
      <c r="R2724" s="7" t="s">
        <v>87</v>
      </c>
      <c r="S2724" s="7"/>
      <c r="T2724" s="7"/>
      <c r="U2724" s="7" t="str">
        <f aca="false">IF(COUNTIF($A$2:$A$5001,A2724)&gt;1,"Duplicate","Unique")</f>
        <v>Unique</v>
      </c>
      <c r="V2724" s="7" t="str">
        <f aca="false">IF(COUNTIFS($B$2:$B$5001,B2724,$H$2:$H$5001,H2724,$J$2:$J$5001,J2724)&gt;1,"Possible Duplicate Booking","Unique")</f>
        <v>Unique</v>
      </c>
      <c r="W2724" s="7" t="str">
        <f aca="false">IF((H2724-G2724)&lt;&gt;K2724,"Mismatch","OK")</f>
        <v>OK</v>
      </c>
      <c r="X2724" s="7" t="str">
        <f aca="false">IF(TEXT(H2724,"dddd")&lt;&gt;I2724,"Mismatch","OK")</f>
        <v>OK</v>
      </c>
      <c r="Y2724" s="7" t="str">
        <f aca="false">IF(AND(N2724="No",O2724&lt;&gt;""),"Unexpected: channel present but no reminder sent",IF(AND(N2724="Yes",O2724=""),"Missing channel for sent reminder","OK"))</f>
        <v>OK</v>
      </c>
    </row>
    <row r="2725" customFormat="false" ht="15" hidden="false" customHeight="false" outlineLevel="0" collapsed="false">
      <c r="A2725" s="9" t="s">
        <v>4199</v>
      </c>
      <c r="B2725" s="9" t="s">
        <v>1181</v>
      </c>
      <c r="C2725" s="9" t="s">
        <v>47</v>
      </c>
      <c r="D2725" s="9" t="n">
        <v>58</v>
      </c>
      <c r="E2725" s="9" t="s">
        <v>61</v>
      </c>
      <c r="F2725" s="9" t="s">
        <v>49</v>
      </c>
      <c r="G2725" s="10" t="n">
        <v>45862</v>
      </c>
      <c r="H2725" s="10" t="n">
        <v>45863</v>
      </c>
      <c r="I2725" s="9" t="s">
        <v>50</v>
      </c>
      <c r="J2725" s="9" t="s">
        <v>41</v>
      </c>
      <c r="K2725" s="9" t="n">
        <v>1</v>
      </c>
      <c r="L2725" s="9" t="n">
        <v>4</v>
      </c>
      <c r="M2725" s="9" t="n">
        <v>1</v>
      </c>
      <c r="N2725" s="9" t="s">
        <v>71</v>
      </c>
      <c r="O2725" s="9"/>
      <c r="P2725" s="9" t="n">
        <v>7.7</v>
      </c>
      <c r="Q2725" s="9" t="n">
        <v>34</v>
      </c>
      <c r="R2725" s="9" t="s">
        <v>53</v>
      </c>
      <c r="S2725" s="9"/>
      <c r="T2725" s="9"/>
      <c r="U2725" s="9" t="str">
        <f aca="false">IF(COUNTIF($A$2:$A$5001,A2725)&gt;1,"Duplicate","Unique")</f>
        <v>Unique</v>
      </c>
      <c r="V2725" s="9" t="str">
        <f aca="false">IF(COUNTIFS($B$2:$B$5001,B2725,$H$2:$H$5001,H2725,$J$2:$J$5001,J2725)&gt;1,"Possible Duplicate Booking","Unique")</f>
        <v>Unique</v>
      </c>
      <c r="W2725" s="9" t="str">
        <f aca="false">IF((H2725-G2725)&lt;&gt;K2725,"Mismatch","OK")</f>
        <v>OK</v>
      </c>
      <c r="X2725" s="9" t="str">
        <f aca="false">IF(TEXT(H2725,"dddd")&lt;&gt;I2725,"Mismatch","OK")</f>
        <v>OK</v>
      </c>
      <c r="Y2725" s="9" t="str">
        <f aca="false">IF(AND(N2725="No",O2725&lt;&gt;""),"Unexpected: channel present but no reminder sent",IF(AND(N2725="Yes",O2725=""),"Missing channel for sent reminder","OK"))</f>
        <v>OK</v>
      </c>
    </row>
    <row r="2726" customFormat="false" ht="15" hidden="false" customHeight="false" outlineLevel="0" collapsed="false">
      <c r="A2726" s="7" t="s">
        <v>4200</v>
      </c>
      <c r="B2726" s="7" t="s">
        <v>1439</v>
      </c>
      <c r="C2726" s="7" t="s">
        <v>47</v>
      </c>
      <c r="D2726" s="7" t="n">
        <v>75</v>
      </c>
      <c r="E2726" s="7" t="s">
        <v>70</v>
      </c>
      <c r="F2726" s="7" t="s">
        <v>49</v>
      </c>
      <c r="G2726" s="8" t="n">
        <v>46035</v>
      </c>
      <c r="H2726" s="8" t="n">
        <v>46089</v>
      </c>
      <c r="I2726" s="7" t="s">
        <v>75</v>
      </c>
      <c r="J2726" s="7" t="s">
        <v>41</v>
      </c>
      <c r="K2726" s="7" t="n">
        <v>54</v>
      </c>
      <c r="L2726" s="7" t="n">
        <v>3</v>
      </c>
      <c r="M2726" s="7" t="n">
        <v>0</v>
      </c>
      <c r="N2726" s="7" t="s">
        <v>42</v>
      </c>
      <c r="O2726" s="7" t="s">
        <v>52</v>
      </c>
      <c r="P2726" s="7" t="n">
        <v>14.1</v>
      </c>
      <c r="Q2726" s="7" t="n">
        <v>12</v>
      </c>
      <c r="R2726" s="7" t="s">
        <v>53</v>
      </c>
      <c r="S2726" s="7"/>
      <c r="T2726" s="7"/>
      <c r="U2726" s="7" t="str">
        <f aca="false">IF(COUNTIF($A$2:$A$5001,A2726)&gt;1,"Duplicate","Unique")</f>
        <v>Unique</v>
      </c>
      <c r="V2726" s="7" t="str">
        <f aca="false">IF(COUNTIFS($B$2:$B$5001,B2726,$H$2:$H$5001,H2726,$J$2:$J$5001,J2726)&gt;1,"Possible Duplicate Booking","Unique")</f>
        <v>Unique</v>
      </c>
      <c r="W2726" s="7" t="str">
        <f aca="false">IF((H2726-G2726)&lt;&gt;K2726,"Mismatch","OK")</f>
        <v>OK</v>
      </c>
      <c r="X2726" s="7" t="str">
        <f aca="false">IF(TEXT(H2726,"dddd")&lt;&gt;I2726,"Mismatch","OK")</f>
        <v>OK</v>
      </c>
      <c r="Y2726" s="7" t="str">
        <f aca="false">IF(AND(N2726="No",O2726&lt;&gt;""),"Unexpected: channel present but no reminder sent",IF(AND(N2726="Yes",O2726=""),"Missing channel for sent reminder","OK"))</f>
        <v>OK</v>
      </c>
    </row>
    <row r="2727" customFormat="false" ht="15" hidden="false" customHeight="false" outlineLevel="0" collapsed="false">
      <c r="A2727" s="9" t="s">
        <v>4201</v>
      </c>
      <c r="B2727" s="9" t="s">
        <v>512</v>
      </c>
      <c r="C2727" s="9" t="s">
        <v>47</v>
      </c>
      <c r="D2727" s="9" t="n">
        <v>50</v>
      </c>
      <c r="E2727" s="9" t="s">
        <v>56</v>
      </c>
      <c r="F2727" s="9" t="s">
        <v>49</v>
      </c>
      <c r="G2727" s="10" t="n">
        <v>45954</v>
      </c>
      <c r="H2727" s="10" t="n">
        <v>45995</v>
      </c>
      <c r="I2727" s="9" t="s">
        <v>62</v>
      </c>
      <c r="J2727" s="9" t="s">
        <v>51</v>
      </c>
      <c r="K2727" s="9" t="n">
        <v>41</v>
      </c>
      <c r="L2727" s="9" t="n">
        <v>1</v>
      </c>
      <c r="M2727" s="9" t="n">
        <v>0</v>
      </c>
      <c r="N2727" s="9" t="s">
        <v>42</v>
      </c>
      <c r="O2727" s="9" t="s">
        <v>43</v>
      </c>
      <c r="P2727" s="9" t="n">
        <v>10.4</v>
      </c>
      <c r="Q2727" s="9" t="n">
        <v>24</v>
      </c>
      <c r="R2727" s="9" t="s">
        <v>53</v>
      </c>
      <c r="S2727" s="9"/>
      <c r="T2727" s="9"/>
      <c r="U2727" s="9" t="str">
        <f aca="false">IF(COUNTIF($A$2:$A$5001,A2727)&gt;1,"Duplicate","Unique")</f>
        <v>Unique</v>
      </c>
      <c r="V2727" s="9" t="str">
        <f aca="false">IF(COUNTIFS($B$2:$B$5001,B2727,$H$2:$H$5001,H2727,$J$2:$J$5001,J2727)&gt;1,"Possible Duplicate Booking","Unique")</f>
        <v>Unique</v>
      </c>
      <c r="W2727" s="9" t="str">
        <f aca="false">IF((H2727-G2727)&lt;&gt;K2727,"Mismatch","OK")</f>
        <v>OK</v>
      </c>
      <c r="X2727" s="9" t="str">
        <f aca="false">IF(TEXT(H2727,"dddd")&lt;&gt;I2727,"Mismatch","OK")</f>
        <v>OK</v>
      </c>
      <c r="Y2727" s="9" t="str">
        <f aca="false">IF(AND(N2727="No",O2727&lt;&gt;""),"Unexpected: channel present but no reminder sent",IF(AND(N2727="Yes",O2727=""),"Missing channel for sent reminder","OK"))</f>
        <v>OK</v>
      </c>
    </row>
    <row r="2728" customFormat="false" ht="15" hidden="false" customHeight="false" outlineLevel="0" collapsed="false">
      <c r="A2728" s="7" t="s">
        <v>4202</v>
      </c>
      <c r="B2728" s="7" t="s">
        <v>2755</v>
      </c>
      <c r="C2728" s="7" t="s">
        <v>47</v>
      </c>
      <c r="D2728" s="7" t="n">
        <v>45</v>
      </c>
      <c r="E2728" s="7" t="s">
        <v>56</v>
      </c>
      <c r="F2728" s="7" t="s">
        <v>49</v>
      </c>
      <c r="G2728" s="8" t="n">
        <v>45732</v>
      </c>
      <c r="H2728" s="8" t="n">
        <v>45732</v>
      </c>
      <c r="I2728" s="7" t="s">
        <v>75</v>
      </c>
      <c r="J2728" s="7" t="s">
        <v>51</v>
      </c>
      <c r="K2728" s="7" t="n">
        <v>0</v>
      </c>
      <c r="L2728" s="7" t="n">
        <v>2</v>
      </c>
      <c r="M2728" s="7" t="n">
        <v>0</v>
      </c>
      <c r="N2728" s="7" t="s">
        <v>71</v>
      </c>
      <c r="O2728" s="7"/>
      <c r="P2728" s="7" t="n">
        <v>30.6</v>
      </c>
      <c r="Q2728" s="7" t="n">
        <v>12</v>
      </c>
      <c r="R2728" s="7" t="s">
        <v>53</v>
      </c>
      <c r="S2728" s="7"/>
      <c r="T2728" s="7"/>
      <c r="U2728" s="7" t="str">
        <f aca="false">IF(COUNTIF($A$2:$A$5001,A2728)&gt;1,"Duplicate","Unique")</f>
        <v>Unique</v>
      </c>
      <c r="V2728" s="7" t="str">
        <f aca="false">IF(COUNTIFS($B$2:$B$5001,B2728,$H$2:$H$5001,H2728,$J$2:$J$5001,J2728)&gt;1,"Possible Duplicate Booking","Unique")</f>
        <v>Unique</v>
      </c>
      <c r="W2728" s="7" t="str">
        <f aca="false">IF((H2728-G2728)&lt;&gt;K2728,"Mismatch","OK")</f>
        <v>OK</v>
      </c>
      <c r="X2728" s="7" t="str">
        <f aca="false">IF(TEXT(H2728,"dddd")&lt;&gt;I2728,"Mismatch","OK")</f>
        <v>OK</v>
      </c>
      <c r="Y2728" s="7" t="str">
        <f aca="false">IF(AND(N2728="No",O2728&lt;&gt;""),"Unexpected: channel present but no reminder sent",IF(AND(N2728="Yes",O2728=""),"Missing channel for sent reminder","OK"))</f>
        <v>OK</v>
      </c>
    </row>
    <row r="2729" customFormat="false" ht="15" hidden="false" customHeight="false" outlineLevel="0" collapsed="false">
      <c r="A2729" s="9" t="s">
        <v>4203</v>
      </c>
      <c r="B2729" s="9" t="s">
        <v>2518</v>
      </c>
      <c r="C2729" s="9" t="s">
        <v>47</v>
      </c>
      <c r="D2729" s="9" t="n">
        <v>26</v>
      </c>
      <c r="E2729" s="9" t="s">
        <v>48</v>
      </c>
      <c r="F2729" s="9" t="s">
        <v>57</v>
      </c>
      <c r="G2729" s="10" t="n">
        <v>45659</v>
      </c>
      <c r="H2729" s="10" t="n">
        <v>45679</v>
      </c>
      <c r="I2729" s="9" t="s">
        <v>58</v>
      </c>
      <c r="J2729" s="9" t="s">
        <v>41</v>
      </c>
      <c r="K2729" s="9" t="n">
        <v>20</v>
      </c>
      <c r="L2729" s="9" t="n">
        <v>6</v>
      </c>
      <c r="M2729" s="9" t="n">
        <v>1</v>
      </c>
      <c r="N2729" s="9" t="s">
        <v>42</v>
      </c>
      <c r="O2729" s="9" t="s">
        <v>52</v>
      </c>
      <c r="P2729" s="9" t="n">
        <v>19.7</v>
      </c>
      <c r="Q2729" s="9" t="n">
        <v>28</v>
      </c>
      <c r="R2729" s="9" t="s">
        <v>44</v>
      </c>
      <c r="S2729" s="9"/>
      <c r="T2729" s="9"/>
      <c r="U2729" s="9" t="str">
        <f aca="false">IF(COUNTIF($A$2:$A$5001,A2729)&gt;1,"Duplicate","Unique")</f>
        <v>Unique</v>
      </c>
      <c r="V2729" s="9" t="str">
        <f aca="false">IF(COUNTIFS($B$2:$B$5001,B2729,$H$2:$H$5001,H2729,$J$2:$J$5001,J2729)&gt;1,"Possible Duplicate Booking","Unique")</f>
        <v>Unique</v>
      </c>
      <c r="W2729" s="9" t="str">
        <f aca="false">IF((H2729-G2729)&lt;&gt;K2729,"Mismatch","OK")</f>
        <v>OK</v>
      </c>
      <c r="X2729" s="9" t="str">
        <f aca="false">IF(TEXT(H2729,"dddd")&lt;&gt;I2729,"Mismatch","OK")</f>
        <v>OK</v>
      </c>
      <c r="Y2729" s="9" t="str">
        <f aca="false">IF(AND(N2729="No",O2729&lt;&gt;""),"Unexpected: channel present but no reminder sent",IF(AND(N2729="Yes",O2729=""),"Missing channel for sent reminder","OK"))</f>
        <v>OK</v>
      </c>
    </row>
    <row r="2730" customFormat="false" ht="15" hidden="false" customHeight="false" outlineLevel="0" collapsed="false">
      <c r="A2730" s="7" t="s">
        <v>4204</v>
      </c>
      <c r="B2730" s="7" t="s">
        <v>4188</v>
      </c>
      <c r="C2730" s="7" t="s">
        <v>37</v>
      </c>
      <c r="D2730" s="7" t="n">
        <v>77</v>
      </c>
      <c r="E2730" s="7" t="s">
        <v>70</v>
      </c>
      <c r="F2730" s="7" t="s">
        <v>57</v>
      </c>
      <c r="G2730" s="8" t="n">
        <v>45962</v>
      </c>
      <c r="H2730" s="8" t="n">
        <v>45975</v>
      </c>
      <c r="I2730" s="7" t="s">
        <v>50</v>
      </c>
      <c r="J2730" s="7" t="s">
        <v>51</v>
      </c>
      <c r="K2730" s="7" t="n">
        <v>13</v>
      </c>
      <c r="L2730" s="7" t="n">
        <v>3</v>
      </c>
      <c r="M2730" s="7" t="n">
        <v>0</v>
      </c>
      <c r="N2730" s="7" t="s">
        <v>71</v>
      </c>
      <c r="O2730" s="7"/>
      <c r="P2730" s="7" t="n">
        <v>11.2</v>
      </c>
      <c r="Q2730" s="7" t="n">
        <v>41</v>
      </c>
      <c r="R2730" s="7" t="s">
        <v>53</v>
      </c>
      <c r="S2730" s="7"/>
      <c r="T2730" s="7"/>
      <c r="U2730" s="7" t="str">
        <f aca="false">IF(COUNTIF($A$2:$A$5001,A2730)&gt;1,"Duplicate","Unique")</f>
        <v>Unique</v>
      </c>
      <c r="V2730" s="7" t="str">
        <f aca="false">IF(COUNTIFS($B$2:$B$5001,B2730,$H$2:$H$5001,H2730,$J$2:$J$5001,J2730)&gt;1,"Possible Duplicate Booking","Unique")</f>
        <v>Unique</v>
      </c>
      <c r="W2730" s="7" t="str">
        <f aca="false">IF((H2730-G2730)&lt;&gt;K2730,"Mismatch","OK")</f>
        <v>OK</v>
      </c>
      <c r="X2730" s="7" t="str">
        <f aca="false">IF(TEXT(H2730,"dddd")&lt;&gt;I2730,"Mismatch","OK")</f>
        <v>OK</v>
      </c>
      <c r="Y2730" s="7" t="str">
        <f aca="false">IF(AND(N2730="No",O2730&lt;&gt;""),"Unexpected: channel present but no reminder sent",IF(AND(N2730="Yes",O2730=""),"Missing channel for sent reminder","OK"))</f>
        <v>OK</v>
      </c>
    </row>
    <row r="2731" customFormat="false" ht="15" hidden="false" customHeight="false" outlineLevel="0" collapsed="false">
      <c r="A2731" s="9" t="s">
        <v>4205</v>
      </c>
      <c r="B2731" s="9" t="s">
        <v>3029</v>
      </c>
      <c r="C2731" s="9" t="s">
        <v>37</v>
      </c>
      <c r="D2731" s="9" t="n">
        <v>72</v>
      </c>
      <c r="E2731" s="9" t="s">
        <v>70</v>
      </c>
      <c r="F2731" s="9" t="s">
        <v>57</v>
      </c>
      <c r="G2731" s="10" t="n">
        <v>45853</v>
      </c>
      <c r="H2731" s="10" t="n">
        <v>45910</v>
      </c>
      <c r="I2731" s="9" t="s">
        <v>58</v>
      </c>
      <c r="J2731" s="9" t="s">
        <v>41</v>
      </c>
      <c r="K2731" s="9" t="n">
        <v>57</v>
      </c>
      <c r="L2731" s="9" t="n">
        <v>3</v>
      </c>
      <c r="M2731" s="9" t="n">
        <v>0</v>
      </c>
      <c r="N2731" s="9" t="s">
        <v>42</v>
      </c>
      <c r="O2731" s="9" t="s">
        <v>67</v>
      </c>
      <c r="P2731" s="9" t="n">
        <v>18.2</v>
      </c>
      <c r="Q2731" s="9" t="n">
        <v>28</v>
      </c>
      <c r="R2731" s="9" t="s">
        <v>44</v>
      </c>
      <c r="S2731" s="9"/>
      <c r="T2731" s="9"/>
      <c r="U2731" s="9" t="str">
        <f aca="false">IF(COUNTIF($A$2:$A$5001,A2731)&gt;1,"Duplicate","Unique")</f>
        <v>Unique</v>
      </c>
      <c r="V2731" s="9" t="str">
        <f aca="false">IF(COUNTIFS($B$2:$B$5001,B2731,$H$2:$H$5001,H2731,$J$2:$J$5001,J2731)&gt;1,"Possible Duplicate Booking","Unique")</f>
        <v>Unique</v>
      </c>
      <c r="W2731" s="9" t="str">
        <f aca="false">IF((H2731-G2731)&lt;&gt;K2731,"Mismatch","OK")</f>
        <v>OK</v>
      </c>
      <c r="X2731" s="9" t="str">
        <f aca="false">IF(TEXT(H2731,"dddd")&lt;&gt;I2731,"Mismatch","OK")</f>
        <v>OK</v>
      </c>
      <c r="Y2731" s="9" t="str">
        <f aca="false">IF(AND(N2731="No",O2731&lt;&gt;""),"Unexpected: channel present but no reminder sent",IF(AND(N2731="Yes",O2731=""),"Missing channel for sent reminder","OK"))</f>
        <v>OK</v>
      </c>
    </row>
    <row r="2732" customFormat="false" ht="15" hidden="false" customHeight="false" outlineLevel="0" collapsed="false">
      <c r="A2732" s="7" t="s">
        <v>4206</v>
      </c>
      <c r="B2732" s="7" t="s">
        <v>987</v>
      </c>
      <c r="C2732" s="7" t="s">
        <v>37</v>
      </c>
      <c r="D2732" s="7" t="n">
        <v>74</v>
      </c>
      <c r="E2732" s="7" t="s">
        <v>70</v>
      </c>
      <c r="F2732" s="7" t="s">
        <v>39</v>
      </c>
      <c r="G2732" s="8" t="n">
        <v>46149</v>
      </c>
      <c r="H2732" s="8" t="n">
        <v>46182</v>
      </c>
      <c r="I2732" s="7" t="s">
        <v>40</v>
      </c>
      <c r="J2732" s="7" t="s">
        <v>41</v>
      </c>
      <c r="K2732" s="7" t="n">
        <v>33</v>
      </c>
      <c r="L2732" s="7" t="n">
        <v>0</v>
      </c>
      <c r="M2732" s="7" t="n">
        <v>0</v>
      </c>
      <c r="N2732" s="7" t="s">
        <v>42</v>
      </c>
      <c r="O2732" s="7" t="s">
        <v>52</v>
      </c>
      <c r="P2732" s="7"/>
      <c r="Q2732" s="7" t="n">
        <v>15</v>
      </c>
      <c r="R2732" s="7" t="s">
        <v>44</v>
      </c>
      <c r="S2732" s="7"/>
      <c r="T2732" s="7"/>
      <c r="U2732" s="7" t="str">
        <f aca="false">IF(COUNTIF($A$2:$A$5001,A2732)&gt;1,"Duplicate","Unique")</f>
        <v>Unique</v>
      </c>
      <c r="V2732" s="7" t="str">
        <f aca="false">IF(COUNTIFS($B$2:$B$5001,B2732,$H$2:$H$5001,H2732,$J$2:$J$5001,J2732)&gt;1,"Possible Duplicate Booking","Unique")</f>
        <v>Unique</v>
      </c>
      <c r="W2732" s="7" t="str">
        <f aca="false">IF((H2732-G2732)&lt;&gt;K2732,"Mismatch","OK")</f>
        <v>OK</v>
      </c>
      <c r="X2732" s="7" t="str">
        <f aca="false">IF(TEXT(H2732,"dddd")&lt;&gt;I2732,"Mismatch","OK")</f>
        <v>OK</v>
      </c>
      <c r="Y2732" s="7" t="str">
        <f aca="false">IF(AND(N2732="No",O2732&lt;&gt;""),"Unexpected: channel present but no reminder sent",IF(AND(N2732="Yes",O2732=""),"Missing channel for sent reminder","OK"))</f>
        <v>OK</v>
      </c>
    </row>
    <row r="2733" customFormat="false" ht="15" hidden="false" customHeight="false" outlineLevel="0" collapsed="false">
      <c r="A2733" s="9" t="s">
        <v>4207</v>
      </c>
      <c r="B2733" s="9" t="s">
        <v>1749</v>
      </c>
      <c r="C2733" s="9" t="s">
        <v>47</v>
      </c>
      <c r="D2733" s="9" t="n">
        <v>40</v>
      </c>
      <c r="E2733" s="9" t="s">
        <v>38</v>
      </c>
      <c r="F2733" s="9" t="s">
        <v>49</v>
      </c>
      <c r="G2733" s="10" t="n">
        <v>45924</v>
      </c>
      <c r="H2733" s="10" t="n">
        <v>45943</v>
      </c>
      <c r="I2733" s="9" t="s">
        <v>66</v>
      </c>
      <c r="J2733" s="9" t="s">
        <v>63</v>
      </c>
      <c r="K2733" s="9" t="n">
        <v>19</v>
      </c>
      <c r="L2733" s="9" t="n">
        <v>2</v>
      </c>
      <c r="M2733" s="9" t="n">
        <v>0</v>
      </c>
      <c r="N2733" s="9" t="s">
        <v>42</v>
      </c>
      <c r="O2733" s="9" t="s">
        <v>52</v>
      </c>
      <c r="P2733" s="9" t="n">
        <v>21.6</v>
      </c>
      <c r="Q2733" s="9" t="n">
        <v>35</v>
      </c>
      <c r="R2733" s="9" t="s">
        <v>44</v>
      </c>
      <c r="S2733" s="9"/>
      <c r="T2733" s="9"/>
      <c r="U2733" s="9" t="str">
        <f aca="false">IF(COUNTIF($A$2:$A$5001,A2733)&gt;1,"Duplicate","Unique")</f>
        <v>Unique</v>
      </c>
      <c r="V2733" s="9" t="str">
        <f aca="false">IF(COUNTIFS($B$2:$B$5001,B2733,$H$2:$H$5001,H2733,$J$2:$J$5001,J2733)&gt;1,"Possible Duplicate Booking","Unique")</f>
        <v>Unique</v>
      </c>
      <c r="W2733" s="9" t="str">
        <f aca="false">IF((H2733-G2733)&lt;&gt;K2733,"Mismatch","OK")</f>
        <v>OK</v>
      </c>
      <c r="X2733" s="9" t="str">
        <f aca="false">IF(TEXT(H2733,"dddd")&lt;&gt;I2733,"Mismatch","OK")</f>
        <v>OK</v>
      </c>
      <c r="Y2733" s="9" t="str">
        <f aca="false">IF(AND(N2733="No",O2733&lt;&gt;""),"Unexpected: channel present but no reminder sent",IF(AND(N2733="Yes",O2733=""),"Missing channel for sent reminder","OK"))</f>
        <v>OK</v>
      </c>
    </row>
    <row r="2734" customFormat="false" ht="15" hidden="false" customHeight="false" outlineLevel="0" collapsed="false">
      <c r="A2734" s="7" t="s">
        <v>4208</v>
      </c>
      <c r="B2734" s="7" t="s">
        <v>1320</v>
      </c>
      <c r="C2734" s="7" t="s">
        <v>47</v>
      </c>
      <c r="D2734" s="7" t="n">
        <v>57</v>
      </c>
      <c r="E2734" s="7" t="s">
        <v>61</v>
      </c>
      <c r="F2734" s="7" t="s">
        <v>57</v>
      </c>
      <c r="G2734" s="8" t="n">
        <v>46150</v>
      </c>
      <c r="H2734" s="8" t="n">
        <v>46166</v>
      </c>
      <c r="I2734" s="7" t="s">
        <v>75</v>
      </c>
      <c r="J2734" s="7" t="s">
        <v>51</v>
      </c>
      <c r="K2734" s="7" t="n">
        <v>16</v>
      </c>
      <c r="L2734" s="7" t="n">
        <v>1</v>
      </c>
      <c r="M2734" s="7" t="n">
        <v>0</v>
      </c>
      <c r="N2734" s="7" t="s">
        <v>42</v>
      </c>
      <c r="O2734" s="7" t="s">
        <v>43</v>
      </c>
      <c r="P2734" s="7" t="n">
        <v>4.4</v>
      </c>
      <c r="Q2734" s="7" t="n">
        <v>17</v>
      </c>
      <c r="R2734" s="7" t="s">
        <v>44</v>
      </c>
      <c r="S2734" s="7"/>
      <c r="T2734" s="7"/>
      <c r="U2734" s="7" t="str">
        <f aca="false">IF(COUNTIF($A$2:$A$5001,A2734)&gt;1,"Duplicate","Unique")</f>
        <v>Unique</v>
      </c>
      <c r="V2734" s="7" t="str">
        <f aca="false">IF(COUNTIFS($B$2:$B$5001,B2734,$H$2:$H$5001,H2734,$J$2:$J$5001,J2734)&gt;1,"Possible Duplicate Booking","Unique")</f>
        <v>Unique</v>
      </c>
      <c r="W2734" s="7" t="str">
        <f aca="false">IF((H2734-G2734)&lt;&gt;K2734,"Mismatch","OK")</f>
        <v>OK</v>
      </c>
      <c r="X2734" s="7" t="str">
        <f aca="false">IF(TEXT(H2734,"dddd")&lt;&gt;I2734,"Mismatch","OK")</f>
        <v>OK</v>
      </c>
      <c r="Y2734" s="7" t="str">
        <f aca="false">IF(AND(N2734="No",O2734&lt;&gt;""),"Unexpected: channel present but no reminder sent",IF(AND(N2734="Yes",O2734=""),"Missing channel for sent reminder","OK"))</f>
        <v>OK</v>
      </c>
    </row>
    <row r="2735" customFormat="false" ht="15" hidden="false" customHeight="false" outlineLevel="0" collapsed="false">
      <c r="A2735" s="9" t="s">
        <v>4209</v>
      </c>
      <c r="B2735" s="9" t="s">
        <v>1472</v>
      </c>
      <c r="C2735" s="9" t="s">
        <v>47</v>
      </c>
      <c r="D2735" s="9" t="n">
        <v>45</v>
      </c>
      <c r="E2735" s="9" t="s">
        <v>56</v>
      </c>
      <c r="F2735" s="9" t="s">
        <v>57</v>
      </c>
      <c r="G2735" s="10" t="n">
        <v>45741</v>
      </c>
      <c r="H2735" s="10" t="n">
        <v>45775</v>
      </c>
      <c r="I2735" s="9" t="s">
        <v>66</v>
      </c>
      <c r="J2735" s="9" t="s">
        <v>41</v>
      </c>
      <c r="K2735" s="9" t="n">
        <v>34</v>
      </c>
      <c r="L2735" s="9" t="n">
        <v>2</v>
      </c>
      <c r="M2735" s="9" t="n">
        <v>0</v>
      </c>
      <c r="N2735" s="9" t="s">
        <v>42</v>
      </c>
      <c r="O2735" s="9" t="s">
        <v>43</v>
      </c>
      <c r="P2735" s="9" t="n">
        <v>5.2</v>
      </c>
      <c r="Q2735" s="9" t="n">
        <v>29</v>
      </c>
      <c r="R2735" s="9" t="s">
        <v>87</v>
      </c>
      <c r="S2735" s="9"/>
      <c r="T2735" s="9"/>
      <c r="U2735" s="9" t="str">
        <f aca="false">IF(COUNTIF($A$2:$A$5001,A2735)&gt;1,"Duplicate","Unique")</f>
        <v>Unique</v>
      </c>
      <c r="V2735" s="9" t="str">
        <f aca="false">IF(COUNTIFS($B$2:$B$5001,B2735,$H$2:$H$5001,H2735,$J$2:$J$5001,J2735)&gt;1,"Possible Duplicate Booking","Unique")</f>
        <v>Unique</v>
      </c>
      <c r="W2735" s="9" t="str">
        <f aca="false">IF((H2735-G2735)&lt;&gt;K2735,"Mismatch","OK")</f>
        <v>OK</v>
      </c>
      <c r="X2735" s="9" t="str">
        <f aca="false">IF(TEXT(H2735,"dddd")&lt;&gt;I2735,"Mismatch","OK")</f>
        <v>OK</v>
      </c>
      <c r="Y2735" s="9" t="str">
        <f aca="false">IF(AND(N2735="No",O2735&lt;&gt;""),"Unexpected: channel present but no reminder sent",IF(AND(N2735="Yes",O2735=""),"Missing channel for sent reminder","OK"))</f>
        <v>OK</v>
      </c>
    </row>
    <row r="2736" customFormat="false" ht="15" hidden="false" customHeight="false" outlineLevel="0" collapsed="false">
      <c r="A2736" s="7" t="s">
        <v>4210</v>
      </c>
      <c r="B2736" s="7" t="s">
        <v>3865</v>
      </c>
      <c r="C2736" s="7" t="s">
        <v>37</v>
      </c>
      <c r="D2736" s="7" t="n">
        <v>32</v>
      </c>
      <c r="E2736" s="7" t="s">
        <v>48</v>
      </c>
      <c r="F2736" s="7" t="s">
        <v>49</v>
      </c>
      <c r="G2736" s="8" t="n">
        <v>45902</v>
      </c>
      <c r="H2736" s="8" t="n">
        <v>45902</v>
      </c>
      <c r="I2736" s="7" t="s">
        <v>40</v>
      </c>
      <c r="J2736" s="7" t="s">
        <v>51</v>
      </c>
      <c r="K2736" s="7" t="n">
        <v>0</v>
      </c>
      <c r="L2736" s="7" t="n">
        <v>5</v>
      </c>
      <c r="M2736" s="7" t="n">
        <v>1</v>
      </c>
      <c r="N2736" s="7" t="s">
        <v>42</v>
      </c>
      <c r="O2736" s="7" t="s">
        <v>52</v>
      </c>
      <c r="P2736" s="7" t="n">
        <v>24</v>
      </c>
      <c r="Q2736" s="7" t="n">
        <v>15</v>
      </c>
      <c r="R2736" s="7" t="s">
        <v>53</v>
      </c>
      <c r="S2736" s="7"/>
      <c r="T2736" s="7"/>
      <c r="U2736" s="7" t="str">
        <f aca="false">IF(COUNTIF($A$2:$A$5001,A2736)&gt;1,"Duplicate","Unique")</f>
        <v>Unique</v>
      </c>
      <c r="V2736" s="7" t="str">
        <f aca="false">IF(COUNTIFS($B$2:$B$5001,B2736,$H$2:$H$5001,H2736,$J$2:$J$5001,J2736)&gt;1,"Possible Duplicate Booking","Unique")</f>
        <v>Unique</v>
      </c>
      <c r="W2736" s="7" t="str">
        <f aca="false">IF((H2736-G2736)&lt;&gt;K2736,"Mismatch","OK")</f>
        <v>OK</v>
      </c>
      <c r="X2736" s="7" t="str">
        <f aca="false">IF(TEXT(H2736,"dddd")&lt;&gt;I2736,"Mismatch","OK")</f>
        <v>OK</v>
      </c>
      <c r="Y2736" s="7" t="str">
        <f aca="false">IF(AND(N2736="No",O2736&lt;&gt;""),"Unexpected: channel present but no reminder sent",IF(AND(N2736="Yes",O2736=""),"Missing channel for sent reminder","OK"))</f>
        <v>OK</v>
      </c>
    </row>
    <row r="2737" customFormat="false" ht="15" hidden="false" customHeight="false" outlineLevel="0" collapsed="false">
      <c r="A2737" s="9" t="s">
        <v>4211</v>
      </c>
      <c r="B2737" s="9" t="s">
        <v>1875</v>
      </c>
      <c r="C2737" s="9" t="s">
        <v>47</v>
      </c>
      <c r="D2737" s="9" t="n">
        <v>30</v>
      </c>
      <c r="E2737" s="9" t="s">
        <v>48</v>
      </c>
      <c r="F2737" s="9" t="s">
        <v>57</v>
      </c>
      <c r="G2737" s="10" t="n">
        <v>45719</v>
      </c>
      <c r="H2737" s="10" t="n">
        <v>45734</v>
      </c>
      <c r="I2737" s="9" t="s">
        <v>40</v>
      </c>
      <c r="J2737" s="9" t="s">
        <v>63</v>
      </c>
      <c r="K2737" s="9" t="n">
        <v>15</v>
      </c>
      <c r="L2737" s="9" t="n">
        <v>5</v>
      </c>
      <c r="M2737" s="9" t="n">
        <v>2</v>
      </c>
      <c r="N2737" s="9" t="s">
        <v>42</v>
      </c>
      <c r="O2737" s="9" t="s">
        <v>52</v>
      </c>
      <c r="P2737" s="9" t="n">
        <v>10.1</v>
      </c>
      <c r="Q2737" s="9" t="n">
        <v>9</v>
      </c>
      <c r="R2737" s="9" t="s">
        <v>53</v>
      </c>
      <c r="S2737" s="9"/>
      <c r="T2737" s="9"/>
      <c r="U2737" s="9" t="str">
        <f aca="false">IF(COUNTIF($A$2:$A$5001,A2737)&gt;1,"Duplicate","Unique")</f>
        <v>Unique</v>
      </c>
      <c r="V2737" s="9" t="str">
        <f aca="false">IF(COUNTIFS($B$2:$B$5001,B2737,$H$2:$H$5001,H2737,$J$2:$J$5001,J2737)&gt;1,"Possible Duplicate Booking","Unique")</f>
        <v>Unique</v>
      </c>
      <c r="W2737" s="9" t="str">
        <f aca="false">IF((H2737-G2737)&lt;&gt;K2737,"Mismatch","OK")</f>
        <v>OK</v>
      </c>
      <c r="X2737" s="9" t="str">
        <f aca="false">IF(TEXT(H2737,"dddd")&lt;&gt;I2737,"Mismatch","OK")</f>
        <v>OK</v>
      </c>
      <c r="Y2737" s="9" t="str">
        <f aca="false">IF(AND(N2737="No",O2737&lt;&gt;""),"Unexpected: channel present but no reminder sent",IF(AND(N2737="Yes",O2737=""),"Missing channel for sent reminder","OK"))</f>
        <v>OK</v>
      </c>
    </row>
    <row r="2738" customFormat="false" ht="15" hidden="false" customHeight="false" outlineLevel="0" collapsed="false">
      <c r="A2738" s="7" t="s">
        <v>4212</v>
      </c>
      <c r="B2738" s="7" t="s">
        <v>3157</v>
      </c>
      <c r="C2738" s="7" t="s">
        <v>37</v>
      </c>
      <c r="D2738" s="7" t="n">
        <v>42</v>
      </c>
      <c r="E2738" s="7" t="s">
        <v>38</v>
      </c>
      <c r="F2738" s="7" t="s">
        <v>49</v>
      </c>
      <c r="G2738" s="8" t="n">
        <v>45961</v>
      </c>
      <c r="H2738" s="8" t="n">
        <v>45971</v>
      </c>
      <c r="I2738" s="7" t="s">
        <v>66</v>
      </c>
      <c r="J2738" s="7" t="s">
        <v>41</v>
      </c>
      <c r="K2738" s="7" t="n">
        <v>10</v>
      </c>
      <c r="L2738" s="7" t="n">
        <v>4</v>
      </c>
      <c r="M2738" s="7" t="n">
        <v>1</v>
      </c>
      <c r="N2738" s="7" t="s">
        <v>42</v>
      </c>
      <c r="O2738" s="7" t="s">
        <v>43</v>
      </c>
      <c r="P2738" s="7" t="n">
        <v>10.6</v>
      </c>
      <c r="Q2738" s="7" t="n">
        <v>16</v>
      </c>
      <c r="R2738" s="7" t="s">
        <v>53</v>
      </c>
      <c r="S2738" s="7"/>
      <c r="T2738" s="7"/>
      <c r="U2738" s="7" t="str">
        <f aca="false">IF(COUNTIF($A$2:$A$5001,A2738)&gt;1,"Duplicate","Unique")</f>
        <v>Unique</v>
      </c>
      <c r="V2738" s="7" t="str">
        <f aca="false">IF(COUNTIFS($B$2:$B$5001,B2738,$H$2:$H$5001,H2738,$J$2:$J$5001,J2738)&gt;1,"Possible Duplicate Booking","Unique")</f>
        <v>Unique</v>
      </c>
      <c r="W2738" s="7" t="str">
        <f aca="false">IF((H2738-G2738)&lt;&gt;K2738,"Mismatch","OK")</f>
        <v>OK</v>
      </c>
      <c r="X2738" s="7" t="str">
        <f aca="false">IF(TEXT(H2738,"dddd")&lt;&gt;I2738,"Mismatch","OK")</f>
        <v>OK</v>
      </c>
      <c r="Y2738" s="7" t="str">
        <f aca="false">IF(AND(N2738="No",O2738&lt;&gt;""),"Unexpected: channel present but no reminder sent",IF(AND(N2738="Yes",O2738=""),"Missing channel for sent reminder","OK"))</f>
        <v>OK</v>
      </c>
    </row>
    <row r="2739" customFormat="false" ht="15" hidden="false" customHeight="false" outlineLevel="0" collapsed="false">
      <c r="A2739" s="9" t="s">
        <v>4213</v>
      </c>
      <c r="B2739" s="9" t="s">
        <v>4214</v>
      </c>
      <c r="C2739" s="9" t="s">
        <v>236</v>
      </c>
      <c r="D2739" s="9" t="n">
        <v>52</v>
      </c>
      <c r="E2739" s="9" t="s">
        <v>56</v>
      </c>
      <c r="F2739" s="9" t="s">
        <v>57</v>
      </c>
      <c r="G2739" s="10" t="n">
        <v>45723</v>
      </c>
      <c r="H2739" s="10" t="n">
        <v>45760</v>
      </c>
      <c r="I2739" s="9" t="s">
        <v>75</v>
      </c>
      <c r="J2739" s="9" t="s">
        <v>41</v>
      </c>
      <c r="K2739" s="9" t="n">
        <v>37</v>
      </c>
      <c r="L2739" s="9" t="n">
        <v>4</v>
      </c>
      <c r="M2739" s="9" t="n">
        <v>1</v>
      </c>
      <c r="N2739" s="9" t="s">
        <v>42</v>
      </c>
      <c r="O2739" s="9" t="s">
        <v>67</v>
      </c>
      <c r="P2739" s="9" t="n">
        <v>12.9</v>
      </c>
      <c r="Q2739" s="9" t="n">
        <v>2</v>
      </c>
      <c r="R2739" s="9" t="s">
        <v>44</v>
      </c>
      <c r="S2739" s="9"/>
      <c r="T2739" s="9"/>
      <c r="U2739" s="9" t="str">
        <f aca="false">IF(COUNTIF($A$2:$A$5001,A2739)&gt;1,"Duplicate","Unique")</f>
        <v>Unique</v>
      </c>
      <c r="V2739" s="9" t="str">
        <f aca="false">IF(COUNTIFS($B$2:$B$5001,B2739,$H$2:$H$5001,H2739,$J$2:$J$5001,J2739)&gt;1,"Possible Duplicate Booking","Unique")</f>
        <v>Unique</v>
      </c>
      <c r="W2739" s="9" t="str">
        <f aca="false">IF((H2739-G2739)&lt;&gt;K2739,"Mismatch","OK")</f>
        <v>OK</v>
      </c>
      <c r="X2739" s="9" t="str">
        <f aca="false">IF(TEXT(H2739,"dddd")&lt;&gt;I2739,"Mismatch","OK")</f>
        <v>OK</v>
      </c>
      <c r="Y2739" s="9" t="str">
        <f aca="false">IF(AND(N2739="No",O2739&lt;&gt;""),"Unexpected: channel present but no reminder sent",IF(AND(N2739="Yes",O2739=""),"Missing channel for sent reminder","OK"))</f>
        <v>OK</v>
      </c>
    </row>
    <row r="2740" customFormat="false" ht="15" hidden="false" customHeight="false" outlineLevel="0" collapsed="false">
      <c r="A2740" s="7" t="s">
        <v>4215</v>
      </c>
      <c r="B2740" s="7" t="s">
        <v>3619</v>
      </c>
      <c r="C2740" s="7" t="s">
        <v>47</v>
      </c>
      <c r="D2740" s="7" t="n">
        <v>25</v>
      </c>
      <c r="E2740" s="7" t="s">
        <v>48</v>
      </c>
      <c r="F2740" s="7" t="s">
        <v>57</v>
      </c>
      <c r="G2740" s="8" t="n">
        <v>45886</v>
      </c>
      <c r="H2740" s="8" t="n">
        <v>45926</v>
      </c>
      <c r="I2740" s="7" t="s">
        <v>50</v>
      </c>
      <c r="J2740" s="7" t="s">
        <v>41</v>
      </c>
      <c r="K2740" s="7" t="n">
        <v>40</v>
      </c>
      <c r="L2740" s="7" t="n">
        <v>1</v>
      </c>
      <c r="M2740" s="7" t="n">
        <v>0</v>
      </c>
      <c r="N2740" s="7" t="s">
        <v>42</v>
      </c>
      <c r="O2740" s="7" t="s">
        <v>52</v>
      </c>
      <c r="P2740" s="7" t="n">
        <v>8.6</v>
      </c>
      <c r="Q2740" s="7" t="n">
        <v>12</v>
      </c>
      <c r="R2740" s="7" t="s">
        <v>53</v>
      </c>
      <c r="S2740" s="7"/>
      <c r="T2740" s="7"/>
      <c r="U2740" s="7" t="str">
        <f aca="false">IF(COUNTIF($A$2:$A$5001,A2740)&gt;1,"Duplicate","Unique")</f>
        <v>Unique</v>
      </c>
      <c r="V2740" s="7" t="str">
        <f aca="false">IF(COUNTIFS($B$2:$B$5001,B2740,$H$2:$H$5001,H2740,$J$2:$J$5001,J2740)&gt;1,"Possible Duplicate Booking","Unique")</f>
        <v>Unique</v>
      </c>
      <c r="W2740" s="7" t="str">
        <f aca="false">IF((H2740-G2740)&lt;&gt;K2740,"Mismatch","OK")</f>
        <v>OK</v>
      </c>
      <c r="X2740" s="7" t="str">
        <f aca="false">IF(TEXT(H2740,"dddd")&lt;&gt;I2740,"Mismatch","OK")</f>
        <v>OK</v>
      </c>
      <c r="Y2740" s="7" t="str">
        <f aca="false">IF(AND(N2740="No",O2740&lt;&gt;""),"Unexpected: channel present but no reminder sent",IF(AND(N2740="Yes",O2740=""),"Missing channel for sent reminder","OK"))</f>
        <v>OK</v>
      </c>
    </row>
    <row r="2741" customFormat="false" ht="15" hidden="false" customHeight="false" outlineLevel="0" collapsed="false">
      <c r="A2741" s="9" t="s">
        <v>4216</v>
      </c>
      <c r="B2741" s="9" t="s">
        <v>4217</v>
      </c>
      <c r="C2741" s="9" t="s">
        <v>47</v>
      </c>
      <c r="D2741" s="9" t="n">
        <v>62</v>
      </c>
      <c r="E2741" s="9" t="s">
        <v>61</v>
      </c>
      <c r="F2741" s="9" t="s">
        <v>57</v>
      </c>
      <c r="G2741" s="10" t="n">
        <v>45817</v>
      </c>
      <c r="H2741" s="10" t="n">
        <v>45845</v>
      </c>
      <c r="I2741" s="9" t="s">
        <v>66</v>
      </c>
      <c r="J2741" s="9" t="s">
        <v>51</v>
      </c>
      <c r="K2741" s="9" t="n">
        <v>28</v>
      </c>
      <c r="L2741" s="9" t="n">
        <v>3</v>
      </c>
      <c r="M2741" s="9" t="n">
        <v>0</v>
      </c>
      <c r="N2741" s="9" t="s">
        <v>42</v>
      </c>
      <c r="O2741" s="9" t="s">
        <v>52</v>
      </c>
      <c r="P2741" s="9" t="n">
        <v>25.5</v>
      </c>
      <c r="Q2741" s="9" t="n">
        <v>48</v>
      </c>
      <c r="R2741" s="9" t="s">
        <v>53</v>
      </c>
      <c r="S2741" s="9"/>
      <c r="T2741" s="9"/>
      <c r="U2741" s="9" t="str">
        <f aca="false">IF(COUNTIF($A$2:$A$5001,A2741)&gt;1,"Duplicate","Unique")</f>
        <v>Unique</v>
      </c>
      <c r="V2741" s="9" t="str">
        <f aca="false">IF(COUNTIFS($B$2:$B$5001,B2741,$H$2:$H$5001,H2741,$J$2:$J$5001,J2741)&gt;1,"Possible Duplicate Booking","Unique")</f>
        <v>Unique</v>
      </c>
      <c r="W2741" s="9" t="str">
        <f aca="false">IF((H2741-G2741)&lt;&gt;K2741,"Mismatch","OK")</f>
        <v>OK</v>
      </c>
      <c r="X2741" s="9" t="str">
        <f aca="false">IF(TEXT(H2741,"dddd")&lt;&gt;I2741,"Mismatch","OK")</f>
        <v>OK</v>
      </c>
      <c r="Y2741" s="9" t="str">
        <f aca="false">IF(AND(N2741="No",O2741&lt;&gt;""),"Unexpected: channel present but no reminder sent",IF(AND(N2741="Yes",O2741=""),"Missing channel for sent reminder","OK"))</f>
        <v>OK</v>
      </c>
    </row>
    <row r="2742" customFormat="false" ht="15" hidden="false" customHeight="false" outlineLevel="0" collapsed="false">
      <c r="A2742" s="7" t="s">
        <v>4218</v>
      </c>
      <c r="B2742" s="7" t="s">
        <v>4219</v>
      </c>
      <c r="C2742" s="7" t="s">
        <v>47</v>
      </c>
      <c r="D2742" s="7" t="n">
        <v>46</v>
      </c>
      <c r="E2742" s="7" t="s">
        <v>56</v>
      </c>
      <c r="F2742" s="7" t="s">
        <v>57</v>
      </c>
      <c r="G2742" s="8" t="n">
        <v>45751</v>
      </c>
      <c r="H2742" s="8" t="n">
        <v>45759</v>
      </c>
      <c r="I2742" s="7" t="s">
        <v>102</v>
      </c>
      <c r="J2742" s="7" t="s">
        <v>41</v>
      </c>
      <c r="K2742" s="7" t="n">
        <v>8</v>
      </c>
      <c r="L2742" s="7" t="n">
        <v>4</v>
      </c>
      <c r="M2742" s="7" t="n">
        <v>2</v>
      </c>
      <c r="N2742" s="7" t="s">
        <v>71</v>
      </c>
      <c r="O2742" s="7"/>
      <c r="P2742" s="7" t="n">
        <v>11.8</v>
      </c>
      <c r="Q2742" s="7" t="n">
        <v>2</v>
      </c>
      <c r="R2742" s="7" t="s">
        <v>44</v>
      </c>
      <c r="S2742" s="7"/>
      <c r="T2742" s="7"/>
      <c r="U2742" s="7" t="str">
        <f aca="false">IF(COUNTIF($A$2:$A$5001,A2742)&gt;1,"Duplicate","Unique")</f>
        <v>Unique</v>
      </c>
      <c r="V2742" s="7" t="str">
        <f aca="false">IF(COUNTIFS($B$2:$B$5001,B2742,$H$2:$H$5001,H2742,$J$2:$J$5001,J2742)&gt;1,"Possible Duplicate Booking","Unique")</f>
        <v>Unique</v>
      </c>
      <c r="W2742" s="7" t="str">
        <f aca="false">IF((H2742-G2742)&lt;&gt;K2742,"Mismatch","OK")</f>
        <v>OK</v>
      </c>
      <c r="X2742" s="7" t="str">
        <f aca="false">IF(TEXT(H2742,"dddd")&lt;&gt;I2742,"Mismatch","OK")</f>
        <v>OK</v>
      </c>
      <c r="Y2742" s="7" t="str">
        <f aca="false">IF(AND(N2742="No",O2742&lt;&gt;""),"Unexpected: channel present but no reminder sent",IF(AND(N2742="Yes",O2742=""),"Missing channel for sent reminder","OK"))</f>
        <v>OK</v>
      </c>
    </row>
    <row r="2743" customFormat="false" ht="15" hidden="false" customHeight="false" outlineLevel="0" collapsed="false">
      <c r="A2743" s="9" t="s">
        <v>4220</v>
      </c>
      <c r="B2743" s="9" t="s">
        <v>1767</v>
      </c>
      <c r="C2743" s="9" t="s">
        <v>37</v>
      </c>
      <c r="D2743" s="9" t="n">
        <v>73</v>
      </c>
      <c r="E2743" s="9" t="s">
        <v>70</v>
      </c>
      <c r="F2743" s="9" t="s">
        <v>57</v>
      </c>
      <c r="G2743" s="10" t="n">
        <v>45688</v>
      </c>
      <c r="H2743" s="10" t="n">
        <v>45710</v>
      </c>
      <c r="I2743" s="9" t="s">
        <v>102</v>
      </c>
      <c r="J2743" s="9" t="s">
        <v>41</v>
      </c>
      <c r="K2743" s="9" t="n">
        <v>22</v>
      </c>
      <c r="L2743" s="9" t="n">
        <v>5</v>
      </c>
      <c r="M2743" s="9" t="n">
        <v>0</v>
      </c>
      <c r="N2743" s="9" t="s">
        <v>71</v>
      </c>
      <c r="O2743" s="9"/>
      <c r="P2743" s="9" t="n">
        <v>17.1</v>
      </c>
      <c r="Q2743" s="9" t="n">
        <v>7</v>
      </c>
      <c r="R2743" s="9" t="s">
        <v>87</v>
      </c>
      <c r="S2743" s="9"/>
      <c r="T2743" s="9"/>
      <c r="U2743" s="9" t="str">
        <f aca="false">IF(COUNTIF($A$2:$A$5001,A2743)&gt;1,"Duplicate","Unique")</f>
        <v>Unique</v>
      </c>
      <c r="V2743" s="9" t="str">
        <f aca="false">IF(COUNTIFS($B$2:$B$5001,B2743,$H$2:$H$5001,H2743,$J$2:$J$5001,J2743)&gt;1,"Possible Duplicate Booking","Unique")</f>
        <v>Unique</v>
      </c>
      <c r="W2743" s="9" t="str">
        <f aca="false">IF((H2743-G2743)&lt;&gt;K2743,"Mismatch","OK")</f>
        <v>OK</v>
      </c>
      <c r="X2743" s="9" t="str">
        <f aca="false">IF(TEXT(H2743,"dddd")&lt;&gt;I2743,"Mismatch","OK")</f>
        <v>OK</v>
      </c>
      <c r="Y2743" s="9" t="str">
        <f aca="false">IF(AND(N2743="No",O2743&lt;&gt;""),"Unexpected: channel present but no reminder sent",IF(AND(N2743="Yes",O2743=""),"Missing channel for sent reminder","OK"))</f>
        <v>OK</v>
      </c>
    </row>
    <row r="2744" customFormat="false" ht="15" hidden="false" customHeight="false" outlineLevel="0" collapsed="false">
      <c r="A2744" s="7" t="s">
        <v>4221</v>
      </c>
      <c r="B2744" s="7" t="s">
        <v>4222</v>
      </c>
      <c r="C2744" s="7" t="s">
        <v>37</v>
      </c>
      <c r="D2744" s="7" t="n">
        <v>35</v>
      </c>
      <c r="E2744" s="7" t="s">
        <v>38</v>
      </c>
      <c r="F2744" s="7" t="s">
        <v>57</v>
      </c>
      <c r="G2744" s="8" t="n">
        <v>45886</v>
      </c>
      <c r="H2744" s="8" t="n">
        <v>45937</v>
      </c>
      <c r="I2744" s="7" t="s">
        <v>40</v>
      </c>
      <c r="J2744" s="7" t="s">
        <v>51</v>
      </c>
      <c r="K2744" s="7" t="n">
        <v>51</v>
      </c>
      <c r="L2744" s="7" t="n">
        <v>2</v>
      </c>
      <c r="M2744" s="7" t="n">
        <v>1</v>
      </c>
      <c r="N2744" s="7" t="s">
        <v>42</v>
      </c>
      <c r="O2744" s="7" t="s">
        <v>43</v>
      </c>
      <c r="P2744" s="7" t="n">
        <v>7.3</v>
      </c>
      <c r="Q2744" s="7" t="n">
        <v>43</v>
      </c>
      <c r="R2744" s="7" t="s">
        <v>53</v>
      </c>
      <c r="S2744" s="7"/>
      <c r="T2744" s="7"/>
      <c r="U2744" s="7" t="str">
        <f aca="false">IF(COUNTIF($A$2:$A$5001,A2744)&gt;1,"Duplicate","Unique")</f>
        <v>Unique</v>
      </c>
      <c r="V2744" s="7" t="str">
        <f aca="false">IF(COUNTIFS($B$2:$B$5001,B2744,$H$2:$H$5001,H2744,$J$2:$J$5001,J2744)&gt;1,"Possible Duplicate Booking","Unique")</f>
        <v>Unique</v>
      </c>
      <c r="W2744" s="7" t="str">
        <f aca="false">IF((H2744-G2744)&lt;&gt;K2744,"Mismatch","OK")</f>
        <v>OK</v>
      </c>
      <c r="X2744" s="7" t="str">
        <f aca="false">IF(TEXT(H2744,"dddd")&lt;&gt;I2744,"Mismatch","OK")</f>
        <v>OK</v>
      </c>
      <c r="Y2744" s="7" t="str">
        <f aca="false">IF(AND(N2744="No",O2744&lt;&gt;""),"Unexpected: channel present but no reminder sent",IF(AND(N2744="Yes",O2744=""),"Missing channel for sent reminder","OK"))</f>
        <v>OK</v>
      </c>
    </row>
    <row r="2745" customFormat="false" ht="15" hidden="false" customHeight="false" outlineLevel="0" collapsed="false">
      <c r="A2745" s="9" t="s">
        <v>4223</v>
      </c>
      <c r="B2745" s="9" t="s">
        <v>326</v>
      </c>
      <c r="C2745" s="9" t="s">
        <v>47</v>
      </c>
      <c r="D2745" s="9" t="n">
        <v>21</v>
      </c>
      <c r="E2745" s="9" t="s">
        <v>82</v>
      </c>
      <c r="F2745" s="9" t="s">
        <v>57</v>
      </c>
      <c r="G2745" s="10" t="n">
        <v>46163</v>
      </c>
      <c r="H2745" s="10" t="n">
        <v>46175</v>
      </c>
      <c r="I2745" s="9" t="s">
        <v>40</v>
      </c>
      <c r="J2745" s="9" t="s">
        <v>63</v>
      </c>
      <c r="K2745" s="9" t="n">
        <v>12</v>
      </c>
      <c r="L2745" s="9" t="n">
        <v>1</v>
      </c>
      <c r="M2745" s="9" t="n">
        <v>0</v>
      </c>
      <c r="N2745" s="9" t="s">
        <v>42</v>
      </c>
      <c r="O2745" s="9" t="s">
        <v>43</v>
      </c>
      <c r="P2745" s="9" t="n">
        <v>8.1</v>
      </c>
      <c r="Q2745" s="9" t="n">
        <v>13</v>
      </c>
      <c r="R2745" s="9" t="s">
        <v>53</v>
      </c>
      <c r="S2745" s="9"/>
      <c r="T2745" s="9"/>
      <c r="U2745" s="9" t="str">
        <f aca="false">IF(COUNTIF($A$2:$A$5001,A2745)&gt;1,"Duplicate","Unique")</f>
        <v>Unique</v>
      </c>
      <c r="V2745" s="9" t="str">
        <f aca="false">IF(COUNTIFS($B$2:$B$5001,B2745,$H$2:$H$5001,H2745,$J$2:$J$5001,J2745)&gt;1,"Possible Duplicate Booking","Unique")</f>
        <v>Unique</v>
      </c>
      <c r="W2745" s="9" t="str">
        <f aca="false">IF((H2745-G2745)&lt;&gt;K2745,"Mismatch","OK")</f>
        <v>OK</v>
      </c>
      <c r="X2745" s="9" t="str">
        <f aca="false">IF(TEXT(H2745,"dddd")&lt;&gt;I2745,"Mismatch","OK")</f>
        <v>OK</v>
      </c>
      <c r="Y2745" s="9" t="str">
        <f aca="false">IF(AND(N2745="No",O2745&lt;&gt;""),"Unexpected: channel present but no reminder sent",IF(AND(N2745="Yes",O2745=""),"Missing channel for sent reminder","OK"))</f>
        <v>OK</v>
      </c>
    </row>
    <row r="2746" customFormat="false" ht="15" hidden="false" customHeight="false" outlineLevel="0" collapsed="false">
      <c r="A2746" s="7" t="s">
        <v>4224</v>
      </c>
      <c r="B2746" s="7" t="s">
        <v>2985</v>
      </c>
      <c r="C2746" s="7" t="s">
        <v>47</v>
      </c>
      <c r="D2746" s="7" t="n">
        <v>37</v>
      </c>
      <c r="E2746" s="7" t="s">
        <v>38</v>
      </c>
      <c r="F2746" s="7" t="s">
        <v>57</v>
      </c>
      <c r="G2746" s="8" t="n">
        <v>45757</v>
      </c>
      <c r="H2746" s="8" t="n">
        <v>45766</v>
      </c>
      <c r="I2746" s="7" t="s">
        <v>102</v>
      </c>
      <c r="J2746" s="7" t="s">
        <v>63</v>
      </c>
      <c r="K2746" s="7" t="n">
        <v>9</v>
      </c>
      <c r="L2746" s="7" t="n">
        <v>2</v>
      </c>
      <c r="M2746" s="7" t="n">
        <v>0</v>
      </c>
      <c r="N2746" s="7" t="s">
        <v>42</v>
      </c>
      <c r="O2746" s="7" t="s">
        <v>52</v>
      </c>
      <c r="P2746" s="7" t="n">
        <v>5</v>
      </c>
      <c r="Q2746" s="7" t="n">
        <v>20</v>
      </c>
      <c r="R2746" s="7" t="s">
        <v>44</v>
      </c>
      <c r="S2746" s="7"/>
      <c r="T2746" s="7"/>
      <c r="U2746" s="7" t="str">
        <f aca="false">IF(COUNTIF($A$2:$A$5001,A2746)&gt;1,"Duplicate","Unique")</f>
        <v>Unique</v>
      </c>
      <c r="V2746" s="7" t="str">
        <f aca="false">IF(COUNTIFS($B$2:$B$5001,B2746,$H$2:$H$5001,H2746,$J$2:$J$5001,J2746)&gt;1,"Possible Duplicate Booking","Unique")</f>
        <v>Unique</v>
      </c>
      <c r="W2746" s="7" t="str">
        <f aca="false">IF((H2746-G2746)&lt;&gt;K2746,"Mismatch","OK")</f>
        <v>OK</v>
      </c>
      <c r="X2746" s="7" t="str">
        <f aca="false">IF(TEXT(H2746,"dddd")&lt;&gt;I2746,"Mismatch","OK")</f>
        <v>OK</v>
      </c>
      <c r="Y2746" s="7" t="str">
        <f aca="false">IF(AND(N2746="No",O2746&lt;&gt;""),"Unexpected: channel present but no reminder sent",IF(AND(N2746="Yes",O2746=""),"Missing channel for sent reminder","OK"))</f>
        <v>OK</v>
      </c>
    </row>
    <row r="2747" customFormat="false" ht="15" hidden="false" customHeight="false" outlineLevel="0" collapsed="false">
      <c r="A2747" s="9" t="s">
        <v>4225</v>
      </c>
      <c r="B2747" s="9" t="s">
        <v>1464</v>
      </c>
      <c r="C2747" s="9" t="s">
        <v>37</v>
      </c>
      <c r="D2747" s="9" t="n">
        <v>79</v>
      </c>
      <c r="E2747" s="9" t="s">
        <v>70</v>
      </c>
      <c r="F2747" s="9" t="s">
        <v>49</v>
      </c>
      <c r="G2747" s="10" t="n">
        <v>45873</v>
      </c>
      <c r="H2747" s="10" t="n">
        <v>45879</v>
      </c>
      <c r="I2747" s="9" t="s">
        <v>75</v>
      </c>
      <c r="J2747" s="9" t="s">
        <v>63</v>
      </c>
      <c r="K2747" s="9" t="n">
        <v>6</v>
      </c>
      <c r="L2747" s="9" t="n">
        <v>1</v>
      </c>
      <c r="M2747" s="9" t="n">
        <v>1</v>
      </c>
      <c r="N2747" s="9" t="s">
        <v>42</v>
      </c>
      <c r="O2747" s="9" t="s">
        <v>43</v>
      </c>
      <c r="P2747" s="9" t="n">
        <v>15.7</v>
      </c>
      <c r="Q2747" s="9" t="n">
        <v>24</v>
      </c>
      <c r="R2747" s="9" t="s">
        <v>53</v>
      </c>
      <c r="S2747" s="9"/>
      <c r="T2747" s="9"/>
      <c r="U2747" s="9" t="str">
        <f aca="false">IF(COUNTIF($A$2:$A$5001,A2747)&gt;1,"Duplicate","Unique")</f>
        <v>Unique</v>
      </c>
      <c r="V2747" s="9" t="str">
        <f aca="false">IF(COUNTIFS($B$2:$B$5001,B2747,$H$2:$H$5001,H2747,$J$2:$J$5001,J2747)&gt;1,"Possible Duplicate Booking","Unique")</f>
        <v>Unique</v>
      </c>
      <c r="W2747" s="9" t="str">
        <f aca="false">IF((H2747-G2747)&lt;&gt;K2747,"Mismatch","OK")</f>
        <v>OK</v>
      </c>
      <c r="X2747" s="9" t="str">
        <f aca="false">IF(TEXT(H2747,"dddd")&lt;&gt;I2747,"Mismatch","OK")</f>
        <v>OK</v>
      </c>
      <c r="Y2747" s="9" t="str">
        <f aca="false">IF(AND(N2747="No",O2747&lt;&gt;""),"Unexpected: channel present but no reminder sent",IF(AND(N2747="Yes",O2747=""),"Missing channel for sent reminder","OK"))</f>
        <v>OK</v>
      </c>
    </row>
    <row r="2748" customFormat="false" ht="15" hidden="false" customHeight="false" outlineLevel="0" collapsed="false">
      <c r="A2748" s="7" t="s">
        <v>4226</v>
      </c>
      <c r="B2748" s="7" t="s">
        <v>1115</v>
      </c>
      <c r="C2748" s="7" t="s">
        <v>37</v>
      </c>
      <c r="D2748" s="7" t="n">
        <v>38</v>
      </c>
      <c r="E2748" s="7" t="s">
        <v>38</v>
      </c>
      <c r="F2748" s="7" t="s">
        <v>57</v>
      </c>
      <c r="G2748" s="8" t="n">
        <v>45731</v>
      </c>
      <c r="H2748" s="8" t="n">
        <v>45780</v>
      </c>
      <c r="I2748" s="7" t="s">
        <v>102</v>
      </c>
      <c r="J2748" s="7" t="s">
        <v>41</v>
      </c>
      <c r="K2748" s="7" t="n">
        <v>49</v>
      </c>
      <c r="L2748" s="7" t="n">
        <v>1</v>
      </c>
      <c r="M2748" s="7" t="n">
        <v>1</v>
      </c>
      <c r="N2748" s="7" t="s">
        <v>42</v>
      </c>
      <c r="O2748" s="7" t="s">
        <v>52</v>
      </c>
      <c r="P2748" s="7" t="n">
        <v>9</v>
      </c>
      <c r="Q2748" s="7" t="n">
        <v>6</v>
      </c>
      <c r="R2748" s="7" t="s">
        <v>53</v>
      </c>
      <c r="S2748" s="7"/>
      <c r="T2748" s="7"/>
      <c r="U2748" s="7" t="str">
        <f aca="false">IF(COUNTIF($A$2:$A$5001,A2748)&gt;1,"Duplicate","Unique")</f>
        <v>Unique</v>
      </c>
      <c r="V2748" s="7" t="str">
        <f aca="false">IF(COUNTIFS($B$2:$B$5001,B2748,$H$2:$H$5001,H2748,$J$2:$J$5001,J2748)&gt;1,"Possible Duplicate Booking","Unique")</f>
        <v>Unique</v>
      </c>
      <c r="W2748" s="7" t="str">
        <f aca="false">IF((H2748-G2748)&lt;&gt;K2748,"Mismatch","OK")</f>
        <v>OK</v>
      </c>
      <c r="X2748" s="7" t="str">
        <f aca="false">IF(TEXT(H2748,"dddd")&lt;&gt;I2748,"Mismatch","OK")</f>
        <v>OK</v>
      </c>
      <c r="Y2748" s="7" t="str">
        <f aca="false">IF(AND(N2748="No",O2748&lt;&gt;""),"Unexpected: channel present but no reminder sent",IF(AND(N2748="Yes",O2748=""),"Missing channel for sent reminder","OK"))</f>
        <v>OK</v>
      </c>
    </row>
    <row r="2749" customFormat="false" ht="15" hidden="false" customHeight="false" outlineLevel="0" collapsed="false">
      <c r="A2749" s="9" t="s">
        <v>4227</v>
      </c>
      <c r="B2749" s="9" t="s">
        <v>3442</v>
      </c>
      <c r="C2749" s="9" t="s">
        <v>47</v>
      </c>
      <c r="D2749" s="9" t="n">
        <v>62</v>
      </c>
      <c r="E2749" s="9" t="s">
        <v>61</v>
      </c>
      <c r="F2749" s="9" t="s">
        <v>57</v>
      </c>
      <c r="G2749" s="10" t="n">
        <v>46092</v>
      </c>
      <c r="H2749" s="10" t="n">
        <v>46099</v>
      </c>
      <c r="I2749" s="9" t="s">
        <v>58</v>
      </c>
      <c r="J2749" s="9" t="s">
        <v>51</v>
      </c>
      <c r="K2749" s="9" t="n">
        <v>7</v>
      </c>
      <c r="L2749" s="9" t="n">
        <v>3</v>
      </c>
      <c r="M2749" s="9" t="n">
        <v>1</v>
      </c>
      <c r="N2749" s="9" t="s">
        <v>71</v>
      </c>
      <c r="O2749" s="9"/>
      <c r="P2749" s="9" t="n">
        <v>15.7</v>
      </c>
      <c r="Q2749" s="9" t="n">
        <v>35</v>
      </c>
      <c r="R2749" s="9" t="s">
        <v>44</v>
      </c>
      <c r="S2749" s="9"/>
      <c r="T2749" s="9"/>
      <c r="U2749" s="9" t="str">
        <f aca="false">IF(COUNTIF($A$2:$A$5001,A2749)&gt;1,"Duplicate","Unique")</f>
        <v>Unique</v>
      </c>
      <c r="V2749" s="9" t="str">
        <f aca="false">IF(COUNTIFS($B$2:$B$5001,B2749,$H$2:$H$5001,H2749,$J$2:$J$5001,J2749)&gt;1,"Possible Duplicate Booking","Unique")</f>
        <v>Unique</v>
      </c>
      <c r="W2749" s="9" t="str">
        <f aca="false">IF((H2749-G2749)&lt;&gt;K2749,"Mismatch","OK")</f>
        <v>OK</v>
      </c>
      <c r="X2749" s="9" t="str">
        <f aca="false">IF(TEXT(H2749,"dddd")&lt;&gt;I2749,"Mismatch","OK")</f>
        <v>OK</v>
      </c>
      <c r="Y2749" s="9" t="str">
        <f aca="false">IF(AND(N2749="No",O2749&lt;&gt;""),"Unexpected: channel present but no reminder sent",IF(AND(N2749="Yes",O2749=""),"Missing channel for sent reminder","OK"))</f>
        <v>OK</v>
      </c>
    </row>
    <row r="2750" customFormat="false" ht="15" hidden="false" customHeight="false" outlineLevel="0" collapsed="false">
      <c r="A2750" s="7" t="s">
        <v>4228</v>
      </c>
      <c r="B2750" s="7" t="s">
        <v>3213</v>
      </c>
      <c r="C2750" s="7" t="s">
        <v>37</v>
      </c>
      <c r="D2750" s="7" t="n">
        <v>71</v>
      </c>
      <c r="E2750" s="7" t="s">
        <v>70</v>
      </c>
      <c r="F2750" s="7" t="s">
        <v>57</v>
      </c>
      <c r="G2750" s="8" t="n">
        <v>45849</v>
      </c>
      <c r="H2750" s="8" t="n">
        <v>45884</v>
      </c>
      <c r="I2750" s="7" t="s">
        <v>50</v>
      </c>
      <c r="J2750" s="7" t="s">
        <v>41</v>
      </c>
      <c r="K2750" s="7" t="n">
        <v>35</v>
      </c>
      <c r="L2750" s="7" t="n">
        <v>1</v>
      </c>
      <c r="M2750" s="7" t="n">
        <v>1</v>
      </c>
      <c r="N2750" s="7" t="s">
        <v>71</v>
      </c>
      <c r="O2750" s="7"/>
      <c r="P2750" s="7" t="n">
        <v>14.8</v>
      </c>
      <c r="Q2750" s="7" t="n">
        <v>23</v>
      </c>
      <c r="R2750" s="7" t="s">
        <v>53</v>
      </c>
      <c r="S2750" s="7"/>
      <c r="T2750" s="7"/>
      <c r="U2750" s="7" t="str">
        <f aca="false">IF(COUNTIF($A$2:$A$5001,A2750)&gt;1,"Duplicate","Unique")</f>
        <v>Unique</v>
      </c>
      <c r="V2750" s="7" t="str">
        <f aca="false">IF(COUNTIFS($B$2:$B$5001,B2750,$H$2:$H$5001,H2750,$J$2:$J$5001,J2750)&gt;1,"Possible Duplicate Booking","Unique")</f>
        <v>Unique</v>
      </c>
      <c r="W2750" s="7" t="str">
        <f aca="false">IF((H2750-G2750)&lt;&gt;K2750,"Mismatch","OK")</f>
        <v>OK</v>
      </c>
      <c r="X2750" s="7" t="str">
        <f aca="false">IF(TEXT(H2750,"dddd")&lt;&gt;I2750,"Mismatch","OK")</f>
        <v>OK</v>
      </c>
      <c r="Y2750" s="7" t="str">
        <f aca="false">IF(AND(N2750="No",O2750&lt;&gt;""),"Unexpected: channel present but no reminder sent",IF(AND(N2750="Yes",O2750=""),"Missing channel for sent reminder","OK"))</f>
        <v>OK</v>
      </c>
    </row>
    <row r="2751" customFormat="false" ht="15" hidden="false" customHeight="false" outlineLevel="0" collapsed="false">
      <c r="A2751" s="9" t="s">
        <v>4229</v>
      </c>
      <c r="B2751" s="9" t="s">
        <v>4230</v>
      </c>
      <c r="C2751" s="9" t="s">
        <v>37</v>
      </c>
      <c r="D2751" s="9" t="n">
        <v>35</v>
      </c>
      <c r="E2751" s="9" t="s">
        <v>38</v>
      </c>
      <c r="F2751" s="9" t="s">
        <v>74</v>
      </c>
      <c r="G2751" s="10" t="n">
        <v>46130</v>
      </c>
      <c r="H2751" s="10" t="n">
        <v>46190</v>
      </c>
      <c r="I2751" s="9" t="s">
        <v>58</v>
      </c>
      <c r="J2751" s="9" t="s">
        <v>51</v>
      </c>
      <c r="K2751" s="9" t="n">
        <v>60</v>
      </c>
      <c r="L2751" s="9" t="n">
        <v>6</v>
      </c>
      <c r="M2751" s="9" t="n">
        <v>1</v>
      </c>
      <c r="N2751" s="9" t="s">
        <v>42</v>
      </c>
      <c r="O2751" s="9" t="s">
        <v>52</v>
      </c>
      <c r="P2751" s="9"/>
      <c r="Q2751" s="9" t="n">
        <v>17</v>
      </c>
      <c r="R2751" s="9" t="s">
        <v>44</v>
      </c>
      <c r="S2751" s="9"/>
      <c r="T2751" s="9"/>
      <c r="U2751" s="9" t="str">
        <f aca="false">IF(COUNTIF($A$2:$A$5001,A2751)&gt;1,"Duplicate","Unique")</f>
        <v>Unique</v>
      </c>
      <c r="V2751" s="9" t="str">
        <f aca="false">IF(COUNTIFS($B$2:$B$5001,B2751,$H$2:$H$5001,H2751,$J$2:$J$5001,J2751)&gt;1,"Possible Duplicate Booking","Unique")</f>
        <v>Unique</v>
      </c>
      <c r="W2751" s="9" t="str">
        <f aca="false">IF((H2751-G2751)&lt;&gt;K2751,"Mismatch","OK")</f>
        <v>OK</v>
      </c>
      <c r="X2751" s="9" t="str">
        <f aca="false">IF(TEXT(H2751,"dddd")&lt;&gt;I2751,"Mismatch","OK")</f>
        <v>OK</v>
      </c>
      <c r="Y2751" s="9" t="str">
        <f aca="false">IF(AND(N2751="No",O2751&lt;&gt;""),"Unexpected: channel present but no reminder sent",IF(AND(N2751="Yes",O2751=""),"Missing channel for sent reminder","OK"))</f>
        <v>OK</v>
      </c>
    </row>
    <row r="2752" customFormat="false" ht="15" hidden="false" customHeight="false" outlineLevel="0" collapsed="false">
      <c r="A2752" s="7" t="s">
        <v>4231</v>
      </c>
      <c r="B2752" s="7" t="s">
        <v>880</v>
      </c>
      <c r="C2752" s="7" t="s">
        <v>37</v>
      </c>
      <c r="D2752" s="7" t="n">
        <v>58</v>
      </c>
      <c r="E2752" s="7" t="s">
        <v>61</v>
      </c>
      <c r="F2752" s="7" t="s">
        <v>49</v>
      </c>
      <c r="G2752" s="8" t="n">
        <v>45752</v>
      </c>
      <c r="H2752" s="8" t="n">
        <v>45791</v>
      </c>
      <c r="I2752" s="7" t="s">
        <v>58</v>
      </c>
      <c r="J2752" s="7" t="s">
        <v>41</v>
      </c>
      <c r="K2752" s="7" t="n">
        <v>39</v>
      </c>
      <c r="L2752" s="7" t="n">
        <v>2</v>
      </c>
      <c r="M2752" s="7" t="n">
        <v>0</v>
      </c>
      <c r="N2752" s="7" t="s">
        <v>42</v>
      </c>
      <c r="O2752" s="7" t="s">
        <v>67</v>
      </c>
      <c r="P2752" s="7" t="n">
        <v>8.3</v>
      </c>
      <c r="Q2752" s="7" t="n">
        <v>34</v>
      </c>
      <c r="R2752" s="7" t="s">
        <v>87</v>
      </c>
      <c r="S2752" s="7"/>
      <c r="T2752" s="7"/>
      <c r="U2752" s="7" t="str">
        <f aca="false">IF(COUNTIF($A$2:$A$5001,A2752)&gt;1,"Duplicate","Unique")</f>
        <v>Unique</v>
      </c>
      <c r="V2752" s="7" t="str">
        <f aca="false">IF(COUNTIFS($B$2:$B$5001,B2752,$H$2:$H$5001,H2752,$J$2:$J$5001,J2752)&gt;1,"Possible Duplicate Booking","Unique")</f>
        <v>Unique</v>
      </c>
      <c r="W2752" s="7" t="str">
        <f aca="false">IF((H2752-G2752)&lt;&gt;K2752,"Mismatch","OK")</f>
        <v>OK</v>
      </c>
      <c r="X2752" s="7" t="str">
        <f aca="false">IF(TEXT(H2752,"dddd")&lt;&gt;I2752,"Mismatch","OK")</f>
        <v>OK</v>
      </c>
      <c r="Y2752" s="7" t="str">
        <f aca="false">IF(AND(N2752="No",O2752&lt;&gt;""),"Unexpected: channel present but no reminder sent",IF(AND(N2752="Yes",O2752=""),"Missing channel for sent reminder","OK"))</f>
        <v>OK</v>
      </c>
    </row>
    <row r="2753" customFormat="false" ht="15" hidden="false" customHeight="false" outlineLevel="0" collapsed="false">
      <c r="A2753" s="9" t="s">
        <v>4232</v>
      </c>
      <c r="B2753" s="9" t="s">
        <v>1092</v>
      </c>
      <c r="C2753" s="9" t="s">
        <v>47</v>
      </c>
      <c r="D2753" s="9" t="n">
        <v>30</v>
      </c>
      <c r="E2753" s="9" t="s">
        <v>48</v>
      </c>
      <c r="F2753" s="9" t="s">
        <v>74</v>
      </c>
      <c r="G2753" s="10" t="n">
        <v>45677</v>
      </c>
      <c r="H2753" s="10" t="n">
        <v>45702</v>
      </c>
      <c r="I2753" s="9" t="s">
        <v>50</v>
      </c>
      <c r="J2753" s="9" t="s">
        <v>51</v>
      </c>
      <c r="K2753" s="9" t="n">
        <v>25</v>
      </c>
      <c r="L2753" s="9" t="n">
        <v>2</v>
      </c>
      <c r="M2753" s="9" t="n">
        <v>0</v>
      </c>
      <c r="N2753" s="9" t="s">
        <v>42</v>
      </c>
      <c r="O2753" s="9" t="s">
        <v>67</v>
      </c>
      <c r="P2753" s="9" t="n">
        <v>4.2</v>
      </c>
      <c r="Q2753" s="9" t="n">
        <v>9</v>
      </c>
      <c r="R2753" s="9" t="s">
        <v>53</v>
      </c>
      <c r="S2753" s="9"/>
      <c r="T2753" s="9"/>
      <c r="U2753" s="9" t="str">
        <f aca="false">IF(COUNTIF($A$2:$A$5001,A2753)&gt;1,"Duplicate","Unique")</f>
        <v>Unique</v>
      </c>
      <c r="V2753" s="9" t="str">
        <f aca="false">IF(COUNTIFS($B$2:$B$5001,B2753,$H$2:$H$5001,H2753,$J$2:$J$5001,J2753)&gt;1,"Possible Duplicate Booking","Unique")</f>
        <v>Unique</v>
      </c>
      <c r="W2753" s="9" t="str">
        <f aca="false">IF((H2753-G2753)&lt;&gt;K2753,"Mismatch","OK")</f>
        <v>OK</v>
      </c>
      <c r="X2753" s="9" t="str">
        <f aca="false">IF(TEXT(H2753,"dddd")&lt;&gt;I2753,"Mismatch","OK")</f>
        <v>OK</v>
      </c>
      <c r="Y2753" s="9" t="str">
        <f aca="false">IF(AND(N2753="No",O2753&lt;&gt;""),"Unexpected: channel present but no reminder sent",IF(AND(N2753="Yes",O2753=""),"Missing channel for sent reminder","OK"))</f>
        <v>OK</v>
      </c>
    </row>
    <row r="2754" customFormat="false" ht="15" hidden="false" customHeight="false" outlineLevel="0" collapsed="false">
      <c r="A2754" s="7" t="s">
        <v>4233</v>
      </c>
      <c r="B2754" s="7" t="s">
        <v>4023</v>
      </c>
      <c r="C2754" s="7" t="s">
        <v>37</v>
      </c>
      <c r="D2754" s="7" t="n">
        <v>40</v>
      </c>
      <c r="E2754" s="7" t="s">
        <v>38</v>
      </c>
      <c r="F2754" s="7" t="s">
        <v>74</v>
      </c>
      <c r="G2754" s="8" t="n">
        <v>45964</v>
      </c>
      <c r="H2754" s="8" t="n">
        <v>45976</v>
      </c>
      <c r="I2754" s="7" t="s">
        <v>102</v>
      </c>
      <c r="J2754" s="7" t="s">
        <v>41</v>
      </c>
      <c r="K2754" s="7" t="n">
        <v>12</v>
      </c>
      <c r="L2754" s="7" t="n">
        <v>4</v>
      </c>
      <c r="M2754" s="7" t="n">
        <v>0</v>
      </c>
      <c r="N2754" s="7" t="s">
        <v>42</v>
      </c>
      <c r="O2754" s="7" t="s">
        <v>52</v>
      </c>
      <c r="P2754" s="7" t="n">
        <v>4.7</v>
      </c>
      <c r="Q2754" s="7" t="n">
        <v>24</v>
      </c>
      <c r="R2754" s="7" t="s">
        <v>44</v>
      </c>
      <c r="S2754" s="7"/>
      <c r="T2754" s="7"/>
      <c r="U2754" s="7" t="str">
        <f aca="false">IF(COUNTIF($A$2:$A$5001,A2754)&gt;1,"Duplicate","Unique")</f>
        <v>Unique</v>
      </c>
      <c r="V2754" s="7" t="str">
        <f aca="false">IF(COUNTIFS($B$2:$B$5001,B2754,$H$2:$H$5001,H2754,$J$2:$J$5001,J2754)&gt;1,"Possible Duplicate Booking","Unique")</f>
        <v>Unique</v>
      </c>
      <c r="W2754" s="7" t="str">
        <f aca="false">IF((H2754-G2754)&lt;&gt;K2754,"Mismatch","OK")</f>
        <v>OK</v>
      </c>
      <c r="X2754" s="7" t="str">
        <f aca="false">IF(TEXT(H2754,"dddd")&lt;&gt;I2754,"Mismatch","OK")</f>
        <v>OK</v>
      </c>
      <c r="Y2754" s="7" t="str">
        <f aca="false">IF(AND(N2754="No",O2754&lt;&gt;""),"Unexpected: channel present but no reminder sent",IF(AND(N2754="Yes",O2754=""),"Missing channel for sent reminder","OK"))</f>
        <v>OK</v>
      </c>
    </row>
    <row r="2755" customFormat="false" ht="15" hidden="false" customHeight="false" outlineLevel="0" collapsed="false">
      <c r="A2755" s="9" t="s">
        <v>4234</v>
      </c>
      <c r="B2755" s="9" t="s">
        <v>431</v>
      </c>
      <c r="C2755" s="9" t="s">
        <v>37</v>
      </c>
      <c r="D2755" s="9" t="n">
        <v>36</v>
      </c>
      <c r="E2755" s="9" t="s">
        <v>38</v>
      </c>
      <c r="F2755" s="9" t="s">
        <v>57</v>
      </c>
      <c r="G2755" s="10" t="n">
        <v>46013</v>
      </c>
      <c r="H2755" s="10" t="n">
        <v>46013</v>
      </c>
      <c r="I2755" s="9" t="s">
        <v>66</v>
      </c>
      <c r="J2755" s="9" t="s">
        <v>51</v>
      </c>
      <c r="K2755" s="9" t="n">
        <v>0</v>
      </c>
      <c r="L2755" s="9" t="n">
        <v>3</v>
      </c>
      <c r="M2755" s="9" t="n">
        <v>0</v>
      </c>
      <c r="N2755" s="9" t="s">
        <v>71</v>
      </c>
      <c r="O2755" s="9"/>
      <c r="P2755" s="9" t="n">
        <v>3.9</v>
      </c>
      <c r="Q2755" s="9" t="n">
        <v>13</v>
      </c>
      <c r="R2755" s="9" t="s">
        <v>44</v>
      </c>
      <c r="S2755" s="9"/>
      <c r="T2755" s="9"/>
      <c r="U2755" s="9" t="str">
        <f aca="false">IF(COUNTIF($A$2:$A$5001,A2755)&gt;1,"Duplicate","Unique")</f>
        <v>Unique</v>
      </c>
      <c r="V2755" s="9" t="str">
        <f aca="false">IF(COUNTIFS($B$2:$B$5001,B2755,$H$2:$H$5001,H2755,$J$2:$J$5001,J2755)&gt;1,"Possible Duplicate Booking","Unique")</f>
        <v>Unique</v>
      </c>
      <c r="W2755" s="9" t="str">
        <f aca="false">IF((H2755-G2755)&lt;&gt;K2755,"Mismatch","OK")</f>
        <v>OK</v>
      </c>
      <c r="X2755" s="9" t="str">
        <f aca="false">IF(TEXT(H2755,"dddd")&lt;&gt;I2755,"Mismatch","OK")</f>
        <v>OK</v>
      </c>
      <c r="Y2755" s="9" t="str">
        <f aca="false">IF(AND(N2755="No",O2755&lt;&gt;""),"Unexpected: channel present but no reminder sent",IF(AND(N2755="Yes",O2755=""),"Missing channel for sent reminder","OK"))</f>
        <v>OK</v>
      </c>
    </row>
    <row r="2756" customFormat="false" ht="15" hidden="false" customHeight="false" outlineLevel="0" collapsed="false">
      <c r="A2756" s="7" t="s">
        <v>4235</v>
      </c>
      <c r="B2756" s="7" t="s">
        <v>1457</v>
      </c>
      <c r="C2756" s="7" t="s">
        <v>37</v>
      </c>
      <c r="D2756" s="7" t="n">
        <v>60</v>
      </c>
      <c r="E2756" s="7" t="s">
        <v>61</v>
      </c>
      <c r="F2756" s="7" t="s">
        <v>39</v>
      </c>
      <c r="G2756" s="8" t="n">
        <v>46189</v>
      </c>
      <c r="H2756" s="8" t="n">
        <v>46198</v>
      </c>
      <c r="I2756" s="7" t="s">
        <v>62</v>
      </c>
      <c r="J2756" s="7" t="s">
        <v>51</v>
      </c>
      <c r="K2756" s="7" t="n">
        <v>9</v>
      </c>
      <c r="L2756" s="7" t="n">
        <v>1</v>
      </c>
      <c r="M2756" s="7" t="n">
        <v>0</v>
      </c>
      <c r="N2756" s="7" t="s">
        <v>42</v>
      </c>
      <c r="O2756" s="7" t="s">
        <v>52</v>
      </c>
      <c r="P2756" s="7" t="n">
        <v>5.4</v>
      </c>
      <c r="Q2756" s="7" t="n">
        <v>10</v>
      </c>
      <c r="R2756" s="7" t="s">
        <v>44</v>
      </c>
      <c r="S2756" s="7"/>
      <c r="T2756" s="7"/>
      <c r="U2756" s="7" t="str">
        <f aca="false">IF(COUNTIF($A$2:$A$5001,A2756)&gt;1,"Duplicate","Unique")</f>
        <v>Unique</v>
      </c>
      <c r="V2756" s="7" t="str">
        <f aca="false">IF(COUNTIFS($B$2:$B$5001,B2756,$H$2:$H$5001,H2756,$J$2:$J$5001,J2756)&gt;1,"Possible Duplicate Booking","Unique")</f>
        <v>Unique</v>
      </c>
      <c r="W2756" s="7" t="str">
        <f aca="false">IF((H2756-G2756)&lt;&gt;K2756,"Mismatch","OK")</f>
        <v>OK</v>
      </c>
      <c r="X2756" s="7" t="str">
        <f aca="false">IF(TEXT(H2756,"dddd")&lt;&gt;I2756,"Mismatch","OK")</f>
        <v>OK</v>
      </c>
      <c r="Y2756" s="7" t="str">
        <f aca="false">IF(AND(N2756="No",O2756&lt;&gt;""),"Unexpected: channel present but no reminder sent",IF(AND(N2756="Yes",O2756=""),"Missing channel for sent reminder","OK"))</f>
        <v>OK</v>
      </c>
    </row>
    <row r="2757" customFormat="false" ht="15" hidden="false" customHeight="false" outlineLevel="0" collapsed="false">
      <c r="A2757" s="9" t="s">
        <v>4236</v>
      </c>
      <c r="B2757" s="9" t="s">
        <v>1284</v>
      </c>
      <c r="C2757" s="9" t="s">
        <v>37</v>
      </c>
      <c r="D2757" s="9" t="n">
        <v>73</v>
      </c>
      <c r="E2757" s="9" t="s">
        <v>70</v>
      </c>
      <c r="F2757" s="9" t="s">
        <v>57</v>
      </c>
      <c r="G2757" s="10" t="n">
        <v>46075</v>
      </c>
      <c r="H2757" s="10" t="n">
        <v>46133</v>
      </c>
      <c r="I2757" s="9" t="s">
        <v>40</v>
      </c>
      <c r="J2757" s="9" t="s">
        <v>51</v>
      </c>
      <c r="K2757" s="9" t="n">
        <v>58</v>
      </c>
      <c r="L2757" s="9" t="n">
        <v>2</v>
      </c>
      <c r="M2757" s="9" t="n">
        <v>1</v>
      </c>
      <c r="N2757" s="9" t="s">
        <v>42</v>
      </c>
      <c r="O2757" s="9" t="s">
        <v>43</v>
      </c>
      <c r="P2757" s="9" t="n">
        <v>6.1</v>
      </c>
      <c r="Q2757" s="9" t="n">
        <v>46</v>
      </c>
      <c r="R2757" s="9" t="s">
        <v>44</v>
      </c>
      <c r="S2757" s="9"/>
      <c r="T2757" s="9"/>
      <c r="U2757" s="9" t="str">
        <f aca="false">IF(COUNTIF($A$2:$A$5001,A2757)&gt;1,"Duplicate","Unique")</f>
        <v>Unique</v>
      </c>
      <c r="V2757" s="9" t="str">
        <f aca="false">IF(COUNTIFS($B$2:$B$5001,B2757,$H$2:$H$5001,H2757,$J$2:$J$5001,J2757)&gt;1,"Possible Duplicate Booking","Unique")</f>
        <v>Unique</v>
      </c>
      <c r="W2757" s="9" t="str">
        <f aca="false">IF((H2757-G2757)&lt;&gt;K2757,"Mismatch","OK")</f>
        <v>OK</v>
      </c>
      <c r="X2757" s="9" t="str">
        <f aca="false">IF(TEXT(H2757,"dddd")&lt;&gt;I2757,"Mismatch","OK")</f>
        <v>OK</v>
      </c>
      <c r="Y2757" s="9" t="str">
        <f aca="false">IF(AND(N2757="No",O2757&lt;&gt;""),"Unexpected: channel present but no reminder sent",IF(AND(N2757="Yes",O2757=""),"Missing channel for sent reminder","OK"))</f>
        <v>OK</v>
      </c>
    </row>
    <row r="2758" customFormat="false" ht="15" hidden="false" customHeight="false" outlineLevel="0" collapsed="false">
      <c r="A2758" s="7" t="s">
        <v>4237</v>
      </c>
      <c r="B2758" s="7" t="s">
        <v>233</v>
      </c>
      <c r="C2758" s="7" t="s">
        <v>47</v>
      </c>
      <c r="D2758" s="7" t="n">
        <v>33</v>
      </c>
      <c r="E2758" s="7" t="s">
        <v>48</v>
      </c>
      <c r="F2758" s="7" t="s">
        <v>74</v>
      </c>
      <c r="G2758" s="8" t="n">
        <v>46132</v>
      </c>
      <c r="H2758" s="8" t="n">
        <v>46140</v>
      </c>
      <c r="I2758" s="7" t="s">
        <v>40</v>
      </c>
      <c r="J2758" s="7" t="s">
        <v>41</v>
      </c>
      <c r="K2758" s="7" t="n">
        <v>8</v>
      </c>
      <c r="L2758" s="7" t="n">
        <v>3</v>
      </c>
      <c r="M2758" s="7" t="n">
        <v>1</v>
      </c>
      <c r="N2758" s="7" t="s">
        <v>42</v>
      </c>
      <c r="O2758" s="7" t="s">
        <v>43</v>
      </c>
      <c r="P2758" s="7"/>
      <c r="Q2758" s="7" t="n">
        <v>25</v>
      </c>
      <c r="R2758" s="7" t="s">
        <v>44</v>
      </c>
      <c r="S2758" s="7"/>
      <c r="T2758" s="7"/>
      <c r="U2758" s="7" t="str">
        <f aca="false">IF(COUNTIF($A$2:$A$5001,A2758)&gt;1,"Duplicate","Unique")</f>
        <v>Unique</v>
      </c>
      <c r="V2758" s="7" t="str">
        <f aca="false">IF(COUNTIFS($B$2:$B$5001,B2758,$H$2:$H$5001,H2758,$J$2:$J$5001,J2758)&gt;1,"Possible Duplicate Booking","Unique")</f>
        <v>Unique</v>
      </c>
      <c r="W2758" s="7" t="str">
        <f aca="false">IF((H2758-G2758)&lt;&gt;K2758,"Mismatch","OK")</f>
        <v>OK</v>
      </c>
      <c r="X2758" s="7" t="str">
        <f aca="false">IF(TEXT(H2758,"dddd")&lt;&gt;I2758,"Mismatch","OK")</f>
        <v>OK</v>
      </c>
      <c r="Y2758" s="7" t="str">
        <f aca="false">IF(AND(N2758="No",O2758&lt;&gt;""),"Unexpected: channel present but no reminder sent",IF(AND(N2758="Yes",O2758=""),"Missing channel for sent reminder","OK"))</f>
        <v>OK</v>
      </c>
    </row>
    <row r="2759" customFormat="false" ht="15" hidden="false" customHeight="false" outlineLevel="0" collapsed="false">
      <c r="A2759" s="9" t="s">
        <v>4238</v>
      </c>
      <c r="B2759" s="9" t="s">
        <v>2497</v>
      </c>
      <c r="C2759" s="9" t="s">
        <v>37</v>
      </c>
      <c r="D2759" s="9" t="n">
        <v>36</v>
      </c>
      <c r="E2759" s="9" t="s">
        <v>38</v>
      </c>
      <c r="F2759" s="9" t="s">
        <v>57</v>
      </c>
      <c r="G2759" s="10" t="n">
        <v>46003</v>
      </c>
      <c r="H2759" s="10" t="n">
        <v>46004</v>
      </c>
      <c r="I2759" s="9" t="s">
        <v>102</v>
      </c>
      <c r="J2759" s="9" t="s">
        <v>51</v>
      </c>
      <c r="K2759" s="9" t="n">
        <v>1</v>
      </c>
      <c r="L2759" s="9" t="n">
        <v>1</v>
      </c>
      <c r="M2759" s="9" t="n">
        <v>0</v>
      </c>
      <c r="N2759" s="9" t="s">
        <v>42</v>
      </c>
      <c r="O2759" s="9" t="s">
        <v>52</v>
      </c>
      <c r="P2759" s="9" t="n">
        <v>7.7</v>
      </c>
      <c r="Q2759" s="9" t="n">
        <v>34</v>
      </c>
      <c r="R2759" s="9" t="s">
        <v>53</v>
      </c>
      <c r="S2759" s="9"/>
      <c r="T2759" s="9"/>
      <c r="U2759" s="9" t="str">
        <f aca="false">IF(COUNTIF($A$2:$A$5001,A2759)&gt;1,"Duplicate","Unique")</f>
        <v>Unique</v>
      </c>
      <c r="V2759" s="9" t="str">
        <f aca="false">IF(COUNTIFS($B$2:$B$5001,B2759,$H$2:$H$5001,H2759,$J$2:$J$5001,J2759)&gt;1,"Possible Duplicate Booking","Unique")</f>
        <v>Unique</v>
      </c>
      <c r="W2759" s="9" t="str">
        <f aca="false">IF((H2759-G2759)&lt;&gt;K2759,"Mismatch","OK")</f>
        <v>OK</v>
      </c>
      <c r="X2759" s="9" t="str">
        <f aca="false">IF(TEXT(H2759,"dddd")&lt;&gt;I2759,"Mismatch","OK")</f>
        <v>OK</v>
      </c>
      <c r="Y2759" s="9" t="str">
        <f aca="false">IF(AND(N2759="No",O2759&lt;&gt;""),"Unexpected: channel present but no reminder sent",IF(AND(N2759="Yes",O2759=""),"Missing channel for sent reminder","OK"))</f>
        <v>OK</v>
      </c>
    </row>
    <row r="2760" customFormat="false" ht="15" hidden="false" customHeight="false" outlineLevel="0" collapsed="false">
      <c r="A2760" s="7" t="s">
        <v>4239</v>
      </c>
      <c r="B2760" s="7" t="s">
        <v>2605</v>
      </c>
      <c r="C2760" s="7" t="s">
        <v>37</v>
      </c>
      <c r="D2760" s="7" t="n">
        <v>69</v>
      </c>
      <c r="E2760" s="7" t="s">
        <v>70</v>
      </c>
      <c r="F2760" s="7" t="s">
        <v>57</v>
      </c>
      <c r="G2760" s="8" t="n">
        <v>45805</v>
      </c>
      <c r="H2760" s="8" t="n">
        <v>45854</v>
      </c>
      <c r="I2760" s="7" t="s">
        <v>58</v>
      </c>
      <c r="J2760" s="7" t="s">
        <v>51</v>
      </c>
      <c r="K2760" s="7" t="n">
        <v>49</v>
      </c>
      <c r="L2760" s="7" t="n">
        <v>3</v>
      </c>
      <c r="M2760" s="7" t="n">
        <v>1</v>
      </c>
      <c r="N2760" s="7" t="s">
        <v>42</v>
      </c>
      <c r="O2760" s="7" t="s">
        <v>52</v>
      </c>
      <c r="P2760" s="7" t="n">
        <v>16.3</v>
      </c>
      <c r="Q2760" s="7" t="n">
        <v>18</v>
      </c>
      <c r="R2760" s="7" t="s">
        <v>44</v>
      </c>
      <c r="S2760" s="7"/>
      <c r="T2760" s="7"/>
      <c r="U2760" s="7" t="str">
        <f aca="false">IF(COUNTIF($A$2:$A$5001,A2760)&gt;1,"Duplicate","Unique")</f>
        <v>Unique</v>
      </c>
      <c r="V2760" s="7" t="str">
        <f aca="false">IF(COUNTIFS($B$2:$B$5001,B2760,$H$2:$H$5001,H2760,$J$2:$J$5001,J2760)&gt;1,"Possible Duplicate Booking","Unique")</f>
        <v>Unique</v>
      </c>
      <c r="W2760" s="7" t="str">
        <f aca="false">IF((H2760-G2760)&lt;&gt;K2760,"Mismatch","OK")</f>
        <v>OK</v>
      </c>
      <c r="X2760" s="7" t="str">
        <f aca="false">IF(TEXT(H2760,"dddd")&lt;&gt;I2760,"Mismatch","OK")</f>
        <v>OK</v>
      </c>
      <c r="Y2760" s="7" t="str">
        <f aca="false">IF(AND(N2760="No",O2760&lt;&gt;""),"Unexpected: channel present but no reminder sent",IF(AND(N2760="Yes",O2760=""),"Missing channel for sent reminder","OK"))</f>
        <v>OK</v>
      </c>
    </row>
    <row r="2761" customFormat="false" ht="15" hidden="false" customHeight="false" outlineLevel="0" collapsed="false">
      <c r="A2761" s="9" t="s">
        <v>4240</v>
      </c>
      <c r="B2761" s="9" t="s">
        <v>3469</v>
      </c>
      <c r="C2761" s="9" t="s">
        <v>47</v>
      </c>
      <c r="D2761" s="9" t="n">
        <v>47</v>
      </c>
      <c r="E2761" s="9" t="s">
        <v>56</v>
      </c>
      <c r="F2761" s="9" t="s">
        <v>74</v>
      </c>
      <c r="G2761" s="10" t="n">
        <v>45867</v>
      </c>
      <c r="H2761" s="10" t="n">
        <v>45892</v>
      </c>
      <c r="I2761" s="9" t="s">
        <v>102</v>
      </c>
      <c r="J2761" s="9" t="s">
        <v>51</v>
      </c>
      <c r="K2761" s="9" t="n">
        <v>25</v>
      </c>
      <c r="L2761" s="9" t="n">
        <v>5</v>
      </c>
      <c r="M2761" s="9" t="n">
        <v>1</v>
      </c>
      <c r="N2761" s="9" t="s">
        <v>42</v>
      </c>
      <c r="O2761" s="9" t="s">
        <v>43</v>
      </c>
      <c r="P2761" s="9" t="n">
        <v>13.5</v>
      </c>
      <c r="Q2761" s="9" t="n">
        <v>13</v>
      </c>
      <c r="R2761" s="9" t="s">
        <v>44</v>
      </c>
      <c r="S2761" s="9"/>
      <c r="T2761" s="9"/>
      <c r="U2761" s="9" t="str">
        <f aca="false">IF(COUNTIF($A$2:$A$5001,A2761)&gt;1,"Duplicate","Unique")</f>
        <v>Unique</v>
      </c>
      <c r="V2761" s="9" t="str">
        <f aca="false">IF(COUNTIFS($B$2:$B$5001,B2761,$H$2:$H$5001,H2761,$J$2:$J$5001,J2761)&gt;1,"Possible Duplicate Booking","Unique")</f>
        <v>Unique</v>
      </c>
      <c r="W2761" s="9" t="str">
        <f aca="false">IF((H2761-G2761)&lt;&gt;K2761,"Mismatch","OK")</f>
        <v>OK</v>
      </c>
      <c r="X2761" s="9" t="str">
        <f aca="false">IF(TEXT(H2761,"dddd")&lt;&gt;I2761,"Mismatch","OK")</f>
        <v>OK</v>
      </c>
      <c r="Y2761" s="9" t="str">
        <f aca="false">IF(AND(N2761="No",O2761&lt;&gt;""),"Unexpected: channel present but no reminder sent",IF(AND(N2761="Yes",O2761=""),"Missing channel for sent reminder","OK"))</f>
        <v>OK</v>
      </c>
    </row>
    <row r="2762" customFormat="false" ht="15" hidden="false" customHeight="false" outlineLevel="0" collapsed="false">
      <c r="A2762" s="7" t="s">
        <v>4241</v>
      </c>
      <c r="B2762" s="7" t="s">
        <v>2375</v>
      </c>
      <c r="C2762" s="7" t="s">
        <v>47</v>
      </c>
      <c r="D2762" s="7" t="n">
        <v>50</v>
      </c>
      <c r="E2762" s="7" t="s">
        <v>56</v>
      </c>
      <c r="F2762" s="7" t="s">
        <v>49</v>
      </c>
      <c r="G2762" s="8" t="n">
        <v>45710</v>
      </c>
      <c r="H2762" s="8" t="n">
        <v>45731</v>
      </c>
      <c r="I2762" s="7" t="s">
        <v>102</v>
      </c>
      <c r="J2762" s="7" t="s">
        <v>51</v>
      </c>
      <c r="K2762" s="7" t="n">
        <v>21</v>
      </c>
      <c r="L2762" s="7" t="n">
        <v>4</v>
      </c>
      <c r="M2762" s="7" t="n">
        <v>2</v>
      </c>
      <c r="N2762" s="7" t="s">
        <v>42</v>
      </c>
      <c r="O2762" s="7" t="s">
        <v>43</v>
      </c>
      <c r="P2762" s="7" t="n">
        <v>11.8</v>
      </c>
      <c r="Q2762" s="7" t="n">
        <v>2</v>
      </c>
      <c r="R2762" s="7" t="s">
        <v>44</v>
      </c>
      <c r="S2762" s="7"/>
      <c r="T2762" s="7"/>
      <c r="U2762" s="7" t="str">
        <f aca="false">IF(COUNTIF($A$2:$A$5001,A2762)&gt;1,"Duplicate","Unique")</f>
        <v>Unique</v>
      </c>
      <c r="V2762" s="7" t="str">
        <f aca="false">IF(COUNTIFS($B$2:$B$5001,B2762,$H$2:$H$5001,H2762,$J$2:$J$5001,J2762)&gt;1,"Possible Duplicate Booking","Unique")</f>
        <v>Unique</v>
      </c>
      <c r="W2762" s="7" t="str">
        <f aca="false">IF((H2762-G2762)&lt;&gt;K2762,"Mismatch","OK")</f>
        <v>OK</v>
      </c>
      <c r="X2762" s="7" t="str">
        <f aca="false">IF(TEXT(H2762,"dddd")&lt;&gt;I2762,"Mismatch","OK")</f>
        <v>OK</v>
      </c>
      <c r="Y2762" s="7" t="str">
        <f aca="false">IF(AND(N2762="No",O2762&lt;&gt;""),"Unexpected: channel present but no reminder sent",IF(AND(N2762="Yes",O2762=""),"Missing channel for sent reminder","OK"))</f>
        <v>OK</v>
      </c>
    </row>
    <row r="2763" customFormat="false" ht="15" hidden="false" customHeight="false" outlineLevel="0" collapsed="false">
      <c r="A2763" s="9" t="s">
        <v>4242</v>
      </c>
      <c r="B2763" s="9" t="s">
        <v>274</v>
      </c>
      <c r="C2763" s="9" t="s">
        <v>37</v>
      </c>
      <c r="D2763" s="9" t="n">
        <v>62</v>
      </c>
      <c r="E2763" s="9" t="s">
        <v>61</v>
      </c>
      <c r="F2763" s="9" t="s">
        <v>74</v>
      </c>
      <c r="G2763" s="10" t="n">
        <v>45850</v>
      </c>
      <c r="H2763" s="10" t="n">
        <v>45893</v>
      </c>
      <c r="I2763" s="9" t="s">
        <v>75</v>
      </c>
      <c r="J2763" s="9" t="s">
        <v>63</v>
      </c>
      <c r="K2763" s="9" t="n">
        <v>43</v>
      </c>
      <c r="L2763" s="9" t="n">
        <v>3</v>
      </c>
      <c r="M2763" s="9" t="n">
        <v>0</v>
      </c>
      <c r="N2763" s="9" t="s">
        <v>42</v>
      </c>
      <c r="O2763" s="9" t="s">
        <v>67</v>
      </c>
      <c r="P2763" s="9" t="n">
        <v>17.6</v>
      </c>
      <c r="Q2763" s="9" t="n">
        <v>21</v>
      </c>
      <c r="R2763" s="9" t="s">
        <v>53</v>
      </c>
      <c r="S2763" s="9"/>
      <c r="T2763" s="9"/>
      <c r="U2763" s="9" t="str">
        <f aca="false">IF(COUNTIF($A$2:$A$5001,A2763)&gt;1,"Duplicate","Unique")</f>
        <v>Unique</v>
      </c>
      <c r="V2763" s="9" t="str">
        <f aca="false">IF(COUNTIFS($B$2:$B$5001,B2763,$H$2:$H$5001,H2763,$J$2:$J$5001,J2763)&gt;1,"Possible Duplicate Booking","Unique")</f>
        <v>Unique</v>
      </c>
      <c r="W2763" s="9" t="str">
        <f aca="false">IF((H2763-G2763)&lt;&gt;K2763,"Mismatch","OK")</f>
        <v>OK</v>
      </c>
      <c r="X2763" s="9" t="str">
        <f aca="false">IF(TEXT(H2763,"dddd")&lt;&gt;I2763,"Mismatch","OK")</f>
        <v>OK</v>
      </c>
      <c r="Y2763" s="9" t="str">
        <f aca="false">IF(AND(N2763="No",O2763&lt;&gt;""),"Unexpected: channel present but no reminder sent",IF(AND(N2763="Yes",O2763=""),"Missing channel for sent reminder","OK"))</f>
        <v>OK</v>
      </c>
    </row>
    <row r="2764" customFormat="false" ht="15" hidden="false" customHeight="false" outlineLevel="0" collapsed="false">
      <c r="A2764" s="7" t="s">
        <v>4243</v>
      </c>
      <c r="B2764" s="7" t="s">
        <v>3681</v>
      </c>
      <c r="C2764" s="7" t="s">
        <v>37</v>
      </c>
      <c r="D2764" s="7" t="n">
        <v>26</v>
      </c>
      <c r="E2764" s="7" t="s">
        <v>48</v>
      </c>
      <c r="F2764" s="7" t="s">
        <v>57</v>
      </c>
      <c r="G2764" s="8" t="n">
        <v>45825</v>
      </c>
      <c r="H2764" s="8" t="n">
        <v>45856</v>
      </c>
      <c r="I2764" s="7" t="s">
        <v>50</v>
      </c>
      <c r="J2764" s="7" t="s">
        <v>41</v>
      </c>
      <c r="K2764" s="7" t="n">
        <v>31</v>
      </c>
      <c r="L2764" s="7" t="n">
        <v>4</v>
      </c>
      <c r="M2764" s="7" t="n">
        <v>1</v>
      </c>
      <c r="N2764" s="7" t="s">
        <v>71</v>
      </c>
      <c r="O2764" s="7"/>
      <c r="P2764" s="7" t="n">
        <v>11.2</v>
      </c>
      <c r="Q2764" s="7" t="n">
        <v>6</v>
      </c>
      <c r="R2764" s="7" t="s">
        <v>53</v>
      </c>
      <c r="S2764" s="7"/>
      <c r="T2764" s="7"/>
      <c r="U2764" s="7" t="str">
        <f aca="false">IF(COUNTIF($A$2:$A$5001,A2764)&gt;1,"Duplicate","Unique")</f>
        <v>Unique</v>
      </c>
      <c r="V2764" s="7" t="str">
        <f aca="false">IF(COUNTIFS($B$2:$B$5001,B2764,$H$2:$H$5001,H2764,$J$2:$J$5001,J2764)&gt;1,"Possible Duplicate Booking","Unique")</f>
        <v>Unique</v>
      </c>
      <c r="W2764" s="7" t="str">
        <f aca="false">IF((H2764-G2764)&lt;&gt;K2764,"Mismatch","OK")</f>
        <v>OK</v>
      </c>
      <c r="X2764" s="7" t="str">
        <f aca="false">IF(TEXT(H2764,"dddd")&lt;&gt;I2764,"Mismatch","OK")</f>
        <v>OK</v>
      </c>
      <c r="Y2764" s="7" t="str">
        <f aca="false">IF(AND(N2764="No",O2764&lt;&gt;""),"Unexpected: channel present but no reminder sent",IF(AND(N2764="Yes",O2764=""),"Missing channel for sent reminder","OK"))</f>
        <v>OK</v>
      </c>
    </row>
    <row r="2765" customFormat="false" ht="15" hidden="false" customHeight="false" outlineLevel="0" collapsed="false">
      <c r="A2765" s="9" t="s">
        <v>4244</v>
      </c>
      <c r="B2765" s="9" t="s">
        <v>677</v>
      </c>
      <c r="C2765" s="9" t="s">
        <v>47</v>
      </c>
      <c r="D2765" s="9" t="n">
        <v>72</v>
      </c>
      <c r="E2765" s="9" t="s">
        <v>70</v>
      </c>
      <c r="F2765" s="9" t="s">
        <v>57</v>
      </c>
      <c r="G2765" s="10" t="n">
        <v>45622</v>
      </c>
      <c r="H2765" s="10" t="n">
        <v>45677</v>
      </c>
      <c r="I2765" s="9" t="s">
        <v>66</v>
      </c>
      <c r="J2765" s="9" t="s">
        <v>51</v>
      </c>
      <c r="K2765" s="9" t="n">
        <v>55</v>
      </c>
      <c r="L2765" s="9" t="n">
        <v>2</v>
      </c>
      <c r="M2765" s="9" t="n">
        <v>0</v>
      </c>
      <c r="N2765" s="9" t="s">
        <v>42</v>
      </c>
      <c r="O2765" s="9" t="s">
        <v>52</v>
      </c>
      <c r="P2765" s="9" t="n">
        <v>5</v>
      </c>
      <c r="Q2765" s="9" t="n">
        <v>25</v>
      </c>
      <c r="R2765" s="9" t="s">
        <v>53</v>
      </c>
      <c r="S2765" s="9"/>
      <c r="T2765" s="9"/>
      <c r="U2765" s="9" t="str">
        <f aca="false">IF(COUNTIF($A$2:$A$5001,A2765)&gt;1,"Duplicate","Unique")</f>
        <v>Unique</v>
      </c>
      <c r="V2765" s="9" t="str">
        <f aca="false">IF(COUNTIFS($B$2:$B$5001,B2765,$H$2:$H$5001,H2765,$J$2:$J$5001,J2765)&gt;1,"Possible Duplicate Booking","Unique")</f>
        <v>Unique</v>
      </c>
      <c r="W2765" s="9" t="str">
        <f aca="false">IF((H2765-G2765)&lt;&gt;K2765,"Mismatch","OK")</f>
        <v>OK</v>
      </c>
      <c r="X2765" s="9" t="str">
        <f aca="false">IF(TEXT(H2765,"dddd")&lt;&gt;I2765,"Mismatch","OK")</f>
        <v>OK</v>
      </c>
      <c r="Y2765" s="9" t="str">
        <f aca="false">IF(AND(N2765="No",O2765&lt;&gt;""),"Unexpected: channel present but no reminder sent",IF(AND(N2765="Yes",O2765=""),"Missing channel for sent reminder","OK"))</f>
        <v>OK</v>
      </c>
    </row>
    <row r="2766" customFormat="false" ht="15" hidden="false" customHeight="false" outlineLevel="0" collapsed="false">
      <c r="A2766" s="7" t="s">
        <v>4245</v>
      </c>
      <c r="B2766" s="7" t="s">
        <v>4246</v>
      </c>
      <c r="C2766" s="7" t="s">
        <v>47</v>
      </c>
      <c r="D2766" s="7" t="n">
        <v>41</v>
      </c>
      <c r="E2766" s="7" t="s">
        <v>38</v>
      </c>
      <c r="F2766" s="7" t="s">
        <v>57</v>
      </c>
      <c r="G2766" s="8" t="n">
        <v>45741</v>
      </c>
      <c r="H2766" s="8" t="n">
        <v>45769</v>
      </c>
      <c r="I2766" s="7" t="s">
        <v>40</v>
      </c>
      <c r="J2766" s="7" t="s">
        <v>51</v>
      </c>
      <c r="K2766" s="7" t="n">
        <v>28</v>
      </c>
      <c r="L2766" s="7" t="n">
        <v>3</v>
      </c>
      <c r="M2766" s="7" t="n">
        <v>1</v>
      </c>
      <c r="N2766" s="7" t="s">
        <v>42</v>
      </c>
      <c r="O2766" s="7" t="s">
        <v>52</v>
      </c>
      <c r="P2766" s="7" t="n">
        <v>12.7</v>
      </c>
      <c r="Q2766" s="7" t="n">
        <v>10</v>
      </c>
      <c r="R2766" s="7" t="s">
        <v>44</v>
      </c>
      <c r="S2766" s="7"/>
      <c r="T2766" s="7"/>
      <c r="U2766" s="7" t="str">
        <f aca="false">IF(COUNTIF($A$2:$A$5001,A2766)&gt;1,"Duplicate","Unique")</f>
        <v>Unique</v>
      </c>
      <c r="V2766" s="7" t="str">
        <f aca="false">IF(COUNTIFS($B$2:$B$5001,B2766,$H$2:$H$5001,H2766,$J$2:$J$5001,J2766)&gt;1,"Possible Duplicate Booking","Unique")</f>
        <v>Unique</v>
      </c>
      <c r="W2766" s="7" t="str">
        <f aca="false">IF((H2766-G2766)&lt;&gt;K2766,"Mismatch","OK")</f>
        <v>OK</v>
      </c>
      <c r="X2766" s="7" t="str">
        <f aca="false">IF(TEXT(H2766,"dddd")&lt;&gt;I2766,"Mismatch","OK")</f>
        <v>OK</v>
      </c>
      <c r="Y2766" s="7" t="str">
        <f aca="false">IF(AND(N2766="No",O2766&lt;&gt;""),"Unexpected: channel present but no reminder sent",IF(AND(N2766="Yes",O2766=""),"Missing channel for sent reminder","OK"))</f>
        <v>OK</v>
      </c>
    </row>
    <row r="2767" customFormat="false" ht="15" hidden="false" customHeight="false" outlineLevel="0" collapsed="false">
      <c r="A2767" s="9" t="s">
        <v>4247</v>
      </c>
      <c r="B2767" s="9" t="s">
        <v>2278</v>
      </c>
      <c r="C2767" s="9" t="s">
        <v>47</v>
      </c>
      <c r="D2767" s="9" t="n">
        <v>59</v>
      </c>
      <c r="E2767" s="9" t="s">
        <v>61</v>
      </c>
      <c r="F2767" s="9" t="s">
        <v>39</v>
      </c>
      <c r="G2767" s="10" t="n">
        <v>45906</v>
      </c>
      <c r="H2767" s="10" t="n">
        <v>45949</v>
      </c>
      <c r="I2767" s="9" t="s">
        <v>75</v>
      </c>
      <c r="J2767" s="9" t="s">
        <v>51</v>
      </c>
      <c r="K2767" s="9" t="n">
        <v>43</v>
      </c>
      <c r="L2767" s="9" t="n">
        <v>3</v>
      </c>
      <c r="M2767" s="9" t="n">
        <v>1</v>
      </c>
      <c r="N2767" s="9" t="s">
        <v>42</v>
      </c>
      <c r="O2767" s="9" t="s">
        <v>52</v>
      </c>
      <c r="P2767" s="9" t="n">
        <v>14.7</v>
      </c>
      <c r="Q2767" s="9" t="n">
        <v>29</v>
      </c>
      <c r="R2767" s="9" t="s">
        <v>44</v>
      </c>
      <c r="S2767" s="9"/>
      <c r="T2767" s="9"/>
      <c r="U2767" s="9" t="str">
        <f aca="false">IF(COUNTIF($A$2:$A$5001,A2767)&gt;1,"Duplicate","Unique")</f>
        <v>Unique</v>
      </c>
      <c r="V2767" s="9" t="str">
        <f aca="false">IF(COUNTIFS($B$2:$B$5001,B2767,$H$2:$H$5001,H2767,$J$2:$J$5001,J2767)&gt;1,"Possible Duplicate Booking","Unique")</f>
        <v>Unique</v>
      </c>
      <c r="W2767" s="9" t="str">
        <f aca="false">IF((H2767-G2767)&lt;&gt;K2767,"Mismatch","OK")</f>
        <v>OK</v>
      </c>
      <c r="X2767" s="9" t="str">
        <f aca="false">IF(TEXT(H2767,"dddd")&lt;&gt;I2767,"Mismatch","OK")</f>
        <v>OK</v>
      </c>
      <c r="Y2767" s="9" t="str">
        <f aca="false">IF(AND(N2767="No",O2767&lt;&gt;""),"Unexpected: channel present but no reminder sent",IF(AND(N2767="Yes",O2767=""),"Missing channel for sent reminder","OK"))</f>
        <v>OK</v>
      </c>
    </row>
    <row r="2768" customFormat="false" ht="15" hidden="false" customHeight="false" outlineLevel="0" collapsed="false">
      <c r="A2768" s="7" t="s">
        <v>4248</v>
      </c>
      <c r="B2768" s="7" t="s">
        <v>2890</v>
      </c>
      <c r="C2768" s="7" t="s">
        <v>37</v>
      </c>
      <c r="D2768" s="7" t="n">
        <v>45</v>
      </c>
      <c r="E2768" s="7" t="s">
        <v>56</v>
      </c>
      <c r="F2768" s="7" t="s">
        <v>39</v>
      </c>
      <c r="G2768" s="8" t="n">
        <v>45806</v>
      </c>
      <c r="H2768" s="8" t="n">
        <v>45859</v>
      </c>
      <c r="I2768" s="7" t="s">
        <v>66</v>
      </c>
      <c r="J2768" s="7" t="s">
        <v>51</v>
      </c>
      <c r="K2768" s="7" t="n">
        <v>53</v>
      </c>
      <c r="L2768" s="7" t="n">
        <v>3</v>
      </c>
      <c r="M2768" s="7" t="n">
        <v>0</v>
      </c>
      <c r="N2768" s="7" t="s">
        <v>71</v>
      </c>
      <c r="O2768" s="7"/>
      <c r="P2768" s="7" t="n">
        <v>4.2</v>
      </c>
      <c r="Q2768" s="7" t="n">
        <v>47</v>
      </c>
      <c r="R2768" s="7" t="s">
        <v>53</v>
      </c>
      <c r="S2768" s="7"/>
      <c r="T2768" s="7"/>
      <c r="U2768" s="7" t="str">
        <f aca="false">IF(COUNTIF($A$2:$A$5001,A2768)&gt;1,"Duplicate","Unique")</f>
        <v>Unique</v>
      </c>
      <c r="V2768" s="7" t="str">
        <f aca="false">IF(COUNTIFS($B$2:$B$5001,B2768,$H$2:$H$5001,H2768,$J$2:$J$5001,J2768)&gt;1,"Possible Duplicate Booking","Unique")</f>
        <v>Unique</v>
      </c>
      <c r="W2768" s="7" t="str">
        <f aca="false">IF((H2768-G2768)&lt;&gt;K2768,"Mismatch","OK")</f>
        <v>OK</v>
      </c>
      <c r="X2768" s="7" t="str">
        <f aca="false">IF(TEXT(H2768,"dddd")&lt;&gt;I2768,"Mismatch","OK")</f>
        <v>OK</v>
      </c>
      <c r="Y2768" s="7" t="str">
        <f aca="false">IF(AND(N2768="No",O2768&lt;&gt;""),"Unexpected: channel present but no reminder sent",IF(AND(N2768="Yes",O2768=""),"Missing channel for sent reminder","OK"))</f>
        <v>OK</v>
      </c>
    </row>
    <row r="2769" customFormat="false" ht="15" hidden="false" customHeight="false" outlineLevel="0" collapsed="false">
      <c r="A2769" s="9" t="s">
        <v>4249</v>
      </c>
      <c r="B2769" s="9" t="s">
        <v>1893</v>
      </c>
      <c r="C2769" s="9" t="s">
        <v>47</v>
      </c>
      <c r="D2769" s="9" t="n">
        <v>65</v>
      </c>
      <c r="E2769" s="9" t="s">
        <v>70</v>
      </c>
      <c r="F2769" s="9" t="s">
        <v>57</v>
      </c>
      <c r="G2769" s="10" t="n">
        <v>46172</v>
      </c>
      <c r="H2769" s="10" t="n">
        <v>46200</v>
      </c>
      <c r="I2769" s="9" t="s">
        <v>102</v>
      </c>
      <c r="J2769" s="9" t="s">
        <v>51</v>
      </c>
      <c r="K2769" s="9" t="n">
        <v>28</v>
      </c>
      <c r="L2769" s="9" t="n">
        <v>2</v>
      </c>
      <c r="M2769" s="9" t="n">
        <v>0</v>
      </c>
      <c r="N2769" s="9" t="s">
        <v>42</v>
      </c>
      <c r="O2769" s="9" t="s">
        <v>43</v>
      </c>
      <c r="P2769" s="9" t="n">
        <v>11.1</v>
      </c>
      <c r="Q2769" s="9" t="n">
        <v>55</v>
      </c>
      <c r="R2769" s="9" t="s">
        <v>87</v>
      </c>
      <c r="S2769" s="9"/>
      <c r="T2769" s="9"/>
      <c r="U2769" s="9" t="str">
        <f aca="false">IF(COUNTIF($A$2:$A$5001,A2769)&gt;1,"Duplicate","Unique")</f>
        <v>Unique</v>
      </c>
      <c r="V2769" s="9" t="str">
        <f aca="false">IF(COUNTIFS($B$2:$B$5001,B2769,$H$2:$H$5001,H2769,$J$2:$J$5001,J2769)&gt;1,"Possible Duplicate Booking","Unique")</f>
        <v>Unique</v>
      </c>
      <c r="W2769" s="9" t="str">
        <f aca="false">IF((H2769-G2769)&lt;&gt;K2769,"Mismatch","OK")</f>
        <v>OK</v>
      </c>
      <c r="X2769" s="9" t="str">
        <f aca="false">IF(TEXT(H2769,"dddd")&lt;&gt;I2769,"Mismatch","OK")</f>
        <v>OK</v>
      </c>
      <c r="Y2769" s="9" t="str">
        <f aca="false">IF(AND(N2769="No",O2769&lt;&gt;""),"Unexpected: channel present but no reminder sent",IF(AND(N2769="Yes",O2769=""),"Missing channel for sent reminder","OK"))</f>
        <v>OK</v>
      </c>
    </row>
    <row r="2770" customFormat="false" ht="15" hidden="false" customHeight="false" outlineLevel="0" collapsed="false">
      <c r="A2770" s="7" t="s">
        <v>4250</v>
      </c>
      <c r="B2770" s="7" t="s">
        <v>2904</v>
      </c>
      <c r="C2770" s="7" t="s">
        <v>37</v>
      </c>
      <c r="D2770" s="7" t="n">
        <v>56</v>
      </c>
      <c r="E2770" s="7" t="s">
        <v>61</v>
      </c>
      <c r="F2770" s="7" t="s">
        <v>49</v>
      </c>
      <c r="G2770" s="8" t="n">
        <v>45902</v>
      </c>
      <c r="H2770" s="8" t="n">
        <v>45919</v>
      </c>
      <c r="I2770" s="7" t="s">
        <v>50</v>
      </c>
      <c r="J2770" s="7" t="s">
        <v>51</v>
      </c>
      <c r="K2770" s="7" t="n">
        <v>17</v>
      </c>
      <c r="L2770" s="7" t="n">
        <v>2</v>
      </c>
      <c r="M2770" s="7" t="n">
        <v>0</v>
      </c>
      <c r="N2770" s="7" t="s">
        <v>71</v>
      </c>
      <c r="O2770" s="7"/>
      <c r="P2770" s="7" t="n">
        <v>17.1</v>
      </c>
      <c r="Q2770" s="7" t="n">
        <v>28</v>
      </c>
      <c r="R2770" s="7" t="s">
        <v>44</v>
      </c>
      <c r="S2770" s="7"/>
      <c r="T2770" s="7"/>
      <c r="U2770" s="7" t="str">
        <f aca="false">IF(COUNTIF($A$2:$A$5001,A2770)&gt;1,"Duplicate","Unique")</f>
        <v>Unique</v>
      </c>
      <c r="V2770" s="7" t="str">
        <f aca="false">IF(COUNTIFS($B$2:$B$5001,B2770,$H$2:$H$5001,H2770,$J$2:$J$5001,J2770)&gt;1,"Possible Duplicate Booking","Unique")</f>
        <v>Unique</v>
      </c>
      <c r="W2770" s="7" t="str">
        <f aca="false">IF((H2770-G2770)&lt;&gt;K2770,"Mismatch","OK")</f>
        <v>OK</v>
      </c>
      <c r="X2770" s="7" t="str">
        <f aca="false">IF(TEXT(H2770,"dddd")&lt;&gt;I2770,"Mismatch","OK")</f>
        <v>OK</v>
      </c>
      <c r="Y2770" s="7" t="str">
        <f aca="false">IF(AND(N2770="No",O2770&lt;&gt;""),"Unexpected: channel present but no reminder sent",IF(AND(N2770="Yes",O2770=""),"Missing channel for sent reminder","OK"))</f>
        <v>OK</v>
      </c>
    </row>
    <row r="2771" customFormat="false" ht="15" hidden="false" customHeight="false" outlineLevel="0" collapsed="false">
      <c r="A2771" s="9" t="s">
        <v>4251</v>
      </c>
      <c r="B2771" s="9" t="s">
        <v>2655</v>
      </c>
      <c r="C2771" s="9" t="s">
        <v>37</v>
      </c>
      <c r="D2771" s="9" t="n">
        <v>28</v>
      </c>
      <c r="E2771" s="9" t="s">
        <v>48</v>
      </c>
      <c r="F2771" s="9" t="s">
        <v>57</v>
      </c>
      <c r="G2771" s="10" t="n">
        <v>46122</v>
      </c>
      <c r="H2771" s="10" t="n">
        <v>46181</v>
      </c>
      <c r="I2771" s="9" t="s">
        <v>66</v>
      </c>
      <c r="J2771" s="9" t="s">
        <v>51</v>
      </c>
      <c r="K2771" s="9" t="n">
        <v>59</v>
      </c>
      <c r="L2771" s="9" t="n">
        <v>5</v>
      </c>
      <c r="M2771" s="9" t="n">
        <v>1</v>
      </c>
      <c r="N2771" s="9" t="s">
        <v>71</v>
      </c>
      <c r="O2771" s="9"/>
      <c r="P2771" s="9"/>
      <c r="Q2771" s="9" t="n">
        <v>24</v>
      </c>
      <c r="R2771" s="9" t="s">
        <v>44</v>
      </c>
      <c r="S2771" s="9"/>
      <c r="T2771" s="9"/>
      <c r="U2771" s="9" t="str">
        <f aca="false">IF(COUNTIF($A$2:$A$5001,A2771)&gt;1,"Duplicate","Unique")</f>
        <v>Unique</v>
      </c>
      <c r="V2771" s="9" t="str">
        <f aca="false">IF(COUNTIFS($B$2:$B$5001,B2771,$H$2:$H$5001,H2771,$J$2:$J$5001,J2771)&gt;1,"Possible Duplicate Booking","Unique")</f>
        <v>Unique</v>
      </c>
      <c r="W2771" s="9" t="str">
        <f aca="false">IF((H2771-G2771)&lt;&gt;K2771,"Mismatch","OK")</f>
        <v>OK</v>
      </c>
      <c r="X2771" s="9" t="str">
        <f aca="false">IF(TEXT(H2771,"dddd")&lt;&gt;I2771,"Mismatch","OK")</f>
        <v>OK</v>
      </c>
      <c r="Y2771" s="9" t="str">
        <f aca="false">IF(AND(N2771="No",O2771&lt;&gt;""),"Unexpected: channel present but no reminder sent",IF(AND(N2771="Yes",O2771=""),"Missing channel for sent reminder","OK"))</f>
        <v>OK</v>
      </c>
    </row>
    <row r="2772" customFormat="false" ht="15" hidden="false" customHeight="false" outlineLevel="0" collapsed="false">
      <c r="A2772" s="7" t="s">
        <v>4252</v>
      </c>
      <c r="B2772" s="7" t="s">
        <v>1900</v>
      </c>
      <c r="C2772" s="7" t="s">
        <v>47</v>
      </c>
      <c r="D2772" s="7" t="n">
        <v>29</v>
      </c>
      <c r="E2772" s="7" t="s">
        <v>48</v>
      </c>
      <c r="F2772" s="7" t="s">
        <v>39</v>
      </c>
      <c r="G2772" s="8" t="n">
        <v>46005</v>
      </c>
      <c r="H2772" s="8" t="n">
        <v>46018</v>
      </c>
      <c r="I2772" s="7" t="s">
        <v>102</v>
      </c>
      <c r="J2772" s="7" t="s">
        <v>51</v>
      </c>
      <c r="K2772" s="7" t="n">
        <v>13</v>
      </c>
      <c r="L2772" s="7" t="n">
        <v>4</v>
      </c>
      <c r="M2772" s="7" t="n">
        <v>0</v>
      </c>
      <c r="N2772" s="7" t="s">
        <v>42</v>
      </c>
      <c r="O2772" s="7" t="s">
        <v>52</v>
      </c>
      <c r="P2772" s="7" t="n">
        <v>28.4</v>
      </c>
      <c r="Q2772" s="7" t="n">
        <v>16</v>
      </c>
      <c r="R2772" s="7" t="s">
        <v>44</v>
      </c>
      <c r="S2772" s="7"/>
      <c r="T2772" s="7"/>
      <c r="U2772" s="7" t="str">
        <f aca="false">IF(COUNTIF($A$2:$A$5001,A2772)&gt;1,"Duplicate","Unique")</f>
        <v>Unique</v>
      </c>
      <c r="V2772" s="7" t="str">
        <f aca="false">IF(COUNTIFS($B$2:$B$5001,B2772,$H$2:$H$5001,H2772,$J$2:$J$5001,J2772)&gt;1,"Possible Duplicate Booking","Unique")</f>
        <v>Unique</v>
      </c>
      <c r="W2772" s="7" t="str">
        <f aca="false">IF((H2772-G2772)&lt;&gt;K2772,"Mismatch","OK")</f>
        <v>OK</v>
      </c>
      <c r="X2772" s="7" t="str">
        <f aca="false">IF(TEXT(H2772,"dddd")&lt;&gt;I2772,"Mismatch","OK")</f>
        <v>OK</v>
      </c>
      <c r="Y2772" s="7" t="str">
        <f aca="false">IF(AND(N2772="No",O2772&lt;&gt;""),"Unexpected: channel present but no reminder sent",IF(AND(N2772="Yes",O2772=""),"Missing channel for sent reminder","OK"))</f>
        <v>OK</v>
      </c>
    </row>
    <row r="2773" customFormat="false" ht="15" hidden="false" customHeight="false" outlineLevel="0" collapsed="false">
      <c r="A2773" s="9" t="s">
        <v>4253</v>
      </c>
      <c r="B2773" s="9" t="s">
        <v>609</v>
      </c>
      <c r="C2773" s="9" t="s">
        <v>47</v>
      </c>
      <c r="D2773" s="9" t="n">
        <v>73</v>
      </c>
      <c r="E2773" s="9" t="s">
        <v>70</v>
      </c>
      <c r="F2773" s="9" t="s">
        <v>49</v>
      </c>
      <c r="G2773" s="10" t="n">
        <v>45678</v>
      </c>
      <c r="H2773" s="10" t="n">
        <v>45680</v>
      </c>
      <c r="I2773" s="9" t="s">
        <v>62</v>
      </c>
      <c r="J2773" s="9" t="s">
        <v>41</v>
      </c>
      <c r="K2773" s="9" t="n">
        <v>2</v>
      </c>
      <c r="L2773" s="9" t="n">
        <v>7</v>
      </c>
      <c r="M2773" s="9" t="n">
        <v>2</v>
      </c>
      <c r="N2773" s="9" t="s">
        <v>71</v>
      </c>
      <c r="O2773" s="9"/>
      <c r="P2773" s="9" t="n">
        <v>6.3</v>
      </c>
      <c r="Q2773" s="9" t="n">
        <v>15</v>
      </c>
      <c r="R2773" s="9" t="s">
        <v>44</v>
      </c>
      <c r="S2773" s="9"/>
      <c r="T2773" s="9"/>
      <c r="U2773" s="9" t="str">
        <f aca="false">IF(COUNTIF($A$2:$A$5001,A2773)&gt;1,"Duplicate","Unique")</f>
        <v>Unique</v>
      </c>
      <c r="V2773" s="9" t="str">
        <f aca="false">IF(COUNTIFS($B$2:$B$5001,B2773,$H$2:$H$5001,H2773,$J$2:$J$5001,J2773)&gt;1,"Possible Duplicate Booking","Unique")</f>
        <v>Unique</v>
      </c>
      <c r="W2773" s="9" t="str">
        <f aca="false">IF((H2773-G2773)&lt;&gt;K2773,"Mismatch","OK")</f>
        <v>OK</v>
      </c>
      <c r="X2773" s="9" t="str">
        <f aca="false">IF(TEXT(H2773,"dddd")&lt;&gt;I2773,"Mismatch","OK")</f>
        <v>OK</v>
      </c>
      <c r="Y2773" s="9" t="str">
        <f aca="false">IF(AND(N2773="No",O2773&lt;&gt;""),"Unexpected: channel present but no reminder sent",IF(AND(N2773="Yes",O2773=""),"Missing channel for sent reminder","OK"))</f>
        <v>OK</v>
      </c>
    </row>
    <row r="2774" customFormat="false" ht="15" hidden="false" customHeight="false" outlineLevel="0" collapsed="false">
      <c r="A2774" s="7" t="s">
        <v>4254</v>
      </c>
      <c r="B2774" s="7" t="s">
        <v>4255</v>
      </c>
      <c r="C2774" s="7" t="s">
        <v>37</v>
      </c>
      <c r="D2774" s="7" t="n">
        <v>50</v>
      </c>
      <c r="E2774" s="7" t="s">
        <v>56</v>
      </c>
      <c r="F2774" s="7" t="s">
        <v>39</v>
      </c>
      <c r="G2774" s="8" t="n">
        <v>45734</v>
      </c>
      <c r="H2774" s="8" t="n">
        <v>45769</v>
      </c>
      <c r="I2774" s="7" t="s">
        <v>40</v>
      </c>
      <c r="J2774" s="7" t="s">
        <v>51</v>
      </c>
      <c r="K2774" s="7" t="n">
        <v>35</v>
      </c>
      <c r="L2774" s="7" t="n">
        <v>4</v>
      </c>
      <c r="M2774" s="7" t="n">
        <v>0</v>
      </c>
      <c r="N2774" s="7" t="s">
        <v>42</v>
      </c>
      <c r="O2774" s="7" t="s">
        <v>43</v>
      </c>
      <c r="P2774" s="7" t="n">
        <v>7.9</v>
      </c>
      <c r="Q2774" s="7" t="n">
        <v>14</v>
      </c>
      <c r="R2774" s="7" t="s">
        <v>53</v>
      </c>
      <c r="S2774" s="7"/>
      <c r="T2774" s="7"/>
      <c r="U2774" s="7" t="str">
        <f aca="false">IF(COUNTIF($A$2:$A$5001,A2774)&gt;1,"Duplicate","Unique")</f>
        <v>Unique</v>
      </c>
      <c r="V2774" s="7" t="str">
        <f aca="false">IF(COUNTIFS($B$2:$B$5001,B2774,$H$2:$H$5001,H2774,$J$2:$J$5001,J2774)&gt;1,"Possible Duplicate Booking","Unique")</f>
        <v>Unique</v>
      </c>
      <c r="W2774" s="7" t="str">
        <f aca="false">IF((H2774-G2774)&lt;&gt;K2774,"Mismatch","OK")</f>
        <v>OK</v>
      </c>
      <c r="X2774" s="7" t="str">
        <f aca="false">IF(TEXT(H2774,"dddd")&lt;&gt;I2774,"Mismatch","OK")</f>
        <v>OK</v>
      </c>
      <c r="Y2774" s="7" t="str">
        <f aca="false">IF(AND(N2774="No",O2774&lt;&gt;""),"Unexpected: channel present but no reminder sent",IF(AND(N2774="Yes",O2774=""),"Missing channel for sent reminder","OK"))</f>
        <v>OK</v>
      </c>
    </row>
    <row r="2775" customFormat="false" ht="15" hidden="false" customHeight="false" outlineLevel="0" collapsed="false">
      <c r="A2775" s="9" t="s">
        <v>4256</v>
      </c>
      <c r="B2775" s="9" t="s">
        <v>4222</v>
      </c>
      <c r="C2775" s="9" t="s">
        <v>37</v>
      </c>
      <c r="D2775" s="9" t="n">
        <v>35</v>
      </c>
      <c r="E2775" s="9" t="s">
        <v>38</v>
      </c>
      <c r="F2775" s="9" t="s">
        <v>57</v>
      </c>
      <c r="G2775" s="10" t="n">
        <v>45983</v>
      </c>
      <c r="H2775" s="10" t="n">
        <v>46043</v>
      </c>
      <c r="I2775" s="9" t="s">
        <v>58</v>
      </c>
      <c r="J2775" s="9" t="s">
        <v>41</v>
      </c>
      <c r="K2775" s="9" t="n">
        <v>60</v>
      </c>
      <c r="L2775" s="9" t="n">
        <v>0</v>
      </c>
      <c r="M2775" s="9" t="n">
        <v>0</v>
      </c>
      <c r="N2775" s="9" t="s">
        <v>42</v>
      </c>
      <c r="O2775" s="9" t="s">
        <v>52</v>
      </c>
      <c r="P2775" s="9" t="n">
        <v>13</v>
      </c>
      <c r="Q2775" s="9" t="n">
        <v>40</v>
      </c>
      <c r="R2775" s="9" t="s">
        <v>44</v>
      </c>
      <c r="S2775" s="9"/>
      <c r="T2775" s="9"/>
      <c r="U2775" s="9" t="str">
        <f aca="false">IF(COUNTIF($A$2:$A$5001,A2775)&gt;1,"Duplicate","Unique")</f>
        <v>Unique</v>
      </c>
      <c r="V2775" s="9" t="str">
        <f aca="false">IF(COUNTIFS($B$2:$B$5001,B2775,$H$2:$H$5001,H2775,$J$2:$J$5001,J2775)&gt;1,"Possible Duplicate Booking","Unique")</f>
        <v>Unique</v>
      </c>
      <c r="W2775" s="9" t="str">
        <f aca="false">IF((H2775-G2775)&lt;&gt;K2775,"Mismatch","OK")</f>
        <v>OK</v>
      </c>
      <c r="X2775" s="9" t="str">
        <f aca="false">IF(TEXT(H2775,"dddd")&lt;&gt;I2775,"Mismatch","OK")</f>
        <v>OK</v>
      </c>
      <c r="Y2775" s="9" t="str">
        <f aca="false">IF(AND(N2775="No",O2775&lt;&gt;""),"Unexpected: channel present but no reminder sent",IF(AND(N2775="Yes",O2775=""),"Missing channel for sent reminder","OK"))</f>
        <v>OK</v>
      </c>
    </row>
    <row r="2776" customFormat="false" ht="15" hidden="false" customHeight="false" outlineLevel="0" collapsed="false">
      <c r="A2776" s="7" t="s">
        <v>4257</v>
      </c>
      <c r="B2776" s="7" t="s">
        <v>136</v>
      </c>
      <c r="C2776" s="7" t="s">
        <v>47</v>
      </c>
      <c r="D2776" s="7" t="n">
        <v>27</v>
      </c>
      <c r="E2776" s="7" t="s">
        <v>48</v>
      </c>
      <c r="F2776" s="7" t="s">
        <v>57</v>
      </c>
      <c r="G2776" s="8" t="n">
        <v>45950</v>
      </c>
      <c r="H2776" s="8" t="n">
        <v>45955</v>
      </c>
      <c r="I2776" s="7" t="s">
        <v>102</v>
      </c>
      <c r="J2776" s="7" t="s">
        <v>41</v>
      </c>
      <c r="K2776" s="7" t="n">
        <v>5</v>
      </c>
      <c r="L2776" s="7" t="n">
        <v>5</v>
      </c>
      <c r="M2776" s="7" t="n">
        <v>1</v>
      </c>
      <c r="N2776" s="7" t="s">
        <v>42</v>
      </c>
      <c r="O2776" s="7" t="s">
        <v>52</v>
      </c>
      <c r="P2776" s="7" t="n">
        <v>6.7</v>
      </c>
      <c r="Q2776" s="7" t="n">
        <v>20</v>
      </c>
      <c r="R2776" s="7" t="s">
        <v>53</v>
      </c>
      <c r="S2776" s="7"/>
      <c r="T2776" s="7"/>
      <c r="U2776" s="7" t="str">
        <f aca="false">IF(COUNTIF($A$2:$A$5001,A2776)&gt;1,"Duplicate","Unique")</f>
        <v>Unique</v>
      </c>
      <c r="V2776" s="7" t="str">
        <f aca="false">IF(COUNTIFS($B$2:$B$5001,B2776,$H$2:$H$5001,H2776,$J$2:$J$5001,J2776)&gt;1,"Possible Duplicate Booking","Unique")</f>
        <v>Unique</v>
      </c>
      <c r="W2776" s="7" t="str">
        <f aca="false">IF((H2776-G2776)&lt;&gt;K2776,"Mismatch","OK")</f>
        <v>OK</v>
      </c>
      <c r="X2776" s="7" t="str">
        <f aca="false">IF(TEXT(H2776,"dddd")&lt;&gt;I2776,"Mismatch","OK")</f>
        <v>OK</v>
      </c>
      <c r="Y2776" s="7" t="str">
        <f aca="false">IF(AND(N2776="No",O2776&lt;&gt;""),"Unexpected: channel present but no reminder sent",IF(AND(N2776="Yes",O2776=""),"Missing channel for sent reminder","OK"))</f>
        <v>OK</v>
      </c>
    </row>
    <row r="2777" customFormat="false" ht="15" hidden="false" customHeight="false" outlineLevel="0" collapsed="false">
      <c r="A2777" s="9" t="s">
        <v>4258</v>
      </c>
      <c r="B2777" s="9" t="s">
        <v>4259</v>
      </c>
      <c r="C2777" s="9" t="s">
        <v>37</v>
      </c>
      <c r="D2777" s="9" t="n">
        <v>26</v>
      </c>
      <c r="E2777" s="9" t="s">
        <v>48</v>
      </c>
      <c r="F2777" s="9" t="s">
        <v>57</v>
      </c>
      <c r="G2777" s="10" t="n">
        <v>45771</v>
      </c>
      <c r="H2777" s="10" t="n">
        <v>45822</v>
      </c>
      <c r="I2777" s="9" t="s">
        <v>102</v>
      </c>
      <c r="J2777" s="9" t="s">
        <v>63</v>
      </c>
      <c r="K2777" s="9" t="n">
        <v>51</v>
      </c>
      <c r="L2777" s="9" t="n">
        <v>2</v>
      </c>
      <c r="M2777" s="9" t="n">
        <v>1</v>
      </c>
      <c r="N2777" s="9" t="s">
        <v>42</v>
      </c>
      <c r="O2777" s="9" t="s">
        <v>43</v>
      </c>
      <c r="P2777" s="9" t="n">
        <v>6.5</v>
      </c>
      <c r="Q2777" s="9" t="n">
        <v>48</v>
      </c>
      <c r="R2777" s="9" t="s">
        <v>44</v>
      </c>
      <c r="S2777" s="9"/>
      <c r="T2777" s="9"/>
      <c r="U2777" s="9" t="str">
        <f aca="false">IF(COUNTIF($A$2:$A$5001,A2777)&gt;1,"Duplicate","Unique")</f>
        <v>Unique</v>
      </c>
      <c r="V2777" s="9" t="str">
        <f aca="false">IF(COUNTIFS($B$2:$B$5001,B2777,$H$2:$H$5001,H2777,$J$2:$J$5001,J2777)&gt;1,"Possible Duplicate Booking","Unique")</f>
        <v>Unique</v>
      </c>
      <c r="W2777" s="9" t="str">
        <f aca="false">IF((H2777-G2777)&lt;&gt;K2777,"Mismatch","OK")</f>
        <v>OK</v>
      </c>
      <c r="X2777" s="9" t="str">
        <f aca="false">IF(TEXT(H2777,"dddd")&lt;&gt;I2777,"Mismatch","OK")</f>
        <v>OK</v>
      </c>
      <c r="Y2777" s="9" t="str">
        <f aca="false">IF(AND(N2777="No",O2777&lt;&gt;""),"Unexpected: channel present but no reminder sent",IF(AND(N2777="Yes",O2777=""),"Missing channel for sent reminder","OK"))</f>
        <v>OK</v>
      </c>
    </row>
    <row r="2778" customFormat="false" ht="15" hidden="false" customHeight="false" outlineLevel="0" collapsed="false">
      <c r="A2778" s="7" t="s">
        <v>4260</v>
      </c>
      <c r="B2778" s="7" t="s">
        <v>636</v>
      </c>
      <c r="C2778" s="7" t="s">
        <v>37</v>
      </c>
      <c r="D2778" s="7" t="n">
        <v>75</v>
      </c>
      <c r="E2778" s="7" t="s">
        <v>70</v>
      </c>
      <c r="F2778" s="7" t="s">
        <v>49</v>
      </c>
      <c r="G2778" s="8" t="n">
        <v>45893</v>
      </c>
      <c r="H2778" s="8" t="n">
        <v>45943</v>
      </c>
      <c r="I2778" s="7" t="s">
        <v>66</v>
      </c>
      <c r="J2778" s="7" t="s">
        <v>51</v>
      </c>
      <c r="K2778" s="7" t="n">
        <v>50</v>
      </c>
      <c r="L2778" s="7" t="n">
        <v>2</v>
      </c>
      <c r="M2778" s="7" t="n">
        <v>0</v>
      </c>
      <c r="N2778" s="7" t="s">
        <v>42</v>
      </c>
      <c r="O2778" s="7" t="s">
        <v>52</v>
      </c>
      <c r="P2778" s="7" t="n">
        <v>20.5</v>
      </c>
      <c r="Q2778" s="7" t="n">
        <v>14</v>
      </c>
      <c r="R2778" s="7" t="s">
        <v>44</v>
      </c>
      <c r="S2778" s="7"/>
      <c r="T2778" s="7"/>
      <c r="U2778" s="7" t="str">
        <f aca="false">IF(COUNTIF($A$2:$A$5001,A2778)&gt;1,"Duplicate","Unique")</f>
        <v>Unique</v>
      </c>
      <c r="V2778" s="7" t="str">
        <f aca="false">IF(COUNTIFS($B$2:$B$5001,B2778,$H$2:$H$5001,H2778,$J$2:$J$5001,J2778)&gt;1,"Possible Duplicate Booking","Unique")</f>
        <v>Unique</v>
      </c>
      <c r="W2778" s="7" t="str">
        <f aca="false">IF((H2778-G2778)&lt;&gt;K2778,"Mismatch","OK")</f>
        <v>OK</v>
      </c>
      <c r="X2778" s="7" t="str">
        <f aca="false">IF(TEXT(H2778,"dddd")&lt;&gt;I2778,"Mismatch","OK")</f>
        <v>OK</v>
      </c>
      <c r="Y2778" s="7" t="str">
        <f aca="false">IF(AND(N2778="No",O2778&lt;&gt;""),"Unexpected: channel present but no reminder sent",IF(AND(N2778="Yes",O2778=""),"Missing channel for sent reminder","OK"))</f>
        <v>OK</v>
      </c>
    </row>
    <row r="2779" customFormat="false" ht="15" hidden="false" customHeight="false" outlineLevel="0" collapsed="false">
      <c r="A2779" s="9" t="s">
        <v>4261</v>
      </c>
      <c r="B2779" s="9" t="s">
        <v>1171</v>
      </c>
      <c r="C2779" s="9" t="s">
        <v>37</v>
      </c>
      <c r="D2779" s="9" t="n">
        <v>79</v>
      </c>
      <c r="E2779" s="9" t="s">
        <v>70</v>
      </c>
      <c r="F2779" s="9" t="s">
        <v>39</v>
      </c>
      <c r="G2779" s="10" t="n">
        <v>46095</v>
      </c>
      <c r="H2779" s="10" t="n">
        <v>46151</v>
      </c>
      <c r="I2779" s="9" t="s">
        <v>102</v>
      </c>
      <c r="J2779" s="9" t="s">
        <v>41</v>
      </c>
      <c r="K2779" s="9" t="n">
        <v>56</v>
      </c>
      <c r="L2779" s="9" t="n">
        <v>3</v>
      </c>
      <c r="M2779" s="9" t="n">
        <v>1</v>
      </c>
      <c r="N2779" s="9" t="s">
        <v>42</v>
      </c>
      <c r="O2779" s="9" t="s">
        <v>43</v>
      </c>
      <c r="P2779" s="9" t="n">
        <v>7.9</v>
      </c>
      <c r="Q2779" s="9" t="n">
        <v>22</v>
      </c>
      <c r="R2779" s="9" t="s">
        <v>44</v>
      </c>
      <c r="S2779" s="9"/>
      <c r="T2779" s="9"/>
      <c r="U2779" s="9" t="str">
        <f aca="false">IF(COUNTIF($A$2:$A$5001,A2779)&gt;1,"Duplicate","Unique")</f>
        <v>Unique</v>
      </c>
      <c r="V2779" s="9" t="str">
        <f aca="false">IF(COUNTIFS($B$2:$B$5001,B2779,$H$2:$H$5001,H2779,$J$2:$J$5001,J2779)&gt;1,"Possible Duplicate Booking","Unique")</f>
        <v>Unique</v>
      </c>
      <c r="W2779" s="9" t="str">
        <f aca="false">IF((H2779-G2779)&lt;&gt;K2779,"Mismatch","OK")</f>
        <v>OK</v>
      </c>
      <c r="X2779" s="9" t="str">
        <f aca="false">IF(TEXT(H2779,"dddd")&lt;&gt;I2779,"Mismatch","OK")</f>
        <v>OK</v>
      </c>
      <c r="Y2779" s="9" t="str">
        <f aca="false">IF(AND(N2779="No",O2779&lt;&gt;""),"Unexpected: channel present but no reminder sent",IF(AND(N2779="Yes",O2779=""),"Missing channel for sent reminder","OK"))</f>
        <v>OK</v>
      </c>
    </row>
    <row r="2780" customFormat="false" ht="15" hidden="false" customHeight="false" outlineLevel="0" collapsed="false">
      <c r="A2780" s="7" t="s">
        <v>4262</v>
      </c>
      <c r="B2780" s="7" t="s">
        <v>260</v>
      </c>
      <c r="C2780" s="7" t="s">
        <v>37</v>
      </c>
      <c r="D2780" s="7" t="n">
        <v>42</v>
      </c>
      <c r="E2780" s="7" t="s">
        <v>38</v>
      </c>
      <c r="F2780" s="7" t="s">
        <v>57</v>
      </c>
      <c r="G2780" s="8" t="n">
        <v>45845</v>
      </c>
      <c r="H2780" s="8" t="n">
        <v>45870</v>
      </c>
      <c r="I2780" s="7" t="s">
        <v>50</v>
      </c>
      <c r="J2780" s="7" t="s">
        <v>41</v>
      </c>
      <c r="K2780" s="7" t="n">
        <v>25</v>
      </c>
      <c r="L2780" s="7" t="n">
        <v>3</v>
      </c>
      <c r="M2780" s="7" t="n">
        <v>1</v>
      </c>
      <c r="N2780" s="7" t="s">
        <v>42</v>
      </c>
      <c r="O2780" s="7" t="s">
        <v>52</v>
      </c>
      <c r="P2780" s="7" t="n">
        <v>17.2</v>
      </c>
      <c r="Q2780" s="7" t="n">
        <v>10</v>
      </c>
      <c r="R2780" s="7" t="s">
        <v>44</v>
      </c>
      <c r="S2780" s="7"/>
      <c r="T2780" s="7"/>
      <c r="U2780" s="7" t="str">
        <f aca="false">IF(COUNTIF($A$2:$A$5001,A2780)&gt;1,"Duplicate","Unique")</f>
        <v>Unique</v>
      </c>
      <c r="V2780" s="7" t="str">
        <f aca="false">IF(COUNTIFS($B$2:$B$5001,B2780,$H$2:$H$5001,H2780,$J$2:$J$5001,J2780)&gt;1,"Possible Duplicate Booking","Unique")</f>
        <v>Unique</v>
      </c>
      <c r="W2780" s="7" t="str">
        <f aca="false">IF((H2780-G2780)&lt;&gt;K2780,"Mismatch","OK")</f>
        <v>OK</v>
      </c>
      <c r="X2780" s="7" t="str">
        <f aca="false">IF(TEXT(H2780,"dddd")&lt;&gt;I2780,"Mismatch","OK")</f>
        <v>OK</v>
      </c>
      <c r="Y2780" s="7" t="str">
        <f aca="false">IF(AND(N2780="No",O2780&lt;&gt;""),"Unexpected: channel present but no reminder sent",IF(AND(N2780="Yes",O2780=""),"Missing channel for sent reminder","OK"))</f>
        <v>OK</v>
      </c>
    </row>
    <row r="2781" customFormat="false" ht="15" hidden="false" customHeight="false" outlineLevel="0" collapsed="false">
      <c r="A2781" s="9" t="s">
        <v>4263</v>
      </c>
      <c r="B2781" s="9" t="s">
        <v>1331</v>
      </c>
      <c r="C2781" s="9" t="s">
        <v>47</v>
      </c>
      <c r="D2781" s="9" t="n">
        <v>30</v>
      </c>
      <c r="E2781" s="9" t="s">
        <v>48</v>
      </c>
      <c r="F2781" s="9" t="s">
        <v>74</v>
      </c>
      <c r="G2781" s="10" t="n">
        <v>45667</v>
      </c>
      <c r="H2781" s="10" t="n">
        <v>45682</v>
      </c>
      <c r="I2781" s="9" t="s">
        <v>102</v>
      </c>
      <c r="J2781" s="9" t="s">
        <v>63</v>
      </c>
      <c r="K2781" s="9" t="n">
        <v>15</v>
      </c>
      <c r="L2781" s="9" t="n">
        <v>2</v>
      </c>
      <c r="M2781" s="9" t="n">
        <v>0</v>
      </c>
      <c r="N2781" s="9" t="s">
        <v>42</v>
      </c>
      <c r="O2781" s="9" t="s">
        <v>52</v>
      </c>
      <c r="P2781" s="9" t="n">
        <v>4.6</v>
      </c>
      <c r="Q2781" s="9" t="n">
        <v>30</v>
      </c>
      <c r="R2781" s="9" t="s">
        <v>53</v>
      </c>
      <c r="S2781" s="9"/>
      <c r="T2781" s="9"/>
      <c r="U2781" s="9" t="str">
        <f aca="false">IF(COUNTIF($A$2:$A$5001,A2781)&gt;1,"Duplicate","Unique")</f>
        <v>Unique</v>
      </c>
      <c r="V2781" s="9" t="str">
        <f aca="false">IF(COUNTIFS($B$2:$B$5001,B2781,$H$2:$H$5001,H2781,$J$2:$J$5001,J2781)&gt;1,"Possible Duplicate Booking","Unique")</f>
        <v>Unique</v>
      </c>
      <c r="W2781" s="9" t="str">
        <f aca="false">IF((H2781-G2781)&lt;&gt;K2781,"Mismatch","OK")</f>
        <v>OK</v>
      </c>
      <c r="X2781" s="9" t="str">
        <f aca="false">IF(TEXT(H2781,"dddd")&lt;&gt;I2781,"Mismatch","OK")</f>
        <v>OK</v>
      </c>
      <c r="Y2781" s="9" t="str">
        <f aca="false">IF(AND(N2781="No",O2781&lt;&gt;""),"Unexpected: channel present but no reminder sent",IF(AND(N2781="Yes",O2781=""),"Missing channel for sent reminder","OK"))</f>
        <v>OK</v>
      </c>
    </row>
    <row r="2782" customFormat="false" ht="15" hidden="false" customHeight="false" outlineLevel="0" collapsed="false">
      <c r="A2782" s="7" t="s">
        <v>4264</v>
      </c>
      <c r="B2782" s="7" t="s">
        <v>1046</v>
      </c>
      <c r="C2782" s="7" t="s">
        <v>37</v>
      </c>
      <c r="D2782" s="7" t="n">
        <v>44</v>
      </c>
      <c r="E2782" s="7" t="s">
        <v>38</v>
      </c>
      <c r="F2782" s="7" t="s">
        <v>39</v>
      </c>
      <c r="G2782" s="8" t="n">
        <v>45796</v>
      </c>
      <c r="H2782" s="8" t="n">
        <v>45827</v>
      </c>
      <c r="I2782" s="7" t="s">
        <v>62</v>
      </c>
      <c r="J2782" s="7" t="s">
        <v>41</v>
      </c>
      <c r="K2782" s="7" t="n">
        <v>31</v>
      </c>
      <c r="L2782" s="7" t="n">
        <v>1</v>
      </c>
      <c r="M2782" s="7" t="n">
        <v>0</v>
      </c>
      <c r="N2782" s="7" t="s">
        <v>42</v>
      </c>
      <c r="O2782" s="7" t="s">
        <v>43</v>
      </c>
      <c r="P2782" s="7" t="n">
        <v>7.8</v>
      </c>
      <c r="Q2782" s="7" t="n">
        <v>22</v>
      </c>
      <c r="R2782" s="7" t="s">
        <v>53</v>
      </c>
      <c r="S2782" s="7"/>
      <c r="T2782" s="7"/>
      <c r="U2782" s="7" t="str">
        <f aca="false">IF(COUNTIF($A$2:$A$5001,A2782)&gt;1,"Duplicate","Unique")</f>
        <v>Unique</v>
      </c>
      <c r="V2782" s="7" t="str">
        <f aca="false">IF(COUNTIFS($B$2:$B$5001,B2782,$H$2:$H$5001,H2782,$J$2:$J$5001,J2782)&gt;1,"Possible Duplicate Booking","Unique")</f>
        <v>Unique</v>
      </c>
      <c r="W2782" s="7" t="str">
        <f aca="false">IF((H2782-G2782)&lt;&gt;K2782,"Mismatch","OK")</f>
        <v>OK</v>
      </c>
      <c r="X2782" s="7" t="str">
        <f aca="false">IF(TEXT(H2782,"dddd")&lt;&gt;I2782,"Mismatch","OK")</f>
        <v>OK</v>
      </c>
      <c r="Y2782" s="7" t="str">
        <f aca="false">IF(AND(N2782="No",O2782&lt;&gt;""),"Unexpected: channel present but no reminder sent",IF(AND(N2782="Yes",O2782=""),"Missing channel for sent reminder","OK"))</f>
        <v>OK</v>
      </c>
    </row>
    <row r="2783" customFormat="false" ht="15" hidden="false" customHeight="false" outlineLevel="0" collapsed="false">
      <c r="A2783" s="9" t="s">
        <v>4265</v>
      </c>
      <c r="B2783" s="9" t="s">
        <v>3318</v>
      </c>
      <c r="C2783" s="9" t="s">
        <v>47</v>
      </c>
      <c r="D2783" s="9" t="n">
        <v>26</v>
      </c>
      <c r="E2783" s="9" t="s">
        <v>48</v>
      </c>
      <c r="F2783" s="9" t="s">
        <v>49</v>
      </c>
      <c r="G2783" s="10" t="n">
        <v>46160</v>
      </c>
      <c r="H2783" s="10" t="n">
        <v>46168</v>
      </c>
      <c r="I2783" s="9" t="s">
        <v>40</v>
      </c>
      <c r="J2783" s="9" t="s">
        <v>51</v>
      </c>
      <c r="K2783" s="9" t="n">
        <v>8</v>
      </c>
      <c r="L2783" s="9" t="n">
        <v>4</v>
      </c>
      <c r="M2783" s="9" t="n">
        <v>1</v>
      </c>
      <c r="N2783" s="9" t="s">
        <v>42</v>
      </c>
      <c r="O2783" s="9" t="s">
        <v>52</v>
      </c>
      <c r="P2783" s="9" t="n">
        <v>7.6</v>
      </c>
      <c r="Q2783" s="9" t="n">
        <v>24</v>
      </c>
      <c r="R2783" s="9" t="s">
        <v>53</v>
      </c>
      <c r="S2783" s="9"/>
      <c r="T2783" s="9"/>
      <c r="U2783" s="9" t="str">
        <f aca="false">IF(COUNTIF($A$2:$A$5001,A2783)&gt;1,"Duplicate","Unique")</f>
        <v>Unique</v>
      </c>
      <c r="V2783" s="9" t="str">
        <f aca="false">IF(COUNTIFS($B$2:$B$5001,B2783,$H$2:$H$5001,H2783,$J$2:$J$5001,J2783)&gt;1,"Possible Duplicate Booking","Unique")</f>
        <v>Unique</v>
      </c>
      <c r="W2783" s="9" t="str">
        <f aca="false">IF((H2783-G2783)&lt;&gt;K2783,"Mismatch","OK")</f>
        <v>OK</v>
      </c>
      <c r="X2783" s="9" t="str">
        <f aca="false">IF(TEXT(H2783,"dddd")&lt;&gt;I2783,"Mismatch","OK")</f>
        <v>OK</v>
      </c>
      <c r="Y2783" s="9" t="str">
        <f aca="false">IF(AND(N2783="No",O2783&lt;&gt;""),"Unexpected: channel present but no reminder sent",IF(AND(N2783="Yes",O2783=""),"Missing channel for sent reminder","OK"))</f>
        <v>OK</v>
      </c>
    </row>
    <row r="2784" customFormat="false" ht="15" hidden="false" customHeight="false" outlineLevel="0" collapsed="false">
      <c r="A2784" s="7" t="s">
        <v>4266</v>
      </c>
      <c r="B2784" s="7" t="s">
        <v>4267</v>
      </c>
      <c r="C2784" s="7" t="s">
        <v>47</v>
      </c>
      <c r="D2784" s="7" t="n">
        <v>52</v>
      </c>
      <c r="E2784" s="7" t="s">
        <v>56</v>
      </c>
      <c r="F2784" s="7" t="s">
        <v>39</v>
      </c>
      <c r="G2784" s="8" t="n">
        <v>46022</v>
      </c>
      <c r="H2784" s="8" t="n">
        <v>46073</v>
      </c>
      <c r="I2784" s="7" t="s">
        <v>50</v>
      </c>
      <c r="J2784" s="7" t="s">
        <v>63</v>
      </c>
      <c r="K2784" s="7" t="n">
        <v>51</v>
      </c>
      <c r="L2784" s="7" t="n">
        <v>5</v>
      </c>
      <c r="M2784" s="7" t="n">
        <v>0</v>
      </c>
      <c r="N2784" s="7" t="s">
        <v>42</v>
      </c>
      <c r="O2784" s="7" t="s">
        <v>52</v>
      </c>
      <c r="P2784" s="7" t="n">
        <v>8</v>
      </c>
      <c r="Q2784" s="7" t="n">
        <v>21</v>
      </c>
      <c r="R2784" s="7" t="s">
        <v>53</v>
      </c>
      <c r="S2784" s="7"/>
      <c r="T2784" s="7"/>
      <c r="U2784" s="7" t="str">
        <f aca="false">IF(COUNTIF($A$2:$A$5001,A2784)&gt;1,"Duplicate","Unique")</f>
        <v>Unique</v>
      </c>
      <c r="V2784" s="7" t="str">
        <f aca="false">IF(COUNTIFS($B$2:$B$5001,B2784,$H$2:$H$5001,H2784,$J$2:$J$5001,J2784)&gt;1,"Possible Duplicate Booking","Unique")</f>
        <v>Unique</v>
      </c>
      <c r="W2784" s="7" t="str">
        <f aca="false">IF((H2784-G2784)&lt;&gt;K2784,"Mismatch","OK")</f>
        <v>OK</v>
      </c>
      <c r="X2784" s="7" t="str">
        <f aca="false">IF(TEXT(H2784,"dddd")&lt;&gt;I2784,"Mismatch","OK")</f>
        <v>OK</v>
      </c>
      <c r="Y2784" s="7" t="str">
        <f aca="false">IF(AND(N2784="No",O2784&lt;&gt;""),"Unexpected: channel present but no reminder sent",IF(AND(N2784="Yes",O2784=""),"Missing channel for sent reminder","OK"))</f>
        <v>OK</v>
      </c>
    </row>
    <row r="2785" customFormat="false" ht="15" hidden="false" customHeight="false" outlineLevel="0" collapsed="false">
      <c r="A2785" s="9" t="s">
        <v>4268</v>
      </c>
      <c r="B2785" s="9" t="s">
        <v>1518</v>
      </c>
      <c r="C2785" s="9" t="s">
        <v>37</v>
      </c>
      <c r="D2785" s="9" t="n">
        <v>57</v>
      </c>
      <c r="E2785" s="9" t="s">
        <v>61</v>
      </c>
      <c r="F2785" s="9" t="s">
        <v>74</v>
      </c>
      <c r="G2785" s="10" t="n">
        <v>46075</v>
      </c>
      <c r="H2785" s="10" t="n">
        <v>46115</v>
      </c>
      <c r="I2785" s="9" t="s">
        <v>50</v>
      </c>
      <c r="J2785" s="9" t="s">
        <v>41</v>
      </c>
      <c r="K2785" s="9" t="n">
        <v>40</v>
      </c>
      <c r="L2785" s="9" t="n">
        <v>5</v>
      </c>
      <c r="M2785" s="9" t="n">
        <v>0</v>
      </c>
      <c r="N2785" s="9" t="s">
        <v>42</v>
      </c>
      <c r="O2785" s="9" t="s">
        <v>52</v>
      </c>
      <c r="P2785" s="9" t="n">
        <v>4.6</v>
      </c>
      <c r="Q2785" s="9" t="n">
        <v>30</v>
      </c>
      <c r="R2785" s="9" t="s">
        <v>53</v>
      </c>
      <c r="S2785" s="9"/>
      <c r="T2785" s="9"/>
      <c r="U2785" s="9" t="str">
        <f aca="false">IF(COUNTIF($A$2:$A$5001,A2785)&gt;1,"Duplicate","Unique")</f>
        <v>Unique</v>
      </c>
      <c r="V2785" s="9" t="str">
        <f aca="false">IF(COUNTIFS($B$2:$B$5001,B2785,$H$2:$H$5001,H2785,$J$2:$J$5001,J2785)&gt;1,"Possible Duplicate Booking","Unique")</f>
        <v>Unique</v>
      </c>
      <c r="W2785" s="9" t="str">
        <f aca="false">IF((H2785-G2785)&lt;&gt;K2785,"Mismatch","OK")</f>
        <v>OK</v>
      </c>
      <c r="X2785" s="9" t="str">
        <f aca="false">IF(TEXT(H2785,"dddd")&lt;&gt;I2785,"Mismatch","OK")</f>
        <v>OK</v>
      </c>
      <c r="Y2785" s="9" t="str">
        <f aca="false">IF(AND(N2785="No",O2785&lt;&gt;""),"Unexpected: channel present but no reminder sent",IF(AND(N2785="Yes",O2785=""),"Missing channel for sent reminder","OK"))</f>
        <v>OK</v>
      </c>
    </row>
    <row r="2786" customFormat="false" ht="15" hidden="false" customHeight="false" outlineLevel="0" collapsed="false">
      <c r="A2786" s="7" t="s">
        <v>4269</v>
      </c>
      <c r="B2786" s="7" t="s">
        <v>178</v>
      </c>
      <c r="C2786" s="7" t="s">
        <v>47</v>
      </c>
      <c r="D2786" s="7" t="n">
        <v>80</v>
      </c>
      <c r="E2786" s="7" t="s">
        <v>70</v>
      </c>
      <c r="F2786" s="7" t="s">
        <v>57</v>
      </c>
      <c r="G2786" s="8" t="n">
        <v>46126</v>
      </c>
      <c r="H2786" s="8" t="n">
        <v>46155</v>
      </c>
      <c r="I2786" s="7" t="s">
        <v>58</v>
      </c>
      <c r="J2786" s="7" t="s">
        <v>51</v>
      </c>
      <c r="K2786" s="7" t="n">
        <v>29</v>
      </c>
      <c r="L2786" s="7" t="n">
        <v>6</v>
      </c>
      <c r="M2786" s="7" t="n">
        <v>1</v>
      </c>
      <c r="N2786" s="7" t="s">
        <v>42</v>
      </c>
      <c r="O2786" s="7" t="s">
        <v>52</v>
      </c>
      <c r="P2786" s="7" t="n">
        <v>7.2</v>
      </c>
      <c r="Q2786" s="7" t="n">
        <v>31</v>
      </c>
      <c r="R2786" s="7" t="s">
        <v>53</v>
      </c>
      <c r="S2786" s="7"/>
      <c r="T2786" s="7"/>
      <c r="U2786" s="7" t="str">
        <f aca="false">IF(COUNTIF($A$2:$A$5001,A2786)&gt;1,"Duplicate","Unique")</f>
        <v>Unique</v>
      </c>
      <c r="V2786" s="7" t="str">
        <f aca="false">IF(COUNTIFS($B$2:$B$5001,B2786,$H$2:$H$5001,H2786,$J$2:$J$5001,J2786)&gt;1,"Possible Duplicate Booking","Unique")</f>
        <v>Unique</v>
      </c>
      <c r="W2786" s="7" t="str">
        <f aca="false">IF((H2786-G2786)&lt;&gt;K2786,"Mismatch","OK")</f>
        <v>OK</v>
      </c>
      <c r="X2786" s="7" t="str">
        <f aca="false">IF(TEXT(H2786,"dddd")&lt;&gt;I2786,"Mismatch","OK")</f>
        <v>OK</v>
      </c>
      <c r="Y2786" s="7" t="str">
        <f aca="false">IF(AND(N2786="No",O2786&lt;&gt;""),"Unexpected: channel present but no reminder sent",IF(AND(N2786="Yes",O2786=""),"Missing channel for sent reminder","OK"))</f>
        <v>OK</v>
      </c>
    </row>
    <row r="2787" customFormat="false" ht="15" hidden="false" customHeight="false" outlineLevel="0" collapsed="false">
      <c r="A2787" s="9" t="s">
        <v>4270</v>
      </c>
      <c r="B2787" s="9" t="s">
        <v>4119</v>
      </c>
      <c r="C2787" s="9" t="s">
        <v>37</v>
      </c>
      <c r="D2787" s="9" t="n">
        <v>38</v>
      </c>
      <c r="E2787" s="9" t="s">
        <v>38</v>
      </c>
      <c r="F2787" s="9" t="s">
        <v>57</v>
      </c>
      <c r="G2787" s="10" t="n">
        <v>45691</v>
      </c>
      <c r="H2787" s="10" t="n">
        <v>45722</v>
      </c>
      <c r="I2787" s="9" t="s">
        <v>62</v>
      </c>
      <c r="J2787" s="9" t="s">
        <v>51</v>
      </c>
      <c r="K2787" s="9" t="n">
        <v>31</v>
      </c>
      <c r="L2787" s="9" t="n">
        <v>2</v>
      </c>
      <c r="M2787" s="9" t="n">
        <v>1</v>
      </c>
      <c r="N2787" s="9" t="s">
        <v>71</v>
      </c>
      <c r="O2787" s="9"/>
      <c r="P2787" s="9" t="n">
        <v>9.5</v>
      </c>
      <c r="Q2787" s="9" t="n">
        <v>33</v>
      </c>
      <c r="R2787" s="9" t="s">
        <v>44</v>
      </c>
      <c r="S2787" s="9"/>
      <c r="T2787" s="9"/>
      <c r="U2787" s="9" t="str">
        <f aca="false">IF(COUNTIF($A$2:$A$5001,A2787)&gt;1,"Duplicate","Unique")</f>
        <v>Unique</v>
      </c>
      <c r="V2787" s="9" t="str">
        <f aca="false">IF(COUNTIFS($B$2:$B$5001,B2787,$H$2:$H$5001,H2787,$J$2:$J$5001,J2787)&gt;1,"Possible Duplicate Booking","Unique")</f>
        <v>Unique</v>
      </c>
      <c r="W2787" s="9" t="str">
        <f aca="false">IF((H2787-G2787)&lt;&gt;K2787,"Mismatch","OK")</f>
        <v>OK</v>
      </c>
      <c r="X2787" s="9" t="str">
        <f aca="false">IF(TEXT(H2787,"dddd")&lt;&gt;I2787,"Mismatch","OK")</f>
        <v>OK</v>
      </c>
      <c r="Y2787" s="9" t="str">
        <f aca="false">IF(AND(N2787="No",O2787&lt;&gt;""),"Unexpected: channel present but no reminder sent",IF(AND(N2787="Yes",O2787=""),"Missing channel for sent reminder","OK"))</f>
        <v>OK</v>
      </c>
    </row>
    <row r="2788" customFormat="false" ht="15" hidden="false" customHeight="false" outlineLevel="0" collapsed="false">
      <c r="A2788" s="7" t="s">
        <v>4271</v>
      </c>
      <c r="B2788" s="7" t="s">
        <v>4272</v>
      </c>
      <c r="C2788" s="7" t="s">
        <v>47</v>
      </c>
      <c r="D2788" s="7" t="n">
        <v>30</v>
      </c>
      <c r="E2788" s="7" t="s">
        <v>48</v>
      </c>
      <c r="F2788" s="7" t="s">
        <v>74</v>
      </c>
      <c r="G2788" s="8" t="n">
        <v>45769</v>
      </c>
      <c r="H2788" s="8" t="n">
        <v>45812</v>
      </c>
      <c r="I2788" s="7" t="s">
        <v>58</v>
      </c>
      <c r="J2788" s="7" t="s">
        <v>63</v>
      </c>
      <c r="K2788" s="7" t="n">
        <v>43</v>
      </c>
      <c r="L2788" s="7" t="n">
        <v>3</v>
      </c>
      <c r="M2788" s="7" t="n">
        <v>1</v>
      </c>
      <c r="N2788" s="7" t="s">
        <v>42</v>
      </c>
      <c r="O2788" s="7" t="s">
        <v>67</v>
      </c>
      <c r="P2788" s="7" t="n">
        <v>2.3</v>
      </c>
      <c r="Q2788" s="7" t="n">
        <v>14</v>
      </c>
      <c r="R2788" s="7" t="s">
        <v>44</v>
      </c>
      <c r="S2788" s="7"/>
      <c r="T2788" s="7"/>
      <c r="U2788" s="7" t="str">
        <f aca="false">IF(COUNTIF($A$2:$A$5001,A2788)&gt;1,"Duplicate","Unique")</f>
        <v>Unique</v>
      </c>
      <c r="V2788" s="7" t="str">
        <f aca="false">IF(COUNTIFS($B$2:$B$5001,B2788,$H$2:$H$5001,H2788,$J$2:$J$5001,J2788)&gt;1,"Possible Duplicate Booking","Unique")</f>
        <v>Unique</v>
      </c>
      <c r="W2788" s="7" t="str">
        <f aca="false">IF((H2788-G2788)&lt;&gt;K2788,"Mismatch","OK")</f>
        <v>OK</v>
      </c>
      <c r="X2788" s="7" t="str">
        <f aca="false">IF(TEXT(H2788,"dddd")&lt;&gt;I2788,"Mismatch","OK")</f>
        <v>OK</v>
      </c>
      <c r="Y2788" s="7" t="str">
        <f aca="false">IF(AND(N2788="No",O2788&lt;&gt;""),"Unexpected: channel present but no reminder sent",IF(AND(N2788="Yes",O2788=""),"Missing channel for sent reminder","OK"))</f>
        <v>OK</v>
      </c>
    </row>
    <row r="2789" customFormat="false" ht="15" hidden="false" customHeight="false" outlineLevel="0" collapsed="false">
      <c r="A2789" s="9" t="s">
        <v>4273</v>
      </c>
      <c r="B2789" s="9" t="s">
        <v>1169</v>
      </c>
      <c r="C2789" s="9" t="s">
        <v>47</v>
      </c>
      <c r="D2789" s="9" t="n">
        <v>26</v>
      </c>
      <c r="E2789" s="9" t="s">
        <v>48</v>
      </c>
      <c r="F2789" s="9" t="s">
        <v>74</v>
      </c>
      <c r="G2789" s="10" t="n">
        <v>45659</v>
      </c>
      <c r="H2789" s="10" t="n">
        <v>45690</v>
      </c>
      <c r="I2789" s="9" t="s">
        <v>75</v>
      </c>
      <c r="J2789" s="9" t="s">
        <v>51</v>
      </c>
      <c r="K2789" s="9" t="n">
        <v>31</v>
      </c>
      <c r="L2789" s="9" t="n">
        <v>0</v>
      </c>
      <c r="M2789" s="9" t="n">
        <v>0</v>
      </c>
      <c r="N2789" s="9" t="s">
        <v>42</v>
      </c>
      <c r="O2789" s="9" t="s">
        <v>52</v>
      </c>
      <c r="P2789" s="9" t="n">
        <v>6.4</v>
      </c>
      <c r="Q2789" s="9" t="n">
        <v>28</v>
      </c>
      <c r="R2789" s="9" t="s">
        <v>53</v>
      </c>
      <c r="S2789" s="9"/>
      <c r="T2789" s="9"/>
      <c r="U2789" s="9" t="str">
        <f aca="false">IF(COUNTIF($A$2:$A$5001,A2789)&gt;1,"Duplicate","Unique")</f>
        <v>Unique</v>
      </c>
      <c r="V2789" s="9" t="str">
        <f aca="false">IF(COUNTIFS($B$2:$B$5001,B2789,$H$2:$H$5001,H2789,$J$2:$J$5001,J2789)&gt;1,"Possible Duplicate Booking","Unique")</f>
        <v>Unique</v>
      </c>
      <c r="W2789" s="9" t="str">
        <f aca="false">IF((H2789-G2789)&lt;&gt;K2789,"Mismatch","OK")</f>
        <v>OK</v>
      </c>
      <c r="X2789" s="9" t="str">
        <f aca="false">IF(TEXT(H2789,"dddd")&lt;&gt;I2789,"Mismatch","OK")</f>
        <v>OK</v>
      </c>
      <c r="Y2789" s="9" t="str">
        <f aca="false">IF(AND(N2789="No",O2789&lt;&gt;""),"Unexpected: channel present but no reminder sent",IF(AND(N2789="Yes",O2789=""),"Missing channel for sent reminder","OK"))</f>
        <v>OK</v>
      </c>
    </row>
    <row r="2790" customFormat="false" ht="15" hidden="false" customHeight="false" outlineLevel="0" collapsed="false">
      <c r="A2790" s="7" t="s">
        <v>4274</v>
      </c>
      <c r="B2790" s="7" t="s">
        <v>1844</v>
      </c>
      <c r="C2790" s="7" t="s">
        <v>47</v>
      </c>
      <c r="D2790" s="7" t="n">
        <v>41</v>
      </c>
      <c r="E2790" s="7" t="s">
        <v>38</v>
      </c>
      <c r="F2790" s="7" t="s">
        <v>39</v>
      </c>
      <c r="G2790" s="8" t="n">
        <v>45609</v>
      </c>
      <c r="H2790" s="8" t="n">
        <v>45660</v>
      </c>
      <c r="I2790" s="7" t="s">
        <v>50</v>
      </c>
      <c r="J2790" s="7" t="s">
        <v>41</v>
      </c>
      <c r="K2790" s="7" t="n">
        <v>51</v>
      </c>
      <c r="L2790" s="7" t="n">
        <v>4</v>
      </c>
      <c r="M2790" s="7" t="n">
        <v>0</v>
      </c>
      <c r="N2790" s="7" t="s">
        <v>42</v>
      </c>
      <c r="O2790" s="7" t="s">
        <v>52</v>
      </c>
      <c r="P2790" s="7" t="n">
        <v>13</v>
      </c>
      <c r="Q2790" s="7" t="n">
        <v>19</v>
      </c>
      <c r="R2790" s="7" t="s">
        <v>44</v>
      </c>
      <c r="S2790" s="7"/>
      <c r="T2790" s="7"/>
      <c r="U2790" s="7" t="str">
        <f aca="false">IF(COUNTIF($A$2:$A$5001,A2790)&gt;1,"Duplicate","Unique")</f>
        <v>Unique</v>
      </c>
      <c r="V2790" s="7" t="str">
        <f aca="false">IF(COUNTIFS($B$2:$B$5001,B2790,$H$2:$H$5001,H2790,$J$2:$J$5001,J2790)&gt;1,"Possible Duplicate Booking","Unique")</f>
        <v>Unique</v>
      </c>
      <c r="W2790" s="7" t="str">
        <f aca="false">IF((H2790-G2790)&lt;&gt;K2790,"Mismatch","OK")</f>
        <v>OK</v>
      </c>
      <c r="X2790" s="7" t="str">
        <f aca="false">IF(TEXT(H2790,"dddd")&lt;&gt;I2790,"Mismatch","OK")</f>
        <v>OK</v>
      </c>
      <c r="Y2790" s="7" t="str">
        <f aca="false">IF(AND(N2790="No",O2790&lt;&gt;""),"Unexpected: channel present but no reminder sent",IF(AND(N2790="Yes",O2790=""),"Missing channel for sent reminder","OK"))</f>
        <v>OK</v>
      </c>
    </row>
    <row r="2791" customFormat="false" ht="15" hidden="false" customHeight="false" outlineLevel="0" collapsed="false">
      <c r="A2791" s="9" t="s">
        <v>4275</v>
      </c>
      <c r="B2791" s="9" t="s">
        <v>150</v>
      </c>
      <c r="C2791" s="9" t="s">
        <v>37</v>
      </c>
      <c r="D2791" s="9" t="n">
        <v>55</v>
      </c>
      <c r="E2791" s="9" t="s">
        <v>61</v>
      </c>
      <c r="F2791" s="9" t="s">
        <v>57</v>
      </c>
      <c r="G2791" s="10" t="n">
        <v>46057</v>
      </c>
      <c r="H2791" s="10" t="n">
        <v>46113</v>
      </c>
      <c r="I2791" s="9" t="s">
        <v>58</v>
      </c>
      <c r="J2791" s="9" t="s">
        <v>51</v>
      </c>
      <c r="K2791" s="9" t="n">
        <v>56</v>
      </c>
      <c r="L2791" s="9" t="n">
        <v>3</v>
      </c>
      <c r="M2791" s="9" t="n">
        <v>1</v>
      </c>
      <c r="N2791" s="9" t="s">
        <v>42</v>
      </c>
      <c r="O2791" s="9" t="s">
        <v>52</v>
      </c>
      <c r="P2791" s="9" t="n">
        <v>5.7</v>
      </c>
      <c r="Q2791" s="9" t="n">
        <v>39</v>
      </c>
      <c r="R2791" s="9" t="s">
        <v>44</v>
      </c>
      <c r="S2791" s="9"/>
      <c r="T2791" s="9"/>
      <c r="U2791" s="9" t="str">
        <f aca="false">IF(COUNTIF($A$2:$A$5001,A2791)&gt;1,"Duplicate","Unique")</f>
        <v>Unique</v>
      </c>
      <c r="V2791" s="9" t="str">
        <f aca="false">IF(COUNTIFS($B$2:$B$5001,B2791,$H$2:$H$5001,H2791,$J$2:$J$5001,J2791)&gt;1,"Possible Duplicate Booking","Unique")</f>
        <v>Unique</v>
      </c>
      <c r="W2791" s="9" t="str">
        <f aca="false">IF((H2791-G2791)&lt;&gt;K2791,"Mismatch","OK")</f>
        <v>OK</v>
      </c>
      <c r="X2791" s="9" t="str">
        <f aca="false">IF(TEXT(H2791,"dddd")&lt;&gt;I2791,"Mismatch","OK")</f>
        <v>OK</v>
      </c>
      <c r="Y2791" s="9" t="str">
        <f aca="false">IF(AND(N2791="No",O2791&lt;&gt;""),"Unexpected: channel present but no reminder sent",IF(AND(N2791="Yes",O2791=""),"Missing channel for sent reminder","OK"))</f>
        <v>OK</v>
      </c>
    </row>
    <row r="2792" customFormat="false" ht="15" hidden="false" customHeight="false" outlineLevel="0" collapsed="false">
      <c r="A2792" s="7" t="s">
        <v>4276</v>
      </c>
      <c r="B2792" s="7" t="s">
        <v>399</v>
      </c>
      <c r="C2792" s="7" t="s">
        <v>47</v>
      </c>
      <c r="D2792" s="7" t="n">
        <v>22</v>
      </c>
      <c r="E2792" s="7" t="s">
        <v>82</v>
      </c>
      <c r="F2792" s="7" t="s">
        <v>57</v>
      </c>
      <c r="G2792" s="8" t="n">
        <v>46112</v>
      </c>
      <c r="H2792" s="8" t="n">
        <v>46169</v>
      </c>
      <c r="I2792" s="7" t="s">
        <v>58</v>
      </c>
      <c r="J2792" s="7" t="s">
        <v>41</v>
      </c>
      <c r="K2792" s="7" t="n">
        <v>57</v>
      </c>
      <c r="L2792" s="7" t="n">
        <v>2</v>
      </c>
      <c r="M2792" s="7" t="n">
        <v>0</v>
      </c>
      <c r="N2792" s="7" t="s">
        <v>71</v>
      </c>
      <c r="O2792" s="7"/>
      <c r="P2792" s="7" t="n">
        <v>10.9</v>
      </c>
      <c r="Q2792" s="7" t="n">
        <v>27</v>
      </c>
      <c r="R2792" s="7" t="s">
        <v>53</v>
      </c>
      <c r="S2792" s="7"/>
      <c r="T2792" s="7"/>
      <c r="U2792" s="7" t="str">
        <f aca="false">IF(COUNTIF($A$2:$A$5001,A2792)&gt;1,"Duplicate","Unique")</f>
        <v>Unique</v>
      </c>
      <c r="V2792" s="7" t="str">
        <f aca="false">IF(COUNTIFS($B$2:$B$5001,B2792,$H$2:$H$5001,H2792,$J$2:$J$5001,J2792)&gt;1,"Possible Duplicate Booking","Unique")</f>
        <v>Unique</v>
      </c>
      <c r="W2792" s="7" t="str">
        <f aca="false">IF((H2792-G2792)&lt;&gt;K2792,"Mismatch","OK")</f>
        <v>OK</v>
      </c>
      <c r="X2792" s="7" t="str">
        <f aca="false">IF(TEXT(H2792,"dddd")&lt;&gt;I2792,"Mismatch","OK")</f>
        <v>OK</v>
      </c>
      <c r="Y2792" s="7" t="str">
        <f aca="false">IF(AND(N2792="No",O2792&lt;&gt;""),"Unexpected: channel present but no reminder sent",IF(AND(N2792="Yes",O2792=""),"Missing channel for sent reminder","OK"))</f>
        <v>OK</v>
      </c>
    </row>
    <row r="2793" customFormat="false" ht="15" hidden="false" customHeight="false" outlineLevel="0" collapsed="false">
      <c r="A2793" s="9" t="s">
        <v>4277</v>
      </c>
      <c r="B2793" s="9" t="s">
        <v>867</v>
      </c>
      <c r="C2793" s="9" t="s">
        <v>47</v>
      </c>
      <c r="D2793" s="9" t="n">
        <v>65</v>
      </c>
      <c r="E2793" s="9" t="s">
        <v>70</v>
      </c>
      <c r="F2793" s="9" t="s">
        <v>49</v>
      </c>
      <c r="G2793" s="10" t="n">
        <v>45706</v>
      </c>
      <c r="H2793" s="10" t="n">
        <v>45743</v>
      </c>
      <c r="I2793" s="9" t="s">
        <v>62</v>
      </c>
      <c r="J2793" s="9" t="s">
        <v>51</v>
      </c>
      <c r="K2793" s="9" t="n">
        <v>37</v>
      </c>
      <c r="L2793" s="9" t="n">
        <v>2</v>
      </c>
      <c r="M2793" s="9" t="n">
        <v>2</v>
      </c>
      <c r="N2793" s="9" t="s">
        <v>42</v>
      </c>
      <c r="O2793" s="9" t="s">
        <v>52</v>
      </c>
      <c r="P2793" s="9" t="n">
        <v>5.4</v>
      </c>
      <c r="Q2793" s="9" t="n">
        <v>27</v>
      </c>
      <c r="R2793" s="9" t="s">
        <v>44</v>
      </c>
      <c r="S2793" s="9"/>
      <c r="T2793" s="9"/>
      <c r="U2793" s="9" t="str">
        <f aca="false">IF(COUNTIF($A$2:$A$5001,A2793)&gt;1,"Duplicate","Unique")</f>
        <v>Unique</v>
      </c>
      <c r="V2793" s="9" t="str">
        <f aca="false">IF(COUNTIFS($B$2:$B$5001,B2793,$H$2:$H$5001,H2793,$J$2:$J$5001,J2793)&gt;1,"Possible Duplicate Booking","Unique")</f>
        <v>Unique</v>
      </c>
      <c r="W2793" s="9" t="str">
        <f aca="false">IF((H2793-G2793)&lt;&gt;K2793,"Mismatch","OK")</f>
        <v>OK</v>
      </c>
      <c r="X2793" s="9" t="str">
        <f aca="false">IF(TEXT(H2793,"dddd")&lt;&gt;I2793,"Mismatch","OK")</f>
        <v>OK</v>
      </c>
      <c r="Y2793" s="9" t="str">
        <f aca="false">IF(AND(N2793="No",O2793&lt;&gt;""),"Unexpected: channel present but no reminder sent",IF(AND(N2793="Yes",O2793=""),"Missing channel for sent reminder","OK"))</f>
        <v>OK</v>
      </c>
    </row>
    <row r="2794" customFormat="false" ht="15" hidden="false" customHeight="false" outlineLevel="0" collapsed="false">
      <c r="A2794" s="7" t="s">
        <v>4278</v>
      </c>
      <c r="B2794" s="7" t="s">
        <v>3283</v>
      </c>
      <c r="C2794" s="7" t="s">
        <v>37</v>
      </c>
      <c r="D2794" s="7" t="n">
        <v>46</v>
      </c>
      <c r="E2794" s="7" t="s">
        <v>56</v>
      </c>
      <c r="F2794" s="7" t="s">
        <v>49</v>
      </c>
      <c r="G2794" s="8" t="n">
        <v>46007</v>
      </c>
      <c r="H2794" s="8" t="n">
        <v>46052</v>
      </c>
      <c r="I2794" s="7" t="s">
        <v>50</v>
      </c>
      <c r="J2794" s="7" t="s">
        <v>41</v>
      </c>
      <c r="K2794" s="7" t="n">
        <v>45</v>
      </c>
      <c r="L2794" s="7" t="n">
        <v>3</v>
      </c>
      <c r="M2794" s="7" t="n">
        <v>1</v>
      </c>
      <c r="N2794" s="7" t="s">
        <v>42</v>
      </c>
      <c r="O2794" s="7" t="s">
        <v>43</v>
      </c>
      <c r="P2794" s="7" t="n">
        <v>8.9</v>
      </c>
      <c r="Q2794" s="7" t="n">
        <v>21</v>
      </c>
      <c r="R2794" s="7" t="s">
        <v>87</v>
      </c>
      <c r="S2794" s="7"/>
      <c r="T2794" s="7"/>
      <c r="U2794" s="7" t="str">
        <f aca="false">IF(COUNTIF($A$2:$A$5001,A2794)&gt;1,"Duplicate","Unique")</f>
        <v>Unique</v>
      </c>
      <c r="V2794" s="7" t="str">
        <f aca="false">IF(COUNTIFS($B$2:$B$5001,B2794,$H$2:$H$5001,H2794,$J$2:$J$5001,J2794)&gt;1,"Possible Duplicate Booking","Unique")</f>
        <v>Unique</v>
      </c>
      <c r="W2794" s="7" t="str">
        <f aca="false">IF((H2794-G2794)&lt;&gt;K2794,"Mismatch","OK")</f>
        <v>OK</v>
      </c>
      <c r="X2794" s="7" t="str">
        <f aca="false">IF(TEXT(H2794,"dddd")&lt;&gt;I2794,"Mismatch","OK")</f>
        <v>OK</v>
      </c>
      <c r="Y2794" s="7" t="str">
        <f aca="false">IF(AND(N2794="No",O2794&lt;&gt;""),"Unexpected: channel present but no reminder sent",IF(AND(N2794="Yes",O2794=""),"Missing channel for sent reminder","OK"))</f>
        <v>OK</v>
      </c>
    </row>
    <row r="2795" customFormat="false" ht="15" hidden="false" customHeight="false" outlineLevel="0" collapsed="false">
      <c r="A2795" s="9" t="s">
        <v>4279</v>
      </c>
      <c r="B2795" s="9" t="s">
        <v>901</v>
      </c>
      <c r="C2795" s="9" t="s">
        <v>37</v>
      </c>
      <c r="D2795" s="9" t="n">
        <v>67</v>
      </c>
      <c r="E2795" s="9" t="s">
        <v>70</v>
      </c>
      <c r="F2795" s="9" t="s">
        <v>57</v>
      </c>
      <c r="G2795" s="10" t="n">
        <v>45932</v>
      </c>
      <c r="H2795" s="10" t="n">
        <v>45950</v>
      </c>
      <c r="I2795" s="9" t="s">
        <v>66</v>
      </c>
      <c r="J2795" s="9" t="s">
        <v>41</v>
      </c>
      <c r="K2795" s="9" t="n">
        <v>18</v>
      </c>
      <c r="L2795" s="9" t="n">
        <v>5</v>
      </c>
      <c r="M2795" s="9" t="n">
        <v>1</v>
      </c>
      <c r="N2795" s="9" t="s">
        <v>42</v>
      </c>
      <c r="O2795" s="9" t="s">
        <v>43</v>
      </c>
      <c r="P2795" s="9" t="n">
        <v>1.7</v>
      </c>
      <c r="Q2795" s="9" t="n">
        <v>15</v>
      </c>
      <c r="R2795" s="9" t="s">
        <v>44</v>
      </c>
      <c r="S2795" s="9"/>
      <c r="T2795" s="9"/>
      <c r="U2795" s="9" t="str">
        <f aca="false">IF(COUNTIF($A$2:$A$5001,A2795)&gt;1,"Duplicate","Unique")</f>
        <v>Unique</v>
      </c>
      <c r="V2795" s="9" t="str">
        <f aca="false">IF(COUNTIFS($B$2:$B$5001,B2795,$H$2:$H$5001,H2795,$J$2:$J$5001,J2795)&gt;1,"Possible Duplicate Booking","Unique")</f>
        <v>Unique</v>
      </c>
      <c r="W2795" s="9" t="str">
        <f aca="false">IF((H2795-G2795)&lt;&gt;K2795,"Mismatch","OK")</f>
        <v>OK</v>
      </c>
      <c r="X2795" s="9" t="str">
        <f aca="false">IF(TEXT(H2795,"dddd")&lt;&gt;I2795,"Mismatch","OK")</f>
        <v>OK</v>
      </c>
      <c r="Y2795" s="9" t="str">
        <f aca="false">IF(AND(N2795="No",O2795&lt;&gt;""),"Unexpected: channel present but no reminder sent",IF(AND(N2795="Yes",O2795=""),"Missing channel for sent reminder","OK"))</f>
        <v>OK</v>
      </c>
    </row>
    <row r="2796" customFormat="false" ht="15" hidden="false" customHeight="false" outlineLevel="0" collapsed="false">
      <c r="A2796" s="7" t="s">
        <v>4280</v>
      </c>
      <c r="B2796" s="7" t="s">
        <v>933</v>
      </c>
      <c r="C2796" s="7" t="s">
        <v>37</v>
      </c>
      <c r="D2796" s="7" t="n">
        <v>47</v>
      </c>
      <c r="E2796" s="7" t="s">
        <v>56</v>
      </c>
      <c r="F2796" s="7" t="s">
        <v>57</v>
      </c>
      <c r="G2796" s="8" t="n">
        <v>45693</v>
      </c>
      <c r="H2796" s="8" t="n">
        <v>45695</v>
      </c>
      <c r="I2796" s="7" t="s">
        <v>50</v>
      </c>
      <c r="J2796" s="7" t="s">
        <v>63</v>
      </c>
      <c r="K2796" s="7" t="n">
        <v>2</v>
      </c>
      <c r="L2796" s="7" t="n">
        <v>2</v>
      </c>
      <c r="M2796" s="7" t="n">
        <v>1</v>
      </c>
      <c r="N2796" s="7" t="s">
        <v>42</v>
      </c>
      <c r="O2796" s="7" t="s">
        <v>52</v>
      </c>
      <c r="P2796" s="7" t="n">
        <v>12.7</v>
      </c>
      <c r="Q2796" s="7" t="n">
        <v>25</v>
      </c>
      <c r="R2796" s="7" t="s">
        <v>44</v>
      </c>
      <c r="S2796" s="7"/>
      <c r="T2796" s="7"/>
      <c r="U2796" s="7" t="str">
        <f aca="false">IF(COUNTIF($A$2:$A$5001,A2796)&gt;1,"Duplicate","Unique")</f>
        <v>Unique</v>
      </c>
      <c r="V2796" s="7" t="str">
        <f aca="false">IF(COUNTIFS($B$2:$B$5001,B2796,$H$2:$H$5001,H2796,$J$2:$J$5001,J2796)&gt;1,"Possible Duplicate Booking","Unique")</f>
        <v>Unique</v>
      </c>
      <c r="W2796" s="7" t="str">
        <f aca="false">IF((H2796-G2796)&lt;&gt;K2796,"Mismatch","OK")</f>
        <v>OK</v>
      </c>
      <c r="X2796" s="7" t="str">
        <f aca="false">IF(TEXT(H2796,"dddd")&lt;&gt;I2796,"Mismatch","OK")</f>
        <v>OK</v>
      </c>
      <c r="Y2796" s="7" t="str">
        <f aca="false">IF(AND(N2796="No",O2796&lt;&gt;""),"Unexpected: channel present but no reminder sent",IF(AND(N2796="Yes",O2796=""),"Missing channel for sent reminder","OK"))</f>
        <v>OK</v>
      </c>
    </row>
    <row r="2797" customFormat="false" ht="15" hidden="false" customHeight="false" outlineLevel="0" collapsed="false">
      <c r="A2797" s="9" t="s">
        <v>4281</v>
      </c>
      <c r="B2797" s="9" t="s">
        <v>4282</v>
      </c>
      <c r="C2797" s="9" t="s">
        <v>37</v>
      </c>
      <c r="D2797" s="9" t="n">
        <v>27</v>
      </c>
      <c r="E2797" s="9" t="s">
        <v>48</v>
      </c>
      <c r="F2797" s="9" t="s">
        <v>39</v>
      </c>
      <c r="G2797" s="10" t="n">
        <v>46133</v>
      </c>
      <c r="H2797" s="10" t="n">
        <v>46157</v>
      </c>
      <c r="I2797" s="9" t="s">
        <v>50</v>
      </c>
      <c r="J2797" s="9" t="s">
        <v>51</v>
      </c>
      <c r="K2797" s="9" t="n">
        <v>24</v>
      </c>
      <c r="L2797" s="9" t="n">
        <v>1</v>
      </c>
      <c r="M2797" s="9" t="n">
        <v>1</v>
      </c>
      <c r="N2797" s="9" t="s">
        <v>42</v>
      </c>
      <c r="O2797" s="9" t="s">
        <v>52</v>
      </c>
      <c r="P2797" s="9" t="n">
        <v>6.6</v>
      </c>
      <c r="Q2797" s="9" t="n">
        <v>37</v>
      </c>
      <c r="R2797" s="9" t="s">
        <v>44</v>
      </c>
      <c r="S2797" s="9"/>
      <c r="T2797" s="9"/>
      <c r="U2797" s="9" t="str">
        <f aca="false">IF(COUNTIF($A$2:$A$5001,A2797)&gt;1,"Duplicate","Unique")</f>
        <v>Unique</v>
      </c>
      <c r="V2797" s="9" t="str">
        <f aca="false">IF(COUNTIFS($B$2:$B$5001,B2797,$H$2:$H$5001,H2797,$J$2:$J$5001,J2797)&gt;1,"Possible Duplicate Booking","Unique")</f>
        <v>Unique</v>
      </c>
      <c r="W2797" s="9" t="str">
        <f aca="false">IF((H2797-G2797)&lt;&gt;K2797,"Mismatch","OK")</f>
        <v>OK</v>
      </c>
      <c r="X2797" s="9" t="str">
        <f aca="false">IF(TEXT(H2797,"dddd")&lt;&gt;I2797,"Mismatch","OK")</f>
        <v>OK</v>
      </c>
      <c r="Y2797" s="9" t="str">
        <f aca="false">IF(AND(N2797="No",O2797&lt;&gt;""),"Unexpected: channel present but no reminder sent",IF(AND(N2797="Yes",O2797=""),"Missing channel for sent reminder","OK"))</f>
        <v>OK</v>
      </c>
    </row>
    <row r="2798" customFormat="false" ht="15" hidden="false" customHeight="false" outlineLevel="0" collapsed="false">
      <c r="A2798" s="7" t="s">
        <v>4283</v>
      </c>
      <c r="B2798" s="7" t="s">
        <v>4284</v>
      </c>
      <c r="C2798" s="7" t="s">
        <v>37</v>
      </c>
      <c r="D2798" s="7" t="n">
        <v>19</v>
      </c>
      <c r="E2798" s="7" t="s">
        <v>82</v>
      </c>
      <c r="F2798" s="7" t="s">
        <v>49</v>
      </c>
      <c r="G2798" s="8" t="n">
        <v>46080</v>
      </c>
      <c r="H2798" s="8" t="n">
        <v>46133</v>
      </c>
      <c r="I2798" s="7" t="s">
        <v>40</v>
      </c>
      <c r="J2798" s="7" t="s">
        <v>51</v>
      </c>
      <c r="K2798" s="7" t="n">
        <v>53</v>
      </c>
      <c r="L2798" s="7" t="n">
        <v>1</v>
      </c>
      <c r="M2798" s="7" t="n">
        <v>0</v>
      </c>
      <c r="N2798" s="7" t="s">
        <v>42</v>
      </c>
      <c r="O2798" s="7" t="s">
        <v>43</v>
      </c>
      <c r="P2798" s="7" t="n">
        <v>16</v>
      </c>
      <c r="Q2798" s="7" t="n">
        <v>16</v>
      </c>
      <c r="R2798" s="7" t="s">
        <v>53</v>
      </c>
      <c r="S2798" s="7"/>
      <c r="T2798" s="7"/>
      <c r="U2798" s="7" t="str">
        <f aca="false">IF(COUNTIF($A$2:$A$5001,A2798)&gt;1,"Duplicate","Unique")</f>
        <v>Unique</v>
      </c>
      <c r="V2798" s="7" t="str">
        <f aca="false">IF(COUNTIFS($B$2:$B$5001,B2798,$H$2:$H$5001,H2798,$J$2:$J$5001,J2798)&gt;1,"Possible Duplicate Booking","Unique")</f>
        <v>Unique</v>
      </c>
      <c r="W2798" s="7" t="str">
        <f aca="false">IF((H2798-G2798)&lt;&gt;K2798,"Mismatch","OK")</f>
        <v>OK</v>
      </c>
      <c r="X2798" s="7" t="str">
        <f aca="false">IF(TEXT(H2798,"dddd")&lt;&gt;I2798,"Mismatch","OK")</f>
        <v>OK</v>
      </c>
      <c r="Y2798" s="7" t="str">
        <f aca="false">IF(AND(N2798="No",O2798&lt;&gt;""),"Unexpected: channel present but no reminder sent",IF(AND(N2798="Yes",O2798=""),"Missing channel for sent reminder","OK"))</f>
        <v>OK</v>
      </c>
    </row>
    <row r="2799" customFormat="false" ht="15" hidden="false" customHeight="false" outlineLevel="0" collapsed="false">
      <c r="A2799" s="9" t="s">
        <v>4285</v>
      </c>
      <c r="B2799" s="9" t="s">
        <v>4286</v>
      </c>
      <c r="C2799" s="9" t="s">
        <v>47</v>
      </c>
      <c r="D2799" s="9" t="n">
        <v>53</v>
      </c>
      <c r="E2799" s="9" t="s">
        <v>56</v>
      </c>
      <c r="F2799" s="9" t="s">
        <v>39</v>
      </c>
      <c r="G2799" s="10" t="n">
        <v>45959</v>
      </c>
      <c r="H2799" s="10" t="n">
        <v>45967</v>
      </c>
      <c r="I2799" s="9" t="s">
        <v>62</v>
      </c>
      <c r="J2799" s="9" t="s">
        <v>51</v>
      </c>
      <c r="K2799" s="9" t="n">
        <v>8</v>
      </c>
      <c r="L2799" s="9" t="n">
        <v>2</v>
      </c>
      <c r="M2799" s="9" t="n">
        <v>0</v>
      </c>
      <c r="N2799" s="9" t="s">
        <v>42</v>
      </c>
      <c r="O2799" s="9" t="s">
        <v>52</v>
      </c>
      <c r="P2799" s="9" t="n">
        <v>8.3</v>
      </c>
      <c r="Q2799" s="9" t="n">
        <v>39</v>
      </c>
      <c r="R2799" s="9" t="s">
        <v>44</v>
      </c>
      <c r="S2799" s="9"/>
      <c r="T2799" s="9"/>
      <c r="U2799" s="9" t="str">
        <f aca="false">IF(COUNTIF($A$2:$A$5001,A2799)&gt;1,"Duplicate","Unique")</f>
        <v>Unique</v>
      </c>
      <c r="V2799" s="9" t="str">
        <f aca="false">IF(COUNTIFS($B$2:$B$5001,B2799,$H$2:$H$5001,H2799,$J$2:$J$5001,J2799)&gt;1,"Possible Duplicate Booking","Unique")</f>
        <v>Unique</v>
      </c>
      <c r="W2799" s="9" t="str">
        <f aca="false">IF((H2799-G2799)&lt;&gt;K2799,"Mismatch","OK")</f>
        <v>OK</v>
      </c>
      <c r="X2799" s="9" t="str">
        <f aca="false">IF(TEXT(H2799,"dddd")&lt;&gt;I2799,"Mismatch","OK")</f>
        <v>OK</v>
      </c>
      <c r="Y2799" s="9" t="str">
        <f aca="false">IF(AND(N2799="No",O2799&lt;&gt;""),"Unexpected: channel present but no reminder sent",IF(AND(N2799="Yes",O2799=""),"Missing channel for sent reminder","OK"))</f>
        <v>OK</v>
      </c>
    </row>
    <row r="2800" customFormat="false" ht="15" hidden="false" customHeight="false" outlineLevel="0" collapsed="false">
      <c r="A2800" s="7" t="s">
        <v>4287</v>
      </c>
      <c r="B2800" s="7" t="s">
        <v>2763</v>
      </c>
      <c r="C2800" s="7" t="s">
        <v>236</v>
      </c>
      <c r="D2800" s="7" t="n">
        <v>51</v>
      </c>
      <c r="E2800" s="7" t="s">
        <v>56</v>
      </c>
      <c r="F2800" s="7" t="s">
        <v>39</v>
      </c>
      <c r="G2800" s="8" t="n">
        <v>46011</v>
      </c>
      <c r="H2800" s="8" t="n">
        <v>46044</v>
      </c>
      <c r="I2800" s="7" t="s">
        <v>62</v>
      </c>
      <c r="J2800" s="7" t="s">
        <v>51</v>
      </c>
      <c r="K2800" s="7" t="n">
        <v>33</v>
      </c>
      <c r="L2800" s="7" t="n">
        <v>3</v>
      </c>
      <c r="M2800" s="7" t="n">
        <v>1</v>
      </c>
      <c r="N2800" s="7" t="s">
        <v>42</v>
      </c>
      <c r="O2800" s="7" t="s">
        <v>43</v>
      </c>
      <c r="P2800" s="7" t="n">
        <v>7</v>
      </c>
      <c r="Q2800" s="7" t="n">
        <v>30</v>
      </c>
      <c r="R2800" s="7" t="s">
        <v>53</v>
      </c>
      <c r="S2800" s="7"/>
      <c r="T2800" s="7"/>
      <c r="U2800" s="7" t="str">
        <f aca="false">IF(COUNTIF($A$2:$A$5001,A2800)&gt;1,"Duplicate","Unique")</f>
        <v>Unique</v>
      </c>
      <c r="V2800" s="7" t="str">
        <f aca="false">IF(COUNTIFS($B$2:$B$5001,B2800,$H$2:$H$5001,H2800,$J$2:$J$5001,J2800)&gt;1,"Possible Duplicate Booking","Unique")</f>
        <v>Unique</v>
      </c>
      <c r="W2800" s="7" t="str">
        <f aca="false">IF((H2800-G2800)&lt;&gt;K2800,"Mismatch","OK")</f>
        <v>OK</v>
      </c>
      <c r="X2800" s="7" t="str">
        <f aca="false">IF(TEXT(H2800,"dddd")&lt;&gt;I2800,"Mismatch","OK")</f>
        <v>OK</v>
      </c>
      <c r="Y2800" s="7" t="str">
        <f aca="false">IF(AND(N2800="No",O2800&lt;&gt;""),"Unexpected: channel present but no reminder sent",IF(AND(N2800="Yes",O2800=""),"Missing channel for sent reminder","OK"))</f>
        <v>OK</v>
      </c>
    </row>
    <row r="2801" customFormat="false" ht="15" hidden="false" customHeight="false" outlineLevel="0" collapsed="false">
      <c r="A2801" s="9" t="s">
        <v>4288</v>
      </c>
      <c r="B2801" s="9" t="s">
        <v>4289</v>
      </c>
      <c r="C2801" s="9" t="s">
        <v>37</v>
      </c>
      <c r="D2801" s="9" t="n">
        <v>69</v>
      </c>
      <c r="E2801" s="9" t="s">
        <v>70</v>
      </c>
      <c r="F2801" s="9" t="s">
        <v>74</v>
      </c>
      <c r="G2801" s="10" t="n">
        <v>45863</v>
      </c>
      <c r="H2801" s="10" t="n">
        <v>45874</v>
      </c>
      <c r="I2801" s="9" t="s">
        <v>40</v>
      </c>
      <c r="J2801" s="9" t="s">
        <v>63</v>
      </c>
      <c r="K2801" s="9" t="n">
        <v>11</v>
      </c>
      <c r="L2801" s="9" t="n">
        <v>0</v>
      </c>
      <c r="M2801" s="9" t="n">
        <v>0</v>
      </c>
      <c r="N2801" s="9" t="s">
        <v>42</v>
      </c>
      <c r="O2801" s="9" t="s">
        <v>43</v>
      </c>
      <c r="P2801" s="9" t="n">
        <v>5.9</v>
      </c>
      <c r="Q2801" s="9" t="n">
        <v>2</v>
      </c>
      <c r="R2801" s="9" t="s">
        <v>53</v>
      </c>
      <c r="S2801" s="9"/>
      <c r="T2801" s="9"/>
      <c r="U2801" s="9" t="str">
        <f aca="false">IF(COUNTIF($A$2:$A$5001,A2801)&gt;1,"Duplicate","Unique")</f>
        <v>Unique</v>
      </c>
      <c r="V2801" s="9" t="str">
        <f aca="false">IF(COUNTIFS($B$2:$B$5001,B2801,$H$2:$H$5001,H2801,$J$2:$J$5001,J2801)&gt;1,"Possible Duplicate Booking","Unique")</f>
        <v>Unique</v>
      </c>
      <c r="W2801" s="9" t="str">
        <f aca="false">IF((H2801-G2801)&lt;&gt;K2801,"Mismatch","OK")</f>
        <v>OK</v>
      </c>
      <c r="X2801" s="9" t="str">
        <f aca="false">IF(TEXT(H2801,"dddd")&lt;&gt;I2801,"Mismatch","OK")</f>
        <v>OK</v>
      </c>
      <c r="Y2801" s="9" t="str">
        <f aca="false">IF(AND(N2801="No",O2801&lt;&gt;""),"Unexpected: channel present but no reminder sent",IF(AND(N2801="Yes",O2801=""),"Missing channel for sent reminder","OK"))</f>
        <v>OK</v>
      </c>
    </row>
    <row r="2802" customFormat="false" ht="15" hidden="false" customHeight="false" outlineLevel="0" collapsed="false">
      <c r="A2802" s="7" t="s">
        <v>4290</v>
      </c>
      <c r="B2802" s="7" t="s">
        <v>4291</v>
      </c>
      <c r="C2802" s="7" t="s">
        <v>47</v>
      </c>
      <c r="D2802" s="7" t="n">
        <v>73</v>
      </c>
      <c r="E2802" s="7" t="s">
        <v>70</v>
      </c>
      <c r="F2802" s="7" t="s">
        <v>57</v>
      </c>
      <c r="G2802" s="8" t="n">
        <v>46064</v>
      </c>
      <c r="H2802" s="8" t="n">
        <v>46090</v>
      </c>
      <c r="I2802" s="7" t="s">
        <v>66</v>
      </c>
      <c r="J2802" s="7" t="s">
        <v>51</v>
      </c>
      <c r="K2802" s="7" t="n">
        <v>26</v>
      </c>
      <c r="L2802" s="7" t="n">
        <v>3</v>
      </c>
      <c r="M2802" s="7" t="n">
        <v>0</v>
      </c>
      <c r="N2802" s="7" t="s">
        <v>42</v>
      </c>
      <c r="O2802" s="7" t="s">
        <v>67</v>
      </c>
      <c r="P2802" s="7" t="n">
        <v>6.5</v>
      </c>
      <c r="Q2802" s="7" t="n">
        <v>14</v>
      </c>
      <c r="R2802" s="7" t="s">
        <v>44</v>
      </c>
      <c r="S2802" s="7"/>
      <c r="T2802" s="7"/>
      <c r="U2802" s="7" t="str">
        <f aca="false">IF(COUNTIF($A$2:$A$5001,A2802)&gt;1,"Duplicate","Unique")</f>
        <v>Unique</v>
      </c>
      <c r="V2802" s="7" t="str">
        <f aca="false">IF(COUNTIFS($B$2:$B$5001,B2802,$H$2:$H$5001,H2802,$J$2:$J$5001,J2802)&gt;1,"Possible Duplicate Booking","Unique")</f>
        <v>Unique</v>
      </c>
      <c r="W2802" s="7" t="str">
        <f aca="false">IF((H2802-G2802)&lt;&gt;K2802,"Mismatch","OK")</f>
        <v>OK</v>
      </c>
      <c r="X2802" s="7" t="str">
        <f aca="false">IF(TEXT(H2802,"dddd")&lt;&gt;I2802,"Mismatch","OK")</f>
        <v>OK</v>
      </c>
      <c r="Y2802" s="7" t="str">
        <f aca="false">IF(AND(N2802="No",O2802&lt;&gt;""),"Unexpected: channel present but no reminder sent",IF(AND(N2802="Yes",O2802=""),"Missing channel for sent reminder","OK"))</f>
        <v>OK</v>
      </c>
    </row>
    <row r="2803" customFormat="false" ht="15" hidden="false" customHeight="false" outlineLevel="0" collapsed="false">
      <c r="A2803" s="9" t="s">
        <v>4292</v>
      </c>
      <c r="B2803" s="9" t="s">
        <v>4293</v>
      </c>
      <c r="C2803" s="9" t="s">
        <v>47</v>
      </c>
      <c r="D2803" s="9" t="n">
        <v>28</v>
      </c>
      <c r="E2803" s="9" t="s">
        <v>48</v>
      </c>
      <c r="F2803" s="9" t="s">
        <v>39</v>
      </c>
      <c r="G2803" s="10" t="n">
        <v>45892</v>
      </c>
      <c r="H2803" s="10" t="n">
        <v>45900</v>
      </c>
      <c r="I2803" s="9" t="s">
        <v>75</v>
      </c>
      <c r="J2803" s="9" t="s">
        <v>51</v>
      </c>
      <c r="K2803" s="9" t="n">
        <v>8</v>
      </c>
      <c r="L2803" s="9" t="n">
        <v>3</v>
      </c>
      <c r="M2803" s="9" t="n">
        <v>0</v>
      </c>
      <c r="N2803" s="9" t="s">
        <v>42</v>
      </c>
      <c r="O2803" s="9" t="s">
        <v>52</v>
      </c>
      <c r="P2803" s="9" t="n">
        <v>6.3</v>
      </c>
      <c r="Q2803" s="9" t="n">
        <v>49</v>
      </c>
      <c r="R2803" s="9" t="s">
        <v>53</v>
      </c>
      <c r="S2803" s="9"/>
      <c r="T2803" s="9"/>
      <c r="U2803" s="9" t="str">
        <f aca="false">IF(COUNTIF($A$2:$A$5001,A2803)&gt;1,"Duplicate","Unique")</f>
        <v>Unique</v>
      </c>
      <c r="V2803" s="9" t="str">
        <f aca="false">IF(COUNTIFS($B$2:$B$5001,B2803,$H$2:$H$5001,H2803,$J$2:$J$5001,J2803)&gt;1,"Possible Duplicate Booking","Unique")</f>
        <v>Unique</v>
      </c>
      <c r="W2803" s="9" t="str">
        <f aca="false">IF((H2803-G2803)&lt;&gt;K2803,"Mismatch","OK")</f>
        <v>OK</v>
      </c>
      <c r="X2803" s="9" t="str">
        <f aca="false">IF(TEXT(H2803,"dddd")&lt;&gt;I2803,"Mismatch","OK")</f>
        <v>OK</v>
      </c>
      <c r="Y2803" s="9" t="str">
        <f aca="false">IF(AND(N2803="No",O2803&lt;&gt;""),"Unexpected: channel present but no reminder sent",IF(AND(N2803="Yes",O2803=""),"Missing channel for sent reminder","OK"))</f>
        <v>OK</v>
      </c>
    </row>
    <row r="2804" customFormat="false" ht="15" hidden="false" customHeight="false" outlineLevel="0" collapsed="false">
      <c r="A2804" s="7" t="s">
        <v>4294</v>
      </c>
      <c r="B2804" s="7" t="s">
        <v>4295</v>
      </c>
      <c r="C2804" s="7" t="s">
        <v>37</v>
      </c>
      <c r="D2804" s="7" t="n">
        <v>37</v>
      </c>
      <c r="E2804" s="7" t="s">
        <v>38</v>
      </c>
      <c r="F2804" s="7" t="s">
        <v>39</v>
      </c>
      <c r="G2804" s="8" t="n">
        <v>46154</v>
      </c>
      <c r="H2804" s="8" t="n">
        <v>46198</v>
      </c>
      <c r="I2804" s="7" t="s">
        <v>62</v>
      </c>
      <c r="J2804" s="7" t="s">
        <v>41</v>
      </c>
      <c r="K2804" s="7" t="n">
        <v>44</v>
      </c>
      <c r="L2804" s="7" t="n">
        <v>2</v>
      </c>
      <c r="M2804" s="7" t="n">
        <v>0</v>
      </c>
      <c r="N2804" s="7" t="s">
        <v>42</v>
      </c>
      <c r="O2804" s="7" t="s">
        <v>52</v>
      </c>
      <c r="P2804" s="7" t="n">
        <v>5.3</v>
      </c>
      <c r="Q2804" s="7" t="n">
        <v>23</v>
      </c>
      <c r="R2804" s="7" t="s">
        <v>44</v>
      </c>
      <c r="S2804" s="7"/>
      <c r="T2804" s="7"/>
      <c r="U2804" s="7" t="str">
        <f aca="false">IF(COUNTIF($A$2:$A$5001,A2804)&gt;1,"Duplicate","Unique")</f>
        <v>Unique</v>
      </c>
      <c r="V2804" s="7" t="str">
        <f aca="false">IF(COUNTIFS($B$2:$B$5001,B2804,$H$2:$H$5001,H2804,$J$2:$J$5001,J2804)&gt;1,"Possible Duplicate Booking","Unique")</f>
        <v>Unique</v>
      </c>
      <c r="W2804" s="7" t="str">
        <f aca="false">IF((H2804-G2804)&lt;&gt;K2804,"Mismatch","OK")</f>
        <v>OK</v>
      </c>
      <c r="X2804" s="7" t="str">
        <f aca="false">IF(TEXT(H2804,"dddd")&lt;&gt;I2804,"Mismatch","OK")</f>
        <v>OK</v>
      </c>
      <c r="Y2804" s="7" t="str">
        <f aca="false">IF(AND(N2804="No",O2804&lt;&gt;""),"Unexpected: channel present but no reminder sent",IF(AND(N2804="Yes",O2804=""),"Missing channel for sent reminder","OK"))</f>
        <v>OK</v>
      </c>
    </row>
    <row r="2805" customFormat="false" ht="15" hidden="false" customHeight="false" outlineLevel="0" collapsed="false">
      <c r="A2805" s="9" t="s">
        <v>4296</v>
      </c>
      <c r="B2805" s="9" t="s">
        <v>1431</v>
      </c>
      <c r="C2805" s="9" t="s">
        <v>47</v>
      </c>
      <c r="D2805" s="9" t="n">
        <v>31</v>
      </c>
      <c r="E2805" s="9" t="s">
        <v>48</v>
      </c>
      <c r="F2805" s="9" t="s">
        <v>39</v>
      </c>
      <c r="G2805" s="10" t="n">
        <v>45643</v>
      </c>
      <c r="H2805" s="10" t="n">
        <v>45692</v>
      </c>
      <c r="I2805" s="9" t="s">
        <v>40</v>
      </c>
      <c r="J2805" s="9" t="s">
        <v>51</v>
      </c>
      <c r="K2805" s="9" t="n">
        <v>49</v>
      </c>
      <c r="L2805" s="9" t="n">
        <v>5</v>
      </c>
      <c r="M2805" s="9" t="n">
        <v>1</v>
      </c>
      <c r="N2805" s="9" t="s">
        <v>42</v>
      </c>
      <c r="O2805" s="9" t="s">
        <v>52</v>
      </c>
      <c r="P2805" s="9" t="n">
        <v>5.7</v>
      </c>
      <c r="Q2805" s="9" t="n">
        <v>14</v>
      </c>
      <c r="R2805" s="9" t="s">
        <v>53</v>
      </c>
      <c r="S2805" s="9"/>
      <c r="T2805" s="9"/>
      <c r="U2805" s="9" t="str">
        <f aca="false">IF(COUNTIF($A$2:$A$5001,A2805)&gt;1,"Duplicate","Unique")</f>
        <v>Unique</v>
      </c>
      <c r="V2805" s="9" t="str">
        <f aca="false">IF(COUNTIFS($B$2:$B$5001,B2805,$H$2:$H$5001,H2805,$J$2:$J$5001,J2805)&gt;1,"Possible Duplicate Booking","Unique")</f>
        <v>Unique</v>
      </c>
      <c r="W2805" s="9" t="str">
        <f aca="false">IF((H2805-G2805)&lt;&gt;K2805,"Mismatch","OK")</f>
        <v>OK</v>
      </c>
      <c r="X2805" s="9" t="str">
        <f aca="false">IF(TEXT(H2805,"dddd")&lt;&gt;I2805,"Mismatch","OK")</f>
        <v>OK</v>
      </c>
      <c r="Y2805" s="9" t="str">
        <f aca="false">IF(AND(N2805="No",O2805&lt;&gt;""),"Unexpected: channel present but no reminder sent",IF(AND(N2805="Yes",O2805=""),"Missing channel for sent reminder","OK"))</f>
        <v>OK</v>
      </c>
    </row>
    <row r="2806" customFormat="false" ht="15" hidden="false" customHeight="false" outlineLevel="0" collapsed="false">
      <c r="A2806" s="7" t="s">
        <v>4297</v>
      </c>
      <c r="B2806" s="7" t="s">
        <v>2929</v>
      </c>
      <c r="C2806" s="7" t="s">
        <v>47</v>
      </c>
      <c r="D2806" s="7" t="n">
        <v>24</v>
      </c>
      <c r="E2806" s="7" t="s">
        <v>82</v>
      </c>
      <c r="F2806" s="7" t="s">
        <v>49</v>
      </c>
      <c r="G2806" s="8" t="n">
        <v>45705</v>
      </c>
      <c r="H2806" s="8" t="n">
        <v>45751</v>
      </c>
      <c r="I2806" s="7" t="s">
        <v>50</v>
      </c>
      <c r="J2806" s="7" t="s">
        <v>51</v>
      </c>
      <c r="K2806" s="7" t="n">
        <v>46</v>
      </c>
      <c r="L2806" s="7" t="n">
        <v>2</v>
      </c>
      <c r="M2806" s="7" t="n">
        <v>0</v>
      </c>
      <c r="N2806" s="7" t="s">
        <v>71</v>
      </c>
      <c r="O2806" s="7"/>
      <c r="P2806" s="7" t="n">
        <v>27.3</v>
      </c>
      <c r="Q2806" s="7" t="n">
        <v>14</v>
      </c>
      <c r="R2806" s="7" t="s">
        <v>53</v>
      </c>
      <c r="S2806" s="7"/>
      <c r="T2806" s="7"/>
      <c r="U2806" s="7" t="str">
        <f aca="false">IF(COUNTIF($A$2:$A$5001,A2806)&gt;1,"Duplicate","Unique")</f>
        <v>Unique</v>
      </c>
      <c r="V2806" s="7" t="str">
        <f aca="false">IF(COUNTIFS($B$2:$B$5001,B2806,$H$2:$H$5001,H2806,$J$2:$J$5001,J2806)&gt;1,"Possible Duplicate Booking","Unique")</f>
        <v>Unique</v>
      </c>
      <c r="W2806" s="7" t="str">
        <f aca="false">IF((H2806-G2806)&lt;&gt;K2806,"Mismatch","OK")</f>
        <v>OK</v>
      </c>
      <c r="X2806" s="7" t="str">
        <f aca="false">IF(TEXT(H2806,"dddd")&lt;&gt;I2806,"Mismatch","OK")</f>
        <v>OK</v>
      </c>
      <c r="Y2806" s="7" t="str">
        <f aca="false">IF(AND(N2806="No",O2806&lt;&gt;""),"Unexpected: channel present but no reminder sent",IF(AND(N2806="Yes",O2806=""),"Missing channel for sent reminder","OK"))</f>
        <v>OK</v>
      </c>
    </row>
    <row r="2807" customFormat="false" ht="15" hidden="false" customHeight="false" outlineLevel="0" collapsed="false">
      <c r="A2807" s="9" t="s">
        <v>4298</v>
      </c>
      <c r="B2807" s="9" t="s">
        <v>2175</v>
      </c>
      <c r="C2807" s="9" t="s">
        <v>47</v>
      </c>
      <c r="D2807" s="9" t="n">
        <v>18</v>
      </c>
      <c r="E2807" s="9" t="s">
        <v>82</v>
      </c>
      <c r="F2807" s="9" t="s">
        <v>39</v>
      </c>
      <c r="G2807" s="10" t="n">
        <v>46144</v>
      </c>
      <c r="H2807" s="10" t="n">
        <v>46186</v>
      </c>
      <c r="I2807" s="9" t="s">
        <v>102</v>
      </c>
      <c r="J2807" s="9" t="s">
        <v>41</v>
      </c>
      <c r="K2807" s="9" t="n">
        <v>42</v>
      </c>
      <c r="L2807" s="9" t="n">
        <v>6</v>
      </c>
      <c r="M2807" s="9" t="n">
        <v>1</v>
      </c>
      <c r="N2807" s="9" t="s">
        <v>42</v>
      </c>
      <c r="O2807" s="9" t="s">
        <v>43</v>
      </c>
      <c r="P2807" s="9" t="n">
        <v>8.5</v>
      </c>
      <c r="Q2807" s="9" t="n">
        <v>23</v>
      </c>
      <c r="R2807" s="9" t="s">
        <v>44</v>
      </c>
      <c r="S2807" s="9"/>
      <c r="T2807" s="9"/>
      <c r="U2807" s="9" t="str">
        <f aca="false">IF(COUNTIF($A$2:$A$5001,A2807)&gt;1,"Duplicate","Unique")</f>
        <v>Unique</v>
      </c>
      <c r="V2807" s="9" t="str">
        <f aca="false">IF(COUNTIFS($B$2:$B$5001,B2807,$H$2:$H$5001,H2807,$J$2:$J$5001,J2807)&gt;1,"Possible Duplicate Booking","Unique")</f>
        <v>Unique</v>
      </c>
      <c r="W2807" s="9" t="str">
        <f aca="false">IF((H2807-G2807)&lt;&gt;K2807,"Mismatch","OK")</f>
        <v>OK</v>
      </c>
      <c r="X2807" s="9" t="str">
        <f aca="false">IF(TEXT(H2807,"dddd")&lt;&gt;I2807,"Mismatch","OK")</f>
        <v>OK</v>
      </c>
      <c r="Y2807" s="9" t="str">
        <f aca="false">IF(AND(N2807="No",O2807&lt;&gt;""),"Unexpected: channel present but no reminder sent",IF(AND(N2807="Yes",O2807=""),"Missing channel for sent reminder","OK"))</f>
        <v>OK</v>
      </c>
    </row>
    <row r="2808" customFormat="false" ht="15" hidden="false" customHeight="false" outlineLevel="0" collapsed="false">
      <c r="A2808" s="7" t="s">
        <v>4299</v>
      </c>
      <c r="B2808" s="7" t="s">
        <v>1088</v>
      </c>
      <c r="C2808" s="7" t="s">
        <v>37</v>
      </c>
      <c r="D2808" s="7" t="n">
        <v>23</v>
      </c>
      <c r="E2808" s="7" t="s">
        <v>82</v>
      </c>
      <c r="F2808" s="7" t="s">
        <v>39</v>
      </c>
      <c r="G2808" s="8" t="n">
        <v>45801</v>
      </c>
      <c r="H2808" s="8" t="n">
        <v>45815</v>
      </c>
      <c r="I2808" s="7" t="s">
        <v>102</v>
      </c>
      <c r="J2808" s="7" t="s">
        <v>51</v>
      </c>
      <c r="K2808" s="7" t="n">
        <v>14</v>
      </c>
      <c r="L2808" s="7" t="n">
        <v>3</v>
      </c>
      <c r="M2808" s="7" t="n">
        <v>0</v>
      </c>
      <c r="N2808" s="7" t="s">
        <v>42</v>
      </c>
      <c r="O2808" s="7" t="s">
        <v>52</v>
      </c>
      <c r="P2808" s="7" t="n">
        <v>2.3</v>
      </c>
      <c r="Q2808" s="7" t="n">
        <v>34</v>
      </c>
      <c r="R2808" s="7" t="s">
        <v>53</v>
      </c>
      <c r="S2808" s="7"/>
      <c r="T2808" s="7"/>
      <c r="U2808" s="7" t="str">
        <f aca="false">IF(COUNTIF($A$2:$A$5001,A2808)&gt;1,"Duplicate","Unique")</f>
        <v>Unique</v>
      </c>
      <c r="V2808" s="7" t="str">
        <f aca="false">IF(COUNTIFS($B$2:$B$5001,B2808,$H$2:$H$5001,H2808,$J$2:$J$5001,J2808)&gt;1,"Possible Duplicate Booking","Unique")</f>
        <v>Unique</v>
      </c>
      <c r="W2808" s="7" t="str">
        <f aca="false">IF((H2808-G2808)&lt;&gt;K2808,"Mismatch","OK")</f>
        <v>OK</v>
      </c>
      <c r="X2808" s="7" t="str">
        <f aca="false">IF(TEXT(H2808,"dddd")&lt;&gt;I2808,"Mismatch","OK")</f>
        <v>OK</v>
      </c>
      <c r="Y2808" s="7" t="str">
        <f aca="false">IF(AND(N2808="No",O2808&lt;&gt;""),"Unexpected: channel present but no reminder sent",IF(AND(N2808="Yes",O2808=""),"Missing channel for sent reminder","OK"))</f>
        <v>OK</v>
      </c>
    </row>
    <row r="2809" customFormat="false" ht="15" hidden="false" customHeight="false" outlineLevel="0" collapsed="false">
      <c r="A2809" s="9" t="s">
        <v>4300</v>
      </c>
      <c r="B2809" s="9" t="s">
        <v>3694</v>
      </c>
      <c r="C2809" s="9" t="s">
        <v>37</v>
      </c>
      <c r="D2809" s="9" t="n">
        <v>51</v>
      </c>
      <c r="E2809" s="9" t="s">
        <v>56</v>
      </c>
      <c r="F2809" s="9" t="s">
        <v>57</v>
      </c>
      <c r="G2809" s="10" t="n">
        <v>45795</v>
      </c>
      <c r="H2809" s="10" t="n">
        <v>45827</v>
      </c>
      <c r="I2809" s="9" t="s">
        <v>62</v>
      </c>
      <c r="J2809" s="9" t="s">
        <v>41</v>
      </c>
      <c r="K2809" s="9" t="n">
        <v>32</v>
      </c>
      <c r="L2809" s="9" t="n">
        <v>2</v>
      </c>
      <c r="M2809" s="9" t="n">
        <v>2</v>
      </c>
      <c r="N2809" s="9" t="s">
        <v>42</v>
      </c>
      <c r="O2809" s="9" t="s">
        <v>67</v>
      </c>
      <c r="P2809" s="9" t="n">
        <v>2.3</v>
      </c>
      <c r="Q2809" s="9" t="n">
        <v>20</v>
      </c>
      <c r="R2809" s="9" t="s">
        <v>53</v>
      </c>
      <c r="S2809" s="9"/>
      <c r="T2809" s="9"/>
      <c r="U2809" s="9" t="str">
        <f aca="false">IF(COUNTIF($A$2:$A$5001,A2809)&gt;1,"Duplicate","Unique")</f>
        <v>Unique</v>
      </c>
      <c r="V2809" s="9" t="str">
        <f aca="false">IF(COUNTIFS($B$2:$B$5001,B2809,$H$2:$H$5001,H2809,$J$2:$J$5001,J2809)&gt;1,"Possible Duplicate Booking","Unique")</f>
        <v>Unique</v>
      </c>
      <c r="W2809" s="9" t="str">
        <f aca="false">IF((H2809-G2809)&lt;&gt;K2809,"Mismatch","OK")</f>
        <v>OK</v>
      </c>
      <c r="X2809" s="9" t="str">
        <f aca="false">IF(TEXT(H2809,"dddd")&lt;&gt;I2809,"Mismatch","OK")</f>
        <v>OK</v>
      </c>
      <c r="Y2809" s="9" t="str">
        <f aca="false">IF(AND(N2809="No",O2809&lt;&gt;""),"Unexpected: channel present but no reminder sent",IF(AND(N2809="Yes",O2809=""),"Missing channel for sent reminder","OK"))</f>
        <v>OK</v>
      </c>
    </row>
    <row r="2810" customFormat="false" ht="15" hidden="false" customHeight="false" outlineLevel="0" collapsed="false">
      <c r="A2810" s="7" t="s">
        <v>4301</v>
      </c>
      <c r="B2810" s="7" t="s">
        <v>2323</v>
      </c>
      <c r="C2810" s="7" t="s">
        <v>47</v>
      </c>
      <c r="D2810" s="7" t="n">
        <v>27</v>
      </c>
      <c r="E2810" s="7" t="s">
        <v>48</v>
      </c>
      <c r="F2810" s="7" t="s">
        <v>49</v>
      </c>
      <c r="G2810" s="8" t="n">
        <v>46084</v>
      </c>
      <c r="H2810" s="8" t="n">
        <v>46090</v>
      </c>
      <c r="I2810" s="7" t="s">
        <v>66</v>
      </c>
      <c r="J2810" s="7" t="s">
        <v>41</v>
      </c>
      <c r="K2810" s="7" t="n">
        <v>6</v>
      </c>
      <c r="L2810" s="7" t="n">
        <v>6</v>
      </c>
      <c r="M2810" s="7" t="n">
        <v>0</v>
      </c>
      <c r="N2810" s="7" t="s">
        <v>71</v>
      </c>
      <c r="O2810" s="7"/>
      <c r="P2810" s="7" t="n">
        <v>27.7</v>
      </c>
      <c r="Q2810" s="7" t="n">
        <v>15</v>
      </c>
      <c r="R2810" s="7" t="s">
        <v>53</v>
      </c>
      <c r="S2810" s="7"/>
      <c r="T2810" s="7"/>
      <c r="U2810" s="7" t="str">
        <f aca="false">IF(COUNTIF($A$2:$A$5001,A2810)&gt;1,"Duplicate","Unique")</f>
        <v>Unique</v>
      </c>
      <c r="V2810" s="7" t="str">
        <f aca="false">IF(COUNTIFS($B$2:$B$5001,B2810,$H$2:$H$5001,H2810,$J$2:$J$5001,J2810)&gt;1,"Possible Duplicate Booking","Unique")</f>
        <v>Unique</v>
      </c>
      <c r="W2810" s="7" t="str">
        <f aca="false">IF((H2810-G2810)&lt;&gt;K2810,"Mismatch","OK")</f>
        <v>OK</v>
      </c>
      <c r="X2810" s="7" t="str">
        <f aca="false">IF(TEXT(H2810,"dddd")&lt;&gt;I2810,"Mismatch","OK")</f>
        <v>OK</v>
      </c>
      <c r="Y2810" s="7" t="str">
        <f aca="false">IF(AND(N2810="No",O2810&lt;&gt;""),"Unexpected: channel present but no reminder sent",IF(AND(N2810="Yes",O2810=""),"Missing channel for sent reminder","OK"))</f>
        <v>OK</v>
      </c>
    </row>
    <row r="2811" customFormat="false" ht="15" hidden="false" customHeight="false" outlineLevel="0" collapsed="false">
      <c r="A2811" s="9" t="s">
        <v>4302</v>
      </c>
      <c r="B2811" s="9" t="s">
        <v>2791</v>
      </c>
      <c r="C2811" s="9" t="s">
        <v>37</v>
      </c>
      <c r="D2811" s="9" t="n">
        <v>30</v>
      </c>
      <c r="E2811" s="9" t="s">
        <v>48</v>
      </c>
      <c r="F2811" s="9" t="s">
        <v>57</v>
      </c>
      <c r="G2811" s="10" t="n">
        <v>45739</v>
      </c>
      <c r="H2811" s="10" t="n">
        <v>45761</v>
      </c>
      <c r="I2811" s="9" t="s">
        <v>66</v>
      </c>
      <c r="J2811" s="9" t="s">
        <v>51</v>
      </c>
      <c r="K2811" s="9" t="n">
        <v>22</v>
      </c>
      <c r="L2811" s="9" t="n">
        <v>2</v>
      </c>
      <c r="M2811" s="9" t="n">
        <v>1</v>
      </c>
      <c r="N2811" s="9" t="s">
        <v>71</v>
      </c>
      <c r="O2811" s="9"/>
      <c r="P2811" s="9" t="n">
        <v>8.2</v>
      </c>
      <c r="Q2811" s="9" t="n">
        <v>2</v>
      </c>
      <c r="R2811" s="9" t="s">
        <v>44</v>
      </c>
      <c r="S2811" s="9"/>
      <c r="T2811" s="9"/>
      <c r="U2811" s="9" t="str">
        <f aca="false">IF(COUNTIF($A$2:$A$5001,A2811)&gt;1,"Duplicate","Unique")</f>
        <v>Unique</v>
      </c>
      <c r="V2811" s="9" t="str">
        <f aca="false">IF(COUNTIFS($B$2:$B$5001,B2811,$H$2:$H$5001,H2811,$J$2:$J$5001,J2811)&gt;1,"Possible Duplicate Booking","Unique")</f>
        <v>Unique</v>
      </c>
      <c r="W2811" s="9" t="str">
        <f aca="false">IF((H2811-G2811)&lt;&gt;K2811,"Mismatch","OK")</f>
        <v>OK</v>
      </c>
      <c r="X2811" s="9" t="str">
        <f aca="false">IF(TEXT(H2811,"dddd")&lt;&gt;I2811,"Mismatch","OK")</f>
        <v>OK</v>
      </c>
      <c r="Y2811" s="9" t="str">
        <f aca="false">IF(AND(N2811="No",O2811&lt;&gt;""),"Unexpected: channel present but no reminder sent",IF(AND(N2811="Yes",O2811=""),"Missing channel for sent reminder","OK"))</f>
        <v>OK</v>
      </c>
    </row>
    <row r="2812" customFormat="false" ht="15" hidden="false" customHeight="false" outlineLevel="0" collapsed="false">
      <c r="A2812" s="7" t="s">
        <v>4303</v>
      </c>
      <c r="B2812" s="7" t="s">
        <v>2100</v>
      </c>
      <c r="C2812" s="7" t="s">
        <v>37</v>
      </c>
      <c r="D2812" s="7" t="n">
        <v>25</v>
      </c>
      <c r="E2812" s="7" t="s">
        <v>48</v>
      </c>
      <c r="F2812" s="7" t="s">
        <v>57</v>
      </c>
      <c r="G2812" s="8" t="n">
        <v>45908</v>
      </c>
      <c r="H2812" s="8" t="n">
        <v>45938</v>
      </c>
      <c r="I2812" s="7" t="s">
        <v>58</v>
      </c>
      <c r="J2812" s="7" t="s">
        <v>41</v>
      </c>
      <c r="K2812" s="7" t="n">
        <v>30</v>
      </c>
      <c r="L2812" s="7" t="n">
        <v>2</v>
      </c>
      <c r="M2812" s="7" t="n">
        <v>2</v>
      </c>
      <c r="N2812" s="7" t="s">
        <v>71</v>
      </c>
      <c r="O2812" s="7"/>
      <c r="P2812" s="7" t="n">
        <v>3.9</v>
      </c>
      <c r="Q2812" s="7" t="n">
        <v>14</v>
      </c>
      <c r="R2812" s="7" t="s">
        <v>44</v>
      </c>
      <c r="S2812" s="7"/>
      <c r="T2812" s="7"/>
      <c r="U2812" s="7" t="str">
        <f aca="false">IF(COUNTIF($A$2:$A$5001,A2812)&gt;1,"Duplicate","Unique")</f>
        <v>Unique</v>
      </c>
      <c r="V2812" s="7" t="str">
        <f aca="false">IF(COUNTIFS($B$2:$B$5001,B2812,$H$2:$H$5001,H2812,$J$2:$J$5001,J2812)&gt;1,"Possible Duplicate Booking","Unique")</f>
        <v>Unique</v>
      </c>
      <c r="W2812" s="7" t="str">
        <f aca="false">IF((H2812-G2812)&lt;&gt;K2812,"Mismatch","OK")</f>
        <v>OK</v>
      </c>
      <c r="X2812" s="7" t="str">
        <f aca="false">IF(TEXT(H2812,"dddd")&lt;&gt;I2812,"Mismatch","OK")</f>
        <v>OK</v>
      </c>
      <c r="Y2812" s="7" t="str">
        <f aca="false">IF(AND(N2812="No",O2812&lt;&gt;""),"Unexpected: channel present but no reminder sent",IF(AND(N2812="Yes",O2812=""),"Missing channel for sent reminder","OK"))</f>
        <v>OK</v>
      </c>
    </row>
    <row r="2813" customFormat="false" ht="15" hidden="false" customHeight="false" outlineLevel="0" collapsed="false">
      <c r="A2813" s="9" t="s">
        <v>4304</v>
      </c>
      <c r="B2813" s="9" t="s">
        <v>455</v>
      </c>
      <c r="C2813" s="9" t="s">
        <v>37</v>
      </c>
      <c r="D2813" s="9" t="n">
        <v>63</v>
      </c>
      <c r="E2813" s="9" t="s">
        <v>61</v>
      </c>
      <c r="F2813" s="9" t="s">
        <v>39</v>
      </c>
      <c r="G2813" s="10" t="n">
        <v>45774</v>
      </c>
      <c r="H2813" s="10" t="n">
        <v>45814</v>
      </c>
      <c r="I2813" s="9" t="s">
        <v>50</v>
      </c>
      <c r="J2813" s="9" t="s">
        <v>41</v>
      </c>
      <c r="K2813" s="9" t="n">
        <v>40</v>
      </c>
      <c r="L2813" s="9" t="n">
        <v>2</v>
      </c>
      <c r="M2813" s="9" t="n">
        <v>0</v>
      </c>
      <c r="N2813" s="9" t="s">
        <v>42</v>
      </c>
      <c r="O2813" s="9" t="s">
        <v>43</v>
      </c>
      <c r="P2813" s="9" t="n">
        <v>17.2</v>
      </c>
      <c r="Q2813" s="9" t="n">
        <v>16</v>
      </c>
      <c r="R2813" s="9" t="s">
        <v>44</v>
      </c>
      <c r="S2813" s="9"/>
      <c r="T2813" s="9"/>
      <c r="U2813" s="9" t="str">
        <f aca="false">IF(COUNTIF($A$2:$A$5001,A2813)&gt;1,"Duplicate","Unique")</f>
        <v>Unique</v>
      </c>
      <c r="V2813" s="9" t="str">
        <f aca="false">IF(COUNTIFS($B$2:$B$5001,B2813,$H$2:$H$5001,H2813,$J$2:$J$5001,J2813)&gt;1,"Possible Duplicate Booking","Unique")</f>
        <v>Unique</v>
      </c>
      <c r="W2813" s="9" t="str">
        <f aca="false">IF((H2813-G2813)&lt;&gt;K2813,"Mismatch","OK")</f>
        <v>OK</v>
      </c>
      <c r="X2813" s="9" t="str">
        <f aca="false">IF(TEXT(H2813,"dddd")&lt;&gt;I2813,"Mismatch","OK")</f>
        <v>OK</v>
      </c>
      <c r="Y2813" s="9" t="str">
        <f aca="false">IF(AND(N2813="No",O2813&lt;&gt;""),"Unexpected: channel present but no reminder sent",IF(AND(N2813="Yes",O2813=""),"Missing channel for sent reminder","OK"))</f>
        <v>OK</v>
      </c>
    </row>
    <row r="2814" customFormat="false" ht="15" hidden="false" customHeight="false" outlineLevel="0" collapsed="false">
      <c r="A2814" s="7" t="s">
        <v>4305</v>
      </c>
      <c r="B2814" s="7" t="s">
        <v>987</v>
      </c>
      <c r="C2814" s="7" t="s">
        <v>37</v>
      </c>
      <c r="D2814" s="7" t="n">
        <v>58</v>
      </c>
      <c r="E2814" s="7" t="s">
        <v>61</v>
      </c>
      <c r="F2814" s="7" t="s">
        <v>39</v>
      </c>
      <c r="G2814" s="8" t="n">
        <v>45761</v>
      </c>
      <c r="H2814" s="8" t="n">
        <v>45766</v>
      </c>
      <c r="I2814" s="7" t="s">
        <v>102</v>
      </c>
      <c r="J2814" s="7" t="s">
        <v>51</v>
      </c>
      <c r="K2814" s="7" t="n">
        <v>5</v>
      </c>
      <c r="L2814" s="7" t="n">
        <v>6</v>
      </c>
      <c r="M2814" s="7" t="n">
        <v>1</v>
      </c>
      <c r="N2814" s="7" t="s">
        <v>42</v>
      </c>
      <c r="O2814" s="7" t="s">
        <v>52</v>
      </c>
      <c r="P2814" s="7" t="n">
        <v>5.8</v>
      </c>
      <c r="Q2814" s="7" t="n">
        <v>28</v>
      </c>
      <c r="R2814" s="7" t="s">
        <v>44</v>
      </c>
      <c r="S2814" s="7"/>
      <c r="T2814" s="7"/>
      <c r="U2814" s="7" t="str">
        <f aca="false">IF(COUNTIF($A$2:$A$5001,A2814)&gt;1,"Duplicate","Unique")</f>
        <v>Unique</v>
      </c>
      <c r="V2814" s="7" t="str">
        <f aca="false">IF(COUNTIFS($B$2:$B$5001,B2814,$H$2:$H$5001,H2814,$J$2:$J$5001,J2814)&gt;1,"Possible Duplicate Booking","Unique")</f>
        <v>Unique</v>
      </c>
      <c r="W2814" s="7" t="str">
        <f aca="false">IF((H2814-G2814)&lt;&gt;K2814,"Mismatch","OK")</f>
        <v>OK</v>
      </c>
      <c r="X2814" s="7" t="str">
        <f aca="false">IF(TEXT(H2814,"dddd")&lt;&gt;I2814,"Mismatch","OK")</f>
        <v>OK</v>
      </c>
      <c r="Y2814" s="7" t="str">
        <f aca="false">IF(AND(N2814="No",O2814&lt;&gt;""),"Unexpected: channel present but no reminder sent",IF(AND(N2814="Yes",O2814=""),"Missing channel for sent reminder","OK"))</f>
        <v>OK</v>
      </c>
    </row>
    <row r="2815" customFormat="false" ht="15" hidden="false" customHeight="false" outlineLevel="0" collapsed="false">
      <c r="A2815" s="9" t="s">
        <v>4306</v>
      </c>
      <c r="B2815" s="9" t="s">
        <v>3307</v>
      </c>
      <c r="C2815" s="9" t="s">
        <v>37</v>
      </c>
      <c r="D2815" s="9" t="n">
        <v>78</v>
      </c>
      <c r="E2815" s="9" t="s">
        <v>70</v>
      </c>
      <c r="F2815" s="9" t="s">
        <v>74</v>
      </c>
      <c r="G2815" s="10" t="n">
        <v>46135</v>
      </c>
      <c r="H2815" s="10" t="n">
        <v>46184</v>
      </c>
      <c r="I2815" s="9" t="s">
        <v>62</v>
      </c>
      <c r="J2815" s="9" t="s">
        <v>41</v>
      </c>
      <c r="K2815" s="9" t="n">
        <v>49</v>
      </c>
      <c r="L2815" s="9" t="n">
        <v>2</v>
      </c>
      <c r="M2815" s="9" t="n">
        <v>0</v>
      </c>
      <c r="N2815" s="9" t="s">
        <v>71</v>
      </c>
      <c r="O2815" s="9"/>
      <c r="P2815" s="9" t="n">
        <v>9.2</v>
      </c>
      <c r="Q2815" s="9" t="n">
        <v>28</v>
      </c>
      <c r="R2815" s="9" t="s">
        <v>53</v>
      </c>
      <c r="S2815" s="9"/>
      <c r="T2815" s="9"/>
      <c r="U2815" s="9" t="str">
        <f aca="false">IF(COUNTIF($A$2:$A$5001,A2815)&gt;1,"Duplicate","Unique")</f>
        <v>Unique</v>
      </c>
      <c r="V2815" s="9" t="str">
        <f aca="false">IF(COUNTIFS($B$2:$B$5001,B2815,$H$2:$H$5001,H2815,$J$2:$J$5001,J2815)&gt;1,"Possible Duplicate Booking","Unique")</f>
        <v>Unique</v>
      </c>
      <c r="W2815" s="9" t="str">
        <f aca="false">IF((H2815-G2815)&lt;&gt;K2815,"Mismatch","OK")</f>
        <v>OK</v>
      </c>
      <c r="X2815" s="9" t="str">
        <f aca="false">IF(TEXT(H2815,"dddd")&lt;&gt;I2815,"Mismatch","OK")</f>
        <v>OK</v>
      </c>
      <c r="Y2815" s="9" t="str">
        <f aca="false">IF(AND(N2815="No",O2815&lt;&gt;""),"Unexpected: channel present but no reminder sent",IF(AND(N2815="Yes",O2815=""),"Missing channel for sent reminder","OK"))</f>
        <v>OK</v>
      </c>
    </row>
    <row r="2816" customFormat="false" ht="15" hidden="false" customHeight="false" outlineLevel="0" collapsed="false">
      <c r="A2816" s="7" t="s">
        <v>4307</v>
      </c>
      <c r="B2816" s="7" t="s">
        <v>4018</v>
      </c>
      <c r="C2816" s="7" t="s">
        <v>47</v>
      </c>
      <c r="D2816" s="7" t="n">
        <v>25</v>
      </c>
      <c r="E2816" s="7" t="s">
        <v>48</v>
      </c>
      <c r="F2816" s="7" t="s">
        <v>49</v>
      </c>
      <c r="G2816" s="8" t="n">
        <v>45740</v>
      </c>
      <c r="H2816" s="8" t="n">
        <v>45767</v>
      </c>
      <c r="I2816" s="7" t="s">
        <v>75</v>
      </c>
      <c r="J2816" s="7" t="s">
        <v>51</v>
      </c>
      <c r="K2816" s="7" t="n">
        <v>27</v>
      </c>
      <c r="L2816" s="7" t="n">
        <v>5</v>
      </c>
      <c r="M2816" s="7" t="n">
        <v>0</v>
      </c>
      <c r="N2816" s="7" t="s">
        <v>71</v>
      </c>
      <c r="O2816" s="7"/>
      <c r="P2816" s="7" t="n">
        <v>10.2</v>
      </c>
      <c r="Q2816" s="7" t="n">
        <v>40</v>
      </c>
      <c r="R2816" s="7" t="s">
        <v>53</v>
      </c>
      <c r="S2816" s="7"/>
      <c r="T2816" s="7"/>
      <c r="U2816" s="7" t="str">
        <f aca="false">IF(COUNTIF($A$2:$A$5001,A2816)&gt;1,"Duplicate","Unique")</f>
        <v>Unique</v>
      </c>
      <c r="V2816" s="7" t="str">
        <f aca="false">IF(COUNTIFS($B$2:$B$5001,B2816,$H$2:$H$5001,H2816,$J$2:$J$5001,J2816)&gt;1,"Possible Duplicate Booking","Unique")</f>
        <v>Unique</v>
      </c>
      <c r="W2816" s="7" t="str">
        <f aca="false">IF((H2816-G2816)&lt;&gt;K2816,"Mismatch","OK")</f>
        <v>OK</v>
      </c>
      <c r="X2816" s="7" t="str">
        <f aca="false">IF(TEXT(H2816,"dddd")&lt;&gt;I2816,"Mismatch","OK")</f>
        <v>OK</v>
      </c>
      <c r="Y2816" s="7" t="str">
        <f aca="false">IF(AND(N2816="No",O2816&lt;&gt;""),"Unexpected: channel present but no reminder sent",IF(AND(N2816="Yes",O2816=""),"Missing channel for sent reminder","OK"))</f>
        <v>OK</v>
      </c>
    </row>
    <row r="2817" customFormat="false" ht="15" hidden="false" customHeight="false" outlineLevel="0" collapsed="false">
      <c r="A2817" s="9" t="s">
        <v>4308</v>
      </c>
      <c r="B2817" s="9" t="s">
        <v>4164</v>
      </c>
      <c r="C2817" s="9" t="s">
        <v>37</v>
      </c>
      <c r="D2817" s="9" t="n">
        <v>31</v>
      </c>
      <c r="E2817" s="9" t="s">
        <v>48</v>
      </c>
      <c r="F2817" s="9" t="s">
        <v>49</v>
      </c>
      <c r="G2817" s="10" t="n">
        <v>45656</v>
      </c>
      <c r="H2817" s="10" t="n">
        <v>45709</v>
      </c>
      <c r="I2817" s="9" t="s">
        <v>50</v>
      </c>
      <c r="J2817" s="9" t="s">
        <v>41</v>
      </c>
      <c r="K2817" s="9" t="n">
        <v>53</v>
      </c>
      <c r="L2817" s="9" t="n">
        <v>3</v>
      </c>
      <c r="M2817" s="9" t="n">
        <v>0</v>
      </c>
      <c r="N2817" s="9" t="s">
        <v>71</v>
      </c>
      <c r="O2817" s="9"/>
      <c r="P2817" s="9" t="n">
        <v>4.1</v>
      </c>
      <c r="Q2817" s="9" t="n">
        <v>11</v>
      </c>
      <c r="R2817" s="9" t="s">
        <v>53</v>
      </c>
      <c r="S2817" s="9"/>
      <c r="T2817" s="9"/>
      <c r="U2817" s="9" t="str">
        <f aca="false">IF(COUNTIF($A$2:$A$5001,A2817)&gt;1,"Duplicate","Unique")</f>
        <v>Unique</v>
      </c>
      <c r="V2817" s="9" t="str">
        <f aca="false">IF(COUNTIFS($B$2:$B$5001,B2817,$H$2:$H$5001,H2817,$J$2:$J$5001,J2817)&gt;1,"Possible Duplicate Booking","Unique")</f>
        <v>Unique</v>
      </c>
      <c r="W2817" s="9" t="str">
        <f aca="false">IF((H2817-G2817)&lt;&gt;K2817,"Mismatch","OK")</f>
        <v>OK</v>
      </c>
      <c r="X2817" s="9" t="str">
        <f aca="false">IF(TEXT(H2817,"dddd")&lt;&gt;I2817,"Mismatch","OK")</f>
        <v>OK</v>
      </c>
      <c r="Y2817" s="9" t="str">
        <f aca="false">IF(AND(N2817="No",O2817&lt;&gt;""),"Unexpected: channel present but no reminder sent",IF(AND(N2817="Yes",O2817=""),"Missing channel for sent reminder","OK"))</f>
        <v>OK</v>
      </c>
    </row>
    <row r="2818" customFormat="false" ht="15" hidden="false" customHeight="false" outlineLevel="0" collapsed="false">
      <c r="A2818" s="7" t="s">
        <v>4309</v>
      </c>
      <c r="B2818" s="7" t="s">
        <v>272</v>
      </c>
      <c r="C2818" s="7" t="s">
        <v>47</v>
      </c>
      <c r="D2818" s="7" t="n">
        <v>46</v>
      </c>
      <c r="E2818" s="7" t="s">
        <v>56</v>
      </c>
      <c r="F2818" s="7" t="s">
        <v>57</v>
      </c>
      <c r="G2818" s="8" t="n">
        <v>45993</v>
      </c>
      <c r="H2818" s="8" t="n">
        <v>46025</v>
      </c>
      <c r="I2818" s="7" t="s">
        <v>102</v>
      </c>
      <c r="J2818" s="7" t="s">
        <v>41</v>
      </c>
      <c r="K2818" s="7" t="n">
        <v>32</v>
      </c>
      <c r="L2818" s="7" t="n">
        <v>4</v>
      </c>
      <c r="M2818" s="7" t="n">
        <v>1</v>
      </c>
      <c r="N2818" s="7" t="s">
        <v>71</v>
      </c>
      <c r="O2818" s="7"/>
      <c r="P2818" s="7" t="n">
        <v>5.9</v>
      </c>
      <c r="Q2818" s="7" t="n">
        <v>25</v>
      </c>
      <c r="R2818" s="7" t="s">
        <v>53</v>
      </c>
      <c r="S2818" s="7"/>
      <c r="T2818" s="7"/>
      <c r="U2818" s="7" t="str">
        <f aca="false">IF(COUNTIF($A$2:$A$5001,A2818)&gt;1,"Duplicate","Unique")</f>
        <v>Unique</v>
      </c>
      <c r="V2818" s="7" t="str">
        <f aca="false">IF(COUNTIFS($B$2:$B$5001,B2818,$H$2:$H$5001,H2818,$J$2:$J$5001,J2818)&gt;1,"Possible Duplicate Booking","Unique")</f>
        <v>Unique</v>
      </c>
      <c r="W2818" s="7" t="str">
        <f aca="false">IF((H2818-G2818)&lt;&gt;K2818,"Mismatch","OK")</f>
        <v>OK</v>
      </c>
      <c r="X2818" s="7" t="str">
        <f aca="false">IF(TEXT(H2818,"dddd")&lt;&gt;I2818,"Mismatch","OK")</f>
        <v>OK</v>
      </c>
      <c r="Y2818" s="7" t="str">
        <f aca="false">IF(AND(N2818="No",O2818&lt;&gt;""),"Unexpected: channel present but no reminder sent",IF(AND(N2818="Yes",O2818=""),"Missing channel for sent reminder","OK"))</f>
        <v>OK</v>
      </c>
    </row>
    <row r="2819" customFormat="false" ht="15" hidden="false" customHeight="false" outlineLevel="0" collapsed="false">
      <c r="A2819" s="9" t="s">
        <v>4310</v>
      </c>
      <c r="B2819" s="9" t="s">
        <v>4311</v>
      </c>
      <c r="C2819" s="9" t="s">
        <v>47</v>
      </c>
      <c r="D2819" s="9" t="n">
        <v>58</v>
      </c>
      <c r="E2819" s="9" t="s">
        <v>61</v>
      </c>
      <c r="F2819" s="9" t="s">
        <v>39</v>
      </c>
      <c r="G2819" s="10" t="n">
        <v>46098</v>
      </c>
      <c r="H2819" s="10" t="n">
        <v>46131</v>
      </c>
      <c r="I2819" s="9" t="s">
        <v>75</v>
      </c>
      <c r="J2819" s="9" t="s">
        <v>51</v>
      </c>
      <c r="K2819" s="9" t="n">
        <v>33</v>
      </c>
      <c r="L2819" s="9" t="n">
        <v>0</v>
      </c>
      <c r="M2819" s="9" t="n">
        <v>0</v>
      </c>
      <c r="N2819" s="9" t="s">
        <v>42</v>
      </c>
      <c r="O2819" s="9" t="s">
        <v>43</v>
      </c>
      <c r="P2819" s="9" t="n">
        <v>14</v>
      </c>
      <c r="Q2819" s="9" t="n">
        <v>26</v>
      </c>
      <c r="R2819" s="9" t="s">
        <v>44</v>
      </c>
      <c r="S2819" s="9"/>
      <c r="T2819" s="9"/>
      <c r="U2819" s="9" t="str">
        <f aca="false">IF(COUNTIF($A$2:$A$5001,A2819)&gt;1,"Duplicate","Unique")</f>
        <v>Unique</v>
      </c>
      <c r="V2819" s="9" t="str">
        <f aca="false">IF(COUNTIFS($B$2:$B$5001,B2819,$H$2:$H$5001,H2819,$J$2:$J$5001,J2819)&gt;1,"Possible Duplicate Booking","Unique")</f>
        <v>Unique</v>
      </c>
      <c r="W2819" s="9" t="str">
        <f aca="false">IF((H2819-G2819)&lt;&gt;K2819,"Mismatch","OK")</f>
        <v>OK</v>
      </c>
      <c r="X2819" s="9" t="str">
        <f aca="false">IF(TEXT(H2819,"dddd")&lt;&gt;I2819,"Mismatch","OK")</f>
        <v>OK</v>
      </c>
      <c r="Y2819" s="9" t="str">
        <f aca="false">IF(AND(N2819="No",O2819&lt;&gt;""),"Unexpected: channel present but no reminder sent",IF(AND(N2819="Yes",O2819=""),"Missing channel for sent reminder","OK"))</f>
        <v>OK</v>
      </c>
    </row>
    <row r="2820" customFormat="false" ht="15" hidden="false" customHeight="false" outlineLevel="0" collapsed="false">
      <c r="A2820" s="7" t="s">
        <v>4312</v>
      </c>
      <c r="B2820" s="7" t="s">
        <v>3681</v>
      </c>
      <c r="C2820" s="7" t="s">
        <v>47</v>
      </c>
      <c r="D2820" s="7" t="n">
        <v>26</v>
      </c>
      <c r="E2820" s="7" t="s">
        <v>48</v>
      </c>
      <c r="F2820" s="7" t="s">
        <v>74</v>
      </c>
      <c r="G2820" s="8" t="n">
        <v>45685</v>
      </c>
      <c r="H2820" s="8" t="n">
        <v>45727</v>
      </c>
      <c r="I2820" s="7" t="s">
        <v>40</v>
      </c>
      <c r="J2820" s="7" t="s">
        <v>41</v>
      </c>
      <c r="K2820" s="7" t="n">
        <v>42</v>
      </c>
      <c r="L2820" s="7" t="n">
        <v>1</v>
      </c>
      <c r="M2820" s="7" t="n">
        <v>0</v>
      </c>
      <c r="N2820" s="7" t="s">
        <v>42</v>
      </c>
      <c r="O2820" s="7" t="s">
        <v>52</v>
      </c>
      <c r="P2820" s="7" t="n">
        <v>20.7</v>
      </c>
      <c r="Q2820" s="7" t="n">
        <v>13</v>
      </c>
      <c r="R2820" s="7" t="s">
        <v>53</v>
      </c>
      <c r="S2820" s="7"/>
      <c r="T2820" s="7"/>
      <c r="U2820" s="7" t="str">
        <f aca="false">IF(COUNTIF($A$2:$A$5001,A2820)&gt;1,"Duplicate","Unique")</f>
        <v>Unique</v>
      </c>
      <c r="V2820" s="7" t="str">
        <f aca="false">IF(COUNTIFS($B$2:$B$5001,B2820,$H$2:$H$5001,H2820,$J$2:$J$5001,J2820)&gt;1,"Possible Duplicate Booking","Unique")</f>
        <v>Unique</v>
      </c>
      <c r="W2820" s="7" t="str">
        <f aca="false">IF((H2820-G2820)&lt;&gt;K2820,"Mismatch","OK")</f>
        <v>OK</v>
      </c>
      <c r="X2820" s="7" t="str">
        <f aca="false">IF(TEXT(H2820,"dddd")&lt;&gt;I2820,"Mismatch","OK")</f>
        <v>OK</v>
      </c>
      <c r="Y2820" s="7" t="str">
        <f aca="false">IF(AND(N2820="No",O2820&lt;&gt;""),"Unexpected: channel present but no reminder sent",IF(AND(N2820="Yes",O2820=""),"Missing channel for sent reminder","OK"))</f>
        <v>OK</v>
      </c>
    </row>
    <row r="2821" customFormat="false" ht="15" hidden="false" customHeight="false" outlineLevel="0" collapsed="false">
      <c r="A2821" s="9" t="s">
        <v>4313</v>
      </c>
      <c r="B2821" s="9" t="s">
        <v>1775</v>
      </c>
      <c r="C2821" s="9" t="s">
        <v>37</v>
      </c>
      <c r="D2821" s="9" t="n">
        <v>31</v>
      </c>
      <c r="E2821" s="9" t="s">
        <v>48</v>
      </c>
      <c r="F2821" s="9" t="s">
        <v>57</v>
      </c>
      <c r="G2821" s="10" t="n">
        <v>45994</v>
      </c>
      <c r="H2821" s="10" t="n">
        <v>46044</v>
      </c>
      <c r="I2821" s="9" t="s">
        <v>62</v>
      </c>
      <c r="J2821" s="9" t="s">
        <v>51</v>
      </c>
      <c r="K2821" s="9" t="n">
        <v>50</v>
      </c>
      <c r="L2821" s="9" t="n">
        <v>6</v>
      </c>
      <c r="M2821" s="9" t="n">
        <v>1</v>
      </c>
      <c r="N2821" s="9" t="s">
        <v>42</v>
      </c>
      <c r="O2821" s="9" t="s">
        <v>52</v>
      </c>
      <c r="P2821" s="9" t="n">
        <v>14.9</v>
      </c>
      <c r="Q2821" s="9" t="n">
        <v>34</v>
      </c>
      <c r="R2821" s="9" t="s">
        <v>53</v>
      </c>
      <c r="S2821" s="9"/>
      <c r="T2821" s="9"/>
      <c r="U2821" s="9" t="str">
        <f aca="false">IF(COUNTIF($A$2:$A$5001,A2821)&gt;1,"Duplicate","Unique")</f>
        <v>Unique</v>
      </c>
      <c r="V2821" s="9" t="str">
        <f aca="false">IF(COUNTIFS($B$2:$B$5001,B2821,$H$2:$H$5001,H2821,$J$2:$J$5001,J2821)&gt;1,"Possible Duplicate Booking","Unique")</f>
        <v>Unique</v>
      </c>
      <c r="W2821" s="9" t="str">
        <f aca="false">IF((H2821-G2821)&lt;&gt;K2821,"Mismatch","OK")</f>
        <v>OK</v>
      </c>
      <c r="X2821" s="9" t="str">
        <f aca="false">IF(TEXT(H2821,"dddd")&lt;&gt;I2821,"Mismatch","OK")</f>
        <v>OK</v>
      </c>
      <c r="Y2821" s="9" t="str">
        <f aca="false">IF(AND(N2821="No",O2821&lt;&gt;""),"Unexpected: channel present but no reminder sent",IF(AND(N2821="Yes",O2821=""),"Missing channel for sent reminder","OK"))</f>
        <v>OK</v>
      </c>
    </row>
    <row r="2822" customFormat="false" ht="15" hidden="false" customHeight="false" outlineLevel="0" collapsed="false">
      <c r="A2822" s="7" t="s">
        <v>4314</v>
      </c>
      <c r="B2822" s="7" t="s">
        <v>2226</v>
      </c>
      <c r="C2822" s="7" t="s">
        <v>37</v>
      </c>
      <c r="D2822" s="7" t="n">
        <v>44</v>
      </c>
      <c r="E2822" s="7" t="s">
        <v>38</v>
      </c>
      <c r="F2822" s="7" t="s">
        <v>49</v>
      </c>
      <c r="G2822" s="8" t="n">
        <v>45944</v>
      </c>
      <c r="H2822" s="8" t="n">
        <v>45953</v>
      </c>
      <c r="I2822" s="7" t="s">
        <v>62</v>
      </c>
      <c r="J2822" s="7" t="s">
        <v>41</v>
      </c>
      <c r="K2822" s="7" t="n">
        <v>9</v>
      </c>
      <c r="L2822" s="7" t="n">
        <v>3</v>
      </c>
      <c r="M2822" s="7" t="n">
        <v>1</v>
      </c>
      <c r="N2822" s="7" t="s">
        <v>42</v>
      </c>
      <c r="O2822" s="7" t="s">
        <v>43</v>
      </c>
      <c r="P2822" s="7" t="n">
        <v>11.3</v>
      </c>
      <c r="Q2822" s="7" t="n">
        <v>43</v>
      </c>
      <c r="R2822" s="7" t="s">
        <v>44</v>
      </c>
      <c r="S2822" s="7"/>
      <c r="T2822" s="7"/>
      <c r="U2822" s="7" t="str">
        <f aca="false">IF(COUNTIF($A$2:$A$5001,A2822)&gt;1,"Duplicate","Unique")</f>
        <v>Unique</v>
      </c>
      <c r="V2822" s="7" t="str">
        <f aca="false">IF(COUNTIFS($B$2:$B$5001,B2822,$H$2:$H$5001,H2822,$J$2:$J$5001,J2822)&gt;1,"Possible Duplicate Booking","Unique")</f>
        <v>Unique</v>
      </c>
      <c r="W2822" s="7" t="str">
        <f aca="false">IF((H2822-G2822)&lt;&gt;K2822,"Mismatch","OK")</f>
        <v>OK</v>
      </c>
      <c r="X2822" s="7" t="str">
        <f aca="false">IF(TEXT(H2822,"dddd")&lt;&gt;I2822,"Mismatch","OK")</f>
        <v>OK</v>
      </c>
      <c r="Y2822" s="7" t="str">
        <f aca="false">IF(AND(N2822="No",O2822&lt;&gt;""),"Unexpected: channel present but no reminder sent",IF(AND(N2822="Yes",O2822=""),"Missing channel for sent reminder","OK"))</f>
        <v>OK</v>
      </c>
    </row>
    <row r="2823" customFormat="false" ht="15" hidden="false" customHeight="false" outlineLevel="0" collapsed="false">
      <c r="A2823" s="9" t="s">
        <v>4315</v>
      </c>
      <c r="B2823" s="9" t="s">
        <v>4084</v>
      </c>
      <c r="C2823" s="9" t="s">
        <v>47</v>
      </c>
      <c r="D2823" s="9" t="n">
        <v>19</v>
      </c>
      <c r="E2823" s="9" t="s">
        <v>82</v>
      </c>
      <c r="F2823" s="9" t="s">
        <v>39</v>
      </c>
      <c r="G2823" s="10" t="n">
        <v>46080</v>
      </c>
      <c r="H2823" s="10" t="n">
        <v>46111</v>
      </c>
      <c r="I2823" s="9" t="s">
        <v>66</v>
      </c>
      <c r="J2823" s="9" t="s">
        <v>41</v>
      </c>
      <c r="K2823" s="9" t="n">
        <v>31</v>
      </c>
      <c r="L2823" s="9" t="n">
        <v>6</v>
      </c>
      <c r="M2823" s="9" t="n">
        <v>1</v>
      </c>
      <c r="N2823" s="9" t="s">
        <v>42</v>
      </c>
      <c r="O2823" s="9" t="s">
        <v>67</v>
      </c>
      <c r="P2823" s="9" t="n">
        <v>6.9</v>
      </c>
      <c r="Q2823" s="9" t="n">
        <v>24</v>
      </c>
      <c r="R2823" s="9" t="s">
        <v>44</v>
      </c>
      <c r="S2823" s="9"/>
      <c r="T2823" s="9"/>
      <c r="U2823" s="9" t="str">
        <f aca="false">IF(COUNTIF($A$2:$A$5001,A2823)&gt;1,"Duplicate","Unique")</f>
        <v>Unique</v>
      </c>
      <c r="V2823" s="9" t="str">
        <f aca="false">IF(COUNTIFS($B$2:$B$5001,B2823,$H$2:$H$5001,H2823,$J$2:$J$5001,J2823)&gt;1,"Possible Duplicate Booking","Unique")</f>
        <v>Unique</v>
      </c>
      <c r="W2823" s="9" t="str">
        <f aca="false">IF((H2823-G2823)&lt;&gt;K2823,"Mismatch","OK")</f>
        <v>OK</v>
      </c>
      <c r="X2823" s="9" t="str">
        <f aca="false">IF(TEXT(H2823,"dddd")&lt;&gt;I2823,"Mismatch","OK")</f>
        <v>OK</v>
      </c>
      <c r="Y2823" s="9" t="str">
        <f aca="false">IF(AND(N2823="No",O2823&lt;&gt;""),"Unexpected: channel present but no reminder sent",IF(AND(N2823="Yes",O2823=""),"Missing channel for sent reminder","OK"))</f>
        <v>OK</v>
      </c>
    </row>
    <row r="2824" customFormat="false" ht="15" hidden="false" customHeight="false" outlineLevel="0" collapsed="false">
      <c r="A2824" s="7" t="s">
        <v>4316</v>
      </c>
      <c r="B2824" s="7" t="s">
        <v>4317</v>
      </c>
      <c r="C2824" s="7" t="s">
        <v>47</v>
      </c>
      <c r="D2824" s="7" t="n">
        <v>42</v>
      </c>
      <c r="E2824" s="7" t="s">
        <v>38</v>
      </c>
      <c r="F2824" s="7" t="s">
        <v>57</v>
      </c>
      <c r="G2824" s="8" t="n">
        <v>45726</v>
      </c>
      <c r="H2824" s="8" t="n">
        <v>45727</v>
      </c>
      <c r="I2824" s="7" t="s">
        <v>40</v>
      </c>
      <c r="J2824" s="7" t="s">
        <v>51</v>
      </c>
      <c r="K2824" s="7" t="n">
        <v>1</v>
      </c>
      <c r="L2824" s="7" t="n">
        <v>5</v>
      </c>
      <c r="M2824" s="7" t="n">
        <v>1</v>
      </c>
      <c r="N2824" s="7" t="s">
        <v>42</v>
      </c>
      <c r="O2824" s="7" t="s">
        <v>52</v>
      </c>
      <c r="P2824" s="7" t="n">
        <v>12.3</v>
      </c>
      <c r="Q2824" s="7" t="n">
        <v>19</v>
      </c>
      <c r="R2824" s="7" t="s">
        <v>44</v>
      </c>
      <c r="S2824" s="7"/>
      <c r="T2824" s="7"/>
      <c r="U2824" s="7" t="str">
        <f aca="false">IF(COUNTIF($A$2:$A$5001,A2824)&gt;1,"Duplicate","Unique")</f>
        <v>Unique</v>
      </c>
      <c r="V2824" s="7" t="str">
        <f aca="false">IF(COUNTIFS($B$2:$B$5001,B2824,$H$2:$H$5001,H2824,$J$2:$J$5001,J2824)&gt;1,"Possible Duplicate Booking","Unique")</f>
        <v>Unique</v>
      </c>
      <c r="W2824" s="7" t="str">
        <f aca="false">IF((H2824-G2824)&lt;&gt;K2824,"Mismatch","OK")</f>
        <v>OK</v>
      </c>
      <c r="X2824" s="7" t="str">
        <f aca="false">IF(TEXT(H2824,"dddd")&lt;&gt;I2824,"Mismatch","OK")</f>
        <v>OK</v>
      </c>
      <c r="Y2824" s="7" t="str">
        <f aca="false">IF(AND(N2824="No",O2824&lt;&gt;""),"Unexpected: channel present but no reminder sent",IF(AND(N2824="Yes",O2824=""),"Missing channel for sent reminder","OK"))</f>
        <v>OK</v>
      </c>
    </row>
    <row r="2825" customFormat="false" ht="15" hidden="false" customHeight="false" outlineLevel="0" collapsed="false">
      <c r="A2825" s="9" t="s">
        <v>4318</v>
      </c>
      <c r="B2825" s="9" t="s">
        <v>976</v>
      </c>
      <c r="C2825" s="9" t="s">
        <v>37</v>
      </c>
      <c r="D2825" s="9" t="n">
        <v>65</v>
      </c>
      <c r="E2825" s="9" t="s">
        <v>70</v>
      </c>
      <c r="F2825" s="9" t="s">
        <v>39</v>
      </c>
      <c r="G2825" s="10" t="n">
        <v>46162</v>
      </c>
      <c r="H2825" s="10" t="n">
        <v>46190</v>
      </c>
      <c r="I2825" s="9" t="s">
        <v>58</v>
      </c>
      <c r="J2825" s="9" t="s">
        <v>51</v>
      </c>
      <c r="K2825" s="9" t="n">
        <v>28</v>
      </c>
      <c r="L2825" s="9" t="n">
        <v>2</v>
      </c>
      <c r="M2825" s="9" t="n">
        <v>0</v>
      </c>
      <c r="N2825" s="9" t="s">
        <v>71</v>
      </c>
      <c r="O2825" s="9"/>
      <c r="P2825" s="9" t="n">
        <v>13.7</v>
      </c>
      <c r="Q2825" s="9" t="n">
        <v>40</v>
      </c>
      <c r="R2825" s="9" t="s">
        <v>87</v>
      </c>
      <c r="S2825" s="9"/>
      <c r="T2825" s="9"/>
      <c r="U2825" s="9" t="str">
        <f aca="false">IF(COUNTIF($A$2:$A$5001,A2825)&gt;1,"Duplicate","Unique")</f>
        <v>Unique</v>
      </c>
      <c r="V2825" s="9" t="str">
        <f aca="false">IF(COUNTIFS($B$2:$B$5001,B2825,$H$2:$H$5001,H2825,$J$2:$J$5001,J2825)&gt;1,"Possible Duplicate Booking","Unique")</f>
        <v>Unique</v>
      </c>
      <c r="W2825" s="9" t="str">
        <f aca="false">IF((H2825-G2825)&lt;&gt;K2825,"Mismatch","OK")</f>
        <v>OK</v>
      </c>
      <c r="X2825" s="9" t="str">
        <f aca="false">IF(TEXT(H2825,"dddd")&lt;&gt;I2825,"Mismatch","OK")</f>
        <v>OK</v>
      </c>
      <c r="Y2825" s="9" t="str">
        <f aca="false">IF(AND(N2825="No",O2825&lt;&gt;""),"Unexpected: channel present but no reminder sent",IF(AND(N2825="Yes",O2825=""),"Missing channel for sent reminder","OK"))</f>
        <v>OK</v>
      </c>
    </row>
    <row r="2826" customFormat="false" ht="15" hidden="false" customHeight="false" outlineLevel="0" collapsed="false">
      <c r="A2826" s="7" t="s">
        <v>4319</v>
      </c>
      <c r="B2826" s="7" t="s">
        <v>2826</v>
      </c>
      <c r="C2826" s="7" t="s">
        <v>47</v>
      </c>
      <c r="D2826" s="7" t="n">
        <v>51</v>
      </c>
      <c r="E2826" s="7" t="s">
        <v>56</v>
      </c>
      <c r="F2826" s="7" t="s">
        <v>57</v>
      </c>
      <c r="G2826" s="8" t="n">
        <v>45947</v>
      </c>
      <c r="H2826" s="8" t="n">
        <v>45996</v>
      </c>
      <c r="I2826" s="7" t="s">
        <v>50</v>
      </c>
      <c r="J2826" s="7" t="s">
        <v>63</v>
      </c>
      <c r="K2826" s="7" t="n">
        <v>49</v>
      </c>
      <c r="L2826" s="7" t="n">
        <v>6</v>
      </c>
      <c r="M2826" s="7" t="n">
        <v>1</v>
      </c>
      <c r="N2826" s="7" t="s">
        <v>42</v>
      </c>
      <c r="O2826" s="7" t="s">
        <v>52</v>
      </c>
      <c r="P2826" s="7" t="n">
        <v>20.3</v>
      </c>
      <c r="Q2826" s="7" t="n">
        <v>29</v>
      </c>
      <c r="R2826" s="7" t="s">
        <v>53</v>
      </c>
      <c r="S2826" s="7"/>
      <c r="T2826" s="7"/>
      <c r="U2826" s="7" t="str">
        <f aca="false">IF(COUNTIF($A$2:$A$5001,A2826)&gt;1,"Duplicate","Unique")</f>
        <v>Unique</v>
      </c>
      <c r="V2826" s="7" t="str">
        <f aca="false">IF(COUNTIFS($B$2:$B$5001,B2826,$H$2:$H$5001,H2826,$J$2:$J$5001,J2826)&gt;1,"Possible Duplicate Booking","Unique")</f>
        <v>Unique</v>
      </c>
      <c r="W2826" s="7" t="str">
        <f aca="false">IF((H2826-G2826)&lt;&gt;K2826,"Mismatch","OK")</f>
        <v>OK</v>
      </c>
      <c r="X2826" s="7" t="str">
        <f aca="false">IF(TEXT(H2826,"dddd")&lt;&gt;I2826,"Mismatch","OK")</f>
        <v>OK</v>
      </c>
      <c r="Y2826" s="7" t="str">
        <f aca="false">IF(AND(N2826="No",O2826&lt;&gt;""),"Unexpected: channel present but no reminder sent",IF(AND(N2826="Yes",O2826=""),"Missing channel for sent reminder","OK"))</f>
        <v>OK</v>
      </c>
    </row>
    <row r="2827" customFormat="false" ht="15" hidden="false" customHeight="false" outlineLevel="0" collapsed="false">
      <c r="A2827" s="9" t="s">
        <v>4320</v>
      </c>
      <c r="B2827" s="9" t="s">
        <v>3934</v>
      </c>
      <c r="C2827" s="9" t="s">
        <v>47</v>
      </c>
      <c r="D2827" s="9" t="n">
        <v>45</v>
      </c>
      <c r="E2827" s="9" t="s">
        <v>56</v>
      </c>
      <c r="F2827" s="9" t="s">
        <v>57</v>
      </c>
      <c r="G2827" s="10" t="n">
        <v>46065</v>
      </c>
      <c r="H2827" s="10" t="n">
        <v>46117</v>
      </c>
      <c r="I2827" s="9" t="s">
        <v>75</v>
      </c>
      <c r="J2827" s="9" t="s">
        <v>51</v>
      </c>
      <c r="K2827" s="9" t="n">
        <v>52</v>
      </c>
      <c r="L2827" s="9" t="n">
        <v>3</v>
      </c>
      <c r="M2827" s="9" t="n">
        <v>0</v>
      </c>
      <c r="N2827" s="9" t="s">
        <v>42</v>
      </c>
      <c r="O2827" s="9" t="s">
        <v>43</v>
      </c>
      <c r="P2827" s="9" t="n">
        <v>8.9</v>
      </c>
      <c r="Q2827" s="9" t="n">
        <v>11</v>
      </c>
      <c r="R2827" s="9" t="s">
        <v>44</v>
      </c>
      <c r="S2827" s="9"/>
      <c r="T2827" s="9"/>
      <c r="U2827" s="9" t="str">
        <f aca="false">IF(COUNTIF($A$2:$A$5001,A2827)&gt;1,"Duplicate","Unique")</f>
        <v>Unique</v>
      </c>
      <c r="V2827" s="9" t="str">
        <f aca="false">IF(COUNTIFS($B$2:$B$5001,B2827,$H$2:$H$5001,H2827,$J$2:$J$5001,J2827)&gt;1,"Possible Duplicate Booking","Unique")</f>
        <v>Unique</v>
      </c>
      <c r="W2827" s="9" t="str">
        <f aca="false">IF((H2827-G2827)&lt;&gt;K2827,"Mismatch","OK")</f>
        <v>OK</v>
      </c>
      <c r="X2827" s="9" t="str">
        <f aca="false">IF(TEXT(H2827,"dddd")&lt;&gt;I2827,"Mismatch","OK")</f>
        <v>OK</v>
      </c>
      <c r="Y2827" s="9" t="str">
        <f aca="false">IF(AND(N2827="No",O2827&lt;&gt;""),"Unexpected: channel present but no reminder sent",IF(AND(N2827="Yes",O2827=""),"Missing channel for sent reminder","OK"))</f>
        <v>OK</v>
      </c>
    </row>
    <row r="2828" customFormat="false" ht="15" hidden="false" customHeight="false" outlineLevel="0" collapsed="false">
      <c r="A2828" s="7" t="s">
        <v>4321</v>
      </c>
      <c r="B2828" s="7" t="s">
        <v>4322</v>
      </c>
      <c r="C2828" s="7" t="s">
        <v>37</v>
      </c>
      <c r="D2828" s="7" t="n">
        <v>48</v>
      </c>
      <c r="E2828" s="7" t="s">
        <v>56</v>
      </c>
      <c r="F2828" s="7" t="s">
        <v>57</v>
      </c>
      <c r="G2828" s="8" t="n">
        <v>45838</v>
      </c>
      <c r="H2828" s="8" t="n">
        <v>45855</v>
      </c>
      <c r="I2828" s="7" t="s">
        <v>62</v>
      </c>
      <c r="J2828" s="7" t="s">
        <v>51</v>
      </c>
      <c r="K2828" s="7" t="n">
        <v>17</v>
      </c>
      <c r="L2828" s="7" t="n">
        <v>1</v>
      </c>
      <c r="M2828" s="7" t="n">
        <v>0</v>
      </c>
      <c r="N2828" s="7" t="s">
        <v>42</v>
      </c>
      <c r="O2828" s="7" t="s">
        <v>52</v>
      </c>
      <c r="P2828" s="7" t="n">
        <v>33.4</v>
      </c>
      <c r="Q2828" s="7" t="n">
        <v>22</v>
      </c>
      <c r="R2828" s="7" t="s">
        <v>53</v>
      </c>
      <c r="S2828" s="7"/>
      <c r="T2828" s="7"/>
      <c r="U2828" s="7" t="str">
        <f aca="false">IF(COUNTIF($A$2:$A$5001,A2828)&gt;1,"Duplicate","Unique")</f>
        <v>Unique</v>
      </c>
      <c r="V2828" s="7" t="str">
        <f aca="false">IF(COUNTIFS($B$2:$B$5001,B2828,$H$2:$H$5001,H2828,$J$2:$J$5001,J2828)&gt;1,"Possible Duplicate Booking","Unique")</f>
        <v>Unique</v>
      </c>
      <c r="W2828" s="7" t="str">
        <f aca="false">IF((H2828-G2828)&lt;&gt;K2828,"Mismatch","OK")</f>
        <v>OK</v>
      </c>
      <c r="X2828" s="7" t="str">
        <f aca="false">IF(TEXT(H2828,"dddd")&lt;&gt;I2828,"Mismatch","OK")</f>
        <v>OK</v>
      </c>
      <c r="Y2828" s="7" t="str">
        <f aca="false">IF(AND(N2828="No",O2828&lt;&gt;""),"Unexpected: channel present but no reminder sent",IF(AND(N2828="Yes",O2828=""),"Missing channel for sent reminder","OK"))</f>
        <v>OK</v>
      </c>
    </row>
    <row r="2829" customFormat="false" ht="15" hidden="false" customHeight="false" outlineLevel="0" collapsed="false">
      <c r="A2829" s="9" t="s">
        <v>4323</v>
      </c>
      <c r="B2829" s="9" t="s">
        <v>1558</v>
      </c>
      <c r="C2829" s="9" t="s">
        <v>47</v>
      </c>
      <c r="D2829" s="9" t="n">
        <v>77</v>
      </c>
      <c r="E2829" s="9" t="s">
        <v>70</v>
      </c>
      <c r="F2829" s="9" t="s">
        <v>57</v>
      </c>
      <c r="G2829" s="10" t="n">
        <v>46150</v>
      </c>
      <c r="H2829" s="10" t="n">
        <v>46173</v>
      </c>
      <c r="I2829" s="9" t="s">
        <v>75</v>
      </c>
      <c r="J2829" s="9" t="s">
        <v>51</v>
      </c>
      <c r="K2829" s="9" t="n">
        <v>23</v>
      </c>
      <c r="L2829" s="9" t="n">
        <v>4</v>
      </c>
      <c r="M2829" s="9" t="n">
        <v>1</v>
      </c>
      <c r="N2829" s="9" t="s">
        <v>42</v>
      </c>
      <c r="O2829" s="9" t="s">
        <v>52</v>
      </c>
      <c r="P2829" s="9" t="n">
        <v>16.3</v>
      </c>
      <c r="Q2829" s="9"/>
      <c r="R2829" s="9" t="s">
        <v>44</v>
      </c>
      <c r="S2829" s="9"/>
      <c r="T2829" s="9"/>
      <c r="U2829" s="9" t="str">
        <f aca="false">IF(COUNTIF($A$2:$A$5001,A2829)&gt;1,"Duplicate","Unique")</f>
        <v>Unique</v>
      </c>
      <c r="V2829" s="9" t="str">
        <f aca="false">IF(COUNTIFS($B$2:$B$5001,B2829,$H$2:$H$5001,H2829,$J$2:$J$5001,J2829)&gt;1,"Possible Duplicate Booking","Unique")</f>
        <v>Unique</v>
      </c>
      <c r="W2829" s="9" t="str">
        <f aca="false">IF((H2829-G2829)&lt;&gt;K2829,"Mismatch","OK")</f>
        <v>OK</v>
      </c>
      <c r="X2829" s="9" t="str">
        <f aca="false">IF(TEXT(H2829,"dddd")&lt;&gt;I2829,"Mismatch","OK")</f>
        <v>OK</v>
      </c>
      <c r="Y2829" s="9" t="str">
        <f aca="false">IF(AND(N2829="No",O2829&lt;&gt;""),"Unexpected: channel present but no reminder sent",IF(AND(N2829="Yes",O2829=""),"Missing channel for sent reminder","OK"))</f>
        <v>OK</v>
      </c>
    </row>
    <row r="2830" customFormat="false" ht="15" hidden="false" customHeight="false" outlineLevel="0" collapsed="false">
      <c r="A2830" s="7" t="s">
        <v>4324</v>
      </c>
      <c r="B2830" s="7" t="s">
        <v>4325</v>
      </c>
      <c r="C2830" s="7" t="s">
        <v>47</v>
      </c>
      <c r="D2830" s="7" t="n">
        <v>50</v>
      </c>
      <c r="E2830" s="7" t="s">
        <v>56</v>
      </c>
      <c r="F2830" s="7" t="s">
        <v>57</v>
      </c>
      <c r="G2830" s="8" t="n">
        <v>45966</v>
      </c>
      <c r="H2830" s="8" t="n">
        <v>45999</v>
      </c>
      <c r="I2830" s="7" t="s">
        <v>66</v>
      </c>
      <c r="J2830" s="7" t="s">
        <v>41</v>
      </c>
      <c r="K2830" s="7" t="n">
        <v>33</v>
      </c>
      <c r="L2830" s="7" t="n">
        <v>3</v>
      </c>
      <c r="M2830" s="7" t="n">
        <v>0</v>
      </c>
      <c r="N2830" s="7" t="s">
        <v>71</v>
      </c>
      <c r="O2830" s="7"/>
      <c r="P2830" s="7" t="n">
        <v>8.3</v>
      </c>
      <c r="Q2830" s="7" t="n">
        <v>15</v>
      </c>
      <c r="R2830" s="7" t="s">
        <v>53</v>
      </c>
      <c r="S2830" s="7"/>
      <c r="T2830" s="7"/>
      <c r="U2830" s="7" t="str">
        <f aca="false">IF(COUNTIF($A$2:$A$5001,A2830)&gt;1,"Duplicate","Unique")</f>
        <v>Unique</v>
      </c>
      <c r="V2830" s="7" t="str">
        <f aca="false">IF(COUNTIFS($B$2:$B$5001,B2830,$H$2:$H$5001,H2830,$J$2:$J$5001,J2830)&gt;1,"Possible Duplicate Booking","Unique")</f>
        <v>Unique</v>
      </c>
      <c r="W2830" s="7" t="str">
        <f aca="false">IF((H2830-G2830)&lt;&gt;K2830,"Mismatch","OK")</f>
        <v>OK</v>
      </c>
      <c r="X2830" s="7" t="str">
        <f aca="false">IF(TEXT(H2830,"dddd")&lt;&gt;I2830,"Mismatch","OK")</f>
        <v>OK</v>
      </c>
      <c r="Y2830" s="7" t="str">
        <f aca="false">IF(AND(N2830="No",O2830&lt;&gt;""),"Unexpected: channel present but no reminder sent",IF(AND(N2830="Yes",O2830=""),"Missing channel for sent reminder","OK"))</f>
        <v>OK</v>
      </c>
    </row>
    <row r="2831" customFormat="false" ht="15" hidden="false" customHeight="false" outlineLevel="0" collapsed="false">
      <c r="A2831" s="9" t="s">
        <v>4326</v>
      </c>
      <c r="B2831" s="9" t="s">
        <v>4327</v>
      </c>
      <c r="C2831" s="9" t="s">
        <v>47</v>
      </c>
      <c r="D2831" s="9" t="n">
        <v>51</v>
      </c>
      <c r="E2831" s="9" t="s">
        <v>56</v>
      </c>
      <c r="F2831" s="9" t="s">
        <v>74</v>
      </c>
      <c r="G2831" s="10" t="n">
        <v>45703</v>
      </c>
      <c r="H2831" s="10" t="n">
        <v>45727</v>
      </c>
      <c r="I2831" s="9" t="s">
        <v>40</v>
      </c>
      <c r="J2831" s="9" t="s">
        <v>51</v>
      </c>
      <c r="K2831" s="9" t="n">
        <v>24</v>
      </c>
      <c r="L2831" s="9" t="n">
        <v>2</v>
      </c>
      <c r="M2831" s="9" t="n">
        <v>0</v>
      </c>
      <c r="N2831" s="9" t="s">
        <v>42</v>
      </c>
      <c r="O2831" s="9" t="s">
        <v>52</v>
      </c>
      <c r="P2831" s="9" t="n">
        <v>18.3</v>
      </c>
      <c r="Q2831" s="9" t="n">
        <v>15</v>
      </c>
      <c r="R2831" s="9" t="s">
        <v>44</v>
      </c>
      <c r="S2831" s="9"/>
      <c r="T2831" s="9"/>
      <c r="U2831" s="9" t="str">
        <f aca="false">IF(COUNTIF($A$2:$A$5001,A2831)&gt;1,"Duplicate","Unique")</f>
        <v>Unique</v>
      </c>
      <c r="V2831" s="9" t="str">
        <f aca="false">IF(COUNTIFS($B$2:$B$5001,B2831,$H$2:$H$5001,H2831,$J$2:$J$5001,J2831)&gt;1,"Possible Duplicate Booking","Unique")</f>
        <v>Unique</v>
      </c>
      <c r="W2831" s="9" t="str">
        <f aca="false">IF((H2831-G2831)&lt;&gt;K2831,"Mismatch","OK")</f>
        <v>OK</v>
      </c>
      <c r="X2831" s="9" t="str">
        <f aca="false">IF(TEXT(H2831,"dddd")&lt;&gt;I2831,"Mismatch","OK")</f>
        <v>OK</v>
      </c>
      <c r="Y2831" s="9" t="str">
        <f aca="false">IF(AND(N2831="No",O2831&lt;&gt;""),"Unexpected: channel present but no reminder sent",IF(AND(N2831="Yes",O2831=""),"Missing channel for sent reminder","OK"))</f>
        <v>OK</v>
      </c>
    </row>
    <row r="2832" customFormat="false" ht="15" hidden="false" customHeight="false" outlineLevel="0" collapsed="false">
      <c r="A2832" s="7" t="s">
        <v>4328</v>
      </c>
      <c r="B2832" s="7" t="s">
        <v>1501</v>
      </c>
      <c r="C2832" s="7" t="s">
        <v>37</v>
      </c>
      <c r="D2832" s="7" t="n">
        <v>76</v>
      </c>
      <c r="E2832" s="7" t="s">
        <v>70</v>
      </c>
      <c r="F2832" s="7" t="s">
        <v>57</v>
      </c>
      <c r="G2832" s="8" t="n">
        <v>46151</v>
      </c>
      <c r="H2832" s="8" t="n">
        <v>46161</v>
      </c>
      <c r="I2832" s="7" t="s">
        <v>40</v>
      </c>
      <c r="J2832" s="7" t="s">
        <v>41</v>
      </c>
      <c r="K2832" s="7" t="n">
        <v>10</v>
      </c>
      <c r="L2832" s="7" t="n">
        <v>3</v>
      </c>
      <c r="M2832" s="7" t="n">
        <v>0</v>
      </c>
      <c r="N2832" s="7" t="s">
        <v>42</v>
      </c>
      <c r="O2832" s="7" t="s">
        <v>67</v>
      </c>
      <c r="P2832" s="7" t="n">
        <v>7.1</v>
      </c>
      <c r="Q2832" s="7" t="n">
        <v>17</v>
      </c>
      <c r="R2832" s="7" t="s">
        <v>44</v>
      </c>
      <c r="S2832" s="7"/>
      <c r="T2832" s="7"/>
      <c r="U2832" s="7" t="str">
        <f aca="false">IF(COUNTIF($A$2:$A$5001,A2832)&gt;1,"Duplicate","Unique")</f>
        <v>Unique</v>
      </c>
      <c r="V2832" s="7" t="str">
        <f aca="false">IF(COUNTIFS($B$2:$B$5001,B2832,$H$2:$H$5001,H2832,$J$2:$J$5001,J2832)&gt;1,"Possible Duplicate Booking","Unique")</f>
        <v>Unique</v>
      </c>
      <c r="W2832" s="7" t="str">
        <f aca="false">IF((H2832-G2832)&lt;&gt;K2832,"Mismatch","OK")</f>
        <v>OK</v>
      </c>
      <c r="X2832" s="7" t="str">
        <f aca="false">IF(TEXT(H2832,"dddd")&lt;&gt;I2832,"Mismatch","OK")</f>
        <v>OK</v>
      </c>
      <c r="Y2832" s="7" t="str">
        <f aca="false">IF(AND(N2832="No",O2832&lt;&gt;""),"Unexpected: channel present but no reminder sent",IF(AND(N2832="Yes",O2832=""),"Missing channel for sent reminder","OK"))</f>
        <v>OK</v>
      </c>
    </row>
    <row r="2833" customFormat="false" ht="15" hidden="false" customHeight="false" outlineLevel="0" collapsed="false">
      <c r="A2833" s="9" t="s">
        <v>4329</v>
      </c>
      <c r="B2833" s="9" t="s">
        <v>219</v>
      </c>
      <c r="C2833" s="9" t="s">
        <v>37</v>
      </c>
      <c r="D2833" s="9" t="n">
        <v>27</v>
      </c>
      <c r="E2833" s="9" t="s">
        <v>48</v>
      </c>
      <c r="F2833" s="9" t="s">
        <v>49</v>
      </c>
      <c r="G2833" s="10" t="n">
        <v>46074</v>
      </c>
      <c r="H2833" s="10" t="n">
        <v>46092</v>
      </c>
      <c r="I2833" s="9" t="s">
        <v>58</v>
      </c>
      <c r="J2833" s="9" t="s">
        <v>41</v>
      </c>
      <c r="K2833" s="9" t="n">
        <v>18</v>
      </c>
      <c r="L2833" s="9" t="n">
        <v>3</v>
      </c>
      <c r="M2833" s="9" t="n">
        <v>1</v>
      </c>
      <c r="N2833" s="9" t="s">
        <v>71</v>
      </c>
      <c r="O2833" s="9"/>
      <c r="P2833" s="9" t="n">
        <v>5.8</v>
      </c>
      <c r="Q2833" s="9" t="n">
        <v>33</v>
      </c>
      <c r="R2833" s="9" t="s">
        <v>53</v>
      </c>
      <c r="S2833" s="9"/>
      <c r="T2833" s="9"/>
      <c r="U2833" s="9" t="str">
        <f aca="false">IF(COUNTIF($A$2:$A$5001,A2833)&gt;1,"Duplicate","Unique")</f>
        <v>Unique</v>
      </c>
      <c r="V2833" s="9" t="str">
        <f aca="false">IF(COUNTIFS($B$2:$B$5001,B2833,$H$2:$H$5001,H2833,$J$2:$J$5001,J2833)&gt;1,"Possible Duplicate Booking","Unique")</f>
        <v>Unique</v>
      </c>
      <c r="W2833" s="9" t="str">
        <f aca="false">IF((H2833-G2833)&lt;&gt;K2833,"Mismatch","OK")</f>
        <v>OK</v>
      </c>
      <c r="X2833" s="9" t="str">
        <f aca="false">IF(TEXT(H2833,"dddd")&lt;&gt;I2833,"Mismatch","OK")</f>
        <v>OK</v>
      </c>
      <c r="Y2833" s="9" t="str">
        <f aca="false">IF(AND(N2833="No",O2833&lt;&gt;""),"Unexpected: channel present but no reminder sent",IF(AND(N2833="Yes",O2833=""),"Missing channel for sent reminder","OK"))</f>
        <v>OK</v>
      </c>
    </row>
    <row r="2834" customFormat="false" ht="15" hidden="false" customHeight="false" outlineLevel="0" collapsed="false">
      <c r="A2834" s="7" t="s">
        <v>4330</v>
      </c>
      <c r="B2834" s="7" t="s">
        <v>2111</v>
      </c>
      <c r="C2834" s="7" t="s">
        <v>37</v>
      </c>
      <c r="D2834" s="7" t="n">
        <v>24</v>
      </c>
      <c r="E2834" s="7" t="s">
        <v>82</v>
      </c>
      <c r="F2834" s="7" t="s">
        <v>39</v>
      </c>
      <c r="G2834" s="8" t="n">
        <v>45797</v>
      </c>
      <c r="H2834" s="8" t="n">
        <v>45821</v>
      </c>
      <c r="I2834" s="7" t="s">
        <v>50</v>
      </c>
      <c r="J2834" s="7" t="s">
        <v>51</v>
      </c>
      <c r="K2834" s="7" t="n">
        <v>24</v>
      </c>
      <c r="L2834" s="7" t="n">
        <v>2</v>
      </c>
      <c r="M2834" s="7" t="n">
        <v>0</v>
      </c>
      <c r="N2834" s="7" t="s">
        <v>42</v>
      </c>
      <c r="O2834" s="7" t="s">
        <v>67</v>
      </c>
      <c r="P2834" s="7" t="n">
        <v>2.4</v>
      </c>
      <c r="Q2834" s="7" t="n">
        <v>21</v>
      </c>
      <c r="R2834" s="7" t="s">
        <v>44</v>
      </c>
      <c r="S2834" s="7"/>
      <c r="T2834" s="7"/>
      <c r="U2834" s="7" t="str">
        <f aca="false">IF(COUNTIF($A$2:$A$5001,A2834)&gt;1,"Duplicate","Unique")</f>
        <v>Unique</v>
      </c>
      <c r="V2834" s="7" t="str">
        <f aca="false">IF(COUNTIFS($B$2:$B$5001,B2834,$H$2:$H$5001,H2834,$J$2:$J$5001,J2834)&gt;1,"Possible Duplicate Booking","Unique")</f>
        <v>Unique</v>
      </c>
      <c r="W2834" s="7" t="str">
        <f aca="false">IF((H2834-G2834)&lt;&gt;K2834,"Mismatch","OK")</f>
        <v>OK</v>
      </c>
      <c r="X2834" s="7" t="str">
        <f aca="false">IF(TEXT(H2834,"dddd")&lt;&gt;I2834,"Mismatch","OK")</f>
        <v>OK</v>
      </c>
      <c r="Y2834" s="7" t="str">
        <f aca="false">IF(AND(N2834="No",O2834&lt;&gt;""),"Unexpected: channel present but no reminder sent",IF(AND(N2834="Yes",O2834=""),"Missing channel for sent reminder","OK"))</f>
        <v>OK</v>
      </c>
    </row>
    <row r="2835" customFormat="false" ht="15" hidden="false" customHeight="false" outlineLevel="0" collapsed="false">
      <c r="A2835" s="9" t="s">
        <v>4331</v>
      </c>
      <c r="B2835" s="9" t="s">
        <v>2025</v>
      </c>
      <c r="C2835" s="9" t="s">
        <v>37</v>
      </c>
      <c r="D2835" s="9" t="n">
        <v>46</v>
      </c>
      <c r="E2835" s="9" t="s">
        <v>56</v>
      </c>
      <c r="F2835" s="9" t="s">
        <v>57</v>
      </c>
      <c r="G2835" s="10" t="n">
        <v>45924</v>
      </c>
      <c r="H2835" s="10" t="n">
        <v>45955</v>
      </c>
      <c r="I2835" s="9" t="s">
        <v>102</v>
      </c>
      <c r="J2835" s="9" t="s">
        <v>41</v>
      </c>
      <c r="K2835" s="9" t="n">
        <v>31</v>
      </c>
      <c r="L2835" s="9" t="n">
        <v>2</v>
      </c>
      <c r="M2835" s="9" t="n">
        <v>0</v>
      </c>
      <c r="N2835" s="9" t="s">
        <v>42</v>
      </c>
      <c r="O2835" s="9" t="s">
        <v>52</v>
      </c>
      <c r="P2835" s="9" t="n">
        <v>26.9</v>
      </c>
      <c r="Q2835" s="9" t="n">
        <v>25</v>
      </c>
      <c r="R2835" s="9" t="s">
        <v>87</v>
      </c>
      <c r="S2835" s="9"/>
      <c r="T2835" s="9"/>
      <c r="U2835" s="9" t="str">
        <f aca="false">IF(COUNTIF($A$2:$A$5001,A2835)&gt;1,"Duplicate","Unique")</f>
        <v>Unique</v>
      </c>
      <c r="V2835" s="9" t="str">
        <f aca="false">IF(COUNTIFS($B$2:$B$5001,B2835,$H$2:$H$5001,H2835,$J$2:$J$5001,J2835)&gt;1,"Possible Duplicate Booking","Unique")</f>
        <v>Unique</v>
      </c>
      <c r="W2835" s="9" t="str">
        <f aca="false">IF((H2835-G2835)&lt;&gt;K2835,"Mismatch","OK")</f>
        <v>OK</v>
      </c>
      <c r="X2835" s="9" t="str">
        <f aca="false">IF(TEXT(H2835,"dddd")&lt;&gt;I2835,"Mismatch","OK")</f>
        <v>OK</v>
      </c>
      <c r="Y2835" s="9" t="str">
        <f aca="false">IF(AND(N2835="No",O2835&lt;&gt;""),"Unexpected: channel present but no reminder sent",IF(AND(N2835="Yes",O2835=""),"Missing channel for sent reminder","OK"))</f>
        <v>OK</v>
      </c>
    </row>
    <row r="2836" customFormat="false" ht="15" hidden="false" customHeight="false" outlineLevel="0" collapsed="false">
      <c r="A2836" s="7" t="s">
        <v>4332</v>
      </c>
      <c r="B2836" s="7" t="s">
        <v>859</v>
      </c>
      <c r="C2836" s="7" t="s">
        <v>37</v>
      </c>
      <c r="D2836" s="7" t="n">
        <v>38</v>
      </c>
      <c r="E2836" s="7" t="s">
        <v>38</v>
      </c>
      <c r="F2836" s="7" t="s">
        <v>57</v>
      </c>
      <c r="G2836" s="8" t="n">
        <v>45813</v>
      </c>
      <c r="H2836" s="8" t="n">
        <v>45869</v>
      </c>
      <c r="I2836" s="7" t="s">
        <v>62</v>
      </c>
      <c r="J2836" s="7" t="s">
        <v>51</v>
      </c>
      <c r="K2836" s="7" t="n">
        <v>56</v>
      </c>
      <c r="L2836" s="7" t="n">
        <v>1</v>
      </c>
      <c r="M2836" s="7" t="n">
        <v>0</v>
      </c>
      <c r="N2836" s="7" t="s">
        <v>42</v>
      </c>
      <c r="O2836" s="7" t="s">
        <v>43</v>
      </c>
      <c r="P2836" s="7" t="n">
        <v>7</v>
      </c>
      <c r="Q2836" s="7" t="n">
        <v>35</v>
      </c>
      <c r="R2836" s="7" t="s">
        <v>44</v>
      </c>
      <c r="S2836" s="7"/>
      <c r="T2836" s="7"/>
      <c r="U2836" s="7" t="str">
        <f aca="false">IF(COUNTIF($A$2:$A$5001,A2836)&gt;1,"Duplicate","Unique")</f>
        <v>Unique</v>
      </c>
      <c r="V2836" s="7" t="str">
        <f aca="false">IF(COUNTIFS($B$2:$B$5001,B2836,$H$2:$H$5001,H2836,$J$2:$J$5001,J2836)&gt;1,"Possible Duplicate Booking","Unique")</f>
        <v>Unique</v>
      </c>
      <c r="W2836" s="7" t="str">
        <f aca="false">IF((H2836-G2836)&lt;&gt;K2836,"Mismatch","OK")</f>
        <v>OK</v>
      </c>
      <c r="X2836" s="7" t="str">
        <f aca="false">IF(TEXT(H2836,"dddd")&lt;&gt;I2836,"Mismatch","OK")</f>
        <v>OK</v>
      </c>
      <c r="Y2836" s="7" t="str">
        <f aca="false">IF(AND(N2836="No",O2836&lt;&gt;""),"Unexpected: channel present but no reminder sent",IF(AND(N2836="Yes",O2836=""),"Missing channel for sent reminder","OK"))</f>
        <v>OK</v>
      </c>
    </row>
    <row r="2837" customFormat="false" ht="15" hidden="false" customHeight="false" outlineLevel="0" collapsed="false">
      <c r="A2837" s="9" t="s">
        <v>4333</v>
      </c>
      <c r="B2837" s="9" t="s">
        <v>4334</v>
      </c>
      <c r="C2837" s="9" t="s">
        <v>47</v>
      </c>
      <c r="D2837" s="9" t="n">
        <v>30</v>
      </c>
      <c r="E2837" s="9" t="s">
        <v>48</v>
      </c>
      <c r="F2837" s="9" t="s">
        <v>74</v>
      </c>
      <c r="G2837" s="10" t="n">
        <v>45921</v>
      </c>
      <c r="H2837" s="10" t="n">
        <v>45954</v>
      </c>
      <c r="I2837" s="9" t="s">
        <v>50</v>
      </c>
      <c r="J2837" s="9" t="s">
        <v>51</v>
      </c>
      <c r="K2837" s="9" t="n">
        <v>33</v>
      </c>
      <c r="L2837" s="9" t="n">
        <v>2</v>
      </c>
      <c r="M2837" s="9" t="n">
        <v>0</v>
      </c>
      <c r="N2837" s="9" t="s">
        <v>71</v>
      </c>
      <c r="O2837" s="9"/>
      <c r="P2837" s="9" t="n">
        <v>13.6</v>
      </c>
      <c r="Q2837" s="9" t="n">
        <v>21</v>
      </c>
      <c r="R2837" s="9" t="s">
        <v>44</v>
      </c>
      <c r="S2837" s="9"/>
      <c r="T2837" s="9"/>
      <c r="U2837" s="9" t="str">
        <f aca="false">IF(COUNTIF($A$2:$A$5001,A2837)&gt;1,"Duplicate","Unique")</f>
        <v>Unique</v>
      </c>
      <c r="V2837" s="9" t="str">
        <f aca="false">IF(COUNTIFS($B$2:$B$5001,B2837,$H$2:$H$5001,H2837,$J$2:$J$5001,J2837)&gt;1,"Possible Duplicate Booking","Unique")</f>
        <v>Unique</v>
      </c>
      <c r="W2837" s="9" t="str">
        <f aca="false">IF((H2837-G2837)&lt;&gt;K2837,"Mismatch","OK")</f>
        <v>OK</v>
      </c>
      <c r="X2837" s="9" t="str">
        <f aca="false">IF(TEXT(H2837,"dddd")&lt;&gt;I2837,"Mismatch","OK")</f>
        <v>OK</v>
      </c>
      <c r="Y2837" s="9" t="str">
        <f aca="false">IF(AND(N2837="No",O2837&lt;&gt;""),"Unexpected: channel present but no reminder sent",IF(AND(N2837="Yes",O2837=""),"Missing channel for sent reminder","OK"))</f>
        <v>OK</v>
      </c>
    </row>
    <row r="2838" customFormat="false" ht="15" hidden="false" customHeight="false" outlineLevel="0" collapsed="false">
      <c r="A2838" s="7" t="s">
        <v>4335</v>
      </c>
      <c r="B2838" s="7" t="s">
        <v>2021</v>
      </c>
      <c r="C2838" s="7" t="s">
        <v>37</v>
      </c>
      <c r="D2838" s="7" t="n">
        <v>25</v>
      </c>
      <c r="E2838" s="7" t="s">
        <v>48</v>
      </c>
      <c r="F2838" s="7" t="s">
        <v>39</v>
      </c>
      <c r="G2838" s="8" t="n">
        <v>46162</v>
      </c>
      <c r="H2838" s="8" t="n">
        <v>46185</v>
      </c>
      <c r="I2838" s="7" t="s">
        <v>50</v>
      </c>
      <c r="J2838" s="7" t="s">
        <v>41</v>
      </c>
      <c r="K2838" s="7" t="n">
        <v>23</v>
      </c>
      <c r="L2838" s="7" t="n">
        <v>9</v>
      </c>
      <c r="M2838" s="7" t="n">
        <v>1</v>
      </c>
      <c r="N2838" s="7" t="s">
        <v>42</v>
      </c>
      <c r="O2838" s="7" t="s">
        <v>67</v>
      </c>
      <c r="P2838" s="7" t="n">
        <v>16.5</v>
      </c>
      <c r="Q2838" s="7" t="n">
        <v>11</v>
      </c>
      <c r="R2838" s="7" t="s">
        <v>53</v>
      </c>
      <c r="S2838" s="7"/>
      <c r="T2838" s="7"/>
      <c r="U2838" s="7" t="str">
        <f aca="false">IF(COUNTIF($A$2:$A$5001,A2838)&gt;1,"Duplicate","Unique")</f>
        <v>Unique</v>
      </c>
      <c r="V2838" s="7" t="str">
        <f aca="false">IF(COUNTIFS($B$2:$B$5001,B2838,$H$2:$H$5001,H2838,$J$2:$J$5001,J2838)&gt;1,"Possible Duplicate Booking","Unique")</f>
        <v>Unique</v>
      </c>
      <c r="W2838" s="7" t="str">
        <f aca="false">IF((H2838-G2838)&lt;&gt;K2838,"Mismatch","OK")</f>
        <v>OK</v>
      </c>
      <c r="X2838" s="7" t="str">
        <f aca="false">IF(TEXT(H2838,"dddd")&lt;&gt;I2838,"Mismatch","OK")</f>
        <v>OK</v>
      </c>
      <c r="Y2838" s="7" t="str">
        <f aca="false">IF(AND(N2838="No",O2838&lt;&gt;""),"Unexpected: channel present but no reminder sent",IF(AND(N2838="Yes",O2838=""),"Missing channel for sent reminder","OK"))</f>
        <v>OK</v>
      </c>
    </row>
    <row r="2839" customFormat="false" ht="15" hidden="false" customHeight="false" outlineLevel="0" collapsed="false">
      <c r="A2839" s="9" t="s">
        <v>4336</v>
      </c>
      <c r="B2839" s="9" t="s">
        <v>1957</v>
      </c>
      <c r="C2839" s="9" t="s">
        <v>37</v>
      </c>
      <c r="D2839" s="9" t="n">
        <v>73</v>
      </c>
      <c r="E2839" s="9" t="s">
        <v>70</v>
      </c>
      <c r="F2839" s="9" t="s">
        <v>74</v>
      </c>
      <c r="G2839" s="10" t="n">
        <v>46108</v>
      </c>
      <c r="H2839" s="10" t="n">
        <v>46148</v>
      </c>
      <c r="I2839" s="9" t="s">
        <v>58</v>
      </c>
      <c r="J2839" s="9" t="s">
        <v>51</v>
      </c>
      <c r="K2839" s="9" t="n">
        <v>40</v>
      </c>
      <c r="L2839" s="9" t="n">
        <v>5</v>
      </c>
      <c r="M2839" s="9" t="n">
        <v>1</v>
      </c>
      <c r="N2839" s="9" t="s">
        <v>42</v>
      </c>
      <c r="O2839" s="9" t="s">
        <v>67</v>
      </c>
      <c r="P2839" s="9" t="n">
        <v>7.2</v>
      </c>
      <c r="Q2839" s="9" t="n">
        <v>34</v>
      </c>
      <c r="R2839" s="9" t="s">
        <v>53</v>
      </c>
      <c r="S2839" s="9"/>
      <c r="T2839" s="9"/>
      <c r="U2839" s="9" t="str">
        <f aca="false">IF(COUNTIF($A$2:$A$5001,A2839)&gt;1,"Duplicate","Unique")</f>
        <v>Unique</v>
      </c>
      <c r="V2839" s="9" t="str">
        <f aca="false">IF(COUNTIFS($B$2:$B$5001,B2839,$H$2:$H$5001,H2839,$J$2:$J$5001,J2839)&gt;1,"Possible Duplicate Booking","Unique")</f>
        <v>Unique</v>
      </c>
      <c r="W2839" s="9" t="str">
        <f aca="false">IF((H2839-G2839)&lt;&gt;K2839,"Mismatch","OK")</f>
        <v>OK</v>
      </c>
      <c r="X2839" s="9" t="str">
        <f aca="false">IF(TEXT(H2839,"dddd")&lt;&gt;I2839,"Mismatch","OK")</f>
        <v>OK</v>
      </c>
      <c r="Y2839" s="9" t="str">
        <f aca="false">IF(AND(N2839="No",O2839&lt;&gt;""),"Unexpected: channel present but no reminder sent",IF(AND(N2839="Yes",O2839=""),"Missing channel for sent reminder","OK"))</f>
        <v>OK</v>
      </c>
    </row>
    <row r="2840" customFormat="false" ht="15" hidden="false" customHeight="false" outlineLevel="0" collapsed="false">
      <c r="A2840" s="7" t="s">
        <v>4337</v>
      </c>
      <c r="B2840" s="7" t="s">
        <v>521</v>
      </c>
      <c r="C2840" s="7" t="s">
        <v>47</v>
      </c>
      <c r="D2840" s="7" t="n">
        <v>56</v>
      </c>
      <c r="E2840" s="7" t="s">
        <v>61</v>
      </c>
      <c r="F2840" s="7" t="s">
        <v>57</v>
      </c>
      <c r="G2840" s="8" t="n">
        <v>45728</v>
      </c>
      <c r="H2840" s="8" t="n">
        <v>45775</v>
      </c>
      <c r="I2840" s="7" t="s">
        <v>66</v>
      </c>
      <c r="J2840" s="7" t="s">
        <v>63</v>
      </c>
      <c r="K2840" s="7" t="n">
        <v>47</v>
      </c>
      <c r="L2840" s="7" t="n">
        <v>3</v>
      </c>
      <c r="M2840" s="7" t="n">
        <v>0</v>
      </c>
      <c r="N2840" s="7" t="s">
        <v>42</v>
      </c>
      <c r="O2840" s="7" t="s">
        <v>52</v>
      </c>
      <c r="P2840" s="7" t="n">
        <v>7.6</v>
      </c>
      <c r="Q2840" s="7" t="n">
        <v>20</v>
      </c>
      <c r="R2840" s="7" t="s">
        <v>44</v>
      </c>
      <c r="S2840" s="7"/>
      <c r="T2840" s="7"/>
      <c r="U2840" s="7" t="str">
        <f aca="false">IF(COUNTIF($A$2:$A$5001,A2840)&gt;1,"Duplicate","Unique")</f>
        <v>Unique</v>
      </c>
      <c r="V2840" s="7" t="str">
        <f aca="false">IF(COUNTIFS($B$2:$B$5001,B2840,$H$2:$H$5001,H2840,$J$2:$J$5001,J2840)&gt;1,"Possible Duplicate Booking","Unique")</f>
        <v>Unique</v>
      </c>
      <c r="W2840" s="7" t="str">
        <f aca="false">IF((H2840-G2840)&lt;&gt;K2840,"Mismatch","OK")</f>
        <v>OK</v>
      </c>
      <c r="X2840" s="7" t="str">
        <f aca="false">IF(TEXT(H2840,"dddd")&lt;&gt;I2840,"Mismatch","OK")</f>
        <v>OK</v>
      </c>
      <c r="Y2840" s="7" t="str">
        <f aca="false">IF(AND(N2840="No",O2840&lt;&gt;""),"Unexpected: channel present but no reminder sent",IF(AND(N2840="Yes",O2840=""),"Missing channel for sent reminder","OK"))</f>
        <v>OK</v>
      </c>
    </row>
    <row r="2841" customFormat="false" ht="15" hidden="false" customHeight="false" outlineLevel="0" collapsed="false">
      <c r="A2841" s="9" t="s">
        <v>4338</v>
      </c>
      <c r="B2841" s="9" t="s">
        <v>1935</v>
      </c>
      <c r="C2841" s="9" t="s">
        <v>37</v>
      </c>
      <c r="D2841" s="9" t="n">
        <v>61</v>
      </c>
      <c r="E2841" s="9" t="s">
        <v>61</v>
      </c>
      <c r="F2841" s="9" t="s">
        <v>49</v>
      </c>
      <c r="G2841" s="10" t="n">
        <v>46162</v>
      </c>
      <c r="H2841" s="10" t="n">
        <v>46188</v>
      </c>
      <c r="I2841" s="9" t="s">
        <v>66</v>
      </c>
      <c r="J2841" s="9" t="s">
        <v>41</v>
      </c>
      <c r="K2841" s="9" t="n">
        <v>26</v>
      </c>
      <c r="L2841" s="9" t="n">
        <v>1</v>
      </c>
      <c r="M2841" s="9" t="n">
        <v>0</v>
      </c>
      <c r="N2841" s="9" t="s">
        <v>71</v>
      </c>
      <c r="O2841" s="9"/>
      <c r="P2841" s="9" t="n">
        <v>2.3</v>
      </c>
      <c r="Q2841" s="9" t="n">
        <v>44</v>
      </c>
      <c r="R2841" s="9" t="s">
        <v>44</v>
      </c>
      <c r="S2841" s="9"/>
      <c r="T2841" s="9"/>
      <c r="U2841" s="9" t="str">
        <f aca="false">IF(COUNTIF($A$2:$A$5001,A2841)&gt;1,"Duplicate","Unique")</f>
        <v>Unique</v>
      </c>
      <c r="V2841" s="9" t="str">
        <f aca="false">IF(COUNTIFS($B$2:$B$5001,B2841,$H$2:$H$5001,H2841,$J$2:$J$5001,J2841)&gt;1,"Possible Duplicate Booking","Unique")</f>
        <v>Unique</v>
      </c>
      <c r="W2841" s="9" t="str">
        <f aca="false">IF((H2841-G2841)&lt;&gt;K2841,"Mismatch","OK")</f>
        <v>OK</v>
      </c>
      <c r="X2841" s="9" t="str">
        <f aca="false">IF(TEXT(H2841,"dddd")&lt;&gt;I2841,"Mismatch","OK")</f>
        <v>OK</v>
      </c>
      <c r="Y2841" s="9" t="str">
        <f aca="false">IF(AND(N2841="No",O2841&lt;&gt;""),"Unexpected: channel present but no reminder sent",IF(AND(N2841="Yes",O2841=""),"Missing channel for sent reminder","OK"))</f>
        <v>OK</v>
      </c>
    </row>
    <row r="2842" customFormat="false" ht="15" hidden="false" customHeight="false" outlineLevel="0" collapsed="false">
      <c r="A2842" s="7" t="s">
        <v>4339</v>
      </c>
      <c r="B2842" s="7" t="s">
        <v>2232</v>
      </c>
      <c r="C2842" s="7" t="s">
        <v>37</v>
      </c>
      <c r="D2842" s="7" t="n">
        <v>25</v>
      </c>
      <c r="E2842" s="7" t="s">
        <v>48</v>
      </c>
      <c r="F2842" s="7" t="s">
        <v>49</v>
      </c>
      <c r="G2842" s="8" t="n">
        <v>45868</v>
      </c>
      <c r="H2842" s="8" t="n">
        <v>45897</v>
      </c>
      <c r="I2842" s="7" t="s">
        <v>62</v>
      </c>
      <c r="J2842" s="7" t="s">
        <v>51</v>
      </c>
      <c r="K2842" s="7" t="n">
        <v>29</v>
      </c>
      <c r="L2842" s="7" t="n">
        <v>0</v>
      </c>
      <c r="M2842" s="7" t="n">
        <v>0</v>
      </c>
      <c r="N2842" s="7" t="s">
        <v>71</v>
      </c>
      <c r="O2842" s="7"/>
      <c r="P2842" s="7" t="n">
        <v>4.3</v>
      </c>
      <c r="Q2842" s="7" t="n">
        <v>35</v>
      </c>
      <c r="R2842" s="7" t="s">
        <v>53</v>
      </c>
      <c r="S2842" s="7"/>
      <c r="T2842" s="7"/>
      <c r="U2842" s="7" t="str">
        <f aca="false">IF(COUNTIF($A$2:$A$5001,A2842)&gt;1,"Duplicate","Unique")</f>
        <v>Unique</v>
      </c>
      <c r="V2842" s="7" t="str">
        <f aca="false">IF(COUNTIFS($B$2:$B$5001,B2842,$H$2:$H$5001,H2842,$J$2:$J$5001,J2842)&gt;1,"Possible Duplicate Booking","Unique")</f>
        <v>Possible Duplicate Booking</v>
      </c>
      <c r="W2842" s="7" t="str">
        <f aca="false">IF((H2842-G2842)&lt;&gt;K2842,"Mismatch","OK")</f>
        <v>OK</v>
      </c>
      <c r="X2842" s="7" t="str">
        <f aca="false">IF(TEXT(H2842,"dddd")&lt;&gt;I2842,"Mismatch","OK")</f>
        <v>OK</v>
      </c>
      <c r="Y2842" s="7" t="str">
        <f aca="false">IF(AND(N2842="No",O2842&lt;&gt;""),"Unexpected: channel present but no reminder sent",IF(AND(N2842="Yes",O2842=""),"Missing channel for sent reminder","OK"))</f>
        <v>OK</v>
      </c>
    </row>
    <row r="2843" customFormat="false" ht="15" hidden="false" customHeight="false" outlineLevel="0" collapsed="false">
      <c r="A2843" s="9" t="s">
        <v>4340</v>
      </c>
      <c r="B2843" s="9" t="s">
        <v>811</v>
      </c>
      <c r="C2843" s="9" t="s">
        <v>47</v>
      </c>
      <c r="D2843" s="9" t="n">
        <v>39</v>
      </c>
      <c r="E2843" s="9" t="s">
        <v>38</v>
      </c>
      <c r="F2843" s="9" t="s">
        <v>74</v>
      </c>
      <c r="G2843" s="10" t="n">
        <v>46029</v>
      </c>
      <c r="H2843" s="10" t="n">
        <v>46042</v>
      </c>
      <c r="I2843" s="9" t="s">
        <v>40</v>
      </c>
      <c r="J2843" s="9" t="s">
        <v>63</v>
      </c>
      <c r="K2843" s="9" t="n">
        <v>13</v>
      </c>
      <c r="L2843" s="9" t="n">
        <v>1</v>
      </c>
      <c r="M2843" s="9" t="n">
        <v>0</v>
      </c>
      <c r="N2843" s="9" t="s">
        <v>71</v>
      </c>
      <c r="O2843" s="9"/>
      <c r="P2843" s="9" t="n">
        <v>3</v>
      </c>
      <c r="Q2843" s="9" t="n">
        <v>30</v>
      </c>
      <c r="R2843" s="9" t="s">
        <v>44</v>
      </c>
      <c r="S2843" s="9"/>
      <c r="T2843" s="9"/>
      <c r="U2843" s="9" t="str">
        <f aca="false">IF(COUNTIF($A$2:$A$5001,A2843)&gt;1,"Duplicate","Unique")</f>
        <v>Unique</v>
      </c>
      <c r="V2843" s="9" t="str">
        <f aca="false">IF(COUNTIFS($B$2:$B$5001,B2843,$H$2:$H$5001,H2843,$J$2:$J$5001,J2843)&gt;1,"Possible Duplicate Booking","Unique")</f>
        <v>Unique</v>
      </c>
      <c r="W2843" s="9" t="str">
        <f aca="false">IF((H2843-G2843)&lt;&gt;K2843,"Mismatch","OK")</f>
        <v>OK</v>
      </c>
      <c r="X2843" s="9" t="str">
        <f aca="false">IF(TEXT(H2843,"dddd")&lt;&gt;I2843,"Mismatch","OK")</f>
        <v>OK</v>
      </c>
      <c r="Y2843" s="9" t="str">
        <f aca="false">IF(AND(N2843="No",O2843&lt;&gt;""),"Unexpected: channel present but no reminder sent",IF(AND(N2843="Yes",O2843=""),"Missing channel for sent reminder","OK"))</f>
        <v>OK</v>
      </c>
    </row>
    <row r="2844" customFormat="false" ht="15" hidden="false" customHeight="false" outlineLevel="0" collapsed="false">
      <c r="A2844" s="7" t="s">
        <v>4341</v>
      </c>
      <c r="B2844" s="7" t="s">
        <v>219</v>
      </c>
      <c r="C2844" s="7" t="s">
        <v>47</v>
      </c>
      <c r="D2844" s="7" t="n">
        <v>57</v>
      </c>
      <c r="E2844" s="7" t="s">
        <v>61</v>
      </c>
      <c r="F2844" s="7" t="s">
        <v>57</v>
      </c>
      <c r="G2844" s="8" t="n">
        <v>46023</v>
      </c>
      <c r="H2844" s="8" t="n">
        <v>46075</v>
      </c>
      <c r="I2844" s="7" t="s">
        <v>75</v>
      </c>
      <c r="J2844" s="7" t="s">
        <v>41</v>
      </c>
      <c r="K2844" s="7" t="n">
        <v>52</v>
      </c>
      <c r="L2844" s="7" t="n">
        <v>3</v>
      </c>
      <c r="M2844" s="7" t="n">
        <v>0</v>
      </c>
      <c r="N2844" s="7" t="s">
        <v>42</v>
      </c>
      <c r="O2844" s="7" t="s">
        <v>52</v>
      </c>
      <c r="P2844" s="7" t="n">
        <v>31.1</v>
      </c>
      <c r="Q2844" s="7" t="n">
        <v>26</v>
      </c>
      <c r="R2844" s="7" t="s">
        <v>53</v>
      </c>
      <c r="S2844" s="7"/>
      <c r="T2844" s="7"/>
      <c r="U2844" s="7" t="str">
        <f aca="false">IF(COUNTIF($A$2:$A$5001,A2844)&gt;1,"Duplicate","Unique")</f>
        <v>Unique</v>
      </c>
      <c r="V2844" s="7" t="str">
        <f aca="false">IF(COUNTIFS($B$2:$B$5001,B2844,$H$2:$H$5001,H2844,$J$2:$J$5001,J2844)&gt;1,"Possible Duplicate Booking","Unique")</f>
        <v>Unique</v>
      </c>
      <c r="W2844" s="7" t="str">
        <f aca="false">IF((H2844-G2844)&lt;&gt;K2844,"Mismatch","OK")</f>
        <v>OK</v>
      </c>
      <c r="X2844" s="7" t="str">
        <f aca="false">IF(TEXT(H2844,"dddd")&lt;&gt;I2844,"Mismatch","OK")</f>
        <v>OK</v>
      </c>
      <c r="Y2844" s="7" t="str">
        <f aca="false">IF(AND(N2844="No",O2844&lt;&gt;""),"Unexpected: channel present but no reminder sent",IF(AND(N2844="Yes",O2844=""),"Missing channel for sent reminder","OK"))</f>
        <v>OK</v>
      </c>
    </row>
    <row r="2845" customFormat="false" ht="15" hidden="false" customHeight="false" outlineLevel="0" collapsed="false">
      <c r="A2845" s="9" t="s">
        <v>4342</v>
      </c>
      <c r="B2845" s="9" t="s">
        <v>1767</v>
      </c>
      <c r="C2845" s="9" t="s">
        <v>37</v>
      </c>
      <c r="D2845" s="9" t="n">
        <v>51</v>
      </c>
      <c r="E2845" s="9" t="s">
        <v>56</v>
      </c>
      <c r="F2845" s="9" t="s">
        <v>74</v>
      </c>
      <c r="G2845" s="10" t="n">
        <v>45869</v>
      </c>
      <c r="H2845" s="10" t="n">
        <v>45921</v>
      </c>
      <c r="I2845" s="9" t="s">
        <v>75</v>
      </c>
      <c r="J2845" s="9" t="s">
        <v>51</v>
      </c>
      <c r="K2845" s="9" t="n">
        <v>52</v>
      </c>
      <c r="L2845" s="9" t="n">
        <v>4</v>
      </c>
      <c r="M2845" s="9" t="n">
        <v>0</v>
      </c>
      <c r="N2845" s="9" t="s">
        <v>42</v>
      </c>
      <c r="O2845" s="9" t="s">
        <v>52</v>
      </c>
      <c r="P2845" s="9" t="n">
        <v>8</v>
      </c>
      <c r="Q2845" s="9" t="n">
        <v>36</v>
      </c>
      <c r="R2845" s="9" t="s">
        <v>53</v>
      </c>
      <c r="S2845" s="9"/>
      <c r="T2845" s="9"/>
      <c r="U2845" s="9" t="str">
        <f aca="false">IF(COUNTIF($A$2:$A$5001,A2845)&gt;1,"Duplicate","Unique")</f>
        <v>Unique</v>
      </c>
      <c r="V2845" s="9" t="str">
        <f aca="false">IF(COUNTIFS($B$2:$B$5001,B2845,$H$2:$H$5001,H2845,$J$2:$J$5001,J2845)&gt;1,"Possible Duplicate Booking","Unique")</f>
        <v>Unique</v>
      </c>
      <c r="W2845" s="9" t="str">
        <f aca="false">IF((H2845-G2845)&lt;&gt;K2845,"Mismatch","OK")</f>
        <v>OK</v>
      </c>
      <c r="X2845" s="9" t="str">
        <f aca="false">IF(TEXT(H2845,"dddd")&lt;&gt;I2845,"Mismatch","OK")</f>
        <v>OK</v>
      </c>
      <c r="Y2845" s="9" t="str">
        <f aca="false">IF(AND(N2845="No",O2845&lt;&gt;""),"Unexpected: channel present but no reminder sent",IF(AND(N2845="Yes",O2845=""),"Missing channel for sent reminder","OK"))</f>
        <v>OK</v>
      </c>
    </row>
    <row r="2846" customFormat="false" ht="15" hidden="false" customHeight="false" outlineLevel="0" collapsed="false">
      <c r="A2846" s="7" t="s">
        <v>4343</v>
      </c>
      <c r="B2846" s="7" t="s">
        <v>4344</v>
      </c>
      <c r="C2846" s="7" t="s">
        <v>47</v>
      </c>
      <c r="D2846" s="7" t="n">
        <v>61</v>
      </c>
      <c r="E2846" s="7" t="s">
        <v>61</v>
      </c>
      <c r="F2846" s="7" t="s">
        <v>57</v>
      </c>
      <c r="G2846" s="8" t="n">
        <v>45897</v>
      </c>
      <c r="H2846" s="8" t="n">
        <v>45907</v>
      </c>
      <c r="I2846" s="7" t="s">
        <v>75</v>
      </c>
      <c r="J2846" s="7" t="s">
        <v>41</v>
      </c>
      <c r="K2846" s="7" t="n">
        <v>10</v>
      </c>
      <c r="L2846" s="7" t="n">
        <v>1</v>
      </c>
      <c r="M2846" s="7" t="n">
        <v>0</v>
      </c>
      <c r="N2846" s="7" t="s">
        <v>42</v>
      </c>
      <c r="O2846" s="7" t="s">
        <v>52</v>
      </c>
      <c r="P2846" s="7" t="n">
        <v>5.6</v>
      </c>
      <c r="Q2846" s="7" t="n">
        <v>27</v>
      </c>
      <c r="R2846" s="7" t="s">
        <v>53</v>
      </c>
      <c r="S2846" s="7"/>
      <c r="T2846" s="7"/>
      <c r="U2846" s="7" t="str">
        <f aca="false">IF(COUNTIF($A$2:$A$5001,A2846)&gt;1,"Duplicate","Unique")</f>
        <v>Unique</v>
      </c>
      <c r="V2846" s="7" t="str">
        <f aca="false">IF(COUNTIFS($B$2:$B$5001,B2846,$H$2:$H$5001,H2846,$J$2:$J$5001,J2846)&gt;1,"Possible Duplicate Booking","Unique")</f>
        <v>Unique</v>
      </c>
      <c r="W2846" s="7" t="str">
        <f aca="false">IF((H2846-G2846)&lt;&gt;K2846,"Mismatch","OK")</f>
        <v>OK</v>
      </c>
      <c r="X2846" s="7" t="str">
        <f aca="false">IF(TEXT(H2846,"dddd")&lt;&gt;I2846,"Mismatch","OK")</f>
        <v>OK</v>
      </c>
      <c r="Y2846" s="7" t="str">
        <f aca="false">IF(AND(N2846="No",O2846&lt;&gt;""),"Unexpected: channel present but no reminder sent",IF(AND(N2846="Yes",O2846=""),"Missing channel for sent reminder","OK"))</f>
        <v>OK</v>
      </c>
    </row>
    <row r="2847" customFormat="false" ht="15" hidden="false" customHeight="false" outlineLevel="0" collapsed="false">
      <c r="A2847" s="9" t="s">
        <v>4345</v>
      </c>
      <c r="B2847" s="9" t="s">
        <v>2446</v>
      </c>
      <c r="C2847" s="9" t="s">
        <v>47</v>
      </c>
      <c r="D2847" s="9" t="n">
        <v>60</v>
      </c>
      <c r="E2847" s="9" t="s">
        <v>61</v>
      </c>
      <c r="F2847" s="9" t="s">
        <v>49</v>
      </c>
      <c r="G2847" s="10" t="n">
        <v>45886</v>
      </c>
      <c r="H2847" s="10" t="n">
        <v>45907</v>
      </c>
      <c r="I2847" s="9" t="s">
        <v>75</v>
      </c>
      <c r="J2847" s="9" t="s">
        <v>63</v>
      </c>
      <c r="K2847" s="9" t="n">
        <v>21</v>
      </c>
      <c r="L2847" s="9" t="n">
        <v>3</v>
      </c>
      <c r="M2847" s="9" t="n">
        <v>2</v>
      </c>
      <c r="N2847" s="9" t="s">
        <v>42</v>
      </c>
      <c r="O2847" s="9" t="s">
        <v>43</v>
      </c>
      <c r="P2847" s="9"/>
      <c r="Q2847" s="9" t="n">
        <v>2</v>
      </c>
      <c r="R2847" s="9" t="s">
        <v>53</v>
      </c>
      <c r="S2847" s="9"/>
      <c r="T2847" s="9"/>
      <c r="U2847" s="9" t="str">
        <f aca="false">IF(COUNTIF($A$2:$A$5001,A2847)&gt;1,"Duplicate","Unique")</f>
        <v>Unique</v>
      </c>
      <c r="V2847" s="9" t="str">
        <f aca="false">IF(COUNTIFS($B$2:$B$5001,B2847,$H$2:$H$5001,H2847,$J$2:$J$5001,J2847)&gt;1,"Possible Duplicate Booking","Unique")</f>
        <v>Unique</v>
      </c>
      <c r="W2847" s="9" t="str">
        <f aca="false">IF((H2847-G2847)&lt;&gt;K2847,"Mismatch","OK")</f>
        <v>OK</v>
      </c>
      <c r="X2847" s="9" t="str">
        <f aca="false">IF(TEXT(H2847,"dddd")&lt;&gt;I2847,"Mismatch","OK")</f>
        <v>OK</v>
      </c>
      <c r="Y2847" s="9" t="str">
        <f aca="false">IF(AND(N2847="No",O2847&lt;&gt;""),"Unexpected: channel present but no reminder sent",IF(AND(N2847="Yes",O2847=""),"Missing channel for sent reminder","OK"))</f>
        <v>OK</v>
      </c>
    </row>
    <row r="2848" customFormat="false" ht="15" hidden="false" customHeight="false" outlineLevel="0" collapsed="false">
      <c r="A2848" s="7" t="s">
        <v>4346</v>
      </c>
      <c r="B2848" s="7" t="s">
        <v>1897</v>
      </c>
      <c r="C2848" s="7" t="s">
        <v>47</v>
      </c>
      <c r="D2848" s="7" t="n">
        <v>44</v>
      </c>
      <c r="E2848" s="7" t="s">
        <v>38</v>
      </c>
      <c r="F2848" s="7" t="s">
        <v>39</v>
      </c>
      <c r="G2848" s="8" t="n">
        <v>46112</v>
      </c>
      <c r="H2848" s="8" t="n">
        <v>46128</v>
      </c>
      <c r="I2848" s="7" t="s">
        <v>62</v>
      </c>
      <c r="J2848" s="7" t="s">
        <v>51</v>
      </c>
      <c r="K2848" s="7" t="n">
        <v>16</v>
      </c>
      <c r="L2848" s="7" t="n">
        <v>2</v>
      </c>
      <c r="M2848" s="7" t="n">
        <v>0</v>
      </c>
      <c r="N2848" s="7" t="s">
        <v>71</v>
      </c>
      <c r="O2848" s="7"/>
      <c r="P2848" s="7" t="n">
        <v>9.1</v>
      </c>
      <c r="Q2848" s="7" t="n">
        <v>23</v>
      </c>
      <c r="R2848" s="7" t="s">
        <v>53</v>
      </c>
      <c r="S2848" s="7"/>
      <c r="T2848" s="7"/>
      <c r="U2848" s="7" t="str">
        <f aca="false">IF(COUNTIF($A$2:$A$5001,A2848)&gt;1,"Duplicate","Unique")</f>
        <v>Unique</v>
      </c>
      <c r="V2848" s="7" t="str">
        <f aca="false">IF(COUNTIFS($B$2:$B$5001,B2848,$H$2:$H$5001,H2848,$J$2:$J$5001,J2848)&gt;1,"Possible Duplicate Booking","Unique")</f>
        <v>Unique</v>
      </c>
      <c r="W2848" s="7" t="str">
        <f aca="false">IF((H2848-G2848)&lt;&gt;K2848,"Mismatch","OK")</f>
        <v>OK</v>
      </c>
      <c r="X2848" s="7" t="str">
        <f aca="false">IF(TEXT(H2848,"dddd")&lt;&gt;I2848,"Mismatch","OK")</f>
        <v>OK</v>
      </c>
      <c r="Y2848" s="7" t="str">
        <f aca="false">IF(AND(N2848="No",O2848&lt;&gt;""),"Unexpected: channel present but no reminder sent",IF(AND(N2848="Yes",O2848=""),"Missing channel for sent reminder","OK"))</f>
        <v>OK</v>
      </c>
    </row>
    <row r="2849" customFormat="false" ht="15" hidden="false" customHeight="false" outlineLevel="0" collapsed="false">
      <c r="A2849" s="9" t="s">
        <v>4347</v>
      </c>
      <c r="B2849" s="9" t="s">
        <v>4348</v>
      </c>
      <c r="C2849" s="9" t="s">
        <v>236</v>
      </c>
      <c r="D2849" s="9" t="n">
        <v>67</v>
      </c>
      <c r="E2849" s="9" t="s">
        <v>70</v>
      </c>
      <c r="F2849" s="9" t="s">
        <v>39</v>
      </c>
      <c r="G2849" s="10" t="n">
        <v>45812</v>
      </c>
      <c r="H2849" s="10" t="n">
        <v>45868</v>
      </c>
      <c r="I2849" s="9" t="s">
        <v>58</v>
      </c>
      <c r="J2849" s="9" t="s">
        <v>51</v>
      </c>
      <c r="K2849" s="9" t="n">
        <v>56</v>
      </c>
      <c r="L2849" s="9" t="n">
        <v>2</v>
      </c>
      <c r="M2849" s="9" t="n">
        <v>0</v>
      </c>
      <c r="N2849" s="9" t="s">
        <v>42</v>
      </c>
      <c r="O2849" s="9" t="s">
        <v>52</v>
      </c>
      <c r="P2849" s="9" t="n">
        <v>5.1</v>
      </c>
      <c r="Q2849" s="9" t="n">
        <v>30</v>
      </c>
      <c r="R2849" s="9" t="s">
        <v>53</v>
      </c>
      <c r="S2849" s="9"/>
      <c r="T2849" s="9"/>
      <c r="U2849" s="9" t="str">
        <f aca="false">IF(COUNTIF($A$2:$A$5001,A2849)&gt;1,"Duplicate","Unique")</f>
        <v>Unique</v>
      </c>
      <c r="V2849" s="9" t="str">
        <f aca="false">IF(COUNTIFS($B$2:$B$5001,B2849,$H$2:$H$5001,H2849,$J$2:$J$5001,J2849)&gt;1,"Possible Duplicate Booking","Unique")</f>
        <v>Unique</v>
      </c>
      <c r="W2849" s="9" t="str">
        <f aca="false">IF((H2849-G2849)&lt;&gt;K2849,"Mismatch","OK")</f>
        <v>OK</v>
      </c>
      <c r="X2849" s="9" t="str">
        <f aca="false">IF(TEXT(H2849,"dddd")&lt;&gt;I2849,"Mismatch","OK")</f>
        <v>OK</v>
      </c>
      <c r="Y2849" s="9" t="str">
        <f aca="false">IF(AND(N2849="No",O2849&lt;&gt;""),"Unexpected: channel present but no reminder sent",IF(AND(N2849="Yes",O2849=""),"Missing channel for sent reminder","OK"))</f>
        <v>OK</v>
      </c>
    </row>
    <row r="2850" customFormat="false" ht="15" hidden="false" customHeight="false" outlineLevel="0" collapsed="false">
      <c r="A2850" s="7" t="s">
        <v>4349</v>
      </c>
      <c r="B2850" s="7" t="s">
        <v>4350</v>
      </c>
      <c r="C2850" s="7" t="s">
        <v>37</v>
      </c>
      <c r="D2850" s="7" t="n">
        <v>34</v>
      </c>
      <c r="E2850" s="7" t="s">
        <v>48</v>
      </c>
      <c r="F2850" s="7" t="s">
        <v>57</v>
      </c>
      <c r="G2850" s="8" t="n">
        <v>45807</v>
      </c>
      <c r="H2850" s="8" t="n">
        <v>45810</v>
      </c>
      <c r="I2850" s="7" t="s">
        <v>66</v>
      </c>
      <c r="J2850" s="7" t="s">
        <v>41</v>
      </c>
      <c r="K2850" s="7" t="n">
        <v>3</v>
      </c>
      <c r="L2850" s="7" t="n">
        <v>2</v>
      </c>
      <c r="M2850" s="7" t="n">
        <v>0</v>
      </c>
      <c r="N2850" s="7" t="s">
        <v>42</v>
      </c>
      <c r="O2850" s="7" t="s">
        <v>43</v>
      </c>
      <c r="P2850" s="7" t="n">
        <v>13.3</v>
      </c>
      <c r="Q2850" s="7" t="n">
        <v>13</v>
      </c>
      <c r="R2850" s="7" t="s">
        <v>53</v>
      </c>
      <c r="S2850" s="7"/>
      <c r="T2850" s="7"/>
      <c r="U2850" s="7" t="str">
        <f aca="false">IF(COUNTIF($A$2:$A$5001,A2850)&gt;1,"Duplicate","Unique")</f>
        <v>Unique</v>
      </c>
      <c r="V2850" s="7" t="str">
        <f aca="false">IF(COUNTIFS($B$2:$B$5001,B2850,$H$2:$H$5001,H2850,$J$2:$J$5001,J2850)&gt;1,"Possible Duplicate Booking","Unique")</f>
        <v>Unique</v>
      </c>
      <c r="W2850" s="7" t="str">
        <f aca="false">IF((H2850-G2850)&lt;&gt;K2850,"Mismatch","OK")</f>
        <v>OK</v>
      </c>
      <c r="X2850" s="7" t="str">
        <f aca="false">IF(TEXT(H2850,"dddd")&lt;&gt;I2850,"Mismatch","OK")</f>
        <v>OK</v>
      </c>
      <c r="Y2850" s="7" t="str">
        <f aca="false">IF(AND(N2850="No",O2850&lt;&gt;""),"Unexpected: channel present but no reminder sent",IF(AND(N2850="Yes",O2850=""),"Missing channel for sent reminder","OK"))</f>
        <v>OK</v>
      </c>
    </row>
    <row r="2851" customFormat="false" ht="15" hidden="false" customHeight="false" outlineLevel="0" collapsed="false">
      <c r="A2851" s="9" t="s">
        <v>4351</v>
      </c>
      <c r="B2851" s="9" t="s">
        <v>199</v>
      </c>
      <c r="C2851" s="9" t="s">
        <v>37</v>
      </c>
      <c r="D2851" s="9" t="n">
        <v>23</v>
      </c>
      <c r="E2851" s="9" t="s">
        <v>82</v>
      </c>
      <c r="F2851" s="9" t="s">
        <v>49</v>
      </c>
      <c r="G2851" s="10" t="n">
        <v>45843</v>
      </c>
      <c r="H2851" s="10" t="n">
        <v>45855</v>
      </c>
      <c r="I2851" s="9" t="s">
        <v>62</v>
      </c>
      <c r="J2851" s="9" t="s">
        <v>51</v>
      </c>
      <c r="K2851" s="9" t="n">
        <v>12</v>
      </c>
      <c r="L2851" s="9" t="n">
        <v>2</v>
      </c>
      <c r="M2851" s="9" t="n">
        <v>0</v>
      </c>
      <c r="N2851" s="9" t="s">
        <v>42</v>
      </c>
      <c r="O2851" s="9" t="s">
        <v>52</v>
      </c>
      <c r="P2851" s="9" t="n">
        <v>16.5</v>
      </c>
      <c r="Q2851" s="9" t="n">
        <v>53</v>
      </c>
      <c r="R2851" s="9" t="s">
        <v>53</v>
      </c>
      <c r="S2851" s="9"/>
      <c r="T2851" s="9"/>
      <c r="U2851" s="9" t="str">
        <f aca="false">IF(COUNTIF($A$2:$A$5001,A2851)&gt;1,"Duplicate","Unique")</f>
        <v>Unique</v>
      </c>
      <c r="V2851" s="9" t="str">
        <f aca="false">IF(COUNTIFS($B$2:$B$5001,B2851,$H$2:$H$5001,H2851,$J$2:$J$5001,J2851)&gt;1,"Possible Duplicate Booking","Unique")</f>
        <v>Unique</v>
      </c>
      <c r="W2851" s="9" t="str">
        <f aca="false">IF((H2851-G2851)&lt;&gt;K2851,"Mismatch","OK")</f>
        <v>OK</v>
      </c>
      <c r="X2851" s="9" t="str">
        <f aca="false">IF(TEXT(H2851,"dddd")&lt;&gt;I2851,"Mismatch","OK")</f>
        <v>OK</v>
      </c>
      <c r="Y2851" s="9" t="str">
        <f aca="false">IF(AND(N2851="No",O2851&lt;&gt;""),"Unexpected: channel present but no reminder sent",IF(AND(N2851="Yes",O2851=""),"Missing channel for sent reminder","OK"))</f>
        <v>OK</v>
      </c>
    </row>
    <row r="2852" customFormat="false" ht="15" hidden="false" customHeight="false" outlineLevel="0" collapsed="false">
      <c r="A2852" s="7" t="s">
        <v>4352</v>
      </c>
      <c r="B2852" s="7" t="s">
        <v>2360</v>
      </c>
      <c r="C2852" s="7" t="s">
        <v>47</v>
      </c>
      <c r="D2852" s="7" t="n">
        <v>75</v>
      </c>
      <c r="E2852" s="7" t="s">
        <v>70</v>
      </c>
      <c r="F2852" s="7" t="s">
        <v>57</v>
      </c>
      <c r="G2852" s="8" t="n">
        <v>45745</v>
      </c>
      <c r="H2852" s="8" t="n">
        <v>45764</v>
      </c>
      <c r="I2852" s="7" t="s">
        <v>62</v>
      </c>
      <c r="J2852" s="7" t="s">
        <v>51</v>
      </c>
      <c r="K2852" s="7" t="n">
        <v>19</v>
      </c>
      <c r="L2852" s="7" t="n">
        <v>3</v>
      </c>
      <c r="M2852" s="7" t="n">
        <v>0</v>
      </c>
      <c r="N2852" s="7" t="s">
        <v>42</v>
      </c>
      <c r="O2852" s="7" t="s">
        <v>43</v>
      </c>
      <c r="P2852" s="7" t="n">
        <v>8.1</v>
      </c>
      <c r="Q2852" s="7" t="n">
        <v>22</v>
      </c>
      <c r="R2852" s="7" t="s">
        <v>44</v>
      </c>
      <c r="S2852" s="7"/>
      <c r="T2852" s="7"/>
      <c r="U2852" s="7" t="str">
        <f aca="false">IF(COUNTIF($A$2:$A$5001,A2852)&gt;1,"Duplicate","Unique")</f>
        <v>Unique</v>
      </c>
      <c r="V2852" s="7" t="str">
        <f aca="false">IF(COUNTIFS($B$2:$B$5001,B2852,$H$2:$H$5001,H2852,$J$2:$J$5001,J2852)&gt;1,"Possible Duplicate Booking","Unique")</f>
        <v>Unique</v>
      </c>
      <c r="W2852" s="7" t="str">
        <f aca="false">IF((H2852-G2852)&lt;&gt;K2852,"Mismatch","OK")</f>
        <v>OK</v>
      </c>
      <c r="X2852" s="7" t="str">
        <f aca="false">IF(TEXT(H2852,"dddd")&lt;&gt;I2852,"Mismatch","OK")</f>
        <v>OK</v>
      </c>
      <c r="Y2852" s="7" t="str">
        <f aca="false">IF(AND(N2852="No",O2852&lt;&gt;""),"Unexpected: channel present but no reminder sent",IF(AND(N2852="Yes",O2852=""),"Missing channel for sent reminder","OK"))</f>
        <v>OK</v>
      </c>
    </row>
    <row r="2853" customFormat="false" ht="15" hidden="false" customHeight="false" outlineLevel="0" collapsed="false">
      <c r="A2853" s="9" t="s">
        <v>4353</v>
      </c>
      <c r="B2853" s="9" t="s">
        <v>4020</v>
      </c>
      <c r="C2853" s="9" t="s">
        <v>37</v>
      </c>
      <c r="D2853" s="9" t="n">
        <v>19</v>
      </c>
      <c r="E2853" s="9" t="s">
        <v>82</v>
      </c>
      <c r="F2853" s="9" t="s">
        <v>39</v>
      </c>
      <c r="G2853" s="10" t="n">
        <v>45837</v>
      </c>
      <c r="H2853" s="10" t="n">
        <v>45871</v>
      </c>
      <c r="I2853" s="9" t="s">
        <v>102</v>
      </c>
      <c r="J2853" s="9" t="s">
        <v>41</v>
      </c>
      <c r="K2853" s="9" t="n">
        <v>34</v>
      </c>
      <c r="L2853" s="9" t="n">
        <v>2</v>
      </c>
      <c r="M2853" s="9" t="n">
        <v>1</v>
      </c>
      <c r="N2853" s="9" t="s">
        <v>42</v>
      </c>
      <c r="O2853" s="9" t="s">
        <v>43</v>
      </c>
      <c r="P2853" s="9" t="n">
        <v>6</v>
      </c>
      <c r="Q2853" s="9" t="n">
        <v>30</v>
      </c>
      <c r="R2853" s="9" t="s">
        <v>53</v>
      </c>
      <c r="S2853" s="9"/>
      <c r="T2853" s="9"/>
      <c r="U2853" s="9" t="str">
        <f aca="false">IF(COUNTIF($A$2:$A$5001,A2853)&gt;1,"Duplicate","Unique")</f>
        <v>Unique</v>
      </c>
      <c r="V2853" s="9" t="str">
        <f aca="false">IF(COUNTIFS($B$2:$B$5001,B2853,$H$2:$H$5001,H2853,$J$2:$J$5001,J2853)&gt;1,"Possible Duplicate Booking","Unique")</f>
        <v>Unique</v>
      </c>
      <c r="W2853" s="9" t="str">
        <f aca="false">IF((H2853-G2853)&lt;&gt;K2853,"Mismatch","OK")</f>
        <v>OK</v>
      </c>
      <c r="X2853" s="9" t="str">
        <f aca="false">IF(TEXT(H2853,"dddd")&lt;&gt;I2853,"Mismatch","OK")</f>
        <v>OK</v>
      </c>
      <c r="Y2853" s="9" t="str">
        <f aca="false">IF(AND(N2853="No",O2853&lt;&gt;""),"Unexpected: channel present but no reminder sent",IF(AND(N2853="Yes",O2853=""),"Missing channel for sent reminder","OK"))</f>
        <v>OK</v>
      </c>
    </row>
    <row r="2854" customFormat="false" ht="15" hidden="false" customHeight="false" outlineLevel="0" collapsed="false">
      <c r="A2854" s="7" t="s">
        <v>4354</v>
      </c>
      <c r="B2854" s="7" t="s">
        <v>292</v>
      </c>
      <c r="C2854" s="7" t="s">
        <v>37</v>
      </c>
      <c r="D2854" s="7" t="n">
        <v>35</v>
      </c>
      <c r="E2854" s="7" t="s">
        <v>38</v>
      </c>
      <c r="F2854" s="7" t="s">
        <v>39</v>
      </c>
      <c r="G2854" s="8" t="n">
        <v>45705</v>
      </c>
      <c r="H2854" s="8" t="n">
        <v>45720</v>
      </c>
      <c r="I2854" s="7" t="s">
        <v>40</v>
      </c>
      <c r="J2854" s="7" t="s">
        <v>63</v>
      </c>
      <c r="K2854" s="7" t="n">
        <v>15</v>
      </c>
      <c r="L2854" s="7" t="n">
        <v>1</v>
      </c>
      <c r="M2854" s="7" t="n">
        <v>0</v>
      </c>
      <c r="N2854" s="7" t="s">
        <v>71</v>
      </c>
      <c r="O2854" s="7"/>
      <c r="P2854" s="7" t="n">
        <v>7.1</v>
      </c>
      <c r="Q2854" s="7" t="n">
        <v>37</v>
      </c>
      <c r="R2854" s="7" t="s">
        <v>44</v>
      </c>
      <c r="S2854" s="7"/>
      <c r="T2854" s="7"/>
      <c r="U2854" s="7" t="str">
        <f aca="false">IF(COUNTIF($A$2:$A$5001,A2854)&gt;1,"Duplicate","Unique")</f>
        <v>Unique</v>
      </c>
      <c r="V2854" s="7" t="str">
        <f aca="false">IF(COUNTIFS($B$2:$B$5001,B2854,$H$2:$H$5001,H2854,$J$2:$J$5001,J2854)&gt;1,"Possible Duplicate Booking","Unique")</f>
        <v>Unique</v>
      </c>
      <c r="W2854" s="7" t="str">
        <f aca="false">IF((H2854-G2854)&lt;&gt;K2854,"Mismatch","OK")</f>
        <v>OK</v>
      </c>
      <c r="X2854" s="7" t="str">
        <f aca="false">IF(TEXT(H2854,"dddd")&lt;&gt;I2854,"Mismatch","OK")</f>
        <v>OK</v>
      </c>
      <c r="Y2854" s="7" t="str">
        <f aca="false">IF(AND(N2854="No",O2854&lt;&gt;""),"Unexpected: channel present but no reminder sent",IF(AND(N2854="Yes",O2854=""),"Missing channel for sent reminder","OK"))</f>
        <v>OK</v>
      </c>
    </row>
    <row r="2855" customFormat="false" ht="15" hidden="false" customHeight="false" outlineLevel="0" collapsed="false">
      <c r="A2855" s="9" t="s">
        <v>4355</v>
      </c>
      <c r="B2855" s="9" t="s">
        <v>4356</v>
      </c>
      <c r="C2855" s="9" t="s">
        <v>37</v>
      </c>
      <c r="D2855" s="9" t="n">
        <v>25</v>
      </c>
      <c r="E2855" s="9" t="s">
        <v>48</v>
      </c>
      <c r="F2855" s="9" t="s">
        <v>49</v>
      </c>
      <c r="G2855" s="10" t="n">
        <v>45675</v>
      </c>
      <c r="H2855" s="10" t="n">
        <v>45707</v>
      </c>
      <c r="I2855" s="9" t="s">
        <v>58</v>
      </c>
      <c r="J2855" s="9" t="s">
        <v>41</v>
      </c>
      <c r="K2855" s="9" t="n">
        <v>32</v>
      </c>
      <c r="L2855" s="9" t="n">
        <v>2</v>
      </c>
      <c r="M2855" s="9" t="n">
        <v>2</v>
      </c>
      <c r="N2855" s="9" t="s">
        <v>71</v>
      </c>
      <c r="O2855" s="9"/>
      <c r="P2855" s="9" t="n">
        <v>4.5</v>
      </c>
      <c r="Q2855" s="9" t="n">
        <v>31</v>
      </c>
      <c r="R2855" s="9" t="s">
        <v>44</v>
      </c>
      <c r="S2855" s="9"/>
      <c r="T2855" s="9"/>
      <c r="U2855" s="9" t="str">
        <f aca="false">IF(COUNTIF($A$2:$A$5001,A2855)&gt;1,"Duplicate","Unique")</f>
        <v>Unique</v>
      </c>
      <c r="V2855" s="9" t="str">
        <f aca="false">IF(COUNTIFS($B$2:$B$5001,B2855,$H$2:$H$5001,H2855,$J$2:$J$5001,J2855)&gt;1,"Possible Duplicate Booking","Unique")</f>
        <v>Unique</v>
      </c>
      <c r="W2855" s="9" t="str">
        <f aca="false">IF((H2855-G2855)&lt;&gt;K2855,"Mismatch","OK")</f>
        <v>OK</v>
      </c>
      <c r="X2855" s="9" t="str">
        <f aca="false">IF(TEXT(H2855,"dddd")&lt;&gt;I2855,"Mismatch","OK")</f>
        <v>OK</v>
      </c>
      <c r="Y2855" s="9" t="str">
        <f aca="false">IF(AND(N2855="No",O2855&lt;&gt;""),"Unexpected: channel present but no reminder sent",IF(AND(N2855="Yes",O2855=""),"Missing channel for sent reminder","OK"))</f>
        <v>OK</v>
      </c>
    </row>
    <row r="2856" customFormat="false" ht="15" hidden="false" customHeight="false" outlineLevel="0" collapsed="false">
      <c r="A2856" s="7" t="s">
        <v>4357</v>
      </c>
      <c r="B2856" s="7" t="s">
        <v>1767</v>
      </c>
      <c r="C2856" s="7" t="s">
        <v>37</v>
      </c>
      <c r="D2856" s="7" t="n">
        <v>32</v>
      </c>
      <c r="E2856" s="7" t="s">
        <v>48</v>
      </c>
      <c r="F2856" s="7" t="s">
        <v>39</v>
      </c>
      <c r="G2856" s="8" t="n">
        <v>46008</v>
      </c>
      <c r="H2856" s="8" t="n">
        <v>46053</v>
      </c>
      <c r="I2856" s="7" t="s">
        <v>102</v>
      </c>
      <c r="J2856" s="7" t="s">
        <v>51</v>
      </c>
      <c r="K2856" s="7" t="n">
        <v>45</v>
      </c>
      <c r="L2856" s="7" t="n">
        <v>2</v>
      </c>
      <c r="M2856" s="7" t="n">
        <v>0</v>
      </c>
      <c r="N2856" s="7" t="s">
        <v>42</v>
      </c>
      <c r="O2856" s="7" t="s">
        <v>43</v>
      </c>
      <c r="P2856" s="7" t="n">
        <v>7.7</v>
      </c>
      <c r="Q2856" s="7" t="n">
        <v>23</v>
      </c>
      <c r="R2856" s="7" t="s">
        <v>53</v>
      </c>
      <c r="S2856" s="7"/>
      <c r="T2856" s="7"/>
      <c r="U2856" s="7" t="str">
        <f aca="false">IF(COUNTIF($A$2:$A$5001,A2856)&gt;1,"Duplicate","Unique")</f>
        <v>Unique</v>
      </c>
      <c r="V2856" s="7" t="str">
        <f aca="false">IF(COUNTIFS($B$2:$B$5001,B2856,$H$2:$H$5001,H2856,$J$2:$J$5001,J2856)&gt;1,"Possible Duplicate Booking","Unique")</f>
        <v>Unique</v>
      </c>
      <c r="W2856" s="7" t="str">
        <f aca="false">IF((H2856-G2856)&lt;&gt;K2856,"Mismatch","OK")</f>
        <v>OK</v>
      </c>
      <c r="X2856" s="7" t="str">
        <f aca="false">IF(TEXT(H2856,"dddd")&lt;&gt;I2856,"Mismatch","OK")</f>
        <v>OK</v>
      </c>
      <c r="Y2856" s="7" t="str">
        <f aca="false">IF(AND(N2856="No",O2856&lt;&gt;""),"Unexpected: channel present but no reminder sent",IF(AND(N2856="Yes",O2856=""),"Missing channel for sent reminder","OK"))</f>
        <v>OK</v>
      </c>
    </row>
    <row r="2857" customFormat="false" ht="15" hidden="false" customHeight="false" outlineLevel="0" collapsed="false">
      <c r="A2857" s="9" t="s">
        <v>4358</v>
      </c>
      <c r="B2857" s="9" t="s">
        <v>4359</v>
      </c>
      <c r="C2857" s="9" t="s">
        <v>37</v>
      </c>
      <c r="D2857" s="9" t="n">
        <v>42</v>
      </c>
      <c r="E2857" s="9" t="s">
        <v>38</v>
      </c>
      <c r="F2857" s="9" t="s">
        <v>39</v>
      </c>
      <c r="G2857" s="10" t="n">
        <v>45650</v>
      </c>
      <c r="H2857" s="10" t="n">
        <v>45700</v>
      </c>
      <c r="I2857" s="9" t="s">
        <v>58</v>
      </c>
      <c r="J2857" s="9" t="s">
        <v>51</v>
      </c>
      <c r="K2857" s="9" t="n">
        <v>50</v>
      </c>
      <c r="L2857" s="9" t="n">
        <v>6</v>
      </c>
      <c r="M2857" s="9" t="n">
        <v>0</v>
      </c>
      <c r="N2857" s="9" t="s">
        <v>42</v>
      </c>
      <c r="O2857" s="9" t="s">
        <v>67</v>
      </c>
      <c r="P2857" s="9" t="n">
        <v>14.2</v>
      </c>
      <c r="Q2857" s="9" t="n">
        <v>28</v>
      </c>
      <c r="R2857" s="9" t="s">
        <v>44</v>
      </c>
      <c r="S2857" s="9"/>
      <c r="T2857" s="9"/>
      <c r="U2857" s="9" t="str">
        <f aca="false">IF(COUNTIF($A$2:$A$5001,A2857)&gt;1,"Duplicate","Unique")</f>
        <v>Unique</v>
      </c>
      <c r="V2857" s="9" t="str">
        <f aca="false">IF(COUNTIFS($B$2:$B$5001,B2857,$H$2:$H$5001,H2857,$J$2:$J$5001,J2857)&gt;1,"Possible Duplicate Booking","Unique")</f>
        <v>Unique</v>
      </c>
      <c r="W2857" s="9" t="str">
        <f aca="false">IF((H2857-G2857)&lt;&gt;K2857,"Mismatch","OK")</f>
        <v>OK</v>
      </c>
      <c r="X2857" s="9" t="str">
        <f aca="false">IF(TEXT(H2857,"dddd")&lt;&gt;I2857,"Mismatch","OK")</f>
        <v>OK</v>
      </c>
      <c r="Y2857" s="9" t="str">
        <f aca="false">IF(AND(N2857="No",O2857&lt;&gt;""),"Unexpected: channel present but no reminder sent",IF(AND(N2857="Yes",O2857=""),"Missing channel for sent reminder","OK"))</f>
        <v>OK</v>
      </c>
    </row>
    <row r="2858" customFormat="false" ht="15" hidden="false" customHeight="false" outlineLevel="0" collapsed="false">
      <c r="A2858" s="7" t="s">
        <v>4360</v>
      </c>
      <c r="B2858" s="7" t="s">
        <v>4348</v>
      </c>
      <c r="C2858" s="7" t="s">
        <v>37</v>
      </c>
      <c r="D2858" s="7" t="n">
        <v>26</v>
      </c>
      <c r="E2858" s="7" t="s">
        <v>48</v>
      </c>
      <c r="F2858" s="7" t="s">
        <v>39</v>
      </c>
      <c r="G2858" s="8" t="n">
        <v>45962</v>
      </c>
      <c r="H2858" s="8" t="n">
        <v>45968</v>
      </c>
      <c r="I2858" s="7" t="s">
        <v>50</v>
      </c>
      <c r="J2858" s="7" t="s">
        <v>51</v>
      </c>
      <c r="K2858" s="7" t="n">
        <v>6</v>
      </c>
      <c r="L2858" s="7" t="n">
        <v>1</v>
      </c>
      <c r="M2858" s="7" t="n">
        <v>0</v>
      </c>
      <c r="N2858" s="7" t="s">
        <v>42</v>
      </c>
      <c r="O2858" s="7" t="s">
        <v>52</v>
      </c>
      <c r="P2858" s="7" t="n">
        <v>23.4</v>
      </c>
      <c r="Q2858" s="7" t="n">
        <v>22</v>
      </c>
      <c r="R2858" s="7" t="s">
        <v>44</v>
      </c>
      <c r="S2858" s="7"/>
      <c r="T2858" s="7"/>
      <c r="U2858" s="7" t="str">
        <f aca="false">IF(COUNTIF($A$2:$A$5001,A2858)&gt;1,"Duplicate","Unique")</f>
        <v>Unique</v>
      </c>
      <c r="V2858" s="7" t="str">
        <f aca="false">IF(COUNTIFS($B$2:$B$5001,B2858,$H$2:$H$5001,H2858,$J$2:$J$5001,J2858)&gt;1,"Possible Duplicate Booking","Unique")</f>
        <v>Unique</v>
      </c>
      <c r="W2858" s="7" t="str">
        <f aca="false">IF((H2858-G2858)&lt;&gt;K2858,"Mismatch","OK")</f>
        <v>OK</v>
      </c>
      <c r="X2858" s="7" t="str">
        <f aca="false">IF(TEXT(H2858,"dddd")&lt;&gt;I2858,"Mismatch","OK")</f>
        <v>OK</v>
      </c>
      <c r="Y2858" s="7" t="str">
        <f aca="false">IF(AND(N2858="No",O2858&lt;&gt;""),"Unexpected: channel present but no reminder sent",IF(AND(N2858="Yes",O2858=""),"Missing channel for sent reminder","OK"))</f>
        <v>OK</v>
      </c>
    </row>
    <row r="2859" customFormat="false" ht="15" hidden="false" customHeight="false" outlineLevel="0" collapsed="false">
      <c r="A2859" s="9" t="s">
        <v>4361</v>
      </c>
      <c r="B2859" s="9" t="s">
        <v>3452</v>
      </c>
      <c r="C2859" s="9" t="s">
        <v>47</v>
      </c>
      <c r="D2859" s="9" t="n">
        <v>47</v>
      </c>
      <c r="E2859" s="9" t="s">
        <v>56</v>
      </c>
      <c r="F2859" s="9" t="s">
        <v>39</v>
      </c>
      <c r="G2859" s="10" t="n">
        <v>46075</v>
      </c>
      <c r="H2859" s="10" t="n">
        <v>46083</v>
      </c>
      <c r="I2859" s="9" t="s">
        <v>66</v>
      </c>
      <c r="J2859" s="9" t="s">
        <v>51</v>
      </c>
      <c r="K2859" s="9" t="n">
        <v>8</v>
      </c>
      <c r="L2859" s="9" t="n">
        <v>0</v>
      </c>
      <c r="M2859" s="9" t="n">
        <v>0</v>
      </c>
      <c r="N2859" s="9" t="s">
        <v>42</v>
      </c>
      <c r="O2859" s="9" t="s">
        <v>43</v>
      </c>
      <c r="P2859" s="9" t="n">
        <v>11.3</v>
      </c>
      <c r="Q2859" s="9" t="n">
        <v>23</v>
      </c>
      <c r="R2859" s="9" t="s">
        <v>44</v>
      </c>
      <c r="S2859" s="9"/>
      <c r="T2859" s="9"/>
      <c r="U2859" s="9" t="str">
        <f aca="false">IF(COUNTIF($A$2:$A$5001,A2859)&gt;1,"Duplicate","Unique")</f>
        <v>Unique</v>
      </c>
      <c r="V2859" s="9" t="str">
        <f aca="false">IF(COUNTIFS($B$2:$B$5001,B2859,$H$2:$H$5001,H2859,$J$2:$J$5001,J2859)&gt;1,"Possible Duplicate Booking","Unique")</f>
        <v>Unique</v>
      </c>
      <c r="W2859" s="9" t="str">
        <f aca="false">IF((H2859-G2859)&lt;&gt;K2859,"Mismatch","OK")</f>
        <v>OK</v>
      </c>
      <c r="X2859" s="9" t="str">
        <f aca="false">IF(TEXT(H2859,"dddd")&lt;&gt;I2859,"Mismatch","OK")</f>
        <v>OK</v>
      </c>
      <c r="Y2859" s="9" t="str">
        <f aca="false">IF(AND(N2859="No",O2859&lt;&gt;""),"Unexpected: channel present but no reminder sent",IF(AND(N2859="Yes",O2859=""),"Missing channel for sent reminder","OK"))</f>
        <v>OK</v>
      </c>
    </row>
    <row r="2860" customFormat="false" ht="15" hidden="false" customHeight="false" outlineLevel="0" collapsed="false">
      <c r="A2860" s="7" t="s">
        <v>4362</v>
      </c>
      <c r="B2860" s="7" t="s">
        <v>2929</v>
      </c>
      <c r="C2860" s="7" t="s">
        <v>37</v>
      </c>
      <c r="D2860" s="7" t="n">
        <v>76</v>
      </c>
      <c r="E2860" s="7" t="s">
        <v>70</v>
      </c>
      <c r="F2860" s="7" t="s">
        <v>39</v>
      </c>
      <c r="G2860" s="8" t="n">
        <v>46048</v>
      </c>
      <c r="H2860" s="8" t="n">
        <v>46053</v>
      </c>
      <c r="I2860" s="7" t="s">
        <v>102</v>
      </c>
      <c r="J2860" s="7" t="s">
        <v>41</v>
      </c>
      <c r="K2860" s="7" t="n">
        <v>5</v>
      </c>
      <c r="L2860" s="7" t="n">
        <v>5</v>
      </c>
      <c r="M2860" s="7" t="n">
        <v>0</v>
      </c>
      <c r="N2860" s="7" t="s">
        <v>42</v>
      </c>
      <c r="O2860" s="7" t="s">
        <v>52</v>
      </c>
      <c r="P2860" s="7" t="n">
        <v>14</v>
      </c>
      <c r="Q2860" s="7" t="n">
        <v>11</v>
      </c>
      <c r="R2860" s="7" t="s">
        <v>44</v>
      </c>
      <c r="S2860" s="7"/>
      <c r="T2860" s="7"/>
      <c r="U2860" s="7" t="str">
        <f aca="false">IF(COUNTIF($A$2:$A$5001,A2860)&gt;1,"Duplicate","Unique")</f>
        <v>Unique</v>
      </c>
      <c r="V2860" s="7" t="str">
        <f aca="false">IF(COUNTIFS($B$2:$B$5001,B2860,$H$2:$H$5001,H2860,$J$2:$J$5001,J2860)&gt;1,"Possible Duplicate Booking","Unique")</f>
        <v>Unique</v>
      </c>
      <c r="W2860" s="7" t="str">
        <f aca="false">IF((H2860-G2860)&lt;&gt;K2860,"Mismatch","OK")</f>
        <v>OK</v>
      </c>
      <c r="X2860" s="7" t="str">
        <f aca="false">IF(TEXT(H2860,"dddd")&lt;&gt;I2860,"Mismatch","OK")</f>
        <v>OK</v>
      </c>
      <c r="Y2860" s="7" t="str">
        <f aca="false">IF(AND(N2860="No",O2860&lt;&gt;""),"Unexpected: channel present but no reminder sent",IF(AND(N2860="Yes",O2860=""),"Missing channel for sent reminder","OK"))</f>
        <v>OK</v>
      </c>
    </row>
    <row r="2861" customFormat="false" ht="15" hidden="false" customHeight="false" outlineLevel="0" collapsed="false">
      <c r="A2861" s="9" t="s">
        <v>4363</v>
      </c>
      <c r="B2861" s="9" t="s">
        <v>3550</v>
      </c>
      <c r="C2861" s="9" t="s">
        <v>47</v>
      </c>
      <c r="D2861" s="9" t="n">
        <v>26</v>
      </c>
      <c r="E2861" s="9" t="s">
        <v>48</v>
      </c>
      <c r="F2861" s="9" t="s">
        <v>49</v>
      </c>
      <c r="G2861" s="10" t="n">
        <v>45846</v>
      </c>
      <c r="H2861" s="10" t="n">
        <v>45901</v>
      </c>
      <c r="I2861" s="9" t="s">
        <v>66</v>
      </c>
      <c r="J2861" s="9" t="s">
        <v>51</v>
      </c>
      <c r="K2861" s="9" t="n">
        <v>55</v>
      </c>
      <c r="L2861" s="9" t="n">
        <v>3</v>
      </c>
      <c r="M2861" s="9" t="n">
        <v>0</v>
      </c>
      <c r="N2861" s="9" t="s">
        <v>42</v>
      </c>
      <c r="O2861" s="9" t="s">
        <v>52</v>
      </c>
      <c r="P2861" s="9" t="n">
        <v>8.2</v>
      </c>
      <c r="Q2861" s="9" t="n">
        <v>21</v>
      </c>
      <c r="R2861" s="9" t="s">
        <v>53</v>
      </c>
      <c r="S2861" s="9"/>
      <c r="T2861" s="9"/>
      <c r="U2861" s="9" t="str">
        <f aca="false">IF(COUNTIF($A$2:$A$5001,A2861)&gt;1,"Duplicate","Unique")</f>
        <v>Unique</v>
      </c>
      <c r="V2861" s="9" t="str">
        <f aca="false">IF(COUNTIFS($B$2:$B$5001,B2861,$H$2:$H$5001,H2861,$J$2:$J$5001,J2861)&gt;1,"Possible Duplicate Booking","Unique")</f>
        <v>Unique</v>
      </c>
      <c r="W2861" s="9" t="str">
        <f aca="false">IF((H2861-G2861)&lt;&gt;K2861,"Mismatch","OK")</f>
        <v>OK</v>
      </c>
      <c r="X2861" s="9" t="str">
        <f aca="false">IF(TEXT(H2861,"dddd")&lt;&gt;I2861,"Mismatch","OK")</f>
        <v>OK</v>
      </c>
      <c r="Y2861" s="9" t="str">
        <f aca="false">IF(AND(N2861="No",O2861&lt;&gt;""),"Unexpected: channel present but no reminder sent",IF(AND(N2861="Yes",O2861=""),"Missing channel for sent reminder","OK"))</f>
        <v>OK</v>
      </c>
    </row>
    <row r="2862" customFormat="false" ht="15" hidden="false" customHeight="false" outlineLevel="0" collapsed="false">
      <c r="A2862" s="7" t="s">
        <v>4364</v>
      </c>
      <c r="B2862" s="7" t="s">
        <v>3276</v>
      </c>
      <c r="C2862" s="7" t="s">
        <v>37</v>
      </c>
      <c r="D2862" s="7" t="n">
        <v>76</v>
      </c>
      <c r="E2862" s="7" t="s">
        <v>70</v>
      </c>
      <c r="F2862" s="7" t="s">
        <v>49</v>
      </c>
      <c r="G2862" s="8" t="n">
        <v>45724</v>
      </c>
      <c r="H2862" s="8" t="n">
        <v>45763</v>
      </c>
      <c r="I2862" s="7" t="s">
        <v>58</v>
      </c>
      <c r="J2862" s="7" t="s">
        <v>41</v>
      </c>
      <c r="K2862" s="7" t="n">
        <v>39</v>
      </c>
      <c r="L2862" s="7" t="n">
        <v>0</v>
      </c>
      <c r="M2862" s="7" t="n">
        <v>0</v>
      </c>
      <c r="N2862" s="7" t="s">
        <v>71</v>
      </c>
      <c r="O2862" s="7"/>
      <c r="P2862" s="7" t="n">
        <v>17.6</v>
      </c>
      <c r="Q2862" s="7" t="n">
        <v>11</v>
      </c>
      <c r="R2862" s="7" t="s">
        <v>44</v>
      </c>
      <c r="S2862" s="7"/>
      <c r="T2862" s="7"/>
      <c r="U2862" s="7" t="str">
        <f aca="false">IF(COUNTIF($A$2:$A$5001,A2862)&gt;1,"Duplicate","Unique")</f>
        <v>Unique</v>
      </c>
      <c r="V2862" s="7" t="str">
        <f aca="false">IF(COUNTIFS($B$2:$B$5001,B2862,$H$2:$H$5001,H2862,$J$2:$J$5001,J2862)&gt;1,"Possible Duplicate Booking","Unique")</f>
        <v>Unique</v>
      </c>
      <c r="W2862" s="7" t="str">
        <f aca="false">IF((H2862-G2862)&lt;&gt;K2862,"Mismatch","OK")</f>
        <v>OK</v>
      </c>
      <c r="X2862" s="7" t="str">
        <f aca="false">IF(TEXT(H2862,"dddd")&lt;&gt;I2862,"Mismatch","OK")</f>
        <v>OK</v>
      </c>
      <c r="Y2862" s="7" t="str">
        <f aca="false">IF(AND(N2862="No",O2862&lt;&gt;""),"Unexpected: channel present but no reminder sent",IF(AND(N2862="Yes",O2862=""),"Missing channel for sent reminder","OK"))</f>
        <v>OK</v>
      </c>
    </row>
    <row r="2863" customFormat="false" ht="15" hidden="false" customHeight="false" outlineLevel="0" collapsed="false">
      <c r="A2863" s="9" t="s">
        <v>4365</v>
      </c>
      <c r="B2863" s="9" t="s">
        <v>474</v>
      </c>
      <c r="C2863" s="9" t="s">
        <v>37</v>
      </c>
      <c r="D2863" s="9" t="n">
        <v>43</v>
      </c>
      <c r="E2863" s="9" t="s">
        <v>38</v>
      </c>
      <c r="F2863" s="9" t="s">
        <v>39</v>
      </c>
      <c r="G2863" s="10" t="n">
        <v>46134</v>
      </c>
      <c r="H2863" s="10" t="n">
        <v>46166</v>
      </c>
      <c r="I2863" s="9" t="s">
        <v>75</v>
      </c>
      <c r="J2863" s="9" t="s">
        <v>41</v>
      </c>
      <c r="K2863" s="9" t="n">
        <v>32</v>
      </c>
      <c r="L2863" s="9" t="n">
        <v>2</v>
      </c>
      <c r="M2863" s="9" t="n">
        <v>0</v>
      </c>
      <c r="N2863" s="9" t="s">
        <v>71</v>
      </c>
      <c r="O2863" s="9"/>
      <c r="P2863" s="9" t="n">
        <v>5.2</v>
      </c>
      <c r="Q2863" s="9" t="n">
        <v>24</v>
      </c>
      <c r="R2863" s="9" t="s">
        <v>44</v>
      </c>
      <c r="S2863" s="9"/>
      <c r="T2863" s="9"/>
      <c r="U2863" s="9" t="str">
        <f aca="false">IF(COUNTIF($A$2:$A$5001,A2863)&gt;1,"Duplicate","Unique")</f>
        <v>Unique</v>
      </c>
      <c r="V2863" s="9" t="str">
        <f aca="false">IF(COUNTIFS($B$2:$B$5001,B2863,$H$2:$H$5001,H2863,$J$2:$J$5001,J2863)&gt;1,"Possible Duplicate Booking","Unique")</f>
        <v>Unique</v>
      </c>
      <c r="W2863" s="9" t="str">
        <f aca="false">IF((H2863-G2863)&lt;&gt;K2863,"Mismatch","OK")</f>
        <v>OK</v>
      </c>
      <c r="X2863" s="9" t="str">
        <f aca="false">IF(TEXT(H2863,"dddd")&lt;&gt;I2863,"Mismatch","OK")</f>
        <v>OK</v>
      </c>
      <c r="Y2863" s="9" t="str">
        <f aca="false">IF(AND(N2863="No",O2863&lt;&gt;""),"Unexpected: channel present but no reminder sent",IF(AND(N2863="Yes",O2863=""),"Missing channel for sent reminder","OK"))</f>
        <v>OK</v>
      </c>
    </row>
    <row r="2864" customFormat="false" ht="15" hidden="false" customHeight="false" outlineLevel="0" collapsed="false">
      <c r="A2864" s="7" t="s">
        <v>4366</v>
      </c>
      <c r="B2864" s="7" t="s">
        <v>3662</v>
      </c>
      <c r="C2864" s="7" t="s">
        <v>47</v>
      </c>
      <c r="D2864" s="7" t="n">
        <v>55</v>
      </c>
      <c r="E2864" s="7" t="s">
        <v>61</v>
      </c>
      <c r="F2864" s="7" t="s">
        <v>57</v>
      </c>
      <c r="G2864" s="8" t="n">
        <v>46065</v>
      </c>
      <c r="H2864" s="8" t="n">
        <v>46113</v>
      </c>
      <c r="I2864" s="7" t="s">
        <v>58</v>
      </c>
      <c r="J2864" s="7" t="s">
        <v>41</v>
      </c>
      <c r="K2864" s="7" t="n">
        <v>48</v>
      </c>
      <c r="L2864" s="7" t="n">
        <v>4</v>
      </c>
      <c r="M2864" s="7" t="n">
        <v>3</v>
      </c>
      <c r="N2864" s="7" t="s">
        <v>42</v>
      </c>
      <c r="O2864" s="7" t="s">
        <v>52</v>
      </c>
      <c r="P2864" s="7" t="n">
        <v>3.5</v>
      </c>
      <c r="Q2864" s="7" t="n">
        <v>20</v>
      </c>
      <c r="R2864" s="7" t="s">
        <v>44</v>
      </c>
      <c r="S2864" s="7"/>
      <c r="T2864" s="7"/>
      <c r="U2864" s="7" t="str">
        <f aca="false">IF(COUNTIF($A$2:$A$5001,A2864)&gt;1,"Duplicate","Unique")</f>
        <v>Unique</v>
      </c>
      <c r="V2864" s="7" t="str">
        <f aca="false">IF(COUNTIFS($B$2:$B$5001,B2864,$H$2:$H$5001,H2864,$J$2:$J$5001,J2864)&gt;1,"Possible Duplicate Booking","Unique")</f>
        <v>Unique</v>
      </c>
      <c r="W2864" s="7" t="str">
        <f aca="false">IF((H2864-G2864)&lt;&gt;K2864,"Mismatch","OK")</f>
        <v>OK</v>
      </c>
      <c r="X2864" s="7" t="str">
        <f aca="false">IF(TEXT(H2864,"dddd")&lt;&gt;I2864,"Mismatch","OK")</f>
        <v>OK</v>
      </c>
      <c r="Y2864" s="7" t="str">
        <f aca="false">IF(AND(N2864="No",O2864&lt;&gt;""),"Unexpected: channel present but no reminder sent",IF(AND(N2864="Yes",O2864=""),"Missing channel for sent reminder","OK"))</f>
        <v>OK</v>
      </c>
    </row>
    <row r="2865" customFormat="false" ht="15" hidden="false" customHeight="false" outlineLevel="0" collapsed="false">
      <c r="A2865" s="9" t="s">
        <v>4367</v>
      </c>
      <c r="B2865" s="9" t="s">
        <v>1220</v>
      </c>
      <c r="C2865" s="9" t="s">
        <v>37</v>
      </c>
      <c r="D2865" s="9" t="n">
        <v>45</v>
      </c>
      <c r="E2865" s="9" t="s">
        <v>56</v>
      </c>
      <c r="F2865" s="9" t="s">
        <v>39</v>
      </c>
      <c r="G2865" s="10" t="n">
        <v>45957</v>
      </c>
      <c r="H2865" s="10" t="n">
        <v>45992</v>
      </c>
      <c r="I2865" s="9" t="s">
        <v>66</v>
      </c>
      <c r="J2865" s="9" t="s">
        <v>63</v>
      </c>
      <c r="K2865" s="9" t="n">
        <v>35</v>
      </c>
      <c r="L2865" s="9" t="n">
        <v>2</v>
      </c>
      <c r="M2865" s="9" t="n">
        <v>1</v>
      </c>
      <c r="N2865" s="9" t="s">
        <v>42</v>
      </c>
      <c r="O2865" s="9" t="s">
        <v>67</v>
      </c>
      <c r="P2865" s="9" t="n">
        <v>8</v>
      </c>
      <c r="Q2865" s="9" t="n">
        <v>30</v>
      </c>
      <c r="R2865" s="9" t="s">
        <v>44</v>
      </c>
      <c r="S2865" s="9"/>
      <c r="T2865" s="9"/>
      <c r="U2865" s="9" t="str">
        <f aca="false">IF(COUNTIF($A$2:$A$5001,A2865)&gt;1,"Duplicate","Unique")</f>
        <v>Unique</v>
      </c>
      <c r="V2865" s="9" t="str">
        <f aca="false">IF(COUNTIFS($B$2:$B$5001,B2865,$H$2:$H$5001,H2865,$J$2:$J$5001,J2865)&gt;1,"Possible Duplicate Booking","Unique")</f>
        <v>Unique</v>
      </c>
      <c r="W2865" s="9" t="str">
        <f aca="false">IF((H2865-G2865)&lt;&gt;K2865,"Mismatch","OK")</f>
        <v>OK</v>
      </c>
      <c r="X2865" s="9" t="str">
        <f aca="false">IF(TEXT(H2865,"dddd")&lt;&gt;I2865,"Mismatch","OK")</f>
        <v>OK</v>
      </c>
      <c r="Y2865" s="9" t="str">
        <f aca="false">IF(AND(N2865="No",O2865&lt;&gt;""),"Unexpected: channel present but no reminder sent",IF(AND(N2865="Yes",O2865=""),"Missing channel for sent reminder","OK"))</f>
        <v>OK</v>
      </c>
    </row>
    <row r="2866" customFormat="false" ht="15" hidden="false" customHeight="false" outlineLevel="0" collapsed="false">
      <c r="A2866" s="7" t="s">
        <v>4368</v>
      </c>
      <c r="B2866" s="7" t="s">
        <v>1656</v>
      </c>
      <c r="C2866" s="7" t="s">
        <v>37</v>
      </c>
      <c r="D2866" s="7" t="n">
        <v>37</v>
      </c>
      <c r="E2866" s="7" t="s">
        <v>38</v>
      </c>
      <c r="F2866" s="7" t="s">
        <v>57</v>
      </c>
      <c r="G2866" s="8" t="n">
        <v>45691</v>
      </c>
      <c r="H2866" s="8" t="n">
        <v>45705</v>
      </c>
      <c r="I2866" s="7" t="s">
        <v>66</v>
      </c>
      <c r="J2866" s="7" t="s">
        <v>41</v>
      </c>
      <c r="K2866" s="7" t="n">
        <v>14</v>
      </c>
      <c r="L2866" s="7" t="n">
        <v>6</v>
      </c>
      <c r="M2866" s="7" t="n">
        <v>2</v>
      </c>
      <c r="N2866" s="7" t="s">
        <v>42</v>
      </c>
      <c r="O2866" s="7" t="s">
        <v>43</v>
      </c>
      <c r="P2866" s="7" t="n">
        <v>12.1</v>
      </c>
      <c r="Q2866" s="7" t="n">
        <v>8</v>
      </c>
      <c r="R2866" s="7" t="s">
        <v>53</v>
      </c>
      <c r="S2866" s="7"/>
      <c r="T2866" s="7"/>
      <c r="U2866" s="7" t="str">
        <f aca="false">IF(COUNTIF($A$2:$A$5001,A2866)&gt;1,"Duplicate","Unique")</f>
        <v>Unique</v>
      </c>
      <c r="V2866" s="7" t="str">
        <f aca="false">IF(COUNTIFS($B$2:$B$5001,B2866,$H$2:$H$5001,H2866,$J$2:$J$5001,J2866)&gt;1,"Possible Duplicate Booking","Unique")</f>
        <v>Unique</v>
      </c>
      <c r="W2866" s="7" t="str">
        <f aca="false">IF((H2866-G2866)&lt;&gt;K2866,"Mismatch","OK")</f>
        <v>OK</v>
      </c>
      <c r="X2866" s="7" t="str">
        <f aca="false">IF(TEXT(H2866,"dddd")&lt;&gt;I2866,"Mismatch","OK")</f>
        <v>OK</v>
      </c>
      <c r="Y2866" s="7" t="str">
        <f aca="false">IF(AND(N2866="No",O2866&lt;&gt;""),"Unexpected: channel present but no reminder sent",IF(AND(N2866="Yes",O2866=""),"Missing channel for sent reminder","OK"))</f>
        <v>OK</v>
      </c>
    </row>
    <row r="2867" customFormat="false" ht="15" hidden="false" customHeight="false" outlineLevel="0" collapsed="false">
      <c r="A2867" s="9" t="s">
        <v>4369</v>
      </c>
      <c r="B2867" s="9" t="s">
        <v>4370</v>
      </c>
      <c r="C2867" s="9" t="s">
        <v>47</v>
      </c>
      <c r="D2867" s="9" t="n">
        <v>24</v>
      </c>
      <c r="E2867" s="9" t="s">
        <v>82</v>
      </c>
      <c r="F2867" s="9" t="s">
        <v>57</v>
      </c>
      <c r="G2867" s="10" t="n">
        <v>45646</v>
      </c>
      <c r="H2867" s="10" t="n">
        <v>45677</v>
      </c>
      <c r="I2867" s="9" t="s">
        <v>66</v>
      </c>
      <c r="J2867" s="9" t="s">
        <v>63</v>
      </c>
      <c r="K2867" s="9" t="n">
        <v>31</v>
      </c>
      <c r="L2867" s="9" t="n">
        <v>2</v>
      </c>
      <c r="M2867" s="9" t="n">
        <v>0</v>
      </c>
      <c r="N2867" s="9" t="s">
        <v>71</v>
      </c>
      <c r="O2867" s="9"/>
      <c r="P2867" s="9" t="n">
        <v>3.3</v>
      </c>
      <c r="Q2867" s="9"/>
      <c r="R2867" s="9" t="s">
        <v>44</v>
      </c>
      <c r="S2867" s="9"/>
      <c r="T2867" s="9"/>
      <c r="U2867" s="9" t="str">
        <f aca="false">IF(COUNTIF($A$2:$A$5001,A2867)&gt;1,"Duplicate","Unique")</f>
        <v>Unique</v>
      </c>
      <c r="V2867" s="9" t="str">
        <f aca="false">IF(COUNTIFS($B$2:$B$5001,B2867,$H$2:$H$5001,H2867,$J$2:$J$5001,J2867)&gt;1,"Possible Duplicate Booking","Unique")</f>
        <v>Unique</v>
      </c>
      <c r="W2867" s="9" t="str">
        <f aca="false">IF((H2867-G2867)&lt;&gt;K2867,"Mismatch","OK")</f>
        <v>OK</v>
      </c>
      <c r="X2867" s="9" t="str">
        <f aca="false">IF(TEXT(H2867,"dddd")&lt;&gt;I2867,"Mismatch","OK")</f>
        <v>OK</v>
      </c>
      <c r="Y2867" s="9" t="str">
        <f aca="false">IF(AND(N2867="No",O2867&lt;&gt;""),"Unexpected: channel present but no reminder sent",IF(AND(N2867="Yes",O2867=""),"Missing channel for sent reminder","OK"))</f>
        <v>OK</v>
      </c>
    </row>
    <row r="2868" customFormat="false" ht="15" hidden="false" customHeight="false" outlineLevel="0" collapsed="false">
      <c r="A2868" s="7" t="s">
        <v>4371</v>
      </c>
      <c r="B2868" s="7" t="s">
        <v>1169</v>
      </c>
      <c r="C2868" s="7" t="s">
        <v>37</v>
      </c>
      <c r="D2868" s="7" t="n">
        <v>55</v>
      </c>
      <c r="E2868" s="7" t="s">
        <v>61</v>
      </c>
      <c r="F2868" s="7" t="s">
        <v>49</v>
      </c>
      <c r="G2868" s="8" t="n">
        <v>45788</v>
      </c>
      <c r="H2868" s="8" t="n">
        <v>45830</v>
      </c>
      <c r="I2868" s="7" t="s">
        <v>75</v>
      </c>
      <c r="J2868" s="7" t="s">
        <v>41</v>
      </c>
      <c r="K2868" s="7" t="n">
        <v>42</v>
      </c>
      <c r="L2868" s="7" t="n">
        <v>3</v>
      </c>
      <c r="M2868" s="7" t="n">
        <v>0</v>
      </c>
      <c r="N2868" s="7" t="s">
        <v>71</v>
      </c>
      <c r="O2868" s="7"/>
      <c r="P2868" s="7" t="n">
        <v>26</v>
      </c>
      <c r="Q2868" s="7" t="n">
        <v>14</v>
      </c>
      <c r="R2868" s="7" t="s">
        <v>44</v>
      </c>
      <c r="S2868" s="7"/>
      <c r="T2868" s="7"/>
      <c r="U2868" s="7" t="str">
        <f aca="false">IF(COUNTIF($A$2:$A$5001,A2868)&gt;1,"Duplicate","Unique")</f>
        <v>Unique</v>
      </c>
      <c r="V2868" s="7" t="str">
        <f aca="false">IF(COUNTIFS($B$2:$B$5001,B2868,$H$2:$H$5001,H2868,$J$2:$J$5001,J2868)&gt;1,"Possible Duplicate Booking","Unique")</f>
        <v>Unique</v>
      </c>
      <c r="W2868" s="7" t="str">
        <f aca="false">IF((H2868-G2868)&lt;&gt;K2868,"Mismatch","OK")</f>
        <v>OK</v>
      </c>
      <c r="X2868" s="7" t="str">
        <f aca="false">IF(TEXT(H2868,"dddd")&lt;&gt;I2868,"Mismatch","OK")</f>
        <v>OK</v>
      </c>
      <c r="Y2868" s="7" t="str">
        <f aca="false">IF(AND(N2868="No",O2868&lt;&gt;""),"Unexpected: channel present but no reminder sent",IF(AND(N2868="Yes",O2868=""),"Missing channel for sent reminder","OK"))</f>
        <v>OK</v>
      </c>
    </row>
    <row r="2869" customFormat="false" ht="15" hidden="false" customHeight="false" outlineLevel="0" collapsed="false">
      <c r="A2869" s="9" t="s">
        <v>4372</v>
      </c>
      <c r="B2869" s="9" t="s">
        <v>3135</v>
      </c>
      <c r="C2869" s="9" t="s">
        <v>37</v>
      </c>
      <c r="D2869" s="9" t="n">
        <v>75</v>
      </c>
      <c r="E2869" s="9" t="s">
        <v>70</v>
      </c>
      <c r="F2869" s="9" t="s">
        <v>39</v>
      </c>
      <c r="G2869" s="10" t="n">
        <v>45742</v>
      </c>
      <c r="H2869" s="10" t="n">
        <v>45744</v>
      </c>
      <c r="I2869" s="9" t="s">
        <v>50</v>
      </c>
      <c r="J2869" s="9" t="s">
        <v>41</v>
      </c>
      <c r="K2869" s="9" t="n">
        <v>2</v>
      </c>
      <c r="L2869" s="9" t="n">
        <v>2</v>
      </c>
      <c r="M2869" s="9" t="n">
        <v>0</v>
      </c>
      <c r="N2869" s="9" t="s">
        <v>71</v>
      </c>
      <c r="O2869" s="9"/>
      <c r="P2869" s="9" t="n">
        <v>4.6</v>
      </c>
      <c r="Q2869" s="9" t="n">
        <v>24</v>
      </c>
      <c r="R2869" s="9" t="s">
        <v>53</v>
      </c>
      <c r="S2869" s="9"/>
      <c r="T2869" s="9"/>
      <c r="U2869" s="9" t="str">
        <f aca="false">IF(COUNTIF($A$2:$A$5001,A2869)&gt;1,"Duplicate","Unique")</f>
        <v>Unique</v>
      </c>
      <c r="V2869" s="9" t="str">
        <f aca="false">IF(COUNTIFS($B$2:$B$5001,B2869,$H$2:$H$5001,H2869,$J$2:$J$5001,J2869)&gt;1,"Possible Duplicate Booking","Unique")</f>
        <v>Unique</v>
      </c>
      <c r="W2869" s="9" t="str">
        <f aca="false">IF((H2869-G2869)&lt;&gt;K2869,"Mismatch","OK")</f>
        <v>OK</v>
      </c>
      <c r="X2869" s="9" t="str">
        <f aca="false">IF(TEXT(H2869,"dddd")&lt;&gt;I2869,"Mismatch","OK")</f>
        <v>OK</v>
      </c>
      <c r="Y2869" s="9" t="str">
        <f aca="false">IF(AND(N2869="No",O2869&lt;&gt;""),"Unexpected: channel present but no reminder sent",IF(AND(N2869="Yes",O2869=""),"Missing channel for sent reminder","OK"))</f>
        <v>OK</v>
      </c>
    </row>
    <row r="2870" customFormat="false" ht="15" hidden="false" customHeight="false" outlineLevel="0" collapsed="false">
      <c r="A2870" s="7" t="s">
        <v>4373</v>
      </c>
      <c r="B2870" s="7" t="s">
        <v>4374</v>
      </c>
      <c r="C2870" s="7" t="s">
        <v>47</v>
      </c>
      <c r="D2870" s="7" t="n">
        <v>50</v>
      </c>
      <c r="E2870" s="7" t="s">
        <v>56</v>
      </c>
      <c r="F2870" s="7" t="s">
        <v>39</v>
      </c>
      <c r="G2870" s="8" t="n">
        <v>46091</v>
      </c>
      <c r="H2870" s="8" t="n">
        <v>46127</v>
      </c>
      <c r="I2870" s="7" t="s">
        <v>58</v>
      </c>
      <c r="J2870" s="7" t="s">
        <v>51</v>
      </c>
      <c r="K2870" s="7" t="n">
        <v>36</v>
      </c>
      <c r="L2870" s="7" t="n">
        <v>3</v>
      </c>
      <c r="M2870" s="7" t="n">
        <v>0</v>
      </c>
      <c r="N2870" s="7" t="s">
        <v>42</v>
      </c>
      <c r="O2870" s="7" t="s">
        <v>43</v>
      </c>
      <c r="P2870" s="7" t="n">
        <v>6.6</v>
      </c>
      <c r="Q2870" s="7" t="n">
        <v>21</v>
      </c>
      <c r="R2870" s="7" t="s">
        <v>53</v>
      </c>
      <c r="S2870" s="7"/>
      <c r="T2870" s="7"/>
      <c r="U2870" s="7" t="str">
        <f aca="false">IF(COUNTIF($A$2:$A$5001,A2870)&gt;1,"Duplicate","Unique")</f>
        <v>Unique</v>
      </c>
      <c r="V2870" s="7" t="str">
        <f aca="false">IF(COUNTIFS($B$2:$B$5001,B2870,$H$2:$H$5001,H2870,$J$2:$J$5001,J2870)&gt;1,"Possible Duplicate Booking","Unique")</f>
        <v>Unique</v>
      </c>
      <c r="W2870" s="7" t="str">
        <f aca="false">IF((H2870-G2870)&lt;&gt;K2870,"Mismatch","OK")</f>
        <v>OK</v>
      </c>
      <c r="X2870" s="7" t="str">
        <f aca="false">IF(TEXT(H2870,"dddd")&lt;&gt;I2870,"Mismatch","OK")</f>
        <v>OK</v>
      </c>
      <c r="Y2870" s="7" t="str">
        <f aca="false">IF(AND(N2870="No",O2870&lt;&gt;""),"Unexpected: channel present but no reminder sent",IF(AND(N2870="Yes",O2870=""),"Missing channel for sent reminder","OK"))</f>
        <v>OK</v>
      </c>
    </row>
    <row r="2871" customFormat="false" ht="15" hidden="false" customHeight="false" outlineLevel="0" collapsed="false">
      <c r="A2871" s="9" t="s">
        <v>4375</v>
      </c>
      <c r="B2871" s="9" t="s">
        <v>2596</v>
      </c>
      <c r="C2871" s="9" t="s">
        <v>37</v>
      </c>
      <c r="D2871" s="9" t="n">
        <v>55</v>
      </c>
      <c r="E2871" s="9" t="s">
        <v>61</v>
      </c>
      <c r="F2871" s="9" t="s">
        <v>74</v>
      </c>
      <c r="G2871" s="10" t="n">
        <v>45740</v>
      </c>
      <c r="H2871" s="10" t="n">
        <v>45770</v>
      </c>
      <c r="I2871" s="9" t="s">
        <v>58</v>
      </c>
      <c r="J2871" s="9" t="s">
        <v>51</v>
      </c>
      <c r="K2871" s="9" t="n">
        <v>30</v>
      </c>
      <c r="L2871" s="9" t="n">
        <v>1</v>
      </c>
      <c r="M2871" s="9" t="n">
        <v>0</v>
      </c>
      <c r="N2871" s="9" t="s">
        <v>71</v>
      </c>
      <c r="O2871" s="9"/>
      <c r="P2871" s="9" t="n">
        <v>12.2</v>
      </c>
      <c r="Q2871" s="9" t="n">
        <v>36</v>
      </c>
      <c r="R2871" s="9" t="s">
        <v>44</v>
      </c>
      <c r="S2871" s="9"/>
      <c r="T2871" s="9"/>
      <c r="U2871" s="9" t="str">
        <f aca="false">IF(COUNTIF($A$2:$A$5001,A2871)&gt;1,"Duplicate","Unique")</f>
        <v>Unique</v>
      </c>
      <c r="V2871" s="9" t="str">
        <f aca="false">IF(COUNTIFS($B$2:$B$5001,B2871,$H$2:$H$5001,H2871,$J$2:$J$5001,J2871)&gt;1,"Possible Duplicate Booking","Unique")</f>
        <v>Unique</v>
      </c>
      <c r="W2871" s="9" t="str">
        <f aca="false">IF((H2871-G2871)&lt;&gt;K2871,"Mismatch","OK")</f>
        <v>OK</v>
      </c>
      <c r="X2871" s="9" t="str">
        <f aca="false">IF(TEXT(H2871,"dddd")&lt;&gt;I2871,"Mismatch","OK")</f>
        <v>OK</v>
      </c>
      <c r="Y2871" s="9" t="str">
        <f aca="false">IF(AND(N2871="No",O2871&lt;&gt;""),"Unexpected: channel present but no reminder sent",IF(AND(N2871="Yes",O2871=""),"Missing channel for sent reminder","OK"))</f>
        <v>OK</v>
      </c>
    </row>
    <row r="2872" customFormat="false" ht="15" hidden="false" customHeight="false" outlineLevel="0" collapsed="false">
      <c r="A2872" s="7" t="s">
        <v>4376</v>
      </c>
      <c r="B2872" s="7" t="s">
        <v>1068</v>
      </c>
      <c r="C2872" s="7" t="s">
        <v>47</v>
      </c>
      <c r="D2872" s="7" t="n">
        <v>58</v>
      </c>
      <c r="E2872" s="7" t="s">
        <v>61</v>
      </c>
      <c r="F2872" s="7" t="s">
        <v>57</v>
      </c>
      <c r="G2872" s="8" t="n">
        <v>45808</v>
      </c>
      <c r="H2872" s="8" t="n">
        <v>45812</v>
      </c>
      <c r="I2872" s="7" t="s">
        <v>58</v>
      </c>
      <c r="J2872" s="7" t="s">
        <v>63</v>
      </c>
      <c r="K2872" s="7" t="n">
        <v>4</v>
      </c>
      <c r="L2872" s="7" t="n">
        <v>5</v>
      </c>
      <c r="M2872" s="7" t="n">
        <v>0</v>
      </c>
      <c r="N2872" s="7" t="s">
        <v>42</v>
      </c>
      <c r="O2872" s="7" t="s">
        <v>52</v>
      </c>
      <c r="P2872" s="7" t="n">
        <v>11.1</v>
      </c>
      <c r="Q2872" s="7" t="n">
        <v>24</v>
      </c>
      <c r="R2872" s="7" t="s">
        <v>53</v>
      </c>
      <c r="S2872" s="7"/>
      <c r="T2872" s="7"/>
      <c r="U2872" s="7" t="str">
        <f aca="false">IF(COUNTIF($A$2:$A$5001,A2872)&gt;1,"Duplicate","Unique")</f>
        <v>Unique</v>
      </c>
      <c r="V2872" s="7" t="str">
        <f aca="false">IF(COUNTIFS($B$2:$B$5001,B2872,$H$2:$H$5001,H2872,$J$2:$J$5001,J2872)&gt;1,"Possible Duplicate Booking","Unique")</f>
        <v>Unique</v>
      </c>
      <c r="W2872" s="7" t="str">
        <f aca="false">IF((H2872-G2872)&lt;&gt;K2872,"Mismatch","OK")</f>
        <v>OK</v>
      </c>
      <c r="X2872" s="7" t="str">
        <f aca="false">IF(TEXT(H2872,"dddd")&lt;&gt;I2872,"Mismatch","OK")</f>
        <v>OK</v>
      </c>
      <c r="Y2872" s="7" t="str">
        <f aca="false">IF(AND(N2872="No",O2872&lt;&gt;""),"Unexpected: channel present but no reminder sent",IF(AND(N2872="Yes",O2872=""),"Missing channel for sent reminder","OK"))</f>
        <v>OK</v>
      </c>
    </row>
    <row r="2873" customFormat="false" ht="15" hidden="false" customHeight="false" outlineLevel="0" collapsed="false">
      <c r="A2873" s="9" t="s">
        <v>4377</v>
      </c>
      <c r="B2873" s="9" t="s">
        <v>1605</v>
      </c>
      <c r="C2873" s="9" t="s">
        <v>37</v>
      </c>
      <c r="D2873" s="9" t="n">
        <v>42</v>
      </c>
      <c r="E2873" s="9" t="s">
        <v>38</v>
      </c>
      <c r="F2873" s="9" t="s">
        <v>57</v>
      </c>
      <c r="G2873" s="10" t="n">
        <v>46174</v>
      </c>
      <c r="H2873" s="10" t="n">
        <v>46190</v>
      </c>
      <c r="I2873" s="9" t="s">
        <v>58</v>
      </c>
      <c r="J2873" s="9" t="s">
        <v>51</v>
      </c>
      <c r="K2873" s="9" t="n">
        <v>16</v>
      </c>
      <c r="L2873" s="9" t="n">
        <v>5</v>
      </c>
      <c r="M2873" s="9" t="n">
        <v>1</v>
      </c>
      <c r="N2873" s="9" t="s">
        <v>42</v>
      </c>
      <c r="O2873" s="9" t="s">
        <v>43</v>
      </c>
      <c r="P2873" s="9" t="n">
        <v>17.9</v>
      </c>
      <c r="Q2873" s="9" t="n">
        <v>24</v>
      </c>
      <c r="R2873" s="9" t="s">
        <v>44</v>
      </c>
      <c r="S2873" s="9"/>
      <c r="T2873" s="9"/>
      <c r="U2873" s="9" t="str">
        <f aca="false">IF(COUNTIF($A$2:$A$5001,A2873)&gt;1,"Duplicate","Unique")</f>
        <v>Unique</v>
      </c>
      <c r="V2873" s="9" t="str">
        <f aca="false">IF(COUNTIFS($B$2:$B$5001,B2873,$H$2:$H$5001,H2873,$J$2:$J$5001,J2873)&gt;1,"Possible Duplicate Booking","Unique")</f>
        <v>Unique</v>
      </c>
      <c r="W2873" s="9" t="str">
        <f aca="false">IF((H2873-G2873)&lt;&gt;K2873,"Mismatch","OK")</f>
        <v>OK</v>
      </c>
      <c r="X2873" s="9" t="str">
        <f aca="false">IF(TEXT(H2873,"dddd")&lt;&gt;I2873,"Mismatch","OK")</f>
        <v>OK</v>
      </c>
      <c r="Y2873" s="9" t="str">
        <f aca="false">IF(AND(N2873="No",O2873&lt;&gt;""),"Unexpected: channel present but no reminder sent",IF(AND(N2873="Yes",O2873=""),"Missing channel for sent reminder","OK"))</f>
        <v>OK</v>
      </c>
    </row>
    <row r="2874" customFormat="false" ht="15" hidden="false" customHeight="false" outlineLevel="0" collapsed="false">
      <c r="A2874" s="7" t="s">
        <v>4378</v>
      </c>
      <c r="B2874" s="7" t="s">
        <v>3806</v>
      </c>
      <c r="C2874" s="7" t="s">
        <v>37</v>
      </c>
      <c r="D2874" s="7" t="n">
        <v>25</v>
      </c>
      <c r="E2874" s="7" t="s">
        <v>48</v>
      </c>
      <c r="F2874" s="7" t="s">
        <v>57</v>
      </c>
      <c r="G2874" s="8" t="n">
        <v>46077</v>
      </c>
      <c r="H2874" s="8" t="n">
        <v>46104</v>
      </c>
      <c r="I2874" s="7" t="s">
        <v>66</v>
      </c>
      <c r="J2874" s="7" t="s">
        <v>63</v>
      </c>
      <c r="K2874" s="7" t="n">
        <v>27</v>
      </c>
      <c r="L2874" s="7" t="n">
        <v>2</v>
      </c>
      <c r="M2874" s="7" t="n">
        <v>0</v>
      </c>
      <c r="N2874" s="7" t="s">
        <v>42</v>
      </c>
      <c r="O2874" s="7" t="s">
        <v>67</v>
      </c>
      <c r="P2874" s="7" t="n">
        <v>14.5</v>
      </c>
      <c r="Q2874" s="7" t="n">
        <v>12</v>
      </c>
      <c r="R2874" s="7" t="s">
        <v>44</v>
      </c>
      <c r="S2874" s="7"/>
      <c r="T2874" s="7"/>
      <c r="U2874" s="7" t="str">
        <f aca="false">IF(COUNTIF($A$2:$A$5001,A2874)&gt;1,"Duplicate","Unique")</f>
        <v>Unique</v>
      </c>
      <c r="V2874" s="7" t="str">
        <f aca="false">IF(COUNTIFS($B$2:$B$5001,B2874,$H$2:$H$5001,H2874,$J$2:$J$5001,J2874)&gt;1,"Possible Duplicate Booking","Unique")</f>
        <v>Unique</v>
      </c>
      <c r="W2874" s="7" t="str">
        <f aca="false">IF((H2874-G2874)&lt;&gt;K2874,"Mismatch","OK")</f>
        <v>OK</v>
      </c>
      <c r="X2874" s="7" t="str">
        <f aca="false">IF(TEXT(H2874,"dddd")&lt;&gt;I2874,"Mismatch","OK")</f>
        <v>OK</v>
      </c>
      <c r="Y2874" s="7" t="str">
        <f aca="false">IF(AND(N2874="No",O2874&lt;&gt;""),"Unexpected: channel present but no reminder sent",IF(AND(N2874="Yes",O2874=""),"Missing channel for sent reminder","OK"))</f>
        <v>OK</v>
      </c>
    </row>
    <row r="2875" customFormat="false" ht="15" hidden="false" customHeight="false" outlineLevel="0" collapsed="false">
      <c r="A2875" s="9" t="s">
        <v>4379</v>
      </c>
      <c r="B2875" s="9" t="s">
        <v>1846</v>
      </c>
      <c r="C2875" s="9" t="s">
        <v>37</v>
      </c>
      <c r="D2875" s="9" t="n">
        <v>49</v>
      </c>
      <c r="E2875" s="9" t="s">
        <v>56</v>
      </c>
      <c r="F2875" s="9" t="s">
        <v>57</v>
      </c>
      <c r="G2875" s="10" t="n">
        <v>45757</v>
      </c>
      <c r="H2875" s="10" t="n">
        <v>45777</v>
      </c>
      <c r="I2875" s="9" t="s">
        <v>58</v>
      </c>
      <c r="J2875" s="9" t="s">
        <v>51</v>
      </c>
      <c r="K2875" s="9" t="n">
        <v>20</v>
      </c>
      <c r="L2875" s="9" t="n">
        <v>3</v>
      </c>
      <c r="M2875" s="9" t="n">
        <v>0</v>
      </c>
      <c r="N2875" s="9" t="s">
        <v>42</v>
      </c>
      <c r="O2875" s="9" t="s">
        <v>52</v>
      </c>
      <c r="P2875" s="9" t="n">
        <v>4.7</v>
      </c>
      <c r="Q2875" s="9" t="n">
        <v>21</v>
      </c>
      <c r="R2875" s="9" t="s">
        <v>53</v>
      </c>
      <c r="S2875" s="9"/>
      <c r="T2875" s="9"/>
      <c r="U2875" s="9" t="str">
        <f aca="false">IF(COUNTIF($A$2:$A$5001,A2875)&gt;1,"Duplicate","Unique")</f>
        <v>Unique</v>
      </c>
      <c r="V2875" s="9" t="str">
        <f aca="false">IF(COUNTIFS($B$2:$B$5001,B2875,$H$2:$H$5001,H2875,$J$2:$J$5001,J2875)&gt;1,"Possible Duplicate Booking","Unique")</f>
        <v>Unique</v>
      </c>
      <c r="W2875" s="9" t="str">
        <f aca="false">IF((H2875-G2875)&lt;&gt;K2875,"Mismatch","OK")</f>
        <v>OK</v>
      </c>
      <c r="X2875" s="9" t="str">
        <f aca="false">IF(TEXT(H2875,"dddd")&lt;&gt;I2875,"Mismatch","OK")</f>
        <v>OK</v>
      </c>
      <c r="Y2875" s="9" t="str">
        <f aca="false">IF(AND(N2875="No",O2875&lt;&gt;""),"Unexpected: channel present but no reminder sent",IF(AND(N2875="Yes",O2875=""),"Missing channel for sent reminder","OK"))</f>
        <v>OK</v>
      </c>
    </row>
    <row r="2876" customFormat="false" ht="15" hidden="false" customHeight="false" outlineLevel="0" collapsed="false">
      <c r="A2876" s="7" t="s">
        <v>4380</v>
      </c>
      <c r="B2876" s="7" t="s">
        <v>3326</v>
      </c>
      <c r="C2876" s="7" t="s">
        <v>47</v>
      </c>
      <c r="D2876" s="7" t="n">
        <v>72</v>
      </c>
      <c r="E2876" s="7" t="s">
        <v>70</v>
      </c>
      <c r="F2876" s="7" t="s">
        <v>49</v>
      </c>
      <c r="G2876" s="8" t="n">
        <v>45850</v>
      </c>
      <c r="H2876" s="8" t="n">
        <v>45867</v>
      </c>
      <c r="I2876" s="7" t="s">
        <v>40</v>
      </c>
      <c r="J2876" s="7" t="s">
        <v>41</v>
      </c>
      <c r="K2876" s="7" t="n">
        <v>17</v>
      </c>
      <c r="L2876" s="7" t="n">
        <v>5</v>
      </c>
      <c r="M2876" s="7" t="n">
        <v>1</v>
      </c>
      <c r="N2876" s="7" t="s">
        <v>42</v>
      </c>
      <c r="O2876" s="7" t="s">
        <v>43</v>
      </c>
      <c r="P2876" s="7" t="n">
        <v>6.8</v>
      </c>
      <c r="Q2876" s="7" t="n">
        <v>9</v>
      </c>
      <c r="R2876" s="7" t="s">
        <v>53</v>
      </c>
      <c r="S2876" s="7"/>
      <c r="T2876" s="7"/>
      <c r="U2876" s="7" t="str">
        <f aca="false">IF(COUNTIF($A$2:$A$5001,A2876)&gt;1,"Duplicate","Unique")</f>
        <v>Unique</v>
      </c>
      <c r="V2876" s="7" t="str">
        <f aca="false">IF(COUNTIFS($B$2:$B$5001,B2876,$H$2:$H$5001,H2876,$J$2:$J$5001,J2876)&gt;1,"Possible Duplicate Booking","Unique")</f>
        <v>Unique</v>
      </c>
      <c r="W2876" s="7" t="str">
        <f aca="false">IF((H2876-G2876)&lt;&gt;K2876,"Mismatch","OK")</f>
        <v>OK</v>
      </c>
      <c r="X2876" s="7" t="str">
        <f aca="false">IF(TEXT(H2876,"dddd")&lt;&gt;I2876,"Mismatch","OK")</f>
        <v>OK</v>
      </c>
      <c r="Y2876" s="7" t="str">
        <f aca="false">IF(AND(N2876="No",O2876&lt;&gt;""),"Unexpected: channel present but no reminder sent",IF(AND(N2876="Yes",O2876=""),"Missing channel for sent reminder","OK"))</f>
        <v>OK</v>
      </c>
    </row>
    <row r="2877" customFormat="false" ht="15" hidden="false" customHeight="false" outlineLevel="0" collapsed="false">
      <c r="A2877" s="9" t="s">
        <v>4381</v>
      </c>
      <c r="B2877" s="9" t="s">
        <v>4382</v>
      </c>
      <c r="C2877" s="9" t="s">
        <v>37</v>
      </c>
      <c r="D2877" s="9" t="n">
        <v>37</v>
      </c>
      <c r="E2877" s="9" t="s">
        <v>38</v>
      </c>
      <c r="F2877" s="9" t="s">
        <v>49</v>
      </c>
      <c r="G2877" s="10" t="n">
        <v>45900</v>
      </c>
      <c r="H2877" s="10" t="n">
        <v>45939</v>
      </c>
      <c r="I2877" s="9" t="s">
        <v>62</v>
      </c>
      <c r="J2877" s="9" t="s">
        <v>51</v>
      </c>
      <c r="K2877" s="9" t="n">
        <v>39</v>
      </c>
      <c r="L2877" s="9" t="n">
        <v>3</v>
      </c>
      <c r="M2877" s="9" t="n">
        <v>0</v>
      </c>
      <c r="N2877" s="9" t="s">
        <v>42</v>
      </c>
      <c r="O2877" s="9" t="s">
        <v>52</v>
      </c>
      <c r="P2877" s="9" t="n">
        <v>12.9</v>
      </c>
      <c r="Q2877" s="9" t="n">
        <v>29</v>
      </c>
      <c r="R2877" s="9" t="s">
        <v>44</v>
      </c>
      <c r="S2877" s="9"/>
      <c r="T2877" s="9"/>
      <c r="U2877" s="9" t="str">
        <f aca="false">IF(COUNTIF($A$2:$A$5001,A2877)&gt;1,"Duplicate","Unique")</f>
        <v>Unique</v>
      </c>
      <c r="V2877" s="9" t="str">
        <f aca="false">IF(COUNTIFS($B$2:$B$5001,B2877,$H$2:$H$5001,H2877,$J$2:$J$5001,J2877)&gt;1,"Possible Duplicate Booking","Unique")</f>
        <v>Unique</v>
      </c>
      <c r="W2877" s="9" t="str">
        <f aca="false">IF((H2877-G2877)&lt;&gt;K2877,"Mismatch","OK")</f>
        <v>OK</v>
      </c>
      <c r="X2877" s="9" t="str">
        <f aca="false">IF(TEXT(H2877,"dddd")&lt;&gt;I2877,"Mismatch","OK")</f>
        <v>OK</v>
      </c>
      <c r="Y2877" s="9" t="str">
        <f aca="false">IF(AND(N2877="No",O2877&lt;&gt;""),"Unexpected: channel present but no reminder sent",IF(AND(N2877="Yes",O2877=""),"Missing channel for sent reminder","OK"))</f>
        <v>OK</v>
      </c>
    </row>
    <row r="2878" customFormat="false" ht="15" hidden="false" customHeight="false" outlineLevel="0" collapsed="false">
      <c r="A2878" s="7" t="s">
        <v>4383</v>
      </c>
      <c r="B2878" s="7" t="s">
        <v>1094</v>
      </c>
      <c r="C2878" s="7" t="s">
        <v>47</v>
      </c>
      <c r="D2878" s="7" t="n">
        <v>72</v>
      </c>
      <c r="E2878" s="7" t="s">
        <v>70</v>
      </c>
      <c r="F2878" s="7" t="s">
        <v>39</v>
      </c>
      <c r="G2878" s="8" t="n">
        <v>45996</v>
      </c>
      <c r="H2878" s="8" t="n">
        <v>46020</v>
      </c>
      <c r="I2878" s="7" t="s">
        <v>66</v>
      </c>
      <c r="J2878" s="7" t="s">
        <v>63</v>
      </c>
      <c r="K2878" s="7" t="n">
        <v>24</v>
      </c>
      <c r="L2878" s="7" t="n">
        <v>1</v>
      </c>
      <c r="M2878" s="7" t="n">
        <v>0</v>
      </c>
      <c r="N2878" s="7" t="s">
        <v>42</v>
      </c>
      <c r="O2878" s="7" t="s">
        <v>52</v>
      </c>
      <c r="P2878" s="7" t="n">
        <v>8.2</v>
      </c>
      <c r="Q2878" s="7" t="n">
        <v>33</v>
      </c>
      <c r="R2878" s="7" t="s">
        <v>53</v>
      </c>
      <c r="S2878" s="7"/>
      <c r="T2878" s="7"/>
      <c r="U2878" s="7" t="str">
        <f aca="false">IF(COUNTIF($A$2:$A$5001,A2878)&gt;1,"Duplicate","Unique")</f>
        <v>Unique</v>
      </c>
      <c r="V2878" s="7" t="str">
        <f aca="false">IF(COUNTIFS($B$2:$B$5001,B2878,$H$2:$H$5001,H2878,$J$2:$J$5001,J2878)&gt;1,"Possible Duplicate Booking","Unique")</f>
        <v>Unique</v>
      </c>
      <c r="W2878" s="7" t="str">
        <f aca="false">IF((H2878-G2878)&lt;&gt;K2878,"Mismatch","OK")</f>
        <v>OK</v>
      </c>
      <c r="X2878" s="7" t="str">
        <f aca="false">IF(TEXT(H2878,"dddd")&lt;&gt;I2878,"Mismatch","OK")</f>
        <v>OK</v>
      </c>
      <c r="Y2878" s="7" t="str">
        <f aca="false">IF(AND(N2878="No",O2878&lt;&gt;""),"Unexpected: channel present but no reminder sent",IF(AND(N2878="Yes",O2878=""),"Missing channel for sent reminder","OK"))</f>
        <v>OK</v>
      </c>
    </row>
    <row r="2879" customFormat="false" ht="15" hidden="false" customHeight="false" outlineLevel="0" collapsed="false">
      <c r="A2879" s="9" t="s">
        <v>4384</v>
      </c>
      <c r="B2879" s="9" t="s">
        <v>4385</v>
      </c>
      <c r="C2879" s="9" t="s">
        <v>47</v>
      </c>
      <c r="D2879" s="9" t="n">
        <v>71</v>
      </c>
      <c r="E2879" s="9" t="s">
        <v>70</v>
      </c>
      <c r="F2879" s="9" t="s">
        <v>57</v>
      </c>
      <c r="G2879" s="10" t="n">
        <v>46139</v>
      </c>
      <c r="H2879" s="10" t="n">
        <v>46169</v>
      </c>
      <c r="I2879" s="9" t="s">
        <v>58</v>
      </c>
      <c r="J2879" s="9" t="s">
        <v>51</v>
      </c>
      <c r="K2879" s="9" t="n">
        <v>30</v>
      </c>
      <c r="L2879" s="9" t="n">
        <v>4</v>
      </c>
      <c r="M2879" s="9" t="n">
        <v>0</v>
      </c>
      <c r="N2879" s="9" t="s">
        <v>42</v>
      </c>
      <c r="O2879" s="9" t="s">
        <v>52</v>
      </c>
      <c r="P2879" s="9" t="n">
        <v>4.6</v>
      </c>
      <c r="Q2879" s="9" t="n">
        <v>7</v>
      </c>
      <c r="R2879" s="9" t="s">
        <v>53</v>
      </c>
      <c r="S2879" s="9"/>
      <c r="T2879" s="9"/>
      <c r="U2879" s="9" t="str">
        <f aca="false">IF(COUNTIF($A$2:$A$5001,A2879)&gt;1,"Duplicate","Unique")</f>
        <v>Unique</v>
      </c>
      <c r="V2879" s="9" t="str">
        <f aca="false">IF(COUNTIFS($B$2:$B$5001,B2879,$H$2:$H$5001,H2879,$J$2:$J$5001,J2879)&gt;1,"Possible Duplicate Booking","Unique")</f>
        <v>Unique</v>
      </c>
      <c r="W2879" s="9" t="str">
        <f aca="false">IF((H2879-G2879)&lt;&gt;K2879,"Mismatch","OK")</f>
        <v>OK</v>
      </c>
      <c r="X2879" s="9" t="str">
        <f aca="false">IF(TEXT(H2879,"dddd")&lt;&gt;I2879,"Mismatch","OK")</f>
        <v>OK</v>
      </c>
      <c r="Y2879" s="9" t="str">
        <f aca="false">IF(AND(N2879="No",O2879&lt;&gt;""),"Unexpected: channel present but no reminder sent",IF(AND(N2879="Yes",O2879=""),"Missing channel for sent reminder","OK"))</f>
        <v>OK</v>
      </c>
    </row>
    <row r="2880" customFormat="false" ht="15" hidden="false" customHeight="false" outlineLevel="0" collapsed="false">
      <c r="A2880" s="7" t="s">
        <v>4386</v>
      </c>
      <c r="B2880" s="7" t="s">
        <v>863</v>
      </c>
      <c r="C2880" s="7" t="s">
        <v>47</v>
      </c>
      <c r="D2880" s="7" t="n">
        <v>33</v>
      </c>
      <c r="E2880" s="7" t="s">
        <v>48</v>
      </c>
      <c r="F2880" s="7" t="s">
        <v>39</v>
      </c>
      <c r="G2880" s="8" t="n">
        <v>46085</v>
      </c>
      <c r="H2880" s="8" t="n">
        <v>46133</v>
      </c>
      <c r="I2880" s="7" t="s">
        <v>40</v>
      </c>
      <c r="J2880" s="7" t="s">
        <v>51</v>
      </c>
      <c r="K2880" s="7" t="n">
        <v>48</v>
      </c>
      <c r="L2880" s="7" t="n">
        <v>2</v>
      </c>
      <c r="M2880" s="7" t="n">
        <v>1</v>
      </c>
      <c r="N2880" s="7" t="s">
        <v>42</v>
      </c>
      <c r="O2880" s="7" t="s">
        <v>67</v>
      </c>
      <c r="P2880" s="7" t="n">
        <v>1.7</v>
      </c>
      <c r="Q2880" s="7" t="n">
        <v>24</v>
      </c>
      <c r="R2880" s="7" t="s">
        <v>44</v>
      </c>
      <c r="S2880" s="7"/>
      <c r="T2880" s="7"/>
      <c r="U2880" s="7" t="str">
        <f aca="false">IF(COUNTIF($A$2:$A$5001,A2880)&gt;1,"Duplicate","Unique")</f>
        <v>Unique</v>
      </c>
      <c r="V2880" s="7" t="str">
        <f aca="false">IF(COUNTIFS($B$2:$B$5001,B2880,$H$2:$H$5001,H2880,$J$2:$J$5001,J2880)&gt;1,"Possible Duplicate Booking","Unique")</f>
        <v>Unique</v>
      </c>
      <c r="W2880" s="7" t="str">
        <f aca="false">IF((H2880-G2880)&lt;&gt;K2880,"Mismatch","OK")</f>
        <v>OK</v>
      </c>
      <c r="X2880" s="7" t="str">
        <f aca="false">IF(TEXT(H2880,"dddd")&lt;&gt;I2880,"Mismatch","OK")</f>
        <v>OK</v>
      </c>
      <c r="Y2880" s="7" t="str">
        <f aca="false">IF(AND(N2880="No",O2880&lt;&gt;""),"Unexpected: channel present but no reminder sent",IF(AND(N2880="Yes",O2880=""),"Missing channel for sent reminder","OK"))</f>
        <v>OK</v>
      </c>
    </row>
    <row r="2881" customFormat="false" ht="15" hidden="false" customHeight="false" outlineLevel="0" collapsed="false">
      <c r="A2881" s="9" t="s">
        <v>4387</v>
      </c>
      <c r="B2881" s="9" t="s">
        <v>1231</v>
      </c>
      <c r="C2881" s="9" t="s">
        <v>37</v>
      </c>
      <c r="D2881" s="9" t="n">
        <v>54</v>
      </c>
      <c r="E2881" s="9" t="s">
        <v>56</v>
      </c>
      <c r="F2881" s="9" t="s">
        <v>57</v>
      </c>
      <c r="G2881" s="10" t="n">
        <v>46186</v>
      </c>
      <c r="H2881" s="10" t="n">
        <v>46191</v>
      </c>
      <c r="I2881" s="9" t="s">
        <v>62</v>
      </c>
      <c r="J2881" s="9" t="s">
        <v>41</v>
      </c>
      <c r="K2881" s="9" t="n">
        <v>5</v>
      </c>
      <c r="L2881" s="9" t="n">
        <v>5</v>
      </c>
      <c r="M2881" s="9" t="n">
        <v>0</v>
      </c>
      <c r="N2881" s="9" t="s">
        <v>42</v>
      </c>
      <c r="O2881" s="9" t="s">
        <v>52</v>
      </c>
      <c r="P2881" s="9" t="n">
        <v>20.6</v>
      </c>
      <c r="Q2881" s="9" t="n">
        <v>23</v>
      </c>
      <c r="R2881" s="9" t="s">
        <v>53</v>
      </c>
      <c r="S2881" s="9"/>
      <c r="T2881" s="9"/>
      <c r="U2881" s="9" t="str">
        <f aca="false">IF(COUNTIF($A$2:$A$5001,A2881)&gt;1,"Duplicate","Unique")</f>
        <v>Unique</v>
      </c>
      <c r="V2881" s="9" t="str">
        <f aca="false">IF(COUNTIFS($B$2:$B$5001,B2881,$H$2:$H$5001,H2881,$J$2:$J$5001,J2881)&gt;1,"Possible Duplicate Booking","Unique")</f>
        <v>Unique</v>
      </c>
      <c r="W2881" s="9" t="str">
        <f aca="false">IF((H2881-G2881)&lt;&gt;K2881,"Mismatch","OK")</f>
        <v>OK</v>
      </c>
      <c r="X2881" s="9" t="str">
        <f aca="false">IF(TEXT(H2881,"dddd")&lt;&gt;I2881,"Mismatch","OK")</f>
        <v>OK</v>
      </c>
      <c r="Y2881" s="9" t="str">
        <f aca="false">IF(AND(N2881="No",O2881&lt;&gt;""),"Unexpected: channel present but no reminder sent",IF(AND(N2881="Yes",O2881=""),"Missing channel for sent reminder","OK"))</f>
        <v>OK</v>
      </c>
    </row>
    <row r="2882" customFormat="false" ht="15" hidden="false" customHeight="false" outlineLevel="0" collapsed="false">
      <c r="A2882" s="7" t="s">
        <v>4388</v>
      </c>
      <c r="B2882" s="7" t="s">
        <v>1024</v>
      </c>
      <c r="C2882" s="7" t="s">
        <v>47</v>
      </c>
      <c r="D2882" s="7" t="n">
        <v>65</v>
      </c>
      <c r="E2882" s="7" t="s">
        <v>70</v>
      </c>
      <c r="F2882" s="7" t="s">
        <v>39</v>
      </c>
      <c r="G2882" s="8" t="n">
        <v>45659</v>
      </c>
      <c r="H2882" s="8" t="n">
        <v>45680</v>
      </c>
      <c r="I2882" s="7" t="s">
        <v>62</v>
      </c>
      <c r="J2882" s="7" t="s">
        <v>51</v>
      </c>
      <c r="K2882" s="7" t="n">
        <v>21</v>
      </c>
      <c r="L2882" s="7" t="n">
        <v>5</v>
      </c>
      <c r="M2882" s="7" t="n">
        <v>2</v>
      </c>
      <c r="N2882" s="7" t="s">
        <v>42</v>
      </c>
      <c r="O2882" s="7" t="s">
        <v>43</v>
      </c>
      <c r="P2882" s="7" t="n">
        <v>6.5</v>
      </c>
      <c r="Q2882" s="7" t="n">
        <v>37</v>
      </c>
      <c r="R2882" s="7" t="s">
        <v>44</v>
      </c>
      <c r="S2882" s="7"/>
      <c r="T2882" s="7"/>
      <c r="U2882" s="7" t="str">
        <f aca="false">IF(COUNTIF($A$2:$A$5001,A2882)&gt;1,"Duplicate","Unique")</f>
        <v>Unique</v>
      </c>
      <c r="V2882" s="7" t="str">
        <f aca="false">IF(COUNTIFS($B$2:$B$5001,B2882,$H$2:$H$5001,H2882,$J$2:$J$5001,J2882)&gt;1,"Possible Duplicate Booking","Unique")</f>
        <v>Unique</v>
      </c>
      <c r="W2882" s="7" t="str">
        <f aca="false">IF((H2882-G2882)&lt;&gt;K2882,"Mismatch","OK")</f>
        <v>OK</v>
      </c>
      <c r="X2882" s="7" t="str">
        <f aca="false">IF(TEXT(H2882,"dddd")&lt;&gt;I2882,"Mismatch","OK")</f>
        <v>OK</v>
      </c>
      <c r="Y2882" s="7" t="str">
        <f aca="false">IF(AND(N2882="No",O2882&lt;&gt;""),"Unexpected: channel present but no reminder sent",IF(AND(N2882="Yes",O2882=""),"Missing channel for sent reminder","OK"))</f>
        <v>OK</v>
      </c>
    </row>
    <row r="2883" customFormat="false" ht="15" hidden="false" customHeight="false" outlineLevel="0" collapsed="false">
      <c r="A2883" s="9" t="s">
        <v>4389</v>
      </c>
      <c r="B2883" s="9" t="s">
        <v>1510</v>
      </c>
      <c r="C2883" s="9" t="s">
        <v>47</v>
      </c>
      <c r="D2883" s="9" t="n">
        <v>49</v>
      </c>
      <c r="E2883" s="9" t="s">
        <v>56</v>
      </c>
      <c r="F2883" s="9" t="s">
        <v>39</v>
      </c>
      <c r="G2883" s="10" t="n">
        <v>45783</v>
      </c>
      <c r="H2883" s="10" t="n">
        <v>45787</v>
      </c>
      <c r="I2883" s="9" t="s">
        <v>102</v>
      </c>
      <c r="J2883" s="9" t="s">
        <v>51</v>
      </c>
      <c r="K2883" s="9" t="n">
        <v>4</v>
      </c>
      <c r="L2883" s="9" t="n">
        <v>2</v>
      </c>
      <c r="M2883" s="9" t="n">
        <v>0</v>
      </c>
      <c r="N2883" s="9" t="s">
        <v>42</v>
      </c>
      <c r="O2883" s="9" t="s">
        <v>67</v>
      </c>
      <c r="P2883" s="9" t="n">
        <v>12.8</v>
      </c>
      <c r="Q2883" s="9" t="n">
        <v>13</v>
      </c>
      <c r="R2883" s="9" t="s">
        <v>53</v>
      </c>
      <c r="S2883" s="9"/>
      <c r="T2883" s="9"/>
      <c r="U2883" s="9" t="str">
        <f aca="false">IF(COUNTIF($A$2:$A$5001,A2883)&gt;1,"Duplicate","Unique")</f>
        <v>Unique</v>
      </c>
      <c r="V2883" s="9" t="str">
        <f aca="false">IF(COUNTIFS($B$2:$B$5001,B2883,$H$2:$H$5001,H2883,$J$2:$J$5001,J2883)&gt;1,"Possible Duplicate Booking","Unique")</f>
        <v>Unique</v>
      </c>
      <c r="W2883" s="9" t="str">
        <f aca="false">IF((H2883-G2883)&lt;&gt;K2883,"Mismatch","OK")</f>
        <v>OK</v>
      </c>
      <c r="X2883" s="9" t="str">
        <f aca="false">IF(TEXT(H2883,"dddd")&lt;&gt;I2883,"Mismatch","OK")</f>
        <v>OK</v>
      </c>
      <c r="Y2883" s="9" t="str">
        <f aca="false">IF(AND(N2883="No",O2883&lt;&gt;""),"Unexpected: channel present but no reminder sent",IF(AND(N2883="Yes",O2883=""),"Missing channel for sent reminder","OK"))</f>
        <v>OK</v>
      </c>
    </row>
    <row r="2884" customFormat="false" ht="15" hidden="false" customHeight="false" outlineLevel="0" collapsed="false">
      <c r="A2884" s="7" t="s">
        <v>4390</v>
      </c>
      <c r="B2884" s="7" t="s">
        <v>162</v>
      </c>
      <c r="C2884" s="7" t="s">
        <v>37</v>
      </c>
      <c r="D2884" s="7" t="n">
        <v>62</v>
      </c>
      <c r="E2884" s="7" t="s">
        <v>61</v>
      </c>
      <c r="F2884" s="7" t="s">
        <v>57</v>
      </c>
      <c r="G2884" s="8" t="n">
        <v>45909</v>
      </c>
      <c r="H2884" s="8" t="n">
        <v>45965</v>
      </c>
      <c r="I2884" s="7" t="s">
        <v>40</v>
      </c>
      <c r="J2884" s="7" t="s">
        <v>63</v>
      </c>
      <c r="K2884" s="7" t="n">
        <v>56</v>
      </c>
      <c r="L2884" s="7" t="n">
        <v>4</v>
      </c>
      <c r="M2884" s="7" t="n">
        <v>0</v>
      </c>
      <c r="N2884" s="7" t="s">
        <v>42</v>
      </c>
      <c r="O2884" s="7" t="s">
        <v>52</v>
      </c>
      <c r="P2884" s="7" t="n">
        <v>4.8</v>
      </c>
      <c r="Q2884" s="7" t="n">
        <v>16</v>
      </c>
      <c r="R2884" s="7" t="s">
        <v>53</v>
      </c>
      <c r="S2884" s="7"/>
      <c r="T2884" s="7"/>
      <c r="U2884" s="7" t="str">
        <f aca="false">IF(COUNTIF($A$2:$A$5001,A2884)&gt;1,"Duplicate","Unique")</f>
        <v>Unique</v>
      </c>
      <c r="V2884" s="7" t="str">
        <f aca="false">IF(COUNTIFS($B$2:$B$5001,B2884,$H$2:$H$5001,H2884,$J$2:$J$5001,J2884)&gt;1,"Possible Duplicate Booking","Unique")</f>
        <v>Unique</v>
      </c>
      <c r="W2884" s="7" t="str">
        <f aca="false">IF((H2884-G2884)&lt;&gt;K2884,"Mismatch","OK")</f>
        <v>OK</v>
      </c>
      <c r="X2884" s="7" t="str">
        <f aca="false">IF(TEXT(H2884,"dddd")&lt;&gt;I2884,"Mismatch","OK")</f>
        <v>OK</v>
      </c>
      <c r="Y2884" s="7" t="str">
        <f aca="false">IF(AND(N2884="No",O2884&lt;&gt;""),"Unexpected: channel present but no reminder sent",IF(AND(N2884="Yes",O2884=""),"Missing channel for sent reminder","OK"))</f>
        <v>OK</v>
      </c>
    </row>
    <row r="2885" customFormat="false" ht="15" hidden="false" customHeight="false" outlineLevel="0" collapsed="false">
      <c r="A2885" s="9" t="s">
        <v>4391</v>
      </c>
      <c r="B2885" s="9" t="s">
        <v>235</v>
      </c>
      <c r="C2885" s="9" t="s">
        <v>47</v>
      </c>
      <c r="D2885" s="9" t="n">
        <v>75</v>
      </c>
      <c r="E2885" s="9" t="s">
        <v>70</v>
      </c>
      <c r="F2885" s="9" t="s">
        <v>49</v>
      </c>
      <c r="G2885" s="10" t="n">
        <v>45673</v>
      </c>
      <c r="H2885" s="10" t="n">
        <v>45684</v>
      </c>
      <c r="I2885" s="9" t="s">
        <v>66</v>
      </c>
      <c r="J2885" s="9" t="s">
        <v>41</v>
      </c>
      <c r="K2885" s="9" t="n">
        <v>11</v>
      </c>
      <c r="L2885" s="9" t="n">
        <v>4</v>
      </c>
      <c r="M2885" s="9" t="n">
        <v>1</v>
      </c>
      <c r="N2885" s="9" t="s">
        <v>71</v>
      </c>
      <c r="O2885" s="9"/>
      <c r="P2885" s="9" t="n">
        <v>11.4</v>
      </c>
      <c r="Q2885" s="9" t="n">
        <v>27</v>
      </c>
      <c r="R2885" s="9" t="s">
        <v>44</v>
      </c>
      <c r="S2885" s="9"/>
      <c r="T2885" s="9"/>
      <c r="U2885" s="9" t="str">
        <f aca="false">IF(COUNTIF($A$2:$A$5001,A2885)&gt;1,"Duplicate","Unique")</f>
        <v>Unique</v>
      </c>
      <c r="V2885" s="9" t="str">
        <f aca="false">IF(COUNTIFS($B$2:$B$5001,B2885,$H$2:$H$5001,H2885,$J$2:$J$5001,J2885)&gt;1,"Possible Duplicate Booking","Unique")</f>
        <v>Unique</v>
      </c>
      <c r="W2885" s="9" t="str">
        <f aca="false">IF((H2885-G2885)&lt;&gt;K2885,"Mismatch","OK")</f>
        <v>OK</v>
      </c>
      <c r="X2885" s="9" t="str">
        <f aca="false">IF(TEXT(H2885,"dddd")&lt;&gt;I2885,"Mismatch","OK")</f>
        <v>OK</v>
      </c>
      <c r="Y2885" s="9" t="str">
        <f aca="false">IF(AND(N2885="No",O2885&lt;&gt;""),"Unexpected: channel present but no reminder sent",IF(AND(N2885="Yes",O2885=""),"Missing channel for sent reminder","OK"))</f>
        <v>OK</v>
      </c>
    </row>
    <row r="2886" customFormat="false" ht="15" hidden="false" customHeight="false" outlineLevel="0" collapsed="false">
      <c r="A2886" s="7" t="s">
        <v>4392</v>
      </c>
      <c r="B2886" s="7" t="s">
        <v>807</v>
      </c>
      <c r="C2886" s="7" t="s">
        <v>37</v>
      </c>
      <c r="D2886" s="7" t="n">
        <v>57</v>
      </c>
      <c r="E2886" s="7" t="s">
        <v>61</v>
      </c>
      <c r="F2886" s="7" t="s">
        <v>49</v>
      </c>
      <c r="G2886" s="8" t="n">
        <v>45802</v>
      </c>
      <c r="H2886" s="8" t="n">
        <v>45852</v>
      </c>
      <c r="I2886" s="7" t="s">
        <v>66</v>
      </c>
      <c r="J2886" s="7" t="s">
        <v>51</v>
      </c>
      <c r="K2886" s="7" t="n">
        <v>50</v>
      </c>
      <c r="L2886" s="7" t="n">
        <v>4</v>
      </c>
      <c r="M2886" s="7" t="n">
        <v>0</v>
      </c>
      <c r="N2886" s="7" t="s">
        <v>42</v>
      </c>
      <c r="O2886" s="7" t="s">
        <v>43</v>
      </c>
      <c r="P2886" s="7" t="n">
        <v>2</v>
      </c>
      <c r="Q2886" s="7" t="n">
        <v>19</v>
      </c>
      <c r="R2886" s="7" t="s">
        <v>87</v>
      </c>
      <c r="S2886" s="7"/>
      <c r="T2886" s="7"/>
      <c r="U2886" s="7" t="str">
        <f aca="false">IF(COUNTIF($A$2:$A$5001,A2886)&gt;1,"Duplicate","Unique")</f>
        <v>Unique</v>
      </c>
      <c r="V2886" s="7" t="str">
        <f aca="false">IF(COUNTIFS($B$2:$B$5001,B2886,$H$2:$H$5001,H2886,$J$2:$J$5001,J2886)&gt;1,"Possible Duplicate Booking","Unique")</f>
        <v>Unique</v>
      </c>
      <c r="W2886" s="7" t="str">
        <f aca="false">IF((H2886-G2886)&lt;&gt;K2886,"Mismatch","OK")</f>
        <v>OK</v>
      </c>
      <c r="X2886" s="7" t="str">
        <f aca="false">IF(TEXT(H2886,"dddd")&lt;&gt;I2886,"Mismatch","OK")</f>
        <v>OK</v>
      </c>
      <c r="Y2886" s="7" t="str">
        <f aca="false">IF(AND(N2886="No",O2886&lt;&gt;""),"Unexpected: channel present but no reminder sent",IF(AND(N2886="Yes",O2886=""),"Missing channel for sent reminder","OK"))</f>
        <v>OK</v>
      </c>
    </row>
    <row r="2887" customFormat="false" ht="15" hidden="false" customHeight="false" outlineLevel="0" collapsed="false">
      <c r="A2887" s="9" t="s">
        <v>4393</v>
      </c>
      <c r="B2887" s="9" t="s">
        <v>482</v>
      </c>
      <c r="C2887" s="9" t="s">
        <v>47</v>
      </c>
      <c r="D2887" s="9" t="n">
        <v>70</v>
      </c>
      <c r="E2887" s="9" t="s">
        <v>70</v>
      </c>
      <c r="F2887" s="9" t="s">
        <v>57</v>
      </c>
      <c r="G2887" s="10" t="n">
        <v>45730</v>
      </c>
      <c r="H2887" s="10" t="n">
        <v>45741</v>
      </c>
      <c r="I2887" s="9" t="s">
        <v>40</v>
      </c>
      <c r="J2887" s="9" t="s">
        <v>41</v>
      </c>
      <c r="K2887" s="9" t="n">
        <v>11</v>
      </c>
      <c r="L2887" s="9" t="n">
        <v>1</v>
      </c>
      <c r="M2887" s="9" t="n">
        <v>0</v>
      </c>
      <c r="N2887" s="9" t="s">
        <v>42</v>
      </c>
      <c r="O2887" s="9" t="s">
        <v>52</v>
      </c>
      <c r="P2887" s="9" t="n">
        <v>4.8</v>
      </c>
      <c r="Q2887" s="9" t="n">
        <v>19</v>
      </c>
      <c r="R2887" s="9" t="s">
        <v>53</v>
      </c>
      <c r="S2887" s="9"/>
      <c r="T2887" s="9"/>
      <c r="U2887" s="9" t="str">
        <f aca="false">IF(COUNTIF($A$2:$A$5001,A2887)&gt;1,"Duplicate","Unique")</f>
        <v>Unique</v>
      </c>
      <c r="V2887" s="9" t="str">
        <f aca="false">IF(COUNTIFS($B$2:$B$5001,B2887,$H$2:$H$5001,H2887,$J$2:$J$5001,J2887)&gt;1,"Possible Duplicate Booking","Unique")</f>
        <v>Unique</v>
      </c>
      <c r="W2887" s="9" t="str">
        <f aca="false">IF((H2887-G2887)&lt;&gt;K2887,"Mismatch","OK")</f>
        <v>OK</v>
      </c>
      <c r="X2887" s="9" t="str">
        <f aca="false">IF(TEXT(H2887,"dddd")&lt;&gt;I2887,"Mismatch","OK")</f>
        <v>OK</v>
      </c>
      <c r="Y2887" s="9" t="str">
        <f aca="false">IF(AND(N2887="No",O2887&lt;&gt;""),"Unexpected: channel present but no reminder sent",IF(AND(N2887="Yes",O2887=""),"Missing channel for sent reminder","OK"))</f>
        <v>OK</v>
      </c>
    </row>
    <row r="2888" customFormat="false" ht="15" hidden="false" customHeight="false" outlineLevel="0" collapsed="false">
      <c r="A2888" s="7" t="s">
        <v>4394</v>
      </c>
      <c r="B2888" s="7" t="s">
        <v>2511</v>
      </c>
      <c r="C2888" s="7" t="s">
        <v>47</v>
      </c>
      <c r="D2888" s="7" t="n">
        <v>68</v>
      </c>
      <c r="E2888" s="7" t="s">
        <v>70</v>
      </c>
      <c r="F2888" s="7" t="s">
        <v>39</v>
      </c>
      <c r="G2888" s="8" t="n">
        <v>46148</v>
      </c>
      <c r="H2888" s="8" t="n">
        <v>46167</v>
      </c>
      <c r="I2888" s="7" t="s">
        <v>66</v>
      </c>
      <c r="J2888" s="7" t="s">
        <v>51</v>
      </c>
      <c r="K2888" s="7" t="n">
        <v>19</v>
      </c>
      <c r="L2888" s="7" t="n">
        <v>2</v>
      </c>
      <c r="M2888" s="7" t="n">
        <v>0</v>
      </c>
      <c r="N2888" s="7" t="s">
        <v>42</v>
      </c>
      <c r="O2888" s="7" t="s">
        <v>52</v>
      </c>
      <c r="P2888" s="7" t="n">
        <v>7.3</v>
      </c>
      <c r="Q2888" s="7" t="n">
        <v>19</v>
      </c>
      <c r="R2888" s="7" t="s">
        <v>44</v>
      </c>
      <c r="S2888" s="7"/>
      <c r="T2888" s="7"/>
      <c r="U2888" s="7" t="str">
        <f aca="false">IF(COUNTIF($A$2:$A$5001,A2888)&gt;1,"Duplicate","Unique")</f>
        <v>Unique</v>
      </c>
      <c r="V2888" s="7" t="str">
        <f aca="false">IF(COUNTIFS($B$2:$B$5001,B2888,$H$2:$H$5001,H2888,$J$2:$J$5001,J2888)&gt;1,"Possible Duplicate Booking","Unique")</f>
        <v>Unique</v>
      </c>
      <c r="W2888" s="7" t="str">
        <f aca="false">IF((H2888-G2888)&lt;&gt;K2888,"Mismatch","OK")</f>
        <v>OK</v>
      </c>
      <c r="X2888" s="7" t="str">
        <f aca="false">IF(TEXT(H2888,"dddd")&lt;&gt;I2888,"Mismatch","OK")</f>
        <v>OK</v>
      </c>
      <c r="Y2888" s="7" t="str">
        <f aca="false">IF(AND(N2888="No",O2888&lt;&gt;""),"Unexpected: channel present but no reminder sent",IF(AND(N2888="Yes",O2888=""),"Missing channel for sent reminder","OK"))</f>
        <v>OK</v>
      </c>
    </row>
    <row r="2889" customFormat="false" ht="15" hidden="false" customHeight="false" outlineLevel="0" collapsed="false">
      <c r="A2889" s="9" t="s">
        <v>4395</v>
      </c>
      <c r="B2889" s="9" t="s">
        <v>4396</v>
      </c>
      <c r="C2889" s="9" t="s">
        <v>37</v>
      </c>
      <c r="D2889" s="9" t="n">
        <v>69</v>
      </c>
      <c r="E2889" s="9" t="s">
        <v>70</v>
      </c>
      <c r="F2889" s="9" t="s">
        <v>39</v>
      </c>
      <c r="G2889" s="10" t="n">
        <v>45655</v>
      </c>
      <c r="H2889" s="10" t="n">
        <v>45692</v>
      </c>
      <c r="I2889" s="9" t="s">
        <v>40</v>
      </c>
      <c r="J2889" s="9" t="s">
        <v>51</v>
      </c>
      <c r="K2889" s="9" t="n">
        <v>37</v>
      </c>
      <c r="L2889" s="9" t="n">
        <v>2</v>
      </c>
      <c r="M2889" s="9" t="n">
        <v>0</v>
      </c>
      <c r="N2889" s="9" t="s">
        <v>42</v>
      </c>
      <c r="O2889" s="9" t="s">
        <v>52</v>
      </c>
      <c r="P2889" s="9" t="n">
        <v>5.3</v>
      </c>
      <c r="Q2889" s="9" t="n">
        <v>30</v>
      </c>
      <c r="R2889" s="9" t="s">
        <v>44</v>
      </c>
      <c r="S2889" s="9"/>
      <c r="T2889" s="9"/>
      <c r="U2889" s="9" t="str">
        <f aca="false">IF(COUNTIF($A$2:$A$5001,A2889)&gt;1,"Duplicate","Unique")</f>
        <v>Unique</v>
      </c>
      <c r="V2889" s="9" t="str">
        <f aca="false">IF(COUNTIFS($B$2:$B$5001,B2889,$H$2:$H$5001,H2889,$J$2:$J$5001,J2889)&gt;1,"Possible Duplicate Booking","Unique")</f>
        <v>Unique</v>
      </c>
      <c r="W2889" s="9" t="str">
        <f aca="false">IF((H2889-G2889)&lt;&gt;K2889,"Mismatch","OK")</f>
        <v>OK</v>
      </c>
      <c r="X2889" s="9" t="str">
        <f aca="false">IF(TEXT(H2889,"dddd")&lt;&gt;I2889,"Mismatch","OK")</f>
        <v>OK</v>
      </c>
      <c r="Y2889" s="9" t="str">
        <f aca="false">IF(AND(N2889="No",O2889&lt;&gt;""),"Unexpected: channel present but no reminder sent",IF(AND(N2889="Yes",O2889=""),"Missing channel for sent reminder","OK"))</f>
        <v>OK</v>
      </c>
    </row>
    <row r="2890" customFormat="false" ht="15" hidden="false" customHeight="false" outlineLevel="0" collapsed="false">
      <c r="A2890" s="7" t="s">
        <v>4397</v>
      </c>
      <c r="B2890" s="7" t="s">
        <v>4398</v>
      </c>
      <c r="C2890" s="7" t="s">
        <v>37</v>
      </c>
      <c r="D2890" s="7" t="n">
        <v>71</v>
      </c>
      <c r="E2890" s="7" t="s">
        <v>70</v>
      </c>
      <c r="F2890" s="7" t="s">
        <v>57</v>
      </c>
      <c r="G2890" s="8" t="n">
        <v>45689</v>
      </c>
      <c r="H2890" s="8" t="n">
        <v>45739</v>
      </c>
      <c r="I2890" s="7" t="s">
        <v>75</v>
      </c>
      <c r="J2890" s="7" t="s">
        <v>41</v>
      </c>
      <c r="K2890" s="7" t="n">
        <v>50</v>
      </c>
      <c r="L2890" s="7" t="n">
        <v>0</v>
      </c>
      <c r="M2890" s="7" t="n">
        <v>0</v>
      </c>
      <c r="N2890" s="7" t="s">
        <v>42</v>
      </c>
      <c r="O2890" s="7" t="s">
        <v>52</v>
      </c>
      <c r="P2890" s="7" t="n">
        <v>5.8</v>
      </c>
      <c r="Q2890" s="7" t="n">
        <v>36</v>
      </c>
      <c r="R2890" s="7" t="s">
        <v>53</v>
      </c>
      <c r="S2890" s="7"/>
      <c r="T2890" s="7"/>
      <c r="U2890" s="7" t="str">
        <f aca="false">IF(COUNTIF($A$2:$A$5001,A2890)&gt;1,"Duplicate","Unique")</f>
        <v>Unique</v>
      </c>
      <c r="V2890" s="7" t="str">
        <f aca="false">IF(COUNTIFS($B$2:$B$5001,B2890,$H$2:$H$5001,H2890,$J$2:$J$5001,J2890)&gt;1,"Possible Duplicate Booking","Unique")</f>
        <v>Unique</v>
      </c>
      <c r="W2890" s="7" t="str">
        <f aca="false">IF((H2890-G2890)&lt;&gt;K2890,"Mismatch","OK")</f>
        <v>OK</v>
      </c>
      <c r="X2890" s="7" t="str">
        <f aca="false">IF(TEXT(H2890,"dddd")&lt;&gt;I2890,"Mismatch","OK")</f>
        <v>OK</v>
      </c>
      <c r="Y2890" s="7" t="str">
        <f aca="false">IF(AND(N2890="No",O2890&lt;&gt;""),"Unexpected: channel present but no reminder sent",IF(AND(N2890="Yes",O2890=""),"Missing channel for sent reminder","OK"))</f>
        <v>OK</v>
      </c>
    </row>
    <row r="2891" customFormat="false" ht="15" hidden="false" customHeight="false" outlineLevel="0" collapsed="false">
      <c r="A2891" s="9" t="s">
        <v>4399</v>
      </c>
      <c r="B2891" s="9" t="s">
        <v>4076</v>
      </c>
      <c r="C2891" s="9" t="s">
        <v>47</v>
      </c>
      <c r="D2891" s="9" t="n">
        <v>32</v>
      </c>
      <c r="E2891" s="9" t="s">
        <v>48</v>
      </c>
      <c r="F2891" s="9" t="s">
        <v>57</v>
      </c>
      <c r="G2891" s="10" t="n">
        <v>45754</v>
      </c>
      <c r="H2891" s="10" t="n">
        <v>45764</v>
      </c>
      <c r="I2891" s="9" t="s">
        <v>62</v>
      </c>
      <c r="J2891" s="9" t="s">
        <v>51</v>
      </c>
      <c r="K2891" s="9" t="n">
        <v>10</v>
      </c>
      <c r="L2891" s="9" t="n">
        <v>3</v>
      </c>
      <c r="M2891" s="9" t="n">
        <v>0</v>
      </c>
      <c r="N2891" s="9" t="s">
        <v>71</v>
      </c>
      <c r="O2891" s="9"/>
      <c r="P2891" s="9" t="n">
        <v>14.8</v>
      </c>
      <c r="Q2891" s="9" t="n">
        <v>23</v>
      </c>
      <c r="R2891" s="9" t="s">
        <v>44</v>
      </c>
      <c r="S2891" s="9"/>
      <c r="T2891" s="9"/>
      <c r="U2891" s="9" t="str">
        <f aca="false">IF(COUNTIF($A$2:$A$5001,A2891)&gt;1,"Duplicate","Unique")</f>
        <v>Unique</v>
      </c>
      <c r="V2891" s="9" t="str">
        <f aca="false">IF(COUNTIFS($B$2:$B$5001,B2891,$H$2:$H$5001,H2891,$J$2:$J$5001,J2891)&gt;1,"Possible Duplicate Booking","Unique")</f>
        <v>Unique</v>
      </c>
      <c r="W2891" s="9" t="str">
        <f aca="false">IF((H2891-G2891)&lt;&gt;K2891,"Mismatch","OK")</f>
        <v>OK</v>
      </c>
      <c r="X2891" s="9" t="str">
        <f aca="false">IF(TEXT(H2891,"dddd")&lt;&gt;I2891,"Mismatch","OK")</f>
        <v>OK</v>
      </c>
      <c r="Y2891" s="9" t="str">
        <f aca="false">IF(AND(N2891="No",O2891&lt;&gt;""),"Unexpected: channel present but no reminder sent",IF(AND(N2891="Yes",O2891=""),"Missing channel for sent reminder","OK"))</f>
        <v>OK</v>
      </c>
    </row>
    <row r="2892" customFormat="false" ht="15" hidden="false" customHeight="false" outlineLevel="0" collapsed="false">
      <c r="A2892" s="7" t="s">
        <v>4400</v>
      </c>
      <c r="B2892" s="7" t="s">
        <v>980</v>
      </c>
      <c r="C2892" s="7" t="s">
        <v>47</v>
      </c>
      <c r="D2892" s="7" t="n">
        <v>19</v>
      </c>
      <c r="E2892" s="7" t="s">
        <v>82</v>
      </c>
      <c r="F2892" s="7" t="s">
        <v>39</v>
      </c>
      <c r="G2892" s="8" t="n">
        <v>45726</v>
      </c>
      <c r="H2892" s="8" t="n">
        <v>45739</v>
      </c>
      <c r="I2892" s="7" t="s">
        <v>75</v>
      </c>
      <c r="J2892" s="7" t="s">
        <v>41</v>
      </c>
      <c r="K2892" s="7" t="n">
        <v>13</v>
      </c>
      <c r="L2892" s="7" t="n">
        <v>4</v>
      </c>
      <c r="M2892" s="7" t="n">
        <v>0</v>
      </c>
      <c r="N2892" s="7" t="s">
        <v>71</v>
      </c>
      <c r="O2892" s="7"/>
      <c r="P2892" s="7" t="n">
        <v>6.5</v>
      </c>
      <c r="Q2892" s="7" t="n">
        <v>21</v>
      </c>
      <c r="R2892" s="7" t="s">
        <v>53</v>
      </c>
      <c r="S2892" s="7"/>
      <c r="T2892" s="7"/>
      <c r="U2892" s="7" t="str">
        <f aca="false">IF(COUNTIF($A$2:$A$5001,A2892)&gt;1,"Duplicate","Unique")</f>
        <v>Unique</v>
      </c>
      <c r="V2892" s="7" t="str">
        <f aca="false">IF(COUNTIFS($B$2:$B$5001,B2892,$H$2:$H$5001,H2892,$J$2:$J$5001,J2892)&gt;1,"Possible Duplicate Booking","Unique")</f>
        <v>Unique</v>
      </c>
      <c r="W2892" s="7" t="str">
        <f aca="false">IF((H2892-G2892)&lt;&gt;K2892,"Mismatch","OK")</f>
        <v>OK</v>
      </c>
      <c r="X2892" s="7" t="str">
        <f aca="false">IF(TEXT(H2892,"dddd")&lt;&gt;I2892,"Mismatch","OK")</f>
        <v>OK</v>
      </c>
      <c r="Y2892" s="7" t="str">
        <f aca="false">IF(AND(N2892="No",O2892&lt;&gt;""),"Unexpected: channel present but no reminder sent",IF(AND(N2892="Yes",O2892=""),"Missing channel for sent reminder","OK"))</f>
        <v>OK</v>
      </c>
    </row>
    <row r="2893" customFormat="false" ht="15" hidden="false" customHeight="false" outlineLevel="0" collapsed="false">
      <c r="A2893" s="9" t="s">
        <v>4401</v>
      </c>
      <c r="B2893" s="9" t="s">
        <v>4402</v>
      </c>
      <c r="C2893" s="9" t="s">
        <v>47</v>
      </c>
      <c r="D2893" s="9" t="n">
        <v>27</v>
      </c>
      <c r="E2893" s="9" t="s">
        <v>48</v>
      </c>
      <c r="F2893" s="9" t="s">
        <v>74</v>
      </c>
      <c r="G2893" s="10" t="n">
        <v>45915</v>
      </c>
      <c r="H2893" s="10" t="n">
        <v>45968</v>
      </c>
      <c r="I2893" s="9" t="s">
        <v>50</v>
      </c>
      <c r="J2893" s="9" t="s">
        <v>51</v>
      </c>
      <c r="K2893" s="9" t="n">
        <v>53</v>
      </c>
      <c r="L2893" s="9" t="n">
        <v>2</v>
      </c>
      <c r="M2893" s="9" t="n">
        <v>1</v>
      </c>
      <c r="N2893" s="9" t="s">
        <v>42</v>
      </c>
      <c r="O2893" s="9" t="s">
        <v>52</v>
      </c>
      <c r="P2893" s="9" t="n">
        <v>4.1</v>
      </c>
      <c r="Q2893" s="9" t="n">
        <v>31</v>
      </c>
      <c r="R2893" s="9" t="s">
        <v>44</v>
      </c>
      <c r="S2893" s="9"/>
      <c r="T2893" s="9"/>
      <c r="U2893" s="9" t="str">
        <f aca="false">IF(COUNTIF($A$2:$A$5001,A2893)&gt;1,"Duplicate","Unique")</f>
        <v>Unique</v>
      </c>
      <c r="V2893" s="9" t="str">
        <f aca="false">IF(COUNTIFS($B$2:$B$5001,B2893,$H$2:$H$5001,H2893,$J$2:$J$5001,J2893)&gt;1,"Possible Duplicate Booking","Unique")</f>
        <v>Unique</v>
      </c>
      <c r="W2893" s="9" t="str">
        <f aca="false">IF((H2893-G2893)&lt;&gt;K2893,"Mismatch","OK")</f>
        <v>OK</v>
      </c>
      <c r="X2893" s="9" t="str">
        <f aca="false">IF(TEXT(H2893,"dddd")&lt;&gt;I2893,"Mismatch","OK")</f>
        <v>OK</v>
      </c>
      <c r="Y2893" s="9" t="str">
        <f aca="false">IF(AND(N2893="No",O2893&lt;&gt;""),"Unexpected: channel present but no reminder sent",IF(AND(N2893="Yes",O2893=""),"Missing channel for sent reminder","OK"))</f>
        <v>OK</v>
      </c>
    </row>
    <row r="2894" customFormat="false" ht="15" hidden="false" customHeight="false" outlineLevel="0" collapsed="false">
      <c r="A2894" s="7" t="s">
        <v>4403</v>
      </c>
      <c r="B2894" s="7" t="s">
        <v>186</v>
      </c>
      <c r="C2894" s="7" t="s">
        <v>37</v>
      </c>
      <c r="D2894" s="7" t="n">
        <v>33</v>
      </c>
      <c r="E2894" s="7" t="s">
        <v>48</v>
      </c>
      <c r="F2894" s="7" t="s">
        <v>39</v>
      </c>
      <c r="G2894" s="8" t="n">
        <v>45837</v>
      </c>
      <c r="H2894" s="8" t="n">
        <v>45856</v>
      </c>
      <c r="I2894" s="7" t="s">
        <v>50</v>
      </c>
      <c r="J2894" s="7" t="s">
        <v>41</v>
      </c>
      <c r="K2894" s="7" t="n">
        <v>19</v>
      </c>
      <c r="L2894" s="7" t="n">
        <v>3</v>
      </c>
      <c r="M2894" s="7" t="n">
        <v>1</v>
      </c>
      <c r="N2894" s="7" t="s">
        <v>42</v>
      </c>
      <c r="O2894" s="7" t="s">
        <v>43</v>
      </c>
      <c r="P2894" s="7" t="n">
        <v>6.6</v>
      </c>
      <c r="Q2894" s="7" t="n">
        <v>26</v>
      </c>
      <c r="R2894" s="7" t="s">
        <v>44</v>
      </c>
      <c r="S2894" s="7"/>
      <c r="T2894" s="7"/>
      <c r="U2894" s="7" t="str">
        <f aca="false">IF(COUNTIF($A$2:$A$5001,A2894)&gt;1,"Duplicate","Unique")</f>
        <v>Unique</v>
      </c>
      <c r="V2894" s="7" t="str">
        <f aca="false">IF(COUNTIFS($B$2:$B$5001,B2894,$H$2:$H$5001,H2894,$J$2:$J$5001,J2894)&gt;1,"Possible Duplicate Booking","Unique")</f>
        <v>Unique</v>
      </c>
      <c r="W2894" s="7" t="str">
        <f aca="false">IF((H2894-G2894)&lt;&gt;K2894,"Mismatch","OK")</f>
        <v>OK</v>
      </c>
      <c r="X2894" s="7" t="str">
        <f aca="false">IF(TEXT(H2894,"dddd")&lt;&gt;I2894,"Mismatch","OK")</f>
        <v>OK</v>
      </c>
      <c r="Y2894" s="7" t="str">
        <f aca="false">IF(AND(N2894="No",O2894&lt;&gt;""),"Unexpected: channel present but no reminder sent",IF(AND(N2894="Yes",O2894=""),"Missing channel for sent reminder","OK"))</f>
        <v>OK</v>
      </c>
    </row>
    <row r="2895" customFormat="false" ht="15" hidden="false" customHeight="false" outlineLevel="0" collapsed="false">
      <c r="A2895" s="9" t="s">
        <v>4404</v>
      </c>
      <c r="B2895" s="9" t="s">
        <v>846</v>
      </c>
      <c r="C2895" s="9" t="s">
        <v>47</v>
      </c>
      <c r="D2895" s="9" t="n">
        <v>61</v>
      </c>
      <c r="E2895" s="9" t="s">
        <v>61</v>
      </c>
      <c r="F2895" s="9" t="s">
        <v>39</v>
      </c>
      <c r="G2895" s="10" t="n">
        <v>46144</v>
      </c>
      <c r="H2895" s="10" t="n">
        <v>46156</v>
      </c>
      <c r="I2895" s="9" t="s">
        <v>62</v>
      </c>
      <c r="J2895" s="9" t="s">
        <v>41</v>
      </c>
      <c r="K2895" s="9" t="n">
        <v>12</v>
      </c>
      <c r="L2895" s="9" t="n">
        <v>1</v>
      </c>
      <c r="M2895" s="9" t="n">
        <v>0</v>
      </c>
      <c r="N2895" s="9" t="s">
        <v>42</v>
      </c>
      <c r="O2895" s="9" t="s">
        <v>43</v>
      </c>
      <c r="P2895" s="9" t="n">
        <v>1.6</v>
      </c>
      <c r="Q2895" s="9" t="n">
        <v>26</v>
      </c>
      <c r="R2895" s="9" t="s">
        <v>87</v>
      </c>
      <c r="S2895" s="9"/>
      <c r="T2895" s="9"/>
      <c r="U2895" s="9" t="str">
        <f aca="false">IF(COUNTIF($A$2:$A$5001,A2895)&gt;1,"Duplicate","Unique")</f>
        <v>Unique</v>
      </c>
      <c r="V2895" s="9" t="str">
        <f aca="false">IF(COUNTIFS($B$2:$B$5001,B2895,$H$2:$H$5001,H2895,$J$2:$J$5001,J2895)&gt;1,"Possible Duplicate Booking","Unique")</f>
        <v>Unique</v>
      </c>
      <c r="W2895" s="9" t="str">
        <f aca="false">IF((H2895-G2895)&lt;&gt;K2895,"Mismatch","OK")</f>
        <v>OK</v>
      </c>
      <c r="X2895" s="9" t="str">
        <f aca="false">IF(TEXT(H2895,"dddd")&lt;&gt;I2895,"Mismatch","OK")</f>
        <v>OK</v>
      </c>
      <c r="Y2895" s="9" t="str">
        <f aca="false">IF(AND(N2895="No",O2895&lt;&gt;""),"Unexpected: channel present but no reminder sent",IF(AND(N2895="Yes",O2895=""),"Missing channel for sent reminder","OK"))</f>
        <v>OK</v>
      </c>
    </row>
    <row r="2896" customFormat="false" ht="15" hidden="false" customHeight="false" outlineLevel="0" collapsed="false">
      <c r="A2896" s="7" t="s">
        <v>4405</v>
      </c>
      <c r="B2896" s="7" t="s">
        <v>2264</v>
      </c>
      <c r="C2896" s="7" t="s">
        <v>47</v>
      </c>
      <c r="D2896" s="7" t="n">
        <v>50</v>
      </c>
      <c r="E2896" s="7" t="s">
        <v>56</v>
      </c>
      <c r="F2896" s="7" t="s">
        <v>39</v>
      </c>
      <c r="G2896" s="8" t="n">
        <v>45755</v>
      </c>
      <c r="H2896" s="8" t="n">
        <v>45800</v>
      </c>
      <c r="I2896" s="7" t="s">
        <v>50</v>
      </c>
      <c r="J2896" s="7" t="s">
        <v>51</v>
      </c>
      <c r="K2896" s="7" t="n">
        <v>45</v>
      </c>
      <c r="L2896" s="7" t="n">
        <v>1</v>
      </c>
      <c r="M2896" s="7" t="n">
        <v>1</v>
      </c>
      <c r="N2896" s="7" t="s">
        <v>42</v>
      </c>
      <c r="O2896" s="7" t="s">
        <v>52</v>
      </c>
      <c r="P2896" s="7" t="n">
        <v>7.5</v>
      </c>
      <c r="Q2896" s="7" t="n">
        <v>36</v>
      </c>
      <c r="R2896" s="7" t="s">
        <v>53</v>
      </c>
      <c r="S2896" s="7"/>
      <c r="T2896" s="7"/>
      <c r="U2896" s="7" t="str">
        <f aca="false">IF(COUNTIF($A$2:$A$5001,A2896)&gt;1,"Duplicate","Unique")</f>
        <v>Unique</v>
      </c>
      <c r="V2896" s="7" t="str">
        <f aca="false">IF(COUNTIFS($B$2:$B$5001,B2896,$H$2:$H$5001,H2896,$J$2:$J$5001,J2896)&gt;1,"Possible Duplicate Booking","Unique")</f>
        <v>Unique</v>
      </c>
      <c r="W2896" s="7" t="str">
        <f aca="false">IF((H2896-G2896)&lt;&gt;K2896,"Mismatch","OK")</f>
        <v>OK</v>
      </c>
      <c r="X2896" s="7" t="str">
        <f aca="false">IF(TEXT(H2896,"dddd")&lt;&gt;I2896,"Mismatch","OK")</f>
        <v>OK</v>
      </c>
      <c r="Y2896" s="7" t="str">
        <f aca="false">IF(AND(N2896="No",O2896&lt;&gt;""),"Unexpected: channel present but no reminder sent",IF(AND(N2896="Yes",O2896=""),"Missing channel for sent reminder","OK"))</f>
        <v>OK</v>
      </c>
    </row>
    <row r="2897" customFormat="false" ht="15" hidden="false" customHeight="false" outlineLevel="0" collapsed="false">
      <c r="A2897" s="9" t="s">
        <v>4406</v>
      </c>
      <c r="B2897" s="9" t="s">
        <v>4407</v>
      </c>
      <c r="C2897" s="9" t="s">
        <v>236</v>
      </c>
      <c r="D2897" s="9" t="n">
        <v>47</v>
      </c>
      <c r="E2897" s="9" t="s">
        <v>56</v>
      </c>
      <c r="F2897" s="9" t="s">
        <v>39</v>
      </c>
      <c r="G2897" s="10" t="n">
        <v>45946</v>
      </c>
      <c r="H2897" s="10" t="n">
        <v>45951</v>
      </c>
      <c r="I2897" s="9" t="s">
        <v>40</v>
      </c>
      <c r="J2897" s="9" t="s">
        <v>63</v>
      </c>
      <c r="K2897" s="9" t="n">
        <v>5</v>
      </c>
      <c r="L2897" s="9" t="n">
        <v>3</v>
      </c>
      <c r="M2897" s="9" t="n">
        <v>0</v>
      </c>
      <c r="N2897" s="9" t="s">
        <v>71</v>
      </c>
      <c r="O2897" s="9"/>
      <c r="P2897" s="9" t="n">
        <v>7.1</v>
      </c>
      <c r="Q2897" s="9" t="n">
        <v>12</v>
      </c>
      <c r="R2897" s="9" t="s">
        <v>44</v>
      </c>
      <c r="S2897" s="9"/>
      <c r="T2897" s="9"/>
      <c r="U2897" s="9" t="str">
        <f aca="false">IF(COUNTIF($A$2:$A$5001,A2897)&gt;1,"Duplicate","Unique")</f>
        <v>Unique</v>
      </c>
      <c r="V2897" s="9" t="str">
        <f aca="false">IF(COUNTIFS($B$2:$B$5001,B2897,$H$2:$H$5001,H2897,$J$2:$J$5001,J2897)&gt;1,"Possible Duplicate Booking","Unique")</f>
        <v>Unique</v>
      </c>
      <c r="W2897" s="9" t="str">
        <f aca="false">IF((H2897-G2897)&lt;&gt;K2897,"Mismatch","OK")</f>
        <v>OK</v>
      </c>
      <c r="X2897" s="9" t="str">
        <f aca="false">IF(TEXT(H2897,"dddd")&lt;&gt;I2897,"Mismatch","OK")</f>
        <v>OK</v>
      </c>
      <c r="Y2897" s="9" t="str">
        <f aca="false">IF(AND(N2897="No",O2897&lt;&gt;""),"Unexpected: channel present but no reminder sent",IF(AND(N2897="Yes",O2897=""),"Missing channel for sent reminder","OK"))</f>
        <v>OK</v>
      </c>
    </row>
    <row r="2898" customFormat="false" ht="15" hidden="false" customHeight="false" outlineLevel="0" collapsed="false">
      <c r="A2898" s="7" t="s">
        <v>4408</v>
      </c>
      <c r="B2898" s="7" t="s">
        <v>4409</v>
      </c>
      <c r="C2898" s="7" t="s">
        <v>37</v>
      </c>
      <c r="D2898" s="7" t="n">
        <v>18</v>
      </c>
      <c r="E2898" s="7" t="s">
        <v>82</v>
      </c>
      <c r="F2898" s="7" t="s">
        <v>57</v>
      </c>
      <c r="G2898" s="8" t="n">
        <v>45966</v>
      </c>
      <c r="H2898" s="8" t="n">
        <v>46018</v>
      </c>
      <c r="I2898" s="7" t="s">
        <v>102</v>
      </c>
      <c r="J2898" s="7" t="s">
        <v>41</v>
      </c>
      <c r="K2898" s="7" t="n">
        <v>52</v>
      </c>
      <c r="L2898" s="7" t="n">
        <v>2</v>
      </c>
      <c r="M2898" s="7" t="n">
        <v>1</v>
      </c>
      <c r="N2898" s="7" t="s">
        <v>42</v>
      </c>
      <c r="O2898" s="7" t="s">
        <v>43</v>
      </c>
      <c r="P2898" s="7" t="n">
        <v>7.5</v>
      </c>
      <c r="Q2898" s="7" t="n">
        <v>21</v>
      </c>
      <c r="R2898" s="7" t="s">
        <v>44</v>
      </c>
      <c r="S2898" s="7"/>
      <c r="T2898" s="7"/>
      <c r="U2898" s="7" t="str">
        <f aca="false">IF(COUNTIF($A$2:$A$5001,A2898)&gt;1,"Duplicate","Unique")</f>
        <v>Unique</v>
      </c>
      <c r="V2898" s="7" t="str">
        <f aca="false">IF(COUNTIFS($B$2:$B$5001,B2898,$H$2:$H$5001,H2898,$J$2:$J$5001,J2898)&gt;1,"Possible Duplicate Booking","Unique")</f>
        <v>Unique</v>
      </c>
      <c r="W2898" s="7" t="str">
        <f aca="false">IF((H2898-G2898)&lt;&gt;K2898,"Mismatch","OK")</f>
        <v>OK</v>
      </c>
      <c r="X2898" s="7" t="str">
        <f aca="false">IF(TEXT(H2898,"dddd")&lt;&gt;I2898,"Mismatch","OK")</f>
        <v>OK</v>
      </c>
      <c r="Y2898" s="7" t="str">
        <f aca="false">IF(AND(N2898="No",O2898&lt;&gt;""),"Unexpected: channel present but no reminder sent",IF(AND(N2898="Yes",O2898=""),"Missing channel for sent reminder","OK"))</f>
        <v>OK</v>
      </c>
    </row>
    <row r="2899" customFormat="false" ht="15" hidden="false" customHeight="false" outlineLevel="0" collapsed="false">
      <c r="A2899" s="9" t="s">
        <v>4410</v>
      </c>
      <c r="B2899" s="9" t="s">
        <v>2537</v>
      </c>
      <c r="C2899" s="9" t="s">
        <v>47</v>
      </c>
      <c r="D2899" s="9" t="n">
        <v>61</v>
      </c>
      <c r="E2899" s="9" t="s">
        <v>61</v>
      </c>
      <c r="F2899" s="9" t="s">
        <v>57</v>
      </c>
      <c r="G2899" s="10" t="n">
        <v>45946</v>
      </c>
      <c r="H2899" s="10" t="n">
        <v>45999</v>
      </c>
      <c r="I2899" s="9" t="s">
        <v>66</v>
      </c>
      <c r="J2899" s="9" t="s">
        <v>51</v>
      </c>
      <c r="K2899" s="9" t="n">
        <v>53</v>
      </c>
      <c r="L2899" s="9" t="n">
        <v>4</v>
      </c>
      <c r="M2899" s="9" t="n">
        <v>2</v>
      </c>
      <c r="N2899" s="9" t="s">
        <v>71</v>
      </c>
      <c r="O2899" s="9"/>
      <c r="P2899" s="9" t="n">
        <v>3</v>
      </c>
      <c r="Q2899" s="9" t="n">
        <v>13</v>
      </c>
      <c r="R2899" s="9" t="s">
        <v>44</v>
      </c>
      <c r="S2899" s="9"/>
      <c r="T2899" s="9"/>
      <c r="U2899" s="9" t="str">
        <f aca="false">IF(COUNTIF($A$2:$A$5001,A2899)&gt;1,"Duplicate","Unique")</f>
        <v>Unique</v>
      </c>
      <c r="V2899" s="9" t="str">
        <f aca="false">IF(COUNTIFS($B$2:$B$5001,B2899,$H$2:$H$5001,H2899,$J$2:$J$5001,J2899)&gt;1,"Possible Duplicate Booking","Unique")</f>
        <v>Unique</v>
      </c>
      <c r="W2899" s="9" t="str">
        <f aca="false">IF((H2899-G2899)&lt;&gt;K2899,"Mismatch","OK")</f>
        <v>OK</v>
      </c>
      <c r="X2899" s="9" t="str">
        <f aca="false">IF(TEXT(H2899,"dddd")&lt;&gt;I2899,"Mismatch","OK")</f>
        <v>OK</v>
      </c>
      <c r="Y2899" s="9" t="str">
        <f aca="false">IF(AND(N2899="No",O2899&lt;&gt;""),"Unexpected: channel present but no reminder sent",IF(AND(N2899="Yes",O2899=""),"Missing channel for sent reminder","OK"))</f>
        <v>OK</v>
      </c>
    </row>
    <row r="2900" customFormat="false" ht="15" hidden="false" customHeight="false" outlineLevel="0" collapsed="false">
      <c r="A2900" s="7" t="s">
        <v>4411</v>
      </c>
      <c r="B2900" s="7" t="s">
        <v>3491</v>
      </c>
      <c r="C2900" s="7" t="s">
        <v>37</v>
      </c>
      <c r="D2900" s="7" t="n">
        <v>40</v>
      </c>
      <c r="E2900" s="7" t="s">
        <v>38</v>
      </c>
      <c r="F2900" s="7" t="s">
        <v>74</v>
      </c>
      <c r="G2900" s="8" t="n">
        <v>46040</v>
      </c>
      <c r="H2900" s="8" t="n">
        <v>46092</v>
      </c>
      <c r="I2900" s="7" t="s">
        <v>58</v>
      </c>
      <c r="J2900" s="7" t="s">
        <v>63</v>
      </c>
      <c r="K2900" s="7" t="n">
        <v>52</v>
      </c>
      <c r="L2900" s="7" t="n">
        <v>0</v>
      </c>
      <c r="M2900" s="7" t="n">
        <v>0</v>
      </c>
      <c r="N2900" s="7" t="s">
        <v>42</v>
      </c>
      <c r="O2900" s="7" t="s">
        <v>43</v>
      </c>
      <c r="P2900" s="7" t="n">
        <v>10.3</v>
      </c>
      <c r="Q2900" s="7" t="n">
        <v>18</v>
      </c>
      <c r="R2900" s="7" t="s">
        <v>44</v>
      </c>
      <c r="S2900" s="7"/>
      <c r="T2900" s="7"/>
      <c r="U2900" s="7" t="str">
        <f aca="false">IF(COUNTIF($A$2:$A$5001,A2900)&gt;1,"Duplicate","Unique")</f>
        <v>Unique</v>
      </c>
      <c r="V2900" s="7" t="str">
        <f aca="false">IF(COUNTIFS($B$2:$B$5001,B2900,$H$2:$H$5001,H2900,$J$2:$J$5001,J2900)&gt;1,"Possible Duplicate Booking","Unique")</f>
        <v>Unique</v>
      </c>
      <c r="W2900" s="7" t="str">
        <f aca="false">IF((H2900-G2900)&lt;&gt;K2900,"Mismatch","OK")</f>
        <v>OK</v>
      </c>
      <c r="X2900" s="7" t="str">
        <f aca="false">IF(TEXT(H2900,"dddd")&lt;&gt;I2900,"Mismatch","OK")</f>
        <v>OK</v>
      </c>
      <c r="Y2900" s="7" t="str">
        <f aca="false">IF(AND(N2900="No",O2900&lt;&gt;""),"Unexpected: channel present but no reminder sent",IF(AND(N2900="Yes",O2900=""),"Missing channel for sent reminder","OK"))</f>
        <v>OK</v>
      </c>
    </row>
    <row r="2901" customFormat="false" ht="15" hidden="false" customHeight="false" outlineLevel="0" collapsed="false">
      <c r="A2901" s="9" t="s">
        <v>4412</v>
      </c>
      <c r="B2901" s="9" t="s">
        <v>2213</v>
      </c>
      <c r="C2901" s="9" t="s">
        <v>47</v>
      </c>
      <c r="D2901" s="9" t="n">
        <v>65</v>
      </c>
      <c r="E2901" s="9" t="s">
        <v>70</v>
      </c>
      <c r="F2901" s="9" t="s">
        <v>49</v>
      </c>
      <c r="G2901" s="10" t="n">
        <v>45750</v>
      </c>
      <c r="H2901" s="10" t="n">
        <v>45768</v>
      </c>
      <c r="I2901" s="9" t="s">
        <v>66</v>
      </c>
      <c r="J2901" s="9" t="s">
        <v>51</v>
      </c>
      <c r="K2901" s="9" t="n">
        <v>18</v>
      </c>
      <c r="L2901" s="9" t="n">
        <v>2</v>
      </c>
      <c r="M2901" s="9" t="n">
        <v>0</v>
      </c>
      <c r="N2901" s="9" t="s">
        <v>42</v>
      </c>
      <c r="O2901" s="9" t="s">
        <v>67</v>
      </c>
      <c r="P2901" s="9" t="n">
        <v>7.9</v>
      </c>
      <c r="Q2901" s="9" t="n">
        <v>10</v>
      </c>
      <c r="R2901" s="9" t="s">
        <v>44</v>
      </c>
      <c r="S2901" s="9"/>
      <c r="T2901" s="9"/>
      <c r="U2901" s="9" t="str">
        <f aca="false">IF(COUNTIF($A$2:$A$5001,A2901)&gt;1,"Duplicate","Unique")</f>
        <v>Unique</v>
      </c>
      <c r="V2901" s="9" t="str">
        <f aca="false">IF(COUNTIFS($B$2:$B$5001,B2901,$H$2:$H$5001,H2901,$J$2:$J$5001,J2901)&gt;1,"Possible Duplicate Booking","Unique")</f>
        <v>Unique</v>
      </c>
      <c r="W2901" s="9" t="str">
        <f aca="false">IF((H2901-G2901)&lt;&gt;K2901,"Mismatch","OK")</f>
        <v>OK</v>
      </c>
      <c r="X2901" s="9" t="str">
        <f aca="false">IF(TEXT(H2901,"dddd")&lt;&gt;I2901,"Mismatch","OK")</f>
        <v>OK</v>
      </c>
      <c r="Y2901" s="9" t="str">
        <f aca="false">IF(AND(N2901="No",O2901&lt;&gt;""),"Unexpected: channel present but no reminder sent",IF(AND(N2901="Yes",O2901=""),"Missing channel for sent reminder","OK"))</f>
        <v>OK</v>
      </c>
    </row>
    <row r="2902" customFormat="false" ht="15" hidden="false" customHeight="false" outlineLevel="0" collapsed="false">
      <c r="A2902" s="7" t="s">
        <v>4413</v>
      </c>
      <c r="B2902" s="7" t="s">
        <v>1203</v>
      </c>
      <c r="C2902" s="7" t="s">
        <v>37</v>
      </c>
      <c r="D2902" s="7" t="n">
        <v>25</v>
      </c>
      <c r="E2902" s="7" t="s">
        <v>48</v>
      </c>
      <c r="F2902" s="7" t="s">
        <v>74</v>
      </c>
      <c r="G2902" s="8" t="n">
        <v>45929</v>
      </c>
      <c r="H2902" s="8" t="n">
        <v>45935</v>
      </c>
      <c r="I2902" s="7" t="s">
        <v>75</v>
      </c>
      <c r="J2902" s="7" t="s">
        <v>51</v>
      </c>
      <c r="K2902" s="7" t="n">
        <v>6</v>
      </c>
      <c r="L2902" s="7" t="n">
        <v>4</v>
      </c>
      <c r="M2902" s="7" t="n">
        <v>2</v>
      </c>
      <c r="N2902" s="7" t="s">
        <v>42</v>
      </c>
      <c r="O2902" s="7" t="s">
        <v>52</v>
      </c>
      <c r="P2902" s="7" t="n">
        <v>20.2</v>
      </c>
      <c r="Q2902" s="7" t="n">
        <v>20</v>
      </c>
      <c r="R2902" s="7" t="s">
        <v>44</v>
      </c>
      <c r="S2902" s="7"/>
      <c r="T2902" s="7"/>
      <c r="U2902" s="7" t="str">
        <f aca="false">IF(COUNTIF($A$2:$A$5001,A2902)&gt;1,"Duplicate","Unique")</f>
        <v>Unique</v>
      </c>
      <c r="V2902" s="7" t="str">
        <f aca="false">IF(COUNTIFS($B$2:$B$5001,B2902,$H$2:$H$5001,H2902,$J$2:$J$5001,J2902)&gt;1,"Possible Duplicate Booking","Unique")</f>
        <v>Unique</v>
      </c>
      <c r="W2902" s="7" t="str">
        <f aca="false">IF((H2902-G2902)&lt;&gt;K2902,"Mismatch","OK")</f>
        <v>OK</v>
      </c>
      <c r="X2902" s="7" t="str">
        <f aca="false">IF(TEXT(H2902,"dddd")&lt;&gt;I2902,"Mismatch","OK")</f>
        <v>OK</v>
      </c>
      <c r="Y2902" s="7" t="str">
        <f aca="false">IF(AND(N2902="No",O2902&lt;&gt;""),"Unexpected: channel present but no reminder sent",IF(AND(N2902="Yes",O2902=""),"Missing channel for sent reminder","OK"))</f>
        <v>OK</v>
      </c>
    </row>
    <row r="2903" customFormat="false" ht="15" hidden="false" customHeight="false" outlineLevel="0" collapsed="false">
      <c r="A2903" s="9" t="s">
        <v>4414</v>
      </c>
      <c r="B2903" s="9" t="s">
        <v>1325</v>
      </c>
      <c r="C2903" s="9" t="s">
        <v>47</v>
      </c>
      <c r="D2903" s="9" t="n">
        <v>36</v>
      </c>
      <c r="E2903" s="9" t="s">
        <v>38</v>
      </c>
      <c r="F2903" s="9" t="s">
        <v>57</v>
      </c>
      <c r="G2903" s="10" t="n">
        <v>46070</v>
      </c>
      <c r="H2903" s="10" t="n">
        <v>46095</v>
      </c>
      <c r="I2903" s="9" t="s">
        <v>102</v>
      </c>
      <c r="J2903" s="9" t="s">
        <v>51</v>
      </c>
      <c r="K2903" s="9" t="n">
        <v>25</v>
      </c>
      <c r="L2903" s="9" t="n">
        <v>4</v>
      </c>
      <c r="M2903" s="9" t="n">
        <v>0</v>
      </c>
      <c r="N2903" s="9" t="s">
        <v>42</v>
      </c>
      <c r="O2903" s="9" t="s">
        <v>43</v>
      </c>
      <c r="P2903" s="9" t="n">
        <v>15.6</v>
      </c>
      <c r="Q2903" s="9" t="n">
        <v>28</v>
      </c>
      <c r="R2903" s="9" t="s">
        <v>53</v>
      </c>
      <c r="S2903" s="9"/>
      <c r="T2903" s="9"/>
      <c r="U2903" s="9" t="str">
        <f aca="false">IF(COUNTIF($A$2:$A$5001,A2903)&gt;1,"Duplicate","Unique")</f>
        <v>Unique</v>
      </c>
      <c r="V2903" s="9" t="str">
        <f aca="false">IF(COUNTIFS($B$2:$B$5001,B2903,$H$2:$H$5001,H2903,$J$2:$J$5001,J2903)&gt;1,"Possible Duplicate Booking","Unique")</f>
        <v>Unique</v>
      </c>
      <c r="W2903" s="9" t="str">
        <f aca="false">IF((H2903-G2903)&lt;&gt;K2903,"Mismatch","OK")</f>
        <v>OK</v>
      </c>
      <c r="X2903" s="9" t="str">
        <f aca="false">IF(TEXT(H2903,"dddd")&lt;&gt;I2903,"Mismatch","OK")</f>
        <v>OK</v>
      </c>
      <c r="Y2903" s="9" t="str">
        <f aca="false">IF(AND(N2903="No",O2903&lt;&gt;""),"Unexpected: channel present but no reminder sent",IF(AND(N2903="Yes",O2903=""),"Missing channel for sent reminder","OK"))</f>
        <v>OK</v>
      </c>
    </row>
    <row r="2904" customFormat="false" ht="15" hidden="false" customHeight="false" outlineLevel="0" collapsed="false">
      <c r="A2904" s="7" t="s">
        <v>4415</v>
      </c>
      <c r="B2904" s="7" t="s">
        <v>892</v>
      </c>
      <c r="C2904" s="7" t="s">
        <v>37</v>
      </c>
      <c r="D2904" s="7" t="n">
        <v>21</v>
      </c>
      <c r="E2904" s="7" t="s">
        <v>82</v>
      </c>
      <c r="F2904" s="7" t="s">
        <v>39</v>
      </c>
      <c r="G2904" s="8" t="n">
        <v>46109</v>
      </c>
      <c r="H2904" s="8" t="n">
        <v>46129</v>
      </c>
      <c r="I2904" s="7" t="s">
        <v>50</v>
      </c>
      <c r="J2904" s="7" t="s">
        <v>51</v>
      </c>
      <c r="K2904" s="7" t="n">
        <v>20</v>
      </c>
      <c r="L2904" s="7" t="n">
        <v>3</v>
      </c>
      <c r="M2904" s="7" t="n">
        <v>0</v>
      </c>
      <c r="N2904" s="7" t="s">
        <v>42</v>
      </c>
      <c r="O2904" s="7" t="s">
        <v>43</v>
      </c>
      <c r="P2904" s="7" t="n">
        <v>4.9</v>
      </c>
      <c r="Q2904" s="7" t="n">
        <v>2</v>
      </c>
      <c r="R2904" s="7" t="s">
        <v>53</v>
      </c>
      <c r="S2904" s="7"/>
      <c r="T2904" s="7"/>
      <c r="U2904" s="7" t="str">
        <f aca="false">IF(COUNTIF($A$2:$A$5001,A2904)&gt;1,"Duplicate","Unique")</f>
        <v>Unique</v>
      </c>
      <c r="V2904" s="7" t="str">
        <f aca="false">IF(COUNTIFS($B$2:$B$5001,B2904,$H$2:$H$5001,H2904,$J$2:$J$5001,J2904)&gt;1,"Possible Duplicate Booking","Unique")</f>
        <v>Unique</v>
      </c>
      <c r="W2904" s="7" t="str">
        <f aca="false">IF((H2904-G2904)&lt;&gt;K2904,"Mismatch","OK")</f>
        <v>OK</v>
      </c>
      <c r="X2904" s="7" t="str">
        <f aca="false">IF(TEXT(H2904,"dddd")&lt;&gt;I2904,"Mismatch","OK")</f>
        <v>OK</v>
      </c>
      <c r="Y2904" s="7" t="str">
        <f aca="false">IF(AND(N2904="No",O2904&lt;&gt;""),"Unexpected: channel present but no reminder sent",IF(AND(N2904="Yes",O2904=""),"Missing channel for sent reminder","OK"))</f>
        <v>OK</v>
      </c>
    </row>
    <row r="2905" customFormat="false" ht="15" hidden="false" customHeight="false" outlineLevel="0" collapsed="false">
      <c r="A2905" s="9" t="s">
        <v>4416</v>
      </c>
      <c r="B2905" s="9" t="s">
        <v>2021</v>
      </c>
      <c r="C2905" s="9" t="s">
        <v>37</v>
      </c>
      <c r="D2905" s="9" t="n">
        <v>35</v>
      </c>
      <c r="E2905" s="9" t="s">
        <v>38</v>
      </c>
      <c r="F2905" s="9" t="s">
        <v>39</v>
      </c>
      <c r="G2905" s="10" t="n">
        <v>45937</v>
      </c>
      <c r="H2905" s="10" t="n">
        <v>45995</v>
      </c>
      <c r="I2905" s="9" t="s">
        <v>62</v>
      </c>
      <c r="J2905" s="9" t="s">
        <v>41</v>
      </c>
      <c r="K2905" s="9" t="n">
        <v>58</v>
      </c>
      <c r="L2905" s="9" t="n">
        <v>1</v>
      </c>
      <c r="M2905" s="9" t="n">
        <v>1</v>
      </c>
      <c r="N2905" s="9" t="s">
        <v>42</v>
      </c>
      <c r="O2905" s="9" t="s">
        <v>67</v>
      </c>
      <c r="P2905" s="9" t="n">
        <v>4.8</v>
      </c>
      <c r="Q2905" s="9" t="n">
        <v>20</v>
      </c>
      <c r="R2905" s="9" t="s">
        <v>44</v>
      </c>
      <c r="S2905" s="9"/>
      <c r="T2905" s="9"/>
      <c r="U2905" s="9" t="str">
        <f aca="false">IF(COUNTIF($A$2:$A$5001,A2905)&gt;1,"Duplicate","Unique")</f>
        <v>Unique</v>
      </c>
      <c r="V2905" s="9" t="str">
        <f aca="false">IF(COUNTIFS($B$2:$B$5001,B2905,$H$2:$H$5001,H2905,$J$2:$J$5001,J2905)&gt;1,"Possible Duplicate Booking","Unique")</f>
        <v>Unique</v>
      </c>
      <c r="W2905" s="9" t="str">
        <f aca="false">IF((H2905-G2905)&lt;&gt;K2905,"Mismatch","OK")</f>
        <v>OK</v>
      </c>
      <c r="X2905" s="9" t="str">
        <f aca="false">IF(TEXT(H2905,"dddd")&lt;&gt;I2905,"Mismatch","OK")</f>
        <v>OK</v>
      </c>
      <c r="Y2905" s="9" t="str">
        <f aca="false">IF(AND(N2905="No",O2905&lt;&gt;""),"Unexpected: channel present but no reminder sent",IF(AND(N2905="Yes",O2905=""),"Missing channel for sent reminder","OK"))</f>
        <v>OK</v>
      </c>
    </row>
    <row r="2906" customFormat="false" ht="15" hidden="false" customHeight="false" outlineLevel="0" collapsed="false">
      <c r="A2906" s="7" t="s">
        <v>4417</v>
      </c>
      <c r="B2906" s="7" t="s">
        <v>2175</v>
      </c>
      <c r="C2906" s="7" t="s">
        <v>37</v>
      </c>
      <c r="D2906" s="7" t="n">
        <v>76</v>
      </c>
      <c r="E2906" s="7" t="s">
        <v>70</v>
      </c>
      <c r="F2906" s="7" t="s">
        <v>57</v>
      </c>
      <c r="G2906" s="8" t="n">
        <v>45975</v>
      </c>
      <c r="H2906" s="8" t="n">
        <v>46013</v>
      </c>
      <c r="I2906" s="7" t="s">
        <v>66</v>
      </c>
      <c r="J2906" s="7" t="s">
        <v>41</v>
      </c>
      <c r="K2906" s="7" t="n">
        <v>38</v>
      </c>
      <c r="L2906" s="7" t="n">
        <v>5</v>
      </c>
      <c r="M2906" s="7" t="n">
        <v>1</v>
      </c>
      <c r="N2906" s="7" t="s">
        <v>71</v>
      </c>
      <c r="O2906" s="7"/>
      <c r="P2906" s="7" t="n">
        <v>15.9</v>
      </c>
      <c r="Q2906" s="7" t="n">
        <v>23</v>
      </c>
      <c r="R2906" s="7" t="s">
        <v>44</v>
      </c>
      <c r="S2906" s="7"/>
      <c r="T2906" s="7"/>
      <c r="U2906" s="7" t="str">
        <f aca="false">IF(COUNTIF($A$2:$A$5001,A2906)&gt;1,"Duplicate","Unique")</f>
        <v>Unique</v>
      </c>
      <c r="V2906" s="7" t="str">
        <f aca="false">IF(COUNTIFS($B$2:$B$5001,B2906,$H$2:$H$5001,H2906,$J$2:$J$5001,J2906)&gt;1,"Possible Duplicate Booking","Unique")</f>
        <v>Unique</v>
      </c>
      <c r="W2906" s="7" t="str">
        <f aca="false">IF((H2906-G2906)&lt;&gt;K2906,"Mismatch","OK")</f>
        <v>OK</v>
      </c>
      <c r="X2906" s="7" t="str">
        <f aca="false">IF(TEXT(H2906,"dddd")&lt;&gt;I2906,"Mismatch","OK")</f>
        <v>OK</v>
      </c>
      <c r="Y2906" s="7" t="str">
        <f aca="false">IF(AND(N2906="No",O2906&lt;&gt;""),"Unexpected: channel present but no reminder sent",IF(AND(N2906="Yes",O2906=""),"Missing channel for sent reminder","OK"))</f>
        <v>OK</v>
      </c>
    </row>
    <row r="2907" customFormat="false" ht="15" hidden="false" customHeight="false" outlineLevel="0" collapsed="false">
      <c r="A2907" s="9" t="s">
        <v>4418</v>
      </c>
      <c r="B2907" s="9" t="s">
        <v>191</v>
      </c>
      <c r="C2907" s="9" t="s">
        <v>47</v>
      </c>
      <c r="D2907" s="9" t="n">
        <v>48</v>
      </c>
      <c r="E2907" s="9" t="s">
        <v>56</v>
      </c>
      <c r="F2907" s="9" t="s">
        <v>57</v>
      </c>
      <c r="G2907" s="10" t="n">
        <v>46072</v>
      </c>
      <c r="H2907" s="10" t="n">
        <v>46129</v>
      </c>
      <c r="I2907" s="9" t="s">
        <v>50</v>
      </c>
      <c r="J2907" s="9" t="s">
        <v>63</v>
      </c>
      <c r="K2907" s="9" t="n">
        <v>57</v>
      </c>
      <c r="L2907" s="9" t="n">
        <v>4</v>
      </c>
      <c r="M2907" s="9" t="n">
        <v>1</v>
      </c>
      <c r="N2907" s="9" t="s">
        <v>42</v>
      </c>
      <c r="O2907" s="9" t="s">
        <v>43</v>
      </c>
      <c r="P2907" s="9" t="n">
        <v>4.3</v>
      </c>
      <c r="Q2907" s="9" t="n">
        <v>21</v>
      </c>
      <c r="R2907" s="9" t="s">
        <v>44</v>
      </c>
      <c r="S2907" s="9"/>
      <c r="T2907" s="9"/>
      <c r="U2907" s="9" t="str">
        <f aca="false">IF(COUNTIF($A$2:$A$5001,A2907)&gt;1,"Duplicate","Unique")</f>
        <v>Unique</v>
      </c>
      <c r="V2907" s="9" t="str">
        <f aca="false">IF(COUNTIFS($B$2:$B$5001,B2907,$H$2:$H$5001,H2907,$J$2:$J$5001,J2907)&gt;1,"Possible Duplicate Booking","Unique")</f>
        <v>Unique</v>
      </c>
      <c r="W2907" s="9" t="str">
        <f aca="false">IF((H2907-G2907)&lt;&gt;K2907,"Mismatch","OK")</f>
        <v>OK</v>
      </c>
      <c r="X2907" s="9" t="str">
        <f aca="false">IF(TEXT(H2907,"dddd")&lt;&gt;I2907,"Mismatch","OK")</f>
        <v>OK</v>
      </c>
      <c r="Y2907" s="9" t="str">
        <f aca="false">IF(AND(N2907="No",O2907&lt;&gt;""),"Unexpected: channel present but no reminder sent",IF(AND(N2907="Yes",O2907=""),"Missing channel for sent reminder","OK"))</f>
        <v>OK</v>
      </c>
    </row>
    <row r="2908" customFormat="false" ht="15" hidden="false" customHeight="false" outlineLevel="0" collapsed="false">
      <c r="A2908" s="7" t="s">
        <v>4419</v>
      </c>
      <c r="B2908" s="7" t="s">
        <v>4420</v>
      </c>
      <c r="C2908" s="7" t="s">
        <v>47</v>
      </c>
      <c r="D2908" s="7" t="n">
        <v>45</v>
      </c>
      <c r="E2908" s="7" t="s">
        <v>56</v>
      </c>
      <c r="F2908" s="7" t="s">
        <v>49</v>
      </c>
      <c r="G2908" s="8" t="n">
        <v>45954</v>
      </c>
      <c r="H2908" s="8" t="n">
        <v>45999</v>
      </c>
      <c r="I2908" s="7" t="s">
        <v>66</v>
      </c>
      <c r="J2908" s="7" t="s">
        <v>51</v>
      </c>
      <c r="K2908" s="7" t="n">
        <v>45</v>
      </c>
      <c r="L2908" s="7" t="n">
        <v>2</v>
      </c>
      <c r="M2908" s="7" t="n">
        <v>0</v>
      </c>
      <c r="N2908" s="7" t="s">
        <v>42</v>
      </c>
      <c r="O2908" s="7" t="s">
        <v>52</v>
      </c>
      <c r="P2908" s="7" t="n">
        <v>4.5</v>
      </c>
      <c r="Q2908" s="7" t="n">
        <v>6</v>
      </c>
      <c r="R2908" s="7" t="s">
        <v>44</v>
      </c>
      <c r="S2908" s="7"/>
      <c r="T2908" s="7"/>
      <c r="U2908" s="7" t="str">
        <f aca="false">IF(COUNTIF($A$2:$A$5001,A2908)&gt;1,"Duplicate","Unique")</f>
        <v>Unique</v>
      </c>
      <c r="V2908" s="7" t="str">
        <f aca="false">IF(COUNTIFS($B$2:$B$5001,B2908,$H$2:$H$5001,H2908,$J$2:$J$5001,J2908)&gt;1,"Possible Duplicate Booking","Unique")</f>
        <v>Unique</v>
      </c>
      <c r="W2908" s="7" t="str">
        <f aca="false">IF((H2908-G2908)&lt;&gt;K2908,"Mismatch","OK")</f>
        <v>OK</v>
      </c>
      <c r="X2908" s="7" t="str">
        <f aca="false">IF(TEXT(H2908,"dddd")&lt;&gt;I2908,"Mismatch","OK")</f>
        <v>OK</v>
      </c>
      <c r="Y2908" s="7" t="str">
        <f aca="false">IF(AND(N2908="No",O2908&lt;&gt;""),"Unexpected: channel present but no reminder sent",IF(AND(N2908="Yes",O2908=""),"Missing channel for sent reminder","OK"))</f>
        <v>OK</v>
      </c>
    </row>
    <row r="2909" customFormat="false" ht="15" hidden="false" customHeight="false" outlineLevel="0" collapsed="false">
      <c r="A2909" s="9" t="s">
        <v>4421</v>
      </c>
      <c r="B2909" s="9" t="s">
        <v>1967</v>
      </c>
      <c r="C2909" s="9" t="s">
        <v>47</v>
      </c>
      <c r="D2909" s="9" t="n">
        <v>35</v>
      </c>
      <c r="E2909" s="9" t="s">
        <v>38</v>
      </c>
      <c r="F2909" s="9" t="s">
        <v>39</v>
      </c>
      <c r="G2909" s="10" t="n">
        <v>46133</v>
      </c>
      <c r="H2909" s="10" t="n">
        <v>46176</v>
      </c>
      <c r="I2909" s="9" t="s">
        <v>58</v>
      </c>
      <c r="J2909" s="9" t="s">
        <v>51</v>
      </c>
      <c r="K2909" s="9" t="n">
        <v>43</v>
      </c>
      <c r="L2909" s="9" t="n">
        <v>2</v>
      </c>
      <c r="M2909" s="9" t="n">
        <v>1</v>
      </c>
      <c r="N2909" s="9" t="s">
        <v>42</v>
      </c>
      <c r="O2909" s="9" t="s">
        <v>52</v>
      </c>
      <c r="P2909" s="9" t="n">
        <v>10.8</v>
      </c>
      <c r="Q2909" s="9" t="n">
        <v>35</v>
      </c>
      <c r="R2909" s="9" t="s">
        <v>44</v>
      </c>
      <c r="S2909" s="9"/>
      <c r="T2909" s="9"/>
      <c r="U2909" s="9" t="str">
        <f aca="false">IF(COUNTIF($A$2:$A$5001,A2909)&gt;1,"Duplicate","Unique")</f>
        <v>Unique</v>
      </c>
      <c r="V2909" s="9" t="str">
        <f aca="false">IF(COUNTIFS($B$2:$B$5001,B2909,$H$2:$H$5001,H2909,$J$2:$J$5001,J2909)&gt;1,"Possible Duplicate Booking","Unique")</f>
        <v>Unique</v>
      </c>
      <c r="W2909" s="9" t="str">
        <f aca="false">IF((H2909-G2909)&lt;&gt;K2909,"Mismatch","OK")</f>
        <v>OK</v>
      </c>
      <c r="X2909" s="9" t="str">
        <f aca="false">IF(TEXT(H2909,"dddd")&lt;&gt;I2909,"Mismatch","OK")</f>
        <v>OK</v>
      </c>
      <c r="Y2909" s="9" t="str">
        <f aca="false">IF(AND(N2909="No",O2909&lt;&gt;""),"Unexpected: channel present but no reminder sent",IF(AND(N2909="Yes",O2909=""),"Missing channel for sent reminder","OK"))</f>
        <v>OK</v>
      </c>
    </row>
    <row r="2910" customFormat="false" ht="15" hidden="false" customHeight="false" outlineLevel="0" collapsed="false">
      <c r="A2910" s="7" t="s">
        <v>4422</v>
      </c>
      <c r="B2910" s="7" t="s">
        <v>4423</v>
      </c>
      <c r="C2910" s="7" t="s">
        <v>47</v>
      </c>
      <c r="D2910" s="7" t="n">
        <v>34</v>
      </c>
      <c r="E2910" s="7" t="s">
        <v>48</v>
      </c>
      <c r="F2910" s="7" t="s">
        <v>39</v>
      </c>
      <c r="G2910" s="8" t="n">
        <v>45721</v>
      </c>
      <c r="H2910" s="8" t="n">
        <v>45727</v>
      </c>
      <c r="I2910" s="7" t="s">
        <v>40</v>
      </c>
      <c r="J2910" s="7" t="s">
        <v>51</v>
      </c>
      <c r="K2910" s="7" t="n">
        <v>6</v>
      </c>
      <c r="L2910" s="7" t="n">
        <v>1</v>
      </c>
      <c r="M2910" s="7" t="n">
        <v>0</v>
      </c>
      <c r="N2910" s="7" t="s">
        <v>42</v>
      </c>
      <c r="O2910" s="7" t="s">
        <v>52</v>
      </c>
      <c r="P2910" s="7" t="n">
        <v>5.8</v>
      </c>
      <c r="Q2910" s="7" t="n">
        <v>34</v>
      </c>
      <c r="R2910" s="7" t="s">
        <v>44</v>
      </c>
      <c r="S2910" s="7"/>
      <c r="T2910" s="7"/>
      <c r="U2910" s="7" t="str">
        <f aca="false">IF(COUNTIF($A$2:$A$5001,A2910)&gt;1,"Duplicate","Unique")</f>
        <v>Unique</v>
      </c>
      <c r="V2910" s="7" t="str">
        <f aca="false">IF(COUNTIFS($B$2:$B$5001,B2910,$H$2:$H$5001,H2910,$J$2:$J$5001,J2910)&gt;1,"Possible Duplicate Booking","Unique")</f>
        <v>Unique</v>
      </c>
      <c r="W2910" s="7" t="str">
        <f aca="false">IF((H2910-G2910)&lt;&gt;K2910,"Mismatch","OK")</f>
        <v>OK</v>
      </c>
      <c r="X2910" s="7" t="str">
        <f aca="false">IF(TEXT(H2910,"dddd")&lt;&gt;I2910,"Mismatch","OK")</f>
        <v>OK</v>
      </c>
      <c r="Y2910" s="7" t="str">
        <f aca="false">IF(AND(N2910="No",O2910&lt;&gt;""),"Unexpected: channel present but no reminder sent",IF(AND(N2910="Yes",O2910=""),"Missing channel for sent reminder","OK"))</f>
        <v>OK</v>
      </c>
    </row>
    <row r="2911" customFormat="false" ht="15" hidden="false" customHeight="false" outlineLevel="0" collapsed="false">
      <c r="A2911" s="9" t="s">
        <v>4424</v>
      </c>
      <c r="B2911" s="9" t="s">
        <v>2321</v>
      </c>
      <c r="C2911" s="9" t="s">
        <v>37</v>
      </c>
      <c r="D2911" s="9" t="n">
        <v>60</v>
      </c>
      <c r="E2911" s="9" t="s">
        <v>61</v>
      </c>
      <c r="F2911" s="9" t="s">
        <v>57</v>
      </c>
      <c r="G2911" s="10" t="n">
        <v>45843</v>
      </c>
      <c r="H2911" s="10" t="n">
        <v>45847</v>
      </c>
      <c r="I2911" s="9" t="s">
        <v>58</v>
      </c>
      <c r="J2911" s="9" t="s">
        <v>51</v>
      </c>
      <c r="K2911" s="9" t="n">
        <v>4</v>
      </c>
      <c r="L2911" s="9" t="n">
        <v>4</v>
      </c>
      <c r="M2911" s="9" t="n">
        <v>2</v>
      </c>
      <c r="N2911" s="9" t="s">
        <v>71</v>
      </c>
      <c r="O2911" s="9"/>
      <c r="P2911" s="9" t="n">
        <v>10.9</v>
      </c>
      <c r="Q2911" s="9" t="n">
        <v>37</v>
      </c>
      <c r="R2911" s="9" t="s">
        <v>53</v>
      </c>
      <c r="S2911" s="9"/>
      <c r="T2911" s="9"/>
      <c r="U2911" s="9" t="str">
        <f aca="false">IF(COUNTIF($A$2:$A$5001,A2911)&gt;1,"Duplicate","Unique")</f>
        <v>Unique</v>
      </c>
      <c r="V2911" s="9" t="str">
        <f aca="false">IF(COUNTIFS($B$2:$B$5001,B2911,$H$2:$H$5001,H2911,$J$2:$J$5001,J2911)&gt;1,"Possible Duplicate Booking","Unique")</f>
        <v>Unique</v>
      </c>
      <c r="W2911" s="9" t="str">
        <f aca="false">IF((H2911-G2911)&lt;&gt;K2911,"Mismatch","OK")</f>
        <v>OK</v>
      </c>
      <c r="X2911" s="9" t="str">
        <f aca="false">IF(TEXT(H2911,"dddd")&lt;&gt;I2911,"Mismatch","OK")</f>
        <v>OK</v>
      </c>
      <c r="Y2911" s="9" t="str">
        <f aca="false">IF(AND(N2911="No",O2911&lt;&gt;""),"Unexpected: channel present but no reminder sent",IF(AND(N2911="Yes",O2911=""),"Missing channel for sent reminder","OK"))</f>
        <v>OK</v>
      </c>
    </row>
    <row r="2912" customFormat="false" ht="15" hidden="false" customHeight="false" outlineLevel="0" collapsed="false">
      <c r="A2912" s="7" t="s">
        <v>4425</v>
      </c>
      <c r="B2912" s="7" t="s">
        <v>122</v>
      </c>
      <c r="C2912" s="7" t="s">
        <v>37</v>
      </c>
      <c r="D2912" s="7" t="n">
        <v>80</v>
      </c>
      <c r="E2912" s="7" t="s">
        <v>70</v>
      </c>
      <c r="F2912" s="7" t="s">
        <v>39</v>
      </c>
      <c r="G2912" s="8" t="n">
        <v>45717</v>
      </c>
      <c r="H2912" s="8" t="n">
        <v>45719</v>
      </c>
      <c r="I2912" s="7" t="s">
        <v>66</v>
      </c>
      <c r="J2912" s="7" t="s">
        <v>63</v>
      </c>
      <c r="K2912" s="7" t="n">
        <v>2</v>
      </c>
      <c r="L2912" s="7" t="n">
        <v>5</v>
      </c>
      <c r="M2912" s="7" t="n">
        <v>0</v>
      </c>
      <c r="N2912" s="7" t="s">
        <v>71</v>
      </c>
      <c r="O2912" s="7"/>
      <c r="P2912" s="7" t="n">
        <v>2.2</v>
      </c>
      <c r="Q2912" s="7" t="n">
        <v>18</v>
      </c>
      <c r="R2912" s="7" t="s">
        <v>44</v>
      </c>
      <c r="S2912" s="7"/>
      <c r="T2912" s="7"/>
      <c r="U2912" s="7" t="str">
        <f aca="false">IF(COUNTIF($A$2:$A$5001,A2912)&gt;1,"Duplicate","Unique")</f>
        <v>Unique</v>
      </c>
      <c r="V2912" s="7" t="str">
        <f aca="false">IF(COUNTIFS($B$2:$B$5001,B2912,$H$2:$H$5001,H2912,$J$2:$J$5001,J2912)&gt;1,"Possible Duplicate Booking","Unique")</f>
        <v>Unique</v>
      </c>
      <c r="W2912" s="7" t="str">
        <f aca="false">IF((H2912-G2912)&lt;&gt;K2912,"Mismatch","OK")</f>
        <v>OK</v>
      </c>
      <c r="X2912" s="7" t="str">
        <f aca="false">IF(TEXT(H2912,"dddd")&lt;&gt;I2912,"Mismatch","OK")</f>
        <v>OK</v>
      </c>
      <c r="Y2912" s="7" t="str">
        <f aca="false">IF(AND(N2912="No",O2912&lt;&gt;""),"Unexpected: channel present but no reminder sent",IF(AND(N2912="Yes",O2912=""),"Missing channel for sent reminder","OK"))</f>
        <v>OK</v>
      </c>
    </row>
    <row r="2913" customFormat="false" ht="15" hidden="false" customHeight="false" outlineLevel="0" collapsed="false">
      <c r="A2913" s="9" t="s">
        <v>4426</v>
      </c>
      <c r="B2913" s="9" t="s">
        <v>1248</v>
      </c>
      <c r="C2913" s="9" t="s">
        <v>37</v>
      </c>
      <c r="D2913" s="9" t="n">
        <v>65</v>
      </c>
      <c r="E2913" s="9" t="s">
        <v>70</v>
      </c>
      <c r="F2913" s="9" t="s">
        <v>57</v>
      </c>
      <c r="G2913" s="10" t="n">
        <v>45671</v>
      </c>
      <c r="H2913" s="10" t="n">
        <v>45707</v>
      </c>
      <c r="I2913" s="9" t="s">
        <v>58</v>
      </c>
      <c r="J2913" s="9" t="s">
        <v>41</v>
      </c>
      <c r="K2913" s="9" t="n">
        <v>36</v>
      </c>
      <c r="L2913" s="9" t="n">
        <v>2</v>
      </c>
      <c r="M2913" s="9" t="n">
        <v>0</v>
      </c>
      <c r="N2913" s="9" t="s">
        <v>42</v>
      </c>
      <c r="O2913" s="9" t="s">
        <v>67</v>
      </c>
      <c r="P2913" s="9" t="n">
        <v>6.6</v>
      </c>
      <c r="Q2913" s="9" t="n">
        <v>26</v>
      </c>
      <c r="R2913" s="9" t="s">
        <v>44</v>
      </c>
      <c r="S2913" s="9"/>
      <c r="T2913" s="9"/>
      <c r="U2913" s="9" t="str">
        <f aca="false">IF(COUNTIF($A$2:$A$5001,A2913)&gt;1,"Duplicate","Unique")</f>
        <v>Unique</v>
      </c>
      <c r="V2913" s="9" t="str">
        <f aca="false">IF(COUNTIFS($B$2:$B$5001,B2913,$H$2:$H$5001,H2913,$J$2:$J$5001,J2913)&gt;1,"Possible Duplicate Booking","Unique")</f>
        <v>Unique</v>
      </c>
      <c r="W2913" s="9" t="str">
        <f aca="false">IF((H2913-G2913)&lt;&gt;K2913,"Mismatch","OK")</f>
        <v>OK</v>
      </c>
      <c r="X2913" s="9" t="str">
        <f aca="false">IF(TEXT(H2913,"dddd")&lt;&gt;I2913,"Mismatch","OK")</f>
        <v>OK</v>
      </c>
      <c r="Y2913" s="9" t="str">
        <f aca="false">IF(AND(N2913="No",O2913&lt;&gt;""),"Unexpected: channel present but no reminder sent",IF(AND(N2913="Yes",O2913=""),"Missing channel for sent reminder","OK"))</f>
        <v>OK</v>
      </c>
    </row>
    <row r="2914" customFormat="false" ht="15" hidden="false" customHeight="false" outlineLevel="0" collapsed="false">
      <c r="A2914" s="7" t="s">
        <v>4427</v>
      </c>
      <c r="B2914" s="7" t="s">
        <v>3853</v>
      </c>
      <c r="C2914" s="7" t="s">
        <v>37</v>
      </c>
      <c r="D2914" s="7" t="n">
        <v>64</v>
      </c>
      <c r="E2914" s="7" t="s">
        <v>61</v>
      </c>
      <c r="F2914" s="7" t="s">
        <v>57</v>
      </c>
      <c r="G2914" s="8" t="n">
        <v>45903</v>
      </c>
      <c r="H2914" s="8" t="n">
        <v>45915</v>
      </c>
      <c r="I2914" s="7" t="s">
        <v>66</v>
      </c>
      <c r="J2914" s="7" t="s">
        <v>41</v>
      </c>
      <c r="K2914" s="7" t="n">
        <v>12</v>
      </c>
      <c r="L2914" s="7" t="n">
        <v>2</v>
      </c>
      <c r="M2914" s="7" t="n">
        <v>0</v>
      </c>
      <c r="N2914" s="7" t="s">
        <v>42</v>
      </c>
      <c r="O2914" s="7" t="s">
        <v>52</v>
      </c>
      <c r="P2914" s="7" t="n">
        <v>16.9</v>
      </c>
      <c r="Q2914" s="7" t="n">
        <v>16</v>
      </c>
      <c r="R2914" s="7" t="s">
        <v>53</v>
      </c>
      <c r="S2914" s="7"/>
      <c r="T2914" s="7"/>
      <c r="U2914" s="7" t="str">
        <f aca="false">IF(COUNTIF($A$2:$A$5001,A2914)&gt;1,"Duplicate","Unique")</f>
        <v>Unique</v>
      </c>
      <c r="V2914" s="7" t="str">
        <f aca="false">IF(COUNTIFS($B$2:$B$5001,B2914,$H$2:$H$5001,H2914,$J$2:$J$5001,J2914)&gt;1,"Possible Duplicate Booking","Unique")</f>
        <v>Unique</v>
      </c>
      <c r="W2914" s="7" t="str">
        <f aca="false">IF((H2914-G2914)&lt;&gt;K2914,"Mismatch","OK")</f>
        <v>OK</v>
      </c>
      <c r="X2914" s="7" t="str">
        <f aca="false">IF(TEXT(H2914,"dddd")&lt;&gt;I2914,"Mismatch","OK")</f>
        <v>OK</v>
      </c>
      <c r="Y2914" s="7" t="str">
        <f aca="false">IF(AND(N2914="No",O2914&lt;&gt;""),"Unexpected: channel present but no reminder sent",IF(AND(N2914="Yes",O2914=""),"Missing channel for sent reminder","OK"))</f>
        <v>OK</v>
      </c>
    </row>
    <row r="2915" customFormat="false" ht="15" hidden="false" customHeight="false" outlineLevel="0" collapsed="false">
      <c r="A2915" s="9" t="s">
        <v>4428</v>
      </c>
      <c r="B2915" s="9" t="s">
        <v>1444</v>
      </c>
      <c r="C2915" s="9" t="s">
        <v>47</v>
      </c>
      <c r="D2915" s="9" t="n">
        <v>47</v>
      </c>
      <c r="E2915" s="9" t="s">
        <v>56</v>
      </c>
      <c r="F2915" s="9" t="s">
        <v>39</v>
      </c>
      <c r="G2915" s="10" t="n">
        <v>45721</v>
      </c>
      <c r="H2915" s="10" t="n">
        <v>45781</v>
      </c>
      <c r="I2915" s="9" t="s">
        <v>75</v>
      </c>
      <c r="J2915" s="9" t="s">
        <v>41</v>
      </c>
      <c r="K2915" s="9" t="n">
        <v>60</v>
      </c>
      <c r="L2915" s="9" t="n">
        <v>3</v>
      </c>
      <c r="M2915" s="9" t="n">
        <v>0</v>
      </c>
      <c r="N2915" s="9" t="s">
        <v>42</v>
      </c>
      <c r="O2915" s="9" t="s">
        <v>52</v>
      </c>
      <c r="P2915" s="9" t="n">
        <v>4.7</v>
      </c>
      <c r="Q2915" s="9" t="n">
        <v>12</v>
      </c>
      <c r="R2915" s="9" t="s">
        <v>44</v>
      </c>
      <c r="S2915" s="9"/>
      <c r="T2915" s="9"/>
      <c r="U2915" s="9" t="str">
        <f aca="false">IF(COUNTIF($A$2:$A$5001,A2915)&gt;1,"Duplicate","Unique")</f>
        <v>Unique</v>
      </c>
      <c r="V2915" s="9" t="str">
        <f aca="false">IF(COUNTIFS($B$2:$B$5001,B2915,$H$2:$H$5001,H2915,$J$2:$J$5001,J2915)&gt;1,"Possible Duplicate Booking","Unique")</f>
        <v>Unique</v>
      </c>
      <c r="W2915" s="9" t="str">
        <f aca="false">IF((H2915-G2915)&lt;&gt;K2915,"Mismatch","OK")</f>
        <v>OK</v>
      </c>
      <c r="X2915" s="9" t="str">
        <f aca="false">IF(TEXT(H2915,"dddd")&lt;&gt;I2915,"Mismatch","OK")</f>
        <v>OK</v>
      </c>
      <c r="Y2915" s="9" t="str">
        <f aca="false">IF(AND(N2915="No",O2915&lt;&gt;""),"Unexpected: channel present but no reminder sent",IF(AND(N2915="Yes",O2915=""),"Missing channel for sent reminder","OK"))</f>
        <v>OK</v>
      </c>
    </row>
    <row r="2916" customFormat="false" ht="15" hidden="false" customHeight="false" outlineLevel="0" collapsed="false">
      <c r="A2916" s="7" t="s">
        <v>4429</v>
      </c>
      <c r="B2916" s="7" t="s">
        <v>3731</v>
      </c>
      <c r="C2916" s="7" t="s">
        <v>37</v>
      </c>
      <c r="D2916" s="7" t="n">
        <v>24</v>
      </c>
      <c r="E2916" s="7" t="s">
        <v>82</v>
      </c>
      <c r="F2916" s="7" t="s">
        <v>57</v>
      </c>
      <c r="G2916" s="8" t="n">
        <v>45872</v>
      </c>
      <c r="H2916" s="8" t="n">
        <v>45880</v>
      </c>
      <c r="I2916" s="7" t="s">
        <v>66</v>
      </c>
      <c r="J2916" s="7" t="s">
        <v>51</v>
      </c>
      <c r="K2916" s="7" t="n">
        <v>8</v>
      </c>
      <c r="L2916" s="7" t="n">
        <v>0</v>
      </c>
      <c r="M2916" s="7" t="n">
        <v>0</v>
      </c>
      <c r="N2916" s="7" t="s">
        <v>42</v>
      </c>
      <c r="O2916" s="7" t="s">
        <v>52</v>
      </c>
      <c r="P2916" s="7" t="n">
        <v>6</v>
      </c>
      <c r="Q2916" s="7" t="n">
        <v>12</v>
      </c>
      <c r="R2916" s="7" t="s">
        <v>53</v>
      </c>
      <c r="S2916" s="7"/>
      <c r="T2916" s="7"/>
      <c r="U2916" s="7" t="str">
        <f aca="false">IF(COUNTIF($A$2:$A$5001,A2916)&gt;1,"Duplicate","Unique")</f>
        <v>Unique</v>
      </c>
      <c r="V2916" s="7" t="str">
        <f aca="false">IF(COUNTIFS($B$2:$B$5001,B2916,$H$2:$H$5001,H2916,$J$2:$J$5001,J2916)&gt;1,"Possible Duplicate Booking","Unique")</f>
        <v>Unique</v>
      </c>
      <c r="W2916" s="7" t="str">
        <f aca="false">IF((H2916-G2916)&lt;&gt;K2916,"Mismatch","OK")</f>
        <v>OK</v>
      </c>
      <c r="X2916" s="7" t="str">
        <f aca="false">IF(TEXT(H2916,"dddd")&lt;&gt;I2916,"Mismatch","OK")</f>
        <v>OK</v>
      </c>
      <c r="Y2916" s="7" t="str">
        <f aca="false">IF(AND(N2916="No",O2916&lt;&gt;""),"Unexpected: channel present but no reminder sent",IF(AND(N2916="Yes",O2916=""),"Missing channel for sent reminder","OK"))</f>
        <v>OK</v>
      </c>
    </row>
    <row r="2917" customFormat="false" ht="15" hidden="false" customHeight="false" outlineLevel="0" collapsed="false">
      <c r="A2917" s="9" t="s">
        <v>4430</v>
      </c>
      <c r="B2917" s="9" t="s">
        <v>3667</v>
      </c>
      <c r="C2917" s="9" t="s">
        <v>47</v>
      </c>
      <c r="D2917" s="9" t="n">
        <v>63</v>
      </c>
      <c r="E2917" s="9" t="s">
        <v>61</v>
      </c>
      <c r="F2917" s="9" t="s">
        <v>74</v>
      </c>
      <c r="G2917" s="10" t="n">
        <v>45840</v>
      </c>
      <c r="H2917" s="10" t="n">
        <v>45897</v>
      </c>
      <c r="I2917" s="9" t="s">
        <v>62</v>
      </c>
      <c r="J2917" s="9" t="s">
        <v>51</v>
      </c>
      <c r="K2917" s="9" t="n">
        <v>57</v>
      </c>
      <c r="L2917" s="9" t="n">
        <v>1</v>
      </c>
      <c r="M2917" s="9" t="n">
        <v>0</v>
      </c>
      <c r="N2917" s="9" t="s">
        <v>42</v>
      </c>
      <c r="O2917" s="9" t="s">
        <v>43</v>
      </c>
      <c r="P2917" s="9" t="n">
        <v>7.4</v>
      </c>
      <c r="Q2917" s="9" t="n">
        <v>26</v>
      </c>
      <c r="R2917" s="9" t="s">
        <v>44</v>
      </c>
      <c r="S2917" s="9"/>
      <c r="T2917" s="9"/>
      <c r="U2917" s="9" t="str">
        <f aca="false">IF(COUNTIF($A$2:$A$5001,A2917)&gt;1,"Duplicate","Unique")</f>
        <v>Unique</v>
      </c>
      <c r="V2917" s="9" t="str">
        <f aca="false">IF(COUNTIFS($B$2:$B$5001,B2917,$H$2:$H$5001,H2917,$J$2:$J$5001,J2917)&gt;1,"Possible Duplicate Booking","Unique")</f>
        <v>Unique</v>
      </c>
      <c r="W2917" s="9" t="str">
        <f aca="false">IF((H2917-G2917)&lt;&gt;K2917,"Mismatch","OK")</f>
        <v>OK</v>
      </c>
      <c r="X2917" s="9" t="str">
        <f aca="false">IF(TEXT(H2917,"dddd")&lt;&gt;I2917,"Mismatch","OK")</f>
        <v>OK</v>
      </c>
      <c r="Y2917" s="9" t="str">
        <f aca="false">IF(AND(N2917="No",O2917&lt;&gt;""),"Unexpected: channel present but no reminder sent",IF(AND(N2917="Yes",O2917=""),"Missing channel for sent reminder","OK"))</f>
        <v>OK</v>
      </c>
    </row>
    <row r="2918" customFormat="false" ht="15" hidden="false" customHeight="false" outlineLevel="0" collapsed="false">
      <c r="A2918" s="7" t="s">
        <v>4431</v>
      </c>
      <c r="B2918" s="7" t="s">
        <v>439</v>
      </c>
      <c r="C2918" s="7" t="s">
        <v>47</v>
      </c>
      <c r="D2918" s="7" t="n">
        <v>68</v>
      </c>
      <c r="E2918" s="7" t="s">
        <v>70</v>
      </c>
      <c r="F2918" s="7" t="s">
        <v>39</v>
      </c>
      <c r="G2918" s="8" t="n">
        <v>45957</v>
      </c>
      <c r="H2918" s="8" t="n">
        <v>45997</v>
      </c>
      <c r="I2918" s="7" t="s">
        <v>102</v>
      </c>
      <c r="J2918" s="7" t="s">
        <v>51</v>
      </c>
      <c r="K2918" s="7" t="n">
        <v>40</v>
      </c>
      <c r="L2918" s="7" t="n">
        <v>1</v>
      </c>
      <c r="M2918" s="7" t="n">
        <v>0</v>
      </c>
      <c r="N2918" s="7" t="s">
        <v>42</v>
      </c>
      <c r="O2918" s="7" t="s">
        <v>52</v>
      </c>
      <c r="P2918" s="7" t="n">
        <v>6.2</v>
      </c>
      <c r="Q2918" s="7" t="n">
        <v>33</v>
      </c>
      <c r="R2918" s="7" t="s">
        <v>53</v>
      </c>
      <c r="S2918" s="7"/>
      <c r="T2918" s="7"/>
      <c r="U2918" s="7" t="str">
        <f aca="false">IF(COUNTIF($A$2:$A$5001,A2918)&gt;1,"Duplicate","Unique")</f>
        <v>Unique</v>
      </c>
      <c r="V2918" s="7" t="str">
        <f aca="false">IF(COUNTIFS($B$2:$B$5001,B2918,$H$2:$H$5001,H2918,$J$2:$J$5001,J2918)&gt;1,"Possible Duplicate Booking","Unique")</f>
        <v>Unique</v>
      </c>
      <c r="W2918" s="7" t="str">
        <f aca="false">IF((H2918-G2918)&lt;&gt;K2918,"Mismatch","OK")</f>
        <v>OK</v>
      </c>
      <c r="X2918" s="7" t="str">
        <f aca="false">IF(TEXT(H2918,"dddd")&lt;&gt;I2918,"Mismatch","OK")</f>
        <v>OK</v>
      </c>
      <c r="Y2918" s="7" t="str">
        <f aca="false">IF(AND(N2918="No",O2918&lt;&gt;""),"Unexpected: channel present but no reminder sent",IF(AND(N2918="Yes",O2918=""),"Missing channel for sent reminder","OK"))</f>
        <v>OK</v>
      </c>
    </row>
    <row r="2919" customFormat="false" ht="15" hidden="false" customHeight="false" outlineLevel="0" collapsed="false">
      <c r="A2919" s="9" t="s">
        <v>4432</v>
      </c>
      <c r="B2919" s="9" t="s">
        <v>2356</v>
      </c>
      <c r="C2919" s="9" t="s">
        <v>47</v>
      </c>
      <c r="D2919" s="9" t="n">
        <v>50</v>
      </c>
      <c r="E2919" s="9" t="s">
        <v>56</v>
      </c>
      <c r="F2919" s="9" t="s">
        <v>57</v>
      </c>
      <c r="G2919" s="10" t="n">
        <v>46168</v>
      </c>
      <c r="H2919" s="10" t="n">
        <v>46174</v>
      </c>
      <c r="I2919" s="9" t="s">
        <v>66</v>
      </c>
      <c r="J2919" s="9" t="s">
        <v>41</v>
      </c>
      <c r="K2919" s="9" t="n">
        <v>6</v>
      </c>
      <c r="L2919" s="9" t="n">
        <v>4</v>
      </c>
      <c r="M2919" s="9" t="n">
        <v>1</v>
      </c>
      <c r="N2919" s="9" t="s">
        <v>42</v>
      </c>
      <c r="O2919" s="9" t="s">
        <v>43</v>
      </c>
      <c r="P2919" s="9" t="n">
        <v>2.2</v>
      </c>
      <c r="Q2919" s="9" t="n">
        <v>38</v>
      </c>
      <c r="R2919" s="9" t="s">
        <v>53</v>
      </c>
      <c r="S2919" s="9"/>
      <c r="T2919" s="9"/>
      <c r="U2919" s="9" t="str">
        <f aca="false">IF(COUNTIF($A$2:$A$5001,A2919)&gt;1,"Duplicate","Unique")</f>
        <v>Unique</v>
      </c>
      <c r="V2919" s="9" t="str">
        <f aca="false">IF(COUNTIFS($B$2:$B$5001,B2919,$H$2:$H$5001,H2919,$J$2:$J$5001,J2919)&gt;1,"Possible Duplicate Booking","Unique")</f>
        <v>Unique</v>
      </c>
      <c r="W2919" s="9" t="str">
        <f aca="false">IF((H2919-G2919)&lt;&gt;K2919,"Mismatch","OK")</f>
        <v>OK</v>
      </c>
      <c r="X2919" s="9" t="str">
        <f aca="false">IF(TEXT(H2919,"dddd")&lt;&gt;I2919,"Mismatch","OK")</f>
        <v>OK</v>
      </c>
      <c r="Y2919" s="9" t="str">
        <f aca="false">IF(AND(N2919="No",O2919&lt;&gt;""),"Unexpected: channel present but no reminder sent",IF(AND(N2919="Yes",O2919=""),"Missing channel for sent reminder","OK"))</f>
        <v>OK</v>
      </c>
    </row>
    <row r="2920" customFormat="false" ht="15" hidden="false" customHeight="false" outlineLevel="0" collapsed="false">
      <c r="A2920" s="7" t="s">
        <v>4433</v>
      </c>
      <c r="B2920" s="7" t="s">
        <v>518</v>
      </c>
      <c r="C2920" s="7" t="s">
        <v>37</v>
      </c>
      <c r="D2920" s="7" t="n">
        <v>23</v>
      </c>
      <c r="E2920" s="7" t="s">
        <v>82</v>
      </c>
      <c r="F2920" s="7" t="s">
        <v>57</v>
      </c>
      <c r="G2920" s="8" t="n">
        <v>46118</v>
      </c>
      <c r="H2920" s="8" t="n">
        <v>46121</v>
      </c>
      <c r="I2920" s="7" t="s">
        <v>62</v>
      </c>
      <c r="J2920" s="7" t="s">
        <v>51</v>
      </c>
      <c r="K2920" s="7" t="n">
        <v>3</v>
      </c>
      <c r="L2920" s="7" t="n">
        <v>1</v>
      </c>
      <c r="M2920" s="7" t="n">
        <v>0</v>
      </c>
      <c r="N2920" s="7" t="s">
        <v>71</v>
      </c>
      <c r="O2920" s="7"/>
      <c r="P2920" s="7" t="n">
        <v>16.1</v>
      </c>
      <c r="Q2920" s="7" t="n">
        <v>23</v>
      </c>
      <c r="R2920" s="7" t="s">
        <v>53</v>
      </c>
      <c r="S2920" s="7"/>
      <c r="T2920" s="7"/>
      <c r="U2920" s="7" t="str">
        <f aca="false">IF(COUNTIF($A$2:$A$5001,A2920)&gt;1,"Duplicate","Unique")</f>
        <v>Unique</v>
      </c>
      <c r="V2920" s="7" t="str">
        <f aca="false">IF(COUNTIFS($B$2:$B$5001,B2920,$H$2:$H$5001,H2920,$J$2:$J$5001,J2920)&gt;1,"Possible Duplicate Booking","Unique")</f>
        <v>Unique</v>
      </c>
      <c r="W2920" s="7" t="str">
        <f aca="false">IF((H2920-G2920)&lt;&gt;K2920,"Mismatch","OK")</f>
        <v>OK</v>
      </c>
      <c r="X2920" s="7" t="str">
        <f aca="false">IF(TEXT(H2920,"dddd")&lt;&gt;I2920,"Mismatch","OK")</f>
        <v>OK</v>
      </c>
      <c r="Y2920" s="7" t="str">
        <f aca="false">IF(AND(N2920="No",O2920&lt;&gt;""),"Unexpected: channel present but no reminder sent",IF(AND(N2920="Yes",O2920=""),"Missing channel for sent reminder","OK"))</f>
        <v>OK</v>
      </c>
    </row>
    <row r="2921" customFormat="false" ht="15" hidden="false" customHeight="false" outlineLevel="0" collapsed="false">
      <c r="A2921" s="9" t="s">
        <v>4434</v>
      </c>
      <c r="B2921" s="9" t="s">
        <v>1396</v>
      </c>
      <c r="C2921" s="9" t="s">
        <v>47</v>
      </c>
      <c r="D2921" s="9" t="n">
        <v>62</v>
      </c>
      <c r="E2921" s="9" t="s">
        <v>61</v>
      </c>
      <c r="F2921" s="9" t="s">
        <v>49</v>
      </c>
      <c r="G2921" s="10" t="n">
        <v>45840</v>
      </c>
      <c r="H2921" s="10" t="n">
        <v>45864</v>
      </c>
      <c r="I2921" s="9" t="s">
        <v>102</v>
      </c>
      <c r="J2921" s="9" t="s">
        <v>51</v>
      </c>
      <c r="K2921" s="9" t="n">
        <v>24</v>
      </c>
      <c r="L2921" s="9" t="n">
        <v>0</v>
      </c>
      <c r="M2921" s="9" t="n">
        <v>0</v>
      </c>
      <c r="N2921" s="9" t="s">
        <v>42</v>
      </c>
      <c r="O2921" s="9" t="s">
        <v>52</v>
      </c>
      <c r="P2921" s="9" t="n">
        <v>7.8</v>
      </c>
      <c r="Q2921" s="9" t="n">
        <v>16</v>
      </c>
      <c r="R2921" s="9" t="s">
        <v>53</v>
      </c>
      <c r="S2921" s="9"/>
      <c r="T2921" s="9"/>
      <c r="U2921" s="9" t="str">
        <f aca="false">IF(COUNTIF($A$2:$A$5001,A2921)&gt;1,"Duplicate","Unique")</f>
        <v>Unique</v>
      </c>
      <c r="V2921" s="9" t="str">
        <f aca="false">IF(COUNTIFS($B$2:$B$5001,B2921,$H$2:$H$5001,H2921,$J$2:$J$5001,J2921)&gt;1,"Possible Duplicate Booking","Unique")</f>
        <v>Unique</v>
      </c>
      <c r="W2921" s="9" t="str">
        <f aca="false">IF((H2921-G2921)&lt;&gt;K2921,"Mismatch","OK")</f>
        <v>OK</v>
      </c>
      <c r="X2921" s="9" t="str">
        <f aca="false">IF(TEXT(H2921,"dddd")&lt;&gt;I2921,"Mismatch","OK")</f>
        <v>OK</v>
      </c>
      <c r="Y2921" s="9" t="str">
        <f aca="false">IF(AND(N2921="No",O2921&lt;&gt;""),"Unexpected: channel present but no reminder sent",IF(AND(N2921="Yes",O2921=""),"Missing channel for sent reminder","OK"))</f>
        <v>OK</v>
      </c>
    </row>
    <row r="2922" customFormat="false" ht="15" hidden="false" customHeight="false" outlineLevel="0" collapsed="false">
      <c r="A2922" s="7" t="s">
        <v>4435</v>
      </c>
      <c r="B2922" s="7" t="s">
        <v>2882</v>
      </c>
      <c r="C2922" s="7" t="s">
        <v>47</v>
      </c>
      <c r="D2922" s="7" t="n">
        <v>76</v>
      </c>
      <c r="E2922" s="7" t="s">
        <v>70</v>
      </c>
      <c r="F2922" s="7" t="s">
        <v>57</v>
      </c>
      <c r="G2922" s="8" t="n">
        <v>45815</v>
      </c>
      <c r="H2922" s="8" t="n">
        <v>45835</v>
      </c>
      <c r="I2922" s="7" t="s">
        <v>50</v>
      </c>
      <c r="J2922" s="7" t="s">
        <v>41</v>
      </c>
      <c r="K2922" s="7" t="n">
        <v>20</v>
      </c>
      <c r="L2922" s="7" t="n">
        <v>2</v>
      </c>
      <c r="M2922" s="7" t="n">
        <v>1</v>
      </c>
      <c r="N2922" s="7" t="s">
        <v>71</v>
      </c>
      <c r="O2922" s="7"/>
      <c r="P2922" s="7" t="n">
        <v>11.4</v>
      </c>
      <c r="Q2922" s="7" t="n">
        <v>23</v>
      </c>
      <c r="R2922" s="7" t="s">
        <v>53</v>
      </c>
      <c r="S2922" s="7"/>
      <c r="T2922" s="7"/>
      <c r="U2922" s="7" t="str">
        <f aca="false">IF(COUNTIF($A$2:$A$5001,A2922)&gt;1,"Duplicate","Unique")</f>
        <v>Unique</v>
      </c>
      <c r="V2922" s="7" t="str">
        <f aca="false">IF(COUNTIFS($B$2:$B$5001,B2922,$H$2:$H$5001,H2922,$J$2:$J$5001,J2922)&gt;1,"Possible Duplicate Booking","Unique")</f>
        <v>Unique</v>
      </c>
      <c r="W2922" s="7" t="str">
        <f aca="false">IF((H2922-G2922)&lt;&gt;K2922,"Mismatch","OK")</f>
        <v>OK</v>
      </c>
      <c r="X2922" s="7" t="str">
        <f aca="false">IF(TEXT(H2922,"dddd")&lt;&gt;I2922,"Mismatch","OK")</f>
        <v>OK</v>
      </c>
      <c r="Y2922" s="7" t="str">
        <f aca="false">IF(AND(N2922="No",O2922&lt;&gt;""),"Unexpected: channel present but no reminder sent",IF(AND(N2922="Yes",O2922=""),"Missing channel for sent reminder","OK"))</f>
        <v>OK</v>
      </c>
    </row>
    <row r="2923" customFormat="false" ht="15" hidden="false" customHeight="false" outlineLevel="0" collapsed="false">
      <c r="A2923" s="9" t="s">
        <v>4436</v>
      </c>
      <c r="B2923" s="9" t="s">
        <v>3990</v>
      </c>
      <c r="C2923" s="9" t="s">
        <v>37</v>
      </c>
      <c r="D2923" s="9" t="n">
        <v>32</v>
      </c>
      <c r="E2923" s="9" t="s">
        <v>48</v>
      </c>
      <c r="F2923" s="9" t="s">
        <v>57</v>
      </c>
      <c r="G2923" s="10" t="n">
        <v>46059</v>
      </c>
      <c r="H2923" s="10" t="n">
        <v>46078</v>
      </c>
      <c r="I2923" s="9" t="s">
        <v>58</v>
      </c>
      <c r="J2923" s="9" t="s">
        <v>51</v>
      </c>
      <c r="K2923" s="9" t="n">
        <v>19</v>
      </c>
      <c r="L2923" s="9" t="n">
        <v>1</v>
      </c>
      <c r="M2923" s="9" t="n">
        <v>0</v>
      </c>
      <c r="N2923" s="9" t="s">
        <v>71</v>
      </c>
      <c r="O2923" s="9"/>
      <c r="P2923" s="9" t="n">
        <v>17.6</v>
      </c>
      <c r="Q2923" s="9" t="n">
        <v>35</v>
      </c>
      <c r="R2923" s="9" t="s">
        <v>44</v>
      </c>
      <c r="S2923" s="9"/>
      <c r="T2923" s="9"/>
      <c r="U2923" s="9" t="str">
        <f aca="false">IF(COUNTIF($A$2:$A$5001,A2923)&gt;1,"Duplicate","Unique")</f>
        <v>Unique</v>
      </c>
      <c r="V2923" s="9" t="str">
        <f aca="false">IF(COUNTIFS($B$2:$B$5001,B2923,$H$2:$H$5001,H2923,$J$2:$J$5001,J2923)&gt;1,"Possible Duplicate Booking","Unique")</f>
        <v>Unique</v>
      </c>
      <c r="W2923" s="9" t="str">
        <f aca="false">IF((H2923-G2923)&lt;&gt;K2923,"Mismatch","OK")</f>
        <v>OK</v>
      </c>
      <c r="X2923" s="9" t="str">
        <f aca="false">IF(TEXT(H2923,"dddd")&lt;&gt;I2923,"Mismatch","OK")</f>
        <v>OK</v>
      </c>
      <c r="Y2923" s="9" t="str">
        <f aca="false">IF(AND(N2923="No",O2923&lt;&gt;""),"Unexpected: channel present but no reminder sent",IF(AND(N2923="Yes",O2923=""),"Missing channel for sent reminder","OK"))</f>
        <v>OK</v>
      </c>
    </row>
    <row r="2924" customFormat="false" ht="15" hidden="false" customHeight="false" outlineLevel="0" collapsed="false">
      <c r="A2924" s="7" t="s">
        <v>4437</v>
      </c>
      <c r="B2924" s="7" t="s">
        <v>292</v>
      </c>
      <c r="C2924" s="7" t="s">
        <v>47</v>
      </c>
      <c r="D2924" s="7" t="n">
        <v>28</v>
      </c>
      <c r="E2924" s="7" t="s">
        <v>48</v>
      </c>
      <c r="F2924" s="7" t="s">
        <v>39</v>
      </c>
      <c r="G2924" s="8" t="n">
        <v>45693</v>
      </c>
      <c r="H2924" s="8" t="n">
        <v>45725</v>
      </c>
      <c r="I2924" s="7" t="s">
        <v>75</v>
      </c>
      <c r="J2924" s="7" t="s">
        <v>41</v>
      </c>
      <c r="K2924" s="7" t="n">
        <v>32</v>
      </c>
      <c r="L2924" s="7" t="n">
        <v>4</v>
      </c>
      <c r="M2924" s="7" t="n">
        <v>1</v>
      </c>
      <c r="N2924" s="7" t="s">
        <v>71</v>
      </c>
      <c r="O2924" s="7"/>
      <c r="P2924" s="7" t="n">
        <v>6</v>
      </c>
      <c r="Q2924" s="7" t="n">
        <v>42</v>
      </c>
      <c r="R2924" s="7" t="s">
        <v>44</v>
      </c>
      <c r="S2924" s="7"/>
      <c r="T2924" s="7"/>
      <c r="U2924" s="7" t="str">
        <f aca="false">IF(COUNTIF($A$2:$A$5001,A2924)&gt;1,"Duplicate","Unique")</f>
        <v>Unique</v>
      </c>
      <c r="V2924" s="7" t="str">
        <f aca="false">IF(COUNTIFS($B$2:$B$5001,B2924,$H$2:$H$5001,H2924,$J$2:$J$5001,J2924)&gt;1,"Possible Duplicate Booking","Unique")</f>
        <v>Unique</v>
      </c>
      <c r="W2924" s="7" t="str">
        <f aca="false">IF((H2924-G2924)&lt;&gt;K2924,"Mismatch","OK")</f>
        <v>OK</v>
      </c>
      <c r="X2924" s="7" t="str">
        <f aca="false">IF(TEXT(H2924,"dddd")&lt;&gt;I2924,"Mismatch","OK")</f>
        <v>OK</v>
      </c>
      <c r="Y2924" s="7" t="str">
        <f aca="false">IF(AND(N2924="No",O2924&lt;&gt;""),"Unexpected: channel present but no reminder sent",IF(AND(N2924="Yes",O2924=""),"Missing channel for sent reminder","OK"))</f>
        <v>OK</v>
      </c>
    </row>
    <row r="2925" customFormat="false" ht="15" hidden="false" customHeight="false" outlineLevel="0" collapsed="false">
      <c r="A2925" s="9" t="s">
        <v>4438</v>
      </c>
      <c r="B2925" s="9" t="s">
        <v>3016</v>
      </c>
      <c r="C2925" s="9" t="s">
        <v>37</v>
      </c>
      <c r="D2925" s="9" t="n">
        <v>64</v>
      </c>
      <c r="E2925" s="9" t="s">
        <v>61</v>
      </c>
      <c r="F2925" s="9" t="s">
        <v>57</v>
      </c>
      <c r="G2925" s="10" t="n">
        <v>45946</v>
      </c>
      <c r="H2925" s="10" t="n">
        <v>45953</v>
      </c>
      <c r="I2925" s="9" t="s">
        <v>62</v>
      </c>
      <c r="J2925" s="9" t="s">
        <v>51</v>
      </c>
      <c r="K2925" s="9" t="n">
        <v>7</v>
      </c>
      <c r="L2925" s="9" t="n">
        <v>1</v>
      </c>
      <c r="M2925" s="9" t="n">
        <v>0</v>
      </c>
      <c r="N2925" s="9" t="s">
        <v>71</v>
      </c>
      <c r="O2925" s="9"/>
      <c r="P2925" s="9" t="n">
        <v>10.4</v>
      </c>
      <c r="Q2925" s="9" t="n">
        <v>37</v>
      </c>
      <c r="R2925" s="9" t="s">
        <v>53</v>
      </c>
      <c r="S2925" s="9"/>
      <c r="T2925" s="9"/>
      <c r="U2925" s="9" t="str">
        <f aca="false">IF(COUNTIF($A$2:$A$5001,A2925)&gt;1,"Duplicate","Unique")</f>
        <v>Unique</v>
      </c>
      <c r="V2925" s="9" t="str">
        <f aca="false">IF(COUNTIFS($B$2:$B$5001,B2925,$H$2:$H$5001,H2925,$J$2:$J$5001,J2925)&gt;1,"Possible Duplicate Booking","Unique")</f>
        <v>Unique</v>
      </c>
      <c r="W2925" s="9" t="str">
        <f aca="false">IF((H2925-G2925)&lt;&gt;K2925,"Mismatch","OK")</f>
        <v>OK</v>
      </c>
      <c r="X2925" s="9" t="str">
        <f aca="false">IF(TEXT(H2925,"dddd")&lt;&gt;I2925,"Mismatch","OK")</f>
        <v>OK</v>
      </c>
      <c r="Y2925" s="9" t="str">
        <f aca="false">IF(AND(N2925="No",O2925&lt;&gt;""),"Unexpected: channel present but no reminder sent",IF(AND(N2925="Yes",O2925=""),"Missing channel for sent reminder","OK"))</f>
        <v>OK</v>
      </c>
    </row>
    <row r="2926" customFormat="false" ht="15" hidden="false" customHeight="false" outlineLevel="0" collapsed="false">
      <c r="A2926" s="7" t="s">
        <v>4439</v>
      </c>
      <c r="B2926" s="7" t="s">
        <v>3972</v>
      </c>
      <c r="C2926" s="7" t="s">
        <v>47</v>
      </c>
      <c r="D2926" s="7" t="n">
        <v>38</v>
      </c>
      <c r="E2926" s="7" t="s">
        <v>38</v>
      </c>
      <c r="F2926" s="7" t="s">
        <v>39</v>
      </c>
      <c r="G2926" s="8" t="n">
        <v>45881</v>
      </c>
      <c r="H2926" s="8" t="n">
        <v>45888</v>
      </c>
      <c r="I2926" s="7" t="s">
        <v>40</v>
      </c>
      <c r="J2926" s="7" t="s">
        <v>41</v>
      </c>
      <c r="K2926" s="7" t="n">
        <v>7</v>
      </c>
      <c r="L2926" s="7" t="n">
        <v>4</v>
      </c>
      <c r="M2926" s="7" t="n">
        <v>2</v>
      </c>
      <c r="N2926" s="7" t="s">
        <v>42</v>
      </c>
      <c r="O2926" s="7" t="s">
        <v>52</v>
      </c>
      <c r="P2926" s="7" t="n">
        <v>0.6</v>
      </c>
      <c r="Q2926" s="7" t="n">
        <v>36</v>
      </c>
      <c r="R2926" s="7" t="s">
        <v>44</v>
      </c>
      <c r="S2926" s="7"/>
      <c r="T2926" s="7"/>
      <c r="U2926" s="7" t="str">
        <f aca="false">IF(COUNTIF($A$2:$A$5001,A2926)&gt;1,"Duplicate","Unique")</f>
        <v>Unique</v>
      </c>
      <c r="V2926" s="7" t="str">
        <f aca="false">IF(COUNTIFS($B$2:$B$5001,B2926,$H$2:$H$5001,H2926,$J$2:$J$5001,J2926)&gt;1,"Possible Duplicate Booking","Unique")</f>
        <v>Unique</v>
      </c>
      <c r="W2926" s="7" t="str">
        <f aca="false">IF((H2926-G2926)&lt;&gt;K2926,"Mismatch","OK")</f>
        <v>OK</v>
      </c>
      <c r="X2926" s="7" t="str">
        <f aca="false">IF(TEXT(H2926,"dddd")&lt;&gt;I2926,"Mismatch","OK")</f>
        <v>OK</v>
      </c>
      <c r="Y2926" s="7" t="str">
        <f aca="false">IF(AND(N2926="No",O2926&lt;&gt;""),"Unexpected: channel present but no reminder sent",IF(AND(N2926="Yes",O2926=""),"Missing channel for sent reminder","OK"))</f>
        <v>OK</v>
      </c>
    </row>
    <row r="2927" customFormat="false" ht="15" hidden="false" customHeight="false" outlineLevel="0" collapsed="false">
      <c r="A2927" s="9" t="s">
        <v>4440</v>
      </c>
      <c r="B2927" s="9" t="s">
        <v>4441</v>
      </c>
      <c r="C2927" s="9" t="s">
        <v>47</v>
      </c>
      <c r="D2927" s="9" t="n">
        <v>63</v>
      </c>
      <c r="E2927" s="9" t="s">
        <v>61</v>
      </c>
      <c r="F2927" s="9" t="s">
        <v>39</v>
      </c>
      <c r="G2927" s="10" t="n">
        <v>45715</v>
      </c>
      <c r="H2927" s="10" t="n">
        <v>45757</v>
      </c>
      <c r="I2927" s="9" t="s">
        <v>62</v>
      </c>
      <c r="J2927" s="9" t="s">
        <v>51</v>
      </c>
      <c r="K2927" s="9" t="n">
        <v>42</v>
      </c>
      <c r="L2927" s="9" t="n">
        <v>2</v>
      </c>
      <c r="M2927" s="9" t="n">
        <v>1</v>
      </c>
      <c r="N2927" s="9" t="s">
        <v>42</v>
      </c>
      <c r="O2927" s="9" t="s">
        <v>52</v>
      </c>
      <c r="P2927" s="9" t="n">
        <v>1.1</v>
      </c>
      <c r="Q2927" s="9" t="n">
        <v>39</v>
      </c>
      <c r="R2927" s="9" t="s">
        <v>44</v>
      </c>
      <c r="S2927" s="9"/>
      <c r="T2927" s="9"/>
      <c r="U2927" s="9" t="str">
        <f aca="false">IF(COUNTIF($A$2:$A$5001,A2927)&gt;1,"Duplicate","Unique")</f>
        <v>Unique</v>
      </c>
      <c r="V2927" s="9" t="str">
        <f aca="false">IF(COUNTIFS($B$2:$B$5001,B2927,$H$2:$H$5001,H2927,$J$2:$J$5001,J2927)&gt;1,"Possible Duplicate Booking","Unique")</f>
        <v>Unique</v>
      </c>
      <c r="W2927" s="9" t="str">
        <f aca="false">IF((H2927-G2927)&lt;&gt;K2927,"Mismatch","OK")</f>
        <v>OK</v>
      </c>
      <c r="X2927" s="9" t="str">
        <f aca="false">IF(TEXT(H2927,"dddd")&lt;&gt;I2927,"Mismatch","OK")</f>
        <v>OK</v>
      </c>
      <c r="Y2927" s="9" t="str">
        <f aca="false">IF(AND(N2927="No",O2927&lt;&gt;""),"Unexpected: channel present but no reminder sent",IF(AND(N2927="Yes",O2927=""),"Missing channel for sent reminder","OK"))</f>
        <v>OK</v>
      </c>
    </row>
    <row r="2928" customFormat="false" ht="15" hidden="false" customHeight="false" outlineLevel="0" collapsed="false">
      <c r="A2928" s="7" t="s">
        <v>4442</v>
      </c>
      <c r="B2928" s="7" t="s">
        <v>3358</v>
      </c>
      <c r="C2928" s="7" t="s">
        <v>47</v>
      </c>
      <c r="D2928" s="7" t="n">
        <v>62</v>
      </c>
      <c r="E2928" s="7" t="s">
        <v>61</v>
      </c>
      <c r="F2928" s="7" t="s">
        <v>57</v>
      </c>
      <c r="G2928" s="8" t="n">
        <v>45934</v>
      </c>
      <c r="H2928" s="8" t="n">
        <v>45994</v>
      </c>
      <c r="I2928" s="7" t="s">
        <v>58</v>
      </c>
      <c r="J2928" s="7" t="s">
        <v>63</v>
      </c>
      <c r="K2928" s="7" t="n">
        <v>60</v>
      </c>
      <c r="L2928" s="7" t="n">
        <v>1</v>
      </c>
      <c r="M2928" s="7" t="n">
        <v>0</v>
      </c>
      <c r="N2928" s="7" t="s">
        <v>42</v>
      </c>
      <c r="O2928" s="7" t="s">
        <v>43</v>
      </c>
      <c r="P2928" s="7" t="n">
        <v>8.5</v>
      </c>
      <c r="Q2928" s="7" t="n">
        <v>25</v>
      </c>
      <c r="R2928" s="7" t="s">
        <v>44</v>
      </c>
      <c r="S2928" s="7"/>
      <c r="T2928" s="7"/>
      <c r="U2928" s="7" t="str">
        <f aca="false">IF(COUNTIF($A$2:$A$5001,A2928)&gt;1,"Duplicate","Unique")</f>
        <v>Unique</v>
      </c>
      <c r="V2928" s="7" t="str">
        <f aca="false">IF(COUNTIFS($B$2:$B$5001,B2928,$H$2:$H$5001,H2928,$J$2:$J$5001,J2928)&gt;1,"Possible Duplicate Booking","Unique")</f>
        <v>Unique</v>
      </c>
      <c r="W2928" s="7" t="str">
        <f aca="false">IF((H2928-G2928)&lt;&gt;K2928,"Mismatch","OK")</f>
        <v>OK</v>
      </c>
      <c r="X2928" s="7" t="str">
        <f aca="false">IF(TEXT(H2928,"dddd")&lt;&gt;I2928,"Mismatch","OK")</f>
        <v>OK</v>
      </c>
      <c r="Y2928" s="7" t="str">
        <f aca="false">IF(AND(N2928="No",O2928&lt;&gt;""),"Unexpected: channel present but no reminder sent",IF(AND(N2928="Yes",O2928=""),"Missing channel for sent reminder","OK"))</f>
        <v>OK</v>
      </c>
    </row>
    <row r="2929" customFormat="false" ht="15" hidden="false" customHeight="false" outlineLevel="0" collapsed="false">
      <c r="A2929" s="9" t="s">
        <v>4443</v>
      </c>
      <c r="B2929" s="9" t="s">
        <v>46</v>
      </c>
      <c r="C2929" s="9" t="s">
        <v>47</v>
      </c>
      <c r="D2929" s="9" t="n">
        <v>34</v>
      </c>
      <c r="E2929" s="9" t="s">
        <v>48</v>
      </c>
      <c r="F2929" s="9" t="s">
        <v>49</v>
      </c>
      <c r="G2929" s="10" t="n">
        <v>45817</v>
      </c>
      <c r="H2929" s="10" t="n">
        <v>45833</v>
      </c>
      <c r="I2929" s="9" t="s">
        <v>58</v>
      </c>
      <c r="J2929" s="9" t="s">
        <v>41</v>
      </c>
      <c r="K2929" s="9" t="n">
        <v>16</v>
      </c>
      <c r="L2929" s="9" t="n">
        <v>4</v>
      </c>
      <c r="M2929" s="9" t="n">
        <v>1</v>
      </c>
      <c r="N2929" s="9" t="s">
        <v>42</v>
      </c>
      <c r="O2929" s="9" t="s">
        <v>52</v>
      </c>
      <c r="P2929" s="9" t="n">
        <v>2.7</v>
      </c>
      <c r="Q2929" s="9" t="n">
        <v>27</v>
      </c>
      <c r="R2929" s="9" t="s">
        <v>44</v>
      </c>
      <c r="S2929" s="9"/>
      <c r="T2929" s="9"/>
      <c r="U2929" s="9" t="str">
        <f aca="false">IF(COUNTIF($A$2:$A$5001,A2929)&gt;1,"Duplicate","Unique")</f>
        <v>Unique</v>
      </c>
      <c r="V2929" s="9" t="str">
        <f aca="false">IF(COUNTIFS($B$2:$B$5001,B2929,$H$2:$H$5001,H2929,$J$2:$J$5001,J2929)&gt;1,"Possible Duplicate Booking","Unique")</f>
        <v>Unique</v>
      </c>
      <c r="W2929" s="9" t="str">
        <f aca="false">IF((H2929-G2929)&lt;&gt;K2929,"Mismatch","OK")</f>
        <v>OK</v>
      </c>
      <c r="X2929" s="9" t="str">
        <f aca="false">IF(TEXT(H2929,"dddd")&lt;&gt;I2929,"Mismatch","OK")</f>
        <v>OK</v>
      </c>
      <c r="Y2929" s="9" t="str">
        <f aca="false">IF(AND(N2929="No",O2929&lt;&gt;""),"Unexpected: channel present but no reminder sent",IF(AND(N2929="Yes",O2929=""),"Missing channel for sent reminder","OK"))</f>
        <v>OK</v>
      </c>
    </row>
    <row r="2930" customFormat="false" ht="15" hidden="false" customHeight="false" outlineLevel="0" collapsed="false">
      <c r="A2930" s="7" t="s">
        <v>4444</v>
      </c>
      <c r="B2930" s="7" t="s">
        <v>3287</v>
      </c>
      <c r="C2930" s="7" t="s">
        <v>47</v>
      </c>
      <c r="D2930" s="7" t="n">
        <v>20</v>
      </c>
      <c r="E2930" s="7" t="s">
        <v>82</v>
      </c>
      <c r="F2930" s="7" t="s">
        <v>39</v>
      </c>
      <c r="G2930" s="8" t="n">
        <v>45703</v>
      </c>
      <c r="H2930" s="8" t="n">
        <v>45759</v>
      </c>
      <c r="I2930" s="7" t="s">
        <v>102</v>
      </c>
      <c r="J2930" s="7" t="s">
        <v>51</v>
      </c>
      <c r="K2930" s="7" t="n">
        <v>56</v>
      </c>
      <c r="L2930" s="7" t="n">
        <v>4</v>
      </c>
      <c r="M2930" s="7" t="n">
        <v>1</v>
      </c>
      <c r="N2930" s="7" t="s">
        <v>42</v>
      </c>
      <c r="O2930" s="7" t="s">
        <v>43</v>
      </c>
      <c r="P2930" s="7" t="n">
        <v>11.6</v>
      </c>
      <c r="Q2930" s="7" t="n">
        <v>36</v>
      </c>
      <c r="R2930" s="7" t="s">
        <v>87</v>
      </c>
      <c r="S2930" s="7"/>
      <c r="T2930" s="7"/>
      <c r="U2930" s="7" t="str">
        <f aca="false">IF(COUNTIF($A$2:$A$5001,A2930)&gt;1,"Duplicate","Unique")</f>
        <v>Unique</v>
      </c>
      <c r="V2930" s="7" t="str">
        <f aca="false">IF(COUNTIFS($B$2:$B$5001,B2930,$H$2:$H$5001,H2930,$J$2:$J$5001,J2930)&gt;1,"Possible Duplicate Booking","Unique")</f>
        <v>Unique</v>
      </c>
      <c r="W2930" s="7" t="str">
        <f aca="false">IF((H2930-G2930)&lt;&gt;K2930,"Mismatch","OK")</f>
        <v>OK</v>
      </c>
      <c r="X2930" s="7" t="str">
        <f aca="false">IF(TEXT(H2930,"dddd")&lt;&gt;I2930,"Mismatch","OK")</f>
        <v>OK</v>
      </c>
      <c r="Y2930" s="7" t="str">
        <f aca="false">IF(AND(N2930="No",O2930&lt;&gt;""),"Unexpected: channel present but no reminder sent",IF(AND(N2930="Yes",O2930=""),"Missing channel for sent reminder","OK"))</f>
        <v>OK</v>
      </c>
    </row>
    <row r="2931" customFormat="false" ht="15" hidden="false" customHeight="false" outlineLevel="0" collapsed="false">
      <c r="A2931" s="9" t="s">
        <v>4445</v>
      </c>
      <c r="B2931" s="9" t="s">
        <v>136</v>
      </c>
      <c r="C2931" s="9" t="s">
        <v>37</v>
      </c>
      <c r="D2931" s="9" t="n">
        <v>53</v>
      </c>
      <c r="E2931" s="9" t="s">
        <v>56</v>
      </c>
      <c r="F2931" s="9" t="s">
        <v>39</v>
      </c>
      <c r="G2931" s="10" t="n">
        <v>45993</v>
      </c>
      <c r="H2931" s="10" t="n">
        <v>46014</v>
      </c>
      <c r="I2931" s="9" t="s">
        <v>40</v>
      </c>
      <c r="J2931" s="9" t="s">
        <v>41</v>
      </c>
      <c r="K2931" s="9" t="n">
        <v>21</v>
      </c>
      <c r="L2931" s="9" t="n">
        <v>4</v>
      </c>
      <c r="M2931" s="9" t="n">
        <v>1</v>
      </c>
      <c r="N2931" s="9" t="s">
        <v>71</v>
      </c>
      <c r="O2931" s="9"/>
      <c r="P2931" s="9" t="n">
        <v>13</v>
      </c>
      <c r="Q2931" s="9" t="n">
        <v>30</v>
      </c>
      <c r="R2931" s="9" t="s">
        <v>53</v>
      </c>
      <c r="S2931" s="9"/>
      <c r="T2931" s="9"/>
      <c r="U2931" s="9" t="str">
        <f aca="false">IF(COUNTIF($A$2:$A$5001,A2931)&gt;1,"Duplicate","Unique")</f>
        <v>Unique</v>
      </c>
      <c r="V2931" s="9" t="str">
        <f aca="false">IF(COUNTIFS($B$2:$B$5001,B2931,$H$2:$H$5001,H2931,$J$2:$J$5001,J2931)&gt;1,"Possible Duplicate Booking","Unique")</f>
        <v>Unique</v>
      </c>
      <c r="W2931" s="9" t="str">
        <f aca="false">IF((H2931-G2931)&lt;&gt;K2931,"Mismatch","OK")</f>
        <v>OK</v>
      </c>
      <c r="X2931" s="9" t="str">
        <f aca="false">IF(TEXT(H2931,"dddd")&lt;&gt;I2931,"Mismatch","OK")</f>
        <v>OK</v>
      </c>
      <c r="Y2931" s="9" t="str">
        <f aca="false">IF(AND(N2931="No",O2931&lt;&gt;""),"Unexpected: channel present but no reminder sent",IF(AND(N2931="Yes",O2931=""),"Missing channel for sent reminder","OK"))</f>
        <v>OK</v>
      </c>
    </row>
    <row r="2932" customFormat="false" ht="15" hidden="false" customHeight="false" outlineLevel="0" collapsed="false">
      <c r="A2932" s="7" t="s">
        <v>4446</v>
      </c>
      <c r="B2932" s="7" t="s">
        <v>399</v>
      </c>
      <c r="C2932" s="7" t="s">
        <v>37</v>
      </c>
      <c r="D2932" s="7" t="n">
        <v>43</v>
      </c>
      <c r="E2932" s="7" t="s">
        <v>38</v>
      </c>
      <c r="F2932" s="7" t="s">
        <v>57</v>
      </c>
      <c r="G2932" s="8" t="n">
        <v>45733</v>
      </c>
      <c r="H2932" s="8" t="n">
        <v>45753</v>
      </c>
      <c r="I2932" s="7" t="s">
        <v>75</v>
      </c>
      <c r="J2932" s="7" t="s">
        <v>41</v>
      </c>
      <c r="K2932" s="7" t="n">
        <v>20</v>
      </c>
      <c r="L2932" s="7" t="n">
        <v>4</v>
      </c>
      <c r="M2932" s="7" t="n">
        <v>0</v>
      </c>
      <c r="N2932" s="7" t="s">
        <v>42</v>
      </c>
      <c r="O2932" s="7" t="s">
        <v>43</v>
      </c>
      <c r="P2932" s="7" t="n">
        <v>5.2</v>
      </c>
      <c r="Q2932" s="7" t="n">
        <v>34</v>
      </c>
      <c r="R2932" s="7" t="s">
        <v>53</v>
      </c>
      <c r="S2932" s="7"/>
      <c r="T2932" s="7"/>
      <c r="U2932" s="7" t="str">
        <f aca="false">IF(COUNTIF($A$2:$A$5001,A2932)&gt;1,"Duplicate","Unique")</f>
        <v>Unique</v>
      </c>
      <c r="V2932" s="7" t="str">
        <f aca="false">IF(COUNTIFS($B$2:$B$5001,B2932,$H$2:$H$5001,H2932,$J$2:$J$5001,J2932)&gt;1,"Possible Duplicate Booking","Unique")</f>
        <v>Unique</v>
      </c>
      <c r="W2932" s="7" t="str">
        <f aca="false">IF((H2932-G2932)&lt;&gt;K2932,"Mismatch","OK")</f>
        <v>OK</v>
      </c>
      <c r="X2932" s="7" t="str">
        <f aca="false">IF(TEXT(H2932,"dddd")&lt;&gt;I2932,"Mismatch","OK")</f>
        <v>OK</v>
      </c>
      <c r="Y2932" s="7" t="str">
        <f aca="false">IF(AND(N2932="No",O2932&lt;&gt;""),"Unexpected: channel present but no reminder sent",IF(AND(N2932="Yes",O2932=""),"Missing channel for sent reminder","OK"))</f>
        <v>OK</v>
      </c>
    </row>
    <row r="2933" customFormat="false" ht="15" hidden="false" customHeight="false" outlineLevel="0" collapsed="false">
      <c r="A2933" s="9" t="s">
        <v>4447</v>
      </c>
      <c r="B2933" s="9" t="s">
        <v>4259</v>
      </c>
      <c r="C2933" s="9" t="s">
        <v>47</v>
      </c>
      <c r="D2933" s="9" t="n">
        <v>71</v>
      </c>
      <c r="E2933" s="9" t="s">
        <v>70</v>
      </c>
      <c r="F2933" s="9" t="s">
        <v>39</v>
      </c>
      <c r="G2933" s="10" t="n">
        <v>46020</v>
      </c>
      <c r="H2933" s="10" t="n">
        <v>46025</v>
      </c>
      <c r="I2933" s="9" t="s">
        <v>102</v>
      </c>
      <c r="J2933" s="9" t="s">
        <v>41</v>
      </c>
      <c r="K2933" s="9" t="n">
        <v>5</v>
      </c>
      <c r="L2933" s="9" t="n">
        <v>5</v>
      </c>
      <c r="M2933" s="9" t="n">
        <v>1</v>
      </c>
      <c r="N2933" s="9" t="s">
        <v>42</v>
      </c>
      <c r="O2933" s="9" t="s">
        <v>67</v>
      </c>
      <c r="P2933" s="9" t="n">
        <v>12.5</v>
      </c>
      <c r="Q2933" s="9" t="n">
        <v>17</v>
      </c>
      <c r="R2933" s="9" t="s">
        <v>53</v>
      </c>
      <c r="S2933" s="9"/>
      <c r="T2933" s="9"/>
      <c r="U2933" s="9" t="str">
        <f aca="false">IF(COUNTIF($A$2:$A$5001,A2933)&gt;1,"Duplicate","Unique")</f>
        <v>Unique</v>
      </c>
      <c r="V2933" s="9" t="str">
        <f aca="false">IF(COUNTIFS($B$2:$B$5001,B2933,$H$2:$H$5001,H2933,$J$2:$J$5001,J2933)&gt;1,"Possible Duplicate Booking","Unique")</f>
        <v>Unique</v>
      </c>
      <c r="W2933" s="9" t="str">
        <f aca="false">IF((H2933-G2933)&lt;&gt;K2933,"Mismatch","OK")</f>
        <v>OK</v>
      </c>
      <c r="X2933" s="9" t="str">
        <f aca="false">IF(TEXT(H2933,"dddd")&lt;&gt;I2933,"Mismatch","OK")</f>
        <v>OK</v>
      </c>
      <c r="Y2933" s="9" t="str">
        <f aca="false">IF(AND(N2933="No",O2933&lt;&gt;""),"Unexpected: channel present but no reminder sent",IF(AND(N2933="Yes",O2933=""),"Missing channel for sent reminder","OK"))</f>
        <v>OK</v>
      </c>
    </row>
    <row r="2934" customFormat="false" ht="15" hidden="false" customHeight="false" outlineLevel="0" collapsed="false">
      <c r="A2934" s="7" t="s">
        <v>4448</v>
      </c>
      <c r="B2934" s="7" t="s">
        <v>4449</v>
      </c>
      <c r="C2934" s="7" t="s">
        <v>47</v>
      </c>
      <c r="D2934" s="7" t="n">
        <v>40</v>
      </c>
      <c r="E2934" s="7" t="s">
        <v>38</v>
      </c>
      <c r="F2934" s="7" t="s">
        <v>57</v>
      </c>
      <c r="G2934" s="8" t="n">
        <v>45721</v>
      </c>
      <c r="H2934" s="8" t="n">
        <v>45746</v>
      </c>
      <c r="I2934" s="7" t="s">
        <v>75</v>
      </c>
      <c r="J2934" s="7" t="s">
        <v>63</v>
      </c>
      <c r="K2934" s="7" t="n">
        <v>25</v>
      </c>
      <c r="L2934" s="7" t="n">
        <v>1</v>
      </c>
      <c r="M2934" s="7" t="n">
        <v>1</v>
      </c>
      <c r="N2934" s="7" t="s">
        <v>71</v>
      </c>
      <c r="O2934" s="7"/>
      <c r="P2934" s="7" t="n">
        <v>6.9</v>
      </c>
      <c r="Q2934" s="7" t="n">
        <v>39</v>
      </c>
      <c r="R2934" s="7" t="s">
        <v>44</v>
      </c>
      <c r="S2934" s="7"/>
      <c r="T2934" s="7"/>
      <c r="U2934" s="7" t="str">
        <f aca="false">IF(COUNTIF($A$2:$A$5001,A2934)&gt;1,"Duplicate","Unique")</f>
        <v>Unique</v>
      </c>
      <c r="V2934" s="7" t="str">
        <f aca="false">IF(COUNTIFS($B$2:$B$5001,B2934,$H$2:$H$5001,H2934,$J$2:$J$5001,J2934)&gt;1,"Possible Duplicate Booking","Unique")</f>
        <v>Unique</v>
      </c>
      <c r="W2934" s="7" t="str">
        <f aca="false">IF((H2934-G2934)&lt;&gt;K2934,"Mismatch","OK")</f>
        <v>OK</v>
      </c>
      <c r="X2934" s="7" t="str">
        <f aca="false">IF(TEXT(H2934,"dddd")&lt;&gt;I2934,"Mismatch","OK")</f>
        <v>OK</v>
      </c>
      <c r="Y2934" s="7" t="str">
        <f aca="false">IF(AND(N2934="No",O2934&lt;&gt;""),"Unexpected: channel present but no reminder sent",IF(AND(N2934="Yes",O2934=""),"Missing channel for sent reminder","OK"))</f>
        <v>OK</v>
      </c>
    </row>
    <row r="2935" customFormat="false" ht="15" hidden="false" customHeight="false" outlineLevel="0" collapsed="false">
      <c r="A2935" s="9" t="s">
        <v>4450</v>
      </c>
      <c r="B2935" s="9" t="s">
        <v>1030</v>
      </c>
      <c r="C2935" s="9" t="s">
        <v>47</v>
      </c>
      <c r="D2935" s="9" t="n">
        <v>33</v>
      </c>
      <c r="E2935" s="9" t="s">
        <v>48</v>
      </c>
      <c r="F2935" s="9" t="s">
        <v>39</v>
      </c>
      <c r="G2935" s="10" t="n">
        <v>45865</v>
      </c>
      <c r="H2935" s="10" t="n">
        <v>45895</v>
      </c>
      <c r="I2935" s="9" t="s">
        <v>40</v>
      </c>
      <c r="J2935" s="9" t="s">
        <v>41</v>
      </c>
      <c r="K2935" s="9" t="n">
        <v>30</v>
      </c>
      <c r="L2935" s="9" t="n">
        <v>3</v>
      </c>
      <c r="M2935" s="9" t="n">
        <v>2</v>
      </c>
      <c r="N2935" s="9" t="s">
        <v>71</v>
      </c>
      <c r="O2935" s="9"/>
      <c r="P2935" s="9" t="n">
        <v>19.4</v>
      </c>
      <c r="Q2935" s="9" t="n">
        <v>19</v>
      </c>
      <c r="R2935" s="9" t="s">
        <v>44</v>
      </c>
      <c r="S2935" s="9"/>
      <c r="T2935" s="9"/>
      <c r="U2935" s="9" t="str">
        <f aca="false">IF(COUNTIF($A$2:$A$5001,A2935)&gt;1,"Duplicate","Unique")</f>
        <v>Unique</v>
      </c>
      <c r="V2935" s="9" t="str">
        <f aca="false">IF(COUNTIFS($B$2:$B$5001,B2935,$H$2:$H$5001,H2935,$J$2:$J$5001,J2935)&gt;1,"Possible Duplicate Booking","Unique")</f>
        <v>Unique</v>
      </c>
      <c r="W2935" s="9" t="str">
        <f aca="false">IF((H2935-G2935)&lt;&gt;K2935,"Mismatch","OK")</f>
        <v>OK</v>
      </c>
      <c r="X2935" s="9" t="str">
        <f aca="false">IF(TEXT(H2935,"dddd")&lt;&gt;I2935,"Mismatch","OK")</f>
        <v>OK</v>
      </c>
      <c r="Y2935" s="9" t="str">
        <f aca="false">IF(AND(N2935="No",O2935&lt;&gt;""),"Unexpected: channel present but no reminder sent",IF(AND(N2935="Yes",O2935=""),"Missing channel for sent reminder","OK"))</f>
        <v>OK</v>
      </c>
    </row>
    <row r="2936" customFormat="false" ht="15" hidden="false" customHeight="false" outlineLevel="0" collapsed="false">
      <c r="A2936" s="7" t="s">
        <v>4451</v>
      </c>
      <c r="B2936" s="7" t="s">
        <v>1468</v>
      </c>
      <c r="C2936" s="7" t="s">
        <v>37</v>
      </c>
      <c r="D2936" s="7" t="n">
        <v>72</v>
      </c>
      <c r="E2936" s="7" t="s">
        <v>70</v>
      </c>
      <c r="F2936" s="7" t="s">
        <v>57</v>
      </c>
      <c r="G2936" s="8" t="n">
        <v>46059</v>
      </c>
      <c r="H2936" s="8" t="n">
        <v>46099</v>
      </c>
      <c r="I2936" s="7" t="s">
        <v>58</v>
      </c>
      <c r="J2936" s="7" t="s">
        <v>51</v>
      </c>
      <c r="K2936" s="7" t="n">
        <v>40</v>
      </c>
      <c r="L2936" s="7" t="n">
        <v>2</v>
      </c>
      <c r="M2936" s="7" t="n">
        <v>0</v>
      </c>
      <c r="N2936" s="7" t="s">
        <v>71</v>
      </c>
      <c r="O2936" s="7"/>
      <c r="P2936" s="7" t="n">
        <v>3.3</v>
      </c>
      <c r="Q2936" s="7" t="n">
        <v>36</v>
      </c>
      <c r="R2936" s="7" t="s">
        <v>87</v>
      </c>
      <c r="S2936" s="7"/>
      <c r="T2936" s="7"/>
      <c r="U2936" s="7" t="str">
        <f aca="false">IF(COUNTIF($A$2:$A$5001,A2936)&gt;1,"Duplicate","Unique")</f>
        <v>Unique</v>
      </c>
      <c r="V2936" s="7" t="str">
        <f aca="false">IF(COUNTIFS($B$2:$B$5001,B2936,$H$2:$H$5001,H2936,$J$2:$J$5001,J2936)&gt;1,"Possible Duplicate Booking","Unique")</f>
        <v>Unique</v>
      </c>
      <c r="W2936" s="7" t="str">
        <f aca="false">IF((H2936-G2936)&lt;&gt;K2936,"Mismatch","OK")</f>
        <v>OK</v>
      </c>
      <c r="X2936" s="7" t="str">
        <f aca="false">IF(TEXT(H2936,"dddd")&lt;&gt;I2936,"Mismatch","OK")</f>
        <v>OK</v>
      </c>
      <c r="Y2936" s="7" t="str">
        <f aca="false">IF(AND(N2936="No",O2936&lt;&gt;""),"Unexpected: channel present but no reminder sent",IF(AND(N2936="Yes",O2936=""),"Missing channel for sent reminder","OK"))</f>
        <v>OK</v>
      </c>
    </row>
    <row r="2937" customFormat="false" ht="15" hidden="false" customHeight="false" outlineLevel="0" collapsed="false">
      <c r="A2937" s="9" t="s">
        <v>4452</v>
      </c>
      <c r="B2937" s="9" t="s">
        <v>2232</v>
      </c>
      <c r="C2937" s="9" t="s">
        <v>37</v>
      </c>
      <c r="D2937" s="9" t="n">
        <v>64</v>
      </c>
      <c r="E2937" s="9" t="s">
        <v>61</v>
      </c>
      <c r="F2937" s="9" t="s">
        <v>74</v>
      </c>
      <c r="G2937" s="10" t="n">
        <v>45773</v>
      </c>
      <c r="H2937" s="10" t="n">
        <v>45782</v>
      </c>
      <c r="I2937" s="9" t="s">
        <v>66</v>
      </c>
      <c r="J2937" s="9" t="s">
        <v>51</v>
      </c>
      <c r="K2937" s="9" t="n">
        <v>9</v>
      </c>
      <c r="L2937" s="9" t="n">
        <v>5</v>
      </c>
      <c r="M2937" s="9" t="n">
        <v>1</v>
      </c>
      <c r="N2937" s="9" t="s">
        <v>42</v>
      </c>
      <c r="O2937" s="9" t="s">
        <v>43</v>
      </c>
      <c r="P2937" s="9" t="n">
        <v>7.7</v>
      </c>
      <c r="Q2937" s="9" t="n">
        <v>23</v>
      </c>
      <c r="R2937" s="9" t="s">
        <v>53</v>
      </c>
      <c r="S2937" s="9"/>
      <c r="T2937" s="9"/>
      <c r="U2937" s="9" t="str">
        <f aca="false">IF(COUNTIF($A$2:$A$5001,A2937)&gt;1,"Duplicate","Unique")</f>
        <v>Unique</v>
      </c>
      <c r="V2937" s="9" t="str">
        <f aca="false">IF(COUNTIFS($B$2:$B$5001,B2937,$H$2:$H$5001,H2937,$J$2:$J$5001,J2937)&gt;1,"Possible Duplicate Booking","Unique")</f>
        <v>Unique</v>
      </c>
      <c r="W2937" s="9" t="str">
        <f aca="false">IF((H2937-G2937)&lt;&gt;K2937,"Mismatch","OK")</f>
        <v>OK</v>
      </c>
      <c r="X2937" s="9" t="str">
        <f aca="false">IF(TEXT(H2937,"dddd")&lt;&gt;I2937,"Mismatch","OK")</f>
        <v>OK</v>
      </c>
      <c r="Y2937" s="9" t="str">
        <f aca="false">IF(AND(N2937="No",O2937&lt;&gt;""),"Unexpected: channel present but no reminder sent",IF(AND(N2937="Yes",O2937=""),"Missing channel for sent reminder","OK"))</f>
        <v>OK</v>
      </c>
    </row>
    <row r="2938" customFormat="false" ht="15" hidden="false" customHeight="false" outlineLevel="0" collapsed="false">
      <c r="A2938" s="7" t="s">
        <v>4453</v>
      </c>
      <c r="B2938" s="7" t="s">
        <v>4454</v>
      </c>
      <c r="C2938" s="7" t="s">
        <v>47</v>
      </c>
      <c r="D2938" s="7" t="n">
        <v>56</v>
      </c>
      <c r="E2938" s="7" t="s">
        <v>61</v>
      </c>
      <c r="F2938" s="7" t="s">
        <v>57</v>
      </c>
      <c r="G2938" s="8" t="n">
        <v>46066</v>
      </c>
      <c r="H2938" s="8" t="n">
        <v>46077</v>
      </c>
      <c r="I2938" s="7" t="s">
        <v>40</v>
      </c>
      <c r="J2938" s="7" t="s">
        <v>51</v>
      </c>
      <c r="K2938" s="7" t="n">
        <v>11</v>
      </c>
      <c r="L2938" s="7" t="n">
        <v>5</v>
      </c>
      <c r="M2938" s="7" t="n">
        <v>0</v>
      </c>
      <c r="N2938" s="7" t="s">
        <v>42</v>
      </c>
      <c r="O2938" s="7" t="s">
        <v>52</v>
      </c>
      <c r="P2938" s="7" t="n">
        <v>10</v>
      </c>
      <c r="Q2938" s="7" t="n">
        <v>18</v>
      </c>
      <c r="R2938" s="7" t="s">
        <v>53</v>
      </c>
      <c r="S2938" s="7"/>
      <c r="T2938" s="7"/>
      <c r="U2938" s="7" t="str">
        <f aca="false">IF(COUNTIF($A$2:$A$5001,A2938)&gt;1,"Duplicate","Unique")</f>
        <v>Unique</v>
      </c>
      <c r="V2938" s="7" t="str">
        <f aca="false">IF(COUNTIFS($B$2:$B$5001,B2938,$H$2:$H$5001,H2938,$J$2:$J$5001,J2938)&gt;1,"Possible Duplicate Booking","Unique")</f>
        <v>Unique</v>
      </c>
      <c r="W2938" s="7" t="str">
        <f aca="false">IF((H2938-G2938)&lt;&gt;K2938,"Mismatch","OK")</f>
        <v>OK</v>
      </c>
      <c r="X2938" s="7" t="str">
        <f aca="false">IF(TEXT(H2938,"dddd")&lt;&gt;I2938,"Mismatch","OK")</f>
        <v>OK</v>
      </c>
      <c r="Y2938" s="7" t="str">
        <f aca="false">IF(AND(N2938="No",O2938&lt;&gt;""),"Unexpected: channel present but no reminder sent",IF(AND(N2938="Yes",O2938=""),"Missing channel for sent reminder","OK"))</f>
        <v>OK</v>
      </c>
    </row>
    <row r="2939" customFormat="false" ht="15" hidden="false" customHeight="false" outlineLevel="0" collapsed="false">
      <c r="A2939" s="9" t="s">
        <v>4455</v>
      </c>
      <c r="B2939" s="9" t="s">
        <v>260</v>
      </c>
      <c r="C2939" s="9" t="s">
        <v>47</v>
      </c>
      <c r="D2939" s="9" t="n">
        <v>78</v>
      </c>
      <c r="E2939" s="9" t="s">
        <v>70</v>
      </c>
      <c r="F2939" s="9" t="s">
        <v>74</v>
      </c>
      <c r="G2939" s="10" t="n">
        <v>46026</v>
      </c>
      <c r="H2939" s="10" t="n">
        <v>46052</v>
      </c>
      <c r="I2939" s="9" t="s">
        <v>50</v>
      </c>
      <c r="J2939" s="9" t="s">
        <v>41</v>
      </c>
      <c r="K2939" s="9" t="n">
        <v>26</v>
      </c>
      <c r="L2939" s="9" t="n">
        <v>6</v>
      </c>
      <c r="M2939" s="9" t="n">
        <v>2</v>
      </c>
      <c r="N2939" s="9" t="s">
        <v>71</v>
      </c>
      <c r="O2939" s="9"/>
      <c r="P2939" s="9" t="n">
        <v>14.3</v>
      </c>
      <c r="Q2939" s="9" t="n">
        <v>2</v>
      </c>
      <c r="R2939" s="9" t="s">
        <v>87</v>
      </c>
      <c r="S2939" s="9"/>
      <c r="T2939" s="9"/>
      <c r="U2939" s="9" t="str">
        <f aca="false">IF(COUNTIF($A$2:$A$5001,A2939)&gt;1,"Duplicate","Unique")</f>
        <v>Unique</v>
      </c>
      <c r="V2939" s="9" t="str">
        <f aca="false">IF(COUNTIFS($B$2:$B$5001,B2939,$H$2:$H$5001,H2939,$J$2:$J$5001,J2939)&gt;1,"Possible Duplicate Booking","Unique")</f>
        <v>Unique</v>
      </c>
      <c r="W2939" s="9" t="str">
        <f aca="false">IF((H2939-G2939)&lt;&gt;K2939,"Mismatch","OK")</f>
        <v>OK</v>
      </c>
      <c r="X2939" s="9" t="str">
        <f aca="false">IF(TEXT(H2939,"dddd")&lt;&gt;I2939,"Mismatch","OK")</f>
        <v>OK</v>
      </c>
      <c r="Y2939" s="9" t="str">
        <f aca="false">IF(AND(N2939="No",O2939&lt;&gt;""),"Unexpected: channel present but no reminder sent",IF(AND(N2939="Yes",O2939=""),"Missing channel for sent reminder","OK"))</f>
        <v>OK</v>
      </c>
    </row>
    <row r="2940" customFormat="false" ht="15" hidden="false" customHeight="false" outlineLevel="0" collapsed="false">
      <c r="A2940" s="7" t="s">
        <v>4456</v>
      </c>
      <c r="B2940" s="7" t="s">
        <v>905</v>
      </c>
      <c r="C2940" s="7" t="s">
        <v>37</v>
      </c>
      <c r="D2940" s="7" t="n">
        <v>67</v>
      </c>
      <c r="E2940" s="7" t="s">
        <v>70</v>
      </c>
      <c r="F2940" s="7" t="s">
        <v>74</v>
      </c>
      <c r="G2940" s="8" t="n">
        <v>46146</v>
      </c>
      <c r="H2940" s="8" t="n">
        <v>46150</v>
      </c>
      <c r="I2940" s="7" t="s">
        <v>50</v>
      </c>
      <c r="J2940" s="7" t="s">
        <v>63</v>
      </c>
      <c r="K2940" s="7" t="n">
        <v>4</v>
      </c>
      <c r="L2940" s="7" t="n">
        <v>2</v>
      </c>
      <c r="M2940" s="7" t="n">
        <v>0</v>
      </c>
      <c r="N2940" s="7" t="s">
        <v>42</v>
      </c>
      <c r="O2940" s="7" t="s">
        <v>43</v>
      </c>
      <c r="P2940" s="7" t="n">
        <v>13.6</v>
      </c>
      <c r="Q2940" s="7" t="n">
        <v>22</v>
      </c>
      <c r="R2940" s="7" t="s">
        <v>53</v>
      </c>
      <c r="S2940" s="7"/>
      <c r="T2940" s="7"/>
      <c r="U2940" s="7" t="str">
        <f aca="false">IF(COUNTIF($A$2:$A$5001,A2940)&gt;1,"Duplicate","Unique")</f>
        <v>Unique</v>
      </c>
      <c r="V2940" s="7" t="str">
        <f aca="false">IF(COUNTIFS($B$2:$B$5001,B2940,$H$2:$H$5001,H2940,$J$2:$J$5001,J2940)&gt;1,"Possible Duplicate Booking","Unique")</f>
        <v>Unique</v>
      </c>
      <c r="W2940" s="7" t="str">
        <f aca="false">IF((H2940-G2940)&lt;&gt;K2940,"Mismatch","OK")</f>
        <v>OK</v>
      </c>
      <c r="X2940" s="7" t="str">
        <f aca="false">IF(TEXT(H2940,"dddd")&lt;&gt;I2940,"Mismatch","OK")</f>
        <v>OK</v>
      </c>
      <c r="Y2940" s="7" t="str">
        <f aca="false">IF(AND(N2940="No",O2940&lt;&gt;""),"Unexpected: channel present but no reminder sent",IF(AND(N2940="Yes",O2940=""),"Missing channel for sent reminder","OK"))</f>
        <v>OK</v>
      </c>
    </row>
    <row r="2941" customFormat="false" ht="15" hidden="false" customHeight="false" outlineLevel="0" collapsed="false">
      <c r="A2941" s="9" t="s">
        <v>4457</v>
      </c>
      <c r="B2941" s="9" t="s">
        <v>4458</v>
      </c>
      <c r="C2941" s="9" t="s">
        <v>37</v>
      </c>
      <c r="D2941" s="9" t="n">
        <v>72</v>
      </c>
      <c r="E2941" s="9" t="s">
        <v>70</v>
      </c>
      <c r="F2941" s="9" t="s">
        <v>39</v>
      </c>
      <c r="G2941" s="10" t="n">
        <v>45742</v>
      </c>
      <c r="H2941" s="10" t="n">
        <v>45750</v>
      </c>
      <c r="I2941" s="9" t="s">
        <v>62</v>
      </c>
      <c r="J2941" s="9" t="s">
        <v>41</v>
      </c>
      <c r="K2941" s="9" t="n">
        <v>8</v>
      </c>
      <c r="L2941" s="9" t="n">
        <v>2</v>
      </c>
      <c r="M2941" s="9" t="n">
        <v>1</v>
      </c>
      <c r="N2941" s="9" t="s">
        <v>42</v>
      </c>
      <c r="O2941" s="9" t="s">
        <v>52</v>
      </c>
      <c r="P2941" s="9" t="n">
        <v>6.3</v>
      </c>
      <c r="Q2941" s="9" t="n">
        <v>10</v>
      </c>
      <c r="R2941" s="9" t="s">
        <v>53</v>
      </c>
      <c r="S2941" s="9"/>
      <c r="T2941" s="9"/>
      <c r="U2941" s="9" t="str">
        <f aca="false">IF(COUNTIF($A$2:$A$5001,A2941)&gt;1,"Duplicate","Unique")</f>
        <v>Unique</v>
      </c>
      <c r="V2941" s="9" t="str">
        <f aca="false">IF(COUNTIFS($B$2:$B$5001,B2941,$H$2:$H$5001,H2941,$J$2:$J$5001,J2941)&gt;1,"Possible Duplicate Booking","Unique")</f>
        <v>Unique</v>
      </c>
      <c r="W2941" s="9" t="str">
        <f aca="false">IF((H2941-G2941)&lt;&gt;K2941,"Mismatch","OK")</f>
        <v>OK</v>
      </c>
      <c r="X2941" s="9" t="str">
        <f aca="false">IF(TEXT(H2941,"dddd")&lt;&gt;I2941,"Mismatch","OK")</f>
        <v>OK</v>
      </c>
      <c r="Y2941" s="9" t="str">
        <f aca="false">IF(AND(N2941="No",O2941&lt;&gt;""),"Unexpected: channel present but no reminder sent",IF(AND(N2941="Yes",O2941=""),"Missing channel for sent reminder","OK"))</f>
        <v>OK</v>
      </c>
    </row>
    <row r="2942" customFormat="false" ht="15" hidden="false" customHeight="false" outlineLevel="0" collapsed="false">
      <c r="A2942" s="7" t="s">
        <v>4459</v>
      </c>
      <c r="B2942" s="7" t="s">
        <v>4460</v>
      </c>
      <c r="C2942" s="7" t="s">
        <v>47</v>
      </c>
      <c r="D2942" s="7" t="n">
        <v>68</v>
      </c>
      <c r="E2942" s="7" t="s">
        <v>70</v>
      </c>
      <c r="F2942" s="7" t="s">
        <v>57</v>
      </c>
      <c r="G2942" s="8" t="n">
        <v>46010</v>
      </c>
      <c r="H2942" s="8" t="n">
        <v>46048</v>
      </c>
      <c r="I2942" s="7" t="s">
        <v>66</v>
      </c>
      <c r="J2942" s="7" t="s">
        <v>51</v>
      </c>
      <c r="K2942" s="7" t="n">
        <v>38</v>
      </c>
      <c r="L2942" s="7" t="n">
        <v>3</v>
      </c>
      <c r="M2942" s="7" t="n">
        <v>0</v>
      </c>
      <c r="N2942" s="7" t="s">
        <v>71</v>
      </c>
      <c r="O2942" s="7"/>
      <c r="P2942" s="7" t="n">
        <v>7.1</v>
      </c>
      <c r="Q2942" s="7" t="n">
        <v>14</v>
      </c>
      <c r="R2942" s="7" t="s">
        <v>53</v>
      </c>
      <c r="S2942" s="7"/>
      <c r="T2942" s="7"/>
      <c r="U2942" s="7" t="str">
        <f aca="false">IF(COUNTIF($A$2:$A$5001,A2942)&gt;1,"Duplicate","Unique")</f>
        <v>Unique</v>
      </c>
      <c r="V2942" s="7" t="str">
        <f aca="false">IF(COUNTIFS($B$2:$B$5001,B2942,$H$2:$H$5001,H2942,$J$2:$J$5001,J2942)&gt;1,"Possible Duplicate Booking","Unique")</f>
        <v>Unique</v>
      </c>
      <c r="W2942" s="7" t="str">
        <f aca="false">IF((H2942-G2942)&lt;&gt;K2942,"Mismatch","OK")</f>
        <v>OK</v>
      </c>
      <c r="X2942" s="7" t="str">
        <f aca="false">IF(TEXT(H2942,"dddd")&lt;&gt;I2942,"Mismatch","OK")</f>
        <v>OK</v>
      </c>
      <c r="Y2942" s="7" t="str">
        <f aca="false">IF(AND(N2942="No",O2942&lt;&gt;""),"Unexpected: channel present but no reminder sent",IF(AND(N2942="Yes",O2942=""),"Missing channel for sent reminder","OK"))</f>
        <v>OK</v>
      </c>
    </row>
    <row r="2943" customFormat="false" ht="15" hidden="false" customHeight="false" outlineLevel="0" collapsed="false">
      <c r="A2943" s="9" t="s">
        <v>4461</v>
      </c>
      <c r="B2943" s="9" t="s">
        <v>1633</v>
      </c>
      <c r="C2943" s="9" t="s">
        <v>47</v>
      </c>
      <c r="D2943" s="9" t="n">
        <v>43</v>
      </c>
      <c r="E2943" s="9" t="s">
        <v>38</v>
      </c>
      <c r="F2943" s="9" t="s">
        <v>57</v>
      </c>
      <c r="G2943" s="10" t="n">
        <v>46111</v>
      </c>
      <c r="H2943" s="10" t="n">
        <v>46169</v>
      </c>
      <c r="I2943" s="9" t="s">
        <v>58</v>
      </c>
      <c r="J2943" s="9" t="s">
        <v>63</v>
      </c>
      <c r="K2943" s="9" t="n">
        <v>58</v>
      </c>
      <c r="L2943" s="9" t="n">
        <v>3</v>
      </c>
      <c r="M2943" s="9" t="n">
        <v>0</v>
      </c>
      <c r="N2943" s="9" t="s">
        <v>42</v>
      </c>
      <c r="O2943" s="9" t="s">
        <v>52</v>
      </c>
      <c r="P2943" s="9" t="n">
        <v>4.5</v>
      </c>
      <c r="Q2943" s="9" t="n">
        <v>30</v>
      </c>
      <c r="R2943" s="9" t="s">
        <v>44</v>
      </c>
      <c r="S2943" s="9"/>
      <c r="T2943" s="9"/>
      <c r="U2943" s="9" t="str">
        <f aca="false">IF(COUNTIF($A$2:$A$5001,A2943)&gt;1,"Duplicate","Unique")</f>
        <v>Unique</v>
      </c>
      <c r="V2943" s="9" t="str">
        <f aca="false">IF(COUNTIFS($B$2:$B$5001,B2943,$H$2:$H$5001,H2943,$J$2:$J$5001,J2943)&gt;1,"Possible Duplicate Booking","Unique")</f>
        <v>Unique</v>
      </c>
      <c r="W2943" s="9" t="str">
        <f aca="false">IF((H2943-G2943)&lt;&gt;K2943,"Mismatch","OK")</f>
        <v>OK</v>
      </c>
      <c r="X2943" s="9" t="str">
        <f aca="false">IF(TEXT(H2943,"dddd")&lt;&gt;I2943,"Mismatch","OK")</f>
        <v>OK</v>
      </c>
      <c r="Y2943" s="9" t="str">
        <f aca="false">IF(AND(N2943="No",O2943&lt;&gt;""),"Unexpected: channel present but no reminder sent",IF(AND(N2943="Yes",O2943=""),"Missing channel for sent reminder","OK"))</f>
        <v>OK</v>
      </c>
    </row>
    <row r="2944" customFormat="false" ht="15" hidden="false" customHeight="false" outlineLevel="0" collapsed="false">
      <c r="A2944" s="7" t="s">
        <v>4462</v>
      </c>
      <c r="B2944" s="7" t="s">
        <v>2929</v>
      </c>
      <c r="C2944" s="7" t="s">
        <v>37</v>
      </c>
      <c r="D2944" s="7" t="n">
        <v>21</v>
      </c>
      <c r="E2944" s="7" t="s">
        <v>82</v>
      </c>
      <c r="F2944" s="7" t="s">
        <v>74</v>
      </c>
      <c r="G2944" s="8" t="n">
        <v>46040</v>
      </c>
      <c r="H2944" s="8" t="n">
        <v>46074</v>
      </c>
      <c r="I2944" s="7" t="s">
        <v>102</v>
      </c>
      <c r="J2944" s="7" t="s">
        <v>41</v>
      </c>
      <c r="K2944" s="7" t="n">
        <v>34</v>
      </c>
      <c r="L2944" s="7" t="n">
        <v>2</v>
      </c>
      <c r="M2944" s="7" t="n">
        <v>0</v>
      </c>
      <c r="N2944" s="7" t="s">
        <v>71</v>
      </c>
      <c r="O2944" s="7"/>
      <c r="P2944" s="7" t="n">
        <v>18.1</v>
      </c>
      <c r="Q2944" s="7" t="n">
        <v>7</v>
      </c>
      <c r="R2944" s="7" t="s">
        <v>44</v>
      </c>
      <c r="S2944" s="7"/>
      <c r="T2944" s="7"/>
      <c r="U2944" s="7" t="str">
        <f aca="false">IF(COUNTIF($A$2:$A$5001,A2944)&gt;1,"Duplicate","Unique")</f>
        <v>Unique</v>
      </c>
      <c r="V2944" s="7" t="str">
        <f aca="false">IF(COUNTIFS($B$2:$B$5001,B2944,$H$2:$H$5001,H2944,$J$2:$J$5001,J2944)&gt;1,"Possible Duplicate Booking","Unique")</f>
        <v>Unique</v>
      </c>
      <c r="W2944" s="7" t="str">
        <f aca="false">IF((H2944-G2944)&lt;&gt;K2944,"Mismatch","OK")</f>
        <v>OK</v>
      </c>
      <c r="X2944" s="7" t="str">
        <f aca="false">IF(TEXT(H2944,"dddd")&lt;&gt;I2944,"Mismatch","OK")</f>
        <v>OK</v>
      </c>
      <c r="Y2944" s="7" t="str">
        <f aca="false">IF(AND(N2944="No",O2944&lt;&gt;""),"Unexpected: channel present but no reminder sent",IF(AND(N2944="Yes",O2944=""),"Missing channel for sent reminder","OK"))</f>
        <v>OK</v>
      </c>
    </row>
    <row r="2945" customFormat="false" ht="15" hidden="false" customHeight="false" outlineLevel="0" collapsed="false">
      <c r="A2945" s="9" t="s">
        <v>4463</v>
      </c>
      <c r="B2945" s="9" t="s">
        <v>546</v>
      </c>
      <c r="C2945" s="9" t="s">
        <v>47</v>
      </c>
      <c r="D2945" s="9" t="n">
        <v>56</v>
      </c>
      <c r="E2945" s="9" t="s">
        <v>61</v>
      </c>
      <c r="F2945" s="9" t="s">
        <v>39</v>
      </c>
      <c r="G2945" s="10" t="n">
        <v>45752</v>
      </c>
      <c r="H2945" s="10" t="n">
        <v>45760</v>
      </c>
      <c r="I2945" s="9" t="s">
        <v>75</v>
      </c>
      <c r="J2945" s="9" t="s">
        <v>51</v>
      </c>
      <c r="K2945" s="9" t="n">
        <v>8</v>
      </c>
      <c r="L2945" s="9" t="n">
        <v>3</v>
      </c>
      <c r="M2945" s="9" t="n">
        <v>1</v>
      </c>
      <c r="N2945" s="9" t="s">
        <v>71</v>
      </c>
      <c r="O2945" s="9"/>
      <c r="P2945" s="9" t="n">
        <v>23</v>
      </c>
      <c r="Q2945" s="9" t="n">
        <v>38</v>
      </c>
      <c r="R2945" s="9" t="s">
        <v>53</v>
      </c>
      <c r="S2945" s="9"/>
      <c r="T2945" s="9"/>
      <c r="U2945" s="9" t="str">
        <f aca="false">IF(COUNTIF($A$2:$A$5001,A2945)&gt;1,"Duplicate","Unique")</f>
        <v>Unique</v>
      </c>
      <c r="V2945" s="9" t="str">
        <f aca="false">IF(COUNTIFS($B$2:$B$5001,B2945,$H$2:$H$5001,H2945,$J$2:$J$5001,J2945)&gt;1,"Possible Duplicate Booking","Unique")</f>
        <v>Unique</v>
      </c>
      <c r="W2945" s="9" t="str">
        <f aca="false">IF((H2945-G2945)&lt;&gt;K2945,"Mismatch","OK")</f>
        <v>OK</v>
      </c>
      <c r="X2945" s="9" t="str">
        <f aca="false">IF(TEXT(H2945,"dddd")&lt;&gt;I2945,"Mismatch","OK")</f>
        <v>OK</v>
      </c>
      <c r="Y2945" s="9" t="str">
        <f aca="false">IF(AND(N2945="No",O2945&lt;&gt;""),"Unexpected: channel present but no reminder sent",IF(AND(N2945="Yes",O2945=""),"Missing channel for sent reminder","OK"))</f>
        <v>OK</v>
      </c>
    </row>
    <row r="2946" customFormat="false" ht="15" hidden="false" customHeight="false" outlineLevel="0" collapsed="false">
      <c r="A2946" s="7" t="s">
        <v>4464</v>
      </c>
      <c r="B2946" s="7" t="s">
        <v>2199</v>
      </c>
      <c r="C2946" s="7" t="s">
        <v>37</v>
      </c>
      <c r="D2946" s="7" t="n">
        <v>66</v>
      </c>
      <c r="E2946" s="7" t="s">
        <v>70</v>
      </c>
      <c r="F2946" s="7" t="s">
        <v>39</v>
      </c>
      <c r="G2946" s="8" t="n">
        <v>46046</v>
      </c>
      <c r="H2946" s="8" t="n">
        <v>46106</v>
      </c>
      <c r="I2946" s="7" t="s">
        <v>58</v>
      </c>
      <c r="J2946" s="7" t="s">
        <v>63</v>
      </c>
      <c r="K2946" s="7" t="n">
        <v>60</v>
      </c>
      <c r="L2946" s="7" t="n">
        <v>3</v>
      </c>
      <c r="M2946" s="7" t="n">
        <v>1</v>
      </c>
      <c r="N2946" s="7" t="s">
        <v>42</v>
      </c>
      <c r="O2946" s="7" t="s">
        <v>52</v>
      </c>
      <c r="P2946" s="7" t="n">
        <v>1.9</v>
      </c>
      <c r="Q2946" s="7" t="n">
        <v>52</v>
      </c>
      <c r="R2946" s="7" t="s">
        <v>87</v>
      </c>
      <c r="S2946" s="7"/>
      <c r="T2946" s="7"/>
      <c r="U2946" s="7" t="str">
        <f aca="false">IF(COUNTIF($A$2:$A$5001,A2946)&gt;1,"Duplicate","Unique")</f>
        <v>Unique</v>
      </c>
      <c r="V2946" s="7" t="str">
        <f aca="false">IF(COUNTIFS($B$2:$B$5001,B2946,$H$2:$H$5001,H2946,$J$2:$J$5001,J2946)&gt;1,"Possible Duplicate Booking","Unique")</f>
        <v>Unique</v>
      </c>
      <c r="W2946" s="7" t="str">
        <f aca="false">IF((H2946-G2946)&lt;&gt;K2946,"Mismatch","OK")</f>
        <v>OK</v>
      </c>
      <c r="X2946" s="7" t="str">
        <f aca="false">IF(TEXT(H2946,"dddd")&lt;&gt;I2946,"Mismatch","OK")</f>
        <v>OK</v>
      </c>
      <c r="Y2946" s="7" t="str">
        <f aca="false">IF(AND(N2946="No",O2946&lt;&gt;""),"Unexpected: channel present but no reminder sent",IF(AND(N2946="Yes",O2946=""),"Missing channel for sent reminder","OK"))</f>
        <v>OK</v>
      </c>
    </row>
    <row r="2947" customFormat="false" ht="15" hidden="false" customHeight="false" outlineLevel="0" collapsed="false">
      <c r="A2947" s="9" t="s">
        <v>4465</v>
      </c>
      <c r="B2947" s="9" t="s">
        <v>4466</v>
      </c>
      <c r="C2947" s="9" t="s">
        <v>37</v>
      </c>
      <c r="D2947" s="9" t="n">
        <v>80</v>
      </c>
      <c r="E2947" s="9" t="s">
        <v>70</v>
      </c>
      <c r="F2947" s="9" t="s">
        <v>57</v>
      </c>
      <c r="G2947" s="10" t="n">
        <v>45685</v>
      </c>
      <c r="H2947" s="10" t="n">
        <v>45716</v>
      </c>
      <c r="I2947" s="9" t="s">
        <v>50</v>
      </c>
      <c r="J2947" s="9" t="s">
        <v>51</v>
      </c>
      <c r="K2947" s="9" t="n">
        <v>31</v>
      </c>
      <c r="L2947" s="9" t="n">
        <v>5</v>
      </c>
      <c r="M2947" s="9" t="n">
        <v>1</v>
      </c>
      <c r="N2947" s="9" t="s">
        <v>42</v>
      </c>
      <c r="O2947" s="9" t="s">
        <v>52</v>
      </c>
      <c r="P2947" s="9" t="n">
        <v>15.7</v>
      </c>
      <c r="Q2947" s="9" t="n">
        <v>19</v>
      </c>
      <c r="R2947" s="9" t="s">
        <v>44</v>
      </c>
      <c r="S2947" s="9"/>
      <c r="T2947" s="9"/>
      <c r="U2947" s="9" t="str">
        <f aca="false">IF(COUNTIF($A$2:$A$5001,A2947)&gt;1,"Duplicate","Unique")</f>
        <v>Unique</v>
      </c>
      <c r="V2947" s="9" t="str">
        <f aca="false">IF(COUNTIFS($B$2:$B$5001,B2947,$H$2:$H$5001,H2947,$J$2:$J$5001,J2947)&gt;1,"Possible Duplicate Booking","Unique")</f>
        <v>Unique</v>
      </c>
      <c r="W2947" s="9" t="str">
        <f aca="false">IF((H2947-G2947)&lt;&gt;K2947,"Mismatch","OK")</f>
        <v>OK</v>
      </c>
      <c r="X2947" s="9" t="str">
        <f aca="false">IF(TEXT(H2947,"dddd")&lt;&gt;I2947,"Mismatch","OK")</f>
        <v>OK</v>
      </c>
      <c r="Y2947" s="9" t="str">
        <f aca="false">IF(AND(N2947="No",O2947&lt;&gt;""),"Unexpected: channel present but no reminder sent",IF(AND(N2947="Yes",O2947=""),"Missing channel for sent reminder","OK"))</f>
        <v>OK</v>
      </c>
    </row>
    <row r="2948" customFormat="false" ht="15" hidden="false" customHeight="false" outlineLevel="0" collapsed="false">
      <c r="A2948" s="7" t="s">
        <v>4467</v>
      </c>
      <c r="B2948" s="7" t="s">
        <v>518</v>
      </c>
      <c r="C2948" s="7" t="s">
        <v>37</v>
      </c>
      <c r="D2948" s="7" t="n">
        <v>60</v>
      </c>
      <c r="E2948" s="7" t="s">
        <v>61</v>
      </c>
      <c r="F2948" s="7" t="s">
        <v>49</v>
      </c>
      <c r="G2948" s="8" t="n">
        <v>45936</v>
      </c>
      <c r="H2948" s="8" t="n">
        <v>45979</v>
      </c>
      <c r="I2948" s="7" t="s">
        <v>40</v>
      </c>
      <c r="J2948" s="7" t="s">
        <v>41</v>
      </c>
      <c r="K2948" s="7" t="n">
        <v>43</v>
      </c>
      <c r="L2948" s="7" t="n">
        <v>1</v>
      </c>
      <c r="M2948" s="7" t="n">
        <v>0</v>
      </c>
      <c r="N2948" s="7" t="s">
        <v>42</v>
      </c>
      <c r="O2948" s="7" t="s">
        <v>43</v>
      </c>
      <c r="P2948" s="7" t="n">
        <v>13</v>
      </c>
      <c r="Q2948" s="7" t="n">
        <v>37</v>
      </c>
      <c r="R2948" s="7" t="s">
        <v>44</v>
      </c>
      <c r="S2948" s="7"/>
      <c r="T2948" s="7"/>
      <c r="U2948" s="7" t="str">
        <f aca="false">IF(COUNTIF($A$2:$A$5001,A2948)&gt;1,"Duplicate","Unique")</f>
        <v>Unique</v>
      </c>
      <c r="V2948" s="7" t="str">
        <f aca="false">IF(COUNTIFS($B$2:$B$5001,B2948,$H$2:$H$5001,H2948,$J$2:$J$5001,J2948)&gt;1,"Possible Duplicate Booking","Unique")</f>
        <v>Unique</v>
      </c>
      <c r="W2948" s="7" t="str">
        <f aca="false">IF((H2948-G2948)&lt;&gt;K2948,"Mismatch","OK")</f>
        <v>OK</v>
      </c>
      <c r="X2948" s="7" t="str">
        <f aca="false">IF(TEXT(H2948,"dddd")&lt;&gt;I2948,"Mismatch","OK")</f>
        <v>OK</v>
      </c>
      <c r="Y2948" s="7" t="str">
        <f aca="false">IF(AND(N2948="No",O2948&lt;&gt;""),"Unexpected: channel present but no reminder sent",IF(AND(N2948="Yes",O2948=""),"Missing channel for sent reminder","OK"))</f>
        <v>OK</v>
      </c>
    </row>
    <row r="2949" customFormat="false" ht="15" hidden="false" customHeight="false" outlineLevel="0" collapsed="false">
      <c r="A2949" s="9" t="s">
        <v>4468</v>
      </c>
      <c r="B2949" s="9" t="s">
        <v>4469</v>
      </c>
      <c r="C2949" s="9" t="s">
        <v>37</v>
      </c>
      <c r="D2949" s="9" t="n">
        <v>53</v>
      </c>
      <c r="E2949" s="9" t="s">
        <v>56</v>
      </c>
      <c r="F2949" s="9" t="s">
        <v>57</v>
      </c>
      <c r="G2949" s="10" t="n">
        <v>45917</v>
      </c>
      <c r="H2949" s="10" t="n">
        <v>45929</v>
      </c>
      <c r="I2949" s="9" t="s">
        <v>66</v>
      </c>
      <c r="J2949" s="9" t="s">
        <v>41</v>
      </c>
      <c r="K2949" s="9" t="n">
        <v>12</v>
      </c>
      <c r="L2949" s="9" t="n">
        <v>5</v>
      </c>
      <c r="M2949" s="9" t="n">
        <v>1</v>
      </c>
      <c r="N2949" s="9" t="s">
        <v>42</v>
      </c>
      <c r="O2949" s="9" t="s">
        <v>52</v>
      </c>
      <c r="P2949" s="9" t="n">
        <v>1</v>
      </c>
      <c r="Q2949" s="9" t="n">
        <v>9</v>
      </c>
      <c r="R2949" s="9" t="s">
        <v>44</v>
      </c>
      <c r="S2949" s="9"/>
      <c r="T2949" s="9"/>
      <c r="U2949" s="9" t="str">
        <f aca="false">IF(COUNTIF($A$2:$A$5001,A2949)&gt;1,"Duplicate","Unique")</f>
        <v>Unique</v>
      </c>
      <c r="V2949" s="9" t="str">
        <f aca="false">IF(COUNTIFS($B$2:$B$5001,B2949,$H$2:$H$5001,H2949,$J$2:$J$5001,J2949)&gt;1,"Possible Duplicate Booking","Unique")</f>
        <v>Unique</v>
      </c>
      <c r="W2949" s="9" t="str">
        <f aca="false">IF((H2949-G2949)&lt;&gt;K2949,"Mismatch","OK")</f>
        <v>OK</v>
      </c>
      <c r="X2949" s="9" t="str">
        <f aca="false">IF(TEXT(H2949,"dddd")&lt;&gt;I2949,"Mismatch","OK")</f>
        <v>OK</v>
      </c>
      <c r="Y2949" s="9" t="str">
        <f aca="false">IF(AND(N2949="No",O2949&lt;&gt;""),"Unexpected: channel present but no reminder sent",IF(AND(N2949="Yes",O2949=""),"Missing channel for sent reminder","OK"))</f>
        <v>OK</v>
      </c>
    </row>
    <row r="2950" customFormat="false" ht="15" hidden="false" customHeight="false" outlineLevel="0" collapsed="false">
      <c r="A2950" s="7" t="s">
        <v>4470</v>
      </c>
      <c r="B2950" s="7" t="s">
        <v>3426</v>
      </c>
      <c r="C2950" s="7" t="s">
        <v>47</v>
      </c>
      <c r="D2950" s="7" t="n">
        <v>54</v>
      </c>
      <c r="E2950" s="7" t="s">
        <v>56</v>
      </c>
      <c r="F2950" s="7" t="s">
        <v>57</v>
      </c>
      <c r="G2950" s="8" t="n">
        <v>45912</v>
      </c>
      <c r="H2950" s="8" t="n">
        <v>45947</v>
      </c>
      <c r="I2950" s="7" t="s">
        <v>50</v>
      </c>
      <c r="J2950" s="7" t="s">
        <v>63</v>
      </c>
      <c r="K2950" s="7" t="n">
        <v>35</v>
      </c>
      <c r="L2950" s="7" t="n">
        <v>3</v>
      </c>
      <c r="M2950" s="7" t="n">
        <v>0</v>
      </c>
      <c r="N2950" s="7" t="s">
        <v>42</v>
      </c>
      <c r="O2950" s="7" t="s">
        <v>52</v>
      </c>
      <c r="P2950" s="7" t="n">
        <v>14.9</v>
      </c>
      <c r="Q2950" s="7" t="n">
        <v>28</v>
      </c>
      <c r="R2950" s="7" t="s">
        <v>53</v>
      </c>
      <c r="S2950" s="7"/>
      <c r="T2950" s="7"/>
      <c r="U2950" s="7" t="str">
        <f aca="false">IF(COUNTIF($A$2:$A$5001,A2950)&gt;1,"Duplicate","Unique")</f>
        <v>Unique</v>
      </c>
      <c r="V2950" s="7" t="str">
        <f aca="false">IF(COUNTIFS($B$2:$B$5001,B2950,$H$2:$H$5001,H2950,$J$2:$J$5001,J2950)&gt;1,"Possible Duplicate Booking","Unique")</f>
        <v>Unique</v>
      </c>
      <c r="W2950" s="7" t="str">
        <f aca="false">IF((H2950-G2950)&lt;&gt;K2950,"Mismatch","OK")</f>
        <v>OK</v>
      </c>
      <c r="X2950" s="7" t="str">
        <f aca="false">IF(TEXT(H2950,"dddd")&lt;&gt;I2950,"Mismatch","OK")</f>
        <v>OK</v>
      </c>
      <c r="Y2950" s="7" t="str">
        <f aca="false">IF(AND(N2950="No",O2950&lt;&gt;""),"Unexpected: channel present but no reminder sent",IF(AND(N2950="Yes",O2950=""),"Missing channel for sent reminder","OK"))</f>
        <v>OK</v>
      </c>
    </row>
    <row r="2951" customFormat="false" ht="15" hidden="false" customHeight="false" outlineLevel="0" collapsed="false">
      <c r="A2951" s="9" t="s">
        <v>4471</v>
      </c>
      <c r="B2951" s="9" t="s">
        <v>136</v>
      </c>
      <c r="C2951" s="9" t="s">
        <v>37</v>
      </c>
      <c r="D2951" s="9" t="n">
        <v>25</v>
      </c>
      <c r="E2951" s="9" t="s">
        <v>48</v>
      </c>
      <c r="F2951" s="9" t="s">
        <v>57</v>
      </c>
      <c r="G2951" s="10" t="n">
        <v>45937</v>
      </c>
      <c r="H2951" s="10" t="n">
        <v>45941</v>
      </c>
      <c r="I2951" s="9" t="s">
        <v>102</v>
      </c>
      <c r="J2951" s="9" t="s">
        <v>51</v>
      </c>
      <c r="K2951" s="9" t="n">
        <v>4</v>
      </c>
      <c r="L2951" s="9" t="n">
        <v>4</v>
      </c>
      <c r="M2951" s="9" t="n">
        <v>0</v>
      </c>
      <c r="N2951" s="9" t="s">
        <v>42</v>
      </c>
      <c r="O2951" s="9" t="s">
        <v>52</v>
      </c>
      <c r="P2951" s="9" t="n">
        <v>20</v>
      </c>
      <c r="Q2951" s="9" t="n">
        <v>28</v>
      </c>
      <c r="R2951" s="9" t="s">
        <v>53</v>
      </c>
      <c r="S2951" s="9"/>
      <c r="T2951" s="9"/>
      <c r="U2951" s="9" t="str">
        <f aca="false">IF(COUNTIF($A$2:$A$5001,A2951)&gt;1,"Duplicate","Unique")</f>
        <v>Unique</v>
      </c>
      <c r="V2951" s="9" t="str">
        <f aca="false">IF(COUNTIFS($B$2:$B$5001,B2951,$H$2:$H$5001,H2951,$J$2:$J$5001,J2951)&gt;1,"Possible Duplicate Booking","Unique")</f>
        <v>Unique</v>
      </c>
      <c r="W2951" s="9" t="str">
        <f aca="false">IF((H2951-G2951)&lt;&gt;K2951,"Mismatch","OK")</f>
        <v>OK</v>
      </c>
      <c r="X2951" s="9" t="str">
        <f aca="false">IF(TEXT(H2951,"dddd")&lt;&gt;I2951,"Mismatch","OK")</f>
        <v>OK</v>
      </c>
      <c r="Y2951" s="9" t="str">
        <f aca="false">IF(AND(N2951="No",O2951&lt;&gt;""),"Unexpected: channel present but no reminder sent",IF(AND(N2951="Yes",O2951=""),"Missing channel for sent reminder","OK"))</f>
        <v>OK</v>
      </c>
    </row>
    <row r="2952" customFormat="false" ht="15" hidden="false" customHeight="false" outlineLevel="0" collapsed="false">
      <c r="A2952" s="7" t="s">
        <v>4472</v>
      </c>
      <c r="B2952" s="7" t="s">
        <v>1260</v>
      </c>
      <c r="C2952" s="7" t="s">
        <v>47</v>
      </c>
      <c r="D2952" s="7" t="n">
        <v>18</v>
      </c>
      <c r="E2952" s="7" t="s">
        <v>82</v>
      </c>
      <c r="F2952" s="7" t="s">
        <v>39</v>
      </c>
      <c r="G2952" s="8" t="n">
        <v>45637</v>
      </c>
      <c r="H2952" s="8" t="n">
        <v>45675</v>
      </c>
      <c r="I2952" s="7" t="s">
        <v>102</v>
      </c>
      <c r="J2952" s="7" t="s">
        <v>51</v>
      </c>
      <c r="K2952" s="7" t="n">
        <v>38</v>
      </c>
      <c r="L2952" s="7" t="n">
        <v>3</v>
      </c>
      <c r="M2952" s="7" t="n">
        <v>0</v>
      </c>
      <c r="N2952" s="7" t="s">
        <v>42</v>
      </c>
      <c r="O2952" s="7" t="s">
        <v>43</v>
      </c>
      <c r="P2952" s="7" t="n">
        <v>14</v>
      </c>
      <c r="Q2952" s="7" t="n">
        <v>58</v>
      </c>
      <c r="R2952" s="7" t="s">
        <v>53</v>
      </c>
      <c r="S2952" s="7"/>
      <c r="T2952" s="7"/>
      <c r="U2952" s="7" t="str">
        <f aca="false">IF(COUNTIF($A$2:$A$5001,A2952)&gt;1,"Duplicate","Unique")</f>
        <v>Unique</v>
      </c>
      <c r="V2952" s="7" t="str">
        <f aca="false">IF(COUNTIFS($B$2:$B$5001,B2952,$H$2:$H$5001,H2952,$J$2:$J$5001,J2952)&gt;1,"Possible Duplicate Booking","Unique")</f>
        <v>Unique</v>
      </c>
      <c r="W2952" s="7" t="str">
        <f aca="false">IF((H2952-G2952)&lt;&gt;K2952,"Mismatch","OK")</f>
        <v>OK</v>
      </c>
      <c r="X2952" s="7" t="str">
        <f aca="false">IF(TEXT(H2952,"dddd")&lt;&gt;I2952,"Mismatch","OK")</f>
        <v>OK</v>
      </c>
      <c r="Y2952" s="7" t="str">
        <f aca="false">IF(AND(N2952="No",O2952&lt;&gt;""),"Unexpected: channel present but no reminder sent",IF(AND(N2952="Yes",O2952=""),"Missing channel for sent reminder","OK"))</f>
        <v>OK</v>
      </c>
    </row>
    <row r="2953" customFormat="false" ht="15" hidden="false" customHeight="false" outlineLevel="0" collapsed="false">
      <c r="A2953" s="9" t="s">
        <v>4473</v>
      </c>
      <c r="B2953" s="9" t="s">
        <v>2594</v>
      </c>
      <c r="C2953" s="9" t="s">
        <v>37</v>
      </c>
      <c r="D2953" s="9" t="n">
        <v>20</v>
      </c>
      <c r="E2953" s="9" t="s">
        <v>82</v>
      </c>
      <c r="F2953" s="9" t="s">
        <v>74</v>
      </c>
      <c r="G2953" s="10" t="n">
        <v>45923</v>
      </c>
      <c r="H2953" s="10" t="n">
        <v>45935</v>
      </c>
      <c r="I2953" s="9" t="s">
        <v>75</v>
      </c>
      <c r="J2953" s="9" t="s">
        <v>41</v>
      </c>
      <c r="K2953" s="9" t="n">
        <v>12</v>
      </c>
      <c r="L2953" s="9" t="n">
        <v>2</v>
      </c>
      <c r="M2953" s="9" t="n">
        <v>0</v>
      </c>
      <c r="N2953" s="9" t="s">
        <v>71</v>
      </c>
      <c r="O2953" s="9"/>
      <c r="P2953" s="9" t="n">
        <v>4.3</v>
      </c>
      <c r="Q2953" s="9" t="n">
        <v>20</v>
      </c>
      <c r="R2953" s="9" t="s">
        <v>53</v>
      </c>
      <c r="S2953" s="9"/>
      <c r="T2953" s="9"/>
      <c r="U2953" s="9" t="str">
        <f aca="false">IF(COUNTIF($A$2:$A$5001,A2953)&gt;1,"Duplicate","Unique")</f>
        <v>Unique</v>
      </c>
      <c r="V2953" s="9" t="str">
        <f aca="false">IF(COUNTIFS($B$2:$B$5001,B2953,$H$2:$H$5001,H2953,$J$2:$J$5001,J2953)&gt;1,"Possible Duplicate Booking","Unique")</f>
        <v>Unique</v>
      </c>
      <c r="W2953" s="9" t="str">
        <f aca="false">IF((H2953-G2953)&lt;&gt;K2953,"Mismatch","OK")</f>
        <v>OK</v>
      </c>
      <c r="X2953" s="9" t="str">
        <f aca="false">IF(TEXT(H2953,"dddd")&lt;&gt;I2953,"Mismatch","OK")</f>
        <v>OK</v>
      </c>
      <c r="Y2953" s="9" t="str">
        <f aca="false">IF(AND(N2953="No",O2953&lt;&gt;""),"Unexpected: channel present but no reminder sent",IF(AND(N2953="Yes",O2953=""),"Missing channel for sent reminder","OK"))</f>
        <v>OK</v>
      </c>
    </row>
    <row r="2954" customFormat="false" ht="15" hidden="false" customHeight="false" outlineLevel="0" collapsed="false">
      <c r="A2954" s="7" t="s">
        <v>4474</v>
      </c>
      <c r="B2954" s="7" t="s">
        <v>1665</v>
      </c>
      <c r="C2954" s="7" t="s">
        <v>37</v>
      </c>
      <c r="D2954" s="7" t="n">
        <v>75</v>
      </c>
      <c r="E2954" s="7" t="s">
        <v>70</v>
      </c>
      <c r="F2954" s="7" t="s">
        <v>49</v>
      </c>
      <c r="G2954" s="8" t="n">
        <v>46114</v>
      </c>
      <c r="H2954" s="8" t="n">
        <v>46169</v>
      </c>
      <c r="I2954" s="7" t="s">
        <v>58</v>
      </c>
      <c r="J2954" s="7" t="s">
        <v>63</v>
      </c>
      <c r="K2954" s="7" t="n">
        <v>55</v>
      </c>
      <c r="L2954" s="7" t="n">
        <v>2</v>
      </c>
      <c r="M2954" s="7" t="n">
        <v>1</v>
      </c>
      <c r="N2954" s="7" t="s">
        <v>42</v>
      </c>
      <c r="O2954" s="7" t="s">
        <v>43</v>
      </c>
      <c r="P2954" s="7" t="n">
        <v>25.5</v>
      </c>
      <c r="Q2954" s="7" t="n">
        <v>29</v>
      </c>
      <c r="R2954" s="7" t="s">
        <v>44</v>
      </c>
      <c r="S2954" s="7"/>
      <c r="T2954" s="7"/>
      <c r="U2954" s="7" t="str">
        <f aca="false">IF(COUNTIF($A$2:$A$5001,A2954)&gt;1,"Duplicate","Unique")</f>
        <v>Unique</v>
      </c>
      <c r="V2954" s="7" t="str">
        <f aca="false">IF(COUNTIFS($B$2:$B$5001,B2954,$H$2:$H$5001,H2954,$J$2:$J$5001,J2954)&gt;1,"Possible Duplicate Booking","Unique")</f>
        <v>Unique</v>
      </c>
      <c r="W2954" s="7" t="str">
        <f aca="false">IF((H2954-G2954)&lt;&gt;K2954,"Mismatch","OK")</f>
        <v>OK</v>
      </c>
      <c r="X2954" s="7" t="str">
        <f aca="false">IF(TEXT(H2954,"dddd")&lt;&gt;I2954,"Mismatch","OK")</f>
        <v>OK</v>
      </c>
      <c r="Y2954" s="7" t="str">
        <f aca="false">IF(AND(N2954="No",O2954&lt;&gt;""),"Unexpected: channel present but no reminder sent",IF(AND(N2954="Yes",O2954=""),"Missing channel for sent reminder","OK"))</f>
        <v>OK</v>
      </c>
    </row>
    <row r="2955" customFormat="false" ht="15" hidden="false" customHeight="false" outlineLevel="0" collapsed="false">
      <c r="A2955" s="9" t="s">
        <v>4475</v>
      </c>
      <c r="B2955" s="9" t="s">
        <v>714</v>
      </c>
      <c r="C2955" s="9" t="s">
        <v>37</v>
      </c>
      <c r="D2955" s="9" t="n">
        <v>67</v>
      </c>
      <c r="E2955" s="9" t="s">
        <v>70</v>
      </c>
      <c r="F2955" s="9" t="s">
        <v>57</v>
      </c>
      <c r="G2955" s="10" t="n">
        <v>45893</v>
      </c>
      <c r="H2955" s="10" t="n">
        <v>45896</v>
      </c>
      <c r="I2955" s="9" t="s">
        <v>58</v>
      </c>
      <c r="J2955" s="9" t="s">
        <v>51</v>
      </c>
      <c r="K2955" s="9" t="n">
        <v>3</v>
      </c>
      <c r="L2955" s="9" t="n">
        <v>1</v>
      </c>
      <c r="M2955" s="9" t="n">
        <v>0</v>
      </c>
      <c r="N2955" s="9" t="s">
        <v>42</v>
      </c>
      <c r="O2955" s="9" t="s">
        <v>52</v>
      </c>
      <c r="P2955" s="9" t="n">
        <v>16.3</v>
      </c>
      <c r="Q2955" s="9" t="n">
        <v>22</v>
      </c>
      <c r="R2955" s="9" t="s">
        <v>44</v>
      </c>
      <c r="S2955" s="9"/>
      <c r="T2955" s="9"/>
      <c r="U2955" s="9" t="str">
        <f aca="false">IF(COUNTIF($A$2:$A$5001,A2955)&gt;1,"Duplicate","Unique")</f>
        <v>Unique</v>
      </c>
      <c r="V2955" s="9" t="str">
        <f aca="false">IF(COUNTIFS($B$2:$B$5001,B2955,$H$2:$H$5001,H2955,$J$2:$J$5001,J2955)&gt;1,"Possible Duplicate Booking","Unique")</f>
        <v>Unique</v>
      </c>
      <c r="W2955" s="9" t="str">
        <f aca="false">IF((H2955-G2955)&lt;&gt;K2955,"Mismatch","OK")</f>
        <v>OK</v>
      </c>
      <c r="X2955" s="9" t="str">
        <f aca="false">IF(TEXT(H2955,"dddd")&lt;&gt;I2955,"Mismatch","OK")</f>
        <v>OK</v>
      </c>
      <c r="Y2955" s="9" t="str">
        <f aca="false">IF(AND(N2955="No",O2955&lt;&gt;""),"Unexpected: channel present but no reminder sent",IF(AND(N2955="Yes",O2955=""),"Missing channel for sent reminder","OK"))</f>
        <v>OK</v>
      </c>
    </row>
    <row r="2956" customFormat="false" ht="15" hidden="false" customHeight="false" outlineLevel="0" collapsed="false">
      <c r="A2956" s="7" t="s">
        <v>4476</v>
      </c>
      <c r="B2956" s="7" t="s">
        <v>1556</v>
      </c>
      <c r="C2956" s="7" t="s">
        <v>37</v>
      </c>
      <c r="D2956" s="7" t="n">
        <v>34</v>
      </c>
      <c r="E2956" s="7" t="s">
        <v>48</v>
      </c>
      <c r="F2956" s="7" t="s">
        <v>57</v>
      </c>
      <c r="G2956" s="8" t="n">
        <v>45770</v>
      </c>
      <c r="H2956" s="8" t="n">
        <v>45809</v>
      </c>
      <c r="I2956" s="7" t="s">
        <v>75</v>
      </c>
      <c r="J2956" s="7" t="s">
        <v>51</v>
      </c>
      <c r="K2956" s="7" t="n">
        <v>39</v>
      </c>
      <c r="L2956" s="7" t="n">
        <v>2</v>
      </c>
      <c r="M2956" s="7" t="n">
        <v>0</v>
      </c>
      <c r="N2956" s="7" t="s">
        <v>42</v>
      </c>
      <c r="O2956" s="7" t="s">
        <v>52</v>
      </c>
      <c r="P2956" s="7" t="n">
        <v>4.5</v>
      </c>
      <c r="Q2956" s="7" t="n">
        <v>20</v>
      </c>
      <c r="R2956" s="7" t="s">
        <v>44</v>
      </c>
      <c r="S2956" s="7"/>
      <c r="T2956" s="7"/>
      <c r="U2956" s="7" t="str">
        <f aca="false">IF(COUNTIF($A$2:$A$5001,A2956)&gt;1,"Duplicate","Unique")</f>
        <v>Unique</v>
      </c>
      <c r="V2956" s="7" t="str">
        <f aca="false">IF(COUNTIFS($B$2:$B$5001,B2956,$H$2:$H$5001,H2956,$J$2:$J$5001,J2956)&gt;1,"Possible Duplicate Booking","Unique")</f>
        <v>Unique</v>
      </c>
      <c r="W2956" s="7" t="str">
        <f aca="false">IF((H2956-G2956)&lt;&gt;K2956,"Mismatch","OK")</f>
        <v>OK</v>
      </c>
      <c r="X2956" s="7" t="str">
        <f aca="false">IF(TEXT(H2956,"dddd")&lt;&gt;I2956,"Mismatch","OK")</f>
        <v>OK</v>
      </c>
      <c r="Y2956" s="7" t="str">
        <f aca="false">IF(AND(N2956="No",O2956&lt;&gt;""),"Unexpected: channel present but no reminder sent",IF(AND(N2956="Yes",O2956=""),"Missing channel for sent reminder","OK"))</f>
        <v>OK</v>
      </c>
    </row>
    <row r="2957" customFormat="false" ht="15" hidden="false" customHeight="false" outlineLevel="0" collapsed="false">
      <c r="A2957" s="9" t="s">
        <v>4477</v>
      </c>
      <c r="B2957" s="9" t="s">
        <v>4478</v>
      </c>
      <c r="C2957" s="9" t="s">
        <v>47</v>
      </c>
      <c r="D2957" s="9" t="n">
        <v>44</v>
      </c>
      <c r="E2957" s="9" t="s">
        <v>38</v>
      </c>
      <c r="F2957" s="9" t="s">
        <v>49</v>
      </c>
      <c r="G2957" s="10" t="n">
        <v>46193</v>
      </c>
      <c r="H2957" s="10" t="n">
        <v>46201</v>
      </c>
      <c r="I2957" s="9" t="s">
        <v>75</v>
      </c>
      <c r="J2957" s="9" t="s">
        <v>63</v>
      </c>
      <c r="K2957" s="9" t="n">
        <v>8</v>
      </c>
      <c r="L2957" s="9" t="n">
        <v>6</v>
      </c>
      <c r="M2957" s="9" t="n">
        <v>0</v>
      </c>
      <c r="N2957" s="9" t="s">
        <v>42</v>
      </c>
      <c r="O2957" s="9" t="s">
        <v>52</v>
      </c>
      <c r="P2957" s="9" t="n">
        <v>11.8</v>
      </c>
      <c r="Q2957" s="9" t="n">
        <v>22</v>
      </c>
      <c r="R2957" s="9" t="s">
        <v>53</v>
      </c>
      <c r="S2957" s="9"/>
      <c r="T2957" s="9"/>
      <c r="U2957" s="9" t="str">
        <f aca="false">IF(COUNTIF($A$2:$A$5001,A2957)&gt;1,"Duplicate","Unique")</f>
        <v>Unique</v>
      </c>
      <c r="V2957" s="9" t="str">
        <f aca="false">IF(COUNTIFS($B$2:$B$5001,B2957,$H$2:$H$5001,H2957,$J$2:$J$5001,J2957)&gt;1,"Possible Duplicate Booking","Unique")</f>
        <v>Unique</v>
      </c>
      <c r="W2957" s="9" t="str">
        <f aca="false">IF((H2957-G2957)&lt;&gt;K2957,"Mismatch","OK")</f>
        <v>OK</v>
      </c>
      <c r="X2957" s="9" t="str">
        <f aca="false">IF(TEXT(H2957,"dddd")&lt;&gt;I2957,"Mismatch","OK")</f>
        <v>OK</v>
      </c>
      <c r="Y2957" s="9" t="str">
        <f aca="false">IF(AND(N2957="No",O2957&lt;&gt;""),"Unexpected: channel present but no reminder sent",IF(AND(N2957="Yes",O2957=""),"Missing channel for sent reminder","OK"))</f>
        <v>OK</v>
      </c>
    </row>
    <row r="2958" customFormat="false" ht="15" hidden="false" customHeight="false" outlineLevel="0" collapsed="false">
      <c r="A2958" s="7" t="s">
        <v>4479</v>
      </c>
      <c r="B2958" s="7" t="s">
        <v>2275</v>
      </c>
      <c r="C2958" s="7" t="s">
        <v>47</v>
      </c>
      <c r="D2958" s="7" t="n">
        <v>48</v>
      </c>
      <c r="E2958" s="7" t="s">
        <v>56</v>
      </c>
      <c r="F2958" s="7" t="s">
        <v>39</v>
      </c>
      <c r="G2958" s="8" t="n">
        <v>45671</v>
      </c>
      <c r="H2958" s="8" t="n">
        <v>45712</v>
      </c>
      <c r="I2958" s="7" t="s">
        <v>66</v>
      </c>
      <c r="J2958" s="7" t="s">
        <v>41</v>
      </c>
      <c r="K2958" s="7" t="n">
        <v>41</v>
      </c>
      <c r="L2958" s="7" t="n">
        <v>3</v>
      </c>
      <c r="M2958" s="7" t="n">
        <v>0</v>
      </c>
      <c r="N2958" s="7" t="s">
        <v>42</v>
      </c>
      <c r="O2958" s="7" t="s">
        <v>52</v>
      </c>
      <c r="P2958" s="7" t="n">
        <v>11.4</v>
      </c>
      <c r="Q2958" s="7" t="n">
        <v>22</v>
      </c>
      <c r="R2958" s="7" t="s">
        <v>53</v>
      </c>
      <c r="S2958" s="7"/>
      <c r="T2958" s="7"/>
      <c r="U2958" s="7" t="str">
        <f aca="false">IF(COUNTIF($A$2:$A$5001,A2958)&gt;1,"Duplicate","Unique")</f>
        <v>Unique</v>
      </c>
      <c r="V2958" s="7" t="str">
        <f aca="false">IF(COUNTIFS($B$2:$B$5001,B2958,$H$2:$H$5001,H2958,$J$2:$J$5001,J2958)&gt;1,"Possible Duplicate Booking","Unique")</f>
        <v>Unique</v>
      </c>
      <c r="W2958" s="7" t="str">
        <f aca="false">IF((H2958-G2958)&lt;&gt;K2958,"Mismatch","OK")</f>
        <v>OK</v>
      </c>
      <c r="X2958" s="7" t="str">
        <f aca="false">IF(TEXT(H2958,"dddd")&lt;&gt;I2958,"Mismatch","OK")</f>
        <v>OK</v>
      </c>
      <c r="Y2958" s="7" t="str">
        <f aca="false">IF(AND(N2958="No",O2958&lt;&gt;""),"Unexpected: channel present but no reminder sent",IF(AND(N2958="Yes",O2958=""),"Missing channel for sent reminder","OK"))</f>
        <v>OK</v>
      </c>
    </row>
    <row r="2959" customFormat="false" ht="15" hidden="false" customHeight="false" outlineLevel="0" collapsed="false">
      <c r="A2959" s="9" t="s">
        <v>4480</v>
      </c>
      <c r="B2959" s="9" t="s">
        <v>4041</v>
      </c>
      <c r="C2959" s="9" t="s">
        <v>47</v>
      </c>
      <c r="D2959" s="9" t="n">
        <v>33</v>
      </c>
      <c r="E2959" s="9" t="s">
        <v>48</v>
      </c>
      <c r="F2959" s="9" t="s">
        <v>57</v>
      </c>
      <c r="G2959" s="10" t="n">
        <v>45893</v>
      </c>
      <c r="H2959" s="10" t="n">
        <v>45923</v>
      </c>
      <c r="I2959" s="9" t="s">
        <v>40</v>
      </c>
      <c r="J2959" s="9" t="s">
        <v>51</v>
      </c>
      <c r="K2959" s="9" t="n">
        <v>30</v>
      </c>
      <c r="L2959" s="9" t="n">
        <v>6</v>
      </c>
      <c r="M2959" s="9" t="n">
        <v>0</v>
      </c>
      <c r="N2959" s="9" t="s">
        <v>71</v>
      </c>
      <c r="O2959" s="9"/>
      <c r="P2959" s="9"/>
      <c r="Q2959" s="9" t="n">
        <v>17</v>
      </c>
      <c r="R2959" s="9" t="s">
        <v>53</v>
      </c>
      <c r="S2959" s="9"/>
      <c r="T2959" s="9"/>
      <c r="U2959" s="9" t="str">
        <f aca="false">IF(COUNTIF($A$2:$A$5001,A2959)&gt;1,"Duplicate","Unique")</f>
        <v>Unique</v>
      </c>
      <c r="V2959" s="9" t="str">
        <f aca="false">IF(COUNTIFS($B$2:$B$5001,B2959,$H$2:$H$5001,H2959,$J$2:$J$5001,J2959)&gt;1,"Possible Duplicate Booking","Unique")</f>
        <v>Unique</v>
      </c>
      <c r="W2959" s="9" t="str">
        <f aca="false">IF((H2959-G2959)&lt;&gt;K2959,"Mismatch","OK")</f>
        <v>OK</v>
      </c>
      <c r="X2959" s="9" t="str">
        <f aca="false">IF(TEXT(H2959,"dddd")&lt;&gt;I2959,"Mismatch","OK")</f>
        <v>OK</v>
      </c>
      <c r="Y2959" s="9" t="str">
        <f aca="false">IF(AND(N2959="No",O2959&lt;&gt;""),"Unexpected: channel present but no reminder sent",IF(AND(N2959="Yes",O2959=""),"Missing channel for sent reminder","OK"))</f>
        <v>OK</v>
      </c>
    </row>
    <row r="2960" customFormat="false" ht="15" hidden="false" customHeight="false" outlineLevel="0" collapsed="false">
      <c r="A2960" s="7" t="s">
        <v>4481</v>
      </c>
      <c r="B2960" s="7" t="s">
        <v>4482</v>
      </c>
      <c r="C2960" s="7" t="s">
        <v>47</v>
      </c>
      <c r="D2960" s="7" t="n">
        <v>44</v>
      </c>
      <c r="E2960" s="7" t="s">
        <v>38</v>
      </c>
      <c r="F2960" s="7" t="s">
        <v>57</v>
      </c>
      <c r="G2960" s="8" t="n">
        <v>45878</v>
      </c>
      <c r="H2960" s="8" t="n">
        <v>45937</v>
      </c>
      <c r="I2960" s="7" t="s">
        <v>40</v>
      </c>
      <c r="J2960" s="7" t="s">
        <v>51</v>
      </c>
      <c r="K2960" s="7" t="n">
        <v>59</v>
      </c>
      <c r="L2960" s="7" t="n">
        <v>5</v>
      </c>
      <c r="M2960" s="7" t="n">
        <v>0</v>
      </c>
      <c r="N2960" s="7" t="s">
        <v>42</v>
      </c>
      <c r="O2960" s="7" t="s">
        <v>67</v>
      </c>
      <c r="P2960" s="7" t="n">
        <v>9.3</v>
      </c>
      <c r="Q2960" s="7" t="n">
        <v>27</v>
      </c>
      <c r="R2960" s="7" t="s">
        <v>87</v>
      </c>
      <c r="S2960" s="7"/>
      <c r="T2960" s="7"/>
      <c r="U2960" s="7" t="str">
        <f aca="false">IF(COUNTIF($A$2:$A$5001,A2960)&gt;1,"Duplicate","Unique")</f>
        <v>Unique</v>
      </c>
      <c r="V2960" s="7" t="str">
        <f aca="false">IF(COUNTIFS($B$2:$B$5001,B2960,$H$2:$H$5001,H2960,$J$2:$J$5001,J2960)&gt;1,"Possible Duplicate Booking","Unique")</f>
        <v>Unique</v>
      </c>
      <c r="W2960" s="7" t="str">
        <f aca="false">IF((H2960-G2960)&lt;&gt;K2960,"Mismatch","OK")</f>
        <v>OK</v>
      </c>
      <c r="X2960" s="7" t="str">
        <f aca="false">IF(TEXT(H2960,"dddd")&lt;&gt;I2960,"Mismatch","OK")</f>
        <v>OK</v>
      </c>
      <c r="Y2960" s="7" t="str">
        <f aca="false">IF(AND(N2960="No",O2960&lt;&gt;""),"Unexpected: channel present but no reminder sent",IF(AND(N2960="Yes",O2960=""),"Missing channel for sent reminder","OK"))</f>
        <v>OK</v>
      </c>
    </row>
    <row r="2961" customFormat="false" ht="15" hidden="false" customHeight="false" outlineLevel="0" collapsed="false">
      <c r="A2961" s="9" t="s">
        <v>4483</v>
      </c>
      <c r="B2961" s="9" t="s">
        <v>991</v>
      </c>
      <c r="C2961" s="9" t="s">
        <v>47</v>
      </c>
      <c r="D2961" s="9" t="n">
        <v>39</v>
      </c>
      <c r="E2961" s="9" t="s">
        <v>38</v>
      </c>
      <c r="F2961" s="9" t="s">
        <v>39</v>
      </c>
      <c r="G2961" s="10" t="n">
        <v>45879</v>
      </c>
      <c r="H2961" s="10" t="n">
        <v>45918</v>
      </c>
      <c r="I2961" s="9" t="s">
        <v>62</v>
      </c>
      <c r="J2961" s="9" t="s">
        <v>41</v>
      </c>
      <c r="K2961" s="9" t="n">
        <v>39</v>
      </c>
      <c r="L2961" s="9" t="n">
        <v>3</v>
      </c>
      <c r="M2961" s="9" t="n">
        <v>0</v>
      </c>
      <c r="N2961" s="9" t="s">
        <v>71</v>
      </c>
      <c r="O2961" s="9"/>
      <c r="P2961" s="9" t="n">
        <v>11</v>
      </c>
      <c r="Q2961" s="9" t="n">
        <v>14</v>
      </c>
      <c r="R2961" s="9" t="s">
        <v>44</v>
      </c>
      <c r="S2961" s="9"/>
      <c r="T2961" s="9"/>
      <c r="U2961" s="9" t="str">
        <f aca="false">IF(COUNTIF($A$2:$A$5001,A2961)&gt;1,"Duplicate","Unique")</f>
        <v>Unique</v>
      </c>
      <c r="V2961" s="9" t="str">
        <f aca="false">IF(COUNTIFS($B$2:$B$5001,B2961,$H$2:$H$5001,H2961,$J$2:$J$5001,J2961)&gt;1,"Possible Duplicate Booking","Unique")</f>
        <v>Unique</v>
      </c>
      <c r="W2961" s="9" t="str">
        <f aca="false">IF((H2961-G2961)&lt;&gt;K2961,"Mismatch","OK")</f>
        <v>OK</v>
      </c>
      <c r="X2961" s="9" t="str">
        <f aca="false">IF(TEXT(H2961,"dddd")&lt;&gt;I2961,"Mismatch","OK")</f>
        <v>OK</v>
      </c>
      <c r="Y2961" s="9" t="str">
        <f aca="false">IF(AND(N2961="No",O2961&lt;&gt;""),"Unexpected: channel present but no reminder sent",IF(AND(N2961="Yes",O2961=""),"Missing channel for sent reminder","OK"))</f>
        <v>OK</v>
      </c>
    </row>
    <row r="2962" customFormat="false" ht="15" hidden="false" customHeight="false" outlineLevel="0" collapsed="false">
      <c r="A2962" s="7" t="s">
        <v>4484</v>
      </c>
      <c r="B2962" s="7" t="s">
        <v>4485</v>
      </c>
      <c r="C2962" s="7" t="s">
        <v>47</v>
      </c>
      <c r="D2962" s="7" t="n">
        <v>61</v>
      </c>
      <c r="E2962" s="7" t="s">
        <v>61</v>
      </c>
      <c r="F2962" s="7" t="s">
        <v>74</v>
      </c>
      <c r="G2962" s="8" t="n">
        <v>46139</v>
      </c>
      <c r="H2962" s="8" t="n">
        <v>46161</v>
      </c>
      <c r="I2962" s="7" t="s">
        <v>40</v>
      </c>
      <c r="J2962" s="7" t="s">
        <v>41</v>
      </c>
      <c r="K2962" s="7" t="n">
        <v>22</v>
      </c>
      <c r="L2962" s="7" t="n">
        <v>5</v>
      </c>
      <c r="M2962" s="7" t="n">
        <v>2</v>
      </c>
      <c r="N2962" s="7" t="s">
        <v>42</v>
      </c>
      <c r="O2962" s="7" t="s">
        <v>52</v>
      </c>
      <c r="P2962" s="7" t="n">
        <v>6.1</v>
      </c>
      <c r="Q2962" s="7" t="n">
        <v>20</v>
      </c>
      <c r="R2962" s="7" t="s">
        <v>44</v>
      </c>
      <c r="S2962" s="7"/>
      <c r="T2962" s="7"/>
      <c r="U2962" s="7" t="str">
        <f aca="false">IF(COUNTIF($A$2:$A$5001,A2962)&gt;1,"Duplicate","Unique")</f>
        <v>Unique</v>
      </c>
      <c r="V2962" s="7" t="str">
        <f aca="false">IF(COUNTIFS($B$2:$B$5001,B2962,$H$2:$H$5001,H2962,$J$2:$J$5001,J2962)&gt;1,"Possible Duplicate Booking","Unique")</f>
        <v>Unique</v>
      </c>
      <c r="W2962" s="7" t="str">
        <f aca="false">IF((H2962-G2962)&lt;&gt;K2962,"Mismatch","OK")</f>
        <v>OK</v>
      </c>
      <c r="X2962" s="7" t="str">
        <f aca="false">IF(TEXT(H2962,"dddd")&lt;&gt;I2962,"Mismatch","OK")</f>
        <v>OK</v>
      </c>
      <c r="Y2962" s="7" t="str">
        <f aca="false">IF(AND(N2962="No",O2962&lt;&gt;""),"Unexpected: channel present but no reminder sent",IF(AND(N2962="Yes",O2962=""),"Missing channel for sent reminder","OK"))</f>
        <v>OK</v>
      </c>
    </row>
    <row r="2963" customFormat="false" ht="15" hidden="false" customHeight="false" outlineLevel="0" collapsed="false">
      <c r="A2963" s="9" t="s">
        <v>4486</v>
      </c>
      <c r="B2963" s="9" t="s">
        <v>2207</v>
      </c>
      <c r="C2963" s="9" t="s">
        <v>47</v>
      </c>
      <c r="D2963" s="9" t="n">
        <v>65</v>
      </c>
      <c r="E2963" s="9" t="s">
        <v>70</v>
      </c>
      <c r="F2963" s="9" t="s">
        <v>39</v>
      </c>
      <c r="G2963" s="10" t="n">
        <v>45883</v>
      </c>
      <c r="H2963" s="10" t="n">
        <v>45888</v>
      </c>
      <c r="I2963" s="9" t="s">
        <v>40</v>
      </c>
      <c r="J2963" s="9" t="s">
        <v>41</v>
      </c>
      <c r="K2963" s="9" t="n">
        <v>5</v>
      </c>
      <c r="L2963" s="9" t="n">
        <v>1</v>
      </c>
      <c r="M2963" s="9" t="n">
        <v>0</v>
      </c>
      <c r="N2963" s="9" t="s">
        <v>42</v>
      </c>
      <c r="O2963" s="9" t="s">
        <v>52</v>
      </c>
      <c r="P2963" s="9" t="n">
        <v>21.4</v>
      </c>
      <c r="Q2963" s="9" t="n">
        <v>45</v>
      </c>
      <c r="R2963" s="9" t="s">
        <v>53</v>
      </c>
      <c r="S2963" s="9"/>
      <c r="T2963" s="9"/>
      <c r="U2963" s="9" t="str">
        <f aca="false">IF(COUNTIF($A$2:$A$5001,A2963)&gt;1,"Duplicate","Unique")</f>
        <v>Unique</v>
      </c>
      <c r="V2963" s="9" t="str">
        <f aca="false">IF(COUNTIFS($B$2:$B$5001,B2963,$H$2:$H$5001,H2963,$J$2:$J$5001,J2963)&gt;1,"Possible Duplicate Booking","Unique")</f>
        <v>Unique</v>
      </c>
      <c r="W2963" s="9" t="str">
        <f aca="false">IF((H2963-G2963)&lt;&gt;K2963,"Mismatch","OK")</f>
        <v>OK</v>
      </c>
      <c r="X2963" s="9" t="str">
        <f aca="false">IF(TEXT(H2963,"dddd")&lt;&gt;I2963,"Mismatch","OK")</f>
        <v>OK</v>
      </c>
      <c r="Y2963" s="9" t="str">
        <f aca="false">IF(AND(N2963="No",O2963&lt;&gt;""),"Unexpected: channel present but no reminder sent",IF(AND(N2963="Yes",O2963=""),"Missing channel for sent reminder","OK"))</f>
        <v>OK</v>
      </c>
    </row>
    <row r="2964" customFormat="false" ht="15" hidden="false" customHeight="false" outlineLevel="0" collapsed="false">
      <c r="A2964" s="7" t="s">
        <v>4487</v>
      </c>
      <c r="B2964" s="7" t="s">
        <v>1415</v>
      </c>
      <c r="C2964" s="7" t="s">
        <v>47</v>
      </c>
      <c r="D2964" s="7" t="n">
        <v>24</v>
      </c>
      <c r="E2964" s="7" t="s">
        <v>82</v>
      </c>
      <c r="F2964" s="7" t="s">
        <v>57</v>
      </c>
      <c r="G2964" s="8" t="n">
        <v>46153</v>
      </c>
      <c r="H2964" s="8" t="n">
        <v>46189</v>
      </c>
      <c r="I2964" s="7" t="s">
        <v>40</v>
      </c>
      <c r="J2964" s="7" t="s">
        <v>41</v>
      </c>
      <c r="K2964" s="7" t="n">
        <v>36</v>
      </c>
      <c r="L2964" s="7" t="n">
        <v>4</v>
      </c>
      <c r="M2964" s="7" t="n">
        <v>1</v>
      </c>
      <c r="N2964" s="7" t="s">
        <v>71</v>
      </c>
      <c r="O2964" s="7"/>
      <c r="P2964" s="7" t="n">
        <v>7.4</v>
      </c>
      <c r="Q2964" s="7" t="n">
        <v>23</v>
      </c>
      <c r="R2964" s="7" t="s">
        <v>53</v>
      </c>
      <c r="S2964" s="7"/>
      <c r="T2964" s="7"/>
      <c r="U2964" s="7" t="str">
        <f aca="false">IF(COUNTIF($A$2:$A$5001,A2964)&gt;1,"Duplicate","Unique")</f>
        <v>Unique</v>
      </c>
      <c r="V2964" s="7" t="str">
        <f aca="false">IF(COUNTIFS($B$2:$B$5001,B2964,$H$2:$H$5001,H2964,$J$2:$J$5001,J2964)&gt;1,"Possible Duplicate Booking","Unique")</f>
        <v>Unique</v>
      </c>
      <c r="W2964" s="7" t="str">
        <f aca="false">IF((H2964-G2964)&lt;&gt;K2964,"Mismatch","OK")</f>
        <v>OK</v>
      </c>
      <c r="X2964" s="7" t="str">
        <f aca="false">IF(TEXT(H2964,"dddd")&lt;&gt;I2964,"Mismatch","OK")</f>
        <v>OK</v>
      </c>
      <c r="Y2964" s="7" t="str">
        <f aca="false">IF(AND(N2964="No",O2964&lt;&gt;""),"Unexpected: channel present but no reminder sent",IF(AND(N2964="Yes",O2964=""),"Missing channel for sent reminder","OK"))</f>
        <v>OK</v>
      </c>
    </row>
    <row r="2965" customFormat="false" ht="15" hidden="false" customHeight="false" outlineLevel="0" collapsed="false">
      <c r="A2965" s="9" t="s">
        <v>4488</v>
      </c>
      <c r="B2965" s="9" t="s">
        <v>1264</v>
      </c>
      <c r="C2965" s="9" t="s">
        <v>37</v>
      </c>
      <c r="D2965" s="9" t="n">
        <v>47</v>
      </c>
      <c r="E2965" s="9" t="s">
        <v>56</v>
      </c>
      <c r="F2965" s="9" t="s">
        <v>49</v>
      </c>
      <c r="G2965" s="10" t="n">
        <v>45668</v>
      </c>
      <c r="H2965" s="10" t="n">
        <v>45694</v>
      </c>
      <c r="I2965" s="9" t="s">
        <v>62</v>
      </c>
      <c r="J2965" s="9" t="s">
        <v>51</v>
      </c>
      <c r="K2965" s="9" t="n">
        <v>26</v>
      </c>
      <c r="L2965" s="9" t="n">
        <v>0</v>
      </c>
      <c r="M2965" s="9" t="n">
        <v>0</v>
      </c>
      <c r="N2965" s="9" t="s">
        <v>42</v>
      </c>
      <c r="O2965" s="9" t="s">
        <v>43</v>
      </c>
      <c r="P2965" s="9" t="n">
        <v>12.5</v>
      </c>
      <c r="Q2965" s="9" t="n">
        <v>34</v>
      </c>
      <c r="R2965" s="9" t="s">
        <v>53</v>
      </c>
      <c r="S2965" s="9"/>
      <c r="T2965" s="9"/>
      <c r="U2965" s="9" t="str">
        <f aca="false">IF(COUNTIF($A$2:$A$5001,A2965)&gt;1,"Duplicate","Unique")</f>
        <v>Unique</v>
      </c>
      <c r="V2965" s="9" t="str">
        <f aca="false">IF(COUNTIFS($B$2:$B$5001,B2965,$H$2:$H$5001,H2965,$J$2:$J$5001,J2965)&gt;1,"Possible Duplicate Booking","Unique")</f>
        <v>Unique</v>
      </c>
      <c r="W2965" s="9" t="str">
        <f aca="false">IF((H2965-G2965)&lt;&gt;K2965,"Mismatch","OK")</f>
        <v>OK</v>
      </c>
      <c r="X2965" s="9" t="str">
        <f aca="false">IF(TEXT(H2965,"dddd")&lt;&gt;I2965,"Mismatch","OK")</f>
        <v>OK</v>
      </c>
      <c r="Y2965" s="9" t="str">
        <f aca="false">IF(AND(N2965="No",O2965&lt;&gt;""),"Unexpected: channel present but no reminder sent",IF(AND(N2965="Yes",O2965=""),"Missing channel for sent reminder","OK"))</f>
        <v>OK</v>
      </c>
    </row>
    <row r="2966" customFormat="false" ht="15" hidden="false" customHeight="false" outlineLevel="0" collapsed="false">
      <c r="A2966" s="7" t="s">
        <v>4489</v>
      </c>
      <c r="B2966" s="7" t="s">
        <v>1092</v>
      </c>
      <c r="C2966" s="7" t="s">
        <v>37</v>
      </c>
      <c r="D2966" s="7" t="n">
        <v>80</v>
      </c>
      <c r="E2966" s="7" t="s">
        <v>70</v>
      </c>
      <c r="F2966" s="7" t="s">
        <v>57</v>
      </c>
      <c r="G2966" s="8" t="n">
        <v>46055</v>
      </c>
      <c r="H2966" s="8" t="n">
        <v>46058</v>
      </c>
      <c r="I2966" s="7" t="s">
        <v>62</v>
      </c>
      <c r="J2966" s="7" t="s">
        <v>41</v>
      </c>
      <c r="K2966" s="7" t="n">
        <v>3</v>
      </c>
      <c r="L2966" s="7" t="n">
        <v>3</v>
      </c>
      <c r="M2966" s="7" t="n">
        <v>0</v>
      </c>
      <c r="N2966" s="7" t="s">
        <v>42</v>
      </c>
      <c r="O2966" s="7" t="s">
        <v>67</v>
      </c>
      <c r="P2966" s="7" t="n">
        <v>9</v>
      </c>
      <c r="Q2966" s="7" t="n">
        <v>23</v>
      </c>
      <c r="R2966" s="7" t="s">
        <v>53</v>
      </c>
      <c r="S2966" s="7"/>
      <c r="T2966" s="7"/>
      <c r="U2966" s="7" t="str">
        <f aca="false">IF(COUNTIF($A$2:$A$5001,A2966)&gt;1,"Duplicate","Unique")</f>
        <v>Unique</v>
      </c>
      <c r="V2966" s="7" t="str">
        <f aca="false">IF(COUNTIFS($B$2:$B$5001,B2966,$H$2:$H$5001,H2966,$J$2:$J$5001,J2966)&gt;1,"Possible Duplicate Booking","Unique")</f>
        <v>Unique</v>
      </c>
      <c r="W2966" s="7" t="str">
        <f aca="false">IF((H2966-G2966)&lt;&gt;K2966,"Mismatch","OK")</f>
        <v>OK</v>
      </c>
      <c r="X2966" s="7" t="str">
        <f aca="false">IF(TEXT(H2966,"dddd")&lt;&gt;I2966,"Mismatch","OK")</f>
        <v>OK</v>
      </c>
      <c r="Y2966" s="7" t="str">
        <f aca="false">IF(AND(N2966="No",O2966&lt;&gt;""),"Unexpected: channel present but no reminder sent",IF(AND(N2966="Yes",O2966=""),"Missing channel for sent reminder","OK"))</f>
        <v>OK</v>
      </c>
    </row>
    <row r="2967" customFormat="false" ht="15" hidden="false" customHeight="false" outlineLevel="0" collapsed="false">
      <c r="A2967" s="9" t="s">
        <v>4490</v>
      </c>
      <c r="B2967" s="9" t="s">
        <v>4049</v>
      </c>
      <c r="C2967" s="9" t="s">
        <v>47</v>
      </c>
      <c r="D2967" s="9" t="n">
        <v>72</v>
      </c>
      <c r="E2967" s="9" t="s">
        <v>70</v>
      </c>
      <c r="F2967" s="9" t="s">
        <v>49</v>
      </c>
      <c r="G2967" s="10" t="n">
        <v>45946</v>
      </c>
      <c r="H2967" s="10" t="n">
        <v>45981</v>
      </c>
      <c r="I2967" s="9" t="s">
        <v>62</v>
      </c>
      <c r="J2967" s="9" t="s">
        <v>51</v>
      </c>
      <c r="K2967" s="9" t="n">
        <v>35</v>
      </c>
      <c r="L2967" s="9" t="n">
        <v>3</v>
      </c>
      <c r="M2967" s="9" t="n">
        <v>1</v>
      </c>
      <c r="N2967" s="9" t="s">
        <v>42</v>
      </c>
      <c r="O2967" s="9" t="s">
        <v>43</v>
      </c>
      <c r="P2967" s="9" t="n">
        <v>5.1</v>
      </c>
      <c r="Q2967" s="9" t="n">
        <v>32</v>
      </c>
      <c r="R2967" s="9" t="s">
        <v>53</v>
      </c>
      <c r="S2967" s="9"/>
      <c r="T2967" s="9"/>
      <c r="U2967" s="9" t="str">
        <f aca="false">IF(COUNTIF($A$2:$A$5001,A2967)&gt;1,"Duplicate","Unique")</f>
        <v>Unique</v>
      </c>
      <c r="V2967" s="9" t="str">
        <f aca="false">IF(COUNTIFS($B$2:$B$5001,B2967,$H$2:$H$5001,H2967,$J$2:$J$5001,J2967)&gt;1,"Possible Duplicate Booking","Unique")</f>
        <v>Unique</v>
      </c>
      <c r="W2967" s="9" t="str">
        <f aca="false">IF((H2967-G2967)&lt;&gt;K2967,"Mismatch","OK")</f>
        <v>OK</v>
      </c>
      <c r="X2967" s="9" t="str">
        <f aca="false">IF(TEXT(H2967,"dddd")&lt;&gt;I2967,"Mismatch","OK")</f>
        <v>OK</v>
      </c>
      <c r="Y2967" s="9" t="str">
        <f aca="false">IF(AND(N2967="No",O2967&lt;&gt;""),"Unexpected: channel present but no reminder sent",IF(AND(N2967="Yes",O2967=""),"Missing channel for sent reminder","OK"))</f>
        <v>OK</v>
      </c>
    </row>
    <row r="2968" customFormat="false" ht="15" hidden="false" customHeight="false" outlineLevel="0" collapsed="false">
      <c r="A2968" s="7" t="s">
        <v>4491</v>
      </c>
      <c r="B2968" s="7" t="s">
        <v>943</v>
      </c>
      <c r="C2968" s="7" t="s">
        <v>47</v>
      </c>
      <c r="D2968" s="7" t="n">
        <v>68</v>
      </c>
      <c r="E2968" s="7" t="s">
        <v>70</v>
      </c>
      <c r="F2968" s="7" t="s">
        <v>57</v>
      </c>
      <c r="G2968" s="8" t="n">
        <v>45777</v>
      </c>
      <c r="H2968" s="8" t="n">
        <v>45789</v>
      </c>
      <c r="I2968" s="7" t="s">
        <v>66</v>
      </c>
      <c r="J2968" s="7" t="s">
        <v>63</v>
      </c>
      <c r="K2968" s="7" t="n">
        <v>12</v>
      </c>
      <c r="L2968" s="7" t="n">
        <v>3</v>
      </c>
      <c r="M2968" s="7" t="n">
        <v>1</v>
      </c>
      <c r="N2968" s="7" t="s">
        <v>71</v>
      </c>
      <c r="O2968" s="7"/>
      <c r="P2968" s="7" t="n">
        <v>10.5</v>
      </c>
      <c r="Q2968" s="7" t="n">
        <v>22</v>
      </c>
      <c r="R2968" s="7" t="s">
        <v>87</v>
      </c>
      <c r="S2968" s="7"/>
      <c r="T2968" s="7"/>
      <c r="U2968" s="7" t="str">
        <f aca="false">IF(COUNTIF($A$2:$A$5001,A2968)&gt;1,"Duplicate","Unique")</f>
        <v>Unique</v>
      </c>
      <c r="V2968" s="7" t="str">
        <f aca="false">IF(COUNTIFS($B$2:$B$5001,B2968,$H$2:$H$5001,H2968,$J$2:$J$5001,J2968)&gt;1,"Possible Duplicate Booking","Unique")</f>
        <v>Unique</v>
      </c>
      <c r="W2968" s="7" t="str">
        <f aca="false">IF((H2968-G2968)&lt;&gt;K2968,"Mismatch","OK")</f>
        <v>OK</v>
      </c>
      <c r="X2968" s="7" t="str">
        <f aca="false">IF(TEXT(H2968,"dddd")&lt;&gt;I2968,"Mismatch","OK")</f>
        <v>OK</v>
      </c>
      <c r="Y2968" s="7" t="str">
        <f aca="false">IF(AND(N2968="No",O2968&lt;&gt;""),"Unexpected: channel present but no reminder sent",IF(AND(N2968="Yes",O2968=""),"Missing channel for sent reminder","OK"))</f>
        <v>OK</v>
      </c>
    </row>
    <row r="2969" customFormat="false" ht="15" hidden="false" customHeight="false" outlineLevel="0" collapsed="false">
      <c r="A2969" s="9" t="s">
        <v>4492</v>
      </c>
      <c r="B2969" s="9" t="s">
        <v>1193</v>
      </c>
      <c r="C2969" s="9" t="s">
        <v>37</v>
      </c>
      <c r="D2969" s="9" t="n">
        <v>64</v>
      </c>
      <c r="E2969" s="9" t="s">
        <v>61</v>
      </c>
      <c r="F2969" s="9" t="s">
        <v>57</v>
      </c>
      <c r="G2969" s="10" t="n">
        <v>45768</v>
      </c>
      <c r="H2969" s="10" t="n">
        <v>45782</v>
      </c>
      <c r="I2969" s="9" t="s">
        <v>66</v>
      </c>
      <c r="J2969" s="9" t="s">
        <v>51</v>
      </c>
      <c r="K2969" s="9" t="n">
        <v>14</v>
      </c>
      <c r="L2969" s="9" t="n">
        <v>2</v>
      </c>
      <c r="M2969" s="9" t="n">
        <v>0</v>
      </c>
      <c r="N2969" s="9" t="s">
        <v>42</v>
      </c>
      <c r="O2969" s="9" t="s">
        <v>52</v>
      </c>
      <c r="P2969" s="9" t="n">
        <v>8.3</v>
      </c>
      <c r="Q2969" s="9" t="n">
        <v>2</v>
      </c>
      <c r="R2969" s="9" t="s">
        <v>53</v>
      </c>
      <c r="S2969" s="9"/>
      <c r="T2969" s="9"/>
      <c r="U2969" s="9" t="str">
        <f aca="false">IF(COUNTIF($A$2:$A$5001,A2969)&gt;1,"Duplicate","Unique")</f>
        <v>Unique</v>
      </c>
      <c r="V2969" s="9" t="str">
        <f aca="false">IF(COUNTIFS($B$2:$B$5001,B2969,$H$2:$H$5001,H2969,$J$2:$J$5001,J2969)&gt;1,"Possible Duplicate Booking","Unique")</f>
        <v>Unique</v>
      </c>
      <c r="W2969" s="9" t="str">
        <f aca="false">IF((H2969-G2969)&lt;&gt;K2969,"Mismatch","OK")</f>
        <v>OK</v>
      </c>
      <c r="X2969" s="9" t="str">
        <f aca="false">IF(TEXT(H2969,"dddd")&lt;&gt;I2969,"Mismatch","OK")</f>
        <v>OK</v>
      </c>
      <c r="Y2969" s="9" t="str">
        <f aca="false">IF(AND(N2969="No",O2969&lt;&gt;""),"Unexpected: channel present but no reminder sent",IF(AND(N2969="Yes",O2969=""),"Missing channel for sent reminder","OK"))</f>
        <v>OK</v>
      </c>
    </row>
    <row r="2970" customFormat="false" ht="15" hidden="false" customHeight="false" outlineLevel="0" collapsed="false">
      <c r="A2970" s="7" t="s">
        <v>4493</v>
      </c>
      <c r="B2970" s="7" t="s">
        <v>4494</v>
      </c>
      <c r="C2970" s="7" t="s">
        <v>47</v>
      </c>
      <c r="D2970" s="7" t="n">
        <v>18</v>
      </c>
      <c r="E2970" s="7" t="s">
        <v>82</v>
      </c>
      <c r="F2970" s="7" t="s">
        <v>39</v>
      </c>
      <c r="G2970" s="8" t="n">
        <v>46050</v>
      </c>
      <c r="H2970" s="8" t="n">
        <v>46050</v>
      </c>
      <c r="I2970" s="7" t="s">
        <v>58</v>
      </c>
      <c r="J2970" s="7" t="s">
        <v>51</v>
      </c>
      <c r="K2970" s="7" t="n">
        <v>0</v>
      </c>
      <c r="L2970" s="7" t="n">
        <v>0</v>
      </c>
      <c r="M2970" s="7" t="n">
        <v>0</v>
      </c>
      <c r="N2970" s="7" t="s">
        <v>42</v>
      </c>
      <c r="O2970" s="7" t="s">
        <v>52</v>
      </c>
      <c r="P2970" s="7" t="n">
        <v>25.2</v>
      </c>
      <c r="Q2970" s="7" t="n">
        <v>24</v>
      </c>
      <c r="R2970" s="7" t="s">
        <v>53</v>
      </c>
      <c r="S2970" s="7"/>
      <c r="T2970" s="7"/>
      <c r="U2970" s="7" t="str">
        <f aca="false">IF(COUNTIF($A$2:$A$5001,A2970)&gt;1,"Duplicate","Unique")</f>
        <v>Unique</v>
      </c>
      <c r="V2970" s="7" t="str">
        <f aca="false">IF(COUNTIFS($B$2:$B$5001,B2970,$H$2:$H$5001,H2970,$J$2:$J$5001,J2970)&gt;1,"Possible Duplicate Booking","Unique")</f>
        <v>Unique</v>
      </c>
      <c r="W2970" s="7" t="str">
        <f aca="false">IF((H2970-G2970)&lt;&gt;K2970,"Mismatch","OK")</f>
        <v>OK</v>
      </c>
      <c r="X2970" s="7" t="str">
        <f aca="false">IF(TEXT(H2970,"dddd")&lt;&gt;I2970,"Mismatch","OK")</f>
        <v>OK</v>
      </c>
      <c r="Y2970" s="7" t="str">
        <f aca="false">IF(AND(N2970="No",O2970&lt;&gt;""),"Unexpected: channel present but no reminder sent",IF(AND(N2970="Yes",O2970=""),"Missing channel for sent reminder","OK"))</f>
        <v>OK</v>
      </c>
    </row>
    <row r="2971" customFormat="false" ht="15" hidden="false" customHeight="false" outlineLevel="0" collapsed="false">
      <c r="A2971" s="9" t="s">
        <v>4495</v>
      </c>
      <c r="B2971" s="9" t="s">
        <v>176</v>
      </c>
      <c r="C2971" s="9" t="s">
        <v>37</v>
      </c>
      <c r="D2971" s="9" t="n">
        <v>79</v>
      </c>
      <c r="E2971" s="9" t="s">
        <v>70</v>
      </c>
      <c r="F2971" s="9" t="s">
        <v>57</v>
      </c>
      <c r="G2971" s="10" t="n">
        <v>45984</v>
      </c>
      <c r="H2971" s="10" t="n">
        <v>46006</v>
      </c>
      <c r="I2971" s="9" t="s">
        <v>66</v>
      </c>
      <c r="J2971" s="9" t="s">
        <v>51</v>
      </c>
      <c r="K2971" s="9" t="n">
        <v>22</v>
      </c>
      <c r="L2971" s="9" t="n">
        <v>2</v>
      </c>
      <c r="M2971" s="9" t="n">
        <v>1</v>
      </c>
      <c r="N2971" s="9" t="s">
        <v>71</v>
      </c>
      <c r="O2971" s="9"/>
      <c r="P2971" s="9" t="n">
        <v>15.8</v>
      </c>
      <c r="Q2971" s="9" t="n">
        <v>13</v>
      </c>
      <c r="R2971" s="9" t="s">
        <v>53</v>
      </c>
      <c r="S2971" s="9"/>
      <c r="T2971" s="9"/>
      <c r="U2971" s="9" t="str">
        <f aca="false">IF(COUNTIF($A$2:$A$5001,A2971)&gt;1,"Duplicate","Unique")</f>
        <v>Unique</v>
      </c>
      <c r="V2971" s="9" t="str">
        <f aca="false">IF(COUNTIFS($B$2:$B$5001,B2971,$H$2:$H$5001,H2971,$J$2:$J$5001,J2971)&gt;1,"Possible Duplicate Booking","Unique")</f>
        <v>Unique</v>
      </c>
      <c r="W2971" s="9" t="str">
        <f aca="false">IF((H2971-G2971)&lt;&gt;K2971,"Mismatch","OK")</f>
        <v>OK</v>
      </c>
      <c r="X2971" s="9" t="str">
        <f aca="false">IF(TEXT(H2971,"dddd")&lt;&gt;I2971,"Mismatch","OK")</f>
        <v>OK</v>
      </c>
      <c r="Y2971" s="9" t="str">
        <f aca="false">IF(AND(N2971="No",O2971&lt;&gt;""),"Unexpected: channel present but no reminder sent",IF(AND(N2971="Yes",O2971=""),"Missing channel for sent reminder","OK"))</f>
        <v>OK</v>
      </c>
    </row>
    <row r="2972" customFormat="false" ht="15" hidden="false" customHeight="false" outlineLevel="0" collapsed="false">
      <c r="A2972" s="7" t="s">
        <v>4496</v>
      </c>
      <c r="B2972" s="7" t="s">
        <v>1084</v>
      </c>
      <c r="C2972" s="7" t="s">
        <v>47</v>
      </c>
      <c r="D2972" s="7" t="n">
        <v>64</v>
      </c>
      <c r="E2972" s="7" t="s">
        <v>61</v>
      </c>
      <c r="F2972" s="7" t="s">
        <v>57</v>
      </c>
      <c r="G2972" s="8" t="n">
        <v>45978</v>
      </c>
      <c r="H2972" s="8" t="n">
        <v>45991</v>
      </c>
      <c r="I2972" s="7" t="s">
        <v>75</v>
      </c>
      <c r="J2972" s="7" t="s">
        <v>51</v>
      </c>
      <c r="K2972" s="7" t="n">
        <v>13</v>
      </c>
      <c r="L2972" s="7" t="n">
        <v>3</v>
      </c>
      <c r="M2972" s="7" t="n">
        <v>0</v>
      </c>
      <c r="N2972" s="7" t="s">
        <v>42</v>
      </c>
      <c r="O2972" s="7" t="s">
        <v>52</v>
      </c>
      <c r="P2972" s="7" t="n">
        <v>2.5</v>
      </c>
      <c r="Q2972" s="7" t="n">
        <v>21</v>
      </c>
      <c r="R2972" s="7" t="s">
        <v>53</v>
      </c>
      <c r="S2972" s="7"/>
      <c r="T2972" s="7"/>
      <c r="U2972" s="7" t="str">
        <f aca="false">IF(COUNTIF($A$2:$A$5001,A2972)&gt;1,"Duplicate","Unique")</f>
        <v>Unique</v>
      </c>
      <c r="V2972" s="7" t="str">
        <f aca="false">IF(COUNTIFS($B$2:$B$5001,B2972,$H$2:$H$5001,H2972,$J$2:$J$5001,J2972)&gt;1,"Possible Duplicate Booking","Unique")</f>
        <v>Unique</v>
      </c>
      <c r="W2972" s="7" t="str">
        <f aca="false">IF((H2972-G2972)&lt;&gt;K2972,"Mismatch","OK")</f>
        <v>OK</v>
      </c>
      <c r="X2972" s="7" t="str">
        <f aca="false">IF(TEXT(H2972,"dddd")&lt;&gt;I2972,"Mismatch","OK")</f>
        <v>OK</v>
      </c>
      <c r="Y2972" s="7" t="str">
        <f aca="false">IF(AND(N2972="No",O2972&lt;&gt;""),"Unexpected: channel present but no reminder sent",IF(AND(N2972="Yes",O2972=""),"Missing channel for sent reminder","OK"))</f>
        <v>OK</v>
      </c>
    </row>
    <row r="2973" customFormat="false" ht="15" hidden="false" customHeight="false" outlineLevel="0" collapsed="false">
      <c r="A2973" s="9" t="s">
        <v>4497</v>
      </c>
      <c r="B2973" s="9" t="s">
        <v>3400</v>
      </c>
      <c r="C2973" s="9" t="s">
        <v>47</v>
      </c>
      <c r="D2973" s="9" t="n">
        <v>73</v>
      </c>
      <c r="E2973" s="9" t="s">
        <v>70</v>
      </c>
      <c r="F2973" s="9" t="s">
        <v>39</v>
      </c>
      <c r="G2973" s="10" t="n">
        <v>45681</v>
      </c>
      <c r="H2973" s="10" t="n">
        <v>45685</v>
      </c>
      <c r="I2973" s="9" t="s">
        <v>40</v>
      </c>
      <c r="J2973" s="9" t="s">
        <v>51</v>
      </c>
      <c r="K2973" s="9" t="n">
        <v>4</v>
      </c>
      <c r="L2973" s="9" t="n">
        <v>5</v>
      </c>
      <c r="M2973" s="9" t="n">
        <v>0</v>
      </c>
      <c r="N2973" s="9" t="s">
        <v>71</v>
      </c>
      <c r="O2973" s="9"/>
      <c r="P2973" s="9" t="n">
        <v>5</v>
      </c>
      <c r="Q2973" s="9" t="n">
        <v>32</v>
      </c>
      <c r="R2973" s="9" t="s">
        <v>53</v>
      </c>
      <c r="S2973" s="9"/>
      <c r="T2973" s="9"/>
      <c r="U2973" s="9" t="str">
        <f aca="false">IF(COUNTIF($A$2:$A$5001,A2973)&gt;1,"Duplicate","Unique")</f>
        <v>Unique</v>
      </c>
      <c r="V2973" s="9" t="str">
        <f aca="false">IF(COUNTIFS($B$2:$B$5001,B2973,$H$2:$H$5001,H2973,$J$2:$J$5001,J2973)&gt;1,"Possible Duplicate Booking","Unique")</f>
        <v>Unique</v>
      </c>
      <c r="W2973" s="9" t="str">
        <f aca="false">IF((H2973-G2973)&lt;&gt;K2973,"Mismatch","OK")</f>
        <v>OK</v>
      </c>
      <c r="X2973" s="9" t="str">
        <f aca="false">IF(TEXT(H2973,"dddd")&lt;&gt;I2973,"Mismatch","OK")</f>
        <v>OK</v>
      </c>
      <c r="Y2973" s="9" t="str">
        <f aca="false">IF(AND(N2973="No",O2973&lt;&gt;""),"Unexpected: channel present but no reminder sent",IF(AND(N2973="Yes",O2973=""),"Missing channel for sent reminder","OK"))</f>
        <v>OK</v>
      </c>
    </row>
    <row r="2974" customFormat="false" ht="15" hidden="false" customHeight="false" outlineLevel="0" collapsed="false">
      <c r="A2974" s="7" t="s">
        <v>4498</v>
      </c>
      <c r="B2974" s="7" t="s">
        <v>4154</v>
      </c>
      <c r="C2974" s="7" t="s">
        <v>37</v>
      </c>
      <c r="D2974" s="7" t="n">
        <v>75</v>
      </c>
      <c r="E2974" s="7" t="s">
        <v>70</v>
      </c>
      <c r="F2974" s="7" t="s">
        <v>49</v>
      </c>
      <c r="G2974" s="8" t="n">
        <v>45958</v>
      </c>
      <c r="H2974" s="8" t="n">
        <v>45984</v>
      </c>
      <c r="I2974" s="7" t="s">
        <v>75</v>
      </c>
      <c r="J2974" s="7" t="s">
        <v>41</v>
      </c>
      <c r="K2974" s="7" t="n">
        <v>26</v>
      </c>
      <c r="L2974" s="7" t="n">
        <v>8</v>
      </c>
      <c r="M2974" s="7" t="n">
        <v>1</v>
      </c>
      <c r="N2974" s="7" t="s">
        <v>42</v>
      </c>
      <c r="O2974" s="7" t="s">
        <v>43</v>
      </c>
      <c r="P2974" s="7" t="n">
        <v>4.4</v>
      </c>
      <c r="Q2974" s="7" t="n">
        <v>44</v>
      </c>
      <c r="R2974" s="7" t="s">
        <v>44</v>
      </c>
      <c r="S2974" s="7"/>
      <c r="T2974" s="7"/>
      <c r="U2974" s="7" t="str">
        <f aca="false">IF(COUNTIF($A$2:$A$5001,A2974)&gt;1,"Duplicate","Unique")</f>
        <v>Unique</v>
      </c>
      <c r="V2974" s="7" t="str">
        <f aca="false">IF(COUNTIFS($B$2:$B$5001,B2974,$H$2:$H$5001,H2974,$J$2:$J$5001,J2974)&gt;1,"Possible Duplicate Booking","Unique")</f>
        <v>Unique</v>
      </c>
      <c r="W2974" s="7" t="str">
        <f aca="false">IF((H2974-G2974)&lt;&gt;K2974,"Mismatch","OK")</f>
        <v>OK</v>
      </c>
      <c r="X2974" s="7" t="str">
        <f aca="false">IF(TEXT(H2974,"dddd")&lt;&gt;I2974,"Mismatch","OK")</f>
        <v>OK</v>
      </c>
      <c r="Y2974" s="7" t="str">
        <f aca="false">IF(AND(N2974="No",O2974&lt;&gt;""),"Unexpected: channel present but no reminder sent",IF(AND(N2974="Yes",O2974=""),"Missing channel for sent reminder","OK"))</f>
        <v>OK</v>
      </c>
    </row>
    <row r="2975" customFormat="false" ht="15" hidden="false" customHeight="false" outlineLevel="0" collapsed="false">
      <c r="A2975" s="9" t="s">
        <v>4499</v>
      </c>
      <c r="B2975" s="9" t="s">
        <v>2508</v>
      </c>
      <c r="C2975" s="9" t="s">
        <v>47</v>
      </c>
      <c r="D2975" s="9" t="n">
        <v>34</v>
      </c>
      <c r="E2975" s="9" t="s">
        <v>48</v>
      </c>
      <c r="F2975" s="9" t="s">
        <v>49</v>
      </c>
      <c r="G2975" s="10" t="n">
        <v>46180</v>
      </c>
      <c r="H2975" s="10" t="n">
        <v>46193</v>
      </c>
      <c r="I2975" s="9" t="s">
        <v>102</v>
      </c>
      <c r="J2975" s="9" t="s">
        <v>63</v>
      </c>
      <c r="K2975" s="9" t="n">
        <v>13</v>
      </c>
      <c r="L2975" s="9" t="n">
        <v>2</v>
      </c>
      <c r="M2975" s="9" t="n">
        <v>0</v>
      </c>
      <c r="N2975" s="9" t="s">
        <v>42</v>
      </c>
      <c r="O2975" s="9" t="s">
        <v>52</v>
      </c>
      <c r="P2975" s="9"/>
      <c r="Q2975" s="9" t="n">
        <v>9</v>
      </c>
      <c r="R2975" s="9" t="s">
        <v>53</v>
      </c>
      <c r="S2975" s="9"/>
      <c r="T2975" s="9"/>
      <c r="U2975" s="9" t="str">
        <f aca="false">IF(COUNTIF($A$2:$A$5001,A2975)&gt;1,"Duplicate","Unique")</f>
        <v>Unique</v>
      </c>
      <c r="V2975" s="9" t="str">
        <f aca="false">IF(COUNTIFS($B$2:$B$5001,B2975,$H$2:$H$5001,H2975,$J$2:$J$5001,J2975)&gt;1,"Possible Duplicate Booking","Unique")</f>
        <v>Unique</v>
      </c>
      <c r="W2975" s="9" t="str">
        <f aca="false">IF((H2975-G2975)&lt;&gt;K2975,"Mismatch","OK")</f>
        <v>OK</v>
      </c>
      <c r="X2975" s="9" t="str">
        <f aca="false">IF(TEXT(H2975,"dddd")&lt;&gt;I2975,"Mismatch","OK")</f>
        <v>OK</v>
      </c>
      <c r="Y2975" s="9" t="str">
        <f aca="false">IF(AND(N2975="No",O2975&lt;&gt;""),"Unexpected: channel present but no reminder sent",IF(AND(N2975="Yes",O2975=""),"Missing channel for sent reminder","OK"))</f>
        <v>OK</v>
      </c>
    </row>
    <row r="2976" customFormat="false" ht="15" hidden="false" customHeight="false" outlineLevel="0" collapsed="false">
      <c r="A2976" s="7" t="s">
        <v>4500</v>
      </c>
      <c r="B2976" s="7" t="s">
        <v>264</v>
      </c>
      <c r="C2976" s="7" t="s">
        <v>47</v>
      </c>
      <c r="D2976" s="7" t="n">
        <v>18</v>
      </c>
      <c r="E2976" s="7" t="s">
        <v>82</v>
      </c>
      <c r="F2976" s="7" t="s">
        <v>57</v>
      </c>
      <c r="G2976" s="8" t="n">
        <v>45659</v>
      </c>
      <c r="H2976" s="8" t="n">
        <v>45667</v>
      </c>
      <c r="I2976" s="7" t="s">
        <v>50</v>
      </c>
      <c r="J2976" s="7" t="s">
        <v>41</v>
      </c>
      <c r="K2976" s="7" t="n">
        <v>8</v>
      </c>
      <c r="L2976" s="7" t="n">
        <v>3</v>
      </c>
      <c r="M2976" s="7" t="n">
        <v>1</v>
      </c>
      <c r="N2976" s="7" t="s">
        <v>42</v>
      </c>
      <c r="O2976" s="7" t="s">
        <v>52</v>
      </c>
      <c r="P2976" s="7" t="n">
        <v>13.2</v>
      </c>
      <c r="Q2976" s="7" t="n">
        <v>21</v>
      </c>
      <c r="R2976" s="7" t="s">
        <v>53</v>
      </c>
      <c r="S2976" s="7"/>
      <c r="T2976" s="7"/>
      <c r="U2976" s="7" t="str">
        <f aca="false">IF(COUNTIF($A$2:$A$5001,A2976)&gt;1,"Duplicate","Unique")</f>
        <v>Unique</v>
      </c>
      <c r="V2976" s="7" t="str">
        <f aca="false">IF(COUNTIFS($B$2:$B$5001,B2976,$H$2:$H$5001,H2976,$J$2:$J$5001,J2976)&gt;1,"Possible Duplicate Booking","Unique")</f>
        <v>Unique</v>
      </c>
      <c r="W2976" s="7" t="str">
        <f aca="false">IF((H2976-G2976)&lt;&gt;K2976,"Mismatch","OK")</f>
        <v>OK</v>
      </c>
      <c r="X2976" s="7" t="str">
        <f aca="false">IF(TEXT(H2976,"dddd")&lt;&gt;I2976,"Mismatch","OK")</f>
        <v>OK</v>
      </c>
      <c r="Y2976" s="7" t="str">
        <f aca="false">IF(AND(N2976="No",O2976&lt;&gt;""),"Unexpected: channel present but no reminder sent",IF(AND(N2976="Yes",O2976=""),"Missing channel for sent reminder","OK"))</f>
        <v>OK</v>
      </c>
    </row>
    <row r="2977" customFormat="false" ht="15" hidden="false" customHeight="false" outlineLevel="0" collapsed="false">
      <c r="A2977" s="9" t="s">
        <v>4501</v>
      </c>
      <c r="B2977" s="9" t="s">
        <v>3694</v>
      </c>
      <c r="C2977" s="9" t="s">
        <v>47</v>
      </c>
      <c r="D2977" s="9" t="n">
        <v>59</v>
      </c>
      <c r="E2977" s="9" t="s">
        <v>61</v>
      </c>
      <c r="F2977" s="9" t="s">
        <v>57</v>
      </c>
      <c r="G2977" s="10" t="n">
        <v>45886</v>
      </c>
      <c r="H2977" s="10" t="n">
        <v>45914</v>
      </c>
      <c r="I2977" s="9" t="s">
        <v>75</v>
      </c>
      <c r="J2977" s="9" t="s">
        <v>41</v>
      </c>
      <c r="K2977" s="9" t="n">
        <v>28</v>
      </c>
      <c r="L2977" s="9" t="n">
        <v>3</v>
      </c>
      <c r="M2977" s="9" t="n">
        <v>1</v>
      </c>
      <c r="N2977" s="9" t="s">
        <v>42</v>
      </c>
      <c r="O2977" s="9" t="s">
        <v>43</v>
      </c>
      <c r="P2977" s="9" t="n">
        <v>11.6</v>
      </c>
      <c r="Q2977" s="9" t="n">
        <v>24</v>
      </c>
      <c r="R2977" s="9" t="s">
        <v>53</v>
      </c>
      <c r="S2977" s="9"/>
      <c r="T2977" s="9"/>
      <c r="U2977" s="9" t="str">
        <f aca="false">IF(COUNTIF($A$2:$A$5001,A2977)&gt;1,"Duplicate","Unique")</f>
        <v>Unique</v>
      </c>
      <c r="V2977" s="9" t="str">
        <f aca="false">IF(COUNTIFS($B$2:$B$5001,B2977,$H$2:$H$5001,H2977,$J$2:$J$5001,J2977)&gt;1,"Possible Duplicate Booking","Unique")</f>
        <v>Unique</v>
      </c>
      <c r="W2977" s="9" t="str">
        <f aca="false">IF((H2977-G2977)&lt;&gt;K2977,"Mismatch","OK")</f>
        <v>OK</v>
      </c>
      <c r="X2977" s="9" t="str">
        <f aca="false">IF(TEXT(H2977,"dddd")&lt;&gt;I2977,"Mismatch","OK")</f>
        <v>OK</v>
      </c>
      <c r="Y2977" s="9" t="str">
        <f aca="false">IF(AND(N2977="No",O2977&lt;&gt;""),"Unexpected: channel present but no reminder sent",IF(AND(N2977="Yes",O2977=""),"Missing channel for sent reminder","OK"))</f>
        <v>OK</v>
      </c>
    </row>
    <row r="2978" customFormat="false" ht="15" hidden="false" customHeight="false" outlineLevel="0" collapsed="false">
      <c r="A2978" s="7" t="s">
        <v>4502</v>
      </c>
      <c r="B2978" s="7" t="s">
        <v>182</v>
      </c>
      <c r="C2978" s="7" t="s">
        <v>47</v>
      </c>
      <c r="D2978" s="7" t="n">
        <v>46</v>
      </c>
      <c r="E2978" s="7" t="s">
        <v>56</v>
      </c>
      <c r="F2978" s="7" t="s">
        <v>39</v>
      </c>
      <c r="G2978" s="8" t="n">
        <v>45924</v>
      </c>
      <c r="H2978" s="8" t="n">
        <v>45927</v>
      </c>
      <c r="I2978" s="7" t="s">
        <v>102</v>
      </c>
      <c r="J2978" s="7" t="s">
        <v>51</v>
      </c>
      <c r="K2978" s="7" t="n">
        <v>3</v>
      </c>
      <c r="L2978" s="7" t="n">
        <v>4</v>
      </c>
      <c r="M2978" s="7" t="n">
        <v>2</v>
      </c>
      <c r="N2978" s="7" t="s">
        <v>42</v>
      </c>
      <c r="O2978" s="7" t="s">
        <v>52</v>
      </c>
      <c r="P2978" s="7" t="n">
        <v>3.8</v>
      </c>
      <c r="Q2978" s="7" t="n">
        <v>25</v>
      </c>
      <c r="R2978" s="7" t="s">
        <v>44</v>
      </c>
      <c r="S2978" s="7"/>
      <c r="T2978" s="7"/>
      <c r="U2978" s="7" t="str">
        <f aca="false">IF(COUNTIF($A$2:$A$5001,A2978)&gt;1,"Duplicate","Unique")</f>
        <v>Unique</v>
      </c>
      <c r="V2978" s="7" t="str">
        <f aca="false">IF(COUNTIFS($B$2:$B$5001,B2978,$H$2:$H$5001,H2978,$J$2:$J$5001,J2978)&gt;1,"Possible Duplicate Booking","Unique")</f>
        <v>Unique</v>
      </c>
      <c r="W2978" s="7" t="str">
        <f aca="false">IF((H2978-G2978)&lt;&gt;K2978,"Mismatch","OK")</f>
        <v>OK</v>
      </c>
      <c r="X2978" s="7" t="str">
        <f aca="false">IF(TEXT(H2978,"dddd")&lt;&gt;I2978,"Mismatch","OK")</f>
        <v>OK</v>
      </c>
      <c r="Y2978" s="7" t="str">
        <f aca="false">IF(AND(N2978="No",O2978&lt;&gt;""),"Unexpected: channel present but no reminder sent",IF(AND(N2978="Yes",O2978=""),"Missing channel for sent reminder","OK"))</f>
        <v>OK</v>
      </c>
    </row>
    <row r="2979" customFormat="false" ht="15" hidden="false" customHeight="false" outlineLevel="0" collapsed="false">
      <c r="A2979" s="9" t="s">
        <v>4503</v>
      </c>
      <c r="B2979" s="9" t="s">
        <v>4504</v>
      </c>
      <c r="C2979" s="9" t="s">
        <v>47</v>
      </c>
      <c r="D2979" s="9" t="n">
        <v>19</v>
      </c>
      <c r="E2979" s="9" t="s">
        <v>82</v>
      </c>
      <c r="F2979" s="9" t="s">
        <v>39</v>
      </c>
      <c r="G2979" s="10" t="n">
        <v>46087</v>
      </c>
      <c r="H2979" s="10" t="n">
        <v>46147</v>
      </c>
      <c r="I2979" s="9" t="s">
        <v>40</v>
      </c>
      <c r="J2979" s="9" t="s">
        <v>41</v>
      </c>
      <c r="K2979" s="9" t="n">
        <v>60</v>
      </c>
      <c r="L2979" s="9" t="n">
        <v>2</v>
      </c>
      <c r="M2979" s="9" t="n">
        <v>0</v>
      </c>
      <c r="N2979" s="9" t="s">
        <v>71</v>
      </c>
      <c r="O2979" s="9"/>
      <c r="P2979" s="9" t="n">
        <v>3.9</v>
      </c>
      <c r="Q2979" s="9" t="n">
        <v>25</v>
      </c>
      <c r="R2979" s="9" t="s">
        <v>44</v>
      </c>
      <c r="S2979" s="9"/>
      <c r="T2979" s="9"/>
      <c r="U2979" s="9" t="str">
        <f aca="false">IF(COUNTIF($A$2:$A$5001,A2979)&gt;1,"Duplicate","Unique")</f>
        <v>Unique</v>
      </c>
      <c r="V2979" s="9" t="str">
        <f aca="false">IF(COUNTIFS($B$2:$B$5001,B2979,$H$2:$H$5001,H2979,$J$2:$J$5001,J2979)&gt;1,"Possible Duplicate Booking","Unique")</f>
        <v>Unique</v>
      </c>
      <c r="W2979" s="9" t="str">
        <f aca="false">IF((H2979-G2979)&lt;&gt;K2979,"Mismatch","OK")</f>
        <v>OK</v>
      </c>
      <c r="X2979" s="9" t="str">
        <f aca="false">IF(TEXT(H2979,"dddd")&lt;&gt;I2979,"Mismatch","OK")</f>
        <v>OK</v>
      </c>
      <c r="Y2979" s="9" t="str">
        <f aca="false">IF(AND(N2979="No",O2979&lt;&gt;""),"Unexpected: channel present but no reminder sent",IF(AND(N2979="Yes",O2979=""),"Missing channel for sent reminder","OK"))</f>
        <v>OK</v>
      </c>
    </row>
    <row r="2980" customFormat="false" ht="15" hidden="false" customHeight="false" outlineLevel="0" collapsed="false">
      <c r="A2980" s="7" t="s">
        <v>4505</v>
      </c>
      <c r="B2980" s="7" t="s">
        <v>4506</v>
      </c>
      <c r="C2980" s="7" t="s">
        <v>37</v>
      </c>
      <c r="D2980" s="7" t="n">
        <v>35</v>
      </c>
      <c r="E2980" s="7" t="s">
        <v>38</v>
      </c>
      <c r="F2980" s="7" t="s">
        <v>57</v>
      </c>
      <c r="G2980" s="8" t="n">
        <v>45784</v>
      </c>
      <c r="H2980" s="8" t="n">
        <v>45812</v>
      </c>
      <c r="I2980" s="7" t="s">
        <v>58</v>
      </c>
      <c r="J2980" s="7" t="s">
        <v>51</v>
      </c>
      <c r="K2980" s="7" t="n">
        <v>28</v>
      </c>
      <c r="L2980" s="7" t="n">
        <v>4</v>
      </c>
      <c r="M2980" s="7" t="n">
        <v>2</v>
      </c>
      <c r="N2980" s="7" t="s">
        <v>42</v>
      </c>
      <c r="O2980" s="7" t="s">
        <v>52</v>
      </c>
      <c r="P2980" s="7" t="n">
        <v>1.5</v>
      </c>
      <c r="Q2980" s="7" t="n">
        <v>30</v>
      </c>
      <c r="R2980" s="7" t="s">
        <v>53</v>
      </c>
      <c r="S2980" s="7"/>
      <c r="T2980" s="7"/>
      <c r="U2980" s="7" t="str">
        <f aca="false">IF(COUNTIF($A$2:$A$5001,A2980)&gt;1,"Duplicate","Unique")</f>
        <v>Unique</v>
      </c>
      <c r="V2980" s="7" t="str">
        <f aca="false">IF(COUNTIFS($B$2:$B$5001,B2980,$H$2:$H$5001,H2980,$J$2:$J$5001,J2980)&gt;1,"Possible Duplicate Booking","Unique")</f>
        <v>Unique</v>
      </c>
      <c r="W2980" s="7" t="str">
        <f aca="false">IF((H2980-G2980)&lt;&gt;K2980,"Mismatch","OK")</f>
        <v>OK</v>
      </c>
      <c r="X2980" s="7" t="str">
        <f aca="false">IF(TEXT(H2980,"dddd")&lt;&gt;I2980,"Mismatch","OK")</f>
        <v>OK</v>
      </c>
      <c r="Y2980" s="7" t="str">
        <f aca="false">IF(AND(N2980="No",O2980&lt;&gt;""),"Unexpected: channel present but no reminder sent",IF(AND(N2980="Yes",O2980=""),"Missing channel for sent reminder","OK"))</f>
        <v>OK</v>
      </c>
    </row>
    <row r="2981" customFormat="false" ht="15" hidden="false" customHeight="false" outlineLevel="0" collapsed="false">
      <c r="A2981" s="9" t="s">
        <v>4507</v>
      </c>
      <c r="B2981" s="9" t="s">
        <v>4334</v>
      </c>
      <c r="C2981" s="9" t="s">
        <v>47</v>
      </c>
      <c r="D2981" s="9" t="n">
        <v>80</v>
      </c>
      <c r="E2981" s="9" t="s">
        <v>70</v>
      </c>
      <c r="F2981" s="9" t="s">
        <v>74</v>
      </c>
      <c r="G2981" s="10" t="n">
        <v>45857</v>
      </c>
      <c r="H2981" s="10" t="n">
        <v>45917</v>
      </c>
      <c r="I2981" s="9" t="s">
        <v>58</v>
      </c>
      <c r="J2981" s="9" t="s">
        <v>51</v>
      </c>
      <c r="K2981" s="9" t="n">
        <v>60</v>
      </c>
      <c r="L2981" s="9" t="n">
        <v>5</v>
      </c>
      <c r="M2981" s="9" t="n">
        <v>1</v>
      </c>
      <c r="N2981" s="9" t="s">
        <v>42</v>
      </c>
      <c r="O2981" s="9" t="s">
        <v>43</v>
      </c>
      <c r="P2981" s="9" t="n">
        <v>4.7</v>
      </c>
      <c r="Q2981" s="9" t="n">
        <v>19</v>
      </c>
      <c r="R2981" s="9" t="s">
        <v>53</v>
      </c>
      <c r="S2981" s="9"/>
      <c r="T2981" s="9"/>
      <c r="U2981" s="9" t="str">
        <f aca="false">IF(COUNTIF($A$2:$A$5001,A2981)&gt;1,"Duplicate","Unique")</f>
        <v>Unique</v>
      </c>
      <c r="V2981" s="9" t="str">
        <f aca="false">IF(COUNTIFS($B$2:$B$5001,B2981,$H$2:$H$5001,H2981,$J$2:$J$5001,J2981)&gt;1,"Possible Duplicate Booking","Unique")</f>
        <v>Unique</v>
      </c>
      <c r="W2981" s="9" t="str">
        <f aca="false">IF((H2981-G2981)&lt;&gt;K2981,"Mismatch","OK")</f>
        <v>OK</v>
      </c>
      <c r="X2981" s="9" t="str">
        <f aca="false">IF(TEXT(H2981,"dddd")&lt;&gt;I2981,"Mismatch","OK")</f>
        <v>OK</v>
      </c>
      <c r="Y2981" s="9" t="str">
        <f aca="false">IF(AND(N2981="No",O2981&lt;&gt;""),"Unexpected: channel present but no reminder sent",IF(AND(N2981="Yes",O2981=""),"Missing channel for sent reminder","OK"))</f>
        <v>OK</v>
      </c>
    </row>
    <row r="2982" customFormat="false" ht="15" hidden="false" customHeight="false" outlineLevel="0" collapsed="false">
      <c r="A2982" s="7" t="s">
        <v>4508</v>
      </c>
      <c r="B2982" s="7" t="s">
        <v>4509</v>
      </c>
      <c r="C2982" s="7" t="s">
        <v>37</v>
      </c>
      <c r="D2982" s="7" t="n">
        <v>40</v>
      </c>
      <c r="E2982" s="7" t="s">
        <v>38</v>
      </c>
      <c r="F2982" s="7" t="s">
        <v>74</v>
      </c>
      <c r="G2982" s="8" t="n">
        <v>45996</v>
      </c>
      <c r="H2982" s="8" t="n">
        <v>46049</v>
      </c>
      <c r="I2982" s="7" t="s">
        <v>40</v>
      </c>
      <c r="J2982" s="7" t="s">
        <v>51</v>
      </c>
      <c r="K2982" s="7" t="n">
        <v>53</v>
      </c>
      <c r="L2982" s="7" t="n">
        <v>4</v>
      </c>
      <c r="M2982" s="7" t="n">
        <v>1</v>
      </c>
      <c r="N2982" s="7" t="s">
        <v>42</v>
      </c>
      <c r="O2982" s="7" t="s">
        <v>43</v>
      </c>
      <c r="P2982" s="7" t="n">
        <v>11.3</v>
      </c>
      <c r="Q2982" s="7" t="n">
        <v>22</v>
      </c>
      <c r="R2982" s="7" t="s">
        <v>44</v>
      </c>
      <c r="S2982" s="7"/>
      <c r="T2982" s="7"/>
      <c r="U2982" s="7" t="str">
        <f aca="false">IF(COUNTIF($A$2:$A$5001,A2982)&gt;1,"Duplicate","Unique")</f>
        <v>Unique</v>
      </c>
      <c r="V2982" s="7" t="str">
        <f aca="false">IF(COUNTIFS($B$2:$B$5001,B2982,$H$2:$H$5001,H2982,$J$2:$J$5001,J2982)&gt;1,"Possible Duplicate Booking","Unique")</f>
        <v>Unique</v>
      </c>
      <c r="W2982" s="7" t="str">
        <f aca="false">IF((H2982-G2982)&lt;&gt;K2982,"Mismatch","OK")</f>
        <v>OK</v>
      </c>
      <c r="X2982" s="7" t="str">
        <f aca="false">IF(TEXT(H2982,"dddd")&lt;&gt;I2982,"Mismatch","OK")</f>
        <v>OK</v>
      </c>
      <c r="Y2982" s="7" t="str">
        <f aca="false">IF(AND(N2982="No",O2982&lt;&gt;""),"Unexpected: channel present but no reminder sent",IF(AND(N2982="Yes",O2982=""),"Missing channel for sent reminder","OK"))</f>
        <v>OK</v>
      </c>
    </row>
    <row r="2983" customFormat="false" ht="15" hidden="false" customHeight="false" outlineLevel="0" collapsed="false">
      <c r="A2983" s="9" t="s">
        <v>4510</v>
      </c>
      <c r="B2983" s="9" t="s">
        <v>3629</v>
      </c>
      <c r="C2983" s="9" t="s">
        <v>37</v>
      </c>
      <c r="D2983" s="9" t="n">
        <v>34</v>
      </c>
      <c r="E2983" s="9" t="s">
        <v>48</v>
      </c>
      <c r="F2983" s="9" t="s">
        <v>57</v>
      </c>
      <c r="G2983" s="10" t="n">
        <v>45631</v>
      </c>
      <c r="H2983" s="10" t="n">
        <v>45690</v>
      </c>
      <c r="I2983" s="9" t="s">
        <v>75</v>
      </c>
      <c r="J2983" s="9" t="s">
        <v>51</v>
      </c>
      <c r="K2983" s="9" t="n">
        <v>59</v>
      </c>
      <c r="L2983" s="9" t="n">
        <v>4</v>
      </c>
      <c r="M2983" s="9" t="n">
        <v>1</v>
      </c>
      <c r="N2983" s="9" t="s">
        <v>42</v>
      </c>
      <c r="O2983" s="9" t="s">
        <v>52</v>
      </c>
      <c r="P2983" s="9" t="n">
        <v>27.1</v>
      </c>
      <c r="Q2983" s="9" t="n">
        <v>28</v>
      </c>
      <c r="R2983" s="9" t="s">
        <v>44</v>
      </c>
      <c r="S2983" s="9"/>
      <c r="T2983" s="9"/>
      <c r="U2983" s="9" t="str">
        <f aca="false">IF(COUNTIF($A$2:$A$5001,A2983)&gt;1,"Duplicate","Unique")</f>
        <v>Unique</v>
      </c>
      <c r="V2983" s="9" t="str">
        <f aca="false">IF(COUNTIFS($B$2:$B$5001,B2983,$H$2:$H$5001,H2983,$J$2:$J$5001,J2983)&gt;1,"Possible Duplicate Booking","Unique")</f>
        <v>Unique</v>
      </c>
      <c r="W2983" s="9" t="str">
        <f aca="false">IF((H2983-G2983)&lt;&gt;K2983,"Mismatch","OK")</f>
        <v>OK</v>
      </c>
      <c r="X2983" s="9" t="str">
        <f aca="false">IF(TEXT(H2983,"dddd")&lt;&gt;I2983,"Mismatch","OK")</f>
        <v>OK</v>
      </c>
      <c r="Y2983" s="9" t="str">
        <f aca="false">IF(AND(N2983="No",O2983&lt;&gt;""),"Unexpected: channel present but no reminder sent",IF(AND(N2983="Yes",O2983=""),"Missing channel for sent reminder","OK"))</f>
        <v>OK</v>
      </c>
    </row>
    <row r="2984" customFormat="false" ht="15" hidden="false" customHeight="false" outlineLevel="0" collapsed="false">
      <c r="A2984" s="7" t="s">
        <v>4511</v>
      </c>
      <c r="B2984" s="7" t="s">
        <v>1920</v>
      </c>
      <c r="C2984" s="7" t="s">
        <v>37</v>
      </c>
      <c r="D2984" s="7" t="n">
        <v>59</v>
      </c>
      <c r="E2984" s="7" t="s">
        <v>61</v>
      </c>
      <c r="F2984" s="7" t="s">
        <v>49</v>
      </c>
      <c r="G2984" s="8" t="n">
        <v>46062</v>
      </c>
      <c r="H2984" s="8" t="n">
        <v>46095</v>
      </c>
      <c r="I2984" s="7" t="s">
        <v>102</v>
      </c>
      <c r="J2984" s="7" t="s">
        <v>41</v>
      </c>
      <c r="K2984" s="7" t="n">
        <v>33</v>
      </c>
      <c r="L2984" s="7" t="n">
        <v>1</v>
      </c>
      <c r="M2984" s="7" t="n">
        <v>0</v>
      </c>
      <c r="N2984" s="7" t="s">
        <v>42</v>
      </c>
      <c r="O2984" s="7" t="s">
        <v>43</v>
      </c>
      <c r="P2984" s="7" t="n">
        <v>2.6</v>
      </c>
      <c r="Q2984" s="7" t="n">
        <v>16</v>
      </c>
      <c r="R2984" s="7" t="s">
        <v>44</v>
      </c>
      <c r="S2984" s="7"/>
      <c r="T2984" s="7"/>
      <c r="U2984" s="7" t="str">
        <f aca="false">IF(COUNTIF($A$2:$A$5001,A2984)&gt;1,"Duplicate","Unique")</f>
        <v>Unique</v>
      </c>
      <c r="V2984" s="7" t="str">
        <f aca="false">IF(COUNTIFS($B$2:$B$5001,B2984,$H$2:$H$5001,H2984,$J$2:$J$5001,J2984)&gt;1,"Possible Duplicate Booking","Unique")</f>
        <v>Unique</v>
      </c>
      <c r="W2984" s="7" t="str">
        <f aca="false">IF((H2984-G2984)&lt;&gt;K2984,"Mismatch","OK")</f>
        <v>OK</v>
      </c>
      <c r="X2984" s="7" t="str">
        <f aca="false">IF(TEXT(H2984,"dddd")&lt;&gt;I2984,"Mismatch","OK")</f>
        <v>OK</v>
      </c>
      <c r="Y2984" s="7" t="str">
        <f aca="false">IF(AND(N2984="No",O2984&lt;&gt;""),"Unexpected: channel present but no reminder sent",IF(AND(N2984="Yes",O2984=""),"Missing channel for sent reminder","OK"))</f>
        <v>OK</v>
      </c>
    </row>
    <row r="2985" customFormat="false" ht="15" hidden="false" customHeight="false" outlineLevel="0" collapsed="false">
      <c r="A2985" s="9" t="s">
        <v>4512</v>
      </c>
      <c r="B2985" s="9" t="s">
        <v>1859</v>
      </c>
      <c r="C2985" s="9" t="s">
        <v>37</v>
      </c>
      <c r="D2985" s="9" t="n">
        <v>59</v>
      </c>
      <c r="E2985" s="9" t="s">
        <v>61</v>
      </c>
      <c r="F2985" s="9" t="s">
        <v>39</v>
      </c>
      <c r="G2985" s="10" t="n">
        <v>46081</v>
      </c>
      <c r="H2985" s="10" t="n">
        <v>46106</v>
      </c>
      <c r="I2985" s="9" t="s">
        <v>58</v>
      </c>
      <c r="J2985" s="9" t="s">
        <v>51</v>
      </c>
      <c r="K2985" s="9" t="n">
        <v>25</v>
      </c>
      <c r="L2985" s="9" t="n">
        <v>2</v>
      </c>
      <c r="M2985" s="9" t="n">
        <v>0</v>
      </c>
      <c r="N2985" s="9" t="s">
        <v>42</v>
      </c>
      <c r="O2985" s="9" t="s">
        <v>67</v>
      </c>
      <c r="P2985" s="9" t="n">
        <v>10.6</v>
      </c>
      <c r="Q2985" s="9" t="n">
        <v>17</v>
      </c>
      <c r="R2985" s="9" t="s">
        <v>53</v>
      </c>
      <c r="S2985" s="9"/>
      <c r="T2985" s="9"/>
      <c r="U2985" s="9" t="str">
        <f aca="false">IF(COUNTIF($A$2:$A$5001,A2985)&gt;1,"Duplicate","Unique")</f>
        <v>Unique</v>
      </c>
      <c r="V2985" s="9" t="str">
        <f aca="false">IF(COUNTIFS($B$2:$B$5001,B2985,$H$2:$H$5001,H2985,$J$2:$J$5001,J2985)&gt;1,"Possible Duplicate Booking","Unique")</f>
        <v>Unique</v>
      </c>
      <c r="W2985" s="9" t="str">
        <f aca="false">IF((H2985-G2985)&lt;&gt;K2985,"Mismatch","OK")</f>
        <v>OK</v>
      </c>
      <c r="X2985" s="9" t="str">
        <f aca="false">IF(TEXT(H2985,"dddd")&lt;&gt;I2985,"Mismatch","OK")</f>
        <v>OK</v>
      </c>
      <c r="Y2985" s="9" t="str">
        <f aca="false">IF(AND(N2985="No",O2985&lt;&gt;""),"Unexpected: channel present but no reminder sent",IF(AND(N2985="Yes",O2985=""),"Missing channel for sent reminder","OK"))</f>
        <v>OK</v>
      </c>
    </row>
    <row r="2986" customFormat="false" ht="15" hidden="false" customHeight="false" outlineLevel="0" collapsed="false">
      <c r="A2986" s="7" t="s">
        <v>4513</v>
      </c>
      <c r="B2986" s="7" t="s">
        <v>3629</v>
      </c>
      <c r="C2986" s="7" t="s">
        <v>47</v>
      </c>
      <c r="D2986" s="7" t="n">
        <v>38</v>
      </c>
      <c r="E2986" s="7" t="s">
        <v>38</v>
      </c>
      <c r="F2986" s="7" t="s">
        <v>57</v>
      </c>
      <c r="G2986" s="8" t="n">
        <v>46007</v>
      </c>
      <c r="H2986" s="8" t="n">
        <v>46050</v>
      </c>
      <c r="I2986" s="7" t="s">
        <v>58</v>
      </c>
      <c r="J2986" s="7" t="s">
        <v>51</v>
      </c>
      <c r="K2986" s="7" t="n">
        <v>43</v>
      </c>
      <c r="L2986" s="7" t="n">
        <v>3</v>
      </c>
      <c r="M2986" s="7" t="n">
        <v>1</v>
      </c>
      <c r="N2986" s="7" t="s">
        <v>42</v>
      </c>
      <c r="O2986" s="7" t="s">
        <v>43</v>
      </c>
      <c r="P2986" s="7" t="n">
        <v>29.5</v>
      </c>
      <c r="Q2986" s="7" t="n">
        <v>23</v>
      </c>
      <c r="R2986" s="7" t="s">
        <v>44</v>
      </c>
      <c r="S2986" s="7"/>
      <c r="T2986" s="7"/>
      <c r="U2986" s="7" t="str">
        <f aca="false">IF(COUNTIF($A$2:$A$5001,A2986)&gt;1,"Duplicate","Unique")</f>
        <v>Unique</v>
      </c>
      <c r="V2986" s="7" t="str">
        <f aca="false">IF(COUNTIFS($B$2:$B$5001,B2986,$H$2:$H$5001,H2986,$J$2:$J$5001,J2986)&gt;1,"Possible Duplicate Booking","Unique")</f>
        <v>Unique</v>
      </c>
      <c r="W2986" s="7" t="str">
        <f aca="false">IF((H2986-G2986)&lt;&gt;K2986,"Mismatch","OK")</f>
        <v>OK</v>
      </c>
      <c r="X2986" s="7" t="str">
        <f aca="false">IF(TEXT(H2986,"dddd")&lt;&gt;I2986,"Mismatch","OK")</f>
        <v>OK</v>
      </c>
      <c r="Y2986" s="7" t="str">
        <f aca="false">IF(AND(N2986="No",O2986&lt;&gt;""),"Unexpected: channel present but no reminder sent",IF(AND(N2986="Yes",O2986=""),"Missing channel for sent reminder","OK"))</f>
        <v>OK</v>
      </c>
    </row>
    <row r="2987" customFormat="false" ht="15" hidden="false" customHeight="false" outlineLevel="0" collapsed="false">
      <c r="A2987" s="9" t="s">
        <v>4514</v>
      </c>
      <c r="B2987" s="9" t="s">
        <v>3343</v>
      </c>
      <c r="C2987" s="9" t="s">
        <v>47</v>
      </c>
      <c r="D2987" s="9" t="n">
        <v>71</v>
      </c>
      <c r="E2987" s="9" t="s">
        <v>70</v>
      </c>
      <c r="F2987" s="9" t="s">
        <v>39</v>
      </c>
      <c r="G2987" s="10" t="n">
        <v>46007</v>
      </c>
      <c r="H2987" s="10" t="n">
        <v>46011</v>
      </c>
      <c r="I2987" s="9" t="s">
        <v>102</v>
      </c>
      <c r="J2987" s="9" t="s">
        <v>41</v>
      </c>
      <c r="K2987" s="9" t="n">
        <v>4</v>
      </c>
      <c r="L2987" s="9" t="n">
        <v>3</v>
      </c>
      <c r="M2987" s="9" t="n">
        <v>1</v>
      </c>
      <c r="N2987" s="9" t="s">
        <v>42</v>
      </c>
      <c r="O2987" s="9" t="s">
        <v>52</v>
      </c>
      <c r="P2987" s="9" t="n">
        <v>7.8</v>
      </c>
      <c r="Q2987" s="9" t="n">
        <v>17</v>
      </c>
      <c r="R2987" s="9" t="s">
        <v>53</v>
      </c>
      <c r="S2987" s="9"/>
      <c r="T2987" s="9"/>
      <c r="U2987" s="9" t="str">
        <f aca="false">IF(COUNTIF($A$2:$A$5001,A2987)&gt;1,"Duplicate","Unique")</f>
        <v>Unique</v>
      </c>
      <c r="V2987" s="9" t="str">
        <f aca="false">IF(COUNTIFS($B$2:$B$5001,B2987,$H$2:$H$5001,H2987,$J$2:$J$5001,J2987)&gt;1,"Possible Duplicate Booking","Unique")</f>
        <v>Unique</v>
      </c>
      <c r="W2987" s="9" t="str">
        <f aca="false">IF((H2987-G2987)&lt;&gt;K2987,"Mismatch","OK")</f>
        <v>OK</v>
      </c>
      <c r="X2987" s="9" t="str">
        <f aca="false">IF(TEXT(H2987,"dddd")&lt;&gt;I2987,"Mismatch","OK")</f>
        <v>OK</v>
      </c>
      <c r="Y2987" s="9" t="str">
        <f aca="false">IF(AND(N2987="No",O2987&lt;&gt;""),"Unexpected: channel present but no reminder sent",IF(AND(N2987="Yes",O2987=""),"Missing channel for sent reminder","OK"))</f>
        <v>OK</v>
      </c>
    </row>
    <row r="2988" customFormat="false" ht="15" hidden="false" customHeight="false" outlineLevel="0" collapsed="false">
      <c r="A2988" s="7" t="s">
        <v>4515</v>
      </c>
      <c r="B2988" s="7" t="s">
        <v>661</v>
      </c>
      <c r="C2988" s="7" t="s">
        <v>47</v>
      </c>
      <c r="D2988" s="7" t="n">
        <v>54</v>
      </c>
      <c r="E2988" s="7" t="s">
        <v>56</v>
      </c>
      <c r="F2988" s="7" t="s">
        <v>57</v>
      </c>
      <c r="G2988" s="8" t="n">
        <v>46015</v>
      </c>
      <c r="H2988" s="8" t="n">
        <v>46066</v>
      </c>
      <c r="I2988" s="7" t="s">
        <v>50</v>
      </c>
      <c r="J2988" s="7" t="s">
        <v>51</v>
      </c>
      <c r="K2988" s="7" t="n">
        <v>51</v>
      </c>
      <c r="L2988" s="7" t="n">
        <v>0</v>
      </c>
      <c r="M2988" s="7" t="n">
        <v>0</v>
      </c>
      <c r="N2988" s="7" t="s">
        <v>42</v>
      </c>
      <c r="O2988" s="7" t="s">
        <v>43</v>
      </c>
      <c r="P2988" s="7" t="n">
        <v>7.7</v>
      </c>
      <c r="Q2988" s="7" t="n">
        <v>13</v>
      </c>
      <c r="R2988" s="7" t="s">
        <v>44</v>
      </c>
      <c r="S2988" s="7"/>
      <c r="T2988" s="7"/>
      <c r="U2988" s="7" t="str">
        <f aca="false">IF(COUNTIF($A$2:$A$5001,A2988)&gt;1,"Duplicate","Unique")</f>
        <v>Unique</v>
      </c>
      <c r="V2988" s="7" t="str">
        <f aca="false">IF(COUNTIFS($B$2:$B$5001,B2988,$H$2:$H$5001,H2988,$J$2:$J$5001,J2988)&gt;1,"Possible Duplicate Booking","Unique")</f>
        <v>Unique</v>
      </c>
      <c r="W2988" s="7" t="str">
        <f aca="false">IF((H2988-G2988)&lt;&gt;K2988,"Mismatch","OK")</f>
        <v>OK</v>
      </c>
      <c r="X2988" s="7" t="str">
        <f aca="false">IF(TEXT(H2988,"dddd")&lt;&gt;I2988,"Mismatch","OK")</f>
        <v>OK</v>
      </c>
      <c r="Y2988" s="7" t="str">
        <f aca="false">IF(AND(N2988="No",O2988&lt;&gt;""),"Unexpected: channel present but no reminder sent",IF(AND(N2988="Yes",O2988=""),"Missing channel for sent reminder","OK"))</f>
        <v>OK</v>
      </c>
    </row>
    <row r="2989" customFormat="false" ht="15" hidden="false" customHeight="false" outlineLevel="0" collapsed="false">
      <c r="A2989" s="9" t="s">
        <v>4516</v>
      </c>
      <c r="B2989" s="9" t="s">
        <v>4517</v>
      </c>
      <c r="C2989" s="9" t="s">
        <v>37</v>
      </c>
      <c r="D2989" s="9" t="n">
        <v>28</v>
      </c>
      <c r="E2989" s="9" t="s">
        <v>48</v>
      </c>
      <c r="F2989" s="9" t="s">
        <v>57</v>
      </c>
      <c r="G2989" s="10" t="n">
        <v>46065</v>
      </c>
      <c r="H2989" s="10" t="n">
        <v>46084</v>
      </c>
      <c r="I2989" s="9" t="s">
        <v>40</v>
      </c>
      <c r="J2989" s="9" t="s">
        <v>41</v>
      </c>
      <c r="K2989" s="9" t="n">
        <v>19</v>
      </c>
      <c r="L2989" s="9" t="n">
        <v>5</v>
      </c>
      <c r="M2989" s="9" t="n">
        <v>0</v>
      </c>
      <c r="N2989" s="9" t="s">
        <v>71</v>
      </c>
      <c r="O2989" s="9"/>
      <c r="P2989" s="9" t="n">
        <v>8.8</v>
      </c>
      <c r="Q2989" s="9" t="n">
        <v>12</v>
      </c>
      <c r="R2989" s="9" t="s">
        <v>44</v>
      </c>
      <c r="S2989" s="9"/>
      <c r="T2989" s="9"/>
      <c r="U2989" s="9" t="str">
        <f aca="false">IF(COUNTIF($A$2:$A$5001,A2989)&gt;1,"Duplicate","Unique")</f>
        <v>Unique</v>
      </c>
      <c r="V2989" s="9" t="str">
        <f aca="false">IF(COUNTIFS($B$2:$B$5001,B2989,$H$2:$H$5001,H2989,$J$2:$J$5001,J2989)&gt;1,"Possible Duplicate Booking","Unique")</f>
        <v>Unique</v>
      </c>
      <c r="W2989" s="9" t="str">
        <f aca="false">IF((H2989-G2989)&lt;&gt;K2989,"Mismatch","OK")</f>
        <v>OK</v>
      </c>
      <c r="X2989" s="9" t="str">
        <f aca="false">IF(TEXT(H2989,"dddd")&lt;&gt;I2989,"Mismatch","OK")</f>
        <v>OK</v>
      </c>
      <c r="Y2989" s="9" t="str">
        <f aca="false">IF(AND(N2989="No",O2989&lt;&gt;""),"Unexpected: channel present but no reminder sent",IF(AND(N2989="Yes",O2989=""),"Missing channel for sent reminder","OK"))</f>
        <v>OK</v>
      </c>
    </row>
    <row r="2990" customFormat="false" ht="15" hidden="false" customHeight="false" outlineLevel="0" collapsed="false">
      <c r="A2990" s="7" t="s">
        <v>4518</v>
      </c>
      <c r="B2990" s="7" t="s">
        <v>1151</v>
      </c>
      <c r="C2990" s="7" t="s">
        <v>47</v>
      </c>
      <c r="D2990" s="7" t="n">
        <v>38</v>
      </c>
      <c r="E2990" s="7" t="s">
        <v>38</v>
      </c>
      <c r="F2990" s="7" t="s">
        <v>74</v>
      </c>
      <c r="G2990" s="8" t="n">
        <v>46151</v>
      </c>
      <c r="H2990" s="8" t="n">
        <v>46151</v>
      </c>
      <c r="I2990" s="7" t="s">
        <v>102</v>
      </c>
      <c r="J2990" s="7" t="s">
        <v>51</v>
      </c>
      <c r="K2990" s="7" t="n">
        <v>0</v>
      </c>
      <c r="L2990" s="7" t="n">
        <v>2</v>
      </c>
      <c r="M2990" s="7" t="n">
        <v>0</v>
      </c>
      <c r="N2990" s="7" t="s">
        <v>42</v>
      </c>
      <c r="O2990" s="7" t="s">
        <v>43</v>
      </c>
      <c r="P2990" s="7" t="n">
        <v>8.1</v>
      </c>
      <c r="Q2990" s="7" t="n">
        <v>24</v>
      </c>
      <c r="R2990" s="7" t="s">
        <v>53</v>
      </c>
      <c r="S2990" s="7"/>
      <c r="T2990" s="7"/>
      <c r="U2990" s="7" t="str">
        <f aca="false">IF(COUNTIF($A$2:$A$5001,A2990)&gt;1,"Duplicate","Unique")</f>
        <v>Unique</v>
      </c>
      <c r="V2990" s="7" t="str">
        <f aca="false">IF(COUNTIFS($B$2:$B$5001,B2990,$H$2:$H$5001,H2990,$J$2:$J$5001,J2990)&gt;1,"Possible Duplicate Booking","Unique")</f>
        <v>Unique</v>
      </c>
      <c r="W2990" s="7" t="str">
        <f aca="false">IF((H2990-G2990)&lt;&gt;K2990,"Mismatch","OK")</f>
        <v>OK</v>
      </c>
      <c r="X2990" s="7" t="str">
        <f aca="false">IF(TEXT(H2990,"dddd")&lt;&gt;I2990,"Mismatch","OK")</f>
        <v>OK</v>
      </c>
      <c r="Y2990" s="7" t="str">
        <f aca="false">IF(AND(N2990="No",O2990&lt;&gt;""),"Unexpected: channel present but no reminder sent",IF(AND(N2990="Yes",O2990=""),"Missing channel for sent reminder","OK"))</f>
        <v>OK</v>
      </c>
    </row>
    <row r="2991" customFormat="false" ht="15" hidden="false" customHeight="false" outlineLevel="0" collapsed="false">
      <c r="A2991" s="9" t="s">
        <v>4519</v>
      </c>
      <c r="B2991" s="9" t="s">
        <v>2978</v>
      </c>
      <c r="C2991" s="9" t="s">
        <v>47</v>
      </c>
      <c r="D2991" s="9" t="n">
        <v>71</v>
      </c>
      <c r="E2991" s="9" t="s">
        <v>70</v>
      </c>
      <c r="F2991" s="9" t="s">
        <v>39</v>
      </c>
      <c r="G2991" s="10" t="n">
        <v>45877</v>
      </c>
      <c r="H2991" s="10" t="n">
        <v>45891</v>
      </c>
      <c r="I2991" s="9" t="s">
        <v>50</v>
      </c>
      <c r="J2991" s="9" t="s">
        <v>63</v>
      </c>
      <c r="K2991" s="9" t="n">
        <v>14</v>
      </c>
      <c r="L2991" s="9" t="n">
        <v>1</v>
      </c>
      <c r="M2991" s="9" t="n">
        <v>0</v>
      </c>
      <c r="N2991" s="9" t="s">
        <v>42</v>
      </c>
      <c r="O2991" s="9" t="s">
        <v>43</v>
      </c>
      <c r="P2991" s="9" t="n">
        <v>13.7</v>
      </c>
      <c r="Q2991" s="9" t="n">
        <v>39</v>
      </c>
      <c r="R2991" s="9" t="s">
        <v>87</v>
      </c>
      <c r="S2991" s="9"/>
      <c r="T2991" s="9"/>
      <c r="U2991" s="9" t="str">
        <f aca="false">IF(COUNTIF($A$2:$A$5001,A2991)&gt;1,"Duplicate","Unique")</f>
        <v>Unique</v>
      </c>
      <c r="V2991" s="9" t="str">
        <f aca="false">IF(COUNTIFS($B$2:$B$5001,B2991,$H$2:$H$5001,H2991,$J$2:$J$5001,J2991)&gt;1,"Possible Duplicate Booking","Unique")</f>
        <v>Unique</v>
      </c>
      <c r="W2991" s="9" t="str">
        <f aca="false">IF((H2991-G2991)&lt;&gt;K2991,"Mismatch","OK")</f>
        <v>OK</v>
      </c>
      <c r="X2991" s="9" t="str">
        <f aca="false">IF(TEXT(H2991,"dddd")&lt;&gt;I2991,"Mismatch","OK")</f>
        <v>OK</v>
      </c>
      <c r="Y2991" s="9" t="str">
        <f aca="false">IF(AND(N2991="No",O2991&lt;&gt;""),"Unexpected: channel present but no reminder sent",IF(AND(N2991="Yes",O2991=""),"Missing channel for sent reminder","OK"))</f>
        <v>OK</v>
      </c>
    </row>
    <row r="2992" customFormat="false" ht="15" hidden="false" customHeight="false" outlineLevel="0" collapsed="false">
      <c r="A2992" s="7" t="s">
        <v>4520</v>
      </c>
      <c r="B2992" s="7" t="s">
        <v>1457</v>
      </c>
      <c r="C2992" s="7" t="s">
        <v>37</v>
      </c>
      <c r="D2992" s="7" t="n">
        <v>23</v>
      </c>
      <c r="E2992" s="7" t="s">
        <v>82</v>
      </c>
      <c r="F2992" s="7" t="s">
        <v>57</v>
      </c>
      <c r="G2992" s="8" t="n">
        <v>45893</v>
      </c>
      <c r="H2992" s="8" t="n">
        <v>45907</v>
      </c>
      <c r="I2992" s="7" t="s">
        <v>75</v>
      </c>
      <c r="J2992" s="7" t="s">
        <v>41</v>
      </c>
      <c r="K2992" s="7" t="n">
        <v>14</v>
      </c>
      <c r="L2992" s="7" t="n">
        <v>6</v>
      </c>
      <c r="M2992" s="7" t="n">
        <v>2</v>
      </c>
      <c r="N2992" s="7" t="s">
        <v>42</v>
      </c>
      <c r="O2992" s="7" t="s">
        <v>52</v>
      </c>
      <c r="P2992" s="7" t="n">
        <v>35.3</v>
      </c>
      <c r="Q2992" s="7" t="n">
        <v>28</v>
      </c>
      <c r="R2992" s="7" t="s">
        <v>44</v>
      </c>
      <c r="S2992" s="7"/>
      <c r="T2992" s="7"/>
      <c r="U2992" s="7" t="str">
        <f aca="false">IF(COUNTIF($A$2:$A$5001,A2992)&gt;1,"Duplicate","Unique")</f>
        <v>Unique</v>
      </c>
      <c r="V2992" s="7" t="str">
        <f aca="false">IF(COUNTIFS($B$2:$B$5001,B2992,$H$2:$H$5001,H2992,$J$2:$J$5001,J2992)&gt;1,"Possible Duplicate Booking","Unique")</f>
        <v>Unique</v>
      </c>
      <c r="W2992" s="7" t="str">
        <f aca="false">IF((H2992-G2992)&lt;&gt;K2992,"Mismatch","OK")</f>
        <v>OK</v>
      </c>
      <c r="X2992" s="7" t="str">
        <f aca="false">IF(TEXT(H2992,"dddd")&lt;&gt;I2992,"Mismatch","OK")</f>
        <v>OK</v>
      </c>
      <c r="Y2992" s="7" t="str">
        <f aca="false">IF(AND(N2992="No",O2992&lt;&gt;""),"Unexpected: channel present but no reminder sent",IF(AND(N2992="Yes",O2992=""),"Missing channel for sent reminder","OK"))</f>
        <v>OK</v>
      </c>
    </row>
    <row r="2993" customFormat="false" ht="15" hidden="false" customHeight="false" outlineLevel="0" collapsed="false">
      <c r="A2993" s="9" t="s">
        <v>4521</v>
      </c>
      <c r="B2993" s="9" t="s">
        <v>1220</v>
      </c>
      <c r="C2993" s="9" t="s">
        <v>47</v>
      </c>
      <c r="D2993" s="9" t="n">
        <v>18</v>
      </c>
      <c r="E2993" s="9" t="s">
        <v>82</v>
      </c>
      <c r="F2993" s="9" t="s">
        <v>39</v>
      </c>
      <c r="G2993" s="10" t="n">
        <v>46006</v>
      </c>
      <c r="H2993" s="10" t="n">
        <v>46006</v>
      </c>
      <c r="I2993" s="9" t="s">
        <v>66</v>
      </c>
      <c r="J2993" s="9" t="s">
        <v>51</v>
      </c>
      <c r="K2993" s="9" t="n">
        <v>0</v>
      </c>
      <c r="L2993" s="9" t="n">
        <v>6</v>
      </c>
      <c r="M2993" s="9" t="n">
        <v>2</v>
      </c>
      <c r="N2993" s="9" t="s">
        <v>42</v>
      </c>
      <c r="O2993" s="9" t="s">
        <v>43</v>
      </c>
      <c r="P2993" s="9" t="n">
        <v>5.1</v>
      </c>
      <c r="Q2993" s="9"/>
      <c r="R2993" s="9" t="s">
        <v>44</v>
      </c>
      <c r="S2993" s="9"/>
      <c r="T2993" s="9"/>
      <c r="U2993" s="9" t="str">
        <f aca="false">IF(COUNTIF($A$2:$A$5001,A2993)&gt;1,"Duplicate","Unique")</f>
        <v>Unique</v>
      </c>
      <c r="V2993" s="9" t="str">
        <f aca="false">IF(COUNTIFS($B$2:$B$5001,B2993,$H$2:$H$5001,H2993,$J$2:$J$5001,J2993)&gt;1,"Possible Duplicate Booking","Unique")</f>
        <v>Unique</v>
      </c>
      <c r="W2993" s="9" t="str">
        <f aca="false">IF((H2993-G2993)&lt;&gt;K2993,"Mismatch","OK")</f>
        <v>OK</v>
      </c>
      <c r="X2993" s="9" t="str">
        <f aca="false">IF(TEXT(H2993,"dddd")&lt;&gt;I2993,"Mismatch","OK")</f>
        <v>OK</v>
      </c>
      <c r="Y2993" s="9" t="str">
        <f aca="false">IF(AND(N2993="No",O2993&lt;&gt;""),"Unexpected: channel present but no reminder sent",IF(AND(N2993="Yes",O2993=""),"Missing channel for sent reminder","OK"))</f>
        <v>OK</v>
      </c>
    </row>
    <row r="2994" customFormat="false" ht="15" hidden="false" customHeight="false" outlineLevel="0" collapsed="false">
      <c r="A2994" s="7" t="s">
        <v>4522</v>
      </c>
      <c r="B2994" s="7" t="s">
        <v>1780</v>
      </c>
      <c r="C2994" s="7" t="s">
        <v>37</v>
      </c>
      <c r="D2994" s="7" t="n">
        <v>59</v>
      </c>
      <c r="E2994" s="7" t="s">
        <v>61</v>
      </c>
      <c r="F2994" s="7" t="s">
        <v>74</v>
      </c>
      <c r="G2994" s="8" t="n">
        <v>45723</v>
      </c>
      <c r="H2994" s="8" t="n">
        <v>45763</v>
      </c>
      <c r="I2994" s="7" t="s">
        <v>58</v>
      </c>
      <c r="J2994" s="7" t="s">
        <v>63</v>
      </c>
      <c r="K2994" s="7" t="n">
        <v>40</v>
      </c>
      <c r="L2994" s="7" t="n">
        <v>3</v>
      </c>
      <c r="M2994" s="7" t="n">
        <v>1</v>
      </c>
      <c r="N2994" s="7" t="s">
        <v>42</v>
      </c>
      <c r="O2994" s="7" t="s">
        <v>67</v>
      </c>
      <c r="P2994" s="7" t="n">
        <v>3</v>
      </c>
      <c r="Q2994" s="7" t="n">
        <v>41</v>
      </c>
      <c r="R2994" s="7" t="s">
        <v>53</v>
      </c>
      <c r="S2994" s="7"/>
      <c r="T2994" s="7"/>
      <c r="U2994" s="7" t="str">
        <f aca="false">IF(COUNTIF($A$2:$A$5001,A2994)&gt;1,"Duplicate","Unique")</f>
        <v>Unique</v>
      </c>
      <c r="V2994" s="7" t="str">
        <f aca="false">IF(COUNTIFS($B$2:$B$5001,B2994,$H$2:$H$5001,H2994,$J$2:$J$5001,J2994)&gt;1,"Possible Duplicate Booking","Unique")</f>
        <v>Unique</v>
      </c>
      <c r="W2994" s="7" t="str">
        <f aca="false">IF((H2994-G2994)&lt;&gt;K2994,"Mismatch","OK")</f>
        <v>OK</v>
      </c>
      <c r="X2994" s="7" t="str">
        <f aca="false">IF(TEXT(H2994,"dddd")&lt;&gt;I2994,"Mismatch","OK")</f>
        <v>OK</v>
      </c>
      <c r="Y2994" s="7" t="str">
        <f aca="false">IF(AND(N2994="No",O2994&lt;&gt;""),"Unexpected: channel present but no reminder sent",IF(AND(N2994="Yes",O2994=""),"Missing channel for sent reminder","OK"))</f>
        <v>OK</v>
      </c>
    </row>
    <row r="2995" customFormat="false" ht="15" hidden="false" customHeight="false" outlineLevel="0" collapsed="false">
      <c r="A2995" s="9" t="s">
        <v>4523</v>
      </c>
      <c r="B2995" s="9" t="s">
        <v>4524</v>
      </c>
      <c r="C2995" s="9" t="s">
        <v>47</v>
      </c>
      <c r="D2995" s="9" t="n">
        <v>45</v>
      </c>
      <c r="E2995" s="9" t="s">
        <v>56</v>
      </c>
      <c r="F2995" s="9" t="s">
        <v>39</v>
      </c>
      <c r="G2995" s="10" t="n">
        <v>46120</v>
      </c>
      <c r="H2995" s="10" t="n">
        <v>46125</v>
      </c>
      <c r="I2995" s="9" t="s">
        <v>66</v>
      </c>
      <c r="J2995" s="9" t="s">
        <v>51</v>
      </c>
      <c r="K2995" s="9" t="n">
        <v>5</v>
      </c>
      <c r="L2995" s="9" t="n">
        <v>1</v>
      </c>
      <c r="M2995" s="9" t="n">
        <v>0</v>
      </c>
      <c r="N2995" s="9" t="s">
        <v>42</v>
      </c>
      <c r="O2995" s="9" t="s">
        <v>52</v>
      </c>
      <c r="P2995" s="9" t="n">
        <v>4</v>
      </c>
      <c r="Q2995" s="9" t="n">
        <v>18</v>
      </c>
      <c r="R2995" s="9" t="s">
        <v>53</v>
      </c>
      <c r="S2995" s="9"/>
      <c r="T2995" s="9"/>
      <c r="U2995" s="9" t="str">
        <f aca="false">IF(COUNTIF($A$2:$A$5001,A2995)&gt;1,"Duplicate","Unique")</f>
        <v>Unique</v>
      </c>
      <c r="V2995" s="9" t="str">
        <f aca="false">IF(COUNTIFS($B$2:$B$5001,B2995,$H$2:$H$5001,H2995,$J$2:$J$5001,J2995)&gt;1,"Possible Duplicate Booking","Unique")</f>
        <v>Unique</v>
      </c>
      <c r="W2995" s="9" t="str">
        <f aca="false">IF((H2995-G2995)&lt;&gt;K2995,"Mismatch","OK")</f>
        <v>OK</v>
      </c>
      <c r="X2995" s="9" t="str">
        <f aca="false">IF(TEXT(H2995,"dddd")&lt;&gt;I2995,"Mismatch","OK")</f>
        <v>OK</v>
      </c>
      <c r="Y2995" s="9" t="str">
        <f aca="false">IF(AND(N2995="No",O2995&lt;&gt;""),"Unexpected: channel present but no reminder sent",IF(AND(N2995="Yes",O2995=""),"Missing channel for sent reminder","OK"))</f>
        <v>OK</v>
      </c>
    </row>
    <row r="2996" customFormat="false" ht="15" hidden="false" customHeight="false" outlineLevel="0" collapsed="false">
      <c r="A2996" s="7" t="s">
        <v>4525</v>
      </c>
      <c r="B2996" s="7" t="s">
        <v>1355</v>
      </c>
      <c r="C2996" s="7" t="s">
        <v>37</v>
      </c>
      <c r="D2996" s="7" t="n">
        <v>33</v>
      </c>
      <c r="E2996" s="7" t="s">
        <v>48</v>
      </c>
      <c r="F2996" s="7" t="s">
        <v>74</v>
      </c>
      <c r="G2996" s="8" t="n">
        <v>46027</v>
      </c>
      <c r="H2996" s="8" t="n">
        <v>46078</v>
      </c>
      <c r="I2996" s="7" t="s">
        <v>58</v>
      </c>
      <c r="J2996" s="7" t="s">
        <v>51</v>
      </c>
      <c r="K2996" s="7" t="n">
        <v>51</v>
      </c>
      <c r="L2996" s="7" t="n">
        <v>3</v>
      </c>
      <c r="M2996" s="7" t="n">
        <v>1</v>
      </c>
      <c r="N2996" s="7" t="s">
        <v>71</v>
      </c>
      <c r="O2996" s="7"/>
      <c r="P2996" s="7" t="n">
        <v>14.4</v>
      </c>
      <c r="Q2996" s="7" t="n">
        <v>41</v>
      </c>
      <c r="R2996" s="7" t="s">
        <v>44</v>
      </c>
      <c r="S2996" s="7"/>
      <c r="T2996" s="7"/>
      <c r="U2996" s="7" t="str">
        <f aca="false">IF(COUNTIF($A$2:$A$5001,A2996)&gt;1,"Duplicate","Unique")</f>
        <v>Unique</v>
      </c>
      <c r="V2996" s="7" t="str">
        <f aca="false">IF(COUNTIFS($B$2:$B$5001,B2996,$H$2:$H$5001,H2996,$J$2:$J$5001,J2996)&gt;1,"Possible Duplicate Booking","Unique")</f>
        <v>Unique</v>
      </c>
      <c r="W2996" s="7" t="str">
        <f aca="false">IF((H2996-G2996)&lt;&gt;K2996,"Mismatch","OK")</f>
        <v>OK</v>
      </c>
      <c r="X2996" s="7" t="str">
        <f aca="false">IF(TEXT(H2996,"dddd")&lt;&gt;I2996,"Mismatch","OK")</f>
        <v>OK</v>
      </c>
      <c r="Y2996" s="7" t="str">
        <f aca="false">IF(AND(N2996="No",O2996&lt;&gt;""),"Unexpected: channel present but no reminder sent",IF(AND(N2996="Yes",O2996=""),"Missing channel for sent reminder","OK"))</f>
        <v>OK</v>
      </c>
    </row>
    <row r="2997" customFormat="false" ht="15" hidden="false" customHeight="false" outlineLevel="0" collapsed="false">
      <c r="A2997" s="9" t="s">
        <v>4526</v>
      </c>
      <c r="B2997" s="9" t="s">
        <v>1902</v>
      </c>
      <c r="C2997" s="9" t="s">
        <v>47</v>
      </c>
      <c r="D2997" s="9" t="n">
        <v>47</v>
      </c>
      <c r="E2997" s="9" t="s">
        <v>56</v>
      </c>
      <c r="F2997" s="9" t="s">
        <v>49</v>
      </c>
      <c r="G2997" s="10" t="n">
        <v>45975</v>
      </c>
      <c r="H2997" s="10" t="n">
        <v>46002</v>
      </c>
      <c r="I2997" s="9" t="s">
        <v>62</v>
      </c>
      <c r="J2997" s="9" t="s">
        <v>41</v>
      </c>
      <c r="K2997" s="9" t="n">
        <v>27</v>
      </c>
      <c r="L2997" s="9" t="n">
        <v>4</v>
      </c>
      <c r="M2997" s="9" t="n">
        <v>0</v>
      </c>
      <c r="N2997" s="9" t="s">
        <v>42</v>
      </c>
      <c r="O2997" s="9" t="s">
        <v>52</v>
      </c>
      <c r="P2997" s="9" t="n">
        <v>9.9</v>
      </c>
      <c r="Q2997" s="9" t="n">
        <v>23</v>
      </c>
      <c r="R2997" s="9" t="s">
        <v>53</v>
      </c>
      <c r="S2997" s="9"/>
      <c r="T2997" s="9"/>
      <c r="U2997" s="9" t="str">
        <f aca="false">IF(COUNTIF($A$2:$A$5001,A2997)&gt;1,"Duplicate","Unique")</f>
        <v>Unique</v>
      </c>
      <c r="V2997" s="9" t="str">
        <f aca="false">IF(COUNTIFS($B$2:$B$5001,B2997,$H$2:$H$5001,H2997,$J$2:$J$5001,J2997)&gt;1,"Possible Duplicate Booking","Unique")</f>
        <v>Unique</v>
      </c>
      <c r="W2997" s="9" t="str">
        <f aca="false">IF((H2997-G2997)&lt;&gt;K2997,"Mismatch","OK")</f>
        <v>OK</v>
      </c>
      <c r="X2997" s="9" t="str">
        <f aca="false">IF(TEXT(H2997,"dddd")&lt;&gt;I2997,"Mismatch","OK")</f>
        <v>OK</v>
      </c>
      <c r="Y2997" s="9" t="str">
        <f aca="false">IF(AND(N2997="No",O2997&lt;&gt;""),"Unexpected: channel present but no reminder sent",IF(AND(N2997="Yes",O2997=""),"Missing channel for sent reminder","OK"))</f>
        <v>OK</v>
      </c>
    </row>
    <row r="2998" customFormat="false" ht="15" hidden="false" customHeight="false" outlineLevel="0" collapsed="false">
      <c r="A2998" s="7" t="s">
        <v>4527</v>
      </c>
      <c r="B2998" s="7" t="s">
        <v>4528</v>
      </c>
      <c r="C2998" s="7" t="s">
        <v>47</v>
      </c>
      <c r="D2998" s="7" t="n">
        <v>29</v>
      </c>
      <c r="E2998" s="7" t="s">
        <v>48</v>
      </c>
      <c r="F2998" s="7" t="s">
        <v>57</v>
      </c>
      <c r="G2998" s="8" t="n">
        <v>45779</v>
      </c>
      <c r="H2998" s="8" t="n">
        <v>45822</v>
      </c>
      <c r="I2998" s="7" t="s">
        <v>102</v>
      </c>
      <c r="J2998" s="7" t="s">
        <v>41</v>
      </c>
      <c r="K2998" s="7" t="n">
        <v>43</v>
      </c>
      <c r="L2998" s="7" t="n">
        <v>4</v>
      </c>
      <c r="M2998" s="7" t="n">
        <v>1</v>
      </c>
      <c r="N2998" s="7" t="s">
        <v>71</v>
      </c>
      <c r="O2998" s="7"/>
      <c r="P2998" s="7" t="n">
        <v>16</v>
      </c>
      <c r="Q2998" s="7" t="n">
        <v>27</v>
      </c>
      <c r="R2998" s="7" t="s">
        <v>53</v>
      </c>
      <c r="S2998" s="7"/>
      <c r="T2998" s="7"/>
      <c r="U2998" s="7" t="str">
        <f aca="false">IF(COUNTIF($A$2:$A$5001,A2998)&gt;1,"Duplicate","Unique")</f>
        <v>Unique</v>
      </c>
      <c r="V2998" s="7" t="str">
        <f aca="false">IF(COUNTIFS($B$2:$B$5001,B2998,$H$2:$H$5001,H2998,$J$2:$J$5001,J2998)&gt;1,"Possible Duplicate Booking","Unique")</f>
        <v>Unique</v>
      </c>
      <c r="W2998" s="7" t="str">
        <f aca="false">IF((H2998-G2998)&lt;&gt;K2998,"Mismatch","OK")</f>
        <v>OK</v>
      </c>
      <c r="X2998" s="7" t="str">
        <f aca="false">IF(TEXT(H2998,"dddd")&lt;&gt;I2998,"Mismatch","OK")</f>
        <v>OK</v>
      </c>
      <c r="Y2998" s="7" t="str">
        <f aca="false">IF(AND(N2998="No",O2998&lt;&gt;""),"Unexpected: channel present but no reminder sent",IF(AND(N2998="Yes",O2998=""),"Missing channel for sent reminder","OK"))</f>
        <v>OK</v>
      </c>
    </row>
    <row r="2999" customFormat="false" ht="15" hidden="false" customHeight="false" outlineLevel="0" collapsed="false">
      <c r="A2999" s="9" t="s">
        <v>4529</v>
      </c>
      <c r="B2999" s="9" t="s">
        <v>3400</v>
      </c>
      <c r="C2999" s="9" t="s">
        <v>47</v>
      </c>
      <c r="D2999" s="9" t="n">
        <v>41</v>
      </c>
      <c r="E2999" s="9" t="s">
        <v>38</v>
      </c>
      <c r="F2999" s="9" t="s">
        <v>39</v>
      </c>
      <c r="G2999" s="10" t="n">
        <v>45827</v>
      </c>
      <c r="H2999" s="10" t="n">
        <v>45847</v>
      </c>
      <c r="I2999" s="9" t="s">
        <v>58</v>
      </c>
      <c r="J2999" s="9" t="s">
        <v>51</v>
      </c>
      <c r="K2999" s="9" t="n">
        <v>20</v>
      </c>
      <c r="L2999" s="9" t="n">
        <v>2</v>
      </c>
      <c r="M2999" s="9" t="n">
        <v>0</v>
      </c>
      <c r="N2999" s="9" t="s">
        <v>42</v>
      </c>
      <c r="O2999" s="9" t="s">
        <v>43</v>
      </c>
      <c r="P2999" s="9" t="n">
        <v>1.9</v>
      </c>
      <c r="Q2999" s="9" t="n">
        <v>20</v>
      </c>
      <c r="R2999" s="9" t="s">
        <v>53</v>
      </c>
      <c r="S2999" s="9"/>
      <c r="T2999" s="9"/>
      <c r="U2999" s="9" t="str">
        <f aca="false">IF(COUNTIF($A$2:$A$5001,A2999)&gt;1,"Duplicate","Unique")</f>
        <v>Unique</v>
      </c>
      <c r="V2999" s="9" t="str">
        <f aca="false">IF(COUNTIFS($B$2:$B$5001,B2999,$H$2:$H$5001,H2999,$J$2:$J$5001,J2999)&gt;1,"Possible Duplicate Booking","Unique")</f>
        <v>Unique</v>
      </c>
      <c r="W2999" s="9" t="str">
        <f aca="false">IF((H2999-G2999)&lt;&gt;K2999,"Mismatch","OK")</f>
        <v>OK</v>
      </c>
      <c r="X2999" s="9" t="str">
        <f aca="false">IF(TEXT(H2999,"dddd")&lt;&gt;I2999,"Mismatch","OK")</f>
        <v>OK</v>
      </c>
      <c r="Y2999" s="9" t="str">
        <f aca="false">IF(AND(N2999="No",O2999&lt;&gt;""),"Unexpected: channel present but no reminder sent",IF(AND(N2999="Yes",O2999=""),"Missing channel for sent reminder","OK"))</f>
        <v>OK</v>
      </c>
    </row>
    <row r="3000" customFormat="false" ht="15" hidden="false" customHeight="false" outlineLevel="0" collapsed="false">
      <c r="A3000" s="7" t="s">
        <v>4530</v>
      </c>
      <c r="B3000" s="7" t="s">
        <v>4531</v>
      </c>
      <c r="C3000" s="7" t="s">
        <v>37</v>
      </c>
      <c r="D3000" s="7" t="n">
        <v>32</v>
      </c>
      <c r="E3000" s="7" t="s">
        <v>48</v>
      </c>
      <c r="F3000" s="7" t="s">
        <v>39</v>
      </c>
      <c r="G3000" s="8" t="n">
        <v>45887</v>
      </c>
      <c r="H3000" s="8" t="n">
        <v>45895</v>
      </c>
      <c r="I3000" s="7" t="s">
        <v>40</v>
      </c>
      <c r="J3000" s="7" t="s">
        <v>51</v>
      </c>
      <c r="K3000" s="7" t="n">
        <v>8</v>
      </c>
      <c r="L3000" s="7" t="n">
        <v>4</v>
      </c>
      <c r="M3000" s="7" t="n">
        <v>2</v>
      </c>
      <c r="N3000" s="7" t="s">
        <v>42</v>
      </c>
      <c r="O3000" s="7" t="s">
        <v>43</v>
      </c>
      <c r="P3000" s="7" t="n">
        <v>7.4</v>
      </c>
      <c r="Q3000" s="7" t="n">
        <v>21</v>
      </c>
      <c r="R3000" s="7" t="s">
        <v>53</v>
      </c>
      <c r="S3000" s="7"/>
      <c r="T3000" s="7"/>
      <c r="U3000" s="7" t="str">
        <f aca="false">IF(COUNTIF($A$2:$A$5001,A3000)&gt;1,"Duplicate","Unique")</f>
        <v>Unique</v>
      </c>
      <c r="V3000" s="7" t="str">
        <f aca="false">IF(COUNTIFS($B$2:$B$5001,B3000,$H$2:$H$5001,H3000,$J$2:$J$5001,J3000)&gt;1,"Possible Duplicate Booking","Unique")</f>
        <v>Unique</v>
      </c>
      <c r="W3000" s="7" t="str">
        <f aca="false">IF((H3000-G3000)&lt;&gt;K3000,"Mismatch","OK")</f>
        <v>OK</v>
      </c>
      <c r="X3000" s="7" t="str">
        <f aca="false">IF(TEXT(H3000,"dddd")&lt;&gt;I3000,"Mismatch","OK")</f>
        <v>OK</v>
      </c>
      <c r="Y3000" s="7" t="str">
        <f aca="false">IF(AND(N3000="No",O3000&lt;&gt;""),"Unexpected: channel present but no reminder sent",IF(AND(N3000="Yes",O3000=""),"Missing channel for sent reminder","OK"))</f>
        <v>OK</v>
      </c>
    </row>
    <row r="3001" customFormat="false" ht="15" hidden="false" customHeight="false" outlineLevel="0" collapsed="false">
      <c r="A3001" s="9" t="s">
        <v>4532</v>
      </c>
      <c r="B3001" s="9" t="s">
        <v>974</v>
      </c>
      <c r="C3001" s="9" t="s">
        <v>37</v>
      </c>
      <c r="D3001" s="9" t="n">
        <v>54</v>
      </c>
      <c r="E3001" s="9" t="s">
        <v>56</v>
      </c>
      <c r="F3001" s="9" t="s">
        <v>49</v>
      </c>
      <c r="G3001" s="10" t="n">
        <v>46008</v>
      </c>
      <c r="H3001" s="10" t="n">
        <v>46019</v>
      </c>
      <c r="I3001" s="9" t="s">
        <v>75</v>
      </c>
      <c r="J3001" s="9" t="s">
        <v>51</v>
      </c>
      <c r="K3001" s="9" t="n">
        <v>11</v>
      </c>
      <c r="L3001" s="9" t="n">
        <v>4</v>
      </c>
      <c r="M3001" s="9" t="n">
        <v>0</v>
      </c>
      <c r="N3001" s="9" t="s">
        <v>42</v>
      </c>
      <c r="O3001" s="9" t="s">
        <v>67</v>
      </c>
      <c r="P3001" s="9" t="n">
        <v>13.4</v>
      </c>
      <c r="Q3001" s="9" t="n">
        <v>39</v>
      </c>
      <c r="R3001" s="9" t="s">
        <v>53</v>
      </c>
      <c r="S3001" s="9"/>
      <c r="T3001" s="9"/>
      <c r="U3001" s="9" t="str">
        <f aca="false">IF(COUNTIF($A$2:$A$5001,A3001)&gt;1,"Duplicate","Unique")</f>
        <v>Unique</v>
      </c>
      <c r="V3001" s="9" t="str">
        <f aca="false">IF(COUNTIFS($B$2:$B$5001,B3001,$H$2:$H$5001,H3001,$J$2:$J$5001,J3001)&gt;1,"Possible Duplicate Booking","Unique")</f>
        <v>Unique</v>
      </c>
      <c r="W3001" s="9" t="str">
        <f aca="false">IF((H3001-G3001)&lt;&gt;K3001,"Mismatch","OK")</f>
        <v>OK</v>
      </c>
      <c r="X3001" s="9" t="str">
        <f aca="false">IF(TEXT(H3001,"dddd")&lt;&gt;I3001,"Mismatch","OK")</f>
        <v>OK</v>
      </c>
      <c r="Y3001" s="9" t="str">
        <f aca="false">IF(AND(N3001="No",O3001&lt;&gt;""),"Unexpected: channel present but no reminder sent",IF(AND(N3001="Yes",O3001=""),"Missing channel for sent reminder","OK"))</f>
        <v>OK</v>
      </c>
    </row>
    <row r="3002" customFormat="false" ht="15" hidden="false" customHeight="false" outlineLevel="0" collapsed="false">
      <c r="A3002" s="7" t="s">
        <v>4533</v>
      </c>
      <c r="B3002" s="7" t="s">
        <v>3201</v>
      </c>
      <c r="C3002" s="7" t="s">
        <v>47</v>
      </c>
      <c r="D3002" s="7" t="n">
        <v>60</v>
      </c>
      <c r="E3002" s="7" t="s">
        <v>61</v>
      </c>
      <c r="F3002" s="7" t="s">
        <v>57</v>
      </c>
      <c r="G3002" s="8" t="n">
        <v>46043</v>
      </c>
      <c r="H3002" s="8" t="n">
        <v>46082</v>
      </c>
      <c r="I3002" s="7" t="s">
        <v>75</v>
      </c>
      <c r="J3002" s="7" t="s">
        <v>41</v>
      </c>
      <c r="K3002" s="7" t="n">
        <v>39</v>
      </c>
      <c r="L3002" s="7" t="n">
        <v>2</v>
      </c>
      <c r="M3002" s="7" t="n">
        <v>1</v>
      </c>
      <c r="N3002" s="7" t="s">
        <v>42</v>
      </c>
      <c r="O3002" s="7" t="s">
        <v>43</v>
      </c>
      <c r="P3002" s="7" t="n">
        <v>1.8</v>
      </c>
      <c r="Q3002" s="7" t="n">
        <v>22</v>
      </c>
      <c r="R3002" s="7" t="s">
        <v>44</v>
      </c>
      <c r="S3002" s="7"/>
      <c r="T3002" s="7"/>
      <c r="U3002" s="7" t="str">
        <f aca="false">IF(COUNTIF($A$2:$A$5001,A3002)&gt;1,"Duplicate","Unique")</f>
        <v>Unique</v>
      </c>
      <c r="V3002" s="7" t="str">
        <f aca="false">IF(COUNTIFS($B$2:$B$5001,B3002,$H$2:$H$5001,H3002,$J$2:$J$5001,J3002)&gt;1,"Possible Duplicate Booking","Unique")</f>
        <v>Unique</v>
      </c>
      <c r="W3002" s="7" t="str">
        <f aca="false">IF((H3002-G3002)&lt;&gt;K3002,"Mismatch","OK")</f>
        <v>OK</v>
      </c>
      <c r="X3002" s="7" t="str">
        <f aca="false">IF(TEXT(H3002,"dddd")&lt;&gt;I3002,"Mismatch","OK")</f>
        <v>OK</v>
      </c>
      <c r="Y3002" s="7" t="str">
        <f aca="false">IF(AND(N3002="No",O3002&lt;&gt;""),"Unexpected: channel present but no reminder sent",IF(AND(N3002="Yes",O3002=""),"Missing channel for sent reminder","OK"))</f>
        <v>OK</v>
      </c>
    </row>
    <row r="3003" customFormat="false" ht="15" hidden="false" customHeight="false" outlineLevel="0" collapsed="false">
      <c r="A3003" s="9" t="s">
        <v>4534</v>
      </c>
      <c r="B3003" s="9" t="s">
        <v>1183</v>
      </c>
      <c r="C3003" s="9" t="s">
        <v>37</v>
      </c>
      <c r="D3003" s="9" t="n">
        <v>75</v>
      </c>
      <c r="E3003" s="9" t="s">
        <v>70</v>
      </c>
      <c r="F3003" s="9" t="s">
        <v>57</v>
      </c>
      <c r="G3003" s="10" t="n">
        <v>45981</v>
      </c>
      <c r="H3003" s="10" t="n">
        <v>46024</v>
      </c>
      <c r="I3003" s="9" t="s">
        <v>50</v>
      </c>
      <c r="J3003" s="9" t="s">
        <v>63</v>
      </c>
      <c r="K3003" s="9" t="n">
        <v>43</v>
      </c>
      <c r="L3003" s="9" t="n">
        <v>1</v>
      </c>
      <c r="M3003" s="9" t="n">
        <v>0</v>
      </c>
      <c r="N3003" s="9" t="s">
        <v>42</v>
      </c>
      <c r="O3003" s="9" t="s">
        <v>52</v>
      </c>
      <c r="P3003" s="9" t="n">
        <v>10.5</v>
      </c>
      <c r="Q3003" s="9" t="n">
        <v>34</v>
      </c>
      <c r="R3003" s="9" t="s">
        <v>53</v>
      </c>
      <c r="S3003" s="9"/>
      <c r="T3003" s="9"/>
      <c r="U3003" s="9" t="str">
        <f aca="false">IF(COUNTIF($A$2:$A$5001,A3003)&gt;1,"Duplicate","Unique")</f>
        <v>Unique</v>
      </c>
      <c r="V3003" s="9" t="str">
        <f aca="false">IF(COUNTIFS($B$2:$B$5001,B3003,$H$2:$H$5001,H3003,$J$2:$J$5001,J3003)&gt;1,"Possible Duplicate Booking","Unique")</f>
        <v>Unique</v>
      </c>
      <c r="W3003" s="9" t="str">
        <f aca="false">IF((H3003-G3003)&lt;&gt;K3003,"Mismatch","OK")</f>
        <v>OK</v>
      </c>
      <c r="X3003" s="9" t="str">
        <f aca="false">IF(TEXT(H3003,"dddd")&lt;&gt;I3003,"Mismatch","OK")</f>
        <v>OK</v>
      </c>
      <c r="Y3003" s="9" t="str">
        <f aca="false">IF(AND(N3003="No",O3003&lt;&gt;""),"Unexpected: channel present but no reminder sent",IF(AND(N3003="Yes",O3003=""),"Missing channel for sent reminder","OK"))</f>
        <v>OK</v>
      </c>
    </row>
    <row r="3004" customFormat="false" ht="15" hidden="false" customHeight="false" outlineLevel="0" collapsed="false">
      <c r="A3004" s="7" t="s">
        <v>4535</v>
      </c>
      <c r="B3004" s="7" t="s">
        <v>2890</v>
      </c>
      <c r="C3004" s="7" t="s">
        <v>37</v>
      </c>
      <c r="D3004" s="7" t="n">
        <v>22</v>
      </c>
      <c r="E3004" s="7" t="s">
        <v>82</v>
      </c>
      <c r="F3004" s="7" t="s">
        <v>57</v>
      </c>
      <c r="G3004" s="8" t="n">
        <v>46149</v>
      </c>
      <c r="H3004" s="8" t="n">
        <v>46165</v>
      </c>
      <c r="I3004" s="7" t="s">
        <v>102</v>
      </c>
      <c r="J3004" s="7" t="s">
        <v>51</v>
      </c>
      <c r="K3004" s="7" t="n">
        <v>16</v>
      </c>
      <c r="L3004" s="7" t="n">
        <v>1</v>
      </c>
      <c r="M3004" s="7" t="n">
        <v>0</v>
      </c>
      <c r="N3004" s="7" t="s">
        <v>42</v>
      </c>
      <c r="O3004" s="7" t="s">
        <v>67</v>
      </c>
      <c r="P3004" s="7" t="n">
        <v>7.6</v>
      </c>
      <c r="Q3004" s="7" t="n">
        <v>25</v>
      </c>
      <c r="R3004" s="7" t="s">
        <v>53</v>
      </c>
      <c r="S3004" s="7"/>
      <c r="T3004" s="7"/>
      <c r="U3004" s="7" t="str">
        <f aca="false">IF(COUNTIF($A$2:$A$5001,A3004)&gt;1,"Duplicate","Unique")</f>
        <v>Unique</v>
      </c>
      <c r="V3004" s="7" t="str">
        <f aca="false">IF(COUNTIFS($B$2:$B$5001,B3004,$H$2:$H$5001,H3004,$J$2:$J$5001,J3004)&gt;1,"Possible Duplicate Booking","Unique")</f>
        <v>Unique</v>
      </c>
      <c r="W3004" s="7" t="str">
        <f aca="false">IF((H3004-G3004)&lt;&gt;K3004,"Mismatch","OK")</f>
        <v>OK</v>
      </c>
      <c r="X3004" s="7" t="str">
        <f aca="false">IF(TEXT(H3004,"dddd")&lt;&gt;I3004,"Mismatch","OK")</f>
        <v>OK</v>
      </c>
      <c r="Y3004" s="7" t="str">
        <f aca="false">IF(AND(N3004="No",O3004&lt;&gt;""),"Unexpected: channel present but no reminder sent",IF(AND(N3004="Yes",O3004=""),"Missing channel for sent reminder","OK"))</f>
        <v>OK</v>
      </c>
    </row>
    <row r="3005" customFormat="false" ht="15" hidden="false" customHeight="false" outlineLevel="0" collapsed="false">
      <c r="A3005" s="9" t="s">
        <v>4536</v>
      </c>
      <c r="B3005" s="9" t="s">
        <v>2098</v>
      </c>
      <c r="C3005" s="9" t="s">
        <v>47</v>
      </c>
      <c r="D3005" s="9" t="n">
        <v>38</v>
      </c>
      <c r="E3005" s="9" t="s">
        <v>38</v>
      </c>
      <c r="F3005" s="9" t="s">
        <v>39</v>
      </c>
      <c r="G3005" s="10" t="n">
        <v>46161</v>
      </c>
      <c r="H3005" s="10" t="n">
        <v>46182</v>
      </c>
      <c r="I3005" s="9" t="s">
        <v>40</v>
      </c>
      <c r="J3005" s="9" t="s">
        <v>63</v>
      </c>
      <c r="K3005" s="9" t="n">
        <v>21</v>
      </c>
      <c r="L3005" s="9" t="n">
        <v>1</v>
      </c>
      <c r="M3005" s="9" t="n">
        <v>0</v>
      </c>
      <c r="N3005" s="9" t="s">
        <v>42</v>
      </c>
      <c r="O3005" s="9" t="s">
        <v>52</v>
      </c>
      <c r="P3005" s="9" t="n">
        <v>23.1</v>
      </c>
      <c r="Q3005" s="9" t="n">
        <v>23</v>
      </c>
      <c r="R3005" s="9" t="s">
        <v>44</v>
      </c>
      <c r="S3005" s="9"/>
      <c r="T3005" s="9"/>
      <c r="U3005" s="9" t="str">
        <f aca="false">IF(COUNTIF($A$2:$A$5001,A3005)&gt;1,"Duplicate","Unique")</f>
        <v>Unique</v>
      </c>
      <c r="V3005" s="9" t="str">
        <f aca="false">IF(COUNTIFS($B$2:$B$5001,B3005,$H$2:$H$5001,H3005,$J$2:$J$5001,J3005)&gt;1,"Possible Duplicate Booking","Unique")</f>
        <v>Unique</v>
      </c>
      <c r="W3005" s="9" t="str">
        <f aca="false">IF((H3005-G3005)&lt;&gt;K3005,"Mismatch","OK")</f>
        <v>OK</v>
      </c>
      <c r="X3005" s="9" t="str">
        <f aca="false">IF(TEXT(H3005,"dddd")&lt;&gt;I3005,"Mismatch","OK")</f>
        <v>OK</v>
      </c>
      <c r="Y3005" s="9" t="str">
        <f aca="false">IF(AND(N3005="No",O3005&lt;&gt;""),"Unexpected: channel present but no reminder sent",IF(AND(N3005="Yes",O3005=""),"Missing channel for sent reminder","OK"))</f>
        <v>OK</v>
      </c>
    </row>
    <row r="3006" customFormat="false" ht="15" hidden="false" customHeight="false" outlineLevel="0" collapsed="false">
      <c r="A3006" s="7" t="s">
        <v>4537</v>
      </c>
      <c r="B3006" s="7" t="s">
        <v>1351</v>
      </c>
      <c r="C3006" s="7" t="s">
        <v>47</v>
      </c>
      <c r="D3006" s="7" t="n">
        <v>34</v>
      </c>
      <c r="E3006" s="7" t="s">
        <v>48</v>
      </c>
      <c r="F3006" s="7" t="s">
        <v>49</v>
      </c>
      <c r="G3006" s="8" t="n">
        <v>45985</v>
      </c>
      <c r="H3006" s="8" t="n">
        <v>46042</v>
      </c>
      <c r="I3006" s="7" t="s">
        <v>40</v>
      </c>
      <c r="J3006" s="7" t="s">
        <v>51</v>
      </c>
      <c r="K3006" s="7" t="n">
        <v>57</v>
      </c>
      <c r="L3006" s="7" t="n">
        <v>7</v>
      </c>
      <c r="M3006" s="7" t="n">
        <v>0</v>
      </c>
      <c r="N3006" s="7" t="s">
        <v>42</v>
      </c>
      <c r="O3006" s="7" t="s">
        <v>67</v>
      </c>
      <c r="P3006" s="7" t="n">
        <v>2.8</v>
      </c>
      <c r="Q3006" s="7" t="n">
        <v>31</v>
      </c>
      <c r="R3006" s="7" t="s">
        <v>53</v>
      </c>
      <c r="S3006" s="7"/>
      <c r="T3006" s="7"/>
      <c r="U3006" s="7" t="str">
        <f aca="false">IF(COUNTIF($A$2:$A$5001,A3006)&gt;1,"Duplicate","Unique")</f>
        <v>Unique</v>
      </c>
      <c r="V3006" s="7" t="str">
        <f aca="false">IF(COUNTIFS($B$2:$B$5001,B3006,$H$2:$H$5001,H3006,$J$2:$J$5001,J3006)&gt;1,"Possible Duplicate Booking","Unique")</f>
        <v>Unique</v>
      </c>
      <c r="W3006" s="7" t="str">
        <f aca="false">IF((H3006-G3006)&lt;&gt;K3006,"Mismatch","OK")</f>
        <v>OK</v>
      </c>
      <c r="X3006" s="7" t="str">
        <f aca="false">IF(TEXT(H3006,"dddd")&lt;&gt;I3006,"Mismatch","OK")</f>
        <v>OK</v>
      </c>
      <c r="Y3006" s="7" t="str">
        <f aca="false">IF(AND(N3006="No",O3006&lt;&gt;""),"Unexpected: channel present but no reminder sent",IF(AND(N3006="Yes",O3006=""),"Missing channel for sent reminder","OK"))</f>
        <v>OK</v>
      </c>
    </row>
    <row r="3007" customFormat="false" ht="15" hidden="false" customHeight="false" outlineLevel="0" collapsed="false">
      <c r="A3007" s="9" t="s">
        <v>4538</v>
      </c>
      <c r="B3007" s="9" t="s">
        <v>4539</v>
      </c>
      <c r="C3007" s="9" t="s">
        <v>47</v>
      </c>
      <c r="D3007" s="9" t="n">
        <v>54</v>
      </c>
      <c r="E3007" s="9" t="s">
        <v>56</v>
      </c>
      <c r="F3007" s="9" t="s">
        <v>49</v>
      </c>
      <c r="G3007" s="10" t="n">
        <v>45809</v>
      </c>
      <c r="H3007" s="10" t="n">
        <v>45860</v>
      </c>
      <c r="I3007" s="9" t="s">
        <v>40</v>
      </c>
      <c r="J3007" s="9" t="s">
        <v>41</v>
      </c>
      <c r="K3007" s="9" t="n">
        <v>51</v>
      </c>
      <c r="L3007" s="9" t="n">
        <v>4</v>
      </c>
      <c r="M3007" s="9" t="n">
        <v>0</v>
      </c>
      <c r="N3007" s="9" t="s">
        <v>71</v>
      </c>
      <c r="O3007" s="9"/>
      <c r="P3007" s="9" t="n">
        <v>16.8</v>
      </c>
      <c r="Q3007" s="9" t="n">
        <v>23</v>
      </c>
      <c r="R3007" s="9" t="s">
        <v>53</v>
      </c>
      <c r="S3007" s="9"/>
      <c r="T3007" s="9"/>
      <c r="U3007" s="9" t="str">
        <f aca="false">IF(COUNTIF($A$2:$A$5001,A3007)&gt;1,"Duplicate","Unique")</f>
        <v>Unique</v>
      </c>
      <c r="V3007" s="9" t="str">
        <f aca="false">IF(COUNTIFS($B$2:$B$5001,B3007,$H$2:$H$5001,H3007,$J$2:$J$5001,J3007)&gt;1,"Possible Duplicate Booking","Unique")</f>
        <v>Unique</v>
      </c>
      <c r="W3007" s="9" t="str">
        <f aca="false">IF((H3007-G3007)&lt;&gt;K3007,"Mismatch","OK")</f>
        <v>OK</v>
      </c>
      <c r="X3007" s="9" t="str">
        <f aca="false">IF(TEXT(H3007,"dddd")&lt;&gt;I3007,"Mismatch","OK")</f>
        <v>OK</v>
      </c>
      <c r="Y3007" s="9" t="str">
        <f aca="false">IF(AND(N3007="No",O3007&lt;&gt;""),"Unexpected: channel present but no reminder sent",IF(AND(N3007="Yes",O3007=""),"Missing channel for sent reminder","OK"))</f>
        <v>OK</v>
      </c>
    </row>
    <row r="3008" customFormat="false" ht="15" hidden="false" customHeight="false" outlineLevel="0" collapsed="false">
      <c r="A3008" s="7" t="s">
        <v>4540</v>
      </c>
      <c r="B3008" s="7" t="s">
        <v>3115</v>
      </c>
      <c r="C3008" s="7" t="s">
        <v>37</v>
      </c>
      <c r="D3008" s="7" t="n">
        <v>51</v>
      </c>
      <c r="E3008" s="7" t="s">
        <v>56</v>
      </c>
      <c r="F3008" s="7" t="s">
        <v>39</v>
      </c>
      <c r="G3008" s="8" t="n">
        <v>45960</v>
      </c>
      <c r="H3008" s="8" t="n">
        <v>45985</v>
      </c>
      <c r="I3008" s="7" t="s">
        <v>66</v>
      </c>
      <c r="J3008" s="7" t="s">
        <v>63</v>
      </c>
      <c r="K3008" s="7" t="n">
        <v>25</v>
      </c>
      <c r="L3008" s="7" t="n">
        <v>2</v>
      </c>
      <c r="M3008" s="7" t="n">
        <v>0</v>
      </c>
      <c r="N3008" s="7" t="s">
        <v>42</v>
      </c>
      <c r="O3008" s="7" t="s">
        <v>43</v>
      </c>
      <c r="P3008" s="7" t="n">
        <v>6.3</v>
      </c>
      <c r="Q3008" s="7" t="n">
        <v>15</v>
      </c>
      <c r="R3008" s="7" t="s">
        <v>53</v>
      </c>
      <c r="S3008" s="7"/>
      <c r="T3008" s="7"/>
      <c r="U3008" s="7" t="str">
        <f aca="false">IF(COUNTIF($A$2:$A$5001,A3008)&gt;1,"Duplicate","Unique")</f>
        <v>Unique</v>
      </c>
      <c r="V3008" s="7" t="str">
        <f aca="false">IF(COUNTIFS($B$2:$B$5001,B3008,$H$2:$H$5001,H3008,$J$2:$J$5001,J3008)&gt;1,"Possible Duplicate Booking","Unique")</f>
        <v>Unique</v>
      </c>
      <c r="W3008" s="7" t="str">
        <f aca="false">IF((H3008-G3008)&lt;&gt;K3008,"Mismatch","OK")</f>
        <v>OK</v>
      </c>
      <c r="X3008" s="7" t="str">
        <f aca="false">IF(TEXT(H3008,"dddd")&lt;&gt;I3008,"Mismatch","OK")</f>
        <v>OK</v>
      </c>
      <c r="Y3008" s="7" t="str">
        <f aca="false">IF(AND(N3008="No",O3008&lt;&gt;""),"Unexpected: channel present but no reminder sent",IF(AND(N3008="Yes",O3008=""),"Missing channel for sent reminder","OK"))</f>
        <v>OK</v>
      </c>
    </row>
    <row r="3009" customFormat="false" ht="15" hidden="false" customHeight="false" outlineLevel="0" collapsed="false">
      <c r="A3009" s="9" t="s">
        <v>4541</v>
      </c>
      <c r="B3009" s="9" t="s">
        <v>3709</v>
      </c>
      <c r="C3009" s="9" t="s">
        <v>37</v>
      </c>
      <c r="D3009" s="9" t="n">
        <v>73</v>
      </c>
      <c r="E3009" s="9" t="s">
        <v>70</v>
      </c>
      <c r="F3009" s="9" t="s">
        <v>57</v>
      </c>
      <c r="G3009" s="10" t="n">
        <v>45876</v>
      </c>
      <c r="H3009" s="10" t="n">
        <v>45890</v>
      </c>
      <c r="I3009" s="9" t="s">
        <v>62</v>
      </c>
      <c r="J3009" s="9" t="s">
        <v>41</v>
      </c>
      <c r="K3009" s="9" t="n">
        <v>14</v>
      </c>
      <c r="L3009" s="9" t="n">
        <v>5</v>
      </c>
      <c r="M3009" s="9" t="n">
        <v>0</v>
      </c>
      <c r="N3009" s="9" t="s">
        <v>42</v>
      </c>
      <c r="O3009" s="9" t="s">
        <v>52</v>
      </c>
      <c r="P3009" s="9" t="n">
        <v>1.8</v>
      </c>
      <c r="Q3009" s="9" t="n">
        <v>16</v>
      </c>
      <c r="R3009" s="9" t="s">
        <v>53</v>
      </c>
      <c r="S3009" s="9"/>
      <c r="T3009" s="9"/>
      <c r="U3009" s="9" t="str">
        <f aca="false">IF(COUNTIF($A$2:$A$5001,A3009)&gt;1,"Duplicate","Unique")</f>
        <v>Unique</v>
      </c>
      <c r="V3009" s="9" t="str">
        <f aca="false">IF(COUNTIFS($B$2:$B$5001,B3009,$H$2:$H$5001,H3009,$J$2:$J$5001,J3009)&gt;1,"Possible Duplicate Booking","Unique")</f>
        <v>Unique</v>
      </c>
      <c r="W3009" s="9" t="str">
        <f aca="false">IF((H3009-G3009)&lt;&gt;K3009,"Mismatch","OK")</f>
        <v>OK</v>
      </c>
      <c r="X3009" s="9" t="str">
        <f aca="false">IF(TEXT(H3009,"dddd")&lt;&gt;I3009,"Mismatch","OK")</f>
        <v>OK</v>
      </c>
      <c r="Y3009" s="9" t="str">
        <f aca="false">IF(AND(N3009="No",O3009&lt;&gt;""),"Unexpected: channel present but no reminder sent",IF(AND(N3009="Yes",O3009=""),"Missing channel for sent reminder","OK"))</f>
        <v>OK</v>
      </c>
    </row>
    <row r="3010" customFormat="false" ht="15" hidden="false" customHeight="false" outlineLevel="0" collapsed="false">
      <c r="A3010" s="7" t="s">
        <v>4542</v>
      </c>
      <c r="B3010" s="7" t="s">
        <v>4543</v>
      </c>
      <c r="C3010" s="7" t="s">
        <v>47</v>
      </c>
      <c r="D3010" s="7" t="n">
        <v>75</v>
      </c>
      <c r="E3010" s="7" t="s">
        <v>70</v>
      </c>
      <c r="F3010" s="7" t="s">
        <v>57</v>
      </c>
      <c r="G3010" s="8" t="n">
        <v>45983</v>
      </c>
      <c r="H3010" s="8" t="n">
        <v>46001</v>
      </c>
      <c r="I3010" s="7" t="s">
        <v>58</v>
      </c>
      <c r="J3010" s="7" t="s">
        <v>51</v>
      </c>
      <c r="K3010" s="7" t="n">
        <v>18</v>
      </c>
      <c r="L3010" s="7" t="n">
        <v>4</v>
      </c>
      <c r="M3010" s="7" t="n">
        <v>0</v>
      </c>
      <c r="N3010" s="7" t="s">
        <v>42</v>
      </c>
      <c r="O3010" s="7" t="s">
        <v>43</v>
      </c>
      <c r="P3010" s="7" t="n">
        <v>5.4</v>
      </c>
      <c r="Q3010" s="7" t="n">
        <v>30</v>
      </c>
      <c r="R3010" s="7" t="s">
        <v>53</v>
      </c>
      <c r="S3010" s="7"/>
      <c r="T3010" s="7"/>
      <c r="U3010" s="7" t="str">
        <f aca="false">IF(COUNTIF($A$2:$A$5001,A3010)&gt;1,"Duplicate","Unique")</f>
        <v>Unique</v>
      </c>
      <c r="V3010" s="7" t="str">
        <f aca="false">IF(COUNTIFS($B$2:$B$5001,B3010,$H$2:$H$5001,H3010,$J$2:$J$5001,J3010)&gt;1,"Possible Duplicate Booking","Unique")</f>
        <v>Unique</v>
      </c>
      <c r="W3010" s="7" t="str">
        <f aca="false">IF((H3010-G3010)&lt;&gt;K3010,"Mismatch","OK")</f>
        <v>OK</v>
      </c>
      <c r="X3010" s="7" t="str">
        <f aca="false">IF(TEXT(H3010,"dddd")&lt;&gt;I3010,"Mismatch","OK")</f>
        <v>OK</v>
      </c>
      <c r="Y3010" s="7" t="str">
        <f aca="false">IF(AND(N3010="No",O3010&lt;&gt;""),"Unexpected: channel present but no reminder sent",IF(AND(N3010="Yes",O3010=""),"Missing channel for sent reminder","OK"))</f>
        <v>OK</v>
      </c>
    </row>
    <row r="3011" customFormat="false" ht="15" hidden="false" customHeight="false" outlineLevel="0" collapsed="false">
      <c r="A3011" s="9" t="s">
        <v>4544</v>
      </c>
      <c r="B3011" s="9" t="s">
        <v>1751</v>
      </c>
      <c r="C3011" s="9" t="s">
        <v>37</v>
      </c>
      <c r="D3011" s="9" t="n">
        <v>66</v>
      </c>
      <c r="E3011" s="9" t="s">
        <v>70</v>
      </c>
      <c r="F3011" s="9" t="s">
        <v>49</v>
      </c>
      <c r="G3011" s="10" t="n">
        <v>46069</v>
      </c>
      <c r="H3011" s="10" t="n">
        <v>46101</v>
      </c>
      <c r="I3011" s="9" t="s">
        <v>50</v>
      </c>
      <c r="J3011" s="9" t="s">
        <v>51</v>
      </c>
      <c r="K3011" s="9" t="n">
        <v>32</v>
      </c>
      <c r="L3011" s="9" t="n">
        <v>3</v>
      </c>
      <c r="M3011" s="9" t="n">
        <v>0</v>
      </c>
      <c r="N3011" s="9" t="s">
        <v>71</v>
      </c>
      <c r="O3011" s="9"/>
      <c r="P3011" s="9" t="n">
        <v>15.5</v>
      </c>
      <c r="Q3011" s="9" t="n">
        <v>2</v>
      </c>
      <c r="R3011" s="9" t="s">
        <v>53</v>
      </c>
      <c r="S3011" s="9"/>
      <c r="T3011" s="9"/>
      <c r="U3011" s="9" t="str">
        <f aca="false">IF(COUNTIF($A$2:$A$5001,A3011)&gt;1,"Duplicate","Unique")</f>
        <v>Unique</v>
      </c>
      <c r="V3011" s="9" t="str">
        <f aca="false">IF(COUNTIFS($B$2:$B$5001,B3011,$H$2:$H$5001,H3011,$J$2:$J$5001,J3011)&gt;1,"Possible Duplicate Booking","Unique")</f>
        <v>Unique</v>
      </c>
      <c r="W3011" s="9" t="str">
        <f aca="false">IF((H3011-G3011)&lt;&gt;K3011,"Mismatch","OK")</f>
        <v>OK</v>
      </c>
      <c r="X3011" s="9" t="str">
        <f aca="false">IF(TEXT(H3011,"dddd")&lt;&gt;I3011,"Mismatch","OK")</f>
        <v>OK</v>
      </c>
      <c r="Y3011" s="9" t="str">
        <f aca="false">IF(AND(N3011="No",O3011&lt;&gt;""),"Unexpected: channel present but no reminder sent",IF(AND(N3011="Yes",O3011=""),"Missing channel for sent reminder","OK"))</f>
        <v>OK</v>
      </c>
    </row>
    <row r="3012" customFormat="false" ht="15" hidden="false" customHeight="false" outlineLevel="0" collapsed="false">
      <c r="A3012" s="7" t="s">
        <v>4545</v>
      </c>
      <c r="B3012" s="7" t="s">
        <v>2904</v>
      </c>
      <c r="C3012" s="7" t="s">
        <v>37</v>
      </c>
      <c r="D3012" s="7" t="n">
        <v>30</v>
      </c>
      <c r="E3012" s="7" t="s">
        <v>48</v>
      </c>
      <c r="F3012" s="7" t="s">
        <v>39</v>
      </c>
      <c r="G3012" s="8" t="n">
        <v>45825</v>
      </c>
      <c r="H3012" s="8" t="n">
        <v>45859</v>
      </c>
      <c r="I3012" s="7" t="s">
        <v>66</v>
      </c>
      <c r="J3012" s="7" t="s">
        <v>51</v>
      </c>
      <c r="K3012" s="7" t="n">
        <v>34</v>
      </c>
      <c r="L3012" s="7" t="n">
        <v>3</v>
      </c>
      <c r="M3012" s="7" t="n">
        <v>0</v>
      </c>
      <c r="N3012" s="7" t="s">
        <v>42</v>
      </c>
      <c r="O3012" s="7" t="s">
        <v>67</v>
      </c>
      <c r="P3012" s="7" t="n">
        <v>14.7</v>
      </c>
      <c r="Q3012" s="7" t="n">
        <v>28</v>
      </c>
      <c r="R3012" s="7" t="s">
        <v>44</v>
      </c>
      <c r="S3012" s="7"/>
      <c r="T3012" s="7"/>
      <c r="U3012" s="7" t="str">
        <f aca="false">IF(COUNTIF($A$2:$A$5001,A3012)&gt;1,"Duplicate","Unique")</f>
        <v>Unique</v>
      </c>
      <c r="V3012" s="7" t="str">
        <f aca="false">IF(COUNTIFS($B$2:$B$5001,B3012,$H$2:$H$5001,H3012,$J$2:$J$5001,J3012)&gt;1,"Possible Duplicate Booking","Unique")</f>
        <v>Unique</v>
      </c>
      <c r="W3012" s="7" t="str">
        <f aca="false">IF((H3012-G3012)&lt;&gt;K3012,"Mismatch","OK")</f>
        <v>OK</v>
      </c>
      <c r="X3012" s="7" t="str">
        <f aca="false">IF(TEXT(H3012,"dddd")&lt;&gt;I3012,"Mismatch","OK")</f>
        <v>OK</v>
      </c>
      <c r="Y3012" s="7" t="str">
        <f aca="false">IF(AND(N3012="No",O3012&lt;&gt;""),"Unexpected: channel present but no reminder sent",IF(AND(N3012="Yes",O3012=""),"Missing channel for sent reminder","OK"))</f>
        <v>OK</v>
      </c>
    </row>
    <row r="3013" customFormat="false" ht="15" hidden="false" customHeight="false" outlineLevel="0" collapsed="false">
      <c r="A3013" s="9" t="s">
        <v>4546</v>
      </c>
      <c r="B3013" s="9" t="s">
        <v>4547</v>
      </c>
      <c r="C3013" s="9" t="s">
        <v>37</v>
      </c>
      <c r="D3013" s="9" t="n">
        <v>20</v>
      </c>
      <c r="E3013" s="9" t="s">
        <v>82</v>
      </c>
      <c r="F3013" s="9" t="s">
        <v>49</v>
      </c>
      <c r="G3013" s="10" t="n">
        <v>45923</v>
      </c>
      <c r="H3013" s="10" t="n">
        <v>45934</v>
      </c>
      <c r="I3013" s="9" t="s">
        <v>102</v>
      </c>
      <c r="J3013" s="9" t="s">
        <v>41</v>
      </c>
      <c r="K3013" s="9" t="n">
        <v>11</v>
      </c>
      <c r="L3013" s="9" t="n">
        <v>3</v>
      </c>
      <c r="M3013" s="9" t="n">
        <v>0</v>
      </c>
      <c r="N3013" s="9" t="s">
        <v>42</v>
      </c>
      <c r="O3013" s="9" t="s">
        <v>52</v>
      </c>
      <c r="P3013" s="9" t="n">
        <v>12.4</v>
      </c>
      <c r="Q3013" s="9" t="n">
        <v>8</v>
      </c>
      <c r="R3013" s="9" t="s">
        <v>44</v>
      </c>
      <c r="S3013" s="9"/>
      <c r="T3013" s="9"/>
      <c r="U3013" s="9" t="str">
        <f aca="false">IF(COUNTIF($A$2:$A$5001,A3013)&gt;1,"Duplicate","Unique")</f>
        <v>Unique</v>
      </c>
      <c r="V3013" s="9" t="str">
        <f aca="false">IF(COUNTIFS($B$2:$B$5001,B3013,$H$2:$H$5001,H3013,$J$2:$J$5001,J3013)&gt;1,"Possible Duplicate Booking","Unique")</f>
        <v>Unique</v>
      </c>
      <c r="W3013" s="9" t="str">
        <f aca="false">IF((H3013-G3013)&lt;&gt;K3013,"Mismatch","OK")</f>
        <v>OK</v>
      </c>
      <c r="X3013" s="9" t="str">
        <f aca="false">IF(TEXT(H3013,"dddd")&lt;&gt;I3013,"Mismatch","OK")</f>
        <v>OK</v>
      </c>
      <c r="Y3013" s="9" t="str">
        <f aca="false">IF(AND(N3013="No",O3013&lt;&gt;""),"Unexpected: channel present but no reminder sent",IF(AND(N3013="Yes",O3013=""),"Missing channel for sent reminder","OK"))</f>
        <v>OK</v>
      </c>
    </row>
    <row r="3014" customFormat="false" ht="15" hidden="false" customHeight="false" outlineLevel="0" collapsed="false">
      <c r="A3014" s="7" t="s">
        <v>4548</v>
      </c>
      <c r="B3014" s="7" t="s">
        <v>1911</v>
      </c>
      <c r="C3014" s="7" t="s">
        <v>47</v>
      </c>
      <c r="D3014" s="7" t="n">
        <v>74</v>
      </c>
      <c r="E3014" s="7" t="s">
        <v>70</v>
      </c>
      <c r="F3014" s="7" t="s">
        <v>57</v>
      </c>
      <c r="G3014" s="8" t="n">
        <v>45678</v>
      </c>
      <c r="H3014" s="8" t="n">
        <v>45682</v>
      </c>
      <c r="I3014" s="7" t="s">
        <v>102</v>
      </c>
      <c r="J3014" s="7" t="s">
        <v>63</v>
      </c>
      <c r="K3014" s="7" t="n">
        <v>4</v>
      </c>
      <c r="L3014" s="7" t="n">
        <v>1</v>
      </c>
      <c r="M3014" s="7" t="n">
        <v>0</v>
      </c>
      <c r="N3014" s="7" t="s">
        <v>71</v>
      </c>
      <c r="O3014" s="7"/>
      <c r="P3014" s="7" t="n">
        <v>4</v>
      </c>
      <c r="Q3014" s="7" t="n">
        <v>26</v>
      </c>
      <c r="R3014" s="7" t="s">
        <v>53</v>
      </c>
      <c r="S3014" s="7"/>
      <c r="T3014" s="7"/>
      <c r="U3014" s="7" t="str">
        <f aca="false">IF(COUNTIF($A$2:$A$5001,A3014)&gt;1,"Duplicate","Unique")</f>
        <v>Unique</v>
      </c>
      <c r="V3014" s="7" t="str">
        <f aca="false">IF(COUNTIFS($B$2:$B$5001,B3014,$H$2:$H$5001,H3014,$J$2:$J$5001,J3014)&gt;1,"Possible Duplicate Booking","Unique")</f>
        <v>Unique</v>
      </c>
      <c r="W3014" s="7" t="str">
        <f aca="false">IF((H3014-G3014)&lt;&gt;K3014,"Mismatch","OK")</f>
        <v>OK</v>
      </c>
      <c r="X3014" s="7" t="str">
        <f aca="false">IF(TEXT(H3014,"dddd")&lt;&gt;I3014,"Mismatch","OK")</f>
        <v>OK</v>
      </c>
      <c r="Y3014" s="7" t="str">
        <f aca="false">IF(AND(N3014="No",O3014&lt;&gt;""),"Unexpected: channel present but no reminder sent",IF(AND(N3014="Yes",O3014=""),"Missing channel for sent reminder","OK"))</f>
        <v>OK</v>
      </c>
    </row>
    <row r="3015" customFormat="false" ht="15" hidden="false" customHeight="false" outlineLevel="0" collapsed="false">
      <c r="A3015" s="9" t="s">
        <v>4549</v>
      </c>
      <c r="B3015" s="9" t="s">
        <v>1751</v>
      </c>
      <c r="C3015" s="9" t="s">
        <v>37</v>
      </c>
      <c r="D3015" s="9" t="n">
        <v>77</v>
      </c>
      <c r="E3015" s="9" t="s">
        <v>70</v>
      </c>
      <c r="F3015" s="9" t="s">
        <v>57</v>
      </c>
      <c r="G3015" s="10" t="n">
        <v>46030</v>
      </c>
      <c r="H3015" s="10" t="n">
        <v>46060</v>
      </c>
      <c r="I3015" s="9" t="s">
        <v>102</v>
      </c>
      <c r="J3015" s="9" t="s">
        <v>51</v>
      </c>
      <c r="K3015" s="9" t="n">
        <v>30</v>
      </c>
      <c r="L3015" s="9" t="n">
        <v>3</v>
      </c>
      <c r="M3015" s="9" t="n">
        <v>1</v>
      </c>
      <c r="N3015" s="9" t="s">
        <v>42</v>
      </c>
      <c r="O3015" s="9" t="s">
        <v>43</v>
      </c>
      <c r="P3015" s="9" t="n">
        <v>23.4</v>
      </c>
      <c r="Q3015" s="9" t="n">
        <v>39</v>
      </c>
      <c r="R3015" s="9" t="s">
        <v>53</v>
      </c>
      <c r="S3015" s="9"/>
      <c r="T3015" s="9"/>
      <c r="U3015" s="9" t="str">
        <f aca="false">IF(COUNTIF($A$2:$A$5001,A3015)&gt;1,"Duplicate","Unique")</f>
        <v>Unique</v>
      </c>
      <c r="V3015" s="9" t="str">
        <f aca="false">IF(COUNTIFS($B$2:$B$5001,B3015,$H$2:$H$5001,H3015,$J$2:$J$5001,J3015)&gt;1,"Possible Duplicate Booking","Unique")</f>
        <v>Unique</v>
      </c>
      <c r="W3015" s="9" t="str">
        <f aca="false">IF((H3015-G3015)&lt;&gt;K3015,"Mismatch","OK")</f>
        <v>OK</v>
      </c>
      <c r="X3015" s="9" t="str">
        <f aca="false">IF(TEXT(H3015,"dddd")&lt;&gt;I3015,"Mismatch","OK")</f>
        <v>OK</v>
      </c>
      <c r="Y3015" s="9" t="str">
        <f aca="false">IF(AND(N3015="No",O3015&lt;&gt;""),"Unexpected: channel present but no reminder sent",IF(AND(N3015="Yes",O3015=""),"Missing channel for sent reminder","OK"))</f>
        <v>OK</v>
      </c>
    </row>
    <row r="3016" customFormat="false" ht="15" hidden="false" customHeight="false" outlineLevel="0" collapsed="false">
      <c r="A3016" s="7" t="s">
        <v>4550</v>
      </c>
      <c r="B3016" s="7" t="s">
        <v>229</v>
      </c>
      <c r="C3016" s="7" t="s">
        <v>47</v>
      </c>
      <c r="D3016" s="7" t="n">
        <v>33</v>
      </c>
      <c r="E3016" s="7" t="s">
        <v>48</v>
      </c>
      <c r="F3016" s="7" t="s">
        <v>74</v>
      </c>
      <c r="G3016" s="8" t="n">
        <v>45877</v>
      </c>
      <c r="H3016" s="8" t="n">
        <v>45925</v>
      </c>
      <c r="I3016" s="7" t="s">
        <v>62</v>
      </c>
      <c r="J3016" s="7" t="s">
        <v>51</v>
      </c>
      <c r="K3016" s="7" t="n">
        <v>48</v>
      </c>
      <c r="L3016" s="7" t="n">
        <v>4</v>
      </c>
      <c r="M3016" s="7" t="n">
        <v>1</v>
      </c>
      <c r="N3016" s="7" t="s">
        <v>71</v>
      </c>
      <c r="O3016" s="7"/>
      <c r="P3016" s="7" t="n">
        <v>8.8</v>
      </c>
      <c r="Q3016" s="7" t="n">
        <v>14</v>
      </c>
      <c r="R3016" s="7" t="s">
        <v>44</v>
      </c>
      <c r="S3016" s="7"/>
      <c r="T3016" s="7"/>
      <c r="U3016" s="7" t="str">
        <f aca="false">IF(COUNTIF($A$2:$A$5001,A3016)&gt;1,"Duplicate","Unique")</f>
        <v>Unique</v>
      </c>
      <c r="V3016" s="7" t="str">
        <f aca="false">IF(COUNTIFS($B$2:$B$5001,B3016,$H$2:$H$5001,H3016,$J$2:$J$5001,J3016)&gt;1,"Possible Duplicate Booking","Unique")</f>
        <v>Unique</v>
      </c>
      <c r="W3016" s="7" t="str">
        <f aca="false">IF((H3016-G3016)&lt;&gt;K3016,"Mismatch","OK")</f>
        <v>OK</v>
      </c>
      <c r="X3016" s="7" t="str">
        <f aca="false">IF(TEXT(H3016,"dddd")&lt;&gt;I3016,"Mismatch","OK")</f>
        <v>OK</v>
      </c>
      <c r="Y3016" s="7" t="str">
        <f aca="false">IF(AND(N3016="No",O3016&lt;&gt;""),"Unexpected: channel present but no reminder sent",IF(AND(N3016="Yes",O3016=""),"Missing channel for sent reminder","OK"))</f>
        <v>OK</v>
      </c>
    </row>
    <row r="3017" customFormat="false" ht="15" hidden="false" customHeight="false" outlineLevel="0" collapsed="false">
      <c r="A3017" s="9" t="s">
        <v>4551</v>
      </c>
      <c r="B3017" s="9" t="s">
        <v>2180</v>
      </c>
      <c r="C3017" s="9" t="s">
        <v>37</v>
      </c>
      <c r="D3017" s="9" t="n">
        <v>20</v>
      </c>
      <c r="E3017" s="9" t="s">
        <v>82</v>
      </c>
      <c r="F3017" s="9" t="s">
        <v>57</v>
      </c>
      <c r="G3017" s="10" t="n">
        <v>45900</v>
      </c>
      <c r="H3017" s="10" t="n">
        <v>45909</v>
      </c>
      <c r="I3017" s="9" t="s">
        <v>40</v>
      </c>
      <c r="J3017" s="9" t="s">
        <v>51</v>
      </c>
      <c r="K3017" s="9" t="n">
        <v>9</v>
      </c>
      <c r="L3017" s="9" t="n">
        <v>3</v>
      </c>
      <c r="M3017" s="9" t="n">
        <v>0</v>
      </c>
      <c r="N3017" s="9" t="s">
        <v>42</v>
      </c>
      <c r="O3017" s="9" t="s">
        <v>67</v>
      </c>
      <c r="P3017" s="9" t="n">
        <v>7.4</v>
      </c>
      <c r="Q3017" s="9" t="n">
        <v>30</v>
      </c>
      <c r="R3017" s="9" t="s">
        <v>53</v>
      </c>
      <c r="S3017" s="9"/>
      <c r="T3017" s="9"/>
      <c r="U3017" s="9" t="str">
        <f aca="false">IF(COUNTIF($A$2:$A$5001,A3017)&gt;1,"Duplicate","Unique")</f>
        <v>Unique</v>
      </c>
      <c r="V3017" s="9" t="str">
        <f aca="false">IF(COUNTIFS($B$2:$B$5001,B3017,$H$2:$H$5001,H3017,$J$2:$J$5001,J3017)&gt;1,"Possible Duplicate Booking","Unique")</f>
        <v>Unique</v>
      </c>
      <c r="W3017" s="9" t="str">
        <f aca="false">IF((H3017-G3017)&lt;&gt;K3017,"Mismatch","OK")</f>
        <v>OK</v>
      </c>
      <c r="X3017" s="9" t="str">
        <f aca="false">IF(TEXT(H3017,"dddd")&lt;&gt;I3017,"Mismatch","OK")</f>
        <v>OK</v>
      </c>
      <c r="Y3017" s="9" t="str">
        <f aca="false">IF(AND(N3017="No",O3017&lt;&gt;""),"Unexpected: channel present but no reminder sent",IF(AND(N3017="Yes",O3017=""),"Missing channel for sent reminder","OK"))</f>
        <v>OK</v>
      </c>
    </row>
    <row r="3018" customFormat="false" ht="15" hidden="false" customHeight="false" outlineLevel="0" collapsed="false">
      <c r="A3018" s="7" t="s">
        <v>4552</v>
      </c>
      <c r="B3018" s="7" t="s">
        <v>2758</v>
      </c>
      <c r="C3018" s="7" t="s">
        <v>37</v>
      </c>
      <c r="D3018" s="7" t="n">
        <v>60</v>
      </c>
      <c r="E3018" s="7" t="s">
        <v>61</v>
      </c>
      <c r="F3018" s="7" t="s">
        <v>57</v>
      </c>
      <c r="G3018" s="8" t="n">
        <v>45924</v>
      </c>
      <c r="H3018" s="8" t="n">
        <v>45948</v>
      </c>
      <c r="I3018" s="7" t="s">
        <v>102</v>
      </c>
      <c r="J3018" s="7" t="s">
        <v>41</v>
      </c>
      <c r="K3018" s="7" t="n">
        <v>24</v>
      </c>
      <c r="L3018" s="7" t="n">
        <v>4</v>
      </c>
      <c r="M3018" s="7" t="n">
        <v>1</v>
      </c>
      <c r="N3018" s="7" t="s">
        <v>42</v>
      </c>
      <c r="O3018" s="7" t="s">
        <v>43</v>
      </c>
      <c r="P3018" s="7" t="n">
        <v>8.7</v>
      </c>
      <c r="Q3018" s="7" t="n">
        <v>36</v>
      </c>
      <c r="R3018" s="7" t="s">
        <v>44</v>
      </c>
      <c r="S3018" s="7"/>
      <c r="T3018" s="7"/>
      <c r="U3018" s="7" t="str">
        <f aca="false">IF(COUNTIF($A$2:$A$5001,A3018)&gt;1,"Duplicate","Unique")</f>
        <v>Unique</v>
      </c>
      <c r="V3018" s="7" t="str">
        <f aca="false">IF(COUNTIFS($B$2:$B$5001,B3018,$H$2:$H$5001,H3018,$J$2:$J$5001,J3018)&gt;1,"Possible Duplicate Booking","Unique")</f>
        <v>Unique</v>
      </c>
      <c r="W3018" s="7" t="str">
        <f aca="false">IF((H3018-G3018)&lt;&gt;K3018,"Mismatch","OK")</f>
        <v>OK</v>
      </c>
      <c r="X3018" s="7" t="str">
        <f aca="false">IF(TEXT(H3018,"dddd")&lt;&gt;I3018,"Mismatch","OK")</f>
        <v>OK</v>
      </c>
      <c r="Y3018" s="7" t="str">
        <f aca="false">IF(AND(N3018="No",O3018&lt;&gt;""),"Unexpected: channel present but no reminder sent",IF(AND(N3018="Yes",O3018=""),"Missing channel for sent reminder","OK"))</f>
        <v>OK</v>
      </c>
    </row>
    <row r="3019" customFormat="false" ht="15" hidden="false" customHeight="false" outlineLevel="0" collapsed="false">
      <c r="A3019" s="9" t="s">
        <v>4553</v>
      </c>
      <c r="B3019" s="9" t="s">
        <v>613</v>
      </c>
      <c r="C3019" s="9" t="s">
        <v>47</v>
      </c>
      <c r="D3019" s="9" t="n">
        <v>55</v>
      </c>
      <c r="E3019" s="9" t="s">
        <v>61</v>
      </c>
      <c r="F3019" s="9" t="s">
        <v>39</v>
      </c>
      <c r="G3019" s="10" t="n">
        <v>45766</v>
      </c>
      <c r="H3019" s="10" t="n">
        <v>45775</v>
      </c>
      <c r="I3019" s="9" t="s">
        <v>66</v>
      </c>
      <c r="J3019" s="9" t="s">
        <v>41</v>
      </c>
      <c r="K3019" s="9" t="n">
        <v>9</v>
      </c>
      <c r="L3019" s="9" t="n">
        <v>1</v>
      </c>
      <c r="M3019" s="9" t="n">
        <v>0</v>
      </c>
      <c r="N3019" s="9" t="s">
        <v>71</v>
      </c>
      <c r="O3019" s="9"/>
      <c r="P3019" s="9" t="n">
        <v>3.1</v>
      </c>
      <c r="Q3019" s="9" t="n">
        <v>18</v>
      </c>
      <c r="R3019" s="9" t="s">
        <v>53</v>
      </c>
      <c r="S3019" s="9"/>
      <c r="T3019" s="9"/>
      <c r="U3019" s="9" t="str">
        <f aca="false">IF(COUNTIF($A$2:$A$5001,A3019)&gt;1,"Duplicate","Unique")</f>
        <v>Unique</v>
      </c>
      <c r="V3019" s="9" t="str">
        <f aca="false">IF(COUNTIFS($B$2:$B$5001,B3019,$H$2:$H$5001,H3019,$J$2:$J$5001,J3019)&gt;1,"Possible Duplicate Booking","Unique")</f>
        <v>Unique</v>
      </c>
      <c r="W3019" s="9" t="str">
        <f aca="false">IF((H3019-G3019)&lt;&gt;K3019,"Mismatch","OK")</f>
        <v>OK</v>
      </c>
      <c r="X3019" s="9" t="str">
        <f aca="false">IF(TEXT(H3019,"dddd")&lt;&gt;I3019,"Mismatch","OK")</f>
        <v>OK</v>
      </c>
      <c r="Y3019" s="9" t="str">
        <f aca="false">IF(AND(N3019="No",O3019&lt;&gt;""),"Unexpected: channel present but no reminder sent",IF(AND(N3019="Yes",O3019=""),"Missing channel for sent reminder","OK"))</f>
        <v>OK</v>
      </c>
    </row>
    <row r="3020" customFormat="false" ht="15" hidden="false" customHeight="false" outlineLevel="0" collapsed="false">
      <c r="A3020" s="7" t="s">
        <v>4554</v>
      </c>
      <c r="B3020" s="7" t="s">
        <v>490</v>
      </c>
      <c r="C3020" s="7" t="s">
        <v>47</v>
      </c>
      <c r="D3020" s="7" t="n">
        <v>73</v>
      </c>
      <c r="E3020" s="7" t="s">
        <v>70</v>
      </c>
      <c r="F3020" s="7" t="s">
        <v>39</v>
      </c>
      <c r="G3020" s="8" t="n">
        <v>45970</v>
      </c>
      <c r="H3020" s="8" t="n">
        <v>45984</v>
      </c>
      <c r="I3020" s="7" t="s">
        <v>75</v>
      </c>
      <c r="J3020" s="7" t="s">
        <v>51</v>
      </c>
      <c r="K3020" s="7" t="n">
        <v>14</v>
      </c>
      <c r="L3020" s="7" t="n">
        <v>2</v>
      </c>
      <c r="M3020" s="7" t="n">
        <v>0</v>
      </c>
      <c r="N3020" s="7" t="s">
        <v>42</v>
      </c>
      <c r="O3020" s="7" t="s">
        <v>52</v>
      </c>
      <c r="P3020" s="7" t="n">
        <v>1.9</v>
      </c>
      <c r="Q3020" s="7" t="n">
        <v>17</v>
      </c>
      <c r="R3020" s="7" t="s">
        <v>44</v>
      </c>
      <c r="S3020" s="7"/>
      <c r="T3020" s="7"/>
      <c r="U3020" s="7" t="str">
        <f aca="false">IF(COUNTIF($A$2:$A$5001,A3020)&gt;1,"Duplicate","Unique")</f>
        <v>Unique</v>
      </c>
      <c r="V3020" s="7" t="str">
        <f aca="false">IF(COUNTIFS($B$2:$B$5001,B3020,$H$2:$H$5001,H3020,$J$2:$J$5001,J3020)&gt;1,"Possible Duplicate Booking","Unique")</f>
        <v>Unique</v>
      </c>
      <c r="W3020" s="7" t="str">
        <f aca="false">IF((H3020-G3020)&lt;&gt;K3020,"Mismatch","OK")</f>
        <v>OK</v>
      </c>
      <c r="X3020" s="7" t="str">
        <f aca="false">IF(TEXT(H3020,"dddd")&lt;&gt;I3020,"Mismatch","OK")</f>
        <v>OK</v>
      </c>
      <c r="Y3020" s="7" t="str">
        <f aca="false">IF(AND(N3020="No",O3020&lt;&gt;""),"Unexpected: channel present but no reminder sent",IF(AND(N3020="Yes",O3020=""),"Missing channel for sent reminder","OK"))</f>
        <v>OK</v>
      </c>
    </row>
    <row r="3021" customFormat="false" ht="15" hidden="false" customHeight="false" outlineLevel="0" collapsed="false">
      <c r="A3021" s="9" t="s">
        <v>4555</v>
      </c>
      <c r="B3021" s="9" t="s">
        <v>3419</v>
      </c>
      <c r="C3021" s="9" t="s">
        <v>47</v>
      </c>
      <c r="D3021" s="9" t="n">
        <v>54</v>
      </c>
      <c r="E3021" s="9" t="s">
        <v>56</v>
      </c>
      <c r="F3021" s="9" t="s">
        <v>74</v>
      </c>
      <c r="G3021" s="10" t="n">
        <v>46027</v>
      </c>
      <c r="H3021" s="10" t="n">
        <v>46064</v>
      </c>
      <c r="I3021" s="9" t="s">
        <v>58</v>
      </c>
      <c r="J3021" s="9" t="s">
        <v>41</v>
      </c>
      <c r="K3021" s="9" t="n">
        <v>37</v>
      </c>
      <c r="L3021" s="9" t="n">
        <v>7</v>
      </c>
      <c r="M3021" s="9" t="n">
        <v>1</v>
      </c>
      <c r="N3021" s="9" t="s">
        <v>71</v>
      </c>
      <c r="O3021" s="9"/>
      <c r="P3021" s="9" t="n">
        <v>7.8</v>
      </c>
      <c r="Q3021" s="9" t="n">
        <v>28</v>
      </c>
      <c r="R3021" s="9" t="s">
        <v>53</v>
      </c>
      <c r="S3021" s="9"/>
      <c r="T3021" s="9"/>
      <c r="U3021" s="9" t="str">
        <f aca="false">IF(COUNTIF($A$2:$A$5001,A3021)&gt;1,"Duplicate","Unique")</f>
        <v>Unique</v>
      </c>
      <c r="V3021" s="9" t="str">
        <f aca="false">IF(COUNTIFS($B$2:$B$5001,B3021,$H$2:$H$5001,H3021,$J$2:$J$5001,J3021)&gt;1,"Possible Duplicate Booking","Unique")</f>
        <v>Unique</v>
      </c>
      <c r="W3021" s="9" t="str">
        <f aca="false">IF((H3021-G3021)&lt;&gt;K3021,"Mismatch","OK")</f>
        <v>OK</v>
      </c>
      <c r="X3021" s="9" t="str">
        <f aca="false">IF(TEXT(H3021,"dddd")&lt;&gt;I3021,"Mismatch","OK")</f>
        <v>OK</v>
      </c>
      <c r="Y3021" s="9" t="str">
        <f aca="false">IF(AND(N3021="No",O3021&lt;&gt;""),"Unexpected: channel present but no reminder sent",IF(AND(N3021="Yes",O3021=""),"Missing channel for sent reminder","OK"))</f>
        <v>OK</v>
      </c>
    </row>
    <row r="3022" customFormat="false" ht="15" hidden="false" customHeight="false" outlineLevel="0" collapsed="false">
      <c r="A3022" s="7" t="s">
        <v>4556</v>
      </c>
      <c r="B3022" s="7" t="s">
        <v>480</v>
      </c>
      <c r="C3022" s="7" t="s">
        <v>47</v>
      </c>
      <c r="D3022" s="7" t="n">
        <v>65</v>
      </c>
      <c r="E3022" s="7" t="s">
        <v>70</v>
      </c>
      <c r="F3022" s="7" t="s">
        <v>74</v>
      </c>
      <c r="G3022" s="8" t="n">
        <v>45831</v>
      </c>
      <c r="H3022" s="8" t="n">
        <v>45848</v>
      </c>
      <c r="I3022" s="7" t="s">
        <v>62</v>
      </c>
      <c r="J3022" s="7" t="s">
        <v>51</v>
      </c>
      <c r="K3022" s="7" t="n">
        <v>17</v>
      </c>
      <c r="L3022" s="7" t="n">
        <v>1</v>
      </c>
      <c r="M3022" s="7" t="n">
        <v>0</v>
      </c>
      <c r="N3022" s="7" t="s">
        <v>42</v>
      </c>
      <c r="O3022" s="7" t="s">
        <v>52</v>
      </c>
      <c r="P3022" s="7" t="n">
        <v>1.4</v>
      </c>
      <c r="Q3022" s="7" t="n">
        <v>38</v>
      </c>
      <c r="R3022" s="7" t="s">
        <v>53</v>
      </c>
      <c r="S3022" s="7"/>
      <c r="T3022" s="7"/>
      <c r="U3022" s="7" t="str">
        <f aca="false">IF(COUNTIF($A$2:$A$5001,A3022)&gt;1,"Duplicate","Unique")</f>
        <v>Unique</v>
      </c>
      <c r="V3022" s="7" t="str">
        <f aca="false">IF(COUNTIFS($B$2:$B$5001,B3022,$H$2:$H$5001,H3022,$J$2:$J$5001,J3022)&gt;1,"Possible Duplicate Booking","Unique")</f>
        <v>Unique</v>
      </c>
      <c r="W3022" s="7" t="str">
        <f aca="false">IF((H3022-G3022)&lt;&gt;K3022,"Mismatch","OK")</f>
        <v>OK</v>
      </c>
      <c r="X3022" s="7" t="str">
        <f aca="false">IF(TEXT(H3022,"dddd")&lt;&gt;I3022,"Mismatch","OK")</f>
        <v>OK</v>
      </c>
      <c r="Y3022" s="7" t="str">
        <f aca="false">IF(AND(N3022="No",O3022&lt;&gt;""),"Unexpected: channel present but no reminder sent",IF(AND(N3022="Yes",O3022=""),"Missing channel for sent reminder","OK"))</f>
        <v>OK</v>
      </c>
    </row>
    <row r="3023" customFormat="false" ht="15" hidden="false" customHeight="false" outlineLevel="0" collapsed="false">
      <c r="A3023" s="9" t="s">
        <v>4557</v>
      </c>
      <c r="B3023" s="9" t="s">
        <v>2573</v>
      </c>
      <c r="C3023" s="9" t="s">
        <v>37</v>
      </c>
      <c r="D3023" s="9" t="n">
        <v>67</v>
      </c>
      <c r="E3023" s="9" t="s">
        <v>70</v>
      </c>
      <c r="F3023" s="9" t="s">
        <v>49</v>
      </c>
      <c r="G3023" s="10" t="n">
        <v>45713</v>
      </c>
      <c r="H3023" s="10" t="n">
        <v>45729</v>
      </c>
      <c r="I3023" s="9" t="s">
        <v>62</v>
      </c>
      <c r="J3023" s="9" t="s">
        <v>41</v>
      </c>
      <c r="K3023" s="9" t="n">
        <v>16</v>
      </c>
      <c r="L3023" s="9" t="n">
        <v>3</v>
      </c>
      <c r="M3023" s="9" t="n">
        <v>0</v>
      </c>
      <c r="N3023" s="9" t="s">
        <v>42</v>
      </c>
      <c r="O3023" s="9" t="s">
        <v>43</v>
      </c>
      <c r="P3023" s="9" t="n">
        <v>15.1</v>
      </c>
      <c r="Q3023" s="9" t="n">
        <v>49</v>
      </c>
      <c r="R3023" s="9" t="s">
        <v>53</v>
      </c>
      <c r="S3023" s="9"/>
      <c r="T3023" s="9"/>
      <c r="U3023" s="9" t="str">
        <f aca="false">IF(COUNTIF($A$2:$A$5001,A3023)&gt;1,"Duplicate","Unique")</f>
        <v>Unique</v>
      </c>
      <c r="V3023" s="9" t="str">
        <f aca="false">IF(COUNTIFS($B$2:$B$5001,B3023,$H$2:$H$5001,H3023,$J$2:$J$5001,J3023)&gt;1,"Possible Duplicate Booking","Unique")</f>
        <v>Unique</v>
      </c>
      <c r="W3023" s="9" t="str">
        <f aca="false">IF((H3023-G3023)&lt;&gt;K3023,"Mismatch","OK")</f>
        <v>OK</v>
      </c>
      <c r="X3023" s="9" t="str">
        <f aca="false">IF(TEXT(H3023,"dddd")&lt;&gt;I3023,"Mismatch","OK")</f>
        <v>OK</v>
      </c>
      <c r="Y3023" s="9" t="str">
        <f aca="false">IF(AND(N3023="No",O3023&lt;&gt;""),"Unexpected: channel present but no reminder sent",IF(AND(N3023="Yes",O3023=""),"Missing channel for sent reminder","OK"))</f>
        <v>OK</v>
      </c>
    </row>
    <row r="3024" customFormat="false" ht="15" hidden="false" customHeight="false" outlineLevel="0" collapsed="false">
      <c r="A3024" s="7" t="s">
        <v>4558</v>
      </c>
      <c r="B3024" s="7" t="s">
        <v>4559</v>
      </c>
      <c r="C3024" s="7" t="s">
        <v>37</v>
      </c>
      <c r="D3024" s="7" t="n">
        <v>18</v>
      </c>
      <c r="E3024" s="7" t="s">
        <v>82</v>
      </c>
      <c r="F3024" s="7" t="s">
        <v>57</v>
      </c>
      <c r="G3024" s="8" t="n">
        <v>45809</v>
      </c>
      <c r="H3024" s="8" t="n">
        <v>45869</v>
      </c>
      <c r="I3024" s="7" t="s">
        <v>62</v>
      </c>
      <c r="J3024" s="7" t="s">
        <v>51</v>
      </c>
      <c r="K3024" s="7" t="n">
        <v>60</v>
      </c>
      <c r="L3024" s="7" t="n">
        <v>2</v>
      </c>
      <c r="M3024" s="7" t="n">
        <v>0</v>
      </c>
      <c r="N3024" s="7" t="s">
        <v>42</v>
      </c>
      <c r="O3024" s="7" t="s">
        <v>67</v>
      </c>
      <c r="P3024" s="7" t="n">
        <v>20.7</v>
      </c>
      <c r="Q3024" s="7" t="n">
        <v>16</v>
      </c>
      <c r="R3024" s="7" t="s">
        <v>44</v>
      </c>
      <c r="S3024" s="7"/>
      <c r="T3024" s="7"/>
      <c r="U3024" s="7" t="str">
        <f aca="false">IF(COUNTIF($A$2:$A$5001,A3024)&gt;1,"Duplicate","Unique")</f>
        <v>Unique</v>
      </c>
      <c r="V3024" s="7" t="str">
        <f aca="false">IF(COUNTIFS($B$2:$B$5001,B3024,$H$2:$H$5001,H3024,$J$2:$J$5001,J3024)&gt;1,"Possible Duplicate Booking","Unique")</f>
        <v>Unique</v>
      </c>
      <c r="W3024" s="7" t="str">
        <f aca="false">IF((H3024-G3024)&lt;&gt;K3024,"Mismatch","OK")</f>
        <v>OK</v>
      </c>
      <c r="X3024" s="7" t="str">
        <f aca="false">IF(TEXT(H3024,"dddd")&lt;&gt;I3024,"Mismatch","OK")</f>
        <v>OK</v>
      </c>
      <c r="Y3024" s="7" t="str">
        <f aca="false">IF(AND(N3024="No",O3024&lt;&gt;""),"Unexpected: channel present but no reminder sent",IF(AND(N3024="Yes",O3024=""),"Missing channel for sent reminder","OK"))</f>
        <v>OK</v>
      </c>
    </row>
    <row r="3025" customFormat="false" ht="15" hidden="false" customHeight="false" outlineLevel="0" collapsed="false">
      <c r="A3025" s="9" t="s">
        <v>4560</v>
      </c>
      <c r="B3025" s="9" t="s">
        <v>3892</v>
      </c>
      <c r="C3025" s="9" t="s">
        <v>37</v>
      </c>
      <c r="D3025" s="9" t="n">
        <v>27</v>
      </c>
      <c r="E3025" s="9" t="s">
        <v>48</v>
      </c>
      <c r="F3025" s="9" t="s">
        <v>39</v>
      </c>
      <c r="G3025" s="10" t="n">
        <v>45756</v>
      </c>
      <c r="H3025" s="10" t="n">
        <v>45766</v>
      </c>
      <c r="I3025" s="9" t="s">
        <v>102</v>
      </c>
      <c r="J3025" s="9" t="s">
        <v>51</v>
      </c>
      <c r="K3025" s="9" t="n">
        <v>10</v>
      </c>
      <c r="L3025" s="9" t="n">
        <v>0</v>
      </c>
      <c r="M3025" s="9" t="n">
        <v>0</v>
      </c>
      <c r="N3025" s="9" t="s">
        <v>42</v>
      </c>
      <c r="O3025" s="9" t="s">
        <v>52</v>
      </c>
      <c r="P3025" s="9" t="n">
        <v>33.9</v>
      </c>
      <c r="Q3025" s="9" t="n">
        <v>31</v>
      </c>
      <c r="R3025" s="9" t="s">
        <v>44</v>
      </c>
      <c r="S3025" s="9"/>
      <c r="T3025" s="9"/>
      <c r="U3025" s="9" t="str">
        <f aca="false">IF(COUNTIF($A$2:$A$5001,A3025)&gt;1,"Duplicate","Unique")</f>
        <v>Unique</v>
      </c>
      <c r="V3025" s="9" t="str">
        <f aca="false">IF(COUNTIFS($B$2:$B$5001,B3025,$H$2:$H$5001,H3025,$J$2:$J$5001,J3025)&gt;1,"Possible Duplicate Booking","Unique")</f>
        <v>Unique</v>
      </c>
      <c r="W3025" s="9" t="str">
        <f aca="false">IF((H3025-G3025)&lt;&gt;K3025,"Mismatch","OK")</f>
        <v>OK</v>
      </c>
      <c r="X3025" s="9" t="str">
        <f aca="false">IF(TEXT(H3025,"dddd")&lt;&gt;I3025,"Mismatch","OK")</f>
        <v>OK</v>
      </c>
      <c r="Y3025" s="9" t="str">
        <f aca="false">IF(AND(N3025="No",O3025&lt;&gt;""),"Unexpected: channel present but no reminder sent",IF(AND(N3025="Yes",O3025=""),"Missing channel for sent reminder","OK"))</f>
        <v>OK</v>
      </c>
    </row>
    <row r="3026" customFormat="false" ht="15" hidden="false" customHeight="false" outlineLevel="0" collapsed="false">
      <c r="A3026" s="7" t="s">
        <v>4561</v>
      </c>
      <c r="B3026" s="7" t="s">
        <v>2788</v>
      </c>
      <c r="C3026" s="7" t="s">
        <v>37</v>
      </c>
      <c r="D3026" s="7" t="n">
        <v>67</v>
      </c>
      <c r="E3026" s="7" t="s">
        <v>70</v>
      </c>
      <c r="F3026" s="7" t="s">
        <v>74</v>
      </c>
      <c r="G3026" s="8" t="n">
        <v>45851</v>
      </c>
      <c r="H3026" s="8" t="n">
        <v>45862</v>
      </c>
      <c r="I3026" s="7" t="s">
        <v>62</v>
      </c>
      <c r="J3026" s="7" t="s">
        <v>41</v>
      </c>
      <c r="K3026" s="7" t="n">
        <v>11</v>
      </c>
      <c r="L3026" s="7" t="n">
        <v>3</v>
      </c>
      <c r="M3026" s="7" t="n">
        <v>0</v>
      </c>
      <c r="N3026" s="7" t="s">
        <v>42</v>
      </c>
      <c r="O3026" s="7" t="s">
        <v>43</v>
      </c>
      <c r="P3026" s="7" t="n">
        <v>5</v>
      </c>
      <c r="Q3026" s="7" t="n">
        <v>19</v>
      </c>
      <c r="R3026" s="7" t="s">
        <v>53</v>
      </c>
      <c r="S3026" s="7"/>
      <c r="T3026" s="7"/>
      <c r="U3026" s="7" t="str">
        <f aca="false">IF(COUNTIF($A$2:$A$5001,A3026)&gt;1,"Duplicate","Unique")</f>
        <v>Unique</v>
      </c>
      <c r="V3026" s="7" t="str">
        <f aca="false">IF(COUNTIFS($B$2:$B$5001,B3026,$H$2:$H$5001,H3026,$J$2:$J$5001,J3026)&gt;1,"Possible Duplicate Booking","Unique")</f>
        <v>Unique</v>
      </c>
      <c r="W3026" s="7" t="str">
        <f aca="false">IF((H3026-G3026)&lt;&gt;K3026,"Mismatch","OK")</f>
        <v>OK</v>
      </c>
      <c r="X3026" s="7" t="str">
        <f aca="false">IF(TEXT(H3026,"dddd")&lt;&gt;I3026,"Mismatch","OK")</f>
        <v>OK</v>
      </c>
      <c r="Y3026" s="7" t="str">
        <f aca="false">IF(AND(N3026="No",O3026&lt;&gt;""),"Unexpected: channel present but no reminder sent",IF(AND(N3026="Yes",O3026=""),"Missing channel for sent reminder","OK"))</f>
        <v>OK</v>
      </c>
    </row>
    <row r="3027" customFormat="false" ht="15" hidden="false" customHeight="false" outlineLevel="0" collapsed="false">
      <c r="A3027" s="9" t="s">
        <v>4562</v>
      </c>
      <c r="B3027" s="9" t="s">
        <v>108</v>
      </c>
      <c r="C3027" s="9" t="s">
        <v>47</v>
      </c>
      <c r="D3027" s="9" t="n">
        <v>29</v>
      </c>
      <c r="E3027" s="9" t="s">
        <v>48</v>
      </c>
      <c r="F3027" s="9" t="s">
        <v>39</v>
      </c>
      <c r="G3027" s="10" t="n">
        <v>45944</v>
      </c>
      <c r="H3027" s="10" t="n">
        <v>46000</v>
      </c>
      <c r="I3027" s="9" t="s">
        <v>40</v>
      </c>
      <c r="J3027" s="9" t="s">
        <v>41</v>
      </c>
      <c r="K3027" s="9" t="n">
        <v>56</v>
      </c>
      <c r="L3027" s="9" t="n">
        <v>8</v>
      </c>
      <c r="M3027" s="9" t="n">
        <v>2</v>
      </c>
      <c r="N3027" s="9" t="s">
        <v>42</v>
      </c>
      <c r="O3027" s="9" t="s">
        <v>52</v>
      </c>
      <c r="P3027" s="9" t="n">
        <v>14.7</v>
      </c>
      <c r="Q3027" s="9" t="n">
        <v>12</v>
      </c>
      <c r="R3027" s="9" t="s">
        <v>44</v>
      </c>
      <c r="S3027" s="9"/>
      <c r="T3027" s="9"/>
      <c r="U3027" s="9" t="str">
        <f aca="false">IF(COUNTIF($A$2:$A$5001,A3027)&gt;1,"Duplicate","Unique")</f>
        <v>Unique</v>
      </c>
      <c r="V3027" s="9" t="str">
        <f aca="false">IF(COUNTIFS($B$2:$B$5001,B3027,$H$2:$H$5001,H3027,$J$2:$J$5001,J3027)&gt;1,"Possible Duplicate Booking","Unique")</f>
        <v>Unique</v>
      </c>
      <c r="W3027" s="9" t="str">
        <f aca="false">IF((H3027-G3027)&lt;&gt;K3027,"Mismatch","OK")</f>
        <v>OK</v>
      </c>
      <c r="X3027" s="9" t="str">
        <f aca="false">IF(TEXT(H3027,"dddd")&lt;&gt;I3027,"Mismatch","OK")</f>
        <v>OK</v>
      </c>
      <c r="Y3027" s="9" t="str">
        <f aca="false">IF(AND(N3027="No",O3027&lt;&gt;""),"Unexpected: channel present but no reminder sent",IF(AND(N3027="Yes",O3027=""),"Missing channel for sent reminder","OK"))</f>
        <v>OK</v>
      </c>
    </row>
    <row r="3028" customFormat="false" ht="15" hidden="false" customHeight="false" outlineLevel="0" collapsed="false">
      <c r="A3028" s="7" t="s">
        <v>4563</v>
      </c>
      <c r="B3028" s="7" t="s">
        <v>176</v>
      </c>
      <c r="C3028" s="7" t="s">
        <v>47</v>
      </c>
      <c r="D3028" s="7" t="n">
        <v>30</v>
      </c>
      <c r="E3028" s="7" t="s">
        <v>48</v>
      </c>
      <c r="F3028" s="7" t="s">
        <v>74</v>
      </c>
      <c r="G3028" s="8" t="n">
        <v>45686</v>
      </c>
      <c r="H3028" s="8" t="n">
        <v>45719</v>
      </c>
      <c r="I3028" s="7" t="s">
        <v>66</v>
      </c>
      <c r="J3028" s="7" t="s">
        <v>51</v>
      </c>
      <c r="K3028" s="7" t="n">
        <v>33</v>
      </c>
      <c r="L3028" s="7" t="n">
        <v>1</v>
      </c>
      <c r="M3028" s="7" t="n">
        <v>0</v>
      </c>
      <c r="N3028" s="7" t="s">
        <v>42</v>
      </c>
      <c r="O3028" s="7" t="s">
        <v>52</v>
      </c>
      <c r="P3028" s="7" t="n">
        <v>0.8</v>
      </c>
      <c r="Q3028" s="7" t="n">
        <v>21</v>
      </c>
      <c r="R3028" s="7" t="s">
        <v>44</v>
      </c>
      <c r="S3028" s="7"/>
      <c r="T3028" s="7"/>
      <c r="U3028" s="7" t="str">
        <f aca="false">IF(COUNTIF($A$2:$A$5001,A3028)&gt;1,"Duplicate","Unique")</f>
        <v>Unique</v>
      </c>
      <c r="V3028" s="7" t="str">
        <f aca="false">IF(COUNTIFS($B$2:$B$5001,B3028,$H$2:$H$5001,H3028,$J$2:$J$5001,J3028)&gt;1,"Possible Duplicate Booking","Unique")</f>
        <v>Unique</v>
      </c>
      <c r="W3028" s="7" t="str">
        <f aca="false">IF((H3028-G3028)&lt;&gt;K3028,"Mismatch","OK")</f>
        <v>OK</v>
      </c>
      <c r="X3028" s="7" t="str">
        <f aca="false">IF(TEXT(H3028,"dddd")&lt;&gt;I3028,"Mismatch","OK")</f>
        <v>OK</v>
      </c>
      <c r="Y3028" s="7" t="str">
        <f aca="false">IF(AND(N3028="No",O3028&lt;&gt;""),"Unexpected: channel present but no reminder sent",IF(AND(N3028="Yes",O3028=""),"Missing channel for sent reminder","OK"))</f>
        <v>OK</v>
      </c>
    </row>
    <row r="3029" customFormat="false" ht="15" hidden="false" customHeight="false" outlineLevel="0" collapsed="false">
      <c r="A3029" s="9" t="s">
        <v>4564</v>
      </c>
      <c r="B3029" s="9" t="s">
        <v>2508</v>
      </c>
      <c r="C3029" s="9" t="s">
        <v>37</v>
      </c>
      <c r="D3029" s="9" t="n">
        <v>65</v>
      </c>
      <c r="E3029" s="9" t="s">
        <v>70</v>
      </c>
      <c r="F3029" s="9" t="s">
        <v>39</v>
      </c>
      <c r="G3029" s="10" t="n">
        <v>46064</v>
      </c>
      <c r="H3029" s="10" t="n">
        <v>46066</v>
      </c>
      <c r="I3029" s="9" t="s">
        <v>50</v>
      </c>
      <c r="J3029" s="9" t="s">
        <v>41</v>
      </c>
      <c r="K3029" s="9" t="n">
        <v>2</v>
      </c>
      <c r="L3029" s="9" t="n">
        <v>1</v>
      </c>
      <c r="M3029" s="9" t="n">
        <v>0</v>
      </c>
      <c r="N3029" s="9" t="s">
        <v>42</v>
      </c>
      <c r="O3029" s="9" t="s">
        <v>52</v>
      </c>
      <c r="P3029" s="9" t="n">
        <v>14.2</v>
      </c>
      <c r="Q3029" s="9" t="n">
        <v>21</v>
      </c>
      <c r="R3029" s="9" t="s">
        <v>53</v>
      </c>
      <c r="S3029" s="9"/>
      <c r="T3029" s="9"/>
      <c r="U3029" s="9" t="str">
        <f aca="false">IF(COUNTIF($A$2:$A$5001,A3029)&gt;1,"Duplicate","Unique")</f>
        <v>Unique</v>
      </c>
      <c r="V3029" s="9" t="str">
        <f aca="false">IF(COUNTIFS($B$2:$B$5001,B3029,$H$2:$H$5001,H3029,$J$2:$J$5001,J3029)&gt;1,"Possible Duplicate Booking","Unique")</f>
        <v>Unique</v>
      </c>
      <c r="W3029" s="9" t="str">
        <f aca="false">IF((H3029-G3029)&lt;&gt;K3029,"Mismatch","OK")</f>
        <v>OK</v>
      </c>
      <c r="X3029" s="9" t="str">
        <f aca="false">IF(TEXT(H3029,"dddd")&lt;&gt;I3029,"Mismatch","OK")</f>
        <v>OK</v>
      </c>
      <c r="Y3029" s="9" t="str">
        <f aca="false">IF(AND(N3029="No",O3029&lt;&gt;""),"Unexpected: channel present but no reminder sent",IF(AND(N3029="Yes",O3029=""),"Missing channel for sent reminder","OK"))</f>
        <v>OK</v>
      </c>
    </row>
    <row r="3030" customFormat="false" ht="15" hidden="false" customHeight="false" outlineLevel="0" collapsed="false">
      <c r="A3030" s="7" t="s">
        <v>4565</v>
      </c>
      <c r="B3030" s="7" t="s">
        <v>1257</v>
      </c>
      <c r="C3030" s="7" t="s">
        <v>37</v>
      </c>
      <c r="D3030" s="7" t="n">
        <v>30</v>
      </c>
      <c r="E3030" s="7" t="s">
        <v>48</v>
      </c>
      <c r="F3030" s="7" t="s">
        <v>57</v>
      </c>
      <c r="G3030" s="8" t="n">
        <v>45755</v>
      </c>
      <c r="H3030" s="8" t="n">
        <v>45780</v>
      </c>
      <c r="I3030" s="7" t="s">
        <v>102</v>
      </c>
      <c r="J3030" s="7" t="s">
        <v>41</v>
      </c>
      <c r="K3030" s="7" t="n">
        <v>25</v>
      </c>
      <c r="L3030" s="7" t="n">
        <v>5</v>
      </c>
      <c r="M3030" s="7" t="n">
        <v>1</v>
      </c>
      <c r="N3030" s="7" t="s">
        <v>42</v>
      </c>
      <c r="O3030" s="7" t="s">
        <v>43</v>
      </c>
      <c r="P3030" s="7" t="n">
        <v>7.9</v>
      </c>
      <c r="Q3030" s="7" t="n">
        <v>25</v>
      </c>
      <c r="R3030" s="7" t="s">
        <v>44</v>
      </c>
      <c r="S3030" s="7"/>
      <c r="T3030" s="7"/>
      <c r="U3030" s="7" t="str">
        <f aca="false">IF(COUNTIF($A$2:$A$5001,A3030)&gt;1,"Duplicate","Unique")</f>
        <v>Unique</v>
      </c>
      <c r="V3030" s="7" t="str">
        <f aca="false">IF(COUNTIFS($B$2:$B$5001,B3030,$H$2:$H$5001,H3030,$J$2:$J$5001,J3030)&gt;1,"Possible Duplicate Booking","Unique")</f>
        <v>Unique</v>
      </c>
      <c r="W3030" s="7" t="str">
        <f aca="false">IF((H3030-G3030)&lt;&gt;K3030,"Mismatch","OK")</f>
        <v>OK</v>
      </c>
      <c r="X3030" s="7" t="str">
        <f aca="false">IF(TEXT(H3030,"dddd")&lt;&gt;I3030,"Mismatch","OK")</f>
        <v>OK</v>
      </c>
      <c r="Y3030" s="7" t="str">
        <f aca="false">IF(AND(N3030="No",O3030&lt;&gt;""),"Unexpected: channel present but no reminder sent",IF(AND(N3030="Yes",O3030=""),"Missing channel for sent reminder","OK"))</f>
        <v>OK</v>
      </c>
    </row>
    <row r="3031" customFormat="false" ht="15" hidden="false" customHeight="false" outlineLevel="0" collapsed="false">
      <c r="A3031" s="9" t="s">
        <v>4566</v>
      </c>
      <c r="B3031" s="9" t="s">
        <v>266</v>
      </c>
      <c r="C3031" s="9" t="s">
        <v>236</v>
      </c>
      <c r="D3031" s="9" t="n">
        <v>27</v>
      </c>
      <c r="E3031" s="9" t="s">
        <v>48</v>
      </c>
      <c r="F3031" s="9" t="s">
        <v>39</v>
      </c>
      <c r="G3031" s="10" t="n">
        <v>46112</v>
      </c>
      <c r="H3031" s="10" t="n">
        <v>46146</v>
      </c>
      <c r="I3031" s="9" t="s">
        <v>66</v>
      </c>
      <c r="J3031" s="9" t="s">
        <v>51</v>
      </c>
      <c r="K3031" s="9" t="n">
        <v>34</v>
      </c>
      <c r="L3031" s="9" t="n">
        <v>4</v>
      </c>
      <c r="M3031" s="9" t="n">
        <v>2</v>
      </c>
      <c r="N3031" s="9" t="s">
        <v>71</v>
      </c>
      <c r="O3031" s="9"/>
      <c r="P3031" s="9" t="n">
        <v>11.9</v>
      </c>
      <c r="Q3031" s="9" t="n">
        <v>29</v>
      </c>
      <c r="R3031" s="9" t="s">
        <v>44</v>
      </c>
      <c r="S3031" s="9"/>
      <c r="T3031" s="9"/>
      <c r="U3031" s="9" t="str">
        <f aca="false">IF(COUNTIF($A$2:$A$5001,A3031)&gt;1,"Duplicate","Unique")</f>
        <v>Unique</v>
      </c>
      <c r="V3031" s="9" t="str">
        <f aca="false">IF(COUNTIFS($B$2:$B$5001,B3031,$H$2:$H$5001,H3031,$J$2:$J$5001,J3031)&gt;1,"Possible Duplicate Booking","Unique")</f>
        <v>Unique</v>
      </c>
      <c r="W3031" s="9" t="str">
        <f aca="false">IF((H3031-G3031)&lt;&gt;K3031,"Mismatch","OK")</f>
        <v>OK</v>
      </c>
      <c r="X3031" s="9" t="str">
        <f aca="false">IF(TEXT(H3031,"dddd")&lt;&gt;I3031,"Mismatch","OK")</f>
        <v>OK</v>
      </c>
      <c r="Y3031" s="9" t="str">
        <f aca="false">IF(AND(N3031="No",O3031&lt;&gt;""),"Unexpected: channel present but no reminder sent",IF(AND(N3031="Yes",O3031=""),"Missing channel for sent reminder","OK"))</f>
        <v>OK</v>
      </c>
    </row>
    <row r="3032" customFormat="false" ht="15" hidden="false" customHeight="false" outlineLevel="0" collapsed="false">
      <c r="A3032" s="7" t="s">
        <v>4567</v>
      </c>
      <c r="B3032" s="7" t="s">
        <v>4568</v>
      </c>
      <c r="C3032" s="7" t="s">
        <v>47</v>
      </c>
      <c r="D3032" s="7" t="n">
        <v>18</v>
      </c>
      <c r="E3032" s="7" t="s">
        <v>82</v>
      </c>
      <c r="F3032" s="7" t="s">
        <v>39</v>
      </c>
      <c r="G3032" s="8" t="n">
        <v>46042</v>
      </c>
      <c r="H3032" s="8" t="n">
        <v>46057</v>
      </c>
      <c r="I3032" s="7" t="s">
        <v>58</v>
      </c>
      <c r="J3032" s="7" t="s">
        <v>63</v>
      </c>
      <c r="K3032" s="7" t="n">
        <v>15</v>
      </c>
      <c r="L3032" s="7" t="n">
        <v>2</v>
      </c>
      <c r="M3032" s="7" t="n">
        <v>1</v>
      </c>
      <c r="N3032" s="7" t="s">
        <v>42</v>
      </c>
      <c r="O3032" s="7" t="s">
        <v>52</v>
      </c>
      <c r="P3032" s="7" t="n">
        <v>18.8</v>
      </c>
      <c r="Q3032" s="7" t="n">
        <v>27</v>
      </c>
      <c r="R3032" s="7" t="s">
        <v>53</v>
      </c>
      <c r="S3032" s="7"/>
      <c r="T3032" s="7"/>
      <c r="U3032" s="7" t="str">
        <f aca="false">IF(COUNTIF($A$2:$A$5001,A3032)&gt;1,"Duplicate","Unique")</f>
        <v>Unique</v>
      </c>
      <c r="V3032" s="7" t="str">
        <f aca="false">IF(COUNTIFS($B$2:$B$5001,B3032,$H$2:$H$5001,H3032,$J$2:$J$5001,J3032)&gt;1,"Possible Duplicate Booking","Unique")</f>
        <v>Unique</v>
      </c>
      <c r="W3032" s="7" t="str">
        <f aca="false">IF((H3032-G3032)&lt;&gt;K3032,"Mismatch","OK")</f>
        <v>OK</v>
      </c>
      <c r="X3032" s="7" t="str">
        <f aca="false">IF(TEXT(H3032,"dddd")&lt;&gt;I3032,"Mismatch","OK")</f>
        <v>OK</v>
      </c>
      <c r="Y3032" s="7" t="str">
        <f aca="false">IF(AND(N3032="No",O3032&lt;&gt;""),"Unexpected: channel present but no reminder sent",IF(AND(N3032="Yes",O3032=""),"Missing channel for sent reminder","OK"))</f>
        <v>OK</v>
      </c>
    </row>
    <row r="3033" customFormat="false" ht="15" hidden="false" customHeight="false" outlineLevel="0" collapsed="false">
      <c r="A3033" s="9" t="s">
        <v>4569</v>
      </c>
      <c r="B3033" s="9" t="s">
        <v>4570</v>
      </c>
      <c r="C3033" s="9" t="s">
        <v>37</v>
      </c>
      <c r="D3033" s="9" t="n">
        <v>47</v>
      </c>
      <c r="E3033" s="9" t="s">
        <v>56</v>
      </c>
      <c r="F3033" s="9" t="s">
        <v>57</v>
      </c>
      <c r="G3033" s="10" t="n">
        <v>45773</v>
      </c>
      <c r="H3033" s="10" t="n">
        <v>45806</v>
      </c>
      <c r="I3033" s="9" t="s">
        <v>62</v>
      </c>
      <c r="J3033" s="9" t="s">
        <v>63</v>
      </c>
      <c r="K3033" s="9" t="n">
        <v>33</v>
      </c>
      <c r="L3033" s="9" t="n">
        <v>0</v>
      </c>
      <c r="M3033" s="9" t="n">
        <v>0</v>
      </c>
      <c r="N3033" s="9" t="s">
        <v>71</v>
      </c>
      <c r="O3033" s="9"/>
      <c r="P3033" s="9" t="n">
        <v>6.6</v>
      </c>
      <c r="Q3033" s="9" t="n">
        <v>37</v>
      </c>
      <c r="R3033" s="9" t="s">
        <v>53</v>
      </c>
      <c r="S3033" s="9"/>
      <c r="T3033" s="9"/>
      <c r="U3033" s="9" t="str">
        <f aca="false">IF(COUNTIF($A$2:$A$5001,A3033)&gt;1,"Duplicate","Unique")</f>
        <v>Unique</v>
      </c>
      <c r="V3033" s="9" t="str">
        <f aca="false">IF(COUNTIFS($B$2:$B$5001,B3033,$H$2:$H$5001,H3033,$J$2:$J$5001,J3033)&gt;1,"Possible Duplicate Booking","Unique")</f>
        <v>Unique</v>
      </c>
      <c r="W3033" s="9" t="str">
        <f aca="false">IF((H3033-G3033)&lt;&gt;K3033,"Mismatch","OK")</f>
        <v>OK</v>
      </c>
      <c r="X3033" s="9" t="str">
        <f aca="false">IF(TEXT(H3033,"dddd")&lt;&gt;I3033,"Mismatch","OK")</f>
        <v>OK</v>
      </c>
      <c r="Y3033" s="9" t="str">
        <f aca="false">IF(AND(N3033="No",O3033&lt;&gt;""),"Unexpected: channel present but no reminder sent",IF(AND(N3033="Yes",O3033=""),"Missing channel for sent reminder","OK"))</f>
        <v>OK</v>
      </c>
    </row>
    <row r="3034" customFormat="false" ht="15" hidden="false" customHeight="false" outlineLevel="0" collapsed="false">
      <c r="A3034" s="7" t="s">
        <v>4571</v>
      </c>
      <c r="B3034" s="7" t="s">
        <v>3391</v>
      </c>
      <c r="C3034" s="7" t="s">
        <v>37</v>
      </c>
      <c r="D3034" s="7" t="n">
        <v>58</v>
      </c>
      <c r="E3034" s="7" t="s">
        <v>61</v>
      </c>
      <c r="F3034" s="7" t="s">
        <v>57</v>
      </c>
      <c r="G3034" s="8" t="n">
        <v>45926</v>
      </c>
      <c r="H3034" s="8" t="n">
        <v>45965</v>
      </c>
      <c r="I3034" s="7" t="s">
        <v>40</v>
      </c>
      <c r="J3034" s="7" t="s">
        <v>51</v>
      </c>
      <c r="K3034" s="7" t="n">
        <v>39</v>
      </c>
      <c r="L3034" s="7" t="n">
        <v>3</v>
      </c>
      <c r="M3034" s="7" t="n">
        <v>1</v>
      </c>
      <c r="N3034" s="7" t="s">
        <v>42</v>
      </c>
      <c r="O3034" s="7" t="s">
        <v>67</v>
      </c>
      <c r="P3034" s="7" t="n">
        <v>12.7</v>
      </c>
      <c r="Q3034" s="7" t="n">
        <v>45</v>
      </c>
      <c r="R3034" s="7" t="s">
        <v>44</v>
      </c>
      <c r="S3034" s="7"/>
      <c r="T3034" s="7"/>
      <c r="U3034" s="7" t="str">
        <f aca="false">IF(COUNTIF($A$2:$A$5001,A3034)&gt;1,"Duplicate","Unique")</f>
        <v>Unique</v>
      </c>
      <c r="V3034" s="7" t="str">
        <f aca="false">IF(COUNTIFS($B$2:$B$5001,B3034,$H$2:$H$5001,H3034,$J$2:$J$5001,J3034)&gt;1,"Possible Duplicate Booking","Unique")</f>
        <v>Unique</v>
      </c>
      <c r="W3034" s="7" t="str">
        <f aca="false">IF((H3034-G3034)&lt;&gt;K3034,"Mismatch","OK")</f>
        <v>OK</v>
      </c>
      <c r="X3034" s="7" t="str">
        <f aca="false">IF(TEXT(H3034,"dddd")&lt;&gt;I3034,"Mismatch","OK")</f>
        <v>OK</v>
      </c>
      <c r="Y3034" s="7" t="str">
        <f aca="false">IF(AND(N3034="No",O3034&lt;&gt;""),"Unexpected: channel present but no reminder sent",IF(AND(N3034="Yes",O3034=""),"Missing channel for sent reminder","OK"))</f>
        <v>OK</v>
      </c>
    </row>
    <row r="3035" customFormat="false" ht="15" hidden="false" customHeight="false" outlineLevel="0" collapsed="false">
      <c r="A3035" s="9" t="s">
        <v>4572</v>
      </c>
      <c r="B3035" s="9" t="s">
        <v>516</v>
      </c>
      <c r="C3035" s="9" t="s">
        <v>37</v>
      </c>
      <c r="D3035" s="9" t="n">
        <v>64</v>
      </c>
      <c r="E3035" s="9" t="s">
        <v>61</v>
      </c>
      <c r="F3035" s="9" t="s">
        <v>49</v>
      </c>
      <c r="G3035" s="10" t="n">
        <v>45703</v>
      </c>
      <c r="H3035" s="10" t="n">
        <v>45718</v>
      </c>
      <c r="I3035" s="9" t="s">
        <v>75</v>
      </c>
      <c r="J3035" s="9" t="s">
        <v>63</v>
      </c>
      <c r="K3035" s="9" t="n">
        <v>15</v>
      </c>
      <c r="L3035" s="9" t="n">
        <v>3</v>
      </c>
      <c r="M3035" s="9" t="n">
        <v>0</v>
      </c>
      <c r="N3035" s="9" t="s">
        <v>71</v>
      </c>
      <c r="O3035" s="9"/>
      <c r="P3035" s="9" t="n">
        <v>11.7</v>
      </c>
      <c r="Q3035" s="9" t="n">
        <v>24</v>
      </c>
      <c r="R3035" s="9" t="s">
        <v>53</v>
      </c>
      <c r="S3035" s="9"/>
      <c r="T3035" s="9"/>
      <c r="U3035" s="9" t="str">
        <f aca="false">IF(COUNTIF($A$2:$A$5001,A3035)&gt;1,"Duplicate","Unique")</f>
        <v>Unique</v>
      </c>
      <c r="V3035" s="9" t="str">
        <f aca="false">IF(COUNTIFS($B$2:$B$5001,B3035,$H$2:$H$5001,H3035,$J$2:$J$5001,J3035)&gt;1,"Possible Duplicate Booking","Unique")</f>
        <v>Unique</v>
      </c>
      <c r="W3035" s="9" t="str">
        <f aca="false">IF((H3035-G3035)&lt;&gt;K3035,"Mismatch","OK")</f>
        <v>OK</v>
      </c>
      <c r="X3035" s="9" t="str">
        <f aca="false">IF(TEXT(H3035,"dddd")&lt;&gt;I3035,"Mismatch","OK")</f>
        <v>OK</v>
      </c>
      <c r="Y3035" s="9" t="str">
        <f aca="false">IF(AND(N3035="No",O3035&lt;&gt;""),"Unexpected: channel present but no reminder sent",IF(AND(N3035="Yes",O3035=""),"Missing channel for sent reminder","OK"))</f>
        <v>OK</v>
      </c>
    </row>
    <row r="3036" customFormat="false" ht="15" hidden="false" customHeight="false" outlineLevel="0" collapsed="false">
      <c r="A3036" s="7" t="s">
        <v>4573</v>
      </c>
      <c r="B3036" s="7" t="s">
        <v>2148</v>
      </c>
      <c r="C3036" s="7" t="s">
        <v>37</v>
      </c>
      <c r="D3036" s="7" t="n">
        <v>75</v>
      </c>
      <c r="E3036" s="7" t="s">
        <v>70</v>
      </c>
      <c r="F3036" s="7" t="s">
        <v>57</v>
      </c>
      <c r="G3036" s="8" t="n">
        <v>45663</v>
      </c>
      <c r="H3036" s="8" t="n">
        <v>45712</v>
      </c>
      <c r="I3036" s="7" t="s">
        <v>66</v>
      </c>
      <c r="J3036" s="7" t="s">
        <v>41</v>
      </c>
      <c r="K3036" s="7" t="n">
        <v>49</v>
      </c>
      <c r="L3036" s="7" t="n">
        <v>4</v>
      </c>
      <c r="M3036" s="7" t="n">
        <v>0</v>
      </c>
      <c r="N3036" s="7" t="s">
        <v>71</v>
      </c>
      <c r="O3036" s="7"/>
      <c r="P3036" s="7" t="n">
        <v>10.2</v>
      </c>
      <c r="Q3036" s="7" t="n">
        <v>19</v>
      </c>
      <c r="R3036" s="7" t="s">
        <v>44</v>
      </c>
      <c r="S3036" s="7"/>
      <c r="T3036" s="7"/>
      <c r="U3036" s="7" t="str">
        <f aca="false">IF(COUNTIF($A$2:$A$5001,A3036)&gt;1,"Duplicate","Unique")</f>
        <v>Unique</v>
      </c>
      <c r="V3036" s="7" t="str">
        <f aca="false">IF(COUNTIFS($B$2:$B$5001,B3036,$H$2:$H$5001,H3036,$J$2:$J$5001,J3036)&gt;1,"Possible Duplicate Booking","Unique")</f>
        <v>Unique</v>
      </c>
      <c r="W3036" s="7" t="str">
        <f aca="false">IF((H3036-G3036)&lt;&gt;K3036,"Mismatch","OK")</f>
        <v>OK</v>
      </c>
      <c r="X3036" s="7" t="str">
        <f aca="false">IF(TEXT(H3036,"dddd")&lt;&gt;I3036,"Mismatch","OK")</f>
        <v>OK</v>
      </c>
      <c r="Y3036" s="7" t="str">
        <f aca="false">IF(AND(N3036="No",O3036&lt;&gt;""),"Unexpected: channel present but no reminder sent",IF(AND(N3036="Yes",O3036=""),"Missing channel for sent reminder","OK"))</f>
        <v>OK</v>
      </c>
    </row>
    <row r="3037" customFormat="false" ht="15" hidden="false" customHeight="false" outlineLevel="0" collapsed="false">
      <c r="A3037" s="9" t="s">
        <v>4574</v>
      </c>
      <c r="B3037" s="9" t="s">
        <v>3571</v>
      </c>
      <c r="C3037" s="9" t="s">
        <v>37</v>
      </c>
      <c r="D3037" s="9" t="n">
        <v>59</v>
      </c>
      <c r="E3037" s="9" t="s">
        <v>61</v>
      </c>
      <c r="F3037" s="9" t="s">
        <v>57</v>
      </c>
      <c r="G3037" s="10" t="n">
        <v>46153</v>
      </c>
      <c r="H3037" s="10" t="n">
        <v>46180</v>
      </c>
      <c r="I3037" s="9" t="s">
        <v>75</v>
      </c>
      <c r="J3037" s="9" t="s">
        <v>51</v>
      </c>
      <c r="K3037" s="9" t="n">
        <v>27</v>
      </c>
      <c r="L3037" s="9" t="n">
        <v>2</v>
      </c>
      <c r="M3037" s="9" t="n">
        <v>0</v>
      </c>
      <c r="N3037" s="9" t="s">
        <v>42</v>
      </c>
      <c r="O3037" s="9" t="s">
        <v>52</v>
      </c>
      <c r="P3037" s="9" t="n">
        <v>4.5</v>
      </c>
      <c r="Q3037" s="9" t="n">
        <v>22</v>
      </c>
      <c r="R3037" s="9" t="s">
        <v>44</v>
      </c>
      <c r="S3037" s="9"/>
      <c r="T3037" s="9"/>
      <c r="U3037" s="9" t="str">
        <f aca="false">IF(COUNTIF($A$2:$A$5001,A3037)&gt;1,"Duplicate","Unique")</f>
        <v>Unique</v>
      </c>
      <c r="V3037" s="9" t="str">
        <f aca="false">IF(COUNTIFS($B$2:$B$5001,B3037,$H$2:$H$5001,H3037,$J$2:$J$5001,J3037)&gt;1,"Possible Duplicate Booking","Unique")</f>
        <v>Unique</v>
      </c>
      <c r="W3037" s="9" t="str">
        <f aca="false">IF((H3037-G3037)&lt;&gt;K3037,"Mismatch","OK")</f>
        <v>OK</v>
      </c>
      <c r="X3037" s="9" t="str">
        <f aca="false">IF(TEXT(H3037,"dddd")&lt;&gt;I3037,"Mismatch","OK")</f>
        <v>OK</v>
      </c>
      <c r="Y3037" s="9" t="str">
        <f aca="false">IF(AND(N3037="No",O3037&lt;&gt;""),"Unexpected: channel present but no reminder sent",IF(AND(N3037="Yes",O3037=""),"Missing channel for sent reminder","OK"))</f>
        <v>OK</v>
      </c>
    </row>
    <row r="3038" customFormat="false" ht="15" hidden="false" customHeight="false" outlineLevel="0" collapsed="false">
      <c r="A3038" s="7" t="s">
        <v>4575</v>
      </c>
      <c r="B3038" s="7" t="s">
        <v>4576</v>
      </c>
      <c r="C3038" s="7" t="s">
        <v>37</v>
      </c>
      <c r="D3038" s="7" t="n">
        <v>65</v>
      </c>
      <c r="E3038" s="7" t="s">
        <v>70</v>
      </c>
      <c r="F3038" s="7" t="s">
        <v>39</v>
      </c>
      <c r="G3038" s="8" t="n">
        <v>46038</v>
      </c>
      <c r="H3038" s="8" t="n">
        <v>46096</v>
      </c>
      <c r="I3038" s="7" t="s">
        <v>75</v>
      </c>
      <c r="J3038" s="7" t="s">
        <v>41</v>
      </c>
      <c r="K3038" s="7" t="n">
        <v>58</v>
      </c>
      <c r="L3038" s="7" t="n">
        <v>3</v>
      </c>
      <c r="M3038" s="7" t="n">
        <v>0</v>
      </c>
      <c r="N3038" s="7" t="s">
        <v>42</v>
      </c>
      <c r="O3038" s="7" t="s">
        <v>67</v>
      </c>
      <c r="P3038" s="7" t="n">
        <v>3.8</v>
      </c>
      <c r="Q3038" s="7" t="n">
        <v>21</v>
      </c>
      <c r="R3038" s="7" t="s">
        <v>44</v>
      </c>
      <c r="S3038" s="7"/>
      <c r="T3038" s="7"/>
      <c r="U3038" s="7" t="str">
        <f aca="false">IF(COUNTIF($A$2:$A$5001,A3038)&gt;1,"Duplicate","Unique")</f>
        <v>Unique</v>
      </c>
      <c r="V3038" s="7" t="str">
        <f aca="false">IF(COUNTIFS($B$2:$B$5001,B3038,$H$2:$H$5001,H3038,$J$2:$J$5001,J3038)&gt;1,"Possible Duplicate Booking","Unique")</f>
        <v>Unique</v>
      </c>
      <c r="W3038" s="7" t="str">
        <f aca="false">IF((H3038-G3038)&lt;&gt;K3038,"Mismatch","OK")</f>
        <v>OK</v>
      </c>
      <c r="X3038" s="7" t="str">
        <f aca="false">IF(TEXT(H3038,"dddd")&lt;&gt;I3038,"Mismatch","OK")</f>
        <v>OK</v>
      </c>
      <c r="Y3038" s="7" t="str">
        <f aca="false">IF(AND(N3038="No",O3038&lt;&gt;""),"Unexpected: channel present but no reminder sent",IF(AND(N3038="Yes",O3038=""),"Missing channel for sent reminder","OK"))</f>
        <v>OK</v>
      </c>
    </row>
    <row r="3039" customFormat="false" ht="15" hidden="false" customHeight="false" outlineLevel="0" collapsed="false">
      <c r="A3039" s="9" t="s">
        <v>4577</v>
      </c>
      <c r="B3039" s="9" t="s">
        <v>1268</v>
      </c>
      <c r="C3039" s="9" t="s">
        <v>37</v>
      </c>
      <c r="D3039" s="9" t="n">
        <v>31</v>
      </c>
      <c r="E3039" s="9" t="s">
        <v>48</v>
      </c>
      <c r="F3039" s="9" t="s">
        <v>49</v>
      </c>
      <c r="G3039" s="10" t="n">
        <v>45737</v>
      </c>
      <c r="H3039" s="10" t="n">
        <v>45742</v>
      </c>
      <c r="I3039" s="9" t="s">
        <v>58</v>
      </c>
      <c r="J3039" s="9" t="s">
        <v>51</v>
      </c>
      <c r="K3039" s="9" t="n">
        <v>5</v>
      </c>
      <c r="L3039" s="9" t="n">
        <v>4</v>
      </c>
      <c r="M3039" s="9" t="n">
        <v>0</v>
      </c>
      <c r="N3039" s="9" t="s">
        <v>42</v>
      </c>
      <c r="O3039" s="9" t="s">
        <v>67</v>
      </c>
      <c r="P3039" s="9" t="n">
        <v>6.7</v>
      </c>
      <c r="Q3039" s="9" t="n">
        <v>17</v>
      </c>
      <c r="R3039" s="9" t="s">
        <v>87</v>
      </c>
      <c r="S3039" s="9"/>
      <c r="T3039" s="9"/>
      <c r="U3039" s="9" t="str">
        <f aca="false">IF(COUNTIF($A$2:$A$5001,A3039)&gt;1,"Duplicate","Unique")</f>
        <v>Unique</v>
      </c>
      <c r="V3039" s="9" t="str">
        <f aca="false">IF(COUNTIFS($B$2:$B$5001,B3039,$H$2:$H$5001,H3039,$J$2:$J$5001,J3039)&gt;1,"Possible Duplicate Booking","Unique")</f>
        <v>Unique</v>
      </c>
      <c r="W3039" s="9" t="str">
        <f aca="false">IF((H3039-G3039)&lt;&gt;K3039,"Mismatch","OK")</f>
        <v>OK</v>
      </c>
      <c r="X3039" s="9" t="str">
        <f aca="false">IF(TEXT(H3039,"dddd")&lt;&gt;I3039,"Mismatch","OK")</f>
        <v>OK</v>
      </c>
      <c r="Y3039" s="9" t="str">
        <f aca="false">IF(AND(N3039="No",O3039&lt;&gt;""),"Unexpected: channel present but no reminder sent",IF(AND(N3039="Yes",O3039=""),"Missing channel for sent reminder","OK"))</f>
        <v>OK</v>
      </c>
    </row>
    <row r="3040" customFormat="false" ht="15" hidden="false" customHeight="false" outlineLevel="0" collapsed="false">
      <c r="A3040" s="7" t="s">
        <v>4578</v>
      </c>
      <c r="B3040" s="7" t="s">
        <v>2003</v>
      </c>
      <c r="C3040" s="7" t="s">
        <v>47</v>
      </c>
      <c r="D3040" s="7" t="n">
        <v>39</v>
      </c>
      <c r="E3040" s="7" t="s">
        <v>38</v>
      </c>
      <c r="F3040" s="7" t="s">
        <v>39</v>
      </c>
      <c r="G3040" s="8" t="n">
        <v>45793</v>
      </c>
      <c r="H3040" s="8" t="n">
        <v>45812</v>
      </c>
      <c r="I3040" s="7" t="s">
        <v>58</v>
      </c>
      <c r="J3040" s="7" t="s">
        <v>41</v>
      </c>
      <c r="K3040" s="7" t="n">
        <v>19</v>
      </c>
      <c r="L3040" s="7" t="n">
        <v>1</v>
      </c>
      <c r="M3040" s="7" t="n">
        <v>0</v>
      </c>
      <c r="N3040" s="7" t="s">
        <v>42</v>
      </c>
      <c r="O3040" s="7" t="s">
        <v>67</v>
      </c>
      <c r="P3040" s="7" t="n">
        <v>15.2</v>
      </c>
      <c r="Q3040" s="7" t="n">
        <v>8</v>
      </c>
      <c r="R3040" s="7" t="s">
        <v>87</v>
      </c>
      <c r="S3040" s="7"/>
      <c r="T3040" s="7"/>
      <c r="U3040" s="7" t="str">
        <f aca="false">IF(COUNTIF($A$2:$A$5001,A3040)&gt;1,"Duplicate","Unique")</f>
        <v>Unique</v>
      </c>
      <c r="V3040" s="7" t="str">
        <f aca="false">IF(COUNTIFS($B$2:$B$5001,B3040,$H$2:$H$5001,H3040,$J$2:$J$5001,J3040)&gt;1,"Possible Duplicate Booking","Unique")</f>
        <v>Unique</v>
      </c>
      <c r="W3040" s="7" t="str">
        <f aca="false">IF((H3040-G3040)&lt;&gt;K3040,"Mismatch","OK")</f>
        <v>OK</v>
      </c>
      <c r="X3040" s="7" t="str">
        <f aca="false">IF(TEXT(H3040,"dddd")&lt;&gt;I3040,"Mismatch","OK")</f>
        <v>OK</v>
      </c>
      <c r="Y3040" s="7" t="str">
        <f aca="false">IF(AND(N3040="No",O3040&lt;&gt;""),"Unexpected: channel present but no reminder sent",IF(AND(N3040="Yes",O3040=""),"Missing channel for sent reminder","OK"))</f>
        <v>OK</v>
      </c>
    </row>
    <row r="3041" customFormat="false" ht="15" hidden="false" customHeight="false" outlineLevel="0" collapsed="false">
      <c r="A3041" s="9" t="s">
        <v>4579</v>
      </c>
      <c r="B3041" s="9" t="s">
        <v>4580</v>
      </c>
      <c r="C3041" s="9" t="s">
        <v>37</v>
      </c>
      <c r="D3041" s="9" t="n">
        <v>37</v>
      </c>
      <c r="E3041" s="9" t="s">
        <v>38</v>
      </c>
      <c r="F3041" s="9" t="s">
        <v>74</v>
      </c>
      <c r="G3041" s="10" t="n">
        <v>45722</v>
      </c>
      <c r="H3041" s="10" t="n">
        <v>45765</v>
      </c>
      <c r="I3041" s="9" t="s">
        <v>50</v>
      </c>
      <c r="J3041" s="9" t="s">
        <v>63</v>
      </c>
      <c r="K3041" s="9" t="n">
        <v>43</v>
      </c>
      <c r="L3041" s="9" t="n">
        <v>2</v>
      </c>
      <c r="M3041" s="9" t="n">
        <v>0</v>
      </c>
      <c r="N3041" s="9" t="s">
        <v>42</v>
      </c>
      <c r="O3041" s="9" t="s">
        <v>67</v>
      </c>
      <c r="P3041" s="9" t="n">
        <v>10.2</v>
      </c>
      <c r="Q3041" s="9" t="n">
        <v>9</v>
      </c>
      <c r="R3041" s="9" t="s">
        <v>53</v>
      </c>
      <c r="S3041" s="9"/>
      <c r="T3041" s="9"/>
      <c r="U3041" s="9" t="str">
        <f aca="false">IF(COUNTIF($A$2:$A$5001,A3041)&gt;1,"Duplicate","Unique")</f>
        <v>Unique</v>
      </c>
      <c r="V3041" s="9" t="str">
        <f aca="false">IF(COUNTIFS($B$2:$B$5001,B3041,$H$2:$H$5001,H3041,$J$2:$J$5001,J3041)&gt;1,"Possible Duplicate Booking","Unique")</f>
        <v>Unique</v>
      </c>
      <c r="W3041" s="9" t="str">
        <f aca="false">IF((H3041-G3041)&lt;&gt;K3041,"Mismatch","OK")</f>
        <v>OK</v>
      </c>
      <c r="X3041" s="9" t="str">
        <f aca="false">IF(TEXT(H3041,"dddd")&lt;&gt;I3041,"Mismatch","OK")</f>
        <v>OK</v>
      </c>
      <c r="Y3041" s="9" t="str">
        <f aca="false">IF(AND(N3041="No",O3041&lt;&gt;""),"Unexpected: channel present but no reminder sent",IF(AND(N3041="Yes",O3041=""),"Missing channel for sent reminder","OK"))</f>
        <v>OK</v>
      </c>
    </row>
    <row r="3042" customFormat="false" ht="15" hidden="false" customHeight="false" outlineLevel="0" collapsed="false">
      <c r="A3042" s="7" t="s">
        <v>4581</v>
      </c>
      <c r="B3042" s="7" t="s">
        <v>217</v>
      </c>
      <c r="C3042" s="7" t="s">
        <v>37</v>
      </c>
      <c r="D3042" s="7" t="n">
        <v>22</v>
      </c>
      <c r="E3042" s="7" t="s">
        <v>82</v>
      </c>
      <c r="F3042" s="7" t="s">
        <v>74</v>
      </c>
      <c r="G3042" s="8" t="n">
        <v>45819</v>
      </c>
      <c r="H3042" s="8" t="n">
        <v>45873</v>
      </c>
      <c r="I3042" s="7" t="s">
        <v>66</v>
      </c>
      <c r="J3042" s="7" t="s">
        <v>51</v>
      </c>
      <c r="K3042" s="7" t="n">
        <v>54</v>
      </c>
      <c r="L3042" s="7" t="n">
        <v>1</v>
      </c>
      <c r="M3042" s="7" t="n">
        <v>0</v>
      </c>
      <c r="N3042" s="7" t="s">
        <v>42</v>
      </c>
      <c r="O3042" s="7" t="s">
        <v>43</v>
      </c>
      <c r="P3042" s="7" t="n">
        <v>12.5</v>
      </c>
      <c r="Q3042" s="7" t="n">
        <v>32</v>
      </c>
      <c r="R3042" s="7" t="s">
        <v>44</v>
      </c>
      <c r="S3042" s="7"/>
      <c r="T3042" s="7"/>
      <c r="U3042" s="7" t="str">
        <f aca="false">IF(COUNTIF($A$2:$A$5001,A3042)&gt;1,"Duplicate","Unique")</f>
        <v>Unique</v>
      </c>
      <c r="V3042" s="7" t="str">
        <f aca="false">IF(COUNTIFS($B$2:$B$5001,B3042,$H$2:$H$5001,H3042,$J$2:$J$5001,J3042)&gt;1,"Possible Duplicate Booking","Unique")</f>
        <v>Unique</v>
      </c>
      <c r="W3042" s="7" t="str">
        <f aca="false">IF((H3042-G3042)&lt;&gt;K3042,"Mismatch","OK")</f>
        <v>OK</v>
      </c>
      <c r="X3042" s="7" t="str">
        <f aca="false">IF(TEXT(H3042,"dddd")&lt;&gt;I3042,"Mismatch","OK")</f>
        <v>OK</v>
      </c>
      <c r="Y3042" s="7" t="str">
        <f aca="false">IF(AND(N3042="No",O3042&lt;&gt;""),"Unexpected: channel present but no reminder sent",IF(AND(N3042="Yes",O3042=""),"Missing channel for sent reminder","OK"))</f>
        <v>OK</v>
      </c>
    </row>
    <row r="3043" customFormat="false" ht="15" hidden="false" customHeight="false" outlineLevel="0" collapsed="false">
      <c r="A3043" s="9" t="s">
        <v>4582</v>
      </c>
      <c r="B3043" s="9" t="s">
        <v>3773</v>
      </c>
      <c r="C3043" s="9" t="s">
        <v>37</v>
      </c>
      <c r="D3043" s="9" t="n">
        <v>79</v>
      </c>
      <c r="E3043" s="9" t="s">
        <v>70</v>
      </c>
      <c r="F3043" s="9" t="s">
        <v>39</v>
      </c>
      <c r="G3043" s="10" t="n">
        <v>45804</v>
      </c>
      <c r="H3043" s="10" t="n">
        <v>45817</v>
      </c>
      <c r="I3043" s="9" t="s">
        <v>66</v>
      </c>
      <c r="J3043" s="9" t="s">
        <v>41</v>
      </c>
      <c r="K3043" s="9" t="n">
        <v>13</v>
      </c>
      <c r="L3043" s="9" t="n">
        <v>2</v>
      </c>
      <c r="M3043" s="9" t="n">
        <v>0</v>
      </c>
      <c r="N3043" s="9" t="s">
        <v>71</v>
      </c>
      <c r="O3043" s="9"/>
      <c r="P3043" s="9" t="n">
        <v>11.9</v>
      </c>
      <c r="Q3043" s="9" t="n">
        <v>32</v>
      </c>
      <c r="R3043" s="9" t="s">
        <v>53</v>
      </c>
      <c r="S3043" s="9"/>
      <c r="T3043" s="9"/>
      <c r="U3043" s="9" t="str">
        <f aca="false">IF(COUNTIF($A$2:$A$5001,A3043)&gt;1,"Duplicate","Unique")</f>
        <v>Unique</v>
      </c>
      <c r="V3043" s="9" t="str">
        <f aca="false">IF(COUNTIFS($B$2:$B$5001,B3043,$H$2:$H$5001,H3043,$J$2:$J$5001,J3043)&gt;1,"Possible Duplicate Booking","Unique")</f>
        <v>Unique</v>
      </c>
      <c r="W3043" s="9" t="str">
        <f aca="false">IF((H3043-G3043)&lt;&gt;K3043,"Mismatch","OK")</f>
        <v>OK</v>
      </c>
      <c r="X3043" s="9" t="str">
        <f aca="false">IF(TEXT(H3043,"dddd")&lt;&gt;I3043,"Mismatch","OK")</f>
        <v>OK</v>
      </c>
      <c r="Y3043" s="9" t="str">
        <f aca="false">IF(AND(N3043="No",O3043&lt;&gt;""),"Unexpected: channel present but no reminder sent",IF(AND(N3043="Yes",O3043=""),"Missing channel for sent reminder","OK"))</f>
        <v>OK</v>
      </c>
    </row>
    <row r="3044" customFormat="false" ht="15" hidden="false" customHeight="false" outlineLevel="0" collapsed="false">
      <c r="A3044" s="7" t="s">
        <v>4583</v>
      </c>
      <c r="B3044" s="7" t="s">
        <v>1799</v>
      </c>
      <c r="C3044" s="7" t="s">
        <v>47</v>
      </c>
      <c r="D3044" s="7" t="n">
        <v>33</v>
      </c>
      <c r="E3044" s="7" t="s">
        <v>48</v>
      </c>
      <c r="F3044" s="7" t="s">
        <v>57</v>
      </c>
      <c r="G3044" s="8" t="n">
        <v>45778</v>
      </c>
      <c r="H3044" s="8" t="n">
        <v>45837</v>
      </c>
      <c r="I3044" s="7" t="s">
        <v>75</v>
      </c>
      <c r="J3044" s="7" t="s">
        <v>51</v>
      </c>
      <c r="K3044" s="7" t="n">
        <v>59</v>
      </c>
      <c r="L3044" s="7" t="n">
        <v>1</v>
      </c>
      <c r="M3044" s="7" t="n">
        <v>0</v>
      </c>
      <c r="N3044" s="7" t="s">
        <v>42</v>
      </c>
      <c r="O3044" s="7" t="s">
        <v>43</v>
      </c>
      <c r="P3044" s="7" t="n">
        <v>32.3</v>
      </c>
      <c r="Q3044" s="7" t="n">
        <v>28</v>
      </c>
      <c r="R3044" s="7" t="s">
        <v>53</v>
      </c>
      <c r="S3044" s="7"/>
      <c r="T3044" s="7"/>
      <c r="U3044" s="7" t="str">
        <f aca="false">IF(COUNTIF($A$2:$A$5001,A3044)&gt;1,"Duplicate","Unique")</f>
        <v>Unique</v>
      </c>
      <c r="V3044" s="7" t="str">
        <f aca="false">IF(COUNTIFS($B$2:$B$5001,B3044,$H$2:$H$5001,H3044,$J$2:$J$5001,J3044)&gt;1,"Possible Duplicate Booking","Unique")</f>
        <v>Unique</v>
      </c>
      <c r="W3044" s="7" t="str">
        <f aca="false">IF((H3044-G3044)&lt;&gt;K3044,"Mismatch","OK")</f>
        <v>OK</v>
      </c>
      <c r="X3044" s="7" t="str">
        <f aca="false">IF(TEXT(H3044,"dddd")&lt;&gt;I3044,"Mismatch","OK")</f>
        <v>OK</v>
      </c>
      <c r="Y3044" s="7" t="str">
        <f aca="false">IF(AND(N3044="No",O3044&lt;&gt;""),"Unexpected: channel present but no reminder sent",IF(AND(N3044="Yes",O3044=""),"Missing channel for sent reminder","OK"))</f>
        <v>OK</v>
      </c>
    </row>
    <row r="3045" customFormat="false" ht="15" hidden="false" customHeight="false" outlineLevel="0" collapsed="false">
      <c r="A3045" s="9" t="s">
        <v>4584</v>
      </c>
      <c r="B3045" s="9" t="s">
        <v>1129</v>
      </c>
      <c r="C3045" s="9" t="s">
        <v>47</v>
      </c>
      <c r="D3045" s="9" t="n">
        <v>46</v>
      </c>
      <c r="E3045" s="9" t="s">
        <v>56</v>
      </c>
      <c r="F3045" s="9" t="s">
        <v>49</v>
      </c>
      <c r="G3045" s="10" t="n">
        <v>45936</v>
      </c>
      <c r="H3045" s="10" t="n">
        <v>45947</v>
      </c>
      <c r="I3045" s="9" t="s">
        <v>50</v>
      </c>
      <c r="J3045" s="9" t="s">
        <v>41</v>
      </c>
      <c r="K3045" s="9" t="n">
        <v>11</v>
      </c>
      <c r="L3045" s="9" t="n">
        <v>4</v>
      </c>
      <c r="M3045" s="9" t="n">
        <v>0</v>
      </c>
      <c r="N3045" s="9" t="s">
        <v>71</v>
      </c>
      <c r="O3045" s="9"/>
      <c r="P3045" s="9" t="n">
        <v>14.2</v>
      </c>
      <c r="Q3045" s="9" t="n">
        <v>21</v>
      </c>
      <c r="R3045" s="9" t="s">
        <v>44</v>
      </c>
      <c r="S3045" s="9"/>
      <c r="T3045" s="9"/>
      <c r="U3045" s="9" t="str">
        <f aca="false">IF(COUNTIF($A$2:$A$5001,A3045)&gt;1,"Duplicate","Unique")</f>
        <v>Unique</v>
      </c>
      <c r="V3045" s="9" t="str">
        <f aca="false">IF(COUNTIFS($B$2:$B$5001,B3045,$H$2:$H$5001,H3045,$J$2:$J$5001,J3045)&gt;1,"Possible Duplicate Booking","Unique")</f>
        <v>Unique</v>
      </c>
      <c r="W3045" s="9" t="str">
        <f aca="false">IF((H3045-G3045)&lt;&gt;K3045,"Mismatch","OK")</f>
        <v>OK</v>
      </c>
      <c r="X3045" s="9" t="str">
        <f aca="false">IF(TEXT(H3045,"dddd")&lt;&gt;I3045,"Mismatch","OK")</f>
        <v>OK</v>
      </c>
      <c r="Y3045" s="9" t="str">
        <f aca="false">IF(AND(N3045="No",O3045&lt;&gt;""),"Unexpected: channel present but no reminder sent",IF(AND(N3045="Yes",O3045=""),"Missing channel for sent reminder","OK"))</f>
        <v>OK</v>
      </c>
    </row>
    <row r="3046" customFormat="false" ht="15" hidden="false" customHeight="false" outlineLevel="0" collapsed="false">
      <c r="A3046" s="7" t="s">
        <v>4585</v>
      </c>
      <c r="B3046" s="7" t="s">
        <v>597</v>
      </c>
      <c r="C3046" s="7" t="s">
        <v>37</v>
      </c>
      <c r="D3046" s="7" t="n">
        <v>40</v>
      </c>
      <c r="E3046" s="7" t="s">
        <v>38</v>
      </c>
      <c r="F3046" s="7" t="s">
        <v>57</v>
      </c>
      <c r="G3046" s="8" t="n">
        <v>45736</v>
      </c>
      <c r="H3046" s="8" t="n">
        <v>45761</v>
      </c>
      <c r="I3046" s="7" t="s">
        <v>66</v>
      </c>
      <c r="J3046" s="7" t="s">
        <v>41</v>
      </c>
      <c r="K3046" s="7" t="n">
        <v>25</v>
      </c>
      <c r="L3046" s="7" t="n">
        <v>2</v>
      </c>
      <c r="M3046" s="7" t="n">
        <v>0</v>
      </c>
      <c r="N3046" s="7" t="s">
        <v>42</v>
      </c>
      <c r="O3046" s="7" t="s">
        <v>43</v>
      </c>
      <c r="P3046" s="7" t="n">
        <v>4.5</v>
      </c>
      <c r="Q3046" s="7" t="n">
        <v>18</v>
      </c>
      <c r="R3046" s="7" t="s">
        <v>87</v>
      </c>
      <c r="S3046" s="7"/>
      <c r="T3046" s="7"/>
      <c r="U3046" s="7" t="str">
        <f aca="false">IF(COUNTIF($A$2:$A$5001,A3046)&gt;1,"Duplicate","Unique")</f>
        <v>Unique</v>
      </c>
      <c r="V3046" s="7" t="str">
        <f aca="false">IF(COUNTIFS($B$2:$B$5001,B3046,$H$2:$H$5001,H3046,$J$2:$J$5001,J3046)&gt;1,"Possible Duplicate Booking","Unique")</f>
        <v>Unique</v>
      </c>
      <c r="W3046" s="7" t="str">
        <f aca="false">IF((H3046-G3046)&lt;&gt;K3046,"Mismatch","OK")</f>
        <v>OK</v>
      </c>
      <c r="X3046" s="7" t="str">
        <f aca="false">IF(TEXT(H3046,"dddd")&lt;&gt;I3046,"Mismatch","OK")</f>
        <v>OK</v>
      </c>
      <c r="Y3046" s="7" t="str">
        <f aca="false">IF(AND(N3046="No",O3046&lt;&gt;""),"Unexpected: channel present but no reminder sent",IF(AND(N3046="Yes",O3046=""),"Missing channel for sent reminder","OK"))</f>
        <v>OK</v>
      </c>
    </row>
    <row r="3047" customFormat="false" ht="15" hidden="false" customHeight="false" outlineLevel="0" collapsed="false">
      <c r="A3047" s="9" t="s">
        <v>4586</v>
      </c>
      <c r="B3047" s="9" t="s">
        <v>3896</v>
      </c>
      <c r="C3047" s="9" t="s">
        <v>37</v>
      </c>
      <c r="D3047" s="9" t="n">
        <v>20</v>
      </c>
      <c r="E3047" s="9" t="s">
        <v>82</v>
      </c>
      <c r="F3047" s="9" t="s">
        <v>49</v>
      </c>
      <c r="G3047" s="10" t="n">
        <v>46121</v>
      </c>
      <c r="H3047" s="10" t="n">
        <v>46140</v>
      </c>
      <c r="I3047" s="9" t="s">
        <v>40</v>
      </c>
      <c r="J3047" s="9" t="s">
        <v>51</v>
      </c>
      <c r="K3047" s="9" t="n">
        <v>19</v>
      </c>
      <c r="L3047" s="9" t="n">
        <v>1</v>
      </c>
      <c r="M3047" s="9" t="n">
        <v>0</v>
      </c>
      <c r="N3047" s="9" t="s">
        <v>42</v>
      </c>
      <c r="O3047" s="9" t="s">
        <v>43</v>
      </c>
      <c r="P3047" s="9" t="n">
        <v>7.8</v>
      </c>
      <c r="Q3047" s="9" t="n">
        <v>9</v>
      </c>
      <c r="R3047" s="9" t="s">
        <v>53</v>
      </c>
      <c r="S3047" s="9"/>
      <c r="T3047" s="9"/>
      <c r="U3047" s="9" t="str">
        <f aca="false">IF(COUNTIF($A$2:$A$5001,A3047)&gt;1,"Duplicate","Unique")</f>
        <v>Unique</v>
      </c>
      <c r="V3047" s="9" t="str">
        <f aca="false">IF(COUNTIFS($B$2:$B$5001,B3047,$H$2:$H$5001,H3047,$J$2:$J$5001,J3047)&gt;1,"Possible Duplicate Booking","Unique")</f>
        <v>Unique</v>
      </c>
      <c r="W3047" s="9" t="str">
        <f aca="false">IF((H3047-G3047)&lt;&gt;K3047,"Mismatch","OK")</f>
        <v>OK</v>
      </c>
      <c r="X3047" s="9" t="str">
        <f aca="false">IF(TEXT(H3047,"dddd")&lt;&gt;I3047,"Mismatch","OK")</f>
        <v>OK</v>
      </c>
      <c r="Y3047" s="9" t="str">
        <f aca="false">IF(AND(N3047="No",O3047&lt;&gt;""),"Unexpected: channel present but no reminder sent",IF(AND(N3047="Yes",O3047=""),"Missing channel for sent reminder","OK"))</f>
        <v>OK</v>
      </c>
    </row>
    <row r="3048" customFormat="false" ht="15" hidden="false" customHeight="false" outlineLevel="0" collapsed="false">
      <c r="A3048" s="7" t="s">
        <v>4587</v>
      </c>
      <c r="B3048" s="7" t="s">
        <v>880</v>
      </c>
      <c r="C3048" s="7" t="s">
        <v>47</v>
      </c>
      <c r="D3048" s="7" t="n">
        <v>74</v>
      </c>
      <c r="E3048" s="7" t="s">
        <v>70</v>
      </c>
      <c r="F3048" s="7" t="s">
        <v>39</v>
      </c>
      <c r="G3048" s="8" t="n">
        <v>46030</v>
      </c>
      <c r="H3048" s="8" t="n">
        <v>46055</v>
      </c>
      <c r="I3048" s="7" t="s">
        <v>66</v>
      </c>
      <c r="J3048" s="7" t="s">
        <v>41</v>
      </c>
      <c r="K3048" s="7" t="n">
        <v>25</v>
      </c>
      <c r="L3048" s="7" t="n">
        <v>3</v>
      </c>
      <c r="M3048" s="7" t="n">
        <v>0</v>
      </c>
      <c r="N3048" s="7" t="s">
        <v>42</v>
      </c>
      <c r="O3048" s="7" t="s">
        <v>67</v>
      </c>
      <c r="P3048" s="7" t="n">
        <v>16.1</v>
      </c>
      <c r="Q3048" s="7" t="n">
        <v>17</v>
      </c>
      <c r="R3048" s="7" t="s">
        <v>44</v>
      </c>
      <c r="S3048" s="7"/>
      <c r="T3048" s="7"/>
      <c r="U3048" s="7" t="str">
        <f aca="false">IF(COUNTIF($A$2:$A$5001,A3048)&gt;1,"Duplicate","Unique")</f>
        <v>Unique</v>
      </c>
      <c r="V3048" s="7" t="str">
        <f aca="false">IF(COUNTIFS($B$2:$B$5001,B3048,$H$2:$H$5001,H3048,$J$2:$J$5001,J3048)&gt;1,"Possible Duplicate Booking","Unique")</f>
        <v>Unique</v>
      </c>
      <c r="W3048" s="7" t="str">
        <f aca="false">IF((H3048-G3048)&lt;&gt;K3048,"Mismatch","OK")</f>
        <v>OK</v>
      </c>
      <c r="X3048" s="7" t="str">
        <f aca="false">IF(TEXT(H3048,"dddd")&lt;&gt;I3048,"Mismatch","OK")</f>
        <v>OK</v>
      </c>
      <c r="Y3048" s="7" t="str">
        <f aca="false">IF(AND(N3048="No",O3048&lt;&gt;""),"Unexpected: channel present but no reminder sent",IF(AND(N3048="Yes",O3048=""),"Missing channel for sent reminder","OK"))</f>
        <v>OK</v>
      </c>
    </row>
    <row r="3049" customFormat="false" ht="15" hidden="false" customHeight="false" outlineLevel="0" collapsed="false">
      <c r="A3049" s="9" t="s">
        <v>4588</v>
      </c>
      <c r="B3049" s="9" t="s">
        <v>302</v>
      </c>
      <c r="C3049" s="9" t="s">
        <v>37</v>
      </c>
      <c r="D3049" s="9" t="n">
        <v>31</v>
      </c>
      <c r="E3049" s="9" t="s">
        <v>48</v>
      </c>
      <c r="F3049" s="9" t="s">
        <v>57</v>
      </c>
      <c r="G3049" s="10" t="n">
        <v>46018</v>
      </c>
      <c r="H3049" s="10" t="n">
        <v>46073</v>
      </c>
      <c r="I3049" s="9" t="s">
        <v>50</v>
      </c>
      <c r="J3049" s="9" t="s">
        <v>51</v>
      </c>
      <c r="K3049" s="9" t="n">
        <v>55</v>
      </c>
      <c r="L3049" s="9" t="n">
        <v>4</v>
      </c>
      <c r="M3049" s="9" t="n">
        <v>3</v>
      </c>
      <c r="N3049" s="9" t="s">
        <v>42</v>
      </c>
      <c r="O3049" s="9" t="s">
        <v>52</v>
      </c>
      <c r="P3049" s="9" t="n">
        <v>1.6</v>
      </c>
      <c r="Q3049" s="9" t="n">
        <v>16</v>
      </c>
      <c r="R3049" s="9" t="s">
        <v>44</v>
      </c>
      <c r="S3049" s="9"/>
      <c r="T3049" s="9"/>
      <c r="U3049" s="9" t="str">
        <f aca="false">IF(COUNTIF($A$2:$A$5001,A3049)&gt;1,"Duplicate","Unique")</f>
        <v>Unique</v>
      </c>
      <c r="V3049" s="9" t="str">
        <f aca="false">IF(COUNTIFS($B$2:$B$5001,B3049,$H$2:$H$5001,H3049,$J$2:$J$5001,J3049)&gt;1,"Possible Duplicate Booking","Unique")</f>
        <v>Unique</v>
      </c>
      <c r="W3049" s="9" t="str">
        <f aca="false">IF((H3049-G3049)&lt;&gt;K3049,"Mismatch","OK")</f>
        <v>OK</v>
      </c>
      <c r="X3049" s="9" t="str">
        <f aca="false">IF(TEXT(H3049,"dddd")&lt;&gt;I3049,"Mismatch","OK")</f>
        <v>OK</v>
      </c>
      <c r="Y3049" s="9" t="str">
        <f aca="false">IF(AND(N3049="No",O3049&lt;&gt;""),"Unexpected: channel present but no reminder sent",IF(AND(N3049="Yes",O3049=""),"Missing channel for sent reminder","OK"))</f>
        <v>OK</v>
      </c>
    </row>
    <row r="3050" customFormat="false" ht="15" hidden="false" customHeight="false" outlineLevel="0" collapsed="false">
      <c r="A3050" s="7" t="s">
        <v>4589</v>
      </c>
      <c r="B3050" s="7" t="s">
        <v>2275</v>
      </c>
      <c r="C3050" s="7" t="s">
        <v>47</v>
      </c>
      <c r="D3050" s="7" t="n">
        <v>24</v>
      </c>
      <c r="E3050" s="7" t="s">
        <v>82</v>
      </c>
      <c r="F3050" s="7" t="s">
        <v>39</v>
      </c>
      <c r="G3050" s="8" t="n">
        <v>45706</v>
      </c>
      <c r="H3050" s="8" t="n">
        <v>45750</v>
      </c>
      <c r="I3050" s="7" t="s">
        <v>62</v>
      </c>
      <c r="J3050" s="7" t="s">
        <v>41</v>
      </c>
      <c r="K3050" s="7" t="n">
        <v>44</v>
      </c>
      <c r="L3050" s="7" t="n">
        <v>2</v>
      </c>
      <c r="M3050" s="7" t="n">
        <v>0</v>
      </c>
      <c r="N3050" s="7" t="s">
        <v>42</v>
      </c>
      <c r="O3050" s="7" t="s">
        <v>52</v>
      </c>
      <c r="P3050" s="7" t="n">
        <v>8.5</v>
      </c>
      <c r="Q3050" s="7"/>
      <c r="R3050" s="7" t="s">
        <v>44</v>
      </c>
      <c r="S3050" s="7"/>
      <c r="T3050" s="7"/>
      <c r="U3050" s="7" t="str">
        <f aca="false">IF(COUNTIF($A$2:$A$5001,A3050)&gt;1,"Duplicate","Unique")</f>
        <v>Unique</v>
      </c>
      <c r="V3050" s="7" t="str">
        <f aca="false">IF(COUNTIFS($B$2:$B$5001,B3050,$H$2:$H$5001,H3050,$J$2:$J$5001,J3050)&gt;1,"Possible Duplicate Booking","Unique")</f>
        <v>Unique</v>
      </c>
      <c r="W3050" s="7" t="str">
        <f aca="false">IF((H3050-G3050)&lt;&gt;K3050,"Mismatch","OK")</f>
        <v>OK</v>
      </c>
      <c r="X3050" s="7" t="str">
        <f aca="false">IF(TEXT(H3050,"dddd")&lt;&gt;I3050,"Mismatch","OK")</f>
        <v>OK</v>
      </c>
      <c r="Y3050" s="7" t="str">
        <f aca="false">IF(AND(N3050="No",O3050&lt;&gt;""),"Unexpected: channel present but no reminder sent",IF(AND(N3050="Yes",O3050=""),"Missing channel for sent reminder","OK"))</f>
        <v>OK</v>
      </c>
    </row>
    <row r="3051" customFormat="false" ht="15" hidden="false" customHeight="false" outlineLevel="0" collapsed="false">
      <c r="A3051" s="9" t="s">
        <v>4590</v>
      </c>
      <c r="B3051" s="9" t="s">
        <v>2495</v>
      </c>
      <c r="C3051" s="9" t="s">
        <v>236</v>
      </c>
      <c r="D3051" s="9" t="n">
        <v>39</v>
      </c>
      <c r="E3051" s="9" t="s">
        <v>38</v>
      </c>
      <c r="F3051" s="9" t="s">
        <v>39</v>
      </c>
      <c r="G3051" s="10" t="n">
        <v>45996</v>
      </c>
      <c r="H3051" s="10" t="n">
        <v>46044</v>
      </c>
      <c r="I3051" s="9" t="s">
        <v>62</v>
      </c>
      <c r="J3051" s="9" t="s">
        <v>41</v>
      </c>
      <c r="K3051" s="9" t="n">
        <v>48</v>
      </c>
      <c r="L3051" s="9" t="n">
        <v>4</v>
      </c>
      <c r="M3051" s="9" t="n">
        <v>1</v>
      </c>
      <c r="N3051" s="9" t="s">
        <v>42</v>
      </c>
      <c r="O3051" s="9" t="s">
        <v>43</v>
      </c>
      <c r="P3051" s="9" t="n">
        <v>6.4</v>
      </c>
      <c r="Q3051" s="9" t="n">
        <v>26</v>
      </c>
      <c r="R3051" s="9" t="s">
        <v>44</v>
      </c>
      <c r="S3051" s="9"/>
      <c r="T3051" s="9"/>
      <c r="U3051" s="9" t="str">
        <f aca="false">IF(COUNTIF($A$2:$A$5001,A3051)&gt;1,"Duplicate","Unique")</f>
        <v>Unique</v>
      </c>
      <c r="V3051" s="9" t="str">
        <f aca="false">IF(COUNTIFS($B$2:$B$5001,B3051,$H$2:$H$5001,H3051,$J$2:$J$5001,J3051)&gt;1,"Possible Duplicate Booking","Unique")</f>
        <v>Unique</v>
      </c>
      <c r="W3051" s="9" t="str">
        <f aca="false">IF((H3051-G3051)&lt;&gt;K3051,"Mismatch","OK")</f>
        <v>OK</v>
      </c>
      <c r="X3051" s="9" t="str">
        <f aca="false">IF(TEXT(H3051,"dddd")&lt;&gt;I3051,"Mismatch","OK")</f>
        <v>OK</v>
      </c>
      <c r="Y3051" s="9" t="str">
        <f aca="false">IF(AND(N3051="No",O3051&lt;&gt;""),"Unexpected: channel present but no reminder sent",IF(AND(N3051="Yes",O3051=""),"Missing channel for sent reminder","OK"))</f>
        <v>OK</v>
      </c>
    </row>
    <row r="3052" customFormat="false" ht="15" hidden="false" customHeight="false" outlineLevel="0" collapsed="false">
      <c r="A3052" s="7" t="s">
        <v>4591</v>
      </c>
      <c r="B3052" s="7" t="s">
        <v>2527</v>
      </c>
      <c r="C3052" s="7" t="s">
        <v>37</v>
      </c>
      <c r="D3052" s="7" t="n">
        <v>27</v>
      </c>
      <c r="E3052" s="7" t="s">
        <v>48</v>
      </c>
      <c r="F3052" s="7" t="s">
        <v>74</v>
      </c>
      <c r="G3052" s="8" t="n">
        <v>46099</v>
      </c>
      <c r="H3052" s="8" t="n">
        <v>46114</v>
      </c>
      <c r="I3052" s="7" t="s">
        <v>62</v>
      </c>
      <c r="J3052" s="7" t="s">
        <v>41</v>
      </c>
      <c r="K3052" s="7" t="n">
        <v>15</v>
      </c>
      <c r="L3052" s="7" t="n">
        <v>0</v>
      </c>
      <c r="M3052" s="7" t="n">
        <v>0</v>
      </c>
      <c r="N3052" s="7" t="s">
        <v>42</v>
      </c>
      <c r="O3052" s="7" t="s">
        <v>52</v>
      </c>
      <c r="P3052" s="7" t="n">
        <v>4</v>
      </c>
      <c r="Q3052" s="7" t="n">
        <v>16</v>
      </c>
      <c r="R3052" s="7" t="s">
        <v>53</v>
      </c>
      <c r="S3052" s="7"/>
      <c r="T3052" s="7"/>
      <c r="U3052" s="7" t="str">
        <f aca="false">IF(COUNTIF($A$2:$A$5001,A3052)&gt;1,"Duplicate","Unique")</f>
        <v>Unique</v>
      </c>
      <c r="V3052" s="7" t="str">
        <f aca="false">IF(COUNTIFS($B$2:$B$5001,B3052,$H$2:$H$5001,H3052,$J$2:$J$5001,J3052)&gt;1,"Possible Duplicate Booking","Unique")</f>
        <v>Unique</v>
      </c>
      <c r="W3052" s="7" t="str">
        <f aca="false">IF((H3052-G3052)&lt;&gt;K3052,"Mismatch","OK")</f>
        <v>OK</v>
      </c>
      <c r="X3052" s="7" t="str">
        <f aca="false">IF(TEXT(H3052,"dddd")&lt;&gt;I3052,"Mismatch","OK")</f>
        <v>OK</v>
      </c>
      <c r="Y3052" s="7" t="str">
        <f aca="false">IF(AND(N3052="No",O3052&lt;&gt;""),"Unexpected: channel present but no reminder sent",IF(AND(N3052="Yes",O3052=""),"Missing channel for sent reminder","OK"))</f>
        <v>OK</v>
      </c>
    </row>
    <row r="3053" customFormat="false" ht="15" hidden="false" customHeight="false" outlineLevel="0" collapsed="false">
      <c r="A3053" s="9" t="s">
        <v>4592</v>
      </c>
      <c r="B3053" s="9" t="s">
        <v>1888</v>
      </c>
      <c r="C3053" s="9" t="s">
        <v>47</v>
      </c>
      <c r="D3053" s="9" t="n">
        <v>80</v>
      </c>
      <c r="E3053" s="9" t="s">
        <v>70</v>
      </c>
      <c r="F3053" s="9" t="s">
        <v>57</v>
      </c>
      <c r="G3053" s="10" t="n">
        <v>45696</v>
      </c>
      <c r="H3053" s="10" t="n">
        <v>45753</v>
      </c>
      <c r="I3053" s="9" t="s">
        <v>75</v>
      </c>
      <c r="J3053" s="9" t="s">
        <v>51</v>
      </c>
      <c r="K3053" s="9" t="n">
        <v>57</v>
      </c>
      <c r="L3053" s="9" t="n">
        <v>4</v>
      </c>
      <c r="M3053" s="9" t="n">
        <v>1</v>
      </c>
      <c r="N3053" s="9" t="s">
        <v>71</v>
      </c>
      <c r="O3053" s="9"/>
      <c r="P3053" s="9"/>
      <c r="Q3053" s="9" t="n">
        <v>24</v>
      </c>
      <c r="R3053" s="9" t="s">
        <v>44</v>
      </c>
      <c r="S3053" s="9"/>
      <c r="T3053" s="9"/>
      <c r="U3053" s="9" t="str">
        <f aca="false">IF(COUNTIF($A$2:$A$5001,A3053)&gt;1,"Duplicate","Unique")</f>
        <v>Unique</v>
      </c>
      <c r="V3053" s="9" t="str">
        <f aca="false">IF(COUNTIFS($B$2:$B$5001,B3053,$H$2:$H$5001,H3053,$J$2:$J$5001,J3053)&gt;1,"Possible Duplicate Booking","Unique")</f>
        <v>Unique</v>
      </c>
      <c r="W3053" s="9" t="str">
        <f aca="false">IF((H3053-G3053)&lt;&gt;K3053,"Mismatch","OK")</f>
        <v>OK</v>
      </c>
      <c r="X3053" s="9" t="str">
        <f aca="false">IF(TEXT(H3053,"dddd")&lt;&gt;I3053,"Mismatch","OK")</f>
        <v>OK</v>
      </c>
      <c r="Y3053" s="9" t="str">
        <f aca="false">IF(AND(N3053="No",O3053&lt;&gt;""),"Unexpected: channel present but no reminder sent",IF(AND(N3053="Yes",O3053=""),"Missing channel for sent reminder","OK"))</f>
        <v>OK</v>
      </c>
    </row>
    <row r="3054" customFormat="false" ht="15" hidden="false" customHeight="false" outlineLevel="0" collapsed="false">
      <c r="A3054" s="7" t="s">
        <v>4593</v>
      </c>
      <c r="B3054" s="7" t="s">
        <v>122</v>
      </c>
      <c r="C3054" s="7" t="s">
        <v>47</v>
      </c>
      <c r="D3054" s="7" t="n">
        <v>29</v>
      </c>
      <c r="E3054" s="7" t="s">
        <v>48</v>
      </c>
      <c r="F3054" s="7" t="s">
        <v>74</v>
      </c>
      <c r="G3054" s="8" t="n">
        <v>46042</v>
      </c>
      <c r="H3054" s="8" t="n">
        <v>46068</v>
      </c>
      <c r="I3054" s="7" t="s">
        <v>75</v>
      </c>
      <c r="J3054" s="7" t="s">
        <v>41</v>
      </c>
      <c r="K3054" s="7" t="n">
        <v>26</v>
      </c>
      <c r="L3054" s="7" t="n">
        <v>6</v>
      </c>
      <c r="M3054" s="7" t="n">
        <v>1</v>
      </c>
      <c r="N3054" s="7" t="s">
        <v>42</v>
      </c>
      <c r="O3054" s="7" t="s">
        <v>52</v>
      </c>
      <c r="P3054" s="7" t="n">
        <v>13.9</v>
      </c>
      <c r="Q3054" s="7" t="n">
        <v>8</v>
      </c>
      <c r="R3054" s="7" t="s">
        <v>44</v>
      </c>
      <c r="S3054" s="7"/>
      <c r="T3054" s="7"/>
      <c r="U3054" s="7" t="str">
        <f aca="false">IF(COUNTIF($A$2:$A$5001,A3054)&gt;1,"Duplicate","Unique")</f>
        <v>Unique</v>
      </c>
      <c r="V3054" s="7" t="str">
        <f aca="false">IF(COUNTIFS($B$2:$B$5001,B3054,$H$2:$H$5001,H3054,$J$2:$J$5001,J3054)&gt;1,"Possible Duplicate Booking","Unique")</f>
        <v>Unique</v>
      </c>
      <c r="W3054" s="7" t="str">
        <f aca="false">IF((H3054-G3054)&lt;&gt;K3054,"Mismatch","OK")</f>
        <v>OK</v>
      </c>
      <c r="X3054" s="7" t="str">
        <f aca="false">IF(TEXT(H3054,"dddd")&lt;&gt;I3054,"Mismatch","OK")</f>
        <v>OK</v>
      </c>
      <c r="Y3054" s="7" t="str">
        <f aca="false">IF(AND(N3054="No",O3054&lt;&gt;""),"Unexpected: channel present but no reminder sent",IF(AND(N3054="Yes",O3054=""),"Missing channel for sent reminder","OK"))</f>
        <v>OK</v>
      </c>
    </row>
    <row r="3055" customFormat="false" ht="15" hidden="false" customHeight="false" outlineLevel="0" collapsed="false">
      <c r="A3055" s="9" t="s">
        <v>4594</v>
      </c>
      <c r="B3055" s="9" t="s">
        <v>4595</v>
      </c>
      <c r="C3055" s="9" t="s">
        <v>47</v>
      </c>
      <c r="D3055" s="9" t="n">
        <v>37</v>
      </c>
      <c r="E3055" s="9" t="s">
        <v>38</v>
      </c>
      <c r="F3055" s="9" t="s">
        <v>57</v>
      </c>
      <c r="G3055" s="10" t="n">
        <v>45814</v>
      </c>
      <c r="H3055" s="10" t="n">
        <v>45853</v>
      </c>
      <c r="I3055" s="9" t="s">
        <v>40</v>
      </c>
      <c r="J3055" s="9" t="s">
        <v>41</v>
      </c>
      <c r="K3055" s="9" t="n">
        <v>39</v>
      </c>
      <c r="L3055" s="9" t="n">
        <v>2</v>
      </c>
      <c r="M3055" s="9" t="n">
        <v>1</v>
      </c>
      <c r="N3055" s="9" t="s">
        <v>71</v>
      </c>
      <c r="O3055" s="9"/>
      <c r="P3055" s="9" t="n">
        <v>15.2</v>
      </c>
      <c r="Q3055" s="9" t="n">
        <v>30</v>
      </c>
      <c r="R3055" s="9" t="s">
        <v>44</v>
      </c>
      <c r="S3055" s="9"/>
      <c r="T3055" s="9"/>
      <c r="U3055" s="9" t="str">
        <f aca="false">IF(COUNTIF($A$2:$A$5001,A3055)&gt;1,"Duplicate","Unique")</f>
        <v>Unique</v>
      </c>
      <c r="V3055" s="9" t="str">
        <f aca="false">IF(COUNTIFS($B$2:$B$5001,B3055,$H$2:$H$5001,H3055,$J$2:$J$5001,J3055)&gt;1,"Possible Duplicate Booking","Unique")</f>
        <v>Unique</v>
      </c>
      <c r="W3055" s="9" t="str">
        <f aca="false">IF((H3055-G3055)&lt;&gt;K3055,"Mismatch","OK")</f>
        <v>OK</v>
      </c>
      <c r="X3055" s="9" t="str">
        <f aca="false">IF(TEXT(H3055,"dddd")&lt;&gt;I3055,"Mismatch","OK")</f>
        <v>OK</v>
      </c>
      <c r="Y3055" s="9" t="str">
        <f aca="false">IF(AND(N3055="No",O3055&lt;&gt;""),"Unexpected: channel present but no reminder sent",IF(AND(N3055="Yes",O3055=""),"Missing channel for sent reminder","OK"))</f>
        <v>OK</v>
      </c>
    </row>
    <row r="3056" customFormat="false" ht="15" hidden="false" customHeight="false" outlineLevel="0" collapsed="false">
      <c r="A3056" s="7" t="s">
        <v>4596</v>
      </c>
      <c r="B3056" s="7" t="s">
        <v>140</v>
      </c>
      <c r="C3056" s="7" t="s">
        <v>37</v>
      </c>
      <c r="D3056" s="7" t="n">
        <v>35</v>
      </c>
      <c r="E3056" s="7" t="s">
        <v>38</v>
      </c>
      <c r="F3056" s="7" t="s">
        <v>49</v>
      </c>
      <c r="G3056" s="8" t="n">
        <v>46046</v>
      </c>
      <c r="H3056" s="8" t="n">
        <v>46088</v>
      </c>
      <c r="I3056" s="7" t="s">
        <v>102</v>
      </c>
      <c r="J3056" s="7" t="s">
        <v>41</v>
      </c>
      <c r="K3056" s="7" t="n">
        <v>42</v>
      </c>
      <c r="L3056" s="7" t="n">
        <v>2</v>
      </c>
      <c r="M3056" s="7" t="n">
        <v>0</v>
      </c>
      <c r="N3056" s="7" t="s">
        <v>42</v>
      </c>
      <c r="O3056" s="7" t="s">
        <v>52</v>
      </c>
      <c r="P3056" s="7" t="n">
        <v>6.6</v>
      </c>
      <c r="Q3056" s="7" t="n">
        <v>29</v>
      </c>
      <c r="R3056" s="7" t="s">
        <v>44</v>
      </c>
      <c r="S3056" s="7"/>
      <c r="T3056" s="7"/>
      <c r="U3056" s="7" t="str">
        <f aca="false">IF(COUNTIF($A$2:$A$5001,A3056)&gt;1,"Duplicate","Unique")</f>
        <v>Unique</v>
      </c>
      <c r="V3056" s="7" t="str">
        <f aca="false">IF(COUNTIFS($B$2:$B$5001,B3056,$H$2:$H$5001,H3056,$J$2:$J$5001,J3056)&gt;1,"Possible Duplicate Booking","Unique")</f>
        <v>Unique</v>
      </c>
      <c r="W3056" s="7" t="str">
        <f aca="false">IF((H3056-G3056)&lt;&gt;K3056,"Mismatch","OK")</f>
        <v>OK</v>
      </c>
      <c r="X3056" s="7" t="str">
        <f aca="false">IF(TEXT(H3056,"dddd")&lt;&gt;I3056,"Mismatch","OK")</f>
        <v>OK</v>
      </c>
      <c r="Y3056" s="7" t="str">
        <f aca="false">IF(AND(N3056="No",O3056&lt;&gt;""),"Unexpected: channel present but no reminder sent",IF(AND(N3056="Yes",O3056=""),"Missing channel for sent reminder","OK"))</f>
        <v>OK</v>
      </c>
    </row>
    <row r="3057" customFormat="false" ht="15" hidden="false" customHeight="false" outlineLevel="0" collapsed="false">
      <c r="A3057" s="9" t="s">
        <v>4597</v>
      </c>
      <c r="B3057" s="9" t="s">
        <v>2499</v>
      </c>
      <c r="C3057" s="9" t="s">
        <v>47</v>
      </c>
      <c r="D3057" s="9" t="n">
        <v>19</v>
      </c>
      <c r="E3057" s="9" t="s">
        <v>82</v>
      </c>
      <c r="F3057" s="9" t="s">
        <v>74</v>
      </c>
      <c r="G3057" s="10" t="n">
        <v>45879</v>
      </c>
      <c r="H3057" s="10" t="n">
        <v>45919</v>
      </c>
      <c r="I3057" s="9" t="s">
        <v>50</v>
      </c>
      <c r="J3057" s="9" t="s">
        <v>41</v>
      </c>
      <c r="K3057" s="9" t="n">
        <v>40</v>
      </c>
      <c r="L3057" s="9" t="n">
        <v>2</v>
      </c>
      <c r="M3057" s="9" t="n">
        <v>0</v>
      </c>
      <c r="N3057" s="9" t="s">
        <v>71</v>
      </c>
      <c r="O3057" s="9"/>
      <c r="P3057" s="9" t="n">
        <v>7</v>
      </c>
      <c r="Q3057" s="9" t="n">
        <v>18</v>
      </c>
      <c r="R3057" s="9" t="s">
        <v>44</v>
      </c>
      <c r="S3057" s="9"/>
      <c r="T3057" s="9"/>
      <c r="U3057" s="9" t="str">
        <f aca="false">IF(COUNTIF($A$2:$A$5001,A3057)&gt;1,"Duplicate","Unique")</f>
        <v>Unique</v>
      </c>
      <c r="V3057" s="9" t="str">
        <f aca="false">IF(COUNTIFS($B$2:$B$5001,B3057,$H$2:$H$5001,H3057,$J$2:$J$5001,J3057)&gt;1,"Possible Duplicate Booking","Unique")</f>
        <v>Unique</v>
      </c>
      <c r="W3057" s="9" t="str">
        <f aca="false">IF((H3057-G3057)&lt;&gt;K3057,"Mismatch","OK")</f>
        <v>OK</v>
      </c>
      <c r="X3057" s="9" t="str">
        <f aca="false">IF(TEXT(H3057,"dddd")&lt;&gt;I3057,"Mismatch","OK")</f>
        <v>OK</v>
      </c>
      <c r="Y3057" s="9" t="str">
        <f aca="false">IF(AND(N3057="No",O3057&lt;&gt;""),"Unexpected: channel present but no reminder sent",IF(AND(N3057="Yes",O3057=""),"Missing channel for sent reminder","OK"))</f>
        <v>OK</v>
      </c>
    </row>
    <row r="3058" customFormat="false" ht="15" hidden="false" customHeight="false" outlineLevel="0" collapsed="false">
      <c r="A3058" s="7" t="s">
        <v>4598</v>
      </c>
      <c r="B3058" s="7" t="s">
        <v>1223</v>
      </c>
      <c r="C3058" s="7" t="s">
        <v>37</v>
      </c>
      <c r="D3058" s="7" t="n">
        <v>18</v>
      </c>
      <c r="E3058" s="7" t="s">
        <v>82</v>
      </c>
      <c r="F3058" s="7" t="s">
        <v>57</v>
      </c>
      <c r="G3058" s="8" t="n">
        <v>46060</v>
      </c>
      <c r="H3058" s="8" t="n">
        <v>46096</v>
      </c>
      <c r="I3058" s="7" t="s">
        <v>75</v>
      </c>
      <c r="J3058" s="7" t="s">
        <v>41</v>
      </c>
      <c r="K3058" s="7" t="n">
        <v>36</v>
      </c>
      <c r="L3058" s="7" t="n">
        <v>5</v>
      </c>
      <c r="M3058" s="7" t="n">
        <v>0</v>
      </c>
      <c r="N3058" s="7" t="s">
        <v>42</v>
      </c>
      <c r="O3058" s="7" t="s">
        <v>52</v>
      </c>
      <c r="P3058" s="7" t="n">
        <v>8</v>
      </c>
      <c r="Q3058" s="7" t="n">
        <v>39</v>
      </c>
      <c r="R3058" s="7" t="s">
        <v>53</v>
      </c>
      <c r="S3058" s="7"/>
      <c r="T3058" s="7"/>
      <c r="U3058" s="7" t="str">
        <f aca="false">IF(COUNTIF($A$2:$A$5001,A3058)&gt;1,"Duplicate","Unique")</f>
        <v>Unique</v>
      </c>
      <c r="V3058" s="7" t="str">
        <f aca="false">IF(COUNTIFS($B$2:$B$5001,B3058,$H$2:$H$5001,H3058,$J$2:$J$5001,J3058)&gt;1,"Possible Duplicate Booking","Unique")</f>
        <v>Unique</v>
      </c>
      <c r="W3058" s="7" t="str">
        <f aca="false">IF((H3058-G3058)&lt;&gt;K3058,"Mismatch","OK")</f>
        <v>OK</v>
      </c>
      <c r="X3058" s="7" t="str">
        <f aca="false">IF(TEXT(H3058,"dddd")&lt;&gt;I3058,"Mismatch","OK")</f>
        <v>OK</v>
      </c>
      <c r="Y3058" s="7" t="str">
        <f aca="false">IF(AND(N3058="No",O3058&lt;&gt;""),"Unexpected: channel present but no reminder sent",IF(AND(N3058="Yes",O3058=""),"Missing channel for sent reminder","OK"))</f>
        <v>OK</v>
      </c>
    </row>
    <row r="3059" customFormat="false" ht="15" hidden="false" customHeight="false" outlineLevel="0" collapsed="false">
      <c r="A3059" s="9" t="s">
        <v>4599</v>
      </c>
      <c r="B3059" s="9" t="s">
        <v>2021</v>
      </c>
      <c r="C3059" s="9" t="s">
        <v>47</v>
      </c>
      <c r="D3059" s="9" t="n">
        <v>50</v>
      </c>
      <c r="E3059" s="9" t="s">
        <v>56</v>
      </c>
      <c r="F3059" s="9" t="s">
        <v>57</v>
      </c>
      <c r="G3059" s="10" t="n">
        <v>45709</v>
      </c>
      <c r="H3059" s="10" t="n">
        <v>45738</v>
      </c>
      <c r="I3059" s="9" t="s">
        <v>102</v>
      </c>
      <c r="J3059" s="9" t="s">
        <v>51</v>
      </c>
      <c r="K3059" s="9" t="n">
        <v>29</v>
      </c>
      <c r="L3059" s="9" t="n">
        <v>2</v>
      </c>
      <c r="M3059" s="9" t="n">
        <v>1</v>
      </c>
      <c r="N3059" s="9" t="s">
        <v>42</v>
      </c>
      <c r="O3059" s="9" t="s">
        <v>52</v>
      </c>
      <c r="P3059" s="9" t="n">
        <v>0.8</v>
      </c>
      <c r="Q3059" s="9" t="n">
        <v>23</v>
      </c>
      <c r="R3059" s="9" t="s">
        <v>44</v>
      </c>
      <c r="S3059" s="9"/>
      <c r="T3059" s="9"/>
      <c r="U3059" s="9" t="str">
        <f aca="false">IF(COUNTIF($A$2:$A$5001,A3059)&gt;1,"Duplicate","Unique")</f>
        <v>Unique</v>
      </c>
      <c r="V3059" s="9" t="str">
        <f aca="false">IF(COUNTIFS($B$2:$B$5001,B3059,$H$2:$H$5001,H3059,$J$2:$J$5001,J3059)&gt;1,"Possible Duplicate Booking","Unique")</f>
        <v>Unique</v>
      </c>
      <c r="W3059" s="9" t="str">
        <f aca="false">IF((H3059-G3059)&lt;&gt;K3059,"Mismatch","OK")</f>
        <v>OK</v>
      </c>
      <c r="X3059" s="9" t="str">
        <f aca="false">IF(TEXT(H3059,"dddd")&lt;&gt;I3059,"Mismatch","OK")</f>
        <v>OK</v>
      </c>
      <c r="Y3059" s="9" t="str">
        <f aca="false">IF(AND(N3059="No",O3059&lt;&gt;""),"Unexpected: channel present but no reminder sent",IF(AND(N3059="Yes",O3059=""),"Missing channel for sent reminder","OK"))</f>
        <v>OK</v>
      </c>
    </row>
    <row r="3060" customFormat="false" ht="15" hidden="false" customHeight="false" outlineLevel="0" collapsed="false">
      <c r="A3060" s="7" t="s">
        <v>4600</v>
      </c>
      <c r="B3060" s="7" t="s">
        <v>3750</v>
      </c>
      <c r="C3060" s="7" t="s">
        <v>47</v>
      </c>
      <c r="D3060" s="7" t="n">
        <v>32</v>
      </c>
      <c r="E3060" s="7" t="s">
        <v>48</v>
      </c>
      <c r="F3060" s="7" t="s">
        <v>49</v>
      </c>
      <c r="G3060" s="8" t="n">
        <v>45831</v>
      </c>
      <c r="H3060" s="8" t="n">
        <v>45870</v>
      </c>
      <c r="I3060" s="7" t="s">
        <v>50</v>
      </c>
      <c r="J3060" s="7" t="s">
        <v>51</v>
      </c>
      <c r="K3060" s="7" t="n">
        <v>39</v>
      </c>
      <c r="L3060" s="7" t="n">
        <v>2</v>
      </c>
      <c r="M3060" s="7" t="n">
        <v>0</v>
      </c>
      <c r="N3060" s="7" t="s">
        <v>42</v>
      </c>
      <c r="O3060" s="7" t="s">
        <v>67</v>
      </c>
      <c r="P3060" s="7" t="n">
        <v>25.7</v>
      </c>
      <c r="Q3060" s="7" t="n">
        <v>25</v>
      </c>
      <c r="R3060" s="7" t="s">
        <v>44</v>
      </c>
      <c r="S3060" s="7"/>
      <c r="T3060" s="7"/>
      <c r="U3060" s="7" t="str">
        <f aca="false">IF(COUNTIF($A$2:$A$5001,A3060)&gt;1,"Duplicate","Unique")</f>
        <v>Unique</v>
      </c>
      <c r="V3060" s="7" t="str">
        <f aca="false">IF(COUNTIFS($B$2:$B$5001,B3060,$H$2:$H$5001,H3060,$J$2:$J$5001,J3060)&gt;1,"Possible Duplicate Booking","Unique")</f>
        <v>Unique</v>
      </c>
      <c r="W3060" s="7" t="str">
        <f aca="false">IF((H3060-G3060)&lt;&gt;K3060,"Mismatch","OK")</f>
        <v>OK</v>
      </c>
      <c r="X3060" s="7" t="str">
        <f aca="false">IF(TEXT(H3060,"dddd")&lt;&gt;I3060,"Mismatch","OK")</f>
        <v>OK</v>
      </c>
      <c r="Y3060" s="7" t="str">
        <f aca="false">IF(AND(N3060="No",O3060&lt;&gt;""),"Unexpected: channel present but no reminder sent",IF(AND(N3060="Yes",O3060=""),"Missing channel for sent reminder","OK"))</f>
        <v>OK</v>
      </c>
    </row>
    <row r="3061" customFormat="false" ht="15" hidden="false" customHeight="false" outlineLevel="0" collapsed="false">
      <c r="A3061" s="9" t="s">
        <v>4601</v>
      </c>
      <c r="B3061" s="9" t="s">
        <v>1193</v>
      </c>
      <c r="C3061" s="9" t="s">
        <v>37</v>
      </c>
      <c r="D3061" s="9" t="n">
        <v>23</v>
      </c>
      <c r="E3061" s="9" t="s">
        <v>82</v>
      </c>
      <c r="F3061" s="9" t="s">
        <v>49</v>
      </c>
      <c r="G3061" s="10" t="n">
        <v>45752</v>
      </c>
      <c r="H3061" s="10" t="n">
        <v>45807</v>
      </c>
      <c r="I3061" s="9" t="s">
        <v>50</v>
      </c>
      <c r="J3061" s="9" t="s">
        <v>63</v>
      </c>
      <c r="K3061" s="9" t="n">
        <v>55</v>
      </c>
      <c r="L3061" s="9" t="n">
        <v>3</v>
      </c>
      <c r="M3061" s="9" t="n">
        <v>0</v>
      </c>
      <c r="N3061" s="9" t="s">
        <v>42</v>
      </c>
      <c r="O3061" s="9" t="s">
        <v>43</v>
      </c>
      <c r="P3061" s="9" t="n">
        <v>13.3</v>
      </c>
      <c r="Q3061" s="9" t="n">
        <v>7</v>
      </c>
      <c r="R3061" s="9" t="s">
        <v>44</v>
      </c>
      <c r="S3061" s="9"/>
      <c r="T3061" s="9"/>
      <c r="U3061" s="9" t="str">
        <f aca="false">IF(COUNTIF($A$2:$A$5001,A3061)&gt;1,"Duplicate","Unique")</f>
        <v>Unique</v>
      </c>
      <c r="V3061" s="9" t="str">
        <f aca="false">IF(COUNTIFS($B$2:$B$5001,B3061,$H$2:$H$5001,H3061,$J$2:$J$5001,J3061)&gt;1,"Possible Duplicate Booking","Unique")</f>
        <v>Unique</v>
      </c>
      <c r="W3061" s="9" t="str">
        <f aca="false">IF((H3061-G3061)&lt;&gt;K3061,"Mismatch","OK")</f>
        <v>OK</v>
      </c>
      <c r="X3061" s="9" t="str">
        <f aca="false">IF(TEXT(H3061,"dddd")&lt;&gt;I3061,"Mismatch","OK")</f>
        <v>OK</v>
      </c>
      <c r="Y3061" s="9" t="str">
        <f aca="false">IF(AND(N3061="No",O3061&lt;&gt;""),"Unexpected: channel present but no reminder sent",IF(AND(N3061="Yes",O3061=""),"Missing channel for sent reminder","OK"))</f>
        <v>OK</v>
      </c>
    </row>
    <row r="3062" customFormat="false" ht="15" hidden="false" customHeight="false" outlineLevel="0" collapsed="false">
      <c r="A3062" s="7" t="s">
        <v>4602</v>
      </c>
      <c r="B3062" s="7" t="s">
        <v>3565</v>
      </c>
      <c r="C3062" s="7" t="s">
        <v>236</v>
      </c>
      <c r="D3062" s="7" t="n">
        <v>36</v>
      </c>
      <c r="E3062" s="7" t="s">
        <v>38</v>
      </c>
      <c r="F3062" s="7" t="s">
        <v>57</v>
      </c>
      <c r="G3062" s="8" t="n">
        <v>45770</v>
      </c>
      <c r="H3062" s="8" t="n">
        <v>45793</v>
      </c>
      <c r="I3062" s="7" t="s">
        <v>50</v>
      </c>
      <c r="J3062" s="7" t="s">
        <v>51</v>
      </c>
      <c r="K3062" s="7" t="n">
        <v>23</v>
      </c>
      <c r="L3062" s="7" t="n">
        <v>3</v>
      </c>
      <c r="M3062" s="7" t="n">
        <v>0</v>
      </c>
      <c r="N3062" s="7" t="s">
        <v>42</v>
      </c>
      <c r="O3062" s="7" t="s">
        <v>67</v>
      </c>
      <c r="P3062" s="7" t="n">
        <v>16.1</v>
      </c>
      <c r="Q3062" s="7" t="n">
        <v>15</v>
      </c>
      <c r="R3062" s="7" t="s">
        <v>53</v>
      </c>
      <c r="S3062" s="7"/>
      <c r="T3062" s="7"/>
      <c r="U3062" s="7" t="str">
        <f aca="false">IF(COUNTIF($A$2:$A$5001,A3062)&gt;1,"Duplicate","Unique")</f>
        <v>Unique</v>
      </c>
      <c r="V3062" s="7" t="str">
        <f aca="false">IF(COUNTIFS($B$2:$B$5001,B3062,$H$2:$H$5001,H3062,$J$2:$J$5001,J3062)&gt;1,"Possible Duplicate Booking","Unique")</f>
        <v>Unique</v>
      </c>
      <c r="W3062" s="7" t="str">
        <f aca="false">IF((H3062-G3062)&lt;&gt;K3062,"Mismatch","OK")</f>
        <v>OK</v>
      </c>
      <c r="X3062" s="7" t="str">
        <f aca="false">IF(TEXT(H3062,"dddd")&lt;&gt;I3062,"Mismatch","OK")</f>
        <v>OK</v>
      </c>
      <c r="Y3062" s="7" t="str">
        <f aca="false">IF(AND(N3062="No",O3062&lt;&gt;""),"Unexpected: channel present but no reminder sent",IF(AND(N3062="Yes",O3062=""),"Missing channel for sent reminder","OK"))</f>
        <v>OK</v>
      </c>
    </row>
    <row r="3063" customFormat="false" ht="15" hidden="false" customHeight="false" outlineLevel="0" collapsed="false">
      <c r="A3063" s="9" t="s">
        <v>4603</v>
      </c>
      <c r="B3063" s="9" t="s">
        <v>929</v>
      </c>
      <c r="C3063" s="9" t="s">
        <v>47</v>
      </c>
      <c r="D3063" s="9" t="n">
        <v>35</v>
      </c>
      <c r="E3063" s="9" t="s">
        <v>38</v>
      </c>
      <c r="F3063" s="9" t="s">
        <v>39</v>
      </c>
      <c r="G3063" s="10" t="n">
        <v>45795</v>
      </c>
      <c r="H3063" s="10" t="n">
        <v>45826</v>
      </c>
      <c r="I3063" s="9" t="s">
        <v>58</v>
      </c>
      <c r="J3063" s="9" t="s">
        <v>63</v>
      </c>
      <c r="K3063" s="9" t="n">
        <v>31</v>
      </c>
      <c r="L3063" s="9" t="n">
        <v>2</v>
      </c>
      <c r="M3063" s="9" t="n">
        <v>0</v>
      </c>
      <c r="N3063" s="9" t="s">
        <v>71</v>
      </c>
      <c r="O3063" s="9"/>
      <c r="P3063" s="9" t="n">
        <v>6.6</v>
      </c>
      <c r="Q3063" s="9" t="n">
        <v>17</v>
      </c>
      <c r="R3063" s="9" t="s">
        <v>87</v>
      </c>
      <c r="S3063" s="9"/>
      <c r="T3063" s="9"/>
      <c r="U3063" s="9" t="str">
        <f aca="false">IF(COUNTIF($A$2:$A$5001,A3063)&gt;1,"Duplicate","Unique")</f>
        <v>Unique</v>
      </c>
      <c r="V3063" s="9" t="str">
        <f aca="false">IF(COUNTIFS($B$2:$B$5001,B3063,$H$2:$H$5001,H3063,$J$2:$J$5001,J3063)&gt;1,"Possible Duplicate Booking","Unique")</f>
        <v>Unique</v>
      </c>
      <c r="W3063" s="9" t="str">
        <f aca="false">IF((H3063-G3063)&lt;&gt;K3063,"Mismatch","OK")</f>
        <v>OK</v>
      </c>
      <c r="X3063" s="9" t="str">
        <f aca="false">IF(TEXT(H3063,"dddd")&lt;&gt;I3063,"Mismatch","OK")</f>
        <v>OK</v>
      </c>
      <c r="Y3063" s="9" t="str">
        <f aca="false">IF(AND(N3063="No",O3063&lt;&gt;""),"Unexpected: channel present but no reminder sent",IF(AND(N3063="Yes",O3063=""),"Missing channel for sent reminder","OK"))</f>
        <v>OK</v>
      </c>
    </row>
    <row r="3064" customFormat="false" ht="15" hidden="false" customHeight="false" outlineLevel="0" collapsed="false">
      <c r="A3064" s="7" t="s">
        <v>4604</v>
      </c>
      <c r="B3064" s="7" t="s">
        <v>1353</v>
      </c>
      <c r="C3064" s="7" t="s">
        <v>47</v>
      </c>
      <c r="D3064" s="7" t="n">
        <v>44</v>
      </c>
      <c r="E3064" s="7" t="s">
        <v>38</v>
      </c>
      <c r="F3064" s="7" t="s">
        <v>49</v>
      </c>
      <c r="G3064" s="8" t="n">
        <v>45856</v>
      </c>
      <c r="H3064" s="8" t="n">
        <v>45866</v>
      </c>
      <c r="I3064" s="7" t="s">
        <v>66</v>
      </c>
      <c r="J3064" s="7" t="s">
        <v>41</v>
      </c>
      <c r="K3064" s="7" t="n">
        <v>10</v>
      </c>
      <c r="L3064" s="7" t="n">
        <v>0</v>
      </c>
      <c r="M3064" s="7" t="n">
        <v>0</v>
      </c>
      <c r="N3064" s="7" t="s">
        <v>71</v>
      </c>
      <c r="O3064" s="7"/>
      <c r="P3064" s="7" t="n">
        <v>13.2</v>
      </c>
      <c r="Q3064" s="7" t="n">
        <v>33</v>
      </c>
      <c r="R3064" s="7" t="s">
        <v>53</v>
      </c>
      <c r="S3064" s="7"/>
      <c r="T3064" s="7"/>
      <c r="U3064" s="7" t="str">
        <f aca="false">IF(COUNTIF($A$2:$A$5001,A3064)&gt;1,"Duplicate","Unique")</f>
        <v>Unique</v>
      </c>
      <c r="V3064" s="7" t="str">
        <f aca="false">IF(COUNTIFS($B$2:$B$5001,B3064,$H$2:$H$5001,H3064,$J$2:$J$5001,J3064)&gt;1,"Possible Duplicate Booking","Unique")</f>
        <v>Unique</v>
      </c>
      <c r="W3064" s="7" t="str">
        <f aca="false">IF((H3064-G3064)&lt;&gt;K3064,"Mismatch","OK")</f>
        <v>OK</v>
      </c>
      <c r="X3064" s="7" t="str">
        <f aca="false">IF(TEXT(H3064,"dddd")&lt;&gt;I3064,"Mismatch","OK")</f>
        <v>OK</v>
      </c>
      <c r="Y3064" s="7" t="str">
        <f aca="false">IF(AND(N3064="No",O3064&lt;&gt;""),"Unexpected: channel present but no reminder sent",IF(AND(N3064="Yes",O3064=""),"Missing channel for sent reminder","OK"))</f>
        <v>OK</v>
      </c>
    </row>
    <row r="3065" customFormat="false" ht="15" hidden="false" customHeight="false" outlineLevel="0" collapsed="false">
      <c r="A3065" s="9" t="s">
        <v>4605</v>
      </c>
      <c r="B3065" s="9" t="s">
        <v>395</v>
      </c>
      <c r="C3065" s="9" t="s">
        <v>236</v>
      </c>
      <c r="D3065" s="9" t="n">
        <v>80</v>
      </c>
      <c r="E3065" s="9" t="s">
        <v>70</v>
      </c>
      <c r="F3065" s="9" t="s">
        <v>57</v>
      </c>
      <c r="G3065" s="10" t="n">
        <v>45706</v>
      </c>
      <c r="H3065" s="10" t="n">
        <v>45727</v>
      </c>
      <c r="I3065" s="9" t="s">
        <v>40</v>
      </c>
      <c r="J3065" s="9" t="s">
        <v>63</v>
      </c>
      <c r="K3065" s="9" t="n">
        <v>21</v>
      </c>
      <c r="L3065" s="9" t="n">
        <v>3</v>
      </c>
      <c r="M3065" s="9" t="n">
        <v>1</v>
      </c>
      <c r="N3065" s="9" t="s">
        <v>42</v>
      </c>
      <c r="O3065" s="9" t="s">
        <v>52</v>
      </c>
      <c r="P3065" s="9" t="n">
        <v>3.2</v>
      </c>
      <c r="Q3065" s="9" t="n">
        <v>35</v>
      </c>
      <c r="R3065" s="9" t="s">
        <v>53</v>
      </c>
      <c r="S3065" s="9"/>
      <c r="T3065" s="9"/>
      <c r="U3065" s="9" t="str">
        <f aca="false">IF(COUNTIF($A$2:$A$5001,A3065)&gt;1,"Duplicate","Unique")</f>
        <v>Unique</v>
      </c>
      <c r="V3065" s="9" t="str">
        <f aca="false">IF(COUNTIFS($B$2:$B$5001,B3065,$H$2:$H$5001,H3065,$J$2:$J$5001,J3065)&gt;1,"Possible Duplicate Booking","Unique")</f>
        <v>Unique</v>
      </c>
      <c r="W3065" s="9" t="str">
        <f aca="false">IF((H3065-G3065)&lt;&gt;K3065,"Mismatch","OK")</f>
        <v>OK</v>
      </c>
      <c r="X3065" s="9" t="str">
        <f aca="false">IF(TEXT(H3065,"dddd")&lt;&gt;I3065,"Mismatch","OK")</f>
        <v>OK</v>
      </c>
      <c r="Y3065" s="9" t="str">
        <f aca="false">IF(AND(N3065="No",O3065&lt;&gt;""),"Unexpected: channel present but no reminder sent",IF(AND(N3065="Yes",O3065=""),"Missing channel for sent reminder","OK"))</f>
        <v>OK</v>
      </c>
    </row>
    <row r="3066" customFormat="false" ht="15" hidden="false" customHeight="false" outlineLevel="0" collapsed="false">
      <c r="A3066" s="7" t="s">
        <v>4606</v>
      </c>
      <c r="B3066" s="7" t="s">
        <v>2539</v>
      </c>
      <c r="C3066" s="7" t="s">
        <v>47</v>
      </c>
      <c r="D3066" s="7" t="n">
        <v>37</v>
      </c>
      <c r="E3066" s="7" t="s">
        <v>38</v>
      </c>
      <c r="F3066" s="7" t="s">
        <v>39</v>
      </c>
      <c r="G3066" s="8" t="n">
        <v>45997</v>
      </c>
      <c r="H3066" s="8" t="n">
        <v>46044</v>
      </c>
      <c r="I3066" s="7" t="s">
        <v>62</v>
      </c>
      <c r="J3066" s="7" t="s">
        <v>41</v>
      </c>
      <c r="K3066" s="7" t="n">
        <v>47</v>
      </c>
      <c r="L3066" s="7" t="n">
        <v>2</v>
      </c>
      <c r="M3066" s="7" t="n">
        <v>0</v>
      </c>
      <c r="N3066" s="7" t="s">
        <v>71</v>
      </c>
      <c r="O3066" s="7"/>
      <c r="P3066" s="7" t="n">
        <v>12.7</v>
      </c>
      <c r="Q3066" s="7" t="n">
        <v>18</v>
      </c>
      <c r="R3066" s="7" t="s">
        <v>87</v>
      </c>
      <c r="S3066" s="7"/>
      <c r="T3066" s="7"/>
      <c r="U3066" s="7" t="str">
        <f aca="false">IF(COUNTIF($A$2:$A$5001,A3066)&gt;1,"Duplicate","Unique")</f>
        <v>Unique</v>
      </c>
      <c r="V3066" s="7" t="str">
        <f aca="false">IF(COUNTIFS($B$2:$B$5001,B3066,$H$2:$H$5001,H3066,$J$2:$J$5001,J3066)&gt;1,"Possible Duplicate Booking","Unique")</f>
        <v>Unique</v>
      </c>
      <c r="W3066" s="7" t="str">
        <f aca="false">IF((H3066-G3066)&lt;&gt;K3066,"Mismatch","OK")</f>
        <v>OK</v>
      </c>
      <c r="X3066" s="7" t="str">
        <f aca="false">IF(TEXT(H3066,"dddd")&lt;&gt;I3066,"Mismatch","OK")</f>
        <v>OK</v>
      </c>
      <c r="Y3066" s="7" t="str">
        <f aca="false">IF(AND(N3066="No",O3066&lt;&gt;""),"Unexpected: channel present but no reminder sent",IF(AND(N3066="Yes",O3066=""),"Missing channel for sent reminder","OK"))</f>
        <v>OK</v>
      </c>
    </row>
    <row r="3067" customFormat="false" ht="15" hidden="false" customHeight="false" outlineLevel="0" collapsed="false">
      <c r="A3067" s="9" t="s">
        <v>4607</v>
      </c>
      <c r="B3067" s="9" t="s">
        <v>2311</v>
      </c>
      <c r="C3067" s="9" t="s">
        <v>37</v>
      </c>
      <c r="D3067" s="9" t="n">
        <v>62</v>
      </c>
      <c r="E3067" s="9" t="s">
        <v>61</v>
      </c>
      <c r="F3067" s="9" t="s">
        <v>39</v>
      </c>
      <c r="G3067" s="10" t="n">
        <v>45919</v>
      </c>
      <c r="H3067" s="10" t="n">
        <v>45958</v>
      </c>
      <c r="I3067" s="9" t="s">
        <v>40</v>
      </c>
      <c r="J3067" s="9" t="s">
        <v>41</v>
      </c>
      <c r="K3067" s="9" t="n">
        <v>39</v>
      </c>
      <c r="L3067" s="9" t="n">
        <v>3</v>
      </c>
      <c r="M3067" s="9" t="n">
        <v>1</v>
      </c>
      <c r="N3067" s="9" t="s">
        <v>42</v>
      </c>
      <c r="O3067" s="9" t="s">
        <v>52</v>
      </c>
      <c r="P3067" s="9" t="n">
        <v>8.9</v>
      </c>
      <c r="Q3067" s="9" t="n">
        <v>26</v>
      </c>
      <c r="R3067" s="9" t="s">
        <v>44</v>
      </c>
      <c r="S3067" s="9"/>
      <c r="T3067" s="9"/>
      <c r="U3067" s="9" t="str">
        <f aca="false">IF(COUNTIF($A$2:$A$5001,A3067)&gt;1,"Duplicate","Unique")</f>
        <v>Unique</v>
      </c>
      <c r="V3067" s="9" t="str">
        <f aca="false">IF(COUNTIFS($B$2:$B$5001,B3067,$H$2:$H$5001,H3067,$J$2:$J$5001,J3067)&gt;1,"Possible Duplicate Booking","Unique")</f>
        <v>Unique</v>
      </c>
      <c r="W3067" s="9" t="str">
        <f aca="false">IF((H3067-G3067)&lt;&gt;K3067,"Mismatch","OK")</f>
        <v>OK</v>
      </c>
      <c r="X3067" s="9" t="str">
        <f aca="false">IF(TEXT(H3067,"dddd")&lt;&gt;I3067,"Mismatch","OK")</f>
        <v>OK</v>
      </c>
      <c r="Y3067" s="9" t="str">
        <f aca="false">IF(AND(N3067="No",O3067&lt;&gt;""),"Unexpected: channel present but no reminder sent",IF(AND(N3067="Yes",O3067=""),"Missing channel for sent reminder","OK"))</f>
        <v>OK</v>
      </c>
    </row>
    <row r="3068" customFormat="false" ht="15" hidden="false" customHeight="false" outlineLevel="0" collapsed="false">
      <c r="A3068" s="7" t="s">
        <v>4608</v>
      </c>
      <c r="B3068" s="7" t="s">
        <v>186</v>
      </c>
      <c r="C3068" s="7" t="s">
        <v>47</v>
      </c>
      <c r="D3068" s="7" t="n">
        <v>66</v>
      </c>
      <c r="E3068" s="7" t="s">
        <v>70</v>
      </c>
      <c r="F3068" s="7" t="s">
        <v>57</v>
      </c>
      <c r="G3068" s="8" t="n">
        <v>46098</v>
      </c>
      <c r="H3068" s="8" t="n">
        <v>46110</v>
      </c>
      <c r="I3068" s="7" t="s">
        <v>75</v>
      </c>
      <c r="J3068" s="7" t="s">
        <v>41</v>
      </c>
      <c r="K3068" s="7" t="n">
        <v>12</v>
      </c>
      <c r="L3068" s="7" t="n">
        <v>5</v>
      </c>
      <c r="M3068" s="7" t="n">
        <v>2</v>
      </c>
      <c r="N3068" s="7" t="s">
        <v>42</v>
      </c>
      <c r="O3068" s="7" t="s">
        <v>43</v>
      </c>
      <c r="P3068" s="7" t="n">
        <v>3.3</v>
      </c>
      <c r="Q3068" s="7" t="n">
        <v>33</v>
      </c>
      <c r="R3068" s="7" t="s">
        <v>53</v>
      </c>
      <c r="S3068" s="7"/>
      <c r="T3068" s="7"/>
      <c r="U3068" s="7" t="str">
        <f aca="false">IF(COUNTIF($A$2:$A$5001,A3068)&gt;1,"Duplicate","Unique")</f>
        <v>Unique</v>
      </c>
      <c r="V3068" s="7" t="str">
        <f aca="false">IF(COUNTIFS($B$2:$B$5001,B3068,$H$2:$H$5001,H3068,$J$2:$J$5001,J3068)&gt;1,"Possible Duplicate Booking","Unique")</f>
        <v>Unique</v>
      </c>
      <c r="W3068" s="7" t="str">
        <f aca="false">IF((H3068-G3068)&lt;&gt;K3068,"Mismatch","OK")</f>
        <v>OK</v>
      </c>
      <c r="X3068" s="7" t="str">
        <f aca="false">IF(TEXT(H3068,"dddd")&lt;&gt;I3068,"Mismatch","OK")</f>
        <v>OK</v>
      </c>
      <c r="Y3068" s="7" t="str">
        <f aca="false">IF(AND(N3068="No",O3068&lt;&gt;""),"Unexpected: channel present but no reminder sent",IF(AND(N3068="Yes",O3068=""),"Missing channel for sent reminder","OK"))</f>
        <v>OK</v>
      </c>
    </row>
    <row r="3069" customFormat="false" ht="15" hidden="false" customHeight="false" outlineLevel="0" collapsed="false">
      <c r="A3069" s="9" t="s">
        <v>4609</v>
      </c>
      <c r="B3069" s="9" t="s">
        <v>3716</v>
      </c>
      <c r="C3069" s="9" t="s">
        <v>47</v>
      </c>
      <c r="D3069" s="9" t="n">
        <v>21</v>
      </c>
      <c r="E3069" s="9" t="s">
        <v>82</v>
      </c>
      <c r="F3069" s="9" t="s">
        <v>49</v>
      </c>
      <c r="G3069" s="10" t="n">
        <v>46009</v>
      </c>
      <c r="H3069" s="10" t="n">
        <v>46042</v>
      </c>
      <c r="I3069" s="9" t="s">
        <v>40</v>
      </c>
      <c r="J3069" s="9" t="s">
        <v>41</v>
      </c>
      <c r="K3069" s="9" t="n">
        <v>33</v>
      </c>
      <c r="L3069" s="9" t="n">
        <v>2</v>
      </c>
      <c r="M3069" s="9" t="n">
        <v>1</v>
      </c>
      <c r="N3069" s="9" t="s">
        <v>42</v>
      </c>
      <c r="O3069" s="9" t="s">
        <v>52</v>
      </c>
      <c r="P3069" s="9" t="n">
        <v>22.6</v>
      </c>
      <c r="Q3069" s="9" t="n">
        <v>20</v>
      </c>
      <c r="R3069" s="9" t="s">
        <v>44</v>
      </c>
      <c r="S3069" s="9"/>
      <c r="T3069" s="9"/>
      <c r="U3069" s="9" t="str">
        <f aca="false">IF(COUNTIF($A$2:$A$5001,A3069)&gt;1,"Duplicate","Unique")</f>
        <v>Unique</v>
      </c>
      <c r="V3069" s="9" t="str">
        <f aca="false">IF(COUNTIFS($B$2:$B$5001,B3069,$H$2:$H$5001,H3069,$J$2:$J$5001,J3069)&gt;1,"Possible Duplicate Booking","Unique")</f>
        <v>Unique</v>
      </c>
      <c r="W3069" s="9" t="str">
        <f aca="false">IF((H3069-G3069)&lt;&gt;K3069,"Mismatch","OK")</f>
        <v>OK</v>
      </c>
      <c r="X3069" s="9" t="str">
        <f aca="false">IF(TEXT(H3069,"dddd")&lt;&gt;I3069,"Mismatch","OK")</f>
        <v>OK</v>
      </c>
      <c r="Y3069" s="9" t="str">
        <f aca="false">IF(AND(N3069="No",O3069&lt;&gt;""),"Unexpected: channel present but no reminder sent",IF(AND(N3069="Yes",O3069=""),"Missing channel for sent reminder","OK"))</f>
        <v>OK</v>
      </c>
    </row>
    <row r="3070" customFormat="false" ht="15" hidden="false" customHeight="false" outlineLevel="0" collapsed="false">
      <c r="A3070" s="7" t="s">
        <v>4610</v>
      </c>
      <c r="B3070" s="7" t="s">
        <v>3998</v>
      </c>
      <c r="C3070" s="7" t="s">
        <v>47</v>
      </c>
      <c r="D3070" s="7" t="n">
        <v>49</v>
      </c>
      <c r="E3070" s="7" t="s">
        <v>56</v>
      </c>
      <c r="F3070" s="7" t="s">
        <v>57</v>
      </c>
      <c r="G3070" s="8" t="n">
        <v>45690</v>
      </c>
      <c r="H3070" s="8" t="n">
        <v>45739</v>
      </c>
      <c r="I3070" s="7" t="s">
        <v>75</v>
      </c>
      <c r="J3070" s="7" t="s">
        <v>51</v>
      </c>
      <c r="K3070" s="7" t="n">
        <v>49</v>
      </c>
      <c r="L3070" s="7" t="n">
        <v>3</v>
      </c>
      <c r="M3070" s="7" t="n">
        <v>1</v>
      </c>
      <c r="N3070" s="7" t="s">
        <v>42</v>
      </c>
      <c r="O3070" s="7" t="s">
        <v>52</v>
      </c>
      <c r="P3070" s="7" t="n">
        <v>13.6</v>
      </c>
      <c r="Q3070" s="7" t="n">
        <v>8</v>
      </c>
      <c r="R3070" s="7" t="s">
        <v>44</v>
      </c>
      <c r="S3070" s="7"/>
      <c r="T3070" s="7"/>
      <c r="U3070" s="7" t="str">
        <f aca="false">IF(COUNTIF($A$2:$A$5001,A3070)&gt;1,"Duplicate","Unique")</f>
        <v>Unique</v>
      </c>
      <c r="V3070" s="7" t="str">
        <f aca="false">IF(COUNTIFS($B$2:$B$5001,B3070,$H$2:$H$5001,H3070,$J$2:$J$5001,J3070)&gt;1,"Possible Duplicate Booking","Unique")</f>
        <v>Unique</v>
      </c>
      <c r="W3070" s="7" t="str">
        <f aca="false">IF((H3070-G3070)&lt;&gt;K3070,"Mismatch","OK")</f>
        <v>OK</v>
      </c>
      <c r="X3070" s="7" t="str">
        <f aca="false">IF(TEXT(H3070,"dddd")&lt;&gt;I3070,"Mismatch","OK")</f>
        <v>OK</v>
      </c>
      <c r="Y3070" s="7" t="str">
        <f aca="false">IF(AND(N3070="No",O3070&lt;&gt;""),"Unexpected: channel present but no reminder sent",IF(AND(N3070="Yes",O3070=""),"Missing channel for sent reminder","OK"))</f>
        <v>OK</v>
      </c>
    </row>
    <row r="3071" customFormat="false" ht="15" hidden="false" customHeight="false" outlineLevel="0" collapsed="false">
      <c r="A3071" s="9" t="s">
        <v>4611</v>
      </c>
      <c r="B3071" s="9" t="s">
        <v>104</v>
      </c>
      <c r="C3071" s="9" t="s">
        <v>47</v>
      </c>
      <c r="D3071" s="9" t="n">
        <v>46</v>
      </c>
      <c r="E3071" s="9" t="s">
        <v>56</v>
      </c>
      <c r="F3071" s="9" t="s">
        <v>74</v>
      </c>
      <c r="G3071" s="10" t="n">
        <v>45689</v>
      </c>
      <c r="H3071" s="10" t="n">
        <v>45696</v>
      </c>
      <c r="I3071" s="9" t="s">
        <v>102</v>
      </c>
      <c r="J3071" s="9" t="s">
        <v>51</v>
      </c>
      <c r="K3071" s="9" t="n">
        <v>7</v>
      </c>
      <c r="L3071" s="9" t="n">
        <v>7</v>
      </c>
      <c r="M3071" s="9" t="n">
        <v>2</v>
      </c>
      <c r="N3071" s="9" t="s">
        <v>42</v>
      </c>
      <c r="O3071" s="9" t="s">
        <v>52</v>
      </c>
      <c r="P3071" s="9" t="n">
        <v>34.3</v>
      </c>
      <c r="Q3071" s="9" t="n">
        <v>32</v>
      </c>
      <c r="R3071" s="9" t="s">
        <v>44</v>
      </c>
      <c r="S3071" s="9"/>
      <c r="T3071" s="9"/>
      <c r="U3071" s="9" t="str">
        <f aca="false">IF(COUNTIF($A$2:$A$5001,A3071)&gt;1,"Duplicate","Unique")</f>
        <v>Unique</v>
      </c>
      <c r="V3071" s="9" t="str">
        <f aca="false">IF(COUNTIFS($B$2:$B$5001,B3071,$H$2:$H$5001,H3071,$J$2:$J$5001,J3071)&gt;1,"Possible Duplicate Booking","Unique")</f>
        <v>Unique</v>
      </c>
      <c r="W3071" s="9" t="str">
        <f aca="false">IF((H3071-G3071)&lt;&gt;K3071,"Mismatch","OK")</f>
        <v>OK</v>
      </c>
      <c r="X3071" s="9" t="str">
        <f aca="false">IF(TEXT(H3071,"dddd")&lt;&gt;I3071,"Mismatch","OK")</f>
        <v>OK</v>
      </c>
      <c r="Y3071" s="9" t="str">
        <f aca="false">IF(AND(N3071="No",O3071&lt;&gt;""),"Unexpected: channel present but no reminder sent",IF(AND(N3071="Yes",O3071=""),"Missing channel for sent reminder","OK"))</f>
        <v>OK</v>
      </c>
    </row>
    <row r="3072" customFormat="false" ht="15" hidden="false" customHeight="false" outlineLevel="0" collapsed="false">
      <c r="A3072" s="7" t="s">
        <v>4612</v>
      </c>
      <c r="B3072" s="7" t="s">
        <v>2855</v>
      </c>
      <c r="C3072" s="7" t="s">
        <v>37</v>
      </c>
      <c r="D3072" s="7" t="n">
        <v>49</v>
      </c>
      <c r="E3072" s="7" t="s">
        <v>56</v>
      </c>
      <c r="F3072" s="7" t="s">
        <v>39</v>
      </c>
      <c r="G3072" s="8" t="n">
        <v>45885</v>
      </c>
      <c r="H3072" s="8" t="n">
        <v>45888</v>
      </c>
      <c r="I3072" s="7" t="s">
        <v>40</v>
      </c>
      <c r="J3072" s="7" t="s">
        <v>51</v>
      </c>
      <c r="K3072" s="7" t="n">
        <v>3</v>
      </c>
      <c r="L3072" s="7" t="n">
        <v>4</v>
      </c>
      <c r="M3072" s="7" t="n">
        <v>1</v>
      </c>
      <c r="N3072" s="7" t="s">
        <v>42</v>
      </c>
      <c r="O3072" s="7" t="s">
        <v>52</v>
      </c>
      <c r="P3072" s="7" t="n">
        <v>4.4</v>
      </c>
      <c r="Q3072" s="7" t="n">
        <v>29</v>
      </c>
      <c r="R3072" s="7" t="s">
        <v>53</v>
      </c>
      <c r="S3072" s="7"/>
      <c r="T3072" s="7"/>
      <c r="U3072" s="7" t="str">
        <f aca="false">IF(COUNTIF($A$2:$A$5001,A3072)&gt;1,"Duplicate","Unique")</f>
        <v>Unique</v>
      </c>
      <c r="V3072" s="7" t="str">
        <f aca="false">IF(COUNTIFS($B$2:$B$5001,B3072,$H$2:$H$5001,H3072,$J$2:$J$5001,J3072)&gt;1,"Possible Duplicate Booking","Unique")</f>
        <v>Unique</v>
      </c>
      <c r="W3072" s="7" t="str">
        <f aca="false">IF((H3072-G3072)&lt;&gt;K3072,"Mismatch","OK")</f>
        <v>OK</v>
      </c>
      <c r="X3072" s="7" t="str">
        <f aca="false">IF(TEXT(H3072,"dddd")&lt;&gt;I3072,"Mismatch","OK")</f>
        <v>OK</v>
      </c>
      <c r="Y3072" s="7" t="str">
        <f aca="false">IF(AND(N3072="No",O3072&lt;&gt;""),"Unexpected: channel present but no reminder sent",IF(AND(N3072="Yes",O3072=""),"Missing channel for sent reminder","OK"))</f>
        <v>OK</v>
      </c>
    </row>
    <row r="3073" customFormat="false" ht="15" hidden="false" customHeight="false" outlineLevel="0" collapsed="false">
      <c r="A3073" s="9" t="s">
        <v>4613</v>
      </c>
      <c r="B3073" s="9" t="s">
        <v>2555</v>
      </c>
      <c r="C3073" s="9" t="s">
        <v>37</v>
      </c>
      <c r="D3073" s="9" t="n">
        <v>28</v>
      </c>
      <c r="E3073" s="9" t="s">
        <v>48</v>
      </c>
      <c r="F3073" s="9" t="s">
        <v>39</v>
      </c>
      <c r="G3073" s="10" t="n">
        <v>45897</v>
      </c>
      <c r="H3073" s="10" t="n">
        <v>45920</v>
      </c>
      <c r="I3073" s="9" t="s">
        <v>102</v>
      </c>
      <c r="J3073" s="9" t="s">
        <v>63</v>
      </c>
      <c r="K3073" s="9" t="n">
        <v>23</v>
      </c>
      <c r="L3073" s="9" t="n">
        <v>2</v>
      </c>
      <c r="M3073" s="9" t="n">
        <v>1</v>
      </c>
      <c r="N3073" s="9" t="s">
        <v>42</v>
      </c>
      <c r="O3073" s="9" t="s">
        <v>43</v>
      </c>
      <c r="P3073" s="9" t="n">
        <v>7.6</v>
      </c>
      <c r="Q3073" s="9" t="n">
        <v>27</v>
      </c>
      <c r="R3073" s="9" t="s">
        <v>53</v>
      </c>
      <c r="S3073" s="9"/>
      <c r="T3073" s="9"/>
      <c r="U3073" s="9" t="str">
        <f aca="false">IF(COUNTIF($A$2:$A$5001,A3073)&gt;1,"Duplicate","Unique")</f>
        <v>Unique</v>
      </c>
      <c r="V3073" s="9" t="str">
        <f aca="false">IF(COUNTIFS($B$2:$B$5001,B3073,$H$2:$H$5001,H3073,$J$2:$J$5001,J3073)&gt;1,"Possible Duplicate Booking","Unique")</f>
        <v>Unique</v>
      </c>
      <c r="W3073" s="9" t="str">
        <f aca="false">IF((H3073-G3073)&lt;&gt;K3073,"Mismatch","OK")</f>
        <v>OK</v>
      </c>
      <c r="X3073" s="9" t="str">
        <f aca="false">IF(TEXT(H3073,"dddd")&lt;&gt;I3073,"Mismatch","OK")</f>
        <v>OK</v>
      </c>
      <c r="Y3073" s="9" t="str">
        <f aca="false">IF(AND(N3073="No",O3073&lt;&gt;""),"Unexpected: channel present but no reminder sent",IF(AND(N3073="Yes",O3073=""),"Missing channel for sent reminder","OK"))</f>
        <v>OK</v>
      </c>
    </row>
    <row r="3074" customFormat="false" ht="15" hidden="false" customHeight="false" outlineLevel="0" collapsed="false">
      <c r="A3074" s="7" t="s">
        <v>4614</v>
      </c>
      <c r="B3074" s="7" t="s">
        <v>3565</v>
      </c>
      <c r="C3074" s="7" t="s">
        <v>37</v>
      </c>
      <c r="D3074" s="7" t="n">
        <v>47</v>
      </c>
      <c r="E3074" s="7" t="s">
        <v>56</v>
      </c>
      <c r="F3074" s="7" t="s">
        <v>39</v>
      </c>
      <c r="G3074" s="8" t="n">
        <v>45749</v>
      </c>
      <c r="H3074" s="8" t="n">
        <v>45789</v>
      </c>
      <c r="I3074" s="7" t="s">
        <v>66</v>
      </c>
      <c r="J3074" s="7" t="s">
        <v>51</v>
      </c>
      <c r="K3074" s="7" t="n">
        <v>40</v>
      </c>
      <c r="L3074" s="7" t="n">
        <v>2</v>
      </c>
      <c r="M3074" s="7" t="n">
        <v>0</v>
      </c>
      <c r="N3074" s="7" t="s">
        <v>71</v>
      </c>
      <c r="O3074" s="7"/>
      <c r="P3074" s="7" t="n">
        <v>13.8</v>
      </c>
      <c r="Q3074" s="7" t="n">
        <v>35</v>
      </c>
      <c r="R3074" s="7" t="s">
        <v>44</v>
      </c>
      <c r="S3074" s="7"/>
      <c r="T3074" s="7"/>
      <c r="U3074" s="7" t="str">
        <f aca="false">IF(COUNTIF($A$2:$A$5001,A3074)&gt;1,"Duplicate","Unique")</f>
        <v>Unique</v>
      </c>
      <c r="V3074" s="7" t="str">
        <f aca="false">IF(COUNTIFS($B$2:$B$5001,B3074,$H$2:$H$5001,H3074,$J$2:$J$5001,J3074)&gt;1,"Possible Duplicate Booking","Unique")</f>
        <v>Unique</v>
      </c>
      <c r="W3074" s="7" t="str">
        <f aca="false">IF((H3074-G3074)&lt;&gt;K3074,"Mismatch","OK")</f>
        <v>OK</v>
      </c>
      <c r="X3074" s="7" t="str">
        <f aca="false">IF(TEXT(H3074,"dddd")&lt;&gt;I3074,"Mismatch","OK")</f>
        <v>OK</v>
      </c>
      <c r="Y3074" s="7" t="str">
        <f aca="false">IF(AND(N3074="No",O3074&lt;&gt;""),"Unexpected: channel present but no reminder sent",IF(AND(N3074="Yes",O3074=""),"Missing channel for sent reminder","OK"))</f>
        <v>OK</v>
      </c>
    </row>
    <row r="3075" customFormat="false" ht="15" hidden="false" customHeight="false" outlineLevel="0" collapsed="false">
      <c r="A3075" s="9" t="s">
        <v>4615</v>
      </c>
      <c r="B3075" s="9" t="s">
        <v>4616</v>
      </c>
      <c r="C3075" s="9" t="s">
        <v>47</v>
      </c>
      <c r="D3075" s="9" t="n">
        <v>25</v>
      </c>
      <c r="E3075" s="9" t="s">
        <v>48</v>
      </c>
      <c r="F3075" s="9" t="s">
        <v>57</v>
      </c>
      <c r="G3075" s="10" t="n">
        <v>46066</v>
      </c>
      <c r="H3075" s="10" t="n">
        <v>46085</v>
      </c>
      <c r="I3075" s="9" t="s">
        <v>58</v>
      </c>
      <c r="J3075" s="9" t="s">
        <v>41</v>
      </c>
      <c r="K3075" s="9" t="n">
        <v>19</v>
      </c>
      <c r="L3075" s="9" t="n">
        <v>2</v>
      </c>
      <c r="M3075" s="9" t="n">
        <v>0</v>
      </c>
      <c r="N3075" s="9" t="s">
        <v>71</v>
      </c>
      <c r="O3075" s="9"/>
      <c r="P3075" s="9" t="n">
        <v>1.3</v>
      </c>
      <c r="Q3075" s="9" t="n">
        <v>35</v>
      </c>
      <c r="R3075" s="9" t="s">
        <v>87</v>
      </c>
      <c r="S3075" s="9"/>
      <c r="T3075" s="9"/>
      <c r="U3075" s="9" t="str">
        <f aca="false">IF(COUNTIF($A$2:$A$5001,A3075)&gt;1,"Duplicate","Unique")</f>
        <v>Unique</v>
      </c>
      <c r="V3075" s="9" t="str">
        <f aca="false">IF(COUNTIFS($B$2:$B$5001,B3075,$H$2:$H$5001,H3075,$J$2:$J$5001,J3075)&gt;1,"Possible Duplicate Booking","Unique")</f>
        <v>Unique</v>
      </c>
      <c r="W3075" s="9" t="str">
        <f aca="false">IF((H3075-G3075)&lt;&gt;K3075,"Mismatch","OK")</f>
        <v>OK</v>
      </c>
      <c r="X3075" s="9" t="str">
        <f aca="false">IF(TEXT(H3075,"dddd")&lt;&gt;I3075,"Mismatch","OK")</f>
        <v>OK</v>
      </c>
      <c r="Y3075" s="9" t="str">
        <f aca="false">IF(AND(N3075="No",O3075&lt;&gt;""),"Unexpected: channel present but no reminder sent",IF(AND(N3075="Yes",O3075=""),"Missing channel for sent reminder","OK"))</f>
        <v>OK</v>
      </c>
    </row>
    <row r="3076" customFormat="false" ht="15" hidden="false" customHeight="false" outlineLevel="0" collapsed="false">
      <c r="A3076" s="7" t="s">
        <v>4617</v>
      </c>
      <c r="B3076" s="7" t="s">
        <v>585</v>
      </c>
      <c r="C3076" s="7" t="s">
        <v>37</v>
      </c>
      <c r="D3076" s="7" t="n">
        <v>77</v>
      </c>
      <c r="E3076" s="7" t="s">
        <v>70</v>
      </c>
      <c r="F3076" s="7" t="s">
        <v>49</v>
      </c>
      <c r="G3076" s="8" t="n">
        <v>45925</v>
      </c>
      <c r="H3076" s="8" t="n">
        <v>45975</v>
      </c>
      <c r="I3076" s="7" t="s">
        <v>50</v>
      </c>
      <c r="J3076" s="7" t="s">
        <v>41</v>
      </c>
      <c r="K3076" s="7" t="n">
        <v>50</v>
      </c>
      <c r="L3076" s="7" t="n">
        <v>1</v>
      </c>
      <c r="M3076" s="7" t="n">
        <v>0</v>
      </c>
      <c r="N3076" s="7" t="s">
        <v>71</v>
      </c>
      <c r="O3076" s="7"/>
      <c r="P3076" s="7" t="n">
        <v>10.4</v>
      </c>
      <c r="Q3076" s="7" t="n">
        <v>31</v>
      </c>
      <c r="R3076" s="7" t="s">
        <v>44</v>
      </c>
      <c r="S3076" s="7"/>
      <c r="T3076" s="7"/>
      <c r="U3076" s="7" t="str">
        <f aca="false">IF(COUNTIF($A$2:$A$5001,A3076)&gt;1,"Duplicate","Unique")</f>
        <v>Unique</v>
      </c>
      <c r="V3076" s="7" t="str">
        <f aca="false">IF(COUNTIFS($B$2:$B$5001,B3076,$H$2:$H$5001,H3076,$J$2:$J$5001,J3076)&gt;1,"Possible Duplicate Booking","Unique")</f>
        <v>Unique</v>
      </c>
      <c r="W3076" s="7" t="str">
        <f aca="false">IF((H3076-G3076)&lt;&gt;K3076,"Mismatch","OK")</f>
        <v>OK</v>
      </c>
      <c r="X3076" s="7" t="str">
        <f aca="false">IF(TEXT(H3076,"dddd")&lt;&gt;I3076,"Mismatch","OK")</f>
        <v>OK</v>
      </c>
      <c r="Y3076" s="7" t="str">
        <f aca="false">IF(AND(N3076="No",O3076&lt;&gt;""),"Unexpected: channel present but no reminder sent",IF(AND(N3076="Yes",O3076=""),"Missing channel for sent reminder","OK"))</f>
        <v>OK</v>
      </c>
    </row>
    <row r="3077" customFormat="false" ht="15" hidden="false" customHeight="false" outlineLevel="0" collapsed="false">
      <c r="A3077" s="9" t="s">
        <v>4618</v>
      </c>
      <c r="B3077" s="9" t="s">
        <v>3227</v>
      </c>
      <c r="C3077" s="9" t="s">
        <v>37</v>
      </c>
      <c r="D3077" s="9" t="n">
        <v>54</v>
      </c>
      <c r="E3077" s="9" t="s">
        <v>56</v>
      </c>
      <c r="F3077" s="9" t="s">
        <v>39</v>
      </c>
      <c r="G3077" s="10" t="n">
        <v>46015</v>
      </c>
      <c r="H3077" s="10" t="n">
        <v>46066</v>
      </c>
      <c r="I3077" s="9" t="s">
        <v>50</v>
      </c>
      <c r="J3077" s="9" t="s">
        <v>51</v>
      </c>
      <c r="K3077" s="9" t="n">
        <v>51</v>
      </c>
      <c r="L3077" s="9" t="n">
        <v>4</v>
      </c>
      <c r="M3077" s="9" t="n">
        <v>0</v>
      </c>
      <c r="N3077" s="9" t="s">
        <v>42</v>
      </c>
      <c r="O3077" s="9" t="s">
        <v>52</v>
      </c>
      <c r="P3077" s="9" t="n">
        <v>13.9</v>
      </c>
      <c r="Q3077" s="9" t="n">
        <v>11</v>
      </c>
      <c r="R3077" s="9" t="s">
        <v>53</v>
      </c>
      <c r="S3077" s="9"/>
      <c r="T3077" s="9"/>
      <c r="U3077" s="9" t="str">
        <f aca="false">IF(COUNTIF($A$2:$A$5001,A3077)&gt;1,"Duplicate","Unique")</f>
        <v>Unique</v>
      </c>
      <c r="V3077" s="9" t="str">
        <f aca="false">IF(COUNTIFS($B$2:$B$5001,B3077,$H$2:$H$5001,H3077,$J$2:$J$5001,J3077)&gt;1,"Possible Duplicate Booking","Unique")</f>
        <v>Unique</v>
      </c>
      <c r="W3077" s="9" t="str">
        <f aca="false">IF((H3077-G3077)&lt;&gt;K3077,"Mismatch","OK")</f>
        <v>OK</v>
      </c>
      <c r="X3077" s="9" t="str">
        <f aca="false">IF(TEXT(H3077,"dddd")&lt;&gt;I3077,"Mismatch","OK")</f>
        <v>OK</v>
      </c>
      <c r="Y3077" s="9" t="str">
        <f aca="false">IF(AND(N3077="No",O3077&lt;&gt;""),"Unexpected: channel present but no reminder sent",IF(AND(N3077="Yes",O3077=""),"Missing channel for sent reminder","OK"))</f>
        <v>OK</v>
      </c>
    </row>
    <row r="3078" customFormat="false" ht="15" hidden="false" customHeight="false" outlineLevel="0" collapsed="false">
      <c r="A3078" s="7" t="s">
        <v>4619</v>
      </c>
      <c r="B3078" s="7" t="s">
        <v>611</v>
      </c>
      <c r="C3078" s="7" t="s">
        <v>37</v>
      </c>
      <c r="D3078" s="7" t="n">
        <v>20</v>
      </c>
      <c r="E3078" s="7" t="s">
        <v>82</v>
      </c>
      <c r="F3078" s="7" t="s">
        <v>49</v>
      </c>
      <c r="G3078" s="8" t="n">
        <v>45685</v>
      </c>
      <c r="H3078" s="8" t="n">
        <v>45717</v>
      </c>
      <c r="I3078" s="7" t="s">
        <v>102</v>
      </c>
      <c r="J3078" s="7" t="s">
        <v>63</v>
      </c>
      <c r="K3078" s="7" t="n">
        <v>32</v>
      </c>
      <c r="L3078" s="7" t="n">
        <v>5</v>
      </c>
      <c r="M3078" s="7" t="n">
        <v>0</v>
      </c>
      <c r="N3078" s="7" t="s">
        <v>42</v>
      </c>
      <c r="O3078" s="7" t="s">
        <v>43</v>
      </c>
      <c r="P3078" s="7" t="n">
        <v>3.9</v>
      </c>
      <c r="Q3078" s="7" t="n">
        <v>7</v>
      </c>
      <c r="R3078" s="7" t="s">
        <v>44</v>
      </c>
      <c r="S3078" s="7"/>
      <c r="T3078" s="7"/>
      <c r="U3078" s="7" t="str">
        <f aca="false">IF(COUNTIF($A$2:$A$5001,A3078)&gt;1,"Duplicate","Unique")</f>
        <v>Unique</v>
      </c>
      <c r="V3078" s="7" t="str">
        <f aca="false">IF(COUNTIFS($B$2:$B$5001,B3078,$H$2:$H$5001,H3078,$J$2:$J$5001,J3078)&gt;1,"Possible Duplicate Booking","Unique")</f>
        <v>Unique</v>
      </c>
      <c r="W3078" s="7" t="str">
        <f aca="false">IF((H3078-G3078)&lt;&gt;K3078,"Mismatch","OK")</f>
        <v>OK</v>
      </c>
      <c r="X3078" s="7" t="str">
        <f aca="false">IF(TEXT(H3078,"dddd")&lt;&gt;I3078,"Mismatch","OK")</f>
        <v>OK</v>
      </c>
      <c r="Y3078" s="7" t="str">
        <f aca="false">IF(AND(N3078="No",O3078&lt;&gt;""),"Unexpected: channel present but no reminder sent",IF(AND(N3078="Yes",O3078=""),"Missing channel for sent reminder","OK"))</f>
        <v>OK</v>
      </c>
    </row>
    <row r="3079" customFormat="false" ht="15" hidden="false" customHeight="false" outlineLevel="0" collapsed="false">
      <c r="A3079" s="9" t="s">
        <v>4620</v>
      </c>
      <c r="B3079" s="9" t="s">
        <v>2257</v>
      </c>
      <c r="C3079" s="9" t="s">
        <v>47</v>
      </c>
      <c r="D3079" s="9" t="n">
        <v>49</v>
      </c>
      <c r="E3079" s="9" t="s">
        <v>56</v>
      </c>
      <c r="F3079" s="9" t="s">
        <v>39</v>
      </c>
      <c r="G3079" s="10" t="n">
        <v>46080</v>
      </c>
      <c r="H3079" s="10" t="n">
        <v>46103</v>
      </c>
      <c r="I3079" s="9" t="s">
        <v>75</v>
      </c>
      <c r="J3079" s="9" t="s">
        <v>51</v>
      </c>
      <c r="K3079" s="9" t="n">
        <v>23</v>
      </c>
      <c r="L3079" s="9" t="n">
        <v>5</v>
      </c>
      <c r="M3079" s="9" t="n">
        <v>1</v>
      </c>
      <c r="N3079" s="9" t="s">
        <v>42</v>
      </c>
      <c r="O3079" s="9" t="s">
        <v>52</v>
      </c>
      <c r="P3079" s="9" t="n">
        <v>9.1</v>
      </c>
      <c r="Q3079" s="9" t="n">
        <v>28</v>
      </c>
      <c r="R3079" s="9" t="s">
        <v>53</v>
      </c>
      <c r="S3079" s="9"/>
      <c r="T3079" s="9"/>
      <c r="U3079" s="9" t="str">
        <f aca="false">IF(COUNTIF($A$2:$A$5001,A3079)&gt;1,"Duplicate","Unique")</f>
        <v>Unique</v>
      </c>
      <c r="V3079" s="9" t="str">
        <f aca="false">IF(COUNTIFS($B$2:$B$5001,B3079,$H$2:$H$5001,H3079,$J$2:$J$5001,J3079)&gt;1,"Possible Duplicate Booking","Unique")</f>
        <v>Unique</v>
      </c>
      <c r="W3079" s="9" t="str">
        <f aca="false">IF((H3079-G3079)&lt;&gt;K3079,"Mismatch","OK")</f>
        <v>OK</v>
      </c>
      <c r="X3079" s="9" t="str">
        <f aca="false">IF(TEXT(H3079,"dddd")&lt;&gt;I3079,"Mismatch","OK")</f>
        <v>OK</v>
      </c>
      <c r="Y3079" s="9" t="str">
        <f aca="false">IF(AND(N3079="No",O3079&lt;&gt;""),"Unexpected: channel present but no reminder sent",IF(AND(N3079="Yes",O3079=""),"Missing channel for sent reminder","OK"))</f>
        <v>OK</v>
      </c>
    </row>
    <row r="3080" customFormat="false" ht="15" hidden="false" customHeight="false" outlineLevel="0" collapsed="false">
      <c r="A3080" s="7" t="s">
        <v>4621</v>
      </c>
      <c r="B3080" s="7" t="s">
        <v>3619</v>
      </c>
      <c r="C3080" s="7" t="s">
        <v>37</v>
      </c>
      <c r="D3080" s="7" t="n">
        <v>76</v>
      </c>
      <c r="E3080" s="7" t="s">
        <v>70</v>
      </c>
      <c r="F3080" s="7" t="s">
        <v>57</v>
      </c>
      <c r="G3080" s="8" t="n">
        <v>45768</v>
      </c>
      <c r="H3080" s="8" t="n">
        <v>45770</v>
      </c>
      <c r="I3080" s="7" t="s">
        <v>58</v>
      </c>
      <c r="J3080" s="7" t="s">
        <v>41</v>
      </c>
      <c r="K3080" s="7" t="n">
        <v>2</v>
      </c>
      <c r="L3080" s="7" t="n">
        <v>4</v>
      </c>
      <c r="M3080" s="7" t="n">
        <v>3</v>
      </c>
      <c r="N3080" s="7" t="s">
        <v>42</v>
      </c>
      <c r="O3080" s="7" t="s">
        <v>52</v>
      </c>
      <c r="P3080" s="7" t="n">
        <v>5.2</v>
      </c>
      <c r="Q3080" s="7" t="n">
        <v>25</v>
      </c>
      <c r="R3080" s="7" t="s">
        <v>53</v>
      </c>
      <c r="S3080" s="7"/>
      <c r="T3080" s="7"/>
      <c r="U3080" s="7" t="str">
        <f aca="false">IF(COUNTIF($A$2:$A$5001,A3080)&gt;1,"Duplicate","Unique")</f>
        <v>Unique</v>
      </c>
      <c r="V3080" s="7" t="str">
        <f aca="false">IF(COUNTIFS($B$2:$B$5001,B3080,$H$2:$H$5001,H3080,$J$2:$J$5001,J3080)&gt;1,"Possible Duplicate Booking","Unique")</f>
        <v>Unique</v>
      </c>
      <c r="W3080" s="7" t="str">
        <f aca="false">IF((H3080-G3080)&lt;&gt;K3080,"Mismatch","OK")</f>
        <v>OK</v>
      </c>
      <c r="X3080" s="7" t="str">
        <f aca="false">IF(TEXT(H3080,"dddd")&lt;&gt;I3080,"Mismatch","OK")</f>
        <v>OK</v>
      </c>
      <c r="Y3080" s="7" t="str">
        <f aca="false">IF(AND(N3080="No",O3080&lt;&gt;""),"Unexpected: channel present but no reminder sent",IF(AND(N3080="Yes",O3080=""),"Missing channel for sent reminder","OK"))</f>
        <v>OK</v>
      </c>
    </row>
    <row r="3081" customFormat="false" ht="15" hidden="false" customHeight="false" outlineLevel="0" collapsed="false">
      <c r="A3081" s="9" t="s">
        <v>4622</v>
      </c>
      <c r="B3081" s="9" t="s">
        <v>514</v>
      </c>
      <c r="C3081" s="9" t="s">
        <v>37</v>
      </c>
      <c r="D3081" s="9" t="n">
        <v>64</v>
      </c>
      <c r="E3081" s="9" t="s">
        <v>61</v>
      </c>
      <c r="F3081" s="9" t="s">
        <v>57</v>
      </c>
      <c r="G3081" s="10" t="n">
        <v>45852</v>
      </c>
      <c r="H3081" s="10" t="n">
        <v>45902</v>
      </c>
      <c r="I3081" s="9" t="s">
        <v>40</v>
      </c>
      <c r="J3081" s="9" t="s">
        <v>41</v>
      </c>
      <c r="K3081" s="9" t="n">
        <v>50</v>
      </c>
      <c r="L3081" s="9" t="n">
        <v>3</v>
      </c>
      <c r="M3081" s="9" t="n">
        <v>0</v>
      </c>
      <c r="N3081" s="9" t="s">
        <v>42</v>
      </c>
      <c r="O3081" s="9" t="s">
        <v>43</v>
      </c>
      <c r="P3081" s="9" t="n">
        <v>11.2</v>
      </c>
      <c r="Q3081" s="9" t="n">
        <v>26</v>
      </c>
      <c r="R3081" s="9" t="s">
        <v>44</v>
      </c>
      <c r="S3081" s="9"/>
      <c r="T3081" s="9"/>
      <c r="U3081" s="9" t="str">
        <f aca="false">IF(COUNTIF($A$2:$A$5001,A3081)&gt;1,"Duplicate","Unique")</f>
        <v>Unique</v>
      </c>
      <c r="V3081" s="9" t="str">
        <f aca="false">IF(COUNTIFS($B$2:$B$5001,B3081,$H$2:$H$5001,H3081,$J$2:$J$5001,J3081)&gt;1,"Possible Duplicate Booking","Unique")</f>
        <v>Unique</v>
      </c>
      <c r="W3081" s="9" t="str">
        <f aca="false">IF((H3081-G3081)&lt;&gt;K3081,"Mismatch","OK")</f>
        <v>OK</v>
      </c>
      <c r="X3081" s="9" t="str">
        <f aca="false">IF(TEXT(H3081,"dddd")&lt;&gt;I3081,"Mismatch","OK")</f>
        <v>OK</v>
      </c>
      <c r="Y3081" s="9" t="str">
        <f aca="false">IF(AND(N3081="No",O3081&lt;&gt;""),"Unexpected: channel present but no reminder sent",IF(AND(N3081="Yes",O3081=""),"Missing channel for sent reminder","OK"))</f>
        <v>OK</v>
      </c>
    </row>
    <row r="3082" customFormat="false" ht="15" hidden="false" customHeight="false" outlineLevel="0" collapsed="false">
      <c r="A3082" s="7" t="s">
        <v>4623</v>
      </c>
      <c r="B3082" s="7" t="s">
        <v>2232</v>
      </c>
      <c r="C3082" s="7" t="s">
        <v>37</v>
      </c>
      <c r="D3082" s="7" t="n">
        <v>35</v>
      </c>
      <c r="E3082" s="7" t="s">
        <v>38</v>
      </c>
      <c r="F3082" s="7" t="s">
        <v>49</v>
      </c>
      <c r="G3082" s="8" t="n">
        <v>45843</v>
      </c>
      <c r="H3082" s="8" t="n">
        <v>45897</v>
      </c>
      <c r="I3082" s="7" t="s">
        <v>62</v>
      </c>
      <c r="J3082" s="7" t="s">
        <v>51</v>
      </c>
      <c r="K3082" s="7" t="n">
        <v>54</v>
      </c>
      <c r="L3082" s="7" t="n">
        <v>1</v>
      </c>
      <c r="M3082" s="7" t="n">
        <v>0</v>
      </c>
      <c r="N3082" s="7" t="s">
        <v>71</v>
      </c>
      <c r="O3082" s="7"/>
      <c r="P3082" s="7" t="n">
        <v>13</v>
      </c>
      <c r="Q3082" s="7" t="n">
        <v>43</v>
      </c>
      <c r="R3082" s="7" t="s">
        <v>44</v>
      </c>
      <c r="S3082" s="7"/>
      <c r="T3082" s="7"/>
      <c r="U3082" s="7" t="str">
        <f aca="false">IF(COUNTIF($A$2:$A$5001,A3082)&gt;1,"Duplicate","Unique")</f>
        <v>Unique</v>
      </c>
      <c r="V3082" s="7" t="str">
        <f aca="false">IF(COUNTIFS($B$2:$B$5001,B3082,$H$2:$H$5001,H3082,$J$2:$J$5001,J3082)&gt;1,"Possible Duplicate Booking","Unique")</f>
        <v>Possible Duplicate Booking</v>
      </c>
      <c r="W3082" s="7" t="str">
        <f aca="false">IF((H3082-G3082)&lt;&gt;K3082,"Mismatch","OK")</f>
        <v>OK</v>
      </c>
      <c r="X3082" s="7" t="str">
        <f aca="false">IF(TEXT(H3082,"dddd")&lt;&gt;I3082,"Mismatch","OK")</f>
        <v>OK</v>
      </c>
      <c r="Y3082" s="7" t="str">
        <f aca="false">IF(AND(N3082="No",O3082&lt;&gt;""),"Unexpected: channel present but no reminder sent",IF(AND(N3082="Yes",O3082=""),"Missing channel for sent reminder","OK"))</f>
        <v>OK</v>
      </c>
    </row>
    <row r="3083" customFormat="false" ht="15" hidden="false" customHeight="false" outlineLevel="0" collapsed="false">
      <c r="A3083" s="9" t="s">
        <v>4624</v>
      </c>
      <c r="B3083" s="9" t="s">
        <v>4625</v>
      </c>
      <c r="C3083" s="9" t="s">
        <v>37</v>
      </c>
      <c r="D3083" s="9" t="n">
        <v>74</v>
      </c>
      <c r="E3083" s="9" t="s">
        <v>70</v>
      </c>
      <c r="F3083" s="9" t="s">
        <v>57</v>
      </c>
      <c r="G3083" s="10" t="n">
        <v>46080</v>
      </c>
      <c r="H3083" s="10" t="n">
        <v>46106</v>
      </c>
      <c r="I3083" s="9" t="s">
        <v>58</v>
      </c>
      <c r="J3083" s="9" t="s">
        <v>51</v>
      </c>
      <c r="K3083" s="9" t="n">
        <v>26</v>
      </c>
      <c r="L3083" s="9" t="n">
        <v>3</v>
      </c>
      <c r="M3083" s="9" t="n">
        <v>1</v>
      </c>
      <c r="N3083" s="9" t="s">
        <v>71</v>
      </c>
      <c r="O3083" s="9"/>
      <c r="P3083" s="9" t="n">
        <v>8.8</v>
      </c>
      <c r="Q3083" s="9" t="n">
        <v>34</v>
      </c>
      <c r="R3083" s="9" t="s">
        <v>44</v>
      </c>
      <c r="S3083" s="9"/>
      <c r="T3083" s="9"/>
      <c r="U3083" s="9" t="str">
        <f aca="false">IF(COUNTIF($A$2:$A$5001,A3083)&gt;1,"Duplicate","Unique")</f>
        <v>Unique</v>
      </c>
      <c r="V3083" s="9" t="str">
        <f aca="false">IF(COUNTIFS($B$2:$B$5001,B3083,$H$2:$H$5001,H3083,$J$2:$J$5001,J3083)&gt;1,"Possible Duplicate Booking","Unique")</f>
        <v>Unique</v>
      </c>
      <c r="W3083" s="9" t="str">
        <f aca="false">IF((H3083-G3083)&lt;&gt;K3083,"Mismatch","OK")</f>
        <v>OK</v>
      </c>
      <c r="X3083" s="9" t="str">
        <f aca="false">IF(TEXT(H3083,"dddd")&lt;&gt;I3083,"Mismatch","OK")</f>
        <v>OK</v>
      </c>
      <c r="Y3083" s="9" t="str">
        <f aca="false">IF(AND(N3083="No",O3083&lt;&gt;""),"Unexpected: channel present but no reminder sent",IF(AND(N3083="Yes",O3083=""),"Missing channel for sent reminder","OK"))</f>
        <v>OK</v>
      </c>
    </row>
    <row r="3084" customFormat="false" ht="15" hidden="false" customHeight="false" outlineLevel="0" collapsed="false">
      <c r="A3084" s="7" t="s">
        <v>4626</v>
      </c>
      <c r="B3084" s="7" t="s">
        <v>2947</v>
      </c>
      <c r="C3084" s="7" t="s">
        <v>37</v>
      </c>
      <c r="D3084" s="7" t="n">
        <v>29</v>
      </c>
      <c r="E3084" s="7" t="s">
        <v>48</v>
      </c>
      <c r="F3084" s="7" t="s">
        <v>39</v>
      </c>
      <c r="G3084" s="8" t="n">
        <v>45778</v>
      </c>
      <c r="H3084" s="8" t="n">
        <v>45809</v>
      </c>
      <c r="I3084" s="7" t="s">
        <v>75</v>
      </c>
      <c r="J3084" s="7" t="s">
        <v>41</v>
      </c>
      <c r="K3084" s="7" t="n">
        <v>31</v>
      </c>
      <c r="L3084" s="7" t="n">
        <v>3</v>
      </c>
      <c r="M3084" s="7" t="n">
        <v>0</v>
      </c>
      <c r="N3084" s="7" t="s">
        <v>42</v>
      </c>
      <c r="O3084" s="7" t="s">
        <v>43</v>
      </c>
      <c r="P3084" s="7" t="n">
        <v>15</v>
      </c>
      <c r="Q3084" s="7" t="n">
        <v>22</v>
      </c>
      <c r="R3084" s="7" t="s">
        <v>44</v>
      </c>
      <c r="S3084" s="7"/>
      <c r="T3084" s="7"/>
      <c r="U3084" s="7" t="str">
        <f aca="false">IF(COUNTIF($A$2:$A$5001,A3084)&gt;1,"Duplicate","Unique")</f>
        <v>Unique</v>
      </c>
      <c r="V3084" s="7" t="str">
        <f aca="false">IF(COUNTIFS($B$2:$B$5001,B3084,$H$2:$H$5001,H3084,$J$2:$J$5001,J3084)&gt;1,"Possible Duplicate Booking","Unique")</f>
        <v>Unique</v>
      </c>
      <c r="W3084" s="7" t="str">
        <f aca="false">IF((H3084-G3084)&lt;&gt;K3084,"Mismatch","OK")</f>
        <v>OK</v>
      </c>
      <c r="X3084" s="7" t="str">
        <f aca="false">IF(TEXT(H3084,"dddd")&lt;&gt;I3084,"Mismatch","OK")</f>
        <v>OK</v>
      </c>
      <c r="Y3084" s="7" t="str">
        <f aca="false">IF(AND(N3084="No",O3084&lt;&gt;""),"Unexpected: channel present but no reminder sent",IF(AND(N3084="Yes",O3084=""),"Missing channel for sent reminder","OK"))</f>
        <v>OK</v>
      </c>
    </row>
    <row r="3085" customFormat="false" ht="15" hidden="false" customHeight="false" outlineLevel="0" collapsed="false">
      <c r="A3085" s="9" t="s">
        <v>4627</v>
      </c>
      <c r="B3085" s="9" t="s">
        <v>4628</v>
      </c>
      <c r="C3085" s="9" t="s">
        <v>37</v>
      </c>
      <c r="D3085" s="9" t="n">
        <v>33</v>
      </c>
      <c r="E3085" s="9" t="s">
        <v>48</v>
      </c>
      <c r="F3085" s="9" t="s">
        <v>39</v>
      </c>
      <c r="G3085" s="10" t="n">
        <v>45744</v>
      </c>
      <c r="H3085" s="10" t="n">
        <v>45789</v>
      </c>
      <c r="I3085" s="9" t="s">
        <v>66</v>
      </c>
      <c r="J3085" s="9" t="s">
        <v>51</v>
      </c>
      <c r="K3085" s="9" t="n">
        <v>45</v>
      </c>
      <c r="L3085" s="9" t="n">
        <v>9</v>
      </c>
      <c r="M3085" s="9" t="n">
        <v>1</v>
      </c>
      <c r="N3085" s="9" t="s">
        <v>71</v>
      </c>
      <c r="O3085" s="9"/>
      <c r="P3085" s="9" t="n">
        <v>3.2</v>
      </c>
      <c r="Q3085" s="9" t="n">
        <v>16</v>
      </c>
      <c r="R3085" s="9" t="s">
        <v>44</v>
      </c>
      <c r="S3085" s="9"/>
      <c r="T3085" s="9"/>
      <c r="U3085" s="9" t="str">
        <f aca="false">IF(COUNTIF($A$2:$A$5001,A3085)&gt;1,"Duplicate","Unique")</f>
        <v>Unique</v>
      </c>
      <c r="V3085" s="9" t="str">
        <f aca="false">IF(COUNTIFS($B$2:$B$5001,B3085,$H$2:$H$5001,H3085,$J$2:$J$5001,J3085)&gt;1,"Possible Duplicate Booking","Unique")</f>
        <v>Unique</v>
      </c>
      <c r="W3085" s="9" t="str">
        <f aca="false">IF((H3085-G3085)&lt;&gt;K3085,"Mismatch","OK")</f>
        <v>OK</v>
      </c>
      <c r="X3085" s="9" t="str">
        <f aca="false">IF(TEXT(H3085,"dddd")&lt;&gt;I3085,"Mismatch","OK")</f>
        <v>OK</v>
      </c>
      <c r="Y3085" s="9" t="str">
        <f aca="false">IF(AND(N3085="No",O3085&lt;&gt;""),"Unexpected: channel present but no reminder sent",IF(AND(N3085="Yes",O3085=""),"Missing channel for sent reminder","OK"))</f>
        <v>OK</v>
      </c>
    </row>
    <row r="3086" customFormat="false" ht="15" hidden="false" customHeight="false" outlineLevel="0" collapsed="false">
      <c r="A3086" s="7" t="s">
        <v>4629</v>
      </c>
      <c r="B3086" s="7" t="s">
        <v>1826</v>
      </c>
      <c r="C3086" s="7" t="s">
        <v>47</v>
      </c>
      <c r="D3086" s="7" t="n">
        <v>27</v>
      </c>
      <c r="E3086" s="7" t="s">
        <v>48</v>
      </c>
      <c r="F3086" s="7" t="s">
        <v>39</v>
      </c>
      <c r="G3086" s="8" t="n">
        <v>45801</v>
      </c>
      <c r="H3086" s="8" t="n">
        <v>45843</v>
      </c>
      <c r="I3086" s="7" t="s">
        <v>102</v>
      </c>
      <c r="J3086" s="7" t="s">
        <v>41</v>
      </c>
      <c r="K3086" s="7" t="n">
        <v>42</v>
      </c>
      <c r="L3086" s="7" t="n">
        <v>2</v>
      </c>
      <c r="M3086" s="7" t="n">
        <v>1</v>
      </c>
      <c r="N3086" s="7" t="s">
        <v>42</v>
      </c>
      <c r="O3086" s="7" t="s">
        <v>52</v>
      </c>
      <c r="P3086" s="7" t="n">
        <v>15.4</v>
      </c>
      <c r="Q3086" s="7" t="n">
        <v>31</v>
      </c>
      <c r="R3086" s="7" t="s">
        <v>53</v>
      </c>
      <c r="S3086" s="7"/>
      <c r="T3086" s="7"/>
      <c r="U3086" s="7" t="str">
        <f aca="false">IF(COUNTIF($A$2:$A$5001,A3086)&gt;1,"Duplicate","Unique")</f>
        <v>Unique</v>
      </c>
      <c r="V3086" s="7" t="str">
        <f aca="false">IF(COUNTIFS($B$2:$B$5001,B3086,$H$2:$H$5001,H3086,$J$2:$J$5001,J3086)&gt;1,"Possible Duplicate Booking","Unique")</f>
        <v>Unique</v>
      </c>
      <c r="W3086" s="7" t="str">
        <f aca="false">IF((H3086-G3086)&lt;&gt;K3086,"Mismatch","OK")</f>
        <v>OK</v>
      </c>
      <c r="X3086" s="7" t="str">
        <f aca="false">IF(TEXT(H3086,"dddd")&lt;&gt;I3086,"Mismatch","OK")</f>
        <v>OK</v>
      </c>
      <c r="Y3086" s="7" t="str">
        <f aca="false">IF(AND(N3086="No",O3086&lt;&gt;""),"Unexpected: channel present but no reminder sent",IF(AND(N3086="Yes",O3086=""),"Missing channel for sent reminder","OK"))</f>
        <v>OK</v>
      </c>
    </row>
    <row r="3087" customFormat="false" ht="15" hidden="false" customHeight="false" outlineLevel="0" collapsed="false">
      <c r="A3087" s="9" t="s">
        <v>4630</v>
      </c>
      <c r="B3087" s="9" t="s">
        <v>671</v>
      </c>
      <c r="C3087" s="9" t="s">
        <v>37</v>
      </c>
      <c r="D3087" s="9" t="n">
        <v>76</v>
      </c>
      <c r="E3087" s="9" t="s">
        <v>70</v>
      </c>
      <c r="F3087" s="9" t="s">
        <v>39</v>
      </c>
      <c r="G3087" s="10" t="n">
        <v>45847</v>
      </c>
      <c r="H3087" s="10" t="n">
        <v>45855</v>
      </c>
      <c r="I3087" s="9" t="s">
        <v>62</v>
      </c>
      <c r="J3087" s="9" t="s">
        <v>41</v>
      </c>
      <c r="K3087" s="9" t="n">
        <v>8</v>
      </c>
      <c r="L3087" s="9" t="n">
        <v>7</v>
      </c>
      <c r="M3087" s="9" t="n">
        <v>1</v>
      </c>
      <c r="N3087" s="9" t="s">
        <v>42</v>
      </c>
      <c r="O3087" s="9" t="s">
        <v>43</v>
      </c>
      <c r="P3087" s="9" t="n">
        <v>25.6</v>
      </c>
      <c r="Q3087" s="9" t="n">
        <v>29</v>
      </c>
      <c r="R3087" s="9" t="s">
        <v>44</v>
      </c>
      <c r="S3087" s="9"/>
      <c r="T3087" s="9"/>
      <c r="U3087" s="9" t="str">
        <f aca="false">IF(COUNTIF($A$2:$A$5001,A3087)&gt;1,"Duplicate","Unique")</f>
        <v>Unique</v>
      </c>
      <c r="V3087" s="9" t="str">
        <f aca="false">IF(COUNTIFS($B$2:$B$5001,B3087,$H$2:$H$5001,H3087,$J$2:$J$5001,J3087)&gt;1,"Possible Duplicate Booking","Unique")</f>
        <v>Unique</v>
      </c>
      <c r="W3087" s="9" t="str">
        <f aca="false">IF((H3087-G3087)&lt;&gt;K3087,"Mismatch","OK")</f>
        <v>OK</v>
      </c>
      <c r="X3087" s="9" t="str">
        <f aca="false">IF(TEXT(H3087,"dddd")&lt;&gt;I3087,"Mismatch","OK")</f>
        <v>OK</v>
      </c>
      <c r="Y3087" s="9" t="str">
        <f aca="false">IF(AND(N3087="No",O3087&lt;&gt;""),"Unexpected: channel present but no reminder sent",IF(AND(N3087="Yes",O3087=""),"Missing channel for sent reminder","OK"))</f>
        <v>OK</v>
      </c>
    </row>
    <row r="3088" customFormat="false" ht="15" hidden="false" customHeight="false" outlineLevel="0" collapsed="false">
      <c r="A3088" s="7" t="s">
        <v>4631</v>
      </c>
      <c r="B3088" s="7" t="s">
        <v>2666</v>
      </c>
      <c r="C3088" s="7" t="s">
        <v>37</v>
      </c>
      <c r="D3088" s="7" t="n">
        <v>63</v>
      </c>
      <c r="E3088" s="7" t="s">
        <v>61</v>
      </c>
      <c r="F3088" s="7" t="s">
        <v>39</v>
      </c>
      <c r="G3088" s="8" t="n">
        <v>45716</v>
      </c>
      <c r="H3088" s="8" t="n">
        <v>45757</v>
      </c>
      <c r="I3088" s="7" t="s">
        <v>62</v>
      </c>
      <c r="J3088" s="7" t="s">
        <v>51</v>
      </c>
      <c r="K3088" s="7" t="n">
        <v>41</v>
      </c>
      <c r="L3088" s="7" t="n">
        <v>2</v>
      </c>
      <c r="M3088" s="7" t="n">
        <v>0</v>
      </c>
      <c r="N3088" s="7" t="s">
        <v>42</v>
      </c>
      <c r="O3088" s="7" t="s">
        <v>52</v>
      </c>
      <c r="P3088" s="7" t="n">
        <v>3.6</v>
      </c>
      <c r="Q3088" s="7" t="n">
        <v>22</v>
      </c>
      <c r="R3088" s="7" t="s">
        <v>53</v>
      </c>
      <c r="S3088" s="7"/>
      <c r="T3088" s="7"/>
      <c r="U3088" s="7" t="str">
        <f aca="false">IF(COUNTIF($A$2:$A$5001,A3088)&gt;1,"Duplicate","Unique")</f>
        <v>Unique</v>
      </c>
      <c r="V3088" s="7" t="str">
        <f aca="false">IF(COUNTIFS($B$2:$B$5001,B3088,$H$2:$H$5001,H3088,$J$2:$J$5001,J3088)&gt;1,"Possible Duplicate Booking","Unique")</f>
        <v>Unique</v>
      </c>
      <c r="W3088" s="7" t="str">
        <f aca="false">IF((H3088-G3088)&lt;&gt;K3088,"Mismatch","OK")</f>
        <v>OK</v>
      </c>
      <c r="X3088" s="7" t="str">
        <f aca="false">IF(TEXT(H3088,"dddd")&lt;&gt;I3088,"Mismatch","OK")</f>
        <v>OK</v>
      </c>
      <c r="Y3088" s="7" t="str">
        <f aca="false">IF(AND(N3088="No",O3088&lt;&gt;""),"Unexpected: channel present but no reminder sent",IF(AND(N3088="Yes",O3088=""),"Missing channel for sent reminder","OK"))</f>
        <v>OK</v>
      </c>
    </row>
    <row r="3089" customFormat="false" ht="15" hidden="false" customHeight="false" outlineLevel="0" collapsed="false">
      <c r="A3089" s="9" t="s">
        <v>4632</v>
      </c>
      <c r="B3089" s="9" t="s">
        <v>2284</v>
      </c>
      <c r="C3089" s="9" t="s">
        <v>47</v>
      </c>
      <c r="D3089" s="9" t="n">
        <v>50</v>
      </c>
      <c r="E3089" s="9" t="s">
        <v>56</v>
      </c>
      <c r="F3089" s="9" t="s">
        <v>74</v>
      </c>
      <c r="G3089" s="10" t="n">
        <v>45698</v>
      </c>
      <c r="H3089" s="10" t="n">
        <v>45754</v>
      </c>
      <c r="I3089" s="9" t="s">
        <v>66</v>
      </c>
      <c r="J3089" s="9" t="s">
        <v>51</v>
      </c>
      <c r="K3089" s="9" t="n">
        <v>56</v>
      </c>
      <c r="L3089" s="9" t="n">
        <v>5</v>
      </c>
      <c r="M3089" s="9" t="n">
        <v>1</v>
      </c>
      <c r="N3089" s="9" t="s">
        <v>42</v>
      </c>
      <c r="O3089" s="9" t="s">
        <v>43</v>
      </c>
      <c r="P3089" s="9" t="n">
        <v>3.4</v>
      </c>
      <c r="Q3089" s="9" t="n">
        <v>2</v>
      </c>
      <c r="R3089" s="9" t="s">
        <v>44</v>
      </c>
      <c r="S3089" s="9"/>
      <c r="T3089" s="9"/>
      <c r="U3089" s="9" t="str">
        <f aca="false">IF(COUNTIF($A$2:$A$5001,A3089)&gt;1,"Duplicate","Unique")</f>
        <v>Unique</v>
      </c>
      <c r="V3089" s="9" t="str">
        <f aca="false">IF(COUNTIFS($B$2:$B$5001,B3089,$H$2:$H$5001,H3089,$J$2:$J$5001,J3089)&gt;1,"Possible Duplicate Booking","Unique")</f>
        <v>Unique</v>
      </c>
      <c r="W3089" s="9" t="str">
        <f aca="false">IF((H3089-G3089)&lt;&gt;K3089,"Mismatch","OK")</f>
        <v>OK</v>
      </c>
      <c r="X3089" s="9" t="str">
        <f aca="false">IF(TEXT(H3089,"dddd")&lt;&gt;I3089,"Mismatch","OK")</f>
        <v>OK</v>
      </c>
      <c r="Y3089" s="9" t="str">
        <f aca="false">IF(AND(N3089="No",O3089&lt;&gt;""),"Unexpected: channel present but no reminder sent",IF(AND(N3089="Yes",O3089=""),"Missing channel for sent reminder","OK"))</f>
        <v>OK</v>
      </c>
    </row>
    <row r="3090" customFormat="false" ht="15" hidden="false" customHeight="false" outlineLevel="0" collapsed="false">
      <c r="A3090" s="7" t="s">
        <v>4633</v>
      </c>
      <c r="B3090" s="7" t="s">
        <v>2608</v>
      </c>
      <c r="C3090" s="7" t="s">
        <v>37</v>
      </c>
      <c r="D3090" s="7" t="n">
        <v>60</v>
      </c>
      <c r="E3090" s="7" t="s">
        <v>61</v>
      </c>
      <c r="F3090" s="7" t="s">
        <v>57</v>
      </c>
      <c r="G3090" s="8" t="n">
        <v>45739</v>
      </c>
      <c r="H3090" s="8" t="n">
        <v>45784</v>
      </c>
      <c r="I3090" s="7" t="s">
        <v>58</v>
      </c>
      <c r="J3090" s="7" t="s">
        <v>51</v>
      </c>
      <c r="K3090" s="7" t="n">
        <v>45</v>
      </c>
      <c r="L3090" s="7" t="n">
        <v>3</v>
      </c>
      <c r="M3090" s="7" t="n">
        <v>1</v>
      </c>
      <c r="N3090" s="7" t="s">
        <v>42</v>
      </c>
      <c r="O3090" s="7" t="s">
        <v>52</v>
      </c>
      <c r="P3090" s="7" t="n">
        <v>20.9</v>
      </c>
      <c r="Q3090" s="7" t="n">
        <v>13</v>
      </c>
      <c r="R3090" s="7" t="s">
        <v>44</v>
      </c>
      <c r="S3090" s="7"/>
      <c r="T3090" s="7"/>
      <c r="U3090" s="7" t="str">
        <f aca="false">IF(COUNTIF($A$2:$A$5001,A3090)&gt;1,"Duplicate","Unique")</f>
        <v>Unique</v>
      </c>
      <c r="V3090" s="7" t="str">
        <f aca="false">IF(COUNTIFS($B$2:$B$5001,B3090,$H$2:$H$5001,H3090,$J$2:$J$5001,J3090)&gt;1,"Possible Duplicate Booking","Unique")</f>
        <v>Unique</v>
      </c>
      <c r="W3090" s="7" t="str">
        <f aca="false">IF((H3090-G3090)&lt;&gt;K3090,"Mismatch","OK")</f>
        <v>OK</v>
      </c>
      <c r="X3090" s="7" t="str">
        <f aca="false">IF(TEXT(H3090,"dddd")&lt;&gt;I3090,"Mismatch","OK")</f>
        <v>OK</v>
      </c>
      <c r="Y3090" s="7" t="str">
        <f aca="false">IF(AND(N3090="No",O3090&lt;&gt;""),"Unexpected: channel present but no reminder sent",IF(AND(N3090="Yes",O3090=""),"Missing channel for sent reminder","OK"))</f>
        <v>OK</v>
      </c>
    </row>
    <row r="3091" customFormat="false" ht="15" hidden="false" customHeight="false" outlineLevel="0" collapsed="false">
      <c r="A3091" s="9" t="s">
        <v>4634</v>
      </c>
      <c r="B3091" s="9" t="s">
        <v>1552</v>
      </c>
      <c r="C3091" s="9" t="s">
        <v>37</v>
      </c>
      <c r="D3091" s="9" t="n">
        <v>34</v>
      </c>
      <c r="E3091" s="9" t="s">
        <v>48</v>
      </c>
      <c r="F3091" s="9" t="s">
        <v>39</v>
      </c>
      <c r="G3091" s="10" t="n">
        <v>45884</v>
      </c>
      <c r="H3091" s="10" t="n">
        <v>45913</v>
      </c>
      <c r="I3091" s="9" t="s">
        <v>102</v>
      </c>
      <c r="J3091" s="9" t="s">
        <v>41</v>
      </c>
      <c r="K3091" s="9" t="n">
        <v>29</v>
      </c>
      <c r="L3091" s="9" t="n">
        <v>0</v>
      </c>
      <c r="M3091" s="9" t="n">
        <v>0</v>
      </c>
      <c r="N3091" s="9" t="s">
        <v>42</v>
      </c>
      <c r="O3091" s="9" t="s">
        <v>43</v>
      </c>
      <c r="P3091" s="9" t="n">
        <v>10.2</v>
      </c>
      <c r="Q3091" s="9" t="n">
        <v>33</v>
      </c>
      <c r="R3091" s="9" t="s">
        <v>53</v>
      </c>
      <c r="S3091" s="9"/>
      <c r="T3091" s="9"/>
      <c r="U3091" s="9" t="str">
        <f aca="false">IF(COUNTIF($A$2:$A$5001,A3091)&gt;1,"Duplicate","Unique")</f>
        <v>Unique</v>
      </c>
      <c r="V3091" s="9" t="str">
        <f aca="false">IF(COUNTIFS($B$2:$B$5001,B3091,$H$2:$H$5001,H3091,$J$2:$J$5001,J3091)&gt;1,"Possible Duplicate Booking","Unique")</f>
        <v>Unique</v>
      </c>
      <c r="W3091" s="9" t="str">
        <f aca="false">IF((H3091-G3091)&lt;&gt;K3091,"Mismatch","OK")</f>
        <v>OK</v>
      </c>
      <c r="X3091" s="9" t="str">
        <f aca="false">IF(TEXT(H3091,"dddd")&lt;&gt;I3091,"Mismatch","OK")</f>
        <v>OK</v>
      </c>
      <c r="Y3091" s="9" t="str">
        <f aca="false">IF(AND(N3091="No",O3091&lt;&gt;""),"Unexpected: channel present but no reminder sent",IF(AND(N3091="Yes",O3091=""),"Missing channel for sent reminder","OK"))</f>
        <v>OK</v>
      </c>
    </row>
    <row r="3092" customFormat="false" ht="15" hidden="false" customHeight="false" outlineLevel="0" collapsed="false">
      <c r="A3092" s="7" t="s">
        <v>4635</v>
      </c>
      <c r="B3092" s="7" t="s">
        <v>3086</v>
      </c>
      <c r="C3092" s="7" t="s">
        <v>37</v>
      </c>
      <c r="D3092" s="7" t="n">
        <v>22</v>
      </c>
      <c r="E3092" s="7" t="s">
        <v>82</v>
      </c>
      <c r="F3092" s="7" t="s">
        <v>57</v>
      </c>
      <c r="G3092" s="8" t="n">
        <v>45814</v>
      </c>
      <c r="H3092" s="8" t="n">
        <v>45845</v>
      </c>
      <c r="I3092" s="7" t="s">
        <v>66</v>
      </c>
      <c r="J3092" s="7" t="s">
        <v>41</v>
      </c>
      <c r="K3092" s="7" t="n">
        <v>31</v>
      </c>
      <c r="L3092" s="7" t="n">
        <v>7</v>
      </c>
      <c r="M3092" s="7" t="n">
        <v>0</v>
      </c>
      <c r="N3092" s="7" t="s">
        <v>42</v>
      </c>
      <c r="O3092" s="7" t="s">
        <v>43</v>
      </c>
      <c r="P3092" s="7"/>
      <c r="Q3092" s="7" t="n">
        <v>10</v>
      </c>
      <c r="R3092" s="7" t="s">
        <v>53</v>
      </c>
      <c r="S3092" s="7"/>
      <c r="T3092" s="7"/>
      <c r="U3092" s="7" t="str">
        <f aca="false">IF(COUNTIF($A$2:$A$5001,A3092)&gt;1,"Duplicate","Unique")</f>
        <v>Unique</v>
      </c>
      <c r="V3092" s="7" t="str">
        <f aca="false">IF(COUNTIFS($B$2:$B$5001,B3092,$H$2:$H$5001,H3092,$J$2:$J$5001,J3092)&gt;1,"Possible Duplicate Booking","Unique")</f>
        <v>Unique</v>
      </c>
      <c r="W3092" s="7" t="str">
        <f aca="false">IF((H3092-G3092)&lt;&gt;K3092,"Mismatch","OK")</f>
        <v>OK</v>
      </c>
      <c r="X3092" s="7" t="str">
        <f aca="false">IF(TEXT(H3092,"dddd")&lt;&gt;I3092,"Mismatch","OK")</f>
        <v>OK</v>
      </c>
      <c r="Y3092" s="7" t="str">
        <f aca="false">IF(AND(N3092="No",O3092&lt;&gt;""),"Unexpected: channel present but no reminder sent",IF(AND(N3092="Yes",O3092=""),"Missing channel for sent reminder","OK"))</f>
        <v>OK</v>
      </c>
    </row>
    <row r="3093" customFormat="false" ht="15" hidden="false" customHeight="false" outlineLevel="0" collapsed="false">
      <c r="A3093" s="9" t="s">
        <v>4636</v>
      </c>
      <c r="B3093" s="9" t="s">
        <v>4637</v>
      </c>
      <c r="C3093" s="9" t="s">
        <v>37</v>
      </c>
      <c r="D3093" s="9" t="n">
        <v>71</v>
      </c>
      <c r="E3093" s="9" t="s">
        <v>70</v>
      </c>
      <c r="F3093" s="9" t="s">
        <v>49</v>
      </c>
      <c r="G3093" s="10" t="n">
        <v>45857</v>
      </c>
      <c r="H3093" s="10" t="n">
        <v>45872</v>
      </c>
      <c r="I3093" s="9" t="s">
        <v>75</v>
      </c>
      <c r="J3093" s="9" t="s">
        <v>51</v>
      </c>
      <c r="K3093" s="9" t="n">
        <v>15</v>
      </c>
      <c r="L3093" s="9" t="n">
        <v>0</v>
      </c>
      <c r="M3093" s="9" t="n">
        <v>0</v>
      </c>
      <c r="N3093" s="9" t="s">
        <v>42</v>
      </c>
      <c r="O3093" s="9" t="s">
        <v>52</v>
      </c>
      <c r="P3093" s="9" t="n">
        <v>5.3</v>
      </c>
      <c r="Q3093" s="9" t="n">
        <v>30</v>
      </c>
      <c r="R3093" s="9" t="s">
        <v>53</v>
      </c>
      <c r="S3093" s="9"/>
      <c r="T3093" s="9"/>
      <c r="U3093" s="9" t="str">
        <f aca="false">IF(COUNTIF($A$2:$A$5001,A3093)&gt;1,"Duplicate","Unique")</f>
        <v>Unique</v>
      </c>
      <c r="V3093" s="9" t="str">
        <f aca="false">IF(COUNTIFS($B$2:$B$5001,B3093,$H$2:$H$5001,H3093,$J$2:$J$5001,J3093)&gt;1,"Possible Duplicate Booking","Unique")</f>
        <v>Unique</v>
      </c>
      <c r="W3093" s="9" t="str">
        <f aca="false">IF((H3093-G3093)&lt;&gt;K3093,"Mismatch","OK")</f>
        <v>OK</v>
      </c>
      <c r="X3093" s="9" t="str">
        <f aca="false">IF(TEXT(H3093,"dddd")&lt;&gt;I3093,"Mismatch","OK")</f>
        <v>OK</v>
      </c>
      <c r="Y3093" s="9" t="str">
        <f aca="false">IF(AND(N3093="No",O3093&lt;&gt;""),"Unexpected: channel present but no reminder sent",IF(AND(N3093="Yes",O3093=""),"Missing channel for sent reminder","OK"))</f>
        <v>OK</v>
      </c>
    </row>
    <row r="3094" customFormat="false" ht="15" hidden="false" customHeight="false" outlineLevel="0" collapsed="false">
      <c r="A3094" s="7" t="s">
        <v>4638</v>
      </c>
      <c r="B3094" s="7" t="s">
        <v>3199</v>
      </c>
      <c r="C3094" s="7" t="s">
        <v>47</v>
      </c>
      <c r="D3094" s="7" t="n">
        <v>78</v>
      </c>
      <c r="E3094" s="7" t="s">
        <v>70</v>
      </c>
      <c r="F3094" s="7" t="s">
        <v>39</v>
      </c>
      <c r="G3094" s="8" t="n">
        <v>46010</v>
      </c>
      <c r="H3094" s="8" t="n">
        <v>46050</v>
      </c>
      <c r="I3094" s="7" t="s">
        <v>58</v>
      </c>
      <c r="J3094" s="7" t="s">
        <v>41</v>
      </c>
      <c r="K3094" s="7" t="n">
        <v>40</v>
      </c>
      <c r="L3094" s="7" t="n">
        <v>3</v>
      </c>
      <c r="M3094" s="7" t="n">
        <v>0</v>
      </c>
      <c r="N3094" s="7" t="s">
        <v>42</v>
      </c>
      <c r="O3094" s="7" t="s">
        <v>52</v>
      </c>
      <c r="P3094" s="7" t="n">
        <v>6.3</v>
      </c>
      <c r="Q3094" s="7" t="n">
        <v>29</v>
      </c>
      <c r="R3094" s="7" t="s">
        <v>53</v>
      </c>
      <c r="S3094" s="7"/>
      <c r="T3094" s="7"/>
      <c r="U3094" s="7" t="str">
        <f aca="false">IF(COUNTIF($A$2:$A$5001,A3094)&gt;1,"Duplicate","Unique")</f>
        <v>Unique</v>
      </c>
      <c r="V3094" s="7" t="str">
        <f aca="false">IF(COUNTIFS($B$2:$B$5001,B3094,$H$2:$H$5001,H3094,$J$2:$J$5001,J3094)&gt;1,"Possible Duplicate Booking","Unique")</f>
        <v>Unique</v>
      </c>
      <c r="W3094" s="7" t="str">
        <f aca="false">IF((H3094-G3094)&lt;&gt;K3094,"Mismatch","OK")</f>
        <v>OK</v>
      </c>
      <c r="X3094" s="7" t="str">
        <f aca="false">IF(TEXT(H3094,"dddd")&lt;&gt;I3094,"Mismatch","OK")</f>
        <v>OK</v>
      </c>
      <c r="Y3094" s="7" t="str">
        <f aca="false">IF(AND(N3094="No",O3094&lt;&gt;""),"Unexpected: channel present but no reminder sent",IF(AND(N3094="Yes",O3094=""),"Missing channel for sent reminder","OK"))</f>
        <v>OK</v>
      </c>
    </row>
    <row r="3095" customFormat="false" ht="15" hidden="false" customHeight="false" outlineLevel="0" collapsed="false">
      <c r="A3095" s="9" t="s">
        <v>4639</v>
      </c>
      <c r="B3095" s="9" t="s">
        <v>174</v>
      </c>
      <c r="C3095" s="9" t="s">
        <v>236</v>
      </c>
      <c r="D3095" s="9" t="n">
        <v>20</v>
      </c>
      <c r="E3095" s="9" t="s">
        <v>82</v>
      </c>
      <c r="F3095" s="9" t="s">
        <v>39</v>
      </c>
      <c r="G3095" s="10" t="n">
        <v>45775</v>
      </c>
      <c r="H3095" s="10" t="n">
        <v>45789</v>
      </c>
      <c r="I3095" s="9" t="s">
        <v>66</v>
      </c>
      <c r="J3095" s="9" t="s">
        <v>41</v>
      </c>
      <c r="K3095" s="9" t="n">
        <v>14</v>
      </c>
      <c r="L3095" s="9" t="n">
        <v>1</v>
      </c>
      <c r="M3095" s="9" t="n">
        <v>0</v>
      </c>
      <c r="N3095" s="9" t="s">
        <v>42</v>
      </c>
      <c r="O3095" s="9" t="s">
        <v>52</v>
      </c>
      <c r="P3095" s="9" t="n">
        <v>18.2</v>
      </c>
      <c r="Q3095" s="9" t="n">
        <v>13</v>
      </c>
      <c r="R3095" s="9" t="s">
        <v>44</v>
      </c>
      <c r="S3095" s="9"/>
      <c r="T3095" s="9"/>
      <c r="U3095" s="9" t="str">
        <f aca="false">IF(COUNTIF($A$2:$A$5001,A3095)&gt;1,"Duplicate","Unique")</f>
        <v>Unique</v>
      </c>
      <c r="V3095" s="9" t="str">
        <f aca="false">IF(COUNTIFS($B$2:$B$5001,B3095,$H$2:$H$5001,H3095,$J$2:$J$5001,J3095)&gt;1,"Possible Duplicate Booking","Unique")</f>
        <v>Unique</v>
      </c>
      <c r="W3095" s="9" t="str">
        <f aca="false">IF((H3095-G3095)&lt;&gt;K3095,"Mismatch","OK")</f>
        <v>OK</v>
      </c>
      <c r="X3095" s="9" t="str">
        <f aca="false">IF(TEXT(H3095,"dddd")&lt;&gt;I3095,"Mismatch","OK")</f>
        <v>OK</v>
      </c>
      <c r="Y3095" s="9" t="str">
        <f aca="false">IF(AND(N3095="No",O3095&lt;&gt;""),"Unexpected: channel present but no reminder sent",IF(AND(N3095="Yes",O3095=""),"Missing channel for sent reminder","OK"))</f>
        <v>OK</v>
      </c>
    </row>
    <row r="3096" customFormat="false" ht="15" hidden="false" customHeight="false" outlineLevel="0" collapsed="false">
      <c r="A3096" s="7" t="s">
        <v>4640</v>
      </c>
      <c r="B3096" s="7" t="s">
        <v>1720</v>
      </c>
      <c r="C3096" s="7" t="s">
        <v>37</v>
      </c>
      <c r="D3096" s="7" t="n">
        <v>21</v>
      </c>
      <c r="E3096" s="7" t="s">
        <v>82</v>
      </c>
      <c r="F3096" s="7" t="s">
        <v>49</v>
      </c>
      <c r="G3096" s="8" t="n">
        <v>46134</v>
      </c>
      <c r="H3096" s="8" t="n">
        <v>46154</v>
      </c>
      <c r="I3096" s="7" t="s">
        <v>40</v>
      </c>
      <c r="J3096" s="7" t="s">
        <v>41</v>
      </c>
      <c r="K3096" s="7" t="n">
        <v>20</v>
      </c>
      <c r="L3096" s="7" t="n">
        <v>1</v>
      </c>
      <c r="M3096" s="7" t="n">
        <v>0</v>
      </c>
      <c r="N3096" s="7" t="s">
        <v>42</v>
      </c>
      <c r="O3096" s="7" t="s">
        <v>52</v>
      </c>
      <c r="P3096" s="7" t="n">
        <v>7</v>
      </c>
      <c r="Q3096" s="7" t="n">
        <v>34</v>
      </c>
      <c r="R3096" s="7" t="s">
        <v>44</v>
      </c>
      <c r="S3096" s="7"/>
      <c r="T3096" s="7"/>
      <c r="U3096" s="7" t="str">
        <f aca="false">IF(COUNTIF($A$2:$A$5001,A3096)&gt;1,"Duplicate","Unique")</f>
        <v>Unique</v>
      </c>
      <c r="V3096" s="7" t="str">
        <f aca="false">IF(COUNTIFS($B$2:$B$5001,B3096,$H$2:$H$5001,H3096,$J$2:$J$5001,J3096)&gt;1,"Possible Duplicate Booking","Unique")</f>
        <v>Unique</v>
      </c>
      <c r="W3096" s="7" t="str">
        <f aca="false">IF((H3096-G3096)&lt;&gt;K3096,"Mismatch","OK")</f>
        <v>OK</v>
      </c>
      <c r="X3096" s="7" t="str">
        <f aca="false">IF(TEXT(H3096,"dddd")&lt;&gt;I3096,"Mismatch","OK")</f>
        <v>OK</v>
      </c>
      <c r="Y3096" s="7" t="str">
        <f aca="false">IF(AND(N3096="No",O3096&lt;&gt;""),"Unexpected: channel present but no reminder sent",IF(AND(N3096="Yes",O3096=""),"Missing channel for sent reminder","OK"))</f>
        <v>OK</v>
      </c>
    </row>
    <row r="3097" customFormat="false" ht="15" hidden="false" customHeight="false" outlineLevel="0" collapsed="false">
      <c r="A3097" s="9" t="s">
        <v>4641</v>
      </c>
      <c r="B3097" s="9" t="s">
        <v>1131</v>
      </c>
      <c r="C3097" s="9" t="s">
        <v>47</v>
      </c>
      <c r="D3097" s="9" t="n">
        <v>53</v>
      </c>
      <c r="E3097" s="9" t="s">
        <v>56</v>
      </c>
      <c r="F3097" s="9" t="s">
        <v>39</v>
      </c>
      <c r="G3097" s="10" t="n">
        <v>46052</v>
      </c>
      <c r="H3097" s="10" t="n">
        <v>46068</v>
      </c>
      <c r="I3097" s="9" t="s">
        <v>75</v>
      </c>
      <c r="J3097" s="9" t="s">
        <v>51</v>
      </c>
      <c r="K3097" s="9" t="n">
        <v>16</v>
      </c>
      <c r="L3097" s="9" t="n">
        <v>1</v>
      </c>
      <c r="M3097" s="9" t="n">
        <v>0</v>
      </c>
      <c r="N3097" s="9" t="s">
        <v>71</v>
      </c>
      <c r="O3097" s="9"/>
      <c r="P3097" s="9" t="n">
        <v>5.8</v>
      </c>
      <c r="Q3097" s="9" t="n">
        <v>23</v>
      </c>
      <c r="R3097" s="9" t="s">
        <v>44</v>
      </c>
      <c r="S3097" s="9"/>
      <c r="T3097" s="9"/>
      <c r="U3097" s="9" t="str">
        <f aca="false">IF(COUNTIF($A$2:$A$5001,A3097)&gt;1,"Duplicate","Unique")</f>
        <v>Unique</v>
      </c>
      <c r="V3097" s="9" t="str">
        <f aca="false">IF(COUNTIFS($B$2:$B$5001,B3097,$H$2:$H$5001,H3097,$J$2:$J$5001,J3097)&gt;1,"Possible Duplicate Booking","Unique")</f>
        <v>Unique</v>
      </c>
      <c r="W3097" s="9" t="str">
        <f aca="false">IF((H3097-G3097)&lt;&gt;K3097,"Mismatch","OK")</f>
        <v>OK</v>
      </c>
      <c r="X3097" s="9" t="str">
        <f aca="false">IF(TEXT(H3097,"dddd")&lt;&gt;I3097,"Mismatch","OK")</f>
        <v>OK</v>
      </c>
      <c r="Y3097" s="9" t="str">
        <f aca="false">IF(AND(N3097="No",O3097&lt;&gt;""),"Unexpected: channel present but no reminder sent",IF(AND(N3097="Yes",O3097=""),"Missing channel for sent reminder","OK"))</f>
        <v>OK</v>
      </c>
    </row>
    <row r="3098" customFormat="false" ht="15" hidden="false" customHeight="false" outlineLevel="0" collapsed="false">
      <c r="A3098" s="7" t="s">
        <v>4642</v>
      </c>
      <c r="B3098" s="7" t="s">
        <v>2473</v>
      </c>
      <c r="C3098" s="7" t="s">
        <v>47</v>
      </c>
      <c r="D3098" s="7" t="n">
        <v>20</v>
      </c>
      <c r="E3098" s="7" t="s">
        <v>82</v>
      </c>
      <c r="F3098" s="7" t="s">
        <v>57</v>
      </c>
      <c r="G3098" s="8" t="n">
        <v>45733</v>
      </c>
      <c r="H3098" s="8" t="n">
        <v>45753</v>
      </c>
      <c r="I3098" s="7" t="s">
        <v>75</v>
      </c>
      <c r="J3098" s="7" t="s">
        <v>51</v>
      </c>
      <c r="K3098" s="7" t="n">
        <v>20</v>
      </c>
      <c r="L3098" s="7" t="n">
        <v>4</v>
      </c>
      <c r="M3098" s="7" t="n">
        <v>1</v>
      </c>
      <c r="N3098" s="7" t="s">
        <v>71</v>
      </c>
      <c r="O3098" s="7"/>
      <c r="P3098" s="7" t="n">
        <v>1.8</v>
      </c>
      <c r="Q3098" s="7" t="n">
        <v>22</v>
      </c>
      <c r="R3098" s="7" t="s">
        <v>53</v>
      </c>
      <c r="S3098" s="7"/>
      <c r="T3098" s="7"/>
      <c r="U3098" s="7" t="str">
        <f aca="false">IF(COUNTIF($A$2:$A$5001,A3098)&gt;1,"Duplicate","Unique")</f>
        <v>Unique</v>
      </c>
      <c r="V3098" s="7" t="str">
        <f aca="false">IF(COUNTIFS($B$2:$B$5001,B3098,$H$2:$H$5001,H3098,$J$2:$J$5001,J3098)&gt;1,"Possible Duplicate Booking","Unique")</f>
        <v>Unique</v>
      </c>
      <c r="W3098" s="7" t="str">
        <f aca="false">IF((H3098-G3098)&lt;&gt;K3098,"Mismatch","OK")</f>
        <v>OK</v>
      </c>
      <c r="X3098" s="7" t="str">
        <f aca="false">IF(TEXT(H3098,"dddd")&lt;&gt;I3098,"Mismatch","OK")</f>
        <v>OK</v>
      </c>
      <c r="Y3098" s="7" t="str">
        <f aca="false">IF(AND(N3098="No",O3098&lt;&gt;""),"Unexpected: channel present but no reminder sent",IF(AND(N3098="Yes",O3098=""),"Missing channel for sent reminder","OK"))</f>
        <v>OK</v>
      </c>
    </row>
    <row r="3099" customFormat="false" ht="15" hidden="false" customHeight="false" outlineLevel="0" collapsed="false">
      <c r="A3099" s="9" t="s">
        <v>4643</v>
      </c>
      <c r="B3099" s="9" t="s">
        <v>266</v>
      </c>
      <c r="C3099" s="9" t="s">
        <v>37</v>
      </c>
      <c r="D3099" s="9" t="n">
        <v>63</v>
      </c>
      <c r="E3099" s="9" t="s">
        <v>61</v>
      </c>
      <c r="F3099" s="9" t="s">
        <v>39</v>
      </c>
      <c r="G3099" s="10" t="n">
        <v>45807</v>
      </c>
      <c r="H3099" s="10" t="n">
        <v>45829</v>
      </c>
      <c r="I3099" s="9" t="s">
        <v>102</v>
      </c>
      <c r="J3099" s="9" t="s">
        <v>51</v>
      </c>
      <c r="K3099" s="9" t="n">
        <v>22</v>
      </c>
      <c r="L3099" s="9" t="n">
        <v>2</v>
      </c>
      <c r="M3099" s="9" t="n">
        <v>1</v>
      </c>
      <c r="N3099" s="9" t="s">
        <v>71</v>
      </c>
      <c r="O3099" s="9"/>
      <c r="P3099" s="9" t="n">
        <v>6.3</v>
      </c>
      <c r="Q3099" s="9" t="n">
        <v>11</v>
      </c>
      <c r="R3099" s="9" t="s">
        <v>53</v>
      </c>
      <c r="S3099" s="9"/>
      <c r="T3099" s="9"/>
      <c r="U3099" s="9" t="str">
        <f aca="false">IF(COUNTIF($A$2:$A$5001,A3099)&gt;1,"Duplicate","Unique")</f>
        <v>Unique</v>
      </c>
      <c r="V3099" s="9" t="str">
        <f aca="false">IF(COUNTIFS($B$2:$B$5001,B3099,$H$2:$H$5001,H3099,$J$2:$J$5001,J3099)&gt;1,"Possible Duplicate Booking","Unique")</f>
        <v>Unique</v>
      </c>
      <c r="W3099" s="9" t="str">
        <f aca="false">IF((H3099-G3099)&lt;&gt;K3099,"Mismatch","OK")</f>
        <v>OK</v>
      </c>
      <c r="X3099" s="9" t="str">
        <f aca="false">IF(TEXT(H3099,"dddd")&lt;&gt;I3099,"Mismatch","OK")</f>
        <v>OK</v>
      </c>
      <c r="Y3099" s="9" t="str">
        <f aca="false">IF(AND(N3099="No",O3099&lt;&gt;""),"Unexpected: channel present but no reminder sent",IF(AND(N3099="Yes",O3099=""),"Missing channel for sent reminder","OK"))</f>
        <v>OK</v>
      </c>
    </row>
    <row r="3100" customFormat="false" ht="15" hidden="false" customHeight="false" outlineLevel="0" collapsed="false">
      <c r="A3100" s="7" t="s">
        <v>4644</v>
      </c>
      <c r="B3100" s="7" t="s">
        <v>3870</v>
      </c>
      <c r="C3100" s="7" t="s">
        <v>47</v>
      </c>
      <c r="D3100" s="7" t="n">
        <v>77</v>
      </c>
      <c r="E3100" s="7" t="s">
        <v>70</v>
      </c>
      <c r="F3100" s="7" t="s">
        <v>57</v>
      </c>
      <c r="G3100" s="8" t="n">
        <v>45753</v>
      </c>
      <c r="H3100" s="8" t="n">
        <v>45758</v>
      </c>
      <c r="I3100" s="7" t="s">
        <v>50</v>
      </c>
      <c r="J3100" s="7" t="s">
        <v>41</v>
      </c>
      <c r="K3100" s="7" t="n">
        <v>5</v>
      </c>
      <c r="L3100" s="7" t="n">
        <v>1</v>
      </c>
      <c r="M3100" s="7" t="n">
        <v>0</v>
      </c>
      <c r="N3100" s="7" t="s">
        <v>42</v>
      </c>
      <c r="O3100" s="7" t="s">
        <v>67</v>
      </c>
      <c r="P3100" s="7" t="n">
        <v>3.5</v>
      </c>
      <c r="Q3100" s="7" t="n">
        <v>38</v>
      </c>
      <c r="R3100" s="7" t="s">
        <v>53</v>
      </c>
      <c r="S3100" s="7"/>
      <c r="T3100" s="7"/>
      <c r="U3100" s="7" t="str">
        <f aca="false">IF(COUNTIF($A$2:$A$5001,A3100)&gt;1,"Duplicate","Unique")</f>
        <v>Unique</v>
      </c>
      <c r="V3100" s="7" t="str">
        <f aca="false">IF(COUNTIFS($B$2:$B$5001,B3100,$H$2:$H$5001,H3100,$J$2:$J$5001,J3100)&gt;1,"Possible Duplicate Booking","Unique")</f>
        <v>Unique</v>
      </c>
      <c r="W3100" s="7" t="str">
        <f aca="false">IF((H3100-G3100)&lt;&gt;K3100,"Mismatch","OK")</f>
        <v>OK</v>
      </c>
      <c r="X3100" s="7" t="str">
        <f aca="false">IF(TEXT(H3100,"dddd")&lt;&gt;I3100,"Mismatch","OK")</f>
        <v>OK</v>
      </c>
      <c r="Y3100" s="7" t="str">
        <f aca="false">IF(AND(N3100="No",O3100&lt;&gt;""),"Unexpected: channel present but no reminder sent",IF(AND(N3100="Yes",O3100=""),"Missing channel for sent reminder","OK"))</f>
        <v>OK</v>
      </c>
    </row>
    <row r="3101" customFormat="false" ht="15" hidden="false" customHeight="false" outlineLevel="0" collapsed="false">
      <c r="A3101" s="9" t="s">
        <v>4645</v>
      </c>
      <c r="B3101" s="9" t="s">
        <v>554</v>
      </c>
      <c r="C3101" s="9" t="s">
        <v>47</v>
      </c>
      <c r="D3101" s="9" t="n">
        <v>35</v>
      </c>
      <c r="E3101" s="9" t="s">
        <v>38</v>
      </c>
      <c r="F3101" s="9" t="s">
        <v>74</v>
      </c>
      <c r="G3101" s="10" t="n">
        <v>45763</v>
      </c>
      <c r="H3101" s="10" t="n">
        <v>45806</v>
      </c>
      <c r="I3101" s="9" t="s">
        <v>62</v>
      </c>
      <c r="J3101" s="9" t="s">
        <v>41</v>
      </c>
      <c r="K3101" s="9" t="n">
        <v>43</v>
      </c>
      <c r="L3101" s="9" t="n">
        <v>1</v>
      </c>
      <c r="M3101" s="9" t="n">
        <v>0</v>
      </c>
      <c r="N3101" s="9" t="s">
        <v>42</v>
      </c>
      <c r="O3101" s="9" t="s">
        <v>52</v>
      </c>
      <c r="P3101" s="9" t="n">
        <v>4.1</v>
      </c>
      <c r="Q3101" s="9" t="n">
        <v>11</v>
      </c>
      <c r="R3101" s="9" t="s">
        <v>53</v>
      </c>
      <c r="S3101" s="9"/>
      <c r="T3101" s="9"/>
      <c r="U3101" s="9" t="str">
        <f aca="false">IF(COUNTIF($A$2:$A$5001,A3101)&gt;1,"Duplicate","Unique")</f>
        <v>Unique</v>
      </c>
      <c r="V3101" s="9" t="str">
        <f aca="false">IF(COUNTIFS($B$2:$B$5001,B3101,$H$2:$H$5001,H3101,$J$2:$J$5001,J3101)&gt;1,"Possible Duplicate Booking","Unique")</f>
        <v>Unique</v>
      </c>
      <c r="W3101" s="9" t="str">
        <f aca="false">IF((H3101-G3101)&lt;&gt;K3101,"Mismatch","OK")</f>
        <v>OK</v>
      </c>
      <c r="X3101" s="9" t="str">
        <f aca="false">IF(TEXT(H3101,"dddd")&lt;&gt;I3101,"Mismatch","OK")</f>
        <v>OK</v>
      </c>
      <c r="Y3101" s="9" t="str">
        <f aca="false">IF(AND(N3101="No",O3101&lt;&gt;""),"Unexpected: channel present but no reminder sent",IF(AND(N3101="Yes",O3101=""),"Missing channel for sent reminder","OK"))</f>
        <v>OK</v>
      </c>
    </row>
    <row r="3102" customFormat="false" ht="15" hidden="false" customHeight="false" outlineLevel="0" collapsed="false">
      <c r="A3102" s="7" t="s">
        <v>4646</v>
      </c>
      <c r="B3102" s="7" t="s">
        <v>233</v>
      </c>
      <c r="C3102" s="7" t="s">
        <v>47</v>
      </c>
      <c r="D3102" s="7" t="n">
        <v>36</v>
      </c>
      <c r="E3102" s="7" t="s">
        <v>38</v>
      </c>
      <c r="F3102" s="7" t="s">
        <v>49</v>
      </c>
      <c r="G3102" s="8" t="n">
        <v>45831</v>
      </c>
      <c r="H3102" s="8" t="n">
        <v>45857</v>
      </c>
      <c r="I3102" s="7" t="s">
        <v>102</v>
      </c>
      <c r="J3102" s="7" t="s">
        <v>51</v>
      </c>
      <c r="K3102" s="7" t="n">
        <v>26</v>
      </c>
      <c r="L3102" s="7" t="n">
        <v>3</v>
      </c>
      <c r="M3102" s="7" t="n">
        <v>0</v>
      </c>
      <c r="N3102" s="7" t="s">
        <v>71</v>
      </c>
      <c r="O3102" s="7"/>
      <c r="P3102" s="7" t="n">
        <v>4.9</v>
      </c>
      <c r="Q3102" s="7" t="n">
        <v>11</v>
      </c>
      <c r="R3102" s="7" t="s">
        <v>44</v>
      </c>
      <c r="S3102" s="7"/>
      <c r="T3102" s="7"/>
      <c r="U3102" s="7" t="str">
        <f aca="false">IF(COUNTIF($A$2:$A$5001,A3102)&gt;1,"Duplicate","Unique")</f>
        <v>Unique</v>
      </c>
      <c r="V3102" s="7" t="str">
        <f aca="false">IF(COUNTIFS($B$2:$B$5001,B3102,$H$2:$H$5001,H3102,$J$2:$J$5001,J3102)&gt;1,"Possible Duplicate Booking","Unique")</f>
        <v>Unique</v>
      </c>
      <c r="W3102" s="7" t="str">
        <f aca="false">IF((H3102-G3102)&lt;&gt;K3102,"Mismatch","OK")</f>
        <v>OK</v>
      </c>
      <c r="X3102" s="7" t="str">
        <f aca="false">IF(TEXT(H3102,"dddd")&lt;&gt;I3102,"Mismatch","OK")</f>
        <v>OK</v>
      </c>
      <c r="Y3102" s="7" t="str">
        <f aca="false">IF(AND(N3102="No",O3102&lt;&gt;""),"Unexpected: channel present but no reminder sent",IF(AND(N3102="Yes",O3102=""),"Missing channel for sent reminder","OK"))</f>
        <v>OK</v>
      </c>
    </row>
    <row r="3103" customFormat="false" ht="15" hidden="false" customHeight="false" outlineLevel="0" collapsed="false">
      <c r="A3103" s="9" t="s">
        <v>4647</v>
      </c>
      <c r="B3103" s="9" t="s">
        <v>286</v>
      </c>
      <c r="C3103" s="9" t="s">
        <v>47</v>
      </c>
      <c r="D3103" s="9" t="n">
        <v>72</v>
      </c>
      <c r="E3103" s="9" t="s">
        <v>70</v>
      </c>
      <c r="F3103" s="9" t="s">
        <v>49</v>
      </c>
      <c r="G3103" s="10" t="n">
        <v>45672</v>
      </c>
      <c r="H3103" s="10" t="n">
        <v>45729</v>
      </c>
      <c r="I3103" s="9" t="s">
        <v>62</v>
      </c>
      <c r="J3103" s="9" t="s">
        <v>51</v>
      </c>
      <c r="K3103" s="9" t="n">
        <v>57</v>
      </c>
      <c r="L3103" s="9" t="n">
        <v>1</v>
      </c>
      <c r="M3103" s="9" t="n">
        <v>0</v>
      </c>
      <c r="N3103" s="9" t="s">
        <v>71</v>
      </c>
      <c r="O3103" s="9"/>
      <c r="P3103" s="9" t="n">
        <v>16</v>
      </c>
      <c r="Q3103" s="9" t="n">
        <v>26</v>
      </c>
      <c r="R3103" s="9" t="s">
        <v>44</v>
      </c>
      <c r="S3103" s="9"/>
      <c r="T3103" s="9"/>
      <c r="U3103" s="9" t="str">
        <f aca="false">IF(COUNTIF($A$2:$A$5001,A3103)&gt;1,"Duplicate","Unique")</f>
        <v>Unique</v>
      </c>
      <c r="V3103" s="9" t="str">
        <f aca="false">IF(COUNTIFS($B$2:$B$5001,B3103,$H$2:$H$5001,H3103,$J$2:$J$5001,J3103)&gt;1,"Possible Duplicate Booking","Unique")</f>
        <v>Unique</v>
      </c>
      <c r="W3103" s="9" t="str">
        <f aca="false">IF((H3103-G3103)&lt;&gt;K3103,"Mismatch","OK")</f>
        <v>OK</v>
      </c>
      <c r="X3103" s="9" t="str">
        <f aca="false">IF(TEXT(H3103,"dddd")&lt;&gt;I3103,"Mismatch","OK")</f>
        <v>OK</v>
      </c>
      <c r="Y3103" s="9" t="str">
        <f aca="false">IF(AND(N3103="No",O3103&lt;&gt;""),"Unexpected: channel present but no reminder sent",IF(AND(N3103="Yes",O3103=""),"Missing channel for sent reminder","OK"))</f>
        <v>OK</v>
      </c>
    </row>
    <row r="3104" customFormat="false" ht="15" hidden="false" customHeight="false" outlineLevel="0" collapsed="false">
      <c r="A3104" s="7" t="s">
        <v>4648</v>
      </c>
      <c r="B3104" s="7" t="s">
        <v>2601</v>
      </c>
      <c r="C3104" s="7" t="s">
        <v>37</v>
      </c>
      <c r="D3104" s="7" t="n">
        <v>40</v>
      </c>
      <c r="E3104" s="7" t="s">
        <v>38</v>
      </c>
      <c r="F3104" s="7" t="s">
        <v>49</v>
      </c>
      <c r="G3104" s="8" t="n">
        <v>45654</v>
      </c>
      <c r="H3104" s="8" t="n">
        <v>45665</v>
      </c>
      <c r="I3104" s="7" t="s">
        <v>58</v>
      </c>
      <c r="J3104" s="7" t="s">
        <v>41</v>
      </c>
      <c r="K3104" s="7" t="n">
        <v>11</v>
      </c>
      <c r="L3104" s="7" t="n">
        <v>2</v>
      </c>
      <c r="M3104" s="7" t="n">
        <v>0</v>
      </c>
      <c r="N3104" s="7" t="s">
        <v>42</v>
      </c>
      <c r="O3104" s="7" t="s">
        <v>52</v>
      </c>
      <c r="P3104" s="7" t="n">
        <v>1.7</v>
      </c>
      <c r="Q3104" s="7" t="n">
        <v>13</v>
      </c>
      <c r="R3104" s="7" t="s">
        <v>53</v>
      </c>
      <c r="S3104" s="7"/>
      <c r="T3104" s="7"/>
      <c r="U3104" s="7" t="str">
        <f aca="false">IF(COUNTIF($A$2:$A$5001,A3104)&gt;1,"Duplicate","Unique")</f>
        <v>Unique</v>
      </c>
      <c r="V3104" s="7" t="str">
        <f aca="false">IF(COUNTIFS($B$2:$B$5001,B3104,$H$2:$H$5001,H3104,$J$2:$J$5001,J3104)&gt;1,"Possible Duplicate Booking","Unique")</f>
        <v>Unique</v>
      </c>
      <c r="W3104" s="7" t="str">
        <f aca="false">IF((H3104-G3104)&lt;&gt;K3104,"Mismatch","OK")</f>
        <v>OK</v>
      </c>
      <c r="X3104" s="7" t="str">
        <f aca="false">IF(TEXT(H3104,"dddd")&lt;&gt;I3104,"Mismatch","OK")</f>
        <v>OK</v>
      </c>
      <c r="Y3104" s="7" t="str">
        <f aca="false">IF(AND(N3104="No",O3104&lt;&gt;""),"Unexpected: channel present but no reminder sent",IF(AND(N3104="Yes",O3104=""),"Missing channel for sent reminder","OK"))</f>
        <v>OK</v>
      </c>
    </row>
    <row r="3105" customFormat="false" ht="15" hidden="false" customHeight="false" outlineLevel="0" collapsed="false">
      <c r="A3105" s="9" t="s">
        <v>4649</v>
      </c>
      <c r="B3105" s="9" t="s">
        <v>2682</v>
      </c>
      <c r="C3105" s="9" t="s">
        <v>47</v>
      </c>
      <c r="D3105" s="9" t="n">
        <v>33</v>
      </c>
      <c r="E3105" s="9" t="s">
        <v>48</v>
      </c>
      <c r="F3105" s="9" t="s">
        <v>49</v>
      </c>
      <c r="G3105" s="10" t="n">
        <v>45857</v>
      </c>
      <c r="H3105" s="10" t="n">
        <v>45897</v>
      </c>
      <c r="I3105" s="9" t="s">
        <v>62</v>
      </c>
      <c r="J3105" s="9" t="s">
        <v>51</v>
      </c>
      <c r="K3105" s="9" t="n">
        <v>40</v>
      </c>
      <c r="L3105" s="9" t="n">
        <v>6</v>
      </c>
      <c r="M3105" s="9" t="n">
        <v>1</v>
      </c>
      <c r="N3105" s="9" t="s">
        <v>71</v>
      </c>
      <c r="O3105" s="9"/>
      <c r="P3105" s="9" t="n">
        <v>9.4</v>
      </c>
      <c r="Q3105" s="9" t="n">
        <v>47</v>
      </c>
      <c r="R3105" s="9" t="s">
        <v>44</v>
      </c>
      <c r="S3105" s="9"/>
      <c r="T3105" s="9"/>
      <c r="U3105" s="9" t="str">
        <f aca="false">IF(COUNTIF($A$2:$A$5001,A3105)&gt;1,"Duplicate","Unique")</f>
        <v>Unique</v>
      </c>
      <c r="V3105" s="9" t="str">
        <f aca="false">IF(COUNTIFS($B$2:$B$5001,B3105,$H$2:$H$5001,H3105,$J$2:$J$5001,J3105)&gt;1,"Possible Duplicate Booking","Unique")</f>
        <v>Unique</v>
      </c>
      <c r="W3105" s="9" t="str">
        <f aca="false">IF((H3105-G3105)&lt;&gt;K3105,"Mismatch","OK")</f>
        <v>OK</v>
      </c>
      <c r="X3105" s="9" t="str">
        <f aca="false">IF(TEXT(H3105,"dddd")&lt;&gt;I3105,"Mismatch","OK")</f>
        <v>OK</v>
      </c>
      <c r="Y3105" s="9" t="str">
        <f aca="false">IF(AND(N3105="No",O3105&lt;&gt;""),"Unexpected: channel present but no reminder sent",IF(AND(N3105="Yes",O3105=""),"Missing channel for sent reminder","OK"))</f>
        <v>OK</v>
      </c>
    </row>
    <row r="3106" customFormat="false" ht="15" hidden="false" customHeight="false" outlineLevel="0" collapsed="false">
      <c r="A3106" s="7" t="s">
        <v>4650</v>
      </c>
      <c r="B3106" s="7" t="s">
        <v>3339</v>
      </c>
      <c r="C3106" s="7" t="s">
        <v>37</v>
      </c>
      <c r="D3106" s="7" t="n">
        <v>23</v>
      </c>
      <c r="E3106" s="7" t="s">
        <v>82</v>
      </c>
      <c r="F3106" s="7" t="s">
        <v>39</v>
      </c>
      <c r="G3106" s="8" t="n">
        <v>46030</v>
      </c>
      <c r="H3106" s="8" t="n">
        <v>46040</v>
      </c>
      <c r="I3106" s="7" t="s">
        <v>75</v>
      </c>
      <c r="J3106" s="7" t="s">
        <v>41</v>
      </c>
      <c r="K3106" s="7" t="n">
        <v>10</v>
      </c>
      <c r="L3106" s="7" t="n">
        <v>2</v>
      </c>
      <c r="M3106" s="7" t="n">
        <v>1</v>
      </c>
      <c r="N3106" s="7" t="s">
        <v>42</v>
      </c>
      <c r="O3106" s="7" t="s">
        <v>52</v>
      </c>
      <c r="P3106" s="7" t="n">
        <v>6.5</v>
      </c>
      <c r="Q3106" s="7"/>
      <c r="R3106" s="7" t="s">
        <v>53</v>
      </c>
      <c r="S3106" s="7"/>
      <c r="T3106" s="7"/>
      <c r="U3106" s="7" t="str">
        <f aca="false">IF(COUNTIF($A$2:$A$5001,A3106)&gt;1,"Duplicate","Unique")</f>
        <v>Unique</v>
      </c>
      <c r="V3106" s="7" t="str">
        <f aca="false">IF(COUNTIFS($B$2:$B$5001,B3106,$H$2:$H$5001,H3106,$J$2:$J$5001,J3106)&gt;1,"Possible Duplicate Booking","Unique")</f>
        <v>Unique</v>
      </c>
      <c r="W3106" s="7" t="str">
        <f aca="false">IF((H3106-G3106)&lt;&gt;K3106,"Mismatch","OK")</f>
        <v>OK</v>
      </c>
      <c r="X3106" s="7" t="str">
        <f aca="false">IF(TEXT(H3106,"dddd")&lt;&gt;I3106,"Mismatch","OK")</f>
        <v>OK</v>
      </c>
      <c r="Y3106" s="7" t="str">
        <f aca="false">IF(AND(N3106="No",O3106&lt;&gt;""),"Unexpected: channel present but no reminder sent",IF(AND(N3106="Yes",O3106=""),"Missing channel for sent reminder","OK"))</f>
        <v>OK</v>
      </c>
    </row>
    <row r="3107" customFormat="false" ht="15" hidden="false" customHeight="false" outlineLevel="0" collapsed="false">
      <c r="A3107" s="9" t="s">
        <v>4651</v>
      </c>
      <c r="B3107" s="9" t="s">
        <v>991</v>
      </c>
      <c r="C3107" s="9" t="s">
        <v>47</v>
      </c>
      <c r="D3107" s="9" t="n">
        <v>70</v>
      </c>
      <c r="E3107" s="9" t="s">
        <v>70</v>
      </c>
      <c r="F3107" s="9" t="s">
        <v>57</v>
      </c>
      <c r="G3107" s="10" t="n">
        <v>45790</v>
      </c>
      <c r="H3107" s="10" t="n">
        <v>45823</v>
      </c>
      <c r="I3107" s="9" t="s">
        <v>75</v>
      </c>
      <c r="J3107" s="9" t="s">
        <v>51</v>
      </c>
      <c r="K3107" s="9" t="n">
        <v>33</v>
      </c>
      <c r="L3107" s="9" t="n">
        <v>4</v>
      </c>
      <c r="M3107" s="9" t="n">
        <v>0</v>
      </c>
      <c r="N3107" s="9" t="s">
        <v>71</v>
      </c>
      <c r="O3107" s="9"/>
      <c r="P3107" s="9" t="n">
        <v>10.8</v>
      </c>
      <c r="Q3107" s="9" t="n">
        <v>33</v>
      </c>
      <c r="R3107" s="9" t="s">
        <v>53</v>
      </c>
      <c r="S3107" s="9"/>
      <c r="T3107" s="9"/>
      <c r="U3107" s="9" t="str">
        <f aca="false">IF(COUNTIF($A$2:$A$5001,A3107)&gt;1,"Duplicate","Unique")</f>
        <v>Unique</v>
      </c>
      <c r="V3107" s="9" t="str">
        <f aca="false">IF(COUNTIFS($B$2:$B$5001,B3107,$H$2:$H$5001,H3107,$J$2:$J$5001,J3107)&gt;1,"Possible Duplicate Booking","Unique")</f>
        <v>Unique</v>
      </c>
      <c r="W3107" s="9" t="str">
        <f aca="false">IF((H3107-G3107)&lt;&gt;K3107,"Mismatch","OK")</f>
        <v>OK</v>
      </c>
      <c r="X3107" s="9" t="str">
        <f aca="false">IF(TEXT(H3107,"dddd")&lt;&gt;I3107,"Mismatch","OK")</f>
        <v>OK</v>
      </c>
      <c r="Y3107" s="9" t="str">
        <f aca="false">IF(AND(N3107="No",O3107&lt;&gt;""),"Unexpected: channel present but no reminder sent",IF(AND(N3107="Yes",O3107=""),"Missing channel for sent reminder","OK"))</f>
        <v>OK</v>
      </c>
    </row>
    <row r="3108" customFormat="false" ht="15" hidden="false" customHeight="false" outlineLevel="0" collapsed="false">
      <c r="A3108" s="7" t="s">
        <v>4652</v>
      </c>
      <c r="B3108" s="7" t="s">
        <v>2399</v>
      </c>
      <c r="C3108" s="7" t="s">
        <v>37</v>
      </c>
      <c r="D3108" s="7" t="n">
        <v>76</v>
      </c>
      <c r="E3108" s="7" t="s">
        <v>70</v>
      </c>
      <c r="F3108" s="7" t="s">
        <v>57</v>
      </c>
      <c r="G3108" s="8" t="n">
        <v>46098</v>
      </c>
      <c r="H3108" s="8" t="n">
        <v>46127</v>
      </c>
      <c r="I3108" s="7" t="s">
        <v>58</v>
      </c>
      <c r="J3108" s="7" t="s">
        <v>51</v>
      </c>
      <c r="K3108" s="7" t="n">
        <v>29</v>
      </c>
      <c r="L3108" s="7" t="n">
        <v>2</v>
      </c>
      <c r="M3108" s="7" t="n">
        <v>0</v>
      </c>
      <c r="N3108" s="7" t="s">
        <v>42</v>
      </c>
      <c r="O3108" s="7" t="s">
        <v>52</v>
      </c>
      <c r="P3108" s="7" t="n">
        <v>11.9</v>
      </c>
      <c r="Q3108" s="7" t="n">
        <v>42</v>
      </c>
      <c r="R3108" s="7" t="s">
        <v>53</v>
      </c>
      <c r="S3108" s="7"/>
      <c r="T3108" s="7"/>
      <c r="U3108" s="7" t="str">
        <f aca="false">IF(COUNTIF($A$2:$A$5001,A3108)&gt;1,"Duplicate","Unique")</f>
        <v>Unique</v>
      </c>
      <c r="V3108" s="7" t="str">
        <f aca="false">IF(COUNTIFS($B$2:$B$5001,B3108,$H$2:$H$5001,H3108,$J$2:$J$5001,J3108)&gt;1,"Possible Duplicate Booking","Unique")</f>
        <v>Unique</v>
      </c>
      <c r="W3108" s="7" t="str">
        <f aca="false">IF((H3108-G3108)&lt;&gt;K3108,"Mismatch","OK")</f>
        <v>OK</v>
      </c>
      <c r="X3108" s="7" t="str">
        <f aca="false">IF(TEXT(H3108,"dddd")&lt;&gt;I3108,"Mismatch","OK")</f>
        <v>OK</v>
      </c>
      <c r="Y3108" s="7" t="str">
        <f aca="false">IF(AND(N3108="No",O3108&lt;&gt;""),"Unexpected: channel present but no reminder sent",IF(AND(N3108="Yes",O3108=""),"Missing channel for sent reminder","OK"))</f>
        <v>OK</v>
      </c>
    </row>
    <row r="3109" customFormat="false" ht="15" hidden="false" customHeight="false" outlineLevel="0" collapsed="false">
      <c r="A3109" s="9" t="s">
        <v>4653</v>
      </c>
      <c r="B3109" s="9" t="s">
        <v>1212</v>
      </c>
      <c r="C3109" s="9" t="s">
        <v>37</v>
      </c>
      <c r="D3109" s="9" t="n">
        <v>22</v>
      </c>
      <c r="E3109" s="9" t="s">
        <v>82</v>
      </c>
      <c r="F3109" s="9" t="s">
        <v>74</v>
      </c>
      <c r="G3109" s="10" t="n">
        <v>45832</v>
      </c>
      <c r="H3109" s="10" t="n">
        <v>45859</v>
      </c>
      <c r="I3109" s="9" t="s">
        <v>66</v>
      </c>
      <c r="J3109" s="9" t="s">
        <v>41</v>
      </c>
      <c r="K3109" s="9" t="n">
        <v>27</v>
      </c>
      <c r="L3109" s="9" t="n">
        <v>2</v>
      </c>
      <c r="M3109" s="9" t="n">
        <v>0</v>
      </c>
      <c r="N3109" s="9" t="s">
        <v>42</v>
      </c>
      <c r="O3109" s="9" t="s">
        <v>52</v>
      </c>
      <c r="P3109" s="9" t="n">
        <v>4.9</v>
      </c>
      <c r="Q3109" s="9" t="n">
        <v>32</v>
      </c>
      <c r="R3109" s="9" t="s">
        <v>87</v>
      </c>
      <c r="S3109" s="9"/>
      <c r="T3109" s="9"/>
      <c r="U3109" s="9" t="str">
        <f aca="false">IF(COUNTIF($A$2:$A$5001,A3109)&gt;1,"Duplicate","Unique")</f>
        <v>Unique</v>
      </c>
      <c r="V3109" s="9" t="str">
        <f aca="false">IF(COUNTIFS($B$2:$B$5001,B3109,$H$2:$H$5001,H3109,$J$2:$J$5001,J3109)&gt;1,"Possible Duplicate Booking","Unique")</f>
        <v>Unique</v>
      </c>
      <c r="W3109" s="9" t="str">
        <f aca="false">IF((H3109-G3109)&lt;&gt;K3109,"Mismatch","OK")</f>
        <v>OK</v>
      </c>
      <c r="X3109" s="9" t="str">
        <f aca="false">IF(TEXT(H3109,"dddd")&lt;&gt;I3109,"Mismatch","OK")</f>
        <v>OK</v>
      </c>
      <c r="Y3109" s="9" t="str">
        <f aca="false">IF(AND(N3109="No",O3109&lt;&gt;""),"Unexpected: channel present but no reminder sent",IF(AND(N3109="Yes",O3109=""),"Missing channel for sent reminder","OK"))</f>
        <v>OK</v>
      </c>
    </row>
    <row r="3110" customFormat="false" ht="15" hidden="false" customHeight="false" outlineLevel="0" collapsed="false">
      <c r="A3110" s="7" t="s">
        <v>4654</v>
      </c>
      <c r="B3110" s="7" t="s">
        <v>4655</v>
      </c>
      <c r="C3110" s="7" t="s">
        <v>37</v>
      </c>
      <c r="D3110" s="7" t="n">
        <v>68</v>
      </c>
      <c r="E3110" s="7" t="s">
        <v>70</v>
      </c>
      <c r="F3110" s="7" t="s">
        <v>74</v>
      </c>
      <c r="G3110" s="8" t="n">
        <v>46110</v>
      </c>
      <c r="H3110" s="8" t="n">
        <v>46149</v>
      </c>
      <c r="I3110" s="7" t="s">
        <v>62</v>
      </c>
      <c r="J3110" s="7" t="s">
        <v>51</v>
      </c>
      <c r="K3110" s="7" t="n">
        <v>39</v>
      </c>
      <c r="L3110" s="7" t="n">
        <v>2</v>
      </c>
      <c r="M3110" s="7" t="n">
        <v>0</v>
      </c>
      <c r="N3110" s="7" t="s">
        <v>42</v>
      </c>
      <c r="O3110" s="7" t="s">
        <v>43</v>
      </c>
      <c r="P3110" s="7" t="n">
        <v>16.4</v>
      </c>
      <c r="Q3110" s="7" t="n">
        <v>16</v>
      </c>
      <c r="R3110" s="7" t="s">
        <v>53</v>
      </c>
      <c r="S3110" s="7"/>
      <c r="T3110" s="7"/>
      <c r="U3110" s="7" t="str">
        <f aca="false">IF(COUNTIF($A$2:$A$5001,A3110)&gt;1,"Duplicate","Unique")</f>
        <v>Unique</v>
      </c>
      <c r="V3110" s="7" t="str">
        <f aca="false">IF(COUNTIFS($B$2:$B$5001,B3110,$H$2:$H$5001,H3110,$J$2:$J$5001,J3110)&gt;1,"Possible Duplicate Booking","Unique")</f>
        <v>Unique</v>
      </c>
      <c r="W3110" s="7" t="str">
        <f aca="false">IF((H3110-G3110)&lt;&gt;K3110,"Mismatch","OK")</f>
        <v>OK</v>
      </c>
      <c r="X3110" s="7" t="str">
        <f aca="false">IF(TEXT(H3110,"dddd")&lt;&gt;I3110,"Mismatch","OK")</f>
        <v>OK</v>
      </c>
      <c r="Y3110" s="7" t="str">
        <f aca="false">IF(AND(N3110="No",O3110&lt;&gt;""),"Unexpected: channel present but no reminder sent",IF(AND(N3110="Yes",O3110=""),"Missing channel for sent reminder","OK"))</f>
        <v>OK</v>
      </c>
    </row>
    <row r="3111" customFormat="false" ht="15" hidden="false" customHeight="false" outlineLevel="0" collapsed="false">
      <c r="A3111" s="9" t="s">
        <v>4656</v>
      </c>
      <c r="B3111" s="9" t="s">
        <v>4657</v>
      </c>
      <c r="C3111" s="9" t="s">
        <v>47</v>
      </c>
      <c r="D3111" s="9" t="n">
        <v>28</v>
      </c>
      <c r="E3111" s="9" t="s">
        <v>48</v>
      </c>
      <c r="F3111" s="9" t="s">
        <v>49</v>
      </c>
      <c r="G3111" s="10" t="n">
        <v>45736</v>
      </c>
      <c r="H3111" s="10" t="n">
        <v>45786</v>
      </c>
      <c r="I3111" s="9" t="s">
        <v>50</v>
      </c>
      <c r="J3111" s="9" t="s">
        <v>41</v>
      </c>
      <c r="K3111" s="9" t="n">
        <v>50</v>
      </c>
      <c r="L3111" s="9" t="n">
        <v>4</v>
      </c>
      <c r="M3111" s="9" t="n">
        <v>1</v>
      </c>
      <c r="N3111" s="9" t="s">
        <v>42</v>
      </c>
      <c r="O3111" s="9" t="s">
        <v>43</v>
      </c>
      <c r="P3111" s="9" t="n">
        <v>26.4</v>
      </c>
      <c r="Q3111" s="9" t="n">
        <v>28</v>
      </c>
      <c r="R3111" s="9" t="s">
        <v>53</v>
      </c>
      <c r="S3111" s="9"/>
      <c r="T3111" s="9"/>
      <c r="U3111" s="9" t="str">
        <f aca="false">IF(COUNTIF($A$2:$A$5001,A3111)&gt;1,"Duplicate","Unique")</f>
        <v>Unique</v>
      </c>
      <c r="V3111" s="9" t="str">
        <f aca="false">IF(COUNTIFS($B$2:$B$5001,B3111,$H$2:$H$5001,H3111,$J$2:$J$5001,J3111)&gt;1,"Possible Duplicate Booking","Unique")</f>
        <v>Unique</v>
      </c>
      <c r="W3111" s="9" t="str">
        <f aca="false">IF((H3111-G3111)&lt;&gt;K3111,"Mismatch","OK")</f>
        <v>OK</v>
      </c>
      <c r="X3111" s="9" t="str">
        <f aca="false">IF(TEXT(H3111,"dddd")&lt;&gt;I3111,"Mismatch","OK")</f>
        <v>OK</v>
      </c>
      <c r="Y3111" s="9" t="str">
        <f aca="false">IF(AND(N3111="No",O3111&lt;&gt;""),"Unexpected: channel present but no reminder sent",IF(AND(N3111="Yes",O3111=""),"Missing channel for sent reminder","OK"))</f>
        <v>OK</v>
      </c>
    </row>
    <row r="3112" customFormat="false" ht="15" hidden="false" customHeight="false" outlineLevel="0" collapsed="false">
      <c r="A3112" s="7" t="s">
        <v>4658</v>
      </c>
      <c r="B3112" s="7" t="s">
        <v>3894</v>
      </c>
      <c r="C3112" s="7" t="s">
        <v>47</v>
      </c>
      <c r="D3112" s="7" t="n">
        <v>26</v>
      </c>
      <c r="E3112" s="7" t="s">
        <v>48</v>
      </c>
      <c r="F3112" s="7" t="s">
        <v>57</v>
      </c>
      <c r="G3112" s="8" t="n">
        <v>45933</v>
      </c>
      <c r="H3112" s="8" t="n">
        <v>45952</v>
      </c>
      <c r="I3112" s="7" t="s">
        <v>58</v>
      </c>
      <c r="J3112" s="7" t="s">
        <v>51</v>
      </c>
      <c r="K3112" s="7" t="n">
        <v>19</v>
      </c>
      <c r="L3112" s="7" t="n">
        <v>4</v>
      </c>
      <c r="M3112" s="7" t="n">
        <v>1</v>
      </c>
      <c r="N3112" s="7" t="s">
        <v>42</v>
      </c>
      <c r="O3112" s="7" t="s">
        <v>52</v>
      </c>
      <c r="P3112" s="7" t="n">
        <v>3.3</v>
      </c>
      <c r="Q3112" s="7" t="n">
        <v>39</v>
      </c>
      <c r="R3112" s="7" t="s">
        <v>53</v>
      </c>
      <c r="S3112" s="7"/>
      <c r="T3112" s="7"/>
      <c r="U3112" s="7" t="str">
        <f aca="false">IF(COUNTIF($A$2:$A$5001,A3112)&gt;1,"Duplicate","Unique")</f>
        <v>Unique</v>
      </c>
      <c r="V3112" s="7" t="str">
        <f aca="false">IF(COUNTIFS($B$2:$B$5001,B3112,$H$2:$H$5001,H3112,$J$2:$J$5001,J3112)&gt;1,"Possible Duplicate Booking","Unique")</f>
        <v>Unique</v>
      </c>
      <c r="W3112" s="7" t="str">
        <f aca="false">IF((H3112-G3112)&lt;&gt;K3112,"Mismatch","OK")</f>
        <v>OK</v>
      </c>
      <c r="X3112" s="7" t="str">
        <f aca="false">IF(TEXT(H3112,"dddd")&lt;&gt;I3112,"Mismatch","OK")</f>
        <v>OK</v>
      </c>
      <c r="Y3112" s="7" t="str">
        <f aca="false">IF(AND(N3112="No",O3112&lt;&gt;""),"Unexpected: channel present but no reminder sent",IF(AND(N3112="Yes",O3112=""),"Missing channel for sent reminder","OK"))</f>
        <v>OK</v>
      </c>
    </row>
    <row r="3113" customFormat="false" ht="15" hidden="false" customHeight="false" outlineLevel="0" collapsed="false">
      <c r="A3113" s="9" t="s">
        <v>4659</v>
      </c>
      <c r="B3113" s="9" t="s">
        <v>4660</v>
      </c>
      <c r="C3113" s="9" t="s">
        <v>47</v>
      </c>
      <c r="D3113" s="9" t="n">
        <v>42</v>
      </c>
      <c r="E3113" s="9" t="s">
        <v>38</v>
      </c>
      <c r="F3113" s="9" t="s">
        <v>57</v>
      </c>
      <c r="G3113" s="10" t="n">
        <v>46023</v>
      </c>
      <c r="H3113" s="10" t="n">
        <v>46074</v>
      </c>
      <c r="I3113" s="9" t="s">
        <v>102</v>
      </c>
      <c r="J3113" s="9" t="s">
        <v>51</v>
      </c>
      <c r="K3113" s="9" t="n">
        <v>51</v>
      </c>
      <c r="L3113" s="9" t="n">
        <v>5</v>
      </c>
      <c r="M3113" s="9" t="n">
        <v>1</v>
      </c>
      <c r="N3113" s="9" t="s">
        <v>42</v>
      </c>
      <c r="O3113" s="9" t="s">
        <v>67</v>
      </c>
      <c r="P3113" s="9" t="n">
        <v>13.4</v>
      </c>
      <c r="Q3113" s="9" t="n">
        <v>8</v>
      </c>
      <c r="R3113" s="9" t="s">
        <v>44</v>
      </c>
      <c r="S3113" s="9"/>
      <c r="T3113" s="9"/>
      <c r="U3113" s="9" t="str">
        <f aca="false">IF(COUNTIF($A$2:$A$5001,A3113)&gt;1,"Duplicate","Unique")</f>
        <v>Unique</v>
      </c>
      <c r="V3113" s="9" t="str">
        <f aca="false">IF(COUNTIFS($B$2:$B$5001,B3113,$H$2:$H$5001,H3113,$J$2:$J$5001,J3113)&gt;1,"Possible Duplicate Booking","Unique")</f>
        <v>Unique</v>
      </c>
      <c r="W3113" s="9" t="str">
        <f aca="false">IF((H3113-G3113)&lt;&gt;K3113,"Mismatch","OK")</f>
        <v>OK</v>
      </c>
      <c r="X3113" s="9" t="str">
        <f aca="false">IF(TEXT(H3113,"dddd")&lt;&gt;I3113,"Mismatch","OK")</f>
        <v>OK</v>
      </c>
      <c r="Y3113" s="9" t="str">
        <f aca="false">IF(AND(N3113="No",O3113&lt;&gt;""),"Unexpected: channel present but no reminder sent",IF(AND(N3113="Yes",O3113=""),"Missing channel for sent reminder","OK"))</f>
        <v>OK</v>
      </c>
    </row>
    <row r="3114" customFormat="false" ht="15" hidden="false" customHeight="false" outlineLevel="0" collapsed="false">
      <c r="A3114" s="7" t="s">
        <v>4661</v>
      </c>
      <c r="B3114" s="7" t="s">
        <v>225</v>
      </c>
      <c r="C3114" s="7" t="s">
        <v>37</v>
      </c>
      <c r="D3114" s="7" t="n">
        <v>45</v>
      </c>
      <c r="E3114" s="7" t="s">
        <v>56</v>
      </c>
      <c r="F3114" s="7" t="s">
        <v>49</v>
      </c>
      <c r="G3114" s="8" t="n">
        <v>45679</v>
      </c>
      <c r="H3114" s="8" t="n">
        <v>45690</v>
      </c>
      <c r="I3114" s="7" t="s">
        <v>75</v>
      </c>
      <c r="J3114" s="7" t="s">
        <v>41</v>
      </c>
      <c r="K3114" s="7" t="n">
        <v>11</v>
      </c>
      <c r="L3114" s="7" t="n">
        <v>4</v>
      </c>
      <c r="M3114" s="7" t="n">
        <v>1</v>
      </c>
      <c r="N3114" s="7" t="s">
        <v>42</v>
      </c>
      <c r="O3114" s="7" t="s">
        <v>67</v>
      </c>
      <c r="P3114" s="7" t="n">
        <v>8</v>
      </c>
      <c r="Q3114" s="7" t="n">
        <v>36</v>
      </c>
      <c r="R3114" s="7" t="s">
        <v>53</v>
      </c>
      <c r="S3114" s="7"/>
      <c r="T3114" s="7"/>
      <c r="U3114" s="7" t="str">
        <f aca="false">IF(COUNTIF($A$2:$A$5001,A3114)&gt;1,"Duplicate","Unique")</f>
        <v>Unique</v>
      </c>
      <c r="V3114" s="7" t="str">
        <f aca="false">IF(COUNTIFS($B$2:$B$5001,B3114,$H$2:$H$5001,H3114,$J$2:$J$5001,J3114)&gt;1,"Possible Duplicate Booking","Unique")</f>
        <v>Unique</v>
      </c>
      <c r="W3114" s="7" t="str">
        <f aca="false">IF((H3114-G3114)&lt;&gt;K3114,"Mismatch","OK")</f>
        <v>OK</v>
      </c>
      <c r="X3114" s="7" t="str">
        <f aca="false">IF(TEXT(H3114,"dddd")&lt;&gt;I3114,"Mismatch","OK")</f>
        <v>OK</v>
      </c>
      <c r="Y3114" s="7" t="str">
        <f aca="false">IF(AND(N3114="No",O3114&lt;&gt;""),"Unexpected: channel present but no reminder sent",IF(AND(N3114="Yes",O3114=""),"Missing channel for sent reminder","OK"))</f>
        <v>OK</v>
      </c>
    </row>
    <row r="3115" customFormat="false" ht="15" hidden="false" customHeight="false" outlineLevel="0" collapsed="false">
      <c r="A3115" s="9" t="s">
        <v>4662</v>
      </c>
      <c r="B3115" s="9" t="s">
        <v>2684</v>
      </c>
      <c r="C3115" s="9" t="s">
        <v>37</v>
      </c>
      <c r="D3115" s="9" t="n">
        <v>71</v>
      </c>
      <c r="E3115" s="9" t="s">
        <v>70</v>
      </c>
      <c r="F3115" s="9" t="s">
        <v>57</v>
      </c>
      <c r="G3115" s="10" t="n">
        <v>46148</v>
      </c>
      <c r="H3115" s="10" t="n">
        <v>46165</v>
      </c>
      <c r="I3115" s="9" t="s">
        <v>102</v>
      </c>
      <c r="J3115" s="9" t="s">
        <v>51</v>
      </c>
      <c r="K3115" s="9" t="n">
        <v>17</v>
      </c>
      <c r="L3115" s="9" t="n">
        <v>4</v>
      </c>
      <c r="M3115" s="9" t="n">
        <v>0</v>
      </c>
      <c r="N3115" s="9" t="s">
        <v>42</v>
      </c>
      <c r="O3115" s="9" t="s">
        <v>52</v>
      </c>
      <c r="P3115" s="9" t="n">
        <v>8.9</v>
      </c>
      <c r="Q3115" s="9" t="n">
        <v>29</v>
      </c>
      <c r="R3115" s="9" t="s">
        <v>44</v>
      </c>
      <c r="S3115" s="9"/>
      <c r="T3115" s="9"/>
      <c r="U3115" s="9" t="str">
        <f aca="false">IF(COUNTIF($A$2:$A$5001,A3115)&gt;1,"Duplicate","Unique")</f>
        <v>Unique</v>
      </c>
      <c r="V3115" s="9" t="str">
        <f aca="false">IF(COUNTIFS($B$2:$B$5001,B3115,$H$2:$H$5001,H3115,$J$2:$J$5001,J3115)&gt;1,"Possible Duplicate Booking","Unique")</f>
        <v>Unique</v>
      </c>
      <c r="W3115" s="9" t="str">
        <f aca="false">IF((H3115-G3115)&lt;&gt;K3115,"Mismatch","OK")</f>
        <v>OK</v>
      </c>
      <c r="X3115" s="9" t="str">
        <f aca="false">IF(TEXT(H3115,"dddd")&lt;&gt;I3115,"Mismatch","OK")</f>
        <v>OK</v>
      </c>
      <c r="Y3115" s="9" t="str">
        <f aca="false">IF(AND(N3115="No",O3115&lt;&gt;""),"Unexpected: channel present but no reminder sent",IF(AND(N3115="Yes",O3115=""),"Missing channel for sent reminder","OK"))</f>
        <v>OK</v>
      </c>
    </row>
    <row r="3116" customFormat="false" ht="15" hidden="false" customHeight="false" outlineLevel="0" collapsed="false">
      <c r="A3116" s="7" t="s">
        <v>4663</v>
      </c>
      <c r="B3116" s="7" t="s">
        <v>2379</v>
      </c>
      <c r="C3116" s="7" t="s">
        <v>37</v>
      </c>
      <c r="D3116" s="7" t="n">
        <v>62</v>
      </c>
      <c r="E3116" s="7" t="s">
        <v>61</v>
      </c>
      <c r="F3116" s="7" t="s">
        <v>39</v>
      </c>
      <c r="G3116" s="8" t="n">
        <v>45839</v>
      </c>
      <c r="H3116" s="8" t="n">
        <v>45857</v>
      </c>
      <c r="I3116" s="7" t="s">
        <v>102</v>
      </c>
      <c r="J3116" s="7" t="s">
        <v>41</v>
      </c>
      <c r="K3116" s="7" t="n">
        <v>18</v>
      </c>
      <c r="L3116" s="7" t="n">
        <v>2</v>
      </c>
      <c r="M3116" s="7" t="n">
        <v>0</v>
      </c>
      <c r="N3116" s="7" t="s">
        <v>42</v>
      </c>
      <c r="O3116" s="7" t="s">
        <v>43</v>
      </c>
      <c r="P3116" s="7" t="n">
        <v>16.7</v>
      </c>
      <c r="Q3116" s="7" t="n">
        <v>45</v>
      </c>
      <c r="R3116" s="7" t="s">
        <v>44</v>
      </c>
      <c r="S3116" s="7"/>
      <c r="T3116" s="7"/>
      <c r="U3116" s="7" t="str">
        <f aca="false">IF(COUNTIF($A$2:$A$5001,A3116)&gt;1,"Duplicate","Unique")</f>
        <v>Unique</v>
      </c>
      <c r="V3116" s="7" t="str">
        <f aca="false">IF(COUNTIFS($B$2:$B$5001,B3116,$H$2:$H$5001,H3116,$J$2:$J$5001,J3116)&gt;1,"Possible Duplicate Booking","Unique")</f>
        <v>Unique</v>
      </c>
      <c r="W3116" s="7" t="str">
        <f aca="false">IF((H3116-G3116)&lt;&gt;K3116,"Mismatch","OK")</f>
        <v>OK</v>
      </c>
      <c r="X3116" s="7" t="str">
        <f aca="false">IF(TEXT(H3116,"dddd")&lt;&gt;I3116,"Mismatch","OK")</f>
        <v>OK</v>
      </c>
      <c r="Y3116" s="7" t="str">
        <f aca="false">IF(AND(N3116="No",O3116&lt;&gt;""),"Unexpected: channel present but no reminder sent",IF(AND(N3116="Yes",O3116=""),"Missing channel for sent reminder","OK"))</f>
        <v>OK</v>
      </c>
    </row>
    <row r="3117" customFormat="false" ht="15" hidden="false" customHeight="false" outlineLevel="0" collapsed="false">
      <c r="A3117" s="9" t="s">
        <v>4664</v>
      </c>
      <c r="B3117" s="9" t="s">
        <v>3384</v>
      </c>
      <c r="C3117" s="9" t="s">
        <v>37</v>
      </c>
      <c r="D3117" s="9" t="n">
        <v>27</v>
      </c>
      <c r="E3117" s="9" t="s">
        <v>48</v>
      </c>
      <c r="F3117" s="9" t="s">
        <v>57</v>
      </c>
      <c r="G3117" s="10" t="n">
        <v>45871</v>
      </c>
      <c r="H3117" s="10" t="n">
        <v>45929</v>
      </c>
      <c r="I3117" s="9" t="s">
        <v>66</v>
      </c>
      <c r="J3117" s="9" t="s">
        <v>41</v>
      </c>
      <c r="K3117" s="9" t="n">
        <v>58</v>
      </c>
      <c r="L3117" s="9" t="n">
        <v>4</v>
      </c>
      <c r="M3117" s="9" t="n">
        <v>1</v>
      </c>
      <c r="N3117" s="9" t="s">
        <v>42</v>
      </c>
      <c r="O3117" s="9" t="s">
        <v>52</v>
      </c>
      <c r="P3117" s="9" t="n">
        <v>13.3</v>
      </c>
      <c r="Q3117" s="9" t="n">
        <v>29</v>
      </c>
      <c r="R3117" s="9" t="s">
        <v>87</v>
      </c>
      <c r="S3117" s="9"/>
      <c r="T3117" s="9"/>
      <c r="U3117" s="9" t="str">
        <f aca="false">IF(COUNTIF($A$2:$A$5001,A3117)&gt;1,"Duplicate","Unique")</f>
        <v>Unique</v>
      </c>
      <c r="V3117" s="9" t="str">
        <f aca="false">IF(COUNTIFS($B$2:$B$5001,B3117,$H$2:$H$5001,H3117,$J$2:$J$5001,J3117)&gt;1,"Possible Duplicate Booking","Unique")</f>
        <v>Unique</v>
      </c>
      <c r="W3117" s="9" t="str">
        <f aca="false">IF((H3117-G3117)&lt;&gt;K3117,"Mismatch","OK")</f>
        <v>OK</v>
      </c>
      <c r="X3117" s="9" t="str">
        <f aca="false">IF(TEXT(H3117,"dddd")&lt;&gt;I3117,"Mismatch","OK")</f>
        <v>OK</v>
      </c>
      <c r="Y3117" s="9" t="str">
        <f aca="false">IF(AND(N3117="No",O3117&lt;&gt;""),"Unexpected: channel present but no reminder sent",IF(AND(N3117="Yes",O3117=""),"Missing channel for sent reminder","OK"))</f>
        <v>OK</v>
      </c>
    </row>
    <row r="3118" customFormat="false" ht="15" hidden="false" customHeight="false" outlineLevel="0" collapsed="false">
      <c r="A3118" s="7" t="s">
        <v>4665</v>
      </c>
      <c r="B3118" s="7" t="s">
        <v>4025</v>
      </c>
      <c r="C3118" s="7" t="s">
        <v>37</v>
      </c>
      <c r="D3118" s="7" t="n">
        <v>54</v>
      </c>
      <c r="E3118" s="7" t="s">
        <v>56</v>
      </c>
      <c r="F3118" s="7" t="s">
        <v>57</v>
      </c>
      <c r="G3118" s="8" t="n">
        <v>45994</v>
      </c>
      <c r="H3118" s="8" t="n">
        <v>46001</v>
      </c>
      <c r="I3118" s="7" t="s">
        <v>58</v>
      </c>
      <c r="J3118" s="7" t="s">
        <v>63</v>
      </c>
      <c r="K3118" s="7" t="n">
        <v>7</v>
      </c>
      <c r="L3118" s="7" t="n">
        <v>2</v>
      </c>
      <c r="M3118" s="7" t="n">
        <v>0</v>
      </c>
      <c r="N3118" s="7" t="s">
        <v>42</v>
      </c>
      <c r="O3118" s="7" t="s">
        <v>52</v>
      </c>
      <c r="P3118" s="7" t="n">
        <v>7</v>
      </c>
      <c r="Q3118" s="7" t="n">
        <v>26</v>
      </c>
      <c r="R3118" s="7" t="s">
        <v>44</v>
      </c>
      <c r="S3118" s="7"/>
      <c r="T3118" s="7"/>
      <c r="U3118" s="7" t="str">
        <f aca="false">IF(COUNTIF($A$2:$A$5001,A3118)&gt;1,"Duplicate","Unique")</f>
        <v>Unique</v>
      </c>
      <c r="V3118" s="7" t="str">
        <f aca="false">IF(COUNTIFS($B$2:$B$5001,B3118,$H$2:$H$5001,H3118,$J$2:$J$5001,J3118)&gt;1,"Possible Duplicate Booking","Unique")</f>
        <v>Unique</v>
      </c>
      <c r="W3118" s="7" t="str">
        <f aca="false">IF((H3118-G3118)&lt;&gt;K3118,"Mismatch","OK")</f>
        <v>OK</v>
      </c>
      <c r="X3118" s="7" t="str">
        <f aca="false">IF(TEXT(H3118,"dddd")&lt;&gt;I3118,"Mismatch","OK")</f>
        <v>OK</v>
      </c>
      <c r="Y3118" s="7" t="str">
        <f aca="false">IF(AND(N3118="No",O3118&lt;&gt;""),"Unexpected: channel present but no reminder sent",IF(AND(N3118="Yes",O3118=""),"Missing channel for sent reminder","OK"))</f>
        <v>OK</v>
      </c>
    </row>
    <row r="3119" customFormat="false" ht="15" hidden="false" customHeight="false" outlineLevel="0" collapsed="false">
      <c r="A3119" s="9" t="s">
        <v>4666</v>
      </c>
      <c r="B3119" s="9" t="s">
        <v>1575</v>
      </c>
      <c r="C3119" s="9" t="s">
        <v>47</v>
      </c>
      <c r="D3119" s="9" t="n">
        <v>73</v>
      </c>
      <c r="E3119" s="9" t="s">
        <v>70</v>
      </c>
      <c r="F3119" s="9" t="s">
        <v>39</v>
      </c>
      <c r="G3119" s="10" t="n">
        <v>45985</v>
      </c>
      <c r="H3119" s="10" t="n">
        <v>46009</v>
      </c>
      <c r="I3119" s="9" t="s">
        <v>62</v>
      </c>
      <c r="J3119" s="9" t="s">
        <v>51</v>
      </c>
      <c r="K3119" s="9" t="n">
        <v>24</v>
      </c>
      <c r="L3119" s="9" t="n">
        <v>1</v>
      </c>
      <c r="M3119" s="9" t="n">
        <v>0</v>
      </c>
      <c r="N3119" s="9" t="s">
        <v>42</v>
      </c>
      <c r="O3119" s="9" t="s">
        <v>43</v>
      </c>
      <c r="P3119" s="9" t="n">
        <v>18.1</v>
      </c>
      <c r="Q3119" s="9" t="n">
        <v>32</v>
      </c>
      <c r="R3119" s="9" t="s">
        <v>53</v>
      </c>
      <c r="S3119" s="9"/>
      <c r="T3119" s="9"/>
      <c r="U3119" s="9" t="str">
        <f aca="false">IF(COUNTIF($A$2:$A$5001,A3119)&gt;1,"Duplicate","Unique")</f>
        <v>Unique</v>
      </c>
      <c r="V3119" s="9" t="str">
        <f aca="false">IF(COUNTIFS($B$2:$B$5001,B3119,$H$2:$H$5001,H3119,$J$2:$J$5001,J3119)&gt;1,"Possible Duplicate Booking","Unique")</f>
        <v>Unique</v>
      </c>
      <c r="W3119" s="9" t="str">
        <f aca="false">IF((H3119-G3119)&lt;&gt;K3119,"Mismatch","OK")</f>
        <v>OK</v>
      </c>
      <c r="X3119" s="9" t="str">
        <f aca="false">IF(TEXT(H3119,"dddd")&lt;&gt;I3119,"Mismatch","OK")</f>
        <v>OK</v>
      </c>
      <c r="Y3119" s="9" t="str">
        <f aca="false">IF(AND(N3119="No",O3119&lt;&gt;""),"Unexpected: channel present but no reminder sent",IF(AND(N3119="Yes",O3119=""),"Missing channel for sent reminder","OK"))</f>
        <v>OK</v>
      </c>
    </row>
    <row r="3120" customFormat="false" ht="15" hidden="false" customHeight="false" outlineLevel="0" collapsed="false">
      <c r="A3120" s="7" t="s">
        <v>4667</v>
      </c>
      <c r="B3120" s="7" t="s">
        <v>465</v>
      </c>
      <c r="C3120" s="7" t="s">
        <v>47</v>
      </c>
      <c r="D3120" s="7" t="n">
        <v>59</v>
      </c>
      <c r="E3120" s="7" t="s">
        <v>61</v>
      </c>
      <c r="F3120" s="7" t="s">
        <v>74</v>
      </c>
      <c r="G3120" s="8" t="n">
        <v>45645</v>
      </c>
      <c r="H3120" s="8" t="n">
        <v>45670</v>
      </c>
      <c r="I3120" s="7" t="s">
        <v>66</v>
      </c>
      <c r="J3120" s="7" t="s">
        <v>51</v>
      </c>
      <c r="K3120" s="7" t="n">
        <v>25</v>
      </c>
      <c r="L3120" s="7" t="n">
        <v>4</v>
      </c>
      <c r="M3120" s="7" t="n">
        <v>1</v>
      </c>
      <c r="N3120" s="7" t="s">
        <v>42</v>
      </c>
      <c r="O3120" s="7" t="s">
        <v>52</v>
      </c>
      <c r="P3120" s="7" t="n">
        <v>8.2</v>
      </c>
      <c r="Q3120" s="7" t="n">
        <v>10</v>
      </c>
      <c r="R3120" s="7" t="s">
        <v>53</v>
      </c>
      <c r="S3120" s="7"/>
      <c r="T3120" s="7"/>
      <c r="U3120" s="7" t="str">
        <f aca="false">IF(COUNTIF($A$2:$A$5001,A3120)&gt;1,"Duplicate","Unique")</f>
        <v>Unique</v>
      </c>
      <c r="V3120" s="7" t="str">
        <f aca="false">IF(COUNTIFS($B$2:$B$5001,B3120,$H$2:$H$5001,H3120,$J$2:$J$5001,J3120)&gt;1,"Possible Duplicate Booking","Unique")</f>
        <v>Unique</v>
      </c>
      <c r="W3120" s="7" t="str">
        <f aca="false">IF((H3120-G3120)&lt;&gt;K3120,"Mismatch","OK")</f>
        <v>OK</v>
      </c>
      <c r="X3120" s="7" t="str">
        <f aca="false">IF(TEXT(H3120,"dddd")&lt;&gt;I3120,"Mismatch","OK")</f>
        <v>OK</v>
      </c>
      <c r="Y3120" s="7" t="str">
        <f aca="false">IF(AND(N3120="No",O3120&lt;&gt;""),"Unexpected: channel present but no reminder sent",IF(AND(N3120="Yes",O3120=""),"Missing channel for sent reminder","OK"))</f>
        <v>OK</v>
      </c>
    </row>
    <row r="3121" customFormat="false" ht="15" hidden="false" customHeight="false" outlineLevel="0" collapsed="false">
      <c r="A3121" s="9" t="s">
        <v>4668</v>
      </c>
      <c r="B3121" s="9" t="s">
        <v>2040</v>
      </c>
      <c r="C3121" s="9" t="s">
        <v>37</v>
      </c>
      <c r="D3121" s="9" t="n">
        <v>32</v>
      </c>
      <c r="E3121" s="9" t="s">
        <v>48</v>
      </c>
      <c r="F3121" s="9" t="s">
        <v>49</v>
      </c>
      <c r="G3121" s="10" t="n">
        <v>46083</v>
      </c>
      <c r="H3121" s="10" t="n">
        <v>46131</v>
      </c>
      <c r="I3121" s="9" t="s">
        <v>75</v>
      </c>
      <c r="J3121" s="9" t="s">
        <v>51</v>
      </c>
      <c r="K3121" s="9" t="n">
        <v>48</v>
      </c>
      <c r="L3121" s="9" t="n">
        <v>2</v>
      </c>
      <c r="M3121" s="9" t="n">
        <v>0</v>
      </c>
      <c r="N3121" s="9" t="s">
        <v>71</v>
      </c>
      <c r="O3121" s="9"/>
      <c r="P3121" s="9" t="n">
        <v>4.9</v>
      </c>
      <c r="Q3121" s="9" t="n">
        <v>15</v>
      </c>
      <c r="R3121" s="9" t="s">
        <v>53</v>
      </c>
      <c r="S3121" s="9"/>
      <c r="T3121" s="9"/>
      <c r="U3121" s="9" t="str">
        <f aca="false">IF(COUNTIF($A$2:$A$5001,A3121)&gt;1,"Duplicate","Unique")</f>
        <v>Unique</v>
      </c>
      <c r="V3121" s="9" t="str">
        <f aca="false">IF(COUNTIFS($B$2:$B$5001,B3121,$H$2:$H$5001,H3121,$J$2:$J$5001,J3121)&gt;1,"Possible Duplicate Booking","Unique")</f>
        <v>Unique</v>
      </c>
      <c r="W3121" s="9" t="str">
        <f aca="false">IF((H3121-G3121)&lt;&gt;K3121,"Mismatch","OK")</f>
        <v>OK</v>
      </c>
      <c r="X3121" s="9" t="str">
        <f aca="false">IF(TEXT(H3121,"dddd")&lt;&gt;I3121,"Mismatch","OK")</f>
        <v>OK</v>
      </c>
      <c r="Y3121" s="9" t="str">
        <f aca="false">IF(AND(N3121="No",O3121&lt;&gt;""),"Unexpected: channel present but no reminder sent",IF(AND(N3121="Yes",O3121=""),"Missing channel for sent reminder","OK"))</f>
        <v>OK</v>
      </c>
    </row>
    <row r="3122" customFormat="false" ht="15" hidden="false" customHeight="false" outlineLevel="0" collapsed="false">
      <c r="A3122" s="7" t="s">
        <v>4669</v>
      </c>
      <c r="B3122" s="7" t="s">
        <v>4625</v>
      </c>
      <c r="C3122" s="7" t="s">
        <v>37</v>
      </c>
      <c r="D3122" s="7" t="n">
        <v>26</v>
      </c>
      <c r="E3122" s="7" t="s">
        <v>48</v>
      </c>
      <c r="F3122" s="7" t="s">
        <v>39</v>
      </c>
      <c r="G3122" s="8" t="n">
        <v>45969</v>
      </c>
      <c r="H3122" s="8" t="n">
        <v>45998</v>
      </c>
      <c r="I3122" s="7" t="s">
        <v>75</v>
      </c>
      <c r="J3122" s="7" t="s">
        <v>63</v>
      </c>
      <c r="K3122" s="7" t="n">
        <v>29</v>
      </c>
      <c r="L3122" s="7" t="n">
        <v>2</v>
      </c>
      <c r="M3122" s="7" t="n">
        <v>0</v>
      </c>
      <c r="N3122" s="7" t="s">
        <v>71</v>
      </c>
      <c r="O3122" s="7"/>
      <c r="P3122" s="7" t="n">
        <v>9.8</v>
      </c>
      <c r="Q3122" s="7" t="n">
        <v>25</v>
      </c>
      <c r="R3122" s="7" t="s">
        <v>53</v>
      </c>
      <c r="S3122" s="7"/>
      <c r="T3122" s="7"/>
      <c r="U3122" s="7" t="str">
        <f aca="false">IF(COUNTIF($A$2:$A$5001,A3122)&gt;1,"Duplicate","Unique")</f>
        <v>Unique</v>
      </c>
      <c r="V3122" s="7" t="str">
        <f aca="false">IF(COUNTIFS($B$2:$B$5001,B3122,$H$2:$H$5001,H3122,$J$2:$J$5001,J3122)&gt;1,"Possible Duplicate Booking","Unique")</f>
        <v>Unique</v>
      </c>
      <c r="W3122" s="7" t="str">
        <f aca="false">IF((H3122-G3122)&lt;&gt;K3122,"Mismatch","OK")</f>
        <v>OK</v>
      </c>
      <c r="X3122" s="7" t="str">
        <f aca="false">IF(TEXT(H3122,"dddd")&lt;&gt;I3122,"Mismatch","OK")</f>
        <v>OK</v>
      </c>
      <c r="Y3122" s="7" t="str">
        <f aca="false">IF(AND(N3122="No",O3122&lt;&gt;""),"Unexpected: channel present but no reminder sent",IF(AND(N3122="Yes",O3122=""),"Missing channel for sent reminder","OK"))</f>
        <v>OK</v>
      </c>
    </row>
    <row r="3123" customFormat="false" ht="15" hidden="false" customHeight="false" outlineLevel="0" collapsed="false">
      <c r="A3123" s="9" t="s">
        <v>4670</v>
      </c>
      <c r="B3123" s="9" t="s">
        <v>233</v>
      </c>
      <c r="C3123" s="9" t="s">
        <v>47</v>
      </c>
      <c r="D3123" s="9" t="n">
        <v>46</v>
      </c>
      <c r="E3123" s="9" t="s">
        <v>56</v>
      </c>
      <c r="F3123" s="9" t="s">
        <v>39</v>
      </c>
      <c r="G3123" s="10" t="n">
        <v>46145</v>
      </c>
      <c r="H3123" s="10" t="n">
        <v>46203</v>
      </c>
      <c r="I3123" s="9" t="s">
        <v>40</v>
      </c>
      <c r="J3123" s="9" t="s">
        <v>51</v>
      </c>
      <c r="K3123" s="9" t="n">
        <v>58</v>
      </c>
      <c r="L3123" s="9" t="n">
        <v>1</v>
      </c>
      <c r="M3123" s="9" t="n">
        <v>0</v>
      </c>
      <c r="N3123" s="9" t="s">
        <v>42</v>
      </c>
      <c r="O3123" s="9" t="s">
        <v>52</v>
      </c>
      <c r="P3123" s="9" t="n">
        <v>19.6</v>
      </c>
      <c r="Q3123" s="9" t="n">
        <v>18</v>
      </c>
      <c r="R3123" s="9" t="s">
        <v>53</v>
      </c>
      <c r="S3123" s="9"/>
      <c r="T3123" s="9"/>
      <c r="U3123" s="9" t="str">
        <f aca="false">IF(COUNTIF($A$2:$A$5001,A3123)&gt;1,"Duplicate","Unique")</f>
        <v>Unique</v>
      </c>
      <c r="V3123" s="9" t="str">
        <f aca="false">IF(COUNTIFS($B$2:$B$5001,B3123,$H$2:$H$5001,H3123,$J$2:$J$5001,J3123)&gt;1,"Possible Duplicate Booking","Unique")</f>
        <v>Unique</v>
      </c>
      <c r="W3123" s="9" t="str">
        <f aca="false">IF((H3123-G3123)&lt;&gt;K3123,"Mismatch","OK")</f>
        <v>OK</v>
      </c>
      <c r="X3123" s="9" t="str">
        <f aca="false">IF(TEXT(H3123,"dddd")&lt;&gt;I3123,"Mismatch","OK")</f>
        <v>OK</v>
      </c>
      <c r="Y3123" s="9" t="str">
        <f aca="false">IF(AND(N3123="No",O3123&lt;&gt;""),"Unexpected: channel present but no reminder sent",IF(AND(N3123="Yes",O3123=""),"Missing channel for sent reminder","OK"))</f>
        <v>OK</v>
      </c>
    </row>
    <row r="3124" customFormat="false" ht="15" hidden="false" customHeight="false" outlineLevel="0" collapsed="false">
      <c r="A3124" s="7" t="s">
        <v>4671</v>
      </c>
      <c r="B3124" s="7" t="s">
        <v>3276</v>
      </c>
      <c r="C3124" s="7" t="s">
        <v>47</v>
      </c>
      <c r="D3124" s="7" t="n">
        <v>47</v>
      </c>
      <c r="E3124" s="7" t="s">
        <v>56</v>
      </c>
      <c r="F3124" s="7" t="s">
        <v>74</v>
      </c>
      <c r="G3124" s="8" t="n">
        <v>45870</v>
      </c>
      <c r="H3124" s="8" t="n">
        <v>45915</v>
      </c>
      <c r="I3124" s="7" t="s">
        <v>66</v>
      </c>
      <c r="J3124" s="7" t="s">
        <v>51</v>
      </c>
      <c r="K3124" s="7" t="n">
        <v>45</v>
      </c>
      <c r="L3124" s="7" t="n">
        <v>1</v>
      </c>
      <c r="M3124" s="7" t="n">
        <v>0</v>
      </c>
      <c r="N3124" s="7" t="s">
        <v>42</v>
      </c>
      <c r="O3124" s="7" t="s">
        <v>43</v>
      </c>
      <c r="P3124" s="7" t="n">
        <v>2.5</v>
      </c>
      <c r="Q3124" s="7" t="n">
        <v>17</v>
      </c>
      <c r="R3124" s="7" t="s">
        <v>53</v>
      </c>
      <c r="S3124" s="7"/>
      <c r="T3124" s="7"/>
      <c r="U3124" s="7" t="str">
        <f aca="false">IF(COUNTIF($A$2:$A$5001,A3124)&gt;1,"Duplicate","Unique")</f>
        <v>Unique</v>
      </c>
      <c r="V3124" s="7" t="str">
        <f aca="false">IF(COUNTIFS($B$2:$B$5001,B3124,$H$2:$H$5001,H3124,$J$2:$J$5001,J3124)&gt;1,"Possible Duplicate Booking","Unique")</f>
        <v>Unique</v>
      </c>
      <c r="W3124" s="7" t="str">
        <f aca="false">IF((H3124-G3124)&lt;&gt;K3124,"Mismatch","OK")</f>
        <v>OK</v>
      </c>
      <c r="X3124" s="7" t="str">
        <f aca="false">IF(TEXT(H3124,"dddd")&lt;&gt;I3124,"Mismatch","OK")</f>
        <v>OK</v>
      </c>
      <c r="Y3124" s="7" t="str">
        <f aca="false">IF(AND(N3124="No",O3124&lt;&gt;""),"Unexpected: channel present but no reminder sent",IF(AND(N3124="Yes",O3124=""),"Missing channel for sent reminder","OK"))</f>
        <v>OK</v>
      </c>
    </row>
    <row r="3125" customFormat="false" ht="15" hidden="false" customHeight="false" outlineLevel="0" collapsed="false">
      <c r="A3125" s="9" t="s">
        <v>4672</v>
      </c>
      <c r="B3125" s="9" t="s">
        <v>3384</v>
      </c>
      <c r="C3125" s="9" t="s">
        <v>47</v>
      </c>
      <c r="D3125" s="9" t="n">
        <v>40</v>
      </c>
      <c r="E3125" s="9" t="s">
        <v>38</v>
      </c>
      <c r="F3125" s="9" t="s">
        <v>39</v>
      </c>
      <c r="G3125" s="10" t="n">
        <v>45950</v>
      </c>
      <c r="H3125" s="10" t="n">
        <v>45992</v>
      </c>
      <c r="I3125" s="9" t="s">
        <v>66</v>
      </c>
      <c r="J3125" s="9" t="s">
        <v>41</v>
      </c>
      <c r="K3125" s="9" t="n">
        <v>42</v>
      </c>
      <c r="L3125" s="9" t="n">
        <v>1</v>
      </c>
      <c r="M3125" s="9" t="n">
        <v>1</v>
      </c>
      <c r="N3125" s="9" t="s">
        <v>71</v>
      </c>
      <c r="O3125" s="9"/>
      <c r="P3125" s="9" t="n">
        <v>12.7</v>
      </c>
      <c r="Q3125" s="9" t="n">
        <v>46</v>
      </c>
      <c r="R3125" s="9" t="s">
        <v>53</v>
      </c>
      <c r="S3125" s="9"/>
      <c r="T3125" s="9"/>
      <c r="U3125" s="9" t="str">
        <f aca="false">IF(COUNTIF($A$2:$A$5001,A3125)&gt;1,"Duplicate","Unique")</f>
        <v>Unique</v>
      </c>
      <c r="V3125" s="9" t="str">
        <f aca="false">IF(COUNTIFS($B$2:$B$5001,B3125,$H$2:$H$5001,H3125,$J$2:$J$5001,J3125)&gt;1,"Possible Duplicate Booking","Unique")</f>
        <v>Unique</v>
      </c>
      <c r="W3125" s="9" t="str">
        <f aca="false">IF((H3125-G3125)&lt;&gt;K3125,"Mismatch","OK")</f>
        <v>OK</v>
      </c>
      <c r="X3125" s="9" t="str">
        <f aca="false">IF(TEXT(H3125,"dddd")&lt;&gt;I3125,"Mismatch","OK")</f>
        <v>OK</v>
      </c>
      <c r="Y3125" s="9" t="str">
        <f aca="false">IF(AND(N3125="No",O3125&lt;&gt;""),"Unexpected: channel present but no reminder sent",IF(AND(N3125="Yes",O3125=""),"Missing channel for sent reminder","OK"))</f>
        <v>OK</v>
      </c>
    </row>
    <row r="3126" customFormat="false" ht="15" hidden="false" customHeight="false" outlineLevel="0" collapsed="false">
      <c r="A3126" s="7" t="s">
        <v>4673</v>
      </c>
      <c r="B3126" s="7" t="s">
        <v>2049</v>
      </c>
      <c r="C3126" s="7" t="s">
        <v>47</v>
      </c>
      <c r="D3126" s="7" t="n">
        <v>24</v>
      </c>
      <c r="E3126" s="7" t="s">
        <v>82</v>
      </c>
      <c r="F3126" s="7" t="s">
        <v>39</v>
      </c>
      <c r="G3126" s="8" t="n">
        <v>45853</v>
      </c>
      <c r="H3126" s="8" t="n">
        <v>45898</v>
      </c>
      <c r="I3126" s="7" t="s">
        <v>50</v>
      </c>
      <c r="J3126" s="7" t="s">
        <v>51</v>
      </c>
      <c r="K3126" s="7" t="n">
        <v>45</v>
      </c>
      <c r="L3126" s="7" t="n">
        <v>3</v>
      </c>
      <c r="M3126" s="7" t="n">
        <v>0</v>
      </c>
      <c r="N3126" s="7" t="s">
        <v>42</v>
      </c>
      <c r="O3126" s="7" t="s">
        <v>67</v>
      </c>
      <c r="P3126" s="7" t="n">
        <v>1.4</v>
      </c>
      <c r="Q3126" s="7" t="n">
        <v>44</v>
      </c>
      <c r="R3126" s="7" t="s">
        <v>44</v>
      </c>
      <c r="S3126" s="7"/>
      <c r="T3126" s="7"/>
      <c r="U3126" s="7" t="str">
        <f aca="false">IF(COUNTIF($A$2:$A$5001,A3126)&gt;1,"Duplicate","Unique")</f>
        <v>Unique</v>
      </c>
      <c r="V3126" s="7" t="str">
        <f aca="false">IF(COUNTIFS($B$2:$B$5001,B3126,$H$2:$H$5001,H3126,$J$2:$J$5001,J3126)&gt;1,"Possible Duplicate Booking","Unique")</f>
        <v>Unique</v>
      </c>
      <c r="W3126" s="7" t="str">
        <f aca="false">IF((H3126-G3126)&lt;&gt;K3126,"Mismatch","OK")</f>
        <v>OK</v>
      </c>
      <c r="X3126" s="7" t="str">
        <f aca="false">IF(TEXT(H3126,"dddd")&lt;&gt;I3126,"Mismatch","OK")</f>
        <v>OK</v>
      </c>
      <c r="Y3126" s="7" t="str">
        <f aca="false">IF(AND(N3126="No",O3126&lt;&gt;""),"Unexpected: channel present but no reminder sent",IF(AND(N3126="Yes",O3126=""),"Missing channel for sent reminder","OK"))</f>
        <v>OK</v>
      </c>
    </row>
    <row r="3127" customFormat="false" ht="15" hidden="false" customHeight="false" outlineLevel="0" collapsed="false">
      <c r="A3127" s="9" t="s">
        <v>4674</v>
      </c>
      <c r="B3127" s="9" t="s">
        <v>4068</v>
      </c>
      <c r="C3127" s="9" t="s">
        <v>37</v>
      </c>
      <c r="D3127" s="9" t="n">
        <v>25</v>
      </c>
      <c r="E3127" s="9" t="s">
        <v>48</v>
      </c>
      <c r="F3127" s="9" t="s">
        <v>39</v>
      </c>
      <c r="G3127" s="10" t="n">
        <v>46134</v>
      </c>
      <c r="H3127" s="10" t="n">
        <v>46143</v>
      </c>
      <c r="I3127" s="9" t="s">
        <v>50</v>
      </c>
      <c r="J3127" s="9" t="s">
        <v>41</v>
      </c>
      <c r="K3127" s="9" t="n">
        <v>9</v>
      </c>
      <c r="L3127" s="9" t="n">
        <v>4</v>
      </c>
      <c r="M3127" s="9" t="n">
        <v>0</v>
      </c>
      <c r="N3127" s="9" t="s">
        <v>42</v>
      </c>
      <c r="O3127" s="9" t="s">
        <v>52</v>
      </c>
      <c r="P3127" s="9" t="n">
        <v>14.1</v>
      </c>
      <c r="Q3127" s="9" t="n">
        <v>2</v>
      </c>
      <c r="R3127" s="9" t="s">
        <v>53</v>
      </c>
      <c r="S3127" s="9"/>
      <c r="T3127" s="9"/>
      <c r="U3127" s="9" t="str">
        <f aca="false">IF(COUNTIF($A$2:$A$5001,A3127)&gt;1,"Duplicate","Unique")</f>
        <v>Unique</v>
      </c>
      <c r="V3127" s="9" t="str">
        <f aca="false">IF(COUNTIFS($B$2:$B$5001,B3127,$H$2:$H$5001,H3127,$J$2:$J$5001,J3127)&gt;1,"Possible Duplicate Booking","Unique")</f>
        <v>Unique</v>
      </c>
      <c r="W3127" s="9" t="str">
        <f aca="false">IF((H3127-G3127)&lt;&gt;K3127,"Mismatch","OK")</f>
        <v>OK</v>
      </c>
      <c r="X3127" s="9" t="str">
        <f aca="false">IF(TEXT(H3127,"dddd")&lt;&gt;I3127,"Mismatch","OK")</f>
        <v>OK</v>
      </c>
      <c r="Y3127" s="9" t="str">
        <f aca="false">IF(AND(N3127="No",O3127&lt;&gt;""),"Unexpected: channel present but no reminder sent",IF(AND(N3127="Yes",O3127=""),"Missing channel for sent reminder","OK"))</f>
        <v>OK</v>
      </c>
    </row>
    <row r="3128" customFormat="false" ht="15" hidden="false" customHeight="false" outlineLevel="0" collapsed="false">
      <c r="A3128" s="7" t="s">
        <v>4675</v>
      </c>
      <c r="B3128" s="7" t="s">
        <v>793</v>
      </c>
      <c r="C3128" s="7" t="s">
        <v>37</v>
      </c>
      <c r="D3128" s="7" t="n">
        <v>51</v>
      </c>
      <c r="E3128" s="7" t="s">
        <v>56</v>
      </c>
      <c r="F3128" s="7" t="s">
        <v>57</v>
      </c>
      <c r="G3128" s="8" t="n">
        <v>46085</v>
      </c>
      <c r="H3128" s="8" t="n">
        <v>46112</v>
      </c>
      <c r="I3128" s="7" t="s">
        <v>40</v>
      </c>
      <c r="J3128" s="7" t="s">
        <v>41</v>
      </c>
      <c r="K3128" s="7" t="n">
        <v>27</v>
      </c>
      <c r="L3128" s="7" t="n">
        <v>1</v>
      </c>
      <c r="M3128" s="7" t="n">
        <v>0</v>
      </c>
      <c r="N3128" s="7" t="s">
        <v>71</v>
      </c>
      <c r="O3128" s="7"/>
      <c r="P3128" s="7" t="n">
        <v>11.3</v>
      </c>
      <c r="Q3128" s="7" t="n">
        <v>24</v>
      </c>
      <c r="R3128" s="7" t="s">
        <v>53</v>
      </c>
      <c r="S3128" s="7"/>
      <c r="T3128" s="7"/>
      <c r="U3128" s="7" t="str">
        <f aca="false">IF(COUNTIF($A$2:$A$5001,A3128)&gt;1,"Duplicate","Unique")</f>
        <v>Unique</v>
      </c>
      <c r="V3128" s="7" t="str">
        <f aca="false">IF(COUNTIFS($B$2:$B$5001,B3128,$H$2:$H$5001,H3128,$J$2:$J$5001,J3128)&gt;1,"Possible Duplicate Booking","Unique")</f>
        <v>Unique</v>
      </c>
      <c r="W3128" s="7" t="str">
        <f aca="false">IF((H3128-G3128)&lt;&gt;K3128,"Mismatch","OK")</f>
        <v>OK</v>
      </c>
      <c r="X3128" s="7" t="str">
        <f aca="false">IF(TEXT(H3128,"dddd")&lt;&gt;I3128,"Mismatch","OK")</f>
        <v>OK</v>
      </c>
      <c r="Y3128" s="7" t="str">
        <f aca="false">IF(AND(N3128="No",O3128&lt;&gt;""),"Unexpected: channel present but no reminder sent",IF(AND(N3128="Yes",O3128=""),"Missing channel for sent reminder","OK"))</f>
        <v>OK</v>
      </c>
    </row>
    <row r="3129" customFormat="false" ht="15" hidden="false" customHeight="false" outlineLevel="0" collapsed="false">
      <c r="A3129" s="9" t="s">
        <v>4676</v>
      </c>
      <c r="B3129" s="9" t="s">
        <v>3211</v>
      </c>
      <c r="C3129" s="9" t="s">
        <v>47</v>
      </c>
      <c r="D3129" s="9" t="n">
        <v>77</v>
      </c>
      <c r="E3129" s="9" t="s">
        <v>70</v>
      </c>
      <c r="F3129" s="9" t="s">
        <v>57</v>
      </c>
      <c r="G3129" s="10" t="n">
        <v>46119</v>
      </c>
      <c r="H3129" s="10" t="n">
        <v>46154</v>
      </c>
      <c r="I3129" s="9" t="s">
        <v>40</v>
      </c>
      <c r="J3129" s="9" t="s">
        <v>41</v>
      </c>
      <c r="K3129" s="9" t="n">
        <v>35</v>
      </c>
      <c r="L3129" s="9" t="n">
        <v>4</v>
      </c>
      <c r="M3129" s="9" t="n">
        <v>0</v>
      </c>
      <c r="N3129" s="9" t="s">
        <v>71</v>
      </c>
      <c r="O3129" s="9"/>
      <c r="P3129" s="9" t="n">
        <v>22.2</v>
      </c>
      <c r="Q3129" s="9" t="n">
        <v>11</v>
      </c>
      <c r="R3129" s="9" t="s">
        <v>44</v>
      </c>
      <c r="S3129" s="9"/>
      <c r="T3129" s="9"/>
      <c r="U3129" s="9" t="str">
        <f aca="false">IF(COUNTIF($A$2:$A$5001,A3129)&gt;1,"Duplicate","Unique")</f>
        <v>Unique</v>
      </c>
      <c r="V3129" s="9" t="str">
        <f aca="false">IF(COUNTIFS($B$2:$B$5001,B3129,$H$2:$H$5001,H3129,$J$2:$J$5001,J3129)&gt;1,"Possible Duplicate Booking","Unique")</f>
        <v>Unique</v>
      </c>
      <c r="W3129" s="9" t="str">
        <f aca="false">IF((H3129-G3129)&lt;&gt;K3129,"Mismatch","OK")</f>
        <v>OK</v>
      </c>
      <c r="X3129" s="9" t="str">
        <f aca="false">IF(TEXT(H3129,"dddd")&lt;&gt;I3129,"Mismatch","OK")</f>
        <v>OK</v>
      </c>
      <c r="Y3129" s="9" t="str">
        <f aca="false">IF(AND(N3129="No",O3129&lt;&gt;""),"Unexpected: channel present but no reminder sent",IF(AND(N3129="Yes",O3129=""),"Missing channel for sent reminder","OK"))</f>
        <v>OK</v>
      </c>
    </row>
    <row r="3130" customFormat="false" ht="15" hidden="false" customHeight="false" outlineLevel="0" collapsed="false">
      <c r="A3130" s="7" t="s">
        <v>4677</v>
      </c>
      <c r="B3130" s="7" t="s">
        <v>3910</v>
      </c>
      <c r="C3130" s="7" t="s">
        <v>47</v>
      </c>
      <c r="D3130" s="7" t="n">
        <v>55</v>
      </c>
      <c r="E3130" s="7" t="s">
        <v>61</v>
      </c>
      <c r="F3130" s="7" t="s">
        <v>49</v>
      </c>
      <c r="G3130" s="8" t="n">
        <v>45921</v>
      </c>
      <c r="H3130" s="8" t="n">
        <v>45933</v>
      </c>
      <c r="I3130" s="7" t="s">
        <v>50</v>
      </c>
      <c r="J3130" s="7" t="s">
        <v>41</v>
      </c>
      <c r="K3130" s="7" t="n">
        <v>12</v>
      </c>
      <c r="L3130" s="7" t="n">
        <v>3</v>
      </c>
      <c r="M3130" s="7" t="n">
        <v>0</v>
      </c>
      <c r="N3130" s="7" t="s">
        <v>71</v>
      </c>
      <c r="O3130" s="7"/>
      <c r="P3130" s="7" t="n">
        <v>2.9</v>
      </c>
      <c r="Q3130" s="7" t="n">
        <v>37</v>
      </c>
      <c r="R3130" s="7" t="s">
        <v>53</v>
      </c>
      <c r="S3130" s="7"/>
      <c r="T3130" s="7"/>
      <c r="U3130" s="7" t="str">
        <f aca="false">IF(COUNTIF($A$2:$A$5001,A3130)&gt;1,"Duplicate","Unique")</f>
        <v>Unique</v>
      </c>
      <c r="V3130" s="7" t="str">
        <f aca="false">IF(COUNTIFS($B$2:$B$5001,B3130,$H$2:$H$5001,H3130,$J$2:$J$5001,J3130)&gt;1,"Possible Duplicate Booking","Unique")</f>
        <v>Unique</v>
      </c>
      <c r="W3130" s="7" t="str">
        <f aca="false">IF((H3130-G3130)&lt;&gt;K3130,"Mismatch","OK")</f>
        <v>OK</v>
      </c>
      <c r="X3130" s="7" t="str">
        <f aca="false">IF(TEXT(H3130,"dddd")&lt;&gt;I3130,"Mismatch","OK")</f>
        <v>OK</v>
      </c>
      <c r="Y3130" s="7" t="str">
        <f aca="false">IF(AND(N3130="No",O3130&lt;&gt;""),"Unexpected: channel present but no reminder sent",IF(AND(N3130="Yes",O3130=""),"Missing channel for sent reminder","OK"))</f>
        <v>OK</v>
      </c>
    </row>
    <row r="3131" customFormat="false" ht="15" hidden="false" customHeight="false" outlineLevel="0" collapsed="false">
      <c r="A3131" s="9" t="s">
        <v>4678</v>
      </c>
      <c r="B3131" s="9" t="s">
        <v>4679</v>
      </c>
      <c r="C3131" s="9" t="s">
        <v>47</v>
      </c>
      <c r="D3131" s="9" t="n">
        <v>45</v>
      </c>
      <c r="E3131" s="9" t="s">
        <v>56</v>
      </c>
      <c r="F3131" s="9" t="s">
        <v>39</v>
      </c>
      <c r="G3131" s="10" t="n">
        <v>46083</v>
      </c>
      <c r="H3131" s="10" t="n">
        <v>46090</v>
      </c>
      <c r="I3131" s="9" t="s">
        <v>66</v>
      </c>
      <c r="J3131" s="9" t="s">
        <v>51</v>
      </c>
      <c r="K3131" s="9" t="n">
        <v>7</v>
      </c>
      <c r="L3131" s="9" t="n">
        <v>5</v>
      </c>
      <c r="M3131" s="9" t="n">
        <v>1</v>
      </c>
      <c r="N3131" s="9" t="s">
        <v>42</v>
      </c>
      <c r="O3131" s="9" t="s">
        <v>67</v>
      </c>
      <c r="P3131" s="9" t="n">
        <v>10.5</v>
      </c>
      <c r="Q3131" s="9" t="n">
        <v>26</v>
      </c>
      <c r="R3131" s="9" t="s">
        <v>53</v>
      </c>
      <c r="S3131" s="9"/>
      <c r="T3131" s="9"/>
      <c r="U3131" s="9" t="str">
        <f aca="false">IF(COUNTIF($A$2:$A$5001,A3131)&gt;1,"Duplicate","Unique")</f>
        <v>Unique</v>
      </c>
      <c r="V3131" s="9" t="str">
        <f aca="false">IF(COUNTIFS($B$2:$B$5001,B3131,$H$2:$H$5001,H3131,$J$2:$J$5001,J3131)&gt;1,"Possible Duplicate Booking","Unique")</f>
        <v>Unique</v>
      </c>
      <c r="W3131" s="9" t="str">
        <f aca="false">IF((H3131-G3131)&lt;&gt;K3131,"Mismatch","OK")</f>
        <v>OK</v>
      </c>
      <c r="X3131" s="9" t="str">
        <f aca="false">IF(TEXT(H3131,"dddd")&lt;&gt;I3131,"Mismatch","OK")</f>
        <v>OK</v>
      </c>
      <c r="Y3131" s="9" t="str">
        <f aca="false">IF(AND(N3131="No",O3131&lt;&gt;""),"Unexpected: channel present but no reminder sent",IF(AND(N3131="Yes",O3131=""),"Missing channel for sent reminder","OK"))</f>
        <v>OK</v>
      </c>
    </row>
    <row r="3132" customFormat="false" ht="15" hidden="false" customHeight="false" outlineLevel="0" collapsed="false">
      <c r="A3132" s="7" t="s">
        <v>4680</v>
      </c>
      <c r="B3132" s="7" t="s">
        <v>4681</v>
      </c>
      <c r="C3132" s="7" t="s">
        <v>37</v>
      </c>
      <c r="D3132" s="7" t="n">
        <v>76</v>
      </c>
      <c r="E3132" s="7" t="s">
        <v>70</v>
      </c>
      <c r="F3132" s="7" t="s">
        <v>57</v>
      </c>
      <c r="G3132" s="8" t="n">
        <v>45845</v>
      </c>
      <c r="H3132" s="8" t="n">
        <v>45853</v>
      </c>
      <c r="I3132" s="7" t="s">
        <v>40</v>
      </c>
      <c r="J3132" s="7" t="s">
        <v>41</v>
      </c>
      <c r="K3132" s="7" t="n">
        <v>8</v>
      </c>
      <c r="L3132" s="7" t="n">
        <v>2</v>
      </c>
      <c r="M3132" s="7" t="n">
        <v>0</v>
      </c>
      <c r="N3132" s="7" t="s">
        <v>42</v>
      </c>
      <c r="O3132" s="7" t="s">
        <v>52</v>
      </c>
      <c r="P3132" s="7" t="n">
        <v>4.8</v>
      </c>
      <c r="Q3132" s="7" t="n">
        <v>40</v>
      </c>
      <c r="R3132" s="7" t="s">
        <v>53</v>
      </c>
      <c r="S3132" s="7"/>
      <c r="T3132" s="7"/>
      <c r="U3132" s="7" t="str">
        <f aca="false">IF(COUNTIF($A$2:$A$5001,A3132)&gt;1,"Duplicate","Unique")</f>
        <v>Unique</v>
      </c>
      <c r="V3132" s="7" t="str">
        <f aca="false">IF(COUNTIFS($B$2:$B$5001,B3132,$H$2:$H$5001,H3132,$J$2:$J$5001,J3132)&gt;1,"Possible Duplicate Booking","Unique")</f>
        <v>Unique</v>
      </c>
      <c r="W3132" s="7" t="str">
        <f aca="false">IF((H3132-G3132)&lt;&gt;K3132,"Mismatch","OK")</f>
        <v>OK</v>
      </c>
      <c r="X3132" s="7" t="str">
        <f aca="false">IF(TEXT(H3132,"dddd")&lt;&gt;I3132,"Mismatch","OK")</f>
        <v>OK</v>
      </c>
      <c r="Y3132" s="7" t="str">
        <f aca="false">IF(AND(N3132="No",O3132&lt;&gt;""),"Unexpected: channel present but no reminder sent",IF(AND(N3132="Yes",O3132=""),"Missing channel for sent reminder","OK"))</f>
        <v>OK</v>
      </c>
    </row>
    <row r="3133" customFormat="false" ht="15" hidden="false" customHeight="false" outlineLevel="0" collapsed="false">
      <c r="A3133" s="9" t="s">
        <v>4682</v>
      </c>
      <c r="B3133" s="9" t="s">
        <v>4683</v>
      </c>
      <c r="C3133" s="9" t="s">
        <v>47</v>
      </c>
      <c r="D3133" s="9" t="n">
        <v>61</v>
      </c>
      <c r="E3133" s="9" t="s">
        <v>61</v>
      </c>
      <c r="F3133" s="9" t="s">
        <v>57</v>
      </c>
      <c r="G3133" s="10" t="n">
        <v>45861</v>
      </c>
      <c r="H3133" s="10" t="n">
        <v>45909</v>
      </c>
      <c r="I3133" s="9" t="s">
        <v>40</v>
      </c>
      <c r="J3133" s="9" t="s">
        <v>41</v>
      </c>
      <c r="K3133" s="9" t="n">
        <v>48</v>
      </c>
      <c r="L3133" s="9" t="n">
        <v>3</v>
      </c>
      <c r="M3133" s="9" t="n">
        <v>1</v>
      </c>
      <c r="N3133" s="9" t="s">
        <v>71</v>
      </c>
      <c r="O3133" s="9"/>
      <c r="P3133" s="9" t="n">
        <v>6.7</v>
      </c>
      <c r="Q3133" s="9" t="n">
        <v>15</v>
      </c>
      <c r="R3133" s="9" t="s">
        <v>44</v>
      </c>
      <c r="S3133" s="9"/>
      <c r="T3133" s="9"/>
      <c r="U3133" s="9" t="str">
        <f aca="false">IF(COUNTIF($A$2:$A$5001,A3133)&gt;1,"Duplicate","Unique")</f>
        <v>Unique</v>
      </c>
      <c r="V3133" s="9" t="str">
        <f aca="false">IF(COUNTIFS($B$2:$B$5001,B3133,$H$2:$H$5001,H3133,$J$2:$J$5001,J3133)&gt;1,"Possible Duplicate Booking","Unique")</f>
        <v>Unique</v>
      </c>
      <c r="W3133" s="9" t="str">
        <f aca="false">IF((H3133-G3133)&lt;&gt;K3133,"Mismatch","OK")</f>
        <v>OK</v>
      </c>
      <c r="X3133" s="9" t="str">
        <f aca="false">IF(TEXT(H3133,"dddd")&lt;&gt;I3133,"Mismatch","OK")</f>
        <v>OK</v>
      </c>
      <c r="Y3133" s="9" t="str">
        <f aca="false">IF(AND(N3133="No",O3133&lt;&gt;""),"Unexpected: channel present but no reminder sent",IF(AND(N3133="Yes",O3133=""),"Missing channel for sent reminder","OK"))</f>
        <v>OK</v>
      </c>
    </row>
    <row r="3134" customFormat="false" ht="15" hidden="false" customHeight="false" outlineLevel="0" collapsed="false">
      <c r="A3134" s="7" t="s">
        <v>4684</v>
      </c>
      <c r="B3134" s="7" t="s">
        <v>3305</v>
      </c>
      <c r="C3134" s="7" t="s">
        <v>37</v>
      </c>
      <c r="D3134" s="7" t="n">
        <v>63</v>
      </c>
      <c r="E3134" s="7" t="s">
        <v>61</v>
      </c>
      <c r="F3134" s="7" t="s">
        <v>74</v>
      </c>
      <c r="G3134" s="8" t="n">
        <v>46033</v>
      </c>
      <c r="H3134" s="8" t="n">
        <v>46073</v>
      </c>
      <c r="I3134" s="7" t="s">
        <v>50</v>
      </c>
      <c r="J3134" s="7" t="s">
        <v>51</v>
      </c>
      <c r="K3134" s="7" t="n">
        <v>40</v>
      </c>
      <c r="L3134" s="7" t="n">
        <v>2</v>
      </c>
      <c r="M3134" s="7" t="n">
        <v>1</v>
      </c>
      <c r="N3134" s="7" t="s">
        <v>42</v>
      </c>
      <c r="O3134" s="7" t="s">
        <v>43</v>
      </c>
      <c r="P3134" s="7" t="n">
        <v>24.6</v>
      </c>
      <c r="Q3134" s="7" t="n">
        <v>14</v>
      </c>
      <c r="R3134" s="7" t="s">
        <v>53</v>
      </c>
      <c r="S3134" s="7"/>
      <c r="T3134" s="7"/>
      <c r="U3134" s="7" t="str">
        <f aca="false">IF(COUNTIF($A$2:$A$5001,A3134)&gt;1,"Duplicate","Unique")</f>
        <v>Unique</v>
      </c>
      <c r="V3134" s="7" t="str">
        <f aca="false">IF(COUNTIFS($B$2:$B$5001,B3134,$H$2:$H$5001,H3134,$J$2:$J$5001,J3134)&gt;1,"Possible Duplicate Booking","Unique")</f>
        <v>Unique</v>
      </c>
      <c r="W3134" s="7" t="str">
        <f aca="false">IF((H3134-G3134)&lt;&gt;K3134,"Mismatch","OK")</f>
        <v>OK</v>
      </c>
      <c r="X3134" s="7" t="str">
        <f aca="false">IF(TEXT(H3134,"dddd")&lt;&gt;I3134,"Mismatch","OK")</f>
        <v>OK</v>
      </c>
      <c r="Y3134" s="7" t="str">
        <f aca="false">IF(AND(N3134="No",O3134&lt;&gt;""),"Unexpected: channel present but no reminder sent",IF(AND(N3134="Yes",O3134=""),"Missing channel for sent reminder","OK"))</f>
        <v>OK</v>
      </c>
    </row>
    <row r="3135" customFormat="false" ht="15" hidden="false" customHeight="false" outlineLevel="0" collapsed="false">
      <c r="A3135" s="9" t="s">
        <v>4685</v>
      </c>
      <c r="B3135" s="9" t="s">
        <v>1426</v>
      </c>
      <c r="C3135" s="9" t="s">
        <v>47</v>
      </c>
      <c r="D3135" s="9" t="n">
        <v>54</v>
      </c>
      <c r="E3135" s="9" t="s">
        <v>56</v>
      </c>
      <c r="F3135" s="9" t="s">
        <v>39</v>
      </c>
      <c r="G3135" s="10" t="n">
        <v>45685</v>
      </c>
      <c r="H3135" s="10" t="n">
        <v>45702</v>
      </c>
      <c r="I3135" s="9" t="s">
        <v>50</v>
      </c>
      <c r="J3135" s="9" t="s">
        <v>63</v>
      </c>
      <c r="K3135" s="9" t="n">
        <v>17</v>
      </c>
      <c r="L3135" s="9" t="n">
        <v>1</v>
      </c>
      <c r="M3135" s="9" t="n">
        <v>0</v>
      </c>
      <c r="N3135" s="9" t="s">
        <v>71</v>
      </c>
      <c r="O3135" s="9"/>
      <c r="P3135" s="9" t="n">
        <v>10.9</v>
      </c>
      <c r="Q3135" s="9" t="n">
        <v>22</v>
      </c>
      <c r="R3135" s="9" t="s">
        <v>53</v>
      </c>
      <c r="S3135" s="9"/>
      <c r="T3135" s="9"/>
      <c r="U3135" s="9" t="str">
        <f aca="false">IF(COUNTIF($A$2:$A$5001,A3135)&gt;1,"Duplicate","Unique")</f>
        <v>Unique</v>
      </c>
      <c r="V3135" s="9" t="str">
        <f aca="false">IF(COUNTIFS($B$2:$B$5001,B3135,$H$2:$H$5001,H3135,$J$2:$J$5001,J3135)&gt;1,"Possible Duplicate Booking","Unique")</f>
        <v>Unique</v>
      </c>
      <c r="W3135" s="9" t="str">
        <f aca="false">IF((H3135-G3135)&lt;&gt;K3135,"Mismatch","OK")</f>
        <v>OK</v>
      </c>
      <c r="X3135" s="9" t="str">
        <f aca="false">IF(TEXT(H3135,"dddd")&lt;&gt;I3135,"Mismatch","OK")</f>
        <v>OK</v>
      </c>
      <c r="Y3135" s="9" t="str">
        <f aca="false">IF(AND(N3135="No",O3135&lt;&gt;""),"Unexpected: channel present but no reminder sent",IF(AND(N3135="Yes",O3135=""),"Missing channel for sent reminder","OK"))</f>
        <v>OK</v>
      </c>
    </row>
    <row r="3136" customFormat="false" ht="15" hidden="false" customHeight="false" outlineLevel="0" collapsed="false">
      <c r="A3136" s="7" t="s">
        <v>4686</v>
      </c>
      <c r="B3136" s="7" t="s">
        <v>546</v>
      </c>
      <c r="C3136" s="7" t="s">
        <v>37</v>
      </c>
      <c r="D3136" s="7" t="n">
        <v>66</v>
      </c>
      <c r="E3136" s="7" t="s">
        <v>70</v>
      </c>
      <c r="F3136" s="7" t="s">
        <v>39</v>
      </c>
      <c r="G3136" s="8" t="n">
        <v>46001</v>
      </c>
      <c r="H3136" s="8" t="n">
        <v>46045</v>
      </c>
      <c r="I3136" s="7" t="s">
        <v>50</v>
      </c>
      <c r="J3136" s="7" t="s">
        <v>41</v>
      </c>
      <c r="K3136" s="7" t="n">
        <v>44</v>
      </c>
      <c r="L3136" s="7" t="n">
        <v>4</v>
      </c>
      <c r="M3136" s="7" t="n">
        <v>1</v>
      </c>
      <c r="N3136" s="7" t="s">
        <v>42</v>
      </c>
      <c r="O3136" s="7" t="s">
        <v>43</v>
      </c>
      <c r="P3136" s="7" t="n">
        <v>12.6</v>
      </c>
      <c r="Q3136" s="7" t="n">
        <v>17</v>
      </c>
      <c r="R3136" s="7" t="s">
        <v>44</v>
      </c>
      <c r="S3136" s="7"/>
      <c r="T3136" s="7"/>
      <c r="U3136" s="7" t="str">
        <f aca="false">IF(COUNTIF($A$2:$A$5001,A3136)&gt;1,"Duplicate","Unique")</f>
        <v>Unique</v>
      </c>
      <c r="V3136" s="7" t="str">
        <f aca="false">IF(COUNTIFS($B$2:$B$5001,B3136,$H$2:$H$5001,H3136,$J$2:$J$5001,J3136)&gt;1,"Possible Duplicate Booking","Unique")</f>
        <v>Unique</v>
      </c>
      <c r="W3136" s="7" t="str">
        <f aca="false">IF((H3136-G3136)&lt;&gt;K3136,"Mismatch","OK")</f>
        <v>OK</v>
      </c>
      <c r="X3136" s="7" t="str">
        <f aca="false">IF(TEXT(H3136,"dddd")&lt;&gt;I3136,"Mismatch","OK")</f>
        <v>OK</v>
      </c>
      <c r="Y3136" s="7" t="str">
        <f aca="false">IF(AND(N3136="No",O3136&lt;&gt;""),"Unexpected: channel present but no reminder sent",IF(AND(N3136="Yes",O3136=""),"Missing channel for sent reminder","OK"))</f>
        <v>OK</v>
      </c>
    </row>
    <row r="3137" customFormat="false" ht="15" hidden="false" customHeight="false" outlineLevel="0" collapsed="false">
      <c r="A3137" s="9" t="s">
        <v>4687</v>
      </c>
      <c r="B3137" s="9" t="s">
        <v>4146</v>
      </c>
      <c r="C3137" s="9" t="s">
        <v>47</v>
      </c>
      <c r="D3137" s="9" t="n">
        <v>49</v>
      </c>
      <c r="E3137" s="9" t="s">
        <v>56</v>
      </c>
      <c r="F3137" s="9" t="s">
        <v>57</v>
      </c>
      <c r="G3137" s="10" t="n">
        <v>45624</v>
      </c>
      <c r="H3137" s="10" t="n">
        <v>45666</v>
      </c>
      <c r="I3137" s="9" t="s">
        <v>62</v>
      </c>
      <c r="J3137" s="9" t="s">
        <v>63</v>
      </c>
      <c r="K3137" s="9" t="n">
        <v>42</v>
      </c>
      <c r="L3137" s="9" t="n">
        <v>4</v>
      </c>
      <c r="M3137" s="9" t="n">
        <v>0</v>
      </c>
      <c r="N3137" s="9" t="s">
        <v>71</v>
      </c>
      <c r="O3137" s="9"/>
      <c r="P3137" s="9" t="n">
        <v>6.5</v>
      </c>
      <c r="Q3137" s="9" t="n">
        <v>23</v>
      </c>
      <c r="R3137" s="9" t="s">
        <v>53</v>
      </c>
      <c r="S3137" s="9"/>
      <c r="T3137" s="9"/>
      <c r="U3137" s="9" t="str">
        <f aca="false">IF(COUNTIF($A$2:$A$5001,A3137)&gt;1,"Duplicate","Unique")</f>
        <v>Unique</v>
      </c>
      <c r="V3137" s="9" t="str">
        <f aca="false">IF(COUNTIFS($B$2:$B$5001,B3137,$H$2:$H$5001,H3137,$J$2:$J$5001,J3137)&gt;1,"Possible Duplicate Booking","Unique")</f>
        <v>Unique</v>
      </c>
      <c r="W3137" s="9" t="str">
        <f aca="false">IF((H3137-G3137)&lt;&gt;K3137,"Mismatch","OK")</f>
        <v>OK</v>
      </c>
      <c r="X3137" s="9" t="str">
        <f aca="false">IF(TEXT(H3137,"dddd")&lt;&gt;I3137,"Mismatch","OK")</f>
        <v>OK</v>
      </c>
      <c r="Y3137" s="9" t="str">
        <f aca="false">IF(AND(N3137="No",O3137&lt;&gt;""),"Unexpected: channel present but no reminder sent",IF(AND(N3137="Yes",O3137=""),"Missing channel for sent reminder","OK"))</f>
        <v>OK</v>
      </c>
    </row>
    <row r="3138" customFormat="false" ht="15" hidden="false" customHeight="false" outlineLevel="0" collapsed="false">
      <c r="A3138" s="7" t="s">
        <v>4688</v>
      </c>
      <c r="B3138" s="7" t="s">
        <v>1550</v>
      </c>
      <c r="C3138" s="7" t="s">
        <v>37</v>
      </c>
      <c r="D3138" s="7" t="n">
        <v>57</v>
      </c>
      <c r="E3138" s="7" t="s">
        <v>61</v>
      </c>
      <c r="F3138" s="7" t="s">
        <v>74</v>
      </c>
      <c r="G3138" s="8" t="n">
        <v>45926</v>
      </c>
      <c r="H3138" s="8" t="n">
        <v>45975</v>
      </c>
      <c r="I3138" s="7" t="s">
        <v>50</v>
      </c>
      <c r="J3138" s="7" t="s">
        <v>41</v>
      </c>
      <c r="K3138" s="7" t="n">
        <v>49</v>
      </c>
      <c r="L3138" s="7" t="n">
        <v>6</v>
      </c>
      <c r="M3138" s="7" t="n">
        <v>2</v>
      </c>
      <c r="N3138" s="7" t="s">
        <v>42</v>
      </c>
      <c r="O3138" s="7" t="s">
        <v>52</v>
      </c>
      <c r="P3138" s="7" t="n">
        <v>8.6</v>
      </c>
      <c r="Q3138" s="7" t="n">
        <v>37</v>
      </c>
      <c r="R3138" s="7" t="s">
        <v>44</v>
      </c>
      <c r="S3138" s="7"/>
      <c r="T3138" s="7"/>
      <c r="U3138" s="7" t="str">
        <f aca="false">IF(COUNTIF($A$2:$A$5001,A3138)&gt;1,"Duplicate","Unique")</f>
        <v>Unique</v>
      </c>
      <c r="V3138" s="7" t="str">
        <f aca="false">IF(COUNTIFS($B$2:$B$5001,B3138,$H$2:$H$5001,H3138,$J$2:$J$5001,J3138)&gt;1,"Possible Duplicate Booking","Unique")</f>
        <v>Unique</v>
      </c>
      <c r="W3138" s="7" t="str">
        <f aca="false">IF((H3138-G3138)&lt;&gt;K3138,"Mismatch","OK")</f>
        <v>OK</v>
      </c>
      <c r="X3138" s="7" t="str">
        <f aca="false">IF(TEXT(H3138,"dddd")&lt;&gt;I3138,"Mismatch","OK")</f>
        <v>OK</v>
      </c>
      <c r="Y3138" s="7" t="str">
        <f aca="false">IF(AND(N3138="No",O3138&lt;&gt;""),"Unexpected: channel present but no reminder sent",IF(AND(N3138="Yes",O3138=""),"Missing channel for sent reminder","OK"))</f>
        <v>OK</v>
      </c>
    </row>
    <row r="3139" customFormat="false" ht="15" hidden="false" customHeight="false" outlineLevel="0" collapsed="false">
      <c r="A3139" s="9" t="s">
        <v>4689</v>
      </c>
      <c r="B3139" s="9" t="s">
        <v>401</v>
      </c>
      <c r="C3139" s="9" t="s">
        <v>37</v>
      </c>
      <c r="D3139" s="9" t="n">
        <v>56</v>
      </c>
      <c r="E3139" s="9" t="s">
        <v>61</v>
      </c>
      <c r="F3139" s="9" t="s">
        <v>74</v>
      </c>
      <c r="G3139" s="10" t="n">
        <v>45863</v>
      </c>
      <c r="H3139" s="10" t="n">
        <v>45918</v>
      </c>
      <c r="I3139" s="9" t="s">
        <v>62</v>
      </c>
      <c r="J3139" s="9" t="s">
        <v>51</v>
      </c>
      <c r="K3139" s="9" t="n">
        <v>55</v>
      </c>
      <c r="L3139" s="9" t="n">
        <v>1</v>
      </c>
      <c r="M3139" s="9" t="n">
        <v>0</v>
      </c>
      <c r="N3139" s="9" t="s">
        <v>42</v>
      </c>
      <c r="O3139" s="9" t="s">
        <v>52</v>
      </c>
      <c r="P3139" s="9" t="n">
        <v>17</v>
      </c>
      <c r="Q3139" s="9" t="n">
        <v>29</v>
      </c>
      <c r="R3139" s="9" t="s">
        <v>44</v>
      </c>
      <c r="S3139" s="9"/>
      <c r="T3139" s="9"/>
      <c r="U3139" s="9" t="str">
        <f aca="false">IF(COUNTIF($A$2:$A$5001,A3139)&gt;1,"Duplicate","Unique")</f>
        <v>Unique</v>
      </c>
      <c r="V3139" s="9" t="str">
        <f aca="false">IF(COUNTIFS($B$2:$B$5001,B3139,$H$2:$H$5001,H3139,$J$2:$J$5001,J3139)&gt;1,"Possible Duplicate Booking","Unique")</f>
        <v>Unique</v>
      </c>
      <c r="W3139" s="9" t="str">
        <f aca="false">IF((H3139-G3139)&lt;&gt;K3139,"Mismatch","OK")</f>
        <v>OK</v>
      </c>
      <c r="X3139" s="9" t="str">
        <f aca="false">IF(TEXT(H3139,"dddd")&lt;&gt;I3139,"Mismatch","OK")</f>
        <v>OK</v>
      </c>
      <c r="Y3139" s="9" t="str">
        <f aca="false">IF(AND(N3139="No",O3139&lt;&gt;""),"Unexpected: channel present but no reminder sent",IF(AND(N3139="Yes",O3139=""),"Missing channel for sent reminder","OK"))</f>
        <v>OK</v>
      </c>
    </row>
    <row r="3140" customFormat="false" ht="15" hidden="false" customHeight="false" outlineLevel="0" collapsed="false">
      <c r="A3140" s="7" t="s">
        <v>4690</v>
      </c>
      <c r="B3140" s="7" t="s">
        <v>4407</v>
      </c>
      <c r="C3140" s="7" t="s">
        <v>37</v>
      </c>
      <c r="D3140" s="7" t="n">
        <v>65</v>
      </c>
      <c r="E3140" s="7" t="s">
        <v>70</v>
      </c>
      <c r="F3140" s="7" t="s">
        <v>39</v>
      </c>
      <c r="G3140" s="8" t="n">
        <v>45860</v>
      </c>
      <c r="H3140" s="8" t="n">
        <v>45913</v>
      </c>
      <c r="I3140" s="7" t="s">
        <v>102</v>
      </c>
      <c r="J3140" s="7" t="s">
        <v>51</v>
      </c>
      <c r="K3140" s="7" t="n">
        <v>53</v>
      </c>
      <c r="L3140" s="7" t="n">
        <v>4</v>
      </c>
      <c r="M3140" s="7" t="n">
        <v>2</v>
      </c>
      <c r="N3140" s="7" t="s">
        <v>71</v>
      </c>
      <c r="O3140" s="7"/>
      <c r="P3140" s="7" t="n">
        <v>22.1</v>
      </c>
      <c r="Q3140" s="7" t="n">
        <v>21</v>
      </c>
      <c r="R3140" s="7" t="s">
        <v>44</v>
      </c>
      <c r="S3140" s="7"/>
      <c r="T3140" s="7"/>
      <c r="U3140" s="7" t="str">
        <f aca="false">IF(COUNTIF($A$2:$A$5001,A3140)&gt;1,"Duplicate","Unique")</f>
        <v>Unique</v>
      </c>
      <c r="V3140" s="7" t="str">
        <f aca="false">IF(COUNTIFS($B$2:$B$5001,B3140,$H$2:$H$5001,H3140,$J$2:$J$5001,J3140)&gt;1,"Possible Duplicate Booking","Unique")</f>
        <v>Unique</v>
      </c>
      <c r="W3140" s="7" t="str">
        <f aca="false">IF((H3140-G3140)&lt;&gt;K3140,"Mismatch","OK")</f>
        <v>OK</v>
      </c>
      <c r="X3140" s="7" t="str">
        <f aca="false">IF(TEXT(H3140,"dddd")&lt;&gt;I3140,"Mismatch","OK")</f>
        <v>OK</v>
      </c>
      <c r="Y3140" s="7" t="str">
        <f aca="false">IF(AND(N3140="No",O3140&lt;&gt;""),"Unexpected: channel present but no reminder sent",IF(AND(N3140="Yes",O3140=""),"Missing channel for sent reminder","OK"))</f>
        <v>OK</v>
      </c>
    </row>
    <row r="3141" customFormat="false" ht="15" hidden="false" customHeight="false" outlineLevel="0" collapsed="false">
      <c r="A3141" s="9" t="s">
        <v>4691</v>
      </c>
      <c r="B3141" s="9" t="s">
        <v>3339</v>
      </c>
      <c r="C3141" s="9" t="s">
        <v>47</v>
      </c>
      <c r="D3141" s="9" t="n">
        <v>74</v>
      </c>
      <c r="E3141" s="9" t="s">
        <v>70</v>
      </c>
      <c r="F3141" s="9" t="s">
        <v>57</v>
      </c>
      <c r="G3141" s="10" t="n">
        <v>45916</v>
      </c>
      <c r="H3141" s="10" t="n">
        <v>45927</v>
      </c>
      <c r="I3141" s="9" t="s">
        <v>102</v>
      </c>
      <c r="J3141" s="9" t="s">
        <v>51</v>
      </c>
      <c r="K3141" s="9" t="n">
        <v>11</v>
      </c>
      <c r="L3141" s="9" t="n">
        <v>3</v>
      </c>
      <c r="M3141" s="9" t="n">
        <v>1</v>
      </c>
      <c r="N3141" s="9" t="s">
        <v>42</v>
      </c>
      <c r="O3141" s="9" t="s">
        <v>52</v>
      </c>
      <c r="P3141" s="9" t="n">
        <v>8.7</v>
      </c>
      <c r="Q3141" s="9" t="n">
        <v>25</v>
      </c>
      <c r="R3141" s="9" t="s">
        <v>44</v>
      </c>
      <c r="S3141" s="9"/>
      <c r="T3141" s="9"/>
      <c r="U3141" s="9" t="str">
        <f aca="false">IF(COUNTIF($A$2:$A$5001,A3141)&gt;1,"Duplicate","Unique")</f>
        <v>Unique</v>
      </c>
      <c r="V3141" s="9" t="str">
        <f aca="false">IF(COUNTIFS($B$2:$B$5001,B3141,$H$2:$H$5001,H3141,$J$2:$J$5001,J3141)&gt;1,"Possible Duplicate Booking","Unique")</f>
        <v>Unique</v>
      </c>
      <c r="W3141" s="9" t="str">
        <f aca="false">IF((H3141-G3141)&lt;&gt;K3141,"Mismatch","OK")</f>
        <v>OK</v>
      </c>
      <c r="X3141" s="9" t="str">
        <f aca="false">IF(TEXT(H3141,"dddd")&lt;&gt;I3141,"Mismatch","OK")</f>
        <v>OK</v>
      </c>
      <c r="Y3141" s="9" t="str">
        <f aca="false">IF(AND(N3141="No",O3141&lt;&gt;""),"Unexpected: channel present but no reminder sent",IF(AND(N3141="Yes",O3141=""),"Missing channel for sent reminder","OK"))</f>
        <v>OK</v>
      </c>
    </row>
    <row r="3142" customFormat="false" ht="15" hidden="false" customHeight="false" outlineLevel="0" collapsed="false">
      <c r="A3142" s="7" t="s">
        <v>4692</v>
      </c>
      <c r="B3142" s="7" t="s">
        <v>3709</v>
      </c>
      <c r="C3142" s="7" t="s">
        <v>47</v>
      </c>
      <c r="D3142" s="7" t="n">
        <v>36</v>
      </c>
      <c r="E3142" s="7" t="s">
        <v>38</v>
      </c>
      <c r="F3142" s="7" t="s">
        <v>39</v>
      </c>
      <c r="G3142" s="8" t="n">
        <v>45880</v>
      </c>
      <c r="H3142" s="8" t="n">
        <v>45926</v>
      </c>
      <c r="I3142" s="7" t="s">
        <v>50</v>
      </c>
      <c r="J3142" s="7" t="s">
        <v>51</v>
      </c>
      <c r="K3142" s="7" t="n">
        <v>46</v>
      </c>
      <c r="L3142" s="7" t="n">
        <v>4</v>
      </c>
      <c r="M3142" s="7" t="n">
        <v>1</v>
      </c>
      <c r="N3142" s="7" t="s">
        <v>42</v>
      </c>
      <c r="O3142" s="7" t="s">
        <v>52</v>
      </c>
      <c r="P3142" s="7" t="n">
        <v>19.4</v>
      </c>
      <c r="Q3142" s="7" t="n">
        <v>7</v>
      </c>
      <c r="R3142" s="7" t="s">
        <v>53</v>
      </c>
      <c r="S3142" s="7"/>
      <c r="T3142" s="7"/>
      <c r="U3142" s="7" t="str">
        <f aca="false">IF(COUNTIF($A$2:$A$5001,A3142)&gt;1,"Duplicate","Unique")</f>
        <v>Unique</v>
      </c>
      <c r="V3142" s="7" t="str">
        <f aca="false">IF(COUNTIFS($B$2:$B$5001,B3142,$H$2:$H$5001,H3142,$J$2:$J$5001,J3142)&gt;1,"Possible Duplicate Booking","Unique")</f>
        <v>Unique</v>
      </c>
      <c r="W3142" s="7" t="str">
        <f aca="false">IF((H3142-G3142)&lt;&gt;K3142,"Mismatch","OK")</f>
        <v>OK</v>
      </c>
      <c r="X3142" s="7" t="str">
        <f aca="false">IF(TEXT(H3142,"dddd")&lt;&gt;I3142,"Mismatch","OK")</f>
        <v>OK</v>
      </c>
      <c r="Y3142" s="7" t="str">
        <f aca="false">IF(AND(N3142="No",O3142&lt;&gt;""),"Unexpected: channel present but no reminder sent",IF(AND(N3142="Yes",O3142=""),"Missing channel for sent reminder","OK"))</f>
        <v>OK</v>
      </c>
    </row>
    <row r="3143" customFormat="false" ht="15" hidden="false" customHeight="false" outlineLevel="0" collapsed="false">
      <c r="A3143" s="9" t="s">
        <v>4693</v>
      </c>
      <c r="B3143" s="9" t="s">
        <v>1051</v>
      </c>
      <c r="C3143" s="9" t="s">
        <v>236</v>
      </c>
      <c r="D3143" s="9" t="n">
        <v>62</v>
      </c>
      <c r="E3143" s="9" t="s">
        <v>61</v>
      </c>
      <c r="F3143" s="9" t="s">
        <v>49</v>
      </c>
      <c r="G3143" s="10" t="n">
        <v>45857</v>
      </c>
      <c r="H3143" s="10" t="n">
        <v>45880</v>
      </c>
      <c r="I3143" s="9" t="s">
        <v>66</v>
      </c>
      <c r="J3143" s="9" t="s">
        <v>51</v>
      </c>
      <c r="K3143" s="9" t="n">
        <v>23</v>
      </c>
      <c r="L3143" s="9" t="n">
        <v>4</v>
      </c>
      <c r="M3143" s="9" t="n">
        <v>2</v>
      </c>
      <c r="N3143" s="9" t="s">
        <v>71</v>
      </c>
      <c r="O3143" s="9"/>
      <c r="P3143" s="9" t="n">
        <v>8.5</v>
      </c>
      <c r="Q3143" s="9" t="n">
        <v>3</v>
      </c>
      <c r="R3143" s="9" t="s">
        <v>44</v>
      </c>
      <c r="S3143" s="9"/>
      <c r="T3143" s="9"/>
      <c r="U3143" s="9" t="str">
        <f aca="false">IF(COUNTIF($A$2:$A$5001,A3143)&gt;1,"Duplicate","Unique")</f>
        <v>Unique</v>
      </c>
      <c r="V3143" s="9" t="str">
        <f aca="false">IF(COUNTIFS($B$2:$B$5001,B3143,$H$2:$H$5001,H3143,$J$2:$J$5001,J3143)&gt;1,"Possible Duplicate Booking","Unique")</f>
        <v>Unique</v>
      </c>
      <c r="W3143" s="9" t="str">
        <f aca="false">IF((H3143-G3143)&lt;&gt;K3143,"Mismatch","OK")</f>
        <v>OK</v>
      </c>
      <c r="X3143" s="9" t="str">
        <f aca="false">IF(TEXT(H3143,"dddd")&lt;&gt;I3143,"Mismatch","OK")</f>
        <v>OK</v>
      </c>
      <c r="Y3143" s="9" t="str">
        <f aca="false">IF(AND(N3143="No",O3143&lt;&gt;""),"Unexpected: channel present but no reminder sent",IF(AND(N3143="Yes",O3143=""),"Missing channel for sent reminder","OK"))</f>
        <v>OK</v>
      </c>
    </row>
    <row r="3144" customFormat="false" ht="15" hidden="false" customHeight="false" outlineLevel="0" collapsed="false">
      <c r="A3144" s="7" t="s">
        <v>4694</v>
      </c>
      <c r="B3144" s="7" t="s">
        <v>1123</v>
      </c>
      <c r="C3144" s="7" t="s">
        <v>47</v>
      </c>
      <c r="D3144" s="7" t="n">
        <v>19</v>
      </c>
      <c r="E3144" s="7" t="s">
        <v>82</v>
      </c>
      <c r="F3144" s="7" t="s">
        <v>49</v>
      </c>
      <c r="G3144" s="8" t="n">
        <v>45880</v>
      </c>
      <c r="H3144" s="8" t="n">
        <v>45904</v>
      </c>
      <c r="I3144" s="7" t="s">
        <v>62</v>
      </c>
      <c r="J3144" s="7" t="s">
        <v>51</v>
      </c>
      <c r="K3144" s="7" t="n">
        <v>24</v>
      </c>
      <c r="L3144" s="7" t="n">
        <v>2</v>
      </c>
      <c r="M3144" s="7" t="n">
        <v>1</v>
      </c>
      <c r="N3144" s="7" t="s">
        <v>42</v>
      </c>
      <c r="O3144" s="7" t="s">
        <v>52</v>
      </c>
      <c r="P3144" s="7" t="n">
        <v>5</v>
      </c>
      <c r="Q3144" s="7" t="n">
        <v>37</v>
      </c>
      <c r="R3144" s="7" t="s">
        <v>53</v>
      </c>
      <c r="S3144" s="7"/>
      <c r="T3144" s="7"/>
      <c r="U3144" s="7" t="str">
        <f aca="false">IF(COUNTIF($A$2:$A$5001,A3144)&gt;1,"Duplicate","Unique")</f>
        <v>Unique</v>
      </c>
      <c r="V3144" s="7" t="str">
        <f aca="false">IF(COUNTIFS($B$2:$B$5001,B3144,$H$2:$H$5001,H3144,$J$2:$J$5001,J3144)&gt;1,"Possible Duplicate Booking","Unique")</f>
        <v>Unique</v>
      </c>
      <c r="W3144" s="7" t="str">
        <f aca="false">IF((H3144-G3144)&lt;&gt;K3144,"Mismatch","OK")</f>
        <v>OK</v>
      </c>
      <c r="X3144" s="7" t="str">
        <f aca="false">IF(TEXT(H3144,"dddd")&lt;&gt;I3144,"Mismatch","OK")</f>
        <v>OK</v>
      </c>
      <c r="Y3144" s="7" t="str">
        <f aca="false">IF(AND(N3144="No",O3144&lt;&gt;""),"Unexpected: channel present but no reminder sent",IF(AND(N3144="Yes",O3144=""),"Missing channel for sent reminder","OK"))</f>
        <v>OK</v>
      </c>
    </row>
    <row r="3145" customFormat="false" ht="15" hidden="false" customHeight="false" outlineLevel="0" collapsed="false">
      <c r="A3145" s="9" t="s">
        <v>4695</v>
      </c>
      <c r="B3145" s="9" t="s">
        <v>865</v>
      </c>
      <c r="C3145" s="9" t="s">
        <v>47</v>
      </c>
      <c r="D3145" s="9" t="n">
        <v>51</v>
      </c>
      <c r="E3145" s="9" t="s">
        <v>56</v>
      </c>
      <c r="F3145" s="9" t="s">
        <v>74</v>
      </c>
      <c r="G3145" s="10" t="n">
        <v>45929</v>
      </c>
      <c r="H3145" s="10" t="n">
        <v>45968</v>
      </c>
      <c r="I3145" s="9" t="s">
        <v>50</v>
      </c>
      <c r="J3145" s="9" t="s">
        <v>51</v>
      </c>
      <c r="K3145" s="9" t="n">
        <v>39</v>
      </c>
      <c r="L3145" s="9" t="n">
        <v>1</v>
      </c>
      <c r="M3145" s="9" t="n">
        <v>0</v>
      </c>
      <c r="N3145" s="9" t="s">
        <v>42</v>
      </c>
      <c r="O3145" s="9" t="s">
        <v>52</v>
      </c>
      <c r="P3145" s="9" t="n">
        <v>10.1</v>
      </c>
      <c r="Q3145" s="9" t="n">
        <v>16</v>
      </c>
      <c r="R3145" s="9" t="s">
        <v>44</v>
      </c>
      <c r="S3145" s="9"/>
      <c r="T3145" s="9"/>
      <c r="U3145" s="9" t="str">
        <f aca="false">IF(COUNTIF($A$2:$A$5001,A3145)&gt;1,"Duplicate","Unique")</f>
        <v>Unique</v>
      </c>
      <c r="V3145" s="9" t="str">
        <f aca="false">IF(COUNTIFS($B$2:$B$5001,B3145,$H$2:$H$5001,H3145,$J$2:$J$5001,J3145)&gt;1,"Possible Duplicate Booking","Unique")</f>
        <v>Unique</v>
      </c>
      <c r="W3145" s="9" t="str">
        <f aca="false">IF((H3145-G3145)&lt;&gt;K3145,"Mismatch","OK")</f>
        <v>OK</v>
      </c>
      <c r="X3145" s="9" t="str">
        <f aca="false">IF(TEXT(H3145,"dddd")&lt;&gt;I3145,"Mismatch","OK")</f>
        <v>OK</v>
      </c>
      <c r="Y3145" s="9" t="str">
        <f aca="false">IF(AND(N3145="No",O3145&lt;&gt;""),"Unexpected: channel present but no reminder sent",IF(AND(N3145="Yes",O3145=""),"Missing channel for sent reminder","OK"))</f>
        <v>OK</v>
      </c>
    </row>
    <row r="3146" customFormat="false" ht="15" hidden="false" customHeight="false" outlineLevel="0" collapsed="false">
      <c r="A3146" s="7" t="s">
        <v>4696</v>
      </c>
      <c r="B3146" s="7" t="s">
        <v>4697</v>
      </c>
      <c r="C3146" s="7" t="s">
        <v>47</v>
      </c>
      <c r="D3146" s="7" t="n">
        <v>74</v>
      </c>
      <c r="E3146" s="7" t="s">
        <v>70</v>
      </c>
      <c r="F3146" s="7" t="s">
        <v>39</v>
      </c>
      <c r="G3146" s="8" t="n">
        <v>46038</v>
      </c>
      <c r="H3146" s="8" t="n">
        <v>46074</v>
      </c>
      <c r="I3146" s="7" t="s">
        <v>102</v>
      </c>
      <c r="J3146" s="7" t="s">
        <v>41</v>
      </c>
      <c r="K3146" s="7" t="n">
        <v>36</v>
      </c>
      <c r="L3146" s="7" t="n">
        <v>4</v>
      </c>
      <c r="M3146" s="7" t="n">
        <v>0</v>
      </c>
      <c r="N3146" s="7" t="s">
        <v>42</v>
      </c>
      <c r="O3146" s="7" t="s">
        <v>43</v>
      </c>
      <c r="P3146" s="7" t="n">
        <v>4.6</v>
      </c>
      <c r="Q3146" s="7" t="n">
        <v>40</v>
      </c>
      <c r="R3146" s="7" t="s">
        <v>44</v>
      </c>
      <c r="S3146" s="7"/>
      <c r="T3146" s="7"/>
      <c r="U3146" s="7" t="str">
        <f aca="false">IF(COUNTIF($A$2:$A$5001,A3146)&gt;1,"Duplicate","Unique")</f>
        <v>Unique</v>
      </c>
      <c r="V3146" s="7" t="str">
        <f aca="false">IF(COUNTIFS($B$2:$B$5001,B3146,$H$2:$H$5001,H3146,$J$2:$J$5001,J3146)&gt;1,"Possible Duplicate Booking","Unique")</f>
        <v>Unique</v>
      </c>
      <c r="W3146" s="7" t="str">
        <f aca="false">IF((H3146-G3146)&lt;&gt;K3146,"Mismatch","OK")</f>
        <v>OK</v>
      </c>
      <c r="X3146" s="7" t="str">
        <f aca="false">IF(TEXT(H3146,"dddd")&lt;&gt;I3146,"Mismatch","OK")</f>
        <v>OK</v>
      </c>
      <c r="Y3146" s="7" t="str">
        <f aca="false">IF(AND(N3146="No",O3146&lt;&gt;""),"Unexpected: channel present but no reminder sent",IF(AND(N3146="Yes",O3146=""),"Missing channel for sent reminder","OK"))</f>
        <v>OK</v>
      </c>
    </row>
    <row r="3147" customFormat="false" ht="15" hidden="false" customHeight="false" outlineLevel="0" collapsed="false">
      <c r="A3147" s="9" t="s">
        <v>4698</v>
      </c>
      <c r="B3147" s="9" t="s">
        <v>1451</v>
      </c>
      <c r="C3147" s="9" t="s">
        <v>37</v>
      </c>
      <c r="D3147" s="9" t="n">
        <v>58</v>
      </c>
      <c r="E3147" s="9" t="s">
        <v>61</v>
      </c>
      <c r="F3147" s="9" t="s">
        <v>57</v>
      </c>
      <c r="G3147" s="10" t="n">
        <v>45934</v>
      </c>
      <c r="H3147" s="10" t="n">
        <v>45959</v>
      </c>
      <c r="I3147" s="9" t="s">
        <v>58</v>
      </c>
      <c r="J3147" s="9" t="s">
        <v>51</v>
      </c>
      <c r="K3147" s="9" t="n">
        <v>25</v>
      </c>
      <c r="L3147" s="9" t="n">
        <v>2</v>
      </c>
      <c r="M3147" s="9" t="n">
        <v>1</v>
      </c>
      <c r="N3147" s="9" t="s">
        <v>71</v>
      </c>
      <c r="O3147" s="9"/>
      <c r="P3147" s="9"/>
      <c r="Q3147" s="9" t="n">
        <v>21</v>
      </c>
      <c r="R3147" s="9" t="s">
        <v>53</v>
      </c>
      <c r="S3147" s="9"/>
      <c r="T3147" s="9"/>
      <c r="U3147" s="9" t="str">
        <f aca="false">IF(COUNTIF($A$2:$A$5001,A3147)&gt;1,"Duplicate","Unique")</f>
        <v>Unique</v>
      </c>
      <c r="V3147" s="9" t="str">
        <f aca="false">IF(COUNTIFS($B$2:$B$5001,B3147,$H$2:$H$5001,H3147,$J$2:$J$5001,J3147)&gt;1,"Possible Duplicate Booking","Unique")</f>
        <v>Unique</v>
      </c>
      <c r="W3147" s="9" t="str">
        <f aca="false">IF((H3147-G3147)&lt;&gt;K3147,"Mismatch","OK")</f>
        <v>OK</v>
      </c>
      <c r="X3147" s="9" t="str">
        <f aca="false">IF(TEXT(H3147,"dddd")&lt;&gt;I3147,"Mismatch","OK")</f>
        <v>OK</v>
      </c>
      <c r="Y3147" s="9" t="str">
        <f aca="false">IF(AND(N3147="No",O3147&lt;&gt;""),"Unexpected: channel present but no reminder sent",IF(AND(N3147="Yes",O3147=""),"Missing channel for sent reminder","OK"))</f>
        <v>OK</v>
      </c>
    </row>
    <row r="3148" customFormat="false" ht="15" hidden="false" customHeight="false" outlineLevel="0" collapsed="false">
      <c r="A3148" s="7" t="s">
        <v>4699</v>
      </c>
      <c r="B3148" s="7" t="s">
        <v>1775</v>
      </c>
      <c r="C3148" s="7" t="s">
        <v>47</v>
      </c>
      <c r="D3148" s="7" t="n">
        <v>34</v>
      </c>
      <c r="E3148" s="7" t="s">
        <v>48</v>
      </c>
      <c r="F3148" s="7" t="s">
        <v>39</v>
      </c>
      <c r="G3148" s="8" t="n">
        <v>45948</v>
      </c>
      <c r="H3148" s="8" t="n">
        <v>46008</v>
      </c>
      <c r="I3148" s="7" t="s">
        <v>58</v>
      </c>
      <c r="J3148" s="7" t="s">
        <v>41</v>
      </c>
      <c r="K3148" s="7" t="n">
        <v>60</v>
      </c>
      <c r="L3148" s="7" t="n">
        <v>1</v>
      </c>
      <c r="M3148" s="7" t="n">
        <v>0</v>
      </c>
      <c r="N3148" s="7" t="s">
        <v>42</v>
      </c>
      <c r="O3148" s="7" t="s">
        <v>52</v>
      </c>
      <c r="P3148" s="7" t="n">
        <v>3.3</v>
      </c>
      <c r="Q3148" s="7" t="n">
        <v>25</v>
      </c>
      <c r="R3148" s="7" t="s">
        <v>44</v>
      </c>
      <c r="S3148" s="7"/>
      <c r="T3148" s="7"/>
      <c r="U3148" s="7" t="str">
        <f aca="false">IF(COUNTIF($A$2:$A$5001,A3148)&gt;1,"Duplicate","Unique")</f>
        <v>Unique</v>
      </c>
      <c r="V3148" s="7" t="str">
        <f aca="false">IF(COUNTIFS($B$2:$B$5001,B3148,$H$2:$H$5001,H3148,$J$2:$J$5001,J3148)&gt;1,"Possible Duplicate Booking","Unique")</f>
        <v>Unique</v>
      </c>
      <c r="W3148" s="7" t="str">
        <f aca="false">IF((H3148-G3148)&lt;&gt;K3148,"Mismatch","OK")</f>
        <v>OK</v>
      </c>
      <c r="X3148" s="7" t="str">
        <f aca="false">IF(TEXT(H3148,"dddd")&lt;&gt;I3148,"Mismatch","OK")</f>
        <v>OK</v>
      </c>
      <c r="Y3148" s="7" t="str">
        <f aca="false">IF(AND(N3148="No",O3148&lt;&gt;""),"Unexpected: channel present but no reminder sent",IF(AND(N3148="Yes",O3148=""),"Missing channel for sent reminder","OK"))</f>
        <v>OK</v>
      </c>
    </row>
    <row r="3149" customFormat="false" ht="15" hidden="false" customHeight="false" outlineLevel="0" collapsed="false">
      <c r="A3149" s="9" t="s">
        <v>4700</v>
      </c>
      <c r="B3149" s="9" t="s">
        <v>4701</v>
      </c>
      <c r="C3149" s="9" t="s">
        <v>47</v>
      </c>
      <c r="D3149" s="9" t="n">
        <v>56</v>
      </c>
      <c r="E3149" s="9" t="s">
        <v>61</v>
      </c>
      <c r="F3149" s="9" t="s">
        <v>49</v>
      </c>
      <c r="G3149" s="10" t="n">
        <v>46104</v>
      </c>
      <c r="H3149" s="10" t="n">
        <v>46114</v>
      </c>
      <c r="I3149" s="9" t="s">
        <v>62</v>
      </c>
      <c r="J3149" s="9" t="s">
        <v>41</v>
      </c>
      <c r="K3149" s="9" t="n">
        <v>10</v>
      </c>
      <c r="L3149" s="9" t="n">
        <v>8</v>
      </c>
      <c r="M3149" s="9" t="n">
        <v>4</v>
      </c>
      <c r="N3149" s="9" t="s">
        <v>42</v>
      </c>
      <c r="O3149" s="9" t="s">
        <v>43</v>
      </c>
      <c r="P3149" s="9" t="n">
        <v>13.7</v>
      </c>
      <c r="Q3149" s="9" t="n">
        <v>33</v>
      </c>
      <c r="R3149" s="9" t="s">
        <v>44</v>
      </c>
      <c r="S3149" s="9"/>
      <c r="T3149" s="9"/>
      <c r="U3149" s="9" t="str">
        <f aca="false">IF(COUNTIF($A$2:$A$5001,A3149)&gt;1,"Duplicate","Unique")</f>
        <v>Unique</v>
      </c>
      <c r="V3149" s="9" t="str">
        <f aca="false">IF(COUNTIFS($B$2:$B$5001,B3149,$H$2:$H$5001,H3149,$J$2:$J$5001,J3149)&gt;1,"Possible Duplicate Booking","Unique")</f>
        <v>Unique</v>
      </c>
      <c r="W3149" s="9" t="str">
        <f aca="false">IF((H3149-G3149)&lt;&gt;K3149,"Mismatch","OK")</f>
        <v>OK</v>
      </c>
      <c r="X3149" s="9" t="str">
        <f aca="false">IF(TEXT(H3149,"dddd")&lt;&gt;I3149,"Mismatch","OK")</f>
        <v>OK</v>
      </c>
      <c r="Y3149" s="9" t="str">
        <f aca="false">IF(AND(N3149="No",O3149&lt;&gt;""),"Unexpected: channel present but no reminder sent",IF(AND(N3149="Yes",O3149=""),"Missing channel for sent reminder","OK"))</f>
        <v>OK</v>
      </c>
    </row>
    <row r="3150" customFormat="false" ht="15" hidden="false" customHeight="false" outlineLevel="0" collapsed="false">
      <c r="A3150" s="7" t="s">
        <v>4702</v>
      </c>
      <c r="B3150" s="7" t="s">
        <v>2197</v>
      </c>
      <c r="C3150" s="7" t="s">
        <v>47</v>
      </c>
      <c r="D3150" s="7" t="n">
        <v>40</v>
      </c>
      <c r="E3150" s="7" t="s">
        <v>38</v>
      </c>
      <c r="F3150" s="7" t="s">
        <v>57</v>
      </c>
      <c r="G3150" s="8" t="n">
        <v>46193</v>
      </c>
      <c r="H3150" s="8" t="n">
        <v>46198</v>
      </c>
      <c r="I3150" s="7" t="s">
        <v>62</v>
      </c>
      <c r="J3150" s="7" t="s">
        <v>41</v>
      </c>
      <c r="K3150" s="7" t="n">
        <v>5</v>
      </c>
      <c r="L3150" s="7" t="n">
        <v>2</v>
      </c>
      <c r="M3150" s="7" t="n">
        <v>1</v>
      </c>
      <c r="N3150" s="7" t="s">
        <v>71</v>
      </c>
      <c r="O3150" s="7"/>
      <c r="P3150" s="7" t="n">
        <v>3.5</v>
      </c>
      <c r="Q3150" s="7" t="n">
        <v>34</v>
      </c>
      <c r="R3150" s="7" t="s">
        <v>44</v>
      </c>
      <c r="S3150" s="7"/>
      <c r="T3150" s="7"/>
      <c r="U3150" s="7" t="str">
        <f aca="false">IF(COUNTIF($A$2:$A$5001,A3150)&gt;1,"Duplicate","Unique")</f>
        <v>Unique</v>
      </c>
      <c r="V3150" s="7" t="str">
        <f aca="false">IF(COUNTIFS($B$2:$B$5001,B3150,$H$2:$H$5001,H3150,$J$2:$J$5001,J3150)&gt;1,"Possible Duplicate Booking","Unique")</f>
        <v>Unique</v>
      </c>
      <c r="W3150" s="7" t="str">
        <f aca="false">IF((H3150-G3150)&lt;&gt;K3150,"Mismatch","OK")</f>
        <v>OK</v>
      </c>
      <c r="X3150" s="7" t="str">
        <f aca="false">IF(TEXT(H3150,"dddd")&lt;&gt;I3150,"Mismatch","OK")</f>
        <v>OK</v>
      </c>
      <c r="Y3150" s="7" t="str">
        <f aca="false">IF(AND(N3150="No",O3150&lt;&gt;""),"Unexpected: channel present but no reminder sent",IF(AND(N3150="Yes",O3150=""),"Missing channel for sent reminder","OK"))</f>
        <v>OK</v>
      </c>
    </row>
    <row r="3151" customFormat="false" ht="15" hidden="false" customHeight="false" outlineLevel="0" collapsed="false">
      <c r="A3151" s="9" t="s">
        <v>4703</v>
      </c>
      <c r="B3151" s="9" t="s">
        <v>2460</v>
      </c>
      <c r="C3151" s="9" t="s">
        <v>37</v>
      </c>
      <c r="D3151" s="9" t="n">
        <v>45</v>
      </c>
      <c r="E3151" s="9" t="s">
        <v>56</v>
      </c>
      <c r="F3151" s="9" t="s">
        <v>57</v>
      </c>
      <c r="G3151" s="10" t="n">
        <v>45716</v>
      </c>
      <c r="H3151" s="10" t="n">
        <v>45717</v>
      </c>
      <c r="I3151" s="9" t="s">
        <v>102</v>
      </c>
      <c r="J3151" s="9" t="s">
        <v>51</v>
      </c>
      <c r="K3151" s="9" t="n">
        <v>1</v>
      </c>
      <c r="L3151" s="9" t="n">
        <v>4</v>
      </c>
      <c r="M3151" s="9" t="n">
        <v>0</v>
      </c>
      <c r="N3151" s="9" t="s">
        <v>42</v>
      </c>
      <c r="O3151" s="9" t="s">
        <v>52</v>
      </c>
      <c r="P3151" s="9" t="n">
        <v>5.1</v>
      </c>
      <c r="Q3151" s="9" t="n">
        <v>18</v>
      </c>
      <c r="R3151" s="9" t="s">
        <v>53</v>
      </c>
      <c r="S3151" s="9"/>
      <c r="T3151" s="9"/>
      <c r="U3151" s="9" t="str">
        <f aca="false">IF(COUNTIF($A$2:$A$5001,A3151)&gt;1,"Duplicate","Unique")</f>
        <v>Unique</v>
      </c>
      <c r="V3151" s="9" t="str">
        <f aca="false">IF(COUNTIFS($B$2:$B$5001,B3151,$H$2:$H$5001,H3151,$J$2:$J$5001,J3151)&gt;1,"Possible Duplicate Booking","Unique")</f>
        <v>Unique</v>
      </c>
      <c r="W3151" s="9" t="str">
        <f aca="false">IF((H3151-G3151)&lt;&gt;K3151,"Mismatch","OK")</f>
        <v>OK</v>
      </c>
      <c r="X3151" s="9" t="str">
        <f aca="false">IF(TEXT(H3151,"dddd")&lt;&gt;I3151,"Mismatch","OK")</f>
        <v>OK</v>
      </c>
      <c r="Y3151" s="9" t="str">
        <f aca="false">IF(AND(N3151="No",O3151&lt;&gt;""),"Unexpected: channel present but no reminder sent",IF(AND(N3151="Yes",O3151=""),"Missing channel for sent reminder","OK"))</f>
        <v>OK</v>
      </c>
    </row>
    <row r="3152" customFormat="false" ht="15" hidden="false" customHeight="false" outlineLevel="0" collapsed="false">
      <c r="A3152" s="7" t="s">
        <v>4704</v>
      </c>
      <c r="B3152" s="7" t="s">
        <v>4705</v>
      </c>
      <c r="C3152" s="7" t="s">
        <v>37</v>
      </c>
      <c r="D3152" s="7" t="n">
        <v>32</v>
      </c>
      <c r="E3152" s="7" t="s">
        <v>48</v>
      </c>
      <c r="F3152" s="7" t="s">
        <v>49</v>
      </c>
      <c r="G3152" s="8" t="n">
        <v>45998</v>
      </c>
      <c r="H3152" s="8" t="n">
        <v>46047</v>
      </c>
      <c r="I3152" s="7" t="s">
        <v>75</v>
      </c>
      <c r="J3152" s="7" t="s">
        <v>41</v>
      </c>
      <c r="K3152" s="7" t="n">
        <v>49</v>
      </c>
      <c r="L3152" s="7" t="n">
        <v>3</v>
      </c>
      <c r="M3152" s="7" t="n">
        <v>0</v>
      </c>
      <c r="N3152" s="7" t="s">
        <v>71</v>
      </c>
      <c r="O3152" s="7"/>
      <c r="P3152" s="7" t="n">
        <v>5.7</v>
      </c>
      <c r="Q3152" s="7" t="n">
        <v>25</v>
      </c>
      <c r="R3152" s="7" t="s">
        <v>87</v>
      </c>
      <c r="S3152" s="7"/>
      <c r="T3152" s="7"/>
      <c r="U3152" s="7" t="str">
        <f aca="false">IF(COUNTIF($A$2:$A$5001,A3152)&gt;1,"Duplicate","Unique")</f>
        <v>Unique</v>
      </c>
      <c r="V3152" s="7" t="str">
        <f aca="false">IF(COUNTIFS($B$2:$B$5001,B3152,$H$2:$H$5001,H3152,$J$2:$J$5001,J3152)&gt;1,"Possible Duplicate Booking","Unique")</f>
        <v>Unique</v>
      </c>
      <c r="W3152" s="7" t="str">
        <f aca="false">IF((H3152-G3152)&lt;&gt;K3152,"Mismatch","OK")</f>
        <v>OK</v>
      </c>
      <c r="X3152" s="7" t="str">
        <f aca="false">IF(TEXT(H3152,"dddd")&lt;&gt;I3152,"Mismatch","OK")</f>
        <v>OK</v>
      </c>
      <c r="Y3152" s="7" t="str">
        <f aca="false">IF(AND(N3152="No",O3152&lt;&gt;""),"Unexpected: channel present but no reminder sent",IF(AND(N3152="Yes",O3152=""),"Missing channel for sent reminder","OK"))</f>
        <v>OK</v>
      </c>
    </row>
    <row r="3153" customFormat="false" ht="15" hidden="false" customHeight="false" outlineLevel="0" collapsed="false">
      <c r="A3153" s="9" t="s">
        <v>4706</v>
      </c>
      <c r="B3153" s="9" t="s">
        <v>3750</v>
      </c>
      <c r="C3153" s="9" t="s">
        <v>37</v>
      </c>
      <c r="D3153" s="9" t="n">
        <v>57</v>
      </c>
      <c r="E3153" s="9" t="s">
        <v>61</v>
      </c>
      <c r="F3153" s="9" t="s">
        <v>39</v>
      </c>
      <c r="G3153" s="10" t="n">
        <v>45756</v>
      </c>
      <c r="H3153" s="10" t="n">
        <v>45780</v>
      </c>
      <c r="I3153" s="9" t="s">
        <v>102</v>
      </c>
      <c r="J3153" s="9" t="s">
        <v>41</v>
      </c>
      <c r="K3153" s="9" t="n">
        <v>24</v>
      </c>
      <c r="L3153" s="9" t="n">
        <v>4</v>
      </c>
      <c r="M3153" s="9" t="n">
        <v>0</v>
      </c>
      <c r="N3153" s="9" t="s">
        <v>71</v>
      </c>
      <c r="O3153" s="9"/>
      <c r="P3153" s="9" t="n">
        <v>3.8</v>
      </c>
      <c r="Q3153" s="9" t="n">
        <v>24</v>
      </c>
      <c r="R3153" s="9" t="s">
        <v>44</v>
      </c>
      <c r="S3153" s="9"/>
      <c r="T3153" s="9"/>
      <c r="U3153" s="9" t="str">
        <f aca="false">IF(COUNTIF($A$2:$A$5001,A3153)&gt;1,"Duplicate","Unique")</f>
        <v>Unique</v>
      </c>
      <c r="V3153" s="9" t="str">
        <f aca="false">IF(COUNTIFS($B$2:$B$5001,B3153,$H$2:$H$5001,H3153,$J$2:$J$5001,J3153)&gt;1,"Possible Duplicate Booking","Unique")</f>
        <v>Unique</v>
      </c>
      <c r="W3153" s="9" t="str">
        <f aca="false">IF((H3153-G3153)&lt;&gt;K3153,"Mismatch","OK")</f>
        <v>OK</v>
      </c>
      <c r="X3153" s="9" t="str">
        <f aca="false">IF(TEXT(H3153,"dddd")&lt;&gt;I3153,"Mismatch","OK")</f>
        <v>OK</v>
      </c>
      <c r="Y3153" s="9" t="str">
        <f aca="false">IF(AND(N3153="No",O3153&lt;&gt;""),"Unexpected: channel present but no reminder sent",IF(AND(N3153="Yes",O3153=""),"Missing channel for sent reminder","OK"))</f>
        <v>OK</v>
      </c>
    </row>
    <row r="3154" customFormat="false" ht="15" hidden="false" customHeight="false" outlineLevel="0" collapsed="false">
      <c r="A3154" s="7" t="s">
        <v>4707</v>
      </c>
      <c r="B3154" s="7" t="s">
        <v>1053</v>
      </c>
      <c r="C3154" s="7" t="s">
        <v>47</v>
      </c>
      <c r="D3154" s="7" t="n">
        <v>30</v>
      </c>
      <c r="E3154" s="7" t="s">
        <v>48</v>
      </c>
      <c r="F3154" s="7" t="s">
        <v>49</v>
      </c>
      <c r="G3154" s="8" t="n">
        <v>45739</v>
      </c>
      <c r="H3154" s="8" t="n">
        <v>45765</v>
      </c>
      <c r="I3154" s="7" t="s">
        <v>50</v>
      </c>
      <c r="J3154" s="7" t="s">
        <v>41</v>
      </c>
      <c r="K3154" s="7" t="n">
        <v>26</v>
      </c>
      <c r="L3154" s="7" t="n">
        <v>4</v>
      </c>
      <c r="M3154" s="7" t="n">
        <v>1</v>
      </c>
      <c r="N3154" s="7" t="s">
        <v>42</v>
      </c>
      <c r="O3154" s="7" t="s">
        <v>67</v>
      </c>
      <c r="P3154" s="7" t="n">
        <v>8.4</v>
      </c>
      <c r="Q3154" s="7" t="n">
        <v>28</v>
      </c>
      <c r="R3154" s="7" t="s">
        <v>53</v>
      </c>
      <c r="S3154" s="7"/>
      <c r="T3154" s="7"/>
      <c r="U3154" s="7" t="str">
        <f aca="false">IF(COUNTIF($A$2:$A$5001,A3154)&gt;1,"Duplicate","Unique")</f>
        <v>Unique</v>
      </c>
      <c r="V3154" s="7" t="str">
        <f aca="false">IF(COUNTIFS($B$2:$B$5001,B3154,$H$2:$H$5001,H3154,$J$2:$J$5001,J3154)&gt;1,"Possible Duplicate Booking","Unique")</f>
        <v>Unique</v>
      </c>
      <c r="W3154" s="7" t="str">
        <f aca="false">IF((H3154-G3154)&lt;&gt;K3154,"Mismatch","OK")</f>
        <v>OK</v>
      </c>
      <c r="X3154" s="7" t="str">
        <f aca="false">IF(TEXT(H3154,"dddd")&lt;&gt;I3154,"Mismatch","OK")</f>
        <v>OK</v>
      </c>
      <c r="Y3154" s="7" t="str">
        <f aca="false">IF(AND(N3154="No",O3154&lt;&gt;""),"Unexpected: channel present but no reminder sent",IF(AND(N3154="Yes",O3154=""),"Missing channel for sent reminder","OK"))</f>
        <v>OK</v>
      </c>
    </row>
    <row r="3155" customFormat="false" ht="15" hidden="false" customHeight="false" outlineLevel="0" collapsed="false">
      <c r="A3155" s="9" t="s">
        <v>4708</v>
      </c>
      <c r="B3155" s="9" t="s">
        <v>2444</v>
      </c>
      <c r="C3155" s="9" t="s">
        <v>47</v>
      </c>
      <c r="D3155" s="9" t="n">
        <v>45</v>
      </c>
      <c r="E3155" s="9" t="s">
        <v>56</v>
      </c>
      <c r="F3155" s="9" t="s">
        <v>57</v>
      </c>
      <c r="G3155" s="10" t="n">
        <v>46051</v>
      </c>
      <c r="H3155" s="10" t="n">
        <v>46090</v>
      </c>
      <c r="I3155" s="9" t="s">
        <v>66</v>
      </c>
      <c r="J3155" s="9" t="s">
        <v>51</v>
      </c>
      <c r="K3155" s="9" t="n">
        <v>39</v>
      </c>
      <c r="L3155" s="9" t="n">
        <v>5</v>
      </c>
      <c r="M3155" s="9" t="n">
        <v>1</v>
      </c>
      <c r="N3155" s="9" t="s">
        <v>71</v>
      </c>
      <c r="O3155" s="9"/>
      <c r="P3155" s="9" t="n">
        <v>0.7</v>
      </c>
      <c r="Q3155" s="9" t="n">
        <v>26</v>
      </c>
      <c r="R3155" s="9" t="s">
        <v>44</v>
      </c>
      <c r="S3155" s="9"/>
      <c r="T3155" s="9"/>
      <c r="U3155" s="9" t="str">
        <f aca="false">IF(COUNTIF($A$2:$A$5001,A3155)&gt;1,"Duplicate","Unique")</f>
        <v>Unique</v>
      </c>
      <c r="V3155" s="9" t="str">
        <f aca="false">IF(COUNTIFS($B$2:$B$5001,B3155,$H$2:$H$5001,H3155,$J$2:$J$5001,J3155)&gt;1,"Possible Duplicate Booking","Unique")</f>
        <v>Unique</v>
      </c>
      <c r="W3155" s="9" t="str">
        <f aca="false">IF((H3155-G3155)&lt;&gt;K3155,"Mismatch","OK")</f>
        <v>OK</v>
      </c>
      <c r="X3155" s="9" t="str">
        <f aca="false">IF(TEXT(H3155,"dddd")&lt;&gt;I3155,"Mismatch","OK")</f>
        <v>OK</v>
      </c>
      <c r="Y3155" s="9" t="str">
        <f aca="false">IF(AND(N3155="No",O3155&lt;&gt;""),"Unexpected: channel present but no reminder sent",IF(AND(N3155="Yes",O3155=""),"Missing channel for sent reminder","OK"))</f>
        <v>OK</v>
      </c>
    </row>
    <row r="3156" customFormat="false" ht="15" hidden="false" customHeight="false" outlineLevel="0" collapsed="false">
      <c r="A3156" s="7" t="s">
        <v>4709</v>
      </c>
      <c r="B3156" s="7" t="s">
        <v>595</v>
      </c>
      <c r="C3156" s="7" t="s">
        <v>47</v>
      </c>
      <c r="D3156" s="7" t="n">
        <v>77</v>
      </c>
      <c r="E3156" s="7" t="s">
        <v>70</v>
      </c>
      <c r="F3156" s="7" t="s">
        <v>57</v>
      </c>
      <c r="G3156" s="8" t="n">
        <v>45669</v>
      </c>
      <c r="H3156" s="8" t="n">
        <v>45695</v>
      </c>
      <c r="I3156" s="7" t="s">
        <v>50</v>
      </c>
      <c r="J3156" s="7" t="s">
        <v>51</v>
      </c>
      <c r="K3156" s="7" t="n">
        <v>26</v>
      </c>
      <c r="L3156" s="7" t="n">
        <v>1</v>
      </c>
      <c r="M3156" s="7" t="n">
        <v>0</v>
      </c>
      <c r="N3156" s="7" t="s">
        <v>71</v>
      </c>
      <c r="O3156" s="7"/>
      <c r="P3156" s="7" t="n">
        <v>7.7</v>
      </c>
      <c r="Q3156" s="7" t="n">
        <v>16</v>
      </c>
      <c r="R3156" s="7" t="s">
        <v>53</v>
      </c>
      <c r="S3156" s="7"/>
      <c r="T3156" s="7"/>
      <c r="U3156" s="7" t="str">
        <f aca="false">IF(COUNTIF($A$2:$A$5001,A3156)&gt;1,"Duplicate","Unique")</f>
        <v>Unique</v>
      </c>
      <c r="V3156" s="7" t="str">
        <f aca="false">IF(COUNTIFS($B$2:$B$5001,B3156,$H$2:$H$5001,H3156,$J$2:$J$5001,J3156)&gt;1,"Possible Duplicate Booking","Unique")</f>
        <v>Unique</v>
      </c>
      <c r="W3156" s="7" t="str">
        <f aca="false">IF((H3156-G3156)&lt;&gt;K3156,"Mismatch","OK")</f>
        <v>OK</v>
      </c>
      <c r="X3156" s="7" t="str">
        <f aca="false">IF(TEXT(H3156,"dddd")&lt;&gt;I3156,"Mismatch","OK")</f>
        <v>OK</v>
      </c>
      <c r="Y3156" s="7" t="str">
        <f aca="false">IF(AND(N3156="No",O3156&lt;&gt;""),"Unexpected: channel present but no reminder sent",IF(AND(N3156="Yes",O3156=""),"Missing channel for sent reminder","OK"))</f>
        <v>OK</v>
      </c>
    </row>
    <row r="3157" customFormat="false" ht="15" hidden="false" customHeight="false" outlineLevel="0" collapsed="false">
      <c r="A3157" s="9" t="s">
        <v>4710</v>
      </c>
      <c r="B3157" s="9" t="s">
        <v>3845</v>
      </c>
      <c r="C3157" s="9" t="s">
        <v>37</v>
      </c>
      <c r="D3157" s="9" t="n">
        <v>65</v>
      </c>
      <c r="E3157" s="9" t="s">
        <v>70</v>
      </c>
      <c r="F3157" s="9" t="s">
        <v>57</v>
      </c>
      <c r="G3157" s="10" t="n">
        <v>46085</v>
      </c>
      <c r="H3157" s="10" t="n">
        <v>46120</v>
      </c>
      <c r="I3157" s="9" t="s">
        <v>58</v>
      </c>
      <c r="J3157" s="9" t="s">
        <v>41</v>
      </c>
      <c r="K3157" s="9" t="n">
        <v>35</v>
      </c>
      <c r="L3157" s="9" t="n">
        <v>1</v>
      </c>
      <c r="M3157" s="9" t="n">
        <v>0</v>
      </c>
      <c r="N3157" s="9" t="s">
        <v>42</v>
      </c>
      <c r="O3157" s="9" t="s">
        <v>52</v>
      </c>
      <c r="P3157" s="9" t="n">
        <v>0.5</v>
      </c>
      <c r="Q3157" s="9" t="n">
        <v>26</v>
      </c>
      <c r="R3157" s="9" t="s">
        <v>53</v>
      </c>
      <c r="S3157" s="9"/>
      <c r="T3157" s="9"/>
      <c r="U3157" s="9" t="str">
        <f aca="false">IF(COUNTIF($A$2:$A$5001,A3157)&gt;1,"Duplicate","Unique")</f>
        <v>Unique</v>
      </c>
      <c r="V3157" s="9" t="str">
        <f aca="false">IF(COUNTIFS($B$2:$B$5001,B3157,$H$2:$H$5001,H3157,$J$2:$J$5001,J3157)&gt;1,"Possible Duplicate Booking","Unique")</f>
        <v>Unique</v>
      </c>
      <c r="W3157" s="9" t="str">
        <f aca="false">IF((H3157-G3157)&lt;&gt;K3157,"Mismatch","OK")</f>
        <v>OK</v>
      </c>
      <c r="X3157" s="9" t="str">
        <f aca="false">IF(TEXT(H3157,"dddd")&lt;&gt;I3157,"Mismatch","OK")</f>
        <v>OK</v>
      </c>
      <c r="Y3157" s="9" t="str">
        <f aca="false">IF(AND(N3157="No",O3157&lt;&gt;""),"Unexpected: channel present but no reminder sent",IF(AND(N3157="Yes",O3157=""),"Missing channel for sent reminder","OK"))</f>
        <v>OK</v>
      </c>
    </row>
    <row r="3158" customFormat="false" ht="15" hidden="false" customHeight="false" outlineLevel="0" collapsed="false">
      <c r="A3158" s="7" t="s">
        <v>4711</v>
      </c>
      <c r="B3158" s="7" t="s">
        <v>2682</v>
      </c>
      <c r="C3158" s="7" t="s">
        <v>47</v>
      </c>
      <c r="D3158" s="7" t="n">
        <v>44</v>
      </c>
      <c r="E3158" s="7" t="s">
        <v>38</v>
      </c>
      <c r="F3158" s="7" t="s">
        <v>39</v>
      </c>
      <c r="G3158" s="8" t="n">
        <v>46075</v>
      </c>
      <c r="H3158" s="8" t="n">
        <v>46078</v>
      </c>
      <c r="I3158" s="7" t="s">
        <v>58</v>
      </c>
      <c r="J3158" s="7" t="s">
        <v>51</v>
      </c>
      <c r="K3158" s="7" t="n">
        <v>3</v>
      </c>
      <c r="L3158" s="7" t="n">
        <v>2</v>
      </c>
      <c r="M3158" s="7" t="n">
        <v>0</v>
      </c>
      <c r="N3158" s="7" t="s">
        <v>42</v>
      </c>
      <c r="O3158" s="7" t="s">
        <v>52</v>
      </c>
      <c r="P3158" s="7" t="n">
        <v>10.9</v>
      </c>
      <c r="Q3158" s="7" t="n">
        <v>8</v>
      </c>
      <c r="R3158" s="7" t="s">
        <v>53</v>
      </c>
      <c r="S3158" s="7"/>
      <c r="T3158" s="7"/>
      <c r="U3158" s="7" t="str">
        <f aca="false">IF(COUNTIF($A$2:$A$5001,A3158)&gt;1,"Duplicate","Unique")</f>
        <v>Unique</v>
      </c>
      <c r="V3158" s="7" t="str">
        <f aca="false">IF(COUNTIFS($B$2:$B$5001,B3158,$H$2:$H$5001,H3158,$J$2:$J$5001,J3158)&gt;1,"Possible Duplicate Booking","Unique")</f>
        <v>Unique</v>
      </c>
      <c r="W3158" s="7" t="str">
        <f aca="false">IF((H3158-G3158)&lt;&gt;K3158,"Mismatch","OK")</f>
        <v>OK</v>
      </c>
      <c r="X3158" s="7" t="str">
        <f aca="false">IF(TEXT(H3158,"dddd")&lt;&gt;I3158,"Mismatch","OK")</f>
        <v>OK</v>
      </c>
      <c r="Y3158" s="7" t="str">
        <f aca="false">IF(AND(N3158="No",O3158&lt;&gt;""),"Unexpected: channel present but no reminder sent",IF(AND(N3158="Yes",O3158=""),"Missing channel for sent reminder","OK"))</f>
        <v>OK</v>
      </c>
    </row>
    <row r="3159" customFormat="false" ht="15" hidden="false" customHeight="false" outlineLevel="0" collapsed="false">
      <c r="A3159" s="9" t="s">
        <v>4712</v>
      </c>
      <c r="B3159" s="9" t="s">
        <v>4713</v>
      </c>
      <c r="C3159" s="9" t="s">
        <v>37</v>
      </c>
      <c r="D3159" s="9" t="n">
        <v>79</v>
      </c>
      <c r="E3159" s="9" t="s">
        <v>70</v>
      </c>
      <c r="F3159" s="9" t="s">
        <v>49</v>
      </c>
      <c r="G3159" s="10" t="n">
        <v>46192</v>
      </c>
      <c r="H3159" s="10" t="n">
        <v>46201</v>
      </c>
      <c r="I3159" s="9" t="s">
        <v>75</v>
      </c>
      <c r="J3159" s="9" t="s">
        <v>41</v>
      </c>
      <c r="K3159" s="9" t="n">
        <v>9</v>
      </c>
      <c r="L3159" s="9" t="n">
        <v>2</v>
      </c>
      <c r="M3159" s="9" t="n">
        <v>1</v>
      </c>
      <c r="N3159" s="9" t="s">
        <v>42</v>
      </c>
      <c r="O3159" s="9" t="s">
        <v>67</v>
      </c>
      <c r="P3159" s="9" t="n">
        <v>3.2</v>
      </c>
      <c r="Q3159" s="9" t="n">
        <v>24</v>
      </c>
      <c r="R3159" s="9" t="s">
        <v>53</v>
      </c>
      <c r="S3159" s="9"/>
      <c r="T3159" s="9"/>
      <c r="U3159" s="9" t="str">
        <f aca="false">IF(COUNTIF($A$2:$A$5001,A3159)&gt;1,"Duplicate","Unique")</f>
        <v>Unique</v>
      </c>
      <c r="V3159" s="9" t="str">
        <f aca="false">IF(COUNTIFS($B$2:$B$5001,B3159,$H$2:$H$5001,H3159,$J$2:$J$5001,J3159)&gt;1,"Possible Duplicate Booking","Unique")</f>
        <v>Unique</v>
      </c>
      <c r="W3159" s="9" t="str">
        <f aca="false">IF((H3159-G3159)&lt;&gt;K3159,"Mismatch","OK")</f>
        <v>OK</v>
      </c>
      <c r="X3159" s="9" t="str">
        <f aca="false">IF(TEXT(H3159,"dddd")&lt;&gt;I3159,"Mismatch","OK")</f>
        <v>OK</v>
      </c>
      <c r="Y3159" s="9" t="str">
        <f aca="false">IF(AND(N3159="No",O3159&lt;&gt;""),"Unexpected: channel present but no reminder sent",IF(AND(N3159="Yes",O3159=""),"Missing channel for sent reminder","OK"))</f>
        <v>OK</v>
      </c>
    </row>
    <row r="3160" customFormat="false" ht="15" hidden="false" customHeight="false" outlineLevel="0" collapsed="false">
      <c r="A3160" s="7" t="s">
        <v>4714</v>
      </c>
      <c r="B3160" s="7" t="s">
        <v>4715</v>
      </c>
      <c r="C3160" s="7" t="s">
        <v>37</v>
      </c>
      <c r="D3160" s="7" t="n">
        <v>18</v>
      </c>
      <c r="E3160" s="7" t="s">
        <v>82</v>
      </c>
      <c r="F3160" s="7" t="s">
        <v>39</v>
      </c>
      <c r="G3160" s="8" t="n">
        <v>45966</v>
      </c>
      <c r="H3160" s="8" t="n">
        <v>46022</v>
      </c>
      <c r="I3160" s="7" t="s">
        <v>58</v>
      </c>
      <c r="J3160" s="7" t="s">
        <v>41</v>
      </c>
      <c r="K3160" s="7" t="n">
        <v>56</v>
      </c>
      <c r="L3160" s="7" t="n">
        <v>2</v>
      </c>
      <c r="M3160" s="7" t="n">
        <v>0</v>
      </c>
      <c r="N3160" s="7" t="s">
        <v>42</v>
      </c>
      <c r="O3160" s="7" t="s">
        <v>52</v>
      </c>
      <c r="P3160" s="7" t="n">
        <v>11.5</v>
      </c>
      <c r="Q3160" s="7" t="n">
        <v>25</v>
      </c>
      <c r="R3160" s="7" t="s">
        <v>44</v>
      </c>
      <c r="S3160" s="7"/>
      <c r="T3160" s="7"/>
      <c r="U3160" s="7" t="str">
        <f aca="false">IF(COUNTIF($A$2:$A$5001,A3160)&gt;1,"Duplicate","Unique")</f>
        <v>Unique</v>
      </c>
      <c r="V3160" s="7" t="str">
        <f aca="false">IF(COUNTIFS($B$2:$B$5001,B3160,$H$2:$H$5001,H3160,$J$2:$J$5001,J3160)&gt;1,"Possible Duplicate Booking","Unique")</f>
        <v>Unique</v>
      </c>
      <c r="W3160" s="7" t="str">
        <f aca="false">IF((H3160-G3160)&lt;&gt;K3160,"Mismatch","OK")</f>
        <v>OK</v>
      </c>
      <c r="X3160" s="7" t="str">
        <f aca="false">IF(TEXT(H3160,"dddd")&lt;&gt;I3160,"Mismatch","OK")</f>
        <v>OK</v>
      </c>
      <c r="Y3160" s="7" t="str">
        <f aca="false">IF(AND(N3160="No",O3160&lt;&gt;""),"Unexpected: channel present but no reminder sent",IF(AND(N3160="Yes",O3160=""),"Missing channel for sent reminder","OK"))</f>
        <v>OK</v>
      </c>
    </row>
    <row r="3161" customFormat="false" ht="15" hidden="false" customHeight="false" outlineLevel="0" collapsed="false">
      <c r="A3161" s="9" t="s">
        <v>4716</v>
      </c>
      <c r="B3161" s="9" t="s">
        <v>2495</v>
      </c>
      <c r="C3161" s="9" t="s">
        <v>47</v>
      </c>
      <c r="D3161" s="9" t="n">
        <v>78</v>
      </c>
      <c r="E3161" s="9" t="s">
        <v>70</v>
      </c>
      <c r="F3161" s="9" t="s">
        <v>39</v>
      </c>
      <c r="G3161" s="10" t="n">
        <v>46107</v>
      </c>
      <c r="H3161" s="10" t="n">
        <v>46134</v>
      </c>
      <c r="I3161" s="9" t="s">
        <v>58</v>
      </c>
      <c r="J3161" s="9" t="s">
        <v>41</v>
      </c>
      <c r="K3161" s="9" t="n">
        <v>27</v>
      </c>
      <c r="L3161" s="9" t="n">
        <v>5</v>
      </c>
      <c r="M3161" s="9" t="n">
        <v>0</v>
      </c>
      <c r="N3161" s="9" t="s">
        <v>42</v>
      </c>
      <c r="O3161" s="9" t="s">
        <v>67</v>
      </c>
      <c r="P3161" s="9" t="n">
        <v>19</v>
      </c>
      <c r="Q3161" s="9" t="n">
        <v>13</v>
      </c>
      <c r="R3161" s="9" t="s">
        <v>87</v>
      </c>
      <c r="S3161" s="9"/>
      <c r="T3161" s="9"/>
      <c r="U3161" s="9" t="str">
        <f aca="false">IF(COUNTIF($A$2:$A$5001,A3161)&gt;1,"Duplicate","Unique")</f>
        <v>Unique</v>
      </c>
      <c r="V3161" s="9" t="str">
        <f aca="false">IF(COUNTIFS($B$2:$B$5001,B3161,$H$2:$H$5001,H3161,$J$2:$J$5001,J3161)&gt;1,"Possible Duplicate Booking","Unique")</f>
        <v>Unique</v>
      </c>
      <c r="W3161" s="9" t="str">
        <f aca="false">IF((H3161-G3161)&lt;&gt;K3161,"Mismatch","OK")</f>
        <v>OK</v>
      </c>
      <c r="X3161" s="9" t="str">
        <f aca="false">IF(TEXT(H3161,"dddd")&lt;&gt;I3161,"Mismatch","OK")</f>
        <v>OK</v>
      </c>
      <c r="Y3161" s="9" t="str">
        <f aca="false">IF(AND(N3161="No",O3161&lt;&gt;""),"Unexpected: channel present but no reminder sent",IF(AND(N3161="Yes",O3161=""),"Missing channel for sent reminder","OK"))</f>
        <v>OK</v>
      </c>
    </row>
    <row r="3162" customFormat="false" ht="15" hidden="false" customHeight="false" outlineLevel="0" collapsed="false">
      <c r="A3162" s="7" t="s">
        <v>4717</v>
      </c>
      <c r="B3162" s="7" t="s">
        <v>564</v>
      </c>
      <c r="C3162" s="7" t="s">
        <v>37</v>
      </c>
      <c r="D3162" s="7" t="n">
        <v>40</v>
      </c>
      <c r="E3162" s="7" t="s">
        <v>38</v>
      </c>
      <c r="F3162" s="7" t="s">
        <v>57</v>
      </c>
      <c r="G3162" s="8" t="n">
        <v>45712</v>
      </c>
      <c r="H3162" s="8" t="n">
        <v>45722</v>
      </c>
      <c r="I3162" s="7" t="s">
        <v>62</v>
      </c>
      <c r="J3162" s="7" t="s">
        <v>63</v>
      </c>
      <c r="K3162" s="7" t="n">
        <v>10</v>
      </c>
      <c r="L3162" s="7" t="n">
        <v>6</v>
      </c>
      <c r="M3162" s="7" t="n">
        <v>1</v>
      </c>
      <c r="N3162" s="7" t="s">
        <v>42</v>
      </c>
      <c r="O3162" s="7" t="s">
        <v>43</v>
      </c>
      <c r="P3162" s="7" t="n">
        <v>5.8</v>
      </c>
      <c r="Q3162" s="7" t="n">
        <v>21</v>
      </c>
      <c r="R3162" s="7" t="s">
        <v>53</v>
      </c>
      <c r="S3162" s="7"/>
      <c r="T3162" s="7"/>
      <c r="U3162" s="7" t="str">
        <f aca="false">IF(COUNTIF($A$2:$A$5001,A3162)&gt;1,"Duplicate","Unique")</f>
        <v>Unique</v>
      </c>
      <c r="V3162" s="7" t="str">
        <f aca="false">IF(COUNTIFS($B$2:$B$5001,B3162,$H$2:$H$5001,H3162,$J$2:$J$5001,J3162)&gt;1,"Possible Duplicate Booking","Unique")</f>
        <v>Unique</v>
      </c>
      <c r="W3162" s="7" t="str">
        <f aca="false">IF((H3162-G3162)&lt;&gt;K3162,"Mismatch","OK")</f>
        <v>OK</v>
      </c>
      <c r="X3162" s="7" t="str">
        <f aca="false">IF(TEXT(H3162,"dddd")&lt;&gt;I3162,"Mismatch","OK")</f>
        <v>OK</v>
      </c>
      <c r="Y3162" s="7" t="str">
        <f aca="false">IF(AND(N3162="No",O3162&lt;&gt;""),"Unexpected: channel present but no reminder sent",IF(AND(N3162="Yes",O3162=""),"Missing channel for sent reminder","OK"))</f>
        <v>OK</v>
      </c>
    </row>
    <row r="3163" customFormat="false" ht="15" hidden="false" customHeight="false" outlineLevel="0" collapsed="false">
      <c r="A3163" s="9" t="s">
        <v>4718</v>
      </c>
      <c r="B3163" s="9" t="s">
        <v>4625</v>
      </c>
      <c r="C3163" s="9" t="s">
        <v>37</v>
      </c>
      <c r="D3163" s="9" t="n">
        <v>69</v>
      </c>
      <c r="E3163" s="9" t="s">
        <v>70</v>
      </c>
      <c r="F3163" s="9" t="s">
        <v>49</v>
      </c>
      <c r="G3163" s="10" t="n">
        <v>46121</v>
      </c>
      <c r="H3163" s="10" t="n">
        <v>46143</v>
      </c>
      <c r="I3163" s="9" t="s">
        <v>50</v>
      </c>
      <c r="J3163" s="9" t="s">
        <v>41</v>
      </c>
      <c r="K3163" s="9" t="n">
        <v>22</v>
      </c>
      <c r="L3163" s="9" t="n">
        <v>2</v>
      </c>
      <c r="M3163" s="9" t="n">
        <v>0</v>
      </c>
      <c r="N3163" s="9" t="s">
        <v>42</v>
      </c>
      <c r="O3163" s="9" t="s">
        <v>52</v>
      </c>
      <c r="P3163" s="9" t="n">
        <v>9.1</v>
      </c>
      <c r="Q3163" s="9" t="n">
        <v>18</v>
      </c>
      <c r="R3163" s="9" t="s">
        <v>44</v>
      </c>
      <c r="S3163" s="9"/>
      <c r="T3163" s="9"/>
      <c r="U3163" s="9" t="str">
        <f aca="false">IF(COUNTIF($A$2:$A$5001,A3163)&gt;1,"Duplicate","Unique")</f>
        <v>Unique</v>
      </c>
      <c r="V3163" s="9" t="str">
        <f aca="false">IF(COUNTIFS($B$2:$B$5001,B3163,$H$2:$H$5001,H3163,$J$2:$J$5001,J3163)&gt;1,"Possible Duplicate Booking","Unique")</f>
        <v>Unique</v>
      </c>
      <c r="W3163" s="9" t="str">
        <f aca="false">IF((H3163-G3163)&lt;&gt;K3163,"Mismatch","OK")</f>
        <v>OK</v>
      </c>
      <c r="X3163" s="9" t="str">
        <f aca="false">IF(TEXT(H3163,"dddd")&lt;&gt;I3163,"Mismatch","OK")</f>
        <v>OK</v>
      </c>
      <c r="Y3163" s="9" t="str">
        <f aca="false">IF(AND(N3163="No",O3163&lt;&gt;""),"Unexpected: channel present but no reminder sent",IF(AND(N3163="Yes",O3163=""),"Missing channel for sent reminder","OK"))</f>
        <v>OK</v>
      </c>
    </row>
    <row r="3164" customFormat="false" ht="15" hidden="false" customHeight="false" outlineLevel="0" collapsed="false">
      <c r="A3164" s="7" t="s">
        <v>4719</v>
      </c>
      <c r="B3164" s="7" t="s">
        <v>182</v>
      </c>
      <c r="C3164" s="7" t="s">
        <v>37</v>
      </c>
      <c r="D3164" s="7" t="n">
        <v>77</v>
      </c>
      <c r="E3164" s="7" t="s">
        <v>70</v>
      </c>
      <c r="F3164" s="7" t="s">
        <v>74</v>
      </c>
      <c r="G3164" s="8" t="n">
        <v>45725</v>
      </c>
      <c r="H3164" s="8" t="n">
        <v>45745</v>
      </c>
      <c r="I3164" s="7" t="s">
        <v>102</v>
      </c>
      <c r="J3164" s="7" t="s">
        <v>63</v>
      </c>
      <c r="K3164" s="7" t="n">
        <v>20</v>
      </c>
      <c r="L3164" s="7" t="n">
        <v>4</v>
      </c>
      <c r="M3164" s="7" t="n">
        <v>1</v>
      </c>
      <c r="N3164" s="7" t="s">
        <v>42</v>
      </c>
      <c r="O3164" s="7" t="s">
        <v>52</v>
      </c>
      <c r="P3164" s="7" t="n">
        <v>2.7</v>
      </c>
      <c r="Q3164" s="7" t="n">
        <v>19</v>
      </c>
      <c r="R3164" s="7" t="s">
        <v>53</v>
      </c>
      <c r="S3164" s="7"/>
      <c r="T3164" s="7"/>
      <c r="U3164" s="7" t="str">
        <f aca="false">IF(COUNTIF($A$2:$A$5001,A3164)&gt;1,"Duplicate","Unique")</f>
        <v>Unique</v>
      </c>
      <c r="V3164" s="7" t="str">
        <f aca="false">IF(COUNTIFS($B$2:$B$5001,B3164,$H$2:$H$5001,H3164,$J$2:$J$5001,J3164)&gt;1,"Possible Duplicate Booking","Unique")</f>
        <v>Unique</v>
      </c>
      <c r="W3164" s="7" t="str">
        <f aca="false">IF((H3164-G3164)&lt;&gt;K3164,"Mismatch","OK")</f>
        <v>OK</v>
      </c>
      <c r="X3164" s="7" t="str">
        <f aca="false">IF(TEXT(H3164,"dddd")&lt;&gt;I3164,"Mismatch","OK")</f>
        <v>OK</v>
      </c>
      <c r="Y3164" s="7" t="str">
        <f aca="false">IF(AND(N3164="No",O3164&lt;&gt;""),"Unexpected: channel present but no reminder sent",IF(AND(N3164="Yes",O3164=""),"Missing channel for sent reminder","OK"))</f>
        <v>OK</v>
      </c>
    </row>
    <row r="3165" customFormat="false" ht="15" hidden="false" customHeight="false" outlineLevel="0" collapsed="false">
      <c r="A3165" s="9" t="s">
        <v>4720</v>
      </c>
      <c r="B3165" s="9" t="s">
        <v>1140</v>
      </c>
      <c r="C3165" s="9" t="s">
        <v>37</v>
      </c>
      <c r="D3165" s="9" t="n">
        <v>55</v>
      </c>
      <c r="E3165" s="9" t="s">
        <v>61</v>
      </c>
      <c r="F3165" s="9" t="s">
        <v>49</v>
      </c>
      <c r="G3165" s="10" t="n">
        <v>45813</v>
      </c>
      <c r="H3165" s="10" t="n">
        <v>45829</v>
      </c>
      <c r="I3165" s="9" t="s">
        <v>102</v>
      </c>
      <c r="J3165" s="9" t="s">
        <v>41</v>
      </c>
      <c r="K3165" s="9" t="n">
        <v>16</v>
      </c>
      <c r="L3165" s="9" t="n">
        <v>4</v>
      </c>
      <c r="M3165" s="9" t="n">
        <v>1</v>
      </c>
      <c r="N3165" s="9" t="s">
        <v>42</v>
      </c>
      <c r="O3165" s="9" t="s">
        <v>67</v>
      </c>
      <c r="P3165" s="9" t="n">
        <v>11.6</v>
      </c>
      <c r="Q3165" s="9" t="n">
        <v>32</v>
      </c>
      <c r="R3165" s="9" t="s">
        <v>53</v>
      </c>
      <c r="S3165" s="9"/>
      <c r="T3165" s="9"/>
      <c r="U3165" s="9" t="str">
        <f aca="false">IF(COUNTIF($A$2:$A$5001,A3165)&gt;1,"Duplicate","Unique")</f>
        <v>Unique</v>
      </c>
      <c r="V3165" s="9" t="str">
        <f aca="false">IF(COUNTIFS($B$2:$B$5001,B3165,$H$2:$H$5001,H3165,$J$2:$J$5001,J3165)&gt;1,"Possible Duplicate Booking","Unique")</f>
        <v>Unique</v>
      </c>
      <c r="W3165" s="9" t="str">
        <f aca="false">IF((H3165-G3165)&lt;&gt;K3165,"Mismatch","OK")</f>
        <v>OK</v>
      </c>
      <c r="X3165" s="9" t="str">
        <f aca="false">IF(TEXT(H3165,"dddd")&lt;&gt;I3165,"Mismatch","OK")</f>
        <v>OK</v>
      </c>
      <c r="Y3165" s="9" t="str">
        <f aca="false">IF(AND(N3165="No",O3165&lt;&gt;""),"Unexpected: channel present but no reminder sent",IF(AND(N3165="Yes",O3165=""),"Missing channel for sent reminder","OK"))</f>
        <v>OK</v>
      </c>
    </row>
    <row r="3166" customFormat="false" ht="15" hidden="false" customHeight="false" outlineLevel="0" collapsed="false">
      <c r="A3166" s="7" t="s">
        <v>4721</v>
      </c>
      <c r="B3166" s="7" t="s">
        <v>4722</v>
      </c>
      <c r="C3166" s="7" t="s">
        <v>47</v>
      </c>
      <c r="D3166" s="7" t="n">
        <v>56</v>
      </c>
      <c r="E3166" s="7" t="s">
        <v>61</v>
      </c>
      <c r="F3166" s="7" t="s">
        <v>57</v>
      </c>
      <c r="G3166" s="8" t="n">
        <v>45710</v>
      </c>
      <c r="H3166" s="8" t="n">
        <v>45727</v>
      </c>
      <c r="I3166" s="7" t="s">
        <v>40</v>
      </c>
      <c r="J3166" s="7" t="s">
        <v>51</v>
      </c>
      <c r="K3166" s="7" t="n">
        <v>17</v>
      </c>
      <c r="L3166" s="7" t="n">
        <v>3</v>
      </c>
      <c r="M3166" s="7" t="n">
        <v>0</v>
      </c>
      <c r="N3166" s="7" t="s">
        <v>42</v>
      </c>
      <c r="O3166" s="7" t="s">
        <v>43</v>
      </c>
      <c r="P3166" s="7" t="n">
        <v>13.3</v>
      </c>
      <c r="Q3166" s="7" t="n">
        <v>29</v>
      </c>
      <c r="R3166" s="7" t="s">
        <v>44</v>
      </c>
      <c r="S3166" s="7"/>
      <c r="T3166" s="7"/>
      <c r="U3166" s="7" t="str">
        <f aca="false">IF(COUNTIF($A$2:$A$5001,A3166)&gt;1,"Duplicate","Unique")</f>
        <v>Unique</v>
      </c>
      <c r="V3166" s="7" t="str">
        <f aca="false">IF(COUNTIFS($B$2:$B$5001,B3166,$H$2:$H$5001,H3166,$J$2:$J$5001,J3166)&gt;1,"Possible Duplicate Booking","Unique")</f>
        <v>Unique</v>
      </c>
      <c r="W3166" s="7" t="str">
        <f aca="false">IF((H3166-G3166)&lt;&gt;K3166,"Mismatch","OK")</f>
        <v>OK</v>
      </c>
      <c r="X3166" s="7" t="str">
        <f aca="false">IF(TEXT(H3166,"dddd")&lt;&gt;I3166,"Mismatch","OK")</f>
        <v>OK</v>
      </c>
      <c r="Y3166" s="7" t="str">
        <f aca="false">IF(AND(N3166="No",O3166&lt;&gt;""),"Unexpected: channel present but no reminder sent",IF(AND(N3166="Yes",O3166=""),"Missing channel for sent reminder","OK"))</f>
        <v>OK</v>
      </c>
    </row>
    <row r="3167" customFormat="false" ht="15" hidden="false" customHeight="false" outlineLevel="0" collapsed="false">
      <c r="A3167" s="9" t="s">
        <v>4723</v>
      </c>
      <c r="B3167" s="9" t="s">
        <v>3981</v>
      </c>
      <c r="C3167" s="9" t="s">
        <v>47</v>
      </c>
      <c r="D3167" s="9" t="n">
        <v>65</v>
      </c>
      <c r="E3167" s="9" t="s">
        <v>70</v>
      </c>
      <c r="F3167" s="9" t="s">
        <v>39</v>
      </c>
      <c r="G3167" s="10" t="n">
        <v>45833</v>
      </c>
      <c r="H3167" s="10" t="n">
        <v>45877</v>
      </c>
      <c r="I3167" s="9" t="s">
        <v>50</v>
      </c>
      <c r="J3167" s="9" t="s">
        <v>41</v>
      </c>
      <c r="K3167" s="9" t="n">
        <v>44</v>
      </c>
      <c r="L3167" s="9" t="n">
        <v>2</v>
      </c>
      <c r="M3167" s="9" t="n">
        <v>1</v>
      </c>
      <c r="N3167" s="9" t="s">
        <v>71</v>
      </c>
      <c r="O3167" s="9"/>
      <c r="P3167" s="9" t="n">
        <v>2.4</v>
      </c>
      <c r="Q3167" s="9" t="n">
        <v>35</v>
      </c>
      <c r="R3167" s="9" t="s">
        <v>44</v>
      </c>
      <c r="S3167" s="9"/>
      <c r="T3167" s="9"/>
      <c r="U3167" s="9" t="str">
        <f aca="false">IF(COUNTIF($A$2:$A$5001,A3167)&gt;1,"Duplicate","Unique")</f>
        <v>Unique</v>
      </c>
      <c r="V3167" s="9" t="str">
        <f aca="false">IF(COUNTIFS($B$2:$B$5001,B3167,$H$2:$H$5001,H3167,$J$2:$J$5001,J3167)&gt;1,"Possible Duplicate Booking","Unique")</f>
        <v>Unique</v>
      </c>
      <c r="W3167" s="9" t="str">
        <f aca="false">IF((H3167-G3167)&lt;&gt;K3167,"Mismatch","OK")</f>
        <v>OK</v>
      </c>
      <c r="X3167" s="9" t="str">
        <f aca="false">IF(TEXT(H3167,"dddd")&lt;&gt;I3167,"Mismatch","OK")</f>
        <v>OK</v>
      </c>
      <c r="Y3167" s="9" t="str">
        <f aca="false">IF(AND(N3167="No",O3167&lt;&gt;""),"Unexpected: channel present but no reminder sent",IF(AND(N3167="Yes",O3167=""),"Missing channel for sent reminder","OK"))</f>
        <v>OK</v>
      </c>
    </row>
    <row r="3168" customFormat="false" ht="15" hidden="false" customHeight="false" outlineLevel="0" collapsed="false">
      <c r="A3168" s="7" t="s">
        <v>4724</v>
      </c>
      <c r="B3168" s="7" t="s">
        <v>3090</v>
      </c>
      <c r="C3168" s="7" t="s">
        <v>236</v>
      </c>
      <c r="D3168" s="7" t="n">
        <v>33</v>
      </c>
      <c r="E3168" s="7" t="s">
        <v>48</v>
      </c>
      <c r="F3168" s="7" t="s">
        <v>57</v>
      </c>
      <c r="G3168" s="8" t="n">
        <v>46060</v>
      </c>
      <c r="H3168" s="8" t="n">
        <v>46066</v>
      </c>
      <c r="I3168" s="7" t="s">
        <v>50</v>
      </c>
      <c r="J3168" s="7" t="s">
        <v>41</v>
      </c>
      <c r="K3168" s="7" t="n">
        <v>6</v>
      </c>
      <c r="L3168" s="7" t="n">
        <v>5</v>
      </c>
      <c r="M3168" s="7" t="n">
        <v>1</v>
      </c>
      <c r="N3168" s="7" t="s">
        <v>71</v>
      </c>
      <c r="O3168" s="7"/>
      <c r="P3168" s="7" t="n">
        <v>13.5</v>
      </c>
      <c r="Q3168" s="7" t="n">
        <v>47</v>
      </c>
      <c r="R3168" s="7" t="s">
        <v>53</v>
      </c>
      <c r="S3168" s="7"/>
      <c r="T3168" s="7"/>
      <c r="U3168" s="7" t="str">
        <f aca="false">IF(COUNTIF($A$2:$A$5001,A3168)&gt;1,"Duplicate","Unique")</f>
        <v>Unique</v>
      </c>
      <c r="V3168" s="7" t="str">
        <f aca="false">IF(COUNTIFS($B$2:$B$5001,B3168,$H$2:$H$5001,H3168,$J$2:$J$5001,J3168)&gt;1,"Possible Duplicate Booking","Unique")</f>
        <v>Unique</v>
      </c>
      <c r="W3168" s="7" t="str">
        <f aca="false">IF((H3168-G3168)&lt;&gt;K3168,"Mismatch","OK")</f>
        <v>OK</v>
      </c>
      <c r="X3168" s="7" t="str">
        <f aca="false">IF(TEXT(H3168,"dddd")&lt;&gt;I3168,"Mismatch","OK")</f>
        <v>OK</v>
      </c>
      <c r="Y3168" s="7" t="str">
        <f aca="false">IF(AND(N3168="No",O3168&lt;&gt;""),"Unexpected: channel present but no reminder sent",IF(AND(N3168="Yes",O3168=""),"Missing channel for sent reminder","OK"))</f>
        <v>OK</v>
      </c>
    </row>
    <row r="3169" customFormat="false" ht="15" hidden="false" customHeight="false" outlineLevel="0" collapsed="false">
      <c r="A3169" s="9" t="s">
        <v>4725</v>
      </c>
      <c r="B3169" s="9" t="s">
        <v>4726</v>
      </c>
      <c r="C3169" s="9" t="s">
        <v>47</v>
      </c>
      <c r="D3169" s="9" t="n">
        <v>29</v>
      </c>
      <c r="E3169" s="9" t="s">
        <v>48</v>
      </c>
      <c r="F3169" s="9" t="s">
        <v>57</v>
      </c>
      <c r="G3169" s="10" t="n">
        <v>45786</v>
      </c>
      <c r="H3169" s="10" t="n">
        <v>45804</v>
      </c>
      <c r="I3169" s="9" t="s">
        <v>40</v>
      </c>
      <c r="J3169" s="9" t="s">
        <v>63</v>
      </c>
      <c r="K3169" s="9" t="n">
        <v>18</v>
      </c>
      <c r="L3169" s="9" t="n">
        <v>3</v>
      </c>
      <c r="M3169" s="9" t="n">
        <v>0</v>
      </c>
      <c r="N3169" s="9" t="s">
        <v>42</v>
      </c>
      <c r="O3169" s="9" t="s">
        <v>52</v>
      </c>
      <c r="P3169" s="9" t="n">
        <v>29.2</v>
      </c>
      <c r="Q3169" s="9" t="n">
        <v>36</v>
      </c>
      <c r="R3169" s="9" t="s">
        <v>44</v>
      </c>
      <c r="S3169" s="9"/>
      <c r="T3169" s="9"/>
      <c r="U3169" s="9" t="str">
        <f aca="false">IF(COUNTIF($A$2:$A$5001,A3169)&gt;1,"Duplicate","Unique")</f>
        <v>Unique</v>
      </c>
      <c r="V3169" s="9" t="str">
        <f aca="false">IF(COUNTIFS($B$2:$B$5001,B3169,$H$2:$H$5001,H3169,$J$2:$J$5001,J3169)&gt;1,"Possible Duplicate Booking","Unique")</f>
        <v>Unique</v>
      </c>
      <c r="W3169" s="9" t="str">
        <f aca="false">IF((H3169-G3169)&lt;&gt;K3169,"Mismatch","OK")</f>
        <v>OK</v>
      </c>
      <c r="X3169" s="9" t="str">
        <f aca="false">IF(TEXT(H3169,"dddd")&lt;&gt;I3169,"Mismatch","OK")</f>
        <v>OK</v>
      </c>
      <c r="Y3169" s="9" t="str">
        <f aca="false">IF(AND(N3169="No",O3169&lt;&gt;""),"Unexpected: channel present but no reminder sent",IF(AND(N3169="Yes",O3169=""),"Missing channel for sent reminder","OK"))</f>
        <v>OK</v>
      </c>
    </row>
    <row r="3170" customFormat="false" ht="15" hidden="false" customHeight="false" outlineLevel="0" collapsed="false">
      <c r="A3170" s="7" t="s">
        <v>4727</v>
      </c>
      <c r="B3170" s="7" t="s">
        <v>2076</v>
      </c>
      <c r="C3170" s="7" t="s">
        <v>37</v>
      </c>
      <c r="D3170" s="7" t="n">
        <v>39</v>
      </c>
      <c r="E3170" s="7" t="s">
        <v>38</v>
      </c>
      <c r="F3170" s="7" t="s">
        <v>57</v>
      </c>
      <c r="G3170" s="8" t="n">
        <v>46078</v>
      </c>
      <c r="H3170" s="8" t="n">
        <v>46106</v>
      </c>
      <c r="I3170" s="7" t="s">
        <v>58</v>
      </c>
      <c r="J3170" s="7" t="s">
        <v>51</v>
      </c>
      <c r="K3170" s="7" t="n">
        <v>28</v>
      </c>
      <c r="L3170" s="7" t="n">
        <v>5</v>
      </c>
      <c r="M3170" s="7" t="n">
        <v>0</v>
      </c>
      <c r="N3170" s="7" t="s">
        <v>42</v>
      </c>
      <c r="O3170" s="7" t="s">
        <v>43</v>
      </c>
      <c r="P3170" s="7" t="n">
        <v>6.9</v>
      </c>
      <c r="Q3170" s="7" t="n">
        <v>7</v>
      </c>
      <c r="R3170" s="7" t="s">
        <v>53</v>
      </c>
      <c r="S3170" s="7"/>
      <c r="T3170" s="7"/>
      <c r="U3170" s="7" t="str">
        <f aca="false">IF(COUNTIF($A$2:$A$5001,A3170)&gt;1,"Duplicate","Unique")</f>
        <v>Unique</v>
      </c>
      <c r="V3170" s="7" t="str">
        <f aca="false">IF(COUNTIFS($B$2:$B$5001,B3170,$H$2:$H$5001,H3170,$J$2:$J$5001,J3170)&gt;1,"Possible Duplicate Booking","Unique")</f>
        <v>Unique</v>
      </c>
      <c r="W3170" s="7" t="str">
        <f aca="false">IF((H3170-G3170)&lt;&gt;K3170,"Mismatch","OK")</f>
        <v>OK</v>
      </c>
      <c r="X3170" s="7" t="str">
        <f aca="false">IF(TEXT(H3170,"dddd")&lt;&gt;I3170,"Mismatch","OK")</f>
        <v>OK</v>
      </c>
      <c r="Y3170" s="7" t="str">
        <f aca="false">IF(AND(N3170="No",O3170&lt;&gt;""),"Unexpected: channel present but no reminder sent",IF(AND(N3170="Yes",O3170=""),"Missing channel for sent reminder","OK"))</f>
        <v>OK</v>
      </c>
    </row>
    <row r="3171" customFormat="false" ht="15" hidden="false" customHeight="false" outlineLevel="0" collapsed="false">
      <c r="A3171" s="9" t="s">
        <v>4728</v>
      </c>
      <c r="B3171" s="9" t="s">
        <v>1788</v>
      </c>
      <c r="C3171" s="9" t="s">
        <v>37</v>
      </c>
      <c r="D3171" s="9" t="n">
        <v>48</v>
      </c>
      <c r="E3171" s="9" t="s">
        <v>56</v>
      </c>
      <c r="F3171" s="9" t="s">
        <v>57</v>
      </c>
      <c r="G3171" s="10" t="n">
        <v>45957</v>
      </c>
      <c r="H3171" s="10" t="n">
        <v>45989</v>
      </c>
      <c r="I3171" s="9" t="s">
        <v>50</v>
      </c>
      <c r="J3171" s="9" t="s">
        <v>51</v>
      </c>
      <c r="K3171" s="9" t="n">
        <v>32</v>
      </c>
      <c r="L3171" s="9" t="n">
        <v>1</v>
      </c>
      <c r="M3171" s="9" t="n">
        <v>0</v>
      </c>
      <c r="N3171" s="9" t="s">
        <v>71</v>
      </c>
      <c r="O3171" s="9"/>
      <c r="P3171" s="9" t="n">
        <v>6</v>
      </c>
      <c r="Q3171" s="9" t="n">
        <v>17</v>
      </c>
      <c r="R3171" s="9" t="s">
        <v>53</v>
      </c>
      <c r="S3171" s="9"/>
      <c r="T3171" s="9"/>
      <c r="U3171" s="9" t="str">
        <f aca="false">IF(COUNTIF($A$2:$A$5001,A3171)&gt;1,"Duplicate","Unique")</f>
        <v>Unique</v>
      </c>
      <c r="V3171" s="9" t="str">
        <f aca="false">IF(COUNTIFS($B$2:$B$5001,B3171,$H$2:$H$5001,H3171,$J$2:$J$5001,J3171)&gt;1,"Possible Duplicate Booking","Unique")</f>
        <v>Unique</v>
      </c>
      <c r="W3171" s="9" t="str">
        <f aca="false">IF((H3171-G3171)&lt;&gt;K3171,"Mismatch","OK")</f>
        <v>OK</v>
      </c>
      <c r="X3171" s="9" t="str">
        <f aca="false">IF(TEXT(H3171,"dddd")&lt;&gt;I3171,"Mismatch","OK")</f>
        <v>OK</v>
      </c>
      <c r="Y3171" s="9" t="str">
        <f aca="false">IF(AND(N3171="No",O3171&lt;&gt;""),"Unexpected: channel present but no reminder sent",IF(AND(N3171="Yes",O3171=""),"Missing channel for sent reminder","OK"))</f>
        <v>OK</v>
      </c>
    </row>
    <row r="3172" customFormat="false" ht="15" hidden="false" customHeight="false" outlineLevel="0" collapsed="false">
      <c r="A3172" s="7" t="s">
        <v>4729</v>
      </c>
      <c r="B3172" s="7" t="s">
        <v>2366</v>
      </c>
      <c r="C3172" s="7" t="s">
        <v>47</v>
      </c>
      <c r="D3172" s="7" t="n">
        <v>64</v>
      </c>
      <c r="E3172" s="7" t="s">
        <v>61</v>
      </c>
      <c r="F3172" s="7" t="s">
        <v>57</v>
      </c>
      <c r="G3172" s="8" t="n">
        <v>45948</v>
      </c>
      <c r="H3172" s="8" t="n">
        <v>46001</v>
      </c>
      <c r="I3172" s="7" t="s">
        <v>58</v>
      </c>
      <c r="J3172" s="7" t="s">
        <v>41</v>
      </c>
      <c r="K3172" s="7" t="n">
        <v>53</v>
      </c>
      <c r="L3172" s="7" t="n">
        <v>2</v>
      </c>
      <c r="M3172" s="7" t="n">
        <v>0</v>
      </c>
      <c r="N3172" s="7" t="s">
        <v>71</v>
      </c>
      <c r="O3172" s="7"/>
      <c r="P3172" s="7" t="n">
        <v>16.5</v>
      </c>
      <c r="Q3172" s="7" t="n">
        <v>39</v>
      </c>
      <c r="R3172" s="7" t="s">
        <v>53</v>
      </c>
      <c r="S3172" s="7"/>
      <c r="T3172" s="7"/>
      <c r="U3172" s="7" t="str">
        <f aca="false">IF(COUNTIF($A$2:$A$5001,A3172)&gt;1,"Duplicate","Unique")</f>
        <v>Unique</v>
      </c>
      <c r="V3172" s="7" t="str">
        <f aca="false">IF(COUNTIFS($B$2:$B$5001,B3172,$H$2:$H$5001,H3172,$J$2:$J$5001,J3172)&gt;1,"Possible Duplicate Booking","Unique")</f>
        <v>Unique</v>
      </c>
      <c r="W3172" s="7" t="str">
        <f aca="false">IF((H3172-G3172)&lt;&gt;K3172,"Mismatch","OK")</f>
        <v>OK</v>
      </c>
      <c r="X3172" s="7" t="str">
        <f aca="false">IF(TEXT(H3172,"dddd")&lt;&gt;I3172,"Mismatch","OK")</f>
        <v>OK</v>
      </c>
      <c r="Y3172" s="7" t="str">
        <f aca="false">IF(AND(N3172="No",O3172&lt;&gt;""),"Unexpected: channel present but no reminder sent",IF(AND(N3172="Yes",O3172=""),"Missing channel for sent reminder","OK"))</f>
        <v>OK</v>
      </c>
    </row>
    <row r="3173" customFormat="false" ht="15" hidden="false" customHeight="false" outlineLevel="0" collapsed="false">
      <c r="A3173" s="9" t="s">
        <v>4730</v>
      </c>
      <c r="B3173" s="9" t="s">
        <v>3802</v>
      </c>
      <c r="C3173" s="9" t="s">
        <v>37</v>
      </c>
      <c r="D3173" s="9" t="n">
        <v>34</v>
      </c>
      <c r="E3173" s="9" t="s">
        <v>48</v>
      </c>
      <c r="F3173" s="9" t="s">
        <v>49</v>
      </c>
      <c r="G3173" s="10" t="n">
        <v>46114</v>
      </c>
      <c r="H3173" s="10" t="n">
        <v>46170</v>
      </c>
      <c r="I3173" s="9" t="s">
        <v>62</v>
      </c>
      <c r="J3173" s="9" t="s">
        <v>51</v>
      </c>
      <c r="K3173" s="9" t="n">
        <v>56</v>
      </c>
      <c r="L3173" s="9" t="n">
        <v>2</v>
      </c>
      <c r="M3173" s="9" t="n">
        <v>0</v>
      </c>
      <c r="N3173" s="9" t="s">
        <v>71</v>
      </c>
      <c r="O3173" s="9"/>
      <c r="P3173" s="9" t="n">
        <v>5.6</v>
      </c>
      <c r="Q3173" s="9" t="n">
        <v>20</v>
      </c>
      <c r="R3173" s="9" t="s">
        <v>44</v>
      </c>
      <c r="S3173" s="9"/>
      <c r="T3173" s="9"/>
      <c r="U3173" s="9" t="str">
        <f aca="false">IF(COUNTIF($A$2:$A$5001,A3173)&gt;1,"Duplicate","Unique")</f>
        <v>Unique</v>
      </c>
      <c r="V3173" s="9" t="str">
        <f aca="false">IF(COUNTIFS($B$2:$B$5001,B3173,$H$2:$H$5001,H3173,$J$2:$J$5001,J3173)&gt;1,"Possible Duplicate Booking","Unique")</f>
        <v>Unique</v>
      </c>
      <c r="W3173" s="9" t="str">
        <f aca="false">IF((H3173-G3173)&lt;&gt;K3173,"Mismatch","OK")</f>
        <v>OK</v>
      </c>
      <c r="X3173" s="9" t="str">
        <f aca="false">IF(TEXT(H3173,"dddd")&lt;&gt;I3173,"Mismatch","OK")</f>
        <v>OK</v>
      </c>
      <c r="Y3173" s="9" t="str">
        <f aca="false">IF(AND(N3173="No",O3173&lt;&gt;""),"Unexpected: channel present but no reminder sent",IF(AND(N3173="Yes",O3173=""),"Missing channel for sent reminder","OK"))</f>
        <v>OK</v>
      </c>
    </row>
    <row r="3174" customFormat="false" ht="15" hidden="false" customHeight="false" outlineLevel="0" collapsed="false">
      <c r="A3174" s="7" t="s">
        <v>4731</v>
      </c>
      <c r="B3174" s="7" t="s">
        <v>146</v>
      </c>
      <c r="C3174" s="7" t="s">
        <v>236</v>
      </c>
      <c r="D3174" s="7" t="n">
        <v>53</v>
      </c>
      <c r="E3174" s="7" t="s">
        <v>56</v>
      </c>
      <c r="F3174" s="7" t="s">
        <v>57</v>
      </c>
      <c r="G3174" s="8" t="n">
        <v>45875</v>
      </c>
      <c r="H3174" s="8" t="n">
        <v>45893</v>
      </c>
      <c r="I3174" s="7" t="s">
        <v>75</v>
      </c>
      <c r="J3174" s="7" t="s">
        <v>41</v>
      </c>
      <c r="K3174" s="7" t="n">
        <v>18</v>
      </c>
      <c r="L3174" s="7" t="n">
        <v>4</v>
      </c>
      <c r="M3174" s="7" t="n">
        <v>2</v>
      </c>
      <c r="N3174" s="7" t="s">
        <v>42</v>
      </c>
      <c r="O3174" s="7" t="s">
        <v>52</v>
      </c>
      <c r="P3174" s="7" t="n">
        <v>2.9</v>
      </c>
      <c r="Q3174" s="7" t="n">
        <v>19</v>
      </c>
      <c r="R3174" s="7" t="s">
        <v>53</v>
      </c>
      <c r="S3174" s="7"/>
      <c r="T3174" s="7"/>
      <c r="U3174" s="7" t="str">
        <f aca="false">IF(COUNTIF($A$2:$A$5001,A3174)&gt;1,"Duplicate","Unique")</f>
        <v>Unique</v>
      </c>
      <c r="V3174" s="7" t="str">
        <f aca="false">IF(COUNTIFS($B$2:$B$5001,B3174,$H$2:$H$5001,H3174,$J$2:$J$5001,J3174)&gt;1,"Possible Duplicate Booking","Unique")</f>
        <v>Unique</v>
      </c>
      <c r="W3174" s="7" t="str">
        <f aca="false">IF((H3174-G3174)&lt;&gt;K3174,"Mismatch","OK")</f>
        <v>OK</v>
      </c>
      <c r="X3174" s="7" t="str">
        <f aca="false">IF(TEXT(H3174,"dddd")&lt;&gt;I3174,"Mismatch","OK")</f>
        <v>OK</v>
      </c>
      <c r="Y3174" s="7" t="str">
        <f aca="false">IF(AND(N3174="No",O3174&lt;&gt;""),"Unexpected: channel present but no reminder sent",IF(AND(N3174="Yes",O3174=""),"Missing channel for sent reminder","OK"))</f>
        <v>OK</v>
      </c>
    </row>
    <row r="3175" customFormat="false" ht="15" hidden="false" customHeight="false" outlineLevel="0" collapsed="false">
      <c r="A3175" s="9" t="s">
        <v>4732</v>
      </c>
      <c r="B3175" s="9" t="s">
        <v>1494</v>
      </c>
      <c r="C3175" s="9" t="s">
        <v>37</v>
      </c>
      <c r="D3175" s="9" t="n">
        <v>18</v>
      </c>
      <c r="E3175" s="9" t="s">
        <v>82</v>
      </c>
      <c r="F3175" s="9" t="s">
        <v>49</v>
      </c>
      <c r="G3175" s="10" t="n">
        <v>45814</v>
      </c>
      <c r="H3175" s="10" t="n">
        <v>45846</v>
      </c>
      <c r="I3175" s="9" t="s">
        <v>40</v>
      </c>
      <c r="J3175" s="9" t="s">
        <v>41</v>
      </c>
      <c r="K3175" s="9" t="n">
        <v>32</v>
      </c>
      <c r="L3175" s="9" t="n">
        <v>2</v>
      </c>
      <c r="M3175" s="9" t="n">
        <v>0</v>
      </c>
      <c r="N3175" s="9" t="s">
        <v>42</v>
      </c>
      <c r="O3175" s="9" t="s">
        <v>43</v>
      </c>
      <c r="P3175" s="9" t="n">
        <v>7.9</v>
      </c>
      <c r="Q3175" s="9" t="n">
        <v>28</v>
      </c>
      <c r="R3175" s="9" t="s">
        <v>44</v>
      </c>
      <c r="S3175" s="9"/>
      <c r="T3175" s="9"/>
      <c r="U3175" s="9" t="str">
        <f aca="false">IF(COUNTIF($A$2:$A$5001,A3175)&gt;1,"Duplicate","Unique")</f>
        <v>Unique</v>
      </c>
      <c r="V3175" s="9" t="str">
        <f aca="false">IF(COUNTIFS($B$2:$B$5001,B3175,$H$2:$H$5001,H3175,$J$2:$J$5001,J3175)&gt;1,"Possible Duplicate Booking","Unique")</f>
        <v>Unique</v>
      </c>
      <c r="W3175" s="9" t="str">
        <f aca="false">IF((H3175-G3175)&lt;&gt;K3175,"Mismatch","OK")</f>
        <v>OK</v>
      </c>
      <c r="X3175" s="9" t="str">
        <f aca="false">IF(TEXT(H3175,"dddd")&lt;&gt;I3175,"Mismatch","OK")</f>
        <v>OK</v>
      </c>
      <c r="Y3175" s="9" t="str">
        <f aca="false">IF(AND(N3175="No",O3175&lt;&gt;""),"Unexpected: channel present but no reminder sent",IF(AND(N3175="Yes",O3175=""),"Missing channel for sent reminder","OK"))</f>
        <v>OK</v>
      </c>
    </row>
    <row r="3176" customFormat="false" ht="15" hidden="false" customHeight="false" outlineLevel="0" collapsed="false">
      <c r="A3176" s="7" t="s">
        <v>4733</v>
      </c>
      <c r="B3176" s="7" t="s">
        <v>1525</v>
      </c>
      <c r="C3176" s="7" t="s">
        <v>47</v>
      </c>
      <c r="D3176" s="7" t="n">
        <v>19</v>
      </c>
      <c r="E3176" s="7" t="s">
        <v>82</v>
      </c>
      <c r="F3176" s="7" t="s">
        <v>74</v>
      </c>
      <c r="G3176" s="8" t="n">
        <v>46200</v>
      </c>
      <c r="H3176" s="8" t="n">
        <v>46201</v>
      </c>
      <c r="I3176" s="7" t="s">
        <v>75</v>
      </c>
      <c r="J3176" s="7" t="s">
        <v>51</v>
      </c>
      <c r="K3176" s="7" t="n">
        <v>1</v>
      </c>
      <c r="L3176" s="7" t="n">
        <v>2</v>
      </c>
      <c r="M3176" s="7" t="n">
        <v>1</v>
      </c>
      <c r="N3176" s="7" t="s">
        <v>42</v>
      </c>
      <c r="O3176" s="7" t="s">
        <v>43</v>
      </c>
      <c r="P3176" s="7" t="n">
        <v>14.5</v>
      </c>
      <c r="Q3176" s="7" t="n">
        <v>21</v>
      </c>
      <c r="R3176" s="7" t="s">
        <v>44</v>
      </c>
      <c r="S3176" s="7"/>
      <c r="T3176" s="7"/>
      <c r="U3176" s="7" t="str">
        <f aca="false">IF(COUNTIF($A$2:$A$5001,A3176)&gt;1,"Duplicate","Unique")</f>
        <v>Unique</v>
      </c>
      <c r="V3176" s="7" t="str">
        <f aca="false">IF(COUNTIFS($B$2:$B$5001,B3176,$H$2:$H$5001,H3176,$J$2:$J$5001,J3176)&gt;1,"Possible Duplicate Booking","Unique")</f>
        <v>Unique</v>
      </c>
      <c r="W3176" s="7" t="str">
        <f aca="false">IF((H3176-G3176)&lt;&gt;K3176,"Mismatch","OK")</f>
        <v>OK</v>
      </c>
      <c r="X3176" s="7" t="str">
        <f aca="false">IF(TEXT(H3176,"dddd")&lt;&gt;I3176,"Mismatch","OK")</f>
        <v>OK</v>
      </c>
      <c r="Y3176" s="7" t="str">
        <f aca="false">IF(AND(N3176="No",O3176&lt;&gt;""),"Unexpected: channel present but no reminder sent",IF(AND(N3176="Yes",O3176=""),"Missing channel for sent reminder","OK"))</f>
        <v>OK</v>
      </c>
    </row>
    <row r="3177" customFormat="false" ht="15" hidden="false" customHeight="false" outlineLevel="0" collapsed="false">
      <c r="A3177" s="9" t="s">
        <v>4734</v>
      </c>
      <c r="B3177" s="9" t="s">
        <v>2734</v>
      </c>
      <c r="C3177" s="9" t="s">
        <v>47</v>
      </c>
      <c r="D3177" s="9" t="n">
        <v>78</v>
      </c>
      <c r="E3177" s="9" t="s">
        <v>70</v>
      </c>
      <c r="F3177" s="9" t="s">
        <v>39</v>
      </c>
      <c r="G3177" s="10" t="n">
        <v>45925</v>
      </c>
      <c r="H3177" s="10" t="n">
        <v>45962</v>
      </c>
      <c r="I3177" s="9" t="s">
        <v>102</v>
      </c>
      <c r="J3177" s="9" t="s">
        <v>51</v>
      </c>
      <c r="K3177" s="9" t="n">
        <v>37</v>
      </c>
      <c r="L3177" s="9" t="n">
        <v>3</v>
      </c>
      <c r="M3177" s="9" t="n">
        <v>0</v>
      </c>
      <c r="N3177" s="9" t="s">
        <v>42</v>
      </c>
      <c r="O3177" s="9" t="s">
        <v>52</v>
      </c>
      <c r="P3177" s="9" t="n">
        <v>8.2</v>
      </c>
      <c r="Q3177" s="9" t="n">
        <v>43</v>
      </c>
      <c r="R3177" s="9" t="s">
        <v>53</v>
      </c>
      <c r="S3177" s="9"/>
      <c r="T3177" s="9"/>
      <c r="U3177" s="9" t="str">
        <f aca="false">IF(COUNTIF($A$2:$A$5001,A3177)&gt;1,"Duplicate","Unique")</f>
        <v>Unique</v>
      </c>
      <c r="V3177" s="9" t="str">
        <f aca="false">IF(COUNTIFS($B$2:$B$5001,B3177,$H$2:$H$5001,H3177,$J$2:$J$5001,J3177)&gt;1,"Possible Duplicate Booking","Unique")</f>
        <v>Unique</v>
      </c>
      <c r="W3177" s="9" t="str">
        <f aca="false">IF((H3177-G3177)&lt;&gt;K3177,"Mismatch","OK")</f>
        <v>OK</v>
      </c>
      <c r="X3177" s="9" t="str">
        <f aca="false">IF(TEXT(H3177,"dddd")&lt;&gt;I3177,"Mismatch","OK")</f>
        <v>OK</v>
      </c>
      <c r="Y3177" s="9" t="str">
        <f aca="false">IF(AND(N3177="No",O3177&lt;&gt;""),"Unexpected: channel present but no reminder sent",IF(AND(N3177="Yes",O3177=""),"Missing channel for sent reminder","OK"))</f>
        <v>OK</v>
      </c>
    </row>
    <row r="3178" customFormat="false" ht="15" hidden="false" customHeight="false" outlineLevel="0" collapsed="false">
      <c r="A3178" s="7" t="s">
        <v>4735</v>
      </c>
      <c r="B3178" s="7" t="s">
        <v>4736</v>
      </c>
      <c r="C3178" s="7" t="s">
        <v>47</v>
      </c>
      <c r="D3178" s="7" t="n">
        <v>71</v>
      </c>
      <c r="E3178" s="7" t="s">
        <v>70</v>
      </c>
      <c r="F3178" s="7" t="s">
        <v>39</v>
      </c>
      <c r="G3178" s="8" t="n">
        <v>45984</v>
      </c>
      <c r="H3178" s="8" t="n">
        <v>45993</v>
      </c>
      <c r="I3178" s="7" t="s">
        <v>40</v>
      </c>
      <c r="J3178" s="7" t="s">
        <v>41</v>
      </c>
      <c r="K3178" s="7" t="n">
        <v>9</v>
      </c>
      <c r="L3178" s="7" t="n">
        <v>2</v>
      </c>
      <c r="M3178" s="7" t="n">
        <v>0</v>
      </c>
      <c r="N3178" s="7" t="s">
        <v>42</v>
      </c>
      <c r="O3178" s="7" t="s">
        <v>52</v>
      </c>
      <c r="P3178" s="7" t="n">
        <v>7</v>
      </c>
      <c r="Q3178" s="7" t="n">
        <v>22</v>
      </c>
      <c r="R3178" s="7" t="s">
        <v>53</v>
      </c>
      <c r="S3178" s="7"/>
      <c r="T3178" s="7"/>
      <c r="U3178" s="7" t="str">
        <f aca="false">IF(COUNTIF($A$2:$A$5001,A3178)&gt;1,"Duplicate","Unique")</f>
        <v>Unique</v>
      </c>
      <c r="V3178" s="7" t="str">
        <f aca="false">IF(COUNTIFS($B$2:$B$5001,B3178,$H$2:$H$5001,H3178,$J$2:$J$5001,J3178)&gt;1,"Possible Duplicate Booking","Unique")</f>
        <v>Unique</v>
      </c>
      <c r="W3178" s="7" t="str">
        <f aca="false">IF((H3178-G3178)&lt;&gt;K3178,"Mismatch","OK")</f>
        <v>OK</v>
      </c>
      <c r="X3178" s="7" t="str">
        <f aca="false">IF(TEXT(H3178,"dddd")&lt;&gt;I3178,"Mismatch","OK")</f>
        <v>OK</v>
      </c>
      <c r="Y3178" s="7" t="str">
        <f aca="false">IF(AND(N3178="No",O3178&lt;&gt;""),"Unexpected: channel present but no reminder sent",IF(AND(N3178="Yes",O3178=""),"Missing channel for sent reminder","OK"))</f>
        <v>OK</v>
      </c>
    </row>
    <row r="3179" customFormat="false" ht="15" hidden="false" customHeight="false" outlineLevel="0" collapsed="false">
      <c r="A3179" s="9" t="s">
        <v>4737</v>
      </c>
      <c r="B3179" s="9" t="s">
        <v>413</v>
      </c>
      <c r="C3179" s="9" t="s">
        <v>47</v>
      </c>
      <c r="D3179" s="9" t="n">
        <v>72</v>
      </c>
      <c r="E3179" s="9" t="s">
        <v>70</v>
      </c>
      <c r="F3179" s="9" t="s">
        <v>49</v>
      </c>
      <c r="G3179" s="10" t="n">
        <v>45815</v>
      </c>
      <c r="H3179" s="10" t="n">
        <v>45819</v>
      </c>
      <c r="I3179" s="9" t="s">
        <v>58</v>
      </c>
      <c r="J3179" s="9" t="s">
        <v>51</v>
      </c>
      <c r="K3179" s="9" t="n">
        <v>4</v>
      </c>
      <c r="L3179" s="9" t="n">
        <v>5</v>
      </c>
      <c r="M3179" s="9" t="n">
        <v>1</v>
      </c>
      <c r="N3179" s="9" t="s">
        <v>42</v>
      </c>
      <c r="O3179" s="9" t="s">
        <v>67</v>
      </c>
      <c r="P3179" s="9" t="n">
        <v>12.1</v>
      </c>
      <c r="Q3179" s="9" t="n">
        <v>51</v>
      </c>
      <c r="R3179" s="9" t="s">
        <v>44</v>
      </c>
      <c r="S3179" s="9"/>
      <c r="T3179" s="9"/>
      <c r="U3179" s="9" t="str">
        <f aca="false">IF(COUNTIF($A$2:$A$5001,A3179)&gt;1,"Duplicate","Unique")</f>
        <v>Unique</v>
      </c>
      <c r="V3179" s="9" t="str">
        <f aca="false">IF(COUNTIFS($B$2:$B$5001,B3179,$H$2:$H$5001,H3179,$J$2:$J$5001,J3179)&gt;1,"Possible Duplicate Booking","Unique")</f>
        <v>Unique</v>
      </c>
      <c r="W3179" s="9" t="str">
        <f aca="false">IF((H3179-G3179)&lt;&gt;K3179,"Mismatch","OK")</f>
        <v>OK</v>
      </c>
      <c r="X3179" s="9" t="str">
        <f aca="false">IF(TEXT(H3179,"dddd")&lt;&gt;I3179,"Mismatch","OK")</f>
        <v>OK</v>
      </c>
      <c r="Y3179" s="9" t="str">
        <f aca="false">IF(AND(N3179="No",O3179&lt;&gt;""),"Unexpected: channel present but no reminder sent",IF(AND(N3179="Yes",O3179=""),"Missing channel for sent reminder","OK"))</f>
        <v>OK</v>
      </c>
    </row>
    <row r="3180" customFormat="false" ht="15" hidden="false" customHeight="false" outlineLevel="0" collapsed="false">
      <c r="A3180" s="7" t="s">
        <v>4738</v>
      </c>
      <c r="B3180" s="7" t="s">
        <v>1273</v>
      </c>
      <c r="C3180" s="7" t="s">
        <v>47</v>
      </c>
      <c r="D3180" s="7" t="n">
        <v>38</v>
      </c>
      <c r="E3180" s="7" t="s">
        <v>38</v>
      </c>
      <c r="F3180" s="7" t="s">
        <v>57</v>
      </c>
      <c r="G3180" s="8" t="n">
        <v>45735</v>
      </c>
      <c r="H3180" s="8" t="n">
        <v>45775</v>
      </c>
      <c r="I3180" s="7" t="s">
        <v>66</v>
      </c>
      <c r="J3180" s="7" t="s">
        <v>41</v>
      </c>
      <c r="K3180" s="7" t="n">
        <v>40</v>
      </c>
      <c r="L3180" s="7" t="n">
        <v>2</v>
      </c>
      <c r="M3180" s="7" t="n">
        <v>1</v>
      </c>
      <c r="N3180" s="7" t="s">
        <v>71</v>
      </c>
      <c r="O3180" s="7"/>
      <c r="P3180" s="7" t="n">
        <v>4.4</v>
      </c>
      <c r="Q3180" s="7" t="n">
        <v>18</v>
      </c>
      <c r="R3180" s="7" t="s">
        <v>44</v>
      </c>
      <c r="S3180" s="7"/>
      <c r="T3180" s="7"/>
      <c r="U3180" s="7" t="str">
        <f aca="false">IF(COUNTIF($A$2:$A$5001,A3180)&gt;1,"Duplicate","Unique")</f>
        <v>Unique</v>
      </c>
      <c r="V3180" s="7" t="str">
        <f aca="false">IF(COUNTIFS($B$2:$B$5001,B3180,$H$2:$H$5001,H3180,$J$2:$J$5001,J3180)&gt;1,"Possible Duplicate Booking","Unique")</f>
        <v>Unique</v>
      </c>
      <c r="W3180" s="7" t="str">
        <f aca="false">IF((H3180-G3180)&lt;&gt;K3180,"Mismatch","OK")</f>
        <v>OK</v>
      </c>
      <c r="X3180" s="7" t="str">
        <f aca="false">IF(TEXT(H3180,"dddd")&lt;&gt;I3180,"Mismatch","OK")</f>
        <v>OK</v>
      </c>
      <c r="Y3180" s="7" t="str">
        <f aca="false">IF(AND(N3180="No",O3180&lt;&gt;""),"Unexpected: channel present but no reminder sent",IF(AND(N3180="Yes",O3180=""),"Missing channel for sent reminder","OK"))</f>
        <v>OK</v>
      </c>
    </row>
    <row r="3181" customFormat="false" ht="15" hidden="false" customHeight="false" outlineLevel="0" collapsed="false">
      <c r="A3181" s="9" t="s">
        <v>4739</v>
      </c>
      <c r="B3181" s="9" t="s">
        <v>4740</v>
      </c>
      <c r="C3181" s="9" t="s">
        <v>37</v>
      </c>
      <c r="D3181" s="9" t="n">
        <v>50</v>
      </c>
      <c r="E3181" s="9" t="s">
        <v>56</v>
      </c>
      <c r="F3181" s="9" t="s">
        <v>39</v>
      </c>
      <c r="G3181" s="10" t="n">
        <v>45740</v>
      </c>
      <c r="H3181" s="10" t="n">
        <v>45750</v>
      </c>
      <c r="I3181" s="9" t="s">
        <v>62</v>
      </c>
      <c r="J3181" s="9" t="s">
        <v>41</v>
      </c>
      <c r="K3181" s="9" t="n">
        <v>10</v>
      </c>
      <c r="L3181" s="9" t="n">
        <v>3</v>
      </c>
      <c r="M3181" s="9" t="n">
        <v>2</v>
      </c>
      <c r="N3181" s="9" t="s">
        <v>42</v>
      </c>
      <c r="O3181" s="9" t="s">
        <v>52</v>
      </c>
      <c r="P3181" s="9" t="n">
        <v>9.4</v>
      </c>
      <c r="Q3181" s="9" t="n">
        <v>17</v>
      </c>
      <c r="R3181" s="9" t="s">
        <v>44</v>
      </c>
      <c r="S3181" s="9"/>
      <c r="T3181" s="9"/>
      <c r="U3181" s="9" t="str">
        <f aca="false">IF(COUNTIF($A$2:$A$5001,A3181)&gt;1,"Duplicate","Unique")</f>
        <v>Unique</v>
      </c>
      <c r="V3181" s="9" t="str">
        <f aca="false">IF(COUNTIFS($B$2:$B$5001,B3181,$H$2:$H$5001,H3181,$J$2:$J$5001,J3181)&gt;1,"Possible Duplicate Booking","Unique")</f>
        <v>Unique</v>
      </c>
      <c r="W3181" s="9" t="str">
        <f aca="false">IF((H3181-G3181)&lt;&gt;K3181,"Mismatch","OK")</f>
        <v>OK</v>
      </c>
      <c r="X3181" s="9" t="str">
        <f aca="false">IF(TEXT(H3181,"dddd")&lt;&gt;I3181,"Mismatch","OK")</f>
        <v>OK</v>
      </c>
      <c r="Y3181" s="9" t="str">
        <f aca="false">IF(AND(N3181="No",O3181&lt;&gt;""),"Unexpected: channel present but no reminder sent",IF(AND(N3181="Yes",O3181=""),"Missing channel for sent reminder","OK"))</f>
        <v>OK</v>
      </c>
    </row>
    <row r="3182" customFormat="false" ht="15" hidden="false" customHeight="false" outlineLevel="0" collapsed="false">
      <c r="A3182" s="7" t="s">
        <v>4741</v>
      </c>
      <c r="B3182" s="7" t="s">
        <v>4742</v>
      </c>
      <c r="C3182" s="7" t="s">
        <v>47</v>
      </c>
      <c r="D3182" s="7" t="n">
        <v>60</v>
      </c>
      <c r="E3182" s="7" t="s">
        <v>61</v>
      </c>
      <c r="F3182" s="7" t="s">
        <v>39</v>
      </c>
      <c r="G3182" s="8" t="n">
        <v>45751</v>
      </c>
      <c r="H3182" s="8" t="n">
        <v>45780</v>
      </c>
      <c r="I3182" s="7" t="s">
        <v>102</v>
      </c>
      <c r="J3182" s="7" t="s">
        <v>41</v>
      </c>
      <c r="K3182" s="7" t="n">
        <v>29</v>
      </c>
      <c r="L3182" s="7" t="n">
        <v>0</v>
      </c>
      <c r="M3182" s="7" t="n">
        <v>0</v>
      </c>
      <c r="N3182" s="7" t="s">
        <v>42</v>
      </c>
      <c r="O3182" s="7" t="s">
        <v>52</v>
      </c>
      <c r="P3182" s="7" t="n">
        <v>1.5</v>
      </c>
      <c r="Q3182" s="7" t="n">
        <v>15</v>
      </c>
      <c r="R3182" s="7" t="s">
        <v>44</v>
      </c>
      <c r="S3182" s="7"/>
      <c r="T3182" s="7"/>
      <c r="U3182" s="7" t="str">
        <f aca="false">IF(COUNTIF($A$2:$A$5001,A3182)&gt;1,"Duplicate","Unique")</f>
        <v>Unique</v>
      </c>
      <c r="V3182" s="7" t="str">
        <f aca="false">IF(COUNTIFS($B$2:$B$5001,B3182,$H$2:$H$5001,H3182,$J$2:$J$5001,J3182)&gt;1,"Possible Duplicate Booking","Unique")</f>
        <v>Unique</v>
      </c>
      <c r="W3182" s="7" t="str">
        <f aca="false">IF((H3182-G3182)&lt;&gt;K3182,"Mismatch","OK")</f>
        <v>OK</v>
      </c>
      <c r="X3182" s="7" t="str">
        <f aca="false">IF(TEXT(H3182,"dddd")&lt;&gt;I3182,"Mismatch","OK")</f>
        <v>OK</v>
      </c>
      <c r="Y3182" s="7" t="str">
        <f aca="false">IF(AND(N3182="No",O3182&lt;&gt;""),"Unexpected: channel present but no reminder sent",IF(AND(N3182="Yes",O3182=""),"Missing channel for sent reminder","OK"))</f>
        <v>OK</v>
      </c>
    </row>
    <row r="3183" customFormat="false" ht="15" hidden="false" customHeight="false" outlineLevel="0" collapsed="false">
      <c r="A3183" s="9" t="s">
        <v>4743</v>
      </c>
      <c r="B3183" s="9" t="s">
        <v>164</v>
      </c>
      <c r="C3183" s="9" t="s">
        <v>47</v>
      </c>
      <c r="D3183" s="9" t="n">
        <v>34</v>
      </c>
      <c r="E3183" s="9" t="s">
        <v>48</v>
      </c>
      <c r="F3183" s="9" t="s">
        <v>49</v>
      </c>
      <c r="G3183" s="10" t="n">
        <v>45758</v>
      </c>
      <c r="H3183" s="10" t="n">
        <v>45764</v>
      </c>
      <c r="I3183" s="9" t="s">
        <v>62</v>
      </c>
      <c r="J3183" s="9" t="s">
        <v>51</v>
      </c>
      <c r="K3183" s="9" t="n">
        <v>6</v>
      </c>
      <c r="L3183" s="9" t="n">
        <v>5</v>
      </c>
      <c r="M3183" s="9" t="n">
        <v>1</v>
      </c>
      <c r="N3183" s="9" t="s">
        <v>42</v>
      </c>
      <c r="O3183" s="9" t="s">
        <v>52</v>
      </c>
      <c r="P3183" s="9" t="n">
        <v>11.6</v>
      </c>
      <c r="Q3183" s="9" t="n">
        <v>15</v>
      </c>
      <c r="R3183" s="9" t="s">
        <v>44</v>
      </c>
      <c r="S3183" s="9"/>
      <c r="T3183" s="9"/>
      <c r="U3183" s="9" t="str">
        <f aca="false">IF(COUNTIF($A$2:$A$5001,A3183)&gt;1,"Duplicate","Unique")</f>
        <v>Unique</v>
      </c>
      <c r="V3183" s="9" t="str">
        <f aca="false">IF(COUNTIFS($B$2:$B$5001,B3183,$H$2:$H$5001,H3183,$J$2:$J$5001,J3183)&gt;1,"Possible Duplicate Booking","Unique")</f>
        <v>Unique</v>
      </c>
      <c r="W3183" s="9" t="str">
        <f aca="false">IF((H3183-G3183)&lt;&gt;K3183,"Mismatch","OK")</f>
        <v>OK</v>
      </c>
      <c r="X3183" s="9" t="str">
        <f aca="false">IF(TEXT(H3183,"dddd")&lt;&gt;I3183,"Mismatch","OK")</f>
        <v>OK</v>
      </c>
      <c r="Y3183" s="9" t="str">
        <f aca="false">IF(AND(N3183="No",O3183&lt;&gt;""),"Unexpected: channel present but no reminder sent",IF(AND(N3183="Yes",O3183=""),"Missing channel for sent reminder","OK"))</f>
        <v>OK</v>
      </c>
    </row>
    <row r="3184" customFormat="false" ht="15" hidden="false" customHeight="false" outlineLevel="0" collapsed="false">
      <c r="A3184" s="7" t="s">
        <v>4744</v>
      </c>
      <c r="B3184" s="7" t="s">
        <v>2555</v>
      </c>
      <c r="C3184" s="7" t="s">
        <v>47</v>
      </c>
      <c r="D3184" s="7" t="n">
        <v>64</v>
      </c>
      <c r="E3184" s="7" t="s">
        <v>61</v>
      </c>
      <c r="F3184" s="7" t="s">
        <v>49</v>
      </c>
      <c r="G3184" s="8" t="n">
        <v>46020</v>
      </c>
      <c r="H3184" s="8" t="n">
        <v>46065</v>
      </c>
      <c r="I3184" s="7" t="s">
        <v>62</v>
      </c>
      <c r="J3184" s="7" t="s">
        <v>51</v>
      </c>
      <c r="K3184" s="7" t="n">
        <v>45</v>
      </c>
      <c r="L3184" s="7" t="n">
        <v>5</v>
      </c>
      <c r="M3184" s="7" t="n">
        <v>0</v>
      </c>
      <c r="N3184" s="7" t="s">
        <v>42</v>
      </c>
      <c r="O3184" s="7" t="s">
        <v>67</v>
      </c>
      <c r="P3184" s="7" t="n">
        <v>17.3</v>
      </c>
      <c r="Q3184" s="7" t="n">
        <v>32</v>
      </c>
      <c r="R3184" s="7" t="s">
        <v>53</v>
      </c>
      <c r="S3184" s="7"/>
      <c r="T3184" s="7"/>
      <c r="U3184" s="7" t="str">
        <f aca="false">IF(COUNTIF($A$2:$A$5001,A3184)&gt;1,"Duplicate","Unique")</f>
        <v>Unique</v>
      </c>
      <c r="V3184" s="7" t="str">
        <f aca="false">IF(COUNTIFS($B$2:$B$5001,B3184,$H$2:$H$5001,H3184,$J$2:$J$5001,J3184)&gt;1,"Possible Duplicate Booking","Unique")</f>
        <v>Unique</v>
      </c>
      <c r="W3184" s="7" t="str">
        <f aca="false">IF((H3184-G3184)&lt;&gt;K3184,"Mismatch","OK")</f>
        <v>OK</v>
      </c>
      <c r="X3184" s="7" t="str">
        <f aca="false">IF(TEXT(H3184,"dddd")&lt;&gt;I3184,"Mismatch","OK")</f>
        <v>OK</v>
      </c>
      <c r="Y3184" s="7" t="str">
        <f aca="false">IF(AND(N3184="No",O3184&lt;&gt;""),"Unexpected: channel present but no reminder sent",IF(AND(N3184="Yes",O3184=""),"Missing channel for sent reminder","OK"))</f>
        <v>OK</v>
      </c>
    </row>
    <row r="3185" customFormat="false" ht="15" hidden="false" customHeight="false" outlineLevel="0" collapsed="false">
      <c r="A3185" s="9" t="s">
        <v>4745</v>
      </c>
      <c r="B3185" s="9" t="s">
        <v>2038</v>
      </c>
      <c r="C3185" s="9" t="s">
        <v>47</v>
      </c>
      <c r="D3185" s="9" t="n">
        <v>61</v>
      </c>
      <c r="E3185" s="9" t="s">
        <v>61</v>
      </c>
      <c r="F3185" s="9" t="s">
        <v>49</v>
      </c>
      <c r="G3185" s="10" t="n">
        <v>45643</v>
      </c>
      <c r="H3185" s="10" t="n">
        <v>45689</v>
      </c>
      <c r="I3185" s="9" t="s">
        <v>102</v>
      </c>
      <c r="J3185" s="9" t="s">
        <v>41</v>
      </c>
      <c r="K3185" s="9" t="n">
        <v>46</v>
      </c>
      <c r="L3185" s="9" t="n">
        <v>4</v>
      </c>
      <c r="M3185" s="9" t="n">
        <v>0</v>
      </c>
      <c r="N3185" s="9" t="s">
        <v>42</v>
      </c>
      <c r="O3185" s="9" t="s">
        <v>52</v>
      </c>
      <c r="P3185" s="9" t="n">
        <v>21.5</v>
      </c>
      <c r="Q3185" s="9" t="n">
        <v>9</v>
      </c>
      <c r="R3185" s="9" t="s">
        <v>44</v>
      </c>
      <c r="S3185" s="9"/>
      <c r="T3185" s="9"/>
      <c r="U3185" s="9" t="str">
        <f aca="false">IF(COUNTIF($A$2:$A$5001,A3185)&gt;1,"Duplicate","Unique")</f>
        <v>Unique</v>
      </c>
      <c r="V3185" s="9" t="str">
        <f aca="false">IF(COUNTIFS($B$2:$B$5001,B3185,$H$2:$H$5001,H3185,$J$2:$J$5001,J3185)&gt;1,"Possible Duplicate Booking","Unique")</f>
        <v>Unique</v>
      </c>
      <c r="W3185" s="9" t="str">
        <f aca="false">IF((H3185-G3185)&lt;&gt;K3185,"Mismatch","OK")</f>
        <v>OK</v>
      </c>
      <c r="X3185" s="9" t="str">
        <f aca="false">IF(TEXT(H3185,"dddd")&lt;&gt;I3185,"Mismatch","OK")</f>
        <v>OK</v>
      </c>
      <c r="Y3185" s="9" t="str">
        <f aca="false">IF(AND(N3185="No",O3185&lt;&gt;""),"Unexpected: channel present but no reminder sent",IF(AND(N3185="Yes",O3185=""),"Missing channel for sent reminder","OK"))</f>
        <v>OK</v>
      </c>
    </row>
    <row r="3186" customFormat="false" ht="15" hidden="false" customHeight="false" outlineLevel="0" collapsed="false">
      <c r="A3186" s="7" t="s">
        <v>4746</v>
      </c>
      <c r="B3186" s="7" t="s">
        <v>2473</v>
      </c>
      <c r="C3186" s="7" t="s">
        <v>37</v>
      </c>
      <c r="D3186" s="7" t="n">
        <v>43</v>
      </c>
      <c r="E3186" s="7" t="s">
        <v>38</v>
      </c>
      <c r="F3186" s="7" t="s">
        <v>39</v>
      </c>
      <c r="G3186" s="8" t="n">
        <v>45966</v>
      </c>
      <c r="H3186" s="8" t="n">
        <v>46001</v>
      </c>
      <c r="I3186" s="7" t="s">
        <v>58</v>
      </c>
      <c r="J3186" s="7" t="s">
        <v>51</v>
      </c>
      <c r="K3186" s="7" t="n">
        <v>35</v>
      </c>
      <c r="L3186" s="7" t="n">
        <v>1</v>
      </c>
      <c r="M3186" s="7" t="n">
        <v>0</v>
      </c>
      <c r="N3186" s="7" t="s">
        <v>71</v>
      </c>
      <c r="O3186" s="7"/>
      <c r="P3186" s="7" t="n">
        <v>15.3</v>
      </c>
      <c r="Q3186" s="7" t="n">
        <v>13</v>
      </c>
      <c r="R3186" s="7" t="s">
        <v>44</v>
      </c>
      <c r="S3186" s="7"/>
      <c r="T3186" s="7"/>
      <c r="U3186" s="7" t="str">
        <f aca="false">IF(COUNTIF($A$2:$A$5001,A3186)&gt;1,"Duplicate","Unique")</f>
        <v>Unique</v>
      </c>
      <c r="V3186" s="7" t="str">
        <f aca="false">IF(COUNTIFS($B$2:$B$5001,B3186,$H$2:$H$5001,H3186,$J$2:$J$5001,J3186)&gt;1,"Possible Duplicate Booking","Unique")</f>
        <v>Unique</v>
      </c>
      <c r="W3186" s="7" t="str">
        <f aca="false">IF((H3186-G3186)&lt;&gt;K3186,"Mismatch","OK")</f>
        <v>OK</v>
      </c>
      <c r="X3186" s="7" t="str">
        <f aca="false">IF(TEXT(H3186,"dddd")&lt;&gt;I3186,"Mismatch","OK")</f>
        <v>OK</v>
      </c>
      <c r="Y3186" s="7" t="str">
        <f aca="false">IF(AND(N3186="No",O3186&lt;&gt;""),"Unexpected: channel present but no reminder sent",IF(AND(N3186="Yes",O3186=""),"Missing channel for sent reminder","OK"))</f>
        <v>OK</v>
      </c>
    </row>
    <row r="3187" customFormat="false" ht="15" hidden="false" customHeight="false" outlineLevel="0" collapsed="false">
      <c r="A3187" s="9" t="s">
        <v>4747</v>
      </c>
      <c r="B3187" s="9" t="s">
        <v>1911</v>
      </c>
      <c r="C3187" s="9" t="s">
        <v>37</v>
      </c>
      <c r="D3187" s="9" t="n">
        <v>45</v>
      </c>
      <c r="E3187" s="9" t="s">
        <v>56</v>
      </c>
      <c r="F3187" s="9" t="s">
        <v>39</v>
      </c>
      <c r="G3187" s="10" t="n">
        <v>46126</v>
      </c>
      <c r="H3187" s="10" t="n">
        <v>46176</v>
      </c>
      <c r="I3187" s="9" t="s">
        <v>58</v>
      </c>
      <c r="J3187" s="9" t="s">
        <v>51</v>
      </c>
      <c r="K3187" s="9" t="n">
        <v>50</v>
      </c>
      <c r="L3187" s="9" t="n">
        <v>5</v>
      </c>
      <c r="M3187" s="9" t="n">
        <v>1</v>
      </c>
      <c r="N3187" s="9" t="s">
        <v>42</v>
      </c>
      <c r="O3187" s="9" t="s">
        <v>43</v>
      </c>
      <c r="P3187" s="9" t="n">
        <v>13.2</v>
      </c>
      <c r="Q3187" s="9" t="n">
        <v>30</v>
      </c>
      <c r="R3187" s="9" t="s">
        <v>44</v>
      </c>
      <c r="S3187" s="9"/>
      <c r="T3187" s="9"/>
      <c r="U3187" s="9" t="str">
        <f aca="false">IF(COUNTIF($A$2:$A$5001,A3187)&gt;1,"Duplicate","Unique")</f>
        <v>Unique</v>
      </c>
      <c r="V3187" s="9" t="str">
        <f aca="false">IF(COUNTIFS($B$2:$B$5001,B3187,$H$2:$H$5001,H3187,$J$2:$J$5001,J3187)&gt;1,"Possible Duplicate Booking","Unique")</f>
        <v>Unique</v>
      </c>
      <c r="W3187" s="9" t="str">
        <f aca="false">IF((H3187-G3187)&lt;&gt;K3187,"Mismatch","OK")</f>
        <v>OK</v>
      </c>
      <c r="X3187" s="9" t="str">
        <f aca="false">IF(TEXT(H3187,"dddd")&lt;&gt;I3187,"Mismatch","OK")</f>
        <v>OK</v>
      </c>
      <c r="Y3187" s="9" t="str">
        <f aca="false">IF(AND(N3187="No",O3187&lt;&gt;""),"Unexpected: channel present but no reminder sent",IF(AND(N3187="Yes",O3187=""),"Missing channel for sent reminder","OK"))</f>
        <v>OK</v>
      </c>
    </row>
    <row r="3188" customFormat="false" ht="15" hidden="false" customHeight="false" outlineLevel="0" collapsed="false">
      <c r="A3188" s="7" t="s">
        <v>4748</v>
      </c>
      <c r="B3188" s="7" t="s">
        <v>627</v>
      </c>
      <c r="C3188" s="7" t="s">
        <v>47</v>
      </c>
      <c r="D3188" s="7" t="n">
        <v>37</v>
      </c>
      <c r="E3188" s="7" t="s">
        <v>38</v>
      </c>
      <c r="F3188" s="7" t="s">
        <v>49</v>
      </c>
      <c r="G3188" s="8" t="n">
        <v>46049</v>
      </c>
      <c r="H3188" s="8" t="n">
        <v>46075</v>
      </c>
      <c r="I3188" s="7" t="s">
        <v>75</v>
      </c>
      <c r="J3188" s="7" t="s">
        <v>63</v>
      </c>
      <c r="K3188" s="7" t="n">
        <v>26</v>
      </c>
      <c r="L3188" s="7" t="n">
        <v>2</v>
      </c>
      <c r="M3188" s="7" t="n">
        <v>0</v>
      </c>
      <c r="N3188" s="7" t="s">
        <v>42</v>
      </c>
      <c r="O3188" s="7" t="s">
        <v>52</v>
      </c>
      <c r="P3188" s="7" t="n">
        <v>8.1</v>
      </c>
      <c r="Q3188" s="7" t="n">
        <v>2</v>
      </c>
      <c r="R3188" s="7" t="s">
        <v>44</v>
      </c>
      <c r="S3188" s="7"/>
      <c r="T3188" s="7"/>
      <c r="U3188" s="7" t="str">
        <f aca="false">IF(COUNTIF($A$2:$A$5001,A3188)&gt;1,"Duplicate","Unique")</f>
        <v>Unique</v>
      </c>
      <c r="V3188" s="7" t="str">
        <f aca="false">IF(COUNTIFS($B$2:$B$5001,B3188,$H$2:$H$5001,H3188,$J$2:$J$5001,J3188)&gt;1,"Possible Duplicate Booking","Unique")</f>
        <v>Unique</v>
      </c>
      <c r="W3188" s="7" t="str">
        <f aca="false">IF((H3188-G3188)&lt;&gt;K3188,"Mismatch","OK")</f>
        <v>OK</v>
      </c>
      <c r="X3188" s="7" t="str">
        <f aca="false">IF(TEXT(H3188,"dddd")&lt;&gt;I3188,"Mismatch","OK")</f>
        <v>OK</v>
      </c>
      <c r="Y3188" s="7" t="str">
        <f aca="false">IF(AND(N3188="No",O3188&lt;&gt;""),"Unexpected: channel present but no reminder sent",IF(AND(N3188="Yes",O3188=""),"Missing channel for sent reminder","OK"))</f>
        <v>OK</v>
      </c>
    </row>
    <row r="3189" customFormat="false" ht="15" hidden="false" customHeight="false" outlineLevel="0" collapsed="false">
      <c r="A3189" s="9" t="s">
        <v>4749</v>
      </c>
      <c r="B3189" s="9" t="s">
        <v>4750</v>
      </c>
      <c r="C3189" s="9" t="s">
        <v>37</v>
      </c>
      <c r="D3189" s="9" t="n">
        <v>68</v>
      </c>
      <c r="E3189" s="9" t="s">
        <v>70</v>
      </c>
      <c r="F3189" s="9" t="s">
        <v>49</v>
      </c>
      <c r="G3189" s="10" t="n">
        <v>45866</v>
      </c>
      <c r="H3189" s="10" t="n">
        <v>45877</v>
      </c>
      <c r="I3189" s="9" t="s">
        <v>50</v>
      </c>
      <c r="J3189" s="9" t="s">
        <v>51</v>
      </c>
      <c r="K3189" s="9" t="n">
        <v>11</v>
      </c>
      <c r="L3189" s="9" t="n">
        <v>3</v>
      </c>
      <c r="M3189" s="9" t="n">
        <v>1</v>
      </c>
      <c r="N3189" s="9" t="s">
        <v>42</v>
      </c>
      <c r="O3189" s="9" t="s">
        <v>52</v>
      </c>
      <c r="P3189" s="9" t="n">
        <v>13.7</v>
      </c>
      <c r="Q3189" s="9" t="n">
        <v>8</v>
      </c>
      <c r="R3189" s="9" t="s">
        <v>44</v>
      </c>
      <c r="S3189" s="9"/>
      <c r="T3189" s="9"/>
      <c r="U3189" s="9" t="str">
        <f aca="false">IF(COUNTIF($A$2:$A$5001,A3189)&gt;1,"Duplicate","Unique")</f>
        <v>Unique</v>
      </c>
      <c r="V3189" s="9" t="str">
        <f aca="false">IF(COUNTIFS($B$2:$B$5001,B3189,$H$2:$H$5001,H3189,$J$2:$J$5001,J3189)&gt;1,"Possible Duplicate Booking","Unique")</f>
        <v>Unique</v>
      </c>
      <c r="W3189" s="9" t="str">
        <f aca="false">IF((H3189-G3189)&lt;&gt;K3189,"Mismatch","OK")</f>
        <v>OK</v>
      </c>
      <c r="X3189" s="9" t="str">
        <f aca="false">IF(TEXT(H3189,"dddd")&lt;&gt;I3189,"Mismatch","OK")</f>
        <v>OK</v>
      </c>
      <c r="Y3189" s="9" t="str">
        <f aca="false">IF(AND(N3189="No",O3189&lt;&gt;""),"Unexpected: channel present but no reminder sent",IF(AND(N3189="Yes",O3189=""),"Missing channel for sent reminder","OK"))</f>
        <v>OK</v>
      </c>
    </row>
    <row r="3190" customFormat="false" ht="15" hidden="false" customHeight="false" outlineLevel="0" collapsed="false">
      <c r="A3190" s="7" t="s">
        <v>4751</v>
      </c>
      <c r="B3190" s="7" t="s">
        <v>306</v>
      </c>
      <c r="C3190" s="7" t="s">
        <v>47</v>
      </c>
      <c r="D3190" s="7" t="n">
        <v>80</v>
      </c>
      <c r="E3190" s="7" t="s">
        <v>70</v>
      </c>
      <c r="F3190" s="7" t="s">
        <v>39</v>
      </c>
      <c r="G3190" s="8" t="n">
        <v>45681</v>
      </c>
      <c r="H3190" s="8" t="n">
        <v>45690</v>
      </c>
      <c r="I3190" s="7" t="s">
        <v>75</v>
      </c>
      <c r="J3190" s="7" t="s">
        <v>51</v>
      </c>
      <c r="K3190" s="7" t="n">
        <v>9</v>
      </c>
      <c r="L3190" s="7" t="n">
        <v>4</v>
      </c>
      <c r="M3190" s="7" t="n">
        <v>1</v>
      </c>
      <c r="N3190" s="7" t="s">
        <v>42</v>
      </c>
      <c r="O3190" s="7" t="s">
        <v>52</v>
      </c>
      <c r="P3190" s="7" t="n">
        <v>8.9</v>
      </c>
      <c r="Q3190" s="7" t="n">
        <v>23</v>
      </c>
      <c r="R3190" s="7" t="s">
        <v>44</v>
      </c>
      <c r="S3190" s="7"/>
      <c r="T3190" s="7"/>
      <c r="U3190" s="7" t="str">
        <f aca="false">IF(COUNTIF($A$2:$A$5001,A3190)&gt;1,"Duplicate","Unique")</f>
        <v>Unique</v>
      </c>
      <c r="V3190" s="7" t="str">
        <f aca="false">IF(COUNTIFS($B$2:$B$5001,B3190,$H$2:$H$5001,H3190,$J$2:$J$5001,J3190)&gt;1,"Possible Duplicate Booking","Unique")</f>
        <v>Unique</v>
      </c>
      <c r="W3190" s="7" t="str">
        <f aca="false">IF((H3190-G3190)&lt;&gt;K3190,"Mismatch","OK")</f>
        <v>OK</v>
      </c>
      <c r="X3190" s="7" t="str">
        <f aca="false">IF(TEXT(H3190,"dddd")&lt;&gt;I3190,"Mismatch","OK")</f>
        <v>OK</v>
      </c>
      <c r="Y3190" s="7" t="str">
        <f aca="false">IF(AND(N3190="No",O3190&lt;&gt;""),"Unexpected: channel present but no reminder sent",IF(AND(N3190="Yes",O3190=""),"Missing channel for sent reminder","OK"))</f>
        <v>OK</v>
      </c>
    </row>
    <row r="3191" customFormat="false" ht="15" hidden="false" customHeight="false" outlineLevel="0" collapsed="false">
      <c r="A3191" s="9" t="s">
        <v>4752</v>
      </c>
      <c r="B3191" s="9" t="s">
        <v>1016</v>
      </c>
      <c r="C3191" s="9" t="s">
        <v>47</v>
      </c>
      <c r="D3191" s="9" t="n">
        <v>80</v>
      </c>
      <c r="E3191" s="9" t="s">
        <v>70</v>
      </c>
      <c r="F3191" s="9" t="s">
        <v>74</v>
      </c>
      <c r="G3191" s="10" t="n">
        <v>46100</v>
      </c>
      <c r="H3191" s="10" t="n">
        <v>46113</v>
      </c>
      <c r="I3191" s="9" t="s">
        <v>58</v>
      </c>
      <c r="J3191" s="9" t="s">
        <v>63</v>
      </c>
      <c r="K3191" s="9" t="n">
        <v>13</v>
      </c>
      <c r="L3191" s="9" t="n">
        <v>3</v>
      </c>
      <c r="M3191" s="9" t="n">
        <v>0</v>
      </c>
      <c r="N3191" s="9" t="s">
        <v>42</v>
      </c>
      <c r="O3191" s="9" t="s">
        <v>43</v>
      </c>
      <c r="P3191" s="9" t="n">
        <v>3.2</v>
      </c>
      <c r="Q3191" s="9" t="n">
        <v>28</v>
      </c>
      <c r="R3191" s="9" t="s">
        <v>53</v>
      </c>
      <c r="S3191" s="9"/>
      <c r="T3191" s="9"/>
      <c r="U3191" s="9" t="str">
        <f aca="false">IF(COUNTIF($A$2:$A$5001,A3191)&gt;1,"Duplicate","Unique")</f>
        <v>Unique</v>
      </c>
      <c r="V3191" s="9" t="str">
        <f aca="false">IF(COUNTIFS($B$2:$B$5001,B3191,$H$2:$H$5001,H3191,$J$2:$J$5001,J3191)&gt;1,"Possible Duplicate Booking","Unique")</f>
        <v>Unique</v>
      </c>
      <c r="W3191" s="9" t="str">
        <f aca="false">IF((H3191-G3191)&lt;&gt;K3191,"Mismatch","OK")</f>
        <v>OK</v>
      </c>
      <c r="X3191" s="9" t="str">
        <f aca="false">IF(TEXT(H3191,"dddd")&lt;&gt;I3191,"Mismatch","OK")</f>
        <v>OK</v>
      </c>
      <c r="Y3191" s="9" t="str">
        <f aca="false">IF(AND(N3191="No",O3191&lt;&gt;""),"Unexpected: channel present but no reminder sent",IF(AND(N3191="Yes",O3191=""),"Missing channel for sent reminder","OK"))</f>
        <v>OK</v>
      </c>
    </row>
    <row r="3192" customFormat="false" ht="15" hidden="false" customHeight="false" outlineLevel="0" collapsed="false">
      <c r="A3192" s="7" t="s">
        <v>4753</v>
      </c>
      <c r="B3192" s="7" t="s">
        <v>3309</v>
      </c>
      <c r="C3192" s="7" t="s">
        <v>47</v>
      </c>
      <c r="D3192" s="7" t="n">
        <v>66</v>
      </c>
      <c r="E3192" s="7" t="s">
        <v>70</v>
      </c>
      <c r="F3192" s="7" t="s">
        <v>49</v>
      </c>
      <c r="G3192" s="8" t="n">
        <v>45647</v>
      </c>
      <c r="H3192" s="8" t="n">
        <v>45659</v>
      </c>
      <c r="I3192" s="7" t="s">
        <v>62</v>
      </c>
      <c r="J3192" s="7" t="s">
        <v>51</v>
      </c>
      <c r="K3192" s="7" t="n">
        <v>12</v>
      </c>
      <c r="L3192" s="7" t="n">
        <v>3</v>
      </c>
      <c r="M3192" s="7" t="n">
        <v>0</v>
      </c>
      <c r="N3192" s="7" t="s">
        <v>42</v>
      </c>
      <c r="O3192" s="7" t="s">
        <v>43</v>
      </c>
      <c r="P3192" s="7" t="n">
        <v>17.8</v>
      </c>
      <c r="Q3192" s="7" t="n">
        <v>20</v>
      </c>
      <c r="R3192" s="7" t="s">
        <v>44</v>
      </c>
      <c r="S3192" s="7"/>
      <c r="T3192" s="7"/>
      <c r="U3192" s="7" t="str">
        <f aca="false">IF(COUNTIF($A$2:$A$5001,A3192)&gt;1,"Duplicate","Unique")</f>
        <v>Unique</v>
      </c>
      <c r="V3192" s="7" t="str">
        <f aca="false">IF(COUNTIFS($B$2:$B$5001,B3192,$H$2:$H$5001,H3192,$J$2:$J$5001,J3192)&gt;1,"Possible Duplicate Booking","Unique")</f>
        <v>Unique</v>
      </c>
      <c r="W3192" s="7" t="str">
        <f aca="false">IF((H3192-G3192)&lt;&gt;K3192,"Mismatch","OK")</f>
        <v>OK</v>
      </c>
      <c r="X3192" s="7" t="str">
        <f aca="false">IF(TEXT(H3192,"dddd")&lt;&gt;I3192,"Mismatch","OK")</f>
        <v>OK</v>
      </c>
      <c r="Y3192" s="7" t="str">
        <f aca="false">IF(AND(N3192="No",O3192&lt;&gt;""),"Unexpected: channel present but no reminder sent",IF(AND(N3192="Yes",O3192=""),"Missing channel for sent reminder","OK"))</f>
        <v>OK</v>
      </c>
    </row>
    <row r="3193" customFormat="false" ht="15" hidden="false" customHeight="false" outlineLevel="0" collapsed="false">
      <c r="A3193" s="9" t="s">
        <v>4754</v>
      </c>
      <c r="B3193" s="9" t="s">
        <v>1867</v>
      </c>
      <c r="C3193" s="9" t="s">
        <v>37</v>
      </c>
      <c r="D3193" s="9" t="n">
        <v>39</v>
      </c>
      <c r="E3193" s="9" t="s">
        <v>38</v>
      </c>
      <c r="F3193" s="9" t="s">
        <v>39</v>
      </c>
      <c r="G3193" s="10" t="n">
        <v>46011</v>
      </c>
      <c r="H3193" s="10" t="n">
        <v>46030</v>
      </c>
      <c r="I3193" s="9" t="s">
        <v>62</v>
      </c>
      <c r="J3193" s="9" t="s">
        <v>51</v>
      </c>
      <c r="K3193" s="9" t="n">
        <v>19</v>
      </c>
      <c r="L3193" s="9" t="n">
        <v>7</v>
      </c>
      <c r="M3193" s="9" t="n">
        <v>2</v>
      </c>
      <c r="N3193" s="9" t="s">
        <v>71</v>
      </c>
      <c r="O3193" s="9"/>
      <c r="P3193" s="9" t="n">
        <v>1.5</v>
      </c>
      <c r="Q3193" s="9" t="n">
        <v>29</v>
      </c>
      <c r="R3193" s="9" t="s">
        <v>53</v>
      </c>
      <c r="S3193" s="9"/>
      <c r="T3193" s="9"/>
      <c r="U3193" s="9" t="str">
        <f aca="false">IF(COUNTIF($A$2:$A$5001,A3193)&gt;1,"Duplicate","Unique")</f>
        <v>Unique</v>
      </c>
      <c r="V3193" s="9" t="str">
        <f aca="false">IF(COUNTIFS($B$2:$B$5001,B3193,$H$2:$H$5001,H3193,$J$2:$J$5001,J3193)&gt;1,"Possible Duplicate Booking","Unique")</f>
        <v>Unique</v>
      </c>
      <c r="W3193" s="9" t="str">
        <f aca="false">IF((H3193-G3193)&lt;&gt;K3193,"Mismatch","OK")</f>
        <v>OK</v>
      </c>
      <c r="X3193" s="9" t="str">
        <f aca="false">IF(TEXT(H3193,"dddd")&lt;&gt;I3193,"Mismatch","OK")</f>
        <v>OK</v>
      </c>
      <c r="Y3193" s="9" t="str">
        <f aca="false">IF(AND(N3193="No",O3193&lt;&gt;""),"Unexpected: channel present but no reminder sent",IF(AND(N3193="Yes",O3193=""),"Missing channel for sent reminder","OK"))</f>
        <v>OK</v>
      </c>
    </row>
    <row r="3194" customFormat="false" ht="15" hidden="false" customHeight="false" outlineLevel="0" collapsed="false">
      <c r="A3194" s="7" t="s">
        <v>4755</v>
      </c>
      <c r="B3194" s="7" t="s">
        <v>2624</v>
      </c>
      <c r="C3194" s="7" t="s">
        <v>37</v>
      </c>
      <c r="D3194" s="7" t="n">
        <v>67</v>
      </c>
      <c r="E3194" s="7" t="s">
        <v>70</v>
      </c>
      <c r="F3194" s="7" t="s">
        <v>57</v>
      </c>
      <c r="G3194" s="8" t="n">
        <v>46011</v>
      </c>
      <c r="H3194" s="8" t="n">
        <v>46024</v>
      </c>
      <c r="I3194" s="7" t="s">
        <v>50</v>
      </c>
      <c r="J3194" s="7" t="s">
        <v>51</v>
      </c>
      <c r="K3194" s="7" t="n">
        <v>13</v>
      </c>
      <c r="L3194" s="7" t="n">
        <v>1</v>
      </c>
      <c r="M3194" s="7" t="n">
        <v>0</v>
      </c>
      <c r="N3194" s="7" t="s">
        <v>42</v>
      </c>
      <c r="O3194" s="7" t="s">
        <v>43</v>
      </c>
      <c r="P3194" s="7" t="n">
        <v>6.1</v>
      </c>
      <c r="Q3194" s="7" t="n">
        <v>15</v>
      </c>
      <c r="R3194" s="7" t="s">
        <v>44</v>
      </c>
      <c r="S3194" s="7"/>
      <c r="T3194" s="7"/>
      <c r="U3194" s="7" t="str">
        <f aca="false">IF(COUNTIF($A$2:$A$5001,A3194)&gt;1,"Duplicate","Unique")</f>
        <v>Unique</v>
      </c>
      <c r="V3194" s="7" t="str">
        <f aca="false">IF(COUNTIFS($B$2:$B$5001,B3194,$H$2:$H$5001,H3194,$J$2:$J$5001,J3194)&gt;1,"Possible Duplicate Booking","Unique")</f>
        <v>Unique</v>
      </c>
      <c r="W3194" s="7" t="str">
        <f aca="false">IF((H3194-G3194)&lt;&gt;K3194,"Mismatch","OK")</f>
        <v>OK</v>
      </c>
      <c r="X3194" s="7" t="str">
        <f aca="false">IF(TEXT(H3194,"dddd")&lt;&gt;I3194,"Mismatch","OK")</f>
        <v>OK</v>
      </c>
      <c r="Y3194" s="7" t="str">
        <f aca="false">IF(AND(N3194="No",O3194&lt;&gt;""),"Unexpected: channel present but no reminder sent",IF(AND(N3194="Yes",O3194=""),"Missing channel for sent reminder","OK"))</f>
        <v>OK</v>
      </c>
    </row>
    <row r="3195" customFormat="false" ht="15" hidden="false" customHeight="false" outlineLevel="0" collapsed="false">
      <c r="A3195" s="9" t="s">
        <v>4756</v>
      </c>
      <c r="B3195" s="9" t="s">
        <v>1846</v>
      </c>
      <c r="C3195" s="9" t="s">
        <v>47</v>
      </c>
      <c r="D3195" s="9" t="n">
        <v>33</v>
      </c>
      <c r="E3195" s="9" t="s">
        <v>48</v>
      </c>
      <c r="F3195" s="9" t="s">
        <v>57</v>
      </c>
      <c r="G3195" s="10" t="n">
        <v>45726</v>
      </c>
      <c r="H3195" s="10" t="n">
        <v>45762</v>
      </c>
      <c r="I3195" s="9" t="s">
        <v>40</v>
      </c>
      <c r="J3195" s="9" t="s">
        <v>41</v>
      </c>
      <c r="K3195" s="9" t="n">
        <v>36</v>
      </c>
      <c r="L3195" s="9" t="n">
        <v>0</v>
      </c>
      <c r="M3195" s="9" t="n">
        <v>0</v>
      </c>
      <c r="N3195" s="9" t="s">
        <v>42</v>
      </c>
      <c r="O3195" s="9" t="s">
        <v>52</v>
      </c>
      <c r="P3195" s="9" t="n">
        <v>4.8</v>
      </c>
      <c r="Q3195" s="9" t="n">
        <v>41</v>
      </c>
      <c r="R3195" s="9" t="s">
        <v>53</v>
      </c>
      <c r="S3195" s="9"/>
      <c r="T3195" s="9"/>
      <c r="U3195" s="9" t="str">
        <f aca="false">IF(COUNTIF($A$2:$A$5001,A3195)&gt;1,"Duplicate","Unique")</f>
        <v>Unique</v>
      </c>
      <c r="V3195" s="9" t="str">
        <f aca="false">IF(COUNTIFS($B$2:$B$5001,B3195,$H$2:$H$5001,H3195,$J$2:$J$5001,J3195)&gt;1,"Possible Duplicate Booking","Unique")</f>
        <v>Unique</v>
      </c>
      <c r="W3195" s="9" t="str">
        <f aca="false">IF((H3195-G3195)&lt;&gt;K3195,"Mismatch","OK")</f>
        <v>OK</v>
      </c>
      <c r="X3195" s="9" t="str">
        <f aca="false">IF(TEXT(H3195,"dddd")&lt;&gt;I3195,"Mismatch","OK")</f>
        <v>OK</v>
      </c>
      <c r="Y3195" s="9" t="str">
        <f aca="false">IF(AND(N3195="No",O3195&lt;&gt;""),"Unexpected: channel present but no reminder sent",IF(AND(N3195="Yes",O3195=""),"Missing channel for sent reminder","OK"))</f>
        <v>OK</v>
      </c>
    </row>
    <row r="3196" customFormat="false" ht="15" hidden="false" customHeight="false" outlineLevel="0" collapsed="false">
      <c r="A3196" s="7" t="s">
        <v>4757</v>
      </c>
      <c r="B3196" s="7" t="s">
        <v>1561</v>
      </c>
      <c r="C3196" s="7" t="s">
        <v>47</v>
      </c>
      <c r="D3196" s="7" t="n">
        <v>74</v>
      </c>
      <c r="E3196" s="7" t="s">
        <v>70</v>
      </c>
      <c r="F3196" s="7" t="s">
        <v>49</v>
      </c>
      <c r="G3196" s="8" t="n">
        <v>46052</v>
      </c>
      <c r="H3196" s="8" t="n">
        <v>46061</v>
      </c>
      <c r="I3196" s="7" t="s">
        <v>75</v>
      </c>
      <c r="J3196" s="7" t="s">
        <v>63</v>
      </c>
      <c r="K3196" s="7" t="n">
        <v>9</v>
      </c>
      <c r="L3196" s="7" t="n">
        <v>4</v>
      </c>
      <c r="M3196" s="7" t="n">
        <v>0</v>
      </c>
      <c r="N3196" s="7" t="s">
        <v>42</v>
      </c>
      <c r="O3196" s="7" t="s">
        <v>67</v>
      </c>
      <c r="P3196" s="7" t="n">
        <v>9</v>
      </c>
      <c r="Q3196" s="7" t="n">
        <v>34</v>
      </c>
      <c r="R3196" s="7" t="s">
        <v>53</v>
      </c>
      <c r="S3196" s="7"/>
      <c r="T3196" s="7"/>
      <c r="U3196" s="7" t="str">
        <f aca="false">IF(COUNTIF($A$2:$A$5001,A3196)&gt;1,"Duplicate","Unique")</f>
        <v>Unique</v>
      </c>
      <c r="V3196" s="7" t="str">
        <f aca="false">IF(COUNTIFS($B$2:$B$5001,B3196,$H$2:$H$5001,H3196,$J$2:$J$5001,J3196)&gt;1,"Possible Duplicate Booking","Unique")</f>
        <v>Unique</v>
      </c>
      <c r="W3196" s="7" t="str">
        <f aca="false">IF((H3196-G3196)&lt;&gt;K3196,"Mismatch","OK")</f>
        <v>OK</v>
      </c>
      <c r="X3196" s="7" t="str">
        <f aca="false">IF(TEXT(H3196,"dddd")&lt;&gt;I3196,"Mismatch","OK")</f>
        <v>OK</v>
      </c>
      <c r="Y3196" s="7" t="str">
        <f aca="false">IF(AND(N3196="No",O3196&lt;&gt;""),"Unexpected: channel present but no reminder sent",IF(AND(N3196="Yes",O3196=""),"Missing channel for sent reminder","OK"))</f>
        <v>OK</v>
      </c>
    </row>
    <row r="3197" customFormat="false" ht="15" hidden="false" customHeight="false" outlineLevel="0" collapsed="false">
      <c r="A3197" s="9" t="s">
        <v>4758</v>
      </c>
      <c r="B3197" s="9" t="s">
        <v>4759</v>
      </c>
      <c r="C3197" s="9" t="s">
        <v>47</v>
      </c>
      <c r="D3197" s="9" t="n">
        <v>34</v>
      </c>
      <c r="E3197" s="9" t="s">
        <v>48</v>
      </c>
      <c r="F3197" s="9" t="s">
        <v>57</v>
      </c>
      <c r="G3197" s="10" t="n">
        <v>45716</v>
      </c>
      <c r="H3197" s="10" t="n">
        <v>45753</v>
      </c>
      <c r="I3197" s="9" t="s">
        <v>75</v>
      </c>
      <c r="J3197" s="9" t="s">
        <v>41</v>
      </c>
      <c r="K3197" s="9" t="n">
        <v>37</v>
      </c>
      <c r="L3197" s="9" t="n">
        <v>1</v>
      </c>
      <c r="M3197" s="9" t="n">
        <v>0</v>
      </c>
      <c r="N3197" s="9" t="s">
        <v>42</v>
      </c>
      <c r="O3197" s="9" t="s">
        <v>52</v>
      </c>
      <c r="P3197" s="9" t="n">
        <v>15</v>
      </c>
      <c r="Q3197" s="9" t="n">
        <v>15</v>
      </c>
      <c r="R3197" s="9" t="s">
        <v>53</v>
      </c>
      <c r="S3197" s="9"/>
      <c r="T3197" s="9"/>
      <c r="U3197" s="9" t="str">
        <f aca="false">IF(COUNTIF($A$2:$A$5001,A3197)&gt;1,"Duplicate","Unique")</f>
        <v>Unique</v>
      </c>
      <c r="V3197" s="9" t="str">
        <f aca="false">IF(COUNTIFS($B$2:$B$5001,B3197,$H$2:$H$5001,H3197,$J$2:$J$5001,J3197)&gt;1,"Possible Duplicate Booking","Unique")</f>
        <v>Unique</v>
      </c>
      <c r="W3197" s="9" t="str">
        <f aca="false">IF((H3197-G3197)&lt;&gt;K3197,"Mismatch","OK")</f>
        <v>OK</v>
      </c>
      <c r="X3197" s="9" t="str">
        <f aca="false">IF(TEXT(H3197,"dddd")&lt;&gt;I3197,"Mismatch","OK")</f>
        <v>OK</v>
      </c>
      <c r="Y3197" s="9" t="str">
        <f aca="false">IF(AND(N3197="No",O3197&lt;&gt;""),"Unexpected: channel present but no reminder sent",IF(AND(N3197="Yes",O3197=""),"Missing channel for sent reminder","OK"))</f>
        <v>OK</v>
      </c>
    </row>
    <row r="3198" customFormat="false" ht="15" hidden="false" customHeight="false" outlineLevel="0" collapsed="false">
      <c r="A3198" s="7" t="s">
        <v>4760</v>
      </c>
      <c r="B3198" s="7" t="s">
        <v>4761</v>
      </c>
      <c r="C3198" s="7" t="s">
        <v>37</v>
      </c>
      <c r="D3198" s="7" t="n">
        <v>43</v>
      </c>
      <c r="E3198" s="7" t="s">
        <v>38</v>
      </c>
      <c r="F3198" s="7" t="s">
        <v>39</v>
      </c>
      <c r="G3198" s="8" t="n">
        <v>45761</v>
      </c>
      <c r="H3198" s="8" t="n">
        <v>45781</v>
      </c>
      <c r="I3198" s="7" t="s">
        <v>75</v>
      </c>
      <c r="J3198" s="7" t="s">
        <v>63</v>
      </c>
      <c r="K3198" s="7" t="n">
        <v>20</v>
      </c>
      <c r="L3198" s="7" t="n">
        <v>0</v>
      </c>
      <c r="M3198" s="7" t="n">
        <v>0</v>
      </c>
      <c r="N3198" s="7" t="s">
        <v>42</v>
      </c>
      <c r="O3198" s="7" t="s">
        <v>52</v>
      </c>
      <c r="P3198" s="7" t="n">
        <v>12.8</v>
      </c>
      <c r="Q3198" s="7" t="n">
        <v>22</v>
      </c>
      <c r="R3198" s="7" t="s">
        <v>53</v>
      </c>
      <c r="S3198" s="7"/>
      <c r="T3198" s="7"/>
      <c r="U3198" s="7" t="str">
        <f aca="false">IF(COUNTIF($A$2:$A$5001,A3198)&gt;1,"Duplicate","Unique")</f>
        <v>Unique</v>
      </c>
      <c r="V3198" s="7" t="str">
        <f aca="false">IF(COUNTIFS($B$2:$B$5001,B3198,$H$2:$H$5001,H3198,$J$2:$J$5001,J3198)&gt;1,"Possible Duplicate Booking","Unique")</f>
        <v>Unique</v>
      </c>
      <c r="W3198" s="7" t="str">
        <f aca="false">IF((H3198-G3198)&lt;&gt;K3198,"Mismatch","OK")</f>
        <v>OK</v>
      </c>
      <c r="X3198" s="7" t="str">
        <f aca="false">IF(TEXT(H3198,"dddd")&lt;&gt;I3198,"Mismatch","OK")</f>
        <v>OK</v>
      </c>
      <c r="Y3198" s="7" t="str">
        <f aca="false">IF(AND(N3198="No",O3198&lt;&gt;""),"Unexpected: channel present but no reminder sent",IF(AND(N3198="Yes",O3198=""),"Missing channel for sent reminder","OK"))</f>
        <v>OK</v>
      </c>
    </row>
    <row r="3199" customFormat="false" ht="15" hidden="false" customHeight="false" outlineLevel="0" collapsed="false">
      <c r="A3199" s="9" t="s">
        <v>4762</v>
      </c>
      <c r="B3199" s="9" t="s">
        <v>3403</v>
      </c>
      <c r="C3199" s="9" t="s">
        <v>37</v>
      </c>
      <c r="D3199" s="9" t="n">
        <v>23</v>
      </c>
      <c r="E3199" s="9" t="s">
        <v>82</v>
      </c>
      <c r="F3199" s="9" t="s">
        <v>39</v>
      </c>
      <c r="G3199" s="10" t="n">
        <v>46060</v>
      </c>
      <c r="H3199" s="10" t="n">
        <v>46101</v>
      </c>
      <c r="I3199" s="9" t="s">
        <v>50</v>
      </c>
      <c r="J3199" s="9" t="s">
        <v>51</v>
      </c>
      <c r="K3199" s="9" t="n">
        <v>41</v>
      </c>
      <c r="L3199" s="9" t="n">
        <v>2</v>
      </c>
      <c r="M3199" s="9" t="n">
        <v>0</v>
      </c>
      <c r="N3199" s="9" t="s">
        <v>71</v>
      </c>
      <c r="O3199" s="9"/>
      <c r="P3199" s="9" t="n">
        <v>2.1</v>
      </c>
      <c r="Q3199" s="9" t="n">
        <v>2</v>
      </c>
      <c r="R3199" s="9" t="s">
        <v>53</v>
      </c>
      <c r="S3199" s="9"/>
      <c r="T3199" s="9"/>
      <c r="U3199" s="9" t="str">
        <f aca="false">IF(COUNTIF($A$2:$A$5001,A3199)&gt;1,"Duplicate","Unique")</f>
        <v>Unique</v>
      </c>
      <c r="V3199" s="9" t="str">
        <f aca="false">IF(COUNTIFS($B$2:$B$5001,B3199,$H$2:$H$5001,H3199,$J$2:$J$5001,J3199)&gt;1,"Possible Duplicate Booking","Unique")</f>
        <v>Unique</v>
      </c>
      <c r="W3199" s="9" t="str">
        <f aca="false">IF((H3199-G3199)&lt;&gt;K3199,"Mismatch","OK")</f>
        <v>OK</v>
      </c>
      <c r="X3199" s="9" t="str">
        <f aca="false">IF(TEXT(H3199,"dddd")&lt;&gt;I3199,"Mismatch","OK")</f>
        <v>OK</v>
      </c>
      <c r="Y3199" s="9" t="str">
        <f aca="false">IF(AND(N3199="No",O3199&lt;&gt;""),"Unexpected: channel present but no reminder sent",IF(AND(N3199="Yes",O3199=""),"Missing channel for sent reminder","OK"))</f>
        <v>OK</v>
      </c>
    </row>
    <row r="3200" customFormat="false" ht="15" hidden="false" customHeight="false" outlineLevel="0" collapsed="false">
      <c r="A3200" s="7" t="s">
        <v>4763</v>
      </c>
      <c r="B3200" s="7" t="s">
        <v>2132</v>
      </c>
      <c r="C3200" s="7" t="s">
        <v>47</v>
      </c>
      <c r="D3200" s="7" t="n">
        <v>23</v>
      </c>
      <c r="E3200" s="7" t="s">
        <v>82</v>
      </c>
      <c r="F3200" s="7" t="s">
        <v>49</v>
      </c>
      <c r="G3200" s="8" t="n">
        <v>46161</v>
      </c>
      <c r="H3200" s="8" t="n">
        <v>46192</v>
      </c>
      <c r="I3200" s="7" t="s">
        <v>50</v>
      </c>
      <c r="J3200" s="7" t="s">
        <v>41</v>
      </c>
      <c r="K3200" s="7" t="n">
        <v>31</v>
      </c>
      <c r="L3200" s="7" t="n">
        <v>0</v>
      </c>
      <c r="M3200" s="7" t="n">
        <v>0</v>
      </c>
      <c r="N3200" s="7" t="s">
        <v>71</v>
      </c>
      <c r="O3200" s="7"/>
      <c r="P3200" s="7" t="n">
        <v>3.3</v>
      </c>
      <c r="Q3200" s="7" t="n">
        <v>34</v>
      </c>
      <c r="R3200" s="7" t="s">
        <v>44</v>
      </c>
      <c r="S3200" s="7"/>
      <c r="T3200" s="7"/>
      <c r="U3200" s="7" t="str">
        <f aca="false">IF(COUNTIF($A$2:$A$5001,A3200)&gt;1,"Duplicate","Unique")</f>
        <v>Unique</v>
      </c>
      <c r="V3200" s="7" t="str">
        <f aca="false">IF(COUNTIFS($B$2:$B$5001,B3200,$H$2:$H$5001,H3200,$J$2:$J$5001,J3200)&gt;1,"Possible Duplicate Booking","Unique")</f>
        <v>Unique</v>
      </c>
      <c r="W3200" s="7" t="str">
        <f aca="false">IF((H3200-G3200)&lt;&gt;K3200,"Mismatch","OK")</f>
        <v>OK</v>
      </c>
      <c r="X3200" s="7" t="str">
        <f aca="false">IF(TEXT(H3200,"dddd")&lt;&gt;I3200,"Mismatch","OK")</f>
        <v>OK</v>
      </c>
      <c r="Y3200" s="7" t="str">
        <f aca="false">IF(AND(N3200="No",O3200&lt;&gt;""),"Unexpected: channel present but no reminder sent",IF(AND(N3200="Yes",O3200=""),"Missing channel for sent reminder","OK"))</f>
        <v>OK</v>
      </c>
    </row>
    <row r="3201" customFormat="false" ht="15" hidden="false" customHeight="false" outlineLevel="0" collapsed="false">
      <c r="A3201" s="9" t="s">
        <v>4764</v>
      </c>
      <c r="B3201" s="9" t="s">
        <v>1262</v>
      </c>
      <c r="C3201" s="9" t="s">
        <v>47</v>
      </c>
      <c r="D3201" s="9" t="n">
        <v>42</v>
      </c>
      <c r="E3201" s="9" t="s">
        <v>38</v>
      </c>
      <c r="F3201" s="9" t="s">
        <v>49</v>
      </c>
      <c r="G3201" s="10" t="n">
        <v>45747</v>
      </c>
      <c r="H3201" s="10" t="n">
        <v>45802</v>
      </c>
      <c r="I3201" s="9" t="s">
        <v>75</v>
      </c>
      <c r="J3201" s="9" t="s">
        <v>51</v>
      </c>
      <c r="K3201" s="9" t="n">
        <v>55</v>
      </c>
      <c r="L3201" s="9" t="n">
        <v>4</v>
      </c>
      <c r="M3201" s="9" t="n">
        <v>1</v>
      </c>
      <c r="N3201" s="9" t="s">
        <v>42</v>
      </c>
      <c r="O3201" s="9" t="s">
        <v>52</v>
      </c>
      <c r="P3201" s="9" t="n">
        <v>13.2</v>
      </c>
      <c r="Q3201" s="9" t="n">
        <v>10</v>
      </c>
      <c r="R3201" s="9" t="s">
        <v>44</v>
      </c>
      <c r="S3201" s="9"/>
      <c r="T3201" s="9"/>
      <c r="U3201" s="9" t="str">
        <f aca="false">IF(COUNTIF($A$2:$A$5001,A3201)&gt;1,"Duplicate","Unique")</f>
        <v>Unique</v>
      </c>
      <c r="V3201" s="9" t="str">
        <f aca="false">IF(COUNTIFS($B$2:$B$5001,B3201,$H$2:$H$5001,H3201,$J$2:$J$5001,J3201)&gt;1,"Possible Duplicate Booking","Unique")</f>
        <v>Unique</v>
      </c>
      <c r="W3201" s="9" t="str">
        <f aca="false">IF((H3201-G3201)&lt;&gt;K3201,"Mismatch","OK")</f>
        <v>OK</v>
      </c>
      <c r="X3201" s="9" t="str">
        <f aca="false">IF(TEXT(H3201,"dddd")&lt;&gt;I3201,"Mismatch","OK")</f>
        <v>OK</v>
      </c>
      <c r="Y3201" s="9" t="str">
        <f aca="false">IF(AND(N3201="No",O3201&lt;&gt;""),"Unexpected: channel present but no reminder sent",IF(AND(N3201="Yes",O3201=""),"Missing channel for sent reminder","OK"))</f>
        <v>OK</v>
      </c>
    </row>
    <row r="3202" customFormat="false" ht="15" hidden="false" customHeight="false" outlineLevel="0" collapsed="false">
      <c r="A3202" s="7" t="s">
        <v>4765</v>
      </c>
      <c r="B3202" s="7" t="s">
        <v>1963</v>
      </c>
      <c r="C3202" s="7" t="s">
        <v>47</v>
      </c>
      <c r="D3202" s="7" t="n">
        <v>52</v>
      </c>
      <c r="E3202" s="7" t="s">
        <v>56</v>
      </c>
      <c r="F3202" s="7" t="s">
        <v>49</v>
      </c>
      <c r="G3202" s="8" t="n">
        <v>46135</v>
      </c>
      <c r="H3202" s="8" t="n">
        <v>46161</v>
      </c>
      <c r="I3202" s="7" t="s">
        <v>40</v>
      </c>
      <c r="J3202" s="7" t="s">
        <v>63</v>
      </c>
      <c r="K3202" s="7" t="n">
        <v>26</v>
      </c>
      <c r="L3202" s="7" t="n">
        <v>4</v>
      </c>
      <c r="M3202" s="7" t="n">
        <v>1</v>
      </c>
      <c r="N3202" s="7" t="s">
        <v>71</v>
      </c>
      <c r="O3202" s="7"/>
      <c r="P3202" s="7" t="n">
        <v>31.4</v>
      </c>
      <c r="Q3202" s="7" t="n">
        <v>18</v>
      </c>
      <c r="R3202" s="7" t="s">
        <v>53</v>
      </c>
      <c r="S3202" s="7"/>
      <c r="T3202" s="7"/>
      <c r="U3202" s="7" t="str">
        <f aca="false">IF(COUNTIF($A$2:$A$5001,A3202)&gt;1,"Duplicate","Unique")</f>
        <v>Unique</v>
      </c>
      <c r="V3202" s="7" t="str">
        <f aca="false">IF(COUNTIFS($B$2:$B$5001,B3202,$H$2:$H$5001,H3202,$J$2:$J$5001,J3202)&gt;1,"Possible Duplicate Booking","Unique")</f>
        <v>Unique</v>
      </c>
      <c r="W3202" s="7" t="str">
        <f aca="false">IF((H3202-G3202)&lt;&gt;K3202,"Mismatch","OK")</f>
        <v>OK</v>
      </c>
      <c r="X3202" s="7" t="str">
        <f aca="false">IF(TEXT(H3202,"dddd")&lt;&gt;I3202,"Mismatch","OK")</f>
        <v>OK</v>
      </c>
      <c r="Y3202" s="7" t="str">
        <f aca="false">IF(AND(N3202="No",O3202&lt;&gt;""),"Unexpected: channel present but no reminder sent",IF(AND(N3202="Yes",O3202=""),"Missing channel for sent reminder","OK"))</f>
        <v>OK</v>
      </c>
    </row>
    <row r="3203" customFormat="false" ht="15" hidden="false" customHeight="false" outlineLevel="0" collapsed="false">
      <c r="A3203" s="9" t="s">
        <v>4766</v>
      </c>
      <c r="B3203" s="9" t="s">
        <v>980</v>
      </c>
      <c r="C3203" s="9" t="s">
        <v>47</v>
      </c>
      <c r="D3203" s="9" t="n">
        <v>19</v>
      </c>
      <c r="E3203" s="9" t="s">
        <v>82</v>
      </c>
      <c r="F3203" s="9" t="s">
        <v>57</v>
      </c>
      <c r="G3203" s="10" t="n">
        <v>46139</v>
      </c>
      <c r="H3203" s="10" t="n">
        <v>46156</v>
      </c>
      <c r="I3203" s="9" t="s">
        <v>62</v>
      </c>
      <c r="J3203" s="9" t="s">
        <v>63</v>
      </c>
      <c r="K3203" s="9" t="n">
        <v>17</v>
      </c>
      <c r="L3203" s="9" t="n">
        <v>3</v>
      </c>
      <c r="M3203" s="9" t="n">
        <v>0</v>
      </c>
      <c r="N3203" s="9" t="s">
        <v>42</v>
      </c>
      <c r="O3203" s="9" t="s">
        <v>52</v>
      </c>
      <c r="P3203" s="9" t="n">
        <v>5.6</v>
      </c>
      <c r="Q3203" s="9" t="n">
        <v>21</v>
      </c>
      <c r="R3203" s="9" t="s">
        <v>44</v>
      </c>
      <c r="S3203" s="9"/>
      <c r="T3203" s="9"/>
      <c r="U3203" s="9" t="str">
        <f aca="false">IF(COUNTIF($A$2:$A$5001,A3203)&gt;1,"Duplicate","Unique")</f>
        <v>Unique</v>
      </c>
      <c r="V3203" s="9" t="str">
        <f aca="false">IF(COUNTIFS($B$2:$B$5001,B3203,$H$2:$H$5001,H3203,$J$2:$J$5001,J3203)&gt;1,"Possible Duplicate Booking","Unique")</f>
        <v>Unique</v>
      </c>
      <c r="W3203" s="9" t="str">
        <f aca="false">IF((H3203-G3203)&lt;&gt;K3203,"Mismatch","OK")</f>
        <v>OK</v>
      </c>
      <c r="X3203" s="9" t="str">
        <f aca="false">IF(TEXT(H3203,"dddd")&lt;&gt;I3203,"Mismatch","OK")</f>
        <v>OK</v>
      </c>
      <c r="Y3203" s="9" t="str">
        <f aca="false">IF(AND(N3203="No",O3203&lt;&gt;""),"Unexpected: channel present but no reminder sent",IF(AND(N3203="Yes",O3203=""),"Missing channel for sent reminder","OK"))</f>
        <v>OK</v>
      </c>
    </row>
    <row r="3204" customFormat="false" ht="15" hidden="false" customHeight="false" outlineLevel="0" collapsed="false">
      <c r="A3204" s="7" t="s">
        <v>4767</v>
      </c>
      <c r="B3204" s="7" t="s">
        <v>1747</v>
      </c>
      <c r="C3204" s="7" t="s">
        <v>47</v>
      </c>
      <c r="D3204" s="7" t="n">
        <v>71</v>
      </c>
      <c r="E3204" s="7" t="s">
        <v>70</v>
      </c>
      <c r="F3204" s="7" t="s">
        <v>57</v>
      </c>
      <c r="G3204" s="8" t="n">
        <v>46043</v>
      </c>
      <c r="H3204" s="8" t="n">
        <v>46078</v>
      </c>
      <c r="I3204" s="7" t="s">
        <v>58</v>
      </c>
      <c r="J3204" s="7" t="s">
        <v>51</v>
      </c>
      <c r="K3204" s="7" t="n">
        <v>35</v>
      </c>
      <c r="L3204" s="7" t="n">
        <v>1</v>
      </c>
      <c r="M3204" s="7" t="n">
        <v>0</v>
      </c>
      <c r="N3204" s="7" t="s">
        <v>71</v>
      </c>
      <c r="O3204" s="7"/>
      <c r="P3204" s="7" t="n">
        <v>3</v>
      </c>
      <c r="Q3204" s="7" t="n">
        <v>9</v>
      </c>
      <c r="R3204" s="7" t="s">
        <v>44</v>
      </c>
      <c r="S3204" s="7"/>
      <c r="T3204" s="7"/>
      <c r="U3204" s="7" t="str">
        <f aca="false">IF(COUNTIF($A$2:$A$5001,A3204)&gt;1,"Duplicate","Unique")</f>
        <v>Unique</v>
      </c>
      <c r="V3204" s="7" t="str">
        <f aca="false">IF(COUNTIFS($B$2:$B$5001,B3204,$H$2:$H$5001,H3204,$J$2:$J$5001,J3204)&gt;1,"Possible Duplicate Booking","Unique")</f>
        <v>Unique</v>
      </c>
      <c r="W3204" s="7" t="str">
        <f aca="false">IF((H3204-G3204)&lt;&gt;K3204,"Mismatch","OK")</f>
        <v>OK</v>
      </c>
      <c r="X3204" s="7" t="str">
        <f aca="false">IF(TEXT(H3204,"dddd")&lt;&gt;I3204,"Mismatch","OK")</f>
        <v>OK</v>
      </c>
      <c r="Y3204" s="7" t="str">
        <f aca="false">IF(AND(N3204="No",O3204&lt;&gt;""),"Unexpected: channel present but no reminder sent",IF(AND(N3204="Yes",O3204=""),"Missing channel for sent reminder","OK"))</f>
        <v>OK</v>
      </c>
    </row>
    <row r="3205" customFormat="false" ht="15" hidden="false" customHeight="false" outlineLevel="0" collapsed="false">
      <c r="A3205" s="9" t="s">
        <v>4768</v>
      </c>
      <c r="B3205" s="9" t="s">
        <v>2806</v>
      </c>
      <c r="C3205" s="9" t="s">
        <v>47</v>
      </c>
      <c r="D3205" s="9" t="n">
        <v>25</v>
      </c>
      <c r="E3205" s="9" t="s">
        <v>48</v>
      </c>
      <c r="F3205" s="9" t="s">
        <v>39</v>
      </c>
      <c r="G3205" s="10" t="n">
        <v>45694</v>
      </c>
      <c r="H3205" s="10" t="n">
        <v>45734</v>
      </c>
      <c r="I3205" s="9" t="s">
        <v>40</v>
      </c>
      <c r="J3205" s="9" t="s">
        <v>41</v>
      </c>
      <c r="K3205" s="9" t="n">
        <v>40</v>
      </c>
      <c r="L3205" s="9" t="n">
        <v>6</v>
      </c>
      <c r="M3205" s="9" t="n">
        <v>0</v>
      </c>
      <c r="N3205" s="9" t="s">
        <v>42</v>
      </c>
      <c r="O3205" s="9" t="s">
        <v>52</v>
      </c>
      <c r="P3205" s="9" t="n">
        <v>6.6</v>
      </c>
      <c r="Q3205" s="9" t="n">
        <v>15</v>
      </c>
      <c r="R3205" s="9" t="s">
        <v>44</v>
      </c>
      <c r="S3205" s="9"/>
      <c r="T3205" s="9"/>
      <c r="U3205" s="9" t="str">
        <f aca="false">IF(COUNTIF($A$2:$A$5001,A3205)&gt;1,"Duplicate","Unique")</f>
        <v>Unique</v>
      </c>
      <c r="V3205" s="9" t="str">
        <f aca="false">IF(COUNTIFS($B$2:$B$5001,B3205,$H$2:$H$5001,H3205,$J$2:$J$5001,J3205)&gt;1,"Possible Duplicate Booking","Unique")</f>
        <v>Unique</v>
      </c>
      <c r="W3205" s="9" t="str">
        <f aca="false">IF((H3205-G3205)&lt;&gt;K3205,"Mismatch","OK")</f>
        <v>OK</v>
      </c>
      <c r="X3205" s="9" t="str">
        <f aca="false">IF(TEXT(H3205,"dddd")&lt;&gt;I3205,"Mismatch","OK")</f>
        <v>OK</v>
      </c>
      <c r="Y3205" s="9" t="str">
        <f aca="false">IF(AND(N3205="No",O3205&lt;&gt;""),"Unexpected: channel present but no reminder sent",IF(AND(N3205="Yes",O3205=""),"Missing channel for sent reminder","OK"))</f>
        <v>OK</v>
      </c>
    </row>
    <row r="3206" customFormat="false" ht="15" hidden="false" customHeight="false" outlineLevel="0" collapsed="false">
      <c r="A3206" s="7" t="s">
        <v>4769</v>
      </c>
      <c r="B3206" s="7" t="s">
        <v>1939</v>
      </c>
      <c r="C3206" s="7" t="s">
        <v>47</v>
      </c>
      <c r="D3206" s="7" t="n">
        <v>80</v>
      </c>
      <c r="E3206" s="7" t="s">
        <v>70</v>
      </c>
      <c r="F3206" s="7" t="s">
        <v>57</v>
      </c>
      <c r="G3206" s="8" t="n">
        <v>45795</v>
      </c>
      <c r="H3206" s="8" t="n">
        <v>45821</v>
      </c>
      <c r="I3206" s="7" t="s">
        <v>50</v>
      </c>
      <c r="J3206" s="7" t="s">
        <v>41</v>
      </c>
      <c r="K3206" s="7" t="n">
        <v>26</v>
      </c>
      <c r="L3206" s="7" t="n">
        <v>2</v>
      </c>
      <c r="M3206" s="7" t="n">
        <v>0</v>
      </c>
      <c r="N3206" s="7" t="s">
        <v>42</v>
      </c>
      <c r="O3206" s="7" t="s">
        <v>52</v>
      </c>
      <c r="P3206" s="7" t="n">
        <v>2.7</v>
      </c>
      <c r="Q3206" s="7" t="n">
        <v>28</v>
      </c>
      <c r="R3206" s="7" t="s">
        <v>53</v>
      </c>
      <c r="S3206" s="7"/>
      <c r="T3206" s="7"/>
      <c r="U3206" s="7" t="str">
        <f aca="false">IF(COUNTIF($A$2:$A$5001,A3206)&gt;1,"Duplicate","Unique")</f>
        <v>Unique</v>
      </c>
      <c r="V3206" s="7" t="str">
        <f aca="false">IF(COUNTIFS($B$2:$B$5001,B3206,$H$2:$H$5001,H3206,$J$2:$J$5001,J3206)&gt;1,"Possible Duplicate Booking","Unique")</f>
        <v>Unique</v>
      </c>
      <c r="W3206" s="7" t="str">
        <f aca="false">IF((H3206-G3206)&lt;&gt;K3206,"Mismatch","OK")</f>
        <v>OK</v>
      </c>
      <c r="X3206" s="7" t="str">
        <f aca="false">IF(TEXT(H3206,"dddd")&lt;&gt;I3206,"Mismatch","OK")</f>
        <v>OK</v>
      </c>
      <c r="Y3206" s="7" t="str">
        <f aca="false">IF(AND(N3206="No",O3206&lt;&gt;""),"Unexpected: channel present but no reminder sent",IF(AND(N3206="Yes",O3206=""),"Missing channel for sent reminder","OK"))</f>
        <v>OK</v>
      </c>
    </row>
    <row r="3207" customFormat="false" ht="15" hidden="false" customHeight="false" outlineLevel="0" collapsed="false">
      <c r="A3207" s="9" t="s">
        <v>4770</v>
      </c>
      <c r="B3207" s="9" t="s">
        <v>1111</v>
      </c>
      <c r="C3207" s="9" t="s">
        <v>47</v>
      </c>
      <c r="D3207" s="9" t="n">
        <v>35</v>
      </c>
      <c r="E3207" s="9" t="s">
        <v>38</v>
      </c>
      <c r="F3207" s="9" t="s">
        <v>39</v>
      </c>
      <c r="G3207" s="10" t="n">
        <v>45994</v>
      </c>
      <c r="H3207" s="10" t="n">
        <v>46028</v>
      </c>
      <c r="I3207" s="9" t="s">
        <v>40</v>
      </c>
      <c r="J3207" s="9" t="s">
        <v>51</v>
      </c>
      <c r="K3207" s="9" t="n">
        <v>34</v>
      </c>
      <c r="L3207" s="9" t="n">
        <v>2</v>
      </c>
      <c r="M3207" s="9" t="n">
        <v>0</v>
      </c>
      <c r="N3207" s="9" t="s">
        <v>42</v>
      </c>
      <c r="O3207" s="9" t="s">
        <v>67</v>
      </c>
      <c r="P3207" s="9" t="n">
        <v>7.6</v>
      </c>
      <c r="Q3207" s="9" t="n">
        <v>19</v>
      </c>
      <c r="R3207" s="9" t="s">
        <v>53</v>
      </c>
      <c r="S3207" s="9"/>
      <c r="T3207" s="9"/>
      <c r="U3207" s="9" t="str">
        <f aca="false">IF(COUNTIF($A$2:$A$5001,A3207)&gt;1,"Duplicate","Unique")</f>
        <v>Unique</v>
      </c>
      <c r="V3207" s="9" t="str">
        <f aca="false">IF(COUNTIFS($B$2:$B$5001,B3207,$H$2:$H$5001,H3207,$J$2:$J$5001,J3207)&gt;1,"Possible Duplicate Booking","Unique")</f>
        <v>Unique</v>
      </c>
      <c r="W3207" s="9" t="str">
        <f aca="false">IF((H3207-G3207)&lt;&gt;K3207,"Mismatch","OK")</f>
        <v>OK</v>
      </c>
      <c r="X3207" s="9" t="str">
        <f aca="false">IF(TEXT(H3207,"dddd")&lt;&gt;I3207,"Mismatch","OK")</f>
        <v>OK</v>
      </c>
      <c r="Y3207" s="9" t="str">
        <f aca="false">IF(AND(N3207="No",O3207&lt;&gt;""),"Unexpected: channel present but no reminder sent",IF(AND(N3207="Yes",O3207=""),"Missing channel for sent reminder","OK"))</f>
        <v>OK</v>
      </c>
    </row>
    <row r="3208" customFormat="false" ht="15" hidden="false" customHeight="false" outlineLevel="0" collapsed="false">
      <c r="A3208" s="7" t="s">
        <v>4771</v>
      </c>
      <c r="B3208" s="7" t="s">
        <v>2409</v>
      </c>
      <c r="C3208" s="7" t="s">
        <v>47</v>
      </c>
      <c r="D3208" s="7" t="n">
        <v>41</v>
      </c>
      <c r="E3208" s="7" t="s">
        <v>38</v>
      </c>
      <c r="F3208" s="7" t="s">
        <v>74</v>
      </c>
      <c r="G3208" s="8" t="n">
        <v>46175</v>
      </c>
      <c r="H3208" s="8" t="n">
        <v>46203</v>
      </c>
      <c r="I3208" s="7" t="s">
        <v>40</v>
      </c>
      <c r="J3208" s="7" t="s">
        <v>41</v>
      </c>
      <c r="K3208" s="7" t="n">
        <v>28</v>
      </c>
      <c r="L3208" s="7" t="n">
        <v>2</v>
      </c>
      <c r="M3208" s="7" t="n">
        <v>1</v>
      </c>
      <c r="N3208" s="7" t="s">
        <v>42</v>
      </c>
      <c r="O3208" s="7" t="s">
        <v>52</v>
      </c>
      <c r="P3208" s="7" t="n">
        <v>9.1</v>
      </c>
      <c r="Q3208" s="7" t="n">
        <v>34</v>
      </c>
      <c r="R3208" s="7" t="s">
        <v>53</v>
      </c>
      <c r="S3208" s="7"/>
      <c r="T3208" s="7"/>
      <c r="U3208" s="7" t="str">
        <f aca="false">IF(COUNTIF($A$2:$A$5001,A3208)&gt;1,"Duplicate","Unique")</f>
        <v>Unique</v>
      </c>
      <c r="V3208" s="7" t="str">
        <f aca="false">IF(COUNTIFS($B$2:$B$5001,B3208,$H$2:$H$5001,H3208,$J$2:$J$5001,J3208)&gt;1,"Possible Duplicate Booking","Unique")</f>
        <v>Unique</v>
      </c>
      <c r="W3208" s="7" t="str">
        <f aca="false">IF((H3208-G3208)&lt;&gt;K3208,"Mismatch","OK")</f>
        <v>OK</v>
      </c>
      <c r="X3208" s="7" t="str">
        <f aca="false">IF(TEXT(H3208,"dddd")&lt;&gt;I3208,"Mismatch","OK")</f>
        <v>OK</v>
      </c>
      <c r="Y3208" s="7" t="str">
        <f aca="false">IF(AND(N3208="No",O3208&lt;&gt;""),"Unexpected: channel present but no reminder sent",IF(AND(N3208="Yes",O3208=""),"Missing channel for sent reminder","OK"))</f>
        <v>OK</v>
      </c>
    </row>
    <row r="3209" customFormat="false" ht="15" hidden="false" customHeight="false" outlineLevel="0" collapsed="false">
      <c r="A3209" s="9" t="s">
        <v>4772</v>
      </c>
      <c r="B3209" s="9" t="s">
        <v>4773</v>
      </c>
      <c r="C3209" s="9" t="s">
        <v>37</v>
      </c>
      <c r="D3209" s="9" t="n">
        <v>28</v>
      </c>
      <c r="E3209" s="9" t="s">
        <v>48</v>
      </c>
      <c r="F3209" s="9" t="s">
        <v>39</v>
      </c>
      <c r="G3209" s="10" t="n">
        <v>46084</v>
      </c>
      <c r="H3209" s="10" t="n">
        <v>46102</v>
      </c>
      <c r="I3209" s="9" t="s">
        <v>102</v>
      </c>
      <c r="J3209" s="9" t="s">
        <v>63</v>
      </c>
      <c r="K3209" s="9" t="n">
        <v>18</v>
      </c>
      <c r="L3209" s="9" t="n">
        <v>2</v>
      </c>
      <c r="M3209" s="9" t="n">
        <v>0</v>
      </c>
      <c r="N3209" s="9" t="s">
        <v>42</v>
      </c>
      <c r="O3209" s="9" t="s">
        <v>52</v>
      </c>
      <c r="P3209" s="9" t="n">
        <v>17.1</v>
      </c>
      <c r="Q3209" s="9" t="n">
        <v>32</v>
      </c>
      <c r="R3209" s="9" t="s">
        <v>44</v>
      </c>
      <c r="S3209" s="9"/>
      <c r="T3209" s="9"/>
      <c r="U3209" s="9" t="str">
        <f aca="false">IF(COUNTIF($A$2:$A$5001,A3209)&gt;1,"Duplicate","Unique")</f>
        <v>Unique</v>
      </c>
      <c r="V3209" s="9" t="str">
        <f aca="false">IF(COUNTIFS($B$2:$B$5001,B3209,$H$2:$H$5001,H3209,$J$2:$J$5001,J3209)&gt;1,"Possible Duplicate Booking","Unique")</f>
        <v>Unique</v>
      </c>
      <c r="W3209" s="9" t="str">
        <f aca="false">IF((H3209-G3209)&lt;&gt;K3209,"Mismatch","OK")</f>
        <v>OK</v>
      </c>
      <c r="X3209" s="9" t="str">
        <f aca="false">IF(TEXT(H3209,"dddd")&lt;&gt;I3209,"Mismatch","OK")</f>
        <v>OK</v>
      </c>
      <c r="Y3209" s="9" t="str">
        <f aca="false">IF(AND(N3209="No",O3209&lt;&gt;""),"Unexpected: channel present but no reminder sent",IF(AND(N3209="Yes",O3209=""),"Missing channel for sent reminder","OK"))</f>
        <v>OK</v>
      </c>
    </row>
    <row r="3210" customFormat="false" ht="15" hidden="false" customHeight="false" outlineLevel="0" collapsed="false">
      <c r="A3210" s="7" t="s">
        <v>4774</v>
      </c>
      <c r="B3210" s="7" t="s">
        <v>657</v>
      </c>
      <c r="C3210" s="7" t="s">
        <v>47</v>
      </c>
      <c r="D3210" s="7" t="n">
        <v>69</v>
      </c>
      <c r="E3210" s="7" t="s">
        <v>70</v>
      </c>
      <c r="F3210" s="7" t="s">
        <v>39</v>
      </c>
      <c r="G3210" s="8" t="n">
        <v>45868</v>
      </c>
      <c r="H3210" s="8" t="n">
        <v>45887</v>
      </c>
      <c r="I3210" s="7" t="s">
        <v>66</v>
      </c>
      <c r="J3210" s="7" t="s">
        <v>51</v>
      </c>
      <c r="K3210" s="7" t="n">
        <v>19</v>
      </c>
      <c r="L3210" s="7" t="n">
        <v>3</v>
      </c>
      <c r="M3210" s="7" t="n">
        <v>1</v>
      </c>
      <c r="N3210" s="7" t="s">
        <v>42</v>
      </c>
      <c r="O3210" s="7" t="s">
        <v>52</v>
      </c>
      <c r="P3210" s="7" t="n">
        <v>12.1</v>
      </c>
      <c r="Q3210" s="7" t="n">
        <v>15</v>
      </c>
      <c r="R3210" s="7" t="s">
        <v>53</v>
      </c>
      <c r="S3210" s="7"/>
      <c r="T3210" s="7"/>
      <c r="U3210" s="7" t="str">
        <f aca="false">IF(COUNTIF($A$2:$A$5001,A3210)&gt;1,"Duplicate","Unique")</f>
        <v>Unique</v>
      </c>
      <c r="V3210" s="7" t="str">
        <f aca="false">IF(COUNTIFS($B$2:$B$5001,B3210,$H$2:$H$5001,H3210,$J$2:$J$5001,J3210)&gt;1,"Possible Duplicate Booking","Unique")</f>
        <v>Unique</v>
      </c>
      <c r="W3210" s="7" t="str">
        <f aca="false">IF((H3210-G3210)&lt;&gt;K3210,"Mismatch","OK")</f>
        <v>OK</v>
      </c>
      <c r="X3210" s="7" t="str">
        <f aca="false">IF(TEXT(H3210,"dddd")&lt;&gt;I3210,"Mismatch","OK")</f>
        <v>OK</v>
      </c>
      <c r="Y3210" s="7" t="str">
        <f aca="false">IF(AND(N3210="No",O3210&lt;&gt;""),"Unexpected: channel present but no reminder sent",IF(AND(N3210="Yes",O3210=""),"Missing channel for sent reminder","OK"))</f>
        <v>OK</v>
      </c>
    </row>
    <row r="3211" customFormat="false" ht="15" hidden="false" customHeight="false" outlineLevel="0" collapsed="false">
      <c r="A3211" s="9" t="s">
        <v>4775</v>
      </c>
      <c r="B3211" s="9" t="s">
        <v>4370</v>
      </c>
      <c r="C3211" s="9" t="s">
        <v>47</v>
      </c>
      <c r="D3211" s="9" t="n">
        <v>64</v>
      </c>
      <c r="E3211" s="9" t="s">
        <v>61</v>
      </c>
      <c r="F3211" s="9" t="s">
        <v>39</v>
      </c>
      <c r="G3211" s="10" t="n">
        <v>45731</v>
      </c>
      <c r="H3211" s="10" t="n">
        <v>45786</v>
      </c>
      <c r="I3211" s="9" t="s">
        <v>50</v>
      </c>
      <c r="J3211" s="9" t="s">
        <v>51</v>
      </c>
      <c r="K3211" s="9" t="n">
        <v>55</v>
      </c>
      <c r="L3211" s="9" t="n">
        <v>0</v>
      </c>
      <c r="M3211" s="9" t="n">
        <v>0</v>
      </c>
      <c r="N3211" s="9" t="s">
        <v>42</v>
      </c>
      <c r="O3211" s="9" t="s">
        <v>43</v>
      </c>
      <c r="P3211" s="9" t="n">
        <v>14.6</v>
      </c>
      <c r="Q3211" s="9" t="n">
        <v>19</v>
      </c>
      <c r="R3211" s="9" t="s">
        <v>44</v>
      </c>
      <c r="S3211" s="9"/>
      <c r="T3211" s="9"/>
      <c r="U3211" s="9" t="str">
        <f aca="false">IF(COUNTIF($A$2:$A$5001,A3211)&gt;1,"Duplicate","Unique")</f>
        <v>Unique</v>
      </c>
      <c r="V3211" s="9" t="str">
        <f aca="false">IF(COUNTIFS($B$2:$B$5001,B3211,$H$2:$H$5001,H3211,$J$2:$J$5001,J3211)&gt;1,"Possible Duplicate Booking","Unique")</f>
        <v>Unique</v>
      </c>
      <c r="W3211" s="9" t="str">
        <f aca="false">IF((H3211-G3211)&lt;&gt;K3211,"Mismatch","OK")</f>
        <v>OK</v>
      </c>
      <c r="X3211" s="9" t="str">
        <f aca="false">IF(TEXT(H3211,"dddd")&lt;&gt;I3211,"Mismatch","OK")</f>
        <v>OK</v>
      </c>
      <c r="Y3211" s="9" t="str">
        <f aca="false">IF(AND(N3211="No",O3211&lt;&gt;""),"Unexpected: channel present but no reminder sent",IF(AND(N3211="Yes",O3211=""),"Missing channel for sent reminder","OK"))</f>
        <v>OK</v>
      </c>
    </row>
    <row r="3212" customFormat="false" ht="15" hidden="false" customHeight="false" outlineLevel="0" collapsed="false">
      <c r="A3212" s="7" t="s">
        <v>4776</v>
      </c>
      <c r="B3212" s="7" t="s">
        <v>4777</v>
      </c>
      <c r="C3212" s="7" t="s">
        <v>47</v>
      </c>
      <c r="D3212" s="7" t="n">
        <v>22</v>
      </c>
      <c r="E3212" s="7" t="s">
        <v>82</v>
      </c>
      <c r="F3212" s="7" t="s">
        <v>49</v>
      </c>
      <c r="G3212" s="8" t="n">
        <v>46141</v>
      </c>
      <c r="H3212" s="8" t="n">
        <v>46182</v>
      </c>
      <c r="I3212" s="7" t="s">
        <v>40</v>
      </c>
      <c r="J3212" s="7" t="s">
        <v>63</v>
      </c>
      <c r="K3212" s="7" t="n">
        <v>41</v>
      </c>
      <c r="L3212" s="7" t="n">
        <v>2</v>
      </c>
      <c r="M3212" s="7" t="n">
        <v>0</v>
      </c>
      <c r="N3212" s="7" t="s">
        <v>42</v>
      </c>
      <c r="O3212" s="7" t="s">
        <v>43</v>
      </c>
      <c r="P3212" s="7" t="n">
        <v>7.6</v>
      </c>
      <c r="Q3212" s="7" t="n">
        <v>19</v>
      </c>
      <c r="R3212" s="7" t="s">
        <v>53</v>
      </c>
      <c r="S3212" s="7"/>
      <c r="T3212" s="7"/>
      <c r="U3212" s="7" t="str">
        <f aca="false">IF(COUNTIF($A$2:$A$5001,A3212)&gt;1,"Duplicate","Unique")</f>
        <v>Unique</v>
      </c>
      <c r="V3212" s="7" t="str">
        <f aca="false">IF(COUNTIFS($B$2:$B$5001,B3212,$H$2:$H$5001,H3212,$J$2:$J$5001,J3212)&gt;1,"Possible Duplicate Booking","Unique")</f>
        <v>Unique</v>
      </c>
      <c r="W3212" s="7" t="str">
        <f aca="false">IF((H3212-G3212)&lt;&gt;K3212,"Mismatch","OK")</f>
        <v>OK</v>
      </c>
      <c r="X3212" s="7" t="str">
        <f aca="false">IF(TEXT(H3212,"dddd")&lt;&gt;I3212,"Mismatch","OK")</f>
        <v>OK</v>
      </c>
      <c r="Y3212" s="7" t="str">
        <f aca="false">IF(AND(N3212="No",O3212&lt;&gt;""),"Unexpected: channel present but no reminder sent",IF(AND(N3212="Yes",O3212=""),"Missing channel for sent reminder","OK"))</f>
        <v>OK</v>
      </c>
    </row>
    <row r="3213" customFormat="false" ht="15" hidden="false" customHeight="false" outlineLevel="0" collapsed="false">
      <c r="A3213" s="9" t="s">
        <v>4778</v>
      </c>
      <c r="B3213" s="9" t="s">
        <v>580</v>
      </c>
      <c r="C3213" s="9" t="s">
        <v>37</v>
      </c>
      <c r="D3213" s="9" t="n">
        <v>24</v>
      </c>
      <c r="E3213" s="9" t="s">
        <v>82</v>
      </c>
      <c r="F3213" s="9" t="s">
        <v>39</v>
      </c>
      <c r="G3213" s="10" t="n">
        <v>45803</v>
      </c>
      <c r="H3213" s="10" t="n">
        <v>45808</v>
      </c>
      <c r="I3213" s="9" t="s">
        <v>102</v>
      </c>
      <c r="J3213" s="9" t="s">
        <v>51</v>
      </c>
      <c r="K3213" s="9" t="n">
        <v>5</v>
      </c>
      <c r="L3213" s="9" t="n">
        <v>3</v>
      </c>
      <c r="M3213" s="9" t="n">
        <v>1</v>
      </c>
      <c r="N3213" s="9" t="s">
        <v>42</v>
      </c>
      <c r="O3213" s="9" t="s">
        <v>67</v>
      </c>
      <c r="P3213" s="9" t="n">
        <v>24.9</v>
      </c>
      <c r="Q3213" s="9" t="n">
        <v>20</v>
      </c>
      <c r="R3213" s="9" t="s">
        <v>53</v>
      </c>
      <c r="S3213" s="9"/>
      <c r="T3213" s="9"/>
      <c r="U3213" s="9" t="str">
        <f aca="false">IF(COUNTIF($A$2:$A$5001,A3213)&gt;1,"Duplicate","Unique")</f>
        <v>Unique</v>
      </c>
      <c r="V3213" s="9" t="str">
        <f aca="false">IF(COUNTIFS($B$2:$B$5001,B3213,$H$2:$H$5001,H3213,$J$2:$J$5001,J3213)&gt;1,"Possible Duplicate Booking","Unique")</f>
        <v>Unique</v>
      </c>
      <c r="W3213" s="9" t="str">
        <f aca="false">IF((H3213-G3213)&lt;&gt;K3213,"Mismatch","OK")</f>
        <v>OK</v>
      </c>
      <c r="X3213" s="9" t="str">
        <f aca="false">IF(TEXT(H3213,"dddd")&lt;&gt;I3213,"Mismatch","OK")</f>
        <v>OK</v>
      </c>
      <c r="Y3213" s="9" t="str">
        <f aca="false">IF(AND(N3213="No",O3213&lt;&gt;""),"Unexpected: channel present but no reminder sent",IF(AND(N3213="Yes",O3213=""),"Missing channel for sent reminder","OK"))</f>
        <v>OK</v>
      </c>
    </row>
    <row r="3214" customFormat="false" ht="15" hidden="false" customHeight="false" outlineLevel="0" collapsed="false">
      <c r="A3214" s="7" t="s">
        <v>4779</v>
      </c>
      <c r="B3214" s="7" t="s">
        <v>209</v>
      </c>
      <c r="C3214" s="7" t="s">
        <v>37</v>
      </c>
      <c r="D3214" s="7" t="n">
        <v>56</v>
      </c>
      <c r="E3214" s="7" t="s">
        <v>61</v>
      </c>
      <c r="F3214" s="7" t="s">
        <v>39</v>
      </c>
      <c r="G3214" s="8" t="n">
        <v>45786</v>
      </c>
      <c r="H3214" s="8" t="n">
        <v>45844</v>
      </c>
      <c r="I3214" s="7" t="s">
        <v>75</v>
      </c>
      <c r="J3214" s="7" t="s">
        <v>51</v>
      </c>
      <c r="K3214" s="7" t="n">
        <v>58</v>
      </c>
      <c r="L3214" s="7" t="n">
        <v>3</v>
      </c>
      <c r="M3214" s="7" t="n">
        <v>1</v>
      </c>
      <c r="N3214" s="7" t="s">
        <v>42</v>
      </c>
      <c r="O3214" s="7" t="s">
        <v>43</v>
      </c>
      <c r="P3214" s="7" t="n">
        <v>2.7</v>
      </c>
      <c r="Q3214" s="7" t="n">
        <v>40</v>
      </c>
      <c r="R3214" s="7" t="s">
        <v>44</v>
      </c>
      <c r="S3214" s="7"/>
      <c r="T3214" s="7"/>
      <c r="U3214" s="7" t="str">
        <f aca="false">IF(COUNTIF($A$2:$A$5001,A3214)&gt;1,"Duplicate","Unique")</f>
        <v>Unique</v>
      </c>
      <c r="V3214" s="7" t="str">
        <f aca="false">IF(COUNTIFS($B$2:$B$5001,B3214,$H$2:$H$5001,H3214,$J$2:$J$5001,J3214)&gt;1,"Possible Duplicate Booking","Unique")</f>
        <v>Unique</v>
      </c>
      <c r="W3214" s="7" t="str">
        <f aca="false">IF((H3214-G3214)&lt;&gt;K3214,"Mismatch","OK")</f>
        <v>OK</v>
      </c>
      <c r="X3214" s="7" t="str">
        <f aca="false">IF(TEXT(H3214,"dddd")&lt;&gt;I3214,"Mismatch","OK")</f>
        <v>OK</v>
      </c>
      <c r="Y3214" s="7" t="str">
        <f aca="false">IF(AND(N3214="No",O3214&lt;&gt;""),"Unexpected: channel present but no reminder sent",IF(AND(N3214="Yes",O3214=""),"Missing channel for sent reminder","OK"))</f>
        <v>OK</v>
      </c>
    </row>
    <row r="3215" customFormat="false" ht="15" hidden="false" customHeight="false" outlineLevel="0" collapsed="false">
      <c r="A3215" s="9" t="s">
        <v>4780</v>
      </c>
      <c r="B3215" s="9" t="s">
        <v>1216</v>
      </c>
      <c r="C3215" s="9" t="s">
        <v>47</v>
      </c>
      <c r="D3215" s="9" t="n">
        <v>72</v>
      </c>
      <c r="E3215" s="9" t="s">
        <v>70</v>
      </c>
      <c r="F3215" s="9" t="s">
        <v>57</v>
      </c>
      <c r="G3215" s="10" t="n">
        <v>46141</v>
      </c>
      <c r="H3215" s="10" t="n">
        <v>46184</v>
      </c>
      <c r="I3215" s="9" t="s">
        <v>62</v>
      </c>
      <c r="J3215" s="9" t="s">
        <v>41</v>
      </c>
      <c r="K3215" s="9" t="n">
        <v>43</v>
      </c>
      <c r="L3215" s="9" t="n">
        <v>2</v>
      </c>
      <c r="M3215" s="9" t="n">
        <v>0</v>
      </c>
      <c r="N3215" s="9" t="s">
        <v>71</v>
      </c>
      <c r="O3215" s="9"/>
      <c r="P3215" s="9" t="n">
        <v>7.8</v>
      </c>
      <c r="Q3215" s="9" t="n">
        <v>26</v>
      </c>
      <c r="R3215" s="9" t="s">
        <v>87</v>
      </c>
      <c r="S3215" s="9"/>
      <c r="T3215" s="9"/>
      <c r="U3215" s="9" t="str">
        <f aca="false">IF(COUNTIF($A$2:$A$5001,A3215)&gt;1,"Duplicate","Unique")</f>
        <v>Unique</v>
      </c>
      <c r="V3215" s="9" t="str">
        <f aca="false">IF(COUNTIFS($B$2:$B$5001,B3215,$H$2:$H$5001,H3215,$J$2:$J$5001,J3215)&gt;1,"Possible Duplicate Booking","Unique")</f>
        <v>Unique</v>
      </c>
      <c r="W3215" s="9" t="str">
        <f aca="false">IF((H3215-G3215)&lt;&gt;K3215,"Mismatch","OK")</f>
        <v>OK</v>
      </c>
      <c r="X3215" s="9" t="str">
        <f aca="false">IF(TEXT(H3215,"dddd")&lt;&gt;I3215,"Mismatch","OK")</f>
        <v>OK</v>
      </c>
      <c r="Y3215" s="9" t="str">
        <f aca="false">IF(AND(N3215="No",O3215&lt;&gt;""),"Unexpected: channel present but no reminder sent",IF(AND(N3215="Yes",O3215=""),"Missing channel for sent reminder","OK"))</f>
        <v>OK</v>
      </c>
    </row>
    <row r="3216" customFormat="false" ht="15" hidden="false" customHeight="false" outlineLevel="0" collapsed="false">
      <c r="A3216" s="7" t="s">
        <v>4781</v>
      </c>
      <c r="B3216" s="7" t="s">
        <v>3886</v>
      </c>
      <c r="C3216" s="7" t="s">
        <v>47</v>
      </c>
      <c r="D3216" s="7" t="n">
        <v>24</v>
      </c>
      <c r="E3216" s="7" t="s">
        <v>82</v>
      </c>
      <c r="F3216" s="7" t="s">
        <v>39</v>
      </c>
      <c r="G3216" s="8" t="n">
        <v>45961</v>
      </c>
      <c r="H3216" s="8" t="n">
        <v>45964</v>
      </c>
      <c r="I3216" s="7" t="s">
        <v>66</v>
      </c>
      <c r="J3216" s="7" t="s">
        <v>41</v>
      </c>
      <c r="K3216" s="7" t="n">
        <v>3</v>
      </c>
      <c r="L3216" s="7" t="n">
        <v>2</v>
      </c>
      <c r="M3216" s="7" t="n">
        <v>0</v>
      </c>
      <c r="N3216" s="7" t="s">
        <v>42</v>
      </c>
      <c r="O3216" s="7" t="s">
        <v>43</v>
      </c>
      <c r="P3216" s="7" t="n">
        <v>7.6</v>
      </c>
      <c r="Q3216" s="7" t="n">
        <v>6</v>
      </c>
      <c r="R3216" s="7" t="s">
        <v>53</v>
      </c>
      <c r="S3216" s="7"/>
      <c r="T3216" s="7"/>
      <c r="U3216" s="7" t="str">
        <f aca="false">IF(COUNTIF($A$2:$A$5001,A3216)&gt;1,"Duplicate","Unique")</f>
        <v>Unique</v>
      </c>
      <c r="V3216" s="7" t="str">
        <f aca="false">IF(COUNTIFS($B$2:$B$5001,B3216,$H$2:$H$5001,H3216,$J$2:$J$5001,J3216)&gt;1,"Possible Duplicate Booking","Unique")</f>
        <v>Unique</v>
      </c>
      <c r="W3216" s="7" t="str">
        <f aca="false">IF((H3216-G3216)&lt;&gt;K3216,"Mismatch","OK")</f>
        <v>OK</v>
      </c>
      <c r="X3216" s="7" t="str">
        <f aca="false">IF(TEXT(H3216,"dddd")&lt;&gt;I3216,"Mismatch","OK")</f>
        <v>OK</v>
      </c>
      <c r="Y3216" s="7" t="str">
        <f aca="false">IF(AND(N3216="No",O3216&lt;&gt;""),"Unexpected: channel present but no reminder sent",IF(AND(N3216="Yes",O3216=""),"Missing channel for sent reminder","OK"))</f>
        <v>OK</v>
      </c>
    </row>
    <row r="3217" customFormat="false" ht="15" hidden="false" customHeight="false" outlineLevel="0" collapsed="false">
      <c r="A3217" s="9" t="s">
        <v>4782</v>
      </c>
      <c r="B3217" s="9" t="s">
        <v>4783</v>
      </c>
      <c r="C3217" s="9" t="s">
        <v>37</v>
      </c>
      <c r="D3217" s="9" t="n">
        <v>31</v>
      </c>
      <c r="E3217" s="9" t="s">
        <v>48</v>
      </c>
      <c r="F3217" s="9" t="s">
        <v>57</v>
      </c>
      <c r="G3217" s="10" t="n">
        <v>45758</v>
      </c>
      <c r="H3217" s="10" t="n">
        <v>45802</v>
      </c>
      <c r="I3217" s="9" t="s">
        <v>75</v>
      </c>
      <c r="J3217" s="9" t="s">
        <v>51</v>
      </c>
      <c r="K3217" s="9" t="n">
        <v>44</v>
      </c>
      <c r="L3217" s="9" t="n">
        <v>3</v>
      </c>
      <c r="M3217" s="9" t="n">
        <v>1</v>
      </c>
      <c r="N3217" s="9" t="s">
        <v>42</v>
      </c>
      <c r="O3217" s="9" t="s">
        <v>52</v>
      </c>
      <c r="P3217" s="9" t="n">
        <v>5</v>
      </c>
      <c r="Q3217" s="9" t="n">
        <v>17</v>
      </c>
      <c r="R3217" s="9" t="s">
        <v>44</v>
      </c>
      <c r="S3217" s="9"/>
      <c r="T3217" s="9"/>
      <c r="U3217" s="9" t="str">
        <f aca="false">IF(COUNTIF($A$2:$A$5001,A3217)&gt;1,"Duplicate","Unique")</f>
        <v>Unique</v>
      </c>
      <c r="V3217" s="9" t="str">
        <f aca="false">IF(COUNTIFS($B$2:$B$5001,B3217,$H$2:$H$5001,H3217,$J$2:$J$5001,J3217)&gt;1,"Possible Duplicate Booking","Unique")</f>
        <v>Unique</v>
      </c>
      <c r="W3217" s="9" t="str">
        <f aca="false">IF((H3217-G3217)&lt;&gt;K3217,"Mismatch","OK")</f>
        <v>OK</v>
      </c>
      <c r="X3217" s="9" t="str">
        <f aca="false">IF(TEXT(H3217,"dddd")&lt;&gt;I3217,"Mismatch","OK")</f>
        <v>OK</v>
      </c>
      <c r="Y3217" s="9" t="str">
        <f aca="false">IF(AND(N3217="No",O3217&lt;&gt;""),"Unexpected: channel present but no reminder sent",IF(AND(N3217="Yes",O3217=""),"Missing channel for sent reminder","OK"))</f>
        <v>OK</v>
      </c>
    </row>
    <row r="3218" customFormat="false" ht="15" hidden="false" customHeight="false" outlineLevel="0" collapsed="false">
      <c r="A3218" s="7" t="s">
        <v>4784</v>
      </c>
      <c r="B3218" s="7" t="s">
        <v>4785</v>
      </c>
      <c r="C3218" s="7" t="s">
        <v>37</v>
      </c>
      <c r="D3218" s="7" t="n">
        <v>52</v>
      </c>
      <c r="E3218" s="7" t="s">
        <v>56</v>
      </c>
      <c r="F3218" s="7" t="s">
        <v>39</v>
      </c>
      <c r="G3218" s="8" t="n">
        <v>45625</v>
      </c>
      <c r="H3218" s="8" t="n">
        <v>45660</v>
      </c>
      <c r="I3218" s="7" t="s">
        <v>50</v>
      </c>
      <c r="J3218" s="7" t="s">
        <v>51</v>
      </c>
      <c r="K3218" s="7" t="n">
        <v>35</v>
      </c>
      <c r="L3218" s="7" t="n">
        <v>2</v>
      </c>
      <c r="M3218" s="7" t="n">
        <v>1</v>
      </c>
      <c r="N3218" s="7" t="s">
        <v>71</v>
      </c>
      <c r="O3218" s="7"/>
      <c r="P3218" s="7" t="n">
        <v>19.1</v>
      </c>
      <c r="Q3218" s="7" t="n">
        <v>19</v>
      </c>
      <c r="R3218" s="7" t="s">
        <v>44</v>
      </c>
      <c r="S3218" s="7"/>
      <c r="T3218" s="7"/>
      <c r="U3218" s="7" t="str">
        <f aca="false">IF(COUNTIF($A$2:$A$5001,A3218)&gt;1,"Duplicate","Unique")</f>
        <v>Unique</v>
      </c>
      <c r="V3218" s="7" t="str">
        <f aca="false">IF(COUNTIFS($B$2:$B$5001,B3218,$H$2:$H$5001,H3218,$J$2:$J$5001,J3218)&gt;1,"Possible Duplicate Booking","Unique")</f>
        <v>Unique</v>
      </c>
      <c r="W3218" s="7" t="str">
        <f aca="false">IF((H3218-G3218)&lt;&gt;K3218,"Mismatch","OK")</f>
        <v>OK</v>
      </c>
      <c r="X3218" s="7" t="str">
        <f aca="false">IF(TEXT(H3218,"dddd")&lt;&gt;I3218,"Mismatch","OK")</f>
        <v>OK</v>
      </c>
      <c r="Y3218" s="7" t="str">
        <f aca="false">IF(AND(N3218="No",O3218&lt;&gt;""),"Unexpected: channel present but no reminder sent",IF(AND(N3218="Yes",O3218=""),"Missing channel for sent reminder","OK"))</f>
        <v>OK</v>
      </c>
    </row>
    <row r="3219" customFormat="false" ht="15" hidden="false" customHeight="false" outlineLevel="0" collapsed="false">
      <c r="A3219" s="9" t="s">
        <v>4786</v>
      </c>
      <c r="B3219" s="9" t="s">
        <v>144</v>
      </c>
      <c r="C3219" s="9" t="s">
        <v>47</v>
      </c>
      <c r="D3219" s="9" t="n">
        <v>24</v>
      </c>
      <c r="E3219" s="9" t="s">
        <v>82</v>
      </c>
      <c r="F3219" s="9" t="s">
        <v>49</v>
      </c>
      <c r="G3219" s="10" t="n">
        <v>45837</v>
      </c>
      <c r="H3219" s="10" t="n">
        <v>45892</v>
      </c>
      <c r="I3219" s="9" t="s">
        <v>102</v>
      </c>
      <c r="J3219" s="9" t="s">
        <v>41</v>
      </c>
      <c r="K3219" s="9" t="n">
        <v>55</v>
      </c>
      <c r="L3219" s="9" t="n">
        <v>1</v>
      </c>
      <c r="M3219" s="9" t="n">
        <v>0</v>
      </c>
      <c r="N3219" s="9" t="s">
        <v>42</v>
      </c>
      <c r="O3219" s="9" t="s">
        <v>67</v>
      </c>
      <c r="P3219" s="9" t="n">
        <v>0.7</v>
      </c>
      <c r="Q3219" s="9" t="n">
        <v>29</v>
      </c>
      <c r="R3219" s="9" t="s">
        <v>44</v>
      </c>
      <c r="S3219" s="9"/>
      <c r="T3219" s="9"/>
      <c r="U3219" s="9" t="str">
        <f aca="false">IF(COUNTIF($A$2:$A$5001,A3219)&gt;1,"Duplicate","Unique")</f>
        <v>Unique</v>
      </c>
      <c r="V3219" s="9" t="str">
        <f aca="false">IF(COUNTIFS($B$2:$B$5001,B3219,$H$2:$H$5001,H3219,$J$2:$J$5001,J3219)&gt;1,"Possible Duplicate Booking","Unique")</f>
        <v>Unique</v>
      </c>
      <c r="W3219" s="9" t="str">
        <f aca="false">IF((H3219-G3219)&lt;&gt;K3219,"Mismatch","OK")</f>
        <v>OK</v>
      </c>
      <c r="X3219" s="9" t="str">
        <f aca="false">IF(TEXT(H3219,"dddd")&lt;&gt;I3219,"Mismatch","OK")</f>
        <v>OK</v>
      </c>
      <c r="Y3219" s="9" t="str">
        <f aca="false">IF(AND(N3219="No",O3219&lt;&gt;""),"Unexpected: channel present but no reminder sent",IF(AND(N3219="Yes",O3219=""),"Missing channel for sent reminder","OK"))</f>
        <v>OK</v>
      </c>
    </row>
    <row r="3220" customFormat="false" ht="15" hidden="false" customHeight="false" outlineLevel="0" collapsed="false">
      <c r="A3220" s="7" t="s">
        <v>4787</v>
      </c>
      <c r="B3220" s="7" t="s">
        <v>1686</v>
      </c>
      <c r="C3220" s="7" t="s">
        <v>236</v>
      </c>
      <c r="D3220" s="7" t="n">
        <v>37</v>
      </c>
      <c r="E3220" s="7" t="s">
        <v>38</v>
      </c>
      <c r="F3220" s="7" t="s">
        <v>57</v>
      </c>
      <c r="G3220" s="8" t="n">
        <v>46167</v>
      </c>
      <c r="H3220" s="8" t="n">
        <v>46196</v>
      </c>
      <c r="I3220" s="7" t="s">
        <v>40</v>
      </c>
      <c r="J3220" s="7" t="s">
        <v>41</v>
      </c>
      <c r="K3220" s="7" t="n">
        <v>29</v>
      </c>
      <c r="L3220" s="7" t="n">
        <v>2</v>
      </c>
      <c r="M3220" s="7" t="n">
        <v>0</v>
      </c>
      <c r="N3220" s="7" t="s">
        <v>42</v>
      </c>
      <c r="O3220" s="7" t="s">
        <v>43</v>
      </c>
      <c r="P3220" s="7" t="n">
        <v>3.7</v>
      </c>
      <c r="Q3220" s="7" t="n">
        <v>44</v>
      </c>
      <c r="R3220" s="7" t="s">
        <v>53</v>
      </c>
      <c r="S3220" s="7"/>
      <c r="T3220" s="7"/>
      <c r="U3220" s="7" t="str">
        <f aca="false">IF(COUNTIF($A$2:$A$5001,A3220)&gt;1,"Duplicate","Unique")</f>
        <v>Unique</v>
      </c>
      <c r="V3220" s="7" t="str">
        <f aca="false">IF(COUNTIFS($B$2:$B$5001,B3220,$H$2:$H$5001,H3220,$J$2:$J$5001,J3220)&gt;1,"Possible Duplicate Booking","Unique")</f>
        <v>Unique</v>
      </c>
      <c r="W3220" s="7" t="str">
        <f aca="false">IF((H3220-G3220)&lt;&gt;K3220,"Mismatch","OK")</f>
        <v>OK</v>
      </c>
      <c r="X3220" s="7" t="str">
        <f aca="false">IF(TEXT(H3220,"dddd")&lt;&gt;I3220,"Mismatch","OK")</f>
        <v>OK</v>
      </c>
      <c r="Y3220" s="7" t="str">
        <f aca="false">IF(AND(N3220="No",O3220&lt;&gt;""),"Unexpected: channel present but no reminder sent",IF(AND(N3220="Yes",O3220=""),"Missing channel for sent reminder","OK"))</f>
        <v>OK</v>
      </c>
    </row>
    <row r="3221" customFormat="false" ht="15" hidden="false" customHeight="false" outlineLevel="0" collapsed="false">
      <c r="A3221" s="9" t="s">
        <v>4788</v>
      </c>
      <c r="B3221" s="9" t="s">
        <v>223</v>
      </c>
      <c r="C3221" s="9" t="s">
        <v>37</v>
      </c>
      <c r="D3221" s="9" t="n">
        <v>18</v>
      </c>
      <c r="E3221" s="9" t="s">
        <v>82</v>
      </c>
      <c r="F3221" s="9" t="s">
        <v>39</v>
      </c>
      <c r="G3221" s="10" t="n">
        <v>45863</v>
      </c>
      <c r="H3221" s="10" t="n">
        <v>45894</v>
      </c>
      <c r="I3221" s="9" t="s">
        <v>66</v>
      </c>
      <c r="J3221" s="9" t="s">
        <v>41</v>
      </c>
      <c r="K3221" s="9" t="n">
        <v>31</v>
      </c>
      <c r="L3221" s="9" t="n">
        <v>6</v>
      </c>
      <c r="M3221" s="9" t="n">
        <v>1</v>
      </c>
      <c r="N3221" s="9" t="s">
        <v>71</v>
      </c>
      <c r="O3221" s="9"/>
      <c r="P3221" s="9" t="n">
        <v>9.1</v>
      </c>
      <c r="Q3221" s="9" t="n">
        <v>33</v>
      </c>
      <c r="R3221" s="9" t="s">
        <v>53</v>
      </c>
      <c r="S3221" s="9"/>
      <c r="T3221" s="9"/>
      <c r="U3221" s="9" t="str">
        <f aca="false">IF(COUNTIF($A$2:$A$5001,A3221)&gt;1,"Duplicate","Unique")</f>
        <v>Unique</v>
      </c>
      <c r="V3221" s="9" t="str">
        <f aca="false">IF(COUNTIFS($B$2:$B$5001,B3221,$H$2:$H$5001,H3221,$J$2:$J$5001,J3221)&gt;1,"Possible Duplicate Booking","Unique")</f>
        <v>Unique</v>
      </c>
      <c r="W3221" s="9" t="str">
        <f aca="false">IF((H3221-G3221)&lt;&gt;K3221,"Mismatch","OK")</f>
        <v>OK</v>
      </c>
      <c r="X3221" s="9" t="str">
        <f aca="false">IF(TEXT(H3221,"dddd")&lt;&gt;I3221,"Mismatch","OK")</f>
        <v>OK</v>
      </c>
      <c r="Y3221" s="9" t="str">
        <f aca="false">IF(AND(N3221="No",O3221&lt;&gt;""),"Unexpected: channel present but no reminder sent",IF(AND(N3221="Yes",O3221=""),"Missing channel for sent reminder","OK"))</f>
        <v>OK</v>
      </c>
    </row>
    <row r="3222" customFormat="false" ht="15" hidden="false" customHeight="false" outlineLevel="0" collapsed="false">
      <c r="A3222" s="7" t="s">
        <v>4789</v>
      </c>
      <c r="B3222" s="7" t="s">
        <v>4466</v>
      </c>
      <c r="C3222" s="7" t="s">
        <v>37</v>
      </c>
      <c r="D3222" s="7" t="n">
        <v>49</v>
      </c>
      <c r="E3222" s="7" t="s">
        <v>56</v>
      </c>
      <c r="F3222" s="7" t="s">
        <v>57</v>
      </c>
      <c r="G3222" s="8" t="n">
        <v>46020</v>
      </c>
      <c r="H3222" s="8" t="n">
        <v>46039</v>
      </c>
      <c r="I3222" s="7" t="s">
        <v>102</v>
      </c>
      <c r="J3222" s="7" t="s">
        <v>41</v>
      </c>
      <c r="K3222" s="7" t="n">
        <v>19</v>
      </c>
      <c r="L3222" s="7" t="n">
        <v>6</v>
      </c>
      <c r="M3222" s="7" t="n">
        <v>2</v>
      </c>
      <c r="N3222" s="7" t="s">
        <v>42</v>
      </c>
      <c r="O3222" s="7" t="s">
        <v>52</v>
      </c>
      <c r="P3222" s="7" t="n">
        <v>6.8</v>
      </c>
      <c r="Q3222" s="7" t="n">
        <v>23</v>
      </c>
      <c r="R3222" s="7" t="s">
        <v>53</v>
      </c>
      <c r="S3222" s="7"/>
      <c r="T3222" s="7"/>
      <c r="U3222" s="7" t="str">
        <f aca="false">IF(COUNTIF($A$2:$A$5001,A3222)&gt;1,"Duplicate","Unique")</f>
        <v>Unique</v>
      </c>
      <c r="V3222" s="7" t="str">
        <f aca="false">IF(COUNTIFS($B$2:$B$5001,B3222,$H$2:$H$5001,H3222,$J$2:$J$5001,J3222)&gt;1,"Possible Duplicate Booking","Unique")</f>
        <v>Unique</v>
      </c>
      <c r="W3222" s="7" t="str">
        <f aca="false">IF((H3222-G3222)&lt;&gt;K3222,"Mismatch","OK")</f>
        <v>OK</v>
      </c>
      <c r="X3222" s="7" t="str">
        <f aca="false">IF(TEXT(H3222,"dddd")&lt;&gt;I3222,"Mismatch","OK")</f>
        <v>OK</v>
      </c>
      <c r="Y3222" s="7" t="str">
        <f aca="false">IF(AND(N3222="No",O3222&lt;&gt;""),"Unexpected: channel present but no reminder sent",IF(AND(N3222="Yes",O3222=""),"Missing channel for sent reminder","OK"))</f>
        <v>OK</v>
      </c>
    </row>
    <row r="3223" customFormat="false" ht="15" hidden="false" customHeight="false" outlineLevel="0" collapsed="false">
      <c r="A3223" s="9" t="s">
        <v>4790</v>
      </c>
      <c r="B3223" s="9" t="s">
        <v>4539</v>
      </c>
      <c r="C3223" s="9" t="s">
        <v>37</v>
      </c>
      <c r="D3223" s="9" t="n">
        <v>63</v>
      </c>
      <c r="E3223" s="9" t="s">
        <v>61</v>
      </c>
      <c r="F3223" s="9" t="s">
        <v>57</v>
      </c>
      <c r="G3223" s="10" t="n">
        <v>45777</v>
      </c>
      <c r="H3223" s="10" t="n">
        <v>45796</v>
      </c>
      <c r="I3223" s="9" t="s">
        <v>66</v>
      </c>
      <c r="J3223" s="9" t="s">
        <v>51</v>
      </c>
      <c r="K3223" s="9" t="n">
        <v>19</v>
      </c>
      <c r="L3223" s="9" t="n">
        <v>1</v>
      </c>
      <c r="M3223" s="9" t="n">
        <v>0</v>
      </c>
      <c r="N3223" s="9" t="s">
        <v>42</v>
      </c>
      <c r="O3223" s="9" t="s">
        <v>43</v>
      </c>
      <c r="P3223" s="9" t="n">
        <v>8</v>
      </c>
      <c r="Q3223" s="9" t="n">
        <v>15</v>
      </c>
      <c r="R3223" s="9" t="s">
        <v>53</v>
      </c>
      <c r="S3223" s="9"/>
      <c r="T3223" s="9"/>
      <c r="U3223" s="9" t="str">
        <f aca="false">IF(COUNTIF($A$2:$A$5001,A3223)&gt;1,"Duplicate","Unique")</f>
        <v>Unique</v>
      </c>
      <c r="V3223" s="9" t="str">
        <f aca="false">IF(COUNTIFS($B$2:$B$5001,B3223,$H$2:$H$5001,H3223,$J$2:$J$5001,J3223)&gt;1,"Possible Duplicate Booking","Unique")</f>
        <v>Unique</v>
      </c>
      <c r="W3223" s="9" t="str">
        <f aca="false">IF((H3223-G3223)&lt;&gt;K3223,"Mismatch","OK")</f>
        <v>OK</v>
      </c>
      <c r="X3223" s="9" t="str">
        <f aca="false">IF(TEXT(H3223,"dddd")&lt;&gt;I3223,"Mismatch","OK")</f>
        <v>OK</v>
      </c>
      <c r="Y3223" s="9" t="str">
        <f aca="false">IF(AND(N3223="No",O3223&lt;&gt;""),"Unexpected: channel present but no reminder sent",IF(AND(N3223="Yes",O3223=""),"Missing channel for sent reminder","OK"))</f>
        <v>OK</v>
      </c>
    </row>
    <row r="3224" customFormat="false" ht="15" hidden="false" customHeight="false" outlineLevel="0" collapsed="false">
      <c r="A3224" s="7" t="s">
        <v>4791</v>
      </c>
      <c r="B3224" s="7" t="s">
        <v>1293</v>
      </c>
      <c r="C3224" s="7" t="s">
        <v>37</v>
      </c>
      <c r="D3224" s="7" t="n">
        <v>43</v>
      </c>
      <c r="E3224" s="7" t="s">
        <v>38</v>
      </c>
      <c r="F3224" s="7" t="s">
        <v>57</v>
      </c>
      <c r="G3224" s="8" t="n">
        <v>46044</v>
      </c>
      <c r="H3224" s="8" t="n">
        <v>46081</v>
      </c>
      <c r="I3224" s="7" t="s">
        <v>102</v>
      </c>
      <c r="J3224" s="7" t="s">
        <v>41</v>
      </c>
      <c r="K3224" s="7" t="n">
        <v>37</v>
      </c>
      <c r="L3224" s="7" t="n">
        <v>2</v>
      </c>
      <c r="M3224" s="7" t="n">
        <v>0</v>
      </c>
      <c r="N3224" s="7" t="s">
        <v>42</v>
      </c>
      <c r="O3224" s="7" t="s">
        <v>52</v>
      </c>
      <c r="P3224" s="7" t="n">
        <v>4</v>
      </c>
      <c r="Q3224" s="7" t="n">
        <v>40</v>
      </c>
      <c r="R3224" s="7" t="s">
        <v>44</v>
      </c>
      <c r="S3224" s="7"/>
      <c r="T3224" s="7"/>
      <c r="U3224" s="7" t="str">
        <f aca="false">IF(COUNTIF($A$2:$A$5001,A3224)&gt;1,"Duplicate","Unique")</f>
        <v>Unique</v>
      </c>
      <c r="V3224" s="7" t="str">
        <f aca="false">IF(COUNTIFS($B$2:$B$5001,B3224,$H$2:$H$5001,H3224,$J$2:$J$5001,J3224)&gt;1,"Possible Duplicate Booking","Unique")</f>
        <v>Unique</v>
      </c>
      <c r="W3224" s="7" t="str">
        <f aca="false">IF((H3224-G3224)&lt;&gt;K3224,"Mismatch","OK")</f>
        <v>OK</v>
      </c>
      <c r="X3224" s="7" t="str">
        <f aca="false">IF(TEXT(H3224,"dddd")&lt;&gt;I3224,"Mismatch","OK")</f>
        <v>OK</v>
      </c>
      <c r="Y3224" s="7" t="str">
        <f aca="false">IF(AND(N3224="No",O3224&lt;&gt;""),"Unexpected: channel present but no reminder sent",IF(AND(N3224="Yes",O3224=""),"Missing channel for sent reminder","OK"))</f>
        <v>OK</v>
      </c>
    </row>
    <row r="3225" customFormat="false" ht="15" hidden="false" customHeight="false" outlineLevel="0" collapsed="false">
      <c r="A3225" s="9" t="s">
        <v>4792</v>
      </c>
      <c r="B3225" s="9" t="s">
        <v>2302</v>
      </c>
      <c r="C3225" s="9" t="s">
        <v>37</v>
      </c>
      <c r="D3225" s="9" t="n">
        <v>34</v>
      </c>
      <c r="E3225" s="9" t="s">
        <v>48</v>
      </c>
      <c r="F3225" s="9" t="s">
        <v>57</v>
      </c>
      <c r="G3225" s="10" t="n">
        <v>46031</v>
      </c>
      <c r="H3225" s="10" t="n">
        <v>46081</v>
      </c>
      <c r="I3225" s="9" t="s">
        <v>102</v>
      </c>
      <c r="J3225" s="9" t="s">
        <v>41</v>
      </c>
      <c r="K3225" s="9" t="n">
        <v>50</v>
      </c>
      <c r="L3225" s="9" t="n">
        <v>3</v>
      </c>
      <c r="M3225" s="9" t="n">
        <v>1</v>
      </c>
      <c r="N3225" s="9" t="s">
        <v>42</v>
      </c>
      <c r="O3225" s="9" t="s">
        <v>52</v>
      </c>
      <c r="P3225" s="9" t="n">
        <v>5.7</v>
      </c>
      <c r="Q3225" s="9" t="n">
        <v>21</v>
      </c>
      <c r="R3225" s="9" t="s">
        <v>44</v>
      </c>
      <c r="S3225" s="9"/>
      <c r="T3225" s="9"/>
      <c r="U3225" s="9" t="str">
        <f aca="false">IF(COUNTIF($A$2:$A$5001,A3225)&gt;1,"Duplicate","Unique")</f>
        <v>Unique</v>
      </c>
      <c r="V3225" s="9" t="str">
        <f aca="false">IF(COUNTIFS($B$2:$B$5001,B3225,$H$2:$H$5001,H3225,$J$2:$J$5001,J3225)&gt;1,"Possible Duplicate Booking","Unique")</f>
        <v>Unique</v>
      </c>
      <c r="W3225" s="9" t="str">
        <f aca="false">IF((H3225-G3225)&lt;&gt;K3225,"Mismatch","OK")</f>
        <v>OK</v>
      </c>
      <c r="X3225" s="9" t="str">
        <f aca="false">IF(TEXT(H3225,"dddd")&lt;&gt;I3225,"Mismatch","OK")</f>
        <v>OK</v>
      </c>
      <c r="Y3225" s="9" t="str">
        <f aca="false">IF(AND(N3225="No",O3225&lt;&gt;""),"Unexpected: channel present but no reminder sent",IF(AND(N3225="Yes",O3225=""),"Missing channel for sent reminder","OK"))</f>
        <v>OK</v>
      </c>
    </row>
    <row r="3226" customFormat="false" ht="15" hidden="false" customHeight="false" outlineLevel="0" collapsed="false">
      <c r="A3226" s="7" t="s">
        <v>4793</v>
      </c>
      <c r="B3226" s="7" t="s">
        <v>3888</v>
      </c>
      <c r="C3226" s="7" t="s">
        <v>47</v>
      </c>
      <c r="D3226" s="7" t="n">
        <v>44</v>
      </c>
      <c r="E3226" s="7" t="s">
        <v>38</v>
      </c>
      <c r="F3226" s="7" t="s">
        <v>74</v>
      </c>
      <c r="G3226" s="8" t="n">
        <v>45936</v>
      </c>
      <c r="H3226" s="8" t="n">
        <v>45990</v>
      </c>
      <c r="I3226" s="7" t="s">
        <v>102</v>
      </c>
      <c r="J3226" s="7" t="s">
        <v>63</v>
      </c>
      <c r="K3226" s="7" t="n">
        <v>54</v>
      </c>
      <c r="L3226" s="7" t="n">
        <v>2</v>
      </c>
      <c r="M3226" s="7" t="n">
        <v>1</v>
      </c>
      <c r="N3226" s="7" t="s">
        <v>71</v>
      </c>
      <c r="O3226" s="7"/>
      <c r="P3226" s="7" t="n">
        <v>16.6</v>
      </c>
      <c r="Q3226" s="7" t="n">
        <v>8</v>
      </c>
      <c r="R3226" s="7" t="s">
        <v>44</v>
      </c>
      <c r="S3226" s="7"/>
      <c r="T3226" s="7"/>
      <c r="U3226" s="7" t="str">
        <f aca="false">IF(COUNTIF($A$2:$A$5001,A3226)&gt;1,"Duplicate","Unique")</f>
        <v>Unique</v>
      </c>
      <c r="V3226" s="7" t="str">
        <f aca="false">IF(COUNTIFS($B$2:$B$5001,B3226,$H$2:$H$5001,H3226,$J$2:$J$5001,J3226)&gt;1,"Possible Duplicate Booking","Unique")</f>
        <v>Unique</v>
      </c>
      <c r="W3226" s="7" t="str">
        <f aca="false">IF((H3226-G3226)&lt;&gt;K3226,"Mismatch","OK")</f>
        <v>OK</v>
      </c>
      <c r="X3226" s="7" t="str">
        <f aca="false">IF(TEXT(H3226,"dddd")&lt;&gt;I3226,"Mismatch","OK")</f>
        <v>OK</v>
      </c>
      <c r="Y3226" s="7" t="str">
        <f aca="false">IF(AND(N3226="No",O3226&lt;&gt;""),"Unexpected: channel present but no reminder sent",IF(AND(N3226="Yes",O3226=""),"Missing channel for sent reminder","OK"))</f>
        <v>OK</v>
      </c>
    </row>
    <row r="3227" customFormat="false" ht="15" hidden="false" customHeight="false" outlineLevel="0" collapsed="false">
      <c r="A3227" s="9" t="s">
        <v>4794</v>
      </c>
      <c r="B3227" s="9" t="s">
        <v>4795</v>
      </c>
      <c r="C3227" s="9" t="s">
        <v>47</v>
      </c>
      <c r="D3227" s="9" t="n">
        <v>50</v>
      </c>
      <c r="E3227" s="9" t="s">
        <v>56</v>
      </c>
      <c r="F3227" s="9" t="s">
        <v>74</v>
      </c>
      <c r="G3227" s="10" t="n">
        <v>46032</v>
      </c>
      <c r="H3227" s="10" t="n">
        <v>46079</v>
      </c>
      <c r="I3227" s="9" t="s">
        <v>62</v>
      </c>
      <c r="J3227" s="9" t="s">
        <v>51</v>
      </c>
      <c r="K3227" s="9" t="n">
        <v>47</v>
      </c>
      <c r="L3227" s="9" t="n">
        <v>4</v>
      </c>
      <c r="M3227" s="9" t="n">
        <v>1</v>
      </c>
      <c r="N3227" s="9" t="s">
        <v>42</v>
      </c>
      <c r="O3227" s="9" t="s">
        <v>52</v>
      </c>
      <c r="P3227" s="9" t="n">
        <v>12.8</v>
      </c>
      <c r="Q3227" s="9" t="n">
        <v>28</v>
      </c>
      <c r="R3227" s="9" t="s">
        <v>44</v>
      </c>
      <c r="S3227" s="9"/>
      <c r="T3227" s="9"/>
      <c r="U3227" s="9" t="str">
        <f aca="false">IF(COUNTIF($A$2:$A$5001,A3227)&gt;1,"Duplicate","Unique")</f>
        <v>Unique</v>
      </c>
      <c r="V3227" s="9" t="str">
        <f aca="false">IF(COUNTIFS($B$2:$B$5001,B3227,$H$2:$H$5001,H3227,$J$2:$J$5001,J3227)&gt;1,"Possible Duplicate Booking","Unique")</f>
        <v>Unique</v>
      </c>
      <c r="W3227" s="9" t="str">
        <f aca="false">IF((H3227-G3227)&lt;&gt;K3227,"Mismatch","OK")</f>
        <v>OK</v>
      </c>
      <c r="X3227" s="9" t="str">
        <f aca="false">IF(TEXT(H3227,"dddd")&lt;&gt;I3227,"Mismatch","OK")</f>
        <v>OK</v>
      </c>
      <c r="Y3227" s="9" t="str">
        <f aca="false">IF(AND(N3227="No",O3227&lt;&gt;""),"Unexpected: channel present but no reminder sent",IF(AND(N3227="Yes",O3227=""),"Missing channel for sent reminder","OK"))</f>
        <v>OK</v>
      </c>
    </row>
    <row r="3228" customFormat="false" ht="15" hidden="false" customHeight="false" outlineLevel="0" collapsed="false">
      <c r="A3228" s="7" t="s">
        <v>4796</v>
      </c>
      <c r="B3228" s="7" t="s">
        <v>4797</v>
      </c>
      <c r="C3228" s="7" t="s">
        <v>37</v>
      </c>
      <c r="D3228" s="7" t="n">
        <v>28</v>
      </c>
      <c r="E3228" s="7" t="s">
        <v>48</v>
      </c>
      <c r="F3228" s="7" t="s">
        <v>49</v>
      </c>
      <c r="G3228" s="8" t="n">
        <v>45937</v>
      </c>
      <c r="H3228" s="8" t="n">
        <v>45974</v>
      </c>
      <c r="I3228" s="7" t="s">
        <v>62</v>
      </c>
      <c r="J3228" s="7" t="s">
        <v>51</v>
      </c>
      <c r="K3228" s="7" t="n">
        <v>37</v>
      </c>
      <c r="L3228" s="7" t="n">
        <v>4</v>
      </c>
      <c r="M3228" s="7" t="n">
        <v>0</v>
      </c>
      <c r="N3228" s="7" t="s">
        <v>71</v>
      </c>
      <c r="O3228" s="7"/>
      <c r="P3228" s="7" t="n">
        <v>8.3</v>
      </c>
      <c r="Q3228" s="7" t="n">
        <v>10</v>
      </c>
      <c r="R3228" s="7" t="s">
        <v>53</v>
      </c>
      <c r="S3228" s="7"/>
      <c r="T3228" s="7"/>
      <c r="U3228" s="7" t="str">
        <f aca="false">IF(COUNTIF($A$2:$A$5001,A3228)&gt;1,"Duplicate","Unique")</f>
        <v>Unique</v>
      </c>
      <c r="V3228" s="7" t="str">
        <f aca="false">IF(COUNTIFS($B$2:$B$5001,B3228,$H$2:$H$5001,H3228,$J$2:$J$5001,J3228)&gt;1,"Possible Duplicate Booking","Unique")</f>
        <v>Unique</v>
      </c>
      <c r="W3228" s="7" t="str">
        <f aca="false">IF((H3228-G3228)&lt;&gt;K3228,"Mismatch","OK")</f>
        <v>OK</v>
      </c>
      <c r="X3228" s="7" t="str">
        <f aca="false">IF(TEXT(H3228,"dddd")&lt;&gt;I3228,"Mismatch","OK")</f>
        <v>OK</v>
      </c>
      <c r="Y3228" s="7" t="str">
        <f aca="false">IF(AND(N3228="No",O3228&lt;&gt;""),"Unexpected: channel present but no reminder sent",IF(AND(N3228="Yes",O3228=""),"Missing channel for sent reminder","OK"))</f>
        <v>OK</v>
      </c>
    </row>
    <row r="3229" customFormat="false" ht="15" hidden="false" customHeight="false" outlineLevel="0" collapsed="false">
      <c r="A3229" s="9" t="s">
        <v>4798</v>
      </c>
      <c r="B3229" s="9" t="s">
        <v>1314</v>
      </c>
      <c r="C3229" s="9" t="s">
        <v>37</v>
      </c>
      <c r="D3229" s="9" t="n">
        <v>25</v>
      </c>
      <c r="E3229" s="9" t="s">
        <v>48</v>
      </c>
      <c r="F3229" s="9" t="s">
        <v>39</v>
      </c>
      <c r="G3229" s="10" t="n">
        <v>45834</v>
      </c>
      <c r="H3229" s="10" t="n">
        <v>45864</v>
      </c>
      <c r="I3229" s="9" t="s">
        <v>102</v>
      </c>
      <c r="J3229" s="9" t="s">
        <v>41</v>
      </c>
      <c r="K3229" s="9" t="n">
        <v>30</v>
      </c>
      <c r="L3229" s="9" t="n">
        <v>3</v>
      </c>
      <c r="M3229" s="9" t="n">
        <v>0</v>
      </c>
      <c r="N3229" s="9" t="s">
        <v>42</v>
      </c>
      <c r="O3229" s="9" t="s">
        <v>52</v>
      </c>
      <c r="P3229" s="9" t="n">
        <v>14.1</v>
      </c>
      <c r="Q3229" s="9" t="n">
        <v>31</v>
      </c>
      <c r="R3229" s="9" t="s">
        <v>53</v>
      </c>
      <c r="S3229" s="9"/>
      <c r="T3229" s="9"/>
      <c r="U3229" s="9" t="str">
        <f aca="false">IF(COUNTIF($A$2:$A$5001,A3229)&gt;1,"Duplicate","Unique")</f>
        <v>Unique</v>
      </c>
      <c r="V3229" s="9" t="str">
        <f aca="false">IF(COUNTIFS($B$2:$B$5001,B3229,$H$2:$H$5001,H3229,$J$2:$J$5001,J3229)&gt;1,"Possible Duplicate Booking","Unique")</f>
        <v>Unique</v>
      </c>
      <c r="W3229" s="9" t="str">
        <f aca="false">IF((H3229-G3229)&lt;&gt;K3229,"Mismatch","OK")</f>
        <v>OK</v>
      </c>
      <c r="X3229" s="9" t="str">
        <f aca="false">IF(TEXT(H3229,"dddd")&lt;&gt;I3229,"Mismatch","OK")</f>
        <v>OK</v>
      </c>
      <c r="Y3229" s="9" t="str">
        <f aca="false">IF(AND(N3229="No",O3229&lt;&gt;""),"Unexpected: channel present but no reminder sent",IF(AND(N3229="Yes",O3229=""),"Missing channel for sent reminder","OK"))</f>
        <v>OK</v>
      </c>
    </row>
    <row r="3230" customFormat="false" ht="15" hidden="false" customHeight="false" outlineLevel="0" collapsed="false">
      <c r="A3230" s="7" t="s">
        <v>4799</v>
      </c>
      <c r="B3230" s="7" t="s">
        <v>831</v>
      </c>
      <c r="C3230" s="7" t="s">
        <v>236</v>
      </c>
      <c r="D3230" s="7" t="n">
        <v>29</v>
      </c>
      <c r="E3230" s="7" t="s">
        <v>48</v>
      </c>
      <c r="F3230" s="7" t="s">
        <v>49</v>
      </c>
      <c r="G3230" s="8" t="n">
        <v>46040</v>
      </c>
      <c r="H3230" s="8" t="n">
        <v>46060</v>
      </c>
      <c r="I3230" s="7" t="s">
        <v>102</v>
      </c>
      <c r="J3230" s="7" t="s">
        <v>63</v>
      </c>
      <c r="K3230" s="7" t="n">
        <v>20</v>
      </c>
      <c r="L3230" s="7" t="n">
        <v>3</v>
      </c>
      <c r="M3230" s="7" t="n">
        <v>1</v>
      </c>
      <c r="N3230" s="7" t="s">
        <v>42</v>
      </c>
      <c r="O3230" s="7" t="s">
        <v>43</v>
      </c>
      <c r="P3230" s="7" t="n">
        <v>16.1</v>
      </c>
      <c r="Q3230" s="7" t="n">
        <v>20</v>
      </c>
      <c r="R3230" s="7" t="s">
        <v>44</v>
      </c>
      <c r="S3230" s="7"/>
      <c r="T3230" s="7"/>
      <c r="U3230" s="7" t="str">
        <f aca="false">IF(COUNTIF($A$2:$A$5001,A3230)&gt;1,"Duplicate","Unique")</f>
        <v>Unique</v>
      </c>
      <c r="V3230" s="7" t="str">
        <f aca="false">IF(COUNTIFS($B$2:$B$5001,B3230,$H$2:$H$5001,H3230,$J$2:$J$5001,J3230)&gt;1,"Possible Duplicate Booking","Unique")</f>
        <v>Unique</v>
      </c>
      <c r="W3230" s="7" t="str">
        <f aca="false">IF((H3230-G3230)&lt;&gt;K3230,"Mismatch","OK")</f>
        <v>OK</v>
      </c>
      <c r="X3230" s="7" t="str">
        <f aca="false">IF(TEXT(H3230,"dddd")&lt;&gt;I3230,"Mismatch","OK")</f>
        <v>OK</v>
      </c>
      <c r="Y3230" s="7" t="str">
        <f aca="false">IF(AND(N3230="No",O3230&lt;&gt;""),"Unexpected: channel present but no reminder sent",IF(AND(N3230="Yes",O3230=""),"Missing channel for sent reminder","OK"))</f>
        <v>OK</v>
      </c>
    </row>
    <row r="3231" customFormat="false" ht="15" hidden="false" customHeight="false" outlineLevel="0" collapsed="false">
      <c r="A3231" s="9" t="s">
        <v>4800</v>
      </c>
      <c r="B3231" s="9" t="s">
        <v>1592</v>
      </c>
      <c r="C3231" s="9" t="s">
        <v>37</v>
      </c>
      <c r="D3231" s="9" t="n">
        <v>80</v>
      </c>
      <c r="E3231" s="9" t="s">
        <v>70</v>
      </c>
      <c r="F3231" s="9" t="s">
        <v>74</v>
      </c>
      <c r="G3231" s="10" t="n">
        <v>46067</v>
      </c>
      <c r="H3231" s="10" t="n">
        <v>46113</v>
      </c>
      <c r="I3231" s="9" t="s">
        <v>58</v>
      </c>
      <c r="J3231" s="9" t="s">
        <v>63</v>
      </c>
      <c r="K3231" s="9" t="n">
        <v>46</v>
      </c>
      <c r="L3231" s="9" t="n">
        <v>5</v>
      </c>
      <c r="M3231" s="9" t="n">
        <v>2</v>
      </c>
      <c r="N3231" s="9" t="s">
        <v>42</v>
      </c>
      <c r="O3231" s="9" t="s">
        <v>52</v>
      </c>
      <c r="P3231" s="9" t="n">
        <v>27.7</v>
      </c>
      <c r="Q3231" s="9" t="n">
        <v>21</v>
      </c>
      <c r="R3231" s="9" t="s">
        <v>44</v>
      </c>
      <c r="S3231" s="9"/>
      <c r="T3231" s="9"/>
      <c r="U3231" s="9" t="str">
        <f aca="false">IF(COUNTIF($A$2:$A$5001,A3231)&gt;1,"Duplicate","Unique")</f>
        <v>Unique</v>
      </c>
      <c r="V3231" s="9" t="str">
        <f aca="false">IF(COUNTIFS($B$2:$B$5001,B3231,$H$2:$H$5001,H3231,$J$2:$J$5001,J3231)&gt;1,"Possible Duplicate Booking","Unique")</f>
        <v>Unique</v>
      </c>
      <c r="W3231" s="9" t="str">
        <f aca="false">IF((H3231-G3231)&lt;&gt;K3231,"Mismatch","OK")</f>
        <v>OK</v>
      </c>
      <c r="X3231" s="9" t="str">
        <f aca="false">IF(TEXT(H3231,"dddd")&lt;&gt;I3231,"Mismatch","OK")</f>
        <v>OK</v>
      </c>
      <c r="Y3231" s="9" t="str">
        <f aca="false">IF(AND(N3231="No",O3231&lt;&gt;""),"Unexpected: channel present but no reminder sent",IF(AND(N3231="Yes",O3231=""),"Missing channel for sent reminder","OK"))</f>
        <v>OK</v>
      </c>
    </row>
    <row r="3232" customFormat="false" ht="15" hidden="false" customHeight="false" outlineLevel="0" collapsed="false">
      <c r="A3232" s="7" t="s">
        <v>4801</v>
      </c>
      <c r="B3232" s="7" t="s">
        <v>4802</v>
      </c>
      <c r="C3232" s="7" t="s">
        <v>47</v>
      </c>
      <c r="D3232" s="7" t="n">
        <v>63</v>
      </c>
      <c r="E3232" s="7" t="s">
        <v>61</v>
      </c>
      <c r="F3232" s="7" t="s">
        <v>39</v>
      </c>
      <c r="G3232" s="8" t="n">
        <v>46098</v>
      </c>
      <c r="H3232" s="8" t="n">
        <v>46117</v>
      </c>
      <c r="I3232" s="7" t="s">
        <v>75</v>
      </c>
      <c r="J3232" s="7" t="s">
        <v>51</v>
      </c>
      <c r="K3232" s="7" t="n">
        <v>19</v>
      </c>
      <c r="L3232" s="7" t="n">
        <v>2</v>
      </c>
      <c r="M3232" s="7" t="n">
        <v>0</v>
      </c>
      <c r="N3232" s="7" t="s">
        <v>42</v>
      </c>
      <c r="O3232" s="7" t="s">
        <v>67</v>
      </c>
      <c r="P3232" s="7" t="n">
        <v>13.6</v>
      </c>
      <c r="Q3232" s="7" t="n">
        <v>2</v>
      </c>
      <c r="R3232" s="7" t="s">
        <v>44</v>
      </c>
      <c r="S3232" s="7"/>
      <c r="T3232" s="7"/>
      <c r="U3232" s="7" t="str">
        <f aca="false">IF(COUNTIF($A$2:$A$5001,A3232)&gt;1,"Duplicate","Unique")</f>
        <v>Unique</v>
      </c>
      <c r="V3232" s="7" t="str">
        <f aca="false">IF(COUNTIFS($B$2:$B$5001,B3232,$H$2:$H$5001,H3232,$J$2:$J$5001,J3232)&gt;1,"Possible Duplicate Booking","Unique")</f>
        <v>Unique</v>
      </c>
      <c r="W3232" s="7" t="str">
        <f aca="false">IF((H3232-G3232)&lt;&gt;K3232,"Mismatch","OK")</f>
        <v>OK</v>
      </c>
      <c r="X3232" s="7" t="str">
        <f aca="false">IF(TEXT(H3232,"dddd")&lt;&gt;I3232,"Mismatch","OK")</f>
        <v>OK</v>
      </c>
      <c r="Y3232" s="7" t="str">
        <f aca="false">IF(AND(N3232="No",O3232&lt;&gt;""),"Unexpected: channel present but no reminder sent",IF(AND(N3232="Yes",O3232=""),"Missing channel for sent reminder","OK"))</f>
        <v>OK</v>
      </c>
    </row>
    <row r="3233" customFormat="false" ht="15" hidden="false" customHeight="false" outlineLevel="0" collapsed="false">
      <c r="A3233" s="9" t="s">
        <v>4803</v>
      </c>
      <c r="B3233" s="9" t="s">
        <v>1832</v>
      </c>
      <c r="C3233" s="9" t="s">
        <v>37</v>
      </c>
      <c r="D3233" s="9" t="n">
        <v>25</v>
      </c>
      <c r="E3233" s="9" t="s">
        <v>48</v>
      </c>
      <c r="F3233" s="9" t="s">
        <v>57</v>
      </c>
      <c r="G3233" s="10" t="n">
        <v>45758</v>
      </c>
      <c r="H3233" s="10" t="n">
        <v>45774</v>
      </c>
      <c r="I3233" s="9" t="s">
        <v>75</v>
      </c>
      <c r="J3233" s="9" t="s">
        <v>41</v>
      </c>
      <c r="K3233" s="9" t="n">
        <v>16</v>
      </c>
      <c r="L3233" s="9" t="n">
        <v>6</v>
      </c>
      <c r="M3233" s="9" t="n">
        <v>1</v>
      </c>
      <c r="N3233" s="9" t="s">
        <v>71</v>
      </c>
      <c r="O3233" s="9"/>
      <c r="P3233" s="9" t="n">
        <v>15.7</v>
      </c>
      <c r="Q3233" s="9" t="n">
        <v>36</v>
      </c>
      <c r="R3233" s="9" t="s">
        <v>44</v>
      </c>
      <c r="S3233" s="9"/>
      <c r="T3233" s="9"/>
      <c r="U3233" s="9" t="str">
        <f aca="false">IF(COUNTIF($A$2:$A$5001,A3233)&gt;1,"Duplicate","Unique")</f>
        <v>Unique</v>
      </c>
      <c r="V3233" s="9" t="str">
        <f aca="false">IF(COUNTIFS($B$2:$B$5001,B3233,$H$2:$H$5001,H3233,$J$2:$J$5001,J3233)&gt;1,"Possible Duplicate Booking","Unique")</f>
        <v>Unique</v>
      </c>
      <c r="W3233" s="9" t="str">
        <f aca="false">IF((H3233-G3233)&lt;&gt;K3233,"Mismatch","OK")</f>
        <v>OK</v>
      </c>
      <c r="X3233" s="9" t="str">
        <f aca="false">IF(TEXT(H3233,"dddd")&lt;&gt;I3233,"Mismatch","OK")</f>
        <v>OK</v>
      </c>
      <c r="Y3233" s="9" t="str">
        <f aca="false">IF(AND(N3233="No",O3233&lt;&gt;""),"Unexpected: channel present but no reminder sent",IF(AND(N3233="Yes",O3233=""),"Missing channel for sent reminder","OK"))</f>
        <v>OK</v>
      </c>
    </row>
    <row r="3234" customFormat="false" ht="15" hidden="false" customHeight="false" outlineLevel="0" collapsed="false">
      <c r="A3234" s="7" t="s">
        <v>4804</v>
      </c>
      <c r="B3234" s="7" t="s">
        <v>4805</v>
      </c>
      <c r="C3234" s="7" t="s">
        <v>47</v>
      </c>
      <c r="D3234" s="7" t="n">
        <v>36</v>
      </c>
      <c r="E3234" s="7" t="s">
        <v>38</v>
      </c>
      <c r="F3234" s="7" t="s">
        <v>49</v>
      </c>
      <c r="G3234" s="8" t="n">
        <v>45975</v>
      </c>
      <c r="H3234" s="8" t="n">
        <v>46027</v>
      </c>
      <c r="I3234" s="7" t="s">
        <v>66</v>
      </c>
      <c r="J3234" s="7" t="s">
        <v>51</v>
      </c>
      <c r="K3234" s="7" t="n">
        <v>52</v>
      </c>
      <c r="L3234" s="7" t="n">
        <v>2</v>
      </c>
      <c r="M3234" s="7" t="n">
        <v>1</v>
      </c>
      <c r="N3234" s="7" t="s">
        <v>42</v>
      </c>
      <c r="O3234" s="7" t="s">
        <v>52</v>
      </c>
      <c r="P3234" s="7" t="n">
        <v>4.7</v>
      </c>
      <c r="Q3234" s="7" t="n">
        <v>11</v>
      </c>
      <c r="R3234" s="7" t="s">
        <v>53</v>
      </c>
      <c r="S3234" s="7"/>
      <c r="T3234" s="7"/>
      <c r="U3234" s="7" t="str">
        <f aca="false">IF(COUNTIF($A$2:$A$5001,A3234)&gt;1,"Duplicate","Unique")</f>
        <v>Unique</v>
      </c>
      <c r="V3234" s="7" t="str">
        <f aca="false">IF(COUNTIFS($B$2:$B$5001,B3234,$H$2:$H$5001,H3234,$J$2:$J$5001,J3234)&gt;1,"Possible Duplicate Booking","Unique")</f>
        <v>Unique</v>
      </c>
      <c r="W3234" s="7" t="str">
        <f aca="false">IF((H3234-G3234)&lt;&gt;K3234,"Mismatch","OK")</f>
        <v>OK</v>
      </c>
      <c r="X3234" s="7" t="str">
        <f aca="false">IF(TEXT(H3234,"dddd")&lt;&gt;I3234,"Mismatch","OK")</f>
        <v>OK</v>
      </c>
      <c r="Y3234" s="7" t="str">
        <f aca="false">IF(AND(N3234="No",O3234&lt;&gt;""),"Unexpected: channel present but no reminder sent",IF(AND(N3234="Yes",O3234=""),"Missing channel for sent reminder","OK"))</f>
        <v>OK</v>
      </c>
    </row>
    <row r="3235" customFormat="false" ht="15" hidden="false" customHeight="false" outlineLevel="0" collapsed="false">
      <c r="A3235" s="9" t="s">
        <v>4806</v>
      </c>
      <c r="B3235" s="9" t="s">
        <v>645</v>
      </c>
      <c r="C3235" s="9" t="s">
        <v>47</v>
      </c>
      <c r="D3235" s="9" t="n">
        <v>43</v>
      </c>
      <c r="E3235" s="9" t="s">
        <v>38</v>
      </c>
      <c r="F3235" s="9" t="s">
        <v>74</v>
      </c>
      <c r="G3235" s="10" t="n">
        <v>45625</v>
      </c>
      <c r="H3235" s="10" t="n">
        <v>45660</v>
      </c>
      <c r="I3235" s="9" t="s">
        <v>50</v>
      </c>
      <c r="J3235" s="9" t="s">
        <v>41</v>
      </c>
      <c r="K3235" s="9" t="n">
        <v>35</v>
      </c>
      <c r="L3235" s="9" t="n">
        <v>4</v>
      </c>
      <c r="M3235" s="9" t="n">
        <v>0</v>
      </c>
      <c r="N3235" s="9" t="s">
        <v>42</v>
      </c>
      <c r="O3235" s="9" t="s">
        <v>52</v>
      </c>
      <c r="P3235" s="9" t="n">
        <v>11.4</v>
      </c>
      <c r="Q3235" s="9" t="n">
        <v>16</v>
      </c>
      <c r="R3235" s="9" t="s">
        <v>53</v>
      </c>
      <c r="S3235" s="9"/>
      <c r="T3235" s="9"/>
      <c r="U3235" s="9" t="str">
        <f aca="false">IF(COUNTIF($A$2:$A$5001,A3235)&gt;1,"Duplicate","Unique")</f>
        <v>Unique</v>
      </c>
      <c r="V3235" s="9" t="str">
        <f aca="false">IF(COUNTIFS($B$2:$B$5001,B3235,$H$2:$H$5001,H3235,$J$2:$J$5001,J3235)&gt;1,"Possible Duplicate Booking","Unique")</f>
        <v>Unique</v>
      </c>
      <c r="W3235" s="9" t="str">
        <f aca="false">IF((H3235-G3235)&lt;&gt;K3235,"Mismatch","OK")</f>
        <v>OK</v>
      </c>
      <c r="X3235" s="9" t="str">
        <f aca="false">IF(TEXT(H3235,"dddd")&lt;&gt;I3235,"Mismatch","OK")</f>
        <v>OK</v>
      </c>
      <c r="Y3235" s="9" t="str">
        <f aca="false">IF(AND(N3235="No",O3235&lt;&gt;""),"Unexpected: channel present but no reminder sent",IF(AND(N3235="Yes",O3235=""),"Missing channel for sent reminder","OK"))</f>
        <v>OK</v>
      </c>
    </row>
    <row r="3236" customFormat="false" ht="15" hidden="false" customHeight="false" outlineLevel="0" collapsed="false">
      <c r="A3236" s="7" t="s">
        <v>4807</v>
      </c>
      <c r="B3236" s="7" t="s">
        <v>4808</v>
      </c>
      <c r="C3236" s="7" t="s">
        <v>37</v>
      </c>
      <c r="D3236" s="7" t="n">
        <v>29</v>
      </c>
      <c r="E3236" s="7" t="s">
        <v>48</v>
      </c>
      <c r="F3236" s="7" t="s">
        <v>57</v>
      </c>
      <c r="G3236" s="8" t="n">
        <v>45949</v>
      </c>
      <c r="H3236" s="8" t="n">
        <v>45970</v>
      </c>
      <c r="I3236" s="7" t="s">
        <v>75</v>
      </c>
      <c r="J3236" s="7" t="s">
        <v>41</v>
      </c>
      <c r="K3236" s="7" t="n">
        <v>21</v>
      </c>
      <c r="L3236" s="7" t="n">
        <v>2</v>
      </c>
      <c r="M3236" s="7" t="n">
        <v>1</v>
      </c>
      <c r="N3236" s="7" t="s">
        <v>42</v>
      </c>
      <c r="O3236" s="7" t="s">
        <v>52</v>
      </c>
      <c r="P3236" s="7" t="n">
        <v>8.8</v>
      </c>
      <c r="Q3236" s="7" t="n">
        <v>26</v>
      </c>
      <c r="R3236" s="7" t="s">
        <v>53</v>
      </c>
      <c r="S3236" s="7"/>
      <c r="T3236" s="7"/>
      <c r="U3236" s="7" t="str">
        <f aca="false">IF(COUNTIF($A$2:$A$5001,A3236)&gt;1,"Duplicate","Unique")</f>
        <v>Unique</v>
      </c>
      <c r="V3236" s="7" t="str">
        <f aca="false">IF(COUNTIFS($B$2:$B$5001,B3236,$H$2:$H$5001,H3236,$J$2:$J$5001,J3236)&gt;1,"Possible Duplicate Booking","Unique")</f>
        <v>Unique</v>
      </c>
      <c r="W3236" s="7" t="str">
        <f aca="false">IF((H3236-G3236)&lt;&gt;K3236,"Mismatch","OK")</f>
        <v>OK</v>
      </c>
      <c r="X3236" s="7" t="str">
        <f aca="false">IF(TEXT(H3236,"dddd")&lt;&gt;I3236,"Mismatch","OK")</f>
        <v>OK</v>
      </c>
      <c r="Y3236" s="7" t="str">
        <f aca="false">IF(AND(N3236="No",O3236&lt;&gt;""),"Unexpected: channel present but no reminder sent",IF(AND(N3236="Yes",O3236=""),"Missing channel for sent reminder","OK"))</f>
        <v>OK</v>
      </c>
    </row>
    <row r="3237" customFormat="false" ht="15" hidden="false" customHeight="false" outlineLevel="0" collapsed="false">
      <c r="A3237" s="9" t="s">
        <v>4809</v>
      </c>
      <c r="B3237" s="9" t="s">
        <v>1053</v>
      </c>
      <c r="C3237" s="9" t="s">
        <v>47</v>
      </c>
      <c r="D3237" s="9" t="n">
        <v>71</v>
      </c>
      <c r="E3237" s="9" t="s">
        <v>70</v>
      </c>
      <c r="F3237" s="9" t="s">
        <v>39</v>
      </c>
      <c r="G3237" s="10" t="n">
        <v>45917</v>
      </c>
      <c r="H3237" s="10" t="n">
        <v>45969</v>
      </c>
      <c r="I3237" s="9" t="s">
        <v>102</v>
      </c>
      <c r="J3237" s="9" t="s">
        <v>41</v>
      </c>
      <c r="K3237" s="9" t="n">
        <v>52</v>
      </c>
      <c r="L3237" s="9" t="n">
        <v>4</v>
      </c>
      <c r="M3237" s="9" t="n">
        <v>1</v>
      </c>
      <c r="N3237" s="9" t="s">
        <v>42</v>
      </c>
      <c r="O3237" s="9" t="s">
        <v>52</v>
      </c>
      <c r="P3237" s="9" t="n">
        <v>16</v>
      </c>
      <c r="Q3237" s="9" t="n">
        <v>22</v>
      </c>
      <c r="R3237" s="9" t="s">
        <v>44</v>
      </c>
      <c r="S3237" s="9"/>
      <c r="T3237" s="9"/>
      <c r="U3237" s="9" t="str">
        <f aca="false">IF(COUNTIF($A$2:$A$5001,A3237)&gt;1,"Duplicate","Unique")</f>
        <v>Unique</v>
      </c>
      <c r="V3237" s="9" t="str">
        <f aca="false">IF(COUNTIFS($B$2:$B$5001,B3237,$H$2:$H$5001,H3237,$J$2:$J$5001,J3237)&gt;1,"Possible Duplicate Booking","Unique")</f>
        <v>Unique</v>
      </c>
      <c r="W3237" s="9" t="str">
        <f aca="false">IF((H3237-G3237)&lt;&gt;K3237,"Mismatch","OK")</f>
        <v>OK</v>
      </c>
      <c r="X3237" s="9" t="str">
        <f aca="false">IF(TEXT(H3237,"dddd")&lt;&gt;I3237,"Mismatch","OK")</f>
        <v>OK</v>
      </c>
      <c r="Y3237" s="9" t="str">
        <f aca="false">IF(AND(N3237="No",O3237&lt;&gt;""),"Unexpected: channel present but no reminder sent",IF(AND(N3237="Yes",O3237=""),"Missing channel for sent reminder","OK"))</f>
        <v>OK</v>
      </c>
    </row>
    <row r="3238" customFormat="false" ht="15" hidden="false" customHeight="false" outlineLevel="0" collapsed="false">
      <c r="A3238" s="7" t="s">
        <v>4810</v>
      </c>
      <c r="B3238" s="7" t="s">
        <v>4114</v>
      </c>
      <c r="C3238" s="7" t="s">
        <v>47</v>
      </c>
      <c r="D3238" s="7" t="n">
        <v>77</v>
      </c>
      <c r="E3238" s="7" t="s">
        <v>70</v>
      </c>
      <c r="F3238" s="7" t="s">
        <v>57</v>
      </c>
      <c r="G3238" s="8" t="n">
        <v>45798</v>
      </c>
      <c r="H3238" s="8" t="n">
        <v>45856</v>
      </c>
      <c r="I3238" s="7" t="s">
        <v>50</v>
      </c>
      <c r="J3238" s="7" t="s">
        <v>51</v>
      </c>
      <c r="K3238" s="7" t="n">
        <v>58</v>
      </c>
      <c r="L3238" s="7" t="n">
        <v>1</v>
      </c>
      <c r="M3238" s="7" t="n">
        <v>0</v>
      </c>
      <c r="N3238" s="7" t="s">
        <v>42</v>
      </c>
      <c r="O3238" s="7" t="s">
        <v>52</v>
      </c>
      <c r="P3238" s="7" t="n">
        <v>15.4</v>
      </c>
      <c r="Q3238" s="7" t="n">
        <v>49</v>
      </c>
      <c r="R3238" s="7" t="s">
        <v>44</v>
      </c>
      <c r="S3238" s="7"/>
      <c r="T3238" s="7"/>
      <c r="U3238" s="7" t="str">
        <f aca="false">IF(COUNTIF($A$2:$A$5001,A3238)&gt;1,"Duplicate","Unique")</f>
        <v>Unique</v>
      </c>
      <c r="V3238" s="7" t="str">
        <f aca="false">IF(COUNTIFS($B$2:$B$5001,B3238,$H$2:$H$5001,H3238,$J$2:$J$5001,J3238)&gt;1,"Possible Duplicate Booking","Unique")</f>
        <v>Unique</v>
      </c>
      <c r="W3238" s="7" t="str">
        <f aca="false">IF((H3238-G3238)&lt;&gt;K3238,"Mismatch","OK")</f>
        <v>OK</v>
      </c>
      <c r="X3238" s="7" t="str">
        <f aca="false">IF(TEXT(H3238,"dddd")&lt;&gt;I3238,"Mismatch","OK")</f>
        <v>OK</v>
      </c>
      <c r="Y3238" s="7" t="str">
        <f aca="false">IF(AND(N3238="No",O3238&lt;&gt;""),"Unexpected: channel present but no reminder sent",IF(AND(N3238="Yes",O3238=""),"Missing channel for sent reminder","OK"))</f>
        <v>OK</v>
      </c>
    </row>
    <row r="3239" customFormat="false" ht="15" hidden="false" customHeight="false" outlineLevel="0" collapsed="false">
      <c r="A3239" s="9" t="s">
        <v>4811</v>
      </c>
      <c r="B3239" s="9" t="s">
        <v>286</v>
      </c>
      <c r="C3239" s="9" t="s">
        <v>37</v>
      </c>
      <c r="D3239" s="9" t="n">
        <v>33</v>
      </c>
      <c r="E3239" s="9" t="s">
        <v>48</v>
      </c>
      <c r="F3239" s="9" t="s">
        <v>57</v>
      </c>
      <c r="G3239" s="10" t="n">
        <v>46181</v>
      </c>
      <c r="H3239" s="10" t="n">
        <v>46200</v>
      </c>
      <c r="I3239" s="9" t="s">
        <v>102</v>
      </c>
      <c r="J3239" s="9" t="s">
        <v>63</v>
      </c>
      <c r="K3239" s="9" t="n">
        <v>19</v>
      </c>
      <c r="L3239" s="9" t="n">
        <v>4</v>
      </c>
      <c r="M3239" s="9" t="n">
        <v>0</v>
      </c>
      <c r="N3239" s="9" t="s">
        <v>42</v>
      </c>
      <c r="O3239" s="9" t="s">
        <v>43</v>
      </c>
      <c r="P3239" s="9" t="n">
        <v>15.1</v>
      </c>
      <c r="Q3239" s="9" t="n">
        <v>5</v>
      </c>
      <c r="R3239" s="9" t="s">
        <v>53</v>
      </c>
      <c r="S3239" s="9"/>
      <c r="T3239" s="9"/>
      <c r="U3239" s="9" t="str">
        <f aca="false">IF(COUNTIF($A$2:$A$5001,A3239)&gt;1,"Duplicate","Unique")</f>
        <v>Unique</v>
      </c>
      <c r="V3239" s="9" t="str">
        <f aca="false">IF(COUNTIFS($B$2:$B$5001,B3239,$H$2:$H$5001,H3239,$J$2:$J$5001,J3239)&gt;1,"Possible Duplicate Booking","Unique")</f>
        <v>Unique</v>
      </c>
      <c r="W3239" s="9" t="str">
        <f aca="false">IF((H3239-G3239)&lt;&gt;K3239,"Mismatch","OK")</f>
        <v>OK</v>
      </c>
      <c r="X3239" s="9" t="str">
        <f aca="false">IF(TEXT(H3239,"dddd")&lt;&gt;I3239,"Mismatch","OK")</f>
        <v>OK</v>
      </c>
      <c r="Y3239" s="9" t="str">
        <f aca="false">IF(AND(N3239="No",O3239&lt;&gt;""),"Unexpected: channel present but no reminder sent",IF(AND(N3239="Yes",O3239=""),"Missing channel for sent reminder","OK"))</f>
        <v>OK</v>
      </c>
    </row>
    <row r="3240" customFormat="false" ht="15" hidden="false" customHeight="false" outlineLevel="0" collapsed="false">
      <c r="A3240" s="7" t="s">
        <v>4812</v>
      </c>
      <c r="B3240" s="7" t="s">
        <v>2666</v>
      </c>
      <c r="C3240" s="7" t="s">
        <v>47</v>
      </c>
      <c r="D3240" s="7" t="n">
        <v>19</v>
      </c>
      <c r="E3240" s="7" t="s">
        <v>82</v>
      </c>
      <c r="F3240" s="7" t="s">
        <v>49</v>
      </c>
      <c r="G3240" s="8" t="n">
        <v>46109</v>
      </c>
      <c r="H3240" s="8" t="n">
        <v>46140</v>
      </c>
      <c r="I3240" s="7" t="s">
        <v>40</v>
      </c>
      <c r="J3240" s="7" t="s">
        <v>51</v>
      </c>
      <c r="K3240" s="7" t="n">
        <v>31</v>
      </c>
      <c r="L3240" s="7" t="n">
        <v>2</v>
      </c>
      <c r="M3240" s="7" t="n">
        <v>0</v>
      </c>
      <c r="N3240" s="7" t="s">
        <v>71</v>
      </c>
      <c r="O3240" s="7"/>
      <c r="P3240" s="7" t="n">
        <v>18.5</v>
      </c>
      <c r="Q3240" s="7" t="n">
        <v>20</v>
      </c>
      <c r="R3240" s="7" t="s">
        <v>87</v>
      </c>
      <c r="S3240" s="7"/>
      <c r="T3240" s="7"/>
      <c r="U3240" s="7" t="str">
        <f aca="false">IF(COUNTIF($A$2:$A$5001,A3240)&gt;1,"Duplicate","Unique")</f>
        <v>Unique</v>
      </c>
      <c r="V3240" s="7" t="str">
        <f aca="false">IF(COUNTIFS($B$2:$B$5001,B3240,$H$2:$H$5001,H3240,$J$2:$J$5001,J3240)&gt;1,"Possible Duplicate Booking","Unique")</f>
        <v>Unique</v>
      </c>
      <c r="W3240" s="7" t="str">
        <f aca="false">IF((H3240-G3240)&lt;&gt;K3240,"Mismatch","OK")</f>
        <v>OK</v>
      </c>
      <c r="X3240" s="7" t="str">
        <f aca="false">IF(TEXT(H3240,"dddd")&lt;&gt;I3240,"Mismatch","OK")</f>
        <v>OK</v>
      </c>
      <c r="Y3240" s="7" t="str">
        <f aca="false">IF(AND(N3240="No",O3240&lt;&gt;""),"Unexpected: channel present but no reminder sent",IF(AND(N3240="Yes",O3240=""),"Missing channel for sent reminder","OK"))</f>
        <v>OK</v>
      </c>
    </row>
    <row r="3241" customFormat="false" ht="15" hidden="false" customHeight="false" outlineLevel="0" collapsed="false">
      <c r="A3241" s="9" t="s">
        <v>4813</v>
      </c>
      <c r="B3241" s="9" t="s">
        <v>4004</v>
      </c>
      <c r="C3241" s="9" t="s">
        <v>37</v>
      </c>
      <c r="D3241" s="9" t="n">
        <v>34</v>
      </c>
      <c r="E3241" s="9" t="s">
        <v>48</v>
      </c>
      <c r="F3241" s="9" t="s">
        <v>57</v>
      </c>
      <c r="G3241" s="10" t="n">
        <v>45650</v>
      </c>
      <c r="H3241" s="10" t="n">
        <v>45679</v>
      </c>
      <c r="I3241" s="9" t="s">
        <v>58</v>
      </c>
      <c r="J3241" s="9" t="s">
        <v>41</v>
      </c>
      <c r="K3241" s="9" t="n">
        <v>29</v>
      </c>
      <c r="L3241" s="9" t="n">
        <v>3</v>
      </c>
      <c r="M3241" s="9" t="n">
        <v>2</v>
      </c>
      <c r="N3241" s="9" t="s">
        <v>42</v>
      </c>
      <c r="O3241" s="9" t="s">
        <v>67</v>
      </c>
      <c r="P3241" s="9" t="n">
        <v>12.2</v>
      </c>
      <c r="Q3241" s="9" t="n">
        <v>33</v>
      </c>
      <c r="R3241" s="9" t="s">
        <v>53</v>
      </c>
      <c r="S3241" s="9"/>
      <c r="T3241" s="9"/>
      <c r="U3241" s="9" t="str">
        <f aca="false">IF(COUNTIF($A$2:$A$5001,A3241)&gt;1,"Duplicate","Unique")</f>
        <v>Unique</v>
      </c>
      <c r="V3241" s="9" t="str">
        <f aca="false">IF(COUNTIFS($B$2:$B$5001,B3241,$H$2:$H$5001,H3241,$J$2:$J$5001,J3241)&gt;1,"Possible Duplicate Booking","Unique")</f>
        <v>Unique</v>
      </c>
      <c r="W3241" s="9" t="str">
        <f aca="false">IF((H3241-G3241)&lt;&gt;K3241,"Mismatch","OK")</f>
        <v>OK</v>
      </c>
      <c r="X3241" s="9" t="str">
        <f aca="false">IF(TEXT(H3241,"dddd")&lt;&gt;I3241,"Mismatch","OK")</f>
        <v>OK</v>
      </c>
      <c r="Y3241" s="9" t="str">
        <f aca="false">IF(AND(N3241="No",O3241&lt;&gt;""),"Unexpected: channel present but no reminder sent",IF(AND(N3241="Yes",O3241=""),"Missing channel for sent reminder","OK"))</f>
        <v>OK</v>
      </c>
    </row>
    <row r="3242" customFormat="false" ht="15" hidden="false" customHeight="false" outlineLevel="0" collapsed="false">
      <c r="A3242" s="7" t="s">
        <v>4814</v>
      </c>
      <c r="B3242" s="7" t="s">
        <v>184</v>
      </c>
      <c r="C3242" s="7" t="s">
        <v>37</v>
      </c>
      <c r="D3242" s="7" t="n">
        <v>54</v>
      </c>
      <c r="E3242" s="7" t="s">
        <v>56</v>
      </c>
      <c r="F3242" s="7" t="s">
        <v>74</v>
      </c>
      <c r="G3242" s="8" t="n">
        <v>45730</v>
      </c>
      <c r="H3242" s="8" t="n">
        <v>45772</v>
      </c>
      <c r="I3242" s="7" t="s">
        <v>50</v>
      </c>
      <c r="J3242" s="7" t="s">
        <v>41</v>
      </c>
      <c r="K3242" s="7" t="n">
        <v>42</v>
      </c>
      <c r="L3242" s="7" t="n">
        <v>0</v>
      </c>
      <c r="M3242" s="7" t="n">
        <v>0</v>
      </c>
      <c r="N3242" s="7" t="s">
        <v>42</v>
      </c>
      <c r="O3242" s="7" t="s">
        <v>67</v>
      </c>
      <c r="P3242" s="7" t="n">
        <v>5</v>
      </c>
      <c r="Q3242" s="7" t="n">
        <v>19</v>
      </c>
      <c r="R3242" s="7" t="s">
        <v>44</v>
      </c>
      <c r="S3242" s="7"/>
      <c r="T3242" s="7"/>
      <c r="U3242" s="7" t="str">
        <f aca="false">IF(COUNTIF($A$2:$A$5001,A3242)&gt;1,"Duplicate","Unique")</f>
        <v>Unique</v>
      </c>
      <c r="V3242" s="7" t="str">
        <f aca="false">IF(COUNTIFS($B$2:$B$5001,B3242,$H$2:$H$5001,H3242,$J$2:$J$5001,J3242)&gt;1,"Possible Duplicate Booking","Unique")</f>
        <v>Unique</v>
      </c>
      <c r="W3242" s="7" t="str">
        <f aca="false">IF((H3242-G3242)&lt;&gt;K3242,"Mismatch","OK")</f>
        <v>OK</v>
      </c>
      <c r="X3242" s="7" t="str">
        <f aca="false">IF(TEXT(H3242,"dddd")&lt;&gt;I3242,"Mismatch","OK")</f>
        <v>OK</v>
      </c>
      <c r="Y3242" s="7" t="str">
        <f aca="false">IF(AND(N3242="No",O3242&lt;&gt;""),"Unexpected: channel present but no reminder sent",IF(AND(N3242="Yes",O3242=""),"Missing channel for sent reminder","OK"))</f>
        <v>OK</v>
      </c>
    </row>
    <row r="3243" customFormat="false" ht="15" hidden="false" customHeight="false" outlineLevel="0" collapsed="false">
      <c r="A3243" s="9" t="s">
        <v>4815</v>
      </c>
      <c r="B3243" s="9" t="s">
        <v>399</v>
      </c>
      <c r="C3243" s="9" t="s">
        <v>236</v>
      </c>
      <c r="D3243" s="9" t="n">
        <v>68</v>
      </c>
      <c r="E3243" s="9" t="s">
        <v>70</v>
      </c>
      <c r="F3243" s="9" t="s">
        <v>49</v>
      </c>
      <c r="G3243" s="10" t="n">
        <v>45713</v>
      </c>
      <c r="H3243" s="10" t="n">
        <v>45771</v>
      </c>
      <c r="I3243" s="9" t="s">
        <v>62</v>
      </c>
      <c r="J3243" s="9" t="s">
        <v>41</v>
      </c>
      <c r="K3243" s="9" t="n">
        <v>58</v>
      </c>
      <c r="L3243" s="9" t="n">
        <v>5</v>
      </c>
      <c r="M3243" s="9" t="n">
        <v>1</v>
      </c>
      <c r="N3243" s="9" t="s">
        <v>42</v>
      </c>
      <c r="O3243" s="9" t="s">
        <v>43</v>
      </c>
      <c r="P3243" s="9" t="n">
        <v>13</v>
      </c>
      <c r="Q3243" s="9" t="n">
        <v>24</v>
      </c>
      <c r="R3243" s="9" t="s">
        <v>44</v>
      </c>
      <c r="S3243" s="9"/>
      <c r="T3243" s="9"/>
      <c r="U3243" s="9" t="str">
        <f aca="false">IF(COUNTIF($A$2:$A$5001,A3243)&gt;1,"Duplicate","Unique")</f>
        <v>Unique</v>
      </c>
      <c r="V3243" s="9" t="str">
        <f aca="false">IF(COUNTIFS($B$2:$B$5001,B3243,$H$2:$H$5001,H3243,$J$2:$J$5001,J3243)&gt;1,"Possible Duplicate Booking","Unique")</f>
        <v>Unique</v>
      </c>
      <c r="W3243" s="9" t="str">
        <f aca="false">IF((H3243-G3243)&lt;&gt;K3243,"Mismatch","OK")</f>
        <v>OK</v>
      </c>
      <c r="X3243" s="9" t="str">
        <f aca="false">IF(TEXT(H3243,"dddd")&lt;&gt;I3243,"Mismatch","OK")</f>
        <v>OK</v>
      </c>
      <c r="Y3243" s="9" t="str">
        <f aca="false">IF(AND(N3243="No",O3243&lt;&gt;""),"Unexpected: channel present but no reminder sent",IF(AND(N3243="Yes",O3243=""),"Missing channel for sent reminder","OK"))</f>
        <v>OK</v>
      </c>
    </row>
    <row r="3244" customFormat="false" ht="15" hidden="false" customHeight="false" outlineLevel="0" collapsed="false">
      <c r="A3244" s="7" t="s">
        <v>4816</v>
      </c>
      <c r="B3244" s="7" t="s">
        <v>2892</v>
      </c>
      <c r="C3244" s="7" t="s">
        <v>37</v>
      </c>
      <c r="D3244" s="7" t="n">
        <v>39</v>
      </c>
      <c r="E3244" s="7" t="s">
        <v>38</v>
      </c>
      <c r="F3244" s="7" t="s">
        <v>57</v>
      </c>
      <c r="G3244" s="8" t="n">
        <v>46115</v>
      </c>
      <c r="H3244" s="8" t="n">
        <v>46148</v>
      </c>
      <c r="I3244" s="7" t="s">
        <v>58</v>
      </c>
      <c r="J3244" s="7" t="s">
        <v>41</v>
      </c>
      <c r="K3244" s="7" t="n">
        <v>33</v>
      </c>
      <c r="L3244" s="7" t="n">
        <v>2</v>
      </c>
      <c r="M3244" s="7" t="n">
        <v>0</v>
      </c>
      <c r="N3244" s="7" t="s">
        <v>42</v>
      </c>
      <c r="O3244" s="7" t="s">
        <v>52</v>
      </c>
      <c r="P3244" s="7" t="n">
        <v>15.8</v>
      </c>
      <c r="Q3244" s="7" t="n">
        <v>52</v>
      </c>
      <c r="R3244" s="7" t="s">
        <v>53</v>
      </c>
      <c r="S3244" s="7"/>
      <c r="T3244" s="7"/>
      <c r="U3244" s="7" t="str">
        <f aca="false">IF(COUNTIF($A$2:$A$5001,A3244)&gt;1,"Duplicate","Unique")</f>
        <v>Unique</v>
      </c>
      <c r="V3244" s="7" t="str">
        <f aca="false">IF(COUNTIFS($B$2:$B$5001,B3244,$H$2:$H$5001,H3244,$J$2:$J$5001,J3244)&gt;1,"Possible Duplicate Booking","Unique")</f>
        <v>Unique</v>
      </c>
      <c r="W3244" s="7" t="str">
        <f aca="false">IF((H3244-G3244)&lt;&gt;K3244,"Mismatch","OK")</f>
        <v>OK</v>
      </c>
      <c r="X3244" s="7" t="str">
        <f aca="false">IF(TEXT(H3244,"dddd")&lt;&gt;I3244,"Mismatch","OK")</f>
        <v>OK</v>
      </c>
      <c r="Y3244" s="7" t="str">
        <f aca="false">IF(AND(N3244="No",O3244&lt;&gt;""),"Unexpected: channel present but no reminder sent",IF(AND(N3244="Yes",O3244=""),"Missing channel for sent reminder","OK"))</f>
        <v>OK</v>
      </c>
    </row>
    <row r="3245" customFormat="false" ht="15" hidden="false" customHeight="false" outlineLevel="0" collapsed="false">
      <c r="A3245" s="9" t="s">
        <v>4817</v>
      </c>
      <c r="B3245" s="9" t="s">
        <v>4506</v>
      </c>
      <c r="C3245" s="9" t="s">
        <v>37</v>
      </c>
      <c r="D3245" s="9" t="n">
        <v>35</v>
      </c>
      <c r="E3245" s="9" t="s">
        <v>38</v>
      </c>
      <c r="F3245" s="9" t="s">
        <v>49</v>
      </c>
      <c r="G3245" s="10" t="n">
        <v>45893</v>
      </c>
      <c r="H3245" s="10" t="n">
        <v>45941</v>
      </c>
      <c r="I3245" s="9" t="s">
        <v>102</v>
      </c>
      <c r="J3245" s="9" t="s">
        <v>41</v>
      </c>
      <c r="K3245" s="9" t="n">
        <v>48</v>
      </c>
      <c r="L3245" s="9" t="n">
        <v>2</v>
      </c>
      <c r="M3245" s="9" t="n">
        <v>0</v>
      </c>
      <c r="N3245" s="9" t="s">
        <v>42</v>
      </c>
      <c r="O3245" s="9" t="s">
        <v>52</v>
      </c>
      <c r="P3245" s="9" t="n">
        <v>16.2</v>
      </c>
      <c r="Q3245" s="9" t="n">
        <v>25</v>
      </c>
      <c r="R3245" s="9" t="s">
        <v>87</v>
      </c>
      <c r="S3245" s="9"/>
      <c r="T3245" s="9"/>
      <c r="U3245" s="9" t="str">
        <f aca="false">IF(COUNTIF($A$2:$A$5001,A3245)&gt;1,"Duplicate","Unique")</f>
        <v>Unique</v>
      </c>
      <c r="V3245" s="9" t="str">
        <f aca="false">IF(COUNTIFS($B$2:$B$5001,B3245,$H$2:$H$5001,H3245,$J$2:$J$5001,J3245)&gt;1,"Possible Duplicate Booking","Unique")</f>
        <v>Unique</v>
      </c>
      <c r="W3245" s="9" t="str">
        <f aca="false">IF((H3245-G3245)&lt;&gt;K3245,"Mismatch","OK")</f>
        <v>OK</v>
      </c>
      <c r="X3245" s="9" t="str">
        <f aca="false">IF(TEXT(H3245,"dddd")&lt;&gt;I3245,"Mismatch","OK")</f>
        <v>OK</v>
      </c>
      <c r="Y3245" s="9" t="str">
        <f aca="false">IF(AND(N3245="No",O3245&lt;&gt;""),"Unexpected: channel present but no reminder sent",IF(AND(N3245="Yes",O3245=""),"Missing channel for sent reminder","OK"))</f>
        <v>OK</v>
      </c>
    </row>
    <row r="3246" customFormat="false" ht="15" hidden="false" customHeight="false" outlineLevel="0" collapsed="false">
      <c r="A3246" s="7" t="s">
        <v>4818</v>
      </c>
      <c r="B3246" s="7" t="s">
        <v>1486</v>
      </c>
      <c r="C3246" s="7" t="s">
        <v>37</v>
      </c>
      <c r="D3246" s="7" t="n">
        <v>33</v>
      </c>
      <c r="E3246" s="7" t="s">
        <v>48</v>
      </c>
      <c r="F3246" s="7" t="s">
        <v>49</v>
      </c>
      <c r="G3246" s="8" t="n">
        <v>46019</v>
      </c>
      <c r="H3246" s="8" t="n">
        <v>46055</v>
      </c>
      <c r="I3246" s="7" t="s">
        <v>66</v>
      </c>
      <c r="J3246" s="7" t="s">
        <v>51</v>
      </c>
      <c r="K3246" s="7" t="n">
        <v>36</v>
      </c>
      <c r="L3246" s="7" t="n">
        <v>6</v>
      </c>
      <c r="M3246" s="7" t="n">
        <v>2</v>
      </c>
      <c r="N3246" s="7" t="s">
        <v>71</v>
      </c>
      <c r="O3246" s="7"/>
      <c r="P3246" s="7" t="n">
        <v>6.2</v>
      </c>
      <c r="Q3246" s="7" t="n">
        <v>39</v>
      </c>
      <c r="R3246" s="7" t="s">
        <v>53</v>
      </c>
      <c r="S3246" s="7"/>
      <c r="T3246" s="7"/>
      <c r="U3246" s="7" t="str">
        <f aca="false">IF(COUNTIF($A$2:$A$5001,A3246)&gt;1,"Duplicate","Unique")</f>
        <v>Unique</v>
      </c>
      <c r="V3246" s="7" t="str">
        <f aca="false">IF(COUNTIFS($B$2:$B$5001,B3246,$H$2:$H$5001,H3246,$J$2:$J$5001,J3246)&gt;1,"Possible Duplicate Booking","Unique")</f>
        <v>Unique</v>
      </c>
      <c r="W3246" s="7" t="str">
        <f aca="false">IF((H3246-G3246)&lt;&gt;K3246,"Mismatch","OK")</f>
        <v>OK</v>
      </c>
      <c r="X3246" s="7" t="str">
        <f aca="false">IF(TEXT(H3246,"dddd")&lt;&gt;I3246,"Mismatch","OK")</f>
        <v>OK</v>
      </c>
      <c r="Y3246" s="7" t="str">
        <f aca="false">IF(AND(N3246="No",O3246&lt;&gt;""),"Unexpected: channel present but no reminder sent",IF(AND(N3246="Yes",O3246=""),"Missing channel for sent reminder","OK"))</f>
        <v>OK</v>
      </c>
    </row>
    <row r="3247" customFormat="false" ht="15" hidden="false" customHeight="false" outlineLevel="0" collapsed="false">
      <c r="A3247" s="9" t="s">
        <v>4819</v>
      </c>
      <c r="B3247" s="9" t="s">
        <v>2429</v>
      </c>
      <c r="C3247" s="9" t="s">
        <v>236</v>
      </c>
      <c r="D3247" s="9" t="n">
        <v>18</v>
      </c>
      <c r="E3247" s="9" t="s">
        <v>82</v>
      </c>
      <c r="F3247" s="9" t="s">
        <v>39</v>
      </c>
      <c r="G3247" s="10" t="n">
        <v>46046</v>
      </c>
      <c r="H3247" s="10" t="n">
        <v>46100</v>
      </c>
      <c r="I3247" s="9" t="s">
        <v>62</v>
      </c>
      <c r="J3247" s="9" t="s">
        <v>51</v>
      </c>
      <c r="K3247" s="9" t="n">
        <v>54</v>
      </c>
      <c r="L3247" s="9" t="n">
        <v>4</v>
      </c>
      <c r="M3247" s="9" t="n">
        <v>0</v>
      </c>
      <c r="N3247" s="9" t="s">
        <v>42</v>
      </c>
      <c r="O3247" s="9" t="s">
        <v>52</v>
      </c>
      <c r="P3247" s="9" t="n">
        <v>1.5</v>
      </c>
      <c r="Q3247" s="9" t="n">
        <v>31</v>
      </c>
      <c r="R3247" s="9" t="s">
        <v>44</v>
      </c>
      <c r="S3247" s="9"/>
      <c r="T3247" s="9"/>
      <c r="U3247" s="9" t="str">
        <f aca="false">IF(COUNTIF($A$2:$A$5001,A3247)&gt;1,"Duplicate","Unique")</f>
        <v>Unique</v>
      </c>
      <c r="V3247" s="9" t="str">
        <f aca="false">IF(COUNTIFS($B$2:$B$5001,B3247,$H$2:$H$5001,H3247,$J$2:$J$5001,J3247)&gt;1,"Possible Duplicate Booking","Unique")</f>
        <v>Unique</v>
      </c>
      <c r="W3247" s="9" t="str">
        <f aca="false">IF((H3247-G3247)&lt;&gt;K3247,"Mismatch","OK")</f>
        <v>OK</v>
      </c>
      <c r="X3247" s="9" t="str">
        <f aca="false">IF(TEXT(H3247,"dddd")&lt;&gt;I3247,"Mismatch","OK")</f>
        <v>OK</v>
      </c>
      <c r="Y3247" s="9" t="str">
        <f aca="false">IF(AND(N3247="No",O3247&lt;&gt;""),"Unexpected: channel present but no reminder sent",IF(AND(N3247="Yes",O3247=""),"Missing channel for sent reminder","OK"))</f>
        <v>OK</v>
      </c>
    </row>
    <row r="3248" customFormat="false" ht="15" hidden="false" customHeight="false" outlineLevel="0" collapsed="false">
      <c r="A3248" s="7" t="s">
        <v>4820</v>
      </c>
      <c r="B3248" s="7" t="s">
        <v>4821</v>
      </c>
      <c r="C3248" s="7" t="s">
        <v>37</v>
      </c>
      <c r="D3248" s="7" t="n">
        <v>18</v>
      </c>
      <c r="E3248" s="7" t="s">
        <v>82</v>
      </c>
      <c r="F3248" s="7" t="s">
        <v>39</v>
      </c>
      <c r="G3248" s="8" t="n">
        <v>46053</v>
      </c>
      <c r="H3248" s="8" t="n">
        <v>46077</v>
      </c>
      <c r="I3248" s="7" t="s">
        <v>40</v>
      </c>
      <c r="J3248" s="7" t="s">
        <v>41</v>
      </c>
      <c r="K3248" s="7" t="n">
        <v>24</v>
      </c>
      <c r="L3248" s="7" t="n">
        <v>2</v>
      </c>
      <c r="M3248" s="7" t="n">
        <v>0</v>
      </c>
      <c r="N3248" s="7" t="s">
        <v>42</v>
      </c>
      <c r="O3248" s="7" t="s">
        <v>52</v>
      </c>
      <c r="P3248" s="7" t="n">
        <v>20.7</v>
      </c>
      <c r="Q3248" s="7" t="n">
        <v>32</v>
      </c>
      <c r="R3248" s="7" t="s">
        <v>53</v>
      </c>
      <c r="S3248" s="7"/>
      <c r="T3248" s="7"/>
      <c r="U3248" s="7" t="str">
        <f aca="false">IF(COUNTIF($A$2:$A$5001,A3248)&gt;1,"Duplicate","Unique")</f>
        <v>Unique</v>
      </c>
      <c r="V3248" s="7" t="str">
        <f aca="false">IF(COUNTIFS($B$2:$B$5001,B3248,$H$2:$H$5001,H3248,$J$2:$J$5001,J3248)&gt;1,"Possible Duplicate Booking","Unique")</f>
        <v>Unique</v>
      </c>
      <c r="W3248" s="7" t="str">
        <f aca="false">IF((H3248-G3248)&lt;&gt;K3248,"Mismatch","OK")</f>
        <v>OK</v>
      </c>
      <c r="X3248" s="7" t="str">
        <f aca="false">IF(TEXT(H3248,"dddd")&lt;&gt;I3248,"Mismatch","OK")</f>
        <v>OK</v>
      </c>
      <c r="Y3248" s="7" t="str">
        <f aca="false">IF(AND(N3248="No",O3248&lt;&gt;""),"Unexpected: channel present but no reminder sent",IF(AND(N3248="Yes",O3248=""),"Missing channel for sent reminder","OK"))</f>
        <v>OK</v>
      </c>
    </row>
    <row r="3249" customFormat="false" ht="15" hidden="false" customHeight="false" outlineLevel="0" collapsed="false">
      <c r="A3249" s="9" t="s">
        <v>4822</v>
      </c>
      <c r="B3249" s="9" t="s">
        <v>3129</v>
      </c>
      <c r="C3249" s="9" t="s">
        <v>37</v>
      </c>
      <c r="D3249" s="9" t="n">
        <v>44</v>
      </c>
      <c r="E3249" s="9" t="s">
        <v>38</v>
      </c>
      <c r="F3249" s="9" t="s">
        <v>49</v>
      </c>
      <c r="G3249" s="10" t="n">
        <v>45683</v>
      </c>
      <c r="H3249" s="10" t="n">
        <v>45706</v>
      </c>
      <c r="I3249" s="9" t="s">
        <v>40</v>
      </c>
      <c r="J3249" s="9" t="s">
        <v>41</v>
      </c>
      <c r="K3249" s="9" t="n">
        <v>23</v>
      </c>
      <c r="L3249" s="9" t="n">
        <v>4</v>
      </c>
      <c r="M3249" s="9" t="n">
        <v>0</v>
      </c>
      <c r="N3249" s="9" t="s">
        <v>42</v>
      </c>
      <c r="O3249" s="9" t="s">
        <v>67</v>
      </c>
      <c r="P3249" s="9" t="n">
        <v>5.8</v>
      </c>
      <c r="Q3249" s="9" t="n">
        <v>22</v>
      </c>
      <c r="R3249" s="9" t="s">
        <v>53</v>
      </c>
      <c r="S3249" s="9"/>
      <c r="T3249" s="9"/>
      <c r="U3249" s="9" t="str">
        <f aca="false">IF(COUNTIF($A$2:$A$5001,A3249)&gt;1,"Duplicate","Unique")</f>
        <v>Unique</v>
      </c>
      <c r="V3249" s="9" t="str">
        <f aca="false">IF(COUNTIFS($B$2:$B$5001,B3249,$H$2:$H$5001,H3249,$J$2:$J$5001,J3249)&gt;1,"Possible Duplicate Booking","Unique")</f>
        <v>Unique</v>
      </c>
      <c r="W3249" s="9" t="str">
        <f aca="false">IF((H3249-G3249)&lt;&gt;K3249,"Mismatch","OK")</f>
        <v>OK</v>
      </c>
      <c r="X3249" s="9" t="str">
        <f aca="false">IF(TEXT(H3249,"dddd")&lt;&gt;I3249,"Mismatch","OK")</f>
        <v>OK</v>
      </c>
      <c r="Y3249" s="9" t="str">
        <f aca="false">IF(AND(N3249="No",O3249&lt;&gt;""),"Unexpected: channel present but no reminder sent",IF(AND(N3249="Yes",O3249=""),"Missing channel for sent reminder","OK"))</f>
        <v>OK</v>
      </c>
    </row>
    <row r="3250" customFormat="false" ht="15" hidden="false" customHeight="false" outlineLevel="0" collapsed="false">
      <c r="A3250" s="7" t="s">
        <v>4823</v>
      </c>
      <c r="B3250" s="7" t="s">
        <v>2649</v>
      </c>
      <c r="C3250" s="7" t="s">
        <v>47</v>
      </c>
      <c r="D3250" s="7" t="n">
        <v>56</v>
      </c>
      <c r="E3250" s="7" t="s">
        <v>61</v>
      </c>
      <c r="F3250" s="7" t="s">
        <v>39</v>
      </c>
      <c r="G3250" s="8" t="n">
        <v>45709</v>
      </c>
      <c r="H3250" s="8" t="n">
        <v>45734</v>
      </c>
      <c r="I3250" s="7" t="s">
        <v>40</v>
      </c>
      <c r="J3250" s="7" t="s">
        <v>41</v>
      </c>
      <c r="K3250" s="7" t="n">
        <v>25</v>
      </c>
      <c r="L3250" s="7" t="n">
        <v>2</v>
      </c>
      <c r="M3250" s="7" t="n">
        <v>0</v>
      </c>
      <c r="N3250" s="7" t="s">
        <v>42</v>
      </c>
      <c r="O3250" s="7" t="s">
        <v>43</v>
      </c>
      <c r="P3250" s="7" t="n">
        <v>7.7</v>
      </c>
      <c r="Q3250" s="7" t="n">
        <v>6</v>
      </c>
      <c r="R3250" s="7" t="s">
        <v>53</v>
      </c>
      <c r="S3250" s="7"/>
      <c r="T3250" s="7"/>
      <c r="U3250" s="7" t="str">
        <f aca="false">IF(COUNTIF($A$2:$A$5001,A3250)&gt;1,"Duplicate","Unique")</f>
        <v>Unique</v>
      </c>
      <c r="V3250" s="7" t="str">
        <f aca="false">IF(COUNTIFS($B$2:$B$5001,B3250,$H$2:$H$5001,H3250,$J$2:$J$5001,J3250)&gt;1,"Possible Duplicate Booking","Unique")</f>
        <v>Possible Duplicate Booking</v>
      </c>
      <c r="W3250" s="7" t="str">
        <f aca="false">IF((H3250-G3250)&lt;&gt;K3250,"Mismatch","OK")</f>
        <v>OK</v>
      </c>
      <c r="X3250" s="7" t="str">
        <f aca="false">IF(TEXT(H3250,"dddd")&lt;&gt;I3250,"Mismatch","OK")</f>
        <v>OK</v>
      </c>
      <c r="Y3250" s="7" t="str">
        <f aca="false">IF(AND(N3250="No",O3250&lt;&gt;""),"Unexpected: channel present but no reminder sent",IF(AND(N3250="Yes",O3250=""),"Missing channel for sent reminder","OK"))</f>
        <v>OK</v>
      </c>
    </row>
    <row r="3251" customFormat="false" ht="15" hidden="false" customHeight="false" outlineLevel="0" collapsed="false">
      <c r="A3251" s="9" t="s">
        <v>4824</v>
      </c>
      <c r="B3251" s="9" t="s">
        <v>835</v>
      </c>
      <c r="C3251" s="9" t="s">
        <v>47</v>
      </c>
      <c r="D3251" s="9" t="n">
        <v>18</v>
      </c>
      <c r="E3251" s="9" t="s">
        <v>82</v>
      </c>
      <c r="F3251" s="9" t="s">
        <v>57</v>
      </c>
      <c r="G3251" s="10" t="n">
        <v>45813</v>
      </c>
      <c r="H3251" s="10" t="n">
        <v>45873</v>
      </c>
      <c r="I3251" s="9" t="s">
        <v>66</v>
      </c>
      <c r="J3251" s="9" t="s">
        <v>51</v>
      </c>
      <c r="K3251" s="9" t="n">
        <v>60</v>
      </c>
      <c r="L3251" s="9" t="n">
        <v>1</v>
      </c>
      <c r="M3251" s="9" t="n">
        <v>0</v>
      </c>
      <c r="N3251" s="9" t="s">
        <v>71</v>
      </c>
      <c r="O3251" s="9"/>
      <c r="P3251" s="9" t="n">
        <v>6.8</v>
      </c>
      <c r="Q3251" s="9" t="n">
        <v>36</v>
      </c>
      <c r="R3251" s="9" t="s">
        <v>53</v>
      </c>
      <c r="S3251" s="9"/>
      <c r="T3251" s="9"/>
      <c r="U3251" s="9" t="str">
        <f aca="false">IF(COUNTIF($A$2:$A$5001,A3251)&gt;1,"Duplicate","Unique")</f>
        <v>Unique</v>
      </c>
      <c r="V3251" s="9" t="str">
        <f aca="false">IF(COUNTIFS($B$2:$B$5001,B3251,$H$2:$H$5001,H3251,$J$2:$J$5001,J3251)&gt;1,"Possible Duplicate Booking","Unique")</f>
        <v>Unique</v>
      </c>
      <c r="W3251" s="9" t="str">
        <f aca="false">IF((H3251-G3251)&lt;&gt;K3251,"Mismatch","OK")</f>
        <v>OK</v>
      </c>
      <c r="X3251" s="9" t="str">
        <f aca="false">IF(TEXT(H3251,"dddd")&lt;&gt;I3251,"Mismatch","OK")</f>
        <v>OK</v>
      </c>
      <c r="Y3251" s="9" t="str">
        <f aca="false">IF(AND(N3251="No",O3251&lt;&gt;""),"Unexpected: channel present but no reminder sent",IF(AND(N3251="Yes",O3251=""),"Missing channel for sent reminder","OK"))</f>
        <v>OK</v>
      </c>
    </row>
    <row r="3252" customFormat="false" ht="15" hidden="false" customHeight="false" outlineLevel="0" collapsed="false">
      <c r="A3252" s="7" t="s">
        <v>4825</v>
      </c>
      <c r="B3252" s="7" t="s">
        <v>745</v>
      </c>
      <c r="C3252" s="7" t="s">
        <v>47</v>
      </c>
      <c r="D3252" s="7" t="n">
        <v>30</v>
      </c>
      <c r="E3252" s="7" t="s">
        <v>48</v>
      </c>
      <c r="F3252" s="7" t="s">
        <v>57</v>
      </c>
      <c r="G3252" s="8" t="n">
        <v>45805</v>
      </c>
      <c r="H3252" s="8" t="n">
        <v>45842</v>
      </c>
      <c r="I3252" s="7" t="s">
        <v>50</v>
      </c>
      <c r="J3252" s="7" t="s">
        <v>51</v>
      </c>
      <c r="K3252" s="7" t="n">
        <v>37</v>
      </c>
      <c r="L3252" s="7" t="n">
        <v>5</v>
      </c>
      <c r="M3252" s="7" t="n">
        <v>3</v>
      </c>
      <c r="N3252" s="7" t="s">
        <v>42</v>
      </c>
      <c r="O3252" s="7" t="s">
        <v>43</v>
      </c>
      <c r="P3252" s="7" t="n">
        <v>9.9</v>
      </c>
      <c r="Q3252" s="7" t="n">
        <v>30</v>
      </c>
      <c r="R3252" s="7" t="s">
        <v>44</v>
      </c>
      <c r="S3252" s="7"/>
      <c r="T3252" s="7"/>
      <c r="U3252" s="7" t="str">
        <f aca="false">IF(COUNTIF($A$2:$A$5001,A3252)&gt;1,"Duplicate","Unique")</f>
        <v>Unique</v>
      </c>
      <c r="V3252" s="7" t="str">
        <f aca="false">IF(COUNTIFS($B$2:$B$5001,B3252,$H$2:$H$5001,H3252,$J$2:$J$5001,J3252)&gt;1,"Possible Duplicate Booking","Unique")</f>
        <v>Unique</v>
      </c>
      <c r="W3252" s="7" t="str">
        <f aca="false">IF((H3252-G3252)&lt;&gt;K3252,"Mismatch","OK")</f>
        <v>OK</v>
      </c>
      <c r="X3252" s="7" t="str">
        <f aca="false">IF(TEXT(H3252,"dddd")&lt;&gt;I3252,"Mismatch","OK")</f>
        <v>OK</v>
      </c>
      <c r="Y3252" s="7" t="str">
        <f aca="false">IF(AND(N3252="No",O3252&lt;&gt;""),"Unexpected: channel present but no reminder sent",IF(AND(N3252="Yes",O3252=""),"Missing channel for sent reminder","OK"))</f>
        <v>OK</v>
      </c>
    </row>
    <row r="3253" customFormat="false" ht="15" hidden="false" customHeight="false" outlineLevel="0" collapsed="false">
      <c r="A3253" s="9" t="s">
        <v>4826</v>
      </c>
      <c r="B3253" s="9" t="s">
        <v>512</v>
      </c>
      <c r="C3253" s="9" t="s">
        <v>236</v>
      </c>
      <c r="D3253" s="9" t="n">
        <v>75</v>
      </c>
      <c r="E3253" s="9" t="s">
        <v>70</v>
      </c>
      <c r="F3253" s="9" t="s">
        <v>57</v>
      </c>
      <c r="G3253" s="10" t="n">
        <v>46056</v>
      </c>
      <c r="H3253" s="10" t="n">
        <v>46065</v>
      </c>
      <c r="I3253" s="9" t="s">
        <v>62</v>
      </c>
      <c r="J3253" s="9" t="s">
        <v>41</v>
      </c>
      <c r="K3253" s="9" t="n">
        <v>9</v>
      </c>
      <c r="L3253" s="9" t="n">
        <v>0</v>
      </c>
      <c r="M3253" s="9" t="n">
        <v>0</v>
      </c>
      <c r="N3253" s="9" t="s">
        <v>71</v>
      </c>
      <c r="O3253" s="9"/>
      <c r="P3253" s="9" t="n">
        <v>6.8</v>
      </c>
      <c r="Q3253" s="9" t="n">
        <v>30</v>
      </c>
      <c r="R3253" s="9" t="s">
        <v>44</v>
      </c>
      <c r="S3253" s="9"/>
      <c r="T3253" s="9"/>
      <c r="U3253" s="9" t="str">
        <f aca="false">IF(COUNTIF($A$2:$A$5001,A3253)&gt;1,"Duplicate","Unique")</f>
        <v>Unique</v>
      </c>
      <c r="V3253" s="9" t="str">
        <f aca="false">IF(COUNTIFS($B$2:$B$5001,B3253,$H$2:$H$5001,H3253,$J$2:$J$5001,J3253)&gt;1,"Possible Duplicate Booking","Unique")</f>
        <v>Unique</v>
      </c>
      <c r="W3253" s="9" t="str">
        <f aca="false">IF((H3253-G3253)&lt;&gt;K3253,"Mismatch","OK")</f>
        <v>OK</v>
      </c>
      <c r="X3253" s="9" t="str">
        <f aca="false">IF(TEXT(H3253,"dddd")&lt;&gt;I3253,"Mismatch","OK")</f>
        <v>OK</v>
      </c>
      <c r="Y3253" s="9" t="str">
        <f aca="false">IF(AND(N3253="No",O3253&lt;&gt;""),"Unexpected: channel present but no reminder sent",IF(AND(N3253="Yes",O3253=""),"Missing channel for sent reminder","OK"))</f>
        <v>OK</v>
      </c>
    </row>
    <row r="3254" customFormat="false" ht="15" hidden="false" customHeight="false" outlineLevel="0" collapsed="false">
      <c r="A3254" s="7" t="s">
        <v>4827</v>
      </c>
      <c r="B3254" s="7" t="s">
        <v>4828</v>
      </c>
      <c r="C3254" s="7" t="s">
        <v>37</v>
      </c>
      <c r="D3254" s="7" t="n">
        <v>80</v>
      </c>
      <c r="E3254" s="7" t="s">
        <v>70</v>
      </c>
      <c r="F3254" s="7" t="s">
        <v>39</v>
      </c>
      <c r="G3254" s="8" t="n">
        <v>45741</v>
      </c>
      <c r="H3254" s="8" t="n">
        <v>45743</v>
      </c>
      <c r="I3254" s="7" t="s">
        <v>62</v>
      </c>
      <c r="J3254" s="7" t="s">
        <v>41</v>
      </c>
      <c r="K3254" s="7" t="n">
        <v>2</v>
      </c>
      <c r="L3254" s="7" t="n">
        <v>4</v>
      </c>
      <c r="M3254" s="7" t="n">
        <v>2</v>
      </c>
      <c r="N3254" s="7" t="s">
        <v>42</v>
      </c>
      <c r="O3254" s="7" t="s">
        <v>43</v>
      </c>
      <c r="P3254" s="7" t="n">
        <v>9.3</v>
      </c>
      <c r="Q3254" s="7" t="n">
        <v>22</v>
      </c>
      <c r="R3254" s="7" t="s">
        <v>44</v>
      </c>
      <c r="S3254" s="7"/>
      <c r="T3254" s="7"/>
      <c r="U3254" s="7" t="str">
        <f aca="false">IF(COUNTIF($A$2:$A$5001,A3254)&gt;1,"Duplicate","Unique")</f>
        <v>Unique</v>
      </c>
      <c r="V3254" s="7" t="str">
        <f aca="false">IF(COUNTIFS($B$2:$B$5001,B3254,$H$2:$H$5001,H3254,$J$2:$J$5001,J3254)&gt;1,"Possible Duplicate Booking","Unique")</f>
        <v>Unique</v>
      </c>
      <c r="W3254" s="7" t="str">
        <f aca="false">IF((H3254-G3254)&lt;&gt;K3254,"Mismatch","OK")</f>
        <v>OK</v>
      </c>
      <c r="X3254" s="7" t="str">
        <f aca="false">IF(TEXT(H3254,"dddd")&lt;&gt;I3254,"Mismatch","OK")</f>
        <v>OK</v>
      </c>
      <c r="Y3254" s="7" t="str">
        <f aca="false">IF(AND(N3254="No",O3254&lt;&gt;""),"Unexpected: channel present but no reminder sent",IF(AND(N3254="Yes",O3254=""),"Missing channel for sent reminder","OK"))</f>
        <v>OK</v>
      </c>
    </row>
    <row r="3255" customFormat="false" ht="15" hidden="false" customHeight="false" outlineLevel="0" collapsed="false">
      <c r="A3255" s="9" t="s">
        <v>4829</v>
      </c>
      <c r="B3255" s="9" t="s">
        <v>2734</v>
      </c>
      <c r="C3255" s="9" t="s">
        <v>47</v>
      </c>
      <c r="D3255" s="9" t="n">
        <v>58</v>
      </c>
      <c r="E3255" s="9" t="s">
        <v>61</v>
      </c>
      <c r="F3255" s="9" t="s">
        <v>57</v>
      </c>
      <c r="G3255" s="10" t="n">
        <v>45829</v>
      </c>
      <c r="H3255" s="10" t="n">
        <v>45860</v>
      </c>
      <c r="I3255" s="9" t="s">
        <v>40</v>
      </c>
      <c r="J3255" s="9" t="s">
        <v>41</v>
      </c>
      <c r="K3255" s="9" t="n">
        <v>31</v>
      </c>
      <c r="L3255" s="9" t="n">
        <v>3</v>
      </c>
      <c r="M3255" s="9" t="n">
        <v>0</v>
      </c>
      <c r="N3255" s="9" t="s">
        <v>71</v>
      </c>
      <c r="O3255" s="9"/>
      <c r="P3255" s="9" t="n">
        <v>4.7</v>
      </c>
      <c r="Q3255" s="9" t="n">
        <v>17</v>
      </c>
      <c r="R3255" s="9" t="s">
        <v>53</v>
      </c>
      <c r="S3255" s="9"/>
      <c r="T3255" s="9"/>
      <c r="U3255" s="9" t="str">
        <f aca="false">IF(COUNTIF($A$2:$A$5001,A3255)&gt;1,"Duplicate","Unique")</f>
        <v>Unique</v>
      </c>
      <c r="V3255" s="9" t="str">
        <f aca="false">IF(COUNTIFS($B$2:$B$5001,B3255,$H$2:$H$5001,H3255,$J$2:$J$5001,J3255)&gt;1,"Possible Duplicate Booking","Unique")</f>
        <v>Unique</v>
      </c>
      <c r="W3255" s="9" t="str">
        <f aca="false">IF((H3255-G3255)&lt;&gt;K3255,"Mismatch","OK")</f>
        <v>OK</v>
      </c>
      <c r="X3255" s="9" t="str">
        <f aca="false">IF(TEXT(H3255,"dddd")&lt;&gt;I3255,"Mismatch","OK")</f>
        <v>OK</v>
      </c>
      <c r="Y3255" s="9" t="str">
        <f aca="false">IF(AND(N3255="No",O3255&lt;&gt;""),"Unexpected: channel present but no reminder sent",IF(AND(N3255="Yes",O3255=""),"Missing channel for sent reminder","OK"))</f>
        <v>OK</v>
      </c>
    </row>
    <row r="3256" customFormat="false" ht="15" hidden="false" customHeight="false" outlineLevel="0" collapsed="false">
      <c r="A3256" s="7" t="s">
        <v>4830</v>
      </c>
      <c r="B3256" s="7" t="s">
        <v>650</v>
      </c>
      <c r="C3256" s="7" t="s">
        <v>47</v>
      </c>
      <c r="D3256" s="7" t="n">
        <v>50</v>
      </c>
      <c r="E3256" s="7" t="s">
        <v>56</v>
      </c>
      <c r="F3256" s="7" t="s">
        <v>39</v>
      </c>
      <c r="G3256" s="8" t="n">
        <v>45738</v>
      </c>
      <c r="H3256" s="8" t="n">
        <v>45787</v>
      </c>
      <c r="I3256" s="7" t="s">
        <v>102</v>
      </c>
      <c r="J3256" s="7" t="s">
        <v>41</v>
      </c>
      <c r="K3256" s="7" t="n">
        <v>49</v>
      </c>
      <c r="L3256" s="7" t="n">
        <v>4</v>
      </c>
      <c r="M3256" s="7" t="n">
        <v>0</v>
      </c>
      <c r="N3256" s="7" t="s">
        <v>42</v>
      </c>
      <c r="O3256" s="7" t="s">
        <v>43</v>
      </c>
      <c r="P3256" s="7" t="n">
        <v>19.2</v>
      </c>
      <c r="Q3256" s="7" t="n">
        <v>39</v>
      </c>
      <c r="R3256" s="7" t="s">
        <v>53</v>
      </c>
      <c r="S3256" s="7"/>
      <c r="T3256" s="7"/>
      <c r="U3256" s="7" t="str">
        <f aca="false">IF(COUNTIF($A$2:$A$5001,A3256)&gt;1,"Duplicate","Unique")</f>
        <v>Unique</v>
      </c>
      <c r="V3256" s="7" t="str">
        <f aca="false">IF(COUNTIFS($B$2:$B$5001,B3256,$H$2:$H$5001,H3256,$J$2:$J$5001,J3256)&gt;1,"Possible Duplicate Booking","Unique")</f>
        <v>Unique</v>
      </c>
      <c r="W3256" s="7" t="str">
        <f aca="false">IF((H3256-G3256)&lt;&gt;K3256,"Mismatch","OK")</f>
        <v>OK</v>
      </c>
      <c r="X3256" s="7" t="str">
        <f aca="false">IF(TEXT(H3256,"dddd")&lt;&gt;I3256,"Mismatch","OK")</f>
        <v>OK</v>
      </c>
      <c r="Y3256" s="7" t="str">
        <f aca="false">IF(AND(N3256="No",O3256&lt;&gt;""),"Unexpected: channel present but no reminder sent",IF(AND(N3256="Yes",O3256=""),"Missing channel for sent reminder","OK"))</f>
        <v>OK</v>
      </c>
    </row>
    <row r="3257" customFormat="false" ht="15" hidden="false" customHeight="false" outlineLevel="0" collapsed="false">
      <c r="A3257" s="9" t="s">
        <v>4831</v>
      </c>
      <c r="B3257" s="9" t="s">
        <v>229</v>
      </c>
      <c r="C3257" s="9" t="s">
        <v>37</v>
      </c>
      <c r="D3257" s="9" t="n">
        <v>54</v>
      </c>
      <c r="E3257" s="9" t="s">
        <v>56</v>
      </c>
      <c r="F3257" s="9" t="s">
        <v>39</v>
      </c>
      <c r="G3257" s="10" t="n">
        <v>45732</v>
      </c>
      <c r="H3257" s="10" t="n">
        <v>45761</v>
      </c>
      <c r="I3257" s="9" t="s">
        <v>66</v>
      </c>
      <c r="J3257" s="9" t="s">
        <v>51</v>
      </c>
      <c r="K3257" s="9" t="n">
        <v>29</v>
      </c>
      <c r="L3257" s="9" t="n">
        <v>6</v>
      </c>
      <c r="M3257" s="9" t="n">
        <v>3</v>
      </c>
      <c r="N3257" s="9" t="s">
        <v>71</v>
      </c>
      <c r="O3257" s="9"/>
      <c r="P3257" s="9" t="n">
        <v>12.5</v>
      </c>
      <c r="Q3257" s="9" t="n">
        <v>28</v>
      </c>
      <c r="R3257" s="9" t="s">
        <v>44</v>
      </c>
      <c r="S3257" s="9"/>
      <c r="T3257" s="9"/>
      <c r="U3257" s="9" t="str">
        <f aca="false">IF(COUNTIF($A$2:$A$5001,A3257)&gt;1,"Duplicate","Unique")</f>
        <v>Unique</v>
      </c>
      <c r="V3257" s="9" t="str">
        <f aca="false">IF(COUNTIFS($B$2:$B$5001,B3257,$H$2:$H$5001,H3257,$J$2:$J$5001,J3257)&gt;1,"Possible Duplicate Booking","Unique")</f>
        <v>Unique</v>
      </c>
      <c r="W3257" s="9" t="str">
        <f aca="false">IF((H3257-G3257)&lt;&gt;K3257,"Mismatch","OK")</f>
        <v>OK</v>
      </c>
      <c r="X3257" s="9" t="str">
        <f aca="false">IF(TEXT(H3257,"dddd")&lt;&gt;I3257,"Mismatch","OK")</f>
        <v>OK</v>
      </c>
      <c r="Y3257" s="9" t="str">
        <f aca="false">IF(AND(N3257="No",O3257&lt;&gt;""),"Unexpected: channel present but no reminder sent",IF(AND(N3257="Yes",O3257=""),"Missing channel for sent reminder","OK"))</f>
        <v>OK</v>
      </c>
    </row>
    <row r="3258" customFormat="false" ht="15" hidden="false" customHeight="false" outlineLevel="0" collapsed="false">
      <c r="A3258" s="7" t="s">
        <v>4832</v>
      </c>
      <c r="B3258" s="7" t="s">
        <v>1135</v>
      </c>
      <c r="C3258" s="7" t="s">
        <v>47</v>
      </c>
      <c r="D3258" s="7" t="n">
        <v>41</v>
      </c>
      <c r="E3258" s="7" t="s">
        <v>38</v>
      </c>
      <c r="F3258" s="7" t="s">
        <v>49</v>
      </c>
      <c r="G3258" s="8" t="n">
        <v>45718</v>
      </c>
      <c r="H3258" s="8" t="n">
        <v>45752</v>
      </c>
      <c r="I3258" s="7" t="s">
        <v>102</v>
      </c>
      <c r="J3258" s="7" t="s">
        <v>51</v>
      </c>
      <c r="K3258" s="7" t="n">
        <v>34</v>
      </c>
      <c r="L3258" s="7" t="n">
        <v>0</v>
      </c>
      <c r="M3258" s="7" t="n">
        <v>0</v>
      </c>
      <c r="N3258" s="7" t="s">
        <v>42</v>
      </c>
      <c r="O3258" s="7" t="s">
        <v>67</v>
      </c>
      <c r="P3258" s="7" t="n">
        <v>9.2</v>
      </c>
      <c r="Q3258" s="7" t="n">
        <v>4</v>
      </c>
      <c r="R3258" s="7" t="s">
        <v>53</v>
      </c>
      <c r="S3258" s="7"/>
      <c r="T3258" s="7"/>
      <c r="U3258" s="7" t="str">
        <f aca="false">IF(COUNTIF($A$2:$A$5001,A3258)&gt;1,"Duplicate","Unique")</f>
        <v>Unique</v>
      </c>
      <c r="V3258" s="7" t="str">
        <f aca="false">IF(COUNTIFS($B$2:$B$5001,B3258,$H$2:$H$5001,H3258,$J$2:$J$5001,J3258)&gt;1,"Possible Duplicate Booking","Unique")</f>
        <v>Unique</v>
      </c>
      <c r="W3258" s="7" t="str">
        <f aca="false">IF((H3258-G3258)&lt;&gt;K3258,"Mismatch","OK")</f>
        <v>OK</v>
      </c>
      <c r="X3258" s="7" t="str">
        <f aca="false">IF(TEXT(H3258,"dddd")&lt;&gt;I3258,"Mismatch","OK")</f>
        <v>OK</v>
      </c>
      <c r="Y3258" s="7" t="str">
        <f aca="false">IF(AND(N3258="No",O3258&lt;&gt;""),"Unexpected: channel present but no reminder sent",IF(AND(N3258="Yes",O3258=""),"Missing channel for sent reminder","OK"))</f>
        <v>OK</v>
      </c>
    </row>
    <row r="3259" customFormat="false" ht="15" hidden="false" customHeight="false" outlineLevel="0" collapsed="false">
      <c r="A3259" s="9" t="s">
        <v>4833</v>
      </c>
      <c r="B3259" s="9" t="s">
        <v>4834</v>
      </c>
      <c r="C3259" s="9" t="s">
        <v>47</v>
      </c>
      <c r="D3259" s="9" t="n">
        <v>30</v>
      </c>
      <c r="E3259" s="9" t="s">
        <v>48</v>
      </c>
      <c r="F3259" s="9" t="s">
        <v>39</v>
      </c>
      <c r="G3259" s="10" t="n">
        <v>45716</v>
      </c>
      <c r="H3259" s="10" t="n">
        <v>45764</v>
      </c>
      <c r="I3259" s="9" t="s">
        <v>62</v>
      </c>
      <c r="J3259" s="9" t="s">
        <v>51</v>
      </c>
      <c r="K3259" s="9" t="n">
        <v>48</v>
      </c>
      <c r="L3259" s="9" t="n">
        <v>4</v>
      </c>
      <c r="M3259" s="9" t="n">
        <v>2</v>
      </c>
      <c r="N3259" s="9" t="s">
        <v>42</v>
      </c>
      <c r="O3259" s="9" t="s">
        <v>67</v>
      </c>
      <c r="P3259" s="9" t="n">
        <v>1.1</v>
      </c>
      <c r="Q3259" s="9" t="n">
        <v>23</v>
      </c>
      <c r="R3259" s="9" t="s">
        <v>44</v>
      </c>
      <c r="S3259" s="9"/>
      <c r="T3259" s="9"/>
      <c r="U3259" s="9" t="str">
        <f aca="false">IF(COUNTIF($A$2:$A$5001,A3259)&gt;1,"Duplicate","Unique")</f>
        <v>Unique</v>
      </c>
      <c r="V3259" s="9" t="str">
        <f aca="false">IF(COUNTIFS($B$2:$B$5001,B3259,$H$2:$H$5001,H3259,$J$2:$J$5001,J3259)&gt;1,"Possible Duplicate Booking","Unique")</f>
        <v>Unique</v>
      </c>
      <c r="W3259" s="9" t="str">
        <f aca="false">IF((H3259-G3259)&lt;&gt;K3259,"Mismatch","OK")</f>
        <v>OK</v>
      </c>
      <c r="X3259" s="9" t="str">
        <f aca="false">IF(TEXT(H3259,"dddd")&lt;&gt;I3259,"Mismatch","OK")</f>
        <v>OK</v>
      </c>
      <c r="Y3259" s="9" t="str">
        <f aca="false">IF(AND(N3259="No",O3259&lt;&gt;""),"Unexpected: channel present but no reminder sent",IF(AND(N3259="Yes",O3259=""),"Missing channel for sent reminder","OK"))</f>
        <v>OK</v>
      </c>
    </row>
    <row r="3260" customFormat="false" ht="15" hidden="false" customHeight="false" outlineLevel="0" collapsed="false">
      <c r="A3260" s="7" t="s">
        <v>4835</v>
      </c>
      <c r="B3260" s="7" t="s">
        <v>1357</v>
      </c>
      <c r="C3260" s="7" t="s">
        <v>37</v>
      </c>
      <c r="D3260" s="7" t="n">
        <v>41</v>
      </c>
      <c r="E3260" s="7" t="s">
        <v>38</v>
      </c>
      <c r="F3260" s="7" t="s">
        <v>74</v>
      </c>
      <c r="G3260" s="8" t="n">
        <v>45935</v>
      </c>
      <c r="H3260" s="8" t="n">
        <v>45966</v>
      </c>
      <c r="I3260" s="7" t="s">
        <v>58</v>
      </c>
      <c r="J3260" s="7" t="s">
        <v>41</v>
      </c>
      <c r="K3260" s="7" t="n">
        <v>31</v>
      </c>
      <c r="L3260" s="7" t="n">
        <v>5</v>
      </c>
      <c r="M3260" s="7" t="n">
        <v>0</v>
      </c>
      <c r="N3260" s="7" t="s">
        <v>42</v>
      </c>
      <c r="O3260" s="7" t="s">
        <v>67</v>
      </c>
      <c r="P3260" s="7" t="n">
        <v>4</v>
      </c>
      <c r="Q3260" s="7" t="n">
        <v>21</v>
      </c>
      <c r="R3260" s="7" t="s">
        <v>53</v>
      </c>
      <c r="S3260" s="7"/>
      <c r="T3260" s="7"/>
      <c r="U3260" s="7" t="str">
        <f aca="false">IF(COUNTIF($A$2:$A$5001,A3260)&gt;1,"Duplicate","Unique")</f>
        <v>Unique</v>
      </c>
      <c r="V3260" s="7" t="str">
        <f aca="false">IF(COUNTIFS($B$2:$B$5001,B3260,$H$2:$H$5001,H3260,$J$2:$J$5001,J3260)&gt;1,"Possible Duplicate Booking","Unique")</f>
        <v>Unique</v>
      </c>
      <c r="W3260" s="7" t="str">
        <f aca="false">IF((H3260-G3260)&lt;&gt;K3260,"Mismatch","OK")</f>
        <v>OK</v>
      </c>
      <c r="X3260" s="7" t="str">
        <f aca="false">IF(TEXT(H3260,"dddd")&lt;&gt;I3260,"Mismatch","OK")</f>
        <v>OK</v>
      </c>
      <c r="Y3260" s="7" t="str">
        <f aca="false">IF(AND(N3260="No",O3260&lt;&gt;""),"Unexpected: channel present but no reminder sent",IF(AND(N3260="Yes",O3260=""),"Missing channel for sent reminder","OK"))</f>
        <v>OK</v>
      </c>
    </row>
    <row r="3261" customFormat="false" ht="15" hidden="false" customHeight="false" outlineLevel="0" collapsed="false">
      <c r="A3261" s="9" t="s">
        <v>4836</v>
      </c>
      <c r="B3261" s="9" t="s">
        <v>2068</v>
      </c>
      <c r="C3261" s="9" t="s">
        <v>37</v>
      </c>
      <c r="D3261" s="9" t="n">
        <v>62</v>
      </c>
      <c r="E3261" s="9" t="s">
        <v>61</v>
      </c>
      <c r="F3261" s="9" t="s">
        <v>74</v>
      </c>
      <c r="G3261" s="10" t="n">
        <v>45826</v>
      </c>
      <c r="H3261" s="10" t="n">
        <v>45881</v>
      </c>
      <c r="I3261" s="9" t="s">
        <v>40</v>
      </c>
      <c r="J3261" s="9" t="s">
        <v>51</v>
      </c>
      <c r="K3261" s="9" t="n">
        <v>55</v>
      </c>
      <c r="L3261" s="9" t="n">
        <v>3</v>
      </c>
      <c r="M3261" s="9" t="n">
        <v>1</v>
      </c>
      <c r="N3261" s="9" t="s">
        <v>42</v>
      </c>
      <c r="O3261" s="9" t="s">
        <v>52</v>
      </c>
      <c r="P3261" s="9" t="n">
        <v>14.1</v>
      </c>
      <c r="Q3261" s="9" t="n">
        <v>2</v>
      </c>
      <c r="R3261" s="9" t="s">
        <v>44</v>
      </c>
      <c r="S3261" s="9"/>
      <c r="T3261" s="9"/>
      <c r="U3261" s="9" t="str">
        <f aca="false">IF(COUNTIF($A$2:$A$5001,A3261)&gt;1,"Duplicate","Unique")</f>
        <v>Unique</v>
      </c>
      <c r="V3261" s="9" t="str">
        <f aca="false">IF(COUNTIFS($B$2:$B$5001,B3261,$H$2:$H$5001,H3261,$J$2:$J$5001,J3261)&gt;1,"Possible Duplicate Booking","Unique")</f>
        <v>Unique</v>
      </c>
      <c r="W3261" s="9" t="str">
        <f aca="false">IF((H3261-G3261)&lt;&gt;K3261,"Mismatch","OK")</f>
        <v>OK</v>
      </c>
      <c r="X3261" s="9" t="str">
        <f aca="false">IF(TEXT(H3261,"dddd")&lt;&gt;I3261,"Mismatch","OK")</f>
        <v>OK</v>
      </c>
      <c r="Y3261" s="9" t="str">
        <f aca="false">IF(AND(N3261="No",O3261&lt;&gt;""),"Unexpected: channel present but no reminder sent",IF(AND(N3261="Yes",O3261=""),"Missing channel for sent reminder","OK"))</f>
        <v>OK</v>
      </c>
    </row>
    <row r="3262" customFormat="false" ht="15" hidden="false" customHeight="false" outlineLevel="0" collapsed="false">
      <c r="A3262" s="7" t="s">
        <v>4837</v>
      </c>
      <c r="B3262" s="7" t="s">
        <v>1753</v>
      </c>
      <c r="C3262" s="7" t="s">
        <v>37</v>
      </c>
      <c r="D3262" s="7" t="n">
        <v>59</v>
      </c>
      <c r="E3262" s="7" t="s">
        <v>61</v>
      </c>
      <c r="F3262" s="7" t="s">
        <v>57</v>
      </c>
      <c r="G3262" s="8" t="n">
        <v>45857</v>
      </c>
      <c r="H3262" s="8" t="n">
        <v>45895</v>
      </c>
      <c r="I3262" s="7" t="s">
        <v>40</v>
      </c>
      <c r="J3262" s="7" t="s">
        <v>51</v>
      </c>
      <c r="K3262" s="7" t="n">
        <v>38</v>
      </c>
      <c r="L3262" s="7" t="n">
        <v>1</v>
      </c>
      <c r="M3262" s="7" t="n">
        <v>0</v>
      </c>
      <c r="N3262" s="7" t="s">
        <v>42</v>
      </c>
      <c r="O3262" s="7" t="s">
        <v>43</v>
      </c>
      <c r="P3262" s="7" t="n">
        <v>4.5</v>
      </c>
      <c r="Q3262" s="7" t="n">
        <v>16</v>
      </c>
      <c r="R3262" s="7" t="s">
        <v>44</v>
      </c>
      <c r="S3262" s="7"/>
      <c r="T3262" s="7"/>
      <c r="U3262" s="7" t="str">
        <f aca="false">IF(COUNTIF($A$2:$A$5001,A3262)&gt;1,"Duplicate","Unique")</f>
        <v>Unique</v>
      </c>
      <c r="V3262" s="7" t="str">
        <f aca="false">IF(COUNTIFS($B$2:$B$5001,B3262,$H$2:$H$5001,H3262,$J$2:$J$5001,J3262)&gt;1,"Possible Duplicate Booking","Unique")</f>
        <v>Unique</v>
      </c>
      <c r="W3262" s="7" t="str">
        <f aca="false">IF((H3262-G3262)&lt;&gt;K3262,"Mismatch","OK")</f>
        <v>OK</v>
      </c>
      <c r="X3262" s="7" t="str">
        <f aca="false">IF(TEXT(H3262,"dddd")&lt;&gt;I3262,"Mismatch","OK")</f>
        <v>OK</v>
      </c>
      <c r="Y3262" s="7" t="str">
        <f aca="false">IF(AND(N3262="No",O3262&lt;&gt;""),"Unexpected: channel present but no reminder sent",IF(AND(N3262="Yes",O3262=""),"Missing channel for sent reminder","OK"))</f>
        <v>OK</v>
      </c>
    </row>
    <row r="3263" customFormat="false" ht="15" hidden="false" customHeight="false" outlineLevel="0" collapsed="false">
      <c r="A3263" s="9" t="s">
        <v>4838</v>
      </c>
      <c r="B3263" s="9" t="s">
        <v>4839</v>
      </c>
      <c r="C3263" s="9" t="s">
        <v>47</v>
      </c>
      <c r="D3263" s="9" t="n">
        <v>60</v>
      </c>
      <c r="E3263" s="9" t="s">
        <v>61</v>
      </c>
      <c r="F3263" s="9" t="s">
        <v>39</v>
      </c>
      <c r="G3263" s="10" t="n">
        <v>45875</v>
      </c>
      <c r="H3263" s="10" t="n">
        <v>45919</v>
      </c>
      <c r="I3263" s="9" t="s">
        <v>50</v>
      </c>
      <c r="J3263" s="9" t="s">
        <v>63</v>
      </c>
      <c r="K3263" s="9" t="n">
        <v>44</v>
      </c>
      <c r="L3263" s="9" t="n">
        <v>2</v>
      </c>
      <c r="M3263" s="9" t="n">
        <v>0</v>
      </c>
      <c r="N3263" s="9" t="s">
        <v>42</v>
      </c>
      <c r="O3263" s="9" t="s">
        <v>52</v>
      </c>
      <c r="P3263" s="9" t="n">
        <v>11.7</v>
      </c>
      <c r="Q3263" s="9"/>
      <c r="R3263" s="9" t="s">
        <v>44</v>
      </c>
      <c r="S3263" s="9"/>
      <c r="T3263" s="9"/>
      <c r="U3263" s="9" t="str">
        <f aca="false">IF(COUNTIF($A$2:$A$5001,A3263)&gt;1,"Duplicate","Unique")</f>
        <v>Unique</v>
      </c>
      <c r="V3263" s="9" t="str">
        <f aca="false">IF(COUNTIFS($B$2:$B$5001,B3263,$H$2:$H$5001,H3263,$J$2:$J$5001,J3263)&gt;1,"Possible Duplicate Booking","Unique")</f>
        <v>Unique</v>
      </c>
      <c r="W3263" s="9" t="str">
        <f aca="false">IF((H3263-G3263)&lt;&gt;K3263,"Mismatch","OK")</f>
        <v>OK</v>
      </c>
      <c r="X3263" s="9" t="str">
        <f aca="false">IF(TEXT(H3263,"dddd")&lt;&gt;I3263,"Mismatch","OK")</f>
        <v>OK</v>
      </c>
      <c r="Y3263" s="9" t="str">
        <f aca="false">IF(AND(N3263="No",O3263&lt;&gt;""),"Unexpected: channel present but no reminder sent",IF(AND(N3263="Yes",O3263=""),"Missing channel for sent reminder","OK"))</f>
        <v>OK</v>
      </c>
    </row>
    <row r="3264" customFormat="false" ht="15" hidden="false" customHeight="false" outlineLevel="0" collapsed="false">
      <c r="A3264" s="7" t="s">
        <v>4840</v>
      </c>
      <c r="B3264" s="7" t="s">
        <v>4841</v>
      </c>
      <c r="C3264" s="7" t="s">
        <v>37</v>
      </c>
      <c r="D3264" s="7" t="n">
        <v>56</v>
      </c>
      <c r="E3264" s="7" t="s">
        <v>61</v>
      </c>
      <c r="F3264" s="7" t="s">
        <v>57</v>
      </c>
      <c r="G3264" s="8" t="n">
        <v>46015</v>
      </c>
      <c r="H3264" s="8" t="n">
        <v>46062</v>
      </c>
      <c r="I3264" s="7" t="s">
        <v>66</v>
      </c>
      <c r="J3264" s="7" t="s">
        <v>51</v>
      </c>
      <c r="K3264" s="7" t="n">
        <v>47</v>
      </c>
      <c r="L3264" s="7" t="n">
        <v>2</v>
      </c>
      <c r="M3264" s="7" t="n">
        <v>1</v>
      </c>
      <c r="N3264" s="7" t="s">
        <v>42</v>
      </c>
      <c r="O3264" s="7" t="s">
        <v>43</v>
      </c>
      <c r="P3264" s="7" t="n">
        <v>7</v>
      </c>
      <c r="Q3264" s="7" t="n">
        <v>2</v>
      </c>
      <c r="R3264" s="7" t="s">
        <v>44</v>
      </c>
      <c r="S3264" s="7"/>
      <c r="T3264" s="7"/>
      <c r="U3264" s="7" t="str">
        <f aca="false">IF(COUNTIF($A$2:$A$5001,A3264)&gt;1,"Duplicate","Unique")</f>
        <v>Unique</v>
      </c>
      <c r="V3264" s="7" t="str">
        <f aca="false">IF(COUNTIFS($B$2:$B$5001,B3264,$H$2:$H$5001,H3264,$J$2:$J$5001,J3264)&gt;1,"Possible Duplicate Booking","Unique")</f>
        <v>Unique</v>
      </c>
      <c r="W3264" s="7" t="str">
        <f aca="false">IF((H3264-G3264)&lt;&gt;K3264,"Mismatch","OK")</f>
        <v>OK</v>
      </c>
      <c r="X3264" s="7" t="str">
        <f aca="false">IF(TEXT(H3264,"dddd")&lt;&gt;I3264,"Mismatch","OK")</f>
        <v>OK</v>
      </c>
      <c r="Y3264" s="7" t="str">
        <f aca="false">IF(AND(N3264="No",O3264&lt;&gt;""),"Unexpected: channel present but no reminder sent",IF(AND(N3264="Yes",O3264=""),"Missing channel for sent reminder","OK"))</f>
        <v>OK</v>
      </c>
    </row>
    <row r="3265" customFormat="false" ht="15" hidden="false" customHeight="false" outlineLevel="0" collapsed="false">
      <c r="A3265" s="9" t="s">
        <v>4842</v>
      </c>
      <c r="B3265" s="9" t="s">
        <v>667</v>
      </c>
      <c r="C3265" s="9" t="s">
        <v>47</v>
      </c>
      <c r="D3265" s="9" t="n">
        <v>21</v>
      </c>
      <c r="E3265" s="9" t="s">
        <v>82</v>
      </c>
      <c r="F3265" s="9" t="s">
        <v>49</v>
      </c>
      <c r="G3265" s="10" t="n">
        <v>46090</v>
      </c>
      <c r="H3265" s="10" t="n">
        <v>46128</v>
      </c>
      <c r="I3265" s="9" t="s">
        <v>62</v>
      </c>
      <c r="J3265" s="9" t="s">
        <v>41</v>
      </c>
      <c r="K3265" s="9" t="n">
        <v>38</v>
      </c>
      <c r="L3265" s="9" t="n">
        <v>3</v>
      </c>
      <c r="M3265" s="9" t="n">
        <v>0</v>
      </c>
      <c r="N3265" s="9" t="s">
        <v>42</v>
      </c>
      <c r="O3265" s="9" t="s">
        <v>52</v>
      </c>
      <c r="P3265" s="9" t="n">
        <v>9.3</v>
      </c>
      <c r="Q3265" s="9" t="n">
        <v>11</v>
      </c>
      <c r="R3265" s="9" t="s">
        <v>44</v>
      </c>
      <c r="S3265" s="9"/>
      <c r="T3265" s="9"/>
      <c r="U3265" s="9" t="str">
        <f aca="false">IF(COUNTIF($A$2:$A$5001,A3265)&gt;1,"Duplicate","Unique")</f>
        <v>Unique</v>
      </c>
      <c r="V3265" s="9" t="str">
        <f aca="false">IF(COUNTIFS($B$2:$B$5001,B3265,$H$2:$H$5001,H3265,$J$2:$J$5001,J3265)&gt;1,"Possible Duplicate Booking","Unique")</f>
        <v>Unique</v>
      </c>
      <c r="W3265" s="9" t="str">
        <f aca="false">IF((H3265-G3265)&lt;&gt;K3265,"Mismatch","OK")</f>
        <v>OK</v>
      </c>
      <c r="X3265" s="9" t="str">
        <f aca="false">IF(TEXT(H3265,"dddd")&lt;&gt;I3265,"Mismatch","OK")</f>
        <v>OK</v>
      </c>
      <c r="Y3265" s="9" t="str">
        <f aca="false">IF(AND(N3265="No",O3265&lt;&gt;""),"Unexpected: channel present but no reminder sent",IF(AND(N3265="Yes",O3265=""),"Missing channel for sent reminder","OK"))</f>
        <v>OK</v>
      </c>
    </row>
    <row r="3266" customFormat="false" ht="15" hidden="false" customHeight="false" outlineLevel="0" collapsed="false">
      <c r="A3266" s="7" t="s">
        <v>4843</v>
      </c>
      <c r="B3266" s="7" t="s">
        <v>3500</v>
      </c>
      <c r="C3266" s="7" t="s">
        <v>37</v>
      </c>
      <c r="D3266" s="7" t="n">
        <v>57</v>
      </c>
      <c r="E3266" s="7" t="s">
        <v>61</v>
      </c>
      <c r="F3266" s="7" t="s">
        <v>39</v>
      </c>
      <c r="G3266" s="8" t="n">
        <v>45942</v>
      </c>
      <c r="H3266" s="8" t="n">
        <v>45945</v>
      </c>
      <c r="I3266" s="7" t="s">
        <v>58</v>
      </c>
      <c r="J3266" s="7" t="s">
        <v>51</v>
      </c>
      <c r="K3266" s="7" t="n">
        <v>3</v>
      </c>
      <c r="L3266" s="7" t="n">
        <v>3</v>
      </c>
      <c r="M3266" s="7" t="n">
        <v>0</v>
      </c>
      <c r="N3266" s="7" t="s">
        <v>42</v>
      </c>
      <c r="O3266" s="7" t="s">
        <v>52</v>
      </c>
      <c r="P3266" s="7" t="n">
        <v>7.2</v>
      </c>
      <c r="Q3266" s="7" t="n">
        <v>2</v>
      </c>
      <c r="R3266" s="7" t="s">
        <v>53</v>
      </c>
      <c r="S3266" s="7"/>
      <c r="T3266" s="7"/>
      <c r="U3266" s="7" t="str">
        <f aca="false">IF(COUNTIF($A$2:$A$5001,A3266)&gt;1,"Duplicate","Unique")</f>
        <v>Unique</v>
      </c>
      <c r="V3266" s="7" t="str">
        <f aca="false">IF(COUNTIFS($B$2:$B$5001,B3266,$H$2:$H$5001,H3266,$J$2:$J$5001,J3266)&gt;1,"Possible Duplicate Booking","Unique")</f>
        <v>Unique</v>
      </c>
      <c r="W3266" s="7" t="str">
        <f aca="false">IF((H3266-G3266)&lt;&gt;K3266,"Mismatch","OK")</f>
        <v>OK</v>
      </c>
      <c r="X3266" s="7" t="str">
        <f aca="false">IF(TEXT(H3266,"dddd")&lt;&gt;I3266,"Mismatch","OK")</f>
        <v>OK</v>
      </c>
      <c r="Y3266" s="7" t="str">
        <f aca="false">IF(AND(N3266="No",O3266&lt;&gt;""),"Unexpected: channel present but no reminder sent",IF(AND(N3266="Yes",O3266=""),"Missing channel for sent reminder","OK"))</f>
        <v>OK</v>
      </c>
    </row>
    <row r="3267" customFormat="false" ht="15" hidden="false" customHeight="false" outlineLevel="0" collapsed="false">
      <c r="A3267" s="9" t="s">
        <v>4844</v>
      </c>
      <c r="B3267" s="9" t="s">
        <v>3307</v>
      </c>
      <c r="C3267" s="9" t="s">
        <v>236</v>
      </c>
      <c r="D3267" s="9" t="n">
        <v>73</v>
      </c>
      <c r="E3267" s="9" t="s">
        <v>70</v>
      </c>
      <c r="F3267" s="9" t="s">
        <v>57</v>
      </c>
      <c r="G3267" s="10" t="n">
        <v>45982</v>
      </c>
      <c r="H3267" s="10" t="n">
        <v>46008</v>
      </c>
      <c r="I3267" s="9" t="s">
        <v>58</v>
      </c>
      <c r="J3267" s="9" t="s">
        <v>51</v>
      </c>
      <c r="K3267" s="9" t="n">
        <v>26</v>
      </c>
      <c r="L3267" s="9" t="n">
        <v>2</v>
      </c>
      <c r="M3267" s="9" t="n">
        <v>0</v>
      </c>
      <c r="N3267" s="9" t="s">
        <v>42</v>
      </c>
      <c r="O3267" s="9" t="s">
        <v>52</v>
      </c>
      <c r="P3267" s="9" t="n">
        <v>7.7</v>
      </c>
      <c r="Q3267" s="9" t="n">
        <v>7</v>
      </c>
      <c r="R3267" s="9" t="s">
        <v>53</v>
      </c>
      <c r="S3267" s="9"/>
      <c r="T3267" s="9"/>
      <c r="U3267" s="9" t="str">
        <f aca="false">IF(COUNTIF($A$2:$A$5001,A3267)&gt;1,"Duplicate","Unique")</f>
        <v>Unique</v>
      </c>
      <c r="V3267" s="9" t="str">
        <f aca="false">IF(COUNTIFS($B$2:$B$5001,B3267,$H$2:$H$5001,H3267,$J$2:$J$5001,J3267)&gt;1,"Possible Duplicate Booking","Unique")</f>
        <v>Unique</v>
      </c>
      <c r="W3267" s="9" t="str">
        <f aca="false">IF((H3267-G3267)&lt;&gt;K3267,"Mismatch","OK")</f>
        <v>OK</v>
      </c>
      <c r="X3267" s="9" t="str">
        <f aca="false">IF(TEXT(H3267,"dddd")&lt;&gt;I3267,"Mismatch","OK")</f>
        <v>OK</v>
      </c>
      <c r="Y3267" s="9" t="str">
        <f aca="false">IF(AND(N3267="No",O3267&lt;&gt;""),"Unexpected: channel present but no reminder sent",IF(AND(N3267="Yes",O3267=""),"Missing channel for sent reminder","OK"))</f>
        <v>OK</v>
      </c>
    </row>
    <row r="3268" customFormat="false" ht="15" hidden="false" customHeight="false" outlineLevel="0" collapsed="false">
      <c r="A3268" s="7" t="s">
        <v>4845</v>
      </c>
      <c r="B3268" s="7" t="s">
        <v>698</v>
      </c>
      <c r="C3268" s="7" t="s">
        <v>47</v>
      </c>
      <c r="D3268" s="7" t="n">
        <v>58</v>
      </c>
      <c r="E3268" s="7" t="s">
        <v>61</v>
      </c>
      <c r="F3268" s="7" t="s">
        <v>57</v>
      </c>
      <c r="G3268" s="8" t="n">
        <v>46053</v>
      </c>
      <c r="H3268" s="8" t="n">
        <v>46061</v>
      </c>
      <c r="I3268" s="7" t="s">
        <v>75</v>
      </c>
      <c r="J3268" s="7" t="s">
        <v>51</v>
      </c>
      <c r="K3268" s="7" t="n">
        <v>8</v>
      </c>
      <c r="L3268" s="7" t="n">
        <v>5</v>
      </c>
      <c r="M3268" s="7" t="n">
        <v>3</v>
      </c>
      <c r="N3268" s="7" t="s">
        <v>42</v>
      </c>
      <c r="O3268" s="7" t="s">
        <v>52</v>
      </c>
      <c r="P3268" s="7" t="n">
        <v>13.8</v>
      </c>
      <c r="Q3268" s="7" t="n">
        <v>4</v>
      </c>
      <c r="R3268" s="7" t="s">
        <v>53</v>
      </c>
      <c r="S3268" s="7"/>
      <c r="T3268" s="7"/>
      <c r="U3268" s="7" t="str">
        <f aca="false">IF(COUNTIF($A$2:$A$5001,A3268)&gt;1,"Duplicate","Unique")</f>
        <v>Unique</v>
      </c>
      <c r="V3268" s="7" t="str">
        <f aca="false">IF(COUNTIFS($B$2:$B$5001,B3268,$H$2:$H$5001,H3268,$J$2:$J$5001,J3268)&gt;1,"Possible Duplicate Booking","Unique")</f>
        <v>Unique</v>
      </c>
      <c r="W3268" s="7" t="str">
        <f aca="false">IF((H3268-G3268)&lt;&gt;K3268,"Mismatch","OK")</f>
        <v>OK</v>
      </c>
      <c r="X3268" s="7" t="str">
        <f aca="false">IF(TEXT(H3268,"dddd")&lt;&gt;I3268,"Mismatch","OK")</f>
        <v>OK</v>
      </c>
      <c r="Y3268" s="7" t="str">
        <f aca="false">IF(AND(N3268="No",O3268&lt;&gt;""),"Unexpected: channel present but no reminder sent",IF(AND(N3268="Yes",O3268=""),"Missing channel for sent reminder","OK"))</f>
        <v>OK</v>
      </c>
    </row>
    <row r="3269" customFormat="false" ht="15" hidden="false" customHeight="false" outlineLevel="0" collapsed="false">
      <c r="A3269" s="9" t="s">
        <v>4846</v>
      </c>
      <c r="B3269" s="9" t="s">
        <v>4847</v>
      </c>
      <c r="C3269" s="9" t="s">
        <v>37</v>
      </c>
      <c r="D3269" s="9" t="n">
        <v>54</v>
      </c>
      <c r="E3269" s="9" t="s">
        <v>56</v>
      </c>
      <c r="F3269" s="9" t="s">
        <v>39</v>
      </c>
      <c r="G3269" s="10" t="n">
        <v>46003</v>
      </c>
      <c r="H3269" s="10" t="n">
        <v>46034</v>
      </c>
      <c r="I3269" s="9" t="s">
        <v>66</v>
      </c>
      <c r="J3269" s="9" t="s">
        <v>41</v>
      </c>
      <c r="K3269" s="9" t="n">
        <v>31</v>
      </c>
      <c r="L3269" s="9" t="n">
        <v>2</v>
      </c>
      <c r="M3269" s="9" t="n">
        <v>0</v>
      </c>
      <c r="N3269" s="9" t="s">
        <v>42</v>
      </c>
      <c r="O3269" s="9" t="s">
        <v>52</v>
      </c>
      <c r="P3269" s="9" t="n">
        <v>14.1</v>
      </c>
      <c r="Q3269" s="9" t="n">
        <v>11</v>
      </c>
      <c r="R3269" s="9" t="s">
        <v>53</v>
      </c>
      <c r="S3269" s="9"/>
      <c r="T3269" s="9"/>
      <c r="U3269" s="9" t="str">
        <f aca="false">IF(COUNTIF($A$2:$A$5001,A3269)&gt;1,"Duplicate","Unique")</f>
        <v>Unique</v>
      </c>
      <c r="V3269" s="9" t="str">
        <f aca="false">IF(COUNTIFS($B$2:$B$5001,B3269,$H$2:$H$5001,H3269,$J$2:$J$5001,J3269)&gt;1,"Possible Duplicate Booking","Unique")</f>
        <v>Unique</v>
      </c>
      <c r="W3269" s="9" t="str">
        <f aca="false">IF((H3269-G3269)&lt;&gt;K3269,"Mismatch","OK")</f>
        <v>OK</v>
      </c>
      <c r="X3269" s="9" t="str">
        <f aca="false">IF(TEXT(H3269,"dddd")&lt;&gt;I3269,"Mismatch","OK")</f>
        <v>OK</v>
      </c>
      <c r="Y3269" s="9" t="str">
        <f aca="false">IF(AND(N3269="No",O3269&lt;&gt;""),"Unexpected: channel present but no reminder sent",IF(AND(N3269="Yes",O3269=""),"Missing channel for sent reminder","OK"))</f>
        <v>OK</v>
      </c>
    </row>
    <row r="3270" customFormat="false" ht="15" hidden="false" customHeight="false" outlineLevel="0" collapsed="false">
      <c r="A3270" s="7" t="s">
        <v>4848</v>
      </c>
      <c r="B3270" s="7" t="s">
        <v>1044</v>
      </c>
      <c r="C3270" s="7" t="s">
        <v>37</v>
      </c>
      <c r="D3270" s="7" t="n">
        <v>32</v>
      </c>
      <c r="E3270" s="7" t="s">
        <v>48</v>
      </c>
      <c r="F3270" s="7" t="s">
        <v>49</v>
      </c>
      <c r="G3270" s="8" t="n">
        <v>45723</v>
      </c>
      <c r="H3270" s="8" t="n">
        <v>45731</v>
      </c>
      <c r="I3270" s="7" t="s">
        <v>102</v>
      </c>
      <c r="J3270" s="7" t="s">
        <v>41</v>
      </c>
      <c r="K3270" s="7" t="n">
        <v>8</v>
      </c>
      <c r="L3270" s="7" t="n">
        <v>3</v>
      </c>
      <c r="M3270" s="7" t="n">
        <v>0</v>
      </c>
      <c r="N3270" s="7" t="s">
        <v>42</v>
      </c>
      <c r="O3270" s="7" t="s">
        <v>52</v>
      </c>
      <c r="P3270" s="7" t="n">
        <v>9.9</v>
      </c>
      <c r="Q3270" s="7" t="n">
        <v>43</v>
      </c>
      <c r="R3270" s="7" t="s">
        <v>44</v>
      </c>
      <c r="S3270" s="7"/>
      <c r="T3270" s="7"/>
      <c r="U3270" s="7" t="str">
        <f aca="false">IF(COUNTIF($A$2:$A$5001,A3270)&gt;1,"Duplicate","Unique")</f>
        <v>Unique</v>
      </c>
      <c r="V3270" s="7" t="str">
        <f aca="false">IF(COUNTIFS($B$2:$B$5001,B3270,$H$2:$H$5001,H3270,$J$2:$J$5001,J3270)&gt;1,"Possible Duplicate Booking","Unique")</f>
        <v>Unique</v>
      </c>
      <c r="W3270" s="7" t="str">
        <f aca="false">IF((H3270-G3270)&lt;&gt;K3270,"Mismatch","OK")</f>
        <v>OK</v>
      </c>
      <c r="X3270" s="7" t="str">
        <f aca="false">IF(TEXT(H3270,"dddd")&lt;&gt;I3270,"Mismatch","OK")</f>
        <v>OK</v>
      </c>
      <c r="Y3270" s="7" t="str">
        <f aca="false">IF(AND(N3270="No",O3270&lt;&gt;""),"Unexpected: channel present but no reminder sent",IF(AND(N3270="Yes",O3270=""),"Missing channel for sent reminder","OK"))</f>
        <v>OK</v>
      </c>
    </row>
    <row r="3271" customFormat="false" ht="15" hidden="false" customHeight="false" outlineLevel="0" collapsed="false">
      <c r="A3271" s="9" t="s">
        <v>4849</v>
      </c>
      <c r="B3271" s="9" t="s">
        <v>4850</v>
      </c>
      <c r="C3271" s="9" t="s">
        <v>47</v>
      </c>
      <c r="D3271" s="9" t="n">
        <v>67</v>
      </c>
      <c r="E3271" s="9" t="s">
        <v>70</v>
      </c>
      <c r="F3271" s="9" t="s">
        <v>49</v>
      </c>
      <c r="G3271" s="10" t="n">
        <v>46163</v>
      </c>
      <c r="H3271" s="10" t="n">
        <v>46194</v>
      </c>
      <c r="I3271" s="9" t="s">
        <v>75</v>
      </c>
      <c r="J3271" s="9" t="s">
        <v>41</v>
      </c>
      <c r="K3271" s="9" t="n">
        <v>31</v>
      </c>
      <c r="L3271" s="9" t="n">
        <v>2</v>
      </c>
      <c r="M3271" s="9" t="n">
        <v>0</v>
      </c>
      <c r="N3271" s="9" t="s">
        <v>42</v>
      </c>
      <c r="O3271" s="9" t="s">
        <v>43</v>
      </c>
      <c r="P3271" s="9" t="n">
        <v>14.4</v>
      </c>
      <c r="Q3271" s="9" t="n">
        <v>34</v>
      </c>
      <c r="R3271" s="9" t="s">
        <v>53</v>
      </c>
      <c r="S3271" s="9"/>
      <c r="T3271" s="9"/>
      <c r="U3271" s="9" t="str">
        <f aca="false">IF(COUNTIF($A$2:$A$5001,A3271)&gt;1,"Duplicate","Unique")</f>
        <v>Unique</v>
      </c>
      <c r="V3271" s="9" t="str">
        <f aca="false">IF(COUNTIFS($B$2:$B$5001,B3271,$H$2:$H$5001,H3271,$J$2:$J$5001,J3271)&gt;1,"Possible Duplicate Booking","Unique")</f>
        <v>Unique</v>
      </c>
      <c r="W3271" s="9" t="str">
        <f aca="false">IF((H3271-G3271)&lt;&gt;K3271,"Mismatch","OK")</f>
        <v>OK</v>
      </c>
      <c r="X3271" s="9" t="str">
        <f aca="false">IF(TEXT(H3271,"dddd")&lt;&gt;I3271,"Mismatch","OK")</f>
        <v>OK</v>
      </c>
      <c r="Y3271" s="9" t="str">
        <f aca="false">IF(AND(N3271="No",O3271&lt;&gt;""),"Unexpected: channel present but no reminder sent",IF(AND(N3271="Yes",O3271=""),"Missing channel for sent reminder","OK"))</f>
        <v>OK</v>
      </c>
    </row>
    <row r="3272" customFormat="false" ht="15" hidden="false" customHeight="false" outlineLevel="0" collapsed="false">
      <c r="A3272" s="7" t="s">
        <v>4851</v>
      </c>
      <c r="B3272" s="7" t="s">
        <v>2313</v>
      </c>
      <c r="C3272" s="7" t="s">
        <v>37</v>
      </c>
      <c r="D3272" s="7" t="n">
        <v>46</v>
      </c>
      <c r="E3272" s="7" t="s">
        <v>56</v>
      </c>
      <c r="F3272" s="7" t="s">
        <v>57</v>
      </c>
      <c r="G3272" s="8" t="n">
        <v>45727</v>
      </c>
      <c r="H3272" s="8" t="n">
        <v>45747</v>
      </c>
      <c r="I3272" s="7" t="s">
        <v>66</v>
      </c>
      <c r="J3272" s="7" t="s">
        <v>63</v>
      </c>
      <c r="K3272" s="7" t="n">
        <v>20</v>
      </c>
      <c r="L3272" s="7" t="n">
        <v>4</v>
      </c>
      <c r="M3272" s="7" t="n">
        <v>1</v>
      </c>
      <c r="N3272" s="7" t="s">
        <v>42</v>
      </c>
      <c r="O3272" s="7" t="s">
        <v>67</v>
      </c>
      <c r="P3272" s="7" t="n">
        <v>3.1</v>
      </c>
      <c r="Q3272" s="7" t="n">
        <v>21</v>
      </c>
      <c r="R3272" s="7" t="s">
        <v>44</v>
      </c>
      <c r="S3272" s="7"/>
      <c r="T3272" s="7"/>
      <c r="U3272" s="7" t="str">
        <f aca="false">IF(COUNTIF($A$2:$A$5001,A3272)&gt;1,"Duplicate","Unique")</f>
        <v>Unique</v>
      </c>
      <c r="V3272" s="7" t="str">
        <f aca="false">IF(COUNTIFS($B$2:$B$5001,B3272,$H$2:$H$5001,H3272,$J$2:$J$5001,J3272)&gt;1,"Possible Duplicate Booking","Unique")</f>
        <v>Unique</v>
      </c>
      <c r="W3272" s="7" t="str">
        <f aca="false">IF((H3272-G3272)&lt;&gt;K3272,"Mismatch","OK")</f>
        <v>OK</v>
      </c>
      <c r="X3272" s="7" t="str">
        <f aca="false">IF(TEXT(H3272,"dddd")&lt;&gt;I3272,"Mismatch","OK")</f>
        <v>OK</v>
      </c>
      <c r="Y3272" s="7" t="str">
        <f aca="false">IF(AND(N3272="No",O3272&lt;&gt;""),"Unexpected: channel present but no reminder sent",IF(AND(N3272="Yes",O3272=""),"Missing channel for sent reminder","OK"))</f>
        <v>OK</v>
      </c>
    </row>
    <row r="3273" customFormat="false" ht="15" hidden="false" customHeight="false" outlineLevel="0" collapsed="false">
      <c r="A3273" s="9" t="s">
        <v>4852</v>
      </c>
      <c r="B3273" s="9" t="s">
        <v>2462</v>
      </c>
      <c r="C3273" s="9" t="s">
        <v>37</v>
      </c>
      <c r="D3273" s="9" t="n">
        <v>34</v>
      </c>
      <c r="E3273" s="9" t="s">
        <v>48</v>
      </c>
      <c r="F3273" s="9" t="s">
        <v>57</v>
      </c>
      <c r="G3273" s="10" t="n">
        <v>45881</v>
      </c>
      <c r="H3273" s="10" t="n">
        <v>45882</v>
      </c>
      <c r="I3273" s="9" t="s">
        <v>58</v>
      </c>
      <c r="J3273" s="9" t="s">
        <v>51</v>
      </c>
      <c r="K3273" s="9" t="n">
        <v>1</v>
      </c>
      <c r="L3273" s="9" t="n">
        <v>4</v>
      </c>
      <c r="M3273" s="9" t="n">
        <v>2</v>
      </c>
      <c r="N3273" s="9" t="s">
        <v>71</v>
      </c>
      <c r="O3273" s="9"/>
      <c r="P3273" s="9" t="n">
        <v>8.7</v>
      </c>
      <c r="Q3273" s="9" t="n">
        <v>42</v>
      </c>
      <c r="R3273" s="9" t="s">
        <v>53</v>
      </c>
      <c r="S3273" s="9"/>
      <c r="T3273" s="9"/>
      <c r="U3273" s="9" t="str">
        <f aca="false">IF(COUNTIF($A$2:$A$5001,A3273)&gt;1,"Duplicate","Unique")</f>
        <v>Unique</v>
      </c>
      <c r="V3273" s="9" t="str">
        <f aca="false">IF(COUNTIFS($B$2:$B$5001,B3273,$H$2:$H$5001,H3273,$J$2:$J$5001,J3273)&gt;1,"Possible Duplicate Booking","Unique")</f>
        <v>Unique</v>
      </c>
      <c r="W3273" s="9" t="str">
        <f aca="false">IF((H3273-G3273)&lt;&gt;K3273,"Mismatch","OK")</f>
        <v>OK</v>
      </c>
      <c r="X3273" s="9" t="str">
        <f aca="false">IF(TEXT(H3273,"dddd")&lt;&gt;I3273,"Mismatch","OK")</f>
        <v>OK</v>
      </c>
      <c r="Y3273" s="9" t="str">
        <f aca="false">IF(AND(N3273="No",O3273&lt;&gt;""),"Unexpected: channel present but no reminder sent",IF(AND(N3273="Yes",O3273=""),"Missing channel for sent reminder","OK"))</f>
        <v>OK</v>
      </c>
    </row>
    <row r="3274" customFormat="false" ht="15" hidden="false" customHeight="false" outlineLevel="0" collapsed="false">
      <c r="A3274" s="7" t="s">
        <v>4853</v>
      </c>
      <c r="B3274" s="7" t="s">
        <v>2055</v>
      </c>
      <c r="C3274" s="7" t="s">
        <v>47</v>
      </c>
      <c r="D3274" s="7" t="n">
        <v>48</v>
      </c>
      <c r="E3274" s="7" t="s">
        <v>56</v>
      </c>
      <c r="F3274" s="7" t="s">
        <v>39</v>
      </c>
      <c r="G3274" s="8" t="n">
        <v>46007</v>
      </c>
      <c r="H3274" s="8" t="n">
        <v>46014</v>
      </c>
      <c r="I3274" s="7" t="s">
        <v>40</v>
      </c>
      <c r="J3274" s="7" t="s">
        <v>41</v>
      </c>
      <c r="K3274" s="7" t="n">
        <v>7</v>
      </c>
      <c r="L3274" s="7" t="n">
        <v>3</v>
      </c>
      <c r="M3274" s="7" t="n">
        <v>2</v>
      </c>
      <c r="N3274" s="7" t="s">
        <v>71</v>
      </c>
      <c r="O3274" s="7"/>
      <c r="P3274" s="7" t="n">
        <v>6.4</v>
      </c>
      <c r="Q3274" s="7" t="n">
        <v>19</v>
      </c>
      <c r="R3274" s="7" t="s">
        <v>87</v>
      </c>
      <c r="S3274" s="7"/>
      <c r="T3274" s="7"/>
      <c r="U3274" s="7" t="str">
        <f aca="false">IF(COUNTIF($A$2:$A$5001,A3274)&gt;1,"Duplicate","Unique")</f>
        <v>Unique</v>
      </c>
      <c r="V3274" s="7" t="str">
        <f aca="false">IF(COUNTIFS($B$2:$B$5001,B3274,$H$2:$H$5001,H3274,$J$2:$J$5001,J3274)&gt;1,"Possible Duplicate Booking","Unique")</f>
        <v>Unique</v>
      </c>
      <c r="W3274" s="7" t="str">
        <f aca="false">IF((H3274-G3274)&lt;&gt;K3274,"Mismatch","OK")</f>
        <v>OK</v>
      </c>
      <c r="X3274" s="7" t="str">
        <f aca="false">IF(TEXT(H3274,"dddd")&lt;&gt;I3274,"Mismatch","OK")</f>
        <v>OK</v>
      </c>
      <c r="Y3274" s="7" t="str">
        <f aca="false">IF(AND(N3274="No",O3274&lt;&gt;""),"Unexpected: channel present but no reminder sent",IF(AND(N3274="Yes",O3274=""),"Missing channel for sent reminder","OK"))</f>
        <v>OK</v>
      </c>
    </row>
    <row r="3275" customFormat="false" ht="15" hidden="false" customHeight="false" outlineLevel="0" collapsed="false">
      <c r="A3275" s="9" t="s">
        <v>4854</v>
      </c>
      <c r="B3275" s="9" t="s">
        <v>2635</v>
      </c>
      <c r="C3275" s="9" t="s">
        <v>47</v>
      </c>
      <c r="D3275" s="9" t="n">
        <v>25</v>
      </c>
      <c r="E3275" s="9" t="s">
        <v>48</v>
      </c>
      <c r="F3275" s="9" t="s">
        <v>39</v>
      </c>
      <c r="G3275" s="10" t="n">
        <v>45848</v>
      </c>
      <c r="H3275" s="10" t="n">
        <v>45878</v>
      </c>
      <c r="I3275" s="9" t="s">
        <v>102</v>
      </c>
      <c r="J3275" s="9" t="s">
        <v>51</v>
      </c>
      <c r="K3275" s="9" t="n">
        <v>30</v>
      </c>
      <c r="L3275" s="9" t="n">
        <v>1</v>
      </c>
      <c r="M3275" s="9" t="n">
        <v>0</v>
      </c>
      <c r="N3275" s="9" t="s">
        <v>42</v>
      </c>
      <c r="O3275" s="9" t="s">
        <v>43</v>
      </c>
      <c r="P3275" s="9" t="n">
        <v>6.2</v>
      </c>
      <c r="Q3275" s="9" t="n">
        <v>13</v>
      </c>
      <c r="R3275" s="9" t="s">
        <v>53</v>
      </c>
      <c r="S3275" s="9"/>
      <c r="T3275" s="9"/>
      <c r="U3275" s="9" t="str">
        <f aca="false">IF(COUNTIF($A$2:$A$5001,A3275)&gt;1,"Duplicate","Unique")</f>
        <v>Unique</v>
      </c>
      <c r="V3275" s="9" t="str">
        <f aca="false">IF(COUNTIFS($B$2:$B$5001,B3275,$H$2:$H$5001,H3275,$J$2:$J$5001,J3275)&gt;1,"Possible Duplicate Booking","Unique")</f>
        <v>Unique</v>
      </c>
      <c r="W3275" s="9" t="str">
        <f aca="false">IF((H3275-G3275)&lt;&gt;K3275,"Mismatch","OK")</f>
        <v>OK</v>
      </c>
      <c r="X3275" s="9" t="str">
        <f aca="false">IF(TEXT(H3275,"dddd")&lt;&gt;I3275,"Mismatch","OK")</f>
        <v>OK</v>
      </c>
      <c r="Y3275" s="9" t="str">
        <f aca="false">IF(AND(N3275="No",O3275&lt;&gt;""),"Unexpected: channel present but no reminder sent",IF(AND(N3275="Yes",O3275=""),"Missing channel for sent reminder","OK"))</f>
        <v>OK</v>
      </c>
    </row>
    <row r="3276" customFormat="false" ht="15" hidden="false" customHeight="false" outlineLevel="0" collapsed="false">
      <c r="A3276" s="7" t="s">
        <v>4855</v>
      </c>
      <c r="B3276" s="7" t="s">
        <v>4856</v>
      </c>
      <c r="C3276" s="7" t="s">
        <v>47</v>
      </c>
      <c r="D3276" s="7" t="n">
        <v>76</v>
      </c>
      <c r="E3276" s="7" t="s">
        <v>70</v>
      </c>
      <c r="F3276" s="7" t="s">
        <v>57</v>
      </c>
      <c r="G3276" s="8" t="n">
        <v>45786</v>
      </c>
      <c r="H3276" s="8" t="n">
        <v>45790</v>
      </c>
      <c r="I3276" s="7" t="s">
        <v>40</v>
      </c>
      <c r="J3276" s="7" t="s">
        <v>41</v>
      </c>
      <c r="K3276" s="7" t="n">
        <v>4</v>
      </c>
      <c r="L3276" s="7" t="n">
        <v>3</v>
      </c>
      <c r="M3276" s="7" t="n">
        <v>1</v>
      </c>
      <c r="N3276" s="7" t="s">
        <v>42</v>
      </c>
      <c r="O3276" s="7" t="s">
        <v>52</v>
      </c>
      <c r="P3276" s="7" t="n">
        <v>5.8</v>
      </c>
      <c r="Q3276" s="7" t="n">
        <v>19</v>
      </c>
      <c r="R3276" s="7" t="s">
        <v>53</v>
      </c>
      <c r="S3276" s="7"/>
      <c r="T3276" s="7"/>
      <c r="U3276" s="7" t="str">
        <f aca="false">IF(COUNTIF($A$2:$A$5001,A3276)&gt;1,"Duplicate","Unique")</f>
        <v>Unique</v>
      </c>
      <c r="V3276" s="7" t="str">
        <f aca="false">IF(COUNTIFS($B$2:$B$5001,B3276,$H$2:$H$5001,H3276,$J$2:$J$5001,J3276)&gt;1,"Possible Duplicate Booking","Unique")</f>
        <v>Unique</v>
      </c>
      <c r="W3276" s="7" t="str">
        <f aca="false">IF((H3276-G3276)&lt;&gt;K3276,"Mismatch","OK")</f>
        <v>OK</v>
      </c>
      <c r="X3276" s="7" t="str">
        <f aca="false">IF(TEXT(H3276,"dddd")&lt;&gt;I3276,"Mismatch","OK")</f>
        <v>OK</v>
      </c>
      <c r="Y3276" s="7" t="str">
        <f aca="false">IF(AND(N3276="No",O3276&lt;&gt;""),"Unexpected: channel present but no reminder sent",IF(AND(N3276="Yes",O3276=""),"Missing channel for sent reminder","OK"))</f>
        <v>OK</v>
      </c>
    </row>
    <row r="3277" customFormat="false" ht="15" hidden="false" customHeight="false" outlineLevel="0" collapsed="false">
      <c r="A3277" s="9" t="s">
        <v>4857</v>
      </c>
      <c r="B3277" s="9" t="s">
        <v>4858</v>
      </c>
      <c r="C3277" s="9" t="s">
        <v>47</v>
      </c>
      <c r="D3277" s="9" t="n">
        <v>62</v>
      </c>
      <c r="E3277" s="9" t="s">
        <v>61</v>
      </c>
      <c r="F3277" s="9" t="s">
        <v>57</v>
      </c>
      <c r="G3277" s="10" t="n">
        <v>46110</v>
      </c>
      <c r="H3277" s="10" t="n">
        <v>46162</v>
      </c>
      <c r="I3277" s="9" t="s">
        <v>58</v>
      </c>
      <c r="J3277" s="9" t="s">
        <v>41</v>
      </c>
      <c r="K3277" s="9" t="n">
        <v>52</v>
      </c>
      <c r="L3277" s="9" t="n">
        <v>1</v>
      </c>
      <c r="M3277" s="9" t="n">
        <v>0</v>
      </c>
      <c r="N3277" s="9" t="s">
        <v>42</v>
      </c>
      <c r="O3277" s="9" t="s">
        <v>52</v>
      </c>
      <c r="P3277" s="9" t="n">
        <v>17.8</v>
      </c>
      <c r="Q3277" s="9" t="n">
        <v>7</v>
      </c>
      <c r="R3277" s="9" t="s">
        <v>44</v>
      </c>
      <c r="S3277" s="9"/>
      <c r="T3277" s="9"/>
      <c r="U3277" s="9" t="str">
        <f aca="false">IF(COUNTIF($A$2:$A$5001,A3277)&gt;1,"Duplicate","Unique")</f>
        <v>Unique</v>
      </c>
      <c r="V3277" s="9" t="str">
        <f aca="false">IF(COUNTIFS($B$2:$B$5001,B3277,$H$2:$H$5001,H3277,$J$2:$J$5001,J3277)&gt;1,"Possible Duplicate Booking","Unique")</f>
        <v>Unique</v>
      </c>
      <c r="W3277" s="9" t="str">
        <f aca="false">IF((H3277-G3277)&lt;&gt;K3277,"Mismatch","OK")</f>
        <v>OK</v>
      </c>
      <c r="X3277" s="9" t="str">
        <f aca="false">IF(TEXT(H3277,"dddd")&lt;&gt;I3277,"Mismatch","OK")</f>
        <v>OK</v>
      </c>
      <c r="Y3277" s="9" t="str">
        <f aca="false">IF(AND(N3277="No",O3277&lt;&gt;""),"Unexpected: channel present but no reminder sent",IF(AND(N3277="Yes",O3277=""),"Missing channel for sent reminder","OK"))</f>
        <v>OK</v>
      </c>
    </row>
    <row r="3278" customFormat="false" ht="15" hidden="false" customHeight="false" outlineLevel="0" collapsed="false">
      <c r="A3278" s="7" t="s">
        <v>4859</v>
      </c>
      <c r="B3278" s="7" t="s">
        <v>2786</v>
      </c>
      <c r="C3278" s="7" t="s">
        <v>47</v>
      </c>
      <c r="D3278" s="7" t="n">
        <v>38</v>
      </c>
      <c r="E3278" s="7" t="s">
        <v>38</v>
      </c>
      <c r="F3278" s="7" t="s">
        <v>74</v>
      </c>
      <c r="G3278" s="8" t="n">
        <v>45651</v>
      </c>
      <c r="H3278" s="8" t="n">
        <v>45697</v>
      </c>
      <c r="I3278" s="7" t="s">
        <v>75</v>
      </c>
      <c r="J3278" s="7" t="s">
        <v>51</v>
      </c>
      <c r="K3278" s="7" t="n">
        <v>46</v>
      </c>
      <c r="L3278" s="7" t="n">
        <v>1</v>
      </c>
      <c r="M3278" s="7" t="n">
        <v>0</v>
      </c>
      <c r="N3278" s="7" t="s">
        <v>42</v>
      </c>
      <c r="O3278" s="7" t="s">
        <v>43</v>
      </c>
      <c r="P3278" s="7" t="n">
        <v>3.9</v>
      </c>
      <c r="Q3278" s="7" t="n">
        <v>3</v>
      </c>
      <c r="R3278" s="7" t="s">
        <v>53</v>
      </c>
      <c r="S3278" s="7"/>
      <c r="T3278" s="7"/>
      <c r="U3278" s="7" t="str">
        <f aca="false">IF(COUNTIF($A$2:$A$5001,A3278)&gt;1,"Duplicate","Unique")</f>
        <v>Unique</v>
      </c>
      <c r="V3278" s="7" t="str">
        <f aca="false">IF(COUNTIFS($B$2:$B$5001,B3278,$H$2:$H$5001,H3278,$J$2:$J$5001,J3278)&gt;1,"Possible Duplicate Booking","Unique")</f>
        <v>Unique</v>
      </c>
      <c r="W3278" s="7" t="str">
        <f aca="false">IF((H3278-G3278)&lt;&gt;K3278,"Mismatch","OK")</f>
        <v>OK</v>
      </c>
      <c r="X3278" s="7" t="str">
        <f aca="false">IF(TEXT(H3278,"dddd")&lt;&gt;I3278,"Mismatch","OK")</f>
        <v>OK</v>
      </c>
      <c r="Y3278" s="7" t="str">
        <f aca="false">IF(AND(N3278="No",O3278&lt;&gt;""),"Unexpected: channel present but no reminder sent",IF(AND(N3278="Yes",O3278=""),"Missing channel for sent reminder","OK"))</f>
        <v>OK</v>
      </c>
    </row>
    <row r="3279" customFormat="false" ht="15" hidden="false" customHeight="false" outlineLevel="0" collapsed="false">
      <c r="A3279" s="9" t="s">
        <v>4860</v>
      </c>
      <c r="B3279" s="9" t="s">
        <v>3773</v>
      </c>
      <c r="C3279" s="9" t="s">
        <v>47</v>
      </c>
      <c r="D3279" s="9" t="n">
        <v>68</v>
      </c>
      <c r="E3279" s="9" t="s">
        <v>70</v>
      </c>
      <c r="F3279" s="9" t="s">
        <v>39</v>
      </c>
      <c r="G3279" s="10" t="n">
        <v>45749</v>
      </c>
      <c r="H3279" s="10" t="n">
        <v>45792</v>
      </c>
      <c r="I3279" s="9" t="s">
        <v>62</v>
      </c>
      <c r="J3279" s="9" t="s">
        <v>63</v>
      </c>
      <c r="K3279" s="9" t="n">
        <v>43</v>
      </c>
      <c r="L3279" s="9" t="n">
        <v>3</v>
      </c>
      <c r="M3279" s="9" t="n">
        <v>1</v>
      </c>
      <c r="N3279" s="9" t="s">
        <v>42</v>
      </c>
      <c r="O3279" s="9" t="s">
        <v>52</v>
      </c>
      <c r="P3279" s="9" t="n">
        <v>5.8</v>
      </c>
      <c r="Q3279" s="9" t="n">
        <v>31</v>
      </c>
      <c r="R3279" s="9" t="s">
        <v>87</v>
      </c>
      <c r="S3279" s="9"/>
      <c r="T3279" s="9"/>
      <c r="U3279" s="9" t="str">
        <f aca="false">IF(COUNTIF($A$2:$A$5001,A3279)&gt;1,"Duplicate","Unique")</f>
        <v>Unique</v>
      </c>
      <c r="V3279" s="9" t="str">
        <f aca="false">IF(COUNTIFS($B$2:$B$5001,B3279,$H$2:$H$5001,H3279,$J$2:$J$5001,J3279)&gt;1,"Possible Duplicate Booking","Unique")</f>
        <v>Unique</v>
      </c>
      <c r="W3279" s="9" t="str">
        <f aca="false">IF((H3279-G3279)&lt;&gt;K3279,"Mismatch","OK")</f>
        <v>OK</v>
      </c>
      <c r="X3279" s="9" t="str">
        <f aca="false">IF(TEXT(H3279,"dddd")&lt;&gt;I3279,"Mismatch","OK")</f>
        <v>OK</v>
      </c>
      <c r="Y3279" s="9" t="str">
        <f aca="false">IF(AND(N3279="No",O3279&lt;&gt;""),"Unexpected: channel present but no reminder sent",IF(AND(N3279="Yes",O3279=""),"Missing channel for sent reminder","OK"))</f>
        <v>OK</v>
      </c>
    </row>
    <row r="3280" customFormat="false" ht="15" hidden="false" customHeight="false" outlineLevel="0" collapsed="false">
      <c r="A3280" s="7" t="s">
        <v>4861</v>
      </c>
      <c r="B3280" s="7" t="s">
        <v>1435</v>
      </c>
      <c r="C3280" s="7" t="s">
        <v>37</v>
      </c>
      <c r="D3280" s="7" t="n">
        <v>21</v>
      </c>
      <c r="E3280" s="7" t="s">
        <v>82</v>
      </c>
      <c r="F3280" s="7" t="s">
        <v>49</v>
      </c>
      <c r="G3280" s="8" t="n">
        <v>46190</v>
      </c>
      <c r="H3280" s="8" t="n">
        <v>46200</v>
      </c>
      <c r="I3280" s="7" t="s">
        <v>102</v>
      </c>
      <c r="J3280" s="7" t="s">
        <v>41</v>
      </c>
      <c r="K3280" s="7" t="n">
        <v>10</v>
      </c>
      <c r="L3280" s="7" t="n">
        <v>3</v>
      </c>
      <c r="M3280" s="7" t="n">
        <v>0</v>
      </c>
      <c r="N3280" s="7" t="s">
        <v>42</v>
      </c>
      <c r="O3280" s="7" t="s">
        <v>43</v>
      </c>
      <c r="P3280" s="7" t="n">
        <v>9.8</v>
      </c>
      <c r="Q3280" s="7" t="n">
        <v>28</v>
      </c>
      <c r="R3280" s="7" t="s">
        <v>53</v>
      </c>
      <c r="S3280" s="7"/>
      <c r="T3280" s="7"/>
      <c r="U3280" s="7" t="str">
        <f aca="false">IF(COUNTIF($A$2:$A$5001,A3280)&gt;1,"Duplicate","Unique")</f>
        <v>Unique</v>
      </c>
      <c r="V3280" s="7" t="str">
        <f aca="false">IF(COUNTIFS($B$2:$B$5001,B3280,$H$2:$H$5001,H3280,$J$2:$J$5001,J3280)&gt;1,"Possible Duplicate Booking","Unique")</f>
        <v>Unique</v>
      </c>
      <c r="W3280" s="7" t="str">
        <f aca="false">IF((H3280-G3280)&lt;&gt;K3280,"Mismatch","OK")</f>
        <v>OK</v>
      </c>
      <c r="X3280" s="7" t="str">
        <f aca="false">IF(TEXT(H3280,"dddd")&lt;&gt;I3280,"Mismatch","OK")</f>
        <v>OK</v>
      </c>
      <c r="Y3280" s="7" t="str">
        <f aca="false">IF(AND(N3280="No",O3280&lt;&gt;""),"Unexpected: channel present but no reminder sent",IF(AND(N3280="Yes",O3280=""),"Missing channel for sent reminder","OK"))</f>
        <v>OK</v>
      </c>
    </row>
    <row r="3281" customFormat="false" ht="15" hidden="false" customHeight="false" outlineLevel="0" collapsed="false">
      <c r="A3281" s="9" t="s">
        <v>4862</v>
      </c>
      <c r="B3281" s="9" t="s">
        <v>1525</v>
      </c>
      <c r="C3281" s="9" t="s">
        <v>47</v>
      </c>
      <c r="D3281" s="9" t="n">
        <v>42</v>
      </c>
      <c r="E3281" s="9" t="s">
        <v>38</v>
      </c>
      <c r="F3281" s="9" t="s">
        <v>39</v>
      </c>
      <c r="G3281" s="10" t="n">
        <v>46008</v>
      </c>
      <c r="H3281" s="10" t="n">
        <v>46056</v>
      </c>
      <c r="I3281" s="9" t="s">
        <v>40</v>
      </c>
      <c r="J3281" s="9" t="s">
        <v>51</v>
      </c>
      <c r="K3281" s="9" t="n">
        <v>48</v>
      </c>
      <c r="L3281" s="9" t="n">
        <v>7</v>
      </c>
      <c r="M3281" s="9" t="n">
        <v>1</v>
      </c>
      <c r="N3281" s="9" t="s">
        <v>71</v>
      </c>
      <c r="O3281" s="9"/>
      <c r="P3281" s="9" t="n">
        <v>6</v>
      </c>
      <c r="Q3281" s="9" t="n">
        <v>10</v>
      </c>
      <c r="R3281" s="9" t="s">
        <v>44</v>
      </c>
      <c r="S3281" s="9"/>
      <c r="T3281" s="9"/>
      <c r="U3281" s="9" t="str">
        <f aca="false">IF(COUNTIF($A$2:$A$5001,A3281)&gt;1,"Duplicate","Unique")</f>
        <v>Unique</v>
      </c>
      <c r="V3281" s="9" t="str">
        <f aca="false">IF(COUNTIFS($B$2:$B$5001,B3281,$H$2:$H$5001,H3281,$J$2:$J$5001,J3281)&gt;1,"Possible Duplicate Booking","Unique")</f>
        <v>Unique</v>
      </c>
      <c r="W3281" s="9" t="str">
        <f aca="false">IF((H3281-G3281)&lt;&gt;K3281,"Mismatch","OK")</f>
        <v>OK</v>
      </c>
      <c r="X3281" s="9" t="str">
        <f aca="false">IF(TEXT(H3281,"dddd")&lt;&gt;I3281,"Mismatch","OK")</f>
        <v>OK</v>
      </c>
      <c r="Y3281" s="9" t="str">
        <f aca="false">IF(AND(N3281="No",O3281&lt;&gt;""),"Unexpected: channel present but no reminder sent",IF(AND(N3281="Yes",O3281=""),"Missing channel for sent reminder","OK"))</f>
        <v>OK</v>
      </c>
    </row>
    <row r="3282" customFormat="false" ht="15" hidden="false" customHeight="false" outlineLevel="0" collapsed="false">
      <c r="A3282" s="7" t="s">
        <v>4863</v>
      </c>
      <c r="B3282" s="7" t="s">
        <v>1780</v>
      </c>
      <c r="C3282" s="7" t="s">
        <v>47</v>
      </c>
      <c r="D3282" s="7" t="n">
        <v>59</v>
      </c>
      <c r="E3282" s="7" t="s">
        <v>61</v>
      </c>
      <c r="F3282" s="7" t="s">
        <v>39</v>
      </c>
      <c r="G3282" s="8" t="n">
        <v>45667</v>
      </c>
      <c r="H3282" s="8" t="n">
        <v>45705</v>
      </c>
      <c r="I3282" s="7" t="s">
        <v>66</v>
      </c>
      <c r="J3282" s="7" t="s">
        <v>51</v>
      </c>
      <c r="K3282" s="7" t="n">
        <v>38</v>
      </c>
      <c r="L3282" s="7" t="n">
        <v>6</v>
      </c>
      <c r="M3282" s="7" t="n">
        <v>1</v>
      </c>
      <c r="N3282" s="7" t="s">
        <v>42</v>
      </c>
      <c r="O3282" s="7" t="s">
        <v>52</v>
      </c>
      <c r="P3282" s="7" t="n">
        <v>6</v>
      </c>
      <c r="Q3282" s="7" t="n">
        <v>29</v>
      </c>
      <c r="R3282" s="7" t="s">
        <v>53</v>
      </c>
      <c r="S3282" s="7"/>
      <c r="T3282" s="7"/>
      <c r="U3282" s="7" t="str">
        <f aca="false">IF(COUNTIF($A$2:$A$5001,A3282)&gt;1,"Duplicate","Unique")</f>
        <v>Unique</v>
      </c>
      <c r="V3282" s="7" t="str">
        <f aca="false">IF(COUNTIFS($B$2:$B$5001,B3282,$H$2:$H$5001,H3282,$J$2:$J$5001,J3282)&gt;1,"Possible Duplicate Booking","Unique")</f>
        <v>Unique</v>
      </c>
      <c r="W3282" s="7" t="str">
        <f aca="false">IF((H3282-G3282)&lt;&gt;K3282,"Mismatch","OK")</f>
        <v>OK</v>
      </c>
      <c r="X3282" s="7" t="str">
        <f aca="false">IF(TEXT(H3282,"dddd")&lt;&gt;I3282,"Mismatch","OK")</f>
        <v>OK</v>
      </c>
      <c r="Y3282" s="7" t="str">
        <f aca="false">IF(AND(N3282="No",O3282&lt;&gt;""),"Unexpected: channel present but no reminder sent",IF(AND(N3282="Yes",O3282=""),"Missing channel for sent reminder","OK"))</f>
        <v>OK</v>
      </c>
    </row>
    <row r="3283" customFormat="false" ht="15" hidden="false" customHeight="false" outlineLevel="0" collapsed="false">
      <c r="A3283" s="9" t="s">
        <v>4864</v>
      </c>
      <c r="B3283" s="9" t="s">
        <v>399</v>
      </c>
      <c r="C3283" s="9" t="s">
        <v>47</v>
      </c>
      <c r="D3283" s="9" t="n">
        <v>19</v>
      </c>
      <c r="E3283" s="9" t="s">
        <v>82</v>
      </c>
      <c r="F3283" s="9" t="s">
        <v>39</v>
      </c>
      <c r="G3283" s="10" t="n">
        <v>46046</v>
      </c>
      <c r="H3283" s="10" t="n">
        <v>46069</v>
      </c>
      <c r="I3283" s="9" t="s">
        <v>66</v>
      </c>
      <c r="J3283" s="9" t="s">
        <v>41</v>
      </c>
      <c r="K3283" s="9" t="n">
        <v>23</v>
      </c>
      <c r="L3283" s="9" t="n">
        <v>5</v>
      </c>
      <c r="M3283" s="9" t="n">
        <v>1</v>
      </c>
      <c r="N3283" s="9" t="s">
        <v>42</v>
      </c>
      <c r="O3283" s="9" t="s">
        <v>52</v>
      </c>
      <c r="P3283" s="9" t="n">
        <v>6.6</v>
      </c>
      <c r="Q3283" s="9" t="n">
        <v>30</v>
      </c>
      <c r="R3283" s="9" t="s">
        <v>44</v>
      </c>
      <c r="S3283" s="9"/>
      <c r="T3283" s="9"/>
      <c r="U3283" s="9" t="str">
        <f aca="false">IF(COUNTIF($A$2:$A$5001,A3283)&gt;1,"Duplicate","Unique")</f>
        <v>Unique</v>
      </c>
      <c r="V3283" s="9" t="str">
        <f aca="false">IF(COUNTIFS($B$2:$B$5001,B3283,$H$2:$H$5001,H3283,$J$2:$J$5001,J3283)&gt;1,"Possible Duplicate Booking","Unique")</f>
        <v>Unique</v>
      </c>
      <c r="W3283" s="9" t="str">
        <f aca="false">IF((H3283-G3283)&lt;&gt;K3283,"Mismatch","OK")</f>
        <v>OK</v>
      </c>
      <c r="X3283" s="9" t="str">
        <f aca="false">IF(TEXT(H3283,"dddd")&lt;&gt;I3283,"Mismatch","OK")</f>
        <v>OK</v>
      </c>
      <c r="Y3283" s="9" t="str">
        <f aca="false">IF(AND(N3283="No",O3283&lt;&gt;""),"Unexpected: channel present but no reminder sent",IF(AND(N3283="Yes",O3283=""),"Missing channel for sent reminder","OK"))</f>
        <v>OK</v>
      </c>
    </row>
    <row r="3284" customFormat="false" ht="15" hidden="false" customHeight="false" outlineLevel="0" collapsed="false">
      <c r="A3284" s="7" t="s">
        <v>4865</v>
      </c>
      <c r="B3284" s="7" t="s">
        <v>1830</v>
      </c>
      <c r="C3284" s="7" t="s">
        <v>236</v>
      </c>
      <c r="D3284" s="7" t="n">
        <v>62</v>
      </c>
      <c r="E3284" s="7" t="s">
        <v>61</v>
      </c>
      <c r="F3284" s="7" t="s">
        <v>57</v>
      </c>
      <c r="G3284" s="8" t="n">
        <v>46187</v>
      </c>
      <c r="H3284" s="8" t="n">
        <v>46187</v>
      </c>
      <c r="I3284" s="7" t="s">
        <v>75</v>
      </c>
      <c r="J3284" s="7" t="s">
        <v>41</v>
      </c>
      <c r="K3284" s="7" t="n">
        <v>0</v>
      </c>
      <c r="L3284" s="7" t="n">
        <v>2</v>
      </c>
      <c r="M3284" s="7" t="n">
        <v>0</v>
      </c>
      <c r="N3284" s="7" t="s">
        <v>42</v>
      </c>
      <c r="O3284" s="7" t="s">
        <v>43</v>
      </c>
      <c r="P3284" s="7" t="n">
        <v>12.7</v>
      </c>
      <c r="Q3284" s="7" t="n">
        <v>17</v>
      </c>
      <c r="R3284" s="7" t="s">
        <v>53</v>
      </c>
      <c r="S3284" s="7"/>
      <c r="T3284" s="7"/>
      <c r="U3284" s="7" t="str">
        <f aca="false">IF(COUNTIF($A$2:$A$5001,A3284)&gt;1,"Duplicate","Unique")</f>
        <v>Unique</v>
      </c>
      <c r="V3284" s="7" t="str">
        <f aca="false">IF(COUNTIFS($B$2:$B$5001,B3284,$H$2:$H$5001,H3284,$J$2:$J$5001,J3284)&gt;1,"Possible Duplicate Booking","Unique")</f>
        <v>Unique</v>
      </c>
      <c r="W3284" s="7" t="str">
        <f aca="false">IF((H3284-G3284)&lt;&gt;K3284,"Mismatch","OK")</f>
        <v>OK</v>
      </c>
      <c r="X3284" s="7" t="str">
        <f aca="false">IF(TEXT(H3284,"dddd")&lt;&gt;I3284,"Mismatch","OK")</f>
        <v>OK</v>
      </c>
      <c r="Y3284" s="7" t="str">
        <f aca="false">IF(AND(N3284="No",O3284&lt;&gt;""),"Unexpected: channel present but no reminder sent",IF(AND(N3284="Yes",O3284=""),"Missing channel for sent reminder","OK"))</f>
        <v>OK</v>
      </c>
    </row>
    <row r="3285" customFormat="false" ht="15" hidden="false" customHeight="false" outlineLevel="0" collapsed="false">
      <c r="A3285" s="9" t="s">
        <v>4866</v>
      </c>
      <c r="B3285" s="9" t="s">
        <v>4867</v>
      </c>
      <c r="C3285" s="9" t="s">
        <v>37</v>
      </c>
      <c r="D3285" s="9" t="n">
        <v>69</v>
      </c>
      <c r="E3285" s="9" t="s">
        <v>70</v>
      </c>
      <c r="F3285" s="9" t="s">
        <v>57</v>
      </c>
      <c r="G3285" s="10" t="n">
        <v>45679</v>
      </c>
      <c r="H3285" s="10" t="n">
        <v>45711</v>
      </c>
      <c r="I3285" s="9" t="s">
        <v>75</v>
      </c>
      <c r="J3285" s="9" t="s">
        <v>51</v>
      </c>
      <c r="K3285" s="9" t="n">
        <v>32</v>
      </c>
      <c r="L3285" s="9" t="n">
        <v>6</v>
      </c>
      <c r="M3285" s="9" t="n">
        <v>1</v>
      </c>
      <c r="N3285" s="9" t="s">
        <v>42</v>
      </c>
      <c r="O3285" s="9" t="s">
        <v>52</v>
      </c>
      <c r="P3285" s="9" t="n">
        <v>18.4</v>
      </c>
      <c r="Q3285" s="9" t="n">
        <v>14</v>
      </c>
      <c r="R3285" s="9" t="s">
        <v>44</v>
      </c>
      <c r="S3285" s="9"/>
      <c r="T3285" s="9"/>
      <c r="U3285" s="9" t="str">
        <f aca="false">IF(COUNTIF($A$2:$A$5001,A3285)&gt;1,"Duplicate","Unique")</f>
        <v>Unique</v>
      </c>
      <c r="V3285" s="9" t="str">
        <f aca="false">IF(COUNTIFS($B$2:$B$5001,B3285,$H$2:$H$5001,H3285,$J$2:$J$5001,J3285)&gt;1,"Possible Duplicate Booking","Unique")</f>
        <v>Unique</v>
      </c>
      <c r="W3285" s="9" t="str">
        <f aca="false">IF((H3285-G3285)&lt;&gt;K3285,"Mismatch","OK")</f>
        <v>OK</v>
      </c>
      <c r="X3285" s="9" t="str">
        <f aca="false">IF(TEXT(H3285,"dddd")&lt;&gt;I3285,"Mismatch","OK")</f>
        <v>OK</v>
      </c>
      <c r="Y3285" s="9" t="str">
        <f aca="false">IF(AND(N3285="No",O3285&lt;&gt;""),"Unexpected: channel present but no reminder sent",IF(AND(N3285="Yes",O3285=""),"Missing channel for sent reminder","OK"))</f>
        <v>OK</v>
      </c>
    </row>
    <row r="3286" customFormat="false" ht="15" hidden="false" customHeight="false" outlineLevel="0" collapsed="false">
      <c r="A3286" s="7" t="s">
        <v>4868</v>
      </c>
      <c r="B3286" s="7" t="s">
        <v>4869</v>
      </c>
      <c r="C3286" s="7" t="s">
        <v>47</v>
      </c>
      <c r="D3286" s="7" t="n">
        <v>55</v>
      </c>
      <c r="E3286" s="7" t="s">
        <v>61</v>
      </c>
      <c r="F3286" s="7" t="s">
        <v>74</v>
      </c>
      <c r="G3286" s="8" t="n">
        <v>45836</v>
      </c>
      <c r="H3286" s="8" t="n">
        <v>45884</v>
      </c>
      <c r="I3286" s="7" t="s">
        <v>50</v>
      </c>
      <c r="J3286" s="7" t="s">
        <v>41</v>
      </c>
      <c r="K3286" s="7" t="n">
        <v>48</v>
      </c>
      <c r="L3286" s="7" t="n">
        <v>4</v>
      </c>
      <c r="M3286" s="7" t="n">
        <v>0</v>
      </c>
      <c r="N3286" s="7" t="s">
        <v>42</v>
      </c>
      <c r="O3286" s="7" t="s">
        <v>52</v>
      </c>
      <c r="P3286" s="7" t="n">
        <v>14</v>
      </c>
      <c r="Q3286" s="7" t="n">
        <v>33</v>
      </c>
      <c r="R3286" s="7" t="s">
        <v>53</v>
      </c>
      <c r="S3286" s="7"/>
      <c r="T3286" s="7"/>
      <c r="U3286" s="7" t="str">
        <f aca="false">IF(COUNTIF($A$2:$A$5001,A3286)&gt;1,"Duplicate","Unique")</f>
        <v>Unique</v>
      </c>
      <c r="V3286" s="7" t="str">
        <f aca="false">IF(COUNTIFS($B$2:$B$5001,B3286,$H$2:$H$5001,H3286,$J$2:$J$5001,J3286)&gt;1,"Possible Duplicate Booking","Unique")</f>
        <v>Unique</v>
      </c>
      <c r="W3286" s="7" t="str">
        <f aca="false">IF((H3286-G3286)&lt;&gt;K3286,"Mismatch","OK")</f>
        <v>OK</v>
      </c>
      <c r="X3286" s="7" t="str">
        <f aca="false">IF(TEXT(H3286,"dddd")&lt;&gt;I3286,"Mismatch","OK")</f>
        <v>OK</v>
      </c>
      <c r="Y3286" s="7" t="str">
        <f aca="false">IF(AND(N3286="No",O3286&lt;&gt;""),"Unexpected: channel present but no reminder sent",IF(AND(N3286="Yes",O3286=""),"Missing channel for sent reminder","OK"))</f>
        <v>OK</v>
      </c>
    </row>
    <row r="3287" customFormat="false" ht="15" hidden="false" customHeight="false" outlineLevel="0" collapsed="false">
      <c r="A3287" s="9" t="s">
        <v>4870</v>
      </c>
      <c r="B3287" s="9" t="s">
        <v>3298</v>
      </c>
      <c r="C3287" s="9" t="s">
        <v>37</v>
      </c>
      <c r="D3287" s="9" t="n">
        <v>30</v>
      </c>
      <c r="E3287" s="9" t="s">
        <v>48</v>
      </c>
      <c r="F3287" s="9" t="s">
        <v>49</v>
      </c>
      <c r="G3287" s="10" t="n">
        <v>45911</v>
      </c>
      <c r="H3287" s="10" t="n">
        <v>45913</v>
      </c>
      <c r="I3287" s="9" t="s">
        <v>102</v>
      </c>
      <c r="J3287" s="9" t="s">
        <v>51</v>
      </c>
      <c r="K3287" s="9" t="n">
        <v>2</v>
      </c>
      <c r="L3287" s="9" t="n">
        <v>1</v>
      </c>
      <c r="M3287" s="9" t="n">
        <v>0</v>
      </c>
      <c r="N3287" s="9" t="s">
        <v>42</v>
      </c>
      <c r="O3287" s="9" t="s">
        <v>52</v>
      </c>
      <c r="P3287" s="9" t="n">
        <v>26.5</v>
      </c>
      <c r="Q3287" s="9" t="n">
        <v>29</v>
      </c>
      <c r="R3287" s="9" t="s">
        <v>53</v>
      </c>
      <c r="S3287" s="9"/>
      <c r="T3287" s="9"/>
      <c r="U3287" s="9" t="str">
        <f aca="false">IF(COUNTIF($A$2:$A$5001,A3287)&gt;1,"Duplicate","Unique")</f>
        <v>Unique</v>
      </c>
      <c r="V3287" s="9" t="str">
        <f aca="false">IF(COUNTIFS($B$2:$B$5001,B3287,$H$2:$H$5001,H3287,$J$2:$J$5001,J3287)&gt;1,"Possible Duplicate Booking","Unique")</f>
        <v>Unique</v>
      </c>
      <c r="W3287" s="9" t="str">
        <f aca="false">IF((H3287-G3287)&lt;&gt;K3287,"Mismatch","OK")</f>
        <v>OK</v>
      </c>
      <c r="X3287" s="9" t="str">
        <f aca="false">IF(TEXT(H3287,"dddd")&lt;&gt;I3287,"Mismatch","OK")</f>
        <v>OK</v>
      </c>
      <c r="Y3287" s="9" t="str">
        <f aca="false">IF(AND(N3287="No",O3287&lt;&gt;""),"Unexpected: channel present but no reminder sent",IF(AND(N3287="Yes",O3287=""),"Missing channel for sent reminder","OK"))</f>
        <v>OK</v>
      </c>
    </row>
    <row r="3288" customFormat="false" ht="15" hidden="false" customHeight="false" outlineLevel="0" collapsed="false">
      <c r="A3288" s="7" t="s">
        <v>4871</v>
      </c>
      <c r="B3288" s="7" t="s">
        <v>4872</v>
      </c>
      <c r="C3288" s="7" t="s">
        <v>37</v>
      </c>
      <c r="D3288" s="7" t="n">
        <v>65</v>
      </c>
      <c r="E3288" s="7" t="s">
        <v>70</v>
      </c>
      <c r="F3288" s="7" t="s">
        <v>49</v>
      </c>
      <c r="G3288" s="8" t="n">
        <v>45726</v>
      </c>
      <c r="H3288" s="8" t="n">
        <v>45729</v>
      </c>
      <c r="I3288" s="7" t="s">
        <v>62</v>
      </c>
      <c r="J3288" s="7" t="s">
        <v>63</v>
      </c>
      <c r="K3288" s="7" t="n">
        <v>3</v>
      </c>
      <c r="L3288" s="7" t="n">
        <v>8</v>
      </c>
      <c r="M3288" s="7" t="n">
        <v>2</v>
      </c>
      <c r="N3288" s="7" t="s">
        <v>42</v>
      </c>
      <c r="O3288" s="7" t="s">
        <v>43</v>
      </c>
      <c r="P3288" s="7" t="n">
        <v>23.3</v>
      </c>
      <c r="Q3288" s="7" t="n">
        <v>43</v>
      </c>
      <c r="R3288" s="7" t="s">
        <v>44</v>
      </c>
      <c r="S3288" s="7"/>
      <c r="T3288" s="7"/>
      <c r="U3288" s="7" t="str">
        <f aca="false">IF(COUNTIF($A$2:$A$5001,A3288)&gt;1,"Duplicate","Unique")</f>
        <v>Unique</v>
      </c>
      <c r="V3288" s="7" t="str">
        <f aca="false">IF(COUNTIFS($B$2:$B$5001,B3288,$H$2:$H$5001,H3288,$J$2:$J$5001,J3288)&gt;1,"Possible Duplicate Booking","Unique")</f>
        <v>Unique</v>
      </c>
      <c r="W3288" s="7" t="str">
        <f aca="false">IF((H3288-G3288)&lt;&gt;K3288,"Mismatch","OK")</f>
        <v>OK</v>
      </c>
      <c r="X3288" s="7" t="str">
        <f aca="false">IF(TEXT(H3288,"dddd")&lt;&gt;I3288,"Mismatch","OK")</f>
        <v>OK</v>
      </c>
      <c r="Y3288" s="7" t="str">
        <f aca="false">IF(AND(N3288="No",O3288&lt;&gt;""),"Unexpected: channel present but no reminder sent",IF(AND(N3288="Yes",O3288=""),"Missing channel for sent reminder","OK"))</f>
        <v>OK</v>
      </c>
    </row>
    <row r="3289" customFormat="false" ht="15" hidden="false" customHeight="false" outlineLevel="0" collapsed="false">
      <c r="A3289" s="9" t="s">
        <v>4873</v>
      </c>
      <c r="B3289" s="9" t="s">
        <v>681</v>
      </c>
      <c r="C3289" s="9" t="s">
        <v>37</v>
      </c>
      <c r="D3289" s="9" t="n">
        <v>39</v>
      </c>
      <c r="E3289" s="9" t="s">
        <v>38</v>
      </c>
      <c r="F3289" s="9" t="s">
        <v>57</v>
      </c>
      <c r="G3289" s="10" t="n">
        <v>45744</v>
      </c>
      <c r="H3289" s="10" t="n">
        <v>45767</v>
      </c>
      <c r="I3289" s="9" t="s">
        <v>75</v>
      </c>
      <c r="J3289" s="9" t="s">
        <v>51</v>
      </c>
      <c r="K3289" s="9" t="n">
        <v>23</v>
      </c>
      <c r="L3289" s="9" t="n">
        <v>1</v>
      </c>
      <c r="M3289" s="9" t="n">
        <v>0</v>
      </c>
      <c r="N3289" s="9" t="s">
        <v>71</v>
      </c>
      <c r="O3289" s="9"/>
      <c r="P3289" s="9" t="n">
        <v>2</v>
      </c>
      <c r="Q3289" s="9" t="n">
        <v>29</v>
      </c>
      <c r="R3289" s="9" t="s">
        <v>53</v>
      </c>
      <c r="S3289" s="9"/>
      <c r="T3289" s="9"/>
      <c r="U3289" s="9" t="str">
        <f aca="false">IF(COUNTIF($A$2:$A$5001,A3289)&gt;1,"Duplicate","Unique")</f>
        <v>Unique</v>
      </c>
      <c r="V3289" s="9" t="str">
        <f aca="false">IF(COUNTIFS($B$2:$B$5001,B3289,$H$2:$H$5001,H3289,$J$2:$J$5001,J3289)&gt;1,"Possible Duplicate Booking","Unique")</f>
        <v>Unique</v>
      </c>
      <c r="W3289" s="9" t="str">
        <f aca="false">IF((H3289-G3289)&lt;&gt;K3289,"Mismatch","OK")</f>
        <v>OK</v>
      </c>
      <c r="X3289" s="9" t="str">
        <f aca="false">IF(TEXT(H3289,"dddd")&lt;&gt;I3289,"Mismatch","OK")</f>
        <v>OK</v>
      </c>
      <c r="Y3289" s="9" t="str">
        <f aca="false">IF(AND(N3289="No",O3289&lt;&gt;""),"Unexpected: channel present but no reminder sent",IF(AND(N3289="Yes",O3289=""),"Missing channel for sent reminder","OK"))</f>
        <v>OK</v>
      </c>
    </row>
    <row r="3290" customFormat="false" ht="15" hidden="false" customHeight="false" outlineLevel="0" collapsed="false">
      <c r="A3290" s="7" t="s">
        <v>4874</v>
      </c>
      <c r="B3290" s="7" t="s">
        <v>3636</v>
      </c>
      <c r="C3290" s="7" t="s">
        <v>47</v>
      </c>
      <c r="D3290" s="7" t="n">
        <v>64</v>
      </c>
      <c r="E3290" s="7" t="s">
        <v>61</v>
      </c>
      <c r="F3290" s="7" t="s">
        <v>57</v>
      </c>
      <c r="G3290" s="8" t="n">
        <v>45721</v>
      </c>
      <c r="H3290" s="8" t="n">
        <v>45752</v>
      </c>
      <c r="I3290" s="7" t="s">
        <v>102</v>
      </c>
      <c r="J3290" s="7" t="s">
        <v>41</v>
      </c>
      <c r="K3290" s="7" t="n">
        <v>31</v>
      </c>
      <c r="L3290" s="7" t="n">
        <v>1</v>
      </c>
      <c r="M3290" s="7" t="n">
        <v>1</v>
      </c>
      <c r="N3290" s="7" t="s">
        <v>42</v>
      </c>
      <c r="O3290" s="7" t="s">
        <v>43</v>
      </c>
      <c r="P3290" s="7" t="n">
        <v>18</v>
      </c>
      <c r="Q3290" s="7" t="n">
        <v>4</v>
      </c>
      <c r="R3290" s="7" t="s">
        <v>53</v>
      </c>
      <c r="S3290" s="7"/>
      <c r="T3290" s="7"/>
      <c r="U3290" s="7" t="str">
        <f aca="false">IF(COUNTIF($A$2:$A$5001,A3290)&gt;1,"Duplicate","Unique")</f>
        <v>Unique</v>
      </c>
      <c r="V3290" s="7" t="str">
        <f aca="false">IF(COUNTIFS($B$2:$B$5001,B3290,$H$2:$H$5001,H3290,$J$2:$J$5001,J3290)&gt;1,"Possible Duplicate Booking","Unique")</f>
        <v>Unique</v>
      </c>
      <c r="W3290" s="7" t="str">
        <f aca="false">IF((H3290-G3290)&lt;&gt;K3290,"Mismatch","OK")</f>
        <v>OK</v>
      </c>
      <c r="X3290" s="7" t="str">
        <f aca="false">IF(TEXT(H3290,"dddd")&lt;&gt;I3290,"Mismatch","OK")</f>
        <v>OK</v>
      </c>
      <c r="Y3290" s="7" t="str">
        <f aca="false">IF(AND(N3290="No",O3290&lt;&gt;""),"Unexpected: channel present but no reminder sent",IF(AND(N3290="Yes",O3290=""),"Missing channel for sent reminder","OK"))</f>
        <v>OK</v>
      </c>
    </row>
    <row r="3291" customFormat="false" ht="15" hidden="false" customHeight="false" outlineLevel="0" collapsed="false">
      <c r="A3291" s="9" t="s">
        <v>4875</v>
      </c>
      <c r="B3291" s="9" t="s">
        <v>4876</v>
      </c>
      <c r="C3291" s="9" t="s">
        <v>37</v>
      </c>
      <c r="D3291" s="9" t="n">
        <v>57</v>
      </c>
      <c r="E3291" s="9" t="s">
        <v>61</v>
      </c>
      <c r="F3291" s="9" t="s">
        <v>57</v>
      </c>
      <c r="G3291" s="10" t="n">
        <v>45731</v>
      </c>
      <c r="H3291" s="10" t="n">
        <v>45759</v>
      </c>
      <c r="I3291" s="9" t="s">
        <v>102</v>
      </c>
      <c r="J3291" s="9" t="s">
        <v>41</v>
      </c>
      <c r="K3291" s="9" t="n">
        <v>28</v>
      </c>
      <c r="L3291" s="9" t="n">
        <v>5</v>
      </c>
      <c r="M3291" s="9" t="n">
        <v>1</v>
      </c>
      <c r="N3291" s="9" t="s">
        <v>71</v>
      </c>
      <c r="O3291" s="9"/>
      <c r="P3291" s="9" t="n">
        <v>22.8</v>
      </c>
      <c r="Q3291" s="9" t="n">
        <v>7</v>
      </c>
      <c r="R3291" s="9" t="s">
        <v>53</v>
      </c>
      <c r="S3291" s="9"/>
      <c r="T3291" s="9"/>
      <c r="U3291" s="9" t="str">
        <f aca="false">IF(COUNTIF($A$2:$A$5001,A3291)&gt;1,"Duplicate","Unique")</f>
        <v>Unique</v>
      </c>
      <c r="V3291" s="9" t="str">
        <f aca="false">IF(COUNTIFS($B$2:$B$5001,B3291,$H$2:$H$5001,H3291,$J$2:$J$5001,J3291)&gt;1,"Possible Duplicate Booking","Unique")</f>
        <v>Unique</v>
      </c>
      <c r="W3291" s="9" t="str">
        <f aca="false">IF((H3291-G3291)&lt;&gt;K3291,"Mismatch","OK")</f>
        <v>OK</v>
      </c>
      <c r="X3291" s="9" t="str">
        <f aca="false">IF(TEXT(H3291,"dddd")&lt;&gt;I3291,"Mismatch","OK")</f>
        <v>OK</v>
      </c>
      <c r="Y3291" s="9" t="str">
        <f aca="false">IF(AND(N3291="No",O3291&lt;&gt;""),"Unexpected: channel present but no reminder sent",IF(AND(N3291="Yes",O3291=""),"Missing channel for sent reminder","OK"))</f>
        <v>OK</v>
      </c>
    </row>
    <row r="3292" customFormat="false" ht="15" hidden="false" customHeight="false" outlineLevel="0" collapsed="false">
      <c r="A3292" s="7" t="s">
        <v>4877</v>
      </c>
      <c r="B3292" s="7" t="s">
        <v>4878</v>
      </c>
      <c r="C3292" s="7" t="s">
        <v>47</v>
      </c>
      <c r="D3292" s="7" t="n">
        <v>23</v>
      </c>
      <c r="E3292" s="7" t="s">
        <v>82</v>
      </c>
      <c r="F3292" s="7" t="s">
        <v>74</v>
      </c>
      <c r="G3292" s="8" t="n">
        <v>45853</v>
      </c>
      <c r="H3292" s="8" t="n">
        <v>45878</v>
      </c>
      <c r="I3292" s="7" t="s">
        <v>102</v>
      </c>
      <c r="J3292" s="7" t="s">
        <v>41</v>
      </c>
      <c r="K3292" s="7" t="n">
        <v>25</v>
      </c>
      <c r="L3292" s="7" t="n">
        <v>1</v>
      </c>
      <c r="M3292" s="7" t="n">
        <v>0</v>
      </c>
      <c r="N3292" s="7" t="s">
        <v>42</v>
      </c>
      <c r="O3292" s="7" t="s">
        <v>52</v>
      </c>
      <c r="P3292" s="7" t="n">
        <v>12.3</v>
      </c>
      <c r="Q3292" s="7" t="n">
        <v>22</v>
      </c>
      <c r="R3292" s="7" t="s">
        <v>44</v>
      </c>
      <c r="S3292" s="7"/>
      <c r="T3292" s="7"/>
      <c r="U3292" s="7" t="str">
        <f aca="false">IF(COUNTIF($A$2:$A$5001,A3292)&gt;1,"Duplicate","Unique")</f>
        <v>Unique</v>
      </c>
      <c r="V3292" s="7" t="str">
        <f aca="false">IF(COUNTIFS($B$2:$B$5001,B3292,$H$2:$H$5001,H3292,$J$2:$J$5001,J3292)&gt;1,"Possible Duplicate Booking","Unique")</f>
        <v>Unique</v>
      </c>
      <c r="W3292" s="7" t="str">
        <f aca="false">IF((H3292-G3292)&lt;&gt;K3292,"Mismatch","OK")</f>
        <v>OK</v>
      </c>
      <c r="X3292" s="7" t="str">
        <f aca="false">IF(TEXT(H3292,"dddd")&lt;&gt;I3292,"Mismatch","OK")</f>
        <v>OK</v>
      </c>
      <c r="Y3292" s="7" t="str">
        <f aca="false">IF(AND(N3292="No",O3292&lt;&gt;""),"Unexpected: channel present but no reminder sent",IF(AND(N3292="Yes",O3292=""),"Missing channel for sent reminder","OK"))</f>
        <v>OK</v>
      </c>
    </row>
    <row r="3293" customFormat="false" ht="15" hidden="false" customHeight="false" outlineLevel="0" collapsed="false">
      <c r="A3293" s="9" t="s">
        <v>4879</v>
      </c>
      <c r="B3293" s="9" t="s">
        <v>322</v>
      </c>
      <c r="C3293" s="9" t="s">
        <v>47</v>
      </c>
      <c r="D3293" s="9" t="n">
        <v>24</v>
      </c>
      <c r="E3293" s="9" t="s">
        <v>82</v>
      </c>
      <c r="F3293" s="9" t="s">
        <v>49</v>
      </c>
      <c r="G3293" s="10" t="n">
        <v>45896</v>
      </c>
      <c r="H3293" s="10" t="n">
        <v>45911</v>
      </c>
      <c r="I3293" s="9" t="s">
        <v>62</v>
      </c>
      <c r="J3293" s="9" t="s">
        <v>63</v>
      </c>
      <c r="K3293" s="9" t="n">
        <v>15</v>
      </c>
      <c r="L3293" s="9" t="n">
        <v>6</v>
      </c>
      <c r="M3293" s="9" t="n">
        <v>3</v>
      </c>
      <c r="N3293" s="9" t="s">
        <v>42</v>
      </c>
      <c r="O3293" s="9" t="s">
        <v>43</v>
      </c>
      <c r="P3293" s="9" t="n">
        <v>7.7</v>
      </c>
      <c r="Q3293" s="9" t="n">
        <v>33</v>
      </c>
      <c r="R3293" s="9" t="s">
        <v>44</v>
      </c>
      <c r="S3293" s="9"/>
      <c r="T3293" s="9"/>
      <c r="U3293" s="9" t="str">
        <f aca="false">IF(COUNTIF($A$2:$A$5001,A3293)&gt;1,"Duplicate","Unique")</f>
        <v>Unique</v>
      </c>
      <c r="V3293" s="9" t="str">
        <f aca="false">IF(COUNTIFS($B$2:$B$5001,B3293,$H$2:$H$5001,H3293,$J$2:$J$5001,J3293)&gt;1,"Possible Duplicate Booking","Unique")</f>
        <v>Unique</v>
      </c>
      <c r="W3293" s="9" t="str">
        <f aca="false">IF((H3293-G3293)&lt;&gt;K3293,"Mismatch","OK")</f>
        <v>OK</v>
      </c>
      <c r="X3293" s="9" t="str">
        <f aca="false">IF(TEXT(H3293,"dddd")&lt;&gt;I3293,"Mismatch","OK")</f>
        <v>OK</v>
      </c>
      <c r="Y3293" s="9" t="str">
        <f aca="false">IF(AND(N3293="No",O3293&lt;&gt;""),"Unexpected: channel present but no reminder sent",IF(AND(N3293="Yes",O3293=""),"Missing channel for sent reminder","OK"))</f>
        <v>OK</v>
      </c>
    </row>
    <row r="3294" customFormat="false" ht="15" hidden="false" customHeight="false" outlineLevel="0" collapsed="false">
      <c r="A3294" s="7" t="s">
        <v>4880</v>
      </c>
      <c r="B3294" s="7" t="s">
        <v>531</v>
      </c>
      <c r="C3294" s="7" t="s">
        <v>47</v>
      </c>
      <c r="D3294" s="7" t="n">
        <v>18</v>
      </c>
      <c r="E3294" s="7" t="s">
        <v>82</v>
      </c>
      <c r="F3294" s="7" t="s">
        <v>39</v>
      </c>
      <c r="G3294" s="8" t="n">
        <v>45784</v>
      </c>
      <c r="H3294" s="8" t="n">
        <v>45787</v>
      </c>
      <c r="I3294" s="7" t="s">
        <v>102</v>
      </c>
      <c r="J3294" s="7" t="s">
        <v>63</v>
      </c>
      <c r="K3294" s="7" t="n">
        <v>3</v>
      </c>
      <c r="L3294" s="7" t="n">
        <v>1</v>
      </c>
      <c r="M3294" s="7" t="n">
        <v>0</v>
      </c>
      <c r="N3294" s="7" t="s">
        <v>71</v>
      </c>
      <c r="O3294" s="7"/>
      <c r="P3294" s="7" t="n">
        <v>4.5</v>
      </c>
      <c r="Q3294" s="7" t="n">
        <v>28</v>
      </c>
      <c r="R3294" s="7" t="s">
        <v>53</v>
      </c>
      <c r="S3294" s="7"/>
      <c r="T3294" s="7"/>
      <c r="U3294" s="7" t="str">
        <f aca="false">IF(COUNTIF($A$2:$A$5001,A3294)&gt;1,"Duplicate","Unique")</f>
        <v>Unique</v>
      </c>
      <c r="V3294" s="7" t="str">
        <f aca="false">IF(COUNTIFS($B$2:$B$5001,B3294,$H$2:$H$5001,H3294,$J$2:$J$5001,J3294)&gt;1,"Possible Duplicate Booking","Unique")</f>
        <v>Unique</v>
      </c>
      <c r="W3294" s="7" t="str">
        <f aca="false">IF((H3294-G3294)&lt;&gt;K3294,"Mismatch","OK")</f>
        <v>OK</v>
      </c>
      <c r="X3294" s="7" t="str">
        <f aca="false">IF(TEXT(H3294,"dddd")&lt;&gt;I3294,"Mismatch","OK")</f>
        <v>OK</v>
      </c>
      <c r="Y3294" s="7" t="str">
        <f aca="false">IF(AND(N3294="No",O3294&lt;&gt;""),"Unexpected: channel present but no reminder sent",IF(AND(N3294="Yes",O3294=""),"Missing channel for sent reminder","OK"))</f>
        <v>OK</v>
      </c>
    </row>
    <row r="3295" customFormat="false" ht="15" hidden="false" customHeight="false" outlineLevel="0" collapsed="false">
      <c r="A3295" s="9" t="s">
        <v>4881</v>
      </c>
      <c r="B3295" s="9" t="s">
        <v>2115</v>
      </c>
      <c r="C3295" s="9" t="s">
        <v>47</v>
      </c>
      <c r="D3295" s="9" t="n">
        <v>22</v>
      </c>
      <c r="E3295" s="9" t="s">
        <v>82</v>
      </c>
      <c r="F3295" s="9" t="s">
        <v>74</v>
      </c>
      <c r="G3295" s="10" t="n">
        <v>45815</v>
      </c>
      <c r="H3295" s="10" t="n">
        <v>45816</v>
      </c>
      <c r="I3295" s="9" t="s">
        <v>75</v>
      </c>
      <c r="J3295" s="9" t="s">
        <v>51</v>
      </c>
      <c r="K3295" s="9" t="n">
        <v>1</v>
      </c>
      <c r="L3295" s="9" t="n">
        <v>5</v>
      </c>
      <c r="M3295" s="9" t="n">
        <v>2</v>
      </c>
      <c r="N3295" s="9" t="s">
        <v>42</v>
      </c>
      <c r="O3295" s="9" t="s">
        <v>43</v>
      </c>
      <c r="P3295" s="9" t="n">
        <v>13.3</v>
      </c>
      <c r="Q3295" s="9" t="n">
        <v>17</v>
      </c>
      <c r="R3295" s="9" t="s">
        <v>44</v>
      </c>
      <c r="S3295" s="9"/>
      <c r="T3295" s="9"/>
      <c r="U3295" s="9" t="str">
        <f aca="false">IF(COUNTIF($A$2:$A$5001,A3295)&gt;1,"Duplicate","Unique")</f>
        <v>Unique</v>
      </c>
      <c r="V3295" s="9" t="str">
        <f aca="false">IF(COUNTIFS($B$2:$B$5001,B3295,$H$2:$H$5001,H3295,$J$2:$J$5001,J3295)&gt;1,"Possible Duplicate Booking","Unique")</f>
        <v>Unique</v>
      </c>
      <c r="W3295" s="9" t="str">
        <f aca="false">IF((H3295-G3295)&lt;&gt;K3295,"Mismatch","OK")</f>
        <v>OK</v>
      </c>
      <c r="X3295" s="9" t="str">
        <f aca="false">IF(TEXT(H3295,"dddd")&lt;&gt;I3295,"Mismatch","OK")</f>
        <v>OK</v>
      </c>
      <c r="Y3295" s="9" t="str">
        <f aca="false">IF(AND(N3295="No",O3295&lt;&gt;""),"Unexpected: channel present but no reminder sent",IF(AND(N3295="Yes",O3295=""),"Missing channel for sent reminder","OK"))</f>
        <v>OK</v>
      </c>
    </row>
    <row r="3296" customFormat="false" ht="15" hidden="false" customHeight="false" outlineLevel="0" collapsed="false">
      <c r="A3296" s="7" t="s">
        <v>4882</v>
      </c>
      <c r="B3296" s="7" t="s">
        <v>286</v>
      </c>
      <c r="C3296" s="7" t="s">
        <v>37</v>
      </c>
      <c r="D3296" s="7" t="n">
        <v>36</v>
      </c>
      <c r="E3296" s="7" t="s">
        <v>38</v>
      </c>
      <c r="F3296" s="7" t="s">
        <v>57</v>
      </c>
      <c r="G3296" s="8" t="n">
        <v>45756</v>
      </c>
      <c r="H3296" s="8" t="n">
        <v>45762</v>
      </c>
      <c r="I3296" s="7" t="s">
        <v>40</v>
      </c>
      <c r="J3296" s="7" t="s">
        <v>51</v>
      </c>
      <c r="K3296" s="7" t="n">
        <v>6</v>
      </c>
      <c r="L3296" s="7" t="n">
        <v>4</v>
      </c>
      <c r="M3296" s="7" t="n">
        <v>2</v>
      </c>
      <c r="N3296" s="7" t="s">
        <v>71</v>
      </c>
      <c r="O3296" s="7"/>
      <c r="P3296" s="7"/>
      <c r="Q3296" s="7" t="n">
        <v>5</v>
      </c>
      <c r="R3296" s="7" t="s">
        <v>53</v>
      </c>
      <c r="S3296" s="7"/>
      <c r="T3296" s="7"/>
      <c r="U3296" s="7" t="str">
        <f aca="false">IF(COUNTIF($A$2:$A$5001,A3296)&gt;1,"Duplicate","Unique")</f>
        <v>Unique</v>
      </c>
      <c r="V3296" s="7" t="str">
        <f aca="false">IF(COUNTIFS($B$2:$B$5001,B3296,$H$2:$H$5001,H3296,$J$2:$J$5001,J3296)&gt;1,"Possible Duplicate Booking","Unique")</f>
        <v>Unique</v>
      </c>
      <c r="W3296" s="7" t="str">
        <f aca="false">IF((H3296-G3296)&lt;&gt;K3296,"Mismatch","OK")</f>
        <v>OK</v>
      </c>
      <c r="X3296" s="7" t="str">
        <f aca="false">IF(TEXT(H3296,"dddd")&lt;&gt;I3296,"Mismatch","OK")</f>
        <v>OK</v>
      </c>
      <c r="Y3296" s="7" t="str">
        <f aca="false">IF(AND(N3296="No",O3296&lt;&gt;""),"Unexpected: channel present but no reminder sent",IF(AND(N3296="Yes",O3296=""),"Missing channel for sent reminder","OK"))</f>
        <v>OK</v>
      </c>
    </row>
    <row r="3297" customFormat="false" ht="15" hidden="false" customHeight="false" outlineLevel="0" collapsed="false">
      <c r="A3297" s="9" t="s">
        <v>4883</v>
      </c>
      <c r="B3297" s="9" t="s">
        <v>1584</v>
      </c>
      <c r="C3297" s="9" t="s">
        <v>37</v>
      </c>
      <c r="D3297" s="9" t="n">
        <v>19</v>
      </c>
      <c r="E3297" s="9" t="s">
        <v>82</v>
      </c>
      <c r="F3297" s="9" t="s">
        <v>39</v>
      </c>
      <c r="G3297" s="10" t="n">
        <v>46050</v>
      </c>
      <c r="H3297" s="10" t="n">
        <v>46092</v>
      </c>
      <c r="I3297" s="9" t="s">
        <v>58</v>
      </c>
      <c r="J3297" s="9" t="s">
        <v>41</v>
      </c>
      <c r="K3297" s="9" t="n">
        <v>42</v>
      </c>
      <c r="L3297" s="9" t="n">
        <v>1</v>
      </c>
      <c r="M3297" s="9" t="n">
        <v>0</v>
      </c>
      <c r="N3297" s="9" t="s">
        <v>42</v>
      </c>
      <c r="O3297" s="9" t="s">
        <v>52</v>
      </c>
      <c r="P3297" s="9" t="n">
        <v>9.5</v>
      </c>
      <c r="Q3297" s="9" t="n">
        <v>40</v>
      </c>
      <c r="R3297" s="9" t="s">
        <v>53</v>
      </c>
      <c r="S3297" s="9"/>
      <c r="T3297" s="9"/>
      <c r="U3297" s="9" t="str">
        <f aca="false">IF(COUNTIF($A$2:$A$5001,A3297)&gt;1,"Duplicate","Unique")</f>
        <v>Unique</v>
      </c>
      <c r="V3297" s="9" t="str">
        <f aca="false">IF(COUNTIFS($B$2:$B$5001,B3297,$H$2:$H$5001,H3297,$J$2:$J$5001,J3297)&gt;1,"Possible Duplicate Booking","Unique")</f>
        <v>Unique</v>
      </c>
      <c r="W3297" s="9" t="str">
        <f aca="false">IF((H3297-G3297)&lt;&gt;K3297,"Mismatch","OK")</f>
        <v>OK</v>
      </c>
      <c r="X3297" s="9" t="str">
        <f aca="false">IF(TEXT(H3297,"dddd")&lt;&gt;I3297,"Mismatch","OK")</f>
        <v>OK</v>
      </c>
      <c r="Y3297" s="9" t="str">
        <f aca="false">IF(AND(N3297="No",O3297&lt;&gt;""),"Unexpected: channel present but no reminder sent",IF(AND(N3297="Yes",O3297=""),"Missing channel for sent reminder","OK"))</f>
        <v>OK</v>
      </c>
    </row>
    <row r="3298" customFormat="false" ht="15" hidden="false" customHeight="false" outlineLevel="0" collapsed="false">
      <c r="A3298" s="7" t="s">
        <v>4884</v>
      </c>
      <c r="B3298" s="7" t="s">
        <v>3330</v>
      </c>
      <c r="C3298" s="7" t="s">
        <v>47</v>
      </c>
      <c r="D3298" s="7" t="n">
        <v>77</v>
      </c>
      <c r="E3298" s="7" t="s">
        <v>70</v>
      </c>
      <c r="F3298" s="7" t="s">
        <v>57</v>
      </c>
      <c r="G3298" s="8" t="n">
        <v>45726</v>
      </c>
      <c r="H3298" s="8" t="n">
        <v>45773</v>
      </c>
      <c r="I3298" s="7" t="s">
        <v>102</v>
      </c>
      <c r="J3298" s="7" t="s">
        <v>51</v>
      </c>
      <c r="K3298" s="7" t="n">
        <v>47</v>
      </c>
      <c r="L3298" s="7" t="n">
        <v>3</v>
      </c>
      <c r="M3298" s="7" t="n">
        <v>0</v>
      </c>
      <c r="N3298" s="7" t="s">
        <v>42</v>
      </c>
      <c r="O3298" s="7" t="s">
        <v>52</v>
      </c>
      <c r="P3298" s="7" t="n">
        <v>37.1</v>
      </c>
      <c r="Q3298" s="7" t="n">
        <v>40</v>
      </c>
      <c r="R3298" s="7" t="s">
        <v>53</v>
      </c>
      <c r="S3298" s="7"/>
      <c r="T3298" s="7"/>
      <c r="U3298" s="7" t="str">
        <f aca="false">IF(COUNTIF($A$2:$A$5001,A3298)&gt;1,"Duplicate","Unique")</f>
        <v>Unique</v>
      </c>
      <c r="V3298" s="7" t="str">
        <f aca="false">IF(COUNTIFS($B$2:$B$5001,B3298,$H$2:$H$5001,H3298,$J$2:$J$5001,J3298)&gt;1,"Possible Duplicate Booking","Unique")</f>
        <v>Unique</v>
      </c>
      <c r="W3298" s="7" t="str">
        <f aca="false">IF((H3298-G3298)&lt;&gt;K3298,"Mismatch","OK")</f>
        <v>OK</v>
      </c>
      <c r="X3298" s="7" t="str">
        <f aca="false">IF(TEXT(H3298,"dddd")&lt;&gt;I3298,"Mismatch","OK")</f>
        <v>OK</v>
      </c>
      <c r="Y3298" s="7" t="str">
        <f aca="false">IF(AND(N3298="No",O3298&lt;&gt;""),"Unexpected: channel present but no reminder sent",IF(AND(N3298="Yes",O3298=""),"Missing channel for sent reminder","OK"))</f>
        <v>OK</v>
      </c>
    </row>
    <row r="3299" customFormat="false" ht="15" hidden="false" customHeight="false" outlineLevel="0" collapsed="false">
      <c r="A3299" s="9" t="s">
        <v>4885</v>
      </c>
      <c r="B3299" s="9" t="s">
        <v>1387</v>
      </c>
      <c r="C3299" s="9" t="s">
        <v>37</v>
      </c>
      <c r="D3299" s="9" t="n">
        <v>75</v>
      </c>
      <c r="E3299" s="9" t="s">
        <v>70</v>
      </c>
      <c r="F3299" s="9" t="s">
        <v>57</v>
      </c>
      <c r="G3299" s="10" t="n">
        <v>46127</v>
      </c>
      <c r="H3299" s="10" t="n">
        <v>46153</v>
      </c>
      <c r="I3299" s="9" t="s">
        <v>66</v>
      </c>
      <c r="J3299" s="9" t="s">
        <v>41</v>
      </c>
      <c r="K3299" s="9" t="n">
        <v>26</v>
      </c>
      <c r="L3299" s="9" t="n">
        <v>4</v>
      </c>
      <c r="M3299" s="9" t="n">
        <v>0</v>
      </c>
      <c r="N3299" s="9" t="s">
        <v>42</v>
      </c>
      <c r="O3299" s="9" t="s">
        <v>43</v>
      </c>
      <c r="P3299" s="9"/>
      <c r="Q3299" s="9" t="n">
        <v>9</v>
      </c>
      <c r="R3299" s="9" t="s">
        <v>44</v>
      </c>
      <c r="S3299" s="9"/>
      <c r="T3299" s="9"/>
      <c r="U3299" s="9" t="str">
        <f aca="false">IF(COUNTIF($A$2:$A$5001,A3299)&gt;1,"Duplicate","Unique")</f>
        <v>Unique</v>
      </c>
      <c r="V3299" s="9" t="str">
        <f aca="false">IF(COUNTIFS($B$2:$B$5001,B3299,$H$2:$H$5001,H3299,$J$2:$J$5001,J3299)&gt;1,"Possible Duplicate Booking","Unique")</f>
        <v>Unique</v>
      </c>
      <c r="W3299" s="9" t="str">
        <f aca="false">IF((H3299-G3299)&lt;&gt;K3299,"Mismatch","OK")</f>
        <v>OK</v>
      </c>
      <c r="X3299" s="9" t="str">
        <f aca="false">IF(TEXT(H3299,"dddd")&lt;&gt;I3299,"Mismatch","OK")</f>
        <v>OK</v>
      </c>
      <c r="Y3299" s="9" t="str">
        <f aca="false">IF(AND(N3299="No",O3299&lt;&gt;""),"Unexpected: channel present but no reminder sent",IF(AND(N3299="Yes",O3299=""),"Missing channel for sent reminder","OK"))</f>
        <v>OK</v>
      </c>
    </row>
    <row r="3300" customFormat="false" ht="15" hidden="false" customHeight="false" outlineLevel="0" collapsed="false">
      <c r="A3300" s="7" t="s">
        <v>4886</v>
      </c>
      <c r="B3300" s="7" t="s">
        <v>624</v>
      </c>
      <c r="C3300" s="7" t="s">
        <v>37</v>
      </c>
      <c r="D3300" s="7" t="n">
        <v>28</v>
      </c>
      <c r="E3300" s="7" t="s">
        <v>48</v>
      </c>
      <c r="F3300" s="7" t="s">
        <v>74</v>
      </c>
      <c r="G3300" s="8" t="n">
        <v>45948</v>
      </c>
      <c r="H3300" s="8" t="n">
        <v>45952</v>
      </c>
      <c r="I3300" s="7" t="s">
        <v>58</v>
      </c>
      <c r="J3300" s="7" t="s">
        <v>51</v>
      </c>
      <c r="K3300" s="7" t="n">
        <v>4</v>
      </c>
      <c r="L3300" s="7" t="n">
        <v>2</v>
      </c>
      <c r="M3300" s="7" t="n">
        <v>0</v>
      </c>
      <c r="N3300" s="7" t="s">
        <v>42</v>
      </c>
      <c r="O3300" s="7" t="s">
        <v>43</v>
      </c>
      <c r="P3300" s="7" t="n">
        <v>9.7</v>
      </c>
      <c r="Q3300" s="7" t="n">
        <v>31</v>
      </c>
      <c r="R3300" s="7" t="s">
        <v>53</v>
      </c>
      <c r="S3300" s="7"/>
      <c r="T3300" s="7"/>
      <c r="U3300" s="7" t="str">
        <f aca="false">IF(COUNTIF($A$2:$A$5001,A3300)&gt;1,"Duplicate","Unique")</f>
        <v>Unique</v>
      </c>
      <c r="V3300" s="7" t="str">
        <f aca="false">IF(COUNTIFS($B$2:$B$5001,B3300,$H$2:$H$5001,H3300,$J$2:$J$5001,J3300)&gt;1,"Possible Duplicate Booking","Unique")</f>
        <v>Unique</v>
      </c>
      <c r="W3300" s="7" t="str">
        <f aca="false">IF((H3300-G3300)&lt;&gt;K3300,"Mismatch","OK")</f>
        <v>OK</v>
      </c>
      <c r="X3300" s="7" t="str">
        <f aca="false">IF(TEXT(H3300,"dddd")&lt;&gt;I3300,"Mismatch","OK")</f>
        <v>OK</v>
      </c>
      <c r="Y3300" s="7" t="str">
        <f aca="false">IF(AND(N3300="No",O3300&lt;&gt;""),"Unexpected: channel present but no reminder sent",IF(AND(N3300="Yes",O3300=""),"Missing channel for sent reminder","OK"))</f>
        <v>OK</v>
      </c>
    </row>
    <row r="3301" customFormat="false" ht="15" hidden="false" customHeight="false" outlineLevel="0" collapsed="false">
      <c r="A3301" s="9" t="s">
        <v>4887</v>
      </c>
      <c r="B3301" s="9" t="s">
        <v>4888</v>
      </c>
      <c r="C3301" s="9" t="s">
        <v>37</v>
      </c>
      <c r="D3301" s="9" t="n">
        <v>37</v>
      </c>
      <c r="E3301" s="9" t="s">
        <v>38</v>
      </c>
      <c r="F3301" s="9" t="s">
        <v>49</v>
      </c>
      <c r="G3301" s="10" t="n">
        <v>46071</v>
      </c>
      <c r="H3301" s="10" t="n">
        <v>46096</v>
      </c>
      <c r="I3301" s="9" t="s">
        <v>75</v>
      </c>
      <c r="J3301" s="9" t="s">
        <v>63</v>
      </c>
      <c r="K3301" s="9" t="n">
        <v>25</v>
      </c>
      <c r="L3301" s="9" t="n">
        <v>5</v>
      </c>
      <c r="M3301" s="9" t="n">
        <v>1</v>
      </c>
      <c r="N3301" s="9" t="s">
        <v>42</v>
      </c>
      <c r="O3301" s="9" t="s">
        <v>43</v>
      </c>
      <c r="P3301" s="9" t="n">
        <v>16.2</v>
      </c>
      <c r="Q3301" s="9" t="n">
        <v>27</v>
      </c>
      <c r="R3301" s="9" t="s">
        <v>44</v>
      </c>
      <c r="S3301" s="9"/>
      <c r="T3301" s="9"/>
      <c r="U3301" s="9" t="str">
        <f aca="false">IF(COUNTIF($A$2:$A$5001,A3301)&gt;1,"Duplicate","Unique")</f>
        <v>Unique</v>
      </c>
      <c r="V3301" s="9" t="str">
        <f aca="false">IF(COUNTIFS($B$2:$B$5001,B3301,$H$2:$H$5001,H3301,$J$2:$J$5001,J3301)&gt;1,"Possible Duplicate Booking","Unique")</f>
        <v>Unique</v>
      </c>
      <c r="W3301" s="9" t="str">
        <f aca="false">IF((H3301-G3301)&lt;&gt;K3301,"Mismatch","OK")</f>
        <v>OK</v>
      </c>
      <c r="X3301" s="9" t="str">
        <f aca="false">IF(TEXT(H3301,"dddd")&lt;&gt;I3301,"Mismatch","OK")</f>
        <v>OK</v>
      </c>
      <c r="Y3301" s="9" t="str">
        <f aca="false">IF(AND(N3301="No",O3301&lt;&gt;""),"Unexpected: channel present but no reminder sent",IF(AND(N3301="Yes",O3301=""),"Missing channel for sent reminder","OK"))</f>
        <v>OK</v>
      </c>
    </row>
    <row r="3302" customFormat="false" ht="15" hidden="false" customHeight="false" outlineLevel="0" collapsed="false">
      <c r="A3302" s="7" t="s">
        <v>4889</v>
      </c>
      <c r="B3302" s="7" t="s">
        <v>3894</v>
      </c>
      <c r="C3302" s="7" t="s">
        <v>37</v>
      </c>
      <c r="D3302" s="7" t="n">
        <v>64</v>
      </c>
      <c r="E3302" s="7" t="s">
        <v>61</v>
      </c>
      <c r="F3302" s="7" t="s">
        <v>57</v>
      </c>
      <c r="G3302" s="8" t="n">
        <v>45945</v>
      </c>
      <c r="H3302" s="8" t="n">
        <v>46005</v>
      </c>
      <c r="I3302" s="7" t="s">
        <v>75</v>
      </c>
      <c r="J3302" s="7" t="s">
        <v>41</v>
      </c>
      <c r="K3302" s="7" t="n">
        <v>60</v>
      </c>
      <c r="L3302" s="7" t="n">
        <v>5</v>
      </c>
      <c r="M3302" s="7" t="n">
        <v>1</v>
      </c>
      <c r="N3302" s="7" t="s">
        <v>71</v>
      </c>
      <c r="O3302" s="7"/>
      <c r="P3302" s="7" t="n">
        <v>10.5</v>
      </c>
      <c r="Q3302" s="7" t="n">
        <v>32</v>
      </c>
      <c r="R3302" s="7" t="s">
        <v>44</v>
      </c>
      <c r="S3302" s="7"/>
      <c r="T3302" s="7"/>
      <c r="U3302" s="7" t="str">
        <f aca="false">IF(COUNTIF($A$2:$A$5001,A3302)&gt;1,"Duplicate","Unique")</f>
        <v>Unique</v>
      </c>
      <c r="V3302" s="7" t="str">
        <f aca="false">IF(COUNTIFS($B$2:$B$5001,B3302,$H$2:$H$5001,H3302,$J$2:$J$5001,J3302)&gt;1,"Possible Duplicate Booking","Unique")</f>
        <v>Unique</v>
      </c>
      <c r="W3302" s="7" t="str">
        <f aca="false">IF((H3302-G3302)&lt;&gt;K3302,"Mismatch","OK")</f>
        <v>OK</v>
      </c>
      <c r="X3302" s="7" t="str">
        <f aca="false">IF(TEXT(H3302,"dddd")&lt;&gt;I3302,"Mismatch","OK")</f>
        <v>OK</v>
      </c>
      <c r="Y3302" s="7" t="str">
        <f aca="false">IF(AND(N3302="No",O3302&lt;&gt;""),"Unexpected: channel present but no reminder sent",IF(AND(N3302="Yes",O3302=""),"Missing channel for sent reminder","OK"))</f>
        <v>OK</v>
      </c>
    </row>
    <row r="3303" customFormat="false" ht="15" hidden="false" customHeight="false" outlineLevel="0" collapsed="false">
      <c r="A3303" s="9" t="s">
        <v>4890</v>
      </c>
      <c r="B3303" s="9" t="s">
        <v>1972</v>
      </c>
      <c r="C3303" s="9" t="s">
        <v>236</v>
      </c>
      <c r="D3303" s="9" t="n">
        <v>59</v>
      </c>
      <c r="E3303" s="9" t="s">
        <v>61</v>
      </c>
      <c r="F3303" s="9" t="s">
        <v>57</v>
      </c>
      <c r="G3303" s="10" t="n">
        <v>45788</v>
      </c>
      <c r="H3303" s="10" t="n">
        <v>45803</v>
      </c>
      <c r="I3303" s="9" t="s">
        <v>66</v>
      </c>
      <c r="J3303" s="9" t="s">
        <v>41</v>
      </c>
      <c r="K3303" s="9" t="n">
        <v>15</v>
      </c>
      <c r="L3303" s="9" t="n">
        <v>4</v>
      </c>
      <c r="M3303" s="9" t="n">
        <v>0</v>
      </c>
      <c r="N3303" s="9" t="s">
        <v>71</v>
      </c>
      <c r="O3303" s="9"/>
      <c r="P3303" s="9" t="n">
        <v>13.5</v>
      </c>
      <c r="Q3303" s="9" t="n">
        <v>41</v>
      </c>
      <c r="R3303" s="9" t="s">
        <v>53</v>
      </c>
      <c r="S3303" s="9"/>
      <c r="T3303" s="9"/>
      <c r="U3303" s="9" t="str">
        <f aca="false">IF(COUNTIF($A$2:$A$5001,A3303)&gt;1,"Duplicate","Unique")</f>
        <v>Unique</v>
      </c>
      <c r="V3303" s="9" t="str">
        <f aca="false">IF(COUNTIFS($B$2:$B$5001,B3303,$H$2:$H$5001,H3303,$J$2:$J$5001,J3303)&gt;1,"Possible Duplicate Booking","Unique")</f>
        <v>Unique</v>
      </c>
      <c r="W3303" s="9" t="str">
        <f aca="false">IF((H3303-G3303)&lt;&gt;K3303,"Mismatch","OK")</f>
        <v>OK</v>
      </c>
      <c r="X3303" s="9" t="str">
        <f aca="false">IF(TEXT(H3303,"dddd")&lt;&gt;I3303,"Mismatch","OK")</f>
        <v>OK</v>
      </c>
      <c r="Y3303" s="9" t="str">
        <f aca="false">IF(AND(N3303="No",O3303&lt;&gt;""),"Unexpected: channel present but no reminder sent",IF(AND(N3303="Yes",O3303=""),"Missing channel for sent reminder","OK"))</f>
        <v>OK</v>
      </c>
    </row>
    <row r="3304" customFormat="false" ht="15" hidden="false" customHeight="false" outlineLevel="0" collapsed="false">
      <c r="A3304" s="7" t="s">
        <v>4891</v>
      </c>
      <c r="B3304" s="7" t="s">
        <v>2407</v>
      </c>
      <c r="C3304" s="7" t="s">
        <v>47</v>
      </c>
      <c r="D3304" s="7" t="n">
        <v>54</v>
      </c>
      <c r="E3304" s="7" t="s">
        <v>56</v>
      </c>
      <c r="F3304" s="7" t="s">
        <v>39</v>
      </c>
      <c r="G3304" s="8" t="n">
        <v>45957</v>
      </c>
      <c r="H3304" s="8" t="n">
        <v>45986</v>
      </c>
      <c r="I3304" s="7" t="s">
        <v>40</v>
      </c>
      <c r="J3304" s="7" t="s">
        <v>51</v>
      </c>
      <c r="K3304" s="7" t="n">
        <v>29</v>
      </c>
      <c r="L3304" s="7" t="n">
        <v>1</v>
      </c>
      <c r="M3304" s="7" t="n">
        <v>0</v>
      </c>
      <c r="N3304" s="7" t="s">
        <v>71</v>
      </c>
      <c r="O3304" s="7"/>
      <c r="P3304" s="7" t="n">
        <v>2.8</v>
      </c>
      <c r="Q3304" s="7" t="n">
        <v>40</v>
      </c>
      <c r="R3304" s="7" t="s">
        <v>53</v>
      </c>
      <c r="S3304" s="7"/>
      <c r="T3304" s="7"/>
      <c r="U3304" s="7" t="str">
        <f aca="false">IF(COUNTIF($A$2:$A$5001,A3304)&gt;1,"Duplicate","Unique")</f>
        <v>Unique</v>
      </c>
      <c r="V3304" s="7" t="str">
        <f aca="false">IF(COUNTIFS($B$2:$B$5001,B3304,$H$2:$H$5001,H3304,$J$2:$J$5001,J3304)&gt;1,"Possible Duplicate Booking","Unique")</f>
        <v>Unique</v>
      </c>
      <c r="W3304" s="7" t="str">
        <f aca="false">IF((H3304-G3304)&lt;&gt;K3304,"Mismatch","OK")</f>
        <v>OK</v>
      </c>
      <c r="X3304" s="7" t="str">
        <f aca="false">IF(TEXT(H3304,"dddd")&lt;&gt;I3304,"Mismatch","OK")</f>
        <v>OK</v>
      </c>
      <c r="Y3304" s="7" t="str">
        <f aca="false">IF(AND(N3304="No",O3304&lt;&gt;""),"Unexpected: channel present but no reminder sent",IF(AND(N3304="Yes",O3304=""),"Missing channel for sent reminder","OK"))</f>
        <v>OK</v>
      </c>
    </row>
    <row r="3305" customFormat="false" ht="15" hidden="false" customHeight="false" outlineLevel="0" collapsed="false">
      <c r="A3305" s="9" t="s">
        <v>4892</v>
      </c>
      <c r="B3305" s="9" t="s">
        <v>3398</v>
      </c>
      <c r="C3305" s="9" t="s">
        <v>47</v>
      </c>
      <c r="D3305" s="9" t="n">
        <v>80</v>
      </c>
      <c r="E3305" s="9" t="s">
        <v>70</v>
      </c>
      <c r="F3305" s="9" t="s">
        <v>57</v>
      </c>
      <c r="G3305" s="10" t="n">
        <v>45775</v>
      </c>
      <c r="H3305" s="10" t="n">
        <v>45807</v>
      </c>
      <c r="I3305" s="9" t="s">
        <v>50</v>
      </c>
      <c r="J3305" s="9" t="s">
        <v>63</v>
      </c>
      <c r="K3305" s="9" t="n">
        <v>32</v>
      </c>
      <c r="L3305" s="9" t="n">
        <v>6</v>
      </c>
      <c r="M3305" s="9" t="n">
        <v>1</v>
      </c>
      <c r="N3305" s="9" t="s">
        <v>71</v>
      </c>
      <c r="O3305" s="9"/>
      <c r="P3305" s="9" t="n">
        <v>25.9</v>
      </c>
      <c r="Q3305" s="9" t="n">
        <v>30</v>
      </c>
      <c r="R3305" s="9" t="s">
        <v>44</v>
      </c>
      <c r="S3305" s="9"/>
      <c r="T3305" s="9"/>
      <c r="U3305" s="9" t="str">
        <f aca="false">IF(COUNTIF($A$2:$A$5001,A3305)&gt;1,"Duplicate","Unique")</f>
        <v>Unique</v>
      </c>
      <c r="V3305" s="9" t="str">
        <f aca="false">IF(COUNTIFS($B$2:$B$5001,B3305,$H$2:$H$5001,H3305,$J$2:$J$5001,J3305)&gt;1,"Possible Duplicate Booking","Unique")</f>
        <v>Unique</v>
      </c>
      <c r="W3305" s="9" t="str">
        <f aca="false">IF((H3305-G3305)&lt;&gt;K3305,"Mismatch","OK")</f>
        <v>OK</v>
      </c>
      <c r="X3305" s="9" t="str">
        <f aca="false">IF(TEXT(H3305,"dddd")&lt;&gt;I3305,"Mismatch","OK")</f>
        <v>OK</v>
      </c>
      <c r="Y3305" s="9" t="str">
        <f aca="false">IF(AND(N3305="No",O3305&lt;&gt;""),"Unexpected: channel present but no reminder sent",IF(AND(N3305="Yes",O3305=""),"Missing channel for sent reminder","OK"))</f>
        <v>OK</v>
      </c>
    </row>
    <row r="3306" customFormat="false" ht="15" hidden="false" customHeight="false" outlineLevel="0" collapsed="false">
      <c r="A3306" s="7" t="s">
        <v>4893</v>
      </c>
      <c r="B3306" s="7" t="s">
        <v>4894</v>
      </c>
      <c r="C3306" s="7" t="s">
        <v>37</v>
      </c>
      <c r="D3306" s="7" t="n">
        <v>57</v>
      </c>
      <c r="E3306" s="7" t="s">
        <v>61</v>
      </c>
      <c r="F3306" s="7" t="s">
        <v>39</v>
      </c>
      <c r="G3306" s="8" t="n">
        <v>45702</v>
      </c>
      <c r="H3306" s="8" t="n">
        <v>45722</v>
      </c>
      <c r="I3306" s="7" t="s">
        <v>62</v>
      </c>
      <c r="J3306" s="7" t="s">
        <v>41</v>
      </c>
      <c r="K3306" s="7" t="n">
        <v>20</v>
      </c>
      <c r="L3306" s="7" t="n">
        <v>4</v>
      </c>
      <c r="M3306" s="7" t="n">
        <v>1</v>
      </c>
      <c r="N3306" s="7" t="s">
        <v>71</v>
      </c>
      <c r="O3306" s="7"/>
      <c r="P3306" s="7" t="n">
        <v>10.3</v>
      </c>
      <c r="Q3306" s="7" t="n">
        <v>21</v>
      </c>
      <c r="R3306" s="7" t="s">
        <v>44</v>
      </c>
      <c r="S3306" s="7"/>
      <c r="T3306" s="7"/>
      <c r="U3306" s="7" t="str">
        <f aca="false">IF(COUNTIF($A$2:$A$5001,A3306)&gt;1,"Duplicate","Unique")</f>
        <v>Unique</v>
      </c>
      <c r="V3306" s="7" t="str">
        <f aca="false">IF(COUNTIFS($B$2:$B$5001,B3306,$H$2:$H$5001,H3306,$J$2:$J$5001,J3306)&gt;1,"Possible Duplicate Booking","Unique")</f>
        <v>Unique</v>
      </c>
      <c r="W3306" s="7" t="str">
        <f aca="false">IF((H3306-G3306)&lt;&gt;K3306,"Mismatch","OK")</f>
        <v>OK</v>
      </c>
      <c r="X3306" s="7" t="str">
        <f aca="false">IF(TEXT(H3306,"dddd")&lt;&gt;I3306,"Mismatch","OK")</f>
        <v>OK</v>
      </c>
      <c r="Y3306" s="7" t="str">
        <f aca="false">IF(AND(N3306="No",O3306&lt;&gt;""),"Unexpected: channel present but no reminder sent",IF(AND(N3306="Yes",O3306=""),"Missing channel for sent reminder","OK"))</f>
        <v>OK</v>
      </c>
    </row>
    <row r="3307" customFormat="false" ht="15" hidden="false" customHeight="false" outlineLevel="0" collapsed="false">
      <c r="A3307" s="9" t="s">
        <v>4895</v>
      </c>
      <c r="B3307" s="9" t="s">
        <v>4896</v>
      </c>
      <c r="C3307" s="9" t="s">
        <v>236</v>
      </c>
      <c r="D3307" s="9" t="n">
        <v>60</v>
      </c>
      <c r="E3307" s="9" t="s">
        <v>61</v>
      </c>
      <c r="F3307" s="9" t="s">
        <v>39</v>
      </c>
      <c r="G3307" s="10" t="n">
        <v>45771</v>
      </c>
      <c r="H3307" s="10" t="n">
        <v>45797</v>
      </c>
      <c r="I3307" s="9" t="s">
        <v>40</v>
      </c>
      <c r="J3307" s="9" t="s">
        <v>41</v>
      </c>
      <c r="K3307" s="9" t="n">
        <v>26</v>
      </c>
      <c r="L3307" s="9" t="n">
        <v>4</v>
      </c>
      <c r="M3307" s="9" t="n">
        <v>0</v>
      </c>
      <c r="N3307" s="9" t="s">
        <v>42</v>
      </c>
      <c r="O3307" s="9" t="s">
        <v>52</v>
      </c>
      <c r="P3307" s="9" t="n">
        <v>3.3</v>
      </c>
      <c r="Q3307" s="9" t="n">
        <v>21</v>
      </c>
      <c r="R3307" s="9" t="s">
        <v>53</v>
      </c>
      <c r="S3307" s="9"/>
      <c r="T3307" s="9"/>
      <c r="U3307" s="9" t="str">
        <f aca="false">IF(COUNTIF($A$2:$A$5001,A3307)&gt;1,"Duplicate","Unique")</f>
        <v>Unique</v>
      </c>
      <c r="V3307" s="9" t="str">
        <f aca="false">IF(COUNTIFS($B$2:$B$5001,B3307,$H$2:$H$5001,H3307,$J$2:$J$5001,J3307)&gt;1,"Possible Duplicate Booking","Unique")</f>
        <v>Unique</v>
      </c>
      <c r="W3307" s="9" t="str">
        <f aca="false">IF((H3307-G3307)&lt;&gt;K3307,"Mismatch","OK")</f>
        <v>OK</v>
      </c>
      <c r="X3307" s="9" t="str">
        <f aca="false">IF(TEXT(H3307,"dddd")&lt;&gt;I3307,"Mismatch","OK")</f>
        <v>OK</v>
      </c>
      <c r="Y3307" s="9" t="str">
        <f aca="false">IF(AND(N3307="No",O3307&lt;&gt;""),"Unexpected: channel present but no reminder sent",IF(AND(N3307="Yes",O3307=""),"Missing channel for sent reminder","OK"))</f>
        <v>OK</v>
      </c>
    </row>
    <row r="3308" customFormat="false" ht="15" hidden="false" customHeight="false" outlineLevel="0" collapsed="false">
      <c r="A3308" s="7" t="s">
        <v>4897</v>
      </c>
      <c r="B3308" s="7" t="s">
        <v>3009</v>
      </c>
      <c r="C3308" s="7" t="s">
        <v>47</v>
      </c>
      <c r="D3308" s="7" t="n">
        <v>49</v>
      </c>
      <c r="E3308" s="7" t="s">
        <v>56</v>
      </c>
      <c r="F3308" s="7" t="s">
        <v>57</v>
      </c>
      <c r="G3308" s="8" t="n">
        <v>45780</v>
      </c>
      <c r="H3308" s="8" t="n">
        <v>45808</v>
      </c>
      <c r="I3308" s="7" t="s">
        <v>102</v>
      </c>
      <c r="J3308" s="7" t="s">
        <v>41</v>
      </c>
      <c r="K3308" s="7" t="n">
        <v>28</v>
      </c>
      <c r="L3308" s="7" t="n">
        <v>2</v>
      </c>
      <c r="M3308" s="7" t="n">
        <v>0</v>
      </c>
      <c r="N3308" s="7" t="s">
        <v>71</v>
      </c>
      <c r="O3308" s="7"/>
      <c r="P3308" s="7" t="n">
        <v>15.7</v>
      </c>
      <c r="Q3308" s="7" t="n">
        <v>22</v>
      </c>
      <c r="R3308" s="7" t="s">
        <v>53</v>
      </c>
      <c r="S3308" s="7"/>
      <c r="T3308" s="7"/>
      <c r="U3308" s="7" t="str">
        <f aca="false">IF(COUNTIF($A$2:$A$5001,A3308)&gt;1,"Duplicate","Unique")</f>
        <v>Unique</v>
      </c>
      <c r="V3308" s="7" t="str">
        <f aca="false">IF(COUNTIFS($B$2:$B$5001,B3308,$H$2:$H$5001,H3308,$J$2:$J$5001,J3308)&gt;1,"Possible Duplicate Booking","Unique")</f>
        <v>Unique</v>
      </c>
      <c r="W3308" s="7" t="str">
        <f aca="false">IF((H3308-G3308)&lt;&gt;K3308,"Mismatch","OK")</f>
        <v>OK</v>
      </c>
      <c r="X3308" s="7" t="str">
        <f aca="false">IF(TEXT(H3308,"dddd")&lt;&gt;I3308,"Mismatch","OK")</f>
        <v>OK</v>
      </c>
      <c r="Y3308" s="7" t="str">
        <f aca="false">IF(AND(N3308="No",O3308&lt;&gt;""),"Unexpected: channel present but no reminder sent",IF(AND(N3308="Yes",O3308=""),"Missing channel for sent reminder","OK"))</f>
        <v>OK</v>
      </c>
    </row>
    <row r="3309" customFormat="false" ht="15" hidden="false" customHeight="false" outlineLevel="0" collapsed="false">
      <c r="A3309" s="9" t="s">
        <v>4898</v>
      </c>
      <c r="B3309" s="9" t="s">
        <v>1007</v>
      </c>
      <c r="C3309" s="9" t="s">
        <v>47</v>
      </c>
      <c r="D3309" s="9" t="n">
        <v>51</v>
      </c>
      <c r="E3309" s="9" t="s">
        <v>56</v>
      </c>
      <c r="F3309" s="9" t="s">
        <v>57</v>
      </c>
      <c r="G3309" s="10" t="n">
        <v>45703</v>
      </c>
      <c r="H3309" s="10" t="n">
        <v>45731</v>
      </c>
      <c r="I3309" s="9" t="s">
        <v>102</v>
      </c>
      <c r="J3309" s="9" t="s">
        <v>51</v>
      </c>
      <c r="K3309" s="9" t="n">
        <v>28</v>
      </c>
      <c r="L3309" s="9" t="n">
        <v>4</v>
      </c>
      <c r="M3309" s="9" t="n">
        <v>1</v>
      </c>
      <c r="N3309" s="9" t="s">
        <v>42</v>
      </c>
      <c r="O3309" s="9" t="s">
        <v>43</v>
      </c>
      <c r="P3309" s="9" t="n">
        <v>25.5</v>
      </c>
      <c r="Q3309" s="9" t="n">
        <v>54</v>
      </c>
      <c r="R3309" s="9" t="s">
        <v>44</v>
      </c>
      <c r="S3309" s="9"/>
      <c r="T3309" s="9"/>
      <c r="U3309" s="9" t="str">
        <f aca="false">IF(COUNTIF($A$2:$A$5001,A3309)&gt;1,"Duplicate","Unique")</f>
        <v>Unique</v>
      </c>
      <c r="V3309" s="9" t="str">
        <f aca="false">IF(COUNTIFS($B$2:$B$5001,B3309,$H$2:$H$5001,H3309,$J$2:$J$5001,J3309)&gt;1,"Possible Duplicate Booking","Unique")</f>
        <v>Possible Duplicate Booking</v>
      </c>
      <c r="W3309" s="9" t="str">
        <f aca="false">IF((H3309-G3309)&lt;&gt;K3309,"Mismatch","OK")</f>
        <v>OK</v>
      </c>
      <c r="X3309" s="9" t="str">
        <f aca="false">IF(TEXT(H3309,"dddd")&lt;&gt;I3309,"Mismatch","OK")</f>
        <v>OK</v>
      </c>
      <c r="Y3309" s="9" t="str">
        <f aca="false">IF(AND(N3309="No",O3309&lt;&gt;""),"Unexpected: channel present but no reminder sent",IF(AND(N3309="Yes",O3309=""),"Missing channel for sent reminder","OK"))</f>
        <v>OK</v>
      </c>
    </row>
    <row r="3310" customFormat="false" ht="15" hidden="false" customHeight="false" outlineLevel="0" collapsed="false">
      <c r="A3310" s="7" t="s">
        <v>4899</v>
      </c>
      <c r="B3310" s="7" t="s">
        <v>2499</v>
      </c>
      <c r="C3310" s="7" t="s">
        <v>37</v>
      </c>
      <c r="D3310" s="7" t="n">
        <v>36</v>
      </c>
      <c r="E3310" s="7" t="s">
        <v>38</v>
      </c>
      <c r="F3310" s="7" t="s">
        <v>57</v>
      </c>
      <c r="G3310" s="8" t="n">
        <v>45627</v>
      </c>
      <c r="H3310" s="8" t="n">
        <v>45670</v>
      </c>
      <c r="I3310" s="7" t="s">
        <v>66</v>
      </c>
      <c r="J3310" s="7" t="s">
        <v>51</v>
      </c>
      <c r="K3310" s="7" t="n">
        <v>43</v>
      </c>
      <c r="L3310" s="7" t="n">
        <v>4</v>
      </c>
      <c r="M3310" s="7" t="n">
        <v>0</v>
      </c>
      <c r="N3310" s="7" t="s">
        <v>71</v>
      </c>
      <c r="O3310" s="7"/>
      <c r="P3310" s="7" t="n">
        <v>7.2</v>
      </c>
      <c r="Q3310" s="7" t="n">
        <v>24</v>
      </c>
      <c r="R3310" s="7" t="s">
        <v>44</v>
      </c>
      <c r="S3310" s="7"/>
      <c r="T3310" s="7"/>
      <c r="U3310" s="7" t="str">
        <f aca="false">IF(COUNTIF($A$2:$A$5001,A3310)&gt;1,"Duplicate","Unique")</f>
        <v>Unique</v>
      </c>
      <c r="V3310" s="7" t="str">
        <f aca="false">IF(COUNTIFS($B$2:$B$5001,B3310,$H$2:$H$5001,H3310,$J$2:$J$5001,J3310)&gt;1,"Possible Duplicate Booking","Unique")</f>
        <v>Unique</v>
      </c>
      <c r="W3310" s="7" t="str">
        <f aca="false">IF((H3310-G3310)&lt;&gt;K3310,"Mismatch","OK")</f>
        <v>OK</v>
      </c>
      <c r="X3310" s="7" t="str">
        <f aca="false">IF(TEXT(H3310,"dddd")&lt;&gt;I3310,"Mismatch","OK")</f>
        <v>OK</v>
      </c>
      <c r="Y3310" s="7" t="str">
        <f aca="false">IF(AND(N3310="No",O3310&lt;&gt;""),"Unexpected: channel present but no reminder sent",IF(AND(N3310="Yes",O3310=""),"Missing channel for sent reminder","OK"))</f>
        <v>OK</v>
      </c>
    </row>
    <row r="3311" customFormat="false" ht="15" hidden="false" customHeight="false" outlineLevel="0" collapsed="false">
      <c r="A3311" s="9" t="s">
        <v>4900</v>
      </c>
      <c r="B3311" s="9" t="s">
        <v>4901</v>
      </c>
      <c r="C3311" s="9" t="s">
        <v>37</v>
      </c>
      <c r="D3311" s="9" t="n">
        <v>50</v>
      </c>
      <c r="E3311" s="9" t="s">
        <v>56</v>
      </c>
      <c r="F3311" s="9" t="s">
        <v>74</v>
      </c>
      <c r="G3311" s="10" t="n">
        <v>46138</v>
      </c>
      <c r="H3311" s="10" t="n">
        <v>46173</v>
      </c>
      <c r="I3311" s="9" t="s">
        <v>75</v>
      </c>
      <c r="J3311" s="9" t="s">
        <v>51</v>
      </c>
      <c r="K3311" s="9" t="n">
        <v>35</v>
      </c>
      <c r="L3311" s="9" t="n">
        <v>3</v>
      </c>
      <c r="M3311" s="9" t="n">
        <v>1</v>
      </c>
      <c r="N3311" s="9" t="s">
        <v>42</v>
      </c>
      <c r="O3311" s="9" t="s">
        <v>43</v>
      </c>
      <c r="P3311" s="9" t="n">
        <v>8.4</v>
      </c>
      <c r="Q3311" s="9" t="n">
        <v>33</v>
      </c>
      <c r="R3311" s="9" t="s">
        <v>53</v>
      </c>
      <c r="S3311" s="9"/>
      <c r="T3311" s="9"/>
      <c r="U3311" s="9" t="str">
        <f aca="false">IF(COUNTIF($A$2:$A$5001,A3311)&gt;1,"Duplicate","Unique")</f>
        <v>Unique</v>
      </c>
      <c r="V3311" s="9" t="str">
        <f aca="false">IF(COUNTIFS($B$2:$B$5001,B3311,$H$2:$H$5001,H3311,$J$2:$J$5001,J3311)&gt;1,"Possible Duplicate Booking","Unique")</f>
        <v>Unique</v>
      </c>
      <c r="W3311" s="9" t="str">
        <f aca="false">IF((H3311-G3311)&lt;&gt;K3311,"Mismatch","OK")</f>
        <v>OK</v>
      </c>
      <c r="X3311" s="9" t="str">
        <f aca="false">IF(TEXT(H3311,"dddd")&lt;&gt;I3311,"Mismatch","OK")</f>
        <v>OK</v>
      </c>
      <c r="Y3311" s="9" t="str">
        <f aca="false">IF(AND(N3311="No",O3311&lt;&gt;""),"Unexpected: channel present but no reminder sent",IF(AND(N3311="Yes",O3311=""),"Missing channel for sent reminder","OK"))</f>
        <v>OK</v>
      </c>
    </row>
    <row r="3312" customFormat="false" ht="15" hidden="false" customHeight="false" outlineLevel="0" collapsed="false">
      <c r="A3312" s="7" t="s">
        <v>4902</v>
      </c>
      <c r="B3312" s="7" t="s">
        <v>3080</v>
      </c>
      <c r="C3312" s="7" t="s">
        <v>47</v>
      </c>
      <c r="D3312" s="7" t="n">
        <v>75</v>
      </c>
      <c r="E3312" s="7" t="s">
        <v>70</v>
      </c>
      <c r="F3312" s="7" t="s">
        <v>57</v>
      </c>
      <c r="G3312" s="8" t="n">
        <v>45935</v>
      </c>
      <c r="H3312" s="8" t="n">
        <v>45938</v>
      </c>
      <c r="I3312" s="7" t="s">
        <v>58</v>
      </c>
      <c r="J3312" s="7" t="s">
        <v>41</v>
      </c>
      <c r="K3312" s="7" t="n">
        <v>3</v>
      </c>
      <c r="L3312" s="7" t="n">
        <v>5</v>
      </c>
      <c r="M3312" s="7" t="n">
        <v>1</v>
      </c>
      <c r="N3312" s="7" t="s">
        <v>42</v>
      </c>
      <c r="O3312" s="7" t="s">
        <v>52</v>
      </c>
      <c r="P3312" s="7" t="n">
        <v>18.1</v>
      </c>
      <c r="Q3312" s="7" t="n">
        <v>29</v>
      </c>
      <c r="R3312" s="7" t="s">
        <v>87</v>
      </c>
      <c r="S3312" s="7"/>
      <c r="T3312" s="7"/>
      <c r="U3312" s="7" t="str">
        <f aca="false">IF(COUNTIF($A$2:$A$5001,A3312)&gt;1,"Duplicate","Unique")</f>
        <v>Unique</v>
      </c>
      <c r="V3312" s="7" t="str">
        <f aca="false">IF(COUNTIFS($B$2:$B$5001,B3312,$H$2:$H$5001,H3312,$J$2:$J$5001,J3312)&gt;1,"Possible Duplicate Booking","Unique")</f>
        <v>Unique</v>
      </c>
      <c r="W3312" s="7" t="str">
        <f aca="false">IF((H3312-G3312)&lt;&gt;K3312,"Mismatch","OK")</f>
        <v>OK</v>
      </c>
      <c r="X3312" s="7" t="str">
        <f aca="false">IF(TEXT(H3312,"dddd")&lt;&gt;I3312,"Mismatch","OK")</f>
        <v>OK</v>
      </c>
      <c r="Y3312" s="7" t="str">
        <f aca="false">IF(AND(N3312="No",O3312&lt;&gt;""),"Unexpected: channel present but no reminder sent",IF(AND(N3312="Yes",O3312=""),"Missing channel for sent reminder","OK"))</f>
        <v>OK</v>
      </c>
    </row>
    <row r="3313" customFormat="false" ht="15" hidden="false" customHeight="false" outlineLevel="0" collapsed="false">
      <c r="A3313" s="9" t="s">
        <v>4903</v>
      </c>
      <c r="B3313" s="9" t="s">
        <v>1501</v>
      </c>
      <c r="C3313" s="9" t="s">
        <v>47</v>
      </c>
      <c r="D3313" s="9" t="n">
        <v>41</v>
      </c>
      <c r="E3313" s="9" t="s">
        <v>38</v>
      </c>
      <c r="F3313" s="9" t="s">
        <v>39</v>
      </c>
      <c r="G3313" s="10" t="n">
        <v>45877</v>
      </c>
      <c r="H3313" s="10" t="n">
        <v>45877</v>
      </c>
      <c r="I3313" s="9" t="s">
        <v>50</v>
      </c>
      <c r="J3313" s="9" t="s">
        <v>41</v>
      </c>
      <c r="K3313" s="9" t="n">
        <v>0</v>
      </c>
      <c r="L3313" s="9" t="n">
        <v>1</v>
      </c>
      <c r="M3313" s="9" t="n">
        <v>0</v>
      </c>
      <c r="N3313" s="9" t="s">
        <v>42</v>
      </c>
      <c r="O3313" s="9" t="s">
        <v>52</v>
      </c>
      <c r="P3313" s="9" t="n">
        <v>15.2</v>
      </c>
      <c r="Q3313" s="9" t="n">
        <v>13</v>
      </c>
      <c r="R3313" s="9" t="s">
        <v>53</v>
      </c>
      <c r="S3313" s="9"/>
      <c r="T3313" s="9"/>
      <c r="U3313" s="9" t="str">
        <f aca="false">IF(COUNTIF($A$2:$A$5001,A3313)&gt;1,"Duplicate","Unique")</f>
        <v>Unique</v>
      </c>
      <c r="V3313" s="9" t="str">
        <f aca="false">IF(COUNTIFS($B$2:$B$5001,B3313,$H$2:$H$5001,H3313,$J$2:$J$5001,J3313)&gt;1,"Possible Duplicate Booking","Unique")</f>
        <v>Unique</v>
      </c>
      <c r="W3313" s="9" t="str">
        <f aca="false">IF((H3313-G3313)&lt;&gt;K3313,"Mismatch","OK")</f>
        <v>OK</v>
      </c>
      <c r="X3313" s="9" t="str">
        <f aca="false">IF(TEXT(H3313,"dddd")&lt;&gt;I3313,"Mismatch","OK")</f>
        <v>OK</v>
      </c>
      <c r="Y3313" s="9" t="str">
        <f aca="false">IF(AND(N3313="No",O3313&lt;&gt;""),"Unexpected: channel present but no reminder sent",IF(AND(N3313="Yes",O3313=""),"Missing channel for sent reminder","OK"))</f>
        <v>OK</v>
      </c>
    </row>
    <row r="3314" customFormat="false" ht="15" hidden="false" customHeight="false" outlineLevel="0" collapsed="false">
      <c r="A3314" s="7" t="s">
        <v>4904</v>
      </c>
      <c r="B3314" s="7" t="s">
        <v>712</v>
      </c>
      <c r="C3314" s="7" t="s">
        <v>37</v>
      </c>
      <c r="D3314" s="7" t="n">
        <v>26</v>
      </c>
      <c r="E3314" s="7" t="s">
        <v>48</v>
      </c>
      <c r="F3314" s="7" t="s">
        <v>57</v>
      </c>
      <c r="G3314" s="8" t="n">
        <v>46140</v>
      </c>
      <c r="H3314" s="8" t="n">
        <v>46165</v>
      </c>
      <c r="I3314" s="7" t="s">
        <v>102</v>
      </c>
      <c r="J3314" s="7" t="s">
        <v>51</v>
      </c>
      <c r="K3314" s="7" t="n">
        <v>25</v>
      </c>
      <c r="L3314" s="7" t="n">
        <v>1</v>
      </c>
      <c r="M3314" s="7" t="n">
        <v>0</v>
      </c>
      <c r="N3314" s="7" t="s">
        <v>71</v>
      </c>
      <c r="O3314" s="7"/>
      <c r="P3314" s="7" t="n">
        <v>5</v>
      </c>
      <c r="Q3314" s="7" t="n">
        <v>29</v>
      </c>
      <c r="R3314" s="7" t="s">
        <v>44</v>
      </c>
      <c r="S3314" s="7"/>
      <c r="T3314" s="7"/>
      <c r="U3314" s="7" t="str">
        <f aca="false">IF(COUNTIF($A$2:$A$5001,A3314)&gt;1,"Duplicate","Unique")</f>
        <v>Unique</v>
      </c>
      <c r="V3314" s="7" t="str">
        <f aca="false">IF(COUNTIFS($B$2:$B$5001,B3314,$H$2:$H$5001,H3314,$J$2:$J$5001,J3314)&gt;1,"Possible Duplicate Booking","Unique")</f>
        <v>Unique</v>
      </c>
      <c r="W3314" s="7" t="str">
        <f aca="false">IF((H3314-G3314)&lt;&gt;K3314,"Mismatch","OK")</f>
        <v>OK</v>
      </c>
      <c r="X3314" s="7" t="str">
        <f aca="false">IF(TEXT(H3314,"dddd")&lt;&gt;I3314,"Mismatch","OK")</f>
        <v>OK</v>
      </c>
      <c r="Y3314" s="7" t="str">
        <f aca="false">IF(AND(N3314="No",O3314&lt;&gt;""),"Unexpected: channel present but no reminder sent",IF(AND(N3314="Yes",O3314=""),"Missing channel for sent reminder","OK"))</f>
        <v>OK</v>
      </c>
    </row>
    <row r="3315" customFormat="false" ht="15" hidden="false" customHeight="false" outlineLevel="0" collapsed="false">
      <c r="A3315" s="9" t="s">
        <v>4905</v>
      </c>
      <c r="B3315" s="9" t="s">
        <v>4701</v>
      </c>
      <c r="C3315" s="9" t="s">
        <v>37</v>
      </c>
      <c r="D3315" s="9" t="n">
        <v>55</v>
      </c>
      <c r="E3315" s="9" t="s">
        <v>61</v>
      </c>
      <c r="F3315" s="9" t="s">
        <v>49</v>
      </c>
      <c r="G3315" s="10" t="n">
        <v>45725</v>
      </c>
      <c r="H3315" s="10" t="n">
        <v>45780</v>
      </c>
      <c r="I3315" s="9" t="s">
        <v>102</v>
      </c>
      <c r="J3315" s="9" t="s">
        <v>63</v>
      </c>
      <c r="K3315" s="9" t="n">
        <v>55</v>
      </c>
      <c r="L3315" s="9" t="n">
        <v>3</v>
      </c>
      <c r="M3315" s="9" t="n">
        <v>0</v>
      </c>
      <c r="N3315" s="9" t="s">
        <v>42</v>
      </c>
      <c r="O3315" s="9" t="s">
        <v>52</v>
      </c>
      <c r="P3315" s="9" t="n">
        <v>1.5</v>
      </c>
      <c r="Q3315" s="9" t="n">
        <v>17</v>
      </c>
      <c r="R3315" s="9" t="s">
        <v>44</v>
      </c>
      <c r="S3315" s="9"/>
      <c r="T3315" s="9"/>
      <c r="U3315" s="9" t="str">
        <f aca="false">IF(COUNTIF($A$2:$A$5001,A3315)&gt;1,"Duplicate","Unique")</f>
        <v>Unique</v>
      </c>
      <c r="V3315" s="9" t="str">
        <f aca="false">IF(COUNTIFS($B$2:$B$5001,B3315,$H$2:$H$5001,H3315,$J$2:$J$5001,J3315)&gt;1,"Possible Duplicate Booking","Unique")</f>
        <v>Unique</v>
      </c>
      <c r="W3315" s="9" t="str">
        <f aca="false">IF((H3315-G3315)&lt;&gt;K3315,"Mismatch","OK")</f>
        <v>OK</v>
      </c>
      <c r="X3315" s="9" t="str">
        <f aca="false">IF(TEXT(H3315,"dddd")&lt;&gt;I3315,"Mismatch","OK")</f>
        <v>OK</v>
      </c>
      <c r="Y3315" s="9" t="str">
        <f aca="false">IF(AND(N3315="No",O3315&lt;&gt;""),"Unexpected: channel present but no reminder sent",IF(AND(N3315="Yes",O3315=""),"Missing channel for sent reminder","OK"))</f>
        <v>OK</v>
      </c>
    </row>
    <row r="3316" customFormat="false" ht="15" hidden="false" customHeight="false" outlineLevel="0" collapsed="false">
      <c r="A3316" s="7" t="s">
        <v>4906</v>
      </c>
      <c r="B3316" s="7" t="s">
        <v>2791</v>
      </c>
      <c r="C3316" s="7" t="s">
        <v>47</v>
      </c>
      <c r="D3316" s="7" t="n">
        <v>67</v>
      </c>
      <c r="E3316" s="7" t="s">
        <v>70</v>
      </c>
      <c r="F3316" s="7" t="s">
        <v>57</v>
      </c>
      <c r="G3316" s="8" t="n">
        <v>45875</v>
      </c>
      <c r="H3316" s="8" t="n">
        <v>45877</v>
      </c>
      <c r="I3316" s="7" t="s">
        <v>50</v>
      </c>
      <c r="J3316" s="7" t="s">
        <v>51</v>
      </c>
      <c r="K3316" s="7" t="n">
        <v>2</v>
      </c>
      <c r="L3316" s="7" t="n">
        <v>2</v>
      </c>
      <c r="M3316" s="7" t="n">
        <v>0</v>
      </c>
      <c r="N3316" s="7" t="s">
        <v>42</v>
      </c>
      <c r="O3316" s="7" t="s">
        <v>67</v>
      </c>
      <c r="P3316" s="7" t="n">
        <v>25.8</v>
      </c>
      <c r="Q3316" s="7" t="n">
        <v>14</v>
      </c>
      <c r="R3316" s="7" t="s">
        <v>87</v>
      </c>
      <c r="S3316" s="7"/>
      <c r="T3316" s="7"/>
      <c r="U3316" s="7" t="str">
        <f aca="false">IF(COUNTIF($A$2:$A$5001,A3316)&gt;1,"Duplicate","Unique")</f>
        <v>Unique</v>
      </c>
      <c r="V3316" s="7" t="str">
        <f aca="false">IF(COUNTIFS($B$2:$B$5001,B3316,$H$2:$H$5001,H3316,$J$2:$J$5001,J3316)&gt;1,"Possible Duplicate Booking","Unique")</f>
        <v>Unique</v>
      </c>
      <c r="W3316" s="7" t="str">
        <f aca="false">IF((H3316-G3316)&lt;&gt;K3316,"Mismatch","OK")</f>
        <v>OK</v>
      </c>
      <c r="X3316" s="7" t="str">
        <f aca="false">IF(TEXT(H3316,"dddd")&lt;&gt;I3316,"Mismatch","OK")</f>
        <v>OK</v>
      </c>
      <c r="Y3316" s="7" t="str">
        <f aca="false">IF(AND(N3316="No",O3316&lt;&gt;""),"Unexpected: channel present but no reminder sent",IF(AND(N3316="Yes",O3316=""),"Missing channel for sent reminder","OK"))</f>
        <v>OK</v>
      </c>
    </row>
    <row r="3317" customFormat="false" ht="15" hidden="false" customHeight="false" outlineLevel="0" collapsed="false">
      <c r="A3317" s="9" t="s">
        <v>4907</v>
      </c>
      <c r="B3317" s="9" t="s">
        <v>1660</v>
      </c>
      <c r="C3317" s="9" t="s">
        <v>236</v>
      </c>
      <c r="D3317" s="9" t="n">
        <v>78</v>
      </c>
      <c r="E3317" s="9" t="s">
        <v>70</v>
      </c>
      <c r="F3317" s="9" t="s">
        <v>57</v>
      </c>
      <c r="G3317" s="10" t="n">
        <v>46116</v>
      </c>
      <c r="H3317" s="10" t="n">
        <v>46120</v>
      </c>
      <c r="I3317" s="9" t="s">
        <v>58</v>
      </c>
      <c r="J3317" s="9" t="s">
        <v>41</v>
      </c>
      <c r="K3317" s="9" t="n">
        <v>4</v>
      </c>
      <c r="L3317" s="9" t="n">
        <v>3</v>
      </c>
      <c r="M3317" s="9" t="n">
        <v>1</v>
      </c>
      <c r="N3317" s="9" t="s">
        <v>42</v>
      </c>
      <c r="O3317" s="9" t="s">
        <v>43</v>
      </c>
      <c r="P3317" s="9" t="n">
        <v>6.7</v>
      </c>
      <c r="Q3317" s="9" t="n">
        <v>31</v>
      </c>
      <c r="R3317" s="9" t="s">
        <v>53</v>
      </c>
      <c r="S3317" s="9"/>
      <c r="T3317" s="9"/>
      <c r="U3317" s="9" t="str">
        <f aca="false">IF(COUNTIF($A$2:$A$5001,A3317)&gt;1,"Duplicate","Unique")</f>
        <v>Unique</v>
      </c>
      <c r="V3317" s="9" t="str">
        <f aca="false">IF(COUNTIFS($B$2:$B$5001,B3317,$H$2:$H$5001,H3317,$J$2:$J$5001,J3317)&gt;1,"Possible Duplicate Booking","Unique")</f>
        <v>Unique</v>
      </c>
      <c r="W3317" s="9" t="str">
        <f aca="false">IF((H3317-G3317)&lt;&gt;K3317,"Mismatch","OK")</f>
        <v>OK</v>
      </c>
      <c r="X3317" s="9" t="str">
        <f aca="false">IF(TEXT(H3317,"dddd")&lt;&gt;I3317,"Mismatch","OK")</f>
        <v>OK</v>
      </c>
      <c r="Y3317" s="9" t="str">
        <f aca="false">IF(AND(N3317="No",O3317&lt;&gt;""),"Unexpected: channel present but no reminder sent",IF(AND(N3317="Yes",O3317=""),"Missing channel for sent reminder","OK"))</f>
        <v>OK</v>
      </c>
    </row>
    <row r="3318" customFormat="false" ht="15" hidden="false" customHeight="false" outlineLevel="0" collapsed="false">
      <c r="A3318" s="7" t="s">
        <v>4908</v>
      </c>
      <c r="B3318" s="7" t="s">
        <v>3547</v>
      </c>
      <c r="C3318" s="7" t="s">
        <v>47</v>
      </c>
      <c r="D3318" s="7" t="n">
        <v>52</v>
      </c>
      <c r="E3318" s="7" t="s">
        <v>56</v>
      </c>
      <c r="F3318" s="7" t="s">
        <v>49</v>
      </c>
      <c r="G3318" s="8" t="n">
        <v>45962</v>
      </c>
      <c r="H3318" s="8" t="n">
        <v>46003</v>
      </c>
      <c r="I3318" s="7" t="s">
        <v>50</v>
      </c>
      <c r="J3318" s="7" t="s">
        <v>41</v>
      </c>
      <c r="K3318" s="7" t="n">
        <v>41</v>
      </c>
      <c r="L3318" s="7" t="n">
        <v>2</v>
      </c>
      <c r="M3318" s="7" t="n">
        <v>1</v>
      </c>
      <c r="N3318" s="7" t="s">
        <v>71</v>
      </c>
      <c r="O3318" s="7"/>
      <c r="P3318" s="7" t="n">
        <v>3.7</v>
      </c>
      <c r="Q3318" s="7" t="n">
        <v>10</v>
      </c>
      <c r="R3318" s="7" t="s">
        <v>53</v>
      </c>
      <c r="S3318" s="7"/>
      <c r="T3318" s="7"/>
      <c r="U3318" s="7" t="str">
        <f aca="false">IF(COUNTIF($A$2:$A$5001,A3318)&gt;1,"Duplicate","Unique")</f>
        <v>Unique</v>
      </c>
      <c r="V3318" s="7" t="str">
        <f aca="false">IF(COUNTIFS($B$2:$B$5001,B3318,$H$2:$H$5001,H3318,$J$2:$J$5001,J3318)&gt;1,"Possible Duplicate Booking","Unique")</f>
        <v>Unique</v>
      </c>
      <c r="W3318" s="7" t="str">
        <f aca="false">IF((H3318-G3318)&lt;&gt;K3318,"Mismatch","OK")</f>
        <v>OK</v>
      </c>
      <c r="X3318" s="7" t="str">
        <f aca="false">IF(TEXT(H3318,"dddd")&lt;&gt;I3318,"Mismatch","OK")</f>
        <v>OK</v>
      </c>
      <c r="Y3318" s="7" t="str">
        <f aca="false">IF(AND(N3318="No",O3318&lt;&gt;""),"Unexpected: channel present but no reminder sent",IF(AND(N3318="Yes",O3318=""),"Missing channel for sent reminder","OK"))</f>
        <v>OK</v>
      </c>
    </row>
    <row r="3319" customFormat="false" ht="15" hidden="false" customHeight="false" outlineLevel="0" collapsed="false">
      <c r="A3319" s="9" t="s">
        <v>4909</v>
      </c>
      <c r="B3319" s="9" t="s">
        <v>970</v>
      </c>
      <c r="C3319" s="9" t="s">
        <v>47</v>
      </c>
      <c r="D3319" s="9" t="n">
        <v>67</v>
      </c>
      <c r="E3319" s="9" t="s">
        <v>70</v>
      </c>
      <c r="F3319" s="9" t="s">
        <v>49</v>
      </c>
      <c r="G3319" s="10" t="n">
        <v>45848</v>
      </c>
      <c r="H3319" s="10" t="n">
        <v>45875</v>
      </c>
      <c r="I3319" s="9" t="s">
        <v>58</v>
      </c>
      <c r="J3319" s="9" t="s">
        <v>51</v>
      </c>
      <c r="K3319" s="9" t="n">
        <v>27</v>
      </c>
      <c r="L3319" s="9" t="n">
        <v>5</v>
      </c>
      <c r="M3319" s="9" t="n">
        <v>0</v>
      </c>
      <c r="N3319" s="9" t="s">
        <v>42</v>
      </c>
      <c r="O3319" s="9" t="s">
        <v>52</v>
      </c>
      <c r="P3319" s="9" t="n">
        <v>5.3</v>
      </c>
      <c r="Q3319" s="9" t="n">
        <v>34</v>
      </c>
      <c r="R3319" s="9" t="s">
        <v>44</v>
      </c>
      <c r="S3319" s="9"/>
      <c r="T3319" s="9"/>
      <c r="U3319" s="9" t="str">
        <f aca="false">IF(COUNTIF($A$2:$A$5001,A3319)&gt;1,"Duplicate","Unique")</f>
        <v>Unique</v>
      </c>
      <c r="V3319" s="9" t="str">
        <f aca="false">IF(COUNTIFS($B$2:$B$5001,B3319,$H$2:$H$5001,H3319,$J$2:$J$5001,J3319)&gt;1,"Possible Duplicate Booking","Unique")</f>
        <v>Unique</v>
      </c>
      <c r="W3319" s="9" t="str">
        <f aca="false">IF((H3319-G3319)&lt;&gt;K3319,"Mismatch","OK")</f>
        <v>OK</v>
      </c>
      <c r="X3319" s="9" t="str">
        <f aca="false">IF(TEXT(H3319,"dddd")&lt;&gt;I3319,"Mismatch","OK")</f>
        <v>OK</v>
      </c>
      <c r="Y3319" s="9" t="str">
        <f aca="false">IF(AND(N3319="No",O3319&lt;&gt;""),"Unexpected: channel present but no reminder sent",IF(AND(N3319="Yes",O3319=""),"Missing channel for sent reminder","OK"))</f>
        <v>OK</v>
      </c>
    </row>
    <row r="3320" customFormat="false" ht="15" hidden="false" customHeight="false" outlineLevel="0" collapsed="false">
      <c r="A3320" s="7" t="s">
        <v>4910</v>
      </c>
      <c r="B3320" s="7" t="s">
        <v>4911</v>
      </c>
      <c r="C3320" s="7" t="s">
        <v>47</v>
      </c>
      <c r="D3320" s="7" t="n">
        <v>33</v>
      </c>
      <c r="E3320" s="7" t="s">
        <v>48</v>
      </c>
      <c r="F3320" s="7" t="s">
        <v>57</v>
      </c>
      <c r="G3320" s="8" t="n">
        <v>45783</v>
      </c>
      <c r="H3320" s="8" t="n">
        <v>45797</v>
      </c>
      <c r="I3320" s="7" t="s">
        <v>40</v>
      </c>
      <c r="J3320" s="7" t="s">
        <v>51</v>
      </c>
      <c r="K3320" s="7" t="n">
        <v>14</v>
      </c>
      <c r="L3320" s="7" t="n">
        <v>1</v>
      </c>
      <c r="M3320" s="7" t="n">
        <v>0</v>
      </c>
      <c r="N3320" s="7" t="s">
        <v>42</v>
      </c>
      <c r="O3320" s="7" t="s">
        <v>52</v>
      </c>
      <c r="P3320" s="7" t="n">
        <v>20.7</v>
      </c>
      <c r="Q3320" s="7" t="n">
        <v>30</v>
      </c>
      <c r="R3320" s="7" t="s">
        <v>53</v>
      </c>
      <c r="S3320" s="7"/>
      <c r="T3320" s="7"/>
      <c r="U3320" s="7" t="str">
        <f aca="false">IF(COUNTIF($A$2:$A$5001,A3320)&gt;1,"Duplicate","Unique")</f>
        <v>Unique</v>
      </c>
      <c r="V3320" s="7" t="str">
        <f aca="false">IF(COUNTIFS($B$2:$B$5001,B3320,$H$2:$H$5001,H3320,$J$2:$J$5001,J3320)&gt;1,"Possible Duplicate Booking","Unique")</f>
        <v>Unique</v>
      </c>
      <c r="W3320" s="7" t="str">
        <f aca="false">IF((H3320-G3320)&lt;&gt;K3320,"Mismatch","OK")</f>
        <v>OK</v>
      </c>
      <c r="X3320" s="7" t="str">
        <f aca="false">IF(TEXT(H3320,"dddd")&lt;&gt;I3320,"Mismatch","OK")</f>
        <v>OK</v>
      </c>
      <c r="Y3320" s="7" t="str">
        <f aca="false">IF(AND(N3320="No",O3320&lt;&gt;""),"Unexpected: channel present but no reminder sent",IF(AND(N3320="Yes",O3320=""),"Missing channel for sent reminder","OK"))</f>
        <v>OK</v>
      </c>
    </row>
    <row r="3321" customFormat="false" ht="15" hidden="false" customHeight="false" outlineLevel="0" collapsed="false">
      <c r="A3321" s="9" t="s">
        <v>4912</v>
      </c>
      <c r="B3321" s="9" t="s">
        <v>4783</v>
      </c>
      <c r="C3321" s="9" t="s">
        <v>47</v>
      </c>
      <c r="D3321" s="9" t="n">
        <v>44</v>
      </c>
      <c r="E3321" s="9" t="s">
        <v>38</v>
      </c>
      <c r="F3321" s="9" t="s">
        <v>57</v>
      </c>
      <c r="G3321" s="10" t="n">
        <v>45665</v>
      </c>
      <c r="H3321" s="10" t="n">
        <v>45677</v>
      </c>
      <c r="I3321" s="9" t="s">
        <v>66</v>
      </c>
      <c r="J3321" s="9" t="s">
        <v>41</v>
      </c>
      <c r="K3321" s="9" t="n">
        <v>12</v>
      </c>
      <c r="L3321" s="9" t="n">
        <v>2</v>
      </c>
      <c r="M3321" s="9" t="n">
        <v>0</v>
      </c>
      <c r="N3321" s="9" t="s">
        <v>71</v>
      </c>
      <c r="O3321" s="9"/>
      <c r="P3321" s="9" t="n">
        <v>0.5</v>
      </c>
      <c r="Q3321" s="9" t="n">
        <v>38</v>
      </c>
      <c r="R3321" s="9" t="s">
        <v>44</v>
      </c>
      <c r="S3321" s="9"/>
      <c r="T3321" s="9"/>
      <c r="U3321" s="9" t="str">
        <f aca="false">IF(COUNTIF($A$2:$A$5001,A3321)&gt;1,"Duplicate","Unique")</f>
        <v>Unique</v>
      </c>
      <c r="V3321" s="9" t="str">
        <f aca="false">IF(COUNTIFS($B$2:$B$5001,B3321,$H$2:$H$5001,H3321,$J$2:$J$5001,J3321)&gt;1,"Possible Duplicate Booking","Unique")</f>
        <v>Unique</v>
      </c>
      <c r="W3321" s="9" t="str">
        <f aca="false">IF((H3321-G3321)&lt;&gt;K3321,"Mismatch","OK")</f>
        <v>OK</v>
      </c>
      <c r="X3321" s="9" t="str">
        <f aca="false">IF(TEXT(H3321,"dddd")&lt;&gt;I3321,"Mismatch","OK")</f>
        <v>OK</v>
      </c>
      <c r="Y3321" s="9" t="str">
        <f aca="false">IF(AND(N3321="No",O3321&lt;&gt;""),"Unexpected: channel present but no reminder sent",IF(AND(N3321="Yes",O3321=""),"Missing channel for sent reminder","OK"))</f>
        <v>OK</v>
      </c>
    </row>
    <row r="3322" customFormat="false" ht="15" hidden="false" customHeight="false" outlineLevel="0" collapsed="false">
      <c r="A3322" s="7" t="s">
        <v>4913</v>
      </c>
      <c r="B3322" s="7" t="s">
        <v>4344</v>
      </c>
      <c r="C3322" s="7" t="s">
        <v>37</v>
      </c>
      <c r="D3322" s="7" t="n">
        <v>44</v>
      </c>
      <c r="E3322" s="7" t="s">
        <v>38</v>
      </c>
      <c r="F3322" s="7" t="s">
        <v>74</v>
      </c>
      <c r="G3322" s="8" t="n">
        <v>45664</v>
      </c>
      <c r="H3322" s="8" t="n">
        <v>45704</v>
      </c>
      <c r="I3322" s="7" t="s">
        <v>75</v>
      </c>
      <c r="J3322" s="7" t="s">
        <v>41</v>
      </c>
      <c r="K3322" s="7" t="n">
        <v>40</v>
      </c>
      <c r="L3322" s="7" t="n">
        <v>2</v>
      </c>
      <c r="M3322" s="7" t="n">
        <v>0</v>
      </c>
      <c r="N3322" s="7" t="s">
        <v>42</v>
      </c>
      <c r="O3322" s="7" t="s">
        <v>52</v>
      </c>
      <c r="P3322" s="7" t="n">
        <v>17.8</v>
      </c>
      <c r="Q3322" s="7" t="n">
        <v>29</v>
      </c>
      <c r="R3322" s="7" t="s">
        <v>44</v>
      </c>
      <c r="S3322" s="7"/>
      <c r="T3322" s="7"/>
      <c r="U3322" s="7" t="str">
        <f aca="false">IF(COUNTIF($A$2:$A$5001,A3322)&gt;1,"Duplicate","Unique")</f>
        <v>Unique</v>
      </c>
      <c r="V3322" s="7" t="str">
        <f aca="false">IF(COUNTIFS($B$2:$B$5001,B3322,$H$2:$H$5001,H3322,$J$2:$J$5001,J3322)&gt;1,"Possible Duplicate Booking","Unique")</f>
        <v>Unique</v>
      </c>
      <c r="W3322" s="7" t="str">
        <f aca="false">IF((H3322-G3322)&lt;&gt;K3322,"Mismatch","OK")</f>
        <v>OK</v>
      </c>
      <c r="X3322" s="7" t="str">
        <f aca="false">IF(TEXT(H3322,"dddd")&lt;&gt;I3322,"Mismatch","OK")</f>
        <v>OK</v>
      </c>
      <c r="Y3322" s="7" t="str">
        <f aca="false">IF(AND(N3322="No",O3322&lt;&gt;""),"Unexpected: channel present but no reminder sent",IF(AND(N3322="Yes",O3322=""),"Missing channel for sent reminder","OK"))</f>
        <v>OK</v>
      </c>
    </row>
    <row r="3323" customFormat="false" ht="15" hidden="false" customHeight="false" outlineLevel="0" collapsed="false">
      <c r="A3323" s="9" t="s">
        <v>4914</v>
      </c>
      <c r="B3323" s="9" t="s">
        <v>4869</v>
      </c>
      <c r="C3323" s="9" t="s">
        <v>37</v>
      </c>
      <c r="D3323" s="9" t="n">
        <v>38</v>
      </c>
      <c r="E3323" s="9" t="s">
        <v>38</v>
      </c>
      <c r="F3323" s="9" t="s">
        <v>57</v>
      </c>
      <c r="G3323" s="10" t="n">
        <v>45715</v>
      </c>
      <c r="H3323" s="10" t="n">
        <v>45746</v>
      </c>
      <c r="I3323" s="9" t="s">
        <v>75</v>
      </c>
      <c r="J3323" s="9" t="s">
        <v>51</v>
      </c>
      <c r="K3323" s="9" t="n">
        <v>31</v>
      </c>
      <c r="L3323" s="9" t="n">
        <v>2</v>
      </c>
      <c r="M3323" s="9" t="n">
        <v>1</v>
      </c>
      <c r="N3323" s="9" t="s">
        <v>42</v>
      </c>
      <c r="O3323" s="9" t="s">
        <v>43</v>
      </c>
      <c r="P3323" s="9" t="n">
        <v>12.4</v>
      </c>
      <c r="Q3323" s="9" t="n">
        <v>13</v>
      </c>
      <c r="R3323" s="9" t="s">
        <v>53</v>
      </c>
      <c r="S3323" s="9"/>
      <c r="T3323" s="9"/>
      <c r="U3323" s="9" t="str">
        <f aca="false">IF(COUNTIF($A$2:$A$5001,A3323)&gt;1,"Duplicate","Unique")</f>
        <v>Unique</v>
      </c>
      <c r="V3323" s="9" t="str">
        <f aca="false">IF(COUNTIFS($B$2:$B$5001,B3323,$H$2:$H$5001,H3323,$J$2:$J$5001,J3323)&gt;1,"Possible Duplicate Booking","Unique")</f>
        <v>Unique</v>
      </c>
      <c r="W3323" s="9" t="str">
        <f aca="false">IF((H3323-G3323)&lt;&gt;K3323,"Mismatch","OK")</f>
        <v>OK</v>
      </c>
      <c r="X3323" s="9" t="str">
        <f aca="false">IF(TEXT(H3323,"dddd")&lt;&gt;I3323,"Mismatch","OK")</f>
        <v>OK</v>
      </c>
      <c r="Y3323" s="9" t="str">
        <f aca="false">IF(AND(N3323="No",O3323&lt;&gt;""),"Unexpected: channel present but no reminder sent",IF(AND(N3323="Yes",O3323=""),"Missing channel for sent reminder","OK"))</f>
        <v>OK</v>
      </c>
    </row>
    <row r="3324" customFormat="false" ht="15" hidden="false" customHeight="false" outlineLevel="0" collapsed="false">
      <c r="A3324" s="7" t="s">
        <v>4915</v>
      </c>
      <c r="B3324" s="7" t="s">
        <v>3320</v>
      </c>
      <c r="C3324" s="7" t="s">
        <v>47</v>
      </c>
      <c r="D3324" s="7" t="n">
        <v>63</v>
      </c>
      <c r="E3324" s="7" t="s">
        <v>61</v>
      </c>
      <c r="F3324" s="7" t="s">
        <v>57</v>
      </c>
      <c r="G3324" s="8" t="n">
        <v>46049</v>
      </c>
      <c r="H3324" s="8" t="n">
        <v>46087</v>
      </c>
      <c r="I3324" s="7" t="s">
        <v>50</v>
      </c>
      <c r="J3324" s="7" t="s">
        <v>41</v>
      </c>
      <c r="K3324" s="7" t="n">
        <v>38</v>
      </c>
      <c r="L3324" s="7" t="n">
        <v>3</v>
      </c>
      <c r="M3324" s="7" t="n">
        <v>0</v>
      </c>
      <c r="N3324" s="7" t="s">
        <v>42</v>
      </c>
      <c r="O3324" s="7" t="s">
        <v>43</v>
      </c>
      <c r="P3324" s="7" t="n">
        <v>7.5</v>
      </c>
      <c r="Q3324" s="7" t="n">
        <v>36</v>
      </c>
      <c r="R3324" s="7" t="s">
        <v>53</v>
      </c>
      <c r="S3324" s="7"/>
      <c r="T3324" s="7"/>
      <c r="U3324" s="7" t="str">
        <f aca="false">IF(COUNTIF($A$2:$A$5001,A3324)&gt;1,"Duplicate","Unique")</f>
        <v>Unique</v>
      </c>
      <c r="V3324" s="7" t="str">
        <f aca="false">IF(COUNTIFS($B$2:$B$5001,B3324,$H$2:$H$5001,H3324,$J$2:$J$5001,J3324)&gt;1,"Possible Duplicate Booking","Unique")</f>
        <v>Unique</v>
      </c>
      <c r="W3324" s="7" t="str">
        <f aca="false">IF((H3324-G3324)&lt;&gt;K3324,"Mismatch","OK")</f>
        <v>OK</v>
      </c>
      <c r="X3324" s="7" t="str">
        <f aca="false">IF(TEXT(H3324,"dddd")&lt;&gt;I3324,"Mismatch","OK")</f>
        <v>OK</v>
      </c>
      <c r="Y3324" s="7" t="str">
        <f aca="false">IF(AND(N3324="No",O3324&lt;&gt;""),"Unexpected: channel present but no reminder sent",IF(AND(N3324="Yes",O3324=""),"Missing channel for sent reminder","OK"))</f>
        <v>OK</v>
      </c>
    </row>
    <row r="3325" customFormat="false" ht="15" hidden="false" customHeight="false" outlineLevel="0" collapsed="false">
      <c r="A3325" s="9" t="s">
        <v>4916</v>
      </c>
      <c r="B3325" s="9" t="s">
        <v>3309</v>
      </c>
      <c r="C3325" s="9" t="s">
        <v>47</v>
      </c>
      <c r="D3325" s="9" t="n">
        <v>73</v>
      </c>
      <c r="E3325" s="9" t="s">
        <v>70</v>
      </c>
      <c r="F3325" s="9" t="s">
        <v>39</v>
      </c>
      <c r="G3325" s="10" t="n">
        <v>45990</v>
      </c>
      <c r="H3325" s="10" t="n">
        <v>46007</v>
      </c>
      <c r="I3325" s="9" t="s">
        <v>40</v>
      </c>
      <c r="J3325" s="9" t="s">
        <v>41</v>
      </c>
      <c r="K3325" s="9" t="n">
        <v>17</v>
      </c>
      <c r="L3325" s="9" t="n">
        <v>1</v>
      </c>
      <c r="M3325" s="9" t="n">
        <v>0</v>
      </c>
      <c r="N3325" s="9" t="s">
        <v>42</v>
      </c>
      <c r="O3325" s="9" t="s">
        <v>52</v>
      </c>
      <c r="P3325" s="9" t="n">
        <v>9.8</v>
      </c>
      <c r="Q3325" s="9" t="n">
        <v>37</v>
      </c>
      <c r="R3325" s="9" t="s">
        <v>44</v>
      </c>
      <c r="S3325" s="9"/>
      <c r="T3325" s="9"/>
      <c r="U3325" s="9" t="str">
        <f aca="false">IF(COUNTIF($A$2:$A$5001,A3325)&gt;1,"Duplicate","Unique")</f>
        <v>Unique</v>
      </c>
      <c r="V3325" s="9" t="str">
        <f aca="false">IF(COUNTIFS($B$2:$B$5001,B3325,$H$2:$H$5001,H3325,$J$2:$J$5001,J3325)&gt;1,"Possible Duplicate Booking","Unique")</f>
        <v>Unique</v>
      </c>
      <c r="W3325" s="9" t="str">
        <f aca="false">IF((H3325-G3325)&lt;&gt;K3325,"Mismatch","OK")</f>
        <v>OK</v>
      </c>
      <c r="X3325" s="9" t="str">
        <f aca="false">IF(TEXT(H3325,"dddd")&lt;&gt;I3325,"Mismatch","OK")</f>
        <v>OK</v>
      </c>
      <c r="Y3325" s="9" t="str">
        <f aca="false">IF(AND(N3325="No",O3325&lt;&gt;""),"Unexpected: channel present but no reminder sent",IF(AND(N3325="Yes",O3325=""),"Missing channel for sent reminder","OK"))</f>
        <v>OK</v>
      </c>
    </row>
    <row r="3326" customFormat="false" ht="15" hidden="false" customHeight="false" outlineLevel="0" collapsed="false">
      <c r="A3326" s="7" t="s">
        <v>4917</v>
      </c>
      <c r="B3326" s="7" t="s">
        <v>1983</v>
      </c>
      <c r="C3326" s="7" t="s">
        <v>37</v>
      </c>
      <c r="D3326" s="7" t="n">
        <v>38</v>
      </c>
      <c r="E3326" s="7" t="s">
        <v>38</v>
      </c>
      <c r="F3326" s="7" t="s">
        <v>57</v>
      </c>
      <c r="G3326" s="8" t="n">
        <v>45862</v>
      </c>
      <c r="H3326" s="8" t="n">
        <v>45894</v>
      </c>
      <c r="I3326" s="7" t="s">
        <v>66</v>
      </c>
      <c r="J3326" s="7" t="s">
        <v>51</v>
      </c>
      <c r="K3326" s="7" t="n">
        <v>32</v>
      </c>
      <c r="L3326" s="7" t="n">
        <v>3</v>
      </c>
      <c r="M3326" s="7" t="n">
        <v>0</v>
      </c>
      <c r="N3326" s="7" t="s">
        <v>42</v>
      </c>
      <c r="O3326" s="7" t="s">
        <v>67</v>
      </c>
      <c r="P3326" s="7" t="n">
        <v>14.6</v>
      </c>
      <c r="Q3326" s="7" t="n">
        <v>34</v>
      </c>
      <c r="R3326" s="7" t="s">
        <v>87</v>
      </c>
      <c r="S3326" s="7"/>
      <c r="T3326" s="7"/>
      <c r="U3326" s="7" t="str">
        <f aca="false">IF(COUNTIF($A$2:$A$5001,A3326)&gt;1,"Duplicate","Unique")</f>
        <v>Unique</v>
      </c>
      <c r="V3326" s="7" t="str">
        <f aca="false">IF(COUNTIFS($B$2:$B$5001,B3326,$H$2:$H$5001,H3326,$J$2:$J$5001,J3326)&gt;1,"Possible Duplicate Booking","Unique")</f>
        <v>Unique</v>
      </c>
      <c r="W3326" s="7" t="str">
        <f aca="false">IF((H3326-G3326)&lt;&gt;K3326,"Mismatch","OK")</f>
        <v>OK</v>
      </c>
      <c r="X3326" s="7" t="str">
        <f aca="false">IF(TEXT(H3326,"dddd")&lt;&gt;I3326,"Mismatch","OK")</f>
        <v>OK</v>
      </c>
      <c r="Y3326" s="7" t="str">
        <f aca="false">IF(AND(N3326="No",O3326&lt;&gt;""),"Unexpected: channel present but no reminder sent",IF(AND(N3326="Yes",O3326=""),"Missing channel for sent reminder","OK"))</f>
        <v>OK</v>
      </c>
    </row>
    <row r="3327" customFormat="false" ht="15" hidden="false" customHeight="false" outlineLevel="0" collapsed="false">
      <c r="A3327" s="9" t="s">
        <v>4918</v>
      </c>
      <c r="B3327" s="9" t="s">
        <v>4805</v>
      </c>
      <c r="C3327" s="9" t="s">
        <v>37</v>
      </c>
      <c r="D3327" s="9" t="n">
        <v>26</v>
      </c>
      <c r="E3327" s="9" t="s">
        <v>48</v>
      </c>
      <c r="F3327" s="9" t="s">
        <v>39</v>
      </c>
      <c r="G3327" s="10" t="n">
        <v>46033</v>
      </c>
      <c r="H3327" s="10" t="n">
        <v>46085</v>
      </c>
      <c r="I3327" s="9" t="s">
        <v>58</v>
      </c>
      <c r="J3327" s="9" t="s">
        <v>41</v>
      </c>
      <c r="K3327" s="9" t="n">
        <v>52</v>
      </c>
      <c r="L3327" s="9" t="n">
        <v>5</v>
      </c>
      <c r="M3327" s="9" t="n">
        <v>1</v>
      </c>
      <c r="N3327" s="9" t="s">
        <v>71</v>
      </c>
      <c r="O3327" s="9"/>
      <c r="P3327" s="9" t="n">
        <v>6.9</v>
      </c>
      <c r="Q3327" s="9" t="n">
        <v>32</v>
      </c>
      <c r="R3327" s="9" t="s">
        <v>44</v>
      </c>
      <c r="S3327" s="9"/>
      <c r="T3327" s="9"/>
      <c r="U3327" s="9" t="str">
        <f aca="false">IF(COUNTIF($A$2:$A$5001,A3327)&gt;1,"Duplicate","Unique")</f>
        <v>Unique</v>
      </c>
      <c r="V3327" s="9" t="str">
        <f aca="false">IF(COUNTIFS($B$2:$B$5001,B3327,$H$2:$H$5001,H3327,$J$2:$J$5001,J3327)&gt;1,"Possible Duplicate Booking","Unique")</f>
        <v>Unique</v>
      </c>
      <c r="W3327" s="9" t="str">
        <f aca="false">IF((H3327-G3327)&lt;&gt;K3327,"Mismatch","OK")</f>
        <v>OK</v>
      </c>
      <c r="X3327" s="9" t="str">
        <f aca="false">IF(TEXT(H3327,"dddd")&lt;&gt;I3327,"Mismatch","OK")</f>
        <v>OK</v>
      </c>
      <c r="Y3327" s="9" t="str">
        <f aca="false">IF(AND(N3327="No",O3327&lt;&gt;""),"Unexpected: channel present but no reminder sent",IF(AND(N3327="Yes",O3327=""),"Missing channel for sent reminder","OK"))</f>
        <v>OK</v>
      </c>
    </row>
    <row r="3328" customFormat="false" ht="15" hidden="false" customHeight="false" outlineLevel="0" collapsed="false">
      <c r="A3328" s="7" t="s">
        <v>4919</v>
      </c>
      <c r="B3328" s="7" t="s">
        <v>3544</v>
      </c>
      <c r="C3328" s="7" t="s">
        <v>47</v>
      </c>
      <c r="D3328" s="7" t="n">
        <v>70</v>
      </c>
      <c r="E3328" s="7" t="s">
        <v>70</v>
      </c>
      <c r="F3328" s="7" t="s">
        <v>39</v>
      </c>
      <c r="G3328" s="8" t="n">
        <v>45726</v>
      </c>
      <c r="H3328" s="8" t="n">
        <v>45745</v>
      </c>
      <c r="I3328" s="7" t="s">
        <v>102</v>
      </c>
      <c r="J3328" s="7" t="s">
        <v>51</v>
      </c>
      <c r="K3328" s="7" t="n">
        <v>19</v>
      </c>
      <c r="L3328" s="7" t="n">
        <v>2</v>
      </c>
      <c r="M3328" s="7" t="n">
        <v>0</v>
      </c>
      <c r="N3328" s="7" t="s">
        <v>71</v>
      </c>
      <c r="O3328" s="7"/>
      <c r="P3328" s="7" t="n">
        <v>5.3</v>
      </c>
      <c r="Q3328" s="7" t="n">
        <v>8</v>
      </c>
      <c r="R3328" s="7" t="s">
        <v>53</v>
      </c>
      <c r="S3328" s="7"/>
      <c r="T3328" s="7"/>
      <c r="U3328" s="7" t="str">
        <f aca="false">IF(COUNTIF($A$2:$A$5001,A3328)&gt;1,"Duplicate","Unique")</f>
        <v>Unique</v>
      </c>
      <c r="V3328" s="7" t="str">
        <f aca="false">IF(COUNTIFS($B$2:$B$5001,B3328,$H$2:$H$5001,H3328,$J$2:$J$5001,J3328)&gt;1,"Possible Duplicate Booking","Unique")</f>
        <v>Unique</v>
      </c>
      <c r="W3328" s="7" t="str">
        <f aca="false">IF((H3328-G3328)&lt;&gt;K3328,"Mismatch","OK")</f>
        <v>OK</v>
      </c>
      <c r="X3328" s="7" t="str">
        <f aca="false">IF(TEXT(H3328,"dddd")&lt;&gt;I3328,"Mismatch","OK")</f>
        <v>OK</v>
      </c>
      <c r="Y3328" s="7" t="str">
        <f aca="false">IF(AND(N3328="No",O3328&lt;&gt;""),"Unexpected: channel present but no reminder sent",IF(AND(N3328="Yes",O3328=""),"Missing channel for sent reminder","OK"))</f>
        <v>OK</v>
      </c>
    </row>
    <row r="3329" customFormat="false" ht="15" hidden="false" customHeight="false" outlineLevel="0" collapsed="false">
      <c r="A3329" s="9" t="s">
        <v>4920</v>
      </c>
      <c r="B3329" s="9" t="s">
        <v>2564</v>
      </c>
      <c r="C3329" s="9" t="s">
        <v>47</v>
      </c>
      <c r="D3329" s="9" t="n">
        <v>71</v>
      </c>
      <c r="E3329" s="9" t="s">
        <v>70</v>
      </c>
      <c r="F3329" s="9" t="s">
        <v>39</v>
      </c>
      <c r="G3329" s="10" t="n">
        <v>45749</v>
      </c>
      <c r="H3329" s="10" t="n">
        <v>45773</v>
      </c>
      <c r="I3329" s="9" t="s">
        <v>102</v>
      </c>
      <c r="J3329" s="9" t="s">
        <v>63</v>
      </c>
      <c r="K3329" s="9" t="n">
        <v>24</v>
      </c>
      <c r="L3329" s="9" t="n">
        <v>2</v>
      </c>
      <c r="M3329" s="9" t="n">
        <v>1</v>
      </c>
      <c r="N3329" s="9" t="s">
        <v>42</v>
      </c>
      <c r="O3329" s="9" t="s">
        <v>52</v>
      </c>
      <c r="P3329" s="9" t="n">
        <v>14</v>
      </c>
      <c r="Q3329" s="9" t="n">
        <v>33</v>
      </c>
      <c r="R3329" s="9" t="s">
        <v>44</v>
      </c>
      <c r="S3329" s="9"/>
      <c r="T3329" s="9"/>
      <c r="U3329" s="9" t="str">
        <f aca="false">IF(COUNTIF($A$2:$A$5001,A3329)&gt;1,"Duplicate","Unique")</f>
        <v>Unique</v>
      </c>
      <c r="V3329" s="9" t="str">
        <f aca="false">IF(COUNTIFS($B$2:$B$5001,B3329,$H$2:$H$5001,H3329,$J$2:$J$5001,J3329)&gt;1,"Possible Duplicate Booking","Unique")</f>
        <v>Unique</v>
      </c>
      <c r="W3329" s="9" t="str">
        <f aca="false">IF((H3329-G3329)&lt;&gt;K3329,"Mismatch","OK")</f>
        <v>OK</v>
      </c>
      <c r="X3329" s="9" t="str">
        <f aca="false">IF(TEXT(H3329,"dddd")&lt;&gt;I3329,"Mismatch","OK")</f>
        <v>OK</v>
      </c>
      <c r="Y3329" s="9" t="str">
        <f aca="false">IF(AND(N3329="No",O3329&lt;&gt;""),"Unexpected: channel present but no reminder sent",IF(AND(N3329="Yes",O3329=""),"Missing channel for sent reminder","OK"))</f>
        <v>OK</v>
      </c>
    </row>
    <row r="3330" customFormat="false" ht="15" hidden="false" customHeight="false" outlineLevel="0" collapsed="false">
      <c r="A3330" s="7" t="s">
        <v>4921</v>
      </c>
      <c r="B3330" s="7" t="s">
        <v>2666</v>
      </c>
      <c r="C3330" s="7" t="s">
        <v>37</v>
      </c>
      <c r="D3330" s="7" t="n">
        <v>76</v>
      </c>
      <c r="E3330" s="7" t="s">
        <v>70</v>
      </c>
      <c r="F3330" s="7" t="s">
        <v>39</v>
      </c>
      <c r="G3330" s="8" t="n">
        <v>45863</v>
      </c>
      <c r="H3330" s="8" t="n">
        <v>45872</v>
      </c>
      <c r="I3330" s="7" t="s">
        <v>75</v>
      </c>
      <c r="J3330" s="7" t="s">
        <v>41</v>
      </c>
      <c r="K3330" s="7" t="n">
        <v>9</v>
      </c>
      <c r="L3330" s="7" t="n">
        <v>5</v>
      </c>
      <c r="M3330" s="7" t="n">
        <v>1</v>
      </c>
      <c r="N3330" s="7" t="s">
        <v>42</v>
      </c>
      <c r="O3330" s="7" t="s">
        <v>43</v>
      </c>
      <c r="P3330" s="7" t="n">
        <v>10.6</v>
      </c>
      <c r="Q3330" s="7" t="n">
        <v>10</v>
      </c>
      <c r="R3330" s="7" t="s">
        <v>53</v>
      </c>
      <c r="S3330" s="7"/>
      <c r="T3330" s="7"/>
      <c r="U3330" s="7" t="str">
        <f aca="false">IF(COUNTIF($A$2:$A$5001,A3330)&gt;1,"Duplicate","Unique")</f>
        <v>Unique</v>
      </c>
      <c r="V3330" s="7" t="str">
        <f aca="false">IF(COUNTIFS($B$2:$B$5001,B3330,$H$2:$H$5001,H3330,$J$2:$J$5001,J3330)&gt;1,"Possible Duplicate Booking","Unique")</f>
        <v>Unique</v>
      </c>
      <c r="W3330" s="7" t="str">
        <f aca="false">IF((H3330-G3330)&lt;&gt;K3330,"Mismatch","OK")</f>
        <v>OK</v>
      </c>
      <c r="X3330" s="7" t="str">
        <f aca="false">IF(TEXT(H3330,"dddd")&lt;&gt;I3330,"Mismatch","OK")</f>
        <v>OK</v>
      </c>
      <c r="Y3330" s="7" t="str">
        <f aca="false">IF(AND(N3330="No",O3330&lt;&gt;""),"Unexpected: channel present but no reminder sent",IF(AND(N3330="Yes",O3330=""),"Missing channel for sent reminder","OK"))</f>
        <v>OK</v>
      </c>
    </row>
    <row r="3331" customFormat="false" ht="15" hidden="false" customHeight="false" outlineLevel="0" collapsed="false">
      <c r="A3331" s="9" t="s">
        <v>4922</v>
      </c>
      <c r="B3331" s="9" t="s">
        <v>4923</v>
      </c>
      <c r="C3331" s="9" t="s">
        <v>47</v>
      </c>
      <c r="D3331" s="9" t="n">
        <v>34</v>
      </c>
      <c r="E3331" s="9" t="s">
        <v>48</v>
      </c>
      <c r="F3331" s="9" t="s">
        <v>39</v>
      </c>
      <c r="G3331" s="10" t="n">
        <v>46120</v>
      </c>
      <c r="H3331" s="10" t="n">
        <v>46158</v>
      </c>
      <c r="I3331" s="9" t="s">
        <v>102</v>
      </c>
      <c r="J3331" s="9" t="s">
        <v>51</v>
      </c>
      <c r="K3331" s="9" t="n">
        <v>38</v>
      </c>
      <c r="L3331" s="9" t="n">
        <v>1</v>
      </c>
      <c r="M3331" s="9" t="n">
        <v>1</v>
      </c>
      <c r="N3331" s="9" t="s">
        <v>42</v>
      </c>
      <c r="O3331" s="9" t="s">
        <v>43</v>
      </c>
      <c r="P3331" s="9" t="n">
        <v>21.5</v>
      </c>
      <c r="Q3331" s="9" t="n">
        <v>17</v>
      </c>
      <c r="R3331" s="9" t="s">
        <v>44</v>
      </c>
      <c r="S3331" s="9"/>
      <c r="T3331" s="9"/>
      <c r="U3331" s="9" t="str">
        <f aca="false">IF(COUNTIF($A$2:$A$5001,A3331)&gt;1,"Duplicate","Unique")</f>
        <v>Unique</v>
      </c>
      <c r="V3331" s="9" t="str">
        <f aca="false">IF(COUNTIFS($B$2:$B$5001,B3331,$H$2:$H$5001,H3331,$J$2:$J$5001,J3331)&gt;1,"Possible Duplicate Booking","Unique")</f>
        <v>Unique</v>
      </c>
      <c r="W3331" s="9" t="str">
        <f aca="false">IF((H3331-G3331)&lt;&gt;K3331,"Mismatch","OK")</f>
        <v>OK</v>
      </c>
      <c r="X3331" s="9" t="str">
        <f aca="false">IF(TEXT(H3331,"dddd")&lt;&gt;I3331,"Mismatch","OK")</f>
        <v>OK</v>
      </c>
      <c r="Y3331" s="9" t="str">
        <f aca="false">IF(AND(N3331="No",O3331&lt;&gt;""),"Unexpected: channel present but no reminder sent",IF(AND(N3331="Yes",O3331=""),"Missing channel for sent reminder","OK"))</f>
        <v>OK</v>
      </c>
    </row>
    <row r="3332" customFormat="false" ht="15" hidden="false" customHeight="false" outlineLevel="0" collapsed="false">
      <c r="A3332" s="7" t="s">
        <v>4924</v>
      </c>
      <c r="B3332" s="7" t="s">
        <v>3022</v>
      </c>
      <c r="C3332" s="7" t="s">
        <v>37</v>
      </c>
      <c r="D3332" s="7" t="n">
        <v>63</v>
      </c>
      <c r="E3332" s="7" t="s">
        <v>61</v>
      </c>
      <c r="F3332" s="7" t="s">
        <v>49</v>
      </c>
      <c r="G3332" s="8" t="n">
        <v>45992</v>
      </c>
      <c r="H3332" s="8" t="n">
        <v>45993</v>
      </c>
      <c r="I3332" s="7" t="s">
        <v>40</v>
      </c>
      <c r="J3332" s="7" t="s">
        <v>41</v>
      </c>
      <c r="K3332" s="7" t="n">
        <v>1</v>
      </c>
      <c r="L3332" s="7" t="n">
        <v>5</v>
      </c>
      <c r="M3332" s="7" t="n">
        <v>0</v>
      </c>
      <c r="N3332" s="7" t="s">
        <v>42</v>
      </c>
      <c r="O3332" s="7" t="s">
        <v>43</v>
      </c>
      <c r="P3332" s="7" t="n">
        <v>20.4</v>
      </c>
      <c r="Q3332" s="7" t="n">
        <v>15</v>
      </c>
      <c r="R3332" s="7" t="s">
        <v>44</v>
      </c>
      <c r="S3332" s="7"/>
      <c r="T3332" s="7"/>
      <c r="U3332" s="7" t="str">
        <f aca="false">IF(COUNTIF($A$2:$A$5001,A3332)&gt;1,"Duplicate","Unique")</f>
        <v>Unique</v>
      </c>
      <c r="V3332" s="7" t="str">
        <f aca="false">IF(COUNTIFS($B$2:$B$5001,B3332,$H$2:$H$5001,H3332,$J$2:$J$5001,J3332)&gt;1,"Possible Duplicate Booking","Unique")</f>
        <v>Unique</v>
      </c>
      <c r="W3332" s="7" t="str">
        <f aca="false">IF((H3332-G3332)&lt;&gt;K3332,"Mismatch","OK")</f>
        <v>OK</v>
      </c>
      <c r="X3332" s="7" t="str">
        <f aca="false">IF(TEXT(H3332,"dddd")&lt;&gt;I3332,"Mismatch","OK")</f>
        <v>OK</v>
      </c>
      <c r="Y3332" s="7" t="str">
        <f aca="false">IF(AND(N3332="No",O3332&lt;&gt;""),"Unexpected: channel present but no reminder sent",IF(AND(N3332="Yes",O3332=""),"Missing channel for sent reminder","OK"))</f>
        <v>OK</v>
      </c>
    </row>
    <row r="3333" customFormat="false" ht="15" hidden="false" customHeight="false" outlineLevel="0" collapsed="false">
      <c r="A3333" s="9" t="s">
        <v>4925</v>
      </c>
      <c r="B3333" s="9" t="s">
        <v>1726</v>
      </c>
      <c r="C3333" s="9" t="s">
        <v>37</v>
      </c>
      <c r="D3333" s="9" t="n">
        <v>63</v>
      </c>
      <c r="E3333" s="9" t="s">
        <v>61</v>
      </c>
      <c r="F3333" s="9" t="s">
        <v>57</v>
      </c>
      <c r="G3333" s="10" t="n">
        <v>46107</v>
      </c>
      <c r="H3333" s="10" t="n">
        <v>46122</v>
      </c>
      <c r="I3333" s="9" t="s">
        <v>50</v>
      </c>
      <c r="J3333" s="9" t="s">
        <v>51</v>
      </c>
      <c r="K3333" s="9" t="n">
        <v>15</v>
      </c>
      <c r="L3333" s="9" t="n">
        <v>6</v>
      </c>
      <c r="M3333" s="9" t="n">
        <v>1</v>
      </c>
      <c r="N3333" s="9" t="s">
        <v>42</v>
      </c>
      <c r="O3333" s="9" t="s">
        <v>43</v>
      </c>
      <c r="P3333" s="9" t="n">
        <v>7.5</v>
      </c>
      <c r="Q3333" s="9" t="n">
        <v>7</v>
      </c>
      <c r="R3333" s="9" t="s">
        <v>44</v>
      </c>
      <c r="S3333" s="9"/>
      <c r="T3333" s="9"/>
      <c r="U3333" s="9" t="str">
        <f aca="false">IF(COUNTIF($A$2:$A$5001,A3333)&gt;1,"Duplicate","Unique")</f>
        <v>Unique</v>
      </c>
      <c r="V3333" s="9" t="str">
        <f aca="false">IF(COUNTIFS($B$2:$B$5001,B3333,$H$2:$H$5001,H3333,$J$2:$J$5001,J3333)&gt;1,"Possible Duplicate Booking","Unique")</f>
        <v>Unique</v>
      </c>
      <c r="W3333" s="9" t="str">
        <f aca="false">IF((H3333-G3333)&lt;&gt;K3333,"Mismatch","OK")</f>
        <v>OK</v>
      </c>
      <c r="X3333" s="9" t="str">
        <f aca="false">IF(TEXT(H3333,"dddd")&lt;&gt;I3333,"Mismatch","OK")</f>
        <v>OK</v>
      </c>
      <c r="Y3333" s="9" t="str">
        <f aca="false">IF(AND(N3333="No",O3333&lt;&gt;""),"Unexpected: channel present but no reminder sent",IF(AND(N3333="Yes",O3333=""),"Missing channel for sent reminder","OK"))</f>
        <v>OK</v>
      </c>
    </row>
    <row r="3334" customFormat="false" ht="15" hidden="false" customHeight="false" outlineLevel="0" collapsed="false">
      <c r="A3334" s="7" t="s">
        <v>4926</v>
      </c>
      <c r="B3334" s="7" t="s">
        <v>3681</v>
      </c>
      <c r="C3334" s="7" t="s">
        <v>37</v>
      </c>
      <c r="D3334" s="7" t="n">
        <v>67</v>
      </c>
      <c r="E3334" s="7" t="s">
        <v>70</v>
      </c>
      <c r="F3334" s="7" t="s">
        <v>57</v>
      </c>
      <c r="G3334" s="8" t="n">
        <v>45750</v>
      </c>
      <c r="H3334" s="8" t="n">
        <v>45793</v>
      </c>
      <c r="I3334" s="7" t="s">
        <v>50</v>
      </c>
      <c r="J3334" s="7" t="s">
        <v>63</v>
      </c>
      <c r="K3334" s="7" t="n">
        <v>43</v>
      </c>
      <c r="L3334" s="7" t="n">
        <v>4</v>
      </c>
      <c r="M3334" s="7" t="n">
        <v>1</v>
      </c>
      <c r="N3334" s="7" t="s">
        <v>42</v>
      </c>
      <c r="O3334" s="7" t="s">
        <v>67</v>
      </c>
      <c r="P3334" s="7" t="n">
        <v>8.9</v>
      </c>
      <c r="Q3334" s="7"/>
      <c r="R3334" s="7" t="s">
        <v>44</v>
      </c>
      <c r="S3334" s="7"/>
      <c r="T3334" s="7"/>
      <c r="U3334" s="7" t="str">
        <f aca="false">IF(COUNTIF($A$2:$A$5001,A3334)&gt;1,"Duplicate","Unique")</f>
        <v>Unique</v>
      </c>
      <c r="V3334" s="7" t="str">
        <f aca="false">IF(COUNTIFS($B$2:$B$5001,B3334,$H$2:$H$5001,H3334,$J$2:$J$5001,J3334)&gt;1,"Possible Duplicate Booking","Unique")</f>
        <v>Unique</v>
      </c>
      <c r="W3334" s="7" t="str">
        <f aca="false">IF((H3334-G3334)&lt;&gt;K3334,"Mismatch","OK")</f>
        <v>OK</v>
      </c>
      <c r="X3334" s="7" t="str">
        <f aca="false">IF(TEXT(H3334,"dddd")&lt;&gt;I3334,"Mismatch","OK")</f>
        <v>OK</v>
      </c>
      <c r="Y3334" s="7" t="str">
        <f aca="false">IF(AND(N3334="No",O3334&lt;&gt;""),"Unexpected: channel present but no reminder sent",IF(AND(N3334="Yes",O3334=""),"Missing channel for sent reminder","OK"))</f>
        <v>OK</v>
      </c>
    </row>
    <row r="3335" customFormat="false" ht="15" hidden="false" customHeight="false" outlineLevel="0" collapsed="false">
      <c r="A3335" s="9" t="s">
        <v>4927</v>
      </c>
      <c r="B3335" s="9" t="s">
        <v>2042</v>
      </c>
      <c r="C3335" s="9" t="s">
        <v>37</v>
      </c>
      <c r="D3335" s="9" t="n">
        <v>68</v>
      </c>
      <c r="E3335" s="9" t="s">
        <v>70</v>
      </c>
      <c r="F3335" s="9" t="s">
        <v>39</v>
      </c>
      <c r="G3335" s="10" t="n">
        <v>46120</v>
      </c>
      <c r="H3335" s="10" t="n">
        <v>46121</v>
      </c>
      <c r="I3335" s="9" t="s">
        <v>62</v>
      </c>
      <c r="J3335" s="9" t="s">
        <v>41</v>
      </c>
      <c r="K3335" s="9" t="n">
        <v>1</v>
      </c>
      <c r="L3335" s="9" t="n">
        <v>1</v>
      </c>
      <c r="M3335" s="9" t="n">
        <v>0</v>
      </c>
      <c r="N3335" s="9" t="s">
        <v>71</v>
      </c>
      <c r="O3335" s="9"/>
      <c r="P3335" s="9" t="n">
        <v>19.6</v>
      </c>
      <c r="Q3335" s="9" t="n">
        <v>24</v>
      </c>
      <c r="R3335" s="9" t="s">
        <v>53</v>
      </c>
      <c r="S3335" s="9"/>
      <c r="T3335" s="9"/>
      <c r="U3335" s="9" t="str">
        <f aca="false">IF(COUNTIF($A$2:$A$5001,A3335)&gt;1,"Duplicate","Unique")</f>
        <v>Unique</v>
      </c>
      <c r="V3335" s="9" t="str">
        <f aca="false">IF(COUNTIFS($B$2:$B$5001,B3335,$H$2:$H$5001,H3335,$J$2:$J$5001,J3335)&gt;1,"Possible Duplicate Booking","Unique")</f>
        <v>Unique</v>
      </c>
      <c r="W3335" s="9" t="str">
        <f aca="false">IF((H3335-G3335)&lt;&gt;K3335,"Mismatch","OK")</f>
        <v>OK</v>
      </c>
      <c r="X3335" s="9" t="str">
        <f aca="false">IF(TEXT(H3335,"dddd")&lt;&gt;I3335,"Mismatch","OK")</f>
        <v>OK</v>
      </c>
      <c r="Y3335" s="9" t="str">
        <f aca="false">IF(AND(N3335="No",O3335&lt;&gt;""),"Unexpected: channel present but no reminder sent",IF(AND(N3335="Yes",O3335=""),"Missing channel for sent reminder","OK"))</f>
        <v>OK</v>
      </c>
    </row>
    <row r="3336" customFormat="false" ht="15" hidden="false" customHeight="false" outlineLevel="0" collapsed="false">
      <c r="A3336" s="7" t="s">
        <v>4928</v>
      </c>
      <c r="B3336" s="7" t="s">
        <v>423</v>
      </c>
      <c r="C3336" s="7" t="s">
        <v>37</v>
      </c>
      <c r="D3336" s="7" t="n">
        <v>78</v>
      </c>
      <c r="E3336" s="7" t="s">
        <v>70</v>
      </c>
      <c r="F3336" s="7" t="s">
        <v>57</v>
      </c>
      <c r="G3336" s="8" t="n">
        <v>45637</v>
      </c>
      <c r="H3336" s="8" t="n">
        <v>45697</v>
      </c>
      <c r="I3336" s="7" t="s">
        <v>75</v>
      </c>
      <c r="J3336" s="7" t="s">
        <v>51</v>
      </c>
      <c r="K3336" s="7" t="n">
        <v>60</v>
      </c>
      <c r="L3336" s="7" t="n">
        <v>2</v>
      </c>
      <c r="M3336" s="7" t="n">
        <v>2</v>
      </c>
      <c r="N3336" s="7" t="s">
        <v>42</v>
      </c>
      <c r="O3336" s="7" t="s">
        <v>52</v>
      </c>
      <c r="P3336" s="7" t="n">
        <v>16.3</v>
      </c>
      <c r="Q3336" s="7" t="n">
        <v>39</v>
      </c>
      <c r="R3336" s="7" t="s">
        <v>44</v>
      </c>
      <c r="S3336" s="7"/>
      <c r="T3336" s="7"/>
      <c r="U3336" s="7" t="str">
        <f aca="false">IF(COUNTIF($A$2:$A$5001,A3336)&gt;1,"Duplicate","Unique")</f>
        <v>Unique</v>
      </c>
      <c r="V3336" s="7" t="str">
        <f aca="false">IF(COUNTIFS($B$2:$B$5001,B3336,$H$2:$H$5001,H3336,$J$2:$J$5001,J3336)&gt;1,"Possible Duplicate Booking","Unique")</f>
        <v>Unique</v>
      </c>
      <c r="W3336" s="7" t="str">
        <f aca="false">IF((H3336-G3336)&lt;&gt;K3336,"Mismatch","OK")</f>
        <v>OK</v>
      </c>
      <c r="X3336" s="7" t="str">
        <f aca="false">IF(TEXT(H3336,"dddd")&lt;&gt;I3336,"Mismatch","OK")</f>
        <v>OK</v>
      </c>
      <c r="Y3336" s="7" t="str">
        <f aca="false">IF(AND(N3336="No",O3336&lt;&gt;""),"Unexpected: channel present but no reminder sent",IF(AND(N3336="Yes",O3336=""),"Missing channel for sent reminder","OK"))</f>
        <v>OK</v>
      </c>
    </row>
    <row r="3337" customFormat="false" ht="15" hidden="false" customHeight="false" outlineLevel="0" collapsed="false">
      <c r="A3337" s="9" t="s">
        <v>4929</v>
      </c>
      <c r="B3337" s="9" t="s">
        <v>4930</v>
      </c>
      <c r="C3337" s="9" t="s">
        <v>47</v>
      </c>
      <c r="D3337" s="9" t="n">
        <v>48</v>
      </c>
      <c r="E3337" s="9" t="s">
        <v>56</v>
      </c>
      <c r="F3337" s="9" t="s">
        <v>57</v>
      </c>
      <c r="G3337" s="10" t="n">
        <v>45758</v>
      </c>
      <c r="H3337" s="10" t="n">
        <v>45782</v>
      </c>
      <c r="I3337" s="9" t="s">
        <v>66</v>
      </c>
      <c r="J3337" s="9" t="s">
        <v>41</v>
      </c>
      <c r="K3337" s="9" t="n">
        <v>24</v>
      </c>
      <c r="L3337" s="9" t="n">
        <v>1</v>
      </c>
      <c r="M3337" s="9" t="n">
        <v>0</v>
      </c>
      <c r="N3337" s="9" t="s">
        <v>42</v>
      </c>
      <c r="O3337" s="9" t="s">
        <v>52</v>
      </c>
      <c r="P3337" s="9" t="n">
        <v>12.7</v>
      </c>
      <c r="Q3337" s="9" t="n">
        <v>37</v>
      </c>
      <c r="R3337" s="9" t="s">
        <v>53</v>
      </c>
      <c r="S3337" s="9"/>
      <c r="T3337" s="9"/>
      <c r="U3337" s="9" t="str">
        <f aca="false">IF(COUNTIF($A$2:$A$5001,A3337)&gt;1,"Duplicate","Unique")</f>
        <v>Unique</v>
      </c>
      <c r="V3337" s="9" t="str">
        <f aca="false">IF(COUNTIFS($B$2:$B$5001,B3337,$H$2:$H$5001,H3337,$J$2:$J$5001,J3337)&gt;1,"Possible Duplicate Booking","Unique")</f>
        <v>Unique</v>
      </c>
      <c r="W3337" s="9" t="str">
        <f aca="false">IF((H3337-G3337)&lt;&gt;K3337,"Mismatch","OK")</f>
        <v>OK</v>
      </c>
      <c r="X3337" s="9" t="str">
        <f aca="false">IF(TEXT(H3337,"dddd")&lt;&gt;I3337,"Mismatch","OK")</f>
        <v>OK</v>
      </c>
      <c r="Y3337" s="9" t="str">
        <f aca="false">IF(AND(N3337="No",O3337&lt;&gt;""),"Unexpected: channel present but no reminder sent",IF(AND(N3337="Yes",O3337=""),"Missing channel for sent reminder","OK"))</f>
        <v>OK</v>
      </c>
    </row>
    <row r="3338" customFormat="false" ht="15" hidden="false" customHeight="false" outlineLevel="0" collapsed="false">
      <c r="A3338" s="7" t="s">
        <v>4931</v>
      </c>
      <c r="B3338" s="7" t="s">
        <v>611</v>
      </c>
      <c r="C3338" s="7" t="s">
        <v>47</v>
      </c>
      <c r="D3338" s="7" t="n">
        <v>22</v>
      </c>
      <c r="E3338" s="7" t="s">
        <v>82</v>
      </c>
      <c r="F3338" s="7" t="s">
        <v>57</v>
      </c>
      <c r="G3338" s="8" t="n">
        <v>45919</v>
      </c>
      <c r="H3338" s="8" t="n">
        <v>45943</v>
      </c>
      <c r="I3338" s="7" t="s">
        <v>66</v>
      </c>
      <c r="J3338" s="7" t="s">
        <v>51</v>
      </c>
      <c r="K3338" s="7" t="n">
        <v>24</v>
      </c>
      <c r="L3338" s="7" t="n">
        <v>2</v>
      </c>
      <c r="M3338" s="7" t="n">
        <v>1</v>
      </c>
      <c r="N3338" s="7" t="s">
        <v>42</v>
      </c>
      <c r="O3338" s="7" t="s">
        <v>43</v>
      </c>
      <c r="P3338" s="7" t="n">
        <v>18.3</v>
      </c>
      <c r="Q3338" s="7" t="n">
        <v>26</v>
      </c>
      <c r="R3338" s="7" t="s">
        <v>53</v>
      </c>
      <c r="S3338" s="7"/>
      <c r="T3338" s="7"/>
      <c r="U3338" s="7" t="str">
        <f aca="false">IF(COUNTIF($A$2:$A$5001,A3338)&gt;1,"Duplicate","Unique")</f>
        <v>Unique</v>
      </c>
      <c r="V3338" s="7" t="str">
        <f aca="false">IF(COUNTIFS($B$2:$B$5001,B3338,$H$2:$H$5001,H3338,$J$2:$J$5001,J3338)&gt;1,"Possible Duplicate Booking","Unique")</f>
        <v>Unique</v>
      </c>
      <c r="W3338" s="7" t="str">
        <f aca="false">IF((H3338-G3338)&lt;&gt;K3338,"Mismatch","OK")</f>
        <v>OK</v>
      </c>
      <c r="X3338" s="7" t="str">
        <f aca="false">IF(TEXT(H3338,"dddd")&lt;&gt;I3338,"Mismatch","OK")</f>
        <v>OK</v>
      </c>
      <c r="Y3338" s="7" t="str">
        <f aca="false">IF(AND(N3338="No",O3338&lt;&gt;""),"Unexpected: channel present but no reminder sent",IF(AND(N3338="Yes",O3338=""),"Missing channel for sent reminder","OK"))</f>
        <v>OK</v>
      </c>
    </row>
    <row r="3339" customFormat="false" ht="15" hidden="false" customHeight="false" outlineLevel="0" collapsed="false">
      <c r="A3339" s="9" t="s">
        <v>4932</v>
      </c>
      <c r="B3339" s="9" t="s">
        <v>1620</v>
      </c>
      <c r="C3339" s="9" t="s">
        <v>47</v>
      </c>
      <c r="D3339" s="9" t="n">
        <v>30</v>
      </c>
      <c r="E3339" s="9" t="s">
        <v>48</v>
      </c>
      <c r="F3339" s="9" t="s">
        <v>49</v>
      </c>
      <c r="G3339" s="10" t="n">
        <v>45653</v>
      </c>
      <c r="H3339" s="10" t="n">
        <v>45685</v>
      </c>
      <c r="I3339" s="9" t="s">
        <v>40</v>
      </c>
      <c r="J3339" s="9" t="s">
        <v>63</v>
      </c>
      <c r="K3339" s="9" t="n">
        <v>32</v>
      </c>
      <c r="L3339" s="9" t="n">
        <v>5</v>
      </c>
      <c r="M3339" s="9" t="n">
        <v>0</v>
      </c>
      <c r="N3339" s="9" t="s">
        <v>42</v>
      </c>
      <c r="O3339" s="9" t="s">
        <v>67</v>
      </c>
      <c r="P3339" s="9" t="n">
        <v>3</v>
      </c>
      <c r="Q3339" s="9" t="n">
        <v>33</v>
      </c>
      <c r="R3339" s="9" t="s">
        <v>44</v>
      </c>
      <c r="S3339" s="9"/>
      <c r="T3339" s="9"/>
      <c r="U3339" s="9" t="str">
        <f aca="false">IF(COUNTIF($A$2:$A$5001,A3339)&gt;1,"Duplicate","Unique")</f>
        <v>Unique</v>
      </c>
      <c r="V3339" s="9" t="str">
        <f aca="false">IF(COUNTIFS($B$2:$B$5001,B3339,$H$2:$H$5001,H3339,$J$2:$J$5001,J3339)&gt;1,"Possible Duplicate Booking","Unique")</f>
        <v>Unique</v>
      </c>
      <c r="W3339" s="9" t="str">
        <f aca="false">IF((H3339-G3339)&lt;&gt;K3339,"Mismatch","OK")</f>
        <v>OK</v>
      </c>
      <c r="X3339" s="9" t="str">
        <f aca="false">IF(TEXT(H3339,"dddd")&lt;&gt;I3339,"Mismatch","OK")</f>
        <v>OK</v>
      </c>
      <c r="Y3339" s="9" t="str">
        <f aca="false">IF(AND(N3339="No",O3339&lt;&gt;""),"Unexpected: channel present but no reminder sent",IF(AND(N3339="Yes",O3339=""),"Missing channel for sent reminder","OK"))</f>
        <v>OK</v>
      </c>
    </row>
    <row r="3340" customFormat="false" ht="15" hidden="false" customHeight="false" outlineLevel="0" collapsed="false">
      <c r="A3340" s="7" t="s">
        <v>4933</v>
      </c>
      <c r="B3340" s="7" t="s">
        <v>4934</v>
      </c>
      <c r="C3340" s="7" t="s">
        <v>47</v>
      </c>
      <c r="D3340" s="7" t="n">
        <v>73</v>
      </c>
      <c r="E3340" s="7" t="s">
        <v>70</v>
      </c>
      <c r="F3340" s="7" t="s">
        <v>57</v>
      </c>
      <c r="G3340" s="8" t="n">
        <v>46088</v>
      </c>
      <c r="H3340" s="8" t="n">
        <v>46126</v>
      </c>
      <c r="I3340" s="7" t="s">
        <v>40</v>
      </c>
      <c r="J3340" s="7" t="s">
        <v>63</v>
      </c>
      <c r="K3340" s="7" t="n">
        <v>38</v>
      </c>
      <c r="L3340" s="7" t="n">
        <v>4</v>
      </c>
      <c r="M3340" s="7" t="n">
        <v>0</v>
      </c>
      <c r="N3340" s="7" t="s">
        <v>42</v>
      </c>
      <c r="O3340" s="7" t="s">
        <v>67</v>
      </c>
      <c r="P3340" s="7" t="n">
        <v>12.6</v>
      </c>
      <c r="Q3340" s="7" t="n">
        <v>23</v>
      </c>
      <c r="R3340" s="7" t="s">
        <v>53</v>
      </c>
      <c r="S3340" s="7"/>
      <c r="T3340" s="7"/>
      <c r="U3340" s="7" t="str">
        <f aca="false">IF(COUNTIF($A$2:$A$5001,A3340)&gt;1,"Duplicate","Unique")</f>
        <v>Unique</v>
      </c>
      <c r="V3340" s="7" t="str">
        <f aca="false">IF(COUNTIFS($B$2:$B$5001,B3340,$H$2:$H$5001,H3340,$J$2:$J$5001,J3340)&gt;1,"Possible Duplicate Booking","Unique")</f>
        <v>Unique</v>
      </c>
      <c r="W3340" s="7" t="str">
        <f aca="false">IF((H3340-G3340)&lt;&gt;K3340,"Mismatch","OK")</f>
        <v>OK</v>
      </c>
      <c r="X3340" s="7" t="str">
        <f aca="false">IF(TEXT(H3340,"dddd")&lt;&gt;I3340,"Mismatch","OK")</f>
        <v>OK</v>
      </c>
      <c r="Y3340" s="7" t="str">
        <f aca="false">IF(AND(N3340="No",O3340&lt;&gt;""),"Unexpected: channel present but no reminder sent",IF(AND(N3340="Yes",O3340=""),"Missing channel for sent reminder","OK"))</f>
        <v>OK</v>
      </c>
    </row>
    <row r="3341" customFormat="false" ht="15" hidden="false" customHeight="false" outlineLevel="0" collapsed="false">
      <c r="A3341" s="9" t="s">
        <v>4935</v>
      </c>
      <c r="B3341" s="9" t="s">
        <v>1728</v>
      </c>
      <c r="C3341" s="9" t="s">
        <v>47</v>
      </c>
      <c r="D3341" s="9" t="n">
        <v>71</v>
      </c>
      <c r="E3341" s="9" t="s">
        <v>70</v>
      </c>
      <c r="F3341" s="9" t="s">
        <v>49</v>
      </c>
      <c r="G3341" s="10" t="n">
        <v>46103</v>
      </c>
      <c r="H3341" s="10" t="n">
        <v>46131</v>
      </c>
      <c r="I3341" s="9" t="s">
        <v>75</v>
      </c>
      <c r="J3341" s="9" t="s">
        <v>41</v>
      </c>
      <c r="K3341" s="9" t="n">
        <v>28</v>
      </c>
      <c r="L3341" s="9" t="n">
        <v>6</v>
      </c>
      <c r="M3341" s="9" t="n">
        <v>1</v>
      </c>
      <c r="N3341" s="9" t="s">
        <v>42</v>
      </c>
      <c r="O3341" s="9" t="s">
        <v>52</v>
      </c>
      <c r="P3341" s="9"/>
      <c r="Q3341" s="9" t="n">
        <v>23</v>
      </c>
      <c r="R3341" s="9" t="s">
        <v>53</v>
      </c>
      <c r="S3341" s="9"/>
      <c r="T3341" s="9"/>
      <c r="U3341" s="9" t="str">
        <f aca="false">IF(COUNTIF($A$2:$A$5001,A3341)&gt;1,"Duplicate","Unique")</f>
        <v>Unique</v>
      </c>
      <c r="V3341" s="9" t="str">
        <f aca="false">IF(COUNTIFS($B$2:$B$5001,B3341,$H$2:$H$5001,H3341,$J$2:$J$5001,J3341)&gt;1,"Possible Duplicate Booking","Unique")</f>
        <v>Unique</v>
      </c>
      <c r="W3341" s="9" t="str">
        <f aca="false">IF((H3341-G3341)&lt;&gt;K3341,"Mismatch","OK")</f>
        <v>OK</v>
      </c>
      <c r="X3341" s="9" t="str">
        <f aca="false">IF(TEXT(H3341,"dddd")&lt;&gt;I3341,"Mismatch","OK")</f>
        <v>OK</v>
      </c>
      <c r="Y3341" s="9" t="str">
        <f aca="false">IF(AND(N3341="No",O3341&lt;&gt;""),"Unexpected: channel present but no reminder sent",IF(AND(N3341="Yes",O3341=""),"Missing channel for sent reminder","OK"))</f>
        <v>OK</v>
      </c>
    </row>
    <row r="3342" customFormat="false" ht="15" hidden="false" customHeight="false" outlineLevel="0" collapsed="false">
      <c r="A3342" s="7" t="s">
        <v>4936</v>
      </c>
      <c r="B3342" s="7" t="s">
        <v>3673</v>
      </c>
      <c r="C3342" s="7" t="s">
        <v>37</v>
      </c>
      <c r="D3342" s="7" t="n">
        <v>18</v>
      </c>
      <c r="E3342" s="7" t="s">
        <v>82</v>
      </c>
      <c r="F3342" s="7" t="s">
        <v>49</v>
      </c>
      <c r="G3342" s="8" t="n">
        <v>45900</v>
      </c>
      <c r="H3342" s="8" t="n">
        <v>45953</v>
      </c>
      <c r="I3342" s="7" t="s">
        <v>62</v>
      </c>
      <c r="J3342" s="7" t="s">
        <v>41</v>
      </c>
      <c r="K3342" s="7" t="n">
        <v>53</v>
      </c>
      <c r="L3342" s="7" t="n">
        <v>4</v>
      </c>
      <c r="M3342" s="7" t="n">
        <v>2</v>
      </c>
      <c r="N3342" s="7" t="s">
        <v>42</v>
      </c>
      <c r="O3342" s="7" t="s">
        <v>52</v>
      </c>
      <c r="P3342" s="7" t="n">
        <v>15.5</v>
      </c>
      <c r="Q3342" s="7" t="n">
        <v>25</v>
      </c>
      <c r="R3342" s="7" t="s">
        <v>44</v>
      </c>
      <c r="S3342" s="7"/>
      <c r="T3342" s="7"/>
      <c r="U3342" s="7" t="str">
        <f aca="false">IF(COUNTIF($A$2:$A$5001,A3342)&gt;1,"Duplicate","Unique")</f>
        <v>Unique</v>
      </c>
      <c r="V3342" s="7" t="str">
        <f aca="false">IF(COUNTIFS($B$2:$B$5001,B3342,$H$2:$H$5001,H3342,$J$2:$J$5001,J3342)&gt;1,"Possible Duplicate Booking","Unique")</f>
        <v>Unique</v>
      </c>
      <c r="W3342" s="7" t="str">
        <f aca="false">IF((H3342-G3342)&lt;&gt;K3342,"Mismatch","OK")</f>
        <v>OK</v>
      </c>
      <c r="X3342" s="7" t="str">
        <f aca="false">IF(TEXT(H3342,"dddd")&lt;&gt;I3342,"Mismatch","OK")</f>
        <v>OK</v>
      </c>
      <c r="Y3342" s="7" t="str">
        <f aca="false">IF(AND(N3342="No",O3342&lt;&gt;""),"Unexpected: channel present but no reminder sent",IF(AND(N3342="Yes",O3342=""),"Missing channel for sent reminder","OK"))</f>
        <v>OK</v>
      </c>
    </row>
    <row r="3343" customFormat="false" ht="15" hidden="false" customHeight="false" outlineLevel="0" collapsed="false">
      <c r="A3343" s="9" t="s">
        <v>4937</v>
      </c>
      <c r="B3343" s="9" t="s">
        <v>65</v>
      </c>
      <c r="C3343" s="9" t="s">
        <v>37</v>
      </c>
      <c r="D3343" s="9" t="n">
        <v>41</v>
      </c>
      <c r="E3343" s="9" t="s">
        <v>38</v>
      </c>
      <c r="F3343" s="9" t="s">
        <v>39</v>
      </c>
      <c r="G3343" s="10" t="n">
        <v>45766</v>
      </c>
      <c r="H3343" s="10" t="n">
        <v>45824</v>
      </c>
      <c r="I3343" s="9" t="s">
        <v>66</v>
      </c>
      <c r="J3343" s="9" t="s">
        <v>41</v>
      </c>
      <c r="K3343" s="9" t="n">
        <v>58</v>
      </c>
      <c r="L3343" s="9" t="n">
        <v>4</v>
      </c>
      <c r="M3343" s="9" t="n">
        <v>0</v>
      </c>
      <c r="N3343" s="9" t="s">
        <v>42</v>
      </c>
      <c r="O3343" s="9" t="s">
        <v>52</v>
      </c>
      <c r="P3343" s="9" t="n">
        <v>12.4</v>
      </c>
      <c r="Q3343" s="9" t="n">
        <v>22</v>
      </c>
      <c r="R3343" s="9" t="s">
        <v>53</v>
      </c>
      <c r="S3343" s="9"/>
      <c r="T3343" s="9"/>
      <c r="U3343" s="9" t="str">
        <f aca="false">IF(COUNTIF($A$2:$A$5001,A3343)&gt;1,"Duplicate","Unique")</f>
        <v>Unique</v>
      </c>
      <c r="V3343" s="9" t="str">
        <f aca="false">IF(COUNTIFS($B$2:$B$5001,B3343,$H$2:$H$5001,H3343,$J$2:$J$5001,J3343)&gt;1,"Possible Duplicate Booking","Unique")</f>
        <v>Unique</v>
      </c>
      <c r="W3343" s="9" t="str">
        <f aca="false">IF((H3343-G3343)&lt;&gt;K3343,"Mismatch","OK")</f>
        <v>OK</v>
      </c>
      <c r="X3343" s="9" t="str">
        <f aca="false">IF(TEXT(H3343,"dddd")&lt;&gt;I3343,"Mismatch","OK")</f>
        <v>OK</v>
      </c>
      <c r="Y3343" s="9" t="str">
        <f aca="false">IF(AND(N3343="No",O3343&lt;&gt;""),"Unexpected: channel present but no reminder sent",IF(AND(N3343="Yes",O3343=""),"Missing channel for sent reminder","OK"))</f>
        <v>OK</v>
      </c>
    </row>
    <row r="3344" customFormat="false" ht="15" hidden="false" customHeight="false" outlineLevel="0" collapsed="false">
      <c r="A3344" s="7" t="s">
        <v>4938</v>
      </c>
      <c r="B3344" s="7" t="s">
        <v>1563</v>
      </c>
      <c r="C3344" s="7" t="s">
        <v>37</v>
      </c>
      <c r="D3344" s="7" t="n">
        <v>33</v>
      </c>
      <c r="E3344" s="7" t="s">
        <v>48</v>
      </c>
      <c r="F3344" s="7" t="s">
        <v>57</v>
      </c>
      <c r="G3344" s="8" t="n">
        <v>45700</v>
      </c>
      <c r="H3344" s="8" t="n">
        <v>45712</v>
      </c>
      <c r="I3344" s="7" t="s">
        <v>66</v>
      </c>
      <c r="J3344" s="7" t="s">
        <v>51</v>
      </c>
      <c r="K3344" s="7" t="n">
        <v>12</v>
      </c>
      <c r="L3344" s="7" t="n">
        <v>2</v>
      </c>
      <c r="M3344" s="7" t="n">
        <v>1</v>
      </c>
      <c r="N3344" s="7" t="s">
        <v>71</v>
      </c>
      <c r="O3344" s="7"/>
      <c r="P3344" s="7" t="n">
        <v>17.8</v>
      </c>
      <c r="Q3344" s="7" t="n">
        <v>26</v>
      </c>
      <c r="R3344" s="7" t="s">
        <v>53</v>
      </c>
      <c r="S3344" s="7"/>
      <c r="T3344" s="7"/>
      <c r="U3344" s="7" t="str">
        <f aca="false">IF(COUNTIF($A$2:$A$5001,A3344)&gt;1,"Duplicate","Unique")</f>
        <v>Unique</v>
      </c>
      <c r="V3344" s="7" t="str">
        <f aca="false">IF(COUNTIFS($B$2:$B$5001,B3344,$H$2:$H$5001,H3344,$J$2:$J$5001,J3344)&gt;1,"Possible Duplicate Booking","Unique")</f>
        <v>Unique</v>
      </c>
      <c r="W3344" s="7" t="str">
        <f aca="false">IF((H3344-G3344)&lt;&gt;K3344,"Mismatch","OK")</f>
        <v>OK</v>
      </c>
      <c r="X3344" s="7" t="str">
        <f aca="false">IF(TEXT(H3344,"dddd")&lt;&gt;I3344,"Mismatch","OK")</f>
        <v>OK</v>
      </c>
      <c r="Y3344" s="7" t="str">
        <f aca="false">IF(AND(N3344="No",O3344&lt;&gt;""),"Unexpected: channel present but no reminder sent",IF(AND(N3344="Yes",O3344=""),"Missing channel for sent reminder","OK"))</f>
        <v>OK</v>
      </c>
    </row>
    <row r="3345" customFormat="false" ht="15" hidden="false" customHeight="false" outlineLevel="0" collapsed="false">
      <c r="A3345" s="9" t="s">
        <v>4939</v>
      </c>
      <c r="B3345" s="9" t="s">
        <v>941</v>
      </c>
      <c r="C3345" s="9" t="s">
        <v>47</v>
      </c>
      <c r="D3345" s="9" t="n">
        <v>38</v>
      </c>
      <c r="E3345" s="9" t="s">
        <v>38</v>
      </c>
      <c r="F3345" s="9" t="s">
        <v>49</v>
      </c>
      <c r="G3345" s="10" t="n">
        <v>45952</v>
      </c>
      <c r="H3345" s="10" t="n">
        <v>45995</v>
      </c>
      <c r="I3345" s="9" t="s">
        <v>62</v>
      </c>
      <c r="J3345" s="9" t="s">
        <v>51</v>
      </c>
      <c r="K3345" s="9" t="n">
        <v>43</v>
      </c>
      <c r="L3345" s="9" t="n">
        <v>2</v>
      </c>
      <c r="M3345" s="9" t="n">
        <v>0</v>
      </c>
      <c r="N3345" s="9" t="s">
        <v>42</v>
      </c>
      <c r="O3345" s="9" t="s">
        <v>52</v>
      </c>
      <c r="P3345" s="9" t="n">
        <v>20.7</v>
      </c>
      <c r="Q3345" s="9" t="n">
        <v>31</v>
      </c>
      <c r="R3345" s="9" t="s">
        <v>44</v>
      </c>
      <c r="S3345" s="9"/>
      <c r="T3345" s="9"/>
      <c r="U3345" s="9" t="str">
        <f aca="false">IF(COUNTIF($A$2:$A$5001,A3345)&gt;1,"Duplicate","Unique")</f>
        <v>Unique</v>
      </c>
      <c r="V3345" s="9" t="str">
        <f aca="false">IF(COUNTIFS($B$2:$B$5001,B3345,$H$2:$H$5001,H3345,$J$2:$J$5001,J3345)&gt;1,"Possible Duplicate Booking","Unique")</f>
        <v>Unique</v>
      </c>
      <c r="W3345" s="9" t="str">
        <f aca="false">IF((H3345-G3345)&lt;&gt;K3345,"Mismatch","OK")</f>
        <v>OK</v>
      </c>
      <c r="X3345" s="9" t="str">
        <f aca="false">IF(TEXT(H3345,"dddd")&lt;&gt;I3345,"Mismatch","OK")</f>
        <v>OK</v>
      </c>
      <c r="Y3345" s="9" t="str">
        <f aca="false">IF(AND(N3345="No",O3345&lt;&gt;""),"Unexpected: channel present but no reminder sent",IF(AND(N3345="Yes",O3345=""),"Missing channel for sent reminder","OK"))</f>
        <v>OK</v>
      </c>
    </row>
    <row r="3346" customFormat="false" ht="15" hidden="false" customHeight="false" outlineLevel="0" collapsed="false">
      <c r="A3346" s="7" t="s">
        <v>4940</v>
      </c>
      <c r="B3346" s="7" t="s">
        <v>3384</v>
      </c>
      <c r="C3346" s="7" t="s">
        <v>37</v>
      </c>
      <c r="D3346" s="7" t="n">
        <v>58</v>
      </c>
      <c r="E3346" s="7" t="s">
        <v>61</v>
      </c>
      <c r="F3346" s="7" t="s">
        <v>57</v>
      </c>
      <c r="G3346" s="8" t="n">
        <v>45933</v>
      </c>
      <c r="H3346" s="8" t="n">
        <v>45951</v>
      </c>
      <c r="I3346" s="7" t="s">
        <v>40</v>
      </c>
      <c r="J3346" s="7" t="s">
        <v>63</v>
      </c>
      <c r="K3346" s="7" t="n">
        <v>18</v>
      </c>
      <c r="L3346" s="7" t="n">
        <v>2</v>
      </c>
      <c r="M3346" s="7" t="n">
        <v>1</v>
      </c>
      <c r="N3346" s="7" t="s">
        <v>42</v>
      </c>
      <c r="O3346" s="7" t="s">
        <v>52</v>
      </c>
      <c r="P3346" s="7" t="n">
        <v>3.5</v>
      </c>
      <c r="Q3346" s="7" t="n">
        <v>11</v>
      </c>
      <c r="R3346" s="7" t="s">
        <v>44</v>
      </c>
      <c r="S3346" s="7"/>
      <c r="T3346" s="7"/>
      <c r="U3346" s="7" t="str">
        <f aca="false">IF(COUNTIF($A$2:$A$5001,A3346)&gt;1,"Duplicate","Unique")</f>
        <v>Unique</v>
      </c>
      <c r="V3346" s="7" t="str">
        <f aca="false">IF(COUNTIFS($B$2:$B$5001,B3346,$H$2:$H$5001,H3346,$J$2:$J$5001,J3346)&gt;1,"Possible Duplicate Booking","Unique")</f>
        <v>Unique</v>
      </c>
      <c r="W3346" s="7" t="str">
        <f aca="false">IF((H3346-G3346)&lt;&gt;K3346,"Mismatch","OK")</f>
        <v>OK</v>
      </c>
      <c r="X3346" s="7" t="str">
        <f aca="false">IF(TEXT(H3346,"dddd")&lt;&gt;I3346,"Mismatch","OK")</f>
        <v>OK</v>
      </c>
      <c r="Y3346" s="7" t="str">
        <f aca="false">IF(AND(N3346="No",O3346&lt;&gt;""),"Unexpected: channel present but no reminder sent",IF(AND(N3346="Yes",O3346=""),"Missing channel for sent reminder","OK"))</f>
        <v>OK</v>
      </c>
    </row>
    <row r="3347" customFormat="false" ht="15" hidden="false" customHeight="false" outlineLevel="0" collapsed="false">
      <c r="A3347" s="9" t="s">
        <v>4941</v>
      </c>
      <c r="B3347" s="9" t="s">
        <v>4485</v>
      </c>
      <c r="C3347" s="9" t="s">
        <v>47</v>
      </c>
      <c r="D3347" s="9" t="n">
        <v>50</v>
      </c>
      <c r="E3347" s="9" t="s">
        <v>56</v>
      </c>
      <c r="F3347" s="9" t="s">
        <v>74</v>
      </c>
      <c r="G3347" s="10" t="n">
        <v>46012</v>
      </c>
      <c r="H3347" s="10" t="n">
        <v>46072</v>
      </c>
      <c r="I3347" s="9" t="s">
        <v>62</v>
      </c>
      <c r="J3347" s="9" t="s">
        <v>51</v>
      </c>
      <c r="K3347" s="9" t="n">
        <v>60</v>
      </c>
      <c r="L3347" s="9" t="n">
        <v>3</v>
      </c>
      <c r="M3347" s="9" t="n">
        <v>2</v>
      </c>
      <c r="N3347" s="9" t="s">
        <v>71</v>
      </c>
      <c r="O3347" s="9"/>
      <c r="P3347" s="9" t="n">
        <v>12.7</v>
      </c>
      <c r="Q3347" s="9" t="n">
        <v>20</v>
      </c>
      <c r="R3347" s="9" t="s">
        <v>44</v>
      </c>
      <c r="S3347" s="9"/>
      <c r="T3347" s="9"/>
      <c r="U3347" s="9" t="str">
        <f aca="false">IF(COUNTIF($A$2:$A$5001,A3347)&gt;1,"Duplicate","Unique")</f>
        <v>Unique</v>
      </c>
      <c r="V3347" s="9" t="str">
        <f aca="false">IF(COUNTIFS($B$2:$B$5001,B3347,$H$2:$H$5001,H3347,$J$2:$J$5001,J3347)&gt;1,"Possible Duplicate Booking","Unique")</f>
        <v>Unique</v>
      </c>
      <c r="W3347" s="9" t="str">
        <f aca="false">IF((H3347-G3347)&lt;&gt;K3347,"Mismatch","OK")</f>
        <v>OK</v>
      </c>
      <c r="X3347" s="9" t="str">
        <f aca="false">IF(TEXT(H3347,"dddd")&lt;&gt;I3347,"Mismatch","OK")</f>
        <v>OK</v>
      </c>
      <c r="Y3347" s="9" t="str">
        <f aca="false">IF(AND(N3347="No",O3347&lt;&gt;""),"Unexpected: channel present but no reminder sent",IF(AND(N3347="Yes",O3347=""),"Missing channel for sent reminder","OK"))</f>
        <v>OK</v>
      </c>
    </row>
    <row r="3348" customFormat="false" ht="15" hidden="false" customHeight="false" outlineLevel="0" collapsed="false">
      <c r="A3348" s="7" t="s">
        <v>4942</v>
      </c>
      <c r="B3348" s="7" t="s">
        <v>1420</v>
      </c>
      <c r="C3348" s="7" t="s">
        <v>47</v>
      </c>
      <c r="D3348" s="7" t="n">
        <v>48</v>
      </c>
      <c r="E3348" s="7" t="s">
        <v>56</v>
      </c>
      <c r="F3348" s="7" t="s">
        <v>49</v>
      </c>
      <c r="G3348" s="8" t="n">
        <v>45971</v>
      </c>
      <c r="H3348" s="8" t="n">
        <v>45986</v>
      </c>
      <c r="I3348" s="7" t="s">
        <v>40</v>
      </c>
      <c r="J3348" s="7" t="s">
        <v>51</v>
      </c>
      <c r="K3348" s="7" t="n">
        <v>15</v>
      </c>
      <c r="L3348" s="7" t="n">
        <v>5</v>
      </c>
      <c r="M3348" s="7" t="n">
        <v>2</v>
      </c>
      <c r="N3348" s="7" t="s">
        <v>42</v>
      </c>
      <c r="O3348" s="7" t="s">
        <v>52</v>
      </c>
      <c r="P3348" s="7" t="n">
        <v>6.2</v>
      </c>
      <c r="Q3348" s="7" t="n">
        <v>33</v>
      </c>
      <c r="R3348" s="7" t="s">
        <v>44</v>
      </c>
      <c r="S3348" s="7"/>
      <c r="T3348" s="7"/>
      <c r="U3348" s="7" t="str">
        <f aca="false">IF(COUNTIF($A$2:$A$5001,A3348)&gt;1,"Duplicate","Unique")</f>
        <v>Unique</v>
      </c>
      <c r="V3348" s="7" t="str">
        <f aca="false">IF(COUNTIFS($B$2:$B$5001,B3348,$H$2:$H$5001,H3348,$J$2:$J$5001,J3348)&gt;1,"Possible Duplicate Booking","Unique")</f>
        <v>Unique</v>
      </c>
      <c r="W3348" s="7" t="str">
        <f aca="false">IF((H3348-G3348)&lt;&gt;K3348,"Mismatch","OK")</f>
        <v>OK</v>
      </c>
      <c r="X3348" s="7" t="str">
        <f aca="false">IF(TEXT(H3348,"dddd")&lt;&gt;I3348,"Mismatch","OK")</f>
        <v>OK</v>
      </c>
      <c r="Y3348" s="7" t="str">
        <f aca="false">IF(AND(N3348="No",O3348&lt;&gt;""),"Unexpected: channel present but no reminder sent",IF(AND(N3348="Yes",O3348=""),"Missing channel for sent reminder","OK"))</f>
        <v>OK</v>
      </c>
    </row>
    <row r="3349" customFormat="false" ht="15" hidden="false" customHeight="false" outlineLevel="0" collapsed="false">
      <c r="A3349" s="9" t="s">
        <v>4943</v>
      </c>
      <c r="B3349" s="9" t="s">
        <v>162</v>
      </c>
      <c r="C3349" s="9" t="s">
        <v>47</v>
      </c>
      <c r="D3349" s="9" t="n">
        <v>45</v>
      </c>
      <c r="E3349" s="9" t="s">
        <v>56</v>
      </c>
      <c r="F3349" s="9" t="s">
        <v>57</v>
      </c>
      <c r="G3349" s="10" t="n">
        <v>45711</v>
      </c>
      <c r="H3349" s="10" t="n">
        <v>45728</v>
      </c>
      <c r="I3349" s="9" t="s">
        <v>58</v>
      </c>
      <c r="J3349" s="9" t="s">
        <v>51</v>
      </c>
      <c r="K3349" s="9" t="n">
        <v>17</v>
      </c>
      <c r="L3349" s="9" t="n">
        <v>4</v>
      </c>
      <c r="M3349" s="9" t="n">
        <v>0</v>
      </c>
      <c r="N3349" s="9" t="s">
        <v>42</v>
      </c>
      <c r="O3349" s="9" t="s">
        <v>52</v>
      </c>
      <c r="P3349" s="9" t="n">
        <v>14.6</v>
      </c>
      <c r="Q3349" s="9" t="n">
        <v>18</v>
      </c>
      <c r="R3349" s="9" t="s">
        <v>44</v>
      </c>
      <c r="S3349" s="9"/>
      <c r="T3349" s="9"/>
      <c r="U3349" s="9" t="str">
        <f aca="false">IF(COUNTIF($A$2:$A$5001,A3349)&gt;1,"Duplicate","Unique")</f>
        <v>Unique</v>
      </c>
      <c r="V3349" s="9" t="str">
        <f aca="false">IF(COUNTIFS($B$2:$B$5001,B3349,$H$2:$H$5001,H3349,$J$2:$J$5001,J3349)&gt;1,"Possible Duplicate Booking","Unique")</f>
        <v>Unique</v>
      </c>
      <c r="W3349" s="9" t="str">
        <f aca="false">IF((H3349-G3349)&lt;&gt;K3349,"Mismatch","OK")</f>
        <v>OK</v>
      </c>
      <c r="X3349" s="9" t="str">
        <f aca="false">IF(TEXT(H3349,"dddd")&lt;&gt;I3349,"Mismatch","OK")</f>
        <v>OK</v>
      </c>
      <c r="Y3349" s="9" t="str">
        <f aca="false">IF(AND(N3349="No",O3349&lt;&gt;""),"Unexpected: channel present but no reminder sent",IF(AND(N3349="Yes",O3349=""),"Missing channel for sent reminder","OK"))</f>
        <v>OK</v>
      </c>
    </row>
    <row r="3350" customFormat="false" ht="15" hidden="false" customHeight="false" outlineLevel="0" collapsed="false">
      <c r="A3350" s="7" t="s">
        <v>4944</v>
      </c>
      <c r="B3350" s="7" t="s">
        <v>1828</v>
      </c>
      <c r="C3350" s="7" t="s">
        <v>37</v>
      </c>
      <c r="D3350" s="7" t="n">
        <v>58</v>
      </c>
      <c r="E3350" s="7" t="s">
        <v>61</v>
      </c>
      <c r="F3350" s="7" t="s">
        <v>49</v>
      </c>
      <c r="G3350" s="8" t="n">
        <v>45681</v>
      </c>
      <c r="H3350" s="8" t="n">
        <v>45724</v>
      </c>
      <c r="I3350" s="7" t="s">
        <v>102</v>
      </c>
      <c r="J3350" s="7" t="s">
        <v>63</v>
      </c>
      <c r="K3350" s="7" t="n">
        <v>43</v>
      </c>
      <c r="L3350" s="7" t="n">
        <v>3</v>
      </c>
      <c r="M3350" s="7" t="n">
        <v>1</v>
      </c>
      <c r="N3350" s="7" t="s">
        <v>71</v>
      </c>
      <c r="O3350" s="7"/>
      <c r="P3350" s="7" t="n">
        <v>6</v>
      </c>
      <c r="Q3350" s="7" t="n">
        <v>18</v>
      </c>
      <c r="R3350" s="7" t="s">
        <v>53</v>
      </c>
      <c r="S3350" s="7"/>
      <c r="T3350" s="7"/>
      <c r="U3350" s="7" t="str">
        <f aca="false">IF(COUNTIF($A$2:$A$5001,A3350)&gt;1,"Duplicate","Unique")</f>
        <v>Unique</v>
      </c>
      <c r="V3350" s="7" t="str">
        <f aca="false">IF(COUNTIFS($B$2:$B$5001,B3350,$H$2:$H$5001,H3350,$J$2:$J$5001,J3350)&gt;1,"Possible Duplicate Booking","Unique")</f>
        <v>Unique</v>
      </c>
      <c r="W3350" s="7" t="str">
        <f aca="false">IF((H3350-G3350)&lt;&gt;K3350,"Mismatch","OK")</f>
        <v>OK</v>
      </c>
      <c r="X3350" s="7" t="str">
        <f aca="false">IF(TEXT(H3350,"dddd")&lt;&gt;I3350,"Mismatch","OK")</f>
        <v>OK</v>
      </c>
      <c r="Y3350" s="7" t="str">
        <f aca="false">IF(AND(N3350="No",O3350&lt;&gt;""),"Unexpected: channel present but no reminder sent",IF(AND(N3350="Yes",O3350=""),"Missing channel for sent reminder","OK"))</f>
        <v>OK</v>
      </c>
    </row>
    <row r="3351" customFormat="false" ht="15" hidden="false" customHeight="false" outlineLevel="0" collapsed="false">
      <c r="A3351" s="9" t="s">
        <v>4945</v>
      </c>
      <c r="B3351" s="9" t="s">
        <v>270</v>
      </c>
      <c r="C3351" s="9" t="s">
        <v>37</v>
      </c>
      <c r="D3351" s="9" t="n">
        <v>61</v>
      </c>
      <c r="E3351" s="9" t="s">
        <v>61</v>
      </c>
      <c r="F3351" s="9" t="s">
        <v>39</v>
      </c>
      <c r="G3351" s="10" t="n">
        <v>46036</v>
      </c>
      <c r="H3351" s="10" t="n">
        <v>46084</v>
      </c>
      <c r="I3351" s="9" t="s">
        <v>40</v>
      </c>
      <c r="J3351" s="9" t="s">
        <v>63</v>
      </c>
      <c r="K3351" s="9" t="n">
        <v>48</v>
      </c>
      <c r="L3351" s="9" t="n">
        <v>6</v>
      </c>
      <c r="M3351" s="9" t="n">
        <v>1</v>
      </c>
      <c r="N3351" s="9" t="s">
        <v>71</v>
      </c>
      <c r="O3351" s="9"/>
      <c r="P3351" s="9" t="n">
        <v>6.3</v>
      </c>
      <c r="Q3351" s="9" t="n">
        <v>35</v>
      </c>
      <c r="R3351" s="9" t="s">
        <v>44</v>
      </c>
      <c r="S3351" s="9"/>
      <c r="T3351" s="9"/>
      <c r="U3351" s="9" t="str">
        <f aca="false">IF(COUNTIF($A$2:$A$5001,A3351)&gt;1,"Duplicate","Unique")</f>
        <v>Unique</v>
      </c>
      <c r="V3351" s="9" t="str">
        <f aca="false">IF(COUNTIFS($B$2:$B$5001,B3351,$H$2:$H$5001,H3351,$J$2:$J$5001,J3351)&gt;1,"Possible Duplicate Booking","Unique")</f>
        <v>Unique</v>
      </c>
      <c r="W3351" s="9" t="str">
        <f aca="false">IF((H3351-G3351)&lt;&gt;K3351,"Mismatch","OK")</f>
        <v>OK</v>
      </c>
      <c r="X3351" s="9" t="str">
        <f aca="false">IF(TEXT(H3351,"dddd")&lt;&gt;I3351,"Mismatch","OK")</f>
        <v>OK</v>
      </c>
      <c r="Y3351" s="9" t="str">
        <f aca="false">IF(AND(N3351="No",O3351&lt;&gt;""),"Unexpected: channel present but no reminder sent",IF(AND(N3351="Yes",O3351=""),"Missing channel for sent reminder","OK"))</f>
        <v>OK</v>
      </c>
    </row>
    <row r="3352" customFormat="false" ht="15" hidden="false" customHeight="false" outlineLevel="0" collapsed="false">
      <c r="A3352" s="7" t="s">
        <v>4946</v>
      </c>
      <c r="B3352" s="7" t="s">
        <v>2019</v>
      </c>
      <c r="C3352" s="7" t="s">
        <v>37</v>
      </c>
      <c r="D3352" s="7" t="n">
        <v>20</v>
      </c>
      <c r="E3352" s="7" t="s">
        <v>82</v>
      </c>
      <c r="F3352" s="7" t="s">
        <v>39</v>
      </c>
      <c r="G3352" s="8" t="n">
        <v>45737</v>
      </c>
      <c r="H3352" s="8" t="n">
        <v>45744</v>
      </c>
      <c r="I3352" s="7" t="s">
        <v>50</v>
      </c>
      <c r="J3352" s="7" t="s">
        <v>51</v>
      </c>
      <c r="K3352" s="7" t="n">
        <v>7</v>
      </c>
      <c r="L3352" s="7" t="n">
        <v>3</v>
      </c>
      <c r="M3352" s="7" t="n">
        <v>1</v>
      </c>
      <c r="N3352" s="7" t="s">
        <v>42</v>
      </c>
      <c r="O3352" s="7" t="s">
        <v>52</v>
      </c>
      <c r="P3352" s="7" t="n">
        <v>10.3</v>
      </c>
      <c r="Q3352" s="7" t="n">
        <v>16</v>
      </c>
      <c r="R3352" s="7" t="s">
        <v>53</v>
      </c>
      <c r="S3352" s="7"/>
      <c r="T3352" s="7"/>
      <c r="U3352" s="7" t="str">
        <f aca="false">IF(COUNTIF($A$2:$A$5001,A3352)&gt;1,"Duplicate","Unique")</f>
        <v>Unique</v>
      </c>
      <c r="V3352" s="7" t="str">
        <f aca="false">IF(COUNTIFS($B$2:$B$5001,B3352,$H$2:$H$5001,H3352,$J$2:$J$5001,J3352)&gt;1,"Possible Duplicate Booking","Unique")</f>
        <v>Unique</v>
      </c>
      <c r="W3352" s="7" t="str">
        <f aca="false">IF((H3352-G3352)&lt;&gt;K3352,"Mismatch","OK")</f>
        <v>OK</v>
      </c>
      <c r="X3352" s="7" t="str">
        <f aca="false">IF(TEXT(H3352,"dddd")&lt;&gt;I3352,"Mismatch","OK")</f>
        <v>OK</v>
      </c>
      <c r="Y3352" s="7" t="str">
        <f aca="false">IF(AND(N3352="No",O3352&lt;&gt;""),"Unexpected: channel present but no reminder sent",IF(AND(N3352="Yes",O3352=""),"Missing channel for sent reminder","OK"))</f>
        <v>OK</v>
      </c>
    </row>
    <row r="3353" customFormat="false" ht="15" hidden="false" customHeight="false" outlineLevel="0" collapsed="false">
      <c r="A3353" s="9" t="s">
        <v>4947</v>
      </c>
      <c r="B3353" s="9" t="s">
        <v>1603</v>
      </c>
      <c r="C3353" s="9" t="s">
        <v>47</v>
      </c>
      <c r="D3353" s="9" t="n">
        <v>26</v>
      </c>
      <c r="E3353" s="9" t="s">
        <v>48</v>
      </c>
      <c r="F3353" s="9" t="s">
        <v>39</v>
      </c>
      <c r="G3353" s="10" t="n">
        <v>46137</v>
      </c>
      <c r="H3353" s="10" t="n">
        <v>46170</v>
      </c>
      <c r="I3353" s="9" t="s">
        <v>62</v>
      </c>
      <c r="J3353" s="9" t="s">
        <v>51</v>
      </c>
      <c r="K3353" s="9" t="n">
        <v>33</v>
      </c>
      <c r="L3353" s="9" t="n">
        <v>4</v>
      </c>
      <c r="M3353" s="9" t="n">
        <v>0</v>
      </c>
      <c r="N3353" s="9" t="s">
        <v>42</v>
      </c>
      <c r="O3353" s="9" t="s">
        <v>43</v>
      </c>
      <c r="P3353" s="9" t="n">
        <v>3.4</v>
      </c>
      <c r="Q3353" s="9" t="n">
        <v>29</v>
      </c>
      <c r="R3353" s="9" t="s">
        <v>44</v>
      </c>
      <c r="S3353" s="9"/>
      <c r="T3353" s="9"/>
      <c r="U3353" s="9" t="str">
        <f aca="false">IF(COUNTIF($A$2:$A$5001,A3353)&gt;1,"Duplicate","Unique")</f>
        <v>Unique</v>
      </c>
      <c r="V3353" s="9" t="str">
        <f aca="false">IF(COUNTIFS($B$2:$B$5001,B3353,$H$2:$H$5001,H3353,$J$2:$J$5001,J3353)&gt;1,"Possible Duplicate Booking","Unique")</f>
        <v>Unique</v>
      </c>
      <c r="W3353" s="9" t="str">
        <f aca="false">IF((H3353-G3353)&lt;&gt;K3353,"Mismatch","OK")</f>
        <v>OK</v>
      </c>
      <c r="X3353" s="9" t="str">
        <f aca="false">IF(TEXT(H3353,"dddd")&lt;&gt;I3353,"Mismatch","OK")</f>
        <v>OK</v>
      </c>
      <c r="Y3353" s="9" t="str">
        <f aca="false">IF(AND(N3353="No",O3353&lt;&gt;""),"Unexpected: channel present but no reminder sent",IF(AND(N3353="Yes",O3353=""),"Missing channel for sent reminder","OK"))</f>
        <v>OK</v>
      </c>
    </row>
    <row r="3354" customFormat="false" ht="15" hidden="false" customHeight="false" outlineLevel="0" collapsed="false">
      <c r="A3354" s="7" t="s">
        <v>4948</v>
      </c>
      <c r="B3354" s="7" t="s">
        <v>1301</v>
      </c>
      <c r="C3354" s="7" t="s">
        <v>47</v>
      </c>
      <c r="D3354" s="7" t="n">
        <v>39</v>
      </c>
      <c r="E3354" s="7" t="s">
        <v>38</v>
      </c>
      <c r="F3354" s="7" t="s">
        <v>39</v>
      </c>
      <c r="G3354" s="8" t="n">
        <v>45694</v>
      </c>
      <c r="H3354" s="8" t="n">
        <v>45715</v>
      </c>
      <c r="I3354" s="7" t="s">
        <v>62</v>
      </c>
      <c r="J3354" s="7" t="s">
        <v>41</v>
      </c>
      <c r="K3354" s="7" t="n">
        <v>21</v>
      </c>
      <c r="L3354" s="7" t="n">
        <v>3</v>
      </c>
      <c r="M3354" s="7" t="n">
        <v>1</v>
      </c>
      <c r="N3354" s="7" t="s">
        <v>42</v>
      </c>
      <c r="O3354" s="7" t="s">
        <v>52</v>
      </c>
      <c r="P3354" s="7" t="n">
        <v>4.8</v>
      </c>
      <c r="Q3354" s="7" t="n">
        <v>26</v>
      </c>
      <c r="R3354" s="7" t="s">
        <v>44</v>
      </c>
      <c r="S3354" s="7"/>
      <c r="T3354" s="7"/>
      <c r="U3354" s="7" t="str">
        <f aca="false">IF(COUNTIF($A$2:$A$5001,A3354)&gt;1,"Duplicate","Unique")</f>
        <v>Unique</v>
      </c>
      <c r="V3354" s="7" t="str">
        <f aca="false">IF(COUNTIFS($B$2:$B$5001,B3354,$H$2:$H$5001,H3354,$J$2:$J$5001,J3354)&gt;1,"Possible Duplicate Booking","Unique")</f>
        <v>Unique</v>
      </c>
      <c r="W3354" s="7" t="str">
        <f aca="false">IF((H3354-G3354)&lt;&gt;K3354,"Mismatch","OK")</f>
        <v>OK</v>
      </c>
      <c r="X3354" s="7" t="str">
        <f aca="false">IF(TEXT(H3354,"dddd")&lt;&gt;I3354,"Mismatch","OK")</f>
        <v>OK</v>
      </c>
      <c r="Y3354" s="7" t="str">
        <f aca="false">IF(AND(N3354="No",O3354&lt;&gt;""),"Unexpected: channel present but no reminder sent",IF(AND(N3354="Yes",O3354=""),"Missing channel for sent reminder","OK"))</f>
        <v>OK</v>
      </c>
    </row>
    <row r="3355" customFormat="false" ht="15" hidden="false" customHeight="false" outlineLevel="0" collapsed="false">
      <c r="A3355" s="9" t="s">
        <v>4949</v>
      </c>
      <c r="B3355" s="9" t="s">
        <v>1965</v>
      </c>
      <c r="C3355" s="9" t="s">
        <v>47</v>
      </c>
      <c r="D3355" s="9" t="n">
        <v>45</v>
      </c>
      <c r="E3355" s="9" t="s">
        <v>56</v>
      </c>
      <c r="F3355" s="9" t="s">
        <v>49</v>
      </c>
      <c r="G3355" s="10" t="n">
        <v>46018</v>
      </c>
      <c r="H3355" s="10" t="n">
        <v>46055</v>
      </c>
      <c r="I3355" s="9" t="s">
        <v>66</v>
      </c>
      <c r="J3355" s="9" t="s">
        <v>51</v>
      </c>
      <c r="K3355" s="9" t="n">
        <v>37</v>
      </c>
      <c r="L3355" s="9" t="n">
        <v>6</v>
      </c>
      <c r="M3355" s="9" t="n">
        <v>1</v>
      </c>
      <c r="N3355" s="9" t="s">
        <v>71</v>
      </c>
      <c r="O3355" s="9"/>
      <c r="P3355" s="9" t="n">
        <v>13.4</v>
      </c>
      <c r="Q3355" s="9" t="n">
        <v>34</v>
      </c>
      <c r="R3355" s="9" t="s">
        <v>53</v>
      </c>
      <c r="S3355" s="9"/>
      <c r="T3355" s="9"/>
      <c r="U3355" s="9" t="str">
        <f aca="false">IF(COUNTIF($A$2:$A$5001,A3355)&gt;1,"Duplicate","Unique")</f>
        <v>Unique</v>
      </c>
      <c r="V3355" s="9" t="str">
        <f aca="false">IF(COUNTIFS($B$2:$B$5001,B3355,$H$2:$H$5001,H3355,$J$2:$J$5001,J3355)&gt;1,"Possible Duplicate Booking","Unique")</f>
        <v>Unique</v>
      </c>
      <c r="W3355" s="9" t="str">
        <f aca="false">IF((H3355-G3355)&lt;&gt;K3355,"Mismatch","OK")</f>
        <v>OK</v>
      </c>
      <c r="X3355" s="9" t="str">
        <f aca="false">IF(TEXT(H3355,"dddd")&lt;&gt;I3355,"Mismatch","OK")</f>
        <v>OK</v>
      </c>
      <c r="Y3355" s="9" t="str">
        <f aca="false">IF(AND(N3355="No",O3355&lt;&gt;""),"Unexpected: channel present but no reminder sent",IF(AND(N3355="Yes",O3355=""),"Missing channel for sent reminder","OK"))</f>
        <v>OK</v>
      </c>
    </row>
    <row r="3356" customFormat="false" ht="15" hidden="false" customHeight="false" outlineLevel="0" collapsed="false">
      <c r="A3356" s="7" t="s">
        <v>4950</v>
      </c>
      <c r="B3356" s="7" t="s">
        <v>683</v>
      </c>
      <c r="C3356" s="7" t="s">
        <v>47</v>
      </c>
      <c r="D3356" s="7" t="n">
        <v>80</v>
      </c>
      <c r="E3356" s="7" t="s">
        <v>70</v>
      </c>
      <c r="F3356" s="7" t="s">
        <v>74</v>
      </c>
      <c r="G3356" s="8" t="n">
        <v>46157</v>
      </c>
      <c r="H3356" s="8" t="n">
        <v>46190</v>
      </c>
      <c r="I3356" s="7" t="s">
        <v>58</v>
      </c>
      <c r="J3356" s="7" t="s">
        <v>63</v>
      </c>
      <c r="K3356" s="7" t="n">
        <v>33</v>
      </c>
      <c r="L3356" s="7" t="n">
        <v>2</v>
      </c>
      <c r="M3356" s="7" t="n">
        <v>1</v>
      </c>
      <c r="N3356" s="7" t="s">
        <v>42</v>
      </c>
      <c r="O3356" s="7" t="s">
        <v>43</v>
      </c>
      <c r="P3356" s="7" t="n">
        <v>23.8</v>
      </c>
      <c r="Q3356" s="7"/>
      <c r="R3356" s="7" t="s">
        <v>44</v>
      </c>
      <c r="S3356" s="7"/>
      <c r="T3356" s="7"/>
      <c r="U3356" s="7" t="str">
        <f aca="false">IF(COUNTIF($A$2:$A$5001,A3356)&gt;1,"Duplicate","Unique")</f>
        <v>Unique</v>
      </c>
      <c r="V3356" s="7" t="str">
        <f aca="false">IF(COUNTIFS($B$2:$B$5001,B3356,$H$2:$H$5001,H3356,$J$2:$J$5001,J3356)&gt;1,"Possible Duplicate Booking","Unique")</f>
        <v>Unique</v>
      </c>
      <c r="W3356" s="7" t="str">
        <f aca="false">IF((H3356-G3356)&lt;&gt;K3356,"Mismatch","OK")</f>
        <v>OK</v>
      </c>
      <c r="X3356" s="7" t="str">
        <f aca="false">IF(TEXT(H3356,"dddd")&lt;&gt;I3356,"Mismatch","OK")</f>
        <v>OK</v>
      </c>
      <c r="Y3356" s="7" t="str">
        <f aca="false">IF(AND(N3356="No",O3356&lt;&gt;""),"Unexpected: channel present but no reminder sent",IF(AND(N3356="Yes",O3356=""),"Missing channel for sent reminder","OK"))</f>
        <v>OK</v>
      </c>
    </row>
    <row r="3357" customFormat="false" ht="15" hidden="false" customHeight="false" outlineLevel="0" collapsed="false">
      <c r="A3357" s="9" t="s">
        <v>4951</v>
      </c>
      <c r="B3357" s="9" t="s">
        <v>1501</v>
      </c>
      <c r="C3357" s="9" t="s">
        <v>37</v>
      </c>
      <c r="D3357" s="9" t="n">
        <v>74</v>
      </c>
      <c r="E3357" s="9" t="s">
        <v>70</v>
      </c>
      <c r="F3357" s="9" t="s">
        <v>57</v>
      </c>
      <c r="G3357" s="10" t="n">
        <v>45838</v>
      </c>
      <c r="H3357" s="10" t="n">
        <v>45898</v>
      </c>
      <c r="I3357" s="9" t="s">
        <v>50</v>
      </c>
      <c r="J3357" s="9" t="s">
        <v>63</v>
      </c>
      <c r="K3357" s="9" t="n">
        <v>60</v>
      </c>
      <c r="L3357" s="9" t="n">
        <v>5</v>
      </c>
      <c r="M3357" s="9" t="n">
        <v>1</v>
      </c>
      <c r="N3357" s="9" t="s">
        <v>42</v>
      </c>
      <c r="O3357" s="9" t="s">
        <v>52</v>
      </c>
      <c r="P3357" s="9" t="n">
        <v>2</v>
      </c>
      <c r="Q3357" s="9" t="n">
        <v>15</v>
      </c>
      <c r="R3357" s="9" t="s">
        <v>44</v>
      </c>
      <c r="S3357" s="9"/>
      <c r="T3357" s="9"/>
      <c r="U3357" s="9" t="str">
        <f aca="false">IF(COUNTIF($A$2:$A$5001,A3357)&gt;1,"Duplicate","Unique")</f>
        <v>Unique</v>
      </c>
      <c r="V3357" s="9" t="str">
        <f aca="false">IF(COUNTIFS($B$2:$B$5001,B3357,$H$2:$H$5001,H3357,$J$2:$J$5001,J3357)&gt;1,"Possible Duplicate Booking","Unique")</f>
        <v>Unique</v>
      </c>
      <c r="W3357" s="9" t="str">
        <f aca="false">IF((H3357-G3357)&lt;&gt;K3357,"Mismatch","OK")</f>
        <v>OK</v>
      </c>
      <c r="X3357" s="9" t="str">
        <f aca="false">IF(TEXT(H3357,"dddd")&lt;&gt;I3357,"Mismatch","OK")</f>
        <v>OK</v>
      </c>
      <c r="Y3357" s="9" t="str">
        <f aca="false">IF(AND(N3357="No",O3357&lt;&gt;""),"Unexpected: channel present but no reminder sent",IF(AND(N3357="Yes",O3357=""),"Missing channel for sent reminder","OK"))</f>
        <v>OK</v>
      </c>
    </row>
    <row r="3358" customFormat="false" ht="15" hidden="false" customHeight="false" outlineLevel="0" collapsed="false">
      <c r="A3358" s="7" t="s">
        <v>4952</v>
      </c>
      <c r="B3358" s="7" t="s">
        <v>254</v>
      </c>
      <c r="C3358" s="7" t="s">
        <v>37</v>
      </c>
      <c r="D3358" s="7" t="n">
        <v>58</v>
      </c>
      <c r="E3358" s="7" t="s">
        <v>61</v>
      </c>
      <c r="F3358" s="7" t="s">
        <v>39</v>
      </c>
      <c r="G3358" s="8" t="n">
        <v>45632</v>
      </c>
      <c r="H3358" s="8" t="n">
        <v>45688</v>
      </c>
      <c r="I3358" s="7" t="s">
        <v>50</v>
      </c>
      <c r="J3358" s="7" t="s">
        <v>41</v>
      </c>
      <c r="K3358" s="7" t="n">
        <v>56</v>
      </c>
      <c r="L3358" s="7" t="n">
        <v>4</v>
      </c>
      <c r="M3358" s="7" t="n">
        <v>1</v>
      </c>
      <c r="N3358" s="7" t="s">
        <v>42</v>
      </c>
      <c r="O3358" s="7" t="s">
        <v>52</v>
      </c>
      <c r="P3358" s="7" t="n">
        <v>5.7</v>
      </c>
      <c r="Q3358" s="7" t="n">
        <v>17</v>
      </c>
      <c r="R3358" s="7" t="s">
        <v>44</v>
      </c>
      <c r="S3358" s="7"/>
      <c r="T3358" s="7"/>
      <c r="U3358" s="7" t="str">
        <f aca="false">IF(COUNTIF($A$2:$A$5001,A3358)&gt;1,"Duplicate","Unique")</f>
        <v>Unique</v>
      </c>
      <c r="V3358" s="7" t="str">
        <f aca="false">IF(COUNTIFS($B$2:$B$5001,B3358,$H$2:$H$5001,H3358,$J$2:$J$5001,J3358)&gt;1,"Possible Duplicate Booking","Unique")</f>
        <v>Unique</v>
      </c>
      <c r="W3358" s="7" t="str">
        <f aca="false">IF((H3358-G3358)&lt;&gt;K3358,"Mismatch","OK")</f>
        <v>OK</v>
      </c>
      <c r="X3358" s="7" t="str">
        <f aca="false">IF(TEXT(H3358,"dddd")&lt;&gt;I3358,"Mismatch","OK")</f>
        <v>OK</v>
      </c>
      <c r="Y3358" s="7" t="str">
        <f aca="false">IF(AND(N3358="No",O3358&lt;&gt;""),"Unexpected: channel present but no reminder sent",IF(AND(N3358="Yes",O3358=""),"Missing channel for sent reminder","OK"))</f>
        <v>OK</v>
      </c>
    </row>
    <row r="3359" customFormat="false" ht="15" hidden="false" customHeight="false" outlineLevel="0" collapsed="false">
      <c r="A3359" s="9" t="s">
        <v>4953</v>
      </c>
      <c r="B3359" s="9" t="s">
        <v>383</v>
      </c>
      <c r="C3359" s="9" t="s">
        <v>37</v>
      </c>
      <c r="D3359" s="9" t="n">
        <v>20</v>
      </c>
      <c r="E3359" s="9" t="s">
        <v>82</v>
      </c>
      <c r="F3359" s="9" t="s">
        <v>39</v>
      </c>
      <c r="G3359" s="10" t="n">
        <v>46097</v>
      </c>
      <c r="H3359" s="10" t="n">
        <v>46136</v>
      </c>
      <c r="I3359" s="9" t="s">
        <v>50</v>
      </c>
      <c r="J3359" s="9" t="s">
        <v>51</v>
      </c>
      <c r="K3359" s="9" t="n">
        <v>39</v>
      </c>
      <c r="L3359" s="9" t="n">
        <v>3</v>
      </c>
      <c r="M3359" s="9" t="n">
        <v>0</v>
      </c>
      <c r="N3359" s="9" t="s">
        <v>42</v>
      </c>
      <c r="O3359" s="9" t="s">
        <v>52</v>
      </c>
      <c r="P3359" s="9" t="n">
        <v>11.9</v>
      </c>
      <c r="Q3359" s="9" t="n">
        <v>42</v>
      </c>
      <c r="R3359" s="9" t="s">
        <v>44</v>
      </c>
      <c r="S3359" s="9"/>
      <c r="T3359" s="9"/>
      <c r="U3359" s="9" t="str">
        <f aca="false">IF(COUNTIF($A$2:$A$5001,A3359)&gt;1,"Duplicate","Unique")</f>
        <v>Unique</v>
      </c>
      <c r="V3359" s="9" t="str">
        <f aca="false">IF(COUNTIFS($B$2:$B$5001,B3359,$H$2:$H$5001,H3359,$J$2:$J$5001,J3359)&gt;1,"Possible Duplicate Booking","Unique")</f>
        <v>Unique</v>
      </c>
      <c r="W3359" s="9" t="str">
        <f aca="false">IF((H3359-G3359)&lt;&gt;K3359,"Mismatch","OK")</f>
        <v>OK</v>
      </c>
      <c r="X3359" s="9" t="str">
        <f aca="false">IF(TEXT(H3359,"dddd")&lt;&gt;I3359,"Mismatch","OK")</f>
        <v>OK</v>
      </c>
      <c r="Y3359" s="9" t="str">
        <f aca="false">IF(AND(N3359="No",O3359&lt;&gt;""),"Unexpected: channel present but no reminder sent",IF(AND(N3359="Yes",O3359=""),"Missing channel for sent reminder","OK"))</f>
        <v>OK</v>
      </c>
    </row>
    <row r="3360" customFormat="false" ht="15" hidden="false" customHeight="false" outlineLevel="0" collapsed="false">
      <c r="A3360" s="7" t="s">
        <v>4954</v>
      </c>
      <c r="B3360" s="7" t="s">
        <v>3683</v>
      </c>
      <c r="C3360" s="7" t="s">
        <v>37</v>
      </c>
      <c r="D3360" s="7" t="n">
        <v>24</v>
      </c>
      <c r="E3360" s="7" t="s">
        <v>82</v>
      </c>
      <c r="F3360" s="7" t="s">
        <v>39</v>
      </c>
      <c r="G3360" s="8" t="n">
        <v>45719</v>
      </c>
      <c r="H3360" s="8" t="n">
        <v>45760</v>
      </c>
      <c r="I3360" s="7" t="s">
        <v>75</v>
      </c>
      <c r="J3360" s="7" t="s">
        <v>41</v>
      </c>
      <c r="K3360" s="7" t="n">
        <v>41</v>
      </c>
      <c r="L3360" s="7" t="n">
        <v>2</v>
      </c>
      <c r="M3360" s="7" t="n">
        <v>0</v>
      </c>
      <c r="N3360" s="7" t="s">
        <v>42</v>
      </c>
      <c r="O3360" s="7" t="s">
        <v>52</v>
      </c>
      <c r="P3360" s="7" t="n">
        <v>2.4</v>
      </c>
      <c r="Q3360" s="7" t="n">
        <v>18</v>
      </c>
      <c r="R3360" s="7" t="s">
        <v>53</v>
      </c>
      <c r="S3360" s="7"/>
      <c r="T3360" s="7"/>
      <c r="U3360" s="7" t="str">
        <f aca="false">IF(COUNTIF($A$2:$A$5001,A3360)&gt;1,"Duplicate","Unique")</f>
        <v>Unique</v>
      </c>
      <c r="V3360" s="7" t="str">
        <f aca="false">IF(COUNTIFS($B$2:$B$5001,B3360,$H$2:$H$5001,H3360,$J$2:$J$5001,J3360)&gt;1,"Possible Duplicate Booking","Unique")</f>
        <v>Unique</v>
      </c>
      <c r="W3360" s="7" t="str">
        <f aca="false">IF((H3360-G3360)&lt;&gt;K3360,"Mismatch","OK")</f>
        <v>OK</v>
      </c>
      <c r="X3360" s="7" t="str">
        <f aca="false">IF(TEXT(H3360,"dddd")&lt;&gt;I3360,"Mismatch","OK")</f>
        <v>OK</v>
      </c>
      <c r="Y3360" s="7" t="str">
        <f aca="false">IF(AND(N3360="No",O3360&lt;&gt;""),"Unexpected: channel present but no reminder sent",IF(AND(N3360="Yes",O3360=""),"Missing channel for sent reminder","OK"))</f>
        <v>OK</v>
      </c>
    </row>
    <row r="3361" customFormat="false" ht="15" hidden="false" customHeight="false" outlineLevel="0" collapsed="false">
      <c r="A3361" s="9" t="s">
        <v>4955</v>
      </c>
      <c r="B3361" s="9" t="s">
        <v>4956</v>
      </c>
      <c r="C3361" s="9" t="s">
        <v>37</v>
      </c>
      <c r="D3361" s="9" t="n">
        <v>46</v>
      </c>
      <c r="E3361" s="9" t="s">
        <v>56</v>
      </c>
      <c r="F3361" s="9" t="s">
        <v>39</v>
      </c>
      <c r="G3361" s="10" t="n">
        <v>45891</v>
      </c>
      <c r="H3361" s="10" t="n">
        <v>45945</v>
      </c>
      <c r="I3361" s="9" t="s">
        <v>58</v>
      </c>
      <c r="J3361" s="9" t="s">
        <v>63</v>
      </c>
      <c r="K3361" s="9" t="n">
        <v>54</v>
      </c>
      <c r="L3361" s="9" t="n">
        <v>4</v>
      </c>
      <c r="M3361" s="9" t="n">
        <v>2</v>
      </c>
      <c r="N3361" s="9" t="s">
        <v>42</v>
      </c>
      <c r="O3361" s="9" t="s">
        <v>52</v>
      </c>
      <c r="P3361" s="9" t="n">
        <v>7.7</v>
      </c>
      <c r="Q3361" s="9" t="n">
        <v>17</v>
      </c>
      <c r="R3361" s="9" t="s">
        <v>44</v>
      </c>
      <c r="S3361" s="9"/>
      <c r="T3361" s="9"/>
      <c r="U3361" s="9" t="str">
        <f aca="false">IF(COUNTIF($A$2:$A$5001,A3361)&gt;1,"Duplicate","Unique")</f>
        <v>Unique</v>
      </c>
      <c r="V3361" s="9" t="str">
        <f aca="false">IF(COUNTIFS($B$2:$B$5001,B3361,$H$2:$H$5001,H3361,$J$2:$J$5001,J3361)&gt;1,"Possible Duplicate Booking","Unique")</f>
        <v>Unique</v>
      </c>
      <c r="W3361" s="9" t="str">
        <f aca="false">IF((H3361-G3361)&lt;&gt;K3361,"Mismatch","OK")</f>
        <v>OK</v>
      </c>
      <c r="X3361" s="9" t="str">
        <f aca="false">IF(TEXT(H3361,"dddd")&lt;&gt;I3361,"Mismatch","OK")</f>
        <v>OK</v>
      </c>
      <c r="Y3361" s="9" t="str">
        <f aca="false">IF(AND(N3361="No",O3361&lt;&gt;""),"Unexpected: channel present but no reminder sent",IF(AND(N3361="Yes",O3361=""),"Missing channel for sent reminder","OK"))</f>
        <v>OK</v>
      </c>
    </row>
    <row r="3362" customFormat="false" ht="15" hidden="false" customHeight="false" outlineLevel="0" collapsed="false">
      <c r="A3362" s="7" t="s">
        <v>4957</v>
      </c>
      <c r="B3362" s="7" t="s">
        <v>1280</v>
      </c>
      <c r="C3362" s="7" t="s">
        <v>37</v>
      </c>
      <c r="D3362" s="7" t="n">
        <v>54</v>
      </c>
      <c r="E3362" s="7" t="s">
        <v>56</v>
      </c>
      <c r="F3362" s="7" t="s">
        <v>57</v>
      </c>
      <c r="G3362" s="8" t="n">
        <v>46184</v>
      </c>
      <c r="H3362" s="8" t="n">
        <v>46195</v>
      </c>
      <c r="I3362" s="7" t="s">
        <v>66</v>
      </c>
      <c r="J3362" s="7" t="s">
        <v>51</v>
      </c>
      <c r="K3362" s="7" t="n">
        <v>11</v>
      </c>
      <c r="L3362" s="7" t="n">
        <v>4</v>
      </c>
      <c r="M3362" s="7" t="n">
        <v>1</v>
      </c>
      <c r="N3362" s="7" t="s">
        <v>42</v>
      </c>
      <c r="O3362" s="7" t="s">
        <v>43</v>
      </c>
      <c r="P3362" s="7" t="n">
        <v>11</v>
      </c>
      <c r="Q3362" s="7" t="n">
        <v>19</v>
      </c>
      <c r="R3362" s="7" t="s">
        <v>53</v>
      </c>
      <c r="S3362" s="7"/>
      <c r="T3362" s="7"/>
      <c r="U3362" s="7" t="str">
        <f aca="false">IF(COUNTIF($A$2:$A$5001,A3362)&gt;1,"Duplicate","Unique")</f>
        <v>Unique</v>
      </c>
      <c r="V3362" s="7" t="str">
        <f aca="false">IF(COUNTIFS($B$2:$B$5001,B3362,$H$2:$H$5001,H3362,$J$2:$J$5001,J3362)&gt;1,"Possible Duplicate Booking","Unique")</f>
        <v>Unique</v>
      </c>
      <c r="W3362" s="7" t="str">
        <f aca="false">IF((H3362-G3362)&lt;&gt;K3362,"Mismatch","OK")</f>
        <v>OK</v>
      </c>
      <c r="X3362" s="7" t="str">
        <f aca="false">IF(TEXT(H3362,"dddd")&lt;&gt;I3362,"Mismatch","OK")</f>
        <v>OK</v>
      </c>
      <c r="Y3362" s="7" t="str">
        <f aca="false">IF(AND(N3362="No",O3362&lt;&gt;""),"Unexpected: channel present but no reminder sent",IF(AND(N3362="Yes",O3362=""),"Missing channel for sent reminder","OK"))</f>
        <v>OK</v>
      </c>
    </row>
    <row r="3363" customFormat="false" ht="15" hidden="false" customHeight="false" outlineLevel="0" collapsed="false">
      <c r="A3363" s="9" t="s">
        <v>4958</v>
      </c>
      <c r="B3363" s="9" t="s">
        <v>4934</v>
      </c>
      <c r="C3363" s="9" t="s">
        <v>47</v>
      </c>
      <c r="D3363" s="9" t="n">
        <v>59</v>
      </c>
      <c r="E3363" s="9" t="s">
        <v>61</v>
      </c>
      <c r="F3363" s="9" t="s">
        <v>49</v>
      </c>
      <c r="G3363" s="10" t="n">
        <v>46020</v>
      </c>
      <c r="H3363" s="10" t="n">
        <v>46064</v>
      </c>
      <c r="I3363" s="9" t="s">
        <v>58</v>
      </c>
      <c r="J3363" s="9" t="s">
        <v>63</v>
      </c>
      <c r="K3363" s="9" t="n">
        <v>44</v>
      </c>
      <c r="L3363" s="9" t="n">
        <v>1</v>
      </c>
      <c r="M3363" s="9" t="n">
        <v>0</v>
      </c>
      <c r="N3363" s="9" t="s">
        <v>42</v>
      </c>
      <c r="O3363" s="9" t="s">
        <v>52</v>
      </c>
      <c r="P3363" s="9" t="n">
        <v>9.2</v>
      </c>
      <c r="Q3363" s="9" t="n">
        <v>21</v>
      </c>
      <c r="R3363" s="9" t="s">
        <v>53</v>
      </c>
      <c r="S3363" s="9"/>
      <c r="T3363" s="9"/>
      <c r="U3363" s="9" t="str">
        <f aca="false">IF(COUNTIF($A$2:$A$5001,A3363)&gt;1,"Duplicate","Unique")</f>
        <v>Unique</v>
      </c>
      <c r="V3363" s="9" t="str">
        <f aca="false">IF(COUNTIFS($B$2:$B$5001,B3363,$H$2:$H$5001,H3363,$J$2:$J$5001,J3363)&gt;1,"Possible Duplicate Booking","Unique")</f>
        <v>Unique</v>
      </c>
      <c r="W3363" s="9" t="str">
        <f aca="false">IF((H3363-G3363)&lt;&gt;K3363,"Mismatch","OK")</f>
        <v>OK</v>
      </c>
      <c r="X3363" s="9" t="str">
        <f aca="false">IF(TEXT(H3363,"dddd")&lt;&gt;I3363,"Mismatch","OK")</f>
        <v>OK</v>
      </c>
      <c r="Y3363" s="9" t="str">
        <f aca="false">IF(AND(N3363="No",O3363&lt;&gt;""),"Unexpected: channel present but no reminder sent",IF(AND(N3363="Yes",O3363=""),"Missing channel for sent reminder","OK"))</f>
        <v>OK</v>
      </c>
    </row>
    <row r="3364" customFormat="false" ht="15" hidden="false" customHeight="false" outlineLevel="0" collapsed="false">
      <c r="A3364" s="7" t="s">
        <v>4959</v>
      </c>
      <c r="B3364" s="7" t="s">
        <v>170</v>
      </c>
      <c r="C3364" s="7" t="s">
        <v>37</v>
      </c>
      <c r="D3364" s="7" t="n">
        <v>26</v>
      </c>
      <c r="E3364" s="7" t="s">
        <v>48</v>
      </c>
      <c r="F3364" s="7" t="s">
        <v>57</v>
      </c>
      <c r="G3364" s="8" t="n">
        <v>45636</v>
      </c>
      <c r="H3364" s="8" t="n">
        <v>45683</v>
      </c>
      <c r="I3364" s="7" t="s">
        <v>75</v>
      </c>
      <c r="J3364" s="7" t="s">
        <v>51</v>
      </c>
      <c r="K3364" s="7" t="n">
        <v>47</v>
      </c>
      <c r="L3364" s="7" t="n">
        <v>4</v>
      </c>
      <c r="M3364" s="7" t="n">
        <v>1</v>
      </c>
      <c r="N3364" s="7" t="s">
        <v>42</v>
      </c>
      <c r="O3364" s="7" t="s">
        <v>52</v>
      </c>
      <c r="P3364" s="7" t="n">
        <v>6.6</v>
      </c>
      <c r="Q3364" s="7" t="n">
        <v>20</v>
      </c>
      <c r="R3364" s="7" t="s">
        <v>53</v>
      </c>
      <c r="S3364" s="7"/>
      <c r="T3364" s="7"/>
      <c r="U3364" s="7" t="str">
        <f aca="false">IF(COUNTIF($A$2:$A$5001,A3364)&gt;1,"Duplicate","Unique")</f>
        <v>Unique</v>
      </c>
      <c r="V3364" s="7" t="str">
        <f aca="false">IF(COUNTIFS($B$2:$B$5001,B3364,$H$2:$H$5001,H3364,$J$2:$J$5001,J3364)&gt;1,"Possible Duplicate Booking","Unique")</f>
        <v>Unique</v>
      </c>
      <c r="W3364" s="7" t="str">
        <f aca="false">IF((H3364-G3364)&lt;&gt;K3364,"Mismatch","OK")</f>
        <v>OK</v>
      </c>
      <c r="X3364" s="7" t="str">
        <f aca="false">IF(TEXT(H3364,"dddd")&lt;&gt;I3364,"Mismatch","OK")</f>
        <v>OK</v>
      </c>
      <c r="Y3364" s="7" t="str">
        <f aca="false">IF(AND(N3364="No",O3364&lt;&gt;""),"Unexpected: channel present but no reminder sent",IF(AND(N3364="Yes",O3364=""),"Missing channel for sent reminder","OK"))</f>
        <v>OK</v>
      </c>
    </row>
    <row r="3365" customFormat="false" ht="15" hidden="false" customHeight="false" outlineLevel="0" collapsed="false">
      <c r="A3365" s="9" t="s">
        <v>4960</v>
      </c>
      <c r="B3365" s="9" t="s">
        <v>2594</v>
      </c>
      <c r="C3365" s="9" t="s">
        <v>37</v>
      </c>
      <c r="D3365" s="9" t="n">
        <v>73</v>
      </c>
      <c r="E3365" s="9" t="s">
        <v>70</v>
      </c>
      <c r="F3365" s="9" t="s">
        <v>57</v>
      </c>
      <c r="G3365" s="10" t="n">
        <v>46098</v>
      </c>
      <c r="H3365" s="10" t="n">
        <v>46105</v>
      </c>
      <c r="I3365" s="9" t="s">
        <v>40</v>
      </c>
      <c r="J3365" s="9" t="s">
        <v>63</v>
      </c>
      <c r="K3365" s="9" t="n">
        <v>7</v>
      </c>
      <c r="L3365" s="9" t="n">
        <v>2</v>
      </c>
      <c r="M3365" s="9" t="n">
        <v>1</v>
      </c>
      <c r="N3365" s="9" t="s">
        <v>42</v>
      </c>
      <c r="O3365" s="9" t="s">
        <v>52</v>
      </c>
      <c r="P3365" s="9" t="n">
        <v>3</v>
      </c>
      <c r="Q3365" s="9" t="n">
        <v>30</v>
      </c>
      <c r="R3365" s="9" t="s">
        <v>53</v>
      </c>
      <c r="S3365" s="9"/>
      <c r="T3365" s="9"/>
      <c r="U3365" s="9" t="str">
        <f aca="false">IF(COUNTIF($A$2:$A$5001,A3365)&gt;1,"Duplicate","Unique")</f>
        <v>Unique</v>
      </c>
      <c r="V3365" s="9" t="str">
        <f aca="false">IF(COUNTIFS($B$2:$B$5001,B3365,$H$2:$H$5001,H3365,$J$2:$J$5001,J3365)&gt;1,"Possible Duplicate Booking","Unique")</f>
        <v>Unique</v>
      </c>
      <c r="W3365" s="9" t="str">
        <f aca="false">IF((H3365-G3365)&lt;&gt;K3365,"Mismatch","OK")</f>
        <v>OK</v>
      </c>
      <c r="X3365" s="9" t="str">
        <f aca="false">IF(TEXT(H3365,"dddd")&lt;&gt;I3365,"Mismatch","OK")</f>
        <v>OK</v>
      </c>
      <c r="Y3365" s="9" t="str">
        <f aca="false">IF(AND(N3365="No",O3365&lt;&gt;""),"Unexpected: channel present but no reminder sent",IF(AND(N3365="Yes",O3365=""),"Missing channel for sent reminder","OK"))</f>
        <v>OK</v>
      </c>
    </row>
    <row r="3366" customFormat="false" ht="15" hidden="false" customHeight="false" outlineLevel="0" collapsed="false">
      <c r="A3366" s="7" t="s">
        <v>4961</v>
      </c>
      <c r="B3366" s="7" t="s">
        <v>3568</v>
      </c>
      <c r="C3366" s="7" t="s">
        <v>37</v>
      </c>
      <c r="D3366" s="7" t="n">
        <v>49</v>
      </c>
      <c r="E3366" s="7" t="s">
        <v>56</v>
      </c>
      <c r="F3366" s="7" t="s">
        <v>39</v>
      </c>
      <c r="G3366" s="8" t="n">
        <v>45693</v>
      </c>
      <c r="H3366" s="8" t="n">
        <v>45746</v>
      </c>
      <c r="I3366" s="7" t="s">
        <v>75</v>
      </c>
      <c r="J3366" s="7" t="s">
        <v>41</v>
      </c>
      <c r="K3366" s="7" t="n">
        <v>53</v>
      </c>
      <c r="L3366" s="7" t="n">
        <v>3</v>
      </c>
      <c r="M3366" s="7" t="n">
        <v>1</v>
      </c>
      <c r="N3366" s="7" t="s">
        <v>42</v>
      </c>
      <c r="O3366" s="7" t="s">
        <v>43</v>
      </c>
      <c r="P3366" s="7" t="n">
        <v>33.3</v>
      </c>
      <c r="Q3366" s="7" t="n">
        <v>25</v>
      </c>
      <c r="R3366" s="7" t="s">
        <v>44</v>
      </c>
      <c r="S3366" s="7"/>
      <c r="T3366" s="7"/>
      <c r="U3366" s="7" t="str">
        <f aca="false">IF(COUNTIF($A$2:$A$5001,A3366)&gt;1,"Duplicate","Unique")</f>
        <v>Unique</v>
      </c>
      <c r="V3366" s="7" t="str">
        <f aca="false">IF(COUNTIFS($B$2:$B$5001,B3366,$H$2:$H$5001,H3366,$J$2:$J$5001,J3366)&gt;1,"Possible Duplicate Booking","Unique")</f>
        <v>Unique</v>
      </c>
      <c r="W3366" s="7" t="str">
        <f aca="false">IF((H3366-G3366)&lt;&gt;K3366,"Mismatch","OK")</f>
        <v>OK</v>
      </c>
      <c r="X3366" s="7" t="str">
        <f aca="false">IF(TEXT(H3366,"dddd")&lt;&gt;I3366,"Mismatch","OK")</f>
        <v>OK</v>
      </c>
      <c r="Y3366" s="7" t="str">
        <f aca="false">IF(AND(N3366="No",O3366&lt;&gt;""),"Unexpected: channel present but no reminder sent",IF(AND(N3366="Yes",O3366=""),"Missing channel for sent reminder","OK"))</f>
        <v>OK</v>
      </c>
    </row>
    <row r="3367" customFormat="false" ht="15" hidden="false" customHeight="false" outlineLevel="0" collapsed="false">
      <c r="A3367" s="9" t="s">
        <v>4962</v>
      </c>
      <c r="B3367" s="9" t="s">
        <v>3426</v>
      </c>
      <c r="C3367" s="9" t="s">
        <v>37</v>
      </c>
      <c r="D3367" s="9" t="n">
        <v>55</v>
      </c>
      <c r="E3367" s="9" t="s">
        <v>61</v>
      </c>
      <c r="F3367" s="9" t="s">
        <v>57</v>
      </c>
      <c r="G3367" s="10" t="n">
        <v>46025</v>
      </c>
      <c r="H3367" s="10" t="n">
        <v>46067</v>
      </c>
      <c r="I3367" s="9" t="s">
        <v>102</v>
      </c>
      <c r="J3367" s="9" t="s">
        <v>51</v>
      </c>
      <c r="K3367" s="9" t="n">
        <v>42</v>
      </c>
      <c r="L3367" s="9" t="n">
        <v>3</v>
      </c>
      <c r="M3367" s="9" t="n">
        <v>0</v>
      </c>
      <c r="N3367" s="9" t="s">
        <v>71</v>
      </c>
      <c r="O3367" s="9"/>
      <c r="P3367" s="9" t="n">
        <v>5.5</v>
      </c>
      <c r="Q3367" s="9" t="n">
        <v>18</v>
      </c>
      <c r="R3367" s="9" t="s">
        <v>87</v>
      </c>
      <c r="S3367" s="9"/>
      <c r="T3367" s="9"/>
      <c r="U3367" s="9" t="str">
        <f aca="false">IF(COUNTIF($A$2:$A$5001,A3367)&gt;1,"Duplicate","Unique")</f>
        <v>Unique</v>
      </c>
      <c r="V3367" s="9" t="str">
        <f aca="false">IF(COUNTIFS($B$2:$B$5001,B3367,$H$2:$H$5001,H3367,$J$2:$J$5001,J3367)&gt;1,"Possible Duplicate Booking","Unique")</f>
        <v>Unique</v>
      </c>
      <c r="W3367" s="9" t="str">
        <f aca="false">IF((H3367-G3367)&lt;&gt;K3367,"Mismatch","OK")</f>
        <v>OK</v>
      </c>
      <c r="X3367" s="9" t="str">
        <f aca="false">IF(TEXT(H3367,"dddd")&lt;&gt;I3367,"Mismatch","OK")</f>
        <v>OK</v>
      </c>
      <c r="Y3367" s="9" t="str">
        <f aca="false">IF(AND(N3367="No",O3367&lt;&gt;""),"Unexpected: channel present but no reminder sent",IF(AND(N3367="Yes",O3367=""),"Missing channel for sent reminder","OK"))</f>
        <v>OK</v>
      </c>
    </row>
    <row r="3368" customFormat="false" ht="15" hidden="false" customHeight="false" outlineLevel="0" collapsed="false">
      <c r="A3368" s="7" t="s">
        <v>4963</v>
      </c>
      <c r="B3368" s="7" t="s">
        <v>1688</v>
      </c>
      <c r="C3368" s="7" t="s">
        <v>37</v>
      </c>
      <c r="D3368" s="7" t="n">
        <v>20</v>
      </c>
      <c r="E3368" s="7" t="s">
        <v>82</v>
      </c>
      <c r="F3368" s="7" t="s">
        <v>57</v>
      </c>
      <c r="G3368" s="8" t="n">
        <v>45976</v>
      </c>
      <c r="H3368" s="8" t="n">
        <v>45997</v>
      </c>
      <c r="I3368" s="7" t="s">
        <v>102</v>
      </c>
      <c r="J3368" s="7" t="s">
        <v>41</v>
      </c>
      <c r="K3368" s="7" t="n">
        <v>21</v>
      </c>
      <c r="L3368" s="7" t="n">
        <v>7</v>
      </c>
      <c r="M3368" s="7" t="n">
        <v>2</v>
      </c>
      <c r="N3368" s="7" t="s">
        <v>71</v>
      </c>
      <c r="O3368" s="7"/>
      <c r="P3368" s="7" t="n">
        <v>15.2</v>
      </c>
      <c r="Q3368" s="7" t="n">
        <v>32</v>
      </c>
      <c r="R3368" s="7" t="s">
        <v>53</v>
      </c>
      <c r="S3368" s="7"/>
      <c r="T3368" s="7"/>
      <c r="U3368" s="7" t="str">
        <f aca="false">IF(COUNTIF($A$2:$A$5001,A3368)&gt;1,"Duplicate","Unique")</f>
        <v>Unique</v>
      </c>
      <c r="V3368" s="7" t="str">
        <f aca="false">IF(COUNTIFS($B$2:$B$5001,B3368,$H$2:$H$5001,H3368,$J$2:$J$5001,J3368)&gt;1,"Possible Duplicate Booking","Unique")</f>
        <v>Unique</v>
      </c>
      <c r="W3368" s="7" t="str">
        <f aca="false">IF((H3368-G3368)&lt;&gt;K3368,"Mismatch","OK")</f>
        <v>OK</v>
      </c>
      <c r="X3368" s="7" t="str">
        <f aca="false">IF(TEXT(H3368,"dddd")&lt;&gt;I3368,"Mismatch","OK")</f>
        <v>OK</v>
      </c>
      <c r="Y3368" s="7" t="str">
        <f aca="false">IF(AND(N3368="No",O3368&lt;&gt;""),"Unexpected: channel present but no reminder sent",IF(AND(N3368="Yes",O3368=""),"Missing channel for sent reminder","OK"))</f>
        <v>OK</v>
      </c>
    </row>
    <row r="3369" customFormat="false" ht="15" hidden="false" customHeight="false" outlineLevel="0" collapsed="false">
      <c r="A3369" s="9" t="s">
        <v>4964</v>
      </c>
      <c r="B3369" s="9" t="s">
        <v>304</v>
      </c>
      <c r="C3369" s="9" t="s">
        <v>37</v>
      </c>
      <c r="D3369" s="9" t="n">
        <v>69</v>
      </c>
      <c r="E3369" s="9" t="s">
        <v>70</v>
      </c>
      <c r="F3369" s="9" t="s">
        <v>57</v>
      </c>
      <c r="G3369" s="10" t="n">
        <v>45786</v>
      </c>
      <c r="H3369" s="10" t="n">
        <v>45815</v>
      </c>
      <c r="I3369" s="9" t="s">
        <v>102</v>
      </c>
      <c r="J3369" s="9" t="s">
        <v>51</v>
      </c>
      <c r="K3369" s="9" t="n">
        <v>29</v>
      </c>
      <c r="L3369" s="9" t="n">
        <v>1</v>
      </c>
      <c r="M3369" s="9" t="n">
        <v>0</v>
      </c>
      <c r="N3369" s="9" t="s">
        <v>42</v>
      </c>
      <c r="O3369" s="9" t="s">
        <v>52</v>
      </c>
      <c r="P3369" s="9" t="n">
        <v>13.6</v>
      </c>
      <c r="Q3369" s="9" t="n">
        <v>27</v>
      </c>
      <c r="R3369" s="9" t="s">
        <v>53</v>
      </c>
      <c r="S3369" s="9"/>
      <c r="T3369" s="9"/>
      <c r="U3369" s="9" t="str">
        <f aca="false">IF(COUNTIF($A$2:$A$5001,A3369)&gt;1,"Duplicate","Unique")</f>
        <v>Unique</v>
      </c>
      <c r="V3369" s="9" t="str">
        <f aca="false">IF(COUNTIFS($B$2:$B$5001,B3369,$H$2:$H$5001,H3369,$J$2:$J$5001,J3369)&gt;1,"Possible Duplicate Booking","Unique")</f>
        <v>Unique</v>
      </c>
      <c r="W3369" s="9" t="str">
        <f aca="false">IF((H3369-G3369)&lt;&gt;K3369,"Mismatch","OK")</f>
        <v>OK</v>
      </c>
      <c r="X3369" s="9" t="str">
        <f aca="false">IF(TEXT(H3369,"dddd")&lt;&gt;I3369,"Mismatch","OK")</f>
        <v>OK</v>
      </c>
      <c r="Y3369" s="9" t="str">
        <f aca="false">IF(AND(N3369="No",O3369&lt;&gt;""),"Unexpected: channel present but no reminder sent",IF(AND(N3369="Yes",O3369=""),"Missing channel for sent reminder","OK"))</f>
        <v>OK</v>
      </c>
    </row>
    <row r="3370" customFormat="false" ht="15" hidden="false" customHeight="false" outlineLevel="0" collapsed="false">
      <c r="A3370" s="7" t="s">
        <v>4965</v>
      </c>
      <c r="B3370" s="7" t="s">
        <v>1550</v>
      </c>
      <c r="C3370" s="7" t="s">
        <v>37</v>
      </c>
      <c r="D3370" s="7" t="n">
        <v>52</v>
      </c>
      <c r="E3370" s="7" t="s">
        <v>56</v>
      </c>
      <c r="F3370" s="7" t="s">
        <v>39</v>
      </c>
      <c r="G3370" s="8" t="n">
        <v>45860</v>
      </c>
      <c r="H3370" s="8" t="n">
        <v>45889</v>
      </c>
      <c r="I3370" s="7" t="s">
        <v>58</v>
      </c>
      <c r="J3370" s="7" t="s">
        <v>51</v>
      </c>
      <c r="K3370" s="7" t="n">
        <v>29</v>
      </c>
      <c r="L3370" s="7" t="n">
        <v>2</v>
      </c>
      <c r="M3370" s="7" t="n">
        <v>0</v>
      </c>
      <c r="N3370" s="7" t="s">
        <v>71</v>
      </c>
      <c r="O3370" s="7"/>
      <c r="P3370" s="7" t="n">
        <v>7.8</v>
      </c>
      <c r="Q3370" s="7" t="n">
        <v>39</v>
      </c>
      <c r="R3370" s="7" t="s">
        <v>44</v>
      </c>
      <c r="S3370" s="7"/>
      <c r="T3370" s="7"/>
      <c r="U3370" s="7" t="str">
        <f aca="false">IF(COUNTIF($A$2:$A$5001,A3370)&gt;1,"Duplicate","Unique")</f>
        <v>Unique</v>
      </c>
      <c r="V3370" s="7" t="str">
        <f aca="false">IF(COUNTIFS($B$2:$B$5001,B3370,$H$2:$H$5001,H3370,$J$2:$J$5001,J3370)&gt;1,"Possible Duplicate Booking","Unique")</f>
        <v>Unique</v>
      </c>
      <c r="W3370" s="7" t="str">
        <f aca="false">IF((H3370-G3370)&lt;&gt;K3370,"Mismatch","OK")</f>
        <v>OK</v>
      </c>
      <c r="X3370" s="7" t="str">
        <f aca="false">IF(TEXT(H3370,"dddd")&lt;&gt;I3370,"Mismatch","OK")</f>
        <v>OK</v>
      </c>
      <c r="Y3370" s="7" t="str">
        <f aca="false">IF(AND(N3370="No",O3370&lt;&gt;""),"Unexpected: channel present but no reminder sent",IF(AND(N3370="Yes",O3370=""),"Missing channel for sent reminder","OK"))</f>
        <v>OK</v>
      </c>
    </row>
    <row r="3371" customFormat="false" ht="15" hidden="false" customHeight="false" outlineLevel="0" collapsed="false">
      <c r="A3371" s="9" t="s">
        <v>4966</v>
      </c>
      <c r="B3371" s="9" t="s">
        <v>2982</v>
      </c>
      <c r="C3371" s="9" t="s">
        <v>236</v>
      </c>
      <c r="D3371" s="9" t="n">
        <v>32</v>
      </c>
      <c r="E3371" s="9" t="s">
        <v>48</v>
      </c>
      <c r="F3371" s="9" t="s">
        <v>74</v>
      </c>
      <c r="G3371" s="10" t="n">
        <v>45666</v>
      </c>
      <c r="H3371" s="10" t="n">
        <v>45722</v>
      </c>
      <c r="I3371" s="9" t="s">
        <v>62</v>
      </c>
      <c r="J3371" s="9" t="s">
        <v>63</v>
      </c>
      <c r="K3371" s="9" t="n">
        <v>56</v>
      </c>
      <c r="L3371" s="9" t="n">
        <v>0</v>
      </c>
      <c r="M3371" s="9" t="n">
        <v>0</v>
      </c>
      <c r="N3371" s="9" t="s">
        <v>42</v>
      </c>
      <c r="O3371" s="9" t="s">
        <v>43</v>
      </c>
      <c r="P3371" s="9" t="n">
        <v>6.7</v>
      </c>
      <c r="Q3371" s="9" t="n">
        <v>27</v>
      </c>
      <c r="R3371" s="9" t="s">
        <v>44</v>
      </c>
      <c r="S3371" s="9"/>
      <c r="T3371" s="9"/>
      <c r="U3371" s="9" t="str">
        <f aca="false">IF(COUNTIF($A$2:$A$5001,A3371)&gt;1,"Duplicate","Unique")</f>
        <v>Unique</v>
      </c>
      <c r="V3371" s="9" t="str">
        <f aca="false">IF(COUNTIFS($B$2:$B$5001,B3371,$H$2:$H$5001,H3371,$J$2:$J$5001,J3371)&gt;1,"Possible Duplicate Booking","Unique")</f>
        <v>Unique</v>
      </c>
      <c r="W3371" s="9" t="str">
        <f aca="false">IF((H3371-G3371)&lt;&gt;K3371,"Mismatch","OK")</f>
        <v>OK</v>
      </c>
      <c r="X3371" s="9" t="str">
        <f aca="false">IF(TEXT(H3371,"dddd")&lt;&gt;I3371,"Mismatch","OK")</f>
        <v>OK</v>
      </c>
      <c r="Y3371" s="9" t="str">
        <f aca="false">IF(AND(N3371="No",O3371&lt;&gt;""),"Unexpected: channel present but no reminder sent",IF(AND(N3371="Yes",O3371=""),"Missing channel for sent reminder","OK"))</f>
        <v>OK</v>
      </c>
    </row>
    <row r="3372" customFormat="false" ht="15" hidden="false" customHeight="false" outlineLevel="0" collapsed="false">
      <c r="A3372" s="7" t="s">
        <v>4967</v>
      </c>
      <c r="B3372" s="7" t="s">
        <v>1239</v>
      </c>
      <c r="C3372" s="7" t="s">
        <v>37</v>
      </c>
      <c r="D3372" s="7" t="n">
        <v>38</v>
      </c>
      <c r="E3372" s="7" t="s">
        <v>38</v>
      </c>
      <c r="F3372" s="7" t="s">
        <v>39</v>
      </c>
      <c r="G3372" s="8" t="n">
        <v>46137</v>
      </c>
      <c r="H3372" s="8" t="n">
        <v>46196</v>
      </c>
      <c r="I3372" s="7" t="s">
        <v>40</v>
      </c>
      <c r="J3372" s="7" t="s">
        <v>51</v>
      </c>
      <c r="K3372" s="7" t="n">
        <v>59</v>
      </c>
      <c r="L3372" s="7" t="n">
        <v>2</v>
      </c>
      <c r="M3372" s="7" t="n">
        <v>0</v>
      </c>
      <c r="N3372" s="7" t="s">
        <v>42</v>
      </c>
      <c r="O3372" s="7" t="s">
        <v>67</v>
      </c>
      <c r="P3372" s="7" t="n">
        <v>3.2</v>
      </c>
      <c r="Q3372" s="7" t="n">
        <v>23</v>
      </c>
      <c r="R3372" s="7" t="s">
        <v>44</v>
      </c>
      <c r="S3372" s="7"/>
      <c r="T3372" s="7"/>
      <c r="U3372" s="7" t="str">
        <f aca="false">IF(COUNTIF($A$2:$A$5001,A3372)&gt;1,"Duplicate","Unique")</f>
        <v>Unique</v>
      </c>
      <c r="V3372" s="7" t="str">
        <f aca="false">IF(COUNTIFS($B$2:$B$5001,B3372,$H$2:$H$5001,H3372,$J$2:$J$5001,J3372)&gt;1,"Possible Duplicate Booking","Unique")</f>
        <v>Unique</v>
      </c>
      <c r="W3372" s="7" t="str">
        <f aca="false">IF((H3372-G3372)&lt;&gt;K3372,"Mismatch","OK")</f>
        <v>OK</v>
      </c>
      <c r="X3372" s="7" t="str">
        <f aca="false">IF(TEXT(H3372,"dddd")&lt;&gt;I3372,"Mismatch","OK")</f>
        <v>OK</v>
      </c>
      <c r="Y3372" s="7" t="str">
        <f aca="false">IF(AND(N3372="No",O3372&lt;&gt;""),"Unexpected: channel present but no reminder sent",IF(AND(N3372="Yes",O3372=""),"Missing channel for sent reminder","OK"))</f>
        <v>OK</v>
      </c>
    </row>
    <row r="3373" customFormat="false" ht="15" hidden="false" customHeight="false" outlineLevel="0" collapsed="false">
      <c r="A3373" s="9" t="s">
        <v>4968</v>
      </c>
      <c r="B3373" s="9" t="s">
        <v>256</v>
      </c>
      <c r="C3373" s="9" t="s">
        <v>37</v>
      </c>
      <c r="D3373" s="9" t="n">
        <v>40</v>
      </c>
      <c r="E3373" s="9" t="s">
        <v>38</v>
      </c>
      <c r="F3373" s="9" t="s">
        <v>57</v>
      </c>
      <c r="G3373" s="10" t="n">
        <v>45739</v>
      </c>
      <c r="H3373" s="10" t="n">
        <v>45788</v>
      </c>
      <c r="I3373" s="9" t="s">
        <v>75</v>
      </c>
      <c r="J3373" s="9" t="s">
        <v>63</v>
      </c>
      <c r="K3373" s="9" t="n">
        <v>49</v>
      </c>
      <c r="L3373" s="9" t="n">
        <v>2</v>
      </c>
      <c r="M3373" s="9" t="n">
        <v>0</v>
      </c>
      <c r="N3373" s="9" t="s">
        <v>42</v>
      </c>
      <c r="O3373" s="9" t="s">
        <v>67</v>
      </c>
      <c r="P3373" s="9" t="n">
        <v>16.8</v>
      </c>
      <c r="Q3373" s="9" t="n">
        <v>22</v>
      </c>
      <c r="R3373" s="9" t="s">
        <v>44</v>
      </c>
      <c r="S3373" s="9"/>
      <c r="T3373" s="9"/>
      <c r="U3373" s="9" t="str">
        <f aca="false">IF(COUNTIF($A$2:$A$5001,A3373)&gt;1,"Duplicate","Unique")</f>
        <v>Unique</v>
      </c>
      <c r="V3373" s="9" t="str">
        <f aca="false">IF(COUNTIFS($B$2:$B$5001,B3373,$H$2:$H$5001,H3373,$J$2:$J$5001,J3373)&gt;1,"Possible Duplicate Booking","Unique")</f>
        <v>Unique</v>
      </c>
      <c r="W3373" s="9" t="str">
        <f aca="false">IF((H3373-G3373)&lt;&gt;K3373,"Mismatch","OK")</f>
        <v>OK</v>
      </c>
      <c r="X3373" s="9" t="str">
        <f aca="false">IF(TEXT(H3373,"dddd")&lt;&gt;I3373,"Mismatch","OK")</f>
        <v>OK</v>
      </c>
      <c r="Y3373" s="9" t="str">
        <f aca="false">IF(AND(N3373="No",O3373&lt;&gt;""),"Unexpected: channel present but no reminder sent",IF(AND(N3373="Yes",O3373=""),"Missing channel for sent reminder","OK"))</f>
        <v>OK</v>
      </c>
    </row>
    <row r="3374" customFormat="false" ht="15" hidden="false" customHeight="false" outlineLevel="0" collapsed="false">
      <c r="A3374" s="7" t="s">
        <v>4969</v>
      </c>
      <c r="B3374" s="7" t="s">
        <v>2226</v>
      </c>
      <c r="C3374" s="7" t="s">
        <v>37</v>
      </c>
      <c r="D3374" s="7" t="n">
        <v>19</v>
      </c>
      <c r="E3374" s="7" t="s">
        <v>82</v>
      </c>
      <c r="F3374" s="7" t="s">
        <v>49</v>
      </c>
      <c r="G3374" s="8" t="n">
        <v>45787</v>
      </c>
      <c r="H3374" s="8" t="n">
        <v>45826</v>
      </c>
      <c r="I3374" s="7" t="s">
        <v>58</v>
      </c>
      <c r="J3374" s="7" t="s">
        <v>51</v>
      </c>
      <c r="K3374" s="7" t="n">
        <v>39</v>
      </c>
      <c r="L3374" s="7" t="n">
        <v>1</v>
      </c>
      <c r="M3374" s="7" t="n">
        <v>0</v>
      </c>
      <c r="N3374" s="7" t="s">
        <v>42</v>
      </c>
      <c r="O3374" s="7" t="s">
        <v>43</v>
      </c>
      <c r="P3374" s="7" t="n">
        <v>17.7</v>
      </c>
      <c r="Q3374" s="7" t="n">
        <v>26</v>
      </c>
      <c r="R3374" s="7" t="s">
        <v>44</v>
      </c>
      <c r="S3374" s="7"/>
      <c r="T3374" s="7"/>
      <c r="U3374" s="7" t="str">
        <f aca="false">IF(COUNTIF($A$2:$A$5001,A3374)&gt;1,"Duplicate","Unique")</f>
        <v>Unique</v>
      </c>
      <c r="V3374" s="7" t="str">
        <f aca="false">IF(COUNTIFS($B$2:$B$5001,B3374,$H$2:$H$5001,H3374,$J$2:$J$5001,J3374)&gt;1,"Possible Duplicate Booking","Unique")</f>
        <v>Unique</v>
      </c>
      <c r="W3374" s="7" t="str">
        <f aca="false">IF((H3374-G3374)&lt;&gt;K3374,"Mismatch","OK")</f>
        <v>OK</v>
      </c>
      <c r="X3374" s="7" t="str">
        <f aca="false">IF(TEXT(H3374,"dddd")&lt;&gt;I3374,"Mismatch","OK")</f>
        <v>OK</v>
      </c>
      <c r="Y3374" s="7" t="str">
        <f aca="false">IF(AND(N3374="No",O3374&lt;&gt;""),"Unexpected: channel present but no reminder sent",IF(AND(N3374="Yes",O3374=""),"Missing channel for sent reminder","OK"))</f>
        <v>OK</v>
      </c>
    </row>
    <row r="3375" customFormat="false" ht="15" hidden="false" customHeight="false" outlineLevel="0" collapsed="false">
      <c r="A3375" s="9" t="s">
        <v>4970</v>
      </c>
      <c r="B3375" s="9" t="s">
        <v>4783</v>
      </c>
      <c r="C3375" s="9" t="s">
        <v>37</v>
      </c>
      <c r="D3375" s="9" t="n">
        <v>77</v>
      </c>
      <c r="E3375" s="9" t="s">
        <v>70</v>
      </c>
      <c r="F3375" s="9" t="s">
        <v>57</v>
      </c>
      <c r="G3375" s="10" t="n">
        <v>45926</v>
      </c>
      <c r="H3375" s="10" t="n">
        <v>45932</v>
      </c>
      <c r="I3375" s="9" t="s">
        <v>62</v>
      </c>
      <c r="J3375" s="9" t="s">
        <v>41</v>
      </c>
      <c r="K3375" s="9" t="n">
        <v>6</v>
      </c>
      <c r="L3375" s="9" t="n">
        <v>6</v>
      </c>
      <c r="M3375" s="9" t="n">
        <v>3</v>
      </c>
      <c r="N3375" s="9" t="s">
        <v>42</v>
      </c>
      <c r="O3375" s="9" t="s">
        <v>43</v>
      </c>
      <c r="P3375" s="9" t="n">
        <v>8</v>
      </c>
      <c r="Q3375" s="9" t="n">
        <v>28</v>
      </c>
      <c r="R3375" s="9" t="s">
        <v>53</v>
      </c>
      <c r="S3375" s="9"/>
      <c r="T3375" s="9"/>
      <c r="U3375" s="9" t="str">
        <f aca="false">IF(COUNTIF($A$2:$A$5001,A3375)&gt;1,"Duplicate","Unique")</f>
        <v>Unique</v>
      </c>
      <c r="V3375" s="9" t="str">
        <f aca="false">IF(COUNTIFS($B$2:$B$5001,B3375,$H$2:$H$5001,H3375,$J$2:$J$5001,J3375)&gt;1,"Possible Duplicate Booking","Unique")</f>
        <v>Unique</v>
      </c>
      <c r="W3375" s="9" t="str">
        <f aca="false">IF((H3375-G3375)&lt;&gt;K3375,"Mismatch","OK")</f>
        <v>OK</v>
      </c>
      <c r="X3375" s="9" t="str">
        <f aca="false">IF(TEXT(H3375,"dddd")&lt;&gt;I3375,"Mismatch","OK")</f>
        <v>OK</v>
      </c>
      <c r="Y3375" s="9" t="str">
        <f aca="false">IF(AND(N3375="No",O3375&lt;&gt;""),"Unexpected: channel present but no reminder sent",IF(AND(N3375="Yes",O3375=""),"Missing channel for sent reminder","OK"))</f>
        <v>OK</v>
      </c>
    </row>
    <row r="3376" customFormat="false" ht="15" hidden="false" customHeight="false" outlineLevel="0" collapsed="false">
      <c r="A3376" s="7" t="s">
        <v>4971</v>
      </c>
      <c r="B3376" s="7" t="s">
        <v>4773</v>
      </c>
      <c r="C3376" s="7" t="s">
        <v>47</v>
      </c>
      <c r="D3376" s="7" t="n">
        <v>68</v>
      </c>
      <c r="E3376" s="7" t="s">
        <v>70</v>
      </c>
      <c r="F3376" s="7" t="s">
        <v>74</v>
      </c>
      <c r="G3376" s="8" t="n">
        <v>45970</v>
      </c>
      <c r="H3376" s="8" t="n">
        <v>46025</v>
      </c>
      <c r="I3376" s="7" t="s">
        <v>102</v>
      </c>
      <c r="J3376" s="7" t="s">
        <v>63</v>
      </c>
      <c r="K3376" s="7" t="n">
        <v>55</v>
      </c>
      <c r="L3376" s="7" t="n">
        <v>4</v>
      </c>
      <c r="M3376" s="7" t="n">
        <v>2</v>
      </c>
      <c r="N3376" s="7" t="s">
        <v>42</v>
      </c>
      <c r="O3376" s="7" t="s">
        <v>43</v>
      </c>
      <c r="P3376" s="7" t="n">
        <v>5.8</v>
      </c>
      <c r="Q3376" s="7" t="n">
        <v>24</v>
      </c>
      <c r="R3376" s="7" t="s">
        <v>44</v>
      </c>
      <c r="S3376" s="7"/>
      <c r="T3376" s="7"/>
      <c r="U3376" s="7" t="str">
        <f aca="false">IF(COUNTIF($A$2:$A$5001,A3376)&gt;1,"Duplicate","Unique")</f>
        <v>Unique</v>
      </c>
      <c r="V3376" s="7" t="str">
        <f aca="false">IF(COUNTIFS($B$2:$B$5001,B3376,$H$2:$H$5001,H3376,$J$2:$J$5001,J3376)&gt;1,"Possible Duplicate Booking","Unique")</f>
        <v>Unique</v>
      </c>
      <c r="W3376" s="7" t="str">
        <f aca="false">IF((H3376-G3376)&lt;&gt;K3376,"Mismatch","OK")</f>
        <v>OK</v>
      </c>
      <c r="X3376" s="7" t="str">
        <f aca="false">IF(TEXT(H3376,"dddd")&lt;&gt;I3376,"Mismatch","OK")</f>
        <v>OK</v>
      </c>
      <c r="Y3376" s="7" t="str">
        <f aca="false">IF(AND(N3376="No",O3376&lt;&gt;""),"Unexpected: channel present but no reminder sent",IF(AND(N3376="Yes",O3376=""),"Missing channel for sent reminder","OK"))</f>
        <v>OK</v>
      </c>
    </row>
    <row r="3377" customFormat="false" ht="15" hidden="false" customHeight="false" outlineLevel="0" collapsed="false">
      <c r="A3377" s="9" t="s">
        <v>4972</v>
      </c>
      <c r="B3377" s="9" t="s">
        <v>1567</v>
      </c>
      <c r="C3377" s="9" t="s">
        <v>37</v>
      </c>
      <c r="D3377" s="9" t="n">
        <v>73</v>
      </c>
      <c r="E3377" s="9" t="s">
        <v>70</v>
      </c>
      <c r="F3377" s="9" t="s">
        <v>39</v>
      </c>
      <c r="G3377" s="10" t="n">
        <v>45925</v>
      </c>
      <c r="H3377" s="10" t="n">
        <v>45933</v>
      </c>
      <c r="I3377" s="9" t="s">
        <v>50</v>
      </c>
      <c r="J3377" s="9" t="s">
        <v>41</v>
      </c>
      <c r="K3377" s="9" t="n">
        <v>8</v>
      </c>
      <c r="L3377" s="9" t="n">
        <v>6</v>
      </c>
      <c r="M3377" s="9" t="n">
        <v>2</v>
      </c>
      <c r="N3377" s="9" t="s">
        <v>42</v>
      </c>
      <c r="O3377" s="9" t="s">
        <v>52</v>
      </c>
      <c r="P3377" s="9" t="n">
        <v>4.4</v>
      </c>
      <c r="Q3377" s="9" t="n">
        <v>19</v>
      </c>
      <c r="R3377" s="9" t="s">
        <v>44</v>
      </c>
      <c r="S3377" s="9"/>
      <c r="T3377" s="9"/>
      <c r="U3377" s="9" t="str">
        <f aca="false">IF(COUNTIF($A$2:$A$5001,A3377)&gt;1,"Duplicate","Unique")</f>
        <v>Unique</v>
      </c>
      <c r="V3377" s="9" t="str">
        <f aca="false">IF(COUNTIFS($B$2:$B$5001,B3377,$H$2:$H$5001,H3377,$J$2:$J$5001,J3377)&gt;1,"Possible Duplicate Booking","Unique")</f>
        <v>Unique</v>
      </c>
      <c r="W3377" s="9" t="str">
        <f aca="false">IF((H3377-G3377)&lt;&gt;K3377,"Mismatch","OK")</f>
        <v>OK</v>
      </c>
      <c r="X3377" s="9" t="str">
        <f aca="false">IF(TEXT(H3377,"dddd")&lt;&gt;I3377,"Mismatch","OK")</f>
        <v>OK</v>
      </c>
      <c r="Y3377" s="9" t="str">
        <f aca="false">IF(AND(N3377="No",O3377&lt;&gt;""),"Unexpected: channel present but no reminder sent",IF(AND(N3377="Yes",O3377=""),"Missing channel for sent reminder","OK"))</f>
        <v>OK</v>
      </c>
    </row>
    <row r="3378" customFormat="false" ht="15" hidden="false" customHeight="false" outlineLevel="0" collapsed="false">
      <c r="A3378" s="7" t="s">
        <v>4973</v>
      </c>
      <c r="B3378" s="7" t="s">
        <v>562</v>
      </c>
      <c r="C3378" s="7" t="s">
        <v>47</v>
      </c>
      <c r="D3378" s="7" t="n">
        <v>40</v>
      </c>
      <c r="E3378" s="7" t="s">
        <v>38</v>
      </c>
      <c r="F3378" s="7" t="s">
        <v>57</v>
      </c>
      <c r="G3378" s="8" t="n">
        <v>45923</v>
      </c>
      <c r="H3378" s="8" t="n">
        <v>45933</v>
      </c>
      <c r="I3378" s="7" t="s">
        <v>50</v>
      </c>
      <c r="J3378" s="7" t="s">
        <v>63</v>
      </c>
      <c r="K3378" s="7" t="n">
        <v>10</v>
      </c>
      <c r="L3378" s="7" t="n">
        <v>0</v>
      </c>
      <c r="M3378" s="7" t="n">
        <v>0</v>
      </c>
      <c r="N3378" s="7" t="s">
        <v>71</v>
      </c>
      <c r="O3378" s="7"/>
      <c r="P3378" s="7" t="n">
        <v>8.5</v>
      </c>
      <c r="Q3378" s="7" t="n">
        <v>31</v>
      </c>
      <c r="R3378" s="7" t="s">
        <v>53</v>
      </c>
      <c r="S3378" s="7"/>
      <c r="T3378" s="7"/>
      <c r="U3378" s="7" t="str">
        <f aca="false">IF(COUNTIF($A$2:$A$5001,A3378)&gt;1,"Duplicate","Unique")</f>
        <v>Unique</v>
      </c>
      <c r="V3378" s="7" t="str">
        <f aca="false">IF(COUNTIFS($B$2:$B$5001,B3378,$H$2:$H$5001,H3378,$J$2:$J$5001,J3378)&gt;1,"Possible Duplicate Booking","Unique")</f>
        <v>Unique</v>
      </c>
      <c r="W3378" s="7" t="str">
        <f aca="false">IF((H3378-G3378)&lt;&gt;K3378,"Mismatch","OK")</f>
        <v>OK</v>
      </c>
      <c r="X3378" s="7" t="str">
        <f aca="false">IF(TEXT(H3378,"dddd")&lt;&gt;I3378,"Mismatch","OK")</f>
        <v>OK</v>
      </c>
      <c r="Y3378" s="7" t="str">
        <f aca="false">IF(AND(N3378="No",O3378&lt;&gt;""),"Unexpected: channel present but no reminder sent",IF(AND(N3378="Yes",O3378=""),"Missing channel for sent reminder","OK"))</f>
        <v>OK</v>
      </c>
    </row>
    <row r="3379" customFormat="false" ht="15" hidden="false" customHeight="false" outlineLevel="0" collapsed="false">
      <c r="A3379" s="9" t="s">
        <v>4974</v>
      </c>
      <c r="B3379" s="9" t="s">
        <v>4975</v>
      </c>
      <c r="C3379" s="9" t="s">
        <v>47</v>
      </c>
      <c r="D3379" s="9" t="n">
        <v>53</v>
      </c>
      <c r="E3379" s="9" t="s">
        <v>56</v>
      </c>
      <c r="F3379" s="9" t="s">
        <v>39</v>
      </c>
      <c r="G3379" s="10" t="n">
        <v>45972</v>
      </c>
      <c r="H3379" s="10" t="n">
        <v>45976</v>
      </c>
      <c r="I3379" s="9" t="s">
        <v>102</v>
      </c>
      <c r="J3379" s="9" t="s">
        <v>63</v>
      </c>
      <c r="K3379" s="9" t="n">
        <v>4</v>
      </c>
      <c r="L3379" s="9" t="n">
        <v>2</v>
      </c>
      <c r="M3379" s="9" t="n">
        <v>0</v>
      </c>
      <c r="N3379" s="9" t="s">
        <v>42</v>
      </c>
      <c r="O3379" s="9" t="s">
        <v>43</v>
      </c>
      <c r="P3379" s="9" t="n">
        <v>5</v>
      </c>
      <c r="Q3379" s="9" t="n">
        <v>29</v>
      </c>
      <c r="R3379" s="9" t="s">
        <v>44</v>
      </c>
      <c r="S3379" s="9"/>
      <c r="T3379" s="9"/>
      <c r="U3379" s="9" t="str">
        <f aca="false">IF(COUNTIF($A$2:$A$5001,A3379)&gt;1,"Duplicate","Unique")</f>
        <v>Unique</v>
      </c>
      <c r="V3379" s="9" t="str">
        <f aca="false">IF(COUNTIFS($B$2:$B$5001,B3379,$H$2:$H$5001,H3379,$J$2:$J$5001,J3379)&gt;1,"Possible Duplicate Booking","Unique")</f>
        <v>Unique</v>
      </c>
      <c r="W3379" s="9" t="str">
        <f aca="false">IF((H3379-G3379)&lt;&gt;K3379,"Mismatch","OK")</f>
        <v>OK</v>
      </c>
      <c r="X3379" s="9" t="str">
        <f aca="false">IF(TEXT(H3379,"dddd")&lt;&gt;I3379,"Mismatch","OK")</f>
        <v>OK</v>
      </c>
      <c r="Y3379" s="9" t="str">
        <f aca="false">IF(AND(N3379="No",O3379&lt;&gt;""),"Unexpected: channel present but no reminder sent",IF(AND(N3379="Yes",O3379=""),"Missing channel for sent reminder","OK"))</f>
        <v>OK</v>
      </c>
    </row>
    <row r="3380" customFormat="false" ht="15" hidden="false" customHeight="false" outlineLevel="0" collapsed="false">
      <c r="A3380" s="7" t="s">
        <v>4976</v>
      </c>
      <c r="B3380" s="7" t="s">
        <v>1556</v>
      </c>
      <c r="C3380" s="7" t="s">
        <v>47</v>
      </c>
      <c r="D3380" s="7" t="n">
        <v>46</v>
      </c>
      <c r="E3380" s="7" t="s">
        <v>56</v>
      </c>
      <c r="F3380" s="7" t="s">
        <v>57</v>
      </c>
      <c r="G3380" s="8" t="n">
        <v>46069</v>
      </c>
      <c r="H3380" s="8" t="n">
        <v>46126</v>
      </c>
      <c r="I3380" s="7" t="s">
        <v>40</v>
      </c>
      <c r="J3380" s="7" t="s">
        <v>41</v>
      </c>
      <c r="K3380" s="7" t="n">
        <v>57</v>
      </c>
      <c r="L3380" s="7" t="n">
        <v>6</v>
      </c>
      <c r="M3380" s="7" t="n">
        <v>1</v>
      </c>
      <c r="N3380" s="7" t="s">
        <v>42</v>
      </c>
      <c r="O3380" s="7" t="s">
        <v>67</v>
      </c>
      <c r="P3380" s="7" t="n">
        <v>10.2</v>
      </c>
      <c r="Q3380" s="7" t="n">
        <v>24</v>
      </c>
      <c r="R3380" s="7" t="s">
        <v>53</v>
      </c>
      <c r="S3380" s="7"/>
      <c r="T3380" s="7"/>
      <c r="U3380" s="7" t="str">
        <f aca="false">IF(COUNTIF($A$2:$A$5001,A3380)&gt;1,"Duplicate","Unique")</f>
        <v>Unique</v>
      </c>
      <c r="V3380" s="7" t="str">
        <f aca="false">IF(COUNTIFS($B$2:$B$5001,B3380,$H$2:$H$5001,H3380,$J$2:$J$5001,J3380)&gt;1,"Possible Duplicate Booking","Unique")</f>
        <v>Unique</v>
      </c>
      <c r="W3380" s="7" t="str">
        <f aca="false">IF((H3380-G3380)&lt;&gt;K3380,"Mismatch","OK")</f>
        <v>OK</v>
      </c>
      <c r="X3380" s="7" t="str">
        <f aca="false">IF(TEXT(H3380,"dddd")&lt;&gt;I3380,"Mismatch","OK")</f>
        <v>OK</v>
      </c>
      <c r="Y3380" s="7" t="str">
        <f aca="false">IF(AND(N3380="No",O3380&lt;&gt;""),"Unexpected: channel present but no reminder sent",IF(AND(N3380="Yes",O3380=""),"Missing channel for sent reminder","OK"))</f>
        <v>OK</v>
      </c>
    </row>
    <row r="3381" customFormat="false" ht="15" hidden="false" customHeight="false" outlineLevel="0" collapsed="false">
      <c r="A3381" s="9" t="s">
        <v>4977</v>
      </c>
      <c r="B3381" s="9" t="s">
        <v>407</v>
      </c>
      <c r="C3381" s="9" t="s">
        <v>37</v>
      </c>
      <c r="D3381" s="9" t="n">
        <v>47</v>
      </c>
      <c r="E3381" s="9" t="s">
        <v>56</v>
      </c>
      <c r="F3381" s="9" t="s">
        <v>49</v>
      </c>
      <c r="G3381" s="10" t="n">
        <v>45843</v>
      </c>
      <c r="H3381" s="10" t="n">
        <v>45873</v>
      </c>
      <c r="I3381" s="9" t="s">
        <v>66</v>
      </c>
      <c r="J3381" s="9" t="s">
        <v>41</v>
      </c>
      <c r="K3381" s="9" t="n">
        <v>30</v>
      </c>
      <c r="L3381" s="9" t="n">
        <v>3</v>
      </c>
      <c r="M3381" s="9" t="n">
        <v>0</v>
      </c>
      <c r="N3381" s="9" t="s">
        <v>42</v>
      </c>
      <c r="O3381" s="9" t="s">
        <v>52</v>
      </c>
      <c r="P3381" s="9" t="n">
        <v>11.2</v>
      </c>
      <c r="Q3381" s="9" t="n">
        <v>31</v>
      </c>
      <c r="R3381" s="9" t="s">
        <v>53</v>
      </c>
      <c r="S3381" s="9"/>
      <c r="T3381" s="9"/>
      <c r="U3381" s="9" t="str">
        <f aca="false">IF(COUNTIF($A$2:$A$5001,A3381)&gt;1,"Duplicate","Unique")</f>
        <v>Unique</v>
      </c>
      <c r="V3381" s="9" t="str">
        <f aca="false">IF(COUNTIFS($B$2:$B$5001,B3381,$H$2:$H$5001,H3381,$J$2:$J$5001,J3381)&gt;1,"Possible Duplicate Booking","Unique")</f>
        <v>Unique</v>
      </c>
      <c r="W3381" s="9" t="str">
        <f aca="false">IF((H3381-G3381)&lt;&gt;K3381,"Mismatch","OK")</f>
        <v>OK</v>
      </c>
      <c r="X3381" s="9" t="str">
        <f aca="false">IF(TEXT(H3381,"dddd")&lt;&gt;I3381,"Mismatch","OK")</f>
        <v>OK</v>
      </c>
      <c r="Y3381" s="9" t="str">
        <f aca="false">IF(AND(N3381="No",O3381&lt;&gt;""),"Unexpected: channel present but no reminder sent",IF(AND(N3381="Yes",O3381=""),"Missing channel for sent reminder","OK"))</f>
        <v>OK</v>
      </c>
    </row>
    <row r="3382" customFormat="false" ht="15" hidden="false" customHeight="false" outlineLevel="0" collapsed="false">
      <c r="A3382" s="7" t="s">
        <v>4978</v>
      </c>
      <c r="B3382" s="7" t="s">
        <v>162</v>
      </c>
      <c r="C3382" s="7" t="s">
        <v>37</v>
      </c>
      <c r="D3382" s="7" t="n">
        <v>55</v>
      </c>
      <c r="E3382" s="7" t="s">
        <v>61</v>
      </c>
      <c r="F3382" s="7" t="s">
        <v>57</v>
      </c>
      <c r="G3382" s="8" t="n">
        <v>46098</v>
      </c>
      <c r="H3382" s="8" t="n">
        <v>46112</v>
      </c>
      <c r="I3382" s="7" t="s">
        <v>40</v>
      </c>
      <c r="J3382" s="7" t="s">
        <v>51</v>
      </c>
      <c r="K3382" s="7" t="n">
        <v>14</v>
      </c>
      <c r="L3382" s="7" t="n">
        <v>1</v>
      </c>
      <c r="M3382" s="7" t="n">
        <v>0</v>
      </c>
      <c r="N3382" s="7" t="s">
        <v>42</v>
      </c>
      <c r="O3382" s="7" t="s">
        <v>52</v>
      </c>
      <c r="P3382" s="7" t="n">
        <v>11.3</v>
      </c>
      <c r="Q3382" s="7" t="n">
        <v>23</v>
      </c>
      <c r="R3382" s="7" t="s">
        <v>53</v>
      </c>
      <c r="S3382" s="7"/>
      <c r="T3382" s="7"/>
      <c r="U3382" s="7" t="str">
        <f aca="false">IF(COUNTIF($A$2:$A$5001,A3382)&gt;1,"Duplicate","Unique")</f>
        <v>Unique</v>
      </c>
      <c r="V3382" s="7" t="str">
        <f aca="false">IF(COUNTIFS($B$2:$B$5001,B3382,$H$2:$H$5001,H3382,$J$2:$J$5001,J3382)&gt;1,"Possible Duplicate Booking","Unique")</f>
        <v>Unique</v>
      </c>
      <c r="W3382" s="7" t="str">
        <f aca="false">IF((H3382-G3382)&lt;&gt;K3382,"Mismatch","OK")</f>
        <v>OK</v>
      </c>
      <c r="X3382" s="7" t="str">
        <f aca="false">IF(TEXT(H3382,"dddd")&lt;&gt;I3382,"Mismatch","OK")</f>
        <v>OK</v>
      </c>
      <c r="Y3382" s="7" t="str">
        <f aca="false">IF(AND(N3382="No",O3382&lt;&gt;""),"Unexpected: channel present but no reminder sent",IF(AND(N3382="Yes",O3382=""),"Missing channel for sent reminder","OK"))</f>
        <v>OK</v>
      </c>
    </row>
    <row r="3383" customFormat="false" ht="15" hidden="false" customHeight="false" outlineLevel="0" collapsed="false">
      <c r="A3383" s="9" t="s">
        <v>4979</v>
      </c>
      <c r="B3383" s="9" t="s">
        <v>3593</v>
      </c>
      <c r="C3383" s="9" t="s">
        <v>37</v>
      </c>
      <c r="D3383" s="9" t="n">
        <v>46</v>
      </c>
      <c r="E3383" s="9" t="s">
        <v>56</v>
      </c>
      <c r="F3383" s="9" t="s">
        <v>49</v>
      </c>
      <c r="G3383" s="10" t="n">
        <v>46083</v>
      </c>
      <c r="H3383" s="10" t="n">
        <v>46087</v>
      </c>
      <c r="I3383" s="9" t="s">
        <v>50</v>
      </c>
      <c r="J3383" s="9" t="s">
        <v>51</v>
      </c>
      <c r="K3383" s="9" t="n">
        <v>4</v>
      </c>
      <c r="L3383" s="9" t="n">
        <v>1</v>
      </c>
      <c r="M3383" s="9" t="n">
        <v>0</v>
      </c>
      <c r="N3383" s="9" t="s">
        <v>42</v>
      </c>
      <c r="O3383" s="9" t="s">
        <v>43</v>
      </c>
      <c r="P3383" s="9" t="n">
        <v>4.5</v>
      </c>
      <c r="Q3383" s="9" t="n">
        <v>24</v>
      </c>
      <c r="R3383" s="9" t="s">
        <v>53</v>
      </c>
      <c r="S3383" s="9"/>
      <c r="T3383" s="9"/>
      <c r="U3383" s="9" t="str">
        <f aca="false">IF(COUNTIF($A$2:$A$5001,A3383)&gt;1,"Duplicate","Unique")</f>
        <v>Unique</v>
      </c>
      <c r="V3383" s="9" t="str">
        <f aca="false">IF(COUNTIFS($B$2:$B$5001,B3383,$H$2:$H$5001,H3383,$J$2:$J$5001,J3383)&gt;1,"Possible Duplicate Booking","Unique")</f>
        <v>Unique</v>
      </c>
      <c r="W3383" s="9" t="str">
        <f aca="false">IF((H3383-G3383)&lt;&gt;K3383,"Mismatch","OK")</f>
        <v>OK</v>
      </c>
      <c r="X3383" s="9" t="str">
        <f aca="false">IF(TEXT(H3383,"dddd")&lt;&gt;I3383,"Mismatch","OK")</f>
        <v>OK</v>
      </c>
      <c r="Y3383" s="9" t="str">
        <f aca="false">IF(AND(N3383="No",O3383&lt;&gt;""),"Unexpected: channel present but no reminder sent",IF(AND(N3383="Yes",O3383=""),"Missing channel for sent reminder","OK"))</f>
        <v>OK</v>
      </c>
    </row>
    <row r="3384" customFormat="false" ht="15" hidden="false" customHeight="false" outlineLevel="0" collapsed="false">
      <c r="A3384" s="7" t="s">
        <v>4980</v>
      </c>
      <c r="B3384" s="7" t="s">
        <v>1863</v>
      </c>
      <c r="C3384" s="7" t="s">
        <v>47</v>
      </c>
      <c r="D3384" s="7" t="n">
        <v>66</v>
      </c>
      <c r="E3384" s="7" t="s">
        <v>70</v>
      </c>
      <c r="F3384" s="7" t="s">
        <v>49</v>
      </c>
      <c r="G3384" s="8" t="n">
        <v>46157</v>
      </c>
      <c r="H3384" s="8" t="n">
        <v>46182</v>
      </c>
      <c r="I3384" s="7" t="s">
        <v>40</v>
      </c>
      <c r="J3384" s="7" t="s">
        <v>51</v>
      </c>
      <c r="K3384" s="7" t="n">
        <v>25</v>
      </c>
      <c r="L3384" s="7" t="n">
        <v>3</v>
      </c>
      <c r="M3384" s="7" t="n">
        <v>0</v>
      </c>
      <c r="N3384" s="7" t="s">
        <v>42</v>
      </c>
      <c r="O3384" s="7" t="s">
        <v>67</v>
      </c>
      <c r="P3384" s="7" t="n">
        <v>4.9</v>
      </c>
      <c r="Q3384" s="7" t="n">
        <v>31</v>
      </c>
      <c r="R3384" s="7" t="s">
        <v>53</v>
      </c>
      <c r="S3384" s="7"/>
      <c r="T3384" s="7"/>
      <c r="U3384" s="7" t="str">
        <f aca="false">IF(COUNTIF($A$2:$A$5001,A3384)&gt;1,"Duplicate","Unique")</f>
        <v>Unique</v>
      </c>
      <c r="V3384" s="7" t="str">
        <f aca="false">IF(COUNTIFS($B$2:$B$5001,B3384,$H$2:$H$5001,H3384,$J$2:$J$5001,J3384)&gt;1,"Possible Duplicate Booking","Unique")</f>
        <v>Unique</v>
      </c>
      <c r="W3384" s="7" t="str">
        <f aca="false">IF((H3384-G3384)&lt;&gt;K3384,"Mismatch","OK")</f>
        <v>OK</v>
      </c>
      <c r="X3384" s="7" t="str">
        <f aca="false">IF(TEXT(H3384,"dddd")&lt;&gt;I3384,"Mismatch","OK")</f>
        <v>OK</v>
      </c>
      <c r="Y3384" s="7" t="str">
        <f aca="false">IF(AND(N3384="No",O3384&lt;&gt;""),"Unexpected: channel present but no reminder sent",IF(AND(N3384="Yes",O3384=""),"Missing channel for sent reminder","OK"))</f>
        <v>OK</v>
      </c>
    </row>
    <row r="3385" customFormat="false" ht="15" hidden="false" customHeight="false" outlineLevel="0" collapsed="false">
      <c r="A3385" s="9" t="s">
        <v>4981</v>
      </c>
      <c r="B3385" s="9" t="s">
        <v>4982</v>
      </c>
      <c r="C3385" s="9" t="s">
        <v>37</v>
      </c>
      <c r="D3385" s="9" t="n">
        <v>21</v>
      </c>
      <c r="E3385" s="9" t="s">
        <v>82</v>
      </c>
      <c r="F3385" s="9" t="s">
        <v>49</v>
      </c>
      <c r="G3385" s="10" t="n">
        <v>46112</v>
      </c>
      <c r="H3385" s="10" t="n">
        <v>46156</v>
      </c>
      <c r="I3385" s="9" t="s">
        <v>62</v>
      </c>
      <c r="J3385" s="9" t="s">
        <v>41</v>
      </c>
      <c r="K3385" s="9" t="n">
        <v>44</v>
      </c>
      <c r="L3385" s="9" t="n">
        <v>5</v>
      </c>
      <c r="M3385" s="9" t="n">
        <v>0</v>
      </c>
      <c r="N3385" s="9" t="s">
        <v>42</v>
      </c>
      <c r="O3385" s="9" t="s">
        <v>52</v>
      </c>
      <c r="P3385" s="9" t="n">
        <v>8</v>
      </c>
      <c r="Q3385" s="9" t="n">
        <v>33</v>
      </c>
      <c r="R3385" s="9" t="s">
        <v>44</v>
      </c>
      <c r="S3385" s="9"/>
      <c r="T3385" s="9"/>
      <c r="U3385" s="9" t="str">
        <f aca="false">IF(COUNTIF($A$2:$A$5001,A3385)&gt;1,"Duplicate","Unique")</f>
        <v>Unique</v>
      </c>
      <c r="V3385" s="9" t="str">
        <f aca="false">IF(COUNTIFS($B$2:$B$5001,B3385,$H$2:$H$5001,H3385,$J$2:$J$5001,J3385)&gt;1,"Possible Duplicate Booking","Unique")</f>
        <v>Unique</v>
      </c>
      <c r="W3385" s="9" t="str">
        <f aca="false">IF((H3385-G3385)&lt;&gt;K3385,"Mismatch","OK")</f>
        <v>OK</v>
      </c>
      <c r="X3385" s="9" t="str">
        <f aca="false">IF(TEXT(H3385,"dddd")&lt;&gt;I3385,"Mismatch","OK")</f>
        <v>OK</v>
      </c>
      <c r="Y3385" s="9" t="str">
        <f aca="false">IF(AND(N3385="No",O3385&lt;&gt;""),"Unexpected: channel present but no reminder sent",IF(AND(N3385="Yes",O3385=""),"Missing channel for sent reminder","OK"))</f>
        <v>OK</v>
      </c>
    </row>
    <row r="3386" customFormat="false" ht="15" hidden="false" customHeight="false" outlineLevel="0" collapsed="false">
      <c r="A3386" s="7" t="s">
        <v>4983</v>
      </c>
      <c r="B3386" s="7" t="s">
        <v>2431</v>
      </c>
      <c r="C3386" s="7" t="s">
        <v>47</v>
      </c>
      <c r="D3386" s="7" t="n">
        <v>30</v>
      </c>
      <c r="E3386" s="7" t="s">
        <v>48</v>
      </c>
      <c r="F3386" s="7" t="s">
        <v>74</v>
      </c>
      <c r="G3386" s="8" t="n">
        <v>46033</v>
      </c>
      <c r="H3386" s="8" t="n">
        <v>46093</v>
      </c>
      <c r="I3386" s="7" t="s">
        <v>62</v>
      </c>
      <c r="J3386" s="7" t="s">
        <v>41</v>
      </c>
      <c r="K3386" s="7" t="n">
        <v>60</v>
      </c>
      <c r="L3386" s="7" t="n">
        <v>3</v>
      </c>
      <c r="M3386" s="7" t="n">
        <v>0</v>
      </c>
      <c r="N3386" s="7" t="s">
        <v>42</v>
      </c>
      <c r="O3386" s="7" t="s">
        <v>52</v>
      </c>
      <c r="P3386" s="7" t="n">
        <v>16.5</v>
      </c>
      <c r="Q3386" s="7" t="n">
        <v>31</v>
      </c>
      <c r="R3386" s="7" t="s">
        <v>53</v>
      </c>
      <c r="S3386" s="7"/>
      <c r="T3386" s="7"/>
      <c r="U3386" s="7" t="str">
        <f aca="false">IF(COUNTIF($A$2:$A$5001,A3386)&gt;1,"Duplicate","Unique")</f>
        <v>Unique</v>
      </c>
      <c r="V3386" s="7" t="str">
        <f aca="false">IF(COUNTIFS($B$2:$B$5001,B3386,$H$2:$H$5001,H3386,$J$2:$J$5001,J3386)&gt;1,"Possible Duplicate Booking","Unique")</f>
        <v>Unique</v>
      </c>
      <c r="W3386" s="7" t="str">
        <f aca="false">IF((H3386-G3386)&lt;&gt;K3386,"Mismatch","OK")</f>
        <v>OK</v>
      </c>
      <c r="X3386" s="7" t="str">
        <f aca="false">IF(TEXT(H3386,"dddd")&lt;&gt;I3386,"Mismatch","OK")</f>
        <v>OK</v>
      </c>
      <c r="Y3386" s="7" t="str">
        <f aca="false">IF(AND(N3386="No",O3386&lt;&gt;""),"Unexpected: channel present but no reminder sent",IF(AND(N3386="Yes",O3386=""),"Missing channel for sent reminder","OK"))</f>
        <v>OK</v>
      </c>
    </row>
    <row r="3387" customFormat="false" ht="15" hidden="false" customHeight="false" outlineLevel="0" collapsed="false">
      <c r="A3387" s="9" t="s">
        <v>4984</v>
      </c>
      <c r="B3387" s="9" t="s">
        <v>4985</v>
      </c>
      <c r="C3387" s="9" t="s">
        <v>37</v>
      </c>
      <c r="D3387" s="9" t="n">
        <v>74</v>
      </c>
      <c r="E3387" s="9" t="s">
        <v>70</v>
      </c>
      <c r="F3387" s="9" t="s">
        <v>57</v>
      </c>
      <c r="G3387" s="10" t="n">
        <v>45759</v>
      </c>
      <c r="H3387" s="10" t="n">
        <v>45792</v>
      </c>
      <c r="I3387" s="9" t="s">
        <v>62</v>
      </c>
      <c r="J3387" s="9" t="s">
        <v>41</v>
      </c>
      <c r="K3387" s="9" t="n">
        <v>33</v>
      </c>
      <c r="L3387" s="9" t="n">
        <v>6</v>
      </c>
      <c r="M3387" s="9" t="n">
        <v>2</v>
      </c>
      <c r="N3387" s="9" t="s">
        <v>42</v>
      </c>
      <c r="O3387" s="9" t="s">
        <v>52</v>
      </c>
      <c r="P3387" s="9" t="n">
        <v>11.2</v>
      </c>
      <c r="Q3387" s="9" t="n">
        <v>16</v>
      </c>
      <c r="R3387" s="9" t="s">
        <v>44</v>
      </c>
      <c r="S3387" s="9"/>
      <c r="T3387" s="9"/>
      <c r="U3387" s="9" t="str">
        <f aca="false">IF(COUNTIF($A$2:$A$5001,A3387)&gt;1,"Duplicate","Unique")</f>
        <v>Unique</v>
      </c>
      <c r="V3387" s="9" t="str">
        <f aca="false">IF(COUNTIFS($B$2:$B$5001,B3387,$H$2:$H$5001,H3387,$J$2:$J$5001,J3387)&gt;1,"Possible Duplicate Booking","Unique")</f>
        <v>Unique</v>
      </c>
      <c r="W3387" s="9" t="str">
        <f aca="false">IF((H3387-G3387)&lt;&gt;K3387,"Mismatch","OK")</f>
        <v>OK</v>
      </c>
      <c r="X3387" s="9" t="str">
        <f aca="false">IF(TEXT(H3387,"dddd")&lt;&gt;I3387,"Mismatch","OK")</f>
        <v>OK</v>
      </c>
      <c r="Y3387" s="9" t="str">
        <f aca="false">IF(AND(N3387="No",O3387&lt;&gt;""),"Unexpected: channel present but no reminder sent",IF(AND(N3387="Yes",O3387=""),"Missing channel for sent reminder","OK"))</f>
        <v>OK</v>
      </c>
    </row>
    <row r="3388" customFormat="false" ht="15" hidden="false" customHeight="false" outlineLevel="0" collapsed="false">
      <c r="A3388" s="7" t="s">
        <v>4986</v>
      </c>
      <c r="B3388" s="7" t="s">
        <v>597</v>
      </c>
      <c r="C3388" s="7" t="s">
        <v>37</v>
      </c>
      <c r="D3388" s="7" t="n">
        <v>73</v>
      </c>
      <c r="E3388" s="7" t="s">
        <v>70</v>
      </c>
      <c r="F3388" s="7" t="s">
        <v>39</v>
      </c>
      <c r="G3388" s="8" t="n">
        <v>46043</v>
      </c>
      <c r="H3388" s="8" t="n">
        <v>46080</v>
      </c>
      <c r="I3388" s="7" t="s">
        <v>50</v>
      </c>
      <c r="J3388" s="7" t="s">
        <v>63</v>
      </c>
      <c r="K3388" s="7" t="n">
        <v>37</v>
      </c>
      <c r="L3388" s="7" t="n">
        <v>1</v>
      </c>
      <c r="M3388" s="7" t="n">
        <v>1</v>
      </c>
      <c r="N3388" s="7" t="s">
        <v>42</v>
      </c>
      <c r="O3388" s="7" t="s">
        <v>43</v>
      </c>
      <c r="P3388" s="7" t="n">
        <v>4.3</v>
      </c>
      <c r="Q3388" s="7" t="n">
        <v>28</v>
      </c>
      <c r="R3388" s="7" t="s">
        <v>44</v>
      </c>
      <c r="S3388" s="7"/>
      <c r="T3388" s="7"/>
      <c r="U3388" s="7" t="str">
        <f aca="false">IF(COUNTIF($A$2:$A$5001,A3388)&gt;1,"Duplicate","Unique")</f>
        <v>Unique</v>
      </c>
      <c r="V3388" s="7" t="str">
        <f aca="false">IF(COUNTIFS($B$2:$B$5001,B3388,$H$2:$H$5001,H3388,$J$2:$J$5001,J3388)&gt;1,"Possible Duplicate Booking","Unique")</f>
        <v>Unique</v>
      </c>
      <c r="W3388" s="7" t="str">
        <f aca="false">IF((H3388-G3388)&lt;&gt;K3388,"Mismatch","OK")</f>
        <v>OK</v>
      </c>
      <c r="X3388" s="7" t="str">
        <f aca="false">IF(TEXT(H3388,"dddd")&lt;&gt;I3388,"Mismatch","OK")</f>
        <v>OK</v>
      </c>
      <c r="Y3388" s="7" t="str">
        <f aca="false">IF(AND(N3388="No",O3388&lt;&gt;""),"Unexpected: channel present but no reminder sent",IF(AND(N3388="Yes",O3388=""),"Missing channel for sent reminder","OK"))</f>
        <v>OK</v>
      </c>
    </row>
    <row r="3389" customFormat="false" ht="15" hidden="false" customHeight="false" outlineLevel="0" collapsed="false">
      <c r="A3389" s="9" t="s">
        <v>4987</v>
      </c>
      <c r="B3389" s="9" t="s">
        <v>122</v>
      </c>
      <c r="C3389" s="9" t="s">
        <v>37</v>
      </c>
      <c r="D3389" s="9" t="n">
        <v>69</v>
      </c>
      <c r="E3389" s="9" t="s">
        <v>70</v>
      </c>
      <c r="F3389" s="9" t="s">
        <v>49</v>
      </c>
      <c r="G3389" s="10" t="n">
        <v>46010</v>
      </c>
      <c r="H3389" s="10" t="n">
        <v>46060</v>
      </c>
      <c r="I3389" s="9" t="s">
        <v>102</v>
      </c>
      <c r="J3389" s="9" t="s">
        <v>51</v>
      </c>
      <c r="K3389" s="9" t="n">
        <v>50</v>
      </c>
      <c r="L3389" s="9" t="n">
        <v>2</v>
      </c>
      <c r="M3389" s="9" t="n">
        <v>0</v>
      </c>
      <c r="N3389" s="9" t="s">
        <v>71</v>
      </c>
      <c r="O3389" s="9"/>
      <c r="P3389" s="9" t="n">
        <v>11.5</v>
      </c>
      <c r="Q3389" s="9" t="n">
        <v>24</v>
      </c>
      <c r="R3389" s="9" t="s">
        <v>44</v>
      </c>
      <c r="S3389" s="9"/>
      <c r="T3389" s="9"/>
      <c r="U3389" s="9" t="str">
        <f aca="false">IF(COUNTIF($A$2:$A$5001,A3389)&gt;1,"Duplicate","Unique")</f>
        <v>Unique</v>
      </c>
      <c r="V3389" s="9" t="str">
        <f aca="false">IF(COUNTIFS($B$2:$B$5001,B3389,$H$2:$H$5001,H3389,$J$2:$J$5001,J3389)&gt;1,"Possible Duplicate Booking","Unique")</f>
        <v>Unique</v>
      </c>
      <c r="W3389" s="9" t="str">
        <f aca="false">IF((H3389-G3389)&lt;&gt;K3389,"Mismatch","OK")</f>
        <v>OK</v>
      </c>
      <c r="X3389" s="9" t="str">
        <f aca="false">IF(TEXT(H3389,"dddd")&lt;&gt;I3389,"Mismatch","OK")</f>
        <v>OK</v>
      </c>
      <c r="Y3389" s="9" t="str">
        <f aca="false">IF(AND(N3389="No",O3389&lt;&gt;""),"Unexpected: channel present but no reminder sent",IF(AND(N3389="Yes",O3389=""),"Missing channel for sent reminder","OK"))</f>
        <v>OK</v>
      </c>
    </row>
    <row r="3390" customFormat="false" ht="15" hidden="false" customHeight="false" outlineLevel="0" collapsed="false">
      <c r="A3390" s="7" t="s">
        <v>4988</v>
      </c>
      <c r="B3390" s="7" t="s">
        <v>903</v>
      </c>
      <c r="C3390" s="7" t="s">
        <v>37</v>
      </c>
      <c r="D3390" s="7" t="n">
        <v>41</v>
      </c>
      <c r="E3390" s="7" t="s">
        <v>38</v>
      </c>
      <c r="F3390" s="7" t="s">
        <v>57</v>
      </c>
      <c r="G3390" s="8" t="n">
        <v>45761</v>
      </c>
      <c r="H3390" s="8" t="n">
        <v>45816</v>
      </c>
      <c r="I3390" s="7" t="s">
        <v>75</v>
      </c>
      <c r="J3390" s="7" t="s">
        <v>63</v>
      </c>
      <c r="K3390" s="7" t="n">
        <v>55</v>
      </c>
      <c r="L3390" s="7" t="n">
        <v>2</v>
      </c>
      <c r="M3390" s="7" t="n">
        <v>0</v>
      </c>
      <c r="N3390" s="7" t="s">
        <v>71</v>
      </c>
      <c r="O3390" s="7"/>
      <c r="P3390" s="7" t="n">
        <v>0.5</v>
      </c>
      <c r="Q3390" s="7" t="n">
        <v>28</v>
      </c>
      <c r="R3390" s="7" t="s">
        <v>44</v>
      </c>
      <c r="S3390" s="7"/>
      <c r="T3390" s="7"/>
      <c r="U3390" s="7" t="str">
        <f aca="false">IF(COUNTIF($A$2:$A$5001,A3390)&gt;1,"Duplicate","Unique")</f>
        <v>Unique</v>
      </c>
      <c r="V3390" s="7" t="str">
        <f aca="false">IF(COUNTIFS($B$2:$B$5001,B3390,$H$2:$H$5001,H3390,$J$2:$J$5001,J3390)&gt;1,"Possible Duplicate Booking","Unique")</f>
        <v>Unique</v>
      </c>
      <c r="W3390" s="7" t="str">
        <f aca="false">IF((H3390-G3390)&lt;&gt;K3390,"Mismatch","OK")</f>
        <v>OK</v>
      </c>
      <c r="X3390" s="7" t="str">
        <f aca="false">IF(TEXT(H3390,"dddd")&lt;&gt;I3390,"Mismatch","OK")</f>
        <v>OK</v>
      </c>
      <c r="Y3390" s="7" t="str">
        <f aca="false">IF(AND(N3390="No",O3390&lt;&gt;""),"Unexpected: channel present but no reminder sent",IF(AND(N3390="Yes",O3390=""),"Missing channel for sent reminder","OK"))</f>
        <v>OK</v>
      </c>
    </row>
    <row r="3391" customFormat="false" ht="15" hidden="false" customHeight="false" outlineLevel="0" collapsed="false">
      <c r="A3391" s="9" t="s">
        <v>4989</v>
      </c>
      <c r="B3391" s="9" t="s">
        <v>601</v>
      </c>
      <c r="C3391" s="9" t="s">
        <v>47</v>
      </c>
      <c r="D3391" s="9" t="n">
        <v>46</v>
      </c>
      <c r="E3391" s="9" t="s">
        <v>56</v>
      </c>
      <c r="F3391" s="9" t="s">
        <v>57</v>
      </c>
      <c r="G3391" s="10" t="n">
        <v>46011</v>
      </c>
      <c r="H3391" s="10" t="n">
        <v>46028</v>
      </c>
      <c r="I3391" s="9" t="s">
        <v>40</v>
      </c>
      <c r="J3391" s="9" t="s">
        <v>51</v>
      </c>
      <c r="K3391" s="9" t="n">
        <v>17</v>
      </c>
      <c r="L3391" s="9" t="n">
        <v>1</v>
      </c>
      <c r="M3391" s="9" t="n">
        <v>0</v>
      </c>
      <c r="N3391" s="9" t="s">
        <v>42</v>
      </c>
      <c r="O3391" s="9" t="s">
        <v>67</v>
      </c>
      <c r="P3391" s="9" t="n">
        <v>14.3</v>
      </c>
      <c r="Q3391" s="9" t="n">
        <v>44</v>
      </c>
      <c r="R3391" s="9" t="s">
        <v>53</v>
      </c>
      <c r="S3391" s="9"/>
      <c r="T3391" s="9"/>
      <c r="U3391" s="9" t="str">
        <f aca="false">IF(COUNTIF($A$2:$A$5001,A3391)&gt;1,"Duplicate","Unique")</f>
        <v>Unique</v>
      </c>
      <c r="V3391" s="9" t="str">
        <f aca="false">IF(COUNTIFS($B$2:$B$5001,B3391,$H$2:$H$5001,H3391,$J$2:$J$5001,J3391)&gt;1,"Possible Duplicate Booking","Unique")</f>
        <v>Unique</v>
      </c>
      <c r="W3391" s="9" t="str">
        <f aca="false">IF((H3391-G3391)&lt;&gt;K3391,"Mismatch","OK")</f>
        <v>OK</v>
      </c>
      <c r="X3391" s="9" t="str">
        <f aca="false">IF(TEXT(H3391,"dddd")&lt;&gt;I3391,"Mismatch","OK")</f>
        <v>OK</v>
      </c>
      <c r="Y3391" s="9" t="str">
        <f aca="false">IF(AND(N3391="No",O3391&lt;&gt;""),"Unexpected: channel present but no reminder sent",IF(AND(N3391="Yes",O3391=""),"Missing channel for sent reminder","OK"))</f>
        <v>OK</v>
      </c>
    </row>
    <row r="3392" customFormat="false" ht="15" hidden="false" customHeight="false" outlineLevel="0" collapsed="false">
      <c r="A3392" s="7" t="s">
        <v>4990</v>
      </c>
      <c r="B3392" s="7" t="s">
        <v>4295</v>
      </c>
      <c r="C3392" s="7" t="s">
        <v>47</v>
      </c>
      <c r="D3392" s="7" t="n">
        <v>19</v>
      </c>
      <c r="E3392" s="7" t="s">
        <v>82</v>
      </c>
      <c r="F3392" s="7" t="s">
        <v>57</v>
      </c>
      <c r="G3392" s="8" t="n">
        <v>45736</v>
      </c>
      <c r="H3392" s="8" t="n">
        <v>45796</v>
      </c>
      <c r="I3392" s="7" t="s">
        <v>66</v>
      </c>
      <c r="J3392" s="7" t="s">
        <v>51</v>
      </c>
      <c r="K3392" s="7" t="n">
        <v>60</v>
      </c>
      <c r="L3392" s="7" t="n">
        <v>1</v>
      </c>
      <c r="M3392" s="7" t="n">
        <v>0</v>
      </c>
      <c r="N3392" s="7" t="s">
        <v>42</v>
      </c>
      <c r="O3392" s="7" t="s">
        <v>43</v>
      </c>
      <c r="P3392" s="7" t="n">
        <v>18.2</v>
      </c>
      <c r="Q3392" s="7" t="n">
        <v>22</v>
      </c>
      <c r="R3392" s="7" t="s">
        <v>44</v>
      </c>
      <c r="S3392" s="7"/>
      <c r="T3392" s="7"/>
      <c r="U3392" s="7" t="str">
        <f aca="false">IF(COUNTIF($A$2:$A$5001,A3392)&gt;1,"Duplicate","Unique")</f>
        <v>Unique</v>
      </c>
      <c r="V3392" s="7" t="str">
        <f aca="false">IF(COUNTIFS($B$2:$B$5001,B3392,$H$2:$H$5001,H3392,$J$2:$J$5001,J3392)&gt;1,"Possible Duplicate Booking","Unique")</f>
        <v>Unique</v>
      </c>
      <c r="W3392" s="7" t="str">
        <f aca="false">IF((H3392-G3392)&lt;&gt;K3392,"Mismatch","OK")</f>
        <v>OK</v>
      </c>
      <c r="X3392" s="7" t="str">
        <f aca="false">IF(TEXT(H3392,"dddd")&lt;&gt;I3392,"Mismatch","OK")</f>
        <v>OK</v>
      </c>
      <c r="Y3392" s="7" t="str">
        <f aca="false">IF(AND(N3392="No",O3392&lt;&gt;""),"Unexpected: channel present but no reminder sent",IF(AND(N3392="Yes",O3392=""),"Missing channel for sent reminder","OK"))</f>
        <v>OK</v>
      </c>
    </row>
    <row r="3393" customFormat="false" ht="15" hidden="false" customHeight="false" outlineLevel="0" collapsed="false">
      <c r="A3393" s="9" t="s">
        <v>4991</v>
      </c>
      <c r="B3393" s="9" t="s">
        <v>2669</v>
      </c>
      <c r="C3393" s="9" t="s">
        <v>37</v>
      </c>
      <c r="D3393" s="9" t="n">
        <v>35</v>
      </c>
      <c r="E3393" s="9" t="s">
        <v>38</v>
      </c>
      <c r="F3393" s="9" t="s">
        <v>57</v>
      </c>
      <c r="G3393" s="10" t="n">
        <v>45912</v>
      </c>
      <c r="H3393" s="10" t="n">
        <v>45943</v>
      </c>
      <c r="I3393" s="9" t="s">
        <v>66</v>
      </c>
      <c r="J3393" s="9" t="s">
        <v>41</v>
      </c>
      <c r="K3393" s="9" t="n">
        <v>31</v>
      </c>
      <c r="L3393" s="9" t="n">
        <v>4</v>
      </c>
      <c r="M3393" s="9" t="n">
        <v>0</v>
      </c>
      <c r="N3393" s="9" t="s">
        <v>71</v>
      </c>
      <c r="O3393" s="9"/>
      <c r="P3393" s="9" t="n">
        <v>6.4</v>
      </c>
      <c r="Q3393" s="9" t="n">
        <v>24</v>
      </c>
      <c r="R3393" s="9" t="s">
        <v>44</v>
      </c>
      <c r="S3393" s="9"/>
      <c r="T3393" s="9"/>
      <c r="U3393" s="9" t="str">
        <f aca="false">IF(COUNTIF($A$2:$A$5001,A3393)&gt;1,"Duplicate","Unique")</f>
        <v>Unique</v>
      </c>
      <c r="V3393" s="9" t="str">
        <f aca="false">IF(COUNTIFS($B$2:$B$5001,B3393,$H$2:$H$5001,H3393,$J$2:$J$5001,J3393)&gt;1,"Possible Duplicate Booking","Unique")</f>
        <v>Unique</v>
      </c>
      <c r="W3393" s="9" t="str">
        <f aca="false">IF((H3393-G3393)&lt;&gt;K3393,"Mismatch","OK")</f>
        <v>OK</v>
      </c>
      <c r="X3393" s="9" t="str">
        <f aca="false">IF(TEXT(H3393,"dddd")&lt;&gt;I3393,"Mismatch","OK")</f>
        <v>OK</v>
      </c>
      <c r="Y3393" s="9" t="str">
        <f aca="false">IF(AND(N3393="No",O3393&lt;&gt;""),"Unexpected: channel present but no reminder sent",IF(AND(N3393="Yes",O3393=""),"Missing channel for sent reminder","OK"))</f>
        <v>OK</v>
      </c>
    </row>
    <row r="3394" customFormat="false" ht="15" hidden="false" customHeight="false" outlineLevel="0" collapsed="false">
      <c r="A3394" s="7" t="s">
        <v>4992</v>
      </c>
      <c r="B3394" s="7" t="s">
        <v>1830</v>
      </c>
      <c r="C3394" s="7" t="s">
        <v>37</v>
      </c>
      <c r="D3394" s="7" t="n">
        <v>63</v>
      </c>
      <c r="E3394" s="7" t="s">
        <v>61</v>
      </c>
      <c r="F3394" s="7" t="s">
        <v>49</v>
      </c>
      <c r="G3394" s="8" t="n">
        <v>46037</v>
      </c>
      <c r="H3394" s="8" t="n">
        <v>46093</v>
      </c>
      <c r="I3394" s="7" t="s">
        <v>62</v>
      </c>
      <c r="J3394" s="7" t="s">
        <v>51</v>
      </c>
      <c r="K3394" s="7" t="n">
        <v>56</v>
      </c>
      <c r="L3394" s="7" t="n">
        <v>1</v>
      </c>
      <c r="M3394" s="7" t="n">
        <v>0</v>
      </c>
      <c r="N3394" s="7" t="s">
        <v>42</v>
      </c>
      <c r="O3394" s="7" t="s">
        <v>52</v>
      </c>
      <c r="P3394" s="7" t="n">
        <v>9.5</v>
      </c>
      <c r="Q3394" s="7" t="n">
        <v>18</v>
      </c>
      <c r="R3394" s="7" t="s">
        <v>44</v>
      </c>
      <c r="S3394" s="7"/>
      <c r="T3394" s="7"/>
      <c r="U3394" s="7" t="str">
        <f aca="false">IF(COUNTIF($A$2:$A$5001,A3394)&gt;1,"Duplicate","Unique")</f>
        <v>Unique</v>
      </c>
      <c r="V3394" s="7" t="str">
        <f aca="false">IF(COUNTIFS($B$2:$B$5001,B3394,$H$2:$H$5001,H3394,$J$2:$J$5001,J3394)&gt;1,"Possible Duplicate Booking","Unique")</f>
        <v>Unique</v>
      </c>
      <c r="W3394" s="7" t="str">
        <f aca="false">IF((H3394-G3394)&lt;&gt;K3394,"Mismatch","OK")</f>
        <v>OK</v>
      </c>
      <c r="X3394" s="7" t="str">
        <f aca="false">IF(TEXT(H3394,"dddd")&lt;&gt;I3394,"Mismatch","OK")</f>
        <v>OK</v>
      </c>
      <c r="Y3394" s="7" t="str">
        <f aca="false">IF(AND(N3394="No",O3394&lt;&gt;""),"Unexpected: channel present but no reminder sent",IF(AND(N3394="Yes",O3394=""),"Missing channel for sent reminder","OK"))</f>
        <v>OK</v>
      </c>
    </row>
    <row r="3395" customFormat="false" ht="15" hidden="false" customHeight="false" outlineLevel="0" collapsed="false">
      <c r="A3395" s="9" t="s">
        <v>4993</v>
      </c>
      <c r="B3395" s="9" t="s">
        <v>130</v>
      </c>
      <c r="C3395" s="9" t="s">
        <v>47</v>
      </c>
      <c r="D3395" s="9" t="n">
        <v>39</v>
      </c>
      <c r="E3395" s="9" t="s">
        <v>38</v>
      </c>
      <c r="F3395" s="9" t="s">
        <v>39</v>
      </c>
      <c r="G3395" s="10" t="n">
        <v>45753</v>
      </c>
      <c r="H3395" s="10" t="n">
        <v>45760</v>
      </c>
      <c r="I3395" s="9" t="s">
        <v>75</v>
      </c>
      <c r="J3395" s="9" t="s">
        <v>41</v>
      </c>
      <c r="K3395" s="9" t="n">
        <v>7</v>
      </c>
      <c r="L3395" s="9" t="n">
        <v>6</v>
      </c>
      <c r="M3395" s="9" t="n">
        <v>0</v>
      </c>
      <c r="N3395" s="9" t="s">
        <v>71</v>
      </c>
      <c r="O3395" s="9"/>
      <c r="P3395" s="9" t="n">
        <v>4.8</v>
      </c>
      <c r="Q3395" s="9" t="n">
        <v>22</v>
      </c>
      <c r="R3395" s="9" t="s">
        <v>53</v>
      </c>
      <c r="S3395" s="9"/>
      <c r="T3395" s="9"/>
      <c r="U3395" s="9" t="str">
        <f aca="false">IF(COUNTIF($A$2:$A$5001,A3395)&gt;1,"Duplicate","Unique")</f>
        <v>Unique</v>
      </c>
      <c r="V3395" s="9" t="str">
        <f aca="false">IF(COUNTIFS($B$2:$B$5001,B3395,$H$2:$H$5001,H3395,$J$2:$J$5001,J3395)&gt;1,"Possible Duplicate Booking","Unique")</f>
        <v>Unique</v>
      </c>
      <c r="W3395" s="9" t="str">
        <f aca="false">IF((H3395-G3395)&lt;&gt;K3395,"Mismatch","OK")</f>
        <v>OK</v>
      </c>
      <c r="X3395" s="9" t="str">
        <f aca="false">IF(TEXT(H3395,"dddd")&lt;&gt;I3395,"Mismatch","OK")</f>
        <v>OK</v>
      </c>
      <c r="Y3395" s="9" t="str">
        <f aca="false">IF(AND(N3395="No",O3395&lt;&gt;""),"Unexpected: channel present but no reminder sent",IF(AND(N3395="Yes",O3395=""),"Missing channel for sent reminder","OK"))</f>
        <v>OK</v>
      </c>
    </row>
    <row r="3396" customFormat="false" ht="15" hidden="false" customHeight="false" outlineLevel="0" collapsed="false">
      <c r="A3396" s="7" t="s">
        <v>4994</v>
      </c>
      <c r="B3396" s="7" t="s">
        <v>1103</v>
      </c>
      <c r="C3396" s="7" t="s">
        <v>37</v>
      </c>
      <c r="D3396" s="7" t="n">
        <v>48</v>
      </c>
      <c r="E3396" s="7" t="s">
        <v>56</v>
      </c>
      <c r="F3396" s="7" t="s">
        <v>39</v>
      </c>
      <c r="G3396" s="8" t="n">
        <v>45836</v>
      </c>
      <c r="H3396" s="8" t="n">
        <v>45841</v>
      </c>
      <c r="I3396" s="7" t="s">
        <v>62</v>
      </c>
      <c r="J3396" s="7" t="s">
        <v>41</v>
      </c>
      <c r="K3396" s="7" t="n">
        <v>5</v>
      </c>
      <c r="L3396" s="7" t="n">
        <v>3</v>
      </c>
      <c r="M3396" s="7" t="n">
        <v>1</v>
      </c>
      <c r="N3396" s="7" t="s">
        <v>71</v>
      </c>
      <c r="O3396" s="7"/>
      <c r="P3396" s="7" t="n">
        <v>3.8</v>
      </c>
      <c r="Q3396" s="7" t="n">
        <v>17</v>
      </c>
      <c r="R3396" s="7" t="s">
        <v>53</v>
      </c>
      <c r="S3396" s="7"/>
      <c r="T3396" s="7"/>
      <c r="U3396" s="7" t="str">
        <f aca="false">IF(COUNTIF($A$2:$A$5001,A3396)&gt;1,"Duplicate","Unique")</f>
        <v>Unique</v>
      </c>
      <c r="V3396" s="7" t="str">
        <f aca="false">IF(COUNTIFS($B$2:$B$5001,B3396,$H$2:$H$5001,H3396,$J$2:$J$5001,J3396)&gt;1,"Possible Duplicate Booking","Unique")</f>
        <v>Unique</v>
      </c>
      <c r="W3396" s="7" t="str">
        <f aca="false">IF((H3396-G3396)&lt;&gt;K3396,"Mismatch","OK")</f>
        <v>OK</v>
      </c>
      <c r="X3396" s="7" t="str">
        <f aca="false">IF(TEXT(H3396,"dddd")&lt;&gt;I3396,"Mismatch","OK")</f>
        <v>OK</v>
      </c>
      <c r="Y3396" s="7" t="str">
        <f aca="false">IF(AND(N3396="No",O3396&lt;&gt;""),"Unexpected: channel present but no reminder sent",IF(AND(N3396="Yes",O3396=""),"Missing channel for sent reminder","OK"))</f>
        <v>OK</v>
      </c>
    </row>
    <row r="3397" customFormat="false" ht="15" hidden="false" customHeight="false" outlineLevel="0" collapsed="false">
      <c r="A3397" s="9" t="s">
        <v>4995</v>
      </c>
      <c r="B3397" s="9" t="s">
        <v>399</v>
      </c>
      <c r="C3397" s="9" t="s">
        <v>47</v>
      </c>
      <c r="D3397" s="9" t="n">
        <v>25</v>
      </c>
      <c r="E3397" s="9" t="s">
        <v>48</v>
      </c>
      <c r="F3397" s="9" t="s">
        <v>74</v>
      </c>
      <c r="G3397" s="10" t="n">
        <v>46039</v>
      </c>
      <c r="H3397" s="10" t="n">
        <v>46092</v>
      </c>
      <c r="I3397" s="9" t="s">
        <v>58</v>
      </c>
      <c r="J3397" s="9" t="s">
        <v>41</v>
      </c>
      <c r="K3397" s="9" t="n">
        <v>53</v>
      </c>
      <c r="L3397" s="9" t="n">
        <v>1</v>
      </c>
      <c r="M3397" s="9" t="n">
        <v>0</v>
      </c>
      <c r="N3397" s="9" t="s">
        <v>42</v>
      </c>
      <c r="O3397" s="9" t="s">
        <v>52</v>
      </c>
      <c r="P3397" s="9" t="n">
        <v>16.2</v>
      </c>
      <c r="Q3397" s="9" t="n">
        <v>12</v>
      </c>
      <c r="R3397" s="9" t="s">
        <v>44</v>
      </c>
      <c r="S3397" s="9"/>
      <c r="T3397" s="9"/>
      <c r="U3397" s="9" t="str">
        <f aca="false">IF(COUNTIF($A$2:$A$5001,A3397)&gt;1,"Duplicate","Unique")</f>
        <v>Unique</v>
      </c>
      <c r="V3397" s="9" t="str">
        <f aca="false">IF(COUNTIFS($B$2:$B$5001,B3397,$H$2:$H$5001,H3397,$J$2:$J$5001,J3397)&gt;1,"Possible Duplicate Booking","Unique")</f>
        <v>Unique</v>
      </c>
      <c r="W3397" s="9" t="str">
        <f aca="false">IF((H3397-G3397)&lt;&gt;K3397,"Mismatch","OK")</f>
        <v>OK</v>
      </c>
      <c r="X3397" s="9" t="str">
        <f aca="false">IF(TEXT(H3397,"dddd")&lt;&gt;I3397,"Mismatch","OK")</f>
        <v>OK</v>
      </c>
      <c r="Y3397" s="9" t="str">
        <f aca="false">IF(AND(N3397="No",O3397&lt;&gt;""),"Unexpected: channel present but no reminder sent",IF(AND(N3397="Yes",O3397=""),"Missing channel for sent reminder","OK"))</f>
        <v>OK</v>
      </c>
    </row>
    <row r="3398" customFormat="false" ht="15" hidden="false" customHeight="false" outlineLevel="0" collapsed="false">
      <c r="A3398" s="7" t="s">
        <v>4996</v>
      </c>
      <c r="B3398" s="7" t="s">
        <v>278</v>
      </c>
      <c r="C3398" s="7" t="s">
        <v>37</v>
      </c>
      <c r="D3398" s="7" t="n">
        <v>49</v>
      </c>
      <c r="E3398" s="7" t="s">
        <v>56</v>
      </c>
      <c r="F3398" s="7" t="s">
        <v>57</v>
      </c>
      <c r="G3398" s="8" t="n">
        <v>45864</v>
      </c>
      <c r="H3398" s="8" t="n">
        <v>45905</v>
      </c>
      <c r="I3398" s="7" t="s">
        <v>50</v>
      </c>
      <c r="J3398" s="7" t="s">
        <v>51</v>
      </c>
      <c r="K3398" s="7" t="n">
        <v>41</v>
      </c>
      <c r="L3398" s="7" t="n">
        <v>3</v>
      </c>
      <c r="M3398" s="7" t="n">
        <v>0</v>
      </c>
      <c r="N3398" s="7" t="s">
        <v>42</v>
      </c>
      <c r="O3398" s="7" t="s">
        <v>52</v>
      </c>
      <c r="P3398" s="7" t="n">
        <v>4.9</v>
      </c>
      <c r="Q3398" s="7" t="n">
        <v>2</v>
      </c>
      <c r="R3398" s="7" t="s">
        <v>53</v>
      </c>
      <c r="S3398" s="7"/>
      <c r="T3398" s="7"/>
      <c r="U3398" s="7" t="str">
        <f aca="false">IF(COUNTIF($A$2:$A$5001,A3398)&gt;1,"Duplicate","Unique")</f>
        <v>Unique</v>
      </c>
      <c r="V3398" s="7" t="str">
        <f aca="false">IF(COUNTIFS($B$2:$B$5001,B3398,$H$2:$H$5001,H3398,$J$2:$J$5001,J3398)&gt;1,"Possible Duplicate Booking","Unique")</f>
        <v>Unique</v>
      </c>
      <c r="W3398" s="7" t="str">
        <f aca="false">IF((H3398-G3398)&lt;&gt;K3398,"Mismatch","OK")</f>
        <v>OK</v>
      </c>
      <c r="X3398" s="7" t="str">
        <f aca="false">IF(TEXT(H3398,"dddd")&lt;&gt;I3398,"Mismatch","OK")</f>
        <v>OK</v>
      </c>
      <c r="Y3398" s="7" t="str">
        <f aca="false">IF(AND(N3398="No",O3398&lt;&gt;""),"Unexpected: channel present but no reminder sent",IF(AND(N3398="Yes",O3398=""),"Missing channel for sent reminder","OK"))</f>
        <v>OK</v>
      </c>
    </row>
    <row r="3399" customFormat="false" ht="15" hidden="false" customHeight="false" outlineLevel="0" collapsed="false">
      <c r="A3399" s="9" t="s">
        <v>4997</v>
      </c>
      <c r="B3399" s="9" t="s">
        <v>2193</v>
      </c>
      <c r="C3399" s="9" t="s">
        <v>47</v>
      </c>
      <c r="D3399" s="9" t="n">
        <v>63</v>
      </c>
      <c r="E3399" s="9" t="s">
        <v>61</v>
      </c>
      <c r="F3399" s="9" t="s">
        <v>49</v>
      </c>
      <c r="G3399" s="10" t="n">
        <v>46172</v>
      </c>
      <c r="H3399" s="10" t="n">
        <v>46182</v>
      </c>
      <c r="I3399" s="9" t="s">
        <v>40</v>
      </c>
      <c r="J3399" s="9" t="s">
        <v>51</v>
      </c>
      <c r="K3399" s="9" t="n">
        <v>10</v>
      </c>
      <c r="L3399" s="9" t="n">
        <v>1</v>
      </c>
      <c r="M3399" s="9" t="n">
        <v>1</v>
      </c>
      <c r="N3399" s="9" t="s">
        <v>71</v>
      </c>
      <c r="O3399" s="9"/>
      <c r="P3399" s="9" t="n">
        <v>9.3</v>
      </c>
      <c r="Q3399" s="9" t="n">
        <v>16</v>
      </c>
      <c r="R3399" s="9" t="s">
        <v>53</v>
      </c>
      <c r="S3399" s="9"/>
      <c r="T3399" s="9"/>
      <c r="U3399" s="9" t="str">
        <f aca="false">IF(COUNTIF($A$2:$A$5001,A3399)&gt;1,"Duplicate","Unique")</f>
        <v>Unique</v>
      </c>
      <c r="V3399" s="9" t="str">
        <f aca="false">IF(COUNTIFS($B$2:$B$5001,B3399,$H$2:$H$5001,H3399,$J$2:$J$5001,J3399)&gt;1,"Possible Duplicate Booking","Unique")</f>
        <v>Unique</v>
      </c>
      <c r="W3399" s="9" t="str">
        <f aca="false">IF((H3399-G3399)&lt;&gt;K3399,"Mismatch","OK")</f>
        <v>OK</v>
      </c>
      <c r="X3399" s="9" t="str">
        <f aca="false">IF(TEXT(H3399,"dddd")&lt;&gt;I3399,"Mismatch","OK")</f>
        <v>OK</v>
      </c>
      <c r="Y3399" s="9" t="str">
        <f aca="false">IF(AND(N3399="No",O3399&lt;&gt;""),"Unexpected: channel present but no reminder sent",IF(AND(N3399="Yes",O3399=""),"Missing channel for sent reminder","OK"))</f>
        <v>OK</v>
      </c>
    </row>
    <row r="3400" customFormat="false" ht="15" hidden="false" customHeight="false" outlineLevel="0" collapsed="false">
      <c r="A3400" s="7" t="s">
        <v>4998</v>
      </c>
      <c r="B3400" s="7" t="s">
        <v>1318</v>
      </c>
      <c r="C3400" s="7" t="s">
        <v>47</v>
      </c>
      <c r="D3400" s="7" t="n">
        <v>54</v>
      </c>
      <c r="E3400" s="7" t="s">
        <v>56</v>
      </c>
      <c r="F3400" s="7" t="s">
        <v>57</v>
      </c>
      <c r="G3400" s="8" t="n">
        <v>45608</v>
      </c>
      <c r="H3400" s="8" t="n">
        <v>45662</v>
      </c>
      <c r="I3400" s="7" t="s">
        <v>75</v>
      </c>
      <c r="J3400" s="7" t="s">
        <v>51</v>
      </c>
      <c r="K3400" s="7" t="n">
        <v>54</v>
      </c>
      <c r="L3400" s="7" t="n">
        <v>1</v>
      </c>
      <c r="M3400" s="7" t="n">
        <v>0</v>
      </c>
      <c r="N3400" s="7" t="s">
        <v>42</v>
      </c>
      <c r="O3400" s="7" t="s">
        <v>43</v>
      </c>
      <c r="P3400" s="7" t="n">
        <v>12.8</v>
      </c>
      <c r="Q3400" s="7" t="n">
        <v>17</v>
      </c>
      <c r="R3400" s="7" t="s">
        <v>53</v>
      </c>
      <c r="S3400" s="7"/>
      <c r="T3400" s="7"/>
      <c r="U3400" s="7" t="str">
        <f aca="false">IF(COUNTIF($A$2:$A$5001,A3400)&gt;1,"Duplicate","Unique")</f>
        <v>Unique</v>
      </c>
      <c r="V3400" s="7" t="str">
        <f aca="false">IF(COUNTIFS($B$2:$B$5001,B3400,$H$2:$H$5001,H3400,$J$2:$J$5001,J3400)&gt;1,"Possible Duplicate Booking","Unique")</f>
        <v>Unique</v>
      </c>
      <c r="W3400" s="7" t="str">
        <f aca="false">IF((H3400-G3400)&lt;&gt;K3400,"Mismatch","OK")</f>
        <v>OK</v>
      </c>
      <c r="X3400" s="7" t="str">
        <f aca="false">IF(TEXT(H3400,"dddd")&lt;&gt;I3400,"Mismatch","OK")</f>
        <v>OK</v>
      </c>
      <c r="Y3400" s="7" t="str">
        <f aca="false">IF(AND(N3400="No",O3400&lt;&gt;""),"Unexpected: channel present but no reminder sent",IF(AND(N3400="Yes",O3400=""),"Missing channel for sent reminder","OK"))</f>
        <v>OK</v>
      </c>
    </row>
    <row r="3401" customFormat="false" ht="15" hidden="false" customHeight="false" outlineLevel="0" collapsed="false">
      <c r="A3401" s="9" t="s">
        <v>4999</v>
      </c>
      <c r="B3401" s="9" t="s">
        <v>5000</v>
      </c>
      <c r="C3401" s="9" t="s">
        <v>37</v>
      </c>
      <c r="D3401" s="9" t="n">
        <v>53</v>
      </c>
      <c r="E3401" s="9" t="s">
        <v>56</v>
      </c>
      <c r="F3401" s="9" t="s">
        <v>57</v>
      </c>
      <c r="G3401" s="10" t="n">
        <v>46046</v>
      </c>
      <c r="H3401" s="10" t="n">
        <v>46052</v>
      </c>
      <c r="I3401" s="9" t="s">
        <v>50</v>
      </c>
      <c r="J3401" s="9" t="s">
        <v>41</v>
      </c>
      <c r="K3401" s="9" t="n">
        <v>6</v>
      </c>
      <c r="L3401" s="9" t="n">
        <v>3</v>
      </c>
      <c r="M3401" s="9" t="n">
        <v>0</v>
      </c>
      <c r="N3401" s="9" t="s">
        <v>42</v>
      </c>
      <c r="O3401" s="9" t="s">
        <v>52</v>
      </c>
      <c r="P3401" s="9" t="n">
        <v>10.2</v>
      </c>
      <c r="Q3401" s="9" t="n">
        <v>23</v>
      </c>
      <c r="R3401" s="9" t="s">
        <v>44</v>
      </c>
      <c r="S3401" s="9"/>
      <c r="T3401" s="9"/>
      <c r="U3401" s="9" t="str">
        <f aca="false">IF(COUNTIF($A$2:$A$5001,A3401)&gt;1,"Duplicate","Unique")</f>
        <v>Unique</v>
      </c>
      <c r="V3401" s="9" t="str">
        <f aca="false">IF(COUNTIFS($B$2:$B$5001,B3401,$H$2:$H$5001,H3401,$J$2:$J$5001,J3401)&gt;1,"Possible Duplicate Booking","Unique")</f>
        <v>Unique</v>
      </c>
      <c r="W3401" s="9" t="str">
        <f aca="false">IF((H3401-G3401)&lt;&gt;K3401,"Mismatch","OK")</f>
        <v>OK</v>
      </c>
      <c r="X3401" s="9" t="str">
        <f aca="false">IF(TEXT(H3401,"dddd")&lt;&gt;I3401,"Mismatch","OK")</f>
        <v>OK</v>
      </c>
      <c r="Y3401" s="9" t="str">
        <f aca="false">IF(AND(N3401="No",O3401&lt;&gt;""),"Unexpected: channel present but no reminder sent",IF(AND(N3401="Yes",O3401=""),"Missing channel for sent reminder","OK"))</f>
        <v>OK</v>
      </c>
    </row>
    <row r="3402" customFormat="false" ht="15" hidden="false" customHeight="false" outlineLevel="0" collapsed="false">
      <c r="A3402" s="7" t="s">
        <v>5001</v>
      </c>
      <c r="B3402" s="7" t="s">
        <v>510</v>
      </c>
      <c r="C3402" s="7" t="s">
        <v>47</v>
      </c>
      <c r="D3402" s="7" t="n">
        <v>75</v>
      </c>
      <c r="E3402" s="7" t="s">
        <v>70</v>
      </c>
      <c r="F3402" s="7" t="s">
        <v>57</v>
      </c>
      <c r="G3402" s="8" t="n">
        <v>46061</v>
      </c>
      <c r="H3402" s="8" t="n">
        <v>46102</v>
      </c>
      <c r="I3402" s="7" t="s">
        <v>102</v>
      </c>
      <c r="J3402" s="7" t="s">
        <v>51</v>
      </c>
      <c r="K3402" s="7" t="n">
        <v>41</v>
      </c>
      <c r="L3402" s="7" t="n">
        <v>2</v>
      </c>
      <c r="M3402" s="7" t="n">
        <v>0</v>
      </c>
      <c r="N3402" s="7" t="s">
        <v>42</v>
      </c>
      <c r="O3402" s="7" t="s">
        <v>52</v>
      </c>
      <c r="P3402" s="7" t="n">
        <v>2.9</v>
      </c>
      <c r="Q3402" s="7" t="n">
        <v>18</v>
      </c>
      <c r="R3402" s="7" t="s">
        <v>44</v>
      </c>
      <c r="S3402" s="7"/>
      <c r="T3402" s="7"/>
      <c r="U3402" s="7" t="str">
        <f aca="false">IF(COUNTIF($A$2:$A$5001,A3402)&gt;1,"Duplicate","Unique")</f>
        <v>Unique</v>
      </c>
      <c r="V3402" s="7" t="str">
        <f aca="false">IF(COUNTIFS($B$2:$B$5001,B3402,$H$2:$H$5001,H3402,$J$2:$J$5001,J3402)&gt;1,"Possible Duplicate Booking","Unique")</f>
        <v>Unique</v>
      </c>
      <c r="W3402" s="7" t="str">
        <f aca="false">IF((H3402-G3402)&lt;&gt;K3402,"Mismatch","OK")</f>
        <v>OK</v>
      </c>
      <c r="X3402" s="7" t="str">
        <f aca="false">IF(TEXT(H3402,"dddd")&lt;&gt;I3402,"Mismatch","OK")</f>
        <v>OK</v>
      </c>
      <c r="Y3402" s="7" t="str">
        <f aca="false">IF(AND(N3402="No",O3402&lt;&gt;""),"Unexpected: channel present but no reminder sent",IF(AND(N3402="Yes",O3402=""),"Missing channel for sent reminder","OK"))</f>
        <v>OK</v>
      </c>
    </row>
    <row r="3403" customFormat="false" ht="15" hidden="false" customHeight="false" outlineLevel="0" collapsed="false">
      <c r="A3403" s="9" t="s">
        <v>5002</v>
      </c>
      <c r="B3403" s="9" t="s">
        <v>1861</v>
      </c>
      <c r="C3403" s="9" t="s">
        <v>37</v>
      </c>
      <c r="D3403" s="9" t="n">
        <v>32</v>
      </c>
      <c r="E3403" s="9" t="s">
        <v>48</v>
      </c>
      <c r="F3403" s="9" t="s">
        <v>57</v>
      </c>
      <c r="G3403" s="10" t="n">
        <v>46147</v>
      </c>
      <c r="H3403" s="10" t="n">
        <v>46159</v>
      </c>
      <c r="I3403" s="9" t="s">
        <v>75</v>
      </c>
      <c r="J3403" s="9" t="s">
        <v>51</v>
      </c>
      <c r="K3403" s="9" t="n">
        <v>12</v>
      </c>
      <c r="L3403" s="9" t="n">
        <v>5</v>
      </c>
      <c r="M3403" s="9" t="n">
        <v>1</v>
      </c>
      <c r="N3403" s="9" t="s">
        <v>42</v>
      </c>
      <c r="O3403" s="9" t="s">
        <v>43</v>
      </c>
      <c r="P3403" s="9"/>
      <c r="Q3403" s="9" t="n">
        <v>35</v>
      </c>
      <c r="R3403" s="9" t="s">
        <v>53</v>
      </c>
      <c r="S3403" s="9"/>
      <c r="T3403" s="9"/>
      <c r="U3403" s="9" t="str">
        <f aca="false">IF(COUNTIF($A$2:$A$5001,A3403)&gt;1,"Duplicate","Unique")</f>
        <v>Unique</v>
      </c>
      <c r="V3403" s="9" t="str">
        <f aca="false">IF(COUNTIFS($B$2:$B$5001,B3403,$H$2:$H$5001,H3403,$J$2:$J$5001,J3403)&gt;1,"Possible Duplicate Booking","Unique")</f>
        <v>Unique</v>
      </c>
      <c r="W3403" s="9" t="str">
        <f aca="false">IF((H3403-G3403)&lt;&gt;K3403,"Mismatch","OK")</f>
        <v>OK</v>
      </c>
      <c r="X3403" s="9" t="str">
        <f aca="false">IF(TEXT(H3403,"dddd")&lt;&gt;I3403,"Mismatch","OK")</f>
        <v>OK</v>
      </c>
      <c r="Y3403" s="9" t="str">
        <f aca="false">IF(AND(N3403="No",O3403&lt;&gt;""),"Unexpected: channel present but no reminder sent",IF(AND(N3403="Yes",O3403=""),"Missing channel for sent reminder","OK"))</f>
        <v>OK</v>
      </c>
    </row>
    <row r="3404" customFormat="false" ht="15" hidden="false" customHeight="false" outlineLevel="0" collapsed="false">
      <c r="A3404" s="7" t="s">
        <v>5003</v>
      </c>
      <c r="B3404" s="7" t="s">
        <v>2851</v>
      </c>
      <c r="C3404" s="7" t="s">
        <v>37</v>
      </c>
      <c r="D3404" s="7" t="n">
        <v>36</v>
      </c>
      <c r="E3404" s="7" t="s">
        <v>38</v>
      </c>
      <c r="F3404" s="7" t="s">
        <v>57</v>
      </c>
      <c r="G3404" s="8" t="n">
        <v>45739</v>
      </c>
      <c r="H3404" s="8" t="n">
        <v>45743</v>
      </c>
      <c r="I3404" s="7" t="s">
        <v>62</v>
      </c>
      <c r="J3404" s="7" t="s">
        <v>41</v>
      </c>
      <c r="K3404" s="7" t="n">
        <v>4</v>
      </c>
      <c r="L3404" s="7" t="n">
        <v>4</v>
      </c>
      <c r="M3404" s="7" t="n">
        <v>2</v>
      </c>
      <c r="N3404" s="7" t="s">
        <v>42</v>
      </c>
      <c r="O3404" s="7" t="s">
        <v>52</v>
      </c>
      <c r="P3404" s="7" t="n">
        <v>14</v>
      </c>
      <c r="Q3404" s="7" t="n">
        <v>26</v>
      </c>
      <c r="R3404" s="7" t="s">
        <v>44</v>
      </c>
      <c r="S3404" s="7"/>
      <c r="T3404" s="7"/>
      <c r="U3404" s="7" t="str">
        <f aca="false">IF(COUNTIF($A$2:$A$5001,A3404)&gt;1,"Duplicate","Unique")</f>
        <v>Unique</v>
      </c>
      <c r="V3404" s="7" t="str">
        <f aca="false">IF(COUNTIFS($B$2:$B$5001,B3404,$H$2:$H$5001,H3404,$J$2:$J$5001,J3404)&gt;1,"Possible Duplicate Booking","Unique")</f>
        <v>Unique</v>
      </c>
      <c r="W3404" s="7" t="str">
        <f aca="false">IF((H3404-G3404)&lt;&gt;K3404,"Mismatch","OK")</f>
        <v>OK</v>
      </c>
      <c r="X3404" s="7" t="str">
        <f aca="false">IF(TEXT(H3404,"dddd")&lt;&gt;I3404,"Mismatch","OK")</f>
        <v>OK</v>
      </c>
      <c r="Y3404" s="7" t="str">
        <f aca="false">IF(AND(N3404="No",O3404&lt;&gt;""),"Unexpected: channel present but no reminder sent",IF(AND(N3404="Yes",O3404=""),"Missing channel for sent reminder","OK"))</f>
        <v>OK</v>
      </c>
    </row>
    <row r="3405" customFormat="false" ht="15" hidden="false" customHeight="false" outlineLevel="0" collapsed="false">
      <c r="A3405" s="9" t="s">
        <v>5004</v>
      </c>
      <c r="B3405" s="9" t="s">
        <v>4025</v>
      </c>
      <c r="C3405" s="9" t="s">
        <v>47</v>
      </c>
      <c r="D3405" s="9" t="n">
        <v>57</v>
      </c>
      <c r="E3405" s="9" t="s">
        <v>61</v>
      </c>
      <c r="F3405" s="9" t="s">
        <v>39</v>
      </c>
      <c r="G3405" s="10" t="n">
        <v>46146</v>
      </c>
      <c r="H3405" s="10" t="n">
        <v>46195</v>
      </c>
      <c r="I3405" s="9" t="s">
        <v>66</v>
      </c>
      <c r="J3405" s="9" t="s">
        <v>63</v>
      </c>
      <c r="K3405" s="9" t="n">
        <v>49</v>
      </c>
      <c r="L3405" s="9" t="n">
        <v>4</v>
      </c>
      <c r="M3405" s="9" t="n">
        <v>0</v>
      </c>
      <c r="N3405" s="9" t="s">
        <v>42</v>
      </c>
      <c r="O3405" s="9" t="s">
        <v>43</v>
      </c>
      <c r="P3405" s="9" t="n">
        <v>8.2</v>
      </c>
      <c r="Q3405" s="9" t="n">
        <v>32</v>
      </c>
      <c r="R3405" s="9" t="s">
        <v>44</v>
      </c>
      <c r="S3405" s="9"/>
      <c r="T3405" s="9"/>
      <c r="U3405" s="9" t="str">
        <f aca="false">IF(COUNTIF($A$2:$A$5001,A3405)&gt;1,"Duplicate","Unique")</f>
        <v>Unique</v>
      </c>
      <c r="V3405" s="9" t="str">
        <f aca="false">IF(COUNTIFS($B$2:$B$5001,B3405,$H$2:$H$5001,H3405,$J$2:$J$5001,J3405)&gt;1,"Possible Duplicate Booking","Unique")</f>
        <v>Unique</v>
      </c>
      <c r="W3405" s="9" t="str">
        <f aca="false">IF((H3405-G3405)&lt;&gt;K3405,"Mismatch","OK")</f>
        <v>OK</v>
      </c>
      <c r="X3405" s="9" t="str">
        <f aca="false">IF(TEXT(H3405,"dddd")&lt;&gt;I3405,"Mismatch","OK")</f>
        <v>OK</v>
      </c>
      <c r="Y3405" s="9" t="str">
        <f aca="false">IF(AND(N3405="No",O3405&lt;&gt;""),"Unexpected: channel present but no reminder sent",IF(AND(N3405="Yes",O3405=""),"Missing channel for sent reminder","OK"))</f>
        <v>OK</v>
      </c>
    </row>
    <row r="3406" customFormat="false" ht="15" hidden="false" customHeight="false" outlineLevel="0" collapsed="false">
      <c r="A3406" s="7" t="s">
        <v>5005</v>
      </c>
      <c r="B3406" s="7" t="s">
        <v>817</v>
      </c>
      <c r="C3406" s="7" t="s">
        <v>37</v>
      </c>
      <c r="D3406" s="7" t="n">
        <v>48</v>
      </c>
      <c r="E3406" s="7" t="s">
        <v>56</v>
      </c>
      <c r="F3406" s="7" t="s">
        <v>57</v>
      </c>
      <c r="G3406" s="8" t="n">
        <v>45821</v>
      </c>
      <c r="H3406" s="8" t="n">
        <v>45872</v>
      </c>
      <c r="I3406" s="7" t="s">
        <v>75</v>
      </c>
      <c r="J3406" s="7" t="s">
        <v>41</v>
      </c>
      <c r="K3406" s="7" t="n">
        <v>51</v>
      </c>
      <c r="L3406" s="7" t="n">
        <v>3</v>
      </c>
      <c r="M3406" s="7" t="n">
        <v>1</v>
      </c>
      <c r="N3406" s="7" t="s">
        <v>71</v>
      </c>
      <c r="O3406" s="7"/>
      <c r="P3406" s="7" t="n">
        <v>8.4</v>
      </c>
      <c r="Q3406" s="7" t="n">
        <v>35</v>
      </c>
      <c r="R3406" s="7" t="s">
        <v>53</v>
      </c>
      <c r="S3406" s="7"/>
      <c r="T3406" s="7"/>
      <c r="U3406" s="7" t="str">
        <f aca="false">IF(COUNTIF($A$2:$A$5001,A3406)&gt;1,"Duplicate","Unique")</f>
        <v>Unique</v>
      </c>
      <c r="V3406" s="7" t="str">
        <f aca="false">IF(COUNTIFS($B$2:$B$5001,B3406,$H$2:$H$5001,H3406,$J$2:$J$5001,J3406)&gt;1,"Possible Duplicate Booking","Unique")</f>
        <v>Unique</v>
      </c>
      <c r="W3406" s="7" t="str">
        <f aca="false">IF((H3406-G3406)&lt;&gt;K3406,"Mismatch","OK")</f>
        <v>OK</v>
      </c>
      <c r="X3406" s="7" t="str">
        <f aca="false">IF(TEXT(H3406,"dddd")&lt;&gt;I3406,"Mismatch","OK")</f>
        <v>OK</v>
      </c>
      <c r="Y3406" s="7" t="str">
        <f aca="false">IF(AND(N3406="No",O3406&lt;&gt;""),"Unexpected: channel present but no reminder sent",IF(AND(N3406="Yes",O3406=""),"Missing channel for sent reminder","OK"))</f>
        <v>OK</v>
      </c>
    </row>
    <row r="3407" customFormat="false" ht="15" hidden="false" customHeight="false" outlineLevel="0" collapsed="false">
      <c r="A3407" s="9" t="s">
        <v>5006</v>
      </c>
      <c r="B3407" s="9" t="s">
        <v>5007</v>
      </c>
      <c r="C3407" s="9" t="s">
        <v>37</v>
      </c>
      <c r="D3407" s="9" t="n">
        <v>79</v>
      </c>
      <c r="E3407" s="9" t="s">
        <v>70</v>
      </c>
      <c r="F3407" s="9" t="s">
        <v>57</v>
      </c>
      <c r="G3407" s="10" t="n">
        <v>45844</v>
      </c>
      <c r="H3407" s="10" t="n">
        <v>45850</v>
      </c>
      <c r="I3407" s="9" t="s">
        <v>102</v>
      </c>
      <c r="J3407" s="9" t="s">
        <v>51</v>
      </c>
      <c r="K3407" s="9" t="n">
        <v>6</v>
      </c>
      <c r="L3407" s="9" t="n">
        <v>3</v>
      </c>
      <c r="M3407" s="9" t="n">
        <v>1</v>
      </c>
      <c r="N3407" s="9" t="s">
        <v>42</v>
      </c>
      <c r="O3407" s="9" t="s">
        <v>52</v>
      </c>
      <c r="P3407" s="9" t="n">
        <v>15.4</v>
      </c>
      <c r="Q3407" s="9" t="n">
        <v>39</v>
      </c>
      <c r="R3407" s="9" t="s">
        <v>44</v>
      </c>
      <c r="S3407" s="9"/>
      <c r="T3407" s="9"/>
      <c r="U3407" s="9" t="str">
        <f aca="false">IF(COUNTIF($A$2:$A$5001,A3407)&gt;1,"Duplicate","Unique")</f>
        <v>Unique</v>
      </c>
      <c r="V3407" s="9" t="str">
        <f aca="false">IF(COUNTIFS($B$2:$B$5001,B3407,$H$2:$H$5001,H3407,$J$2:$J$5001,J3407)&gt;1,"Possible Duplicate Booking","Unique")</f>
        <v>Unique</v>
      </c>
      <c r="W3407" s="9" t="str">
        <f aca="false">IF((H3407-G3407)&lt;&gt;K3407,"Mismatch","OK")</f>
        <v>OK</v>
      </c>
      <c r="X3407" s="9" t="str">
        <f aca="false">IF(TEXT(H3407,"dddd")&lt;&gt;I3407,"Mismatch","OK")</f>
        <v>OK</v>
      </c>
      <c r="Y3407" s="9" t="str">
        <f aca="false">IF(AND(N3407="No",O3407&lt;&gt;""),"Unexpected: channel present but no reminder sent",IF(AND(N3407="Yes",O3407=""),"Missing channel for sent reminder","OK"))</f>
        <v>OK</v>
      </c>
    </row>
    <row r="3408" customFormat="false" ht="15" hidden="false" customHeight="false" outlineLevel="0" collapsed="false">
      <c r="A3408" s="7" t="s">
        <v>5008</v>
      </c>
      <c r="B3408" s="7" t="s">
        <v>1930</v>
      </c>
      <c r="C3408" s="7" t="s">
        <v>47</v>
      </c>
      <c r="D3408" s="7" t="n">
        <v>21</v>
      </c>
      <c r="E3408" s="7" t="s">
        <v>82</v>
      </c>
      <c r="F3408" s="7" t="s">
        <v>39</v>
      </c>
      <c r="G3408" s="8" t="n">
        <v>45847</v>
      </c>
      <c r="H3408" s="8" t="n">
        <v>45852</v>
      </c>
      <c r="I3408" s="7" t="s">
        <v>66</v>
      </c>
      <c r="J3408" s="7" t="s">
        <v>41</v>
      </c>
      <c r="K3408" s="7" t="n">
        <v>5</v>
      </c>
      <c r="L3408" s="7" t="n">
        <v>2</v>
      </c>
      <c r="M3408" s="7" t="n">
        <v>1</v>
      </c>
      <c r="N3408" s="7" t="s">
        <v>71</v>
      </c>
      <c r="O3408" s="7"/>
      <c r="P3408" s="7" t="n">
        <v>13.3</v>
      </c>
      <c r="Q3408" s="7" t="n">
        <v>35</v>
      </c>
      <c r="R3408" s="7" t="s">
        <v>44</v>
      </c>
      <c r="S3408" s="7"/>
      <c r="T3408" s="7"/>
      <c r="U3408" s="7" t="str">
        <f aca="false">IF(COUNTIF($A$2:$A$5001,A3408)&gt;1,"Duplicate","Unique")</f>
        <v>Unique</v>
      </c>
      <c r="V3408" s="7" t="str">
        <f aca="false">IF(COUNTIFS($B$2:$B$5001,B3408,$H$2:$H$5001,H3408,$J$2:$J$5001,J3408)&gt;1,"Possible Duplicate Booking","Unique")</f>
        <v>Unique</v>
      </c>
      <c r="W3408" s="7" t="str">
        <f aca="false">IF((H3408-G3408)&lt;&gt;K3408,"Mismatch","OK")</f>
        <v>OK</v>
      </c>
      <c r="X3408" s="7" t="str">
        <f aca="false">IF(TEXT(H3408,"dddd")&lt;&gt;I3408,"Mismatch","OK")</f>
        <v>OK</v>
      </c>
      <c r="Y3408" s="7" t="str">
        <f aca="false">IF(AND(N3408="No",O3408&lt;&gt;""),"Unexpected: channel present but no reminder sent",IF(AND(N3408="Yes",O3408=""),"Missing channel for sent reminder","OK"))</f>
        <v>OK</v>
      </c>
    </row>
    <row r="3409" customFormat="false" ht="15" hidden="false" customHeight="false" outlineLevel="0" collapsed="false">
      <c r="A3409" s="9" t="s">
        <v>5009</v>
      </c>
      <c r="B3409" s="9" t="s">
        <v>1227</v>
      </c>
      <c r="C3409" s="9" t="s">
        <v>47</v>
      </c>
      <c r="D3409" s="9" t="n">
        <v>25</v>
      </c>
      <c r="E3409" s="9" t="s">
        <v>48</v>
      </c>
      <c r="F3409" s="9" t="s">
        <v>57</v>
      </c>
      <c r="G3409" s="10" t="n">
        <v>45969</v>
      </c>
      <c r="H3409" s="10" t="n">
        <v>46006</v>
      </c>
      <c r="I3409" s="9" t="s">
        <v>66</v>
      </c>
      <c r="J3409" s="9" t="s">
        <v>51</v>
      </c>
      <c r="K3409" s="9" t="n">
        <v>37</v>
      </c>
      <c r="L3409" s="9" t="n">
        <v>5</v>
      </c>
      <c r="M3409" s="9" t="n">
        <v>0</v>
      </c>
      <c r="N3409" s="9" t="s">
        <v>71</v>
      </c>
      <c r="O3409" s="9"/>
      <c r="P3409" s="9" t="n">
        <v>6.5</v>
      </c>
      <c r="Q3409" s="9" t="n">
        <v>14</v>
      </c>
      <c r="R3409" s="9" t="s">
        <v>87</v>
      </c>
      <c r="S3409" s="9"/>
      <c r="T3409" s="9"/>
      <c r="U3409" s="9" t="str">
        <f aca="false">IF(COUNTIF($A$2:$A$5001,A3409)&gt;1,"Duplicate","Unique")</f>
        <v>Unique</v>
      </c>
      <c r="V3409" s="9" t="str">
        <f aca="false">IF(COUNTIFS($B$2:$B$5001,B3409,$H$2:$H$5001,H3409,$J$2:$J$5001,J3409)&gt;1,"Possible Duplicate Booking","Unique")</f>
        <v>Unique</v>
      </c>
      <c r="W3409" s="9" t="str">
        <f aca="false">IF((H3409-G3409)&lt;&gt;K3409,"Mismatch","OK")</f>
        <v>OK</v>
      </c>
      <c r="X3409" s="9" t="str">
        <f aca="false">IF(TEXT(H3409,"dddd")&lt;&gt;I3409,"Mismatch","OK")</f>
        <v>OK</v>
      </c>
      <c r="Y3409" s="9" t="str">
        <f aca="false">IF(AND(N3409="No",O3409&lt;&gt;""),"Unexpected: channel present but no reminder sent",IF(AND(N3409="Yes",O3409=""),"Missing channel for sent reminder","OK"))</f>
        <v>OK</v>
      </c>
    </row>
    <row r="3410" customFormat="false" ht="15" hidden="false" customHeight="false" outlineLevel="0" collapsed="false">
      <c r="A3410" s="7" t="s">
        <v>5010</v>
      </c>
      <c r="B3410" s="7" t="s">
        <v>427</v>
      </c>
      <c r="C3410" s="7" t="s">
        <v>37</v>
      </c>
      <c r="D3410" s="7" t="n">
        <v>39</v>
      </c>
      <c r="E3410" s="7" t="s">
        <v>38</v>
      </c>
      <c r="F3410" s="7" t="s">
        <v>49</v>
      </c>
      <c r="G3410" s="8" t="n">
        <v>46016</v>
      </c>
      <c r="H3410" s="8" t="n">
        <v>46017</v>
      </c>
      <c r="I3410" s="7" t="s">
        <v>50</v>
      </c>
      <c r="J3410" s="7" t="s">
        <v>51</v>
      </c>
      <c r="K3410" s="7" t="n">
        <v>1</v>
      </c>
      <c r="L3410" s="7" t="n">
        <v>1</v>
      </c>
      <c r="M3410" s="7" t="n">
        <v>0</v>
      </c>
      <c r="N3410" s="7" t="s">
        <v>42</v>
      </c>
      <c r="O3410" s="7" t="s">
        <v>52</v>
      </c>
      <c r="P3410" s="7" t="n">
        <v>20.9</v>
      </c>
      <c r="Q3410" s="7" t="n">
        <v>33</v>
      </c>
      <c r="R3410" s="7" t="s">
        <v>53</v>
      </c>
      <c r="S3410" s="7"/>
      <c r="T3410" s="7"/>
      <c r="U3410" s="7" t="str">
        <f aca="false">IF(COUNTIF($A$2:$A$5001,A3410)&gt;1,"Duplicate","Unique")</f>
        <v>Unique</v>
      </c>
      <c r="V3410" s="7" t="str">
        <f aca="false">IF(COUNTIFS($B$2:$B$5001,B3410,$H$2:$H$5001,H3410,$J$2:$J$5001,J3410)&gt;1,"Possible Duplicate Booking","Unique")</f>
        <v>Unique</v>
      </c>
      <c r="W3410" s="7" t="str">
        <f aca="false">IF((H3410-G3410)&lt;&gt;K3410,"Mismatch","OK")</f>
        <v>OK</v>
      </c>
      <c r="X3410" s="7" t="str">
        <f aca="false">IF(TEXT(H3410,"dddd")&lt;&gt;I3410,"Mismatch","OK")</f>
        <v>OK</v>
      </c>
      <c r="Y3410" s="7" t="str">
        <f aca="false">IF(AND(N3410="No",O3410&lt;&gt;""),"Unexpected: channel present but no reminder sent",IF(AND(N3410="Yes",O3410=""),"Missing channel for sent reminder","OK"))</f>
        <v>OK</v>
      </c>
    </row>
    <row r="3411" customFormat="false" ht="15" hidden="false" customHeight="false" outlineLevel="0" collapsed="false">
      <c r="A3411" s="9" t="s">
        <v>5011</v>
      </c>
      <c r="B3411" s="9" t="s">
        <v>2718</v>
      </c>
      <c r="C3411" s="9" t="s">
        <v>47</v>
      </c>
      <c r="D3411" s="9" t="n">
        <v>46</v>
      </c>
      <c r="E3411" s="9" t="s">
        <v>56</v>
      </c>
      <c r="F3411" s="9" t="s">
        <v>74</v>
      </c>
      <c r="G3411" s="10" t="n">
        <v>45871</v>
      </c>
      <c r="H3411" s="10" t="n">
        <v>45916</v>
      </c>
      <c r="I3411" s="9" t="s">
        <v>40</v>
      </c>
      <c r="J3411" s="9" t="s">
        <v>51</v>
      </c>
      <c r="K3411" s="9" t="n">
        <v>45</v>
      </c>
      <c r="L3411" s="9" t="n">
        <v>5</v>
      </c>
      <c r="M3411" s="9" t="n">
        <v>2</v>
      </c>
      <c r="N3411" s="9" t="s">
        <v>71</v>
      </c>
      <c r="O3411" s="9"/>
      <c r="P3411" s="9" t="n">
        <v>5.1</v>
      </c>
      <c r="Q3411" s="9" t="n">
        <v>28</v>
      </c>
      <c r="R3411" s="9" t="s">
        <v>44</v>
      </c>
      <c r="S3411" s="9"/>
      <c r="T3411" s="9"/>
      <c r="U3411" s="9" t="str">
        <f aca="false">IF(COUNTIF($A$2:$A$5001,A3411)&gt;1,"Duplicate","Unique")</f>
        <v>Unique</v>
      </c>
      <c r="V3411" s="9" t="str">
        <f aca="false">IF(COUNTIFS($B$2:$B$5001,B3411,$H$2:$H$5001,H3411,$J$2:$J$5001,J3411)&gt;1,"Possible Duplicate Booking","Unique")</f>
        <v>Unique</v>
      </c>
      <c r="W3411" s="9" t="str">
        <f aca="false">IF((H3411-G3411)&lt;&gt;K3411,"Mismatch","OK")</f>
        <v>OK</v>
      </c>
      <c r="X3411" s="9" t="str">
        <f aca="false">IF(TEXT(H3411,"dddd")&lt;&gt;I3411,"Mismatch","OK")</f>
        <v>OK</v>
      </c>
      <c r="Y3411" s="9" t="str">
        <f aca="false">IF(AND(N3411="No",O3411&lt;&gt;""),"Unexpected: channel present but no reminder sent",IF(AND(N3411="Yes",O3411=""),"Missing channel for sent reminder","OK"))</f>
        <v>OK</v>
      </c>
    </row>
    <row r="3412" customFormat="false" ht="15" hidden="false" customHeight="false" outlineLevel="0" collapsed="false">
      <c r="A3412" s="7" t="s">
        <v>5012</v>
      </c>
      <c r="B3412" s="7" t="s">
        <v>1512</v>
      </c>
      <c r="C3412" s="7" t="s">
        <v>37</v>
      </c>
      <c r="D3412" s="7" t="n">
        <v>74</v>
      </c>
      <c r="E3412" s="7" t="s">
        <v>70</v>
      </c>
      <c r="F3412" s="7" t="s">
        <v>49</v>
      </c>
      <c r="G3412" s="8" t="n">
        <v>45641</v>
      </c>
      <c r="H3412" s="8" t="n">
        <v>45696</v>
      </c>
      <c r="I3412" s="7" t="s">
        <v>102</v>
      </c>
      <c r="J3412" s="7" t="s">
        <v>63</v>
      </c>
      <c r="K3412" s="7" t="n">
        <v>55</v>
      </c>
      <c r="L3412" s="7" t="n">
        <v>4</v>
      </c>
      <c r="M3412" s="7" t="n">
        <v>1</v>
      </c>
      <c r="N3412" s="7" t="s">
        <v>42</v>
      </c>
      <c r="O3412" s="7" t="s">
        <v>52</v>
      </c>
      <c r="P3412" s="7" t="n">
        <v>6.3</v>
      </c>
      <c r="Q3412" s="7" t="n">
        <v>39</v>
      </c>
      <c r="R3412" s="7" t="s">
        <v>53</v>
      </c>
      <c r="S3412" s="7"/>
      <c r="T3412" s="7"/>
      <c r="U3412" s="7" t="str">
        <f aca="false">IF(COUNTIF($A$2:$A$5001,A3412)&gt;1,"Duplicate","Unique")</f>
        <v>Unique</v>
      </c>
      <c r="V3412" s="7" t="str">
        <f aca="false">IF(COUNTIFS($B$2:$B$5001,B3412,$H$2:$H$5001,H3412,$J$2:$J$5001,J3412)&gt;1,"Possible Duplicate Booking","Unique")</f>
        <v>Unique</v>
      </c>
      <c r="W3412" s="7" t="str">
        <f aca="false">IF((H3412-G3412)&lt;&gt;K3412,"Mismatch","OK")</f>
        <v>OK</v>
      </c>
      <c r="X3412" s="7" t="str">
        <f aca="false">IF(TEXT(H3412,"dddd")&lt;&gt;I3412,"Mismatch","OK")</f>
        <v>OK</v>
      </c>
      <c r="Y3412" s="7" t="str">
        <f aca="false">IF(AND(N3412="No",O3412&lt;&gt;""),"Unexpected: channel present but no reminder sent",IF(AND(N3412="Yes",O3412=""),"Missing channel for sent reminder","OK"))</f>
        <v>OK</v>
      </c>
    </row>
    <row r="3413" customFormat="false" ht="15" hidden="false" customHeight="false" outlineLevel="0" collapsed="false">
      <c r="A3413" s="9" t="s">
        <v>5013</v>
      </c>
      <c r="B3413" s="9" t="s">
        <v>2973</v>
      </c>
      <c r="C3413" s="9" t="s">
        <v>47</v>
      </c>
      <c r="D3413" s="9" t="n">
        <v>49</v>
      </c>
      <c r="E3413" s="9" t="s">
        <v>56</v>
      </c>
      <c r="F3413" s="9" t="s">
        <v>39</v>
      </c>
      <c r="G3413" s="10" t="n">
        <v>46151</v>
      </c>
      <c r="H3413" s="10" t="n">
        <v>46196</v>
      </c>
      <c r="I3413" s="9" t="s">
        <v>40</v>
      </c>
      <c r="J3413" s="9" t="s">
        <v>41</v>
      </c>
      <c r="K3413" s="9" t="n">
        <v>45</v>
      </c>
      <c r="L3413" s="9" t="n">
        <v>3</v>
      </c>
      <c r="M3413" s="9" t="n">
        <v>2</v>
      </c>
      <c r="N3413" s="9" t="s">
        <v>42</v>
      </c>
      <c r="O3413" s="9" t="s">
        <v>43</v>
      </c>
      <c r="P3413" s="9" t="n">
        <v>9.2</v>
      </c>
      <c r="Q3413" s="9" t="n">
        <v>24</v>
      </c>
      <c r="R3413" s="9" t="s">
        <v>44</v>
      </c>
      <c r="S3413" s="9"/>
      <c r="T3413" s="9"/>
      <c r="U3413" s="9" t="str">
        <f aca="false">IF(COUNTIF($A$2:$A$5001,A3413)&gt;1,"Duplicate","Unique")</f>
        <v>Unique</v>
      </c>
      <c r="V3413" s="9" t="str">
        <f aca="false">IF(COUNTIFS($B$2:$B$5001,B3413,$H$2:$H$5001,H3413,$J$2:$J$5001,J3413)&gt;1,"Possible Duplicate Booking","Unique")</f>
        <v>Unique</v>
      </c>
      <c r="W3413" s="9" t="str">
        <f aca="false">IF((H3413-G3413)&lt;&gt;K3413,"Mismatch","OK")</f>
        <v>OK</v>
      </c>
      <c r="X3413" s="9" t="str">
        <f aca="false">IF(TEXT(H3413,"dddd")&lt;&gt;I3413,"Mismatch","OK")</f>
        <v>OK</v>
      </c>
      <c r="Y3413" s="9" t="str">
        <f aca="false">IF(AND(N3413="No",O3413&lt;&gt;""),"Unexpected: channel present but no reminder sent",IF(AND(N3413="Yes",O3413=""),"Missing channel for sent reminder","OK"))</f>
        <v>OK</v>
      </c>
    </row>
    <row r="3414" customFormat="false" ht="15" hidden="false" customHeight="false" outlineLevel="0" collapsed="false">
      <c r="A3414" s="7" t="s">
        <v>5014</v>
      </c>
      <c r="B3414" s="7" t="s">
        <v>1704</v>
      </c>
      <c r="C3414" s="7" t="s">
        <v>37</v>
      </c>
      <c r="D3414" s="7" t="n">
        <v>45</v>
      </c>
      <c r="E3414" s="7" t="s">
        <v>56</v>
      </c>
      <c r="F3414" s="7" t="s">
        <v>39</v>
      </c>
      <c r="G3414" s="8" t="n">
        <v>45765</v>
      </c>
      <c r="H3414" s="8" t="n">
        <v>45779</v>
      </c>
      <c r="I3414" s="7" t="s">
        <v>50</v>
      </c>
      <c r="J3414" s="7" t="s">
        <v>51</v>
      </c>
      <c r="K3414" s="7" t="n">
        <v>14</v>
      </c>
      <c r="L3414" s="7" t="n">
        <v>2</v>
      </c>
      <c r="M3414" s="7" t="n">
        <v>0</v>
      </c>
      <c r="N3414" s="7" t="s">
        <v>42</v>
      </c>
      <c r="O3414" s="7" t="s">
        <v>52</v>
      </c>
      <c r="P3414" s="7" t="n">
        <v>12.8</v>
      </c>
      <c r="Q3414" s="7" t="n">
        <v>37</v>
      </c>
      <c r="R3414" s="7" t="s">
        <v>53</v>
      </c>
      <c r="S3414" s="7"/>
      <c r="T3414" s="7"/>
      <c r="U3414" s="7" t="str">
        <f aca="false">IF(COUNTIF($A$2:$A$5001,A3414)&gt;1,"Duplicate","Unique")</f>
        <v>Unique</v>
      </c>
      <c r="V3414" s="7" t="str">
        <f aca="false">IF(COUNTIFS($B$2:$B$5001,B3414,$H$2:$H$5001,H3414,$J$2:$J$5001,J3414)&gt;1,"Possible Duplicate Booking","Unique")</f>
        <v>Unique</v>
      </c>
      <c r="W3414" s="7" t="str">
        <f aca="false">IF((H3414-G3414)&lt;&gt;K3414,"Mismatch","OK")</f>
        <v>OK</v>
      </c>
      <c r="X3414" s="7" t="str">
        <f aca="false">IF(TEXT(H3414,"dddd")&lt;&gt;I3414,"Mismatch","OK")</f>
        <v>OK</v>
      </c>
      <c r="Y3414" s="7" t="str">
        <f aca="false">IF(AND(N3414="No",O3414&lt;&gt;""),"Unexpected: channel present but no reminder sent",IF(AND(N3414="Yes",O3414=""),"Missing channel for sent reminder","OK"))</f>
        <v>OK</v>
      </c>
    </row>
    <row r="3415" customFormat="false" ht="15" hidden="false" customHeight="false" outlineLevel="0" collapsed="false">
      <c r="A3415" s="9" t="s">
        <v>5015</v>
      </c>
      <c r="B3415" s="9" t="s">
        <v>2588</v>
      </c>
      <c r="C3415" s="9" t="s">
        <v>47</v>
      </c>
      <c r="D3415" s="9" t="n">
        <v>28</v>
      </c>
      <c r="E3415" s="9" t="s">
        <v>48</v>
      </c>
      <c r="F3415" s="9" t="s">
        <v>39</v>
      </c>
      <c r="G3415" s="10" t="n">
        <v>45698</v>
      </c>
      <c r="H3415" s="10" t="n">
        <v>45709</v>
      </c>
      <c r="I3415" s="9" t="s">
        <v>50</v>
      </c>
      <c r="J3415" s="9" t="s">
        <v>41</v>
      </c>
      <c r="K3415" s="9" t="n">
        <v>11</v>
      </c>
      <c r="L3415" s="9" t="n">
        <v>2</v>
      </c>
      <c r="M3415" s="9" t="n">
        <v>0</v>
      </c>
      <c r="N3415" s="9" t="s">
        <v>42</v>
      </c>
      <c r="O3415" s="9" t="s">
        <v>52</v>
      </c>
      <c r="P3415" s="9" t="n">
        <v>19</v>
      </c>
      <c r="Q3415" s="9" t="n">
        <v>25</v>
      </c>
      <c r="R3415" s="9" t="s">
        <v>53</v>
      </c>
      <c r="S3415" s="9"/>
      <c r="T3415" s="9"/>
      <c r="U3415" s="9" t="str">
        <f aca="false">IF(COUNTIF($A$2:$A$5001,A3415)&gt;1,"Duplicate","Unique")</f>
        <v>Unique</v>
      </c>
      <c r="V3415" s="9" t="str">
        <f aca="false">IF(COUNTIFS($B$2:$B$5001,B3415,$H$2:$H$5001,H3415,$J$2:$J$5001,J3415)&gt;1,"Possible Duplicate Booking","Unique")</f>
        <v>Unique</v>
      </c>
      <c r="W3415" s="9" t="str">
        <f aca="false">IF((H3415-G3415)&lt;&gt;K3415,"Mismatch","OK")</f>
        <v>OK</v>
      </c>
      <c r="X3415" s="9" t="str">
        <f aca="false">IF(TEXT(H3415,"dddd")&lt;&gt;I3415,"Mismatch","OK")</f>
        <v>OK</v>
      </c>
      <c r="Y3415" s="9" t="str">
        <f aca="false">IF(AND(N3415="No",O3415&lt;&gt;""),"Unexpected: channel present but no reminder sent",IF(AND(N3415="Yes",O3415=""),"Missing channel for sent reminder","OK"))</f>
        <v>OK</v>
      </c>
    </row>
    <row r="3416" customFormat="false" ht="15" hidden="false" customHeight="false" outlineLevel="0" collapsed="false">
      <c r="A3416" s="7" t="s">
        <v>5016</v>
      </c>
      <c r="B3416" s="7" t="s">
        <v>5017</v>
      </c>
      <c r="C3416" s="7" t="s">
        <v>37</v>
      </c>
      <c r="D3416" s="7" t="n">
        <v>45</v>
      </c>
      <c r="E3416" s="7" t="s">
        <v>56</v>
      </c>
      <c r="F3416" s="7" t="s">
        <v>74</v>
      </c>
      <c r="G3416" s="8" t="n">
        <v>45943</v>
      </c>
      <c r="H3416" s="8" t="n">
        <v>45984</v>
      </c>
      <c r="I3416" s="7" t="s">
        <v>75</v>
      </c>
      <c r="J3416" s="7" t="s">
        <v>63</v>
      </c>
      <c r="K3416" s="7" t="n">
        <v>41</v>
      </c>
      <c r="L3416" s="7" t="n">
        <v>2</v>
      </c>
      <c r="M3416" s="7" t="n">
        <v>2</v>
      </c>
      <c r="N3416" s="7" t="s">
        <v>71</v>
      </c>
      <c r="O3416" s="7"/>
      <c r="P3416" s="7" t="n">
        <v>6.4</v>
      </c>
      <c r="Q3416" s="7" t="n">
        <v>26</v>
      </c>
      <c r="R3416" s="7" t="s">
        <v>87</v>
      </c>
      <c r="S3416" s="7"/>
      <c r="T3416" s="7"/>
      <c r="U3416" s="7" t="str">
        <f aca="false">IF(COUNTIF($A$2:$A$5001,A3416)&gt;1,"Duplicate","Unique")</f>
        <v>Unique</v>
      </c>
      <c r="V3416" s="7" t="str">
        <f aca="false">IF(COUNTIFS($B$2:$B$5001,B3416,$H$2:$H$5001,H3416,$J$2:$J$5001,J3416)&gt;1,"Possible Duplicate Booking","Unique")</f>
        <v>Unique</v>
      </c>
      <c r="W3416" s="7" t="str">
        <f aca="false">IF((H3416-G3416)&lt;&gt;K3416,"Mismatch","OK")</f>
        <v>OK</v>
      </c>
      <c r="X3416" s="7" t="str">
        <f aca="false">IF(TEXT(H3416,"dddd")&lt;&gt;I3416,"Mismatch","OK")</f>
        <v>OK</v>
      </c>
      <c r="Y3416" s="7" t="str">
        <f aca="false">IF(AND(N3416="No",O3416&lt;&gt;""),"Unexpected: channel present but no reminder sent",IF(AND(N3416="Yes",O3416=""),"Missing channel for sent reminder","OK"))</f>
        <v>OK</v>
      </c>
    </row>
    <row r="3417" customFormat="false" ht="15" hidden="false" customHeight="false" outlineLevel="0" collapsed="false">
      <c r="A3417" s="9" t="s">
        <v>5018</v>
      </c>
      <c r="B3417" s="9" t="s">
        <v>5019</v>
      </c>
      <c r="C3417" s="9" t="s">
        <v>37</v>
      </c>
      <c r="D3417" s="9" t="n">
        <v>51</v>
      </c>
      <c r="E3417" s="9" t="s">
        <v>56</v>
      </c>
      <c r="F3417" s="9" t="s">
        <v>74</v>
      </c>
      <c r="G3417" s="10" t="n">
        <v>45880</v>
      </c>
      <c r="H3417" s="10" t="n">
        <v>45883</v>
      </c>
      <c r="I3417" s="9" t="s">
        <v>62</v>
      </c>
      <c r="J3417" s="9" t="s">
        <v>51</v>
      </c>
      <c r="K3417" s="9" t="n">
        <v>3</v>
      </c>
      <c r="L3417" s="9" t="n">
        <v>4</v>
      </c>
      <c r="M3417" s="9" t="n">
        <v>1</v>
      </c>
      <c r="N3417" s="9" t="s">
        <v>42</v>
      </c>
      <c r="O3417" s="9" t="s">
        <v>52</v>
      </c>
      <c r="P3417" s="9" t="n">
        <v>9.4</v>
      </c>
      <c r="Q3417" s="9" t="n">
        <v>31</v>
      </c>
      <c r="R3417" s="9" t="s">
        <v>44</v>
      </c>
      <c r="S3417" s="9"/>
      <c r="T3417" s="9"/>
      <c r="U3417" s="9" t="str">
        <f aca="false">IF(COUNTIF($A$2:$A$5001,A3417)&gt;1,"Duplicate","Unique")</f>
        <v>Unique</v>
      </c>
      <c r="V3417" s="9" t="str">
        <f aca="false">IF(COUNTIFS($B$2:$B$5001,B3417,$H$2:$H$5001,H3417,$J$2:$J$5001,J3417)&gt;1,"Possible Duplicate Booking","Unique")</f>
        <v>Unique</v>
      </c>
      <c r="W3417" s="9" t="str">
        <f aca="false">IF((H3417-G3417)&lt;&gt;K3417,"Mismatch","OK")</f>
        <v>OK</v>
      </c>
      <c r="X3417" s="9" t="str">
        <f aca="false">IF(TEXT(H3417,"dddd")&lt;&gt;I3417,"Mismatch","OK")</f>
        <v>OK</v>
      </c>
      <c r="Y3417" s="9" t="str">
        <f aca="false">IF(AND(N3417="No",O3417&lt;&gt;""),"Unexpected: channel present but no reminder sent",IF(AND(N3417="Yes",O3417=""),"Missing channel for sent reminder","OK"))</f>
        <v>OK</v>
      </c>
    </row>
    <row r="3418" customFormat="false" ht="15" hidden="false" customHeight="false" outlineLevel="0" collapsed="false">
      <c r="A3418" s="7" t="s">
        <v>5020</v>
      </c>
      <c r="B3418" s="7" t="s">
        <v>929</v>
      </c>
      <c r="C3418" s="7" t="s">
        <v>47</v>
      </c>
      <c r="D3418" s="7" t="n">
        <v>54</v>
      </c>
      <c r="E3418" s="7" t="s">
        <v>56</v>
      </c>
      <c r="F3418" s="7" t="s">
        <v>39</v>
      </c>
      <c r="G3418" s="8" t="n">
        <v>45962</v>
      </c>
      <c r="H3418" s="8" t="n">
        <v>45994</v>
      </c>
      <c r="I3418" s="7" t="s">
        <v>58</v>
      </c>
      <c r="J3418" s="7" t="s">
        <v>41</v>
      </c>
      <c r="K3418" s="7" t="n">
        <v>32</v>
      </c>
      <c r="L3418" s="7" t="n">
        <v>5</v>
      </c>
      <c r="M3418" s="7" t="n">
        <v>0</v>
      </c>
      <c r="N3418" s="7" t="s">
        <v>42</v>
      </c>
      <c r="O3418" s="7" t="s">
        <v>67</v>
      </c>
      <c r="P3418" s="7" t="n">
        <v>21</v>
      </c>
      <c r="Q3418" s="7" t="n">
        <v>21</v>
      </c>
      <c r="R3418" s="7" t="s">
        <v>44</v>
      </c>
      <c r="S3418" s="7"/>
      <c r="T3418" s="7"/>
      <c r="U3418" s="7" t="str">
        <f aca="false">IF(COUNTIF($A$2:$A$5001,A3418)&gt;1,"Duplicate","Unique")</f>
        <v>Unique</v>
      </c>
      <c r="V3418" s="7" t="str">
        <f aca="false">IF(COUNTIFS($B$2:$B$5001,B3418,$H$2:$H$5001,H3418,$J$2:$J$5001,J3418)&gt;1,"Possible Duplicate Booking","Unique")</f>
        <v>Unique</v>
      </c>
      <c r="W3418" s="7" t="str">
        <f aca="false">IF((H3418-G3418)&lt;&gt;K3418,"Mismatch","OK")</f>
        <v>OK</v>
      </c>
      <c r="X3418" s="7" t="str">
        <f aca="false">IF(TEXT(H3418,"dddd")&lt;&gt;I3418,"Mismatch","OK")</f>
        <v>OK</v>
      </c>
      <c r="Y3418" s="7" t="str">
        <f aca="false">IF(AND(N3418="No",O3418&lt;&gt;""),"Unexpected: channel present but no reminder sent",IF(AND(N3418="Yes",O3418=""),"Missing channel for sent reminder","OK"))</f>
        <v>OK</v>
      </c>
    </row>
    <row r="3419" customFormat="false" ht="15" hidden="false" customHeight="false" outlineLevel="0" collapsed="false">
      <c r="A3419" s="9" t="s">
        <v>5021</v>
      </c>
      <c r="B3419" s="9" t="s">
        <v>4449</v>
      </c>
      <c r="C3419" s="9" t="s">
        <v>37</v>
      </c>
      <c r="D3419" s="9" t="n">
        <v>56</v>
      </c>
      <c r="E3419" s="9" t="s">
        <v>61</v>
      </c>
      <c r="F3419" s="9" t="s">
        <v>39</v>
      </c>
      <c r="G3419" s="10" t="n">
        <v>46109</v>
      </c>
      <c r="H3419" s="10" t="n">
        <v>46136</v>
      </c>
      <c r="I3419" s="9" t="s">
        <v>50</v>
      </c>
      <c r="J3419" s="9" t="s">
        <v>51</v>
      </c>
      <c r="K3419" s="9" t="n">
        <v>27</v>
      </c>
      <c r="L3419" s="9" t="n">
        <v>3</v>
      </c>
      <c r="M3419" s="9" t="n">
        <v>1</v>
      </c>
      <c r="N3419" s="9" t="s">
        <v>71</v>
      </c>
      <c r="O3419" s="9"/>
      <c r="P3419" s="9" t="n">
        <v>16.1</v>
      </c>
      <c r="Q3419" s="9" t="n">
        <v>30</v>
      </c>
      <c r="R3419" s="9" t="s">
        <v>44</v>
      </c>
      <c r="S3419" s="9"/>
      <c r="T3419" s="9"/>
      <c r="U3419" s="9" t="str">
        <f aca="false">IF(COUNTIF($A$2:$A$5001,A3419)&gt;1,"Duplicate","Unique")</f>
        <v>Unique</v>
      </c>
      <c r="V3419" s="9" t="str">
        <f aca="false">IF(COUNTIFS($B$2:$B$5001,B3419,$H$2:$H$5001,H3419,$J$2:$J$5001,J3419)&gt;1,"Possible Duplicate Booking","Unique")</f>
        <v>Unique</v>
      </c>
      <c r="W3419" s="9" t="str">
        <f aca="false">IF((H3419-G3419)&lt;&gt;K3419,"Mismatch","OK")</f>
        <v>OK</v>
      </c>
      <c r="X3419" s="9" t="str">
        <f aca="false">IF(TEXT(H3419,"dddd")&lt;&gt;I3419,"Mismatch","OK")</f>
        <v>OK</v>
      </c>
      <c r="Y3419" s="9" t="str">
        <f aca="false">IF(AND(N3419="No",O3419&lt;&gt;""),"Unexpected: channel present but no reminder sent",IF(AND(N3419="Yes",O3419=""),"Missing channel for sent reminder","OK"))</f>
        <v>OK</v>
      </c>
    </row>
    <row r="3420" customFormat="false" ht="15" hidden="false" customHeight="false" outlineLevel="0" collapsed="false">
      <c r="A3420" s="7" t="s">
        <v>5022</v>
      </c>
      <c r="B3420" s="7" t="s">
        <v>2013</v>
      </c>
      <c r="C3420" s="7" t="s">
        <v>37</v>
      </c>
      <c r="D3420" s="7" t="n">
        <v>45</v>
      </c>
      <c r="E3420" s="7" t="s">
        <v>56</v>
      </c>
      <c r="F3420" s="7" t="s">
        <v>49</v>
      </c>
      <c r="G3420" s="8" t="n">
        <v>45666</v>
      </c>
      <c r="H3420" s="8" t="n">
        <v>45711</v>
      </c>
      <c r="I3420" s="7" t="s">
        <v>75</v>
      </c>
      <c r="J3420" s="7" t="s">
        <v>51</v>
      </c>
      <c r="K3420" s="7" t="n">
        <v>45</v>
      </c>
      <c r="L3420" s="7" t="n">
        <v>5</v>
      </c>
      <c r="M3420" s="7" t="n">
        <v>0</v>
      </c>
      <c r="N3420" s="7" t="s">
        <v>71</v>
      </c>
      <c r="O3420" s="7"/>
      <c r="P3420" s="7" t="n">
        <v>11.6</v>
      </c>
      <c r="Q3420" s="7" t="n">
        <v>7</v>
      </c>
      <c r="R3420" s="7" t="s">
        <v>44</v>
      </c>
      <c r="S3420" s="7"/>
      <c r="T3420" s="7"/>
      <c r="U3420" s="7" t="str">
        <f aca="false">IF(COUNTIF($A$2:$A$5001,A3420)&gt;1,"Duplicate","Unique")</f>
        <v>Unique</v>
      </c>
      <c r="V3420" s="7" t="str">
        <f aca="false">IF(COUNTIFS($B$2:$B$5001,B3420,$H$2:$H$5001,H3420,$J$2:$J$5001,J3420)&gt;1,"Possible Duplicate Booking","Unique")</f>
        <v>Unique</v>
      </c>
      <c r="W3420" s="7" t="str">
        <f aca="false">IF((H3420-G3420)&lt;&gt;K3420,"Mismatch","OK")</f>
        <v>OK</v>
      </c>
      <c r="X3420" s="7" t="str">
        <f aca="false">IF(TEXT(H3420,"dddd")&lt;&gt;I3420,"Mismatch","OK")</f>
        <v>OK</v>
      </c>
      <c r="Y3420" s="7" t="str">
        <f aca="false">IF(AND(N3420="No",O3420&lt;&gt;""),"Unexpected: channel present but no reminder sent",IF(AND(N3420="Yes",O3420=""),"Missing channel for sent reminder","OK"))</f>
        <v>OK</v>
      </c>
    </row>
    <row r="3421" customFormat="false" ht="15" hidden="false" customHeight="false" outlineLevel="0" collapsed="false">
      <c r="A3421" s="9" t="s">
        <v>5023</v>
      </c>
      <c r="B3421" s="9" t="s">
        <v>3391</v>
      </c>
      <c r="C3421" s="9" t="s">
        <v>37</v>
      </c>
      <c r="D3421" s="9" t="n">
        <v>27</v>
      </c>
      <c r="E3421" s="9" t="s">
        <v>48</v>
      </c>
      <c r="F3421" s="9" t="s">
        <v>57</v>
      </c>
      <c r="G3421" s="10" t="n">
        <v>45801</v>
      </c>
      <c r="H3421" s="10" t="n">
        <v>45813</v>
      </c>
      <c r="I3421" s="9" t="s">
        <v>62</v>
      </c>
      <c r="J3421" s="9" t="s">
        <v>63</v>
      </c>
      <c r="K3421" s="9" t="n">
        <v>12</v>
      </c>
      <c r="L3421" s="9" t="n">
        <v>4</v>
      </c>
      <c r="M3421" s="9" t="n">
        <v>1</v>
      </c>
      <c r="N3421" s="9" t="s">
        <v>71</v>
      </c>
      <c r="O3421" s="9"/>
      <c r="P3421" s="9" t="n">
        <v>10.2</v>
      </c>
      <c r="Q3421" s="9" t="n">
        <v>29</v>
      </c>
      <c r="R3421" s="9" t="s">
        <v>44</v>
      </c>
      <c r="S3421" s="9"/>
      <c r="T3421" s="9"/>
      <c r="U3421" s="9" t="str">
        <f aca="false">IF(COUNTIF($A$2:$A$5001,A3421)&gt;1,"Duplicate","Unique")</f>
        <v>Unique</v>
      </c>
      <c r="V3421" s="9" t="str">
        <f aca="false">IF(COUNTIFS($B$2:$B$5001,B3421,$H$2:$H$5001,H3421,$J$2:$J$5001,J3421)&gt;1,"Possible Duplicate Booking","Unique")</f>
        <v>Unique</v>
      </c>
      <c r="W3421" s="9" t="str">
        <f aca="false">IF((H3421-G3421)&lt;&gt;K3421,"Mismatch","OK")</f>
        <v>OK</v>
      </c>
      <c r="X3421" s="9" t="str">
        <f aca="false">IF(TEXT(H3421,"dddd")&lt;&gt;I3421,"Mismatch","OK")</f>
        <v>OK</v>
      </c>
      <c r="Y3421" s="9" t="str">
        <f aca="false">IF(AND(N3421="No",O3421&lt;&gt;""),"Unexpected: channel present but no reminder sent",IF(AND(N3421="Yes",O3421=""),"Missing channel for sent reminder","OK"))</f>
        <v>OK</v>
      </c>
    </row>
    <row r="3422" customFormat="false" ht="15" hidden="false" customHeight="false" outlineLevel="0" collapsed="false">
      <c r="A3422" s="7" t="s">
        <v>5024</v>
      </c>
      <c r="B3422" s="7" t="s">
        <v>4458</v>
      </c>
      <c r="C3422" s="7" t="s">
        <v>47</v>
      </c>
      <c r="D3422" s="7" t="n">
        <v>27</v>
      </c>
      <c r="E3422" s="7" t="s">
        <v>48</v>
      </c>
      <c r="F3422" s="7" t="s">
        <v>39</v>
      </c>
      <c r="G3422" s="8" t="n">
        <v>45894</v>
      </c>
      <c r="H3422" s="8" t="n">
        <v>45940</v>
      </c>
      <c r="I3422" s="7" t="s">
        <v>50</v>
      </c>
      <c r="J3422" s="7" t="s">
        <v>51</v>
      </c>
      <c r="K3422" s="7" t="n">
        <v>46</v>
      </c>
      <c r="L3422" s="7" t="n">
        <v>5</v>
      </c>
      <c r="M3422" s="7" t="n">
        <v>0</v>
      </c>
      <c r="N3422" s="7" t="s">
        <v>42</v>
      </c>
      <c r="O3422" s="7" t="s">
        <v>52</v>
      </c>
      <c r="P3422" s="7" t="n">
        <v>2.6</v>
      </c>
      <c r="Q3422" s="7" t="n">
        <v>10</v>
      </c>
      <c r="R3422" s="7" t="s">
        <v>53</v>
      </c>
      <c r="S3422" s="7"/>
      <c r="T3422" s="7"/>
      <c r="U3422" s="7" t="str">
        <f aca="false">IF(COUNTIF($A$2:$A$5001,A3422)&gt;1,"Duplicate","Unique")</f>
        <v>Unique</v>
      </c>
      <c r="V3422" s="7" t="str">
        <f aca="false">IF(COUNTIFS($B$2:$B$5001,B3422,$H$2:$H$5001,H3422,$J$2:$J$5001,J3422)&gt;1,"Possible Duplicate Booking","Unique")</f>
        <v>Unique</v>
      </c>
      <c r="W3422" s="7" t="str">
        <f aca="false">IF((H3422-G3422)&lt;&gt;K3422,"Mismatch","OK")</f>
        <v>OK</v>
      </c>
      <c r="X3422" s="7" t="str">
        <f aca="false">IF(TEXT(H3422,"dddd")&lt;&gt;I3422,"Mismatch","OK")</f>
        <v>OK</v>
      </c>
      <c r="Y3422" s="7" t="str">
        <f aca="false">IF(AND(N3422="No",O3422&lt;&gt;""),"Unexpected: channel present but no reminder sent",IF(AND(N3422="Yes",O3422=""),"Missing channel for sent reminder","OK"))</f>
        <v>OK</v>
      </c>
    </row>
    <row r="3423" customFormat="false" ht="15" hidden="false" customHeight="false" outlineLevel="0" collapsed="false">
      <c r="A3423" s="9" t="s">
        <v>5025</v>
      </c>
      <c r="B3423" s="9" t="s">
        <v>737</v>
      </c>
      <c r="C3423" s="9" t="s">
        <v>37</v>
      </c>
      <c r="D3423" s="9" t="n">
        <v>27</v>
      </c>
      <c r="E3423" s="9" t="s">
        <v>48</v>
      </c>
      <c r="F3423" s="9" t="s">
        <v>39</v>
      </c>
      <c r="G3423" s="10" t="n">
        <v>46046</v>
      </c>
      <c r="H3423" s="10" t="n">
        <v>46088</v>
      </c>
      <c r="I3423" s="9" t="s">
        <v>102</v>
      </c>
      <c r="J3423" s="9" t="s">
        <v>41</v>
      </c>
      <c r="K3423" s="9" t="n">
        <v>42</v>
      </c>
      <c r="L3423" s="9" t="n">
        <v>2</v>
      </c>
      <c r="M3423" s="9" t="n">
        <v>2</v>
      </c>
      <c r="N3423" s="9" t="s">
        <v>42</v>
      </c>
      <c r="O3423" s="9" t="s">
        <v>43</v>
      </c>
      <c r="P3423" s="9" t="n">
        <v>12.7</v>
      </c>
      <c r="Q3423" s="9" t="n">
        <v>30</v>
      </c>
      <c r="R3423" s="9" t="s">
        <v>44</v>
      </c>
      <c r="S3423" s="9"/>
      <c r="T3423" s="9"/>
      <c r="U3423" s="9" t="str">
        <f aca="false">IF(COUNTIF($A$2:$A$5001,A3423)&gt;1,"Duplicate","Unique")</f>
        <v>Unique</v>
      </c>
      <c r="V3423" s="9" t="str">
        <f aca="false">IF(COUNTIFS($B$2:$B$5001,B3423,$H$2:$H$5001,H3423,$J$2:$J$5001,J3423)&gt;1,"Possible Duplicate Booking","Unique")</f>
        <v>Unique</v>
      </c>
      <c r="W3423" s="9" t="str">
        <f aca="false">IF((H3423-G3423)&lt;&gt;K3423,"Mismatch","OK")</f>
        <v>OK</v>
      </c>
      <c r="X3423" s="9" t="str">
        <f aca="false">IF(TEXT(H3423,"dddd")&lt;&gt;I3423,"Mismatch","OK")</f>
        <v>OK</v>
      </c>
      <c r="Y3423" s="9" t="str">
        <f aca="false">IF(AND(N3423="No",O3423&lt;&gt;""),"Unexpected: channel present but no reminder sent",IF(AND(N3423="Yes",O3423=""),"Missing channel for sent reminder","OK"))</f>
        <v>OK</v>
      </c>
    </row>
    <row r="3424" customFormat="false" ht="15" hidden="false" customHeight="false" outlineLevel="0" collapsed="false">
      <c r="A3424" s="7" t="s">
        <v>5026</v>
      </c>
      <c r="B3424" s="7" t="s">
        <v>1747</v>
      </c>
      <c r="C3424" s="7" t="s">
        <v>47</v>
      </c>
      <c r="D3424" s="7" t="n">
        <v>56</v>
      </c>
      <c r="E3424" s="7" t="s">
        <v>61</v>
      </c>
      <c r="F3424" s="7" t="s">
        <v>49</v>
      </c>
      <c r="G3424" s="8" t="n">
        <v>45971</v>
      </c>
      <c r="H3424" s="8" t="n">
        <v>45985</v>
      </c>
      <c r="I3424" s="7" t="s">
        <v>66</v>
      </c>
      <c r="J3424" s="7" t="s">
        <v>51</v>
      </c>
      <c r="K3424" s="7" t="n">
        <v>14</v>
      </c>
      <c r="L3424" s="7" t="n">
        <v>3</v>
      </c>
      <c r="M3424" s="7" t="n">
        <v>2</v>
      </c>
      <c r="N3424" s="7" t="s">
        <v>42</v>
      </c>
      <c r="O3424" s="7" t="s">
        <v>52</v>
      </c>
      <c r="P3424" s="7" t="n">
        <v>6.8</v>
      </c>
      <c r="Q3424" s="7" t="n">
        <v>2</v>
      </c>
      <c r="R3424" s="7" t="s">
        <v>53</v>
      </c>
      <c r="S3424" s="7"/>
      <c r="T3424" s="7"/>
      <c r="U3424" s="7" t="str">
        <f aca="false">IF(COUNTIF($A$2:$A$5001,A3424)&gt;1,"Duplicate","Unique")</f>
        <v>Unique</v>
      </c>
      <c r="V3424" s="7" t="str">
        <f aca="false">IF(COUNTIFS($B$2:$B$5001,B3424,$H$2:$H$5001,H3424,$J$2:$J$5001,J3424)&gt;1,"Possible Duplicate Booking","Unique")</f>
        <v>Unique</v>
      </c>
      <c r="W3424" s="7" t="str">
        <f aca="false">IF((H3424-G3424)&lt;&gt;K3424,"Mismatch","OK")</f>
        <v>OK</v>
      </c>
      <c r="X3424" s="7" t="str">
        <f aca="false">IF(TEXT(H3424,"dddd")&lt;&gt;I3424,"Mismatch","OK")</f>
        <v>OK</v>
      </c>
      <c r="Y3424" s="7" t="str">
        <f aca="false">IF(AND(N3424="No",O3424&lt;&gt;""),"Unexpected: channel present but no reminder sent",IF(AND(N3424="Yes",O3424=""),"Missing channel for sent reminder","OK"))</f>
        <v>OK</v>
      </c>
    </row>
    <row r="3425" customFormat="false" ht="15" hidden="false" customHeight="false" outlineLevel="0" collapsed="false">
      <c r="A3425" s="9" t="s">
        <v>5027</v>
      </c>
      <c r="B3425" s="9" t="s">
        <v>5028</v>
      </c>
      <c r="C3425" s="9" t="s">
        <v>37</v>
      </c>
      <c r="D3425" s="9" t="n">
        <v>71</v>
      </c>
      <c r="E3425" s="9" t="s">
        <v>70</v>
      </c>
      <c r="F3425" s="9" t="s">
        <v>57</v>
      </c>
      <c r="G3425" s="10" t="n">
        <v>45845</v>
      </c>
      <c r="H3425" s="10" t="n">
        <v>45866</v>
      </c>
      <c r="I3425" s="9" t="s">
        <v>66</v>
      </c>
      <c r="J3425" s="9" t="s">
        <v>41</v>
      </c>
      <c r="K3425" s="9" t="n">
        <v>21</v>
      </c>
      <c r="L3425" s="9" t="n">
        <v>4</v>
      </c>
      <c r="M3425" s="9" t="n">
        <v>2</v>
      </c>
      <c r="N3425" s="9" t="s">
        <v>42</v>
      </c>
      <c r="O3425" s="9" t="s">
        <v>43</v>
      </c>
      <c r="P3425" s="9" t="n">
        <v>17.4</v>
      </c>
      <c r="Q3425" s="9" t="n">
        <v>4</v>
      </c>
      <c r="R3425" s="9" t="s">
        <v>53</v>
      </c>
      <c r="S3425" s="9"/>
      <c r="T3425" s="9"/>
      <c r="U3425" s="9" t="str">
        <f aca="false">IF(COUNTIF($A$2:$A$5001,A3425)&gt;1,"Duplicate","Unique")</f>
        <v>Unique</v>
      </c>
      <c r="V3425" s="9" t="str">
        <f aca="false">IF(COUNTIFS($B$2:$B$5001,B3425,$H$2:$H$5001,H3425,$J$2:$J$5001,J3425)&gt;1,"Possible Duplicate Booking","Unique")</f>
        <v>Unique</v>
      </c>
      <c r="W3425" s="9" t="str">
        <f aca="false">IF((H3425-G3425)&lt;&gt;K3425,"Mismatch","OK")</f>
        <v>OK</v>
      </c>
      <c r="X3425" s="9" t="str">
        <f aca="false">IF(TEXT(H3425,"dddd")&lt;&gt;I3425,"Mismatch","OK")</f>
        <v>OK</v>
      </c>
      <c r="Y3425" s="9" t="str">
        <f aca="false">IF(AND(N3425="No",O3425&lt;&gt;""),"Unexpected: channel present but no reminder sent",IF(AND(N3425="Yes",O3425=""),"Missing channel for sent reminder","OK"))</f>
        <v>OK</v>
      </c>
    </row>
    <row r="3426" customFormat="false" ht="15" hidden="false" customHeight="false" outlineLevel="0" collapsed="false">
      <c r="A3426" s="7" t="s">
        <v>5029</v>
      </c>
      <c r="B3426" s="7" t="s">
        <v>1189</v>
      </c>
      <c r="C3426" s="7" t="s">
        <v>47</v>
      </c>
      <c r="D3426" s="7" t="n">
        <v>73</v>
      </c>
      <c r="E3426" s="7" t="s">
        <v>70</v>
      </c>
      <c r="F3426" s="7" t="s">
        <v>57</v>
      </c>
      <c r="G3426" s="8" t="n">
        <v>45987</v>
      </c>
      <c r="H3426" s="8" t="n">
        <v>45991</v>
      </c>
      <c r="I3426" s="7" t="s">
        <v>75</v>
      </c>
      <c r="J3426" s="7" t="s">
        <v>41</v>
      </c>
      <c r="K3426" s="7" t="n">
        <v>4</v>
      </c>
      <c r="L3426" s="7" t="n">
        <v>3</v>
      </c>
      <c r="M3426" s="7" t="n">
        <v>0</v>
      </c>
      <c r="N3426" s="7" t="s">
        <v>71</v>
      </c>
      <c r="O3426" s="7"/>
      <c r="P3426" s="7" t="n">
        <v>9.9</v>
      </c>
      <c r="Q3426" s="7" t="n">
        <v>25</v>
      </c>
      <c r="R3426" s="7" t="s">
        <v>44</v>
      </c>
      <c r="S3426" s="7"/>
      <c r="T3426" s="7"/>
      <c r="U3426" s="7" t="str">
        <f aca="false">IF(COUNTIF($A$2:$A$5001,A3426)&gt;1,"Duplicate","Unique")</f>
        <v>Unique</v>
      </c>
      <c r="V3426" s="7" t="str">
        <f aca="false">IF(COUNTIFS($B$2:$B$5001,B3426,$H$2:$H$5001,H3426,$J$2:$J$5001,J3426)&gt;1,"Possible Duplicate Booking","Unique")</f>
        <v>Unique</v>
      </c>
      <c r="W3426" s="7" t="str">
        <f aca="false">IF((H3426-G3426)&lt;&gt;K3426,"Mismatch","OK")</f>
        <v>OK</v>
      </c>
      <c r="X3426" s="7" t="str">
        <f aca="false">IF(TEXT(H3426,"dddd")&lt;&gt;I3426,"Mismatch","OK")</f>
        <v>OK</v>
      </c>
      <c r="Y3426" s="7" t="str">
        <f aca="false">IF(AND(N3426="No",O3426&lt;&gt;""),"Unexpected: channel present but no reminder sent",IF(AND(N3426="Yes",O3426=""),"Missing channel for sent reminder","OK"))</f>
        <v>OK</v>
      </c>
    </row>
    <row r="3427" customFormat="false" ht="15" hidden="false" customHeight="false" outlineLevel="0" collapsed="false">
      <c r="A3427" s="9" t="s">
        <v>5030</v>
      </c>
      <c r="B3427" s="9" t="s">
        <v>1278</v>
      </c>
      <c r="C3427" s="9" t="s">
        <v>47</v>
      </c>
      <c r="D3427" s="9" t="n">
        <v>37</v>
      </c>
      <c r="E3427" s="9" t="s">
        <v>38</v>
      </c>
      <c r="F3427" s="9" t="s">
        <v>57</v>
      </c>
      <c r="G3427" s="10" t="n">
        <v>46166</v>
      </c>
      <c r="H3427" s="10" t="n">
        <v>46193</v>
      </c>
      <c r="I3427" s="9" t="s">
        <v>102</v>
      </c>
      <c r="J3427" s="9" t="s">
        <v>41</v>
      </c>
      <c r="K3427" s="9" t="n">
        <v>27</v>
      </c>
      <c r="L3427" s="9" t="n">
        <v>4</v>
      </c>
      <c r="M3427" s="9" t="n">
        <v>1</v>
      </c>
      <c r="N3427" s="9" t="s">
        <v>42</v>
      </c>
      <c r="O3427" s="9" t="s">
        <v>52</v>
      </c>
      <c r="P3427" s="9" t="n">
        <v>3.3</v>
      </c>
      <c r="Q3427" s="9" t="n">
        <v>25</v>
      </c>
      <c r="R3427" s="9" t="s">
        <v>44</v>
      </c>
      <c r="S3427" s="9"/>
      <c r="T3427" s="9"/>
      <c r="U3427" s="9" t="str">
        <f aca="false">IF(COUNTIF($A$2:$A$5001,A3427)&gt;1,"Duplicate","Unique")</f>
        <v>Unique</v>
      </c>
      <c r="V3427" s="9" t="str">
        <f aca="false">IF(COUNTIFS($B$2:$B$5001,B3427,$H$2:$H$5001,H3427,$J$2:$J$5001,J3427)&gt;1,"Possible Duplicate Booking","Unique")</f>
        <v>Unique</v>
      </c>
      <c r="W3427" s="9" t="str">
        <f aca="false">IF((H3427-G3427)&lt;&gt;K3427,"Mismatch","OK")</f>
        <v>OK</v>
      </c>
      <c r="X3427" s="9" t="str">
        <f aca="false">IF(TEXT(H3427,"dddd")&lt;&gt;I3427,"Mismatch","OK")</f>
        <v>OK</v>
      </c>
      <c r="Y3427" s="9" t="str">
        <f aca="false">IF(AND(N3427="No",O3427&lt;&gt;""),"Unexpected: channel present but no reminder sent",IF(AND(N3427="Yes",O3427=""),"Missing channel for sent reminder","OK"))</f>
        <v>OK</v>
      </c>
    </row>
    <row r="3428" customFormat="false" ht="15" hidden="false" customHeight="false" outlineLevel="0" collapsed="false">
      <c r="A3428" s="7" t="s">
        <v>5031</v>
      </c>
      <c r="B3428" s="7" t="s">
        <v>2226</v>
      </c>
      <c r="C3428" s="7" t="s">
        <v>37</v>
      </c>
      <c r="D3428" s="7" t="n">
        <v>23</v>
      </c>
      <c r="E3428" s="7" t="s">
        <v>82</v>
      </c>
      <c r="F3428" s="7" t="s">
        <v>39</v>
      </c>
      <c r="G3428" s="8" t="n">
        <v>45905</v>
      </c>
      <c r="H3428" s="8" t="n">
        <v>45920</v>
      </c>
      <c r="I3428" s="7" t="s">
        <v>102</v>
      </c>
      <c r="J3428" s="7" t="s">
        <v>41</v>
      </c>
      <c r="K3428" s="7" t="n">
        <v>15</v>
      </c>
      <c r="L3428" s="7" t="n">
        <v>4</v>
      </c>
      <c r="M3428" s="7" t="n">
        <v>0</v>
      </c>
      <c r="N3428" s="7" t="s">
        <v>71</v>
      </c>
      <c r="O3428" s="7"/>
      <c r="P3428" s="7" t="n">
        <v>4.3</v>
      </c>
      <c r="Q3428" s="7" t="n">
        <v>21</v>
      </c>
      <c r="R3428" s="7" t="s">
        <v>44</v>
      </c>
      <c r="S3428" s="7"/>
      <c r="T3428" s="7"/>
      <c r="U3428" s="7" t="str">
        <f aca="false">IF(COUNTIF($A$2:$A$5001,A3428)&gt;1,"Duplicate","Unique")</f>
        <v>Unique</v>
      </c>
      <c r="V3428" s="7" t="str">
        <f aca="false">IF(COUNTIFS($B$2:$B$5001,B3428,$H$2:$H$5001,H3428,$J$2:$J$5001,J3428)&gt;1,"Possible Duplicate Booking","Unique")</f>
        <v>Unique</v>
      </c>
      <c r="W3428" s="7" t="str">
        <f aca="false">IF((H3428-G3428)&lt;&gt;K3428,"Mismatch","OK")</f>
        <v>OK</v>
      </c>
      <c r="X3428" s="7" t="str">
        <f aca="false">IF(TEXT(H3428,"dddd")&lt;&gt;I3428,"Mismatch","OK")</f>
        <v>OK</v>
      </c>
      <c r="Y3428" s="7" t="str">
        <f aca="false">IF(AND(N3428="No",O3428&lt;&gt;""),"Unexpected: channel present but no reminder sent",IF(AND(N3428="Yes",O3428=""),"Missing channel for sent reminder","OK"))</f>
        <v>OK</v>
      </c>
    </row>
    <row r="3429" customFormat="false" ht="15" hidden="false" customHeight="false" outlineLevel="0" collapsed="false">
      <c r="A3429" s="9" t="s">
        <v>5032</v>
      </c>
      <c r="B3429" s="9" t="s">
        <v>1088</v>
      </c>
      <c r="C3429" s="9" t="s">
        <v>47</v>
      </c>
      <c r="D3429" s="9" t="n">
        <v>57</v>
      </c>
      <c r="E3429" s="9" t="s">
        <v>61</v>
      </c>
      <c r="F3429" s="9" t="s">
        <v>74</v>
      </c>
      <c r="G3429" s="10" t="n">
        <v>46134</v>
      </c>
      <c r="H3429" s="10" t="n">
        <v>46140</v>
      </c>
      <c r="I3429" s="9" t="s">
        <v>40</v>
      </c>
      <c r="J3429" s="9" t="s">
        <v>41</v>
      </c>
      <c r="K3429" s="9" t="n">
        <v>6</v>
      </c>
      <c r="L3429" s="9" t="n">
        <v>3</v>
      </c>
      <c r="M3429" s="9" t="n">
        <v>0</v>
      </c>
      <c r="N3429" s="9" t="s">
        <v>42</v>
      </c>
      <c r="O3429" s="9" t="s">
        <v>52</v>
      </c>
      <c r="P3429" s="9" t="n">
        <v>28.4</v>
      </c>
      <c r="Q3429" s="9"/>
      <c r="R3429" s="9" t="s">
        <v>53</v>
      </c>
      <c r="S3429" s="9"/>
      <c r="T3429" s="9"/>
      <c r="U3429" s="9" t="str">
        <f aca="false">IF(COUNTIF($A$2:$A$5001,A3429)&gt;1,"Duplicate","Unique")</f>
        <v>Unique</v>
      </c>
      <c r="V3429" s="9" t="str">
        <f aca="false">IF(COUNTIFS($B$2:$B$5001,B3429,$H$2:$H$5001,H3429,$J$2:$J$5001,J3429)&gt;1,"Possible Duplicate Booking","Unique")</f>
        <v>Unique</v>
      </c>
      <c r="W3429" s="9" t="str">
        <f aca="false">IF((H3429-G3429)&lt;&gt;K3429,"Mismatch","OK")</f>
        <v>OK</v>
      </c>
      <c r="X3429" s="9" t="str">
        <f aca="false">IF(TEXT(H3429,"dddd")&lt;&gt;I3429,"Mismatch","OK")</f>
        <v>OK</v>
      </c>
      <c r="Y3429" s="9" t="str">
        <f aca="false">IF(AND(N3429="No",O3429&lt;&gt;""),"Unexpected: channel present but no reminder sent",IF(AND(N3429="Yes",O3429=""),"Missing channel for sent reminder","OK"))</f>
        <v>OK</v>
      </c>
    </row>
    <row r="3430" customFormat="false" ht="15" hidden="false" customHeight="false" outlineLevel="0" collapsed="false">
      <c r="A3430" s="7" t="s">
        <v>5033</v>
      </c>
      <c r="B3430" s="7" t="s">
        <v>1720</v>
      </c>
      <c r="C3430" s="7" t="s">
        <v>37</v>
      </c>
      <c r="D3430" s="7" t="n">
        <v>20</v>
      </c>
      <c r="E3430" s="7" t="s">
        <v>82</v>
      </c>
      <c r="F3430" s="7" t="s">
        <v>74</v>
      </c>
      <c r="G3430" s="8" t="n">
        <v>46049</v>
      </c>
      <c r="H3430" s="8" t="n">
        <v>46083</v>
      </c>
      <c r="I3430" s="7" t="s">
        <v>66</v>
      </c>
      <c r="J3430" s="7" t="s">
        <v>51</v>
      </c>
      <c r="K3430" s="7" t="n">
        <v>34</v>
      </c>
      <c r="L3430" s="7" t="n">
        <v>2</v>
      </c>
      <c r="M3430" s="7" t="n">
        <v>1</v>
      </c>
      <c r="N3430" s="7" t="s">
        <v>42</v>
      </c>
      <c r="O3430" s="7" t="s">
        <v>43</v>
      </c>
      <c r="P3430" s="7" t="n">
        <v>13.2</v>
      </c>
      <c r="Q3430" s="7" t="n">
        <v>34</v>
      </c>
      <c r="R3430" s="7" t="s">
        <v>44</v>
      </c>
      <c r="S3430" s="7"/>
      <c r="T3430" s="7"/>
      <c r="U3430" s="7" t="str">
        <f aca="false">IF(COUNTIF($A$2:$A$5001,A3430)&gt;1,"Duplicate","Unique")</f>
        <v>Unique</v>
      </c>
      <c r="V3430" s="7" t="str">
        <f aca="false">IF(COUNTIFS($B$2:$B$5001,B3430,$H$2:$H$5001,H3430,$J$2:$J$5001,J3430)&gt;1,"Possible Duplicate Booking","Unique")</f>
        <v>Unique</v>
      </c>
      <c r="W3430" s="7" t="str">
        <f aca="false">IF((H3430-G3430)&lt;&gt;K3430,"Mismatch","OK")</f>
        <v>OK</v>
      </c>
      <c r="X3430" s="7" t="str">
        <f aca="false">IF(TEXT(H3430,"dddd")&lt;&gt;I3430,"Mismatch","OK")</f>
        <v>OK</v>
      </c>
      <c r="Y3430" s="7" t="str">
        <f aca="false">IF(AND(N3430="No",O3430&lt;&gt;""),"Unexpected: channel present but no reminder sent",IF(AND(N3430="Yes",O3430=""),"Missing channel for sent reminder","OK"))</f>
        <v>OK</v>
      </c>
    </row>
    <row r="3431" customFormat="false" ht="15" hidden="false" customHeight="false" outlineLevel="0" collapsed="false">
      <c r="A3431" s="9" t="s">
        <v>5034</v>
      </c>
      <c r="B3431" s="9" t="s">
        <v>5035</v>
      </c>
      <c r="C3431" s="9" t="s">
        <v>37</v>
      </c>
      <c r="D3431" s="9" t="n">
        <v>57</v>
      </c>
      <c r="E3431" s="9" t="s">
        <v>61</v>
      </c>
      <c r="F3431" s="9" t="s">
        <v>57</v>
      </c>
      <c r="G3431" s="10" t="n">
        <v>45788</v>
      </c>
      <c r="H3431" s="10" t="n">
        <v>45822</v>
      </c>
      <c r="I3431" s="9" t="s">
        <v>102</v>
      </c>
      <c r="J3431" s="9" t="s">
        <v>51</v>
      </c>
      <c r="K3431" s="9" t="n">
        <v>34</v>
      </c>
      <c r="L3431" s="9" t="n">
        <v>8</v>
      </c>
      <c r="M3431" s="9" t="n">
        <v>0</v>
      </c>
      <c r="N3431" s="9" t="s">
        <v>42</v>
      </c>
      <c r="O3431" s="9" t="s">
        <v>52</v>
      </c>
      <c r="P3431" s="9" t="n">
        <v>6.2</v>
      </c>
      <c r="Q3431" s="9" t="n">
        <v>52</v>
      </c>
      <c r="R3431" s="9" t="s">
        <v>44</v>
      </c>
      <c r="S3431" s="9"/>
      <c r="T3431" s="9"/>
      <c r="U3431" s="9" t="str">
        <f aca="false">IF(COUNTIF($A$2:$A$5001,A3431)&gt;1,"Duplicate","Unique")</f>
        <v>Unique</v>
      </c>
      <c r="V3431" s="9" t="str">
        <f aca="false">IF(COUNTIFS($B$2:$B$5001,B3431,$H$2:$H$5001,H3431,$J$2:$J$5001,J3431)&gt;1,"Possible Duplicate Booking","Unique")</f>
        <v>Unique</v>
      </c>
      <c r="W3431" s="9" t="str">
        <f aca="false">IF((H3431-G3431)&lt;&gt;K3431,"Mismatch","OK")</f>
        <v>OK</v>
      </c>
      <c r="X3431" s="9" t="str">
        <f aca="false">IF(TEXT(H3431,"dddd")&lt;&gt;I3431,"Mismatch","OK")</f>
        <v>OK</v>
      </c>
      <c r="Y3431" s="9" t="str">
        <f aca="false">IF(AND(N3431="No",O3431&lt;&gt;""),"Unexpected: channel present but no reminder sent",IF(AND(N3431="Yes",O3431=""),"Missing channel for sent reminder","OK"))</f>
        <v>OK</v>
      </c>
    </row>
    <row r="3432" customFormat="false" ht="15" hidden="false" customHeight="false" outlineLevel="0" collapsed="false">
      <c r="A3432" s="7" t="s">
        <v>5036</v>
      </c>
      <c r="B3432" s="7" t="s">
        <v>848</v>
      </c>
      <c r="C3432" s="7" t="s">
        <v>47</v>
      </c>
      <c r="D3432" s="7" t="n">
        <v>42</v>
      </c>
      <c r="E3432" s="7" t="s">
        <v>38</v>
      </c>
      <c r="F3432" s="7" t="s">
        <v>57</v>
      </c>
      <c r="G3432" s="8" t="n">
        <v>45789</v>
      </c>
      <c r="H3432" s="8" t="n">
        <v>45794</v>
      </c>
      <c r="I3432" s="7" t="s">
        <v>102</v>
      </c>
      <c r="J3432" s="7" t="s">
        <v>41</v>
      </c>
      <c r="K3432" s="7" t="n">
        <v>5</v>
      </c>
      <c r="L3432" s="7" t="n">
        <v>2</v>
      </c>
      <c r="M3432" s="7" t="n">
        <v>0</v>
      </c>
      <c r="N3432" s="7" t="s">
        <v>42</v>
      </c>
      <c r="O3432" s="7" t="s">
        <v>67</v>
      </c>
      <c r="P3432" s="7" t="n">
        <v>10.3</v>
      </c>
      <c r="Q3432" s="7" t="n">
        <v>24</v>
      </c>
      <c r="R3432" s="7" t="s">
        <v>53</v>
      </c>
      <c r="S3432" s="7"/>
      <c r="T3432" s="7"/>
      <c r="U3432" s="7" t="str">
        <f aca="false">IF(COUNTIF($A$2:$A$5001,A3432)&gt;1,"Duplicate","Unique")</f>
        <v>Unique</v>
      </c>
      <c r="V3432" s="7" t="str">
        <f aca="false">IF(COUNTIFS($B$2:$B$5001,B3432,$H$2:$H$5001,H3432,$J$2:$J$5001,J3432)&gt;1,"Possible Duplicate Booking","Unique")</f>
        <v>Unique</v>
      </c>
      <c r="W3432" s="7" t="str">
        <f aca="false">IF((H3432-G3432)&lt;&gt;K3432,"Mismatch","OK")</f>
        <v>OK</v>
      </c>
      <c r="X3432" s="7" t="str">
        <f aca="false">IF(TEXT(H3432,"dddd")&lt;&gt;I3432,"Mismatch","OK")</f>
        <v>OK</v>
      </c>
      <c r="Y3432" s="7" t="str">
        <f aca="false">IF(AND(N3432="No",O3432&lt;&gt;""),"Unexpected: channel present but no reminder sent",IF(AND(N3432="Yes",O3432=""),"Missing channel for sent reminder","OK"))</f>
        <v>OK</v>
      </c>
    </row>
    <row r="3433" customFormat="false" ht="15" hidden="false" customHeight="false" outlineLevel="0" collapsed="false">
      <c r="A3433" s="9" t="s">
        <v>5037</v>
      </c>
      <c r="B3433" s="9" t="s">
        <v>2591</v>
      </c>
      <c r="C3433" s="9" t="s">
        <v>47</v>
      </c>
      <c r="D3433" s="9" t="n">
        <v>70</v>
      </c>
      <c r="E3433" s="9" t="s">
        <v>70</v>
      </c>
      <c r="F3433" s="9" t="s">
        <v>49</v>
      </c>
      <c r="G3433" s="10" t="n">
        <v>46067</v>
      </c>
      <c r="H3433" s="10" t="n">
        <v>46078</v>
      </c>
      <c r="I3433" s="9" t="s">
        <v>58</v>
      </c>
      <c r="J3433" s="9" t="s">
        <v>41</v>
      </c>
      <c r="K3433" s="9" t="n">
        <v>11</v>
      </c>
      <c r="L3433" s="9" t="n">
        <v>0</v>
      </c>
      <c r="M3433" s="9" t="n">
        <v>0</v>
      </c>
      <c r="N3433" s="9" t="s">
        <v>71</v>
      </c>
      <c r="O3433" s="9"/>
      <c r="P3433" s="9" t="n">
        <v>7.9</v>
      </c>
      <c r="Q3433" s="9" t="n">
        <v>35</v>
      </c>
      <c r="R3433" s="9" t="s">
        <v>53</v>
      </c>
      <c r="S3433" s="9"/>
      <c r="T3433" s="9"/>
      <c r="U3433" s="9" t="str">
        <f aca="false">IF(COUNTIF($A$2:$A$5001,A3433)&gt;1,"Duplicate","Unique")</f>
        <v>Unique</v>
      </c>
      <c r="V3433" s="9" t="str">
        <f aca="false">IF(COUNTIFS($B$2:$B$5001,B3433,$H$2:$H$5001,H3433,$J$2:$J$5001,J3433)&gt;1,"Possible Duplicate Booking","Unique")</f>
        <v>Unique</v>
      </c>
      <c r="W3433" s="9" t="str">
        <f aca="false">IF((H3433-G3433)&lt;&gt;K3433,"Mismatch","OK")</f>
        <v>OK</v>
      </c>
      <c r="X3433" s="9" t="str">
        <f aca="false">IF(TEXT(H3433,"dddd")&lt;&gt;I3433,"Mismatch","OK")</f>
        <v>OK</v>
      </c>
      <c r="Y3433" s="9" t="str">
        <f aca="false">IF(AND(N3433="No",O3433&lt;&gt;""),"Unexpected: channel present but no reminder sent",IF(AND(N3433="Yes",O3433=""),"Missing channel for sent reminder","OK"))</f>
        <v>OK</v>
      </c>
    </row>
    <row r="3434" customFormat="false" ht="15" hidden="false" customHeight="false" outlineLevel="0" collapsed="false">
      <c r="A3434" s="7" t="s">
        <v>5038</v>
      </c>
      <c r="B3434" s="7" t="s">
        <v>4282</v>
      </c>
      <c r="C3434" s="7" t="s">
        <v>47</v>
      </c>
      <c r="D3434" s="7" t="n">
        <v>57</v>
      </c>
      <c r="E3434" s="7" t="s">
        <v>61</v>
      </c>
      <c r="F3434" s="7" t="s">
        <v>49</v>
      </c>
      <c r="G3434" s="8" t="n">
        <v>45766</v>
      </c>
      <c r="H3434" s="8" t="n">
        <v>45771</v>
      </c>
      <c r="I3434" s="7" t="s">
        <v>62</v>
      </c>
      <c r="J3434" s="7" t="s">
        <v>51</v>
      </c>
      <c r="K3434" s="7" t="n">
        <v>5</v>
      </c>
      <c r="L3434" s="7" t="n">
        <v>3</v>
      </c>
      <c r="M3434" s="7" t="n">
        <v>1</v>
      </c>
      <c r="N3434" s="7" t="s">
        <v>42</v>
      </c>
      <c r="O3434" s="7" t="s">
        <v>43</v>
      </c>
      <c r="P3434" s="7" t="n">
        <v>17.2</v>
      </c>
      <c r="Q3434" s="7" t="n">
        <v>15</v>
      </c>
      <c r="R3434" s="7" t="s">
        <v>87</v>
      </c>
      <c r="S3434" s="7"/>
      <c r="T3434" s="7"/>
      <c r="U3434" s="7" t="str">
        <f aca="false">IF(COUNTIF($A$2:$A$5001,A3434)&gt;1,"Duplicate","Unique")</f>
        <v>Unique</v>
      </c>
      <c r="V3434" s="7" t="str">
        <f aca="false">IF(COUNTIFS($B$2:$B$5001,B3434,$H$2:$H$5001,H3434,$J$2:$J$5001,J3434)&gt;1,"Possible Duplicate Booking","Unique")</f>
        <v>Unique</v>
      </c>
      <c r="W3434" s="7" t="str">
        <f aca="false">IF((H3434-G3434)&lt;&gt;K3434,"Mismatch","OK")</f>
        <v>OK</v>
      </c>
      <c r="X3434" s="7" t="str">
        <f aca="false">IF(TEXT(H3434,"dddd")&lt;&gt;I3434,"Mismatch","OK")</f>
        <v>OK</v>
      </c>
      <c r="Y3434" s="7" t="str">
        <f aca="false">IF(AND(N3434="No",O3434&lt;&gt;""),"Unexpected: channel present but no reminder sent",IF(AND(N3434="Yes",O3434=""),"Missing channel for sent reminder","OK"))</f>
        <v>OK</v>
      </c>
    </row>
    <row r="3435" customFormat="false" ht="15" hidden="false" customHeight="false" outlineLevel="0" collapsed="false">
      <c r="A3435" s="9" t="s">
        <v>5039</v>
      </c>
      <c r="B3435" s="9" t="s">
        <v>929</v>
      </c>
      <c r="C3435" s="9" t="s">
        <v>47</v>
      </c>
      <c r="D3435" s="9" t="n">
        <v>64</v>
      </c>
      <c r="E3435" s="9" t="s">
        <v>61</v>
      </c>
      <c r="F3435" s="9" t="s">
        <v>39</v>
      </c>
      <c r="G3435" s="10" t="n">
        <v>45800</v>
      </c>
      <c r="H3435" s="10" t="n">
        <v>45841</v>
      </c>
      <c r="I3435" s="9" t="s">
        <v>62</v>
      </c>
      <c r="J3435" s="9" t="s">
        <v>63</v>
      </c>
      <c r="K3435" s="9" t="n">
        <v>41</v>
      </c>
      <c r="L3435" s="9" t="n">
        <v>2</v>
      </c>
      <c r="M3435" s="9" t="n">
        <v>0</v>
      </c>
      <c r="N3435" s="9" t="s">
        <v>71</v>
      </c>
      <c r="O3435" s="9"/>
      <c r="P3435" s="9" t="n">
        <v>14.1</v>
      </c>
      <c r="Q3435" s="9" t="n">
        <v>18</v>
      </c>
      <c r="R3435" s="9" t="s">
        <v>44</v>
      </c>
      <c r="S3435" s="9"/>
      <c r="T3435" s="9"/>
      <c r="U3435" s="9" t="str">
        <f aca="false">IF(COUNTIF($A$2:$A$5001,A3435)&gt;1,"Duplicate","Unique")</f>
        <v>Unique</v>
      </c>
      <c r="V3435" s="9" t="str">
        <f aca="false">IF(COUNTIFS($B$2:$B$5001,B3435,$H$2:$H$5001,H3435,$J$2:$J$5001,J3435)&gt;1,"Possible Duplicate Booking","Unique")</f>
        <v>Unique</v>
      </c>
      <c r="W3435" s="9" t="str">
        <f aca="false">IF((H3435-G3435)&lt;&gt;K3435,"Mismatch","OK")</f>
        <v>OK</v>
      </c>
      <c r="X3435" s="9" t="str">
        <f aca="false">IF(TEXT(H3435,"dddd")&lt;&gt;I3435,"Mismatch","OK")</f>
        <v>OK</v>
      </c>
      <c r="Y3435" s="9" t="str">
        <f aca="false">IF(AND(N3435="No",O3435&lt;&gt;""),"Unexpected: channel present but no reminder sent",IF(AND(N3435="Yes",O3435=""),"Missing channel for sent reminder","OK"))</f>
        <v>OK</v>
      </c>
    </row>
    <row r="3436" customFormat="false" ht="15" hidden="false" customHeight="false" outlineLevel="0" collapsed="false">
      <c r="A3436" s="7" t="s">
        <v>5040</v>
      </c>
      <c r="B3436" s="7" t="s">
        <v>4485</v>
      </c>
      <c r="C3436" s="7" t="s">
        <v>37</v>
      </c>
      <c r="D3436" s="7" t="n">
        <v>43</v>
      </c>
      <c r="E3436" s="7" t="s">
        <v>38</v>
      </c>
      <c r="F3436" s="7" t="s">
        <v>57</v>
      </c>
      <c r="G3436" s="8" t="n">
        <v>45766</v>
      </c>
      <c r="H3436" s="8" t="n">
        <v>45786</v>
      </c>
      <c r="I3436" s="7" t="s">
        <v>50</v>
      </c>
      <c r="J3436" s="7" t="s">
        <v>51</v>
      </c>
      <c r="K3436" s="7" t="n">
        <v>20</v>
      </c>
      <c r="L3436" s="7" t="n">
        <v>1</v>
      </c>
      <c r="M3436" s="7" t="n">
        <v>0</v>
      </c>
      <c r="N3436" s="7" t="s">
        <v>71</v>
      </c>
      <c r="O3436" s="7"/>
      <c r="P3436" s="7" t="n">
        <v>36.7</v>
      </c>
      <c r="Q3436" s="7" t="n">
        <v>15</v>
      </c>
      <c r="R3436" s="7" t="s">
        <v>44</v>
      </c>
      <c r="S3436" s="7"/>
      <c r="T3436" s="7"/>
      <c r="U3436" s="7" t="str">
        <f aca="false">IF(COUNTIF($A$2:$A$5001,A3436)&gt;1,"Duplicate","Unique")</f>
        <v>Unique</v>
      </c>
      <c r="V3436" s="7" t="str">
        <f aca="false">IF(COUNTIFS($B$2:$B$5001,B3436,$H$2:$H$5001,H3436,$J$2:$J$5001,J3436)&gt;1,"Possible Duplicate Booking","Unique")</f>
        <v>Unique</v>
      </c>
      <c r="W3436" s="7" t="str">
        <f aca="false">IF((H3436-G3436)&lt;&gt;K3436,"Mismatch","OK")</f>
        <v>OK</v>
      </c>
      <c r="X3436" s="7" t="str">
        <f aca="false">IF(TEXT(H3436,"dddd")&lt;&gt;I3436,"Mismatch","OK")</f>
        <v>OK</v>
      </c>
      <c r="Y3436" s="7" t="str">
        <f aca="false">IF(AND(N3436="No",O3436&lt;&gt;""),"Unexpected: channel present but no reminder sent",IF(AND(N3436="Yes",O3436=""),"Missing channel for sent reminder","OK"))</f>
        <v>OK</v>
      </c>
    </row>
    <row r="3437" customFormat="false" ht="15" hidden="false" customHeight="false" outlineLevel="0" collapsed="false">
      <c r="A3437" s="9" t="s">
        <v>5041</v>
      </c>
      <c r="B3437" s="9" t="s">
        <v>1558</v>
      </c>
      <c r="C3437" s="9" t="s">
        <v>47</v>
      </c>
      <c r="D3437" s="9" t="n">
        <v>70</v>
      </c>
      <c r="E3437" s="9" t="s">
        <v>70</v>
      </c>
      <c r="F3437" s="9" t="s">
        <v>57</v>
      </c>
      <c r="G3437" s="10" t="n">
        <v>45985</v>
      </c>
      <c r="H3437" s="10" t="n">
        <v>45989</v>
      </c>
      <c r="I3437" s="9" t="s">
        <v>50</v>
      </c>
      <c r="J3437" s="9" t="s">
        <v>51</v>
      </c>
      <c r="K3437" s="9" t="n">
        <v>4</v>
      </c>
      <c r="L3437" s="9" t="n">
        <v>3</v>
      </c>
      <c r="M3437" s="9" t="n">
        <v>1</v>
      </c>
      <c r="N3437" s="9" t="s">
        <v>42</v>
      </c>
      <c r="O3437" s="9" t="s">
        <v>52</v>
      </c>
      <c r="P3437" s="9" t="n">
        <v>11.2</v>
      </c>
      <c r="Q3437" s="9" t="n">
        <v>23</v>
      </c>
      <c r="R3437" s="9" t="s">
        <v>53</v>
      </c>
      <c r="S3437" s="9"/>
      <c r="T3437" s="9"/>
      <c r="U3437" s="9" t="str">
        <f aca="false">IF(COUNTIF($A$2:$A$5001,A3437)&gt;1,"Duplicate","Unique")</f>
        <v>Unique</v>
      </c>
      <c r="V3437" s="9" t="str">
        <f aca="false">IF(COUNTIFS($B$2:$B$5001,B3437,$H$2:$H$5001,H3437,$J$2:$J$5001,J3437)&gt;1,"Possible Duplicate Booking","Unique")</f>
        <v>Unique</v>
      </c>
      <c r="W3437" s="9" t="str">
        <f aca="false">IF((H3437-G3437)&lt;&gt;K3437,"Mismatch","OK")</f>
        <v>OK</v>
      </c>
      <c r="X3437" s="9" t="str">
        <f aca="false">IF(TEXT(H3437,"dddd")&lt;&gt;I3437,"Mismatch","OK")</f>
        <v>OK</v>
      </c>
      <c r="Y3437" s="9" t="str">
        <f aca="false">IF(AND(N3437="No",O3437&lt;&gt;""),"Unexpected: channel present but no reminder sent",IF(AND(N3437="Yes",O3437=""),"Missing channel for sent reminder","OK"))</f>
        <v>OK</v>
      </c>
    </row>
    <row r="3438" customFormat="false" ht="15" hidden="false" customHeight="false" outlineLevel="0" collapsed="false">
      <c r="A3438" s="7" t="s">
        <v>5042</v>
      </c>
      <c r="B3438" s="7" t="s">
        <v>698</v>
      </c>
      <c r="C3438" s="7" t="s">
        <v>37</v>
      </c>
      <c r="D3438" s="7" t="n">
        <v>51</v>
      </c>
      <c r="E3438" s="7" t="s">
        <v>56</v>
      </c>
      <c r="F3438" s="7" t="s">
        <v>49</v>
      </c>
      <c r="G3438" s="8" t="n">
        <v>45807</v>
      </c>
      <c r="H3438" s="8" t="n">
        <v>45818</v>
      </c>
      <c r="I3438" s="7" t="s">
        <v>40</v>
      </c>
      <c r="J3438" s="7" t="s">
        <v>63</v>
      </c>
      <c r="K3438" s="7" t="n">
        <v>11</v>
      </c>
      <c r="L3438" s="7" t="n">
        <v>6</v>
      </c>
      <c r="M3438" s="7" t="n">
        <v>0</v>
      </c>
      <c r="N3438" s="7" t="s">
        <v>42</v>
      </c>
      <c r="O3438" s="7" t="s">
        <v>52</v>
      </c>
      <c r="P3438" s="7" t="n">
        <v>3.8</v>
      </c>
      <c r="Q3438" s="7" t="n">
        <v>26</v>
      </c>
      <c r="R3438" s="7" t="s">
        <v>53</v>
      </c>
      <c r="S3438" s="7"/>
      <c r="T3438" s="7"/>
      <c r="U3438" s="7" t="str">
        <f aca="false">IF(COUNTIF($A$2:$A$5001,A3438)&gt;1,"Duplicate","Unique")</f>
        <v>Unique</v>
      </c>
      <c r="V3438" s="7" t="str">
        <f aca="false">IF(COUNTIFS($B$2:$B$5001,B3438,$H$2:$H$5001,H3438,$J$2:$J$5001,J3438)&gt;1,"Possible Duplicate Booking","Unique")</f>
        <v>Unique</v>
      </c>
      <c r="W3438" s="7" t="str">
        <f aca="false">IF((H3438-G3438)&lt;&gt;K3438,"Mismatch","OK")</f>
        <v>OK</v>
      </c>
      <c r="X3438" s="7" t="str">
        <f aca="false">IF(TEXT(H3438,"dddd")&lt;&gt;I3438,"Mismatch","OK")</f>
        <v>OK</v>
      </c>
      <c r="Y3438" s="7" t="str">
        <f aca="false">IF(AND(N3438="No",O3438&lt;&gt;""),"Unexpected: channel present but no reminder sent",IF(AND(N3438="Yes",O3438=""),"Missing channel for sent reminder","OK"))</f>
        <v>OK</v>
      </c>
    </row>
    <row r="3439" customFormat="false" ht="15" hidden="false" customHeight="false" outlineLevel="0" collapsed="false">
      <c r="A3439" s="9" t="s">
        <v>5043</v>
      </c>
      <c r="B3439" s="9" t="s">
        <v>1169</v>
      </c>
      <c r="C3439" s="9" t="s">
        <v>47</v>
      </c>
      <c r="D3439" s="9" t="n">
        <v>57</v>
      </c>
      <c r="E3439" s="9" t="s">
        <v>61</v>
      </c>
      <c r="F3439" s="9" t="s">
        <v>39</v>
      </c>
      <c r="G3439" s="10" t="n">
        <v>45958</v>
      </c>
      <c r="H3439" s="10" t="n">
        <v>46017</v>
      </c>
      <c r="I3439" s="9" t="s">
        <v>50</v>
      </c>
      <c r="J3439" s="9" t="s">
        <v>41</v>
      </c>
      <c r="K3439" s="9" t="n">
        <v>59</v>
      </c>
      <c r="L3439" s="9" t="n">
        <v>2</v>
      </c>
      <c r="M3439" s="9" t="n">
        <v>1</v>
      </c>
      <c r="N3439" s="9" t="s">
        <v>42</v>
      </c>
      <c r="O3439" s="9" t="s">
        <v>52</v>
      </c>
      <c r="P3439" s="9" t="n">
        <v>1.9</v>
      </c>
      <c r="Q3439" s="9" t="n">
        <v>35</v>
      </c>
      <c r="R3439" s="9" t="s">
        <v>44</v>
      </c>
      <c r="S3439" s="9"/>
      <c r="T3439" s="9"/>
      <c r="U3439" s="9" t="str">
        <f aca="false">IF(COUNTIF($A$2:$A$5001,A3439)&gt;1,"Duplicate","Unique")</f>
        <v>Unique</v>
      </c>
      <c r="V3439" s="9" t="str">
        <f aca="false">IF(COUNTIFS($B$2:$B$5001,B3439,$H$2:$H$5001,H3439,$J$2:$J$5001,J3439)&gt;1,"Possible Duplicate Booking","Unique")</f>
        <v>Unique</v>
      </c>
      <c r="W3439" s="9" t="str">
        <f aca="false">IF((H3439-G3439)&lt;&gt;K3439,"Mismatch","OK")</f>
        <v>OK</v>
      </c>
      <c r="X3439" s="9" t="str">
        <f aca="false">IF(TEXT(H3439,"dddd")&lt;&gt;I3439,"Mismatch","OK")</f>
        <v>OK</v>
      </c>
      <c r="Y3439" s="9" t="str">
        <f aca="false">IF(AND(N3439="No",O3439&lt;&gt;""),"Unexpected: channel present but no reminder sent",IF(AND(N3439="Yes",O3439=""),"Missing channel for sent reminder","OK"))</f>
        <v>OK</v>
      </c>
    </row>
    <row r="3440" customFormat="false" ht="15" hidden="false" customHeight="false" outlineLevel="0" collapsed="false">
      <c r="A3440" s="7" t="s">
        <v>5044</v>
      </c>
      <c r="B3440" s="7" t="s">
        <v>2127</v>
      </c>
      <c r="C3440" s="7" t="s">
        <v>47</v>
      </c>
      <c r="D3440" s="7" t="n">
        <v>40</v>
      </c>
      <c r="E3440" s="7" t="s">
        <v>38</v>
      </c>
      <c r="F3440" s="7" t="s">
        <v>57</v>
      </c>
      <c r="G3440" s="8" t="n">
        <v>46153</v>
      </c>
      <c r="H3440" s="8" t="n">
        <v>46168</v>
      </c>
      <c r="I3440" s="7" t="s">
        <v>40</v>
      </c>
      <c r="J3440" s="7" t="s">
        <v>41</v>
      </c>
      <c r="K3440" s="7" t="n">
        <v>15</v>
      </c>
      <c r="L3440" s="7" t="n">
        <v>3</v>
      </c>
      <c r="M3440" s="7" t="n">
        <v>1</v>
      </c>
      <c r="N3440" s="7" t="s">
        <v>42</v>
      </c>
      <c r="O3440" s="7" t="s">
        <v>43</v>
      </c>
      <c r="P3440" s="7" t="n">
        <v>1.2</v>
      </c>
      <c r="Q3440" s="7" t="n">
        <v>28</v>
      </c>
      <c r="R3440" s="7" t="s">
        <v>87</v>
      </c>
      <c r="S3440" s="7"/>
      <c r="T3440" s="7"/>
      <c r="U3440" s="7" t="str">
        <f aca="false">IF(COUNTIF($A$2:$A$5001,A3440)&gt;1,"Duplicate","Unique")</f>
        <v>Unique</v>
      </c>
      <c r="V3440" s="7" t="str">
        <f aca="false">IF(COUNTIFS($B$2:$B$5001,B3440,$H$2:$H$5001,H3440,$J$2:$J$5001,J3440)&gt;1,"Possible Duplicate Booking","Unique")</f>
        <v>Unique</v>
      </c>
      <c r="W3440" s="7" t="str">
        <f aca="false">IF((H3440-G3440)&lt;&gt;K3440,"Mismatch","OK")</f>
        <v>OK</v>
      </c>
      <c r="X3440" s="7" t="str">
        <f aca="false">IF(TEXT(H3440,"dddd")&lt;&gt;I3440,"Mismatch","OK")</f>
        <v>OK</v>
      </c>
      <c r="Y3440" s="7" t="str">
        <f aca="false">IF(AND(N3440="No",O3440&lt;&gt;""),"Unexpected: channel present but no reminder sent",IF(AND(N3440="Yes",O3440=""),"Missing channel for sent reminder","OK"))</f>
        <v>OK</v>
      </c>
    </row>
    <row r="3441" customFormat="false" ht="15" hidden="false" customHeight="false" outlineLevel="0" collapsed="false">
      <c r="A3441" s="9" t="s">
        <v>5045</v>
      </c>
      <c r="B3441" s="9" t="s">
        <v>2407</v>
      </c>
      <c r="C3441" s="9" t="s">
        <v>37</v>
      </c>
      <c r="D3441" s="9" t="n">
        <v>46</v>
      </c>
      <c r="E3441" s="9" t="s">
        <v>56</v>
      </c>
      <c r="F3441" s="9" t="s">
        <v>74</v>
      </c>
      <c r="G3441" s="10" t="n">
        <v>46069</v>
      </c>
      <c r="H3441" s="10" t="n">
        <v>46110</v>
      </c>
      <c r="I3441" s="9" t="s">
        <v>75</v>
      </c>
      <c r="J3441" s="9" t="s">
        <v>51</v>
      </c>
      <c r="K3441" s="9" t="n">
        <v>41</v>
      </c>
      <c r="L3441" s="9" t="n">
        <v>4</v>
      </c>
      <c r="M3441" s="9" t="n">
        <v>0</v>
      </c>
      <c r="N3441" s="9" t="s">
        <v>42</v>
      </c>
      <c r="O3441" s="9" t="s">
        <v>52</v>
      </c>
      <c r="P3441" s="9" t="n">
        <v>16.2</v>
      </c>
      <c r="Q3441" s="9" t="n">
        <v>39</v>
      </c>
      <c r="R3441" s="9" t="s">
        <v>44</v>
      </c>
      <c r="S3441" s="9"/>
      <c r="T3441" s="9"/>
      <c r="U3441" s="9" t="str">
        <f aca="false">IF(COUNTIF($A$2:$A$5001,A3441)&gt;1,"Duplicate","Unique")</f>
        <v>Unique</v>
      </c>
      <c r="V3441" s="9" t="str">
        <f aca="false">IF(COUNTIFS($B$2:$B$5001,B3441,$H$2:$H$5001,H3441,$J$2:$J$5001,J3441)&gt;1,"Possible Duplicate Booking","Unique")</f>
        <v>Unique</v>
      </c>
      <c r="W3441" s="9" t="str">
        <f aca="false">IF((H3441-G3441)&lt;&gt;K3441,"Mismatch","OK")</f>
        <v>OK</v>
      </c>
      <c r="X3441" s="9" t="str">
        <f aca="false">IF(TEXT(H3441,"dddd")&lt;&gt;I3441,"Mismatch","OK")</f>
        <v>OK</v>
      </c>
      <c r="Y3441" s="9" t="str">
        <f aca="false">IF(AND(N3441="No",O3441&lt;&gt;""),"Unexpected: channel present but no reminder sent",IF(AND(N3441="Yes",O3441=""),"Missing channel for sent reminder","OK"))</f>
        <v>OK</v>
      </c>
    </row>
    <row r="3442" customFormat="false" ht="15" hidden="false" customHeight="false" outlineLevel="0" collapsed="false">
      <c r="A3442" s="7" t="s">
        <v>5046</v>
      </c>
      <c r="B3442" s="7" t="s">
        <v>1751</v>
      </c>
      <c r="C3442" s="7" t="s">
        <v>47</v>
      </c>
      <c r="D3442" s="7" t="n">
        <v>70</v>
      </c>
      <c r="E3442" s="7" t="s">
        <v>70</v>
      </c>
      <c r="F3442" s="7" t="s">
        <v>39</v>
      </c>
      <c r="G3442" s="8" t="n">
        <v>46147</v>
      </c>
      <c r="H3442" s="8" t="n">
        <v>46175</v>
      </c>
      <c r="I3442" s="7" t="s">
        <v>40</v>
      </c>
      <c r="J3442" s="7" t="s">
        <v>51</v>
      </c>
      <c r="K3442" s="7" t="n">
        <v>28</v>
      </c>
      <c r="L3442" s="7" t="n">
        <v>3</v>
      </c>
      <c r="M3442" s="7" t="n">
        <v>0</v>
      </c>
      <c r="N3442" s="7" t="s">
        <v>42</v>
      </c>
      <c r="O3442" s="7" t="s">
        <v>52</v>
      </c>
      <c r="P3442" s="7" t="n">
        <v>9.8</v>
      </c>
      <c r="Q3442" s="7" t="n">
        <v>39</v>
      </c>
      <c r="R3442" s="7" t="s">
        <v>53</v>
      </c>
      <c r="S3442" s="7"/>
      <c r="T3442" s="7"/>
      <c r="U3442" s="7" t="str">
        <f aca="false">IF(COUNTIF($A$2:$A$5001,A3442)&gt;1,"Duplicate","Unique")</f>
        <v>Unique</v>
      </c>
      <c r="V3442" s="7" t="str">
        <f aca="false">IF(COUNTIFS($B$2:$B$5001,B3442,$H$2:$H$5001,H3442,$J$2:$J$5001,J3442)&gt;1,"Possible Duplicate Booking","Unique")</f>
        <v>Unique</v>
      </c>
      <c r="W3442" s="7" t="str">
        <f aca="false">IF((H3442-G3442)&lt;&gt;K3442,"Mismatch","OK")</f>
        <v>OK</v>
      </c>
      <c r="X3442" s="7" t="str">
        <f aca="false">IF(TEXT(H3442,"dddd")&lt;&gt;I3442,"Mismatch","OK")</f>
        <v>OK</v>
      </c>
      <c r="Y3442" s="7" t="str">
        <f aca="false">IF(AND(N3442="No",O3442&lt;&gt;""),"Unexpected: channel present but no reminder sent",IF(AND(N3442="Yes",O3442=""),"Missing channel for sent reminder","OK"))</f>
        <v>OK</v>
      </c>
    </row>
    <row r="3443" customFormat="false" ht="15" hidden="false" customHeight="false" outlineLevel="0" collapsed="false">
      <c r="A3443" s="9" t="s">
        <v>5047</v>
      </c>
      <c r="B3443" s="9" t="s">
        <v>373</v>
      </c>
      <c r="C3443" s="9" t="s">
        <v>47</v>
      </c>
      <c r="D3443" s="9" t="n">
        <v>42</v>
      </c>
      <c r="E3443" s="9" t="s">
        <v>38</v>
      </c>
      <c r="F3443" s="9" t="s">
        <v>74</v>
      </c>
      <c r="G3443" s="10" t="n">
        <v>45660</v>
      </c>
      <c r="H3443" s="10" t="n">
        <v>45671</v>
      </c>
      <c r="I3443" s="9" t="s">
        <v>40</v>
      </c>
      <c r="J3443" s="9" t="s">
        <v>41</v>
      </c>
      <c r="K3443" s="9" t="n">
        <v>11</v>
      </c>
      <c r="L3443" s="9" t="n">
        <v>4</v>
      </c>
      <c r="M3443" s="9" t="n">
        <v>0</v>
      </c>
      <c r="N3443" s="9" t="s">
        <v>71</v>
      </c>
      <c r="O3443" s="9"/>
      <c r="P3443" s="9" t="n">
        <v>7.9</v>
      </c>
      <c r="Q3443" s="9" t="n">
        <v>24</v>
      </c>
      <c r="R3443" s="9" t="s">
        <v>53</v>
      </c>
      <c r="S3443" s="9"/>
      <c r="T3443" s="9"/>
      <c r="U3443" s="9" t="str">
        <f aca="false">IF(COUNTIF($A$2:$A$5001,A3443)&gt;1,"Duplicate","Unique")</f>
        <v>Unique</v>
      </c>
      <c r="V3443" s="9" t="str">
        <f aca="false">IF(COUNTIFS($B$2:$B$5001,B3443,$H$2:$H$5001,H3443,$J$2:$J$5001,J3443)&gt;1,"Possible Duplicate Booking","Unique")</f>
        <v>Unique</v>
      </c>
      <c r="W3443" s="9" t="str">
        <f aca="false">IF((H3443-G3443)&lt;&gt;K3443,"Mismatch","OK")</f>
        <v>OK</v>
      </c>
      <c r="X3443" s="9" t="str">
        <f aca="false">IF(TEXT(H3443,"dddd")&lt;&gt;I3443,"Mismatch","OK")</f>
        <v>OK</v>
      </c>
      <c r="Y3443" s="9" t="str">
        <f aca="false">IF(AND(N3443="No",O3443&lt;&gt;""),"Unexpected: channel present but no reminder sent",IF(AND(N3443="Yes",O3443=""),"Missing channel for sent reminder","OK"))</f>
        <v>OK</v>
      </c>
    </row>
    <row r="3444" customFormat="false" ht="15" hidden="false" customHeight="false" outlineLevel="0" collapsed="false">
      <c r="A3444" s="7" t="s">
        <v>5048</v>
      </c>
      <c r="B3444" s="7" t="s">
        <v>2927</v>
      </c>
      <c r="C3444" s="7" t="s">
        <v>47</v>
      </c>
      <c r="D3444" s="7" t="n">
        <v>19</v>
      </c>
      <c r="E3444" s="7" t="s">
        <v>82</v>
      </c>
      <c r="F3444" s="7" t="s">
        <v>39</v>
      </c>
      <c r="G3444" s="8" t="n">
        <v>45888</v>
      </c>
      <c r="H3444" s="8" t="n">
        <v>45906</v>
      </c>
      <c r="I3444" s="7" t="s">
        <v>102</v>
      </c>
      <c r="J3444" s="7" t="s">
        <v>51</v>
      </c>
      <c r="K3444" s="7" t="n">
        <v>18</v>
      </c>
      <c r="L3444" s="7" t="n">
        <v>4</v>
      </c>
      <c r="M3444" s="7" t="n">
        <v>1</v>
      </c>
      <c r="N3444" s="7" t="s">
        <v>71</v>
      </c>
      <c r="O3444" s="7"/>
      <c r="P3444" s="7" t="n">
        <v>4.6</v>
      </c>
      <c r="Q3444" s="7" t="n">
        <v>23</v>
      </c>
      <c r="R3444" s="7" t="s">
        <v>44</v>
      </c>
      <c r="S3444" s="7"/>
      <c r="T3444" s="7"/>
      <c r="U3444" s="7" t="str">
        <f aca="false">IF(COUNTIF($A$2:$A$5001,A3444)&gt;1,"Duplicate","Unique")</f>
        <v>Unique</v>
      </c>
      <c r="V3444" s="7" t="str">
        <f aca="false">IF(COUNTIFS($B$2:$B$5001,B3444,$H$2:$H$5001,H3444,$J$2:$J$5001,J3444)&gt;1,"Possible Duplicate Booking","Unique")</f>
        <v>Unique</v>
      </c>
      <c r="W3444" s="7" t="str">
        <f aca="false">IF((H3444-G3444)&lt;&gt;K3444,"Mismatch","OK")</f>
        <v>OK</v>
      </c>
      <c r="X3444" s="7" t="str">
        <f aca="false">IF(TEXT(H3444,"dddd")&lt;&gt;I3444,"Mismatch","OK")</f>
        <v>OK</v>
      </c>
      <c r="Y3444" s="7" t="str">
        <f aca="false">IF(AND(N3444="No",O3444&lt;&gt;""),"Unexpected: channel present but no reminder sent",IF(AND(N3444="Yes",O3444=""),"Missing channel for sent reminder","OK"))</f>
        <v>OK</v>
      </c>
    </row>
    <row r="3445" customFormat="false" ht="15" hidden="false" customHeight="false" outlineLevel="0" collapsed="false">
      <c r="A3445" s="9" t="s">
        <v>5049</v>
      </c>
      <c r="B3445" s="9" t="s">
        <v>2242</v>
      </c>
      <c r="C3445" s="9" t="s">
        <v>47</v>
      </c>
      <c r="D3445" s="9" t="n">
        <v>41</v>
      </c>
      <c r="E3445" s="9" t="s">
        <v>38</v>
      </c>
      <c r="F3445" s="9" t="s">
        <v>39</v>
      </c>
      <c r="G3445" s="10" t="n">
        <v>45778</v>
      </c>
      <c r="H3445" s="10" t="n">
        <v>45778</v>
      </c>
      <c r="I3445" s="9" t="s">
        <v>62</v>
      </c>
      <c r="J3445" s="9" t="s">
        <v>41</v>
      </c>
      <c r="K3445" s="9" t="n">
        <v>0</v>
      </c>
      <c r="L3445" s="9" t="n">
        <v>5</v>
      </c>
      <c r="M3445" s="9" t="n">
        <v>1</v>
      </c>
      <c r="N3445" s="9" t="s">
        <v>42</v>
      </c>
      <c r="O3445" s="9" t="s">
        <v>52</v>
      </c>
      <c r="P3445" s="9" t="n">
        <v>8.7</v>
      </c>
      <c r="Q3445" s="9" t="n">
        <v>7</v>
      </c>
      <c r="R3445" s="9" t="s">
        <v>53</v>
      </c>
      <c r="S3445" s="9"/>
      <c r="T3445" s="9"/>
      <c r="U3445" s="9" t="str">
        <f aca="false">IF(COUNTIF($A$2:$A$5001,A3445)&gt;1,"Duplicate","Unique")</f>
        <v>Unique</v>
      </c>
      <c r="V3445" s="9" t="str">
        <f aca="false">IF(COUNTIFS($B$2:$B$5001,B3445,$H$2:$H$5001,H3445,$J$2:$J$5001,J3445)&gt;1,"Possible Duplicate Booking","Unique")</f>
        <v>Unique</v>
      </c>
      <c r="W3445" s="9" t="str">
        <f aca="false">IF((H3445-G3445)&lt;&gt;K3445,"Mismatch","OK")</f>
        <v>OK</v>
      </c>
      <c r="X3445" s="9" t="str">
        <f aca="false">IF(TEXT(H3445,"dddd")&lt;&gt;I3445,"Mismatch","OK")</f>
        <v>OK</v>
      </c>
      <c r="Y3445" s="9" t="str">
        <f aca="false">IF(AND(N3445="No",O3445&lt;&gt;""),"Unexpected: channel present but no reminder sent",IF(AND(N3445="Yes",O3445=""),"Missing channel for sent reminder","OK"))</f>
        <v>OK</v>
      </c>
    </row>
    <row r="3446" customFormat="false" ht="15" hidden="false" customHeight="false" outlineLevel="0" collapsed="false">
      <c r="A3446" s="7" t="s">
        <v>5050</v>
      </c>
      <c r="B3446" s="7" t="s">
        <v>2416</v>
      </c>
      <c r="C3446" s="7" t="s">
        <v>47</v>
      </c>
      <c r="D3446" s="7" t="n">
        <v>42</v>
      </c>
      <c r="E3446" s="7" t="s">
        <v>38</v>
      </c>
      <c r="F3446" s="7" t="s">
        <v>74</v>
      </c>
      <c r="G3446" s="8" t="n">
        <v>46114</v>
      </c>
      <c r="H3446" s="8" t="n">
        <v>46159</v>
      </c>
      <c r="I3446" s="7" t="s">
        <v>75</v>
      </c>
      <c r="J3446" s="7" t="s">
        <v>51</v>
      </c>
      <c r="K3446" s="7" t="n">
        <v>45</v>
      </c>
      <c r="L3446" s="7" t="n">
        <v>3</v>
      </c>
      <c r="M3446" s="7" t="n">
        <v>0</v>
      </c>
      <c r="N3446" s="7" t="s">
        <v>42</v>
      </c>
      <c r="O3446" s="7" t="s">
        <v>43</v>
      </c>
      <c r="P3446" s="7" t="n">
        <v>14</v>
      </c>
      <c r="Q3446" s="7" t="n">
        <v>18</v>
      </c>
      <c r="R3446" s="7" t="s">
        <v>44</v>
      </c>
      <c r="S3446" s="7"/>
      <c r="T3446" s="7"/>
      <c r="U3446" s="7" t="str">
        <f aca="false">IF(COUNTIF($A$2:$A$5001,A3446)&gt;1,"Duplicate","Unique")</f>
        <v>Unique</v>
      </c>
      <c r="V3446" s="7" t="str">
        <f aca="false">IF(COUNTIFS($B$2:$B$5001,B3446,$H$2:$H$5001,H3446,$J$2:$J$5001,J3446)&gt;1,"Possible Duplicate Booking","Unique")</f>
        <v>Unique</v>
      </c>
      <c r="W3446" s="7" t="str">
        <f aca="false">IF((H3446-G3446)&lt;&gt;K3446,"Mismatch","OK")</f>
        <v>OK</v>
      </c>
      <c r="X3446" s="7" t="str">
        <f aca="false">IF(TEXT(H3446,"dddd")&lt;&gt;I3446,"Mismatch","OK")</f>
        <v>OK</v>
      </c>
      <c r="Y3446" s="7" t="str">
        <f aca="false">IF(AND(N3446="No",O3446&lt;&gt;""),"Unexpected: channel present but no reminder sent",IF(AND(N3446="Yes",O3446=""),"Missing channel for sent reminder","OK"))</f>
        <v>OK</v>
      </c>
    </row>
    <row r="3447" customFormat="false" ht="15" hidden="false" customHeight="false" outlineLevel="0" collapsed="false">
      <c r="A3447" s="9" t="s">
        <v>5051</v>
      </c>
      <c r="B3447" s="9" t="s">
        <v>5052</v>
      </c>
      <c r="C3447" s="9" t="s">
        <v>47</v>
      </c>
      <c r="D3447" s="9" t="n">
        <v>44</v>
      </c>
      <c r="E3447" s="9" t="s">
        <v>38</v>
      </c>
      <c r="F3447" s="9" t="s">
        <v>74</v>
      </c>
      <c r="G3447" s="10" t="n">
        <v>46026</v>
      </c>
      <c r="H3447" s="10" t="n">
        <v>46046</v>
      </c>
      <c r="I3447" s="9" t="s">
        <v>102</v>
      </c>
      <c r="J3447" s="9" t="s">
        <v>51</v>
      </c>
      <c r="K3447" s="9" t="n">
        <v>20</v>
      </c>
      <c r="L3447" s="9" t="n">
        <v>1</v>
      </c>
      <c r="M3447" s="9" t="n">
        <v>0</v>
      </c>
      <c r="N3447" s="9" t="s">
        <v>42</v>
      </c>
      <c r="O3447" s="9" t="s">
        <v>52</v>
      </c>
      <c r="P3447" s="9" t="n">
        <v>8.1</v>
      </c>
      <c r="Q3447" s="9" t="n">
        <v>15</v>
      </c>
      <c r="R3447" s="9" t="s">
        <v>44</v>
      </c>
      <c r="S3447" s="9"/>
      <c r="T3447" s="9"/>
      <c r="U3447" s="9" t="str">
        <f aca="false">IF(COUNTIF($A$2:$A$5001,A3447)&gt;1,"Duplicate","Unique")</f>
        <v>Unique</v>
      </c>
      <c r="V3447" s="9" t="str">
        <f aca="false">IF(COUNTIFS($B$2:$B$5001,B3447,$H$2:$H$5001,H3447,$J$2:$J$5001,J3447)&gt;1,"Possible Duplicate Booking","Unique")</f>
        <v>Unique</v>
      </c>
      <c r="W3447" s="9" t="str">
        <f aca="false">IF((H3447-G3447)&lt;&gt;K3447,"Mismatch","OK")</f>
        <v>OK</v>
      </c>
      <c r="X3447" s="9" t="str">
        <f aca="false">IF(TEXT(H3447,"dddd")&lt;&gt;I3447,"Mismatch","OK")</f>
        <v>OK</v>
      </c>
      <c r="Y3447" s="9" t="str">
        <f aca="false">IF(AND(N3447="No",O3447&lt;&gt;""),"Unexpected: channel present but no reminder sent",IF(AND(N3447="Yes",O3447=""),"Missing channel for sent reminder","OK"))</f>
        <v>OK</v>
      </c>
    </row>
    <row r="3448" customFormat="false" ht="15" hidden="false" customHeight="false" outlineLevel="0" collapsed="false">
      <c r="A3448" s="7" t="s">
        <v>5053</v>
      </c>
      <c r="B3448" s="7" t="s">
        <v>3500</v>
      </c>
      <c r="C3448" s="7" t="s">
        <v>47</v>
      </c>
      <c r="D3448" s="7" t="n">
        <v>22</v>
      </c>
      <c r="E3448" s="7" t="s">
        <v>82</v>
      </c>
      <c r="F3448" s="7" t="s">
        <v>74</v>
      </c>
      <c r="G3448" s="8" t="n">
        <v>45802</v>
      </c>
      <c r="H3448" s="8" t="n">
        <v>45832</v>
      </c>
      <c r="I3448" s="7" t="s">
        <v>40</v>
      </c>
      <c r="J3448" s="7" t="s">
        <v>51</v>
      </c>
      <c r="K3448" s="7" t="n">
        <v>30</v>
      </c>
      <c r="L3448" s="7" t="n">
        <v>5</v>
      </c>
      <c r="M3448" s="7" t="n">
        <v>2</v>
      </c>
      <c r="N3448" s="7" t="s">
        <v>42</v>
      </c>
      <c r="O3448" s="7" t="s">
        <v>67</v>
      </c>
      <c r="P3448" s="7" t="n">
        <v>17.9</v>
      </c>
      <c r="Q3448" s="7" t="n">
        <v>16</v>
      </c>
      <c r="R3448" s="7" t="s">
        <v>44</v>
      </c>
      <c r="S3448" s="7"/>
      <c r="T3448" s="7"/>
      <c r="U3448" s="7" t="str">
        <f aca="false">IF(COUNTIF($A$2:$A$5001,A3448)&gt;1,"Duplicate","Unique")</f>
        <v>Unique</v>
      </c>
      <c r="V3448" s="7" t="str">
        <f aca="false">IF(COUNTIFS($B$2:$B$5001,B3448,$H$2:$H$5001,H3448,$J$2:$J$5001,J3448)&gt;1,"Possible Duplicate Booking","Unique")</f>
        <v>Unique</v>
      </c>
      <c r="W3448" s="7" t="str">
        <f aca="false">IF((H3448-G3448)&lt;&gt;K3448,"Mismatch","OK")</f>
        <v>OK</v>
      </c>
      <c r="X3448" s="7" t="str">
        <f aca="false">IF(TEXT(H3448,"dddd")&lt;&gt;I3448,"Mismatch","OK")</f>
        <v>OK</v>
      </c>
      <c r="Y3448" s="7" t="str">
        <f aca="false">IF(AND(N3448="No",O3448&lt;&gt;""),"Unexpected: channel present but no reminder sent",IF(AND(N3448="Yes",O3448=""),"Missing channel for sent reminder","OK"))</f>
        <v>OK</v>
      </c>
    </row>
    <row r="3449" customFormat="false" ht="15" hidden="false" customHeight="false" outlineLevel="0" collapsed="false">
      <c r="A3449" s="9" t="s">
        <v>5054</v>
      </c>
      <c r="B3449" s="9" t="s">
        <v>4407</v>
      </c>
      <c r="C3449" s="9" t="s">
        <v>47</v>
      </c>
      <c r="D3449" s="9" t="n">
        <v>26</v>
      </c>
      <c r="E3449" s="9" t="s">
        <v>48</v>
      </c>
      <c r="F3449" s="9" t="s">
        <v>49</v>
      </c>
      <c r="G3449" s="10" t="n">
        <v>45956</v>
      </c>
      <c r="H3449" s="10" t="n">
        <v>45965</v>
      </c>
      <c r="I3449" s="9" t="s">
        <v>40</v>
      </c>
      <c r="J3449" s="9" t="s">
        <v>51</v>
      </c>
      <c r="K3449" s="9" t="n">
        <v>9</v>
      </c>
      <c r="L3449" s="9" t="n">
        <v>2</v>
      </c>
      <c r="M3449" s="9" t="n">
        <v>0</v>
      </c>
      <c r="N3449" s="9" t="s">
        <v>42</v>
      </c>
      <c r="O3449" s="9" t="s">
        <v>43</v>
      </c>
      <c r="P3449" s="9" t="n">
        <v>24.4</v>
      </c>
      <c r="Q3449" s="9" t="n">
        <v>19</v>
      </c>
      <c r="R3449" s="9" t="s">
        <v>44</v>
      </c>
      <c r="S3449" s="9"/>
      <c r="T3449" s="9"/>
      <c r="U3449" s="9" t="str">
        <f aca="false">IF(COUNTIF($A$2:$A$5001,A3449)&gt;1,"Duplicate","Unique")</f>
        <v>Unique</v>
      </c>
      <c r="V3449" s="9" t="str">
        <f aca="false">IF(COUNTIFS($B$2:$B$5001,B3449,$H$2:$H$5001,H3449,$J$2:$J$5001,J3449)&gt;1,"Possible Duplicate Booking","Unique")</f>
        <v>Unique</v>
      </c>
      <c r="W3449" s="9" t="str">
        <f aca="false">IF((H3449-G3449)&lt;&gt;K3449,"Mismatch","OK")</f>
        <v>OK</v>
      </c>
      <c r="X3449" s="9" t="str">
        <f aca="false">IF(TEXT(H3449,"dddd")&lt;&gt;I3449,"Mismatch","OK")</f>
        <v>OK</v>
      </c>
      <c r="Y3449" s="9" t="str">
        <f aca="false">IF(AND(N3449="No",O3449&lt;&gt;""),"Unexpected: channel present but no reminder sent",IF(AND(N3449="Yes",O3449=""),"Missing channel for sent reminder","OK"))</f>
        <v>OK</v>
      </c>
    </row>
    <row r="3450" customFormat="false" ht="15" hidden="false" customHeight="false" outlineLevel="0" collapsed="false">
      <c r="A3450" s="7" t="s">
        <v>5055</v>
      </c>
      <c r="B3450" s="7" t="s">
        <v>5056</v>
      </c>
      <c r="C3450" s="7" t="s">
        <v>37</v>
      </c>
      <c r="D3450" s="7" t="n">
        <v>38</v>
      </c>
      <c r="E3450" s="7" t="s">
        <v>38</v>
      </c>
      <c r="F3450" s="7" t="s">
        <v>39</v>
      </c>
      <c r="G3450" s="8" t="n">
        <v>45938</v>
      </c>
      <c r="H3450" s="8" t="n">
        <v>45988</v>
      </c>
      <c r="I3450" s="7" t="s">
        <v>62</v>
      </c>
      <c r="J3450" s="7" t="s">
        <v>51</v>
      </c>
      <c r="K3450" s="7" t="n">
        <v>50</v>
      </c>
      <c r="L3450" s="7" t="n">
        <v>3</v>
      </c>
      <c r="M3450" s="7" t="n">
        <v>0</v>
      </c>
      <c r="N3450" s="7" t="s">
        <v>42</v>
      </c>
      <c r="O3450" s="7" t="s">
        <v>52</v>
      </c>
      <c r="P3450" s="7" t="n">
        <v>10.3</v>
      </c>
      <c r="Q3450" s="7" t="n">
        <v>30</v>
      </c>
      <c r="R3450" s="7" t="s">
        <v>44</v>
      </c>
      <c r="S3450" s="7"/>
      <c r="T3450" s="7"/>
      <c r="U3450" s="7" t="str">
        <f aca="false">IF(COUNTIF($A$2:$A$5001,A3450)&gt;1,"Duplicate","Unique")</f>
        <v>Unique</v>
      </c>
      <c r="V3450" s="7" t="str">
        <f aca="false">IF(COUNTIFS($B$2:$B$5001,B3450,$H$2:$H$5001,H3450,$J$2:$J$5001,J3450)&gt;1,"Possible Duplicate Booking","Unique")</f>
        <v>Unique</v>
      </c>
      <c r="W3450" s="7" t="str">
        <f aca="false">IF((H3450-G3450)&lt;&gt;K3450,"Mismatch","OK")</f>
        <v>OK</v>
      </c>
      <c r="X3450" s="7" t="str">
        <f aca="false">IF(TEXT(H3450,"dddd")&lt;&gt;I3450,"Mismatch","OK")</f>
        <v>OK</v>
      </c>
      <c r="Y3450" s="7" t="str">
        <f aca="false">IF(AND(N3450="No",O3450&lt;&gt;""),"Unexpected: channel present but no reminder sent",IF(AND(N3450="Yes",O3450=""),"Missing channel for sent reminder","OK"))</f>
        <v>OK</v>
      </c>
    </row>
    <row r="3451" customFormat="false" ht="15" hidden="false" customHeight="false" outlineLevel="0" collapsed="false">
      <c r="A3451" s="9" t="s">
        <v>5057</v>
      </c>
      <c r="B3451" s="9" t="s">
        <v>5058</v>
      </c>
      <c r="C3451" s="9" t="s">
        <v>37</v>
      </c>
      <c r="D3451" s="9" t="n">
        <v>44</v>
      </c>
      <c r="E3451" s="9" t="s">
        <v>38</v>
      </c>
      <c r="F3451" s="9" t="s">
        <v>57</v>
      </c>
      <c r="G3451" s="10" t="n">
        <v>45915</v>
      </c>
      <c r="H3451" s="10" t="n">
        <v>45928</v>
      </c>
      <c r="I3451" s="9" t="s">
        <v>75</v>
      </c>
      <c r="J3451" s="9" t="s">
        <v>41</v>
      </c>
      <c r="K3451" s="9" t="n">
        <v>13</v>
      </c>
      <c r="L3451" s="9" t="n">
        <v>3</v>
      </c>
      <c r="M3451" s="9" t="n">
        <v>2</v>
      </c>
      <c r="N3451" s="9" t="s">
        <v>71</v>
      </c>
      <c r="O3451" s="9"/>
      <c r="P3451" s="9" t="n">
        <v>7.5</v>
      </c>
      <c r="Q3451" s="9" t="n">
        <v>27</v>
      </c>
      <c r="R3451" s="9" t="s">
        <v>44</v>
      </c>
      <c r="S3451" s="9"/>
      <c r="T3451" s="9"/>
      <c r="U3451" s="9" t="str">
        <f aca="false">IF(COUNTIF($A$2:$A$5001,A3451)&gt;1,"Duplicate","Unique")</f>
        <v>Unique</v>
      </c>
      <c r="V3451" s="9" t="str">
        <f aca="false">IF(COUNTIFS($B$2:$B$5001,B3451,$H$2:$H$5001,H3451,$J$2:$J$5001,J3451)&gt;1,"Possible Duplicate Booking","Unique")</f>
        <v>Unique</v>
      </c>
      <c r="W3451" s="9" t="str">
        <f aca="false">IF((H3451-G3451)&lt;&gt;K3451,"Mismatch","OK")</f>
        <v>OK</v>
      </c>
      <c r="X3451" s="9" t="str">
        <f aca="false">IF(TEXT(H3451,"dddd")&lt;&gt;I3451,"Mismatch","OK")</f>
        <v>OK</v>
      </c>
      <c r="Y3451" s="9" t="str">
        <f aca="false">IF(AND(N3451="No",O3451&lt;&gt;""),"Unexpected: channel present but no reminder sent",IF(AND(N3451="Yes",O3451=""),"Missing channel for sent reminder","OK"))</f>
        <v>OK</v>
      </c>
    </row>
    <row r="3452" customFormat="false" ht="15" hidden="false" customHeight="false" outlineLevel="0" collapsed="false">
      <c r="A3452" s="7" t="s">
        <v>5059</v>
      </c>
      <c r="B3452" s="7" t="s">
        <v>5060</v>
      </c>
      <c r="C3452" s="7" t="s">
        <v>236</v>
      </c>
      <c r="D3452" s="7" t="n">
        <v>19</v>
      </c>
      <c r="E3452" s="7" t="s">
        <v>82</v>
      </c>
      <c r="F3452" s="7" t="s">
        <v>57</v>
      </c>
      <c r="G3452" s="8" t="n">
        <v>45882</v>
      </c>
      <c r="H3452" s="8" t="n">
        <v>45916</v>
      </c>
      <c r="I3452" s="7" t="s">
        <v>40</v>
      </c>
      <c r="J3452" s="7" t="s">
        <v>41</v>
      </c>
      <c r="K3452" s="7" t="n">
        <v>34</v>
      </c>
      <c r="L3452" s="7" t="n">
        <v>6</v>
      </c>
      <c r="M3452" s="7" t="n">
        <v>0</v>
      </c>
      <c r="N3452" s="7" t="s">
        <v>42</v>
      </c>
      <c r="O3452" s="7" t="s">
        <v>52</v>
      </c>
      <c r="P3452" s="7" t="n">
        <v>7.1</v>
      </c>
      <c r="Q3452" s="7" t="n">
        <v>35</v>
      </c>
      <c r="R3452" s="7" t="s">
        <v>53</v>
      </c>
      <c r="S3452" s="7"/>
      <c r="T3452" s="7"/>
      <c r="U3452" s="7" t="str">
        <f aca="false">IF(COUNTIF($A$2:$A$5001,A3452)&gt;1,"Duplicate","Unique")</f>
        <v>Unique</v>
      </c>
      <c r="V3452" s="7" t="str">
        <f aca="false">IF(COUNTIFS($B$2:$B$5001,B3452,$H$2:$H$5001,H3452,$J$2:$J$5001,J3452)&gt;1,"Possible Duplicate Booking","Unique")</f>
        <v>Unique</v>
      </c>
      <c r="W3452" s="7" t="str">
        <f aca="false">IF((H3452-G3452)&lt;&gt;K3452,"Mismatch","OK")</f>
        <v>OK</v>
      </c>
      <c r="X3452" s="7" t="str">
        <f aca="false">IF(TEXT(H3452,"dddd")&lt;&gt;I3452,"Mismatch","OK")</f>
        <v>OK</v>
      </c>
      <c r="Y3452" s="7" t="str">
        <f aca="false">IF(AND(N3452="No",O3452&lt;&gt;""),"Unexpected: channel present but no reminder sent",IF(AND(N3452="Yes",O3452=""),"Missing channel for sent reminder","OK"))</f>
        <v>OK</v>
      </c>
    </row>
    <row r="3453" customFormat="false" ht="15" hidden="false" customHeight="false" outlineLevel="0" collapsed="false">
      <c r="A3453" s="9" t="s">
        <v>5061</v>
      </c>
      <c r="B3453" s="9" t="s">
        <v>5062</v>
      </c>
      <c r="C3453" s="9" t="s">
        <v>47</v>
      </c>
      <c r="D3453" s="9" t="n">
        <v>42</v>
      </c>
      <c r="E3453" s="9" t="s">
        <v>38</v>
      </c>
      <c r="F3453" s="9" t="s">
        <v>74</v>
      </c>
      <c r="G3453" s="10" t="n">
        <v>45635</v>
      </c>
      <c r="H3453" s="10" t="n">
        <v>45688</v>
      </c>
      <c r="I3453" s="9" t="s">
        <v>50</v>
      </c>
      <c r="J3453" s="9" t="s">
        <v>51</v>
      </c>
      <c r="K3453" s="9" t="n">
        <v>53</v>
      </c>
      <c r="L3453" s="9" t="n">
        <v>1</v>
      </c>
      <c r="M3453" s="9" t="n">
        <v>0</v>
      </c>
      <c r="N3453" s="9" t="s">
        <v>42</v>
      </c>
      <c r="O3453" s="9" t="s">
        <v>43</v>
      </c>
      <c r="P3453" s="9" t="n">
        <v>10</v>
      </c>
      <c r="Q3453" s="9" t="n">
        <v>28</v>
      </c>
      <c r="R3453" s="9" t="s">
        <v>53</v>
      </c>
      <c r="S3453" s="9"/>
      <c r="T3453" s="9"/>
      <c r="U3453" s="9" t="str">
        <f aca="false">IF(COUNTIF($A$2:$A$5001,A3453)&gt;1,"Duplicate","Unique")</f>
        <v>Unique</v>
      </c>
      <c r="V3453" s="9" t="str">
        <f aca="false">IF(COUNTIFS($B$2:$B$5001,B3453,$H$2:$H$5001,H3453,$J$2:$J$5001,J3453)&gt;1,"Possible Duplicate Booking","Unique")</f>
        <v>Unique</v>
      </c>
      <c r="W3453" s="9" t="str">
        <f aca="false">IF((H3453-G3453)&lt;&gt;K3453,"Mismatch","OK")</f>
        <v>OK</v>
      </c>
      <c r="X3453" s="9" t="str">
        <f aca="false">IF(TEXT(H3453,"dddd")&lt;&gt;I3453,"Mismatch","OK")</f>
        <v>OK</v>
      </c>
      <c r="Y3453" s="9" t="str">
        <f aca="false">IF(AND(N3453="No",O3453&lt;&gt;""),"Unexpected: channel present but no reminder sent",IF(AND(N3453="Yes",O3453=""),"Missing channel for sent reminder","OK"))</f>
        <v>OK</v>
      </c>
    </row>
    <row r="3454" customFormat="false" ht="15" hidden="false" customHeight="false" outlineLevel="0" collapsed="false">
      <c r="A3454" s="7" t="s">
        <v>5063</v>
      </c>
      <c r="B3454" s="7" t="s">
        <v>492</v>
      </c>
      <c r="C3454" s="7" t="s">
        <v>47</v>
      </c>
      <c r="D3454" s="7" t="n">
        <v>38</v>
      </c>
      <c r="E3454" s="7" t="s">
        <v>38</v>
      </c>
      <c r="F3454" s="7" t="s">
        <v>57</v>
      </c>
      <c r="G3454" s="8" t="n">
        <v>45862</v>
      </c>
      <c r="H3454" s="8" t="n">
        <v>45905</v>
      </c>
      <c r="I3454" s="7" t="s">
        <v>50</v>
      </c>
      <c r="J3454" s="7" t="s">
        <v>41</v>
      </c>
      <c r="K3454" s="7" t="n">
        <v>43</v>
      </c>
      <c r="L3454" s="7" t="n">
        <v>2</v>
      </c>
      <c r="M3454" s="7" t="n">
        <v>0</v>
      </c>
      <c r="N3454" s="7" t="s">
        <v>71</v>
      </c>
      <c r="O3454" s="7"/>
      <c r="P3454" s="7" t="n">
        <v>10.2</v>
      </c>
      <c r="Q3454" s="7" t="n">
        <v>17</v>
      </c>
      <c r="R3454" s="7" t="s">
        <v>53</v>
      </c>
      <c r="S3454" s="7"/>
      <c r="T3454" s="7"/>
      <c r="U3454" s="7" t="str">
        <f aca="false">IF(COUNTIF($A$2:$A$5001,A3454)&gt;1,"Duplicate","Unique")</f>
        <v>Unique</v>
      </c>
      <c r="V3454" s="7" t="str">
        <f aca="false">IF(COUNTIFS($B$2:$B$5001,B3454,$H$2:$H$5001,H3454,$J$2:$J$5001,J3454)&gt;1,"Possible Duplicate Booking","Unique")</f>
        <v>Unique</v>
      </c>
      <c r="W3454" s="7" t="str">
        <f aca="false">IF((H3454-G3454)&lt;&gt;K3454,"Mismatch","OK")</f>
        <v>OK</v>
      </c>
      <c r="X3454" s="7" t="str">
        <f aca="false">IF(TEXT(H3454,"dddd")&lt;&gt;I3454,"Mismatch","OK")</f>
        <v>OK</v>
      </c>
      <c r="Y3454" s="7" t="str">
        <f aca="false">IF(AND(N3454="No",O3454&lt;&gt;""),"Unexpected: channel present but no reminder sent",IF(AND(N3454="Yes",O3454=""),"Missing channel for sent reminder","OK"))</f>
        <v>OK</v>
      </c>
    </row>
    <row r="3455" customFormat="false" ht="15" hidden="false" customHeight="false" outlineLevel="0" collapsed="false">
      <c r="A3455" s="9" t="s">
        <v>5064</v>
      </c>
      <c r="B3455" s="9" t="s">
        <v>2259</v>
      </c>
      <c r="C3455" s="9" t="s">
        <v>37</v>
      </c>
      <c r="D3455" s="9" t="n">
        <v>20</v>
      </c>
      <c r="E3455" s="9" t="s">
        <v>82</v>
      </c>
      <c r="F3455" s="9" t="s">
        <v>49</v>
      </c>
      <c r="G3455" s="10" t="n">
        <v>45812</v>
      </c>
      <c r="H3455" s="10" t="n">
        <v>45848</v>
      </c>
      <c r="I3455" s="9" t="s">
        <v>62</v>
      </c>
      <c r="J3455" s="9" t="s">
        <v>51</v>
      </c>
      <c r="K3455" s="9" t="n">
        <v>36</v>
      </c>
      <c r="L3455" s="9" t="n">
        <v>4</v>
      </c>
      <c r="M3455" s="9" t="n">
        <v>0</v>
      </c>
      <c r="N3455" s="9" t="s">
        <v>42</v>
      </c>
      <c r="O3455" s="9" t="s">
        <v>52</v>
      </c>
      <c r="P3455" s="9" t="n">
        <v>11.3</v>
      </c>
      <c r="Q3455" s="9" t="n">
        <v>32</v>
      </c>
      <c r="R3455" s="9" t="s">
        <v>44</v>
      </c>
      <c r="S3455" s="9"/>
      <c r="T3455" s="9"/>
      <c r="U3455" s="9" t="str">
        <f aca="false">IF(COUNTIF($A$2:$A$5001,A3455)&gt;1,"Duplicate","Unique")</f>
        <v>Unique</v>
      </c>
      <c r="V3455" s="9" t="str">
        <f aca="false">IF(COUNTIFS($B$2:$B$5001,B3455,$H$2:$H$5001,H3455,$J$2:$J$5001,J3455)&gt;1,"Possible Duplicate Booking","Unique")</f>
        <v>Unique</v>
      </c>
      <c r="W3455" s="9" t="str">
        <f aca="false">IF((H3455-G3455)&lt;&gt;K3455,"Mismatch","OK")</f>
        <v>OK</v>
      </c>
      <c r="X3455" s="9" t="str">
        <f aca="false">IF(TEXT(H3455,"dddd")&lt;&gt;I3455,"Mismatch","OK")</f>
        <v>OK</v>
      </c>
      <c r="Y3455" s="9" t="str">
        <f aca="false">IF(AND(N3455="No",O3455&lt;&gt;""),"Unexpected: channel present but no reminder sent",IF(AND(N3455="Yes",O3455=""),"Missing channel for sent reminder","OK"))</f>
        <v>OK</v>
      </c>
    </row>
    <row r="3456" customFormat="false" ht="15" hidden="false" customHeight="false" outlineLevel="0" collapsed="false">
      <c r="A3456" s="7" t="s">
        <v>5065</v>
      </c>
      <c r="B3456" s="7" t="s">
        <v>191</v>
      </c>
      <c r="C3456" s="7" t="s">
        <v>37</v>
      </c>
      <c r="D3456" s="7" t="n">
        <v>33</v>
      </c>
      <c r="E3456" s="7" t="s">
        <v>48</v>
      </c>
      <c r="F3456" s="7" t="s">
        <v>74</v>
      </c>
      <c r="G3456" s="8" t="n">
        <v>46050</v>
      </c>
      <c r="H3456" s="8" t="n">
        <v>46104</v>
      </c>
      <c r="I3456" s="7" t="s">
        <v>66</v>
      </c>
      <c r="J3456" s="7" t="s">
        <v>51</v>
      </c>
      <c r="K3456" s="7" t="n">
        <v>54</v>
      </c>
      <c r="L3456" s="7" t="n">
        <v>2</v>
      </c>
      <c r="M3456" s="7" t="n">
        <v>0</v>
      </c>
      <c r="N3456" s="7" t="s">
        <v>42</v>
      </c>
      <c r="O3456" s="7" t="s">
        <v>52</v>
      </c>
      <c r="P3456" s="7" t="n">
        <v>2.6</v>
      </c>
      <c r="Q3456" s="7" t="n">
        <v>9</v>
      </c>
      <c r="R3456" s="7" t="s">
        <v>44</v>
      </c>
      <c r="S3456" s="7"/>
      <c r="T3456" s="7"/>
      <c r="U3456" s="7" t="str">
        <f aca="false">IF(COUNTIF($A$2:$A$5001,A3456)&gt;1,"Duplicate","Unique")</f>
        <v>Unique</v>
      </c>
      <c r="V3456" s="7" t="str">
        <f aca="false">IF(COUNTIFS($B$2:$B$5001,B3456,$H$2:$H$5001,H3456,$J$2:$J$5001,J3456)&gt;1,"Possible Duplicate Booking","Unique")</f>
        <v>Unique</v>
      </c>
      <c r="W3456" s="7" t="str">
        <f aca="false">IF((H3456-G3456)&lt;&gt;K3456,"Mismatch","OK")</f>
        <v>OK</v>
      </c>
      <c r="X3456" s="7" t="str">
        <f aca="false">IF(TEXT(H3456,"dddd")&lt;&gt;I3456,"Mismatch","OK")</f>
        <v>OK</v>
      </c>
      <c r="Y3456" s="7" t="str">
        <f aca="false">IF(AND(N3456="No",O3456&lt;&gt;""),"Unexpected: channel present but no reminder sent",IF(AND(N3456="Yes",O3456=""),"Missing channel for sent reminder","OK"))</f>
        <v>OK</v>
      </c>
    </row>
    <row r="3457" customFormat="false" ht="15" hidden="false" customHeight="false" outlineLevel="0" collapsed="false">
      <c r="A3457" s="9" t="s">
        <v>5066</v>
      </c>
      <c r="B3457" s="9" t="s">
        <v>3886</v>
      </c>
      <c r="C3457" s="9" t="s">
        <v>47</v>
      </c>
      <c r="D3457" s="9" t="n">
        <v>35</v>
      </c>
      <c r="E3457" s="9" t="s">
        <v>38</v>
      </c>
      <c r="F3457" s="9" t="s">
        <v>74</v>
      </c>
      <c r="G3457" s="10" t="n">
        <v>46120</v>
      </c>
      <c r="H3457" s="10" t="n">
        <v>46130</v>
      </c>
      <c r="I3457" s="9" t="s">
        <v>102</v>
      </c>
      <c r="J3457" s="9" t="s">
        <v>63</v>
      </c>
      <c r="K3457" s="9" t="n">
        <v>10</v>
      </c>
      <c r="L3457" s="9" t="n">
        <v>2</v>
      </c>
      <c r="M3457" s="9" t="n">
        <v>1</v>
      </c>
      <c r="N3457" s="9" t="s">
        <v>42</v>
      </c>
      <c r="O3457" s="9" t="s">
        <v>52</v>
      </c>
      <c r="P3457" s="9" t="n">
        <v>11</v>
      </c>
      <c r="Q3457" s="9" t="n">
        <v>35</v>
      </c>
      <c r="R3457" s="9" t="s">
        <v>53</v>
      </c>
      <c r="S3457" s="9"/>
      <c r="T3457" s="9"/>
      <c r="U3457" s="9" t="str">
        <f aca="false">IF(COUNTIF($A$2:$A$5001,A3457)&gt;1,"Duplicate","Unique")</f>
        <v>Unique</v>
      </c>
      <c r="V3457" s="9" t="str">
        <f aca="false">IF(COUNTIFS($B$2:$B$5001,B3457,$H$2:$H$5001,H3457,$J$2:$J$5001,J3457)&gt;1,"Possible Duplicate Booking","Unique")</f>
        <v>Unique</v>
      </c>
      <c r="W3457" s="9" t="str">
        <f aca="false">IF((H3457-G3457)&lt;&gt;K3457,"Mismatch","OK")</f>
        <v>OK</v>
      </c>
      <c r="X3457" s="9" t="str">
        <f aca="false">IF(TEXT(H3457,"dddd")&lt;&gt;I3457,"Mismatch","OK")</f>
        <v>OK</v>
      </c>
      <c r="Y3457" s="9" t="str">
        <f aca="false">IF(AND(N3457="No",O3457&lt;&gt;""),"Unexpected: channel present but no reminder sent",IF(AND(N3457="Yes",O3457=""),"Missing channel for sent reminder","OK"))</f>
        <v>OK</v>
      </c>
    </row>
    <row r="3458" customFormat="false" ht="15" hidden="false" customHeight="false" outlineLevel="0" collapsed="false">
      <c r="A3458" s="7" t="s">
        <v>5067</v>
      </c>
      <c r="B3458" s="7" t="s">
        <v>645</v>
      </c>
      <c r="C3458" s="7" t="s">
        <v>37</v>
      </c>
      <c r="D3458" s="7" t="n">
        <v>27</v>
      </c>
      <c r="E3458" s="7" t="s">
        <v>48</v>
      </c>
      <c r="F3458" s="7" t="s">
        <v>74</v>
      </c>
      <c r="G3458" s="8" t="n">
        <v>46009</v>
      </c>
      <c r="H3458" s="8" t="n">
        <v>46067</v>
      </c>
      <c r="I3458" s="7" t="s">
        <v>102</v>
      </c>
      <c r="J3458" s="7" t="s">
        <v>41</v>
      </c>
      <c r="K3458" s="7" t="n">
        <v>58</v>
      </c>
      <c r="L3458" s="7" t="n">
        <v>5</v>
      </c>
      <c r="M3458" s="7" t="n">
        <v>1</v>
      </c>
      <c r="N3458" s="7" t="s">
        <v>42</v>
      </c>
      <c r="O3458" s="7" t="s">
        <v>52</v>
      </c>
      <c r="P3458" s="7" t="n">
        <v>10.8</v>
      </c>
      <c r="Q3458" s="7" t="n">
        <v>16</v>
      </c>
      <c r="R3458" s="7" t="s">
        <v>44</v>
      </c>
      <c r="S3458" s="7"/>
      <c r="T3458" s="7"/>
      <c r="U3458" s="7" t="str">
        <f aca="false">IF(COUNTIF($A$2:$A$5001,A3458)&gt;1,"Duplicate","Unique")</f>
        <v>Unique</v>
      </c>
      <c r="V3458" s="7" t="str">
        <f aca="false">IF(COUNTIFS($B$2:$B$5001,B3458,$H$2:$H$5001,H3458,$J$2:$J$5001,J3458)&gt;1,"Possible Duplicate Booking","Unique")</f>
        <v>Unique</v>
      </c>
      <c r="W3458" s="7" t="str">
        <f aca="false">IF((H3458-G3458)&lt;&gt;K3458,"Mismatch","OK")</f>
        <v>OK</v>
      </c>
      <c r="X3458" s="7" t="str">
        <f aca="false">IF(TEXT(H3458,"dddd")&lt;&gt;I3458,"Mismatch","OK")</f>
        <v>OK</v>
      </c>
      <c r="Y3458" s="7" t="str">
        <f aca="false">IF(AND(N3458="No",O3458&lt;&gt;""),"Unexpected: channel present but no reminder sent",IF(AND(N3458="Yes",O3458=""),"Missing channel for sent reminder","OK"))</f>
        <v>OK</v>
      </c>
    </row>
    <row r="3459" customFormat="false" ht="15" hidden="false" customHeight="false" outlineLevel="0" collapsed="false">
      <c r="A3459" s="9" t="s">
        <v>5068</v>
      </c>
      <c r="B3459" s="9" t="s">
        <v>5069</v>
      </c>
      <c r="C3459" s="9" t="s">
        <v>37</v>
      </c>
      <c r="D3459" s="9" t="n">
        <v>65</v>
      </c>
      <c r="E3459" s="9" t="s">
        <v>70</v>
      </c>
      <c r="F3459" s="9" t="s">
        <v>39</v>
      </c>
      <c r="G3459" s="10" t="n">
        <v>45641</v>
      </c>
      <c r="H3459" s="10" t="n">
        <v>45674</v>
      </c>
      <c r="I3459" s="9" t="s">
        <v>50</v>
      </c>
      <c r="J3459" s="9" t="s">
        <v>41</v>
      </c>
      <c r="K3459" s="9" t="n">
        <v>33</v>
      </c>
      <c r="L3459" s="9" t="n">
        <v>5</v>
      </c>
      <c r="M3459" s="9" t="n">
        <v>0</v>
      </c>
      <c r="N3459" s="9" t="s">
        <v>42</v>
      </c>
      <c r="O3459" s="9" t="s">
        <v>52</v>
      </c>
      <c r="P3459" s="9" t="n">
        <v>13.8</v>
      </c>
      <c r="Q3459" s="9" t="n">
        <v>2</v>
      </c>
      <c r="R3459" s="9" t="s">
        <v>44</v>
      </c>
      <c r="S3459" s="9"/>
      <c r="T3459" s="9"/>
      <c r="U3459" s="9" t="str">
        <f aca="false">IF(COUNTIF($A$2:$A$5001,A3459)&gt;1,"Duplicate","Unique")</f>
        <v>Unique</v>
      </c>
      <c r="V3459" s="9" t="str">
        <f aca="false">IF(COUNTIFS($B$2:$B$5001,B3459,$H$2:$H$5001,H3459,$J$2:$J$5001,J3459)&gt;1,"Possible Duplicate Booking","Unique")</f>
        <v>Unique</v>
      </c>
      <c r="W3459" s="9" t="str">
        <f aca="false">IF((H3459-G3459)&lt;&gt;K3459,"Mismatch","OK")</f>
        <v>OK</v>
      </c>
      <c r="X3459" s="9" t="str">
        <f aca="false">IF(TEXT(H3459,"dddd")&lt;&gt;I3459,"Mismatch","OK")</f>
        <v>OK</v>
      </c>
      <c r="Y3459" s="9" t="str">
        <f aca="false">IF(AND(N3459="No",O3459&lt;&gt;""),"Unexpected: channel present but no reminder sent",IF(AND(N3459="Yes",O3459=""),"Missing channel for sent reminder","OK"))</f>
        <v>OK</v>
      </c>
    </row>
    <row r="3460" customFormat="false" ht="15" hidden="false" customHeight="false" outlineLevel="0" collapsed="false">
      <c r="A3460" s="7" t="s">
        <v>5070</v>
      </c>
      <c r="B3460" s="7" t="s">
        <v>828</v>
      </c>
      <c r="C3460" s="7" t="s">
        <v>37</v>
      </c>
      <c r="D3460" s="7" t="n">
        <v>22</v>
      </c>
      <c r="E3460" s="7" t="s">
        <v>82</v>
      </c>
      <c r="F3460" s="7" t="s">
        <v>39</v>
      </c>
      <c r="G3460" s="8" t="n">
        <v>46092</v>
      </c>
      <c r="H3460" s="8" t="n">
        <v>46117</v>
      </c>
      <c r="I3460" s="7" t="s">
        <v>75</v>
      </c>
      <c r="J3460" s="7" t="s">
        <v>51</v>
      </c>
      <c r="K3460" s="7" t="n">
        <v>25</v>
      </c>
      <c r="L3460" s="7" t="n">
        <v>2</v>
      </c>
      <c r="M3460" s="7" t="n">
        <v>1</v>
      </c>
      <c r="N3460" s="7" t="s">
        <v>71</v>
      </c>
      <c r="O3460" s="7"/>
      <c r="P3460" s="7" t="n">
        <v>15.1</v>
      </c>
      <c r="Q3460" s="7" t="n">
        <v>30</v>
      </c>
      <c r="R3460" s="7" t="s">
        <v>53</v>
      </c>
      <c r="S3460" s="7"/>
      <c r="T3460" s="7"/>
      <c r="U3460" s="7" t="str">
        <f aca="false">IF(COUNTIF($A$2:$A$5001,A3460)&gt;1,"Duplicate","Unique")</f>
        <v>Unique</v>
      </c>
      <c r="V3460" s="7" t="str">
        <f aca="false">IF(COUNTIFS($B$2:$B$5001,B3460,$H$2:$H$5001,H3460,$J$2:$J$5001,J3460)&gt;1,"Possible Duplicate Booking","Unique")</f>
        <v>Unique</v>
      </c>
      <c r="W3460" s="7" t="str">
        <f aca="false">IF((H3460-G3460)&lt;&gt;K3460,"Mismatch","OK")</f>
        <v>OK</v>
      </c>
      <c r="X3460" s="7" t="str">
        <f aca="false">IF(TEXT(H3460,"dddd")&lt;&gt;I3460,"Mismatch","OK")</f>
        <v>OK</v>
      </c>
      <c r="Y3460" s="7" t="str">
        <f aca="false">IF(AND(N3460="No",O3460&lt;&gt;""),"Unexpected: channel present but no reminder sent",IF(AND(N3460="Yes",O3460=""),"Missing channel for sent reminder","OK"))</f>
        <v>OK</v>
      </c>
    </row>
    <row r="3461" customFormat="false" ht="15" hidden="false" customHeight="false" outlineLevel="0" collapsed="false">
      <c r="A3461" s="9" t="s">
        <v>5071</v>
      </c>
      <c r="B3461" s="9" t="s">
        <v>777</v>
      </c>
      <c r="C3461" s="9" t="s">
        <v>47</v>
      </c>
      <c r="D3461" s="9" t="n">
        <v>54</v>
      </c>
      <c r="E3461" s="9" t="s">
        <v>56</v>
      </c>
      <c r="F3461" s="9" t="s">
        <v>74</v>
      </c>
      <c r="G3461" s="10" t="n">
        <v>45859</v>
      </c>
      <c r="H3461" s="10" t="n">
        <v>45874</v>
      </c>
      <c r="I3461" s="9" t="s">
        <v>40</v>
      </c>
      <c r="J3461" s="9" t="s">
        <v>51</v>
      </c>
      <c r="K3461" s="9" t="n">
        <v>15</v>
      </c>
      <c r="L3461" s="9" t="n">
        <v>1</v>
      </c>
      <c r="M3461" s="9" t="n">
        <v>0</v>
      </c>
      <c r="N3461" s="9" t="s">
        <v>42</v>
      </c>
      <c r="O3461" s="9" t="s">
        <v>52</v>
      </c>
      <c r="P3461" s="9" t="n">
        <v>18.7</v>
      </c>
      <c r="Q3461" s="9" t="n">
        <v>21</v>
      </c>
      <c r="R3461" s="9" t="s">
        <v>53</v>
      </c>
      <c r="S3461" s="9"/>
      <c r="T3461" s="9"/>
      <c r="U3461" s="9" t="str">
        <f aca="false">IF(COUNTIF($A$2:$A$5001,A3461)&gt;1,"Duplicate","Unique")</f>
        <v>Unique</v>
      </c>
      <c r="V3461" s="9" t="str">
        <f aca="false">IF(COUNTIFS($B$2:$B$5001,B3461,$H$2:$H$5001,H3461,$J$2:$J$5001,J3461)&gt;1,"Possible Duplicate Booking","Unique")</f>
        <v>Unique</v>
      </c>
      <c r="W3461" s="9" t="str">
        <f aca="false">IF((H3461-G3461)&lt;&gt;K3461,"Mismatch","OK")</f>
        <v>OK</v>
      </c>
      <c r="X3461" s="9" t="str">
        <f aca="false">IF(TEXT(H3461,"dddd")&lt;&gt;I3461,"Mismatch","OK")</f>
        <v>OK</v>
      </c>
      <c r="Y3461" s="9" t="str">
        <f aca="false">IF(AND(N3461="No",O3461&lt;&gt;""),"Unexpected: channel present but no reminder sent",IF(AND(N3461="Yes",O3461=""),"Missing channel for sent reminder","OK"))</f>
        <v>OK</v>
      </c>
    </row>
    <row r="3462" customFormat="false" ht="15" hidden="false" customHeight="false" outlineLevel="0" collapsed="false">
      <c r="A3462" s="7" t="s">
        <v>5072</v>
      </c>
      <c r="B3462" s="7" t="s">
        <v>5073</v>
      </c>
      <c r="C3462" s="7" t="s">
        <v>47</v>
      </c>
      <c r="D3462" s="7" t="n">
        <v>59</v>
      </c>
      <c r="E3462" s="7" t="s">
        <v>61</v>
      </c>
      <c r="F3462" s="7" t="s">
        <v>57</v>
      </c>
      <c r="G3462" s="8" t="n">
        <v>45840</v>
      </c>
      <c r="H3462" s="8" t="n">
        <v>45885</v>
      </c>
      <c r="I3462" s="7" t="s">
        <v>102</v>
      </c>
      <c r="J3462" s="7" t="s">
        <v>41</v>
      </c>
      <c r="K3462" s="7" t="n">
        <v>45</v>
      </c>
      <c r="L3462" s="7" t="n">
        <v>5</v>
      </c>
      <c r="M3462" s="7" t="n">
        <v>1</v>
      </c>
      <c r="N3462" s="7" t="s">
        <v>42</v>
      </c>
      <c r="O3462" s="7" t="s">
        <v>52</v>
      </c>
      <c r="P3462" s="7" t="n">
        <v>11.6</v>
      </c>
      <c r="Q3462" s="7" t="n">
        <v>37</v>
      </c>
      <c r="R3462" s="7" t="s">
        <v>44</v>
      </c>
      <c r="S3462" s="7"/>
      <c r="T3462" s="7"/>
      <c r="U3462" s="7" t="str">
        <f aca="false">IF(COUNTIF($A$2:$A$5001,A3462)&gt;1,"Duplicate","Unique")</f>
        <v>Unique</v>
      </c>
      <c r="V3462" s="7" t="str">
        <f aca="false">IF(COUNTIFS($B$2:$B$5001,B3462,$H$2:$H$5001,H3462,$J$2:$J$5001,J3462)&gt;1,"Possible Duplicate Booking","Unique")</f>
        <v>Unique</v>
      </c>
      <c r="W3462" s="7" t="str">
        <f aca="false">IF((H3462-G3462)&lt;&gt;K3462,"Mismatch","OK")</f>
        <v>OK</v>
      </c>
      <c r="X3462" s="7" t="str">
        <f aca="false">IF(TEXT(H3462,"dddd")&lt;&gt;I3462,"Mismatch","OK")</f>
        <v>OK</v>
      </c>
      <c r="Y3462" s="7" t="str">
        <f aca="false">IF(AND(N3462="No",O3462&lt;&gt;""),"Unexpected: channel present but no reminder sent",IF(AND(N3462="Yes",O3462=""),"Missing channel for sent reminder","OK"))</f>
        <v>OK</v>
      </c>
    </row>
    <row r="3463" customFormat="false" ht="15" hidden="false" customHeight="false" outlineLevel="0" collapsed="false">
      <c r="A3463" s="9" t="s">
        <v>5074</v>
      </c>
      <c r="B3463" s="9" t="s">
        <v>160</v>
      </c>
      <c r="C3463" s="9" t="s">
        <v>37</v>
      </c>
      <c r="D3463" s="9" t="n">
        <v>68</v>
      </c>
      <c r="E3463" s="9" t="s">
        <v>70</v>
      </c>
      <c r="F3463" s="9" t="s">
        <v>57</v>
      </c>
      <c r="G3463" s="10" t="n">
        <v>46115</v>
      </c>
      <c r="H3463" s="10" t="n">
        <v>46174</v>
      </c>
      <c r="I3463" s="9" t="s">
        <v>66</v>
      </c>
      <c r="J3463" s="9" t="s">
        <v>41</v>
      </c>
      <c r="K3463" s="9" t="n">
        <v>59</v>
      </c>
      <c r="L3463" s="9" t="n">
        <v>3</v>
      </c>
      <c r="M3463" s="9" t="n">
        <v>0</v>
      </c>
      <c r="N3463" s="9" t="s">
        <v>42</v>
      </c>
      <c r="O3463" s="9" t="s">
        <v>52</v>
      </c>
      <c r="P3463" s="9" t="n">
        <v>15.2</v>
      </c>
      <c r="Q3463" s="9" t="n">
        <v>35</v>
      </c>
      <c r="R3463" s="9" t="s">
        <v>53</v>
      </c>
      <c r="S3463" s="9"/>
      <c r="T3463" s="9"/>
      <c r="U3463" s="9" t="str">
        <f aca="false">IF(COUNTIF($A$2:$A$5001,A3463)&gt;1,"Duplicate","Unique")</f>
        <v>Unique</v>
      </c>
      <c r="V3463" s="9" t="str">
        <f aca="false">IF(COUNTIFS($B$2:$B$5001,B3463,$H$2:$H$5001,H3463,$J$2:$J$5001,J3463)&gt;1,"Possible Duplicate Booking","Unique")</f>
        <v>Unique</v>
      </c>
      <c r="W3463" s="9" t="str">
        <f aca="false">IF((H3463-G3463)&lt;&gt;K3463,"Mismatch","OK")</f>
        <v>OK</v>
      </c>
      <c r="X3463" s="9" t="str">
        <f aca="false">IF(TEXT(H3463,"dddd")&lt;&gt;I3463,"Mismatch","OK")</f>
        <v>OK</v>
      </c>
      <c r="Y3463" s="9" t="str">
        <f aca="false">IF(AND(N3463="No",O3463&lt;&gt;""),"Unexpected: channel present but no reminder sent",IF(AND(N3463="Yes",O3463=""),"Missing channel for sent reminder","OK"))</f>
        <v>OK</v>
      </c>
    </row>
    <row r="3464" customFormat="false" ht="15" hidden="false" customHeight="false" outlineLevel="0" collapsed="false">
      <c r="A3464" s="7" t="s">
        <v>5075</v>
      </c>
      <c r="B3464" s="7" t="s">
        <v>2985</v>
      </c>
      <c r="C3464" s="7" t="s">
        <v>47</v>
      </c>
      <c r="D3464" s="7" t="n">
        <v>52</v>
      </c>
      <c r="E3464" s="7" t="s">
        <v>56</v>
      </c>
      <c r="F3464" s="7" t="s">
        <v>74</v>
      </c>
      <c r="G3464" s="8" t="n">
        <v>46089</v>
      </c>
      <c r="H3464" s="8" t="n">
        <v>46131</v>
      </c>
      <c r="I3464" s="7" t="s">
        <v>75</v>
      </c>
      <c r="J3464" s="7" t="s">
        <v>41</v>
      </c>
      <c r="K3464" s="7" t="n">
        <v>42</v>
      </c>
      <c r="L3464" s="7" t="n">
        <v>3</v>
      </c>
      <c r="M3464" s="7" t="n">
        <v>0</v>
      </c>
      <c r="N3464" s="7" t="s">
        <v>71</v>
      </c>
      <c r="O3464" s="7"/>
      <c r="P3464" s="7" t="n">
        <v>11.6</v>
      </c>
      <c r="Q3464" s="7" t="n">
        <v>13</v>
      </c>
      <c r="R3464" s="7" t="s">
        <v>53</v>
      </c>
      <c r="S3464" s="7"/>
      <c r="T3464" s="7"/>
      <c r="U3464" s="7" t="str">
        <f aca="false">IF(COUNTIF($A$2:$A$5001,A3464)&gt;1,"Duplicate","Unique")</f>
        <v>Unique</v>
      </c>
      <c r="V3464" s="7" t="str">
        <f aca="false">IF(COUNTIFS($B$2:$B$5001,B3464,$H$2:$H$5001,H3464,$J$2:$J$5001,J3464)&gt;1,"Possible Duplicate Booking","Unique")</f>
        <v>Unique</v>
      </c>
      <c r="W3464" s="7" t="str">
        <f aca="false">IF((H3464-G3464)&lt;&gt;K3464,"Mismatch","OK")</f>
        <v>OK</v>
      </c>
      <c r="X3464" s="7" t="str">
        <f aca="false">IF(TEXT(H3464,"dddd")&lt;&gt;I3464,"Mismatch","OK")</f>
        <v>OK</v>
      </c>
      <c r="Y3464" s="7" t="str">
        <f aca="false">IF(AND(N3464="No",O3464&lt;&gt;""),"Unexpected: channel present but no reminder sent",IF(AND(N3464="Yes",O3464=""),"Missing channel for sent reminder","OK"))</f>
        <v>OK</v>
      </c>
    </row>
    <row r="3465" customFormat="false" ht="15" hidden="false" customHeight="false" outlineLevel="0" collapsed="false">
      <c r="A3465" s="9" t="s">
        <v>5076</v>
      </c>
      <c r="B3465" s="9" t="s">
        <v>2727</v>
      </c>
      <c r="C3465" s="9" t="s">
        <v>37</v>
      </c>
      <c r="D3465" s="9" t="n">
        <v>52</v>
      </c>
      <c r="E3465" s="9" t="s">
        <v>56</v>
      </c>
      <c r="F3465" s="9" t="s">
        <v>39</v>
      </c>
      <c r="G3465" s="10" t="n">
        <v>45684</v>
      </c>
      <c r="H3465" s="10" t="n">
        <v>45685</v>
      </c>
      <c r="I3465" s="9" t="s">
        <v>40</v>
      </c>
      <c r="J3465" s="9" t="s">
        <v>63</v>
      </c>
      <c r="K3465" s="9" t="n">
        <v>1</v>
      </c>
      <c r="L3465" s="9" t="n">
        <v>4</v>
      </c>
      <c r="M3465" s="9" t="n">
        <v>0</v>
      </c>
      <c r="N3465" s="9" t="s">
        <v>42</v>
      </c>
      <c r="O3465" s="9" t="s">
        <v>67</v>
      </c>
      <c r="P3465" s="9" t="n">
        <v>18.5</v>
      </c>
      <c r="Q3465" s="9" t="n">
        <v>41</v>
      </c>
      <c r="R3465" s="9" t="s">
        <v>53</v>
      </c>
      <c r="S3465" s="9"/>
      <c r="T3465" s="9"/>
      <c r="U3465" s="9" t="str">
        <f aca="false">IF(COUNTIF($A$2:$A$5001,A3465)&gt;1,"Duplicate","Unique")</f>
        <v>Unique</v>
      </c>
      <c r="V3465" s="9" t="str">
        <f aca="false">IF(COUNTIFS($B$2:$B$5001,B3465,$H$2:$H$5001,H3465,$J$2:$J$5001,J3465)&gt;1,"Possible Duplicate Booking","Unique")</f>
        <v>Unique</v>
      </c>
      <c r="W3465" s="9" t="str">
        <f aca="false">IF((H3465-G3465)&lt;&gt;K3465,"Mismatch","OK")</f>
        <v>OK</v>
      </c>
      <c r="X3465" s="9" t="str">
        <f aca="false">IF(TEXT(H3465,"dddd")&lt;&gt;I3465,"Mismatch","OK")</f>
        <v>OK</v>
      </c>
      <c r="Y3465" s="9" t="str">
        <f aca="false">IF(AND(N3465="No",O3465&lt;&gt;""),"Unexpected: channel present but no reminder sent",IF(AND(N3465="Yes",O3465=""),"Missing channel for sent reminder","OK"))</f>
        <v>OK</v>
      </c>
    </row>
    <row r="3466" customFormat="false" ht="15" hidden="false" customHeight="false" outlineLevel="0" collapsed="false">
      <c r="A3466" s="7" t="s">
        <v>5077</v>
      </c>
      <c r="B3466" s="7" t="s">
        <v>1435</v>
      </c>
      <c r="C3466" s="7" t="s">
        <v>47</v>
      </c>
      <c r="D3466" s="7" t="n">
        <v>65</v>
      </c>
      <c r="E3466" s="7" t="s">
        <v>70</v>
      </c>
      <c r="F3466" s="7" t="s">
        <v>39</v>
      </c>
      <c r="G3466" s="8" t="n">
        <v>45826</v>
      </c>
      <c r="H3466" s="8" t="n">
        <v>45854</v>
      </c>
      <c r="I3466" s="7" t="s">
        <v>58</v>
      </c>
      <c r="J3466" s="7" t="s">
        <v>51</v>
      </c>
      <c r="K3466" s="7" t="n">
        <v>28</v>
      </c>
      <c r="L3466" s="7" t="n">
        <v>1</v>
      </c>
      <c r="M3466" s="7" t="n">
        <v>0</v>
      </c>
      <c r="N3466" s="7" t="s">
        <v>71</v>
      </c>
      <c r="O3466" s="7"/>
      <c r="P3466" s="7"/>
      <c r="Q3466" s="7" t="n">
        <v>3</v>
      </c>
      <c r="R3466" s="7" t="s">
        <v>53</v>
      </c>
      <c r="S3466" s="7"/>
      <c r="T3466" s="7"/>
      <c r="U3466" s="7" t="str">
        <f aca="false">IF(COUNTIF($A$2:$A$5001,A3466)&gt;1,"Duplicate","Unique")</f>
        <v>Unique</v>
      </c>
      <c r="V3466" s="7" t="str">
        <f aca="false">IF(COUNTIFS($B$2:$B$5001,B3466,$H$2:$H$5001,H3466,$J$2:$J$5001,J3466)&gt;1,"Possible Duplicate Booking","Unique")</f>
        <v>Unique</v>
      </c>
      <c r="W3466" s="7" t="str">
        <f aca="false">IF((H3466-G3466)&lt;&gt;K3466,"Mismatch","OK")</f>
        <v>OK</v>
      </c>
      <c r="X3466" s="7" t="str">
        <f aca="false">IF(TEXT(H3466,"dddd")&lt;&gt;I3466,"Mismatch","OK")</f>
        <v>OK</v>
      </c>
      <c r="Y3466" s="7" t="str">
        <f aca="false">IF(AND(N3466="No",O3466&lt;&gt;""),"Unexpected: channel present but no reminder sent",IF(AND(N3466="Yes",O3466=""),"Missing channel for sent reminder","OK"))</f>
        <v>OK</v>
      </c>
    </row>
    <row r="3467" customFormat="false" ht="15" hidden="false" customHeight="false" outlineLevel="0" collapsed="false">
      <c r="A3467" s="9" t="s">
        <v>5078</v>
      </c>
      <c r="B3467" s="9" t="s">
        <v>840</v>
      </c>
      <c r="C3467" s="9" t="s">
        <v>47</v>
      </c>
      <c r="D3467" s="9" t="n">
        <v>71</v>
      </c>
      <c r="E3467" s="9" t="s">
        <v>70</v>
      </c>
      <c r="F3467" s="9" t="s">
        <v>57</v>
      </c>
      <c r="G3467" s="10" t="n">
        <v>46023</v>
      </c>
      <c r="H3467" s="10" t="n">
        <v>46067</v>
      </c>
      <c r="I3467" s="9" t="s">
        <v>102</v>
      </c>
      <c r="J3467" s="9" t="s">
        <v>41</v>
      </c>
      <c r="K3467" s="9" t="n">
        <v>44</v>
      </c>
      <c r="L3467" s="9" t="n">
        <v>3</v>
      </c>
      <c r="M3467" s="9" t="n">
        <v>1</v>
      </c>
      <c r="N3467" s="9" t="s">
        <v>71</v>
      </c>
      <c r="O3467" s="9"/>
      <c r="P3467" s="9" t="n">
        <v>6.3</v>
      </c>
      <c r="Q3467" s="9" t="n">
        <v>29</v>
      </c>
      <c r="R3467" s="9" t="s">
        <v>44</v>
      </c>
      <c r="S3467" s="9"/>
      <c r="T3467" s="9"/>
      <c r="U3467" s="9" t="str">
        <f aca="false">IF(COUNTIF($A$2:$A$5001,A3467)&gt;1,"Duplicate","Unique")</f>
        <v>Unique</v>
      </c>
      <c r="V3467" s="9" t="str">
        <f aca="false">IF(COUNTIFS($B$2:$B$5001,B3467,$H$2:$H$5001,H3467,$J$2:$J$5001,J3467)&gt;1,"Possible Duplicate Booking","Unique")</f>
        <v>Unique</v>
      </c>
      <c r="W3467" s="9" t="str">
        <f aca="false">IF((H3467-G3467)&lt;&gt;K3467,"Mismatch","OK")</f>
        <v>OK</v>
      </c>
      <c r="X3467" s="9" t="str">
        <f aca="false">IF(TEXT(H3467,"dddd")&lt;&gt;I3467,"Mismatch","OK")</f>
        <v>OK</v>
      </c>
      <c r="Y3467" s="9" t="str">
        <f aca="false">IF(AND(N3467="No",O3467&lt;&gt;""),"Unexpected: channel present but no reminder sent",IF(AND(N3467="Yes",O3467=""),"Missing channel for sent reminder","OK"))</f>
        <v>OK</v>
      </c>
    </row>
    <row r="3468" customFormat="false" ht="15" hidden="false" customHeight="false" outlineLevel="0" collapsed="false">
      <c r="A3468" s="7" t="s">
        <v>5079</v>
      </c>
      <c r="B3468" s="7" t="s">
        <v>1631</v>
      </c>
      <c r="C3468" s="7" t="s">
        <v>47</v>
      </c>
      <c r="D3468" s="7" t="n">
        <v>31</v>
      </c>
      <c r="E3468" s="7" t="s">
        <v>48</v>
      </c>
      <c r="F3468" s="7" t="s">
        <v>39</v>
      </c>
      <c r="G3468" s="8" t="n">
        <v>45928</v>
      </c>
      <c r="H3468" s="8" t="n">
        <v>45952</v>
      </c>
      <c r="I3468" s="7" t="s">
        <v>58</v>
      </c>
      <c r="J3468" s="7" t="s">
        <v>41</v>
      </c>
      <c r="K3468" s="7" t="n">
        <v>24</v>
      </c>
      <c r="L3468" s="7" t="n">
        <v>5</v>
      </c>
      <c r="M3468" s="7" t="n">
        <v>2</v>
      </c>
      <c r="N3468" s="7" t="s">
        <v>42</v>
      </c>
      <c r="O3468" s="7" t="s">
        <v>67</v>
      </c>
      <c r="P3468" s="7" t="n">
        <v>9.7</v>
      </c>
      <c r="Q3468" s="7" t="n">
        <v>40</v>
      </c>
      <c r="R3468" s="7" t="s">
        <v>44</v>
      </c>
      <c r="S3468" s="7"/>
      <c r="T3468" s="7"/>
      <c r="U3468" s="7" t="str">
        <f aca="false">IF(COUNTIF($A$2:$A$5001,A3468)&gt;1,"Duplicate","Unique")</f>
        <v>Unique</v>
      </c>
      <c r="V3468" s="7" t="str">
        <f aca="false">IF(COUNTIFS($B$2:$B$5001,B3468,$H$2:$H$5001,H3468,$J$2:$J$5001,J3468)&gt;1,"Possible Duplicate Booking","Unique")</f>
        <v>Unique</v>
      </c>
      <c r="W3468" s="7" t="str">
        <f aca="false">IF((H3468-G3468)&lt;&gt;K3468,"Mismatch","OK")</f>
        <v>OK</v>
      </c>
      <c r="X3468" s="7" t="str">
        <f aca="false">IF(TEXT(H3468,"dddd")&lt;&gt;I3468,"Mismatch","OK")</f>
        <v>OK</v>
      </c>
      <c r="Y3468" s="7" t="str">
        <f aca="false">IF(AND(N3468="No",O3468&lt;&gt;""),"Unexpected: channel present but no reminder sent",IF(AND(N3468="Yes",O3468=""),"Missing channel for sent reminder","OK"))</f>
        <v>OK</v>
      </c>
    </row>
    <row r="3469" customFormat="false" ht="15" hidden="false" customHeight="false" outlineLevel="0" collapsed="false">
      <c r="A3469" s="9" t="s">
        <v>5080</v>
      </c>
      <c r="B3469" s="9" t="s">
        <v>455</v>
      </c>
      <c r="C3469" s="9" t="s">
        <v>37</v>
      </c>
      <c r="D3469" s="9" t="n">
        <v>68</v>
      </c>
      <c r="E3469" s="9" t="s">
        <v>70</v>
      </c>
      <c r="F3469" s="9" t="s">
        <v>74</v>
      </c>
      <c r="G3469" s="10" t="n">
        <v>45751</v>
      </c>
      <c r="H3469" s="10" t="n">
        <v>45798</v>
      </c>
      <c r="I3469" s="9" t="s">
        <v>58</v>
      </c>
      <c r="J3469" s="9" t="s">
        <v>51</v>
      </c>
      <c r="K3469" s="9" t="n">
        <v>47</v>
      </c>
      <c r="L3469" s="9" t="n">
        <v>3</v>
      </c>
      <c r="M3469" s="9" t="n">
        <v>1</v>
      </c>
      <c r="N3469" s="9" t="s">
        <v>42</v>
      </c>
      <c r="O3469" s="9" t="s">
        <v>52</v>
      </c>
      <c r="P3469" s="9" t="n">
        <v>21.1</v>
      </c>
      <c r="Q3469" s="9" t="n">
        <v>13</v>
      </c>
      <c r="R3469" s="9" t="s">
        <v>44</v>
      </c>
      <c r="S3469" s="9"/>
      <c r="T3469" s="9"/>
      <c r="U3469" s="9" t="str">
        <f aca="false">IF(COUNTIF($A$2:$A$5001,A3469)&gt;1,"Duplicate","Unique")</f>
        <v>Unique</v>
      </c>
      <c r="V3469" s="9" t="str">
        <f aca="false">IF(COUNTIFS($B$2:$B$5001,B3469,$H$2:$H$5001,H3469,$J$2:$J$5001,J3469)&gt;1,"Possible Duplicate Booking","Unique")</f>
        <v>Unique</v>
      </c>
      <c r="W3469" s="9" t="str">
        <f aca="false">IF((H3469-G3469)&lt;&gt;K3469,"Mismatch","OK")</f>
        <v>OK</v>
      </c>
      <c r="X3469" s="9" t="str">
        <f aca="false">IF(TEXT(H3469,"dddd")&lt;&gt;I3469,"Mismatch","OK")</f>
        <v>OK</v>
      </c>
      <c r="Y3469" s="9" t="str">
        <f aca="false">IF(AND(N3469="No",O3469&lt;&gt;""),"Unexpected: channel present but no reminder sent",IF(AND(N3469="Yes",O3469=""),"Missing channel for sent reminder","OK"))</f>
        <v>OK</v>
      </c>
    </row>
    <row r="3470" customFormat="false" ht="15" hidden="false" customHeight="false" outlineLevel="0" collapsed="false">
      <c r="A3470" s="7" t="s">
        <v>5081</v>
      </c>
      <c r="B3470" s="7" t="s">
        <v>264</v>
      </c>
      <c r="C3470" s="7" t="s">
        <v>37</v>
      </c>
      <c r="D3470" s="7" t="n">
        <v>47</v>
      </c>
      <c r="E3470" s="7" t="s">
        <v>56</v>
      </c>
      <c r="F3470" s="7" t="s">
        <v>39</v>
      </c>
      <c r="G3470" s="8" t="n">
        <v>45901</v>
      </c>
      <c r="H3470" s="8" t="n">
        <v>45944</v>
      </c>
      <c r="I3470" s="7" t="s">
        <v>40</v>
      </c>
      <c r="J3470" s="7" t="s">
        <v>51</v>
      </c>
      <c r="K3470" s="7" t="n">
        <v>43</v>
      </c>
      <c r="L3470" s="7" t="n">
        <v>2</v>
      </c>
      <c r="M3470" s="7" t="n">
        <v>1</v>
      </c>
      <c r="N3470" s="7" t="s">
        <v>42</v>
      </c>
      <c r="O3470" s="7" t="s">
        <v>43</v>
      </c>
      <c r="P3470" s="7" t="n">
        <v>6.6</v>
      </c>
      <c r="Q3470" s="7" t="n">
        <v>47</v>
      </c>
      <c r="R3470" s="7" t="s">
        <v>44</v>
      </c>
      <c r="S3470" s="7"/>
      <c r="T3470" s="7"/>
      <c r="U3470" s="7" t="str">
        <f aca="false">IF(COUNTIF($A$2:$A$5001,A3470)&gt;1,"Duplicate","Unique")</f>
        <v>Unique</v>
      </c>
      <c r="V3470" s="7" t="str">
        <f aca="false">IF(COUNTIFS($B$2:$B$5001,B3470,$H$2:$H$5001,H3470,$J$2:$J$5001,J3470)&gt;1,"Possible Duplicate Booking","Unique")</f>
        <v>Unique</v>
      </c>
      <c r="W3470" s="7" t="str">
        <f aca="false">IF((H3470-G3470)&lt;&gt;K3470,"Mismatch","OK")</f>
        <v>OK</v>
      </c>
      <c r="X3470" s="7" t="str">
        <f aca="false">IF(TEXT(H3470,"dddd")&lt;&gt;I3470,"Mismatch","OK")</f>
        <v>OK</v>
      </c>
      <c r="Y3470" s="7" t="str">
        <f aca="false">IF(AND(N3470="No",O3470&lt;&gt;""),"Unexpected: channel present but no reminder sent",IF(AND(N3470="Yes",O3470=""),"Missing channel for sent reminder","OK"))</f>
        <v>OK</v>
      </c>
    </row>
    <row r="3471" customFormat="false" ht="15" hidden="false" customHeight="false" outlineLevel="0" collapsed="false">
      <c r="A3471" s="9" t="s">
        <v>5082</v>
      </c>
      <c r="B3471" s="9" t="s">
        <v>1503</v>
      </c>
      <c r="C3471" s="9" t="s">
        <v>37</v>
      </c>
      <c r="D3471" s="9" t="n">
        <v>24</v>
      </c>
      <c r="E3471" s="9" t="s">
        <v>82</v>
      </c>
      <c r="F3471" s="9" t="s">
        <v>57</v>
      </c>
      <c r="G3471" s="10" t="n">
        <v>46127</v>
      </c>
      <c r="H3471" s="10" t="n">
        <v>46131</v>
      </c>
      <c r="I3471" s="9" t="s">
        <v>75</v>
      </c>
      <c r="J3471" s="9" t="s">
        <v>41</v>
      </c>
      <c r="K3471" s="9" t="n">
        <v>4</v>
      </c>
      <c r="L3471" s="9" t="n">
        <v>2</v>
      </c>
      <c r="M3471" s="9" t="n">
        <v>1</v>
      </c>
      <c r="N3471" s="9" t="s">
        <v>42</v>
      </c>
      <c r="O3471" s="9" t="s">
        <v>52</v>
      </c>
      <c r="P3471" s="9" t="n">
        <v>20.9</v>
      </c>
      <c r="Q3471" s="9" t="n">
        <v>26</v>
      </c>
      <c r="R3471" s="9" t="s">
        <v>44</v>
      </c>
      <c r="S3471" s="9"/>
      <c r="T3471" s="9"/>
      <c r="U3471" s="9" t="str">
        <f aca="false">IF(COUNTIF($A$2:$A$5001,A3471)&gt;1,"Duplicate","Unique")</f>
        <v>Unique</v>
      </c>
      <c r="V3471" s="9" t="str">
        <f aca="false">IF(COUNTIFS($B$2:$B$5001,B3471,$H$2:$H$5001,H3471,$J$2:$J$5001,J3471)&gt;1,"Possible Duplicate Booking","Unique")</f>
        <v>Unique</v>
      </c>
      <c r="W3471" s="9" t="str">
        <f aca="false">IF((H3471-G3471)&lt;&gt;K3471,"Mismatch","OK")</f>
        <v>OK</v>
      </c>
      <c r="X3471" s="9" t="str">
        <f aca="false">IF(TEXT(H3471,"dddd")&lt;&gt;I3471,"Mismatch","OK")</f>
        <v>OK</v>
      </c>
      <c r="Y3471" s="9" t="str">
        <f aca="false">IF(AND(N3471="No",O3471&lt;&gt;""),"Unexpected: channel present but no reminder sent",IF(AND(N3471="Yes",O3471=""),"Missing channel for sent reminder","OK"))</f>
        <v>OK</v>
      </c>
    </row>
    <row r="3472" customFormat="false" ht="15" hidden="false" customHeight="false" outlineLevel="0" collapsed="false">
      <c r="A3472" s="7" t="s">
        <v>5083</v>
      </c>
      <c r="B3472" s="7" t="s">
        <v>698</v>
      </c>
      <c r="C3472" s="7" t="s">
        <v>47</v>
      </c>
      <c r="D3472" s="7" t="n">
        <v>56</v>
      </c>
      <c r="E3472" s="7" t="s">
        <v>61</v>
      </c>
      <c r="F3472" s="7" t="s">
        <v>39</v>
      </c>
      <c r="G3472" s="8" t="n">
        <v>45745</v>
      </c>
      <c r="H3472" s="8" t="n">
        <v>45779</v>
      </c>
      <c r="I3472" s="7" t="s">
        <v>50</v>
      </c>
      <c r="J3472" s="7" t="s">
        <v>51</v>
      </c>
      <c r="K3472" s="7" t="n">
        <v>34</v>
      </c>
      <c r="L3472" s="7" t="n">
        <v>1</v>
      </c>
      <c r="M3472" s="7" t="n">
        <v>1</v>
      </c>
      <c r="N3472" s="7" t="s">
        <v>42</v>
      </c>
      <c r="O3472" s="7" t="s">
        <v>43</v>
      </c>
      <c r="P3472" s="7" t="n">
        <v>11.9</v>
      </c>
      <c r="Q3472" s="7" t="n">
        <v>28</v>
      </c>
      <c r="R3472" s="7" t="s">
        <v>44</v>
      </c>
      <c r="S3472" s="7"/>
      <c r="T3472" s="7"/>
      <c r="U3472" s="7" t="str">
        <f aca="false">IF(COUNTIF($A$2:$A$5001,A3472)&gt;1,"Duplicate","Unique")</f>
        <v>Unique</v>
      </c>
      <c r="V3472" s="7" t="str">
        <f aca="false">IF(COUNTIFS($B$2:$B$5001,B3472,$H$2:$H$5001,H3472,$J$2:$J$5001,J3472)&gt;1,"Possible Duplicate Booking","Unique")</f>
        <v>Unique</v>
      </c>
      <c r="W3472" s="7" t="str">
        <f aca="false">IF((H3472-G3472)&lt;&gt;K3472,"Mismatch","OK")</f>
        <v>OK</v>
      </c>
      <c r="X3472" s="7" t="str">
        <f aca="false">IF(TEXT(H3472,"dddd")&lt;&gt;I3472,"Mismatch","OK")</f>
        <v>OK</v>
      </c>
      <c r="Y3472" s="7" t="str">
        <f aca="false">IF(AND(N3472="No",O3472&lt;&gt;""),"Unexpected: channel present but no reminder sent",IF(AND(N3472="Yes",O3472=""),"Missing channel for sent reminder","OK"))</f>
        <v>OK</v>
      </c>
    </row>
    <row r="3473" customFormat="false" ht="15" hidden="false" customHeight="false" outlineLevel="0" collapsed="false">
      <c r="A3473" s="9" t="s">
        <v>5084</v>
      </c>
      <c r="B3473" s="9" t="s">
        <v>5085</v>
      </c>
      <c r="C3473" s="9" t="s">
        <v>37</v>
      </c>
      <c r="D3473" s="9" t="n">
        <v>79</v>
      </c>
      <c r="E3473" s="9" t="s">
        <v>70</v>
      </c>
      <c r="F3473" s="9" t="s">
        <v>74</v>
      </c>
      <c r="G3473" s="10" t="n">
        <v>46055</v>
      </c>
      <c r="H3473" s="10" t="n">
        <v>46065</v>
      </c>
      <c r="I3473" s="9" t="s">
        <v>62</v>
      </c>
      <c r="J3473" s="9" t="s">
        <v>41</v>
      </c>
      <c r="K3473" s="9" t="n">
        <v>10</v>
      </c>
      <c r="L3473" s="9" t="n">
        <v>5</v>
      </c>
      <c r="M3473" s="9" t="n">
        <v>1</v>
      </c>
      <c r="N3473" s="9" t="s">
        <v>42</v>
      </c>
      <c r="O3473" s="9" t="s">
        <v>43</v>
      </c>
      <c r="P3473" s="9" t="n">
        <v>16.1</v>
      </c>
      <c r="Q3473" s="9" t="n">
        <v>37</v>
      </c>
      <c r="R3473" s="9" t="s">
        <v>53</v>
      </c>
      <c r="S3473" s="9"/>
      <c r="T3473" s="9"/>
      <c r="U3473" s="9" t="str">
        <f aca="false">IF(COUNTIF($A$2:$A$5001,A3473)&gt;1,"Duplicate","Unique")</f>
        <v>Unique</v>
      </c>
      <c r="V3473" s="9" t="str">
        <f aca="false">IF(COUNTIFS($B$2:$B$5001,B3473,$H$2:$H$5001,H3473,$J$2:$J$5001,J3473)&gt;1,"Possible Duplicate Booking","Unique")</f>
        <v>Unique</v>
      </c>
      <c r="W3473" s="9" t="str">
        <f aca="false">IF((H3473-G3473)&lt;&gt;K3473,"Mismatch","OK")</f>
        <v>OK</v>
      </c>
      <c r="X3473" s="9" t="str">
        <f aca="false">IF(TEXT(H3473,"dddd")&lt;&gt;I3473,"Mismatch","OK")</f>
        <v>OK</v>
      </c>
      <c r="Y3473" s="9" t="str">
        <f aca="false">IF(AND(N3473="No",O3473&lt;&gt;""),"Unexpected: channel present but no reminder sent",IF(AND(N3473="Yes",O3473=""),"Missing channel for sent reminder","OK"))</f>
        <v>OK</v>
      </c>
    </row>
    <row r="3474" customFormat="false" ht="15" hidden="false" customHeight="false" outlineLevel="0" collapsed="false">
      <c r="A3474" s="7" t="s">
        <v>5086</v>
      </c>
      <c r="B3474" s="7" t="s">
        <v>5087</v>
      </c>
      <c r="C3474" s="7" t="s">
        <v>37</v>
      </c>
      <c r="D3474" s="7" t="n">
        <v>26</v>
      </c>
      <c r="E3474" s="7" t="s">
        <v>48</v>
      </c>
      <c r="F3474" s="7" t="s">
        <v>74</v>
      </c>
      <c r="G3474" s="8" t="n">
        <v>46030</v>
      </c>
      <c r="H3474" s="8" t="n">
        <v>46059</v>
      </c>
      <c r="I3474" s="7" t="s">
        <v>50</v>
      </c>
      <c r="J3474" s="7" t="s">
        <v>41</v>
      </c>
      <c r="K3474" s="7" t="n">
        <v>29</v>
      </c>
      <c r="L3474" s="7" t="n">
        <v>2</v>
      </c>
      <c r="M3474" s="7" t="n">
        <v>1</v>
      </c>
      <c r="N3474" s="7" t="s">
        <v>42</v>
      </c>
      <c r="O3474" s="7" t="s">
        <v>52</v>
      </c>
      <c r="P3474" s="7" t="n">
        <v>12.6</v>
      </c>
      <c r="Q3474" s="7" t="n">
        <v>29</v>
      </c>
      <c r="R3474" s="7" t="s">
        <v>44</v>
      </c>
      <c r="S3474" s="7"/>
      <c r="T3474" s="7"/>
      <c r="U3474" s="7" t="str">
        <f aca="false">IF(COUNTIF($A$2:$A$5001,A3474)&gt;1,"Duplicate","Unique")</f>
        <v>Unique</v>
      </c>
      <c r="V3474" s="7" t="str">
        <f aca="false">IF(COUNTIFS($B$2:$B$5001,B3474,$H$2:$H$5001,H3474,$J$2:$J$5001,J3474)&gt;1,"Possible Duplicate Booking","Unique")</f>
        <v>Unique</v>
      </c>
      <c r="W3474" s="7" t="str">
        <f aca="false">IF((H3474-G3474)&lt;&gt;K3474,"Mismatch","OK")</f>
        <v>OK</v>
      </c>
      <c r="X3474" s="7" t="str">
        <f aca="false">IF(TEXT(H3474,"dddd")&lt;&gt;I3474,"Mismatch","OK")</f>
        <v>OK</v>
      </c>
      <c r="Y3474" s="7" t="str">
        <f aca="false">IF(AND(N3474="No",O3474&lt;&gt;""),"Unexpected: channel present but no reminder sent",IF(AND(N3474="Yes",O3474=""),"Missing channel for sent reminder","OK"))</f>
        <v>OK</v>
      </c>
    </row>
    <row r="3475" customFormat="false" ht="15" hidden="false" customHeight="false" outlineLevel="0" collapsed="false">
      <c r="A3475" s="9" t="s">
        <v>5088</v>
      </c>
      <c r="B3475" s="9" t="s">
        <v>140</v>
      </c>
      <c r="C3475" s="9" t="s">
        <v>37</v>
      </c>
      <c r="D3475" s="9" t="n">
        <v>18</v>
      </c>
      <c r="E3475" s="9" t="s">
        <v>82</v>
      </c>
      <c r="F3475" s="9" t="s">
        <v>57</v>
      </c>
      <c r="G3475" s="10" t="n">
        <v>46118</v>
      </c>
      <c r="H3475" s="10" t="n">
        <v>46141</v>
      </c>
      <c r="I3475" s="9" t="s">
        <v>58</v>
      </c>
      <c r="J3475" s="9" t="s">
        <v>41</v>
      </c>
      <c r="K3475" s="9" t="n">
        <v>23</v>
      </c>
      <c r="L3475" s="9" t="n">
        <v>3</v>
      </c>
      <c r="M3475" s="9" t="n">
        <v>1</v>
      </c>
      <c r="N3475" s="9" t="s">
        <v>71</v>
      </c>
      <c r="O3475" s="9"/>
      <c r="P3475" s="9" t="n">
        <v>10.2</v>
      </c>
      <c r="Q3475" s="9" t="n">
        <v>9</v>
      </c>
      <c r="R3475" s="9" t="s">
        <v>44</v>
      </c>
      <c r="S3475" s="9"/>
      <c r="T3475" s="9"/>
      <c r="U3475" s="9" t="str">
        <f aca="false">IF(COUNTIF($A$2:$A$5001,A3475)&gt;1,"Duplicate","Unique")</f>
        <v>Unique</v>
      </c>
      <c r="V3475" s="9" t="str">
        <f aca="false">IF(COUNTIFS($B$2:$B$5001,B3475,$H$2:$H$5001,H3475,$J$2:$J$5001,J3475)&gt;1,"Possible Duplicate Booking","Unique")</f>
        <v>Unique</v>
      </c>
      <c r="W3475" s="9" t="str">
        <f aca="false">IF((H3475-G3475)&lt;&gt;K3475,"Mismatch","OK")</f>
        <v>OK</v>
      </c>
      <c r="X3475" s="9" t="str">
        <f aca="false">IF(TEXT(H3475,"dddd")&lt;&gt;I3475,"Mismatch","OK")</f>
        <v>OK</v>
      </c>
      <c r="Y3475" s="9" t="str">
        <f aca="false">IF(AND(N3475="No",O3475&lt;&gt;""),"Unexpected: channel present but no reminder sent",IF(AND(N3475="Yes",O3475=""),"Missing channel for sent reminder","OK"))</f>
        <v>OK</v>
      </c>
    </row>
    <row r="3476" customFormat="false" ht="15" hidden="false" customHeight="false" outlineLevel="0" collapsed="false">
      <c r="A3476" s="7" t="s">
        <v>5089</v>
      </c>
      <c r="B3476" s="7" t="s">
        <v>3460</v>
      </c>
      <c r="C3476" s="7" t="s">
        <v>236</v>
      </c>
      <c r="D3476" s="7" t="n">
        <v>75</v>
      </c>
      <c r="E3476" s="7" t="s">
        <v>70</v>
      </c>
      <c r="F3476" s="7" t="s">
        <v>39</v>
      </c>
      <c r="G3476" s="8" t="n">
        <v>45771</v>
      </c>
      <c r="H3476" s="8" t="n">
        <v>45820</v>
      </c>
      <c r="I3476" s="7" t="s">
        <v>62</v>
      </c>
      <c r="J3476" s="7" t="s">
        <v>41</v>
      </c>
      <c r="K3476" s="7" t="n">
        <v>49</v>
      </c>
      <c r="L3476" s="7" t="n">
        <v>4</v>
      </c>
      <c r="M3476" s="7" t="n">
        <v>0</v>
      </c>
      <c r="N3476" s="7" t="s">
        <v>42</v>
      </c>
      <c r="O3476" s="7" t="s">
        <v>52</v>
      </c>
      <c r="P3476" s="7" t="n">
        <v>6.3</v>
      </c>
      <c r="Q3476" s="7" t="n">
        <v>2</v>
      </c>
      <c r="R3476" s="7" t="s">
        <v>53</v>
      </c>
      <c r="S3476" s="7"/>
      <c r="T3476" s="7"/>
      <c r="U3476" s="7" t="str">
        <f aca="false">IF(COUNTIF($A$2:$A$5001,A3476)&gt;1,"Duplicate","Unique")</f>
        <v>Unique</v>
      </c>
      <c r="V3476" s="7" t="str">
        <f aca="false">IF(COUNTIFS($B$2:$B$5001,B3476,$H$2:$H$5001,H3476,$J$2:$J$5001,J3476)&gt;1,"Possible Duplicate Booking","Unique")</f>
        <v>Unique</v>
      </c>
      <c r="W3476" s="7" t="str">
        <f aca="false">IF((H3476-G3476)&lt;&gt;K3476,"Mismatch","OK")</f>
        <v>OK</v>
      </c>
      <c r="X3476" s="7" t="str">
        <f aca="false">IF(TEXT(H3476,"dddd")&lt;&gt;I3476,"Mismatch","OK")</f>
        <v>OK</v>
      </c>
      <c r="Y3476" s="7" t="str">
        <f aca="false">IF(AND(N3476="No",O3476&lt;&gt;""),"Unexpected: channel present but no reminder sent",IF(AND(N3476="Yes",O3476=""),"Missing channel for sent reminder","OK"))</f>
        <v>OK</v>
      </c>
    </row>
    <row r="3477" customFormat="false" ht="15" hidden="false" customHeight="false" outlineLevel="0" collapsed="false">
      <c r="A3477" s="9" t="s">
        <v>5090</v>
      </c>
      <c r="B3477" s="9" t="s">
        <v>65</v>
      </c>
      <c r="C3477" s="9" t="s">
        <v>47</v>
      </c>
      <c r="D3477" s="9" t="n">
        <v>55</v>
      </c>
      <c r="E3477" s="9" t="s">
        <v>61</v>
      </c>
      <c r="F3477" s="9" t="s">
        <v>57</v>
      </c>
      <c r="G3477" s="10" t="n">
        <v>45723</v>
      </c>
      <c r="H3477" s="10" t="n">
        <v>45775</v>
      </c>
      <c r="I3477" s="9" t="s">
        <v>66</v>
      </c>
      <c r="J3477" s="9" t="s">
        <v>41</v>
      </c>
      <c r="K3477" s="9" t="n">
        <v>52</v>
      </c>
      <c r="L3477" s="9" t="n">
        <v>0</v>
      </c>
      <c r="M3477" s="9" t="n">
        <v>0</v>
      </c>
      <c r="N3477" s="9" t="s">
        <v>42</v>
      </c>
      <c r="O3477" s="9" t="s">
        <v>43</v>
      </c>
      <c r="P3477" s="9" t="n">
        <v>34.6</v>
      </c>
      <c r="Q3477" s="9" t="n">
        <v>13</v>
      </c>
      <c r="R3477" s="9" t="s">
        <v>44</v>
      </c>
      <c r="S3477" s="9"/>
      <c r="T3477" s="9"/>
      <c r="U3477" s="9" t="str">
        <f aca="false">IF(COUNTIF($A$2:$A$5001,A3477)&gt;1,"Duplicate","Unique")</f>
        <v>Unique</v>
      </c>
      <c r="V3477" s="9" t="str">
        <f aca="false">IF(COUNTIFS($B$2:$B$5001,B3477,$H$2:$H$5001,H3477,$J$2:$J$5001,J3477)&gt;1,"Possible Duplicate Booking","Unique")</f>
        <v>Unique</v>
      </c>
      <c r="W3477" s="9" t="str">
        <f aca="false">IF((H3477-G3477)&lt;&gt;K3477,"Mismatch","OK")</f>
        <v>OK</v>
      </c>
      <c r="X3477" s="9" t="str">
        <f aca="false">IF(TEXT(H3477,"dddd")&lt;&gt;I3477,"Mismatch","OK")</f>
        <v>OK</v>
      </c>
      <c r="Y3477" s="9" t="str">
        <f aca="false">IF(AND(N3477="No",O3477&lt;&gt;""),"Unexpected: channel present but no reminder sent",IF(AND(N3477="Yes",O3477=""),"Missing channel for sent reminder","OK"))</f>
        <v>OK</v>
      </c>
    </row>
    <row r="3478" customFormat="false" ht="15" hidden="false" customHeight="false" outlineLevel="0" collapsed="false">
      <c r="A3478" s="7" t="s">
        <v>5091</v>
      </c>
      <c r="B3478" s="7" t="s">
        <v>1629</v>
      </c>
      <c r="C3478" s="7" t="s">
        <v>37</v>
      </c>
      <c r="D3478" s="7" t="n">
        <v>31</v>
      </c>
      <c r="E3478" s="7" t="s">
        <v>48</v>
      </c>
      <c r="F3478" s="7" t="s">
        <v>39</v>
      </c>
      <c r="G3478" s="8" t="n">
        <v>45929</v>
      </c>
      <c r="H3478" s="8" t="n">
        <v>45957</v>
      </c>
      <c r="I3478" s="7" t="s">
        <v>66</v>
      </c>
      <c r="J3478" s="7" t="s">
        <v>41</v>
      </c>
      <c r="K3478" s="7" t="n">
        <v>28</v>
      </c>
      <c r="L3478" s="7" t="n">
        <v>7</v>
      </c>
      <c r="M3478" s="7" t="n">
        <v>2</v>
      </c>
      <c r="N3478" s="7" t="s">
        <v>42</v>
      </c>
      <c r="O3478" s="7" t="s">
        <v>52</v>
      </c>
      <c r="P3478" s="7" t="n">
        <v>3.1</v>
      </c>
      <c r="Q3478" s="7" t="n">
        <v>14</v>
      </c>
      <c r="R3478" s="7" t="s">
        <v>44</v>
      </c>
      <c r="S3478" s="7"/>
      <c r="T3478" s="7"/>
      <c r="U3478" s="7" t="str">
        <f aca="false">IF(COUNTIF($A$2:$A$5001,A3478)&gt;1,"Duplicate","Unique")</f>
        <v>Unique</v>
      </c>
      <c r="V3478" s="7" t="str">
        <f aca="false">IF(COUNTIFS($B$2:$B$5001,B3478,$H$2:$H$5001,H3478,$J$2:$J$5001,J3478)&gt;1,"Possible Duplicate Booking","Unique")</f>
        <v>Unique</v>
      </c>
      <c r="W3478" s="7" t="str">
        <f aca="false">IF((H3478-G3478)&lt;&gt;K3478,"Mismatch","OK")</f>
        <v>OK</v>
      </c>
      <c r="X3478" s="7" t="str">
        <f aca="false">IF(TEXT(H3478,"dddd")&lt;&gt;I3478,"Mismatch","OK")</f>
        <v>OK</v>
      </c>
      <c r="Y3478" s="7" t="str">
        <f aca="false">IF(AND(N3478="No",O3478&lt;&gt;""),"Unexpected: channel present but no reminder sent",IF(AND(N3478="Yes",O3478=""),"Missing channel for sent reminder","OK"))</f>
        <v>OK</v>
      </c>
    </row>
    <row r="3479" customFormat="false" ht="15" hidden="false" customHeight="false" outlineLevel="0" collapsed="false">
      <c r="A3479" s="9" t="s">
        <v>5092</v>
      </c>
      <c r="B3479" s="9" t="s">
        <v>266</v>
      </c>
      <c r="C3479" s="9" t="s">
        <v>47</v>
      </c>
      <c r="D3479" s="9" t="n">
        <v>67</v>
      </c>
      <c r="E3479" s="9" t="s">
        <v>70</v>
      </c>
      <c r="F3479" s="9" t="s">
        <v>57</v>
      </c>
      <c r="G3479" s="10" t="n">
        <v>45916</v>
      </c>
      <c r="H3479" s="10" t="n">
        <v>45948</v>
      </c>
      <c r="I3479" s="9" t="s">
        <v>102</v>
      </c>
      <c r="J3479" s="9" t="s">
        <v>63</v>
      </c>
      <c r="K3479" s="9" t="n">
        <v>32</v>
      </c>
      <c r="L3479" s="9" t="n">
        <v>2</v>
      </c>
      <c r="M3479" s="9" t="n">
        <v>0</v>
      </c>
      <c r="N3479" s="9" t="s">
        <v>42</v>
      </c>
      <c r="O3479" s="9" t="s">
        <v>52</v>
      </c>
      <c r="P3479" s="9" t="n">
        <v>17.6</v>
      </c>
      <c r="Q3479" s="9" t="n">
        <v>14</v>
      </c>
      <c r="R3479" s="9" t="s">
        <v>53</v>
      </c>
      <c r="S3479" s="9"/>
      <c r="T3479" s="9"/>
      <c r="U3479" s="9" t="str">
        <f aca="false">IF(COUNTIF($A$2:$A$5001,A3479)&gt;1,"Duplicate","Unique")</f>
        <v>Unique</v>
      </c>
      <c r="V3479" s="9" t="str">
        <f aca="false">IF(COUNTIFS($B$2:$B$5001,B3479,$H$2:$H$5001,H3479,$J$2:$J$5001,J3479)&gt;1,"Possible Duplicate Booking","Unique")</f>
        <v>Unique</v>
      </c>
      <c r="W3479" s="9" t="str">
        <f aca="false">IF((H3479-G3479)&lt;&gt;K3479,"Mismatch","OK")</f>
        <v>OK</v>
      </c>
      <c r="X3479" s="9" t="str">
        <f aca="false">IF(TEXT(H3479,"dddd")&lt;&gt;I3479,"Mismatch","OK")</f>
        <v>OK</v>
      </c>
      <c r="Y3479" s="9" t="str">
        <f aca="false">IF(AND(N3479="No",O3479&lt;&gt;""),"Unexpected: channel present but no reminder sent",IF(AND(N3479="Yes",O3479=""),"Missing channel for sent reminder","OK"))</f>
        <v>OK</v>
      </c>
    </row>
    <row r="3480" customFormat="false" ht="15" hidden="false" customHeight="false" outlineLevel="0" collapsed="false">
      <c r="A3480" s="7" t="s">
        <v>5093</v>
      </c>
      <c r="B3480" s="7" t="s">
        <v>1201</v>
      </c>
      <c r="C3480" s="7" t="s">
        <v>37</v>
      </c>
      <c r="D3480" s="7" t="n">
        <v>42</v>
      </c>
      <c r="E3480" s="7" t="s">
        <v>38</v>
      </c>
      <c r="F3480" s="7" t="s">
        <v>39</v>
      </c>
      <c r="G3480" s="8" t="n">
        <v>45843</v>
      </c>
      <c r="H3480" s="8" t="n">
        <v>45881</v>
      </c>
      <c r="I3480" s="7" t="s">
        <v>40</v>
      </c>
      <c r="J3480" s="7" t="s">
        <v>51</v>
      </c>
      <c r="K3480" s="7" t="n">
        <v>38</v>
      </c>
      <c r="L3480" s="7" t="n">
        <v>8</v>
      </c>
      <c r="M3480" s="7" t="n">
        <v>1</v>
      </c>
      <c r="N3480" s="7" t="s">
        <v>71</v>
      </c>
      <c r="O3480" s="7"/>
      <c r="P3480" s="7"/>
      <c r="Q3480" s="7" t="n">
        <v>17</v>
      </c>
      <c r="R3480" s="7" t="s">
        <v>44</v>
      </c>
      <c r="S3480" s="7"/>
      <c r="T3480" s="7"/>
      <c r="U3480" s="7" t="str">
        <f aca="false">IF(COUNTIF($A$2:$A$5001,A3480)&gt;1,"Duplicate","Unique")</f>
        <v>Unique</v>
      </c>
      <c r="V3480" s="7" t="str">
        <f aca="false">IF(COUNTIFS($B$2:$B$5001,B3480,$H$2:$H$5001,H3480,$J$2:$J$5001,J3480)&gt;1,"Possible Duplicate Booking","Unique")</f>
        <v>Unique</v>
      </c>
      <c r="W3480" s="7" t="str">
        <f aca="false">IF((H3480-G3480)&lt;&gt;K3480,"Mismatch","OK")</f>
        <v>OK</v>
      </c>
      <c r="X3480" s="7" t="str">
        <f aca="false">IF(TEXT(H3480,"dddd")&lt;&gt;I3480,"Mismatch","OK")</f>
        <v>OK</v>
      </c>
      <c r="Y3480" s="7" t="str">
        <f aca="false">IF(AND(N3480="No",O3480&lt;&gt;""),"Unexpected: channel present but no reminder sent",IF(AND(N3480="Yes",O3480=""),"Missing channel for sent reminder","OK"))</f>
        <v>OK</v>
      </c>
    </row>
    <row r="3481" customFormat="false" ht="15" hidden="false" customHeight="false" outlineLevel="0" collapsed="false">
      <c r="A3481" s="9" t="s">
        <v>5094</v>
      </c>
      <c r="B3481" s="9" t="s">
        <v>4002</v>
      </c>
      <c r="C3481" s="9" t="s">
        <v>47</v>
      </c>
      <c r="D3481" s="9" t="n">
        <v>38</v>
      </c>
      <c r="E3481" s="9" t="s">
        <v>38</v>
      </c>
      <c r="F3481" s="9" t="s">
        <v>39</v>
      </c>
      <c r="G3481" s="10" t="n">
        <v>46044</v>
      </c>
      <c r="H3481" s="10" t="n">
        <v>46083</v>
      </c>
      <c r="I3481" s="9" t="s">
        <v>66</v>
      </c>
      <c r="J3481" s="9" t="s">
        <v>63</v>
      </c>
      <c r="K3481" s="9" t="n">
        <v>39</v>
      </c>
      <c r="L3481" s="9" t="n">
        <v>6</v>
      </c>
      <c r="M3481" s="9" t="n">
        <v>0</v>
      </c>
      <c r="N3481" s="9" t="s">
        <v>42</v>
      </c>
      <c r="O3481" s="9" t="s">
        <v>43</v>
      </c>
      <c r="P3481" s="9" t="n">
        <v>23.2</v>
      </c>
      <c r="Q3481" s="9" t="n">
        <v>2</v>
      </c>
      <c r="R3481" s="9" t="s">
        <v>44</v>
      </c>
      <c r="S3481" s="9"/>
      <c r="T3481" s="9"/>
      <c r="U3481" s="9" t="str">
        <f aca="false">IF(COUNTIF($A$2:$A$5001,A3481)&gt;1,"Duplicate","Unique")</f>
        <v>Unique</v>
      </c>
      <c r="V3481" s="9" t="str">
        <f aca="false">IF(COUNTIFS($B$2:$B$5001,B3481,$H$2:$H$5001,H3481,$J$2:$J$5001,J3481)&gt;1,"Possible Duplicate Booking","Unique")</f>
        <v>Unique</v>
      </c>
      <c r="W3481" s="9" t="str">
        <f aca="false">IF((H3481-G3481)&lt;&gt;K3481,"Mismatch","OK")</f>
        <v>OK</v>
      </c>
      <c r="X3481" s="9" t="str">
        <f aca="false">IF(TEXT(H3481,"dddd")&lt;&gt;I3481,"Mismatch","OK")</f>
        <v>OK</v>
      </c>
      <c r="Y3481" s="9" t="str">
        <f aca="false">IF(AND(N3481="No",O3481&lt;&gt;""),"Unexpected: channel present but no reminder sent",IF(AND(N3481="Yes",O3481=""),"Missing channel for sent reminder","OK"))</f>
        <v>OK</v>
      </c>
    </row>
    <row r="3482" customFormat="false" ht="15" hidden="false" customHeight="false" outlineLevel="0" collapsed="false">
      <c r="A3482" s="7" t="s">
        <v>5095</v>
      </c>
      <c r="B3482" s="7" t="s">
        <v>1153</v>
      </c>
      <c r="C3482" s="7" t="s">
        <v>236</v>
      </c>
      <c r="D3482" s="7" t="n">
        <v>36</v>
      </c>
      <c r="E3482" s="7" t="s">
        <v>38</v>
      </c>
      <c r="F3482" s="7" t="s">
        <v>57</v>
      </c>
      <c r="G3482" s="8" t="n">
        <v>46056</v>
      </c>
      <c r="H3482" s="8" t="n">
        <v>46094</v>
      </c>
      <c r="I3482" s="7" t="s">
        <v>50</v>
      </c>
      <c r="J3482" s="7" t="s">
        <v>51</v>
      </c>
      <c r="K3482" s="7" t="n">
        <v>38</v>
      </c>
      <c r="L3482" s="7" t="n">
        <v>6</v>
      </c>
      <c r="M3482" s="7" t="n">
        <v>0</v>
      </c>
      <c r="N3482" s="7" t="s">
        <v>42</v>
      </c>
      <c r="O3482" s="7" t="s">
        <v>67</v>
      </c>
      <c r="P3482" s="7" t="n">
        <v>14.1</v>
      </c>
      <c r="Q3482" s="7" t="n">
        <v>11</v>
      </c>
      <c r="R3482" s="7" t="s">
        <v>53</v>
      </c>
      <c r="S3482" s="7"/>
      <c r="T3482" s="7"/>
      <c r="U3482" s="7" t="str">
        <f aca="false">IF(COUNTIF($A$2:$A$5001,A3482)&gt;1,"Duplicate","Unique")</f>
        <v>Unique</v>
      </c>
      <c r="V3482" s="7" t="str">
        <f aca="false">IF(COUNTIFS($B$2:$B$5001,B3482,$H$2:$H$5001,H3482,$J$2:$J$5001,J3482)&gt;1,"Possible Duplicate Booking","Unique")</f>
        <v>Unique</v>
      </c>
      <c r="W3482" s="7" t="str">
        <f aca="false">IF((H3482-G3482)&lt;&gt;K3482,"Mismatch","OK")</f>
        <v>OK</v>
      </c>
      <c r="X3482" s="7" t="str">
        <f aca="false">IF(TEXT(H3482,"dddd")&lt;&gt;I3482,"Mismatch","OK")</f>
        <v>OK</v>
      </c>
      <c r="Y3482" s="7" t="str">
        <f aca="false">IF(AND(N3482="No",O3482&lt;&gt;""),"Unexpected: channel present but no reminder sent",IF(AND(N3482="Yes",O3482=""),"Missing channel for sent reminder","OK"))</f>
        <v>OK</v>
      </c>
    </row>
    <row r="3483" customFormat="false" ht="15" hidden="false" customHeight="false" outlineLevel="0" collapsed="false">
      <c r="A3483" s="9" t="s">
        <v>5096</v>
      </c>
      <c r="B3483" s="9" t="s">
        <v>193</v>
      </c>
      <c r="C3483" s="9" t="s">
        <v>47</v>
      </c>
      <c r="D3483" s="9" t="n">
        <v>55</v>
      </c>
      <c r="E3483" s="9" t="s">
        <v>61</v>
      </c>
      <c r="F3483" s="9" t="s">
        <v>57</v>
      </c>
      <c r="G3483" s="10" t="n">
        <v>45745</v>
      </c>
      <c r="H3483" s="10" t="n">
        <v>45792</v>
      </c>
      <c r="I3483" s="9" t="s">
        <v>62</v>
      </c>
      <c r="J3483" s="9" t="s">
        <v>51</v>
      </c>
      <c r="K3483" s="9" t="n">
        <v>47</v>
      </c>
      <c r="L3483" s="9" t="n">
        <v>1</v>
      </c>
      <c r="M3483" s="9" t="n">
        <v>0</v>
      </c>
      <c r="N3483" s="9" t="s">
        <v>42</v>
      </c>
      <c r="O3483" s="9" t="s">
        <v>43</v>
      </c>
      <c r="P3483" s="9" t="n">
        <v>5.1</v>
      </c>
      <c r="Q3483" s="9" t="n">
        <v>30</v>
      </c>
      <c r="R3483" s="9" t="s">
        <v>44</v>
      </c>
      <c r="S3483" s="9"/>
      <c r="T3483" s="9"/>
      <c r="U3483" s="9" t="str">
        <f aca="false">IF(COUNTIF($A$2:$A$5001,A3483)&gt;1,"Duplicate","Unique")</f>
        <v>Unique</v>
      </c>
      <c r="V3483" s="9" t="str">
        <f aca="false">IF(COUNTIFS($B$2:$B$5001,B3483,$H$2:$H$5001,H3483,$J$2:$J$5001,J3483)&gt;1,"Possible Duplicate Booking","Unique")</f>
        <v>Unique</v>
      </c>
      <c r="W3483" s="9" t="str">
        <f aca="false">IF((H3483-G3483)&lt;&gt;K3483,"Mismatch","OK")</f>
        <v>OK</v>
      </c>
      <c r="X3483" s="9" t="str">
        <f aca="false">IF(TEXT(H3483,"dddd")&lt;&gt;I3483,"Mismatch","OK")</f>
        <v>OK</v>
      </c>
      <c r="Y3483" s="9" t="str">
        <f aca="false">IF(AND(N3483="No",O3483&lt;&gt;""),"Unexpected: channel present but no reminder sent",IF(AND(N3483="Yes",O3483=""),"Missing channel for sent reminder","OK"))</f>
        <v>OK</v>
      </c>
    </row>
    <row r="3484" customFormat="false" ht="15" hidden="false" customHeight="false" outlineLevel="0" collapsed="false">
      <c r="A3484" s="7" t="s">
        <v>5097</v>
      </c>
      <c r="B3484" s="7" t="s">
        <v>1496</v>
      </c>
      <c r="C3484" s="7" t="s">
        <v>47</v>
      </c>
      <c r="D3484" s="7" t="n">
        <v>26</v>
      </c>
      <c r="E3484" s="7" t="s">
        <v>48</v>
      </c>
      <c r="F3484" s="7" t="s">
        <v>57</v>
      </c>
      <c r="G3484" s="8" t="n">
        <v>46033</v>
      </c>
      <c r="H3484" s="8" t="n">
        <v>46092</v>
      </c>
      <c r="I3484" s="7" t="s">
        <v>58</v>
      </c>
      <c r="J3484" s="7" t="s">
        <v>41</v>
      </c>
      <c r="K3484" s="7" t="n">
        <v>59</v>
      </c>
      <c r="L3484" s="7" t="n">
        <v>6</v>
      </c>
      <c r="M3484" s="7" t="n">
        <v>1</v>
      </c>
      <c r="N3484" s="7" t="s">
        <v>71</v>
      </c>
      <c r="O3484" s="7"/>
      <c r="P3484" s="7" t="n">
        <v>5.4</v>
      </c>
      <c r="Q3484" s="7" t="n">
        <v>35</v>
      </c>
      <c r="R3484" s="7" t="s">
        <v>44</v>
      </c>
      <c r="S3484" s="7"/>
      <c r="T3484" s="7"/>
      <c r="U3484" s="7" t="str">
        <f aca="false">IF(COUNTIF($A$2:$A$5001,A3484)&gt;1,"Duplicate","Unique")</f>
        <v>Unique</v>
      </c>
      <c r="V3484" s="7" t="str">
        <f aca="false">IF(COUNTIFS($B$2:$B$5001,B3484,$H$2:$H$5001,H3484,$J$2:$J$5001,J3484)&gt;1,"Possible Duplicate Booking","Unique")</f>
        <v>Unique</v>
      </c>
      <c r="W3484" s="7" t="str">
        <f aca="false">IF((H3484-G3484)&lt;&gt;K3484,"Mismatch","OK")</f>
        <v>OK</v>
      </c>
      <c r="X3484" s="7" t="str">
        <f aca="false">IF(TEXT(H3484,"dddd")&lt;&gt;I3484,"Mismatch","OK")</f>
        <v>OK</v>
      </c>
      <c r="Y3484" s="7" t="str">
        <f aca="false">IF(AND(N3484="No",O3484&lt;&gt;""),"Unexpected: channel present but no reminder sent",IF(AND(N3484="Yes",O3484=""),"Missing channel for sent reminder","OK"))</f>
        <v>OK</v>
      </c>
    </row>
    <row r="3485" customFormat="false" ht="15" hidden="false" customHeight="false" outlineLevel="0" collapsed="false">
      <c r="A3485" s="9" t="s">
        <v>5098</v>
      </c>
      <c r="B3485" s="9" t="s">
        <v>1777</v>
      </c>
      <c r="C3485" s="9" t="s">
        <v>37</v>
      </c>
      <c r="D3485" s="9" t="n">
        <v>40</v>
      </c>
      <c r="E3485" s="9" t="s">
        <v>38</v>
      </c>
      <c r="F3485" s="9" t="s">
        <v>57</v>
      </c>
      <c r="G3485" s="10" t="n">
        <v>45733</v>
      </c>
      <c r="H3485" s="10" t="n">
        <v>45783</v>
      </c>
      <c r="I3485" s="9" t="s">
        <v>40</v>
      </c>
      <c r="J3485" s="9" t="s">
        <v>51</v>
      </c>
      <c r="K3485" s="9" t="n">
        <v>50</v>
      </c>
      <c r="L3485" s="9" t="n">
        <v>3</v>
      </c>
      <c r="M3485" s="9" t="n">
        <v>1</v>
      </c>
      <c r="N3485" s="9" t="s">
        <v>42</v>
      </c>
      <c r="O3485" s="9" t="s">
        <v>52</v>
      </c>
      <c r="P3485" s="9" t="n">
        <v>9.7</v>
      </c>
      <c r="Q3485" s="9" t="n">
        <v>16</v>
      </c>
      <c r="R3485" s="9" t="s">
        <v>44</v>
      </c>
      <c r="S3485" s="9"/>
      <c r="T3485" s="9"/>
      <c r="U3485" s="9" t="str">
        <f aca="false">IF(COUNTIF($A$2:$A$5001,A3485)&gt;1,"Duplicate","Unique")</f>
        <v>Unique</v>
      </c>
      <c r="V3485" s="9" t="str">
        <f aca="false">IF(COUNTIFS($B$2:$B$5001,B3485,$H$2:$H$5001,H3485,$J$2:$J$5001,J3485)&gt;1,"Possible Duplicate Booking","Unique")</f>
        <v>Unique</v>
      </c>
      <c r="W3485" s="9" t="str">
        <f aca="false">IF((H3485-G3485)&lt;&gt;K3485,"Mismatch","OK")</f>
        <v>OK</v>
      </c>
      <c r="X3485" s="9" t="str">
        <f aca="false">IF(TEXT(H3485,"dddd")&lt;&gt;I3485,"Mismatch","OK")</f>
        <v>OK</v>
      </c>
      <c r="Y3485" s="9" t="str">
        <f aca="false">IF(AND(N3485="No",O3485&lt;&gt;""),"Unexpected: channel present but no reminder sent",IF(AND(N3485="Yes",O3485=""),"Missing channel for sent reminder","OK"))</f>
        <v>OK</v>
      </c>
    </row>
    <row r="3486" customFormat="false" ht="15" hidden="false" customHeight="false" outlineLevel="0" collapsed="false">
      <c r="A3486" s="7" t="s">
        <v>5099</v>
      </c>
      <c r="B3486" s="7" t="s">
        <v>1198</v>
      </c>
      <c r="C3486" s="7" t="s">
        <v>37</v>
      </c>
      <c r="D3486" s="7" t="n">
        <v>37</v>
      </c>
      <c r="E3486" s="7" t="s">
        <v>38</v>
      </c>
      <c r="F3486" s="7" t="s">
        <v>49</v>
      </c>
      <c r="G3486" s="8" t="n">
        <v>45872</v>
      </c>
      <c r="H3486" s="8" t="n">
        <v>45880</v>
      </c>
      <c r="I3486" s="7" t="s">
        <v>66</v>
      </c>
      <c r="J3486" s="7" t="s">
        <v>51</v>
      </c>
      <c r="K3486" s="7" t="n">
        <v>8</v>
      </c>
      <c r="L3486" s="7" t="n">
        <v>0</v>
      </c>
      <c r="M3486" s="7" t="n">
        <v>0</v>
      </c>
      <c r="N3486" s="7" t="s">
        <v>42</v>
      </c>
      <c r="O3486" s="7" t="s">
        <v>52</v>
      </c>
      <c r="P3486" s="7" t="n">
        <v>2.1</v>
      </c>
      <c r="Q3486" s="7" t="n">
        <v>32</v>
      </c>
      <c r="R3486" s="7" t="s">
        <v>53</v>
      </c>
      <c r="S3486" s="7"/>
      <c r="T3486" s="7"/>
      <c r="U3486" s="7" t="str">
        <f aca="false">IF(COUNTIF($A$2:$A$5001,A3486)&gt;1,"Duplicate","Unique")</f>
        <v>Unique</v>
      </c>
      <c r="V3486" s="7" t="str">
        <f aca="false">IF(COUNTIFS($B$2:$B$5001,B3486,$H$2:$H$5001,H3486,$J$2:$J$5001,J3486)&gt;1,"Possible Duplicate Booking","Unique")</f>
        <v>Unique</v>
      </c>
      <c r="W3486" s="7" t="str">
        <f aca="false">IF((H3486-G3486)&lt;&gt;K3486,"Mismatch","OK")</f>
        <v>OK</v>
      </c>
      <c r="X3486" s="7" t="str">
        <f aca="false">IF(TEXT(H3486,"dddd")&lt;&gt;I3486,"Mismatch","OK")</f>
        <v>OK</v>
      </c>
      <c r="Y3486" s="7" t="str">
        <f aca="false">IF(AND(N3486="No",O3486&lt;&gt;""),"Unexpected: channel present but no reminder sent",IF(AND(N3486="Yes",O3486=""),"Missing channel for sent reminder","OK"))</f>
        <v>OK</v>
      </c>
    </row>
    <row r="3487" customFormat="false" ht="15" hidden="false" customHeight="false" outlineLevel="0" collapsed="false">
      <c r="A3487" s="9" t="s">
        <v>5100</v>
      </c>
      <c r="B3487" s="9" t="s">
        <v>1897</v>
      </c>
      <c r="C3487" s="9" t="s">
        <v>47</v>
      </c>
      <c r="D3487" s="9" t="n">
        <v>21</v>
      </c>
      <c r="E3487" s="9" t="s">
        <v>82</v>
      </c>
      <c r="F3487" s="9" t="s">
        <v>57</v>
      </c>
      <c r="G3487" s="10" t="n">
        <v>45643</v>
      </c>
      <c r="H3487" s="10" t="n">
        <v>45672</v>
      </c>
      <c r="I3487" s="9" t="s">
        <v>58</v>
      </c>
      <c r="J3487" s="9" t="s">
        <v>51</v>
      </c>
      <c r="K3487" s="9" t="n">
        <v>29</v>
      </c>
      <c r="L3487" s="9" t="n">
        <v>2</v>
      </c>
      <c r="M3487" s="9" t="n">
        <v>0</v>
      </c>
      <c r="N3487" s="9" t="s">
        <v>42</v>
      </c>
      <c r="O3487" s="9" t="s">
        <v>67</v>
      </c>
      <c r="P3487" s="9" t="n">
        <v>18.3</v>
      </c>
      <c r="Q3487" s="9" t="n">
        <v>2</v>
      </c>
      <c r="R3487" s="9" t="s">
        <v>44</v>
      </c>
      <c r="S3487" s="9"/>
      <c r="T3487" s="9"/>
      <c r="U3487" s="9" t="str">
        <f aca="false">IF(COUNTIF($A$2:$A$5001,A3487)&gt;1,"Duplicate","Unique")</f>
        <v>Unique</v>
      </c>
      <c r="V3487" s="9" t="str">
        <f aca="false">IF(COUNTIFS($B$2:$B$5001,B3487,$H$2:$H$5001,H3487,$J$2:$J$5001,J3487)&gt;1,"Possible Duplicate Booking","Unique")</f>
        <v>Unique</v>
      </c>
      <c r="W3487" s="9" t="str">
        <f aca="false">IF((H3487-G3487)&lt;&gt;K3487,"Mismatch","OK")</f>
        <v>OK</v>
      </c>
      <c r="X3487" s="9" t="str">
        <f aca="false">IF(TEXT(H3487,"dddd")&lt;&gt;I3487,"Mismatch","OK")</f>
        <v>OK</v>
      </c>
      <c r="Y3487" s="9" t="str">
        <f aca="false">IF(AND(N3487="No",O3487&lt;&gt;""),"Unexpected: channel present but no reminder sent",IF(AND(N3487="Yes",O3487=""),"Missing channel for sent reminder","OK"))</f>
        <v>OK</v>
      </c>
    </row>
    <row r="3488" customFormat="false" ht="15" hidden="false" customHeight="false" outlineLevel="0" collapsed="false">
      <c r="A3488" s="7" t="s">
        <v>5101</v>
      </c>
      <c r="B3488" s="7" t="s">
        <v>486</v>
      </c>
      <c r="C3488" s="7" t="s">
        <v>47</v>
      </c>
      <c r="D3488" s="7" t="n">
        <v>66</v>
      </c>
      <c r="E3488" s="7" t="s">
        <v>70</v>
      </c>
      <c r="F3488" s="7" t="s">
        <v>57</v>
      </c>
      <c r="G3488" s="8" t="n">
        <v>45815</v>
      </c>
      <c r="H3488" s="8" t="n">
        <v>45843</v>
      </c>
      <c r="I3488" s="7" t="s">
        <v>102</v>
      </c>
      <c r="J3488" s="7" t="s">
        <v>41</v>
      </c>
      <c r="K3488" s="7" t="n">
        <v>28</v>
      </c>
      <c r="L3488" s="7" t="n">
        <v>1</v>
      </c>
      <c r="M3488" s="7" t="n">
        <v>0</v>
      </c>
      <c r="N3488" s="7" t="s">
        <v>42</v>
      </c>
      <c r="O3488" s="7" t="s">
        <v>52</v>
      </c>
      <c r="P3488" s="7" t="n">
        <v>5.9</v>
      </c>
      <c r="Q3488" s="7" t="n">
        <v>27</v>
      </c>
      <c r="R3488" s="7" t="s">
        <v>53</v>
      </c>
      <c r="S3488" s="7"/>
      <c r="T3488" s="7"/>
      <c r="U3488" s="7" t="str">
        <f aca="false">IF(COUNTIF($A$2:$A$5001,A3488)&gt;1,"Duplicate","Unique")</f>
        <v>Unique</v>
      </c>
      <c r="V3488" s="7" t="str">
        <f aca="false">IF(COUNTIFS($B$2:$B$5001,B3488,$H$2:$H$5001,H3488,$J$2:$J$5001,J3488)&gt;1,"Possible Duplicate Booking","Unique")</f>
        <v>Unique</v>
      </c>
      <c r="W3488" s="7" t="str">
        <f aca="false">IF((H3488-G3488)&lt;&gt;K3488,"Mismatch","OK")</f>
        <v>OK</v>
      </c>
      <c r="X3488" s="7" t="str">
        <f aca="false">IF(TEXT(H3488,"dddd")&lt;&gt;I3488,"Mismatch","OK")</f>
        <v>OK</v>
      </c>
      <c r="Y3488" s="7" t="str">
        <f aca="false">IF(AND(N3488="No",O3488&lt;&gt;""),"Unexpected: channel present but no reminder sent",IF(AND(N3488="Yes",O3488=""),"Missing channel for sent reminder","OK"))</f>
        <v>OK</v>
      </c>
    </row>
    <row r="3489" customFormat="false" ht="15" hidden="false" customHeight="false" outlineLevel="0" collapsed="false">
      <c r="A3489" s="9" t="s">
        <v>5102</v>
      </c>
      <c r="B3489" s="9" t="s">
        <v>1077</v>
      </c>
      <c r="C3489" s="9" t="s">
        <v>37</v>
      </c>
      <c r="D3489" s="9" t="n">
        <v>18</v>
      </c>
      <c r="E3489" s="9" t="s">
        <v>82</v>
      </c>
      <c r="F3489" s="9" t="s">
        <v>74</v>
      </c>
      <c r="G3489" s="10" t="n">
        <v>46150</v>
      </c>
      <c r="H3489" s="10" t="n">
        <v>46181</v>
      </c>
      <c r="I3489" s="9" t="s">
        <v>66</v>
      </c>
      <c r="J3489" s="9" t="s">
        <v>41</v>
      </c>
      <c r="K3489" s="9" t="n">
        <v>31</v>
      </c>
      <c r="L3489" s="9" t="n">
        <v>2</v>
      </c>
      <c r="M3489" s="9" t="n">
        <v>0</v>
      </c>
      <c r="N3489" s="9" t="s">
        <v>42</v>
      </c>
      <c r="O3489" s="9" t="s">
        <v>67</v>
      </c>
      <c r="P3489" s="9" t="n">
        <v>3.4</v>
      </c>
      <c r="Q3489" s="9" t="n">
        <v>37</v>
      </c>
      <c r="R3489" s="9" t="s">
        <v>53</v>
      </c>
      <c r="S3489" s="9"/>
      <c r="T3489" s="9"/>
      <c r="U3489" s="9" t="str">
        <f aca="false">IF(COUNTIF($A$2:$A$5001,A3489)&gt;1,"Duplicate","Unique")</f>
        <v>Unique</v>
      </c>
      <c r="V3489" s="9" t="str">
        <f aca="false">IF(COUNTIFS($B$2:$B$5001,B3489,$H$2:$H$5001,H3489,$J$2:$J$5001,J3489)&gt;1,"Possible Duplicate Booking","Unique")</f>
        <v>Unique</v>
      </c>
      <c r="W3489" s="9" t="str">
        <f aca="false">IF((H3489-G3489)&lt;&gt;K3489,"Mismatch","OK")</f>
        <v>OK</v>
      </c>
      <c r="X3489" s="9" t="str">
        <f aca="false">IF(TEXT(H3489,"dddd")&lt;&gt;I3489,"Mismatch","OK")</f>
        <v>OK</v>
      </c>
      <c r="Y3489" s="9" t="str">
        <f aca="false">IF(AND(N3489="No",O3489&lt;&gt;""),"Unexpected: channel present but no reminder sent",IF(AND(N3489="Yes",O3489=""),"Missing channel for sent reminder","OK"))</f>
        <v>OK</v>
      </c>
    </row>
    <row r="3490" customFormat="false" ht="15" hidden="false" customHeight="false" outlineLevel="0" collapsed="false">
      <c r="A3490" s="7" t="s">
        <v>5103</v>
      </c>
      <c r="B3490" s="7" t="s">
        <v>3731</v>
      </c>
      <c r="C3490" s="7" t="s">
        <v>37</v>
      </c>
      <c r="D3490" s="7" t="n">
        <v>78</v>
      </c>
      <c r="E3490" s="7" t="s">
        <v>70</v>
      </c>
      <c r="F3490" s="7" t="s">
        <v>57</v>
      </c>
      <c r="G3490" s="8" t="n">
        <v>45867</v>
      </c>
      <c r="H3490" s="8" t="n">
        <v>45899</v>
      </c>
      <c r="I3490" s="7" t="s">
        <v>102</v>
      </c>
      <c r="J3490" s="7" t="s">
        <v>51</v>
      </c>
      <c r="K3490" s="7" t="n">
        <v>32</v>
      </c>
      <c r="L3490" s="7" t="n">
        <v>2</v>
      </c>
      <c r="M3490" s="7" t="n">
        <v>0</v>
      </c>
      <c r="N3490" s="7" t="s">
        <v>42</v>
      </c>
      <c r="O3490" s="7" t="s">
        <v>43</v>
      </c>
      <c r="P3490" s="7" t="n">
        <v>16.5</v>
      </c>
      <c r="Q3490" s="7" t="n">
        <v>30</v>
      </c>
      <c r="R3490" s="7" t="s">
        <v>53</v>
      </c>
      <c r="S3490" s="7"/>
      <c r="T3490" s="7"/>
      <c r="U3490" s="7" t="str">
        <f aca="false">IF(COUNTIF($A$2:$A$5001,A3490)&gt;1,"Duplicate","Unique")</f>
        <v>Unique</v>
      </c>
      <c r="V3490" s="7" t="str">
        <f aca="false">IF(COUNTIFS($B$2:$B$5001,B3490,$H$2:$H$5001,H3490,$J$2:$J$5001,J3490)&gt;1,"Possible Duplicate Booking","Unique")</f>
        <v>Unique</v>
      </c>
      <c r="W3490" s="7" t="str">
        <f aca="false">IF((H3490-G3490)&lt;&gt;K3490,"Mismatch","OK")</f>
        <v>OK</v>
      </c>
      <c r="X3490" s="7" t="str">
        <f aca="false">IF(TEXT(H3490,"dddd")&lt;&gt;I3490,"Mismatch","OK")</f>
        <v>OK</v>
      </c>
      <c r="Y3490" s="7" t="str">
        <f aca="false">IF(AND(N3490="No",O3490&lt;&gt;""),"Unexpected: channel present but no reminder sent",IF(AND(N3490="Yes",O3490=""),"Missing channel for sent reminder","OK"))</f>
        <v>OK</v>
      </c>
    </row>
    <row r="3491" customFormat="false" ht="15" hidden="false" customHeight="false" outlineLevel="0" collapsed="false">
      <c r="A3491" s="9" t="s">
        <v>5104</v>
      </c>
      <c r="B3491" s="9" t="s">
        <v>4350</v>
      </c>
      <c r="C3491" s="9" t="s">
        <v>37</v>
      </c>
      <c r="D3491" s="9" t="n">
        <v>23</v>
      </c>
      <c r="E3491" s="9" t="s">
        <v>82</v>
      </c>
      <c r="F3491" s="9" t="s">
        <v>74</v>
      </c>
      <c r="G3491" s="10" t="n">
        <v>46002</v>
      </c>
      <c r="H3491" s="10" t="n">
        <v>46045</v>
      </c>
      <c r="I3491" s="9" t="s">
        <v>50</v>
      </c>
      <c r="J3491" s="9" t="s">
        <v>41</v>
      </c>
      <c r="K3491" s="9" t="n">
        <v>43</v>
      </c>
      <c r="L3491" s="9" t="n">
        <v>3</v>
      </c>
      <c r="M3491" s="9" t="n">
        <v>1</v>
      </c>
      <c r="N3491" s="9" t="s">
        <v>42</v>
      </c>
      <c r="O3491" s="9" t="s">
        <v>52</v>
      </c>
      <c r="P3491" s="9" t="n">
        <v>1.8</v>
      </c>
      <c r="Q3491" s="9" t="n">
        <v>24</v>
      </c>
      <c r="R3491" s="9" t="s">
        <v>53</v>
      </c>
      <c r="S3491" s="9"/>
      <c r="T3491" s="9"/>
      <c r="U3491" s="9" t="str">
        <f aca="false">IF(COUNTIF($A$2:$A$5001,A3491)&gt;1,"Duplicate","Unique")</f>
        <v>Unique</v>
      </c>
      <c r="V3491" s="9" t="str">
        <f aca="false">IF(COUNTIFS($B$2:$B$5001,B3491,$H$2:$H$5001,H3491,$J$2:$J$5001,J3491)&gt;1,"Possible Duplicate Booking","Unique")</f>
        <v>Unique</v>
      </c>
      <c r="W3491" s="9" t="str">
        <f aca="false">IF((H3491-G3491)&lt;&gt;K3491,"Mismatch","OK")</f>
        <v>OK</v>
      </c>
      <c r="X3491" s="9" t="str">
        <f aca="false">IF(TEXT(H3491,"dddd")&lt;&gt;I3491,"Mismatch","OK")</f>
        <v>OK</v>
      </c>
      <c r="Y3491" s="9" t="str">
        <f aca="false">IF(AND(N3491="No",O3491&lt;&gt;""),"Unexpected: channel present but no reminder sent",IF(AND(N3491="Yes",O3491=""),"Missing channel for sent reminder","OK"))</f>
        <v>OK</v>
      </c>
    </row>
    <row r="3492" customFormat="false" ht="15" hidden="false" customHeight="false" outlineLevel="0" collapsed="false">
      <c r="A3492" s="7" t="s">
        <v>5105</v>
      </c>
      <c r="B3492" s="7" t="s">
        <v>4901</v>
      </c>
      <c r="C3492" s="7" t="s">
        <v>37</v>
      </c>
      <c r="D3492" s="7" t="n">
        <v>40</v>
      </c>
      <c r="E3492" s="7" t="s">
        <v>38</v>
      </c>
      <c r="F3492" s="7" t="s">
        <v>39</v>
      </c>
      <c r="G3492" s="8" t="n">
        <v>45691</v>
      </c>
      <c r="H3492" s="8" t="n">
        <v>45716</v>
      </c>
      <c r="I3492" s="7" t="s">
        <v>50</v>
      </c>
      <c r="J3492" s="7" t="s">
        <v>51</v>
      </c>
      <c r="K3492" s="7" t="n">
        <v>25</v>
      </c>
      <c r="L3492" s="7" t="n">
        <v>3</v>
      </c>
      <c r="M3492" s="7" t="n">
        <v>1</v>
      </c>
      <c r="N3492" s="7" t="s">
        <v>42</v>
      </c>
      <c r="O3492" s="7" t="s">
        <v>52</v>
      </c>
      <c r="P3492" s="7" t="n">
        <v>9</v>
      </c>
      <c r="Q3492" s="7" t="n">
        <v>2</v>
      </c>
      <c r="R3492" s="7" t="s">
        <v>53</v>
      </c>
      <c r="S3492" s="7"/>
      <c r="T3492" s="7"/>
      <c r="U3492" s="7" t="str">
        <f aca="false">IF(COUNTIF($A$2:$A$5001,A3492)&gt;1,"Duplicate","Unique")</f>
        <v>Unique</v>
      </c>
      <c r="V3492" s="7" t="str">
        <f aca="false">IF(COUNTIFS($B$2:$B$5001,B3492,$H$2:$H$5001,H3492,$J$2:$J$5001,J3492)&gt;1,"Possible Duplicate Booking","Unique")</f>
        <v>Unique</v>
      </c>
      <c r="W3492" s="7" t="str">
        <f aca="false">IF((H3492-G3492)&lt;&gt;K3492,"Mismatch","OK")</f>
        <v>OK</v>
      </c>
      <c r="X3492" s="7" t="str">
        <f aca="false">IF(TEXT(H3492,"dddd")&lt;&gt;I3492,"Mismatch","OK")</f>
        <v>OK</v>
      </c>
      <c r="Y3492" s="7" t="str">
        <f aca="false">IF(AND(N3492="No",O3492&lt;&gt;""),"Unexpected: channel present but no reminder sent",IF(AND(N3492="Yes",O3492=""),"Missing channel for sent reminder","OK"))</f>
        <v>OK</v>
      </c>
    </row>
    <row r="3493" customFormat="false" ht="15" hidden="false" customHeight="false" outlineLevel="0" collapsed="false">
      <c r="A3493" s="9" t="s">
        <v>5106</v>
      </c>
      <c r="B3493" s="9" t="s">
        <v>1437</v>
      </c>
      <c r="C3493" s="9" t="s">
        <v>47</v>
      </c>
      <c r="D3493" s="9" t="n">
        <v>24</v>
      </c>
      <c r="E3493" s="9" t="s">
        <v>82</v>
      </c>
      <c r="F3493" s="9" t="s">
        <v>49</v>
      </c>
      <c r="G3493" s="10" t="n">
        <v>45989</v>
      </c>
      <c r="H3493" s="10" t="n">
        <v>46005</v>
      </c>
      <c r="I3493" s="9" t="s">
        <v>75</v>
      </c>
      <c r="J3493" s="9" t="s">
        <v>63</v>
      </c>
      <c r="K3493" s="9" t="n">
        <v>16</v>
      </c>
      <c r="L3493" s="9" t="n">
        <v>6</v>
      </c>
      <c r="M3493" s="9" t="n">
        <v>0</v>
      </c>
      <c r="N3493" s="9" t="s">
        <v>42</v>
      </c>
      <c r="O3493" s="9" t="s">
        <v>43</v>
      </c>
      <c r="P3493" s="9" t="n">
        <v>4.3</v>
      </c>
      <c r="Q3493" s="9" t="n">
        <v>45</v>
      </c>
      <c r="R3493" s="9" t="s">
        <v>44</v>
      </c>
      <c r="S3493" s="9"/>
      <c r="T3493" s="9"/>
      <c r="U3493" s="9" t="str">
        <f aca="false">IF(COUNTIF($A$2:$A$5001,A3493)&gt;1,"Duplicate","Unique")</f>
        <v>Unique</v>
      </c>
      <c r="V3493" s="9" t="str">
        <f aca="false">IF(COUNTIFS($B$2:$B$5001,B3493,$H$2:$H$5001,H3493,$J$2:$J$5001,J3493)&gt;1,"Possible Duplicate Booking","Unique")</f>
        <v>Unique</v>
      </c>
      <c r="W3493" s="9" t="str">
        <f aca="false">IF((H3493-G3493)&lt;&gt;K3493,"Mismatch","OK")</f>
        <v>OK</v>
      </c>
      <c r="X3493" s="9" t="str">
        <f aca="false">IF(TEXT(H3493,"dddd")&lt;&gt;I3493,"Mismatch","OK")</f>
        <v>OK</v>
      </c>
      <c r="Y3493" s="9" t="str">
        <f aca="false">IF(AND(N3493="No",O3493&lt;&gt;""),"Unexpected: channel present but no reminder sent",IF(AND(N3493="Yes",O3493=""),"Missing channel for sent reminder","OK"))</f>
        <v>OK</v>
      </c>
    </row>
    <row r="3494" customFormat="false" ht="15" hidden="false" customHeight="false" outlineLevel="0" collapsed="false">
      <c r="A3494" s="7" t="s">
        <v>5107</v>
      </c>
      <c r="B3494" s="7" t="s">
        <v>3776</v>
      </c>
      <c r="C3494" s="7" t="s">
        <v>37</v>
      </c>
      <c r="D3494" s="7" t="n">
        <v>41</v>
      </c>
      <c r="E3494" s="7" t="s">
        <v>38</v>
      </c>
      <c r="F3494" s="7" t="s">
        <v>39</v>
      </c>
      <c r="G3494" s="8" t="n">
        <v>45833</v>
      </c>
      <c r="H3494" s="8" t="n">
        <v>45860</v>
      </c>
      <c r="I3494" s="7" t="s">
        <v>40</v>
      </c>
      <c r="J3494" s="7" t="s">
        <v>51</v>
      </c>
      <c r="K3494" s="7" t="n">
        <v>27</v>
      </c>
      <c r="L3494" s="7" t="n">
        <v>3</v>
      </c>
      <c r="M3494" s="7" t="n">
        <v>0</v>
      </c>
      <c r="N3494" s="7" t="s">
        <v>71</v>
      </c>
      <c r="O3494" s="7"/>
      <c r="P3494" s="7" t="n">
        <v>12.4</v>
      </c>
      <c r="Q3494" s="7" t="n">
        <v>45</v>
      </c>
      <c r="R3494" s="7" t="s">
        <v>44</v>
      </c>
      <c r="S3494" s="7"/>
      <c r="T3494" s="7"/>
      <c r="U3494" s="7" t="str">
        <f aca="false">IF(COUNTIF($A$2:$A$5001,A3494)&gt;1,"Duplicate","Unique")</f>
        <v>Unique</v>
      </c>
      <c r="V3494" s="7" t="str">
        <f aca="false">IF(COUNTIFS($B$2:$B$5001,B3494,$H$2:$H$5001,H3494,$J$2:$J$5001,J3494)&gt;1,"Possible Duplicate Booking","Unique")</f>
        <v>Unique</v>
      </c>
      <c r="W3494" s="7" t="str">
        <f aca="false">IF((H3494-G3494)&lt;&gt;K3494,"Mismatch","OK")</f>
        <v>OK</v>
      </c>
      <c r="X3494" s="7" t="str">
        <f aca="false">IF(TEXT(H3494,"dddd")&lt;&gt;I3494,"Mismatch","OK")</f>
        <v>OK</v>
      </c>
      <c r="Y3494" s="7" t="str">
        <f aca="false">IF(AND(N3494="No",O3494&lt;&gt;""),"Unexpected: channel present but no reminder sent",IF(AND(N3494="Yes",O3494=""),"Missing channel for sent reminder","OK"))</f>
        <v>OK</v>
      </c>
    </row>
    <row r="3495" customFormat="false" ht="15" hidden="false" customHeight="false" outlineLevel="0" collapsed="false">
      <c r="A3495" s="9" t="s">
        <v>5108</v>
      </c>
      <c r="B3495" s="9" t="s">
        <v>1149</v>
      </c>
      <c r="C3495" s="9" t="s">
        <v>47</v>
      </c>
      <c r="D3495" s="9" t="n">
        <v>56</v>
      </c>
      <c r="E3495" s="9" t="s">
        <v>61</v>
      </c>
      <c r="F3495" s="9" t="s">
        <v>57</v>
      </c>
      <c r="G3495" s="10" t="n">
        <v>46012</v>
      </c>
      <c r="H3495" s="10" t="n">
        <v>46064</v>
      </c>
      <c r="I3495" s="9" t="s">
        <v>58</v>
      </c>
      <c r="J3495" s="9" t="s">
        <v>41</v>
      </c>
      <c r="K3495" s="9" t="n">
        <v>52</v>
      </c>
      <c r="L3495" s="9" t="n">
        <v>2</v>
      </c>
      <c r="M3495" s="9" t="n">
        <v>1</v>
      </c>
      <c r="N3495" s="9" t="s">
        <v>42</v>
      </c>
      <c r="O3495" s="9" t="s">
        <v>52</v>
      </c>
      <c r="P3495" s="9" t="n">
        <v>18.6</v>
      </c>
      <c r="Q3495" s="9" t="n">
        <v>32</v>
      </c>
      <c r="R3495" s="9" t="s">
        <v>53</v>
      </c>
      <c r="S3495" s="9"/>
      <c r="T3495" s="9"/>
      <c r="U3495" s="9" t="str">
        <f aca="false">IF(COUNTIF($A$2:$A$5001,A3495)&gt;1,"Duplicate","Unique")</f>
        <v>Unique</v>
      </c>
      <c r="V3495" s="9" t="str">
        <f aca="false">IF(COUNTIFS($B$2:$B$5001,B3495,$H$2:$H$5001,H3495,$J$2:$J$5001,J3495)&gt;1,"Possible Duplicate Booking","Unique")</f>
        <v>Unique</v>
      </c>
      <c r="W3495" s="9" t="str">
        <f aca="false">IF((H3495-G3495)&lt;&gt;K3495,"Mismatch","OK")</f>
        <v>OK</v>
      </c>
      <c r="X3495" s="9" t="str">
        <f aca="false">IF(TEXT(H3495,"dddd")&lt;&gt;I3495,"Mismatch","OK")</f>
        <v>OK</v>
      </c>
      <c r="Y3495" s="9" t="str">
        <f aca="false">IF(AND(N3495="No",O3495&lt;&gt;""),"Unexpected: channel present but no reminder sent",IF(AND(N3495="Yes",O3495=""),"Missing channel for sent reminder","OK"))</f>
        <v>OK</v>
      </c>
    </row>
    <row r="3496" customFormat="false" ht="15" hidden="false" customHeight="false" outlineLevel="0" collapsed="false">
      <c r="A3496" s="7" t="s">
        <v>5109</v>
      </c>
      <c r="B3496" s="7" t="s">
        <v>1167</v>
      </c>
      <c r="C3496" s="7" t="s">
        <v>37</v>
      </c>
      <c r="D3496" s="7" t="n">
        <v>23</v>
      </c>
      <c r="E3496" s="7" t="s">
        <v>82</v>
      </c>
      <c r="F3496" s="7" t="s">
        <v>49</v>
      </c>
      <c r="G3496" s="8" t="n">
        <v>46146</v>
      </c>
      <c r="H3496" s="8" t="n">
        <v>46164</v>
      </c>
      <c r="I3496" s="7" t="s">
        <v>50</v>
      </c>
      <c r="J3496" s="7" t="s">
        <v>41</v>
      </c>
      <c r="K3496" s="7" t="n">
        <v>18</v>
      </c>
      <c r="L3496" s="7" t="n">
        <v>2</v>
      </c>
      <c r="M3496" s="7" t="n">
        <v>1</v>
      </c>
      <c r="N3496" s="7" t="s">
        <v>42</v>
      </c>
      <c r="O3496" s="7" t="s">
        <v>52</v>
      </c>
      <c r="P3496" s="7" t="n">
        <v>2</v>
      </c>
      <c r="Q3496" s="7" t="n">
        <v>39</v>
      </c>
      <c r="R3496" s="7" t="s">
        <v>53</v>
      </c>
      <c r="S3496" s="7"/>
      <c r="T3496" s="7"/>
      <c r="U3496" s="7" t="str">
        <f aca="false">IF(COUNTIF($A$2:$A$5001,A3496)&gt;1,"Duplicate","Unique")</f>
        <v>Unique</v>
      </c>
      <c r="V3496" s="7" t="str">
        <f aca="false">IF(COUNTIFS($B$2:$B$5001,B3496,$H$2:$H$5001,H3496,$J$2:$J$5001,J3496)&gt;1,"Possible Duplicate Booking","Unique")</f>
        <v>Unique</v>
      </c>
      <c r="W3496" s="7" t="str">
        <f aca="false">IF((H3496-G3496)&lt;&gt;K3496,"Mismatch","OK")</f>
        <v>OK</v>
      </c>
      <c r="X3496" s="7" t="str">
        <f aca="false">IF(TEXT(H3496,"dddd")&lt;&gt;I3496,"Mismatch","OK")</f>
        <v>OK</v>
      </c>
      <c r="Y3496" s="7" t="str">
        <f aca="false">IF(AND(N3496="No",O3496&lt;&gt;""),"Unexpected: channel present but no reminder sent",IF(AND(N3496="Yes",O3496=""),"Missing channel for sent reminder","OK"))</f>
        <v>OK</v>
      </c>
    </row>
    <row r="3497" customFormat="false" ht="15" hidden="false" customHeight="false" outlineLevel="0" collapsed="false">
      <c r="A3497" s="9" t="s">
        <v>5110</v>
      </c>
      <c r="B3497" s="9" t="s">
        <v>3412</v>
      </c>
      <c r="C3497" s="9" t="s">
        <v>47</v>
      </c>
      <c r="D3497" s="9" t="n">
        <v>51</v>
      </c>
      <c r="E3497" s="9" t="s">
        <v>56</v>
      </c>
      <c r="F3497" s="9" t="s">
        <v>49</v>
      </c>
      <c r="G3497" s="10" t="n">
        <v>45947</v>
      </c>
      <c r="H3497" s="10" t="n">
        <v>45948</v>
      </c>
      <c r="I3497" s="9" t="s">
        <v>102</v>
      </c>
      <c r="J3497" s="9" t="s">
        <v>41</v>
      </c>
      <c r="K3497" s="9" t="n">
        <v>1</v>
      </c>
      <c r="L3497" s="9" t="n">
        <v>4</v>
      </c>
      <c r="M3497" s="9" t="n">
        <v>1</v>
      </c>
      <c r="N3497" s="9" t="s">
        <v>42</v>
      </c>
      <c r="O3497" s="9" t="s">
        <v>52</v>
      </c>
      <c r="P3497" s="9" t="n">
        <v>18.7</v>
      </c>
      <c r="Q3497" s="9" t="n">
        <v>24</v>
      </c>
      <c r="R3497" s="9" t="s">
        <v>53</v>
      </c>
      <c r="S3497" s="9"/>
      <c r="T3497" s="9"/>
      <c r="U3497" s="9" t="str">
        <f aca="false">IF(COUNTIF($A$2:$A$5001,A3497)&gt;1,"Duplicate","Unique")</f>
        <v>Unique</v>
      </c>
      <c r="V3497" s="9" t="str">
        <f aca="false">IF(COUNTIFS($B$2:$B$5001,B3497,$H$2:$H$5001,H3497,$J$2:$J$5001,J3497)&gt;1,"Possible Duplicate Booking","Unique")</f>
        <v>Unique</v>
      </c>
      <c r="W3497" s="9" t="str">
        <f aca="false">IF((H3497-G3497)&lt;&gt;K3497,"Mismatch","OK")</f>
        <v>OK</v>
      </c>
      <c r="X3497" s="9" t="str">
        <f aca="false">IF(TEXT(H3497,"dddd")&lt;&gt;I3497,"Mismatch","OK")</f>
        <v>OK</v>
      </c>
      <c r="Y3497" s="9" t="str">
        <f aca="false">IF(AND(N3497="No",O3497&lt;&gt;""),"Unexpected: channel present but no reminder sent",IF(AND(N3497="Yes",O3497=""),"Missing channel for sent reminder","OK"))</f>
        <v>OK</v>
      </c>
    </row>
    <row r="3498" customFormat="false" ht="15" hidden="false" customHeight="false" outlineLevel="0" collapsed="false">
      <c r="A3498" s="7" t="s">
        <v>5111</v>
      </c>
      <c r="B3498" s="7" t="s">
        <v>106</v>
      </c>
      <c r="C3498" s="7" t="s">
        <v>47</v>
      </c>
      <c r="D3498" s="7" t="n">
        <v>66</v>
      </c>
      <c r="E3498" s="7" t="s">
        <v>70</v>
      </c>
      <c r="F3498" s="7" t="s">
        <v>57</v>
      </c>
      <c r="G3498" s="8" t="n">
        <v>45655</v>
      </c>
      <c r="H3498" s="8" t="n">
        <v>45714</v>
      </c>
      <c r="I3498" s="7" t="s">
        <v>58</v>
      </c>
      <c r="J3498" s="7" t="s">
        <v>63</v>
      </c>
      <c r="K3498" s="7" t="n">
        <v>59</v>
      </c>
      <c r="L3498" s="7" t="n">
        <v>1</v>
      </c>
      <c r="M3498" s="7" t="n">
        <v>0</v>
      </c>
      <c r="N3498" s="7" t="s">
        <v>42</v>
      </c>
      <c r="O3498" s="7" t="s">
        <v>52</v>
      </c>
      <c r="P3498" s="7" t="n">
        <v>8.2</v>
      </c>
      <c r="Q3498" s="7" t="n">
        <v>32</v>
      </c>
      <c r="R3498" s="7" t="s">
        <v>44</v>
      </c>
      <c r="S3498" s="7"/>
      <c r="T3498" s="7"/>
      <c r="U3498" s="7" t="str">
        <f aca="false">IF(COUNTIF($A$2:$A$5001,A3498)&gt;1,"Duplicate","Unique")</f>
        <v>Unique</v>
      </c>
      <c r="V3498" s="7" t="str">
        <f aca="false">IF(COUNTIFS($B$2:$B$5001,B3498,$H$2:$H$5001,H3498,$J$2:$J$5001,J3498)&gt;1,"Possible Duplicate Booking","Unique")</f>
        <v>Unique</v>
      </c>
      <c r="W3498" s="7" t="str">
        <f aca="false">IF((H3498-G3498)&lt;&gt;K3498,"Mismatch","OK")</f>
        <v>OK</v>
      </c>
      <c r="X3498" s="7" t="str">
        <f aca="false">IF(TEXT(H3498,"dddd")&lt;&gt;I3498,"Mismatch","OK")</f>
        <v>OK</v>
      </c>
      <c r="Y3498" s="7" t="str">
        <f aca="false">IF(AND(N3498="No",O3498&lt;&gt;""),"Unexpected: channel present but no reminder sent",IF(AND(N3498="Yes",O3498=""),"Missing channel for sent reminder","OK"))</f>
        <v>OK</v>
      </c>
    </row>
    <row r="3499" customFormat="false" ht="15" hidden="false" customHeight="false" outlineLevel="0" collapsed="false">
      <c r="A3499" s="9" t="s">
        <v>5112</v>
      </c>
      <c r="B3499" s="9" t="s">
        <v>1117</v>
      </c>
      <c r="C3499" s="9" t="s">
        <v>47</v>
      </c>
      <c r="D3499" s="9" t="n">
        <v>46</v>
      </c>
      <c r="E3499" s="9" t="s">
        <v>56</v>
      </c>
      <c r="F3499" s="9" t="s">
        <v>49</v>
      </c>
      <c r="G3499" s="10" t="n">
        <v>45906</v>
      </c>
      <c r="H3499" s="10" t="n">
        <v>45917</v>
      </c>
      <c r="I3499" s="9" t="s">
        <v>58</v>
      </c>
      <c r="J3499" s="9" t="s">
        <v>51</v>
      </c>
      <c r="K3499" s="9" t="n">
        <v>11</v>
      </c>
      <c r="L3499" s="9" t="n">
        <v>1</v>
      </c>
      <c r="M3499" s="9" t="n">
        <v>0</v>
      </c>
      <c r="N3499" s="9" t="s">
        <v>42</v>
      </c>
      <c r="O3499" s="9" t="s">
        <v>52</v>
      </c>
      <c r="P3499" s="9" t="n">
        <v>3.9</v>
      </c>
      <c r="Q3499" s="9" t="n">
        <v>33</v>
      </c>
      <c r="R3499" s="9" t="s">
        <v>44</v>
      </c>
      <c r="S3499" s="9"/>
      <c r="T3499" s="9"/>
      <c r="U3499" s="9" t="str">
        <f aca="false">IF(COUNTIF($A$2:$A$5001,A3499)&gt;1,"Duplicate","Unique")</f>
        <v>Unique</v>
      </c>
      <c r="V3499" s="9" t="str">
        <f aca="false">IF(COUNTIFS($B$2:$B$5001,B3499,$H$2:$H$5001,H3499,$J$2:$J$5001,J3499)&gt;1,"Possible Duplicate Booking","Unique")</f>
        <v>Unique</v>
      </c>
      <c r="W3499" s="9" t="str">
        <f aca="false">IF((H3499-G3499)&lt;&gt;K3499,"Mismatch","OK")</f>
        <v>OK</v>
      </c>
      <c r="X3499" s="9" t="str">
        <f aca="false">IF(TEXT(H3499,"dddd")&lt;&gt;I3499,"Mismatch","OK")</f>
        <v>OK</v>
      </c>
      <c r="Y3499" s="9" t="str">
        <f aca="false">IF(AND(N3499="No",O3499&lt;&gt;""),"Unexpected: channel present but no reminder sent",IF(AND(N3499="Yes",O3499=""),"Missing channel for sent reminder","OK"))</f>
        <v>OK</v>
      </c>
    </row>
    <row r="3500" customFormat="false" ht="15" hidden="false" customHeight="false" outlineLevel="0" collapsed="false">
      <c r="A3500" s="7" t="s">
        <v>5113</v>
      </c>
      <c r="B3500" s="7" t="s">
        <v>453</v>
      </c>
      <c r="C3500" s="7" t="s">
        <v>47</v>
      </c>
      <c r="D3500" s="7" t="n">
        <v>25</v>
      </c>
      <c r="E3500" s="7" t="s">
        <v>48</v>
      </c>
      <c r="F3500" s="7" t="s">
        <v>39</v>
      </c>
      <c r="G3500" s="8" t="n">
        <v>45689</v>
      </c>
      <c r="H3500" s="8" t="n">
        <v>45725</v>
      </c>
      <c r="I3500" s="7" t="s">
        <v>75</v>
      </c>
      <c r="J3500" s="7" t="s">
        <v>41</v>
      </c>
      <c r="K3500" s="7" t="n">
        <v>36</v>
      </c>
      <c r="L3500" s="7" t="n">
        <v>4</v>
      </c>
      <c r="M3500" s="7" t="n">
        <v>1</v>
      </c>
      <c r="N3500" s="7" t="s">
        <v>71</v>
      </c>
      <c r="O3500" s="7"/>
      <c r="P3500" s="7" t="n">
        <v>3.7</v>
      </c>
      <c r="Q3500" s="7" t="n">
        <v>23</v>
      </c>
      <c r="R3500" s="7" t="s">
        <v>44</v>
      </c>
      <c r="S3500" s="7"/>
      <c r="T3500" s="7"/>
      <c r="U3500" s="7" t="str">
        <f aca="false">IF(COUNTIF($A$2:$A$5001,A3500)&gt;1,"Duplicate","Unique")</f>
        <v>Unique</v>
      </c>
      <c r="V3500" s="7" t="str">
        <f aca="false">IF(COUNTIFS($B$2:$B$5001,B3500,$H$2:$H$5001,H3500,$J$2:$J$5001,J3500)&gt;1,"Possible Duplicate Booking","Unique")</f>
        <v>Unique</v>
      </c>
      <c r="W3500" s="7" t="str">
        <f aca="false">IF((H3500-G3500)&lt;&gt;K3500,"Mismatch","OK")</f>
        <v>OK</v>
      </c>
      <c r="X3500" s="7" t="str">
        <f aca="false">IF(TEXT(H3500,"dddd")&lt;&gt;I3500,"Mismatch","OK")</f>
        <v>OK</v>
      </c>
      <c r="Y3500" s="7" t="str">
        <f aca="false">IF(AND(N3500="No",O3500&lt;&gt;""),"Unexpected: channel present but no reminder sent",IF(AND(N3500="Yes",O3500=""),"Missing channel for sent reminder","OK"))</f>
        <v>OK</v>
      </c>
    </row>
    <row r="3501" customFormat="false" ht="15" hidden="false" customHeight="false" outlineLevel="0" collapsed="false">
      <c r="A3501" s="9" t="s">
        <v>5114</v>
      </c>
      <c r="B3501" s="9" t="s">
        <v>5115</v>
      </c>
      <c r="C3501" s="9" t="s">
        <v>37</v>
      </c>
      <c r="D3501" s="9" t="n">
        <v>61</v>
      </c>
      <c r="E3501" s="9" t="s">
        <v>61</v>
      </c>
      <c r="F3501" s="9" t="s">
        <v>74</v>
      </c>
      <c r="G3501" s="10" t="n">
        <v>45855</v>
      </c>
      <c r="H3501" s="10" t="n">
        <v>45903</v>
      </c>
      <c r="I3501" s="9" t="s">
        <v>58</v>
      </c>
      <c r="J3501" s="9" t="s">
        <v>51</v>
      </c>
      <c r="K3501" s="9" t="n">
        <v>48</v>
      </c>
      <c r="L3501" s="9" t="n">
        <v>3</v>
      </c>
      <c r="M3501" s="9" t="n">
        <v>0</v>
      </c>
      <c r="N3501" s="9" t="s">
        <v>42</v>
      </c>
      <c r="O3501" s="9" t="s">
        <v>52</v>
      </c>
      <c r="P3501" s="9" t="n">
        <v>8.2</v>
      </c>
      <c r="Q3501" s="9" t="n">
        <v>15</v>
      </c>
      <c r="R3501" s="9" t="s">
        <v>53</v>
      </c>
      <c r="S3501" s="9"/>
      <c r="T3501" s="9"/>
      <c r="U3501" s="9" t="str">
        <f aca="false">IF(COUNTIF($A$2:$A$5001,A3501)&gt;1,"Duplicate","Unique")</f>
        <v>Unique</v>
      </c>
      <c r="V3501" s="9" t="str">
        <f aca="false">IF(COUNTIFS($B$2:$B$5001,B3501,$H$2:$H$5001,H3501,$J$2:$J$5001,J3501)&gt;1,"Possible Duplicate Booking","Unique")</f>
        <v>Unique</v>
      </c>
      <c r="W3501" s="9" t="str">
        <f aca="false">IF((H3501-G3501)&lt;&gt;K3501,"Mismatch","OK")</f>
        <v>OK</v>
      </c>
      <c r="X3501" s="9" t="str">
        <f aca="false">IF(TEXT(H3501,"dddd")&lt;&gt;I3501,"Mismatch","OK")</f>
        <v>OK</v>
      </c>
      <c r="Y3501" s="9" t="str">
        <f aca="false">IF(AND(N3501="No",O3501&lt;&gt;""),"Unexpected: channel present but no reminder sent",IF(AND(N3501="Yes",O3501=""),"Missing channel for sent reminder","OK"))</f>
        <v>OK</v>
      </c>
    </row>
    <row r="3502" customFormat="false" ht="15" hidden="false" customHeight="false" outlineLevel="0" collapsed="false">
      <c r="A3502" s="7" t="s">
        <v>5116</v>
      </c>
      <c r="B3502" s="7" t="s">
        <v>1422</v>
      </c>
      <c r="C3502" s="7" t="s">
        <v>37</v>
      </c>
      <c r="D3502" s="7" t="n">
        <v>29</v>
      </c>
      <c r="E3502" s="7" t="s">
        <v>48</v>
      </c>
      <c r="F3502" s="7" t="s">
        <v>49</v>
      </c>
      <c r="G3502" s="8" t="n">
        <v>45675</v>
      </c>
      <c r="H3502" s="8" t="n">
        <v>45691</v>
      </c>
      <c r="I3502" s="7" t="s">
        <v>66</v>
      </c>
      <c r="J3502" s="7" t="s">
        <v>41</v>
      </c>
      <c r="K3502" s="7" t="n">
        <v>16</v>
      </c>
      <c r="L3502" s="7" t="n">
        <v>4</v>
      </c>
      <c r="M3502" s="7" t="n">
        <v>1</v>
      </c>
      <c r="N3502" s="7" t="s">
        <v>42</v>
      </c>
      <c r="O3502" s="7" t="s">
        <v>43</v>
      </c>
      <c r="P3502" s="7" t="n">
        <v>1.8</v>
      </c>
      <c r="Q3502" s="7" t="n">
        <v>34</v>
      </c>
      <c r="R3502" s="7" t="s">
        <v>44</v>
      </c>
      <c r="S3502" s="7"/>
      <c r="T3502" s="7"/>
      <c r="U3502" s="7" t="str">
        <f aca="false">IF(COUNTIF($A$2:$A$5001,A3502)&gt;1,"Duplicate","Unique")</f>
        <v>Unique</v>
      </c>
      <c r="V3502" s="7" t="str">
        <f aca="false">IF(COUNTIFS($B$2:$B$5001,B3502,$H$2:$H$5001,H3502,$J$2:$J$5001,J3502)&gt;1,"Possible Duplicate Booking","Unique")</f>
        <v>Unique</v>
      </c>
      <c r="W3502" s="7" t="str">
        <f aca="false">IF((H3502-G3502)&lt;&gt;K3502,"Mismatch","OK")</f>
        <v>OK</v>
      </c>
      <c r="X3502" s="7" t="str">
        <f aca="false">IF(TEXT(H3502,"dddd")&lt;&gt;I3502,"Mismatch","OK")</f>
        <v>OK</v>
      </c>
      <c r="Y3502" s="7" t="str">
        <f aca="false">IF(AND(N3502="No",O3502&lt;&gt;""),"Unexpected: channel present but no reminder sent",IF(AND(N3502="Yes",O3502=""),"Missing channel for sent reminder","OK"))</f>
        <v>OK</v>
      </c>
    </row>
    <row r="3503" customFormat="false" ht="15" hidden="false" customHeight="false" outlineLevel="0" collapsed="false">
      <c r="A3503" s="9" t="s">
        <v>5117</v>
      </c>
      <c r="B3503" s="9" t="s">
        <v>2943</v>
      </c>
      <c r="C3503" s="9" t="s">
        <v>47</v>
      </c>
      <c r="D3503" s="9" t="n">
        <v>19</v>
      </c>
      <c r="E3503" s="9" t="s">
        <v>82</v>
      </c>
      <c r="F3503" s="9" t="s">
        <v>57</v>
      </c>
      <c r="G3503" s="10" t="n">
        <v>45987</v>
      </c>
      <c r="H3503" s="10" t="n">
        <v>46007</v>
      </c>
      <c r="I3503" s="9" t="s">
        <v>40</v>
      </c>
      <c r="J3503" s="9" t="s">
        <v>51</v>
      </c>
      <c r="K3503" s="9" t="n">
        <v>20</v>
      </c>
      <c r="L3503" s="9" t="n">
        <v>4</v>
      </c>
      <c r="M3503" s="9" t="n">
        <v>0</v>
      </c>
      <c r="N3503" s="9" t="s">
        <v>42</v>
      </c>
      <c r="O3503" s="9" t="s">
        <v>52</v>
      </c>
      <c r="P3503" s="9" t="n">
        <v>7.9</v>
      </c>
      <c r="Q3503" s="9" t="n">
        <v>45</v>
      </c>
      <c r="R3503" s="9" t="s">
        <v>53</v>
      </c>
      <c r="S3503" s="9"/>
      <c r="T3503" s="9"/>
      <c r="U3503" s="9" t="str">
        <f aca="false">IF(COUNTIF($A$2:$A$5001,A3503)&gt;1,"Duplicate","Unique")</f>
        <v>Unique</v>
      </c>
      <c r="V3503" s="9" t="str">
        <f aca="false">IF(COUNTIFS($B$2:$B$5001,B3503,$H$2:$H$5001,H3503,$J$2:$J$5001,J3503)&gt;1,"Possible Duplicate Booking","Unique")</f>
        <v>Unique</v>
      </c>
      <c r="W3503" s="9" t="str">
        <f aca="false">IF((H3503-G3503)&lt;&gt;K3503,"Mismatch","OK")</f>
        <v>OK</v>
      </c>
      <c r="X3503" s="9" t="str">
        <f aca="false">IF(TEXT(H3503,"dddd")&lt;&gt;I3503,"Mismatch","OK")</f>
        <v>OK</v>
      </c>
      <c r="Y3503" s="9" t="str">
        <f aca="false">IF(AND(N3503="No",O3503&lt;&gt;""),"Unexpected: channel present but no reminder sent",IF(AND(N3503="Yes",O3503=""),"Missing channel for sent reminder","OK"))</f>
        <v>OK</v>
      </c>
    </row>
    <row r="3504" customFormat="false" ht="15" hidden="false" customHeight="false" outlineLevel="0" collapsed="false">
      <c r="A3504" s="7" t="s">
        <v>5118</v>
      </c>
      <c r="B3504" s="7" t="s">
        <v>2847</v>
      </c>
      <c r="C3504" s="7" t="s">
        <v>47</v>
      </c>
      <c r="D3504" s="7" t="n">
        <v>45</v>
      </c>
      <c r="E3504" s="7" t="s">
        <v>56</v>
      </c>
      <c r="F3504" s="7" t="s">
        <v>49</v>
      </c>
      <c r="G3504" s="8" t="n">
        <v>45810</v>
      </c>
      <c r="H3504" s="8" t="n">
        <v>45827</v>
      </c>
      <c r="I3504" s="7" t="s">
        <v>62</v>
      </c>
      <c r="J3504" s="7" t="s">
        <v>51</v>
      </c>
      <c r="K3504" s="7" t="n">
        <v>17</v>
      </c>
      <c r="L3504" s="7" t="n">
        <v>3</v>
      </c>
      <c r="M3504" s="7" t="n">
        <v>2</v>
      </c>
      <c r="N3504" s="7" t="s">
        <v>42</v>
      </c>
      <c r="O3504" s="7" t="s">
        <v>43</v>
      </c>
      <c r="P3504" s="7" t="n">
        <v>8.7</v>
      </c>
      <c r="Q3504" s="7" t="n">
        <v>38</v>
      </c>
      <c r="R3504" s="7" t="s">
        <v>53</v>
      </c>
      <c r="S3504" s="7"/>
      <c r="T3504" s="7"/>
      <c r="U3504" s="7" t="str">
        <f aca="false">IF(COUNTIF($A$2:$A$5001,A3504)&gt;1,"Duplicate","Unique")</f>
        <v>Unique</v>
      </c>
      <c r="V3504" s="7" t="str">
        <f aca="false">IF(COUNTIFS($B$2:$B$5001,B3504,$H$2:$H$5001,H3504,$J$2:$J$5001,J3504)&gt;1,"Possible Duplicate Booking","Unique")</f>
        <v>Unique</v>
      </c>
      <c r="W3504" s="7" t="str">
        <f aca="false">IF((H3504-G3504)&lt;&gt;K3504,"Mismatch","OK")</f>
        <v>OK</v>
      </c>
      <c r="X3504" s="7" t="str">
        <f aca="false">IF(TEXT(H3504,"dddd")&lt;&gt;I3504,"Mismatch","OK")</f>
        <v>OK</v>
      </c>
      <c r="Y3504" s="7" t="str">
        <f aca="false">IF(AND(N3504="No",O3504&lt;&gt;""),"Unexpected: channel present but no reminder sent",IF(AND(N3504="Yes",O3504=""),"Missing channel for sent reminder","OK"))</f>
        <v>OK</v>
      </c>
    </row>
    <row r="3505" customFormat="false" ht="15" hidden="false" customHeight="false" outlineLevel="0" collapsed="false">
      <c r="A3505" s="9" t="s">
        <v>5119</v>
      </c>
      <c r="B3505" s="9" t="s">
        <v>278</v>
      </c>
      <c r="C3505" s="9" t="s">
        <v>47</v>
      </c>
      <c r="D3505" s="9" t="n">
        <v>35</v>
      </c>
      <c r="E3505" s="9" t="s">
        <v>38</v>
      </c>
      <c r="F3505" s="9" t="s">
        <v>74</v>
      </c>
      <c r="G3505" s="10" t="n">
        <v>45759</v>
      </c>
      <c r="H3505" s="10" t="n">
        <v>45768</v>
      </c>
      <c r="I3505" s="9" t="s">
        <v>66</v>
      </c>
      <c r="J3505" s="9" t="s">
        <v>51</v>
      </c>
      <c r="K3505" s="9" t="n">
        <v>9</v>
      </c>
      <c r="L3505" s="9" t="n">
        <v>1</v>
      </c>
      <c r="M3505" s="9" t="n">
        <v>0</v>
      </c>
      <c r="N3505" s="9" t="s">
        <v>71</v>
      </c>
      <c r="O3505" s="9"/>
      <c r="P3505" s="9" t="n">
        <v>13</v>
      </c>
      <c r="Q3505" s="9" t="n">
        <v>28</v>
      </c>
      <c r="R3505" s="9" t="s">
        <v>53</v>
      </c>
      <c r="S3505" s="9"/>
      <c r="T3505" s="9"/>
      <c r="U3505" s="9" t="str">
        <f aca="false">IF(COUNTIF($A$2:$A$5001,A3505)&gt;1,"Duplicate","Unique")</f>
        <v>Unique</v>
      </c>
      <c r="V3505" s="9" t="str">
        <f aca="false">IF(COUNTIFS($B$2:$B$5001,B3505,$H$2:$H$5001,H3505,$J$2:$J$5001,J3505)&gt;1,"Possible Duplicate Booking","Unique")</f>
        <v>Unique</v>
      </c>
      <c r="W3505" s="9" t="str">
        <f aca="false">IF((H3505-G3505)&lt;&gt;K3505,"Mismatch","OK")</f>
        <v>OK</v>
      </c>
      <c r="X3505" s="9" t="str">
        <f aca="false">IF(TEXT(H3505,"dddd")&lt;&gt;I3505,"Mismatch","OK")</f>
        <v>OK</v>
      </c>
      <c r="Y3505" s="9" t="str">
        <f aca="false">IF(AND(N3505="No",O3505&lt;&gt;""),"Unexpected: channel present but no reminder sent",IF(AND(N3505="Yes",O3505=""),"Missing channel for sent reminder","OK"))</f>
        <v>OK</v>
      </c>
    </row>
    <row r="3506" customFormat="false" ht="15" hidden="false" customHeight="false" outlineLevel="0" collapsed="false">
      <c r="A3506" s="7" t="s">
        <v>5120</v>
      </c>
      <c r="B3506" s="7" t="s">
        <v>2969</v>
      </c>
      <c r="C3506" s="7" t="s">
        <v>47</v>
      </c>
      <c r="D3506" s="7" t="n">
        <v>19</v>
      </c>
      <c r="E3506" s="7" t="s">
        <v>82</v>
      </c>
      <c r="F3506" s="7" t="s">
        <v>49</v>
      </c>
      <c r="G3506" s="8" t="n">
        <v>45658</v>
      </c>
      <c r="H3506" s="8" t="n">
        <v>45667</v>
      </c>
      <c r="I3506" s="7" t="s">
        <v>50</v>
      </c>
      <c r="J3506" s="7" t="s">
        <v>51</v>
      </c>
      <c r="K3506" s="7" t="n">
        <v>9</v>
      </c>
      <c r="L3506" s="7" t="n">
        <v>3</v>
      </c>
      <c r="M3506" s="7" t="n">
        <v>2</v>
      </c>
      <c r="N3506" s="7" t="s">
        <v>42</v>
      </c>
      <c r="O3506" s="7" t="s">
        <v>52</v>
      </c>
      <c r="P3506" s="7" t="n">
        <v>17.6</v>
      </c>
      <c r="Q3506" s="7" t="n">
        <v>27</v>
      </c>
      <c r="R3506" s="7" t="s">
        <v>44</v>
      </c>
      <c r="S3506" s="7"/>
      <c r="T3506" s="7"/>
      <c r="U3506" s="7" t="str">
        <f aca="false">IF(COUNTIF($A$2:$A$5001,A3506)&gt;1,"Duplicate","Unique")</f>
        <v>Unique</v>
      </c>
      <c r="V3506" s="7" t="str">
        <f aca="false">IF(COUNTIFS($B$2:$B$5001,B3506,$H$2:$H$5001,H3506,$J$2:$J$5001,J3506)&gt;1,"Possible Duplicate Booking","Unique")</f>
        <v>Unique</v>
      </c>
      <c r="W3506" s="7" t="str">
        <f aca="false">IF((H3506-G3506)&lt;&gt;K3506,"Mismatch","OK")</f>
        <v>OK</v>
      </c>
      <c r="X3506" s="7" t="str">
        <f aca="false">IF(TEXT(H3506,"dddd")&lt;&gt;I3506,"Mismatch","OK")</f>
        <v>OK</v>
      </c>
      <c r="Y3506" s="7" t="str">
        <f aca="false">IF(AND(N3506="No",O3506&lt;&gt;""),"Unexpected: channel present but no reminder sent",IF(AND(N3506="Yes",O3506=""),"Missing channel for sent reminder","OK"))</f>
        <v>OK</v>
      </c>
    </row>
    <row r="3507" customFormat="false" ht="15" hidden="false" customHeight="false" outlineLevel="0" collapsed="false">
      <c r="A3507" s="9" t="s">
        <v>5121</v>
      </c>
      <c r="B3507" s="9" t="s">
        <v>1268</v>
      </c>
      <c r="C3507" s="9" t="s">
        <v>37</v>
      </c>
      <c r="D3507" s="9" t="n">
        <v>66</v>
      </c>
      <c r="E3507" s="9" t="s">
        <v>70</v>
      </c>
      <c r="F3507" s="9" t="s">
        <v>57</v>
      </c>
      <c r="G3507" s="10" t="n">
        <v>46131</v>
      </c>
      <c r="H3507" s="10" t="n">
        <v>46142</v>
      </c>
      <c r="I3507" s="9" t="s">
        <v>62</v>
      </c>
      <c r="J3507" s="9" t="s">
        <v>63</v>
      </c>
      <c r="K3507" s="9" t="n">
        <v>11</v>
      </c>
      <c r="L3507" s="9" t="n">
        <v>2</v>
      </c>
      <c r="M3507" s="9" t="n">
        <v>1</v>
      </c>
      <c r="N3507" s="9" t="s">
        <v>42</v>
      </c>
      <c r="O3507" s="9" t="s">
        <v>52</v>
      </c>
      <c r="P3507" s="9" t="n">
        <v>13.7</v>
      </c>
      <c r="Q3507" s="9" t="n">
        <v>28</v>
      </c>
      <c r="R3507" s="9" t="s">
        <v>53</v>
      </c>
      <c r="S3507" s="9"/>
      <c r="T3507" s="9"/>
      <c r="U3507" s="9" t="str">
        <f aca="false">IF(COUNTIF($A$2:$A$5001,A3507)&gt;1,"Duplicate","Unique")</f>
        <v>Unique</v>
      </c>
      <c r="V3507" s="9" t="str">
        <f aca="false">IF(COUNTIFS($B$2:$B$5001,B3507,$H$2:$H$5001,H3507,$J$2:$J$5001,J3507)&gt;1,"Possible Duplicate Booking","Unique")</f>
        <v>Unique</v>
      </c>
      <c r="W3507" s="9" t="str">
        <f aca="false">IF((H3507-G3507)&lt;&gt;K3507,"Mismatch","OK")</f>
        <v>OK</v>
      </c>
      <c r="X3507" s="9" t="str">
        <f aca="false">IF(TEXT(H3507,"dddd")&lt;&gt;I3507,"Mismatch","OK")</f>
        <v>OK</v>
      </c>
      <c r="Y3507" s="9" t="str">
        <f aca="false">IF(AND(N3507="No",O3507&lt;&gt;""),"Unexpected: channel present but no reminder sent",IF(AND(N3507="Yes",O3507=""),"Missing channel for sent reminder","OK"))</f>
        <v>OK</v>
      </c>
    </row>
    <row r="3508" customFormat="false" ht="15" hidden="false" customHeight="false" outlineLevel="0" collapsed="false">
      <c r="A3508" s="7" t="s">
        <v>5122</v>
      </c>
      <c r="B3508" s="7" t="s">
        <v>2700</v>
      </c>
      <c r="C3508" s="7" t="s">
        <v>37</v>
      </c>
      <c r="D3508" s="7" t="n">
        <v>55</v>
      </c>
      <c r="E3508" s="7" t="s">
        <v>61</v>
      </c>
      <c r="F3508" s="7" t="s">
        <v>49</v>
      </c>
      <c r="G3508" s="8" t="n">
        <v>46088</v>
      </c>
      <c r="H3508" s="8" t="n">
        <v>46115</v>
      </c>
      <c r="I3508" s="7" t="s">
        <v>50</v>
      </c>
      <c r="J3508" s="7" t="s">
        <v>41</v>
      </c>
      <c r="K3508" s="7" t="n">
        <v>27</v>
      </c>
      <c r="L3508" s="7" t="n">
        <v>3</v>
      </c>
      <c r="M3508" s="7" t="n">
        <v>0</v>
      </c>
      <c r="N3508" s="7" t="s">
        <v>71</v>
      </c>
      <c r="O3508" s="7"/>
      <c r="P3508" s="7" t="n">
        <v>21.2</v>
      </c>
      <c r="Q3508" s="7" t="n">
        <v>2</v>
      </c>
      <c r="R3508" s="7" t="s">
        <v>53</v>
      </c>
      <c r="S3508" s="7"/>
      <c r="T3508" s="7"/>
      <c r="U3508" s="7" t="str">
        <f aca="false">IF(COUNTIF($A$2:$A$5001,A3508)&gt;1,"Duplicate","Unique")</f>
        <v>Unique</v>
      </c>
      <c r="V3508" s="7" t="str">
        <f aca="false">IF(COUNTIFS($B$2:$B$5001,B3508,$H$2:$H$5001,H3508,$J$2:$J$5001,J3508)&gt;1,"Possible Duplicate Booking","Unique")</f>
        <v>Unique</v>
      </c>
      <c r="W3508" s="7" t="str">
        <f aca="false">IF((H3508-G3508)&lt;&gt;K3508,"Mismatch","OK")</f>
        <v>OK</v>
      </c>
      <c r="X3508" s="7" t="str">
        <f aca="false">IF(TEXT(H3508,"dddd")&lt;&gt;I3508,"Mismatch","OK")</f>
        <v>OK</v>
      </c>
      <c r="Y3508" s="7" t="str">
        <f aca="false">IF(AND(N3508="No",O3508&lt;&gt;""),"Unexpected: channel present but no reminder sent",IF(AND(N3508="Yes",O3508=""),"Missing channel for sent reminder","OK"))</f>
        <v>OK</v>
      </c>
    </row>
    <row r="3509" customFormat="false" ht="15" hidden="false" customHeight="false" outlineLevel="0" collapsed="false">
      <c r="A3509" s="9" t="s">
        <v>5123</v>
      </c>
      <c r="B3509" s="9" t="s">
        <v>3908</v>
      </c>
      <c r="C3509" s="9" t="s">
        <v>47</v>
      </c>
      <c r="D3509" s="9" t="n">
        <v>75</v>
      </c>
      <c r="E3509" s="9" t="s">
        <v>70</v>
      </c>
      <c r="F3509" s="9" t="s">
        <v>39</v>
      </c>
      <c r="G3509" s="10" t="n">
        <v>46069</v>
      </c>
      <c r="H3509" s="10" t="n">
        <v>46101</v>
      </c>
      <c r="I3509" s="9" t="s">
        <v>50</v>
      </c>
      <c r="J3509" s="9" t="s">
        <v>51</v>
      </c>
      <c r="K3509" s="9" t="n">
        <v>32</v>
      </c>
      <c r="L3509" s="9" t="n">
        <v>2</v>
      </c>
      <c r="M3509" s="9" t="n">
        <v>0</v>
      </c>
      <c r="N3509" s="9" t="s">
        <v>42</v>
      </c>
      <c r="O3509" s="9" t="s">
        <v>52</v>
      </c>
      <c r="P3509" s="9" t="n">
        <v>4.4</v>
      </c>
      <c r="Q3509" s="9" t="n">
        <v>23</v>
      </c>
      <c r="R3509" s="9" t="s">
        <v>53</v>
      </c>
      <c r="S3509" s="9"/>
      <c r="T3509" s="9"/>
      <c r="U3509" s="9" t="str">
        <f aca="false">IF(COUNTIF($A$2:$A$5001,A3509)&gt;1,"Duplicate","Unique")</f>
        <v>Unique</v>
      </c>
      <c r="V3509" s="9" t="str">
        <f aca="false">IF(COUNTIFS($B$2:$B$5001,B3509,$H$2:$H$5001,H3509,$J$2:$J$5001,J3509)&gt;1,"Possible Duplicate Booking","Unique")</f>
        <v>Unique</v>
      </c>
      <c r="W3509" s="9" t="str">
        <f aca="false">IF((H3509-G3509)&lt;&gt;K3509,"Mismatch","OK")</f>
        <v>OK</v>
      </c>
      <c r="X3509" s="9" t="str">
        <f aca="false">IF(TEXT(H3509,"dddd")&lt;&gt;I3509,"Mismatch","OK")</f>
        <v>OK</v>
      </c>
      <c r="Y3509" s="9" t="str">
        <f aca="false">IF(AND(N3509="No",O3509&lt;&gt;""),"Unexpected: channel present but no reminder sent",IF(AND(N3509="Yes",O3509=""),"Missing channel for sent reminder","OK"))</f>
        <v>OK</v>
      </c>
    </row>
    <row r="3510" customFormat="false" ht="15" hidden="false" customHeight="false" outlineLevel="0" collapsed="false">
      <c r="A3510" s="7" t="s">
        <v>5124</v>
      </c>
      <c r="B3510" s="7" t="s">
        <v>1014</v>
      </c>
      <c r="C3510" s="7" t="s">
        <v>47</v>
      </c>
      <c r="D3510" s="7" t="n">
        <v>48</v>
      </c>
      <c r="E3510" s="7" t="s">
        <v>56</v>
      </c>
      <c r="F3510" s="7" t="s">
        <v>57</v>
      </c>
      <c r="G3510" s="8" t="n">
        <v>45689</v>
      </c>
      <c r="H3510" s="8" t="n">
        <v>45689</v>
      </c>
      <c r="I3510" s="7" t="s">
        <v>102</v>
      </c>
      <c r="J3510" s="7" t="s">
        <v>41</v>
      </c>
      <c r="K3510" s="7" t="n">
        <v>0</v>
      </c>
      <c r="L3510" s="7" t="n">
        <v>2</v>
      </c>
      <c r="M3510" s="7" t="n">
        <v>1</v>
      </c>
      <c r="N3510" s="7" t="s">
        <v>71</v>
      </c>
      <c r="O3510" s="7"/>
      <c r="P3510" s="7" t="n">
        <v>11.9</v>
      </c>
      <c r="Q3510" s="7" t="n">
        <v>22</v>
      </c>
      <c r="R3510" s="7" t="s">
        <v>44</v>
      </c>
      <c r="S3510" s="7"/>
      <c r="T3510" s="7"/>
      <c r="U3510" s="7" t="str">
        <f aca="false">IF(COUNTIF($A$2:$A$5001,A3510)&gt;1,"Duplicate","Unique")</f>
        <v>Unique</v>
      </c>
      <c r="V3510" s="7" t="str">
        <f aca="false">IF(COUNTIFS($B$2:$B$5001,B3510,$H$2:$H$5001,H3510,$J$2:$J$5001,J3510)&gt;1,"Possible Duplicate Booking","Unique")</f>
        <v>Unique</v>
      </c>
      <c r="W3510" s="7" t="str">
        <f aca="false">IF((H3510-G3510)&lt;&gt;K3510,"Mismatch","OK")</f>
        <v>OK</v>
      </c>
      <c r="X3510" s="7" t="str">
        <f aca="false">IF(TEXT(H3510,"dddd")&lt;&gt;I3510,"Mismatch","OK")</f>
        <v>OK</v>
      </c>
      <c r="Y3510" s="7" t="str">
        <f aca="false">IF(AND(N3510="No",O3510&lt;&gt;""),"Unexpected: channel present but no reminder sent",IF(AND(N3510="Yes",O3510=""),"Missing channel for sent reminder","OK"))</f>
        <v>OK</v>
      </c>
    </row>
    <row r="3511" customFormat="false" ht="15" hidden="false" customHeight="false" outlineLevel="0" collapsed="false">
      <c r="A3511" s="9" t="s">
        <v>5125</v>
      </c>
      <c r="B3511" s="9" t="s">
        <v>4975</v>
      </c>
      <c r="C3511" s="9" t="s">
        <v>47</v>
      </c>
      <c r="D3511" s="9" t="n">
        <v>45</v>
      </c>
      <c r="E3511" s="9" t="s">
        <v>56</v>
      </c>
      <c r="F3511" s="9" t="s">
        <v>74</v>
      </c>
      <c r="G3511" s="10" t="n">
        <v>45797</v>
      </c>
      <c r="H3511" s="10" t="n">
        <v>45848</v>
      </c>
      <c r="I3511" s="9" t="s">
        <v>62</v>
      </c>
      <c r="J3511" s="9" t="s">
        <v>41</v>
      </c>
      <c r="K3511" s="9" t="n">
        <v>51</v>
      </c>
      <c r="L3511" s="9" t="n">
        <v>1</v>
      </c>
      <c r="M3511" s="9" t="n">
        <v>0</v>
      </c>
      <c r="N3511" s="9" t="s">
        <v>42</v>
      </c>
      <c r="O3511" s="9" t="s">
        <v>52</v>
      </c>
      <c r="P3511" s="9" t="n">
        <v>12.6</v>
      </c>
      <c r="Q3511" s="9" t="n">
        <v>11</v>
      </c>
      <c r="R3511" s="9" t="s">
        <v>44</v>
      </c>
      <c r="S3511" s="9"/>
      <c r="T3511" s="9"/>
      <c r="U3511" s="9" t="str">
        <f aca="false">IF(COUNTIF($A$2:$A$5001,A3511)&gt;1,"Duplicate","Unique")</f>
        <v>Unique</v>
      </c>
      <c r="V3511" s="9" t="str">
        <f aca="false">IF(COUNTIFS($B$2:$B$5001,B3511,$H$2:$H$5001,H3511,$J$2:$J$5001,J3511)&gt;1,"Possible Duplicate Booking","Unique")</f>
        <v>Unique</v>
      </c>
      <c r="W3511" s="9" t="str">
        <f aca="false">IF((H3511-G3511)&lt;&gt;K3511,"Mismatch","OK")</f>
        <v>OK</v>
      </c>
      <c r="X3511" s="9" t="str">
        <f aca="false">IF(TEXT(H3511,"dddd")&lt;&gt;I3511,"Mismatch","OK")</f>
        <v>OK</v>
      </c>
      <c r="Y3511" s="9" t="str">
        <f aca="false">IF(AND(N3511="No",O3511&lt;&gt;""),"Unexpected: channel present but no reminder sent",IF(AND(N3511="Yes",O3511=""),"Missing channel for sent reminder","OK"))</f>
        <v>OK</v>
      </c>
    </row>
    <row r="3512" customFormat="false" ht="15" hidden="false" customHeight="false" outlineLevel="0" collapsed="false">
      <c r="A3512" s="7" t="s">
        <v>5126</v>
      </c>
      <c r="B3512" s="7" t="s">
        <v>4018</v>
      </c>
      <c r="C3512" s="7" t="s">
        <v>47</v>
      </c>
      <c r="D3512" s="7" t="n">
        <v>71</v>
      </c>
      <c r="E3512" s="7" t="s">
        <v>70</v>
      </c>
      <c r="F3512" s="7" t="s">
        <v>39</v>
      </c>
      <c r="G3512" s="8" t="n">
        <v>46147</v>
      </c>
      <c r="H3512" s="8" t="n">
        <v>46188</v>
      </c>
      <c r="I3512" s="7" t="s">
        <v>66</v>
      </c>
      <c r="J3512" s="7" t="s">
        <v>51</v>
      </c>
      <c r="K3512" s="7" t="n">
        <v>41</v>
      </c>
      <c r="L3512" s="7" t="n">
        <v>6</v>
      </c>
      <c r="M3512" s="7" t="n">
        <v>0</v>
      </c>
      <c r="N3512" s="7" t="s">
        <v>71</v>
      </c>
      <c r="O3512" s="7"/>
      <c r="P3512" s="7" t="n">
        <v>20.9</v>
      </c>
      <c r="Q3512" s="7" t="n">
        <v>36</v>
      </c>
      <c r="R3512" s="7" t="s">
        <v>44</v>
      </c>
      <c r="S3512" s="7"/>
      <c r="T3512" s="7"/>
      <c r="U3512" s="7" t="str">
        <f aca="false">IF(COUNTIF($A$2:$A$5001,A3512)&gt;1,"Duplicate","Unique")</f>
        <v>Unique</v>
      </c>
      <c r="V3512" s="7" t="str">
        <f aca="false">IF(COUNTIFS($B$2:$B$5001,B3512,$H$2:$H$5001,H3512,$J$2:$J$5001,J3512)&gt;1,"Possible Duplicate Booking","Unique")</f>
        <v>Unique</v>
      </c>
      <c r="W3512" s="7" t="str">
        <f aca="false">IF((H3512-G3512)&lt;&gt;K3512,"Mismatch","OK")</f>
        <v>OK</v>
      </c>
      <c r="X3512" s="7" t="str">
        <f aca="false">IF(TEXT(H3512,"dddd")&lt;&gt;I3512,"Mismatch","OK")</f>
        <v>OK</v>
      </c>
      <c r="Y3512" s="7" t="str">
        <f aca="false">IF(AND(N3512="No",O3512&lt;&gt;""),"Unexpected: channel present but no reminder sent",IF(AND(N3512="Yes",O3512=""),"Missing channel for sent reminder","OK"))</f>
        <v>OK</v>
      </c>
    </row>
    <row r="3513" customFormat="false" ht="15" hidden="false" customHeight="false" outlineLevel="0" collapsed="false">
      <c r="A3513" s="9" t="s">
        <v>5127</v>
      </c>
      <c r="B3513" s="9" t="s">
        <v>4420</v>
      </c>
      <c r="C3513" s="9" t="s">
        <v>47</v>
      </c>
      <c r="D3513" s="9" t="n">
        <v>23</v>
      </c>
      <c r="E3513" s="9" t="s">
        <v>82</v>
      </c>
      <c r="F3513" s="9" t="s">
        <v>49</v>
      </c>
      <c r="G3513" s="10" t="n">
        <v>45969</v>
      </c>
      <c r="H3513" s="10" t="n">
        <v>45973</v>
      </c>
      <c r="I3513" s="9" t="s">
        <v>58</v>
      </c>
      <c r="J3513" s="9" t="s">
        <v>51</v>
      </c>
      <c r="K3513" s="9" t="n">
        <v>4</v>
      </c>
      <c r="L3513" s="9" t="n">
        <v>3</v>
      </c>
      <c r="M3513" s="9" t="n">
        <v>0</v>
      </c>
      <c r="N3513" s="9" t="s">
        <v>42</v>
      </c>
      <c r="O3513" s="9" t="s">
        <v>52</v>
      </c>
      <c r="P3513" s="9" t="n">
        <v>12.5</v>
      </c>
      <c r="Q3513" s="9" t="n">
        <v>27</v>
      </c>
      <c r="R3513" s="9" t="s">
        <v>44</v>
      </c>
      <c r="S3513" s="9"/>
      <c r="T3513" s="9"/>
      <c r="U3513" s="9" t="str">
        <f aca="false">IF(COUNTIF($A$2:$A$5001,A3513)&gt;1,"Duplicate","Unique")</f>
        <v>Unique</v>
      </c>
      <c r="V3513" s="9" t="str">
        <f aca="false">IF(COUNTIFS($B$2:$B$5001,B3513,$H$2:$H$5001,H3513,$J$2:$J$5001,J3513)&gt;1,"Possible Duplicate Booking","Unique")</f>
        <v>Unique</v>
      </c>
      <c r="W3513" s="9" t="str">
        <f aca="false">IF((H3513-G3513)&lt;&gt;K3513,"Mismatch","OK")</f>
        <v>OK</v>
      </c>
      <c r="X3513" s="9" t="str">
        <f aca="false">IF(TEXT(H3513,"dddd")&lt;&gt;I3513,"Mismatch","OK")</f>
        <v>OK</v>
      </c>
      <c r="Y3513" s="9" t="str">
        <f aca="false">IF(AND(N3513="No",O3513&lt;&gt;""),"Unexpected: channel present but no reminder sent",IF(AND(N3513="Yes",O3513=""),"Missing channel for sent reminder","OK"))</f>
        <v>OK</v>
      </c>
    </row>
    <row r="3514" customFormat="false" ht="15" hidden="false" customHeight="false" outlineLevel="0" collapsed="false">
      <c r="A3514" s="7" t="s">
        <v>5128</v>
      </c>
      <c r="B3514" s="7" t="s">
        <v>1028</v>
      </c>
      <c r="C3514" s="7" t="s">
        <v>47</v>
      </c>
      <c r="D3514" s="7" t="n">
        <v>40</v>
      </c>
      <c r="E3514" s="7" t="s">
        <v>38</v>
      </c>
      <c r="F3514" s="7" t="s">
        <v>39</v>
      </c>
      <c r="G3514" s="8" t="n">
        <v>45677</v>
      </c>
      <c r="H3514" s="8" t="n">
        <v>45728</v>
      </c>
      <c r="I3514" s="7" t="s">
        <v>58</v>
      </c>
      <c r="J3514" s="7" t="s">
        <v>41</v>
      </c>
      <c r="K3514" s="7" t="n">
        <v>51</v>
      </c>
      <c r="L3514" s="7" t="n">
        <v>3</v>
      </c>
      <c r="M3514" s="7" t="n">
        <v>0</v>
      </c>
      <c r="N3514" s="7" t="s">
        <v>42</v>
      </c>
      <c r="O3514" s="7" t="s">
        <v>43</v>
      </c>
      <c r="P3514" s="7" t="n">
        <v>5.4</v>
      </c>
      <c r="Q3514" s="7" t="n">
        <v>2</v>
      </c>
      <c r="R3514" s="7" t="s">
        <v>44</v>
      </c>
      <c r="S3514" s="7"/>
      <c r="T3514" s="7"/>
      <c r="U3514" s="7" t="str">
        <f aca="false">IF(COUNTIF($A$2:$A$5001,A3514)&gt;1,"Duplicate","Unique")</f>
        <v>Unique</v>
      </c>
      <c r="V3514" s="7" t="str">
        <f aca="false">IF(COUNTIFS($B$2:$B$5001,B3514,$H$2:$H$5001,H3514,$J$2:$J$5001,J3514)&gt;1,"Possible Duplicate Booking","Unique")</f>
        <v>Unique</v>
      </c>
      <c r="W3514" s="7" t="str">
        <f aca="false">IF((H3514-G3514)&lt;&gt;K3514,"Mismatch","OK")</f>
        <v>OK</v>
      </c>
      <c r="X3514" s="7" t="str">
        <f aca="false">IF(TEXT(H3514,"dddd")&lt;&gt;I3514,"Mismatch","OK")</f>
        <v>OK</v>
      </c>
      <c r="Y3514" s="7" t="str">
        <f aca="false">IF(AND(N3514="No",O3514&lt;&gt;""),"Unexpected: channel present but no reminder sent",IF(AND(N3514="Yes",O3514=""),"Missing channel for sent reminder","OK"))</f>
        <v>OK</v>
      </c>
    </row>
    <row r="3515" customFormat="false" ht="15" hidden="false" customHeight="false" outlineLevel="0" collapsed="false">
      <c r="A3515" s="9" t="s">
        <v>5129</v>
      </c>
      <c r="B3515" s="9" t="s">
        <v>244</v>
      </c>
      <c r="C3515" s="9" t="s">
        <v>37</v>
      </c>
      <c r="D3515" s="9" t="n">
        <v>68</v>
      </c>
      <c r="E3515" s="9" t="s">
        <v>70</v>
      </c>
      <c r="F3515" s="9" t="s">
        <v>57</v>
      </c>
      <c r="G3515" s="10" t="n">
        <v>45734</v>
      </c>
      <c r="H3515" s="10" t="n">
        <v>45735</v>
      </c>
      <c r="I3515" s="9" t="s">
        <v>58</v>
      </c>
      <c r="J3515" s="9" t="s">
        <v>51</v>
      </c>
      <c r="K3515" s="9" t="n">
        <v>1</v>
      </c>
      <c r="L3515" s="9" t="n">
        <v>3</v>
      </c>
      <c r="M3515" s="9" t="n">
        <v>1</v>
      </c>
      <c r="N3515" s="9" t="s">
        <v>42</v>
      </c>
      <c r="O3515" s="9" t="s">
        <v>67</v>
      </c>
      <c r="P3515" s="9" t="n">
        <v>9.1</v>
      </c>
      <c r="Q3515" s="9" t="n">
        <v>27</v>
      </c>
      <c r="R3515" s="9" t="s">
        <v>87</v>
      </c>
      <c r="S3515" s="9"/>
      <c r="T3515" s="9"/>
      <c r="U3515" s="9" t="str">
        <f aca="false">IF(COUNTIF($A$2:$A$5001,A3515)&gt;1,"Duplicate","Unique")</f>
        <v>Unique</v>
      </c>
      <c r="V3515" s="9" t="str">
        <f aca="false">IF(COUNTIFS($B$2:$B$5001,B3515,$H$2:$H$5001,H3515,$J$2:$J$5001,J3515)&gt;1,"Possible Duplicate Booking","Unique")</f>
        <v>Unique</v>
      </c>
      <c r="W3515" s="9" t="str">
        <f aca="false">IF((H3515-G3515)&lt;&gt;K3515,"Mismatch","OK")</f>
        <v>OK</v>
      </c>
      <c r="X3515" s="9" t="str">
        <f aca="false">IF(TEXT(H3515,"dddd")&lt;&gt;I3515,"Mismatch","OK")</f>
        <v>OK</v>
      </c>
      <c r="Y3515" s="9" t="str">
        <f aca="false">IF(AND(N3515="No",O3515&lt;&gt;""),"Unexpected: channel present but no reminder sent",IF(AND(N3515="Yes",O3515=""),"Missing channel for sent reminder","OK"))</f>
        <v>OK</v>
      </c>
    </row>
    <row r="3516" customFormat="false" ht="15" hidden="false" customHeight="false" outlineLevel="0" collapsed="false">
      <c r="A3516" s="7" t="s">
        <v>5130</v>
      </c>
      <c r="B3516" s="7" t="s">
        <v>1561</v>
      </c>
      <c r="C3516" s="7" t="s">
        <v>47</v>
      </c>
      <c r="D3516" s="7" t="n">
        <v>36</v>
      </c>
      <c r="E3516" s="7" t="s">
        <v>38</v>
      </c>
      <c r="F3516" s="7" t="s">
        <v>74</v>
      </c>
      <c r="G3516" s="8" t="n">
        <v>45767</v>
      </c>
      <c r="H3516" s="8" t="n">
        <v>45801</v>
      </c>
      <c r="I3516" s="7" t="s">
        <v>102</v>
      </c>
      <c r="J3516" s="7" t="s">
        <v>41</v>
      </c>
      <c r="K3516" s="7" t="n">
        <v>34</v>
      </c>
      <c r="L3516" s="7" t="n">
        <v>3</v>
      </c>
      <c r="M3516" s="7" t="n">
        <v>0</v>
      </c>
      <c r="N3516" s="7" t="s">
        <v>42</v>
      </c>
      <c r="O3516" s="7" t="s">
        <v>52</v>
      </c>
      <c r="P3516" s="7" t="n">
        <v>12</v>
      </c>
      <c r="Q3516" s="7" t="n">
        <v>38</v>
      </c>
      <c r="R3516" s="7" t="s">
        <v>53</v>
      </c>
      <c r="S3516" s="7"/>
      <c r="T3516" s="7"/>
      <c r="U3516" s="7" t="str">
        <f aca="false">IF(COUNTIF($A$2:$A$5001,A3516)&gt;1,"Duplicate","Unique")</f>
        <v>Unique</v>
      </c>
      <c r="V3516" s="7" t="str">
        <f aca="false">IF(COUNTIFS($B$2:$B$5001,B3516,$H$2:$H$5001,H3516,$J$2:$J$5001,J3516)&gt;1,"Possible Duplicate Booking","Unique")</f>
        <v>Unique</v>
      </c>
      <c r="W3516" s="7" t="str">
        <f aca="false">IF((H3516-G3516)&lt;&gt;K3516,"Mismatch","OK")</f>
        <v>OK</v>
      </c>
      <c r="X3516" s="7" t="str">
        <f aca="false">IF(TEXT(H3516,"dddd")&lt;&gt;I3516,"Mismatch","OK")</f>
        <v>OK</v>
      </c>
      <c r="Y3516" s="7" t="str">
        <f aca="false">IF(AND(N3516="No",O3516&lt;&gt;""),"Unexpected: channel present but no reminder sent",IF(AND(N3516="Yes",O3516=""),"Missing channel for sent reminder","OK"))</f>
        <v>OK</v>
      </c>
    </row>
    <row r="3517" customFormat="false" ht="15" hidden="false" customHeight="false" outlineLevel="0" collapsed="false">
      <c r="A3517" s="9" t="s">
        <v>5131</v>
      </c>
      <c r="B3517" s="9" t="s">
        <v>5132</v>
      </c>
      <c r="C3517" s="9" t="s">
        <v>37</v>
      </c>
      <c r="D3517" s="9" t="n">
        <v>73</v>
      </c>
      <c r="E3517" s="9" t="s">
        <v>70</v>
      </c>
      <c r="F3517" s="9" t="s">
        <v>39</v>
      </c>
      <c r="G3517" s="10" t="n">
        <v>46160</v>
      </c>
      <c r="H3517" s="10" t="n">
        <v>46188</v>
      </c>
      <c r="I3517" s="9" t="s">
        <v>66</v>
      </c>
      <c r="J3517" s="9" t="s">
        <v>51</v>
      </c>
      <c r="K3517" s="9" t="n">
        <v>28</v>
      </c>
      <c r="L3517" s="9" t="n">
        <v>4</v>
      </c>
      <c r="M3517" s="9" t="n">
        <v>0</v>
      </c>
      <c r="N3517" s="9" t="s">
        <v>71</v>
      </c>
      <c r="O3517" s="9"/>
      <c r="P3517" s="9" t="n">
        <v>2.8</v>
      </c>
      <c r="Q3517" s="9" t="n">
        <v>17</v>
      </c>
      <c r="R3517" s="9" t="s">
        <v>53</v>
      </c>
      <c r="S3517" s="9"/>
      <c r="T3517" s="9"/>
      <c r="U3517" s="9" t="str">
        <f aca="false">IF(COUNTIF($A$2:$A$5001,A3517)&gt;1,"Duplicate","Unique")</f>
        <v>Unique</v>
      </c>
      <c r="V3517" s="9" t="str">
        <f aca="false">IF(COUNTIFS($B$2:$B$5001,B3517,$H$2:$H$5001,H3517,$J$2:$J$5001,J3517)&gt;1,"Possible Duplicate Booking","Unique")</f>
        <v>Unique</v>
      </c>
      <c r="W3517" s="9" t="str">
        <f aca="false">IF((H3517-G3517)&lt;&gt;K3517,"Mismatch","OK")</f>
        <v>OK</v>
      </c>
      <c r="X3517" s="9" t="str">
        <f aca="false">IF(TEXT(H3517,"dddd")&lt;&gt;I3517,"Mismatch","OK")</f>
        <v>OK</v>
      </c>
      <c r="Y3517" s="9" t="str">
        <f aca="false">IF(AND(N3517="No",O3517&lt;&gt;""),"Unexpected: channel present but no reminder sent",IF(AND(N3517="Yes",O3517=""),"Missing channel for sent reminder","OK"))</f>
        <v>OK</v>
      </c>
    </row>
    <row r="3518" customFormat="false" ht="15" hidden="false" customHeight="false" outlineLevel="0" collapsed="false">
      <c r="A3518" s="7" t="s">
        <v>5133</v>
      </c>
      <c r="B3518" s="7" t="s">
        <v>1273</v>
      </c>
      <c r="C3518" s="7" t="s">
        <v>37</v>
      </c>
      <c r="D3518" s="7" t="n">
        <v>35</v>
      </c>
      <c r="E3518" s="7" t="s">
        <v>38</v>
      </c>
      <c r="F3518" s="7" t="s">
        <v>39</v>
      </c>
      <c r="G3518" s="8" t="n">
        <v>45720</v>
      </c>
      <c r="H3518" s="8" t="n">
        <v>45750</v>
      </c>
      <c r="I3518" s="7" t="s">
        <v>62</v>
      </c>
      <c r="J3518" s="7" t="s">
        <v>51</v>
      </c>
      <c r="K3518" s="7" t="n">
        <v>30</v>
      </c>
      <c r="L3518" s="7" t="n">
        <v>4</v>
      </c>
      <c r="M3518" s="7" t="n">
        <v>1</v>
      </c>
      <c r="N3518" s="7" t="s">
        <v>42</v>
      </c>
      <c r="O3518" s="7" t="s">
        <v>52</v>
      </c>
      <c r="P3518" s="7" t="n">
        <v>22.7</v>
      </c>
      <c r="Q3518" s="7" t="n">
        <v>13</v>
      </c>
      <c r="R3518" s="7" t="s">
        <v>53</v>
      </c>
      <c r="S3518" s="7"/>
      <c r="T3518" s="7"/>
      <c r="U3518" s="7" t="str">
        <f aca="false">IF(COUNTIF($A$2:$A$5001,A3518)&gt;1,"Duplicate","Unique")</f>
        <v>Unique</v>
      </c>
      <c r="V3518" s="7" t="str">
        <f aca="false">IF(COUNTIFS($B$2:$B$5001,B3518,$H$2:$H$5001,H3518,$J$2:$J$5001,J3518)&gt;1,"Possible Duplicate Booking","Unique")</f>
        <v>Unique</v>
      </c>
      <c r="W3518" s="7" t="str">
        <f aca="false">IF((H3518-G3518)&lt;&gt;K3518,"Mismatch","OK")</f>
        <v>OK</v>
      </c>
      <c r="X3518" s="7" t="str">
        <f aca="false">IF(TEXT(H3518,"dddd")&lt;&gt;I3518,"Mismatch","OK")</f>
        <v>OK</v>
      </c>
      <c r="Y3518" s="7" t="str">
        <f aca="false">IF(AND(N3518="No",O3518&lt;&gt;""),"Unexpected: channel present but no reminder sent",IF(AND(N3518="Yes",O3518=""),"Missing channel for sent reminder","OK"))</f>
        <v>OK</v>
      </c>
    </row>
    <row r="3519" customFormat="false" ht="15" hidden="false" customHeight="false" outlineLevel="0" collapsed="false">
      <c r="A3519" s="9" t="s">
        <v>5134</v>
      </c>
      <c r="B3519" s="9" t="s">
        <v>514</v>
      </c>
      <c r="C3519" s="9" t="s">
        <v>47</v>
      </c>
      <c r="D3519" s="9" t="n">
        <v>44</v>
      </c>
      <c r="E3519" s="9" t="s">
        <v>38</v>
      </c>
      <c r="F3519" s="9" t="s">
        <v>57</v>
      </c>
      <c r="G3519" s="10" t="n">
        <v>46092</v>
      </c>
      <c r="H3519" s="10" t="n">
        <v>46150</v>
      </c>
      <c r="I3519" s="9" t="s">
        <v>50</v>
      </c>
      <c r="J3519" s="9" t="s">
        <v>41</v>
      </c>
      <c r="K3519" s="9" t="n">
        <v>58</v>
      </c>
      <c r="L3519" s="9" t="n">
        <v>1</v>
      </c>
      <c r="M3519" s="9" t="n">
        <v>1</v>
      </c>
      <c r="N3519" s="9" t="s">
        <v>42</v>
      </c>
      <c r="O3519" s="9" t="s">
        <v>52</v>
      </c>
      <c r="P3519" s="9" t="n">
        <v>9.3</v>
      </c>
      <c r="Q3519" s="9" t="n">
        <v>10</v>
      </c>
      <c r="R3519" s="9" t="s">
        <v>44</v>
      </c>
      <c r="S3519" s="9"/>
      <c r="T3519" s="9"/>
      <c r="U3519" s="9" t="str">
        <f aca="false">IF(COUNTIF($A$2:$A$5001,A3519)&gt;1,"Duplicate","Unique")</f>
        <v>Unique</v>
      </c>
      <c r="V3519" s="9" t="str">
        <f aca="false">IF(COUNTIFS($B$2:$B$5001,B3519,$H$2:$H$5001,H3519,$J$2:$J$5001,J3519)&gt;1,"Possible Duplicate Booking","Unique")</f>
        <v>Unique</v>
      </c>
      <c r="W3519" s="9" t="str">
        <f aca="false">IF((H3519-G3519)&lt;&gt;K3519,"Mismatch","OK")</f>
        <v>OK</v>
      </c>
      <c r="X3519" s="9" t="str">
        <f aca="false">IF(TEXT(H3519,"dddd")&lt;&gt;I3519,"Mismatch","OK")</f>
        <v>OK</v>
      </c>
      <c r="Y3519" s="9" t="str">
        <f aca="false">IF(AND(N3519="No",O3519&lt;&gt;""),"Unexpected: channel present but no reminder sent",IF(AND(N3519="Yes",O3519=""),"Missing channel for sent reminder","OK"))</f>
        <v>OK</v>
      </c>
    </row>
    <row r="3520" customFormat="false" ht="15" hidden="false" customHeight="false" outlineLevel="0" collapsed="false">
      <c r="A3520" s="7" t="s">
        <v>5135</v>
      </c>
      <c r="B3520" s="7" t="s">
        <v>4317</v>
      </c>
      <c r="C3520" s="7" t="s">
        <v>37</v>
      </c>
      <c r="D3520" s="7" t="n">
        <v>74</v>
      </c>
      <c r="E3520" s="7" t="s">
        <v>70</v>
      </c>
      <c r="F3520" s="7" t="s">
        <v>57</v>
      </c>
      <c r="G3520" s="8" t="n">
        <v>45972</v>
      </c>
      <c r="H3520" s="8" t="n">
        <v>46028</v>
      </c>
      <c r="I3520" s="7" t="s">
        <v>40</v>
      </c>
      <c r="J3520" s="7" t="s">
        <v>41</v>
      </c>
      <c r="K3520" s="7" t="n">
        <v>56</v>
      </c>
      <c r="L3520" s="7" t="n">
        <v>6</v>
      </c>
      <c r="M3520" s="7" t="n">
        <v>0</v>
      </c>
      <c r="N3520" s="7" t="s">
        <v>42</v>
      </c>
      <c r="O3520" s="7" t="s">
        <v>43</v>
      </c>
      <c r="P3520" s="7" t="n">
        <v>28.8</v>
      </c>
      <c r="Q3520" s="7" t="n">
        <v>25</v>
      </c>
      <c r="R3520" s="7" t="s">
        <v>44</v>
      </c>
      <c r="S3520" s="7"/>
      <c r="T3520" s="7"/>
      <c r="U3520" s="7" t="str">
        <f aca="false">IF(COUNTIF($A$2:$A$5001,A3520)&gt;1,"Duplicate","Unique")</f>
        <v>Unique</v>
      </c>
      <c r="V3520" s="7" t="str">
        <f aca="false">IF(COUNTIFS($B$2:$B$5001,B3520,$H$2:$H$5001,H3520,$J$2:$J$5001,J3520)&gt;1,"Possible Duplicate Booking","Unique")</f>
        <v>Unique</v>
      </c>
      <c r="W3520" s="7" t="str">
        <f aca="false">IF((H3520-G3520)&lt;&gt;K3520,"Mismatch","OK")</f>
        <v>OK</v>
      </c>
      <c r="X3520" s="7" t="str">
        <f aca="false">IF(TEXT(H3520,"dddd")&lt;&gt;I3520,"Mismatch","OK")</f>
        <v>OK</v>
      </c>
      <c r="Y3520" s="7" t="str">
        <f aca="false">IF(AND(N3520="No",O3520&lt;&gt;""),"Unexpected: channel present but no reminder sent",IF(AND(N3520="Yes",O3520=""),"Missing channel for sent reminder","OK"))</f>
        <v>OK</v>
      </c>
    </row>
    <row r="3521" customFormat="false" ht="15" hidden="false" customHeight="false" outlineLevel="0" collapsed="false">
      <c r="A3521" s="9" t="s">
        <v>5136</v>
      </c>
      <c r="B3521" s="9" t="s">
        <v>2444</v>
      </c>
      <c r="C3521" s="9" t="s">
        <v>37</v>
      </c>
      <c r="D3521" s="9" t="n">
        <v>33</v>
      </c>
      <c r="E3521" s="9" t="s">
        <v>48</v>
      </c>
      <c r="F3521" s="9" t="s">
        <v>39</v>
      </c>
      <c r="G3521" s="10" t="n">
        <v>46144</v>
      </c>
      <c r="H3521" s="10" t="n">
        <v>46161</v>
      </c>
      <c r="I3521" s="9" t="s">
        <v>40</v>
      </c>
      <c r="J3521" s="9" t="s">
        <v>63</v>
      </c>
      <c r="K3521" s="9" t="n">
        <v>17</v>
      </c>
      <c r="L3521" s="9" t="n">
        <v>2</v>
      </c>
      <c r="M3521" s="9" t="n">
        <v>1</v>
      </c>
      <c r="N3521" s="9" t="s">
        <v>42</v>
      </c>
      <c r="O3521" s="9" t="s">
        <v>52</v>
      </c>
      <c r="P3521" s="9" t="n">
        <v>3.2</v>
      </c>
      <c r="Q3521" s="9" t="n">
        <v>16</v>
      </c>
      <c r="R3521" s="9" t="s">
        <v>53</v>
      </c>
      <c r="S3521" s="9"/>
      <c r="T3521" s="9"/>
      <c r="U3521" s="9" t="str">
        <f aca="false">IF(COUNTIF($A$2:$A$5001,A3521)&gt;1,"Duplicate","Unique")</f>
        <v>Unique</v>
      </c>
      <c r="V3521" s="9" t="str">
        <f aca="false">IF(COUNTIFS($B$2:$B$5001,B3521,$H$2:$H$5001,H3521,$J$2:$J$5001,J3521)&gt;1,"Possible Duplicate Booking","Unique")</f>
        <v>Unique</v>
      </c>
      <c r="W3521" s="9" t="str">
        <f aca="false">IF((H3521-G3521)&lt;&gt;K3521,"Mismatch","OK")</f>
        <v>OK</v>
      </c>
      <c r="X3521" s="9" t="str">
        <f aca="false">IF(TEXT(H3521,"dddd")&lt;&gt;I3521,"Mismatch","OK")</f>
        <v>OK</v>
      </c>
      <c r="Y3521" s="9" t="str">
        <f aca="false">IF(AND(N3521="No",O3521&lt;&gt;""),"Unexpected: channel present but no reminder sent",IF(AND(N3521="Yes",O3521=""),"Missing channel for sent reminder","OK"))</f>
        <v>OK</v>
      </c>
    </row>
    <row r="3522" customFormat="false" ht="15" hidden="false" customHeight="false" outlineLevel="0" collapsed="false">
      <c r="A3522" s="7" t="s">
        <v>5137</v>
      </c>
      <c r="B3522" s="7" t="s">
        <v>334</v>
      </c>
      <c r="C3522" s="7" t="s">
        <v>47</v>
      </c>
      <c r="D3522" s="7" t="n">
        <v>78</v>
      </c>
      <c r="E3522" s="7" t="s">
        <v>70</v>
      </c>
      <c r="F3522" s="7" t="s">
        <v>39</v>
      </c>
      <c r="G3522" s="8" t="n">
        <v>46074</v>
      </c>
      <c r="H3522" s="8" t="n">
        <v>46109</v>
      </c>
      <c r="I3522" s="7" t="s">
        <v>102</v>
      </c>
      <c r="J3522" s="7" t="s">
        <v>51</v>
      </c>
      <c r="K3522" s="7" t="n">
        <v>35</v>
      </c>
      <c r="L3522" s="7" t="n">
        <v>0</v>
      </c>
      <c r="M3522" s="7" t="n">
        <v>0</v>
      </c>
      <c r="N3522" s="7" t="s">
        <v>42</v>
      </c>
      <c r="O3522" s="7" t="s">
        <v>67</v>
      </c>
      <c r="P3522" s="7" t="n">
        <v>4.6</v>
      </c>
      <c r="Q3522" s="7" t="n">
        <v>8</v>
      </c>
      <c r="R3522" s="7" t="s">
        <v>44</v>
      </c>
      <c r="S3522" s="7"/>
      <c r="T3522" s="7"/>
      <c r="U3522" s="7" t="str">
        <f aca="false">IF(COUNTIF($A$2:$A$5001,A3522)&gt;1,"Duplicate","Unique")</f>
        <v>Unique</v>
      </c>
      <c r="V3522" s="7" t="str">
        <f aca="false">IF(COUNTIFS($B$2:$B$5001,B3522,$H$2:$H$5001,H3522,$J$2:$J$5001,J3522)&gt;1,"Possible Duplicate Booking","Unique")</f>
        <v>Unique</v>
      </c>
      <c r="W3522" s="7" t="str">
        <f aca="false">IF((H3522-G3522)&lt;&gt;K3522,"Mismatch","OK")</f>
        <v>OK</v>
      </c>
      <c r="X3522" s="7" t="str">
        <f aca="false">IF(TEXT(H3522,"dddd")&lt;&gt;I3522,"Mismatch","OK")</f>
        <v>OK</v>
      </c>
      <c r="Y3522" s="7" t="str">
        <f aca="false">IF(AND(N3522="No",O3522&lt;&gt;""),"Unexpected: channel present but no reminder sent",IF(AND(N3522="Yes",O3522=""),"Missing channel for sent reminder","OK"))</f>
        <v>OK</v>
      </c>
    </row>
    <row r="3523" customFormat="false" ht="15" hidden="false" customHeight="false" outlineLevel="0" collapsed="false">
      <c r="A3523" s="9" t="s">
        <v>5138</v>
      </c>
      <c r="B3523" s="9" t="s">
        <v>120</v>
      </c>
      <c r="C3523" s="9" t="s">
        <v>236</v>
      </c>
      <c r="D3523" s="9" t="n">
        <v>20</v>
      </c>
      <c r="E3523" s="9" t="s">
        <v>82</v>
      </c>
      <c r="F3523" s="9" t="s">
        <v>74</v>
      </c>
      <c r="G3523" s="10" t="n">
        <v>45781</v>
      </c>
      <c r="H3523" s="10" t="n">
        <v>45839</v>
      </c>
      <c r="I3523" s="9" t="s">
        <v>40</v>
      </c>
      <c r="J3523" s="9" t="s">
        <v>41</v>
      </c>
      <c r="K3523" s="9" t="n">
        <v>58</v>
      </c>
      <c r="L3523" s="9" t="n">
        <v>3</v>
      </c>
      <c r="M3523" s="9" t="n">
        <v>0</v>
      </c>
      <c r="N3523" s="9" t="s">
        <v>71</v>
      </c>
      <c r="O3523" s="9"/>
      <c r="P3523" s="9" t="n">
        <v>12.9</v>
      </c>
      <c r="Q3523" s="9" t="n">
        <v>42</v>
      </c>
      <c r="R3523" s="9" t="s">
        <v>44</v>
      </c>
      <c r="S3523" s="9"/>
      <c r="T3523" s="9"/>
      <c r="U3523" s="9" t="str">
        <f aca="false">IF(COUNTIF($A$2:$A$5001,A3523)&gt;1,"Duplicate","Unique")</f>
        <v>Unique</v>
      </c>
      <c r="V3523" s="9" t="str">
        <f aca="false">IF(COUNTIFS($B$2:$B$5001,B3523,$H$2:$H$5001,H3523,$J$2:$J$5001,J3523)&gt;1,"Possible Duplicate Booking","Unique")</f>
        <v>Unique</v>
      </c>
      <c r="W3523" s="9" t="str">
        <f aca="false">IF((H3523-G3523)&lt;&gt;K3523,"Mismatch","OK")</f>
        <v>OK</v>
      </c>
      <c r="X3523" s="9" t="str">
        <f aca="false">IF(TEXT(H3523,"dddd")&lt;&gt;I3523,"Mismatch","OK")</f>
        <v>OK</v>
      </c>
      <c r="Y3523" s="9" t="str">
        <f aca="false">IF(AND(N3523="No",O3523&lt;&gt;""),"Unexpected: channel present but no reminder sent",IF(AND(N3523="Yes",O3523=""),"Missing channel for sent reminder","OK"))</f>
        <v>OK</v>
      </c>
    </row>
    <row r="3524" customFormat="false" ht="15" hidden="false" customHeight="false" outlineLevel="0" collapsed="false">
      <c r="A3524" s="7" t="s">
        <v>5139</v>
      </c>
      <c r="B3524" s="7" t="s">
        <v>5140</v>
      </c>
      <c r="C3524" s="7" t="s">
        <v>37</v>
      </c>
      <c r="D3524" s="7" t="n">
        <v>34</v>
      </c>
      <c r="E3524" s="7" t="s">
        <v>48</v>
      </c>
      <c r="F3524" s="7" t="s">
        <v>74</v>
      </c>
      <c r="G3524" s="8" t="n">
        <v>46066</v>
      </c>
      <c r="H3524" s="8" t="n">
        <v>46110</v>
      </c>
      <c r="I3524" s="7" t="s">
        <v>75</v>
      </c>
      <c r="J3524" s="7" t="s">
        <v>63</v>
      </c>
      <c r="K3524" s="7" t="n">
        <v>44</v>
      </c>
      <c r="L3524" s="7" t="n">
        <v>3</v>
      </c>
      <c r="M3524" s="7" t="n">
        <v>1</v>
      </c>
      <c r="N3524" s="7" t="s">
        <v>71</v>
      </c>
      <c r="O3524" s="7"/>
      <c r="P3524" s="7" t="n">
        <v>7.1</v>
      </c>
      <c r="Q3524" s="7" t="n">
        <v>26</v>
      </c>
      <c r="R3524" s="7" t="s">
        <v>44</v>
      </c>
      <c r="S3524" s="7"/>
      <c r="T3524" s="7"/>
      <c r="U3524" s="7" t="str">
        <f aca="false">IF(COUNTIF($A$2:$A$5001,A3524)&gt;1,"Duplicate","Unique")</f>
        <v>Unique</v>
      </c>
      <c r="V3524" s="7" t="str">
        <f aca="false">IF(COUNTIFS($B$2:$B$5001,B3524,$H$2:$H$5001,H3524,$J$2:$J$5001,J3524)&gt;1,"Possible Duplicate Booking","Unique")</f>
        <v>Unique</v>
      </c>
      <c r="W3524" s="7" t="str">
        <f aca="false">IF((H3524-G3524)&lt;&gt;K3524,"Mismatch","OK")</f>
        <v>OK</v>
      </c>
      <c r="X3524" s="7" t="str">
        <f aca="false">IF(TEXT(H3524,"dddd")&lt;&gt;I3524,"Mismatch","OK")</f>
        <v>OK</v>
      </c>
      <c r="Y3524" s="7" t="str">
        <f aca="false">IF(AND(N3524="No",O3524&lt;&gt;""),"Unexpected: channel present but no reminder sent",IF(AND(N3524="Yes",O3524=""),"Missing channel for sent reminder","OK"))</f>
        <v>OK</v>
      </c>
    </row>
    <row r="3525" customFormat="false" ht="15" hidden="false" customHeight="false" outlineLevel="0" collapsed="false">
      <c r="A3525" s="9" t="s">
        <v>5141</v>
      </c>
      <c r="B3525" s="9" t="s">
        <v>508</v>
      </c>
      <c r="C3525" s="9" t="s">
        <v>47</v>
      </c>
      <c r="D3525" s="9" t="n">
        <v>55</v>
      </c>
      <c r="E3525" s="9" t="s">
        <v>61</v>
      </c>
      <c r="F3525" s="9" t="s">
        <v>49</v>
      </c>
      <c r="G3525" s="10" t="n">
        <v>45696</v>
      </c>
      <c r="H3525" s="10" t="n">
        <v>45750</v>
      </c>
      <c r="I3525" s="9" t="s">
        <v>62</v>
      </c>
      <c r="J3525" s="9" t="s">
        <v>41</v>
      </c>
      <c r="K3525" s="9" t="n">
        <v>54</v>
      </c>
      <c r="L3525" s="9" t="n">
        <v>3</v>
      </c>
      <c r="M3525" s="9" t="n">
        <v>0</v>
      </c>
      <c r="N3525" s="9" t="s">
        <v>71</v>
      </c>
      <c r="O3525" s="9"/>
      <c r="P3525" s="9" t="n">
        <v>17.1</v>
      </c>
      <c r="Q3525" s="9" t="n">
        <v>18</v>
      </c>
      <c r="R3525" s="9" t="s">
        <v>44</v>
      </c>
      <c r="S3525" s="9"/>
      <c r="T3525" s="9"/>
      <c r="U3525" s="9" t="str">
        <f aca="false">IF(COUNTIF($A$2:$A$5001,A3525)&gt;1,"Duplicate","Unique")</f>
        <v>Unique</v>
      </c>
      <c r="V3525" s="9" t="str">
        <f aca="false">IF(COUNTIFS($B$2:$B$5001,B3525,$H$2:$H$5001,H3525,$J$2:$J$5001,J3525)&gt;1,"Possible Duplicate Booking","Unique")</f>
        <v>Unique</v>
      </c>
      <c r="W3525" s="9" t="str">
        <f aca="false">IF((H3525-G3525)&lt;&gt;K3525,"Mismatch","OK")</f>
        <v>OK</v>
      </c>
      <c r="X3525" s="9" t="str">
        <f aca="false">IF(TEXT(H3525,"dddd")&lt;&gt;I3525,"Mismatch","OK")</f>
        <v>OK</v>
      </c>
      <c r="Y3525" s="9" t="str">
        <f aca="false">IF(AND(N3525="No",O3525&lt;&gt;""),"Unexpected: channel present but no reminder sent",IF(AND(N3525="Yes",O3525=""),"Missing channel for sent reminder","OK"))</f>
        <v>OK</v>
      </c>
    </row>
    <row r="3526" customFormat="false" ht="15" hidden="false" customHeight="false" outlineLevel="0" collapsed="false">
      <c r="A3526" s="7" t="s">
        <v>5142</v>
      </c>
      <c r="B3526" s="7" t="s">
        <v>3187</v>
      </c>
      <c r="C3526" s="7" t="s">
        <v>47</v>
      </c>
      <c r="D3526" s="7" t="n">
        <v>55</v>
      </c>
      <c r="E3526" s="7" t="s">
        <v>61</v>
      </c>
      <c r="F3526" s="7" t="s">
        <v>57</v>
      </c>
      <c r="G3526" s="8" t="n">
        <v>45790</v>
      </c>
      <c r="H3526" s="8" t="n">
        <v>45816</v>
      </c>
      <c r="I3526" s="7" t="s">
        <v>75</v>
      </c>
      <c r="J3526" s="7" t="s">
        <v>63</v>
      </c>
      <c r="K3526" s="7" t="n">
        <v>26</v>
      </c>
      <c r="L3526" s="7" t="n">
        <v>4</v>
      </c>
      <c r="M3526" s="7" t="n">
        <v>1</v>
      </c>
      <c r="N3526" s="7" t="s">
        <v>42</v>
      </c>
      <c r="O3526" s="7" t="s">
        <v>43</v>
      </c>
      <c r="P3526" s="7" t="n">
        <v>9.7</v>
      </c>
      <c r="Q3526" s="7" t="n">
        <v>42</v>
      </c>
      <c r="R3526" s="7" t="s">
        <v>53</v>
      </c>
      <c r="S3526" s="7"/>
      <c r="T3526" s="7"/>
      <c r="U3526" s="7" t="str">
        <f aca="false">IF(COUNTIF($A$2:$A$5001,A3526)&gt;1,"Duplicate","Unique")</f>
        <v>Unique</v>
      </c>
      <c r="V3526" s="7" t="str">
        <f aca="false">IF(COUNTIFS($B$2:$B$5001,B3526,$H$2:$H$5001,H3526,$J$2:$J$5001,J3526)&gt;1,"Possible Duplicate Booking","Unique")</f>
        <v>Unique</v>
      </c>
      <c r="W3526" s="7" t="str">
        <f aca="false">IF((H3526-G3526)&lt;&gt;K3526,"Mismatch","OK")</f>
        <v>OK</v>
      </c>
      <c r="X3526" s="7" t="str">
        <f aca="false">IF(TEXT(H3526,"dddd")&lt;&gt;I3526,"Mismatch","OK")</f>
        <v>OK</v>
      </c>
      <c r="Y3526" s="7" t="str">
        <f aca="false">IF(AND(N3526="No",O3526&lt;&gt;""),"Unexpected: channel present but no reminder sent",IF(AND(N3526="Yes",O3526=""),"Missing channel for sent reminder","OK"))</f>
        <v>OK</v>
      </c>
    </row>
    <row r="3527" customFormat="false" ht="15" hidden="false" customHeight="false" outlineLevel="0" collapsed="false">
      <c r="A3527" s="9" t="s">
        <v>5143</v>
      </c>
      <c r="B3527" s="9" t="s">
        <v>4284</v>
      </c>
      <c r="C3527" s="9" t="s">
        <v>37</v>
      </c>
      <c r="D3527" s="9" t="n">
        <v>75</v>
      </c>
      <c r="E3527" s="9" t="s">
        <v>70</v>
      </c>
      <c r="F3527" s="9" t="s">
        <v>49</v>
      </c>
      <c r="G3527" s="10" t="n">
        <v>45756</v>
      </c>
      <c r="H3527" s="10" t="n">
        <v>45773</v>
      </c>
      <c r="I3527" s="9" t="s">
        <v>102</v>
      </c>
      <c r="J3527" s="9" t="s">
        <v>63</v>
      </c>
      <c r="K3527" s="9" t="n">
        <v>17</v>
      </c>
      <c r="L3527" s="9" t="n">
        <v>5</v>
      </c>
      <c r="M3527" s="9" t="n">
        <v>2</v>
      </c>
      <c r="N3527" s="9" t="s">
        <v>42</v>
      </c>
      <c r="O3527" s="9" t="s">
        <v>52</v>
      </c>
      <c r="P3527" s="9" t="n">
        <v>9.4</v>
      </c>
      <c r="Q3527" s="9" t="n">
        <v>27</v>
      </c>
      <c r="R3527" s="9" t="s">
        <v>53</v>
      </c>
      <c r="S3527" s="9"/>
      <c r="T3527" s="9"/>
      <c r="U3527" s="9" t="str">
        <f aca="false">IF(COUNTIF($A$2:$A$5001,A3527)&gt;1,"Duplicate","Unique")</f>
        <v>Unique</v>
      </c>
      <c r="V3527" s="9" t="str">
        <f aca="false">IF(COUNTIFS($B$2:$B$5001,B3527,$H$2:$H$5001,H3527,$J$2:$J$5001,J3527)&gt;1,"Possible Duplicate Booking","Unique")</f>
        <v>Unique</v>
      </c>
      <c r="W3527" s="9" t="str">
        <f aca="false">IF((H3527-G3527)&lt;&gt;K3527,"Mismatch","OK")</f>
        <v>OK</v>
      </c>
      <c r="X3527" s="9" t="str">
        <f aca="false">IF(TEXT(H3527,"dddd")&lt;&gt;I3527,"Mismatch","OK")</f>
        <v>OK</v>
      </c>
      <c r="Y3527" s="9" t="str">
        <f aca="false">IF(AND(N3527="No",O3527&lt;&gt;""),"Unexpected: channel present but no reminder sent",IF(AND(N3527="Yes",O3527=""),"Missing channel for sent reminder","OK"))</f>
        <v>OK</v>
      </c>
    </row>
    <row r="3528" customFormat="false" ht="15" hidden="false" customHeight="false" outlineLevel="0" collapsed="false">
      <c r="A3528" s="7" t="s">
        <v>5144</v>
      </c>
      <c r="B3528" s="7" t="s">
        <v>848</v>
      </c>
      <c r="C3528" s="7" t="s">
        <v>47</v>
      </c>
      <c r="D3528" s="7" t="n">
        <v>78</v>
      </c>
      <c r="E3528" s="7" t="s">
        <v>70</v>
      </c>
      <c r="F3528" s="7" t="s">
        <v>57</v>
      </c>
      <c r="G3528" s="8" t="n">
        <v>45699</v>
      </c>
      <c r="H3528" s="8" t="n">
        <v>45730</v>
      </c>
      <c r="I3528" s="7" t="s">
        <v>50</v>
      </c>
      <c r="J3528" s="7" t="s">
        <v>41</v>
      </c>
      <c r="K3528" s="7" t="n">
        <v>31</v>
      </c>
      <c r="L3528" s="7" t="n">
        <v>2</v>
      </c>
      <c r="M3528" s="7" t="n">
        <v>0</v>
      </c>
      <c r="N3528" s="7" t="s">
        <v>42</v>
      </c>
      <c r="O3528" s="7" t="s">
        <v>43</v>
      </c>
      <c r="P3528" s="7" t="n">
        <v>9.2</v>
      </c>
      <c r="Q3528" s="7" t="n">
        <v>23</v>
      </c>
      <c r="R3528" s="7" t="s">
        <v>53</v>
      </c>
      <c r="S3528" s="7"/>
      <c r="T3528" s="7"/>
      <c r="U3528" s="7" t="str">
        <f aca="false">IF(COUNTIF($A$2:$A$5001,A3528)&gt;1,"Duplicate","Unique")</f>
        <v>Unique</v>
      </c>
      <c r="V3528" s="7" t="str">
        <f aca="false">IF(COUNTIFS($B$2:$B$5001,B3528,$H$2:$H$5001,H3528,$J$2:$J$5001,J3528)&gt;1,"Possible Duplicate Booking","Unique")</f>
        <v>Unique</v>
      </c>
      <c r="W3528" s="7" t="str">
        <f aca="false">IF((H3528-G3528)&lt;&gt;K3528,"Mismatch","OK")</f>
        <v>OK</v>
      </c>
      <c r="X3528" s="7" t="str">
        <f aca="false">IF(TEXT(H3528,"dddd")&lt;&gt;I3528,"Mismatch","OK")</f>
        <v>OK</v>
      </c>
      <c r="Y3528" s="7" t="str">
        <f aca="false">IF(AND(N3528="No",O3528&lt;&gt;""),"Unexpected: channel present but no reminder sent",IF(AND(N3528="Yes",O3528=""),"Missing channel for sent reminder","OK"))</f>
        <v>OK</v>
      </c>
    </row>
    <row r="3529" customFormat="false" ht="15" hidden="false" customHeight="false" outlineLevel="0" collapsed="false">
      <c r="A3529" s="9" t="s">
        <v>5145</v>
      </c>
      <c r="B3529" s="9" t="s">
        <v>4802</v>
      </c>
      <c r="C3529" s="9" t="s">
        <v>47</v>
      </c>
      <c r="D3529" s="9" t="n">
        <v>60</v>
      </c>
      <c r="E3529" s="9" t="s">
        <v>61</v>
      </c>
      <c r="F3529" s="9" t="s">
        <v>49</v>
      </c>
      <c r="G3529" s="10" t="n">
        <v>45658</v>
      </c>
      <c r="H3529" s="10" t="n">
        <v>45707</v>
      </c>
      <c r="I3529" s="9" t="s">
        <v>58</v>
      </c>
      <c r="J3529" s="9" t="s">
        <v>63</v>
      </c>
      <c r="K3529" s="9" t="n">
        <v>49</v>
      </c>
      <c r="L3529" s="9" t="n">
        <v>2</v>
      </c>
      <c r="M3529" s="9" t="n">
        <v>1</v>
      </c>
      <c r="N3529" s="9" t="s">
        <v>71</v>
      </c>
      <c r="O3529" s="9"/>
      <c r="P3529" s="9" t="n">
        <v>3.5</v>
      </c>
      <c r="Q3529" s="9" t="n">
        <v>26</v>
      </c>
      <c r="R3529" s="9" t="s">
        <v>44</v>
      </c>
      <c r="S3529" s="9"/>
      <c r="T3529" s="9"/>
      <c r="U3529" s="9" t="str">
        <f aca="false">IF(COUNTIF($A$2:$A$5001,A3529)&gt;1,"Duplicate","Unique")</f>
        <v>Unique</v>
      </c>
      <c r="V3529" s="9" t="str">
        <f aca="false">IF(COUNTIFS($B$2:$B$5001,B3529,$H$2:$H$5001,H3529,$J$2:$J$5001,J3529)&gt;1,"Possible Duplicate Booking","Unique")</f>
        <v>Unique</v>
      </c>
      <c r="W3529" s="9" t="str">
        <f aca="false">IF((H3529-G3529)&lt;&gt;K3529,"Mismatch","OK")</f>
        <v>OK</v>
      </c>
      <c r="X3529" s="9" t="str">
        <f aca="false">IF(TEXT(H3529,"dddd")&lt;&gt;I3529,"Mismatch","OK")</f>
        <v>OK</v>
      </c>
      <c r="Y3529" s="9" t="str">
        <f aca="false">IF(AND(N3529="No",O3529&lt;&gt;""),"Unexpected: channel present but no reminder sent",IF(AND(N3529="Yes",O3529=""),"Missing channel for sent reminder","OK"))</f>
        <v>OK</v>
      </c>
    </row>
    <row r="3530" customFormat="false" ht="15" hidden="false" customHeight="false" outlineLevel="0" collapsed="false">
      <c r="A3530" s="7" t="s">
        <v>5146</v>
      </c>
      <c r="B3530" s="7" t="s">
        <v>1867</v>
      </c>
      <c r="C3530" s="7" t="s">
        <v>47</v>
      </c>
      <c r="D3530" s="7" t="n">
        <v>59</v>
      </c>
      <c r="E3530" s="7" t="s">
        <v>61</v>
      </c>
      <c r="F3530" s="7" t="s">
        <v>39</v>
      </c>
      <c r="G3530" s="8" t="n">
        <v>45704</v>
      </c>
      <c r="H3530" s="8" t="n">
        <v>45760</v>
      </c>
      <c r="I3530" s="7" t="s">
        <v>75</v>
      </c>
      <c r="J3530" s="7" t="s">
        <v>41</v>
      </c>
      <c r="K3530" s="7" t="n">
        <v>56</v>
      </c>
      <c r="L3530" s="7" t="n">
        <v>4</v>
      </c>
      <c r="M3530" s="7" t="n">
        <v>0</v>
      </c>
      <c r="N3530" s="7" t="s">
        <v>42</v>
      </c>
      <c r="O3530" s="7" t="s">
        <v>52</v>
      </c>
      <c r="P3530" s="7" t="n">
        <v>9.9</v>
      </c>
      <c r="Q3530" s="7" t="n">
        <v>18</v>
      </c>
      <c r="R3530" s="7" t="s">
        <v>44</v>
      </c>
      <c r="S3530" s="7"/>
      <c r="T3530" s="7"/>
      <c r="U3530" s="7" t="str">
        <f aca="false">IF(COUNTIF($A$2:$A$5001,A3530)&gt;1,"Duplicate","Unique")</f>
        <v>Unique</v>
      </c>
      <c r="V3530" s="7" t="str">
        <f aca="false">IF(COUNTIFS($B$2:$B$5001,B3530,$H$2:$H$5001,H3530,$J$2:$J$5001,J3530)&gt;1,"Possible Duplicate Booking","Unique")</f>
        <v>Unique</v>
      </c>
      <c r="W3530" s="7" t="str">
        <f aca="false">IF((H3530-G3530)&lt;&gt;K3530,"Mismatch","OK")</f>
        <v>OK</v>
      </c>
      <c r="X3530" s="7" t="str">
        <f aca="false">IF(TEXT(H3530,"dddd")&lt;&gt;I3530,"Mismatch","OK")</f>
        <v>OK</v>
      </c>
      <c r="Y3530" s="7" t="str">
        <f aca="false">IF(AND(N3530="No",O3530&lt;&gt;""),"Unexpected: channel present but no reminder sent",IF(AND(N3530="Yes",O3530=""),"Missing channel for sent reminder","OK"))</f>
        <v>OK</v>
      </c>
    </row>
    <row r="3531" customFormat="false" ht="15" hidden="false" customHeight="false" outlineLevel="0" collapsed="false">
      <c r="A3531" s="9" t="s">
        <v>5147</v>
      </c>
      <c r="B3531" s="9" t="s">
        <v>4783</v>
      </c>
      <c r="C3531" s="9" t="s">
        <v>47</v>
      </c>
      <c r="D3531" s="9" t="n">
        <v>37</v>
      </c>
      <c r="E3531" s="9" t="s">
        <v>38</v>
      </c>
      <c r="F3531" s="9" t="s">
        <v>74</v>
      </c>
      <c r="G3531" s="10" t="n">
        <v>45682</v>
      </c>
      <c r="H3531" s="10" t="n">
        <v>45723</v>
      </c>
      <c r="I3531" s="9" t="s">
        <v>50</v>
      </c>
      <c r="J3531" s="9" t="s">
        <v>41</v>
      </c>
      <c r="K3531" s="9" t="n">
        <v>41</v>
      </c>
      <c r="L3531" s="9" t="n">
        <v>0</v>
      </c>
      <c r="M3531" s="9" t="n">
        <v>0</v>
      </c>
      <c r="N3531" s="9" t="s">
        <v>42</v>
      </c>
      <c r="O3531" s="9" t="s">
        <v>67</v>
      </c>
      <c r="P3531" s="9" t="n">
        <v>4.4</v>
      </c>
      <c r="Q3531" s="9" t="n">
        <v>22</v>
      </c>
      <c r="R3531" s="9" t="s">
        <v>53</v>
      </c>
      <c r="S3531" s="9"/>
      <c r="T3531" s="9"/>
      <c r="U3531" s="9" t="str">
        <f aca="false">IF(COUNTIF($A$2:$A$5001,A3531)&gt;1,"Duplicate","Unique")</f>
        <v>Unique</v>
      </c>
      <c r="V3531" s="9" t="str">
        <f aca="false">IF(COUNTIFS($B$2:$B$5001,B3531,$H$2:$H$5001,H3531,$J$2:$J$5001,J3531)&gt;1,"Possible Duplicate Booking","Unique")</f>
        <v>Unique</v>
      </c>
      <c r="W3531" s="9" t="str">
        <f aca="false">IF((H3531-G3531)&lt;&gt;K3531,"Mismatch","OK")</f>
        <v>OK</v>
      </c>
      <c r="X3531" s="9" t="str">
        <f aca="false">IF(TEXT(H3531,"dddd")&lt;&gt;I3531,"Mismatch","OK")</f>
        <v>OK</v>
      </c>
      <c r="Y3531" s="9" t="str">
        <f aca="false">IF(AND(N3531="No",O3531&lt;&gt;""),"Unexpected: channel present but no reminder sent",IF(AND(N3531="Yes",O3531=""),"Missing channel for sent reminder","OK"))</f>
        <v>OK</v>
      </c>
    </row>
    <row r="3532" customFormat="false" ht="15" hidden="false" customHeight="false" outlineLevel="0" collapsed="false">
      <c r="A3532" s="7" t="s">
        <v>5148</v>
      </c>
      <c r="B3532" s="7" t="s">
        <v>5149</v>
      </c>
      <c r="C3532" s="7" t="s">
        <v>236</v>
      </c>
      <c r="D3532" s="7" t="n">
        <v>68</v>
      </c>
      <c r="E3532" s="7" t="s">
        <v>70</v>
      </c>
      <c r="F3532" s="7" t="s">
        <v>57</v>
      </c>
      <c r="G3532" s="8" t="n">
        <v>45822</v>
      </c>
      <c r="H3532" s="8" t="n">
        <v>45865</v>
      </c>
      <c r="I3532" s="7" t="s">
        <v>75</v>
      </c>
      <c r="J3532" s="7" t="s">
        <v>63</v>
      </c>
      <c r="K3532" s="7" t="n">
        <v>43</v>
      </c>
      <c r="L3532" s="7" t="n">
        <v>3</v>
      </c>
      <c r="M3532" s="7" t="n">
        <v>0</v>
      </c>
      <c r="N3532" s="7" t="s">
        <v>42</v>
      </c>
      <c r="O3532" s="7" t="s">
        <v>67</v>
      </c>
      <c r="P3532" s="7" t="n">
        <v>29.5</v>
      </c>
      <c r="Q3532" s="7" t="n">
        <v>30</v>
      </c>
      <c r="R3532" s="7" t="s">
        <v>53</v>
      </c>
      <c r="S3532" s="7"/>
      <c r="T3532" s="7"/>
      <c r="U3532" s="7" t="str">
        <f aca="false">IF(COUNTIF($A$2:$A$5001,A3532)&gt;1,"Duplicate","Unique")</f>
        <v>Unique</v>
      </c>
      <c r="V3532" s="7" t="str">
        <f aca="false">IF(COUNTIFS($B$2:$B$5001,B3532,$H$2:$H$5001,H3532,$J$2:$J$5001,J3532)&gt;1,"Possible Duplicate Booking","Unique")</f>
        <v>Unique</v>
      </c>
      <c r="W3532" s="7" t="str">
        <f aca="false">IF((H3532-G3532)&lt;&gt;K3532,"Mismatch","OK")</f>
        <v>OK</v>
      </c>
      <c r="X3532" s="7" t="str">
        <f aca="false">IF(TEXT(H3532,"dddd")&lt;&gt;I3532,"Mismatch","OK")</f>
        <v>OK</v>
      </c>
      <c r="Y3532" s="7" t="str">
        <f aca="false">IF(AND(N3532="No",O3532&lt;&gt;""),"Unexpected: channel present but no reminder sent",IF(AND(N3532="Yes",O3532=""),"Missing channel for sent reminder","OK"))</f>
        <v>OK</v>
      </c>
    </row>
    <row r="3533" customFormat="false" ht="15" hidden="false" customHeight="false" outlineLevel="0" collapsed="false">
      <c r="A3533" s="9" t="s">
        <v>5150</v>
      </c>
      <c r="B3533" s="9" t="s">
        <v>2351</v>
      </c>
      <c r="C3533" s="9" t="s">
        <v>47</v>
      </c>
      <c r="D3533" s="9" t="n">
        <v>58</v>
      </c>
      <c r="E3533" s="9" t="s">
        <v>61</v>
      </c>
      <c r="F3533" s="9" t="s">
        <v>57</v>
      </c>
      <c r="G3533" s="10" t="n">
        <v>45665</v>
      </c>
      <c r="H3533" s="10" t="n">
        <v>45696</v>
      </c>
      <c r="I3533" s="9" t="s">
        <v>102</v>
      </c>
      <c r="J3533" s="9" t="s">
        <v>41</v>
      </c>
      <c r="K3533" s="9" t="n">
        <v>31</v>
      </c>
      <c r="L3533" s="9" t="n">
        <v>4</v>
      </c>
      <c r="M3533" s="9" t="n">
        <v>0</v>
      </c>
      <c r="N3533" s="9" t="s">
        <v>42</v>
      </c>
      <c r="O3533" s="9" t="s">
        <v>52</v>
      </c>
      <c r="P3533" s="9" t="n">
        <v>1.4</v>
      </c>
      <c r="Q3533" s="9" t="n">
        <v>42</v>
      </c>
      <c r="R3533" s="9" t="s">
        <v>53</v>
      </c>
      <c r="S3533" s="9"/>
      <c r="T3533" s="9"/>
      <c r="U3533" s="9" t="str">
        <f aca="false">IF(COUNTIF($A$2:$A$5001,A3533)&gt;1,"Duplicate","Unique")</f>
        <v>Unique</v>
      </c>
      <c r="V3533" s="9" t="str">
        <f aca="false">IF(COUNTIFS($B$2:$B$5001,B3533,$H$2:$H$5001,H3533,$J$2:$J$5001,J3533)&gt;1,"Possible Duplicate Booking","Unique")</f>
        <v>Unique</v>
      </c>
      <c r="W3533" s="9" t="str">
        <f aca="false">IF((H3533-G3533)&lt;&gt;K3533,"Mismatch","OK")</f>
        <v>OK</v>
      </c>
      <c r="X3533" s="9" t="str">
        <f aca="false">IF(TEXT(H3533,"dddd")&lt;&gt;I3533,"Mismatch","OK")</f>
        <v>OK</v>
      </c>
      <c r="Y3533" s="9" t="str">
        <f aca="false">IF(AND(N3533="No",O3533&lt;&gt;""),"Unexpected: channel present but no reminder sent",IF(AND(N3533="Yes",O3533=""),"Missing channel for sent reminder","OK"))</f>
        <v>OK</v>
      </c>
    </row>
    <row r="3534" customFormat="false" ht="15" hidden="false" customHeight="false" outlineLevel="0" collapsed="false">
      <c r="A3534" s="7" t="s">
        <v>5151</v>
      </c>
      <c r="B3534" s="7" t="s">
        <v>5152</v>
      </c>
      <c r="C3534" s="7" t="s">
        <v>37</v>
      </c>
      <c r="D3534" s="7" t="n">
        <v>19</v>
      </c>
      <c r="E3534" s="7" t="s">
        <v>82</v>
      </c>
      <c r="F3534" s="7" t="s">
        <v>74</v>
      </c>
      <c r="G3534" s="8" t="n">
        <v>45672</v>
      </c>
      <c r="H3534" s="8" t="n">
        <v>45691</v>
      </c>
      <c r="I3534" s="7" t="s">
        <v>66</v>
      </c>
      <c r="J3534" s="7" t="s">
        <v>51</v>
      </c>
      <c r="K3534" s="7" t="n">
        <v>19</v>
      </c>
      <c r="L3534" s="7" t="n">
        <v>3</v>
      </c>
      <c r="M3534" s="7" t="n">
        <v>2</v>
      </c>
      <c r="N3534" s="7" t="s">
        <v>42</v>
      </c>
      <c r="O3534" s="7" t="s">
        <v>52</v>
      </c>
      <c r="P3534" s="7" t="n">
        <v>10.8</v>
      </c>
      <c r="Q3534" s="7" t="n">
        <v>18</v>
      </c>
      <c r="R3534" s="7" t="s">
        <v>53</v>
      </c>
      <c r="S3534" s="7"/>
      <c r="T3534" s="7"/>
      <c r="U3534" s="7" t="str">
        <f aca="false">IF(COUNTIF($A$2:$A$5001,A3534)&gt;1,"Duplicate","Unique")</f>
        <v>Unique</v>
      </c>
      <c r="V3534" s="7" t="str">
        <f aca="false">IF(COUNTIFS($B$2:$B$5001,B3534,$H$2:$H$5001,H3534,$J$2:$J$5001,J3534)&gt;1,"Possible Duplicate Booking","Unique")</f>
        <v>Unique</v>
      </c>
      <c r="W3534" s="7" t="str">
        <f aca="false">IF((H3534-G3534)&lt;&gt;K3534,"Mismatch","OK")</f>
        <v>OK</v>
      </c>
      <c r="X3534" s="7" t="str">
        <f aca="false">IF(TEXT(H3534,"dddd")&lt;&gt;I3534,"Mismatch","OK")</f>
        <v>OK</v>
      </c>
      <c r="Y3534" s="7" t="str">
        <f aca="false">IF(AND(N3534="No",O3534&lt;&gt;""),"Unexpected: channel present but no reminder sent",IF(AND(N3534="Yes",O3534=""),"Missing channel for sent reminder","OK"))</f>
        <v>OK</v>
      </c>
    </row>
    <row r="3535" customFormat="false" ht="15" hidden="false" customHeight="false" outlineLevel="0" collapsed="false">
      <c r="A3535" s="9" t="s">
        <v>5153</v>
      </c>
      <c r="B3535" s="9" t="s">
        <v>455</v>
      </c>
      <c r="C3535" s="9" t="s">
        <v>47</v>
      </c>
      <c r="D3535" s="9" t="n">
        <v>70</v>
      </c>
      <c r="E3535" s="9" t="s">
        <v>70</v>
      </c>
      <c r="F3535" s="9" t="s">
        <v>39</v>
      </c>
      <c r="G3535" s="10" t="n">
        <v>46173</v>
      </c>
      <c r="H3535" s="10" t="n">
        <v>46198</v>
      </c>
      <c r="I3535" s="9" t="s">
        <v>62</v>
      </c>
      <c r="J3535" s="9" t="s">
        <v>51</v>
      </c>
      <c r="K3535" s="9" t="n">
        <v>25</v>
      </c>
      <c r="L3535" s="9" t="n">
        <v>1</v>
      </c>
      <c r="M3535" s="9" t="n">
        <v>0</v>
      </c>
      <c r="N3535" s="9" t="s">
        <v>42</v>
      </c>
      <c r="O3535" s="9" t="s">
        <v>43</v>
      </c>
      <c r="P3535" s="9" t="n">
        <v>11.7</v>
      </c>
      <c r="Q3535" s="9" t="n">
        <v>31</v>
      </c>
      <c r="R3535" s="9" t="s">
        <v>53</v>
      </c>
      <c r="S3535" s="9"/>
      <c r="T3535" s="9"/>
      <c r="U3535" s="9" t="str">
        <f aca="false">IF(COUNTIF($A$2:$A$5001,A3535)&gt;1,"Duplicate","Unique")</f>
        <v>Unique</v>
      </c>
      <c r="V3535" s="9" t="str">
        <f aca="false">IF(COUNTIFS($B$2:$B$5001,B3535,$H$2:$H$5001,H3535,$J$2:$J$5001,J3535)&gt;1,"Possible Duplicate Booking","Unique")</f>
        <v>Unique</v>
      </c>
      <c r="W3535" s="9" t="str">
        <f aca="false">IF((H3535-G3535)&lt;&gt;K3535,"Mismatch","OK")</f>
        <v>OK</v>
      </c>
      <c r="X3535" s="9" t="str">
        <f aca="false">IF(TEXT(H3535,"dddd")&lt;&gt;I3535,"Mismatch","OK")</f>
        <v>OK</v>
      </c>
      <c r="Y3535" s="9" t="str">
        <f aca="false">IF(AND(N3535="No",O3535&lt;&gt;""),"Unexpected: channel present but no reminder sent",IF(AND(N3535="Yes",O3535=""),"Missing channel for sent reminder","OK"))</f>
        <v>OK</v>
      </c>
    </row>
    <row r="3536" customFormat="false" ht="15" hidden="false" customHeight="false" outlineLevel="0" collapsed="false">
      <c r="A3536" s="7" t="s">
        <v>5154</v>
      </c>
      <c r="B3536" s="7" t="s">
        <v>1459</v>
      </c>
      <c r="C3536" s="7" t="s">
        <v>47</v>
      </c>
      <c r="D3536" s="7" t="n">
        <v>40</v>
      </c>
      <c r="E3536" s="7" t="s">
        <v>38</v>
      </c>
      <c r="F3536" s="7" t="s">
        <v>49</v>
      </c>
      <c r="G3536" s="8" t="n">
        <v>45675</v>
      </c>
      <c r="H3536" s="8" t="n">
        <v>45705</v>
      </c>
      <c r="I3536" s="7" t="s">
        <v>66</v>
      </c>
      <c r="J3536" s="7" t="s">
        <v>51</v>
      </c>
      <c r="K3536" s="7" t="n">
        <v>30</v>
      </c>
      <c r="L3536" s="7" t="n">
        <v>2</v>
      </c>
      <c r="M3536" s="7" t="n">
        <v>0</v>
      </c>
      <c r="N3536" s="7" t="s">
        <v>71</v>
      </c>
      <c r="O3536" s="7"/>
      <c r="P3536" s="7"/>
      <c r="Q3536" s="7" t="n">
        <v>8</v>
      </c>
      <c r="R3536" s="7" t="s">
        <v>87</v>
      </c>
      <c r="S3536" s="7"/>
      <c r="T3536" s="7"/>
      <c r="U3536" s="7" t="str">
        <f aca="false">IF(COUNTIF($A$2:$A$5001,A3536)&gt;1,"Duplicate","Unique")</f>
        <v>Unique</v>
      </c>
      <c r="V3536" s="7" t="str">
        <f aca="false">IF(COUNTIFS($B$2:$B$5001,B3536,$H$2:$H$5001,H3536,$J$2:$J$5001,J3536)&gt;1,"Possible Duplicate Booking","Unique")</f>
        <v>Unique</v>
      </c>
      <c r="W3536" s="7" t="str">
        <f aca="false">IF((H3536-G3536)&lt;&gt;K3536,"Mismatch","OK")</f>
        <v>OK</v>
      </c>
      <c r="X3536" s="7" t="str">
        <f aca="false">IF(TEXT(H3536,"dddd")&lt;&gt;I3536,"Mismatch","OK")</f>
        <v>OK</v>
      </c>
      <c r="Y3536" s="7" t="str">
        <f aca="false">IF(AND(N3536="No",O3536&lt;&gt;""),"Unexpected: channel present but no reminder sent",IF(AND(N3536="Yes",O3536=""),"Missing channel for sent reminder","OK"))</f>
        <v>OK</v>
      </c>
    </row>
    <row r="3537" customFormat="false" ht="15" hidden="false" customHeight="false" outlineLevel="0" collapsed="false">
      <c r="A3537" s="9" t="s">
        <v>5155</v>
      </c>
      <c r="B3537" s="9" t="s">
        <v>205</v>
      </c>
      <c r="C3537" s="9" t="s">
        <v>37</v>
      </c>
      <c r="D3537" s="9" t="n">
        <v>47</v>
      </c>
      <c r="E3537" s="9" t="s">
        <v>56</v>
      </c>
      <c r="F3537" s="9" t="s">
        <v>74</v>
      </c>
      <c r="G3537" s="10" t="n">
        <v>45649</v>
      </c>
      <c r="H3537" s="10" t="n">
        <v>45698</v>
      </c>
      <c r="I3537" s="9" t="s">
        <v>66</v>
      </c>
      <c r="J3537" s="9" t="s">
        <v>41</v>
      </c>
      <c r="K3537" s="9" t="n">
        <v>49</v>
      </c>
      <c r="L3537" s="9" t="n">
        <v>3</v>
      </c>
      <c r="M3537" s="9" t="n">
        <v>1</v>
      </c>
      <c r="N3537" s="9" t="s">
        <v>42</v>
      </c>
      <c r="O3537" s="9" t="s">
        <v>43</v>
      </c>
      <c r="P3537" s="9" t="n">
        <v>15.2</v>
      </c>
      <c r="Q3537" s="9" t="n">
        <v>30</v>
      </c>
      <c r="R3537" s="9" t="s">
        <v>44</v>
      </c>
      <c r="S3537" s="9"/>
      <c r="T3537" s="9"/>
      <c r="U3537" s="9" t="str">
        <f aca="false">IF(COUNTIF($A$2:$A$5001,A3537)&gt;1,"Duplicate","Unique")</f>
        <v>Unique</v>
      </c>
      <c r="V3537" s="9" t="str">
        <f aca="false">IF(COUNTIFS($B$2:$B$5001,B3537,$H$2:$H$5001,H3537,$J$2:$J$5001,J3537)&gt;1,"Possible Duplicate Booking","Unique")</f>
        <v>Unique</v>
      </c>
      <c r="W3537" s="9" t="str">
        <f aca="false">IF((H3537-G3537)&lt;&gt;K3537,"Mismatch","OK")</f>
        <v>OK</v>
      </c>
      <c r="X3537" s="9" t="str">
        <f aca="false">IF(TEXT(H3537,"dddd")&lt;&gt;I3537,"Mismatch","OK")</f>
        <v>OK</v>
      </c>
      <c r="Y3537" s="9" t="str">
        <f aca="false">IF(AND(N3537="No",O3537&lt;&gt;""),"Unexpected: channel present but no reminder sent",IF(AND(N3537="Yes",O3537=""),"Missing channel for sent reminder","OK"))</f>
        <v>OK</v>
      </c>
    </row>
    <row r="3538" customFormat="false" ht="15" hidden="false" customHeight="false" outlineLevel="0" collapsed="false">
      <c r="A3538" s="7" t="s">
        <v>5156</v>
      </c>
      <c r="B3538" s="7" t="s">
        <v>5157</v>
      </c>
      <c r="C3538" s="7" t="s">
        <v>47</v>
      </c>
      <c r="D3538" s="7" t="n">
        <v>48</v>
      </c>
      <c r="E3538" s="7" t="s">
        <v>56</v>
      </c>
      <c r="F3538" s="7" t="s">
        <v>39</v>
      </c>
      <c r="G3538" s="8" t="n">
        <v>45641</v>
      </c>
      <c r="H3538" s="8" t="n">
        <v>45674</v>
      </c>
      <c r="I3538" s="7" t="s">
        <v>50</v>
      </c>
      <c r="J3538" s="7" t="s">
        <v>51</v>
      </c>
      <c r="K3538" s="7" t="n">
        <v>33</v>
      </c>
      <c r="L3538" s="7" t="n">
        <v>4</v>
      </c>
      <c r="M3538" s="7" t="n">
        <v>0</v>
      </c>
      <c r="N3538" s="7" t="s">
        <v>42</v>
      </c>
      <c r="O3538" s="7" t="s">
        <v>52</v>
      </c>
      <c r="P3538" s="7" t="n">
        <v>2.3</v>
      </c>
      <c r="Q3538" s="7" t="n">
        <v>44</v>
      </c>
      <c r="R3538" s="7" t="s">
        <v>44</v>
      </c>
      <c r="S3538" s="7"/>
      <c r="T3538" s="7"/>
      <c r="U3538" s="7" t="str">
        <f aca="false">IF(COUNTIF($A$2:$A$5001,A3538)&gt;1,"Duplicate","Unique")</f>
        <v>Unique</v>
      </c>
      <c r="V3538" s="7" t="str">
        <f aca="false">IF(COUNTIFS($B$2:$B$5001,B3538,$H$2:$H$5001,H3538,$J$2:$J$5001,J3538)&gt;1,"Possible Duplicate Booking","Unique")</f>
        <v>Unique</v>
      </c>
      <c r="W3538" s="7" t="str">
        <f aca="false">IF((H3538-G3538)&lt;&gt;K3538,"Mismatch","OK")</f>
        <v>OK</v>
      </c>
      <c r="X3538" s="7" t="str">
        <f aca="false">IF(TEXT(H3538,"dddd")&lt;&gt;I3538,"Mismatch","OK")</f>
        <v>OK</v>
      </c>
      <c r="Y3538" s="7" t="str">
        <f aca="false">IF(AND(N3538="No",O3538&lt;&gt;""),"Unexpected: channel present but no reminder sent",IF(AND(N3538="Yes",O3538=""),"Missing channel for sent reminder","OK"))</f>
        <v>OK</v>
      </c>
    </row>
    <row r="3539" customFormat="false" ht="15" hidden="false" customHeight="false" outlineLevel="0" collapsed="false">
      <c r="A3539" s="9" t="s">
        <v>5158</v>
      </c>
      <c r="B3539" s="9" t="s">
        <v>1270</v>
      </c>
      <c r="C3539" s="9" t="s">
        <v>47</v>
      </c>
      <c r="D3539" s="9" t="n">
        <v>69</v>
      </c>
      <c r="E3539" s="9" t="s">
        <v>70</v>
      </c>
      <c r="F3539" s="9" t="s">
        <v>39</v>
      </c>
      <c r="G3539" s="10" t="n">
        <v>45682</v>
      </c>
      <c r="H3539" s="10" t="n">
        <v>45730</v>
      </c>
      <c r="I3539" s="9" t="s">
        <v>50</v>
      </c>
      <c r="J3539" s="9" t="s">
        <v>51</v>
      </c>
      <c r="K3539" s="9" t="n">
        <v>48</v>
      </c>
      <c r="L3539" s="9" t="n">
        <v>4</v>
      </c>
      <c r="M3539" s="9" t="n">
        <v>2</v>
      </c>
      <c r="N3539" s="9" t="s">
        <v>42</v>
      </c>
      <c r="O3539" s="9" t="s">
        <v>52</v>
      </c>
      <c r="P3539" s="9" t="n">
        <v>12</v>
      </c>
      <c r="Q3539" s="9" t="n">
        <v>24</v>
      </c>
      <c r="R3539" s="9" t="s">
        <v>87</v>
      </c>
      <c r="S3539" s="9"/>
      <c r="T3539" s="9"/>
      <c r="U3539" s="9" t="str">
        <f aca="false">IF(COUNTIF($A$2:$A$5001,A3539)&gt;1,"Duplicate","Unique")</f>
        <v>Unique</v>
      </c>
      <c r="V3539" s="9" t="str">
        <f aca="false">IF(COUNTIFS($B$2:$B$5001,B3539,$H$2:$H$5001,H3539,$J$2:$J$5001,J3539)&gt;1,"Possible Duplicate Booking","Unique")</f>
        <v>Unique</v>
      </c>
      <c r="W3539" s="9" t="str">
        <f aca="false">IF((H3539-G3539)&lt;&gt;K3539,"Mismatch","OK")</f>
        <v>OK</v>
      </c>
      <c r="X3539" s="9" t="str">
        <f aca="false">IF(TEXT(H3539,"dddd")&lt;&gt;I3539,"Mismatch","OK")</f>
        <v>OK</v>
      </c>
      <c r="Y3539" s="9" t="str">
        <f aca="false">IF(AND(N3539="No",O3539&lt;&gt;""),"Unexpected: channel present but no reminder sent",IF(AND(N3539="Yes",O3539=""),"Missing channel for sent reminder","OK"))</f>
        <v>OK</v>
      </c>
    </row>
    <row r="3540" customFormat="false" ht="15" hidden="false" customHeight="false" outlineLevel="0" collapsed="false">
      <c r="A3540" s="7" t="s">
        <v>5159</v>
      </c>
      <c r="B3540" s="7" t="s">
        <v>5160</v>
      </c>
      <c r="C3540" s="7" t="s">
        <v>37</v>
      </c>
      <c r="D3540" s="7" t="n">
        <v>34</v>
      </c>
      <c r="E3540" s="7" t="s">
        <v>48</v>
      </c>
      <c r="F3540" s="7" t="s">
        <v>39</v>
      </c>
      <c r="G3540" s="8" t="n">
        <v>45945</v>
      </c>
      <c r="H3540" s="8" t="n">
        <v>45946</v>
      </c>
      <c r="I3540" s="7" t="s">
        <v>62</v>
      </c>
      <c r="J3540" s="7" t="s">
        <v>41</v>
      </c>
      <c r="K3540" s="7" t="n">
        <v>1</v>
      </c>
      <c r="L3540" s="7" t="n">
        <v>4</v>
      </c>
      <c r="M3540" s="7" t="n">
        <v>0</v>
      </c>
      <c r="N3540" s="7" t="s">
        <v>42</v>
      </c>
      <c r="O3540" s="7" t="s">
        <v>52</v>
      </c>
      <c r="P3540" s="7" t="n">
        <v>8.8</v>
      </c>
      <c r="Q3540" s="7" t="n">
        <v>18</v>
      </c>
      <c r="R3540" s="7" t="s">
        <v>53</v>
      </c>
      <c r="S3540" s="7"/>
      <c r="T3540" s="7"/>
      <c r="U3540" s="7" t="str">
        <f aca="false">IF(COUNTIF($A$2:$A$5001,A3540)&gt;1,"Duplicate","Unique")</f>
        <v>Unique</v>
      </c>
      <c r="V3540" s="7" t="str">
        <f aca="false">IF(COUNTIFS($B$2:$B$5001,B3540,$H$2:$H$5001,H3540,$J$2:$J$5001,J3540)&gt;1,"Possible Duplicate Booking","Unique")</f>
        <v>Unique</v>
      </c>
      <c r="W3540" s="7" t="str">
        <f aca="false">IF((H3540-G3540)&lt;&gt;K3540,"Mismatch","OK")</f>
        <v>OK</v>
      </c>
      <c r="X3540" s="7" t="str">
        <f aca="false">IF(TEXT(H3540,"dddd")&lt;&gt;I3540,"Mismatch","OK")</f>
        <v>OK</v>
      </c>
      <c r="Y3540" s="7" t="str">
        <f aca="false">IF(AND(N3540="No",O3540&lt;&gt;""),"Unexpected: channel present but no reminder sent",IF(AND(N3540="Yes",O3540=""),"Missing channel for sent reminder","OK"))</f>
        <v>OK</v>
      </c>
    </row>
    <row r="3541" customFormat="false" ht="15" hidden="false" customHeight="false" outlineLevel="0" collapsed="false">
      <c r="A3541" s="9" t="s">
        <v>5161</v>
      </c>
      <c r="B3541" s="9" t="s">
        <v>3456</v>
      </c>
      <c r="C3541" s="9" t="s">
        <v>37</v>
      </c>
      <c r="D3541" s="9" t="n">
        <v>42</v>
      </c>
      <c r="E3541" s="9" t="s">
        <v>38</v>
      </c>
      <c r="F3541" s="9" t="s">
        <v>49</v>
      </c>
      <c r="G3541" s="10" t="n">
        <v>46063</v>
      </c>
      <c r="H3541" s="10" t="n">
        <v>46109</v>
      </c>
      <c r="I3541" s="9" t="s">
        <v>102</v>
      </c>
      <c r="J3541" s="9" t="s">
        <v>51</v>
      </c>
      <c r="K3541" s="9" t="n">
        <v>46</v>
      </c>
      <c r="L3541" s="9" t="n">
        <v>1</v>
      </c>
      <c r="M3541" s="9" t="n">
        <v>0</v>
      </c>
      <c r="N3541" s="9" t="s">
        <v>42</v>
      </c>
      <c r="O3541" s="9" t="s">
        <v>52</v>
      </c>
      <c r="P3541" s="9"/>
      <c r="Q3541" s="9" t="n">
        <v>18</v>
      </c>
      <c r="R3541" s="9" t="s">
        <v>44</v>
      </c>
      <c r="S3541" s="9"/>
      <c r="T3541" s="9"/>
      <c r="U3541" s="9" t="str">
        <f aca="false">IF(COUNTIF($A$2:$A$5001,A3541)&gt;1,"Duplicate","Unique")</f>
        <v>Unique</v>
      </c>
      <c r="V3541" s="9" t="str">
        <f aca="false">IF(COUNTIFS($B$2:$B$5001,B3541,$H$2:$H$5001,H3541,$J$2:$J$5001,J3541)&gt;1,"Possible Duplicate Booking","Unique")</f>
        <v>Unique</v>
      </c>
      <c r="W3541" s="9" t="str">
        <f aca="false">IF((H3541-G3541)&lt;&gt;K3541,"Mismatch","OK")</f>
        <v>OK</v>
      </c>
      <c r="X3541" s="9" t="str">
        <f aca="false">IF(TEXT(H3541,"dddd")&lt;&gt;I3541,"Mismatch","OK")</f>
        <v>OK</v>
      </c>
      <c r="Y3541" s="9" t="str">
        <f aca="false">IF(AND(N3541="No",O3541&lt;&gt;""),"Unexpected: channel present but no reminder sent",IF(AND(N3541="Yes",O3541=""),"Missing channel for sent reminder","OK"))</f>
        <v>OK</v>
      </c>
    </row>
    <row r="3542" customFormat="false" ht="15" hidden="false" customHeight="false" outlineLevel="0" collapsed="false">
      <c r="A3542" s="7" t="s">
        <v>5162</v>
      </c>
      <c r="B3542" s="7" t="s">
        <v>4106</v>
      </c>
      <c r="C3542" s="7" t="s">
        <v>47</v>
      </c>
      <c r="D3542" s="7" t="n">
        <v>20</v>
      </c>
      <c r="E3542" s="7" t="s">
        <v>82</v>
      </c>
      <c r="F3542" s="7" t="s">
        <v>74</v>
      </c>
      <c r="G3542" s="8" t="n">
        <v>46029</v>
      </c>
      <c r="H3542" s="8" t="n">
        <v>46059</v>
      </c>
      <c r="I3542" s="7" t="s">
        <v>50</v>
      </c>
      <c r="J3542" s="7" t="s">
        <v>63</v>
      </c>
      <c r="K3542" s="7" t="n">
        <v>30</v>
      </c>
      <c r="L3542" s="7" t="n">
        <v>2</v>
      </c>
      <c r="M3542" s="7" t="n">
        <v>0</v>
      </c>
      <c r="N3542" s="7" t="s">
        <v>42</v>
      </c>
      <c r="O3542" s="7" t="s">
        <v>43</v>
      </c>
      <c r="P3542" s="7" t="n">
        <v>16.5</v>
      </c>
      <c r="Q3542" s="7" t="n">
        <v>29</v>
      </c>
      <c r="R3542" s="7" t="s">
        <v>44</v>
      </c>
      <c r="S3542" s="7"/>
      <c r="T3542" s="7"/>
      <c r="U3542" s="7" t="str">
        <f aca="false">IF(COUNTIF($A$2:$A$5001,A3542)&gt;1,"Duplicate","Unique")</f>
        <v>Unique</v>
      </c>
      <c r="V3542" s="7" t="str">
        <f aca="false">IF(COUNTIFS($B$2:$B$5001,B3542,$H$2:$H$5001,H3542,$J$2:$J$5001,J3542)&gt;1,"Possible Duplicate Booking","Unique")</f>
        <v>Unique</v>
      </c>
      <c r="W3542" s="7" t="str">
        <f aca="false">IF((H3542-G3542)&lt;&gt;K3542,"Mismatch","OK")</f>
        <v>OK</v>
      </c>
      <c r="X3542" s="7" t="str">
        <f aca="false">IF(TEXT(H3542,"dddd")&lt;&gt;I3542,"Mismatch","OK")</f>
        <v>OK</v>
      </c>
      <c r="Y3542" s="7" t="str">
        <f aca="false">IF(AND(N3542="No",O3542&lt;&gt;""),"Unexpected: channel present but no reminder sent",IF(AND(N3542="Yes",O3542=""),"Missing channel for sent reminder","OK"))</f>
        <v>OK</v>
      </c>
    </row>
    <row r="3543" customFormat="false" ht="15" hidden="false" customHeight="false" outlineLevel="0" collapsed="false">
      <c r="A3543" s="9" t="s">
        <v>5163</v>
      </c>
      <c r="B3543" s="9" t="s">
        <v>2017</v>
      </c>
      <c r="C3543" s="9" t="s">
        <v>37</v>
      </c>
      <c r="D3543" s="9" t="n">
        <v>39</v>
      </c>
      <c r="E3543" s="9" t="s">
        <v>38</v>
      </c>
      <c r="F3543" s="9" t="s">
        <v>57</v>
      </c>
      <c r="G3543" s="10" t="n">
        <v>45914</v>
      </c>
      <c r="H3543" s="10" t="n">
        <v>45974</v>
      </c>
      <c r="I3543" s="9" t="s">
        <v>62</v>
      </c>
      <c r="J3543" s="9" t="s">
        <v>41</v>
      </c>
      <c r="K3543" s="9" t="n">
        <v>60</v>
      </c>
      <c r="L3543" s="9" t="n">
        <v>5</v>
      </c>
      <c r="M3543" s="9" t="n">
        <v>1</v>
      </c>
      <c r="N3543" s="9" t="s">
        <v>42</v>
      </c>
      <c r="O3543" s="9" t="s">
        <v>52</v>
      </c>
      <c r="P3543" s="9" t="n">
        <v>19.7</v>
      </c>
      <c r="Q3543" s="9" t="n">
        <v>25</v>
      </c>
      <c r="R3543" s="9" t="s">
        <v>53</v>
      </c>
      <c r="S3543" s="9"/>
      <c r="T3543" s="9"/>
      <c r="U3543" s="9" t="str">
        <f aca="false">IF(COUNTIF($A$2:$A$5001,A3543)&gt;1,"Duplicate","Unique")</f>
        <v>Unique</v>
      </c>
      <c r="V3543" s="9" t="str">
        <f aca="false">IF(COUNTIFS($B$2:$B$5001,B3543,$H$2:$H$5001,H3543,$J$2:$J$5001,J3543)&gt;1,"Possible Duplicate Booking","Unique")</f>
        <v>Unique</v>
      </c>
      <c r="W3543" s="9" t="str">
        <f aca="false">IF((H3543-G3543)&lt;&gt;K3543,"Mismatch","OK")</f>
        <v>OK</v>
      </c>
      <c r="X3543" s="9" t="str">
        <f aca="false">IF(TEXT(H3543,"dddd")&lt;&gt;I3543,"Mismatch","OK")</f>
        <v>OK</v>
      </c>
      <c r="Y3543" s="9" t="str">
        <f aca="false">IF(AND(N3543="No",O3543&lt;&gt;""),"Unexpected: channel present but no reminder sent",IF(AND(N3543="Yes",O3543=""),"Missing channel for sent reminder","OK"))</f>
        <v>OK</v>
      </c>
    </row>
    <row r="3544" customFormat="false" ht="15" hidden="false" customHeight="false" outlineLevel="0" collapsed="false">
      <c r="A3544" s="7" t="s">
        <v>5164</v>
      </c>
      <c r="B3544" s="7" t="s">
        <v>1582</v>
      </c>
      <c r="C3544" s="7" t="s">
        <v>47</v>
      </c>
      <c r="D3544" s="7" t="n">
        <v>23</v>
      </c>
      <c r="E3544" s="7" t="s">
        <v>82</v>
      </c>
      <c r="F3544" s="7" t="s">
        <v>49</v>
      </c>
      <c r="G3544" s="8" t="n">
        <v>45676</v>
      </c>
      <c r="H3544" s="8" t="n">
        <v>45704</v>
      </c>
      <c r="I3544" s="7" t="s">
        <v>75</v>
      </c>
      <c r="J3544" s="7" t="s">
        <v>51</v>
      </c>
      <c r="K3544" s="7" t="n">
        <v>28</v>
      </c>
      <c r="L3544" s="7" t="n">
        <v>5</v>
      </c>
      <c r="M3544" s="7" t="n">
        <v>1</v>
      </c>
      <c r="N3544" s="7" t="s">
        <v>42</v>
      </c>
      <c r="O3544" s="7" t="s">
        <v>43</v>
      </c>
      <c r="P3544" s="7" t="n">
        <v>3.1</v>
      </c>
      <c r="Q3544" s="7" t="n">
        <v>20</v>
      </c>
      <c r="R3544" s="7" t="s">
        <v>53</v>
      </c>
      <c r="S3544" s="7"/>
      <c r="T3544" s="7"/>
      <c r="U3544" s="7" t="str">
        <f aca="false">IF(COUNTIF($A$2:$A$5001,A3544)&gt;1,"Duplicate","Unique")</f>
        <v>Unique</v>
      </c>
      <c r="V3544" s="7" t="str">
        <f aca="false">IF(COUNTIFS($B$2:$B$5001,B3544,$H$2:$H$5001,H3544,$J$2:$J$5001,J3544)&gt;1,"Possible Duplicate Booking","Unique")</f>
        <v>Unique</v>
      </c>
      <c r="W3544" s="7" t="str">
        <f aca="false">IF((H3544-G3544)&lt;&gt;K3544,"Mismatch","OK")</f>
        <v>OK</v>
      </c>
      <c r="X3544" s="7" t="str">
        <f aca="false">IF(TEXT(H3544,"dddd")&lt;&gt;I3544,"Mismatch","OK")</f>
        <v>OK</v>
      </c>
      <c r="Y3544" s="7" t="str">
        <f aca="false">IF(AND(N3544="No",O3544&lt;&gt;""),"Unexpected: channel present but no reminder sent",IF(AND(N3544="Yes",O3544=""),"Missing channel for sent reminder","OK"))</f>
        <v>OK</v>
      </c>
    </row>
    <row r="3545" customFormat="false" ht="15" hidden="false" customHeight="false" outlineLevel="0" collapsed="false">
      <c r="A3545" s="9" t="s">
        <v>5165</v>
      </c>
      <c r="B3545" s="9" t="s">
        <v>1433</v>
      </c>
      <c r="C3545" s="9" t="s">
        <v>37</v>
      </c>
      <c r="D3545" s="9" t="n">
        <v>54</v>
      </c>
      <c r="E3545" s="9" t="s">
        <v>56</v>
      </c>
      <c r="F3545" s="9" t="s">
        <v>57</v>
      </c>
      <c r="G3545" s="10" t="n">
        <v>46051</v>
      </c>
      <c r="H3545" s="10" t="n">
        <v>46080</v>
      </c>
      <c r="I3545" s="9" t="s">
        <v>50</v>
      </c>
      <c r="J3545" s="9" t="s">
        <v>51</v>
      </c>
      <c r="K3545" s="9" t="n">
        <v>29</v>
      </c>
      <c r="L3545" s="9" t="n">
        <v>5</v>
      </c>
      <c r="M3545" s="9" t="n">
        <v>1</v>
      </c>
      <c r="N3545" s="9" t="s">
        <v>42</v>
      </c>
      <c r="O3545" s="9" t="s">
        <v>67</v>
      </c>
      <c r="P3545" s="9" t="n">
        <v>9.2</v>
      </c>
      <c r="Q3545" s="9" t="n">
        <v>31</v>
      </c>
      <c r="R3545" s="9" t="s">
        <v>53</v>
      </c>
      <c r="S3545" s="9"/>
      <c r="T3545" s="9"/>
      <c r="U3545" s="9" t="str">
        <f aca="false">IF(COUNTIF($A$2:$A$5001,A3545)&gt;1,"Duplicate","Unique")</f>
        <v>Unique</v>
      </c>
      <c r="V3545" s="9" t="str">
        <f aca="false">IF(COUNTIFS($B$2:$B$5001,B3545,$H$2:$H$5001,H3545,$J$2:$J$5001,J3545)&gt;1,"Possible Duplicate Booking","Unique")</f>
        <v>Unique</v>
      </c>
      <c r="W3545" s="9" t="str">
        <f aca="false">IF((H3545-G3545)&lt;&gt;K3545,"Mismatch","OK")</f>
        <v>OK</v>
      </c>
      <c r="X3545" s="9" t="str">
        <f aca="false">IF(TEXT(H3545,"dddd")&lt;&gt;I3545,"Mismatch","OK")</f>
        <v>OK</v>
      </c>
      <c r="Y3545" s="9" t="str">
        <f aca="false">IF(AND(N3545="No",O3545&lt;&gt;""),"Unexpected: channel present but no reminder sent",IF(AND(N3545="Yes",O3545=""),"Missing channel for sent reminder","OK"))</f>
        <v>OK</v>
      </c>
    </row>
    <row r="3546" customFormat="false" ht="15" hidden="false" customHeight="false" outlineLevel="0" collapsed="false">
      <c r="A3546" s="7" t="s">
        <v>5166</v>
      </c>
      <c r="B3546" s="7" t="s">
        <v>3832</v>
      </c>
      <c r="C3546" s="7" t="s">
        <v>47</v>
      </c>
      <c r="D3546" s="7" t="n">
        <v>74</v>
      </c>
      <c r="E3546" s="7" t="s">
        <v>70</v>
      </c>
      <c r="F3546" s="7" t="s">
        <v>39</v>
      </c>
      <c r="G3546" s="8" t="n">
        <v>45671</v>
      </c>
      <c r="H3546" s="8" t="n">
        <v>45678</v>
      </c>
      <c r="I3546" s="7" t="s">
        <v>40</v>
      </c>
      <c r="J3546" s="7" t="s">
        <v>41</v>
      </c>
      <c r="K3546" s="7" t="n">
        <v>7</v>
      </c>
      <c r="L3546" s="7" t="n">
        <v>0</v>
      </c>
      <c r="M3546" s="7" t="n">
        <v>0</v>
      </c>
      <c r="N3546" s="7" t="s">
        <v>42</v>
      </c>
      <c r="O3546" s="7" t="s">
        <v>52</v>
      </c>
      <c r="P3546" s="7" t="n">
        <v>14.7</v>
      </c>
      <c r="Q3546" s="7" t="n">
        <v>14</v>
      </c>
      <c r="R3546" s="7" t="s">
        <v>44</v>
      </c>
      <c r="S3546" s="7"/>
      <c r="T3546" s="7"/>
      <c r="U3546" s="7" t="str">
        <f aca="false">IF(COUNTIF($A$2:$A$5001,A3546)&gt;1,"Duplicate","Unique")</f>
        <v>Unique</v>
      </c>
      <c r="V3546" s="7" t="str">
        <f aca="false">IF(COUNTIFS($B$2:$B$5001,B3546,$H$2:$H$5001,H3546,$J$2:$J$5001,J3546)&gt;1,"Possible Duplicate Booking","Unique")</f>
        <v>Unique</v>
      </c>
      <c r="W3546" s="7" t="str">
        <f aca="false">IF((H3546-G3546)&lt;&gt;K3546,"Mismatch","OK")</f>
        <v>OK</v>
      </c>
      <c r="X3546" s="7" t="str">
        <f aca="false">IF(TEXT(H3546,"dddd")&lt;&gt;I3546,"Mismatch","OK")</f>
        <v>OK</v>
      </c>
      <c r="Y3546" s="7" t="str">
        <f aca="false">IF(AND(N3546="No",O3546&lt;&gt;""),"Unexpected: channel present but no reminder sent",IF(AND(N3546="Yes",O3546=""),"Missing channel for sent reminder","OK"))</f>
        <v>OK</v>
      </c>
    </row>
    <row r="3547" customFormat="false" ht="15" hidden="false" customHeight="false" outlineLevel="0" collapsed="false">
      <c r="A3547" s="9" t="s">
        <v>5167</v>
      </c>
      <c r="B3547" s="9" t="s">
        <v>5168</v>
      </c>
      <c r="C3547" s="9" t="s">
        <v>47</v>
      </c>
      <c r="D3547" s="9" t="n">
        <v>47</v>
      </c>
      <c r="E3547" s="9" t="s">
        <v>56</v>
      </c>
      <c r="F3547" s="9" t="s">
        <v>49</v>
      </c>
      <c r="G3547" s="10" t="n">
        <v>45953</v>
      </c>
      <c r="H3547" s="10" t="n">
        <v>46002</v>
      </c>
      <c r="I3547" s="9" t="s">
        <v>62</v>
      </c>
      <c r="J3547" s="9" t="s">
        <v>41</v>
      </c>
      <c r="K3547" s="9" t="n">
        <v>49</v>
      </c>
      <c r="L3547" s="9" t="n">
        <v>1</v>
      </c>
      <c r="M3547" s="9" t="n">
        <v>0</v>
      </c>
      <c r="N3547" s="9" t="s">
        <v>71</v>
      </c>
      <c r="O3547" s="9"/>
      <c r="P3547" s="9" t="n">
        <v>9.8</v>
      </c>
      <c r="Q3547" s="9" t="n">
        <v>34</v>
      </c>
      <c r="R3547" s="9" t="s">
        <v>44</v>
      </c>
      <c r="S3547" s="9"/>
      <c r="T3547" s="9"/>
      <c r="U3547" s="9" t="str">
        <f aca="false">IF(COUNTIF($A$2:$A$5001,A3547)&gt;1,"Duplicate","Unique")</f>
        <v>Unique</v>
      </c>
      <c r="V3547" s="9" t="str">
        <f aca="false">IF(COUNTIFS($B$2:$B$5001,B3547,$H$2:$H$5001,H3547,$J$2:$J$5001,J3547)&gt;1,"Possible Duplicate Booking","Unique")</f>
        <v>Unique</v>
      </c>
      <c r="W3547" s="9" t="str">
        <f aca="false">IF((H3547-G3547)&lt;&gt;K3547,"Mismatch","OK")</f>
        <v>OK</v>
      </c>
      <c r="X3547" s="9" t="str">
        <f aca="false">IF(TEXT(H3547,"dddd")&lt;&gt;I3547,"Mismatch","OK")</f>
        <v>OK</v>
      </c>
      <c r="Y3547" s="9" t="str">
        <f aca="false">IF(AND(N3547="No",O3547&lt;&gt;""),"Unexpected: channel present but no reminder sent",IF(AND(N3547="Yes",O3547=""),"Missing channel for sent reminder","OK"))</f>
        <v>OK</v>
      </c>
    </row>
    <row r="3548" customFormat="false" ht="15" hidden="false" customHeight="false" outlineLevel="0" collapsed="false">
      <c r="A3548" s="7" t="s">
        <v>5169</v>
      </c>
      <c r="B3548" s="7" t="s">
        <v>449</v>
      </c>
      <c r="C3548" s="7" t="s">
        <v>37</v>
      </c>
      <c r="D3548" s="7" t="n">
        <v>75</v>
      </c>
      <c r="E3548" s="7" t="s">
        <v>70</v>
      </c>
      <c r="F3548" s="7" t="s">
        <v>74</v>
      </c>
      <c r="G3548" s="8" t="n">
        <v>45839</v>
      </c>
      <c r="H3548" s="8" t="n">
        <v>45881</v>
      </c>
      <c r="I3548" s="7" t="s">
        <v>40</v>
      </c>
      <c r="J3548" s="7" t="s">
        <v>41</v>
      </c>
      <c r="K3548" s="7" t="n">
        <v>42</v>
      </c>
      <c r="L3548" s="7" t="n">
        <v>6</v>
      </c>
      <c r="M3548" s="7" t="n">
        <v>2</v>
      </c>
      <c r="N3548" s="7" t="s">
        <v>42</v>
      </c>
      <c r="O3548" s="7" t="s">
        <v>43</v>
      </c>
      <c r="P3548" s="7" t="n">
        <v>18.8</v>
      </c>
      <c r="Q3548" s="7" t="n">
        <v>21</v>
      </c>
      <c r="R3548" s="7" t="s">
        <v>44</v>
      </c>
      <c r="S3548" s="7"/>
      <c r="T3548" s="7"/>
      <c r="U3548" s="7" t="str">
        <f aca="false">IF(COUNTIF($A$2:$A$5001,A3548)&gt;1,"Duplicate","Unique")</f>
        <v>Unique</v>
      </c>
      <c r="V3548" s="7" t="str">
        <f aca="false">IF(COUNTIFS($B$2:$B$5001,B3548,$H$2:$H$5001,H3548,$J$2:$J$5001,J3548)&gt;1,"Possible Duplicate Booking","Unique")</f>
        <v>Unique</v>
      </c>
      <c r="W3548" s="7" t="str">
        <f aca="false">IF((H3548-G3548)&lt;&gt;K3548,"Mismatch","OK")</f>
        <v>OK</v>
      </c>
      <c r="X3548" s="7" t="str">
        <f aca="false">IF(TEXT(H3548,"dddd")&lt;&gt;I3548,"Mismatch","OK")</f>
        <v>OK</v>
      </c>
      <c r="Y3548" s="7" t="str">
        <f aca="false">IF(AND(N3548="No",O3548&lt;&gt;""),"Unexpected: channel present but no reminder sent",IF(AND(N3548="Yes",O3548=""),"Missing channel for sent reminder","OK"))</f>
        <v>OK</v>
      </c>
    </row>
    <row r="3549" customFormat="false" ht="15" hidden="false" customHeight="false" outlineLevel="0" collapsed="false">
      <c r="A3549" s="9" t="s">
        <v>5170</v>
      </c>
      <c r="B3549" s="9" t="s">
        <v>3220</v>
      </c>
      <c r="C3549" s="9" t="s">
        <v>47</v>
      </c>
      <c r="D3549" s="9" t="n">
        <v>79</v>
      </c>
      <c r="E3549" s="9" t="s">
        <v>70</v>
      </c>
      <c r="F3549" s="9" t="s">
        <v>39</v>
      </c>
      <c r="G3549" s="10" t="n">
        <v>46087</v>
      </c>
      <c r="H3549" s="10" t="n">
        <v>46139</v>
      </c>
      <c r="I3549" s="9" t="s">
        <v>66</v>
      </c>
      <c r="J3549" s="9" t="s">
        <v>51</v>
      </c>
      <c r="K3549" s="9" t="n">
        <v>52</v>
      </c>
      <c r="L3549" s="9" t="n">
        <v>0</v>
      </c>
      <c r="M3549" s="9" t="n">
        <v>0</v>
      </c>
      <c r="N3549" s="9" t="s">
        <v>42</v>
      </c>
      <c r="O3549" s="9" t="s">
        <v>52</v>
      </c>
      <c r="P3549" s="9" t="n">
        <v>5.3</v>
      </c>
      <c r="Q3549" s="9" t="n">
        <v>31</v>
      </c>
      <c r="R3549" s="9" t="s">
        <v>44</v>
      </c>
      <c r="S3549" s="9"/>
      <c r="T3549" s="9"/>
      <c r="U3549" s="9" t="str">
        <f aca="false">IF(COUNTIF($A$2:$A$5001,A3549)&gt;1,"Duplicate","Unique")</f>
        <v>Unique</v>
      </c>
      <c r="V3549" s="9" t="str">
        <f aca="false">IF(COUNTIFS($B$2:$B$5001,B3549,$H$2:$H$5001,H3549,$J$2:$J$5001,J3549)&gt;1,"Possible Duplicate Booking","Unique")</f>
        <v>Unique</v>
      </c>
      <c r="W3549" s="9" t="str">
        <f aca="false">IF((H3549-G3549)&lt;&gt;K3549,"Mismatch","OK")</f>
        <v>OK</v>
      </c>
      <c r="X3549" s="9" t="str">
        <f aca="false">IF(TEXT(H3549,"dddd")&lt;&gt;I3549,"Mismatch","OK")</f>
        <v>OK</v>
      </c>
      <c r="Y3549" s="9" t="str">
        <f aca="false">IF(AND(N3549="No",O3549&lt;&gt;""),"Unexpected: channel present but no reminder sent",IF(AND(N3549="Yes",O3549=""),"Missing channel for sent reminder","OK"))</f>
        <v>OK</v>
      </c>
    </row>
    <row r="3550" customFormat="false" ht="15" hidden="false" customHeight="false" outlineLevel="0" collapsed="false">
      <c r="A3550" s="7" t="s">
        <v>5171</v>
      </c>
      <c r="B3550" s="7" t="s">
        <v>2224</v>
      </c>
      <c r="C3550" s="7" t="s">
        <v>37</v>
      </c>
      <c r="D3550" s="7" t="n">
        <v>21</v>
      </c>
      <c r="E3550" s="7" t="s">
        <v>82</v>
      </c>
      <c r="F3550" s="7" t="s">
        <v>57</v>
      </c>
      <c r="G3550" s="8" t="n">
        <v>45820</v>
      </c>
      <c r="H3550" s="8" t="n">
        <v>45825</v>
      </c>
      <c r="I3550" s="7" t="s">
        <v>40</v>
      </c>
      <c r="J3550" s="7" t="s">
        <v>63</v>
      </c>
      <c r="K3550" s="7" t="n">
        <v>5</v>
      </c>
      <c r="L3550" s="7" t="n">
        <v>8</v>
      </c>
      <c r="M3550" s="7" t="n">
        <v>3</v>
      </c>
      <c r="N3550" s="7" t="s">
        <v>42</v>
      </c>
      <c r="O3550" s="7" t="s">
        <v>52</v>
      </c>
      <c r="P3550" s="7" t="n">
        <v>17.8</v>
      </c>
      <c r="Q3550" s="7" t="n">
        <v>33</v>
      </c>
      <c r="R3550" s="7" t="s">
        <v>44</v>
      </c>
      <c r="S3550" s="7"/>
      <c r="T3550" s="7"/>
      <c r="U3550" s="7" t="str">
        <f aca="false">IF(COUNTIF($A$2:$A$5001,A3550)&gt;1,"Duplicate","Unique")</f>
        <v>Unique</v>
      </c>
      <c r="V3550" s="7" t="str">
        <f aca="false">IF(COUNTIFS($B$2:$B$5001,B3550,$H$2:$H$5001,H3550,$J$2:$J$5001,J3550)&gt;1,"Possible Duplicate Booking","Unique")</f>
        <v>Unique</v>
      </c>
      <c r="W3550" s="7" t="str">
        <f aca="false">IF((H3550-G3550)&lt;&gt;K3550,"Mismatch","OK")</f>
        <v>OK</v>
      </c>
      <c r="X3550" s="7" t="str">
        <f aca="false">IF(TEXT(H3550,"dddd")&lt;&gt;I3550,"Mismatch","OK")</f>
        <v>OK</v>
      </c>
      <c r="Y3550" s="7" t="str">
        <f aca="false">IF(AND(N3550="No",O3550&lt;&gt;""),"Unexpected: channel present but no reminder sent",IF(AND(N3550="Yes",O3550=""),"Missing channel for sent reminder","OK"))</f>
        <v>OK</v>
      </c>
    </row>
    <row r="3551" customFormat="false" ht="15" hidden="false" customHeight="false" outlineLevel="0" collapsed="false">
      <c r="A3551" s="9" t="s">
        <v>5172</v>
      </c>
      <c r="B3551" s="9" t="s">
        <v>3066</v>
      </c>
      <c r="C3551" s="9" t="s">
        <v>37</v>
      </c>
      <c r="D3551" s="9" t="n">
        <v>50</v>
      </c>
      <c r="E3551" s="9" t="s">
        <v>56</v>
      </c>
      <c r="F3551" s="9" t="s">
        <v>57</v>
      </c>
      <c r="G3551" s="10" t="n">
        <v>45994</v>
      </c>
      <c r="H3551" s="10" t="n">
        <v>46006</v>
      </c>
      <c r="I3551" s="9" t="s">
        <v>66</v>
      </c>
      <c r="J3551" s="9" t="s">
        <v>41</v>
      </c>
      <c r="K3551" s="9" t="n">
        <v>12</v>
      </c>
      <c r="L3551" s="9" t="n">
        <v>1</v>
      </c>
      <c r="M3551" s="9" t="n">
        <v>0</v>
      </c>
      <c r="N3551" s="9" t="s">
        <v>42</v>
      </c>
      <c r="O3551" s="9" t="s">
        <v>52</v>
      </c>
      <c r="P3551" s="9" t="n">
        <v>7.2</v>
      </c>
      <c r="Q3551" s="9" t="n">
        <v>3</v>
      </c>
      <c r="R3551" s="9" t="s">
        <v>53</v>
      </c>
      <c r="S3551" s="9"/>
      <c r="T3551" s="9"/>
      <c r="U3551" s="9" t="str">
        <f aca="false">IF(COUNTIF($A$2:$A$5001,A3551)&gt;1,"Duplicate","Unique")</f>
        <v>Unique</v>
      </c>
      <c r="V3551" s="9" t="str">
        <f aca="false">IF(COUNTIFS($B$2:$B$5001,B3551,$H$2:$H$5001,H3551,$J$2:$J$5001,J3551)&gt;1,"Possible Duplicate Booking","Unique")</f>
        <v>Unique</v>
      </c>
      <c r="W3551" s="9" t="str">
        <f aca="false">IF((H3551-G3551)&lt;&gt;K3551,"Mismatch","OK")</f>
        <v>OK</v>
      </c>
      <c r="X3551" s="9" t="str">
        <f aca="false">IF(TEXT(H3551,"dddd")&lt;&gt;I3551,"Mismatch","OK")</f>
        <v>OK</v>
      </c>
      <c r="Y3551" s="9" t="str">
        <f aca="false">IF(AND(N3551="No",O3551&lt;&gt;""),"Unexpected: channel present but no reminder sent",IF(AND(N3551="Yes",O3551=""),"Missing channel for sent reminder","OK"))</f>
        <v>OK</v>
      </c>
    </row>
    <row r="3552" customFormat="false" ht="15" hidden="false" customHeight="false" outlineLevel="0" collapsed="false">
      <c r="A3552" s="7" t="s">
        <v>5173</v>
      </c>
      <c r="B3552" s="7" t="s">
        <v>5174</v>
      </c>
      <c r="C3552" s="7" t="s">
        <v>47</v>
      </c>
      <c r="D3552" s="7" t="n">
        <v>51</v>
      </c>
      <c r="E3552" s="7" t="s">
        <v>56</v>
      </c>
      <c r="F3552" s="7" t="s">
        <v>57</v>
      </c>
      <c r="G3552" s="8" t="n">
        <v>45845</v>
      </c>
      <c r="H3552" s="8" t="n">
        <v>45898</v>
      </c>
      <c r="I3552" s="7" t="s">
        <v>50</v>
      </c>
      <c r="J3552" s="7" t="s">
        <v>41</v>
      </c>
      <c r="K3552" s="7" t="n">
        <v>53</v>
      </c>
      <c r="L3552" s="7" t="n">
        <v>5</v>
      </c>
      <c r="M3552" s="7" t="n">
        <v>2</v>
      </c>
      <c r="N3552" s="7" t="s">
        <v>42</v>
      </c>
      <c r="O3552" s="7" t="s">
        <v>43</v>
      </c>
      <c r="P3552" s="7" t="n">
        <v>4.4</v>
      </c>
      <c r="Q3552" s="7" t="n">
        <v>23</v>
      </c>
      <c r="R3552" s="7" t="s">
        <v>44</v>
      </c>
      <c r="S3552" s="7"/>
      <c r="T3552" s="7"/>
      <c r="U3552" s="7" t="str">
        <f aca="false">IF(COUNTIF($A$2:$A$5001,A3552)&gt;1,"Duplicate","Unique")</f>
        <v>Unique</v>
      </c>
      <c r="V3552" s="7" t="str">
        <f aca="false">IF(COUNTIFS($B$2:$B$5001,B3552,$H$2:$H$5001,H3552,$J$2:$J$5001,J3552)&gt;1,"Possible Duplicate Booking","Unique")</f>
        <v>Unique</v>
      </c>
      <c r="W3552" s="7" t="str">
        <f aca="false">IF((H3552-G3552)&lt;&gt;K3552,"Mismatch","OK")</f>
        <v>OK</v>
      </c>
      <c r="X3552" s="7" t="str">
        <f aca="false">IF(TEXT(H3552,"dddd")&lt;&gt;I3552,"Mismatch","OK")</f>
        <v>OK</v>
      </c>
      <c r="Y3552" s="7" t="str">
        <f aca="false">IF(AND(N3552="No",O3552&lt;&gt;""),"Unexpected: channel present but no reminder sent",IF(AND(N3552="Yes",O3552=""),"Missing channel for sent reminder","OK"))</f>
        <v>OK</v>
      </c>
    </row>
    <row r="3553" customFormat="false" ht="15" hidden="false" customHeight="false" outlineLevel="0" collapsed="false">
      <c r="A3553" s="9" t="s">
        <v>5175</v>
      </c>
      <c r="B3553" s="9" t="s">
        <v>2682</v>
      </c>
      <c r="C3553" s="9" t="s">
        <v>37</v>
      </c>
      <c r="D3553" s="9" t="n">
        <v>42</v>
      </c>
      <c r="E3553" s="9" t="s">
        <v>38</v>
      </c>
      <c r="F3553" s="9" t="s">
        <v>57</v>
      </c>
      <c r="G3553" s="10" t="n">
        <v>45941</v>
      </c>
      <c r="H3553" s="10" t="n">
        <v>45943</v>
      </c>
      <c r="I3553" s="9" t="s">
        <v>66</v>
      </c>
      <c r="J3553" s="9" t="s">
        <v>51</v>
      </c>
      <c r="K3553" s="9" t="n">
        <v>2</v>
      </c>
      <c r="L3553" s="9" t="n">
        <v>3</v>
      </c>
      <c r="M3553" s="9" t="n">
        <v>0</v>
      </c>
      <c r="N3553" s="9" t="s">
        <v>71</v>
      </c>
      <c r="O3553" s="9"/>
      <c r="P3553" s="9" t="n">
        <v>9.9</v>
      </c>
      <c r="Q3553" s="9" t="n">
        <v>7</v>
      </c>
      <c r="R3553" s="9" t="s">
        <v>53</v>
      </c>
      <c r="S3553" s="9"/>
      <c r="T3553" s="9"/>
      <c r="U3553" s="9" t="str">
        <f aca="false">IF(COUNTIF($A$2:$A$5001,A3553)&gt;1,"Duplicate","Unique")</f>
        <v>Unique</v>
      </c>
      <c r="V3553" s="9" t="str">
        <f aca="false">IF(COUNTIFS($B$2:$B$5001,B3553,$H$2:$H$5001,H3553,$J$2:$J$5001,J3553)&gt;1,"Possible Duplicate Booking","Unique")</f>
        <v>Unique</v>
      </c>
      <c r="W3553" s="9" t="str">
        <f aca="false">IF((H3553-G3553)&lt;&gt;K3553,"Mismatch","OK")</f>
        <v>OK</v>
      </c>
      <c r="X3553" s="9" t="str">
        <f aca="false">IF(TEXT(H3553,"dddd")&lt;&gt;I3553,"Mismatch","OK")</f>
        <v>OK</v>
      </c>
      <c r="Y3553" s="9" t="str">
        <f aca="false">IF(AND(N3553="No",O3553&lt;&gt;""),"Unexpected: channel present but no reminder sent",IF(AND(N3553="Yes",O3553=""),"Missing channel for sent reminder","OK"))</f>
        <v>OK</v>
      </c>
    </row>
    <row r="3554" customFormat="false" ht="15" hidden="false" customHeight="false" outlineLevel="0" collapsed="false">
      <c r="A3554" s="7" t="s">
        <v>5176</v>
      </c>
      <c r="B3554" s="7" t="s">
        <v>936</v>
      </c>
      <c r="C3554" s="7" t="s">
        <v>47</v>
      </c>
      <c r="D3554" s="7" t="n">
        <v>70</v>
      </c>
      <c r="E3554" s="7" t="s">
        <v>70</v>
      </c>
      <c r="F3554" s="7" t="s">
        <v>49</v>
      </c>
      <c r="G3554" s="8" t="n">
        <v>46139</v>
      </c>
      <c r="H3554" s="8" t="n">
        <v>46170</v>
      </c>
      <c r="I3554" s="7" t="s">
        <v>62</v>
      </c>
      <c r="J3554" s="7" t="s">
        <v>63</v>
      </c>
      <c r="K3554" s="7" t="n">
        <v>31</v>
      </c>
      <c r="L3554" s="7" t="n">
        <v>3</v>
      </c>
      <c r="M3554" s="7" t="n">
        <v>1</v>
      </c>
      <c r="N3554" s="7" t="s">
        <v>42</v>
      </c>
      <c r="O3554" s="7" t="s">
        <v>43</v>
      </c>
      <c r="P3554" s="7" t="n">
        <v>8.2</v>
      </c>
      <c r="Q3554" s="7" t="n">
        <v>5</v>
      </c>
      <c r="R3554" s="7" t="s">
        <v>44</v>
      </c>
      <c r="S3554" s="7"/>
      <c r="T3554" s="7"/>
      <c r="U3554" s="7" t="str">
        <f aca="false">IF(COUNTIF($A$2:$A$5001,A3554)&gt;1,"Duplicate","Unique")</f>
        <v>Unique</v>
      </c>
      <c r="V3554" s="7" t="str">
        <f aca="false">IF(COUNTIFS($B$2:$B$5001,B3554,$H$2:$H$5001,H3554,$J$2:$J$5001,J3554)&gt;1,"Possible Duplicate Booking","Unique")</f>
        <v>Unique</v>
      </c>
      <c r="W3554" s="7" t="str">
        <f aca="false">IF((H3554-G3554)&lt;&gt;K3554,"Mismatch","OK")</f>
        <v>OK</v>
      </c>
      <c r="X3554" s="7" t="str">
        <f aca="false">IF(TEXT(H3554,"dddd")&lt;&gt;I3554,"Mismatch","OK")</f>
        <v>OK</v>
      </c>
      <c r="Y3554" s="7" t="str">
        <f aca="false">IF(AND(N3554="No",O3554&lt;&gt;""),"Unexpected: channel present but no reminder sent",IF(AND(N3554="Yes",O3554=""),"Missing channel for sent reminder","OK"))</f>
        <v>OK</v>
      </c>
    </row>
    <row r="3555" customFormat="false" ht="15" hidden="false" customHeight="false" outlineLevel="0" collapsed="false">
      <c r="A3555" s="9" t="s">
        <v>5177</v>
      </c>
      <c r="B3555" s="9" t="s">
        <v>1208</v>
      </c>
      <c r="C3555" s="9" t="s">
        <v>47</v>
      </c>
      <c r="D3555" s="9" t="n">
        <v>42</v>
      </c>
      <c r="E3555" s="9" t="s">
        <v>38</v>
      </c>
      <c r="F3555" s="9" t="s">
        <v>57</v>
      </c>
      <c r="G3555" s="10" t="n">
        <v>46023</v>
      </c>
      <c r="H3555" s="10" t="n">
        <v>46047</v>
      </c>
      <c r="I3555" s="9" t="s">
        <v>75</v>
      </c>
      <c r="J3555" s="9" t="s">
        <v>41</v>
      </c>
      <c r="K3555" s="9" t="n">
        <v>24</v>
      </c>
      <c r="L3555" s="9" t="n">
        <v>4</v>
      </c>
      <c r="M3555" s="9" t="n">
        <v>1</v>
      </c>
      <c r="N3555" s="9" t="s">
        <v>42</v>
      </c>
      <c r="O3555" s="9" t="s">
        <v>52</v>
      </c>
      <c r="P3555" s="9" t="n">
        <v>2.8</v>
      </c>
      <c r="Q3555" s="9" t="n">
        <v>21</v>
      </c>
      <c r="R3555" s="9" t="s">
        <v>44</v>
      </c>
      <c r="S3555" s="9"/>
      <c r="T3555" s="9"/>
      <c r="U3555" s="9" t="str">
        <f aca="false">IF(COUNTIF($A$2:$A$5001,A3555)&gt;1,"Duplicate","Unique")</f>
        <v>Unique</v>
      </c>
      <c r="V3555" s="9" t="str">
        <f aca="false">IF(COUNTIFS($B$2:$B$5001,B3555,$H$2:$H$5001,H3555,$J$2:$J$5001,J3555)&gt;1,"Possible Duplicate Booking","Unique")</f>
        <v>Unique</v>
      </c>
      <c r="W3555" s="9" t="str">
        <f aca="false">IF((H3555-G3555)&lt;&gt;K3555,"Mismatch","OK")</f>
        <v>OK</v>
      </c>
      <c r="X3555" s="9" t="str">
        <f aca="false">IF(TEXT(H3555,"dddd")&lt;&gt;I3555,"Mismatch","OK")</f>
        <v>OK</v>
      </c>
      <c r="Y3555" s="9" t="str">
        <f aca="false">IF(AND(N3555="No",O3555&lt;&gt;""),"Unexpected: channel present but no reminder sent",IF(AND(N3555="Yes",O3555=""),"Missing channel for sent reminder","OK"))</f>
        <v>OK</v>
      </c>
    </row>
    <row r="3556" customFormat="false" ht="15" hidden="false" customHeight="false" outlineLevel="0" collapsed="false">
      <c r="A3556" s="7" t="s">
        <v>5178</v>
      </c>
      <c r="B3556" s="7" t="s">
        <v>514</v>
      </c>
      <c r="C3556" s="7" t="s">
        <v>37</v>
      </c>
      <c r="D3556" s="7" t="n">
        <v>21</v>
      </c>
      <c r="E3556" s="7" t="s">
        <v>82</v>
      </c>
      <c r="F3556" s="7" t="s">
        <v>57</v>
      </c>
      <c r="G3556" s="8" t="n">
        <v>45827</v>
      </c>
      <c r="H3556" s="8" t="n">
        <v>45884</v>
      </c>
      <c r="I3556" s="7" t="s">
        <v>50</v>
      </c>
      <c r="J3556" s="7" t="s">
        <v>51</v>
      </c>
      <c r="K3556" s="7" t="n">
        <v>57</v>
      </c>
      <c r="L3556" s="7" t="n">
        <v>4</v>
      </c>
      <c r="M3556" s="7" t="n">
        <v>2</v>
      </c>
      <c r="N3556" s="7" t="s">
        <v>71</v>
      </c>
      <c r="O3556" s="7"/>
      <c r="P3556" s="7" t="n">
        <v>9.3</v>
      </c>
      <c r="Q3556" s="7" t="n">
        <v>27</v>
      </c>
      <c r="R3556" s="7" t="s">
        <v>53</v>
      </c>
      <c r="S3556" s="7"/>
      <c r="T3556" s="7"/>
      <c r="U3556" s="7" t="str">
        <f aca="false">IF(COUNTIF($A$2:$A$5001,A3556)&gt;1,"Duplicate","Unique")</f>
        <v>Unique</v>
      </c>
      <c r="V3556" s="7" t="str">
        <f aca="false">IF(COUNTIFS($B$2:$B$5001,B3556,$H$2:$H$5001,H3556,$J$2:$J$5001,J3556)&gt;1,"Possible Duplicate Booking","Unique")</f>
        <v>Unique</v>
      </c>
      <c r="W3556" s="7" t="str">
        <f aca="false">IF((H3556-G3556)&lt;&gt;K3556,"Mismatch","OK")</f>
        <v>OK</v>
      </c>
      <c r="X3556" s="7" t="str">
        <f aca="false">IF(TEXT(H3556,"dddd")&lt;&gt;I3556,"Mismatch","OK")</f>
        <v>OK</v>
      </c>
      <c r="Y3556" s="7" t="str">
        <f aca="false">IF(AND(N3556="No",O3556&lt;&gt;""),"Unexpected: channel present but no reminder sent",IF(AND(N3556="Yes",O3556=""),"Missing channel for sent reminder","OK"))</f>
        <v>OK</v>
      </c>
    </row>
    <row r="3557" customFormat="false" ht="15" hidden="false" customHeight="false" outlineLevel="0" collapsed="false">
      <c r="A3557" s="9" t="s">
        <v>5179</v>
      </c>
      <c r="B3557" s="9" t="s">
        <v>4834</v>
      </c>
      <c r="C3557" s="9" t="s">
        <v>37</v>
      </c>
      <c r="D3557" s="9" t="n">
        <v>52</v>
      </c>
      <c r="E3557" s="9" t="s">
        <v>56</v>
      </c>
      <c r="F3557" s="9" t="s">
        <v>49</v>
      </c>
      <c r="G3557" s="10" t="n">
        <v>45850</v>
      </c>
      <c r="H3557" s="10" t="n">
        <v>45902</v>
      </c>
      <c r="I3557" s="9" t="s">
        <v>40</v>
      </c>
      <c r="J3557" s="9" t="s">
        <v>63</v>
      </c>
      <c r="K3557" s="9" t="n">
        <v>52</v>
      </c>
      <c r="L3557" s="9" t="n">
        <v>5</v>
      </c>
      <c r="M3557" s="9" t="n">
        <v>0</v>
      </c>
      <c r="N3557" s="9" t="s">
        <v>42</v>
      </c>
      <c r="O3557" s="9" t="s">
        <v>52</v>
      </c>
      <c r="P3557" s="9" t="n">
        <v>16</v>
      </c>
      <c r="Q3557" s="9" t="n">
        <v>7</v>
      </c>
      <c r="R3557" s="9" t="s">
        <v>53</v>
      </c>
      <c r="S3557" s="9"/>
      <c r="T3557" s="9"/>
      <c r="U3557" s="9" t="str">
        <f aca="false">IF(COUNTIF($A$2:$A$5001,A3557)&gt;1,"Duplicate","Unique")</f>
        <v>Unique</v>
      </c>
      <c r="V3557" s="9" t="str">
        <f aca="false">IF(COUNTIFS($B$2:$B$5001,B3557,$H$2:$H$5001,H3557,$J$2:$J$5001,J3557)&gt;1,"Possible Duplicate Booking","Unique")</f>
        <v>Unique</v>
      </c>
      <c r="W3557" s="9" t="str">
        <f aca="false">IF((H3557-G3557)&lt;&gt;K3557,"Mismatch","OK")</f>
        <v>OK</v>
      </c>
      <c r="X3557" s="9" t="str">
        <f aca="false">IF(TEXT(H3557,"dddd")&lt;&gt;I3557,"Mismatch","OK")</f>
        <v>OK</v>
      </c>
      <c r="Y3557" s="9" t="str">
        <f aca="false">IF(AND(N3557="No",O3557&lt;&gt;""),"Unexpected: channel present but no reminder sent",IF(AND(N3557="Yes",O3557=""),"Missing channel for sent reminder","OK"))</f>
        <v>OK</v>
      </c>
    </row>
    <row r="3558" customFormat="false" ht="15" hidden="false" customHeight="false" outlineLevel="0" collapsed="false">
      <c r="A3558" s="7" t="s">
        <v>5180</v>
      </c>
      <c r="B3558" s="7" t="s">
        <v>358</v>
      </c>
      <c r="C3558" s="7" t="s">
        <v>47</v>
      </c>
      <c r="D3558" s="7" t="n">
        <v>30</v>
      </c>
      <c r="E3558" s="7" t="s">
        <v>48</v>
      </c>
      <c r="F3558" s="7" t="s">
        <v>57</v>
      </c>
      <c r="G3558" s="8" t="n">
        <v>45988</v>
      </c>
      <c r="H3558" s="8" t="n">
        <v>46042</v>
      </c>
      <c r="I3558" s="7" t="s">
        <v>40</v>
      </c>
      <c r="J3558" s="7" t="s">
        <v>63</v>
      </c>
      <c r="K3558" s="7" t="n">
        <v>54</v>
      </c>
      <c r="L3558" s="7" t="n">
        <v>4</v>
      </c>
      <c r="M3558" s="7" t="n">
        <v>1</v>
      </c>
      <c r="N3558" s="7" t="s">
        <v>42</v>
      </c>
      <c r="O3558" s="7" t="s">
        <v>67</v>
      </c>
      <c r="P3558" s="7" t="n">
        <v>20.4</v>
      </c>
      <c r="Q3558" s="7" t="n">
        <v>27</v>
      </c>
      <c r="R3558" s="7" t="s">
        <v>44</v>
      </c>
      <c r="S3558" s="7"/>
      <c r="T3558" s="7"/>
      <c r="U3558" s="7" t="str">
        <f aca="false">IF(COUNTIF($A$2:$A$5001,A3558)&gt;1,"Duplicate","Unique")</f>
        <v>Unique</v>
      </c>
      <c r="V3558" s="7" t="str">
        <f aca="false">IF(COUNTIFS($B$2:$B$5001,B3558,$H$2:$H$5001,H3558,$J$2:$J$5001,J3558)&gt;1,"Possible Duplicate Booking","Unique")</f>
        <v>Unique</v>
      </c>
      <c r="W3558" s="7" t="str">
        <f aca="false">IF((H3558-G3558)&lt;&gt;K3558,"Mismatch","OK")</f>
        <v>OK</v>
      </c>
      <c r="X3558" s="7" t="str">
        <f aca="false">IF(TEXT(H3558,"dddd")&lt;&gt;I3558,"Mismatch","OK")</f>
        <v>OK</v>
      </c>
      <c r="Y3558" s="7" t="str">
        <f aca="false">IF(AND(N3558="No",O3558&lt;&gt;""),"Unexpected: channel present but no reminder sent",IF(AND(N3558="Yes",O3558=""),"Missing channel for sent reminder","OK"))</f>
        <v>OK</v>
      </c>
    </row>
    <row r="3559" customFormat="false" ht="15" hidden="false" customHeight="false" outlineLevel="0" collapsed="false">
      <c r="A3559" s="9" t="s">
        <v>5181</v>
      </c>
      <c r="B3559" s="9" t="s">
        <v>3946</v>
      </c>
      <c r="C3559" s="9" t="s">
        <v>37</v>
      </c>
      <c r="D3559" s="9" t="n">
        <v>40</v>
      </c>
      <c r="E3559" s="9" t="s">
        <v>38</v>
      </c>
      <c r="F3559" s="9" t="s">
        <v>57</v>
      </c>
      <c r="G3559" s="10" t="n">
        <v>45829</v>
      </c>
      <c r="H3559" s="10" t="n">
        <v>45846</v>
      </c>
      <c r="I3559" s="9" t="s">
        <v>40</v>
      </c>
      <c r="J3559" s="9" t="s">
        <v>41</v>
      </c>
      <c r="K3559" s="9" t="n">
        <v>17</v>
      </c>
      <c r="L3559" s="9" t="n">
        <v>5</v>
      </c>
      <c r="M3559" s="9" t="n">
        <v>1</v>
      </c>
      <c r="N3559" s="9" t="s">
        <v>71</v>
      </c>
      <c r="O3559" s="9"/>
      <c r="P3559" s="9" t="n">
        <v>14.6</v>
      </c>
      <c r="Q3559" s="9" t="n">
        <v>14</v>
      </c>
      <c r="R3559" s="9" t="s">
        <v>44</v>
      </c>
      <c r="S3559" s="9"/>
      <c r="T3559" s="9"/>
      <c r="U3559" s="9" t="str">
        <f aca="false">IF(COUNTIF($A$2:$A$5001,A3559)&gt;1,"Duplicate","Unique")</f>
        <v>Unique</v>
      </c>
      <c r="V3559" s="9" t="str">
        <f aca="false">IF(COUNTIFS($B$2:$B$5001,B3559,$H$2:$H$5001,H3559,$J$2:$J$5001,J3559)&gt;1,"Possible Duplicate Booking","Unique")</f>
        <v>Unique</v>
      </c>
      <c r="W3559" s="9" t="str">
        <f aca="false">IF((H3559-G3559)&lt;&gt;K3559,"Mismatch","OK")</f>
        <v>OK</v>
      </c>
      <c r="X3559" s="9" t="str">
        <f aca="false">IF(TEXT(H3559,"dddd")&lt;&gt;I3559,"Mismatch","OK")</f>
        <v>OK</v>
      </c>
      <c r="Y3559" s="9" t="str">
        <f aca="false">IF(AND(N3559="No",O3559&lt;&gt;""),"Unexpected: channel present but no reminder sent",IF(AND(N3559="Yes",O3559=""),"Missing channel for sent reminder","OK"))</f>
        <v>OK</v>
      </c>
    </row>
    <row r="3560" customFormat="false" ht="15" hidden="false" customHeight="false" outlineLevel="0" collapsed="false">
      <c r="A3560" s="7" t="s">
        <v>5182</v>
      </c>
      <c r="B3560" s="7" t="s">
        <v>1014</v>
      </c>
      <c r="C3560" s="7" t="s">
        <v>47</v>
      </c>
      <c r="D3560" s="7" t="n">
        <v>49</v>
      </c>
      <c r="E3560" s="7" t="s">
        <v>56</v>
      </c>
      <c r="F3560" s="7" t="s">
        <v>74</v>
      </c>
      <c r="G3560" s="8" t="n">
        <v>45714</v>
      </c>
      <c r="H3560" s="8" t="n">
        <v>45749</v>
      </c>
      <c r="I3560" s="7" t="s">
        <v>58</v>
      </c>
      <c r="J3560" s="7" t="s">
        <v>41</v>
      </c>
      <c r="K3560" s="7" t="n">
        <v>35</v>
      </c>
      <c r="L3560" s="7" t="n">
        <v>2</v>
      </c>
      <c r="M3560" s="7" t="n">
        <v>2</v>
      </c>
      <c r="N3560" s="7" t="s">
        <v>42</v>
      </c>
      <c r="O3560" s="7" t="s">
        <v>52</v>
      </c>
      <c r="P3560" s="7" t="n">
        <v>5</v>
      </c>
      <c r="Q3560" s="7" t="n">
        <v>25</v>
      </c>
      <c r="R3560" s="7" t="s">
        <v>53</v>
      </c>
      <c r="S3560" s="7"/>
      <c r="T3560" s="7"/>
      <c r="U3560" s="7" t="str">
        <f aca="false">IF(COUNTIF($A$2:$A$5001,A3560)&gt;1,"Duplicate","Unique")</f>
        <v>Unique</v>
      </c>
      <c r="V3560" s="7" t="str">
        <f aca="false">IF(COUNTIFS($B$2:$B$5001,B3560,$H$2:$H$5001,H3560,$J$2:$J$5001,J3560)&gt;1,"Possible Duplicate Booking","Unique")</f>
        <v>Unique</v>
      </c>
      <c r="W3560" s="7" t="str">
        <f aca="false">IF((H3560-G3560)&lt;&gt;K3560,"Mismatch","OK")</f>
        <v>OK</v>
      </c>
      <c r="X3560" s="7" t="str">
        <f aca="false">IF(TEXT(H3560,"dddd")&lt;&gt;I3560,"Mismatch","OK")</f>
        <v>OK</v>
      </c>
      <c r="Y3560" s="7" t="str">
        <f aca="false">IF(AND(N3560="No",O3560&lt;&gt;""),"Unexpected: channel present but no reminder sent",IF(AND(N3560="Yes",O3560=""),"Missing channel for sent reminder","OK"))</f>
        <v>OK</v>
      </c>
    </row>
    <row r="3561" customFormat="false" ht="15" hidden="false" customHeight="false" outlineLevel="0" collapsed="false">
      <c r="A3561" s="9" t="s">
        <v>5183</v>
      </c>
      <c r="B3561" s="9" t="s">
        <v>5184</v>
      </c>
      <c r="C3561" s="9" t="s">
        <v>37</v>
      </c>
      <c r="D3561" s="9" t="n">
        <v>63</v>
      </c>
      <c r="E3561" s="9" t="s">
        <v>61</v>
      </c>
      <c r="F3561" s="9" t="s">
        <v>57</v>
      </c>
      <c r="G3561" s="10" t="n">
        <v>45871</v>
      </c>
      <c r="H3561" s="10" t="n">
        <v>45913</v>
      </c>
      <c r="I3561" s="9" t="s">
        <v>102</v>
      </c>
      <c r="J3561" s="9" t="s">
        <v>51</v>
      </c>
      <c r="K3561" s="9" t="n">
        <v>42</v>
      </c>
      <c r="L3561" s="9" t="n">
        <v>5</v>
      </c>
      <c r="M3561" s="9" t="n">
        <v>1</v>
      </c>
      <c r="N3561" s="9" t="s">
        <v>71</v>
      </c>
      <c r="O3561" s="9"/>
      <c r="P3561" s="9" t="n">
        <v>11.6</v>
      </c>
      <c r="Q3561" s="9" t="n">
        <v>52</v>
      </c>
      <c r="R3561" s="9" t="s">
        <v>53</v>
      </c>
      <c r="S3561" s="9"/>
      <c r="T3561" s="9"/>
      <c r="U3561" s="9" t="str">
        <f aca="false">IF(COUNTIF($A$2:$A$5001,A3561)&gt;1,"Duplicate","Unique")</f>
        <v>Unique</v>
      </c>
      <c r="V3561" s="9" t="str">
        <f aca="false">IF(COUNTIFS($B$2:$B$5001,B3561,$H$2:$H$5001,H3561,$J$2:$J$5001,J3561)&gt;1,"Possible Duplicate Booking","Unique")</f>
        <v>Unique</v>
      </c>
      <c r="W3561" s="9" t="str">
        <f aca="false">IF((H3561-G3561)&lt;&gt;K3561,"Mismatch","OK")</f>
        <v>OK</v>
      </c>
      <c r="X3561" s="9" t="str">
        <f aca="false">IF(TEXT(H3561,"dddd")&lt;&gt;I3561,"Mismatch","OK")</f>
        <v>OK</v>
      </c>
      <c r="Y3561" s="9" t="str">
        <f aca="false">IF(AND(N3561="No",O3561&lt;&gt;""),"Unexpected: channel present but no reminder sent",IF(AND(N3561="Yes",O3561=""),"Missing channel for sent reminder","OK"))</f>
        <v>OK</v>
      </c>
    </row>
    <row r="3562" customFormat="false" ht="15" hidden="false" customHeight="false" outlineLevel="0" collapsed="false">
      <c r="A3562" s="7" t="s">
        <v>5185</v>
      </c>
      <c r="B3562" s="7" t="s">
        <v>1832</v>
      </c>
      <c r="C3562" s="7" t="s">
        <v>47</v>
      </c>
      <c r="D3562" s="7" t="n">
        <v>35</v>
      </c>
      <c r="E3562" s="7" t="s">
        <v>38</v>
      </c>
      <c r="F3562" s="7" t="s">
        <v>57</v>
      </c>
      <c r="G3562" s="8" t="n">
        <v>45636</v>
      </c>
      <c r="H3562" s="8" t="n">
        <v>45695</v>
      </c>
      <c r="I3562" s="7" t="s">
        <v>50</v>
      </c>
      <c r="J3562" s="7" t="s">
        <v>41</v>
      </c>
      <c r="K3562" s="7" t="n">
        <v>59</v>
      </c>
      <c r="L3562" s="7" t="n">
        <v>7</v>
      </c>
      <c r="M3562" s="7" t="n">
        <v>1</v>
      </c>
      <c r="N3562" s="7" t="s">
        <v>42</v>
      </c>
      <c r="O3562" s="7" t="s">
        <v>52</v>
      </c>
      <c r="P3562" s="7" t="n">
        <v>2.4</v>
      </c>
      <c r="Q3562" s="7" t="n">
        <v>21</v>
      </c>
      <c r="R3562" s="7" t="s">
        <v>53</v>
      </c>
      <c r="S3562" s="7"/>
      <c r="T3562" s="7"/>
      <c r="U3562" s="7" t="str">
        <f aca="false">IF(COUNTIF($A$2:$A$5001,A3562)&gt;1,"Duplicate","Unique")</f>
        <v>Unique</v>
      </c>
      <c r="V3562" s="7" t="str">
        <f aca="false">IF(COUNTIFS($B$2:$B$5001,B3562,$H$2:$H$5001,H3562,$J$2:$J$5001,J3562)&gt;1,"Possible Duplicate Booking","Unique")</f>
        <v>Unique</v>
      </c>
      <c r="W3562" s="7" t="str">
        <f aca="false">IF((H3562-G3562)&lt;&gt;K3562,"Mismatch","OK")</f>
        <v>OK</v>
      </c>
      <c r="X3562" s="7" t="str">
        <f aca="false">IF(TEXT(H3562,"dddd")&lt;&gt;I3562,"Mismatch","OK")</f>
        <v>OK</v>
      </c>
      <c r="Y3562" s="7" t="str">
        <f aca="false">IF(AND(N3562="No",O3562&lt;&gt;""),"Unexpected: channel present but no reminder sent",IF(AND(N3562="Yes",O3562=""),"Missing channel for sent reminder","OK"))</f>
        <v>OK</v>
      </c>
    </row>
    <row r="3563" customFormat="false" ht="15" hidden="false" customHeight="false" outlineLevel="0" collapsed="false">
      <c r="A3563" s="9" t="s">
        <v>5186</v>
      </c>
      <c r="B3563" s="9" t="s">
        <v>5187</v>
      </c>
      <c r="C3563" s="9" t="s">
        <v>37</v>
      </c>
      <c r="D3563" s="9" t="n">
        <v>41</v>
      </c>
      <c r="E3563" s="9" t="s">
        <v>38</v>
      </c>
      <c r="F3563" s="9" t="s">
        <v>39</v>
      </c>
      <c r="G3563" s="10" t="n">
        <v>45750</v>
      </c>
      <c r="H3563" s="10" t="n">
        <v>45750</v>
      </c>
      <c r="I3563" s="9" t="s">
        <v>62</v>
      </c>
      <c r="J3563" s="9" t="s">
        <v>51</v>
      </c>
      <c r="K3563" s="9" t="n">
        <v>0</v>
      </c>
      <c r="L3563" s="9" t="n">
        <v>2</v>
      </c>
      <c r="M3563" s="9" t="n">
        <v>1</v>
      </c>
      <c r="N3563" s="9" t="s">
        <v>42</v>
      </c>
      <c r="O3563" s="9" t="s">
        <v>43</v>
      </c>
      <c r="P3563" s="9" t="n">
        <v>13.4</v>
      </c>
      <c r="Q3563" s="9" t="n">
        <v>11</v>
      </c>
      <c r="R3563" s="9" t="s">
        <v>53</v>
      </c>
      <c r="S3563" s="9"/>
      <c r="T3563" s="9"/>
      <c r="U3563" s="9" t="str">
        <f aca="false">IF(COUNTIF($A$2:$A$5001,A3563)&gt;1,"Duplicate","Unique")</f>
        <v>Unique</v>
      </c>
      <c r="V3563" s="9" t="str">
        <f aca="false">IF(COUNTIFS($B$2:$B$5001,B3563,$H$2:$H$5001,H3563,$J$2:$J$5001,J3563)&gt;1,"Possible Duplicate Booking","Unique")</f>
        <v>Unique</v>
      </c>
      <c r="W3563" s="9" t="str">
        <f aca="false">IF((H3563-G3563)&lt;&gt;K3563,"Mismatch","OK")</f>
        <v>OK</v>
      </c>
      <c r="X3563" s="9" t="str">
        <f aca="false">IF(TEXT(H3563,"dddd")&lt;&gt;I3563,"Mismatch","OK")</f>
        <v>OK</v>
      </c>
      <c r="Y3563" s="9" t="str">
        <f aca="false">IF(AND(N3563="No",O3563&lt;&gt;""),"Unexpected: channel present but no reminder sent",IF(AND(N3563="Yes",O3563=""),"Missing channel for sent reminder","OK"))</f>
        <v>OK</v>
      </c>
    </row>
    <row r="3564" customFormat="false" ht="15" hidden="false" customHeight="false" outlineLevel="0" collapsed="false">
      <c r="A3564" s="7" t="s">
        <v>5188</v>
      </c>
      <c r="B3564" s="7" t="s">
        <v>284</v>
      </c>
      <c r="C3564" s="7" t="s">
        <v>37</v>
      </c>
      <c r="D3564" s="7" t="n">
        <v>22</v>
      </c>
      <c r="E3564" s="7" t="s">
        <v>82</v>
      </c>
      <c r="F3564" s="7" t="s">
        <v>57</v>
      </c>
      <c r="G3564" s="8" t="n">
        <v>45828</v>
      </c>
      <c r="H3564" s="8" t="n">
        <v>45887</v>
      </c>
      <c r="I3564" s="7" t="s">
        <v>66</v>
      </c>
      <c r="J3564" s="7" t="s">
        <v>41</v>
      </c>
      <c r="K3564" s="7" t="n">
        <v>59</v>
      </c>
      <c r="L3564" s="7" t="n">
        <v>2</v>
      </c>
      <c r="M3564" s="7" t="n">
        <v>0</v>
      </c>
      <c r="N3564" s="7" t="s">
        <v>42</v>
      </c>
      <c r="O3564" s="7" t="s">
        <v>52</v>
      </c>
      <c r="P3564" s="7" t="n">
        <v>12.7</v>
      </c>
      <c r="Q3564" s="7" t="n">
        <v>24</v>
      </c>
      <c r="R3564" s="7" t="s">
        <v>53</v>
      </c>
      <c r="S3564" s="7"/>
      <c r="T3564" s="7"/>
      <c r="U3564" s="7" t="str">
        <f aca="false">IF(COUNTIF($A$2:$A$5001,A3564)&gt;1,"Duplicate","Unique")</f>
        <v>Unique</v>
      </c>
      <c r="V3564" s="7" t="str">
        <f aca="false">IF(COUNTIFS($B$2:$B$5001,B3564,$H$2:$H$5001,H3564,$J$2:$J$5001,J3564)&gt;1,"Possible Duplicate Booking","Unique")</f>
        <v>Unique</v>
      </c>
      <c r="W3564" s="7" t="str">
        <f aca="false">IF((H3564-G3564)&lt;&gt;K3564,"Mismatch","OK")</f>
        <v>OK</v>
      </c>
      <c r="X3564" s="7" t="str">
        <f aca="false">IF(TEXT(H3564,"dddd")&lt;&gt;I3564,"Mismatch","OK")</f>
        <v>OK</v>
      </c>
      <c r="Y3564" s="7" t="str">
        <f aca="false">IF(AND(N3564="No",O3564&lt;&gt;""),"Unexpected: channel present but no reminder sent",IF(AND(N3564="Yes",O3564=""),"Missing channel for sent reminder","OK"))</f>
        <v>OK</v>
      </c>
    </row>
    <row r="3565" customFormat="false" ht="15" hidden="false" customHeight="false" outlineLevel="0" collapsed="false">
      <c r="A3565" s="9" t="s">
        <v>5189</v>
      </c>
      <c r="B3565" s="9" t="s">
        <v>2433</v>
      </c>
      <c r="C3565" s="9" t="s">
        <v>47</v>
      </c>
      <c r="D3565" s="9" t="n">
        <v>42</v>
      </c>
      <c r="E3565" s="9" t="s">
        <v>38</v>
      </c>
      <c r="F3565" s="9" t="s">
        <v>57</v>
      </c>
      <c r="G3565" s="10" t="n">
        <v>46071</v>
      </c>
      <c r="H3565" s="10" t="n">
        <v>46092</v>
      </c>
      <c r="I3565" s="9" t="s">
        <v>58</v>
      </c>
      <c r="J3565" s="9" t="s">
        <v>51</v>
      </c>
      <c r="K3565" s="9" t="n">
        <v>21</v>
      </c>
      <c r="L3565" s="9" t="n">
        <v>1</v>
      </c>
      <c r="M3565" s="9" t="n">
        <v>0</v>
      </c>
      <c r="N3565" s="9" t="s">
        <v>71</v>
      </c>
      <c r="O3565" s="9"/>
      <c r="P3565" s="9" t="n">
        <v>5</v>
      </c>
      <c r="Q3565" s="9" t="n">
        <v>22</v>
      </c>
      <c r="R3565" s="9" t="s">
        <v>44</v>
      </c>
      <c r="S3565" s="9"/>
      <c r="T3565" s="9"/>
      <c r="U3565" s="9" t="str">
        <f aca="false">IF(COUNTIF($A$2:$A$5001,A3565)&gt;1,"Duplicate","Unique")</f>
        <v>Unique</v>
      </c>
      <c r="V3565" s="9" t="str">
        <f aca="false">IF(COUNTIFS($B$2:$B$5001,B3565,$H$2:$H$5001,H3565,$J$2:$J$5001,J3565)&gt;1,"Possible Duplicate Booking","Unique")</f>
        <v>Unique</v>
      </c>
      <c r="W3565" s="9" t="str">
        <f aca="false">IF((H3565-G3565)&lt;&gt;K3565,"Mismatch","OK")</f>
        <v>OK</v>
      </c>
      <c r="X3565" s="9" t="str">
        <f aca="false">IF(TEXT(H3565,"dddd")&lt;&gt;I3565,"Mismatch","OK")</f>
        <v>OK</v>
      </c>
      <c r="Y3565" s="9" t="str">
        <f aca="false">IF(AND(N3565="No",O3565&lt;&gt;""),"Unexpected: channel present but no reminder sent",IF(AND(N3565="Yes",O3565=""),"Missing channel for sent reminder","OK"))</f>
        <v>OK</v>
      </c>
    </row>
    <row r="3566" customFormat="false" ht="15" hidden="false" customHeight="false" outlineLevel="0" collapsed="false">
      <c r="A3566" s="7" t="s">
        <v>5190</v>
      </c>
      <c r="B3566" s="7" t="s">
        <v>5191</v>
      </c>
      <c r="C3566" s="7" t="s">
        <v>37</v>
      </c>
      <c r="D3566" s="7" t="n">
        <v>54</v>
      </c>
      <c r="E3566" s="7" t="s">
        <v>56</v>
      </c>
      <c r="F3566" s="7" t="s">
        <v>57</v>
      </c>
      <c r="G3566" s="8" t="n">
        <v>46077</v>
      </c>
      <c r="H3566" s="8" t="n">
        <v>46084</v>
      </c>
      <c r="I3566" s="7" t="s">
        <v>40</v>
      </c>
      <c r="J3566" s="7" t="s">
        <v>51</v>
      </c>
      <c r="K3566" s="7" t="n">
        <v>7</v>
      </c>
      <c r="L3566" s="7" t="n">
        <v>5</v>
      </c>
      <c r="M3566" s="7" t="n">
        <v>0</v>
      </c>
      <c r="N3566" s="7" t="s">
        <v>42</v>
      </c>
      <c r="O3566" s="7" t="s">
        <v>43</v>
      </c>
      <c r="P3566" s="7" t="n">
        <v>7.1</v>
      </c>
      <c r="Q3566" s="7" t="n">
        <v>20</v>
      </c>
      <c r="R3566" s="7" t="s">
        <v>53</v>
      </c>
      <c r="S3566" s="7"/>
      <c r="T3566" s="7"/>
      <c r="U3566" s="7" t="str">
        <f aca="false">IF(COUNTIF($A$2:$A$5001,A3566)&gt;1,"Duplicate","Unique")</f>
        <v>Unique</v>
      </c>
      <c r="V3566" s="7" t="str">
        <f aca="false">IF(COUNTIFS($B$2:$B$5001,B3566,$H$2:$H$5001,H3566,$J$2:$J$5001,J3566)&gt;1,"Possible Duplicate Booking","Unique")</f>
        <v>Unique</v>
      </c>
      <c r="W3566" s="7" t="str">
        <f aca="false">IF((H3566-G3566)&lt;&gt;K3566,"Mismatch","OK")</f>
        <v>OK</v>
      </c>
      <c r="X3566" s="7" t="str">
        <f aca="false">IF(TEXT(H3566,"dddd")&lt;&gt;I3566,"Mismatch","OK")</f>
        <v>OK</v>
      </c>
      <c r="Y3566" s="7" t="str">
        <f aca="false">IF(AND(N3566="No",O3566&lt;&gt;""),"Unexpected: channel present but no reminder sent",IF(AND(N3566="Yes",O3566=""),"Missing channel for sent reminder","OK"))</f>
        <v>OK</v>
      </c>
    </row>
    <row r="3567" customFormat="false" ht="15" hidden="false" customHeight="false" outlineLevel="0" collapsed="false">
      <c r="A3567" s="9" t="s">
        <v>5192</v>
      </c>
      <c r="B3567" s="9" t="s">
        <v>3560</v>
      </c>
      <c r="C3567" s="9" t="s">
        <v>47</v>
      </c>
      <c r="D3567" s="9" t="n">
        <v>56</v>
      </c>
      <c r="E3567" s="9" t="s">
        <v>61</v>
      </c>
      <c r="F3567" s="9" t="s">
        <v>57</v>
      </c>
      <c r="G3567" s="10" t="n">
        <v>45763</v>
      </c>
      <c r="H3567" s="10" t="n">
        <v>45800</v>
      </c>
      <c r="I3567" s="9" t="s">
        <v>50</v>
      </c>
      <c r="J3567" s="9" t="s">
        <v>63</v>
      </c>
      <c r="K3567" s="9" t="n">
        <v>37</v>
      </c>
      <c r="L3567" s="9" t="n">
        <v>4</v>
      </c>
      <c r="M3567" s="9" t="n">
        <v>2</v>
      </c>
      <c r="N3567" s="9" t="s">
        <v>42</v>
      </c>
      <c r="O3567" s="9" t="s">
        <v>52</v>
      </c>
      <c r="P3567" s="9"/>
      <c r="Q3567" s="9" t="n">
        <v>24</v>
      </c>
      <c r="R3567" s="9" t="s">
        <v>44</v>
      </c>
      <c r="S3567" s="9"/>
      <c r="T3567" s="9"/>
      <c r="U3567" s="9" t="str">
        <f aca="false">IF(COUNTIF($A$2:$A$5001,A3567)&gt;1,"Duplicate","Unique")</f>
        <v>Unique</v>
      </c>
      <c r="V3567" s="9" t="str">
        <f aca="false">IF(COUNTIFS($B$2:$B$5001,B3567,$H$2:$H$5001,H3567,$J$2:$J$5001,J3567)&gt;1,"Possible Duplicate Booking","Unique")</f>
        <v>Unique</v>
      </c>
      <c r="W3567" s="9" t="str">
        <f aca="false">IF((H3567-G3567)&lt;&gt;K3567,"Mismatch","OK")</f>
        <v>OK</v>
      </c>
      <c r="X3567" s="9" t="str">
        <f aca="false">IF(TEXT(H3567,"dddd")&lt;&gt;I3567,"Mismatch","OK")</f>
        <v>OK</v>
      </c>
      <c r="Y3567" s="9" t="str">
        <f aca="false">IF(AND(N3567="No",O3567&lt;&gt;""),"Unexpected: channel present but no reminder sent",IF(AND(N3567="Yes",O3567=""),"Missing channel for sent reminder","OK"))</f>
        <v>OK</v>
      </c>
    </row>
    <row r="3568" customFormat="false" ht="15" hidden="false" customHeight="false" outlineLevel="0" collapsed="false">
      <c r="A3568" s="7" t="s">
        <v>5193</v>
      </c>
      <c r="B3568" s="7" t="s">
        <v>512</v>
      </c>
      <c r="C3568" s="7" t="s">
        <v>37</v>
      </c>
      <c r="D3568" s="7" t="n">
        <v>36</v>
      </c>
      <c r="E3568" s="7" t="s">
        <v>38</v>
      </c>
      <c r="F3568" s="7" t="s">
        <v>74</v>
      </c>
      <c r="G3568" s="8" t="n">
        <v>45841</v>
      </c>
      <c r="H3568" s="8" t="n">
        <v>45888</v>
      </c>
      <c r="I3568" s="7" t="s">
        <v>40</v>
      </c>
      <c r="J3568" s="7" t="s">
        <v>51</v>
      </c>
      <c r="K3568" s="7" t="n">
        <v>47</v>
      </c>
      <c r="L3568" s="7" t="n">
        <v>4</v>
      </c>
      <c r="M3568" s="7" t="n">
        <v>1</v>
      </c>
      <c r="N3568" s="7" t="s">
        <v>71</v>
      </c>
      <c r="O3568" s="7"/>
      <c r="P3568" s="7" t="n">
        <v>12.6</v>
      </c>
      <c r="Q3568" s="7" t="n">
        <v>22</v>
      </c>
      <c r="R3568" s="7" t="s">
        <v>44</v>
      </c>
      <c r="S3568" s="7"/>
      <c r="T3568" s="7"/>
      <c r="U3568" s="7" t="str">
        <f aca="false">IF(COUNTIF($A$2:$A$5001,A3568)&gt;1,"Duplicate","Unique")</f>
        <v>Unique</v>
      </c>
      <c r="V3568" s="7" t="str">
        <f aca="false">IF(COUNTIFS($B$2:$B$5001,B3568,$H$2:$H$5001,H3568,$J$2:$J$5001,J3568)&gt;1,"Possible Duplicate Booking","Unique")</f>
        <v>Unique</v>
      </c>
      <c r="W3568" s="7" t="str">
        <f aca="false">IF((H3568-G3568)&lt;&gt;K3568,"Mismatch","OK")</f>
        <v>OK</v>
      </c>
      <c r="X3568" s="7" t="str">
        <f aca="false">IF(TEXT(H3568,"dddd")&lt;&gt;I3568,"Mismatch","OK")</f>
        <v>OK</v>
      </c>
      <c r="Y3568" s="7" t="str">
        <f aca="false">IF(AND(N3568="No",O3568&lt;&gt;""),"Unexpected: channel present but no reminder sent",IF(AND(N3568="Yes",O3568=""),"Missing channel for sent reminder","OK"))</f>
        <v>OK</v>
      </c>
    </row>
    <row r="3569" customFormat="false" ht="15" hidden="false" customHeight="false" outlineLevel="0" collapsed="false">
      <c r="A3569" s="9" t="s">
        <v>5194</v>
      </c>
      <c r="B3569" s="9" t="s">
        <v>2707</v>
      </c>
      <c r="C3569" s="9" t="s">
        <v>37</v>
      </c>
      <c r="D3569" s="9" t="n">
        <v>21</v>
      </c>
      <c r="E3569" s="9" t="s">
        <v>82</v>
      </c>
      <c r="F3569" s="9" t="s">
        <v>39</v>
      </c>
      <c r="G3569" s="10" t="n">
        <v>45734</v>
      </c>
      <c r="H3569" s="10" t="n">
        <v>45741</v>
      </c>
      <c r="I3569" s="9" t="s">
        <v>40</v>
      </c>
      <c r="J3569" s="9" t="s">
        <v>41</v>
      </c>
      <c r="K3569" s="9" t="n">
        <v>7</v>
      </c>
      <c r="L3569" s="9" t="n">
        <v>3</v>
      </c>
      <c r="M3569" s="9" t="n">
        <v>0</v>
      </c>
      <c r="N3569" s="9" t="s">
        <v>42</v>
      </c>
      <c r="O3569" s="9" t="s">
        <v>52</v>
      </c>
      <c r="P3569" s="9" t="n">
        <v>16.4</v>
      </c>
      <c r="Q3569" s="9" t="n">
        <v>10</v>
      </c>
      <c r="R3569" s="9" t="s">
        <v>44</v>
      </c>
      <c r="S3569" s="9"/>
      <c r="T3569" s="9"/>
      <c r="U3569" s="9" t="str">
        <f aca="false">IF(COUNTIF($A$2:$A$5001,A3569)&gt;1,"Duplicate","Unique")</f>
        <v>Unique</v>
      </c>
      <c r="V3569" s="9" t="str">
        <f aca="false">IF(COUNTIFS($B$2:$B$5001,B3569,$H$2:$H$5001,H3569,$J$2:$J$5001,J3569)&gt;1,"Possible Duplicate Booking","Unique")</f>
        <v>Unique</v>
      </c>
      <c r="W3569" s="9" t="str">
        <f aca="false">IF((H3569-G3569)&lt;&gt;K3569,"Mismatch","OK")</f>
        <v>OK</v>
      </c>
      <c r="X3569" s="9" t="str">
        <f aca="false">IF(TEXT(H3569,"dddd")&lt;&gt;I3569,"Mismatch","OK")</f>
        <v>OK</v>
      </c>
      <c r="Y3569" s="9" t="str">
        <f aca="false">IF(AND(N3569="No",O3569&lt;&gt;""),"Unexpected: channel present but no reminder sent",IF(AND(N3569="Yes",O3569=""),"Missing channel for sent reminder","OK"))</f>
        <v>OK</v>
      </c>
    </row>
    <row r="3570" customFormat="false" ht="15" hidden="false" customHeight="false" outlineLevel="0" collapsed="false">
      <c r="A3570" s="7" t="s">
        <v>5195</v>
      </c>
      <c r="B3570" s="7" t="s">
        <v>1448</v>
      </c>
      <c r="C3570" s="7" t="s">
        <v>37</v>
      </c>
      <c r="D3570" s="7" t="n">
        <v>54</v>
      </c>
      <c r="E3570" s="7" t="s">
        <v>56</v>
      </c>
      <c r="F3570" s="7" t="s">
        <v>57</v>
      </c>
      <c r="G3570" s="8" t="n">
        <v>46068</v>
      </c>
      <c r="H3570" s="8" t="n">
        <v>46070</v>
      </c>
      <c r="I3570" s="7" t="s">
        <v>40</v>
      </c>
      <c r="J3570" s="7" t="s">
        <v>51</v>
      </c>
      <c r="K3570" s="7" t="n">
        <v>2</v>
      </c>
      <c r="L3570" s="7" t="n">
        <v>3</v>
      </c>
      <c r="M3570" s="7" t="n">
        <v>1</v>
      </c>
      <c r="N3570" s="7" t="s">
        <v>42</v>
      </c>
      <c r="O3570" s="7" t="s">
        <v>43</v>
      </c>
      <c r="P3570" s="7" t="n">
        <v>2.4</v>
      </c>
      <c r="Q3570" s="7" t="n">
        <v>33</v>
      </c>
      <c r="R3570" s="7" t="s">
        <v>53</v>
      </c>
      <c r="S3570" s="7"/>
      <c r="T3570" s="7"/>
      <c r="U3570" s="7" t="str">
        <f aca="false">IF(COUNTIF($A$2:$A$5001,A3570)&gt;1,"Duplicate","Unique")</f>
        <v>Unique</v>
      </c>
      <c r="V3570" s="7" t="str">
        <f aca="false">IF(COUNTIFS($B$2:$B$5001,B3570,$H$2:$H$5001,H3570,$J$2:$J$5001,J3570)&gt;1,"Possible Duplicate Booking","Unique")</f>
        <v>Unique</v>
      </c>
      <c r="W3570" s="7" t="str">
        <f aca="false">IF((H3570-G3570)&lt;&gt;K3570,"Mismatch","OK")</f>
        <v>OK</v>
      </c>
      <c r="X3570" s="7" t="str">
        <f aca="false">IF(TEXT(H3570,"dddd")&lt;&gt;I3570,"Mismatch","OK")</f>
        <v>OK</v>
      </c>
      <c r="Y3570" s="7" t="str">
        <f aca="false">IF(AND(N3570="No",O3570&lt;&gt;""),"Unexpected: channel present but no reminder sent",IF(AND(N3570="Yes",O3570=""),"Missing channel for sent reminder","OK"))</f>
        <v>OK</v>
      </c>
    </row>
    <row r="3571" customFormat="false" ht="15" hidden="false" customHeight="false" outlineLevel="0" collapsed="false">
      <c r="A3571" s="9" t="s">
        <v>5196</v>
      </c>
      <c r="B3571" s="9" t="s">
        <v>1911</v>
      </c>
      <c r="C3571" s="9" t="s">
        <v>47</v>
      </c>
      <c r="D3571" s="9" t="n">
        <v>59</v>
      </c>
      <c r="E3571" s="9" t="s">
        <v>61</v>
      </c>
      <c r="F3571" s="9" t="s">
        <v>57</v>
      </c>
      <c r="G3571" s="10" t="n">
        <v>45738</v>
      </c>
      <c r="H3571" s="10" t="n">
        <v>45792</v>
      </c>
      <c r="I3571" s="9" t="s">
        <v>62</v>
      </c>
      <c r="J3571" s="9" t="s">
        <v>51</v>
      </c>
      <c r="K3571" s="9" t="n">
        <v>54</v>
      </c>
      <c r="L3571" s="9" t="n">
        <v>4</v>
      </c>
      <c r="M3571" s="9" t="n">
        <v>0</v>
      </c>
      <c r="N3571" s="9" t="s">
        <v>42</v>
      </c>
      <c r="O3571" s="9" t="s">
        <v>43</v>
      </c>
      <c r="P3571" s="9" t="n">
        <v>2.2</v>
      </c>
      <c r="Q3571" s="9" t="n">
        <v>38</v>
      </c>
      <c r="R3571" s="9" t="s">
        <v>44</v>
      </c>
      <c r="S3571" s="9"/>
      <c r="T3571" s="9"/>
      <c r="U3571" s="9" t="str">
        <f aca="false">IF(COUNTIF($A$2:$A$5001,A3571)&gt;1,"Duplicate","Unique")</f>
        <v>Unique</v>
      </c>
      <c r="V3571" s="9" t="str">
        <f aca="false">IF(COUNTIFS($B$2:$B$5001,B3571,$H$2:$H$5001,H3571,$J$2:$J$5001,J3571)&gt;1,"Possible Duplicate Booking","Unique")</f>
        <v>Unique</v>
      </c>
      <c r="W3571" s="9" t="str">
        <f aca="false">IF((H3571-G3571)&lt;&gt;K3571,"Mismatch","OK")</f>
        <v>OK</v>
      </c>
      <c r="X3571" s="9" t="str">
        <f aca="false">IF(TEXT(H3571,"dddd")&lt;&gt;I3571,"Mismatch","OK")</f>
        <v>OK</v>
      </c>
      <c r="Y3571" s="9" t="str">
        <f aca="false">IF(AND(N3571="No",O3571&lt;&gt;""),"Unexpected: channel present but no reminder sent",IF(AND(N3571="Yes",O3571=""),"Missing channel for sent reminder","OK"))</f>
        <v>OK</v>
      </c>
    </row>
    <row r="3572" customFormat="false" ht="15" hidden="false" customHeight="false" outlineLevel="0" collapsed="false">
      <c r="A3572" s="7" t="s">
        <v>5197</v>
      </c>
      <c r="B3572" s="7" t="s">
        <v>2148</v>
      </c>
      <c r="C3572" s="7" t="s">
        <v>47</v>
      </c>
      <c r="D3572" s="7" t="n">
        <v>23</v>
      </c>
      <c r="E3572" s="7" t="s">
        <v>82</v>
      </c>
      <c r="F3572" s="7" t="s">
        <v>74</v>
      </c>
      <c r="G3572" s="8" t="n">
        <v>46038</v>
      </c>
      <c r="H3572" s="8" t="n">
        <v>46094</v>
      </c>
      <c r="I3572" s="7" t="s">
        <v>50</v>
      </c>
      <c r="J3572" s="7" t="s">
        <v>51</v>
      </c>
      <c r="K3572" s="7" t="n">
        <v>56</v>
      </c>
      <c r="L3572" s="7" t="n">
        <v>3</v>
      </c>
      <c r="M3572" s="7" t="n">
        <v>0</v>
      </c>
      <c r="N3572" s="7" t="s">
        <v>71</v>
      </c>
      <c r="O3572" s="7"/>
      <c r="P3572" s="7" t="n">
        <v>2</v>
      </c>
      <c r="Q3572" s="7" t="n">
        <v>20</v>
      </c>
      <c r="R3572" s="7" t="s">
        <v>44</v>
      </c>
      <c r="S3572" s="7"/>
      <c r="T3572" s="7"/>
      <c r="U3572" s="7" t="str">
        <f aca="false">IF(COUNTIF($A$2:$A$5001,A3572)&gt;1,"Duplicate","Unique")</f>
        <v>Unique</v>
      </c>
      <c r="V3572" s="7" t="str">
        <f aca="false">IF(COUNTIFS($B$2:$B$5001,B3572,$H$2:$H$5001,H3572,$J$2:$J$5001,J3572)&gt;1,"Possible Duplicate Booking","Unique")</f>
        <v>Unique</v>
      </c>
      <c r="W3572" s="7" t="str">
        <f aca="false">IF((H3572-G3572)&lt;&gt;K3572,"Mismatch","OK")</f>
        <v>OK</v>
      </c>
      <c r="X3572" s="7" t="str">
        <f aca="false">IF(TEXT(H3572,"dddd")&lt;&gt;I3572,"Mismatch","OK")</f>
        <v>OK</v>
      </c>
      <c r="Y3572" s="7" t="str">
        <f aca="false">IF(AND(N3572="No",O3572&lt;&gt;""),"Unexpected: channel present but no reminder sent",IF(AND(N3572="Yes",O3572=""),"Missing channel for sent reminder","OK"))</f>
        <v>OK</v>
      </c>
    </row>
    <row r="3573" customFormat="false" ht="15" hidden="false" customHeight="false" outlineLevel="0" collapsed="false">
      <c r="A3573" s="9" t="s">
        <v>5198</v>
      </c>
      <c r="B3573" s="9" t="s">
        <v>4506</v>
      </c>
      <c r="C3573" s="9" t="s">
        <v>37</v>
      </c>
      <c r="D3573" s="9" t="n">
        <v>49</v>
      </c>
      <c r="E3573" s="9" t="s">
        <v>56</v>
      </c>
      <c r="F3573" s="9" t="s">
        <v>57</v>
      </c>
      <c r="G3573" s="10" t="n">
        <v>46108</v>
      </c>
      <c r="H3573" s="10" t="n">
        <v>46117</v>
      </c>
      <c r="I3573" s="9" t="s">
        <v>75</v>
      </c>
      <c r="J3573" s="9" t="s">
        <v>51</v>
      </c>
      <c r="K3573" s="9" t="n">
        <v>9</v>
      </c>
      <c r="L3573" s="9" t="n">
        <v>1</v>
      </c>
      <c r="M3573" s="9" t="n">
        <v>1</v>
      </c>
      <c r="N3573" s="9" t="s">
        <v>42</v>
      </c>
      <c r="O3573" s="9" t="s">
        <v>52</v>
      </c>
      <c r="P3573" s="9" t="n">
        <v>11</v>
      </c>
      <c r="Q3573" s="9" t="n">
        <v>28</v>
      </c>
      <c r="R3573" s="9" t="s">
        <v>87</v>
      </c>
      <c r="S3573" s="9"/>
      <c r="T3573" s="9"/>
      <c r="U3573" s="9" t="str">
        <f aca="false">IF(COUNTIF($A$2:$A$5001,A3573)&gt;1,"Duplicate","Unique")</f>
        <v>Unique</v>
      </c>
      <c r="V3573" s="9" t="str">
        <f aca="false">IF(COUNTIFS($B$2:$B$5001,B3573,$H$2:$H$5001,H3573,$J$2:$J$5001,J3573)&gt;1,"Possible Duplicate Booking","Unique")</f>
        <v>Unique</v>
      </c>
      <c r="W3573" s="9" t="str">
        <f aca="false">IF((H3573-G3573)&lt;&gt;K3573,"Mismatch","OK")</f>
        <v>OK</v>
      </c>
      <c r="X3573" s="9" t="str">
        <f aca="false">IF(TEXT(H3573,"dddd")&lt;&gt;I3573,"Mismatch","OK")</f>
        <v>OK</v>
      </c>
      <c r="Y3573" s="9" t="str">
        <f aca="false">IF(AND(N3573="No",O3573&lt;&gt;""),"Unexpected: channel present but no reminder sent",IF(AND(N3573="Yes",O3573=""),"Missing channel for sent reminder","OK"))</f>
        <v>OK</v>
      </c>
    </row>
    <row r="3574" customFormat="false" ht="15" hidden="false" customHeight="false" outlineLevel="0" collapsed="false">
      <c r="A3574" s="7" t="s">
        <v>5199</v>
      </c>
      <c r="B3574" s="7" t="s">
        <v>387</v>
      </c>
      <c r="C3574" s="7" t="s">
        <v>47</v>
      </c>
      <c r="D3574" s="7" t="n">
        <v>23</v>
      </c>
      <c r="E3574" s="7" t="s">
        <v>82</v>
      </c>
      <c r="F3574" s="7" t="s">
        <v>49</v>
      </c>
      <c r="G3574" s="8" t="n">
        <v>45979</v>
      </c>
      <c r="H3574" s="8" t="n">
        <v>46034</v>
      </c>
      <c r="I3574" s="7" t="s">
        <v>66</v>
      </c>
      <c r="J3574" s="7" t="s">
        <v>41</v>
      </c>
      <c r="K3574" s="7" t="n">
        <v>55</v>
      </c>
      <c r="L3574" s="7" t="n">
        <v>4</v>
      </c>
      <c r="M3574" s="7" t="n">
        <v>0</v>
      </c>
      <c r="N3574" s="7" t="s">
        <v>71</v>
      </c>
      <c r="O3574" s="7"/>
      <c r="P3574" s="7" t="n">
        <v>14.3</v>
      </c>
      <c r="Q3574" s="7" t="n">
        <v>2</v>
      </c>
      <c r="R3574" s="7" t="s">
        <v>53</v>
      </c>
      <c r="S3574" s="7"/>
      <c r="T3574" s="7"/>
      <c r="U3574" s="7" t="str">
        <f aca="false">IF(COUNTIF($A$2:$A$5001,A3574)&gt;1,"Duplicate","Unique")</f>
        <v>Unique</v>
      </c>
      <c r="V3574" s="7" t="str">
        <f aca="false">IF(COUNTIFS($B$2:$B$5001,B3574,$H$2:$H$5001,H3574,$J$2:$J$5001,J3574)&gt;1,"Possible Duplicate Booking","Unique")</f>
        <v>Unique</v>
      </c>
      <c r="W3574" s="7" t="str">
        <f aca="false">IF((H3574-G3574)&lt;&gt;K3574,"Mismatch","OK")</f>
        <v>OK</v>
      </c>
      <c r="X3574" s="7" t="str">
        <f aca="false">IF(TEXT(H3574,"dddd")&lt;&gt;I3574,"Mismatch","OK")</f>
        <v>OK</v>
      </c>
      <c r="Y3574" s="7" t="str">
        <f aca="false">IF(AND(N3574="No",O3574&lt;&gt;""),"Unexpected: channel present but no reminder sent",IF(AND(N3574="Yes",O3574=""),"Missing channel for sent reminder","OK"))</f>
        <v>OK</v>
      </c>
    </row>
    <row r="3575" customFormat="false" ht="15" hidden="false" customHeight="false" outlineLevel="0" collapsed="false">
      <c r="A3575" s="9" t="s">
        <v>5200</v>
      </c>
      <c r="B3575" s="9" t="s">
        <v>5201</v>
      </c>
      <c r="C3575" s="9" t="s">
        <v>47</v>
      </c>
      <c r="D3575" s="9" t="n">
        <v>46</v>
      </c>
      <c r="E3575" s="9" t="s">
        <v>56</v>
      </c>
      <c r="F3575" s="9" t="s">
        <v>57</v>
      </c>
      <c r="G3575" s="10" t="n">
        <v>45783</v>
      </c>
      <c r="H3575" s="10" t="n">
        <v>45838</v>
      </c>
      <c r="I3575" s="9" t="s">
        <v>66</v>
      </c>
      <c r="J3575" s="9" t="s">
        <v>51</v>
      </c>
      <c r="K3575" s="9" t="n">
        <v>55</v>
      </c>
      <c r="L3575" s="9" t="n">
        <v>2</v>
      </c>
      <c r="M3575" s="9" t="n">
        <v>0</v>
      </c>
      <c r="N3575" s="9" t="s">
        <v>42</v>
      </c>
      <c r="O3575" s="9" t="s">
        <v>52</v>
      </c>
      <c r="P3575" s="9" t="n">
        <v>7.4</v>
      </c>
      <c r="Q3575" s="9" t="n">
        <v>24</v>
      </c>
      <c r="R3575" s="9" t="s">
        <v>44</v>
      </c>
      <c r="S3575" s="9"/>
      <c r="T3575" s="9"/>
      <c r="U3575" s="9" t="str">
        <f aca="false">IF(COUNTIF($A$2:$A$5001,A3575)&gt;1,"Duplicate","Unique")</f>
        <v>Unique</v>
      </c>
      <c r="V3575" s="9" t="str">
        <f aca="false">IF(COUNTIFS($B$2:$B$5001,B3575,$H$2:$H$5001,H3575,$J$2:$J$5001,J3575)&gt;1,"Possible Duplicate Booking","Unique")</f>
        <v>Unique</v>
      </c>
      <c r="W3575" s="9" t="str">
        <f aca="false">IF((H3575-G3575)&lt;&gt;K3575,"Mismatch","OK")</f>
        <v>OK</v>
      </c>
      <c r="X3575" s="9" t="str">
        <f aca="false">IF(TEXT(H3575,"dddd")&lt;&gt;I3575,"Mismatch","OK")</f>
        <v>OK</v>
      </c>
      <c r="Y3575" s="9" t="str">
        <f aca="false">IF(AND(N3575="No",O3575&lt;&gt;""),"Unexpected: channel present but no reminder sent",IF(AND(N3575="Yes",O3575=""),"Missing channel for sent reminder","OK"))</f>
        <v>OK</v>
      </c>
    </row>
    <row r="3576" customFormat="false" ht="15" hidden="false" customHeight="false" outlineLevel="0" collapsed="false">
      <c r="A3576" s="7" t="s">
        <v>5202</v>
      </c>
      <c r="B3576" s="7" t="s">
        <v>5203</v>
      </c>
      <c r="C3576" s="7" t="s">
        <v>37</v>
      </c>
      <c r="D3576" s="7" t="n">
        <v>58</v>
      </c>
      <c r="E3576" s="7" t="s">
        <v>61</v>
      </c>
      <c r="F3576" s="7" t="s">
        <v>74</v>
      </c>
      <c r="G3576" s="8" t="n">
        <v>46118</v>
      </c>
      <c r="H3576" s="8" t="n">
        <v>46178</v>
      </c>
      <c r="I3576" s="7" t="s">
        <v>50</v>
      </c>
      <c r="J3576" s="7" t="s">
        <v>41</v>
      </c>
      <c r="K3576" s="7" t="n">
        <v>60</v>
      </c>
      <c r="L3576" s="7" t="n">
        <v>0</v>
      </c>
      <c r="M3576" s="7" t="n">
        <v>0</v>
      </c>
      <c r="N3576" s="7" t="s">
        <v>42</v>
      </c>
      <c r="O3576" s="7" t="s">
        <v>52</v>
      </c>
      <c r="P3576" s="7" t="n">
        <v>6.9</v>
      </c>
      <c r="Q3576" s="7" t="n">
        <v>45</v>
      </c>
      <c r="R3576" s="7" t="s">
        <v>44</v>
      </c>
      <c r="S3576" s="7"/>
      <c r="T3576" s="7"/>
      <c r="U3576" s="7" t="str">
        <f aca="false">IF(COUNTIF($A$2:$A$5001,A3576)&gt;1,"Duplicate","Unique")</f>
        <v>Unique</v>
      </c>
      <c r="V3576" s="7" t="str">
        <f aca="false">IF(COUNTIFS($B$2:$B$5001,B3576,$H$2:$H$5001,H3576,$J$2:$J$5001,J3576)&gt;1,"Possible Duplicate Booking","Unique")</f>
        <v>Unique</v>
      </c>
      <c r="W3576" s="7" t="str">
        <f aca="false">IF((H3576-G3576)&lt;&gt;K3576,"Mismatch","OK")</f>
        <v>OK</v>
      </c>
      <c r="X3576" s="7" t="str">
        <f aca="false">IF(TEXT(H3576,"dddd")&lt;&gt;I3576,"Mismatch","OK")</f>
        <v>OK</v>
      </c>
      <c r="Y3576" s="7" t="str">
        <f aca="false">IF(AND(N3576="No",O3576&lt;&gt;""),"Unexpected: channel present but no reminder sent",IF(AND(N3576="Yes",O3576=""),"Missing channel for sent reminder","OK"))</f>
        <v>OK</v>
      </c>
    </row>
    <row r="3577" customFormat="false" ht="15" hidden="false" customHeight="false" outlineLevel="0" collapsed="false">
      <c r="A3577" s="9" t="s">
        <v>5204</v>
      </c>
      <c r="B3577" s="9" t="s">
        <v>211</v>
      </c>
      <c r="C3577" s="9" t="s">
        <v>37</v>
      </c>
      <c r="D3577" s="9" t="n">
        <v>63</v>
      </c>
      <c r="E3577" s="9" t="s">
        <v>61</v>
      </c>
      <c r="F3577" s="9" t="s">
        <v>57</v>
      </c>
      <c r="G3577" s="10" t="n">
        <v>46019</v>
      </c>
      <c r="H3577" s="10" t="n">
        <v>46032</v>
      </c>
      <c r="I3577" s="9" t="s">
        <v>102</v>
      </c>
      <c r="J3577" s="9" t="s">
        <v>41</v>
      </c>
      <c r="K3577" s="9" t="n">
        <v>13</v>
      </c>
      <c r="L3577" s="9" t="n">
        <v>3</v>
      </c>
      <c r="M3577" s="9" t="n">
        <v>0</v>
      </c>
      <c r="N3577" s="9" t="s">
        <v>71</v>
      </c>
      <c r="O3577" s="9"/>
      <c r="P3577" s="9" t="n">
        <v>4.3</v>
      </c>
      <c r="Q3577" s="9" t="n">
        <v>33</v>
      </c>
      <c r="R3577" s="9" t="s">
        <v>44</v>
      </c>
      <c r="S3577" s="9"/>
      <c r="T3577" s="9"/>
      <c r="U3577" s="9" t="str">
        <f aca="false">IF(COUNTIF($A$2:$A$5001,A3577)&gt;1,"Duplicate","Unique")</f>
        <v>Unique</v>
      </c>
      <c r="V3577" s="9" t="str">
        <f aca="false">IF(COUNTIFS($B$2:$B$5001,B3577,$H$2:$H$5001,H3577,$J$2:$J$5001,J3577)&gt;1,"Possible Duplicate Booking","Unique")</f>
        <v>Unique</v>
      </c>
      <c r="W3577" s="9" t="str">
        <f aca="false">IF((H3577-G3577)&lt;&gt;K3577,"Mismatch","OK")</f>
        <v>OK</v>
      </c>
      <c r="X3577" s="9" t="str">
        <f aca="false">IF(TEXT(H3577,"dddd")&lt;&gt;I3577,"Mismatch","OK")</f>
        <v>OK</v>
      </c>
      <c r="Y3577" s="9" t="str">
        <f aca="false">IF(AND(N3577="No",O3577&lt;&gt;""),"Unexpected: channel present but no reminder sent",IF(AND(N3577="Yes",O3577=""),"Missing channel for sent reminder","OK"))</f>
        <v>OK</v>
      </c>
    </row>
    <row r="3578" customFormat="false" ht="15" hidden="false" customHeight="false" outlineLevel="0" collapsed="false">
      <c r="A3578" s="7" t="s">
        <v>5205</v>
      </c>
      <c r="B3578" s="7" t="s">
        <v>925</v>
      </c>
      <c r="C3578" s="7" t="s">
        <v>37</v>
      </c>
      <c r="D3578" s="7" t="n">
        <v>62</v>
      </c>
      <c r="E3578" s="7" t="s">
        <v>61</v>
      </c>
      <c r="F3578" s="7" t="s">
        <v>57</v>
      </c>
      <c r="G3578" s="8" t="n">
        <v>45975</v>
      </c>
      <c r="H3578" s="8" t="n">
        <v>46010</v>
      </c>
      <c r="I3578" s="7" t="s">
        <v>50</v>
      </c>
      <c r="J3578" s="7" t="s">
        <v>51</v>
      </c>
      <c r="K3578" s="7" t="n">
        <v>35</v>
      </c>
      <c r="L3578" s="7" t="n">
        <v>1</v>
      </c>
      <c r="M3578" s="7" t="n">
        <v>1</v>
      </c>
      <c r="N3578" s="7" t="s">
        <v>42</v>
      </c>
      <c r="O3578" s="7" t="s">
        <v>52</v>
      </c>
      <c r="P3578" s="7" t="n">
        <v>15.1</v>
      </c>
      <c r="Q3578" s="7" t="n">
        <v>26</v>
      </c>
      <c r="R3578" s="7" t="s">
        <v>44</v>
      </c>
      <c r="S3578" s="7"/>
      <c r="T3578" s="7"/>
      <c r="U3578" s="7" t="str">
        <f aca="false">IF(COUNTIF($A$2:$A$5001,A3578)&gt;1,"Duplicate","Unique")</f>
        <v>Unique</v>
      </c>
      <c r="V3578" s="7" t="str">
        <f aca="false">IF(COUNTIFS($B$2:$B$5001,B3578,$H$2:$H$5001,H3578,$J$2:$J$5001,J3578)&gt;1,"Possible Duplicate Booking","Unique")</f>
        <v>Unique</v>
      </c>
      <c r="W3578" s="7" t="str">
        <f aca="false">IF((H3578-G3578)&lt;&gt;K3578,"Mismatch","OK")</f>
        <v>OK</v>
      </c>
      <c r="X3578" s="7" t="str">
        <f aca="false">IF(TEXT(H3578,"dddd")&lt;&gt;I3578,"Mismatch","OK")</f>
        <v>OK</v>
      </c>
      <c r="Y3578" s="7" t="str">
        <f aca="false">IF(AND(N3578="No",O3578&lt;&gt;""),"Unexpected: channel present but no reminder sent",IF(AND(N3578="Yes",O3578=""),"Missing channel for sent reminder","OK"))</f>
        <v>OK</v>
      </c>
    </row>
    <row r="3579" customFormat="false" ht="15" hidden="false" customHeight="false" outlineLevel="0" collapsed="false">
      <c r="A3579" s="9" t="s">
        <v>5206</v>
      </c>
      <c r="B3579" s="9" t="s">
        <v>4084</v>
      </c>
      <c r="C3579" s="9" t="s">
        <v>37</v>
      </c>
      <c r="D3579" s="9" t="n">
        <v>65</v>
      </c>
      <c r="E3579" s="9" t="s">
        <v>70</v>
      </c>
      <c r="F3579" s="9" t="s">
        <v>39</v>
      </c>
      <c r="G3579" s="10" t="n">
        <v>46065</v>
      </c>
      <c r="H3579" s="10" t="n">
        <v>46125</v>
      </c>
      <c r="I3579" s="9" t="s">
        <v>66</v>
      </c>
      <c r="J3579" s="9" t="s">
        <v>51</v>
      </c>
      <c r="K3579" s="9" t="n">
        <v>60</v>
      </c>
      <c r="L3579" s="9" t="n">
        <v>3</v>
      </c>
      <c r="M3579" s="9" t="n">
        <v>1</v>
      </c>
      <c r="N3579" s="9" t="s">
        <v>42</v>
      </c>
      <c r="O3579" s="9" t="s">
        <v>52</v>
      </c>
      <c r="P3579" s="9" t="n">
        <v>10.3</v>
      </c>
      <c r="Q3579" s="9" t="n">
        <v>24</v>
      </c>
      <c r="R3579" s="9" t="s">
        <v>44</v>
      </c>
      <c r="S3579" s="9"/>
      <c r="T3579" s="9"/>
      <c r="U3579" s="9" t="str">
        <f aca="false">IF(COUNTIF($A$2:$A$5001,A3579)&gt;1,"Duplicate","Unique")</f>
        <v>Unique</v>
      </c>
      <c r="V3579" s="9" t="str">
        <f aca="false">IF(COUNTIFS($B$2:$B$5001,B3579,$H$2:$H$5001,H3579,$J$2:$J$5001,J3579)&gt;1,"Possible Duplicate Booking","Unique")</f>
        <v>Unique</v>
      </c>
      <c r="W3579" s="9" t="str">
        <f aca="false">IF((H3579-G3579)&lt;&gt;K3579,"Mismatch","OK")</f>
        <v>OK</v>
      </c>
      <c r="X3579" s="9" t="str">
        <f aca="false">IF(TEXT(H3579,"dddd")&lt;&gt;I3579,"Mismatch","OK")</f>
        <v>OK</v>
      </c>
      <c r="Y3579" s="9" t="str">
        <f aca="false">IF(AND(N3579="No",O3579&lt;&gt;""),"Unexpected: channel present but no reminder sent",IF(AND(N3579="Yes",O3579=""),"Missing channel for sent reminder","OK"))</f>
        <v>OK</v>
      </c>
    </row>
    <row r="3580" customFormat="false" ht="15" hidden="false" customHeight="false" outlineLevel="0" collapsed="false">
      <c r="A3580" s="7" t="s">
        <v>5207</v>
      </c>
      <c r="B3580" s="7" t="s">
        <v>4002</v>
      </c>
      <c r="C3580" s="7" t="s">
        <v>47</v>
      </c>
      <c r="D3580" s="7" t="n">
        <v>33</v>
      </c>
      <c r="E3580" s="7" t="s">
        <v>48</v>
      </c>
      <c r="F3580" s="7" t="s">
        <v>57</v>
      </c>
      <c r="G3580" s="8" t="n">
        <v>46084</v>
      </c>
      <c r="H3580" s="8" t="n">
        <v>46139</v>
      </c>
      <c r="I3580" s="7" t="s">
        <v>66</v>
      </c>
      <c r="J3580" s="7" t="s">
        <v>51</v>
      </c>
      <c r="K3580" s="7" t="n">
        <v>55</v>
      </c>
      <c r="L3580" s="7" t="n">
        <v>4</v>
      </c>
      <c r="M3580" s="7" t="n">
        <v>2</v>
      </c>
      <c r="N3580" s="7" t="s">
        <v>71</v>
      </c>
      <c r="O3580" s="7"/>
      <c r="P3580" s="7" t="n">
        <v>12.3</v>
      </c>
      <c r="Q3580" s="7" t="n">
        <v>21</v>
      </c>
      <c r="R3580" s="7" t="s">
        <v>44</v>
      </c>
      <c r="S3580" s="7"/>
      <c r="T3580" s="7"/>
      <c r="U3580" s="7" t="str">
        <f aca="false">IF(COUNTIF($A$2:$A$5001,A3580)&gt;1,"Duplicate","Unique")</f>
        <v>Unique</v>
      </c>
      <c r="V3580" s="7" t="str">
        <f aca="false">IF(COUNTIFS($B$2:$B$5001,B3580,$H$2:$H$5001,H3580,$J$2:$J$5001,J3580)&gt;1,"Possible Duplicate Booking","Unique")</f>
        <v>Unique</v>
      </c>
      <c r="W3580" s="7" t="str">
        <f aca="false">IF((H3580-G3580)&lt;&gt;K3580,"Mismatch","OK")</f>
        <v>OK</v>
      </c>
      <c r="X3580" s="7" t="str">
        <f aca="false">IF(TEXT(H3580,"dddd")&lt;&gt;I3580,"Mismatch","OK")</f>
        <v>OK</v>
      </c>
      <c r="Y3580" s="7" t="str">
        <f aca="false">IF(AND(N3580="No",O3580&lt;&gt;""),"Unexpected: channel present but no reminder sent",IF(AND(N3580="Yes",O3580=""),"Missing channel for sent reminder","OK"))</f>
        <v>OK</v>
      </c>
    </row>
    <row r="3581" customFormat="false" ht="15" hidden="false" customHeight="false" outlineLevel="0" collapsed="false">
      <c r="A3581" s="9" t="s">
        <v>5208</v>
      </c>
      <c r="B3581" s="9" t="s">
        <v>3698</v>
      </c>
      <c r="C3581" s="9" t="s">
        <v>37</v>
      </c>
      <c r="D3581" s="9" t="n">
        <v>71</v>
      </c>
      <c r="E3581" s="9" t="s">
        <v>70</v>
      </c>
      <c r="F3581" s="9" t="s">
        <v>49</v>
      </c>
      <c r="G3581" s="10" t="n">
        <v>45664</v>
      </c>
      <c r="H3581" s="10" t="n">
        <v>45700</v>
      </c>
      <c r="I3581" s="9" t="s">
        <v>58</v>
      </c>
      <c r="J3581" s="9" t="s">
        <v>51</v>
      </c>
      <c r="K3581" s="9" t="n">
        <v>36</v>
      </c>
      <c r="L3581" s="9" t="n">
        <v>2</v>
      </c>
      <c r="M3581" s="9" t="n">
        <v>1</v>
      </c>
      <c r="N3581" s="9" t="s">
        <v>71</v>
      </c>
      <c r="O3581" s="9"/>
      <c r="P3581" s="9" t="n">
        <v>7.9</v>
      </c>
      <c r="Q3581" s="9" t="n">
        <v>29</v>
      </c>
      <c r="R3581" s="9" t="s">
        <v>53</v>
      </c>
      <c r="S3581" s="9"/>
      <c r="T3581" s="9"/>
      <c r="U3581" s="9" t="str">
        <f aca="false">IF(COUNTIF($A$2:$A$5001,A3581)&gt;1,"Duplicate","Unique")</f>
        <v>Unique</v>
      </c>
      <c r="V3581" s="9" t="str">
        <f aca="false">IF(COUNTIFS($B$2:$B$5001,B3581,$H$2:$H$5001,H3581,$J$2:$J$5001,J3581)&gt;1,"Possible Duplicate Booking","Unique")</f>
        <v>Unique</v>
      </c>
      <c r="W3581" s="9" t="str">
        <f aca="false">IF((H3581-G3581)&lt;&gt;K3581,"Mismatch","OK")</f>
        <v>OK</v>
      </c>
      <c r="X3581" s="9" t="str">
        <f aca="false">IF(TEXT(H3581,"dddd")&lt;&gt;I3581,"Mismatch","OK")</f>
        <v>OK</v>
      </c>
      <c r="Y3581" s="9" t="str">
        <f aca="false">IF(AND(N3581="No",O3581&lt;&gt;""),"Unexpected: channel present but no reminder sent",IF(AND(N3581="Yes",O3581=""),"Missing channel for sent reminder","OK"))</f>
        <v>OK</v>
      </c>
    </row>
    <row r="3582" customFormat="false" ht="15" hidden="false" customHeight="false" outlineLevel="0" collapsed="false">
      <c r="A3582" s="7" t="s">
        <v>5209</v>
      </c>
      <c r="B3582" s="7" t="s">
        <v>1594</v>
      </c>
      <c r="C3582" s="7" t="s">
        <v>37</v>
      </c>
      <c r="D3582" s="7" t="n">
        <v>40</v>
      </c>
      <c r="E3582" s="7" t="s">
        <v>38</v>
      </c>
      <c r="F3582" s="7" t="s">
        <v>39</v>
      </c>
      <c r="G3582" s="8" t="n">
        <v>46127</v>
      </c>
      <c r="H3582" s="8" t="n">
        <v>46139</v>
      </c>
      <c r="I3582" s="7" t="s">
        <v>66</v>
      </c>
      <c r="J3582" s="7" t="s">
        <v>51</v>
      </c>
      <c r="K3582" s="7" t="n">
        <v>12</v>
      </c>
      <c r="L3582" s="7" t="n">
        <v>4</v>
      </c>
      <c r="M3582" s="7" t="n">
        <v>2</v>
      </c>
      <c r="N3582" s="7" t="s">
        <v>71</v>
      </c>
      <c r="O3582" s="7"/>
      <c r="P3582" s="7" t="n">
        <v>7.2</v>
      </c>
      <c r="Q3582" s="7" t="n">
        <v>35</v>
      </c>
      <c r="R3582" s="7" t="s">
        <v>44</v>
      </c>
      <c r="S3582" s="7"/>
      <c r="T3582" s="7"/>
      <c r="U3582" s="7" t="str">
        <f aca="false">IF(COUNTIF($A$2:$A$5001,A3582)&gt;1,"Duplicate","Unique")</f>
        <v>Unique</v>
      </c>
      <c r="V3582" s="7" t="str">
        <f aca="false">IF(COUNTIFS($B$2:$B$5001,B3582,$H$2:$H$5001,H3582,$J$2:$J$5001,J3582)&gt;1,"Possible Duplicate Booking","Unique")</f>
        <v>Unique</v>
      </c>
      <c r="W3582" s="7" t="str">
        <f aca="false">IF((H3582-G3582)&lt;&gt;K3582,"Mismatch","OK")</f>
        <v>OK</v>
      </c>
      <c r="X3582" s="7" t="str">
        <f aca="false">IF(TEXT(H3582,"dddd")&lt;&gt;I3582,"Mismatch","OK")</f>
        <v>OK</v>
      </c>
      <c r="Y3582" s="7" t="str">
        <f aca="false">IF(AND(N3582="No",O3582&lt;&gt;""),"Unexpected: channel present but no reminder sent",IF(AND(N3582="Yes",O3582=""),"Missing channel for sent reminder","OK"))</f>
        <v>OK</v>
      </c>
    </row>
    <row r="3583" customFormat="false" ht="15" hidden="false" customHeight="false" outlineLevel="0" collapsed="false">
      <c r="A3583" s="9" t="s">
        <v>5210</v>
      </c>
      <c r="B3583" s="9" t="s">
        <v>1210</v>
      </c>
      <c r="C3583" s="9" t="s">
        <v>47</v>
      </c>
      <c r="D3583" s="9" t="n">
        <v>41</v>
      </c>
      <c r="E3583" s="9" t="s">
        <v>38</v>
      </c>
      <c r="F3583" s="9" t="s">
        <v>39</v>
      </c>
      <c r="G3583" s="10" t="n">
        <v>46070</v>
      </c>
      <c r="H3583" s="10" t="n">
        <v>46075</v>
      </c>
      <c r="I3583" s="9" t="s">
        <v>75</v>
      </c>
      <c r="J3583" s="9" t="s">
        <v>41</v>
      </c>
      <c r="K3583" s="9" t="n">
        <v>5</v>
      </c>
      <c r="L3583" s="9" t="n">
        <v>2</v>
      </c>
      <c r="M3583" s="9" t="n">
        <v>0</v>
      </c>
      <c r="N3583" s="9" t="s">
        <v>42</v>
      </c>
      <c r="O3583" s="9" t="s">
        <v>67</v>
      </c>
      <c r="P3583" s="9" t="n">
        <v>8.9</v>
      </c>
      <c r="Q3583" s="9" t="n">
        <v>18</v>
      </c>
      <c r="R3583" s="9" t="s">
        <v>53</v>
      </c>
      <c r="S3583" s="9"/>
      <c r="T3583" s="9"/>
      <c r="U3583" s="9" t="str">
        <f aca="false">IF(COUNTIF($A$2:$A$5001,A3583)&gt;1,"Duplicate","Unique")</f>
        <v>Unique</v>
      </c>
      <c r="V3583" s="9" t="str">
        <f aca="false">IF(COUNTIFS($B$2:$B$5001,B3583,$H$2:$H$5001,H3583,$J$2:$J$5001,J3583)&gt;1,"Possible Duplicate Booking","Unique")</f>
        <v>Unique</v>
      </c>
      <c r="W3583" s="9" t="str">
        <f aca="false">IF((H3583-G3583)&lt;&gt;K3583,"Mismatch","OK")</f>
        <v>OK</v>
      </c>
      <c r="X3583" s="9" t="str">
        <f aca="false">IF(TEXT(H3583,"dddd")&lt;&gt;I3583,"Mismatch","OK")</f>
        <v>OK</v>
      </c>
      <c r="Y3583" s="9" t="str">
        <f aca="false">IF(AND(N3583="No",O3583&lt;&gt;""),"Unexpected: channel present but no reminder sent",IF(AND(N3583="Yes",O3583=""),"Missing channel for sent reminder","OK"))</f>
        <v>OK</v>
      </c>
    </row>
    <row r="3584" customFormat="false" ht="15" hidden="false" customHeight="false" outlineLevel="0" collapsed="false">
      <c r="A3584" s="7" t="s">
        <v>5211</v>
      </c>
      <c r="B3584" s="7" t="s">
        <v>431</v>
      </c>
      <c r="C3584" s="7" t="s">
        <v>37</v>
      </c>
      <c r="D3584" s="7" t="n">
        <v>67</v>
      </c>
      <c r="E3584" s="7" t="s">
        <v>70</v>
      </c>
      <c r="F3584" s="7" t="s">
        <v>57</v>
      </c>
      <c r="G3584" s="8" t="n">
        <v>45755</v>
      </c>
      <c r="H3584" s="8" t="n">
        <v>45770</v>
      </c>
      <c r="I3584" s="7" t="s">
        <v>58</v>
      </c>
      <c r="J3584" s="7" t="s">
        <v>41</v>
      </c>
      <c r="K3584" s="7" t="n">
        <v>15</v>
      </c>
      <c r="L3584" s="7" t="n">
        <v>4</v>
      </c>
      <c r="M3584" s="7" t="n">
        <v>1</v>
      </c>
      <c r="N3584" s="7" t="s">
        <v>71</v>
      </c>
      <c r="O3584" s="7"/>
      <c r="P3584" s="7" t="n">
        <v>8.3</v>
      </c>
      <c r="Q3584" s="7" t="n">
        <v>32</v>
      </c>
      <c r="R3584" s="7" t="s">
        <v>44</v>
      </c>
      <c r="S3584" s="7"/>
      <c r="T3584" s="7"/>
      <c r="U3584" s="7" t="str">
        <f aca="false">IF(COUNTIF($A$2:$A$5001,A3584)&gt;1,"Duplicate","Unique")</f>
        <v>Unique</v>
      </c>
      <c r="V3584" s="7" t="str">
        <f aca="false">IF(COUNTIFS($B$2:$B$5001,B3584,$H$2:$H$5001,H3584,$J$2:$J$5001,J3584)&gt;1,"Possible Duplicate Booking","Unique")</f>
        <v>Unique</v>
      </c>
      <c r="W3584" s="7" t="str">
        <f aca="false">IF((H3584-G3584)&lt;&gt;K3584,"Mismatch","OK")</f>
        <v>OK</v>
      </c>
      <c r="X3584" s="7" t="str">
        <f aca="false">IF(TEXT(H3584,"dddd")&lt;&gt;I3584,"Mismatch","OK")</f>
        <v>OK</v>
      </c>
      <c r="Y3584" s="7" t="str">
        <f aca="false">IF(AND(N3584="No",O3584&lt;&gt;""),"Unexpected: channel present but no reminder sent",IF(AND(N3584="Yes",O3584=""),"Missing channel for sent reminder","OK"))</f>
        <v>OK</v>
      </c>
    </row>
    <row r="3585" customFormat="false" ht="15" hidden="false" customHeight="false" outlineLevel="0" collapsed="false">
      <c r="A3585" s="9" t="s">
        <v>5212</v>
      </c>
      <c r="B3585" s="9" t="s">
        <v>5213</v>
      </c>
      <c r="C3585" s="9" t="s">
        <v>47</v>
      </c>
      <c r="D3585" s="9" t="n">
        <v>38</v>
      </c>
      <c r="E3585" s="9" t="s">
        <v>38</v>
      </c>
      <c r="F3585" s="9" t="s">
        <v>49</v>
      </c>
      <c r="G3585" s="10" t="n">
        <v>45822</v>
      </c>
      <c r="H3585" s="10" t="n">
        <v>45825</v>
      </c>
      <c r="I3585" s="9" t="s">
        <v>40</v>
      </c>
      <c r="J3585" s="9" t="s">
        <v>41</v>
      </c>
      <c r="K3585" s="9" t="n">
        <v>3</v>
      </c>
      <c r="L3585" s="9" t="n">
        <v>8</v>
      </c>
      <c r="M3585" s="9" t="n">
        <v>3</v>
      </c>
      <c r="N3585" s="9" t="s">
        <v>42</v>
      </c>
      <c r="O3585" s="9" t="s">
        <v>52</v>
      </c>
      <c r="P3585" s="9" t="n">
        <v>19.5</v>
      </c>
      <c r="Q3585" s="9" t="n">
        <v>15</v>
      </c>
      <c r="R3585" s="9" t="s">
        <v>87</v>
      </c>
      <c r="S3585" s="9"/>
      <c r="T3585" s="9"/>
      <c r="U3585" s="9" t="str">
        <f aca="false">IF(COUNTIF($A$2:$A$5001,A3585)&gt;1,"Duplicate","Unique")</f>
        <v>Unique</v>
      </c>
      <c r="V3585" s="9" t="str">
        <f aca="false">IF(COUNTIFS($B$2:$B$5001,B3585,$H$2:$H$5001,H3585,$J$2:$J$5001,J3585)&gt;1,"Possible Duplicate Booking","Unique")</f>
        <v>Unique</v>
      </c>
      <c r="W3585" s="9" t="str">
        <f aca="false">IF((H3585-G3585)&lt;&gt;K3585,"Mismatch","OK")</f>
        <v>OK</v>
      </c>
      <c r="X3585" s="9" t="str">
        <f aca="false">IF(TEXT(H3585,"dddd")&lt;&gt;I3585,"Mismatch","OK")</f>
        <v>OK</v>
      </c>
      <c r="Y3585" s="9" t="str">
        <f aca="false">IF(AND(N3585="No",O3585&lt;&gt;""),"Unexpected: channel present but no reminder sent",IF(AND(N3585="Yes",O3585=""),"Missing channel for sent reminder","OK"))</f>
        <v>OK</v>
      </c>
    </row>
    <row r="3586" customFormat="false" ht="15" hidden="false" customHeight="false" outlineLevel="0" collapsed="false">
      <c r="A3586" s="7" t="s">
        <v>5214</v>
      </c>
      <c r="B3586" s="7" t="s">
        <v>264</v>
      </c>
      <c r="C3586" s="7" t="s">
        <v>47</v>
      </c>
      <c r="D3586" s="7" t="n">
        <v>22</v>
      </c>
      <c r="E3586" s="7" t="s">
        <v>82</v>
      </c>
      <c r="F3586" s="7" t="s">
        <v>57</v>
      </c>
      <c r="G3586" s="8" t="n">
        <v>46057</v>
      </c>
      <c r="H3586" s="8" t="n">
        <v>46068</v>
      </c>
      <c r="I3586" s="7" t="s">
        <v>75</v>
      </c>
      <c r="J3586" s="7" t="s">
        <v>41</v>
      </c>
      <c r="K3586" s="7" t="n">
        <v>11</v>
      </c>
      <c r="L3586" s="7" t="n">
        <v>4</v>
      </c>
      <c r="M3586" s="7" t="n">
        <v>1</v>
      </c>
      <c r="N3586" s="7" t="s">
        <v>42</v>
      </c>
      <c r="O3586" s="7" t="s">
        <v>43</v>
      </c>
      <c r="P3586" s="7" t="n">
        <v>3.9</v>
      </c>
      <c r="Q3586" s="7" t="n">
        <v>19</v>
      </c>
      <c r="R3586" s="7" t="s">
        <v>44</v>
      </c>
      <c r="S3586" s="7"/>
      <c r="T3586" s="7"/>
      <c r="U3586" s="7" t="str">
        <f aca="false">IF(COUNTIF($A$2:$A$5001,A3586)&gt;1,"Duplicate","Unique")</f>
        <v>Unique</v>
      </c>
      <c r="V3586" s="7" t="str">
        <f aca="false">IF(COUNTIFS($B$2:$B$5001,B3586,$H$2:$H$5001,H3586,$J$2:$J$5001,J3586)&gt;1,"Possible Duplicate Booking","Unique")</f>
        <v>Unique</v>
      </c>
      <c r="W3586" s="7" t="str">
        <f aca="false">IF((H3586-G3586)&lt;&gt;K3586,"Mismatch","OK")</f>
        <v>OK</v>
      </c>
      <c r="X3586" s="7" t="str">
        <f aca="false">IF(TEXT(H3586,"dddd")&lt;&gt;I3586,"Mismatch","OK")</f>
        <v>OK</v>
      </c>
      <c r="Y3586" s="7" t="str">
        <f aca="false">IF(AND(N3586="No",O3586&lt;&gt;""),"Unexpected: channel present but no reminder sent",IF(AND(N3586="Yes",O3586=""),"Missing channel for sent reminder","OK"))</f>
        <v>OK</v>
      </c>
    </row>
    <row r="3587" customFormat="false" ht="15" hidden="false" customHeight="false" outlineLevel="0" collapsed="false">
      <c r="A3587" s="9" t="s">
        <v>5215</v>
      </c>
      <c r="B3587" s="9" t="s">
        <v>757</v>
      </c>
      <c r="C3587" s="9" t="s">
        <v>37</v>
      </c>
      <c r="D3587" s="9" t="n">
        <v>63</v>
      </c>
      <c r="E3587" s="9" t="s">
        <v>61</v>
      </c>
      <c r="F3587" s="9" t="s">
        <v>74</v>
      </c>
      <c r="G3587" s="10" t="n">
        <v>45772</v>
      </c>
      <c r="H3587" s="10" t="n">
        <v>45776</v>
      </c>
      <c r="I3587" s="9" t="s">
        <v>40</v>
      </c>
      <c r="J3587" s="9" t="s">
        <v>41</v>
      </c>
      <c r="K3587" s="9" t="n">
        <v>4</v>
      </c>
      <c r="L3587" s="9" t="n">
        <v>3</v>
      </c>
      <c r="M3587" s="9" t="n">
        <v>3</v>
      </c>
      <c r="N3587" s="9" t="s">
        <v>42</v>
      </c>
      <c r="O3587" s="9" t="s">
        <v>52</v>
      </c>
      <c r="P3587" s="9" t="n">
        <v>15.2</v>
      </c>
      <c r="Q3587" s="9" t="n">
        <v>12</v>
      </c>
      <c r="R3587" s="9" t="s">
        <v>53</v>
      </c>
      <c r="S3587" s="9"/>
      <c r="T3587" s="9"/>
      <c r="U3587" s="9" t="str">
        <f aca="false">IF(COUNTIF($A$2:$A$5001,A3587)&gt;1,"Duplicate","Unique")</f>
        <v>Unique</v>
      </c>
      <c r="V3587" s="9" t="str">
        <f aca="false">IF(COUNTIFS($B$2:$B$5001,B3587,$H$2:$H$5001,H3587,$J$2:$J$5001,J3587)&gt;1,"Possible Duplicate Booking","Unique")</f>
        <v>Unique</v>
      </c>
      <c r="W3587" s="9" t="str">
        <f aca="false">IF((H3587-G3587)&lt;&gt;K3587,"Mismatch","OK")</f>
        <v>OK</v>
      </c>
      <c r="X3587" s="9" t="str">
        <f aca="false">IF(TEXT(H3587,"dddd")&lt;&gt;I3587,"Mismatch","OK")</f>
        <v>OK</v>
      </c>
      <c r="Y3587" s="9" t="str">
        <f aca="false">IF(AND(N3587="No",O3587&lt;&gt;""),"Unexpected: channel present but no reminder sent",IF(AND(N3587="Yes",O3587=""),"Missing channel for sent reminder","OK"))</f>
        <v>OK</v>
      </c>
    </row>
    <row r="3588" customFormat="false" ht="15" hidden="false" customHeight="false" outlineLevel="0" collapsed="false">
      <c r="A3588" s="7" t="s">
        <v>5216</v>
      </c>
      <c r="B3588" s="7" t="s">
        <v>1246</v>
      </c>
      <c r="C3588" s="7" t="s">
        <v>47</v>
      </c>
      <c r="D3588" s="7" t="n">
        <v>59</v>
      </c>
      <c r="E3588" s="7" t="s">
        <v>61</v>
      </c>
      <c r="F3588" s="7" t="s">
        <v>49</v>
      </c>
      <c r="G3588" s="8" t="n">
        <v>45859</v>
      </c>
      <c r="H3588" s="8" t="n">
        <v>45905</v>
      </c>
      <c r="I3588" s="7" t="s">
        <v>50</v>
      </c>
      <c r="J3588" s="7" t="s">
        <v>51</v>
      </c>
      <c r="K3588" s="7" t="n">
        <v>46</v>
      </c>
      <c r="L3588" s="7" t="n">
        <v>5</v>
      </c>
      <c r="M3588" s="7" t="n">
        <v>2</v>
      </c>
      <c r="N3588" s="7" t="s">
        <v>42</v>
      </c>
      <c r="O3588" s="7" t="s">
        <v>52</v>
      </c>
      <c r="P3588" s="7" t="n">
        <v>5.9</v>
      </c>
      <c r="Q3588" s="7" t="n">
        <v>26</v>
      </c>
      <c r="R3588" s="7" t="s">
        <v>44</v>
      </c>
      <c r="S3588" s="7"/>
      <c r="T3588" s="7"/>
      <c r="U3588" s="7" t="str">
        <f aca="false">IF(COUNTIF($A$2:$A$5001,A3588)&gt;1,"Duplicate","Unique")</f>
        <v>Unique</v>
      </c>
      <c r="V3588" s="7" t="str">
        <f aca="false">IF(COUNTIFS($B$2:$B$5001,B3588,$H$2:$H$5001,H3588,$J$2:$J$5001,J3588)&gt;1,"Possible Duplicate Booking","Unique")</f>
        <v>Unique</v>
      </c>
      <c r="W3588" s="7" t="str">
        <f aca="false">IF((H3588-G3588)&lt;&gt;K3588,"Mismatch","OK")</f>
        <v>OK</v>
      </c>
      <c r="X3588" s="7" t="str">
        <f aca="false">IF(TEXT(H3588,"dddd")&lt;&gt;I3588,"Mismatch","OK")</f>
        <v>OK</v>
      </c>
      <c r="Y3588" s="7" t="str">
        <f aca="false">IF(AND(N3588="No",O3588&lt;&gt;""),"Unexpected: channel present but no reminder sent",IF(AND(N3588="Yes",O3588=""),"Missing channel for sent reminder","OK"))</f>
        <v>OK</v>
      </c>
    </row>
    <row r="3589" customFormat="false" ht="15" hidden="false" customHeight="false" outlineLevel="0" collapsed="false">
      <c r="A3589" s="9" t="s">
        <v>5217</v>
      </c>
      <c r="B3589" s="9" t="s">
        <v>1101</v>
      </c>
      <c r="C3589" s="9" t="s">
        <v>37</v>
      </c>
      <c r="D3589" s="9" t="n">
        <v>54</v>
      </c>
      <c r="E3589" s="9" t="s">
        <v>56</v>
      </c>
      <c r="F3589" s="9" t="s">
        <v>39</v>
      </c>
      <c r="G3589" s="10" t="n">
        <v>45999</v>
      </c>
      <c r="H3589" s="10" t="n">
        <v>46034</v>
      </c>
      <c r="I3589" s="9" t="s">
        <v>66</v>
      </c>
      <c r="J3589" s="9" t="s">
        <v>51</v>
      </c>
      <c r="K3589" s="9" t="n">
        <v>35</v>
      </c>
      <c r="L3589" s="9" t="n">
        <v>2</v>
      </c>
      <c r="M3589" s="9" t="n">
        <v>0</v>
      </c>
      <c r="N3589" s="9" t="s">
        <v>42</v>
      </c>
      <c r="O3589" s="9" t="s">
        <v>52</v>
      </c>
      <c r="P3589" s="9" t="n">
        <v>6.9</v>
      </c>
      <c r="Q3589" s="9" t="n">
        <v>25</v>
      </c>
      <c r="R3589" s="9" t="s">
        <v>53</v>
      </c>
      <c r="S3589" s="9"/>
      <c r="T3589" s="9"/>
      <c r="U3589" s="9" t="str">
        <f aca="false">IF(COUNTIF($A$2:$A$5001,A3589)&gt;1,"Duplicate","Unique")</f>
        <v>Unique</v>
      </c>
      <c r="V3589" s="9" t="str">
        <f aca="false">IF(COUNTIFS($B$2:$B$5001,B3589,$H$2:$H$5001,H3589,$J$2:$J$5001,J3589)&gt;1,"Possible Duplicate Booking","Unique")</f>
        <v>Unique</v>
      </c>
      <c r="W3589" s="9" t="str">
        <f aca="false">IF((H3589-G3589)&lt;&gt;K3589,"Mismatch","OK")</f>
        <v>OK</v>
      </c>
      <c r="X3589" s="9" t="str">
        <f aca="false">IF(TEXT(H3589,"dddd")&lt;&gt;I3589,"Mismatch","OK")</f>
        <v>OK</v>
      </c>
      <c r="Y3589" s="9" t="str">
        <f aca="false">IF(AND(N3589="No",O3589&lt;&gt;""),"Unexpected: channel present but no reminder sent",IF(AND(N3589="Yes",O3589=""),"Missing channel for sent reminder","OK"))</f>
        <v>OK</v>
      </c>
    </row>
    <row r="3590" customFormat="false" ht="15" hidden="false" customHeight="false" outlineLevel="0" collapsed="false">
      <c r="A3590" s="7" t="s">
        <v>5218</v>
      </c>
      <c r="B3590" s="7" t="s">
        <v>2826</v>
      </c>
      <c r="C3590" s="7" t="s">
        <v>236</v>
      </c>
      <c r="D3590" s="7" t="n">
        <v>27</v>
      </c>
      <c r="E3590" s="7" t="s">
        <v>48</v>
      </c>
      <c r="F3590" s="7" t="s">
        <v>49</v>
      </c>
      <c r="G3590" s="8" t="n">
        <v>45982</v>
      </c>
      <c r="H3590" s="8" t="n">
        <v>46013</v>
      </c>
      <c r="I3590" s="7" t="s">
        <v>66</v>
      </c>
      <c r="J3590" s="7" t="s">
        <v>41</v>
      </c>
      <c r="K3590" s="7" t="n">
        <v>31</v>
      </c>
      <c r="L3590" s="7" t="n">
        <v>4</v>
      </c>
      <c r="M3590" s="7" t="n">
        <v>1</v>
      </c>
      <c r="N3590" s="7" t="s">
        <v>42</v>
      </c>
      <c r="O3590" s="7" t="s">
        <v>43</v>
      </c>
      <c r="P3590" s="7" t="n">
        <v>11</v>
      </c>
      <c r="Q3590" s="7" t="n">
        <v>28</v>
      </c>
      <c r="R3590" s="7" t="s">
        <v>44</v>
      </c>
      <c r="S3590" s="7"/>
      <c r="T3590" s="7"/>
      <c r="U3590" s="7" t="str">
        <f aca="false">IF(COUNTIF($A$2:$A$5001,A3590)&gt;1,"Duplicate","Unique")</f>
        <v>Unique</v>
      </c>
      <c r="V3590" s="7" t="str">
        <f aca="false">IF(COUNTIFS($B$2:$B$5001,B3590,$H$2:$H$5001,H3590,$J$2:$J$5001,J3590)&gt;1,"Possible Duplicate Booking","Unique")</f>
        <v>Unique</v>
      </c>
      <c r="W3590" s="7" t="str">
        <f aca="false">IF((H3590-G3590)&lt;&gt;K3590,"Mismatch","OK")</f>
        <v>OK</v>
      </c>
      <c r="X3590" s="7" t="str">
        <f aca="false">IF(TEXT(H3590,"dddd")&lt;&gt;I3590,"Mismatch","OK")</f>
        <v>OK</v>
      </c>
      <c r="Y3590" s="7" t="str">
        <f aca="false">IF(AND(N3590="No",O3590&lt;&gt;""),"Unexpected: channel present but no reminder sent",IF(AND(N3590="Yes",O3590=""),"Missing channel for sent reminder","OK"))</f>
        <v>OK</v>
      </c>
    </row>
    <row r="3591" customFormat="false" ht="15" hidden="false" customHeight="false" outlineLevel="0" collapsed="false">
      <c r="A3591" s="9" t="s">
        <v>5219</v>
      </c>
      <c r="B3591" s="9" t="s">
        <v>3892</v>
      </c>
      <c r="C3591" s="9" t="s">
        <v>37</v>
      </c>
      <c r="D3591" s="9" t="n">
        <v>57</v>
      </c>
      <c r="E3591" s="9" t="s">
        <v>61</v>
      </c>
      <c r="F3591" s="9" t="s">
        <v>39</v>
      </c>
      <c r="G3591" s="10" t="n">
        <v>46105</v>
      </c>
      <c r="H3591" s="10" t="n">
        <v>46154</v>
      </c>
      <c r="I3591" s="9" t="s">
        <v>40</v>
      </c>
      <c r="J3591" s="9" t="s">
        <v>51</v>
      </c>
      <c r="K3591" s="9" t="n">
        <v>49</v>
      </c>
      <c r="L3591" s="9" t="n">
        <v>3</v>
      </c>
      <c r="M3591" s="9" t="n">
        <v>0</v>
      </c>
      <c r="N3591" s="9" t="s">
        <v>42</v>
      </c>
      <c r="O3591" s="9" t="s">
        <v>67</v>
      </c>
      <c r="P3591" s="9" t="n">
        <v>14.1</v>
      </c>
      <c r="Q3591" s="9" t="n">
        <v>27</v>
      </c>
      <c r="R3591" s="9" t="s">
        <v>44</v>
      </c>
      <c r="S3591" s="9"/>
      <c r="T3591" s="9"/>
      <c r="U3591" s="9" t="str">
        <f aca="false">IF(COUNTIF($A$2:$A$5001,A3591)&gt;1,"Duplicate","Unique")</f>
        <v>Unique</v>
      </c>
      <c r="V3591" s="9" t="str">
        <f aca="false">IF(COUNTIFS($B$2:$B$5001,B3591,$H$2:$H$5001,H3591,$J$2:$J$5001,J3591)&gt;1,"Possible Duplicate Booking","Unique")</f>
        <v>Unique</v>
      </c>
      <c r="W3591" s="9" t="str">
        <f aca="false">IF((H3591-G3591)&lt;&gt;K3591,"Mismatch","OK")</f>
        <v>OK</v>
      </c>
      <c r="X3591" s="9" t="str">
        <f aca="false">IF(TEXT(H3591,"dddd")&lt;&gt;I3591,"Mismatch","OK")</f>
        <v>OK</v>
      </c>
      <c r="Y3591" s="9" t="str">
        <f aca="false">IF(AND(N3591="No",O3591&lt;&gt;""),"Unexpected: channel present but no reminder sent",IF(AND(N3591="Yes",O3591=""),"Missing channel for sent reminder","OK"))</f>
        <v>OK</v>
      </c>
    </row>
    <row r="3592" customFormat="false" ht="15" hidden="false" customHeight="false" outlineLevel="0" collapsed="false">
      <c r="A3592" s="7" t="s">
        <v>5220</v>
      </c>
      <c r="B3592" s="7" t="s">
        <v>5221</v>
      </c>
      <c r="C3592" s="7" t="s">
        <v>47</v>
      </c>
      <c r="D3592" s="7" t="n">
        <v>30</v>
      </c>
      <c r="E3592" s="7" t="s">
        <v>48</v>
      </c>
      <c r="F3592" s="7" t="s">
        <v>39</v>
      </c>
      <c r="G3592" s="8" t="n">
        <v>45693</v>
      </c>
      <c r="H3592" s="8" t="n">
        <v>45718</v>
      </c>
      <c r="I3592" s="7" t="s">
        <v>75</v>
      </c>
      <c r="J3592" s="7" t="s">
        <v>51</v>
      </c>
      <c r="K3592" s="7" t="n">
        <v>25</v>
      </c>
      <c r="L3592" s="7" t="n">
        <v>3</v>
      </c>
      <c r="M3592" s="7" t="n">
        <v>1</v>
      </c>
      <c r="N3592" s="7" t="s">
        <v>71</v>
      </c>
      <c r="O3592" s="7"/>
      <c r="P3592" s="7" t="n">
        <v>8</v>
      </c>
      <c r="Q3592" s="7" t="n">
        <v>32</v>
      </c>
      <c r="R3592" s="7" t="s">
        <v>53</v>
      </c>
      <c r="S3592" s="7"/>
      <c r="T3592" s="7"/>
      <c r="U3592" s="7" t="str">
        <f aca="false">IF(COUNTIF($A$2:$A$5001,A3592)&gt;1,"Duplicate","Unique")</f>
        <v>Unique</v>
      </c>
      <c r="V3592" s="7" t="str">
        <f aca="false">IF(COUNTIFS($B$2:$B$5001,B3592,$H$2:$H$5001,H3592,$J$2:$J$5001,J3592)&gt;1,"Possible Duplicate Booking","Unique")</f>
        <v>Unique</v>
      </c>
      <c r="W3592" s="7" t="str">
        <f aca="false">IF((H3592-G3592)&lt;&gt;K3592,"Mismatch","OK")</f>
        <v>OK</v>
      </c>
      <c r="X3592" s="7" t="str">
        <f aca="false">IF(TEXT(H3592,"dddd")&lt;&gt;I3592,"Mismatch","OK")</f>
        <v>OK</v>
      </c>
      <c r="Y3592" s="7" t="str">
        <f aca="false">IF(AND(N3592="No",O3592&lt;&gt;""),"Unexpected: channel present but no reminder sent",IF(AND(N3592="Yes",O3592=""),"Missing channel for sent reminder","OK"))</f>
        <v>OK</v>
      </c>
    </row>
    <row r="3593" customFormat="false" ht="15" hidden="false" customHeight="false" outlineLevel="0" collapsed="false">
      <c r="A3593" s="9" t="s">
        <v>5222</v>
      </c>
      <c r="B3593" s="9" t="s">
        <v>2920</v>
      </c>
      <c r="C3593" s="9" t="s">
        <v>47</v>
      </c>
      <c r="D3593" s="9" t="n">
        <v>52</v>
      </c>
      <c r="E3593" s="9" t="s">
        <v>56</v>
      </c>
      <c r="F3593" s="9" t="s">
        <v>57</v>
      </c>
      <c r="G3593" s="10" t="n">
        <v>45795</v>
      </c>
      <c r="H3593" s="10" t="n">
        <v>45819</v>
      </c>
      <c r="I3593" s="9" t="s">
        <v>58</v>
      </c>
      <c r="J3593" s="9" t="s">
        <v>63</v>
      </c>
      <c r="K3593" s="9" t="n">
        <v>24</v>
      </c>
      <c r="L3593" s="9" t="n">
        <v>4</v>
      </c>
      <c r="M3593" s="9" t="n">
        <v>2</v>
      </c>
      <c r="N3593" s="9" t="s">
        <v>71</v>
      </c>
      <c r="O3593" s="9"/>
      <c r="P3593" s="9" t="n">
        <v>3.7</v>
      </c>
      <c r="Q3593" s="9" t="n">
        <v>47</v>
      </c>
      <c r="R3593" s="9" t="s">
        <v>53</v>
      </c>
      <c r="S3593" s="9"/>
      <c r="T3593" s="9"/>
      <c r="U3593" s="9" t="str">
        <f aca="false">IF(COUNTIF($A$2:$A$5001,A3593)&gt;1,"Duplicate","Unique")</f>
        <v>Unique</v>
      </c>
      <c r="V3593" s="9" t="str">
        <f aca="false">IF(COUNTIFS($B$2:$B$5001,B3593,$H$2:$H$5001,H3593,$J$2:$J$5001,J3593)&gt;1,"Possible Duplicate Booking","Unique")</f>
        <v>Unique</v>
      </c>
      <c r="W3593" s="9" t="str">
        <f aca="false">IF((H3593-G3593)&lt;&gt;K3593,"Mismatch","OK")</f>
        <v>OK</v>
      </c>
      <c r="X3593" s="9" t="str">
        <f aca="false">IF(TEXT(H3593,"dddd")&lt;&gt;I3593,"Mismatch","OK")</f>
        <v>OK</v>
      </c>
      <c r="Y3593" s="9" t="str">
        <f aca="false">IF(AND(N3593="No",O3593&lt;&gt;""),"Unexpected: channel present but no reminder sent",IF(AND(N3593="Yes",O3593=""),"Missing channel for sent reminder","OK"))</f>
        <v>OK</v>
      </c>
    </row>
    <row r="3594" customFormat="false" ht="15" hidden="false" customHeight="false" outlineLevel="0" collapsed="false">
      <c r="A3594" s="7" t="s">
        <v>5223</v>
      </c>
      <c r="B3594" s="7" t="s">
        <v>1577</v>
      </c>
      <c r="C3594" s="7" t="s">
        <v>47</v>
      </c>
      <c r="D3594" s="7" t="n">
        <v>49</v>
      </c>
      <c r="E3594" s="7" t="s">
        <v>56</v>
      </c>
      <c r="F3594" s="7" t="s">
        <v>39</v>
      </c>
      <c r="G3594" s="8" t="n">
        <v>46183</v>
      </c>
      <c r="H3594" s="8" t="n">
        <v>46195</v>
      </c>
      <c r="I3594" s="7" t="s">
        <v>66</v>
      </c>
      <c r="J3594" s="7" t="s">
        <v>51</v>
      </c>
      <c r="K3594" s="7" t="n">
        <v>12</v>
      </c>
      <c r="L3594" s="7" t="n">
        <v>3</v>
      </c>
      <c r="M3594" s="7" t="n">
        <v>1</v>
      </c>
      <c r="N3594" s="7" t="s">
        <v>42</v>
      </c>
      <c r="O3594" s="7" t="s">
        <v>67</v>
      </c>
      <c r="P3594" s="7" t="n">
        <v>23.9</v>
      </c>
      <c r="Q3594" s="7" t="n">
        <v>32</v>
      </c>
      <c r="R3594" s="7" t="s">
        <v>44</v>
      </c>
      <c r="S3594" s="7"/>
      <c r="T3594" s="7"/>
      <c r="U3594" s="7" t="str">
        <f aca="false">IF(COUNTIF($A$2:$A$5001,A3594)&gt;1,"Duplicate","Unique")</f>
        <v>Unique</v>
      </c>
      <c r="V3594" s="7" t="str">
        <f aca="false">IF(COUNTIFS($B$2:$B$5001,B3594,$H$2:$H$5001,H3594,$J$2:$J$5001,J3594)&gt;1,"Possible Duplicate Booking","Unique")</f>
        <v>Unique</v>
      </c>
      <c r="W3594" s="7" t="str">
        <f aca="false">IF((H3594-G3594)&lt;&gt;K3594,"Mismatch","OK")</f>
        <v>OK</v>
      </c>
      <c r="X3594" s="7" t="str">
        <f aca="false">IF(TEXT(H3594,"dddd")&lt;&gt;I3594,"Mismatch","OK")</f>
        <v>OK</v>
      </c>
      <c r="Y3594" s="7" t="str">
        <f aca="false">IF(AND(N3594="No",O3594&lt;&gt;""),"Unexpected: channel present but no reminder sent",IF(AND(N3594="Yes",O3594=""),"Missing channel for sent reminder","OK"))</f>
        <v>OK</v>
      </c>
    </row>
    <row r="3595" customFormat="false" ht="15" hidden="false" customHeight="false" outlineLevel="0" collapsed="false">
      <c r="A3595" s="9" t="s">
        <v>5224</v>
      </c>
      <c r="B3595" s="9" t="s">
        <v>1366</v>
      </c>
      <c r="C3595" s="9" t="s">
        <v>47</v>
      </c>
      <c r="D3595" s="9" t="n">
        <v>66</v>
      </c>
      <c r="E3595" s="9" t="s">
        <v>70</v>
      </c>
      <c r="F3595" s="9" t="s">
        <v>57</v>
      </c>
      <c r="G3595" s="10" t="n">
        <v>45941</v>
      </c>
      <c r="H3595" s="10" t="n">
        <v>45968</v>
      </c>
      <c r="I3595" s="9" t="s">
        <v>50</v>
      </c>
      <c r="J3595" s="9" t="s">
        <v>51</v>
      </c>
      <c r="K3595" s="9" t="n">
        <v>27</v>
      </c>
      <c r="L3595" s="9" t="n">
        <v>2</v>
      </c>
      <c r="M3595" s="9" t="n">
        <v>0</v>
      </c>
      <c r="N3595" s="9" t="s">
        <v>71</v>
      </c>
      <c r="O3595" s="9"/>
      <c r="P3595" s="9" t="n">
        <v>2.6</v>
      </c>
      <c r="Q3595" s="9" t="n">
        <v>2</v>
      </c>
      <c r="R3595" s="9" t="s">
        <v>53</v>
      </c>
      <c r="S3595" s="9"/>
      <c r="T3595" s="9"/>
      <c r="U3595" s="9" t="str">
        <f aca="false">IF(COUNTIF($A$2:$A$5001,A3595)&gt;1,"Duplicate","Unique")</f>
        <v>Unique</v>
      </c>
      <c r="V3595" s="9" t="str">
        <f aca="false">IF(COUNTIFS($B$2:$B$5001,B3595,$H$2:$H$5001,H3595,$J$2:$J$5001,J3595)&gt;1,"Possible Duplicate Booking","Unique")</f>
        <v>Unique</v>
      </c>
      <c r="W3595" s="9" t="str">
        <f aca="false">IF((H3595-G3595)&lt;&gt;K3595,"Mismatch","OK")</f>
        <v>OK</v>
      </c>
      <c r="X3595" s="9" t="str">
        <f aca="false">IF(TEXT(H3595,"dddd")&lt;&gt;I3595,"Mismatch","OK")</f>
        <v>OK</v>
      </c>
      <c r="Y3595" s="9" t="str">
        <f aca="false">IF(AND(N3595="No",O3595&lt;&gt;""),"Unexpected: channel present but no reminder sent",IF(AND(N3595="Yes",O3595=""),"Missing channel for sent reminder","OK"))</f>
        <v>OK</v>
      </c>
    </row>
    <row r="3596" customFormat="false" ht="15" hidden="false" customHeight="false" outlineLevel="0" collapsed="false">
      <c r="A3596" s="7" t="s">
        <v>5225</v>
      </c>
      <c r="B3596" s="7" t="s">
        <v>2529</v>
      </c>
      <c r="C3596" s="7" t="s">
        <v>47</v>
      </c>
      <c r="D3596" s="7" t="n">
        <v>79</v>
      </c>
      <c r="E3596" s="7" t="s">
        <v>70</v>
      </c>
      <c r="F3596" s="7" t="s">
        <v>57</v>
      </c>
      <c r="G3596" s="8" t="n">
        <v>45783</v>
      </c>
      <c r="H3596" s="8" t="n">
        <v>45793</v>
      </c>
      <c r="I3596" s="7" t="s">
        <v>50</v>
      </c>
      <c r="J3596" s="7" t="s">
        <v>63</v>
      </c>
      <c r="K3596" s="7" t="n">
        <v>10</v>
      </c>
      <c r="L3596" s="7" t="n">
        <v>2</v>
      </c>
      <c r="M3596" s="7" t="n">
        <v>0</v>
      </c>
      <c r="N3596" s="7" t="s">
        <v>71</v>
      </c>
      <c r="O3596" s="7"/>
      <c r="P3596" s="7" t="n">
        <v>3.8</v>
      </c>
      <c r="Q3596" s="7" t="n">
        <v>21</v>
      </c>
      <c r="R3596" s="7" t="s">
        <v>53</v>
      </c>
      <c r="S3596" s="7"/>
      <c r="T3596" s="7"/>
      <c r="U3596" s="7" t="str">
        <f aca="false">IF(COUNTIF($A$2:$A$5001,A3596)&gt;1,"Duplicate","Unique")</f>
        <v>Unique</v>
      </c>
      <c r="V3596" s="7" t="str">
        <f aca="false">IF(COUNTIFS($B$2:$B$5001,B3596,$H$2:$H$5001,H3596,$J$2:$J$5001,J3596)&gt;1,"Possible Duplicate Booking","Unique")</f>
        <v>Unique</v>
      </c>
      <c r="W3596" s="7" t="str">
        <f aca="false">IF((H3596-G3596)&lt;&gt;K3596,"Mismatch","OK")</f>
        <v>OK</v>
      </c>
      <c r="X3596" s="7" t="str">
        <f aca="false">IF(TEXT(H3596,"dddd")&lt;&gt;I3596,"Mismatch","OK")</f>
        <v>OK</v>
      </c>
      <c r="Y3596" s="7" t="str">
        <f aca="false">IF(AND(N3596="No",O3596&lt;&gt;""),"Unexpected: channel present but no reminder sent",IF(AND(N3596="Yes",O3596=""),"Missing channel for sent reminder","OK"))</f>
        <v>OK</v>
      </c>
    </row>
    <row r="3597" customFormat="false" ht="15" hidden="false" customHeight="false" outlineLevel="0" collapsed="false">
      <c r="A3597" s="9" t="s">
        <v>5226</v>
      </c>
      <c r="B3597" s="9" t="s">
        <v>4015</v>
      </c>
      <c r="C3597" s="9" t="s">
        <v>37</v>
      </c>
      <c r="D3597" s="9" t="n">
        <v>29</v>
      </c>
      <c r="E3597" s="9" t="s">
        <v>48</v>
      </c>
      <c r="F3597" s="9" t="s">
        <v>49</v>
      </c>
      <c r="G3597" s="10" t="n">
        <v>45781</v>
      </c>
      <c r="H3597" s="10" t="n">
        <v>45816</v>
      </c>
      <c r="I3597" s="9" t="s">
        <v>75</v>
      </c>
      <c r="J3597" s="9" t="s">
        <v>51</v>
      </c>
      <c r="K3597" s="9" t="n">
        <v>35</v>
      </c>
      <c r="L3597" s="9" t="n">
        <v>2</v>
      </c>
      <c r="M3597" s="9" t="n">
        <v>0</v>
      </c>
      <c r="N3597" s="9" t="s">
        <v>71</v>
      </c>
      <c r="O3597" s="9"/>
      <c r="P3597" s="9" t="n">
        <v>21</v>
      </c>
      <c r="Q3597" s="9" t="n">
        <v>24</v>
      </c>
      <c r="R3597" s="9" t="s">
        <v>44</v>
      </c>
      <c r="S3597" s="9"/>
      <c r="T3597" s="9"/>
      <c r="U3597" s="9" t="str">
        <f aca="false">IF(COUNTIF($A$2:$A$5001,A3597)&gt;1,"Duplicate","Unique")</f>
        <v>Unique</v>
      </c>
      <c r="V3597" s="9" t="str">
        <f aca="false">IF(COUNTIFS($B$2:$B$5001,B3597,$H$2:$H$5001,H3597,$J$2:$J$5001,J3597)&gt;1,"Possible Duplicate Booking","Unique")</f>
        <v>Unique</v>
      </c>
      <c r="W3597" s="9" t="str">
        <f aca="false">IF((H3597-G3597)&lt;&gt;K3597,"Mismatch","OK")</f>
        <v>OK</v>
      </c>
      <c r="X3597" s="9" t="str">
        <f aca="false">IF(TEXT(H3597,"dddd")&lt;&gt;I3597,"Mismatch","OK")</f>
        <v>OK</v>
      </c>
      <c r="Y3597" s="9" t="str">
        <f aca="false">IF(AND(N3597="No",O3597&lt;&gt;""),"Unexpected: channel present but no reminder sent",IF(AND(N3597="Yes",O3597=""),"Missing channel for sent reminder","OK"))</f>
        <v>OK</v>
      </c>
    </row>
    <row r="3598" customFormat="false" ht="15" hidden="false" customHeight="false" outlineLevel="0" collapsed="false">
      <c r="A3598" s="7" t="s">
        <v>5227</v>
      </c>
      <c r="B3598" s="7" t="s">
        <v>2407</v>
      </c>
      <c r="C3598" s="7" t="s">
        <v>47</v>
      </c>
      <c r="D3598" s="7" t="n">
        <v>25</v>
      </c>
      <c r="E3598" s="7" t="s">
        <v>48</v>
      </c>
      <c r="F3598" s="7" t="s">
        <v>57</v>
      </c>
      <c r="G3598" s="8" t="n">
        <v>45783</v>
      </c>
      <c r="H3598" s="8" t="n">
        <v>45843</v>
      </c>
      <c r="I3598" s="7" t="s">
        <v>102</v>
      </c>
      <c r="J3598" s="7" t="s">
        <v>51</v>
      </c>
      <c r="K3598" s="7" t="n">
        <v>60</v>
      </c>
      <c r="L3598" s="7" t="n">
        <v>1</v>
      </c>
      <c r="M3598" s="7" t="n">
        <v>0</v>
      </c>
      <c r="N3598" s="7" t="s">
        <v>71</v>
      </c>
      <c r="O3598" s="7"/>
      <c r="P3598" s="7" t="n">
        <v>17.7</v>
      </c>
      <c r="Q3598" s="7" t="n">
        <v>7</v>
      </c>
      <c r="R3598" s="7" t="s">
        <v>44</v>
      </c>
      <c r="S3598" s="7"/>
      <c r="T3598" s="7"/>
      <c r="U3598" s="7" t="str">
        <f aca="false">IF(COUNTIF($A$2:$A$5001,A3598)&gt;1,"Duplicate","Unique")</f>
        <v>Unique</v>
      </c>
      <c r="V3598" s="7" t="str">
        <f aca="false">IF(COUNTIFS($B$2:$B$5001,B3598,$H$2:$H$5001,H3598,$J$2:$J$5001,J3598)&gt;1,"Possible Duplicate Booking","Unique")</f>
        <v>Unique</v>
      </c>
      <c r="W3598" s="7" t="str">
        <f aca="false">IF((H3598-G3598)&lt;&gt;K3598,"Mismatch","OK")</f>
        <v>OK</v>
      </c>
      <c r="X3598" s="7" t="str">
        <f aca="false">IF(TEXT(H3598,"dddd")&lt;&gt;I3598,"Mismatch","OK")</f>
        <v>OK</v>
      </c>
      <c r="Y3598" s="7" t="str">
        <f aca="false">IF(AND(N3598="No",O3598&lt;&gt;""),"Unexpected: channel present but no reminder sent",IF(AND(N3598="Yes",O3598=""),"Missing channel for sent reminder","OK"))</f>
        <v>OK</v>
      </c>
    </row>
    <row r="3599" customFormat="false" ht="15" hidden="false" customHeight="false" outlineLevel="0" collapsed="false">
      <c r="A3599" s="9" t="s">
        <v>5228</v>
      </c>
      <c r="B3599" s="9" t="s">
        <v>2451</v>
      </c>
      <c r="C3599" s="9" t="s">
        <v>37</v>
      </c>
      <c r="D3599" s="9" t="n">
        <v>53</v>
      </c>
      <c r="E3599" s="9" t="s">
        <v>56</v>
      </c>
      <c r="F3599" s="9" t="s">
        <v>39</v>
      </c>
      <c r="G3599" s="10" t="n">
        <v>45928</v>
      </c>
      <c r="H3599" s="10" t="n">
        <v>45960</v>
      </c>
      <c r="I3599" s="9" t="s">
        <v>62</v>
      </c>
      <c r="J3599" s="9" t="s">
        <v>51</v>
      </c>
      <c r="K3599" s="9" t="n">
        <v>32</v>
      </c>
      <c r="L3599" s="9" t="n">
        <v>5</v>
      </c>
      <c r="M3599" s="9" t="n">
        <v>3</v>
      </c>
      <c r="N3599" s="9" t="s">
        <v>42</v>
      </c>
      <c r="O3599" s="9" t="s">
        <v>52</v>
      </c>
      <c r="P3599" s="9" t="n">
        <v>22.1</v>
      </c>
      <c r="Q3599" s="9" t="n">
        <v>33</v>
      </c>
      <c r="R3599" s="9" t="s">
        <v>53</v>
      </c>
      <c r="S3599" s="9"/>
      <c r="T3599" s="9"/>
      <c r="U3599" s="9" t="str">
        <f aca="false">IF(COUNTIF($A$2:$A$5001,A3599)&gt;1,"Duplicate","Unique")</f>
        <v>Unique</v>
      </c>
      <c r="V3599" s="9" t="str">
        <f aca="false">IF(COUNTIFS($B$2:$B$5001,B3599,$H$2:$H$5001,H3599,$J$2:$J$5001,J3599)&gt;1,"Possible Duplicate Booking","Unique")</f>
        <v>Unique</v>
      </c>
      <c r="W3599" s="9" t="str">
        <f aca="false">IF((H3599-G3599)&lt;&gt;K3599,"Mismatch","OK")</f>
        <v>OK</v>
      </c>
      <c r="X3599" s="9" t="str">
        <f aca="false">IF(TEXT(H3599,"dddd")&lt;&gt;I3599,"Mismatch","OK")</f>
        <v>OK</v>
      </c>
      <c r="Y3599" s="9" t="str">
        <f aca="false">IF(AND(N3599="No",O3599&lt;&gt;""),"Unexpected: channel present but no reminder sent",IF(AND(N3599="Yes",O3599=""),"Missing channel for sent reminder","OK"))</f>
        <v>OK</v>
      </c>
    </row>
    <row r="3600" customFormat="false" ht="15" hidden="false" customHeight="false" outlineLevel="0" collapsed="false">
      <c r="A3600" s="7" t="s">
        <v>5229</v>
      </c>
      <c r="B3600" s="7" t="s">
        <v>328</v>
      </c>
      <c r="C3600" s="7" t="s">
        <v>47</v>
      </c>
      <c r="D3600" s="7" t="n">
        <v>77</v>
      </c>
      <c r="E3600" s="7" t="s">
        <v>70</v>
      </c>
      <c r="F3600" s="7" t="s">
        <v>57</v>
      </c>
      <c r="G3600" s="8" t="n">
        <v>45795</v>
      </c>
      <c r="H3600" s="8" t="n">
        <v>45813</v>
      </c>
      <c r="I3600" s="7" t="s">
        <v>62</v>
      </c>
      <c r="J3600" s="7" t="s">
        <v>51</v>
      </c>
      <c r="K3600" s="7" t="n">
        <v>18</v>
      </c>
      <c r="L3600" s="7" t="n">
        <v>4</v>
      </c>
      <c r="M3600" s="7" t="n">
        <v>0</v>
      </c>
      <c r="N3600" s="7" t="s">
        <v>71</v>
      </c>
      <c r="O3600" s="7"/>
      <c r="P3600" s="7" t="n">
        <v>5.9</v>
      </c>
      <c r="Q3600" s="7" t="n">
        <v>44</v>
      </c>
      <c r="R3600" s="7" t="s">
        <v>53</v>
      </c>
      <c r="S3600" s="7"/>
      <c r="T3600" s="7"/>
      <c r="U3600" s="7" t="str">
        <f aca="false">IF(COUNTIF($A$2:$A$5001,A3600)&gt;1,"Duplicate","Unique")</f>
        <v>Unique</v>
      </c>
      <c r="V3600" s="7" t="str">
        <f aca="false">IF(COUNTIFS($B$2:$B$5001,B3600,$H$2:$H$5001,H3600,$J$2:$J$5001,J3600)&gt;1,"Possible Duplicate Booking","Unique")</f>
        <v>Unique</v>
      </c>
      <c r="W3600" s="7" t="str">
        <f aca="false">IF((H3600-G3600)&lt;&gt;K3600,"Mismatch","OK")</f>
        <v>OK</v>
      </c>
      <c r="X3600" s="7" t="str">
        <f aca="false">IF(TEXT(H3600,"dddd")&lt;&gt;I3600,"Mismatch","OK")</f>
        <v>OK</v>
      </c>
      <c r="Y3600" s="7" t="str">
        <f aca="false">IF(AND(N3600="No",O3600&lt;&gt;""),"Unexpected: channel present but no reminder sent",IF(AND(N3600="Yes",O3600=""),"Missing channel for sent reminder","OK"))</f>
        <v>OK</v>
      </c>
    </row>
    <row r="3601" customFormat="false" ht="15" hidden="false" customHeight="false" outlineLevel="0" collapsed="false">
      <c r="A3601" s="9" t="s">
        <v>5230</v>
      </c>
      <c r="B3601" s="9" t="s">
        <v>3145</v>
      </c>
      <c r="C3601" s="9" t="s">
        <v>47</v>
      </c>
      <c r="D3601" s="9" t="n">
        <v>27</v>
      </c>
      <c r="E3601" s="9" t="s">
        <v>48</v>
      </c>
      <c r="F3601" s="9" t="s">
        <v>39</v>
      </c>
      <c r="G3601" s="10" t="n">
        <v>45956</v>
      </c>
      <c r="H3601" s="10" t="n">
        <v>45997</v>
      </c>
      <c r="I3601" s="9" t="s">
        <v>102</v>
      </c>
      <c r="J3601" s="9" t="s">
        <v>63</v>
      </c>
      <c r="K3601" s="9" t="n">
        <v>41</v>
      </c>
      <c r="L3601" s="9" t="n">
        <v>2</v>
      </c>
      <c r="M3601" s="9" t="n">
        <v>1</v>
      </c>
      <c r="N3601" s="9" t="s">
        <v>42</v>
      </c>
      <c r="O3601" s="9" t="s">
        <v>43</v>
      </c>
      <c r="P3601" s="9" t="n">
        <v>4.7</v>
      </c>
      <c r="Q3601" s="9" t="n">
        <v>14</v>
      </c>
      <c r="R3601" s="9" t="s">
        <v>44</v>
      </c>
      <c r="S3601" s="9"/>
      <c r="T3601" s="9"/>
      <c r="U3601" s="9" t="str">
        <f aca="false">IF(COUNTIF($A$2:$A$5001,A3601)&gt;1,"Duplicate","Unique")</f>
        <v>Unique</v>
      </c>
      <c r="V3601" s="9" t="str">
        <f aca="false">IF(COUNTIFS($B$2:$B$5001,B3601,$H$2:$H$5001,H3601,$J$2:$J$5001,J3601)&gt;1,"Possible Duplicate Booking","Unique")</f>
        <v>Unique</v>
      </c>
      <c r="W3601" s="9" t="str">
        <f aca="false">IF((H3601-G3601)&lt;&gt;K3601,"Mismatch","OK")</f>
        <v>OK</v>
      </c>
      <c r="X3601" s="9" t="str">
        <f aca="false">IF(TEXT(H3601,"dddd")&lt;&gt;I3601,"Mismatch","OK")</f>
        <v>OK</v>
      </c>
      <c r="Y3601" s="9" t="str">
        <f aca="false">IF(AND(N3601="No",O3601&lt;&gt;""),"Unexpected: channel present but no reminder sent",IF(AND(N3601="Yes",O3601=""),"Missing channel for sent reminder","OK"))</f>
        <v>OK</v>
      </c>
    </row>
    <row r="3602" customFormat="false" ht="15" hidden="false" customHeight="false" outlineLevel="0" collapsed="false">
      <c r="A3602" s="7" t="s">
        <v>5231</v>
      </c>
      <c r="B3602" s="7" t="s">
        <v>4356</v>
      </c>
      <c r="C3602" s="7" t="s">
        <v>37</v>
      </c>
      <c r="D3602" s="7" t="n">
        <v>48</v>
      </c>
      <c r="E3602" s="7" t="s">
        <v>56</v>
      </c>
      <c r="F3602" s="7" t="s">
        <v>49</v>
      </c>
      <c r="G3602" s="8" t="n">
        <v>45851</v>
      </c>
      <c r="H3602" s="8" t="n">
        <v>45901</v>
      </c>
      <c r="I3602" s="7" t="s">
        <v>66</v>
      </c>
      <c r="J3602" s="7" t="s">
        <v>41</v>
      </c>
      <c r="K3602" s="7" t="n">
        <v>50</v>
      </c>
      <c r="L3602" s="7" t="n">
        <v>3</v>
      </c>
      <c r="M3602" s="7" t="n">
        <v>1</v>
      </c>
      <c r="N3602" s="7" t="s">
        <v>71</v>
      </c>
      <c r="O3602" s="7"/>
      <c r="P3602" s="7" t="n">
        <v>16.2</v>
      </c>
      <c r="Q3602" s="7" t="n">
        <v>38</v>
      </c>
      <c r="R3602" s="7" t="s">
        <v>44</v>
      </c>
      <c r="S3602" s="7"/>
      <c r="T3602" s="7"/>
      <c r="U3602" s="7" t="str">
        <f aca="false">IF(COUNTIF($A$2:$A$5001,A3602)&gt;1,"Duplicate","Unique")</f>
        <v>Unique</v>
      </c>
      <c r="V3602" s="7" t="str">
        <f aca="false">IF(COUNTIFS($B$2:$B$5001,B3602,$H$2:$H$5001,H3602,$J$2:$J$5001,J3602)&gt;1,"Possible Duplicate Booking","Unique")</f>
        <v>Unique</v>
      </c>
      <c r="W3602" s="7" t="str">
        <f aca="false">IF((H3602-G3602)&lt;&gt;K3602,"Mismatch","OK")</f>
        <v>OK</v>
      </c>
      <c r="X3602" s="7" t="str">
        <f aca="false">IF(TEXT(H3602,"dddd")&lt;&gt;I3602,"Mismatch","OK")</f>
        <v>OK</v>
      </c>
      <c r="Y3602" s="7" t="str">
        <f aca="false">IF(AND(N3602="No",O3602&lt;&gt;""),"Unexpected: channel present but no reminder sent",IF(AND(N3602="Yes",O3602=""),"Missing channel for sent reminder","OK"))</f>
        <v>OK</v>
      </c>
    </row>
    <row r="3603" customFormat="false" ht="15" hidden="false" customHeight="false" outlineLevel="0" collapsed="false">
      <c r="A3603" s="9" t="s">
        <v>5232</v>
      </c>
      <c r="B3603" s="9" t="s">
        <v>1303</v>
      </c>
      <c r="C3603" s="9" t="s">
        <v>37</v>
      </c>
      <c r="D3603" s="9" t="n">
        <v>43</v>
      </c>
      <c r="E3603" s="9" t="s">
        <v>38</v>
      </c>
      <c r="F3603" s="9" t="s">
        <v>57</v>
      </c>
      <c r="G3603" s="10" t="n">
        <v>45963</v>
      </c>
      <c r="H3603" s="10" t="n">
        <v>45991</v>
      </c>
      <c r="I3603" s="9" t="s">
        <v>75</v>
      </c>
      <c r="J3603" s="9" t="s">
        <v>41</v>
      </c>
      <c r="K3603" s="9" t="n">
        <v>28</v>
      </c>
      <c r="L3603" s="9" t="n">
        <v>1</v>
      </c>
      <c r="M3603" s="9" t="n">
        <v>1</v>
      </c>
      <c r="N3603" s="9" t="s">
        <v>42</v>
      </c>
      <c r="O3603" s="9" t="s">
        <v>52</v>
      </c>
      <c r="P3603" s="9" t="n">
        <v>3.6</v>
      </c>
      <c r="Q3603" s="9" t="n">
        <v>36</v>
      </c>
      <c r="R3603" s="9" t="s">
        <v>53</v>
      </c>
      <c r="S3603" s="9"/>
      <c r="T3603" s="9"/>
      <c r="U3603" s="9" t="str">
        <f aca="false">IF(COUNTIF($A$2:$A$5001,A3603)&gt;1,"Duplicate","Unique")</f>
        <v>Unique</v>
      </c>
      <c r="V3603" s="9" t="str">
        <f aca="false">IF(COUNTIFS($B$2:$B$5001,B3603,$H$2:$H$5001,H3603,$J$2:$J$5001,J3603)&gt;1,"Possible Duplicate Booking","Unique")</f>
        <v>Unique</v>
      </c>
      <c r="W3603" s="9" t="str">
        <f aca="false">IF((H3603-G3603)&lt;&gt;K3603,"Mismatch","OK")</f>
        <v>OK</v>
      </c>
      <c r="X3603" s="9" t="str">
        <f aca="false">IF(TEXT(H3603,"dddd")&lt;&gt;I3603,"Mismatch","OK")</f>
        <v>OK</v>
      </c>
      <c r="Y3603" s="9" t="str">
        <f aca="false">IF(AND(N3603="No",O3603&lt;&gt;""),"Unexpected: channel present but no reminder sent",IF(AND(N3603="Yes",O3603=""),"Missing channel for sent reminder","OK"))</f>
        <v>OK</v>
      </c>
    </row>
    <row r="3604" customFormat="false" ht="15" hidden="false" customHeight="false" outlineLevel="0" collapsed="false">
      <c r="A3604" s="7" t="s">
        <v>5233</v>
      </c>
      <c r="B3604" s="7" t="s">
        <v>3092</v>
      </c>
      <c r="C3604" s="7" t="s">
        <v>37</v>
      </c>
      <c r="D3604" s="7" t="n">
        <v>38</v>
      </c>
      <c r="E3604" s="7" t="s">
        <v>38</v>
      </c>
      <c r="F3604" s="7" t="s">
        <v>39</v>
      </c>
      <c r="G3604" s="8" t="n">
        <v>45727</v>
      </c>
      <c r="H3604" s="8" t="n">
        <v>45742</v>
      </c>
      <c r="I3604" s="7" t="s">
        <v>58</v>
      </c>
      <c r="J3604" s="7" t="s">
        <v>51</v>
      </c>
      <c r="K3604" s="7" t="n">
        <v>15</v>
      </c>
      <c r="L3604" s="7" t="n">
        <v>3</v>
      </c>
      <c r="M3604" s="7" t="n">
        <v>0</v>
      </c>
      <c r="N3604" s="7" t="s">
        <v>42</v>
      </c>
      <c r="O3604" s="7" t="s">
        <v>52</v>
      </c>
      <c r="P3604" s="7" t="n">
        <v>4.8</v>
      </c>
      <c r="Q3604" s="7"/>
      <c r="R3604" s="7" t="s">
        <v>44</v>
      </c>
      <c r="S3604" s="7"/>
      <c r="T3604" s="7"/>
      <c r="U3604" s="7" t="str">
        <f aca="false">IF(COUNTIF($A$2:$A$5001,A3604)&gt;1,"Duplicate","Unique")</f>
        <v>Unique</v>
      </c>
      <c r="V3604" s="7" t="str">
        <f aca="false">IF(COUNTIFS($B$2:$B$5001,B3604,$H$2:$H$5001,H3604,$J$2:$J$5001,J3604)&gt;1,"Possible Duplicate Booking","Unique")</f>
        <v>Unique</v>
      </c>
      <c r="W3604" s="7" t="str">
        <f aca="false">IF((H3604-G3604)&lt;&gt;K3604,"Mismatch","OK")</f>
        <v>OK</v>
      </c>
      <c r="X3604" s="7" t="str">
        <f aca="false">IF(TEXT(H3604,"dddd")&lt;&gt;I3604,"Mismatch","OK")</f>
        <v>OK</v>
      </c>
      <c r="Y3604" s="7" t="str">
        <f aca="false">IF(AND(N3604="No",O3604&lt;&gt;""),"Unexpected: channel present but no reminder sent",IF(AND(N3604="Yes",O3604=""),"Missing channel for sent reminder","OK"))</f>
        <v>OK</v>
      </c>
    </row>
    <row r="3605" customFormat="false" ht="15" hidden="false" customHeight="false" outlineLevel="0" collapsed="false">
      <c r="A3605" s="9" t="s">
        <v>5234</v>
      </c>
      <c r="B3605" s="9" t="s">
        <v>5235</v>
      </c>
      <c r="C3605" s="9" t="s">
        <v>37</v>
      </c>
      <c r="D3605" s="9" t="n">
        <v>59</v>
      </c>
      <c r="E3605" s="9" t="s">
        <v>61</v>
      </c>
      <c r="F3605" s="9" t="s">
        <v>39</v>
      </c>
      <c r="G3605" s="10" t="n">
        <v>45955</v>
      </c>
      <c r="H3605" s="10" t="n">
        <v>45998</v>
      </c>
      <c r="I3605" s="9" t="s">
        <v>75</v>
      </c>
      <c r="J3605" s="9" t="s">
        <v>51</v>
      </c>
      <c r="K3605" s="9" t="n">
        <v>43</v>
      </c>
      <c r="L3605" s="9" t="n">
        <v>3</v>
      </c>
      <c r="M3605" s="9" t="n">
        <v>0</v>
      </c>
      <c r="N3605" s="9" t="s">
        <v>42</v>
      </c>
      <c r="O3605" s="9" t="s">
        <v>52</v>
      </c>
      <c r="P3605" s="9" t="n">
        <v>2.7</v>
      </c>
      <c r="Q3605" s="9" t="n">
        <v>33</v>
      </c>
      <c r="R3605" s="9" t="s">
        <v>44</v>
      </c>
      <c r="S3605" s="9"/>
      <c r="T3605" s="9"/>
      <c r="U3605" s="9" t="str">
        <f aca="false">IF(COUNTIF($A$2:$A$5001,A3605)&gt;1,"Duplicate","Unique")</f>
        <v>Unique</v>
      </c>
      <c r="V3605" s="9" t="str">
        <f aca="false">IF(COUNTIFS($B$2:$B$5001,B3605,$H$2:$H$5001,H3605,$J$2:$J$5001,J3605)&gt;1,"Possible Duplicate Booking","Unique")</f>
        <v>Unique</v>
      </c>
      <c r="W3605" s="9" t="str">
        <f aca="false">IF((H3605-G3605)&lt;&gt;K3605,"Mismatch","OK")</f>
        <v>OK</v>
      </c>
      <c r="X3605" s="9" t="str">
        <f aca="false">IF(TEXT(H3605,"dddd")&lt;&gt;I3605,"Mismatch","OK")</f>
        <v>OK</v>
      </c>
      <c r="Y3605" s="9" t="str">
        <f aca="false">IF(AND(N3605="No",O3605&lt;&gt;""),"Unexpected: channel present but no reminder sent",IF(AND(N3605="Yes",O3605=""),"Missing channel for sent reminder","OK"))</f>
        <v>OK</v>
      </c>
    </row>
    <row r="3606" customFormat="false" ht="15" hidden="false" customHeight="false" outlineLevel="0" collapsed="false">
      <c r="A3606" s="7" t="s">
        <v>5236</v>
      </c>
      <c r="B3606" s="7" t="s">
        <v>2594</v>
      </c>
      <c r="C3606" s="7" t="s">
        <v>47</v>
      </c>
      <c r="D3606" s="7" t="n">
        <v>36</v>
      </c>
      <c r="E3606" s="7" t="s">
        <v>38</v>
      </c>
      <c r="F3606" s="7" t="s">
        <v>49</v>
      </c>
      <c r="G3606" s="8" t="n">
        <v>46151</v>
      </c>
      <c r="H3606" s="8" t="n">
        <v>46162</v>
      </c>
      <c r="I3606" s="7" t="s">
        <v>58</v>
      </c>
      <c r="J3606" s="7" t="s">
        <v>41</v>
      </c>
      <c r="K3606" s="7" t="n">
        <v>11</v>
      </c>
      <c r="L3606" s="7" t="n">
        <v>2</v>
      </c>
      <c r="M3606" s="7" t="n">
        <v>0</v>
      </c>
      <c r="N3606" s="7" t="s">
        <v>42</v>
      </c>
      <c r="O3606" s="7" t="s">
        <v>43</v>
      </c>
      <c r="P3606" s="7" t="n">
        <v>5.6</v>
      </c>
      <c r="Q3606" s="7" t="n">
        <v>16</v>
      </c>
      <c r="R3606" s="7" t="s">
        <v>44</v>
      </c>
      <c r="S3606" s="7"/>
      <c r="T3606" s="7"/>
      <c r="U3606" s="7" t="str">
        <f aca="false">IF(COUNTIF($A$2:$A$5001,A3606)&gt;1,"Duplicate","Unique")</f>
        <v>Unique</v>
      </c>
      <c r="V3606" s="7" t="str">
        <f aca="false">IF(COUNTIFS($B$2:$B$5001,B3606,$H$2:$H$5001,H3606,$J$2:$J$5001,J3606)&gt;1,"Possible Duplicate Booking","Unique")</f>
        <v>Unique</v>
      </c>
      <c r="W3606" s="7" t="str">
        <f aca="false">IF((H3606-G3606)&lt;&gt;K3606,"Mismatch","OK")</f>
        <v>OK</v>
      </c>
      <c r="X3606" s="7" t="str">
        <f aca="false">IF(TEXT(H3606,"dddd")&lt;&gt;I3606,"Mismatch","OK")</f>
        <v>OK</v>
      </c>
      <c r="Y3606" s="7" t="str">
        <f aca="false">IF(AND(N3606="No",O3606&lt;&gt;""),"Unexpected: channel present but no reminder sent",IF(AND(N3606="Yes",O3606=""),"Missing channel for sent reminder","OK"))</f>
        <v>OK</v>
      </c>
    </row>
    <row r="3607" customFormat="false" ht="15" hidden="false" customHeight="false" outlineLevel="0" collapsed="false">
      <c r="A3607" s="9" t="s">
        <v>5237</v>
      </c>
      <c r="B3607" s="9" t="s">
        <v>972</v>
      </c>
      <c r="C3607" s="9" t="s">
        <v>37</v>
      </c>
      <c r="D3607" s="9" t="n">
        <v>49</v>
      </c>
      <c r="E3607" s="9" t="s">
        <v>56</v>
      </c>
      <c r="F3607" s="9" t="s">
        <v>57</v>
      </c>
      <c r="G3607" s="10" t="n">
        <v>45671</v>
      </c>
      <c r="H3607" s="10" t="n">
        <v>45731</v>
      </c>
      <c r="I3607" s="9" t="s">
        <v>102</v>
      </c>
      <c r="J3607" s="9" t="s">
        <v>51</v>
      </c>
      <c r="K3607" s="9" t="n">
        <v>60</v>
      </c>
      <c r="L3607" s="9" t="n">
        <v>1</v>
      </c>
      <c r="M3607" s="9" t="n">
        <v>0</v>
      </c>
      <c r="N3607" s="9" t="s">
        <v>42</v>
      </c>
      <c r="O3607" s="9" t="s">
        <v>52</v>
      </c>
      <c r="P3607" s="9" t="n">
        <v>4.3</v>
      </c>
      <c r="Q3607" s="9" t="n">
        <v>37</v>
      </c>
      <c r="R3607" s="9" t="s">
        <v>44</v>
      </c>
      <c r="S3607" s="9"/>
      <c r="T3607" s="9"/>
      <c r="U3607" s="9" t="str">
        <f aca="false">IF(COUNTIF($A$2:$A$5001,A3607)&gt;1,"Duplicate","Unique")</f>
        <v>Unique</v>
      </c>
      <c r="V3607" s="9" t="str">
        <f aca="false">IF(COUNTIFS($B$2:$B$5001,B3607,$H$2:$H$5001,H3607,$J$2:$J$5001,J3607)&gt;1,"Possible Duplicate Booking","Unique")</f>
        <v>Unique</v>
      </c>
      <c r="W3607" s="9" t="str">
        <f aca="false">IF((H3607-G3607)&lt;&gt;K3607,"Mismatch","OK")</f>
        <v>OK</v>
      </c>
      <c r="X3607" s="9" t="str">
        <f aca="false">IF(TEXT(H3607,"dddd")&lt;&gt;I3607,"Mismatch","OK")</f>
        <v>OK</v>
      </c>
      <c r="Y3607" s="9" t="str">
        <f aca="false">IF(AND(N3607="No",O3607&lt;&gt;""),"Unexpected: channel present but no reminder sent",IF(AND(N3607="Yes",O3607=""),"Missing channel for sent reminder","OK"))</f>
        <v>OK</v>
      </c>
    </row>
    <row r="3608" customFormat="false" ht="15" hidden="false" customHeight="false" outlineLevel="0" collapsed="false">
      <c r="A3608" s="7" t="s">
        <v>5238</v>
      </c>
      <c r="B3608" s="7" t="s">
        <v>1836</v>
      </c>
      <c r="C3608" s="7" t="s">
        <v>47</v>
      </c>
      <c r="D3608" s="7" t="n">
        <v>71</v>
      </c>
      <c r="E3608" s="7" t="s">
        <v>70</v>
      </c>
      <c r="F3608" s="7" t="s">
        <v>49</v>
      </c>
      <c r="G3608" s="8" t="n">
        <v>45817</v>
      </c>
      <c r="H3608" s="8" t="n">
        <v>45836</v>
      </c>
      <c r="I3608" s="7" t="s">
        <v>102</v>
      </c>
      <c r="J3608" s="7" t="s">
        <v>51</v>
      </c>
      <c r="K3608" s="7" t="n">
        <v>19</v>
      </c>
      <c r="L3608" s="7" t="n">
        <v>2</v>
      </c>
      <c r="M3608" s="7" t="n">
        <v>0</v>
      </c>
      <c r="N3608" s="7" t="s">
        <v>42</v>
      </c>
      <c r="O3608" s="7" t="s">
        <v>52</v>
      </c>
      <c r="P3608" s="7" t="n">
        <v>3.2</v>
      </c>
      <c r="Q3608" s="7" t="n">
        <v>38</v>
      </c>
      <c r="R3608" s="7" t="s">
        <v>53</v>
      </c>
      <c r="S3608" s="7"/>
      <c r="T3608" s="7"/>
      <c r="U3608" s="7" t="str">
        <f aca="false">IF(COUNTIF($A$2:$A$5001,A3608)&gt;1,"Duplicate","Unique")</f>
        <v>Unique</v>
      </c>
      <c r="V3608" s="7" t="str">
        <f aca="false">IF(COUNTIFS($B$2:$B$5001,B3608,$H$2:$H$5001,H3608,$J$2:$J$5001,J3608)&gt;1,"Possible Duplicate Booking","Unique")</f>
        <v>Unique</v>
      </c>
      <c r="W3608" s="7" t="str">
        <f aca="false">IF((H3608-G3608)&lt;&gt;K3608,"Mismatch","OK")</f>
        <v>OK</v>
      </c>
      <c r="X3608" s="7" t="str">
        <f aca="false">IF(TEXT(H3608,"dddd")&lt;&gt;I3608,"Mismatch","OK")</f>
        <v>OK</v>
      </c>
      <c r="Y3608" s="7" t="str">
        <f aca="false">IF(AND(N3608="No",O3608&lt;&gt;""),"Unexpected: channel present but no reminder sent",IF(AND(N3608="Yes",O3608=""),"Missing channel for sent reminder","OK"))</f>
        <v>OK</v>
      </c>
    </row>
    <row r="3609" customFormat="false" ht="15" hidden="false" customHeight="false" outlineLevel="0" collapsed="false">
      <c r="A3609" s="9" t="s">
        <v>5239</v>
      </c>
      <c r="B3609" s="9" t="s">
        <v>3886</v>
      </c>
      <c r="C3609" s="9" t="s">
        <v>37</v>
      </c>
      <c r="D3609" s="9" t="n">
        <v>41</v>
      </c>
      <c r="E3609" s="9" t="s">
        <v>38</v>
      </c>
      <c r="F3609" s="9" t="s">
        <v>39</v>
      </c>
      <c r="G3609" s="10" t="n">
        <v>46015</v>
      </c>
      <c r="H3609" s="10" t="n">
        <v>46036</v>
      </c>
      <c r="I3609" s="9" t="s">
        <v>58</v>
      </c>
      <c r="J3609" s="9" t="s">
        <v>41</v>
      </c>
      <c r="K3609" s="9" t="n">
        <v>21</v>
      </c>
      <c r="L3609" s="9" t="n">
        <v>5</v>
      </c>
      <c r="M3609" s="9" t="n">
        <v>1</v>
      </c>
      <c r="N3609" s="9" t="s">
        <v>42</v>
      </c>
      <c r="O3609" s="9" t="s">
        <v>67</v>
      </c>
      <c r="P3609" s="9" t="n">
        <v>9.4</v>
      </c>
      <c r="Q3609" s="9" t="n">
        <v>29</v>
      </c>
      <c r="R3609" s="9" t="s">
        <v>44</v>
      </c>
      <c r="S3609" s="9"/>
      <c r="T3609" s="9"/>
      <c r="U3609" s="9" t="str">
        <f aca="false">IF(COUNTIF($A$2:$A$5001,A3609)&gt;1,"Duplicate","Unique")</f>
        <v>Unique</v>
      </c>
      <c r="V3609" s="9" t="str">
        <f aca="false">IF(COUNTIFS($B$2:$B$5001,B3609,$H$2:$H$5001,H3609,$J$2:$J$5001,J3609)&gt;1,"Possible Duplicate Booking","Unique")</f>
        <v>Unique</v>
      </c>
      <c r="W3609" s="9" t="str">
        <f aca="false">IF((H3609-G3609)&lt;&gt;K3609,"Mismatch","OK")</f>
        <v>OK</v>
      </c>
      <c r="X3609" s="9" t="str">
        <f aca="false">IF(TEXT(H3609,"dddd")&lt;&gt;I3609,"Mismatch","OK")</f>
        <v>OK</v>
      </c>
      <c r="Y3609" s="9" t="str">
        <f aca="false">IF(AND(N3609="No",O3609&lt;&gt;""),"Unexpected: channel present but no reminder sent",IF(AND(N3609="Yes",O3609=""),"Missing channel for sent reminder","OK"))</f>
        <v>OK</v>
      </c>
    </row>
    <row r="3610" customFormat="false" ht="15" hidden="false" customHeight="false" outlineLevel="0" collapsed="false">
      <c r="A3610" s="7" t="s">
        <v>5240</v>
      </c>
      <c r="B3610" s="7" t="s">
        <v>1005</v>
      </c>
      <c r="C3610" s="7" t="s">
        <v>37</v>
      </c>
      <c r="D3610" s="7" t="n">
        <v>19</v>
      </c>
      <c r="E3610" s="7" t="s">
        <v>82</v>
      </c>
      <c r="F3610" s="7" t="s">
        <v>39</v>
      </c>
      <c r="G3610" s="8" t="n">
        <v>45951</v>
      </c>
      <c r="H3610" s="8" t="n">
        <v>45995</v>
      </c>
      <c r="I3610" s="7" t="s">
        <v>62</v>
      </c>
      <c r="J3610" s="7" t="s">
        <v>41</v>
      </c>
      <c r="K3610" s="7" t="n">
        <v>44</v>
      </c>
      <c r="L3610" s="7" t="n">
        <v>2</v>
      </c>
      <c r="M3610" s="7" t="n">
        <v>1</v>
      </c>
      <c r="N3610" s="7" t="s">
        <v>42</v>
      </c>
      <c r="O3610" s="7" t="s">
        <v>52</v>
      </c>
      <c r="P3610" s="7" t="n">
        <v>6.7</v>
      </c>
      <c r="Q3610" s="7" t="n">
        <v>27</v>
      </c>
      <c r="R3610" s="7" t="s">
        <v>44</v>
      </c>
      <c r="S3610" s="7"/>
      <c r="T3610" s="7"/>
      <c r="U3610" s="7" t="str">
        <f aca="false">IF(COUNTIF($A$2:$A$5001,A3610)&gt;1,"Duplicate","Unique")</f>
        <v>Unique</v>
      </c>
      <c r="V3610" s="7" t="str">
        <f aca="false">IF(COUNTIFS($B$2:$B$5001,B3610,$H$2:$H$5001,H3610,$J$2:$J$5001,J3610)&gt;1,"Possible Duplicate Booking","Unique")</f>
        <v>Unique</v>
      </c>
      <c r="W3610" s="7" t="str">
        <f aca="false">IF((H3610-G3610)&lt;&gt;K3610,"Mismatch","OK")</f>
        <v>OK</v>
      </c>
      <c r="X3610" s="7" t="str">
        <f aca="false">IF(TEXT(H3610,"dddd")&lt;&gt;I3610,"Mismatch","OK")</f>
        <v>OK</v>
      </c>
      <c r="Y3610" s="7" t="str">
        <f aca="false">IF(AND(N3610="No",O3610&lt;&gt;""),"Unexpected: channel present but no reminder sent",IF(AND(N3610="Yes",O3610=""),"Missing channel for sent reminder","OK"))</f>
        <v>OK</v>
      </c>
    </row>
    <row r="3611" customFormat="false" ht="15" hidden="false" customHeight="false" outlineLevel="0" collapsed="false">
      <c r="A3611" s="9" t="s">
        <v>5241</v>
      </c>
      <c r="B3611" s="9" t="s">
        <v>1127</v>
      </c>
      <c r="C3611" s="9" t="s">
        <v>37</v>
      </c>
      <c r="D3611" s="9" t="n">
        <v>73</v>
      </c>
      <c r="E3611" s="9" t="s">
        <v>70</v>
      </c>
      <c r="F3611" s="9" t="s">
        <v>57</v>
      </c>
      <c r="G3611" s="10" t="n">
        <v>46026</v>
      </c>
      <c r="H3611" s="10" t="n">
        <v>46026</v>
      </c>
      <c r="I3611" s="9" t="s">
        <v>75</v>
      </c>
      <c r="J3611" s="9" t="s">
        <v>63</v>
      </c>
      <c r="K3611" s="9" t="n">
        <v>0</v>
      </c>
      <c r="L3611" s="9" t="n">
        <v>3</v>
      </c>
      <c r="M3611" s="9" t="n">
        <v>0</v>
      </c>
      <c r="N3611" s="9" t="s">
        <v>71</v>
      </c>
      <c r="O3611" s="9"/>
      <c r="P3611" s="9" t="n">
        <v>12</v>
      </c>
      <c r="Q3611" s="9" t="n">
        <v>15</v>
      </c>
      <c r="R3611" s="9" t="s">
        <v>53</v>
      </c>
      <c r="S3611" s="9"/>
      <c r="T3611" s="9"/>
      <c r="U3611" s="9" t="str">
        <f aca="false">IF(COUNTIF($A$2:$A$5001,A3611)&gt;1,"Duplicate","Unique")</f>
        <v>Unique</v>
      </c>
      <c r="V3611" s="9" t="str">
        <f aca="false">IF(COUNTIFS($B$2:$B$5001,B3611,$H$2:$H$5001,H3611,$J$2:$J$5001,J3611)&gt;1,"Possible Duplicate Booking","Unique")</f>
        <v>Unique</v>
      </c>
      <c r="W3611" s="9" t="str">
        <f aca="false">IF((H3611-G3611)&lt;&gt;K3611,"Mismatch","OK")</f>
        <v>OK</v>
      </c>
      <c r="X3611" s="9" t="str">
        <f aca="false">IF(TEXT(H3611,"dddd")&lt;&gt;I3611,"Mismatch","OK")</f>
        <v>OK</v>
      </c>
      <c r="Y3611" s="9" t="str">
        <f aca="false">IF(AND(N3611="No",O3611&lt;&gt;""),"Unexpected: channel present but no reminder sent",IF(AND(N3611="Yes",O3611=""),"Missing channel for sent reminder","OK"))</f>
        <v>OK</v>
      </c>
    </row>
    <row r="3612" customFormat="false" ht="15" hidden="false" customHeight="false" outlineLevel="0" collapsed="false">
      <c r="A3612" s="7" t="s">
        <v>5242</v>
      </c>
      <c r="B3612" s="7" t="s">
        <v>2251</v>
      </c>
      <c r="C3612" s="7" t="s">
        <v>37</v>
      </c>
      <c r="D3612" s="7" t="n">
        <v>35</v>
      </c>
      <c r="E3612" s="7" t="s">
        <v>38</v>
      </c>
      <c r="F3612" s="7" t="s">
        <v>57</v>
      </c>
      <c r="G3612" s="8" t="n">
        <v>45951</v>
      </c>
      <c r="H3612" s="8" t="n">
        <v>45963</v>
      </c>
      <c r="I3612" s="7" t="s">
        <v>75</v>
      </c>
      <c r="J3612" s="7" t="s">
        <v>41</v>
      </c>
      <c r="K3612" s="7" t="n">
        <v>12</v>
      </c>
      <c r="L3612" s="7" t="n">
        <v>5</v>
      </c>
      <c r="M3612" s="7" t="n">
        <v>1</v>
      </c>
      <c r="N3612" s="7" t="s">
        <v>71</v>
      </c>
      <c r="O3612" s="7"/>
      <c r="P3612" s="7" t="n">
        <v>3.8</v>
      </c>
      <c r="Q3612" s="7" t="n">
        <v>34</v>
      </c>
      <c r="R3612" s="7" t="s">
        <v>53</v>
      </c>
      <c r="S3612" s="7"/>
      <c r="T3612" s="7"/>
      <c r="U3612" s="7" t="str">
        <f aca="false">IF(COUNTIF($A$2:$A$5001,A3612)&gt;1,"Duplicate","Unique")</f>
        <v>Unique</v>
      </c>
      <c r="V3612" s="7" t="str">
        <f aca="false">IF(COUNTIFS($B$2:$B$5001,B3612,$H$2:$H$5001,H3612,$J$2:$J$5001,J3612)&gt;1,"Possible Duplicate Booking","Unique")</f>
        <v>Unique</v>
      </c>
      <c r="W3612" s="7" t="str">
        <f aca="false">IF((H3612-G3612)&lt;&gt;K3612,"Mismatch","OK")</f>
        <v>OK</v>
      </c>
      <c r="X3612" s="7" t="str">
        <f aca="false">IF(TEXT(H3612,"dddd")&lt;&gt;I3612,"Mismatch","OK")</f>
        <v>OK</v>
      </c>
      <c r="Y3612" s="7" t="str">
        <f aca="false">IF(AND(N3612="No",O3612&lt;&gt;""),"Unexpected: channel present but no reminder sent",IF(AND(N3612="Yes",O3612=""),"Missing channel for sent reminder","OK"))</f>
        <v>OK</v>
      </c>
    </row>
    <row r="3613" customFormat="false" ht="15" hidden="false" customHeight="false" outlineLevel="0" collapsed="false">
      <c r="A3613" s="9" t="s">
        <v>5243</v>
      </c>
      <c r="B3613" s="9" t="s">
        <v>270</v>
      </c>
      <c r="C3613" s="9" t="s">
        <v>47</v>
      </c>
      <c r="D3613" s="9" t="n">
        <v>66</v>
      </c>
      <c r="E3613" s="9" t="s">
        <v>70</v>
      </c>
      <c r="F3613" s="9" t="s">
        <v>39</v>
      </c>
      <c r="G3613" s="10" t="n">
        <v>46023</v>
      </c>
      <c r="H3613" s="10" t="n">
        <v>46030</v>
      </c>
      <c r="I3613" s="9" t="s">
        <v>62</v>
      </c>
      <c r="J3613" s="9" t="s">
        <v>41</v>
      </c>
      <c r="K3613" s="9" t="n">
        <v>7</v>
      </c>
      <c r="L3613" s="9" t="n">
        <v>1</v>
      </c>
      <c r="M3613" s="9" t="n">
        <v>0</v>
      </c>
      <c r="N3613" s="9" t="s">
        <v>42</v>
      </c>
      <c r="O3613" s="9" t="s">
        <v>67</v>
      </c>
      <c r="P3613" s="9" t="n">
        <v>5.5</v>
      </c>
      <c r="Q3613" s="9" t="n">
        <v>24</v>
      </c>
      <c r="R3613" s="9" t="s">
        <v>53</v>
      </c>
      <c r="S3613" s="9"/>
      <c r="T3613" s="9"/>
      <c r="U3613" s="9" t="str">
        <f aca="false">IF(COUNTIF($A$2:$A$5001,A3613)&gt;1,"Duplicate","Unique")</f>
        <v>Unique</v>
      </c>
      <c r="V3613" s="9" t="str">
        <f aca="false">IF(COUNTIFS($B$2:$B$5001,B3613,$H$2:$H$5001,H3613,$J$2:$J$5001,J3613)&gt;1,"Possible Duplicate Booking","Unique")</f>
        <v>Unique</v>
      </c>
      <c r="W3613" s="9" t="str">
        <f aca="false">IF((H3613-G3613)&lt;&gt;K3613,"Mismatch","OK")</f>
        <v>OK</v>
      </c>
      <c r="X3613" s="9" t="str">
        <f aca="false">IF(TEXT(H3613,"dddd")&lt;&gt;I3613,"Mismatch","OK")</f>
        <v>OK</v>
      </c>
      <c r="Y3613" s="9" t="str">
        <f aca="false">IF(AND(N3613="No",O3613&lt;&gt;""),"Unexpected: channel present but no reminder sent",IF(AND(N3613="Yes",O3613=""),"Missing channel for sent reminder","OK"))</f>
        <v>OK</v>
      </c>
    </row>
    <row r="3614" customFormat="false" ht="15" hidden="false" customHeight="false" outlineLevel="0" collapsed="false">
      <c r="A3614" s="7" t="s">
        <v>5244</v>
      </c>
      <c r="B3614" s="7" t="s">
        <v>523</v>
      </c>
      <c r="C3614" s="7" t="s">
        <v>37</v>
      </c>
      <c r="D3614" s="7" t="n">
        <v>66</v>
      </c>
      <c r="E3614" s="7" t="s">
        <v>70</v>
      </c>
      <c r="F3614" s="7" t="s">
        <v>57</v>
      </c>
      <c r="G3614" s="8" t="n">
        <v>45967</v>
      </c>
      <c r="H3614" s="8" t="n">
        <v>45990</v>
      </c>
      <c r="I3614" s="7" t="s">
        <v>102</v>
      </c>
      <c r="J3614" s="7" t="s">
        <v>41</v>
      </c>
      <c r="K3614" s="7" t="n">
        <v>23</v>
      </c>
      <c r="L3614" s="7" t="n">
        <v>2</v>
      </c>
      <c r="M3614" s="7" t="n">
        <v>0</v>
      </c>
      <c r="N3614" s="7" t="s">
        <v>71</v>
      </c>
      <c r="O3614" s="7"/>
      <c r="P3614" s="7" t="n">
        <v>2.3</v>
      </c>
      <c r="Q3614" s="7" t="n">
        <v>22</v>
      </c>
      <c r="R3614" s="7" t="s">
        <v>53</v>
      </c>
      <c r="S3614" s="7"/>
      <c r="T3614" s="7"/>
      <c r="U3614" s="7" t="str">
        <f aca="false">IF(COUNTIF($A$2:$A$5001,A3614)&gt;1,"Duplicate","Unique")</f>
        <v>Unique</v>
      </c>
      <c r="V3614" s="7" t="str">
        <f aca="false">IF(COUNTIFS($B$2:$B$5001,B3614,$H$2:$H$5001,H3614,$J$2:$J$5001,J3614)&gt;1,"Possible Duplicate Booking","Unique")</f>
        <v>Unique</v>
      </c>
      <c r="W3614" s="7" t="str">
        <f aca="false">IF((H3614-G3614)&lt;&gt;K3614,"Mismatch","OK")</f>
        <v>OK</v>
      </c>
      <c r="X3614" s="7" t="str">
        <f aca="false">IF(TEXT(H3614,"dddd")&lt;&gt;I3614,"Mismatch","OK")</f>
        <v>OK</v>
      </c>
      <c r="Y3614" s="7" t="str">
        <f aca="false">IF(AND(N3614="No",O3614&lt;&gt;""),"Unexpected: channel present but no reminder sent",IF(AND(N3614="Yes",O3614=""),"Missing channel for sent reminder","OK"))</f>
        <v>OK</v>
      </c>
    </row>
    <row r="3615" customFormat="false" ht="15" hidden="false" customHeight="false" outlineLevel="0" collapsed="false">
      <c r="A3615" s="9" t="s">
        <v>5245</v>
      </c>
      <c r="B3615" s="9" t="s">
        <v>3460</v>
      </c>
      <c r="C3615" s="9" t="s">
        <v>47</v>
      </c>
      <c r="D3615" s="9" t="n">
        <v>51</v>
      </c>
      <c r="E3615" s="9" t="s">
        <v>56</v>
      </c>
      <c r="F3615" s="9" t="s">
        <v>39</v>
      </c>
      <c r="G3615" s="10" t="n">
        <v>45665</v>
      </c>
      <c r="H3615" s="10" t="n">
        <v>45698</v>
      </c>
      <c r="I3615" s="9" t="s">
        <v>66</v>
      </c>
      <c r="J3615" s="9" t="s">
        <v>63</v>
      </c>
      <c r="K3615" s="9" t="n">
        <v>33</v>
      </c>
      <c r="L3615" s="9" t="n">
        <v>1</v>
      </c>
      <c r="M3615" s="9" t="n">
        <v>0</v>
      </c>
      <c r="N3615" s="9" t="s">
        <v>42</v>
      </c>
      <c r="O3615" s="9" t="s">
        <v>52</v>
      </c>
      <c r="P3615" s="9" t="n">
        <v>6.5</v>
      </c>
      <c r="Q3615" s="9" t="n">
        <v>34</v>
      </c>
      <c r="R3615" s="9" t="s">
        <v>53</v>
      </c>
      <c r="S3615" s="9"/>
      <c r="T3615" s="9"/>
      <c r="U3615" s="9" t="str">
        <f aca="false">IF(COUNTIF($A$2:$A$5001,A3615)&gt;1,"Duplicate","Unique")</f>
        <v>Unique</v>
      </c>
      <c r="V3615" s="9" t="str">
        <f aca="false">IF(COUNTIFS($B$2:$B$5001,B3615,$H$2:$H$5001,H3615,$J$2:$J$5001,J3615)&gt;1,"Possible Duplicate Booking","Unique")</f>
        <v>Unique</v>
      </c>
      <c r="W3615" s="9" t="str">
        <f aca="false">IF((H3615-G3615)&lt;&gt;K3615,"Mismatch","OK")</f>
        <v>OK</v>
      </c>
      <c r="X3615" s="9" t="str">
        <f aca="false">IF(TEXT(H3615,"dddd")&lt;&gt;I3615,"Mismatch","OK")</f>
        <v>OK</v>
      </c>
      <c r="Y3615" s="9" t="str">
        <f aca="false">IF(AND(N3615="No",O3615&lt;&gt;""),"Unexpected: channel present but no reminder sent",IF(AND(N3615="Yes",O3615=""),"Missing channel for sent reminder","OK"))</f>
        <v>OK</v>
      </c>
    </row>
    <row r="3616" customFormat="false" ht="15" hidden="false" customHeight="false" outlineLevel="0" collapsed="false">
      <c r="A3616" s="7" t="s">
        <v>5246</v>
      </c>
      <c r="B3616" s="7" t="s">
        <v>4359</v>
      </c>
      <c r="C3616" s="7" t="s">
        <v>47</v>
      </c>
      <c r="D3616" s="7" t="n">
        <v>23</v>
      </c>
      <c r="E3616" s="7" t="s">
        <v>82</v>
      </c>
      <c r="F3616" s="7" t="s">
        <v>39</v>
      </c>
      <c r="G3616" s="8" t="n">
        <v>46058</v>
      </c>
      <c r="H3616" s="8" t="n">
        <v>46068</v>
      </c>
      <c r="I3616" s="7" t="s">
        <v>75</v>
      </c>
      <c r="J3616" s="7" t="s">
        <v>51</v>
      </c>
      <c r="K3616" s="7" t="n">
        <v>10</v>
      </c>
      <c r="L3616" s="7" t="n">
        <v>5</v>
      </c>
      <c r="M3616" s="7" t="n">
        <v>0</v>
      </c>
      <c r="N3616" s="7" t="s">
        <v>71</v>
      </c>
      <c r="O3616" s="7"/>
      <c r="P3616" s="7" t="n">
        <v>16.1</v>
      </c>
      <c r="Q3616" s="7" t="n">
        <v>21</v>
      </c>
      <c r="R3616" s="7" t="s">
        <v>53</v>
      </c>
      <c r="S3616" s="7"/>
      <c r="T3616" s="7"/>
      <c r="U3616" s="7" t="str">
        <f aca="false">IF(COUNTIF($A$2:$A$5001,A3616)&gt;1,"Duplicate","Unique")</f>
        <v>Unique</v>
      </c>
      <c r="V3616" s="7" t="str">
        <f aca="false">IF(COUNTIFS($B$2:$B$5001,B3616,$H$2:$H$5001,H3616,$J$2:$J$5001,J3616)&gt;1,"Possible Duplicate Booking","Unique")</f>
        <v>Unique</v>
      </c>
      <c r="W3616" s="7" t="str">
        <f aca="false">IF((H3616-G3616)&lt;&gt;K3616,"Mismatch","OK")</f>
        <v>OK</v>
      </c>
      <c r="X3616" s="7" t="str">
        <f aca="false">IF(TEXT(H3616,"dddd")&lt;&gt;I3616,"Mismatch","OK")</f>
        <v>OK</v>
      </c>
      <c r="Y3616" s="7" t="str">
        <f aca="false">IF(AND(N3616="No",O3616&lt;&gt;""),"Unexpected: channel present but no reminder sent",IF(AND(N3616="Yes",O3616=""),"Missing channel for sent reminder","OK"))</f>
        <v>OK</v>
      </c>
    </row>
    <row r="3617" customFormat="false" ht="15" hidden="false" customHeight="false" outlineLevel="0" collapsed="false">
      <c r="A3617" s="9" t="s">
        <v>5247</v>
      </c>
      <c r="B3617" s="9" t="s">
        <v>1373</v>
      </c>
      <c r="C3617" s="9" t="s">
        <v>37</v>
      </c>
      <c r="D3617" s="9" t="n">
        <v>77</v>
      </c>
      <c r="E3617" s="9" t="s">
        <v>70</v>
      </c>
      <c r="F3617" s="9" t="s">
        <v>39</v>
      </c>
      <c r="G3617" s="10" t="n">
        <v>45881</v>
      </c>
      <c r="H3617" s="10" t="n">
        <v>45901</v>
      </c>
      <c r="I3617" s="9" t="s">
        <v>66</v>
      </c>
      <c r="J3617" s="9" t="s">
        <v>51</v>
      </c>
      <c r="K3617" s="9" t="n">
        <v>20</v>
      </c>
      <c r="L3617" s="9" t="n">
        <v>4</v>
      </c>
      <c r="M3617" s="9" t="n">
        <v>1</v>
      </c>
      <c r="N3617" s="9" t="s">
        <v>71</v>
      </c>
      <c r="O3617" s="9"/>
      <c r="P3617" s="9" t="n">
        <v>14.2</v>
      </c>
      <c r="Q3617" s="9" t="n">
        <v>16</v>
      </c>
      <c r="R3617" s="9" t="s">
        <v>44</v>
      </c>
      <c r="S3617" s="9"/>
      <c r="T3617" s="9"/>
      <c r="U3617" s="9" t="str">
        <f aca="false">IF(COUNTIF($A$2:$A$5001,A3617)&gt;1,"Duplicate","Unique")</f>
        <v>Unique</v>
      </c>
      <c r="V3617" s="9" t="str">
        <f aca="false">IF(COUNTIFS($B$2:$B$5001,B3617,$H$2:$H$5001,H3617,$J$2:$J$5001,J3617)&gt;1,"Possible Duplicate Booking","Unique")</f>
        <v>Unique</v>
      </c>
      <c r="W3617" s="9" t="str">
        <f aca="false">IF((H3617-G3617)&lt;&gt;K3617,"Mismatch","OK")</f>
        <v>OK</v>
      </c>
      <c r="X3617" s="9" t="str">
        <f aca="false">IF(TEXT(H3617,"dddd")&lt;&gt;I3617,"Mismatch","OK")</f>
        <v>OK</v>
      </c>
      <c r="Y3617" s="9" t="str">
        <f aca="false">IF(AND(N3617="No",O3617&lt;&gt;""),"Unexpected: channel present but no reminder sent",IF(AND(N3617="Yes",O3617=""),"Missing channel for sent reminder","OK"))</f>
        <v>OK</v>
      </c>
    </row>
    <row r="3618" customFormat="false" ht="15" hidden="false" customHeight="false" outlineLevel="0" collapsed="false">
      <c r="A3618" s="7" t="s">
        <v>5248</v>
      </c>
      <c r="B3618" s="7" t="s">
        <v>2982</v>
      </c>
      <c r="C3618" s="7" t="s">
        <v>37</v>
      </c>
      <c r="D3618" s="7" t="n">
        <v>60</v>
      </c>
      <c r="E3618" s="7" t="s">
        <v>61</v>
      </c>
      <c r="F3618" s="7" t="s">
        <v>57</v>
      </c>
      <c r="G3618" s="8" t="n">
        <v>45639</v>
      </c>
      <c r="H3618" s="8" t="n">
        <v>45686</v>
      </c>
      <c r="I3618" s="7" t="s">
        <v>58</v>
      </c>
      <c r="J3618" s="7" t="s">
        <v>51</v>
      </c>
      <c r="K3618" s="7" t="n">
        <v>47</v>
      </c>
      <c r="L3618" s="7" t="n">
        <v>5</v>
      </c>
      <c r="M3618" s="7" t="n">
        <v>1</v>
      </c>
      <c r="N3618" s="7" t="s">
        <v>71</v>
      </c>
      <c r="O3618" s="7"/>
      <c r="P3618" s="7" t="n">
        <v>8.2</v>
      </c>
      <c r="Q3618" s="7" t="n">
        <v>36</v>
      </c>
      <c r="R3618" s="7" t="s">
        <v>44</v>
      </c>
      <c r="S3618" s="7"/>
      <c r="T3618" s="7"/>
      <c r="U3618" s="7" t="str">
        <f aca="false">IF(COUNTIF($A$2:$A$5001,A3618)&gt;1,"Duplicate","Unique")</f>
        <v>Unique</v>
      </c>
      <c r="V3618" s="7" t="str">
        <f aca="false">IF(COUNTIFS($B$2:$B$5001,B3618,$H$2:$H$5001,H3618,$J$2:$J$5001,J3618)&gt;1,"Possible Duplicate Booking","Unique")</f>
        <v>Unique</v>
      </c>
      <c r="W3618" s="7" t="str">
        <f aca="false">IF((H3618-G3618)&lt;&gt;K3618,"Mismatch","OK")</f>
        <v>OK</v>
      </c>
      <c r="X3618" s="7" t="str">
        <f aca="false">IF(TEXT(H3618,"dddd")&lt;&gt;I3618,"Mismatch","OK")</f>
        <v>OK</v>
      </c>
      <c r="Y3618" s="7" t="str">
        <f aca="false">IF(AND(N3618="No",O3618&lt;&gt;""),"Unexpected: channel present but no reminder sent",IF(AND(N3618="Yes",O3618=""),"Missing channel for sent reminder","OK"))</f>
        <v>OK</v>
      </c>
    </row>
    <row r="3619" customFormat="false" ht="15" hidden="false" customHeight="false" outlineLevel="0" collapsed="false">
      <c r="A3619" s="9" t="s">
        <v>5249</v>
      </c>
      <c r="B3619" s="9" t="s">
        <v>831</v>
      </c>
      <c r="C3619" s="9" t="s">
        <v>37</v>
      </c>
      <c r="D3619" s="9" t="n">
        <v>44</v>
      </c>
      <c r="E3619" s="9" t="s">
        <v>38</v>
      </c>
      <c r="F3619" s="9" t="s">
        <v>57</v>
      </c>
      <c r="G3619" s="10" t="n">
        <v>45824</v>
      </c>
      <c r="H3619" s="10" t="n">
        <v>45881</v>
      </c>
      <c r="I3619" s="9" t="s">
        <v>40</v>
      </c>
      <c r="J3619" s="9" t="s">
        <v>63</v>
      </c>
      <c r="K3619" s="9" t="n">
        <v>57</v>
      </c>
      <c r="L3619" s="9" t="n">
        <v>8</v>
      </c>
      <c r="M3619" s="9" t="n">
        <v>1</v>
      </c>
      <c r="N3619" s="9" t="s">
        <v>42</v>
      </c>
      <c r="O3619" s="9" t="s">
        <v>52</v>
      </c>
      <c r="P3619" s="9" t="n">
        <v>28.7</v>
      </c>
      <c r="Q3619" s="9" t="n">
        <v>7</v>
      </c>
      <c r="R3619" s="9" t="s">
        <v>87</v>
      </c>
      <c r="S3619" s="9"/>
      <c r="T3619" s="9"/>
      <c r="U3619" s="9" t="str">
        <f aca="false">IF(COUNTIF($A$2:$A$5001,A3619)&gt;1,"Duplicate","Unique")</f>
        <v>Unique</v>
      </c>
      <c r="V3619" s="9" t="str">
        <f aca="false">IF(COUNTIFS($B$2:$B$5001,B3619,$H$2:$H$5001,H3619,$J$2:$J$5001,J3619)&gt;1,"Possible Duplicate Booking","Unique")</f>
        <v>Unique</v>
      </c>
      <c r="W3619" s="9" t="str">
        <f aca="false">IF((H3619-G3619)&lt;&gt;K3619,"Mismatch","OK")</f>
        <v>OK</v>
      </c>
      <c r="X3619" s="9" t="str">
        <f aca="false">IF(TEXT(H3619,"dddd")&lt;&gt;I3619,"Mismatch","OK")</f>
        <v>OK</v>
      </c>
      <c r="Y3619" s="9" t="str">
        <f aca="false">IF(AND(N3619="No",O3619&lt;&gt;""),"Unexpected: channel present but no reminder sent",IF(AND(N3619="Yes",O3619=""),"Missing channel for sent reminder","OK"))</f>
        <v>OK</v>
      </c>
    </row>
    <row r="3620" customFormat="false" ht="15" hidden="false" customHeight="false" outlineLevel="0" collapsed="false">
      <c r="A3620" s="7" t="s">
        <v>5250</v>
      </c>
      <c r="B3620" s="7" t="s">
        <v>240</v>
      </c>
      <c r="C3620" s="7" t="s">
        <v>37</v>
      </c>
      <c r="D3620" s="7" t="n">
        <v>71</v>
      </c>
      <c r="E3620" s="7" t="s">
        <v>70</v>
      </c>
      <c r="F3620" s="7" t="s">
        <v>39</v>
      </c>
      <c r="G3620" s="8" t="n">
        <v>45895</v>
      </c>
      <c r="H3620" s="8" t="n">
        <v>45895</v>
      </c>
      <c r="I3620" s="7" t="s">
        <v>40</v>
      </c>
      <c r="J3620" s="7" t="s">
        <v>63</v>
      </c>
      <c r="K3620" s="7" t="n">
        <v>0</v>
      </c>
      <c r="L3620" s="7" t="n">
        <v>4</v>
      </c>
      <c r="M3620" s="7" t="n">
        <v>0</v>
      </c>
      <c r="N3620" s="7" t="s">
        <v>71</v>
      </c>
      <c r="O3620" s="7"/>
      <c r="P3620" s="7" t="n">
        <v>2.5</v>
      </c>
      <c r="Q3620" s="7" t="n">
        <v>32</v>
      </c>
      <c r="R3620" s="7" t="s">
        <v>53</v>
      </c>
      <c r="S3620" s="7"/>
      <c r="T3620" s="7"/>
      <c r="U3620" s="7" t="str">
        <f aca="false">IF(COUNTIF($A$2:$A$5001,A3620)&gt;1,"Duplicate","Unique")</f>
        <v>Unique</v>
      </c>
      <c r="V3620" s="7" t="str">
        <f aca="false">IF(COUNTIFS($B$2:$B$5001,B3620,$H$2:$H$5001,H3620,$J$2:$J$5001,J3620)&gt;1,"Possible Duplicate Booking","Unique")</f>
        <v>Unique</v>
      </c>
      <c r="W3620" s="7" t="str">
        <f aca="false">IF((H3620-G3620)&lt;&gt;K3620,"Mismatch","OK")</f>
        <v>OK</v>
      </c>
      <c r="X3620" s="7" t="str">
        <f aca="false">IF(TEXT(H3620,"dddd")&lt;&gt;I3620,"Mismatch","OK")</f>
        <v>OK</v>
      </c>
      <c r="Y3620" s="7" t="str">
        <f aca="false">IF(AND(N3620="No",O3620&lt;&gt;""),"Unexpected: channel present but no reminder sent",IF(AND(N3620="Yes",O3620=""),"Missing channel for sent reminder","OK"))</f>
        <v>OK</v>
      </c>
    </row>
    <row r="3621" customFormat="false" ht="15" hidden="false" customHeight="false" outlineLevel="0" collapsed="false">
      <c r="A3621" s="9" t="s">
        <v>5251</v>
      </c>
      <c r="B3621" s="9" t="s">
        <v>1250</v>
      </c>
      <c r="C3621" s="9" t="s">
        <v>47</v>
      </c>
      <c r="D3621" s="9" t="n">
        <v>67</v>
      </c>
      <c r="E3621" s="9" t="s">
        <v>70</v>
      </c>
      <c r="F3621" s="9" t="s">
        <v>39</v>
      </c>
      <c r="G3621" s="10" t="n">
        <v>45667</v>
      </c>
      <c r="H3621" s="10" t="n">
        <v>45705</v>
      </c>
      <c r="I3621" s="9" t="s">
        <v>66</v>
      </c>
      <c r="J3621" s="9" t="s">
        <v>41</v>
      </c>
      <c r="K3621" s="9" t="n">
        <v>38</v>
      </c>
      <c r="L3621" s="9" t="n">
        <v>1</v>
      </c>
      <c r="M3621" s="9" t="n">
        <v>0</v>
      </c>
      <c r="N3621" s="9" t="s">
        <v>71</v>
      </c>
      <c r="O3621" s="9"/>
      <c r="P3621" s="9"/>
      <c r="Q3621" s="9" t="n">
        <v>10</v>
      </c>
      <c r="R3621" s="9" t="s">
        <v>44</v>
      </c>
      <c r="S3621" s="9"/>
      <c r="T3621" s="9"/>
      <c r="U3621" s="9" t="str">
        <f aca="false">IF(COUNTIF($A$2:$A$5001,A3621)&gt;1,"Duplicate","Unique")</f>
        <v>Unique</v>
      </c>
      <c r="V3621" s="9" t="str">
        <f aca="false">IF(COUNTIFS($B$2:$B$5001,B3621,$H$2:$H$5001,H3621,$J$2:$J$5001,J3621)&gt;1,"Possible Duplicate Booking","Unique")</f>
        <v>Unique</v>
      </c>
      <c r="W3621" s="9" t="str">
        <f aca="false">IF((H3621-G3621)&lt;&gt;K3621,"Mismatch","OK")</f>
        <v>OK</v>
      </c>
      <c r="X3621" s="9" t="str">
        <f aca="false">IF(TEXT(H3621,"dddd")&lt;&gt;I3621,"Mismatch","OK")</f>
        <v>OK</v>
      </c>
      <c r="Y3621" s="9" t="str">
        <f aca="false">IF(AND(N3621="No",O3621&lt;&gt;""),"Unexpected: channel present but no reminder sent",IF(AND(N3621="Yes",O3621=""),"Missing channel for sent reminder","OK"))</f>
        <v>OK</v>
      </c>
    </row>
    <row r="3622" customFormat="false" ht="15" hidden="false" customHeight="false" outlineLevel="0" collapsed="false">
      <c r="A3622" s="7" t="s">
        <v>5252</v>
      </c>
      <c r="B3622" s="7" t="s">
        <v>5221</v>
      </c>
      <c r="C3622" s="7" t="s">
        <v>37</v>
      </c>
      <c r="D3622" s="7" t="n">
        <v>65</v>
      </c>
      <c r="E3622" s="7" t="s">
        <v>70</v>
      </c>
      <c r="F3622" s="7" t="s">
        <v>74</v>
      </c>
      <c r="G3622" s="8" t="n">
        <v>46200</v>
      </c>
      <c r="H3622" s="8" t="n">
        <v>46201</v>
      </c>
      <c r="I3622" s="7" t="s">
        <v>75</v>
      </c>
      <c r="J3622" s="7" t="s">
        <v>51</v>
      </c>
      <c r="K3622" s="7" t="n">
        <v>1</v>
      </c>
      <c r="L3622" s="7" t="n">
        <v>3</v>
      </c>
      <c r="M3622" s="7" t="n">
        <v>0</v>
      </c>
      <c r="N3622" s="7" t="s">
        <v>42</v>
      </c>
      <c r="O3622" s="7" t="s">
        <v>52</v>
      </c>
      <c r="P3622" s="7" t="n">
        <v>4</v>
      </c>
      <c r="Q3622" s="7" t="n">
        <v>4</v>
      </c>
      <c r="R3622" s="7" t="s">
        <v>53</v>
      </c>
      <c r="S3622" s="7"/>
      <c r="T3622" s="7"/>
      <c r="U3622" s="7" t="str">
        <f aca="false">IF(COUNTIF($A$2:$A$5001,A3622)&gt;1,"Duplicate","Unique")</f>
        <v>Unique</v>
      </c>
      <c r="V3622" s="7" t="str">
        <f aca="false">IF(COUNTIFS($B$2:$B$5001,B3622,$H$2:$H$5001,H3622,$J$2:$J$5001,J3622)&gt;1,"Possible Duplicate Booking","Unique")</f>
        <v>Unique</v>
      </c>
      <c r="W3622" s="7" t="str">
        <f aca="false">IF((H3622-G3622)&lt;&gt;K3622,"Mismatch","OK")</f>
        <v>OK</v>
      </c>
      <c r="X3622" s="7" t="str">
        <f aca="false">IF(TEXT(H3622,"dddd")&lt;&gt;I3622,"Mismatch","OK")</f>
        <v>OK</v>
      </c>
      <c r="Y3622" s="7" t="str">
        <f aca="false">IF(AND(N3622="No",O3622&lt;&gt;""),"Unexpected: channel present but no reminder sent",IF(AND(N3622="Yes",O3622=""),"Missing channel for sent reminder","OK"))</f>
        <v>OK</v>
      </c>
    </row>
    <row r="3623" customFormat="false" ht="15" hidden="false" customHeight="false" outlineLevel="0" collapsed="false">
      <c r="A3623" s="9" t="s">
        <v>5253</v>
      </c>
      <c r="B3623" s="9" t="s">
        <v>5254</v>
      </c>
      <c r="C3623" s="9" t="s">
        <v>37</v>
      </c>
      <c r="D3623" s="9" t="n">
        <v>28</v>
      </c>
      <c r="E3623" s="9" t="s">
        <v>48</v>
      </c>
      <c r="F3623" s="9" t="s">
        <v>39</v>
      </c>
      <c r="G3623" s="10" t="n">
        <v>45748</v>
      </c>
      <c r="H3623" s="10" t="n">
        <v>45779</v>
      </c>
      <c r="I3623" s="9" t="s">
        <v>50</v>
      </c>
      <c r="J3623" s="9" t="s">
        <v>63</v>
      </c>
      <c r="K3623" s="9" t="n">
        <v>31</v>
      </c>
      <c r="L3623" s="9" t="n">
        <v>1</v>
      </c>
      <c r="M3623" s="9" t="n">
        <v>0</v>
      </c>
      <c r="N3623" s="9" t="s">
        <v>42</v>
      </c>
      <c r="O3623" s="9" t="s">
        <v>43</v>
      </c>
      <c r="P3623" s="9" t="n">
        <v>8.6</v>
      </c>
      <c r="Q3623" s="9" t="n">
        <v>31</v>
      </c>
      <c r="R3623" s="9" t="s">
        <v>53</v>
      </c>
      <c r="S3623" s="9"/>
      <c r="T3623" s="9"/>
      <c r="U3623" s="9" t="str">
        <f aca="false">IF(COUNTIF($A$2:$A$5001,A3623)&gt;1,"Duplicate","Unique")</f>
        <v>Unique</v>
      </c>
      <c r="V3623" s="9" t="str">
        <f aca="false">IF(COUNTIFS($B$2:$B$5001,B3623,$H$2:$H$5001,H3623,$J$2:$J$5001,J3623)&gt;1,"Possible Duplicate Booking","Unique")</f>
        <v>Unique</v>
      </c>
      <c r="W3623" s="9" t="str">
        <f aca="false">IF((H3623-G3623)&lt;&gt;K3623,"Mismatch","OK")</f>
        <v>OK</v>
      </c>
      <c r="X3623" s="9" t="str">
        <f aca="false">IF(TEXT(H3623,"dddd")&lt;&gt;I3623,"Mismatch","OK")</f>
        <v>OK</v>
      </c>
      <c r="Y3623" s="9" t="str">
        <f aca="false">IF(AND(N3623="No",O3623&lt;&gt;""),"Unexpected: channel present but no reminder sent",IF(AND(N3623="Yes",O3623=""),"Missing channel for sent reminder","OK"))</f>
        <v>OK</v>
      </c>
    </row>
    <row r="3624" customFormat="false" ht="15" hidden="false" customHeight="false" outlineLevel="0" collapsed="false">
      <c r="A3624" s="7" t="s">
        <v>5255</v>
      </c>
      <c r="B3624" s="7" t="s">
        <v>1900</v>
      </c>
      <c r="C3624" s="7" t="s">
        <v>47</v>
      </c>
      <c r="D3624" s="7" t="n">
        <v>57</v>
      </c>
      <c r="E3624" s="7" t="s">
        <v>61</v>
      </c>
      <c r="F3624" s="7" t="s">
        <v>39</v>
      </c>
      <c r="G3624" s="8" t="n">
        <v>45785</v>
      </c>
      <c r="H3624" s="8" t="n">
        <v>45838</v>
      </c>
      <c r="I3624" s="7" t="s">
        <v>66</v>
      </c>
      <c r="J3624" s="7" t="s">
        <v>51</v>
      </c>
      <c r="K3624" s="7" t="n">
        <v>53</v>
      </c>
      <c r="L3624" s="7" t="n">
        <v>3</v>
      </c>
      <c r="M3624" s="7" t="n">
        <v>1</v>
      </c>
      <c r="N3624" s="7" t="s">
        <v>71</v>
      </c>
      <c r="O3624" s="7"/>
      <c r="P3624" s="7" t="n">
        <v>13</v>
      </c>
      <c r="Q3624" s="7" t="n">
        <v>28</v>
      </c>
      <c r="R3624" s="7" t="s">
        <v>44</v>
      </c>
      <c r="S3624" s="7"/>
      <c r="T3624" s="7"/>
      <c r="U3624" s="7" t="str">
        <f aca="false">IF(COUNTIF($A$2:$A$5001,A3624)&gt;1,"Duplicate","Unique")</f>
        <v>Unique</v>
      </c>
      <c r="V3624" s="7" t="str">
        <f aca="false">IF(COUNTIFS($B$2:$B$5001,B3624,$H$2:$H$5001,H3624,$J$2:$J$5001,J3624)&gt;1,"Possible Duplicate Booking","Unique")</f>
        <v>Unique</v>
      </c>
      <c r="W3624" s="7" t="str">
        <f aca="false">IF((H3624-G3624)&lt;&gt;K3624,"Mismatch","OK")</f>
        <v>OK</v>
      </c>
      <c r="X3624" s="7" t="str">
        <f aca="false">IF(TEXT(H3624,"dddd")&lt;&gt;I3624,"Mismatch","OK")</f>
        <v>OK</v>
      </c>
      <c r="Y3624" s="7" t="str">
        <f aca="false">IF(AND(N3624="No",O3624&lt;&gt;""),"Unexpected: channel present but no reminder sent",IF(AND(N3624="Yes",O3624=""),"Missing channel for sent reminder","OK"))</f>
        <v>OK</v>
      </c>
    </row>
    <row r="3625" customFormat="false" ht="15" hidden="false" customHeight="false" outlineLevel="0" collapsed="false">
      <c r="A3625" s="9" t="s">
        <v>5256</v>
      </c>
      <c r="B3625" s="9" t="s">
        <v>2857</v>
      </c>
      <c r="C3625" s="9" t="s">
        <v>37</v>
      </c>
      <c r="D3625" s="9" t="n">
        <v>36</v>
      </c>
      <c r="E3625" s="9" t="s">
        <v>38</v>
      </c>
      <c r="F3625" s="9" t="s">
        <v>57</v>
      </c>
      <c r="G3625" s="10" t="n">
        <v>45850</v>
      </c>
      <c r="H3625" s="10" t="n">
        <v>45898</v>
      </c>
      <c r="I3625" s="9" t="s">
        <v>50</v>
      </c>
      <c r="J3625" s="9" t="s">
        <v>51</v>
      </c>
      <c r="K3625" s="9" t="n">
        <v>48</v>
      </c>
      <c r="L3625" s="9" t="n">
        <v>3</v>
      </c>
      <c r="M3625" s="9" t="n">
        <v>1</v>
      </c>
      <c r="N3625" s="9" t="s">
        <v>71</v>
      </c>
      <c r="O3625" s="9"/>
      <c r="P3625" s="9" t="n">
        <v>5.1</v>
      </c>
      <c r="Q3625" s="9" t="n">
        <v>17</v>
      </c>
      <c r="R3625" s="9" t="s">
        <v>44</v>
      </c>
      <c r="S3625" s="9"/>
      <c r="T3625" s="9"/>
      <c r="U3625" s="9" t="str">
        <f aca="false">IF(COUNTIF($A$2:$A$5001,A3625)&gt;1,"Duplicate","Unique")</f>
        <v>Unique</v>
      </c>
      <c r="V3625" s="9" t="str">
        <f aca="false">IF(COUNTIFS($B$2:$B$5001,B3625,$H$2:$H$5001,H3625,$J$2:$J$5001,J3625)&gt;1,"Possible Duplicate Booking","Unique")</f>
        <v>Unique</v>
      </c>
      <c r="W3625" s="9" t="str">
        <f aca="false">IF((H3625-G3625)&lt;&gt;K3625,"Mismatch","OK")</f>
        <v>OK</v>
      </c>
      <c r="X3625" s="9" t="str">
        <f aca="false">IF(TEXT(H3625,"dddd")&lt;&gt;I3625,"Mismatch","OK")</f>
        <v>OK</v>
      </c>
      <c r="Y3625" s="9" t="str">
        <f aca="false">IF(AND(N3625="No",O3625&lt;&gt;""),"Unexpected: channel present but no reminder sent",IF(AND(N3625="Yes",O3625=""),"Missing channel for sent reminder","OK"))</f>
        <v>OK</v>
      </c>
    </row>
    <row r="3626" customFormat="false" ht="15" hidden="false" customHeight="false" outlineLevel="0" collapsed="false">
      <c r="A3626" s="7" t="s">
        <v>5257</v>
      </c>
      <c r="B3626" s="7" t="s">
        <v>158</v>
      </c>
      <c r="C3626" s="7" t="s">
        <v>47</v>
      </c>
      <c r="D3626" s="7" t="n">
        <v>22</v>
      </c>
      <c r="E3626" s="7" t="s">
        <v>82</v>
      </c>
      <c r="F3626" s="7" t="s">
        <v>74</v>
      </c>
      <c r="G3626" s="8" t="n">
        <v>46098</v>
      </c>
      <c r="H3626" s="8" t="n">
        <v>46112</v>
      </c>
      <c r="I3626" s="7" t="s">
        <v>40</v>
      </c>
      <c r="J3626" s="7" t="s">
        <v>41</v>
      </c>
      <c r="K3626" s="7" t="n">
        <v>14</v>
      </c>
      <c r="L3626" s="7" t="n">
        <v>2</v>
      </c>
      <c r="M3626" s="7" t="n">
        <v>0</v>
      </c>
      <c r="N3626" s="7" t="s">
        <v>42</v>
      </c>
      <c r="O3626" s="7" t="s">
        <v>67</v>
      </c>
      <c r="P3626" s="7" t="n">
        <v>5.8</v>
      </c>
      <c r="Q3626" s="7" t="n">
        <v>11</v>
      </c>
      <c r="R3626" s="7" t="s">
        <v>44</v>
      </c>
      <c r="S3626" s="7"/>
      <c r="T3626" s="7"/>
      <c r="U3626" s="7" t="str">
        <f aca="false">IF(COUNTIF($A$2:$A$5001,A3626)&gt;1,"Duplicate","Unique")</f>
        <v>Unique</v>
      </c>
      <c r="V3626" s="7" t="str">
        <f aca="false">IF(COUNTIFS($B$2:$B$5001,B3626,$H$2:$H$5001,H3626,$J$2:$J$5001,J3626)&gt;1,"Possible Duplicate Booking","Unique")</f>
        <v>Unique</v>
      </c>
      <c r="W3626" s="7" t="str">
        <f aca="false">IF((H3626-G3626)&lt;&gt;K3626,"Mismatch","OK")</f>
        <v>OK</v>
      </c>
      <c r="X3626" s="7" t="str">
        <f aca="false">IF(TEXT(H3626,"dddd")&lt;&gt;I3626,"Mismatch","OK")</f>
        <v>OK</v>
      </c>
      <c r="Y3626" s="7" t="str">
        <f aca="false">IF(AND(N3626="No",O3626&lt;&gt;""),"Unexpected: channel present but no reminder sent",IF(AND(N3626="Yes",O3626=""),"Missing channel for sent reminder","OK"))</f>
        <v>OK</v>
      </c>
    </row>
    <row r="3627" customFormat="false" ht="15" hidden="false" customHeight="false" outlineLevel="0" collapsed="false">
      <c r="A3627" s="9" t="s">
        <v>5258</v>
      </c>
      <c r="B3627" s="9" t="s">
        <v>1042</v>
      </c>
      <c r="C3627" s="9" t="s">
        <v>47</v>
      </c>
      <c r="D3627" s="9" t="n">
        <v>39</v>
      </c>
      <c r="E3627" s="9" t="s">
        <v>38</v>
      </c>
      <c r="F3627" s="9" t="s">
        <v>57</v>
      </c>
      <c r="G3627" s="10" t="n">
        <v>46048</v>
      </c>
      <c r="H3627" s="10" t="n">
        <v>46063</v>
      </c>
      <c r="I3627" s="9" t="s">
        <v>40</v>
      </c>
      <c r="J3627" s="9" t="s">
        <v>41</v>
      </c>
      <c r="K3627" s="9" t="n">
        <v>15</v>
      </c>
      <c r="L3627" s="9" t="n">
        <v>5</v>
      </c>
      <c r="M3627" s="9" t="n">
        <v>0</v>
      </c>
      <c r="N3627" s="9" t="s">
        <v>42</v>
      </c>
      <c r="O3627" s="9" t="s">
        <v>52</v>
      </c>
      <c r="P3627" s="9" t="n">
        <v>17.5</v>
      </c>
      <c r="Q3627" s="9" t="n">
        <v>28</v>
      </c>
      <c r="R3627" s="9" t="s">
        <v>53</v>
      </c>
      <c r="S3627" s="9"/>
      <c r="T3627" s="9"/>
      <c r="U3627" s="9" t="str">
        <f aca="false">IF(COUNTIF($A$2:$A$5001,A3627)&gt;1,"Duplicate","Unique")</f>
        <v>Unique</v>
      </c>
      <c r="V3627" s="9" t="str">
        <f aca="false">IF(COUNTIFS($B$2:$B$5001,B3627,$H$2:$H$5001,H3627,$J$2:$J$5001,J3627)&gt;1,"Possible Duplicate Booking","Unique")</f>
        <v>Unique</v>
      </c>
      <c r="W3627" s="9" t="str">
        <f aca="false">IF((H3627-G3627)&lt;&gt;K3627,"Mismatch","OK")</f>
        <v>OK</v>
      </c>
      <c r="X3627" s="9" t="str">
        <f aca="false">IF(TEXT(H3627,"dddd")&lt;&gt;I3627,"Mismatch","OK")</f>
        <v>OK</v>
      </c>
      <c r="Y3627" s="9" t="str">
        <f aca="false">IF(AND(N3627="No",O3627&lt;&gt;""),"Unexpected: channel present but no reminder sent",IF(AND(N3627="Yes",O3627=""),"Missing channel for sent reminder","OK"))</f>
        <v>OK</v>
      </c>
    </row>
    <row r="3628" customFormat="false" ht="15" hidden="false" customHeight="false" outlineLevel="0" collapsed="false">
      <c r="A3628" s="7" t="s">
        <v>5259</v>
      </c>
      <c r="B3628" s="7" t="s">
        <v>288</v>
      </c>
      <c r="C3628" s="7" t="s">
        <v>47</v>
      </c>
      <c r="D3628" s="7" t="n">
        <v>24</v>
      </c>
      <c r="E3628" s="7" t="s">
        <v>82</v>
      </c>
      <c r="F3628" s="7" t="s">
        <v>57</v>
      </c>
      <c r="G3628" s="8" t="n">
        <v>46031</v>
      </c>
      <c r="H3628" s="8" t="n">
        <v>46078</v>
      </c>
      <c r="I3628" s="7" t="s">
        <v>58</v>
      </c>
      <c r="J3628" s="7" t="s">
        <v>63</v>
      </c>
      <c r="K3628" s="7" t="n">
        <v>47</v>
      </c>
      <c r="L3628" s="7" t="n">
        <v>4</v>
      </c>
      <c r="M3628" s="7" t="n">
        <v>0</v>
      </c>
      <c r="N3628" s="7" t="s">
        <v>42</v>
      </c>
      <c r="O3628" s="7" t="s">
        <v>52</v>
      </c>
      <c r="P3628" s="7" t="n">
        <v>9.3</v>
      </c>
      <c r="Q3628" s="7" t="n">
        <v>19</v>
      </c>
      <c r="R3628" s="7" t="s">
        <v>44</v>
      </c>
      <c r="S3628" s="7"/>
      <c r="T3628" s="7"/>
      <c r="U3628" s="7" t="str">
        <f aca="false">IF(COUNTIF($A$2:$A$5001,A3628)&gt;1,"Duplicate","Unique")</f>
        <v>Unique</v>
      </c>
      <c r="V3628" s="7" t="str">
        <f aca="false">IF(COUNTIFS($B$2:$B$5001,B3628,$H$2:$H$5001,H3628,$J$2:$J$5001,J3628)&gt;1,"Possible Duplicate Booking","Unique")</f>
        <v>Unique</v>
      </c>
      <c r="W3628" s="7" t="str">
        <f aca="false">IF((H3628-G3628)&lt;&gt;K3628,"Mismatch","OK")</f>
        <v>OK</v>
      </c>
      <c r="X3628" s="7" t="str">
        <f aca="false">IF(TEXT(H3628,"dddd")&lt;&gt;I3628,"Mismatch","OK")</f>
        <v>OK</v>
      </c>
      <c r="Y3628" s="7" t="str">
        <f aca="false">IF(AND(N3628="No",O3628&lt;&gt;""),"Unexpected: channel present but no reminder sent",IF(AND(N3628="Yes",O3628=""),"Missing channel for sent reminder","OK"))</f>
        <v>OK</v>
      </c>
    </row>
    <row r="3629" customFormat="false" ht="15" hidden="false" customHeight="false" outlineLevel="0" collapsed="false">
      <c r="A3629" s="9" t="s">
        <v>5260</v>
      </c>
      <c r="B3629" s="9" t="s">
        <v>1704</v>
      </c>
      <c r="C3629" s="9" t="s">
        <v>47</v>
      </c>
      <c r="D3629" s="9" t="n">
        <v>24</v>
      </c>
      <c r="E3629" s="9" t="s">
        <v>82</v>
      </c>
      <c r="F3629" s="9" t="s">
        <v>57</v>
      </c>
      <c r="G3629" s="10" t="n">
        <v>45737</v>
      </c>
      <c r="H3629" s="10" t="n">
        <v>45787</v>
      </c>
      <c r="I3629" s="9" t="s">
        <v>102</v>
      </c>
      <c r="J3629" s="9" t="s">
        <v>51</v>
      </c>
      <c r="K3629" s="9" t="n">
        <v>50</v>
      </c>
      <c r="L3629" s="9" t="n">
        <v>5</v>
      </c>
      <c r="M3629" s="9" t="n">
        <v>1</v>
      </c>
      <c r="N3629" s="9" t="s">
        <v>42</v>
      </c>
      <c r="O3629" s="9" t="s">
        <v>67</v>
      </c>
      <c r="P3629" s="9" t="n">
        <v>2.7</v>
      </c>
      <c r="Q3629" s="9" t="n">
        <v>33</v>
      </c>
      <c r="R3629" s="9" t="s">
        <v>44</v>
      </c>
      <c r="S3629" s="9"/>
      <c r="T3629" s="9"/>
      <c r="U3629" s="9" t="str">
        <f aca="false">IF(COUNTIF($A$2:$A$5001,A3629)&gt;1,"Duplicate","Unique")</f>
        <v>Unique</v>
      </c>
      <c r="V3629" s="9" t="str">
        <f aca="false">IF(COUNTIFS($B$2:$B$5001,B3629,$H$2:$H$5001,H3629,$J$2:$J$5001,J3629)&gt;1,"Possible Duplicate Booking","Unique")</f>
        <v>Unique</v>
      </c>
      <c r="W3629" s="9" t="str">
        <f aca="false">IF((H3629-G3629)&lt;&gt;K3629,"Mismatch","OK")</f>
        <v>OK</v>
      </c>
      <c r="X3629" s="9" t="str">
        <f aca="false">IF(TEXT(H3629,"dddd")&lt;&gt;I3629,"Mismatch","OK")</f>
        <v>OK</v>
      </c>
      <c r="Y3629" s="9" t="str">
        <f aca="false">IF(AND(N3629="No",O3629&lt;&gt;""),"Unexpected: channel present but no reminder sent",IF(AND(N3629="Yes",O3629=""),"Missing channel for sent reminder","OK"))</f>
        <v>OK</v>
      </c>
    </row>
    <row r="3630" customFormat="false" ht="15" hidden="false" customHeight="false" outlineLevel="0" collapsed="false">
      <c r="A3630" s="7" t="s">
        <v>5261</v>
      </c>
      <c r="B3630" s="7" t="s">
        <v>5262</v>
      </c>
      <c r="C3630" s="7" t="s">
        <v>37</v>
      </c>
      <c r="D3630" s="7" t="n">
        <v>63</v>
      </c>
      <c r="E3630" s="7" t="s">
        <v>61</v>
      </c>
      <c r="F3630" s="7" t="s">
        <v>57</v>
      </c>
      <c r="G3630" s="8" t="n">
        <v>46102</v>
      </c>
      <c r="H3630" s="8" t="n">
        <v>46119</v>
      </c>
      <c r="I3630" s="7" t="s">
        <v>40</v>
      </c>
      <c r="J3630" s="7" t="s">
        <v>51</v>
      </c>
      <c r="K3630" s="7" t="n">
        <v>17</v>
      </c>
      <c r="L3630" s="7" t="n">
        <v>0</v>
      </c>
      <c r="M3630" s="7" t="n">
        <v>0</v>
      </c>
      <c r="N3630" s="7" t="s">
        <v>71</v>
      </c>
      <c r="O3630" s="7"/>
      <c r="P3630" s="7" t="n">
        <v>6.8</v>
      </c>
      <c r="Q3630" s="7" t="n">
        <v>18</v>
      </c>
      <c r="R3630" s="7" t="s">
        <v>53</v>
      </c>
      <c r="S3630" s="7"/>
      <c r="T3630" s="7"/>
      <c r="U3630" s="7" t="str">
        <f aca="false">IF(COUNTIF($A$2:$A$5001,A3630)&gt;1,"Duplicate","Unique")</f>
        <v>Unique</v>
      </c>
      <c r="V3630" s="7" t="str">
        <f aca="false">IF(COUNTIFS($B$2:$B$5001,B3630,$H$2:$H$5001,H3630,$J$2:$J$5001,J3630)&gt;1,"Possible Duplicate Booking","Unique")</f>
        <v>Unique</v>
      </c>
      <c r="W3630" s="7" t="str">
        <f aca="false">IF((H3630-G3630)&lt;&gt;K3630,"Mismatch","OK")</f>
        <v>OK</v>
      </c>
      <c r="X3630" s="7" t="str">
        <f aca="false">IF(TEXT(H3630,"dddd")&lt;&gt;I3630,"Mismatch","OK")</f>
        <v>OK</v>
      </c>
      <c r="Y3630" s="7" t="str">
        <f aca="false">IF(AND(N3630="No",O3630&lt;&gt;""),"Unexpected: channel present but no reminder sent",IF(AND(N3630="Yes",O3630=""),"Missing channel for sent reminder","OK"))</f>
        <v>OK</v>
      </c>
    </row>
    <row r="3631" customFormat="false" ht="15" hidden="false" customHeight="false" outlineLevel="0" collapsed="false">
      <c r="A3631" s="9" t="s">
        <v>5263</v>
      </c>
      <c r="B3631" s="9" t="s">
        <v>5264</v>
      </c>
      <c r="C3631" s="9" t="s">
        <v>37</v>
      </c>
      <c r="D3631" s="9" t="n">
        <v>49</v>
      </c>
      <c r="E3631" s="9" t="s">
        <v>56</v>
      </c>
      <c r="F3631" s="9" t="s">
        <v>49</v>
      </c>
      <c r="G3631" s="10" t="n">
        <v>46111</v>
      </c>
      <c r="H3631" s="10" t="n">
        <v>46111</v>
      </c>
      <c r="I3631" s="9" t="s">
        <v>66</v>
      </c>
      <c r="J3631" s="9" t="s">
        <v>41</v>
      </c>
      <c r="K3631" s="9" t="n">
        <v>0</v>
      </c>
      <c r="L3631" s="9" t="n">
        <v>2</v>
      </c>
      <c r="M3631" s="9" t="n">
        <v>1</v>
      </c>
      <c r="N3631" s="9" t="s">
        <v>42</v>
      </c>
      <c r="O3631" s="9" t="s">
        <v>52</v>
      </c>
      <c r="P3631" s="9" t="n">
        <v>5.3</v>
      </c>
      <c r="Q3631" s="9" t="n">
        <v>19</v>
      </c>
      <c r="R3631" s="9" t="s">
        <v>87</v>
      </c>
      <c r="S3631" s="9"/>
      <c r="T3631" s="9"/>
      <c r="U3631" s="9" t="str">
        <f aca="false">IF(COUNTIF($A$2:$A$5001,A3631)&gt;1,"Duplicate","Unique")</f>
        <v>Unique</v>
      </c>
      <c r="V3631" s="9" t="str">
        <f aca="false">IF(COUNTIFS($B$2:$B$5001,B3631,$H$2:$H$5001,H3631,$J$2:$J$5001,J3631)&gt;1,"Possible Duplicate Booking","Unique")</f>
        <v>Unique</v>
      </c>
      <c r="W3631" s="9" t="str">
        <f aca="false">IF((H3631-G3631)&lt;&gt;K3631,"Mismatch","OK")</f>
        <v>OK</v>
      </c>
      <c r="X3631" s="9" t="str">
        <f aca="false">IF(TEXT(H3631,"dddd")&lt;&gt;I3631,"Mismatch","OK")</f>
        <v>OK</v>
      </c>
      <c r="Y3631" s="9" t="str">
        <f aca="false">IF(AND(N3631="No",O3631&lt;&gt;""),"Unexpected: channel present but no reminder sent",IF(AND(N3631="Yes",O3631=""),"Missing channel for sent reminder","OK"))</f>
        <v>OK</v>
      </c>
    </row>
    <row r="3632" customFormat="false" ht="15" hidden="false" customHeight="false" outlineLevel="0" collapsed="false">
      <c r="A3632" s="7" t="s">
        <v>5265</v>
      </c>
      <c r="B3632" s="7" t="s">
        <v>1333</v>
      </c>
      <c r="C3632" s="7" t="s">
        <v>47</v>
      </c>
      <c r="D3632" s="7" t="n">
        <v>43</v>
      </c>
      <c r="E3632" s="7" t="s">
        <v>38</v>
      </c>
      <c r="F3632" s="7" t="s">
        <v>57</v>
      </c>
      <c r="G3632" s="8" t="n">
        <v>45884</v>
      </c>
      <c r="H3632" s="8" t="n">
        <v>45911</v>
      </c>
      <c r="I3632" s="7" t="s">
        <v>62</v>
      </c>
      <c r="J3632" s="7" t="s">
        <v>51</v>
      </c>
      <c r="K3632" s="7" t="n">
        <v>27</v>
      </c>
      <c r="L3632" s="7" t="n">
        <v>2</v>
      </c>
      <c r="M3632" s="7" t="n">
        <v>1</v>
      </c>
      <c r="N3632" s="7" t="s">
        <v>42</v>
      </c>
      <c r="O3632" s="7" t="s">
        <v>52</v>
      </c>
      <c r="P3632" s="7" t="n">
        <v>2.2</v>
      </c>
      <c r="Q3632" s="7" t="n">
        <v>36</v>
      </c>
      <c r="R3632" s="7" t="s">
        <v>53</v>
      </c>
      <c r="S3632" s="7"/>
      <c r="T3632" s="7"/>
      <c r="U3632" s="7" t="str">
        <f aca="false">IF(COUNTIF($A$2:$A$5001,A3632)&gt;1,"Duplicate","Unique")</f>
        <v>Unique</v>
      </c>
      <c r="V3632" s="7" t="str">
        <f aca="false">IF(COUNTIFS($B$2:$B$5001,B3632,$H$2:$H$5001,H3632,$J$2:$J$5001,J3632)&gt;1,"Possible Duplicate Booking","Unique")</f>
        <v>Unique</v>
      </c>
      <c r="W3632" s="7" t="str">
        <f aca="false">IF((H3632-G3632)&lt;&gt;K3632,"Mismatch","OK")</f>
        <v>OK</v>
      </c>
      <c r="X3632" s="7" t="str">
        <f aca="false">IF(TEXT(H3632,"dddd")&lt;&gt;I3632,"Mismatch","OK")</f>
        <v>OK</v>
      </c>
      <c r="Y3632" s="7" t="str">
        <f aca="false">IF(AND(N3632="No",O3632&lt;&gt;""),"Unexpected: channel present but no reminder sent",IF(AND(N3632="Yes",O3632=""),"Missing channel for sent reminder","OK"))</f>
        <v>OK</v>
      </c>
    </row>
    <row r="3633" customFormat="false" ht="15" hidden="false" customHeight="false" outlineLevel="0" collapsed="false">
      <c r="A3633" s="9" t="s">
        <v>5266</v>
      </c>
      <c r="B3633" s="9" t="s">
        <v>3115</v>
      </c>
      <c r="C3633" s="9" t="s">
        <v>37</v>
      </c>
      <c r="D3633" s="9" t="n">
        <v>30</v>
      </c>
      <c r="E3633" s="9" t="s">
        <v>48</v>
      </c>
      <c r="F3633" s="9" t="s">
        <v>57</v>
      </c>
      <c r="G3633" s="10" t="n">
        <v>45919</v>
      </c>
      <c r="H3633" s="10" t="n">
        <v>45956</v>
      </c>
      <c r="I3633" s="9" t="s">
        <v>75</v>
      </c>
      <c r="J3633" s="9" t="s">
        <v>41</v>
      </c>
      <c r="K3633" s="9" t="n">
        <v>37</v>
      </c>
      <c r="L3633" s="9" t="n">
        <v>7</v>
      </c>
      <c r="M3633" s="9" t="n">
        <v>2</v>
      </c>
      <c r="N3633" s="9" t="s">
        <v>42</v>
      </c>
      <c r="O3633" s="9" t="s">
        <v>52</v>
      </c>
      <c r="P3633" s="9" t="n">
        <v>2.8</v>
      </c>
      <c r="Q3633" s="9" t="n">
        <v>13</v>
      </c>
      <c r="R3633" s="9" t="s">
        <v>53</v>
      </c>
      <c r="S3633" s="9"/>
      <c r="T3633" s="9"/>
      <c r="U3633" s="9" t="str">
        <f aca="false">IF(COUNTIF($A$2:$A$5001,A3633)&gt;1,"Duplicate","Unique")</f>
        <v>Unique</v>
      </c>
      <c r="V3633" s="9" t="str">
        <f aca="false">IF(COUNTIFS($B$2:$B$5001,B3633,$H$2:$H$5001,H3633,$J$2:$J$5001,J3633)&gt;1,"Possible Duplicate Booking","Unique")</f>
        <v>Unique</v>
      </c>
      <c r="W3633" s="9" t="str">
        <f aca="false">IF((H3633-G3633)&lt;&gt;K3633,"Mismatch","OK")</f>
        <v>OK</v>
      </c>
      <c r="X3633" s="9" t="str">
        <f aca="false">IF(TEXT(H3633,"dddd")&lt;&gt;I3633,"Mismatch","OK")</f>
        <v>OK</v>
      </c>
      <c r="Y3633" s="9" t="str">
        <f aca="false">IF(AND(N3633="No",O3633&lt;&gt;""),"Unexpected: channel present but no reminder sent",IF(AND(N3633="Yes",O3633=""),"Missing channel for sent reminder","OK"))</f>
        <v>OK</v>
      </c>
    </row>
    <row r="3634" customFormat="false" ht="15" hidden="false" customHeight="false" outlineLevel="0" collapsed="false">
      <c r="A3634" s="7" t="s">
        <v>5267</v>
      </c>
      <c r="B3634" s="7" t="s">
        <v>1109</v>
      </c>
      <c r="C3634" s="7" t="s">
        <v>37</v>
      </c>
      <c r="D3634" s="7" t="n">
        <v>66</v>
      </c>
      <c r="E3634" s="7" t="s">
        <v>70</v>
      </c>
      <c r="F3634" s="7" t="s">
        <v>57</v>
      </c>
      <c r="G3634" s="8" t="n">
        <v>45651</v>
      </c>
      <c r="H3634" s="8" t="n">
        <v>45678</v>
      </c>
      <c r="I3634" s="7" t="s">
        <v>40</v>
      </c>
      <c r="J3634" s="7" t="s">
        <v>51</v>
      </c>
      <c r="K3634" s="7" t="n">
        <v>27</v>
      </c>
      <c r="L3634" s="7" t="n">
        <v>3</v>
      </c>
      <c r="M3634" s="7" t="n">
        <v>1</v>
      </c>
      <c r="N3634" s="7" t="s">
        <v>42</v>
      </c>
      <c r="O3634" s="7" t="s">
        <v>67</v>
      </c>
      <c r="P3634" s="7" t="n">
        <v>10.8</v>
      </c>
      <c r="Q3634" s="7" t="n">
        <v>8</v>
      </c>
      <c r="R3634" s="7" t="s">
        <v>44</v>
      </c>
      <c r="S3634" s="7"/>
      <c r="T3634" s="7"/>
      <c r="U3634" s="7" t="str">
        <f aca="false">IF(COUNTIF($A$2:$A$5001,A3634)&gt;1,"Duplicate","Unique")</f>
        <v>Unique</v>
      </c>
      <c r="V3634" s="7" t="str">
        <f aca="false">IF(COUNTIFS($B$2:$B$5001,B3634,$H$2:$H$5001,H3634,$J$2:$J$5001,J3634)&gt;1,"Possible Duplicate Booking","Unique")</f>
        <v>Unique</v>
      </c>
      <c r="W3634" s="7" t="str">
        <f aca="false">IF((H3634-G3634)&lt;&gt;K3634,"Mismatch","OK")</f>
        <v>OK</v>
      </c>
      <c r="X3634" s="7" t="str">
        <f aca="false">IF(TEXT(H3634,"dddd")&lt;&gt;I3634,"Mismatch","OK")</f>
        <v>OK</v>
      </c>
      <c r="Y3634" s="7" t="str">
        <f aca="false">IF(AND(N3634="No",O3634&lt;&gt;""),"Unexpected: channel present but no reminder sent",IF(AND(N3634="Yes",O3634=""),"Missing channel for sent reminder","OK"))</f>
        <v>OK</v>
      </c>
    </row>
    <row r="3635" customFormat="false" ht="15" hidden="false" customHeight="false" outlineLevel="0" collapsed="false">
      <c r="A3635" s="9" t="s">
        <v>5268</v>
      </c>
      <c r="B3635" s="9" t="s">
        <v>5269</v>
      </c>
      <c r="C3635" s="9" t="s">
        <v>47</v>
      </c>
      <c r="D3635" s="9" t="n">
        <v>57</v>
      </c>
      <c r="E3635" s="9" t="s">
        <v>61</v>
      </c>
      <c r="F3635" s="9" t="s">
        <v>74</v>
      </c>
      <c r="G3635" s="10" t="n">
        <v>46016</v>
      </c>
      <c r="H3635" s="10" t="n">
        <v>46073</v>
      </c>
      <c r="I3635" s="9" t="s">
        <v>50</v>
      </c>
      <c r="J3635" s="9" t="s">
        <v>51</v>
      </c>
      <c r="K3635" s="9" t="n">
        <v>57</v>
      </c>
      <c r="L3635" s="9" t="n">
        <v>2</v>
      </c>
      <c r="M3635" s="9" t="n">
        <v>1</v>
      </c>
      <c r="N3635" s="9" t="s">
        <v>71</v>
      </c>
      <c r="O3635" s="9"/>
      <c r="P3635" s="9"/>
      <c r="Q3635" s="9" t="n">
        <v>14</v>
      </c>
      <c r="R3635" s="9" t="s">
        <v>53</v>
      </c>
      <c r="S3635" s="9"/>
      <c r="T3635" s="9"/>
      <c r="U3635" s="9" t="str">
        <f aca="false">IF(COUNTIF($A$2:$A$5001,A3635)&gt;1,"Duplicate","Unique")</f>
        <v>Unique</v>
      </c>
      <c r="V3635" s="9" t="str">
        <f aca="false">IF(COUNTIFS($B$2:$B$5001,B3635,$H$2:$H$5001,H3635,$J$2:$J$5001,J3635)&gt;1,"Possible Duplicate Booking","Unique")</f>
        <v>Unique</v>
      </c>
      <c r="W3635" s="9" t="str">
        <f aca="false">IF((H3635-G3635)&lt;&gt;K3635,"Mismatch","OK")</f>
        <v>OK</v>
      </c>
      <c r="X3635" s="9" t="str">
        <f aca="false">IF(TEXT(H3635,"dddd")&lt;&gt;I3635,"Mismatch","OK")</f>
        <v>OK</v>
      </c>
      <c r="Y3635" s="9" t="str">
        <f aca="false">IF(AND(N3635="No",O3635&lt;&gt;""),"Unexpected: channel present but no reminder sent",IF(AND(N3635="Yes",O3635=""),"Missing channel for sent reminder","OK"))</f>
        <v>OK</v>
      </c>
    </row>
    <row r="3636" customFormat="false" ht="15" hidden="false" customHeight="false" outlineLevel="0" collapsed="false">
      <c r="A3636" s="7" t="s">
        <v>5270</v>
      </c>
      <c r="B3636" s="7" t="s">
        <v>566</v>
      </c>
      <c r="C3636" s="7" t="s">
        <v>47</v>
      </c>
      <c r="D3636" s="7" t="n">
        <v>54</v>
      </c>
      <c r="E3636" s="7" t="s">
        <v>56</v>
      </c>
      <c r="F3636" s="7" t="s">
        <v>49</v>
      </c>
      <c r="G3636" s="8" t="n">
        <v>46133</v>
      </c>
      <c r="H3636" s="8" t="n">
        <v>46182</v>
      </c>
      <c r="I3636" s="7" t="s">
        <v>40</v>
      </c>
      <c r="J3636" s="7" t="s">
        <v>51</v>
      </c>
      <c r="K3636" s="7" t="n">
        <v>49</v>
      </c>
      <c r="L3636" s="7" t="n">
        <v>4</v>
      </c>
      <c r="M3636" s="7" t="n">
        <v>2</v>
      </c>
      <c r="N3636" s="7" t="s">
        <v>42</v>
      </c>
      <c r="O3636" s="7" t="s">
        <v>52</v>
      </c>
      <c r="P3636" s="7" t="n">
        <v>30.2</v>
      </c>
      <c r="Q3636" s="7" t="n">
        <v>27</v>
      </c>
      <c r="R3636" s="7" t="s">
        <v>87</v>
      </c>
      <c r="S3636" s="7"/>
      <c r="T3636" s="7"/>
      <c r="U3636" s="7" t="str">
        <f aca="false">IF(COUNTIF($A$2:$A$5001,A3636)&gt;1,"Duplicate","Unique")</f>
        <v>Unique</v>
      </c>
      <c r="V3636" s="7" t="str">
        <f aca="false">IF(COUNTIFS($B$2:$B$5001,B3636,$H$2:$H$5001,H3636,$J$2:$J$5001,J3636)&gt;1,"Possible Duplicate Booking","Unique")</f>
        <v>Unique</v>
      </c>
      <c r="W3636" s="7" t="str">
        <f aca="false">IF((H3636-G3636)&lt;&gt;K3636,"Mismatch","OK")</f>
        <v>OK</v>
      </c>
      <c r="X3636" s="7" t="str">
        <f aca="false">IF(TEXT(H3636,"dddd")&lt;&gt;I3636,"Mismatch","OK")</f>
        <v>OK</v>
      </c>
      <c r="Y3636" s="7" t="str">
        <f aca="false">IF(AND(N3636="No",O3636&lt;&gt;""),"Unexpected: channel present but no reminder sent",IF(AND(N3636="Yes",O3636=""),"Missing channel for sent reminder","OK"))</f>
        <v>OK</v>
      </c>
    </row>
    <row r="3637" customFormat="false" ht="15" hidden="false" customHeight="false" outlineLevel="0" collapsed="false">
      <c r="A3637" s="9" t="s">
        <v>5271</v>
      </c>
      <c r="B3637" s="9" t="s">
        <v>4773</v>
      </c>
      <c r="C3637" s="9" t="s">
        <v>47</v>
      </c>
      <c r="D3637" s="9" t="n">
        <v>29</v>
      </c>
      <c r="E3637" s="9" t="s">
        <v>48</v>
      </c>
      <c r="F3637" s="9" t="s">
        <v>74</v>
      </c>
      <c r="G3637" s="10" t="n">
        <v>45868</v>
      </c>
      <c r="H3637" s="10" t="n">
        <v>45916</v>
      </c>
      <c r="I3637" s="9" t="s">
        <v>40</v>
      </c>
      <c r="J3637" s="9" t="s">
        <v>41</v>
      </c>
      <c r="K3637" s="9" t="n">
        <v>48</v>
      </c>
      <c r="L3637" s="9" t="n">
        <v>1</v>
      </c>
      <c r="M3637" s="9" t="n">
        <v>0</v>
      </c>
      <c r="N3637" s="9" t="s">
        <v>42</v>
      </c>
      <c r="O3637" s="9" t="s">
        <v>67</v>
      </c>
      <c r="P3637" s="9" t="n">
        <v>11.3</v>
      </c>
      <c r="Q3637" s="9" t="n">
        <v>45</v>
      </c>
      <c r="R3637" s="9" t="s">
        <v>53</v>
      </c>
      <c r="S3637" s="9"/>
      <c r="T3637" s="9"/>
      <c r="U3637" s="9" t="str">
        <f aca="false">IF(COUNTIF($A$2:$A$5001,A3637)&gt;1,"Duplicate","Unique")</f>
        <v>Unique</v>
      </c>
      <c r="V3637" s="9" t="str">
        <f aca="false">IF(COUNTIFS($B$2:$B$5001,B3637,$H$2:$H$5001,H3637,$J$2:$J$5001,J3637)&gt;1,"Possible Duplicate Booking","Unique")</f>
        <v>Unique</v>
      </c>
      <c r="W3637" s="9" t="str">
        <f aca="false">IF((H3637-G3637)&lt;&gt;K3637,"Mismatch","OK")</f>
        <v>OK</v>
      </c>
      <c r="X3637" s="9" t="str">
        <f aca="false">IF(TEXT(H3637,"dddd")&lt;&gt;I3637,"Mismatch","OK")</f>
        <v>OK</v>
      </c>
      <c r="Y3637" s="9" t="str">
        <f aca="false">IF(AND(N3637="No",O3637&lt;&gt;""),"Unexpected: channel present but no reminder sent",IF(AND(N3637="Yes",O3637=""),"Missing channel for sent reminder","OK"))</f>
        <v>OK</v>
      </c>
    </row>
    <row r="3638" customFormat="false" ht="15" hidden="false" customHeight="false" outlineLevel="0" collapsed="false">
      <c r="A3638" s="7" t="s">
        <v>5272</v>
      </c>
      <c r="B3638" s="7" t="s">
        <v>5273</v>
      </c>
      <c r="C3638" s="7" t="s">
        <v>37</v>
      </c>
      <c r="D3638" s="7" t="n">
        <v>25</v>
      </c>
      <c r="E3638" s="7" t="s">
        <v>48</v>
      </c>
      <c r="F3638" s="7" t="s">
        <v>49</v>
      </c>
      <c r="G3638" s="8" t="n">
        <v>45952</v>
      </c>
      <c r="H3638" s="8" t="n">
        <v>45953</v>
      </c>
      <c r="I3638" s="7" t="s">
        <v>62</v>
      </c>
      <c r="J3638" s="7" t="s">
        <v>63</v>
      </c>
      <c r="K3638" s="7" t="n">
        <v>1</v>
      </c>
      <c r="L3638" s="7" t="n">
        <v>4</v>
      </c>
      <c r="M3638" s="7" t="n">
        <v>0</v>
      </c>
      <c r="N3638" s="7" t="s">
        <v>42</v>
      </c>
      <c r="O3638" s="7" t="s">
        <v>52</v>
      </c>
      <c r="P3638" s="7" t="n">
        <v>16.3</v>
      </c>
      <c r="Q3638" s="7" t="n">
        <v>26</v>
      </c>
      <c r="R3638" s="7" t="s">
        <v>53</v>
      </c>
      <c r="S3638" s="7"/>
      <c r="T3638" s="7"/>
      <c r="U3638" s="7" t="str">
        <f aca="false">IF(COUNTIF($A$2:$A$5001,A3638)&gt;1,"Duplicate","Unique")</f>
        <v>Unique</v>
      </c>
      <c r="V3638" s="7" t="str">
        <f aca="false">IF(COUNTIFS($B$2:$B$5001,B3638,$H$2:$H$5001,H3638,$J$2:$J$5001,J3638)&gt;1,"Possible Duplicate Booking","Unique")</f>
        <v>Unique</v>
      </c>
      <c r="W3638" s="7" t="str">
        <f aca="false">IF((H3638-G3638)&lt;&gt;K3638,"Mismatch","OK")</f>
        <v>OK</v>
      </c>
      <c r="X3638" s="7" t="str">
        <f aca="false">IF(TEXT(H3638,"dddd")&lt;&gt;I3638,"Mismatch","OK")</f>
        <v>OK</v>
      </c>
      <c r="Y3638" s="7" t="str">
        <f aca="false">IF(AND(N3638="No",O3638&lt;&gt;""),"Unexpected: channel present but no reminder sent",IF(AND(N3638="Yes",O3638=""),"Missing channel for sent reminder","OK"))</f>
        <v>OK</v>
      </c>
    </row>
    <row r="3639" customFormat="false" ht="15" hidden="false" customHeight="false" outlineLevel="0" collapsed="false">
      <c r="A3639" s="9" t="s">
        <v>5274</v>
      </c>
      <c r="B3639" s="9" t="s">
        <v>1680</v>
      </c>
      <c r="C3639" s="9" t="s">
        <v>47</v>
      </c>
      <c r="D3639" s="9" t="n">
        <v>25</v>
      </c>
      <c r="E3639" s="9" t="s">
        <v>48</v>
      </c>
      <c r="F3639" s="9" t="s">
        <v>74</v>
      </c>
      <c r="G3639" s="10" t="n">
        <v>45878</v>
      </c>
      <c r="H3639" s="10" t="n">
        <v>45930</v>
      </c>
      <c r="I3639" s="9" t="s">
        <v>40</v>
      </c>
      <c r="J3639" s="9" t="s">
        <v>51</v>
      </c>
      <c r="K3639" s="9" t="n">
        <v>52</v>
      </c>
      <c r="L3639" s="9" t="n">
        <v>3</v>
      </c>
      <c r="M3639" s="9" t="n">
        <v>1</v>
      </c>
      <c r="N3639" s="9" t="s">
        <v>42</v>
      </c>
      <c r="O3639" s="9" t="s">
        <v>52</v>
      </c>
      <c r="P3639" s="9" t="n">
        <v>1.8</v>
      </c>
      <c r="Q3639" s="9" t="n">
        <v>14</v>
      </c>
      <c r="R3639" s="9" t="s">
        <v>44</v>
      </c>
      <c r="S3639" s="9"/>
      <c r="T3639" s="9"/>
      <c r="U3639" s="9" t="str">
        <f aca="false">IF(COUNTIF($A$2:$A$5001,A3639)&gt;1,"Duplicate","Unique")</f>
        <v>Unique</v>
      </c>
      <c r="V3639" s="9" t="str">
        <f aca="false">IF(COUNTIFS($B$2:$B$5001,B3639,$H$2:$H$5001,H3639,$J$2:$J$5001,J3639)&gt;1,"Possible Duplicate Booking","Unique")</f>
        <v>Unique</v>
      </c>
      <c r="W3639" s="9" t="str">
        <f aca="false">IF((H3639-G3639)&lt;&gt;K3639,"Mismatch","OK")</f>
        <v>OK</v>
      </c>
      <c r="X3639" s="9" t="str">
        <f aca="false">IF(TEXT(H3639,"dddd")&lt;&gt;I3639,"Mismatch","OK")</f>
        <v>OK</v>
      </c>
      <c r="Y3639" s="9" t="str">
        <f aca="false">IF(AND(N3639="No",O3639&lt;&gt;""),"Unexpected: channel present but no reminder sent",IF(AND(N3639="Yes",O3639=""),"Missing channel for sent reminder","OK"))</f>
        <v>OK</v>
      </c>
    </row>
    <row r="3640" customFormat="false" ht="15" hidden="false" customHeight="false" outlineLevel="0" collapsed="false">
      <c r="A3640" s="7" t="s">
        <v>5275</v>
      </c>
      <c r="B3640" s="7" t="s">
        <v>2248</v>
      </c>
      <c r="C3640" s="7" t="s">
        <v>37</v>
      </c>
      <c r="D3640" s="7" t="n">
        <v>19</v>
      </c>
      <c r="E3640" s="7" t="s">
        <v>82</v>
      </c>
      <c r="F3640" s="7" t="s">
        <v>39</v>
      </c>
      <c r="G3640" s="8" t="n">
        <v>45657</v>
      </c>
      <c r="H3640" s="8" t="n">
        <v>45703</v>
      </c>
      <c r="I3640" s="7" t="s">
        <v>102</v>
      </c>
      <c r="J3640" s="7" t="s">
        <v>51</v>
      </c>
      <c r="K3640" s="7" t="n">
        <v>46</v>
      </c>
      <c r="L3640" s="7" t="n">
        <v>3</v>
      </c>
      <c r="M3640" s="7" t="n">
        <v>0</v>
      </c>
      <c r="N3640" s="7" t="s">
        <v>42</v>
      </c>
      <c r="O3640" s="7" t="s">
        <v>43</v>
      </c>
      <c r="P3640" s="7" t="n">
        <v>11.3</v>
      </c>
      <c r="Q3640" s="7" t="n">
        <v>15</v>
      </c>
      <c r="R3640" s="7" t="s">
        <v>53</v>
      </c>
      <c r="S3640" s="7"/>
      <c r="T3640" s="7"/>
      <c r="U3640" s="7" t="str">
        <f aca="false">IF(COUNTIF($A$2:$A$5001,A3640)&gt;1,"Duplicate","Unique")</f>
        <v>Unique</v>
      </c>
      <c r="V3640" s="7" t="str">
        <f aca="false">IF(COUNTIFS($B$2:$B$5001,B3640,$H$2:$H$5001,H3640,$J$2:$J$5001,J3640)&gt;1,"Possible Duplicate Booking","Unique")</f>
        <v>Unique</v>
      </c>
      <c r="W3640" s="7" t="str">
        <f aca="false">IF((H3640-G3640)&lt;&gt;K3640,"Mismatch","OK")</f>
        <v>OK</v>
      </c>
      <c r="X3640" s="7" t="str">
        <f aca="false">IF(TEXT(H3640,"dddd")&lt;&gt;I3640,"Mismatch","OK")</f>
        <v>OK</v>
      </c>
      <c r="Y3640" s="7" t="str">
        <f aca="false">IF(AND(N3640="No",O3640&lt;&gt;""),"Unexpected: channel present but no reminder sent",IF(AND(N3640="Yes",O3640=""),"Missing channel for sent reminder","OK"))</f>
        <v>OK</v>
      </c>
    </row>
    <row r="3641" customFormat="false" ht="15" hidden="false" customHeight="false" outlineLevel="0" collapsed="false">
      <c r="A3641" s="9" t="s">
        <v>5276</v>
      </c>
      <c r="B3641" s="9" t="s">
        <v>659</v>
      </c>
      <c r="C3641" s="9" t="s">
        <v>47</v>
      </c>
      <c r="D3641" s="9" t="n">
        <v>79</v>
      </c>
      <c r="E3641" s="9" t="s">
        <v>70</v>
      </c>
      <c r="F3641" s="9" t="s">
        <v>57</v>
      </c>
      <c r="G3641" s="10" t="n">
        <v>45972</v>
      </c>
      <c r="H3641" s="10" t="n">
        <v>45996</v>
      </c>
      <c r="I3641" s="9" t="s">
        <v>50</v>
      </c>
      <c r="J3641" s="9" t="s">
        <v>63</v>
      </c>
      <c r="K3641" s="9" t="n">
        <v>24</v>
      </c>
      <c r="L3641" s="9" t="n">
        <v>1</v>
      </c>
      <c r="M3641" s="9" t="n">
        <v>0</v>
      </c>
      <c r="N3641" s="9" t="s">
        <v>42</v>
      </c>
      <c r="O3641" s="9" t="s">
        <v>43</v>
      </c>
      <c r="P3641" s="9" t="n">
        <v>9.6</v>
      </c>
      <c r="Q3641" s="9" t="n">
        <v>29</v>
      </c>
      <c r="R3641" s="9" t="s">
        <v>53</v>
      </c>
      <c r="S3641" s="9"/>
      <c r="T3641" s="9"/>
      <c r="U3641" s="9" t="str">
        <f aca="false">IF(COUNTIF($A$2:$A$5001,A3641)&gt;1,"Duplicate","Unique")</f>
        <v>Unique</v>
      </c>
      <c r="V3641" s="9" t="str">
        <f aca="false">IF(COUNTIFS($B$2:$B$5001,B3641,$H$2:$H$5001,H3641,$J$2:$J$5001,J3641)&gt;1,"Possible Duplicate Booking","Unique")</f>
        <v>Unique</v>
      </c>
      <c r="W3641" s="9" t="str">
        <f aca="false">IF((H3641-G3641)&lt;&gt;K3641,"Mismatch","OK")</f>
        <v>OK</v>
      </c>
      <c r="X3641" s="9" t="str">
        <f aca="false">IF(TEXT(H3641,"dddd")&lt;&gt;I3641,"Mismatch","OK")</f>
        <v>OK</v>
      </c>
      <c r="Y3641" s="9" t="str">
        <f aca="false">IF(AND(N3641="No",O3641&lt;&gt;""),"Unexpected: channel present but no reminder sent",IF(AND(N3641="Yes",O3641=""),"Missing channel for sent reminder","OK"))</f>
        <v>OK</v>
      </c>
    </row>
    <row r="3642" customFormat="false" ht="15" hidden="false" customHeight="false" outlineLevel="0" collapsed="false">
      <c r="A3642" s="7" t="s">
        <v>5277</v>
      </c>
      <c r="B3642" s="7" t="s">
        <v>1236</v>
      </c>
      <c r="C3642" s="7" t="s">
        <v>37</v>
      </c>
      <c r="D3642" s="7" t="n">
        <v>41</v>
      </c>
      <c r="E3642" s="7" t="s">
        <v>38</v>
      </c>
      <c r="F3642" s="7" t="s">
        <v>57</v>
      </c>
      <c r="G3642" s="8" t="n">
        <v>46016</v>
      </c>
      <c r="H3642" s="8" t="n">
        <v>46051</v>
      </c>
      <c r="I3642" s="7" t="s">
        <v>62</v>
      </c>
      <c r="J3642" s="7" t="s">
        <v>41</v>
      </c>
      <c r="K3642" s="7" t="n">
        <v>35</v>
      </c>
      <c r="L3642" s="7" t="n">
        <v>2</v>
      </c>
      <c r="M3642" s="7" t="n">
        <v>1</v>
      </c>
      <c r="N3642" s="7" t="s">
        <v>42</v>
      </c>
      <c r="O3642" s="7" t="s">
        <v>52</v>
      </c>
      <c r="P3642" s="7"/>
      <c r="Q3642" s="7" t="n">
        <v>5</v>
      </c>
      <c r="R3642" s="7" t="s">
        <v>44</v>
      </c>
      <c r="S3642" s="7"/>
      <c r="T3642" s="7"/>
      <c r="U3642" s="7" t="str">
        <f aca="false">IF(COUNTIF($A$2:$A$5001,A3642)&gt;1,"Duplicate","Unique")</f>
        <v>Unique</v>
      </c>
      <c r="V3642" s="7" t="str">
        <f aca="false">IF(COUNTIFS($B$2:$B$5001,B3642,$H$2:$H$5001,H3642,$J$2:$J$5001,J3642)&gt;1,"Possible Duplicate Booking","Unique")</f>
        <v>Unique</v>
      </c>
      <c r="W3642" s="7" t="str">
        <f aca="false">IF((H3642-G3642)&lt;&gt;K3642,"Mismatch","OK")</f>
        <v>OK</v>
      </c>
      <c r="X3642" s="7" t="str">
        <f aca="false">IF(TEXT(H3642,"dddd")&lt;&gt;I3642,"Mismatch","OK")</f>
        <v>OK</v>
      </c>
      <c r="Y3642" s="7" t="str">
        <f aca="false">IF(AND(N3642="No",O3642&lt;&gt;""),"Unexpected: channel present but no reminder sent",IF(AND(N3642="Yes",O3642=""),"Missing channel for sent reminder","OK"))</f>
        <v>OK</v>
      </c>
    </row>
    <row r="3643" customFormat="false" ht="15" hidden="false" customHeight="false" outlineLevel="0" collapsed="false">
      <c r="A3643" s="9" t="s">
        <v>5278</v>
      </c>
      <c r="B3643" s="9" t="s">
        <v>681</v>
      </c>
      <c r="C3643" s="9" t="s">
        <v>47</v>
      </c>
      <c r="D3643" s="9" t="n">
        <v>59</v>
      </c>
      <c r="E3643" s="9" t="s">
        <v>61</v>
      </c>
      <c r="F3643" s="9" t="s">
        <v>57</v>
      </c>
      <c r="G3643" s="10" t="n">
        <v>46114</v>
      </c>
      <c r="H3643" s="10" t="n">
        <v>46164</v>
      </c>
      <c r="I3643" s="9" t="s">
        <v>50</v>
      </c>
      <c r="J3643" s="9" t="s">
        <v>51</v>
      </c>
      <c r="K3643" s="9" t="n">
        <v>50</v>
      </c>
      <c r="L3643" s="9" t="n">
        <v>6</v>
      </c>
      <c r="M3643" s="9" t="n">
        <v>1</v>
      </c>
      <c r="N3643" s="9" t="s">
        <v>42</v>
      </c>
      <c r="O3643" s="9" t="s">
        <v>67</v>
      </c>
      <c r="P3643" s="9" t="n">
        <v>0.9</v>
      </c>
      <c r="Q3643" s="9" t="n">
        <v>3</v>
      </c>
      <c r="R3643" s="9" t="s">
        <v>44</v>
      </c>
      <c r="S3643" s="9"/>
      <c r="T3643" s="9"/>
      <c r="U3643" s="9" t="str">
        <f aca="false">IF(COUNTIF($A$2:$A$5001,A3643)&gt;1,"Duplicate","Unique")</f>
        <v>Unique</v>
      </c>
      <c r="V3643" s="9" t="str">
        <f aca="false">IF(COUNTIFS($B$2:$B$5001,B3643,$H$2:$H$5001,H3643,$J$2:$J$5001,J3643)&gt;1,"Possible Duplicate Booking","Unique")</f>
        <v>Unique</v>
      </c>
      <c r="W3643" s="9" t="str">
        <f aca="false">IF((H3643-G3643)&lt;&gt;K3643,"Mismatch","OK")</f>
        <v>OK</v>
      </c>
      <c r="X3643" s="9" t="str">
        <f aca="false">IF(TEXT(H3643,"dddd")&lt;&gt;I3643,"Mismatch","OK")</f>
        <v>OK</v>
      </c>
      <c r="Y3643" s="9" t="str">
        <f aca="false">IF(AND(N3643="No",O3643&lt;&gt;""),"Unexpected: channel present but no reminder sent",IF(AND(N3643="Yes",O3643=""),"Missing channel for sent reminder","OK"))</f>
        <v>OK</v>
      </c>
    </row>
    <row r="3644" customFormat="false" ht="15" hidden="false" customHeight="false" outlineLevel="0" collapsed="false">
      <c r="A3644" s="7" t="s">
        <v>5279</v>
      </c>
      <c r="B3644" s="7" t="s">
        <v>336</v>
      </c>
      <c r="C3644" s="7" t="s">
        <v>47</v>
      </c>
      <c r="D3644" s="7" t="n">
        <v>79</v>
      </c>
      <c r="E3644" s="7" t="s">
        <v>70</v>
      </c>
      <c r="F3644" s="7" t="s">
        <v>49</v>
      </c>
      <c r="G3644" s="8" t="n">
        <v>46110</v>
      </c>
      <c r="H3644" s="8" t="n">
        <v>46165</v>
      </c>
      <c r="I3644" s="7" t="s">
        <v>102</v>
      </c>
      <c r="J3644" s="7" t="s">
        <v>51</v>
      </c>
      <c r="K3644" s="7" t="n">
        <v>55</v>
      </c>
      <c r="L3644" s="7" t="n">
        <v>4</v>
      </c>
      <c r="M3644" s="7" t="n">
        <v>1</v>
      </c>
      <c r="N3644" s="7" t="s">
        <v>42</v>
      </c>
      <c r="O3644" s="7" t="s">
        <v>52</v>
      </c>
      <c r="P3644" s="7" t="n">
        <v>25.1</v>
      </c>
      <c r="Q3644" s="7" t="n">
        <v>26</v>
      </c>
      <c r="R3644" s="7" t="s">
        <v>53</v>
      </c>
      <c r="S3644" s="7"/>
      <c r="T3644" s="7"/>
      <c r="U3644" s="7" t="str">
        <f aca="false">IF(COUNTIF($A$2:$A$5001,A3644)&gt;1,"Duplicate","Unique")</f>
        <v>Unique</v>
      </c>
      <c r="V3644" s="7" t="str">
        <f aca="false">IF(COUNTIFS($B$2:$B$5001,B3644,$H$2:$H$5001,H3644,$J$2:$J$5001,J3644)&gt;1,"Possible Duplicate Booking","Unique")</f>
        <v>Unique</v>
      </c>
      <c r="W3644" s="7" t="str">
        <f aca="false">IF((H3644-G3644)&lt;&gt;K3644,"Mismatch","OK")</f>
        <v>OK</v>
      </c>
      <c r="X3644" s="7" t="str">
        <f aca="false">IF(TEXT(H3644,"dddd")&lt;&gt;I3644,"Mismatch","OK")</f>
        <v>OK</v>
      </c>
      <c r="Y3644" s="7" t="str">
        <f aca="false">IF(AND(N3644="No",O3644&lt;&gt;""),"Unexpected: channel present but no reminder sent",IF(AND(N3644="Yes",O3644=""),"Missing channel for sent reminder","OK"))</f>
        <v>OK</v>
      </c>
    </row>
    <row r="3645" customFormat="false" ht="15" hidden="false" customHeight="false" outlineLevel="0" collapsed="false">
      <c r="A3645" s="9" t="s">
        <v>5280</v>
      </c>
      <c r="B3645" s="9" t="s">
        <v>4509</v>
      </c>
      <c r="C3645" s="9" t="s">
        <v>37</v>
      </c>
      <c r="D3645" s="9" t="n">
        <v>76</v>
      </c>
      <c r="E3645" s="9" t="s">
        <v>70</v>
      </c>
      <c r="F3645" s="9" t="s">
        <v>57</v>
      </c>
      <c r="G3645" s="10" t="n">
        <v>45893</v>
      </c>
      <c r="H3645" s="10" t="n">
        <v>45926</v>
      </c>
      <c r="I3645" s="9" t="s">
        <v>50</v>
      </c>
      <c r="J3645" s="9" t="s">
        <v>63</v>
      </c>
      <c r="K3645" s="9" t="n">
        <v>33</v>
      </c>
      <c r="L3645" s="9" t="n">
        <v>4</v>
      </c>
      <c r="M3645" s="9" t="n">
        <v>0</v>
      </c>
      <c r="N3645" s="9" t="s">
        <v>71</v>
      </c>
      <c r="O3645" s="9"/>
      <c r="P3645" s="9" t="n">
        <v>8.2</v>
      </c>
      <c r="Q3645" s="9" t="n">
        <v>34</v>
      </c>
      <c r="R3645" s="9" t="s">
        <v>44</v>
      </c>
      <c r="S3645" s="9"/>
      <c r="T3645" s="9"/>
      <c r="U3645" s="9" t="str">
        <f aca="false">IF(COUNTIF($A$2:$A$5001,A3645)&gt;1,"Duplicate","Unique")</f>
        <v>Unique</v>
      </c>
      <c r="V3645" s="9" t="str">
        <f aca="false">IF(COUNTIFS($B$2:$B$5001,B3645,$H$2:$H$5001,H3645,$J$2:$J$5001,J3645)&gt;1,"Possible Duplicate Booking","Unique")</f>
        <v>Unique</v>
      </c>
      <c r="W3645" s="9" t="str">
        <f aca="false">IF((H3645-G3645)&lt;&gt;K3645,"Mismatch","OK")</f>
        <v>OK</v>
      </c>
      <c r="X3645" s="9" t="str">
        <f aca="false">IF(TEXT(H3645,"dddd")&lt;&gt;I3645,"Mismatch","OK")</f>
        <v>OK</v>
      </c>
      <c r="Y3645" s="9" t="str">
        <f aca="false">IF(AND(N3645="No",O3645&lt;&gt;""),"Unexpected: channel present but no reminder sent",IF(AND(N3645="Yes",O3645=""),"Missing channel for sent reminder","OK"))</f>
        <v>OK</v>
      </c>
    </row>
    <row r="3646" customFormat="false" ht="15" hidden="false" customHeight="false" outlineLevel="0" collapsed="false">
      <c r="A3646" s="7" t="s">
        <v>5281</v>
      </c>
      <c r="B3646" s="7" t="s">
        <v>2353</v>
      </c>
      <c r="C3646" s="7" t="s">
        <v>47</v>
      </c>
      <c r="D3646" s="7" t="n">
        <v>38</v>
      </c>
      <c r="E3646" s="7" t="s">
        <v>38</v>
      </c>
      <c r="F3646" s="7" t="s">
        <v>57</v>
      </c>
      <c r="G3646" s="8" t="n">
        <v>46179</v>
      </c>
      <c r="H3646" s="8" t="n">
        <v>46181</v>
      </c>
      <c r="I3646" s="7" t="s">
        <v>66</v>
      </c>
      <c r="J3646" s="7" t="s">
        <v>41</v>
      </c>
      <c r="K3646" s="7" t="n">
        <v>2</v>
      </c>
      <c r="L3646" s="7" t="n">
        <v>3</v>
      </c>
      <c r="M3646" s="7" t="n">
        <v>0</v>
      </c>
      <c r="N3646" s="7" t="s">
        <v>42</v>
      </c>
      <c r="O3646" s="7" t="s">
        <v>67</v>
      </c>
      <c r="P3646" s="7" t="n">
        <v>8.2</v>
      </c>
      <c r="Q3646" s="7" t="n">
        <v>34</v>
      </c>
      <c r="R3646" s="7" t="s">
        <v>53</v>
      </c>
      <c r="S3646" s="7"/>
      <c r="T3646" s="7"/>
      <c r="U3646" s="7" t="str">
        <f aca="false">IF(COUNTIF($A$2:$A$5001,A3646)&gt;1,"Duplicate","Unique")</f>
        <v>Unique</v>
      </c>
      <c r="V3646" s="7" t="str">
        <f aca="false">IF(COUNTIFS($B$2:$B$5001,B3646,$H$2:$H$5001,H3646,$J$2:$J$5001,J3646)&gt;1,"Possible Duplicate Booking","Unique")</f>
        <v>Unique</v>
      </c>
      <c r="W3646" s="7" t="str">
        <f aca="false">IF((H3646-G3646)&lt;&gt;K3646,"Mismatch","OK")</f>
        <v>OK</v>
      </c>
      <c r="X3646" s="7" t="str">
        <f aca="false">IF(TEXT(H3646,"dddd")&lt;&gt;I3646,"Mismatch","OK")</f>
        <v>OK</v>
      </c>
      <c r="Y3646" s="7" t="str">
        <f aca="false">IF(AND(N3646="No",O3646&lt;&gt;""),"Unexpected: channel present but no reminder sent",IF(AND(N3646="Yes",O3646=""),"Missing channel for sent reminder","OK"))</f>
        <v>OK</v>
      </c>
    </row>
    <row r="3647" customFormat="false" ht="15" hidden="false" customHeight="false" outlineLevel="0" collapsed="false">
      <c r="A3647" s="9" t="s">
        <v>5282</v>
      </c>
      <c r="B3647" s="9" t="s">
        <v>1611</v>
      </c>
      <c r="C3647" s="9" t="s">
        <v>37</v>
      </c>
      <c r="D3647" s="9" t="n">
        <v>48</v>
      </c>
      <c r="E3647" s="9" t="s">
        <v>56</v>
      </c>
      <c r="F3647" s="9" t="s">
        <v>39</v>
      </c>
      <c r="G3647" s="10" t="n">
        <v>45909</v>
      </c>
      <c r="H3647" s="10" t="n">
        <v>45946</v>
      </c>
      <c r="I3647" s="9" t="s">
        <v>62</v>
      </c>
      <c r="J3647" s="9" t="s">
        <v>51</v>
      </c>
      <c r="K3647" s="9" t="n">
        <v>37</v>
      </c>
      <c r="L3647" s="9" t="n">
        <v>3</v>
      </c>
      <c r="M3647" s="9" t="n">
        <v>1</v>
      </c>
      <c r="N3647" s="9" t="s">
        <v>42</v>
      </c>
      <c r="O3647" s="9" t="s">
        <v>43</v>
      </c>
      <c r="P3647" s="9" t="n">
        <v>9.2</v>
      </c>
      <c r="Q3647" s="9" t="n">
        <v>28</v>
      </c>
      <c r="R3647" s="9" t="s">
        <v>53</v>
      </c>
      <c r="S3647" s="9"/>
      <c r="T3647" s="9"/>
      <c r="U3647" s="9" t="str">
        <f aca="false">IF(COUNTIF($A$2:$A$5001,A3647)&gt;1,"Duplicate","Unique")</f>
        <v>Unique</v>
      </c>
      <c r="V3647" s="9" t="str">
        <f aca="false">IF(COUNTIFS($B$2:$B$5001,B3647,$H$2:$H$5001,H3647,$J$2:$J$5001,J3647)&gt;1,"Possible Duplicate Booking","Unique")</f>
        <v>Unique</v>
      </c>
      <c r="W3647" s="9" t="str">
        <f aca="false">IF((H3647-G3647)&lt;&gt;K3647,"Mismatch","OK")</f>
        <v>OK</v>
      </c>
      <c r="X3647" s="9" t="str">
        <f aca="false">IF(TEXT(H3647,"dddd")&lt;&gt;I3647,"Mismatch","OK")</f>
        <v>OK</v>
      </c>
      <c r="Y3647" s="9" t="str">
        <f aca="false">IF(AND(N3647="No",O3647&lt;&gt;""),"Unexpected: channel present but no reminder sent",IF(AND(N3647="Yes",O3647=""),"Missing channel for sent reminder","OK"))</f>
        <v>OK</v>
      </c>
    </row>
    <row r="3648" customFormat="false" ht="15" hidden="false" customHeight="false" outlineLevel="0" collapsed="false">
      <c r="A3648" s="7" t="s">
        <v>5283</v>
      </c>
      <c r="B3648" s="7" t="s">
        <v>3636</v>
      </c>
      <c r="C3648" s="7" t="s">
        <v>37</v>
      </c>
      <c r="D3648" s="7" t="n">
        <v>47</v>
      </c>
      <c r="E3648" s="7" t="s">
        <v>56</v>
      </c>
      <c r="F3648" s="7" t="s">
        <v>57</v>
      </c>
      <c r="G3648" s="8" t="n">
        <v>45967</v>
      </c>
      <c r="H3648" s="8" t="n">
        <v>46008</v>
      </c>
      <c r="I3648" s="7" t="s">
        <v>58</v>
      </c>
      <c r="J3648" s="7" t="s">
        <v>51</v>
      </c>
      <c r="K3648" s="7" t="n">
        <v>41</v>
      </c>
      <c r="L3648" s="7" t="n">
        <v>0</v>
      </c>
      <c r="M3648" s="7" t="n">
        <v>0</v>
      </c>
      <c r="N3648" s="7" t="s">
        <v>42</v>
      </c>
      <c r="O3648" s="7" t="s">
        <v>52</v>
      </c>
      <c r="P3648" s="7" t="n">
        <v>4.8</v>
      </c>
      <c r="Q3648" s="7" t="n">
        <v>37</v>
      </c>
      <c r="R3648" s="7" t="s">
        <v>53</v>
      </c>
      <c r="S3648" s="7"/>
      <c r="T3648" s="7"/>
      <c r="U3648" s="7" t="str">
        <f aca="false">IF(COUNTIF($A$2:$A$5001,A3648)&gt;1,"Duplicate","Unique")</f>
        <v>Unique</v>
      </c>
      <c r="V3648" s="7" t="str">
        <f aca="false">IF(COUNTIFS($B$2:$B$5001,B3648,$H$2:$H$5001,H3648,$J$2:$J$5001,J3648)&gt;1,"Possible Duplicate Booking","Unique")</f>
        <v>Unique</v>
      </c>
      <c r="W3648" s="7" t="str">
        <f aca="false">IF((H3648-G3648)&lt;&gt;K3648,"Mismatch","OK")</f>
        <v>OK</v>
      </c>
      <c r="X3648" s="7" t="str">
        <f aca="false">IF(TEXT(H3648,"dddd")&lt;&gt;I3648,"Mismatch","OK")</f>
        <v>OK</v>
      </c>
      <c r="Y3648" s="7" t="str">
        <f aca="false">IF(AND(N3648="No",O3648&lt;&gt;""),"Unexpected: channel present but no reminder sent",IF(AND(N3648="Yes",O3648=""),"Missing channel for sent reminder","OK"))</f>
        <v>OK</v>
      </c>
    </row>
    <row r="3649" customFormat="false" ht="15" hidden="false" customHeight="false" outlineLevel="0" collapsed="false">
      <c r="A3649" s="9" t="s">
        <v>5284</v>
      </c>
      <c r="B3649" s="9" t="s">
        <v>3716</v>
      </c>
      <c r="C3649" s="9" t="s">
        <v>37</v>
      </c>
      <c r="D3649" s="9" t="n">
        <v>20</v>
      </c>
      <c r="E3649" s="9" t="s">
        <v>82</v>
      </c>
      <c r="F3649" s="9" t="s">
        <v>57</v>
      </c>
      <c r="G3649" s="10" t="n">
        <v>45983</v>
      </c>
      <c r="H3649" s="10" t="n">
        <v>45986</v>
      </c>
      <c r="I3649" s="9" t="s">
        <v>40</v>
      </c>
      <c r="J3649" s="9" t="s">
        <v>51</v>
      </c>
      <c r="K3649" s="9" t="n">
        <v>3</v>
      </c>
      <c r="L3649" s="9" t="n">
        <v>4</v>
      </c>
      <c r="M3649" s="9" t="n">
        <v>0</v>
      </c>
      <c r="N3649" s="9" t="s">
        <v>42</v>
      </c>
      <c r="O3649" s="9" t="s">
        <v>43</v>
      </c>
      <c r="P3649" s="9" t="n">
        <v>22.6</v>
      </c>
      <c r="Q3649" s="9" t="n">
        <v>22</v>
      </c>
      <c r="R3649" s="9" t="s">
        <v>53</v>
      </c>
      <c r="S3649" s="9"/>
      <c r="T3649" s="9"/>
      <c r="U3649" s="9" t="str">
        <f aca="false">IF(COUNTIF($A$2:$A$5001,A3649)&gt;1,"Duplicate","Unique")</f>
        <v>Unique</v>
      </c>
      <c r="V3649" s="9" t="str">
        <f aca="false">IF(COUNTIFS($B$2:$B$5001,B3649,$H$2:$H$5001,H3649,$J$2:$J$5001,J3649)&gt;1,"Possible Duplicate Booking","Unique")</f>
        <v>Unique</v>
      </c>
      <c r="W3649" s="9" t="str">
        <f aca="false">IF((H3649-G3649)&lt;&gt;K3649,"Mismatch","OK")</f>
        <v>OK</v>
      </c>
      <c r="X3649" s="9" t="str">
        <f aca="false">IF(TEXT(H3649,"dddd")&lt;&gt;I3649,"Mismatch","OK")</f>
        <v>OK</v>
      </c>
      <c r="Y3649" s="9" t="str">
        <f aca="false">IF(AND(N3649="No",O3649&lt;&gt;""),"Unexpected: channel present but no reminder sent",IF(AND(N3649="Yes",O3649=""),"Missing channel for sent reminder","OK"))</f>
        <v>OK</v>
      </c>
    </row>
    <row r="3650" customFormat="false" ht="15" hidden="false" customHeight="false" outlineLevel="0" collapsed="false">
      <c r="A3650" s="7" t="s">
        <v>5285</v>
      </c>
      <c r="B3650" s="7" t="s">
        <v>1580</v>
      </c>
      <c r="C3650" s="7" t="s">
        <v>47</v>
      </c>
      <c r="D3650" s="7" t="n">
        <v>66</v>
      </c>
      <c r="E3650" s="7" t="s">
        <v>70</v>
      </c>
      <c r="F3650" s="7" t="s">
        <v>57</v>
      </c>
      <c r="G3650" s="8" t="n">
        <v>46154</v>
      </c>
      <c r="H3650" s="8" t="n">
        <v>46203</v>
      </c>
      <c r="I3650" s="7" t="s">
        <v>40</v>
      </c>
      <c r="J3650" s="7" t="s">
        <v>51</v>
      </c>
      <c r="K3650" s="7" t="n">
        <v>49</v>
      </c>
      <c r="L3650" s="7" t="n">
        <v>1</v>
      </c>
      <c r="M3650" s="7" t="n">
        <v>0</v>
      </c>
      <c r="N3650" s="7" t="s">
        <v>42</v>
      </c>
      <c r="O3650" s="7" t="s">
        <v>43</v>
      </c>
      <c r="P3650" s="7" t="n">
        <v>1.4</v>
      </c>
      <c r="Q3650" s="7" t="n">
        <v>20</v>
      </c>
      <c r="R3650" s="7" t="s">
        <v>53</v>
      </c>
      <c r="S3650" s="7"/>
      <c r="T3650" s="7"/>
      <c r="U3650" s="7" t="str">
        <f aca="false">IF(COUNTIF($A$2:$A$5001,A3650)&gt;1,"Duplicate","Unique")</f>
        <v>Unique</v>
      </c>
      <c r="V3650" s="7" t="str">
        <f aca="false">IF(COUNTIFS($B$2:$B$5001,B3650,$H$2:$H$5001,H3650,$J$2:$J$5001,J3650)&gt;1,"Possible Duplicate Booking","Unique")</f>
        <v>Unique</v>
      </c>
      <c r="W3650" s="7" t="str">
        <f aca="false">IF((H3650-G3650)&lt;&gt;K3650,"Mismatch","OK")</f>
        <v>OK</v>
      </c>
      <c r="X3650" s="7" t="str">
        <f aca="false">IF(TEXT(H3650,"dddd")&lt;&gt;I3650,"Mismatch","OK")</f>
        <v>OK</v>
      </c>
      <c r="Y3650" s="7" t="str">
        <f aca="false">IF(AND(N3650="No",O3650&lt;&gt;""),"Unexpected: channel present but no reminder sent",IF(AND(N3650="Yes",O3650=""),"Missing channel for sent reminder","OK"))</f>
        <v>OK</v>
      </c>
    </row>
    <row r="3651" customFormat="false" ht="15" hidden="false" customHeight="false" outlineLevel="0" collapsed="false">
      <c r="A3651" s="9" t="s">
        <v>5286</v>
      </c>
      <c r="B3651" s="9" t="s">
        <v>2591</v>
      </c>
      <c r="C3651" s="9" t="s">
        <v>37</v>
      </c>
      <c r="D3651" s="9" t="n">
        <v>54</v>
      </c>
      <c r="E3651" s="9" t="s">
        <v>56</v>
      </c>
      <c r="F3651" s="9" t="s">
        <v>39</v>
      </c>
      <c r="G3651" s="10" t="n">
        <v>46048</v>
      </c>
      <c r="H3651" s="10" t="n">
        <v>46060</v>
      </c>
      <c r="I3651" s="9" t="s">
        <v>102</v>
      </c>
      <c r="J3651" s="9" t="s">
        <v>51</v>
      </c>
      <c r="K3651" s="9" t="n">
        <v>12</v>
      </c>
      <c r="L3651" s="9" t="n">
        <v>7</v>
      </c>
      <c r="M3651" s="9" t="n">
        <v>3</v>
      </c>
      <c r="N3651" s="9" t="s">
        <v>71</v>
      </c>
      <c r="O3651" s="9"/>
      <c r="P3651" s="9" t="n">
        <v>6.3</v>
      </c>
      <c r="Q3651" s="9" t="n">
        <v>23</v>
      </c>
      <c r="R3651" s="9" t="s">
        <v>53</v>
      </c>
      <c r="S3651" s="9"/>
      <c r="T3651" s="9"/>
      <c r="U3651" s="9" t="str">
        <f aca="false">IF(COUNTIF($A$2:$A$5001,A3651)&gt;1,"Duplicate","Unique")</f>
        <v>Unique</v>
      </c>
      <c r="V3651" s="9" t="str">
        <f aca="false">IF(COUNTIFS($B$2:$B$5001,B3651,$H$2:$H$5001,H3651,$J$2:$J$5001,J3651)&gt;1,"Possible Duplicate Booking","Unique")</f>
        <v>Unique</v>
      </c>
      <c r="W3651" s="9" t="str">
        <f aca="false">IF((H3651-G3651)&lt;&gt;K3651,"Mismatch","OK")</f>
        <v>OK</v>
      </c>
      <c r="X3651" s="9" t="str">
        <f aca="false">IF(TEXT(H3651,"dddd")&lt;&gt;I3651,"Mismatch","OK")</f>
        <v>OK</v>
      </c>
      <c r="Y3651" s="9" t="str">
        <f aca="false">IF(AND(N3651="No",O3651&lt;&gt;""),"Unexpected: channel present but no reminder sent",IF(AND(N3651="Yes",O3651=""),"Missing channel for sent reminder","OK"))</f>
        <v>OK</v>
      </c>
    </row>
    <row r="3652" customFormat="false" ht="15" hidden="false" customHeight="false" outlineLevel="0" collapsed="false">
      <c r="A3652" s="7" t="s">
        <v>5287</v>
      </c>
      <c r="B3652" s="7" t="s">
        <v>2823</v>
      </c>
      <c r="C3652" s="7" t="s">
        <v>47</v>
      </c>
      <c r="D3652" s="7" t="n">
        <v>41</v>
      </c>
      <c r="E3652" s="7" t="s">
        <v>38</v>
      </c>
      <c r="F3652" s="7" t="s">
        <v>57</v>
      </c>
      <c r="G3652" s="8" t="n">
        <v>45669</v>
      </c>
      <c r="H3652" s="8" t="n">
        <v>45723</v>
      </c>
      <c r="I3652" s="7" t="s">
        <v>50</v>
      </c>
      <c r="J3652" s="7" t="s">
        <v>51</v>
      </c>
      <c r="K3652" s="7" t="n">
        <v>54</v>
      </c>
      <c r="L3652" s="7" t="n">
        <v>7</v>
      </c>
      <c r="M3652" s="7" t="n">
        <v>0</v>
      </c>
      <c r="N3652" s="7" t="s">
        <v>42</v>
      </c>
      <c r="O3652" s="7" t="s">
        <v>52</v>
      </c>
      <c r="P3652" s="7" t="n">
        <v>6.5</v>
      </c>
      <c r="Q3652" s="7" t="n">
        <v>27</v>
      </c>
      <c r="R3652" s="7" t="s">
        <v>44</v>
      </c>
      <c r="S3652" s="7"/>
      <c r="T3652" s="7"/>
      <c r="U3652" s="7" t="str">
        <f aca="false">IF(COUNTIF($A$2:$A$5001,A3652)&gt;1,"Duplicate","Unique")</f>
        <v>Unique</v>
      </c>
      <c r="V3652" s="7" t="str">
        <f aca="false">IF(COUNTIFS($B$2:$B$5001,B3652,$H$2:$H$5001,H3652,$J$2:$J$5001,J3652)&gt;1,"Possible Duplicate Booking","Unique")</f>
        <v>Unique</v>
      </c>
      <c r="W3652" s="7" t="str">
        <f aca="false">IF((H3652-G3652)&lt;&gt;K3652,"Mismatch","OK")</f>
        <v>OK</v>
      </c>
      <c r="X3652" s="7" t="str">
        <f aca="false">IF(TEXT(H3652,"dddd")&lt;&gt;I3652,"Mismatch","OK")</f>
        <v>OK</v>
      </c>
      <c r="Y3652" s="7" t="str">
        <f aca="false">IF(AND(N3652="No",O3652&lt;&gt;""),"Unexpected: channel present but no reminder sent",IF(AND(N3652="Yes",O3652=""),"Missing channel for sent reminder","OK"))</f>
        <v>OK</v>
      </c>
    </row>
    <row r="3653" customFormat="false" ht="15" hidden="false" customHeight="false" outlineLevel="0" collapsed="false">
      <c r="A3653" s="9" t="s">
        <v>5288</v>
      </c>
      <c r="B3653" s="9" t="s">
        <v>3287</v>
      </c>
      <c r="C3653" s="9" t="s">
        <v>47</v>
      </c>
      <c r="D3653" s="9" t="n">
        <v>53</v>
      </c>
      <c r="E3653" s="9" t="s">
        <v>56</v>
      </c>
      <c r="F3653" s="9" t="s">
        <v>57</v>
      </c>
      <c r="G3653" s="10" t="n">
        <v>45664</v>
      </c>
      <c r="H3653" s="10" t="n">
        <v>45697</v>
      </c>
      <c r="I3653" s="9" t="s">
        <v>75</v>
      </c>
      <c r="J3653" s="9" t="s">
        <v>51</v>
      </c>
      <c r="K3653" s="9" t="n">
        <v>33</v>
      </c>
      <c r="L3653" s="9" t="n">
        <v>4</v>
      </c>
      <c r="M3653" s="9" t="n">
        <v>0</v>
      </c>
      <c r="N3653" s="9" t="s">
        <v>42</v>
      </c>
      <c r="O3653" s="9" t="s">
        <v>52</v>
      </c>
      <c r="P3653" s="9" t="n">
        <v>4.9</v>
      </c>
      <c r="Q3653" s="9" t="n">
        <v>67</v>
      </c>
      <c r="R3653" s="9" t="s">
        <v>44</v>
      </c>
      <c r="S3653" s="9"/>
      <c r="T3653" s="9"/>
      <c r="U3653" s="9" t="str">
        <f aca="false">IF(COUNTIF($A$2:$A$5001,A3653)&gt;1,"Duplicate","Unique")</f>
        <v>Unique</v>
      </c>
      <c r="V3653" s="9" t="str">
        <f aca="false">IF(COUNTIFS($B$2:$B$5001,B3653,$H$2:$H$5001,H3653,$J$2:$J$5001,J3653)&gt;1,"Possible Duplicate Booking","Unique")</f>
        <v>Unique</v>
      </c>
      <c r="W3653" s="9" t="str">
        <f aca="false">IF((H3653-G3653)&lt;&gt;K3653,"Mismatch","OK")</f>
        <v>OK</v>
      </c>
      <c r="X3653" s="9" t="str">
        <f aca="false">IF(TEXT(H3653,"dddd")&lt;&gt;I3653,"Mismatch","OK")</f>
        <v>OK</v>
      </c>
      <c r="Y3653" s="9" t="str">
        <f aca="false">IF(AND(N3653="No",O3653&lt;&gt;""),"Unexpected: channel present but no reminder sent",IF(AND(N3653="Yes",O3653=""),"Missing channel for sent reminder","OK"))</f>
        <v>OK</v>
      </c>
    </row>
    <row r="3654" customFormat="false" ht="15" hidden="false" customHeight="false" outlineLevel="0" collapsed="false">
      <c r="A3654" s="7" t="s">
        <v>5289</v>
      </c>
      <c r="B3654" s="7" t="s">
        <v>3320</v>
      </c>
      <c r="C3654" s="7" t="s">
        <v>47</v>
      </c>
      <c r="D3654" s="7" t="n">
        <v>64</v>
      </c>
      <c r="E3654" s="7" t="s">
        <v>61</v>
      </c>
      <c r="F3654" s="7" t="s">
        <v>57</v>
      </c>
      <c r="G3654" s="8" t="n">
        <v>45862</v>
      </c>
      <c r="H3654" s="8" t="n">
        <v>45881</v>
      </c>
      <c r="I3654" s="7" t="s">
        <v>40</v>
      </c>
      <c r="J3654" s="7" t="s">
        <v>51</v>
      </c>
      <c r="K3654" s="7" t="n">
        <v>19</v>
      </c>
      <c r="L3654" s="7" t="n">
        <v>1</v>
      </c>
      <c r="M3654" s="7" t="n">
        <v>0</v>
      </c>
      <c r="N3654" s="7" t="s">
        <v>71</v>
      </c>
      <c r="O3654" s="7"/>
      <c r="P3654" s="7" t="n">
        <v>7.5</v>
      </c>
      <c r="Q3654" s="7" t="n">
        <v>22</v>
      </c>
      <c r="R3654" s="7" t="s">
        <v>53</v>
      </c>
      <c r="S3654" s="7"/>
      <c r="T3654" s="7"/>
      <c r="U3654" s="7" t="str">
        <f aca="false">IF(COUNTIF($A$2:$A$5001,A3654)&gt;1,"Duplicate","Unique")</f>
        <v>Unique</v>
      </c>
      <c r="V3654" s="7" t="str">
        <f aca="false">IF(COUNTIFS($B$2:$B$5001,B3654,$H$2:$H$5001,H3654,$J$2:$J$5001,J3654)&gt;1,"Possible Duplicate Booking","Unique")</f>
        <v>Unique</v>
      </c>
      <c r="W3654" s="7" t="str">
        <f aca="false">IF((H3654-G3654)&lt;&gt;K3654,"Mismatch","OK")</f>
        <v>OK</v>
      </c>
      <c r="X3654" s="7" t="str">
        <f aca="false">IF(TEXT(H3654,"dddd")&lt;&gt;I3654,"Mismatch","OK")</f>
        <v>OK</v>
      </c>
      <c r="Y3654" s="7" t="str">
        <f aca="false">IF(AND(N3654="No",O3654&lt;&gt;""),"Unexpected: channel present but no reminder sent",IF(AND(N3654="Yes",O3654=""),"Missing channel for sent reminder","OK"))</f>
        <v>OK</v>
      </c>
    </row>
    <row r="3655" customFormat="false" ht="15" hidden="false" customHeight="false" outlineLevel="0" collapsed="false">
      <c r="A3655" s="9" t="s">
        <v>5290</v>
      </c>
      <c r="B3655" s="9" t="s">
        <v>5291</v>
      </c>
      <c r="C3655" s="9" t="s">
        <v>37</v>
      </c>
      <c r="D3655" s="9" t="n">
        <v>18</v>
      </c>
      <c r="E3655" s="9" t="s">
        <v>82</v>
      </c>
      <c r="F3655" s="9" t="s">
        <v>49</v>
      </c>
      <c r="G3655" s="10" t="n">
        <v>45936</v>
      </c>
      <c r="H3655" s="10" t="n">
        <v>45939</v>
      </c>
      <c r="I3655" s="9" t="s">
        <v>62</v>
      </c>
      <c r="J3655" s="9" t="s">
        <v>41</v>
      </c>
      <c r="K3655" s="9" t="n">
        <v>3</v>
      </c>
      <c r="L3655" s="9" t="n">
        <v>7</v>
      </c>
      <c r="M3655" s="9" t="n">
        <v>1</v>
      </c>
      <c r="N3655" s="9" t="s">
        <v>42</v>
      </c>
      <c r="O3655" s="9" t="s">
        <v>52</v>
      </c>
      <c r="P3655" s="9" t="n">
        <v>6.3</v>
      </c>
      <c r="Q3655" s="9" t="n">
        <v>26</v>
      </c>
      <c r="R3655" s="9" t="s">
        <v>44</v>
      </c>
      <c r="S3655" s="9"/>
      <c r="T3655" s="9"/>
      <c r="U3655" s="9" t="str">
        <f aca="false">IF(COUNTIF($A$2:$A$5001,A3655)&gt;1,"Duplicate","Unique")</f>
        <v>Unique</v>
      </c>
      <c r="V3655" s="9" t="str">
        <f aca="false">IF(COUNTIFS($B$2:$B$5001,B3655,$H$2:$H$5001,H3655,$J$2:$J$5001,J3655)&gt;1,"Possible Duplicate Booking","Unique")</f>
        <v>Unique</v>
      </c>
      <c r="W3655" s="9" t="str">
        <f aca="false">IF((H3655-G3655)&lt;&gt;K3655,"Mismatch","OK")</f>
        <v>OK</v>
      </c>
      <c r="X3655" s="9" t="str">
        <f aca="false">IF(TEXT(H3655,"dddd")&lt;&gt;I3655,"Mismatch","OK")</f>
        <v>OK</v>
      </c>
      <c r="Y3655" s="9" t="str">
        <f aca="false">IF(AND(N3655="No",O3655&lt;&gt;""),"Unexpected: channel present but no reminder sent",IF(AND(N3655="Yes",O3655=""),"Missing channel for sent reminder","OK"))</f>
        <v>OK</v>
      </c>
    </row>
    <row r="3656" customFormat="false" ht="15" hidden="false" customHeight="false" outlineLevel="0" collapsed="false">
      <c r="A3656" s="7" t="s">
        <v>5292</v>
      </c>
      <c r="B3656" s="7" t="s">
        <v>3955</v>
      </c>
      <c r="C3656" s="7" t="s">
        <v>47</v>
      </c>
      <c r="D3656" s="7" t="n">
        <v>58</v>
      </c>
      <c r="E3656" s="7" t="s">
        <v>61</v>
      </c>
      <c r="F3656" s="7" t="s">
        <v>57</v>
      </c>
      <c r="G3656" s="8" t="n">
        <v>46022</v>
      </c>
      <c r="H3656" s="8" t="n">
        <v>46023</v>
      </c>
      <c r="I3656" s="7" t="s">
        <v>62</v>
      </c>
      <c r="J3656" s="7" t="s">
        <v>41</v>
      </c>
      <c r="K3656" s="7" t="n">
        <v>1</v>
      </c>
      <c r="L3656" s="7" t="n">
        <v>0</v>
      </c>
      <c r="M3656" s="7" t="n">
        <v>0</v>
      </c>
      <c r="N3656" s="7" t="s">
        <v>42</v>
      </c>
      <c r="O3656" s="7" t="s">
        <v>52</v>
      </c>
      <c r="P3656" s="7" t="n">
        <v>4.2</v>
      </c>
      <c r="Q3656" s="7" t="n">
        <v>43</v>
      </c>
      <c r="R3656" s="7" t="s">
        <v>53</v>
      </c>
      <c r="S3656" s="7"/>
      <c r="T3656" s="7"/>
      <c r="U3656" s="7" t="str">
        <f aca="false">IF(COUNTIF($A$2:$A$5001,A3656)&gt;1,"Duplicate","Unique")</f>
        <v>Unique</v>
      </c>
      <c r="V3656" s="7" t="str">
        <f aca="false">IF(COUNTIFS($B$2:$B$5001,B3656,$H$2:$H$5001,H3656,$J$2:$J$5001,J3656)&gt;1,"Possible Duplicate Booking","Unique")</f>
        <v>Unique</v>
      </c>
      <c r="W3656" s="7" t="str">
        <f aca="false">IF((H3656-G3656)&lt;&gt;K3656,"Mismatch","OK")</f>
        <v>OK</v>
      </c>
      <c r="X3656" s="7" t="str">
        <f aca="false">IF(TEXT(H3656,"dddd")&lt;&gt;I3656,"Mismatch","OK")</f>
        <v>OK</v>
      </c>
      <c r="Y3656" s="7" t="str">
        <f aca="false">IF(AND(N3656="No",O3656&lt;&gt;""),"Unexpected: channel present but no reminder sent",IF(AND(N3656="Yes",O3656=""),"Missing channel for sent reminder","OK"))</f>
        <v>OK</v>
      </c>
    </row>
    <row r="3657" customFormat="false" ht="15" hidden="false" customHeight="false" outlineLevel="0" collapsed="false">
      <c r="A3657" s="9" t="s">
        <v>5293</v>
      </c>
      <c r="B3657" s="9" t="s">
        <v>2794</v>
      </c>
      <c r="C3657" s="9" t="s">
        <v>37</v>
      </c>
      <c r="D3657" s="9" t="n">
        <v>72</v>
      </c>
      <c r="E3657" s="9" t="s">
        <v>70</v>
      </c>
      <c r="F3657" s="9" t="s">
        <v>57</v>
      </c>
      <c r="G3657" s="10" t="n">
        <v>45875</v>
      </c>
      <c r="H3657" s="10" t="n">
        <v>45920</v>
      </c>
      <c r="I3657" s="9" t="s">
        <v>102</v>
      </c>
      <c r="J3657" s="9" t="s">
        <v>41</v>
      </c>
      <c r="K3657" s="9" t="n">
        <v>45</v>
      </c>
      <c r="L3657" s="9" t="n">
        <v>2</v>
      </c>
      <c r="M3657" s="9" t="n">
        <v>0</v>
      </c>
      <c r="N3657" s="9" t="s">
        <v>42</v>
      </c>
      <c r="O3657" s="9" t="s">
        <v>43</v>
      </c>
      <c r="P3657" s="9" t="n">
        <v>8.5</v>
      </c>
      <c r="Q3657" s="9" t="n">
        <v>30</v>
      </c>
      <c r="R3657" s="9" t="s">
        <v>53</v>
      </c>
      <c r="S3657" s="9"/>
      <c r="T3657" s="9"/>
      <c r="U3657" s="9" t="str">
        <f aca="false">IF(COUNTIF($A$2:$A$5001,A3657)&gt;1,"Duplicate","Unique")</f>
        <v>Unique</v>
      </c>
      <c r="V3657" s="9" t="str">
        <f aca="false">IF(COUNTIFS($B$2:$B$5001,B3657,$H$2:$H$5001,H3657,$J$2:$J$5001,J3657)&gt;1,"Possible Duplicate Booking","Unique")</f>
        <v>Unique</v>
      </c>
      <c r="W3657" s="9" t="str">
        <f aca="false">IF((H3657-G3657)&lt;&gt;K3657,"Mismatch","OK")</f>
        <v>OK</v>
      </c>
      <c r="X3657" s="9" t="str">
        <f aca="false">IF(TEXT(H3657,"dddd")&lt;&gt;I3657,"Mismatch","OK")</f>
        <v>OK</v>
      </c>
      <c r="Y3657" s="9" t="str">
        <f aca="false">IF(AND(N3657="No",O3657&lt;&gt;""),"Unexpected: channel present but no reminder sent",IF(AND(N3657="Yes",O3657=""),"Missing channel for sent reminder","OK"))</f>
        <v>OK</v>
      </c>
    </row>
    <row r="3658" customFormat="false" ht="15" hidden="false" customHeight="false" outlineLevel="0" collapsed="false">
      <c r="A3658" s="7" t="s">
        <v>5294</v>
      </c>
      <c r="B3658" s="7" t="s">
        <v>894</v>
      </c>
      <c r="C3658" s="7" t="s">
        <v>37</v>
      </c>
      <c r="D3658" s="7" t="n">
        <v>63</v>
      </c>
      <c r="E3658" s="7" t="s">
        <v>61</v>
      </c>
      <c r="F3658" s="7" t="s">
        <v>74</v>
      </c>
      <c r="G3658" s="8" t="n">
        <v>45915</v>
      </c>
      <c r="H3658" s="8" t="n">
        <v>45938</v>
      </c>
      <c r="I3658" s="7" t="s">
        <v>58</v>
      </c>
      <c r="J3658" s="7" t="s">
        <v>51</v>
      </c>
      <c r="K3658" s="7" t="n">
        <v>23</v>
      </c>
      <c r="L3658" s="7" t="n">
        <v>1</v>
      </c>
      <c r="M3658" s="7" t="n">
        <v>0</v>
      </c>
      <c r="N3658" s="7" t="s">
        <v>42</v>
      </c>
      <c r="O3658" s="7" t="s">
        <v>52</v>
      </c>
      <c r="P3658" s="7" t="n">
        <v>9.7</v>
      </c>
      <c r="Q3658" s="7" t="n">
        <v>6</v>
      </c>
      <c r="R3658" s="7" t="s">
        <v>44</v>
      </c>
      <c r="S3658" s="7"/>
      <c r="T3658" s="7"/>
      <c r="U3658" s="7" t="str">
        <f aca="false">IF(COUNTIF($A$2:$A$5001,A3658)&gt;1,"Duplicate","Unique")</f>
        <v>Unique</v>
      </c>
      <c r="V3658" s="7" t="str">
        <f aca="false">IF(COUNTIFS($B$2:$B$5001,B3658,$H$2:$H$5001,H3658,$J$2:$J$5001,J3658)&gt;1,"Possible Duplicate Booking","Unique")</f>
        <v>Unique</v>
      </c>
      <c r="W3658" s="7" t="str">
        <f aca="false">IF((H3658-G3658)&lt;&gt;K3658,"Mismatch","OK")</f>
        <v>OK</v>
      </c>
      <c r="X3658" s="7" t="str">
        <f aca="false">IF(TEXT(H3658,"dddd")&lt;&gt;I3658,"Mismatch","OK")</f>
        <v>OK</v>
      </c>
      <c r="Y3658" s="7" t="str">
        <f aca="false">IF(AND(N3658="No",O3658&lt;&gt;""),"Unexpected: channel present but no reminder sent",IF(AND(N3658="Yes",O3658=""),"Missing channel for sent reminder","OK"))</f>
        <v>OK</v>
      </c>
    </row>
    <row r="3659" customFormat="false" ht="15" hidden="false" customHeight="false" outlineLevel="0" collapsed="false">
      <c r="A3659" s="9" t="s">
        <v>5295</v>
      </c>
      <c r="B3659" s="9" t="s">
        <v>1923</v>
      </c>
      <c r="C3659" s="9" t="s">
        <v>47</v>
      </c>
      <c r="D3659" s="9" t="n">
        <v>57</v>
      </c>
      <c r="E3659" s="9" t="s">
        <v>61</v>
      </c>
      <c r="F3659" s="9" t="s">
        <v>49</v>
      </c>
      <c r="G3659" s="10" t="n">
        <v>46110</v>
      </c>
      <c r="H3659" s="10" t="n">
        <v>46161</v>
      </c>
      <c r="I3659" s="9" t="s">
        <v>40</v>
      </c>
      <c r="J3659" s="9" t="s">
        <v>63</v>
      </c>
      <c r="K3659" s="9" t="n">
        <v>51</v>
      </c>
      <c r="L3659" s="9" t="n">
        <v>1</v>
      </c>
      <c r="M3659" s="9" t="n">
        <v>1</v>
      </c>
      <c r="N3659" s="9" t="s">
        <v>42</v>
      </c>
      <c r="O3659" s="9" t="s">
        <v>43</v>
      </c>
      <c r="P3659" s="9" t="n">
        <v>32.8</v>
      </c>
      <c r="Q3659" s="9" t="n">
        <v>43</v>
      </c>
      <c r="R3659" s="9" t="s">
        <v>44</v>
      </c>
      <c r="S3659" s="9"/>
      <c r="T3659" s="9"/>
      <c r="U3659" s="9" t="str">
        <f aca="false">IF(COUNTIF($A$2:$A$5001,A3659)&gt;1,"Duplicate","Unique")</f>
        <v>Unique</v>
      </c>
      <c r="V3659" s="9" t="str">
        <f aca="false">IF(COUNTIFS($B$2:$B$5001,B3659,$H$2:$H$5001,H3659,$J$2:$J$5001,J3659)&gt;1,"Possible Duplicate Booking","Unique")</f>
        <v>Unique</v>
      </c>
      <c r="W3659" s="9" t="str">
        <f aca="false">IF((H3659-G3659)&lt;&gt;K3659,"Mismatch","OK")</f>
        <v>OK</v>
      </c>
      <c r="X3659" s="9" t="str">
        <f aca="false">IF(TEXT(H3659,"dddd")&lt;&gt;I3659,"Mismatch","OK")</f>
        <v>OK</v>
      </c>
      <c r="Y3659" s="9" t="str">
        <f aca="false">IF(AND(N3659="No",O3659&lt;&gt;""),"Unexpected: channel present but no reminder sent",IF(AND(N3659="Yes",O3659=""),"Missing channel for sent reminder","OK"))</f>
        <v>OK</v>
      </c>
    </row>
    <row r="3660" customFormat="false" ht="15" hidden="false" customHeight="false" outlineLevel="0" collapsed="false">
      <c r="A3660" s="7" t="s">
        <v>5296</v>
      </c>
      <c r="B3660" s="7" t="s">
        <v>636</v>
      </c>
      <c r="C3660" s="7" t="s">
        <v>236</v>
      </c>
      <c r="D3660" s="7" t="n">
        <v>23</v>
      </c>
      <c r="E3660" s="7" t="s">
        <v>82</v>
      </c>
      <c r="F3660" s="7" t="s">
        <v>57</v>
      </c>
      <c r="G3660" s="8" t="n">
        <v>45826</v>
      </c>
      <c r="H3660" s="8" t="n">
        <v>45840</v>
      </c>
      <c r="I3660" s="7" t="s">
        <v>58</v>
      </c>
      <c r="J3660" s="7" t="s">
        <v>63</v>
      </c>
      <c r="K3660" s="7" t="n">
        <v>14</v>
      </c>
      <c r="L3660" s="7" t="n">
        <v>3</v>
      </c>
      <c r="M3660" s="7" t="n">
        <v>0</v>
      </c>
      <c r="N3660" s="7" t="s">
        <v>71</v>
      </c>
      <c r="O3660" s="7"/>
      <c r="P3660" s="7" t="n">
        <v>4.1</v>
      </c>
      <c r="Q3660" s="7" t="n">
        <v>28</v>
      </c>
      <c r="R3660" s="7" t="s">
        <v>44</v>
      </c>
      <c r="S3660" s="7"/>
      <c r="T3660" s="7"/>
      <c r="U3660" s="7" t="str">
        <f aca="false">IF(COUNTIF($A$2:$A$5001,A3660)&gt;1,"Duplicate","Unique")</f>
        <v>Unique</v>
      </c>
      <c r="V3660" s="7" t="str">
        <f aca="false">IF(COUNTIFS($B$2:$B$5001,B3660,$H$2:$H$5001,H3660,$J$2:$J$5001,J3660)&gt;1,"Possible Duplicate Booking","Unique")</f>
        <v>Unique</v>
      </c>
      <c r="W3660" s="7" t="str">
        <f aca="false">IF((H3660-G3660)&lt;&gt;K3660,"Mismatch","OK")</f>
        <v>OK</v>
      </c>
      <c r="X3660" s="7" t="str">
        <f aca="false">IF(TEXT(H3660,"dddd")&lt;&gt;I3660,"Mismatch","OK")</f>
        <v>OK</v>
      </c>
      <c r="Y3660" s="7" t="str">
        <f aca="false">IF(AND(N3660="No",O3660&lt;&gt;""),"Unexpected: channel present but no reminder sent",IF(AND(N3660="Yes",O3660=""),"Missing channel for sent reminder","OK"))</f>
        <v>OK</v>
      </c>
    </row>
    <row r="3661" customFormat="false" ht="15" hidden="false" customHeight="false" outlineLevel="0" collapsed="false">
      <c r="A3661" s="9" t="s">
        <v>5297</v>
      </c>
      <c r="B3661" s="9" t="s">
        <v>2297</v>
      </c>
      <c r="C3661" s="9" t="s">
        <v>37</v>
      </c>
      <c r="D3661" s="9" t="n">
        <v>64</v>
      </c>
      <c r="E3661" s="9" t="s">
        <v>61</v>
      </c>
      <c r="F3661" s="9" t="s">
        <v>57</v>
      </c>
      <c r="G3661" s="10" t="n">
        <v>45871</v>
      </c>
      <c r="H3661" s="10" t="n">
        <v>45927</v>
      </c>
      <c r="I3661" s="9" t="s">
        <v>102</v>
      </c>
      <c r="J3661" s="9" t="s">
        <v>63</v>
      </c>
      <c r="K3661" s="9" t="n">
        <v>56</v>
      </c>
      <c r="L3661" s="9" t="n">
        <v>5</v>
      </c>
      <c r="M3661" s="9" t="n">
        <v>1</v>
      </c>
      <c r="N3661" s="9" t="s">
        <v>42</v>
      </c>
      <c r="O3661" s="9" t="s">
        <v>52</v>
      </c>
      <c r="P3661" s="9" t="n">
        <v>11.3</v>
      </c>
      <c r="Q3661" s="9" t="n">
        <v>2</v>
      </c>
      <c r="R3661" s="9" t="s">
        <v>44</v>
      </c>
      <c r="S3661" s="9"/>
      <c r="T3661" s="9"/>
      <c r="U3661" s="9" t="str">
        <f aca="false">IF(COUNTIF($A$2:$A$5001,A3661)&gt;1,"Duplicate","Unique")</f>
        <v>Unique</v>
      </c>
      <c r="V3661" s="9" t="str">
        <f aca="false">IF(COUNTIFS($B$2:$B$5001,B3661,$H$2:$H$5001,H3661,$J$2:$J$5001,J3661)&gt;1,"Possible Duplicate Booking","Unique")</f>
        <v>Unique</v>
      </c>
      <c r="W3661" s="9" t="str">
        <f aca="false">IF((H3661-G3661)&lt;&gt;K3661,"Mismatch","OK")</f>
        <v>OK</v>
      </c>
      <c r="X3661" s="9" t="str">
        <f aca="false">IF(TEXT(H3661,"dddd")&lt;&gt;I3661,"Mismatch","OK")</f>
        <v>OK</v>
      </c>
      <c r="Y3661" s="9" t="str">
        <f aca="false">IF(AND(N3661="No",O3661&lt;&gt;""),"Unexpected: channel present but no reminder sent",IF(AND(N3661="Yes",O3661=""),"Missing channel for sent reminder","OK"))</f>
        <v>OK</v>
      </c>
    </row>
    <row r="3662" customFormat="false" ht="15" hidden="false" customHeight="false" outlineLevel="0" collapsed="false">
      <c r="A3662" s="7" t="s">
        <v>5298</v>
      </c>
      <c r="B3662" s="7" t="s">
        <v>2869</v>
      </c>
      <c r="C3662" s="7" t="s">
        <v>37</v>
      </c>
      <c r="D3662" s="7" t="n">
        <v>65</v>
      </c>
      <c r="E3662" s="7" t="s">
        <v>70</v>
      </c>
      <c r="F3662" s="7" t="s">
        <v>57</v>
      </c>
      <c r="G3662" s="8" t="n">
        <v>45905</v>
      </c>
      <c r="H3662" s="8" t="n">
        <v>45962</v>
      </c>
      <c r="I3662" s="7" t="s">
        <v>102</v>
      </c>
      <c r="J3662" s="7" t="s">
        <v>51</v>
      </c>
      <c r="K3662" s="7" t="n">
        <v>57</v>
      </c>
      <c r="L3662" s="7" t="n">
        <v>3</v>
      </c>
      <c r="M3662" s="7" t="n">
        <v>2</v>
      </c>
      <c r="N3662" s="7" t="s">
        <v>42</v>
      </c>
      <c r="O3662" s="7" t="s">
        <v>43</v>
      </c>
      <c r="P3662" s="7" t="n">
        <v>11.1</v>
      </c>
      <c r="Q3662" s="7" t="n">
        <v>20</v>
      </c>
      <c r="R3662" s="7" t="s">
        <v>53</v>
      </c>
      <c r="S3662" s="7"/>
      <c r="T3662" s="7"/>
      <c r="U3662" s="7" t="str">
        <f aca="false">IF(COUNTIF($A$2:$A$5001,A3662)&gt;1,"Duplicate","Unique")</f>
        <v>Unique</v>
      </c>
      <c r="V3662" s="7" t="str">
        <f aca="false">IF(COUNTIFS($B$2:$B$5001,B3662,$H$2:$H$5001,H3662,$J$2:$J$5001,J3662)&gt;1,"Possible Duplicate Booking","Unique")</f>
        <v>Unique</v>
      </c>
      <c r="W3662" s="7" t="str">
        <f aca="false">IF((H3662-G3662)&lt;&gt;K3662,"Mismatch","OK")</f>
        <v>OK</v>
      </c>
      <c r="X3662" s="7" t="str">
        <f aca="false">IF(TEXT(H3662,"dddd")&lt;&gt;I3662,"Mismatch","OK")</f>
        <v>OK</v>
      </c>
      <c r="Y3662" s="7" t="str">
        <f aca="false">IF(AND(N3662="No",O3662&lt;&gt;""),"Unexpected: channel present but no reminder sent",IF(AND(N3662="Yes",O3662=""),"Missing channel for sent reminder","OK"))</f>
        <v>OK</v>
      </c>
    </row>
    <row r="3663" customFormat="false" ht="15" hidden="false" customHeight="false" outlineLevel="0" collapsed="false">
      <c r="A3663" s="9" t="s">
        <v>5299</v>
      </c>
      <c r="B3663" s="9" t="s">
        <v>1075</v>
      </c>
      <c r="C3663" s="9" t="s">
        <v>37</v>
      </c>
      <c r="D3663" s="9" t="n">
        <v>49</v>
      </c>
      <c r="E3663" s="9" t="s">
        <v>56</v>
      </c>
      <c r="F3663" s="9" t="s">
        <v>49</v>
      </c>
      <c r="G3663" s="10" t="n">
        <v>45907</v>
      </c>
      <c r="H3663" s="10" t="n">
        <v>45913</v>
      </c>
      <c r="I3663" s="9" t="s">
        <v>102</v>
      </c>
      <c r="J3663" s="9" t="s">
        <v>51</v>
      </c>
      <c r="K3663" s="9" t="n">
        <v>6</v>
      </c>
      <c r="L3663" s="9" t="n">
        <v>1</v>
      </c>
      <c r="M3663" s="9" t="n">
        <v>0</v>
      </c>
      <c r="N3663" s="9" t="s">
        <v>42</v>
      </c>
      <c r="O3663" s="9" t="s">
        <v>43</v>
      </c>
      <c r="P3663" s="9" t="n">
        <v>15.5</v>
      </c>
      <c r="Q3663" s="9" t="n">
        <v>16</v>
      </c>
      <c r="R3663" s="9" t="s">
        <v>87</v>
      </c>
      <c r="S3663" s="9"/>
      <c r="T3663" s="9"/>
      <c r="U3663" s="9" t="str">
        <f aca="false">IF(COUNTIF($A$2:$A$5001,A3663)&gt;1,"Duplicate","Unique")</f>
        <v>Unique</v>
      </c>
      <c r="V3663" s="9" t="str">
        <f aca="false">IF(COUNTIFS($B$2:$B$5001,B3663,$H$2:$H$5001,H3663,$J$2:$J$5001,J3663)&gt;1,"Possible Duplicate Booking","Unique")</f>
        <v>Unique</v>
      </c>
      <c r="W3663" s="9" t="str">
        <f aca="false">IF((H3663-G3663)&lt;&gt;K3663,"Mismatch","OK")</f>
        <v>OK</v>
      </c>
      <c r="X3663" s="9" t="str">
        <f aca="false">IF(TEXT(H3663,"dddd")&lt;&gt;I3663,"Mismatch","OK")</f>
        <v>OK</v>
      </c>
      <c r="Y3663" s="9" t="str">
        <f aca="false">IF(AND(N3663="No",O3663&lt;&gt;""),"Unexpected: channel present but no reminder sent",IF(AND(N3663="Yes",O3663=""),"Missing channel for sent reminder","OK"))</f>
        <v>OK</v>
      </c>
    </row>
    <row r="3664" customFormat="false" ht="15" hidden="false" customHeight="false" outlineLevel="0" collapsed="false">
      <c r="A3664" s="7" t="s">
        <v>5300</v>
      </c>
      <c r="B3664" s="7" t="s">
        <v>2898</v>
      </c>
      <c r="C3664" s="7" t="s">
        <v>37</v>
      </c>
      <c r="D3664" s="7" t="n">
        <v>54</v>
      </c>
      <c r="E3664" s="7" t="s">
        <v>56</v>
      </c>
      <c r="F3664" s="7" t="s">
        <v>57</v>
      </c>
      <c r="G3664" s="8" t="n">
        <v>46147</v>
      </c>
      <c r="H3664" s="8" t="n">
        <v>46186</v>
      </c>
      <c r="I3664" s="7" t="s">
        <v>102</v>
      </c>
      <c r="J3664" s="7" t="s">
        <v>41</v>
      </c>
      <c r="K3664" s="7" t="n">
        <v>39</v>
      </c>
      <c r="L3664" s="7" t="n">
        <v>2</v>
      </c>
      <c r="M3664" s="7" t="n">
        <v>0</v>
      </c>
      <c r="N3664" s="7" t="s">
        <v>42</v>
      </c>
      <c r="O3664" s="7" t="s">
        <v>67</v>
      </c>
      <c r="P3664" s="7" t="n">
        <v>14</v>
      </c>
      <c r="Q3664" s="7" t="n">
        <v>19</v>
      </c>
      <c r="R3664" s="7" t="s">
        <v>53</v>
      </c>
      <c r="S3664" s="7"/>
      <c r="T3664" s="7"/>
      <c r="U3664" s="7" t="str">
        <f aca="false">IF(COUNTIF($A$2:$A$5001,A3664)&gt;1,"Duplicate","Unique")</f>
        <v>Unique</v>
      </c>
      <c r="V3664" s="7" t="str">
        <f aca="false">IF(COUNTIFS($B$2:$B$5001,B3664,$H$2:$H$5001,H3664,$J$2:$J$5001,J3664)&gt;1,"Possible Duplicate Booking","Unique")</f>
        <v>Unique</v>
      </c>
      <c r="W3664" s="7" t="str">
        <f aca="false">IF((H3664-G3664)&lt;&gt;K3664,"Mismatch","OK")</f>
        <v>OK</v>
      </c>
      <c r="X3664" s="7" t="str">
        <f aca="false">IF(TEXT(H3664,"dddd")&lt;&gt;I3664,"Mismatch","OK")</f>
        <v>OK</v>
      </c>
      <c r="Y3664" s="7" t="str">
        <f aca="false">IF(AND(N3664="No",O3664&lt;&gt;""),"Unexpected: channel present but no reminder sent",IF(AND(N3664="Yes",O3664=""),"Missing channel for sent reminder","OK"))</f>
        <v>OK</v>
      </c>
    </row>
    <row r="3665" customFormat="false" ht="15" hidden="false" customHeight="false" outlineLevel="0" collapsed="false">
      <c r="A3665" s="9" t="s">
        <v>5301</v>
      </c>
      <c r="B3665" s="9" t="s">
        <v>5007</v>
      </c>
      <c r="C3665" s="9" t="s">
        <v>37</v>
      </c>
      <c r="D3665" s="9" t="n">
        <v>56</v>
      </c>
      <c r="E3665" s="9" t="s">
        <v>61</v>
      </c>
      <c r="F3665" s="9" t="s">
        <v>74</v>
      </c>
      <c r="G3665" s="10" t="n">
        <v>46126</v>
      </c>
      <c r="H3665" s="10" t="n">
        <v>46183</v>
      </c>
      <c r="I3665" s="9" t="s">
        <v>58</v>
      </c>
      <c r="J3665" s="9" t="s">
        <v>51</v>
      </c>
      <c r="K3665" s="9" t="n">
        <v>57</v>
      </c>
      <c r="L3665" s="9" t="n">
        <v>3</v>
      </c>
      <c r="M3665" s="9" t="n">
        <v>0</v>
      </c>
      <c r="N3665" s="9" t="s">
        <v>71</v>
      </c>
      <c r="O3665" s="9"/>
      <c r="P3665" s="9" t="n">
        <v>1.9</v>
      </c>
      <c r="Q3665" s="9" t="n">
        <v>24</v>
      </c>
      <c r="R3665" s="9" t="s">
        <v>87</v>
      </c>
      <c r="S3665" s="9"/>
      <c r="T3665" s="9"/>
      <c r="U3665" s="9" t="str">
        <f aca="false">IF(COUNTIF($A$2:$A$5001,A3665)&gt;1,"Duplicate","Unique")</f>
        <v>Unique</v>
      </c>
      <c r="V3665" s="9" t="str">
        <f aca="false">IF(COUNTIFS($B$2:$B$5001,B3665,$H$2:$H$5001,H3665,$J$2:$J$5001,J3665)&gt;1,"Possible Duplicate Booking","Unique")</f>
        <v>Unique</v>
      </c>
      <c r="W3665" s="9" t="str">
        <f aca="false">IF((H3665-G3665)&lt;&gt;K3665,"Mismatch","OK")</f>
        <v>OK</v>
      </c>
      <c r="X3665" s="9" t="str">
        <f aca="false">IF(TEXT(H3665,"dddd")&lt;&gt;I3665,"Mismatch","OK")</f>
        <v>OK</v>
      </c>
      <c r="Y3665" s="9" t="str">
        <f aca="false">IF(AND(N3665="No",O3665&lt;&gt;""),"Unexpected: channel present but no reminder sent",IF(AND(N3665="Yes",O3665=""),"Missing channel for sent reminder","OK"))</f>
        <v>OK</v>
      </c>
    </row>
    <row r="3666" customFormat="false" ht="15" hidden="false" customHeight="false" outlineLevel="0" collapsed="false">
      <c r="A3666" s="7" t="s">
        <v>5302</v>
      </c>
      <c r="B3666" s="7" t="s">
        <v>2758</v>
      </c>
      <c r="C3666" s="7" t="s">
        <v>37</v>
      </c>
      <c r="D3666" s="7" t="n">
        <v>25</v>
      </c>
      <c r="E3666" s="7" t="s">
        <v>48</v>
      </c>
      <c r="F3666" s="7" t="s">
        <v>49</v>
      </c>
      <c r="G3666" s="8" t="n">
        <v>45919</v>
      </c>
      <c r="H3666" s="8" t="n">
        <v>45938</v>
      </c>
      <c r="I3666" s="7" t="s">
        <v>58</v>
      </c>
      <c r="J3666" s="7" t="s">
        <v>51</v>
      </c>
      <c r="K3666" s="7" t="n">
        <v>19</v>
      </c>
      <c r="L3666" s="7" t="n">
        <v>7</v>
      </c>
      <c r="M3666" s="7" t="n">
        <v>3</v>
      </c>
      <c r="N3666" s="7" t="s">
        <v>42</v>
      </c>
      <c r="O3666" s="7" t="s">
        <v>52</v>
      </c>
      <c r="P3666" s="7" t="n">
        <v>7.3</v>
      </c>
      <c r="Q3666" s="7" t="n">
        <v>32</v>
      </c>
      <c r="R3666" s="7" t="s">
        <v>44</v>
      </c>
      <c r="S3666" s="7"/>
      <c r="T3666" s="7"/>
      <c r="U3666" s="7" t="str">
        <f aca="false">IF(COUNTIF($A$2:$A$5001,A3666)&gt;1,"Duplicate","Unique")</f>
        <v>Unique</v>
      </c>
      <c r="V3666" s="7" t="str">
        <f aca="false">IF(COUNTIFS($B$2:$B$5001,B3666,$H$2:$H$5001,H3666,$J$2:$J$5001,J3666)&gt;1,"Possible Duplicate Booking","Unique")</f>
        <v>Unique</v>
      </c>
      <c r="W3666" s="7" t="str">
        <f aca="false">IF((H3666-G3666)&lt;&gt;K3666,"Mismatch","OK")</f>
        <v>OK</v>
      </c>
      <c r="X3666" s="7" t="str">
        <f aca="false">IF(TEXT(H3666,"dddd")&lt;&gt;I3666,"Mismatch","OK")</f>
        <v>OK</v>
      </c>
      <c r="Y3666" s="7" t="str">
        <f aca="false">IF(AND(N3666="No",O3666&lt;&gt;""),"Unexpected: channel present but no reminder sent",IF(AND(N3666="Yes",O3666=""),"Missing channel for sent reminder","OK"))</f>
        <v>OK</v>
      </c>
    </row>
    <row r="3667" customFormat="false" ht="15" hidden="false" customHeight="false" outlineLevel="0" collapsed="false">
      <c r="A3667" s="9" t="s">
        <v>5303</v>
      </c>
      <c r="B3667" s="9" t="s">
        <v>5304</v>
      </c>
      <c r="C3667" s="9" t="s">
        <v>37</v>
      </c>
      <c r="D3667" s="9" t="n">
        <v>34</v>
      </c>
      <c r="E3667" s="9" t="s">
        <v>48</v>
      </c>
      <c r="F3667" s="9" t="s">
        <v>39</v>
      </c>
      <c r="G3667" s="10" t="n">
        <v>45900</v>
      </c>
      <c r="H3667" s="10" t="n">
        <v>45904</v>
      </c>
      <c r="I3667" s="9" t="s">
        <v>62</v>
      </c>
      <c r="J3667" s="9" t="s">
        <v>51</v>
      </c>
      <c r="K3667" s="9" t="n">
        <v>4</v>
      </c>
      <c r="L3667" s="9" t="n">
        <v>4</v>
      </c>
      <c r="M3667" s="9" t="n">
        <v>2</v>
      </c>
      <c r="N3667" s="9" t="s">
        <v>71</v>
      </c>
      <c r="O3667" s="9"/>
      <c r="P3667" s="9" t="n">
        <v>3.9</v>
      </c>
      <c r="Q3667" s="9" t="n">
        <v>38</v>
      </c>
      <c r="R3667" s="9" t="s">
        <v>53</v>
      </c>
      <c r="S3667" s="9"/>
      <c r="T3667" s="9"/>
      <c r="U3667" s="9" t="str">
        <f aca="false">IF(COUNTIF($A$2:$A$5001,A3667)&gt;1,"Duplicate","Unique")</f>
        <v>Unique</v>
      </c>
      <c r="V3667" s="9" t="str">
        <f aca="false">IF(COUNTIFS($B$2:$B$5001,B3667,$H$2:$H$5001,H3667,$J$2:$J$5001,J3667)&gt;1,"Possible Duplicate Booking","Unique")</f>
        <v>Unique</v>
      </c>
      <c r="W3667" s="9" t="str">
        <f aca="false">IF((H3667-G3667)&lt;&gt;K3667,"Mismatch","OK")</f>
        <v>OK</v>
      </c>
      <c r="X3667" s="9" t="str">
        <f aca="false">IF(TEXT(H3667,"dddd")&lt;&gt;I3667,"Mismatch","OK")</f>
        <v>OK</v>
      </c>
      <c r="Y3667" s="9" t="str">
        <f aca="false">IF(AND(N3667="No",O3667&lt;&gt;""),"Unexpected: channel present but no reminder sent",IF(AND(N3667="Yes",O3667=""),"Missing channel for sent reminder","OK"))</f>
        <v>OK</v>
      </c>
    </row>
    <row r="3668" customFormat="false" ht="15" hidden="false" customHeight="false" outlineLevel="0" collapsed="false">
      <c r="A3668" s="7" t="s">
        <v>5305</v>
      </c>
      <c r="B3668" s="7" t="s">
        <v>3161</v>
      </c>
      <c r="C3668" s="7" t="s">
        <v>37</v>
      </c>
      <c r="D3668" s="7" t="n">
        <v>67</v>
      </c>
      <c r="E3668" s="7" t="s">
        <v>70</v>
      </c>
      <c r="F3668" s="7" t="s">
        <v>57</v>
      </c>
      <c r="G3668" s="8" t="n">
        <v>45926</v>
      </c>
      <c r="H3668" s="8" t="n">
        <v>45979</v>
      </c>
      <c r="I3668" s="7" t="s">
        <v>40</v>
      </c>
      <c r="J3668" s="7" t="s">
        <v>41</v>
      </c>
      <c r="K3668" s="7" t="n">
        <v>53</v>
      </c>
      <c r="L3668" s="7" t="n">
        <v>2</v>
      </c>
      <c r="M3668" s="7" t="n">
        <v>0</v>
      </c>
      <c r="N3668" s="7" t="s">
        <v>42</v>
      </c>
      <c r="O3668" s="7" t="s">
        <v>43</v>
      </c>
      <c r="P3668" s="7" t="n">
        <v>4.4</v>
      </c>
      <c r="Q3668" s="7" t="n">
        <v>38</v>
      </c>
      <c r="R3668" s="7" t="s">
        <v>44</v>
      </c>
      <c r="S3668" s="7"/>
      <c r="T3668" s="7"/>
      <c r="U3668" s="7" t="str">
        <f aca="false">IF(COUNTIF($A$2:$A$5001,A3668)&gt;1,"Duplicate","Unique")</f>
        <v>Unique</v>
      </c>
      <c r="V3668" s="7" t="str">
        <f aca="false">IF(COUNTIFS($B$2:$B$5001,B3668,$H$2:$H$5001,H3668,$J$2:$J$5001,J3668)&gt;1,"Possible Duplicate Booking","Unique")</f>
        <v>Unique</v>
      </c>
      <c r="W3668" s="7" t="str">
        <f aca="false">IF((H3668-G3668)&lt;&gt;K3668,"Mismatch","OK")</f>
        <v>OK</v>
      </c>
      <c r="X3668" s="7" t="str">
        <f aca="false">IF(TEXT(H3668,"dddd")&lt;&gt;I3668,"Mismatch","OK")</f>
        <v>OK</v>
      </c>
      <c r="Y3668" s="7" t="str">
        <f aca="false">IF(AND(N3668="No",O3668&lt;&gt;""),"Unexpected: channel present but no reminder sent",IF(AND(N3668="Yes",O3668=""),"Missing channel for sent reminder","OK"))</f>
        <v>OK</v>
      </c>
    </row>
    <row r="3669" customFormat="false" ht="15" hidden="false" customHeight="false" outlineLevel="0" collapsed="false">
      <c r="A3669" s="9" t="s">
        <v>5306</v>
      </c>
      <c r="B3669" s="9" t="s">
        <v>766</v>
      </c>
      <c r="C3669" s="9" t="s">
        <v>47</v>
      </c>
      <c r="D3669" s="9" t="n">
        <v>79</v>
      </c>
      <c r="E3669" s="9" t="s">
        <v>70</v>
      </c>
      <c r="F3669" s="9" t="s">
        <v>74</v>
      </c>
      <c r="G3669" s="10" t="n">
        <v>45728</v>
      </c>
      <c r="H3669" s="10" t="n">
        <v>45756</v>
      </c>
      <c r="I3669" s="9" t="s">
        <v>58</v>
      </c>
      <c r="J3669" s="9" t="s">
        <v>41</v>
      </c>
      <c r="K3669" s="9" t="n">
        <v>28</v>
      </c>
      <c r="L3669" s="9" t="n">
        <v>3</v>
      </c>
      <c r="M3669" s="9" t="n">
        <v>1</v>
      </c>
      <c r="N3669" s="9" t="s">
        <v>71</v>
      </c>
      <c r="O3669" s="9"/>
      <c r="P3669" s="9" t="n">
        <v>2.8</v>
      </c>
      <c r="Q3669" s="9" t="n">
        <v>42</v>
      </c>
      <c r="R3669" s="9" t="s">
        <v>44</v>
      </c>
      <c r="S3669" s="9"/>
      <c r="T3669" s="9"/>
      <c r="U3669" s="9" t="str">
        <f aca="false">IF(COUNTIF($A$2:$A$5001,A3669)&gt;1,"Duplicate","Unique")</f>
        <v>Unique</v>
      </c>
      <c r="V3669" s="9" t="str">
        <f aca="false">IF(COUNTIFS($B$2:$B$5001,B3669,$H$2:$H$5001,H3669,$J$2:$J$5001,J3669)&gt;1,"Possible Duplicate Booking","Unique")</f>
        <v>Unique</v>
      </c>
      <c r="W3669" s="9" t="str">
        <f aca="false">IF((H3669-G3669)&lt;&gt;K3669,"Mismatch","OK")</f>
        <v>OK</v>
      </c>
      <c r="X3669" s="9" t="str">
        <f aca="false">IF(TEXT(H3669,"dddd")&lt;&gt;I3669,"Mismatch","OK")</f>
        <v>OK</v>
      </c>
      <c r="Y3669" s="9" t="str">
        <f aca="false">IF(AND(N3669="No",O3669&lt;&gt;""),"Unexpected: channel present but no reminder sent",IF(AND(N3669="Yes",O3669=""),"Missing channel for sent reminder","OK"))</f>
        <v>OK</v>
      </c>
    </row>
    <row r="3670" customFormat="false" ht="15" hidden="false" customHeight="false" outlineLevel="0" collapsed="false">
      <c r="A3670" s="7" t="s">
        <v>5307</v>
      </c>
      <c r="B3670" s="7" t="s">
        <v>1288</v>
      </c>
      <c r="C3670" s="7" t="s">
        <v>47</v>
      </c>
      <c r="D3670" s="7" t="n">
        <v>35</v>
      </c>
      <c r="E3670" s="7" t="s">
        <v>38</v>
      </c>
      <c r="F3670" s="7" t="s">
        <v>49</v>
      </c>
      <c r="G3670" s="8" t="n">
        <v>45889</v>
      </c>
      <c r="H3670" s="8" t="n">
        <v>45890</v>
      </c>
      <c r="I3670" s="7" t="s">
        <v>62</v>
      </c>
      <c r="J3670" s="7" t="s">
        <v>51</v>
      </c>
      <c r="K3670" s="7" t="n">
        <v>1</v>
      </c>
      <c r="L3670" s="7" t="n">
        <v>0</v>
      </c>
      <c r="M3670" s="7" t="n">
        <v>0</v>
      </c>
      <c r="N3670" s="7" t="s">
        <v>42</v>
      </c>
      <c r="O3670" s="7" t="s">
        <v>43</v>
      </c>
      <c r="P3670" s="7" t="n">
        <v>7.2</v>
      </c>
      <c r="Q3670" s="7" t="n">
        <v>22</v>
      </c>
      <c r="R3670" s="7" t="s">
        <v>53</v>
      </c>
      <c r="S3670" s="7"/>
      <c r="T3670" s="7"/>
      <c r="U3670" s="7" t="str">
        <f aca="false">IF(COUNTIF($A$2:$A$5001,A3670)&gt;1,"Duplicate","Unique")</f>
        <v>Unique</v>
      </c>
      <c r="V3670" s="7" t="str">
        <f aca="false">IF(COUNTIFS($B$2:$B$5001,B3670,$H$2:$H$5001,H3670,$J$2:$J$5001,J3670)&gt;1,"Possible Duplicate Booking","Unique")</f>
        <v>Unique</v>
      </c>
      <c r="W3670" s="7" t="str">
        <f aca="false">IF((H3670-G3670)&lt;&gt;K3670,"Mismatch","OK")</f>
        <v>OK</v>
      </c>
      <c r="X3670" s="7" t="str">
        <f aca="false">IF(TEXT(H3670,"dddd")&lt;&gt;I3670,"Mismatch","OK")</f>
        <v>OK</v>
      </c>
      <c r="Y3670" s="7" t="str">
        <f aca="false">IF(AND(N3670="No",O3670&lt;&gt;""),"Unexpected: channel present but no reminder sent",IF(AND(N3670="Yes",O3670=""),"Missing channel for sent reminder","OK"))</f>
        <v>OK</v>
      </c>
    </row>
    <row r="3671" customFormat="false" ht="15" hidden="false" customHeight="false" outlineLevel="0" collapsed="false">
      <c r="A3671" s="9" t="s">
        <v>5308</v>
      </c>
      <c r="B3671" s="9" t="s">
        <v>2440</v>
      </c>
      <c r="C3671" s="9" t="s">
        <v>47</v>
      </c>
      <c r="D3671" s="9" t="n">
        <v>43</v>
      </c>
      <c r="E3671" s="9" t="s">
        <v>38</v>
      </c>
      <c r="F3671" s="9" t="s">
        <v>49</v>
      </c>
      <c r="G3671" s="10" t="n">
        <v>45725</v>
      </c>
      <c r="H3671" s="10" t="n">
        <v>45776</v>
      </c>
      <c r="I3671" s="9" t="s">
        <v>40</v>
      </c>
      <c r="J3671" s="9" t="s">
        <v>63</v>
      </c>
      <c r="K3671" s="9" t="n">
        <v>51</v>
      </c>
      <c r="L3671" s="9" t="n">
        <v>1</v>
      </c>
      <c r="M3671" s="9" t="n">
        <v>0</v>
      </c>
      <c r="N3671" s="9" t="s">
        <v>42</v>
      </c>
      <c r="O3671" s="9" t="s">
        <v>43</v>
      </c>
      <c r="P3671" s="9" t="n">
        <v>11.6</v>
      </c>
      <c r="Q3671" s="9" t="n">
        <v>2</v>
      </c>
      <c r="R3671" s="9" t="s">
        <v>44</v>
      </c>
      <c r="S3671" s="9"/>
      <c r="T3671" s="9"/>
      <c r="U3671" s="9" t="str">
        <f aca="false">IF(COUNTIF($A$2:$A$5001,A3671)&gt;1,"Duplicate","Unique")</f>
        <v>Unique</v>
      </c>
      <c r="V3671" s="9" t="str">
        <f aca="false">IF(COUNTIFS($B$2:$B$5001,B3671,$H$2:$H$5001,H3671,$J$2:$J$5001,J3671)&gt;1,"Possible Duplicate Booking","Unique")</f>
        <v>Unique</v>
      </c>
      <c r="W3671" s="9" t="str">
        <f aca="false">IF((H3671-G3671)&lt;&gt;K3671,"Mismatch","OK")</f>
        <v>OK</v>
      </c>
      <c r="X3671" s="9" t="str">
        <f aca="false">IF(TEXT(H3671,"dddd")&lt;&gt;I3671,"Mismatch","OK")</f>
        <v>OK</v>
      </c>
      <c r="Y3671" s="9" t="str">
        <f aca="false">IF(AND(N3671="No",O3671&lt;&gt;""),"Unexpected: channel present but no reminder sent",IF(AND(N3671="Yes",O3671=""),"Missing channel for sent reminder","OK"))</f>
        <v>OK</v>
      </c>
    </row>
    <row r="3672" customFormat="false" ht="15" hidden="false" customHeight="false" outlineLevel="0" collapsed="false">
      <c r="A3672" s="7" t="s">
        <v>5309</v>
      </c>
      <c r="B3672" s="7" t="s">
        <v>5310</v>
      </c>
      <c r="C3672" s="7" t="s">
        <v>37</v>
      </c>
      <c r="D3672" s="7" t="n">
        <v>75</v>
      </c>
      <c r="E3672" s="7" t="s">
        <v>70</v>
      </c>
      <c r="F3672" s="7" t="s">
        <v>57</v>
      </c>
      <c r="G3672" s="8" t="n">
        <v>45695</v>
      </c>
      <c r="H3672" s="8" t="n">
        <v>45736</v>
      </c>
      <c r="I3672" s="7" t="s">
        <v>62</v>
      </c>
      <c r="J3672" s="7" t="s">
        <v>41</v>
      </c>
      <c r="K3672" s="7" t="n">
        <v>41</v>
      </c>
      <c r="L3672" s="7" t="n">
        <v>7</v>
      </c>
      <c r="M3672" s="7" t="n">
        <v>3</v>
      </c>
      <c r="N3672" s="7" t="s">
        <v>71</v>
      </c>
      <c r="O3672" s="7"/>
      <c r="P3672" s="7" t="n">
        <v>20.7</v>
      </c>
      <c r="Q3672" s="7" t="n">
        <v>2</v>
      </c>
      <c r="R3672" s="7" t="s">
        <v>53</v>
      </c>
      <c r="S3672" s="7"/>
      <c r="T3672" s="7"/>
      <c r="U3672" s="7" t="str">
        <f aca="false">IF(COUNTIF($A$2:$A$5001,A3672)&gt;1,"Duplicate","Unique")</f>
        <v>Unique</v>
      </c>
      <c r="V3672" s="7" t="str">
        <f aca="false">IF(COUNTIFS($B$2:$B$5001,B3672,$H$2:$H$5001,H3672,$J$2:$J$5001,J3672)&gt;1,"Possible Duplicate Booking","Unique")</f>
        <v>Unique</v>
      </c>
      <c r="W3672" s="7" t="str">
        <f aca="false">IF((H3672-G3672)&lt;&gt;K3672,"Mismatch","OK")</f>
        <v>OK</v>
      </c>
      <c r="X3672" s="7" t="str">
        <f aca="false">IF(TEXT(H3672,"dddd")&lt;&gt;I3672,"Mismatch","OK")</f>
        <v>OK</v>
      </c>
      <c r="Y3672" s="7" t="str">
        <f aca="false">IF(AND(N3672="No",O3672&lt;&gt;""),"Unexpected: channel present but no reminder sent",IF(AND(N3672="Yes",O3672=""),"Missing channel for sent reminder","OK"))</f>
        <v>OK</v>
      </c>
    </row>
    <row r="3673" customFormat="false" ht="15" hidden="false" customHeight="false" outlineLevel="0" collapsed="false">
      <c r="A3673" s="9" t="s">
        <v>5311</v>
      </c>
      <c r="B3673" s="9" t="s">
        <v>2855</v>
      </c>
      <c r="C3673" s="9" t="s">
        <v>47</v>
      </c>
      <c r="D3673" s="9" t="n">
        <v>28</v>
      </c>
      <c r="E3673" s="9" t="s">
        <v>48</v>
      </c>
      <c r="F3673" s="9" t="s">
        <v>49</v>
      </c>
      <c r="G3673" s="10" t="n">
        <v>45705</v>
      </c>
      <c r="H3673" s="10" t="n">
        <v>45709</v>
      </c>
      <c r="I3673" s="9" t="s">
        <v>50</v>
      </c>
      <c r="J3673" s="9" t="s">
        <v>51</v>
      </c>
      <c r="K3673" s="9" t="n">
        <v>4</v>
      </c>
      <c r="L3673" s="9" t="n">
        <v>6</v>
      </c>
      <c r="M3673" s="9" t="n">
        <v>1</v>
      </c>
      <c r="N3673" s="9" t="s">
        <v>42</v>
      </c>
      <c r="O3673" s="9" t="s">
        <v>52</v>
      </c>
      <c r="P3673" s="9" t="n">
        <v>9.1</v>
      </c>
      <c r="Q3673" s="9" t="n">
        <v>33</v>
      </c>
      <c r="R3673" s="9" t="s">
        <v>53</v>
      </c>
      <c r="S3673" s="9"/>
      <c r="T3673" s="9"/>
      <c r="U3673" s="9" t="str">
        <f aca="false">IF(COUNTIF($A$2:$A$5001,A3673)&gt;1,"Duplicate","Unique")</f>
        <v>Unique</v>
      </c>
      <c r="V3673" s="9" t="str">
        <f aca="false">IF(COUNTIFS($B$2:$B$5001,B3673,$H$2:$H$5001,H3673,$J$2:$J$5001,J3673)&gt;1,"Possible Duplicate Booking","Unique")</f>
        <v>Unique</v>
      </c>
      <c r="W3673" s="9" t="str">
        <f aca="false">IF((H3673-G3673)&lt;&gt;K3673,"Mismatch","OK")</f>
        <v>OK</v>
      </c>
      <c r="X3673" s="9" t="str">
        <f aca="false">IF(TEXT(H3673,"dddd")&lt;&gt;I3673,"Mismatch","OK")</f>
        <v>OK</v>
      </c>
      <c r="Y3673" s="9" t="str">
        <f aca="false">IF(AND(N3673="No",O3673&lt;&gt;""),"Unexpected: channel present but no reminder sent",IF(AND(N3673="Yes",O3673=""),"Missing channel for sent reminder","OK"))</f>
        <v>OK</v>
      </c>
    </row>
    <row r="3674" customFormat="false" ht="15" hidden="false" customHeight="false" outlineLevel="0" collapsed="false">
      <c r="A3674" s="7" t="s">
        <v>5312</v>
      </c>
      <c r="B3674" s="7" t="s">
        <v>4144</v>
      </c>
      <c r="C3674" s="7" t="s">
        <v>37</v>
      </c>
      <c r="D3674" s="7" t="n">
        <v>34</v>
      </c>
      <c r="E3674" s="7" t="s">
        <v>48</v>
      </c>
      <c r="F3674" s="7" t="s">
        <v>49</v>
      </c>
      <c r="G3674" s="8" t="n">
        <v>45963</v>
      </c>
      <c r="H3674" s="8" t="n">
        <v>45978</v>
      </c>
      <c r="I3674" s="7" t="s">
        <v>66</v>
      </c>
      <c r="J3674" s="7" t="s">
        <v>51</v>
      </c>
      <c r="K3674" s="7" t="n">
        <v>15</v>
      </c>
      <c r="L3674" s="7" t="n">
        <v>3</v>
      </c>
      <c r="M3674" s="7" t="n">
        <v>0</v>
      </c>
      <c r="N3674" s="7" t="s">
        <v>71</v>
      </c>
      <c r="O3674" s="7"/>
      <c r="P3674" s="7" t="n">
        <v>4.5</v>
      </c>
      <c r="Q3674" s="7" t="n">
        <v>23</v>
      </c>
      <c r="R3674" s="7" t="s">
        <v>53</v>
      </c>
      <c r="S3674" s="7"/>
      <c r="T3674" s="7"/>
      <c r="U3674" s="7" t="str">
        <f aca="false">IF(COUNTIF($A$2:$A$5001,A3674)&gt;1,"Duplicate","Unique")</f>
        <v>Unique</v>
      </c>
      <c r="V3674" s="7" t="str">
        <f aca="false">IF(COUNTIFS($B$2:$B$5001,B3674,$H$2:$H$5001,H3674,$J$2:$J$5001,J3674)&gt;1,"Possible Duplicate Booking","Unique")</f>
        <v>Unique</v>
      </c>
      <c r="W3674" s="7" t="str">
        <f aca="false">IF((H3674-G3674)&lt;&gt;K3674,"Mismatch","OK")</f>
        <v>OK</v>
      </c>
      <c r="X3674" s="7" t="str">
        <f aca="false">IF(TEXT(H3674,"dddd")&lt;&gt;I3674,"Mismatch","OK")</f>
        <v>OK</v>
      </c>
      <c r="Y3674" s="7" t="str">
        <f aca="false">IF(AND(N3674="No",O3674&lt;&gt;""),"Unexpected: channel present but no reminder sent",IF(AND(N3674="Yes",O3674=""),"Missing channel for sent reminder","OK"))</f>
        <v>OK</v>
      </c>
    </row>
    <row r="3675" customFormat="false" ht="15" hidden="false" customHeight="false" outlineLevel="0" collapsed="false">
      <c r="A3675" s="9" t="s">
        <v>5313</v>
      </c>
      <c r="B3675" s="9" t="s">
        <v>405</v>
      </c>
      <c r="C3675" s="9" t="s">
        <v>47</v>
      </c>
      <c r="D3675" s="9" t="n">
        <v>21</v>
      </c>
      <c r="E3675" s="9" t="s">
        <v>82</v>
      </c>
      <c r="F3675" s="9" t="s">
        <v>74</v>
      </c>
      <c r="G3675" s="10" t="n">
        <v>45657</v>
      </c>
      <c r="H3675" s="10" t="n">
        <v>45658</v>
      </c>
      <c r="I3675" s="9" t="s">
        <v>58</v>
      </c>
      <c r="J3675" s="9" t="s">
        <v>51</v>
      </c>
      <c r="K3675" s="9" t="n">
        <v>1</v>
      </c>
      <c r="L3675" s="9" t="n">
        <v>3</v>
      </c>
      <c r="M3675" s="9" t="n">
        <v>0</v>
      </c>
      <c r="N3675" s="9" t="s">
        <v>42</v>
      </c>
      <c r="O3675" s="9" t="s">
        <v>52</v>
      </c>
      <c r="P3675" s="9" t="n">
        <v>9.9</v>
      </c>
      <c r="Q3675" s="9" t="n">
        <v>40</v>
      </c>
      <c r="R3675" s="9" t="s">
        <v>44</v>
      </c>
      <c r="S3675" s="9"/>
      <c r="T3675" s="9"/>
      <c r="U3675" s="9" t="str">
        <f aca="false">IF(COUNTIF($A$2:$A$5001,A3675)&gt;1,"Duplicate","Unique")</f>
        <v>Unique</v>
      </c>
      <c r="V3675" s="9" t="str">
        <f aca="false">IF(COUNTIFS($B$2:$B$5001,B3675,$H$2:$H$5001,H3675,$J$2:$J$5001,J3675)&gt;1,"Possible Duplicate Booking","Unique")</f>
        <v>Unique</v>
      </c>
      <c r="W3675" s="9" t="str">
        <f aca="false">IF((H3675-G3675)&lt;&gt;K3675,"Mismatch","OK")</f>
        <v>OK</v>
      </c>
      <c r="X3675" s="9" t="str">
        <f aca="false">IF(TEXT(H3675,"dddd")&lt;&gt;I3675,"Mismatch","OK")</f>
        <v>OK</v>
      </c>
      <c r="Y3675" s="9" t="str">
        <f aca="false">IF(AND(N3675="No",O3675&lt;&gt;""),"Unexpected: channel present but no reminder sent",IF(AND(N3675="Yes",O3675=""),"Missing channel for sent reminder","OK"))</f>
        <v>OK</v>
      </c>
    </row>
    <row r="3676" customFormat="false" ht="15" hidden="false" customHeight="false" outlineLevel="0" collapsed="false">
      <c r="A3676" s="7" t="s">
        <v>5314</v>
      </c>
      <c r="B3676" s="7" t="s">
        <v>2015</v>
      </c>
      <c r="C3676" s="7" t="s">
        <v>37</v>
      </c>
      <c r="D3676" s="7" t="n">
        <v>32</v>
      </c>
      <c r="E3676" s="7" t="s">
        <v>48</v>
      </c>
      <c r="F3676" s="7" t="s">
        <v>39</v>
      </c>
      <c r="G3676" s="8" t="n">
        <v>45952</v>
      </c>
      <c r="H3676" s="8" t="n">
        <v>46010</v>
      </c>
      <c r="I3676" s="7" t="s">
        <v>50</v>
      </c>
      <c r="J3676" s="7" t="s">
        <v>63</v>
      </c>
      <c r="K3676" s="7" t="n">
        <v>58</v>
      </c>
      <c r="L3676" s="7" t="n">
        <v>3</v>
      </c>
      <c r="M3676" s="7" t="n">
        <v>1</v>
      </c>
      <c r="N3676" s="7" t="s">
        <v>71</v>
      </c>
      <c r="O3676" s="7"/>
      <c r="P3676" s="7" t="n">
        <v>12.3</v>
      </c>
      <c r="Q3676" s="7" t="n">
        <v>29</v>
      </c>
      <c r="R3676" s="7" t="s">
        <v>44</v>
      </c>
      <c r="S3676" s="7"/>
      <c r="T3676" s="7"/>
      <c r="U3676" s="7" t="str">
        <f aca="false">IF(COUNTIF($A$2:$A$5001,A3676)&gt;1,"Duplicate","Unique")</f>
        <v>Unique</v>
      </c>
      <c r="V3676" s="7" t="str">
        <f aca="false">IF(COUNTIFS($B$2:$B$5001,B3676,$H$2:$H$5001,H3676,$J$2:$J$5001,J3676)&gt;1,"Possible Duplicate Booking","Unique")</f>
        <v>Unique</v>
      </c>
      <c r="W3676" s="7" t="str">
        <f aca="false">IF((H3676-G3676)&lt;&gt;K3676,"Mismatch","OK")</f>
        <v>OK</v>
      </c>
      <c r="X3676" s="7" t="str">
        <f aca="false">IF(TEXT(H3676,"dddd")&lt;&gt;I3676,"Mismatch","OK")</f>
        <v>OK</v>
      </c>
      <c r="Y3676" s="7" t="str">
        <f aca="false">IF(AND(N3676="No",O3676&lt;&gt;""),"Unexpected: channel present but no reminder sent",IF(AND(N3676="Yes",O3676=""),"Missing channel for sent reminder","OK"))</f>
        <v>OK</v>
      </c>
    </row>
    <row r="3677" customFormat="false" ht="15" hidden="false" customHeight="false" outlineLevel="0" collapsed="false">
      <c r="A3677" s="9" t="s">
        <v>5315</v>
      </c>
      <c r="B3677" s="9" t="s">
        <v>4482</v>
      </c>
      <c r="C3677" s="9" t="s">
        <v>47</v>
      </c>
      <c r="D3677" s="9" t="n">
        <v>58</v>
      </c>
      <c r="E3677" s="9" t="s">
        <v>61</v>
      </c>
      <c r="F3677" s="9" t="s">
        <v>39</v>
      </c>
      <c r="G3677" s="10" t="n">
        <v>45892</v>
      </c>
      <c r="H3677" s="10" t="n">
        <v>45893</v>
      </c>
      <c r="I3677" s="9" t="s">
        <v>75</v>
      </c>
      <c r="J3677" s="9" t="s">
        <v>41</v>
      </c>
      <c r="K3677" s="9" t="n">
        <v>1</v>
      </c>
      <c r="L3677" s="9" t="n">
        <v>2</v>
      </c>
      <c r="M3677" s="9" t="n">
        <v>1</v>
      </c>
      <c r="N3677" s="9" t="s">
        <v>42</v>
      </c>
      <c r="O3677" s="9" t="s">
        <v>52</v>
      </c>
      <c r="P3677" s="9" t="n">
        <v>18.8</v>
      </c>
      <c r="Q3677" s="9" t="n">
        <v>5</v>
      </c>
      <c r="R3677" s="9" t="s">
        <v>44</v>
      </c>
      <c r="S3677" s="9"/>
      <c r="T3677" s="9"/>
      <c r="U3677" s="9" t="str">
        <f aca="false">IF(COUNTIF($A$2:$A$5001,A3677)&gt;1,"Duplicate","Unique")</f>
        <v>Unique</v>
      </c>
      <c r="V3677" s="9" t="str">
        <f aca="false">IF(COUNTIFS($B$2:$B$5001,B3677,$H$2:$H$5001,H3677,$J$2:$J$5001,J3677)&gt;1,"Possible Duplicate Booking","Unique")</f>
        <v>Unique</v>
      </c>
      <c r="W3677" s="9" t="str">
        <f aca="false">IF((H3677-G3677)&lt;&gt;K3677,"Mismatch","OK")</f>
        <v>OK</v>
      </c>
      <c r="X3677" s="9" t="str">
        <f aca="false">IF(TEXT(H3677,"dddd")&lt;&gt;I3677,"Mismatch","OK")</f>
        <v>OK</v>
      </c>
      <c r="Y3677" s="9" t="str">
        <f aca="false">IF(AND(N3677="No",O3677&lt;&gt;""),"Unexpected: channel present but no reminder sent",IF(AND(N3677="Yes",O3677=""),"Missing channel for sent reminder","OK"))</f>
        <v>OK</v>
      </c>
    </row>
    <row r="3678" customFormat="false" ht="15" hidden="false" customHeight="false" outlineLevel="0" collapsed="false">
      <c r="A3678" s="7" t="s">
        <v>5316</v>
      </c>
      <c r="B3678" s="7" t="s">
        <v>2051</v>
      </c>
      <c r="C3678" s="7" t="s">
        <v>37</v>
      </c>
      <c r="D3678" s="7" t="n">
        <v>39</v>
      </c>
      <c r="E3678" s="7" t="s">
        <v>38</v>
      </c>
      <c r="F3678" s="7" t="s">
        <v>39</v>
      </c>
      <c r="G3678" s="8" t="n">
        <v>45810</v>
      </c>
      <c r="H3678" s="8" t="n">
        <v>45858</v>
      </c>
      <c r="I3678" s="7" t="s">
        <v>75</v>
      </c>
      <c r="J3678" s="7" t="s">
        <v>41</v>
      </c>
      <c r="K3678" s="7" t="n">
        <v>48</v>
      </c>
      <c r="L3678" s="7" t="n">
        <v>4</v>
      </c>
      <c r="M3678" s="7" t="n">
        <v>1</v>
      </c>
      <c r="N3678" s="7" t="s">
        <v>42</v>
      </c>
      <c r="O3678" s="7" t="s">
        <v>52</v>
      </c>
      <c r="P3678" s="7" t="n">
        <v>3.9</v>
      </c>
      <c r="Q3678" s="7" t="n">
        <v>17</v>
      </c>
      <c r="R3678" s="7" t="s">
        <v>53</v>
      </c>
      <c r="S3678" s="7"/>
      <c r="T3678" s="7"/>
      <c r="U3678" s="7" t="str">
        <f aca="false">IF(COUNTIF($A$2:$A$5001,A3678)&gt;1,"Duplicate","Unique")</f>
        <v>Unique</v>
      </c>
      <c r="V3678" s="7" t="str">
        <f aca="false">IF(COUNTIFS($B$2:$B$5001,B3678,$H$2:$H$5001,H3678,$J$2:$J$5001,J3678)&gt;1,"Possible Duplicate Booking","Unique")</f>
        <v>Unique</v>
      </c>
      <c r="W3678" s="7" t="str">
        <f aca="false">IF((H3678-G3678)&lt;&gt;K3678,"Mismatch","OK")</f>
        <v>OK</v>
      </c>
      <c r="X3678" s="7" t="str">
        <f aca="false">IF(TEXT(H3678,"dddd")&lt;&gt;I3678,"Mismatch","OK")</f>
        <v>OK</v>
      </c>
      <c r="Y3678" s="7" t="str">
        <f aca="false">IF(AND(N3678="No",O3678&lt;&gt;""),"Unexpected: channel present but no reminder sent",IF(AND(N3678="Yes",O3678=""),"Missing channel for sent reminder","OK"))</f>
        <v>OK</v>
      </c>
    </row>
    <row r="3679" customFormat="false" ht="15" hidden="false" customHeight="false" outlineLevel="0" collapsed="false">
      <c r="A3679" s="9" t="s">
        <v>5317</v>
      </c>
      <c r="B3679" s="9" t="s">
        <v>154</v>
      </c>
      <c r="C3679" s="9" t="s">
        <v>47</v>
      </c>
      <c r="D3679" s="9" t="n">
        <v>79</v>
      </c>
      <c r="E3679" s="9" t="s">
        <v>70</v>
      </c>
      <c r="F3679" s="9" t="s">
        <v>49</v>
      </c>
      <c r="G3679" s="10" t="n">
        <v>46047</v>
      </c>
      <c r="H3679" s="10" t="n">
        <v>46078</v>
      </c>
      <c r="I3679" s="9" t="s">
        <v>58</v>
      </c>
      <c r="J3679" s="9" t="s">
        <v>41</v>
      </c>
      <c r="K3679" s="9" t="n">
        <v>31</v>
      </c>
      <c r="L3679" s="9" t="n">
        <v>2</v>
      </c>
      <c r="M3679" s="9" t="n">
        <v>1</v>
      </c>
      <c r="N3679" s="9" t="s">
        <v>71</v>
      </c>
      <c r="O3679" s="9"/>
      <c r="P3679" s="9" t="n">
        <v>2.7</v>
      </c>
      <c r="Q3679" s="9" t="n">
        <v>29</v>
      </c>
      <c r="R3679" s="9" t="s">
        <v>53</v>
      </c>
      <c r="S3679" s="9"/>
      <c r="T3679" s="9"/>
      <c r="U3679" s="9" t="str">
        <f aca="false">IF(COUNTIF($A$2:$A$5001,A3679)&gt;1,"Duplicate","Unique")</f>
        <v>Unique</v>
      </c>
      <c r="V3679" s="9" t="str">
        <f aca="false">IF(COUNTIFS($B$2:$B$5001,B3679,$H$2:$H$5001,H3679,$J$2:$J$5001,J3679)&gt;1,"Possible Duplicate Booking","Unique")</f>
        <v>Unique</v>
      </c>
      <c r="W3679" s="9" t="str">
        <f aca="false">IF((H3679-G3679)&lt;&gt;K3679,"Mismatch","OK")</f>
        <v>OK</v>
      </c>
      <c r="X3679" s="9" t="str">
        <f aca="false">IF(TEXT(H3679,"dddd")&lt;&gt;I3679,"Mismatch","OK")</f>
        <v>OK</v>
      </c>
      <c r="Y3679" s="9" t="str">
        <f aca="false">IF(AND(N3679="No",O3679&lt;&gt;""),"Unexpected: channel present but no reminder sent",IF(AND(N3679="Yes",O3679=""),"Missing channel for sent reminder","OK"))</f>
        <v>OK</v>
      </c>
    </row>
    <row r="3680" customFormat="false" ht="15" hidden="false" customHeight="false" outlineLevel="0" collapsed="false">
      <c r="A3680" s="7" t="s">
        <v>5318</v>
      </c>
      <c r="B3680" s="7" t="s">
        <v>2799</v>
      </c>
      <c r="C3680" s="7" t="s">
        <v>37</v>
      </c>
      <c r="D3680" s="7" t="n">
        <v>74</v>
      </c>
      <c r="E3680" s="7" t="s">
        <v>70</v>
      </c>
      <c r="F3680" s="7" t="s">
        <v>74</v>
      </c>
      <c r="G3680" s="8" t="n">
        <v>45917</v>
      </c>
      <c r="H3680" s="8" t="n">
        <v>45952</v>
      </c>
      <c r="I3680" s="7" t="s">
        <v>58</v>
      </c>
      <c r="J3680" s="7" t="s">
        <v>51</v>
      </c>
      <c r="K3680" s="7" t="n">
        <v>35</v>
      </c>
      <c r="L3680" s="7" t="n">
        <v>3</v>
      </c>
      <c r="M3680" s="7" t="n">
        <v>1</v>
      </c>
      <c r="N3680" s="7" t="s">
        <v>42</v>
      </c>
      <c r="O3680" s="7" t="s">
        <v>43</v>
      </c>
      <c r="P3680" s="7" t="n">
        <v>10.4</v>
      </c>
      <c r="Q3680" s="7" t="n">
        <v>12</v>
      </c>
      <c r="R3680" s="7" t="s">
        <v>53</v>
      </c>
      <c r="S3680" s="7"/>
      <c r="T3680" s="7"/>
      <c r="U3680" s="7" t="str">
        <f aca="false">IF(COUNTIF($A$2:$A$5001,A3680)&gt;1,"Duplicate","Unique")</f>
        <v>Unique</v>
      </c>
      <c r="V3680" s="7" t="str">
        <f aca="false">IF(COUNTIFS($B$2:$B$5001,B3680,$H$2:$H$5001,H3680,$J$2:$J$5001,J3680)&gt;1,"Possible Duplicate Booking","Unique")</f>
        <v>Unique</v>
      </c>
      <c r="W3680" s="7" t="str">
        <f aca="false">IF((H3680-G3680)&lt;&gt;K3680,"Mismatch","OK")</f>
        <v>OK</v>
      </c>
      <c r="X3680" s="7" t="str">
        <f aca="false">IF(TEXT(H3680,"dddd")&lt;&gt;I3680,"Mismatch","OK")</f>
        <v>OK</v>
      </c>
      <c r="Y3680" s="7" t="str">
        <f aca="false">IF(AND(N3680="No",O3680&lt;&gt;""),"Unexpected: channel present but no reminder sent",IF(AND(N3680="Yes",O3680=""),"Missing channel for sent reminder","OK"))</f>
        <v>OK</v>
      </c>
    </row>
    <row r="3681" customFormat="false" ht="15" hidden="false" customHeight="false" outlineLevel="0" collapsed="false">
      <c r="A3681" s="9" t="s">
        <v>5319</v>
      </c>
      <c r="B3681" s="9" t="s">
        <v>3767</v>
      </c>
      <c r="C3681" s="9" t="s">
        <v>47</v>
      </c>
      <c r="D3681" s="9" t="n">
        <v>74</v>
      </c>
      <c r="E3681" s="9" t="s">
        <v>70</v>
      </c>
      <c r="F3681" s="9" t="s">
        <v>39</v>
      </c>
      <c r="G3681" s="10" t="n">
        <v>46009</v>
      </c>
      <c r="H3681" s="10" t="n">
        <v>46058</v>
      </c>
      <c r="I3681" s="9" t="s">
        <v>62</v>
      </c>
      <c r="J3681" s="9" t="s">
        <v>63</v>
      </c>
      <c r="K3681" s="9" t="n">
        <v>49</v>
      </c>
      <c r="L3681" s="9" t="n">
        <v>3</v>
      </c>
      <c r="M3681" s="9" t="n">
        <v>2</v>
      </c>
      <c r="N3681" s="9" t="s">
        <v>71</v>
      </c>
      <c r="O3681" s="9"/>
      <c r="P3681" s="9" t="n">
        <v>8.5</v>
      </c>
      <c r="Q3681" s="9" t="n">
        <v>41</v>
      </c>
      <c r="R3681" s="9" t="s">
        <v>44</v>
      </c>
      <c r="S3681" s="9"/>
      <c r="T3681" s="9"/>
      <c r="U3681" s="9" t="str">
        <f aca="false">IF(COUNTIF($A$2:$A$5001,A3681)&gt;1,"Duplicate","Unique")</f>
        <v>Unique</v>
      </c>
      <c r="V3681" s="9" t="str">
        <f aca="false">IF(COUNTIFS($B$2:$B$5001,B3681,$H$2:$H$5001,H3681,$J$2:$J$5001,J3681)&gt;1,"Possible Duplicate Booking","Unique")</f>
        <v>Unique</v>
      </c>
      <c r="W3681" s="9" t="str">
        <f aca="false">IF((H3681-G3681)&lt;&gt;K3681,"Mismatch","OK")</f>
        <v>OK</v>
      </c>
      <c r="X3681" s="9" t="str">
        <f aca="false">IF(TEXT(H3681,"dddd")&lt;&gt;I3681,"Mismatch","OK")</f>
        <v>OK</v>
      </c>
      <c r="Y3681" s="9" t="str">
        <f aca="false">IF(AND(N3681="No",O3681&lt;&gt;""),"Unexpected: channel present but no reminder sent",IF(AND(N3681="Yes",O3681=""),"Missing channel for sent reminder","OK"))</f>
        <v>OK</v>
      </c>
    </row>
    <row r="3682" customFormat="false" ht="15" hidden="false" customHeight="false" outlineLevel="0" collapsed="false">
      <c r="A3682" s="7" t="s">
        <v>5320</v>
      </c>
      <c r="B3682" s="7" t="s">
        <v>5321</v>
      </c>
      <c r="C3682" s="7" t="s">
        <v>47</v>
      </c>
      <c r="D3682" s="7" t="n">
        <v>63</v>
      </c>
      <c r="E3682" s="7" t="s">
        <v>61</v>
      </c>
      <c r="F3682" s="7" t="s">
        <v>57</v>
      </c>
      <c r="G3682" s="8" t="n">
        <v>45991</v>
      </c>
      <c r="H3682" s="8" t="n">
        <v>46045</v>
      </c>
      <c r="I3682" s="7" t="s">
        <v>50</v>
      </c>
      <c r="J3682" s="7" t="s">
        <v>63</v>
      </c>
      <c r="K3682" s="7" t="n">
        <v>54</v>
      </c>
      <c r="L3682" s="7" t="n">
        <v>5</v>
      </c>
      <c r="M3682" s="7" t="n">
        <v>1</v>
      </c>
      <c r="N3682" s="7" t="s">
        <v>71</v>
      </c>
      <c r="O3682" s="7"/>
      <c r="P3682" s="7" t="n">
        <v>6.8</v>
      </c>
      <c r="Q3682" s="7" t="n">
        <v>19</v>
      </c>
      <c r="R3682" s="7" t="s">
        <v>44</v>
      </c>
      <c r="S3682" s="7"/>
      <c r="T3682" s="7"/>
      <c r="U3682" s="7" t="str">
        <f aca="false">IF(COUNTIF($A$2:$A$5001,A3682)&gt;1,"Duplicate","Unique")</f>
        <v>Unique</v>
      </c>
      <c r="V3682" s="7" t="str">
        <f aca="false">IF(COUNTIFS($B$2:$B$5001,B3682,$H$2:$H$5001,H3682,$J$2:$J$5001,J3682)&gt;1,"Possible Duplicate Booking","Unique")</f>
        <v>Unique</v>
      </c>
      <c r="W3682" s="7" t="str">
        <f aca="false">IF((H3682-G3682)&lt;&gt;K3682,"Mismatch","OK")</f>
        <v>OK</v>
      </c>
      <c r="X3682" s="7" t="str">
        <f aca="false">IF(TEXT(H3682,"dddd")&lt;&gt;I3682,"Mismatch","OK")</f>
        <v>OK</v>
      </c>
      <c r="Y3682" s="7" t="str">
        <f aca="false">IF(AND(N3682="No",O3682&lt;&gt;""),"Unexpected: channel present but no reminder sent",IF(AND(N3682="Yes",O3682=""),"Missing channel for sent reminder","OK"))</f>
        <v>OK</v>
      </c>
    </row>
    <row r="3683" customFormat="false" ht="15" hidden="false" customHeight="false" outlineLevel="0" collapsed="false">
      <c r="A3683" s="9" t="s">
        <v>5322</v>
      </c>
      <c r="B3683" s="9" t="s">
        <v>2910</v>
      </c>
      <c r="C3683" s="9" t="s">
        <v>37</v>
      </c>
      <c r="D3683" s="9" t="n">
        <v>62</v>
      </c>
      <c r="E3683" s="9" t="s">
        <v>61</v>
      </c>
      <c r="F3683" s="9" t="s">
        <v>57</v>
      </c>
      <c r="G3683" s="10" t="n">
        <v>45668</v>
      </c>
      <c r="H3683" s="10" t="n">
        <v>45675</v>
      </c>
      <c r="I3683" s="9" t="s">
        <v>102</v>
      </c>
      <c r="J3683" s="9" t="s">
        <v>41</v>
      </c>
      <c r="K3683" s="9" t="n">
        <v>7</v>
      </c>
      <c r="L3683" s="9" t="n">
        <v>2</v>
      </c>
      <c r="M3683" s="9" t="n">
        <v>0</v>
      </c>
      <c r="N3683" s="9" t="s">
        <v>42</v>
      </c>
      <c r="O3683" s="9" t="s">
        <v>52</v>
      </c>
      <c r="P3683" s="9" t="n">
        <v>8.1</v>
      </c>
      <c r="Q3683" s="9" t="n">
        <v>20</v>
      </c>
      <c r="R3683" s="9" t="s">
        <v>53</v>
      </c>
      <c r="S3683" s="9"/>
      <c r="T3683" s="9"/>
      <c r="U3683" s="9" t="str">
        <f aca="false">IF(COUNTIF($A$2:$A$5001,A3683)&gt;1,"Duplicate","Unique")</f>
        <v>Unique</v>
      </c>
      <c r="V3683" s="9" t="str">
        <f aca="false">IF(COUNTIFS($B$2:$B$5001,B3683,$H$2:$H$5001,H3683,$J$2:$J$5001,J3683)&gt;1,"Possible Duplicate Booking","Unique")</f>
        <v>Unique</v>
      </c>
      <c r="W3683" s="9" t="str">
        <f aca="false">IF((H3683-G3683)&lt;&gt;K3683,"Mismatch","OK")</f>
        <v>OK</v>
      </c>
      <c r="X3683" s="9" t="str">
        <f aca="false">IF(TEXT(H3683,"dddd")&lt;&gt;I3683,"Mismatch","OK")</f>
        <v>OK</v>
      </c>
      <c r="Y3683" s="9" t="str">
        <f aca="false">IF(AND(N3683="No",O3683&lt;&gt;""),"Unexpected: channel present but no reminder sent",IF(AND(N3683="Yes",O3683=""),"Missing channel for sent reminder","OK"))</f>
        <v>OK</v>
      </c>
    </row>
    <row r="3684" customFormat="false" ht="15" hidden="false" customHeight="false" outlineLevel="0" collapsed="false">
      <c r="A3684" s="7" t="s">
        <v>5323</v>
      </c>
      <c r="B3684" s="7" t="s">
        <v>3465</v>
      </c>
      <c r="C3684" s="7" t="s">
        <v>47</v>
      </c>
      <c r="D3684" s="7" t="n">
        <v>50</v>
      </c>
      <c r="E3684" s="7" t="s">
        <v>56</v>
      </c>
      <c r="F3684" s="7" t="s">
        <v>39</v>
      </c>
      <c r="G3684" s="8" t="n">
        <v>45774</v>
      </c>
      <c r="H3684" s="8" t="n">
        <v>45775</v>
      </c>
      <c r="I3684" s="7" t="s">
        <v>66</v>
      </c>
      <c r="J3684" s="7" t="s">
        <v>41</v>
      </c>
      <c r="K3684" s="7" t="n">
        <v>1</v>
      </c>
      <c r="L3684" s="7" t="n">
        <v>5</v>
      </c>
      <c r="M3684" s="7" t="n">
        <v>2</v>
      </c>
      <c r="N3684" s="7" t="s">
        <v>42</v>
      </c>
      <c r="O3684" s="7" t="s">
        <v>52</v>
      </c>
      <c r="P3684" s="7" t="n">
        <v>4</v>
      </c>
      <c r="Q3684" s="7" t="n">
        <v>6</v>
      </c>
      <c r="R3684" s="7" t="s">
        <v>87</v>
      </c>
      <c r="S3684" s="7"/>
      <c r="T3684" s="7"/>
      <c r="U3684" s="7" t="str">
        <f aca="false">IF(COUNTIF($A$2:$A$5001,A3684)&gt;1,"Duplicate","Unique")</f>
        <v>Unique</v>
      </c>
      <c r="V3684" s="7" t="str">
        <f aca="false">IF(COUNTIFS($B$2:$B$5001,B3684,$H$2:$H$5001,H3684,$J$2:$J$5001,J3684)&gt;1,"Possible Duplicate Booking","Unique")</f>
        <v>Unique</v>
      </c>
      <c r="W3684" s="7" t="str">
        <f aca="false">IF((H3684-G3684)&lt;&gt;K3684,"Mismatch","OK")</f>
        <v>OK</v>
      </c>
      <c r="X3684" s="7" t="str">
        <f aca="false">IF(TEXT(H3684,"dddd")&lt;&gt;I3684,"Mismatch","OK")</f>
        <v>OK</v>
      </c>
      <c r="Y3684" s="7" t="str">
        <f aca="false">IF(AND(N3684="No",O3684&lt;&gt;""),"Unexpected: channel present but no reminder sent",IF(AND(N3684="Yes",O3684=""),"Missing channel for sent reminder","OK"))</f>
        <v>OK</v>
      </c>
    </row>
    <row r="3685" customFormat="false" ht="15" hidden="false" customHeight="false" outlineLevel="0" collapsed="false">
      <c r="A3685" s="9" t="s">
        <v>5324</v>
      </c>
      <c r="B3685" s="9" t="s">
        <v>1951</v>
      </c>
      <c r="C3685" s="9" t="s">
        <v>37</v>
      </c>
      <c r="D3685" s="9" t="n">
        <v>80</v>
      </c>
      <c r="E3685" s="9" t="s">
        <v>70</v>
      </c>
      <c r="F3685" s="9" t="s">
        <v>49</v>
      </c>
      <c r="G3685" s="10" t="n">
        <v>45962</v>
      </c>
      <c r="H3685" s="10" t="n">
        <v>45969</v>
      </c>
      <c r="I3685" s="9" t="s">
        <v>102</v>
      </c>
      <c r="J3685" s="9" t="s">
        <v>51</v>
      </c>
      <c r="K3685" s="9" t="n">
        <v>7</v>
      </c>
      <c r="L3685" s="9" t="n">
        <v>2</v>
      </c>
      <c r="M3685" s="9" t="n">
        <v>0</v>
      </c>
      <c r="N3685" s="9" t="s">
        <v>71</v>
      </c>
      <c r="O3685" s="9"/>
      <c r="P3685" s="9" t="n">
        <v>1.6</v>
      </c>
      <c r="Q3685" s="9" t="n">
        <v>46</v>
      </c>
      <c r="R3685" s="9" t="s">
        <v>53</v>
      </c>
      <c r="S3685" s="9"/>
      <c r="T3685" s="9"/>
      <c r="U3685" s="9" t="str">
        <f aca="false">IF(COUNTIF($A$2:$A$5001,A3685)&gt;1,"Duplicate","Unique")</f>
        <v>Unique</v>
      </c>
      <c r="V3685" s="9" t="str">
        <f aca="false">IF(COUNTIFS($B$2:$B$5001,B3685,$H$2:$H$5001,H3685,$J$2:$J$5001,J3685)&gt;1,"Possible Duplicate Booking","Unique")</f>
        <v>Unique</v>
      </c>
      <c r="W3685" s="9" t="str">
        <f aca="false">IF((H3685-G3685)&lt;&gt;K3685,"Mismatch","OK")</f>
        <v>OK</v>
      </c>
      <c r="X3685" s="9" t="str">
        <f aca="false">IF(TEXT(H3685,"dddd")&lt;&gt;I3685,"Mismatch","OK")</f>
        <v>OK</v>
      </c>
      <c r="Y3685" s="9" t="str">
        <f aca="false">IF(AND(N3685="No",O3685&lt;&gt;""),"Unexpected: channel present but no reminder sent",IF(AND(N3685="Yes",O3685=""),"Missing channel for sent reminder","OK"))</f>
        <v>OK</v>
      </c>
    </row>
    <row r="3686" customFormat="false" ht="15" hidden="false" customHeight="false" outlineLevel="0" collapsed="false">
      <c r="A3686" s="7" t="s">
        <v>5325</v>
      </c>
      <c r="B3686" s="7" t="s">
        <v>5326</v>
      </c>
      <c r="C3686" s="7" t="s">
        <v>47</v>
      </c>
      <c r="D3686" s="7" t="n">
        <v>24</v>
      </c>
      <c r="E3686" s="7" t="s">
        <v>82</v>
      </c>
      <c r="F3686" s="7" t="s">
        <v>57</v>
      </c>
      <c r="G3686" s="8" t="n">
        <v>46149</v>
      </c>
      <c r="H3686" s="8" t="n">
        <v>46190</v>
      </c>
      <c r="I3686" s="7" t="s">
        <v>58</v>
      </c>
      <c r="J3686" s="7" t="s">
        <v>51</v>
      </c>
      <c r="K3686" s="7" t="n">
        <v>41</v>
      </c>
      <c r="L3686" s="7" t="n">
        <v>6</v>
      </c>
      <c r="M3686" s="7" t="n">
        <v>1</v>
      </c>
      <c r="N3686" s="7" t="s">
        <v>42</v>
      </c>
      <c r="O3686" s="7" t="s">
        <v>43</v>
      </c>
      <c r="P3686" s="7" t="n">
        <v>13.8</v>
      </c>
      <c r="Q3686" s="7" t="n">
        <v>22</v>
      </c>
      <c r="R3686" s="7" t="s">
        <v>44</v>
      </c>
      <c r="S3686" s="7"/>
      <c r="T3686" s="7"/>
      <c r="U3686" s="7" t="str">
        <f aca="false">IF(COUNTIF($A$2:$A$5001,A3686)&gt;1,"Duplicate","Unique")</f>
        <v>Unique</v>
      </c>
      <c r="V3686" s="7" t="str">
        <f aca="false">IF(COUNTIFS($B$2:$B$5001,B3686,$H$2:$H$5001,H3686,$J$2:$J$5001,J3686)&gt;1,"Possible Duplicate Booking","Unique")</f>
        <v>Unique</v>
      </c>
      <c r="W3686" s="7" t="str">
        <f aca="false">IF((H3686-G3686)&lt;&gt;K3686,"Mismatch","OK")</f>
        <v>OK</v>
      </c>
      <c r="X3686" s="7" t="str">
        <f aca="false">IF(TEXT(H3686,"dddd")&lt;&gt;I3686,"Mismatch","OK")</f>
        <v>OK</v>
      </c>
      <c r="Y3686" s="7" t="str">
        <f aca="false">IF(AND(N3686="No",O3686&lt;&gt;""),"Unexpected: channel present but no reminder sent",IF(AND(N3686="Yes",O3686=""),"Missing channel for sent reminder","OK"))</f>
        <v>OK</v>
      </c>
    </row>
    <row r="3687" customFormat="false" ht="15" hidden="false" customHeight="false" outlineLevel="0" collapsed="false">
      <c r="A3687" s="9" t="s">
        <v>5327</v>
      </c>
      <c r="B3687" s="9" t="s">
        <v>5328</v>
      </c>
      <c r="C3687" s="9" t="s">
        <v>37</v>
      </c>
      <c r="D3687" s="9" t="n">
        <v>63</v>
      </c>
      <c r="E3687" s="9" t="s">
        <v>61</v>
      </c>
      <c r="F3687" s="9" t="s">
        <v>57</v>
      </c>
      <c r="G3687" s="10" t="n">
        <v>45708</v>
      </c>
      <c r="H3687" s="10" t="n">
        <v>45742</v>
      </c>
      <c r="I3687" s="9" t="s">
        <v>58</v>
      </c>
      <c r="J3687" s="9" t="s">
        <v>51</v>
      </c>
      <c r="K3687" s="9" t="n">
        <v>34</v>
      </c>
      <c r="L3687" s="9" t="n">
        <v>2</v>
      </c>
      <c r="M3687" s="9" t="n">
        <v>1</v>
      </c>
      <c r="N3687" s="9" t="s">
        <v>42</v>
      </c>
      <c r="O3687" s="9" t="s">
        <v>52</v>
      </c>
      <c r="P3687" s="9" t="n">
        <v>13.2</v>
      </c>
      <c r="Q3687" s="9" t="n">
        <v>27</v>
      </c>
      <c r="R3687" s="9" t="s">
        <v>44</v>
      </c>
      <c r="S3687" s="9"/>
      <c r="T3687" s="9"/>
      <c r="U3687" s="9" t="str">
        <f aca="false">IF(COUNTIF($A$2:$A$5001,A3687)&gt;1,"Duplicate","Unique")</f>
        <v>Unique</v>
      </c>
      <c r="V3687" s="9" t="str">
        <f aca="false">IF(COUNTIFS($B$2:$B$5001,B3687,$H$2:$H$5001,H3687,$J$2:$J$5001,J3687)&gt;1,"Possible Duplicate Booking","Unique")</f>
        <v>Unique</v>
      </c>
      <c r="W3687" s="9" t="str">
        <f aca="false">IF((H3687-G3687)&lt;&gt;K3687,"Mismatch","OK")</f>
        <v>OK</v>
      </c>
      <c r="X3687" s="9" t="str">
        <f aca="false">IF(TEXT(H3687,"dddd")&lt;&gt;I3687,"Mismatch","OK")</f>
        <v>OK</v>
      </c>
      <c r="Y3687" s="9" t="str">
        <f aca="false">IF(AND(N3687="No",O3687&lt;&gt;""),"Unexpected: channel present but no reminder sent",IF(AND(N3687="Yes",O3687=""),"Missing channel for sent reminder","OK"))</f>
        <v>OK</v>
      </c>
    </row>
    <row r="3688" customFormat="false" ht="15" hidden="false" customHeight="false" outlineLevel="0" collapsed="false">
      <c r="A3688" s="7" t="s">
        <v>5329</v>
      </c>
      <c r="B3688" s="7" t="s">
        <v>5330</v>
      </c>
      <c r="C3688" s="7" t="s">
        <v>47</v>
      </c>
      <c r="D3688" s="7" t="n">
        <v>26</v>
      </c>
      <c r="E3688" s="7" t="s">
        <v>48</v>
      </c>
      <c r="F3688" s="7" t="s">
        <v>74</v>
      </c>
      <c r="G3688" s="8" t="n">
        <v>45710</v>
      </c>
      <c r="H3688" s="8" t="n">
        <v>45715</v>
      </c>
      <c r="I3688" s="7" t="s">
        <v>62</v>
      </c>
      <c r="J3688" s="7" t="s">
        <v>41</v>
      </c>
      <c r="K3688" s="7" t="n">
        <v>5</v>
      </c>
      <c r="L3688" s="7" t="n">
        <v>3</v>
      </c>
      <c r="M3688" s="7" t="n">
        <v>2</v>
      </c>
      <c r="N3688" s="7" t="s">
        <v>42</v>
      </c>
      <c r="O3688" s="7" t="s">
        <v>52</v>
      </c>
      <c r="P3688" s="7" t="n">
        <v>3</v>
      </c>
      <c r="Q3688" s="7" t="n">
        <v>15</v>
      </c>
      <c r="R3688" s="7" t="s">
        <v>53</v>
      </c>
      <c r="S3688" s="7"/>
      <c r="T3688" s="7"/>
      <c r="U3688" s="7" t="str">
        <f aca="false">IF(COUNTIF($A$2:$A$5001,A3688)&gt;1,"Duplicate","Unique")</f>
        <v>Unique</v>
      </c>
      <c r="V3688" s="7" t="str">
        <f aca="false">IF(COUNTIFS($B$2:$B$5001,B3688,$H$2:$H$5001,H3688,$J$2:$J$5001,J3688)&gt;1,"Possible Duplicate Booking","Unique")</f>
        <v>Unique</v>
      </c>
      <c r="W3688" s="7" t="str">
        <f aca="false">IF((H3688-G3688)&lt;&gt;K3688,"Mismatch","OK")</f>
        <v>OK</v>
      </c>
      <c r="X3688" s="7" t="str">
        <f aca="false">IF(TEXT(H3688,"dddd")&lt;&gt;I3688,"Mismatch","OK")</f>
        <v>OK</v>
      </c>
      <c r="Y3688" s="7" t="str">
        <f aca="false">IF(AND(N3688="No",O3688&lt;&gt;""),"Unexpected: channel present but no reminder sent",IF(AND(N3688="Yes",O3688=""),"Missing channel for sent reminder","OK"))</f>
        <v>OK</v>
      </c>
    </row>
    <row r="3689" customFormat="false" ht="15" hidden="false" customHeight="false" outlineLevel="0" collapsed="false">
      <c r="A3689" s="9" t="s">
        <v>5331</v>
      </c>
      <c r="B3689" s="9" t="s">
        <v>4173</v>
      </c>
      <c r="C3689" s="9" t="s">
        <v>47</v>
      </c>
      <c r="D3689" s="9" t="n">
        <v>39</v>
      </c>
      <c r="E3689" s="9" t="s">
        <v>38</v>
      </c>
      <c r="F3689" s="9" t="s">
        <v>39</v>
      </c>
      <c r="G3689" s="10" t="n">
        <v>46157</v>
      </c>
      <c r="H3689" s="10" t="n">
        <v>46171</v>
      </c>
      <c r="I3689" s="9" t="s">
        <v>50</v>
      </c>
      <c r="J3689" s="9" t="s">
        <v>41</v>
      </c>
      <c r="K3689" s="9" t="n">
        <v>14</v>
      </c>
      <c r="L3689" s="9" t="n">
        <v>4</v>
      </c>
      <c r="M3689" s="9" t="n">
        <v>0</v>
      </c>
      <c r="N3689" s="9" t="s">
        <v>71</v>
      </c>
      <c r="O3689" s="9"/>
      <c r="P3689" s="9" t="n">
        <v>7.8</v>
      </c>
      <c r="Q3689" s="9" t="n">
        <v>20</v>
      </c>
      <c r="R3689" s="9" t="s">
        <v>53</v>
      </c>
      <c r="S3689" s="9"/>
      <c r="T3689" s="9"/>
      <c r="U3689" s="9" t="str">
        <f aca="false">IF(COUNTIF($A$2:$A$5001,A3689)&gt;1,"Duplicate","Unique")</f>
        <v>Unique</v>
      </c>
      <c r="V3689" s="9" t="str">
        <f aca="false">IF(COUNTIFS($B$2:$B$5001,B3689,$H$2:$H$5001,H3689,$J$2:$J$5001,J3689)&gt;1,"Possible Duplicate Booking","Unique")</f>
        <v>Unique</v>
      </c>
      <c r="W3689" s="9" t="str">
        <f aca="false">IF((H3689-G3689)&lt;&gt;K3689,"Mismatch","OK")</f>
        <v>OK</v>
      </c>
      <c r="X3689" s="9" t="str">
        <f aca="false">IF(TEXT(H3689,"dddd")&lt;&gt;I3689,"Mismatch","OK")</f>
        <v>OK</v>
      </c>
      <c r="Y3689" s="9" t="str">
        <f aca="false">IF(AND(N3689="No",O3689&lt;&gt;""),"Unexpected: channel present but no reminder sent",IF(AND(N3689="Yes",O3689=""),"Missing channel for sent reminder","OK"))</f>
        <v>OK</v>
      </c>
    </row>
    <row r="3690" customFormat="false" ht="15" hidden="false" customHeight="false" outlineLevel="0" collapsed="false">
      <c r="A3690" s="7" t="s">
        <v>5332</v>
      </c>
      <c r="B3690" s="7" t="s">
        <v>838</v>
      </c>
      <c r="C3690" s="7" t="s">
        <v>37</v>
      </c>
      <c r="D3690" s="7" t="n">
        <v>34</v>
      </c>
      <c r="E3690" s="7" t="s">
        <v>48</v>
      </c>
      <c r="F3690" s="7" t="s">
        <v>57</v>
      </c>
      <c r="G3690" s="8" t="n">
        <v>46153</v>
      </c>
      <c r="H3690" s="8" t="n">
        <v>46185</v>
      </c>
      <c r="I3690" s="7" t="s">
        <v>50</v>
      </c>
      <c r="J3690" s="7" t="s">
        <v>63</v>
      </c>
      <c r="K3690" s="7" t="n">
        <v>32</v>
      </c>
      <c r="L3690" s="7" t="n">
        <v>2</v>
      </c>
      <c r="M3690" s="7" t="n">
        <v>0</v>
      </c>
      <c r="N3690" s="7" t="s">
        <v>71</v>
      </c>
      <c r="O3690" s="7"/>
      <c r="P3690" s="7" t="n">
        <v>12.8</v>
      </c>
      <c r="Q3690" s="7" t="n">
        <v>27</v>
      </c>
      <c r="R3690" s="7" t="s">
        <v>44</v>
      </c>
      <c r="S3690" s="7"/>
      <c r="T3690" s="7"/>
      <c r="U3690" s="7" t="str">
        <f aca="false">IF(COUNTIF($A$2:$A$5001,A3690)&gt;1,"Duplicate","Unique")</f>
        <v>Unique</v>
      </c>
      <c r="V3690" s="7" t="str">
        <f aca="false">IF(COUNTIFS($B$2:$B$5001,B3690,$H$2:$H$5001,H3690,$J$2:$J$5001,J3690)&gt;1,"Possible Duplicate Booking","Unique")</f>
        <v>Unique</v>
      </c>
      <c r="W3690" s="7" t="str">
        <f aca="false">IF((H3690-G3690)&lt;&gt;K3690,"Mismatch","OK")</f>
        <v>OK</v>
      </c>
      <c r="X3690" s="7" t="str">
        <f aca="false">IF(TEXT(H3690,"dddd")&lt;&gt;I3690,"Mismatch","OK")</f>
        <v>OK</v>
      </c>
      <c r="Y3690" s="7" t="str">
        <f aca="false">IF(AND(N3690="No",O3690&lt;&gt;""),"Unexpected: channel present but no reminder sent",IF(AND(N3690="Yes",O3690=""),"Missing channel for sent reminder","OK"))</f>
        <v>OK</v>
      </c>
    </row>
    <row r="3691" customFormat="false" ht="15" hidden="false" customHeight="false" outlineLevel="0" collapsed="false">
      <c r="A3691" s="9" t="s">
        <v>5333</v>
      </c>
      <c r="B3691" s="9" t="s">
        <v>5334</v>
      </c>
      <c r="C3691" s="9" t="s">
        <v>47</v>
      </c>
      <c r="D3691" s="9" t="n">
        <v>55</v>
      </c>
      <c r="E3691" s="9" t="s">
        <v>61</v>
      </c>
      <c r="F3691" s="9" t="s">
        <v>57</v>
      </c>
      <c r="G3691" s="10" t="n">
        <v>45705</v>
      </c>
      <c r="H3691" s="10" t="n">
        <v>45749</v>
      </c>
      <c r="I3691" s="9" t="s">
        <v>58</v>
      </c>
      <c r="J3691" s="9" t="s">
        <v>51</v>
      </c>
      <c r="K3691" s="9" t="n">
        <v>44</v>
      </c>
      <c r="L3691" s="9" t="n">
        <v>7</v>
      </c>
      <c r="M3691" s="9" t="n">
        <v>2</v>
      </c>
      <c r="N3691" s="9" t="s">
        <v>71</v>
      </c>
      <c r="O3691" s="9"/>
      <c r="P3691" s="9" t="n">
        <v>11.8</v>
      </c>
      <c r="Q3691" s="9" t="n">
        <v>29</v>
      </c>
      <c r="R3691" s="9" t="s">
        <v>53</v>
      </c>
      <c r="S3691" s="9"/>
      <c r="T3691" s="9"/>
      <c r="U3691" s="9" t="str">
        <f aca="false">IF(COUNTIF($A$2:$A$5001,A3691)&gt;1,"Duplicate","Unique")</f>
        <v>Unique</v>
      </c>
      <c r="V3691" s="9" t="str">
        <f aca="false">IF(COUNTIFS($B$2:$B$5001,B3691,$H$2:$H$5001,H3691,$J$2:$J$5001,J3691)&gt;1,"Possible Duplicate Booking","Unique")</f>
        <v>Unique</v>
      </c>
      <c r="W3691" s="9" t="str">
        <f aca="false">IF((H3691-G3691)&lt;&gt;K3691,"Mismatch","OK")</f>
        <v>OK</v>
      </c>
      <c r="X3691" s="9" t="str">
        <f aca="false">IF(TEXT(H3691,"dddd")&lt;&gt;I3691,"Mismatch","OK")</f>
        <v>OK</v>
      </c>
      <c r="Y3691" s="9" t="str">
        <f aca="false">IF(AND(N3691="No",O3691&lt;&gt;""),"Unexpected: channel present but no reminder sent",IF(AND(N3691="Yes",O3691=""),"Missing channel for sent reminder","OK"))</f>
        <v>OK</v>
      </c>
    </row>
    <row r="3692" customFormat="false" ht="15" hidden="false" customHeight="false" outlineLevel="0" collapsed="false">
      <c r="A3692" s="7" t="s">
        <v>5335</v>
      </c>
      <c r="B3692" s="7" t="s">
        <v>233</v>
      </c>
      <c r="C3692" s="7" t="s">
        <v>47</v>
      </c>
      <c r="D3692" s="7" t="n">
        <v>67</v>
      </c>
      <c r="E3692" s="7" t="s">
        <v>70</v>
      </c>
      <c r="F3692" s="7" t="s">
        <v>57</v>
      </c>
      <c r="G3692" s="8" t="n">
        <v>45857</v>
      </c>
      <c r="H3692" s="8" t="n">
        <v>45877</v>
      </c>
      <c r="I3692" s="7" t="s">
        <v>50</v>
      </c>
      <c r="J3692" s="7" t="s">
        <v>51</v>
      </c>
      <c r="K3692" s="7" t="n">
        <v>20</v>
      </c>
      <c r="L3692" s="7" t="n">
        <v>1</v>
      </c>
      <c r="M3692" s="7" t="n">
        <v>0</v>
      </c>
      <c r="N3692" s="7" t="s">
        <v>42</v>
      </c>
      <c r="O3692" s="7" t="s">
        <v>52</v>
      </c>
      <c r="P3692" s="7" t="n">
        <v>5</v>
      </c>
      <c r="Q3692" s="7" t="n">
        <v>30</v>
      </c>
      <c r="R3692" s="7" t="s">
        <v>53</v>
      </c>
      <c r="S3692" s="7"/>
      <c r="T3692" s="7"/>
      <c r="U3692" s="7" t="str">
        <f aca="false">IF(COUNTIF($A$2:$A$5001,A3692)&gt;1,"Duplicate","Unique")</f>
        <v>Unique</v>
      </c>
      <c r="V3692" s="7" t="str">
        <f aca="false">IF(COUNTIFS($B$2:$B$5001,B3692,$H$2:$H$5001,H3692,$J$2:$J$5001,J3692)&gt;1,"Possible Duplicate Booking","Unique")</f>
        <v>Unique</v>
      </c>
      <c r="W3692" s="7" t="str">
        <f aca="false">IF((H3692-G3692)&lt;&gt;K3692,"Mismatch","OK")</f>
        <v>OK</v>
      </c>
      <c r="X3692" s="7" t="str">
        <f aca="false">IF(TEXT(H3692,"dddd")&lt;&gt;I3692,"Mismatch","OK")</f>
        <v>OK</v>
      </c>
      <c r="Y3692" s="7" t="str">
        <f aca="false">IF(AND(N3692="No",O3692&lt;&gt;""),"Unexpected: channel present but no reminder sent",IF(AND(N3692="Yes",O3692=""),"Missing channel for sent reminder","OK"))</f>
        <v>OK</v>
      </c>
    </row>
    <row r="3693" customFormat="false" ht="15" hidden="false" customHeight="false" outlineLevel="0" collapsed="false">
      <c r="A3693" s="9" t="s">
        <v>5336</v>
      </c>
      <c r="B3693" s="9" t="s">
        <v>5337</v>
      </c>
      <c r="C3693" s="9" t="s">
        <v>47</v>
      </c>
      <c r="D3693" s="9" t="n">
        <v>23</v>
      </c>
      <c r="E3693" s="9" t="s">
        <v>82</v>
      </c>
      <c r="F3693" s="9" t="s">
        <v>57</v>
      </c>
      <c r="G3693" s="10" t="n">
        <v>45943</v>
      </c>
      <c r="H3693" s="10" t="n">
        <v>46000</v>
      </c>
      <c r="I3693" s="9" t="s">
        <v>40</v>
      </c>
      <c r="J3693" s="9" t="s">
        <v>51</v>
      </c>
      <c r="K3693" s="9" t="n">
        <v>57</v>
      </c>
      <c r="L3693" s="9" t="n">
        <v>2</v>
      </c>
      <c r="M3693" s="9" t="n">
        <v>0</v>
      </c>
      <c r="N3693" s="9" t="s">
        <v>42</v>
      </c>
      <c r="O3693" s="9" t="s">
        <v>52</v>
      </c>
      <c r="P3693" s="9" t="n">
        <v>9.7</v>
      </c>
      <c r="Q3693" s="9"/>
      <c r="R3693" s="9" t="s">
        <v>44</v>
      </c>
      <c r="S3693" s="9"/>
      <c r="T3693" s="9"/>
      <c r="U3693" s="9" t="str">
        <f aca="false">IF(COUNTIF($A$2:$A$5001,A3693)&gt;1,"Duplicate","Unique")</f>
        <v>Unique</v>
      </c>
      <c r="V3693" s="9" t="str">
        <f aca="false">IF(COUNTIFS($B$2:$B$5001,B3693,$H$2:$H$5001,H3693,$J$2:$J$5001,J3693)&gt;1,"Possible Duplicate Booking","Unique")</f>
        <v>Unique</v>
      </c>
      <c r="W3693" s="9" t="str">
        <f aca="false">IF((H3693-G3693)&lt;&gt;K3693,"Mismatch","OK")</f>
        <v>OK</v>
      </c>
      <c r="X3693" s="9" t="str">
        <f aca="false">IF(TEXT(H3693,"dddd")&lt;&gt;I3693,"Mismatch","OK")</f>
        <v>OK</v>
      </c>
      <c r="Y3693" s="9" t="str">
        <f aca="false">IF(AND(N3693="No",O3693&lt;&gt;""),"Unexpected: channel present but no reminder sent",IF(AND(N3693="Yes",O3693=""),"Missing channel for sent reminder","OK"))</f>
        <v>OK</v>
      </c>
    </row>
    <row r="3694" customFormat="false" ht="15" hidden="false" customHeight="false" outlineLevel="0" collapsed="false">
      <c r="A3694" s="7" t="s">
        <v>5338</v>
      </c>
      <c r="B3694" s="7" t="s">
        <v>195</v>
      </c>
      <c r="C3694" s="7" t="s">
        <v>37</v>
      </c>
      <c r="D3694" s="7" t="n">
        <v>55</v>
      </c>
      <c r="E3694" s="7" t="s">
        <v>61</v>
      </c>
      <c r="F3694" s="7" t="s">
        <v>39</v>
      </c>
      <c r="G3694" s="8" t="n">
        <v>45704</v>
      </c>
      <c r="H3694" s="8" t="n">
        <v>45764</v>
      </c>
      <c r="I3694" s="7" t="s">
        <v>62</v>
      </c>
      <c r="J3694" s="7" t="s">
        <v>63</v>
      </c>
      <c r="K3694" s="7" t="n">
        <v>60</v>
      </c>
      <c r="L3694" s="7" t="n">
        <v>3</v>
      </c>
      <c r="M3694" s="7" t="n">
        <v>0</v>
      </c>
      <c r="N3694" s="7" t="s">
        <v>42</v>
      </c>
      <c r="O3694" s="7" t="s">
        <v>67</v>
      </c>
      <c r="P3694" s="7" t="n">
        <v>3.6</v>
      </c>
      <c r="Q3694" s="7" t="n">
        <v>32</v>
      </c>
      <c r="R3694" s="7" t="s">
        <v>53</v>
      </c>
      <c r="S3694" s="7"/>
      <c r="T3694" s="7"/>
      <c r="U3694" s="7" t="str">
        <f aca="false">IF(COUNTIF($A$2:$A$5001,A3694)&gt;1,"Duplicate","Unique")</f>
        <v>Unique</v>
      </c>
      <c r="V3694" s="7" t="str">
        <f aca="false">IF(COUNTIFS($B$2:$B$5001,B3694,$H$2:$H$5001,H3694,$J$2:$J$5001,J3694)&gt;1,"Possible Duplicate Booking","Unique")</f>
        <v>Unique</v>
      </c>
      <c r="W3694" s="7" t="str">
        <f aca="false">IF((H3694-G3694)&lt;&gt;K3694,"Mismatch","OK")</f>
        <v>OK</v>
      </c>
      <c r="X3694" s="7" t="str">
        <f aca="false">IF(TEXT(H3694,"dddd")&lt;&gt;I3694,"Mismatch","OK")</f>
        <v>OK</v>
      </c>
      <c r="Y3694" s="7" t="str">
        <f aca="false">IF(AND(N3694="No",O3694&lt;&gt;""),"Unexpected: channel present but no reminder sent",IF(AND(N3694="Yes",O3694=""),"Missing channel for sent reminder","OK"))</f>
        <v>OK</v>
      </c>
    </row>
    <row r="3695" customFormat="false" ht="15" hidden="false" customHeight="false" outlineLevel="0" collapsed="false">
      <c r="A3695" s="9" t="s">
        <v>5339</v>
      </c>
      <c r="B3695" s="9" t="s">
        <v>4930</v>
      </c>
      <c r="C3695" s="9" t="s">
        <v>37</v>
      </c>
      <c r="D3695" s="9" t="n">
        <v>31</v>
      </c>
      <c r="E3695" s="9" t="s">
        <v>48</v>
      </c>
      <c r="F3695" s="9" t="s">
        <v>39</v>
      </c>
      <c r="G3695" s="10" t="n">
        <v>45790</v>
      </c>
      <c r="H3695" s="10" t="n">
        <v>45836</v>
      </c>
      <c r="I3695" s="9" t="s">
        <v>102</v>
      </c>
      <c r="J3695" s="9" t="s">
        <v>41</v>
      </c>
      <c r="K3695" s="9" t="n">
        <v>46</v>
      </c>
      <c r="L3695" s="9" t="n">
        <v>1</v>
      </c>
      <c r="M3695" s="9" t="n">
        <v>0</v>
      </c>
      <c r="N3695" s="9" t="s">
        <v>71</v>
      </c>
      <c r="O3695" s="9"/>
      <c r="P3695" s="9" t="n">
        <v>14.6</v>
      </c>
      <c r="Q3695" s="9" t="n">
        <v>30</v>
      </c>
      <c r="R3695" s="9" t="s">
        <v>53</v>
      </c>
      <c r="S3695" s="9"/>
      <c r="T3695" s="9"/>
      <c r="U3695" s="9" t="str">
        <f aca="false">IF(COUNTIF($A$2:$A$5001,A3695)&gt;1,"Duplicate","Unique")</f>
        <v>Unique</v>
      </c>
      <c r="V3695" s="9" t="str">
        <f aca="false">IF(COUNTIFS($B$2:$B$5001,B3695,$H$2:$H$5001,H3695,$J$2:$J$5001,J3695)&gt;1,"Possible Duplicate Booking","Unique")</f>
        <v>Unique</v>
      </c>
      <c r="W3695" s="9" t="str">
        <f aca="false">IF((H3695-G3695)&lt;&gt;K3695,"Mismatch","OK")</f>
        <v>OK</v>
      </c>
      <c r="X3695" s="9" t="str">
        <f aca="false">IF(TEXT(H3695,"dddd")&lt;&gt;I3695,"Mismatch","OK")</f>
        <v>OK</v>
      </c>
      <c r="Y3695" s="9" t="str">
        <f aca="false">IF(AND(N3695="No",O3695&lt;&gt;""),"Unexpected: channel present but no reminder sent",IF(AND(N3695="Yes",O3695=""),"Missing channel for sent reminder","OK"))</f>
        <v>OK</v>
      </c>
    </row>
    <row r="3696" customFormat="false" ht="15" hidden="false" customHeight="false" outlineLevel="0" collapsed="false">
      <c r="A3696" s="7" t="s">
        <v>5340</v>
      </c>
      <c r="B3696" s="7" t="s">
        <v>2162</v>
      </c>
      <c r="C3696" s="7" t="s">
        <v>37</v>
      </c>
      <c r="D3696" s="7" t="n">
        <v>22</v>
      </c>
      <c r="E3696" s="7" t="s">
        <v>82</v>
      </c>
      <c r="F3696" s="7" t="s">
        <v>39</v>
      </c>
      <c r="G3696" s="8" t="n">
        <v>45846</v>
      </c>
      <c r="H3696" s="8" t="n">
        <v>45873</v>
      </c>
      <c r="I3696" s="7" t="s">
        <v>66</v>
      </c>
      <c r="J3696" s="7" t="s">
        <v>41</v>
      </c>
      <c r="K3696" s="7" t="n">
        <v>27</v>
      </c>
      <c r="L3696" s="7" t="n">
        <v>0</v>
      </c>
      <c r="M3696" s="7" t="n">
        <v>0</v>
      </c>
      <c r="N3696" s="7" t="s">
        <v>71</v>
      </c>
      <c r="O3696" s="7"/>
      <c r="P3696" s="7" t="n">
        <v>7.4</v>
      </c>
      <c r="Q3696" s="7" t="n">
        <v>17</v>
      </c>
      <c r="R3696" s="7" t="s">
        <v>44</v>
      </c>
      <c r="S3696" s="7"/>
      <c r="T3696" s="7"/>
      <c r="U3696" s="7" t="str">
        <f aca="false">IF(COUNTIF($A$2:$A$5001,A3696)&gt;1,"Duplicate","Unique")</f>
        <v>Unique</v>
      </c>
      <c r="V3696" s="7" t="str">
        <f aca="false">IF(COUNTIFS($B$2:$B$5001,B3696,$H$2:$H$5001,H3696,$J$2:$J$5001,J3696)&gt;1,"Possible Duplicate Booking","Unique")</f>
        <v>Unique</v>
      </c>
      <c r="W3696" s="7" t="str">
        <f aca="false">IF((H3696-G3696)&lt;&gt;K3696,"Mismatch","OK")</f>
        <v>OK</v>
      </c>
      <c r="X3696" s="7" t="str">
        <f aca="false">IF(TEXT(H3696,"dddd")&lt;&gt;I3696,"Mismatch","OK")</f>
        <v>OK</v>
      </c>
      <c r="Y3696" s="7" t="str">
        <f aca="false">IF(AND(N3696="No",O3696&lt;&gt;""),"Unexpected: channel present but no reminder sent",IF(AND(N3696="Yes",O3696=""),"Missing channel for sent reminder","OK"))</f>
        <v>OK</v>
      </c>
    </row>
    <row r="3697" customFormat="false" ht="15" hidden="false" customHeight="false" outlineLevel="0" collapsed="false">
      <c r="A3697" s="9" t="s">
        <v>5341</v>
      </c>
      <c r="B3697" s="9" t="s">
        <v>3614</v>
      </c>
      <c r="C3697" s="9" t="s">
        <v>37</v>
      </c>
      <c r="D3697" s="9" t="n">
        <v>44</v>
      </c>
      <c r="E3697" s="9" t="s">
        <v>38</v>
      </c>
      <c r="F3697" s="9" t="s">
        <v>39</v>
      </c>
      <c r="G3697" s="10" t="n">
        <v>45955</v>
      </c>
      <c r="H3697" s="10" t="n">
        <v>46008</v>
      </c>
      <c r="I3697" s="9" t="s">
        <v>58</v>
      </c>
      <c r="J3697" s="9" t="s">
        <v>41</v>
      </c>
      <c r="K3697" s="9" t="n">
        <v>53</v>
      </c>
      <c r="L3697" s="9" t="n">
        <v>2</v>
      </c>
      <c r="M3697" s="9" t="n">
        <v>0</v>
      </c>
      <c r="N3697" s="9" t="s">
        <v>42</v>
      </c>
      <c r="O3697" s="9" t="s">
        <v>43</v>
      </c>
      <c r="P3697" s="9" t="n">
        <v>9.9</v>
      </c>
      <c r="Q3697" s="9" t="n">
        <v>22</v>
      </c>
      <c r="R3697" s="9" t="s">
        <v>53</v>
      </c>
      <c r="S3697" s="9"/>
      <c r="T3697" s="9"/>
      <c r="U3697" s="9" t="str">
        <f aca="false">IF(COUNTIF($A$2:$A$5001,A3697)&gt;1,"Duplicate","Unique")</f>
        <v>Unique</v>
      </c>
      <c r="V3697" s="9" t="str">
        <f aca="false">IF(COUNTIFS($B$2:$B$5001,B3697,$H$2:$H$5001,H3697,$J$2:$J$5001,J3697)&gt;1,"Possible Duplicate Booking","Unique")</f>
        <v>Unique</v>
      </c>
      <c r="W3697" s="9" t="str">
        <f aca="false">IF((H3697-G3697)&lt;&gt;K3697,"Mismatch","OK")</f>
        <v>OK</v>
      </c>
      <c r="X3697" s="9" t="str">
        <f aca="false">IF(TEXT(H3697,"dddd")&lt;&gt;I3697,"Mismatch","OK")</f>
        <v>OK</v>
      </c>
      <c r="Y3697" s="9" t="str">
        <f aca="false">IF(AND(N3697="No",O3697&lt;&gt;""),"Unexpected: channel present but no reminder sent",IF(AND(N3697="Yes",O3697=""),"Missing channel for sent reminder","OK"))</f>
        <v>OK</v>
      </c>
    </row>
    <row r="3698" customFormat="false" ht="15" hidden="false" customHeight="false" outlineLevel="0" collapsed="false">
      <c r="A3698" s="7" t="s">
        <v>5342</v>
      </c>
      <c r="B3698" s="7" t="s">
        <v>978</v>
      </c>
      <c r="C3698" s="7" t="s">
        <v>37</v>
      </c>
      <c r="D3698" s="7" t="n">
        <v>54</v>
      </c>
      <c r="E3698" s="7" t="s">
        <v>56</v>
      </c>
      <c r="F3698" s="7" t="s">
        <v>57</v>
      </c>
      <c r="G3698" s="8" t="n">
        <v>45782</v>
      </c>
      <c r="H3698" s="8" t="n">
        <v>45826</v>
      </c>
      <c r="I3698" s="7" t="s">
        <v>58</v>
      </c>
      <c r="J3698" s="7" t="s">
        <v>41</v>
      </c>
      <c r="K3698" s="7" t="n">
        <v>44</v>
      </c>
      <c r="L3698" s="7" t="n">
        <v>1</v>
      </c>
      <c r="M3698" s="7" t="n">
        <v>0</v>
      </c>
      <c r="N3698" s="7" t="s">
        <v>42</v>
      </c>
      <c r="O3698" s="7" t="s">
        <v>43</v>
      </c>
      <c r="P3698" s="7" t="n">
        <v>11.1</v>
      </c>
      <c r="Q3698" s="7" t="n">
        <v>10</v>
      </c>
      <c r="R3698" s="7" t="s">
        <v>44</v>
      </c>
      <c r="S3698" s="7"/>
      <c r="T3698" s="7"/>
      <c r="U3698" s="7" t="str">
        <f aca="false">IF(COUNTIF($A$2:$A$5001,A3698)&gt;1,"Duplicate","Unique")</f>
        <v>Unique</v>
      </c>
      <c r="V3698" s="7" t="str">
        <f aca="false">IF(COUNTIFS($B$2:$B$5001,B3698,$H$2:$H$5001,H3698,$J$2:$J$5001,J3698)&gt;1,"Possible Duplicate Booking","Unique")</f>
        <v>Unique</v>
      </c>
      <c r="W3698" s="7" t="str">
        <f aca="false">IF((H3698-G3698)&lt;&gt;K3698,"Mismatch","OK")</f>
        <v>OK</v>
      </c>
      <c r="X3698" s="7" t="str">
        <f aca="false">IF(TEXT(H3698,"dddd")&lt;&gt;I3698,"Mismatch","OK")</f>
        <v>OK</v>
      </c>
      <c r="Y3698" s="7" t="str">
        <f aca="false">IF(AND(N3698="No",O3698&lt;&gt;""),"Unexpected: channel present but no reminder sent",IF(AND(N3698="Yes",O3698=""),"Missing channel for sent reminder","OK"))</f>
        <v>OK</v>
      </c>
    </row>
    <row r="3699" customFormat="false" ht="15" hidden="false" customHeight="false" outlineLevel="0" collapsed="false">
      <c r="A3699" s="9" t="s">
        <v>5343</v>
      </c>
      <c r="B3699" s="9" t="s">
        <v>639</v>
      </c>
      <c r="C3699" s="9" t="s">
        <v>47</v>
      </c>
      <c r="D3699" s="9" t="n">
        <v>30</v>
      </c>
      <c r="E3699" s="9" t="s">
        <v>48</v>
      </c>
      <c r="F3699" s="9" t="s">
        <v>57</v>
      </c>
      <c r="G3699" s="10" t="n">
        <v>45852</v>
      </c>
      <c r="H3699" s="10" t="n">
        <v>45883</v>
      </c>
      <c r="I3699" s="9" t="s">
        <v>62</v>
      </c>
      <c r="J3699" s="9" t="s">
        <v>51</v>
      </c>
      <c r="K3699" s="9" t="n">
        <v>31</v>
      </c>
      <c r="L3699" s="9" t="n">
        <v>4</v>
      </c>
      <c r="M3699" s="9" t="n">
        <v>0</v>
      </c>
      <c r="N3699" s="9" t="s">
        <v>71</v>
      </c>
      <c r="O3699" s="9"/>
      <c r="P3699" s="9" t="n">
        <v>7.5</v>
      </c>
      <c r="Q3699" s="9" t="n">
        <v>19</v>
      </c>
      <c r="R3699" s="9" t="s">
        <v>44</v>
      </c>
      <c r="S3699" s="9"/>
      <c r="T3699" s="9"/>
      <c r="U3699" s="9" t="str">
        <f aca="false">IF(COUNTIF($A$2:$A$5001,A3699)&gt;1,"Duplicate","Unique")</f>
        <v>Unique</v>
      </c>
      <c r="V3699" s="9" t="str">
        <f aca="false">IF(COUNTIFS($B$2:$B$5001,B3699,$H$2:$H$5001,H3699,$J$2:$J$5001,J3699)&gt;1,"Possible Duplicate Booking","Unique")</f>
        <v>Unique</v>
      </c>
      <c r="W3699" s="9" t="str">
        <f aca="false">IF((H3699-G3699)&lt;&gt;K3699,"Mismatch","OK")</f>
        <v>OK</v>
      </c>
      <c r="X3699" s="9" t="str">
        <f aca="false">IF(TEXT(H3699,"dddd")&lt;&gt;I3699,"Mismatch","OK")</f>
        <v>OK</v>
      </c>
      <c r="Y3699" s="9" t="str">
        <f aca="false">IF(AND(N3699="No",O3699&lt;&gt;""),"Unexpected: channel present but no reminder sent",IF(AND(N3699="Yes",O3699=""),"Missing channel for sent reminder","OK"))</f>
        <v>OK</v>
      </c>
    </row>
    <row r="3700" customFormat="false" ht="15" hidden="false" customHeight="false" outlineLevel="0" collapsed="false">
      <c r="A3700" s="7" t="s">
        <v>5344</v>
      </c>
      <c r="B3700" s="7" t="s">
        <v>1441</v>
      </c>
      <c r="C3700" s="7" t="s">
        <v>47</v>
      </c>
      <c r="D3700" s="7" t="n">
        <v>42</v>
      </c>
      <c r="E3700" s="7" t="s">
        <v>38</v>
      </c>
      <c r="F3700" s="7" t="s">
        <v>57</v>
      </c>
      <c r="G3700" s="8" t="n">
        <v>45789</v>
      </c>
      <c r="H3700" s="8" t="n">
        <v>45816</v>
      </c>
      <c r="I3700" s="7" t="s">
        <v>75</v>
      </c>
      <c r="J3700" s="7" t="s">
        <v>51</v>
      </c>
      <c r="K3700" s="7" t="n">
        <v>27</v>
      </c>
      <c r="L3700" s="7" t="n">
        <v>2</v>
      </c>
      <c r="M3700" s="7" t="n">
        <v>0</v>
      </c>
      <c r="N3700" s="7" t="s">
        <v>71</v>
      </c>
      <c r="O3700" s="7"/>
      <c r="P3700" s="7" t="n">
        <v>11.1</v>
      </c>
      <c r="Q3700" s="7" t="n">
        <v>29</v>
      </c>
      <c r="R3700" s="7" t="s">
        <v>53</v>
      </c>
      <c r="S3700" s="7"/>
      <c r="T3700" s="7"/>
      <c r="U3700" s="7" t="str">
        <f aca="false">IF(COUNTIF($A$2:$A$5001,A3700)&gt;1,"Duplicate","Unique")</f>
        <v>Unique</v>
      </c>
      <c r="V3700" s="7" t="str">
        <f aca="false">IF(COUNTIFS($B$2:$B$5001,B3700,$H$2:$H$5001,H3700,$J$2:$J$5001,J3700)&gt;1,"Possible Duplicate Booking","Unique")</f>
        <v>Unique</v>
      </c>
      <c r="W3700" s="7" t="str">
        <f aca="false">IF((H3700-G3700)&lt;&gt;K3700,"Mismatch","OK")</f>
        <v>OK</v>
      </c>
      <c r="X3700" s="7" t="str">
        <f aca="false">IF(TEXT(H3700,"dddd")&lt;&gt;I3700,"Mismatch","OK")</f>
        <v>OK</v>
      </c>
      <c r="Y3700" s="7" t="str">
        <f aca="false">IF(AND(N3700="No",O3700&lt;&gt;""),"Unexpected: channel present but no reminder sent",IF(AND(N3700="Yes",O3700=""),"Missing channel for sent reminder","OK"))</f>
        <v>OK</v>
      </c>
    </row>
    <row r="3701" customFormat="false" ht="15" hidden="false" customHeight="false" outlineLevel="0" collapsed="false">
      <c r="A3701" s="9" t="s">
        <v>5345</v>
      </c>
      <c r="B3701" s="9" t="s">
        <v>2451</v>
      </c>
      <c r="C3701" s="9" t="s">
        <v>47</v>
      </c>
      <c r="D3701" s="9" t="n">
        <v>78</v>
      </c>
      <c r="E3701" s="9" t="s">
        <v>70</v>
      </c>
      <c r="F3701" s="9" t="s">
        <v>57</v>
      </c>
      <c r="G3701" s="10" t="n">
        <v>46022</v>
      </c>
      <c r="H3701" s="10" t="n">
        <v>46072</v>
      </c>
      <c r="I3701" s="9" t="s">
        <v>62</v>
      </c>
      <c r="J3701" s="9" t="s">
        <v>51</v>
      </c>
      <c r="K3701" s="9" t="n">
        <v>50</v>
      </c>
      <c r="L3701" s="9" t="n">
        <v>2</v>
      </c>
      <c r="M3701" s="9" t="n">
        <v>0</v>
      </c>
      <c r="N3701" s="9" t="s">
        <v>71</v>
      </c>
      <c r="O3701" s="9"/>
      <c r="P3701" s="9" t="n">
        <v>14.9</v>
      </c>
      <c r="Q3701" s="9" t="n">
        <v>28</v>
      </c>
      <c r="R3701" s="9" t="s">
        <v>87</v>
      </c>
      <c r="S3701" s="9"/>
      <c r="T3701" s="9"/>
      <c r="U3701" s="9" t="str">
        <f aca="false">IF(COUNTIF($A$2:$A$5001,A3701)&gt;1,"Duplicate","Unique")</f>
        <v>Unique</v>
      </c>
      <c r="V3701" s="9" t="str">
        <f aca="false">IF(COUNTIFS($B$2:$B$5001,B3701,$H$2:$H$5001,H3701,$J$2:$J$5001,J3701)&gt;1,"Possible Duplicate Booking","Unique")</f>
        <v>Unique</v>
      </c>
      <c r="W3701" s="9" t="str">
        <f aca="false">IF((H3701-G3701)&lt;&gt;K3701,"Mismatch","OK")</f>
        <v>OK</v>
      </c>
      <c r="X3701" s="9" t="str">
        <f aca="false">IF(TEXT(H3701,"dddd")&lt;&gt;I3701,"Mismatch","OK")</f>
        <v>OK</v>
      </c>
      <c r="Y3701" s="9" t="str">
        <f aca="false">IF(AND(N3701="No",O3701&lt;&gt;""),"Unexpected: channel present but no reminder sent",IF(AND(N3701="Yes",O3701=""),"Missing channel for sent reminder","OK"))</f>
        <v>OK</v>
      </c>
    </row>
    <row r="3702" customFormat="false" ht="15" hidden="false" customHeight="false" outlineLevel="0" collapsed="false">
      <c r="A3702" s="7" t="s">
        <v>5346</v>
      </c>
      <c r="B3702" s="7" t="s">
        <v>439</v>
      </c>
      <c r="C3702" s="7" t="s">
        <v>37</v>
      </c>
      <c r="D3702" s="7" t="n">
        <v>39</v>
      </c>
      <c r="E3702" s="7" t="s">
        <v>38</v>
      </c>
      <c r="F3702" s="7" t="s">
        <v>49</v>
      </c>
      <c r="G3702" s="8" t="n">
        <v>45708</v>
      </c>
      <c r="H3702" s="8" t="n">
        <v>45741</v>
      </c>
      <c r="I3702" s="7" t="s">
        <v>40</v>
      </c>
      <c r="J3702" s="7" t="s">
        <v>51</v>
      </c>
      <c r="K3702" s="7" t="n">
        <v>33</v>
      </c>
      <c r="L3702" s="7" t="n">
        <v>2</v>
      </c>
      <c r="M3702" s="7" t="n">
        <v>0</v>
      </c>
      <c r="N3702" s="7" t="s">
        <v>42</v>
      </c>
      <c r="O3702" s="7" t="s">
        <v>52</v>
      </c>
      <c r="P3702" s="7" t="n">
        <v>4</v>
      </c>
      <c r="Q3702" s="7" t="n">
        <v>31</v>
      </c>
      <c r="R3702" s="7" t="s">
        <v>44</v>
      </c>
      <c r="S3702" s="7"/>
      <c r="T3702" s="7"/>
      <c r="U3702" s="7" t="str">
        <f aca="false">IF(COUNTIF($A$2:$A$5001,A3702)&gt;1,"Duplicate","Unique")</f>
        <v>Unique</v>
      </c>
      <c r="V3702" s="7" t="str">
        <f aca="false">IF(COUNTIFS($B$2:$B$5001,B3702,$H$2:$H$5001,H3702,$J$2:$J$5001,J3702)&gt;1,"Possible Duplicate Booking","Unique")</f>
        <v>Unique</v>
      </c>
      <c r="W3702" s="7" t="str">
        <f aca="false">IF((H3702-G3702)&lt;&gt;K3702,"Mismatch","OK")</f>
        <v>OK</v>
      </c>
      <c r="X3702" s="7" t="str">
        <f aca="false">IF(TEXT(H3702,"dddd")&lt;&gt;I3702,"Mismatch","OK")</f>
        <v>OK</v>
      </c>
      <c r="Y3702" s="7" t="str">
        <f aca="false">IF(AND(N3702="No",O3702&lt;&gt;""),"Unexpected: channel present but no reminder sent",IF(AND(N3702="Yes",O3702=""),"Missing channel for sent reminder","OK"))</f>
        <v>OK</v>
      </c>
    </row>
    <row r="3703" customFormat="false" ht="15" hidden="false" customHeight="false" outlineLevel="0" collapsed="false">
      <c r="A3703" s="9" t="s">
        <v>5347</v>
      </c>
      <c r="B3703" s="9" t="s">
        <v>5348</v>
      </c>
      <c r="C3703" s="9" t="s">
        <v>37</v>
      </c>
      <c r="D3703" s="9" t="n">
        <v>80</v>
      </c>
      <c r="E3703" s="9" t="s">
        <v>70</v>
      </c>
      <c r="F3703" s="9" t="s">
        <v>57</v>
      </c>
      <c r="G3703" s="10" t="n">
        <v>45772</v>
      </c>
      <c r="H3703" s="10" t="n">
        <v>45783</v>
      </c>
      <c r="I3703" s="9" t="s">
        <v>40</v>
      </c>
      <c r="J3703" s="9" t="s">
        <v>41</v>
      </c>
      <c r="K3703" s="9" t="n">
        <v>11</v>
      </c>
      <c r="L3703" s="9" t="n">
        <v>3</v>
      </c>
      <c r="M3703" s="9" t="n">
        <v>2</v>
      </c>
      <c r="N3703" s="9" t="s">
        <v>42</v>
      </c>
      <c r="O3703" s="9" t="s">
        <v>52</v>
      </c>
      <c r="P3703" s="9" t="n">
        <v>17.1</v>
      </c>
      <c r="Q3703" s="9" t="n">
        <v>40</v>
      </c>
      <c r="R3703" s="9" t="s">
        <v>53</v>
      </c>
      <c r="S3703" s="9"/>
      <c r="T3703" s="9"/>
      <c r="U3703" s="9" t="str">
        <f aca="false">IF(COUNTIF($A$2:$A$5001,A3703)&gt;1,"Duplicate","Unique")</f>
        <v>Unique</v>
      </c>
      <c r="V3703" s="9" t="str">
        <f aca="false">IF(COUNTIFS($B$2:$B$5001,B3703,$H$2:$H$5001,H3703,$J$2:$J$5001,J3703)&gt;1,"Possible Duplicate Booking","Unique")</f>
        <v>Unique</v>
      </c>
      <c r="W3703" s="9" t="str">
        <f aca="false">IF((H3703-G3703)&lt;&gt;K3703,"Mismatch","OK")</f>
        <v>OK</v>
      </c>
      <c r="X3703" s="9" t="str">
        <f aca="false">IF(TEXT(H3703,"dddd")&lt;&gt;I3703,"Mismatch","OK")</f>
        <v>OK</v>
      </c>
      <c r="Y3703" s="9" t="str">
        <f aca="false">IF(AND(N3703="No",O3703&lt;&gt;""),"Unexpected: channel present but no reminder sent",IF(AND(N3703="Yes",O3703=""),"Missing channel for sent reminder","OK"))</f>
        <v>OK</v>
      </c>
    </row>
    <row r="3704" customFormat="false" ht="15" hidden="false" customHeight="false" outlineLevel="0" collapsed="false">
      <c r="A3704" s="7" t="s">
        <v>5349</v>
      </c>
      <c r="B3704" s="7" t="s">
        <v>2088</v>
      </c>
      <c r="C3704" s="7" t="s">
        <v>47</v>
      </c>
      <c r="D3704" s="7" t="n">
        <v>70</v>
      </c>
      <c r="E3704" s="7" t="s">
        <v>70</v>
      </c>
      <c r="F3704" s="7" t="s">
        <v>39</v>
      </c>
      <c r="G3704" s="8" t="n">
        <v>45734</v>
      </c>
      <c r="H3704" s="8" t="n">
        <v>45794</v>
      </c>
      <c r="I3704" s="7" t="s">
        <v>102</v>
      </c>
      <c r="J3704" s="7" t="s">
        <v>51</v>
      </c>
      <c r="K3704" s="7" t="n">
        <v>60</v>
      </c>
      <c r="L3704" s="7" t="n">
        <v>1</v>
      </c>
      <c r="M3704" s="7" t="n">
        <v>0</v>
      </c>
      <c r="N3704" s="7" t="s">
        <v>42</v>
      </c>
      <c r="O3704" s="7" t="s">
        <v>52</v>
      </c>
      <c r="P3704" s="7" t="n">
        <v>6</v>
      </c>
      <c r="Q3704" s="7" t="n">
        <v>10</v>
      </c>
      <c r="R3704" s="7" t="s">
        <v>44</v>
      </c>
      <c r="S3704" s="7"/>
      <c r="T3704" s="7"/>
      <c r="U3704" s="7" t="str">
        <f aca="false">IF(COUNTIF($A$2:$A$5001,A3704)&gt;1,"Duplicate","Unique")</f>
        <v>Unique</v>
      </c>
      <c r="V3704" s="7" t="str">
        <f aca="false">IF(COUNTIFS($B$2:$B$5001,B3704,$H$2:$H$5001,H3704,$J$2:$J$5001,J3704)&gt;1,"Possible Duplicate Booking","Unique")</f>
        <v>Unique</v>
      </c>
      <c r="W3704" s="7" t="str">
        <f aca="false">IF((H3704-G3704)&lt;&gt;K3704,"Mismatch","OK")</f>
        <v>OK</v>
      </c>
      <c r="X3704" s="7" t="str">
        <f aca="false">IF(TEXT(H3704,"dddd")&lt;&gt;I3704,"Mismatch","OK")</f>
        <v>OK</v>
      </c>
      <c r="Y3704" s="7" t="str">
        <f aca="false">IF(AND(N3704="No",O3704&lt;&gt;""),"Unexpected: channel present but no reminder sent",IF(AND(N3704="Yes",O3704=""),"Missing channel for sent reminder","OK"))</f>
        <v>OK</v>
      </c>
    </row>
    <row r="3705" customFormat="false" ht="15" hidden="false" customHeight="false" outlineLevel="0" collapsed="false">
      <c r="A3705" s="9" t="s">
        <v>5350</v>
      </c>
      <c r="B3705" s="9" t="s">
        <v>447</v>
      </c>
      <c r="C3705" s="9" t="s">
        <v>47</v>
      </c>
      <c r="D3705" s="9" t="n">
        <v>41</v>
      </c>
      <c r="E3705" s="9" t="s">
        <v>38</v>
      </c>
      <c r="F3705" s="9" t="s">
        <v>57</v>
      </c>
      <c r="G3705" s="10" t="n">
        <v>46148</v>
      </c>
      <c r="H3705" s="10" t="n">
        <v>46152</v>
      </c>
      <c r="I3705" s="9" t="s">
        <v>75</v>
      </c>
      <c r="J3705" s="9" t="s">
        <v>41</v>
      </c>
      <c r="K3705" s="9" t="n">
        <v>4</v>
      </c>
      <c r="L3705" s="9" t="n">
        <v>2</v>
      </c>
      <c r="M3705" s="9" t="n">
        <v>1</v>
      </c>
      <c r="N3705" s="9" t="s">
        <v>42</v>
      </c>
      <c r="O3705" s="9" t="s">
        <v>52</v>
      </c>
      <c r="P3705" s="9" t="n">
        <v>11.5</v>
      </c>
      <c r="Q3705" s="9" t="n">
        <v>3</v>
      </c>
      <c r="R3705" s="9" t="s">
        <v>53</v>
      </c>
      <c r="S3705" s="9"/>
      <c r="T3705" s="9"/>
      <c r="U3705" s="9" t="str">
        <f aca="false">IF(COUNTIF($A$2:$A$5001,A3705)&gt;1,"Duplicate","Unique")</f>
        <v>Unique</v>
      </c>
      <c r="V3705" s="9" t="str">
        <f aca="false">IF(COUNTIFS($B$2:$B$5001,B3705,$H$2:$H$5001,H3705,$J$2:$J$5001,J3705)&gt;1,"Possible Duplicate Booking","Unique")</f>
        <v>Unique</v>
      </c>
      <c r="W3705" s="9" t="str">
        <f aca="false">IF((H3705-G3705)&lt;&gt;K3705,"Mismatch","OK")</f>
        <v>OK</v>
      </c>
      <c r="X3705" s="9" t="str">
        <f aca="false">IF(TEXT(H3705,"dddd")&lt;&gt;I3705,"Mismatch","OK")</f>
        <v>OK</v>
      </c>
      <c r="Y3705" s="9" t="str">
        <f aca="false">IF(AND(N3705="No",O3705&lt;&gt;""),"Unexpected: channel present but no reminder sent",IF(AND(N3705="Yes",O3705=""),"Missing channel for sent reminder","OK"))</f>
        <v>OK</v>
      </c>
    </row>
    <row r="3706" customFormat="false" ht="15" hidden="false" customHeight="false" outlineLevel="0" collapsed="false">
      <c r="A3706" s="7" t="s">
        <v>5351</v>
      </c>
      <c r="B3706" s="7" t="s">
        <v>4112</v>
      </c>
      <c r="C3706" s="7" t="s">
        <v>47</v>
      </c>
      <c r="D3706" s="7" t="n">
        <v>54</v>
      </c>
      <c r="E3706" s="7" t="s">
        <v>56</v>
      </c>
      <c r="F3706" s="7" t="s">
        <v>57</v>
      </c>
      <c r="G3706" s="8" t="n">
        <v>46131</v>
      </c>
      <c r="H3706" s="8" t="n">
        <v>46173</v>
      </c>
      <c r="I3706" s="7" t="s">
        <v>75</v>
      </c>
      <c r="J3706" s="7" t="s">
        <v>41</v>
      </c>
      <c r="K3706" s="7" t="n">
        <v>42</v>
      </c>
      <c r="L3706" s="7" t="n">
        <v>6</v>
      </c>
      <c r="M3706" s="7" t="n">
        <v>1</v>
      </c>
      <c r="N3706" s="7" t="s">
        <v>71</v>
      </c>
      <c r="O3706" s="7"/>
      <c r="P3706" s="7" t="n">
        <v>7.3</v>
      </c>
      <c r="Q3706" s="7" t="n">
        <v>21</v>
      </c>
      <c r="R3706" s="7" t="s">
        <v>53</v>
      </c>
      <c r="S3706" s="7"/>
      <c r="T3706" s="7"/>
      <c r="U3706" s="7" t="str">
        <f aca="false">IF(COUNTIF($A$2:$A$5001,A3706)&gt;1,"Duplicate","Unique")</f>
        <v>Unique</v>
      </c>
      <c r="V3706" s="7" t="str">
        <f aca="false">IF(COUNTIFS($B$2:$B$5001,B3706,$H$2:$H$5001,H3706,$J$2:$J$5001,J3706)&gt;1,"Possible Duplicate Booking","Unique")</f>
        <v>Unique</v>
      </c>
      <c r="W3706" s="7" t="str">
        <f aca="false">IF((H3706-G3706)&lt;&gt;K3706,"Mismatch","OK")</f>
        <v>OK</v>
      </c>
      <c r="X3706" s="7" t="str">
        <f aca="false">IF(TEXT(H3706,"dddd")&lt;&gt;I3706,"Mismatch","OK")</f>
        <v>OK</v>
      </c>
      <c r="Y3706" s="7" t="str">
        <f aca="false">IF(AND(N3706="No",O3706&lt;&gt;""),"Unexpected: channel present but no reminder sent",IF(AND(N3706="Yes",O3706=""),"Missing channel for sent reminder","OK"))</f>
        <v>OK</v>
      </c>
    </row>
    <row r="3707" customFormat="false" ht="15" hidden="false" customHeight="false" outlineLevel="0" collapsed="false">
      <c r="A3707" s="9" t="s">
        <v>5352</v>
      </c>
      <c r="B3707" s="9" t="s">
        <v>4821</v>
      </c>
      <c r="C3707" s="9" t="s">
        <v>47</v>
      </c>
      <c r="D3707" s="9" t="n">
        <v>62</v>
      </c>
      <c r="E3707" s="9" t="s">
        <v>61</v>
      </c>
      <c r="F3707" s="9" t="s">
        <v>57</v>
      </c>
      <c r="G3707" s="10" t="n">
        <v>45891</v>
      </c>
      <c r="H3707" s="10" t="n">
        <v>45931</v>
      </c>
      <c r="I3707" s="9" t="s">
        <v>58</v>
      </c>
      <c r="J3707" s="9" t="s">
        <v>41</v>
      </c>
      <c r="K3707" s="9" t="n">
        <v>40</v>
      </c>
      <c r="L3707" s="9" t="n">
        <v>8</v>
      </c>
      <c r="M3707" s="9" t="n">
        <v>5</v>
      </c>
      <c r="N3707" s="9" t="s">
        <v>42</v>
      </c>
      <c r="O3707" s="9" t="s">
        <v>67</v>
      </c>
      <c r="P3707" s="9" t="n">
        <v>10.3</v>
      </c>
      <c r="Q3707" s="9" t="n">
        <v>40</v>
      </c>
      <c r="R3707" s="9" t="s">
        <v>44</v>
      </c>
      <c r="S3707" s="9"/>
      <c r="T3707" s="9"/>
      <c r="U3707" s="9" t="str">
        <f aca="false">IF(COUNTIF($A$2:$A$5001,A3707)&gt;1,"Duplicate","Unique")</f>
        <v>Unique</v>
      </c>
      <c r="V3707" s="9" t="str">
        <f aca="false">IF(COUNTIFS($B$2:$B$5001,B3707,$H$2:$H$5001,H3707,$J$2:$J$5001,J3707)&gt;1,"Possible Duplicate Booking","Unique")</f>
        <v>Unique</v>
      </c>
      <c r="W3707" s="9" t="str">
        <f aca="false">IF((H3707-G3707)&lt;&gt;K3707,"Mismatch","OK")</f>
        <v>OK</v>
      </c>
      <c r="X3707" s="9" t="str">
        <f aca="false">IF(TEXT(H3707,"dddd")&lt;&gt;I3707,"Mismatch","OK")</f>
        <v>OK</v>
      </c>
      <c r="Y3707" s="9" t="str">
        <f aca="false">IF(AND(N3707="No",O3707&lt;&gt;""),"Unexpected: channel present but no reminder sent",IF(AND(N3707="Yes",O3707=""),"Missing channel for sent reminder","OK"))</f>
        <v>OK</v>
      </c>
    </row>
    <row r="3708" customFormat="false" ht="15" hidden="false" customHeight="false" outlineLevel="0" collapsed="false">
      <c r="A3708" s="7" t="s">
        <v>5353</v>
      </c>
      <c r="B3708" s="7" t="s">
        <v>504</v>
      </c>
      <c r="C3708" s="7" t="s">
        <v>37</v>
      </c>
      <c r="D3708" s="7" t="n">
        <v>47</v>
      </c>
      <c r="E3708" s="7" t="s">
        <v>56</v>
      </c>
      <c r="F3708" s="7" t="s">
        <v>39</v>
      </c>
      <c r="G3708" s="8" t="n">
        <v>45708</v>
      </c>
      <c r="H3708" s="8" t="n">
        <v>45743</v>
      </c>
      <c r="I3708" s="7" t="s">
        <v>62</v>
      </c>
      <c r="J3708" s="7" t="s">
        <v>63</v>
      </c>
      <c r="K3708" s="7" t="n">
        <v>35</v>
      </c>
      <c r="L3708" s="7" t="n">
        <v>7</v>
      </c>
      <c r="M3708" s="7" t="n">
        <v>1</v>
      </c>
      <c r="N3708" s="7" t="s">
        <v>42</v>
      </c>
      <c r="O3708" s="7" t="s">
        <v>52</v>
      </c>
      <c r="P3708" s="7" t="n">
        <v>16.4</v>
      </c>
      <c r="Q3708" s="7" t="n">
        <v>40</v>
      </c>
      <c r="R3708" s="7" t="s">
        <v>44</v>
      </c>
      <c r="S3708" s="7"/>
      <c r="T3708" s="7"/>
      <c r="U3708" s="7" t="str">
        <f aca="false">IF(COUNTIF($A$2:$A$5001,A3708)&gt;1,"Duplicate","Unique")</f>
        <v>Unique</v>
      </c>
      <c r="V3708" s="7" t="str">
        <f aca="false">IF(COUNTIFS($B$2:$B$5001,B3708,$H$2:$H$5001,H3708,$J$2:$J$5001,J3708)&gt;1,"Possible Duplicate Booking","Unique")</f>
        <v>Unique</v>
      </c>
      <c r="W3708" s="7" t="str">
        <f aca="false">IF((H3708-G3708)&lt;&gt;K3708,"Mismatch","OK")</f>
        <v>OK</v>
      </c>
      <c r="X3708" s="7" t="str">
        <f aca="false">IF(TEXT(H3708,"dddd")&lt;&gt;I3708,"Mismatch","OK")</f>
        <v>OK</v>
      </c>
      <c r="Y3708" s="7" t="str">
        <f aca="false">IF(AND(N3708="No",O3708&lt;&gt;""),"Unexpected: channel present but no reminder sent",IF(AND(N3708="Yes",O3708=""),"Missing channel for sent reminder","OK"))</f>
        <v>OK</v>
      </c>
    </row>
    <row r="3709" customFormat="false" ht="15" hidden="false" customHeight="false" outlineLevel="0" collapsed="false">
      <c r="A3709" s="9" t="s">
        <v>5354</v>
      </c>
      <c r="B3709" s="9" t="s">
        <v>3153</v>
      </c>
      <c r="C3709" s="9" t="s">
        <v>47</v>
      </c>
      <c r="D3709" s="9" t="n">
        <v>43</v>
      </c>
      <c r="E3709" s="9" t="s">
        <v>38</v>
      </c>
      <c r="F3709" s="9" t="s">
        <v>39</v>
      </c>
      <c r="G3709" s="10" t="n">
        <v>46067</v>
      </c>
      <c r="H3709" s="10" t="n">
        <v>46070</v>
      </c>
      <c r="I3709" s="9" t="s">
        <v>40</v>
      </c>
      <c r="J3709" s="9" t="s">
        <v>51</v>
      </c>
      <c r="K3709" s="9" t="n">
        <v>3</v>
      </c>
      <c r="L3709" s="9" t="n">
        <v>4</v>
      </c>
      <c r="M3709" s="9" t="n">
        <v>2</v>
      </c>
      <c r="N3709" s="9" t="s">
        <v>71</v>
      </c>
      <c r="O3709" s="9"/>
      <c r="P3709" s="9" t="n">
        <v>8.5</v>
      </c>
      <c r="Q3709" s="9" t="n">
        <v>26</v>
      </c>
      <c r="R3709" s="9" t="s">
        <v>53</v>
      </c>
      <c r="S3709" s="9"/>
      <c r="T3709" s="9"/>
      <c r="U3709" s="9" t="str">
        <f aca="false">IF(COUNTIF($A$2:$A$5001,A3709)&gt;1,"Duplicate","Unique")</f>
        <v>Unique</v>
      </c>
      <c r="V3709" s="9" t="str">
        <f aca="false">IF(COUNTIFS($B$2:$B$5001,B3709,$H$2:$H$5001,H3709,$J$2:$J$5001,J3709)&gt;1,"Possible Duplicate Booking","Unique")</f>
        <v>Unique</v>
      </c>
      <c r="W3709" s="9" t="str">
        <f aca="false">IF((H3709-G3709)&lt;&gt;K3709,"Mismatch","OK")</f>
        <v>OK</v>
      </c>
      <c r="X3709" s="9" t="str">
        <f aca="false">IF(TEXT(H3709,"dddd")&lt;&gt;I3709,"Mismatch","OK")</f>
        <v>OK</v>
      </c>
      <c r="Y3709" s="9" t="str">
        <f aca="false">IF(AND(N3709="No",O3709&lt;&gt;""),"Unexpected: channel present but no reminder sent",IF(AND(N3709="Yes",O3709=""),"Missing channel for sent reminder","OK"))</f>
        <v>OK</v>
      </c>
    </row>
    <row r="3710" customFormat="false" ht="15" hidden="false" customHeight="false" outlineLevel="0" collapsed="false">
      <c r="A3710" s="7" t="s">
        <v>5355</v>
      </c>
      <c r="B3710" s="7" t="s">
        <v>5356</v>
      </c>
      <c r="C3710" s="7" t="s">
        <v>47</v>
      </c>
      <c r="D3710" s="7" t="n">
        <v>38</v>
      </c>
      <c r="E3710" s="7" t="s">
        <v>38</v>
      </c>
      <c r="F3710" s="7" t="s">
        <v>49</v>
      </c>
      <c r="G3710" s="8" t="n">
        <v>45896</v>
      </c>
      <c r="H3710" s="8" t="n">
        <v>45926</v>
      </c>
      <c r="I3710" s="7" t="s">
        <v>50</v>
      </c>
      <c r="J3710" s="7" t="s">
        <v>41</v>
      </c>
      <c r="K3710" s="7" t="n">
        <v>30</v>
      </c>
      <c r="L3710" s="7" t="n">
        <v>3</v>
      </c>
      <c r="M3710" s="7" t="n">
        <v>0</v>
      </c>
      <c r="N3710" s="7" t="s">
        <v>42</v>
      </c>
      <c r="O3710" s="7" t="s">
        <v>52</v>
      </c>
      <c r="P3710" s="7" t="n">
        <v>11</v>
      </c>
      <c r="Q3710" s="7" t="n">
        <v>21</v>
      </c>
      <c r="R3710" s="7" t="s">
        <v>44</v>
      </c>
      <c r="S3710" s="7"/>
      <c r="T3710" s="7"/>
      <c r="U3710" s="7" t="str">
        <f aca="false">IF(COUNTIF($A$2:$A$5001,A3710)&gt;1,"Duplicate","Unique")</f>
        <v>Unique</v>
      </c>
      <c r="V3710" s="7" t="str">
        <f aca="false">IF(COUNTIFS($B$2:$B$5001,B3710,$H$2:$H$5001,H3710,$J$2:$J$5001,J3710)&gt;1,"Possible Duplicate Booking","Unique")</f>
        <v>Unique</v>
      </c>
      <c r="W3710" s="7" t="str">
        <f aca="false">IF((H3710-G3710)&lt;&gt;K3710,"Mismatch","OK")</f>
        <v>OK</v>
      </c>
      <c r="X3710" s="7" t="str">
        <f aca="false">IF(TEXT(H3710,"dddd")&lt;&gt;I3710,"Mismatch","OK")</f>
        <v>OK</v>
      </c>
      <c r="Y3710" s="7" t="str">
        <f aca="false">IF(AND(N3710="No",O3710&lt;&gt;""),"Unexpected: channel present but no reminder sent",IF(AND(N3710="Yes",O3710=""),"Missing channel for sent reminder","OK"))</f>
        <v>OK</v>
      </c>
    </row>
    <row r="3711" customFormat="false" ht="15" hidden="false" customHeight="false" outlineLevel="0" collapsed="false">
      <c r="A3711" s="9" t="s">
        <v>5357</v>
      </c>
      <c r="B3711" s="9" t="s">
        <v>1291</v>
      </c>
      <c r="C3711" s="9" t="s">
        <v>37</v>
      </c>
      <c r="D3711" s="9" t="n">
        <v>26</v>
      </c>
      <c r="E3711" s="9" t="s">
        <v>48</v>
      </c>
      <c r="F3711" s="9" t="s">
        <v>57</v>
      </c>
      <c r="G3711" s="10" t="n">
        <v>46067</v>
      </c>
      <c r="H3711" s="10" t="n">
        <v>46121</v>
      </c>
      <c r="I3711" s="9" t="s">
        <v>62</v>
      </c>
      <c r="J3711" s="9" t="s">
        <v>51</v>
      </c>
      <c r="K3711" s="9" t="n">
        <v>54</v>
      </c>
      <c r="L3711" s="9" t="n">
        <v>5</v>
      </c>
      <c r="M3711" s="9" t="n">
        <v>1</v>
      </c>
      <c r="N3711" s="9" t="s">
        <v>42</v>
      </c>
      <c r="O3711" s="9" t="s">
        <v>52</v>
      </c>
      <c r="P3711" s="9" t="n">
        <v>19.4</v>
      </c>
      <c r="Q3711" s="9" t="n">
        <v>27</v>
      </c>
      <c r="R3711" s="9" t="s">
        <v>44</v>
      </c>
      <c r="S3711" s="9"/>
      <c r="T3711" s="9"/>
      <c r="U3711" s="9" t="str">
        <f aca="false">IF(COUNTIF($A$2:$A$5001,A3711)&gt;1,"Duplicate","Unique")</f>
        <v>Unique</v>
      </c>
      <c r="V3711" s="9" t="str">
        <f aca="false">IF(COUNTIFS($B$2:$B$5001,B3711,$H$2:$H$5001,H3711,$J$2:$J$5001,J3711)&gt;1,"Possible Duplicate Booking","Unique")</f>
        <v>Unique</v>
      </c>
      <c r="W3711" s="9" t="str">
        <f aca="false">IF((H3711-G3711)&lt;&gt;K3711,"Mismatch","OK")</f>
        <v>OK</v>
      </c>
      <c r="X3711" s="9" t="str">
        <f aca="false">IF(TEXT(H3711,"dddd")&lt;&gt;I3711,"Mismatch","OK")</f>
        <v>OK</v>
      </c>
      <c r="Y3711" s="9" t="str">
        <f aca="false">IF(AND(N3711="No",O3711&lt;&gt;""),"Unexpected: channel present but no reminder sent",IF(AND(N3711="Yes",O3711=""),"Missing channel for sent reminder","OK"))</f>
        <v>OK</v>
      </c>
    </row>
    <row r="3712" customFormat="false" ht="15" hidden="false" customHeight="false" outlineLevel="0" collapsed="false">
      <c r="A3712" s="7" t="s">
        <v>5358</v>
      </c>
      <c r="B3712" s="7" t="s">
        <v>745</v>
      </c>
      <c r="C3712" s="7" t="s">
        <v>47</v>
      </c>
      <c r="D3712" s="7" t="n">
        <v>19</v>
      </c>
      <c r="E3712" s="7" t="s">
        <v>82</v>
      </c>
      <c r="F3712" s="7" t="s">
        <v>39</v>
      </c>
      <c r="G3712" s="8" t="n">
        <v>45840</v>
      </c>
      <c r="H3712" s="8" t="n">
        <v>45854</v>
      </c>
      <c r="I3712" s="7" t="s">
        <v>58</v>
      </c>
      <c r="J3712" s="7" t="s">
        <v>41</v>
      </c>
      <c r="K3712" s="7" t="n">
        <v>14</v>
      </c>
      <c r="L3712" s="7" t="n">
        <v>6</v>
      </c>
      <c r="M3712" s="7" t="n">
        <v>0</v>
      </c>
      <c r="N3712" s="7" t="s">
        <v>71</v>
      </c>
      <c r="O3712" s="7"/>
      <c r="P3712" s="7" t="n">
        <v>6.2</v>
      </c>
      <c r="Q3712" s="7" t="n">
        <v>36</v>
      </c>
      <c r="R3712" s="7" t="s">
        <v>53</v>
      </c>
      <c r="S3712" s="7"/>
      <c r="T3712" s="7"/>
      <c r="U3712" s="7" t="str">
        <f aca="false">IF(COUNTIF($A$2:$A$5001,A3712)&gt;1,"Duplicate","Unique")</f>
        <v>Unique</v>
      </c>
      <c r="V3712" s="7" t="str">
        <f aca="false">IF(COUNTIFS($B$2:$B$5001,B3712,$H$2:$H$5001,H3712,$J$2:$J$5001,J3712)&gt;1,"Possible Duplicate Booking","Unique")</f>
        <v>Unique</v>
      </c>
      <c r="W3712" s="7" t="str">
        <f aca="false">IF((H3712-G3712)&lt;&gt;K3712,"Mismatch","OK")</f>
        <v>OK</v>
      </c>
      <c r="X3712" s="7" t="str">
        <f aca="false">IF(TEXT(H3712,"dddd")&lt;&gt;I3712,"Mismatch","OK")</f>
        <v>OK</v>
      </c>
      <c r="Y3712" s="7" t="str">
        <f aca="false">IF(AND(N3712="No",O3712&lt;&gt;""),"Unexpected: channel present but no reminder sent",IF(AND(N3712="Yes",O3712=""),"Missing channel for sent reminder","OK"))</f>
        <v>OK</v>
      </c>
    </row>
    <row r="3713" customFormat="false" ht="15" hidden="false" customHeight="false" outlineLevel="0" collapsed="false">
      <c r="A3713" s="9" t="s">
        <v>5359</v>
      </c>
      <c r="B3713" s="9" t="s">
        <v>1963</v>
      </c>
      <c r="C3713" s="9" t="s">
        <v>37</v>
      </c>
      <c r="D3713" s="9" t="n">
        <v>39</v>
      </c>
      <c r="E3713" s="9" t="s">
        <v>38</v>
      </c>
      <c r="F3713" s="9" t="s">
        <v>49</v>
      </c>
      <c r="G3713" s="10" t="n">
        <v>46161</v>
      </c>
      <c r="H3713" s="10" t="n">
        <v>46203</v>
      </c>
      <c r="I3713" s="9" t="s">
        <v>40</v>
      </c>
      <c r="J3713" s="9" t="s">
        <v>41</v>
      </c>
      <c r="K3713" s="9" t="n">
        <v>42</v>
      </c>
      <c r="L3713" s="9" t="n">
        <v>4</v>
      </c>
      <c r="M3713" s="9" t="n">
        <v>0</v>
      </c>
      <c r="N3713" s="9" t="s">
        <v>42</v>
      </c>
      <c r="O3713" s="9" t="s">
        <v>43</v>
      </c>
      <c r="P3713" s="9" t="n">
        <v>4.6</v>
      </c>
      <c r="Q3713" s="9" t="n">
        <v>15</v>
      </c>
      <c r="R3713" s="9" t="s">
        <v>44</v>
      </c>
      <c r="S3713" s="9"/>
      <c r="T3713" s="9"/>
      <c r="U3713" s="9" t="str">
        <f aca="false">IF(COUNTIF($A$2:$A$5001,A3713)&gt;1,"Duplicate","Unique")</f>
        <v>Unique</v>
      </c>
      <c r="V3713" s="9" t="str">
        <f aca="false">IF(COUNTIFS($B$2:$B$5001,B3713,$H$2:$H$5001,H3713,$J$2:$J$5001,J3713)&gt;1,"Possible Duplicate Booking","Unique")</f>
        <v>Unique</v>
      </c>
      <c r="W3713" s="9" t="str">
        <f aca="false">IF((H3713-G3713)&lt;&gt;K3713,"Mismatch","OK")</f>
        <v>OK</v>
      </c>
      <c r="X3713" s="9" t="str">
        <f aca="false">IF(TEXT(H3713,"dddd")&lt;&gt;I3713,"Mismatch","OK")</f>
        <v>OK</v>
      </c>
      <c r="Y3713" s="9" t="str">
        <f aca="false">IF(AND(N3713="No",O3713&lt;&gt;""),"Unexpected: channel present but no reminder sent",IF(AND(N3713="Yes",O3713=""),"Missing channel for sent reminder","OK"))</f>
        <v>OK</v>
      </c>
    </row>
    <row r="3714" customFormat="false" ht="15" hidden="false" customHeight="false" outlineLevel="0" collapsed="false">
      <c r="A3714" s="7" t="s">
        <v>5360</v>
      </c>
      <c r="B3714" s="7" t="s">
        <v>2497</v>
      </c>
      <c r="C3714" s="7" t="s">
        <v>37</v>
      </c>
      <c r="D3714" s="7" t="n">
        <v>68</v>
      </c>
      <c r="E3714" s="7" t="s">
        <v>70</v>
      </c>
      <c r="F3714" s="7" t="s">
        <v>57</v>
      </c>
      <c r="G3714" s="8" t="n">
        <v>46046</v>
      </c>
      <c r="H3714" s="8" t="n">
        <v>46098</v>
      </c>
      <c r="I3714" s="7" t="s">
        <v>40</v>
      </c>
      <c r="J3714" s="7" t="s">
        <v>51</v>
      </c>
      <c r="K3714" s="7" t="n">
        <v>52</v>
      </c>
      <c r="L3714" s="7" t="n">
        <v>4</v>
      </c>
      <c r="M3714" s="7" t="n">
        <v>0</v>
      </c>
      <c r="N3714" s="7" t="s">
        <v>42</v>
      </c>
      <c r="O3714" s="7" t="s">
        <v>67</v>
      </c>
      <c r="P3714" s="7" t="n">
        <v>15.6</v>
      </c>
      <c r="Q3714" s="7" t="n">
        <v>18</v>
      </c>
      <c r="R3714" s="7" t="s">
        <v>53</v>
      </c>
      <c r="S3714" s="7"/>
      <c r="T3714" s="7"/>
      <c r="U3714" s="7" t="str">
        <f aca="false">IF(COUNTIF($A$2:$A$5001,A3714)&gt;1,"Duplicate","Unique")</f>
        <v>Unique</v>
      </c>
      <c r="V3714" s="7" t="str">
        <f aca="false">IF(COUNTIFS($B$2:$B$5001,B3714,$H$2:$H$5001,H3714,$J$2:$J$5001,J3714)&gt;1,"Possible Duplicate Booking","Unique")</f>
        <v>Unique</v>
      </c>
      <c r="W3714" s="7" t="str">
        <f aca="false">IF((H3714-G3714)&lt;&gt;K3714,"Mismatch","OK")</f>
        <v>OK</v>
      </c>
      <c r="X3714" s="7" t="str">
        <f aca="false">IF(TEXT(H3714,"dddd")&lt;&gt;I3714,"Mismatch","OK")</f>
        <v>OK</v>
      </c>
      <c r="Y3714" s="7" t="str">
        <f aca="false">IF(AND(N3714="No",O3714&lt;&gt;""),"Unexpected: channel present but no reminder sent",IF(AND(N3714="Yes",O3714=""),"Missing channel for sent reminder","OK"))</f>
        <v>OK</v>
      </c>
    </row>
    <row r="3715" customFormat="false" ht="15" hidden="false" customHeight="false" outlineLevel="0" collapsed="false">
      <c r="A3715" s="9" t="s">
        <v>5361</v>
      </c>
      <c r="B3715" s="9" t="s">
        <v>728</v>
      </c>
      <c r="C3715" s="9" t="s">
        <v>37</v>
      </c>
      <c r="D3715" s="9" t="n">
        <v>32</v>
      </c>
      <c r="E3715" s="9" t="s">
        <v>48</v>
      </c>
      <c r="F3715" s="9" t="s">
        <v>57</v>
      </c>
      <c r="G3715" s="10" t="n">
        <v>45722</v>
      </c>
      <c r="H3715" s="10" t="n">
        <v>45780</v>
      </c>
      <c r="I3715" s="9" t="s">
        <v>102</v>
      </c>
      <c r="J3715" s="9" t="s">
        <v>51</v>
      </c>
      <c r="K3715" s="9" t="n">
        <v>58</v>
      </c>
      <c r="L3715" s="9" t="n">
        <v>1</v>
      </c>
      <c r="M3715" s="9" t="n">
        <v>0</v>
      </c>
      <c r="N3715" s="9" t="s">
        <v>71</v>
      </c>
      <c r="O3715" s="9"/>
      <c r="P3715" s="9" t="n">
        <v>7.6</v>
      </c>
      <c r="Q3715" s="9" t="n">
        <v>25</v>
      </c>
      <c r="R3715" s="9" t="s">
        <v>44</v>
      </c>
      <c r="S3715" s="9"/>
      <c r="T3715" s="9"/>
      <c r="U3715" s="9" t="str">
        <f aca="false">IF(COUNTIF($A$2:$A$5001,A3715)&gt;1,"Duplicate","Unique")</f>
        <v>Unique</v>
      </c>
      <c r="V3715" s="9" t="str">
        <f aca="false">IF(COUNTIFS($B$2:$B$5001,B3715,$H$2:$H$5001,H3715,$J$2:$J$5001,J3715)&gt;1,"Possible Duplicate Booking","Unique")</f>
        <v>Unique</v>
      </c>
      <c r="W3715" s="9" t="str">
        <f aca="false">IF((H3715-G3715)&lt;&gt;K3715,"Mismatch","OK")</f>
        <v>OK</v>
      </c>
      <c r="X3715" s="9" t="str">
        <f aca="false">IF(TEXT(H3715,"dddd")&lt;&gt;I3715,"Mismatch","OK")</f>
        <v>OK</v>
      </c>
      <c r="Y3715" s="9" t="str">
        <f aca="false">IF(AND(N3715="No",O3715&lt;&gt;""),"Unexpected: channel present but no reminder sent",IF(AND(N3715="Yes",O3715=""),"Missing channel for sent reminder","OK"))</f>
        <v>OK</v>
      </c>
    </row>
    <row r="3716" customFormat="false" ht="15" hidden="false" customHeight="false" outlineLevel="0" collapsed="false">
      <c r="A3716" s="7" t="s">
        <v>5362</v>
      </c>
      <c r="B3716" s="7" t="s">
        <v>5087</v>
      </c>
      <c r="C3716" s="7" t="s">
        <v>47</v>
      </c>
      <c r="D3716" s="7" t="n">
        <v>29</v>
      </c>
      <c r="E3716" s="7" t="s">
        <v>48</v>
      </c>
      <c r="F3716" s="7" t="s">
        <v>57</v>
      </c>
      <c r="G3716" s="8" t="n">
        <v>46023</v>
      </c>
      <c r="H3716" s="8" t="n">
        <v>46054</v>
      </c>
      <c r="I3716" s="7" t="s">
        <v>75</v>
      </c>
      <c r="J3716" s="7" t="s">
        <v>41</v>
      </c>
      <c r="K3716" s="7" t="n">
        <v>31</v>
      </c>
      <c r="L3716" s="7" t="n">
        <v>1</v>
      </c>
      <c r="M3716" s="7" t="n">
        <v>0</v>
      </c>
      <c r="N3716" s="7" t="s">
        <v>42</v>
      </c>
      <c r="O3716" s="7" t="s">
        <v>52</v>
      </c>
      <c r="P3716" s="7" t="n">
        <v>6.9</v>
      </c>
      <c r="Q3716" s="7" t="n">
        <v>36</v>
      </c>
      <c r="R3716" s="7" t="s">
        <v>44</v>
      </c>
      <c r="S3716" s="7"/>
      <c r="T3716" s="7"/>
      <c r="U3716" s="7" t="str">
        <f aca="false">IF(COUNTIF($A$2:$A$5001,A3716)&gt;1,"Duplicate","Unique")</f>
        <v>Unique</v>
      </c>
      <c r="V3716" s="7" t="str">
        <f aca="false">IF(COUNTIFS($B$2:$B$5001,B3716,$H$2:$H$5001,H3716,$J$2:$J$5001,J3716)&gt;1,"Possible Duplicate Booking","Unique")</f>
        <v>Unique</v>
      </c>
      <c r="W3716" s="7" t="str">
        <f aca="false">IF((H3716-G3716)&lt;&gt;K3716,"Mismatch","OK")</f>
        <v>OK</v>
      </c>
      <c r="X3716" s="7" t="str">
        <f aca="false">IF(TEXT(H3716,"dddd")&lt;&gt;I3716,"Mismatch","OK")</f>
        <v>OK</v>
      </c>
      <c r="Y3716" s="7" t="str">
        <f aca="false">IF(AND(N3716="No",O3716&lt;&gt;""),"Unexpected: channel present but no reminder sent",IF(AND(N3716="Yes",O3716=""),"Missing channel for sent reminder","OK"))</f>
        <v>OK</v>
      </c>
    </row>
    <row r="3717" customFormat="false" ht="15" hidden="false" customHeight="false" outlineLevel="0" collapsed="false">
      <c r="A3717" s="9" t="s">
        <v>5363</v>
      </c>
      <c r="B3717" s="9" t="s">
        <v>2655</v>
      </c>
      <c r="C3717" s="9" t="s">
        <v>47</v>
      </c>
      <c r="D3717" s="9" t="n">
        <v>38</v>
      </c>
      <c r="E3717" s="9" t="s">
        <v>38</v>
      </c>
      <c r="F3717" s="9" t="s">
        <v>57</v>
      </c>
      <c r="G3717" s="10" t="n">
        <v>45795</v>
      </c>
      <c r="H3717" s="10" t="n">
        <v>45814</v>
      </c>
      <c r="I3717" s="9" t="s">
        <v>50</v>
      </c>
      <c r="J3717" s="9" t="s">
        <v>41</v>
      </c>
      <c r="K3717" s="9" t="n">
        <v>19</v>
      </c>
      <c r="L3717" s="9" t="n">
        <v>1</v>
      </c>
      <c r="M3717" s="9" t="n">
        <v>0</v>
      </c>
      <c r="N3717" s="9" t="s">
        <v>42</v>
      </c>
      <c r="O3717" s="9" t="s">
        <v>67</v>
      </c>
      <c r="P3717" s="9" t="n">
        <v>17.3</v>
      </c>
      <c r="Q3717" s="9" t="n">
        <v>33</v>
      </c>
      <c r="R3717" s="9" t="s">
        <v>53</v>
      </c>
      <c r="S3717" s="9"/>
      <c r="T3717" s="9"/>
      <c r="U3717" s="9" t="str">
        <f aca="false">IF(COUNTIF($A$2:$A$5001,A3717)&gt;1,"Duplicate","Unique")</f>
        <v>Unique</v>
      </c>
      <c r="V3717" s="9" t="str">
        <f aca="false">IF(COUNTIFS($B$2:$B$5001,B3717,$H$2:$H$5001,H3717,$J$2:$J$5001,J3717)&gt;1,"Possible Duplicate Booking","Unique")</f>
        <v>Unique</v>
      </c>
      <c r="W3717" s="9" t="str">
        <f aca="false">IF((H3717-G3717)&lt;&gt;K3717,"Mismatch","OK")</f>
        <v>OK</v>
      </c>
      <c r="X3717" s="9" t="str">
        <f aca="false">IF(TEXT(H3717,"dddd")&lt;&gt;I3717,"Mismatch","OK")</f>
        <v>OK</v>
      </c>
      <c r="Y3717" s="9" t="str">
        <f aca="false">IF(AND(N3717="No",O3717&lt;&gt;""),"Unexpected: channel present but no reminder sent",IF(AND(N3717="Yes",O3717=""),"Missing channel for sent reminder","OK"))</f>
        <v>OK</v>
      </c>
    </row>
    <row r="3718" customFormat="false" ht="15" hidden="false" customHeight="false" outlineLevel="0" collapsed="false">
      <c r="A3718" s="7" t="s">
        <v>5364</v>
      </c>
      <c r="B3718" s="7" t="s">
        <v>4595</v>
      </c>
      <c r="C3718" s="7" t="s">
        <v>37</v>
      </c>
      <c r="D3718" s="7" t="n">
        <v>55</v>
      </c>
      <c r="E3718" s="7" t="s">
        <v>61</v>
      </c>
      <c r="F3718" s="7" t="s">
        <v>74</v>
      </c>
      <c r="G3718" s="8" t="n">
        <v>45806</v>
      </c>
      <c r="H3718" s="8" t="n">
        <v>45848</v>
      </c>
      <c r="I3718" s="7" t="s">
        <v>62</v>
      </c>
      <c r="J3718" s="7" t="s">
        <v>41</v>
      </c>
      <c r="K3718" s="7" t="n">
        <v>42</v>
      </c>
      <c r="L3718" s="7" t="n">
        <v>6</v>
      </c>
      <c r="M3718" s="7" t="n">
        <v>0</v>
      </c>
      <c r="N3718" s="7" t="s">
        <v>71</v>
      </c>
      <c r="O3718" s="7"/>
      <c r="P3718" s="7" t="n">
        <v>5</v>
      </c>
      <c r="Q3718" s="7" t="n">
        <v>2</v>
      </c>
      <c r="R3718" s="7" t="s">
        <v>44</v>
      </c>
      <c r="S3718" s="7"/>
      <c r="T3718" s="7"/>
      <c r="U3718" s="7" t="str">
        <f aca="false">IF(COUNTIF($A$2:$A$5001,A3718)&gt;1,"Duplicate","Unique")</f>
        <v>Unique</v>
      </c>
      <c r="V3718" s="7" t="str">
        <f aca="false">IF(COUNTIFS($B$2:$B$5001,B3718,$H$2:$H$5001,H3718,$J$2:$J$5001,J3718)&gt;1,"Possible Duplicate Booking","Unique")</f>
        <v>Unique</v>
      </c>
      <c r="W3718" s="7" t="str">
        <f aca="false">IF((H3718-G3718)&lt;&gt;K3718,"Mismatch","OK")</f>
        <v>OK</v>
      </c>
      <c r="X3718" s="7" t="str">
        <f aca="false">IF(TEXT(H3718,"dddd")&lt;&gt;I3718,"Mismatch","OK")</f>
        <v>OK</v>
      </c>
      <c r="Y3718" s="7" t="str">
        <f aca="false">IF(AND(N3718="No",O3718&lt;&gt;""),"Unexpected: channel present but no reminder sent",IF(AND(N3718="Yes",O3718=""),"Missing channel for sent reminder","OK"))</f>
        <v>OK</v>
      </c>
    </row>
    <row r="3719" customFormat="false" ht="15" hidden="false" customHeight="false" outlineLevel="0" collapsed="false">
      <c r="A3719" s="9" t="s">
        <v>5365</v>
      </c>
      <c r="B3719" s="9" t="s">
        <v>1092</v>
      </c>
      <c r="C3719" s="9" t="s">
        <v>47</v>
      </c>
      <c r="D3719" s="9" t="n">
        <v>31</v>
      </c>
      <c r="E3719" s="9" t="s">
        <v>48</v>
      </c>
      <c r="F3719" s="9" t="s">
        <v>57</v>
      </c>
      <c r="G3719" s="10" t="n">
        <v>45765</v>
      </c>
      <c r="H3719" s="10" t="n">
        <v>45794</v>
      </c>
      <c r="I3719" s="9" t="s">
        <v>102</v>
      </c>
      <c r="J3719" s="9" t="s">
        <v>51</v>
      </c>
      <c r="K3719" s="9" t="n">
        <v>29</v>
      </c>
      <c r="L3719" s="9" t="n">
        <v>4</v>
      </c>
      <c r="M3719" s="9" t="n">
        <v>0</v>
      </c>
      <c r="N3719" s="9" t="s">
        <v>42</v>
      </c>
      <c r="O3719" s="9" t="s">
        <v>52</v>
      </c>
      <c r="P3719" s="9" t="n">
        <v>11.6</v>
      </c>
      <c r="Q3719" s="9" t="n">
        <v>33</v>
      </c>
      <c r="R3719" s="9" t="s">
        <v>44</v>
      </c>
      <c r="S3719" s="9"/>
      <c r="T3719" s="9"/>
      <c r="U3719" s="9" t="str">
        <f aca="false">IF(COUNTIF($A$2:$A$5001,A3719)&gt;1,"Duplicate","Unique")</f>
        <v>Unique</v>
      </c>
      <c r="V3719" s="9" t="str">
        <f aca="false">IF(COUNTIFS($B$2:$B$5001,B3719,$H$2:$H$5001,H3719,$J$2:$J$5001,J3719)&gt;1,"Possible Duplicate Booking","Unique")</f>
        <v>Unique</v>
      </c>
      <c r="W3719" s="9" t="str">
        <f aca="false">IF((H3719-G3719)&lt;&gt;K3719,"Mismatch","OK")</f>
        <v>OK</v>
      </c>
      <c r="X3719" s="9" t="str">
        <f aca="false">IF(TEXT(H3719,"dddd")&lt;&gt;I3719,"Mismatch","OK")</f>
        <v>OK</v>
      </c>
      <c r="Y3719" s="9" t="str">
        <f aca="false">IF(AND(N3719="No",O3719&lt;&gt;""),"Unexpected: channel present but no reminder sent",IF(AND(N3719="Yes",O3719=""),"Missing channel for sent reminder","OK"))</f>
        <v>OK</v>
      </c>
    </row>
    <row r="3720" customFormat="false" ht="15" hidden="false" customHeight="false" outlineLevel="0" collapsed="false">
      <c r="A3720" s="7" t="s">
        <v>5366</v>
      </c>
      <c r="B3720" s="7" t="s">
        <v>112</v>
      </c>
      <c r="C3720" s="7" t="s">
        <v>47</v>
      </c>
      <c r="D3720" s="7" t="n">
        <v>31</v>
      </c>
      <c r="E3720" s="7" t="s">
        <v>48</v>
      </c>
      <c r="F3720" s="7" t="s">
        <v>39</v>
      </c>
      <c r="G3720" s="8" t="n">
        <v>45992</v>
      </c>
      <c r="H3720" s="8" t="n">
        <v>46030</v>
      </c>
      <c r="I3720" s="7" t="s">
        <v>62</v>
      </c>
      <c r="J3720" s="7" t="s">
        <v>41</v>
      </c>
      <c r="K3720" s="7" t="n">
        <v>38</v>
      </c>
      <c r="L3720" s="7" t="n">
        <v>5</v>
      </c>
      <c r="M3720" s="7" t="n">
        <v>1</v>
      </c>
      <c r="N3720" s="7" t="s">
        <v>42</v>
      </c>
      <c r="O3720" s="7" t="s">
        <v>52</v>
      </c>
      <c r="P3720" s="7" t="n">
        <v>21.5</v>
      </c>
      <c r="Q3720" s="7" t="n">
        <v>24</v>
      </c>
      <c r="R3720" s="7" t="s">
        <v>87</v>
      </c>
      <c r="S3720" s="7"/>
      <c r="T3720" s="7"/>
      <c r="U3720" s="7" t="str">
        <f aca="false">IF(COUNTIF($A$2:$A$5001,A3720)&gt;1,"Duplicate","Unique")</f>
        <v>Unique</v>
      </c>
      <c r="V3720" s="7" t="str">
        <f aca="false">IF(COUNTIFS($B$2:$B$5001,B3720,$H$2:$H$5001,H3720,$J$2:$J$5001,J3720)&gt;1,"Possible Duplicate Booking","Unique")</f>
        <v>Unique</v>
      </c>
      <c r="W3720" s="7" t="str">
        <f aca="false">IF((H3720-G3720)&lt;&gt;K3720,"Mismatch","OK")</f>
        <v>OK</v>
      </c>
      <c r="X3720" s="7" t="str">
        <f aca="false">IF(TEXT(H3720,"dddd")&lt;&gt;I3720,"Mismatch","OK")</f>
        <v>OK</v>
      </c>
      <c r="Y3720" s="7" t="str">
        <f aca="false">IF(AND(N3720="No",O3720&lt;&gt;""),"Unexpected: channel present but no reminder sent",IF(AND(N3720="Yes",O3720=""),"Missing channel for sent reminder","OK"))</f>
        <v>OK</v>
      </c>
    </row>
    <row r="3721" customFormat="false" ht="15" hidden="false" customHeight="false" outlineLevel="0" collapsed="false">
      <c r="A3721" s="9" t="s">
        <v>5367</v>
      </c>
      <c r="B3721" s="9" t="s">
        <v>5368</v>
      </c>
      <c r="C3721" s="9" t="s">
        <v>37</v>
      </c>
      <c r="D3721" s="9" t="n">
        <v>25</v>
      </c>
      <c r="E3721" s="9" t="s">
        <v>48</v>
      </c>
      <c r="F3721" s="9" t="s">
        <v>49</v>
      </c>
      <c r="G3721" s="10" t="n">
        <v>45756</v>
      </c>
      <c r="H3721" s="10" t="n">
        <v>45801</v>
      </c>
      <c r="I3721" s="9" t="s">
        <v>102</v>
      </c>
      <c r="J3721" s="9" t="s">
        <v>41</v>
      </c>
      <c r="K3721" s="9" t="n">
        <v>45</v>
      </c>
      <c r="L3721" s="9" t="n">
        <v>2</v>
      </c>
      <c r="M3721" s="9" t="n">
        <v>0</v>
      </c>
      <c r="N3721" s="9" t="s">
        <v>42</v>
      </c>
      <c r="O3721" s="9" t="s">
        <v>43</v>
      </c>
      <c r="P3721" s="9" t="n">
        <v>3.7</v>
      </c>
      <c r="Q3721" s="9" t="n">
        <v>31</v>
      </c>
      <c r="R3721" s="9" t="s">
        <v>53</v>
      </c>
      <c r="S3721" s="9"/>
      <c r="T3721" s="9"/>
      <c r="U3721" s="9" t="str">
        <f aca="false">IF(COUNTIF($A$2:$A$5001,A3721)&gt;1,"Duplicate","Unique")</f>
        <v>Unique</v>
      </c>
      <c r="V3721" s="9" t="str">
        <f aca="false">IF(COUNTIFS($B$2:$B$5001,B3721,$H$2:$H$5001,H3721,$J$2:$J$5001,J3721)&gt;1,"Possible Duplicate Booking","Unique")</f>
        <v>Unique</v>
      </c>
      <c r="W3721" s="9" t="str">
        <f aca="false">IF((H3721-G3721)&lt;&gt;K3721,"Mismatch","OK")</f>
        <v>OK</v>
      </c>
      <c r="X3721" s="9" t="str">
        <f aca="false">IF(TEXT(H3721,"dddd")&lt;&gt;I3721,"Mismatch","OK")</f>
        <v>OK</v>
      </c>
      <c r="Y3721" s="9" t="str">
        <f aca="false">IF(AND(N3721="No",O3721&lt;&gt;""),"Unexpected: channel present but no reminder sent",IF(AND(N3721="Yes",O3721=""),"Missing channel for sent reminder","OK"))</f>
        <v>OK</v>
      </c>
    </row>
    <row r="3722" customFormat="false" ht="15" hidden="false" customHeight="false" outlineLevel="0" collapsed="false">
      <c r="A3722" s="7" t="s">
        <v>5369</v>
      </c>
      <c r="B3722" s="7" t="s">
        <v>4103</v>
      </c>
      <c r="C3722" s="7" t="s">
        <v>37</v>
      </c>
      <c r="D3722" s="7" t="n">
        <v>38</v>
      </c>
      <c r="E3722" s="7" t="s">
        <v>38</v>
      </c>
      <c r="F3722" s="7" t="s">
        <v>57</v>
      </c>
      <c r="G3722" s="8" t="n">
        <v>45963</v>
      </c>
      <c r="H3722" s="8" t="n">
        <v>46006</v>
      </c>
      <c r="I3722" s="7" t="s">
        <v>66</v>
      </c>
      <c r="J3722" s="7" t="s">
        <v>51</v>
      </c>
      <c r="K3722" s="7" t="n">
        <v>43</v>
      </c>
      <c r="L3722" s="7" t="n">
        <v>3</v>
      </c>
      <c r="M3722" s="7" t="n">
        <v>0</v>
      </c>
      <c r="N3722" s="7" t="s">
        <v>71</v>
      </c>
      <c r="O3722" s="7"/>
      <c r="P3722" s="7" t="n">
        <v>21.8</v>
      </c>
      <c r="Q3722" s="7" t="n">
        <v>22</v>
      </c>
      <c r="R3722" s="7" t="s">
        <v>53</v>
      </c>
      <c r="S3722" s="7"/>
      <c r="T3722" s="7"/>
      <c r="U3722" s="7" t="str">
        <f aca="false">IF(COUNTIF($A$2:$A$5001,A3722)&gt;1,"Duplicate","Unique")</f>
        <v>Unique</v>
      </c>
      <c r="V3722" s="7" t="str">
        <f aca="false">IF(COUNTIFS($B$2:$B$5001,B3722,$H$2:$H$5001,H3722,$J$2:$J$5001,J3722)&gt;1,"Possible Duplicate Booking","Unique")</f>
        <v>Unique</v>
      </c>
      <c r="W3722" s="7" t="str">
        <f aca="false">IF((H3722-G3722)&lt;&gt;K3722,"Mismatch","OK")</f>
        <v>OK</v>
      </c>
      <c r="X3722" s="7" t="str">
        <f aca="false">IF(TEXT(H3722,"dddd")&lt;&gt;I3722,"Mismatch","OK")</f>
        <v>OK</v>
      </c>
      <c r="Y3722" s="7" t="str">
        <f aca="false">IF(AND(N3722="No",O3722&lt;&gt;""),"Unexpected: channel present but no reminder sent",IF(AND(N3722="Yes",O3722=""),"Missing channel for sent reminder","OK"))</f>
        <v>OK</v>
      </c>
    </row>
    <row r="3723" customFormat="false" ht="15" hidden="false" customHeight="false" outlineLevel="0" collapsed="false">
      <c r="A3723" s="9" t="s">
        <v>5370</v>
      </c>
      <c r="B3723" s="9" t="s">
        <v>2134</v>
      </c>
      <c r="C3723" s="9" t="s">
        <v>37</v>
      </c>
      <c r="D3723" s="9" t="n">
        <v>31</v>
      </c>
      <c r="E3723" s="9" t="s">
        <v>48</v>
      </c>
      <c r="F3723" s="9" t="s">
        <v>39</v>
      </c>
      <c r="G3723" s="10" t="n">
        <v>45962</v>
      </c>
      <c r="H3723" s="10" t="n">
        <v>45976</v>
      </c>
      <c r="I3723" s="9" t="s">
        <v>102</v>
      </c>
      <c r="J3723" s="9" t="s">
        <v>41</v>
      </c>
      <c r="K3723" s="9" t="n">
        <v>14</v>
      </c>
      <c r="L3723" s="9" t="n">
        <v>4</v>
      </c>
      <c r="M3723" s="9" t="n">
        <v>2</v>
      </c>
      <c r="N3723" s="9" t="s">
        <v>42</v>
      </c>
      <c r="O3723" s="9" t="s">
        <v>52</v>
      </c>
      <c r="P3723" s="9" t="n">
        <v>6.5</v>
      </c>
      <c r="Q3723" s="9" t="n">
        <v>29</v>
      </c>
      <c r="R3723" s="9" t="s">
        <v>53</v>
      </c>
      <c r="S3723" s="9"/>
      <c r="T3723" s="9"/>
      <c r="U3723" s="9" t="str">
        <f aca="false">IF(COUNTIF($A$2:$A$5001,A3723)&gt;1,"Duplicate","Unique")</f>
        <v>Unique</v>
      </c>
      <c r="V3723" s="9" t="str">
        <f aca="false">IF(COUNTIFS($B$2:$B$5001,B3723,$H$2:$H$5001,H3723,$J$2:$J$5001,J3723)&gt;1,"Possible Duplicate Booking","Unique")</f>
        <v>Unique</v>
      </c>
      <c r="W3723" s="9" t="str">
        <f aca="false">IF((H3723-G3723)&lt;&gt;K3723,"Mismatch","OK")</f>
        <v>OK</v>
      </c>
      <c r="X3723" s="9" t="str">
        <f aca="false">IF(TEXT(H3723,"dddd")&lt;&gt;I3723,"Mismatch","OK")</f>
        <v>OK</v>
      </c>
      <c r="Y3723" s="9" t="str">
        <f aca="false">IF(AND(N3723="No",O3723&lt;&gt;""),"Unexpected: channel present but no reminder sent",IF(AND(N3723="Yes",O3723=""),"Missing channel for sent reminder","OK"))</f>
        <v>OK</v>
      </c>
    </row>
    <row r="3724" customFormat="false" ht="15" hidden="false" customHeight="false" outlineLevel="0" collapsed="false">
      <c r="A3724" s="7" t="s">
        <v>5371</v>
      </c>
      <c r="B3724" s="7" t="s">
        <v>2847</v>
      </c>
      <c r="C3724" s="7" t="s">
        <v>37</v>
      </c>
      <c r="D3724" s="7" t="n">
        <v>70</v>
      </c>
      <c r="E3724" s="7" t="s">
        <v>70</v>
      </c>
      <c r="F3724" s="7" t="s">
        <v>57</v>
      </c>
      <c r="G3724" s="8" t="n">
        <v>46021</v>
      </c>
      <c r="H3724" s="8" t="n">
        <v>46067</v>
      </c>
      <c r="I3724" s="7" t="s">
        <v>102</v>
      </c>
      <c r="J3724" s="7" t="s">
        <v>41</v>
      </c>
      <c r="K3724" s="7" t="n">
        <v>46</v>
      </c>
      <c r="L3724" s="7" t="n">
        <v>4</v>
      </c>
      <c r="M3724" s="7" t="n">
        <v>0</v>
      </c>
      <c r="N3724" s="7" t="s">
        <v>42</v>
      </c>
      <c r="O3724" s="7" t="s">
        <v>43</v>
      </c>
      <c r="P3724" s="7" t="n">
        <v>6.9</v>
      </c>
      <c r="Q3724" s="7" t="n">
        <v>25</v>
      </c>
      <c r="R3724" s="7" t="s">
        <v>44</v>
      </c>
      <c r="S3724" s="7"/>
      <c r="T3724" s="7"/>
      <c r="U3724" s="7" t="str">
        <f aca="false">IF(COUNTIF($A$2:$A$5001,A3724)&gt;1,"Duplicate","Unique")</f>
        <v>Unique</v>
      </c>
      <c r="V3724" s="7" t="str">
        <f aca="false">IF(COUNTIFS($B$2:$B$5001,B3724,$H$2:$H$5001,H3724,$J$2:$J$5001,J3724)&gt;1,"Possible Duplicate Booking","Unique")</f>
        <v>Unique</v>
      </c>
      <c r="W3724" s="7" t="str">
        <f aca="false">IF((H3724-G3724)&lt;&gt;K3724,"Mismatch","OK")</f>
        <v>OK</v>
      </c>
      <c r="X3724" s="7" t="str">
        <f aca="false">IF(TEXT(H3724,"dddd")&lt;&gt;I3724,"Mismatch","OK")</f>
        <v>OK</v>
      </c>
      <c r="Y3724" s="7" t="str">
        <f aca="false">IF(AND(N3724="No",O3724&lt;&gt;""),"Unexpected: channel present but no reminder sent",IF(AND(N3724="Yes",O3724=""),"Missing channel for sent reminder","OK"))</f>
        <v>OK</v>
      </c>
    </row>
    <row r="3725" customFormat="false" ht="15" hidden="false" customHeight="false" outlineLevel="0" collapsed="false">
      <c r="A3725" s="9" t="s">
        <v>5372</v>
      </c>
      <c r="B3725" s="9" t="s">
        <v>4146</v>
      </c>
      <c r="C3725" s="9" t="s">
        <v>47</v>
      </c>
      <c r="D3725" s="9" t="n">
        <v>75</v>
      </c>
      <c r="E3725" s="9" t="s">
        <v>70</v>
      </c>
      <c r="F3725" s="9" t="s">
        <v>39</v>
      </c>
      <c r="G3725" s="10" t="n">
        <v>46167</v>
      </c>
      <c r="H3725" s="10" t="n">
        <v>46200</v>
      </c>
      <c r="I3725" s="9" t="s">
        <v>102</v>
      </c>
      <c r="J3725" s="9" t="s">
        <v>41</v>
      </c>
      <c r="K3725" s="9" t="n">
        <v>33</v>
      </c>
      <c r="L3725" s="9" t="n">
        <v>4</v>
      </c>
      <c r="M3725" s="9" t="n">
        <v>1</v>
      </c>
      <c r="N3725" s="9" t="s">
        <v>71</v>
      </c>
      <c r="O3725" s="9"/>
      <c r="P3725" s="9" t="n">
        <v>2.6</v>
      </c>
      <c r="Q3725" s="9" t="n">
        <v>18</v>
      </c>
      <c r="R3725" s="9" t="s">
        <v>53</v>
      </c>
      <c r="S3725" s="9"/>
      <c r="T3725" s="9"/>
      <c r="U3725" s="9" t="str">
        <f aca="false">IF(COUNTIF($A$2:$A$5001,A3725)&gt;1,"Duplicate","Unique")</f>
        <v>Unique</v>
      </c>
      <c r="V3725" s="9" t="str">
        <f aca="false">IF(COUNTIFS($B$2:$B$5001,B3725,$H$2:$H$5001,H3725,$J$2:$J$5001,J3725)&gt;1,"Possible Duplicate Booking","Unique")</f>
        <v>Unique</v>
      </c>
      <c r="W3725" s="9" t="str">
        <f aca="false">IF((H3725-G3725)&lt;&gt;K3725,"Mismatch","OK")</f>
        <v>OK</v>
      </c>
      <c r="X3725" s="9" t="str">
        <f aca="false">IF(TEXT(H3725,"dddd")&lt;&gt;I3725,"Mismatch","OK")</f>
        <v>OK</v>
      </c>
      <c r="Y3725" s="9" t="str">
        <f aca="false">IF(AND(N3725="No",O3725&lt;&gt;""),"Unexpected: channel present but no reminder sent",IF(AND(N3725="Yes",O3725=""),"Missing channel for sent reminder","OK"))</f>
        <v>OK</v>
      </c>
    </row>
    <row r="3726" customFormat="false" ht="15" hidden="false" customHeight="false" outlineLevel="0" collapsed="false">
      <c r="A3726" s="7" t="s">
        <v>5373</v>
      </c>
      <c r="B3726" s="7" t="s">
        <v>4930</v>
      </c>
      <c r="C3726" s="7" t="s">
        <v>47</v>
      </c>
      <c r="D3726" s="7" t="n">
        <v>41</v>
      </c>
      <c r="E3726" s="7" t="s">
        <v>38</v>
      </c>
      <c r="F3726" s="7" t="s">
        <v>57</v>
      </c>
      <c r="G3726" s="8" t="n">
        <v>45606</v>
      </c>
      <c r="H3726" s="8" t="n">
        <v>45662</v>
      </c>
      <c r="I3726" s="7" t="s">
        <v>75</v>
      </c>
      <c r="J3726" s="7" t="s">
        <v>51</v>
      </c>
      <c r="K3726" s="7" t="n">
        <v>56</v>
      </c>
      <c r="L3726" s="7" t="n">
        <v>4</v>
      </c>
      <c r="M3726" s="7" t="n">
        <v>0</v>
      </c>
      <c r="N3726" s="7" t="s">
        <v>42</v>
      </c>
      <c r="O3726" s="7" t="s">
        <v>52</v>
      </c>
      <c r="P3726" s="7" t="n">
        <v>10.2</v>
      </c>
      <c r="Q3726" s="7" t="n">
        <v>16</v>
      </c>
      <c r="R3726" s="7" t="s">
        <v>44</v>
      </c>
      <c r="S3726" s="7"/>
      <c r="T3726" s="7"/>
      <c r="U3726" s="7" t="str">
        <f aca="false">IF(COUNTIF($A$2:$A$5001,A3726)&gt;1,"Duplicate","Unique")</f>
        <v>Unique</v>
      </c>
      <c r="V3726" s="7" t="str">
        <f aca="false">IF(COUNTIFS($B$2:$B$5001,B3726,$H$2:$H$5001,H3726,$J$2:$J$5001,J3726)&gt;1,"Possible Duplicate Booking","Unique")</f>
        <v>Unique</v>
      </c>
      <c r="W3726" s="7" t="str">
        <f aca="false">IF((H3726-G3726)&lt;&gt;K3726,"Mismatch","OK")</f>
        <v>OK</v>
      </c>
      <c r="X3726" s="7" t="str">
        <f aca="false">IF(TEXT(H3726,"dddd")&lt;&gt;I3726,"Mismatch","OK")</f>
        <v>OK</v>
      </c>
      <c r="Y3726" s="7" t="str">
        <f aca="false">IF(AND(N3726="No",O3726&lt;&gt;""),"Unexpected: channel present but no reminder sent",IF(AND(N3726="Yes",O3726=""),"Missing channel for sent reminder","OK"))</f>
        <v>OK</v>
      </c>
    </row>
    <row r="3727" customFormat="false" ht="15" hidden="false" customHeight="false" outlineLevel="0" collapsed="false">
      <c r="A3727" s="9" t="s">
        <v>5374</v>
      </c>
      <c r="B3727" s="9" t="s">
        <v>5375</v>
      </c>
      <c r="C3727" s="9" t="s">
        <v>37</v>
      </c>
      <c r="D3727" s="9" t="n">
        <v>23</v>
      </c>
      <c r="E3727" s="9" t="s">
        <v>82</v>
      </c>
      <c r="F3727" s="9" t="s">
        <v>57</v>
      </c>
      <c r="G3727" s="10" t="n">
        <v>46158</v>
      </c>
      <c r="H3727" s="10" t="n">
        <v>46198</v>
      </c>
      <c r="I3727" s="9" t="s">
        <v>62</v>
      </c>
      <c r="J3727" s="9" t="s">
        <v>51</v>
      </c>
      <c r="K3727" s="9" t="n">
        <v>40</v>
      </c>
      <c r="L3727" s="9" t="n">
        <v>4</v>
      </c>
      <c r="M3727" s="9" t="n">
        <v>1</v>
      </c>
      <c r="N3727" s="9" t="s">
        <v>42</v>
      </c>
      <c r="O3727" s="9" t="s">
        <v>43</v>
      </c>
      <c r="P3727" s="9" t="n">
        <v>4</v>
      </c>
      <c r="Q3727" s="9" t="n">
        <v>22</v>
      </c>
      <c r="R3727" s="9" t="s">
        <v>53</v>
      </c>
      <c r="S3727" s="9"/>
      <c r="T3727" s="9"/>
      <c r="U3727" s="9" t="str">
        <f aca="false">IF(COUNTIF($A$2:$A$5001,A3727)&gt;1,"Duplicate","Unique")</f>
        <v>Unique</v>
      </c>
      <c r="V3727" s="9" t="str">
        <f aca="false">IF(COUNTIFS($B$2:$B$5001,B3727,$H$2:$H$5001,H3727,$J$2:$J$5001,J3727)&gt;1,"Possible Duplicate Booking","Unique")</f>
        <v>Unique</v>
      </c>
      <c r="W3727" s="9" t="str">
        <f aca="false">IF((H3727-G3727)&lt;&gt;K3727,"Mismatch","OK")</f>
        <v>OK</v>
      </c>
      <c r="X3727" s="9" t="str">
        <f aca="false">IF(TEXT(H3727,"dddd")&lt;&gt;I3727,"Mismatch","OK")</f>
        <v>OK</v>
      </c>
      <c r="Y3727" s="9" t="str">
        <f aca="false">IF(AND(N3727="No",O3727&lt;&gt;""),"Unexpected: channel present but no reminder sent",IF(AND(N3727="Yes",O3727=""),"Missing channel for sent reminder","OK"))</f>
        <v>OK</v>
      </c>
    </row>
    <row r="3728" customFormat="false" ht="15" hidden="false" customHeight="false" outlineLevel="0" collapsed="false">
      <c r="A3728" s="7" t="s">
        <v>5376</v>
      </c>
      <c r="B3728" s="7" t="s">
        <v>1201</v>
      </c>
      <c r="C3728" s="7" t="s">
        <v>47</v>
      </c>
      <c r="D3728" s="7" t="n">
        <v>23</v>
      </c>
      <c r="E3728" s="7" t="s">
        <v>82</v>
      </c>
      <c r="F3728" s="7" t="s">
        <v>57</v>
      </c>
      <c r="G3728" s="8" t="n">
        <v>45663</v>
      </c>
      <c r="H3728" s="8" t="n">
        <v>45717</v>
      </c>
      <c r="I3728" s="7" t="s">
        <v>102</v>
      </c>
      <c r="J3728" s="7" t="s">
        <v>63</v>
      </c>
      <c r="K3728" s="7" t="n">
        <v>54</v>
      </c>
      <c r="L3728" s="7" t="n">
        <v>1</v>
      </c>
      <c r="M3728" s="7" t="n">
        <v>0</v>
      </c>
      <c r="N3728" s="7" t="s">
        <v>71</v>
      </c>
      <c r="O3728" s="7"/>
      <c r="P3728" s="7" t="n">
        <v>11.9</v>
      </c>
      <c r="Q3728" s="7" t="n">
        <v>10</v>
      </c>
      <c r="R3728" s="7" t="s">
        <v>53</v>
      </c>
      <c r="S3728" s="7"/>
      <c r="T3728" s="7"/>
      <c r="U3728" s="7" t="str">
        <f aca="false">IF(COUNTIF($A$2:$A$5001,A3728)&gt;1,"Duplicate","Unique")</f>
        <v>Unique</v>
      </c>
      <c r="V3728" s="7" t="str">
        <f aca="false">IF(COUNTIFS($B$2:$B$5001,B3728,$H$2:$H$5001,H3728,$J$2:$J$5001,J3728)&gt;1,"Possible Duplicate Booking","Unique")</f>
        <v>Unique</v>
      </c>
      <c r="W3728" s="7" t="str">
        <f aca="false">IF((H3728-G3728)&lt;&gt;K3728,"Mismatch","OK")</f>
        <v>OK</v>
      </c>
      <c r="X3728" s="7" t="str">
        <f aca="false">IF(TEXT(H3728,"dddd")&lt;&gt;I3728,"Mismatch","OK")</f>
        <v>OK</v>
      </c>
      <c r="Y3728" s="7" t="str">
        <f aca="false">IF(AND(N3728="No",O3728&lt;&gt;""),"Unexpected: channel present but no reminder sent",IF(AND(N3728="Yes",O3728=""),"Missing channel for sent reminder","OK"))</f>
        <v>OK</v>
      </c>
    </row>
    <row r="3729" customFormat="false" ht="15" hidden="false" customHeight="false" outlineLevel="0" collapsed="false">
      <c r="A3729" s="9" t="s">
        <v>5377</v>
      </c>
      <c r="B3729" s="9" t="s">
        <v>1749</v>
      </c>
      <c r="C3729" s="9" t="s">
        <v>37</v>
      </c>
      <c r="D3729" s="9" t="n">
        <v>38</v>
      </c>
      <c r="E3729" s="9" t="s">
        <v>38</v>
      </c>
      <c r="F3729" s="9" t="s">
        <v>49</v>
      </c>
      <c r="G3729" s="10" t="n">
        <v>45886</v>
      </c>
      <c r="H3729" s="10" t="n">
        <v>45945</v>
      </c>
      <c r="I3729" s="9" t="s">
        <v>58</v>
      </c>
      <c r="J3729" s="9" t="s">
        <v>63</v>
      </c>
      <c r="K3729" s="9" t="n">
        <v>59</v>
      </c>
      <c r="L3729" s="9" t="n">
        <v>4</v>
      </c>
      <c r="M3729" s="9" t="n">
        <v>1</v>
      </c>
      <c r="N3729" s="9" t="s">
        <v>42</v>
      </c>
      <c r="O3729" s="9" t="s">
        <v>52</v>
      </c>
      <c r="P3729" s="9" t="n">
        <v>8</v>
      </c>
      <c r="Q3729" s="9" t="n">
        <v>19</v>
      </c>
      <c r="R3729" s="9" t="s">
        <v>53</v>
      </c>
      <c r="S3729" s="9"/>
      <c r="T3729" s="9"/>
      <c r="U3729" s="9" t="str">
        <f aca="false">IF(COUNTIF($A$2:$A$5001,A3729)&gt;1,"Duplicate","Unique")</f>
        <v>Unique</v>
      </c>
      <c r="V3729" s="9" t="str">
        <f aca="false">IF(COUNTIFS($B$2:$B$5001,B3729,$H$2:$H$5001,H3729,$J$2:$J$5001,J3729)&gt;1,"Possible Duplicate Booking","Unique")</f>
        <v>Unique</v>
      </c>
      <c r="W3729" s="9" t="str">
        <f aca="false">IF((H3729-G3729)&lt;&gt;K3729,"Mismatch","OK")</f>
        <v>OK</v>
      </c>
      <c r="X3729" s="9" t="str">
        <f aca="false">IF(TEXT(H3729,"dddd")&lt;&gt;I3729,"Mismatch","OK")</f>
        <v>OK</v>
      </c>
      <c r="Y3729" s="9" t="str">
        <f aca="false">IF(AND(N3729="No",O3729&lt;&gt;""),"Unexpected: channel present but no reminder sent",IF(AND(N3729="Yes",O3729=""),"Missing channel for sent reminder","OK"))</f>
        <v>OK</v>
      </c>
    </row>
    <row r="3730" customFormat="false" ht="15" hidden="false" customHeight="false" outlineLevel="0" collapsed="false">
      <c r="A3730" s="7" t="s">
        <v>5378</v>
      </c>
      <c r="B3730" s="7" t="s">
        <v>4740</v>
      </c>
      <c r="C3730" s="7" t="s">
        <v>37</v>
      </c>
      <c r="D3730" s="7" t="n">
        <v>47</v>
      </c>
      <c r="E3730" s="7" t="s">
        <v>56</v>
      </c>
      <c r="F3730" s="7" t="s">
        <v>39</v>
      </c>
      <c r="G3730" s="8" t="n">
        <v>45784</v>
      </c>
      <c r="H3730" s="8" t="n">
        <v>45844</v>
      </c>
      <c r="I3730" s="7" t="s">
        <v>75</v>
      </c>
      <c r="J3730" s="7" t="s">
        <v>51</v>
      </c>
      <c r="K3730" s="7" t="n">
        <v>60</v>
      </c>
      <c r="L3730" s="7" t="n">
        <v>4</v>
      </c>
      <c r="M3730" s="7" t="n">
        <v>1</v>
      </c>
      <c r="N3730" s="7" t="s">
        <v>71</v>
      </c>
      <c r="O3730" s="7"/>
      <c r="P3730" s="7" t="n">
        <v>10</v>
      </c>
      <c r="Q3730" s="7" t="n">
        <v>20</v>
      </c>
      <c r="R3730" s="7" t="s">
        <v>44</v>
      </c>
      <c r="S3730" s="7"/>
      <c r="T3730" s="7"/>
      <c r="U3730" s="7" t="str">
        <f aca="false">IF(COUNTIF($A$2:$A$5001,A3730)&gt;1,"Duplicate","Unique")</f>
        <v>Unique</v>
      </c>
      <c r="V3730" s="7" t="str">
        <f aca="false">IF(COUNTIFS($B$2:$B$5001,B3730,$H$2:$H$5001,H3730,$J$2:$J$5001,J3730)&gt;1,"Possible Duplicate Booking","Unique")</f>
        <v>Unique</v>
      </c>
      <c r="W3730" s="7" t="str">
        <f aca="false">IF((H3730-G3730)&lt;&gt;K3730,"Mismatch","OK")</f>
        <v>OK</v>
      </c>
      <c r="X3730" s="7" t="str">
        <f aca="false">IF(TEXT(H3730,"dddd")&lt;&gt;I3730,"Mismatch","OK")</f>
        <v>OK</v>
      </c>
      <c r="Y3730" s="7" t="str">
        <f aca="false">IF(AND(N3730="No",O3730&lt;&gt;""),"Unexpected: channel present but no reminder sent",IF(AND(N3730="Yes",O3730=""),"Missing channel for sent reminder","OK"))</f>
        <v>OK</v>
      </c>
    </row>
    <row r="3731" customFormat="false" ht="15" hidden="false" customHeight="false" outlineLevel="0" collapsed="false">
      <c r="A3731" s="9" t="s">
        <v>5379</v>
      </c>
      <c r="B3731" s="9" t="s">
        <v>3888</v>
      </c>
      <c r="C3731" s="9" t="s">
        <v>37</v>
      </c>
      <c r="D3731" s="9" t="n">
        <v>51</v>
      </c>
      <c r="E3731" s="9" t="s">
        <v>56</v>
      </c>
      <c r="F3731" s="9" t="s">
        <v>49</v>
      </c>
      <c r="G3731" s="10" t="n">
        <v>45961</v>
      </c>
      <c r="H3731" s="10" t="n">
        <v>46006</v>
      </c>
      <c r="I3731" s="9" t="s">
        <v>66</v>
      </c>
      <c r="J3731" s="9" t="s">
        <v>63</v>
      </c>
      <c r="K3731" s="9" t="n">
        <v>45</v>
      </c>
      <c r="L3731" s="9" t="n">
        <v>0</v>
      </c>
      <c r="M3731" s="9" t="n">
        <v>0</v>
      </c>
      <c r="N3731" s="9" t="s">
        <v>42</v>
      </c>
      <c r="O3731" s="9" t="s">
        <v>52</v>
      </c>
      <c r="P3731" s="9" t="n">
        <v>13</v>
      </c>
      <c r="Q3731" s="9" t="n">
        <v>35</v>
      </c>
      <c r="R3731" s="9" t="s">
        <v>53</v>
      </c>
      <c r="S3731" s="9"/>
      <c r="T3731" s="9"/>
      <c r="U3731" s="9" t="str">
        <f aca="false">IF(COUNTIF($A$2:$A$5001,A3731)&gt;1,"Duplicate","Unique")</f>
        <v>Unique</v>
      </c>
      <c r="V3731" s="9" t="str">
        <f aca="false">IF(COUNTIFS($B$2:$B$5001,B3731,$H$2:$H$5001,H3731,$J$2:$J$5001,J3731)&gt;1,"Possible Duplicate Booking","Unique")</f>
        <v>Unique</v>
      </c>
      <c r="W3731" s="9" t="str">
        <f aca="false">IF((H3731-G3731)&lt;&gt;K3731,"Mismatch","OK")</f>
        <v>OK</v>
      </c>
      <c r="X3731" s="9" t="str">
        <f aca="false">IF(TEXT(H3731,"dddd")&lt;&gt;I3731,"Mismatch","OK")</f>
        <v>OK</v>
      </c>
      <c r="Y3731" s="9" t="str">
        <f aca="false">IF(AND(N3731="No",O3731&lt;&gt;""),"Unexpected: channel present but no reminder sent",IF(AND(N3731="Yes",O3731=""),"Missing channel for sent reminder","OK"))</f>
        <v>OK</v>
      </c>
    </row>
    <row r="3732" customFormat="false" ht="15" hidden="false" customHeight="false" outlineLevel="0" collapsed="false">
      <c r="A3732" s="7" t="s">
        <v>5380</v>
      </c>
      <c r="B3732" s="7" t="s">
        <v>1185</v>
      </c>
      <c r="C3732" s="7" t="s">
        <v>37</v>
      </c>
      <c r="D3732" s="7" t="n">
        <v>37</v>
      </c>
      <c r="E3732" s="7" t="s">
        <v>38</v>
      </c>
      <c r="F3732" s="7" t="s">
        <v>57</v>
      </c>
      <c r="G3732" s="8" t="n">
        <v>46016</v>
      </c>
      <c r="H3732" s="8" t="n">
        <v>46052</v>
      </c>
      <c r="I3732" s="7" t="s">
        <v>50</v>
      </c>
      <c r="J3732" s="7" t="s">
        <v>51</v>
      </c>
      <c r="K3732" s="7" t="n">
        <v>36</v>
      </c>
      <c r="L3732" s="7" t="n">
        <v>3</v>
      </c>
      <c r="M3732" s="7" t="n">
        <v>0</v>
      </c>
      <c r="N3732" s="7" t="s">
        <v>42</v>
      </c>
      <c r="O3732" s="7" t="s">
        <v>67</v>
      </c>
      <c r="P3732" s="7" t="n">
        <v>25.2</v>
      </c>
      <c r="Q3732" s="7" t="n">
        <v>31</v>
      </c>
      <c r="R3732" s="7" t="s">
        <v>44</v>
      </c>
      <c r="S3732" s="7"/>
      <c r="T3732" s="7"/>
      <c r="U3732" s="7" t="str">
        <f aca="false">IF(COUNTIF($A$2:$A$5001,A3732)&gt;1,"Duplicate","Unique")</f>
        <v>Unique</v>
      </c>
      <c r="V3732" s="7" t="str">
        <f aca="false">IF(COUNTIFS($B$2:$B$5001,B3732,$H$2:$H$5001,H3732,$J$2:$J$5001,J3732)&gt;1,"Possible Duplicate Booking","Unique")</f>
        <v>Possible Duplicate Booking</v>
      </c>
      <c r="W3732" s="7" t="str">
        <f aca="false">IF((H3732-G3732)&lt;&gt;K3732,"Mismatch","OK")</f>
        <v>OK</v>
      </c>
      <c r="X3732" s="7" t="str">
        <f aca="false">IF(TEXT(H3732,"dddd")&lt;&gt;I3732,"Mismatch","OK")</f>
        <v>OK</v>
      </c>
      <c r="Y3732" s="7" t="str">
        <f aca="false">IF(AND(N3732="No",O3732&lt;&gt;""),"Unexpected: channel present but no reminder sent",IF(AND(N3732="Yes",O3732=""),"Missing channel for sent reminder","OK"))</f>
        <v>OK</v>
      </c>
    </row>
    <row r="3733" customFormat="false" ht="15" hidden="false" customHeight="false" outlineLevel="0" collapsed="false">
      <c r="A3733" s="9" t="s">
        <v>5381</v>
      </c>
      <c r="B3733" s="9" t="s">
        <v>1335</v>
      </c>
      <c r="C3733" s="9" t="s">
        <v>37</v>
      </c>
      <c r="D3733" s="9" t="n">
        <v>40</v>
      </c>
      <c r="E3733" s="9" t="s">
        <v>38</v>
      </c>
      <c r="F3733" s="9" t="s">
        <v>74</v>
      </c>
      <c r="G3733" s="10" t="n">
        <v>46120</v>
      </c>
      <c r="H3733" s="10" t="n">
        <v>46127</v>
      </c>
      <c r="I3733" s="9" t="s">
        <v>58</v>
      </c>
      <c r="J3733" s="9" t="s">
        <v>41</v>
      </c>
      <c r="K3733" s="9" t="n">
        <v>7</v>
      </c>
      <c r="L3733" s="9" t="n">
        <v>2</v>
      </c>
      <c r="M3733" s="9" t="n">
        <v>0</v>
      </c>
      <c r="N3733" s="9" t="s">
        <v>42</v>
      </c>
      <c r="O3733" s="9" t="s">
        <v>43</v>
      </c>
      <c r="P3733" s="9"/>
      <c r="Q3733" s="9" t="n">
        <v>46</v>
      </c>
      <c r="R3733" s="9" t="s">
        <v>44</v>
      </c>
      <c r="S3733" s="9"/>
      <c r="T3733" s="9"/>
      <c r="U3733" s="9" t="str">
        <f aca="false">IF(COUNTIF($A$2:$A$5001,A3733)&gt;1,"Duplicate","Unique")</f>
        <v>Unique</v>
      </c>
      <c r="V3733" s="9" t="str">
        <f aca="false">IF(COUNTIFS($B$2:$B$5001,B3733,$H$2:$H$5001,H3733,$J$2:$J$5001,J3733)&gt;1,"Possible Duplicate Booking","Unique")</f>
        <v>Unique</v>
      </c>
      <c r="W3733" s="9" t="str">
        <f aca="false">IF((H3733-G3733)&lt;&gt;K3733,"Mismatch","OK")</f>
        <v>OK</v>
      </c>
      <c r="X3733" s="9" t="str">
        <f aca="false">IF(TEXT(H3733,"dddd")&lt;&gt;I3733,"Mismatch","OK")</f>
        <v>OK</v>
      </c>
      <c r="Y3733" s="9" t="str">
        <f aca="false">IF(AND(N3733="No",O3733&lt;&gt;""),"Unexpected: channel present but no reminder sent",IF(AND(N3733="Yes",O3733=""),"Missing channel for sent reminder","OK"))</f>
        <v>OK</v>
      </c>
    </row>
    <row r="3734" customFormat="false" ht="15" hidden="false" customHeight="false" outlineLevel="0" collapsed="false">
      <c r="A3734" s="7" t="s">
        <v>5382</v>
      </c>
      <c r="B3734" s="7" t="s">
        <v>5221</v>
      </c>
      <c r="C3734" s="7" t="s">
        <v>37</v>
      </c>
      <c r="D3734" s="7" t="n">
        <v>35</v>
      </c>
      <c r="E3734" s="7" t="s">
        <v>38</v>
      </c>
      <c r="F3734" s="7" t="s">
        <v>57</v>
      </c>
      <c r="G3734" s="8" t="n">
        <v>45854</v>
      </c>
      <c r="H3734" s="8" t="n">
        <v>45877</v>
      </c>
      <c r="I3734" s="7" t="s">
        <v>50</v>
      </c>
      <c r="J3734" s="7" t="s">
        <v>51</v>
      </c>
      <c r="K3734" s="7" t="n">
        <v>23</v>
      </c>
      <c r="L3734" s="7" t="n">
        <v>3</v>
      </c>
      <c r="M3734" s="7" t="n">
        <v>1</v>
      </c>
      <c r="N3734" s="7" t="s">
        <v>71</v>
      </c>
      <c r="O3734" s="7"/>
      <c r="P3734" s="7" t="n">
        <v>12</v>
      </c>
      <c r="Q3734" s="7" t="n">
        <v>6</v>
      </c>
      <c r="R3734" s="7" t="s">
        <v>87</v>
      </c>
      <c r="S3734" s="7"/>
      <c r="T3734" s="7"/>
      <c r="U3734" s="7" t="str">
        <f aca="false">IF(COUNTIF($A$2:$A$5001,A3734)&gt;1,"Duplicate","Unique")</f>
        <v>Unique</v>
      </c>
      <c r="V3734" s="7" t="str">
        <f aca="false">IF(COUNTIFS($B$2:$B$5001,B3734,$H$2:$H$5001,H3734,$J$2:$J$5001,J3734)&gt;1,"Possible Duplicate Booking","Unique")</f>
        <v>Unique</v>
      </c>
      <c r="W3734" s="7" t="str">
        <f aca="false">IF((H3734-G3734)&lt;&gt;K3734,"Mismatch","OK")</f>
        <v>OK</v>
      </c>
      <c r="X3734" s="7" t="str">
        <f aca="false">IF(TEXT(H3734,"dddd")&lt;&gt;I3734,"Mismatch","OK")</f>
        <v>OK</v>
      </c>
      <c r="Y3734" s="7" t="str">
        <f aca="false">IF(AND(N3734="No",O3734&lt;&gt;""),"Unexpected: channel present but no reminder sent",IF(AND(N3734="Yes",O3734=""),"Missing channel for sent reminder","OK"))</f>
        <v>OK</v>
      </c>
    </row>
    <row r="3735" customFormat="false" ht="15" hidden="false" customHeight="false" outlineLevel="0" collapsed="false">
      <c r="A3735" s="9" t="s">
        <v>5383</v>
      </c>
      <c r="B3735" s="9" t="s">
        <v>2375</v>
      </c>
      <c r="C3735" s="9" t="s">
        <v>37</v>
      </c>
      <c r="D3735" s="9" t="n">
        <v>50</v>
      </c>
      <c r="E3735" s="9" t="s">
        <v>56</v>
      </c>
      <c r="F3735" s="9" t="s">
        <v>49</v>
      </c>
      <c r="G3735" s="10" t="n">
        <v>46139</v>
      </c>
      <c r="H3735" s="10" t="n">
        <v>46167</v>
      </c>
      <c r="I3735" s="9" t="s">
        <v>66</v>
      </c>
      <c r="J3735" s="9" t="s">
        <v>51</v>
      </c>
      <c r="K3735" s="9" t="n">
        <v>28</v>
      </c>
      <c r="L3735" s="9" t="n">
        <v>7</v>
      </c>
      <c r="M3735" s="9" t="n">
        <v>1</v>
      </c>
      <c r="N3735" s="9" t="s">
        <v>42</v>
      </c>
      <c r="O3735" s="9" t="s">
        <v>52</v>
      </c>
      <c r="P3735" s="9" t="n">
        <v>10.9</v>
      </c>
      <c r="Q3735" s="9" t="n">
        <v>21</v>
      </c>
      <c r="R3735" s="9" t="s">
        <v>53</v>
      </c>
      <c r="S3735" s="9"/>
      <c r="T3735" s="9"/>
      <c r="U3735" s="9" t="str">
        <f aca="false">IF(COUNTIF($A$2:$A$5001,A3735)&gt;1,"Duplicate","Unique")</f>
        <v>Unique</v>
      </c>
      <c r="V3735" s="9" t="str">
        <f aca="false">IF(COUNTIFS($B$2:$B$5001,B3735,$H$2:$H$5001,H3735,$J$2:$J$5001,J3735)&gt;1,"Possible Duplicate Booking","Unique")</f>
        <v>Unique</v>
      </c>
      <c r="W3735" s="9" t="str">
        <f aca="false">IF((H3735-G3735)&lt;&gt;K3735,"Mismatch","OK")</f>
        <v>OK</v>
      </c>
      <c r="X3735" s="9" t="str">
        <f aca="false">IF(TEXT(H3735,"dddd")&lt;&gt;I3735,"Mismatch","OK")</f>
        <v>OK</v>
      </c>
      <c r="Y3735" s="9" t="str">
        <f aca="false">IF(AND(N3735="No",O3735&lt;&gt;""),"Unexpected: channel present but no reminder sent",IF(AND(N3735="Yes",O3735=""),"Missing channel for sent reminder","OK"))</f>
        <v>OK</v>
      </c>
    </row>
    <row r="3736" customFormat="false" ht="15" hidden="false" customHeight="false" outlineLevel="0" collapsed="false">
      <c r="A3736" s="7" t="s">
        <v>5384</v>
      </c>
      <c r="B3736" s="7" t="s">
        <v>580</v>
      </c>
      <c r="C3736" s="7" t="s">
        <v>37</v>
      </c>
      <c r="D3736" s="7" t="n">
        <v>61</v>
      </c>
      <c r="E3736" s="7" t="s">
        <v>61</v>
      </c>
      <c r="F3736" s="7" t="s">
        <v>49</v>
      </c>
      <c r="G3736" s="8" t="n">
        <v>45787</v>
      </c>
      <c r="H3736" s="8" t="n">
        <v>45834</v>
      </c>
      <c r="I3736" s="7" t="s">
        <v>62</v>
      </c>
      <c r="J3736" s="7" t="s">
        <v>63</v>
      </c>
      <c r="K3736" s="7" t="n">
        <v>47</v>
      </c>
      <c r="L3736" s="7" t="n">
        <v>4</v>
      </c>
      <c r="M3736" s="7" t="n">
        <v>1</v>
      </c>
      <c r="N3736" s="7" t="s">
        <v>71</v>
      </c>
      <c r="O3736" s="7"/>
      <c r="P3736" s="7" t="n">
        <v>10</v>
      </c>
      <c r="Q3736" s="7" t="n">
        <v>38</v>
      </c>
      <c r="R3736" s="7" t="s">
        <v>44</v>
      </c>
      <c r="S3736" s="7"/>
      <c r="T3736" s="7"/>
      <c r="U3736" s="7" t="str">
        <f aca="false">IF(COUNTIF($A$2:$A$5001,A3736)&gt;1,"Duplicate","Unique")</f>
        <v>Unique</v>
      </c>
      <c r="V3736" s="7" t="str">
        <f aca="false">IF(COUNTIFS($B$2:$B$5001,B3736,$H$2:$H$5001,H3736,$J$2:$J$5001,J3736)&gt;1,"Possible Duplicate Booking","Unique")</f>
        <v>Unique</v>
      </c>
      <c r="W3736" s="7" t="str">
        <f aca="false">IF((H3736-G3736)&lt;&gt;K3736,"Mismatch","OK")</f>
        <v>OK</v>
      </c>
      <c r="X3736" s="7" t="str">
        <f aca="false">IF(TEXT(H3736,"dddd")&lt;&gt;I3736,"Mismatch","OK")</f>
        <v>OK</v>
      </c>
      <c r="Y3736" s="7" t="str">
        <f aca="false">IF(AND(N3736="No",O3736&lt;&gt;""),"Unexpected: channel present but no reminder sent",IF(AND(N3736="Yes",O3736=""),"Missing channel for sent reminder","OK"))</f>
        <v>OK</v>
      </c>
    </row>
    <row r="3737" customFormat="false" ht="15" hidden="false" customHeight="false" outlineLevel="0" collapsed="false">
      <c r="A3737" s="9" t="s">
        <v>5385</v>
      </c>
      <c r="B3737" s="9" t="s">
        <v>296</v>
      </c>
      <c r="C3737" s="9" t="s">
        <v>47</v>
      </c>
      <c r="D3737" s="9" t="n">
        <v>20</v>
      </c>
      <c r="E3737" s="9" t="s">
        <v>82</v>
      </c>
      <c r="F3737" s="9" t="s">
        <v>39</v>
      </c>
      <c r="G3737" s="10" t="n">
        <v>45734</v>
      </c>
      <c r="H3737" s="10" t="n">
        <v>45769</v>
      </c>
      <c r="I3737" s="9" t="s">
        <v>40</v>
      </c>
      <c r="J3737" s="9" t="s">
        <v>51</v>
      </c>
      <c r="K3737" s="9" t="n">
        <v>35</v>
      </c>
      <c r="L3737" s="9" t="n">
        <v>0</v>
      </c>
      <c r="M3737" s="9" t="n">
        <v>0</v>
      </c>
      <c r="N3737" s="9" t="s">
        <v>42</v>
      </c>
      <c r="O3737" s="9" t="s">
        <v>43</v>
      </c>
      <c r="P3737" s="9" t="n">
        <v>3</v>
      </c>
      <c r="Q3737" s="9" t="n">
        <v>27</v>
      </c>
      <c r="R3737" s="9" t="s">
        <v>44</v>
      </c>
      <c r="S3737" s="9"/>
      <c r="T3737" s="9"/>
      <c r="U3737" s="9" t="str">
        <f aca="false">IF(COUNTIF($A$2:$A$5001,A3737)&gt;1,"Duplicate","Unique")</f>
        <v>Unique</v>
      </c>
      <c r="V3737" s="9" t="str">
        <f aca="false">IF(COUNTIFS($B$2:$B$5001,B3737,$H$2:$H$5001,H3737,$J$2:$J$5001,J3737)&gt;1,"Possible Duplicate Booking","Unique")</f>
        <v>Unique</v>
      </c>
      <c r="W3737" s="9" t="str">
        <f aca="false">IF((H3737-G3737)&lt;&gt;K3737,"Mismatch","OK")</f>
        <v>OK</v>
      </c>
      <c r="X3737" s="9" t="str">
        <f aca="false">IF(TEXT(H3737,"dddd")&lt;&gt;I3737,"Mismatch","OK")</f>
        <v>OK</v>
      </c>
      <c r="Y3737" s="9" t="str">
        <f aca="false">IF(AND(N3737="No",O3737&lt;&gt;""),"Unexpected: channel present but no reminder sent",IF(AND(N3737="Yes",O3737=""),"Missing channel for sent reminder","OK"))</f>
        <v>OK</v>
      </c>
    </row>
    <row r="3738" customFormat="false" ht="15" hidden="false" customHeight="false" outlineLevel="0" collapsed="false">
      <c r="A3738" s="7" t="s">
        <v>5386</v>
      </c>
      <c r="B3738" s="7" t="s">
        <v>3888</v>
      </c>
      <c r="C3738" s="7" t="s">
        <v>37</v>
      </c>
      <c r="D3738" s="7" t="n">
        <v>48</v>
      </c>
      <c r="E3738" s="7" t="s">
        <v>56</v>
      </c>
      <c r="F3738" s="7" t="s">
        <v>39</v>
      </c>
      <c r="G3738" s="8" t="n">
        <v>45839</v>
      </c>
      <c r="H3738" s="8" t="n">
        <v>45865</v>
      </c>
      <c r="I3738" s="7" t="s">
        <v>75</v>
      </c>
      <c r="J3738" s="7" t="s">
        <v>41</v>
      </c>
      <c r="K3738" s="7" t="n">
        <v>26</v>
      </c>
      <c r="L3738" s="7" t="n">
        <v>5</v>
      </c>
      <c r="M3738" s="7" t="n">
        <v>1</v>
      </c>
      <c r="N3738" s="7" t="s">
        <v>71</v>
      </c>
      <c r="O3738" s="7"/>
      <c r="P3738" s="7" t="n">
        <v>4.8</v>
      </c>
      <c r="Q3738" s="7" t="n">
        <v>22</v>
      </c>
      <c r="R3738" s="7" t="s">
        <v>53</v>
      </c>
      <c r="S3738" s="7"/>
      <c r="T3738" s="7"/>
      <c r="U3738" s="7" t="str">
        <f aca="false">IF(COUNTIF($A$2:$A$5001,A3738)&gt;1,"Duplicate","Unique")</f>
        <v>Unique</v>
      </c>
      <c r="V3738" s="7" t="str">
        <f aca="false">IF(COUNTIFS($B$2:$B$5001,B3738,$H$2:$H$5001,H3738,$J$2:$J$5001,J3738)&gt;1,"Possible Duplicate Booking","Unique")</f>
        <v>Unique</v>
      </c>
      <c r="W3738" s="7" t="str">
        <f aca="false">IF((H3738-G3738)&lt;&gt;K3738,"Mismatch","OK")</f>
        <v>OK</v>
      </c>
      <c r="X3738" s="7" t="str">
        <f aca="false">IF(TEXT(H3738,"dddd")&lt;&gt;I3738,"Mismatch","OK")</f>
        <v>OK</v>
      </c>
      <c r="Y3738" s="7" t="str">
        <f aca="false">IF(AND(N3738="No",O3738&lt;&gt;""),"Unexpected: channel present but no reminder sent",IF(AND(N3738="Yes",O3738=""),"Missing channel for sent reminder","OK"))</f>
        <v>OK</v>
      </c>
    </row>
    <row r="3739" customFormat="false" ht="15" hidden="false" customHeight="false" outlineLevel="0" collapsed="false">
      <c r="A3739" s="9" t="s">
        <v>5387</v>
      </c>
      <c r="B3739" s="9" t="s">
        <v>2890</v>
      </c>
      <c r="C3739" s="9" t="s">
        <v>37</v>
      </c>
      <c r="D3739" s="9" t="n">
        <v>58</v>
      </c>
      <c r="E3739" s="9" t="s">
        <v>61</v>
      </c>
      <c r="F3739" s="9" t="s">
        <v>49</v>
      </c>
      <c r="G3739" s="10" t="n">
        <v>45938</v>
      </c>
      <c r="H3739" s="10" t="n">
        <v>45946</v>
      </c>
      <c r="I3739" s="9" t="s">
        <v>62</v>
      </c>
      <c r="J3739" s="9" t="s">
        <v>41</v>
      </c>
      <c r="K3739" s="9" t="n">
        <v>8</v>
      </c>
      <c r="L3739" s="9" t="n">
        <v>1</v>
      </c>
      <c r="M3739" s="9" t="n">
        <v>0</v>
      </c>
      <c r="N3739" s="9" t="s">
        <v>42</v>
      </c>
      <c r="O3739" s="9" t="s">
        <v>43</v>
      </c>
      <c r="P3739" s="9" t="n">
        <v>3.2</v>
      </c>
      <c r="Q3739" s="9" t="n">
        <v>14</v>
      </c>
      <c r="R3739" s="9" t="s">
        <v>53</v>
      </c>
      <c r="S3739" s="9"/>
      <c r="T3739" s="9"/>
      <c r="U3739" s="9" t="str">
        <f aca="false">IF(COUNTIF($A$2:$A$5001,A3739)&gt;1,"Duplicate","Unique")</f>
        <v>Unique</v>
      </c>
      <c r="V3739" s="9" t="str">
        <f aca="false">IF(COUNTIFS($B$2:$B$5001,B3739,$H$2:$H$5001,H3739,$J$2:$J$5001,J3739)&gt;1,"Possible Duplicate Booking","Unique")</f>
        <v>Unique</v>
      </c>
      <c r="W3739" s="9" t="str">
        <f aca="false">IF((H3739-G3739)&lt;&gt;K3739,"Mismatch","OK")</f>
        <v>OK</v>
      </c>
      <c r="X3739" s="9" t="str">
        <f aca="false">IF(TEXT(H3739,"dddd")&lt;&gt;I3739,"Mismatch","OK")</f>
        <v>OK</v>
      </c>
      <c r="Y3739" s="9" t="str">
        <f aca="false">IF(AND(N3739="No",O3739&lt;&gt;""),"Unexpected: channel present but no reminder sent",IF(AND(N3739="Yes",O3739=""),"Missing channel for sent reminder","OK"))</f>
        <v>OK</v>
      </c>
    </row>
    <row r="3740" customFormat="false" ht="15" hidden="false" customHeight="false" outlineLevel="0" collapsed="false">
      <c r="A3740" s="7" t="s">
        <v>5388</v>
      </c>
      <c r="B3740" s="7" t="s">
        <v>1206</v>
      </c>
      <c r="C3740" s="7" t="s">
        <v>37</v>
      </c>
      <c r="D3740" s="7" t="n">
        <v>60</v>
      </c>
      <c r="E3740" s="7" t="s">
        <v>61</v>
      </c>
      <c r="F3740" s="7" t="s">
        <v>49</v>
      </c>
      <c r="G3740" s="8" t="n">
        <v>45979</v>
      </c>
      <c r="H3740" s="8" t="n">
        <v>46022</v>
      </c>
      <c r="I3740" s="7" t="s">
        <v>58</v>
      </c>
      <c r="J3740" s="7" t="s">
        <v>51</v>
      </c>
      <c r="K3740" s="7" t="n">
        <v>43</v>
      </c>
      <c r="L3740" s="7" t="n">
        <v>2</v>
      </c>
      <c r="M3740" s="7" t="n">
        <v>1</v>
      </c>
      <c r="N3740" s="7" t="s">
        <v>71</v>
      </c>
      <c r="O3740" s="7"/>
      <c r="P3740" s="7" t="n">
        <v>20.2</v>
      </c>
      <c r="Q3740" s="7" t="n">
        <v>32</v>
      </c>
      <c r="R3740" s="7" t="s">
        <v>44</v>
      </c>
      <c r="S3740" s="7"/>
      <c r="T3740" s="7"/>
      <c r="U3740" s="7" t="str">
        <f aca="false">IF(COUNTIF($A$2:$A$5001,A3740)&gt;1,"Duplicate","Unique")</f>
        <v>Unique</v>
      </c>
      <c r="V3740" s="7" t="str">
        <f aca="false">IF(COUNTIFS($B$2:$B$5001,B3740,$H$2:$H$5001,H3740,$J$2:$J$5001,J3740)&gt;1,"Possible Duplicate Booking","Unique")</f>
        <v>Unique</v>
      </c>
      <c r="W3740" s="7" t="str">
        <f aca="false">IF((H3740-G3740)&lt;&gt;K3740,"Mismatch","OK")</f>
        <v>OK</v>
      </c>
      <c r="X3740" s="7" t="str">
        <f aca="false">IF(TEXT(H3740,"dddd")&lt;&gt;I3740,"Mismatch","OK")</f>
        <v>OK</v>
      </c>
      <c r="Y3740" s="7" t="str">
        <f aca="false">IF(AND(N3740="No",O3740&lt;&gt;""),"Unexpected: channel present but no reminder sent",IF(AND(N3740="Yes",O3740=""),"Missing channel for sent reminder","OK"))</f>
        <v>OK</v>
      </c>
    </row>
    <row r="3741" customFormat="false" ht="15" hidden="false" customHeight="false" outlineLevel="0" collapsed="false">
      <c r="A3741" s="9" t="s">
        <v>5389</v>
      </c>
      <c r="B3741" s="9" t="s">
        <v>2605</v>
      </c>
      <c r="C3741" s="9" t="s">
        <v>47</v>
      </c>
      <c r="D3741" s="9" t="n">
        <v>53</v>
      </c>
      <c r="E3741" s="9" t="s">
        <v>56</v>
      </c>
      <c r="F3741" s="9" t="s">
        <v>57</v>
      </c>
      <c r="G3741" s="10" t="n">
        <v>46086</v>
      </c>
      <c r="H3741" s="10" t="n">
        <v>46112</v>
      </c>
      <c r="I3741" s="9" t="s">
        <v>40</v>
      </c>
      <c r="J3741" s="9" t="s">
        <v>63</v>
      </c>
      <c r="K3741" s="9" t="n">
        <v>26</v>
      </c>
      <c r="L3741" s="9" t="n">
        <v>1</v>
      </c>
      <c r="M3741" s="9" t="n">
        <v>1</v>
      </c>
      <c r="N3741" s="9" t="s">
        <v>42</v>
      </c>
      <c r="O3741" s="9" t="s">
        <v>43</v>
      </c>
      <c r="P3741" s="9" t="n">
        <v>20.4</v>
      </c>
      <c r="Q3741" s="9" t="n">
        <v>26</v>
      </c>
      <c r="R3741" s="9" t="s">
        <v>53</v>
      </c>
      <c r="S3741" s="9"/>
      <c r="T3741" s="9"/>
      <c r="U3741" s="9" t="str">
        <f aca="false">IF(COUNTIF($A$2:$A$5001,A3741)&gt;1,"Duplicate","Unique")</f>
        <v>Unique</v>
      </c>
      <c r="V3741" s="9" t="str">
        <f aca="false">IF(COUNTIFS($B$2:$B$5001,B3741,$H$2:$H$5001,H3741,$J$2:$J$5001,J3741)&gt;1,"Possible Duplicate Booking","Unique")</f>
        <v>Unique</v>
      </c>
      <c r="W3741" s="9" t="str">
        <f aca="false">IF((H3741-G3741)&lt;&gt;K3741,"Mismatch","OK")</f>
        <v>OK</v>
      </c>
      <c r="X3741" s="9" t="str">
        <f aca="false">IF(TEXT(H3741,"dddd")&lt;&gt;I3741,"Mismatch","OK")</f>
        <v>OK</v>
      </c>
      <c r="Y3741" s="9" t="str">
        <f aca="false">IF(AND(N3741="No",O3741&lt;&gt;""),"Unexpected: channel present but no reminder sent",IF(AND(N3741="Yes",O3741=""),"Missing channel for sent reminder","OK"))</f>
        <v>OK</v>
      </c>
    </row>
    <row r="3742" customFormat="false" ht="15" hidden="false" customHeight="false" outlineLevel="0" collapsed="false">
      <c r="A3742" s="7" t="s">
        <v>5390</v>
      </c>
      <c r="B3742" s="7" t="s">
        <v>1598</v>
      </c>
      <c r="C3742" s="7" t="s">
        <v>37</v>
      </c>
      <c r="D3742" s="7" t="n">
        <v>51</v>
      </c>
      <c r="E3742" s="7" t="s">
        <v>56</v>
      </c>
      <c r="F3742" s="7" t="s">
        <v>49</v>
      </c>
      <c r="G3742" s="8" t="n">
        <v>45778</v>
      </c>
      <c r="H3742" s="8" t="n">
        <v>45780</v>
      </c>
      <c r="I3742" s="7" t="s">
        <v>102</v>
      </c>
      <c r="J3742" s="7" t="s">
        <v>41</v>
      </c>
      <c r="K3742" s="7" t="n">
        <v>2</v>
      </c>
      <c r="L3742" s="7" t="n">
        <v>3</v>
      </c>
      <c r="M3742" s="7" t="n">
        <v>0</v>
      </c>
      <c r="N3742" s="7" t="s">
        <v>42</v>
      </c>
      <c r="O3742" s="7" t="s">
        <v>52</v>
      </c>
      <c r="P3742" s="7" t="n">
        <v>13.1</v>
      </c>
      <c r="Q3742" s="7" t="n">
        <v>20</v>
      </c>
      <c r="R3742" s="7" t="s">
        <v>53</v>
      </c>
      <c r="S3742" s="7"/>
      <c r="T3742" s="7"/>
      <c r="U3742" s="7" t="str">
        <f aca="false">IF(COUNTIF($A$2:$A$5001,A3742)&gt;1,"Duplicate","Unique")</f>
        <v>Unique</v>
      </c>
      <c r="V3742" s="7" t="str">
        <f aca="false">IF(COUNTIFS($B$2:$B$5001,B3742,$H$2:$H$5001,H3742,$J$2:$J$5001,J3742)&gt;1,"Possible Duplicate Booking","Unique")</f>
        <v>Unique</v>
      </c>
      <c r="W3742" s="7" t="str">
        <f aca="false">IF((H3742-G3742)&lt;&gt;K3742,"Mismatch","OK")</f>
        <v>OK</v>
      </c>
      <c r="X3742" s="7" t="str">
        <f aca="false">IF(TEXT(H3742,"dddd")&lt;&gt;I3742,"Mismatch","OK")</f>
        <v>OK</v>
      </c>
      <c r="Y3742" s="7" t="str">
        <f aca="false">IF(AND(N3742="No",O3742&lt;&gt;""),"Unexpected: channel present but no reminder sent",IF(AND(N3742="Yes",O3742=""),"Missing channel for sent reminder","OK"))</f>
        <v>OK</v>
      </c>
    </row>
    <row r="3743" customFormat="false" ht="15" hidden="false" customHeight="false" outlineLevel="0" collapsed="false">
      <c r="A3743" s="9" t="s">
        <v>5391</v>
      </c>
      <c r="B3743" s="9" t="s">
        <v>4002</v>
      </c>
      <c r="C3743" s="9" t="s">
        <v>47</v>
      </c>
      <c r="D3743" s="9" t="n">
        <v>60</v>
      </c>
      <c r="E3743" s="9" t="s">
        <v>61</v>
      </c>
      <c r="F3743" s="9" t="s">
        <v>57</v>
      </c>
      <c r="G3743" s="10" t="n">
        <v>45806</v>
      </c>
      <c r="H3743" s="10" t="n">
        <v>45823</v>
      </c>
      <c r="I3743" s="9" t="s">
        <v>75</v>
      </c>
      <c r="J3743" s="9" t="s">
        <v>63</v>
      </c>
      <c r="K3743" s="9" t="n">
        <v>17</v>
      </c>
      <c r="L3743" s="9" t="n">
        <v>0</v>
      </c>
      <c r="M3743" s="9" t="n">
        <v>0</v>
      </c>
      <c r="N3743" s="9" t="s">
        <v>42</v>
      </c>
      <c r="O3743" s="9" t="s">
        <v>52</v>
      </c>
      <c r="P3743" s="9" t="n">
        <v>15.7</v>
      </c>
      <c r="Q3743" s="9" t="n">
        <v>35</v>
      </c>
      <c r="R3743" s="9" t="s">
        <v>44</v>
      </c>
      <c r="S3743" s="9"/>
      <c r="T3743" s="9"/>
      <c r="U3743" s="9" t="str">
        <f aca="false">IF(COUNTIF($A$2:$A$5001,A3743)&gt;1,"Duplicate","Unique")</f>
        <v>Unique</v>
      </c>
      <c r="V3743" s="9" t="str">
        <f aca="false">IF(COUNTIFS($B$2:$B$5001,B3743,$H$2:$H$5001,H3743,$J$2:$J$5001,J3743)&gt;1,"Possible Duplicate Booking","Unique")</f>
        <v>Unique</v>
      </c>
      <c r="W3743" s="9" t="str">
        <f aca="false">IF((H3743-G3743)&lt;&gt;K3743,"Mismatch","OK")</f>
        <v>OK</v>
      </c>
      <c r="X3743" s="9" t="str">
        <f aca="false">IF(TEXT(H3743,"dddd")&lt;&gt;I3743,"Mismatch","OK")</f>
        <v>OK</v>
      </c>
      <c r="Y3743" s="9" t="str">
        <f aca="false">IF(AND(N3743="No",O3743&lt;&gt;""),"Unexpected: channel present but no reminder sent",IF(AND(N3743="Yes",O3743=""),"Missing channel for sent reminder","OK"))</f>
        <v>OK</v>
      </c>
    </row>
    <row r="3744" customFormat="false" ht="15" hidden="false" customHeight="false" outlineLevel="0" collapsed="false">
      <c r="A3744" s="7" t="s">
        <v>5392</v>
      </c>
      <c r="B3744" s="7" t="s">
        <v>1791</v>
      </c>
      <c r="C3744" s="7" t="s">
        <v>37</v>
      </c>
      <c r="D3744" s="7" t="n">
        <v>41</v>
      </c>
      <c r="E3744" s="7" t="s">
        <v>38</v>
      </c>
      <c r="F3744" s="7" t="s">
        <v>39</v>
      </c>
      <c r="G3744" s="8" t="n">
        <v>46117</v>
      </c>
      <c r="H3744" s="8" t="n">
        <v>46170</v>
      </c>
      <c r="I3744" s="7" t="s">
        <v>62</v>
      </c>
      <c r="J3744" s="7" t="s">
        <v>41</v>
      </c>
      <c r="K3744" s="7" t="n">
        <v>53</v>
      </c>
      <c r="L3744" s="7" t="n">
        <v>6</v>
      </c>
      <c r="M3744" s="7" t="n">
        <v>2</v>
      </c>
      <c r="N3744" s="7" t="s">
        <v>42</v>
      </c>
      <c r="O3744" s="7" t="s">
        <v>43</v>
      </c>
      <c r="P3744" s="7" t="n">
        <v>3.3</v>
      </c>
      <c r="Q3744" s="7" t="n">
        <v>49</v>
      </c>
      <c r="R3744" s="7" t="s">
        <v>44</v>
      </c>
      <c r="S3744" s="7"/>
      <c r="T3744" s="7"/>
      <c r="U3744" s="7" t="str">
        <f aca="false">IF(COUNTIF($A$2:$A$5001,A3744)&gt;1,"Duplicate","Unique")</f>
        <v>Unique</v>
      </c>
      <c r="V3744" s="7" t="str">
        <f aca="false">IF(COUNTIFS($B$2:$B$5001,B3744,$H$2:$H$5001,H3744,$J$2:$J$5001,J3744)&gt;1,"Possible Duplicate Booking","Unique")</f>
        <v>Unique</v>
      </c>
      <c r="W3744" s="7" t="str">
        <f aca="false">IF((H3744-G3744)&lt;&gt;K3744,"Mismatch","OK")</f>
        <v>OK</v>
      </c>
      <c r="X3744" s="7" t="str">
        <f aca="false">IF(TEXT(H3744,"dddd")&lt;&gt;I3744,"Mismatch","OK")</f>
        <v>OK</v>
      </c>
      <c r="Y3744" s="7" t="str">
        <f aca="false">IF(AND(N3744="No",O3744&lt;&gt;""),"Unexpected: channel present but no reminder sent",IF(AND(N3744="Yes",O3744=""),"Missing channel for sent reminder","OK"))</f>
        <v>OK</v>
      </c>
    </row>
    <row r="3745" customFormat="false" ht="15" hidden="false" customHeight="false" outlineLevel="0" collapsed="false">
      <c r="A3745" s="9" t="s">
        <v>5393</v>
      </c>
      <c r="B3745" s="9" t="s">
        <v>5394</v>
      </c>
      <c r="C3745" s="9" t="s">
        <v>37</v>
      </c>
      <c r="D3745" s="9" t="n">
        <v>53</v>
      </c>
      <c r="E3745" s="9" t="s">
        <v>56</v>
      </c>
      <c r="F3745" s="9" t="s">
        <v>39</v>
      </c>
      <c r="G3745" s="10" t="n">
        <v>45891</v>
      </c>
      <c r="H3745" s="10" t="n">
        <v>45898</v>
      </c>
      <c r="I3745" s="9" t="s">
        <v>50</v>
      </c>
      <c r="J3745" s="9" t="s">
        <v>51</v>
      </c>
      <c r="K3745" s="9" t="n">
        <v>7</v>
      </c>
      <c r="L3745" s="9" t="n">
        <v>6</v>
      </c>
      <c r="M3745" s="9" t="n">
        <v>0</v>
      </c>
      <c r="N3745" s="9" t="s">
        <v>42</v>
      </c>
      <c r="O3745" s="9" t="s">
        <v>52</v>
      </c>
      <c r="P3745" s="9" t="n">
        <v>12</v>
      </c>
      <c r="Q3745" s="9" t="n">
        <v>14</v>
      </c>
      <c r="R3745" s="9" t="s">
        <v>53</v>
      </c>
      <c r="S3745" s="9"/>
      <c r="T3745" s="9"/>
      <c r="U3745" s="9" t="str">
        <f aca="false">IF(COUNTIF($A$2:$A$5001,A3745)&gt;1,"Duplicate","Unique")</f>
        <v>Unique</v>
      </c>
      <c r="V3745" s="9" t="str">
        <f aca="false">IF(COUNTIFS($B$2:$B$5001,B3745,$H$2:$H$5001,H3745,$J$2:$J$5001,J3745)&gt;1,"Possible Duplicate Booking","Unique")</f>
        <v>Unique</v>
      </c>
      <c r="W3745" s="9" t="str">
        <f aca="false">IF((H3745-G3745)&lt;&gt;K3745,"Mismatch","OK")</f>
        <v>OK</v>
      </c>
      <c r="X3745" s="9" t="str">
        <f aca="false">IF(TEXT(H3745,"dddd")&lt;&gt;I3745,"Mismatch","OK")</f>
        <v>OK</v>
      </c>
      <c r="Y3745" s="9" t="str">
        <f aca="false">IF(AND(N3745="No",O3745&lt;&gt;""),"Unexpected: channel present but no reminder sent",IF(AND(N3745="Yes",O3745=""),"Missing channel for sent reminder","OK"))</f>
        <v>OK</v>
      </c>
    </row>
    <row r="3746" customFormat="false" ht="15" hidden="false" customHeight="false" outlineLevel="0" collapsed="false">
      <c r="A3746" s="7" t="s">
        <v>5395</v>
      </c>
      <c r="B3746" s="7" t="s">
        <v>611</v>
      </c>
      <c r="C3746" s="7" t="s">
        <v>47</v>
      </c>
      <c r="D3746" s="7" t="n">
        <v>38</v>
      </c>
      <c r="E3746" s="7" t="s">
        <v>38</v>
      </c>
      <c r="F3746" s="7" t="s">
        <v>49</v>
      </c>
      <c r="G3746" s="8" t="n">
        <v>45765</v>
      </c>
      <c r="H3746" s="8" t="n">
        <v>45789</v>
      </c>
      <c r="I3746" s="7" t="s">
        <v>66</v>
      </c>
      <c r="J3746" s="7" t="s">
        <v>51</v>
      </c>
      <c r="K3746" s="7" t="n">
        <v>24</v>
      </c>
      <c r="L3746" s="7" t="n">
        <v>1</v>
      </c>
      <c r="M3746" s="7" t="n">
        <v>0</v>
      </c>
      <c r="N3746" s="7" t="s">
        <v>42</v>
      </c>
      <c r="O3746" s="7" t="s">
        <v>52</v>
      </c>
      <c r="P3746" s="7" t="n">
        <v>5.5</v>
      </c>
      <c r="Q3746" s="7" t="n">
        <v>30</v>
      </c>
      <c r="R3746" s="7" t="s">
        <v>53</v>
      </c>
      <c r="S3746" s="7"/>
      <c r="T3746" s="7"/>
      <c r="U3746" s="7" t="str">
        <f aca="false">IF(COUNTIF($A$2:$A$5001,A3746)&gt;1,"Duplicate","Unique")</f>
        <v>Unique</v>
      </c>
      <c r="V3746" s="7" t="str">
        <f aca="false">IF(COUNTIFS($B$2:$B$5001,B3746,$H$2:$H$5001,H3746,$J$2:$J$5001,J3746)&gt;1,"Possible Duplicate Booking","Unique")</f>
        <v>Unique</v>
      </c>
      <c r="W3746" s="7" t="str">
        <f aca="false">IF((H3746-G3746)&lt;&gt;K3746,"Mismatch","OK")</f>
        <v>OK</v>
      </c>
      <c r="X3746" s="7" t="str">
        <f aca="false">IF(TEXT(H3746,"dddd")&lt;&gt;I3746,"Mismatch","OK")</f>
        <v>OK</v>
      </c>
      <c r="Y3746" s="7" t="str">
        <f aca="false">IF(AND(N3746="No",O3746&lt;&gt;""),"Unexpected: channel present but no reminder sent",IF(AND(N3746="Yes",O3746=""),"Missing channel for sent reminder","OK"))</f>
        <v>OK</v>
      </c>
    </row>
    <row r="3747" customFormat="false" ht="15" hidden="false" customHeight="false" outlineLevel="0" collapsed="false">
      <c r="A3747" s="9" t="s">
        <v>5396</v>
      </c>
      <c r="B3747" s="9" t="s">
        <v>576</v>
      </c>
      <c r="C3747" s="9" t="s">
        <v>47</v>
      </c>
      <c r="D3747" s="9" t="n">
        <v>45</v>
      </c>
      <c r="E3747" s="9" t="s">
        <v>56</v>
      </c>
      <c r="F3747" s="9" t="s">
        <v>39</v>
      </c>
      <c r="G3747" s="10" t="n">
        <v>46165</v>
      </c>
      <c r="H3747" s="10" t="n">
        <v>46196</v>
      </c>
      <c r="I3747" s="9" t="s">
        <v>40</v>
      </c>
      <c r="J3747" s="9" t="s">
        <v>51</v>
      </c>
      <c r="K3747" s="9" t="n">
        <v>31</v>
      </c>
      <c r="L3747" s="9" t="n">
        <v>4</v>
      </c>
      <c r="M3747" s="9" t="n">
        <v>0</v>
      </c>
      <c r="N3747" s="9" t="s">
        <v>71</v>
      </c>
      <c r="O3747" s="9"/>
      <c r="P3747" s="9" t="n">
        <v>4</v>
      </c>
      <c r="Q3747" s="9" t="n">
        <v>26</v>
      </c>
      <c r="R3747" s="9" t="s">
        <v>44</v>
      </c>
      <c r="S3747" s="9"/>
      <c r="T3747" s="9"/>
      <c r="U3747" s="9" t="str">
        <f aca="false">IF(COUNTIF($A$2:$A$5001,A3747)&gt;1,"Duplicate","Unique")</f>
        <v>Unique</v>
      </c>
      <c r="V3747" s="9" t="str">
        <f aca="false">IF(COUNTIFS($B$2:$B$5001,B3747,$H$2:$H$5001,H3747,$J$2:$J$5001,J3747)&gt;1,"Possible Duplicate Booking","Unique")</f>
        <v>Unique</v>
      </c>
      <c r="W3747" s="9" t="str">
        <f aca="false">IF((H3747-G3747)&lt;&gt;K3747,"Mismatch","OK")</f>
        <v>OK</v>
      </c>
      <c r="X3747" s="9" t="str">
        <f aca="false">IF(TEXT(H3747,"dddd")&lt;&gt;I3747,"Mismatch","OK")</f>
        <v>OK</v>
      </c>
      <c r="Y3747" s="9" t="str">
        <f aca="false">IF(AND(N3747="No",O3747&lt;&gt;""),"Unexpected: channel present but no reminder sent",IF(AND(N3747="Yes",O3747=""),"Missing channel for sent reminder","OK"))</f>
        <v>OK</v>
      </c>
    </row>
    <row r="3748" customFormat="false" ht="15" hidden="false" customHeight="false" outlineLevel="0" collapsed="false">
      <c r="A3748" s="7" t="s">
        <v>5397</v>
      </c>
      <c r="B3748" s="7" t="s">
        <v>921</v>
      </c>
      <c r="C3748" s="7" t="s">
        <v>47</v>
      </c>
      <c r="D3748" s="7" t="n">
        <v>25</v>
      </c>
      <c r="E3748" s="7" t="s">
        <v>48</v>
      </c>
      <c r="F3748" s="7" t="s">
        <v>57</v>
      </c>
      <c r="G3748" s="8" t="n">
        <v>45898</v>
      </c>
      <c r="H3748" s="8" t="n">
        <v>45903</v>
      </c>
      <c r="I3748" s="7" t="s">
        <v>58</v>
      </c>
      <c r="J3748" s="7" t="s">
        <v>41</v>
      </c>
      <c r="K3748" s="7" t="n">
        <v>5</v>
      </c>
      <c r="L3748" s="7" t="n">
        <v>0</v>
      </c>
      <c r="M3748" s="7" t="n">
        <v>0</v>
      </c>
      <c r="N3748" s="7" t="s">
        <v>71</v>
      </c>
      <c r="O3748" s="7"/>
      <c r="P3748" s="7" t="n">
        <v>15.7</v>
      </c>
      <c r="Q3748" s="7" t="n">
        <v>31</v>
      </c>
      <c r="R3748" s="7" t="s">
        <v>53</v>
      </c>
      <c r="S3748" s="7"/>
      <c r="T3748" s="7"/>
      <c r="U3748" s="7" t="str">
        <f aca="false">IF(COUNTIF($A$2:$A$5001,A3748)&gt;1,"Duplicate","Unique")</f>
        <v>Unique</v>
      </c>
      <c r="V3748" s="7" t="str">
        <f aca="false">IF(COUNTIFS($B$2:$B$5001,B3748,$H$2:$H$5001,H3748,$J$2:$J$5001,J3748)&gt;1,"Possible Duplicate Booking","Unique")</f>
        <v>Unique</v>
      </c>
      <c r="W3748" s="7" t="str">
        <f aca="false">IF((H3748-G3748)&lt;&gt;K3748,"Mismatch","OK")</f>
        <v>OK</v>
      </c>
      <c r="X3748" s="7" t="str">
        <f aca="false">IF(TEXT(H3748,"dddd")&lt;&gt;I3748,"Mismatch","OK")</f>
        <v>OK</v>
      </c>
      <c r="Y3748" s="7" t="str">
        <f aca="false">IF(AND(N3748="No",O3748&lt;&gt;""),"Unexpected: channel present but no reminder sent",IF(AND(N3748="Yes",O3748=""),"Missing channel for sent reminder","OK"))</f>
        <v>OK</v>
      </c>
    </row>
    <row r="3749" customFormat="false" ht="15" hidden="false" customHeight="false" outlineLevel="0" collapsed="false">
      <c r="A3749" s="9" t="s">
        <v>5398</v>
      </c>
      <c r="B3749" s="9" t="s">
        <v>3298</v>
      </c>
      <c r="C3749" s="9" t="s">
        <v>37</v>
      </c>
      <c r="D3749" s="9" t="n">
        <v>40</v>
      </c>
      <c r="E3749" s="9" t="s">
        <v>38</v>
      </c>
      <c r="F3749" s="9" t="s">
        <v>39</v>
      </c>
      <c r="G3749" s="10" t="n">
        <v>46185</v>
      </c>
      <c r="H3749" s="10" t="n">
        <v>46195</v>
      </c>
      <c r="I3749" s="9" t="s">
        <v>66</v>
      </c>
      <c r="J3749" s="9" t="s">
        <v>51</v>
      </c>
      <c r="K3749" s="9" t="n">
        <v>10</v>
      </c>
      <c r="L3749" s="9" t="n">
        <v>2</v>
      </c>
      <c r="M3749" s="9" t="n">
        <v>1</v>
      </c>
      <c r="N3749" s="9" t="s">
        <v>71</v>
      </c>
      <c r="O3749" s="9"/>
      <c r="P3749" s="9" t="n">
        <v>11.9</v>
      </c>
      <c r="Q3749" s="9" t="n">
        <v>39</v>
      </c>
      <c r="R3749" s="9" t="s">
        <v>53</v>
      </c>
      <c r="S3749" s="9"/>
      <c r="T3749" s="9"/>
      <c r="U3749" s="9" t="str">
        <f aca="false">IF(COUNTIF($A$2:$A$5001,A3749)&gt;1,"Duplicate","Unique")</f>
        <v>Unique</v>
      </c>
      <c r="V3749" s="9" t="str">
        <f aca="false">IF(COUNTIFS($B$2:$B$5001,B3749,$H$2:$H$5001,H3749,$J$2:$J$5001,J3749)&gt;1,"Possible Duplicate Booking","Unique")</f>
        <v>Unique</v>
      </c>
      <c r="W3749" s="9" t="str">
        <f aca="false">IF((H3749-G3749)&lt;&gt;K3749,"Mismatch","OK")</f>
        <v>OK</v>
      </c>
      <c r="X3749" s="9" t="str">
        <f aca="false">IF(TEXT(H3749,"dddd")&lt;&gt;I3749,"Mismatch","OK")</f>
        <v>OK</v>
      </c>
      <c r="Y3749" s="9" t="str">
        <f aca="false">IF(AND(N3749="No",O3749&lt;&gt;""),"Unexpected: channel present but no reminder sent",IF(AND(N3749="Yes",O3749=""),"Missing channel for sent reminder","OK"))</f>
        <v>OK</v>
      </c>
    </row>
    <row r="3750" customFormat="false" ht="15" hidden="false" customHeight="false" outlineLevel="0" collapsed="false">
      <c r="A3750" s="7" t="s">
        <v>5399</v>
      </c>
      <c r="B3750" s="7" t="s">
        <v>4025</v>
      </c>
      <c r="C3750" s="7" t="s">
        <v>37</v>
      </c>
      <c r="D3750" s="7" t="n">
        <v>26</v>
      </c>
      <c r="E3750" s="7" t="s">
        <v>48</v>
      </c>
      <c r="F3750" s="7" t="s">
        <v>57</v>
      </c>
      <c r="G3750" s="8" t="n">
        <v>46102</v>
      </c>
      <c r="H3750" s="8" t="n">
        <v>46159</v>
      </c>
      <c r="I3750" s="7" t="s">
        <v>75</v>
      </c>
      <c r="J3750" s="7" t="s">
        <v>51</v>
      </c>
      <c r="K3750" s="7" t="n">
        <v>57</v>
      </c>
      <c r="L3750" s="7" t="n">
        <v>2</v>
      </c>
      <c r="M3750" s="7" t="n">
        <v>0</v>
      </c>
      <c r="N3750" s="7" t="s">
        <v>42</v>
      </c>
      <c r="O3750" s="7" t="s">
        <v>43</v>
      </c>
      <c r="P3750" s="7" t="n">
        <v>3.5</v>
      </c>
      <c r="Q3750" s="7" t="n">
        <v>40</v>
      </c>
      <c r="R3750" s="7" t="s">
        <v>53</v>
      </c>
      <c r="S3750" s="7"/>
      <c r="T3750" s="7"/>
      <c r="U3750" s="7" t="str">
        <f aca="false">IF(COUNTIF($A$2:$A$5001,A3750)&gt;1,"Duplicate","Unique")</f>
        <v>Unique</v>
      </c>
      <c r="V3750" s="7" t="str">
        <f aca="false">IF(COUNTIFS($B$2:$B$5001,B3750,$H$2:$H$5001,H3750,$J$2:$J$5001,J3750)&gt;1,"Possible Duplicate Booking","Unique")</f>
        <v>Unique</v>
      </c>
      <c r="W3750" s="7" t="str">
        <f aca="false">IF((H3750-G3750)&lt;&gt;K3750,"Mismatch","OK")</f>
        <v>OK</v>
      </c>
      <c r="X3750" s="7" t="str">
        <f aca="false">IF(TEXT(H3750,"dddd")&lt;&gt;I3750,"Mismatch","OK")</f>
        <v>OK</v>
      </c>
      <c r="Y3750" s="7" t="str">
        <f aca="false">IF(AND(N3750="No",O3750&lt;&gt;""),"Unexpected: channel present but no reminder sent",IF(AND(N3750="Yes",O3750=""),"Missing channel for sent reminder","OK"))</f>
        <v>OK</v>
      </c>
    </row>
    <row r="3751" customFormat="false" ht="15" hidden="false" customHeight="false" outlineLevel="0" collapsed="false">
      <c r="A3751" s="9" t="s">
        <v>5400</v>
      </c>
      <c r="B3751" s="9" t="s">
        <v>1280</v>
      </c>
      <c r="C3751" s="9" t="s">
        <v>47</v>
      </c>
      <c r="D3751" s="9" t="n">
        <v>32</v>
      </c>
      <c r="E3751" s="9" t="s">
        <v>48</v>
      </c>
      <c r="F3751" s="9" t="s">
        <v>39</v>
      </c>
      <c r="G3751" s="10" t="n">
        <v>46116</v>
      </c>
      <c r="H3751" s="10" t="n">
        <v>46152</v>
      </c>
      <c r="I3751" s="9" t="s">
        <v>75</v>
      </c>
      <c r="J3751" s="9" t="s">
        <v>41</v>
      </c>
      <c r="K3751" s="9" t="n">
        <v>36</v>
      </c>
      <c r="L3751" s="9" t="n">
        <v>3</v>
      </c>
      <c r="M3751" s="9" t="n">
        <v>1</v>
      </c>
      <c r="N3751" s="9" t="s">
        <v>42</v>
      </c>
      <c r="O3751" s="9" t="s">
        <v>67</v>
      </c>
      <c r="P3751" s="9" t="n">
        <v>19</v>
      </c>
      <c r="Q3751" s="9" t="n">
        <v>19</v>
      </c>
      <c r="R3751" s="9" t="s">
        <v>44</v>
      </c>
      <c r="S3751" s="9"/>
      <c r="T3751" s="9"/>
      <c r="U3751" s="9" t="str">
        <f aca="false">IF(COUNTIF($A$2:$A$5001,A3751)&gt;1,"Duplicate","Unique")</f>
        <v>Unique</v>
      </c>
      <c r="V3751" s="9" t="str">
        <f aca="false">IF(COUNTIFS($B$2:$B$5001,B3751,$H$2:$H$5001,H3751,$J$2:$J$5001,J3751)&gt;1,"Possible Duplicate Booking","Unique")</f>
        <v>Unique</v>
      </c>
      <c r="W3751" s="9" t="str">
        <f aca="false">IF((H3751-G3751)&lt;&gt;K3751,"Mismatch","OK")</f>
        <v>OK</v>
      </c>
      <c r="X3751" s="9" t="str">
        <f aca="false">IF(TEXT(H3751,"dddd")&lt;&gt;I3751,"Mismatch","OK")</f>
        <v>OK</v>
      </c>
      <c r="Y3751" s="9" t="str">
        <f aca="false">IF(AND(N3751="No",O3751&lt;&gt;""),"Unexpected: channel present but no reminder sent",IF(AND(N3751="Yes",O3751=""),"Missing channel for sent reminder","OK"))</f>
        <v>OK</v>
      </c>
    </row>
    <row r="3752" customFormat="false" ht="15" hidden="false" customHeight="false" outlineLevel="0" collapsed="false">
      <c r="A3752" s="7" t="s">
        <v>5401</v>
      </c>
      <c r="B3752" s="7" t="s">
        <v>2113</v>
      </c>
      <c r="C3752" s="7" t="s">
        <v>37</v>
      </c>
      <c r="D3752" s="7" t="n">
        <v>44</v>
      </c>
      <c r="E3752" s="7" t="s">
        <v>38</v>
      </c>
      <c r="F3752" s="7" t="s">
        <v>39</v>
      </c>
      <c r="G3752" s="8" t="n">
        <v>45963</v>
      </c>
      <c r="H3752" s="8" t="n">
        <v>45975</v>
      </c>
      <c r="I3752" s="7" t="s">
        <v>50</v>
      </c>
      <c r="J3752" s="7" t="s">
        <v>51</v>
      </c>
      <c r="K3752" s="7" t="n">
        <v>12</v>
      </c>
      <c r="L3752" s="7" t="n">
        <v>5</v>
      </c>
      <c r="M3752" s="7" t="n">
        <v>1</v>
      </c>
      <c r="N3752" s="7" t="s">
        <v>42</v>
      </c>
      <c r="O3752" s="7" t="s">
        <v>52</v>
      </c>
      <c r="P3752" s="7" t="n">
        <v>8.1</v>
      </c>
      <c r="Q3752" s="7" t="n">
        <v>6</v>
      </c>
      <c r="R3752" s="7" t="s">
        <v>53</v>
      </c>
      <c r="S3752" s="7"/>
      <c r="T3752" s="7"/>
      <c r="U3752" s="7" t="str">
        <f aca="false">IF(COUNTIF($A$2:$A$5001,A3752)&gt;1,"Duplicate","Unique")</f>
        <v>Unique</v>
      </c>
      <c r="V3752" s="7" t="str">
        <f aca="false">IF(COUNTIFS($B$2:$B$5001,B3752,$H$2:$H$5001,H3752,$J$2:$J$5001,J3752)&gt;1,"Possible Duplicate Booking","Unique")</f>
        <v>Unique</v>
      </c>
      <c r="W3752" s="7" t="str">
        <f aca="false">IF((H3752-G3752)&lt;&gt;K3752,"Mismatch","OK")</f>
        <v>OK</v>
      </c>
      <c r="X3752" s="7" t="str">
        <f aca="false">IF(TEXT(H3752,"dddd")&lt;&gt;I3752,"Mismatch","OK")</f>
        <v>OK</v>
      </c>
      <c r="Y3752" s="7" t="str">
        <f aca="false">IF(AND(N3752="No",O3752&lt;&gt;""),"Unexpected: channel present but no reminder sent",IF(AND(N3752="Yes",O3752=""),"Missing channel for sent reminder","OK"))</f>
        <v>OK</v>
      </c>
    </row>
    <row r="3753" customFormat="false" ht="15" hidden="false" customHeight="false" outlineLevel="0" collapsed="false">
      <c r="A3753" s="9" t="s">
        <v>5402</v>
      </c>
      <c r="B3753" s="9" t="s">
        <v>2323</v>
      </c>
      <c r="C3753" s="9" t="s">
        <v>37</v>
      </c>
      <c r="D3753" s="9" t="n">
        <v>49</v>
      </c>
      <c r="E3753" s="9" t="s">
        <v>56</v>
      </c>
      <c r="F3753" s="9" t="s">
        <v>49</v>
      </c>
      <c r="G3753" s="10" t="n">
        <v>46083</v>
      </c>
      <c r="H3753" s="10" t="n">
        <v>46093</v>
      </c>
      <c r="I3753" s="9" t="s">
        <v>62</v>
      </c>
      <c r="J3753" s="9" t="s">
        <v>41</v>
      </c>
      <c r="K3753" s="9" t="n">
        <v>10</v>
      </c>
      <c r="L3753" s="9" t="n">
        <v>3</v>
      </c>
      <c r="M3753" s="9" t="n">
        <v>0</v>
      </c>
      <c r="N3753" s="9" t="s">
        <v>71</v>
      </c>
      <c r="O3753" s="9"/>
      <c r="P3753" s="9" t="n">
        <v>13.5</v>
      </c>
      <c r="Q3753" s="9" t="n">
        <v>23</v>
      </c>
      <c r="R3753" s="9" t="s">
        <v>53</v>
      </c>
      <c r="S3753" s="9"/>
      <c r="T3753" s="9"/>
      <c r="U3753" s="9" t="str">
        <f aca="false">IF(COUNTIF($A$2:$A$5001,A3753)&gt;1,"Duplicate","Unique")</f>
        <v>Unique</v>
      </c>
      <c r="V3753" s="9" t="str">
        <f aca="false">IF(COUNTIFS($B$2:$B$5001,B3753,$H$2:$H$5001,H3753,$J$2:$J$5001,J3753)&gt;1,"Possible Duplicate Booking","Unique")</f>
        <v>Unique</v>
      </c>
      <c r="W3753" s="9" t="str">
        <f aca="false">IF((H3753-G3753)&lt;&gt;K3753,"Mismatch","OK")</f>
        <v>OK</v>
      </c>
      <c r="X3753" s="9" t="str">
        <f aca="false">IF(TEXT(H3753,"dddd")&lt;&gt;I3753,"Mismatch","OK")</f>
        <v>OK</v>
      </c>
      <c r="Y3753" s="9" t="str">
        <f aca="false">IF(AND(N3753="No",O3753&lt;&gt;""),"Unexpected: channel present but no reminder sent",IF(AND(N3753="Yes",O3753=""),"Missing channel for sent reminder","OK"))</f>
        <v>OK</v>
      </c>
    </row>
    <row r="3754" customFormat="false" ht="15" hidden="false" customHeight="false" outlineLevel="0" collapsed="false">
      <c r="A3754" s="7" t="s">
        <v>5403</v>
      </c>
      <c r="B3754" s="7" t="s">
        <v>5404</v>
      </c>
      <c r="C3754" s="7" t="s">
        <v>47</v>
      </c>
      <c r="D3754" s="7" t="n">
        <v>77</v>
      </c>
      <c r="E3754" s="7" t="s">
        <v>70</v>
      </c>
      <c r="F3754" s="7" t="s">
        <v>57</v>
      </c>
      <c r="G3754" s="8" t="n">
        <v>46157</v>
      </c>
      <c r="H3754" s="8" t="n">
        <v>46182</v>
      </c>
      <c r="I3754" s="7" t="s">
        <v>40</v>
      </c>
      <c r="J3754" s="7" t="s">
        <v>41</v>
      </c>
      <c r="K3754" s="7" t="n">
        <v>25</v>
      </c>
      <c r="L3754" s="7" t="n">
        <v>6</v>
      </c>
      <c r="M3754" s="7" t="n">
        <v>1</v>
      </c>
      <c r="N3754" s="7" t="s">
        <v>71</v>
      </c>
      <c r="O3754" s="7"/>
      <c r="P3754" s="7" t="n">
        <v>6.1</v>
      </c>
      <c r="Q3754" s="7" t="n">
        <v>23</v>
      </c>
      <c r="R3754" s="7" t="s">
        <v>53</v>
      </c>
      <c r="S3754" s="7"/>
      <c r="T3754" s="7"/>
      <c r="U3754" s="7" t="str">
        <f aca="false">IF(COUNTIF($A$2:$A$5001,A3754)&gt;1,"Duplicate","Unique")</f>
        <v>Unique</v>
      </c>
      <c r="V3754" s="7" t="str">
        <f aca="false">IF(COUNTIFS($B$2:$B$5001,B3754,$H$2:$H$5001,H3754,$J$2:$J$5001,J3754)&gt;1,"Possible Duplicate Booking","Unique")</f>
        <v>Unique</v>
      </c>
      <c r="W3754" s="7" t="str">
        <f aca="false">IF((H3754-G3754)&lt;&gt;K3754,"Mismatch","OK")</f>
        <v>OK</v>
      </c>
      <c r="X3754" s="7" t="str">
        <f aca="false">IF(TEXT(H3754,"dddd")&lt;&gt;I3754,"Mismatch","OK")</f>
        <v>OK</v>
      </c>
      <c r="Y3754" s="7" t="str">
        <f aca="false">IF(AND(N3754="No",O3754&lt;&gt;""),"Unexpected: channel present but no reminder sent",IF(AND(N3754="Yes",O3754=""),"Missing channel for sent reminder","OK"))</f>
        <v>OK</v>
      </c>
    </row>
    <row r="3755" customFormat="false" ht="15" hidden="false" customHeight="false" outlineLevel="0" collapsed="false">
      <c r="A3755" s="9" t="s">
        <v>5405</v>
      </c>
      <c r="B3755" s="9" t="s">
        <v>158</v>
      </c>
      <c r="C3755" s="9" t="s">
        <v>37</v>
      </c>
      <c r="D3755" s="9" t="n">
        <v>19</v>
      </c>
      <c r="E3755" s="9" t="s">
        <v>82</v>
      </c>
      <c r="F3755" s="9" t="s">
        <v>57</v>
      </c>
      <c r="G3755" s="10" t="n">
        <v>45760</v>
      </c>
      <c r="H3755" s="10" t="n">
        <v>45804</v>
      </c>
      <c r="I3755" s="9" t="s">
        <v>40</v>
      </c>
      <c r="J3755" s="9" t="s">
        <v>51</v>
      </c>
      <c r="K3755" s="9" t="n">
        <v>44</v>
      </c>
      <c r="L3755" s="9" t="n">
        <v>3</v>
      </c>
      <c r="M3755" s="9" t="n">
        <v>1</v>
      </c>
      <c r="N3755" s="9" t="s">
        <v>42</v>
      </c>
      <c r="O3755" s="9" t="s">
        <v>52</v>
      </c>
      <c r="P3755" s="9" t="n">
        <v>10.2</v>
      </c>
      <c r="Q3755" s="9" t="n">
        <v>2</v>
      </c>
      <c r="R3755" s="9" t="s">
        <v>44</v>
      </c>
      <c r="S3755" s="9"/>
      <c r="T3755" s="9"/>
      <c r="U3755" s="9" t="str">
        <f aca="false">IF(COUNTIF($A$2:$A$5001,A3755)&gt;1,"Duplicate","Unique")</f>
        <v>Unique</v>
      </c>
      <c r="V3755" s="9" t="str">
        <f aca="false">IF(COUNTIFS($B$2:$B$5001,B3755,$H$2:$H$5001,H3755,$J$2:$J$5001,J3755)&gt;1,"Possible Duplicate Booking","Unique")</f>
        <v>Unique</v>
      </c>
      <c r="W3755" s="9" t="str">
        <f aca="false">IF((H3755-G3755)&lt;&gt;K3755,"Mismatch","OK")</f>
        <v>OK</v>
      </c>
      <c r="X3755" s="9" t="str">
        <f aca="false">IF(TEXT(H3755,"dddd")&lt;&gt;I3755,"Mismatch","OK")</f>
        <v>OK</v>
      </c>
      <c r="Y3755" s="9" t="str">
        <f aca="false">IF(AND(N3755="No",O3755&lt;&gt;""),"Unexpected: channel present but no reminder sent",IF(AND(N3755="Yes",O3755=""),"Missing channel for sent reminder","OK"))</f>
        <v>OK</v>
      </c>
    </row>
    <row r="3756" customFormat="false" ht="15" hidden="false" customHeight="false" outlineLevel="0" collapsed="false">
      <c r="A3756" s="7" t="s">
        <v>5406</v>
      </c>
      <c r="B3756" s="7" t="s">
        <v>4222</v>
      </c>
      <c r="C3756" s="7" t="s">
        <v>47</v>
      </c>
      <c r="D3756" s="7" t="n">
        <v>74</v>
      </c>
      <c r="E3756" s="7" t="s">
        <v>70</v>
      </c>
      <c r="F3756" s="7" t="s">
        <v>39</v>
      </c>
      <c r="G3756" s="8" t="n">
        <v>45634</v>
      </c>
      <c r="H3756" s="8" t="n">
        <v>45678</v>
      </c>
      <c r="I3756" s="7" t="s">
        <v>40</v>
      </c>
      <c r="J3756" s="7" t="s">
        <v>51</v>
      </c>
      <c r="K3756" s="7" t="n">
        <v>44</v>
      </c>
      <c r="L3756" s="7" t="n">
        <v>2</v>
      </c>
      <c r="M3756" s="7" t="n">
        <v>1</v>
      </c>
      <c r="N3756" s="7" t="s">
        <v>42</v>
      </c>
      <c r="O3756" s="7" t="s">
        <v>52</v>
      </c>
      <c r="P3756" s="7" t="n">
        <v>14.1</v>
      </c>
      <c r="Q3756" s="7" t="n">
        <v>35</v>
      </c>
      <c r="R3756" s="7" t="s">
        <v>53</v>
      </c>
      <c r="S3756" s="7"/>
      <c r="T3756" s="7"/>
      <c r="U3756" s="7" t="str">
        <f aca="false">IF(COUNTIF($A$2:$A$5001,A3756)&gt;1,"Duplicate","Unique")</f>
        <v>Unique</v>
      </c>
      <c r="V3756" s="7" t="str">
        <f aca="false">IF(COUNTIFS($B$2:$B$5001,B3756,$H$2:$H$5001,H3756,$J$2:$J$5001,J3756)&gt;1,"Possible Duplicate Booking","Unique")</f>
        <v>Unique</v>
      </c>
      <c r="W3756" s="7" t="str">
        <f aca="false">IF((H3756-G3756)&lt;&gt;K3756,"Mismatch","OK")</f>
        <v>OK</v>
      </c>
      <c r="X3756" s="7" t="str">
        <f aca="false">IF(TEXT(H3756,"dddd")&lt;&gt;I3756,"Mismatch","OK")</f>
        <v>OK</v>
      </c>
      <c r="Y3756" s="7" t="str">
        <f aca="false">IF(AND(N3756="No",O3756&lt;&gt;""),"Unexpected: channel present but no reminder sent",IF(AND(N3756="Yes",O3756=""),"Missing channel for sent reminder","OK"))</f>
        <v>OK</v>
      </c>
    </row>
    <row r="3757" customFormat="false" ht="15" hidden="false" customHeight="false" outlineLevel="0" collapsed="false">
      <c r="A3757" s="9" t="s">
        <v>5407</v>
      </c>
      <c r="B3757" s="9" t="s">
        <v>580</v>
      </c>
      <c r="C3757" s="9" t="s">
        <v>37</v>
      </c>
      <c r="D3757" s="9" t="n">
        <v>38</v>
      </c>
      <c r="E3757" s="9" t="s">
        <v>38</v>
      </c>
      <c r="F3757" s="9" t="s">
        <v>57</v>
      </c>
      <c r="G3757" s="10" t="n">
        <v>45822</v>
      </c>
      <c r="H3757" s="10" t="n">
        <v>45833</v>
      </c>
      <c r="I3757" s="9" t="s">
        <v>58</v>
      </c>
      <c r="J3757" s="9" t="s">
        <v>51</v>
      </c>
      <c r="K3757" s="9" t="n">
        <v>11</v>
      </c>
      <c r="L3757" s="9" t="n">
        <v>3</v>
      </c>
      <c r="M3757" s="9" t="n">
        <v>1</v>
      </c>
      <c r="N3757" s="9" t="s">
        <v>42</v>
      </c>
      <c r="O3757" s="9" t="s">
        <v>67</v>
      </c>
      <c r="P3757" s="9" t="n">
        <v>3.8</v>
      </c>
      <c r="Q3757" s="9" t="n">
        <v>18</v>
      </c>
      <c r="R3757" s="9" t="s">
        <v>53</v>
      </c>
      <c r="S3757" s="9"/>
      <c r="T3757" s="9"/>
      <c r="U3757" s="9" t="str">
        <f aca="false">IF(COUNTIF($A$2:$A$5001,A3757)&gt;1,"Duplicate","Unique")</f>
        <v>Unique</v>
      </c>
      <c r="V3757" s="9" t="str">
        <f aca="false">IF(COUNTIFS($B$2:$B$5001,B3757,$H$2:$H$5001,H3757,$J$2:$J$5001,J3757)&gt;1,"Possible Duplicate Booking","Unique")</f>
        <v>Unique</v>
      </c>
      <c r="W3757" s="9" t="str">
        <f aca="false">IF((H3757-G3757)&lt;&gt;K3757,"Mismatch","OK")</f>
        <v>OK</v>
      </c>
      <c r="X3757" s="9" t="str">
        <f aca="false">IF(TEXT(H3757,"dddd")&lt;&gt;I3757,"Mismatch","OK")</f>
        <v>OK</v>
      </c>
      <c r="Y3757" s="9" t="str">
        <f aca="false">IF(AND(N3757="No",O3757&lt;&gt;""),"Unexpected: channel present but no reminder sent",IF(AND(N3757="Yes",O3757=""),"Missing channel for sent reminder","OK"))</f>
        <v>OK</v>
      </c>
    </row>
    <row r="3758" customFormat="false" ht="15" hidden="false" customHeight="false" outlineLevel="0" collapsed="false">
      <c r="A3758" s="7" t="s">
        <v>5408</v>
      </c>
      <c r="B3758" s="7" t="s">
        <v>3638</v>
      </c>
      <c r="C3758" s="7" t="s">
        <v>37</v>
      </c>
      <c r="D3758" s="7" t="n">
        <v>63</v>
      </c>
      <c r="E3758" s="7" t="s">
        <v>61</v>
      </c>
      <c r="F3758" s="7" t="s">
        <v>57</v>
      </c>
      <c r="G3758" s="8" t="n">
        <v>45961</v>
      </c>
      <c r="H3758" s="8" t="n">
        <v>46005</v>
      </c>
      <c r="I3758" s="7" t="s">
        <v>75</v>
      </c>
      <c r="J3758" s="7" t="s">
        <v>41</v>
      </c>
      <c r="K3758" s="7" t="n">
        <v>44</v>
      </c>
      <c r="L3758" s="7" t="n">
        <v>4</v>
      </c>
      <c r="M3758" s="7" t="n">
        <v>0</v>
      </c>
      <c r="N3758" s="7" t="s">
        <v>42</v>
      </c>
      <c r="O3758" s="7" t="s">
        <v>43</v>
      </c>
      <c r="P3758" s="7" t="n">
        <v>22.3</v>
      </c>
      <c r="Q3758" s="7" t="n">
        <v>23</v>
      </c>
      <c r="R3758" s="7" t="s">
        <v>44</v>
      </c>
      <c r="S3758" s="7"/>
      <c r="T3758" s="7"/>
      <c r="U3758" s="7" t="str">
        <f aca="false">IF(COUNTIF($A$2:$A$5001,A3758)&gt;1,"Duplicate","Unique")</f>
        <v>Unique</v>
      </c>
      <c r="V3758" s="7" t="str">
        <f aca="false">IF(COUNTIFS($B$2:$B$5001,B3758,$H$2:$H$5001,H3758,$J$2:$J$5001,J3758)&gt;1,"Possible Duplicate Booking","Unique")</f>
        <v>Unique</v>
      </c>
      <c r="W3758" s="7" t="str">
        <f aca="false">IF((H3758-G3758)&lt;&gt;K3758,"Mismatch","OK")</f>
        <v>OK</v>
      </c>
      <c r="X3758" s="7" t="str">
        <f aca="false">IF(TEXT(H3758,"dddd")&lt;&gt;I3758,"Mismatch","OK")</f>
        <v>OK</v>
      </c>
      <c r="Y3758" s="7" t="str">
        <f aca="false">IF(AND(N3758="No",O3758&lt;&gt;""),"Unexpected: channel present but no reminder sent",IF(AND(N3758="Yes",O3758=""),"Missing channel for sent reminder","OK"))</f>
        <v>OK</v>
      </c>
    </row>
    <row r="3759" customFormat="false" ht="15" hidden="false" customHeight="false" outlineLevel="0" collapsed="false">
      <c r="A3759" s="9" t="s">
        <v>5409</v>
      </c>
      <c r="B3759" s="9" t="s">
        <v>753</v>
      </c>
      <c r="C3759" s="9" t="s">
        <v>236</v>
      </c>
      <c r="D3759" s="9" t="n">
        <v>60</v>
      </c>
      <c r="E3759" s="9" t="s">
        <v>61</v>
      </c>
      <c r="F3759" s="9" t="s">
        <v>57</v>
      </c>
      <c r="G3759" s="10" t="n">
        <v>45902</v>
      </c>
      <c r="H3759" s="10" t="n">
        <v>45956</v>
      </c>
      <c r="I3759" s="9" t="s">
        <v>75</v>
      </c>
      <c r="J3759" s="9" t="s">
        <v>51</v>
      </c>
      <c r="K3759" s="9" t="n">
        <v>54</v>
      </c>
      <c r="L3759" s="9" t="n">
        <v>4</v>
      </c>
      <c r="M3759" s="9" t="n">
        <v>0</v>
      </c>
      <c r="N3759" s="9" t="s">
        <v>71</v>
      </c>
      <c r="O3759" s="9"/>
      <c r="P3759" s="9" t="n">
        <v>13.2</v>
      </c>
      <c r="Q3759" s="9" t="n">
        <v>18</v>
      </c>
      <c r="R3759" s="9" t="s">
        <v>53</v>
      </c>
      <c r="S3759" s="9"/>
      <c r="T3759" s="9"/>
      <c r="U3759" s="9" t="str">
        <f aca="false">IF(COUNTIF($A$2:$A$5001,A3759)&gt;1,"Duplicate","Unique")</f>
        <v>Unique</v>
      </c>
      <c r="V3759" s="9" t="str">
        <f aca="false">IF(COUNTIFS($B$2:$B$5001,B3759,$H$2:$H$5001,H3759,$J$2:$J$5001,J3759)&gt;1,"Possible Duplicate Booking","Unique")</f>
        <v>Unique</v>
      </c>
      <c r="W3759" s="9" t="str">
        <f aca="false">IF((H3759-G3759)&lt;&gt;K3759,"Mismatch","OK")</f>
        <v>OK</v>
      </c>
      <c r="X3759" s="9" t="str">
        <f aca="false">IF(TEXT(H3759,"dddd")&lt;&gt;I3759,"Mismatch","OK")</f>
        <v>OK</v>
      </c>
      <c r="Y3759" s="9" t="str">
        <f aca="false">IF(AND(N3759="No",O3759&lt;&gt;""),"Unexpected: channel present but no reminder sent",IF(AND(N3759="Yes",O3759=""),"Missing channel for sent reminder","OK"))</f>
        <v>OK</v>
      </c>
    </row>
    <row r="3760" customFormat="false" ht="15" hidden="false" customHeight="false" outlineLevel="0" collapsed="false">
      <c r="A3760" s="7" t="s">
        <v>5410</v>
      </c>
      <c r="B3760" s="7" t="s">
        <v>2603</v>
      </c>
      <c r="C3760" s="7" t="s">
        <v>37</v>
      </c>
      <c r="D3760" s="7" t="n">
        <v>79</v>
      </c>
      <c r="E3760" s="7" t="s">
        <v>70</v>
      </c>
      <c r="F3760" s="7" t="s">
        <v>39</v>
      </c>
      <c r="G3760" s="8" t="n">
        <v>45688</v>
      </c>
      <c r="H3760" s="8" t="n">
        <v>45701</v>
      </c>
      <c r="I3760" s="7" t="s">
        <v>62</v>
      </c>
      <c r="J3760" s="7" t="s">
        <v>41</v>
      </c>
      <c r="K3760" s="7" t="n">
        <v>13</v>
      </c>
      <c r="L3760" s="7" t="n">
        <v>5</v>
      </c>
      <c r="M3760" s="7" t="n">
        <v>1</v>
      </c>
      <c r="N3760" s="7" t="s">
        <v>42</v>
      </c>
      <c r="O3760" s="7" t="s">
        <v>67</v>
      </c>
      <c r="P3760" s="7" t="n">
        <v>10.9</v>
      </c>
      <c r="Q3760" s="7" t="n">
        <v>22</v>
      </c>
      <c r="R3760" s="7" t="s">
        <v>44</v>
      </c>
      <c r="S3760" s="7"/>
      <c r="T3760" s="7"/>
      <c r="U3760" s="7" t="str">
        <f aca="false">IF(COUNTIF($A$2:$A$5001,A3760)&gt;1,"Duplicate","Unique")</f>
        <v>Unique</v>
      </c>
      <c r="V3760" s="7" t="str">
        <f aca="false">IF(COUNTIFS($B$2:$B$5001,B3760,$H$2:$H$5001,H3760,$J$2:$J$5001,J3760)&gt;1,"Possible Duplicate Booking","Unique")</f>
        <v>Unique</v>
      </c>
      <c r="W3760" s="7" t="str">
        <f aca="false">IF((H3760-G3760)&lt;&gt;K3760,"Mismatch","OK")</f>
        <v>OK</v>
      </c>
      <c r="X3760" s="7" t="str">
        <f aca="false">IF(TEXT(H3760,"dddd")&lt;&gt;I3760,"Mismatch","OK")</f>
        <v>OK</v>
      </c>
      <c r="Y3760" s="7" t="str">
        <f aca="false">IF(AND(N3760="No",O3760&lt;&gt;""),"Unexpected: channel present but no reminder sent",IF(AND(N3760="Yes",O3760=""),"Missing channel for sent reminder","OK"))</f>
        <v>OK</v>
      </c>
    </row>
    <row r="3761" customFormat="false" ht="15" hidden="false" customHeight="false" outlineLevel="0" collapsed="false">
      <c r="A3761" s="9" t="s">
        <v>5411</v>
      </c>
      <c r="B3761" s="9" t="s">
        <v>941</v>
      </c>
      <c r="C3761" s="9" t="s">
        <v>37</v>
      </c>
      <c r="D3761" s="9" t="n">
        <v>24</v>
      </c>
      <c r="E3761" s="9" t="s">
        <v>82</v>
      </c>
      <c r="F3761" s="9" t="s">
        <v>57</v>
      </c>
      <c r="G3761" s="10" t="n">
        <v>45963</v>
      </c>
      <c r="H3761" s="10" t="n">
        <v>45964</v>
      </c>
      <c r="I3761" s="9" t="s">
        <v>66</v>
      </c>
      <c r="J3761" s="9" t="s">
        <v>41</v>
      </c>
      <c r="K3761" s="9" t="n">
        <v>1</v>
      </c>
      <c r="L3761" s="9" t="n">
        <v>2</v>
      </c>
      <c r="M3761" s="9" t="n">
        <v>0</v>
      </c>
      <c r="N3761" s="9" t="s">
        <v>42</v>
      </c>
      <c r="O3761" s="9" t="s">
        <v>43</v>
      </c>
      <c r="P3761" s="9" t="n">
        <v>1.2</v>
      </c>
      <c r="Q3761" s="9" t="n">
        <v>38</v>
      </c>
      <c r="R3761" s="9" t="s">
        <v>53</v>
      </c>
      <c r="S3761" s="9"/>
      <c r="T3761" s="9"/>
      <c r="U3761" s="9" t="str">
        <f aca="false">IF(COUNTIF($A$2:$A$5001,A3761)&gt;1,"Duplicate","Unique")</f>
        <v>Unique</v>
      </c>
      <c r="V3761" s="9" t="str">
        <f aca="false">IF(COUNTIFS($B$2:$B$5001,B3761,$H$2:$H$5001,H3761,$J$2:$J$5001,J3761)&gt;1,"Possible Duplicate Booking","Unique")</f>
        <v>Unique</v>
      </c>
      <c r="W3761" s="9" t="str">
        <f aca="false">IF((H3761-G3761)&lt;&gt;K3761,"Mismatch","OK")</f>
        <v>OK</v>
      </c>
      <c r="X3761" s="9" t="str">
        <f aca="false">IF(TEXT(H3761,"dddd")&lt;&gt;I3761,"Mismatch","OK")</f>
        <v>OK</v>
      </c>
      <c r="Y3761" s="9" t="str">
        <f aca="false">IF(AND(N3761="No",O3761&lt;&gt;""),"Unexpected: channel present but no reminder sent",IF(AND(N3761="Yes",O3761=""),"Missing channel for sent reminder","OK"))</f>
        <v>OK</v>
      </c>
    </row>
    <row r="3762" customFormat="false" ht="15" hidden="false" customHeight="false" outlineLevel="0" collapsed="false">
      <c r="A3762" s="7" t="s">
        <v>5412</v>
      </c>
      <c r="B3762" s="7" t="s">
        <v>304</v>
      </c>
      <c r="C3762" s="7" t="s">
        <v>37</v>
      </c>
      <c r="D3762" s="7" t="n">
        <v>78</v>
      </c>
      <c r="E3762" s="7" t="s">
        <v>70</v>
      </c>
      <c r="F3762" s="7" t="s">
        <v>39</v>
      </c>
      <c r="G3762" s="8" t="n">
        <v>45695</v>
      </c>
      <c r="H3762" s="8" t="n">
        <v>45753</v>
      </c>
      <c r="I3762" s="7" t="s">
        <v>75</v>
      </c>
      <c r="J3762" s="7" t="s">
        <v>51</v>
      </c>
      <c r="K3762" s="7" t="n">
        <v>58</v>
      </c>
      <c r="L3762" s="7" t="n">
        <v>4</v>
      </c>
      <c r="M3762" s="7" t="n">
        <v>0</v>
      </c>
      <c r="N3762" s="7" t="s">
        <v>42</v>
      </c>
      <c r="O3762" s="7" t="s">
        <v>52</v>
      </c>
      <c r="P3762" s="7" t="n">
        <v>8.6</v>
      </c>
      <c r="Q3762" s="7" t="n">
        <v>25</v>
      </c>
      <c r="R3762" s="7" t="s">
        <v>44</v>
      </c>
      <c r="S3762" s="7"/>
      <c r="T3762" s="7"/>
      <c r="U3762" s="7" t="str">
        <f aca="false">IF(COUNTIF($A$2:$A$5001,A3762)&gt;1,"Duplicate","Unique")</f>
        <v>Unique</v>
      </c>
      <c r="V3762" s="7" t="str">
        <f aca="false">IF(COUNTIFS($B$2:$B$5001,B3762,$H$2:$H$5001,H3762,$J$2:$J$5001,J3762)&gt;1,"Possible Duplicate Booking","Unique")</f>
        <v>Unique</v>
      </c>
      <c r="W3762" s="7" t="str">
        <f aca="false">IF((H3762-G3762)&lt;&gt;K3762,"Mismatch","OK")</f>
        <v>OK</v>
      </c>
      <c r="X3762" s="7" t="str">
        <f aca="false">IF(TEXT(H3762,"dddd")&lt;&gt;I3762,"Mismatch","OK")</f>
        <v>OK</v>
      </c>
      <c r="Y3762" s="7" t="str">
        <f aca="false">IF(AND(N3762="No",O3762&lt;&gt;""),"Unexpected: channel present but no reminder sent",IF(AND(N3762="Yes",O3762=""),"Missing channel for sent reminder","OK"))</f>
        <v>OK</v>
      </c>
    </row>
    <row r="3763" customFormat="false" ht="15" hidden="false" customHeight="false" outlineLevel="0" collapsed="false">
      <c r="A3763" s="9" t="s">
        <v>5413</v>
      </c>
      <c r="B3763" s="9" t="s">
        <v>1073</v>
      </c>
      <c r="C3763" s="9" t="s">
        <v>37</v>
      </c>
      <c r="D3763" s="9" t="n">
        <v>21</v>
      </c>
      <c r="E3763" s="9" t="s">
        <v>82</v>
      </c>
      <c r="F3763" s="9" t="s">
        <v>49</v>
      </c>
      <c r="G3763" s="10" t="n">
        <v>45903</v>
      </c>
      <c r="H3763" s="10" t="n">
        <v>45934</v>
      </c>
      <c r="I3763" s="9" t="s">
        <v>102</v>
      </c>
      <c r="J3763" s="9" t="s">
        <v>63</v>
      </c>
      <c r="K3763" s="9" t="n">
        <v>31</v>
      </c>
      <c r="L3763" s="9" t="n">
        <v>3</v>
      </c>
      <c r="M3763" s="9" t="n">
        <v>0</v>
      </c>
      <c r="N3763" s="9" t="s">
        <v>42</v>
      </c>
      <c r="O3763" s="9" t="s">
        <v>52</v>
      </c>
      <c r="P3763" s="9" t="n">
        <v>15.9</v>
      </c>
      <c r="Q3763" s="9" t="n">
        <v>47</v>
      </c>
      <c r="R3763" s="9" t="s">
        <v>44</v>
      </c>
      <c r="S3763" s="9"/>
      <c r="T3763" s="9"/>
      <c r="U3763" s="9" t="str">
        <f aca="false">IF(COUNTIF($A$2:$A$5001,A3763)&gt;1,"Duplicate","Unique")</f>
        <v>Unique</v>
      </c>
      <c r="V3763" s="9" t="str">
        <f aca="false">IF(COUNTIFS($B$2:$B$5001,B3763,$H$2:$H$5001,H3763,$J$2:$J$5001,J3763)&gt;1,"Possible Duplicate Booking","Unique")</f>
        <v>Unique</v>
      </c>
      <c r="W3763" s="9" t="str">
        <f aca="false">IF((H3763-G3763)&lt;&gt;K3763,"Mismatch","OK")</f>
        <v>OK</v>
      </c>
      <c r="X3763" s="9" t="str">
        <f aca="false">IF(TEXT(H3763,"dddd")&lt;&gt;I3763,"Mismatch","OK")</f>
        <v>OK</v>
      </c>
      <c r="Y3763" s="9" t="str">
        <f aca="false">IF(AND(N3763="No",O3763&lt;&gt;""),"Unexpected: channel present but no reminder sent",IF(AND(N3763="Yes",O3763=""),"Missing channel for sent reminder","OK"))</f>
        <v>OK</v>
      </c>
    </row>
    <row r="3764" customFormat="false" ht="15" hidden="false" customHeight="false" outlineLevel="0" collapsed="false">
      <c r="A3764" s="7" t="s">
        <v>5414</v>
      </c>
      <c r="B3764" s="7" t="s">
        <v>5415</v>
      </c>
      <c r="C3764" s="7" t="s">
        <v>37</v>
      </c>
      <c r="D3764" s="7" t="n">
        <v>73</v>
      </c>
      <c r="E3764" s="7" t="s">
        <v>70</v>
      </c>
      <c r="F3764" s="7" t="s">
        <v>39</v>
      </c>
      <c r="G3764" s="8" t="n">
        <v>45925</v>
      </c>
      <c r="H3764" s="8" t="n">
        <v>45972</v>
      </c>
      <c r="I3764" s="7" t="s">
        <v>40</v>
      </c>
      <c r="J3764" s="7" t="s">
        <v>63</v>
      </c>
      <c r="K3764" s="7" t="n">
        <v>47</v>
      </c>
      <c r="L3764" s="7" t="n">
        <v>0</v>
      </c>
      <c r="M3764" s="7" t="n">
        <v>0</v>
      </c>
      <c r="N3764" s="7" t="s">
        <v>42</v>
      </c>
      <c r="O3764" s="7" t="s">
        <v>52</v>
      </c>
      <c r="P3764" s="7" t="n">
        <v>1.5</v>
      </c>
      <c r="Q3764" s="7" t="n">
        <v>31</v>
      </c>
      <c r="R3764" s="7" t="s">
        <v>53</v>
      </c>
      <c r="S3764" s="7"/>
      <c r="T3764" s="7"/>
      <c r="U3764" s="7" t="str">
        <f aca="false">IF(COUNTIF($A$2:$A$5001,A3764)&gt;1,"Duplicate","Unique")</f>
        <v>Unique</v>
      </c>
      <c r="V3764" s="7" t="str">
        <f aca="false">IF(COUNTIFS($B$2:$B$5001,B3764,$H$2:$H$5001,H3764,$J$2:$J$5001,J3764)&gt;1,"Possible Duplicate Booking","Unique")</f>
        <v>Unique</v>
      </c>
      <c r="W3764" s="7" t="str">
        <f aca="false">IF((H3764-G3764)&lt;&gt;K3764,"Mismatch","OK")</f>
        <v>OK</v>
      </c>
      <c r="X3764" s="7" t="str">
        <f aca="false">IF(TEXT(H3764,"dddd")&lt;&gt;I3764,"Mismatch","OK")</f>
        <v>OK</v>
      </c>
      <c r="Y3764" s="7" t="str">
        <f aca="false">IF(AND(N3764="No",O3764&lt;&gt;""),"Unexpected: channel present but no reminder sent",IF(AND(N3764="Yes",O3764=""),"Missing channel for sent reminder","OK"))</f>
        <v>OK</v>
      </c>
    </row>
    <row r="3765" customFormat="false" ht="15" hidden="false" customHeight="false" outlineLevel="0" collapsed="false">
      <c r="A3765" s="9" t="s">
        <v>5416</v>
      </c>
      <c r="B3765" s="9" t="s">
        <v>1398</v>
      </c>
      <c r="C3765" s="9" t="s">
        <v>37</v>
      </c>
      <c r="D3765" s="9" t="n">
        <v>59</v>
      </c>
      <c r="E3765" s="9" t="s">
        <v>61</v>
      </c>
      <c r="F3765" s="9" t="s">
        <v>57</v>
      </c>
      <c r="G3765" s="10" t="n">
        <v>45986</v>
      </c>
      <c r="H3765" s="10" t="n">
        <v>46005</v>
      </c>
      <c r="I3765" s="9" t="s">
        <v>75</v>
      </c>
      <c r="J3765" s="9" t="s">
        <v>51</v>
      </c>
      <c r="K3765" s="9" t="n">
        <v>19</v>
      </c>
      <c r="L3765" s="9" t="n">
        <v>4</v>
      </c>
      <c r="M3765" s="9" t="n">
        <v>2</v>
      </c>
      <c r="N3765" s="9" t="s">
        <v>71</v>
      </c>
      <c r="O3765" s="9"/>
      <c r="P3765" s="9" t="n">
        <v>20.3</v>
      </c>
      <c r="Q3765" s="9" t="n">
        <v>32</v>
      </c>
      <c r="R3765" s="9" t="s">
        <v>44</v>
      </c>
      <c r="S3765" s="9"/>
      <c r="T3765" s="9"/>
      <c r="U3765" s="9" t="str">
        <f aca="false">IF(COUNTIF($A$2:$A$5001,A3765)&gt;1,"Duplicate","Unique")</f>
        <v>Unique</v>
      </c>
      <c r="V3765" s="9" t="str">
        <f aca="false">IF(COUNTIFS($B$2:$B$5001,B3765,$H$2:$H$5001,H3765,$J$2:$J$5001,J3765)&gt;1,"Possible Duplicate Booking","Unique")</f>
        <v>Unique</v>
      </c>
      <c r="W3765" s="9" t="str">
        <f aca="false">IF((H3765-G3765)&lt;&gt;K3765,"Mismatch","OK")</f>
        <v>OK</v>
      </c>
      <c r="X3765" s="9" t="str">
        <f aca="false">IF(TEXT(H3765,"dddd")&lt;&gt;I3765,"Mismatch","OK")</f>
        <v>OK</v>
      </c>
      <c r="Y3765" s="9" t="str">
        <f aca="false">IF(AND(N3765="No",O3765&lt;&gt;""),"Unexpected: channel present but no reminder sent",IF(AND(N3765="Yes",O3765=""),"Missing channel for sent reminder","OK"))</f>
        <v>OK</v>
      </c>
    </row>
    <row r="3766" customFormat="false" ht="15" hidden="false" customHeight="false" outlineLevel="0" collapsed="false">
      <c r="A3766" s="7" t="s">
        <v>5417</v>
      </c>
      <c r="B3766" s="7" t="s">
        <v>1643</v>
      </c>
      <c r="C3766" s="7" t="s">
        <v>37</v>
      </c>
      <c r="D3766" s="7" t="n">
        <v>48</v>
      </c>
      <c r="E3766" s="7" t="s">
        <v>56</v>
      </c>
      <c r="F3766" s="7" t="s">
        <v>57</v>
      </c>
      <c r="G3766" s="8" t="n">
        <v>45865</v>
      </c>
      <c r="H3766" s="8" t="n">
        <v>45883</v>
      </c>
      <c r="I3766" s="7" t="s">
        <v>62</v>
      </c>
      <c r="J3766" s="7" t="s">
        <v>63</v>
      </c>
      <c r="K3766" s="7" t="n">
        <v>18</v>
      </c>
      <c r="L3766" s="7" t="n">
        <v>0</v>
      </c>
      <c r="M3766" s="7" t="n">
        <v>0</v>
      </c>
      <c r="N3766" s="7" t="s">
        <v>42</v>
      </c>
      <c r="O3766" s="7" t="s">
        <v>43</v>
      </c>
      <c r="P3766" s="7" t="n">
        <v>2.5</v>
      </c>
      <c r="Q3766" s="7" t="n">
        <v>22</v>
      </c>
      <c r="R3766" s="7" t="s">
        <v>53</v>
      </c>
      <c r="S3766" s="7"/>
      <c r="T3766" s="7"/>
      <c r="U3766" s="7" t="str">
        <f aca="false">IF(COUNTIF($A$2:$A$5001,A3766)&gt;1,"Duplicate","Unique")</f>
        <v>Unique</v>
      </c>
      <c r="V3766" s="7" t="str">
        <f aca="false">IF(COUNTIFS($B$2:$B$5001,B3766,$H$2:$H$5001,H3766,$J$2:$J$5001,J3766)&gt;1,"Possible Duplicate Booking","Unique")</f>
        <v>Unique</v>
      </c>
      <c r="W3766" s="7" t="str">
        <f aca="false">IF((H3766-G3766)&lt;&gt;K3766,"Mismatch","OK")</f>
        <v>OK</v>
      </c>
      <c r="X3766" s="7" t="str">
        <f aca="false">IF(TEXT(H3766,"dddd")&lt;&gt;I3766,"Mismatch","OK")</f>
        <v>OK</v>
      </c>
      <c r="Y3766" s="7" t="str">
        <f aca="false">IF(AND(N3766="No",O3766&lt;&gt;""),"Unexpected: channel present but no reminder sent",IF(AND(N3766="Yes",O3766=""),"Missing channel for sent reminder","OK"))</f>
        <v>OK</v>
      </c>
    </row>
    <row r="3767" customFormat="false" ht="15" hidden="false" customHeight="false" outlineLevel="0" collapsed="false">
      <c r="A3767" s="9" t="s">
        <v>5418</v>
      </c>
      <c r="B3767" s="9" t="s">
        <v>645</v>
      </c>
      <c r="C3767" s="9" t="s">
        <v>37</v>
      </c>
      <c r="D3767" s="9" t="n">
        <v>43</v>
      </c>
      <c r="E3767" s="9" t="s">
        <v>38</v>
      </c>
      <c r="F3767" s="9" t="s">
        <v>57</v>
      </c>
      <c r="G3767" s="10" t="n">
        <v>45867</v>
      </c>
      <c r="H3767" s="10" t="n">
        <v>45880</v>
      </c>
      <c r="I3767" s="9" t="s">
        <v>66</v>
      </c>
      <c r="J3767" s="9" t="s">
        <v>51</v>
      </c>
      <c r="K3767" s="9" t="n">
        <v>13</v>
      </c>
      <c r="L3767" s="9" t="n">
        <v>3</v>
      </c>
      <c r="M3767" s="9" t="n">
        <v>1</v>
      </c>
      <c r="N3767" s="9" t="s">
        <v>42</v>
      </c>
      <c r="O3767" s="9" t="s">
        <v>52</v>
      </c>
      <c r="P3767" s="9" t="n">
        <v>10.1</v>
      </c>
      <c r="Q3767" s="9" t="n">
        <v>23</v>
      </c>
      <c r="R3767" s="9" t="s">
        <v>44</v>
      </c>
      <c r="S3767" s="9"/>
      <c r="T3767" s="9"/>
      <c r="U3767" s="9" t="str">
        <f aca="false">IF(COUNTIF($A$2:$A$5001,A3767)&gt;1,"Duplicate","Unique")</f>
        <v>Unique</v>
      </c>
      <c r="V3767" s="9" t="str">
        <f aca="false">IF(COUNTIFS($B$2:$B$5001,B3767,$H$2:$H$5001,H3767,$J$2:$J$5001,J3767)&gt;1,"Possible Duplicate Booking","Unique")</f>
        <v>Unique</v>
      </c>
      <c r="W3767" s="9" t="str">
        <f aca="false">IF((H3767-G3767)&lt;&gt;K3767,"Mismatch","OK")</f>
        <v>OK</v>
      </c>
      <c r="X3767" s="9" t="str">
        <f aca="false">IF(TEXT(H3767,"dddd")&lt;&gt;I3767,"Mismatch","OK")</f>
        <v>OK</v>
      </c>
      <c r="Y3767" s="9" t="str">
        <f aca="false">IF(AND(N3767="No",O3767&lt;&gt;""),"Unexpected: channel present but no reminder sent",IF(AND(N3767="Yes",O3767=""),"Missing channel for sent reminder","OK"))</f>
        <v>OK</v>
      </c>
    </row>
    <row r="3768" customFormat="false" ht="15" hidden="false" customHeight="false" outlineLevel="0" collapsed="false">
      <c r="A3768" s="7" t="s">
        <v>5419</v>
      </c>
      <c r="B3768" s="7" t="s">
        <v>5291</v>
      </c>
      <c r="C3768" s="7" t="s">
        <v>47</v>
      </c>
      <c r="D3768" s="7" t="n">
        <v>23</v>
      </c>
      <c r="E3768" s="7" t="s">
        <v>82</v>
      </c>
      <c r="F3768" s="7" t="s">
        <v>39</v>
      </c>
      <c r="G3768" s="8" t="n">
        <v>46015</v>
      </c>
      <c r="H3768" s="8" t="n">
        <v>46028</v>
      </c>
      <c r="I3768" s="7" t="s">
        <v>40</v>
      </c>
      <c r="J3768" s="7" t="s">
        <v>41</v>
      </c>
      <c r="K3768" s="7" t="n">
        <v>13</v>
      </c>
      <c r="L3768" s="7" t="n">
        <v>6</v>
      </c>
      <c r="M3768" s="7" t="n">
        <v>1</v>
      </c>
      <c r="N3768" s="7" t="s">
        <v>42</v>
      </c>
      <c r="O3768" s="7" t="s">
        <v>67</v>
      </c>
      <c r="P3768" s="7" t="n">
        <v>23</v>
      </c>
      <c r="Q3768" s="7" t="n">
        <v>35</v>
      </c>
      <c r="R3768" s="7" t="s">
        <v>44</v>
      </c>
      <c r="S3768" s="7"/>
      <c r="T3768" s="7"/>
      <c r="U3768" s="7" t="str">
        <f aca="false">IF(COUNTIF($A$2:$A$5001,A3768)&gt;1,"Duplicate","Unique")</f>
        <v>Unique</v>
      </c>
      <c r="V3768" s="7" t="str">
        <f aca="false">IF(COUNTIFS($B$2:$B$5001,B3768,$H$2:$H$5001,H3768,$J$2:$J$5001,J3768)&gt;1,"Possible Duplicate Booking","Unique")</f>
        <v>Unique</v>
      </c>
      <c r="W3768" s="7" t="str">
        <f aca="false">IF((H3768-G3768)&lt;&gt;K3768,"Mismatch","OK")</f>
        <v>OK</v>
      </c>
      <c r="X3768" s="7" t="str">
        <f aca="false">IF(TEXT(H3768,"dddd")&lt;&gt;I3768,"Mismatch","OK")</f>
        <v>OK</v>
      </c>
      <c r="Y3768" s="7" t="str">
        <f aca="false">IF(AND(N3768="No",O3768&lt;&gt;""),"Unexpected: channel present but no reminder sent",IF(AND(N3768="Yes",O3768=""),"Missing channel for sent reminder","OK"))</f>
        <v>OK</v>
      </c>
    </row>
    <row r="3769" customFormat="false" ht="15" hidden="false" customHeight="false" outlineLevel="0" collapsed="false">
      <c r="A3769" s="9" t="s">
        <v>5420</v>
      </c>
      <c r="B3769" s="9" t="s">
        <v>4773</v>
      </c>
      <c r="C3769" s="9" t="s">
        <v>37</v>
      </c>
      <c r="D3769" s="9" t="n">
        <v>68</v>
      </c>
      <c r="E3769" s="9" t="s">
        <v>70</v>
      </c>
      <c r="F3769" s="9" t="s">
        <v>39</v>
      </c>
      <c r="G3769" s="10" t="n">
        <v>46039</v>
      </c>
      <c r="H3769" s="10" t="n">
        <v>46067</v>
      </c>
      <c r="I3769" s="9" t="s">
        <v>102</v>
      </c>
      <c r="J3769" s="9" t="s">
        <v>51</v>
      </c>
      <c r="K3769" s="9" t="n">
        <v>28</v>
      </c>
      <c r="L3769" s="9" t="n">
        <v>1</v>
      </c>
      <c r="M3769" s="9" t="n">
        <v>0</v>
      </c>
      <c r="N3769" s="9" t="s">
        <v>42</v>
      </c>
      <c r="O3769" s="9" t="s">
        <v>67</v>
      </c>
      <c r="P3769" s="9" t="n">
        <v>11.2</v>
      </c>
      <c r="Q3769" s="9" t="n">
        <v>37</v>
      </c>
      <c r="R3769" s="9" t="s">
        <v>44</v>
      </c>
      <c r="S3769" s="9"/>
      <c r="T3769" s="9"/>
      <c r="U3769" s="9" t="str">
        <f aca="false">IF(COUNTIF($A$2:$A$5001,A3769)&gt;1,"Duplicate","Unique")</f>
        <v>Unique</v>
      </c>
      <c r="V3769" s="9" t="str">
        <f aca="false">IF(COUNTIFS($B$2:$B$5001,B3769,$H$2:$H$5001,H3769,$J$2:$J$5001,J3769)&gt;1,"Possible Duplicate Booking","Unique")</f>
        <v>Unique</v>
      </c>
      <c r="W3769" s="9" t="str">
        <f aca="false">IF((H3769-G3769)&lt;&gt;K3769,"Mismatch","OK")</f>
        <v>OK</v>
      </c>
      <c r="X3769" s="9" t="str">
        <f aca="false">IF(TEXT(H3769,"dddd")&lt;&gt;I3769,"Mismatch","OK")</f>
        <v>OK</v>
      </c>
      <c r="Y3769" s="9" t="str">
        <f aca="false">IF(AND(N3769="No",O3769&lt;&gt;""),"Unexpected: channel present but no reminder sent",IF(AND(N3769="Yes",O3769=""),"Missing channel for sent reminder","OK"))</f>
        <v>OK</v>
      </c>
    </row>
    <row r="3770" customFormat="false" ht="15" hidden="false" customHeight="false" outlineLevel="0" collapsed="false">
      <c r="A3770" s="7" t="s">
        <v>5421</v>
      </c>
      <c r="B3770" s="7" t="s">
        <v>166</v>
      </c>
      <c r="C3770" s="7" t="s">
        <v>47</v>
      </c>
      <c r="D3770" s="7" t="n">
        <v>63</v>
      </c>
      <c r="E3770" s="7" t="s">
        <v>61</v>
      </c>
      <c r="F3770" s="7" t="s">
        <v>57</v>
      </c>
      <c r="G3770" s="8" t="n">
        <v>46093</v>
      </c>
      <c r="H3770" s="8" t="n">
        <v>46099</v>
      </c>
      <c r="I3770" s="7" t="s">
        <v>58</v>
      </c>
      <c r="J3770" s="7" t="s">
        <v>41</v>
      </c>
      <c r="K3770" s="7" t="n">
        <v>6</v>
      </c>
      <c r="L3770" s="7" t="n">
        <v>4</v>
      </c>
      <c r="M3770" s="7" t="n">
        <v>0</v>
      </c>
      <c r="N3770" s="7" t="s">
        <v>42</v>
      </c>
      <c r="O3770" s="7" t="s">
        <v>52</v>
      </c>
      <c r="P3770" s="7" t="n">
        <v>14.6</v>
      </c>
      <c r="Q3770" s="7" t="n">
        <v>27</v>
      </c>
      <c r="R3770" s="7" t="s">
        <v>87</v>
      </c>
      <c r="S3770" s="7"/>
      <c r="T3770" s="7"/>
      <c r="U3770" s="7" t="str">
        <f aca="false">IF(COUNTIF($A$2:$A$5001,A3770)&gt;1,"Duplicate","Unique")</f>
        <v>Unique</v>
      </c>
      <c r="V3770" s="7" t="str">
        <f aca="false">IF(COUNTIFS($B$2:$B$5001,B3770,$H$2:$H$5001,H3770,$J$2:$J$5001,J3770)&gt;1,"Possible Duplicate Booking","Unique")</f>
        <v>Unique</v>
      </c>
      <c r="W3770" s="7" t="str">
        <f aca="false">IF((H3770-G3770)&lt;&gt;K3770,"Mismatch","OK")</f>
        <v>OK</v>
      </c>
      <c r="X3770" s="7" t="str">
        <f aca="false">IF(TEXT(H3770,"dddd")&lt;&gt;I3770,"Mismatch","OK")</f>
        <v>OK</v>
      </c>
      <c r="Y3770" s="7" t="str">
        <f aca="false">IF(AND(N3770="No",O3770&lt;&gt;""),"Unexpected: channel present but no reminder sent",IF(AND(N3770="Yes",O3770=""),"Missing channel for sent reminder","OK"))</f>
        <v>OK</v>
      </c>
    </row>
    <row r="3771" customFormat="false" ht="15" hidden="false" customHeight="false" outlineLevel="0" collapsed="false">
      <c r="A3771" s="9" t="s">
        <v>5422</v>
      </c>
      <c r="B3771" s="9" t="s">
        <v>1665</v>
      </c>
      <c r="C3771" s="9" t="s">
        <v>37</v>
      </c>
      <c r="D3771" s="9" t="n">
        <v>77</v>
      </c>
      <c r="E3771" s="9" t="s">
        <v>70</v>
      </c>
      <c r="F3771" s="9" t="s">
        <v>57</v>
      </c>
      <c r="G3771" s="10" t="n">
        <v>45789</v>
      </c>
      <c r="H3771" s="10" t="n">
        <v>45840</v>
      </c>
      <c r="I3771" s="9" t="s">
        <v>58</v>
      </c>
      <c r="J3771" s="9" t="s">
        <v>41</v>
      </c>
      <c r="K3771" s="9" t="n">
        <v>51</v>
      </c>
      <c r="L3771" s="9" t="n">
        <v>2</v>
      </c>
      <c r="M3771" s="9" t="n">
        <v>0</v>
      </c>
      <c r="N3771" s="9" t="s">
        <v>42</v>
      </c>
      <c r="O3771" s="9" t="s">
        <v>52</v>
      </c>
      <c r="P3771" s="9" t="n">
        <v>15.7</v>
      </c>
      <c r="Q3771" s="9" t="n">
        <v>30</v>
      </c>
      <c r="R3771" s="9" t="s">
        <v>44</v>
      </c>
      <c r="S3771" s="9"/>
      <c r="T3771" s="9"/>
      <c r="U3771" s="9" t="str">
        <f aca="false">IF(COUNTIF($A$2:$A$5001,A3771)&gt;1,"Duplicate","Unique")</f>
        <v>Unique</v>
      </c>
      <c r="V3771" s="9" t="str">
        <f aca="false">IF(COUNTIFS($B$2:$B$5001,B3771,$H$2:$H$5001,H3771,$J$2:$J$5001,J3771)&gt;1,"Possible Duplicate Booking","Unique")</f>
        <v>Unique</v>
      </c>
      <c r="W3771" s="9" t="str">
        <f aca="false">IF((H3771-G3771)&lt;&gt;K3771,"Mismatch","OK")</f>
        <v>OK</v>
      </c>
      <c r="X3771" s="9" t="str">
        <f aca="false">IF(TEXT(H3771,"dddd")&lt;&gt;I3771,"Mismatch","OK")</f>
        <v>OK</v>
      </c>
      <c r="Y3771" s="9" t="str">
        <f aca="false">IF(AND(N3771="No",O3771&lt;&gt;""),"Unexpected: channel present but no reminder sent",IF(AND(N3771="Yes",O3771=""),"Missing channel for sent reminder","OK"))</f>
        <v>OK</v>
      </c>
    </row>
    <row r="3772" customFormat="false" ht="15" hidden="false" customHeight="false" outlineLevel="0" collapsed="false">
      <c r="A3772" s="7" t="s">
        <v>5423</v>
      </c>
      <c r="B3772" s="7" t="s">
        <v>366</v>
      </c>
      <c r="C3772" s="7" t="s">
        <v>37</v>
      </c>
      <c r="D3772" s="7" t="n">
        <v>64</v>
      </c>
      <c r="E3772" s="7" t="s">
        <v>61</v>
      </c>
      <c r="F3772" s="7" t="s">
        <v>57</v>
      </c>
      <c r="G3772" s="8" t="n">
        <v>45858</v>
      </c>
      <c r="H3772" s="8" t="n">
        <v>45889</v>
      </c>
      <c r="I3772" s="7" t="s">
        <v>58</v>
      </c>
      <c r="J3772" s="7" t="s">
        <v>63</v>
      </c>
      <c r="K3772" s="7" t="n">
        <v>31</v>
      </c>
      <c r="L3772" s="7" t="n">
        <v>2</v>
      </c>
      <c r="M3772" s="7" t="n">
        <v>0</v>
      </c>
      <c r="N3772" s="7" t="s">
        <v>71</v>
      </c>
      <c r="O3772" s="7"/>
      <c r="P3772" s="7" t="n">
        <v>12.4</v>
      </c>
      <c r="Q3772" s="7" t="n">
        <v>22</v>
      </c>
      <c r="R3772" s="7" t="s">
        <v>53</v>
      </c>
      <c r="S3772" s="7"/>
      <c r="T3772" s="7"/>
      <c r="U3772" s="7" t="str">
        <f aca="false">IF(COUNTIF($A$2:$A$5001,A3772)&gt;1,"Duplicate","Unique")</f>
        <v>Unique</v>
      </c>
      <c r="V3772" s="7" t="str">
        <f aca="false">IF(COUNTIFS($B$2:$B$5001,B3772,$H$2:$H$5001,H3772,$J$2:$J$5001,J3772)&gt;1,"Possible Duplicate Booking","Unique")</f>
        <v>Unique</v>
      </c>
      <c r="W3772" s="7" t="str">
        <f aca="false">IF((H3772-G3772)&lt;&gt;K3772,"Mismatch","OK")</f>
        <v>OK</v>
      </c>
      <c r="X3772" s="7" t="str">
        <f aca="false">IF(TEXT(H3772,"dddd")&lt;&gt;I3772,"Mismatch","OK")</f>
        <v>OK</v>
      </c>
      <c r="Y3772" s="7" t="str">
        <f aca="false">IF(AND(N3772="No",O3772&lt;&gt;""),"Unexpected: channel present but no reminder sent",IF(AND(N3772="Yes",O3772=""),"Missing channel for sent reminder","OK"))</f>
        <v>OK</v>
      </c>
    </row>
    <row r="3773" customFormat="false" ht="15" hidden="false" customHeight="false" outlineLevel="0" collapsed="false">
      <c r="A3773" s="9" t="s">
        <v>5424</v>
      </c>
      <c r="B3773" s="9" t="s">
        <v>3037</v>
      </c>
      <c r="C3773" s="9" t="s">
        <v>47</v>
      </c>
      <c r="D3773" s="9" t="n">
        <v>78</v>
      </c>
      <c r="E3773" s="9" t="s">
        <v>70</v>
      </c>
      <c r="F3773" s="9" t="s">
        <v>57</v>
      </c>
      <c r="G3773" s="10" t="n">
        <v>45783</v>
      </c>
      <c r="H3773" s="10" t="n">
        <v>45838</v>
      </c>
      <c r="I3773" s="9" t="s">
        <v>66</v>
      </c>
      <c r="J3773" s="9" t="s">
        <v>63</v>
      </c>
      <c r="K3773" s="9" t="n">
        <v>55</v>
      </c>
      <c r="L3773" s="9" t="n">
        <v>5</v>
      </c>
      <c r="M3773" s="9" t="n">
        <v>1</v>
      </c>
      <c r="N3773" s="9" t="s">
        <v>42</v>
      </c>
      <c r="O3773" s="9" t="s">
        <v>52</v>
      </c>
      <c r="P3773" s="9" t="n">
        <v>4.6</v>
      </c>
      <c r="Q3773" s="9" t="n">
        <v>26</v>
      </c>
      <c r="R3773" s="9" t="s">
        <v>44</v>
      </c>
      <c r="S3773" s="9"/>
      <c r="T3773" s="9"/>
      <c r="U3773" s="9" t="str">
        <f aca="false">IF(COUNTIF($A$2:$A$5001,A3773)&gt;1,"Duplicate","Unique")</f>
        <v>Unique</v>
      </c>
      <c r="V3773" s="9" t="str">
        <f aca="false">IF(COUNTIFS($B$2:$B$5001,B3773,$H$2:$H$5001,H3773,$J$2:$J$5001,J3773)&gt;1,"Possible Duplicate Booking","Unique")</f>
        <v>Unique</v>
      </c>
      <c r="W3773" s="9" t="str">
        <f aca="false">IF((H3773-G3773)&lt;&gt;K3773,"Mismatch","OK")</f>
        <v>OK</v>
      </c>
      <c r="X3773" s="9" t="str">
        <f aca="false">IF(TEXT(H3773,"dddd")&lt;&gt;I3773,"Mismatch","OK")</f>
        <v>OK</v>
      </c>
      <c r="Y3773" s="9" t="str">
        <f aca="false">IF(AND(N3773="No",O3773&lt;&gt;""),"Unexpected: channel present but no reminder sent",IF(AND(N3773="Yes",O3773=""),"Missing channel for sent reminder","OK"))</f>
        <v>OK</v>
      </c>
    </row>
    <row r="3774" customFormat="false" ht="15" hidden="false" customHeight="false" outlineLevel="0" collapsed="false">
      <c r="A3774" s="7" t="s">
        <v>5425</v>
      </c>
      <c r="B3774" s="7" t="s">
        <v>1637</v>
      </c>
      <c r="C3774" s="7" t="s">
        <v>47</v>
      </c>
      <c r="D3774" s="7" t="n">
        <v>73</v>
      </c>
      <c r="E3774" s="7" t="s">
        <v>70</v>
      </c>
      <c r="F3774" s="7" t="s">
        <v>74</v>
      </c>
      <c r="G3774" s="8" t="n">
        <v>45916</v>
      </c>
      <c r="H3774" s="8" t="n">
        <v>45946</v>
      </c>
      <c r="I3774" s="7" t="s">
        <v>62</v>
      </c>
      <c r="J3774" s="7" t="s">
        <v>51</v>
      </c>
      <c r="K3774" s="7" t="n">
        <v>30</v>
      </c>
      <c r="L3774" s="7" t="n">
        <v>1</v>
      </c>
      <c r="M3774" s="7" t="n">
        <v>0</v>
      </c>
      <c r="N3774" s="7" t="s">
        <v>71</v>
      </c>
      <c r="O3774" s="7"/>
      <c r="P3774" s="7" t="n">
        <v>7.3</v>
      </c>
      <c r="Q3774" s="7" t="n">
        <v>25</v>
      </c>
      <c r="R3774" s="7" t="s">
        <v>44</v>
      </c>
      <c r="S3774" s="7"/>
      <c r="T3774" s="7"/>
      <c r="U3774" s="7" t="str">
        <f aca="false">IF(COUNTIF($A$2:$A$5001,A3774)&gt;1,"Duplicate","Unique")</f>
        <v>Unique</v>
      </c>
      <c r="V3774" s="7" t="str">
        <f aca="false">IF(COUNTIFS($B$2:$B$5001,B3774,$H$2:$H$5001,H3774,$J$2:$J$5001,J3774)&gt;1,"Possible Duplicate Booking","Unique")</f>
        <v>Unique</v>
      </c>
      <c r="W3774" s="7" t="str">
        <f aca="false">IF((H3774-G3774)&lt;&gt;K3774,"Mismatch","OK")</f>
        <v>OK</v>
      </c>
      <c r="X3774" s="7" t="str">
        <f aca="false">IF(TEXT(H3774,"dddd")&lt;&gt;I3774,"Mismatch","OK")</f>
        <v>OK</v>
      </c>
      <c r="Y3774" s="7" t="str">
        <f aca="false">IF(AND(N3774="No",O3774&lt;&gt;""),"Unexpected: channel present but no reminder sent",IF(AND(N3774="Yes",O3774=""),"Missing channel for sent reminder","OK"))</f>
        <v>OK</v>
      </c>
    </row>
    <row r="3775" customFormat="false" ht="15" hidden="false" customHeight="false" outlineLevel="0" collapsed="false">
      <c r="A3775" s="9" t="s">
        <v>5426</v>
      </c>
      <c r="B3775" s="9" t="s">
        <v>2421</v>
      </c>
      <c r="C3775" s="9" t="s">
        <v>37</v>
      </c>
      <c r="D3775" s="9" t="n">
        <v>44</v>
      </c>
      <c r="E3775" s="9" t="s">
        <v>38</v>
      </c>
      <c r="F3775" s="9" t="s">
        <v>57</v>
      </c>
      <c r="G3775" s="10" t="n">
        <v>45709</v>
      </c>
      <c r="H3775" s="10" t="n">
        <v>45727</v>
      </c>
      <c r="I3775" s="9" t="s">
        <v>40</v>
      </c>
      <c r="J3775" s="9" t="s">
        <v>41</v>
      </c>
      <c r="K3775" s="9" t="n">
        <v>18</v>
      </c>
      <c r="L3775" s="9" t="n">
        <v>2</v>
      </c>
      <c r="M3775" s="9" t="n">
        <v>0</v>
      </c>
      <c r="N3775" s="9" t="s">
        <v>42</v>
      </c>
      <c r="O3775" s="9" t="s">
        <v>52</v>
      </c>
      <c r="P3775" s="9" t="n">
        <v>4.6</v>
      </c>
      <c r="Q3775" s="9" t="n">
        <v>24</v>
      </c>
      <c r="R3775" s="9" t="s">
        <v>53</v>
      </c>
      <c r="S3775" s="9"/>
      <c r="T3775" s="9"/>
      <c r="U3775" s="9" t="str">
        <f aca="false">IF(COUNTIF($A$2:$A$5001,A3775)&gt;1,"Duplicate","Unique")</f>
        <v>Unique</v>
      </c>
      <c r="V3775" s="9" t="str">
        <f aca="false">IF(COUNTIFS($B$2:$B$5001,B3775,$H$2:$H$5001,H3775,$J$2:$J$5001,J3775)&gt;1,"Possible Duplicate Booking","Unique")</f>
        <v>Unique</v>
      </c>
      <c r="W3775" s="9" t="str">
        <f aca="false">IF((H3775-G3775)&lt;&gt;K3775,"Mismatch","OK")</f>
        <v>OK</v>
      </c>
      <c r="X3775" s="9" t="str">
        <f aca="false">IF(TEXT(H3775,"dddd")&lt;&gt;I3775,"Mismatch","OK")</f>
        <v>OK</v>
      </c>
      <c r="Y3775" s="9" t="str">
        <f aca="false">IF(AND(N3775="No",O3775&lt;&gt;""),"Unexpected: channel present but no reminder sent",IF(AND(N3775="Yes",O3775=""),"Missing channel for sent reminder","OK"))</f>
        <v>OK</v>
      </c>
    </row>
    <row r="3776" customFormat="false" ht="15" hidden="false" customHeight="false" outlineLevel="0" collapsed="false">
      <c r="A3776" s="7" t="s">
        <v>5427</v>
      </c>
      <c r="B3776" s="7" t="s">
        <v>2409</v>
      </c>
      <c r="C3776" s="7" t="s">
        <v>37</v>
      </c>
      <c r="D3776" s="7" t="n">
        <v>62</v>
      </c>
      <c r="E3776" s="7" t="s">
        <v>61</v>
      </c>
      <c r="F3776" s="7" t="s">
        <v>57</v>
      </c>
      <c r="G3776" s="8" t="n">
        <v>45861</v>
      </c>
      <c r="H3776" s="8" t="n">
        <v>45892</v>
      </c>
      <c r="I3776" s="7" t="s">
        <v>102</v>
      </c>
      <c r="J3776" s="7" t="s">
        <v>51</v>
      </c>
      <c r="K3776" s="7" t="n">
        <v>31</v>
      </c>
      <c r="L3776" s="7" t="n">
        <v>5</v>
      </c>
      <c r="M3776" s="7" t="n">
        <v>0</v>
      </c>
      <c r="N3776" s="7" t="s">
        <v>42</v>
      </c>
      <c r="O3776" s="7" t="s">
        <v>52</v>
      </c>
      <c r="P3776" s="7" t="n">
        <v>21.6</v>
      </c>
      <c r="Q3776" s="7" t="n">
        <v>35</v>
      </c>
      <c r="R3776" s="7" t="s">
        <v>53</v>
      </c>
      <c r="S3776" s="7"/>
      <c r="T3776" s="7"/>
      <c r="U3776" s="7" t="str">
        <f aca="false">IF(COUNTIF($A$2:$A$5001,A3776)&gt;1,"Duplicate","Unique")</f>
        <v>Unique</v>
      </c>
      <c r="V3776" s="7" t="str">
        <f aca="false">IF(COUNTIFS($B$2:$B$5001,B3776,$H$2:$H$5001,H3776,$J$2:$J$5001,J3776)&gt;1,"Possible Duplicate Booking","Unique")</f>
        <v>Unique</v>
      </c>
      <c r="W3776" s="7" t="str">
        <f aca="false">IF((H3776-G3776)&lt;&gt;K3776,"Mismatch","OK")</f>
        <v>OK</v>
      </c>
      <c r="X3776" s="7" t="str">
        <f aca="false">IF(TEXT(H3776,"dddd")&lt;&gt;I3776,"Mismatch","OK")</f>
        <v>OK</v>
      </c>
      <c r="Y3776" s="7" t="str">
        <f aca="false">IF(AND(N3776="No",O3776&lt;&gt;""),"Unexpected: channel present but no reminder sent",IF(AND(N3776="Yes",O3776=""),"Missing channel for sent reminder","OK"))</f>
        <v>OK</v>
      </c>
    </row>
    <row r="3777" customFormat="false" ht="15" hidden="false" customHeight="false" outlineLevel="0" collapsed="false">
      <c r="A3777" s="9" t="s">
        <v>5428</v>
      </c>
      <c r="B3777" s="9" t="s">
        <v>4509</v>
      </c>
      <c r="C3777" s="9" t="s">
        <v>47</v>
      </c>
      <c r="D3777" s="9" t="n">
        <v>34</v>
      </c>
      <c r="E3777" s="9" t="s">
        <v>48</v>
      </c>
      <c r="F3777" s="9" t="s">
        <v>57</v>
      </c>
      <c r="G3777" s="10" t="n">
        <v>45752</v>
      </c>
      <c r="H3777" s="10" t="n">
        <v>45761</v>
      </c>
      <c r="I3777" s="9" t="s">
        <v>66</v>
      </c>
      <c r="J3777" s="9" t="s">
        <v>51</v>
      </c>
      <c r="K3777" s="9" t="n">
        <v>9</v>
      </c>
      <c r="L3777" s="9" t="n">
        <v>1</v>
      </c>
      <c r="M3777" s="9" t="n">
        <v>1</v>
      </c>
      <c r="N3777" s="9" t="s">
        <v>71</v>
      </c>
      <c r="O3777" s="9"/>
      <c r="P3777" s="9" t="n">
        <v>7.4</v>
      </c>
      <c r="Q3777" s="9" t="n">
        <v>23</v>
      </c>
      <c r="R3777" s="9" t="s">
        <v>53</v>
      </c>
      <c r="S3777" s="9"/>
      <c r="T3777" s="9"/>
      <c r="U3777" s="9" t="str">
        <f aca="false">IF(COUNTIF($A$2:$A$5001,A3777)&gt;1,"Duplicate","Unique")</f>
        <v>Unique</v>
      </c>
      <c r="V3777" s="9" t="str">
        <f aca="false">IF(COUNTIFS($B$2:$B$5001,B3777,$H$2:$H$5001,H3777,$J$2:$J$5001,J3777)&gt;1,"Possible Duplicate Booking","Unique")</f>
        <v>Unique</v>
      </c>
      <c r="W3777" s="9" t="str">
        <f aca="false">IF((H3777-G3777)&lt;&gt;K3777,"Mismatch","OK")</f>
        <v>OK</v>
      </c>
      <c r="X3777" s="9" t="str">
        <f aca="false">IF(TEXT(H3777,"dddd")&lt;&gt;I3777,"Mismatch","OK")</f>
        <v>OK</v>
      </c>
      <c r="Y3777" s="9" t="str">
        <f aca="false">IF(AND(N3777="No",O3777&lt;&gt;""),"Unexpected: channel present but no reminder sent",IF(AND(N3777="Yes",O3777=""),"Missing channel for sent reminder","OK"))</f>
        <v>OK</v>
      </c>
    </row>
    <row r="3778" customFormat="false" ht="15" hidden="false" customHeight="false" outlineLevel="0" collapsed="false">
      <c r="A3778" s="7" t="s">
        <v>5429</v>
      </c>
      <c r="B3778" s="7" t="s">
        <v>1625</v>
      </c>
      <c r="C3778" s="7" t="s">
        <v>37</v>
      </c>
      <c r="D3778" s="7" t="n">
        <v>68</v>
      </c>
      <c r="E3778" s="7" t="s">
        <v>70</v>
      </c>
      <c r="F3778" s="7" t="s">
        <v>57</v>
      </c>
      <c r="G3778" s="8" t="n">
        <v>45898</v>
      </c>
      <c r="H3778" s="8" t="n">
        <v>45948</v>
      </c>
      <c r="I3778" s="7" t="s">
        <v>102</v>
      </c>
      <c r="J3778" s="7" t="s">
        <v>51</v>
      </c>
      <c r="K3778" s="7" t="n">
        <v>50</v>
      </c>
      <c r="L3778" s="7" t="n">
        <v>2</v>
      </c>
      <c r="M3778" s="7" t="n">
        <v>0</v>
      </c>
      <c r="N3778" s="7" t="s">
        <v>42</v>
      </c>
      <c r="O3778" s="7" t="s">
        <v>52</v>
      </c>
      <c r="P3778" s="7" t="n">
        <v>16.7</v>
      </c>
      <c r="Q3778" s="7" t="n">
        <v>17</v>
      </c>
      <c r="R3778" s="7" t="s">
        <v>87</v>
      </c>
      <c r="S3778" s="7"/>
      <c r="T3778" s="7"/>
      <c r="U3778" s="7" t="str">
        <f aca="false">IF(COUNTIF($A$2:$A$5001,A3778)&gt;1,"Duplicate","Unique")</f>
        <v>Unique</v>
      </c>
      <c r="V3778" s="7" t="str">
        <f aca="false">IF(COUNTIFS($B$2:$B$5001,B3778,$H$2:$H$5001,H3778,$J$2:$J$5001,J3778)&gt;1,"Possible Duplicate Booking","Unique")</f>
        <v>Unique</v>
      </c>
      <c r="W3778" s="7" t="str">
        <f aca="false">IF((H3778-G3778)&lt;&gt;K3778,"Mismatch","OK")</f>
        <v>OK</v>
      </c>
      <c r="X3778" s="7" t="str">
        <f aca="false">IF(TEXT(H3778,"dddd")&lt;&gt;I3778,"Mismatch","OK")</f>
        <v>OK</v>
      </c>
      <c r="Y3778" s="7" t="str">
        <f aca="false">IF(AND(N3778="No",O3778&lt;&gt;""),"Unexpected: channel present but no reminder sent",IF(AND(N3778="Yes",O3778=""),"Missing channel for sent reminder","OK"))</f>
        <v>OK</v>
      </c>
    </row>
    <row r="3779" customFormat="false" ht="15" hidden="false" customHeight="false" outlineLevel="0" collapsed="false">
      <c r="A3779" s="9" t="s">
        <v>5430</v>
      </c>
      <c r="B3779" s="9" t="s">
        <v>1763</v>
      </c>
      <c r="C3779" s="9" t="s">
        <v>37</v>
      </c>
      <c r="D3779" s="9" t="n">
        <v>56</v>
      </c>
      <c r="E3779" s="9" t="s">
        <v>61</v>
      </c>
      <c r="F3779" s="9" t="s">
        <v>57</v>
      </c>
      <c r="G3779" s="10" t="n">
        <v>46079</v>
      </c>
      <c r="H3779" s="10" t="n">
        <v>46122</v>
      </c>
      <c r="I3779" s="9" t="s">
        <v>50</v>
      </c>
      <c r="J3779" s="9" t="s">
        <v>63</v>
      </c>
      <c r="K3779" s="9" t="n">
        <v>43</v>
      </c>
      <c r="L3779" s="9" t="n">
        <v>4</v>
      </c>
      <c r="M3779" s="9" t="n">
        <v>0</v>
      </c>
      <c r="N3779" s="9" t="s">
        <v>71</v>
      </c>
      <c r="O3779" s="9"/>
      <c r="P3779" s="9" t="n">
        <v>13.5</v>
      </c>
      <c r="Q3779" s="9" t="n">
        <v>21</v>
      </c>
      <c r="R3779" s="9" t="s">
        <v>44</v>
      </c>
      <c r="S3779" s="9"/>
      <c r="T3779" s="9"/>
      <c r="U3779" s="9" t="str">
        <f aca="false">IF(COUNTIF($A$2:$A$5001,A3779)&gt;1,"Duplicate","Unique")</f>
        <v>Unique</v>
      </c>
      <c r="V3779" s="9" t="str">
        <f aca="false">IF(COUNTIFS($B$2:$B$5001,B3779,$H$2:$H$5001,H3779,$J$2:$J$5001,J3779)&gt;1,"Possible Duplicate Booking","Unique")</f>
        <v>Unique</v>
      </c>
      <c r="W3779" s="9" t="str">
        <f aca="false">IF((H3779-G3779)&lt;&gt;K3779,"Mismatch","OK")</f>
        <v>OK</v>
      </c>
      <c r="X3779" s="9" t="str">
        <f aca="false">IF(TEXT(H3779,"dddd")&lt;&gt;I3779,"Mismatch","OK")</f>
        <v>OK</v>
      </c>
      <c r="Y3779" s="9" t="str">
        <f aca="false">IF(AND(N3779="No",O3779&lt;&gt;""),"Unexpected: channel present but no reminder sent",IF(AND(N3779="Yes",O3779=""),"Missing channel for sent reminder","OK"))</f>
        <v>OK</v>
      </c>
    </row>
    <row r="3780" customFormat="false" ht="15" hidden="false" customHeight="false" outlineLevel="0" collapsed="false">
      <c r="A3780" s="7" t="s">
        <v>5431</v>
      </c>
      <c r="B3780" s="7" t="s">
        <v>3972</v>
      </c>
      <c r="C3780" s="7" t="s">
        <v>47</v>
      </c>
      <c r="D3780" s="7" t="n">
        <v>45</v>
      </c>
      <c r="E3780" s="7" t="s">
        <v>56</v>
      </c>
      <c r="F3780" s="7" t="s">
        <v>57</v>
      </c>
      <c r="G3780" s="8" t="n">
        <v>46188</v>
      </c>
      <c r="H3780" s="8" t="n">
        <v>46196</v>
      </c>
      <c r="I3780" s="7" t="s">
        <v>40</v>
      </c>
      <c r="J3780" s="7" t="s">
        <v>41</v>
      </c>
      <c r="K3780" s="7" t="n">
        <v>8</v>
      </c>
      <c r="L3780" s="7" t="n">
        <v>2</v>
      </c>
      <c r="M3780" s="7" t="n">
        <v>0</v>
      </c>
      <c r="N3780" s="7" t="s">
        <v>42</v>
      </c>
      <c r="O3780" s="7" t="s">
        <v>52</v>
      </c>
      <c r="P3780" s="7" t="n">
        <v>9.9</v>
      </c>
      <c r="Q3780" s="7" t="n">
        <v>21</v>
      </c>
      <c r="R3780" s="7" t="s">
        <v>44</v>
      </c>
      <c r="S3780" s="7"/>
      <c r="T3780" s="7"/>
      <c r="U3780" s="7" t="str">
        <f aca="false">IF(COUNTIF($A$2:$A$5001,A3780)&gt;1,"Duplicate","Unique")</f>
        <v>Unique</v>
      </c>
      <c r="V3780" s="7" t="str">
        <f aca="false">IF(COUNTIFS($B$2:$B$5001,B3780,$H$2:$H$5001,H3780,$J$2:$J$5001,J3780)&gt;1,"Possible Duplicate Booking","Unique")</f>
        <v>Unique</v>
      </c>
      <c r="W3780" s="7" t="str">
        <f aca="false">IF((H3780-G3780)&lt;&gt;K3780,"Mismatch","OK")</f>
        <v>OK</v>
      </c>
      <c r="X3780" s="7" t="str">
        <f aca="false">IF(TEXT(H3780,"dddd")&lt;&gt;I3780,"Mismatch","OK")</f>
        <v>OK</v>
      </c>
      <c r="Y3780" s="7" t="str">
        <f aca="false">IF(AND(N3780="No",O3780&lt;&gt;""),"Unexpected: channel present but no reminder sent",IF(AND(N3780="Yes",O3780=""),"Missing channel for sent reminder","OK"))</f>
        <v>OK</v>
      </c>
    </row>
    <row r="3781" customFormat="false" ht="15" hidden="false" customHeight="false" outlineLevel="0" collapsed="false">
      <c r="A3781" s="9" t="s">
        <v>5432</v>
      </c>
      <c r="B3781" s="9" t="s">
        <v>3465</v>
      </c>
      <c r="C3781" s="9" t="s">
        <v>47</v>
      </c>
      <c r="D3781" s="9" t="n">
        <v>57</v>
      </c>
      <c r="E3781" s="9" t="s">
        <v>61</v>
      </c>
      <c r="F3781" s="9" t="s">
        <v>57</v>
      </c>
      <c r="G3781" s="10" t="n">
        <v>45866</v>
      </c>
      <c r="H3781" s="10" t="n">
        <v>45901</v>
      </c>
      <c r="I3781" s="9" t="s">
        <v>66</v>
      </c>
      <c r="J3781" s="9" t="s">
        <v>51</v>
      </c>
      <c r="K3781" s="9" t="n">
        <v>35</v>
      </c>
      <c r="L3781" s="9" t="n">
        <v>4</v>
      </c>
      <c r="M3781" s="9" t="n">
        <v>0</v>
      </c>
      <c r="N3781" s="9" t="s">
        <v>42</v>
      </c>
      <c r="O3781" s="9" t="s">
        <v>52</v>
      </c>
      <c r="P3781" s="9" t="n">
        <v>4.5</v>
      </c>
      <c r="Q3781" s="9" t="n">
        <v>29</v>
      </c>
      <c r="R3781" s="9" t="s">
        <v>53</v>
      </c>
      <c r="S3781" s="9"/>
      <c r="T3781" s="9"/>
      <c r="U3781" s="9" t="str">
        <f aca="false">IF(COUNTIF($A$2:$A$5001,A3781)&gt;1,"Duplicate","Unique")</f>
        <v>Unique</v>
      </c>
      <c r="V3781" s="9" t="str">
        <f aca="false">IF(COUNTIFS($B$2:$B$5001,B3781,$H$2:$H$5001,H3781,$J$2:$J$5001,J3781)&gt;1,"Possible Duplicate Booking","Unique")</f>
        <v>Unique</v>
      </c>
      <c r="W3781" s="9" t="str">
        <f aca="false">IF((H3781-G3781)&lt;&gt;K3781,"Mismatch","OK")</f>
        <v>OK</v>
      </c>
      <c r="X3781" s="9" t="str">
        <f aca="false">IF(TEXT(H3781,"dddd")&lt;&gt;I3781,"Mismatch","OK")</f>
        <v>OK</v>
      </c>
      <c r="Y3781" s="9" t="str">
        <f aca="false">IF(AND(N3781="No",O3781&lt;&gt;""),"Unexpected: channel present but no reminder sent",IF(AND(N3781="Yes",O3781=""),"Missing channel for sent reminder","OK"))</f>
        <v>OK</v>
      </c>
    </row>
    <row r="3782" customFormat="false" ht="15" hidden="false" customHeight="false" outlineLevel="0" collapsed="false">
      <c r="A3782" s="7" t="s">
        <v>5433</v>
      </c>
      <c r="B3782" s="7" t="s">
        <v>1398</v>
      </c>
      <c r="C3782" s="7" t="s">
        <v>47</v>
      </c>
      <c r="D3782" s="7" t="n">
        <v>35</v>
      </c>
      <c r="E3782" s="7" t="s">
        <v>38</v>
      </c>
      <c r="F3782" s="7" t="s">
        <v>57</v>
      </c>
      <c r="G3782" s="8" t="n">
        <v>45656</v>
      </c>
      <c r="H3782" s="8" t="n">
        <v>45688</v>
      </c>
      <c r="I3782" s="7" t="s">
        <v>50</v>
      </c>
      <c r="J3782" s="7" t="s">
        <v>63</v>
      </c>
      <c r="K3782" s="7" t="n">
        <v>32</v>
      </c>
      <c r="L3782" s="7" t="n">
        <v>2</v>
      </c>
      <c r="M3782" s="7" t="n">
        <v>1</v>
      </c>
      <c r="N3782" s="7" t="s">
        <v>71</v>
      </c>
      <c r="O3782" s="7"/>
      <c r="P3782" s="7" t="n">
        <v>5.3</v>
      </c>
      <c r="Q3782" s="7" t="n">
        <v>18</v>
      </c>
      <c r="R3782" s="7" t="s">
        <v>44</v>
      </c>
      <c r="S3782" s="7"/>
      <c r="T3782" s="7"/>
      <c r="U3782" s="7" t="str">
        <f aca="false">IF(COUNTIF($A$2:$A$5001,A3782)&gt;1,"Duplicate","Unique")</f>
        <v>Unique</v>
      </c>
      <c r="V3782" s="7" t="str">
        <f aca="false">IF(COUNTIFS($B$2:$B$5001,B3782,$H$2:$H$5001,H3782,$J$2:$J$5001,J3782)&gt;1,"Possible Duplicate Booking","Unique")</f>
        <v>Unique</v>
      </c>
      <c r="W3782" s="7" t="str">
        <f aca="false">IF((H3782-G3782)&lt;&gt;K3782,"Mismatch","OK")</f>
        <v>OK</v>
      </c>
      <c r="X3782" s="7" t="str">
        <f aca="false">IF(TEXT(H3782,"dddd")&lt;&gt;I3782,"Mismatch","OK")</f>
        <v>OK</v>
      </c>
      <c r="Y3782" s="7" t="str">
        <f aca="false">IF(AND(N3782="No",O3782&lt;&gt;""),"Unexpected: channel present but no reminder sent",IF(AND(N3782="Yes",O3782=""),"Missing channel for sent reminder","OK"))</f>
        <v>OK</v>
      </c>
    </row>
    <row r="3783" customFormat="false" ht="15" hidden="false" customHeight="false" outlineLevel="0" collapsed="false">
      <c r="A3783" s="9" t="s">
        <v>5434</v>
      </c>
      <c r="B3783" s="9" t="s">
        <v>1295</v>
      </c>
      <c r="C3783" s="9" t="s">
        <v>37</v>
      </c>
      <c r="D3783" s="9" t="n">
        <v>57</v>
      </c>
      <c r="E3783" s="9" t="s">
        <v>61</v>
      </c>
      <c r="F3783" s="9" t="s">
        <v>39</v>
      </c>
      <c r="G3783" s="10" t="n">
        <v>45770</v>
      </c>
      <c r="H3783" s="10" t="n">
        <v>45782</v>
      </c>
      <c r="I3783" s="9" t="s">
        <v>66</v>
      </c>
      <c r="J3783" s="9" t="s">
        <v>41</v>
      </c>
      <c r="K3783" s="9" t="n">
        <v>12</v>
      </c>
      <c r="L3783" s="9" t="n">
        <v>1</v>
      </c>
      <c r="M3783" s="9" t="n">
        <v>0</v>
      </c>
      <c r="N3783" s="9" t="s">
        <v>42</v>
      </c>
      <c r="O3783" s="9" t="s">
        <v>52</v>
      </c>
      <c r="P3783" s="9" t="n">
        <v>5.8</v>
      </c>
      <c r="Q3783" s="9" t="n">
        <v>36</v>
      </c>
      <c r="R3783" s="9" t="s">
        <v>53</v>
      </c>
      <c r="S3783" s="9"/>
      <c r="T3783" s="9"/>
      <c r="U3783" s="9" t="str">
        <f aca="false">IF(COUNTIF($A$2:$A$5001,A3783)&gt;1,"Duplicate","Unique")</f>
        <v>Unique</v>
      </c>
      <c r="V3783" s="9" t="str">
        <f aca="false">IF(COUNTIFS($B$2:$B$5001,B3783,$H$2:$H$5001,H3783,$J$2:$J$5001,J3783)&gt;1,"Possible Duplicate Booking","Unique")</f>
        <v>Unique</v>
      </c>
      <c r="W3783" s="9" t="str">
        <f aca="false">IF((H3783-G3783)&lt;&gt;K3783,"Mismatch","OK")</f>
        <v>OK</v>
      </c>
      <c r="X3783" s="9" t="str">
        <f aca="false">IF(TEXT(H3783,"dddd")&lt;&gt;I3783,"Mismatch","OK")</f>
        <v>OK</v>
      </c>
      <c r="Y3783" s="9" t="str">
        <f aca="false">IF(AND(N3783="No",O3783&lt;&gt;""),"Unexpected: channel present but no reminder sent",IF(AND(N3783="Yes",O3783=""),"Missing channel for sent reminder","OK"))</f>
        <v>OK</v>
      </c>
    </row>
    <row r="3784" customFormat="false" ht="15" hidden="false" customHeight="false" outlineLevel="0" collapsed="false">
      <c r="A3784" s="7" t="s">
        <v>5435</v>
      </c>
      <c r="B3784" s="7" t="s">
        <v>1747</v>
      </c>
      <c r="C3784" s="7" t="s">
        <v>47</v>
      </c>
      <c r="D3784" s="7" t="n">
        <v>47</v>
      </c>
      <c r="E3784" s="7" t="s">
        <v>56</v>
      </c>
      <c r="F3784" s="7" t="s">
        <v>39</v>
      </c>
      <c r="G3784" s="8" t="n">
        <v>45708</v>
      </c>
      <c r="H3784" s="8" t="n">
        <v>45715</v>
      </c>
      <c r="I3784" s="7" t="s">
        <v>62</v>
      </c>
      <c r="J3784" s="7" t="s">
        <v>51</v>
      </c>
      <c r="K3784" s="7" t="n">
        <v>7</v>
      </c>
      <c r="L3784" s="7" t="n">
        <v>1</v>
      </c>
      <c r="M3784" s="7" t="n">
        <v>1</v>
      </c>
      <c r="N3784" s="7" t="s">
        <v>42</v>
      </c>
      <c r="O3784" s="7" t="s">
        <v>67</v>
      </c>
      <c r="P3784" s="7" t="n">
        <v>3.4</v>
      </c>
      <c r="Q3784" s="7" t="n">
        <v>21</v>
      </c>
      <c r="R3784" s="7" t="s">
        <v>53</v>
      </c>
      <c r="S3784" s="7"/>
      <c r="T3784" s="7"/>
      <c r="U3784" s="7" t="str">
        <f aca="false">IF(COUNTIF($A$2:$A$5001,A3784)&gt;1,"Duplicate","Unique")</f>
        <v>Unique</v>
      </c>
      <c r="V3784" s="7" t="str">
        <f aca="false">IF(COUNTIFS($B$2:$B$5001,B3784,$H$2:$H$5001,H3784,$J$2:$J$5001,J3784)&gt;1,"Possible Duplicate Booking","Unique")</f>
        <v>Unique</v>
      </c>
      <c r="W3784" s="7" t="str">
        <f aca="false">IF((H3784-G3784)&lt;&gt;K3784,"Mismatch","OK")</f>
        <v>OK</v>
      </c>
      <c r="X3784" s="7" t="str">
        <f aca="false">IF(TEXT(H3784,"dddd")&lt;&gt;I3784,"Mismatch","OK")</f>
        <v>OK</v>
      </c>
      <c r="Y3784" s="7" t="str">
        <f aca="false">IF(AND(N3784="No",O3784&lt;&gt;""),"Unexpected: channel present but no reminder sent",IF(AND(N3784="Yes",O3784=""),"Missing channel for sent reminder","OK"))</f>
        <v>OK</v>
      </c>
    </row>
    <row r="3785" customFormat="false" ht="15" hidden="false" customHeight="false" outlineLevel="0" collapsed="false">
      <c r="A3785" s="9" t="s">
        <v>5436</v>
      </c>
      <c r="B3785" s="9" t="s">
        <v>4348</v>
      </c>
      <c r="C3785" s="9" t="s">
        <v>37</v>
      </c>
      <c r="D3785" s="9" t="n">
        <v>38</v>
      </c>
      <c r="E3785" s="9" t="s">
        <v>38</v>
      </c>
      <c r="F3785" s="9" t="s">
        <v>57</v>
      </c>
      <c r="G3785" s="10" t="n">
        <v>46026</v>
      </c>
      <c r="H3785" s="10" t="n">
        <v>46072</v>
      </c>
      <c r="I3785" s="9" t="s">
        <v>62</v>
      </c>
      <c r="J3785" s="9" t="s">
        <v>41</v>
      </c>
      <c r="K3785" s="9" t="n">
        <v>46</v>
      </c>
      <c r="L3785" s="9" t="n">
        <v>0</v>
      </c>
      <c r="M3785" s="9" t="n">
        <v>0</v>
      </c>
      <c r="N3785" s="9" t="s">
        <v>71</v>
      </c>
      <c r="O3785" s="9"/>
      <c r="P3785" s="9" t="n">
        <v>26.7</v>
      </c>
      <c r="Q3785" s="9" t="n">
        <v>41</v>
      </c>
      <c r="R3785" s="9" t="s">
        <v>44</v>
      </c>
      <c r="S3785" s="9"/>
      <c r="T3785" s="9"/>
      <c r="U3785" s="9" t="str">
        <f aca="false">IF(COUNTIF($A$2:$A$5001,A3785)&gt;1,"Duplicate","Unique")</f>
        <v>Unique</v>
      </c>
      <c r="V3785" s="9" t="str">
        <f aca="false">IF(COUNTIFS($B$2:$B$5001,B3785,$H$2:$H$5001,H3785,$J$2:$J$5001,J3785)&gt;1,"Possible Duplicate Booking","Unique")</f>
        <v>Unique</v>
      </c>
      <c r="W3785" s="9" t="str">
        <f aca="false">IF((H3785-G3785)&lt;&gt;K3785,"Mismatch","OK")</f>
        <v>OK</v>
      </c>
      <c r="X3785" s="9" t="str">
        <f aca="false">IF(TEXT(H3785,"dddd")&lt;&gt;I3785,"Mismatch","OK")</f>
        <v>OK</v>
      </c>
      <c r="Y3785" s="9" t="str">
        <f aca="false">IF(AND(N3785="No",O3785&lt;&gt;""),"Unexpected: channel present but no reminder sent",IF(AND(N3785="Yes",O3785=""),"Missing channel for sent reminder","OK"))</f>
        <v>OK</v>
      </c>
    </row>
    <row r="3786" customFormat="false" ht="15" hidden="false" customHeight="false" outlineLevel="0" collapsed="false">
      <c r="A3786" s="7" t="s">
        <v>5437</v>
      </c>
      <c r="B3786" s="7" t="s">
        <v>4161</v>
      </c>
      <c r="C3786" s="7" t="s">
        <v>47</v>
      </c>
      <c r="D3786" s="7" t="n">
        <v>79</v>
      </c>
      <c r="E3786" s="7" t="s">
        <v>70</v>
      </c>
      <c r="F3786" s="7" t="s">
        <v>49</v>
      </c>
      <c r="G3786" s="8" t="n">
        <v>46179</v>
      </c>
      <c r="H3786" s="8" t="n">
        <v>46195</v>
      </c>
      <c r="I3786" s="7" t="s">
        <v>66</v>
      </c>
      <c r="J3786" s="7" t="s">
        <v>41</v>
      </c>
      <c r="K3786" s="7" t="n">
        <v>16</v>
      </c>
      <c r="L3786" s="7" t="n">
        <v>2</v>
      </c>
      <c r="M3786" s="7" t="n">
        <v>0</v>
      </c>
      <c r="N3786" s="7" t="s">
        <v>42</v>
      </c>
      <c r="O3786" s="7" t="s">
        <v>52</v>
      </c>
      <c r="P3786" s="7" t="n">
        <v>12.9</v>
      </c>
      <c r="Q3786" s="7" t="n">
        <v>24</v>
      </c>
      <c r="R3786" s="7" t="s">
        <v>53</v>
      </c>
      <c r="S3786" s="7"/>
      <c r="T3786" s="7"/>
      <c r="U3786" s="7" t="str">
        <f aca="false">IF(COUNTIF($A$2:$A$5001,A3786)&gt;1,"Duplicate","Unique")</f>
        <v>Unique</v>
      </c>
      <c r="V3786" s="7" t="str">
        <f aca="false">IF(COUNTIFS($B$2:$B$5001,B3786,$H$2:$H$5001,H3786,$J$2:$J$5001,J3786)&gt;1,"Possible Duplicate Booking","Unique")</f>
        <v>Unique</v>
      </c>
      <c r="W3786" s="7" t="str">
        <f aca="false">IF((H3786-G3786)&lt;&gt;K3786,"Mismatch","OK")</f>
        <v>OK</v>
      </c>
      <c r="X3786" s="7" t="str">
        <f aca="false">IF(TEXT(H3786,"dddd")&lt;&gt;I3786,"Mismatch","OK")</f>
        <v>OK</v>
      </c>
      <c r="Y3786" s="7" t="str">
        <f aca="false">IF(AND(N3786="No",O3786&lt;&gt;""),"Unexpected: channel present but no reminder sent",IF(AND(N3786="Yes",O3786=""),"Missing channel for sent reminder","OK"))</f>
        <v>OK</v>
      </c>
    </row>
    <row r="3787" customFormat="false" ht="15" hidden="false" customHeight="false" outlineLevel="0" collapsed="false">
      <c r="A3787" s="9" t="s">
        <v>5438</v>
      </c>
      <c r="B3787" s="9" t="s">
        <v>2375</v>
      </c>
      <c r="C3787" s="9" t="s">
        <v>37</v>
      </c>
      <c r="D3787" s="9" t="n">
        <v>22</v>
      </c>
      <c r="E3787" s="9" t="s">
        <v>82</v>
      </c>
      <c r="F3787" s="9" t="s">
        <v>57</v>
      </c>
      <c r="G3787" s="10" t="n">
        <v>45929</v>
      </c>
      <c r="H3787" s="10" t="n">
        <v>45960</v>
      </c>
      <c r="I3787" s="9" t="s">
        <v>62</v>
      </c>
      <c r="J3787" s="9" t="s">
        <v>41</v>
      </c>
      <c r="K3787" s="9" t="n">
        <v>31</v>
      </c>
      <c r="L3787" s="9" t="n">
        <v>1</v>
      </c>
      <c r="M3787" s="9" t="n">
        <v>0</v>
      </c>
      <c r="N3787" s="9" t="s">
        <v>71</v>
      </c>
      <c r="O3787" s="9"/>
      <c r="P3787" s="9" t="n">
        <v>9.8</v>
      </c>
      <c r="Q3787" s="9" t="n">
        <v>30</v>
      </c>
      <c r="R3787" s="9" t="s">
        <v>44</v>
      </c>
      <c r="S3787" s="9"/>
      <c r="T3787" s="9"/>
      <c r="U3787" s="9" t="str">
        <f aca="false">IF(COUNTIF($A$2:$A$5001,A3787)&gt;1,"Duplicate","Unique")</f>
        <v>Unique</v>
      </c>
      <c r="V3787" s="9" t="str">
        <f aca="false">IF(COUNTIFS($B$2:$B$5001,B3787,$H$2:$H$5001,H3787,$J$2:$J$5001,J3787)&gt;1,"Possible Duplicate Booking","Unique")</f>
        <v>Unique</v>
      </c>
      <c r="W3787" s="9" t="str">
        <f aca="false">IF((H3787-G3787)&lt;&gt;K3787,"Mismatch","OK")</f>
        <v>OK</v>
      </c>
      <c r="X3787" s="9" t="str">
        <f aca="false">IF(TEXT(H3787,"dddd")&lt;&gt;I3787,"Mismatch","OK")</f>
        <v>OK</v>
      </c>
      <c r="Y3787" s="9" t="str">
        <f aca="false">IF(AND(N3787="No",O3787&lt;&gt;""),"Unexpected: channel present but no reminder sent",IF(AND(N3787="Yes",O3787=""),"Missing channel for sent reminder","OK"))</f>
        <v>OK</v>
      </c>
    </row>
    <row r="3788" customFormat="false" ht="15" hidden="false" customHeight="false" outlineLevel="0" collapsed="false">
      <c r="A3788" s="7" t="s">
        <v>5439</v>
      </c>
      <c r="B3788" s="7" t="s">
        <v>2065</v>
      </c>
      <c r="C3788" s="7" t="s">
        <v>47</v>
      </c>
      <c r="D3788" s="7" t="n">
        <v>65</v>
      </c>
      <c r="E3788" s="7" t="s">
        <v>70</v>
      </c>
      <c r="F3788" s="7" t="s">
        <v>74</v>
      </c>
      <c r="G3788" s="8" t="n">
        <v>45739</v>
      </c>
      <c r="H3788" s="8" t="n">
        <v>45754</v>
      </c>
      <c r="I3788" s="7" t="s">
        <v>66</v>
      </c>
      <c r="J3788" s="7" t="s">
        <v>41</v>
      </c>
      <c r="K3788" s="7" t="n">
        <v>15</v>
      </c>
      <c r="L3788" s="7" t="n">
        <v>1</v>
      </c>
      <c r="M3788" s="7" t="n">
        <v>0</v>
      </c>
      <c r="N3788" s="7" t="s">
        <v>42</v>
      </c>
      <c r="O3788" s="7" t="s">
        <v>52</v>
      </c>
      <c r="P3788" s="7" t="n">
        <v>1.9</v>
      </c>
      <c r="Q3788" s="7" t="n">
        <v>35</v>
      </c>
      <c r="R3788" s="7" t="s">
        <v>53</v>
      </c>
      <c r="S3788" s="7"/>
      <c r="T3788" s="7"/>
      <c r="U3788" s="7" t="str">
        <f aca="false">IF(COUNTIF($A$2:$A$5001,A3788)&gt;1,"Duplicate","Unique")</f>
        <v>Unique</v>
      </c>
      <c r="V3788" s="7" t="str">
        <f aca="false">IF(COUNTIFS($B$2:$B$5001,B3788,$H$2:$H$5001,H3788,$J$2:$J$5001,J3788)&gt;1,"Possible Duplicate Booking","Unique")</f>
        <v>Unique</v>
      </c>
      <c r="W3788" s="7" t="str">
        <f aca="false">IF((H3788-G3788)&lt;&gt;K3788,"Mismatch","OK")</f>
        <v>OK</v>
      </c>
      <c r="X3788" s="7" t="str">
        <f aca="false">IF(TEXT(H3788,"dddd")&lt;&gt;I3788,"Mismatch","OK")</f>
        <v>OK</v>
      </c>
      <c r="Y3788" s="7" t="str">
        <f aca="false">IF(AND(N3788="No",O3788&lt;&gt;""),"Unexpected: channel present but no reminder sent",IF(AND(N3788="Yes",O3788=""),"Missing channel for sent reminder","OK"))</f>
        <v>OK</v>
      </c>
    </row>
    <row r="3789" customFormat="false" ht="15" hidden="false" customHeight="false" outlineLevel="0" collapsed="false">
      <c r="A3789" s="9" t="s">
        <v>5440</v>
      </c>
      <c r="B3789" s="9" t="s">
        <v>722</v>
      </c>
      <c r="C3789" s="9" t="s">
        <v>47</v>
      </c>
      <c r="D3789" s="9" t="n">
        <v>31</v>
      </c>
      <c r="E3789" s="9" t="s">
        <v>48</v>
      </c>
      <c r="F3789" s="9" t="s">
        <v>74</v>
      </c>
      <c r="G3789" s="10" t="n">
        <v>45630</v>
      </c>
      <c r="H3789" s="10" t="n">
        <v>45669</v>
      </c>
      <c r="I3789" s="9" t="s">
        <v>75</v>
      </c>
      <c r="J3789" s="9" t="s">
        <v>41</v>
      </c>
      <c r="K3789" s="9" t="n">
        <v>39</v>
      </c>
      <c r="L3789" s="9" t="n">
        <v>2</v>
      </c>
      <c r="M3789" s="9" t="n">
        <v>0</v>
      </c>
      <c r="N3789" s="9" t="s">
        <v>71</v>
      </c>
      <c r="O3789" s="9"/>
      <c r="P3789" s="9" t="n">
        <v>7.8</v>
      </c>
      <c r="Q3789" s="9" t="n">
        <v>37</v>
      </c>
      <c r="R3789" s="9" t="s">
        <v>53</v>
      </c>
      <c r="S3789" s="9"/>
      <c r="T3789" s="9"/>
      <c r="U3789" s="9" t="str">
        <f aca="false">IF(COUNTIF($A$2:$A$5001,A3789)&gt;1,"Duplicate","Unique")</f>
        <v>Unique</v>
      </c>
      <c r="V3789" s="9" t="str">
        <f aca="false">IF(COUNTIFS($B$2:$B$5001,B3789,$H$2:$H$5001,H3789,$J$2:$J$5001,J3789)&gt;1,"Possible Duplicate Booking","Unique")</f>
        <v>Unique</v>
      </c>
      <c r="W3789" s="9" t="str">
        <f aca="false">IF((H3789-G3789)&lt;&gt;K3789,"Mismatch","OK")</f>
        <v>OK</v>
      </c>
      <c r="X3789" s="9" t="str">
        <f aca="false">IF(TEXT(H3789,"dddd")&lt;&gt;I3789,"Mismatch","OK")</f>
        <v>OK</v>
      </c>
      <c r="Y3789" s="9" t="str">
        <f aca="false">IF(AND(N3789="No",O3789&lt;&gt;""),"Unexpected: channel present but no reminder sent",IF(AND(N3789="Yes",O3789=""),"Missing channel for sent reminder","OK"))</f>
        <v>OK</v>
      </c>
    </row>
    <row r="3790" customFormat="false" ht="15" hidden="false" customHeight="false" outlineLevel="0" collapsed="false">
      <c r="A3790" s="7" t="s">
        <v>5441</v>
      </c>
      <c r="B3790" s="7" t="s">
        <v>91</v>
      </c>
      <c r="C3790" s="7" t="s">
        <v>37</v>
      </c>
      <c r="D3790" s="7" t="n">
        <v>32</v>
      </c>
      <c r="E3790" s="7" t="s">
        <v>48</v>
      </c>
      <c r="F3790" s="7" t="s">
        <v>39</v>
      </c>
      <c r="G3790" s="8" t="n">
        <v>46188</v>
      </c>
      <c r="H3790" s="8" t="n">
        <v>46190</v>
      </c>
      <c r="I3790" s="7" t="s">
        <v>58</v>
      </c>
      <c r="J3790" s="7" t="s">
        <v>51</v>
      </c>
      <c r="K3790" s="7" t="n">
        <v>2</v>
      </c>
      <c r="L3790" s="7" t="n">
        <v>5</v>
      </c>
      <c r="M3790" s="7" t="n">
        <v>0</v>
      </c>
      <c r="N3790" s="7" t="s">
        <v>42</v>
      </c>
      <c r="O3790" s="7" t="s">
        <v>67</v>
      </c>
      <c r="P3790" s="7" t="n">
        <v>8.2</v>
      </c>
      <c r="Q3790" s="7" t="n">
        <v>31</v>
      </c>
      <c r="R3790" s="7" t="s">
        <v>53</v>
      </c>
      <c r="S3790" s="7"/>
      <c r="T3790" s="7"/>
      <c r="U3790" s="7" t="str">
        <f aca="false">IF(COUNTIF($A$2:$A$5001,A3790)&gt;1,"Duplicate","Unique")</f>
        <v>Unique</v>
      </c>
      <c r="V3790" s="7" t="str">
        <f aca="false">IF(COUNTIFS($B$2:$B$5001,B3790,$H$2:$H$5001,H3790,$J$2:$J$5001,J3790)&gt;1,"Possible Duplicate Booking","Unique")</f>
        <v>Unique</v>
      </c>
      <c r="W3790" s="7" t="str">
        <f aca="false">IF((H3790-G3790)&lt;&gt;K3790,"Mismatch","OK")</f>
        <v>OK</v>
      </c>
      <c r="X3790" s="7" t="str">
        <f aca="false">IF(TEXT(H3790,"dddd")&lt;&gt;I3790,"Mismatch","OK")</f>
        <v>OK</v>
      </c>
      <c r="Y3790" s="7" t="str">
        <f aca="false">IF(AND(N3790="No",O3790&lt;&gt;""),"Unexpected: channel present but no reminder sent",IF(AND(N3790="Yes",O3790=""),"Missing channel for sent reminder","OK"))</f>
        <v>OK</v>
      </c>
    </row>
    <row r="3791" customFormat="false" ht="15" hidden="false" customHeight="false" outlineLevel="0" collapsed="false">
      <c r="A3791" s="9" t="s">
        <v>5442</v>
      </c>
      <c r="B3791" s="9" t="s">
        <v>1525</v>
      </c>
      <c r="C3791" s="9" t="s">
        <v>47</v>
      </c>
      <c r="D3791" s="9" t="n">
        <v>27</v>
      </c>
      <c r="E3791" s="9" t="s">
        <v>48</v>
      </c>
      <c r="F3791" s="9" t="s">
        <v>57</v>
      </c>
      <c r="G3791" s="10" t="n">
        <v>45809</v>
      </c>
      <c r="H3791" s="10" t="n">
        <v>45830</v>
      </c>
      <c r="I3791" s="9" t="s">
        <v>75</v>
      </c>
      <c r="J3791" s="9" t="s">
        <v>41</v>
      </c>
      <c r="K3791" s="9" t="n">
        <v>21</v>
      </c>
      <c r="L3791" s="9" t="n">
        <v>2</v>
      </c>
      <c r="M3791" s="9" t="n">
        <v>0</v>
      </c>
      <c r="N3791" s="9" t="s">
        <v>42</v>
      </c>
      <c r="O3791" s="9" t="s">
        <v>67</v>
      </c>
      <c r="P3791" s="9" t="n">
        <v>9.3</v>
      </c>
      <c r="Q3791" s="9" t="n">
        <v>53</v>
      </c>
      <c r="R3791" s="9" t="s">
        <v>53</v>
      </c>
      <c r="S3791" s="9"/>
      <c r="T3791" s="9"/>
      <c r="U3791" s="9" t="str">
        <f aca="false">IF(COUNTIF($A$2:$A$5001,A3791)&gt;1,"Duplicate","Unique")</f>
        <v>Unique</v>
      </c>
      <c r="V3791" s="9" t="str">
        <f aca="false">IF(COUNTIFS($B$2:$B$5001,B3791,$H$2:$H$5001,H3791,$J$2:$J$5001,J3791)&gt;1,"Possible Duplicate Booking","Unique")</f>
        <v>Unique</v>
      </c>
      <c r="W3791" s="9" t="str">
        <f aca="false">IF((H3791-G3791)&lt;&gt;K3791,"Mismatch","OK")</f>
        <v>OK</v>
      </c>
      <c r="X3791" s="9" t="str">
        <f aca="false">IF(TEXT(H3791,"dddd")&lt;&gt;I3791,"Mismatch","OK")</f>
        <v>OK</v>
      </c>
      <c r="Y3791" s="9" t="str">
        <f aca="false">IF(AND(N3791="No",O3791&lt;&gt;""),"Unexpected: channel present but no reminder sent",IF(AND(N3791="Yes",O3791=""),"Missing channel for sent reminder","OK"))</f>
        <v>OK</v>
      </c>
    </row>
    <row r="3792" customFormat="false" ht="15" hidden="false" customHeight="false" outlineLevel="0" collapsed="false">
      <c r="A3792" s="7" t="s">
        <v>5443</v>
      </c>
      <c r="B3792" s="7" t="s">
        <v>2821</v>
      </c>
      <c r="C3792" s="7" t="s">
        <v>47</v>
      </c>
      <c r="D3792" s="7" t="n">
        <v>24</v>
      </c>
      <c r="E3792" s="7" t="s">
        <v>82</v>
      </c>
      <c r="F3792" s="7" t="s">
        <v>49</v>
      </c>
      <c r="G3792" s="8" t="n">
        <v>45686</v>
      </c>
      <c r="H3792" s="8" t="n">
        <v>45719</v>
      </c>
      <c r="I3792" s="7" t="s">
        <v>66</v>
      </c>
      <c r="J3792" s="7" t="s">
        <v>51</v>
      </c>
      <c r="K3792" s="7" t="n">
        <v>33</v>
      </c>
      <c r="L3792" s="7" t="n">
        <v>4</v>
      </c>
      <c r="M3792" s="7" t="n">
        <v>1</v>
      </c>
      <c r="N3792" s="7" t="s">
        <v>71</v>
      </c>
      <c r="O3792" s="7"/>
      <c r="P3792" s="7" t="n">
        <v>9.5</v>
      </c>
      <c r="Q3792" s="7" t="n">
        <v>24</v>
      </c>
      <c r="R3792" s="7" t="s">
        <v>53</v>
      </c>
      <c r="S3792" s="7"/>
      <c r="T3792" s="7"/>
      <c r="U3792" s="7" t="str">
        <f aca="false">IF(COUNTIF($A$2:$A$5001,A3792)&gt;1,"Duplicate","Unique")</f>
        <v>Unique</v>
      </c>
      <c r="V3792" s="7" t="str">
        <f aca="false">IF(COUNTIFS($B$2:$B$5001,B3792,$H$2:$H$5001,H3792,$J$2:$J$5001,J3792)&gt;1,"Possible Duplicate Booking","Unique")</f>
        <v>Unique</v>
      </c>
      <c r="W3792" s="7" t="str">
        <f aca="false">IF((H3792-G3792)&lt;&gt;K3792,"Mismatch","OK")</f>
        <v>OK</v>
      </c>
      <c r="X3792" s="7" t="str">
        <f aca="false">IF(TEXT(H3792,"dddd")&lt;&gt;I3792,"Mismatch","OK")</f>
        <v>OK</v>
      </c>
      <c r="Y3792" s="7" t="str">
        <f aca="false">IF(AND(N3792="No",O3792&lt;&gt;""),"Unexpected: channel present but no reminder sent",IF(AND(N3792="Yes",O3792=""),"Missing channel for sent reminder","OK"))</f>
        <v>OK</v>
      </c>
    </row>
    <row r="3793" customFormat="false" ht="15" hidden="false" customHeight="false" outlineLevel="0" collapsed="false">
      <c r="A3793" s="9" t="s">
        <v>5444</v>
      </c>
      <c r="B3793" s="9" t="s">
        <v>2473</v>
      </c>
      <c r="C3793" s="9" t="s">
        <v>37</v>
      </c>
      <c r="D3793" s="9" t="n">
        <v>25</v>
      </c>
      <c r="E3793" s="9" t="s">
        <v>48</v>
      </c>
      <c r="F3793" s="9" t="s">
        <v>57</v>
      </c>
      <c r="G3793" s="10" t="n">
        <v>45728</v>
      </c>
      <c r="H3793" s="10" t="n">
        <v>45754</v>
      </c>
      <c r="I3793" s="9" t="s">
        <v>66</v>
      </c>
      <c r="J3793" s="9" t="s">
        <v>51</v>
      </c>
      <c r="K3793" s="9" t="n">
        <v>26</v>
      </c>
      <c r="L3793" s="9" t="n">
        <v>7</v>
      </c>
      <c r="M3793" s="9" t="n">
        <v>2</v>
      </c>
      <c r="N3793" s="9" t="s">
        <v>71</v>
      </c>
      <c r="O3793" s="9"/>
      <c r="P3793" s="9" t="n">
        <v>12.4</v>
      </c>
      <c r="Q3793" s="9" t="n">
        <v>7</v>
      </c>
      <c r="R3793" s="9" t="s">
        <v>53</v>
      </c>
      <c r="S3793" s="9"/>
      <c r="T3793" s="9"/>
      <c r="U3793" s="9" t="str">
        <f aca="false">IF(COUNTIF($A$2:$A$5001,A3793)&gt;1,"Duplicate","Unique")</f>
        <v>Unique</v>
      </c>
      <c r="V3793" s="9" t="str">
        <f aca="false">IF(COUNTIFS($B$2:$B$5001,B3793,$H$2:$H$5001,H3793,$J$2:$J$5001,J3793)&gt;1,"Possible Duplicate Booking","Unique")</f>
        <v>Unique</v>
      </c>
      <c r="W3793" s="9" t="str">
        <f aca="false">IF((H3793-G3793)&lt;&gt;K3793,"Mismatch","OK")</f>
        <v>OK</v>
      </c>
      <c r="X3793" s="9" t="str">
        <f aca="false">IF(TEXT(H3793,"dddd")&lt;&gt;I3793,"Mismatch","OK")</f>
        <v>OK</v>
      </c>
      <c r="Y3793" s="9" t="str">
        <f aca="false">IF(AND(N3793="No",O3793&lt;&gt;""),"Unexpected: channel present but no reminder sent",IF(AND(N3793="Yes",O3793=""),"Missing channel for sent reminder","OK"))</f>
        <v>OK</v>
      </c>
    </row>
    <row r="3794" customFormat="false" ht="15" hidden="false" customHeight="false" outlineLevel="0" collapsed="false">
      <c r="A3794" s="7" t="s">
        <v>5445</v>
      </c>
      <c r="B3794" s="7" t="s">
        <v>958</v>
      </c>
      <c r="C3794" s="7" t="s">
        <v>37</v>
      </c>
      <c r="D3794" s="7" t="n">
        <v>70</v>
      </c>
      <c r="E3794" s="7" t="s">
        <v>70</v>
      </c>
      <c r="F3794" s="7" t="s">
        <v>57</v>
      </c>
      <c r="G3794" s="8" t="n">
        <v>45760</v>
      </c>
      <c r="H3794" s="8" t="n">
        <v>45797</v>
      </c>
      <c r="I3794" s="7" t="s">
        <v>40</v>
      </c>
      <c r="J3794" s="7" t="s">
        <v>51</v>
      </c>
      <c r="K3794" s="7" t="n">
        <v>37</v>
      </c>
      <c r="L3794" s="7" t="n">
        <v>5</v>
      </c>
      <c r="M3794" s="7" t="n">
        <v>1</v>
      </c>
      <c r="N3794" s="7" t="s">
        <v>71</v>
      </c>
      <c r="O3794" s="7"/>
      <c r="P3794" s="7" t="n">
        <v>3.2</v>
      </c>
      <c r="Q3794" s="7" t="n">
        <v>24</v>
      </c>
      <c r="R3794" s="7" t="s">
        <v>44</v>
      </c>
      <c r="S3794" s="7"/>
      <c r="T3794" s="7"/>
      <c r="U3794" s="7" t="str">
        <f aca="false">IF(COUNTIF($A$2:$A$5001,A3794)&gt;1,"Duplicate","Unique")</f>
        <v>Unique</v>
      </c>
      <c r="V3794" s="7" t="str">
        <f aca="false">IF(COUNTIFS($B$2:$B$5001,B3794,$H$2:$H$5001,H3794,$J$2:$J$5001,J3794)&gt;1,"Possible Duplicate Booking","Unique")</f>
        <v>Unique</v>
      </c>
      <c r="W3794" s="7" t="str">
        <f aca="false">IF((H3794-G3794)&lt;&gt;K3794,"Mismatch","OK")</f>
        <v>OK</v>
      </c>
      <c r="X3794" s="7" t="str">
        <f aca="false">IF(TEXT(H3794,"dddd")&lt;&gt;I3794,"Mismatch","OK")</f>
        <v>OK</v>
      </c>
      <c r="Y3794" s="7" t="str">
        <f aca="false">IF(AND(N3794="No",O3794&lt;&gt;""),"Unexpected: channel present but no reminder sent",IF(AND(N3794="Yes",O3794=""),"Missing channel for sent reminder","OK"))</f>
        <v>OK</v>
      </c>
    </row>
    <row r="3795" customFormat="false" ht="15" hidden="false" customHeight="false" outlineLevel="0" collapsed="false">
      <c r="A3795" s="9" t="s">
        <v>5446</v>
      </c>
      <c r="B3795" s="9" t="s">
        <v>5447</v>
      </c>
      <c r="C3795" s="9" t="s">
        <v>37</v>
      </c>
      <c r="D3795" s="9" t="n">
        <v>76</v>
      </c>
      <c r="E3795" s="9" t="s">
        <v>70</v>
      </c>
      <c r="F3795" s="9" t="s">
        <v>39</v>
      </c>
      <c r="G3795" s="10" t="n">
        <v>46005</v>
      </c>
      <c r="H3795" s="10" t="n">
        <v>46016</v>
      </c>
      <c r="I3795" s="9" t="s">
        <v>62</v>
      </c>
      <c r="J3795" s="9" t="s">
        <v>41</v>
      </c>
      <c r="K3795" s="9" t="n">
        <v>11</v>
      </c>
      <c r="L3795" s="9" t="n">
        <v>6</v>
      </c>
      <c r="M3795" s="9" t="n">
        <v>1</v>
      </c>
      <c r="N3795" s="9" t="s">
        <v>42</v>
      </c>
      <c r="O3795" s="9" t="s">
        <v>43</v>
      </c>
      <c r="P3795" s="9" t="n">
        <v>6.2</v>
      </c>
      <c r="Q3795" s="9" t="n">
        <v>33</v>
      </c>
      <c r="R3795" s="9" t="s">
        <v>44</v>
      </c>
      <c r="S3795" s="9"/>
      <c r="T3795" s="9"/>
      <c r="U3795" s="9" t="str">
        <f aca="false">IF(COUNTIF($A$2:$A$5001,A3795)&gt;1,"Duplicate","Unique")</f>
        <v>Unique</v>
      </c>
      <c r="V3795" s="9" t="str">
        <f aca="false">IF(COUNTIFS($B$2:$B$5001,B3795,$H$2:$H$5001,H3795,$J$2:$J$5001,J3795)&gt;1,"Possible Duplicate Booking","Unique")</f>
        <v>Unique</v>
      </c>
      <c r="W3795" s="9" t="str">
        <f aca="false">IF((H3795-G3795)&lt;&gt;K3795,"Mismatch","OK")</f>
        <v>OK</v>
      </c>
      <c r="X3795" s="9" t="str">
        <f aca="false">IF(TEXT(H3795,"dddd")&lt;&gt;I3795,"Mismatch","OK")</f>
        <v>OK</v>
      </c>
      <c r="Y3795" s="9" t="str">
        <f aca="false">IF(AND(N3795="No",O3795&lt;&gt;""),"Unexpected: channel present but no reminder sent",IF(AND(N3795="Yes",O3795=""),"Missing channel for sent reminder","OK"))</f>
        <v>OK</v>
      </c>
    </row>
    <row r="3796" customFormat="false" ht="15" hidden="false" customHeight="false" outlineLevel="0" collapsed="false">
      <c r="A3796" s="7" t="s">
        <v>5448</v>
      </c>
      <c r="B3796" s="7" t="s">
        <v>1208</v>
      </c>
      <c r="C3796" s="7" t="s">
        <v>47</v>
      </c>
      <c r="D3796" s="7" t="n">
        <v>54</v>
      </c>
      <c r="E3796" s="7" t="s">
        <v>56</v>
      </c>
      <c r="F3796" s="7" t="s">
        <v>39</v>
      </c>
      <c r="G3796" s="8" t="n">
        <v>46118</v>
      </c>
      <c r="H3796" s="8" t="n">
        <v>46144</v>
      </c>
      <c r="I3796" s="7" t="s">
        <v>102</v>
      </c>
      <c r="J3796" s="7" t="s">
        <v>51</v>
      </c>
      <c r="K3796" s="7" t="n">
        <v>26</v>
      </c>
      <c r="L3796" s="7" t="n">
        <v>3</v>
      </c>
      <c r="M3796" s="7" t="n">
        <v>1</v>
      </c>
      <c r="N3796" s="7" t="s">
        <v>42</v>
      </c>
      <c r="O3796" s="7" t="s">
        <v>52</v>
      </c>
      <c r="P3796" s="7" t="n">
        <v>11.8</v>
      </c>
      <c r="Q3796" s="7" t="n">
        <v>29</v>
      </c>
      <c r="R3796" s="7" t="s">
        <v>53</v>
      </c>
      <c r="S3796" s="7"/>
      <c r="T3796" s="7"/>
      <c r="U3796" s="7" t="str">
        <f aca="false">IF(COUNTIF($A$2:$A$5001,A3796)&gt;1,"Duplicate","Unique")</f>
        <v>Unique</v>
      </c>
      <c r="V3796" s="7" t="str">
        <f aca="false">IF(COUNTIFS($B$2:$B$5001,B3796,$H$2:$H$5001,H3796,$J$2:$J$5001,J3796)&gt;1,"Possible Duplicate Booking","Unique")</f>
        <v>Unique</v>
      </c>
      <c r="W3796" s="7" t="str">
        <f aca="false">IF((H3796-G3796)&lt;&gt;K3796,"Mismatch","OK")</f>
        <v>OK</v>
      </c>
      <c r="X3796" s="7" t="str">
        <f aca="false">IF(TEXT(H3796,"dddd")&lt;&gt;I3796,"Mismatch","OK")</f>
        <v>OK</v>
      </c>
      <c r="Y3796" s="7" t="str">
        <f aca="false">IF(AND(N3796="No",O3796&lt;&gt;""),"Unexpected: channel present but no reminder sent",IF(AND(N3796="Yes",O3796=""),"Missing channel for sent reminder","OK"))</f>
        <v>OK</v>
      </c>
    </row>
    <row r="3797" customFormat="false" ht="15" hidden="false" customHeight="false" outlineLevel="0" collapsed="false">
      <c r="A3797" s="9" t="s">
        <v>5449</v>
      </c>
      <c r="B3797" s="9" t="s">
        <v>4742</v>
      </c>
      <c r="C3797" s="9" t="s">
        <v>47</v>
      </c>
      <c r="D3797" s="9" t="n">
        <v>18</v>
      </c>
      <c r="E3797" s="9" t="s">
        <v>82</v>
      </c>
      <c r="F3797" s="9" t="s">
        <v>49</v>
      </c>
      <c r="G3797" s="10" t="n">
        <v>45762</v>
      </c>
      <c r="H3797" s="10" t="n">
        <v>45808</v>
      </c>
      <c r="I3797" s="9" t="s">
        <v>102</v>
      </c>
      <c r="J3797" s="9" t="s">
        <v>51</v>
      </c>
      <c r="K3797" s="9" t="n">
        <v>46</v>
      </c>
      <c r="L3797" s="9" t="n">
        <v>2</v>
      </c>
      <c r="M3797" s="9" t="n">
        <v>0</v>
      </c>
      <c r="N3797" s="9" t="s">
        <v>42</v>
      </c>
      <c r="O3797" s="9" t="s">
        <v>52</v>
      </c>
      <c r="P3797" s="9" t="n">
        <v>12</v>
      </c>
      <c r="Q3797" s="9" t="n">
        <v>13</v>
      </c>
      <c r="R3797" s="9" t="s">
        <v>53</v>
      </c>
      <c r="S3797" s="9"/>
      <c r="T3797" s="9"/>
      <c r="U3797" s="9" t="str">
        <f aca="false">IF(COUNTIF($A$2:$A$5001,A3797)&gt;1,"Duplicate","Unique")</f>
        <v>Unique</v>
      </c>
      <c r="V3797" s="9" t="str">
        <f aca="false">IF(COUNTIFS($B$2:$B$5001,B3797,$H$2:$H$5001,H3797,$J$2:$J$5001,J3797)&gt;1,"Possible Duplicate Booking","Unique")</f>
        <v>Unique</v>
      </c>
      <c r="W3797" s="9" t="str">
        <f aca="false">IF((H3797-G3797)&lt;&gt;K3797,"Mismatch","OK")</f>
        <v>OK</v>
      </c>
      <c r="X3797" s="9" t="str">
        <f aca="false">IF(TEXT(H3797,"dddd")&lt;&gt;I3797,"Mismatch","OK")</f>
        <v>OK</v>
      </c>
      <c r="Y3797" s="9" t="str">
        <f aca="false">IF(AND(N3797="No",O3797&lt;&gt;""),"Unexpected: channel present but no reminder sent",IF(AND(N3797="Yes",O3797=""),"Missing channel for sent reminder","OK"))</f>
        <v>OK</v>
      </c>
    </row>
    <row r="3798" customFormat="false" ht="15" hidden="false" customHeight="false" outlineLevel="0" collapsed="false">
      <c r="A3798" s="7" t="s">
        <v>5450</v>
      </c>
      <c r="B3798" s="7" t="s">
        <v>1433</v>
      </c>
      <c r="C3798" s="7" t="s">
        <v>37</v>
      </c>
      <c r="D3798" s="7" t="n">
        <v>72</v>
      </c>
      <c r="E3798" s="7" t="s">
        <v>70</v>
      </c>
      <c r="F3798" s="7" t="s">
        <v>49</v>
      </c>
      <c r="G3798" s="8" t="n">
        <v>46013</v>
      </c>
      <c r="H3798" s="8" t="n">
        <v>46033</v>
      </c>
      <c r="I3798" s="7" t="s">
        <v>75</v>
      </c>
      <c r="J3798" s="7" t="s">
        <v>51</v>
      </c>
      <c r="K3798" s="7" t="n">
        <v>20</v>
      </c>
      <c r="L3798" s="7" t="n">
        <v>2</v>
      </c>
      <c r="M3798" s="7" t="n">
        <v>0</v>
      </c>
      <c r="N3798" s="7" t="s">
        <v>42</v>
      </c>
      <c r="O3798" s="7" t="s">
        <v>52</v>
      </c>
      <c r="P3798" s="7" t="n">
        <v>10.1</v>
      </c>
      <c r="Q3798" s="7" t="n">
        <v>20</v>
      </c>
      <c r="R3798" s="7" t="s">
        <v>44</v>
      </c>
      <c r="S3798" s="7"/>
      <c r="T3798" s="7"/>
      <c r="U3798" s="7" t="str">
        <f aca="false">IF(COUNTIF($A$2:$A$5001,A3798)&gt;1,"Duplicate","Unique")</f>
        <v>Unique</v>
      </c>
      <c r="V3798" s="7" t="str">
        <f aca="false">IF(COUNTIFS($B$2:$B$5001,B3798,$H$2:$H$5001,H3798,$J$2:$J$5001,J3798)&gt;1,"Possible Duplicate Booking","Unique")</f>
        <v>Unique</v>
      </c>
      <c r="W3798" s="7" t="str">
        <f aca="false">IF((H3798-G3798)&lt;&gt;K3798,"Mismatch","OK")</f>
        <v>OK</v>
      </c>
      <c r="X3798" s="7" t="str">
        <f aca="false">IF(TEXT(H3798,"dddd")&lt;&gt;I3798,"Mismatch","OK")</f>
        <v>OK</v>
      </c>
      <c r="Y3798" s="7" t="str">
        <f aca="false">IF(AND(N3798="No",O3798&lt;&gt;""),"Unexpected: channel present but no reminder sent",IF(AND(N3798="Yes",O3798=""),"Missing channel for sent reminder","OK"))</f>
        <v>OK</v>
      </c>
    </row>
    <row r="3799" customFormat="false" ht="15" hidden="false" customHeight="false" outlineLevel="0" collapsed="false">
      <c r="A3799" s="9" t="s">
        <v>5451</v>
      </c>
      <c r="B3799" s="9" t="s">
        <v>1875</v>
      </c>
      <c r="C3799" s="9" t="s">
        <v>37</v>
      </c>
      <c r="D3799" s="9" t="n">
        <v>55</v>
      </c>
      <c r="E3799" s="9" t="s">
        <v>61</v>
      </c>
      <c r="F3799" s="9" t="s">
        <v>49</v>
      </c>
      <c r="G3799" s="10" t="n">
        <v>45684</v>
      </c>
      <c r="H3799" s="10" t="n">
        <v>45693</v>
      </c>
      <c r="I3799" s="9" t="s">
        <v>58</v>
      </c>
      <c r="J3799" s="9" t="s">
        <v>63</v>
      </c>
      <c r="K3799" s="9" t="n">
        <v>9</v>
      </c>
      <c r="L3799" s="9" t="n">
        <v>3</v>
      </c>
      <c r="M3799" s="9" t="n">
        <v>2</v>
      </c>
      <c r="N3799" s="9" t="s">
        <v>42</v>
      </c>
      <c r="O3799" s="9" t="s">
        <v>67</v>
      </c>
      <c r="P3799" s="9" t="n">
        <v>14.9</v>
      </c>
      <c r="Q3799" s="9" t="n">
        <v>15</v>
      </c>
      <c r="R3799" s="9" t="s">
        <v>87</v>
      </c>
      <c r="S3799" s="9"/>
      <c r="T3799" s="9"/>
      <c r="U3799" s="9" t="str">
        <f aca="false">IF(COUNTIF($A$2:$A$5001,A3799)&gt;1,"Duplicate","Unique")</f>
        <v>Unique</v>
      </c>
      <c r="V3799" s="9" t="str">
        <f aca="false">IF(COUNTIFS($B$2:$B$5001,B3799,$H$2:$H$5001,H3799,$J$2:$J$5001,J3799)&gt;1,"Possible Duplicate Booking","Unique")</f>
        <v>Unique</v>
      </c>
      <c r="W3799" s="9" t="str">
        <f aca="false">IF((H3799-G3799)&lt;&gt;K3799,"Mismatch","OK")</f>
        <v>OK</v>
      </c>
      <c r="X3799" s="9" t="str">
        <f aca="false">IF(TEXT(H3799,"dddd")&lt;&gt;I3799,"Mismatch","OK")</f>
        <v>OK</v>
      </c>
      <c r="Y3799" s="9" t="str">
        <f aca="false">IF(AND(N3799="No",O3799&lt;&gt;""),"Unexpected: channel present but no reminder sent",IF(AND(N3799="Yes",O3799=""),"Missing channel for sent reminder","OK"))</f>
        <v>OK</v>
      </c>
    </row>
    <row r="3800" customFormat="false" ht="15" hidden="false" customHeight="false" outlineLevel="0" collapsed="false">
      <c r="A3800" s="7" t="s">
        <v>5452</v>
      </c>
      <c r="B3800" s="7" t="s">
        <v>156</v>
      </c>
      <c r="C3800" s="7" t="s">
        <v>47</v>
      </c>
      <c r="D3800" s="7" t="n">
        <v>50</v>
      </c>
      <c r="E3800" s="7" t="s">
        <v>56</v>
      </c>
      <c r="F3800" s="7" t="s">
        <v>49</v>
      </c>
      <c r="G3800" s="8" t="n">
        <v>45612</v>
      </c>
      <c r="H3800" s="8" t="n">
        <v>45663</v>
      </c>
      <c r="I3800" s="7" t="s">
        <v>66</v>
      </c>
      <c r="J3800" s="7" t="s">
        <v>51</v>
      </c>
      <c r="K3800" s="7" t="n">
        <v>51</v>
      </c>
      <c r="L3800" s="7" t="n">
        <v>0</v>
      </c>
      <c r="M3800" s="7" t="n">
        <v>0</v>
      </c>
      <c r="N3800" s="7" t="s">
        <v>42</v>
      </c>
      <c r="O3800" s="7" t="s">
        <v>52</v>
      </c>
      <c r="P3800" s="7" t="n">
        <v>7.3</v>
      </c>
      <c r="Q3800" s="7" t="n">
        <v>17</v>
      </c>
      <c r="R3800" s="7" t="s">
        <v>44</v>
      </c>
      <c r="S3800" s="7"/>
      <c r="T3800" s="7"/>
      <c r="U3800" s="7" t="str">
        <f aca="false">IF(COUNTIF($A$2:$A$5001,A3800)&gt;1,"Duplicate","Unique")</f>
        <v>Unique</v>
      </c>
      <c r="V3800" s="7" t="str">
        <f aca="false">IF(COUNTIFS($B$2:$B$5001,B3800,$H$2:$H$5001,H3800,$J$2:$J$5001,J3800)&gt;1,"Possible Duplicate Booking","Unique")</f>
        <v>Unique</v>
      </c>
      <c r="W3800" s="7" t="str">
        <f aca="false">IF((H3800-G3800)&lt;&gt;K3800,"Mismatch","OK")</f>
        <v>OK</v>
      </c>
      <c r="X3800" s="7" t="str">
        <f aca="false">IF(TEXT(H3800,"dddd")&lt;&gt;I3800,"Mismatch","OK")</f>
        <v>OK</v>
      </c>
      <c r="Y3800" s="7" t="str">
        <f aca="false">IF(AND(N3800="No",O3800&lt;&gt;""),"Unexpected: channel present but no reminder sent",IF(AND(N3800="Yes",O3800=""),"Missing channel for sent reminder","OK"))</f>
        <v>OK</v>
      </c>
    </row>
    <row r="3801" customFormat="false" ht="15" hidden="false" customHeight="false" outlineLevel="0" collapsed="false">
      <c r="A3801" s="9" t="s">
        <v>5453</v>
      </c>
      <c r="B3801" s="9" t="s">
        <v>2164</v>
      </c>
      <c r="C3801" s="9" t="s">
        <v>37</v>
      </c>
      <c r="D3801" s="9" t="n">
        <v>77</v>
      </c>
      <c r="E3801" s="9" t="s">
        <v>70</v>
      </c>
      <c r="F3801" s="9" t="s">
        <v>39</v>
      </c>
      <c r="G3801" s="10" t="n">
        <v>45640</v>
      </c>
      <c r="H3801" s="10" t="n">
        <v>45687</v>
      </c>
      <c r="I3801" s="9" t="s">
        <v>62</v>
      </c>
      <c r="J3801" s="9" t="s">
        <v>51</v>
      </c>
      <c r="K3801" s="9" t="n">
        <v>47</v>
      </c>
      <c r="L3801" s="9" t="n">
        <v>1</v>
      </c>
      <c r="M3801" s="9" t="n">
        <v>0</v>
      </c>
      <c r="N3801" s="9" t="s">
        <v>42</v>
      </c>
      <c r="O3801" s="9" t="s">
        <v>67</v>
      </c>
      <c r="P3801" s="9" t="n">
        <v>8.7</v>
      </c>
      <c r="Q3801" s="9" t="n">
        <v>23</v>
      </c>
      <c r="R3801" s="9" t="s">
        <v>53</v>
      </c>
      <c r="S3801" s="9"/>
      <c r="T3801" s="9"/>
      <c r="U3801" s="9" t="str">
        <f aca="false">IF(COUNTIF($A$2:$A$5001,A3801)&gt;1,"Duplicate","Unique")</f>
        <v>Unique</v>
      </c>
      <c r="V3801" s="9" t="str">
        <f aca="false">IF(COUNTIFS($B$2:$B$5001,B3801,$H$2:$H$5001,H3801,$J$2:$J$5001,J3801)&gt;1,"Possible Duplicate Booking","Unique")</f>
        <v>Unique</v>
      </c>
      <c r="W3801" s="9" t="str">
        <f aca="false">IF((H3801-G3801)&lt;&gt;K3801,"Mismatch","OK")</f>
        <v>OK</v>
      </c>
      <c r="X3801" s="9" t="str">
        <f aca="false">IF(TEXT(H3801,"dddd")&lt;&gt;I3801,"Mismatch","OK")</f>
        <v>OK</v>
      </c>
      <c r="Y3801" s="9" t="str">
        <f aca="false">IF(AND(N3801="No",O3801&lt;&gt;""),"Unexpected: channel present but no reminder sent",IF(AND(N3801="Yes",O3801=""),"Missing channel for sent reminder","OK"))</f>
        <v>OK</v>
      </c>
    </row>
    <row r="3802" customFormat="false" ht="15" hidden="false" customHeight="false" outlineLevel="0" collapsed="false">
      <c r="A3802" s="7" t="s">
        <v>5454</v>
      </c>
      <c r="B3802" s="7" t="s">
        <v>5455</v>
      </c>
      <c r="C3802" s="7" t="s">
        <v>37</v>
      </c>
      <c r="D3802" s="7" t="n">
        <v>43</v>
      </c>
      <c r="E3802" s="7" t="s">
        <v>38</v>
      </c>
      <c r="F3802" s="7" t="s">
        <v>39</v>
      </c>
      <c r="G3802" s="8" t="n">
        <v>46121</v>
      </c>
      <c r="H3802" s="8" t="n">
        <v>46162</v>
      </c>
      <c r="I3802" s="7" t="s">
        <v>58</v>
      </c>
      <c r="J3802" s="7" t="s">
        <v>51</v>
      </c>
      <c r="K3802" s="7" t="n">
        <v>41</v>
      </c>
      <c r="L3802" s="7" t="n">
        <v>2</v>
      </c>
      <c r="M3802" s="7" t="n">
        <v>0</v>
      </c>
      <c r="N3802" s="7" t="s">
        <v>71</v>
      </c>
      <c r="O3802" s="7"/>
      <c r="P3802" s="7" t="n">
        <v>15</v>
      </c>
      <c r="Q3802" s="7" t="n">
        <v>29</v>
      </c>
      <c r="R3802" s="7" t="s">
        <v>44</v>
      </c>
      <c r="S3802" s="7"/>
      <c r="T3802" s="7"/>
      <c r="U3802" s="7" t="str">
        <f aca="false">IF(COUNTIF($A$2:$A$5001,A3802)&gt;1,"Duplicate","Unique")</f>
        <v>Unique</v>
      </c>
      <c r="V3802" s="7" t="str">
        <f aca="false">IF(COUNTIFS($B$2:$B$5001,B3802,$H$2:$H$5001,H3802,$J$2:$J$5001,J3802)&gt;1,"Possible Duplicate Booking","Unique")</f>
        <v>Unique</v>
      </c>
      <c r="W3802" s="7" t="str">
        <f aca="false">IF((H3802-G3802)&lt;&gt;K3802,"Mismatch","OK")</f>
        <v>OK</v>
      </c>
      <c r="X3802" s="7" t="str">
        <f aca="false">IF(TEXT(H3802,"dddd")&lt;&gt;I3802,"Mismatch","OK")</f>
        <v>OK</v>
      </c>
      <c r="Y3802" s="7" t="str">
        <f aca="false">IF(AND(N3802="No",O3802&lt;&gt;""),"Unexpected: channel present but no reminder sent",IF(AND(N3802="Yes",O3802=""),"Missing channel for sent reminder","OK"))</f>
        <v>OK</v>
      </c>
    </row>
    <row r="3803" customFormat="false" ht="15" hidden="false" customHeight="false" outlineLevel="0" collapsed="false">
      <c r="A3803" s="9" t="s">
        <v>5456</v>
      </c>
      <c r="B3803" s="9" t="s">
        <v>4002</v>
      </c>
      <c r="C3803" s="9" t="s">
        <v>37</v>
      </c>
      <c r="D3803" s="9" t="n">
        <v>40</v>
      </c>
      <c r="E3803" s="9" t="s">
        <v>38</v>
      </c>
      <c r="F3803" s="9" t="s">
        <v>74</v>
      </c>
      <c r="G3803" s="10" t="n">
        <v>45927</v>
      </c>
      <c r="H3803" s="10" t="n">
        <v>45975</v>
      </c>
      <c r="I3803" s="9" t="s">
        <v>50</v>
      </c>
      <c r="J3803" s="9" t="s">
        <v>41</v>
      </c>
      <c r="K3803" s="9" t="n">
        <v>48</v>
      </c>
      <c r="L3803" s="9" t="n">
        <v>4</v>
      </c>
      <c r="M3803" s="9" t="n">
        <v>1</v>
      </c>
      <c r="N3803" s="9" t="s">
        <v>42</v>
      </c>
      <c r="O3803" s="9" t="s">
        <v>52</v>
      </c>
      <c r="P3803" s="9" t="n">
        <v>3.4</v>
      </c>
      <c r="Q3803" s="9" t="n">
        <v>16</v>
      </c>
      <c r="R3803" s="9" t="s">
        <v>44</v>
      </c>
      <c r="S3803" s="9"/>
      <c r="T3803" s="9"/>
      <c r="U3803" s="9" t="str">
        <f aca="false">IF(COUNTIF($A$2:$A$5001,A3803)&gt;1,"Duplicate","Unique")</f>
        <v>Unique</v>
      </c>
      <c r="V3803" s="9" t="str">
        <f aca="false">IF(COUNTIFS($B$2:$B$5001,B3803,$H$2:$H$5001,H3803,$J$2:$J$5001,J3803)&gt;1,"Possible Duplicate Booking","Unique")</f>
        <v>Unique</v>
      </c>
      <c r="W3803" s="9" t="str">
        <f aca="false">IF((H3803-G3803)&lt;&gt;K3803,"Mismatch","OK")</f>
        <v>OK</v>
      </c>
      <c r="X3803" s="9" t="str">
        <f aca="false">IF(TEXT(H3803,"dddd")&lt;&gt;I3803,"Mismatch","OK")</f>
        <v>OK</v>
      </c>
      <c r="Y3803" s="9" t="str">
        <f aca="false">IF(AND(N3803="No",O3803&lt;&gt;""),"Unexpected: channel present but no reminder sent",IF(AND(N3803="Yes",O3803=""),"Missing channel for sent reminder","OK"))</f>
        <v>OK</v>
      </c>
    </row>
    <row r="3804" customFormat="false" ht="15" hidden="false" customHeight="false" outlineLevel="0" collapsed="false">
      <c r="A3804" s="7" t="s">
        <v>5457</v>
      </c>
      <c r="B3804" s="7" t="s">
        <v>5056</v>
      </c>
      <c r="C3804" s="7" t="s">
        <v>47</v>
      </c>
      <c r="D3804" s="7" t="n">
        <v>67</v>
      </c>
      <c r="E3804" s="7" t="s">
        <v>70</v>
      </c>
      <c r="F3804" s="7" t="s">
        <v>74</v>
      </c>
      <c r="G3804" s="8" t="n">
        <v>46050</v>
      </c>
      <c r="H3804" s="8" t="n">
        <v>46097</v>
      </c>
      <c r="I3804" s="7" t="s">
        <v>66</v>
      </c>
      <c r="J3804" s="7" t="s">
        <v>51</v>
      </c>
      <c r="K3804" s="7" t="n">
        <v>47</v>
      </c>
      <c r="L3804" s="7" t="n">
        <v>3</v>
      </c>
      <c r="M3804" s="7" t="n">
        <v>1</v>
      </c>
      <c r="N3804" s="7" t="s">
        <v>42</v>
      </c>
      <c r="O3804" s="7" t="s">
        <v>67</v>
      </c>
      <c r="P3804" s="7" t="n">
        <v>21.9</v>
      </c>
      <c r="Q3804" s="7" t="n">
        <v>17</v>
      </c>
      <c r="R3804" s="7" t="s">
        <v>44</v>
      </c>
      <c r="S3804" s="7"/>
      <c r="T3804" s="7"/>
      <c r="U3804" s="7" t="str">
        <f aca="false">IF(COUNTIF($A$2:$A$5001,A3804)&gt;1,"Duplicate","Unique")</f>
        <v>Unique</v>
      </c>
      <c r="V3804" s="7" t="str">
        <f aca="false">IF(COUNTIFS($B$2:$B$5001,B3804,$H$2:$H$5001,H3804,$J$2:$J$5001,J3804)&gt;1,"Possible Duplicate Booking","Unique")</f>
        <v>Unique</v>
      </c>
      <c r="W3804" s="7" t="str">
        <f aca="false">IF((H3804-G3804)&lt;&gt;K3804,"Mismatch","OK")</f>
        <v>OK</v>
      </c>
      <c r="X3804" s="7" t="str">
        <f aca="false">IF(TEXT(H3804,"dddd")&lt;&gt;I3804,"Mismatch","OK")</f>
        <v>OK</v>
      </c>
      <c r="Y3804" s="7" t="str">
        <f aca="false">IF(AND(N3804="No",O3804&lt;&gt;""),"Unexpected: channel present but no reminder sent",IF(AND(N3804="Yes",O3804=""),"Missing channel for sent reminder","OK"))</f>
        <v>OK</v>
      </c>
    </row>
    <row r="3805" customFormat="false" ht="15" hidden="false" customHeight="false" outlineLevel="0" collapsed="false">
      <c r="A3805" s="9" t="s">
        <v>5458</v>
      </c>
      <c r="B3805" s="9" t="s">
        <v>704</v>
      </c>
      <c r="C3805" s="9" t="s">
        <v>47</v>
      </c>
      <c r="D3805" s="9" t="n">
        <v>51</v>
      </c>
      <c r="E3805" s="9" t="s">
        <v>56</v>
      </c>
      <c r="F3805" s="9" t="s">
        <v>49</v>
      </c>
      <c r="G3805" s="10" t="n">
        <v>45624</v>
      </c>
      <c r="H3805" s="10" t="n">
        <v>45669</v>
      </c>
      <c r="I3805" s="9" t="s">
        <v>75</v>
      </c>
      <c r="J3805" s="9" t="s">
        <v>51</v>
      </c>
      <c r="K3805" s="9" t="n">
        <v>45</v>
      </c>
      <c r="L3805" s="9" t="n">
        <v>4</v>
      </c>
      <c r="M3805" s="9" t="n">
        <v>0</v>
      </c>
      <c r="N3805" s="9" t="s">
        <v>42</v>
      </c>
      <c r="O3805" s="9" t="s">
        <v>43</v>
      </c>
      <c r="P3805" s="9" t="n">
        <v>13.9</v>
      </c>
      <c r="Q3805" s="9" t="n">
        <v>32</v>
      </c>
      <c r="R3805" s="9" t="s">
        <v>53</v>
      </c>
      <c r="S3805" s="9"/>
      <c r="T3805" s="9"/>
      <c r="U3805" s="9" t="str">
        <f aca="false">IF(COUNTIF($A$2:$A$5001,A3805)&gt;1,"Duplicate","Unique")</f>
        <v>Unique</v>
      </c>
      <c r="V3805" s="9" t="str">
        <f aca="false">IF(COUNTIFS($B$2:$B$5001,B3805,$H$2:$H$5001,H3805,$J$2:$J$5001,J3805)&gt;1,"Possible Duplicate Booking","Unique")</f>
        <v>Unique</v>
      </c>
      <c r="W3805" s="9" t="str">
        <f aca="false">IF((H3805-G3805)&lt;&gt;K3805,"Mismatch","OK")</f>
        <v>OK</v>
      </c>
      <c r="X3805" s="9" t="str">
        <f aca="false">IF(TEXT(H3805,"dddd")&lt;&gt;I3805,"Mismatch","OK")</f>
        <v>OK</v>
      </c>
      <c r="Y3805" s="9" t="str">
        <f aca="false">IF(AND(N3805="No",O3805&lt;&gt;""),"Unexpected: channel present but no reminder sent",IF(AND(N3805="Yes",O3805=""),"Missing channel for sent reminder","OK"))</f>
        <v>OK</v>
      </c>
    </row>
    <row r="3806" customFormat="false" ht="15" hidden="false" customHeight="false" outlineLevel="0" collapsed="false">
      <c r="A3806" s="7" t="s">
        <v>5459</v>
      </c>
      <c r="B3806" s="7" t="s">
        <v>5460</v>
      </c>
      <c r="C3806" s="7" t="s">
        <v>47</v>
      </c>
      <c r="D3806" s="7" t="n">
        <v>63</v>
      </c>
      <c r="E3806" s="7" t="s">
        <v>61</v>
      </c>
      <c r="F3806" s="7" t="s">
        <v>49</v>
      </c>
      <c r="G3806" s="8" t="n">
        <v>45639</v>
      </c>
      <c r="H3806" s="8" t="n">
        <v>45670</v>
      </c>
      <c r="I3806" s="7" t="s">
        <v>66</v>
      </c>
      <c r="J3806" s="7" t="s">
        <v>63</v>
      </c>
      <c r="K3806" s="7" t="n">
        <v>31</v>
      </c>
      <c r="L3806" s="7" t="n">
        <v>1</v>
      </c>
      <c r="M3806" s="7" t="n">
        <v>0</v>
      </c>
      <c r="N3806" s="7" t="s">
        <v>42</v>
      </c>
      <c r="O3806" s="7" t="s">
        <v>43</v>
      </c>
      <c r="P3806" s="7" t="n">
        <v>5.8</v>
      </c>
      <c r="Q3806" s="7" t="n">
        <v>15</v>
      </c>
      <c r="R3806" s="7" t="s">
        <v>44</v>
      </c>
      <c r="S3806" s="7"/>
      <c r="T3806" s="7"/>
      <c r="U3806" s="7" t="str">
        <f aca="false">IF(COUNTIF($A$2:$A$5001,A3806)&gt;1,"Duplicate","Unique")</f>
        <v>Unique</v>
      </c>
      <c r="V3806" s="7" t="str">
        <f aca="false">IF(COUNTIFS($B$2:$B$5001,B3806,$H$2:$H$5001,H3806,$J$2:$J$5001,J3806)&gt;1,"Possible Duplicate Booking","Unique")</f>
        <v>Unique</v>
      </c>
      <c r="W3806" s="7" t="str">
        <f aca="false">IF((H3806-G3806)&lt;&gt;K3806,"Mismatch","OK")</f>
        <v>OK</v>
      </c>
      <c r="X3806" s="7" t="str">
        <f aca="false">IF(TEXT(H3806,"dddd")&lt;&gt;I3806,"Mismatch","OK")</f>
        <v>OK</v>
      </c>
      <c r="Y3806" s="7" t="str">
        <f aca="false">IF(AND(N3806="No",O3806&lt;&gt;""),"Unexpected: channel present but no reminder sent",IF(AND(N3806="Yes",O3806=""),"Missing channel for sent reminder","OK"))</f>
        <v>OK</v>
      </c>
    </row>
    <row r="3807" customFormat="false" ht="15" hidden="false" customHeight="false" outlineLevel="0" collapsed="false">
      <c r="A3807" s="9" t="s">
        <v>5461</v>
      </c>
      <c r="B3807" s="9" t="s">
        <v>3287</v>
      </c>
      <c r="C3807" s="9" t="s">
        <v>37</v>
      </c>
      <c r="D3807" s="9" t="n">
        <v>61</v>
      </c>
      <c r="E3807" s="9" t="s">
        <v>61</v>
      </c>
      <c r="F3807" s="9" t="s">
        <v>39</v>
      </c>
      <c r="G3807" s="10" t="n">
        <v>46120</v>
      </c>
      <c r="H3807" s="10" t="n">
        <v>46121</v>
      </c>
      <c r="I3807" s="9" t="s">
        <v>62</v>
      </c>
      <c r="J3807" s="9" t="s">
        <v>41</v>
      </c>
      <c r="K3807" s="9" t="n">
        <v>1</v>
      </c>
      <c r="L3807" s="9" t="n">
        <v>3</v>
      </c>
      <c r="M3807" s="9" t="n">
        <v>0</v>
      </c>
      <c r="N3807" s="9" t="s">
        <v>42</v>
      </c>
      <c r="O3807" s="9" t="s">
        <v>52</v>
      </c>
      <c r="P3807" s="9" t="n">
        <v>15.4</v>
      </c>
      <c r="Q3807" s="9" t="n">
        <v>14</v>
      </c>
      <c r="R3807" s="9" t="s">
        <v>87</v>
      </c>
      <c r="S3807" s="9"/>
      <c r="T3807" s="9"/>
      <c r="U3807" s="9" t="str">
        <f aca="false">IF(COUNTIF($A$2:$A$5001,A3807)&gt;1,"Duplicate","Unique")</f>
        <v>Unique</v>
      </c>
      <c r="V3807" s="9" t="str">
        <f aca="false">IF(COUNTIFS($B$2:$B$5001,B3807,$H$2:$H$5001,H3807,$J$2:$J$5001,J3807)&gt;1,"Possible Duplicate Booking","Unique")</f>
        <v>Unique</v>
      </c>
      <c r="W3807" s="9" t="str">
        <f aca="false">IF((H3807-G3807)&lt;&gt;K3807,"Mismatch","OK")</f>
        <v>OK</v>
      </c>
      <c r="X3807" s="9" t="str">
        <f aca="false">IF(TEXT(H3807,"dddd")&lt;&gt;I3807,"Mismatch","OK")</f>
        <v>OK</v>
      </c>
      <c r="Y3807" s="9" t="str">
        <f aca="false">IF(AND(N3807="No",O3807&lt;&gt;""),"Unexpected: channel present but no reminder sent",IF(AND(N3807="Yes",O3807=""),"Missing channel for sent reminder","OK"))</f>
        <v>OK</v>
      </c>
    </row>
    <row r="3808" customFormat="false" ht="15" hidden="false" customHeight="false" outlineLevel="0" collapsed="false">
      <c r="A3808" s="7" t="s">
        <v>5462</v>
      </c>
      <c r="B3808" s="7" t="s">
        <v>314</v>
      </c>
      <c r="C3808" s="7" t="s">
        <v>47</v>
      </c>
      <c r="D3808" s="7" t="n">
        <v>70</v>
      </c>
      <c r="E3808" s="7" t="s">
        <v>70</v>
      </c>
      <c r="F3808" s="7" t="s">
        <v>57</v>
      </c>
      <c r="G3808" s="8" t="n">
        <v>45678</v>
      </c>
      <c r="H3808" s="8" t="n">
        <v>45714</v>
      </c>
      <c r="I3808" s="7" t="s">
        <v>58</v>
      </c>
      <c r="J3808" s="7" t="s">
        <v>41</v>
      </c>
      <c r="K3808" s="7" t="n">
        <v>36</v>
      </c>
      <c r="L3808" s="7" t="n">
        <v>4</v>
      </c>
      <c r="M3808" s="7" t="n">
        <v>1</v>
      </c>
      <c r="N3808" s="7" t="s">
        <v>42</v>
      </c>
      <c r="O3808" s="7" t="s">
        <v>52</v>
      </c>
      <c r="P3808" s="7" t="n">
        <v>3.8</v>
      </c>
      <c r="Q3808" s="7" t="n">
        <v>48</v>
      </c>
      <c r="R3808" s="7" t="s">
        <v>44</v>
      </c>
      <c r="S3808" s="7"/>
      <c r="T3808" s="7"/>
      <c r="U3808" s="7" t="str">
        <f aca="false">IF(COUNTIF($A$2:$A$5001,A3808)&gt;1,"Duplicate","Unique")</f>
        <v>Unique</v>
      </c>
      <c r="V3808" s="7" t="str">
        <f aca="false">IF(COUNTIFS($B$2:$B$5001,B3808,$H$2:$H$5001,H3808,$J$2:$J$5001,J3808)&gt;1,"Possible Duplicate Booking","Unique")</f>
        <v>Unique</v>
      </c>
      <c r="W3808" s="7" t="str">
        <f aca="false">IF((H3808-G3808)&lt;&gt;K3808,"Mismatch","OK")</f>
        <v>OK</v>
      </c>
      <c r="X3808" s="7" t="str">
        <f aca="false">IF(TEXT(H3808,"dddd")&lt;&gt;I3808,"Mismatch","OK")</f>
        <v>OK</v>
      </c>
      <c r="Y3808" s="7" t="str">
        <f aca="false">IF(AND(N3808="No",O3808&lt;&gt;""),"Unexpected: channel present but no reminder sent",IF(AND(N3808="Yes",O3808=""),"Missing channel for sent reminder","OK"))</f>
        <v>OK</v>
      </c>
    </row>
    <row r="3809" customFormat="false" ht="15" hidden="false" customHeight="false" outlineLevel="0" collapsed="false">
      <c r="A3809" s="9" t="s">
        <v>5463</v>
      </c>
      <c r="B3809" s="9" t="s">
        <v>4015</v>
      </c>
      <c r="C3809" s="9" t="s">
        <v>37</v>
      </c>
      <c r="D3809" s="9" t="n">
        <v>37</v>
      </c>
      <c r="E3809" s="9" t="s">
        <v>38</v>
      </c>
      <c r="F3809" s="9" t="s">
        <v>49</v>
      </c>
      <c r="G3809" s="10" t="n">
        <v>45726</v>
      </c>
      <c r="H3809" s="10" t="n">
        <v>45742</v>
      </c>
      <c r="I3809" s="9" t="s">
        <v>58</v>
      </c>
      <c r="J3809" s="9" t="s">
        <v>41</v>
      </c>
      <c r="K3809" s="9" t="n">
        <v>16</v>
      </c>
      <c r="L3809" s="9" t="n">
        <v>3</v>
      </c>
      <c r="M3809" s="9" t="n">
        <v>0</v>
      </c>
      <c r="N3809" s="9" t="s">
        <v>42</v>
      </c>
      <c r="O3809" s="9" t="s">
        <v>43</v>
      </c>
      <c r="P3809" s="9" t="n">
        <v>19.9</v>
      </c>
      <c r="Q3809" s="9" t="n">
        <v>18</v>
      </c>
      <c r="R3809" s="9" t="s">
        <v>44</v>
      </c>
      <c r="S3809" s="9"/>
      <c r="T3809" s="9"/>
      <c r="U3809" s="9" t="str">
        <f aca="false">IF(COUNTIF($A$2:$A$5001,A3809)&gt;1,"Duplicate","Unique")</f>
        <v>Unique</v>
      </c>
      <c r="V3809" s="9" t="str">
        <f aca="false">IF(COUNTIFS($B$2:$B$5001,B3809,$H$2:$H$5001,H3809,$J$2:$J$5001,J3809)&gt;1,"Possible Duplicate Booking","Unique")</f>
        <v>Unique</v>
      </c>
      <c r="W3809" s="9" t="str">
        <f aca="false">IF((H3809-G3809)&lt;&gt;K3809,"Mismatch","OK")</f>
        <v>OK</v>
      </c>
      <c r="X3809" s="9" t="str">
        <f aca="false">IF(TEXT(H3809,"dddd")&lt;&gt;I3809,"Mismatch","OK")</f>
        <v>OK</v>
      </c>
      <c r="Y3809" s="9" t="str">
        <f aca="false">IF(AND(N3809="No",O3809&lt;&gt;""),"Unexpected: channel present but no reminder sent",IF(AND(N3809="Yes",O3809=""),"Missing channel for sent reminder","OK"))</f>
        <v>OK</v>
      </c>
    </row>
    <row r="3810" customFormat="false" ht="15" hidden="false" customHeight="false" outlineLevel="0" collapsed="false">
      <c r="A3810" s="7" t="s">
        <v>5464</v>
      </c>
      <c r="B3810" s="7" t="s">
        <v>124</v>
      </c>
      <c r="C3810" s="7" t="s">
        <v>47</v>
      </c>
      <c r="D3810" s="7" t="n">
        <v>22</v>
      </c>
      <c r="E3810" s="7" t="s">
        <v>82</v>
      </c>
      <c r="F3810" s="7" t="s">
        <v>57</v>
      </c>
      <c r="G3810" s="8" t="n">
        <v>45894</v>
      </c>
      <c r="H3810" s="8" t="n">
        <v>45941</v>
      </c>
      <c r="I3810" s="7" t="s">
        <v>102</v>
      </c>
      <c r="J3810" s="7" t="s">
        <v>63</v>
      </c>
      <c r="K3810" s="7" t="n">
        <v>47</v>
      </c>
      <c r="L3810" s="7" t="n">
        <v>5</v>
      </c>
      <c r="M3810" s="7" t="n">
        <v>0</v>
      </c>
      <c r="N3810" s="7" t="s">
        <v>71</v>
      </c>
      <c r="O3810" s="7"/>
      <c r="P3810" s="7" t="n">
        <v>2</v>
      </c>
      <c r="Q3810" s="7" t="n">
        <v>4</v>
      </c>
      <c r="R3810" s="7" t="s">
        <v>44</v>
      </c>
      <c r="S3810" s="7"/>
      <c r="T3810" s="7"/>
      <c r="U3810" s="7" t="str">
        <f aca="false">IF(COUNTIF($A$2:$A$5001,A3810)&gt;1,"Duplicate","Unique")</f>
        <v>Unique</v>
      </c>
      <c r="V3810" s="7" t="str">
        <f aca="false">IF(COUNTIFS($B$2:$B$5001,B3810,$H$2:$H$5001,H3810,$J$2:$J$5001,J3810)&gt;1,"Possible Duplicate Booking","Unique")</f>
        <v>Unique</v>
      </c>
      <c r="W3810" s="7" t="str">
        <f aca="false">IF((H3810-G3810)&lt;&gt;K3810,"Mismatch","OK")</f>
        <v>OK</v>
      </c>
      <c r="X3810" s="7" t="str">
        <f aca="false">IF(TEXT(H3810,"dddd")&lt;&gt;I3810,"Mismatch","OK")</f>
        <v>OK</v>
      </c>
      <c r="Y3810" s="7" t="str">
        <f aca="false">IF(AND(N3810="No",O3810&lt;&gt;""),"Unexpected: channel present but no reminder sent",IF(AND(N3810="Yes",O3810=""),"Missing channel for sent reminder","OK"))</f>
        <v>OK</v>
      </c>
    </row>
    <row r="3811" customFormat="false" ht="15" hidden="false" customHeight="false" outlineLevel="0" collapsed="false">
      <c r="A3811" s="9" t="s">
        <v>5465</v>
      </c>
      <c r="B3811" s="9" t="s">
        <v>46</v>
      </c>
      <c r="C3811" s="9" t="s">
        <v>37</v>
      </c>
      <c r="D3811" s="9" t="n">
        <v>48</v>
      </c>
      <c r="E3811" s="9" t="s">
        <v>56</v>
      </c>
      <c r="F3811" s="9" t="s">
        <v>57</v>
      </c>
      <c r="G3811" s="10" t="n">
        <v>45961</v>
      </c>
      <c r="H3811" s="10" t="n">
        <v>45989</v>
      </c>
      <c r="I3811" s="9" t="s">
        <v>50</v>
      </c>
      <c r="J3811" s="9" t="s">
        <v>63</v>
      </c>
      <c r="K3811" s="9" t="n">
        <v>28</v>
      </c>
      <c r="L3811" s="9" t="n">
        <v>5</v>
      </c>
      <c r="M3811" s="9" t="n">
        <v>0</v>
      </c>
      <c r="N3811" s="9" t="s">
        <v>42</v>
      </c>
      <c r="O3811" s="9" t="s">
        <v>67</v>
      </c>
      <c r="P3811" s="9" t="n">
        <v>3.1</v>
      </c>
      <c r="Q3811" s="9" t="n">
        <v>10</v>
      </c>
      <c r="R3811" s="9" t="s">
        <v>44</v>
      </c>
      <c r="S3811" s="9"/>
      <c r="T3811" s="9"/>
      <c r="U3811" s="9" t="str">
        <f aca="false">IF(COUNTIF($A$2:$A$5001,A3811)&gt;1,"Duplicate","Unique")</f>
        <v>Unique</v>
      </c>
      <c r="V3811" s="9" t="str">
        <f aca="false">IF(COUNTIFS($B$2:$B$5001,B3811,$H$2:$H$5001,H3811,$J$2:$J$5001,J3811)&gt;1,"Possible Duplicate Booking","Unique")</f>
        <v>Unique</v>
      </c>
      <c r="W3811" s="9" t="str">
        <f aca="false">IF((H3811-G3811)&lt;&gt;K3811,"Mismatch","OK")</f>
        <v>OK</v>
      </c>
      <c r="X3811" s="9" t="str">
        <f aca="false">IF(TEXT(H3811,"dddd")&lt;&gt;I3811,"Mismatch","OK")</f>
        <v>OK</v>
      </c>
      <c r="Y3811" s="9" t="str">
        <f aca="false">IF(AND(N3811="No",O3811&lt;&gt;""),"Unexpected: channel present but no reminder sent",IF(AND(N3811="Yes",O3811=""),"Missing channel for sent reminder","OK"))</f>
        <v>OK</v>
      </c>
    </row>
    <row r="3812" customFormat="false" ht="15" hidden="false" customHeight="false" outlineLevel="0" collapsed="false">
      <c r="A3812" s="7" t="s">
        <v>5466</v>
      </c>
      <c r="B3812" s="7" t="s">
        <v>4041</v>
      </c>
      <c r="C3812" s="7" t="s">
        <v>47</v>
      </c>
      <c r="D3812" s="7" t="n">
        <v>58</v>
      </c>
      <c r="E3812" s="7" t="s">
        <v>61</v>
      </c>
      <c r="F3812" s="7" t="s">
        <v>57</v>
      </c>
      <c r="G3812" s="8" t="n">
        <v>45727</v>
      </c>
      <c r="H3812" s="8" t="n">
        <v>45782</v>
      </c>
      <c r="I3812" s="7" t="s">
        <v>66</v>
      </c>
      <c r="J3812" s="7" t="s">
        <v>41</v>
      </c>
      <c r="K3812" s="7" t="n">
        <v>55</v>
      </c>
      <c r="L3812" s="7" t="n">
        <v>1</v>
      </c>
      <c r="M3812" s="7" t="n">
        <v>0</v>
      </c>
      <c r="N3812" s="7" t="s">
        <v>42</v>
      </c>
      <c r="O3812" s="7" t="s">
        <v>52</v>
      </c>
      <c r="P3812" s="7" t="n">
        <v>4.9</v>
      </c>
      <c r="Q3812" s="7" t="n">
        <v>2</v>
      </c>
      <c r="R3812" s="7" t="s">
        <v>44</v>
      </c>
      <c r="S3812" s="7"/>
      <c r="T3812" s="7"/>
      <c r="U3812" s="7" t="str">
        <f aca="false">IF(COUNTIF($A$2:$A$5001,A3812)&gt;1,"Duplicate","Unique")</f>
        <v>Unique</v>
      </c>
      <c r="V3812" s="7" t="str">
        <f aca="false">IF(COUNTIFS($B$2:$B$5001,B3812,$H$2:$H$5001,H3812,$J$2:$J$5001,J3812)&gt;1,"Possible Duplicate Booking","Unique")</f>
        <v>Unique</v>
      </c>
      <c r="W3812" s="7" t="str">
        <f aca="false">IF((H3812-G3812)&lt;&gt;K3812,"Mismatch","OK")</f>
        <v>OK</v>
      </c>
      <c r="X3812" s="7" t="str">
        <f aca="false">IF(TEXT(H3812,"dddd")&lt;&gt;I3812,"Mismatch","OK")</f>
        <v>OK</v>
      </c>
      <c r="Y3812" s="7" t="str">
        <f aca="false">IF(AND(N3812="No",O3812&lt;&gt;""),"Unexpected: channel present but no reminder sent",IF(AND(N3812="Yes",O3812=""),"Missing channel for sent reminder","OK"))</f>
        <v>OK</v>
      </c>
    </row>
    <row r="3813" customFormat="false" ht="15" hidden="false" customHeight="false" outlineLevel="0" collapsed="false">
      <c r="A3813" s="9" t="s">
        <v>5467</v>
      </c>
      <c r="B3813" s="9" t="s">
        <v>3334</v>
      </c>
      <c r="C3813" s="9" t="s">
        <v>47</v>
      </c>
      <c r="D3813" s="9" t="n">
        <v>69</v>
      </c>
      <c r="E3813" s="9" t="s">
        <v>70</v>
      </c>
      <c r="F3813" s="9" t="s">
        <v>39</v>
      </c>
      <c r="G3813" s="10" t="n">
        <v>45864</v>
      </c>
      <c r="H3813" s="10" t="n">
        <v>45900</v>
      </c>
      <c r="I3813" s="9" t="s">
        <v>75</v>
      </c>
      <c r="J3813" s="9" t="s">
        <v>41</v>
      </c>
      <c r="K3813" s="9" t="n">
        <v>36</v>
      </c>
      <c r="L3813" s="9" t="n">
        <v>1</v>
      </c>
      <c r="M3813" s="9" t="n">
        <v>1</v>
      </c>
      <c r="N3813" s="9" t="s">
        <v>42</v>
      </c>
      <c r="O3813" s="9" t="s">
        <v>43</v>
      </c>
      <c r="P3813" s="9" t="n">
        <v>5.2</v>
      </c>
      <c r="Q3813" s="9" t="n">
        <v>42</v>
      </c>
      <c r="R3813" s="9" t="s">
        <v>44</v>
      </c>
      <c r="S3813" s="9"/>
      <c r="T3813" s="9"/>
      <c r="U3813" s="9" t="str">
        <f aca="false">IF(COUNTIF($A$2:$A$5001,A3813)&gt;1,"Duplicate","Unique")</f>
        <v>Unique</v>
      </c>
      <c r="V3813" s="9" t="str">
        <f aca="false">IF(COUNTIFS($B$2:$B$5001,B3813,$H$2:$H$5001,H3813,$J$2:$J$5001,J3813)&gt;1,"Possible Duplicate Booking","Unique")</f>
        <v>Unique</v>
      </c>
      <c r="W3813" s="9" t="str">
        <f aca="false">IF((H3813-G3813)&lt;&gt;K3813,"Mismatch","OK")</f>
        <v>OK</v>
      </c>
      <c r="X3813" s="9" t="str">
        <f aca="false">IF(TEXT(H3813,"dddd")&lt;&gt;I3813,"Mismatch","OK")</f>
        <v>OK</v>
      </c>
      <c r="Y3813" s="9" t="str">
        <f aca="false">IF(AND(N3813="No",O3813&lt;&gt;""),"Unexpected: channel present but no reminder sent",IF(AND(N3813="Yes",O3813=""),"Missing channel for sent reminder","OK"))</f>
        <v>OK</v>
      </c>
    </row>
    <row r="3814" customFormat="false" ht="15" hidden="false" customHeight="false" outlineLevel="0" collapsed="false">
      <c r="A3814" s="7" t="s">
        <v>5468</v>
      </c>
      <c r="B3814" s="7" t="s">
        <v>2033</v>
      </c>
      <c r="C3814" s="7" t="s">
        <v>47</v>
      </c>
      <c r="D3814" s="7" t="n">
        <v>34</v>
      </c>
      <c r="E3814" s="7" t="s">
        <v>48</v>
      </c>
      <c r="F3814" s="7" t="s">
        <v>39</v>
      </c>
      <c r="G3814" s="8" t="n">
        <v>45993</v>
      </c>
      <c r="H3814" s="8" t="n">
        <v>46026</v>
      </c>
      <c r="I3814" s="7" t="s">
        <v>75</v>
      </c>
      <c r="J3814" s="7" t="s">
        <v>63</v>
      </c>
      <c r="K3814" s="7" t="n">
        <v>33</v>
      </c>
      <c r="L3814" s="7" t="n">
        <v>4</v>
      </c>
      <c r="M3814" s="7" t="n">
        <v>1</v>
      </c>
      <c r="N3814" s="7" t="s">
        <v>42</v>
      </c>
      <c r="O3814" s="7" t="s">
        <v>43</v>
      </c>
      <c r="P3814" s="7" t="n">
        <v>10.7</v>
      </c>
      <c r="Q3814" s="7" t="n">
        <v>23</v>
      </c>
      <c r="R3814" s="7" t="s">
        <v>44</v>
      </c>
      <c r="S3814" s="7"/>
      <c r="T3814" s="7"/>
      <c r="U3814" s="7" t="str">
        <f aca="false">IF(COUNTIF($A$2:$A$5001,A3814)&gt;1,"Duplicate","Unique")</f>
        <v>Unique</v>
      </c>
      <c r="V3814" s="7" t="str">
        <f aca="false">IF(COUNTIFS($B$2:$B$5001,B3814,$H$2:$H$5001,H3814,$J$2:$J$5001,J3814)&gt;1,"Possible Duplicate Booking","Unique")</f>
        <v>Unique</v>
      </c>
      <c r="W3814" s="7" t="str">
        <f aca="false">IF((H3814-G3814)&lt;&gt;K3814,"Mismatch","OK")</f>
        <v>OK</v>
      </c>
      <c r="X3814" s="7" t="str">
        <f aca="false">IF(TEXT(H3814,"dddd")&lt;&gt;I3814,"Mismatch","OK")</f>
        <v>OK</v>
      </c>
      <c r="Y3814" s="7" t="str">
        <f aca="false">IF(AND(N3814="No",O3814&lt;&gt;""),"Unexpected: channel present but no reminder sent",IF(AND(N3814="Yes",O3814=""),"Missing channel for sent reminder","OK"))</f>
        <v>OK</v>
      </c>
    </row>
    <row r="3815" customFormat="false" ht="15" hidden="false" customHeight="false" outlineLevel="0" collapsed="false">
      <c r="A3815" s="9" t="s">
        <v>5469</v>
      </c>
      <c r="B3815" s="9" t="s">
        <v>3758</v>
      </c>
      <c r="C3815" s="9" t="s">
        <v>37</v>
      </c>
      <c r="D3815" s="9" t="n">
        <v>64</v>
      </c>
      <c r="E3815" s="9" t="s">
        <v>61</v>
      </c>
      <c r="F3815" s="9" t="s">
        <v>57</v>
      </c>
      <c r="G3815" s="10" t="n">
        <v>45843</v>
      </c>
      <c r="H3815" s="10" t="n">
        <v>45899</v>
      </c>
      <c r="I3815" s="9" t="s">
        <v>102</v>
      </c>
      <c r="J3815" s="9" t="s">
        <v>63</v>
      </c>
      <c r="K3815" s="9" t="n">
        <v>56</v>
      </c>
      <c r="L3815" s="9" t="n">
        <v>5</v>
      </c>
      <c r="M3815" s="9" t="n">
        <v>0</v>
      </c>
      <c r="N3815" s="9" t="s">
        <v>42</v>
      </c>
      <c r="O3815" s="9" t="s">
        <v>43</v>
      </c>
      <c r="P3815" s="9" t="n">
        <v>14.6</v>
      </c>
      <c r="Q3815" s="9" t="n">
        <v>13</v>
      </c>
      <c r="R3815" s="9" t="s">
        <v>87</v>
      </c>
      <c r="S3815" s="9"/>
      <c r="T3815" s="9"/>
      <c r="U3815" s="9" t="str">
        <f aca="false">IF(COUNTIF($A$2:$A$5001,A3815)&gt;1,"Duplicate","Unique")</f>
        <v>Unique</v>
      </c>
      <c r="V3815" s="9" t="str">
        <f aca="false">IF(COUNTIFS($B$2:$B$5001,B3815,$H$2:$H$5001,H3815,$J$2:$J$5001,J3815)&gt;1,"Possible Duplicate Booking","Unique")</f>
        <v>Unique</v>
      </c>
      <c r="W3815" s="9" t="str">
        <f aca="false">IF((H3815-G3815)&lt;&gt;K3815,"Mismatch","OK")</f>
        <v>OK</v>
      </c>
      <c r="X3815" s="9" t="str">
        <f aca="false">IF(TEXT(H3815,"dddd")&lt;&gt;I3815,"Mismatch","OK")</f>
        <v>OK</v>
      </c>
      <c r="Y3815" s="9" t="str">
        <f aca="false">IF(AND(N3815="No",O3815&lt;&gt;""),"Unexpected: channel present but no reminder sent",IF(AND(N3815="Yes",O3815=""),"Missing channel for sent reminder","OK"))</f>
        <v>OK</v>
      </c>
    </row>
    <row r="3816" customFormat="false" ht="15" hidden="false" customHeight="false" outlineLevel="0" collapsed="false">
      <c r="A3816" s="7" t="s">
        <v>5470</v>
      </c>
      <c r="B3816" s="7" t="s">
        <v>1337</v>
      </c>
      <c r="C3816" s="7" t="s">
        <v>47</v>
      </c>
      <c r="D3816" s="7" t="n">
        <v>70</v>
      </c>
      <c r="E3816" s="7" t="s">
        <v>70</v>
      </c>
      <c r="F3816" s="7" t="s">
        <v>57</v>
      </c>
      <c r="G3816" s="8" t="n">
        <v>45838</v>
      </c>
      <c r="H3816" s="8" t="n">
        <v>45866</v>
      </c>
      <c r="I3816" s="7" t="s">
        <v>66</v>
      </c>
      <c r="J3816" s="7" t="s">
        <v>51</v>
      </c>
      <c r="K3816" s="7" t="n">
        <v>28</v>
      </c>
      <c r="L3816" s="7" t="n">
        <v>6</v>
      </c>
      <c r="M3816" s="7" t="n">
        <v>2</v>
      </c>
      <c r="N3816" s="7" t="s">
        <v>42</v>
      </c>
      <c r="O3816" s="7" t="s">
        <v>67</v>
      </c>
      <c r="P3816" s="7" t="n">
        <v>2.4</v>
      </c>
      <c r="Q3816" s="7" t="n">
        <v>30</v>
      </c>
      <c r="R3816" s="7" t="s">
        <v>44</v>
      </c>
      <c r="S3816" s="7"/>
      <c r="T3816" s="7"/>
      <c r="U3816" s="7" t="str">
        <f aca="false">IF(COUNTIF($A$2:$A$5001,A3816)&gt;1,"Duplicate","Unique")</f>
        <v>Unique</v>
      </c>
      <c r="V3816" s="7" t="str">
        <f aca="false">IF(COUNTIFS($B$2:$B$5001,B3816,$H$2:$H$5001,H3816,$J$2:$J$5001,J3816)&gt;1,"Possible Duplicate Booking","Unique")</f>
        <v>Unique</v>
      </c>
      <c r="W3816" s="7" t="str">
        <f aca="false">IF((H3816-G3816)&lt;&gt;K3816,"Mismatch","OK")</f>
        <v>OK</v>
      </c>
      <c r="X3816" s="7" t="str">
        <f aca="false">IF(TEXT(H3816,"dddd")&lt;&gt;I3816,"Mismatch","OK")</f>
        <v>OK</v>
      </c>
      <c r="Y3816" s="7" t="str">
        <f aca="false">IF(AND(N3816="No",O3816&lt;&gt;""),"Unexpected: channel present but no reminder sent",IF(AND(N3816="Yes",O3816=""),"Missing channel for sent reminder","OK"))</f>
        <v>OK</v>
      </c>
    </row>
    <row r="3817" customFormat="false" ht="15" hidden="false" customHeight="false" outlineLevel="0" collapsed="false">
      <c r="A3817" s="9" t="s">
        <v>5471</v>
      </c>
      <c r="B3817" s="9" t="s">
        <v>1273</v>
      </c>
      <c r="C3817" s="9" t="s">
        <v>47</v>
      </c>
      <c r="D3817" s="9" t="n">
        <v>68</v>
      </c>
      <c r="E3817" s="9" t="s">
        <v>70</v>
      </c>
      <c r="F3817" s="9" t="s">
        <v>57</v>
      </c>
      <c r="G3817" s="10" t="n">
        <v>45675</v>
      </c>
      <c r="H3817" s="10" t="n">
        <v>45697</v>
      </c>
      <c r="I3817" s="9" t="s">
        <v>75</v>
      </c>
      <c r="J3817" s="9" t="s">
        <v>63</v>
      </c>
      <c r="K3817" s="9" t="n">
        <v>22</v>
      </c>
      <c r="L3817" s="9" t="n">
        <v>7</v>
      </c>
      <c r="M3817" s="9" t="n">
        <v>3</v>
      </c>
      <c r="N3817" s="9" t="s">
        <v>42</v>
      </c>
      <c r="O3817" s="9" t="s">
        <v>52</v>
      </c>
      <c r="P3817" s="9" t="n">
        <v>20.7</v>
      </c>
      <c r="Q3817" s="9" t="n">
        <v>43</v>
      </c>
      <c r="R3817" s="9" t="s">
        <v>53</v>
      </c>
      <c r="S3817" s="9"/>
      <c r="T3817" s="9"/>
      <c r="U3817" s="9" t="str">
        <f aca="false">IF(COUNTIF($A$2:$A$5001,A3817)&gt;1,"Duplicate","Unique")</f>
        <v>Unique</v>
      </c>
      <c r="V3817" s="9" t="str">
        <f aca="false">IF(COUNTIFS($B$2:$B$5001,B3817,$H$2:$H$5001,H3817,$J$2:$J$5001,J3817)&gt;1,"Possible Duplicate Booking","Unique")</f>
        <v>Unique</v>
      </c>
      <c r="W3817" s="9" t="str">
        <f aca="false">IF((H3817-G3817)&lt;&gt;K3817,"Mismatch","OK")</f>
        <v>OK</v>
      </c>
      <c r="X3817" s="9" t="str">
        <f aca="false">IF(TEXT(H3817,"dddd")&lt;&gt;I3817,"Mismatch","OK")</f>
        <v>OK</v>
      </c>
      <c r="Y3817" s="9" t="str">
        <f aca="false">IF(AND(N3817="No",O3817&lt;&gt;""),"Unexpected: channel present but no reminder sent",IF(AND(N3817="Yes",O3817=""),"Missing channel for sent reminder","OK"))</f>
        <v>OK</v>
      </c>
    </row>
    <row r="3818" customFormat="false" ht="15" hidden="false" customHeight="false" outlineLevel="0" collapsed="false">
      <c r="A3818" s="7" t="s">
        <v>5472</v>
      </c>
      <c r="B3818" s="7" t="s">
        <v>1625</v>
      </c>
      <c r="C3818" s="7" t="s">
        <v>37</v>
      </c>
      <c r="D3818" s="7" t="n">
        <v>68</v>
      </c>
      <c r="E3818" s="7" t="s">
        <v>70</v>
      </c>
      <c r="F3818" s="7" t="s">
        <v>57</v>
      </c>
      <c r="G3818" s="8" t="n">
        <v>45882</v>
      </c>
      <c r="H3818" s="8" t="n">
        <v>45904</v>
      </c>
      <c r="I3818" s="7" t="s">
        <v>62</v>
      </c>
      <c r="J3818" s="7" t="s">
        <v>41</v>
      </c>
      <c r="K3818" s="7" t="n">
        <v>22</v>
      </c>
      <c r="L3818" s="7" t="n">
        <v>7</v>
      </c>
      <c r="M3818" s="7" t="n">
        <v>0</v>
      </c>
      <c r="N3818" s="7" t="s">
        <v>42</v>
      </c>
      <c r="O3818" s="7" t="s">
        <v>52</v>
      </c>
      <c r="P3818" s="7" t="n">
        <v>12</v>
      </c>
      <c r="Q3818" s="7" t="n">
        <v>22</v>
      </c>
      <c r="R3818" s="7" t="s">
        <v>53</v>
      </c>
      <c r="S3818" s="7"/>
      <c r="T3818" s="7"/>
      <c r="U3818" s="7" t="str">
        <f aca="false">IF(COUNTIF($A$2:$A$5001,A3818)&gt;1,"Duplicate","Unique")</f>
        <v>Unique</v>
      </c>
      <c r="V3818" s="7" t="str">
        <f aca="false">IF(COUNTIFS($B$2:$B$5001,B3818,$H$2:$H$5001,H3818,$J$2:$J$5001,J3818)&gt;1,"Possible Duplicate Booking","Unique")</f>
        <v>Unique</v>
      </c>
      <c r="W3818" s="7" t="str">
        <f aca="false">IF((H3818-G3818)&lt;&gt;K3818,"Mismatch","OK")</f>
        <v>OK</v>
      </c>
      <c r="X3818" s="7" t="str">
        <f aca="false">IF(TEXT(H3818,"dddd")&lt;&gt;I3818,"Mismatch","OK")</f>
        <v>OK</v>
      </c>
      <c r="Y3818" s="7" t="str">
        <f aca="false">IF(AND(N3818="No",O3818&lt;&gt;""),"Unexpected: channel present but no reminder sent",IF(AND(N3818="Yes",O3818=""),"Missing channel for sent reminder","OK"))</f>
        <v>OK</v>
      </c>
    </row>
    <row r="3819" customFormat="false" ht="15" hidden="false" customHeight="false" outlineLevel="0" collapsed="false">
      <c r="A3819" s="9" t="s">
        <v>5473</v>
      </c>
      <c r="B3819" s="9" t="s">
        <v>280</v>
      </c>
      <c r="C3819" s="9" t="s">
        <v>37</v>
      </c>
      <c r="D3819" s="9" t="n">
        <v>80</v>
      </c>
      <c r="E3819" s="9" t="s">
        <v>70</v>
      </c>
      <c r="F3819" s="9" t="s">
        <v>57</v>
      </c>
      <c r="G3819" s="10" t="n">
        <v>46043</v>
      </c>
      <c r="H3819" s="10" t="n">
        <v>46096</v>
      </c>
      <c r="I3819" s="9" t="s">
        <v>75</v>
      </c>
      <c r="J3819" s="9" t="s">
        <v>41</v>
      </c>
      <c r="K3819" s="9" t="n">
        <v>53</v>
      </c>
      <c r="L3819" s="9" t="n">
        <v>4</v>
      </c>
      <c r="M3819" s="9" t="n">
        <v>0</v>
      </c>
      <c r="N3819" s="9" t="s">
        <v>42</v>
      </c>
      <c r="O3819" s="9" t="s">
        <v>43</v>
      </c>
      <c r="P3819" s="9" t="n">
        <v>26.4</v>
      </c>
      <c r="Q3819" s="9" t="n">
        <v>42</v>
      </c>
      <c r="R3819" s="9" t="s">
        <v>44</v>
      </c>
      <c r="S3819" s="9"/>
      <c r="T3819" s="9"/>
      <c r="U3819" s="9" t="str">
        <f aca="false">IF(COUNTIF($A$2:$A$5001,A3819)&gt;1,"Duplicate","Unique")</f>
        <v>Unique</v>
      </c>
      <c r="V3819" s="9" t="str">
        <f aca="false">IF(COUNTIFS($B$2:$B$5001,B3819,$H$2:$H$5001,H3819,$J$2:$J$5001,J3819)&gt;1,"Possible Duplicate Booking","Unique")</f>
        <v>Unique</v>
      </c>
      <c r="W3819" s="9" t="str">
        <f aca="false">IF((H3819-G3819)&lt;&gt;K3819,"Mismatch","OK")</f>
        <v>OK</v>
      </c>
      <c r="X3819" s="9" t="str">
        <f aca="false">IF(TEXT(H3819,"dddd")&lt;&gt;I3819,"Mismatch","OK")</f>
        <v>OK</v>
      </c>
      <c r="Y3819" s="9" t="str">
        <f aca="false">IF(AND(N3819="No",O3819&lt;&gt;""),"Unexpected: channel present but no reminder sent",IF(AND(N3819="Yes",O3819=""),"Missing channel for sent reminder","OK"))</f>
        <v>OK</v>
      </c>
    </row>
    <row r="3820" customFormat="false" ht="15" hidden="false" customHeight="false" outlineLevel="0" collapsed="false">
      <c r="A3820" s="7" t="s">
        <v>5474</v>
      </c>
      <c r="B3820" s="7" t="s">
        <v>4576</v>
      </c>
      <c r="C3820" s="7" t="s">
        <v>47</v>
      </c>
      <c r="D3820" s="7" t="n">
        <v>59</v>
      </c>
      <c r="E3820" s="7" t="s">
        <v>61</v>
      </c>
      <c r="F3820" s="7" t="s">
        <v>39</v>
      </c>
      <c r="G3820" s="8" t="n">
        <v>45954</v>
      </c>
      <c r="H3820" s="8" t="n">
        <v>46000</v>
      </c>
      <c r="I3820" s="7" t="s">
        <v>40</v>
      </c>
      <c r="J3820" s="7" t="s">
        <v>51</v>
      </c>
      <c r="K3820" s="7" t="n">
        <v>46</v>
      </c>
      <c r="L3820" s="7" t="n">
        <v>2</v>
      </c>
      <c r="M3820" s="7" t="n">
        <v>1</v>
      </c>
      <c r="N3820" s="7" t="s">
        <v>42</v>
      </c>
      <c r="O3820" s="7" t="s">
        <v>43</v>
      </c>
      <c r="P3820" s="7" t="n">
        <v>8.4</v>
      </c>
      <c r="Q3820" s="7" t="n">
        <v>20</v>
      </c>
      <c r="R3820" s="7" t="s">
        <v>44</v>
      </c>
      <c r="S3820" s="7"/>
      <c r="T3820" s="7"/>
      <c r="U3820" s="7" t="str">
        <f aca="false">IF(COUNTIF($A$2:$A$5001,A3820)&gt;1,"Duplicate","Unique")</f>
        <v>Unique</v>
      </c>
      <c r="V3820" s="7" t="str">
        <f aca="false">IF(COUNTIFS($B$2:$B$5001,B3820,$H$2:$H$5001,H3820,$J$2:$J$5001,J3820)&gt;1,"Possible Duplicate Booking","Unique")</f>
        <v>Unique</v>
      </c>
      <c r="W3820" s="7" t="str">
        <f aca="false">IF((H3820-G3820)&lt;&gt;K3820,"Mismatch","OK")</f>
        <v>OK</v>
      </c>
      <c r="X3820" s="7" t="str">
        <f aca="false">IF(TEXT(H3820,"dddd")&lt;&gt;I3820,"Mismatch","OK")</f>
        <v>OK</v>
      </c>
      <c r="Y3820" s="7" t="str">
        <f aca="false">IF(AND(N3820="No",O3820&lt;&gt;""),"Unexpected: channel present but no reminder sent",IF(AND(N3820="Yes",O3820=""),"Missing channel for sent reminder","OK"))</f>
        <v>OK</v>
      </c>
    </row>
    <row r="3821" customFormat="false" ht="15" hidden="false" customHeight="false" outlineLevel="0" collapsed="false">
      <c r="A3821" s="9" t="s">
        <v>5475</v>
      </c>
      <c r="B3821" s="9" t="s">
        <v>1036</v>
      </c>
      <c r="C3821" s="9" t="s">
        <v>47</v>
      </c>
      <c r="D3821" s="9" t="n">
        <v>41</v>
      </c>
      <c r="E3821" s="9" t="s">
        <v>38</v>
      </c>
      <c r="F3821" s="9" t="s">
        <v>57</v>
      </c>
      <c r="G3821" s="10" t="n">
        <v>46136</v>
      </c>
      <c r="H3821" s="10" t="n">
        <v>46145</v>
      </c>
      <c r="I3821" s="9" t="s">
        <v>75</v>
      </c>
      <c r="J3821" s="9" t="s">
        <v>51</v>
      </c>
      <c r="K3821" s="9" t="n">
        <v>9</v>
      </c>
      <c r="L3821" s="9" t="n">
        <v>3</v>
      </c>
      <c r="M3821" s="9" t="n">
        <v>0</v>
      </c>
      <c r="N3821" s="9" t="s">
        <v>71</v>
      </c>
      <c r="O3821" s="9"/>
      <c r="P3821" s="9" t="n">
        <v>22.1</v>
      </c>
      <c r="Q3821" s="9" t="n">
        <v>11</v>
      </c>
      <c r="R3821" s="9" t="s">
        <v>44</v>
      </c>
      <c r="S3821" s="9"/>
      <c r="T3821" s="9"/>
      <c r="U3821" s="9" t="str">
        <f aca="false">IF(COUNTIF($A$2:$A$5001,A3821)&gt;1,"Duplicate","Unique")</f>
        <v>Unique</v>
      </c>
      <c r="V3821" s="9" t="str">
        <f aca="false">IF(COUNTIFS($B$2:$B$5001,B3821,$H$2:$H$5001,H3821,$J$2:$J$5001,J3821)&gt;1,"Possible Duplicate Booking","Unique")</f>
        <v>Unique</v>
      </c>
      <c r="W3821" s="9" t="str">
        <f aca="false">IF((H3821-G3821)&lt;&gt;K3821,"Mismatch","OK")</f>
        <v>OK</v>
      </c>
      <c r="X3821" s="9" t="str">
        <f aca="false">IF(TEXT(H3821,"dddd")&lt;&gt;I3821,"Mismatch","OK")</f>
        <v>OK</v>
      </c>
      <c r="Y3821" s="9" t="str">
        <f aca="false">IF(AND(N3821="No",O3821&lt;&gt;""),"Unexpected: channel present but no reminder sent",IF(AND(N3821="Yes",O3821=""),"Missing channel for sent reminder","OK"))</f>
        <v>OK</v>
      </c>
    </row>
    <row r="3822" customFormat="false" ht="15" hidden="false" customHeight="false" outlineLevel="0" collapsed="false">
      <c r="A3822" s="7" t="s">
        <v>5476</v>
      </c>
      <c r="B3822" s="7" t="s">
        <v>1042</v>
      </c>
      <c r="C3822" s="7" t="s">
        <v>47</v>
      </c>
      <c r="D3822" s="7" t="n">
        <v>45</v>
      </c>
      <c r="E3822" s="7" t="s">
        <v>56</v>
      </c>
      <c r="F3822" s="7" t="s">
        <v>57</v>
      </c>
      <c r="G3822" s="8" t="n">
        <v>45696</v>
      </c>
      <c r="H3822" s="8" t="n">
        <v>45726</v>
      </c>
      <c r="I3822" s="7" t="s">
        <v>66</v>
      </c>
      <c r="J3822" s="7" t="s">
        <v>41</v>
      </c>
      <c r="K3822" s="7" t="n">
        <v>30</v>
      </c>
      <c r="L3822" s="7" t="n">
        <v>2</v>
      </c>
      <c r="M3822" s="7" t="n">
        <v>0</v>
      </c>
      <c r="N3822" s="7" t="s">
        <v>42</v>
      </c>
      <c r="O3822" s="7" t="s">
        <v>52</v>
      </c>
      <c r="P3822" s="7" t="n">
        <v>27.8</v>
      </c>
      <c r="Q3822" s="7" t="n">
        <v>44</v>
      </c>
      <c r="R3822" s="7" t="s">
        <v>53</v>
      </c>
      <c r="S3822" s="7"/>
      <c r="T3822" s="7"/>
      <c r="U3822" s="7" t="str">
        <f aca="false">IF(COUNTIF($A$2:$A$5001,A3822)&gt;1,"Duplicate","Unique")</f>
        <v>Unique</v>
      </c>
      <c r="V3822" s="7" t="str">
        <f aca="false">IF(COUNTIFS($B$2:$B$5001,B3822,$H$2:$H$5001,H3822,$J$2:$J$5001,J3822)&gt;1,"Possible Duplicate Booking","Unique")</f>
        <v>Unique</v>
      </c>
      <c r="W3822" s="7" t="str">
        <f aca="false">IF((H3822-G3822)&lt;&gt;K3822,"Mismatch","OK")</f>
        <v>OK</v>
      </c>
      <c r="X3822" s="7" t="str">
        <f aca="false">IF(TEXT(H3822,"dddd")&lt;&gt;I3822,"Mismatch","OK")</f>
        <v>OK</v>
      </c>
      <c r="Y3822" s="7" t="str">
        <f aca="false">IF(AND(N3822="No",O3822&lt;&gt;""),"Unexpected: channel present but no reminder sent",IF(AND(N3822="Yes",O3822=""),"Missing channel for sent reminder","OK"))</f>
        <v>OK</v>
      </c>
    </row>
    <row r="3823" customFormat="false" ht="15" hidden="false" customHeight="false" outlineLevel="0" collapsed="false">
      <c r="A3823" s="9" t="s">
        <v>5477</v>
      </c>
      <c r="B3823" s="9" t="s">
        <v>3109</v>
      </c>
      <c r="C3823" s="9" t="s">
        <v>37</v>
      </c>
      <c r="D3823" s="9" t="n">
        <v>65</v>
      </c>
      <c r="E3823" s="9" t="s">
        <v>70</v>
      </c>
      <c r="F3823" s="9" t="s">
        <v>57</v>
      </c>
      <c r="G3823" s="10" t="n">
        <v>45642</v>
      </c>
      <c r="H3823" s="10" t="n">
        <v>45664</v>
      </c>
      <c r="I3823" s="9" t="s">
        <v>40</v>
      </c>
      <c r="J3823" s="9" t="s">
        <v>41</v>
      </c>
      <c r="K3823" s="9" t="n">
        <v>22</v>
      </c>
      <c r="L3823" s="9" t="n">
        <v>3</v>
      </c>
      <c r="M3823" s="9" t="n">
        <v>0</v>
      </c>
      <c r="N3823" s="9" t="s">
        <v>42</v>
      </c>
      <c r="O3823" s="9" t="s">
        <v>67</v>
      </c>
      <c r="P3823" s="9" t="n">
        <v>5.2</v>
      </c>
      <c r="Q3823" s="9" t="n">
        <v>16</v>
      </c>
      <c r="R3823" s="9" t="s">
        <v>53</v>
      </c>
      <c r="S3823" s="9"/>
      <c r="T3823" s="9"/>
      <c r="U3823" s="9" t="str">
        <f aca="false">IF(COUNTIF($A$2:$A$5001,A3823)&gt;1,"Duplicate","Unique")</f>
        <v>Unique</v>
      </c>
      <c r="V3823" s="9" t="str">
        <f aca="false">IF(COUNTIFS($B$2:$B$5001,B3823,$H$2:$H$5001,H3823,$J$2:$J$5001,J3823)&gt;1,"Possible Duplicate Booking","Unique")</f>
        <v>Unique</v>
      </c>
      <c r="W3823" s="9" t="str">
        <f aca="false">IF((H3823-G3823)&lt;&gt;K3823,"Mismatch","OK")</f>
        <v>OK</v>
      </c>
      <c r="X3823" s="9" t="str">
        <f aca="false">IF(TEXT(H3823,"dddd")&lt;&gt;I3823,"Mismatch","OK")</f>
        <v>OK</v>
      </c>
      <c r="Y3823" s="9" t="str">
        <f aca="false">IF(AND(N3823="No",O3823&lt;&gt;""),"Unexpected: channel present but no reminder sent",IF(AND(N3823="Yes",O3823=""),"Missing channel for sent reminder","OK"))</f>
        <v>OK</v>
      </c>
    </row>
    <row r="3824" customFormat="false" ht="15" hidden="false" customHeight="false" outlineLevel="0" collapsed="false">
      <c r="A3824" s="7" t="s">
        <v>5478</v>
      </c>
      <c r="B3824" s="7" t="s">
        <v>702</v>
      </c>
      <c r="C3824" s="7" t="s">
        <v>47</v>
      </c>
      <c r="D3824" s="7" t="n">
        <v>32</v>
      </c>
      <c r="E3824" s="7" t="s">
        <v>48</v>
      </c>
      <c r="F3824" s="7" t="s">
        <v>39</v>
      </c>
      <c r="G3824" s="8" t="n">
        <v>45918</v>
      </c>
      <c r="H3824" s="8" t="n">
        <v>45957</v>
      </c>
      <c r="I3824" s="7" t="s">
        <v>66</v>
      </c>
      <c r="J3824" s="7" t="s">
        <v>51</v>
      </c>
      <c r="K3824" s="7" t="n">
        <v>39</v>
      </c>
      <c r="L3824" s="7" t="n">
        <v>6</v>
      </c>
      <c r="M3824" s="7" t="n">
        <v>2</v>
      </c>
      <c r="N3824" s="7" t="s">
        <v>71</v>
      </c>
      <c r="O3824" s="7"/>
      <c r="P3824" s="7" t="n">
        <v>4.8</v>
      </c>
      <c r="Q3824" s="7" t="n">
        <v>18</v>
      </c>
      <c r="R3824" s="7" t="s">
        <v>44</v>
      </c>
      <c r="S3824" s="7"/>
      <c r="T3824" s="7"/>
      <c r="U3824" s="7" t="str">
        <f aca="false">IF(COUNTIF($A$2:$A$5001,A3824)&gt;1,"Duplicate","Unique")</f>
        <v>Unique</v>
      </c>
      <c r="V3824" s="7" t="str">
        <f aca="false">IF(COUNTIFS($B$2:$B$5001,B3824,$H$2:$H$5001,H3824,$J$2:$J$5001,J3824)&gt;1,"Possible Duplicate Booking","Unique")</f>
        <v>Unique</v>
      </c>
      <c r="W3824" s="7" t="str">
        <f aca="false">IF((H3824-G3824)&lt;&gt;K3824,"Mismatch","OK")</f>
        <v>OK</v>
      </c>
      <c r="X3824" s="7" t="str">
        <f aca="false">IF(TEXT(H3824,"dddd")&lt;&gt;I3824,"Mismatch","OK")</f>
        <v>OK</v>
      </c>
      <c r="Y3824" s="7" t="str">
        <f aca="false">IF(AND(N3824="No",O3824&lt;&gt;""),"Unexpected: channel present but no reminder sent",IF(AND(N3824="Yes",O3824=""),"Missing channel for sent reminder","OK"))</f>
        <v>OK</v>
      </c>
    </row>
    <row r="3825" customFormat="false" ht="15" hidden="false" customHeight="false" outlineLevel="0" collapsed="false">
      <c r="A3825" s="9" t="s">
        <v>5479</v>
      </c>
      <c r="B3825" s="9" t="s">
        <v>3201</v>
      </c>
      <c r="C3825" s="9" t="s">
        <v>37</v>
      </c>
      <c r="D3825" s="9" t="n">
        <v>55</v>
      </c>
      <c r="E3825" s="9" t="s">
        <v>61</v>
      </c>
      <c r="F3825" s="9" t="s">
        <v>49</v>
      </c>
      <c r="G3825" s="10" t="n">
        <v>45752</v>
      </c>
      <c r="H3825" s="10" t="n">
        <v>45755</v>
      </c>
      <c r="I3825" s="9" t="s">
        <v>40</v>
      </c>
      <c r="J3825" s="9" t="s">
        <v>41</v>
      </c>
      <c r="K3825" s="9" t="n">
        <v>3</v>
      </c>
      <c r="L3825" s="9" t="n">
        <v>2</v>
      </c>
      <c r="M3825" s="9" t="n">
        <v>0</v>
      </c>
      <c r="N3825" s="9" t="s">
        <v>42</v>
      </c>
      <c r="O3825" s="9" t="s">
        <v>67</v>
      </c>
      <c r="P3825" s="9" t="n">
        <v>7</v>
      </c>
      <c r="Q3825" s="9" t="n">
        <v>35</v>
      </c>
      <c r="R3825" s="9" t="s">
        <v>53</v>
      </c>
      <c r="S3825" s="9"/>
      <c r="T3825" s="9"/>
      <c r="U3825" s="9" t="str">
        <f aca="false">IF(COUNTIF($A$2:$A$5001,A3825)&gt;1,"Duplicate","Unique")</f>
        <v>Unique</v>
      </c>
      <c r="V3825" s="9" t="str">
        <f aca="false">IF(COUNTIFS($B$2:$B$5001,B3825,$H$2:$H$5001,H3825,$J$2:$J$5001,J3825)&gt;1,"Possible Duplicate Booking","Unique")</f>
        <v>Unique</v>
      </c>
      <c r="W3825" s="9" t="str">
        <f aca="false">IF((H3825-G3825)&lt;&gt;K3825,"Mismatch","OK")</f>
        <v>OK</v>
      </c>
      <c r="X3825" s="9" t="str">
        <f aca="false">IF(TEXT(H3825,"dddd")&lt;&gt;I3825,"Mismatch","OK")</f>
        <v>OK</v>
      </c>
      <c r="Y3825" s="9" t="str">
        <f aca="false">IF(AND(N3825="No",O3825&lt;&gt;""),"Unexpected: channel present but no reminder sent",IF(AND(N3825="Yes",O3825=""),"Missing channel for sent reminder","OK"))</f>
        <v>OK</v>
      </c>
    </row>
    <row r="3826" customFormat="false" ht="15" hidden="false" customHeight="false" outlineLevel="0" collapsed="false">
      <c r="A3826" s="7" t="s">
        <v>5480</v>
      </c>
      <c r="B3826" s="7" t="s">
        <v>5481</v>
      </c>
      <c r="C3826" s="7" t="s">
        <v>37</v>
      </c>
      <c r="D3826" s="7" t="n">
        <v>54</v>
      </c>
      <c r="E3826" s="7" t="s">
        <v>56</v>
      </c>
      <c r="F3826" s="7" t="s">
        <v>57</v>
      </c>
      <c r="G3826" s="8" t="n">
        <v>45939</v>
      </c>
      <c r="H3826" s="8" t="n">
        <v>45982</v>
      </c>
      <c r="I3826" s="7" t="s">
        <v>50</v>
      </c>
      <c r="J3826" s="7" t="s">
        <v>51</v>
      </c>
      <c r="K3826" s="7" t="n">
        <v>43</v>
      </c>
      <c r="L3826" s="7" t="n">
        <v>2</v>
      </c>
      <c r="M3826" s="7" t="n">
        <v>0</v>
      </c>
      <c r="N3826" s="7" t="s">
        <v>42</v>
      </c>
      <c r="O3826" s="7" t="s">
        <v>43</v>
      </c>
      <c r="P3826" s="7" t="n">
        <v>6.7</v>
      </c>
      <c r="Q3826" s="7" t="n">
        <v>24</v>
      </c>
      <c r="R3826" s="7" t="s">
        <v>53</v>
      </c>
      <c r="S3826" s="7"/>
      <c r="T3826" s="7"/>
      <c r="U3826" s="7" t="str">
        <f aca="false">IF(COUNTIF($A$2:$A$5001,A3826)&gt;1,"Duplicate","Unique")</f>
        <v>Unique</v>
      </c>
      <c r="V3826" s="7" t="str">
        <f aca="false">IF(COUNTIFS($B$2:$B$5001,B3826,$H$2:$H$5001,H3826,$J$2:$J$5001,J3826)&gt;1,"Possible Duplicate Booking","Unique")</f>
        <v>Unique</v>
      </c>
      <c r="W3826" s="7" t="str">
        <f aca="false">IF((H3826-G3826)&lt;&gt;K3826,"Mismatch","OK")</f>
        <v>OK</v>
      </c>
      <c r="X3826" s="7" t="str">
        <f aca="false">IF(TEXT(H3826,"dddd")&lt;&gt;I3826,"Mismatch","OK")</f>
        <v>OK</v>
      </c>
      <c r="Y3826" s="7" t="str">
        <f aca="false">IF(AND(N3826="No",O3826&lt;&gt;""),"Unexpected: channel present but no reminder sent",IF(AND(N3826="Yes",O3826=""),"Missing channel for sent reminder","OK"))</f>
        <v>OK</v>
      </c>
    </row>
    <row r="3827" customFormat="false" ht="15" hidden="false" customHeight="false" outlineLevel="0" collapsed="false">
      <c r="A3827" s="9" t="s">
        <v>5482</v>
      </c>
      <c r="B3827" s="9" t="s">
        <v>5483</v>
      </c>
      <c r="C3827" s="9" t="s">
        <v>47</v>
      </c>
      <c r="D3827" s="9" t="n">
        <v>59</v>
      </c>
      <c r="E3827" s="9" t="s">
        <v>61</v>
      </c>
      <c r="F3827" s="9" t="s">
        <v>57</v>
      </c>
      <c r="G3827" s="10" t="n">
        <v>46106</v>
      </c>
      <c r="H3827" s="10" t="n">
        <v>46151</v>
      </c>
      <c r="I3827" s="9" t="s">
        <v>102</v>
      </c>
      <c r="J3827" s="9" t="s">
        <v>41</v>
      </c>
      <c r="K3827" s="9" t="n">
        <v>45</v>
      </c>
      <c r="L3827" s="9" t="n">
        <v>2</v>
      </c>
      <c r="M3827" s="9" t="n">
        <v>1</v>
      </c>
      <c r="N3827" s="9" t="s">
        <v>71</v>
      </c>
      <c r="O3827" s="9"/>
      <c r="P3827" s="9" t="n">
        <v>10.5</v>
      </c>
      <c r="Q3827" s="9" t="n">
        <v>23</v>
      </c>
      <c r="R3827" s="9" t="s">
        <v>44</v>
      </c>
      <c r="S3827" s="9"/>
      <c r="T3827" s="9"/>
      <c r="U3827" s="9" t="str">
        <f aca="false">IF(COUNTIF($A$2:$A$5001,A3827)&gt;1,"Duplicate","Unique")</f>
        <v>Unique</v>
      </c>
      <c r="V3827" s="9" t="str">
        <f aca="false">IF(COUNTIFS($B$2:$B$5001,B3827,$H$2:$H$5001,H3827,$J$2:$J$5001,J3827)&gt;1,"Possible Duplicate Booking","Unique")</f>
        <v>Unique</v>
      </c>
      <c r="W3827" s="9" t="str">
        <f aca="false">IF((H3827-G3827)&lt;&gt;K3827,"Mismatch","OK")</f>
        <v>OK</v>
      </c>
      <c r="X3827" s="9" t="str">
        <f aca="false">IF(TEXT(H3827,"dddd")&lt;&gt;I3827,"Mismatch","OK")</f>
        <v>OK</v>
      </c>
      <c r="Y3827" s="9" t="str">
        <f aca="false">IF(AND(N3827="No",O3827&lt;&gt;""),"Unexpected: channel present but no reminder sent",IF(AND(N3827="Yes",O3827=""),"Missing channel for sent reminder","OK"))</f>
        <v>OK</v>
      </c>
    </row>
    <row r="3828" customFormat="false" ht="15" hidden="false" customHeight="false" outlineLevel="0" collapsed="false">
      <c r="A3828" s="7" t="s">
        <v>5484</v>
      </c>
      <c r="B3828" s="7" t="s">
        <v>419</v>
      </c>
      <c r="C3828" s="7" t="s">
        <v>47</v>
      </c>
      <c r="D3828" s="7" t="n">
        <v>44</v>
      </c>
      <c r="E3828" s="7" t="s">
        <v>38</v>
      </c>
      <c r="F3828" s="7" t="s">
        <v>39</v>
      </c>
      <c r="G3828" s="8" t="n">
        <v>45829</v>
      </c>
      <c r="H3828" s="8" t="n">
        <v>45842</v>
      </c>
      <c r="I3828" s="7" t="s">
        <v>50</v>
      </c>
      <c r="J3828" s="7" t="s">
        <v>41</v>
      </c>
      <c r="K3828" s="7" t="n">
        <v>13</v>
      </c>
      <c r="L3828" s="7" t="n">
        <v>4</v>
      </c>
      <c r="M3828" s="7" t="n">
        <v>2</v>
      </c>
      <c r="N3828" s="7" t="s">
        <v>42</v>
      </c>
      <c r="O3828" s="7" t="s">
        <v>52</v>
      </c>
      <c r="P3828" s="7" t="n">
        <v>6.8</v>
      </c>
      <c r="Q3828" s="7" t="n">
        <v>21</v>
      </c>
      <c r="R3828" s="7" t="s">
        <v>44</v>
      </c>
      <c r="S3828" s="7"/>
      <c r="T3828" s="7"/>
      <c r="U3828" s="7" t="str">
        <f aca="false">IF(COUNTIF($A$2:$A$5001,A3828)&gt;1,"Duplicate","Unique")</f>
        <v>Unique</v>
      </c>
      <c r="V3828" s="7" t="str">
        <f aca="false">IF(COUNTIFS($B$2:$B$5001,B3828,$H$2:$H$5001,H3828,$J$2:$J$5001,J3828)&gt;1,"Possible Duplicate Booking","Unique")</f>
        <v>Unique</v>
      </c>
      <c r="W3828" s="7" t="str">
        <f aca="false">IF((H3828-G3828)&lt;&gt;K3828,"Mismatch","OK")</f>
        <v>OK</v>
      </c>
      <c r="X3828" s="7" t="str">
        <f aca="false">IF(TEXT(H3828,"dddd")&lt;&gt;I3828,"Mismatch","OK")</f>
        <v>OK</v>
      </c>
      <c r="Y3828" s="7" t="str">
        <f aca="false">IF(AND(N3828="No",O3828&lt;&gt;""),"Unexpected: channel present but no reminder sent",IF(AND(N3828="Yes",O3828=""),"Missing channel for sent reminder","OK"))</f>
        <v>OK</v>
      </c>
    </row>
    <row r="3829" customFormat="false" ht="15" hidden="false" customHeight="false" outlineLevel="0" collapsed="false">
      <c r="A3829" s="9" t="s">
        <v>5485</v>
      </c>
      <c r="B3829" s="9" t="s">
        <v>2170</v>
      </c>
      <c r="C3829" s="9" t="s">
        <v>47</v>
      </c>
      <c r="D3829" s="9" t="n">
        <v>64</v>
      </c>
      <c r="E3829" s="9" t="s">
        <v>61</v>
      </c>
      <c r="F3829" s="9" t="s">
        <v>57</v>
      </c>
      <c r="G3829" s="10" t="n">
        <v>45949</v>
      </c>
      <c r="H3829" s="10" t="n">
        <v>45958</v>
      </c>
      <c r="I3829" s="9" t="s">
        <v>40</v>
      </c>
      <c r="J3829" s="9" t="s">
        <v>41</v>
      </c>
      <c r="K3829" s="9" t="n">
        <v>9</v>
      </c>
      <c r="L3829" s="9" t="n">
        <v>1</v>
      </c>
      <c r="M3829" s="9" t="n">
        <v>0</v>
      </c>
      <c r="N3829" s="9" t="s">
        <v>42</v>
      </c>
      <c r="O3829" s="9" t="s">
        <v>43</v>
      </c>
      <c r="P3829" s="9" t="n">
        <v>15.3</v>
      </c>
      <c r="Q3829" s="9" t="n">
        <v>17</v>
      </c>
      <c r="R3829" s="9" t="s">
        <v>53</v>
      </c>
      <c r="S3829" s="9"/>
      <c r="T3829" s="9"/>
      <c r="U3829" s="9" t="str">
        <f aca="false">IF(COUNTIF($A$2:$A$5001,A3829)&gt;1,"Duplicate","Unique")</f>
        <v>Unique</v>
      </c>
      <c r="V3829" s="9" t="str">
        <f aca="false">IF(COUNTIFS($B$2:$B$5001,B3829,$H$2:$H$5001,H3829,$J$2:$J$5001,J3829)&gt;1,"Possible Duplicate Booking","Unique")</f>
        <v>Unique</v>
      </c>
      <c r="W3829" s="9" t="str">
        <f aca="false">IF((H3829-G3829)&lt;&gt;K3829,"Mismatch","OK")</f>
        <v>OK</v>
      </c>
      <c r="X3829" s="9" t="str">
        <f aca="false">IF(TEXT(H3829,"dddd")&lt;&gt;I3829,"Mismatch","OK")</f>
        <v>OK</v>
      </c>
      <c r="Y3829" s="9" t="str">
        <f aca="false">IF(AND(N3829="No",O3829&lt;&gt;""),"Unexpected: channel present but no reminder sent",IF(AND(N3829="Yes",O3829=""),"Missing channel for sent reminder","OK"))</f>
        <v>OK</v>
      </c>
    </row>
    <row r="3830" customFormat="false" ht="15" hidden="false" customHeight="false" outlineLevel="0" collapsed="false">
      <c r="A3830" s="7" t="s">
        <v>5486</v>
      </c>
      <c r="B3830" s="7" t="s">
        <v>2495</v>
      </c>
      <c r="C3830" s="7" t="s">
        <v>37</v>
      </c>
      <c r="D3830" s="7" t="n">
        <v>22</v>
      </c>
      <c r="E3830" s="7" t="s">
        <v>82</v>
      </c>
      <c r="F3830" s="7" t="s">
        <v>49</v>
      </c>
      <c r="G3830" s="8" t="n">
        <v>45992</v>
      </c>
      <c r="H3830" s="8" t="n">
        <v>46030</v>
      </c>
      <c r="I3830" s="7" t="s">
        <v>62</v>
      </c>
      <c r="J3830" s="7" t="s">
        <v>51</v>
      </c>
      <c r="K3830" s="7" t="n">
        <v>38</v>
      </c>
      <c r="L3830" s="7" t="n">
        <v>5</v>
      </c>
      <c r="M3830" s="7" t="n">
        <v>0</v>
      </c>
      <c r="N3830" s="7" t="s">
        <v>42</v>
      </c>
      <c r="O3830" s="7" t="s">
        <v>52</v>
      </c>
      <c r="P3830" s="7" t="n">
        <v>12.8</v>
      </c>
      <c r="Q3830" s="7" t="n">
        <v>26</v>
      </c>
      <c r="R3830" s="7" t="s">
        <v>53</v>
      </c>
      <c r="S3830" s="7"/>
      <c r="T3830" s="7"/>
      <c r="U3830" s="7" t="str">
        <f aca="false">IF(COUNTIF($A$2:$A$5001,A3830)&gt;1,"Duplicate","Unique")</f>
        <v>Unique</v>
      </c>
      <c r="V3830" s="7" t="str">
        <f aca="false">IF(COUNTIFS($B$2:$B$5001,B3830,$H$2:$H$5001,H3830,$J$2:$J$5001,J3830)&gt;1,"Possible Duplicate Booking","Unique")</f>
        <v>Unique</v>
      </c>
      <c r="W3830" s="7" t="str">
        <f aca="false">IF((H3830-G3830)&lt;&gt;K3830,"Mismatch","OK")</f>
        <v>OK</v>
      </c>
      <c r="X3830" s="7" t="str">
        <f aca="false">IF(TEXT(H3830,"dddd")&lt;&gt;I3830,"Mismatch","OK")</f>
        <v>OK</v>
      </c>
      <c r="Y3830" s="7" t="str">
        <f aca="false">IF(AND(N3830="No",O3830&lt;&gt;""),"Unexpected: channel present but no reminder sent",IF(AND(N3830="Yes",O3830=""),"Missing channel for sent reminder","OK"))</f>
        <v>OK</v>
      </c>
    </row>
    <row r="3831" customFormat="false" ht="15" hidden="false" customHeight="false" outlineLevel="0" collapsed="false">
      <c r="A3831" s="9" t="s">
        <v>5487</v>
      </c>
      <c r="B3831" s="9" t="s">
        <v>176</v>
      </c>
      <c r="C3831" s="9" t="s">
        <v>37</v>
      </c>
      <c r="D3831" s="9" t="n">
        <v>65</v>
      </c>
      <c r="E3831" s="9" t="s">
        <v>70</v>
      </c>
      <c r="F3831" s="9" t="s">
        <v>74</v>
      </c>
      <c r="G3831" s="10" t="n">
        <v>45724</v>
      </c>
      <c r="H3831" s="10" t="n">
        <v>45739</v>
      </c>
      <c r="I3831" s="9" t="s">
        <v>75</v>
      </c>
      <c r="J3831" s="9" t="s">
        <v>51</v>
      </c>
      <c r="K3831" s="9" t="n">
        <v>15</v>
      </c>
      <c r="L3831" s="9" t="n">
        <v>3</v>
      </c>
      <c r="M3831" s="9" t="n">
        <v>1</v>
      </c>
      <c r="N3831" s="9" t="s">
        <v>42</v>
      </c>
      <c r="O3831" s="9" t="s">
        <v>43</v>
      </c>
      <c r="P3831" s="9" t="n">
        <v>4.9</v>
      </c>
      <c r="Q3831" s="9" t="n">
        <v>29</v>
      </c>
      <c r="R3831" s="9" t="s">
        <v>53</v>
      </c>
      <c r="S3831" s="9"/>
      <c r="T3831" s="9"/>
      <c r="U3831" s="9" t="str">
        <f aca="false">IF(COUNTIF($A$2:$A$5001,A3831)&gt;1,"Duplicate","Unique")</f>
        <v>Unique</v>
      </c>
      <c r="V3831" s="9" t="str">
        <f aca="false">IF(COUNTIFS($B$2:$B$5001,B3831,$H$2:$H$5001,H3831,$J$2:$J$5001,J3831)&gt;1,"Possible Duplicate Booking","Unique")</f>
        <v>Unique</v>
      </c>
      <c r="W3831" s="9" t="str">
        <f aca="false">IF((H3831-G3831)&lt;&gt;K3831,"Mismatch","OK")</f>
        <v>OK</v>
      </c>
      <c r="X3831" s="9" t="str">
        <f aca="false">IF(TEXT(H3831,"dddd")&lt;&gt;I3831,"Mismatch","OK")</f>
        <v>OK</v>
      </c>
      <c r="Y3831" s="9" t="str">
        <f aca="false">IF(AND(N3831="No",O3831&lt;&gt;""),"Unexpected: channel present but no reminder sent",IF(AND(N3831="Yes",O3831=""),"Missing channel for sent reminder","OK"))</f>
        <v>OK</v>
      </c>
    </row>
    <row r="3832" customFormat="false" ht="15" hidden="false" customHeight="false" outlineLevel="0" collapsed="false">
      <c r="A3832" s="7" t="s">
        <v>5488</v>
      </c>
      <c r="B3832" s="7" t="s">
        <v>5087</v>
      </c>
      <c r="C3832" s="7" t="s">
        <v>47</v>
      </c>
      <c r="D3832" s="7" t="n">
        <v>69</v>
      </c>
      <c r="E3832" s="7" t="s">
        <v>70</v>
      </c>
      <c r="F3832" s="7" t="s">
        <v>39</v>
      </c>
      <c r="G3832" s="8" t="n">
        <v>46090</v>
      </c>
      <c r="H3832" s="8" t="n">
        <v>46147</v>
      </c>
      <c r="I3832" s="7" t="s">
        <v>40</v>
      </c>
      <c r="J3832" s="7" t="s">
        <v>51</v>
      </c>
      <c r="K3832" s="7" t="n">
        <v>57</v>
      </c>
      <c r="L3832" s="7" t="n">
        <v>4</v>
      </c>
      <c r="M3832" s="7" t="n">
        <v>0</v>
      </c>
      <c r="N3832" s="7" t="s">
        <v>42</v>
      </c>
      <c r="O3832" s="7" t="s">
        <v>52</v>
      </c>
      <c r="P3832" s="7"/>
      <c r="Q3832" s="7" t="n">
        <v>22</v>
      </c>
      <c r="R3832" s="7" t="s">
        <v>53</v>
      </c>
      <c r="S3832" s="7"/>
      <c r="T3832" s="7"/>
      <c r="U3832" s="7" t="str">
        <f aca="false">IF(COUNTIF($A$2:$A$5001,A3832)&gt;1,"Duplicate","Unique")</f>
        <v>Unique</v>
      </c>
      <c r="V3832" s="7" t="str">
        <f aca="false">IF(COUNTIFS($B$2:$B$5001,B3832,$H$2:$H$5001,H3832,$J$2:$J$5001,J3832)&gt;1,"Possible Duplicate Booking","Unique")</f>
        <v>Unique</v>
      </c>
      <c r="W3832" s="7" t="str">
        <f aca="false">IF((H3832-G3832)&lt;&gt;K3832,"Mismatch","OK")</f>
        <v>OK</v>
      </c>
      <c r="X3832" s="7" t="str">
        <f aca="false">IF(TEXT(H3832,"dddd")&lt;&gt;I3832,"Mismatch","OK")</f>
        <v>OK</v>
      </c>
      <c r="Y3832" s="7" t="str">
        <f aca="false">IF(AND(N3832="No",O3832&lt;&gt;""),"Unexpected: channel present but no reminder sent",IF(AND(N3832="Yes",O3832=""),"Missing channel for sent reminder","OK"))</f>
        <v>OK</v>
      </c>
    </row>
    <row r="3833" customFormat="false" ht="15" hidden="false" customHeight="false" outlineLevel="0" collapsed="false">
      <c r="A3833" s="9" t="s">
        <v>5489</v>
      </c>
      <c r="B3833" s="9" t="s">
        <v>2679</v>
      </c>
      <c r="C3833" s="9" t="s">
        <v>37</v>
      </c>
      <c r="D3833" s="9" t="n">
        <v>73</v>
      </c>
      <c r="E3833" s="9" t="s">
        <v>70</v>
      </c>
      <c r="F3833" s="9" t="s">
        <v>74</v>
      </c>
      <c r="G3833" s="10" t="n">
        <v>45721</v>
      </c>
      <c r="H3833" s="10" t="n">
        <v>45768</v>
      </c>
      <c r="I3833" s="9" t="s">
        <v>66</v>
      </c>
      <c r="J3833" s="9" t="s">
        <v>41</v>
      </c>
      <c r="K3833" s="9" t="n">
        <v>47</v>
      </c>
      <c r="L3833" s="9" t="n">
        <v>0</v>
      </c>
      <c r="M3833" s="9" t="n">
        <v>0</v>
      </c>
      <c r="N3833" s="9" t="s">
        <v>71</v>
      </c>
      <c r="O3833" s="9"/>
      <c r="P3833" s="9" t="n">
        <v>15.9</v>
      </c>
      <c r="Q3833" s="9" t="n">
        <v>30</v>
      </c>
      <c r="R3833" s="9" t="s">
        <v>87</v>
      </c>
      <c r="S3833" s="9"/>
      <c r="T3833" s="9"/>
      <c r="U3833" s="9" t="str">
        <f aca="false">IF(COUNTIF($A$2:$A$5001,A3833)&gt;1,"Duplicate","Unique")</f>
        <v>Unique</v>
      </c>
      <c r="V3833" s="9" t="str">
        <f aca="false">IF(COUNTIFS($B$2:$B$5001,B3833,$H$2:$H$5001,H3833,$J$2:$J$5001,J3833)&gt;1,"Possible Duplicate Booking","Unique")</f>
        <v>Unique</v>
      </c>
      <c r="W3833" s="9" t="str">
        <f aca="false">IF((H3833-G3833)&lt;&gt;K3833,"Mismatch","OK")</f>
        <v>OK</v>
      </c>
      <c r="X3833" s="9" t="str">
        <f aca="false">IF(TEXT(H3833,"dddd")&lt;&gt;I3833,"Mismatch","OK")</f>
        <v>OK</v>
      </c>
      <c r="Y3833" s="9" t="str">
        <f aca="false">IF(AND(N3833="No",O3833&lt;&gt;""),"Unexpected: channel present but no reminder sent",IF(AND(N3833="Yes",O3833=""),"Missing channel for sent reminder","OK"))</f>
        <v>OK</v>
      </c>
    </row>
    <row r="3834" customFormat="false" ht="15" hidden="false" customHeight="false" outlineLevel="0" collapsed="false">
      <c r="A3834" s="7" t="s">
        <v>5490</v>
      </c>
      <c r="B3834" s="7" t="s">
        <v>4559</v>
      </c>
      <c r="C3834" s="7" t="s">
        <v>47</v>
      </c>
      <c r="D3834" s="7" t="n">
        <v>76</v>
      </c>
      <c r="E3834" s="7" t="s">
        <v>70</v>
      </c>
      <c r="F3834" s="7" t="s">
        <v>57</v>
      </c>
      <c r="G3834" s="8" t="n">
        <v>46041</v>
      </c>
      <c r="H3834" s="8" t="n">
        <v>46099</v>
      </c>
      <c r="I3834" s="7" t="s">
        <v>58</v>
      </c>
      <c r="J3834" s="7" t="s">
        <v>63</v>
      </c>
      <c r="K3834" s="7" t="n">
        <v>58</v>
      </c>
      <c r="L3834" s="7" t="n">
        <v>2</v>
      </c>
      <c r="M3834" s="7" t="n">
        <v>0</v>
      </c>
      <c r="N3834" s="7" t="s">
        <v>42</v>
      </c>
      <c r="O3834" s="7" t="s">
        <v>52</v>
      </c>
      <c r="P3834" s="7" t="n">
        <v>11.3</v>
      </c>
      <c r="Q3834" s="7" t="n">
        <v>29</v>
      </c>
      <c r="R3834" s="7" t="s">
        <v>53</v>
      </c>
      <c r="S3834" s="7"/>
      <c r="T3834" s="7"/>
      <c r="U3834" s="7" t="str">
        <f aca="false">IF(COUNTIF($A$2:$A$5001,A3834)&gt;1,"Duplicate","Unique")</f>
        <v>Unique</v>
      </c>
      <c r="V3834" s="7" t="str">
        <f aca="false">IF(COUNTIFS($B$2:$B$5001,B3834,$H$2:$H$5001,H3834,$J$2:$J$5001,J3834)&gt;1,"Possible Duplicate Booking","Unique")</f>
        <v>Unique</v>
      </c>
      <c r="W3834" s="7" t="str">
        <f aca="false">IF((H3834-G3834)&lt;&gt;K3834,"Mismatch","OK")</f>
        <v>OK</v>
      </c>
      <c r="X3834" s="7" t="str">
        <f aca="false">IF(TEXT(H3834,"dddd")&lt;&gt;I3834,"Mismatch","OK")</f>
        <v>OK</v>
      </c>
      <c r="Y3834" s="7" t="str">
        <f aca="false">IF(AND(N3834="No",O3834&lt;&gt;""),"Unexpected: channel present but no reminder sent",IF(AND(N3834="Yes",O3834=""),"Missing channel for sent reminder","OK"))</f>
        <v>OK</v>
      </c>
    </row>
    <row r="3835" customFormat="false" ht="15" hidden="false" customHeight="false" outlineLevel="0" collapsed="false">
      <c r="A3835" s="9" t="s">
        <v>5491</v>
      </c>
      <c r="B3835" s="9" t="s">
        <v>611</v>
      </c>
      <c r="C3835" s="9" t="s">
        <v>47</v>
      </c>
      <c r="D3835" s="9" t="n">
        <v>40</v>
      </c>
      <c r="E3835" s="9" t="s">
        <v>38</v>
      </c>
      <c r="F3835" s="9" t="s">
        <v>57</v>
      </c>
      <c r="G3835" s="10" t="n">
        <v>45986</v>
      </c>
      <c r="H3835" s="10" t="n">
        <v>46018</v>
      </c>
      <c r="I3835" s="9" t="s">
        <v>102</v>
      </c>
      <c r="J3835" s="9" t="s">
        <v>41</v>
      </c>
      <c r="K3835" s="9" t="n">
        <v>32</v>
      </c>
      <c r="L3835" s="9" t="n">
        <v>5</v>
      </c>
      <c r="M3835" s="9" t="n">
        <v>2</v>
      </c>
      <c r="N3835" s="9" t="s">
        <v>71</v>
      </c>
      <c r="O3835" s="9"/>
      <c r="P3835" s="9" t="n">
        <v>13.3</v>
      </c>
      <c r="Q3835" s="9" t="n">
        <v>28</v>
      </c>
      <c r="R3835" s="9" t="s">
        <v>44</v>
      </c>
      <c r="S3835" s="9"/>
      <c r="T3835" s="9"/>
      <c r="U3835" s="9" t="str">
        <f aca="false">IF(COUNTIF($A$2:$A$5001,A3835)&gt;1,"Duplicate","Unique")</f>
        <v>Unique</v>
      </c>
      <c r="V3835" s="9" t="str">
        <f aca="false">IF(COUNTIFS($B$2:$B$5001,B3835,$H$2:$H$5001,H3835,$J$2:$J$5001,J3835)&gt;1,"Possible Duplicate Booking","Unique")</f>
        <v>Unique</v>
      </c>
      <c r="W3835" s="9" t="str">
        <f aca="false">IF((H3835-G3835)&lt;&gt;K3835,"Mismatch","OK")</f>
        <v>OK</v>
      </c>
      <c r="X3835" s="9" t="str">
        <f aca="false">IF(TEXT(H3835,"dddd")&lt;&gt;I3835,"Mismatch","OK")</f>
        <v>OK</v>
      </c>
      <c r="Y3835" s="9" t="str">
        <f aca="false">IF(AND(N3835="No",O3835&lt;&gt;""),"Unexpected: channel present but no reminder sent",IF(AND(N3835="Yes",O3835=""),"Missing channel for sent reminder","OK"))</f>
        <v>OK</v>
      </c>
    </row>
    <row r="3836" customFormat="false" ht="15" hidden="false" customHeight="false" outlineLevel="0" collapsed="false">
      <c r="A3836" s="7" t="s">
        <v>5492</v>
      </c>
      <c r="B3836" s="7" t="s">
        <v>2890</v>
      </c>
      <c r="C3836" s="7" t="s">
        <v>47</v>
      </c>
      <c r="D3836" s="7" t="n">
        <v>20</v>
      </c>
      <c r="E3836" s="7" t="s">
        <v>82</v>
      </c>
      <c r="F3836" s="7" t="s">
        <v>57</v>
      </c>
      <c r="G3836" s="8" t="n">
        <v>45677</v>
      </c>
      <c r="H3836" s="8" t="n">
        <v>45734</v>
      </c>
      <c r="I3836" s="7" t="s">
        <v>40</v>
      </c>
      <c r="J3836" s="7" t="s">
        <v>41</v>
      </c>
      <c r="K3836" s="7" t="n">
        <v>57</v>
      </c>
      <c r="L3836" s="7" t="n">
        <v>2</v>
      </c>
      <c r="M3836" s="7" t="n">
        <v>0</v>
      </c>
      <c r="N3836" s="7" t="s">
        <v>42</v>
      </c>
      <c r="O3836" s="7" t="s">
        <v>43</v>
      </c>
      <c r="P3836" s="7" t="n">
        <v>4.8</v>
      </c>
      <c r="Q3836" s="7" t="n">
        <v>21</v>
      </c>
      <c r="R3836" s="7" t="s">
        <v>44</v>
      </c>
      <c r="S3836" s="7"/>
      <c r="T3836" s="7"/>
      <c r="U3836" s="7" t="str">
        <f aca="false">IF(COUNTIF($A$2:$A$5001,A3836)&gt;1,"Duplicate","Unique")</f>
        <v>Unique</v>
      </c>
      <c r="V3836" s="7" t="str">
        <f aca="false">IF(COUNTIFS($B$2:$B$5001,B3836,$H$2:$H$5001,H3836,$J$2:$J$5001,J3836)&gt;1,"Possible Duplicate Booking","Unique")</f>
        <v>Unique</v>
      </c>
      <c r="W3836" s="7" t="str">
        <f aca="false">IF((H3836-G3836)&lt;&gt;K3836,"Mismatch","OK")</f>
        <v>OK</v>
      </c>
      <c r="X3836" s="7" t="str">
        <f aca="false">IF(TEXT(H3836,"dddd")&lt;&gt;I3836,"Mismatch","OK")</f>
        <v>OK</v>
      </c>
      <c r="Y3836" s="7" t="str">
        <f aca="false">IF(AND(N3836="No",O3836&lt;&gt;""),"Unexpected: channel present but no reminder sent",IF(AND(N3836="Yes",O3836=""),"Missing channel for sent reminder","OK"))</f>
        <v>OK</v>
      </c>
    </row>
    <row r="3837" customFormat="false" ht="15" hidden="false" customHeight="false" outlineLevel="0" collapsed="false">
      <c r="A3837" s="9" t="s">
        <v>5493</v>
      </c>
      <c r="B3837" s="9" t="s">
        <v>5174</v>
      </c>
      <c r="C3837" s="9" t="s">
        <v>47</v>
      </c>
      <c r="D3837" s="9" t="n">
        <v>59</v>
      </c>
      <c r="E3837" s="9" t="s">
        <v>61</v>
      </c>
      <c r="F3837" s="9" t="s">
        <v>57</v>
      </c>
      <c r="G3837" s="10" t="n">
        <v>46053</v>
      </c>
      <c r="H3837" s="10" t="n">
        <v>46053</v>
      </c>
      <c r="I3837" s="9" t="s">
        <v>102</v>
      </c>
      <c r="J3837" s="9" t="s">
        <v>51</v>
      </c>
      <c r="K3837" s="9" t="n">
        <v>0</v>
      </c>
      <c r="L3837" s="9" t="n">
        <v>7</v>
      </c>
      <c r="M3837" s="9" t="n">
        <v>1</v>
      </c>
      <c r="N3837" s="9" t="s">
        <v>42</v>
      </c>
      <c r="O3837" s="9" t="s">
        <v>67</v>
      </c>
      <c r="P3837" s="9" t="n">
        <v>9.1</v>
      </c>
      <c r="Q3837" s="9" t="n">
        <v>20</v>
      </c>
      <c r="R3837" s="9" t="s">
        <v>53</v>
      </c>
      <c r="S3837" s="9"/>
      <c r="T3837" s="9"/>
      <c r="U3837" s="9" t="str">
        <f aca="false">IF(COUNTIF($A$2:$A$5001,A3837)&gt;1,"Duplicate","Unique")</f>
        <v>Unique</v>
      </c>
      <c r="V3837" s="9" t="str">
        <f aca="false">IF(COUNTIFS($B$2:$B$5001,B3837,$H$2:$H$5001,H3837,$J$2:$J$5001,J3837)&gt;1,"Possible Duplicate Booking","Unique")</f>
        <v>Unique</v>
      </c>
      <c r="W3837" s="9" t="str">
        <f aca="false">IF((H3837-G3837)&lt;&gt;K3837,"Mismatch","OK")</f>
        <v>OK</v>
      </c>
      <c r="X3837" s="9" t="str">
        <f aca="false">IF(TEXT(H3837,"dddd")&lt;&gt;I3837,"Mismatch","OK")</f>
        <v>OK</v>
      </c>
      <c r="Y3837" s="9" t="str">
        <f aca="false">IF(AND(N3837="No",O3837&lt;&gt;""),"Unexpected: channel present but no reminder sent",IF(AND(N3837="Yes",O3837=""),"Missing channel for sent reminder","OK"))</f>
        <v>OK</v>
      </c>
    </row>
    <row r="3838" customFormat="false" ht="15" hidden="false" customHeight="false" outlineLevel="0" collapsed="false">
      <c r="A3838" s="7" t="s">
        <v>5494</v>
      </c>
      <c r="B3838" s="7" t="s">
        <v>1133</v>
      </c>
      <c r="C3838" s="7" t="s">
        <v>47</v>
      </c>
      <c r="D3838" s="7" t="n">
        <v>23</v>
      </c>
      <c r="E3838" s="7" t="s">
        <v>82</v>
      </c>
      <c r="F3838" s="7" t="s">
        <v>57</v>
      </c>
      <c r="G3838" s="8" t="n">
        <v>45748</v>
      </c>
      <c r="H3838" s="8" t="n">
        <v>45765</v>
      </c>
      <c r="I3838" s="7" t="s">
        <v>50</v>
      </c>
      <c r="J3838" s="7" t="s">
        <v>51</v>
      </c>
      <c r="K3838" s="7" t="n">
        <v>17</v>
      </c>
      <c r="L3838" s="7" t="n">
        <v>2</v>
      </c>
      <c r="M3838" s="7" t="n">
        <v>0</v>
      </c>
      <c r="N3838" s="7" t="s">
        <v>42</v>
      </c>
      <c r="O3838" s="7" t="s">
        <v>52</v>
      </c>
      <c r="P3838" s="7" t="n">
        <v>3.6</v>
      </c>
      <c r="Q3838" s="7" t="n">
        <v>28</v>
      </c>
      <c r="R3838" s="7" t="s">
        <v>53</v>
      </c>
      <c r="S3838" s="7"/>
      <c r="T3838" s="7"/>
      <c r="U3838" s="7" t="str">
        <f aca="false">IF(COUNTIF($A$2:$A$5001,A3838)&gt;1,"Duplicate","Unique")</f>
        <v>Unique</v>
      </c>
      <c r="V3838" s="7" t="str">
        <f aca="false">IF(COUNTIFS($B$2:$B$5001,B3838,$H$2:$H$5001,H3838,$J$2:$J$5001,J3838)&gt;1,"Possible Duplicate Booking","Unique")</f>
        <v>Unique</v>
      </c>
      <c r="W3838" s="7" t="str">
        <f aca="false">IF((H3838-G3838)&lt;&gt;K3838,"Mismatch","OK")</f>
        <v>OK</v>
      </c>
      <c r="X3838" s="7" t="str">
        <f aca="false">IF(TEXT(H3838,"dddd")&lt;&gt;I3838,"Mismatch","OK")</f>
        <v>OK</v>
      </c>
      <c r="Y3838" s="7" t="str">
        <f aca="false">IF(AND(N3838="No",O3838&lt;&gt;""),"Unexpected: channel present but no reminder sent",IF(AND(N3838="Yes",O3838=""),"Missing channel for sent reminder","OK"))</f>
        <v>OK</v>
      </c>
    </row>
    <row r="3839" customFormat="false" ht="15" hidden="false" customHeight="false" outlineLevel="0" collapsed="false">
      <c r="A3839" s="9" t="s">
        <v>5495</v>
      </c>
      <c r="B3839" s="9" t="s">
        <v>3012</v>
      </c>
      <c r="C3839" s="9" t="s">
        <v>37</v>
      </c>
      <c r="D3839" s="9" t="n">
        <v>35</v>
      </c>
      <c r="E3839" s="9" t="s">
        <v>38</v>
      </c>
      <c r="F3839" s="9" t="s">
        <v>39</v>
      </c>
      <c r="G3839" s="10" t="n">
        <v>45985</v>
      </c>
      <c r="H3839" s="10" t="n">
        <v>45985</v>
      </c>
      <c r="I3839" s="9" t="s">
        <v>66</v>
      </c>
      <c r="J3839" s="9" t="s">
        <v>63</v>
      </c>
      <c r="K3839" s="9" t="n">
        <v>0</v>
      </c>
      <c r="L3839" s="9" t="n">
        <v>2</v>
      </c>
      <c r="M3839" s="9" t="n">
        <v>0</v>
      </c>
      <c r="N3839" s="9" t="s">
        <v>42</v>
      </c>
      <c r="O3839" s="9" t="s">
        <v>52</v>
      </c>
      <c r="P3839" s="9" t="n">
        <v>9.8</v>
      </c>
      <c r="Q3839" s="9" t="n">
        <v>11</v>
      </c>
      <c r="R3839" s="9" t="s">
        <v>87</v>
      </c>
      <c r="S3839" s="9"/>
      <c r="T3839" s="9"/>
      <c r="U3839" s="9" t="str">
        <f aca="false">IF(COUNTIF($A$2:$A$5001,A3839)&gt;1,"Duplicate","Unique")</f>
        <v>Unique</v>
      </c>
      <c r="V3839" s="9" t="str">
        <f aca="false">IF(COUNTIFS($B$2:$B$5001,B3839,$H$2:$H$5001,H3839,$J$2:$J$5001,J3839)&gt;1,"Possible Duplicate Booking","Unique")</f>
        <v>Unique</v>
      </c>
      <c r="W3839" s="9" t="str">
        <f aca="false">IF((H3839-G3839)&lt;&gt;K3839,"Mismatch","OK")</f>
        <v>OK</v>
      </c>
      <c r="X3839" s="9" t="str">
        <f aca="false">IF(TEXT(H3839,"dddd")&lt;&gt;I3839,"Mismatch","OK")</f>
        <v>OK</v>
      </c>
      <c r="Y3839" s="9" t="str">
        <f aca="false">IF(AND(N3839="No",O3839&lt;&gt;""),"Unexpected: channel present but no reminder sent",IF(AND(N3839="Yes",O3839=""),"Missing channel for sent reminder","OK"))</f>
        <v>OK</v>
      </c>
    </row>
    <row r="3840" customFormat="false" ht="15" hidden="false" customHeight="false" outlineLevel="0" collapsed="false">
      <c r="A3840" s="7" t="s">
        <v>5496</v>
      </c>
      <c r="B3840" s="7" t="s">
        <v>3560</v>
      </c>
      <c r="C3840" s="7" t="s">
        <v>47</v>
      </c>
      <c r="D3840" s="7" t="n">
        <v>62</v>
      </c>
      <c r="E3840" s="7" t="s">
        <v>61</v>
      </c>
      <c r="F3840" s="7" t="s">
        <v>39</v>
      </c>
      <c r="G3840" s="8" t="n">
        <v>46140</v>
      </c>
      <c r="H3840" s="8" t="n">
        <v>46181</v>
      </c>
      <c r="I3840" s="7" t="s">
        <v>66</v>
      </c>
      <c r="J3840" s="7" t="s">
        <v>41</v>
      </c>
      <c r="K3840" s="7" t="n">
        <v>41</v>
      </c>
      <c r="L3840" s="7" t="n">
        <v>0</v>
      </c>
      <c r="M3840" s="7" t="n">
        <v>0</v>
      </c>
      <c r="N3840" s="7" t="s">
        <v>42</v>
      </c>
      <c r="O3840" s="7" t="s">
        <v>43</v>
      </c>
      <c r="P3840" s="7" t="n">
        <v>8</v>
      </c>
      <c r="Q3840" s="7" t="n">
        <v>56</v>
      </c>
      <c r="R3840" s="7" t="s">
        <v>53</v>
      </c>
      <c r="S3840" s="7"/>
      <c r="T3840" s="7"/>
      <c r="U3840" s="7" t="str">
        <f aca="false">IF(COUNTIF($A$2:$A$5001,A3840)&gt;1,"Duplicate","Unique")</f>
        <v>Unique</v>
      </c>
      <c r="V3840" s="7" t="str">
        <f aca="false">IF(COUNTIFS($B$2:$B$5001,B3840,$H$2:$H$5001,H3840,$J$2:$J$5001,J3840)&gt;1,"Possible Duplicate Booking","Unique")</f>
        <v>Unique</v>
      </c>
      <c r="W3840" s="7" t="str">
        <f aca="false">IF((H3840-G3840)&lt;&gt;K3840,"Mismatch","OK")</f>
        <v>OK</v>
      </c>
      <c r="X3840" s="7" t="str">
        <f aca="false">IF(TEXT(H3840,"dddd")&lt;&gt;I3840,"Mismatch","OK")</f>
        <v>OK</v>
      </c>
      <c r="Y3840" s="7" t="str">
        <f aca="false">IF(AND(N3840="No",O3840&lt;&gt;""),"Unexpected: channel present but no reminder sent",IF(AND(N3840="Yes",O3840=""),"Missing channel for sent reminder","OK"))</f>
        <v>OK</v>
      </c>
    </row>
    <row r="3841" customFormat="false" ht="15" hidden="false" customHeight="false" outlineLevel="0" collapsed="false">
      <c r="A3841" s="9" t="s">
        <v>5497</v>
      </c>
      <c r="B3841" s="9" t="s">
        <v>2880</v>
      </c>
      <c r="C3841" s="9" t="s">
        <v>37</v>
      </c>
      <c r="D3841" s="9" t="n">
        <v>55</v>
      </c>
      <c r="E3841" s="9" t="s">
        <v>61</v>
      </c>
      <c r="F3841" s="9" t="s">
        <v>57</v>
      </c>
      <c r="G3841" s="10" t="n">
        <v>46147</v>
      </c>
      <c r="H3841" s="10" t="n">
        <v>46178</v>
      </c>
      <c r="I3841" s="9" t="s">
        <v>50</v>
      </c>
      <c r="J3841" s="9" t="s">
        <v>51</v>
      </c>
      <c r="K3841" s="9" t="n">
        <v>31</v>
      </c>
      <c r="L3841" s="9" t="n">
        <v>4</v>
      </c>
      <c r="M3841" s="9" t="n">
        <v>1</v>
      </c>
      <c r="N3841" s="9" t="s">
        <v>42</v>
      </c>
      <c r="O3841" s="9" t="s">
        <v>52</v>
      </c>
      <c r="P3841" s="9" t="n">
        <v>10.3</v>
      </c>
      <c r="Q3841" s="9" t="n">
        <v>2</v>
      </c>
      <c r="R3841" s="9" t="s">
        <v>53</v>
      </c>
      <c r="S3841" s="9"/>
      <c r="T3841" s="9"/>
      <c r="U3841" s="9" t="str">
        <f aca="false">IF(COUNTIF($A$2:$A$5001,A3841)&gt;1,"Duplicate","Unique")</f>
        <v>Unique</v>
      </c>
      <c r="V3841" s="9" t="str">
        <f aca="false">IF(COUNTIFS($B$2:$B$5001,B3841,$H$2:$H$5001,H3841,$J$2:$J$5001,J3841)&gt;1,"Possible Duplicate Booking","Unique")</f>
        <v>Unique</v>
      </c>
      <c r="W3841" s="9" t="str">
        <f aca="false">IF((H3841-G3841)&lt;&gt;K3841,"Mismatch","OK")</f>
        <v>OK</v>
      </c>
      <c r="X3841" s="9" t="str">
        <f aca="false">IF(TEXT(H3841,"dddd")&lt;&gt;I3841,"Mismatch","OK")</f>
        <v>OK</v>
      </c>
      <c r="Y3841" s="9" t="str">
        <f aca="false">IF(AND(N3841="No",O3841&lt;&gt;""),"Unexpected: channel present but no reminder sent",IF(AND(N3841="Yes",O3841=""),"Missing channel for sent reminder","OK"))</f>
        <v>OK</v>
      </c>
    </row>
    <row r="3842" customFormat="false" ht="15" hidden="false" customHeight="false" outlineLevel="0" collapsed="false">
      <c r="A3842" s="7" t="s">
        <v>5498</v>
      </c>
      <c r="B3842" s="7" t="s">
        <v>480</v>
      </c>
      <c r="C3842" s="7" t="s">
        <v>47</v>
      </c>
      <c r="D3842" s="7" t="n">
        <v>56</v>
      </c>
      <c r="E3842" s="7" t="s">
        <v>61</v>
      </c>
      <c r="F3842" s="7" t="s">
        <v>39</v>
      </c>
      <c r="G3842" s="8" t="n">
        <v>46116</v>
      </c>
      <c r="H3842" s="8" t="n">
        <v>46133</v>
      </c>
      <c r="I3842" s="7" t="s">
        <v>40</v>
      </c>
      <c r="J3842" s="7" t="s">
        <v>41</v>
      </c>
      <c r="K3842" s="7" t="n">
        <v>17</v>
      </c>
      <c r="L3842" s="7" t="n">
        <v>2</v>
      </c>
      <c r="M3842" s="7" t="n">
        <v>1</v>
      </c>
      <c r="N3842" s="7" t="s">
        <v>71</v>
      </c>
      <c r="O3842" s="7"/>
      <c r="P3842" s="7" t="n">
        <v>4.5</v>
      </c>
      <c r="Q3842" s="7" t="n">
        <v>18</v>
      </c>
      <c r="R3842" s="7" t="s">
        <v>53</v>
      </c>
      <c r="S3842" s="7"/>
      <c r="T3842" s="7"/>
      <c r="U3842" s="7" t="str">
        <f aca="false">IF(COUNTIF($A$2:$A$5001,A3842)&gt;1,"Duplicate","Unique")</f>
        <v>Unique</v>
      </c>
      <c r="V3842" s="7" t="str">
        <f aca="false">IF(COUNTIFS($B$2:$B$5001,B3842,$H$2:$H$5001,H3842,$J$2:$J$5001,J3842)&gt;1,"Possible Duplicate Booking","Unique")</f>
        <v>Unique</v>
      </c>
      <c r="W3842" s="7" t="str">
        <f aca="false">IF((H3842-G3842)&lt;&gt;K3842,"Mismatch","OK")</f>
        <v>OK</v>
      </c>
      <c r="X3842" s="7" t="str">
        <f aca="false">IF(TEXT(H3842,"dddd")&lt;&gt;I3842,"Mismatch","OK")</f>
        <v>OK</v>
      </c>
      <c r="Y3842" s="7" t="str">
        <f aca="false">IF(AND(N3842="No",O3842&lt;&gt;""),"Unexpected: channel present but no reminder sent",IF(AND(N3842="Yes",O3842=""),"Missing channel for sent reminder","OK"))</f>
        <v>OK</v>
      </c>
    </row>
    <row r="3843" customFormat="false" ht="15" hidden="false" customHeight="false" outlineLevel="0" collapsed="false">
      <c r="A3843" s="9" t="s">
        <v>5499</v>
      </c>
      <c r="B3843" s="9" t="s">
        <v>771</v>
      </c>
      <c r="C3843" s="9" t="s">
        <v>37</v>
      </c>
      <c r="D3843" s="9" t="n">
        <v>65</v>
      </c>
      <c r="E3843" s="9" t="s">
        <v>70</v>
      </c>
      <c r="F3843" s="9" t="s">
        <v>57</v>
      </c>
      <c r="G3843" s="10" t="n">
        <v>45909</v>
      </c>
      <c r="H3843" s="10" t="n">
        <v>45927</v>
      </c>
      <c r="I3843" s="9" t="s">
        <v>102</v>
      </c>
      <c r="J3843" s="9" t="s">
        <v>41</v>
      </c>
      <c r="K3843" s="9" t="n">
        <v>18</v>
      </c>
      <c r="L3843" s="9" t="n">
        <v>1</v>
      </c>
      <c r="M3843" s="9" t="n">
        <v>0</v>
      </c>
      <c r="N3843" s="9" t="s">
        <v>71</v>
      </c>
      <c r="O3843" s="9"/>
      <c r="P3843" s="9" t="n">
        <v>12</v>
      </c>
      <c r="Q3843" s="9" t="n">
        <v>30</v>
      </c>
      <c r="R3843" s="9" t="s">
        <v>87</v>
      </c>
      <c r="S3843" s="9"/>
      <c r="T3843" s="9"/>
      <c r="U3843" s="9" t="str">
        <f aca="false">IF(COUNTIF($A$2:$A$5001,A3843)&gt;1,"Duplicate","Unique")</f>
        <v>Unique</v>
      </c>
      <c r="V3843" s="9" t="str">
        <f aca="false">IF(COUNTIFS($B$2:$B$5001,B3843,$H$2:$H$5001,H3843,$J$2:$J$5001,J3843)&gt;1,"Possible Duplicate Booking","Unique")</f>
        <v>Unique</v>
      </c>
      <c r="W3843" s="9" t="str">
        <f aca="false">IF((H3843-G3843)&lt;&gt;K3843,"Mismatch","OK")</f>
        <v>OK</v>
      </c>
      <c r="X3843" s="9" t="str">
        <f aca="false">IF(TEXT(H3843,"dddd")&lt;&gt;I3843,"Mismatch","OK")</f>
        <v>OK</v>
      </c>
      <c r="Y3843" s="9" t="str">
        <f aca="false">IF(AND(N3843="No",O3843&lt;&gt;""),"Unexpected: channel present but no reminder sent",IF(AND(N3843="Yes",O3843=""),"Missing channel for sent reminder","OK"))</f>
        <v>OK</v>
      </c>
    </row>
    <row r="3844" customFormat="false" ht="15" hidden="false" customHeight="false" outlineLevel="0" collapsed="false">
      <c r="A3844" s="7" t="s">
        <v>5500</v>
      </c>
      <c r="B3844" s="7" t="s">
        <v>496</v>
      </c>
      <c r="C3844" s="7" t="s">
        <v>47</v>
      </c>
      <c r="D3844" s="7" t="n">
        <v>28</v>
      </c>
      <c r="E3844" s="7" t="s">
        <v>48</v>
      </c>
      <c r="F3844" s="7" t="s">
        <v>57</v>
      </c>
      <c r="G3844" s="8" t="n">
        <v>45924</v>
      </c>
      <c r="H3844" s="8" t="n">
        <v>45963</v>
      </c>
      <c r="I3844" s="7" t="s">
        <v>75</v>
      </c>
      <c r="J3844" s="7" t="s">
        <v>51</v>
      </c>
      <c r="K3844" s="7" t="n">
        <v>39</v>
      </c>
      <c r="L3844" s="7" t="n">
        <v>5</v>
      </c>
      <c r="M3844" s="7" t="n">
        <v>1</v>
      </c>
      <c r="N3844" s="7" t="s">
        <v>42</v>
      </c>
      <c r="O3844" s="7" t="s">
        <v>52</v>
      </c>
      <c r="P3844" s="7" t="n">
        <v>16.2</v>
      </c>
      <c r="Q3844" s="7" t="n">
        <v>32</v>
      </c>
      <c r="R3844" s="7" t="s">
        <v>53</v>
      </c>
      <c r="S3844" s="7"/>
      <c r="T3844" s="7"/>
      <c r="U3844" s="7" t="str">
        <f aca="false">IF(COUNTIF($A$2:$A$5001,A3844)&gt;1,"Duplicate","Unique")</f>
        <v>Unique</v>
      </c>
      <c r="V3844" s="7" t="str">
        <f aca="false">IF(COUNTIFS($B$2:$B$5001,B3844,$H$2:$H$5001,H3844,$J$2:$J$5001,J3844)&gt;1,"Possible Duplicate Booking","Unique")</f>
        <v>Unique</v>
      </c>
      <c r="W3844" s="7" t="str">
        <f aca="false">IF((H3844-G3844)&lt;&gt;K3844,"Mismatch","OK")</f>
        <v>OK</v>
      </c>
      <c r="X3844" s="7" t="str">
        <f aca="false">IF(TEXT(H3844,"dddd")&lt;&gt;I3844,"Mismatch","OK")</f>
        <v>OK</v>
      </c>
      <c r="Y3844" s="7" t="str">
        <f aca="false">IF(AND(N3844="No",O3844&lt;&gt;""),"Unexpected: channel present but no reminder sent",IF(AND(N3844="Yes",O3844=""),"Missing channel for sent reminder","OK"))</f>
        <v>OK</v>
      </c>
    </row>
    <row r="3845" customFormat="false" ht="15" hidden="false" customHeight="false" outlineLevel="0" collapsed="false">
      <c r="A3845" s="9" t="s">
        <v>5501</v>
      </c>
      <c r="B3845" s="9" t="s">
        <v>4460</v>
      </c>
      <c r="C3845" s="9" t="s">
        <v>47</v>
      </c>
      <c r="D3845" s="9" t="n">
        <v>67</v>
      </c>
      <c r="E3845" s="9" t="s">
        <v>70</v>
      </c>
      <c r="F3845" s="9" t="s">
        <v>57</v>
      </c>
      <c r="G3845" s="10" t="n">
        <v>45811</v>
      </c>
      <c r="H3845" s="10" t="n">
        <v>45821</v>
      </c>
      <c r="I3845" s="9" t="s">
        <v>50</v>
      </c>
      <c r="J3845" s="9" t="s">
        <v>51</v>
      </c>
      <c r="K3845" s="9" t="n">
        <v>10</v>
      </c>
      <c r="L3845" s="9" t="n">
        <v>3</v>
      </c>
      <c r="M3845" s="9" t="n">
        <v>1</v>
      </c>
      <c r="N3845" s="9" t="s">
        <v>42</v>
      </c>
      <c r="O3845" s="9" t="s">
        <v>52</v>
      </c>
      <c r="P3845" s="9" t="n">
        <v>1.3</v>
      </c>
      <c r="Q3845" s="9" t="n">
        <v>15</v>
      </c>
      <c r="R3845" s="9" t="s">
        <v>53</v>
      </c>
      <c r="S3845" s="9"/>
      <c r="T3845" s="9"/>
      <c r="U3845" s="9" t="str">
        <f aca="false">IF(COUNTIF($A$2:$A$5001,A3845)&gt;1,"Duplicate","Unique")</f>
        <v>Unique</v>
      </c>
      <c r="V3845" s="9" t="str">
        <f aca="false">IF(COUNTIFS($B$2:$B$5001,B3845,$H$2:$H$5001,H3845,$J$2:$J$5001,J3845)&gt;1,"Possible Duplicate Booking","Unique")</f>
        <v>Unique</v>
      </c>
      <c r="W3845" s="9" t="str">
        <f aca="false">IF((H3845-G3845)&lt;&gt;K3845,"Mismatch","OK")</f>
        <v>OK</v>
      </c>
      <c r="X3845" s="9" t="str">
        <f aca="false">IF(TEXT(H3845,"dddd")&lt;&gt;I3845,"Mismatch","OK")</f>
        <v>OK</v>
      </c>
      <c r="Y3845" s="9" t="str">
        <f aca="false">IF(AND(N3845="No",O3845&lt;&gt;""),"Unexpected: channel present but no reminder sent",IF(AND(N3845="Yes",O3845=""),"Missing channel for sent reminder","OK"))</f>
        <v>OK</v>
      </c>
    </row>
    <row r="3846" customFormat="false" ht="15" hidden="false" customHeight="false" outlineLevel="0" collapsed="false">
      <c r="A3846" s="7" t="s">
        <v>5502</v>
      </c>
      <c r="B3846" s="7" t="s">
        <v>1337</v>
      </c>
      <c r="C3846" s="7" t="s">
        <v>47</v>
      </c>
      <c r="D3846" s="7" t="n">
        <v>54</v>
      </c>
      <c r="E3846" s="7" t="s">
        <v>56</v>
      </c>
      <c r="F3846" s="7" t="s">
        <v>39</v>
      </c>
      <c r="G3846" s="8" t="n">
        <v>46129</v>
      </c>
      <c r="H3846" s="8" t="n">
        <v>46160</v>
      </c>
      <c r="I3846" s="7" t="s">
        <v>66</v>
      </c>
      <c r="J3846" s="7" t="s">
        <v>41</v>
      </c>
      <c r="K3846" s="7" t="n">
        <v>31</v>
      </c>
      <c r="L3846" s="7" t="n">
        <v>4</v>
      </c>
      <c r="M3846" s="7" t="n">
        <v>0</v>
      </c>
      <c r="N3846" s="7" t="s">
        <v>71</v>
      </c>
      <c r="O3846" s="7"/>
      <c r="P3846" s="7" t="n">
        <v>2.9</v>
      </c>
      <c r="Q3846" s="7" t="n">
        <v>17</v>
      </c>
      <c r="R3846" s="7" t="s">
        <v>87</v>
      </c>
      <c r="S3846" s="7"/>
      <c r="T3846" s="7"/>
      <c r="U3846" s="7" t="str">
        <f aca="false">IF(COUNTIF($A$2:$A$5001,A3846)&gt;1,"Duplicate","Unique")</f>
        <v>Unique</v>
      </c>
      <c r="V3846" s="7" t="str">
        <f aca="false">IF(COUNTIFS($B$2:$B$5001,B3846,$H$2:$H$5001,H3846,$J$2:$J$5001,J3846)&gt;1,"Possible Duplicate Booking","Unique")</f>
        <v>Unique</v>
      </c>
      <c r="W3846" s="7" t="str">
        <f aca="false">IF((H3846-G3846)&lt;&gt;K3846,"Mismatch","OK")</f>
        <v>OK</v>
      </c>
      <c r="X3846" s="7" t="str">
        <f aca="false">IF(TEXT(H3846,"dddd")&lt;&gt;I3846,"Mismatch","OK")</f>
        <v>OK</v>
      </c>
      <c r="Y3846" s="7" t="str">
        <f aca="false">IF(AND(N3846="No",O3846&lt;&gt;""),"Unexpected: channel present but no reminder sent",IF(AND(N3846="Yes",O3846=""),"Missing channel for sent reminder","OK"))</f>
        <v>OK</v>
      </c>
    </row>
    <row r="3847" customFormat="false" ht="15" hidden="false" customHeight="false" outlineLevel="0" collapsed="false">
      <c r="A3847" s="9" t="s">
        <v>5503</v>
      </c>
      <c r="B3847" s="9" t="s">
        <v>156</v>
      </c>
      <c r="C3847" s="9" t="s">
        <v>37</v>
      </c>
      <c r="D3847" s="9" t="n">
        <v>44</v>
      </c>
      <c r="E3847" s="9" t="s">
        <v>38</v>
      </c>
      <c r="F3847" s="9" t="s">
        <v>39</v>
      </c>
      <c r="G3847" s="10" t="n">
        <v>45881</v>
      </c>
      <c r="H3847" s="10" t="n">
        <v>45918</v>
      </c>
      <c r="I3847" s="9" t="s">
        <v>62</v>
      </c>
      <c r="J3847" s="9" t="s">
        <v>51</v>
      </c>
      <c r="K3847" s="9" t="n">
        <v>37</v>
      </c>
      <c r="L3847" s="9" t="n">
        <v>3</v>
      </c>
      <c r="M3847" s="9" t="n">
        <v>1</v>
      </c>
      <c r="N3847" s="9" t="s">
        <v>42</v>
      </c>
      <c r="O3847" s="9" t="s">
        <v>52</v>
      </c>
      <c r="P3847" s="9" t="n">
        <v>5.2</v>
      </c>
      <c r="Q3847" s="9" t="n">
        <v>25</v>
      </c>
      <c r="R3847" s="9" t="s">
        <v>53</v>
      </c>
      <c r="S3847" s="9"/>
      <c r="T3847" s="9"/>
      <c r="U3847" s="9" t="str">
        <f aca="false">IF(COUNTIF($A$2:$A$5001,A3847)&gt;1,"Duplicate","Unique")</f>
        <v>Unique</v>
      </c>
      <c r="V3847" s="9" t="str">
        <f aca="false">IF(COUNTIFS($B$2:$B$5001,B3847,$H$2:$H$5001,H3847,$J$2:$J$5001,J3847)&gt;1,"Possible Duplicate Booking","Unique")</f>
        <v>Unique</v>
      </c>
      <c r="W3847" s="9" t="str">
        <f aca="false">IF((H3847-G3847)&lt;&gt;K3847,"Mismatch","OK")</f>
        <v>OK</v>
      </c>
      <c r="X3847" s="9" t="str">
        <f aca="false">IF(TEXT(H3847,"dddd")&lt;&gt;I3847,"Mismatch","OK")</f>
        <v>OK</v>
      </c>
      <c r="Y3847" s="9" t="str">
        <f aca="false">IF(AND(N3847="No",O3847&lt;&gt;""),"Unexpected: channel present but no reminder sent",IF(AND(N3847="Yes",O3847=""),"Missing channel for sent reminder","OK"))</f>
        <v>OK</v>
      </c>
    </row>
    <row r="3848" customFormat="false" ht="15" hidden="false" customHeight="false" outlineLevel="0" collapsed="false">
      <c r="A3848" s="7" t="s">
        <v>5504</v>
      </c>
      <c r="B3848" s="7" t="s">
        <v>195</v>
      </c>
      <c r="C3848" s="7" t="s">
        <v>47</v>
      </c>
      <c r="D3848" s="7" t="n">
        <v>47</v>
      </c>
      <c r="E3848" s="7" t="s">
        <v>56</v>
      </c>
      <c r="F3848" s="7" t="s">
        <v>49</v>
      </c>
      <c r="G3848" s="8" t="n">
        <v>46065</v>
      </c>
      <c r="H3848" s="8" t="n">
        <v>46079</v>
      </c>
      <c r="I3848" s="7" t="s">
        <v>62</v>
      </c>
      <c r="J3848" s="7" t="s">
        <v>51</v>
      </c>
      <c r="K3848" s="7" t="n">
        <v>14</v>
      </c>
      <c r="L3848" s="7" t="n">
        <v>4</v>
      </c>
      <c r="M3848" s="7" t="n">
        <v>1</v>
      </c>
      <c r="N3848" s="7" t="s">
        <v>71</v>
      </c>
      <c r="O3848" s="7"/>
      <c r="P3848" s="7" t="n">
        <v>7</v>
      </c>
      <c r="Q3848" s="7" t="n">
        <v>9</v>
      </c>
      <c r="R3848" s="7" t="s">
        <v>44</v>
      </c>
      <c r="S3848" s="7"/>
      <c r="T3848" s="7"/>
      <c r="U3848" s="7" t="str">
        <f aca="false">IF(COUNTIF($A$2:$A$5001,A3848)&gt;1,"Duplicate","Unique")</f>
        <v>Unique</v>
      </c>
      <c r="V3848" s="7" t="str">
        <f aca="false">IF(COUNTIFS($B$2:$B$5001,B3848,$H$2:$H$5001,H3848,$J$2:$J$5001,J3848)&gt;1,"Possible Duplicate Booking","Unique")</f>
        <v>Unique</v>
      </c>
      <c r="W3848" s="7" t="str">
        <f aca="false">IF((H3848-G3848)&lt;&gt;K3848,"Mismatch","OK")</f>
        <v>OK</v>
      </c>
      <c r="X3848" s="7" t="str">
        <f aca="false">IF(TEXT(H3848,"dddd")&lt;&gt;I3848,"Mismatch","OK")</f>
        <v>OK</v>
      </c>
      <c r="Y3848" s="7" t="str">
        <f aca="false">IF(AND(N3848="No",O3848&lt;&gt;""),"Unexpected: channel present but no reminder sent",IF(AND(N3848="Yes",O3848=""),"Missing channel for sent reminder","OK"))</f>
        <v>OK</v>
      </c>
    </row>
    <row r="3849" customFormat="false" ht="15" hidden="false" customHeight="false" outlineLevel="0" collapsed="false">
      <c r="A3849" s="9" t="s">
        <v>5505</v>
      </c>
      <c r="B3849" s="9" t="s">
        <v>2444</v>
      </c>
      <c r="C3849" s="9" t="s">
        <v>47</v>
      </c>
      <c r="D3849" s="9" t="n">
        <v>50</v>
      </c>
      <c r="E3849" s="9" t="s">
        <v>56</v>
      </c>
      <c r="F3849" s="9" t="s">
        <v>57</v>
      </c>
      <c r="G3849" s="10" t="n">
        <v>45841</v>
      </c>
      <c r="H3849" s="10" t="n">
        <v>45854</v>
      </c>
      <c r="I3849" s="9" t="s">
        <v>58</v>
      </c>
      <c r="J3849" s="9" t="s">
        <v>41</v>
      </c>
      <c r="K3849" s="9" t="n">
        <v>13</v>
      </c>
      <c r="L3849" s="9" t="n">
        <v>3</v>
      </c>
      <c r="M3849" s="9" t="n">
        <v>0</v>
      </c>
      <c r="N3849" s="9" t="s">
        <v>42</v>
      </c>
      <c r="O3849" s="9" t="s">
        <v>52</v>
      </c>
      <c r="P3849" s="9" t="n">
        <v>5.9</v>
      </c>
      <c r="Q3849" s="9" t="n">
        <v>11</v>
      </c>
      <c r="R3849" s="9" t="s">
        <v>53</v>
      </c>
      <c r="S3849" s="9"/>
      <c r="T3849" s="9"/>
      <c r="U3849" s="9" t="str">
        <f aca="false">IF(COUNTIF($A$2:$A$5001,A3849)&gt;1,"Duplicate","Unique")</f>
        <v>Unique</v>
      </c>
      <c r="V3849" s="9" t="str">
        <f aca="false">IF(COUNTIFS($B$2:$B$5001,B3849,$H$2:$H$5001,H3849,$J$2:$J$5001,J3849)&gt;1,"Possible Duplicate Booking","Unique")</f>
        <v>Unique</v>
      </c>
      <c r="W3849" s="9" t="str">
        <f aca="false">IF((H3849-G3849)&lt;&gt;K3849,"Mismatch","OK")</f>
        <v>OK</v>
      </c>
      <c r="X3849" s="9" t="str">
        <f aca="false">IF(TEXT(H3849,"dddd")&lt;&gt;I3849,"Mismatch","OK")</f>
        <v>OK</v>
      </c>
      <c r="Y3849" s="9" t="str">
        <f aca="false">IF(AND(N3849="No",O3849&lt;&gt;""),"Unexpected: channel present but no reminder sent",IF(AND(N3849="Yes",O3849=""),"Missing channel for sent reminder","OK"))</f>
        <v>OK</v>
      </c>
    </row>
    <row r="3850" customFormat="false" ht="15" hidden="false" customHeight="false" outlineLevel="0" collapsed="false">
      <c r="A3850" s="7" t="s">
        <v>5506</v>
      </c>
      <c r="B3850" s="7" t="s">
        <v>1633</v>
      </c>
      <c r="C3850" s="7" t="s">
        <v>37</v>
      </c>
      <c r="D3850" s="7" t="n">
        <v>52</v>
      </c>
      <c r="E3850" s="7" t="s">
        <v>56</v>
      </c>
      <c r="F3850" s="7" t="s">
        <v>39</v>
      </c>
      <c r="G3850" s="8" t="n">
        <v>46041</v>
      </c>
      <c r="H3850" s="8" t="n">
        <v>46062</v>
      </c>
      <c r="I3850" s="7" t="s">
        <v>66</v>
      </c>
      <c r="J3850" s="7" t="s">
        <v>63</v>
      </c>
      <c r="K3850" s="7" t="n">
        <v>21</v>
      </c>
      <c r="L3850" s="7" t="n">
        <v>3</v>
      </c>
      <c r="M3850" s="7" t="n">
        <v>1</v>
      </c>
      <c r="N3850" s="7" t="s">
        <v>42</v>
      </c>
      <c r="O3850" s="7" t="s">
        <v>52</v>
      </c>
      <c r="P3850" s="7" t="n">
        <v>3.4</v>
      </c>
      <c r="Q3850" s="7" t="n">
        <v>34</v>
      </c>
      <c r="R3850" s="7" t="s">
        <v>87</v>
      </c>
      <c r="S3850" s="7"/>
      <c r="T3850" s="7"/>
      <c r="U3850" s="7" t="str">
        <f aca="false">IF(COUNTIF($A$2:$A$5001,A3850)&gt;1,"Duplicate","Unique")</f>
        <v>Unique</v>
      </c>
      <c r="V3850" s="7" t="str">
        <f aca="false">IF(COUNTIFS($B$2:$B$5001,B3850,$H$2:$H$5001,H3850,$J$2:$J$5001,J3850)&gt;1,"Possible Duplicate Booking","Unique")</f>
        <v>Unique</v>
      </c>
      <c r="W3850" s="7" t="str">
        <f aca="false">IF((H3850-G3850)&lt;&gt;K3850,"Mismatch","OK")</f>
        <v>OK</v>
      </c>
      <c r="X3850" s="7" t="str">
        <f aca="false">IF(TEXT(H3850,"dddd")&lt;&gt;I3850,"Mismatch","OK")</f>
        <v>OK</v>
      </c>
      <c r="Y3850" s="7" t="str">
        <f aca="false">IF(AND(N3850="No",O3850&lt;&gt;""),"Unexpected: channel present but no reminder sent",IF(AND(N3850="Yes",O3850=""),"Missing channel for sent reminder","OK"))</f>
        <v>OK</v>
      </c>
    </row>
    <row r="3851" customFormat="false" ht="15" hidden="false" customHeight="false" outlineLevel="0" collapsed="false">
      <c r="A3851" s="9" t="s">
        <v>5507</v>
      </c>
      <c r="B3851" s="9" t="s">
        <v>1379</v>
      </c>
      <c r="C3851" s="9" t="s">
        <v>37</v>
      </c>
      <c r="D3851" s="9" t="n">
        <v>39</v>
      </c>
      <c r="E3851" s="9" t="s">
        <v>38</v>
      </c>
      <c r="F3851" s="9" t="s">
        <v>74</v>
      </c>
      <c r="G3851" s="10" t="n">
        <v>45744</v>
      </c>
      <c r="H3851" s="10" t="n">
        <v>45780</v>
      </c>
      <c r="I3851" s="9" t="s">
        <v>102</v>
      </c>
      <c r="J3851" s="9" t="s">
        <v>51</v>
      </c>
      <c r="K3851" s="9" t="n">
        <v>36</v>
      </c>
      <c r="L3851" s="9" t="n">
        <v>3</v>
      </c>
      <c r="M3851" s="9" t="n">
        <v>2</v>
      </c>
      <c r="N3851" s="9" t="s">
        <v>42</v>
      </c>
      <c r="O3851" s="9" t="s">
        <v>43</v>
      </c>
      <c r="P3851" s="9" t="n">
        <v>10.3</v>
      </c>
      <c r="Q3851" s="9" t="n">
        <v>33</v>
      </c>
      <c r="R3851" s="9" t="s">
        <v>53</v>
      </c>
      <c r="S3851" s="9"/>
      <c r="T3851" s="9"/>
      <c r="U3851" s="9" t="str">
        <f aca="false">IF(COUNTIF($A$2:$A$5001,A3851)&gt;1,"Duplicate","Unique")</f>
        <v>Unique</v>
      </c>
      <c r="V3851" s="9" t="str">
        <f aca="false">IF(COUNTIFS($B$2:$B$5001,B3851,$H$2:$H$5001,H3851,$J$2:$J$5001,J3851)&gt;1,"Possible Duplicate Booking","Unique")</f>
        <v>Unique</v>
      </c>
      <c r="W3851" s="9" t="str">
        <f aca="false">IF((H3851-G3851)&lt;&gt;K3851,"Mismatch","OK")</f>
        <v>OK</v>
      </c>
      <c r="X3851" s="9" t="str">
        <f aca="false">IF(TEXT(H3851,"dddd")&lt;&gt;I3851,"Mismatch","OK")</f>
        <v>OK</v>
      </c>
      <c r="Y3851" s="9" t="str">
        <f aca="false">IF(AND(N3851="No",O3851&lt;&gt;""),"Unexpected: channel present but no reminder sent",IF(AND(N3851="Yes",O3851=""),"Missing channel for sent reminder","OK"))</f>
        <v>OK</v>
      </c>
    </row>
    <row r="3852" customFormat="false" ht="15" hidden="false" customHeight="false" outlineLevel="0" collapsed="false">
      <c r="A3852" s="7" t="s">
        <v>5508</v>
      </c>
      <c r="B3852" s="7" t="s">
        <v>681</v>
      </c>
      <c r="C3852" s="7" t="s">
        <v>37</v>
      </c>
      <c r="D3852" s="7" t="n">
        <v>32</v>
      </c>
      <c r="E3852" s="7" t="s">
        <v>48</v>
      </c>
      <c r="F3852" s="7" t="s">
        <v>57</v>
      </c>
      <c r="G3852" s="8" t="n">
        <v>46043</v>
      </c>
      <c r="H3852" s="8" t="n">
        <v>46058</v>
      </c>
      <c r="I3852" s="7" t="s">
        <v>62</v>
      </c>
      <c r="J3852" s="7" t="s">
        <v>51</v>
      </c>
      <c r="K3852" s="7" t="n">
        <v>15</v>
      </c>
      <c r="L3852" s="7" t="n">
        <v>3</v>
      </c>
      <c r="M3852" s="7" t="n">
        <v>0</v>
      </c>
      <c r="N3852" s="7" t="s">
        <v>42</v>
      </c>
      <c r="O3852" s="7" t="s">
        <v>52</v>
      </c>
      <c r="P3852" s="7" t="n">
        <v>10</v>
      </c>
      <c r="Q3852" s="7" t="n">
        <v>24</v>
      </c>
      <c r="R3852" s="7" t="s">
        <v>53</v>
      </c>
      <c r="S3852" s="7"/>
      <c r="T3852" s="7"/>
      <c r="U3852" s="7" t="str">
        <f aca="false">IF(COUNTIF($A$2:$A$5001,A3852)&gt;1,"Duplicate","Unique")</f>
        <v>Unique</v>
      </c>
      <c r="V3852" s="7" t="str">
        <f aca="false">IF(COUNTIFS($B$2:$B$5001,B3852,$H$2:$H$5001,H3852,$J$2:$J$5001,J3852)&gt;1,"Possible Duplicate Booking","Unique")</f>
        <v>Unique</v>
      </c>
      <c r="W3852" s="7" t="str">
        <f aca="false">IF((H3852-G3852)&lt;&gt;K3852,"Mismatch","OK")</f>
        <v>OK</v>
      </c>
      <c r="X3852" s="7" t="str">
        <f aca="false">IF(TEXT(H3852,"dddd")&lt;&gt;I3852,"Mismatch","OK")</f>
        <v>OK</v>
      </c>
      <c r="Y3852" s="7" t="str">
        <f aca="false">IF(AND(N3852="No",O3852&lt;&gt;""),"Unexpected: channel present but no reminder sent",IF(AND(N3852="Yes",O3852=""),"Missing channel for sent reminder","OK"))</f>
        <v>OK</v>
      </c>
    </row>
    <row r="3853" customFormat="false" ht="15" hidden="false" customHeight="false" outlineLevel="0" collapsed="false">
      <c r="A3853" s="9" t="s">
        <v>5509</v>
      </c>
      <c r="B3853" s="9" t="s">
        <v>3066</v>
      </c>
      <c r="C3853" s="9" t="s">
        <v>47</v>
      </c>
      <c r="D3853" s="9" t="n">
        <v>28</v>
      </c>
      <c r="E3853" s="9" t="s">
        <v>48</v>
      </c>
      <c r="F3853" s="9" t="s">
        <v>57</v>
      </c>
      <c r="G3853" s="10" t="n">
        <v>45660</v>
      </c>
      <c r="H3853" s="10" t="n">
        <v>45683</v>
      </c>
      <c r="I3853" s="9" t="s">
        <v>75</v>
      </c>
      <c r="J3853" s="9" t="s">
        <v>41</v>
      </c>
      <c r="K3853" s="9" t="n">
        <v>23</v>
      </c>
      <c r="L3853" s="9" t="n">
        <v>2</v>
      </c>
      <c r="M3853" s="9" t="n">
        <v>0</v>
      </c>
      <c r="N3853" s="9" t="s">
        <v>71</v>
      </c>
      <c r="O3853" s="9"/>
      <c r="P3853" s="9" t="n">
        <v>5.9</v>
      </c>
      <c r="Q3853" s="9" t="n">
        <v>32</v>
      </c>
      <c r="R3853" s="9" t="s">
        <v>53</v>
      </c>
      <c r="S3853" s="9"/>
      <c r="T3853" s="9"/>
      <c r="U3853" s="9" t="str">
        <f aca="false">IF(COUNTIF($A$2:$A$5001,A3853)&gt;1,"Duplicate","Unique")</f>
        <v>Unique</v>
      </c>
      <c r="V3853" s="9" t="str">
        <f aca="false">IF(COUNTIFS($B$2:$B$5001,B3853,$H$2:$H$5001,H3853,$J$2:$J$5001,J3853)&gt;1,"Possible Duplicate Booking","Unique")</f>
        <v>Unique</v>
      </c>
      <c r="W3853" s="9" t="str">
        <f aca="false">IF((H3853-G3853)&lt;&gt;K3853,"Mismatch","OK")</f>
        <v>OK</v>
      </c>
      <c r="X3853" s="9" t="str">
        <f aca="false">IF(TEXT(H3853,"dddd")&lt;&gt;I3853,"Mismatch","OK")</f>
        <v>OK</v>
      </c>
      <c r="Y3853" s="9" t="str">
        <f aca="false">IF(AND(N3853="No",O3853&lt;&gt;""),"Unexpected: channel present but no reminder sent",IF(AND(N3853="Yes",O3853=""),"Missing channel for sent reminder","OK"))</f>
        <v>OK</v>
      </c>
    </row>
    <row r="3854" customFormat="false" ht="15" hidden="false" customHeight="false" outlineLevel="0" collapsed="false">
      <c r="A3854" s="7" t="s">
        <v>5510</v>
      </c>
      <c r="B3854" s="7" t="s">
        <v>3847</v>
      </c>
      <c r="C3854" s="7" t="s">
        <v>47</v>
      </c>
      <c r="D3854" s="7" t="n">
        <v>39</v>
      </c>
      <c r="E3854" s="7" t="s">
        <v>38</v>
      </c>
      <c r="F3854" s="7" t="s">
        <v>57</v>
      </c>
      <c r="G3854" s="8" t="n">
        <v>45682</v>
      </c>
      <c r="H3854" s="8" t="n">
        <v>45715</v>
      </c>
      <c r="I3854" s="7" t="s">
        <v>62</v>
      </c>
      <c r="J3854" s="7" t="s">
        <v>51</v>
      </c>
      <c r="K3854" s="7" t="n">
        <v>33</v>
      </c>
      <c r="L3854" s="7" t="n">
        <v>3</v>
      </c>
      <c r="M3854" s="7" t="n">
        <v>0</v>
      </c>
      <c r="N3854" s="7" t="s">
        <v>42</v>
      </c>
      <c r="O3854" s="7" t="s">
        <v>52</v>
      </c>
      <c r="P3854" s="7" t="n">
        <v>11.4</v>
      </c>
      <c r="Q3854" s="7" t="n">
        <v>25</v>
      </c>
      <c r="R3854" s="7" t="s">
        <v>44</v>
      </c>
      <c r="S3854" s="7"/>
      <c r="T3854" s="7"/>
      <c r="U3854" s="7" t="str">
        <f aca="false">IF(COUNTIF($A$2:$A$5001,A3854)&gt;1,"Duplicate","Unique")</f>
        <v>Unique</v>
      </c>
      <c r="V3854" s="7" t="str">
        <f aca="false">IF(COUNTIFS($B$2:$B$5001,B3854,$H$2:$H$5001,H3854,$J$2:$J$5001,J3854)&gt;1,"Possible Duplicate Booking","Unique")</f>
        <v>Unique</v>
      </c>
      <c r="W3854" s="7" t="str">
        <f aca="false">IF((H3854-G3854)&lt;&gt;K3854,"Mismatch","OK")</f>
        <v>OK</v>
      </c>
      <c r="X3854" s="7" t="str">
        <f aca="false">IF(TEXT(H3854,"dddd")&lt;&gt;I3854,"Mismatch","OK")</f>
        <v>OK</v>
      </c>
      <c r="Y3854" s="7" t="str">
        <f aca="false">IF(AND(N3854="No",O3854&lt;&gt;""),"Unexpected: channel present but no reminder sent",IF(AND(N3854="Yes",O3854=""),"Missing channel for sent reminder","OK"))</f>
        <v>OK</v>
      </c>
    </row>
    <row r="3855" customFormat="false" ht="15" hidden="false" customHeight="false" outlineLevel="0" collapsed="false">
      <c r="A3855" s="9" t="s">
        <v>5511</v>
      </c>
      <c r="B3855" s="9" t="s">
        <v>958</v>
      </c>
      <c r="C3855" s="9" t="s">
        <v>47</v>
      </c>
      <c r="D3855" s="9" t="n">
        <v>34</v>
      </c>
      <c r="E3855" s="9" t="s">
        <v>48</v>
      </c>
      <c r="F3855" s="9" t="s">
        <v>57</v>
      </c>
      <c r="G3855" s="10" t="n">
        <v>45839</v>
      </c>
      <c r="H3855" s="10" t="n">
        <v>45850</v>
      </c>
      <c r="I3855" s="9" t="s">
        <v>102</v>
      </c>
      <c r="J3855" s="9" t="s">
        <v>63</v>
      </c>
      <c r="K3855" s="9" t="n">
        <v>11</v>
      </c>
      <c r="L3855" s="9" t="n">
        <v>1</v>
      </c>
      <c r="M3855" s="9" t="n">
        <v>0</v>
      </c>
      <c r="N3855" s="9" t="s">
        <v>71</v>
      </c>
      <c r="O3855" s="9"/>
      <c r="P3855" s="9" t="n">
        <v>7.8</v>
      </c>
      <c r="Q3855" s="9" t="n">
        <v>15</v>
      </c>
      <c r="R3855" s="9" t="s">
        <v>53</v>
      </c>
      <c r="S3855" s="9"/>
      <c r="T3855" s="9"/>
      <c r="U3855" s="9" t="str">
        <f aca="false">IF(COUNTIF($A$2:$A$5001,A3855)&gt;1,"Duplicate","Unique")</f>
        <v>Unique</v>
      </c>
      <c r="V3855" s="9" t="str">
        <f aca="false">IF(COUNTIFS($B$2:$B$5001,B3855,$H$2:$H$5001,H3855,$J$2:$J$5001,J3855)&gt;1,"Possible Duplicate Booking","Unique")</f>
        <v>Unique</v>
      </c>
      <c r="W3855" s="9" t="str">
        <f aca="false">IF((H3855-G3855)&lt;&gt;K3855,"Mismatch","OK")</f>
        <v>OK</v>
      </c>
      <c r="X3855" s="9" t="str">
        <f aca="false">IF(TEXT(H3855,"dddd")&lt;&gt;I3855,"Mismatch","OK")</f>
        <v>OK</v>
      </c>
      <c r="Y3855" s="9" t="str">
        <f aca="false">IF(AND(N3855="No",O3855&lt;&gt;""),"Unexpected: channel present but no reminder sent",IF(AND(N3855="Yes",O3855=""),"Missing channel for sent reminder","OK"))</f>
        <v>OK</v>
      </c>
    </row>
    <row r="3856" customFormat="false" ht="15" hidden="false" customHeight="false" outlineLevel="0" collapsed="false">
      <c r="A3856" s="7" t="s">
        <v>5512</v>
      </c>
      <c r="B3856" s="7" t="s">
        <v>447</v>
      </c>
      <c r="C3856" s="7" t="s">
        <v>37</v>
      </c>
      <c r="D3856" s="7" t="n">
        <v>50</v>
      </c>
      <c r="E3856" s="7" t="s">
        <v>56</v>
      </c>
      <c r="F3856" s="7" t="s">
        <v>39</v>
      </c>
      <c r="G3856" s="8" t="n">
        <v>45887</v>
      </c>
      <c r="H3856" s="8" t="n">
        <v>45921</v>
      </c>
      <c r="I3856" s="7" t="s">
        <v>75</v>
      </c>
      <c r="J3856" s="7" t="s">
        <v>41</v>
      </c>
      <c r="K3856" s="7" t="n">
        <v>34</v>
      </c>
      <c r="L3856" s="7" t="n">
        <v>1</v>
      </c>
      <c r="M3856" s="7" t="n">
        <v>0</v>
      </c>
      <c r="N3856" s="7" t="s">
        <v>42</v>
      </c>
      <c r="O3856" s="7" t="s">
        <v>52</v>
      </c>
      <c r="P3856" s="7" t="n">
        <v>22.7</v>
      </c>
      <c r="Q3856" s="7" t="n">
        <v>11</v>
      </c>
      <c r="R3856" s="7" t="s">
        <v>53</v>
      </c>
      <c r="S3856" s="7"/>
      <c r="T3856" s="7"/>
      <c r="U3856" s="7" t="str">
        <f aca="false">IF(COUNTIF($A$2:$A$5001,A3856)&gt;1,"Duplicate","Unique")</f>
        <v>Unique</v>
      </c>
      <c r="V3856" s="7" t="str">
        <f aca="false">IF(COUNTIFS($B$2:$B$5001,B3856,$H$2:$H$5001,H3856,$J$2:$J$5001,J3856)&gt;1,"Possible Duplicate Booking","Unique")</f>
        <v>Unique</v>
      </c>
      <c r="W3856" s="7" t="str">
        <f aca="false">IF((H3856-G3856)&lt;&gt;K3856,"Mismatch","OK")</f>
        <v>OK</v>
      </c>
      <c r="X3856" s="7" t="str">
        <f aca="false">IF(TEXT(H3856,"dddd")&lt;&gt;I3856,"Mismatch","OK")</f>
        <v>OK</v>
      </c>
      <c r="Y3856" s="7" t="str">
        <f aca="false">IF(AND(N3856="No",O3856&lt;&gt;""),"Unexpected: channel present but no reminder sent",IF(AND(N3856="Yes",O3856=""),"Missing channel for sent reminder","OK"))</f>
        <v>OK</v>
      </c>
    </row>
    <row r="3857" customFormat="false" ht="15" hidden="false" customHeight="false" outlineLevel="0" collapsed="false">
      <c r="A3857" s="9" t="s">
        <v>5513</v>
      </c>
      <c r="B3857" s="9" t="s">
        <v>1264</v>
      </c>
      <c r="C3857" s="9" t="s">
        <v>37</v>
      </c>
      <c r="D3857" s="9" t="n">
        <v>75</v>
      </c>
      <c r="E3857" s="9" t="s">
        <v>70</v>
      </c>
      <c r="F3857" s="9" t="s">
        <v>57</v>
      </c>
      <c r="G3857" s="10" t="n">
        <v>46038</v>
      </c>
      <c r="H3857" s="10" t="n">
        <v>46046</v>
      </c>
      <c r="I3857" s="9" t="s">
        <v>102</v>
      </c>
      <c r="J3857" s="9" t="s">
        <v>51</v>
      </c>
      <c r="K3857" s="9" t="n">
        <v>8</v>
      </c>
      <c r="L3857" s="9" t="n">
        <v>3</v>
      </c>
      <c r="M3857" s="9" t="n">
        <v>0</v>
      </c>
      <c r="N3857" s="9" t="s">
        <v>42</v>
      </c>
      <c r="O3857" s="9" t="s">
        <v>43</v>
      </c>
      <c r="P3857" s="9" t="n">
        <v>2.5</v>
      </c>
      <c r="Q3857" s="9" t="n">
        <v>31</v>
      </c>
      <c r="R3857" s="9" t="s">
        <v>53</v>
      </c>
      <c r="S3857" s="9"/>
      <c r="T3857" s="9"/>
      <c r="U3857" s="9" t="str">
        <f aca="false">IF(COUNTIF($A$2:$A$5001,A3857)&gt;1,"Duplicate","Unique")</f>
        <v>Unique</v>
      </c>
      <c r="V3857" s="9" t="str">
        <f aca="false">IF(COUNTIFS($B$2:$B$5001,B3857,$H$2:$H$5001,H3857,$J$2:$J$5001,J3857)&gt;1,"Possible Duplicate Booking","Unique")</f>
        <v>Unique</v>
      </c>
      <c r="W3857" s="9" t="str">
        <f aca="false">IF((H3857-G3857)&lt;&gt;K3857,"Mismatch","OK")</f>
        <v>OK</v>
      </c>
      <c r="X3857" s="9" t="str">
        <f aca="false">IF(TEXT(H3857,"dddd")&lt;&gt;I3857,"Mismatch","OK")</f>
        <v>OK</v>
      </c>
      <c r="Y3857" s="9" t="str">
        <f aca="false">IF(AND(N3857="No",O3857&lt;&gt;""),"Unexpected: channel present but no reminder sent",IF(AND(N3857="Yes",O3857=""),"Missing channel for sent reminder","OK"))</f>
        <v>OK</v>
      </c>
    </row>
    <row r="3858" customFormat="false" ht="15" hidden="false" customHeight="false" outlineLevel="0" collapsed="false">
      <c r="A3858" s="7" t="s">
        <v>5514</v>
      </c>
      <c r="B3858" s="7" t="s">
        <v>923</v>
      </c>
      <c r="C3858" s="7" t="s">
        <v>47</v>
      </c>
      <c r="D3858" s="7" t="n">
        <v>24</v>
      </c>
      <c r="E3858" s="7" t="s">
        <v>82</v>
      </c>
      <c r="F3858" s="7" t="s">
        <v>39</v>
      </c>
      <c r="G3858" s="8" t="n">
        <v>45846</v>
      </c>
      <c r="H3858" s="8" t="n">
        <v>45854</v>
      </c>
      <c r="I3858" s="7" t="s">
        <v>58</v>
      </c>
      <c r="J3858" s="7" t="s">
        <v>41</v>
      </c>
      <c r="K3858" s="7" t="n">
        <v>8</v>
      </c>
      <c r="L3858" s="7" t="n">
        <v>3</v>
      </c>
      <c r="M3858" s="7" t="n">
        <v>0</v>
      </c>
      <c r="N3858" s="7" t="s">
        <v>42</v>
      </c>
      <c r="O3858" s="7" t="s">
        <v>52</v>
      </c>
      <c r="P3858" s="7" t="n">
        <v>4.6</v>
      </c>
      <c r="Q3858" s="7" t="n">
        <v>17</v>
      </c>
      <c r="R3858" s="7" t="s">
        <v>44</v>
      </c>
      <c r="S3858" s="7"/>
      <c r="T3858" s="7"/>
      <c r="U3858" s="7" t="str">
        <f aca="false">IF(COUNTIF($A$2:$A$5001,A3858)&gt;1,"Duplicate","Unique")</f>
        <v>Unique</v>
      </c>
      <c r="V3858" s="7" t="str">
        <f aca="false">IF(COUNTIFS($B$2:$B$5001,B3858,$H$2:$H$5001,H3858,$J$2:$J$5001,J3858)&gt;1,"Possible Duplicate Booking","Unique")</f>
        <v>Unique</v>
      </c>
      <c r="W3858" s="7" t="str">
        <f aca="false">IF((H3858-G3858)&lt;&gt;K3858,"Mismatch","OK")</f>
        <v>OK</v>
      </c>
      <c r="X3858" s="7" t="str">
        <f aca="false">IF(TEXT(H3858,"dddd")&lt;&gt;I3858,"Mismatch","OK")</f>
        <v>OK</v>
      </c>
      <c r="Y3858" s="7" t="str">
        <f aca="false">IF(AND(N3858="No",O3858&lt;&gt;""),"Unexpected: channel present but no reminder sent",IF(AND(N3858="Yes",O3858=""),"Missing channel for sent reminder","OK"))</f>
        <v>OK</v>
      </c>
    </row>
    <row r="3859" customFormat="false" ht="15" hidden="false" customHeight="false" outlineLevel="0" collapsed="false">
      <c r="A3859" s="9" t="s">
        <v>5515</v>
      </c>
      <c r="B3859" s="9" t="s">
        <v>886</v>
      </c>
      <c r="C3859" s="9" t="s">
        <v>47</v>
      </c>
      <c r="D3859" s="9" t="n">
        <v>37</v>
      </c>
      <c r="E3859" s="9" t="s">
        <v>38</v>
      </c>
      <c r="F3859" s="9" t="s">
        <v>74</v>
      </c>
      <c r="G3859" s="10" t="n">
        <v>45654</v>
      </c>
      <c r="H3859" s="10" t="n">
        <v>45668</v>
      </c>
      <c r="I3859" s="9" t="s">
        <v>102</v>
      </c>
      <c r="J3859" s="9" t="s">
        <v>51</v>
      </c>
      <c r="K3859" s="9" t="n">
        <v>14</v>
      </c>
      <c r="L3859" s="9" t="n">
        <v>2</v>
      </c>
      <c r="M3859" s="9" t="n">
        <v>1</v>
      </c>
      <c r="N3859" s="9" t="s">
        <v>42</v>
      </c>
      <c r="O3859" s="9" t="s">
        <v>52</v>
      </c>
      <c r="P3859" s="9" t="n">
        <v>7.3</v>
      </c>
      <c r="Q3859" s="9" t="n">
        <v>33</v>
      </c>
      <c r="R3859" s="9" t="s">
        <v>44</v>
      </c>
      <c r="S3859" s="9"/>
      <c r="T3859" s="9"/>
      <c r="U3859" s="9" t="str">
        <f aca="false">IF(COUNTIF($A$2:$A$5001,A3859)&gt;1,"Duplicate","Unique")</f>
        <v>Unique</v>
      </c>
      <c r="V3859" s="9" t="str">
        <f aca="false">IF(COUNTIFS($B$2:$B$5001,B3859,$H$2:$H$5001,H3859,$J$2:$J$5001,J3859)&gt;1,"Possible Duplicate Booking","Unique")</f>
        <v>Unique</v>
      </c>
      <c r="W3859" s="9" t="str">
        <f aca="false">IF((H3859-G3859)&lt;&gt;K3859,"Mismatch","OK")</f>
        <v>OK</v>
      </c>
      <c r="X3859" s="9" t="str">
        <f aca="false">IF(TEXT(H3859,"dddd")&lt;&gt;I3859,"Mismatch","OK")</f>
        <v>OK</v>
      </c>
      <c r="Y3859" s="9" t="str">
        <f aca="false">IF(AND(N3859="No",O3859&lt;&gt;""),"Unexpected: channel present but no reminder sent",IF(AND(N3859="Yes",O3859=""),"Missing channel for sent reminder","OK"))</f>
        <v>OK</v>
      </c>
    </row>
    <row r="3860" customFormat="false" ht="15" hidden="false" customHeight="false" outlineLevel="0" collapsed="false">
      <c r="A3860" s="7" t="s">
        <v>5516</v>
      </c>
      <c r="B3860" s="7" t="s">
        <v>2213</v>
      </c>
      <c r="C3860" s="7" t="s">
        <v>37</v>
      </c>
      <c r="D3860" s="7" t="n">
        <v>21</v>
      </c>
      <c r="E3860" s="7" t="s">
        <v>82</v>
      </c>
      <c r="F3860" s="7" t="s">
        <v>57</v>
      </c>
      <c r="G3860" s="8" t="n">
        <v>45818</v>
      </c>
      <c r="H3860" s="8" t="n">
        <v>45835</v>
      </c>
      <c r="I3860" s="7" t="s">
        <v>50</v>
      </c>
      <c r="J3860" s="7" t="s">
        <v>41</v>
      </c>
      <c r="K3860" s="7" t="n">
        <v>17</v>
      </c>
      <c r="L3860" s="7" t="n">
        <v>1</v>
      </c>
      <c r="M3860" s="7" t="n">
        <v>0</v>
      </c>
      <c r="N3860" s="7" t="s">
        <v>71</v>
      </c>
      <c r="O3860" s="7"/>
      <c r="P3860" s="7" t="n">
        <v>16.7</v>
      </c>
      <c r="Q3860" s="7" t="n">
        <v>21</v>
      </c>
      <c r="R3860" s="7" t="s">
        <v>44</v>
      </c>
      <c r="S3860" s="7"/>
      <c r="T3860" s="7"/>
      <c r="U3860" s="7" t="str">
        <f aca="false">IF(COUNTIF($A$2:$A$5001,A3860)&gt;1,"Duplicate","Unique")</f>
        <v>Unique</v>
      </c>
      <c r="V3860" s="7" t="str">
        <f aca="false">IF(COUNTIFS($B$2:$B$5001,B3860,$H$2:$H$5001,H3860,$J$2:$J$5001,J3860)&gt;1,"Possible Duplicate Booking","Unique")</f>
        <v>Unique</v>
      </c>
      <c r="W3860" s="7" t="str">
        <f aca="false">IF((H3860-G3860)&lt;&gt;K3860,"Mismatch","OK")</f>
        <v>OK</v>
      </c>
      <c r="X3860" s="7" t="str">
        <f aca="false">IF(TEXT(H3860,"dddd")&lt;&gt;I3860,"Mismatch","OK")</f>
        <v>OK</v>
      </c>
      <c r="Y3860" s="7" t="str">
        <f aca="false">IF(AND(N3860="No",O3860&lt;&gt;""),"Unexpected: channel present but no reminder sent",IF(AND(N3860="Yes",O3860=""),"Missing channel for sent reminder","OK"))</f>
        <v>OK</v>
      </c>
    </row>
    <row r="3861" customFormat="false" ht="15" hidden="false" customHeight="false" outlineLevel="0" collapsed="false">
      <c r="A3861" s="9" t="s">
        <v>5517</v>
      </c>
      <c r="B3861" s="9" t="s">
        <v>385</v>
      </c>
      <c r="C3861" s="9" t="s">
        <v>37</v>
      </c>
      <c r="D3861" s="9" t="n">
        <v>79</v>
      </c>
      <c r="E3861" s="9" t="s">
        <v>70</v>
      </c>
      <c r="F3861" s="9" t="s">
        <v>57</v>
      </c>
      <c r="G3861" s="10" t="n">
        <v>45896</v>
      </c>
      <c r="H3861" s="10" t="n">
        <v>45897</v>
      </c>
      <c r="I3861" s="9" t="s">
        <v>62</v>
      </c>
      <c r="J3861" s="9" t="s">
        <v>63</v>
      </c>
      <c r="K3861" s="9" t="n">
        <v>1</v>
      </c>
      <c r="L3861" s="9" t="n">
        <v>0</v>
      </c>
      <c r="M3861" s="9" t="n">
        <v>0</v>
      </c>
      <c r="N3861" s="9" t="s">
        <v>42</v>
      </c>
      <c r="O3861" s="9" t="s">
        <v>52</v>
      </c>
      <c r="P3861" s="9" t="n">
        <v>13.9</v>
      </c>
      <c r="Q3861" s="9" t="n">
        <v>38</v>
      </c>
      <c r="R3861" s="9" t="s">
        <v>53</v>
      </c>
      <c r="S3861" s="9"/>
      <c r="T3861" s="9"/>
      <c r="U3861" s="9" t="str">
        <f aca="false">IF(COUNTIF($A$2:$A$5001,A3861)&gt;1,"Duplicate","Unique")</f>
        <v>Unique</v>
      </c>
      <c r="V3861" s="9" t="str">
        <f aca="false">IF(COUNTIFS($B$2:$B$5001,B3861,$H$2:$H$5001,H3861,$J$2:$J$5001,J3861)&gt;1,"Possible Duplicate Booking","Unique")</f>
        <v>Unique</v>
      </c>
      <c r="W3861" s="9" t="str">
        <f aca="false">IF((H3861-G3861)&lt;&gt;K3861,"Mismatch","OK")</f>
        <v>OK</v>
      </c>
      <c r="X3861" s="9" t="str">
        <f aca="false">IF(TEXT(H3861,"dddd")&lt;&gt;I3861,"Mismatch","OK")</f>
        <v>OK</v>
      </c>
      <c r="Y3861" s="9" t="str">
        <f aca="false">IF(AND(N3861="No",O3861&lt;&gt;""),"Unexpected: channel present but no reminder sent",IF(AND(N3861="Yes",O3861=""),"Missing channel for sent reminder","OK"))</f>
        <v>OK</v>
      </c>
    </row>
    <row r="3862" customFormat="false" ht="15" hidden="false" customHeight="false" outlineLevel="0" collapsed="false">
      <c r="A3862" s="7" t="s">
        <v>5518</v>
      </c>
      <c r="B3862" s="7" t="s">
        <v>2281</v>
      </c>
      <c r="C3862" s="7" t="s">
        <v>37</v>
      </c>
      <c r="D3862" s="7" t="n">
        <v>62</v>
      </c>
      <c r="E3862" s="7" t="s">
        <v>61</v>
      </c>
      <c r="F3862" s="7" t="s">
        <v>49</v>
      </c>
      <c r="G3862" s="8" t="n">
        <v>45896</v>
      </c>
      <c r="H3862" s="8" t="n">
        <v>45954</v>
      </c>
      <c r="I3862" s="7" t="s">
        <v>50</v>
      </c>
      <c r="J3862" s="7" t="s">
        <v>51</v>
      </c>
      <c r="K3862" s="7" t="n">
        <v>58</v>
      </c>
      <c r="L3862" s="7" t="n">
        <v>2</v>
      </c>
      <c r="M3862" s="7" t="n">
        <v>0</v>
      </c>
      <c r="N3862" s="7" t="s">
        <v>42</v>
      </c>
      <c r="O3862" s="7" t="s">
        <v>43</v>
      </c>
      <c r="P3862" s="7" t="n">
        <v>12</v>
      </c>
      <c r="Q3862" s="7" t="n">
        <v>13</v>
      </c>
      <c r="R3862" s="7" t="s">
        <v>87</v>
      </c>
      <c r="S3862" s="7"/>
      <c r="T3862" s="7"/>
      <c r="U3862" s="7" t="str">
        <f aca="false">IF(COUNTIF($A$2:$A$5001,A3862)&gt;1,"Duplicate","Unique")</f>
        <v>Unique</v>
      </c>
      <c r="V3862" s="7" t="str">
        <f aca="false">IF(COUNTIFS($B$2:$B$5001,B3862,$H$2:$H$5001,H3862,$J$2:$J$5001,J3862)&gt;1,"Possible Duplicate Booking","Unique")</f>
        <v>Unique</v>
      </c>
      <c r="W3862" s="7" t="str">
        <f aca="false">IF((H3862-G3862)&lt;&gt;K3862,"Mismatch","OK")</f>
        <v>OK</v>
      </c>
      <c r="X3862" s="7" t="str">
        <f aca="false">IF(TEXT(H3862,"dddd")&lt;&gt;I3862,"Mismatch","OK")</f>
        <v>OK</v>
      </c>
      <c r="Y3862" s="7" t="str">
        <f aca="false">IF(AND(N3862="No",O3862&lt;&gt;""),"Unexpected: channel present but no reminder sent",IF(AND(N3862="Yes",O3862=""),"Missing channel for sent reminder","OK"))</f>
        <v>OK</v>
      </c>
    </row>
    <row r="3863" customFormat="false" ht="15" hidden="false" customHeight="false" outlineLevel="0" collapsed="false">
      <c r="A3863" s="9" t="s">
        <v>5519</v>
      </c>
      <c r="B3863" s="9" t="s">
        <v>5520</v>
      </c>
      <c r="C3863" s="9" t="s">
        <v>47</v>
      </c>
      <c r="D3863" s="9" t="n">
        <v>33</v>
      </c>
      <c r="E3863" s="9" t="s">
        <v>48</v>
      </c>
      <c r="F3863" s="9" t="s">
        <v>39</v>
      </c>
      <c r="G3863" s="10" t="n">
        <v>45991</v>
      </c>
      <c r="H3863" s="10" t="n">
        <v>46009</v>
      </c>
      <c r="I3863" s="9" t="s">
        <v>62</v>
      </c>
      <c r="J3863" s="9" t="s">
        <v>51</v>
      </c>
      <c r="K3863" s="9" t="n">
        <v>18</v>
      </c>
      <c r="L3863" s="9" t="n">
        <v>4</v>
      </c>
      <c r="M3863" s="9" t="n">
        <v>0</v>
      </c>
      <c r="N3863" s="9" t="s">
        <v>42</v>
      </c>
      <c r="O3863" s="9" t="s">
        <v>52</v>
      </c>
      <c r="P3863" s="9" t="n">
        <v>3</v>
      </c>
      <c r="Q3863" s="9" t="n">
        <v>11</v>
      </c>
      <c r="R3863" s="9" t="s">
        <v>53</v>
      </c>
      <c r="S3863" s="9"/>
      <c r="T3863" s="9"/>
      <c r="U3863" s="9" t="str">
        <f aca="false">IF(COUNTIF($A$2:$A$5001,A3863)&gt;1,"Duplicate","Unique")</f>
        <v>Unique</v>
      </c>
      <c r="V3863" s="9" t="str">
        <f aca="false">IF(COUNTIFS($B$2:$B$5001,B3863,$H$2:$H$5001,H3863,$J$2:$J$5001,J3863)&gt;1,"Possible Duplicate Booking","Unique")</f>
        <v>Unique</v>
      </c>
      <c r="W3863" s="9" t="str">
        <f aca="false">IF((H3863-G3863)&lt;&gt;K3863,"Mismatch","OK")</f>
        <v>OK</v>
      </c>
      <c r="X3863" s="9" t="str">
        <f aca="false">IF(TEXT(H3863,"dddd")&lt;&gt;I3863,"Mismatch","OK")</f>
        <v>OK</v>
      </c>
      <c r="Y3863" s="9" t="str">
        <f aca="false">IF(AND(N3863="No",O3863&lt;&gt;""),"Unexpected: channel present but no reminder sent",IF(AND(N3863="Yes",O3863=""),"Missing channel for sent reminder","OK"))</f>
        <v>OK</v>
      </c>
    </row>
    <row r="3864" customFormat="false" ht="15" hidden="false" customHeight="false" outlineLevel="0" collapsed="false">
      <c r="A3864" s="7" t="s">
        <v>5521</v>
      </c>
      <c r="B3864" s="7" t="s">
        <v>5522</v>
      </c>
      <c r="C3864" s="7" t="s">
        <v>47</v>
      </c>
      <c r="D3864" s="7" t="n">
        <v>44</v>
      </c>
      <c r="E3864" s="7" t="s">
        <v>38</v>
      </c>
      <c r="F3864" s="7" t="s">
        <v>74</v>
      </c>
      <c r="G3864" s="8" t="n">
        <v>45744</v>
      </c>
      <c r="H3864" s="8" t="n">
        <v>45793</v>
      </c>
      <c r="I3864" s="7" t="s">
        <v>50</v>
      </c>
      <c r="J3864" s="7" t="s">
        <v>63</v>
      </c>
      <c r="K3864" s="7" t="n">
        <v>49</v>
      </c>
      <c r="L3864" s="7" t="n">
        <v>2</v>
      </c>
      <c r="M3864" s="7" t="n">
        <v>0</v>
      </c>
      <c r="N3864" s="7" t="s">
        <v>42</v>
      </c>
      <c r="O3864" s="7" t="s">
        <v>43</v>
      </c>
      <c r="P3864" s="7" t="n">
        <v>5.4</v>
      </c>
      <c r="Q3864" s="7" t="n">
        <v>26</v>
      </c>
      <c r="R3864" s="7" t="s">
        <v>53</v>
      </c>
      <c r="S3864" s="7"/>
      <c r="T3864" s="7"/>
      <c r="U3864" s="7" t="str">
        <f aca="false">IF(COUNTIF($A$2:$A$5001,A3864)&gt;1,"Duplicate","Unique")</f>
        <v>Unique</v>
      </c>
      <c r="V3864" s="7" t="str">
        <f aca="false">IF(COUNTIFS($B$2:$B$5001,B3864,$H$2:$H$5001,H3864,$J$2:$J$5001,J3864)&gt;1,"Possible Duplicate Booking","Unique")</f>
        <v>Unique</v>
      </c>
      <c r="W3864" s="7" t="str">
        <f aca="false">IF((H3864-G3864)&lt;&gt;K3864,"Mismatch","OK")</f>
        <v>OK</v>
      </c>
      <c r="X3864" s="7" t="str">
        <f aca="false">IF(TEXT(H3864,"dddd")&lt;&gt;I3864,"Mismatch","OK")</f>
        <v>OK</v>
      </c>
      <c r="Y3864" s="7" t="str">
        <f aca="false">IF(AND(N3864="No",O3864&lt;&gt;""),"Unexpected: channel present but no reminder sent",IF(AND(N3864="Yes",O3864=""),"Missing channel for sent reminder","OK"))</f>
        <v>OK</v>
      </c>
    </row>
    <row r="3865" customFormat="false" ht="15" hidden="false" customHeight="false" outlineLevel="0" collapsed="false">
      <c r="A3865" s="9" t="s">
        <v>5523</v>
      </c>
      <c r="B3865" s="9" t="s">
        <v>5203</v>
      </c>
      <c r="C3865" s="9" t="s">
        <v>47</v>
      </c>
      <c r="D3865" s="9" t="n">
        <v>63</v>
      </c>
      <c r="E3865" s="9" t="s">
        <v>61</v>
      </c>
      <c r="F3865" s="9" t="s">
        <v>57</v>
      </c>
      <c r="G3865" s="10" t="n">
        <v>45936</v>
      </c>
      <c r="H3865" s="10" t="n">
        <v>45991</v>
      </c>
      <c r="I3865" s="9" t="s">
        <v>75</v>
      </c>
      <c r="J3865" s="9" t="s">
        <v>41</v>
      </c>
      <c r="K3865" s="9" t="n">
        <v>55</v>
      </c>
      <c r="L3865" s="9" t="n">
        <v>3</v>
      </c>
      <c r="M3865" s="9" t="n">
        <v>1</v>
      </c>
      <c r="N3865" s="9" t="s">
        <v>42</v>
      </c>
      <c r="O3865" s="9" t="s">
        <v>67</v>
      </c>
      <c r="P3865" s="9" t="n">
        <v>7.8</v>
      </c>
      <c r="Q3865" s="9" t="n">
        <v>20</v>
      </c>
      <c r="R3865" s="9" t="s">
        <v>44</v>
      </c>
      <c r="S3865" s="9"/>
      <c r="T3865" s="9"/>
      <c r="U3865" s="9" t="str">
        <f aca="false">IF(COUNTIF($A$2:$A$5001,A3865)&gt;1,"Duplicate","Unique")</f>
        <v>Unique</v>
      </c>
      <c r="V3865" s="9" t="str">
        <f aca="false">IF(COUNTIFS($B$2:$B$5001,B3865,$H$2:$H$5001,H3865,$J$2:$J$5001,J3865)&gt;1,"Possible Duplicate Booking","Unique")</f>
        <v>Unique</v>
      </c>
      <c r="W3865" s="9" t="str">
        <f aca="false">IF((H3865-G3865)&lt;&gt;K3865,"Mismatch","OK")</f>
        <v>OK</v>
      </c>
      <c r="X3865" s="9" t="str">
        <f aca="false">IF(TEXT(H3865,"dddd")&lt;&gt;I3865,"Mismatch","OK")</f>
        <v>OK</v>
      </c>
      <c r="Y3865" s="9" t="str">
        <f aca="false">IF(AND(N3865="No",O3865&lt;&gt;""),"Unexpected: channel present but no reminder sent",IF(AND(N3865="Yes",O3865=""),"Missing channel for sent reminder","OK"))</f>
        <v>OK</v>
      </c>
    </row>
    <row r="3866" customFormat="false" ht="15" hidden="false" customHeight="false" outlineLevel="0" collapsed="false">
      <c r="A3866" s="7" t="s">
        <v>5524</v>
      </c>
      <c r="B3866" s="7" t="s">
        <v>5304</v>
      </c>
      <c r="C3866" s="7" t="s">
        <v>47</v>
      </c>
      <c r="D3866" s="7" t="n">
        <v>78</v>
      </c>
      <c r="E3866" s="7" t="s">
        <v>70</v>
      </c>
      <c r="F3866" s="7" t="s">
        <v>39</v>
      </c>
      <c r="G3866" s="8" t="n">
        <v>45954</v>
      </c>
      <c r="H3866" s="8" t="n">
        <v>46002</v>
      </c>
      <c r="I3866" s="7" t="s">
        <v>62</v>
      </c>
      <c r="J3866" s="7" t="s">
        <v>51</v>
      </c>
      <c r="K3866" s="7" t="n">
        <v>48</v>
      </c>
      <c r="L3866" s="7" t="n">
        <v>2</v>
      </c>
      <c r="M3866" s="7" t="n">
        <v>0</v>
      </c>
      <c r="N3866" s="7" t="s">
        <v>42</v>
      </c>
      <c r="O3866" s="7" t="s">
        <v>52</v>
      </c>
      <c r="P3866" s="7" t="n">
        <v>15.3</v>
      </c>
      <c r="Q3866" s="7" t="n">
        <v>26</v>
      </c>
      <c r="R3866" s="7" t="s">
        <v>44</v>
      </c>
      <c r="S3866" s="7"/>
      <c r="T3866" s="7"/>
      <c r="U3866" s="7" t="str">
        <f aca="false">IF(COUNTIF($A$2:$A$5001,A3866)&gt;1,"Duplicate","Unique")</f>
        <v>Unique</v>
      </c>
      <c r="V3866" s="7" t="str">
        <f aca="false">IF(COUNTIFS($B$2:$B$5001,B3866,$H$2:$H$5001,H3866,$J$2:$J$5001,J3866)&gt;1,"Possible Duplicate Booking","Unique")</f>
        <v>Unique</v>
      </c>
      <c r="W3866" s="7" t="str">
        <f aca="false">IF((H3866-G3866)&lt;&gt;K3866,"Mismatch","OK")</f>
        <v>OK</v>
      </c>
      <c r="X3866" s="7" t="str">
        <f aca="false">IF(TEXT(H3866,"dddd")&lt;&gt;I3866,"Mismatch","OK")</f>
        <v>OK</v>
      </c>
      <c r="Y3866" s="7" t="str">
        <f aca="false">IF(AND(N3866="No",O3866&lt;&gt;""),"Unexpected: channel present but no reminder sent",IF(AND(N3866="Yes",O3866=""),"Missing channel for sent reminder","OK"))</f>
        <v>OK</v>
      </c>
    </row>
    <row r="3867" customFormat="false" ht="15" hidden="false" customHeight="false" outlineLevel="0" collapsed="false">
      <c r="A3867" s="9" t="s">
        <v>5525</v>
      </c>
      <c r="B3867" s="9" t="s">
        <v>1297</v>
      </c>
      <c r="C3867" s="9" t="s">
        <v>47</v>
      </c>
      <c r="D3867" s="9" t="n">
        <v>54</v>
      </c>
      <c r="E3867" s="9" t="s">
        <v>56</v>
      </c>
      <c r="F3867" s="9" t="s">
        <v>74</v>
      </c>
      <c r="G3867" s="10" t="n">
        <v>46032</v>
      </c>
      <c r="H3867" s="10" t="n">
        <v>46082</v>
      </c>
      <c r="I3867" s="9" t="s">
        <v>75</v>
      </c>
      <c r="J3867" s="9" t="s">
        <v>51</v>
      </c>
      <c r="K3867" s="9" t="n">
        <v>50</v>
      </c>
      <c r="L3867" s="9" t="n">
        <v>4</v>
      </c>
      <c r="M3867" s="9" t="n">
        <v>1</v>
      </c>
      <c r="N3867" s="9" t="s">
        <v>71</v>
      </c>
      <c r="O3867" s="9"/>
      <c r="P3867" s="9" t="n">
        <v>8.2</v>
      </c>
      <c r="Q3867" s="9" t="n">
        <v>23</v>
      </c>
      <c r="R3867" s="9" t="s">
        <v>53</v>
      </c>
      <c r="S3867" s="9"/>
      <c r="T3867" s="9"/>
      <c r="U3867" s="9" t="str">
        <f aca="false">IF(COUNTIF($A$2:$A$5001,A3867)&gt;1,"Duplicate","Unique")</f>
        <v>Unique</v>
      </c>
      <c r="V3867" s="9" t="str">
        <f aca="false">IF(COUNTIFS($B$2:$B$5001,B3867,$H$2:$H$5001,H3867,$J$2:$J$5001,J3867)&gt;1,"Possible Duplicate Booking","Unique")</f>
        <v>Unique</v>
      </c>
      <c r="W3867" s="9" t="str">
        <f aca="false">IF((H3867-G3867)&lt;&gt;K3867,"Mismatch","OK")</f>
        <v>OK</v>
      </c>
      <c r="X3867" s="9" t="str">
        <f aca="false">IF(TEXT(H3867,"dddd")&lt;&gt;I3867,"Mismatch","OK")</f>
        <v>OK</v>
      </c>
      <c r="Y3867" s="9" t="str">
        <f aca="false">IF(AND(N3867="No",O3867&lt;&gt;""),"Unexpected: channel present but no reminder sent",IF(AND(N3867="Yes",O3867=""),"Missing channel for sent reminder","OK"))</f>
        <v>OK</v>
      </c>
    </row>
    <row r="3868" customFormat="false" ht="15" hidden="false" customHeight="false" outlineLevel="0" collapsed="false">
      <c r="A3868" s="7" t="s">
        <v>5526</v>
      </c>
      <c r="B3868" s="7" t="s">
        <v>2631</v>
      </c>
      <c r="C3868" s="7" t="s">
        <v>37</v>
      </c>
      <c r="D3868" s="7" t="n">
        <v>35</v>
      </c>
      <c r="E3868" s="7" t="s">
        <v>38</v>
      </c>
      <c r="F3868" s="7" t="s">
        <v>57</v>
      </c>
      <c r="G3868" s="8" t="n">
        <v>45937</v>
      </c>
      <c r="H3868" s="8" t="n">
        <v>45943</v>
      </c>
      <c r="I3868" s="7" t="s">
        <v>66</v>
      </c>
      <c r="J3868" s="7" t="s">
        <v>51</v>
      </c>
      <c r="K3868" s="7" t="n">
        <v>6</v>
      </c>
      <c r="L3868" s="7" t="n">
        <v>1</v>
      </c>
      <c r="M3868" s="7" t="n">
        <v>0</v>
      </c>
      <c r="N3868" s="7" t="s">
        <v>71</v>
      </c>
      <c r="O3868" s="7"/>
      <c r="P3868" s="7" t="n">
        <v>12.7</v>
      </c>
      <c r="Q3868" s="7" t="n">
        <v>18</v>
      </c>
      <c r="R3868" s="7" t="s">
        <v>53</v>
      </c>
      <c r="S3868" s="7"/>
      <c r="T3868" s="7"/>
      <c r="U3868" s="7" t="str">
        <f aca="false">IF(COUNTIF($A$2:$A$5001,A3868)&gt;1,"Duplicate","Unique")</f>
        <v>Unique</v>
      </c>
      <c r="V3868" s="7" t="str">
        <f aca="false">IF(COUNTIFS($B$2:$B$5001,B3868,$H$2:$H$5001,H3868,$J$2:$J$5001,J3868)&gt;1,"Possible Duplicate Booking","Unique")</f>
        <v>Unique</v>
      </c>
      <c r="W3868" s="7" t="str">
        <f aca="false">IF((H3868-G3868)&lt;&gt;K3868,"Mismatch","OK")</f>
        <v>OK</v>
      </c>
      <c r="X3868" s="7" t="str">
        <f aca="false">IF(TEXT(H3868,"dddd")&lt;&gt;I3868,"Mismatch","OK")</f>
        <v>OK</v>
      </c>
      <c r="Y3868" s="7" t="str">
        <f aca="false">IF(AND(N3868="No",O3868&lt;&gt;""),"Unexpected: channel present but no reminder sent",IF(AND(N3868="Yes",O3868=""),"Missing channel for sent reminder","OK"))</f>
        <v>OK</v>
      </c>
    </row>
    <row r="3869" customFormat="false" ht="15" hidden="false" customHeight="false" outlineLevel="0" collapsed="false">
      <c r="A3869" s="9" t="s">
        <v>5527</v>
      </c>
      <c r="B3869" s="9" t="s">
        <v>2019</v>
      </c>
      <c r="C3869" s="9" t="s">
        <v>37</v>
      </c>
      <c r="D3869" s="9" t="n">
        <v>61</v>
      </c>
      <c r="E3869" s="9" t="s">
        <v>61</v>
      </c>
      <c r="F3869" s="9" t="s">
        <v>49</v>
      </c>
      <c r="G3869" s="10" t="n">
        <v>46078</v>
      </c>
      <c r="H3869" s="10" t="n">
        <v>46100</v>
      </c>
      <c r="I3869" s="9" t="s">
        <v>62</v>
      </c>
      <c r="J3869" s="9" t="s">
        <v>41</v>
      </c>
      <c r="K3869" s="9" t="n">
        <v>22</v>
      </c>
      <c r="L3869" s="9" t="n">
        <v>2</v>
      </c>
      <c r="M3869" s="9" t="n">
        <v>0</v>
      </c>
      <c r="N3869" s="9" t="s">
        <v>71</v>
      </c>
      <c r="O3869" s="9"/>
      <c r="P3869" s="9" t="n">
        <v>11.6</v>
      </c>
      <c r="Q3869" s="9" t="n">
        <v>21</v>
      </c>
      <c r="R3869" s="9" t="s">
        <v>44</v>
      </c>
      <c r="S3869" s="9"/>
      <c r="T3869" s="9"/>
      <c r="U3869" s="9" t="str">
        <f aca="false">IF(COUNTIF($A$2:$A$5001,A3869)&gt;1,"Duplicate","Unique")</f>
        <v>Unique</v>
      </c>
      <c r="V3869" s="9" t="str">
        <f aca="false">IF(COUNTIFS($B$2:$B$5001,B3869,$H$2:$H$5001,H3869,$J$2:$J$5001,J3869)&gt;1,"Possible Duplicate Booking","Unique")</f>
        <v>Unique</v>
      </c>
      <c r="W3869" s="9" t="str">
        <f aca="false">IF((H3869-G3869)&lt;&gt;K3869,"Mismatch","OK")</f>
        <v>OK</v>
      </c>
      <c r="X3869" s="9" t="str">
        <f aca="false">IF(TEXT(H3869,"dddd")&lt;&gt;I3869,"Mismatch","OK")</f>
        <v>OK</v>
      </c>
      <c r="Y3869" s="9" t="str">
        <f aca="false">IF(AND(N3869="No",O3869&lt;&gt;""),"Unexpected: channel present but no reminder sent",IF(AND(N3869="Yes",O3869=""),"Missing channel for sent reminder","OK"))</f>
        <v>OK</v>
      </c>
    </row>
    <row r="3870" customFormat="false" ht="15" hidden="false" customHeight="false" outlineLevel="0" collapsed="false">
      <c r="A3870" s="7" t="s">
        <v>5528</v>
      </c>
      <c r="B3870" s="7" t="s">
        <v>1077</v>
      </c>
      <c r="C3870" s="7" t="s">
        <v>37</v>
      </c>
      <c r="D3870" s="7" t="n">
        <v>61</v>
      </c>
      <c r="E3870" s="7" t="s">
        <v>61</v>
      </c>
      <c r="F3870" s="7" t="s">
        <v>39</v>
      </c>
      <c r="G3870" s="8" t="n">
        <v>45733</v>
      </c>
      <c r="H3870" s="8" t="n">
        <v>45778</v>
      </c>
      <c r="I3870" s="7" t="s">
        <v>62</v>
      </c>
      <c r="J3870" s="7" t="s">
        <v>51</v>
      </c>
      <c r="K3870" s="7" t="n">
        <v>45</v>
      </c>
      <c r="L3870" s="7" t="n">
        <v>4</v>
      </c>
      <c r="M3870" s="7" t="n">
        <v>0</v>
      </c>
      <c r="N3870" s="7" t="s">
        <v>42</v>
      </c>
      <c r="O3870" s="7" t="s">
        <v>52</v>
      </c>
      <c r="P3870" s="7" t="n">
        <v>12.7</v>
      </c>
      <c r="Q3870" s="7" t="n">
        <v>2</v>
      </c>
      <c r="R3870" s="7" t="s">
        <v>44</v>
      </c>
      <c r="S3870" s="7"/>
      <c r="T3870" s="7"/>
      <c r="U3870" s="7" t="str">
        <f aca="false">IF(COUNTIF($A$2:$A$5001,A3870)&gt;1,"Duplicate","Unique")</f>
        <v>Unique</v>
      </c>
      <c r="V3870" s="7" t="str">
        <f aca="false">IF(COUNTIFS($B$2:$B$5001,B3870,$H$2:$H$5001,H3870,$J$2:$J$5001,J3870)&gt;1,"Possible Duplicate Booking","Unique")</f>
        <v>Unique</v>
      </c>
      <c r="W3870" s="7" t="str">
        <f aca="false">IF((H3870-G3870)&lt;&gt;K3870,"Mismatch","OK")</f>
        <v>OK</v>
      </c>
      <c r="X3870" s="7" t="str">
        <f aca="false">IF(TEXT(H3870,"dddd")&lt;&gt;I3870,"Mismatch","OK")</f>
        <v>OK</v>
      </c>
      <c r="Y3870" s="7" t="str">
        <f aca="false">IF(AND(N3870="No",O3870&lt;&gt;""),"Unexpected: channel present but no reminder sent",IF(AND(N3870="Yes",O3870=""),"Missing channel for sent reminder","OK"))</f>
        <v>OK</v>
      </c>
    </row>
    <row r="3871" customFormat="false" ht="15" hidden="false" customHeight="false" outlineLevel="0" collapsed="false">
      <c r="A3871" s="9" t="s">
        <v>5529</v>
      </c>
      <c r="B3871" s="9" t="s">
        <v>1918</v>
      </c>
      <c r="C3871" s="9" t="s">
        <v>236</v>
      </c>
      <c r="D3871" s="9" t="n">
        <v>58</v>
      </c>
      <c r="E3871" s="9" t="s">
        <v>61</v>
      </c>
      <c r="F3871" s="9" t="s">
        <v>49</v>
      </c>
      <c r="G3871" s="10" t="n">
        <v>46011</v>
      </c>
      <c r="H3871" s="10" t="n">
        <v>46046</v>
      </c>
      <c r="I3871" s="9" t="s">
        <v>102</v>
      </c>
      <c r="J3871" s="9" t="s">
        <v>51</v>
      </c>
      <c r="K3871" s="9" t="n">
        <v>35</v>
      </c>
      <c r="L3871" s="9" t="n">
        <v>3</v>
      </c>
      <c r="M3871" s="9" t="n">
        <v>0</v>
      </c>
      <c r="N3871" s="9" t="s">
        <v>42</v>
      </c>
      <c r="O3871" s="9" t="s">
        <v>52</v>
      </c>
      <c r="P3871" s="9" t="n">
        <v>5.1</v>
      </c>
      <c r="Q3871" s="9" t="n">
        <v>40</v>
      </c>
      <c r="R3871" s="9" t="s">
        <v>53</v>
      </c>
      <c r="S3871" s="9"/>
      <c r="T3871" s="9"/>
      <c r="U3871" s="9" t="str">
        <f aca="false">IF(COUNTIF($A$2:$A$5001,A3871)&gt;1,"Duplicate","Unique")</f>
        <v>Unique</v>
      </c>
      <c r="V3871" s="9" t="str">
        <f aca="false">IF(COUNTIFS($B$2:$B$5001,B3871,$H$2:$H$5001,H3871,$J$2:$J$5001,J3871)&gt;1,"Possible Duplicate Booking","Unique")</f>
        <v>Unique</v>
      </c>
      <c r="W3871" s="9" t="str">
        <f aca="false">IF((H3871-G3871)&lt;&gt;K3871,"Mismatch","OK")</f>
        <v>OK</v>
      </c>
      <c r="X3871" s="9" t="str">
        <f aca="false">IF(TEXT(H3871,"dddd")&lt;&gt;I3871,"Mismatch","OK")</f>
        <v>OK</v>
      </c>
      <c r="Y3871" s="9" t="str">
        <f aca="false">IF(AND(N3871="No",O3871&lt;&gt;""),"Unexpected: channel present but no reminder sent",IF(AND(N3871="Yes",O3871=""),"Missing channel for sent reminder","OK"))</f>
        <v>OK</v>
      </c>
    </row>
    <row r="3872" customFormat="false" ht="15" hidden="false" customHeight="false" outlineLevel="0" collapsed="false">
      <c r="A3872" s="7" t="s">
        <v>5530</v>
      </c>
      <c r="B3872" s="7" t="s">
        <v>886</v>
      </c>
      <c r="C3872" s="7" t="s">
        <v>47</v>
      </c>
      <c r="D3872" s="7" t="n">
        <v>20</v>
      </c>
      <c r="E3872" s="7" t="s">
        <v>82</v>
      </c>
      <c r="F3872" s="7" t="s">
        <v>57</v>
      </c>
      <c r="G3872" s="8" t="n">
        <v>45683</v>
      </c>
      <c r="H3872" s="8" t="n">
        <v>45683</v>
      </c>
      <c r="I3872" s="7" t="s">
        <v>75</v>
      </c>
      <c r="J3872" s="7" t="s">
        <v>51</v>
      </c>
      <c r="K3872" s="7" t="n">
        <v>0</v>
      </c>
      <c r="L3872" s="7" t="n">
        <v>3</v>
      </c>
      <c r="M3872" s="7" t="n">
        <v>0</v>
      </c>
      <c r="N3872" s="7" t="s">
        <v>71</v>
      </c>
      <c r="O3872" s="7"/>
      <c r="P3872" s="7" t="n">
        <v>14.2</v>
      </c>
      <c r="Q3872" s="7" t="n">
        <v>17</v>
      </c>
      <c r="R3872" s="7" t="s">
        <v>53</v>
      </c>
      <c r="S3872" s="7"/>
      <c r="T3872" s="7"/>
      <c r="U3872" s="7" t="str">
        <f aca="false">IF(COUNTIF($A$2:$A$5001,A3872)&gt;1,"Duplicate","Unique")</f>
        <v>Unique</v>
      </c>
      <c r="V3872" s="7" t="str">
        <f aca="false">IF(COUNTIFS($B$2:$B$5001,B3872,$H$2:$H$5001,H3872,$J$2:$J$5001,J3872)&gt;1,"Possible Duplicate Booking","Unique")</f>
        <v>Unique</v>
      </c>
      <c r="W3872" s="7" t="str">
        <f aca="false">IF((H3872-G3872)&lt;&gt;K3872,"Mismatch","OK")</f>
        <v>OK</v>
      </c>
      <c r="X3872" s="7" t="str">
        <f aca="false">IF(TEXT(H3872,"dddd")&lt;&gt;I3872,"Mismatch","OK")</f>
        <v>OK</v>
      </c>
      <c r="Y3872" s="7" t="str">
        <f aca="false">IF(AND(N3872="No",O3872&lt;&gt;""),"Unexpected: channel present but no reminder sent",IF(AND(N3872="Yes",O3872=""),"Missing channel for sent reminder","OK"))</f>
        <v>OK</v>
      </c>
    </row>
    <row r="3873" customFormat="false" ht="15" hidden="false" customHeight="false" outlineLevel="0" collapsed="false">
      <c r="A3873" s="9" t="s">
        <v>5531</v>
      </c>
      <c r="B3873" s="9" t="s">
        <v>1051</v>
      </c>
      <c r="C3873" s="9" t="s">
        <v>47</v>
      </c>
      <c r="D3873" s="9" t="n">
        <v>62</v>
      </c>
      <c r="E3873" s="9" t="s">
        <v>61</v>
      </c>
      <c r="F3873" s="9" t="s">
        <v>39</v>
      </c>
      <c r="G3873" s="10" t="n">
        <v>45680</v>
      </c>
      <c r="H3873" s="10" t="n">
        <v>45714</v>
      </c>
      <c r="I3873" s="9" t="s">
        <v>58</v>
      </c>
      <c r="J3873" s="9" t="s">
        <v>41</v>
      </c>
      <c r="K3873" s="9" t="n">
        <v>34</v>
      </c>
      <c r="L3873" s="9" t="n">
        <v>7</v>
      </c>
      <c r="M3873" s="9" t="n">
        <v>0</v>
      </c>
      <c r="N3873" s="9" t="s">
        <v>42</v>
      </c>
      <c r="O3873" s="9" t="s">
        <v>52</v>
      </c>
      <c r="P3873" s="9" t="n">
        <v>12.2</v>
      </c>
      <c r="Q3873" s="9" t="n">
        <v>29</v>
      </c>
      <c r="R3873" s="9" t="s">
        <v>44</v>
      </c>
      <c r="S3873" s="9"/>
      <c r="T3873" s="9"/>
      <c r="U3873" s="9" t="str">
        <f aca="false">IF(COUNTIF($A$2:$A$5001,A3873)&gt;1,"Duplicate","Unique")</f>
        <v>Unique</v>
      </c>
      <c r="V3873" s="9" t="str">
        <f aca="false">IF(COUNTIFS($B$2:$B$5001,B3873,$H$2:$H$5001,H3873,$J$2:$J$5001,J3873)&gt;1,"Possible Duplicate Booking","Unique")</f>
        <v>Unique</v>
      </c>
      <c r="W3873" s="9" t="str">
        <f aca="false">IF((H3873-G3873)&lt;&gt;K3873,"Mismatch","OK")</f>
        <v>OK</v>
      </c>
      <c r="X3873" s="9" t="str">
        <f aca="false">IF(TEXT(H3873,"dddd")&lt;&gt;I3873,"Mismatch","OK")</f>
        <v>OK</v>
      </c>
      <c r="Y3873" s="9" t="str">
        <f aca="false">IF(AND(N3873="No",O3873&lt;&gt;""),"Unexpected: channel present but no reminder sent",IF(AND(N3873="Yes",O3873=""),"Missing channel for sent reminder","OK"))</f>
        <v>OK</v>
      </c>
    </row>
    <row r="3874" customFormat="false" ht="15" hidden="false" customHeight="false" outlineLevel="0" collapsed="false">
      <c r="A3874" s="7" t="s">
        <v>5532</v>
      </c>
      <c r="B3874" s="7" t="s">
        <v>5533</v>
      </c>
      <c r="C3874" s="7" t="s">
        <v>47</v>
      </c>
      <c r="D3874" s="7" t="n">
        <v>19</v>
      </c>
      <c r="E3874" s="7" t="s">
        <v>82</v>
      </c>
      <c r="F3874" s="7" t="s">
        <v>57</v>
      </c>
      <c r="G3874" s="8" t="n">
        <v>46081</v>
      </c>
      <c r="H3874" s="8" t="n">
        <v>46130</v>
      </c>
      <c r="I3874" s="7" t="s">
        <v>102</v>
      </c>
      <c r="J3874" s="7" t="s">
        <v>63</v>
      </c>
      <c r="K3874" s="7" t="n">
        <v>49</v>
      </c>
      <c r="L3874" s="7" t="n">
        <v>1</v>
      </c>
      <c r="M3874" s="7" t="n">
        <v>0</v>
      </c>
      <c r="N3874" s="7" t="s">
        <v>71</v>
      </c>
      <c r="O3874" s="7"/>
      <c r="P3874" s="7" t="n">
        <v>21.7</v>
      </c>
      <c r="Q3874" s="7" t="n">
        <v>2</v>
      </c>
      <c r="R3874" s="7" t="s">
        <v>44</v>
      </c>
      <c r="S3874" s="7"/>
      <c r="T3874" s="7"/>
      <c r="U3874" s="7" t="str">
        <f aca="false">IF(COUNTIF($A$2:$A$5001,A3874)&gt;1,"Duplicate","Unique")</f>
        <v>Unique</v>
      </c>
      <c r="V3874" s="7" t="str">
        <f aca="false">IF(COUNTIFS($B$2:$B$5001,B3874,$H$2:$H$5001,H3874,$J$2:$J$5001,J3874)&gt;1,"Possible Duplicate Booking","Unique")</f>
        <v>Unique</v>
      </c>
      <c r="W3874" s="7" t="str">
        <f aca="false">IF((H3874-G3874)&lt;&gt;K3874,"Mismatch","OK")</f>
        <v>OK</v>
      </c>
      <c r="X3874" s="7" t="str">
        <f aca="false">IF(TEXT(H3874,"dddd")&lt;&gt;I3874,"Mismatch","OK")</f>
        <v>OK</v>
      </c>
      <c r="Y3874" s="7" t="str">
        <f aca="false">IF(AND(N3874="No",O3874&lt;&gt;""),"Unexpected: channel present but no reminder sent",IF(AND(N3874="Yes",O3874=""),"Missing channel for sent reminder","OK"))</f>
        <v>OK</v>
      </c>
    </row>
    <row r="3875" customFormat="false" ht="15" hidden="false" customHeight="false" outlineLevel="0" collapsed="false">
      <c r="A3875" s="9" t="s">
        <v>5534</v>
      </c>
      <c r="B3875" s="9" t="s">
        <v>1821</v>
      </c>
      <c r="C3875" s="9" t="s">
        <v>37</v>
      </c>
      <c r="D3875" s="9" t="n">
        <v>75</v>
      </c>
      <c r="E3875" s="9" t="s">
        <v>70</v>
      </c>
      <c r="F3875" s="9" t="s">
        <v>74</v>
      </c>
      <c r="G3875" s="10" t="n">
        <v>45867</v>
      </c>
      <c r="H3875" s="10" t="n">
        <v>45917</v>
      </c>
      <c r="I3875" s="9" t="s">
        <v>58</v>
      </c>
      <c r="J3875" s="9" t="s">
        <v>41</v>
      </c>
      <c r="K3875" s="9" t="n">
        <v>50</v>
      </c>
      <c r="L3875" s="9" t="n">
        <v>2</v>
      </c>
      <c r="M3875" s="9" t="n">
        <v>0</v>
      </c>
      <c r="N3875" s="9" t="s">
        <v>42</v>
      </c>
      <c r="O3875" s="9" t="s">
        <v>43</v>
      </c>
      <c r="P3875" s="9" t="n">
        <v>6.6</v>
      </c>
      <c r="Q3875" s="9" t="n">
        <v>14</v>
      </c>
      <c r="R3875" s="9" t="s">
        <v>53</v>
      </c>
      <c r="S3875" s="9"/>
      <c r="T3875" s="9"/>
      <c r="U3875" s="9" t="str">
        <f aca="false">IF(COUNTIF($A$2:$A$5001,A3875)&gt;1,"Duplicate","Unique")</f>
        <v>Unique</v>
      </c>
      <c r="V3875" s="9" t="str">
        <f aca="false">IF(COUNTIFS($B$2:$B$5001,B3875,$H$2:$H$5001,H3875,$J$2:$J$5001,J3875)&gt;1,"Possible Duplicate Booking","Unique")</f>
        <v>Unique</v>
      </c>
      <c r="W3875" s="9" t="str">
        <f aca="false">IF((H3875-G3875)&lt;&gt;K3875,"Mismatch","OK")</f>
        <v>OK</v>
      </c>
      <c r="X3875" s="9" t="str">
        <f aca="false">IF(TEXT(H3875,"dddd")&lt;&gt;I3875,"Mismatch","OK")</f>
        <v>OK</v>
      </c>
      <c r="Y3875" s="9" t="str">
        <f aca="false">IF(AND(N3875="No",O3875&lt;&gt;""),"Unexpected: channel present but no reminder sent",IF(AND(N3875="Yes",O3875=""),"Missing channel for sent reminder","OK"))</f>
        <v>OK</v>
      </c>
    </row>
    <row r="3876" customFormat="false" ht="15" hidden="false" customHeight="false" outlineLevel="0" collapsed="false">
      <c r="A3876" s="7" t="s">
        <v>5535</v>
      </c>
      <c r="B3876" s="7" t="s">
        <v>4222</v>
      </c>
      <c r="C3876" s="7" t="s">
        <v>37</v>
      </c>
      <c r="D3876" s="7" t="n">
        <v>73</v>
      </c>
      <c r="E3876" s="7" t="s">
        <v>70</v>
      </c>
      <c r="F3876" s="7" t="s">
        <v>57</v>
      </c>
      <c r="G3876" s="8" t="n">
        <v>45973</v>
      </c>
      <c r="H3876" s="8" t="n">
        <v>45996</v>
      </c>
      <c r="I3876" s="7" t="s">
        <v>50</v>
      </c>
      <c r="J3876" s="7" t="s">
        <v>41</v>
      </c>
      <c r="K3876" s="7" t="n">
        <v>23</v>
      </c>
      <c r="L3876" s="7" t="n">
        <v>1</v>
      </c>
      <c r="M3876" s="7" t="n">
        <v>0</v>
      </c>
      <c r="N3876" s="7" t="s">
        <v>42</v>
      </c>
      <c r="O3876" s="7" t="s">
        <v>52</v>
      </c>
      <c r="P3876" s="7" t="n">
        <v>9.9</v>
      </c>
      <c r="Q3876" s="7" t="n">
        <v>27</v>
      </c>
      <c r="R3876" s="7" t="s">
        <v>53</v>
      </c>
      <c r="S3876" s="7"/>
      <c r="T3876" s="7"/>
      <c r="U3876" s="7" t="str">
        <f aca="false">IF(COUNTIF($A$2:$A$5001,A3876)&gt;1,"Duplicate","Unique")</f>
        <v>Unique</v>
      </c>
      <c r="V3876" s="7" t="str">
        <f aca="false">IF(COUNTIFS($B$2:$B$5001,B3876,$H$2:$H$5001,H3876,$J$2:$J$5001,J3876)&gt;1,"Possible Duplicate Booking","Unique")</f>
        <v>Unique</v>
      </c>
      <c r="W3876" s="7" t="str">
        <f aca="false">IF((H3876-G3876)&lt;&gt;K3876,"Mismatch","OK")</f>
        <v>OK</v>
      </c>
      <c r="X3876" s="7" t="str">
        <f aca="false">IF(TEXT(H3876,"dddd")&lt;&gt;I3876,"Mismatch","OK")</f>
        <v>OK</v>
      </c>
      <c r="Y3876" s="7" t="str">
        <f aca="false">IF(AND(N3876="No",O3876&lt;&gt;""),"Unexpected: channel present but no reminder sent",IF(AND(N3876="Yes",O3876=""),"Missing channel for sent reminder","OK"))</f>
        <v>OK</v>
      </c>
    </row>
    <row r="3877" customFormat="false" ht="15" hidden="false" customHeight="false" outlineLevel="0" collapsed="false">
      <c r="A3877" s="9" t="s">
        <v>5536</v>
      </c>
      <c r="B3877" s="9" t="s">
        <v>4559</v>
      </c>
      <c r="C3877" s="9" t="s">
        <v>47</v>
      </c>
      <c r="D3877" s="9" t="n">
        <v>53</v>
      </c>
      <c r="E3877" s="9" t="s">
        <v>56</v>
      </c>
      <c r="F3877" s="9" t="s">
        <v>57</v>
      </c>
      <c r="G3877" s="10" t="n">
        <v>45973</v>
      </c>
      <c r="H3877" s="10" t="n">
        <v>45987</v>
      </c>
      <c r="I3877" s="9" t="s">
        <v>58</v>
      </c>
      <c r="J3877" s="9" t="s">
        <v>41</v>
      </c>
      <c r="K3877" s="9" t="n">
        <v>14</v>
      </c>
      <c r="L3877" s="9" t="n">
        <v>1</v>
      </c>
      <c r="M3877" s="9" t="n">
        <v>0</v>
      </c>
      <c r="N3877" s="9" t="s">
        <v>42</v>
      </c>
      <c r="O3877" s="9" t="s">
        <v>43</v>
      </c>
      <c r="P3877" s="9" t="n">
        <v>3.4</v>
      </c>
      <c r="Q3877" s="9" t="n">
        <v>44</v>
      </c>
      <c r="R3877" s="9" t="s">
        <v>44</v>
      </c>
      <c r="S3877" s="9"/>
      <c r="T3877" s="9"/>
      <c r="U3877" s="9" t="str">
        <f aca="false">IF(COUNTIF($A$2:$A$5001,A3877)&gt;1,"Duplicate","Unique")</f>
        <v>Unique</v>
      </c>
      <c r="V3877" s="9" t="str">
        <f aca="false">IF(COUNTIFS($B$2:$B$5001,B3877,$H$2:$H$5001,H3877,$J$2:$J$5001,J3877)&gt;1,"Possible Duplicate Booking","Unique")</f>
        <v>Unique</v>
      </c>
      <c r="W3877" s="9" t="str">
        <f aca="false">IF((H3877-G3877)&lt;&gt;K3877,"Mismatch","OK")</f>
        <v>OK</v>
      </c>
      <c r="X3877" s="9" t="str">
        <f aca="false">IF(TEXT(H3877,"dddd")&lt;&gt;I3877,"Mismatch","OK")</f>
        <v>OK</v>
      </c>
      <c r="Y3877" s="9" t="str">
        <f aca="false">IF(AND(N3877="No",O3877&lt;&gt;""),"Unexpected: channel present but no reminder sent",IF(AND(N3877="Yes",O3877=""),"Missing channel for sent reminder","OK"))</f>
        <v>OK</v>
      </c>
    </row>
    <row r="3878" customFormat="false" ht="15" hidden="false" customHeight="false" outlineLevel="0" collapsed="false">
      <c r="A3878" s="7" t="s">
        <v>5537</v>
      </c>
      <c r="B3878" s="7" t="s">
        <v>2489</v>
      </c>
      <c r="C3878" s="7" t="s">
        <v>236</v>
      </c>
      <c r="D3878" s="7" t="n">
        <v>58</v>
      </c>
      <c r="E3878" s="7" t="s">
        <v>61</v>
      </c>
      <c r="F3878" s="7" t="s">
        <v>74</v>
      </c>
      <c r="G3878" s="8" t="n">
        <v>46019</v>
      </c>
      <c r="H3878" s="8" t="n">
        <v>46037</v>
      </c>
      <c r="I3878" s="7" t="s">
        <v>62</v>
      </c>
      <c r="J3878" s="7" t="s">
        <v>51</v>
      </c>
      <c r="K3878" s="7" t="n">
        <v>18</v>
      </c>
      <c r="L3878" s="7" t="n">
        <v>1</v>
      </c>
      <c r="M3878" s="7" t="n">
        <v>1</v>
      </c>
      <c r="N3878" s="7" t="s">
        <v>42</v>
      </c>
      <c r="O3878" s="7" t="s">
        <v>43</v>
      </c>
      <c r="P3878" s="7" t="n">
        <v>2.4</v>
      </c>
      <c r="Q3878" s="7" t="n">
        <v>29</v>
      </c>
      <c r="R3878" s="7" t="s">
        <v>53</v>
      </c>
      <c r="S3878" s="7"/>
      <c r="T3878" s="7"/>
      <c r="U3878" s="7" t="str">
        <f aca="false">IF(COUNTIF($A$2:$A$5001,A3878)&gt;1,"Duplicate","Unique")</f>
        <v>Unique</v>
      </c>
      <c r="V3878" s="7" t="str">
        <f aca="false">IF(COUNTIFS($B$2:$B$5001,B3878,$H$2:$H$5001,H3878,$J$2:$J$5001,J3878)&gt;1,"Possible Duplicate Booking","Unique")</f>
        <v>Unique</v>
      </c>
      <c r="W3878" s="7" t="str">
        <f aca="false">IF((H3878-G3878)&lt;&gt;K3878,"Mismatch","OK")</f>
        <v>OK</v>
      </c>
      <c r="X3878" s="7" t="str">
        <f aca="false">IF(TEXT(H3878,"dddd")&lt;&gt;I3878,"Mismatch","OK")</f>
        <v>OK</v>
      </c>
      <c r="Y3878" s="7" t="str">
        <f aca="false">IF(AND(N3878="No",O3878&lt;&gt;""),"Unexpected: channel present but no reminder sent",IF(AND(N3878="Yes",O3878=""),"Missing channel for sent reminder","OK"))</f>
        <v>OK</v>
      </c>
    </row>
    <row r="3879" customFormat="false" ht="15" hidden="false" customHeight="false" outlineLevel="0" collapsed="false">
      <c r="A3879" s="9" t="s">
        <v>5538</v>
      </c>
      <c r="B3879" s="9" t="s">
        <v>3832</v>
      </c>
      <c r="C3879" s="9" t="s">
        <v>37</v>
      </c>
      <c r="D3879" s="9" t="n">
        <v>22</v>
      </c>
      <c r="E3879" s="9" t="s">
        <v>82</v>
      </c>
      <c r="F3879" s="9" t="s">
        <v>57</v>
      </c>
      <c r="G3879" s="10" t="n">
        <v>45774</v>
      </c>
      <c r="H3879" s="10" t="n">
        <v>45792</v>
      </c>
      <c r="I3879" s="9" t="s">
        <v>62</v>
      </c>
      <c r="J3879" s="9" t="s">
        <v>51</v>
      </c>
      <c r="K3879" s="9" t="n">
        <v>18</v>
      </c>
      <c r="L3879" s="9" t="n">
        <v>3</v>
      </c>
      <c r="M3879" s="9" t="n">
        <v>1</v>
      </c>
      <c r="N3879" s="9" t="s">
        <v>42</v>
      </c>
      <c r="O3879" s="9" t="s">
        <v>52</v>
      </c>
      <c r="P3879" s="9" t="n">
        <v>23.7</v>
      </c>
      <c r="Q3879" s="9" t="n">
        <v>30</v>
      </c>
      <c r="R3879" s="9" t="s">
        <v>44</v>
      </c>
      <c r="S3879" s="9"/>
      <c r="T3879" s="9"/>
      <c r="U3879" s="9" t="str">
        <f aca="false">IF(COUNTIF($A$2:$A$5001,A3879)&gt;1,"Duplicate","Unique")</f>
        <v>Unique</v>
      </c>
      <c r="V3879" s="9" t="str">
        <f aca="false">IF(COUNTIFS($B$2:$B$5001,B3879,$H$2:$H$5001,H3879,$J$2:$J$5001,J3879)&gt;1,"Possible Duplicate Booking","Unique")</f>
        <v>Unique</v>
      </c>
      <c r="W3879" s="9" t="str">
        <f aca="false">IF((H3879-G3879)&lt;&gt;K3879,"Mismatch","OK")</f>
        <v>OK</v>
      </c>
      <c r="X3879" s="9" t="str">
        <f aca="false">IF(TEXT(H3879,"dddd")&lt;&gt;I3879,"Mismatch","OK")</f>
        <v>OK</v>
      </c>
      <c r="Y3879" s="9" t="str">
        <f aca="false">IF(AND(N3879="No",O3879&lt;&gt;""),"Unexpected: channel present but no reminder sent",IF(AND(N3879="Yes",O3879=""),"Missing channel for sent reminder","OK"))</f>
        <v>OK</v>
      </c>
    </row>
    <row r="3880" customFormat="false" ht="15" hidden="false" customHeight="false" outlineLevel="0" collapsed="false">
      <c r="A3880" s="7" t="s">
        <v>5539</v>
      </c>
      <c r="B3880" s="7" t="s">
        <v>5203</v>
      </c>
      <c r="C3880" s="7" t="s">
        <v>37</v>
      </c>
      <c r="D3880" s="7" t="n">
        <v>73</v>
      </c>
      <c r="E3880" s="7" t="s">
        <v>70</v>
      </c>
      <c r="F3880" s="7" t="s">
        <v>39</v>
      </c>
      <c r="G3880" s="8" t="n">
        <v>45734</v>
      </c>
      <c r="H3880" s="8" t="n">
        <v>45755</v>
      </c>
      <c r="I3880" s="7" t="s">
        <v>40</v>
      </c>
      <c r="J3880" s="7" t="s">
        <v>51</v>
      </c>
      <c r="K3880" s="7" t="n">
        <v>21</v>
      </c>
      <c r="L3880" s="7" t="n">
        <v>4</v>
      </c>
      <c r="M3880" s="7" t="n">
        <v>2</v>
      </c>
      <c r="N3880" s="7" t="s">
        <v>71</v>
      </c>
      <c r="O3880" s="7"/>
      <c r="P3880" s="7" t="n">
        <v>11.2</v>
      </c>
      <c r="Q3880" s="7" t="n">
        <v>19</v>
      </c>
      <c r="R3880" s="7" t="s">
        <v>44</v>
      </c>
      <c r="S3880" s="7"/>
      <c r="T3880" s="7"/>
      <c r="U3880" s="7" t="str">
        <f aca="false">IF(COUNTIF($A$2:$A$5001,A3880)&gt;1,"Duplicate","Unique")</f>
        <v>Unique</v>
      </c>
      <c r="V3880" s="7" t="str">
        <f aca="false">IF(COUNTIFS($B$2:$B$5001,B3880,$H$2:$H$5001,H3880,$J$2:$J$5001,J3880)&gt;1,"Possible Duplicate Booking","Unique")</f>
        <v>Unique</v>
      </c>
      <c r="W3880" s="7" t="str">
        <f aca="false">IF((H3880-G3880)&lt;&gt;K3880,"Mismatch","OK")</f>
        <v>OK</v>
      </c>
      <c r="X3880" s="7" t="str">
        <f aca="false">IF(TEXT(H3880,"dddd")&lt;&gt;I3880,"Mismatch","OK")</f>
        <v>OK</v>
      </c>
      <c r="Y3880" s="7" t="str">
        <f aca="false">IF(AND(N3880="No",O3880&lt;&gt;""),"Unexpected: channel present but no reminder sent",IF(AND(N3880="Yes",O3880=""),"Missing channel for sent reminder","OK"))</f>
        <v>OK</v>
      </c>
    </row>
    <row r="3881" customFormat="false" ht="15" hidden="false" customHeight="false" outlineLevel="0" collapsed="false">
      <c r="A3881" s="9" t="s">
        <v>5540</v>
      </c>
      <c r="B3881" s="9" t="s">
        <v>3187</v>
      </c>
      <c r="C3881" s="9" t="s">
        <v>47</v>
      </c>
      <c r="D3881" s="9" t="n">
        <v>35</v>
      </c>
      <c r="E3881" s="9" t="s">
        <v>38</v>
      </c>
      <c r="F3881" s="9" t="s">
        <v>57</v>
      </c>
      <c r="G3881" s="10" t="n">
        <v>45663</v>
      </c>
      <c r="H3881" s="10" t="n">
        <v>45681</v>
      </c>
      <c r="I3881" s="9" t="s">
        <v>50</v>
      </c>
      <c r="J3881" s="9" t="s">
        <v>51</v>
      </c>
      <c r="K3881" s="9" t="n">
        <v>18</v>
      </c>
      <c r="L3881" s="9" t="n">
        <v>2</v>
      </c>
      <c r="M3881" s="9" t="n">
        <v>0</v>
      </c>
      <c r="N3881" s="9" t="s">
        <v>42</v>
      </c>
      <c r="O3881" s="9" t="s">
        <v>52</v>
      </c>
      <c r="P3881" s="9" t="n">
        <v>2.3</v>
      </c>
      <c r="Q3881" s="9" t="n">
        <v>24</v>
      </c>
      <c r="R3881" s="9" t="s">
        <v>53</v>
      </c>
      <c r="S3881" s="9"/>
      <c r="T3881" s="9"/>
      <c r="U3881" s="9" t="str">
        <f aca="false">IF(COUNTIF($A$2:$A$5001,A3881)&gt;1,"Duplicate","Unique")</f>
        <v>Unique</v>
      </c>
      <c r="V3881" s="9" t="str">
        <f aca="false">IF(COUNTIFS($B$2:$B$5001,B3881,$H$2:$H$5001,H3881,$J$2:$J$5001,J3881)&gt;1,"Possible Duplicate Booking","Unique")</f>
        <v>Unique</v>
      </c>
      <c r="W3881" s="9" t="str">
        <f aca="false">IF((H3881-G3881)&lt;&gt;K3881,"Mismatch","OK")</f>
        <v>OK</v>
      </c>
      <c r="X3881" s="9" t="str">
        <f aca="false">IF(TEXT(H3881,"dddd")&lt;&gt;I3881,"Mismatch","OK")</f>
        <v>OK</v>
      </c>
      <c r="Y3881" s="9" t="str">
        <f aca="false">IF(AND(N3881="No",O3881&lt;&gt;""),"Unexpected: channel present but no reminder sent",IF(AND(N3881="Yes",O3881=""),"Missing channel for sent reminder","OK"))</f>
        <v>OK</v>
      </c>
    </row>
    <row r="3882" customFormat="false" ht="15" hidden="false" customHeight="false" outlineLevel="0" collapsed="false">
      <c r="A3882" s="7" t="s">
        <v>5541</v>
      </c>
      <c r="B3882" s="7" t="s">
        <v>1607</v>
      </c>
      <c r="C3882" s="7" t="s">
        <v>47</v>
      </c>
      <c r="D3882" s="7" t="n">
        <v>34</v>
      </c>
      <c r="E3882" s="7" t="s">
        <v>48</v>
      </c>
      <c r="F3882" s="7" t="s">
        <v>39</v>
      </c>
      <c r="G3882" s="8" t="n">
        <v>46103</v>
      </c>
      <c r="H3882" s="8" t="n">
        <v>46130</v>
      </c>
      <c r="I3882" s="7" t="s">
        <v>102</v>
      </c>
      <c r="J3882" s="7" t="s">
        <v>63</v>
      </c>
      <c r="K3882" s="7" t="n">
        <v>27</v>
      </c>
      <c r="L3882" s="7" t="n">
        <v>2</v>
      </c>
      <c r="M3882" s="7" t="n">
        <v>2</v>
      </c>
      <c r="N3882" s="7" t="s">
        <v>42</v>
      </c>
      <c r="O3882" s="7" t="s">
        <v>52</v>
      </c>
      <c r="P3882" s="7" t="n">
        <v>12.1</v>
      </c>
      <c r="Q3882" s="7" t="n">
        <v>22</v>
      </c>
      <c r="R3882" s="7" t="s">
        <v>53</v>
      </c>
      <c r="S3882" s="7"/>
      <c r="T3882" s="7"/>
      <c r="U3882" s="7" t="str">
        <f aca="false">IF(COUNTIF($A$2:$A$5001,A3882)&gt;1,"Duplicate","Unique")</f>
        <v>Unique</v>
      </c>
      <c r="V3882" s="7" t="str">
        <f aca="false">IF(COUNTIFS($B$2:$B$5001,B3882,$H$2:$H$5001,H3882,$J$2:$J$5001,J3882)&gt;1,"Possible Duplicate Booking","Unique")</f>
        <v>Unique</v>
      </c>
      <c r="W3882" s="7" t="str">
        <f aca="false">IF((H3882-G3882)&lt;&gt;K3882,"Mismatch","OK")</f>
        <v>OK</v>
      </c>
      <c r="X3882" s="7" t="str">
        <f aca="false">IF(TEXT(H3882,"dddd")&lt;&gt;I3882,"Mismatch","OK")</f>
        <v>OK</v>
      </c>
      <c r="Y3882" s="7" t="str">
        <f aca="false">IF(AND(N3882="No",O3882&lt;&gt;""),"Unexpected: channel present but no reminder sent",IF(AND(N3882="Yes",O3882=""),"Missing channel for sent reminder","OK"))</f>
        <v>OK</v>
      </c>
    </row>
    <row r="3883" customFormat="false" ht="15" hidden="false" customHeight="false" outlineLevel="0" collapsed="false">
      <c r="A3883" s="9" t="s">
        <v>5542</v>
      </c>
      <c r="B3883" s="9" t="s">
        <v>2770</v>
      </c>
      <c r="C3883" s="9" t="s">
        <v>47</v>
      </c>
      <c r="D3883" s="9" t="n">
        <v>62</v>
      </c>
      <c r="E3883" s="9" t="s">
        <v>61</v>
      </c>
      <c r="F3883" s="9" t="s">
        <v>57</v>
      </c>
      <c r="G3883" s="10" t="n">
        <v>45778</v>
      </c>
      <c r="H3883" s="10" t="n">
        <v>45780</v>
      </c>
      <c r="I3883" s="9" t="s">
        <v>102</v>
      </c>
      <c r="J3883" s="9" t="s">
        <v>51</v>
      </c>
      <c r="K3883" s="9" t="n">
        <v>2</v>
      </c>
      <c r="L3883" s="9" t="n">
        <v>6</v>
      </c>
      <c r="M3883" s="9" t="n">
        <v>0</v>
      </c>
      <c r="N3883" s="9" t="s">
        <v>71</v>
      </c>
      <c r="O3883" s="9"/>
      <c r="P3883" s="9" t="n">
        <v>6.5</v>
      </c>
      <c r="Q3883" s="9" t="n">
        <v>27</v>
      </c>
      <c r="R3883" s="9" t="s">
        <v>53</v>
      </c>
      <c r="S3883" s="9"/>
      <c r="T3883" s="9"/>
      <c r="U3883" s="9" t="str">
        <f aca="false">IF(COUNTIF($A$2:$A$5001,A3883)&gt;1,"Duplicate","Unique")</f>
        <v>Unique</v>
      </c>
      <c r="V3883" s="9" t="str">
        <f aca="false">IF(COUNTIFS($B$2:$B$5001,B3883,$H$2:$H$5001,H3883,$J$2:$J$5001,J3883)&gt;1,"Possible Duplicate Booking","Unique")</f>
        <v>Unique</v>
      </c>
      <c r="W3883" s="9" t="str">
        <f aca="false">IF((H3883-G3883)&lt;&gt;K3883,"Mismatch","OK")</f>
        <v>OK</v>
      </c>
      <c r="X3883" s="9" t="str">
        <f aca="false">IF(TEXT(H3883,"dddd")&lt;&gt;I3883,"Mismatch","OK")</f>
        <v>OK</v>
      </c>
      <c r="Y3883" s="9" t="str">
        <f aca="false">IF(AND(N3883="No",O3883&lt;&gt;""),"Unexpected: channel present but no reminder sent",IF(AND(N3883="Yes",O3883=""),"Missing channel for sent reminder","OK"))</f>
        <v>OK</v>
      </c>
    </row>
    <row r="3884" customFormat="false" ht="15" hidden="false" customHeight="false" outlineLevel="0" collapsed="false">
      <c r="A3884" s="7" t="s">
        <v>5543</v>
      </c>
      <c r="B3884" s="7" t="s">
        <v>1753</v>
      </c>
      <c r="C3884" s="7" t="s">
        <v>37</v>
      </c>
      <c r="D3884" s="7" t="n">
        <v>77</v>
      </c>
      <c r="E3884" s="7" t="s">
        <v>70</v>
      </c>
      <c r="F3884" s="7" t="s">
        <v>39</v>
      </c>
      <c r="G3884" s="8" t="n">
        <v>45956</v>
      </c>
      <c r="H3884" s="8" t="n">
        <v>45972</v>
      </c>
      <c r="I3884" s="7" t="s">
        <v>40</v>
      </c>
      <c r="J3884" s="7" t="s">
        <v>41</v>
      </c>
      <c r="K3884" s="7" t="n">
        <v>16</v>
      </c>
      <c r="L3884" s="7" t="n">
        <v>4</v>
      </c>
      <c r="M3884" s="7" t="n">
        <v>1</v>
      </c>
      <c r="N3884" s="7" t="s">
        <v>71</v>
      </c>
      <c r="O3884" s="7"/>
      <c r="P3884" s="7" t="n">
        <v>12.6</v>
      </c>
      <c r="Q3884" s="7" t="n">
        <v>38</v>
      </c>
      <c r="R3884" s="7" t="s">
        <v>44</v>
      </c>
      <c r="S3884" s="7"/>
      <c r="T3884" s="7"/>
      <c r="U3884" s="7" t="str">
        <f aca="false">IF(COUNTIF($A$2:$A$5001,A3884)&gt;1,"Duplicate","Unique")</f>
        <v>Unique</v>
      </c>
      <c r="V3884" s="7" t="str">
        <f aca="false">IF(COUNTIFS($B$2:$B$5001,B3884,$H$2:$H$5001,H3884,$J$2:$J$5001,J3884)&gt;1,"Possible Duplicate Booking","Unique")</f>
        <v>Unique</v>
      </c>
      <c r="W3884" s="7" t="str">
        <f aca="false">IF((H3884-G3884)&lt;&gt;K3884,"Mismatch","OK")</f>
        <v>OK</v>
      </c>
      <c r="X3884" s="7" t="str">
        <f aca="false">IF(TEXT(H3884,"dddd")&lt;&gt;I3884,"Mismatch","OK")</f>
        <v>OK</v>
      </c>
      <c r="Y3884" s="7" t="str">
        <f aca="false">IF(AND(N3884="No",O3884&lt;&gt;""),"Unexpected: channel present but no reminder sent",IF(AND(N3884="Yes",O3884=""),"Missing channel for sent reminder","OK"))</f>
        <v>OK</v>
      </c>
    </row>
    <row r="3885" customFormat="false" ht="15" hidden="false" customHeight="false" outlineLevel="0" collapsed="false">
      <c r="A3885" s="9" t="s">
        <v>5544</v>
      </c>
      <c r="B3885" s="9" t="s">
        <v>5545</v>
      </c>
      <c r="C3885" s="9" t="s">
        <v>37</v>
      </c>
      <c r="D3885" s="9" t="n">
        <v>49</v>
      </c>
      <c r="E3885" s="9" t="s">
        <v>56</v>
      </c>
      <c r="F3885" s="9" t="s">
        <v>39</v>
      </c>
      <c r="G3885" s="10" t="n">
        <v>45887</v>
      </c>
      <c r="H3885" s="10" t="n">
        <v>45906</v>
      </c>
      <c r="I3885" s="9" t="s">
        <v>102</v>
      </c>
      <c r="J3885" s="9" t="s">
        <v>51</v>
      </c>
      <c r="K3885" s="9" t="n">
        <v>19</v>
      </c>
      <c r="L3885" s="9" t="n">
        <v>5</v>
      </c>
      <c r="M3885" s="9" t="n">
        <v>1</v>
      </c>
      <c r="N3885" s="9" t="s">
        <v>42</v>
      </c>
      <c r="O3885" s="9" t="s">
        <v>52</v>
      </c>
      <c r="P3885" s="9" t="n">
        <v>14.6</v>
      </c>
      <c r="Q3885" s="9" t="n">
        <v>20</v>
      </c>
      <c r="R3885" s="9" t="s">
        <v>53</v>
      </c>
      <c r="S3885" s="9"/>
      <c r="T3885" s="9"/>
      <c r="U3885" s="9" t="str">
        <f aca="false">IF(COUNTIF($A$2:$A$5001,A3885)&gt;1,"Duplicate","Unique")</f>
        <v>Unique</v>
      </c>
      <c r="V3885" s="9" t="str">
        <f aca="false">IF(COUNTIFS($B$2:$B$5001,B3885,$H$2:$H$5001,H3885,$J$2:$J$5001,J3885)&gt;1,"Possible Duplicate Booking","Unique")</f>
        <v>Unique</v>
      </c>
      <c r="W3885" s="9" t="str">
        <f aca="false">IF((H3885-G3885)&lt;&gt;K3885,"Mismatch","OK")</f>
        <v>OK</v>
      </c>
      <c r="X3885" s="9" t="str">
        <f aca="false">IF(TEXT(H3885,"dddd")&lt;&gt;I3885,"Mismatch","OK")</f>
        <v>OK</v>
      </c>
      <c r="Y3885" s="9" t="str">
        <f aca="false">IF(AND(N3885="No",O3885&lt;&gt;""),"Unexpected: channel present but no reminder sent",IF(AND(N3885="Yes",O3885=""),"Missing channel for sent reminder","OK"))</f>
        <v>OK</v>
      </c>
    </row>
    <row r="3886" customFormat="false" ht="15" hidden="false" customHeight="false" outlineLevel="0" collapsed="false">
      <c r="A3886" s="7" t="s">
        <v>5546</v>
      </c>
      <c r="B3886" s="7" t="s">
        <v>2207</v>
      </c>
      <c r="C3886" s="7" t="s">
        <v>37</v>
      </c>
      <c r="D3886" s="7" t="n">
        <v>49</v>
      </c>
      <c r="E3886" s="7" t="s">
        <v>56</v>
      </c>
      <c r="F3886" s="7" t="s">
        <v>57</v>
      </c>
      <c r="G3886" s="8" t="n">
        <v>45737</v>
      </c>
      <c r="H3886" s="8" t="n">
        <v>45746</v>
      </c>
      <c r="I3886" s="7" t="s">
        <v>75</v>
      </c>
      <c r="J3886" s="7" t="s">
        <v>41</v>
      </c>
      <c r="K3886" s="7" t="n">
        <v>9</v>
      </c>
      <c r="L3886" s="7" t="n">
        <v>5</v>
      </c>
      <c r="M3886" s="7" t="n">
        <v>1</v>
      </c>
      <c r="N3886" s="7" t="s">
        <v>42</v>
      </c>
      <c r="O3886" s="7" t="s">
        <v>52</v>
      </c>
      <c r="P3886" s="7" t="n">
        <v>10.6</v>
      </c>
      <c r="Q3886" s="7" t="n">
        <v>24</v>
      </c>
      <c r="R3886" s="7" t="s">
        <v>44</v>
      </c>
      <c r="S3886" s="7"/>
      <c r="T3886" s="7"/>
      <c r="U3886" s="7" t="str">
        <f aca="false">IF(COUNTIF($A$2:$A$5001,A3886)&gt;1,"Duplicate","Unique")</f>
        <v>Unique</v>
      </c>
      <c r="V3886" s="7" t="str">
        <f aca="false">IF(COUNTIFS($B$2:$B$5001,B3886,$H$2:$H$5001,H3886,$J$2:$J$5001,J3886)&gt;1,"Possible Duplicate Booking","Unique")</f>
        <v>Unique</v>
      </c>
      <c r="W3886" s="7" t="str">
        <f aca="false">IF((H3886-G3886)&lt;&gt;K3886,"Mismatch","OK")</f>
        <v>OK</v>
      </c>
      <c r="X3886" s="7" t="str">
        <f aca="false">IF(TEXT(H3886,"dddd")&lt;&gt;I3886,"Mismatch","OK")</f>
        <v>OK</v>
      </c>
      <c r="Y3886" s="7" t="str">
        <f aca="false">IF(AND(N3886="No",O3886&lt;&gt;""),"Unexpected: channel present but no reminder sent",IF(AND(N3886="Yes",O3886=""),"Missing channel for sent reminder","OK"))</f>
        <v>OK</v>
      </c>
    </row>
    <row r="3887" customFormat="false" ht="15" hidden="false" customHeight="false" outlineLevel="0" collapsed="false">
      <c r="A3887" s="9" t="s">
        <v>5547</v>
      </c>
      <c r="B3887" s="9" t="s">
        <v>162</v>
      </c>
      <c r="C3887" s="9" t="s">
        <v>37</v>
      </c>
      <c r="D3887" s="9" t="n">
        <v>52</v>
      </c>
      <c r="E3887" s="9" t="s">
        <v>56</v>
      </c>
      <c r="F3887" s="9" t="s">
        <v>57</v>
      </c>
      <c r="G3887" s="10" t="n">
        <v>45831</v>
      </c>
      <c r="H3887" s="10" t="n">
        <v>45884</v>
      </c>
      <c r="I3887" s="9" t="s">
        <v>50</v>
      </c>
      <c r="J3887" s="9" t="s">
        <v>51</v>
      </c>
      <c r="K3887" s="9" t="n">
        <v>53</v>
      </c>
      <c r="L3887" s="9" t="n">
        <v>3</v>
      </c>
      <c r="M3887" s="9" t="n">
        <v>0</v>
      </c>
      <c r="N3887" s="9" t="s">
        <v>42</v>
      </c>
      <c r="O3887" s="9" t="s">
        <v>52</v>
      </c>
      <c r="P3887" s="9" t="n">
        <v>7.1</v>
      </c>
      <c r="Q3887" s="9" t="n">
        <v>20</v>
      </c>
      <c r="R3887" s="9" t="s">
        <v>53</v>
      </c>
      <c r="S3887" s="9"/>
      <c r="T3887" s="9"/>
      <c r="U3887" s="9" t="str">
        <f aca="false">IF(COUNTIF($A$2:$A$5001,A3887)&gt;1,"Duplicate","Unique")</f>
        <v>Unique</v>
      </c>
      <c r="V3887" s="9" t="str">
        <f aca="false">IF(COUNTIFS($B$2:$B$5001,B3887,$H$2:$H$5001,H3887,$J$2:$J$5001,J3887)&gt;1,"Possible Duplicate Booking","Unique")</f>
        <v>Unique</v>
      </c>
      <c r="W3887" s="9" t="str">
        <f aca="false">IF((H3887-G3887)&lt;&gt;K3887,"Mismatch","OK")</f>
        <v>OK</v>
      </c>
      <c r="X3887" s="9" t="str">
        <f aca="false">IF(TEXT(H3887,"dddd")&lt;&gt;I3887,"Mismatch","OK")</f>
        <v>OK</v>
      </c>
      <c r="Y3887" s="9" t="str">
        <f aca="false">IF(AND(N3887="No",O3887&lt;&gt;""),"Unexpected: channel present but no reminder sent",IF(AND(N3887="Yes",O3887=""),"Missing channel for sent reminder","OK"))</f>
        <v>OK</v>
      </c>
    </row>
    <row r="3888" customFormat="false" ht="15" hidden="false" customHeight="false" outlineLevel="0" collapsed="false">
      <c r="A3888" s="7" t="s">
        <v>5548</v>
      </c>
      <c r="B3888" s="7" t="s">
        <v>4660</v>
      </c>
      <c r="C3888" s="7" t="s">
        <v>47</v>
      </c>
      <c r="D3888" s="7" t="n">
        <v>36</v>
      </c>
      <c r="E3888" s="7" t="s">
        <v>38</v>
      </c>
      <c r="F3888" s="7" t="s">
        <v>57</v>
      </c>
      <c r="G3888" s="8" t="n">
        <v>45662</v>
      </c>
      <c r="H3888" s="8" t="n">
        <v>45703</v>
      </c>
      <c r="I3888" s="7" t="s">
        <v>102</v>
      </c>
      <c r="J3888" s="7" t="s">
        <v>51</v>
      </c>
      <c r="K3888" s="7" t="n">
        <v>41</v>
      </c>
      <c r="L3888" s="7" t="n">
        <v>5</v>
      </c>
      <c r="M3888" s="7" t="n">
        <v>1</v>
      </c>
      <c r="N3888" s="7" t="s">
        <v>71</v>
      </c>
      <c r="O3888" s="7"/>
      <c r="P3888" s="7" t="n">
        <v>8.9</v>
      </c>
      <c r="Q3888" s="7" t="n">
        <v>21</v>
      </c>
      <c r="R3888" s="7" t="s">
        <v>44</v>
      </c>
      <c r="S3888" s="7"/>
      <c r="T3888" s="7"/>
      <c r="U3888" s="7" t="str">
        <f aca="false">IF(COUNTIF($A$2:$A$5001,A3888)&gt;1,"Duplicate","Unique")</f>
        <v>Unique</v>
      </c>
      <c r="V3888" s="7" t="str">
        <f aca="false">IF(COUNTIFS($B$2:$B$5001,B3888,$H$2:$H$5001,H3888,$J$2:$J$5001,J3888)&gt;1,"Possible Duplicate Booking","Unique")</f>
        <v>Unique</v>
      </c>
      <c r="W3888" s="7" t="str">
        <f aca="false">IF((H3888-G3888)&lt;&gt;K3888,"Mismatch","OK")</f>
        <v>OK</v>
      </c>
      <c r="X3888" s="7" t="str">
        <f aca="false">IF(TEXT(H3888,"dddd")&lt;&gt;I3888,"Mismatch","OK")</f>
        <v>OK</v>
      </c>
      <c r="Y3888" s="7" t="str">
        <f aca="false">IF(AND(N3888="No",O3888&lt;&gt;""),"Unexpected: channel present but no reminder sent",IF(AND(N3888="Yes",O3888=""),"Missing channel for sent reminder","OK"))</f>
        <v>OK</v>
      </c>
    </row>
    <row r="3889" customFormat="false" ht="15" hidden="false" customHeight="false" outlineLevel="0" collapsed="false">
      <c r="A3889" s="9" t="s">
        <v>5549</v>
      </c>
      <c r="B3889" s="9" t="s">
        <v>5550</v>
      </c>
      <c r="C3889" s="9" t="s">
        <v>47</v>
      </c>
      <c r="D3889" s="9" t="n">
        <v>55</v>
      </c>
      <c r="E3889" s="9" t="s">
        <v>61</v>
      </c>
      <c r="F3889" s="9" t="s">
        <v>49</v>
      </c>
      <c r="G3889" s="10" t="n">
        <v>45699</v>
      </c>
      <c r="H3889" s="10" t="n">
        <v>45754</v>
      </c>
      <c r="I3889" s="9" t="s">
        <v>66</v>
      </c>
      <c r="J3889" s="9" t="s">
        <v>51</v>
      </c>
      <c r="K3889" s="9" t="n">
        <v>55</v>
      </c>
      <c r="L3889" s="9" t="n">
        <v>2</v>
      </c>
      <c r="M3889" s="9" t="n">
        <v>2</v>
      </c>
      <c r="N3889" s="9" t="s">
        <v>42</v>
      </c>
      <c r="O3889" s="9" t="s">
        <v>43</v>
      </c>
      <c r="P3889" s="9" t="n">
        <v>12.9</v>
      </c>
      <c r="Q3889" s="9" t="n">
        <v>36</v>
      </c>
      <c r="R3889" s="9" t="s">
        <v>44</v>
      </c>
      <c r="S3889" s="9"/>
      <c r="T3889" s="9"/>
      <c r="U3889" s="9" t="str">
        <f aca="false">IF(COUNTIF($A$2:$A$5001,A3889)&gt;1,"Duplicate","Unique")</f>
        <v>Unique</v>
      </c>
      <c r="V3889" s="9" t="str">
        <f aca="false">IF(COUNTIFS($B$2:$B$5001,B3889,$H$2:$H$5001,H3889,$J$2:$J$5001,J3889)&gt;1,"Possible Duplicate Booking","Unique")</f>
        <v>Unique</v>
      </c>
      <c r="W3889" s="9" t="str">
        <f aca="false">IF((H3889-G3889)&lt;&gt;K3889,"Mismatch","OK")</f>
        <v>OK</v>
      </c>
      <c r="X3889" s="9" t="str">
        <f aca="false">IF(TEXT(H3889,"dddd")&lt;&gt;I3889,"Mismatch","OK")</f>
        <v>OK</v>
      </c>
      <c r="Y3889" s="9" t="str">
        <f aca="false">IF(AND(N3889="No",O3889&lt;&gt;""),"Unexpected: channel present but no reminder sent",IF(AND(N3889="Yes",O3889=""),"Missing channel for sent reminder","OK"))</f>
        <v>OK</v>
      </c>
    </row>
    <row r="3890" customFormat="false" ht="15" hidden="false" customHeight="false" outlineLevel="0" collapsed="false">
      <c r="A3890" s="7" t="s">
        <v>5551</v>
      </c>
      <c r="B3890" s="7" t="s">
        <v>869</v>
      </c>
      <c r="C3890" s="7" t="s">
        <v>47</v>
      </c>
      <c r="D3890" s="7" t="n">
        <v>78</v>
      </c>
      <c r="E3890" s="7" t="s">
        <v>70</v>
      </c>
      <c r="F3890" s="7" t="s">
        <v>57</v>
      </c>
      <c r="G3890" s="8" t="n">
        <v>45700</v>
      </c>
      <c r="H3890" s="8" t="n">
        <v>45734</v>
      </c>
      <c r="I3890" s="7" t="s">
        <v>40</v>
      </c>
      <c r="J3890" s="7" t="s">
        <v>41</v>
      </c>
      <c r="K3890" s="7" t="n">
        <v>34</v>
      </c>
      <c r="L3890" s="7" t="n">
        <v>1</v>
      </c>
      <c r="M3890" s="7" t="n">
        <v>0</v>
      </c>
      <c r="N3890" s="7" t="s">
        <v>42</v>
      </c>
      <c r="O3890" s="7" t="s">
        <v>67</v>
      </c>
      <c r="P3890" s="7" t="n">
        <v>14.1</v>
      </c>
      <c r="Q3890" s="7" t="n">
        <v>29</v>
      </c>
      <c r="R3890" s="7" t="s">
        <v>53</v>
      </c>
      <c r="S3890" s="7"/>
      <c r="T3890" s="7"/>
      <c r="U3890" s="7" t="str">
        <f aca="false">IF(COUNTIF($A$2:$A$5001,A3890)&gt;1,"Duplicate","Unique")</f>
        <v>Unique</v>
      </c>
      <c r="V3890" s="7" t="str">
        <f aca="false">IF(COUNTIFS($B$2:$B$5001,B3890,$H$2:$H$5001,H3890,$J$2:$J$5001,J3890)&gt;1,"Possible Duplicate Booking","Unique")</f>
        <v>Unique</v>
      </c>
      <c r="W3890" s="7" t="str">
        <f aca="false">IF((H3890-G3890)&lt;&gt;K3890,"Mismatch","OK")</f>
        <v>OK</v>
      </c>
      <c r="X3890" s="7" t="str">
        <f aca="false">IF(TEXT(H3890,"dddd")&lt;&gt;I3890,"Mismatch","OK")</f>
        <v>OK</v>
      </c>
      <c r="Y3890" s="7" t="str">
        <f aca="false">IF(AND(N3890="No",O3890&lt;&gt;""),"Unexpected: channel present but no reminder sent",IF(AND(N3890="Yes",O3890=""),"Missing channel for sent reminder","OK"))</f>
        <v>OK</v>
      </c>
    </row>
    <row r="3891" customFormat="false" ht="15" hidden="false" customHeight="false" outlineLevel="0" collapsed="false">
      <c r="A3891" s="9" t="s">
        <v>5552</v>
      </c>
      <c r="B3891" s="9" t="s">
        <v>2637</v>
      </c>
      <c r="C3891" s="9" t="s">
        <v>37</v>
      </c>
      <c r="D3891" s="9" t="n">
        <v>42</v>
      </c>
      <c r="E3891" s="9" t="s">
        <v>38</v>
      </c>
      <c r="F3891" s="9" t="s">
        <v>57</v>
      </c>
      <c r="G3891" s="10" t="n">
        <v>46102</v>
      </c>
      <c r="H3891" s="10" t="n">
        <v>46108</v>
      </c>
      <c r="I3891" s="9" t="s">
        <v>50</v>
      </c>
      <c r="J3891" s="9" t="s">
        <v>41</v>
      </c>
      <c r="K3891" s="9" t="n">
        <v>6</v>
      </c>
      <c r="L3891" s="9" t="n">
        <v>7</v>
      </c>
      <c r="M3891" s="9" t="n">
        <v>0</v>
      </c>
      <c r="N3891" s="9" t="s">
        <v>42</v>
      </c>
      <c r="O3891" s="9" t="s">
        <v>52</v>
      </c>
      <c r="P3891" s="9" t="n">
        <v>4.9</v>
      </c>
      <c r="Q3891" s="9" t="n">
        <v>27</v>
      </c>
      <c r="R3891" s="9" t="s">
        <v>53</v>
      </c>
      <c r="S3891" s="9"/>
      <c r="T3891" s="9"/>
      <c r="U3891" s="9" t="str">
        <f aca="false">IF(COUNTIF($A$2:$A$5001,A3891)&gt;1,"Duplicate","Unique")</f>
        <v>Unique</v>
      </c>
      <c r="V3891" s="9" t="str">
        <f aca="false">IF(COUNTIFS($B$2:$B$5001,B3891,$H$2:$H$5001,H3891,$J$2:$J$5001,J3891)&gt;1,"Possible Duplicate Booking","Unique")</f>
        <v>Unique</v>
      </c>
      <c r="W3891" s="9" t="str">
        <f aca="false">IF((H3891-G3891)&lt;&gt;K3891,"Mismatch","OK")</f>
        <v>OK</v>
      </c>
      <c r="X3891" s="9" t="str">
        <f aca="false">IF(TEXT(H3891,"dddd")&lt;&gt;I3891,"Mismatch","OK")</f>
        <v>OK</v>
      </c>
      <c r="Y3891" s="9" t="str">
        <f aca="false">IF(AND(N3891="No",O3891&lt;&gt;""),"Unexpected: channel present but no reminder sent",IF(AND(N3891="Yes",O3891=""),"Missing channel for sent reminder","OK"))</f>
        <v>OK</v>
      </c>
    </row>
    <row r="3892" customFormat="false" ht="15" hidden="false" customHeight="false" outlineLevel="0" collapsed="false">
      <c r="A3892" s="7" t="s">
        <v>5553</v>
      </c>
      <c r="B3892" s="7" t="s">
        <v>516</v>
      </c>
      <c r="C3892" s="7" t="s">
        <v>37</v>
      </c>
      <c r="D3892" s="7" t="n">
        <v>66</v>
      </c>
      <c r="E3892" s="7" t="s">
        <v>70</v>
      </c>
      <c r="F3892" s="7" t="s">
        <v>57</v>
      </c>
      <c r="G3892" s="8" t="n">
        <v>45912</v>
      </c>
      <c r="H3892" s="8" t="n">
        <v>45967</v>
      </c>
      <c r="I3892" s="7" t="s">
        <v>62</v>
      </c>
      <c r="J3892" s="7" t="s">
        <v>41</v>
      </c>
      <c r="K3892" s="7" t="n">
        <v>55</v>
      </c>
      <c r="L3892" s="7" t="n">
        <v>5</v>
      </c>
      <c r="M3892" s="7" t="n">
        <v>0</v>
      </c>
      <c r="N3892" s="7" t="s">
        <v>42</v>
      </c>
      <c r="O3892" s="7" t="s">
        <v>43</v>
      </c>
      <c r="P3892" s="7" t="n">
        <v>2.9</v>
      </c>
      <c r="Q3892" s="7" t="n">
        <v>23</v>
      </c>
      <c r="R3892" s="7" t="s">
        <v>44</v>
      </c>
      <c r="S3892" s="7"/>
      <c r="T3892" s="7"/>
      <c r="U3892" s="7" t="str">
        <f aca="false">IF(COUNTIF($A$2:$A$5001,A3892)&gt;1,"Duplicate","Unique")</f>
        <v>Unique</v>
      </c>
      <c r="V3892" s="7" t="str">
        <f aca="false">IF(COUNTIFS($B$2:$B$5001,B3892,$H$2:$H$5001,H3892,$J$2:$J$5001,J3892)&gt;1,"Possible Duplicate Booking","Unique")</f>
        <v>Unique</v>
      </c>
      <c r="W3892" s="7" t="str">
        <f aca="false">IF((H3892-G3892)&lt;&gt;K3892,"Mismatch","OK")</f>
        <v>OK</v>
      </c>
      <c r="X3892" s="7" t="str">
        <f aca="false">IF(TEXT(H3892,"dddd")&lt;&gt;I3892,"Mismatch","OK")</f>
        <v>OK</v>
      </c>
      <c r="Y3892" s="7" t="str">
        <f aca="false">IF(AND(N3892="No",O3892&lt;&gt;""),"Unexpected: channel present but no reminder sent",IF(AND(N3892="Yes",O3892=""),"Missing channel for sent reminder","OK"))</f>
        <v>OK</v>
      </c>
    </row>
    <row r="3893" customFormat="false" ht="15" hidden="false" customHeight="false" outlineLevel="0" collapsed="false">
      <c r="A3893" s="9" t="s">
        <v>5554</v>
      </c>
      <c r="B3893" s="9" t="s">
        <v>1643</v>
      </c>
      <c r="C3893" s="9" t="s">
        <v>47</v>
      </c>
      <c r="D3893" s="9" t="n">
        <v>66</v>
      </c>
      <c r="E3893" s="9" t="s">
        <v>70</v>
      </c>
      <c r="F3893" s="9" t="s">
        <v>39</v>
      </c>
      <c r="G3893" s="10" t="n">
        <v>46136</v>
      </c>
      <c r="H3893" s="10" t="n">
        <v>46163</v>
      </c>
      <c r="I3893" s="9" t="s">
        <v>62</v>
      </c>
      <c r="J3893" s="9" t="s">
        <v>63</v>
      </c>
      <c r="K3893" s="9" t="n">
        <v>27</v>
      </c>
      <c r="L3893" s="9" t="n">
        <v>3</v>
      </c>
      <c r="M3893" s="9" t="n">
        <v>0</v>
      </c>
      <c r="N3893" s="9" t="s">
        <v>42</v>
      </c>
      <c r="O3893" s="9" t="s">
        <v>43</v>
      </c>
      <c r="P3893" s="9" t="n">
        <v>3.6</v>
      </c>
      <c r="Q3893" s="9" t="n">
        <v>14</v>
      </c>
      <c r="R3893" s="9" t="s">
        <v>44</v>
      </c>
      <c r="S3893" s="9"/>
      <c r="T3893" s="9"/>
      <c r="U3893" s="9" t="str">
        <f aca="false">IF(COUNTIF($A$2:$A$5001,A3893)&gt;1,"Duplicate","Unique")</f>
        <v>Unique</v>
      </c>
      <c r="V3893" s="9" t="str">
        <f aca="false">IF(COUNTIFS($B$2:$B$5001,B3893,$H$2:$H$5001,H3893,$J$2:$J$5001,J3893)&gt;1,"Possible Duplicate Booking","Unique")</f>
        <v>Unique</v>
      </c>
      <c r="W3893" s="9" t="str">
        <f aca="false">IF((H3893-G3893)&lt;&gt;K3893,"Mismatch","OK")</f>
        <v>OK</v>
      </c>
      <c r="X3893" s="9" t="str">
        <f aca="false">IF(TEXT(H3893,"dddd")&lt;&gt;I3893,"Mismatch","OK")</f>
        <v>OK</v>
      </c>
      <c r="Y3893" s="9" t="str">
        <f aca="false">IF(AND(N3893="No",O3893&lt;&gt;""),"Unexpected: channel present but no reminder sent",IF(AND(N3893="Yes",O3893=""),"Missing channel for sent reminder","OK"))</f>
        <v>OK</v>
      </c>
    </row>
    <row r="3894" customFormat="false" ht="15" hidden="false" customHeight="false" outlineLevel="0" collapsed="false">
      <c r="A3894" s="7" t="s">
        <v>5555</v>
      </c>
      <c r="B3894" s="7" t="s">
        <v>1212</v>
      </c>
      <c r="C3894" s="7" t="s">
        <v>37</v>
      </c>
      <c r="D3894" s="7" t="n">
        <v>71</v>
      </c>
      <c r="E3894" s="7" t="s">
        <v>70</v>
      </c>
      <c r="F3894" s="7" t="s">
        <v>49</v>
      </c>
      <c r="G3894" s="8" t="n">
        <v>45855</v>
      </c>
      <c r="H3894" s="8" t="n">
        <v>45896</v>
      </c>
      <c r="I3894" s="7" t="s">
        <v>58</v>
      </c>
      <c r="J3894" s="7" t="s">
        <v>41</v>
      </c>
      <c r="K3894" s="7" t="n">
        <v>41</v>
      </c>
      <c r="L3894" s="7" t="n">
        <v>2</v>
      </c>
      <c r="M3894" s="7" t="n">
        <v>1</v>
      </c>
      <c r="N3894" s="7" t="s">
        <v>71</v>
      </c>
      <c r="O3894" s="7"/>
      <c r="P3894" s="7" t="n">
        <v>7.4</v>
      </c>
      <c r="Q3894" s="7" t="n">
        <v>32</v>
      </c>
      <c r="R3894" s="7" t="s">
        <v>53</v>
      </c>
      <c r="S3894" s="7"/>
      <c r="T3894" s="7"/>
      <c r="U3894" s="7" t="str">
        <f aca="false">IF(COUNTIF($A$2:$A$5001,A3894)&gt;1,"Duplicate","Unique")</f>
        <v>Unique</v>
      </c>
      <c r="V3894" s="7" t="str">
        <f aca="false">IF(COUNTIFS($B$2:$B$5001,B3894,$H$2:$H$5001,H3894,$J$2:$J$5001,J3894)&gt;1,"Possible Duplicate Booking","Unique")</f>
        <v>Unique</v>
      </c>
      <c r="W3894" s="7" t="str">
        <f aca="false">IF((H3894-G3894)&lt;&gt;K3894,"Mismatch","OK")</f>
        <v>OK</v>
      </c>
      <c r="X3894" s="7" t="str">
        <f aca="false">IF(TEXT(H3894,"dddd")&lt;&gt;I3894,"Mismatch","OK")</f>
        <v>OK</v>
      </c>
      <c r="Y3894" s="7" t="str">
        <f aca="false">IF(AND(N3894="No",O3894&lt;&gt;""),"Unexpected: channel present but no reminder sent",IF(AND(N3894="Yes",O3894=""),"Missing channel for sent reminder","OK"))</f>
        <v>OK</v>
      </c>
    </row>
    <row r="3895" customFormat="false" ht="15" hidden="false" customHeight="false" outlineLevel="0" collapsed="false">
      <c r="A3895" s="9" t="s">
        <v>5556</v>
      </c>
      <c r="B3895" s="9" t="s">
        <v>152</v>
      </c>
      <c r="C3895" s="9" t="s">
        <v>37</v>
      </c>
      <c r="D3895" s="9" t="n">
        <v>63</v>
      </c>
      <c r="E3895" s="9" t="s">
        <v>61</v>
      </c>
      <c r="F3895" s="9" t="s">
        <v>39</v>
      </c>
      <c r="G3895" s="10" t="n">
        <v>45744</v>
      </c>
      <c r="H3895" s="10" t="n">
        <v>45767</v>
      </c>
      <c r="I3895" s="9" t="s">
        <v>75</v>
      </c>
      <c r="J3895" s="9" t="s">
        <v>63</v>
      </c>
      <c r="K3895" s="9" t="n">
        <v>23</v>
      </c>
      <c r="L3895" s="9" t="n">
        <v>3</v>
      </c>
      <c r="M3895" s="9" t="n">
        <v>0</v>
      </c>
      <c r="N3895" s="9" t="s">
        <v>71</v>
      </c>
      <c r="O3895" s="9"/>
      <c r="P3895" s="9" t="n">
        <v>13.8</v>
      </c>
      <c r="Q3895" s="9" t="n">
        <v>33</v>
      </c>
      <c r="R3895" s="9" t="s">
        <v>53</v>
      </c>
      <c r="S3895" s="9"/>
      <c r="T3895" s="9"/>
      <c r="U3895" s="9" t="str">
        <f aca="false">IF(COUNTIF($A$2:$A$5001,A3895)&gt;1,"Duplicate","Unique")</f>
        <v>Unique</v>
      </c>
      <c r="V3895" s="9" t="str">
        <f aca="false">IF(COUNTIFS($B$2:$B$5001,B3895,$H$2:$H$5001,H3895,$J$2:$J$5001,J3895)&gt;1,"Possible Duplicate Booking","Unique")</f>
        <v>Unique</v>
      </c>
      <c r="W3895" s="9" t="str">
        <f aca="false">IF((H3895-G3895)&lt;&gt;K3895,"Mismatch","OK")</f>
        <v>OK</v>
      </c>
      <c r="X3895" s="9" t="str">
        <f aca="false">IF(TEXT(H3895,"dddd")&lt;&gt;I3895,"Mismatch","OK")</f>
        <v>OK</v>
      </c>
      <c r="Y3895" s="9" t="str">
        <f aca="false">IF(AND(N3895="No",O3895&lt;&gt;""),"Unexpected: channel present but no reminder sent",IF(AND(N3895="Yes",O3895=""),"Missing channel for sent reminder","OK"))</f>
        <v>OK</v>
      </c>
    </row>
    <row r="3896" customFormat="false" ht="15" hidden="false" customHeight="false" outlineLevel="0" collapsed="false">
      <c r="A3896" s="7" t="s">
        <v>5557</v>
      </c>
      <c r="B3896" s="7" t="s">
        <v>474</v>
      </c>
      <c r="C3896" s="7" t="s">
        <v>37</v>
      </c>
      <c r="D3896" s="7" t="n">
        <v>76</v>
      </c>
      <c r="E3896" s="7" t="s">
        <v>70</v>
      </c>
      <c r="F3896" s="7" t="s">
        <v>49</v>
      </c>
      <c r="G3896" s="8" t="n">
        <v>45960</v>
      </c>
      <c r="H3896" s="8" t="n">
        <v>45990</v>
      </c>
      <c r="I3896" s="7" t="s">
        <v>102</v>
      </c>
      <c r="J3896" s="7" t="s">
        <v>51</v>
      </c>
      <c r="K3896" s="7" t="n">
        <v>30</v>
      </c>
      <c r="L3896" s="7" t="n">
        <v>2</v>
      </c>
      <c r="M3896" s="7" t="n">
        <v>0</v>
      </c>
      <c r="N3896" s="7" t="s">
        <v>71</v>
      </c>
      <c r="O3896" s="7"/>
      <c r="P3896" s="7" t="n">
        <v>7.7</v>
      </c>
      <c r="Q3896" s="7" t="n">
        <v>34</v>
      </c>
      <c r="R3896" s="7" t="s">
        <v>87</v>
      </c>
      <c r="S3896" s="7"/>
      <c r="T3896" s="7"/>
      <c r="U3896" s="7" t="str">
        <f aca="false">IF(COUNTIF($A$2:$A$5001,A3896)&gt;1,"Duplicate","Unique")</f>
        <v>Unique</v>
      </c>
      <c r="V3896" s="7" t="str">
        <f aca="false">IF(COUNTIFS($B$2:$B$5001,B3896,$H$2:$H$5001,H3896,$J$2:$J$5001,J3896)&gt;1,"Possible Duplicate Booking","Unique")</f>
        <v>Unique</v>
      </c>
      <c r="W3896" s="7" t="str">
        <f aca="false">IF((H3896-G3896)&lt;&gt;K3896,"Mismatch","OK")</f>
        <v>OK</v>
      </c>
      <c r="X3896" s="7" t="str">
        <f aca="false">IF(TEXT(H3896,"dddd")&lt;&gt;I3896,"Mismatch","OK")</f>
        <v>OK</v>
      </c>
      <c r="Y3896" s="7" t="str">
        <f aca="false">IF(AND(N3896="No",O3896&lt;&gt;""),"Unexpected: channel present but no reminder sent",IF(AND(N3896="Yes",O3896=""),"Missing channel for sent reminder","OK"))</f>
        <v>OK</v>
      </c>
    </row>
    <row r="3897" customFormat="false" ht="15" hidden="false" customHeight="false" outlineLevel="0" collapsed="false">
      <c r="A3897" s="9" t="s">
        <v>5558</v>
      </c>
      <c r="B3897" s="9" t="s">
        <v>3502</v>
      </c>
      <c r="C3897" s="9" t="s">
        <v>37</v>
      </c>
      <c r="D3897" s="9" t="n">
        <v>63</v>
      </c>
      <c r="E3897" s="9" t="s">
        <v>61</v>
      </c>
      <c r="F3897" s="9" t="s">
        <v>39</v>
      </c>
      <c r="G3897" s="10" t="n">
        <v>46136</v>
      </c>
      <c r="H3897" s="10" t="n">
        <v>46165</v>
      </c>
      <c r="I3897" s="9" t="s">
        <v>102</v>
      </c>
      <c r="J3897" s="9" t="s">
        <v>51</v>
      </c>
      <c r="K3897" s="9" t="n">
        <v>29</v>
      </c>
      <c r="L3897" s="9" t="n">
        <v>5</v>
      </c>
      <c r="M3897" s="9" t="n">
        <v>2</v>
      </c>
      <c r="N3897" s="9" t="s">
        <v>42</v>
      </c>
      <c r="O3897" s="9" t="s">
        <v>43</v>
      </c>
      <c r="P3897" s="9" t="n">
        <v>3.3</v>
      </c>
      <c r="Q3897" s="9" t="n">
        <v>24</v>
      </c>
      <c r="R3897" s="9" t="s">
        <v>44</v>
      </c>
      <c r="S3897" s="9"/>
      <c r="T3897" s="9"/>
      <c r="U3897" s="9" t="str">
        <f aca="false">IF(COUNTIF($A$2:$A$5001,A3897)&gt;1,"Duplicate","Unique")</f>
        <v>Unique</v>
      </c>
      <c r="V3897" s="9" t="str">
        <f aca="false">IF(COUNTIFS($B$2:$B$5001,B3897,$H$2:$H$5001,H3897,$J$2:$J$5001,J3897)&gt;1,"Possible Duplicate Booking","Unique")</f>
        <v>Unique</v>
      </c>
      <c r="W3897" s="9" t="str">
        <f aca="false">IF((H3897-G3897)&lt;&gt;K3897,"Mismatch","OK")</f>
        <v>OK</v>
      </c>
      <c r="X3897" s="9" t="str">
        <f aca="false">IF(TEXT(H3897,"dddd")&lt;&gt;I3897,"Mismatch","OK")</f>
        <v>OK</v>
      </c>
      <c r="Y3897" s="9" t="str">
        <f aca="false">IF(AND(N3897="No",O3897&lt;&gt;""),"Unexpected: channel present but no reminder sent",IF(AND(N3897="Yes",O3897=""),"Missing channel for sent reminder","OK"))</f>
        <v>OK</v>
      </c>
    </row>
    <row r="3898" customFormat="false" ht="15" hidden="false" customHeight="false" outlineLevel="0" collapsed="false">
      <c r="A3898" s="7" t="s">
        <v>5559</v>
      </c>
      <c r="B3898" s="7" t="s">
        <v>2409</v>
      </c>
      <c r="C3898" s="7" t="s">
        <v>37</v>
      </c>
      <c r="D3898" s="7" t="n">
        <v>79</v>
      </c>
      <c r="E3898" s="7" t="s">
        <v>70</v>
      </c>
      <c r="F3898" s="7" t="s">
        <v>49</v>
      </c>
      <c r="G3898" s="8" t="n">
        <v>45931</v>
      </c>
      <c r="H3898" s="8" t="n">
        <v>45948</v>
      </c>
      <c r="I3898" s="7" t="s">
        <v>102</v>
      </c>
      <c r="J3898" s="7" t="s">
        <v>51</v>
      </c>
      <c r="K3898" s="7" t="n">
        <v>17</v>
      </c>
      <c r="L3898" s="7" t="n">
        <v>4</v>
      </c>
      <c r="M3898" s="7" t="n">
        <v>0</v>
      </c>
      <c r="N3898" s="7" t="s">
        <v>42</v>
      </c>
      <c r="O3898" s="7" t="s">
        <v>52</v>
      </c>
      <c r="P3898" s="7" t="n">
        <v>10.4</v>
      </c>
      <c r="Q3898" s="7" t="n">
        <v>15</v>
      </c>
      <c r="R3898" s="7" t="s">
        <v>53</v>
      </c>
      <c r="S3898" s="7"/>
      <c r="T3898" s="7"/>
      <c r="U3898" s="7" t="str">
        <f aca="false">IF(COUNTIF($A$2:$A$5001,A3898)&gt;1,"Duplicate","Unique")</f>
        <v>Unique</v>
      </c>
      <c r="V3898" s="7" t="str">
        <f aca="false">IF(COUNTIFS($B$2:$B$5001,B3898,$H$2:$H$5001,H3898,$J$2:$J$5001,J3898)&gt;1,"Possible Duplicate Booking","Unique")</f>
        <v>Unique</v>
      </c>
      <c r="W3898" s="7" t="str">
        <f aca="false">IF((H3898-G3898)&lt;&gt;K3898,"Mismatch","OK")</f>
        <v>OK</v>
      </c>
      <c r="X3898" s="7" t="str">
        <f aca="false">IF(TEXT(H3898,"dddd")&lt;&gt;I3898,"Mismatch","OK")</f>
        <v>OK</v>
      </c>
      <c r="Y3898" s="7" t="str">
        <f aca="false">IF(AND(N3898="No",O3898&lt;&gt;""),"Unexpected: channel present but no reminder sent",IF(AND(N3898="Yes",O3898=""),"Missing channel for sent reminder","OK"))</f>
        <v>OK</v>
      </c>
    </row>
    <row r="3899" customFormat="false" ht="15" hidden="false" customHeight="false" outlineLevel="0" collapsed="false">
      <c r="A3899" s="9" t="s">
        <v>5560</v>
      </c>
      <c r="B3899" s="9" t="s">
        <v>225</v>
      </c>
      <c r="C3899" s="9" t="s">
        <v>37</v>
      </c>
      <c r="D3899" s="9" t="n">
        <v>63</v>
      </c>
      <c r="E3899" s="9" t="s">
        <v>61</v>
      </c>
      <c r="F3899" s="9" t="s">
        <v>49</v>
      </c>
      <c r="G3899" s="10" t="n">
        <v>45634</v>
      </c>
      <c r="H3899" s="10" t="n">
        <v>45667</v>
      </c>
      <c r="I3899" s="9" t="s">
        <v>50</v>
      </c>
      <c r="J3899" s="9" t="s">
        <v>41</v>
      </c>
      <c r="K3899" s="9" t="n">
        <v>33</v>
      </c>
      <c r="L3899" s="9" t="n">
        <v>5</v>
      </c>
      <c r="M3899" s="9" t="n">
        <v>2</v>
      </c>
      <c r="N3899" s="9" t="s">
        <v>42</v>
      </c>
      <c r="O3899" s="9" t="s">
        <v>67</v>
      </c>
      <c r="P3899" s="9" t="n">
        <v>8.3</v>
      </c>
      <c r="Q3899" s="9" t="n">
        <v>31</v>
      </c>
      <c r="R3899" s="9" t="s">
        <v>44</v>
      </c>
      <c r="S3899" s="9"/>
      <c r="T3899" s="9"/>
      <c r="U3899" s="9" t="str">
        <f aca="false">IF(COUNTIF($A$2:$A$5001,A3899)&gt;1,"Duplicate","Unique")</f>
        <v>Unique</v>
      </c>
      <c r="V3899" s="9" t="str">
        <f aca="false">IF(COUNTIFS($B$2:$B$5001,B3899,$H$2:$H$5001,H3899,$J$2:$J$5001,J3899)&gt;1,"Possible Duplicate Booking","Unique")</f>
        <v>Unique</v>
      </c>
      <c r="W3899" s="9" t="str">
        <f aca="false">IF((H3899-G3899)&lt;&gt;K3899,"Mismatch","OK")</f>
        <v>OK</v>
      </c>
      <c r="X3899" s="9" t="str">
        <f aca="false">IF(TEXT(H3899,"dddd")&lt;&gt;I3899,"Mismatch","OK")</f>
        <v>OK</v>
      </c>
      <c r="Y3899" s="9" t="str">
        <f aca="false">IF(AND(N3899="No",O3899&lt;&gt;""),"Unexpected: channel present but no reminder sent",IF(AND(N3899="Yes",O3899=""),"Missing channel for sent reminder","OK"))</f>
        <v>OK</v>
      </c>
    </row>
    <row r="3900" customFormat="false" ht="15" hidden="false" customHeight="false" outlineLevel="0" collapsed="false">
      <c r="A3900" s="7" t="s">
        <v>5561</v>
      </c>
      <c r="B3900" s="7" t="s">
        <v>5562</v>
      </c>
      <c r="C3900" s="7" t="s">
        <v>47</v>
      </c>
      <c r="D3900" s="7" t="n">
        <v>70</v>
      </c>
      <c r="E3900" s="7" t="s">
        <v>70</v>
      </c>
      <c r="F3900" s="7" t="s">
        <v>57</v>
      </c>
      <c r="G3900" s="8" t="n">
        <v>45779</v>
      </c>
      <c r="H3900" s="8" t="n">
        <v>45823</v>
      </c>
      <c r="I3900" s="7" t="s">
        <v>75</v>
      </c>
      <c r="J3900" s="7" t="s">
        <v>41</v>
      </c>
      <c r="K3900" s="7" t="n">
        <v>44</v>
      </c>
      <c r="L3900" s="7" t="n">
        <v>6</v>
      </c>
      <c r="M3900" s="7" t="n">
        <v>2</v>
      </c>
      <c r="N3900" s="7" t="s">
        <v>71</v>
      </c>
      <c r="O3900" s="7"/>
      <c r="P3900" s="7" t="n">
        <v>14.4</v>
      </c>
      <c r="Q3900" s="7" t="n">
        <v>36</v>
      </c>
      <c r="R3900" s="7" t="s">
        <v>44</v>
      </c>
      <c r="S3900" s="7"/>
      <c r="T3900" s="7"/>
      <c r="U3900" s="7" t="str">
        <f aca="false">IF(COUNTIF($A$2:$A$5001,A3900)&gt;1,"Duplicate","Unique")</f>
        <v>Unique</v>
      </c>
      <c r="V3900" s="7" t="str">
        <f aca="false">IF(COUNTIFS($B$2:$B$5001,B3900,$H$2:$H$5001,H3900,$J$2:$J$5001,J3900)&gt;1,"Possible Duplicate Booking","Unique")</f>
        <v>Unique</v>
      </c>
      <c r="W3900" s="7" t="str">
        <f aca="false">IF((H3900-G3900)&lt;&gt;K3900,"Mismatch","OK")</f>
        <v>OK</v>
      </c>
      <c r="X3900" s="7" t="str">
        <f aca="false">IF(TEXT(H3900,"dddd")&lt;&gt;I3900,"Mismatch","OK")</f>
        <v>OK</v>
      </c>
      <c r="Y3900" s="7" t="str">
        <f aca="false">IF(AND(N3900="No",O3900&lt;&gt;""),"Unexpected: channel present but no reminder sent",IF(AND(N3900="Yes",O3900=""),"Missing channel for sent reminder","OK"))</f>
        <v>OK</v>
      </c>
    </row>
    <row r="3901" customFormat="false" ht="15" hidden="false" customHeight="false" outlineLevel="0" collapsed="false">
      <c r="A3901" s="9" t="s">
        <v>5563</v>
      </c>
      <c r="B3901" s="9" t="s">
        <v>2122</v>
      </c>
      <c r="C3901" s="9" t="s">
        <v>37</v>
      </c>
      <c r="D3901" s="9" t="n">
        <v>74</v>
      </c>
      <c r="E3901" s="9" t="s">
        <v>70</v>
      </c>
      <c r="F3901" s="9" t="s">
        <v>74</v>
      </c>
      <c r="G3901" s="10" t="n">
        <v>46162</v>
      </c>
      <c r="H3901" s="10" t="n">
        <v>46163</v>
      </c>
      <c r="I3901" s="9" t="s">
        <v>62</v>
      </c>
      <c r="J3901" s="9" t="s">
        <v>41</v>
      </c>
      <c r="K3901" s="9" t="n">
        <v>1</v>
      </c>
      <c r="L3901" s="9" t="n">
        <v>4</v>
      </c>
      <c r="M3901" s="9" t="n">
        <v>1</v>
      </c>
      <c r="N3901" s="9" t="s">
        <v>42</v>
      </c>
      <c r="O3901" s="9" t="s">
        <v>52</v>
      </c>
      <c r="P3901" s="9" t="n">
        <v>4.2</v>
      </c>
      <c r="Q3901" s="9" t="n">
        <v>33</v>
      </c>
      <c r="R3901" s="9" t="s">
        <v>44</v>
      </c>
      <c r="S3901" s="9"/>
      <c r="T3901" s="9"/>
      <c r="U3901" s="9" t="str">
        <f aca="false">IF(COUNTIF($A$2:$A$5001,A3901)&gt;1,"Duplicate","Unique")</f>
        <v>Unique</v>
      </c>
      <c r="V3901" s="9" t="str">
        <f aca="false">IF(COUNTIFS($B$2:$B$5001,B3901,$H$2:$H$5001,H3901,$J$2:$J$5001,J3901)&gt;1,"Possible Duplicate Booking","Unique")</f>
        <v>Unique</v>
      </c>
      <c r="W3901" s="9" t="str">
        <f aca="false">IF((H3901-G3901)&lt;&gt;K3901,"Mismatch","OK")</f>
        <v>OK</v>
      </c>
      <c r="X3901" s="9" t="str">
        <f aca="false">IF(TEXT(H3901,"dddd")&lt;&gt;I3901,"Mismatch","OK")</f>
        <v>OK</v>
      </c>
      <c r="Y3901" s="9" t="str">
        <f aca="false">IF(AND(N3901="No",O3901&lt;&gt;""),"Unexpected: channel present but no reminder sent",IF(AND(N3901="Yes",O3901=""),"Missing channel for sent reminder","OK"))</f>
        <v>OK</v>
      </c>
    </row>
    <row r="3902" customFormat="false" ht="15" hidden="false" customHeight="false" outlineLevel="0" collapsed="false">
      <c r="A3902" s="7" t="s">
        <v>5564</v>
      </c>
      <c r="B3902" s="7" t="s">
        <v>2431</v>
      </c>
      <c r="C3902" s="7" t="s">
        <v>47</v>
      </c>
      <c r="D3902" s="7" t="n">
        <v>79</v>
      </c>
      <c r="E3902" s="7" t="s">
        <v>70</v>
      </c>
      <c r="F3902" s="7" t="s">
        <v>49</v>
      </c>
      <c r="G3902" s="8" t="n">
        <v>45934</v>
      </c>
      <c r="H3902" s="8" t="n">
        <v>45941</v>
      </c>
      <c r="I3902" s="7" t="s">
        <v>102</v>
      </c>
      <c r="J3902" s="7" t="s">
        <v>63</v>
      </c>
      <c r="K3902" s="7" t="n">
        <v>7</v>
      </c>
      <c r="L3902" s="7" t="n">
        <v>5</v>
      </c>
      <c r="M3902" s="7" t="n">
        <v>3</v>
      </c>
      <c r="N3902" s="7" t="s">
        <v>42</v>
      </c>
      <c r="O3902" s="7" t="s">
        <v>43</v>
      </c>
      <c r="P3902" s="7" t="n">
        <v>11</v>
      </c>
      <c r="Q3902" s="7" t="n">
        <v>15</v>
      </c>
      <c r="R3902" s="7" t="s">
        <v>53</v>
      </c>
      <c r="S3902" s="7"/>
      <c r="T3902" s="7"/>
      <c r="U3902" s="7" t="str">
        <f aca="false">IF(COUNTIF($A$2:$A$5001,A3902)&gt;1,"Duplicate","Unique")</f>
        <v>Unique</v>
      </c>
      <c r="V3902" s="7" t="str">
        <f aca="false">IF(COUNTIFS($B$2:$B$5001,B3902,$H$2:$H$5001,H3902,$J$2:$J$5001,J3902)&gt;1,"Possible Duplicate Booking","Unique")</f>
        <v>Unique</v>
      </c>
      <c r="W3902" s="7" t="str">
        <f aca="false">IF((H3902-G3902)&lt;&gt;K3902,"Mismatch","OK")</f>
        <v>OK</v>
      </c>
      <c r="X3902" s="7" t="str">
        <f aca="false">IF(TEXT(H3902,"dddd")&lt;&gt;I3902,"Mismatch","OK")</f>
        <v>OK</v>
      </c>
      <c r="Y3902" s="7" t="str">
        <f aca="false">IF(AND(N3902="No",O3902&lt;&gt;""),"Unexpected: channel present but no reminder sent",IF(AND(N3902="Yes",O3902=""),"Missing channel for sent reminder","OK"))</f>
        <v>OK</v>
      </c>
    </row>
    <row r="3903" customFormat="false" ht="15" hidden="false" customHeight="false" outlineLevel="0" collapsed="false">
      <c r="A3903" s="9" t="s">
        <v>5565</v>
      </c>
      <c r="B3903" s="9" t="s">
        <v>1409</v>
      </c>
      <c r="C3903" s="9" t="s">
        <v>47</v>
      </c>
      <c r="D3903" s="9" t="n">
        <v>55</v>
      </c>
      <c r="E3903" s="9" t="s">
        <v>61</v>
      </c>
      <c r="F3903" s="9" t="s">
        <v>39</v>
      </c>
      <c r="G3903" s="10" t="n">
        <v>46126</v>
      </c>
      <c r="H3903" s="10" t="n">
        <v>46177</v>
      </c>
      <c r="I3903" s="9" t="s">
        <v>62</v>
      </c>
      <c r="J3903" s="9" t="s">
        <v>51</v>
      </c>
      <c r="K3903" s="9" t="n">
        <v>51</v>
      </c>
      <c r="L3903" s="9" t="n">
        <v>3</v>
      </c>
      <c r="M3903" s="9" t="n">
        <v>1</v>
      </c>
      <c r="N3903" s="9" t="s">
        <v>42</v>
      </c>
      <c r="O3903" s="9" t="s">
        <v>67</v>
      </c>
      <c r="P3903" s="9" t="n">
        <v>10.2</v>
      </c>
      <c r="Q3903" s="9" t="n">
        <v>28</v>
      </c>
      <c r="R3903" s="9" t="s">
        <v>44</v>
      </c>
      <c r="S3903" s="9"/>
      <c r="T3903" s="9"/>
      <c r="U3903" s="9" t="str">
        <f aca="false">IF(COUNTIF($A$2:$A$5001,A3903)&gt;1,"Duplicate","Unique")</f>
        <v>Unique</v>
      </c>
      <c r="V3903" s="9" t="str">
        <f aca="false">IF(COUNTIFS($B$2:$B$5001,B3903,$H$2:$H$5001,H3903,$J$2:$J$5001,J3903)&gt;1,"Possible Duplicate Booking","Unique")</f>
        <v>Unique</v>
      </c>
      <c r="W3903" s="9" t="str">
        <f aca="false">IF((H3903-G3903)&lt;&gt;K3903,"Mismatch","OK")</f>
        <v>OK</v>
      </c>
      <c r="X3903" s="9" t="str">
        <f aca="false">IF(TEXT(H3903,"dddd")&lt;&gt;I3903,"Mismatch","OK")</f>
        <v>OK</v>
      </c>
      <c r="Y3903" s="9" t="str">
        <f aca="false">IF(AND(N3903="No",O3903&lt;&gt;""),"Unexpected: channel present but no reminder sent",IF(AND(N3903="Yes",O3903=""),"Missing channel for sent reminder","OK"))</f>
        <v>OK</v>
      </c>
    </row>
    <row r="3904" customFormat="false" ht="15" hidden="false" customHeight="false" outlineLevel="0" collapsed="false">
      <c r="A3904" s="7" t="s">
        <v>5566</v>
      </c>
      <c r="B3904" s="7" t="s">
        <v>1663</v>
      </c>
      <c r="C3904" s="7" t="s">
        <v>47</v>
      </c>
      <c r="D3904" s="7" t="n">
        <v>62</v>
      </c>
      <c r="E3904" s="7" t="s">
        <v>61</v>
      </c>
      <c r="F3904" s="7" t="s">
        <v>57</v>
      </c>
      <c r="G3904" s="8" t="n">
        <v>45902</v>
      </c>
      <c r="H3904" s="8" t="n">
        <v>45936</v>
      </c>
      <c r="I3904" s="7" t="s">
        <v>66</v>
      </c>
      <c r="J3904" s="7" t="s">
        <v>41</v>
      </c>
      <c r="K3904" s="7" t="n">
        <v>34</v>
      </c>
      <c r="L3904" s="7" t="n">
        <v>2</v>
      </c>
      <c r="M3904" s="7" t="n">
        <v>0</v>
      </c>
      <c r="N3904" s="7" t="s">
        <v>42</v>
      </c>
      <c r="O3904" s="7" t="s">
        <v>67</v>
      </c>
      <c r="P3904" s="7" t="n">
        <v>12.4</v>
      </c>
      <c r="Q3904" s="7" t="n">
        <v>3</v>
      </c>
      <c r="R3904" s="7" t="s">
        <v>53</v>
      </c>
      <c r="S3904" s="7"/>
      <c r="T3904" s="7"/>
      <c r="U3904" s="7" t="str">
        <f aca="false">IF(COUNTIF($A$2:$A$5001,A3904)&gt;1,"Duplicate","Unique")</f>
        <v>Unique</v>
      </c>
      <c r="V3904" s="7" t="str">
        <f aca="false">IF(COUNTIFS($B$2:$B$5001,B3904,$H$2:$H$5001,H3904,$J$2:$J$5001,J3904)&gt;1,"Possible Duplicate Booking","Unique")</f>
        <v>Unique</v>
      </c>
      <c r="W3904" s="7" t="str">
        <f aca="false">IF((H3904-G3904)&lt;&gt;K3904,"Mismatch","OK")</f>
        <v>OK</v>
      </c>
      <c r="X3904" s="7" t="str">
        <f aca="false">IF(TEXT(H3904,"dddd")&lt;&gt;I3904,"Mismatch","OK")</f>
        <v>OK</v>
      </c>
      <c r="Y3904" s="7" t="str">
        <f aca="false">IF(AND(N3904="No",O3904&lt;&gt;""),"Unexpected: channel present but no reminder sent",IF(AND(N3904="Yes",O3904=""),"Missing channel for sent reminder","OK"))</f>
        <v>OK</v>
      </c>
    </row>
    <row r="3905" customFormat="false" ht="15" hidden="false" customHeight="false" outlineLevel="0" collapsed="false">
      <c r="A3905" s="9" t="s">
        <v>5567</v>
      </c>
      <c r="B3905" s="9" t="s">
        <v>490</v>
      </c>
      <c r="C3905" s="9" t="s">
        <v>37</v>
      </c>
      <c r="D3905" s="9" t="n">
        <v>78</v>
      </c>
      <c r="E3905" s="9" t="s">
        <v>70</v>
      </c>
      <c r="F3905" s="9" t="s">
        <v>57</v>
      </c>
      <c r="G3905" s="10" t="n">
        <v>45605</v>
      </c>
      <c r="H3905" s="10" t="n">
        <v>45664</v>
      </c>
      <c r="I3905" s="9" t="s">
        <v>40</v>
      </c>
      <c r="J3905" s="9" t="s">
        <v>41</v>
      </c>
      <c r="K3905" s="9" t="n">
        <v>59</v>
      </c>
      <c r="L3905" s="9" t="n">
        <v>2</v>
      </c>
      <c r="M3905" s="9" t="n">
        <v>0</v>
      </c>
      <c r="N3905" s="9" t="s">
        <v>42</v>
      </c>
      <c r="O3905" s="9" t="s">
        <v>52</v>
      </c>
      <c r="P3905" s="9" t="n">
        <v>15.7</v>
      </c>
      <c r="Q3905" s="9" t="n">
        <v>39</v>
      </c>
      <c r="R3905" s="9" t="s">
        <v>44</v>
      </c>
      <c r="S3905" s="9"/>
      <c r="T3905" s="9"/>
      <c r="U3905" s="9" t="str">
        <f aca="false">IF(COUNTIF($A$2:$A$5001,A3905)&gt;1,"Duplicate","Unique")</f>
        <v>Unique</v>
      </c>
      <c r="V3905" s="9" t="str">
        <f aca="false">IF(COUNTIFS($B$2:$B$5001,B3905,$H$2:$H$5001,H3905,$J$2:$J$5001,J3905)&gt;1,"Possible Duplicate Booking","Unique")</f>
        <v>Unique</v>
      </c>
      <c r="W3905" s="9" t="str">
        <f aca="false">IF((H3905-G3905)&lt;&gt;K3905,"Mismatch","OK")</f>
        <v>OK</v>
      </c>
      <c r="X3905" s="9" t="str">
        <f aca="false">IF(TEXT(H3905,"dddd")&lt;&gt;I3905,"Mismatch","OK")</f>
        <v>OK</v>
      </c>
      <c r="Y3905" s="9" t="str">
        <f aca="false">IF(AND(N3905="No",O3905&lt;&gt;""),"Unexpected: channel present but no reminder sent",IF(AND(N3905="Yes",O3905=""),"Missing channel for sent reminder","OK"))</f>
        <v>OK</v>
      </c>
    </row>
    <row r="3906" customFormat="false" ht="15" hidden="false" customHeight="false" outlineLevel="0" collapsed="false">
      <c r="A3906" s="7" t="s">
        <v>5568</v>
      </c>
      <c r="B3906" s="7" t="s">
        <v>5569</v>
      </c>
      <c r="C3906" s="7" t="s">
        <v>37</v>
      </c>
      <c r="D3906" s="7" t="n">
        <v>41</v>
      </c>
      <c r="E3906" s="7" t="s">
        <v>38</v>
      </c>
      <c r="F3906" s="7" t="s">
        <v>39</v>
      </c>
      <c r="G3906" s="8" t="n">
        <v>46098</v>
      </c>
      <c r="H3906" s="8" t="n">
        <v>46134</v>
      </c>
      <c r="I3906" s="7" t="s">
        <v>58</v>
      </c>
      <c r="J3906" s="7" t="s">
        <v>41</v>
      </c>
      <c r="K3906" s="7" t="n">
        <v>36</v>
      </c>
      <c r="L3906" s="7" t="n">
        <v>2</v>
      </c>
      <c r="M3906" s="7" t="n">
        <v>1</v>
      </c>
      <c r="N3906" s="7" t="s">
        <v>42</v>
      </c>
      <c r="O3906" s="7" t="s">
        <v>52</v>
      </c>
      <c r="P3906" s="7" t="n">
        <v>1.7</v>
      </c>
      <c r="Q3906" s="7" t="n">
        <v>26</v>
      </c>
      <c r="R3906" s="7" t="s">
        <v>44</v>
      </c>
      <c r="S3906" s="7"/>
      <c r="T3906" s="7"/>
      <c r="U3906" s="7" t="str">
        <f aca="false">IF(COUNTIF($A$2:$A$5001,A3906)&gt;1,"Duplicate","Unique")</f>
        <v>Unique</v>
      </c>
      <c r="V3906" s="7" t="str">
        <f aca="false">IF(COUNTIFS($B$2:$B$5001,B3906,$H$2:$H$5001,H3906,$J$2:$J$5001,J3906)&gt;1,"Possible Duplicate Booking","Unique")</f>
        <v>Unique</v>
      </c>
      <c r="W3906" s="7" t="str">
        <f aca="false">IF((H3906-G3906)&lt;&gt;K3906,"Mismatch","OK")</f>
        <v>OK</v>
      </c>
      <c r="X3906" s="7" t="str">
        <f aca="false">IF(TEXT(H3906,"dddd")&lt;&gt;I3906,"Mismatch","OK")</f>
        <v>OK</v>
      </c>
      <c r="Y3906" s="7" t="str">
        <f aca="false">IF(AND(N3906="No",O3906&lt;&gt;""),"Unexpected: channel present but no reminder sent",IF(AND(N3906="Yes",O3906=""),"Missing channel for sent reminder","OK"))</f>
        <v>OK</v>
      </c>
    </row>
    <row r="3907" customFormat="false" ht="15" hidden="false" customHeight="false" outlineLevel="0" collapsed="false">
      <c r="A3907" s="9" t="s">
        <v>5570</v>
      </c>
      <c r="B3907" s="9" t="s">
        <v>5571</v>
      </c>
      <c r="C3907" s="9" t="s">
        <v>37</v>
      </c>
      <c r="D3907" s="9" t="n">
        <v>25</v>
      </c>
      <c r="E3907" s="9" t="s">
        <v>48</v>
      </c>
      <c r="F3907" s="9" t="s">
        <v>57</v>
      </c>
      <c r="G3907" s="10" t="n">
        <v>46035</v>
      </c>
      <c r="H3907" s="10" t="n">
        <v>46074</v>
      </c>
      <c r="I3907" s="9" t="s">
        <v>102</v>
      </c>
      <c r="J3907" s="9" t="s">
        <v>51</v>
      </c>
      <c r="K3907" s="9" t="n">
        <v>39</v>
      </c>
      <c r="L3907" s="9" t="n">
        <v>3</v>
      </c>
      <c r="M3907" s="9" t="n">
        <v>1</v>
      </c>
      <c r="N3907" s="9" t="s">
        <v>42</v>
      </c>
      <c r="O3907" s="9" t="s">
        <v>52</v>
      </c>
      <c r="P3907" s="9" t="n">
        <v>5.5</v>
      </c>
      <c r="Q3907" s="9" t="n">
        <v>26</v>
      </c>
      <c r="R3907" s="9" t="s">
        <v>44</v>
      </c>
      <c r="S3907" s="9"/>
      <c r="T3907" s="9"/>
      <c r="U3907" s="9" t="str">
        <f aca="false">IF(COUNTIF($A$2:$A$5001,A3907)&gt;1,"Duplicate","Unique")</f>
        <v>Unique</v>
      </c>
      <c r="V3907" s="9" t="str">
        <f aca="false">IF(COUNTIFS($B$2:$B$5001,B3907,$H$2:$H$5001,H3907,$J$2:$J$5001,J3907)&gt;1,"Possible Duplicate Booking","Unique")</f>
        <v>Unique</v>
      </c>
      <c r="W3907" s="9" t="str">
        <f aca="false">IF((H3907-G3907)&lt;&gt;K3907,"Mismatch","OK")</f>
        <v>OK</v>
      </c>
      <c r="X3907" s="9" t="str">
        <f aca="false">IF(TEXT(H3907,"dddd")&lt;&gt;I3907,"Mismatch","OK")</f>
        <v>OK</v>
      </c>
      <c r="Y3907" s="9" t="str">
        <f aca="false">IF(AND(N3907="No",O3907&lt;&gt;""),"Unexpected: channel present but no reminder sent",IF(AND(N3907="Yes",O3907=""),"Missing channel for sent reminder","OK"))</f>
        <v>OK</v>
      </c>
    </row>
    <row r="3908" customFormat="false" ht="15" hidden="false" customHeight="false" outlineLevel="0" collapsed="false">
      <c r="A3908" s="7" t="s">
        <v>5572</v>
      </c>
      <c r="B3908" s="7" t="s">
        <v>4255</v>
      </c>
      <c r="C3908" s="7" t="s">
        <v>47</v>
      </c>
      <c r="D3908" s="7" t="n">
        <v>73</v>
      </c>
      <c r="E3908" s="7" t="s">
        <v>70</v>
      </c>
      <c r="F3908" s="7" t="s">
        <v>39</v>
      </c>
      <c r="G3908" s="8" t="n">
        <v>45994</v>
      </c>
      <c r="H3908" s="8" t="n">
        <v>46048</v>
      </c>
      <c r="I3908" s="7" t="s">
        <v>66</v>
      </c>
      <c r="J3908" s="7" t="s">
        <v>51</v>
      </c>
      <c r="K3908" s="7" t="n">
        <v>54</v>
      </c>
      <c r="L3908" s="7" t="n">
        <v>4</v>
      </c>
      <c r="M3908" s="7" t="n">
        <v>0</v>
      </c>
      <c r="N3908" s="7" t="s">
        <v>42</v>
      </c>
      <c r="O3908" s="7" t="s">
        <v>43</v>
      </c>
      <c r="P3908" s="7" t="n">
        <v>7.9</v>
      </c>
      <c r="Q3908" s="7" t="n">
        <v>41</v>
      </c>
      <c r="R3908" s="7" t="s">
        <v>44</v>
      </c>
      <c r="S3908" s="7"/>
      <c r="T3908" s="7"/>
      <c r="U3908" s="7" t="str">
        <f aca="false">IF(COUNTIF($A$2:$A$5001,A3908)&gt;1,"Duplicate","Unique")</f>
        <v>Unique</v>
      </c>
      <c r="V3908" s="7" t="str">
        <f aca="false">IF(COUNTIFS($B$2:$B$5001,B3908,$H$2:$H$5001,H3908,$J$2:$J$5001,J3908)&gt;1,"Possible Duplicate Booking","Unique")</f>
        <v>Unique</v>
      </c>
      <c r="W3908" s="7" t="str">
        <f aca="false">IF((H3908-G3908)&lt;&gt;K3908,"Mismatch","OK")</f>
        <v>OK</v>
      </c>
      <c r="X3908" s="7" t="str">
        <f aca="false">IF(TEXT(H3908,"dddd")&lt;&gt;I3908,"Mismatch","OK")</f>
        <v>OK</v>
      </c>
      <c r="Y3908" s="7" t="str">
        <f aca="false">IF(AND(N3908="No",O3908&lt;&gt;""),"Unexpected: channel present but no reminder sent",IF(AND(N3908="Yes",O3908=""),"Missing channel for sent reminder","OK"))</f>
        <v>OK</v>
      </c>
    </row>
    <row r="3909" customFormat="false" ht="15" hidden="false" customHeight="false" outlineLevel="0" collapsed="false">
      <c r="A3909" s="9" t="s">
        <v>5573</v>
      </c>
      <c r="B3909" s="9" t="s">
        <v>4084</v>
      </c>
      <c r="C3909" s="9" t="s">
        <v>47</v>
      </c>
      <c r="D3909" s="9" t="n">
        <v>57</v>
      </c>
      <c r="E3909" s="9" t="s">
        <v>61</v>
      </c>
      <c r="F3909" s="9" t="s">
        <v>57</v>
      </c>
      <c r="G3909" s="10" t="n">
        <v>46147</v>
      </c>
      <c r="H3909" s="10" t="n">
        <v>46187</v>
      </c>
      <c r="I3909" s="9" t="s">
        <v>75</v>
      </c>
      <c r="J3909" s="9" t="s">
        <v>51</v>
      </c>
      <c r="K3909" s="9" t="n">
        <v>40</v>
      </c>
      <c r="L3909" s="9" t="n">
        <v>3</v>
      </c>
      <c r="M3909" s="9" t="n">
        <v>1</v>
      </c>
      <c r="N3909" s="9" t="s">
        <v>42</v>
      </c>
      <c r="O3909" s="9" t="s">
        <v>52</v>
      </c>
      <c r="P3909" s="9" t="n">
        <v>5.4</v>
      </c>
      <c r="Q3909" s="9" t="n">
        <v>17</v>
      </c>
      <c r="R3909" s="9" t="s">
        <v>44</v>
      </c>
      <c r="S3909" s="9"/>
      <c r="T3909" s="9"/>
      <c r="U3909" s="9" t="str">
        <f aca="false">IF(COUNTIF($A$2:$A$5001,A3909)&gt;1,"Duplicate","Unique")</f>
        <v>Unique</v>
      </c>
      <c r="V3909" s="9" t="str">
        <f aca="false">IF(COUNTIFS($B$2:$B$5001,B3909,$H$2:$H$5001,H3909,$J$2:$J$5001,J3909)&gt;1,"Possible Duplicate Booking","Unique")</f>
        <v>Unique</v>
      </c>
      <c r="W3909" s="9" t="str">
        <f aca="false">IF((H3909-G3909)&lt;&gt;K3909,"Mismatch","OK")</f>
        <v>OK</v>
      </c>
      <c r="X3909" s="9" t="str">
        <f aca="false">IF(TEXT(H3909,"dddd")&lt;&gt;I3909,"Mismatch","OK")</f>
        <v>OK</v>
      </c>
      <c r="Y3909" s="9" t="str">
        <f aca="false">IF(AND(N3909="No",O3909&lt;&gt;""),"Unexpected: channel present but no reminder sent",IF(AND(N3909="Yes",O3909=""),"Missing channel for sent reminder","OK"))</f>
        <v>OK</v>
      </c>
    </row>
    <row r="3910" customFormat="false" ht="15" hidden="false" customHeight="false" outlineLevel="0" collapsed="false">
      <c r="A3910" s="7" t="s">
        <v>5574</v>
      </c>
      <c r="B3910" s="7" t="s">
        <v>1142</v>
      </c>
      <c r="C3910" s="7" t="s">
        <v>37</v>
      </c>
      <c r="D3910" s="7" t="n">
        <v>44</v>
      </c>
      <c r="E3910" s="7" t="s">
        <v>38</v>
      </c>
      <c r="F3910" s="7" t="s">
        <v>39</v>
      </c>
      <c r="G3910" s="8" t="n">
        <v>45745</v>
      </c>
      <c r="H3910" s="8" t="n">
        <v>45765</v>
      </c>
      <c r="I3910" s="7" t="s">
        <v>50</v>
      </c>
      <c r="J3910" s="7" t="s">
        <v>41</v>
      </c>
      <c r="K3910" s="7" t="n">
        <v>20</v>
      </c>
      <c r="L3910" s="7" t="n">
        <v>2</v>
      </c>
      <c r="M3910" s="7" t="n">
        <v>0</v>
      </c>
      <c r="N3910" s="7" t="s">
        <v>42</v>
      </c>
      <c r="O3910" s="7" t="s">
        <v>52</v>
      </c>
      <c r="P3910" s="7" t="n">
        <v>9.6</v>
      </c>
      <c r="Q3910" s="7" t="n">
        <v>25</v>
      </c>
      <c r="R3910" s="7" t="s">
        <v>53</v>
      </c>
      <c r="S3910" s="7"/>
      <c r="T3910" s="7"/>
      <c r="U3910" s="7" t="str">
        <f aca="false">IF(COUNTIF($A$2:$A$5001,A3910)&gt;1,"Duplicate","Unique")</f>
        <v>Unique</v>
      </c>
      <c r="V3910" s="7" t="str">
        <f aca="false">IF(COUNTIFS($B$2:$B$5001,B3910,$H$2:$H$5001,H3910,$J$2:$J$5001,J3910)&gt;1,"Possible Duplicate Booking","Unique")</f>
        <v>Unique</v>
      </c>
      <c r="W3910" s="7" t="str">
        <f aca="false">IF((H3910-G3910)&lt;&gt;K3910,"Mismatch","OK")</f>
        <v>OK</v>
      </c>
      <c r="X3910" s="7" t="str">
        <f aca="false">IF(TEXT(H3910,"dddd")&lt;&gt;I3910,"Mismatch","OK")</f>
        <v>OK</v>
      </c>
      <c r="Y3910" s="7" t="str">
        <f aca="false">IF(AND(N3910="No",O3910&lt;&gt;""),"Unexpected: channel present but no reminder sent",IF(AND(N3910="Yes",O3910=""),"Missing channel for sent reminder","OK"))</f>
        <v>OK</v>
      </c>
    </row>
    <row r="3911" customFormat="false" ht="15" hidden="false" customHeight="false" outlineLevel="0" collapsed="false">
      <c r="A3911" s="9" t="s">
        <v>5575</v>
      </c>
      <c r="B3911" s="9" t="s">
        <v>5132</v>
      </c>
      <c r="C3911" s="9" t="s">
        <v>37</v>
      </c>
      <c r="D3911" s="9" t="n">
        <v>63</v>
      </c>
      <c r="E3911" s="9" t="s">
        <v>61</v>
      </c>
      <c r="F3911" s="9" t="s">
        <v>57</v>
      </c>
      <c r="G3911" s="10" t="n">
        <v>46120</v>
      </c>
      <c r="H3911" s="10" t="n">
        <v>46152</v>
      </c>
      <c r="I3911" s="9" t="s">
        <v>75</v>
      </c>
      <c r="J3911" s="9" t="s">
        <v>41</v>
      </c>
      <c r="K3911" s="9" t="n">
        <v>32</v>
      </c>
      <c r="L3911" s="9" t="n">
        <v>6</v>
      </c>
      <c r="M3911" s="9" t="n">
        <v>1</v>
      </c>
      <c r="N3911" s="9" t="s">
        <v>42</v>
      </c>
      <c r="O3911" s="9" t="s">
        <v>52</v>
      </c>
      <c r="P3911" s="9" t="n">
        <v>8</v>
      </c>
      <c r="Q3911" s="9" t="n">
        <v>15</v>
      </c>
      <c r="R3911" s="9" t="s">
        <v>53</v>
      </c>
      <c r="S3911" s="9"/>
      <c r="T3911" s="9"/>
      <c r="U3911" s="9" t="str">
        <f aca="false">IF(COUNTIF($A$2:$A$5001,A3911)&gt;1,"Duplicate","Unique")</f>
        <v>Unique</v>
      </c>
      <c r="V3911" s="9" t="str">
        <f aca="false">IF(COUNTIFS($B$2:$B$5001,B3911,$H$2:$H$5001,H3911,$J$2:$J$5001,J3911)&gt;1,"Possible Duplicate Booking","Unique")</f>
        <v>Unique</v>
      </c>
      <c r="W3911" s="9" t="str">
        <f aca="false">IF((H3911-G3911)&lt;&gt;K3911,"Mismatch","OK")</f>
        <v>OK</v>
      </c>
      <c r="X3911" s="9" t="str">
        <f aca="false">IF(TEXT(H3911,"dddd")&lt;&gt;I3911,"Mismatch","OK")</f>
        <v>OK</v>
      </c>
      <c r="Y3911" s="9" t="str">
        <f aca="false">IF(AND(N3911="No",O3911&lt;&gt;""),"Unexpected: channel present but no reminder sent",IF(AND(N3911="Yes",O3911=""),"Missing channel for sent reminder","OK"))</f>
        <v>OK</v>
      </c>
    </row>
    <row r="3912" customFormat="false" ht="15" hidden="false" customHeight="false" outlineLevel="0" collapsed="false">
      <c r="A3912" s="7" t="s">
        <v>5576</v>
      </c>
      <c r="B3912" s="7" t="s">
        <v>4348</v>
      </c>
      <c r="C3912" s="7" t="s">
        <v>236</v>
      </c>
      <c r="D3912" s="7" t="n">
        <v>20</v>
      </c>
      <c r="E3912" s="7" t="s">
        <v>82</v>
      </c>
      <c r="F3912" s="7" t="s">
        <v>57</v>
      </c>
      <c r="G3912" s="8" t="n">
        <v>45771</v>
      </c>
      <c r="H3912" s="8" t="n">
        <v>45785</v>
      </c>
      <c r="I3912" s="7" t="s">
        <v>62</v>
      </c>
      <c r="J3912" s="7" t="s">
        <v>51</v>
      </c>
      <c r="K3912" s="7" t="n">
        <v>14</v>
      </c>
      <c r="L3912" s="7" t="n">
        <v>5</v>
      </c>
      <c r="M3912" s="7" t="n">
        <v>0</v>
      </c>
      <c r="N3912" s="7" t="s">
        <v>42</v>
      </c>
      <c r="O3912" s="7" t="s">
        <v>52</v>
      </c>
      <c r="P3912" s="7" t="n">
        <v>3.3</v>
      </c>
      <c r="Q3912" s="7" t="n">
        <v>8</v>
      </c>
      <c r="R3912" s="7" t="s">
        <v>53</v>
      </c>
      <c r="S3912" s="7"/>
      <c r="T3912" s="7"/>
      <c r="U3912" s="7" t="str">
        <f aca="false">IF(COUNTIF($A$2:$A$5001,A3912)&gt;1,"Duplicate","Unique")</f>
        <v>Unique</v>
      </c>
      <c r="V3912" s="7" t="str">
        <f aca="false">IF(COUNTIFS($B$2:$B$5001,B3912,$H$2:$H$5001,H3912,$J$2:$J$5001,J3912)&gt;1,"Possible Duplicate Booking","Unique")</f>
        <v>Unique</v>
      </c>
      <c r="W3912" s="7" t="str">
        <f aca="false">IF((H3912-G3912)&lt;&gt;K3912,"Mismatch","OK")</f>
        <v>OK</v>
      </c>
      <c r="X3912" s="7" t="str">
        <f aca="false">IF(TEXT(H3912,"dddd")&lt;&gt;I3912,"Mismatch","OK")</f>
        <v>OK</v>
      </c>
      <c r="Y3912" s="7" t="str">
        <f aca="false">IF(AND(N3912="No",O3912&lt;&gt;""),"Unexpected: channel present but no reminder sent",IF(AND(N3912="Yes",O3912=""),"Missing channel for sent reminder","OK"))</f>
        <v>OK</v>
      </c>
    </row>
    <row r="3913" customFormat="false" ht="15" hidden="false" customHeight="false" outlineLevel="0" collapsed="false">
      <c r="A3913" s="9" t="s">
        <v>5577</v>
      </c>
      <c r="B3913" s="9" t="s">
        <v>1937</v>
      </c>
      <c r="C3913" s="9" t="s">
        <v>47</v>
      </c>
      <c r="D3913" s="9" t="n">
        <v>48</v>
      </c>
      <c r="E3913" s="9" t="s">
        <v>56</v>
      </c>
      <c r="F3913" s="9" t="s">
        <v>57</v>
      </c>
      <c r="G3913" s="10" t="n">
        <v>46168</v>
      </c>
      <c r="H3913" s="10" t="n">
        <v>46188</v>
      </c>
      <c r="I3913" s="9" t="s">
        <v>66</v>
      </c>
      <c r="J3913" s="9" t="s">
        <v>41</v>
      </c>
      <c r="K3913" s="9" t="n">
        <v>20</v>
      </c>
      <c r="L3913" s="9" t="n">
        <v>3</v>
      </c>
      <c r="M3913" s="9" t="n">
        <v>1</v>
      </c>
      <c r="N3913" s="9" t="s">
        <v>42</v>
      </c>
      <c r="O3913" s="9" t="s">
        <v>52</v>
      </c>
      <c r="P3913" s="9" t="n">
        <v>12.7</v>
      </c>
      <c r="Q3913" s="9" t="n">
        <v>27</v>
      </c>
      <c r="R3913" s="9" t="s">
        <v>53</v>
      </c>
      <c r="S3913" s="9"/>
      <c r="T3913" s="9"/>
      <c r="U3913" s="9" t="str">
        <f aca="false">IF(COUNTIF($A$2:$A$5001,A3913)&gt;1,"Duplicate","Unique")</f>
        <v>Unique</v>
      </c>
      <c r="V3913" s="9" t="str">
        <f aca="false">IF(COUNTIFS($B$2:$B$5001,B3913,$H$2:$H$5001,H3913,$J$2:$J$5001,J3913)&gt;1,"Possible Duplicate Booking","Unique")</f>
        <v>Unique</v>
      </c>
      <c r="W3913" s="9" t="str">
        <f aca="false">IF((H3913-G3913)&lt;&gt;K3913,"Mismatch","OK")</f>
        <v>OK</v>
      </c>
      <c r="X3913" s="9" t="str">
        <f aca="false">IF(TEXT(H3913,"dddd")&lt;&gt;I3913,"Mismatch","OK")</f>
        <v>OK</v>
      </c>
      <c r="Y3913" s="9" t="str">
        <f aca="false">IF(AND(N3913="No",O3913&lt;&gt;""),"Unexpected: channel present but no reminder sent",IF(AND(N3913="Yes",O3913=""),"Missing channel for sent reminder","OK"))</f>
        <v>OK</v>
      </c>
    </row>
    <row r="3914" customFormat="false" ht="15" hidden="false" customHeight="false" outlineLevel="0" collapsed="false">
      <c r="A3914" s="7" t="s">
        <v>5578</v>
      </c>
      <c r="B3914" s="7" t="s">
        <v>463</v>
      </c>
      <c r="C3914" s="7" t="s">
        <v>47</v>
      </c>
      <c r="D3914" s="7" t="n">
        <v>34</v>
      </c>
      <c r="E3914" s="7" t="s">
        <v>48</v>
      </c>
      <c r="F3914" s="7" t="s">
        <v>49</v>
      </c>
      <c r="G3914" s="8" t="n">
        <v>45721</v>
      </c>
      <c r="H3914" s="8" t="n">
        <v>45762</v>
      </c>
      <c r="I3914" s="7" t="s">
        <v>40</v>
      </c>
      <c r="J3914" s="7" t="s">
        <v>41</v>
      </c>
      <c r="K3914" s="7" t="n">
        <v>41</v>
      </c>
      <c r="L3914" s="7" t="n">
        <v>2</v>
      </c>
      <c r="M3914" s="7" t="n">
        <v>1</v>
      </c>
      <c r="N3914" s="7" t="s">
        <v>42</v>
      </c>
      <c r="O3914" s="7" t="s">
        <v>43</v>
      </c>
      <c r="P3914" s="7" t="n">
        <v>4</v>
      </c>
      <c r="Q3914" s="7" t="n">
        <v>27</v>
      </c>
      <c r="R3914" s="7" t="s">
        <v>53</v>
      </c>
      <c r="S3914" s="7"/>
      <c r="T3914" s="7"/>
      <c r="U3914" s="7" t="str">
        <f aca="false">IF(COUNTIF($A$2:$A$5001,A3914)&gt;1,"Duplicate","Unique")</f>
        <v>Unique</v>
      </c>
      <c r="V3914" s="7" t="str">
        <f aca="false">IF(COUNTIFS($B$2:$B$5001,B3914,$H$2:$H$5001,H3914,$J$2:$J$5001,J3914)&gt;1,"Possible Duplicate Booking","Unique")</f>
        <v>Unique</v>
      </c>
      <c r="W3914" s="7" t="str">
        <f aca="false">IF((H3914-G3914)&lt;&gt;K3914,"Mismatch","OK")</f>
        <v>OK</v>
      </c>
      <c r="X3914" s="7" t="str">
        <f aca="false">IF(TEXT(H3914,"dddd")&lt;&gt;I3914,"Mismatch","OK")</f>
        <v>OK</v>
      </c>
      <c r="Y3914" s="7" t="str">
        <f aca="false">IF(AND(N3914="No",O3914&lt;&gt;""),"Unexpected: channel present but no reminder sent",IF(AND(N3914="Yes",O3914=""),"Missing channel for sent reminder","OK"))</f>
        <v>OK</v>
      </c>
    </row>
    <row r="3915" customFormat="false" ht="15" hidden="false" customHeight="false" outlineLevel="0" collapsed="false">
      <c r="A3915" s="9" t="s">
        <v>5579</v>
      </c>
      <c r="B3915" s="9" t="s">
        <v>4370</v>
      </c>
      <c r="C3915" s="9" t="s">
        <v>37</v>
      </c>
      <c r="D3915" s="9" t="n">
        <v>36</v>
      </c>
      <c r="E3915" s="9" t="s">
        <v>38</v>
      </c>
      <c r="F3915" s="9" t="s">
        <v>39</v>
      </c>
      <c r="G3915" s="10" t="n">
        <v>45949</v>
      </c>
      <c r="H3915" s="10" t="n">
        <v>45958</v>
      </c>
      <c r="I3915" s="9" t="s">
        <v>40</v>
      </c>
      <c r="J3915" s="9" t="s">
        <v>63</v>
      </c>
      <c r="K3915" s="9" t="n">
        <v>9</v>
      </c>
      <c r="L3915" s="9" t="n">
        <v>3</v>
      </c>
      <c r="M3915" s="9" t="n">
        <v>2</v>
      </c>
      <c r="N3915" s="9" t="s">
        <v>42</v>
      </c>
      <c r="O3915" s="9" t="s">
        <v>43</v>
      </c>
      <c r="P3915" s="9" t="n">
        <v>9.7</v>
      </c>
      <c r="Q3915" s="9" t="n">
        <v>2</v>
      </c>
      <c r="R3915" s="9" t="s">
        <v>44</v>
      </c>
      <c r="S3915" s="9"/>
      <c r="T3915" s="9"/>
      <c r="U3915" s="9" t="str">
        <f aca="false">IF(COUNTIF($A$2:$A$5001,A3915)&gt;1,"Duplicate","Unique")</f>
        <v>Unique</v>
      </c>
      <c r="V3915" s="9" t="str">
        <f aca="false">IF(COUNTIFS($B$2:$B$5001,B3915,$H$2:$H$5001,H3915,$J$2:$J$5001,J3915)&gt;1,"Possible Duplicate Booking","Unique")</f>
        <v>Unique</v>
      </c>
      <c r="W3915" s="9" t="str">
        <f aca="false">IF((H3915-G3915)&lt;&gt;K3915,"Mismatch","OK")</f>
        <v>OK</v>
      </c>
      <c r="X3915" s="9" t="str">
        <f aca="false">IF(TEXT(H3915,"dddd")&lt;&gt;I3915,"Mismatch","OK")</f>
        <v>OK</v>
      </c>
      <c r="Y3915" s="9" t="str">
        <f aca="false">IF(AND(N3915="No",O3915&lt;&gt;""),"Unexpected: channel present but no reminder sent",IF(AND(N3915="Yes",O3915=""),"Missing channel for sent reminder","OK"))</f>
        <v>OK</v>
      </c>
    </row>
    <row r="3916" customFormat="false" ht="15" hidden="false" customHeight="false" outlineLevel="0" collapsed="false">
      <c r="A3916" s="7" t="s">
        <v>5580</v>
      </c>
      <c r="B3916" s="7" t="s">
        <v>1569</v>
      </c>
      <c r="C3916" s="7" t="s">
        <v>47</v>
      </c>
      <c r="D3916" s="7" t="n">
        <v>79</v>
      </c>
      <c r="E3916" s="7" t="s">
        <v>70</v>
      </c>
      <c r="F3916" s="7" t="s">
        <v>74</v>
      </c>
      <c r="G3916" s="8" t="n">
        <v>46048</v>
      </c>
      <c r="H3916" s="8" t="n">
        <v>46088</v>
      </c>
      <c r="I3916" s="7" t="s">
        <v>102</v>
      </c>
      <c r="J3916" s="7" t="s">
        <v>41</v>
      </c>
      <c r="K3916" s="7" t="n">
        <v>40</v>
      </c>
      <c r="L3916" s="7" t="n">
        <v>3</v>
      </c>
      <c r="M3916" s="7" t="n">
        <v>1</v>
      </c>
      <c r="N3916" s="7" t="s">
        <v>42</v>
      </c>
      <c r="O3916" s="7" t="s">
        <v>52</v>
      </c>
      <c r="P3916" s="7" t="n">
        <v>3.6</v>
      </c>
      <c r="Q3916" s="7" t="n">
        <v>32</v>
      </c>
      <c r="R3916" s="7" t="s">
        <v>53</v>
      </c>
      <c r="S3916" s="7"/>
      <c r="T3916" s="7"/>
      <c r="U3916" s="7" t="str">
        <f aca="false">IF(COUNTIF($A$2:$A$5001,A3916)&gt;1,"Duplicate","Unique")</f>
        <v>Unique</v>
      </c>
      <c r="V3916" s="7" t="str">
        <f aca="false">IF(COUNTIFS($B$2:$B$5001,B3916,$H$2:$H$5001,H3916,$J$2:$J$5001,J3916)&gt;1,"Possible Duplicate Booking","Unique")</f>
        <v>Unique</v>
      </c>
      <c r="W3916" s="7" t="str">
        <f aca="false">IF((H3916-G3916)&lt;&gt;K3916,"Mismatch","OK")</f>
        <v>OK</v>
      </c>
      <c r="X3916" s="7" t="str">
        <f aca="false">IF(TEXT(H3916,"dddd")&lt;&gt;I3916,"Mismatch","OK")</f>
        <v>OK</v>
      </c>
      <c r="Y3916" s="7" t="str">
        <f aca="false">IF(AND(N3916="No",O3916&lt;&gt;""),"Unexpected: channel present but no reminder sent",IF(AND(N3916="Yes",O3916=""),"Missing channel for sent reminder","OK"))</f>
        <v>OK</v>
      </c>
    </row>
    <row r="3917" customFormat="false" ht="15" hidden="false" customHeight="false" outlineLevel="0" collapsed="false">
      <c r="A3917" s="9" t="s">
        <v>5581</v>
      </c>
      <c r="B3917" s="9" t="s">
        <v>3894</v>
      </c>
      <c r="C3917" s="9" t="s">
        <v>47</v>
      </c>
      <c r="D3917" s="9" t="n">
        <v>52</v>
      </c>
      <c r="E3917" s="9" t="s">
        <v>56</v>
      </c>
      <c r="F3917" s="9" t="s">
        <v>49</v>
      </c>
      <c r="G3917" s="10" t="n">
        <v>45665</v>
      </c>
      <c r="H3917" s="10" t="n">
        <v>45700</v>
      </c>
      <c r="I3917" s="9" t="s">
        <v>58</v>
      </c>
      <c r="J3917" s="9" t="s">
        <v>41</v>
      </c>
      <c r="K3917" s="9" t="n">
        <v>35</v>
      </c>
      <c r="L3917" s="9" t="n">
        <v>0</v>
      </c>
      <c r="M3917" s="9" t="n">
        <v>0</v>
      </c>
      <c r="N3917" s="9" t="s">
        <v>42</v>
      </c>
      <c r="O3917" s="9" t="s">
        <v>52</v>
      </c>
      <c r="P3917" s="9" t="n">
        <v>9.7</v>
      </c>
      <c r="Q3917" s="9" t="n">
        <v>24</v>
      </c>
      <c r="R3917" s="9" t="s">
        <v>87</v>
      </c>
      <c r="S3917" s="9"/>
      <c r="T3917" s="9"/>
      <c r="U3917" s="9" t="str">
        <f aca="false">IF(COUNTIF($A$2:$A$5001,A3917)&gt;1,"Duplicate","Unique")</f>
        <v>Unique</v>
      </c>
      <c r="V3917" s="9" t="str">
        <f aca="false">IF(COUNTIFS($B$2:$B$5001,B3917,$H$2:$H$5001,H3917,$J$2:$J$5001,J3917)&gt;1,"Possible Duplicate Booking","Unique")</f>
        <v>Unique</v>
      </c>
      <c r="W3917" s="9" t="str">
        <f aca="false">IF((H3917-G3917)&lt;&gt;K3917,"Mismatch","OK")</f>
        <v>OK</v>
      </c>
      <c r="X3917" s="9" t="str">
        <f aca="false">IF(TEXT(H3917,"dddd")&lt;&gt;I3917,"Mismatch","OK")</f>
        <v>OK</v>
      </c>
      <c r="Y3917" s="9" t="str">
        <f aca="false">IF(AND(N3917="No",O3917&lt;&gt;""),"Unexpected: channel present but no reminder sent",IF(AND(N3917="Yes",O3917=""),"Missing channel for sent reminder","OK"))</f>
        <v>OK</v>
      </c>
    </row>
    <row r="3918" customFormat="false" ht="15" hidden="false" customHeight="false" outlineLevel="0" collapsed="false">
      <c r="A3918" s="7" t="s">
        <v>5582</v>
      </c>
      <c r="B3918" s="7" t="s">
        <v>1594</v>
      </c>
      <c r="C3918" s="7" t="s">
        <v>47</v>
      </c>
      <c r="D3918" s="7" t="n">
        <v>26</v>
      </c>
      <c r="E3918" s="7" t="s">
        <v>48</v>
      </c>
      <c r="F3918" s="7" t="s">
        <v>49</v>
      </c>
      <c r="G3918" s="8" t="n">
        <v>45676</v>
      </c>
      <c r="H3918" s="8" t="n">
        <v>45694</v>
      </c>
      <c r="I3918" s="7" t="s">
        <v>62</v>
      </c>
      <c r="J3918" s="7" t="s">
        <v>41</v>
      </c>
      <c r="K3918" s="7" t="n">
        <v>18</v>
      </c>
      <c r="L3918" s="7" t="n">
        <v>5</v>
      </c>
      <c r="M3918" s="7" t="n">
        <v>1</v>
      </c>
      <c r="N3918" s="7" t="s">
        <v>42</v>
      </c>
      <c r="O3918" s="7" t="s">
        <v>43</v>
      </c>
      <c r="P3918" s="7" t="n">
        <v>7.9</v>
      </c>
      <c r="Q3918" s="7" t="n">
        <v>32</v>
      </c>
      <c r="R3918" s="7" t="s">
        <v>44</v>
      </c>
      <c r="S3918" s="7"/>
      <c r="T3918" s="7"/>
      <c r="U3918" s="7" t="str">
        <f aca="false">IF(COUNTIF($A$2:$A$5001,A3918)&gt;1,"Duplicate","Unique")</f>
        <v>Unique</v>
      </c>
      <c r="V3918" s="7" t="str">
        <f aca="false">IF(COUNTIFS($B$2:$B$5001,B3918,$H$2:$H$5001,H3918,$J$2:$J$5001,J3918)&gt;1,"Possible Duplicate Booking","Unique")</f>
        <v>Unique</v>
      </c>
      <c r="W3918" s="7" t="str">
        <f aca="false">IF((H3918-G3918)&lt;&gt;K3918,"Mismatch","OK")</f>
        <v>OK</v>
      </c>
      <c r="X3918" s="7" t="str">
        <f aca="false">IF(TEXT(H3918,"dddd")&lt;&gt;I3918,"Mismatch","OK")</f>
        <v>OK</v>
      </c>
      <c r="Y3918" s="7" t="str">
        <f aca="false">IF(AND(N3918="No",O3918&lt;&gt;""),"Unexpected: channel present but no reminder sent",IF(AND(N3918="Yes",O3918=""),"Missing channel for sent reminder","OK"))</f>
        <v>OK</v>
      </c>
    </row>
    <row r="3919" customFormat="false" ht="15" hidden="false" customHeight="false" outlineLevel="0" collapsed="false">
      <c r="A3919" s="9" t="s">
        <v>5583</v>
      </c>
      <c r="B3919" s="9" t="s">
        <v>4856</v>
      </c>
      <c r="C3919" s="9" t="s">
        <v>47</v>
      </c>
      <c r="D3919" s="9" t="n">
        <v>40</v>
      </c>
      <c r="E3919" s="9" t="s">
        <v>38</v>
      </c>
      <c r="F3919" s="9" t="s">
        <v>39</v>
      </c>
      <c r="G3919" s="10" t="n">
        <v>46119</v>
      </c>
      <c r="H3919" s="10" t="n">
        <v>46121</v>
      </c>
      <c r="I3919" s="9" t="s">
        <v>62</v>
      </c>
      <c r="J3919" s="9" t="s">
        <v>41</v>
      </c>
      <c r="K3919" s="9" t="n">
        <v>2</v>
      </c>
      <c r="L3919" s="9" t="n">
        <v>4</v>
      </c>
      <c r="M3919" s="9" t="n">
        <v>0</v>
      </c>
      <c r="N3919" s="9" t="s">
        <v>42</v>
      </c>
      <c r="O3919" s="9" t="s">
        <v>52</v>
      </c>
      <c r="P3919" s="9" t="n">
        <v>8.7</v>
      </c>
      <c r="Q3919" s="9" t="n">
        <v>27</v>
      </c>
      <c r="R3919" s="9" t="s">
        <v>53</v>
      </c>
      <c r="S3919" s="9"/>
      <c r="T3919" s="9"/>
      <c r="U3919" s="9" t="str">
        <f aca="false">IF(COUNTIF($A$2:$A$5001,A3919)&gt;1,"Duplicate","Unique")</f>
        <v>Unique</v>
      </c>
      <c r="V3919" s="9" t="str">
        <f aca="false">IF(COUNTIFS($B$2:$B$5001,B3919,$H$2:$H$5001,H3919,$J$2:$J$5001,J3919)&gt;1,"Possible Duplicate Booking","Unique")</f>
        <v>Unique</v>
      </c>
      <c r="W3919" s="9" t="str">
        <f aca="false">IF((H3919-G3919)&lt;&gt;K3919,"Mismatch","OK")</f>
        <v>OK</v>
      </c>
      <c r="X3919" s="9" t="str">
        <f aca="false">IF(TEXT(H3919,"dddd")&lt;&gt;I3919,"Mismatch","OK")</f>
        <v>OK</v>
      </c>
      <c r="Y3919" s="9" t="str">
        <f aca="false">IF(AND(N3919="No",O3919&lt;&gt;""),"Unexpected: channel present but no reminder sent",IF(AND(N3919="Yes",O3919=""),"Missing channel for sent reminder","OK"))</f>
        <v>OK</v>
      </c>
    </row>
    <row r="3920" customFormat="false" ht="15" hidden="false" customHeight="false" outlineLevel="0" collapsed="false">
      <c r="A3920" s="7" t="s">
        <v>5584</v>
      </c>
      <c r="B3920" s="7" t="s">
        <v>1165</v>
      </c>
      <c r="C3920" s="7" t="s">
        <v>37</v>
      </c>
      <c r="D3920" s="7" t="n">
        <v>33</v>
      </c>
      <c r="E3920" s="7" t="s">
        <v>48</v>
      </c>
      <c r="F3920" s="7" t="s">
        <v>49</v>
      </c>
      <c r="G3920" s="8" t="n">
        <v>45648</v>
      </c>
      <c r="H3920" s="8" t="n">
        <v>45690</v>
      </c>
      <c r="I3920" s="7" t="s">
        <v>75</v>
      </c>
      <c r="J3920" s="7" t="s">
        <v>51</v>
      </c>
      <c r="K3920" s="7" t="n">
        <v>42</v>
      </c>
      <c r="L3920" s="7" t="n">
        <v>3</v>
      </c>
      <c r="M3920" s="7" t="n">
        <v>0</v>
      </c>
      <c r="N3920" s="7" t="s">
        <v>42</v>
      </c>
      <c r="O3920" s="7" t="s">
        <v>67</v>
      </c>
      <c r="P3920" s="7" t="n">
        <v>10.1</v>
      </c>
      <c r="Q3920" s="7" t="n">
        <v>36</v>
      </c>
      <c r="R3920" s="7" t="s">
        <v>44</v>
      </c>
      <c r="S3920" s="7"/>
      <c r="T3920" s="7"/>
      <c r="U3920" s="7" t="str">
        <f aca="false">IF(COUNTIF($A$2:$A$5001,A3920)&gt;1,"Duplicate","Unique")</f>
        <v>Unique</v>
      </c>
      <c r="V3920" s="7" t="str">
        <f aca="false">IF(COUNTIFS($B$2:$B$5001,B3920,$H$2:$H$5001,H3920,$J$2:$J$5001,J3920)&gt;1,"Possible Duplicate Booking","Unique")</f>
        <v>Unique</v>
      </c>
      <c r="W3920" s="7" t="str">
        <f aca="false">IF((H3920-G3920)&lt;&gt;K3920,"Mismatch","OK")</f>
        <v>OK</v>
      </c>
      <c r="X3920" s="7" t="str">
        <f aca="false">IF(TEXT(H3920,"dddd")&lt;&gt;I3920,"Mismatch","OK")</f>
        <v>OK</v>
      </c>
      <c r="Y3920" s="7" t="str">
        <f aca="false">IF(AND(N3920="No",O3920&lt;&gt;""),"Unexpected: channel present but no reminder sent",IF(AND(N3920="Yes",O3920=""),"Missing channel for sent reminder","OK"))</f>
        <v>OK</v>
      </c>
    </row>
    <row r="3921" customFormat="false" ht="15" hidden="false" customHeight="false" outlineLevel="0" collapsed="false">
      <c r="A3921" s="9" t="s">
        <v>5585</v>
      </c>
      <c r="B3921" s="9" t="s">
        <v>178</v>
      </c>
      <c r="C3921" s="9" t="s">
        <v>47</v>
      </c>
      <c r="D3921" s="9" t="n">
        <v>75</v>
      </c>
      <c r="E3921" s="9" t="s">
        <v>70</v>
      </c>
      <c r="F3921" s="9" t="s">
        <v>74</v>
      </c>
      <c r="G3921" s="10" t="n">
        <v>45943</v>
      </c>
      <c r="H3921" s="10" t="n">
        <v>45993</v>
      </c>
      <c r="I3921" s="9" t="s">
        <v>40</v>
      </c>
      <c r="J3921" s="9" t="s">
        <v>51</v>
      </c>
      <c r="K3921" s="9" t="n">
        <v>50</v>
      </c>
      <c r="L3921" s="9" t="n">
        <v>6</v>
      </c>
      <c r="M3921" s="9" t="n">
        <v>2</v>
      </c>
      <c r="N3921" s="9" t="s">
        <v>42</v>
      </c>
      <c r="O3921" s="9" t="s">
        <v>52</v>
      </c>
      <c r="P3921" s="9" t="n">
        <v>14.8</v>
      </c>
      <c r="Q3921" s="9" t="n">
        <v>37</v>
      </c>
      <c r="R3921" s="9" t="s">
        <v>44</v>
      </c>
      <c r="S3921" s="9"/>
      <c r="T3921" s="9"/>
      <c r="U3921" s="9" t="str">
        <f aca="false">IF(COUNTIF($A$2:$A$5001,A3921)&gt;1,"Duplicate","Unique")</f>
        <v>Unique</v>
      </c>
      <c r="V3921" s="9" t="str">
        <f aca="false">IF(COUNTIFS($B$2:$B$5001,B3921,$H$2:$H$5001,H3921,$J$2:$J$5001,J3921)&gt;1,"Possible Duplicate Booking","Unique")</f>
        <v>Unique</v>
      </c>
      <c r="W3921" s="9" t="str">
        <f aca="false">IF((H3921-G3921)&lt;&gt;K3921,"Mismatch","OK")</f>
        <v>OK</v>
      </c>
      <c r="X3921" s="9" t="str">
        <f aca="false">IF(TEXT(H3921,"dddd")&lt;&gt;I3921,"Mismatch","OK")</f>
        <v>OK</v>
      </c>
      <c r="Y3921" s="9" t="str">
        <f aca="false">IF(AND(N3921="No",O3921&lt;&gt;""),"Unexpected: channel present but no reminder sent",IF(AND(N3921="Yes",O3921=""),"Missing channel for sent reminder","OK"))</f>
        <v>OK</v>
      </c>
    </row>
    <row r="3922" customFormat="false" ht="15" hidden="false" customHeight="false" outlineLevel="0" collapsed="false">
      <c r="A3922" s="7" t="s">
        <v>5586</v>
      </c>
      <c r="B3922" s="7" t="s">
        <v>4872</v>
      </c>
      <c r="C3922" s="7" t="s">
        <v>236</v>
      </c>
      <c r="D3922" s="7" t="n">
        <v>36</v>
      </c>
      <c r="E3922" s="7" t="s">
        <v>38</v>
      </c>
      <c r="F3922" s="7" t="s">
        <v>49</v>
      </c>
      <c r="G3922" s="8" t="n">
        <v>46126</v>
      </c>
      <c r="H3922" s="8" t="n">
        <v>46170</v>
      </c>
      <c r="I3922" s="7" t="s">
        <v>62</v>
      </c>
      <c r="J3922" s="7" t="s">
        <v>63</v>
      </c>
      <c r="K3922" s="7" t="n">
        <v>44</v>
      </c>
      <c r="L3922" s="7" t="n">
        <v>2</v>
      </c>
      <c r="M3922" s="7" t="n">
        <v>0</v>
      </c>
      <c r="N3922" s="7" t="s">
        <v>42</v>
      </c>
      <c r="O3922" s="7" t="s">
        <v>52</v>
      </c>
      <c r="P3922" s="7" t="n">
        <v>6.3</v>
      </c>
      <c r="Q3922" s="7" t="n">
        <v>26</v>
      </c>
      <c r="R3922" s="7" t="s">
        <v>53</v>
      </c>
      <c r="S3922" s="7"/>
      <c r="T3922" s="7"/>
      <c r="U3922" s="7" t="str">
        <f aca="false">IF(COUNTIF($A$2:$A$5001,A3922)&gt;1,"Duplicate","Unique")</f>
        <v>Unique</v>
      </c>
      <c r="V3922" s="7" t="str">
        <f aca="false">IF(COUNTIFS($B$2:$B$5001,B3922,$H$2:$H$5001,H3922,$J$2:$J$5001,J3922)&gt;1,"Possible Duplicate Booking","Unique")</f>
        <v>Unique</v>
      </c>
      <c r="W3922" s="7" t="str">
        <f aca="false">IF((H3922-G3922)&lt;&gt;K3922,"Mismatch","OK")</f>
        <v>OK</v>
      </c>
      <c r="X3922" s="7" t="str">
        <f aca="false">IF(TEXT(H3922,"dddd")&lt;&gt;I3922,"Mismatch","OK")</f>
        <v>OK</v>
      </c>
      <c r="Y3922" s="7" t="str">
        <f aca="false">IF(AND(N3922="No",O3922&lt;&gt;""),"Unexpected: channel present but no reminder sent",IF(AND(N3922="Yes",O3922=""),"Missing channel for sent reminder","OK"))</f>
        <v>OK</v>
      </c>
    </row>
    <row r="3923" customFormat="false" ht="15" hidden="false" customHeight="false" outlineLevel="0" collapsed="false">
      <c r="A3923" s="9" t="s">
        <v>5587</v>
      </c>
      <c r="B3923" s="9" t="s">
        <v>207</v>
      </c>
      <c r="C3923" s="9" t="s">
        <v>47</v>
      </c>
      <c r="D3923" s="9" t="n">
        <v>40</v>
      </c>
      <c r="E3923" s="9" t="s">
        <v>38</v>
      </c>
      <c r="F3923" s="9" t="s">
        <v>57</v>
      </c>
      <c r="G3923" s="10" t="n">
        <v>45968</v>
      </c>
      <c r="H3923" s="10" t="n">
        <v>45993</v>
      </c>
      <c r="I3923" s="9" t="s">
        <v>40</v>
      </c>
      <c r="J3923" s="9" t="s">
        <v>41</v>
      </c>
      <c r="K3923" s="9" t="n">
        <v>25</v>
      </c>
      <c r="L3923" s="9" t="n">
        <v>4</v>
      </c>
      <c r="M3923" s="9" t="n">
        <v>1</v>
      </c>
      <c r="N3923" s="9" t="s">
        <v>71</v>
      </c>
      <c r="O3923" s="9"/>
      <c r="P3923" s="9" t="n">
        <v>3.1</v>
      </c>
      <c r="Q3923" s="9" t="n">
        <v>34</v>
      </c>
      <c r="R3923" s="9" t="s">
        <v>44</v>
      </c>
      <c r="S3923" s="9"/>
      <c r="T3923" s="9"/>
      <c r="U3923" s="9" t="str">
        <f aca="false">IF(COUNTIF($A$2:$A$5001,A3923)&gt;1,"Duplicate","Unique")</f>
        <v>Unique</v>
      </c>
      <c r="V3923" s="9" t="str">
        <f aca="false">IF(COUNTIFS($B$2:$B$5001,B3923,$H$2:$H$5001,H3923,$J$2:$J$5001,J3923)&gt;1,"Possible Duplicate Booking","Unique")</f>
        <v>Unique</v>
      </c>
      <c r="W3923" s="9" t="str">
        <f aca="false">IF((H3923-G3923)&lt;&gt;K3923,"Mismatch","OK")</f>
        <v>OK</v>
      </c>
      <c r="X3923" s="9" t="str">
        <f aca="false">IF(TEXT(H3923,"dddd")&lt;&gt;I3923,"Mismatch","OK")</f>
        <v>OK</v>
      </c>
      <c r="Y3923" s="9" t="str">
        <f aca="false">IF(AND(N3923="No",O3923&lt;&gt;""),"Unexpected: channel present but no reminder sent",IF(AND(N3923="Yes",O3923=""),"Missing channel for sent reminder","OK"))</f>
        <v>OK</v>
      </c>
    </row>
    <row r="3924" customFormat="false" ht="15" hidden="false" customHeight="false" outlineLevel="0" collapsed="false">
      <c r="A3924" s="7" t="s">
        <v>5588</v>
      </c>
      <c r="B3924" s="7" t="s">
        <v>2416</v>
      </c>
      <c r="C3924" s="7" t="s">
        <v>37</v>
      </c>
      <c r="D3924" s="7" t="n">
        <v>39</v>
      </c>
      <c r="E3924" s="7" t="s">
        <v>38</v>
      </c>
      <c r="F3924" s="7" t="s">
        <v>39</v>
      </c>
      <c r="G3924" s="8" t="n">
        <v>45881</v>
      </c>
      <c r="H3924" s="8" t="n">
        <v>45920</v>
      </c>
      <c r="I3924" s="7" t="s">
        <v>102</v>
      </c>
      <c r="J3924" s="7" t="s">
        <v>41</v>
      </c>
      <c r="K3924" s="7" t="n">
        <v>39</v>
      </c>
      <c r="L3924" s="7" t="n">
        <v>2</v>
      </c>
      <c r="M3924" s="7" t="n">
        <v>1</v>
      </c>
      <c r="N3924" s="7" t="s">
        <v>42</v>
      </c>
      <c r="O3924" s="7" t="s">
        <v>52</v>
      </c>
      <c r="P3924" s="7"/>
      <c r="Q3924" s="7" t="n">
        <v>34</v>
      </c>
      <c r="R3924" s="7" t="s">
        <v>44</v>
      </c>
      <c r="S3924" s="7"/>
      <c r="T3924" s="7"/>
      <c r="U3924" s="7" t="str">
        <f aca="false">IF(COUNTIF($A$2:$A$5001,A3924)&gt;1,"Duplicate","Unique")</f>
        <v>Unique</v>
      </c>
      <c r="V3924" s="7" t="str">
        <f aca="false">IF(COUNTIFS($B$2:$B$5001,B3924,$H$2:$H$5001,H3924,$J$2:$J$5001,J3924)&gt;1,"Possible Duplicate Booking","Unique")</f>
        <v>Unique</v>
      </c>
      <c r="W3924" s="7" t="str">
        <f aca="false">IF((H3924-G3924)&lt;&gt;K3924,"Mismatch","OK")</f>
        <v>OK</v>
      </c>
      <c r="X3924" s="7" t="str">
        <f aca="false">IF(TEXT(H3924,"dddd")&lt;&gt;I3924,"Mismatch","OK")</f>
        <v>OK</v>
      </c>
      <c r="Y3924" s="7" t="str">
        <f aca="false">IF(AND(N3924="No",O3924&lt;&gt;""),"Unexpected: channel present but no reminder sent",IF(AND(N3924="Yes",O3924=""),"Missing channel for sent reminder","OK"))</f>
        <v>OK</v>
      </c>
    </row>
    <row r="3925" customFormat="false" ht="15" hidden="false" customHeight="false" outlineLevel="0" collapsed="false">
      <c r="A3925" s="9" t="s">
        <v>5589</v>
      </c>
      <c r="B3925" s="9" t="s">
        <v>2081</v>
      </c>
      <c r="C3925" s="9" t="s">
        <v>47</v>
      </c>
      <c r="D3925" s="9" t="n">
        <v>29</v>
      </c>
      <c r="E3925" s="9" t="s">
        <v>48</v>
      </c>
      <c r="F3925" s="9" t="s">
        <v>57</v>
      </c>
      <c r="G3925" s="10" t="n">
        <v>45860</v>
      </c>
      <c r="H3925" s="10" t="n">
        <v>45885</v>
      </c>
      <c r="I3925" s="9" t="s">
        <v>102</v>
      </c>
      <c r="J3925" s="9" t="s">
        <v>41</v>
      </c>
      <c r="K3925" s="9" t="n">
        <v>25</v>
      </c>
      <c r="L3925" s="9" t="n">
        <v>2</v>
      </c>
      <c r="M3925" s="9" t="n">
        <v>1</v>
      </c>
      <c r="N3925" s="9" t="s">
        <v>42</v>
      </c>
      <c r="O3925" s="9" t="s">
        <v>52</v>
      </c>
      <c r="P3925" s="9" t="n">
        <v>15</v>
      </c>
      <c r="Q3925" s="9" t="n">
        <v>11</v>
      </c>
      <c r="R3925" s="9" t="s">
        <v>44</v>
      </c>
      <c r="S3925" s="9"/>
      <c r="T3925" s="9"/>
      <c r="U3925" s="9" t="str">
        <f aca="false">IF(COUNTIF($A$2:$A$5001,A3925)&gt;1,"Duplicate","Unique")</f>
        <v>Unique</v>
      </c>
      <c r="V3925" s="9" t="str">
        <f aca="false">IF(COUNTIFS($B$2:$B$5001,B3925,$H$2:$H$5001,H3925,$J$2:$J$5001,J3925)&gt;1,"Possible Duplicate Booking","Unique")</f>
        <v>Unique</v>
      </c>
      <c r="W3925" s="9" t="str">
        <f aca="false">IF((H3925-G3925)&lt;&gt;K3925,"Mismatch","OK")</f>
        <v>OK</v>
      </c>
      <c r="X3925" s="9" t="str">
        <f aca="false">IF(TEXT(H3925,"dddd")&lt;&gt;I3925,"Mismatch","OK")</f>
        <v>OK</v>
      </c>
      <c r="Y3925" s="9" t="str">
        <f aca="false">IF(AND(N3925="No",O3925&lt;&gt;""),"Unexpected: channel present but no reminder sent",IF(AND(N3925="Yes",O3925=""),"Missing channel for sent reminder","OK"))</f>
        <v>OK</v>
      </c>
    </row>
    <row r="3926" customFormat="false" ht="15" hidden="false" customHeight="false" outlineLevel="0" collapsed="false">
      <c r="A3926" s="7" t="s">
        <v>5590</v>
      </c>
      <c r="B3926" s="7" t="s">
        <v>2666</v>
      </c>
      <c r="C3926" s="7" t="s">
        <v>37</v>
      </c>
      <c r="D3926" s="7" t="n">
        <v>67</v>
      </c>
      <c r="E3926" s="7" t="s">
        <v>70</v>
      </c>
      <c r="F3926" s="7" t="s">
        <v>57</v>
      </c>
      <c r="G3926" s="8" t="n">
        <v>45985</v>
      </c>
      <c r="H3926" s="8" t="n">
        <v>46006</v>
      </c>
      <c r="I3926" s="7" t="s">
        <v>66</v>
      </c>
      <c r="J3926" s="7" t="s">
        <v>41</v>
      </c>
      <c r="K3926" s="7" t="n">
        <v>21</v>
      </c>
      <c r="L3926" s="7" t="n">
        <v>2</v>
      </c>
      <c r="M3926" s="7" t="n">
        <v>0</v>
      </c>
      <c r="N3926" s="7" t="s">
        <v>42</v>
      </c>
      <c r="O3926" s="7" t="s">
        <v>52</v>
      </c>
      <c r="P3926" s="7"/>
      <c r="Q3926" s="7" t="n">
        <v>14</v>
      </c>
      <c r="R3926" s="7" t="s">
        <v>53</v>
      </c>
      <c r="S3926" s="7"/>
      <c r="T3926" s="7"/>
      <c r="U3926" s="7" t="str">
        <f aca="false">IF(COUNTIF($A$2:$A$5001,A3926)&gt;1,"Duplicate","Unique")</f>
        <v>Unique</v>
      </c>
      <c r="V3926" s="7" t="str">
        <f aca="false">IF(COUNTIFS($B$2:$B$5001,B3926,$H$2:$H$5001,H3926,$J$2:$J$5001,J3926)&gt;1,"Possible Duplicate Booking","Unique")</f>
        <v>Unique</v>
      </c>
      <c r="W3926" s="7" t="str">
        <f aca="false">IF((H3926-G3926)&lt;&gt;K3926,"Mismatch","OK")</f>
        <v>OK</v>
      </c>
      <c r="X3926" s="7" t="str">
        <f aca="false">IF(TEXT(H3926,"dddd")&lt;&gt;I3926,"Mismatch","OK")</f>
        <v>OK</v>
      </c>
      <c r="Y3926" s="7" t="str">
        <f aca="false">IF(AND(N3926="No",O3926&lt;&gt;""),"Unexpected: channel present but no reminder sent",IF(AND(N3926="Yes",O3926=""),"Missing channel for sent reminder","OK"))</f>
        <v>OK</v>
      </c>
    </row>
    <row r="3927" customFormat="false" ht="15" hidden="false" customHeight="false" outlineLevel="0" collapsed="false">
      <c r="A3927" s="9" t="s">
        <v>5591</v>
      </c>
      <c r="B3927" s="9" t="s">
        <v>1384</v>
      </c>
      <c r="C3927" s="9" t="s">
        <v>47</v>
      </c>
      <c r="D3927" s="9" t="n">
        <v>54</v>
      </c>
      <c r="E3927" s="9" t="s">
        <v>56</v>
      </c>
      <c r="F3927" s="9" t="s">
        <v>39</v>
      </c>
      <c r="G3927" s="10" t="n">
        <v>45951</v>
      </c>
      <c r="H3927" s="10" t="n">
        <v>45970</v>
      </c>
      <c r="I3927" s="9" t="s">
        <v>75</v>
      </c>
      <c r="J3927" s="9" t="s">
        <v>51</v>
      </c>
      <c r="K3927" s="9" t="n">
        <v>19</v>
      </c>
      <c r="L3927" s="9" t="n">
        <v>3</v>
      </c>
      <c r="M3927" s="9" t="n">
        <v>0</v>
      </c>
      <c r="N3927" s="9" t="s">
        <v>42</v>
      </c>
      <c r="O3927" s="9" t="s">
        <v>52</v>
      </c>
      <c r="P3927" s="9" t="n">
        <v>3.1</v>
      </c>
      <c r="Q3927" s="9" t="n">
        <v>13</v>
      </c>
      <c r="R3927" s="9" t="s">
        <v>44</v>
      </c>
      <c r="S3927" s="9"/>
      <c r="T3927" s="9"/>
      <c r="U3927" s="9" t="str">
        <f aca="false">IF(COUNTIF($A$2:$A$5001,A3927)&gt;1,"Duplicate","Unique")</f>
        <v>Unique</v>
      </c>
      <c r="V3927" s="9" t="str">
        <f aca="false">IF(COUNTIFS($B$2:$B$5001,B3927,$H$2:$H$5001,H3927,$J$2:$J$5001,J3927)&gt;1,"Possible Duplicate Booking","Unique")</f>
        <v>Unique</v>
      </c>
      <c r="W3927" s="9" t="str">
        <f aca="false">IF((H3927-G3927)&lt;&gt;K3927,"Mismatch","OK")</f>
        <v>OK</v>
      </c>
      <c r="X3927" s="9" t="str">
        <f aca="false">IF(TEXT(H3927,"dddd")&lt;&gt;I3927,"Mismatch","OK")</f>
        <v>OK</v>
      </c>
      <c r="Y3927" s="9" t="str">
        <f aca="false">IF(AND(N3927="No",O3927&lt;&gt;""),"Unexpected: channel present but no reminder sent",IF(AND(N3927="Yes",O3927=""),"Missing channel for sent reminder","OK"))</f>
        <v>OK</v>
      </c>
    </row>
    <row r="3928" customFormat="false" ht="15" hidden="false" customHeight="false" outlineLevel="0" collapsed="false">
      <c r="A3928" s="7" t="s">
        <v>5592</v>
      </c>
      <c r="B3928" s="7" t="s">
        <v>4625</v>
      </c>
      <c r="C3928" s="7" t="s">
        <v>37</v>
      </c>
      <c r="D3928" s="7" t="n">
        <v>45</v>
      </c>
      <c r="E3928" s="7" t="s">
        <v>56</v>
      </c>
      <c r="F3928" s="7" t="s">
        <v>49</v>
      </c>
      <c r="G3928" s="8" t="n">
        <v>45919</v>
      </c>
      <c r="H3928" s="8" t="n">
        <v>45931</v>
      </c>
      <c r="I3928" s="7" t="s">
        <v>58</v>
      </c>
      <c r="J3928" s="7" t="s">
        <v>51</v>
      </c>
      <c r="K3928" s="7" t="n">
        <v>12</v>
      </c>
      <c r="L3928" s="7" t="n">
        <v>0</v>
      </c>
      <c r="M3928" s="7" t="n">
        <v>0</v>
      </c>
      <c r="N3928" s="7" t="s">
        <v>71</v>
      </c>
      <c r="O3928" s="7"/>
      <c r="P3928" s="7" t="n">
        <v>7.7</v>
      </c>
      <c r="Q3928" s="7" t="n">
        <v>31</v>
      </c>
      <c r="R3928" s="7" t="s">
        <v>53</v>
      </c>
      <c r="S3928" s="7"/>
      <c r="T3928" s="7"/>
      <c r="U3928" s="7" t="str">
        <f aca="false">IF(COUNTIF($A$2:$A$5001,A3928)&gt;1,"Duplicate","Unique")</f>
        <v>Unique</v>
      </c>
      <c r="V3928" s="7" t="str">
        <f aca="false">IF(COUNTIFS($B$2:$B$5001,B3928,$H$2:$H$5001,H3928,$J$2:$J$5001,J3928)&gt;1,"Possible Duplicate Booking","Unique")</f>
        <v>Unique</v>
      </c>
      <c r="W3928" s="7" t="str">
        <f aca="false">IF((H3928-G3928)&lt;&gt;K3928,"Mismatch","OK")</f>
        <v>OK</v>
      </c>
      <c r="X3928" s="7" t="str">
        <f aca="false">IF(TEXT(H3928,"dddd")&lt;&gt;I3928,"Mismatch","OK")</f>
        <v>OK</v>
      </c>
      <c r="Y3928" s="7" t="str">
        <f aca="false">IF(AND(N3928="No",O3928&lt;&gt;""),"Unexpected: channel present but no reminder sent",IF(AND(N3928="Yes",O3928=""),"Missing channel for sent reminder","OK"))</f>
        <v>OK</v>
      </c>
    </row>
    <row r="3929" customFormat="false" ht="15" hidden="false" customHeight="false" outlineLevel="0" collapsed="false">
      <c r="A3929" s="9" t="s">
        <v>5593</v>
      </c>
      <c r="B3929" s="9" t="s">
        <v>4023</v>
      </c>
      <c r="C3929" s="9" t="s">
        <v>47</v>
      </c>
      <c r="D3929" s="9" t="n">
        <v>42</v>
      </c>
      <c r="E3929" s="9" t="s">
        <v>38</v>
      </c>
      <c r="F3929" s="9" t="s">
        <v>57</v>
      </c>
      <c r="G3929" s="10" t="n">
        <v>45682</v>
      </c>
      <c r="H3929" s="10" t="n">
        <v>45741</v>
      </c>
      <c r="I3929" s="9" t="s">
        <v>40</v>
      </c>
      <c r="J3929" s="9" t="s">
        <v>51</v>
      </c>
      <c r="K3929" s="9" t="n">
        <v>59</v>
      </c>
      <c r="L3929" s="9" t="n">
        <v>2</v>
      </c>
      <c r="M3929" s="9" t="n">
        <v>0</v>
      </c>
      <c r="N3929" s="9" t="s">
        <v>71</v>
      </c>
      <c r="O3929" s="9"/>
      <c r="P3929" s="9" t="n">
        <v>16</v>
      </c>
      <c r="Q3929" s="9" t="n">
        <v>16</v>
      </c>
      <c r="R3929" s="9" t="s">
        <v>44</v>
      </c>
      <c r="S3929" s="9"/>
      <c r="T3929" s="9"/>
      <c r="U3929" s="9" t="str">
        <f aca="false">IF(COUNTIF($A$2:$A$5001,A3929)&gt;1,"Duplicate","Unique")</f>
        <v>Unique</v>
      </c>
      <c r="V3929" s="9" t="str">
        <f aca="false">IF(COUNTIFS($B$2:$B$5001,B3929,$H$2:$H$5001,H3929,$J$2:$J$5001,J3929)&gt;1,"Possible Duplicate Booking","Unique")</f>
        <v>Unique</v>
      </c>
      <c r="W3929" s="9" t="str">
        <f aca="false">IF((H3929-G3929)&lt;&gt;K3929,"Mismatch","OK")</f>
        <v>OK</v>
      </c>
      <c r="X3929" s="9" t="str">
        <f aca="false">IF(TEXT(H3929,"dddd")&lt;&gt;I3929,"Mismatch","OK")</f>
        <v>OK</v>
      </c>
      <c r="Y3929" s="9" t="str">
        <f aca="false">IF(AND(N3929="No",O3929&lt;&gt;""),"Unexpected: channel present but no reminder sent",IF(AND(N3929="Yes",O3929=""),"Missing channel for sent reminder","OK"))</f>
        <v>OK</v>
      </c>
    </row>
    <row r="3930" customFormat="false" ht="15" hidden="false" customHeight="false" outlineLevel="0" collapsed="false">
      <c r="A3930" s="7" t="s">
        <v>5594</v>
      </c>
      <c r="B3930" s="7" t="s">
        <v>2395</v>
      </c>
      <c r="C3930" s="7" t="s">
        <v>47</v>
      </c>
      <c r="D3930" s="7" t="n">
        <v>60</v>
      </c>
      <c r="E3930" s="7" t="s">
        <v>61</v>
      </c>
      <c r="F3930" s="7" t="s">
        <v>57</v>
      </c>
      <c r="G3930" s="8" t="n">
        <v>45979</v>
      </c>
      <c r="H3930" s="8" t="n">
        <v>46019</v>
      </c>
      <c r="I3930" s="7" t="s">
        <v>75</v>
      </c>
      <c r="J3930" s="7" t="s">
        <v>51</v>
      </c>
      <c r="K3930" s="7" t="n">
        <v>40</v>
      </c>
      <c r="L3930" s="7" t="n">
        <v>0</v>
      </c>
      <c r="M3930" s="7" t="n">
        <v>0</v>
      </c>
      <c r="N3930" s="7" t="s">
        <v>42</v>
      </c>
      <c r="O3930" s="7" t="s">
        <v>52</v>
      </c>
      <c r="P3930" s="7" t="n">
        <v>5.7</v>
      </c>
      <c r="Q3930" s="7" t="n">
        <v>2</v>
      </c>
      <c r="R3930" s="7" t="s">
        <v>44</v>
      </c>
      <c r="S3930" s="7"/>
      <c r="T3930" s="7"/>
      <c r="U3930" s="7" t="str">
        <f aca="false">IF(COUNTIF($A$2:$A$5001,A3930)&gt;1,"Duplicate","Unique")</f>
        <v>Unique</v>
      </c>
      <c r="V3930" s="7" t="str">
        <f aca="false">IF(COUNTIFS($B$2:$B$5001,B3930,$H$2:$H$5001,H3930,$J$2:$J$5001,J3930)&gt;1,"Possible Duplicate Booking","Unique")</f>
        <v>Unique</v>
      </c>
      <c r="W3930" s="7" t="str">
        <f aca="false">IF((H3930-G3930)&lt;&gt;K3930,"Mismatch","OK")</f>
        <v>OK</v>
      </c>
      <c r="X3930" s="7" t="str">
        <f aca="false">IF(TEXT(H3930,"dddd")&lt;&gt;I3930,"Mismatch","OK")</f>
        <v>OK</v>
      </c>
      <c r="Y3930" s="7" t="str">
        <f aca="false">IF(AND(N3930="No",O3930&lt;&gt;""),"Unexpected: channel present but no reminder sent",IF(AND(N3930="Yes",O3930=""),"Missing channel for sent reminder","OK"))</f>
        <v>OK</v>
      </c>
    </row>
    <row r="3931" customFormat="false" ht="15" hidden="false" customHeight="false" outlineLevel="0" collapsed="false">
      <c r="A3931" s="9" t="s">
        <v>5595</v>
      </c>
      <c r="B3931" s="9" t="s">
        <v>609</v>
      </c>
      <c r="C3931" s="9" t="s">
        <v>37</v>
      </c>
      <c r="D3931" s="9" t="n">
        <v>24</v>
      </c>
      <c r="E3931" s="9" t="s">
        <v>82</v>
      </c>
      <c r="F3931" s="9" t="s">
        <v>74</v>
      </c>
      <c r="G3931" s="10" t="n">
        <v>46051</v>
      </c>
      <c r="H3931" s="10" t="n">
        <v>46061</v>
      </c>
      <c r="I3931" s="9" t="s">
        <v>75</v>
      </c>
      <c r="J3931" s="9" t="s">
        <v>51</v>
      </c>
      <c r="K3931" s="9" t="n">
        <v>10</v>
      </c>
      <c r="L3931" s="9" t="n">
        <v>7</v>
      </c>
      <c r="M3931" s="9" t="n">
        <v>1</v>
      </c>
      <c r="N3931" s="9" t="s">
        <v>42</v>
      </c>
      <c r="O3931" s="9" t="s">
        <v>52</v>
      </c>
      <c r="P3931" s="9" t="n">
        <v>7.5</v>
      </c>
      <c r="Q3931" s="9" t="n">
        <v>13</v>
      </c>
      <c r="R3931" s="9" t="s">
        <v>53</v>
      </c>
      <c r="S3931" s="9"/>
      <c r="T3931" s="9"/>
      <c r="U3931" s="9" t="str">
        <f aca="false">IF(COUNTIF($A$2:$A$5001,A3931)&gt;1,"Duplicate","Unique")</f>
        <v>Unique</v>
      </c>
      <c r="V3931" s="9" t="str">
        <f aca="false">IF(COUNTIFS($B$2:$B$5001,B3931,$H$2:$H$5001,H3931,$J$2:$J$5001,J3931)&gt;1,"Possible Duplicate Booking","Unique")</f>
        <v>Unique</v>
      </c>
      <c r="W3931" s="9" t="str">
        <f aca="false">IF((H3931-G3931)&lt;&gt;K3931,"Mismatch","OK")</f>
        <v>OK</v>
      </c>
      <c r="X3931" s="9" t="str">
        <f aca="false">IF(TEXT(H3931,"dddd")&lt;&gt;I3931,"Mismatch","OK")</f>
        <v>OK</v>
      </c>
      <c r="Y3931" s="9" t="str">
        <f aca="false">IF(AND(N3931="No",O3931&lt;&gt;""),"Unexpected: channel present but no reminder sent",IF(AND(N3931="Yes",O3931=""),"Missing channel for sent reminder","OK"))</f>
        <v>OK</v>
      </c>
    </row>
    <row r="3932" customFormat="false" ht="15" hidden="false" customHeight="false" outlineLevel="0" collapsed="false">
      <c r="A3932" s="7" t="s">
        <v>5596</v>
      </c>
      <c r="B3932" s="7" t="s">
        <v>5597</v>
      </c>
      <c r="C3932" s="7" t="s">
        <v>47</v>
      </c>
      <c r="D3932" s="7" t="n">
        <v>76</v>
      </c>
      <c r="E3932" s="7" t="s">
        <v>70</v>
      </c>
      <c r="F3932" s="7" t="s">
        <v>57</v>
      </c>
      <c r="G3932" s="8" t="n">
        <v>45993</v>
      </c>
      <c r="H3932" s="8" t="n">
        <v>46045</v>
      </c>
      <c r="I3932" s="7" t="s">
        <v>50</v>
      </c>
      <c r="J3932" s="7" t="s">
        <v>41</v>
      </c>
      <c r="K3932" s="7" t="n">
        <v>52</v>
      </c>
      <c r="L3932" s="7" t="n">
        <v>1</v>
      </c>
      <c r="M3932" s="7" t="n">
        <v>0</v>
      </c>
      <c r="N3932" s="7" t="s">
        <v>42</v>
      </c>
      <c r="O3932" s="7" t="s">
        <v>52</v>
      </c>
      <c r="P3932" s="7" t="n">
        <v>5.3</v>
      </c>
      <c r="Q3932" s="7" t="n">
        <v>20</v>
      </c>
      <c r="R3932" s="7" t="s">
        <v>53</v>
      </c>
      <c r="S3932" s="7"/>
      <c r="T3932" s="7"/>
      <c r="U3932" s="7" t="str">
        <f aca="false">IF(COUNTIF($A$2:$A$5001,A3932)&gt;1,"Duplicate","Unique")</f>
        <v>Unique</v>
      </c>
      <c r="V3932" s="7" t="str">
        <f aca="false">IF(COUNTIFS($B$2:$B$5001,B3932,$H$2:$H$5001,H3932,$J$2:$J$5001,J3932)&gt;1,"Possible Duplicate Booking","Unique")</f>
        <v>Unique</v>
      </c>
      <c r="W3932" s="7" t="str">
        <f aca="false">IF((H3932-G3932)&lt;&gt;K3932,"Mismatch","OK")</f>
        <v>OK</v>
      </c>
      <c r="X3932" s="7" t="str">
        <f aca="false">IF(TEXT(H3932,"dddd")&lt;&gt;I3932,"Mismatch","OK")</f>
        <v>OK</v>
      </c>
      <c r="Y3932" s="7" t="str">
        <f aca="false">IF(AND(N3932="No",O3932&lt;&gt;""),"Unexpected: channel present but no reminder sent",IF(AND(N3932="Yes",O3932=""),"Missing channel for sent reminder","OK"))</f>
        <v>OK</v>
      </c>
    </row>
    <row r="3933" customFormat="false" ht="15" hidden="false" customHeight="false" outlineLevel="0" collapsed="false">
      <c r="A3933" s="9" t="s">
        <v>5598</v>
      </c>
      <c r="B3933" s="9" t="s">
        <v>5599</v>
      </c>
      <c r="C3933" s="9" t="s">
        <v>47</v>
      </c>
      <c r="D3933" s="9" t="n">
        <v>53</v>
      </c>
      <c r="E3933" s="9" t="s">
        <v>56</v>
      </c>
      <c r="F3933" s="9" t="s">
        <v>57</v>
      </c>
      <c r="G3933" s="10" t="n">
        <v>45689</v>
      </c>
      <c r="H3933" s="10" t="n">
        <v>45698</v>
      </c>
      <c r="I3933" s="9" t="s">
        <v>66</v>
      </c>
      <c r="J3933" s="9" t="s">
        <v>51</v>
      </c>
      <c r="K3933" s="9" t="n">
        <v>9</v>
      </c>
      <c r="L3933" s="9" t="n">
        <v>3</v>
      </c>
      <c r="M3933" s="9" t="n">
        <v>1</v>
      </c>
      <c r="N3933" s="9" t="s">
        <v>42</v>
      </c>
      <c r="O3933" s="9" t="s">
        <v>52</v>
      </c>
      <c r="P3933" s="9" t="n">
        <v>6.4</v>
      </c>
      <c r="Q3933" s="9" t="n">
        <v>29</v>
      </c>
      <c r="R3933" s="9" t="s">
        <v>53</v>
      </c>
      <c r="S3933" s="9"/>
      <c r="T3933" s="9"/>
      <c r="U3933" s="9" t="str">
        <f aca="false">IF(COUNTIF($A$2:$A$5001,A3933)&gt;1,"Duplicate","Unique")</f>
        <v>Unique</v>
      </c>
      <c r="V3933" s="9" t="str">
        <f aca="false">IF(COUNTIFS($B$2:$B$5001,B3933,$H$2:$H$5001,H3933,$J$2:$J$5001,J3933)&gt;1,"Possible Duplicate Booking","Unique")</f>
        <v>Unique</v>
      </c>
      <c r="W3933" s="9" t="str">
        <f aca="false">IF((H3933-G3933)&lt;&gt;K3933,"Mismatch","OK")</f>
        <v>OK</v>
      </c>
      <c r="X3933" s="9" t="str">
        <f aca="false">IF(TEXT(H3933,"dddd")&lt;&gt;I3933,"Mismatch","OK")</f>
        <v>OK</v>
      </c>
      <c r="Y3933" s="9" t="str">
        <f aca="false">IF(AND(N3933="No",O3933&lt;&gt;""),"Unexpected: channel present but no reminder sent",IF(AND(N3933="Yes",O3933=""),"Missing channel for sent reminder","OK"))</f>
        <v>OK</v>
      </c>
    </row>
    <row r="3934" customFormat="false" ht="15" hidden="false" customHeight="false" outlineLevel="0" collapsed="false">
      <c r="A3934" s="7" t="s">
        <v>5600</v>
      </c>
      <c r="B3934" s="7" t="s">
        <v>1171</v>
      </c>
      <c r="C3934" s="7" t="s">
        <v>37</v>
      </c>
      <c r="D3934" s="7" t="n">
        <v>32</v>
      </c>
      <c r="E3934" s="7" t="s">
        <v>48</v>
      </c>
      <c r="F3934" s="7" t="s">
        <v>49</v>
      </c>
      <c r="G3934" s="8" t="n">
        <v>46005</v>
      </c>
      <c r="H3934" s="8" t="n">
        <v>46041</v>
      </c>
      <c r="I3934" s="7" t="s">
        <v>66</v>
      </c>
      <c r="J3934" s="7" t="s">
        <v>41</v>
      </c>
      <c r="K3934" s="7" t="n">
        <v>36</v>
      </c>
      <c r="L3934" s="7" t="n">
        <v>1</v>
      </c>
      <c r="M3934" s="7" t="n">
        <v>0</v>
      </c>
      <c r="N3934" s="7" t="s">
        <v>42</v>
      </c>
      <c r="O3934" s="7" t="s">
        <v>52</v>
      </c>
      <c r="P3934" s="7" t="n">
        <v>13.1</v>
      </c>
      <c r="Q3934" s="7" t="n">
        <v>38</v>
      </c>
      <c r="R3934" s="7" t="s">
        <v>87</v>
      </c>
      <c r="S3934" s="7"/>
      <c r="T3934" s="7"/>
      <c r="U3934" s="7" t="str">
        <f aca="false">IF(COUNTIF($A$2:$A$5001,A3934)&gt;1,"Duplicate","Unique")</f>
        <v>Unique</v>
      </c>
      <c r="V3934" s="7" t="str">
        <f aca="false">IF(COUNTIFS($B$2:$B$5001,B3934,$H$2:$H$5001,H3934,$J$2:$J$5001,J3934)&gt;1,"Possible Duplicate Booking","Unique")</f>
        <v>Unique</v>
      </c>
      <c r="W3934" s="7" t="str">
        <f aca="false">IF((H3934-G3934)&lt;&gt;K3934,"Mismatch","OK")</f>
        <v>OK</v>
      </c>
      <c r="X3934" s="7" t="str">
        <f aca="false">IF(TEXT(H3934,"dddd")&lt;&gt;I3934,"Mismatch","OK")</f>
        <v>OK</v>
      </c>
      <c r="Y3934" s="7" t="str">
        <f aca="false">IF(AND(N3934="No",O3934&lt;&gt;""),"Unexpected: channel present but no reminder sent",IF(AND(N3934="Yes",O3934=""),"Missing channel for sent reminder","OK"))</f>
        <v>OK</v>
      </c>
    </row>
    <row r="3935" customFormat="false" ht="15" hidden="false" customHeight="false" outlineLevel="0" collapsed="false">
      <c r="A3935" s="9" t="s">
        <v>5601</v>
      </c>
      <c r="B3935" s="9" t="s">
        <v>280</v>
      </c>
      <c r="C3935" s="9" t="s">
        <v>37</v>
      </c>
      <c r="D3935" s="9" t="n">
        <v>51</v>
      </c>
      <c r="E3935" s="9" t="s">
        <v>56</v>
      </c>
      <c r="F3935" s="9" t="s">
        <v>49</v>
      </c>
      <c r="G3935" s="10" t="n">
        <v>46046</v>
      </c>
      <c r="H3935" s="10" t="n">
        <v>46056</v>
      </c>
      <c r="I3935" s="9" t="s">
        <v>40</v>
      </c>
      <c r="J3935" s="9" t="s">
        <v>63</v>
      </c>
      <c r="K3935" s="9" t="n">
        <v>10</v>
      </c>
      <c r="L3935" s="9" t="n">
        <v>1</v>
      </c>
      <c r="M3935" s="9" t="n">
        <v>1</v>
      </c>
      <c r="N3935" s="9" t="s">
        <v>42</v>
      </c>
      <c r="O3935" s="9" t="s">
        <v>43</v>
      </c>
      <c r="P3935" s="9" t="n">
        <v>14.4</v>
      </c>
      <c r="Q3935" s="9" t="n">
        <v>34</v>
      </c>
      <c r="R3935" s="9" t="s">
        <v>53</v>
      </c>
      <c r="S3935" s="9"/>
      <c r="T3935" s="9"/>
      <c r="U3935" s="9" t="str">
        <f aca="false">IF(COUNTIF($A$2:$A$5001,A3935)&gt;1,"Duplicate","Unique")</f>
        <v>Unique</v>
      </c>
      <c r="V3935" s="9" t="str">
        <f aca="false">IF(COUNTIFS($B$2:$B$5001,B3935,$H$2:$H$5001,H3935,$J$2:$J$5001,J3935)&gt;1,"Possible Duplicate Booking","Unique")</f>
        <v>Unique</v>
      </c>
      <c r="W3935" s="9" t="str">
        <f aca="false">IF((H3935-G3935)&lt;&gt;K3935,"Mismatch","OK")</f>
        <v>OK</v>
      </c>
      <c r="X3935" s="9" t="str">
        <f aca="false">IF(TEXT(H3935,"dddd")&lt;&gt;I3935,"Mismatch","OK")</f>
        <v>OK</v>
      </c>
      <c r="Y3935" s="9" t="str">
        <f aca="false">IF(AND(N3935="No",O3935&lt;&gt;""),"Unexpected: channel present but no reminder sent",IF(AND(N3935="Yes",O3935=""),"Missing channel for sent reminder","OK"))</f>
        <v>OK</v>
      </c>
    </row>
    <row r="3936" customFormat="false" ht="15" hidden="false" customHeight="false" outlineLevel="0" collapsed="false">
      <c r="A3936" s="7" t="s">
        <v>5602</v>
      </c>
      <c r="B3936" s="7" t="s">
        <v>3334</v>
      </c>
      <c r="C3936" s="7" t="s">
        <v>37</v>
      </c>
      <c r="D3936" s="7" t="n">
        <v>71</v>
      </c>
      <c r="E3936" s="7" t="s">
        <v>70</v>
      </c>
      <c r="F3936" s="7" t="s">
        <v>39</v>
      </c>
      <c r="G3936" s="8" t="n">
        <v>45736</v>
      </c>
      <c r="H3936" s="8" t="n">
        <v>45758</v>
      </c>
      <c r="I3936" s="7" t="s">
        <v>50</v>
      </c>
      <c r="J3936" s="7" t="s">
        <v>51</v>
      </c>
      <c r="K3936" s="7" t="n">
        <v>22</v>
      </c>
      <c r="L3936" s="7" t="n">
        <v>1</v>
      </c>
      <c r="M3936" s="7" t="n">
        <v>0</v>
      </c>
      <c r="N3936" s="7" t="s">
        <v>71</v>
      </c>
      <c r="O3936" s="7"/>
      <c r="P3936" s="7" t="n">
        <v>13.7</v>
      </c>
      <c r="Q3936" s="7" t="n">
        <v>26</v>
      </c>
      <c r="R3936" s="7" t="s">
        <v>53</v>
      </c>
      <c r="S3936" s="7"/>
      <c r="T3936" s="7"/>
      <c r="U3936" s="7" t="str">
        <f aca="false">IF(COUNTIF($A$2:$A$5001,A3936)&gt;1,"Duplicate","Unique")</f>
        <v>Unique</v>
      </c>
      <c r="V3936" s="7" t="str">
        <f aca="false">IF(COUNTIFS($B$2:$B$5001,B3936,$H$2:$H$5001,H3936,$J$2:$J$5001,J3936)&gt;1,"Possible Duplicate Booking","Unique")</f>
        <v>Unique</v>
      </c>
      <c r="W3936" s="7" t="str">
        <f aca="false">IF((H3936-G3936)&lt;&gt;K3936,"Mismatch","OK")</f>
        <v>OK</v>
      </c>
      <c r="X3936" s="7" t="str">
        <f aca="false">IF(TEXT(H3936,"dddd")&lt;&gt;I3936,"Mismatch","OK")</f>
        <v>OK</v>
      </c>
      <c r="Y3936" s="7" t="str">
        <f aca="false">IF(AND(N3936="No",O3936&lt;&gt;""),"Unexpected: channel present but no reminder sent",IF(AND(N3936="Yes",O3936=""),"Missing channel for sent reminder","OK"))</f>
        <v>OK</v>
      </c>
    </row>
    <row r="3937" customFormat="false" ht="15" hidden="false" customHeight="false" outlineLevel="0" collapsed="false">
      <c r="A3937" s="9" t="s">
        <v>5603</v>
      </c>
      <c r="B3937" s="9" t="s">
        <v>1280</v>
      </c>
      <c r="C3937" s="9" t="s">
        <v>47</v>
      </c>
      <c r="D3937" s="9" t="n">
        <v>28</v>
      </c>
      <c r="E3937" s="9" t="s">
        <v>48</v>
      </c>
      <c r="F3937" s="9" t="s">
        <v>39</v>
      </c>
      <c r="G3937" s="10" t="n">
        <v>46081</v>
      </c>
      <c r="H3937" s="10" t="n">
        <v>46121</v>
      </c>
      <c r="I3937" s="9" t="s">
        <v>62</v>
      </c>
      <c r="J3937" s="9" t="s">
        <v>41</v>
      </c>
      <c r="K3937" s="9" t="n">
        <v>40</v>
      </c>
      <c r="L3937" s="9" t="n">
        <v>2</v>
      </c>
      <c r="M3937" s="9" t="n">
        <v>0</v>
      </c>
      <c r="N3937" s="9" t="s">
        <v>71</v>
      </c>
      <c r="O3937" s="9"/>
      <c r="P3937" s="9"/>
      <c r="Q3937" s="9" t="n">
        <v>15</v>
      </c>
      <c r="R3937" s="9" t="s">
        <v>44</v>
      </c>
      <c r="S3937" s="9"/>
      <c r="T3937" s="9"/>
      <c r="U3937" s="9" t="str">
        <f aca="false">IF(COUNTIF($A$2:$A$5001,A3937)&gt;1,"Duplicate","Unique")</f>
        <v>Unique</v>
      </c>
      <c r="V3937" s="9" t="str">
        <f aca="false">IF(COUNTIFS($B$2:$B$5001,B3937,$H$2:$H$5001,H3937,$J$2:$J$5001,J3937)&gt;1,"Possible Duplicate Booking","Unique")</f>
        <v>Unique</v>
      </c>
      <c r="W3937" s="9" t="str">
        <f aca="false">IF((H3937-G3937)&lt;&gt;K3937,"Mismatch","OK")</f>
        <v>OK</v>
      </c>
      <c r="X3937" s="9" t="str">
        <f aca="false">IF(TEXT(H3937,"dddd")&lt;&gt;I3937,"Mismatch","OK")</f>
        <v>OK</v>
      </c>
      <c r="Y3937" s="9" t="str">
        <f aca="false">IF(AND(N3937="No",O3937&lt;&gt;""),"Unexpected: channel present but no reminder sent",IF(AND(N3937="Yes",O3937=""),"Missing channel for sent reminder","OK"))</f>
        <v>OK</v>
      </c>
    </row>
    <row r="3938" customFormat="false" ht="15" hidden="false" customHeight="false" outlineLevel="0" collapsed="false">
      <c r="A3938" s="7" t="s">
        <v>5604</v>
      </c>
      <c r="B3938" s="7" t="s">
        <v>3544</v>
      </c>
      <c r="C3938" s="7" t="s">
        <v>37</v>
      </c>
      <c r="D3938" s="7" t="n">
        <v>51</v>
      </c>
      <c r="E3938" s="7" t="s">
        <v>56</v>
      </c>
      <c r="F3938" s="7" t="s">
        <v>57</v>
      </c>
      <c r="G3938" s="8" t="n">
        <v>45884</v>
      </c>
      <c r="H3938" s="8" t="n">
        <v>45944</v>
      </c>
      <c r="I3938" s="7" t="s">
        <v>40</v>
      </c>
      <c r="J3938" s="7" t="s">
        <v>41</v>
      </c>
      <c r="K3938" s="7" t="n">
        <v>60</v>
      </c>
      <c r="L3938" s="7" t="n">
        <v>2</v>
      </c>
      <c r="M3938" s="7" t="n">
        <v>0</v>
      </c>
      <c r="N3938" s="7" t="s">
        <v>42</v>
      </c>
      <c r="O3938" s="7" t="s">
        <v>52</v>
      </c>
      <c r="P3938" s="7" t="n">
        <v>3.8</v>
      </c>
      <c r="Q3938" s="7" t="n">
        <v>2</v>
      </c>
      <c r="R3938" s="7" t="s">
        <v>44</v>
      </c>
      <c r="S3938" s="7"/>
      <c r="T3938" s="7"/>
      <c r="U3938" s="7" t="str">
        <f aca="false">IF(COUNTIF($A$2:$A$5001,A3938)&gt;1,"Duplicate","Unique")</f>
        <v>Unique</v>
      </c>
      <c r="V3938" s="7" t="str">
        <f aca="false">IF(COUNTIFS($B$2:$B$5001,B3938,$H$2:$H$5001,H3938,$J$2:$J$5001,J3938)&gt;1,"Possible Duplicate Booking","Unique")</f>
        <v>Unique</v>
      </c>
      <c r="W3938" s="7" t="str">
        <f aca="false">IF((H3938-G3938)&lt;&gt;K3938,"Mismatch","OK")</f>
        <v>OK</v>
      </c>
      <c r="X3938" s="7" t="str">
        <f aca="false">IF(TEXT(H3938,"dddd")&lt;&gt;I3938,"Mismatch","OK")</f>
        <v>OK</v>
      </c>
      <c r="Y3938" s="7" t="str">
        <f aca="false">IF(AND(N3938="No",O3938&lt;&gt;""),"Unexpected: channel present but no reminder sent",IF(AND(N3938="Yes",O3938=""),"Missing channel for sent reminder","OK"))</f>
        <v>OK</v>
      </c>
    </row>
    <row r="3939" customFormat="false" ht="15" hidden="false" customHeight="false" outlineLevel="0" collapsed="false">
      <c r="A3939" s="9" t="s">
        <v>5605</v>
      </c>
      <c r="B3939" s="9" t="s">
        <v>1169</v>
      </c>
      <c r="C3939" s="9" t="s">
        <v>37</v>
      </c>
      <c r="D3939" s="9" t="n">
        <v>55</v>
      </c>
      <c r="E3939" s="9" t="s">
        <v>61</v>
      </c>
      <c r="F3939" s="9" t="s">
        <v>57</v>
      </c>
      <c r="G3939" s="10" t="n">
        <v>45855</v>
      </c>
      <c r="H3939" s="10" t="n">
        <v>45915</v>
      </c>
      <c r="I3939" s="9" t="s">
        <v>66</v>
      </c>
      <c r="J3939" s="9" t="s">
        <v>63</v>
      </c>
      <c r="K3939" s="9" t="n">
        <v>60</v>
      </c>
      <c r="L3939" s="9" t="n">
        <v>5</v>
      </c>
      <c r="M3939" s="9" t="n">
        <v>1</v>
      </c>
      <c r="N3939" s="9" t="s">
        <v>71</v>
      </c>
      <c r="O3939" s="9"/>
      <c r="P3939" s="9" t="n">
        <v>21.9</v>
      </c>
      <c r="Q3939" s="9" t="n">
        <v>19</v>
      </c>
      <c r="R3939" s="9" t="s">
        <v>44</v>
      </c>
      <c r="S3939" s="9"/>
      <c r="T3939" s="9"/>
      <c r="U3939" s="9" t="str">
        <f aca="false">IF(COUNTIF($A$2:$A$5001,A3939)&gt;1,"Duplicate","Unique")</f>
        <v>Unique</v>
      </c>
      <c r="V3939" s="9" t="str">
        <f aca="false">IF(COUNTIFS($B$2:$B$5001,B3939,$H$2:$H$5001,H3939,$J$2:$J$5001,J3939)&gt;1,"Possible Duplicate Booking","Unique")</f>
        <v>Unique</v>
      </c>
      <c r="W3939" s="9" t="str">
        <f aca="false">IF((H3939-G3939)&lt;&gt;K3939,"Mismatch","OK")</f>
        <v>OK</v>
      </c>
      <c r="X3939" s="9" t="str">
        <f aca="false">IF(TEXT(H3939,"dddd")&lt;&gt;I3939,"Mismatch","OK")</f>
        <v>OK</v>
      </c>
      <c r="Y3939" s="9" t="str">
        <f aca="false">IF(AND(N3939="No",O3939&lt;&gt;""),"Unexpected: channel present but no reminder sent",IF(AND(N3939="Yes",O3939=""),"Missing channel for sent reminder","OK"))</f>
        <v>OK</v>
      </c>
    </row>
    <row r="3940" customFormat="false" ht="15" hidden="false" customHeight="false" outlineLevel="0" collapsed="false">
      <c r="A3940" s="7" t="s">
        <v>5606</v>
      </c>
      <c r="B3940" s="7" t="s">
        <v>1325</v>
      </c>
      <c r="C3940" s="7" t="s">
        <v>37</v>
      </c>
      <c r="D3940" s="7" t="n">
        <v>69</v>
      </c>
      <c r="E3940" s="7" t="s">
        <v>70</v>
      </c>
      <c r="F3940" s="7" t="s">
        <v>49</v>
      </c>
      <c r="G3940" s="8" t="n">
        <v>45998</v>
      </c>
      <c r="H3940" s="8" t="n">
        <v>46052</v>
      </c>
      <c r="I3940" s="7" t="s">
        <v>50</v>
      </c>
      <c r="J3940" s="7" t="s">
        <v>41</v>
      </c>
      <c r="K3940" s="7" t="n">
        <v>54</v>
      </c>
      <c r="L3940" s="7" t="n">
        <v>4</v>
      </c>
      <c r="M3940" s="7" t="n">
        <v>0</v>
      </c>
      <c r="N3940" s="7" t="s">
        <v>42</v>
      </c>
      <c r="O3940" s="7" t="s">
        <v>43</v>
      </c>
      <c r="P3940" s="7" t="n">
        <v>20.7</v>
      </c>
      <c r="Q3940" s="7" t="n">
        <v>21</v>
      </c>
      <c r="R3940" s="7" t="s">
        <v>44</v>
      </c>
      <c r="S3940" s="7"/>
      <c r="T3940" s="7"/>
      <c r="U3940" s="7" t="str">
        <f aca="false">IF(COUNTIF($A$2:$A$5001,A3940)&gt;1,"Duplicate","Unique")</f>
        <v>Unique</v>
      </c>
      <c r="V3940" s="7" t="str">
        <f aca="false">IF(COUNTIFS($B$2:$B$5001,B3940,$H$2:$H$5001,H3940,$J$2:$J$5001,J3940)&gt;1,"Possible Duplicate Booking","Unique")</f>
        <v>Unique</v>
      </c>
      <c r="W3940" s="7" t="str">
        <f aca="false">IF((H3940-G3940)&lt;&gt;K3940,"Mismatch","OK")</f>
        <v>OK</v>
      </c>
      <c r="X3940" s="7" t="str">
        <f aca="false">IF(TEXT(H3940,"dddd")&lt;&gt;I3940,"Mismatch","OK")</f>
        <v>OK</v>
      </c>
      <c r="Y3940" s="7" t="str">
        <f aca="false">IF(AND(N3940="No",O3940&lt;&gt;""),"Unexpected: channel present but no reminder sent",IF(AND(N3940="Yes",O3940=""),"Missing channel for sent reminder","OK"))</f>
        <v>OK</v>
      </c>
    </row>
    <row r="3941" customFormat="false" ht="15" hidden="false" customHeight="false" outlineLevel="0" collapsed="false">
      <c r="A3941" s="9" t="s">
        <v>5607</v>
      </c>
      <c r="B3941" s="9" t="s">
        <v>5394</v>
      </c>
      <c r="C3941" s="9" t="s">
        <v>37</v>
      </c>
      <c r="D3941" s="9" t="n">
        <v>53</v>
      </c>
      <c r="E3941" s="9" t="s">
        <v>56</v>
      </c>
      <c r="F3941" s="9" t="s">
        <v>49</v>
      </c>
      <c r="G3941" s="10" t="n">
        <v>45922</v>
      </c>
      <c r="H3941" s="10" t="n">
        <v>45936</v>
      </c>
      <c r="I3941" s="9" t="s">
        <v>66</v>
      </c>
      <c r="J3941" s="9" t="s">
        <v>51</v>
      </c>
      <c r="K3941" s="9" t="n">
        <v>14</v>
      </c>
      <c r="L3941" s="9" t="n">
        <v>3</v>
      </c>
      <c r="M3941" s="9" t="n">
        <v>0</v>
      </c>
      <c r="N3941" s="9" t="s">
        <v>42</v>
      </c>
      <c r="O3941" s="9" t="s">
        <v>43</v>
      </c>
      <c r="P3941" s="9" t="n">
        <v>7.9</v>
      </c>
      <c r="Q3941" s="9" t="n">
        <v>25</v>
      </c>
      <c r="R3941" s="9" t="s">
        <v>44</v>
      </c>
      <c r="S3941" s="9"/>
      <c r="T3941" s="9"/>
      <c r="U3941" s="9" t="str">
        <f aca="false">IF(COUNTIF($A$2:$A$5001,A3941)&gt;1,"Duplicate","Unique")</f>
        <v>Unique</v>
      </c>
      <c r="V3941" s="9" t="str">
        <f aca="false">IF(COUNTIFS($B$2:$B$5001,B3941,$H$2:$H$5001,H3941,$J$2:$J$5001,J3941)&gt;1,"Possible Duplicate Booking","Unique")</f>
        <v>Unique</v>
      </c>
      <c r="W3941" s="9" t="str">
        <f aca="false">IF((H3941-G3941)&lt;&gt;K3941,"Mismatch","OK")</f>
        <v>OK</v>
      </c>
      <c r="X3941" s="9" t="str">
        <f aca="false">IF(TEXT(H3941,"dddd")&lt;&gt;I3941,"Mismatch","OK")</f>
        <v>OK</v>
      </c>
      <c r="Y3941" s="9" t="str">
        <f aca="false">IF(AND(N3941="No",O3941&lt;&gt;""),"Unexpected: channel present but no reminder sent",IF(AND(N3941="Yes",O3941=""),"Missing channel for sent reminder","OK"))</f>
        <v>OK</v>
      </c>
    </row>
    <row r="3942" customFormat="false" ht="15" hidden="false" customHeight="false" outlineLevel="0" collapsed="false">
      <c r="A3942" s="7" t="s">
        <v>5608</v>
      </c>
      <c r="B3942" s="7" t="s">
        <v>1878</v>
      </c>
      <c r="C3942" s="7" t="s">
        <v>37</v>
      </c>
      <c r="D3942" s="7" t="n">
        <v>64</v>
      </c>
      <c r="E3942" s="7" t="s">
        <v>61</v>
      </c>
      <c r="F3942" s="7" t="s">
        <v>57</v>
      </c>
      <c r="G3942" s="8" t="n">
        <v>45950</v>
      </c>
      <c r="H3942" s="8" t="n">
        <v>45955</v>
      </c>
      <c r="I3942" s="7" t="s">
        <v>102</v>
      </c>
      <c r="J3942" s="7" t="s">
        <v>51</v>
      </c>
      <c r="K3942" s="7" t="n">
        <v>5</v>
      </c>
      <c r="L3942" s="7" t="n">
        <v>3</v>
      </c>
      <c r="M3942" s="7" t="n">
        <v>1</v>
      </c>
      <c r="N3942" s="7" t="s">
        <v>42</v>
      </c>
      <c r="O3942" s="7" t="s">
        <v>52</v>
      </c>
      <c r="P3942" s="7" t="n">
        <v>15.6</v>
      </c>
      <c r="Q3942" s="7" t="n">
        <v>34</v>
      </c>
      <c r="R3942" s="7" t="s">
        <v>44</v>
      </c>
      <c r="S3942" s="7"/>
      <c r="T3942" s="7"/>
      <c r="U3942" s="7" t="str">
        <f aca="false">IF(COUNTIF($A$2:$A$5001,A3942)&gt;1,"Duplicate","Unique")</f>
        <v>Unique</v>
      </c>
      <c r="V3942" s="7" t="str">
        <f aca="false">IF(COUNTIFS($B$2:$B$5001,B3942,$H$2:$H$5001,H3942,$J$2:$J$5001,J3942)&gt;1,"Possible Duplicate Booking","Unique")</f>
        <v>Unique</v>
      </c>
      <c r="W3942" s="7" t="str">
        <f aca="false">IF((H3942-G3942)&lt;&gt;K3942,"Mismatch","OK")</f>
        <v>OK</v>
      </c>
      <c r="X3942" s="7" t="str">
        <f aca="false">IF(TEXT(H3942,"dddd")&lt;&gt;I3942,"Mismatch","OK")</f>
        <v>OK</v>
      </c>
      <c r="Y3942" s="7" t="str">
        <f aca="false">IF(AND(N3942="No",O3942&lt;&gt;""),"Unexpected: channel present but no reminder sent",IF(AND(N3942="Yes",O3942=""),"Missing channel for sent reminder","OK"))</f>
        <v>OK</v>
      </c>
    </row>
    <row r="3943" customFormat="false" ht="15" hidden="false" customHeight="false" outlineLevel="0" collapsed="false">
      <c r="A3943" s="9" t="s">
        <v>5609</v>
      </c>
      <c r="B3943" s="9" t="s">
        <v>1547</v>
      </c>
      <c r="C3943" s="9" t="s">
        <v>47</v>
      </c>
      <c r="D3943" s="9" t="n">
        <v>66</v>
      </c>
      <c r="E3943" s="9" t="s">
        <v>70</v>
      </c>
      <c r="F3943" s="9" t="s">
        <v>57</v>
      </c>
      <c r="G3943" s="10" t="n">
        <v>45773</v>
      </c>
      <c r="H3943" s="10" t="n">
        <v>45828</v>
      </c>
      <c r="I3943" s="9" t="s">
        <v>50</v>
      </c>
      <c r="J3943" s="9" t="s">
        <v>63</v>
      </c>
      <c r="K3943" s="9" t="n">
        <v>55</v>
      </c>
      <c r="L3943" s="9" t="n">
        <v>3</v>
      </c>
      <c r="M3943" s="9" t="n">
        <v>0</v>
      </c>
      <c r="N3943" s="9" t="s">
        <v>42</v>
      </c>
      <c r="O3943" s="9" t="s">
        <v>52</v>
      </c>
      <c r="P3943" s="9" t="n">
        <v>1.4</v>
      </c>
      <c r="Q3943" s="9" t="n">
        <v>31</v>
      </c>
      <c r="R3943" s="9" t="s">
        <v>44</v>
      </c>
      <c r="S3943" s="9"/>
      <c r="T3943" s="9"/>
      <c r="U3943" s="9" t="str">
        <f aca="false">IF(COUNTIF($A$2:$A$5001,A3943)&gt;1,"Duplicate","Unique")</f>
        <v>Unique</v>
      </c>
      <c r="V3943" s="9" t="str">
        <f aca="false">IF(COUNTIFS($B$2:$B$5001,B3943,$H$2:$H$5001,H3943,$J$2:$J$5001,J3943)&gt;1,"Possible Duplicate Booking","Unique")</f>
        <v>Unique</v>
      </c>
      <c r="W3943" s="9" t="str">
        <f aca="false">IF((H3943-G3943)&lt;&gt;K3943,"Mismatch","OK")</f>
        <v>OK</v>
      </c>
      <c r="X3943" s="9" t="str">
        <f aca="false">IF(TEXT(H3943,"dddd")&lt;&gt;I3943,"Mismatch","OK")</f>
        <v>OK</v>
      </c>
      <c r="Y3943" s="9" t="str">
        <f aca="false">IF(AND(N3943="No",O3943&lt;&gt;""),"Unexpected: channel present but no reminder sent",IF(AND(N3943="Yes",O3943=""),"Missing channel for sent reminder","OK"))</f>
        <v>OK</v>
      </c>
    </row>
    <row r="3944" customFormat="false" ht="15" hidden="false" customHeight="false" outlineLevel="0" collapsed="false">
      <c r="A3944" s="7" t="s">
        <v>5610</v>
      </c>
      <c r="B3944" s="7" t="s">
        <v>2740</v>
      </c>
      <c r="C3944" s="7" t="s">
        <v>37</v>
      </c>
      <c r="D3944" s="7" t="n">
        <v>74</v>
      </c>
      <c r="E3944" s="7" t="s">
        <v>70</v>
      </c>
      <c r="F3944" s="7" t="s">
        <v>57</v>
      </c>
      <c r="G3944" s="8" t="n">
        <v>46108</v>
      </c>
      <c r="H3944" s="8" t="n">
        <v>46164</v>
      </c>
      <c r="I3944" s="7" t="s">
        <v>50</v>
      </c>
      <c r="J3944" s="7" t="s">
        <v>51</v>
      </c>
      <c r="K3944" s="7" t="n">
        <v>56</v>
      </c>
      <c r="L3944" s="7" t="n">
        <v>2</v>
      </c>
      <c r="M3944" s="7" t="n">
        <v>0</v>
      </c>
      <c r="N3944" s="7" t="s">
        <v>42</v>
      </c>
      <c r="O3944" s="7" t="s">
        <v>43</v>
      </c>
      <c r="P3944" s="7" t="n">
        <v>16.6</v>
      </c>
      <c r="Q3944" s="7" t="n">
        <v>25</v>
      </c>
      <c r="R3944" s="7" t="s">
        <v>53</v>
      </c>
      <c r="S3944" s="7"/>
      <c r="T3944" s="7"/>
      <c r="U3944" s="7" t="str">
        <f aca="false">IF(COUNTIF($A$2:$A$5001,A3944)&gt;1,"Duplicate","Unique")</f>
        <v>Unique</v>
      </c>
      <c r="V3944" s="7" t="str">
        <f aca="false">IF(COUNTIFS($B$2:$B$5001,B3944,$H$2:$H$5001,H3944,$J$2:$J$5001,J3944)&gt;1,"Possible Duplicate Booking","Unique")</f>
        <v>Unique</v>
      </c>
      <c r="W3944" s="7" t="str">
        <f aca="false">IF((H3944-G3944)&lt;&gt;K3944,"Mismatch","OK")</f>
        <v>OK</v>
      </c>
      <c r="X3944" s="7" t="str">
        <f aca="false">IF(TEXT(H3944,"dddd")&lt;&gt;I3944,"Mismatch","OK")</f>
        <v>OK</v>
      </c>
      <c r="Y3944" s="7" t="str">
        <f aca="false">IF(AND(N3944="No",O3944&lt;&gt;""),"Unexpected: channel present but no reminder sent",IF(AND(N3944="Yes",O3944=""),"Missing channel for sent reminder","OK"))</f>
        <v>OK</v>
      </c>
    </row>
    <row r="3945" customFormat="false" ht="15" hidden="false" customHeight="false" outlineLevel="0" collapsed="false">
      <c r="A3945" s="9" t="s">
        <v>5611</v>
      </c>
      <c r="B3945" s="9" t="s">
        <v>5612</v>
      </c>
      <c r="C3945" s="9" t="s">
        <v>47</v>
      </c>
      <c r="D3945" s="9" t="n">
        <v>40</v>
      </c>
      <c r="E3945" s="9" t="s">
        <v>38</v>
      </c>
      <c r="F3945" s="9" t="s">
        <v>57</v>
      </c>
      <c r="G3945" s="10" t="n">
        <v>46171</v>
      </c>
      <c r="H3945" s="10" t="n">
        <v>46187</v>
      </c>
      <c r="I3945" s="9" t="s">
        <v>75</v>
      </c>
      <c r="J3945" s="9" t="s">
        <v>41</v>
      </c>
      <c r="K3945" s="9" t="n">
        <v>16</v>
      </c>
      <c r="L3945" s="9" t="n">
        <v>1</v>
      </c>
      <c r="M3945" s="9" t="n">
        <v>0</v>
      </c>
      <c r="N3945" s="9" t="s">
        <v>71</v>
      </c>
      <c r="O3945" s="9"/>
      <c r="P3945" s="9"/>
      <c r="Q3945" s="9" t="n">
        <v>20</v>
      </c>
      <c r="R3945" s="9" t="s">
        <v>44</v>
      </c>
      <c r="S3945" s="9"/>
      <c r="T3945" s="9"/>
      <c r="U3945" s="9" t="str">
        <f aca="false">IF(COUNTIF($A$2:$A$5001,A3945)&gt;1,"Duplicate","Unique")</f>
        <v>Unique</v>
      </c>
      <c r="V3945" s="9" t="str">
        <f aca="false">IF(COUNTIFS($B$2:$B$5001,B3945,$H$2:$H$5001,H3945,$J$2:$J$5001,J3945)&gt;1,"Possible Duplicate Booking","Unique")</f>
        <v>Unique</v>
      </c>
      <c r="W3945" s="9" t="str">
        <f aca="false">IF((H3945-G3945)&lt;&gt;K3945,"Mismatch","OK")</f>
        <v>OK</v>
      </c>
      <c r="X3945" s="9" t="str">
        <f aca="false">IF(TEXT(H3945,"dddd")&lt;&gt;I3945,"Mismatch","OK")</f>
        <v>OK</v>
      </c>
      <c r="Y3945" s="9" t="str">
        <f aca="false">IF(AND(N3945="No",O3945&lt;&gt;""),"Unexpected: channel present but no reminder sent",IF(AND(N3945="Yes",O3945=""),"Missing channel for sent reminder","OK"))</f>
        <v>OK</v>
      </c>
    </row>
    <row r="3946" customFormat="false" ht="15" hidden="false" customHeight="false" outlineLevel="0" collapsed="false">
      <c r="A3946" s="7" t="s">
        <v>5613</v>
      </c>
      <c r="B3946" s="7" t="s">
        <v>861</v>
      </c>
      <c r="C3946" s="7" t="s">
        <v>47</v>
      </c>
      <c r="D3946" s="7" t="n">
        <v>62</v>
      </c>
      <c r="E3946" s="7" t="s">
        <v>61</v>
      </c>
      <c r="F3946" s="7" t="s">
        <v>57</v>
      </c>
      <c r="G3946" s="8" t="n">
        <v>45728</v>
      </c>
      <c r="H3946" s="8" t="n">
        <v>45729</v>
      </c>
      <c r="I3946" s="7" t="s">
        <v>62</v>
      </c>
      <c r="J3946" s="7" t="s">
        <v>51</v>
      </c>
      <c r="K3946" s="7" t="n">
        <v>1</v>
      </c>
      <c r="L3946" s="7" t="n">
        <v>2</v>
      </c>
      <c r="M3946" s="7" t="n">
        <v>0</v>
      </c>
      <c r="N3946" s="7" t="s">
        <v>71</v>
      </c>
      <c r="O3946" s="7"/>
      <c r="P3946" s="7" t="n">
        <v>4.1</v>
      </c>
      <c r="Q3946" s="7" t="n">
        <v>7</v>
      </c>
      <c r="R3946" s="7" t="s">
        <v>53</v>
      </c>
      <c r="S3946" s="7"/>
      <c r="T3946" s="7"/>
      <c r="U3946" s="7" t="str">
        <f aca="false">IF(COUNTIF($A$2:$A$5001,A3946)&gt;1,"Duplicate","Unique")</f>
        <v>Unique</v>
      </c>
      <c r="V3946" s="7" t="str">
        <f aca="false">IF(COUNTIFS($B$2:$B$5001,B3946,$H$2:$H$5001,H3946,$J$2:$J$5001,J3946)&gt;1,"Possible Duplicate Booking","Unique")</f>
        <v>Unique</v>
      </c>
      <c r="W3946" s="7" t="str">
        <f aca="false">IF((H3946-G3946)&lt;&gt;K3946,"Mismatch","OK")</f>
        <v>OK</v>
      </c>
      <c r="X3946" s="7" t="str">
        <f aca="false">IF(TEXT(H3946,"dddd")&lt;&gt;I3946,"Mismatch","OK")</f>
        <v>OK</v>
      </c>
      <c r="Y3946" s="7" t="str">
        <f aca="false">IF(AND(N3946="No",O3946&lt;&gt;""),"Unexpected: channel present but no reminder sent",IF(AND(N3946="Yes",O3946=""),"Missing channel for sent reminder","OK"))</f>
        <v>OK</v>
      </c>
    </row>
    <row r="3947" customFormat="false" ht="15" hidden="false" customHeight="false" outlineLevel="0" collapsed="false">
      <c r="A3947" s="9" t="s">
        <v>5614</v>
      </c>
      <c r="B3947" s="9" t="s">
        <v>1592</v>
      </c>
      <c r="C3947" s="9" t="s">
        <v>47</v>
      </c>
      <c r="D3947" s="9" t="n">
        <v>33</v>
      </c>
      <c r="E3947" s="9" t="s">
        <v>48</v>
      </c>
      <c r="F3947" s="9" t="s">
        <v>57</v>
      </c>
      <c r="G3947" s="10" t="n">
        <v>46019</v>
      </c>
      <c r="H3947" s="10" t="n">
        <v>46058</v>
      </c>
      <c r="I3947" s="9" t="s">
        <v>62</v>
      </c>
      <c r="J3947" s="9" t="s">
        <v>41</v>
      </c>
      <c r="K3947" s="9" t="n">
        <v>39</v>
      </c>
      <c r="L3947" s="9" t="n">
        <v>3</v>
      </c>
      <c r="M3947" s="9" t="n">
        <v>0</v>
      </c>
      <c r="N3947" s="9" t="s">
        <v>42</v>
      </c>
      <c r="O3947" s="9" t="s">
        <v>67</v>
      </c>
      <c r="P3947" s="9" t="n">
        <v>17</v>
      </c>
      <c r="Q3947" s="9" t="n">
        <v>15</v>
      </c>
      <c r="R3947" s="9" t="s">
        <v>44</v>
      </c>
      <c r="S3947" s="9"/>
      <c r="T3947" s="9"/>
      <c r="U3947" s="9" t="str">
        <f aca="false">IF(COUNTIF($A$2:$A$5001,A3947)&gt;1,"Duplicate","Unique")</f>
        <v>Unique</v>
      </c>
      <c r="V3947" s="9" t="str">
        <f aca="false">IF(COUNTIFS($B$2:$B$5001,B3947,$H$2:$H$5001,H3947,$J$2:$J$5001,J3947)&gt;1,"Possible Duplicate Booking","Unique")</f>
        <v>Unique</v>
      </c>
      <c r="W3947" s="9" t="str">
        <f aca="false">IF((H3947-G3947)&lt;&gt;K3947,"Mismatch","OK")</f>
        <v>OK</v>
      </c>
      <c r="X3947" s="9" t="str">
        <f aca="false">IF(TEXT(H3947,"dddd")&lt;&gt;I3947,"Mismatch","OK")</f>
        <v>OK</v>
      </c>
      <c r="Y3947" s="9" t="str">
        <f aca="false">IF(AND(N3947="No",O3947&lt;&gt;""),"Unexpected: channel present but no reminder sent",IF(AND(N3947="Yes",O3947=""),"Missing channel for sent reminder","OK"))</f>
        <v>OK</v>
      </c>
    </row>
    <row r="3948" customFormat="false" ht="15" hidden="false" customHeight="false" outlineLevel="0" collapsed="false">
      <c r="A3948" s="7" t="s">
        <v>5615</v>
      </c>
      <c r="B3948" s="7" t="s">
        <v>2414</v>
      </c>
      <c r="C3948" s="7" t="s">
        <v>37</v>
      </c>
      <c r="D3948" s="7" t="n">
        <v>71</v>
      </c>
      <c r="E3948" s="7" t="s">
        <v>70</v>
      </c>
      <c r="F3948" s="7" t="s">
        <v>49</v>
      </c>
      <c r="G3948" s="8" t="n">
        <v>45666</v>
      </c>
      <c r="H3948" s="8" t="n">
        <v>45670</v>
      </c>
      <c r="I3948" s="7" t="s">
        <v>66</v>
      </c>
      <c r="J3948" s="7" t="s">
        <v>41</v>
      </c>
      <c r="K3948" s="7" t="n">
        <v>4</v>
      </c>
      <c r="L3948" s="7" t="n">
        <v>2</v>
      </c>
      <c r="M3948" s="7" t="n">
        <v>0</v>
      </c>
      <c r="N3948" s="7" t="s">
        <v>42</v>
      </c>
      <c r="O3948" s="7" t="s">
        <v>52</v>
      </c>
      <c r="P3948" s="7" t="n">
        <v>1.7</v>
      </c>
      <c r="Q3948" s="7" t="n">
        <v>13</v>
      </c>
      <c r="R3948" s="7" t="s">
        <v>53</v>
      </c>
      <c r="S3948" s="7"/>
      <c r="T3948" s="7"/>
      <c r="U3948" s="7" t="str">
        <f aca="false">IF(COUNTIF($A$2:$A$5001,A3948)&gt;1,"Duplicate","Unique")</f>
        <v>Unique</v>
      </c>
      <c r="V3948" s="7" t="str">
        <f aca="false">IF(COUNTIFS($B$2:$B$5001,B3948,$H$2:$H$5001,H3948,$J$2:$J$5001,J3948)&gt;1,"Possible Duplicate Booking","Unique")</f>
        <v>Unique</v>
      </c>
      <c r="W3948" s="7" t="str">
        <f aca="false">IF((H3948-G3948)&lt;&gt;K3948,"Mismatch","OK")</f>
        <v>OK</v>
      </c>
      <c r="X3948" s="7" t="str">
        <f aca="false">IF(TEXT(H3948,"dddd")&lt;&gt;I3948,"Mismatch","OK")</f>
        <v>OK</v>
      </c>
      <c r="Y3948" s="7" t="str">
        <f aca="false">IF(AND(N3948="No",O3948&lt;&gt;""),"Unexpected: channel present but no reminder sent",IF(AND(N3948="Yes",O3948=""),"Missing channel for sent reminder","OK"))</f>
        <v>OK</v>
      </c>
    </row>
    <row r="3949" customFormat="false" ht="15" hidden="false" customHeight="false" outlineLevel="0" collapsed="false">
      <c r="A3949" s="9" t="s">
        <v>5616</v>
      </c>
      <c r="B3949" s="9" t="s">
        <v>2700</v>
      </c>
      <c r="C3949" s="9" t="s">
        <v>47</v>
      </c>
      <c r="D3949" s="9" t="n">
        <v>77</v>
      </c>
      <c r="E3949" s="9" t="s">
        <v>70</v>
      </c>
      <c r="F3949" s="9" t="s">
        <v>57</v>
      </c>
      <c r="G3949" s="10" t="n">
        <v>45857</v>
      </c>
      <c r="H3949" s="10" t="n">
        <v>45859</v>
      </c>
      <c r="I3949" s="9" t="s">
        <v>66</v>
      </c>
      <c r="J3949" s="9" t="s">
        <v>51</v>
      </c>
      <c r="K3949" s="9" t="n">
        <v>2</v>
      </c>
      <c r="L3949" s="9" t="n">
        <v>3</v>
      </c>
      <c r="M3949" s="9" t="n">
        <v>0</v>
      </c>
      <c r="N3949" s="9" t="s">
        <v>42</v>
      </c>
      <c r="O3949" s="9" t="s">
        <v>43</v>
      </c>
      <c r="P3949" s="9" t="n">
        <v>13.7</v>
      </c>
      <c r="Q3949" s="9" t="n">
        <v>53</v>
      </c>
      <c r="R3949" s="9" t="s">
        <v>53</v>
      </c>
      <c r="S3949" s="9"/>
      <c r="T3949" s="9"/>
      <c r="U3949" s="9" t="str">
        <f aca="false">IF(COUNTIF($A$2:$A$5001,A3949)&gt;1,"Duplicate","Unique")</f>
        <v>Unique</v>
      </c>
      <c r="V3949" s="9" t="str">
        <f aca="false">IF(COUNTIFS($B$2:$B$5001,B3949,$H$2:$H$5001,H3949,$J$2:$J$5001,J3949)&gt;1,"Possible Duplicate Booking","Unique")</f>
        <v>Unique</v>
      </c>
      <c r="W3949" s="9" t="str">
        <f aca="false">IF((H3949-G3949)&lt;&gt;K3949,"Mismatch","OK")</f>
        <v>OK</v>
      </c>
      <c r="X3949" s="9" t="str">
        <f aca="false">IF(TEXT(H3949,"dddd")&lt;&gt;I3949,"Mismatch","OK")</f>
        <v>OK</v>
      </c>
      <c r="Y3949" s="9" t="str">
        <f aca="false">IF(AND(N3949="No",O3949&lt;&gt;""),"Unexpected: channel present but no reminder sent",IF(AND(N3949="Yes",O3949=""),"Missing channel for sent reminder","OK"))</f>
        <v>OK</v>
      </c>
    </row>
    <row r="3950" customFormat="false" ht="15" hidden="false" customHeight="false" outlineLevel="0" collapsed="false">
      <c r="A3950" s="7" t="s">
        <v>5617</v>
      </c>
      <c r="B3950" s="7" t="s">
        <v>1366</v>
      </c>
      <c r="C3950" s="7" t="s">
        <v>47</v>
      </c>
      <c r="D3950" s="7" t="n">
        <v>36</v>
      </c>
      <c r="E3950" s="7" t="s">
        <v>38</v>
      </c>
      <c r="F3950" s="7" t="s">
        <v>39</v>
      </c>
      <c r="G3950" s="8" t="n">
        <v>46130</v>
      </c>
      <c r="H3950" s="8" t="n">
        <v>46187</v>
      </c>
      <c r="I3950" s="7" t="s">
        <v>75</v>
      </c>
      <c r="J3950" s="7" t="s">
        <v>51</v>
      </c>
      <c r="K3950" s="7" t="n">
        <v>57</v>
      </c>
      <c r="L3950" s="7" t="n">
        <v>2</v>
      </c>
      <c r="M3950" s="7" t="n">
        <v>2</v>
      </c>
      <c r="N3950" s="7" t="s">
        <v>42</v>
      </c>
      <c r="O3950" s="7" t="s">
        <v>52</v>
      </c>
      <c r="P3950" s="7" t="n">
        <v>16.9</v>
      </c>
      <c r="Q3950" s="7"/>
      <c r="R3950" s="7" t="s">
        <v>44</v>
      </c>
      <c r="S3950" s="7"/>
      <c r="T3950" s="7"/>
      <c r="U3950" s="7" t="str">
        <f aca="false">IF(COUNTIF($A$2:$A$5001,A3950)&gt;1,"Duplicate","Unique")</f>
        <v>Unique</v>
      </c>
      <c r="V3950" s="7" t="str">
        <f aca="false">IF(COUNTIFS($B$2:$B$5001,B3950,$H$2:$H$5001,H3950,$J$2:$J$5001,J3950)&gt;1,"Possible Duplicate Booking","Unique")</f>
        <v>Unique</v>
      </c>
      <c r="W3950" s="7" t="str">
        <f aca="false">IF((H3950-G3950)&lt;&gt;K3950,"Mismatch","OK")</f>
        <v>OK</v>
      </c>
      <c r="X3950" s="7" t="str">
        <f aca="false">IF(TEXT(H3950,"dddd")&lt;&gt;I3950,"Mismatch","OK")</f>
        <v>OK</v>
      </c>
      <c r="Y3950" s="7" t="str">
        <f aca="false">IF(AND(N3950="No",O3950&lt;&gt;""),"Unexpected: channel present but no reminder sent",IF(AND(N3950="Yes",O3950=""),"Missing channel for sent reminder","OK"))</f>
        <v>OK</v>
      </c>
    </row>
    <row r="3951" customFormat="false" ht="15" hidden="false" customHeight="false" outlineLevel="0" collapsed="false">
      <c r="A3951" s="9" t="s">
        <v>5618</v>
      </c>
      <c r="B3951" s="9" t="s">
        <v>4068</v>
      </c>
      <c r="C3951" s="9" t="s">
        <v>47</v>
      </c>
      <c r="D3951" s="9" t="n">
        <v>53</v>
      </c>
      <c r="E3951" s="9" t="s">
        <v>56</v>
      </c>
      <c r="F3951" s="9" t="s">
        <v>39</v>
      </c>
      <c r="G3951" s="10" t="n">
        <v>45723</v>
      </c>
      <c r="H3951" s="10" t="n">
        <v>45753</v>
      </c>
      <c r="I3951" s="9" t="s">
        <v>75</v>
      </c>
      <c r="J3951" s="9" t="s">
        <v>51</v>
      </c>
      <c r="K3951" s="9" t="n">
        <v>30</v>
      </c>
      <c r="L3951" s="9" t="n">
        <v>1</v>
      </c>
      <c r="M3951" s="9" t="n">
        <v>0</v>
      </c>
      <c r="N3951" s="9" t="s">
        <v>42</v>
      </c>
      <c r="O3951" s="9" t="s">
        <v>52</v>
      </c>
      <c r="P3951" s="9" t="n">
        <v>18.7</v>
      </c>
      <c r="Q3951" s="9" t="n">
        <v>10</v>
      </c>
      <c r="R3951" s="9" t="s">
        <v>53</v>
      </c>
      <c r="S3951" s="9"/>
      <c r="T3951" s="9"/>
      <c r="U3951" s="9" t="str">
        <f aca="false">IF(COUNTIF($A$2:$A$5001,A3951)&gt;1,"Duplicate","Unique")</f>
        <v>Unique</v>
      </c>
      <c r="V3951" s="9" t="str">
        <f aca="false">IF(COUNTIFS($B$2:$B$5001,B3951,$H$2:$H$5001,H3951,$J$2:$J$5001,J3951)&gt;1,"Possible Duplicate Booking","Unique")</f>
        <v>Unique</v>
      </c>
      <c r="W3951" s="9" t="str">
        <f aca="false">IF((H3951-G3951)&lt;&gt;K3951,"Mismatch","OK")</f>
        <v>OK</v>
      </c>
      <c r="X3951" s="9" t="str">
        <f aca="false">IF(TEXT(H3951,"dddd")&lt;&gt;I3951,"Mismatch","OK")</f>
        <v>OK</v>
      </c>
      <c r="Y3951" s="9" t="str">
        <f aca="false">IF(AND(N3951="No",O3951&lt;&gt;""),"Unexpected: channel present but no reminder sent",IF(AND(N3951="Yes",O3951=""),"Missing channel for sent reminder","OK"))</f>
        <v>OK</v>
      </c>
    </row>
    <row r="3952" customFormat="false" ht="15" hidden="false" customHeight="false" outlineLevel="0" collapsed="false">
      <c r="A3952" s="7" t="s">
        <v>5619</v>
      </c>
      <c r="B3952" s="7" t="s">
        <v>254</v>
      </c>
      <c r="C3952" s="7" t="s">
        <v>37</v>
      </c>
      <c r="D3952" s="7" t="n">
        <v>69</v>
      </c>
      <c r="E3952" s="7" t="s">
        <v>70</v>
      </c>
      <c r="F3952" s="7" t="s">
        <v>49</v>
      </c>
      <c r="G3952" s="8" t="n">
        <v>45857</v>
      </c>
      <c r="H3952" s="8" t="n">
        <v>45863</v>
      </c>
      <c r="I3952" s="7" t="s">
        <v>50</v>
      </c>
      <c r="J3952" s="7" t="s">
        <v>41</v>
      </c>
      <c r="K3952" s="7" t="n">
        <v>6</v>
      </c>
      <c r="L3952" s="7" t="n">
        <v>3</v>
      </c>
      <c r="M3952" s="7" t="n">
        <v>1</v>
      </c>
      <c r="N3952" s="7" t="s">
        <v>42</v>
      </c>
      <c r="O3952" s="7" t="s">
        <v>43</v>
      </c>
      <c r="P3952" s="7" t="n">
        <v>1.4</v>
      </c>
      <c r="Q3952" s="7" t="n">
        <v>28</v>
      </c>
      <c r="R3952" s="7" t="s">
        <v>53</v>
      </c>
      <c r="S3952" s="7"/>
      <c r="T3952" s="7"/>
      <c r="U3952" s="7" t="str">
        <f aca="false">IF(COUNTIF($A$2:$A$5001,A3952)&gt;1,"Duplicate","Unique")</f>
        <v>Unique</v>
      </c>
      <c r="V3952" s="7" t="str">
        <f aca="false">IF(COUNTIFS($B$2:$B$5001,B3952,$H$2:$H$5001,H3952,$J$2:$J$5001,J3952)&gt;1,"Possible Duplicate Booking","Unique")</f>
        <v>Unique</v>
      </c>
      <c r="W3952" s="7" t="str">
        <f aca="false">IF((H3952-G3952)&lt;&gt;K3952,"Mismatch","OK")</f>
        <v>OK</v>
      </c>
      <c r="X3952" s="7" t="str">
        <f aca="false">IF(TEXT(H3952,"dddd")&lt;&gt;I3952,"Mismatch","OK")</f>
        <v>OK</v>
      </c>
      <c r="Y3952" s="7" t="str">
        <f aca="false">IF(AND(N3952="No",O3952&lt;&gt;""),"Unexpected: channel present but no reminder sent",IF(AND(N3952="Yes",O3952=""),"Missing channel for sent reminder","OK"))</f>
        <v>OK</v>
      </c>
    </row>
    <row r="3953" customFormat="false" ht="15" hidden="false" customHeight="false" outlineLevel="0" collapsed="false">
      <c r="A3953" s="9" t="s">
        <v>5620</v>
      </c>
      <c r="B3953" s="9" t="s">
        <v>1105</v>
      </c>
      <c r="C3953" s="9" t="s">
        <v>37</v>
      </c>
      <c r="D3953" s="9" t="n">
        <v>19</v>
      </c>
      <c r="E3953" s="9" t="s">
        <v>82</v>
      </c>
      <c r="F3953" s="9" t="s">
        <v>74</v>
      </c>
      <c r="G3953" s="10" t="n">
        <v>45738</v>
      </c>
      <c r="H3953" s="10" t="n">
        <v>45777</v>
      </c>
      <c r="I3953" s="9" t="s">
        <v>58</v>
      </c>
      <c r="J3953" s="9" t="s">
        <v>41</v>
      </c>
      <c r="K3953" s="9" t="n">
        <v>39</v>
      </c>
      <c r="L3953" s="9" t="n">
        <v>7</v>
      </c>
      <c r="M3953" s="9" t="n">
        <v>2</v>
      </c>
      <c r="N3953" s="9" t="s">
        <v>42</v>
      </c>
      <c r="O3953" s="9" t="s">
        <v>67</v>
      </c>
      <c r="P3953" s="9" t="n">
        <v>2.5</v>
      </c>
      <c r="Q3953" s="9" t="n">
        <v>9</v>
      </c>
      <c r="R3953" s="9" t="s">
        <v>53</v>
      </c>
      <c r="S3953" s="9"/>
      <c r="T3953" s="9"/>
      <c r="U3953" s="9" t="str">
        <f aca="false">IF(COUNTIF($A$2:$A$5001,A3953)&gt;1,"Duplicate","Unique")</f>
        <v>Unique</v>
      </c>
      <c r="V3953" s="9" t="str">
        <f aca="false">IF(COUNTIFS($B$2:$B$5001,B3953,$H$2:$H$5001,H3953,$J$2:$J$5001,J3953)&gt;1,"Possible Duplicate Booking","Unique")</f>
        <v>Unique</v>
      </c>
      <c r="W3953" s="9" t="str">
        <f aca="false">IF((H3953-G3953)&lt;&gt;K3953,"Mismatch","OK")</f>
        <v>OK</v>
      </c>
      <c r="X3953" s="9" t="str">
        <f aca="false">IF(TEXT(H3953,"dddd")&lt;&gt;I3953,"Mismatch","OK")</f>
        <v>OK</v>
      </c>
      <c r="Y3953" s="9" t="str">
        <f aca="false">IF(AND(N3953="No",O3953&lt;&gt;""),"Unexpected: channel present but no reminder sent",IF(AND(N3953="Yes",O3953=""),"Missing channel for sent reminder","OK"))</f>
        <v>OK</v>
      </c>
    </row>
    <row r="3954" customFormat="false" ht="15" hidden="false" customHeight="false" outlineLevel="0" collapsed="false">
      <c r="A3954" s="7" t="s">
        <v>5621</v>
      </c>
      <c r="B3954" s="7" t="s">
        <v>824</v>
      </c>
      <c r="C3954" s="7" t="s">
        <v>47</v>
      </c>
      <c r="D3954" s="7" t="n">
        <v>62</v>
      </c>
      <c r="E3954" s="7" t="s">
        <v>61</v>
      </c>
      <c r="F3954" s="7" t="s">
        <v>57</v>
      </c>
      <c r="G3954" s="8" t="n">
        <v>46033</v>
      </c>
      <c r="H3954" s="8" t="n">
        <v>46055</v>
      </c>
      <c r="I3954" s="7" t="s">
        <v>66</v>
      </c>
      <c r="J3954" s="7" t="s">
        <v>51</v>
      </c>
      <c r="K3954" s="7" t="n">
        <v>22</v>
      </c>
      <c r="L3954" s="7" t="n">
        <v>3</v>
      </c>
      <c r="M3954" s="7" t="n">
        <v>0</v>
      </c>
      <c r="N3954" s="7" t="s">
        <v>42</v>
      </c>
      <c r="O3954" s="7" t="s">
        <v>52</v>
      </c>
      <c r="P3954" s="7" t="n">
        <v>2.8</v>
      </c>
      <c r="Q3954" s="7" t="n">
        <v>26</v>
      </c>
      <c r="R3954" s="7" t="s">
        <v>44</v>
      </c>
      <c r="S3954" s="7"/>
      <c r="T3954" s="7"/>
      <c r="U3954" s="7" t="str">
        <f aca="false">IF(COUNTIF($A$2:$A$5001,A3954)&gt;1,"Duplicate","Unique")</f>
        <v>Unique</v>
      </c>
      <c r="V3954" s="7" t="str">
        <f aca="false">IF(COUNTIFS($B$2:$B$5001,B3954,$H$2:$H$5001,H3954,$J$2:$J$5001,J3954)&gt;1,"Possible Duplicate Booking","Unique")</f>
        <v>Unique</v>
      </c>
      <c r="W3954" s="7" t="str">
        <f aca="false">IF((H3954-G3954)&lt;&gt;K3954,"Mismatch","OK")</f>
        <v>OK</v>
      </c>
      <c r="X3954" s="7" t="str">
        <f aca="false">IF(TEXT(H3954,"dddd")&lt;&gt;I3954,"Mismatch","OK")</f>
        <v>OK</v>
      </c>
      <c r="Y3954" s="7" t="str">
        <f aca="false">IF(AND(N3954="No",O3954&lt;&gt;""),"Unexpected: channel present but no reminder sent",IF(AND(N3954="Yes",O3954=""),"Missing channel for sent reminder","OK"))</f>
        <v>OK</v>
      </c>
    </row>
    <row r="3955" customFormat="false" ht="15" hidden="false" customHeight="false" outlineLevel="0" collapsed="false">
      <c r="A3955" s="9" t="s">
        <v>5622</v>
      </c>
      <c r="B3955" s="9" t="s">
        <v>3547</v>
      </c>
      <c r="C3955" s="9" t="s">
        <v>37</v>
      </c>
      <c r="D3955" s="9" t="n">
        <v>69</v>
      </c>
      <c r="E3955" s="9" t="s">
        <v>70</v>
      </c>
      <c r="F3955" s="9" t="s">
        <v>57</v>
      </c>
      <c r="G3955" s="10" t="n">
        <v>45879</v>
      </c>
      <c r="H3955" s="10" t="n">
        <v>45911</v>
      </c>
      <c r="I3955" s="9" t="s">
        <v>62</v>
      </c>
      <c r="J3955" s="9" t="s">
        <v>41</v>
      </c>
      <c r="K3955" s="9" t="n">
        <v>32</v>
      </c>
      <c r="L3955" s="9" t="n">
        <v>2</v>
      </c>
      <c r="M3955" s="9" t="n">
        <v>0</v>
      </c>
      <c r="N3955" s="9" t="s">
        <v>71</v>
      </c>
      <c r="O3955" s="9"/>
      <c r="P3955" s="9" t="n">
        <v>12.9</v>
      </c>
      <c r="Q3955" s="9" t="n">
        <v>19</v>
      </c>
      <c r="R3955" s="9" t="s">
        <v>53</v>
      </c>
      <c r="S3955" s="9"/>
      <c r="T3955" s="9"/>
      <c r="U3955" s="9" t="str">
        <f aca="false">IF(COUNTIF($A$2:$A$5001,A3955)&gt;1,"Duplicate","Unique")</f>
        <v>Unique</v>
      </c>
      <c r="V3955" s="9" t="str">
        <f aca="false">IF(COUNTIFS($B$2:$B$5001,B3955,$H$2:$H$5001,H3955,$J$2:$J$5001,J3955)&gt;1,"Possible Duplicate Booking","Unique")</f>
        <v>Unique</v>
      </c>
      <c r="W3955" s="9" t="str">
        <f aca="false">IF((H3955-G3955)&lt;&gt;K3955,"Mismatch","OK")</f>
        <v>OK</v>
      </c>
      <c r="X3955" s="9" t="str">
        <f aca="false">IF(TEXT(H3955,"dddd")&lt;&gt;I3955,"Mismatch","OK")</f>
        <v>OK</v>
      </c>
      <c r="Y3955" s="9" t="str">
        <f aca="false">IF(AND(N3955="No",O3955&lt;&gt;""),"Unexpected: channel present but no reminder sent",IF(AND(N3955="Yes",O3955=""),"Missing channel for sent reminder","OK"))</f>
        <v>OK</v>
      </c>
    </row>
    <row r="3956" customFormat="false" ht="15" hidden="false" customHeight="false" outlineLevel="0" collapsed="false">
      <c r="A3956" s="7" t="s">
        <v>5623</v>
      </c>
      <c r="B3956" s="7" t="s">
        <v>597</v>
      </c>
      <c r="C3956" s="7" t="s">
        <v>47</v>
      </c>
      <c r="D3956" s="7" t="n">
        <v>72</v>
      </c>
      <c r="E3956" s="7" t="s">
        <v>70</v>
      </c>
      <c r="F3956" s="7" t="s">
        <v>49</v>
      </c>
      <c r="G3956" s="8" t="n">
        <v>45927</v>
      </c>
      <c r="H3956" s="8" t="n">
        <v>45981</v>
      </c>
      <c r="I3956" s="7" t="s">
        <v>62</v>
      </c>
      <c r="J3956" s="7" t="s">
        <v>51</v>
      </c>
      <c r="K3956" s="7" t="n">
        <v>54</v>
      </c>
      <c r="L3956" s="7" t="n">
        <v>3</v>
      </c>
      <c r="M3956" s="7" t="n">
        <v>1</v>
      </c>
      <c r="N3956" s="7" t="s">
        <v>42</v>
      </c>
      <c r="O3956" s="7" t="s">
        <v>52</v>
      </c>
      <c r="P3956" s="7"/>
      <c r="Q3956" s="7" t="n">
        <v>22</v>
      </c>
      <c r="R3956" s="7" t="s">
        <v>53</v>
      </c>
      <c r="S3956" s="7"/>
      <c r="T3956" s="7"/>
      <c r="U3956" s="7" t="str">
        <f aca="false">IF(COUNTIF($A$2:$A$5001,A3956)&gt;1,"Duplicate","Unique")</f>
        <v>Unique</v>
      </c>
      <c r="V3956" s="7" t="str">
        <f aca="false">IF(COUNTIFS($B$2:$B$5001,B3956,$H$2:$H$5001,H3956,$J$2:$J$5001,J3956)&gt;1,"Possible Duplicate Booking","Unique")</f>
        <v>Unique</v>
      </c>
      <c r="W3956" s="7" t="str">
        <f aca="false">IF((H3956-G3956)&lt;&gt;K3956,"Mismatch","OK")</f>
        <v>OK</v>
      </c>
      <c r="X3956" s="7" t="str">
        <f aca="false">IF(TEXT(H3956,"dddd")&lt;&gt;I3956,"Mismatch","OK")</f>
        <v>OK</v>
      </c>
      <c r="Y3956" s="7" t="str">
        <f aca="false">IF(AND(N3956="No",O3956&lt;&gt;""),"Unexpected: channel present but no reminder sent",IF(AND(N3956="Yes",O3956=""),"Missing channel for sent reminder","OK"))</f>
        <v>OK</v>
      </c>
    </row>
    <row r="3957" customFormat="false" ht="15" hidden="false" customHeight="false" outlineLevel="0" collapsed="false">
      <c r="A3957" s="9" t="s">
        <v>5624</v>
      </c>
      <c r="B3957" s="9" t="s">
        <v>4086</v>
      </c>
      <c r="C3957" s="9" t="s">
        <v>47</v>
      </c>
      <c r="D3957" s="9" t="n">
        <v>30</v>
      </c>
      <c r="E3957" s="9" t="s">
        <v>48</v>
      </c>
      <c r="F3957" s="9" t="s">
        <v>57</v>
      </c>
      <c r="G3957" s="10" t="n">
        <v>46158</v>
      </c>
      <c r="H3957" s="10" t="n">
        <v>46172</v>
      </c>
      <c r="I3957" s="9" t="s">
        <v>102</v>
      </c>
      <c r="J3957" s="9" t="s">
        <v>41</v>
      </c>
      <c r="K3957" s="9" t="n">
        <v>14</v>
      </c>
      <c r="L3957" s="9" t="n">
        <v>5</v>
      </c>
      <c r="M3957" s="9" t="n">
        <v>0</v>
      </c>
      <c r="N3957" s="9" t="s">
        <v>42</v>
      </c>
      <c r="O3957" s="9" t="s">
        <v>67</v>
      </c>
      <c r="P3957" s="9" t="n">
        <v>11.1</v>
      </c>
      <c r="Q3957" s="9" t="n">
        <v>36</v>
      </c>
      <c r="R3957" s="9" t="s">
        <v>87</v>
      </c>
      <c r="S3957" s="9"/>
      <c r="T3957" s="9"/>
      <c r="U3957" s="9" t="str">
        <f aca="false">IF(COUNTIF($A$2:$A$5001,A3957)&gt;1,"Duplicate","Unique")</f>
        <v>Unique</v>
      </c>
      <c r="V3957" s="9" t="str">
        <f aca="false">IF(COUNTIFS($B$2:$B$5001,B3957,$H$2:$H$5001,H3957,$J$2:$J$5001,J3957)&gt;1,"Possible Duplicate Booking","Unique")</f>
        <v>Unique</v>
      </c>
      <c r="W3957" s="9" t="str">
        <f aca="false">IF((H3957-G3957)&lt;&gt;K3957,"Mismatch","OK")</f>
        <v>OK</v>
      </c>
      <c r="X3957" s="9" t="str">
        <f aca="false">IF(TEXT(H3957,"dddd")&lt;&gt;I3957,"Mismatch","OK")</f>
        <v>OK</v>
      </c>
      <c r="Y3957" s="9" t="str">
        <f aca="false">IF(AND(N3957="No",O3957&lt;&gt;""),"Unexpected: channel present but no reminder sent",IF(AND(N3957="Yes",O3957=""),"Missing channel for sent reminder","OK"))</f>
        <v>OK</v>
      </c>
    </row>
    <row r="3958" customFormat="false" ht="15" hidden="false" customHeight="false" outlineLevel="0" collapsed="false">
      <c r="A3958" s="7" t="s">
        <v>5625</v>
      </c>
      <c r="B3958" s="7" t="s">
        <v>1498</v>
      </c>
      <c r="C3958" s="7" t="s">
        <v>47</v>
      </c>
      <c r="D3958" s="7" t="n">
        <v>65</v>
      </c>
      <c r="E3958" s="7" t="s">
        <v>70</v>
      </c>
      <c r="F3958" s="7" t="s">
        <v>57</v>
      </c>
      <c r="G3958" s="8" t="n">
        <v>45903</v>
      </c>
      <c r="H3958" s="8" t="n">
        <v>45942</v>
      </c>
      <c r="I3958" s="7" t="s">
        <v>75</v>
      </c>
      <c r="J3958" s="7" t="s">
        <v>41</v>
      </c>
      <c r="K3958" s="7" t="n">
        <v>39</v>
      </c>
      <c r="L3958" s="7" t="n">
        <v>5</v>
      </c>
      <c r="M3958" s="7" t="n">
        <v>0</v>
      </c>
      <c r="N3958" s="7" t="s">
        <v>42</v>
      </c>
      <c r="O3958" s="7" t="s">
        <v>43</v>
      </c>
      <c r="P3958" s="7" t="n">
        <v>5.9</v>
      </c>
      <c r="Q3958" s="7" t="n">
        <v>28</v>
      </c>
      <c r="R3958" s="7" t="s">
        <v>53</v>
      </c>
      <c r="S3958" s="7"/>
      <c r="T3958" s="7"/>
      <c r="U3958" s="7" t="str">
        <f aca="false">IF(COUNTIF($A$2:$A$5001,A3958)&gt;1,"Duplicate","Unique")</f>
        <v>Unique</v>
      </c>
      <c r="V3958" s="7" t="str">
        <f aca="false">IF(COUNTIFS($B$2:$B$5001,B3958,$H$2:$H$5001,H3958,$J$2:$J$5001,J3958)&gt;1,"Possible Duplicate Booking","Unique")</f>
        <v>Unique</v>
      </c>
      <c r="W3958" s="7" t="str">
        <f aca="false">IF((H3958-G3958)&lt;&gt;K3958,"Mismatch","OK")</f>
        <v>OK</v>
      </c>
      <c r="X3958" s="7" t="str">
        <f aca="false">IF(TEXT(H3958,"dddd")&lt;&gt;I3958,"Mismatch","OK")</f>
        <v>OK</v>
      </c>
      <c r="Y3958" s="7" t="str">
        <f aca="false">IF(AND(N3958="No",O3958&lt;&gt;""),"Unexpected: channel present but no reminder sent",IF(AND(N3958="Yes",O3958=""),"Missing channel for sent reminder","OK"))</f>
        <v>OK</v>
      </c>
    </row>
    <row r="3959" customFormat="false" ht="15" hidden="false" customHeight="false" outlineLevel="0" collapsed="false">
      <c r="A3959" s="9" t="s">
        <v>5626</v>
      </c>
      <c r="B3959" s="9" t="s">
        <v>1514</v>
      </c>
      <c r="C3959" s="9" t="s">
        <v>236</v>
      </c>
      <c r="D3959" s="9" t="n">
        <v>67</v>
      </c>
      <c r="E3959" s="9" t="s">
        <v>70</v>
      </c>
      <c r="F3959" s="9" t="s">
        <v>57</v>
      </c>
      <c r="G3959" s="10" t="n">
        <v>46008</v>
      </c>
      <c r="H3959" s="10" t="n">
        <v>46058</v>
      </c>
      <c r="I3959" s="9" t="s">
        <v>62</v>
      </c>
      <c r="J3959" s="9" t="s">
        <v>63</v>
      </c>
      <c r="K3959" s="9" t="n">
        <v>50</v>
      </c>
      <c r="L3959" s="9" t="n">
        <v>2</v>
      </c>
      <c r="M3959" s="9" t="n">
        <v>0</v>
      </c>
      <c r="N3959" s="9" t="s">
        <v>71</v>
      </c>
      <c r="O3959" s="9"/>
      <c r="P3959" s="9" t="n">
        <v>20</v>
      </c>
      <c r="Q3959" s="9" t="n">
        <v>34</v>
      </c>
      <c r="R3959" s="9" t="s">
        <v>44</v>
      </c>
      <c r="S3959" s="9"/>
      <c r="T3959" s="9"/>
      <c r="U3959" s="9" t="str">
        <f aca="false">IF(COUNTIF($A$2:$A$5001,A3959)&gt;1,"Duplicate","Unique")</f>
        <v>Unique</v>
      </c>
      <c r="V3959" s="9" t="str">
        <f aca="false">IF(COUNTIFS($B$2:$B$5001,B3959,$H$2:$H$5001,H3959,$J$2:$J$5001,J3959)&gt;1,"Possible Duplicate Booking","Unique")</f>
        <v>Unique</v>
      </c>
      <c r="W3959" s="9" t="str">
        <f aca="false">IF((H3959-G3959)&lt;&gt;K3959,"Mismatch","OK")</f>
        <v>OK</v>
      </c>
      <c r="X3959" s="9" t="str">
        <f aca="false">IF(TEXT(H3959,"dddd")&lt;&gt;I3959,"Mismatch","OK")</f>
        <v>OK</v>
      </c>
      <c r="Y3959" s="9" t="str">
        <f aca="false">IF(AND(N3959="No",O3959&lt;&gt;""),"Unexpected: channel present but no reminder sent",IF(AND(N3959="Yes",O3959=""),"Missing channel for sent reminder","OK"))</f>
        <v>OK</v>
      </c>
    </row>
    <row r="3960" customFormat="false" ht="15" hidden="false" customHeight="false" outlineLevel="0" collapsed="false">
      <c r="A3960" s="7" t="s">
        <v>5627</v>
      </c>
      <c r="B3960" s="7" t="s">
        <v>2493</v>
      </c>
      <c r="C3960" s="7" t="s">
        <v>47</v>
      </c>
      <c r="D3960" s="7" t="n">
        <v>18</v>
      </c>
      <c r="E3960" s="7" t="s">
        <v>82</v>
      </c>
      <c r="F3960" s="7" t="s">
        <v>74</v>
      </c>
      <c r="G3960" s="8" t="n">
        <v>45686</v>
      </c>
      <c r="H3960" s="8" t="n">
        <v>45711</v>
      </c>
      <c r="I3960" s="7" t="s">
        <v>75</v>
      </c>
      <c r="J3960" s="7" t="s">
        <v>63</v>
      </c>
      <c r="K3960" s="7" t="n">
        <v>25</v>
      </c>
      <c r="L3960" s="7" t="n">
        <v>4</v>
      </c>
      <c r="M3960" s="7" t="n">
        <v>0</v>
      </c>
      <c r="N3960" s="7" t="s">
        <v>42</v>
      </c>
      <c r="O3960" s="7" t="s">
        <v>43</v>
      </c>
      <c r="P3960" s="7" t="n">
        <v>20.5</v>
      </c>
      <c r="Q3960" s="7" t="n">
        <v>30</v>
      </c>
      <c r="R3960" s="7" t="s">
        <v>44</v>
      </c>
      <c r="S3960" s="7"/>
      <c r="T3960" s="7"/>
      <c r="U3960" s="7" t="str">
        <f aca="false">IF(COUNTIF($A$2:$A$5001,A3960)&gt;1,"Duplicate","Unique")</f>
        <v>Unique</v>
      </c>
      <c r="V3960" s="7" t="str">
        <f aca="false">IF(COUNTIFS($B$2:$B$5001,B3960,$H$2:$H$5001,H3960,$J$2:$J$5001,J3960)&gt;1,"Possible Duplicate Booking","Unique")</f>
        <v>Unique</v>
      </c>
      <c r="W3960" s="7" t="str">
        <f aca="false">IF((H3960-G3960)&lt;&gt;K3960,"Mismatch","OK")</f>
        <v>OK</v>
      </c>
      <c r="X3960" s="7" t="str">
        <f aca="false">IF(TEXT(H3960,"dddd")&lt;&gt;I3960,"Mismatch","OK")</f>
        <v>OK</v>
      </c>
      <c r="Y3960" s="7" t="str">
        <f aca="false">IF(AND(N3960="No",O3960&lt;&gt;""),"Unexpected: channel present but no reminder sent",IF(AND(N3960="Yes",O3960=""),"Missing channel for sent reminder","OK"))</f>
        <v>OK</v>
      </c>
    </row>
    <row r="3961" customFormat="false" ht="15" hidden="false" customHeight="false" outlineLevel="0" collapsed="false">
      <c r="A3961" s="9" t="s">
        <v>5628</v>
      </c>
      <c r="B3961" s="9" t="s">
        <v>5629</v>
      </c>
      <c r="C3961" s="9" t="s">
        <v>37</v>
      </c>
      <c r="D3961" s="9" t="n">
        <v>62</v>
      </c>
      <c r="E3961" s="9" t="s">
        <v>61</v>
      </c>
      <c r="F3961" s="9" t="s">
        <v>57</v>
      </c>
      <c r="G3961" s="10" t="n">
        <v>45716</v>
      </c>
      <c r="H3961" s="10" t="n">
        <v>45775</v>
      </c>
      <c r="I3961" s="9" t="s">
        <v>66</v>
      </c>
      <c r="J3961" s="9" t="s">
        <v>51</v>
      </c>
      <c r="K3961" s="9" t="n">
        <v>59</v>
      </c>
      <c r="L3961" s="9" t="n">
        <v>4</v>
      </c>
      <c r="M3961" s="9" t="n">
        <v>0</v>
      </c>
      <c r="N3961" s="9" t="s">
        <v>42</v>
      </c>
      <c r="O3961" s="9" t="s">
        <v>67</v>
      </c>
      <c r="P3961" s="9" t="n">
        <v>22.6</v>
      </c>
      <c r="Q3961" s="9" t="n">
        <v>16</v>
      </c>
      <c r="R3961" s="9" t="s">
        <v>44</v>
      </c>
      <c r="S3961" s="9"/>
      <c r="T3961" s="9"/>
      <c r="U3961" s="9" t="str">
        <f aca="false">IF(COUNTIF($A$2:$A$5001,A3961)&gt;1,"Duplicate","Unique")</f>
        <v>Unique</v>
      </c>
      <c r="V3961" s="9" t="str">
        <f aca="false">IF(COUNTIFS($B$2:$B$5001,B3961,$H$2:$H$5001,H3961,$J$2:$J$5001,J3961)&gt;1,"Possible Duplicate Booking","Unique")</f>
        <v>Unique</v>
      </c>
      <c r="W3961" s="9" t="str">
        <f aca="false">IF((H3961-G3961)&lt;&gt;K3961,"Mismatch","OK")</f>
        <v>OK</v>
      </c>
      <c r="X3961" s="9" t="str">
        <f aca="false">IF(TEXT(H3961,"dddd")&lt;&gt;I3961,"Mismatch","OK")</f>
        <v>OK</v>
      </c>
      <c r="Y3961" s="9" t="str">
        <f aca="false">IF(AND(N3961="No",O3961&lt;&gt;""),"Unexpected: channel present but no reminder sent",IF(AND(N3961="Yes",O3961=""),"Missing channel for sent reminder","OK"))</f>
        <v>OK</v>
      </c>
    </row>
    <row r="3962" customFormat="false" ht="15" hidden="false" customHeight="false" outlineLevel="0" collapsed="false">
      <c r="A3962" s="7" t="s">
        <v>5630</v>
      </c>
      <c r="B3962" s="7" t="s">
        <v>1286</v>
      </c>
      <c r="C3962" s="7" t="s">
        <v>37</v>
      </c>
      <c r="D3962" s="7" t="n">
        <v>57</v>
      </c>
      <c r="E3962" s="7" t="s">
        <v>61</v>
      </c>
      <c r="F3962" s="7" t="s">
        <v>39</v>
      </c>
      <c r="G3962" s="8" t="n">
        <v>46147</v>
      </c>
      <c r="H3962" s="8" t="n">
        <v>46174</v>
      </c>
      <c r="I3962" s="7" t="s">
        <v>66</v>
      </c>
      <c r="J3962" s="7" t="s">
        <v>51</v>
      </c>
      <c r="K3962" s="7" t="n">
        <v>27</v>
      </c>
      <c r="L3962" s="7" t="n">
        <v>2</v>
      </c>
      <c r="M3962" s="7" t="n">
        <v>0</v>
      </c>
      <c r="N3962" s="7" t="s">
        <v>71</v>
      </c>
      <c r="O3962" s="7"/>
      <c r="P3962" s="7" t="n">
        <v>4.1</v>
      </c>
      <c r="Q3962" s="7" t="n">
        <v>10</v>
      </c>
      <c r="R3962" s="7" t="s">
        <v>44</v>
      </c>
      <c r="S3962" s="7"/>
      <c r="T3962" s="7"/>
      <c r="U3962" s="7" t="str">
        <f aca="false">IF(COUNTIF($A$2:$A$5001,A3962)&gt;1,"Duplicate","Unique")</f>
        <v>Unique</v>
      </c>
      <c r="V3962" s="7" t="str">
        <f aca="false">IF(COUNTIFS($B$2:$B$5001,B3962,$H$2:$H$5001,H3962,$J$2:$J$5001,J3962)&gt;1,"Possible Duplicate Booking","Unique")</f>
        <v>Unique</v>
      </c>
      <c r="W3962" s="7" t="str">
        <f aca="false">IF((H3962-G3962)&lt;&gt;K3962,"Mismatch","OK")</f>
        <v>OK</v>
      </c>
      <c r="X3962" s="7" t="str">
        <f aca="false">IF(TEXT(H3962,"dddd")&lt;&gt;I3962,"Mismatch","OK")</f>
        <v>OK</v>
      </c>
      <c r="Y3962" s="7" t="str">
        <f aca="false">IF(AND(N3962="No",O3962&lt;&gt;""),"Unexpected: channel present but no reminder sent",IF(AND(N3962="Yes",O3962=""),"Missing channel for sent reminder","OK"))</f>
        <v>OK</v>
      </c>
    </row>
    <row r="3963" customFormat="false" ht="15" hidden="false" customHeight="false" outlineLevel="0" collapsed="false">
      <c r="A3963" s="9" t="s">
        <v>5631</v>
      </c>
      <c r="B3963" s="9" t="s">
        <v>795</v>
      </c>
      <c r="C3963" s="9" t="s">
        <v>47</v>
      </c>
      <c r="D3963" s="9" t="n">
        <v>79</v>
      </c>
      <c r="E3963" s="9" t="s">
        <v>70</v>
      </c>
      <c r="F3963" s="9" t="s">
        <v>39</v>
      </c>
      <c r="G3963" s="10" t="n">
        <v>46099</v>
      </c>
      <c r="H3963" s="10" t="n">
        <v>46127</v>
      </c>
      <c r="I3963" s="9" t="s">
        <v>58</v>
      </c>
      <c r="J3963" s="9" t="s">
        <v>63</v>
      </c>
      <c r="K3963" s="9" t="n">
        <v>28</v>
      </c>
      <c r="L3963" s="9" t="n">
        <v>1</v>
      </c>
      <c r="M3963" s="9" t="n">
        <v>0</v>
      </c>
      <c r="N3963" s="9" t="s">
        <v>42</v>
      </c>
      <c r="O3963" s="9" t="s">
        <v>52</v>
      </c>
      <c r="P3963" s="9" t="n">
        <v>3.1</v>
      </c>
      <c r="Q3963" s="9" t="n">
        <v>21</v>
      </c>
      <c r="R3963" s="9" t="s">
        <v>53</v>
      </c>
      <c r="S3963" s="9"/>
      <c r="T3963" s="9"/>
      <c r="U3963" s="9" t="str">
        <f aca="false">IF(COUNTIF($A$2:$A$5001,A3963)&gt;1,"Duplicate","Unique")</f>
        <v>Unique</v>
      </c>
      <c r="V3963" s="9" t="str">
        <f aca="false">IF(COUNTIFS($B$2:$B$5001,B3963,$H$2:$H$5001,H3963,$J$2:$J$5001,J3963)&gt;1,"Possible Duplicate Booking","Unique")</f>
        <v>Unique</v>
      </c>
      <c r="W3963" s="9" t="str">
        <f aca="false">IF((H3963-G3963)&lt;&gt;K3963,"Mismatch","OK")</f>
        <v>OK</v>
      </c>
      <c r="X3963" s="9" t="str">
        <f aca="false">IF(TEXT(H3963,"dddd")&lt;&gt;I3963,"Mismatch","OK")</f>
        <v>OK</v>
      </c>
      <c r="Y3963" s="9" t="str">
        <f aca="false">IF(AND(N3963="No",O3963&lt;&gt;""),"Unexpected: channel present but no reminder sent",IF(AND(N3963="Yes",O3963=""),"Missing channel for sent reminder","OK"))</f>
        <v>OK</v>
      </c>
    </row>
    <row r="3964" customFormat="false" ht="15" hidden="false" customHeight="false" outlineLevel="0" collapsed="false">
      <c r="A3964" s="7" t="s">
        <v>5632</v>
      </c>
      <c r="B3964" s="7" t="s">
        <v>5633</v>
      </c>
      <c r="C3964" s="7" t="s">
        <v>37</v>
      </c>
      <c r="D3964" s="7" t="n">
        <v>20</v>
      </c>
      <c r="E3964" s="7" t="s">
        <v>82</v>
      </c>
      <c r="F3964" s="7" t="s">
        <v>39</v>
      </c>
      <c r="G3964" s="8" t="n">
        <v>45963</v>
      </c>
      <c r="H3964" s="8" t="n">
        <v>46016</v>
      </c>
      <c r="I3964" s="7" t="s">
        <v>62</v>
      </c>
      <c r="J3964" s="7" t="s">
        <v>51</v>
      </c>
      <c r="K3964" s="7" t="n">
        <v>53</v>
      </c>
      <c r="L3964" s="7" t="n">
        <v>3</v>
      </c>
      <c r="M3964" s="7" t="n">
        <v>0</v>
      </c>
      <c r="N3964" s="7" t="s">
        <v>42</v>
      </c>
      <c r="O3964" s="7" t="s">
        <v>52</v>
      </c>
      <c r="P3964" s="7" t="n">
        <v>2.2</v>
      </c>
      <c r="Q3964" s="7" t="n">
        <v>21</v>
      </c>
      <c r="R3964" s="7" t="s">
        <v>87</v>
      </c>
      <c r="S3964" s="7"/>
      <c r="T3964" s="7"/>
      <c r="U3964" s="7" t="str">
        <f aca="false">IF(COUNTIF($A$2:$A$5001,A3964)&gt;1,"Duplicate","Unique")</f>
        <v>Unique</v>
      </c>
      <c r="V3964" s="7" t="str">
        <f aca="false">IF(COUNTIFS($B$2:$B$5001,B3964,$H$2:$H$5001,H3964,$J$2:$J$5001,J3964)&gt;1,"Possible Duplicate Booking","Unique")</f>
        <v>Unique</v>
      </c>
      <c r="W3964" s="7" t="str">
        <f aca="false">IF((H3964-G3964)&lt;&gt;K3964,"Mismatch","OK")</f>
        <v>OK</v>
      </c>
      <c r="X3964" s="7" t="str">
        <f aca="false">IF(TEXT(H3964,"dddd")&lt;&gt;I3964,"Mismatch","OK")</f>
        <v>OK</v>
      </c>
      <c r="Y3964" s="7" t="str">
        <f aca="false">IF(AND(N3964="No",O3964&lt;&gt;""),"Unexpected: channel present but no reminder sent",IF(AND(N3964="Yes",O3964=""),"Missing channel for sent reminder","OK"))</f>
        <v>OK</v>
      </c>
    </row>
    <row r="3965" customFormat="false" ht="15" hidden="false" customHeight="false" outlineLevel="0" collapsed="false">
      <c r="A3965" s="9" t="s">
        <v>5634</v>
      </c>
      <c r="B3965" s="9" t="s">
        <v>2522</v>
      </c>
      <c r="C3965" s="9" t="s">
        <v>47</v>
      </c>
      <c r="D3965" s="9" t="n">
        <v>78</v>
      </c>
      <c r="E3965" s="9" t="s">
        <v>70</v>
      </c>
      <c r="F3965" s="9" t="s">
        <v>57</v>
      </c>
      <c r="G3965" s="10" t="n">
        <v>45826</v>
      </c>
      <c r="H3965" s="10" t="n">
        <v>45864</v>
      </c>
      <c r="I3965" s="9" t="s">
        <v>102</v>
      </c>
      <c r="J3965" s="9" t="s">
        <v>51</v>
      </c>
      <c r="K3965" s="9" t="n">
        <v>38</v>
      </c>
      <c r="L3965" s="9" t="n">
        <v>2</v>
      </c>
      <c r="M3965" s="9" t="n">
        <v>1</v>
      </c>
      <c r="N3965" s="9" t="s">
        <v>42</v>
      </c>
      <c r="O3965" s="9" t="s">
        <v>52</v>
      </c>
      <c r="P3965" s="9" t="n">
        <v>3.1</v>
      </c>
      <c r="Q3965" s="9" t="n">
        <v>18</v>
      </c>
      <c r="R3965" s="9" t="s">
        <v>44</v>
      </c>
      <c r="S3965" s="9"/>
      <c r="T3965" s="9"/>
      <c r="U3965" s="9" t="str">
        <f aca="false">IF(COUNTIF($A$2:$A$5001,A3965)&gt;1,"Duplicate","Unique")</f>
        <v>Unique</v>
      </c>
      <c r="V3965" s="9" t="str">
        <f aca="false">IF(COUNTIFS($B$2:$B$5001,B3965,$H$2:$H$5001,H3965,$J$2:$J$5001,J3965)&gt;1,"Possible Duplicate Booking","Unique")</f>
        <v>Unique</v>
      </c>
      <c r="W3965" s="9" t="str">
        <f aca="false">IF((H3965-G3965)&lt;&gt;K3965,"Mismatch","OK")</f>
        <v>OK</v>
      </c>
      <c r="X3965" s="9" t="str">
        <f aca="false">IF(TEXT(H3965,"dddd")&lt;&gt;I3965,"Mismatch","OK")</f>
        <v>OK</v>
      </c>
      <c r="Y3965" s="9" t="str">
        <f aca="false">IF(AND(N3965="No",O3965&lt;&gt;""),"Unexpected: channel present but no reminder sent",IF(AND(N3965="Yes",O3965=""),"Missing channel for sent reminder","OK"))</f>
        <v>OK</v>
      </c>
    </row>
    <row r="3966" customFormat="false" ht="15" hidden="false" customHeight="false" outlineLevel="0" collapsed="false">
      <c r="A3966" s="7" t="s">
        <v>5635</v>
      </c>
      <c r="B3966" s="7" t="s">
        <v>1738</v>
      </c>
      <c r="C3966" s="7" t="s">
        <v>37</v>
      </c>
      <c r="D3966" s="7" t="n">
        <v>53</v>
      </c>
      <c r="E3966" s="7" t="s">
        <v>56</v>
      </c>
      <c r="F3966" s="7" t="s">
        <v>49</v>
      </c>
      <c r="G3966" s="8" t="n">
        <v>45715</v>
      </c>
      <c r="H3966" s="8" t="n">
        <v>45767</v>
      </c>
      <c r="I3966" s="7" t="s">
        <v>75</v>
      </c>
      <c r="J3966" s="7" t="s">
        <v>51</v>
      </c>
      <c r="K3966" s="7" t="n">
        <v>52</v>
      </c>
      <c r="L3966" s="7" t="n">
        <v>1</v>
      </c>
      <c r="M3966" s="7" t="n">
        <v>0</v>
      </c>
      <c r="N3966" s="7" t="s">
        <v>42</v>
      </c>
      <c r="O3966" s="7" t="s">
        <v>52</v>
      </c>
      <c r="P3966" s="7" t="n">
        <v>1.6</v>
      </c>
      <c r="Q3966" s="7" t="n">
        <v>16</v>
      </c>
      <c r="R3966" s="7" t="s">
        <v>44</v>
      </c>
      <c r="S3966" s="7"/>
      <c r="T3966" s="7"/>
      <c r="U3966" s="7" t="str">
        <f aca="false">IF(COUNTIF($A$2:$A$5001,A3966)&gt;1,"Duplicate","Unique")</f>
        <v>Unique</v>
      </c>
      <c r="V3966" s="7" t="str">
        <f aca="false">IF(COUNTIFS($B$2:$B$5001,B3966,$H$2:$H$5001,H3966,$J$2:$J$5001,J3966)&gt;1,"Possible Duplicate Booking","Unique")</f>
        <v>Unique</v>
      </c>
      <c r="W3966" s="7" t="str">
        <f aca="false">IF((H3966-G3966)&lt;&gt;K3966,"Mismatch","OK")</f>
        <v>OK</v>
      </c>
      <c r="X3966" s="7" t="str">
        <f aca="false">IF(TEXT(H3966,"dddd")&lt;&gt;I3966,"Mismatch","OK")</f>
        <v>OK</v>
      </c>
      <c r="Y3966" s="7" t="str">
        <f aca="false">IF(AND(N3966="No",O3966&lt;&gt;""),"Unexpected: channel present but no reminder sent",IF(AND(N3966="Yes",O3966=""),"Missing channel for sent reminder","OK"))</f>
        <v>OK</v>
      </c>
    </row>
    <row r="3967" customFormat="false" ht="15" hidden="false" customHeight="false" outlineLevel="0" collapsed="false">
      <c r="A3967" s="9" t="s">
        <v>5636</v>
      </c>
      <c r="B3967" s="9" t="s">
        <v>5356</v>
      </c>
      <c r="C3967" s="9" t="s">
        <v>37</v>
      </c>
      <c r="D3967" s="9" t="n">
        <v>35</v>
      </c>
      <c r="E3967" s="9" t="s">
        <v>38</v>
      </c>
      <c r="F3967" s="9" t="s">
        <v>49</v>
      </c>
      <c r="G3967" s="10" t="n">
        <v>46075</v>
      </c>
      <c r="H3967" s="10" t="n">
        <v>46123</v>
      </c>
      <c r="I3967" s="9" t="s">
        <v>102</v>
      </c>
      <c r="J3967" s="9" t="s">
        <v>41</v>
      </c>
      <c r="K3967" s="9" t="n">
        <v>48</v>
      </c>
      <c r="L3967" s="9" t="n">
        <v>0</v>
      </c>
      <c r="M3967" s="9" t="n">
        <v>0</v>
      </c>
      <c r="N3967" s="9" t="s">
        <v>42</v>
      </c>
      <c r="O3967" s="9" t="s">
        <v>43</v>
      </c>
      <c r="P3967" s="9" t="n">
        <v>15.5</v>
      </c>
      <c r="Q3967" s="9" t="n">
        <v>25</v>
      </c>
      <c r="R3967" s="9" t="s">
        <v>44</v>
      </c>
      <c r="S3967" s="9"/>
      <c r="T3967" s="9"/>
      <c r="U3967" s="9" t="str">
        <f aca="false">IF(COUNTIF($A$2:$A$5001,A3967)&gt;1,"Duplicate","Unique")</f>
        <v>Unique</v>
      </c>
      <c r="V3967" s="9" t="str">
        <f aca="false">IF(COUNTIFS($B$2:$B$5001,B3967,$H$2:$H$5001,H3967,$J$2:$J$5001,J3967)&gt;1,"Possible Duplicate Booking","Unique")</f>
        <v>Unique</v>
      </c>
      <c r="W3967" s="9" t="str">
        <f aca="false">IF((H3967-G3967)&lt;&gt;K3967,"Mismatch","OK")</f>
        <v>OK</v>
      </c>
      <c r="X3967" s="9" t="str">
        <f aca="false">IF(TEXT(H3967,"dddd")&lt;&gt;I3967,"Mismatch","OK")</f>
        <v>OK</v>
      </c>
      <c r="Y3967" s="9" t="str">
        <f aca="false">IF(AND(N3967="No",O3967&lt;&gt;""),"Unexpected: channel present but no reminder sent",IF(AND(N3967="Yes",O3967=""),"Missing channel for sent reminder","OK"))</f>
        <v>OK</v>
      </c>
    </row>
    <row r="3968" customFormat="false" ht="15" hidden="false" customHeight="false" outlineLevel="0" collapsed="false">
      <c r="A3968" s="7" t="s">
        <v>5637</v>
      </c>
      <c r="B3968" s="7" t="s">
        <v>4628</v>
      </c>
      <c r="C3968" s="7" t="s">
        <v>47</v>
      </c>
      <c r="D3968" s="7" t="n">
        <v>42</v>
      </c>
      <c r="E3968" s="7" t="s">
        <v>38</v>
      </c>
      <c r="F3968" s="7" t="s">
        <v>39</v>
      </c>
      <c r="G3968" s="8" t="n">
        <v>46043</v>
      </c>
      <c r="H3968" s="8" t="n">
        <v>46086</v>
      </c>
      <c r="I3968" s="7" t="s">
        <v>62</v>
      </c>
      <c r="J3968" s="7" t="s">
        <v>41</v>
      </c>
      <c r="K3968" s="7" t="n">
        <v>43</v>
      </c>
      <c r="L3968" s="7" t="n">
        <v>6</v>
      </c>
      <c r="M3968" s="7" t="n">
        <v>2</v>
      </c>
      <c r="N3968" s="7" t="s">
        <v>71</v>
      </c>
      <c r="O3968" s="7"/>
      <c r="P3968" s="7" t="n">
        <v>10.9</v>
      </c>
      <c r="Q3968" s="7" t="n">
        <v>39</v>
      </c>
      <c r="R3968" s="7" t="s">
        <v>44</v>
      </c>
      <c r="S3968" s="7"/>
      <c r="T3968" s="7"/>
      <c r="U3968" s="7" t="str">
        <f aca="false">IF(COUNTIF($A$2:$A$5001,A3968)&gt;1,"Duplicate","Unique")</f>
        <v>Unique</v>
      </c>
      <c r="V3968" s="7" t="str">
        <f aca="false">IF(COUNTIFS($B$2:$B$5001,B3968,$H$2:$H$5001,H3968,$J$2:$J$5001,J3968)&gt;1,"Possible Duplicate Booking","Unique")</f>
        <v>Unique</v>
      </c>
      <c r="W3968" s="7" t="str">
        <f aca="false">IF((H3968-G3968)&lt;&gt;K3968,"Mismatch","OK")</f>
        <v>OK</v>
      </c>
      <c r="X3968" s="7" t="str">
        <f aca="false">IF(TEXT(H3968,"dddd")&lt;&gt;I3968,"Mismatch","OK")</f>
        <v>OK</v>
      </c>
      <c r="Y3968" s="7" t="str">
        <f aca="false">IF(AND(N3968="No",O3968&lt;&gt;""),"Unexpected: channel present but no reminder sent",IF(AND(N3968="Yes",O3968=""),"Missing channel for sent reminder","OK"))</f>
        <v>OK</v>
      </c>
    </row>
    <row r="3969" customFormat="false" ht="15" hidden="false" customHeight="false" outlineLevel="0" collapsed="false">
      <c r="A3969" s="9" t="s">
        <v>5638</v>
      </c>
      <c r="B3969" s="9" t="s">
        <v>2898</v>
      </c>
      <c r="C3969" s="9" t="s">
        <v>47</v>
      </c>
      <c r="D3969" s="9" t="n">
        <v>66</v>
      </c>
      <c r="E3969" s="9" t="s">
        <v>70</v>
      </c>
      <c r="F3969" s="9" t="s">
        <v>57</v>
      </c>
      <c r="G3969" s="10" t="n">
        <v>45775</v>
      </c>
      <c r="H3969" s="10" t="n">
        <v>45789</v>
      </c>
      <c r="I3969" s="9" t="s">
        <v>66</v>
      </c>
      <c r="J3969" s="9" t="s">
        <v>63</v>
      </c>
      <c r="K3969" s="9" t="n">
        <v>14</v>
      </c>
      <c r="L3969" s="9" t="n">
        <v>5</v>
      </c>
      <c r="M3969" s="9" t="n">
        <v>1</v>
      </c>
      <c r="N3969" s="9" t="s">
        <v>42</v>
      </c>
      <c r="O3969" s="9" t="s">
        <v>52</v>
      </c>
      <c r="P3969" s="9" t="n">
        <v>43</v>
      </c>
      <c r="Q3969" s="9" t="n">
        <v>2</v>
      </c>
      <c r="R3969" s="9" t="s">
        <v>53</v>
      </c>
      <c r="S3969" s="9"/>
      <c r="T3969" s="9"/>
      <c r="U3969" s="9" t="str">
        <f aca="false">IF(COUNTIF($A$2:$A$5001,A3969)&gt;1,"Duplicate","Unique")</f>
        <v>Unique</v>
      </c>
      <c r="V3969" s="9" t="str">
        <f aca="false">IF(COUNTIFS($B$2:$B$5001,B3969,$H$2:$H$5001,H3969,$J$2:$J$5001,J3969)&gt;1,"Possible Duplicate Booking","Unique")</f>
        <v>Unique</v>
      </c>
      <c r="W3969" s="9" t="str">
        <f aca="false">IF((H3969-G3969)&lt;&gt;K3969,"Mismatch","OK")</f>
        <v>OK</v>
      </c>
      <c r="X3969" s="9" t="str">
        <f aca="false">IF(TEXT(H3969,"dddd")&lt;&gt;I3969,"Mismatch","OK")</f>
        <v>OK</v>
      </c>
      <c r="Y3969" s="9" t="str">
        <f aca="false">IF(AND(N3969="No",O3969&lt;&gt;""),"Unexpected: channel present but no reminder sent",IF(AND(N3969="Yes",O3969=""),"Missing channel for sent reminder","OK"))</f>
        <v>OK</v>
      </c>
    </row>
    <row r="3970" customFormat="false" ht="15" hidden="false" customHeight="false" outlineLevel="0" collapsed="false">
      <c r="A3970" s="7" t="s">
        <v>5639</v>
      </c>
      <c r="B3970" s="7" t="s">
        <v>3560</v>
      </c>
      <c r="C3970" s="7" t="s">
        <v>47</v>
      </c>
      <c r="D3970" s="7" t="n">
        <v>80</v>
      </c>
      <c r="E3970" s="7" t="s">
        <v>70</v>
      </c>
      <c r="F3970" s="7" t="s">
        <v>49</v>
      </c>
      <c r="G3970" s="8" t="n">
        <v>45956</v>
      </c>
      <c r="H3970" s="8" t="n">
        <v>45980</v>
      </c>
      <c r="I3970" s="7" t="s">
        <v>58</v>
      </c>
      <c r="J3970" s="7" t="s">
        <v>51</v>
      </c>
      <c r="K3970" s="7" t="n">
        <v>24</v>
      </c>
      <c r="L3970" s="7" t="n">
        <v>4</v>
      </c>
      <c r="M3970" s="7" t="n">
        <v>0</v>
      </c>
      <c r="N3970" s="7" t="s">
        <v>42</v>
      </c>
      <c r="O3970" s="7" t="s">
        <v>43</v>
      </c>
      <c r="P3970" s="7" t="n">
        <v>8.4</v>
      </c>
      <c r="Q3970" s="7" t="n">
        <v>10</v>
      </c>
      <c r="R3970" s="7" t="s">
        <v>53</v>
      </c>
      <c r="S3970" s="7"/>
      <c r="T3970" s="7"/>
      <c r="U3970" s="7" t="str">
        <f aca="false">IF(COUNTIF($A$2:$A$5001,A3970)&gt;1,"Duplicate","Unique")</f>
        <v>Unique</v>
      </c>
      <c r="V3970" s="7" t="str">
        <f aca="false">IF(COUNTIFS($B$2:$B$5001,B3970,$H$2:$H$5001,H3970,$J$2:$J$5001,J3970)&gt;1,"Possible Duplicate Booking","Unique")</f>
        <v>Unique</v>
      </c>
      <c r="W3970" s="7" t="str">
        <f aca="false">IF((H3970-G3970)&lt;&gt;K3970,"Mismatch","OK")</f>
        <v>OK</v>
      </c>
      <c r="X3970" s="7" t="str">
        <f aca="false">IF(TEXT(H3970,"dddd")&lt;&gt;I3970,"Mismatch","OK")</f>
        <v>OK</v>
      </c>
      <c r="Y3970" s="7" t="str">
        <f aca="false">IF(AND(N3970="No",O3970&lt;&gt;""),"Unexpected: channel present but no reminder sent",IF(AND(N3970="Yes",O3970=""),"Missing channel for sent reminder","OK"))</f>
        <v>OK</v>
      </c>
    </row>
    <row r="3971" customFormat="false" ht="15" hidden="false" customHeight="false" outlineLevel="0" collapsed="false">
      <c r="A3971" s="9" t="s">
        <v>5640</v>
      </c>
      <c r="B3971" s="9" t="s">
        <v>700</v>
      </c>
      <c r="C3971" s="9" t="s">
        <v>37</v>
      </c>
      <c r="D3971" s="9" t="n">
        <v>37</v>
      </c>
      <c r="E3971" s="9" t="s">
        <v>38</v>
      </c>
      <c r="F3971" s="9" t="s">
        <v>49</v>
      </c>
      <c r="G3971" s="10" t="n">
        <v>45943</v>
      </c>
      <c r="H3971" s="10" t="n">
        <v>45995</v>
      </c>
      <c r="I3971" s="9" t="s">
        <v>62</v>
      </c>
      <c r="J3971" s="9" t="s">
        <v>51</v>
      </c>
      <c r="K3971" s="9" t="n">
        <v>52</v>
      </c>
      <c r="L3971" s="9" t="n">
        <v>4</v>
      </c>
      <c r="M3971" s="9" t="n">
        <v>0</v>
      </c>
      <c r="N3971" s="9" t="s">
        <v>42</v>
      </c>
      <c r="O3971" s="9" t="s">
        <v>67</v>
      </c>
      <c r="P3971" s="9" t="n">
        <v>9.1</v>
      </c>
      <c r="Q3971" s="9" t="n">
        <v>27</v>
      </c>
      <c r="R3971" s="9" t="s">
        <v>44</v>
      </c>
      <c r="S3971" s="9"/>
      <c r="T3971" s="9"/>
      <c r="U3971" s="9" t="str">
        <f aca="false">IF(COUNTIF($A$2:$A$5001,A3971)&gt;1,"Duplicate","Unique")</f>
        <v>Unique</v>
      </c>
      <c r="V3971" s="9" t="str">
        <f aca="false">IF(COUNTIFS($B$2:$B$5001,B3971,$H$2:$H$5001,H3971,$J$2:$J$5001,J3971)&gt;1,"Possible Duplicate Booking","Unique")</f>
        <v>Unique</v>
      </c>
      <c r="W3971" s="9" t="str">
        <f aca="false">IF((H3971-G3971)&lt;&gt;K3971,"Mismatch","OK")</f>
        <v>OK</v>
      </c>
      <c r="X3971" s="9" t="str">
        <f aca="false">IF(TEXT(H3971,"dddd")&lt;&gt;I3971,"Mismatch","OK")</f>
        <v>OK</v>
      </c>
      <c r="Y3971" s="9" t="str">
        <f aca="false">IF(AND(N3971="No",O3971&lt;&gt;""),"Unexpected: channel present but no reminder sent",IF(AND(N3971="Yes",O3971=""),"Missing channel for sent reminder","OK"))</f>
        <v>OK</v>
      </c>
    </row>
    <row r="3972" customFormat="false" ht="15" hidden="false" customHeight="false" outlineLevel="0" collapsed="false">
      <c r="A3972" s="7" t="s">
        <v>5641</v>
      </c>
      <c r="B3972" s="7" t="s">
        <v>1099</v>
      </c>
      <c r="C3972" s="7" t="s">
        <v>37</v>
      </c>
      <c r="D3972" s="7" t="n">
        <v>79</v>
      </c>
      <c r="E3972" s="7" t="s">
        <v>70</v>
      </c>
      <c r="F3972" s="7" t="s">
        <v>57</v>
      </c>
      <c r="G3972" s="8" t="n">
        <v>45881</v>
      </c>
      <c r="H3972" s="8" t="n">
        <v>45918</v>
      </c>
      <c r="I3972" s="7" t="s">
        <v>62</v>
      </c>
      <c r="J3972" s="7" t="s">
        <v>51</v>
      </c>
      <c r="K3972" s="7" t="n">
        <v>37</v>
      </c>
      <c r="L3972" s="7" t="n">
        <v>4</v>
      </c>
      <c r="M3972" s="7" t="n">
        <v>0</v>
      </c>
      <c r="N3972" s="7" t="s">
        <v>71</v>
      </c>
      <c r="O3972" s="7"/>
      <c r="P3972" s="7" t="n">
        <v>17.3</v>
      </c>
      <c r="Q3972" s="7" t="n">
        <v>4</v>
      </c>
      <c r="R3972" s="7" t="s">
        <v>53</v>
      </c>
      <c r="S3972" s="7"/>
      <c r="T3972" s="7"/>
      <c r="U3972" s="7" t="str">
        <f aca="false">IF(COUNTIF($A$2:$A$5001,A3972)&gt;1,"Duplicate","Unique")</f>
        <v>Unique</v>
      </c>
      <c r="V3972" s="7" t="str">
        <f aca="false">IF(COUNTIFS($B$2:$B$5001,B3972,$H$2:$H$5001,H3972,$J$2:$J$5001,J3972)&gt;1,"Possible Duplicate Booking","Unique")</f>
        <v>Unique</v>
      </c>
      <c r="W3972" s="7" t="str">
        <f aca="false">IF((H3972-G3972)&lt;&gt;K3972,"Mismatch","OK")</f>
        <v>OK</v>
      </c>
      <c r="X3972" s="7" t="str">
        <f aca="false">IF(TEXT(H3972,"dddd")&lt;&gt;I3972,"Mismatch","OK")</f>
        <v>OK</v>
      </c>
      <c r="Y3972" s="7" t="str">
        <f aca="false">IF(AND(N3972="No",O3972&lt;&gt;""),"Unexpected: channel present but no reminder sent",IF(AND(N3972="Yes",O3972=""),"Missing channel for sent reminder","OK"))</f>
        <v>OK</v>
      </c>
    </row>
    <row r="3973" customFormat="false" ht="15" hidden="false" customHeight="false" outlineLevel="0" collapsed="false">
      <c r="A3973" s="9" t="s">
        <v>5642</v>
      </c>
      <c r="B3973" s="9" t="s">
        <v>3494</v>
      </c>
      <c r="C3973" s="9" t="s">
        <v>47</v>
      </c>
      <c r="D3973" s="9" t="n">
        <v>57</v>
      </c>
      <c r="E3973" s="9" t="s">
        <v>61</v>
      </c>
      <c r="F3973" s="9" t="s">
        <v>57</v>
      </c>
      <c r="G3973" s="10" t="n">
        <v>46146</v>
      </c>
      <c r="H3973" s="10" t="n">
        <v>46163</v>
      </c>
      <c r="I3973" s="9" t="s">
        <v>62</v>
      </c>
      <c r="J3973" s="9" t="s">
        <v>41</v>
      </c>
      <c r="K3973" s="9" t="n">
        <v>17</v>
      </c>
      <c r="L3973" s="9" t="n">
        <v>2</v>
      </c>
      <c r="M3973" s="9" t="n">
        <v>0</v>
      </c>
      <c r="N3973" s="9" t="s">
        <v>42</v>
      </c>
      <c r="O3973" s="9" t="s">
        <v>52</v>
      </c>
      <c r="P3973" s="9" t="n">
        <v>6.4</v>
      </c>
      <c r="Q3973" s="9" t="n">
        <v>8</v>
      </c>
      <c r="R3973" s="9" t="s">
        <v>44</v>
      </c>
      <c r="S3973" s="9"/>
      <c r="T3973" s="9"/>
      <c r="U3973" s="9" t="str">
        <f aca="false">IF(COUNTIF($A$2:$A$5001,A3973)&gt;1,"Duplicate","Unique")</f>
        <v>Unique</v>
      </c>
      <c r="V3973" s="9" t="str">
        <f aca="false">IF(COUNTIFS($B$2:$B$5001,B3973,$H$2:$H$5001,H3973,$J$2:$J$5001,J3973)&gt;1,"Possible Duplicate Booking","Unique")</f>
        <v>Unique</v>
      </c>
      <c r="W3973" s="9" t="str">
        <f aca="false">IF((H3973-G3973)&lt;&gt;K3973,"Mismatch","OK")</f>
        <v>OK</v>
      </c>
      <c r="X3973" s="9" t="str">
        <f aca="false">IF(TEXT(H3973,"dddd")&lt;&gt;I3973,"Mismatch","OK")</f>
        <v>OK</v>
      </c>
      <c r="Y3973" s="9" t="str">
        <f aca="false">IF(AND(N3973="No",O3973&lt;&gt;""),"Unexpected: channel present but no reminder sent",IF(AND(N3973="Yes",O3973=""),"Missing channel for sent reminder","OK"))</f>
        <v>OK</v>
      </c>
    </row>
    <row r="3974" customFormat="false" ht="15" hidden="false" customHeight="false" outlineLevel="0" collapsed="false">
      <c r="A3974" s="7" t="s">
        <v>5643</v>
      </c>
      <c r="B3974" s="7" t="s">
        <v>3683</v>
      </c>
      <c r="C3974" s="7" t="s">
        <v>47</v>
      </c>
      <c r="D3974" s="7" t="n">
        <v>30</v>
      </c>
      <c r="E3974" s="7" t="s">
        <v>48</v>
      </c>
      <c r="F3974" s="7" t="s">
        <v>57</v>
      </c>
      <c r="G3974" s="8" t="n">
        <v>45706</v>
      </c>
      <c r="H3974" s="8" t="n">
        <v>45725</v>
      </c>
      <c r="I3974" s="7" t="s">
        <v>75</v>
      </c>
      <c r="J3974" s="7" t="s">
        <v>51</v>
      </c>
      <c r="K3974" s="7" t="n">
        <v>19</v>
      </c>
      <c r="L3974" s="7" t="n">
        <v>4</v>
      </c>
      <c r="M3974" s="7" t="n">
        <v>1</v>
      </c>
      <c r="N3974" s="7" t="s">
        <v>42</v>
      </c>
      <c r="O3974" s="7" t="s">
        <v>43</v>
      </c>
      <c r="P3974" s="7" t="n">
        <v>4.2</v>
      </c>
      <c r="Q3974" s="7" t="n">
        <v>47</v>
      </c>
      <c r="R3974" s="7" t="s">
        <v>53</v>
      </c>
      <c r="S3974" s="7"/>
      <c r="T3974" s="7"/>
      <c r="U3974" s="7" t="str">
        <f aca="false">IF(COUNTIF($A$2:$A$5001,A3974)&gt;1,"Duplicate","Unique")</f>
        <v>Unique</v>
      </c>
      <c r="V3974" s="7" t="str">
        <f aca="false">IF(COUNTIFS($B$2:$B$5001,B3974,$H$2:$H$5001,H3974,$J$2:$J$5001,J3974)&gt;1,"Possible Duplicate Booking","Unique")</f>
        <v>Unique</v>
      </c>
      <c r="W3974" s="7" t="str">
        <f aca="false">IF((H3974-G3974)&lt;&gt;K3974,"Mismatch","OK")</f>
        <v>OK</v>
      </c>
      <c r="X3974" s="7" t="str">
        <f aca="false">IF(TEXT(H3974,"dddd")&lt;&gt;I3974,"Mismatch","OK")</f>
        <v>OK</v>
      </c>
      <c r="Y3974" s="7" t="str">
        <f aca="false">IF(AND(N3974="No",O3974&lt;&gt;""),"Unexpected: channel present but no reminder sent",IF(AND(N3974="Yes",O3974=""),"Missing channel for sent reminder","OK"))</f>
        <v>OK</v>
      </c>
    </row>
    <row r="3975" customFormat="false" ht="15" hidden="false" customHeight="false" outlineLevel="0" collapsed="false">
      <c r="A3975" s="9" t="s">
        <v>5644</v>
      </c>
      <c r="B3975" s="9" t="s">
        <v>156</v>
      </c>
      <c r="C3975" s="9" t="s">
        <v>37</v>
      </c>
      <c r="D3975" s="9" t="n">
        <v>55</v>
      </c>
      <c r="E3975" s="9" t="s">
        <v>61</v>
      </c>
      <c r="F3975" s="9" t="s">
        <v>57</v>
      </c>
      <c r="G3975" s="10" t="n">
        <v>45751</v>
      </c>
      <c r="H3975" s="10" t="n">
        <v>45798</v>
      </c>
      <c r="I3975" s="9" t="s">
        <v>58</v>
      </c>
      <c r="J3975" s="9" t="s">
        <v>63</v>
      </c>
      <c r="K3975" s="9" t="n">
        <v>47</v>
      </c>
      <c r="L3975" s="9" t="n">
        <v>4</v>
      </c>
      <c r="M3975" s="9" t="n">
        <v>1</v>
      </c>
      <c r="N3975" s="9" t="s">
        <v>42</v>
      </c>
      <c r="O3975" s="9" t="s">
        <v>52</v>
      </c>
      <c r="P3975" s="9" t="n">
        <v>10.5</v>
      </c>
      <c r="Q3975" s="9" t="n">
        <v>30</v>
      </c>
      <c r="R3975" s="9" t="s">
        <v>44</v>
      </c>
      <c r="S3975" s="9"/>
      <c r="T3975" s="9"/>
      <c r="U3975" s="9" t="str">
        <f aca="false">IF(COUNTIF($A$2:$A$5001,A3975)&gt;1,"Duplicate","Unique")</f>
        <v>Unique</v>
      </c>
      <c r="V3975" s="9" t="str">
        <f aca="false">IF(COUNTIFS($B$2:$B$5001,B3975,$H$2:$H$5001,H3975,$J$2:$J$5001,J3975)&gt;1,"Possible Duplicate Booking","Unique")</f>
        <v>Unique</v>
      </c>
      <c r="W3975" s="9" t="str">
        <f aca="false">IF((H3975-G3975)&lt;&gt;K3975,"Mismatch","OK")</f>
        <v>OK</v>
      </c>
      <c r="X3975" s="9" t="str">
        <f aca="false">IF(TEXT(H3975,"dddd")&lt;&gt;I3975,"Mismatch","OK")</f>
        <v>OK</v>
      </c>
      <c r="Y3975" s="9" t="str">
        <f aca="false">IF(AND(N3975="No",O3975&lt;&gt;""),"Unexpected: channel present but no reminder sent",IF(AND(N3975="Yes",O3975=""),"Missing channel for sent reminder","OK"))</f>
        <v>OK</v>
      </c>
    </row>
    <row r="3976" customFormat="false" ht="15" hidden="false" customHeight="false" outlineLevel="0" collapsed="false">
      <c r="A3976" s="7" t="s">
        <v>5645</v>
      </c>
      <c r="B3976" s="7" t="s">
        <v>5646</v>
      </c>
      <c r="C3976" s="7" t="s">
        <v>47</v>
      </c>
      <c r="D3976" s="7" t="n">
        <v>68</v>
      </c>
      <c r="E3976" s="7" t="s">
        <v>70</v>
      </c>
      <c r="F3976" s="7" t="s">
        <v>57</v>
      </c>
      <c r="G3976" s="8" t="n">
        <v>45699</v>
      </c>
      <c r="H3976" s="8" t="n">
        <v>45709</v>
      </c>
      <c r="I3976" s="7" t="s">
        <v>50</v>
      </c>
      <c r="J3976" s="7" t="s">
        <v>41</v>
      </c>
      <c r="K3976" s="7" t="n">
        <v>10</v>
      </c>
      <c r="L3976" s="7" t="n">
        <v>3</v>
      </c>
      <c r="M3976" s="7" t="n">
        <v>0</v>
      </c>
      <c r="N3976" s="7" t="s">
        <v>71</v>
      </c>
      <c r="O3976" s="7"/>
      <c r="P3976" s="7" t="n">
        <v>7.9</v>
      </c>
      <c r="Q3976" s="7" t="n">
        <v>53</v>
      </c>
      <c r="R3976" s="7" t="s">
        <v>53</v>
      </c>
      <c r="S3976" s="7"/>
      <c r="T3976" s="7"/>
      <c r="U3976" s="7" t="str">
        <f aca="false">IF(COUNTIF($A$2:$A$5001,A3976)&gt;1,"Duplicate","Unique")</f>
        <v>Unique</v>
      </c>
      <c r="V3976" s="7" t="str">
        <f aca="false">IF(COUNTIFS($B$2:$B$5001,B3976,$H$2:$H$5001,H3976,$J$2:$J$5001,J3976)&gt;1,"Possible Duplicate Booking","Unique")</f>
        <v>Unique</v>
      </c>
      <c r="W3976" s="7" t="str">
        <f aca="false">IF((H3976-G3976)&lt;&gt;K3976,"Mismatch","OK")</f>
        <v>OK</v>
      </c>
      <c r="X3976" s="7" t="str">
        <f aca="false">IF(TEXT(H3976,"dddd")&lt;&gt;I3976,"Mismatch","OK")</f>
        <v>OK</v>
      </c>
      <c r="Y3976" s="7" t="str">
        <f aca="false">IF(AND(N3976="No",O3976&lt;&gt;""),"Unexpected: channel present but no reminder sent",IF(AND(N3976="Yes",O3976=""),"Missing channel for sent reminder","OK"))</f>
        <v>OK</v>
      </c>
    </row>
    <row r="3977" customFormat="false" ht="15" hidden="false" customHeight="false" outlineLevel="0" collapsed="false">
      <c r="A3977" s="9" t="s">
        <v>5647</v>
      </c>
      <c r="B3977" s="9" t="s">
        <v>2416</v>
      </c>
      <c r="C3977" s="9" t="s">
        <v>37</v>
      </c>
      <c r="D3977" s="9" t="n">
        <v>21</v>
      </c>
      <c r="E3977" s="9" t="s">
        <v>82</v>
      </c>
      <c r="F3977" s="9" t="s">
        <v>57</v>
      </c>
      <c r="G3977" s="10" t="n">
        <v>46030</v>
      </c>
      <c r="H3977" s="10" t="n">
        <v>46036</v>
      </c>
      <c r="I3977" s="9" t="s">
        <v>58</v>
      </c>
      <c r="J3977" s="9" t="s">
        <v>41</v>
      </c>
      <c r="K3977" s="9" t="n">
        <v>6</v>
      </c>
      <c r="L3977" s="9" t="n">
        <v>4</v>
      </c>
      <c r="M3977" s="9" t="n">
        <v>2</v>
      </c>
      <c r="N3977" s="9" t="s">
        <v>42</v>
      </c>
      <c r="O3977" s="9" t="s">
        <v>67</v>
      </c>
      <c r="P3977" s="9" t="n">
        <v>10.3</v>
      </c>
      <c r="Q3977" s="9" t="n">
        <v>5</v>
      </c>
      <c r="R3977" s="9" t="s">
        <v>53</v>
      </c>
      <c r="S3977" s="9"/>
      <c r="T3977" s="9"/>
      <c r="U3977" s="9" t="str">
        <f aca="false">IF(COUNTIF($A$2:$A$5001,A3977)&gt;1,"Duplicate","Unique")</f>
        <v>Unique</v>
      </c>
      <c r="V3977" s="9" t="str">
        <f aca="false">IF(COUNTIFS($B$2:$B$5001,B3977,$H$2:$H$5001,H3977,$J$2:$J$5001,J3977)&gt;1,"Possible Duplicate Booking","Unique")</f>
        <v>Unique</v>
      </c>
      <c r="W3977" s="9" t="str">
        <f aca="false">IF((H3977-G3977)&lt;&gt;K3977,"Mismatch","OK")</f>
        <v>OK</v>
      </c>
      <c r="X3977" s="9" t="str">
        <f aca="false">IF(TEXT(H3977,"dddd")&lt;&gt;I3977,"Mismatch","OK")</f>
        <v>OK</v>
      </c>
      <c r="Y3977" s="9" t="str">
        <f aca="false">IF(AND(N3977="No",O3977&lt;&gt;""),"Unexpected: channel present but no reminder sent",IF(AND(N3977="Yes",O3977=""),"Missing channel for sent reminder","OK"))</f>
        <v>OK</v>
      </c>
    </row>
    <row r="3978" customFormat="false" ht="15" hidden="false" customHeight="false" outlineLevel="0" collapsed="false">
      <c r="A3978" s="7" t="s">
        <v>5648</v>
      </c>
      <c r="B3978" s="7" t="s">
        <v>4267</v>
      </c>
      <c r="C3978" s="7" t="s">
        <v>47</v>
      </c>
      <c r="D3978" s="7" t="n">
        <v>22</v>
      </c>
      <c r="E3978" s="7" t="s">
        <v>82</v>
      </c>
      <c r="F3978" s="7" t="s">
        <v>57</v>
      </c>
      <c r="G3978" s="8" t="n">
        <v>45963</v>
      </c>
      <c r="H3978" s="8" t="n">
        <v>46009</v>
      </c>
      <c r="I3978" s="7" t="s">
        <v>62</v>
      </c>
      <c r="J3978" s="7" t="s">
        <v>41</v>
      </c>
      <c r="K3978" s="7" t="n">
        <v>46</v>
      </c>
      <c r="L3978" s="7" t="n">
        <v>5</v>
      </c>
      <c r="M3978" s="7" t="n">
        <v>2</v>
      </c>
      <c r="N3978" s="7" t="s">
        <v>42</v>
      </c>
      <c r="O3978" s="7" t="s">
        <v>52</v>
      </c>
      <c r="P3978" s="7" t="n">
        <v>22.7</v>
      </c>
      <c r="Q3978" s="7" t="n">
        <v>47</v>
      </c>
      <c r="R3978" s="7" t="s">
        <v>44</v>
      </c>
      <c r="S3978" s="7"/>
      <c r="T3978" s="7"/>
      <c r="U3978" s="7" t="str">
        <f aca="false">IF(COUNTIF($A$2:$A$5001,A3978)&gt;1,"Duplicate","Unique")</f>
        <v>Unique</v>
      </c>
      <c r="V3978" s="7" t="str">
        <f aca="false">IF(COUNTIFS($B$2:$B$5001,B3978,$H$2:$H$5001,H3978,$J$2:$J$5001,J3978)&gt;1,"Possible Duplicate Booking","Unique")</f>
        <v>Unique</v>
      </c>
      <c r="W3978" s="7" t="str">
        <f aca="false">IF((H3978-G3978)&lt;&gt;K3978,"Mismatch","OK")</f>
        <v>OK</v>
      </c>
      <c r="X3978" s="7" t="str">
        <f aca="false">IF(TEXT(H3978,"dddd")&lt;&gt;I3978,"Mismatch","OK")</f>
        <v>OK</v>
      </c>
      <c r="Y3978" s="7" t="str">
        <f aca="false">IF(AND(N3978="No",O3978&lt;&gt;""),"Unexpected: channel present but no reminder sent",IF(AND(N3978="Yes",O3978=""),"Missing channel for sent reminder","OK"))</f>
        <v>OK</v>
      </c>
    </row>
    <row r="3979" customFormat="false" ht="15" hidden="false" customHeight="false" outlineLevel="0" collapsed="false">
      <c r="A3979" s="9" t="s">
        <v>5649</v>
      </c>
      <c r="B3979" s="9" t="s">
        <v>1428</v>
      </c>
      <c r="C3979" s="9" t="s">
        <v>37</v>
      </c>
      <c r="D3979" s="9" t="n">
        <v>18</v>
      </c>
      <c r="E3979" s="9" t="s">
        <v>82</v>
      </c>
      <c r="F3979" s="9" t="s">
        <v>49</v>
      </c>
      <c r="G3979" s="10" t="n">
        <v>46180</v>
      </c>
      <c r="H3979" s="10" t="n">
        <v>46197</v>
      </c>
      <c r="I3979" s="9" t="s">
        <v>58</v>
      </c>
      <c r="J3979" s="9" t="s">
        <v>41</v>
      </c>
      <c r="K3979" s="9" t="n">
        <v>17</v>
      </c>
      <c r="L3979" s="9" t="n">
        <v>1</v>
      </c>
      <c r="M3979" s="9" t="n">
        <v>0</v>
      </c>
      <c r="N3979" s="9" t="s">
        <v>42</v>
      </c>
      <c r="O3979" s="9" t="s">
        <v>52</v>
      </c>
      <c r="P3979" s="9" t="n">
        <v>5</v>
      </c>
      <c r="Q3979" s="9" t="n">
        <v>10</v>
      </c>
      <c r="R3979" s="9" t="s">
        <v>44</v>
      </c>
      <c r="S3979" s="9"/>
      <c r="T3979" s="9"/>
      <c r="U3979" s="9" t="str">
        <f aca="false">IF(COUNTIF($A$2:$A$5001,A3979)&gt;1,"Duplicate","Unique")</f>
        <v>Unique</v>
      </c>
      <c r="V3979" s="9" t="str">
        <f aca="false">IF(COUNTIFS($B$2:$B$5001,B3979,$H$2:$H$5001,H3979,$J$2:$J$5001,J3979)&gt;1,"Possible Duplicate Booking","Unique")</f>
        <v>Unique</v>
      </c>
      <c r="W3979" s="9" t="str">
        <f aca="false">IF((H3979-G3979)&lt;&gt;K3979,"Mismatch","OK")</f>
        <v>OK</v>
      </c>
      <c r="X3979" s="9" t="str">
        <f aca="false">IF(TEXT(H3979,"dddd")&lt;&gt;I3979,"Mismatch","OK")</f>
        <v>OK</v>
      </c>
      <c r="Y3979" s="9" t="str">
        <f aca="false">IF(AND(N3979="No",O3979&lt;&gt;""),"Unexpected: channel present but no reminder sent",IF(AND(N3979="Yes",O3979=""),"Missing channel for sent reminder","OK"))</f>
        <v>OK</v>
      </c>
    </row>
    <row r="3980" customFormat="false" ht="15" hidden="false" customHeight="false" outlineLevel="0" collapsed="false">
      <c r="A3980" s="7" t="s">
        <v>5650</v>
      </c>
      <c r="B3980" s="7" t="s">
        <v>1756</v>
      </c>
      <c r="C3980" s="7" t="s">
        <v>236</v>
      </c>
      <c r="D3980" s="7" t="n">
        <v>53</v>
      </c>
      <c r="E3980" s="7" t="s">
        <v>56</v>
      </c>
      <c r="F3980" s="7" t="s">
        <v>49</v>
      </c>
      <c r="G3980" s="8" t="n">
        <v>45908</v>
      </c>
      <c r="H3980" s="8" t="n">
        <v>45954</v>
      </c>
      <c r="I3980" s="7" t="s">
        <v>50</v>
      </c>
      <c r="J3980" s="7" t="s">
        <v>41</v>
      </c>
      <c r="K3980" s="7" t="n">
        <v>46</v>
      </c>
      <c r="L3980" s="7" t="n">
        <v>2</v>
      </c>
      <c r="M3980" s="7" t="n">
        <v>1</v>
      </c>
      <c r="N3980" s="7" t="s">
        <v>71</v>
      </c>
      <c r="O3980" s="7"/>
      <c r="P3980" s="7" t="n">
        <v>5.1</v>
      </c>
      <c r="Q3980" s="7" t="n">
        <v>34</v>
      </c>
      <c r="R3980" s="7" t="s">
        <v>44</v>
      </c>
      <c r="S3980" s="7"/>
      <c r="T3980" s="7"/>
      <c r="U3980" s="7" t="str">
        <f aca="false">IF(COUNTIF($A$2:$A$5001,A3980)&gt;1,"Duplicate","Unique")</f>
        <v>Unique</v>
      </c>
      <c r="V3980" s="7" t="str">
        <f aca="false">IF(COUNTIFS($B$2:$B$5001,B3980,$H$2:$H$5001,H3980,$J$2:$J$5001,J3980)&gt;1,"Possible Duplicate Booking","Unique")</f>
        <v>Unique</v>
      </c>
      <c r="W3980" s="7" t="str">
        <f aca="false">IF((H3980-G3980)&lt;&gt;K3980,"Mismatch","OK")</f>
        <v>OK</v>
      </c>
      <c r="X3980" s="7" t="str">
        <f aca="false">IF(TEXT(H3980,"dddd")&lt;&gt;I3980,"Mismatch","OK")</f>
        <v>OK</v>
      </c>
      <c r="Y3980" s="7" t="str">
        <f aca="false">IF(AND(N3980="No",O3980&lt;&gt;""),"Unexpected: channel present but no reminder sent",IF(AND(N3980="Yes",O3980=""),"Missing channel for sent reminder","OK"))</f>
        <v>OK</v>
      </c>
    </row>
    <row r="3981" customFormat="false" ht="15" hidden="false" customHeight="false" outlineLevel="0" collapsed="false">
      <c r="A3981" s="9" t="s">
        <v>5651</v>
      </c>
      <c r="B3981" s="9" t="s">
        <v>46</v>
      </c>
      <c r="C3981" s="9" t="s">
        <v>37</v>
      </c>
      <c r="D3981" s="9" t="n">
        <v>21</v>
      </c>
      <c r="E3981" s="9" t="s">
        <v>82</v>
      </c>
      <c r="F3981" s="9" t="s">
        <v>49</v>
      </c>
      <c r="G3981" s="10" t="n">
        <v>45708</v>
      </c>
      <c r="H3981" s="10" t="n">
        <v>45740</v>
      </c>
      <c r="I3981" s="9" t="s">
        <v>66</v>
      </c>
      <c r="J3981" s="9" t="s">
        <v>51</v>
      </c>
      <c r="K3981" s="9" t="n">
        <v>32</v>
      </c>
      <c r="L3981" s="9" t="n">
        <v>3</v>
      </c>
      <c r="M3981" s="9" t="n">
        <v>0</v>
      </c>
      <c r="N3981" s="9" t="s">
        <v>42</v>
      </c>
      <c r="O3981" s="9" t="s">
        <v>43</v>
      </c>
      <c r="P3981" s="9" t="n">
        <v>14.5</v>
      </c>
      <c r="Q3981" s="9" t="n">
        <v>2</v>
      </c>
      <c r="R3981" s="9" t="s">
        <v>44</v>
      </c>
      <c r="S3981" s="9"/>
      <c r="T3981" s="9"/>
      <c r="U3981" s="9" t="str">
        <f aca="false">IF(COUNTIF($A$2:$A$5001,A3981)&gt;1,"Duplicate","Unique")</f>
        <v>Unique</v>
      </c>
      <c r="V3981" s="9" t="str">
        <f aca="false">IF(COUNTIFS($B$2:$B$5001,B3981,$H$2:$H$5001,H3981,$J$2:$J$5001,J3981)&gt;1,"Possible Duplicate Booking","Unique")</f>
        <v>Unique</v>
      </c>
      <c r="W3981" s="9" t="str">
        <f aca="false">IF((H3981-G3981)&lt;&gt;K3981,"Mismatch","OK")</f>
        <v>OK</v>
      </c>
      <c r="X3981" s="9" t="str">
        <f aca="false">IF(TEXT(H3981,"dddd")&lt;&gt;I3981,"Mismatch","OK")</f>
        <v>OK</v>
      </c>
      <c r="Y3981" s="9" t="str">
        <f aca="false">IF(AND(N3981="No",O3981&lt;&gt;""),"Unexpected: channel present but no reminder sent",IF(AND(N3981="Yes",O3981=""),"Missing channel for sent reminder","OK"))</f>
        <v>OK</v>
      </c>
    </row>
    <row r="3982" customFormat="false" ht="15" hidden="false" customHeight="false" outlineLevel="0" collapsed="false">
      <c r="A3982" s="7" t="s">
        <v>5652</v>
      </c>
      <c r="B3982" s="7" t="s">
        <v>5653</v>
      </c>
      <c r="C3982" s="7" t="s">
        <v>47</v>
      </c>
      <c r="D3982" s="7" t="n">
        <v>76</v>
      </c>
      <c r="E3982" s="7" t="s">
        <v>70</v>
      </c>
      <c r="F3982" s="7" t="s">
        <v>39</v>
      </c>
      <c r="G3982" s="8" t="n">
        <v>45844</v>
      </c>
      <c r="H3982" s="8" t="n">
        <v>45904</v>
      </c>
      <c r="I3982" s="7" t="s">
        <v>62</v>
      </c>
      <c r="J3982" s="7" t="s">
        <v>41</v>
      </c>
      <c r="K3982" s="7" t="n">
        <v>60</v>
      </c>
      <c r="L3982" s="7" t="n">
        <v>5</v>
      </c>
      <c r="M3982" s="7" t="n">
        <v>1</v>
      </c>
      <c r="N3982" s="7" t="s">
        <v>71</v>
      </c>
      <c r="O3982" s="7"/>
      <c r="P3982" s="7" t="n">
        <v>5.2</v>
      </c>
      <c r="Q3982" s="7" t="n">
        <v>27</v>
      </c>
      <c r="R3982" s="7" t="s">
        <v>44</v>
      </c>
      <c r="S3982" s="7"/>
      <c r="T3982" s="7"/>
      <c r="U3982" s="7" t="str">
        <f aca="false">IF(COUNTIF($A$2:$A$5001,A3982)&gt;1,"Duplicate","Unique")</f>
        <v>Unique</v>
      </c>
      <c r="V3982" s="7" t="str">
        <f aca="false">IF(COUNTIFS($B$2:$B$5001,B3982,$H$2:$H$5001,H3982,$J$2:$J$5001,J3982)&gt;1,"Possible Duplicate Booking","Unique")</f>
        <v>Unique</v>
      </c>
      <c r="W3982" s="7" t="str">
        <f aca="false">IF((H3982-G3982)&lt;&gt;K3982,"Mismatch","OK")</f>
        <v>OK</v>
      </c>
      <c r="X3982" s="7" t="str">
        <f aca="false">IF(TEXT(H3982,"dddd")&lt;&gt;I3982,"Mismatch","OK")</f>
        <v>OK</v>
      </c>
      <c r="Y3982" s="7" t="str">
        <f aca="false">IF(AND(N3982="No",O3982&lt;&gt;""),"Unexpected: channel present but no reminder sent",IF(AND(N3982="Yes",O3982=""),"Missing channel for sent reminder","OK"))</f>
        <v>OK</v>
      </c>
    </row>
    <row r="3983" customFormat="false" ht="15" hidden="false" customHeight="false" outlineLevel="0" collapsed="false">
      <c r="A3983" s="9" t="s">
        <v>5654</v>
      </c>
      <c r="B3983" s="9" t="s">
        <v>1407</v>
      </c>
      <c r="C3983" s="9" t="s">
        <v>47</v>
      </c>
      <c r="D3983" s="9" t="n">
        <v>26</v>
      </c>
      <c r="E3983" s="9" t="s">
        <v>48</v>
      </c>
      <c r="F3983" s="9" t="s">
        <v>39</v>
      </c>
      <c r="G3983" s="10" t="n">
        <v>45674</v>
      </c>
      <c r="H3983" s="10" t="n">
        <v>45706</v>
      </c>
      <c r="I3983" s="9" t="s">
        <v>40</v>
      </c>
      <c r="J3983" s="9" t="s">
        <v>41</v>
      </c>
      <c r="K3983" s="9" t="n">
        <v>32</v>
      </c>
      <c r="L3983" s="9" t="n">
        <v>2</v>
      </c>
      <c r="M3983" s="9" t="n">
        <v>1</v>
      </c>
      <c r="N3983" s="9" t="s">
        <v>42</v>
      </c>
      <c r="O3983" s="9" t="s">
        <v>52</v>
      </c>
      <c r="P3983" s="9" t="n">
        <v>38.4</v>
      </c>
      <c r="Q3983" s="9" t="n">
        <v>28</v>
      </c>
      <c r="R3983" s="9" t="s">
        <v>44</v>
      </c>
      <c r="S3983" s="9"/>
      <c r="T3983" s="9"/>
      <c r="U3983" s="9" t="str">
        <f aca="false">IF(COUNTIF($A$2:$A$5001,A3983)&gt;1,"Duplicate","Unique")</f>
        <v>Unique</v>
      </c>
      <c r="V3983" s="9" t="str">
        <f aca="false">IF(COUNTIFS($B$2:$B$5001,B3983,$H$2:$H$5001,H3983,$J$2:$J$5001,J3983)&gt;1,"Possible Duplicate Booking","Unique")</f>
        <v>Unique</v>
      </c>
      <c r="W3983" s="9" t="str">
        <f aca="false">IF((H3983-G3983)&lt;&gt;K3983,"Mismatch","OK")</f>
        <v>OK</v>
      </c>
      <c r="X3983" s="9" t="str">
        <f aca="false">IF(TEXT(H3983,"dddd")&lt;&gt;I3983,"Mismatch","OK")</f>
        <v>OK</v>
      </c>
      <c r="Y3983" s="9" t="str">
        <f aca="false">IF(AND(N3983="No",O3983&lt;&gt;""),"Unexpected: channel present but no reminder sent",IF(AND(N3983="Yes",O3983=""),"Missing channel for sent reminder","OK"))</f>
        <v>OK</v>
      </c>
    </row>
    <row r="3984" customFormat="false" ht="15" hidden="false" customHeight="false" outlineLevel="0" collapsed="false">
      <c r="A3984" s="7" t="s">
        <v>5655</v>
      </c>
      <c r="B3984" s="7" t="s">
        <v>4106</v>
      </c>
      <c r="C3984" s="7" t="s">
        <v>37</v>
      </c>
      <c r="D3984" s="7" t="n">
        <v>22</v>
      </c>
      <c r="E3984" s="7" t="s">
        <v>82</v>
      </c>
      <c r="F3984" s="7" t="s">
        <v>57</v>
      </c>
      <c r="G3984" s="8" t="n">
        <v>45972</v>
      </c>
      <c r="H3984" s="8" t="n">
        <v>46024</v>
      </c>
      <c r="I3984" s="7" t="s">
        <v>50</v>
      </c>
      <c r="J3984" s="7" t="s">
        <v>41</v>
      </c>
      <c r="K3984" s="7" t="n">
        <v>52</v>
      </c>
      <c r="L3984" s="7" t="n">
        <v>4</v>
      </c>
      <c r="M3984" s="7" t="n">
        <v>0</v>
      </c>
      <c r="N3984" s="7" t="s">
        <v>42</v>
      </c>
      <c r="O3984" s="7" t="s">
        <v>52</v>
      </c>
      <c r="P3984" s="7" t="n">
        <v>7.6</v>
      </c>
      <c r="Q3984" s="7" t="n">
        <v>19</v>
      </c>
      <c r="R3984" s="7" t="s">
        <v>44</v>
      </c>
      <c r="S3984" s="7"/>
      <c r="T3984" s="7"/>
      <c r="U3984" s="7" t="str">
        <f aca="false">IF(COUNTIF($A$2:$A$5001,A3984)&gt;1,"Duplicate","Unique")</f>
        <v>Unique</v>
      </c>
      <c r="V3984" s="7" t="str">
        <f aca="false">IF(COUNTIFS($B$2:$B$5001,B3984,$H$2:$H$5001,H3984,$J$2:$J$5001,J3984)&gt;1,"Possible Duplicate Booking","Unique")</f>
        <v>Unique</v>
      </c>
      <c r="W3984" s="7" t="str">
        <f aca="false">IF((H3984-G3984)&lt;&gt;K3984,"Mismatch","OK")</f>
        <v>OK</v>
      </c>
      <c r="X3984" s="7" t="str">
        <f aca="false">IF(TEXT(H3984,"dddd")&lt;&gt;I3984,"Mismatch","OK")</f>
        <v>OK</v>
      </c>
      <c r="Y3984" s="7" t="str">
        <f aca="false">IF(AND(N3984="No",O3984&lt;&gt;""),"Unexpected: channel present but no reminder sent",IF(AND(N3984="Yes",O3984=""),"Missing channel for sent reminder","OK"))</f>
        <v>OK</v>
      </c>
    </row>
    <row r="3985" customFormat="false" ht="15" hidden="false" customHeight="false" outlineLevel="0" collapsed="false">
      <c r="A3985" s="9" t="s">
        <v>5656</v>
      </c>
      <c r="B3985" s="9" t="s">
        <v>1099</v>
      </c>
      <c r="C3985" s="9" t="s">
        <v>37</v>
      </c>
      <c r="D3985" s="9" t="n">
        <v>34</v>
      </c>
      <c r="E3985" s="9" t="s">
        <v>48</v>
      </c>
      <c r="F3985" s="9" t="s">
        <v>39</v>
      </c>
      <c r="G3985" s="10" t="n">
        <v>45975</v>
      </c>
      <c r="H3985" s="10" t="n">
        <v>46026</v>
      </c>
      <c r="I3985" s="9" t="s">
        <v>75</v>
      </c>
      <c r="J3985" s="9" t="s">
        <v>51</v>
      </c>
      <c r="K3985" s="9" t="n">
        <v>51</v>
      </c>
      <c r="L3985" s="9" t="n">
        <v>5</v>
      </c>
      <c r="M3985" s="9" t="n">
        <v>1</v>
      </c>
      <c r="N3985" s="9" t="s">
        <v>42</v>
      </c>
      <c r="O3985" s="9" t="s">
        <v>52</v>
      </c>
      <c r="P3985" s="9" t="n">
        <v>10.9</v>
      </c>
      <c r="Q3985" s="9" t="n">
        <v>9</v>
      </c>
      <c r="R3985" s="9" t="s">
        <v>44</v>
      </c>
      <c r="S3985" s="9"/>
      <c r="T3985" s="9"/>
      <c r="U3985" s="9" t="str">
        <f aca="false">IF(COUNTIF($A$2:$A$5001,A3985)&gt;1,"Duplicate","Unique")</f>
        <v>Unique</v>
      </c>
      <c r="V3985" s="9" t="str">
        <f aca="false">IF(COUNTIFS($B$2:$B$5001,B3985,$H$2:$H$5001,H3985,$J$2:$J$5001,J3985)&gt;1,"Possible Duplicate Booking","Unique")</f>
        <v>Unique</v>
      </c>
      <c r="W3985" s="9" t="str">
        <f aca="false">IF((H3985-G3985)&lt;&gt;K3985,"Mismatch","OK")</f>
        <v>OK</v>
      </c>
      <c r="X3985" s="9" t="str">
        <f aca="false">IF(TEXT(H3985,"dddd")&lt;&gt;I3985,"Mismatch","OK")</f>
        <v>OK</v>
      </c>
      <c r="Y3985" s="9" t="str">
        <f aca="false">IF(AND(N3985="No",O3985&lt;&gt;""),"Unexpected: channel present but no reminder sent",IF(AND(N3985="Yes",O3985=""),"Missing channel for sent reminder","OK"))</f>
        <v>OK</v>
      </c>
    </row>
    <row r="3986" customFormat="false" ht="15" hidden="false" customHeight="false" outlineLevel="0" collapsed="false">
      <c r="A3986" s="7" t="s">
        <v>5657</v>
      </c>
      <c r="B3986" s="7" t="s">
        <v>316</v>
      </c>
      <c r="C3986" s="7" t="s">
        <v>47</v>
      </c>
      <c r="D3986" s="7" t="n">
        <v>66</v>
      </c>
      <c r="E3986" s="7" t="s">
        <v>70</v>
      </c>
      <c r="F3986" s="7" t="s">
        <v>57</v>
      </c>
      <c r="G3986" s="8" t="n">
        <v>46114</v>
      </c>
      <c r="H3986" s="8" t="n">
        <v>46126</v>
      </c>
      <c r="I3986" s="7" t="s">
        <v>40</v>
      </c>
      <c r="J3986" s="7" t="s">
        <v>63</v>
      </c>
      <c r="K3986" s="7" t="n">
        <v>12</v>
      </c>
      <c r="L3986" s="7" t="n">
        <v>2</v>
      </c>
      <c r="M3986" s="7" t="n">
        <v>0</v>
      </c>
      <c r="N3986" s="7" t="s">
        <v>42</v>
      </c>
      <c r="O3986" s="7" t="s">
        <v>67</v>
      </c>
      <c r="P3986" s="7" t="n">
        <v>17.4</v>
      </c>
      <c r="Q3986" s="7" t="n">
        <v>21</v>
      </c>
      <c r="R3986" s="7" t="s">
        <v>53</v>
      </c>
      <c r="S3986" s="7"/>
      <c r="T3986" s="7"/>
      <c r="U3986" s="7" t="str">
        <f aca="false">IF(COUNTIF($A$2:$A$5001,A3986)&gt;1,"Duplicate","Unique")</f>
        <v>Unique</v>
      </c>
      <c r="V3986" s="7" t="str">
        <f aca="false">IF(COUNTIFS($B$2:$B$5001,B3986,$H$2:$H$5001,H3986,$J$2:$J$5001,J3986)&gt;1,"Possible Duplicate Booking","Unique")</f>
        <v>Unique</v>
      </c>
      <c r="W3986" s="7" t="str">
        <f aca="false">IF((H3986-G3986)&lt;&gt;K3986,"Mismatch","OK")</f>
        <v>OK</v>
      </c>
      <c r="X3986" s="7" t="str">
        <f aca="false">IF(TEXT(H3986,"dddd")&lt;&gt;I3986,"Mismatch","OK")</f>
        <v>OK</v>
      </c>
      <c r="Y3986" s="7" t="str">
        <f aca="false">IF(AND(N3986="No",O3986&lt;&gt;""),"Unexpected: channel present but no reminder sent",IF(AND(N3986="Yes",O3986=""),"Missing channel for sent reminder","OK"))</f>
        <v>OK</v>
      </c>
    </row>
    <row r="3987" customFormat="false" ht="15" hidden="false" customHeight="false" outlineLevel="0" collapsed="false">
      <c r="A3987" s="9" t="s">
        <v>5658</v>
      </c>
      <c r="B3987" s="9" t="s">
        <v>4821</v>
      </c>
      <c r="C3987" s="9" t="s">
        <v>47</v>
      </c>
      <c r="D3987" s="9" t="n">
        <v>75</v>
      </c>
      <c r="E3987" s="9" t="s">
        <v>70</v>
      </c>
      <c r="F3987" s="9" t="s">
        <v>39</v>
      </c>
      <c r="G3987" s="10" t="n">
        <v>45783</v>
      </c>
      <c r="H3987" s="10" t="n">
        <v>45843</v>
      </c>
      <c r="I3987" s="9" t="s">
        <v>102</v>
      </c>
      <c r="J3987" s="9" t="s">
        <v>63</v>
      </c>
      <c r="K3987" s="9" t="n">
        <v>60</v>
      </c>
      <c r="L3987" s="9" t="n">
        <v>2</v>
      </c>
      <c r="M3987" s="9" t="n">
        <v>0</v>
      </c>
      <c r="N3987" s="9" t="s">
        <v>42</v>
      </c>
      <c r="O3987" s="9" t="s">
        <v>52</v>
      </c>
      <c r="P3987" s="9" t="n">
        <v>9.4</v>
      </c>
      <c r="Q3987" s="9" t="n">
        <v>27</v>
      </c>
      <c r="R3987" s="9" t="s">
        <v>44</v>
      </c>
      <c r="S3987" s="9"/>
      <c r="T3987" s="9"/>
      <c r="U3987" s="9" t="str">
        <f aca="false">IF(COUNTIF($A$2:$A$5001,A3987)&gt;1,"Duplicate","Unique")</f>
        <v>Unique</v>
      </c>
      <c r="V3987" s="9" t="str">
        <f aca="false">IF(COUNTIFS($B$2:$B$5001,B3987,$H$2:$H$5001,H3987,$J$2:$J$5001,J3987)&gt;1,"Possible Duplicate Booking","Unique")</f>
        <v>Unique</v>
      </c>
      <c r="W3987" s="9" t="str">
        <f aca="false">IF((H3987-G3987)&lt;&gt;K3987,"Mismatch","OK")</f>
        <v>OK</v>
      </c>
      <c r="X3987" s="9" t="str">
        <f aca="false">IF(TEXT(H3987,"dddd")&lt;&gt;I3987,"Mismatch","OK")</f>
        <v>OK</v>
      </c>
      <c r="Y3987" s="9" t="str">
        <f aca="false">IF(AND(N3987="No",O3987&lt;&gt;""),"Unexpected: channel present but no reminder sent",IF(AND(N3987="Yes",O3987=""),"Missing channel for sent reminder","OK"))</f>
        <v>OK</v>
      </c>
    </row>
    <row r="3988" customFormat="false" ht="15" hidden="false" customHeight="false" outlineLevel="0" collapsed="false">
      <c r="A3988" s="7" t="s">
        <v>5659</v>
      </c>
      <c r="B3988" s="7" t="s">
        <v>387</v>
      </c>
      <c r="C3988" s="7" t="s">
        <v>47</v>
      </c>
      <c r="D3988" s="7" t="n">
        <v>33</v>
      </c>
      <c r="E3988" s="7" t="s">
        <v>48</v>
      </c>
      <c r="F3988" s="7" t="s">
        <v>74</v>
      </c>
      <c r="G3988" s="8" t="n">
        <v>45782</v>
      </c>
      <c r="H3988" s="8" t="n">
        <v>45827</v>
      </c>
      <c r="I3988" s="7" t="s">
        <v>62</v>
      </c>
      <c r="J3988" s="7" t="s">
        <v>41</v>
      </c>
      <c r="K3988" s="7" t="n">
        <v>45</v>
      </c>
      <c r="L3988" s="7" t="n">
        <v>4</v>
      </c>
      <c r="M3988" s="7" t="n">
        <v>1</v>
      </c>
      <c r="N3988" s="7" t="s">
        <v>42</v>
      </c>
      <c r="O3988" s="7" t="s">
        <v>67</v>
      </c>
      <c r="P3988" s="7" t="n">
        <v>7.9</v>
      </c>
      <c r="Q3988" s="7" t="n">
        <v>11</v>
      </c>
      <c r="R3988" s="7" t="s">
        <v>53</v>
      </c>
      <c r="S3988" s="7"/>
      <c r="T3988" s="7"/>
      <c r="U3988" s="7" t="str">
        <f aca="false">IF(COUNTIF($A$2:$A$5001,A3988)&gt;1,"Duplicate","Unique")</f>
        <v>Unique</v>
      </c>
      <c r="V3988" s="7" t="str">
        <f aca="false">IF(COUNTIFS($B$2:$B$5001,B3988,$H$2:$H$5001,H3988,$J$2:$J$5001,J3988)&gt;1,"Possible Duplicate Booking","Unique")</f>
        <v>Unique</v>
      </c>
      <c r="W3988" s="7" t="str">
        <f aca="false">IF((H3988-G3988)&lt;&gt;K3988,"Mismatch","OK")</f>
        <v>OK</v>
      </c>
      <c r="X3988" s="7" t="str">
        <f aca="false">IF(TEXT(H3988,"dddd")&lt;&gt;I3988,"Mismatch","OK")</f>
        <v>OK</v>
      </c>
      <c r="Y3988" s="7" t="str">
        <f aca="false">IF(AND(N3988="No",O3988&lt;&gt;""),"Unexpected: channel present but no reminder sent",IF(AND(N3988="Yes",O3988=""),"Missing channel for sent reminder","OK"))</f>
        <v>OK</v>
      </c>
    </row>
    <row r="3989" customFormat="false" ht="15" hidden="false" customHeight="false" outlineLevel="0" collapsed="false">
      <c r="A3989" s="9" t="s">
        <v>5660</v>
      </c>
      <c r="B3989" s="9" t="s">
        <v>3396</v>
      </c>
      <c r="C3989" s="9" t="s">
        <v>47</v>
      </c>
      <c r="D3989" s="9" t="n">
        <v>50</v>
      </c>
      <c r="E3989" s="9" t="s">
        <v>56</v>
      </c>
      <c r="F3989" s="9" t="s">
        <v>49</v>
      </c>
      <c r="G3989" s="10" t="n">
        <v>45690</v>
      </c>
      <c r="H3989" s="10" t="n">
        <v>45696</v>
      </c>
      <c r="I3989" s="9" t="s">
        <v>102</v>
      </c>
      <c r="J3989" s="9" t="s">
        <v>63</v>
      </c>
      <c r="K3989" s="9" t="n">
        <v>6</v>
      </c>
      <c r="L3989" s="9" t="n">
        <v>0</v>
      </c>
      <c r="M3989" s="9" t="n">
        <v>0</v>
      </c>
      <c r="N3989" s="9" t="s">
        <v>42</v>
      </c>
      <c r="O3989" s="9" t="s">
        <v>43</v>
      </c>
      <c r="P3989" s="9" t="n">
        <v>16</v>
      </c>
      <c r="Q3989" s="9" t="n">
        <v>22</v>
      </c>
      <c r="R3989" s="9" t="s">
        <v>44</v>
      </c>
      <c r="S3989" s="9"/>
      <c r="T3989" s="9"/>
      <c r="U3989" s="9" t="str">
        <f aca="false">IF(COUNTIF($A$2:$A$5001,A3989)&gt;1,"Duplicate","Unique")</f>
        <v>Unique</v>
      </c>
      <c r="V3989" s="9" t="str">
        <f aca="false">IF(COUNTIFS($B$2:$B$5001,B3989,$H$2:$H$5001,H3989,$J$2:$J$5001,J3989)&gt;1,"Possible Duplicate Booking","Unique")</f>
        <v>Unique</v>
      </c>
      <c r="W3989" s="9" t="str">
        <f aca="false">IF((H3989-G3989)&lt;&gt;K3989,"Mismatch","OK")</f>
        <v>OK</v>
      </c>
      <c r="X3989" s="9" t="str">
        <f aca="false">IF(TEXT(H3989,"dddd")&lt;&gt;I3989,"Mismatch","OK")</f>
        <v>OK</v>
      </c>
      <c r="Y3989" s="9" t="str">
        <f aca="false">IF(AND(N3989="No",O3989&lt;&gt;""),"Unexpected: channel present but no reminder sent",IF(AND(N3989="Yes",O3989=""),"Missing channel for sent reminder","OK"))</f>
        <v>OK</v>
      </c>
    </row>
    <row r="3990" customFormat="false" ht="15" hidden="false" customHeight="false" outlineLevel="0" collapsed="false">
      <c r="A3990" s="7" t="s">
        <v>5661</v>
      </c>
      <c r="B3990" s="7" t="s">
        <v>2693</v>
      </c>
      <c r="C3990" s="7" t="s">
        <v>37</v>
      </c>
      <c r="D3990" s="7" t="n">
        <v>66</v>
      </c>
      <c r="E3990" s="7" t="s">
        <v>70</v>
      </c>
      <c r="F3990" s="7" t="s">
        <v>57</v>
      </c>
      <c r="G3990" s="8" t="n">
        <v>45884</v>
      </c>
      <c r="H3990" s="8" t="n">
        <v>45884</v>
      </c>
      <c r="I3990" s="7" t="s">
        <v>50</v>
      </c>
      <c r="J3990" s="7" t="s">
        <v>41</v>
      </c>
      <c r="K3990" s="7" t="n">
        <v>0</v>
      </c>
      <c r="L3990" s="7" t="n">
        <v>4</v>
      </c>
      <c r="M3990" s="7" t="n">
        <v>0</v>
      </c>
      <c r="N3990" s="7" t="s">
        <v>42</v>
      </c>
      <c r="O3990" s="7" t="s">
        <v>52</v>
      </c>
      <c r="P3990" s="7" t="n">
        <v>4.8</v>
      </c>
      <c r="Q3990" s="7" t="n">
        <v>23</v>
      </c>
      <c r="R3990" s="7" t="s">
        <v>53</v>
      </c>
      <c r="S3990" s="7"/>
      <c r="T3990" s="7"/>
      <c r="U3990" s="7" t="str">
        <f aca="false">IF(COUNTIF($A$2:$A$5001,A3990)&gt;1,"Duplicate","Unique")</f>
        <v>Unique</v>
      </c>
      <c r="V3990" s="7" t="str">
        <f aca="false">IF(COUNTIFS($B$2:$B$5001,B3990,$H$2:$H$5001,H3990,$J$2:$J$5001,J3990)&gt;1,"Possible Duplicate Booking","Unique")</f>
        <v>Unique</v>
      </c>
      <c r="W3990" s="7" t="str">
        <f aca="false">IF((H3990-G3990)&lt;&gt;K3990,"Mismatch","OK")</f>
        <v>OK</v>
      </c>
      <c r="X3990" s="7" t="str">
        <f aca="false">IF(TEXT(H3990,"dddd")&lt;&gt;I3990,"Mismatch","OK")</f>
        <v>OK</v>
      </c>
      <c r="Y3990" s="7" t="str">
        <f aca="false">IF(AND(N3990="No",O3990&lt;&gt;""),"Unexpected: channel present but no reminder sent",IF(AND(N3990="Yes",O3990=""),"Missing channel for sent reminder","OK"))</f>
        <v>OK</v>
      </c>
    </row>
    <row r="3991" customFormat="false" ht="15" hidden="false" customHeight="false" outlineLevel="0" collapsed="false">
      <c r="A3991" s="9" t="s">
        <v>5662</v>
      </c>
      <c r="B3991" s="9" t="s">
        <v>5028</v>
      </c>
      <c r="C3991" s="9" t="s">
        <v>47</v>
      </c>
      <c r="D3991" s="9" t="n">
        <v>68</v>
      </c>
      <c r="E3991" s="9" t="s">
        <v>70</v>
      </c>
      <c r="F3991" s="9" t="s">
        <v>49</v>
      </c>
      <c r="G3991" s="10" t="n">
        <v>45901</v>
      </c>
      <c r="H3991" s="10" t="n">
        <v>45917</v>
      </c>
      <c r="I3991" s="9" t="s">
        <v>58</v>
      </c>
      <c r="J3991" s="9" t="s">
        <v>51</v>
      </c>
      <c r="K3991" s="9" t="n">
        <v>16</v>
      </c>
      <c r="L3991" s="9" t="n">
        <v>5</v>
      </c>
      <c r="M3991" s="9" t="n">
        <v>0</v>
      </c>
      <c r="N3991" s="9" t="s">
        <v>42</v>
      </c>
      <c r="O3991" s="9" t="s">
        <v>52</v>
      </c>
      <c r="P3991" s="9" t="n">
        <v>10.6</v>
      </c>
      <c r="Q3991" s="9" t="n">
        <v>29</v>
      </c>
      <c r="R3991" s="9" t="s">
        <v>53</v>
      </c>
      <c r="S3991" s="9"/>
      <c r="T3991" s="9"/>
      <c r="U3991" s="9" t="str">
        <f aca="false">IF(COUNTIF($A$2:$A$5001,A3991)&gt;1,"Duplicate","Unique")</f>
        <v>Unique</v>
      </c>
      <c r="V3991" s="9" t="str">
        <f aca="false">IF(COUNTIFS($B$2:$B$5001,B3991,$H$2:$H$5001,H3991,$J$2:$J$5001,J3991)&gt;1,"Possible Duplicate Booking","Unique")</f>
        <v>Unique</v>
      </c>
      <c r="W3991" s="9" t="str">
        <f aca="false">IF((H3991-G3991)&lt;&gt;K3991,"Mismatch","OK")</f>
        <v>OK</v>
      </c>
      <c r="X3991" s="9" t="str">
        <f aca="false">IF(TEXT(H3991,"dddd")&lt;&gt;I3991,"Mismatch","OK")</f>
        <v>OK</v>
      </c>
      <c r="Y3991" s="9" t="str">
        <f aca="false">IF(AND(N3991="No",O3991&lt;&gt;""),"Unexpected: channel present but no reminder sent",IF(AND(N3991="Yes",O3991=""),"Missing channel for sent reminder","OK"))</f>
        <v>OK</v>
      </c>
    </row>
    <row r="3992" customFormat="false" ht="15" hidden="false" customHeight="false" outlineLevel="0" collapsed="false">
      <c r="A3992" s="7" t="s">
        <v>5663</v>
      </c>
      <c r="B3992" s="7" t="s">
        <v>1753</v>
      </c>
      <c r="C3992" s="7" t="s">
        <v>37</v>
      </c>
      <c r="D3992" s="7" t="n">
        <v>27</v>
      </c>
      <c r="E3992" s="7" t="s">
        <v>48</v>
      </c>
      <c r="F3992" s="7" t="s">
        <v>57</v>
      </c>
      <c r="G3992" s="8" t="n">
        <v>46069</v>
      </c>
      <c r="H3992" s="8" t="n">
        <v>46069</v>
      </c>
      <c r="I3992" s="7" t="s">
        <v>66</v>
      </c>
      <c r="J3992" s="7" t="s">
        <v>41</v>
      </c>
      <c r="K3992" s="7" t="n">
        <v>0</v>
      </c>
      <c r="L3992" s="7" t="n">
        <v>3</v>
      </c>
      <c r="M3992" s="7" t="n">
        <v>1</v>
      </c>
      <c r="N3992" s="7" t="s">
        <v>42</v>
      </c>
      <c r="O3992" s="7" t="s">
        <v>52</v>
      </c>
      <c r="P3992" s="7" t="n">
        <v>4</v>
      </c>
      <c r="Q3992" s="7" t="n">
        <v>6</v>
      </c>
      <c r="R3992" s="7" t="s">
        <v>44</v>
      </c>
      <c r="S3992" s="7"/>
      <c r="T3992" s="7"/>
      <c r="U3992" s="7" t="str">
        <f aca="false">IF(COUNTIF($A$2:$A$5001,A3992)&gt;1,"Duplicate","Unique")</f>
        <v>Unique</v>
      </c>
      <c r="V3992" s="7" t="str">
        <f aca="false">IF(COUNTIFS($B$2:$B$5001,B3992,$H$2:$H$5001,H3992,$J$2:$J$5001,J3992)&gt;1,"Possible Duplicate Booking","Unique")</f>
        <v>Unique</v>
      </c>
      <c r="W3992" s="7" t="str">
        <f aca="false">IF((H3992-G3992)&lt;&gt;K3992,"Mismatch","OK")</f>
        <v>OK</v>
      </c>
      <c r="X3992" s="7" t="str">
        <f aca="false">IF(TEXT(H3992,"dddd")&lt;&gt;I3992,"Mismatch","OK")</f>
        <v>OK</v>
      </c>
      <c r="Y3992" s="7" t="str">
        <f aca="false">IF(AND(N3992="No",O3992&lt;&gt;""),"Unexpected: channel present but no reminder sent",IF(AND(N3992="Yes",O3992=""),"Missing channel for sent reminder","OK"))</f>
        <v>OK</v>
      </c>
    </row>
    <row r="3993" customFormat="false" ht="15" hidden="false" customHeight="false" outlineLevel="0" collapsed="false">
      <c r="A3993" s="9" t="s">
        <v>5664</v>
      </c>
      <c r="B3993" s="9" t="s">
        <v>4802</v>
      </c>
      <c r="C3993" s="9" t="s">
        <v>47</v>
      </c>
      <c r="D3993" s="9" t="n">
        <v>70</v>
      </c>
      <c r="E3993" s="9" t="s">
        <v>70</v>
      </c>
      <c r="F3993" s="9" t="s">
        <v>57</v>
      </c>
      <c r="G3993" s="10" t="n">
        <v>46048</v>
      </c>
      <c r="H3993" s="10" t="n">
        <v>46069</v>
      </c>
      <c r="I3993" s="9" t="s">
        <v>66</v>
      </c>
      <c r="J3993" s="9" t="s">
        <v>51</v>
      </c>
      <c r="K3993" s="9" t="n">
        <v>21</v>
      </c>
      <c r="L3993" s="9" t="n">
        <v>2</v>
      </c>
      <c r="M3993" s="9" t="n">
        <v>0</v>
      </c>
      <c r="N3993" s="9" t="s">
        <v>42</v>
      </c>
      <c r="O3993" s="9" t="s">
        <v>52</v>
      </c>
      <c r="P3993" s="9" t="n">
        <v>15.1</v>
      </c>
      <c r="Q3993" s="9" t="n">
        <v>17</v>
      </c>
      <c r="R3993" s="9" t="s">
        <v>44</v>
      </c>
      <c r="S3993" s="9"/>
      <c r="T3993" s="9"/>
      <c r="U3993" s="9" t="str">
        <f aca="false">IF(COUNTIF($A$2:$A$5001,A3993)&gt;1,"Duplicate","Unique")</f>
        <v>Unique</v>
      </c>
      <c r="V3993" s="9" t="str">
        <f aca="false">IF(COUNTIFS($B$2:$B$5001,B3993,$H$2:$H$5001,H3993,$J$2:$J$5001,J3993)&gt;1,"Possible Duplicate Booking","Unique")</f>
        <v>Unique</v>
      </c>
      <c r="W3993" s="9" t="str">
        <f aca="false">IF((H3993-G3993)&lt;&gt;K3993,"Mismatch","OK")</f>
        <v>OK</v>
      </c>
      <c r="X3993" s="9" t="str">
        <f aca="false">IF(TEXT(H3993,"dddd")&lt;&gt;I3993,"Mismatch","OK")</f>
        <v>OK</v>
      </c>
      <c r="Y3993" s="9" t="str">
        <f aca="false">IF(AND(N3993="No",O3993&lt;&gt;""),"Unexpected: channel present but no reminder sent",IF(AND(N3993="Yes",O3993=""),"Missing channel for sent reminder","OK"))</f>
        <v>OK</v>
      </c>
    </row>
    <row r="3994" customFormat="false" ht="15" hidden="false" customHeight="false" outlineLevel="0" collapsed="false">
      <c r="A3994" s="7" t="s">
        <v>5665</v>
      </c>
      <c r="B3994" s="7" t="s">
        <v>4327</v>
      </c>
      <c r="C3994" s="7" t="s">
        <v>47</v>
      </c>
      <c r="D3994" s="7" t="n">
        <v>72</v>
      </c>
      <c r="E3994" s="7" t="s">
        <v>70</v>
      </c>
      <c r="F3994" s="7" t="s">
        <v>57</v>
      </c>
      <c r="G3994" s="8" t="n">
        <v>45674</v>
      </c>
      <c r="H3994" s="8" t="n">
        <v>45734</v>
      </c>
      <c r="I3994" s="7" t="s">
        <v>40</v>
      </c>
      <c r="J3994" s="7" t="s">
        <v>41</v>
      </c>
      <c r="K3994" s="7" t="n">
        <v>60</v>
      </c>
      <c r="L3994" s="7" t="n">
        <v>4</v>
      </c>
      <c r="M3994" s="7" t="n">
        <v>1</v>
      </c>
      <c r="N3994" s="7" t="s">
        <v>71</v>
      </c>
      <c r="O3994" s="7"/>
      <c r="P3994" s="7" t="n">
        <v>7.5</v>
      </c>
      <c r="Q3994" s="7" t="n">
        <v>26</v>
      </c>
      <c r="R3994" s="7" t="s">
        <v>44</v>
      </c>
      <c r="S3994" s="7"/>
      <c r="T3994" s="7"/>
      <c r="U3994" s="7" t="str">
        <f aca="false">IF(COUNTIF($A$2:$A$5001,A3994)&gt;1,"Duplicate","Unique")</f>
        <v>Unique</v>
      </c>
      <c r="V3994" s="7" t="str">
        <f aca="false">IF(COUNTIFS($B$2:$B$5001,B3994,$H$2:$H$5001,H3994,$J$2:$J$5001,J3994)&gt;1,"Possible Duplicate Booking","Unique")</f>
        <v>Unique</v>
      </c>
      <c r="W3994" s="7" t="str">
        <f aca="false">IF((H3994-G3994)&lt;&gt;K3994,"Mismatch","OK")</f>
        <v>OK</v>
      </c>
      <c r="X3994" s="7" t="str">
        <f aca="false">IF(TEXT(H3994,"dddd")&lt;&gt;I3994,"Mismatch","OK")</f>
        <v>OK</v>
      </c>
      <c r="Y3994" s="7" t="str">
        <f aca="false">IF(AND(N3994="No",O3994&lt;&gt;""),"Unexpected: channel present but no reminder sent",IF(AND(N3994="Yes",O3994=""),"Missing channel for sent reminder","OK"))</f>
        <v>OK</v>
      </c>
    </row>
    <row r="3995" customFormat="false" ht="15" hidden="false" customHeight="false" outlineLevel="0" collapsed="false">
      <c r="A3995" s="9" t="s">
        <v>5666</v>
      </c>
      <c r="B3995" s="9" t="s">
        <v>3650</v>
      </c>
      <c r="C3995" s="9" t="s">
        <v>47</v>
      </c>
      <c r="D3995" s="9" t="n">
        <v>64</v>
      </c>
      <c r="E3995" s="9" t="s">
        <v>61</v>
      </c>
      <c r="F3995" s="9" t="s">
        <v>57</v>
      </c>
      <c r="G3995" s="10" t="n">
        <v>45784</v>
      </c>
      <c r="H3995" s="10" t="n">
        <v>45813</v>
      </c>
      <c r="I3995" s="9" t="s">
        <v>62</v>
      </c>
      <c r="J3995" s="9" t="s">
        <v>41</v>
      </c>
      <c r="K3995" s="9" t="n">
        <v>29</v>
      </c>
      <c r="L3995" s="9" t="n">
        <v>3</v>
      </c>
      <c r="M3995" s="9" t="n">
        <v>0</v>
      </c>
      <c r="N3995" s="9" t="s">
        <v>42</v>
      </c>
      <c r="O3995" s="9" t="s">
        <v>52</v>
      </c>
      <c r="P3995" s="9" t="n">
        <v>10.8</v>
      </c>
      <c r="Q3995" s="9" t="n">
        <v>20</v>
      </c>
      <c r="R3995" s="9" t="s">
        <v>44</v>
      </c>
      <c r="S3995" s="9"/>
      <c r="T3995" s="9"/>
      <c r="U3995" s="9" t="str">
        <f aca="false">IF(COUNTIF($A$2:$A$5001,A3995)&gt;1,"Duplicate","Unique")</f>
        <v>Unique</v>
      </c>
      <c r="V3995" s="9" t="str">
        <f aca="false">IF(COUNTIFS($B$2:$B$5001,B3995,$H$2:$H$5001,H3995,$J$2:$J$5001,J3995)&gt;1,"Possible Duplicate Booking","Unique")</f>
        <v>Unique</v>
      </c>
      <c r="W3995" s="9" t="str">
        <f aca="false">IF((H3995-G3995)&lt;&gt;K3995,"Mismatch","OK")</f>
        <v>OK</v>
      </c>
      <c r="X3995" s="9" t="str">
        <f aca="false">IF(TEXT(H3995,"dddd")&lt;&gt;I3995,"Mismatch","OK")</f>
        <v>OK</v>
      </c>
      <c r="Y3995" s="9" t="str">
        <f aca="false">IF(AND(N3995="No",O3995&lt;&gt;""),"Unexpected: channel present but no reminder sent",IF(AND(N3995="Yes",O3995=""),"Missing channel for sent reminder","OK"))</f>
        <v>OK</v>
      </c>
    </row>
    <row r="3996" customFormat="false" ht="15" hidden="false" customHeight="false" outlineLevel="0" collapsed="false">
      <c r="A3996" s="7" t="s">
        <v>5667</v>
      </c>
      <c r="B3996" s="7" t="s">
        <v>546</v>
      </c>
      <c r="C3996" s="7" t="s">
        <v>37</v>
      </c>
      <c r="D3996" s="7" t="n">
        <v>51</v>
      </c>
      <c r="E3996" s="7" t="s">
        <v>56</v>
      </c>
      <c r="F3996" s="7" t="s">
        <v>39</v>
      </c>
      <c r="G3996" s="8" t="n">
        <v>45936</v>
      </c>
      <c r="H3996" s="8" t="n">
        <v>45937</v>
      </c>
      <c r="I3996" s="7" t="s">
        <v>40</v>
      </c>
      <c r="J3996" s="7" t="s">
        <v>51</v>
      </c>
      <c r="K3996" s="7" t="n">
        <v>1</v>
      </c>
      <c r="L3996" s="7" t="n">
        <v>1</v>
      </c>
      <c r="M3996" s="7" t="n">
        <v>0</v>
      </c>
      <c r="N3996" s="7" t="s">
        <v>42</v>
      </c>
      <c r="O3996" s="7" t="s">
        <v>67</v>
      </c>
      <c r="P3996" s="7" t="n">
        <v>18.3</v>
      </c>
      <c r="Q3996" s="7" t="n">
        <v>12</v>
      </c>
      <c r="R3996" s="7" t="s">
        <v>53</v>
      </c>
      <c r="S3996" s="7"/>
      <c r="T3996" s="7"/>
      <c r="U3996" s="7" t="str">
        <f aca="false">IF(COUNTIF($A$2:$A$5001,A3996)&gt;1,"Duplicate","Unique")</f>
        <v>Unique</v>
      </c>
      <c r="V3996" s="7" t="str">
        <f aca="false">IF(COUNTIFS($B$2:$B$5001,B3996,$H$2:$H$5001,H3996,$J$2:$J$5001,J3996)&gt;1,"Possible Duplicate Booking","Unique")</f>
        <v>Unique</v>
      </c>
      <c r="W3996" s="7" t="str">
        <f aca="false">IF((H3996-G3996)&lt;&gt;K3996,"Mismatch","OK")</f>
        <v>OK</v>
      </c>
      <c r="X3996" s="7" t="str">
        <f aca="false">IF(TEXT(H3996,"dddd")&lt;&gt;I3996,"Mismatch","OK")</f>
        <v>OK</v>
      </c>
      <c r="Y3996" s="7" t="str">
        <f aca="false">IF(AND(N3996="No",O3996&lt;&gt;""),"Unexpected: channel present but no reminder sent",IF(AND(N3996="Yes",O3996=""),"Missing channel for sent reminder","OK"))</f>
        <v>OK</v>
      </c>
    </row>
    <row r="3997" customFormat="false" ht="15" hidden="false" customHeight="false" outlineLevel="0" collapsed="false">
      <c r="A3997" s="9" t="s">
        <v>5668</v>
      </c>
      <c r="B3997" s="9" t="s">
        <v>215</v>
      </c>
      <c r="C3997" s="9" t="s">
        <v>37</v>
      </c>
      <c r="D3997" s="9" t="n">
        <v>42</v>
      </c>
      <c r="E3997" s="9" t="s">
        <v>38</v>
      </c>
      <c r="F3997" s="9" t="s">
        <v>57</v>
      </c>
      <c r="G3997" s="10" t="n">
        <v>45810</v>
      </c>
      <c r="H3997" s="10" t="n">
        <v>45840</v>
      </c>
      <c r="I3997" s="9" t="s">
        <v>58</v>
      </c>
      <c r="J3997" s="9" t="s">
        <v>51</v>
      </c>
      <c r="K3997" s="9" t="n">
        <v>30</v>
      </c>
      <c r="L3997" s="9" t="n">
        <v>2</v>
      </c>
      <c r="M3997" s="9" t="n">
        <v>0</v>
      </c>
      <c r="N3997" s="9" t="s">
        <v>42</v>
      </c>
      <c r="O3997" s="9" t="s">
        <v>52</v>
      </c>
      <c r="P3997" s="9" t="n">
        <v>4.4</v>
      </c>
      <c r="Q3997" s="9" t="n">
        <v>34</v>
      </c>
      <c r="R3997" s="9" t="s">
        <v>44</v>
      </c>
      <c r="S3997" s="9"/>
      <c r="T3997" s="9"/>
      <c r="U3997" s="9" t="str">
        <f aca="false">IF(COUNTIF($A$2:$A$5001,A3997)&gt;1,"Duplicate","Unique")</f>
        <v>Unique</v>
      </c>
      <c r="V3997" s="9" t="str">
        <f aca="false">IF(COUNTIFS($B$2:$B$5001,B3997,$H$2:$H$5001,H3997,$J$2:$J$5001,J3997)&gt;1,"Possible Duplicate Booking","Unique")</f>
        <v>Unique</v>
      </c>
      <c r="W3997" s="9" t="str">
        <f aca="false">IF((H3997-G3997)&lt;&gt;K3997,"Mismatch","OK")</f>
        <v>OK</v>
      </c>
      <c r="X3997" s="9" t="str">
        <f aca="false">IF(TEXT(H3997,"dddd")&lt;&gt;I3997,"Mismatch","OK")</f>
        <v>OK</v>
      </c>
      <c r="Y3997" s="9" t="str">
        <f aca="false">IF(AND(N3997="No",O3997&lt;&gt;""),"Unexpected: channel present but no reminder sent",IF(AND(N3997="Yes",O3997=""),"Missing channel for sent reminder","OK"))</f>
        <v>OK</v>
      </c>
    </row>
    <row r="3998" customFormat="false" ht="15" hidden="false" customHeight="false" outlineLevel="0" collapsed="false">
      <c r="A3998" s="7" t="s">
        <v>5669</v>
      </c>
      <c r="B3998" s="7" t="s">
        <v>3934</v>
      </c>
      <c r="C3998" s="7" t="s">
        <v>47</v>
      </c>
      <c r="D3998" s="7" t="n">
        <v>74</v>
      </c>
      <c r="E3998" s="7" t="s">
        <v>70</v>
      </c>
      <c r="F3998" s="7" t="s">
        <v>57</v>
      </c>
      <c r="G3998" s="8" t="n">
        <v>45658</v>
      </c>
      <c r="H3998" s="8" t="n">
        <v>45671</v>
      </c>
      <c r="I3998" s="7" t="s">
        <v>40</v>
      </c>
      <c r="J3998" s="7" t="s">
        <v>41</v>
      </c>
      <c r="K3998" s="7" t="n">
        <v>13</v>
      </c>
      <c r="L3998" s="7" t="n">
        <v>1</v>
      </c>
      <c r="M3998" s="7" t="n">
        <v>0</v>
      </c>
      <c r="N3998" s="7" t="s">
        <v>71</v>
      </c>
      <c r="O3998" s="7"/>
      <c r="P3998" s="7" t="n">
        <v>12</v>
      </c>
      <c r="Q3998" s="7" t="n">
        <v>35</v>
      </c>
      <c r="R3998" s="7" t="s">
        <v>53</v>
      </c>
      <c r="S3998" s="7"/>
      <c r="T3998" s="7"/>
      <c r="U3998" s="7" t="str">
        <f aca="false">IF(COUNTIF($A$2:$A$5001,A3998)&gt;1,"Duplicate","Unique")</f>
        <v>Unique</v>
      </c>
      <c r="V3998" s="7" t="str">
        <f aca="false">IF(COUNTIFS($B$2:$B$5001,B3998,$H$2:$H$5001,H3998,$J$2:$J$5001,J3998)&gt;1,"Possible Duplicate Booking","Unique")</f>
        <v>Unique</v>
      </c>
      <c r="W3998" s="7" t="str">
        <f aca="false">IF((H3998-G3998)&lt;&gt;K3998,"Mismatch","OK")</f>
        <v>OK</v>
      </c>
      <c r="X3998" s="7" t="str">
        <f aca="false">IF(TEXT(H3998,"dddd")&lt;&gt;I3998,"Mismatch","OK")</f>
        <v>OK</v>
      </c>
      <c r="Y3998" s="7" t="str">
        <f aca="false">IF(AND(N3998="No",O3998&lt;&gt;""),"Unexpected: channel present but no reminder sent",IF(AND(N3998="Yes",O3998=""),"Missing channel for sent reminder","OK"))</f>
        <v>OK</v>
      </c>
    </row>
    <row r="3999" customFormat="false" ht="15" hidden="false" customHeight="false" outlineLevel="0" collapsed="false">
      <c r="A3999" s="9" t="s">
        <v>5670</v>
      </c>
      <c r="B3999" s="9" t="s">
        <v>980</v>
      </c>
      <c r="C3999" s="9" t="s">
        <v>37</v>
      </c>
      <c r="D3999" s="9" t="n">
        <v>72</v>
      </c>
      <c r="E3999" s="9" t="s">
        <v>70</v>
      </c>
      <c r="F3999" s="9" t="s">
        <v>74</v>
      </c>
      <c r="G3999" s="10" t="n">
        <v>46067</v>
      </c>
      <c r="H3999" s="10" t="n">
        <v>46119</v>
      </c>
      <c r="I3999" s="9" t="s">
        <v>40</v>
      </c>
      <c r="J3999" s="9" t="s">
        <v>41</v>
      </c>
      <c r="K3999" s="9" t="n">
        <v>52</v>
      </c>
      <c r="L3999" s="9" t="n">
        <v>5</v>
      </c>
      <c r="M3999" s="9" t="n">
        <v>1</v>
      </c>
      <c r="N3999" s="9" t="s">
        <v>42</v>
      </c>
      <c r="O3999" s="9" t="s">
        <v>52</v>
      </c>
      <c r="P3999" s="9" t="n">
        <v>15.3</v>
      </c>
      <c r="Q3999" s="9" t="n">
        <v>32</v>
      </c>
      <c r="R3999" s="9" t="s">
        <v>44</v>
      </c>
      <c r="S3999" s="9"/>
      <c r="T3999" s="9"/>
      <c r="U3999" s="9" t="str">
        <f aca="false">IF(COUNTIF($A$2:$A$5001,A3999)&gt;1,"Duplicate","Unique")</f>
        <v>Unique</v>
      </c>
      <c r="V3999" s="9" t="str">
        <f aca="false">IF(COUNTIFS($B$2:$B$5001,B3999,$H$2:$H$5001,H3999,$J$2:$J$5001,J3999)&gt;1,"Possible Duplicate Booking","Unique")</f>
        <v>Unique</v>
      </c>
      <c r="W3999" s="9" t="str">
        <f aca="false">IF((H3999-G3999)&lt;&gt;K3999,"Mismatch","OK")</f>
        <v>OK</v>
      </c>
      <c r="X3999" s="9" t="str">
        <f aca="false">IF(TEXT(H3999,"dddd")&lt;&gt;I3999,"Mismatch","OK")</f>
        <v>OK</v>
      </c>
      <c r="Y3999" s="9" t="str">
        <f aca="false">IF(AND(N3999="No",O3999&lt;&gt;""),"Unexpected: channel present but no reminder sent",IF(AND(N3999="Yes",O3999=""),"Missing channel for sent reminder","OK"))</f>
        <v>OK</v>
      </c>
    </row>
    <row r="4000" customFormat="false" ht="15" hidden="false" customHeight="false" outlineLevel="0" collapsed="false">
      <c r="A4000" s="7" t="s">
        <v>5671</v>
      </c>
      <c r="B4000" s="7" t="s">
        <v>1717</v>
      </c>
      <c r="C4000" s="7" t="s">
        <v>47</v>
      </c>
      <c r="D4000" s="7" t="n">
        <v>50</v>
      </c>
      <c r="E4000" s="7" t="s">
        <v>56</v>
      </c>
      <c r="F4000" s="7" t="s">
        <v>39</v>
      </c>
      <c r="G4000" s="8" t="n">
        <v>46052</v>
      </c>
      <c r="H4000" s="8" t="n">
        <v>46057</v>
      </c>
      <c r="I4000" s="7" t="s">
        <v>58</v>
      </c>
      <c r="J4000" s="7" t="s">
        <v>63</v>
      </c>
      <c r="K4000" s="7" t="n">
        <v>5</v>
      </c>
      <c r="L4000" s="7" t="n">
        <v>2</v>
      </c>
      <c r="M4000" s="7" t="n">
        <v>1</v>
      </c>
      <c r="N4000" s="7" t="s">
        <v>42</v>
      </c>
      <c r="O4000" s="7" t="s">
        <v>43</v>
      </c>
      <c r="P4000" s="7" t="n">
        <v>14</v>
      </c>
      <c r="Q4000" s="7"/>
      <c r="R4000" s="7" t="s">
        <v>44</v>
      </c>
      <c r="S4000" s="7"/>
      <c r="T4000" s="7"/>
      <c r="U4000" s="7" t="str">
        <f aca="false">IF(COUNTIF($A$2:$A$5001,A4000)&gt;1,"Duplicate","Unique")</f>
        <v>Unique</v>
      </c>
      <c r="V4000" s="7" t="str">
        <f aca="false">IF(COUNTIFS($B$2:$B$5001,B4000,$H$2:$H$5001,H4000,$J$2:$J$5001,J4000)&gt;1,"Possible Duplicate Booking","Unique")</f>
        <v>Unique</v>
      </c>
      <c r="W4000" s="7" t="str">
        <f aca="false">IF((H4000-G4000)&lt;&gt;K4000,"Mismatch","OK")</f>
        <v>OK</v>
      </c>
      <c r="X4000" s="7" t="str">
        <f aca="false">IF(TEXT(H4000,"dddd")&lt;&gt;I4000,"Mismatch","OK")</f>
        <v>OK</v>
      </c>
      <c r="Y4000" s="7" t="str">
        <f aca="false">IF(AND(N4000="No",O4000&lt;&gt;""),"Unexpected: channel present but no reminder sent",IF(AND(N4000="Yes",O4000=""),"Missing channel for sent reminder","OK"))</f>
        <v>OK</v>
      </c>
    </row>
    <row r="4001" customFormat="false" ht="15" hidden="false" customHeight="false" outlineLevel="0" collapsed="false">
      <c r="A4001" s="9" t="s">
        <v>5672</v>
      </c>
      <c r="B4001" s="9" t="s">
        <v>5673</v>
      </c>
      <c r="C4001" s="9" t="s">
        <v>47</v>
      </c>
      <c r="D4001" s="9" t="n">
        <v>64</v>
      </c>
      <c r="E4001" s="9" t="s">
        <v>61</v>
      </c>
      <c r="F4001" s="9" t="s">
        <v>57</v>
      </c>
      <c r="G4001" s="10" t="n">
        <v>45894</v>
      </c>
      <c r="H4001" s="10" t="n">
        <v>45941</v>
      </c>
      <c r="I4001" s="9" t="s">
        <v>102</v>
      </c>
      <c r="J4001" s="9" t="s">
        <v>51</v>
      </c>
      <c r="K4001" s="9" t="n">
        <v>47</v>
      </c>
      <c r="L4001" s="9" t="n">
        <v>4</v>
      </c>
      <c r="M4001" s="9" t="n">
        <v>2</v>
      </c>
      <c r="N4001" s="9" t="s">
        <v>42</v>
      </c>
      <c r="O4001" s="9" t="s">
        <v>43</v>
      </c>
      <c r="P4001" s="9" t="n">
        <v>7.4</v>
      </c>
      <c r="Q4001" s="9" t="n">
        <v>22</v>
      </c>
      <c r="R4001" s="9" t="s">
        <v>44</v>
      </c>
      <c r="S4001" s="9"/>
      <c r="T4001" s="9"/>
      <c r="U4001" s="9" t="str">
        <f aca="false">IF(COUNTIF($A$2:$A$5001,A4001)&gt;1,"Duplicate","Unique")</f>
        <v>Unique</v>
      </c>
      <c r="V4001" s="9" t="str">
        <f aca="false">IF(COUNTIFS($B$2:$B$5001,B4001,$H$2:$H$5001,H4001,$J$2:$J$5001,J4001)&gt;1,"Possible Duplicate Booking","Unique")</f>
        <v>Unique</v>
      </c>
      <c r="W4001" s="9" t="str">
        <f aca="false">IF((H4001-G4001)&lt;&gt;K4001,"Mismatch","OK")</f>
        <v>OK</v>
      </c>
      <c r="X4001" s="9" t="str">
        <f aca="false">IF(TEXT(H4001,"dddd")&lt;&gt;I4001,"Mismatch","OK")</f>
        <v>OK</v>
      </c>
      <c r="Y4001" s="9" t="str">
        <f aca="false">IF(AND(N4001="No",O4001&lt;&gt;""),"Unexpected: channel present but no reminder sent",IF(AND(N4001="Yes",O4001=""),"Missing channel for sent reminder","OK"))</f>
        <v>OK</v>
      </c>
    </row>
    <row r="4002" customFormat="false" ht="15" hidden="false" customHeight="false" outlineLevel="0" collapsed="false">
      <c r="A4002" s="7" t="s">
        <v>5674</v>
      </c>
      <c r="B4002" s="7" t="s">
        <v>1115</v>
      </c>
      <c r="C4002" s="7" t="s">
        <v>37</v>
      </c>
      <c r="D4002" s="7" t="n">
        <v>43</v>
      </c>
      <c r="E4002" s="7" t="s">
        <v>38</v>
      </c>
      <c r="F4002" s="7" t="s">
        <v>39</v>
      </c>
      <c r="G4002" s="8" t="n">
        <v>45804</v>
      </c>
      <c r="H4002" s="8" t="n">
        <v>45831</v>
      </c>
      <c r="I4002" s="7" t="s">
        <v>66</v>
      </c>
      <c r="J4002" s="7" t="s">
        <v>41</v>
      </c>
      <c r="K4002" s="7" t="n">
        <v>27</v>
      </c>
      <c r="L4002" s="7" t="n">
        <v>2</v>
      </c>
      <c r="M4002" s="7" t="n">
        <v>1</v>
      </c>
      <c r="N4002" s="7" t="s">
        <v>71</v>
      </c>
      <c r="O4002" s="7"/>
      <c r="P4002" s="7" t="n">
        <v>2.8</v>
      </c>
      <c r="Q4002" s="7" t="n">
        <v>38</v>
      </c>
      <c r="R4002" s="7" t="s">
        <v>53</v>
      </c>
      <c r="S4002" s="7"/>
      <c r="T4002" s="7"/>
      <c r="U4002" s="7" t="str">
        <f aca="false">IF(COUNTIF($A$2:$A$5001,A4002)&gt;1,"Duplicate","Unique")</f>
        <v>Unique</v>
      </c>
      <c r="V4002" s="7" t="str">
        <f aca="false">IF(COUNTIFS($B$2:$B$5001,B4002,$H$2:$H$5001,H4002,$J$2:$J$5001,J4002)&gt;1,"Possible Duplicate Booking","Unique")</f>
        <v>Unique</v>
      </c>
      <c r="W4002" s="7" t="str">
        <f aca="false">IF((H4002-G4002)&lt;&gt;K4002,"Mismatch","OK")</f>
        <v>OK</v>
      </c>
      <c r="X4002" s="7" t="str">
        <f aca="false">IF(TEXT(H4002,"dddd")&lt;&gt;I4002,"Mismatch","OK")</f>
        <v>OK</v>
      </c>
      <c r="Y4002" s="7" t="str">
        <f aca="false">IF(AND(N4002="No",O4002&lt;&gt;""),"Unexpected: channel present but no reminder sent",IF(AND(N4002="Yes",O4002=""),"Missing channel for sent reminder","OK"))</f>
        <v>OK</v>
      </c>
    </row>
    <row r="4003" customFormat="false" ht="15" hidden="false" customHeight="false" outlineLevel="0" collapsed="false">
      <c r="A4003" s="9" t="s">
        <v>5675</v>
      </c>
      <c r="B4003" s="9" t="s">
        <v>5676</v>
      </c>
      <c r="C4003" s="9" t="s">
        <v>37</v>
      </c>
      <c r="D4003" s="9" t="n">
        <v>64</v>
      </c>
      <c r="E4003" s="9" t="s">
        <v>61</v>
      </c>
      <c r="F4003" s="9" t="s">
        <v>39</v>
      </c>
      <c r="G4003" s="10" t="n">
        <v>46117</v>
      </c>
      <c r="H4003" s="10" t="n">
        <v>46118</v>
      </c>
      <c r="I4003" s="9" t="s">
        <v>66</v>
      </c>
      <c r="J4003" s="9" t="s">
        <v>51</v>
      </c>
      <c r="K4003" s="9" t="n">
        <v>1</v>
      </c>
      <c r="L4003" s="9" t="n">
        <v>5</v>
      </c>
      <c r="M4003" s="9" t="n">
        <v>2</v>
      </c>
      <c r="N4003" s="9" t="s">
        <v>42</v>
      </c>
      <c r="O4003" s="9" t="s">
        <v>67</v>
      </c>
      <c r="P4003" s="9" t="n">
        <v>18.7</v>
      </c>
      <c r="Q4003" s="9" t="n">
        <v>33</v>
      </c>
      <c r="R4003" s="9" t="s">
        <v>44</v>
      </c>
      <c r="S4003" s="9"/>
      <c r="T4003" s="9"/>
      <c r="U4003" s="9" t="str">
        <f aca="false">IF(COUNTIF($A$2:$A$5001,A4003)&gt;1,"Duplicate","Unique")</f>
        <v>Unique</v>
      </c>
      <c r="V4003" s="9" t="str">
        <f aca="false">IF(COUNTIFS($B$2:$B$5001,B4003,$H$2:$H$5001,H4003,$J$2:$J$5001,J4003)&gt;1,"Possible Duplicate Booking","Unique")</f>
        <v>Unique</v>
      </c>
      <c r="W4003" s="9" t="str">
        <f aca="false">IF((H4003-G4003)&lt;&gt;K4003,"Mismatch","OK")</f>
        <v>OK</v>
      </c>
      <c r="X4003" s="9" t="str">
        <f aca="false">IF(TEXT(H4003,"dddd")&lt;&gt;I4003,"Mismatch","OK")</f>
        <v>OK</v>
      </c>
      <c r="Y4003" s="9" t="str">
        <f aca="false">IF(AND(N4003="No",O4003&lt;&gt;""),"Unexpected: channel present but no reminder sent",IF(AND(N4003="Yes",O4003=""),"Missing channel for sent reminder","OK"))</f>
        <v>OK</v>
      </c>
    </row>
    <row r="4004" customFormat="false" ht="15" hidden="false" customHeight="false" outlineLevel="0" collapsed="false">
      <c r="A4004" s="7" t="s">
        <v>5677</v>
      </c>
      <c r="B4004" s="7" t="s">
        <v>2205</v>
      </c>
      <c r="C4004" s="7" t="s">
        <v>47</v>
      </c>
      <c r="D4004" s="7" t="n">
        <v>23</v>
      </c>
      <c r="E4004" s="7" t="s">
        <v>82</v>
      </c>
      <c r="F4004" s="7" t="s">
        <v>39</v>
      </c>
      <c r="G4004" s="8" t="n">
        <v>45636</v>
      </c>
      <c r="H4004" s="8" t="n">
        <v>45677</v>
      </c>
      <c r="I4004" s="7" t="s">
        <v>66</v>
      </c>
      <c r="J4004" s="7" t="s">
        <v>51</v>
      </c>
      <c r="K4004" s="7" t="n">
        <v>41</v>
      </c>
      <c r="L4004" s="7" t="n">
        <v>1</v>
      </c>
      <c r="M4004" s="7" t="n">
        <v>0</v>
      </c>
      <c r="N4004" s="7" t="s">
        <v>42</v>
      </c>
      <c r="O4004" s="7" t="s">
        <v>52</v>
      </c>
      <c r="P4004" s="7" t="n">
        <v>2.8</v>
      </c>
      <c r="Q4004" s="7" t="n">
        <v>38</v>
      </c>
      <c r="R4004" s="7" t="s">
        <v>44</v>
      </c>
      <c r="S4004" s="7"/>
      <c r="T4004" s="7"/>
      <c r="U4004" s="7" t="str">
        <f aca="false">IF(COUNTIF($A$2:$A$5001,A4004)&gt;1,"Duplicate","Unique")</f>
        <v>Unique</v>
      </c>
      <c r="V4004" s="7" t="str">
        <f aca="false">IF(COUNTIFS($B$2:$B$5001,B4004,$H$2:$H$5001,H4004,$J$2:$J$5001,J4004)&gt;1,"Possible Duplicate Booking","Unique")</f>
        <v>Unique</v>
      </c>
      <c r="W4004" s="7" t="str">
        <f aca="false">IF((H4004-G4004)&lt;&gt;K4004,"Mismatch","OK")</f>
        <v>OK</v>
      </c>
      <c r="X4004" s="7" t="str">
        <f aca="false">IF(TEXT(H4004,"dddd")&lt;&gt;I4004,"Mismatch","OK")</f>
        <v>OK</v>
      </c>
      <c r="Y4004" s="7" t="str">
        <f aca="false">IF(AND(N4004="No",O4004&lt;&gt;""),"Unexpected: channel present but no reminder sent",IF(AND(N4004="Yes",O4004=""),"Missing channel for sent reminder","OK"))</f>
        <v>OK</v>
      </c>
    </row>
    <row r="4005" customFormat="false" ht="15" hidden="false" customHeight="false" outlineLevel="0" collapsed="false">
      <c r="A4005" s="9" t="s">
        <v>5678</v>
      </c>
      <c r="B4005" s="9" t="s">
        <v>620</v>
      </c>
      <c r="C4005" s="9" t="s">
        <v>47</v>
      </c>
      <c r="D4005" s="9" t="n">
        <v>74</v>
      </c>
      <c r="E4005" s="9" t="s">
        <v>70</v>
      </c>
      <c r="F4005" s="9" t="s">
        <v>39</v>
      </c>
      <c r="G4005" s="10" t="n">
        <v>45874</v>
      </c>
      <c r="H4005" s="10" t="n">
        <v>45901</v>
      </c>
      <c r="I4005" s="9" t="s">
        <v>66</v>
      </c>
      <c r="J4005" s="9" t="s">
        <v>41</v>
      </c>
      <c r="K4005" s="9" t="n">
        <v>27</v>
      </c>
      <c r="L4005" s="9" t="n">
        <v>1</v>
      </c>
      <c r="M4005" s="9" t="n">
        <v>0</v>
      </c>
      <c r="N4005" s="9" t="s">
        <v>42</v>
      </c>
      <c r="O4005" s="9" t="s">
        <v>52</v>
      </c>
      <c r="P4005" s="9" t="n">
        <v>2.3</v>
      </c>
      <c r="Q4005" s="9" t="n">
        <v>25</v>
      </c>
      <c r="R4005" s="9" t="s">
        <v>44</v>
      </c>
      <c r="S4005" s="9"/>
      <c r="T4005" s="9"/>
      <c r="U4005" s="9" t="str">
        <f aca="false">IF(COUNTIF($A$2:$A$5001,A4005)&gt;1,"Duplicate","Unique")</f>
        <v>Unique</v>
      </c>
      <c r="V4005" s="9" t="str">
        <f aca="false">IF(COUNTIFS($B$2:$B$5001,B4005,$H$2:$H$5001,H4005,$J$2:$J$5001,J4005)&gt;1,"Possible Duplicate Booking","Unique")</f>
        <v>Unique</v>
      </c>
      <c r="W4005" s="9" t="str">
        <f aca="false">IF((H4005-G4005)&lt;&gt;K4005,"Mismatch","OK")</f>
        <v>OK</v>
      </c>
      <c r="X4005" s="9" t="str">
        <f aca="false">IF(TEXT(H4005,"dddd")&lt;&gt;I4005,"Mismatch","OK")</f>
        <v>OK</v>
      </c>
      <c r="Y4005" s="9" t="str">
        <f aca="false">IF(AND(N4005="No",O4005&lt;&gt;""),"Unexpected: channel present but no reminder sent",IF(AND(N4005="Yes",O4005=""),"Missing channel for sent reminder","OK"))</f>
        <v>OK</v>
      </c>
    </row>
    <row r="4006" customFormat="false" ht="15" hidden="false" customHeight="false" outlineLevel="0" collapsed="false">
      <c r="A4006" s="7" t="s">
        <v>5679</v>
      </c>
      <c r="B4006" s="7" t="s">
        <v>5174</v>
      </c>
      <c r="C4006" s="7" t="s">
        <v>37</v>
      </c>
      <c r="D4006" s="7" t="n">
        <v>50</v>
      </c>
      <c r="E4006" s="7" t="s">
        <v>56</v>
      </c>
      <c r="F4006" s="7" t="s">
        <v>74</v>
      </c>
      <c r="G4006" s="8" t="n">
        <v>46048</v>
      </c>
      <c r="H4006" s="8" t="n">
        <v>46095</v>
      </c>
      <c r="I4006" s="7" t="s">
        <v>102</v>
      </c>
      <c r="J4006" s="7" t="s">
        <v>51</v>
      </c>
      <c r="K4006" s="7" t="n">
        <v>47</v>
      </c>
      <c r="L4006" s="7" t="n">
        <v>2</v>
      </c>
      <c r="M4006" s="7" t="n">
        <v>1</v>
      </c>
      <c r="N4006" s="7" t="s">
        <v>42</v>
      </c>
      <c r="O4006" s="7" t="s">
        <v>52</v>
      </c>
      <c r="P4006" s="7" t="n">
        <v>8.6</v>
      </c>
      <c r="Q4006" s="7" t="n">
        <v>31</v>
      </c>
      <c r="R4006" s="7" t="s">
        <v>44</v>
      </c>
      <c r="S4006" s="7"/>
      <c r="T4006" s="7"/>
      <c r="U4006" s="7" t="str">
        <f aca="false">IF(COUNTIF($A$2:$A$5001,A4006)&gt;1,"Duplicate","Unique")</f>
        <v>Unique</v>
      </c>
      <c r="V4006" s="7" t="str">
        <f aca="false">IF(COUNTIFS($B$2:$B$5001,B4006,$H$2:$H$5001,H4006,$J$2:$J$5001,J4006)&gt;1,"Possible Duplicate Booking","Unique")</f>
        <v>Unique</v>
      </c>
      <c r="W4006" s="7" t="str">
        <f aca="false">IF((H4006-G4006)&lt;&gt;K4006,"Mismatch","OK")</f>
        <v>OK</v>
      </c>
      <c r="X4006" s="7" t="str">
        <f aca="false">IF(TEXT(H4006,"dddd")&lt;&gt;I4006,"Mismatch","OK")</f>
        <v>OK</v>
      </c>
      <c r="Y4006" s="7" t="str">
        <f aca="false">IF(AND(N4006="No",O4006&lt;&gt;""),"Unexpected: channel present but no reminder sent",IF(AND(N4006="Yes",O4006=""),"Missing channel for sent reminder","OK"))</f>
        <v>OK</v>
      </c>
    </row>
    <row r="4007" customFormat="false" ht="15" hidden="false" customHeight="false" outlineLevel="0" collapsed="false">
      <c r="A4007" s="9" t="s">
        <v>5680</v>
      </c>
      <c r="B4007" s="9" t="s">
        <v>2199</v>
      </c>
      <c r="C4007" s="9" t="s">
        <v>37</v>
      </c>
      <c r="D4007" s="9" t="n">
        <v>55</v>
      </c>
      <c r="E4007" s="9" t="s">
        <v>61</v>
      </c>
      <c r="F4007" s="9" t="s">
        <v>57</v>
      </c>
      <c r="G4007" s="10" t="n">
        <v>46141</v>
      </c>
      <c r="H4007" s="10" t="n">
        <v>46178</v>
      </c>
      <c r="I4007" s="9" t="s">
        <v>50</v>
      </c>
      <c r="J4007" s="9" t="s">
        <v>41</v>
      </c>
      <c r="K4007" s="9" t="n">
        <v>37</v>
      </c>
      <c r="L4007" s="9" t="n">
        <v>4</v>
      </c>
      <c r="M4007" s="9" t="n">
        <v>1</v>
      </c>
      <c r="N4007" s="9" t="s">
        <v>42</v>
      </c>
      <c r="O4007" s="9" t="s">
        <v>52</v>
      </c>
      <c r="P4007" s="9" t="n">
        <v>5.4</v>
      </c>
      <c r="Q4007" s="9" t="n">
        <v>31</v>
      </c>
      <c r="R4007" s="9" t="s">
        <v>44</v>
      </c>
      <c r="S4007" s="9"/>
      <c r="T4007" s="9"/>
      <c r="U4007" s="9" t="str">
        <f aca="false">IF(COUNTIF($A$2:$A$5001,A4007)&gt;1,"Duplicate","Unique")</f>
        <v>Unique</v>
      </c>
      <c r="V4007" s="9" t="str">
        <f aca="false">IF(COUNTIFS($B$2:$B$5001,B4007,$H$2:$H$5001,H4007,$J$2:$J$5001,J4007)&gt;1,"Possible Duplicate Booking","Unique")</f>
        <v>Unique</v>
      </c>
      <c r="W4007" s="9" t="str">
        <f aca="false">IF((H4007-G4007)&lt;&gt;K4007,"Mismatch","OK")</f>
        <v>OK</v>
      </c>
      <c r="X4007" s="9" t="str">
        <f aca="false">IF(TEXT(H4007,"dddd")&lt;&gt;I4007,"Mismatch","OK")</f>
        <v>OK</v>
      </c>
      <c r="Y4007" s="9" t="str">
        <f aca="false">IF(AND(N4007="No",O4007&lt;&gt;""),"Unexpected: channel present but no reminder sent",IF(AND(N4007="Yes",O4007=""),"Missing channel for sent reminder","OK"))</f>
        <v>OK</v>
      </c>
    </row>
    <row r="4008" customFormat="false" ht="15" hidden="false" customHeight="false" outlineLevel="0" collapsed="false">
      <c r="A4008" s="7" t="s">
        <v>5681</v>
      </c>
      <c r="B4008" s="7" t="s">
        <v>1720</v>
      </c>
      <c r="C4008" s="7" t="s">
        <v>37</v>
      </c>
      <c r="D4008" s="7" t="n">
        <v>29</v>
      </c>
      <c r="E4008" s="7" t="s">
        <v>48</v>
      </c>
      <c r="F4008" s="7" t="s">
        <v>39</v>
      </c>
      <c r="G4008" s="8" t="n">
        <v>45747</v>
      </c>
      <c r="H4008" s="8" t="n">
        <v>45795</v>
      </c>
      <c r="I4008" s="7" t="s">
        <v>75</v>
      </c>
      <c r="J4008" s="7" t="s">
        <v>51</v>
      </c>
      <c r="K4008" s="7" t="n">
        <v>48</v>
      </c>
      <c r="L4008" s="7" t="n">
        <v>3</v>
      </c>
      <c r="M4008" s="7" t="n">
        <v>1</v>
      </c>
      <c r="N4008" s="7" t="s">
        <v>42</v>
      </c>
      <c r="O4008" s="7" t="s">
        <v>43</v>
      </c>
      <c r="P4008" s="7" t="n">
        <v>11.3</v>
      </c>
      <c r="Q4008" s="7" t="n">
        <v>40</v>
      </c>
      <c r="R4008" s="7" t="s">
        <v>53</v>
      </c>
      <c r="S4008" s="7"/>
      <c r="T4008" s="7"/>
      <c r="U4008" s="7" t="str">
        <f aca="false">IF(COUNTIF($A$2:$A$5001,A4008)&gt;1,"Duplicate","Unique")</f>
        <v>Unique</v>
      </c>
      <c r="V4008" s="7" t="str">
        <f aca="false">IF(COUNTIFS($B$2:$B$5001,B4008,$H$2:$H$5001,H4008,$J$2:$J$5001,J4008)&gt;1,"Possible Duplicate Booking","Unique")</f>
        <v>Unique</v>
      </c>
      <c r="W4008" s="7" t="str">
        <f aca="false">IF((H4008-G4008)&lt;&gt;K4008,"Mismatch","OK")</f>
        <v>OK</v>
      </c>
      <c r="X4008" s="7" t="str">
        <f aca="false">IF(TEXT(H4008,"dddd")&lt;&gt;I4008,"Mismatch","OK")</f>
        <v>OK</v>
      </c>
      <c r="Y4008" s="7" t="str">
        <f aca="false">IF(AND(N4008="No",O4008&lt;&gt;""),"Unexpected: channel present but no reminder sent",IF(AND(N4008="Yes",O4008=""),"Missing channel for sent reminder","OK"))</f>
        <v>OK</v>
      </c>
    </row>
    <row r="4009" customFormat="false" ht="15" hidden="false" customHeight="false" outlineLevel="0" collapsed="false">
      <c r="A4009" s="9" t="s">
        <v>5682</v>
      </c>
      <c r="B4009" s="9" t="s">
        <v>2998</v>
      </c>
      <c r="C4009" s="9" t="s">
        <v>47</v>
      </c>
      <c r="D4009" s="9" t="n">
        <v>51</v>
      </c>
      <c r="E4009" s="9" t="s">
        <v>56</v>
      </c>
      <c r="F4009" s="9" t="s">
        <v>57</v>
      </c>
      <c r="G4009" s="10" t="n">
        <v>45985</v>
      </c>
      <c r="H4009" s="10" t="n">
        <v>46013</v>
      </c>
      <c r="I4009" s="9" t="s">
        <v>66</v>
      </c>
      <c r="J4009" s="9" t="s">
        <v>51</v>
      </c>
      <c r="K4009" s="9" t="n">
        <v>28</v>
      </c>
      <c r="L4009" s="9" t="n">
        <v>3</v>
      </c>
      <c r="M4009" s="9" t="n">
        <v>0</v>
      </c>
      <c r="N4009" s="9" t="s">
        <v>71</v>
      </c>
      <c r="O4009" s="9"/>
      <c r="P4009" s="9" t="n">
        <v>14.6</v>
      </c>
      <c r="Q4009" s="9" t="n">
        <v>2</v>
      </c>
      <c r="R4009" s="9" t="s">
        <v>87</v>
      </c>
      <c r="S4009" s="9"/>
      <c r="T4009" s="9"/>
      <c r="U4009" s="9" t="str">
        <f aca="false">IF(COUNTIF($A$2:$A$5001,A4009)&gt;1,"Duplicate","Unique")</f>
        <v>Unique</v>
      </c>
      <c r="V4009" s="9" t="str">
        <f aca="false">IF(COUNTIFS($B$2:$B$5001,B4009,$H$2:$H$5001,H4009,$J$2:$J$5001,J4009)&gt;1,"Possible Duplicate Booking","Unique")</f>
        <v>Unique</v>
      </c>
      <c r="W4009" s="9" t="str">
        <f aca="false">IF((H4009-G4009)&lt;&gt;K4009,"Mismatch","OK")</f>
        <v>OK</v>
      </c>
      <c r="X4009" s="9" t="str">
        <f aca="false">IF(TEXT(H4009,"dddd")&lt;&gt;I4009,"Mismatch","OK")</f>
        <v>OK</v>
      </c>
      <c r="Y4009" s="9" t="str">
        <f aca="false">IF(AND(N4009="No",O4009&lt;&gt;""),"Unexpected: channel present but no reminder sent",IF(AND(N4009="Yes",O4009=""),"Missing channel for sent reminder","OK"))</f>
        <v>OK</v>
      </c>
    </row>
    <row r="4010" customFormat="false" ht="15" hidden="false" customHeight="false" outlineLevel="0" collapsed="false">
      <c r="A4010" s="7" t="s">
        <v>5683</v>
      </c>
      <c r="B4010" s="7" t="s">
        <v>5684</v>
      </c>
      <c r="C4010" s="7" t="s">
        <v>47</v>
      </c>
      <c r="D4010" s="7" t="n">
        <v>18</v>
      </c>
      <c r="E4010" s="7" t="s">
        <v>82</v>
      </c>
      <c r="F4010" s="7" t="s">
        <v>49</v>
      </c>
      <c r="G4010" s="8" t="n">
        <v>45761</v>
      </c>
      <c r="H4010" s="8" t="n">
        <v>45761</v>
      </c>
      <c r="I4010" s="7" t="s">
        <v>66</v>
      </c>
      <c r="J4010" s="7" t="s">
        <v>41</v>
      </c>
      <c r="K4010" s="7" t="n">
        <v>0</v>
      </c>
      <c r="L4010" s="7" t="n">
        <v>4</v>
      </c>
      <c r="M4010" s="7" t="n">
        <v>0</v>
      </c>
      <c r="N4010" s="7" t="s">
        <v>42</v>
      </c>
      <c r="O4010" s="7" t="s">
        <v>43</v>
      </c>
      <c r="P4010" s="7" t="n">
        <v>7.4</v>
      </c>
      <c r="Q4010" s="7" t="n">
        <v>25</v>
      </c>
      <c r="R4010" s="7" t="s">
        <v>44</v>
      </c>
      <c r="S4010" s="7"/>
      <c r="T4010" s="7"/>
      <c r="U4010" s="7" t="str">
        <f aca="false">IF(COUNTIF($A$2:$A$5001,A4010)&gt;1,"Duplicate","Unique")</f>
        <v>Unique</v>
      </c>
      <c r="V4010" s="7" t="str">
        <f aca="false">IF(COUNTIFS($B$2:$B$5001,B4010,$H$2:$H$5001,H4010,$J$2:$J$5001,J4010)&gt;1,"Possible Duplicate Booking","Unique")</f>
        <v>Unique</v>
      </c>
      <c r="W4010" s="7" t="str">
        <f aca="false">IF((H4010-G4010)&lt;&gt;K4010,"Mismatch","OK")</f>
        <v>OK</v>
      </c>
      <c r="X4010" s="7" t="str">
        <f aca="false">IF(TEXT(H4010,"dddd")&lt;&gt;I4010,"Mismatch","OK")</f>
        <v>OK</v>
      </c>
      <c r="Y4010" s="7" t="str">
        <f aca="false">IF(AND(N4010="No",O4010&lt;&gt;""),"Unexpected: channel present but no reminder sent",IF(AND(N4010="Yes",O4010=""),"Missing channel for sent reminder","OK"))</f>
        <v>OK</v>
      </c>
    </row>
    <row r="4011" customFormat="false" ht="15" hidden="false" customHeight="false" outlineLevel="0" collapsed="false">
      <c r="A4011" s="9" t="s">
        <v>5685</v>
      </c>
      <c r="B4011" s="9" t="s">
        <v>5686</v>
      </c>
      <c r="C4011" s="9" t="s">
        <v>47</v>
      </c>
      <c r="D4011" s="9" t="n">
        <v>74</v>
      </c>
      <c r="E4011" s="9" t="s">
        <v>70</v>
      </c>
      <c r="F4011" s="9" t="s">
        <v>57</v>
      </c>
      <c r="G4011" s="10" t="n">
        <v>45714</v>
      </c>
      <c r="H4011" s="10" t="n">
        <v>45721</v>
      </c>
      <c r="I4011" s="9" t="s">
        <v>58</v>
      </c>
      <c r="J4011" s="9" t="s">
        <v>51</v>
      </c>
      <c r="K4011" s="9" t="n">
        <v>7</v>
      </c>
      <c r="L4011" s="9" t="n">
        <v>4</v>
      </c>
      <c r="M4011" s="9" t="n">
        <v>1</v>
      </c>
      <c r="N4011" s="9" t="s">
        <v>42</v>
      </c>
      <c r="O4011" s="9" t="s">
        <v>43</v>
      </c>
      <c r="P4011" s="9" t="n">
        <v>30.2</v>
      </c>
      <c r="Q4011" s="9" t="n">
        <v>34</v>
      </c>
      <c r="R4011" s="9" t="s">
        <v>44</v>
      </c>
      <c r="S4011" s="9"/>
      <c r="T4011" s="9"/>
      <c r="U4011" s="9" t="str">
        <f aca="false">IF(COUNTIF($A$2:$A$5001,A4011)&gt;1,"Duplicate","Unique")</f>
        <v>Unique</v>
      </c>
      <c r="V4011" s="9" t="str">
        <f aca="false">IF(COUNTIFS($B$2:$B$5001,B4011,$H$2:$H$5001,H4011,$J$2:$J$5001,J4011)&gt;1,"Possible Duplicate Booking","Unique")</f>
        <v>Unique</v>
      </c>
      <c r="W4011" s="9" t="str">
        <f aca="false">IF((H4011-G4011)&lt;&gt;K4011,"Mismatch","OK")</f>
        <v>OK</v>
      </c>
      <c r="X4011" s="9" t="str">
        <f aca="false">IF(TEXT(H4011,"dddd")&lt;&gt;I4011,"Mismatch","OK")</f>
        <v>OK</v>
      </c>
      <c r="Y4011" s="9" t="str">
        <f aca="false">IF(AND(N4011="No",O4011&lt;&gt;""),"Unexpected: channel present but no reminder sent",IF(AND(N4011="Yes",O4011=""),"Missing channel for sent reminder","OK"))</f>
        <v>OK</v>
      </c>
    </row>
    <row r="4012" customFormat="false" ht="15" hidden="false" customHeight="false" outlineLevel="0" collapsed="false">
      <c r="A4012" s="7" t="s">
        <v>5687</v>
      </c>
      <c r="B4012" s="7" t="s">
        <v>1119</v>
      </c>
      <c r="C4012" s="7" t="s">
        <v>47</v>
      </c>
      <c r="D4012" s="7" t="n">
        <v>65</v>
      </c>
      <c r="E4012" s="7" t="s">
        <v>70</v>
      </c>
      <c r="F4012" s="7" t="s">
        <v>57</v>
      </c>
      <c r="G4012" s="8" t="n">
        <v>45823</v>
      </c>
      <c r="H4012" s="8" t="n">
        <v>45850</v>
      </c>
      <c r="I4012" s="7" t="s">
        <v>102</v>
      </c>
      <c r="J4012" s="7" t="s">
        <v>51</v>
      </c>
      <c r="K4012" s="7" t="n">
        <v>27</v>
      </c>
      <c r="L4012" s="7" t="n">
        <v>2</v>
      </c>
      <c r="M4012" s="7" t="n">
        <v>0</v>
      </c>
      <c r="N4012" s="7" t="s">
        <v>42</v>
      </c>
      <c r="O4012" s="7" t="s">
        <v>52</v>
      </c>
      <c r="P4012" s="7" t="n">
        <v>4.6</v>
      </c>
      <c r="Q4012" s="7" t="n">
        <v>37</v>
      </c>
      <c r="R4012" s="7" t="s">
        <v>53</v>
      </c>
      <c r="S4012" s="7"/>
      <c r="T4012" s="7"/>
      <c r="U4012" s="7" t="str">
        <f aca="false">IF(COUNTIF($A$2:$A$5001,A4012)&gt;1,"Duplicate","Unique")</f>
        <v>Unique</v>
      </c>
      <c r="V4012" s="7" t="str">
        <f aca="false">IF(COUNTIFS($B$2:$B$5001,B4012,$H$2:$H$5001,H4012,$J$2:$J$5001,J4012)&gt;1,"Possible Duplicate Booking","Unique")</f>
        <v>Unique</v>
      </c>
      <c r="W4012" s="7" t="str">
        <f aca="false">IF((H4012-G4012)&lt;&gt;K4012,"Mismatch","OK")</f>
        <v>OK</v>
      </c>
      <c r="X4012" s="7" t="str">
        <f aca="false">IF(TEXT(H4012,"dddd")&lt;&gt;I4012,"Mismatch","OK")</f>
        <v>OK</v>
      </c>
      <c r="Y4012" s="7" t="str">
        <f aca="false">IF(AND(N4012="No",O4012&lt;&gt;""),"Unexpected: channel present but no reminder sent",IF(AND(N4012="Yes",O4012=""),"Missing channel for sent reminder","OK"))</f>
        <v>OK</v>
      </c>
    </row>
    <row r="4013" customFormat="false" ht="15" hidden="false" customHeight="false" outlineLevel="0" collapsed="false">
      <c r="A4013" s="9" t="s">
        <v>5688</v>
      </c>
      <c r="B4013" s="9" t="s">
        <v>1674</v>
      </c>
      <c r="C4013" s="9" t="s">
        <v>47</v>
      </c>
      <c r="D4013" s="9" t="n">
        <v>46</v>
      </c>
      <c r="E4013" s="9" t="s">
        <v>56</v>
      </c>
      <c r="F4013" s="9" t="s">
        <v>74</v>
      </c>
      <c r="G4013" s="10" t="n">
        <v>46117</v>
      </c>
      <c r="H4013" s="10" t="n">
        <v>46141</v>
      </c>
      <c r="I4013" s="9" t="s">
        <v>58</v>
      </c>
      <c r="J4013" s="9" t="s">
        <v>51</v>
      </c>
      <c r="K4013" s="9" t="n">
        <v>24</v>
      </c>
      <c r="L4013" s="9" t="n">
        <v>1</v>
      </c>
      <c r="M4013" s="9" t="n">
        <v>0</v>
      </c>
      <c r="N4013" s="9" t="s">
        <v>42</v>
      </c>
      <c r="O4013" s="9" t="s">
        <v>67</v>
      </c>
      <c r="P4013" s="9" t="n">
        <v>2</v>
      </c>
      <c r="Q4013" s="9" t="n">
        <v>19</v>
      </c>
      <c r="R4013" s="9" t="s">
        <v>53</v>
      </c>
      <c r="S4013" s="9"/>
      <c r="T4013" s="9"/>
      <c r="U4013" s="9" t="str">
        <f aca="false">IF(COUNTIF($A$2:$A$5001,A4013)&gt;1,"Duplicate","Unique")</f>
        <v>Unique</v>
      </c>
      <c r="V4013" s="9" t="str">
        <f aca="false">IF(COUNTIFS($B$2:$B$5001,B4013,$H$2:$H$5001,H4013,$J$2:$J$5001,J4013)&gt;1,"Possible Duplicate Booking","Unique")</f>
        <v>Unique</v>
      </c>
      <c r="W4013" s="9" t="str">
        <f aca="false">IF((H4013-G4013)&lt;&gt;K4013,"Mismatch","OK")</f>
        <v>OK</v>
      </c>
      <c r="X4013" s="9" t="str">
        <f aca="false">IF(TEXT(H4013,"dddd")&lt;&gt;I4013,"Mismatch","OK")</f>
        <v>OK</v>
      </c>
      <c r="Y4013" s="9" t="str">
        <f aca="false">IF(AND(N4013="No",O4013&lt;&gt;""),"Unexpected: channel present but no reminder sent",IF(AND(N4013="Yes",O4013=""),"Missing channel for sent reminder","OK"))</f>
        <v>OK</v>
      </c>
    </row>
    <row r="4014" customFormat="false" ht="15" hidden="false" customHeight="false" outlineLevel="0" collapsed="false">
      <c r="A4014" s="7" t="s">
        <v>5689</v>
      </c>
      <c r="B4014" s="7" t="s">
        <v>4750</v>
      </c>
      <c r="C4014" s="7" t="s">
        <v>47</v>
      </c>
      <c r="D4014" s="7" t="n">
        <v>70</v>
      </c>
      <c r="E4014" s="7" t="s">
        <v>70</v>
      </c>
      <c r="F4014" s="7" t="s">
        <v>39</v>
      </c>
      <c r="G4014" s="8" t="n">
        <v>45986</v>
      </c>
      <c r="H4014" s="8" t="n">
        <v>46034</v>
      </c>
      <c r="I4014" s="7" t="s">
        <v>66</v>
      </c>
      <c r="J4014" s="7" t="s">
        <v>51</v>
      </c>
      <c r="K4014" s="7" t="n">
        <v>48</v>
      </c>
      <c r="L4014" s="7" t="n">
        <v>8</v>
      </c>
      <c r="M4014" s="7" t="n">
        <v>4</v>
      </c>
      <c r="N4014" s="7" t="s">
        <v>42</v>
      </c>
      <c r="O4014" s="7" t="s">
        <v>43</v>
      </c>
      <c r="P4014" s="7" t="n">
        <v>8.4</v>
      </c>
      <c r="Q4014" s="7" t="n">
        <v>28</v>
      </c>
      <c r="R4014" s="7" t="s">
        <v>44</v>
      </c>
      <c r="S4014" s="7"/>
      <c r="T4014" s="7"/>
      <c r="U4014" s="7" t="str">
        <f aca="false">IF(COUNTIF($A$2:$A$5001,A4014)&gt;1,"Duplicate","Unique")</f>
        <v>Unique</v>
      </c>
      <c r="V4014" s="7" t="str">
        <f aca="false">IF(COUNTIFS($B$2:$B$5001,B4014,$H$2:$H$5001,H4014,$J$2:$J$5001,J4014)&gt;1,"Possible Duplicate Booking","Unique")</f>
        <v>Unique</v>
      </c>
      <c r="W4014" s="7" t="str">
        <f aca="false">IF((H4014-G4014)&lt;&gt;K4014,"Mismatch","OK")</f>
        <v>OK</v>
      </c>
      <c r="X4014" s="7" t="str">
        <f aca="false">IF(TEXT(H4014,"dddd")&lt;&gt;I4014,"Mismatch","OK")</f>
        <v>OK</v>
      </c>
      <c r="Y4014" s="7" t="str">
        <f aca="false">IF(AND(N4014="No",O4014&lt;&gt;""),"Unexpected: channel present but no reminder sent",IF(AND(N4014="Yes",O4014=""),"Missing channel for sent reminder","OK"))</f>
        <v>OK</v>
      </c>
    </row>
    <row r="4015" customFormat="false" ht="15" hidden="false" customHeight="false" outlineLevel="0" collapsed="false">
      <c r="A4015" s="9" t="s">
        <v>5690</v>
      </c>
      <c r="B4015" s="9" t="s">
        <v>4454</v>
      </c>
      <c r="C4015" s="9" t="s">
        <v>37</v>
      </c>
      <c r="D4015" s="9" t="n">
        <v>69</v>
      </c>
      <c r="E4015" s="9" t="s">
        <v>70</v>
      </c>
      <c r="F4015" s="9" t="s">
        <v>57</v>
      </c>
      <c r="G4015" s="10" t="n">
        <v>45900</v>
      </c>
      <c r="H4015" s="10" t="n">
        <v>45925</v>
      </c>
      <c r="I4015" s="9" t="s">
        <v>62</v>
      </c>
      <c r="J4015" s="9" t="s">
        <v>41</v>
      </c>
      <c r="K4015" s="9" t="n">
        <v>25</v>
      </c>
      <c r="L4015" s="9" t="n">
        <v>2</v>
      </c>
      <c r="M4015" s="9" t="n">
        <v>2</v>
      </c>
      <c r="N4015" s="9" t="s">
        <v>42</v>
      </c>
      <c r="O4015" s="9" t="s">
        <v>52</v>
      </c>
      <c r="P4015" s="9" t="n">
        <v>9</v>
      </c>
      <c r="Q4015" s="9" t="n">
        <v>32</v>
      </c>
      <c r="R4015" s="9" t="s">
        <v>44</v>
      </c>
      <c r="S4015" s="9"/>
      <c r="T4015" s="9"/>
      <c r="U4015" s="9" t="str">
        <f aca="false">IF(COUNTIF($A$2:$A$5001,A4015)&gt;1,"Duplicate","Unique")</f>
        <v>Unique</v>
      </c>
      <c r="V4015" s="9" t="str">
        <f aca="false">IF(COUNTIFS($B$2:$B$5001,B4015,$H$2:$H$5001,H4015,$J$2:$J$5001,J4015)&gt;1,"Possible Duplicate Booking","Unique")</f>
        <v>Unique</v>
      </c>
      <c r="W4015" s="9" t="str">
        <f aca="false">IF((H4015-G4015)&lt;&gt;K4015,"Mismatch","OK")</f>
        <v>OK</v>
      </c>
      <c r="X4015" s="9" t="str">
        <f aca="false">IF(TEXT(H4015,"dddd")&lt;&gt;I4015,"Mismatch","OK")</f>
        <v>OK</v>
      </c>
      <c r="Y4015" s="9" t="str">
        <f aca="false">IF(AND(N4015="No",O4015&lt;&gt;""),"Unexpected: channel present but no reminder sent",IF(AND(N4015="Yes",O4015=""),"Missing channel for sent reminder","OK"))</f>
        <v>OK</v>
      </c>
    </row>
    <row r="4016" customFormat="false" ht="15" hidden="false" customHeight="false" outlineLevel="0" collapsed="false">
      <c r="A4016" s="7" t="s">
        <v>5691</v>
      </c>
      <c r="B4016" s="7" t="s">
        <v>1893</v>
      </c>
      <c r="C4016" s="7" t="s">
        <v>47</v>
      </c>
      <c r="D4016" s="7" t="n">
        <v>25</v>
      </c>
      <c r="E4016" s="7" t="s">
        <v>48</v>
      </c>
      <c r="F4016" s="7" t="s">
        <v>57</v>
      </c>
      <c r="G4016" s="8" t="n">
        <v>45760</v>
      </c>
      <c r="H4016" s="8" t="n">
        <v>45812</v>
      </c>
      <c r="I4016" s="7" t="s">
        <v>58</v>
      </c>
      <c r="J4016" s="7" t="s">
        <v>51</v>
      </c>
      <c r="K4016" s="7" t="n">
        <v>52</v>
      </c>
      <c r="L4016" s="7" t="n">
        <v>1</v>
      </c>
      <c r="M4016" s="7" t="n">
        <v>0</v>
      </c>
      <c r="N4016" s="7" t="s">
        <v>42</v>
      </c>
      <c r="O4016" s="7" t="s">
        <v>52</v>
      </c>
      <c r="P4016" s="7" t="n">
        <v>12.6</v>
      </c>
      <c r="Q4016" s="7" t="n">
        <v>38</v>
      </c>
      <c r="R4016" s="7" t="s">
        <v>44</v>
      </c>
      <c r="S4016" s="7"/>
      <c r="T4016" s="7"/>
      <c r="U4016" s="7" t="str">
        <f aca="false">IF(COUNTIF($A$2:$A$5001,A4016)&gt;1,"Duplicate","Unique")</f>
        <v>Unique</v>
      </c>
      <c r="V4016" s="7" t="str">
        <f aca="false">IF(COUNTIFS($B$2:$B$5001,B4016,$H$2:$H$5001,H4016,$J$2:$J$5001,J4016)&gt;1,"Possible Duplicate Booking","Unique")</f>
        <v>Unique</v>
      </c>
      <c r="W4016" s="7" t="str">
        <f aca="false">IF((H4016-G4016)&lt;&gt;K4016,"Mismatch","OK")</f>
        <v>OK</v>
      </c>
      <c r="X4016" s="7" t="str">
        <f aca="false">IF(TEXT(H4016,"dddd")&lt;&gt;I4016,"Mismatch","OK")</f>
        <v>OK</v>
      </c>
      <c r="Y4016" s="7" t="str">
        <f aca="false">IF(AND(N4016="No",O4016&lt;&gt;""),"Unexpected: channel present but no reminder sent",IF(AND(N4016="Yes",O4016=""),"Missing channel for sent reminder","OK"))</f>
        <v>OK</v>
      </c>
    </row>
    <row r="4017" customFormat="false" ht="15" hidden="false" customHeight="false" outlineLevel="0" collapsed="false">
      <c r="A4017" s="9" t="s">
        <v>5692</v>
      </c>
      <c r="B4017" s="9" t="s">
        <v>5262</v>
      </c>
      <c r="C4017" s="9" t="s">
        <v>47</v>
      </c>
      <c r="D4017" s="9" t="n">
        <v>21</v>
      </c>
      <c r="E4017" s="9" t="s">
        <v>82</v>
      </c>
      <c r="F4017" s="9" t="s">
        <v>57</v>
      </c>
      <c r="G4017" s="10" t="n">
        <v>45724</v>
      </c>
      <c r="H4017" s="10" t="n">
        <v>45735</v>
      </c>
      <c r="I4017" s="9" t="s">
        <v>58</v>
      </c>
      <c r="J4017" s="9" t="s">
        <v>41</v>
      </c>
      <c r="K4017" s="9" t="n">
        <v>11</v>
      </c>
      <c r="L4017" s="9" t="n">
        <v>3</v>
      </c>
      <c r="M4017" s="9" t="n">
        <v>0</v>
      </c>
      <c r="N4017" s="9" t="s">
        <v>42</v>
      </c>
      <c r="O4017" s="9" t="s">
        <v>52</v>
      </c>
      <c r="P4017" s="9" t="n">
        <v>6.6</v>
      </c>
      <c r="Q4017" s="9" t="n">
        <v>28</v>
      </c>
      <c r="R4017" s="9" t="s">
        <v>53</v>
      </c>
      <c r="S4017" s="9"/>
      <c r="T4017" s="9"/>
      <c r="U4017" s="9" t="str">
        <f aca="false">IF(COUNTIF($A$2:$A$5001,A4017)&gt;1,"Duplicate","Unique")</f>
        <v>Unique</v>
      </c>
      <c r="V4017" s="9" t="str">
        <f aca="false">IF(COUNTIFS($B$2:$B$5001,B4017,$H$2:$H$5001,H4017,$J$2:$J$5001,J4017)&gt;1,"Possible Duplicate Booking","Unique")</f>
        <v>Unique</v>
      </c>
      <c r="W4017" s="9" t="str">
        <f aca="false">IF((H4017-G4017)&lt;&gt;K4017,"Mismatch","OK")</f>
        <v>OK</v>
      </c>
      <c r="X4017" s="9" t="str">
        <f aca="false">IF(TEXT(H4017,"dddd")&lt;&gt;I4017,"Mismatch","OK")</f>
        <v>OK</v>
      </c>
      <c r="Y4017" s="9" t="str">
        <f aca="false">IF(AND(N4017="No",O4017&lt;&gt;""),"Unexpected: channel present but no reminder sent",IF(AND(N4017="Yes",O4017=""),"Missing channel for sent reminder","OK"))</f>
        <v>OK</v>
      </c>
    </row>
    <row r="4018" customFormat="false" ht="15" hidden="false" customHeight="false" outlineLevel="0" collapsed="false">
      <c r="A4018" s="7" t="s">
        <v>5693</v>
      </c>
      <c r="B4018" s="7" t="s">
        <v>3132</v>
      </c>
      <c r="C4018" s="7" t="s">
        <v>47</v>
      </c>
      <c r="D4018" s="7" t="n">
        <v>33</v>
      </c>
      <c r="E4018" s="7" t="s">
        <v>48</v>
      </c>
      <c r="F4018" s="7" t="s">
        <v>74</v>
      </c>
      <c r="G4018" s="8" t="n">
        <v>45782</v>
      </c>
      <c r="H4018" s="8" t="n">
        <v>45805</v>
      </c>
      <c r="I4018" s="7" t="s">
        <v>58</v>
      </c>
      <c r="J4018" s="7" t="s">
        <v>41</v>
      </c>
      <c r="K4018" s="7" t="n">
        <v>23</v>
      </c>
      <c r="L4018" s="7" t="n">
        <v>8</v>
      </c>
      <c r="M4018" s="7" t="n">
        <v>1</v>
      </c>
      <c r="N4018" s="7" t="s">
        <v>42</v>
      </c>
      <c r="O4018" s="7" t="s">
        <v>52</v>
      </c>
      <c r="P4018" s="7" t="n">
        <v>2.7</v>
      </c>
      <c r="Q4018" s="7" t="n">
        <v>27</v>
      </c>
      <c r="R4018" s="7" t="s">
        <v>53</v>
      </c>
      <c r="S4018" s="7"/>
      <c r="T4018" s="7"/>
      <c r="U4018" s="7" t="str">
        <f aca="false">IF(COUNTIF($A$2:$A$5001,A4018)&gt;1,"Duplicate","Unique")</f>
        <v>Unique</v>
      </c>
      <c r="V4018" s="7" t="str">
        <f aca="false">IF(COUNTIFS($B$2:$B$5001,B4018,$H$2:$H$5001,H4018,$J$2:$J$5001,J4018)&gt;1,"Possible Duplicate Booking","Unique")</f>
        <v>Unique</v>
      </c>
      <c r="W4018" s="7" t="str">
        <f aca="false">IF((H4018-G4018)&lt;&gt;K4018,"Mismatch","OK")</f>
        <v>OK</v>
      </c>
      <c r="X4018" s="7" t="str">
        <f aca="false">IF(TEXT(H4018,"dddd")&lt;&gt;I4018,"Mismatch","OK")</f>
        <v>OK</v>
      </c>
      <c r="Y4018" s="7" t="str">
        <f aca="false">IF(AND(N4018="No",O4018&lt;&gt;""),"Unexpected: channel present but no reminder sent",IF(AND(N4018="Yes",O4018=""),"Missing channel for sent reminder","OK"))</f>
        <v>OK</v>
      </c>
    </row>
    <row r="4019" customFormat="false" ht="15" hidden="false" customHeight="false" outlineLevel="0" collapsed="false">
      <c r="A4019" s="9" t="s">
        <v>5694</v>
      </c>
      <c r="B4019" s="9" t="s">
        <v>821</v>
      </c>
      <c r="C4019" s="9" t="s">
        <v>47</v>
      </c>
      <c r="D4019" s="9" t="n">
        <v>18</v>
      </c>
      <c r="E4019" s="9" t="s">
        <v>82</v>
      </c>
      <c r="F4019" s="9" t="s">
        <v>39</v>
      </c>
      <c r="G4019" s="10" t="n">
        <v>45695</v>
      </c>
      <c r="H4019" s="10" t="n">
        <v>45741</v>
      </c>
      <c r="I4019" s="9" t="s">
        <v>40</v>
      </c>
      <c r="J4019" s="9" t="s">
        <v>41</v>
      </c>
      <c r="K4019" s="9" t="n">
        <v>46</v>
      </c>
      <c r="L4019" s="9" t="n">
        <v>4</v>
      </c>
      <c r="M4019" s="9" t="n">
        <v>0</v>
      </c>
      <c r="N4019" s="9" t="s">
        <v>71</v>
      </c>
      <c r="O4019" s="9"/>
      <c r="P4019" s="9" t="n">
        <v>9.3</v>
      </c>
      <c r="Q4019" s="9" t="n">
        <v>21</v>
      </c>
      <c r="R4019" s="9" t="s">
        <v>44</v>
      </c>
      <c r="S4019" s="9"/>
      <c r="T4019" s="9"/>
      <c r="U4019" s="9" t="str">
        <f aca="false">IF(COUNTIF($A$2:$A$5001,A4019)&gt;1,"Duplicate","Unique")</f>
        <v>Unique</v>
      </c>
      <c r="V4019" s="9" t="str">
        <f aca="false">IF(COUNTIFS($B$2:$B$5001,B4019,$H$2:$H$5001,H4019,$J$2:$J$5001,J4019)&gt;1,"Possible Duplicate Booking","Unique")</f>
        <v>Unique</v>
      </c>
      <c r="W4019" s="9" t="str">
        <f aca="false">IF((H4019-G4019)&lt;&gt;K4019,"Mismatch","OK")</f>
        <v>OK</v>
      </c>
      <c r="X4019" s="9" t="str">
        <f aca="false">IF(TEXT(H4019,"dddd")&lt;&gt;I4019,"Mismatch","OK")</f>
        <v>OK</v>
      </c>
      <c r="Y4019" s="9" t="str">
        <f aca="false">IF(AND(N4019="No",O4019&lt;&gt;""),"Unexpected: channel present but no reminder sent",IF(AND(N4019="Yes",O4019=""),"Missing channel for sent reminder","OK"))</f>
        <v>OK</v>
      </c>
    </row>
    <row r="4020" customFormat="false" ht="15" hidden="false" customHeight="false" outlineLevel="0" collapsed="false">
      <c r="A4020" s="7" t="s">
        <v>5695</v>
      </c>
      <c r="B4020" s="7" t="s">
        <v>1115</v>
      </c>
      <c r="C4020" s="7" t="s">
        <v>37</v>
      </c>
      <c r="D4020" s="7" t="n">
        <v>54</v>
      </c>
      <c r="E4020" s="7" t="s">
        <v>56</v>
      </c>
      <c r="F4020" s="7" t="s">
        <v>57</v>
      </c>
      <c r="G4020" s="8" t="n">
        <v>45753</v>
      </c>
      <c r="H4020" s="8" t="n">
        <v>45760</v>
      </c>
      <c r="I4020" s="7" t="s">
        <v>75</v>
      </c>
      <c r="J4020" s="7" t="s">
        <v>41</v>
      </c>
      <c r="K4020" s="7" t="n">
        <v>7</v>
      </c>
      <c r="L4020" s="7" t="n">
        <v>4</v>
      </c>
      <c r="M4020" s="7" t="n">
        <v>0</v>
      </c>
      <c r="N4020" s="7" t="s">
        <v>71</v>
      </c>
      <c r="O4020" s="7"/>
      <c r="P4020" s="7" t="n">
        <v>11.3</v>
      </c>
      <c r="Q4020" s="7" t="n">
        <v>36</v>
      </c>
      <c r="R4020" s="7" t="s">
        <v>44</v>
      </c>
      <c r="S4020" s="7"/>
      <c r="T4020" s="7"/>
      <c r="U4020" s="7" t="str">
        <f aca="false">IF(COUNTIF($A$2:$A$5001,A4020)&gt;1,"Duplicate","Unique")</f>
        <v>Unique</v>
      </c>
      <c r="V4020" s="7" t="str">
        <f aca="false">IF(COUNTIFS($B$2:$B$5001,B4020,$H$2:$H$5001,H4020,$J$2:$J$5001,J4020)&gt;1,"Possible Duplicate Booking","Unique")</f>
        <v>Unique</v>
      </c>
      <c r="W4020" s="7" t="str">
        <f aca="false">IF((H4020-G4020)&lt;&gt;K4020,"Mismatch","OK")</f>
        <v>OK</v>
      </c>
      <c r="X4020" s="7" t="str">
        <f aca="false">IF(TEXT(H4020,"dddd")&lt;&gt;I4020,"Mismatch","OK")</f>
        <v>OK</v>
      </c>
      <c r="Y4020" s="7" t="str">
        <f aca="false">IF(AND(N4020="No",O4020&lt;&gt;""),"Unexpected: channel present but no reminder sent",IF(AND(N4020="Yes",O4020=""),"Missing channel for sent reminder","OK"))</f>
        <v>OK</v>
      </c>
    </row>
    <row r="4021" customFormat="false" ht="15" hidden="false" customHeight="false" outlineLevel="0" collapsed="false">
      <c r="A4021" s="9" t="s">
        <v>5696</v>
      </c>
      <c r="B4021" s="9" t="s">
        <v>4286</v>
      </c>
      <c r="C4021" s="9" t="s">
        <v>47</v>
      </c>
      <c r="D4021" s="9" t="n">
        <v>51</v>
      </c>
      <c r="E4021" s="9" t="s">
        <v>56</v>
      </c>
      <c r="F4021" s="9" t="s">
        <v>39</v>
      </c>
      <c r="G4021" s="10" t="n">
        <v>46014</v>
      </c>
      <c r="H4021" s="10" t="n">
        <v>46033</v>
      </c>
      <c r="I4021" s="9" t="s">
        <v>75</v>
      </c>
      <c r="J4021" s="9" t="s">
        <v>41</v>
      </c>
      <c r="K4021" s="9" t="n">
        <v>19</v>
      </c>
      <c r="L4021" s="9" t="n">
        <v>3</v>
      </c>
      <c r="M4021" s="9" t="n">
        <v>0</v>
      </c>
      <c r="N4021" s="9" t="s">
        <v>42</v>
      </c>
      <c r="O4021" s="9" t="s">
        <v>52</v>
      </c>
      <c r="P4021" s="9" t="n">
        <v>9.7</v>
      </c>
      <c r="Q4021" s="9" t="n">
        <v>38</v>
      </c>
      <c r="R4021" s="9" t="s">
        <v>53</v>
      </c>
      <c r="S4021" s="9"/>
      <c r="T4021" s="9"/>
      <c r="U4021" s="9" t="str">
        <f aca="false">IF(COUNTIF($A$2:$A$5001,A4021)&gt;1,"Duplicate","Unique")</f>
        <v>Unique</v>
      </c>
      <c r="V4021" s="9" t="str">
        <f aca="false">IF(COUNTIFS($B$2:$B$5001,B4021,$H$2:$H$5001,H4021,$J$2:$J$5001,J4021)&gt;1,"Possible Duplicate Booking","Unique")</f>
        <v>Unique</v>
      </c>
      <c r="W4021" s="9" t="str">
        <f aca="false">IF((H4021-G4021)&lt;&gt;K4021,"Mismatch","OK")</f>
        <v>OK</v>
      </c>
      <c r="X4021" s="9" t="str">
        <f aca="false">IF(TEXT(H4021,"dddd")&lt;&gt;I4021,"Mismatch","OK")</f>
        <v>OK</v>
      </c>
      <c r="Y4021" s="9" t="str">
        <f aca="false">IF(AND(N4021="No",O4021&lt;&gt;""),"Unexpected: channel present but no reminder sent",IF(AND(N4021="Yes",O4021=""),"Missing channel for sent reminder","OK"))</f>
        <v>OK</v>
      </c>
    </row>
    <row r="4022" customFormat="false" ht="15" hidden="false" customHeight="false" outlineLevel="0" collapsed="false">
      <c r="A4022" s="7" t="s">
        <v>5697</v>
      </c>
      <c r="B4022" s="7" t="s">
        <v>1189</v>
      </c>
      <c r="C4022" s="7" t="s">
        <v>47</v>
      </c>
      <c r="D4022" s="7" t="n">
        <v>51</v>
      </c>
      <c r="E4022" s="7" t="s">
        <v>56</v>
      </c>
      <c r="F4022" s="7" t="s">
        <v>57</v>
      </c>
      <c r="G4022" s="8" t="n">
        <v>45685</v>
      </c>
      <c r="H4022" s="8" t="n">
        <v>45730</v>
      </c>
      <c r="I4022" s="7" t="s">
        <v>50</v>
      </c>
      <c r="J4022" s="7" t="s">
        <v>41</v>
      </c>
      <c r="K4022" s="7" t="n">
        <v>45</v>
      </c>
      <c r="L4022" s="7" t="n">
        <v>3</v>
      </c>
      <c r="M4022" s="7" t="n">
        <v>1</v>
      </c>
      <c r="N4022" s="7" t="s">
        <v>42</v>
      </c>
      <c r="O4022" s="7" t="s">
        <v>52</v>
      </c>
      <c r="P4022" s="7" t="n">
        <v>11.6</v>
      </c>
      <c r="Q4022" s="7" t="n">
        <v>35</v>
      </c>
      <c r="R4022" s="7" t="s">
        <v>44</v>
      </c>
      <c r="S4022" s="7"/>
      <c r="T4022" s="7"/>
      <c r="U4022" s="7" t="str">
        <f aca="false">IF(COUNTIF($A$2:$A$5001,A4022)&gt;1,"Duplicate","Unique")</f>
        <v>Unique</v>
      </c>
      <c r="V4022" s="7" t="str">
        <f aca="false">IF(COUNTIFS($B$2:$B$5001,B4022,$H$2:$H$5001,H4022,$J$2:$J$5001,J4022)&gt;1,"Possible Duplicate Booking","Unique")</f>
        <v>Unique</v>
      </c>
      <c r="W4022" s="7" t="str">
        <f aca="false">IF((H4022-G4022)&lt;&gt;K4022,"Mismatch","OK")</f>
        <v>OK</v>
      </c>
      <c r="X4022" s="7" t="str">
        <f aca="false">IF(TEXT(H4022,"dddd")&lt;&gt;I4022,"Mismatch","OK")</f>
        <v>OK</v>
      </c>
      <c r="Y4022" s="7" t="str">
        <f aca="false">IF(AND(N4022="No",O4022&lt;&gt;""),"Unexpected: channel present but no reminder sent",IF(AND(N4022="Yes",O4022=""),"Missing channel for sent reminder","OK"))</f>
        <v>OK</v>
      </c>
    </row>
    <row r="4023" customFormat="false" ht="15" hidden="false" customHeight="false" outlineLevel="0" collapsed="false">
      <c r="A4023" s="9" t="s">
        <v>5698</v>
      </c>
      <c r="B4023" s="9" t="s">
        <v>4934</v>
      </c>
      <c r="C4023" s="9" t="s">
        <v>47</v>
      </c>
      <c r="D4023" s="9" t="n">
        <v>22</v>
      </c>
      <c r="E4023" s="9" t="s">
        <v>82</v>
      </c>
      <c r="F4023" s="9" t="s">
        <v>57</v>
      </c>
      <c r="G4023" s="10" t="n">
        <v>45648</v>
      </c>
      <c r="H4023" s="10" t="n">
        <v>45683</v>
      </c>
      <c r="I4023" s="9" t="s">
        <v>75</v>
      </c>
      <c r="J4023" s="9" t="s">
        <v>51</v>
      </c>
      <c r="K4023" s="9" t="n">
        <v>35</v>
      </c>
      <c r="L4023" s="9" t="n">
        <v>3</v>
      </c>
      <c r="M4023" s="9" t="n">
        <v>0</v>
      </c>
      <c r="N4023" s="9" t="s">
        <v>42</v>
      </c>
      <c r="O4023" s="9" t="s">
        <v>52</v>
      </c>
      <c r="P4023" s="9" t="n">
        <v>10.5</v>
      </c>
      <c r="Q4023" s="9" t="n">
        <v>32</v>
      </c>
      <c r="R4023" s="9" t="s">
        <v>53</v>
      </c>
      <c r="S4023" s="9"/>
      <c r="T4023" s="9"/>
      <c r="U4023" s="9" t="str">
        <f aca="false">IF(COUNTIF($A$2:$A$5001,A4023)&gt;1,"Duplicate","Unique")</f>
        <v>Unique</v>
      </c>
      <c r="V4023" s="9" t="str">
        <f aca="false">IF(COUNTIFS($B$2:$B$5001,B4023,$H$2:$H$5001,H4023,$J$2:$J$5001,J4023)&gt;1,"Possible Duplicate Booking","Unique")</f>
        <v>Unique</v>
      </c>
      <c r="W4023" s="9" t="str">
        <f aca="false">IF((H4023-G4023)&lt;&gt;K4023,"Mismatch","OK")</f>
        <v>OK</v>
      </c>
      <c r="X4023" s="9" t="str">
        <f aca="false">IF(TEXT(H4023,"dddd")&lt;&gt;I4023,"Mismatch","OK")</f>
        <v>OK</v>
      </c>
      <c r="Y4023" s="9" t="str">
        <f aca="false">IF(AND(N4023="No",O4023&lt;&gt;""),"Unexpected: channel present but no reminder sent",IF(AND(N4023="Yes",O4023=""),"Missing channel for sent reminder","OK"))</f>
        <v>OK</v>
      </c>
    </row>
    <row r="4024" customFormat="false" ht="15" hidden="false" customHeight="false" outlineLevel="0" collapsed="false">
      <c r="A4024" s="7" t="s">
        <v>5699</v>
      </c>
      <c r="B4024" s="7" t="s">
        <v>5700</v>
      </c>
      <c r="C4024" s="7" t="s">
        <v>37</v>
      </c>
      <c r="D4024" s="7" t="n">
        <v>75</v>
      </c>
      <c r="E4024" s="7" t="s">
        <v>70</v>
      </c>
      <c r="F4024" s="7" t="s">
        <v>49</v>
      </c>
      <c r="G4024" s="8" t="n">
        <v>45907</v>
      </c>
      <c r="H4024" s="8" t="n">
        <v>45954</v>
      </c>
      <c r="I4024" s="7" t="s">
        <v>50</v>
      </c>
      <c r="J4024" s="7" t="s">
        <v>41</v>
      </c>
      <c r="K4024" s="7" t="n">
        <v>47</v>
      </c>
      <c r="L4024" s="7" t="n">
        <v>3</v>
      </c>
      <c r="M4024" s="7" t="n">
        <v>0</v>
      </c>
      <c r="N4024" s="7" t="s">
        <v>42</v>
      </c>
      <c r="O4024" s="7" t="s">
        <v>43</v>
      </c>
      <c r="P4024" s="7" t="n">
        <v>9.8</v>
      </c>
      <c r="Q4024" s="7" t="n">
        <v>27</v>
      </c>
      <c r="R4024" s="7" t="s">
        <v>44</v>
      </c>
      <c r="S4024" s="7"/>
      <c r="T4024" s="7"/>
      <c r="U4024" s="7" t="str">
        <f aca="false">IF(COUNTIF($A$2:$A$5001,A4024)&gt;1,"Duplicate","Unique")</f>
        <v>Unique</v>
      </c>
      <c r="V4024" s="7" t="str">
        <f aca="false">IF(COUNTIFS($B$2:$B$5001,B4024,$H$2:$H$5001,H4024,$J$2:$J$5001,J4024)&gt;1,"Possible Duplicate Booking","Unique")</f>
        <v>Unique</v>
      </c>
      <c r="W4024" s="7" t="str">
        <f aca="false">IF((H4024-G4024)&lt;&gt;K4024,"Mismatch","OK")</f>
        <v>OK</v>
      </c>
      <c r="X4024" s="7" t="str">
        <f aca="false">IF(TEXT(H4024,"dddd")&lt;&gt;I4024,"Mismatch","OK")</f>
        <v>OK</v>
      </c>
      <c r="Y4024" s="7" t="str">
        <f aca="false">IF(AND(N4024="No",O4024&lt;&gt;""),"Unexpected: channel present but no reminder sent",IF(AND(N4024="Yes",O4024=""),"Missing channel for sent reminder","OK"))</f>
        <v>OK</v>
      </c>
    </row>
    <row r="4025" customFormat="false" ht="15" hidden="false" customHeight="false" outlineLevel="0" collapsed="false">
      <c r="A4025" s="9" t="s">
        <v>5701</v>
      </c>
      <c r="B4025" s="9" t="s">
        <v>5702</v>
      </c>
      <c r="C4025" s="9" t="s">
        <v>236</v>
      </c>
      <c r="D4025" s="9" t="n">
        <v>79</v>
      </c>
      <c r="E4025" s="9" t="s">
        <v>70</v>
      </c>
      <c r="F4025" s="9" t="s">
        <v>57</v>
      </c>
      <c r="G4025" s="10" t="n">
        <v>45783</v>
      </c>
      <c r="H4025" s="10" t="n">
        <v>45814</v>
      </c>
      <c r="I4025" s="9" t="s">
        <v>50</v>
      </c>
      <c r="J4025" s="9" t="s">
        <v>51</v>
      </c>
      <c r="K4025" s="9" t="n">
        <v>31</v>
      </c>
      <c r="L4025" s="9" t="n">
        <v>5</v>
      </c>
      <c r="M4025" s="9" t="n">
        <v>1</v>
      </c>
      <c r="N4025" s="9" t="s">
        <v>42</v>
      </c>
      <c r="O4025" s="9" t="s">
        <v>67</v>
      </c>
      <c r="P4025" s="9" t="n">
        <v>6</v>
      </c>
      <c r="Q4025" s="9" t="n">
        <v>18</v>
      </c>
      <c r="R4025" s="9" t="s">
        <v>53</v>
      </c>
      <c r="S4025" s="9"/>
      <c r="T4025" s="9"/>
      <c r="U4025" s="9" t="str">
        <f aca="false">IF(COUNTIF($A$2:$A$5001,A4025)&gt;1,"Duplicate","Unique")</f>
        <v>Unique</v>
      </c>
      <c r="V4025" s="9" t="str">
        <f aca="false">IF(COUNTIFS($B$2:$B$5001,B4025,$H$2:$H$5001,H4025,$J$2:$J$5001,J4025)&gt;1,"Possible Duplicate Booking","Unique")</f>
        <v>Unique</v>
      </c>
      <c r="W4025" s="9" t="str">
        <f aca="false">IF((H4025-G4025)&lt;&gt;K4025,"Mismatch","OK")</f>
        <v>OK</v>
      </c>
      <c r="X4025" s="9" t="str">
        <f aca="false">IF(TEXT(H4025,"dddd")&lt;&gt;I4025,"Mismatch","OK")</f>
        <v>OK</v>
      </c>
      <c r="Y4025" s="9" t="str">
        <f aca="false">IF(AND(N4025="No",O4025&lt;&gt;""),"Unexpected: channel present but no reminder sent",IF(AND(N4025="Yes",O4025=""),"Missing channel for sent reminder","OK"))</f>
        <v>OK</v>
      </c>
    </row>
    <row r="4026" customFormat="false" ht="15" hidden="false" customHeight="false" outlineLevel="0" collapsed="false">
      <c r="A4026" s="7" t="s">
        <v>5703</v>
      </c>
      <c r="B4026" s="7" t="s">
        <v>1540</v>
      </c>
      <c r="C4026" s="7" t="s">
        <v>47</v>
      </c>
      <c r="D4026" s="7" t="n">
        <v>55</v>
      </c>
      <c r="E4026" s="7" t="s">
        <v>61</v>
      </c>
      <c r="F4026" s="7" t="s">
        <v>74</v>
      </c>
      <c r="G4026" s="8" t="n">
        <v>45854</v>
      </c>
      <c r="H4026" s="8" t="n">
        <v>45906</v>
      </c>
      <c r="I4026" s="7" t="s">
        <v>102</v>
      </c>
      <c r="J4026" s="7" t="s">
        <v>41</v>
      </c>
      <c r="K4026" s="7" t="n">
        <v>52</v>
      </c>
      <c r="L4026" s="7" t="n">
        <v>2</v>
      </c>
      <c r="M4026" s="7" t="n">
        <v>0</v>
      </c>
      <c r="N4026" s="7" t="s">
        <v>42</v>
      </c>
      <c r="O4026" s="7" t="s">
        <v>43</v>
      </c>
      <c r="P4026" s="7" t="n">
        <v>5.7</v>
      </c>
      <c r="Q4026" s="7" t="n">
        <v>16</v>
      </c>
      <c r="R4026" s="7" t="s">
        <v>44</v>
      </c>
      <c r="S4026" s="7"/>
      <c r="T4026" s="7"/>
      <c r="U4026" s="7" t="str">
        <f aca="false">IF(COUNTIF($A$2:$A$5001,A4026)&gt;1,"Duplicate","Unique")</f>
        <v>Unique</v>
      </c>
      <c r="V4026" s="7" t="str">
        <f aca="false">IF(COUNTIFS($B$2:$B$5001,B4026,$H$2:$H$5001,H4026,$J$2:$J$5001,J4026)&gt;1,"Possible Duplicate Booking","Unique")</f>
        <v>Unique</v>
      </c>
      <c r="W4026" s="7" t="str">
        <f aca="false">IF((H4026-G4026)&lt;&gt;K4026,"Mismatch","OK")</f>
        <v>OK</v>
      </c>
      <c r="X4026" s="7" t="str">
        <f aca="false">IF(TEXT(H4026,"dddd")&lt;&gt;I4026,"Mismatch","OK")</f>
        <v>OK</v>
      </c>
      <c r="Y4026" s="7" t="str">
        <f aca="false">IF(AND(N4026="No",O4026&lt;&gt;""),"Unexpected: channel present but no reminder sent",IF(AND(N4026="Yes",O4026=""),"Missing channel for sent reminder","OK"))</f>
        <v>OK</v>
      </c>
    </row>
    <row r="4027" customFormat="false" ht="15" hidden="false" customHeight="false" outlineLevel="0" collapsed="false">
      <c r="A4027" s="9" t="s">
        <v>5704</v>
      </c>
      <c r="B4027" s="9" t="s">
        <v>2649</v>
      </c>
      <c r="C4027" s="9" t="s">
        <v>47</v>
      </c>
      <c r="D4027" s="9" t="n">
        <v>18</v>
      </c>
      <c r="E4027" s="9" t="s">
        <v>82</v>
      </c>
      <c r="F4027" s="9" t="s">
        <v>49</v>
      </c>
      <c r="G4027" s="10" t="n">
        <v>45681</v>
      </c>
      <c r="H4027" s="10" t="n">
        <v>45734</v>
      </c>
      <c r="I4027" s="9" t="s">
        <v>40</v>
      </c>
      <c r="J4027" s="9" t="s">
        <v>41</v>
      </c>
      <c r="K4027" s="9" t="n">
        <v>53</v>
      </c>
      <c r="L4027" s="9" t="n">
        <v>1</v>
      </c>
      <c r="M4027" s="9" t="n">
        <v>1</v>
      </c>
      <c r="N4027" s="9" t="s">
        <v>42</v>
      </c>
      <c r="O4027" s="9" t="s">
        <v>52</v>
      </c>
      <c r="P4027" s="9" t="n">
        <v>23.5</v>
      </c>
      <c r="Q4027" s="9" t="n">
        <v>35</v>
      </c>
      <c r="R4027" s="9" t="s">
        <v>44</v>
      </c>
      <c r="S4027" s="9"/>
      <c r="T4027" s="9"/>
      <c r="U4027" s="9" t="str">
        <f aca="false">IF(COUNTIF($A$2:$A$5001,A4027)&gt;1,"Duplicate","Unique")</f>
        <v>Unique</v>
      </c>
      <c r="V4027" s="9" t="str">
        <f aca="false">IF(COUNTIFS($B$2:$B$5001,B4027,$H$2:$H$5001,H4027,$J$2:$J$5001,J4027)&gt;1,"Possible Duplicate Booking","Unique")</f>
        <v>Possible Duplicate Booking</v>
      </c>
      <c r="W4027" s="9" t="str">
        <f aca="false">IF((H4027-G4027)&lt;&gt;K4027,"Mismatch","OK")</f>
        <v>OK</v>
      </c>
      <c r="X4027" s="9" t="str">
        <f aca="false">IF(TEXT(H4027,"dddd")&lt;&gt;I4027,"Mismatch","OK")</f>
        <v>OK</v>
      </c>
      <c r="Y4027" s="9" t="str">
        <f aca="false">IF(AND(N4027="No",O4027&lt;&gt;""),"Unexpected: channel present but no reminder sent",IF(AND(N4027="Yes",O4027=""),"Missing channel for sent reminder","OK"))</f>
        <v>OK</v>
      </c>
    </row>
    <row r="4028" customFormat="false" ht="15" hidden="false" customHeight="false" outlineLevel="0" collapsed="false">
      <c r="A4028" s="7" t="s">
        <v>5705</v>
      </c>
      <c r="B4028" s="7" t="s">
        <v>1567</v>
      </c>
      <c r="C4028" s="7" t="s">
        <v>37</v>
      </c>
      <c r="D4028" s="7" t="n">
        <v>42</v>
      </c>
      <c r="E4028" s="7" t="s">
        <v>38</v>
      </c>
      <c r="F4028" s="7" t="s">
        <v>57</v>
      </c>
      <c r="G4028" s="8" t="n">
        <v>45713</v>
      </c>
      <c r="H4028" s="8" t="n">
        <v>45772</v>
      </c>
      <c r="I4028" s="7" t="s">
        <v>50</v>
      </c>
      <c r="J4028" s="7" t="s">
        <v>51</v>
      </c>
      <c r="K4028" s="7" t="n">
        <v>59</v>
      </c>
      <c r="L4028" s="7" t="n">
        <v>4</v>
      </c>
      <c r="M4028" s="7" t="n">
        <v>0</v>
      </c>
      <c r="N4028" s="7" t="s">
        <v>42</v>
      </c>
      <c r="O4028" s="7" t="s">
        <v>43</v>
      </c>
      <c r="P4028" s="7" t="n">
        <v>4.3</v>
      </c>
      <c r="Q4028" s="7" t="n">
        <v>36</v>
      </c>
      <c r="R4028" s="7" t="s">
        <v>53</v>
      </c>
      <c r="S4028" s="7"/>
      <c r="T4028" s="7"/>
      <c r="U4028" s="7" t="str">
        <f aca="false">IF(COUNTIF($A$2:$A$5001,A4028)&gt;1,"Duplicate","Unique")</f>
        <v>Unique</v>
      </c>
      <c r="V4028" s="7" t="str">
        <f aca="false">IF(COUNTIFS($B$2:$B$5001,B4028,$H$2:$H$5001,H4028,$J$2:$J$5001,J4028)&gt;1,"Possible Duplicate Booking","Unique")</f>
        <v>Unique</v>
      </c>
      <c r="W4028" s="7" t="str">
        <f aca="false">IF((H4028-G4028)&lt;&gt;K4028,"Mismatch","OK")</f>
        <v>OK</v>
      </c>
      <c r="X4028" s="7" t="str">
        <f aca="false">IF(TEXT(H4028,"dddd")&lt;&gt;I4028,"Mismatch","OK")</f>
        <v>OK</v>
      </c>
      <c r="Y4028" s="7" t="str">
        <f aca="false">IF(AND(N4028="No",O4028&lt;&gt;""),"Unexpected: channel present but no reminder sent",IF(AND(N4028="Yes",O4028=""),"Missing channel for sent reminder","OK"))</f>
        <v>OK</v>
      </c>
    </row>
    <row r="4029" customFormat="false" ht="15" hidden="false" customHeight="false" outlineLevel="0" collapsed="false">
      <c r="A4029" s="9" t="s">
        <v>5706</v>
      </c>
      <c r="B4029" s="9" t="s">
        <v>741</v>
      </c>
      <c r="C4029" s="9" t="s">
        <v>47</v>
      </c>
      <c r="D4029" s="9" t="n">
        <v>63</v>
      </c>
      <c r="E4029" s="9" t="s">
        <v>61</v>
      </c>
      <c r="F4029" s="9" t="s">
        <v>49</v>
      </c>
      <c r="G4029" s="10" t="n">
        <v>45891</v>
      </c>
      <c r="H4029" s="10" t="n">
        <v>45898</v>
      </c>
      <c r="I4029" s="9" t="s">
        <v>50</v>
      </c>
      <c r="J4029" s="9" t="s">
        <v>51</v>
      </c>
      <c r="K4029" s="9" t="n">
        <v>7</v>
      </c>
      <c r="L4029" s="9" t="n">
        <v>5</v>
      </c>
      <c r="M4029" s="9" t="n">
        <v>0</v>
      </c>
      <c r="N4029" s="9" t="s">
        <v>42</v>
      </c>
      <c r="O4029" s="9" t="s">
        <v>43</v>
      </c>
      <c r="P4029" s="9" t="n">
        <v>23.8</v>
      </c>
      <c r="Q4029" s="9" t="n">
        <v>27</v>
      </c>
      <c r="R4029" s="9" t="s">
        <v>44</v>
      </c>
      <c r="S4029" s="9"/>
      <c r="T4029" s="9"/>
      <c r="U4029" s="9" t="str">
        <f aca="false">IF(COUNTIF($A$2:$A$5001,A4029)&gt;1,"Duplicate","Unique")</f>
        <v>Unique</v>
      </c>
      <c r="V4029" s="9" t="str">
        <f aca="false">IF(COUNTIFS($B$2:$B$5001,B4029,$H$2:$H$5001,H4029,$J$2:$J$5001,J4029)&gt;1,"Possible Duplicate Booking","Unique")</f>
        <v>Unique</v>
      </c>
      <c r="W4029" s="9" t="str">
        <f aca="false">IF((H4029-G4029)&lt;&gt;K4029,"Mismatch","OK")</f>
        <v>OK</v>
      </c>
      <c r="X4029" s="9" t="str">
        <f aca="false">IF(TEXT(H4029,"dddd")&lt;&gt;I4029,"Mismatch","OK")</f>
        <v>OK</v>
      </c>
      <c r="Y4029" s="9" t="str">
        <f aca="false">IF(AND(N4029="No",O4029&lt;&gt;""),"Unexpected: channel present but no reminder sent",IF(AND(N4029="Yes",O4029=""),"Missing channel for sent reminder","OK"))</f>
        <v>OK</v>
      </c>
    </row>
    <row r="4030" customFormat="false" ht="15" hidden="false" customHeight="false" outlineLevel="0" collapsed="false">
      <c r="A4030" s="7" t="s">
        <v>5707</v>
      </c>
      <c r="B4030" s="7" t="s">
        <v>2880</v>
      </c>
      <c r="C4030" s="7" t="s">
        <v>47</v>
      </c>
      <c r="D4030" s="7" t="n">
        <v>65</v>
      </c>
      <c r="E4030" s="7" t="s">
        <v>70</v>
      </c>
      <c r="F4030" s="7" t="s">
        <v>49</v>
      </c>
      <c r="G4030" s="8" t="n">
        <v>45998</v>
      </c>
      <c r="H4030" s="8" t="n">
        <v>46034</v>
      </c>
      <c r="I4030" s="7" t="s">
        <v>66</v>
      </c>
      <c r="J4030" s="7" t="s">
        <v>51</v>
      </c>
      <c r="K4030" s="7" t="n">
        <v>36</v>
      </c>
      <c r="L4030" s="7" t="n">
        <v>2</v>
      </c>
      <c r="M4030" s="7" t="n">
        <v>0</v>
      </c>
      <c r="N4030" s="7" t="s">
        <v>42</v>
      </c>
      <c r="O4030" s="7" t="s">
        <v>43</v>
      </c>
      <c r="P4030" s="7" t="n">
        <v>5.2</v>
      </c>
      <c r="Q4030" s="7" t="n">
        <v>27</v>
      </c>
      <c r="R4030" s="7" t="s">
        <v>53</v>
      </c>
      <c r="S4030" s="7"/>
      <c r="T4030" s="7"/>
      <c r="U4030" s="7" t="str">
        <f aca="false">IF(COUNTIF($A$2:$A$5001,A4030)&gt;1,"Duplicate","Unique")</f>
        <v>Unique</v>
      </c>
      <c r="V4030" s="7" t="str">
        <f aca="false">IF(COUNTIFS($B$2:$B$5001,B4030,$H$2:$H$5001,H4030,$J$2:$J$5001,J4030)&gt;1,"Possible Duplicate Booking","Unique")</f>
        <v>Unique</v>
      </c>
      <c r="W4030" s="7" t="str">
        <f aca="false">IF((H4030-G4030)&lt;&gt;K4030,"Mismatch","OK")</f>
        <v>OK</v>
      </c>
      <c r="X4030" s="7" t="str">
        <f aca="false">IF(TEXT(H4030,"dddd")&lt;&gt;I4030,"Mismatch","OK")</f>
        <v>OK</v>
      </c>
      <c r="Y4030" s="7" t="str">
        <f aca="false">IF(AND(N4030="No",O4030&lt;&gt;""),"Unexpected: channel present but no reminder sent",IF(AND(N4030="Yes",O4030=""),"Missing channel for sent reminder","OK"))</f>
        <v>OK</v>
      </c>
    </row>
    <row r="4031" customFormat="false" ht="15" hidden="false" customHeight="false" outlineLevel="0" collapsed="false">
      <c r="A4031" s="9" t="s">
        <v>5708</v>
      </c>
      <c r="B4031" s="9" t="s">
        <v>2882</v>
      </c>
      <c r="C4031" s="9" t="s">
        <v>47</v>
      </c>
      <c r="D4031" s="9" t="n">
        <v>33</v>
      </c>
      <c r="E4031" s="9" t="s">
        <v>48</v>
      </c>
      <c r="F4031" s="9" t="s">
        <v>39</v>
      </c>
      <c r="G4031" s="10" t="n">
        <v>45878</v>
      </c>
      <c r="H4031" s="10" t="n">
        <v>45884</v>
      </c>
      <c r="I4031" s="9" t="s">
        <v>50</v>
      </c>
      <c r="J4031" s="9" t="s">
        <v>51</v>
      </c>
      <c r="K4031" s="9" t="n">
        <v>6</v>
      </c>
      <c r="L4031" s="9" t="n">
        <v>4</v>
      </c>
      <c r="M4031" s="9" t="n">
        <v>0</v>
      </c>
      <c r="N4031" s="9" t="s">
        <v>42</v>
      </c>
      <c r="O4031" s="9" t="s">
        <v>43</v>
      </c>
      <c r="P4031" s="9" t="n">
        <v>20.2</v>
      </c>
      <c r="Q4031" s="9" t="n">
        <v>26</v>
      </c>
      <c r="R4031" s="9" t="s">
        <v>53</v>
      </c>
      <c r="S4031" s="9"/>
      <c r="T4031" s="9"/>
      <c r="U4031" s="9" t="str">
        <f aca="false">IF(COUNTIF($A$2:$A$5001,A4031)&gt;1,"Duplicate","Unique")</f>
        <v>Unique</v>
      </c>
      <c r="V4031" s="9" t="str">
        <f aca="false">IF(COUNTIFS($B$2:$B$5001,B4031,$H$2:$H$5001,H4031,$J$2:$J$5001,J4031)&gt;1,"Possible Duplicate Booking","Unique")</f>
        <v>Unique</v>
      </c>
      <c r="W4031" s="9" t="str">
        <f aca="false">IF((H4031-G4031)&lt;&gt;K4031,"Mismatch","OK")</f>
        <v>OK</v>
      </c>
      <c r="X4031" s="9" t="str">
        <f aca="false">IF(TEXT(H4031,"dddd")&lt;&gt;I4031,"Mismatch","OK")</f>
        <v>OK</v>
      </c>
      <c r="Y4031" s="9" t="str">
        <f aca="false">IF(AND(N4031="No",O4031&lt;&gt;""),"Unexpected: channel present but no reminder sent",IF(AND(N4031="Yes",O4031=""),"Missing channel for sent reminder","OK"))</f>
        <v>OK</v>
      </c>
    </row>
    <row r="4032" customFormat="false" ht="15" hidden="false" customHeight="false" outlineLevel="0" collapsed="false">
      <c r="A4032" s="7" t="s">
        <v>5709</v>
      </c>
      <c r="B4032" s="7" t="s">
        <v>5710</v>
      </c>
      <c r="C4032" s="7" t="s">
        <v>236</v>
      </c>
      <c r="D4032" s="7" t="n">
        <v>69</v>
      </c>
      <c r="E4032" s="7" t="s">
        <v>70</v>
      </c>
      <c r="F4032" s="7" t="s">
        <v>39</v>
      </c>
      <c r="G4032" s="8" t="n">
        <v>45940</v>
      </c>
      <c r="H4032" s="8" t="n">
        <v>45953</v>
      </c>
      <c r="I4032" s="7" t="s">
        <v>62</v>
      </c>
      <c r="J4032" s="7" t="s">
        <v>41</v>
      </c>
      <c r="K4032" s="7" t="n">
        <v>13</v>
      </c>
      <c r="L4032" s="7" t="n">
        <v>1</v>
      </c>
      <c r="M4032" s="7" t="n">
        <v>0</v>
      </c>
      <c r="N4032" s="7" t="s">
        <v>42</v>
      </c>
      <c r="O4032" s="7" t="s">
        <v>67</v>
      </c>
      <c r="P4032" s="7" t="n">
        <v>15</v>
      </c>
      <c r="Q4032" s="7" t="n">
        <v>37</v>
      </c>
      <c r="R4032" s="7" t="s">
        <v>53</v>
      </c>
      <c r="S4032" s="7"/>
      <c r="T4032" s="7"/>
      <c r="U4032" s="7" t="str">
        <f aca="false">IF(COUNTIF($A$2:$A$5001,A4032)&gt;1,"Duplicate","Unique")</f>
        <v>Unique</v>
      </c>
      <c r="V4032" s="7" t="str">
        <f aca="false">IF(COUNTIFS($B$2:$B$5001,B4032,$H$2:$H$5001,H4032,$J$2:$J$5001,J4032)&gt;1,"Possible Duplicate Booking","Unique")</f>
        <v>Unique</v>
      </c>
      <c r="W4032" s="7" t="str">
        <f aca="false">IF((H4032-G4032)&lt;&gt;K4032,"Mismatch","OK")</f>
        <v>OK</v>
      </c>
      <c r="X4032" s="7" t="str">
        <f aca="false">IF(TEXT(H4032,"dddd")&lt;&gt;I4032,"Mismatch","OK")</f>
        <v>OK</v>
      </c>
      <c r="Y4032" s="7" t="str">
        <f aca="false">IF(AND(N4032="No",O4032&lt;&gt;""),"Unexpected: channel present but no reminder sent",IF(AND(N4032="Yes",O4032=""),"Missing channel for sent reminder","OK"))</f>
        <v>OK</v>
      </c>
    </row>
    <row r="4033" customFormat="false" ht="15" hidden="false" customHeight="false" outlineLevel="0" collapsed="false">
      <c r="A4033" s="9" t="s">
        <v>5711</v>
      </c>
      <c r="B4033" s="9" t="s">
        <v>1107</v>
      </c>
      <c r="C4033" s="9" t="s">
        <v>37</v>
      </c>
      <c r="D4033" s="9" t="n">
        <v>78</v>
      </c>
      <c r="E4033" s="9" t="s">
        <v>70</v>
      </c>
      <c r="F4033" s="9" t="s">
        <v>57</v>
      </c>
      <c r="G4033" s="10" t="n">
        <v>45924</v>
      </c>
      <c r="H4033" s="10" t="n">
        <v>45942</v>
      </c>
      <c r="I4033" s="9" t="s">
        <v>75</v>
      </c>
      <c r="J4033" s="9" t="s">
        <v>51</v>
      </c>
      <c r="K4033" s="9" t="n">
        <v>18</v>
      </c>
      <c r="L4033" s="9" t="n">
        <v>4</v>
      </c>
      <c r="M4033" s="9" t="n">
        <v>2</v>
      </c>
      <c r="N4033" s="9" t="s">
        <v>42</v>
      </c>
      <c r="O4033" s="9" t="s">
        <v>67</v>
      </c>
      <c r="P4033" s="9" t="n">
        <v>12.9</v>
      </c>
      <c r="Q4033" s="9" t="n">
        <v>32</v>
      </c>
      <c r="R4033" s="9" t="s">
        <v>44</v>
      </c>
      <c r="S4033" s="9"/>
      <c r="T4033" s="9"/>
      <c r="U4033" s="9" t="str">
        <f aca="false">IF(COUNTIF($A$2:$A$5001,A4033)&gt;1,"Duplicate","Unique")</f>
        <v>Unique</v>
      </c>
      <c r="V4033" s="9" t="str">
        <f aca="false">IF(COUNTIFS($B$2:$B$5001,B4033,$H$2:$H$5001,H4033,$J$2:$J$5001,J4033)&gt;1,"Possible Duplicate Booking","Unique")</f>
        <v>Unique</v>
      </c>
      <c r="W4033" s="9" t="str">
        <f aca="false">IF((H4033-G4033)&lt;&gt;K4033,"Mismatch","OK")</f>
        <v>OK</v>
      </c>
      <c r="X4033" s="9" t="str">
        <f aca="false">IF(TEXT(H4033,"dddd")&lt;&gt;I4033,"Mismatch","OK")</f>
        <v>OK</v>
      </c>
      <c r="Y4033" s="9" t="str">
        <f aca="false">IF(AND(N4033="No",O4033&lt;&gt;""),"Unexpected: channel present but no reminder sent",IF(AND(N4033="Yes",O4033=""),"Missing channel for sent reminder","OK"))</f>
        <v>OK</v>
      </c>
    </row>
    <row r="4034" customFormat="false" ht="15" hidden="false" customHeight="false" outlineLevel="0" collapsed="false">
      <c r="A4034" s="7" t="s">
        <v>5712</v>
      </c>
      <c r="B4034" s="7" t="s">
        <v>5168</v>
      </c>
      <c r="C4034" s="7" t="s">
        <v>47</v>
      </c>
      <c r="D4034" s="7" t="n">
        <v>50</v>
      </c>
      <c r="E4034" s="7" t="s">
        <v>56</v>
      </c>
      <c r="F4034" s="7" t="s">
        <v>57</v>
      </c>
      <c r="G4034" s="8" t="n">
        <v>45765</v>
      </c>
      <c r="H4034" s="8" t="n">
        <v>45804</v>
      </c>
      <c r="I4034" s="7" t="s">
        <v>40</v>
      </c>
      <c r="J4034" s="7" t="s">
        <v>41</v>
      </c>
      <c r="K4034" s="7" t="n">
        <v>39</v>
      </c>
      <c r="L4034" s="7" t="n">
        <v>5</v>
      </c>
      <c r="M4034" s="7" t="n">
        <v>2</v>
      </c>
      <c r="N4034" s="7" t="s">
        <v>42</v>
      </c>
      <c r="O4034" s="7" t="s">
        <v>52</v>
      </c>
      <c r="P4034" s="7" t="n">
        <v>0.5</v>
      </c>
      <c r="Q4034" s="7" t="n">
        <v>19</v>
      </c>
      <c r="R4034" s="7" t="s">
        <v>44</v>
      </c>
      <c r="S4034" s="7"/>
      <c r="T4034" s="7"/>
      <c r="U4034" s="7" t="str">
        <f aca="false">IF(COUNTIF($A$2:$A$5001,A4034)&gt;1,"Duplicate","Unique")</f>
        <v>Unique</v>
      </c>
      <c r="V4034" s="7" t="str">
        <f aca="false">IF(COUNTIFS($B$2:$B$5001,B4034,$H$2:$H$5001,H4034,$J$2:$J$5001,J4034)&gt;1,"Possible Duplicate Booking","Unique")</f>
        <v>Unique</v>
      </c>
      <c r="W4034" s="7" t="str">
        <f aca="false">IF((H4034-G4034)&lt;&gt;K4034,"Mismatch","OK")</f>
        <v>OK</v>
      </c>
      <c r="X4034" s="7" t="str">
        <f aca="false">IF(TEXT(H4034,"dddd")&lt;&gt;I4034,"Mismatch","OK")</f>
        <v>OK</v>
      </c>
      <c r="Y4034" s="7" t="str">
        <f aca="false">IF(AND(N4034="No",O4034&lt;&gt;""),"Unexpected: channel present but no reminder sent",IF(AND(N4034="Yes",O4034=""),"Missing channel for sent reminder","OK"))</f>
        <v>OK</v>
      </c>
    </row>
    <row r="4035" customFormat="false" ht="15" hidden="false" customHeight="false" outlineLevel="0" collapsed="false">
      <c r="A4035" s="9" t="s">
        <v>5713</v>
      </c>
      <c r="B4035" s="9" t="s">
        <v>3037</v>
      </c>
      <c r="C4035" s="9" t="s">
        <v>37</v>
      </c>
      <c r="D4035" s="9" t="n">
        <v>42</v>
      </c>
      <c r="E4035" s="9" t="s">
        <v>38</v>
      </c>
      <c r="F4035" s="9" t="s">
        <v>49</v>
      </c>
      <c r="G4035" s="10" t="n">
        <v>45784</v>
      </c>
      <c r="H4035" s="10" t="n">
        <v>45810</v>
      </c>
      <c r="I4035" s="9" t="s">
        <v>66</v>
      </c>
      <c r="J4035" s="9" t="s">
        <v>63</v>
      </c>
      <c r="K4035" s="9" t="n">
        <v>26</v>
      </c>
      <c r="L4035" s="9" t="n">
        <v>4</v>
      </c>
      <c r="M4035" s="9" t="n">
        <v>2</v>
      </c>
      <c r="N4035" s="9" t="s">
        <v>42</v>
      </c>
      <c r="O4035" s="9" t="s">
        <v>52</v>
      </c>
      <c r="P4035" s="9" t="n">
        <v>5.8</v>
      </c>
      <c r="Q4035" s="9" t="n">
        <v>30</v>
      </c>
      <c r="R4035" s="9" t="s">
        <v>44</v>
      </c>
      <c r="S4035" s="9"/>
      <c r="T4035" s="9"/>
      <c r="U4035" s="9" t="str">
        <f aca="false">IF(COUNTIF($A$2:$A$5001,A4035)&gt;1,"Duplicate","Unique")</f>
        <v>Unique</v>
      </c>
      <c r="V4035" s="9" t="str">
        <f aca="false">IF(COUNTIFS($B$2:$B$5001,B4035,$H$2:$H$5001,H4035,$J$2:$J$5001,J4035)&gt;1,"Possible Duplicate Booking","Unique")</f>
        <v>Unique</v>
      </c>
      <c r="W4035" s="9" t="str">
        <f aca="false">IF((H4035-G4035)&lt;&gt;K4035,"Mismatch","OK")</f>
        <v>OK</v>
      </c>
      <c r="X4035" s="9" t="str">
        <f aca="false">IF(TEXT(H4035,"dddd")&lt;&gt;I4035,"Mismatch","OK")</f>
        <v>OK</v>
      </c>
      <c r="Y4035" s="9" t="str">
        <f aca="false">IF(AND(N4035="No",O4035&lt;&gt;""),"Unexpected: channel present but no reminder sent",IF(AND(N4035="Yes",O4035=""),"Missing channel for sent reminder","OK"))</f>
        <v>OK</v>
      </c>
    </row>
    <row r="4036" customFormat="false" ht="15" hidden="false" customHeight="false" outlineLevel="0" collapsed="false">
      <c r="A4036" s="7" t="s">
        <v>5714</v>
      </c>
      <c r="B4036" s="7" t="s">
        <v>5715</v>
      </c>
      <c r="C4036" s="7" t="s">
        <v>37</v>
      </c>
      <c r="D4036" s="7" t="n">
        <v>51</v>
      </c>
      <c r="E4036" s="7" t="s">
        <v>56</v>
      </c>
      <c r="F4036" s="7" t="s">
        <v>57</v>
      </c>
      <c r="G4036" s="8" t="n">
        <v>45838</v>
      </c>
      <c r="H4036" s="8" t="n">
        <v>45890</v>
      </c>
      <c r="I4036" s="7" t="s">
        <v>62</v>
      </c>
      <c r="J4036" s="7" t="s">
        <v>51</v>
      </c>
      <c r="K4036" s="7" t="n">
        <v>52</v>
      </c>
      <c r="L4036" s="7" t="n">
        <v>3</v>
      </c>
      <c r="M4036" s="7" t="n">
        <v>1</v>
      </c>
      <c r="N4036" s="7" t="s">
        <v>42</v>
      </c>
      <c r="O4036" s="7" t="s">
        <v>43</v>
      </c>
      <c r="P4036" s="7" t="n">
        <v>10.3</v>
      </c>
      <c r="Q4036" s="7" t="n">
        <v>7</v>
      </c>
      <c r="R4036" s="7" t="s">
        <v>44</v>
      </c>
      <c r="S4036" s="7"/>
      <c r="T4036" s="7"/>
      <c r="U4036" s="7" t="str">
        <f aca="false">IF(COUNTIF($A$2:$A$5001,A4036)&gt;1,"Duplicate","Unique")</f>
        <v>Unique</v>
      </c>
      <c r="V4036" s="7" t="str">
        <f aca="false">IF(COUNTIFS($B$2:$B$5001,B4036,$H$2:$H$5001,H4036,$J$2:$J$5001,J4036)&gt;1,"Possible Duplicate Booking","Unique")</f>
        <v>Unique</v>
      </c>
      <c r="W4036" s="7" t="str">
        <f aca="false">IF((H4036-G4036)&lt;&gt;K4036,"Mismatch","OK")</f>
        <v>OK</v>
      </c>
      <c r="X4036" s="7" t="str">
        <f aca="false">IF(TEXT(H4036,"dddd")&lt;&gt;I4036,"Mismatch","OK")</f>
        <v>OK</v>
      </c>
      <c r="Y4036" s="7" t="str">
        <f aca="false">IF(AND(N4036="No",O4036&lt;&gt;""),"Unexpected: channel present but no reminder sent",IF(AND(N4036="Yes",O4036=""),"Missing channel for sent reminder","OK"))</f>
        <v>OK</v>
      </c>
    </row>
    <row r="4037" customFormat="false" ht="15" hidden="false" customHeight="false" outlineLevel="0" collapsed="false">
      <c r="A4037" s="9" t="s">
        <v>5716</v>
      </c>
      <c r="B4037" s="9" t="s">
        <v>591</v>
      </c>
      <c r="C4037" s="9" t="s">
        <v>37</v>
      </c>
      <c r="D4037" s="9" t="n">
        <v>19</v>
      </c>
      <c r="E4037" s="9" t="s">
        <v>82</v>
      </c>
      <c r="F4037" s="9" t="s">
        <v>57</v>
      </c>
      <c r="G4037" s="10" t="n">
        <v>45657</v>
      </c>
      <c r="H4037" s="10" t="n">
        <v>45675</v>
      </c>
      <c r="I4037" s="9" t="s">
        <v>102</v>
      </c>
      <c r="J4037" s="9" t="s">
        <v>51</v>
      </c>
      <c r="K4037" s="9" t="n">
        <v>18</v>
      </c>
      <c r="L4037" s="9" t="n">
        <v>3</v>
      </c>
      <c r="M4037" s="9" t="n">
        <v>0</v>
      </c>
      <c r="N4037" s="9" t="s">
        <v>42</v>
      </c>
      <c r="O4037" s="9" t="s">
        <v>52</v>
      </c>
      <c r="P4037" s="9" t="n">
        <v>15.8</v>
      </c>
      <c r="Q4037" s="9" t="n">
        <v>17</v>
      </c>
      <c r="R4037" s="9" t="s">
        <v>87</v>
      </c>
      <c r="S4037" s="9"/>
      <c r="T4037" s="9"/>
      <c r="U4037" s="9" t="str">
        <f aca="false">IF(COUNTIF($A$2:$A$5001,A4037)&gt;1,"Duplicate","Unique")</f>
        <v>Unique</v>
      </c>
      <c r="V4037" s="9" t="str">
        <f aca="false">IF(COUNTIFS($B$2:$B$5001,B4037,$H$2:$H$5001,H4037,$J$2:$J$5001,J4037)&gt;1,"Possible Duplicate Booking","Unique")</f>
        <v>Unique</v>
      </c>
      <c r="W4037" s="9" t="str">
        <f aca="false">IF((H4037-G4037)&lt;&gt;K4037,"Mismatch","OK")</f>
        <v>OK</v>
      </c>
      <c r="X4037" s="9" t="str">
        <f aca="false">IF(TEXT(H4037,"dddd")&lt;&gt;I4037,"Mismatch","OK")</f>
        <v>OK</v>
      </c>
      <c r="Y4037" s="9" t="str">
        <f aca="false">IF(AND(N4037="No",O4037&lt;&gt;""),"Unexpected: channel present but no reminder sent",IF(AND(N4037="Yes",O4037=""),"Missing channel for sent reminder","OK"))</f>
        <v>OK</v>
      </c>
    </row>
    <row r="4038" customFormat="false" ht="15" hidden="false" customHeight="false" outlineLevel="0" collapsed="false">
      <c r="A4038" s="7" t="s">
        <v>5717</v>
      </c>
      <c r="B4038" s="7" t="s">
        <v>130</v>
      </c>
      <c r="C4038" s="7" t="s">
        <v>37</v>
      </c>
      <c r="D4038" s="7" t="n">
        <v>50</v>
      </c>
      <c r="E4038" s="7" t="s">
        <v>56</v>
      </c>
      <c r="F4038" s="7" t="s">
        <v>39</v>
      </c>
      <c r="G4038" s="8" t="n">
        <v>45995</v>
      </c>
      <c r="H4038" s="8" t="n">
        <v>46032</v>
      </c>
      <c r="I4038" s="7" t="s">
        <v>102</v>
      </c>
      <c r="J4038" s="7" t="s">
        <v>51</v>
      </c>
      <c r="K4038" s="7" t="n">
        <v>37</v>
      </c>
      <c r="L4038" s="7" t="n">
        <v>3</v>
      </c>
      <c r="M4038" s="7" t="n">
        <v>2</v>
      </c>
      <c r="N4038" s="7" t="s">
        <v>71</v>
      </c>
      <c r="O4038" s="7"/>
      <c r="P4038" s="7" t="n">
        <v>8.4</v>
      </c>
      <c r="Q4038" s="7" t="n">
        <v>5</v>
      </c>
      <c r="R4038" s="7" t="s">
        <v>44</v>
      </c>
      <c r="S4038" s="7"/>
      <c r="T4038" s="7"/>
      <c r="U4038" s="7" t="str">
        <f aca="false">IF(COUNTIF($A$2:$A$5001,A4038)&gt;1,"Duplicate","Unique")</f>
        <v>Unique</v>
      </c>
      <c r="V4038" s="7" t="str">
        <f aca="false">IF(COUNTIFS($B$2:$B$5001,B4038,$H$2:$H$5001,H4038,$J$2:$J$5001,J4038)&gt;1,"Possible Duplicate Booking","Unique")</f>
        <v>Unique</v>
      </c>
      <c r="W4038" s="7" t="str">
        <f aca="false">IF((H4038-G4038)&lt;&gt;K4038,"Mismatch","OK")</f>
        <v>OK</v>
      </c>
      <c r="X4038" s="7" t="str">
        <f aca="false">IF(TEXT(H4038,"dddd")&lt;&gt;I4038,"Mismatch","OK")</f>
        <v>OK</v>
      </c>
      <c r="Y4038" s="7" t="str">
        <f aca="false">IF(AND(N4038="No",O4038&lt;&gt;""),"Unexpected: channel present but no reminder sent",IF(AND(N4038="Yes",O4038=""),"Missing channel for sent reminder","OK"))</f>
        <v>OK</v>
      </c>
    </row>
    <row r="4039" customFormat="false" ht="15" hidden="false" customHeight="false" outlineLevel="0" collapsed="false">
      <c r="A4039" s="9" t="s">
        <v>5718</v>
      </c>
      <c r="B4039" s="9" t="s">
        <v>3824</v>
      </c>
      <c r="C4039" s="9" t="s">
        <v>37</v>
      </c>
      <c r="D4039" s="9" t="n">
        <v>19</v>
      </c>
      <c r="E4039" s="9" t="s">
        <v>82</v>
      </c>
      <c r="F4039" s="9" t="s">
        <v>57</v>
      </c>
      <c r="G4039" s="10" t="n">
        <v>45947</v>
      </c>
      <c r="H4039" s="10" t="n">
        <v>45993</v>
      </c>
      <c r="I4039" s="9" t="s">
        <v>40</v>
      </c>
      <c r="J4039" s="9" t="s">
        <v>63</v>
      </c>
      <c r="K4039" s="9" t="n">
        <v>46</v>
      </c>
      <c r="L4039" s="9" t="n">
        <v>2</v>
      </c>
      <c r="M4039" s="9" t="n">
        <v>1</v>
      </c>
      <c r="N4039" s="9" t="s">
        <v>42</v>
      </c>
      <c r="O4039" s="9" t="s">
        <v>67</v>
      </c>
      <c r="P4039" s="9" t="n">
        <v>3.1</v>
      </c>
      <c r="Q4039" s="9" t="n">
        <v>15</v>
      </c>
      <c r="R4039" s="9" t="s">
        <v>44</v>
      </c>
      <c r="S4039" s="9"/>
      <c r="T4039" s="9"/>
      <c r="U4039" s="9" t="str">
        <f aca="false">IF(COUNTIF($A$2:$A$5001,A4039)&gt;1,"Duplicate","Unique")</f>
        <v>Unique</v>
      </c>
      <c r="V4039" s="9" t="str">
        <f aca="false">IF(COUNTIFS($B$2:$B$5001,B4039,$H$2:$H$5001,H4039,$J$2:$J$5001,J4039)&gt;1,"Possible Duplicate Booking","Unique")</f>
        <v>Unique</v>
      </c>
      <c r="W4039" s="9" t="str">
        <f aca="false">IF((H4039-G4039)&lt;&gt;K4039,"Mismatch","OK")</f>
        <v>OK</v>
      </c>
      <c r="X4039" s="9" t="str">
        <f aca="false">IF(TEXT(H4039,"dddd")&lt;&gt;I4039,"Mismatch","OK")</f>
        <v>OK</v>
      </c>
      <c r="Y4039" s="9" t="str">
        <f aca="false">IF(AND(N4039="No",O4039&lt;&gt;""),"Unexpected: channel present but no reminder sent",IF(AND(N4039="Yes",O4039=""),"Missing channel for sent reminder","OK"))</f>
        <v>OK</v>
      </c>
    </row>
    <row r="4040" customFormat="false" ht="15" hidden="false" customHeight="false" outlineLevel="0" collapsed="false">
      <c r="A4040" s="7" t="s">
        <v>5719</v>
      </c>
      <c r="B4040" s="7" t="s">
        <v>998</v>
      </c>
      <c r="C4040" s="7" t="s">
        <v>37</v>
      </c>
      <c r="D4040" s="7" t="n">
        <v>20</v>
      </c>
      <c r="E4040" s="7" t="s">
        <v>82</v>
      </c>
      <c r="F4040" s="7" t="s">
        <v>49</v>
      </c>
      <c r="G4040" s="8" t="n">
        <v>45766</v>
      </c>
      <c r="H4040" s="8" t="n">
        <v>45825</v>
      </c>
      <c r="I4040" s="7" t="s">
        <v>40</v>
      </c>
      <c r="J4040" s="7" t="s">
        <v>51</v>
      </c>
      <c r="K4040" s="7" t="n">
        <v>59</v>
      </c>
      <c r="L4040" s="7" t="n">
        <v>4</v>
      </c>
      <c r="M4040" s="7" t="n">
        <v>0</v>
      </c>
      <c r="N4040" s="7" t="s">
        <v>71</v>
      </c>
      <c r="O4040" s="7"/>
      <c r="P4040" s="7" t="n">
        <v>8.8</v>
      </c>
      <c r="Q4040" s="7" t="n">
        <v>16</v>
      </c>
      <c r="R4040" s="7" t="s">
        <v>44</v>
      </c>
      <c r="S4040" s="7"/>
      <c r="T4040" s="7"/>
      <c r="U4040" s="7" t="str">
        <f aca="false">IF(COUNTIF($A$2:$A$5001,A4040)&gt;1,"Duplicate","Unique")</f>
        <v>Unique</v>
      </c>
      <c r="V4040" s="7" t="str">
        <f aca="false">IF(COUNTIFS($B$2:$B$5001,B4040,$H$2:$H$5001,H4040,$J$2:$J$5001,J4040)&gt;1,"Possible Duplicate Booking","Unique")</f>
        <v>Unique</v>
      </c>
      <c r="W4040" s="7" t="str">
        <f aca="false">IF((H4040-G4040)&lt;&gt;K4040,"Mismatch","OK")</f>
        <v>OK</v>
      </c>
      <c r="X4040" s="7" t="str">
        <f aca="false">IF(TEXT(H4040,"dddd")&lt;&gt;I4040,"Mismatch","OK")</f>
        <v>OK</v>
      </c>
      <c r="Y4040" s="7" t="str">
        <f aca="false">IF(AND(N4040="No",O4040&lt;&gt;""),"Unexpected: channel present but no reminder sent",IF(AND(N4040="Yes",O4040=""),"Missing channel for sent reminder","OK"))</f>
        <v>OK</v>
      </c>
    </row>
    <row r="4041" customFormat="false" ht="15" hidden="false" customHeight="false" outlineLevel="0" collapsed="false">
      <c r="A4041" s="9" t="s">
        <v>5720</v>
      </c>
      <c r="B4041" s="9" t="s">
        <v>1297</v>
      </c>
      <c r="C4041" s="9" t="s">
        <v>37</v>
      </c>
      <c r="D4041" s="9" t="n">
        <v>52</v>
      </c>
      <c r="E4041" s="9" t="s">
        <v>56</v>
      </c>
      <c r="F4041" s="9" t="s">
        <v>49</v>
      </c>
      <c r="G4041" s="10" t="n">
        <v>45848</v>
      </c>
      <c r="H4041" s="10" t="n">
        <v>45862</v>
      </c>
      <c r="I4041" s="9" t="s">
        <v>62</v>
      </c>
      <c r="J4041" s="9" t="s">
        <v>51</v>
      </c>
      <c r="K4041" s="9" t="n">
        <v>14</v>
      </c>
      <c r="L4041" s="9" t="n">
        <v>1</v>
      </c>
      <c r="M4041" s="9" t="n">
        <v>0</v>
      </c>
      <c r="N4041" s="9" t="s">
        <v>71</v>
      </c>
      <c r="O4041" s="9"/>
      <c r="P4041" s="9" t="n">
        <v>11.6</v>
      </c>
      <c r="Q4041" s="9" t="n">
        <v>2</v>
      </c>
      <c r="R4041" s="9" t="s">
        <v>53</v>
      </c>
      <c r="S4041" s="9"/>
      <c r="T4041" s="9"/>
      <c r="U4041" s="9" t="str">
        <f aca="false">IF(COUNTIF($A$2:$A$5001,A4041)&gt;1,"Duplicate","Unique")</f>
        <v>Unique</v>
      </c>
      <c r="V4041" s="9" t="str">
        <f aca="false">IF(COUNTIFS($B$2:$B$5001,B4041,$H$2:$H$5001,H4041,$J$2:$J$5001,J4041)&gt;1,"Possible Duplicate Booking","Unique")</f>
        <v>Unique</v>
      </c>
      <c r="W4041" s="9" t="str">
        <f aca="false">IF((H4041-G4041)&lt;&gt;K4041,"Mismatch","OK")</f>
        <v>OK</v>
      </c>
      <c r="X4041" s="9" t="str">
        <f aca="false">IF(TEXT(H4041,"dddd")&lt;&gt;I4041,"Mismatch","OK")</f>
        <v>OK</v>
      </c>
      <c r="Y4041" s="9" t="str">
        <f aca="false">IF(AND(N4041="No",O4041&lt;&gt;""),"Unexpected: channel present but no reminder sent",IF(AND(N4041="Yes",O4041=""),"Missing channel for sent reminder","OK"))</f>
        <v>OK</v>
      </c>
    </row>
    <row r="4042" customFormat="false" ht="15" hidden="false" customHeight="false" outlineLevel="0" collapsed="false">
      <c r="A4042" s="7" t="s">
        <v>5721</v>
      </c>
      <c r="B4042" s="7" t="s">
        <v>4114</v>
      </c>
      <c r="C4042" s="7" t="s">
        <v>47</v>
      </c>
      <c r="D4042" s="7" t="n">
        <v>50</v>
      </c>
      <c r="E4042" s="7" t="s">
        <v>56</v>
      </c>
      <c r="F4042" s="7" t="s">
        <v>49</v>
      </c>
      <c r="G4042" s="8" t="n">
        <v>45793</v>
      </c>
      <c r="H4042" s="8" t="n">
        <v>45837</v>
      </c>
      <c r="I4042" s="7" t="s">
        <v>75</v>
      </c>
      <c r="J4042" s="7" t="s">
        <v>63</v>
      </c>
      <c r="K4042" s="7" t="n">
        <v>44</v>
      </c>
      <c r="L4042" s="7" t="n">
        <v>1</v>
      </c>
      <c r="M4042" s="7" t="n">
        <v>0</v>
      </c>
      <c r="N4042" s="7" t="s">
        <v>42</v>
      </c>
      <c r="O4042" s="7" t="s">
        <v>43</v>
      </c>
      <c r="P4042" s="7" t="n">
        <v>7.5</v>
      </c>
      <c r="Q4042" s="7" t="n">
        <v>37</v>
      </c>
      <c r="R4042" s="7" t="s">
        <v>44</v>
      </c>
      <c r="S4042" s="7"/>
      <c r="T4042" s="7"/>
      <c r="U4042" s="7" t="str">
        <f aca="false">IF(COUNTIF($A$2:$A$5001,A4042)&gt;1,"Duplicate","Unique")</f>
        <v>Unique</v>
      </c>
      <c r="V4042" s="7" t="str">
        <f aca="false">IF(COUNTIFS($B$2:$B$5001,B4042,$H$2:$H$5001,H4042,$J$2:$J$5001,J4042)&gt;1,"Possible Duplicate Booking","Unique")</f>
        <v>Unique</v>
      </c>
      <c r="W4042" s="7" t="str">
        <f aca="false">IF((H4042-G4042)&lt;&gt;K4042,"Mismatch","OK")</f>
        <v>OK</v>
      </c>
      <c r="X4042" s="7" t="str">
        <f aca="false">IF(TEXT(H4042,"dddd")&lt;&gt;I4042,"Mismatch","OK")</f>
        <v>OK</v>
      </c>
      <c r="Y4042" s="7" t="str">
        <f aca="false">IF(AND(N4042="No",O4042&lt;&gt;""),"Unexpected: channel present but no reminder sent",IF(AND(N4042="Yes",O4042=""),"Missing channel for sent reminder","OK"))</f>
        <v>OK</v>
      </c>
    </row>
    <row r="4043" customFormat="false" ht="15" hidden="false" customHeight="false" outlineLevel="0" collapsed="false">
      <c r="A4043" s="9" t="s">
        <v>5722</v>
      </c>
      <c r="B4043" s="9" t="s">
        <v>122</v>
      </c>
      <c r="C4043" s="9" t="s">
        <v>37</v>
      </c>
      <c r="D4043" s="9" t="n">
        <v>80</v>
      </c>
      <c r="E4043" s="9" t="s">
        <v>70</v>
      </c>
      <c r="F4043" s="9" t="s">
        <v>57</v>
      </c>
      <c r="G4043" s="10" t="n">
        <v>46008</v>
      </c>
      <c r="H4043" s="10" t="n">
        <v>46013</v>
      </c>
      <c r="I4043" s="9" t="s">
        <v>66</v>
      </c>
      <c r="J4043" s="9" t="s">
        <v>41</v>
      </c>
      <c r="K4043" s="9" t="n">
        <v>5</v>
      </c>
      <c r="L4043" s="9" t="n">
        <v>1</v>
      </c>
      <c r="M4043" s="9" t="n">
        <v>0</v>
      </c>
      <c r="N4043" s="9" t="s">
        <v>71</v>
      </c>
      <c r="O4043" s="9"/>
      <c r="P4043" s="9" t="n">
        <v>22.5</v>
      </c>
      <c r="Q4043" s="9" t="n">
        <v>18</v>
      </c>
      <c r="R4043" s="9" t="s">
        <v>53</v>
      </c>
      <c r="S4043" s="9"/>
      <c r="T4043" s="9"/>
      <c r="U4043" s="9" t="str">
        <f aca="false">IF(COUNTIF($A$2:$A$5001,A4043)&gt;1,"Duplicate","Unique")</f>
        <v>Unique</v>
      </c>
      <c r="V4043" s="9" t="str">
        <f aca="false">IF(COUNTIFS($B$2:$B$5001,B4043,$H$2:$H$5001,H4043,$J$2:$J$5001,J4043)&gt;1,"Possible Duplicate Booking","Unique")</f>
        <v>Unique</v>
      </c>
      <c r="W4043" s="9" t="str">
        <f aca="false">IF((H4043-G4043)&lt;&gt;K4043,"Mismatch","OK")</f>
        <v>OK</v>
      </c>
      <c r="X4043" s="9" t="str">
        <f aca="false">IF(TEXT(H4043,"dddd")&lt;&gt;I4043,"Mismatch","OK")</f>
        <v>OK</v>
      </c>
      <c r="Y4043" s="9" t="str">
        <f aca="false">IF(AND(N4043="No",O4043&lt;&gt;""),"Unexpected: channel present but no reminder sent",IF(AND(N4043="Yes",O4043=""),"Missing channel for sent reminder","OK"))</f>
        <v>OK</v>
      </c>
    </row>
    <row r="4044" customFormat="false" ht="15" hidden="false" customHeight="false" outlineLevel="0" collapsed="false">
      <c r="A4044" s="7" t="s">
        <v>5723</v>
      </c>
      <c r="B4044" s="7" t="s">
        <v>2831</v>
      </c>
      <c r="C4044" s="7" t="s">
        <v>37</v>
      </c>
      <c r="D4044" s="7" t="n">
        <v>49</v>
      </c>
      <c r="E4044" s="7" t="s">
        <v>56</v>
      </c>
      <c r="F4044" s="7" t="s">
        <v>39</v>
      </c>
      <c r="G4044" s="8" t="n">
        <v>46039</v>
      </c>
      <c r="H4044" s="8" t="n">
        <v>46072</v>
      </c>
      <c r="I4044" s="7" t="s">
        <v>62</v>
      </c>
      <c r="J4044" s="7" t="s">
        <v>51</v>
      </c>
      <c r="K4044" s="7" t="n">
        <v>33</v>
      </c>
      <c r="L4044" s="7" t="n">
        <v>3</v>
      </c>
      <c r="M4044" s="7" t="n">
        <v>1</v>
      </c>
      <c r="N4044" s="7" t="s">
        <v>42</v>
      </c>
      <c r="O4044" s="7" t="s">
        <v>43</v>
      </c>
      <c r="P4044" s="7" t="n">
        <v>9.3</v>
      </c>
      <c r="Q4044" s="7" t="n">
        <v>20</v>
      </c>
      <c r="R4044" s="7" t="s">
        <v>53</v>
      </c>
      <c r="S4044" s="7"/>
      <c r="T4044" s="7"/>
      <c r="U4044" s="7" t="str">
        <f aca="false">IF(COUNTIF($A$2:$A$5001,A4044)&gt;1,"Duplicate","Unique")</f>
        <v>Unique</v>
      </c>
      <c r="V4044" s="7" t="str">
        <f aca="false">IF(COUNTIFS($B$2:$B$5001,B4044,$H$2:$H$5001,H4044,$J$2:$J$5001,J4044)&gt;1,"Possible Duplicate Booking","Unique")</f>
        <v>Unique</v>
      </c>
      <c r="W4044" s="7" t="str">
        <f aca="false">IF((H4044-G4044)&lt;&gt;K4044,"Mismatch","OK")</f>
        <v>OK</v>
      </c>
      <c r="X4044" s="7" t="str">
        <f aca="false">IF(TEXT(H4044,"dddd")&lt;&gt;I4044,"Mismatch","OK")</f>
        <v>OK</v>
      </c>
      <c r="Y4044" s="7" t="str">
        <f aca="false">IF(AND(N4044="No",O4044&lt;&gt;""),"Unexpected: channel present but no reminder sent",IF(AND(N4044="Yes",O4044=""),"Missing channel for sent reminder","OK"))</f>
        <v>OK</v>
      </c>
    </row>
    <row r="4045" customFormat="false" ht="15" hidden="false" customHeight="false" outlineLevel="0" collapsed="false">
      <c r="A4045" s="9" t="s">
        <v>5724</v>
      </c>
      <c r="B4045" s="9" t="s">
        <v>1439</v>
      </c>
      <c r="C4045" s="9" t="s">
        <v>37</v>
      </c>
      <c r="D4045" s="9" t="n">
        <v>79</v>
      </c>
      <c r="E4045" s="9" t="s">
        <v>70</v>
      </c>
      <c r="F4045" s="9" t="s">
        <v>49</v>
      </c>
      <c r="G4045" s="10" t="n">
        <v>45692</v>
      </c>
      <c r="H4045" s="10" t="n">
        <v>45717</v>
      </c>
      <c r="I4045" s="9" t="s">
        <v>102</v>
      </c>
      <c r="J4045" s="9" t="s">
        <v>63</v>
      </c>
      <c r="K4045" s="9" t="n">
        <v>25</v>
      </c>
      <c r="L4045" s="9" t="n">
        <v>3</v>
      </c>
      <c r="M4045" s="9" t="n">
        <v>2</v>
      </c>
      <c r="N4045" s="9" t="s">
        <v>42</v>
      </c>
      <c r="O4045" s="9" t="s">
        <v>52</v>
      </c>
      <c r="P4045" s="9" t="n">
        <v>16.5</v>
      </c>
      <c r="Q4045" s="9" t="n">
        <v>15</v>
      </c>
      <c r="R4045" s="9" t="s">
        <v>53</v>
      </c>
      <c r="S4045" s="9"/>
      <c r="T4045" s="9"/>
      <c r="U4045" s="9" t="str">
        <f aca="false">IF(COUNTIF($A$2:$A$5001,A4045)&gt;1,"Duplicate","Unique")</f>
        <v>Unique</v>
      </c>
      <c r="V4045" s="9" t="str">
        <f aca="false">IF(COUNTIFS($B$2:$B$5001,B4045,$H$2:$H$5001,H4045,$J$2:$J$5001,J4045)&gt;1,"Possible Duplicate Booking","Unique")</f>
        <v>Unique</v>
      </c>
      <c r="W4045" s="9" t="str">
        <f aca="false">IF((H4045-G4045)&lt;&gt;K4045,"Mismatch","OK")</f>
        <v>OK</v>
      </c>
      <c r="X4045" s="9" t="str">
        <f aca="false">IF(TEXT(H4045,"dddd")&lt;&gt;I4045,"Mismatch","OK")</f>
        <v>OK</v>
      </c>
      <c r="Y4045" s="9" t="str">
        <f aca="false">IF(AND(N4045="No",O4045&lt;&gt;""),"Unexpected: channel present but no reminder sent",IF(AND(N4045="Yes",O4045=""),"Missing channel for sent reminder","OK"))</f>
        <v>OK</v>
      </c>
    </row>
    <row r="4046" customFormat="false" ht="15" hidden="false" customHeight="false" outlineLevel="0" collapsed="false">
      <c r="A4046" s="7" t="s">
        <v>5725</v>
      </c>
      <c r="B4046" s="7" t="s">
        <v>911</v>
      </c>
      <c r="C4046" s="7" t="s">
        <v>37</v>
      </c>
      <c r="D4046" s="7" t="n">
        <v>68</v>
      </c>
      <c r="E4046" s="7" t="s">
        <v>70</v>
      </c>
      <c r="F4046" s="7" t="s">
        <v>57</v>
      </c>
      <c r="G4046" s="8" t="n">
        <v>45825</v>
      </c>
      <c r="H4046" s="8" t="n">
        <v>45883</v>
      </c>
      <c r="I4046" s="7" t="s">
        <v>62</v>
      </c>
      <c r="J4046" s="7" t="s">
        <v>63</v>
      </c>
      <c r="K4046" s="7" t="n">
        <v>58</v>
      </c>
      <c r="L4046" s="7" t="n">
        <v>4</v>
      </c>
      <c r="M4046" s="7" t="n">
        <v>1</v>
      </c>
      <c r="N4046" s="7" t="s">
        <v>42</v>
      </c>
      <c r="O4046" s="7" t="s">
        <v>43</v>
      </c>
      <c r="P4046" s="7" t="n">
        <v>5.8</v>
      </c>
      <c r="Q4046" s="7" t="n">
        <v>30</v>
      </c>
      <c r="R4046" s="7" t="s">
        <v>44</v>
      </c>
      <c r="S4046" s="7"/>
      <c r="T4046" s="7"/>
      <c r="U4046" s="7" t="str">
        <f aca="false">IF(COUNTIF($A$2:$A$5001,A4046)&gt;1,"Duplicate","Unique")</f>
        <v>Unique</v>
      </c>
      <c r="V4046" s="7" t="str">
        <f aca="false">IF(COUNTIFS($B$2:$B$5001,B4046,$H$2:$H$5001,H4046,$J$2:$J$5001,J4046)&gt;1,"Possible Duplicate Booking","Unique")</f>
        <v>Unique</v>
      </c>
      <c r="W4046" s="7" t="str">
        <f aca="false">IF((H4046-G4046)&lt;&gt;K4046,"Mismatch","OK")</f>
        <v>OK</v>
      </c>
      <c r="X4046" s="7" t="str">
        <f aca="false">IF(TEXT(H4046,"dddd")&lt;&gt;I4046,"Mismatch","OK")</f>
        <v>OK</v>
      </c>
      <c r="Y4046" s="7" t="str">
        <f aca="false">IF(AND(N4046="No",O4046&lt;&gt;""),"Unexpected: channel present but no reminder sent",IF(AND(N4046="Yes",O4046=""),"Missing channel for sent reminder","OK"))</f>
        <v>OK</v>
      </c>
    </row>
    <row r="4047" customFormat="false" ht="15" hidden="false" customHeight="false" outlineLevel="0" collapsed="false">
      <c r="A4047" s="9" t="s">
        <v>5726</v>
      </c>
      <c r="B4047" s="9" t="s">
        <v>5727</v>
      </c>
      <c r="C4047" s="9" t="s">
        <v>37</v>
      </c>
      <c r="D4047" s="9" t="n">
        <v>39</v>
      </c>
      <c r="E4047" s="9" t="s">
        <v>38</v>
      </c>
      <c r="F4047" s="9" t="s">
        <v>39</v>
      </c>
      <c r="G4047" s="10" t="n">
        <v>45618</v>
      </c>
      <c r="H4047" s="10" t="n">
        <v>45665</v>
      </c>
      <c r="I4047" s="9" t="s">
        <v>58</v>
      </c>
      <c r="J4047" s="9" t="s">
        <v>41</v>
      </c>
      <c r="K4047" s="9" t="n">
        <v>47</v>
      </c>
      <c r="L4047" s="9" t="n">
        <v>4</v>
      </c>
      <c r="M4047" s="9" t="n">
        <v>2</v>
      </c>
      <c r="N4047" s="9" t="s">
        <v>42</v>
      </c>
      <c r="O4047" s="9" t="s">
        <v>43</v>
      </c>
      <c r="P4047" s="9" t="n">
        <v>13.9</v>
      </c>
      <c r="Q4047" s="9" t="n">
        <v>39</v>
      </c>
      <c r="R4047" s="9" t="s">
        <v>44</v>
      </c>
      <c r="S4047" s="9"/>
      <c r="T4047" s="9"/>
      <c r="U4047" s="9" t="str">
        <f aca="false">IF(COUNTIF($A$2:$A$5001,A4047)&gt;1,"Duplicate","Unique")</f>
        <v>Unique</v>
      </c>
      <c r="V4047" s="9" t="str">
        <f aca="false">IF(COUNTIFS($B$2:$B$5001,B4047,$H$2:$H$5001,H4047,$J$2:$J$5001,J4047)&gt;1,"Possible Duplicate Booking","Unique")</f>
        <v>Unique</v>
      </c>
      <c r="W4047" s="9" t="str">
        <f aca="false">IF((H4047-G4047)&lt;&gt;K4047,"Mismatch","OK")</f>
        <v>OK</v>
      </c>
      <c r="X4047" s="9" t="str">
        <f aca="false">IF(TEXT(H4047,"dddd")&lt;&gt;I4047,"Mismatch","OK")</f>
        <v>OK</v>
      </c>
      <c r="Y4047" s="9" t="str">
        <f aca="false">IF(AND(N4047="No",O4047&lt;&gt;""),"Unexpected: channel present but no reminder sent",IF(AND(N4047="Yes",O4047=""),"Missing channel for sent reminder","OK"))</f>
        <v>OK</v>
      </c>
    </row>
    <row r="4048" customFormat="false" ht="15" hidden="false" customHeight="false" outlineLevel="0" collapsed="false">
      <c r="A4048" s="7" t="s">
        <v>5728</v>
      </c>
      <c r="B4048" s="7" t="s">
        <v>1185</v>
      </c>
      <c r="C4048" s="7" t="s">
        <v>47</v>
      </c>
      <c r="D4048" s="7" t="n">
        <v>76</v>
      </c>
      <c r="E4048" s="7" t="s">
        <v>70</v>
      </c>
      <c r="F4048" s="7" t="s">
        <v>39</v>
      </c>
      <c r="G4048" s="8" t="n">
        <v>45848</v>
      </c>
      <c r="H4048" s="8" t="n">
        <v>45904</v>
      </c>
      <c r="I4048" s="7" t="s">
        <v>62</v>
      </c>
      <c r="J4048" s="7" t="s">
        <v>51</v>
      </c>
      <c r="K4048" s="7" t="n">
        <v>56</v>
      </c>
      <c r="L4048" s="7" t="n">
        <v>6</v>
      </c>
      <c r="M4048" s="7" t="n">
        <v>1</v>
      </c>
      <c r="N4048" s="7" t="s">
        <v>71</v>
      </c>
      <c r="O4048" s="7"/>
      <c r="P4048" s="7" t="n">
        <v>5.1</v>
      </c>
      <c r="Q4048" s="7" t="n">
        <v>30</v>
      </c>
      <c r="R4048" s="7" t="s">
        <v>53</v>
      </c>
      <c r="S4048" s="7"/>
      <c r="T4048" s="7"/>
      <c r="U4048" s="7" t="str">
        <f aca="false">IF(COUNTIF($A$2:$A$5001,A4048)&gt;1,"Duplicate","Unique")</f>
        <v>Unique</v>
      </c>
      <c r="V4048" s="7" t="str">
        <f aca="false">IF(COUNTIFS($B$2:$B$5001,B4048,$H$2:$H$5001,H4048,$J$2:$J$5001,J4048)&gt;1,"Possible Duplicate Booking","Unique")</f>
        <v>Unique</v>
      </c>
      <c r="W4048" s="7" t="str">
        <f aca="false">IF((H4048-G4048)&lt;&gt;K4048,"Mismatch","OK")</f>
        <v>OK</v>
      </c>
      <c r="X4048" s="7" t="str">
        <f aca="false">IF(TEXT(H4048,"dddd")&lt;&gt;I4048,"Mismatch","OK")</f>
        <v>OK</v>
      </c>
      <c r="Y4048" s="7" t="str">
        <f aca="false">IF(AND(N4048="No",O4048&lt;&gt;""),"Unexpected: channel present but no reminder sent",IF(AND(N4048="Yes",O4048=""),"Missing channel for sent reminder","OK"))</f>
        <v>OK</v>
      </c>
    </row>
    <row r="4049" customFormat="false" ht="15" hidden="false" customHeight="false" outlineLevel="0" collapsed="false">
      <c r="A4049" s="9" t="s">
        <v>5729</v>
      </c>
      <c r="B4049" s="9" t="s">
        <v>933</v>
      </c>
      <c r="C4049" s="9" t="s">
        <v>47</v>
      </c>
      <c r="D4049" s="9" t="n">
        <v>48</v>
      </c>
      <c r="E4049" s="9" t="s">
        <v>56</v>
      </c>
      <c r="F4049" s="9" t="s">
        <v>57</v>
      </c>
      <c r="G4049" s="10" t="n">
        <v>45742</v>
      </c>
      <c r="H4049" s="10" t="n">
        <v>45793</v>
      </c>
      <c r="I4049" s="9" t="s">
        <v>50</v>
      </c>
      <c r="J4049" s="9" t="s">
        <v>41</v>
      </c>
      <c r="K4049" s="9" t="n">
        <v>51</v>
      </c>
      <c r="L4049" s="9" t="n">
        <v>5</v>
      </c>
      <c r="M4049" s="9" t="n">
        <v>0</v>
      </c>
      <c r="N4049" s="9" t="s">
        <v>42</v>
      </c>
      <c r="O4049" s="9" t="s">
        <v>52</v>
      </c>
      <c r="P4049" s="9" t="n">
        <v>14.2</v>
      </c>
      <c r="Q4049" s="9" t="n">
        <v>28</v>
      </c>
      <c r="R4049" s="9" t="s">
        <v>44</v>
      </c>
      <c r="S4049" s="9"/>
      <c r="T4049" s="9"/>
      <c r="U4049" s="9" t="str">
        <f aca="false">IF(COUNTIF($A$2:$A$5001,A4049)&gt;1,"Duplicate","Unique")</f>
        <v>Unique</v>
      </c>
      <c r="V4049" s="9" t="str">
        <f aca="false">IF(COUNTIFS($B$2:$B$5001,B4049,$H$2:$H$5001,H4049,$J$2:$J$5001,J4049)&gt;1,"Possible Duplicate Booking","Unique")</f>
        <v>Unique</v>
      </c>
      <c r="W4049" s="9" t="str">
        <f aca="false">IF((H4049-G4049)&lt;&gt;K4049,"Mismatch","OK")</f>
        <v>OK</v>
      </c>
      <c r="X4049" s="9" t="str">
        <f aca="false">IF(TEXT(H4049,"dddd")&lt;&gt;I4049,"Mismatch","OK")</f>
        <v>OK</v>
      </c>
      <c r="Y4049" s="9" t="str">
        <f aca="false">IF(AND(N4049="No",O4049&lt;&gt;""),"Unexpected: channel present but no reminder sent",IF(AND(N4049="Yes",O4049=""),"Missing channel for sent reminder","OK"))</f>
        <v>OK</v>
      </c>
    </row>
    <row r="4050" customFormat="false" ht="15" hidden="false" customHeight="false" outlineLevel="0" collapsed="false">
      <c r="A4050" s="7" t="s">
        <v>5730</v>
      </c>
      <c r="B4050" s="7" t="s">
        <v>5731</v>
      </c>
      <c r="C4050" s="7" t="s">
        <v>37</v>
      </c>
      <c r="D4050" s="7" t="n">
        <v>55</v>
      </c>
      <c r="E4050" s="7" t="s">
        <v>61</v>
      </c>
      <c r="F4050" s="7" t="s">
        <v>57</v>
      </c>
      <c r="G4050" s="8" t="n">
        <v>45816</v>
      </c>
      <c r="H4050" s="8" t="n">
        <v>45841</v>
      </c>
      <c r="I4050" s="7" t="s">
        <v>62</v>
      </c>
      <c r="J4050" s="7" t="s">
        <v>51</v>
      </c>
      <c r="K4050" s="7" t="n">
        <v>25</v>
      </c>
      <c r="L4050" s="7" t="n">
        <v>2</v>
      </c>
      <c r="M4050" s="7" t="n">
        <v>0</v>
      </c>
      <c r="N4050" s="7" t="s">
        <v>42</v>
      </c>
      <c r="O4050" s="7" t="s">
        <v>43</v>
      </c>
      <c r="P4050" s="7" t="n">
        <v>7.5</v>
      </c>
      <c r="Q4050" s="7" t="n">
        <v>2</v>
      </c>
      <c r="R4050" s="7" t="s">
        <v>53</v>
      </c>
      <c r="S4050" s="7"/>
      <c r="T4050" s="7"/>
      <c r="U4050" s="7" t="str">
        <f aca="false">IF(COUNTIF($A$2:$A$5001,A4050)&gt;1,"Duplicate","Unique")</f>
        <v>Unique</v>
      </c>
      <c r="V4050" s="7" t="str">
        <f aca="false">IF(COUNTIFS($B$2:$B$5001,B4050,$H$2:$H$5001,H4050,$J$2:$J$5001,J4050)&gt;1,"Possible Duplicate Booking","Unique")</f>
        <v>Unique</v>
      </c>
      <c r="W4050" s="7" t="str">
        <f aca="false">IF((H4050-G4050)&lt;&gt;K4050,"Mismatch","OK")</f>
        <v>OK</v>
      </c>
      <c r="X4050" s="7" t="str">
        <f aca="false">IF(TEXT(H4050,"dddd")&lt;&gt;I4050,"Mismatch","OK")</f>
        <v>OK</v>
      </c>
      <c r="Y4050" s="7" t="str">
        <f aca="false">IF(AND(N4050="No",O4050&lt;&gt;""),"Unexpected: channel present but no reminder sent",IF(AND(N4050="Yes",O4050=""),"Missing channel for sent reminder","OK"))</f>
        <v>OK</v>
      </c>
    </row>
    <row r="4051" customFormat="false" ht="15" hidden="false" customHeight="false" outlineLevel="0" collapsed="false">
      <c r="A4051" s="9" t="s">
        <v>5732</v>
      </c>
      <c r="B4051" s="9" t="s">
        <v>106</v>
      </c>
      <c r="C4051" s="9" t="s">
        <v>47</v>
      </c>
      <c r="D4051" s="9" t="n">
        <v>24</v>
      </c>
      <c r="E4051" s="9" t="s">
        <v>82</v>
      </c>
      <c r="F4051" s="9" t="s">
        <v>39</v>
      </c>
      <c r="G4051" s="10" t="n">
        <v>45863</v>
      </c>
      <c r="H4051" s="10" t="n">
        <v>45907</v>
      </c>
      <c r="I4051" s="9" t="s">
        <v>75</v>
      </c>
      <c r="J4051" s="9" t="s">
        <v>41</v>
      </c>
      <c r="K4051" s="9" t="n">
        <v>44</v>
      </c>
      <c r="L4051" s="9" t="n">
        <v>4</v>
      </c>
      <c r="M4051" s="9" t="n">
        <v>1</v>
      </c>
      <c r="N4051" s="9" t="s">
        <v>42</v>
      </c>
      <c r="O4051" s="9" t="s">
        <v>52</v>
      </c>
      <c r="P4051" s="9" t="n">
        <v>3.2</v>
      </c>
      <c r="Q4051" s="9" t="n">
        <v>23</v>
      </c>
      <c r="R4051" s="9" t="s">
        <v>53</v>
      </c>
      <c r="S4051" s="9"/>
      <c r="T4051" s="9"/>
      <c r="U4051" s="9" t="str">
        <f aca="false">IF(COUNTIF($A$2:$A$5001,A4051)&gt;1,"Duplicate","Unique")</f>
        <v>Unique</v>
      </c>
      <c r="V4051" s="9" t="str">
        <f aca="false">IF(COUNTIFS($B$2:$B$5001,B4051,$H$2:$H$5001,H4051,$J$2:$J$5001,J4051)&gt;1,"Possible Duplicate Booking","Unique")</f>
        <v>Unique</v>
      </c>
      <c r="W4051" s="9" t="str">
        <f aca="false">IF((H4051-G4051)&lt;&gt;K4051,"Mismatch","OK")</f>
        <v>OK</v>
      </c>
      <c r="X4051" s="9" t="str">
        <f aca="false">IF(TEXT(H4051,"dddd")&lt;&gt;I4051,"Mismatch","OK")</f>
        <v>OK</v>
      </c>
      <c r="Y4051" s="9" t="str">
        <f aca="false">IF(AND(N4051="No",O4051&lt;&gt;""),"Unexpected: channel present but no reminder sent",IF(AND(N4051="Yes",O4051=""),"Missing channel for sent reminder","OK"))</f>
        <v>OK</v>
      </c>
    </row>
    <row r="4052" customFormat="false" ht="15" hidden="false" customHeight="false" outlineLevel="0" collapsed="false">
      <c r="A4052" s="7" t="s">
        <v>5733</v>
      </c>
      <c r="B4052" s="7" t="s">
        <v>1565</v>
      </c>
      <c r="C4052" s="7" t="s">
        <v>37</v>
      </c>
      <c r="D4052" s="7" t="n">
        <v>31</v>
      </c>
      <c r="E4052" s="7" t="s">
        <v>48</v>
      </c>
      <c r="F4052" s="7" t="s">
        <v>57</v>
      </c>
      <c r="G4052" s="8" t="n">
        <v>45833</v>
      </c>
      <c r="H4052" s="8" t="n">
        <v>45834</v>
      </c>
      <c r="I4052" s="7" t="s">
        <v>62</v>
      </c>
      <c r="J4052" s="7" t="s">
        <v>51</v>
      </c>
      <c r="K4052" s="7" t="n">
        <v>1</v>
      </c>
      <c r="L4052" s="7" t="n">
        <v>3</v>
      </c>
      <c r="M4052" s="7" t="n">
        <v>0</v>
      </c>
      <c r="N4052" s="7" t="s">
        <v>42</v>
      </c>
      <c r="O4052" s="7" t="s">
        <v>52</v>
      </c>
      <c r="P4052" s="7" t="n">
        <v>6.6</v>
      </c>
      <c r="Q4052" s="7" t="n">
        <v>31</v>
      </c>
      <c r="R4052" s="7" t="s">
        <v>53</v>
      </c>
      <c r="S4052" s="7"/>
      <c r="T4052" s="7"/>
      <c r="U4052" s="7" t="str">
        <f aca="false">IF(COUNTIF($A$2:$A$5001,A4052)&gt;1,"Duplicate","Unique")</f>
        <v>Unique</v>
      </c>
      <c r="V4052" s="7" t="str">
        <f aca="false">IF(COUNTIFS($B$2:$B$5001,B4052,$H$2:$H$5001,H4052,$J$2:$J$5001,J4052)&gt;1,"Possible Duplicate Booking","Unique")</f>
        <v>Unique</v>
      </c>
      <c r="W4052" s="7" t="str">
        <f aca="false">IF((H4052-G4052)&lt;&gt;K4052,"Mismatch","OK")</f>
        <v>OK</v>
      </c>
      <c r="X4052" s="7" t="str">
        <f aca="false">IF(TEXT(H4052,"dddd")&lt;&gt;I4052,"Mismatch","OK")</f>
        <v>OK</v>
      </c>
      <c r="Y4052" s="7" t="str">
        <f aca="false">IF(AND(N4052="No",O4052&lt;&gt;""),"Unexpected: channel present but no reminder sent",IF(AND(N4052="Yes",O4052=""),"Missing channel for sent reminder","OK"))</f>
        <v>OK</v>
      </c>
    </row>
    <row r="4053" customFormat="false" ht="15" hidden="false" customHeight="false" outlineLevel="0" collapsed="false">
      <c r="A4053" s="9" t="s">
        <v>5734</v>
      </c>
      <c r="B4053" s="9" t="s">
        <v>2335</v>
      </c>
      <c r="C4053" s="9" t="s">
        <v>47</v>
      </c>
      <c r="D4053" s="9" t="n">
        <v>50</v>
      </c>
      <c r="E4053" s="9" t="s">
        <v>56</v>
      </c>
      <c r="F4053" s="9" t="s">
        <v>49</v>
      </c>
      <c r="G4053" s="10" t="n">
        <v>45839</v>
      </c>
      <c r="H4053" s="10" t="n">
        <v>45873</v>
      </c>
      <c r="I4053" s="9" t="s">
        <v>66</v>
      </c>
      <c r="J4053" s="9" t="s">
        <v>41</v>
      </c>
      <c r="K4053" s="9" t="n">
        <v>34</v>
      </c>
      <c r="L4053" s="9" t="n">
        <v>2</v>
      </c>
      <c r="M4053" s="9" t="n">
        <v>0</v>
      </c>
      <c r="N4053" s="9" t="s">
        <v>42</v>
      </c>
      <c r="O4053" s="9" t="s">
        <v>52</v>
      </c>
      <c r="P4053" s="9" t="n">
        <v>4.5</v>
      </c>
      <c r="Q4053" s="9" t="n">
        <v>37</v>
      </c>
      <c r="R4053" s="9" t="s">
        <v>53</v>
      </c>
      <c r="S4053" s="9"/>
      <c r="T4053" s="9"/>
      <c r="U4053" s="9" t="str">
        <f aca="false">IF(COUNTIF($A$2:$A$5001,A4053)&gt;1,"Duplicate","Unique")</f>
        <v>Unique</v>
      </c>
      <c r="V4053" s="9" t="str">
        <f aca="false">IF(COUNTIFS($B$2:$B$5001,B4053,$H$2:$H$5001,H4053,$J$2:$J$5001,J4053)&gt;1,"Possible Duplicate Booking","Unique")</f>
        <v>Unique</v>
      </c>
      <c r="W4053" s="9" t="str">
        <f aca="false">IF((H4053-G4053)&lt;&gt;K4053,"Mismatch","OK")</f>
        <v>OK</v>
      </c>
      <c r="X4053" s="9" t="str">
        <f aca="false">IF(TEXT(H4053,"dddd")&lt;&gt;I4053,"Mismatch","OK")</f>
        <v>OK</v>
      </c>
      <c r="Y4053" s="9" t="str">
        <f aca="false">IF(AND(N4053="No",O4053&lt;&gt;""),"Unexpected: channel present but no reminder sent",IF(AND(N4053="Yes",O4053=""),"Missing channel for sent reminder","OK"))</f>
        <v>OK</v>
      </c>
    </row>
    <row r="4054" customFormat="false" ht="15" hidden="false" customHeight="false" outlineLevel="0" collapsed="false">
      <c r="A4054" s="7" t="s">
        <v>5735</v>
      </c>
      <c r="B4054" s="7" t="s">
        <v>5736</v>
      </c>
      <c r="C4054" s="7" t="s">
        <v>47</v>
      </c>
      <c r="D4054" s="7" t="n">
        <v>35</v>
      </c>
      <c r="E4054" s="7" t="s">
        <v>38</v>
      </c>
      <c r="F4054" s="7" t="s">
        <v>39</v>
      </c>
      <c r="G4054" s="8" t="n">
        <v>46073</v>
      </c>
      <c r="H4054" s="8" t="n">
        <v>46075</v>
      </c>
      <c r="I4054" s="7" t="s">
        <v>75</v>
      </c>
      <c r="J4054" s="7" t="s">
        <v>41</v>
      </c>
      <c r="K4054" s="7" t="n">
        <v>2</v>
      </c>
      <c r="L4054" s="7" t="n">
        <v>0</v>
      </c>
      <c r="M4054" s="7" t="n">
        <v>0</v>
      </c>
      <c r="N4054" s="7" t="s">
        <v>42</v>
      </c>
      <c r="O4054" s="7" t="s">
        <v>43</v>
      </c>
      <c r="P4054" s="7" t="n">
        <v>7</v>
      </c>
      <c r="Q4054" s="7" t="n">
        <v>31</v>
      </c>
      <c r="R4054" s="7" t="s">
        <v>53</v>
      </c>
      <c r="S4054" s="7"/>
      <c r="T4054" s="7"/>
      <c r="U4054" s="7" t="str">
        <f aca="false">IF(COUNTIF($A$2:$A$5001,A4054)&gt;1,"Duplicate","Unique")</f>
        <v>Unique</v>
      </c>
      <c r="V4054" s="7" t="str">
        <f aca="false">IF(COUNTIFS($B$2:$B$5001,B4054,$H$2:$H$5001,H4054,$J$2:$J$5001,J4054)&gt;1,"Possible Duplicate Booking","Unique")</f>
        <v>Unique</v>
      </c>
      <c r="W4054" s="7" t="str">
        <f aca="false">IF((H4054-G4054)&lt;&gt;K4054,"Mismatch","OK")</f>
        <v>OK</v>
      </c>
      <c r="X4054" s="7" t="str">
        <f aca="false">IF(TEXT(H4054,"dddd")&lt;&gt;I4054,"Mismatch","OK")</f>
        <v>OK</v>
      </c>
      <c r="Y4054" s="7" t="str">
        <f aca="false">IF(AND(N4054="No",O4054&lt;&gt;""),"Unexpected: channel present but no reminder sent",IF(AND(N4054="Yes",O4054=""),"Missing channel for sent reminder","OK"))</f>
        <v>OK</v>
      </c>
    </row>
    <row r="4055" customFormat="false" ht="15" hidden="false" customHeight="false" outlineLevel="0" collapsed="false">
      <c r="A4055" s="9" t="s">
        <v>5737</v>
      </c>
      <c r="B4055" s="9" t="s">
        <v>3553</v>
      </c>
      <c r="C4055" s="9" t="s">
        <v>37</v>
      </c>
      <c r="D4055" s="9" t="n">
        <v>55</v>
      </c>
      <c r="E4055" s="9" t="s">
        <v>61</v>
      </c>
      <c r="F4055" s="9" t="s">
        <v>57</v>
      </c>
      <c r="G4055" s="10" t="n">
        <v>46056</v>
      </c>
      <c r="H4055" s="10" t="n">
        <v>46100</v>
      </c>
      <c r="I4055" s="9" t="s">
        <v>62</v>
      </c>
      <c r="J4055" s="9" t="s">
        <v>63</v>
      </c>
      <c r="K4055" s="9" t="n">
        <v>44</v>
      </c>
      <c r="L4055" s="9" t="n">
        <v>3</v>
      </c>
      <c r="M4055" s="9" t="n">
        <v>0</v>
      </c>
      <c r="N4055" s="9" t="s">
        <v>71</v>
      </c>
      <c r="O4055" s="9"/>
      <c r="P4055" s="9" t="n">
        <v>3.3</v>
      </c>
      <c r="Q4055" s="9" t="n">
        <v>47</v>
      </c>
      <c r="R4055" s="9" t="s">
        <v>44</v>
      </c>
      <c r="S4055" s="9"/>
      <c r="T4055" s="9"/>
      <c r="U4055" s="9" t="str">
        <f aca="false">IF(COUNTIF($A$2:$A$5001,A4055)&gt;1,"Duplicate","Unique")</f>
        <v>Unique</v>
      </c>
      <c r="V4055" s="9" t="str">
        <f aca="false">IF(COUNTIFS($B$2:$B$5001,B4055,$H$2:$H$5001,H4055,$J$2:$J$5001,J4055)&gt;1,"Possible Duplicate Booking","Unique")</f>
        <v>Unique</v>
      </c>
      <c r="W4055" s="9" t="str">
        <f aca="false">IF((H4055-G4055)&lt;&gt;K4055,"Mismatch","OK")</f>
        <v>OK</v>
      </c>
      <c r="X4055" s="9" t="str">
        <f aca="false">IF(TEXT(H4055,"dddd")&lt;&gt;I4055,"Mismatch","OK")</f>
        <v>OK</v>
      </c>
      <c r="Y4055" s="9" t="str">
        <f aca="false">IF(AND(N4055="No",O4055&lt;&gt;""),"Unexpected: channel present but no reminder sent",IF(AND(N4055="Yes",O4055=""),"Missing channel for sent reminder","OK"))</f>
        <v>OK</v>
      </c>
    </row>
    <row r="4056" customFormat="false" ht="15" hidden="false" customHeight="false" outlineLevel="0" collapsed="false">
      <c r="A4056" s="7" t="s">
        <v>5738</v>
      </c>
      <c r="B4056" s="7" t="s">
        <v>3998</v>
      </c>
      <c r="C4056" s="7" t="s">
        <v>37</v>
      </c>
      <c r="D4056" s="7" t="n">
        <v>23</v>
      </c>
      <c r="E4056" s="7" t="s">
        <v>82</v>
      </c>
      <c r="F4056" s="7" t="s">
        <v>49</v>
      </c>
      <c r="G4056" s="8" t="n">
        <v>45603</v>
      </c>
      <c r="H4056" s="8" t="n">
        <v>45661</v>
      </c>
      <c r="I4056" s="7" t="s">
        <v>102</v>
      </c>
      <c r="J4056" s="7" t="s">
        <v>41</v>
      </c>
      <c r="K4056" s="7" t="n">
        <v>58</v>
      </c>
      <c r="L4056" s="7" t="n">
        <v>1</v>
      </c>
      <c r="M4056" s="7" t="n">
        <v>0</v>
      </c>
      <c r="N4056" s="7" t="s">
        <v>42</v>
      </c>
      <c r="O4056" s="7" t="s">
        <v>67</v>
      </c>
      <c r="P4056" s="7" t="n">
        <v>2.8</v>
      </c>
      <c r="Q4056" s="7" t="n">
        <v>16</v>
      </c>
      <c r="R4056" s="7" t="s">
        <v>53</v>
      </c>
      <c r="S4056" s="7"/>
      <c r="T4056" s="7"/>
      <c r="U4056" s="7" t="str">
        <f aca="false">IF(COUNTIF($A$2:$A$5001,A4056)&gt;1,"Duplicate","Unique")</f>
        <v>Unique</v>
      </c>
      <c r="V4056" s="7" t="str">
        <f aca="false">IF(COUNTIFS($B$2:$B$5001,B4056,$H$2:$H$5001,H4056,$J$2:$J$5001,J4056)&gt;1,"Possible Duplicate Booking","Unique")</f>
        <v>Unique</v>
      </c>
      <c r="W4056" s="7" t="str">
        <f aca="false">IF((H4056-G4056)&lt;&gt;K4056,"Mismatch","OK")</f>
        <v>OK</v>
      </c>
      <c r="X4056" s="7" t="str">
        <f aca="false">IF(TEXT(H4056,"dddd")&lt;&gt;I4056,"Mismatch","OK")</f>
        <v>OK</v>
      </c>
      <c r="Y4056" s="7" t="str">
        <f aca="false">IF(AND(N4056="No",O4056&lt;&gt;""),"Unexpected: channel present but no reminder sent",IF(AND(N4056="Yes",O4056=""),"Missing channel for sent reminder","OK"))</f>
        <v>OK</v>
      </c>
    </row>
    <row r="4057" customFormat="false" ht="15" hidden="false" customHeight="false" outlineLevel="0" collapsed="false">
      <c r="A4057" s="9" t="s">
        <v>5739</v>
      </c>
      <c r="B4057" s="9" t="s">
        <v>1036</v>
      </c>
      <c r="C4057" s="9" t="s">
        <v>47</v>
      </c>
      <c r="D4057" s="9" t="n">
        <v>33</v>
      </c>
      <c r="E4057" s="9" t="s">
        <v>48</v>
      </c>
      <c r="F4057" s="9" t="s">
        <v>39</v>
      </c>
      <c r="G4057" s="10" t="n">
        <v>45823</v>
      </c>
      <c r="H4057" s="10" t="n">
        <v>45864</v>
      </c>
      <c r="I4057" s="9" t="s">
        <v>102</v>
      </c>
      <c r="J4057" s="9" t="s">
        <v>51</v>
      </c>
      <c r="K4057" s="9" t="n">
        <v>41</v>
      </c>
      <c r="L4057" s="9" t="n">
        <v>1</v>
      </c>
      <c r="M4057" s="9" t="n">
        <v>1</v>
      </c>
      <c r="N4057" s="9" t="s">
        <v>42</v>
      </c>
      <c r="O4057" s="9" t="s">
        <v>52</v>
      </c>
      <c r="P4057" s="9" t="n">
        <v>4.3</v>
      </c>
      <c r="Q4057" s="9" t="n">
        <v>16</v>
      </c>
      <c r="R4057" s="9" t="s">
        <v>53</v>
      </c>
      <c r="S4057" s="9"/>
      <c r="T4057" s="9"/>
      <c r="U4057" s="9" t="str">
        <f aca="false">IF(COUNTIF($A$2:$A$5001,A4057)&gt;1,"Duplicate","Unique")</f>
        <v>Unique</v>
      </c>
      <c r="V4057" s="9" t="str">
        <f aca="false">IF(COUNTIFS($B$2:$B$5001,B4057,$H$2:$H$5001,H4057,$J$2:$J$5001,J4057)&gt;1,"Possible Duplicate Booking","Unique")</f>
        <v>Unique</v>
      </c>
      <c r="W4057" s="9" t="str">
        <f aca="false">IF((H4057-G4057)&lt;&gt;K4057,"Mismatch","OK")</f>
        <v>OK</v>
      </c>
      <c r="X4057" s="9" t="str">
        <f aca="false">IF(TEXT(H4057,"dddd")&lt;&gt;I4057,"Mismatch","OK")</f>
        <v>OK</v>
      </c>
      <c r="Y4057" s="9" t="str">
        <f aca="false">IF(AND(N4057="No",O4057&lt;&gt;""),"Unexpected: channel present but no reminder sent",IF(AND(N4057="Yes",O4057=""),"Missing channel for sent reminder","OK"))</f>
        <v>OK</v>
      </c>
    </row>
    <row r="4058" customFormat="false" ht="15" hidden="false" customHeight="false" outlineLevel="0" collapsed="false">
      <c r="A4058" s="7" t="s">
        <v>5740</v>
      </c>
      <c r="B4058" s="7" t="s">
        <v>848</v>
      </c>
      <c r="C4058" s="7" t="s">
        <v>37</v>
      </c>
      <c r="D4058" s="7" t="n">
        <v>59</v>
      </c>
      <c r="E4058" s="7" t="s">
        <v>61</v>
      </c>
      <c r="F4058" s="7" t="s">
        <v>57</v>
      </c>
      <c r="G4058" s="8" t="n">
        <v>46069</v>
      </c>
      <c r="H4058" s="8" t="n">
        <v>46120</v>
      </c>
      <c r="I4058" s="7" t="s">
        <v>58</v>
      </c>
      <c r="J4058" s="7" t="s">
        <v>51</v>
      </c>
      <c r="K4058" s="7" t="n">
        <v>51</v>
      </c>
      <c r="L4058" s="7" t="n">
        <v>5</v>
      </c>
      <c r="M4058" s="7" t="n">
        <v>0</v>
      </c>
      <c r="N4058" s="7" t="s">
        <v>42</v>
      </c>
      <c r="O4058" s="7" t="s">
        <v>52</v>
      </c>
      <c r="P4058" s="7" t="n">
        <v>1.7</v>
      </c>
      <c r="Q4058" s="7" t="n">
        <v>28</v>
      </c>
      <c r="R4058" s="7" t="s">
        <v>44</v>
      </c>
      <c r="S4058" s="7"/>
      <c r="T4058" s="7"/>
      <c r="U4058" s="7" t="str">
        <f aca="false">IF(COUNTIF($A$2:$A$5001,A4058)&gt;1,"Duplicate","Unique")</f>
        <v>Unique</v>
      </c>
      <c r="V4058" s="7" t="str">
        <f aca="false">IF(COUNTIFS($B$2:$B$5001,B4058,$H$2:$H$5001,H4058,$J$2:$J$5001,J4058)&gt;1,"Possible Duplicate Booking","Unique")</f>
        <v>Unique</v>
      </c>
      <c r="W4058" s="7" t="str">
        <f aca="false">IF((H4058-G4058)&lt;&gt;K4058,"Mismatch","OK")</f>
        <v>OK</v>
      </c>
      <c r="X4058" s="7" t="str">
        <f aca="false">IF(TEXT(H4058,"dddd")&lt;&gt;I4058,"Mismatch","OK")</f>
        <v>OK</v>
      </c>
      <c r="Y4058" s="7" t="str">
        <f aca="false">IF(AND(N4058="No",O4058&lt;&gt;""),"Unexpected: channel present but no reminder sent",IF(AND(N4058="Yes",O4058=""),"Missing channel for sent reminder","OK"))</f>
        <v>OK</v>
      </c>
    </row>
    <row r="4059" customFormat="false" ht="15" hidden="false" customHeight="false" outlineLevel="0" collapsed="false">
      <c r="A4059" s="9" t="s">
        <v>5741</v>
      </c>
      <c r="B4059" s="9" t="s">
        <v>176</v>
      </c>
      <c r="C4059" s="9" t="s">
        <v>37</v>
      </c>
      <c r="D4059" s="9" t="n">
        <v>56</v>
      </c>
      <c r="E4059" s="9" t="s">
        <v>61</v>
      </c>
      <c r="F4059" s="9" t="s">
        <v>74</v>
      </c>
      <c r="G4059" s="10" t="n">
        <v>45933</v>
      </c>
      <c r="H4059" s="10" t="n">
        <v>45947</v>
      </c>
      <c r="I4059" s="9" t="s">
        <v>50</v>
      </c>
      <c r="J4059" s="9" t="s">
        <v>41</v>
      </c>
      <c r="K4059" s="9" t="n">
        <v>14</v>
      </c>
      <c r="L4059" s="9" t="n">
        <v>2</v>
      </c>
      <c r="M4059" s="9" t="n">
        <v>1</v>
      </c>
      <c r="N4059" s="9" t="s">
        <v>42</v>
      </c>
      <c r="O4059" s="9" t="s">
        <v>52</v>
      </c>
      <c r="P4059" s="9" t="n">
        <v>17.9</v>
      </c>
      <c r="Q4059" s="9" t="n">
        <v>38</v>
      </c>
      <c r="R4059" s="9" t="s">
        <v>53</v>
      </c>
      <c r="S4059" s="9"/>
      <c r="T4059" s="9"/>
      <c r="U4059" s="9" t="str">
        <f aca="false">IF(COUNTIF($A$2:$A$5001,A4059)&gt;1,"Duplicate","Unique")</f>
        <v>Unique</v>
      </c>
      <c r="V4059" s="9" t="str">
        <f aca="false">IF(COUNTIFS($B$2:$B$5001,B4059,$H$2:$H$5001,H4059,$J$2:$J$5001,J4059)&gt;1,"Possible Duplicate Booking","Unique")</f>
        <v>Unique</v>
      </c>
      <c r="W4059" s="9" t="str">
        <f aca="false">IF((H4059-G4059)&lt;&gt;K4059,"Mismatch","OK")</f>
        <v>OK</v>
      </c>
      <c r="X4059" s="9" t="str">
        <f aca="false">IF(TEXT(H4059,"dddd")&lt;&gt;I4059,"Mismatch","OK")</f>
        <v>OK</v>
      </c>
      <c r="Y4059" s="9" t="str">
        <f aca="false">IF(AND(N4059="No",O4059&lt;&gt;""),"Unexpected: channel present but no reminder sent",IF(AND(N4059="Yes",O4059=""),"Missing channel for sent reminder","OK"))</f>
        <v>OK</v>
      </c>
    </row>
    <row r="4060" customFormat="false" ht="15" hidden="false" customHeight="false" outlineLevel="0" collapsed="false">
      <c r="A4060" s="7" t="s">
        <v>5742</v>
      </c>
      <c r="B4060" s="7" t="s">
        <v>36</v>
      </c>
      <c r="C4060" s="7" t="s">
        <v>47</v>
      </c>
      <c r="D4060" s="7" t="n">
        <v>79</v>
      </c>
      <c r="E4060" s="7" t="s">
        <v>70</v>
      </c>
      <c r="F4060" s="7" t="s">
        <v>49</v>
      </c>
      <c r="G4060" s="8" t="n">
        <v>45710</v>
      </c>
      <c r="H4060" s="8" t="n">
        <v>45770</v>
      </c>
      <c r="I4060" s="7" t="s">
        <v>58</v>
      </c>
      <c r="J4060" s="7" t="s">
        <v>51</v>
      </c>
      <c r="K4060" s="7" t="n">
        <v>60</v>
      </c>
      <c r="L4060" s="7" t="n">
        <v>7</v>
      </c>
      <c r="M4060" s="7" t="n">
        <v>0</v>
      </c>
      <c r="N4060" s="7" t="s">
        <v>71</v>
      </c>
      <c r="O4060" s="7"/>
      <c r="P4060" s="7" t="n">
        <v>8.7</v>
      </c>
      <c r="Q4060" s="7" t="n">
        <v>40</v>
      </c>
      <c r="R4060" s="7" t="s">
        <v>53</v>
      </c>
      <c r="S4060" s="7"/>
      <c r="T4060" s="7"/>
      <c r="U4060" s="7" t="str">
        <f aca="false">IF(COUNTIF($A$2:$A$5001,A4060)&gt;1,"Duplicate","Unique")</f>
        <v>Unique</v>
      </c>
      <c r="V4060" s="7" t="str">
        <f aca="false">IF(COUNTIFS($B$2:$B$5001,B4060,$H$2:$H$5001,H4060,$J$2:$J$5001,J4060)&gt;1,"Possible Duplicate Booking","Unique")</f>
        <v>Unique</v>
      </c>
      <c r="W4060" s="7" t="str">
        <f aca="false">IF((H4060-G4060)&lt;&gt;K4060,"Mismatch","OK")</f>
        <v>OK</v>
      </c>
      <c r="X4060" s="7" t="str">
        <f aca="false">IF(TEXT(H4060,"dddd")&lt;&gt;I4060,"Mismatch","OK")</f>
        <v>OK</v>
      </c>
      <c r="Y4060" s="7" t="str">
        <f aca="false">IF(AND(N4060="No",O4060&lt;&gt;""),"Unexpected: channel present but no reminder sent",IF(AND(N4060="Yes",O4060=""),"Missing channel for sent reminder","OK"))</f>
        <v>OK</v>
      </c>
    </row>
    <row r="4061" customFormat="false" ht="15" hidden="false" customHeight="false" outlineLevel="0" collapsed="false">
      <c r="A4061" s="9" t="s">
        <v>5743</v>
      </c>
      <c r="B4061" s="9" t="s">
        <v>4705</v>
      </c>
      <c r="C4061" s="9" t="s">
        <v>47</v>
      </c>
      <c r="D4061" s="9" t="n">
        <v>74</v>
      </c>
      <c r="E4061" s="9" t="s">
        <v>70</v>
      </c>
      <c r="F4061" s="9" t="s">
        <v>39</v>
      </c>
      <c r="G4061" s="10" t="n">
        <v>45949</v>
      </c>
      <c r="H4061" s="10" t="n">
        <v>45982</v>
      </c>
      <c r="I4061" s="9" t="s">
        <v>50</v>
      </c>
      <c r="J4061" s="9" t="s">
        <v>51</v>
      </c>
      <c r="K4061" s="9" t="n">
        <v>33</v>
      </c>
      <c r="L4061" s="9" t="n">
        <v>4</v>
      </c>
      <c r="M4061" s="9" t="n">
        <v>1</v>
      </c>
      <c r="N4061" s="9" t="s">
        <v>42</v>
      </c>
      <c r="O4061" s="9" t="s">
        <v>43</v>
      </c>
      <c r="P4061" s="9" t="n">
        <v>9.4</v>
      </c>
      <c r="Q4061" s="9" t="n">
        <v>2</v>
      </c>
      <c r="R4061" s="9" t="s">
        <v>44</v>
      </c>
      <c r="S4061" s="9"/>
      <c r="T4061" s="9"/>
      <c r="U4061" s="9" t="str">
        <f aca="false">IF(COUNTIF($A$2:$A$5001,A4061)&gt;1,"Duplicate","Unique")</f>
        <v>Unique</v>
      </c>
      <c r="V4061" s="9" t="str">
        <f aca="false">IF(COUNTIFS($B$2:$B$5001,B4061,$H$2:$H$5001,H4061,$J$2:$J$5001,J4061)&gt;1,"Possible Duplicate Booking","Unique")</f>
        <v>Unique</v>
      </c>
      <c r="W4061" s="9" t="str">
        <f aca="false">IF((H4061-G4061)&lt;&gt;K4061,"Mismatch","OK")</f>
        <v>OK</v>
      </c>
      <c r="X4061" s="9" t="str">
        <f aca="false">IF(TEXT(H4061,"dddd")&lt;&gt;I4061,"Mismatch","OK")</f>
        <v>OK</v>
      </c>
      <c r="Y4061" s="9" t="str">
        <f aca="false">IF(AND(N4061="No",O4061&lt;&gt;""),"Unexpected: channel present but no reminder sent",IF(AND(N4061="Yes",O4061=""),"Missing channel for sent reminder","OK"))</f>
        <v>OK</v>
      </c>
    </row>
    <row r="4062" customFormat="false" ht="15" hidden="false" customHeight="false" outlineLevel="0" collapsed="false">
      <c r="A4062" s="7" t="s">
        <v>5744</v>
      </c>
      <c r="B4062" s="7" t="s">
        <v>1096</v>
      </c>
      <c r="C4062" s="7" t="s">
        <v>37</v>
      </c>
      <c r="D4062" s="7" t="n">
        <v>69</v>
      </c>
      <c r="E4062" s="7" t="s">
        <v>70</v>
      </c>
      <c r="F4062" s="7" t="s">
        <v>49</v>
      </c>
      <c r="G4062" s="8" t="n">
        <v>45696</v>
      </c>
      <c r="H4062" s="8" t="n">
        <v>45737</v>
      </c>
      <c r="I4062" s="7" t="s">
        <v>50</v>
      </c>
      <c r="J4062" s="7" t="s">
        <v>41</v>
      </c>
      <c r="K4062" s="7" t="n">
        <v>41</v>
      </c>
      <c r="L4062" s="7" t="n">
        <v>0</v>
      </c>
      <c r="M4062" s="7" t="n">
        <v>0</v>
      </c>
      <c r="N4062" s="7" t="s">
        <v>42</v>
      </c>
      <c r="O4062" s="7" t="s">
        <v>52</v>
      </c>
      <c r="P4062" s="7" t="n">
        <v>7.2</v>
      </c>
      <c r="Q4062" s="7" t="n">
        <v>25</v>
      </c>
      <c r="R4062" s="7" t="s">
        <v>53</v>
      </c>
      <c r="S4062" s="7"/>
      <c r="T4062" s="7"/>
      <c r="U4062" s="7" t="str">
        <f aca="false">IF(COUNTIF($A$2:$A$5001,A4062)&gt;1,"Duplicate","Unique")</f>
        <v>Unique</v>
      </c>
      <c r="V4062" s="7" t="str">
        <f aca="false">IF(COUNTIFS($B$2:$B$5001,B4062,$H$2:$H$5001,H4062,$J$2:$J$5001,J4062)&gt;1,"Possible Duplicate Booking","Unique")</f>
        <v>Unique</v>
      </c>
      <c r="W4062" s="7" t="str">
        <f aca="false">IF((H4062-G4062)&lt;&gt;K4062,"Mismatch","OK")</f>
        <v>OK</v>
      </c>
      <c r="X4062" s="7" t="str">
        <f aca="false">IF(TEXT(H4062,"dddd")&lt;&gt;I4062,"Mismatch","OK")</f>
        <v>OK</v>
      </c>
      <c r="Y4062" s="7" t="str">
        <f aca="false">IF(AND(N4062="No",O4062&lt;&gt;""),"Unexpected: channel present but no reminder sent",IF(AND(N4062="Yes",O4062=""),"Missing channel for sent reminder","OK"))</f>
        <v>OK</v>
      </c>
    </row>
    <row r="4063" customFormat="false" ht="15" hidden="false" customHeight="false" outlineLevel="0" collapsed="false">
      <c r="A4063" s="9" t="s">
        <v>5745</v>
      </c>
      <c r="B4063" s="9" t="s">
        <v>826</v>
      </c>
      <c r="C4063" s="9" t="s">
        <v>47</v>
      </c>
      <c r="D4063" s="9" t="n">
        <v>18</v>
      </c>
      <c r="E4063" s="9" t="s">
        <v>82</v>
      </c>
      <c r="F4063" s="9" t="s">
        <v>39</v>
      </c>
      <c r="G4063" s="10" t="n">
        <v>45622</v>
      </c>
      <c r="H4063" s="10" t="n">
        <v>45669</v>
      </c>
      <c r="I4063" s="9" t="s">
        <v>75</v>
      </c>
      <c r="J4063" s="9" t="s">
        <v>51</v>
      </c>
      <c r="K4063" s="9" t="n">
        <v>47</v>
      </c>
      <c r="L4063" s="9" t="n">
        <v>4</v>
      </c>
      <c r="M4063" s="9" t="n">
        <v>2</v>
      </c>
      <c r="N4063" s="9" t="s">
        <v>42</v>
      </c>
      <c r="O4063" s="9" t="s">
        <v>67</v>
      </c>
      <c r="P4063" s="9" t="n">
        <v>3.7</v>
      </c>
      <c r="Q4063" s="9" t="n">
        <v>34</v>
      </c>
      <c r="R4063" s="9" t="s">
        <v>44</v>
      </c>
      <c r="S4063" s="9"/>
      <c r="T4063" s="9"/>
      <c r="U4063" s="9" t="str">
        <f aca="false">IF(COUNTIF($A$2:$A$5001,A4063)&gt;1,"Duplicate","Unique")</f>
        <v>Unique</v>
      </c>
      <c r="V4063" s="9" t="str">
        <f aca="false">IF(COUNTIFS($B$2:$B$5001,B4063,$H$2:$H$5001,H4063,$J$2:$J$5001,J4063)&gt;1,"Possible Duplicate Booking","Unique")</f>
        <v>Unique</v>
      </c>
      <c r="W4063" s="9" t="str">
        <f aca="false">IF((H4063-G4063)&lt;&gt;K4063,"Mismatch","OK")</f>
        <v>OK</v>
      </c>
      <c r="X4063" s="9" t="str">
        <f aca="false">IF(TEXT(H4063,"dddd")&lt;&gt;I4063,"Mismatch","OK")</f>
        <v>OK</v>
      </c>
      <c r="Y4063" s="9" t="str">
        <f aca="false">IF(AND(N4063="No",O4063&lt;&gt;""),"Unexpected: channel present but no reminder sent",IF(AND(N4063="Yes",O4063=""),"Missing channel for sent reminder","OK"))</f>
        <v>OK</v>
      </c>
    </row>
    <row r="4064" customFormat="false" ht="15" hidden="false" customHeight="false" outlineLevel="0" collapsed="false">
      <c r="A4064" s="7" t="s">
        <v>5746</v>
      </c>
      <c r="B4064" s="7" t="s">
        <v>5747</v>
      </c>
      <c r="C4064" s="7" t="s">
        <v>37</v>
      </c>
      <c r="D4064" s="7" t="n">
        <v>55</v>
      </c>
      <c r="E4064" s="7" t="s">
        <v>61</v>
      </c>
      <c r="F4064" s="7" t="s">
        <v>39</v>
      </c>
      <c r="G4064" s="8" t="n">
        <v>45964</v>
      </c>
      <c r="H4064" s="8" t="n">
        <v>46003</v>
      </c>
      <c r="I4064" s="7" t="s">
        <v>50</v>
      </c>
      <c r="J4064" s="7" t="s">
        <v>51</v>
      </c>
      <c r="K4064" s="7" t="n">
        <v>39</v>
      </c>
      <c r="L4064" s="7" t="n">
        <v>1</v>
      </c>
      <c r="M4064" s="7" t="n">
        <v>0</v>
      </c>
      <c r="N4064" s="7" t="s">
        <v>71</v>
      </c>
      <c r="O4064" s="7"/>
      <c r="P4064" s="7" t="n">
        <v>11.6</v>
      </c>
      <c r="Q4064" s="7" t="n">
        <v>34</v>
      </c>
      <c r="R4064" s="7" t="s">
        <v>44</v>
      </c>
      <c r="S4064" s="7"/>
      <c r="T4064" s="7"/>
      <c r="U4064" s="7" t="str">
        <f aca="false">IF(COUNTIF($A$2:$A$5001,A4064)&gt;1,"Duplicate","Unique")</f>
        <v>Unique</v>
      </c>
      <c r="V4064" s="7" t="str">
        <f aca="false">IF(COUNTIFS($B$2:$B$5001,B4064,$H$2:$H$5001,H4064,$J$2:$J$5001,J4064)&gt;1,"Possible Duplicate Booking","Unique")</f>
        <v>Unique</v>
      </c>
      <c r="W4064" s="7" t="str">
        <f aca="false">IF((H4064-G4064)&lt;&gt;K4064,"Mismatch","OK")</f>
        <v>OK</v>
      </c>
      <c r="X4064" s="7" t="str">
        <f aca="false">IF(TEXT(H4064,"dddd")&lt;&gt;I4064,"Mismatch","OK")</f>
        <v>OK</v>
      </c>
      <c r="Y4064" s="7" t="str">
        <f aca="false">IF(AND(N4064="No",O4064&lt;&gt;""),"Unexpected: channel present but no reminder sent",IF(AND(N4064="Yes",O4064=""),"Missing channel for sent reminder","OK"))</f>
        <v>OK</v>
      </c>
    </row>
    <row r="4065" customFormat="false" ht="15" hidden="false" customHeight="false" outlineLevel="0" collapsed="false">
      <c r="A4065" s="9" t="s">
        <v>5748</v>
      </c>
      <c r="B4065" s="9" t="s">
        <v>4504</v>
      </c>
      <c r="C4065" s="9" t="s">
        <v>37</v>
      </c>
      <c r="D4065" s="9" t="n">
        <v>32</v>
      </c>
      <c r="E4065" s="9" t="s">
        <v>48</v>
      </c>
      <c r="F4065" s="9" t="s">
        <v>57</v>
      </c>
      <c r="G4065" s="10" t="n">
        <v>45920</v>
      </c>
      <c r="H4065" s="10" t="n">
        <v>45939</v>
      </c>
      <c r="I4065" s="9" t="s">
        <v>62</v>
      </c>
      <c r="J4065" s="9" t="s">
        <v>41</v>
      </c>
      <c r="K4065" s="9" t="n">
        <v>19</v>
      </c>
      <c r="L4065" s="9" t="n">
        <v>1</v>
      </c>
      <c r="M4065" s="9" t="n">
        <v>0</v>
      </c>
      <c r="N4065" s="9" t="s">
        <v>42</v>
      </c>
      <c r="O4065" s="9" t="s">
        <v>52</v>
      </c>
      <c r="P4065" s="9" t="n">
        <v>10.6</v>
      </c>
      <c r="Q4065" s="9" t="n">
        <v>30</v>
      </c>
      <c r="R4065" s="9" t="s">
        <v>44</v>
      </c>
      <c r="S4065" s="9"/>
      <c r="T4065" s="9"/>
      <c r="U4065" s="9" t="str">
        <f aca="false">IF(COUNTIF($A$2:$A$5001,A4065)&gt;1,"Duplicate","Unique")</f>
        <v>Unique</v>
      </c>
      <c r="V4065" s="9" t="str">
        <f aca="false">IF(COUNTIFS($B$2:$B$5001,B4065,$H$2:$H$5001,H4065,$J$2:$J$5001,J4065)&gt;1,"Possible Duplicate Booking","Unique")</f>
        <v>Unique</v>
      </c>
      <c r="W4065" s="9" t="str">
        <f aca="false">IF((H4065-G4065)&lt;&gt;K4065,"Mismatch","OK")</f>
        <v>OK</v>
      </c>
      <c r="X4065" s="9" t="str">
        <f aca="false">IF(TEXT(H4065,"dddd")&lt;&gt;I4065,"Mismatch","OK")</f>
        <v>OK</v>
      </c>
      <c r="Y4065" s="9" t="str">
        <f aca="false">IF(AND(N4065="No",O4065&lt;&gt;""),"Unexpected: channel present but no reminder sent",IF(AND(N4065="Yes",O4065=""),"Missing channel for sent reminder","OK"))</f>
        <v>OK</v>
      </c>
    </row>
    <row r="4066" customFormat="false" ht="15" hidden="false" customHeight="false" outlineLevel="0" collapsed="false">
      <c r="A4066" s="7" t="s">
        <v>5749</v>
      </c>
      <c r="B4066" s="7" t="s">
        <v>5750</v>
      </c>
      <c r="C4066" s="7" t="s">
        <v>47</v>
      </c>
      <c r="D4066" s="7" t="n">
        <v>34</v>
      </c>
      <c r="E4066" s="7" t="s">
        <v>48</v>
      </c>
      <c r="F4066" s="7" t="s">
        <v>57</v>
      </c>
      <c r="G4066" s="8" t="n">
        <v>46034</v>
      </c>
      <c r="H4066" s="8" t="n">
        <v>46071</v>
      </c>
      <c r="I4066" s="7" t="s">
        <v>58</v>
      </c>
      <c r="J4066" s="7" t="s">
        <v>63</v>
      </c>
      <c r="K4066" s="7" t="n">
        <v>37</v>
      </c>
      <c r="L4066" s="7" t="n">
        <v>2</v>
      </c>
      <c r="M4066" s="7" t="n">
        <v>1</v>
      </c>
      <c r="N4066" s="7" t="s">
        <v>71</v>
      </c>
      <c r="O4066" s="7"/>
      <c r="P4066" s="7" t="n">
        <v>3.9</v>
      </c>
      <c r="Q4066" s="7" t="n">
        <v>23</v>
      </c>
      <c r="R4066" s="7" t="s">
        <v>44</v>
      </c>
      <c r="S4066" s="7"/>
      <c r="T4066" s="7"/>
      <c r="U4066" s="7" t="str">
        <f aca="false">IF(COUNTIF($A$2:$A$5001,A4066)&gt;1,"Duplicate","Unique")</f>
        <v>Unique</v>
      </c>
      <c r="V4066" s="7" t="str">
        <f aca="false">IF(COUNTIFS($B$2:$B$5001,B4066,$H$2:$H$5001,H4066,$J$2:$J$5001,J4066)&gt;1,"Possible Duplicate Booking","Unique")</f>
        <v>Unique</v>
      </c>
      <c r="W4066" s="7" t="str">
        <f aca="false">IF((H4066-G4066)&lt;&gt;K4066,"Mismatch","OK")</f>
        <v>OK</v>
      </c>
      <c r="X4066" s="7" t="str">
        <f aca="false">IF(TEXT(H4066,"dddd")&lt;&gt;I4066,"Mismatch","OK")</f>
        <v>OK</v>
      </c>
      <c r="Y4066" s="7" t="str">
        <f aca="false">IF(AND(N4066="No",O4066&lt;&gt;""),"Unexpected: channel present but no reminder sent",IF(AND(N4066="Yes",O4066=""),"Missing channel for sent reminder","OK"))</f>
        <v>OK</v>
      </c>
    </row>
    <row r="4067" customFormat="false" ht="15" hidden="false" customHeight="false" outlineLevel="0" collapsed="false">
      <c r="A4067" s="9" t="s">
        <v>5751</v>
      </c>
      <c r="B4067" s="9" t="s">
        <v>4076</v>
      </c>
      <c r="C4067" s="9" t="s">
        <v>47</v>
      </c>
      <c r="D4067" s="9" t="n">
        <v>31</v>
      </c>
      <c r="E4067" s="9" t="s">
        <v>48</v>
      </c>
      <c r="F4067" s="9" t="s">
        <v>39</v>
      </c>
      <c r="G4067" s="10" t="n">
        <v>45807</v>
      </c>
      <c r="H4067" s="10" t="n">
        <v>45846</v>
      </c>
      <c r="I4067" s="9" t="s">
        <v>40</v>
      </c>
      <c r="J4067" s="9" t="s">
        <v>41</v>
      </c>
      <c r="K4067" s="9" t="n">
        <v>39</v>
      </c>
      <c r="L4067" s="9" t="n">
        <v>3</v>
      </c>
      <c r="M4067" s="9" t="n">
        <v>0</v>
      </c>
      <c r="N4067" s="9" t="s">
        <v>42</v>
      </c>
      <c r="O4067" s="9" t="s">
        <v>52</v>
      </c>
      <c r="P4067" s="9" t="n">
        <v>14.4</v>
      </c>
      <c r="Q4067" s="9" t="n">
        <v>2</v>
      </c>
      <c r="R4067" s="9" t="s">
        <v>44</v>
      </c>
      <c r="S4067" s="9"/>
      <c r="T4067" s="9"/>
      <c r="U4067" s="9" t="str">
        <f aca="false">IF(COUNTIF($A$2:$A$5001,A4067)&gt;1,"Duplicate","Unique")</f>
        <v>Unique</v>
      </c>
      <c r="V4067" s="9" t="str">
        <f aca="false">IF(COUNTIFS($B$2:$B$5001,B4067,$H$2:$H$5001,H4067,$J$2:$J$5001,J4067)&gt;1,"Possible Duplicate Booking","Unique")</f>
        <v>Unique</v>
      </c>
      <c r="W4067" s="9" t="str">
        <f aca="false">IF((H4067-G4067)&lt;&gt;K4067,"Mismatch","OK")</f>
        <v>OK</v>
      </c>
      <c r="X4067" s="9" t="str">
        <f aca="false">IF(TEXT(H4067,"dddd")&lt;&gt;I4067,"Mismatch","OK")</f>
        <v>OK</v>
      </c>
      <c r="Y4067" s="9" t="str">
        <f aca="false">IF(AND(N4067="No",O4067&lt;&gt;""),"Unexpected: channel present but no reminder sent",IF(AND(N4067="Yes",O4067=""),"Missing channel for sent reminder","OK"))</f>
        <v>OK</v>
      </c>
    </row>
    <row r="4068" customFormat="false" ht="15" hidden="false" customHeight="false" outlineLevel="0" collapsed="false">
      <c r="A4068" s="7" t="s">
        <v>5752</v>
      </c>
      <c r="B4068" s="7" t="s">
        <v>1856</v>
      </c>
      <c r="C4068" s="7" t="s">
        <v>47</v>
      </c>
      <c r="D4068" s="7" t="n">
        <v>46</v>
      </c>
      <c r="E4068" s="7" t="s">
        <v>56</v>
      </c>
      <c r="F4068" s="7" t="s">
        <v>39</v>
      </c>
      <c r="G4068" s="8" t="n">
        <v>46072</v>
      </c>
      <c r="H4068" s="8" t="n">
        <v>46124</v>
      </c>
      <c r="I4068" s="7" t="s">
        <v>75</v>
      </c>
      <c r="J4068" s="7" t="s">
        <v>51</v>
      </c>
      <c r="K4068" s="7" t="n">
        <v>52</v>
      </c>
      <c r="L4068" s="7" t="n">
        <v>1</v>
      </c>
      <c r="M4068" s="7" t="n">
        <v>0</v>
      </c>
      <c r="N4068" s="7" t="s">
        <v>42</v>
      </c>
      <c r="O4068" s="7" t="s">
        <v>67</v>
      </c>
      <c r="P4068" s="7" t="n">
        <v>3.3</v>
      </c>
      <c r="Q4068" s="7" t="n">
        <v>47</v>
      </c>
      <c r="R4068" s="7" t="s">
        <v>44</v>
      </c>
      <c r="S4068" s="7"/>
      <c r="T4068" s="7"/>
      <c r="U4068" s="7" t="str">
        <f aca="false">IF(COUNTIF($A$2:$A$5001,A4068)&gt;1,"Duplicate","Unique")</f>
        <v>Unique</v>
      </c>
      <c r="V4068" s="7" t="str">
        <f aca="false">IF(COUNTIFS($B$2:$B$5001,B4068,$H$2:$H$5001,H4068,$J$2:$J$5001,J4068)&gt;1,"Possible Duplicate Booking","Unique")</f>
        <v>Unique</v>
      </c>
      <c r="W4068" s="7" t="str">
        <f aca="false">IF((H4068-G4068)&lt;&gt;K4068,"Mismatch","OK")</f>
        <v>OK</v>
      </c>
      <c r="X4068" s="7" t="str">
        <f aca="false">IF(TEXT(H4068,"dddd")&lt;&gt;I4068,"Mismatch","OK")</f>
        <v>OK</v>
      </c>
      <c r="Y4068" s="7" t="str">
        <f aca="false">IF(AND(N4068="No",O4068&lt;&gt;""),"Unexpected: channel present but no reminder sent",IF(AND(N4068="Yes",O4068=""),"Missing channel for sent reminder","OK"))</f>
        <v>OK</v>
      </c>
    </row>
    <row r="4069" customFormat="false" ht="15" hidden="false" customHeight="false" outlineLevel="0" collapsed="false">
      <c r="A4069" s="9" t="s">
        <v>5753</v>
      </c>
      <c r="B4069" s="9" t="s">
        <v>824</v>
      </c>
      <c r="C4069" s="9" t="s">
        <v>47</v>
      </c>
      <c r="D4069" s="9" t="n">
        <v>25</v>
      </c>
      <c r="E4069" s="9" t="s">
        <v>48</v>
      </c>
      <c r="F4069" s="9" t="s">
        <v>49</v>
      </c>
      <c r="G4069" s="10" t="n">
        <v>45859</v>
      </c>
      <c r="H4069" s="10" t="n">
        <v>45888</v>
      </c>
      <c r="I4069" s="9" t="s">
        <v>40</v>
      </c>
      <c r="J4069" s="9" t="s">
        <v>41</v>
      </c>
      <c r="K4069" s="9" t="n">
        <v>29</v>
      </c>
      <c r="L4069" s="9" t="n">
        <v>2</v>
      </c>
      <c r="M4069" s="9" t="n">
        <v>1</v>
      </c>
      <c r="N4069" s="9" t="s">
        <v>42</v>
      </c>
      <c r="O4069" s="9" t="s">
        <v>67</v>
      </c>
      <c r="P4069" s="9" t="n">
        <v>9.2</v>
      </c>
      <c r="Q4069" s="9" t="n">
        <v>31</v>
      </c>
      <c r="R4069" s="9" t="s">
        <v>53</v>
      </c>
      <c r="S4069" s="9"/>
      <c r="T4069" s="9"/>
      <c r="U4069" s="9" t="str">
        <f aca="false">IF(COUNTIF($A$2:$A$5001,A4069)&gt;1,"Duplicate","Unique")</f>
        <v>Unique</v>
      </c>
      <c r="V4069" s="9" t="str">
        <f aca="false">IF(COUNTIFS($B$2:$B$5001,B4069,$H$2:$H$5001,H4069,$J$2:$J$5001,J4069)&gt;1,"Possible Duplicate Booking","Unique")</f>
        <v>Unique</v>
      </c>
      <c r="W4069" s="9" t="str">
        <f aca="false">IF((H4069-G4069)&lt;&gt;K4069,"Mismatch","OK")</f>
        <v>OK</v>
      </c>
      <c r="X4069" s="9" t="str">
        <f aca="false">IF(TEXT(H4069,"dddd")&lt;&gt;I4069,"Mismatch","OK")</f>
        <v>OK</v>
      </c>
      <c r="Y4069" s="9" t="str">
        <f aca="false">IF(AND(N4069="No",O4069&lt;&gt;""),"Unexpected: channel present but no reminder sent",IF(AND(N4069="Yes",O4069=""),"Missing channel for sent reminder","OK"))</f>
        <v>OK</v>
      </c>
    </row>
    <row r="4070" customFormat="false" ht="15" hidden="false" customHeight="false" outlineLevel="0" collapsed="false">
      <c r="A4070" s="7" t="s">
        <v>5754</v>
      </c>
      <c r="B4070" s="7" t="s">
        <v>1584</v>
      </c>
      <c r="C4070" s="7" t="s">
        <v>47</v>
      </c>
      <c r="D4070" s="7" t="n">
        <v>51</v>
      </c>
      <c r="E4070" s="7" t="s">
        <v>56</v>
      </c>
      <c r="F4070" s="7" t="s">
        <v>39</v>
      </c>
      <c r="G4070" s="8" t="n">
        <v>46030</v>
      </c>
      <c r="H4070" s="8" t="n">
        <v>46060</v>
      </c>
      <c r="I4070" s="7" t="s">
        <v>102</v>
      </c>
      <c r="J4070" s="7" t="s">
        <v>63</v>
      </c>
      <c r="K4070" s="7" t="n">
        <v>30</v>
      </c>
      <c r="L4070" s="7" t="n">
        <v>3</v>
      </c>
      <c r="M4070" s="7" t="n">
        <v>0</v>
      </c>
      <c r="N4070" s="7" t="s">
        <v>42</v>
      </c>
      <c r="O4070" s="7" t="s">
        <v>43</v>
      </c>
      <c r="P4070" s="7" t="n">
        <v>15.9</v>
      </c>
      <c r="Q4070" s="7" t="n">
        <v>14</v>
      </c>
      <c r="R4070" s="7" t="s">
        <v>53</v>
      </c>
      <c r="S4070" s="7"/>
      <c r="T4070" s="7"/>
      <c r="U4070" s="7" t="str">
        <f aca="false">IF(COUNTIF($A$2:$A$5001,A4070)&gt;1,"Duplicate","Unique")</f>
        <v>Unique</v>
      </c>
      <c r="V4070" s="7" t="str">
        <f aca="false">IF(COUNTIFS($B$2:$B$5001,B4070,$H$2:$H$5001,H4070,$J$2:$J$5001,J4070)&gt;1,"Possible Duplicate Booking","Unique")</f>
        <v>Unique</v>
      </c>
      <c r="W4070" s="7" t="str">
        <f aca="false">IF((H4070-G4070)&lt;&gt;K4070,"Mismatch","OK")</f>
        <v>OK</v>
      </c>
      <c r="X4070" s="7" t="str">
        <f aca="false">IF(TEXT(H4070,"dddd")&lt;&gt;I4070,"Mismatch","OK")</f>
        <v>OK</v>
      </c>
      <c r="Y4070" s="7" t="str">
        <f aca="false">IF(AND(N4070="No",O4070&lt;&gt;""),"Unexpected: channel present but no reminder sent",IF(AND(N4070="Yes",O4070=""),"Missing channel for sent reminder","OK"))</f>
        <v>OK</v>
      </c>
    </row>
    <row r="4071" customFormat="false" ht="15" hidden="false" customHeight="false" outlineLevel="0" collapsed="false">
      <c r="A4071" s="9" t="s">
        <v>5755</v>
      </c>
      <c r="B4071" s="9" t="s">
        <v>952</v>
      </c>
      <c r="C4071" s="9" t="s">
        <v>47</v>
      </c>
      <c r="D4071" s="9" t="n">
        <v>28</v>
      </c>
      <c r="E4071" s="9" t="s">
        <v>48</v>
      </c>
      <c r="F4071" s="9" t="s">
        <v>39</v>
      </c>
      <c r="G4071" s="10" t="n">
        <v>45682</v>
      </c>
      <c r="H4071" s="10" t="n">
        <v>45712</v>
      </c>
      <c r="I4071" s="9" t="s">
        <v>66</v>
      </c>
      <c r="J4071" s="9" t="s">
        <v>51</v>
      </c>
      <c r="K4071" s="9" t="n">
        <v>30</v>
      </c>
      <c r="L4071" s="9" t="n">
        <v>5</v>
      </c>
      <c r="M4071" s="9" t="n">
        <v>1</v>
      </c>
      <c r="N4071" s="9" t="s">
        <v>42</v>
      </c>
      <c r="O4071" s="9" t="s">
        <v>52</v>
      </c>
      <c r="P4071" s="9" t="n">
        <v>20</v>
      </c>
      <c r="Q4071" s="9" t="n">
        <v>20</v>
      </c>
      <c r="R4071" s="9" t="s">
        <v>87</v>
      </c>
      <c r="S4071" s="9"/>
      <c r="T4071" s="9"/>
      <c r="U4071" s="9" t="str">
        <f aca="false">IF(COUNTIF($A$2:$A$5001,A4071)&gt;1,"Duplicate","Unique")</f>
        <v>Unique</v>
      </c>
      <c r="V4071" s="9" t="str">
        <f aca="false">IF(COUNTIFS($B$2:$B$5001,B4071,$H$2:$H$5001,H4071,$J$2:$J$5001,J4071)&gt;1,"Possible Duplicate Booking","Unique")</f>
        <v>Unique</v>
      </c>
      <c r="W4071" s="9" t="str">
        <f aca="false">IF((H4071-G4071)&lt;&gt;K4071,"Mismatch","OK")</f>
        <v>OK</v>
      </c>
      <c r="X4071" s="9" t="str">
        <f aca="false">IF(TEXT(H4071,"dddd")&lt;&gt;I4071,"Mismatch","OK")</f>
        <v>OK</v>
      </c>
      <c r="Y4071" s="9" t="str">
        <f aca="false">IF(AND(N4071="No",O4071&lt;&gt;""),"Unexpected: channel present but no reminder sent",IF(AND(N4071="Yes",O4071=""),"Missing channel for sent reminder","OK"))</f>
        <v>OK</v>
      </c>
    </row>
    <row r="4072" customFormat="false" ht="15" hidden="false" customHeight="false" outlineLevel="0" collapsed="false">
      <c r="A4072" s="7" t="s">
        <v>5756</v>
      </c>
      <c r="B4072" s="7" t="s">
        <v>3384</v>
      </c>
      <c r="C4072" s="7" t="s">
        <v>47</v>
      </c>
      <c r="D4072" s="7" t="n">
        <v>49</v>
      </c>
      <c r="E4072" s="7" t="s">
        <v>56</v>
      </c>
      <c r="F4072" s="7" t="s">
        <v>49</v>
      </c>
      <c r="G4072" s="8" t="n">
        <v>45705</v>
      </c>
      <c r="H4072" s="8" t="n">
        <v>45711</v>
      </c>
      <c r="I4072" s="7" t="s">
        <v>75</v>
      </c>
      <c r="J4072" s="7" t="s">
        <v>41</v>
      </c>
      <c r="K4072" s="7" t="n">
        <v>6</v>
      </c>
      <c r="L4072" s="7" t="n">
        <v>1</v>
      </c>
      <c r="M4072" s="7" t="n">
        <v>0</v>
      </c>
      <c r="N4072" s="7" t="s">
        <v>42</v>
      </c>
      <c r="O4072" s="7" t="s">
        <v>52</v>
      </c>
      <c r="P4072" s="7" t="n">
        <v>7.6</v>
      </c>
      <c r="Q4072" s="7" t="n">
        <v>27</v>
      </c>
      <c r="R4072" s="7" t="s">
        <v>53</v>
      </c>
      <c r="S4072" s="7"/>
      <c r="T4072" s="7"/>
      <c r="U4072" s="7" t="str">
        <f aca="false">IF(COUNTIF($A$2:$A$5001,A4072)&gt;1,"Duplicate","Unique")</f>
        <v>Unique</v>
      </c>
      <c r="V4072" s="7" t="str">
        <f aca="false">IF(COUNTIFS($B$2:$B$5001,B4072,$H$2:$H$5001,H4072,$J$2:$J$5001,J4072)&gt;1,"Possible Duplicate Booking","Unique")</f>
        <v>Unique</v>
      </c>
      <c r="W4072" s="7" t="str">
        <f aca="false">IF((H4072-G4072)&lt;&gt;K4072,"Mismatch","OK")</f>
        <v>OK</v>
      </c>
      <c r="X4072" s="7" t="str">
        <f aca="false">IF(TEXT(H4072,"dddd")&lt;&gt;I4072,"Mismatch","OK")</f>
        <v>OK</v>
      </c>
      <c r="Y4072" s="7" t="str">
        <f aca="false">IF(AND(N4072="No",O4072&lt;&gt;""),"Unexpected: channel present but no reminder sent",IF(AND(N4072="Yes",O4072=""),"Missing channel for sent reminder","OK"))</f>
        <v>OK</v>
      </c>
    </row>
    <row r="4073" customFormat="false" ht="15" hidden="false" customHeight="false" outlineLevel="0" collapsed="false">
      <c r="A4073" s="9" t="s">
        <v>5757</v>
      </c>
      <c r="B4073" s="9" t="s">
        <v>2414</v>
      </c>
      <c r="C4073" s="9" t="s">
        <v>37</v>
      </c>
      <c r="D4073" s="9" t="n">
        <v>57</v>
      </c>
      <c r="E4073" s="9" t="s">
        <v>61</v>
      </c>
      <c r="F4073" s="9" t="s">
        <v>74</v>
      </c>
      <c r="G4073" s="10" t="n">
        <v>46080</v>
      </c>
      <c r="H4073" s="10" t="n">
        <v>46085</v>
      </c>
      <c r="I4073" s="9" t="s">
        <v>58</v>
      </c>
      <c r="J4073" s="9" t="s">
        <v>41</v>
      </c>
      <c r="K4073" s="9" t="n">
        <v>5</v>
      </c>
      <c r="L4073" s="9" t="n">
        <v>5</v>
      </c>
      <c r="M4073" s="9" t="n">
        <v>1</v>
      </c>
      <c r="N4073" s="9" t="s">
        <v>42</v>
      </c>
      <c r="O4073" s="9" t="s">
        <v>52</v>
      </c>
      <c r="P4073" s="9" t="n">
        <v>4.8</v>
      </c>
      <c r="Q4073" s="9" t="n">
        <v>29</v>
      </c>
      <c r="R4073" s="9" t="s">
        <v>53</v>
      </c>
      <c r="S4073" s="9"/>
      <c r="T4073" s="9"/>
      <c r="U4073" s="9" t="str">
        <f aca="false">IF(COUNTIF($A$2:$A$5001,A4073)&gt;1,"Duplicate","Unique")</f>
        <v>Unique</v>
      </c>
      <c r="V4073" s="9" t="str">
        <f aca="false">IF(COUNTIFS($B$2:$B$5001,B4073,$H$2:$H$5001,H4073,$J$2:$J$5001,J4073)&gt;1,"Possible Duplicate Booking","Unique")</f>
        <v>Unique</v>
      </c>
      <c r="W4073" s="9" t="str">
        <f aca="false">IF((H4073-G4073)&lt;&gt;K4073,"Mismatch","OK")</f>
        <v>OK</v>
      </c>
      <c r="X4073" s="9" t="str">
        <f aca="false">IF(TEXT(H4073,"dddd")&lt;&gt;I4073,"Mismatch","OK")</f>
        <v>OK</v>
      </c>
      <c r="Y4073" s="9" t="str">
        <f aca="false">IF(AND(N4073="No",O4073&lt;&gt;""),"Unexpected: channel present but no reminder sent",IF(AND(N4073="Yes",O4073=""),"Missing channel for sent reminder","OK"))</f>
        <v>OK</v>
      </c>
    </row>
    <row r="4074" customFormat="false" ht="15" hidden="false" customHeight="false" outlineLevel="0" collapsed="false">
      <c r="A4074" s="7" t="s">
        <v>5758</v>
      </c>
      <c r="B4074" s="7" t="s">
        <v>186</v>
      </c>
      <c r="C4074" s="7" t="s">
        <v>47</v>
      </c>
      <c r="D4074" s="7" t="n">
        <v>29</v>
      </c>
      <c r="E4074" s="7" t="s">
        <v>48</v>
      </c>
      <c r="F4074" s="7" t="s">
        <v>57</v>
      </c>
      <c r="G4074" s="8" t="n">
        <v>46112</v>
      </c>
      <c r="H4074" s="8" t="n">
        <v>46113</v>
      </c>
      <c r="I4074" s="7" t="s">
        <v>58</v>
      </c>
      <c r="J4074" s="7" t="s">
        <v>41</v>
      </c>
      <c r="K4074" s="7" t="n">
        <v>1</v>
      </c>
      <c r="L4074" s="7" t="n">
        <v>1</v>
      </c>
      <c r="M4074" s="7" t="n">
        <v>0</v>
      </c>
      <c r="N4074" s="7" t="s">
        <v>42</v>
      </c>
      <c r="O4074" s="7" t="s">
        <v>43</v>
      </c>
      <c r="P4074" s="7" t="n">
        <v>2.4</v>
      </c>
      <c r="Q4074" s="7" t="n">
        <v>9</v>
      </c>
      <c r="R4074" s="7" t="s">
        <v>53</v>
      </c>
      <c r="S4074" s="7"/>
      <c r="T4074" s="7"/>
      <c r="U4074" s="7" t="str">
        <f aca="false">IF(COUNTIF($A$2:$A$5001,A4074)&gt;1,"Duplicate","Unique")</f>
        <v>Unique</v>
      </c>
      <c r="V4074" s="7" t="str">
        <f aca="false">IF(COUNTIFS($B$2:$B$5001,B4074,$H$2:$H$5001,H4074,$J$2:$J$5001,J4074)&gt;1,"Possible Duplicate Booking","Unique")</f>
        <v>Unique</v>
      </c>
      <c r="W4074" s="7" t="str">
        <f aca="false">IF((H4074-G4074)&lt;&gt;K4074,"Mismatch","OK")</f>
        <v>OK</v>
      </c>
      <c r="X4074" s="7" t="str">
        <f aca="false">IF(TEXT(H4074,"dddd")&lt;&gt;I4074,"Mismatch","OK")</f>
        <v>OK</v>
      </c>
      <c r="Y4074" s="7" t="str">
        <f aca="false">IF(AND(N4074="No",O4074&lt;&gt;""),"Unexpected: channel present but no reminder sent",IF(AND(N4074="Yes",O4074=""),"Missing channel for sent reminder","OK"))</f>
        <v>OK</v>
      </c>
    </row>
    <row r="4075" customFormat="false" ht="15" hidden="false" customHeight="false" outlineLevel="0" collapsed="false">
      <c r="A4075" s="9" t="s">
        <v>5759</v>
      </c>
      <c r="B4075" s="9" t="s">
        <v>5760</v>
      </c>
      <c r="C4075" s="9" t="s">
        <v>37</v>
      </c>
      <c r="D4075" s="9" t="n">
        <v>24</v>
      </c>
      <c r="E4075" s="9" t="s">
        <v>82</v>
      </c>
      <c r="F4075" s="9" t="s">
        <v>74</v>
      </c>
      <c r="G4075" s="10" t="n">
        <v>46132</v>
      </c>
      <c r="H4075" s="10" t="n">
        <v>46172</v>
      </c>
      <c r="I4075" s="9" t="s">
        <v>102</v>
      </c>
      <c r="J4075" s="9" t="s">
        <v>51</v>
      </c>
      <c r="K4075" s="9" t="n">
        <v>40</v>
      </c>
      <c r="L4075" s="9" t="n">
        <v>2</v>
      </c>
      <c r="M4075" s="9" t="n">
        <v>0</v>
      </c>
      <c r="N4075" s="9" t="s">
        <v>42</v>
      </c>
      <c r="O4075" s="9" t="s">
        <v>67</v>
      </c>
      <c r="P4075" s="9" t="n">
        <v>6.7</v>
      </c>
      <c r="Q4075" s="9" t="n">
        <v>13</v>
      </c>
      <c r="R4075" s="9" t="s">
        <v>53</v>
      </c>
      <c r="S4075" s="9"/>
      <c r="T4075" s="9"/>
      <c r="U4075" s="9" t="str">
        <f aca="false">IF(COUNTIF($A$2:$A$5001,A4075)&gt;1,"Duplicate","Unique")</f>
        <v>Unique</v>
      </c>
      <c r="V4075" s="9" t="str">
        <f aca="false">IF(COUNTIFS($B$2:$B$5001,B4075,$H$2:$H$5001,H4075,$J$2:$J$5001,J4075)&gt;1,"Possible Duplicate Booking","Unique")</f>
        <v>Unique</v>
      </c>
      <c r="W4075" s="9" t="str">
        <f aca="false">IF((H4075-G4075)&lt;&gt;K4075,"Mismatch","OK")</f>
        <v>OK</v>
      </c>
      <c r="X4075" s="9" t="str">
        <f aca="false">IF(TEXT(H4075,"dddd")&lt;&gt;I4075,"Mismatch","OK")</f>
        <v>OK</v>
      </c>
      <c r="Y4075" s="9" t="str">
        <f aca="false">IF(AND(N4075="No",O4075&lt;&gt;""),"Unexpected: channel present but no reminder sent",IF(AND(N4075="Yes",O4075=""),"Missing channel for sent reminder","OK"))</f>
        <v>OK</v>
      </c>
    </row>
    <row r="4076" customFormat="false" ht="15" hidden="false" customHeight="false" outlineLevel="0" collapsed="false">
      <c r="A4076" s="7" t="s">
        <v>5761</v>
      </c>
      <c r="B4076" s="7" t="s">
        <v>1483</v>
      </c>
      <c r="C4076" s="7" t="s">
        <v>47</v>
      </c>
      <c r="D4076" s="7" t="n">
        <v>68</v>
      </c>
      <c r="E4076" s="7" t="s">
        <v>70</v>
      </c>
      <c r="F4076" s="7" t="s">
        <v>49</v>
      </c>
      <c r="G4076" s="8" t="n">
        <v>45810</v>
      </c>
      <c r="H4076" s="8" t="n">
        <v>45835</v>
      </c>
      <c r="I4076" s="7" t="s">
        <v>50</v>
      </c>
      <c r="J4076" s="7" t="s">
        <v>63</v>
      </c>
      <c r="K4076" s="7" t="n">
        <v>25</v>
      </c>
      <c r="L4076" s="7" t="n">
        <v>5</v>
      </c>
      <c r="M4076" s="7" t="n">
        <v>0</v>
      </c>
      <c r="N4076" s="7" t="s">
        <v>42</v>
      </c>
      <c r="O4076" s="7" t="s">
        <v>43</v>
      </c>
      <c r="P4076" s="7" t="n">
        <v>6.5</v>
      </c>
      <c r="Q4076" s="7" t="n">
        <v>30</v>
      </c>
      <c r="R4076" s="7" t="s">
        <v>44</v>
      </c>
      <c r="S4076" s="7"/>
      <c r="T4076" s="7"/>
      <c r="U4076" s="7" t="str">
        <f aca="false">IF(COUNTIF($A$2:$A$5001,A4076)&gt;1,"Duplicate","Unique")</f>
        <v>Unique</v>
      </c>
      <c r="V4076" s="7" t="str">
        <f aca="false">IF(COUNTIFS($B$2:$B$5001,B4076,$H$2:$H$5001,H4076,$J$2:$J$5001,J4076)&gt;1,"Possible Duplicate Booking","Unique")</f>
        <v>Unique</v>
      </c>
      <c r="W4076" s="7" t="str">
        <f aca="false">IF((H4076-G4076)&lt;&gt;K4076,"Mismatch","OK")</f>
        <v>OK</v>
      </c>
      <c r="X4076" s="7" t="str">
        <f aca="false">IF(TEXT(H4076,"dddd")&lt;&gt;I4076,"Mismatch","OK")</f>
        <v>OK</v>
      </c>
      <c r="Y4076" s="7" t="str">
        <f aca="false">IF(AND(N4076="No",O4076&lt;&gt;""),"Unexpected: channel present but no reminder sent",IF(AND(N4076="Yes",O4076=""),"Missing channel for sent reminder","OK"))</f>
        <v>OK</v>
      </c>
    </row>
    <row r="4077" customFormat="false" ht="15" hidden="false" customHeight="false" outlineLevel="0" collapsed="false">
      <c r="A4077" s="9" t="s">
        <v>5762</v>
      </c>
      <c r="B4077" s="9" t="s">
        <v>786</v>
      </c>
      <c r="C4077" s="9" t="s">
        <v>37</v>
      </c>
      <c r="D4077" s="9" t="n">
        <v>64</v>
      </c>
      <c r="E4077" s="9" t="s">
        <v>61</v>
      </c>
      <c r="F4077" s="9" t="s">
        <v>57</v>
      </c>
      <c r="G4077" s="10" t="n">
        <v>45618</v>
      </c>
      <c r="H4077" s="10" t="n">
        <v>45670</v>
      </c>
      <c r="I4077" s="9" t="s">
        <v>66</v>
      </c>
      <c r="J4077" s="9" t="s">
        <v>51</v>
      </c>
      <c r="K4077" s="9" t="n">
        <v>52</v>
      </c>
      <c r="L4077" s="9" t="n">
        <v>3</v>
      </c>
      <c r="M4077" s="9" t="n">
        <v>1</v>
      </c>
      <c r="N4077" s="9" t="s">
        <v>71</v>
      </c>
      <c r="O4077" s="9"/>
      <c r="P4077" s="9" t="n">
        <v>16.5</v>
      </c>
      <c r="Q4077" s="9" t="n">
        <v>18</v>
      </c>
      <c r="R4077" s="9" t="s">
        <v>44</v>
      </c>
      <c r="S4077" s="9"/>
      <c r="T4077" s="9"/>
      <c r="U4077" s="9" t="str">
        <f aca="false">IF(COUNTIF($A$2:$A$5001,A4077)&gt;1,"Duplicate","Unique")</f>
        <v>Unique</v>
      </c>
      <c r="V4077" s="9" t="str">
        <f aca="false">IF(COUNTIFS($B$2:$B$5001,B4077,$H$2:$H$5001,H4077,$J$2:$J$5001,J4077)&gt;1,"Possible Duplicate Booking","Unique")</f>
        <v>Unique</v>
      </c>
      <c r="W4077" s="9" t="str">
        <f aca="false">IF((H4077-G4077)&lt;&gt;K4077,"Mismatch","OK")</f>
        <v>OK</v>
      </c>
      <c r="X4077" s="9" t="str">
        <f aca="false">IF(TEXT(H4077,"dddd")&lt;&gt;I4077,"Mismatch","OK")</f>
        <v>OK</v>
      </c>
      <c r="Y4077" s="9" t="str">
        <f aca="false">IF(AND(N4077="No",O4077&lt;&gt;""),"Unexpected: channel present but no reminder sent",IF(AND(N4077="Yes",O4077=""),"Missing channel for sent reminder","OK"))</f>
        <v>OK</v>
      </c>
    </row>
    <row r="4078" customFormat="false" ht="15" hidden="false" customHeight="false" outlineLevel="0" collapsed="false">
      <c r="A4078" s="7" t="s">
        <v>5763</v>
      </c>
      <c r="B4078" s="7" t="s">
        <v>5764</v>
      </c>
      <c r="C4078" s="7" t="s">
        <v>37</v>
      </c>
      <c r="D4078" s="7" t="n">
        <v>34</v>
      </c>
      <c r="E4078" s="7" t="s">
        <v>48</v>
      </c>
      <c r="F4078" s="7" t="s">
        <v>57</v>
      </c>
      <c r="G4078" s="8" t="n">
        <v>46151</v>
      </c>
      <c r="H4078" s="8" t="n">
        <v>46193</v>
      </c>
      <c r="I4078" s="7" t="s">
        <v>102</v>
      </c>
      <c r="J4078" s="7" t="s">
        <v>51</v>
      </c>
      <c r="K4078" s="7" t="n">
        <v>42</v>
      </c>
      <c r="L4078" s="7" t="n">
        <v>8</v>
      </c>
      <c r="M4078" s="7" t="n">
        <v>2</v>
      </c>
      <c r="N4078" s="7" t="s">
        <v>42</v>
      </c>
      <c r="O4078" s="7" t="s">
        <v>43</v>
      </c>
      <c r="P4078" s="7" t="n">
        <v>9.3</v>
      </c>
      <c r="Q4078" s="7" t="n">
        <v>4</v>
      </c>
      <c r="R4078" s="7" t="s">
        <v>44</v>
      </c>
      <c r="S4078" s="7"/>
      <c r="T4078" s="7"/>
      <c r="U4078" s="7" t="str">
        <f aca="false">IF(COUNTIF($A$2:$A$5001,A4078)&gt;1,"Duplicate","Unique")</f>
        <v>Unique</v>
      </c>
      <c r="V4078" s="7" t="str">
        <f aca="false">IF(COUNTIFS($B$2:$B$5001,B4078,$H$2:$H$5001,H4078,$J$2:$J$5001,J4078)&gt;1,"Possible Duplicate Booking","Unique")</f>
        <v>Unique</v>
      </c>
      <c r="W4078" s="7" t="str">
        <f aca="false">IF((H4078-G4078)&lt;&gt;K4078,"Mismatch","OK")</f>
        <v>OK</v>
      </c>
      <c r="X4078" s="7" t="str">
        <f aca="false">IF(TEXT(H4078,"dddd")&lt;&gt;I4078,"Mismatch","OK")</f>
        <v>OK</v>
      </c>
      <c r="Y4078" s="7" t="str">
        <f aca="false">IF(AND(N4078="No",O4078&lt;&gt;""),"Unexpected: channel present but no reminder sent",IF(AND(N4078="Yes",O4078=""),"Missing channel for sent reminder","OK"))</f>
        <v>OK</v>
      </c>
    </row>
    <row r="4079" customFormat="false" ht="15" hidden="false" customHeight="false" outlineLevel="0" collapsed="false">
      <c r="A4079" s="9" t="s">
        <v>5765</v>
      </c>
      <c r="B4079" s="9" t="s">
        <v>5766</v>
      </c>
      <c r="C4079" s="9" t="s">
        <v>47</v>
      </c>
      <c r="D4079" s="9" t="n">
        <v>73</v>
      </c>
      <c r="E4079" s="9" t="s">
        <v>70</v>
      </c>
      <c r="F4079" s="9" t="s">
        <v>57</v>
      </c>
      <c r="G4079" s="10" t="n">
        <v>45978</v>
      </c>
      <c r="H4079" s="10" t="n">
        <v>45986</v>
      </c>
      <c r="I4079" s="9" t="s">
        <v>40</v>
      </c>
      <c r="J4079" s="9" t="s">
        <v>51</v>
      </c>
      <c r="K4079" s="9" t="n">
        <v>8</v>
      </c>
      <c r="L4079" s="9" t="n">
        <v>3</v>
      </c>
      <c r="M4079" s="9" t="n">
        <v>0</v>
      </c>
      <c r="N4079" s="9" t="s">
        <v>71</v>
      </c>
      <c r="O4079" s="9"/>
      <c r="P4079" s="9" t="n">
        <v>3.2</v>
      </c>
      <c r="Q4079" s="9" t="n">
        <v>15</v>
      </c>
      <c r="R4079" s="9" t="s">
        <v>53</v>
      </c>
      <c r="S4079" s="9"/>
      <c r="T4079" s="9"/>
      <c r="U4079" s="9" t="str">
        <f aca="false">IF(COUNTIF($A$2:$A$5001,A4079)&gt;1,"Duplicate","Unique")</f>
        <v>Unique</v>
      </c>
      <c r="V4079" s="9" t="str">
        <f aca="false">IF(COUNTIFS($B$2:$B$5001,B4079,$H$2:$H$5001,H4079,$J$2:$J$5001,J4079)&gt;1,"Possible Duplicate Booking","Unique")</f>
        <v>Unique</v>
      </c>
      <c r="W4079" s="9" t="str">
        <f aca="false">IF((H4079-G4079)&lt;&gt;K4079,"Mismatch","OK")</f>
        <v>OK</v>
      </c>
      <c r="X4079" s="9" t="str">
        <f aca="false">IF(TEXT(H4079,"dddd")&lt;&gt;I4079,"Mismatch","OK")</f>
        <v>OK</v>
      </c>
      <c r="Y4079" s="9" t="str">
        <f aca="false">IF(AND(N4079="No",O4079&lt;&gt;""),"Unexpected: channel present but no reminder sent",IF(AND(N4079="Yes",O4079=""),"Missing channel for sent reminder","OK"))</f>
        <v>OK</v>
      </c>
    </row>
    <row r="4080" customFormat="false" ht="15" hidden="false" customHeight="false" outlineLevel="0" collapsed="false">
      <c r="A4080" s="7" t="s">
        <v>5767</v>
      </c>
      <c r="B4080" s="7" t="s">
        <v>886</v>
      </c>
      <c r="C4080" s="7" t="s">
        <v>47</v>
      </c>
      <c r="D4080" s="7" t="n">
        <v>31</v>
      </c>
      <c r="E4080" s="7" t="s">
        <v>48</v>
      </c>
      <c r="F4080" s="7" t="s">
        <v>39</v>
      </c>
      <c r="G4080" s="8" t="n">
        <v>45786</v>
      </c>
      <c r="H4080" s="8" t="n">
        <v>45792</v>
      </c>
      <c r="I4080" s="7" t="s">
        <v>62</v>
      </c>
      <c r="J4080" s="7" t="s">
        <v>41</v>
      </c>
      <c r="K4080" s="7" t="n">
        <v>6</v>
      </c>
      <c r="L4080" s="7" t="n">
        <v>3</v>
      </c>
      <c r="M4080" s="7" t="n">
        <v>1</v>
      </c>
      <c r="N4080" s="7" t="s">
        <v>71</v>
      </c>
      <c r="O4080" s="7"/>
      <c r="P4080" s="7" t="n">
        <v>14.3</v>
      </c>
      <c r="Q4080" s="7" t="n">
        <v>24</v>
      </c>
      <c r="R4080" s="7" t="s">
        <v>53</v>
      </c>
      <c r="S4080" s="7"/>
      <c r="T4080" s="7"/>
      <c r="U4080" s="7" t="str">
        <f aca="false">IF(COUNTIF($A$2:$A$5001,A4080)&gt;1,"Duplicate","Unique")</f>
        <v>Unique</v>
      </c>
      <c r="V4080" s="7" t="str">
        <f aca="false">IF(COUNTIFS($B$2:$B$5001,B4080,$H$2:$H$5001,H4080,$J$2:$J$5001,J4080)&gt;1,"Possible Duplicate Booking","Unique")</f>
        <v>Unique</v>
      </c>
      <c r="W4080" s="7" t="str">
        <f aca="false">IF((H4080-G4080)&lt;&gt;K4080,"Mismatch","OK")</f>
        <v>OK</v>
      </c>
      <c r="X4080" s="7" t="str">
        <f aca="false">IF(TEXT(H4080,"dddd")&lt;&gt;I4080,"Mismatch","OK")</f>
        <v>OK</v>
      </c>
      <c r="Y4080" s="7" t="str">
        <f aca="false">IF(AND(N4080="No",O4080&lt;&gt;""),"Unexpected: channel present but no reminder sent",IF(AND(N4080="Yes",O4080=""),"Missing channel for sent reminder","OK"))</f>
        <v>OK</v>
      </c>
    </row>
    <row r="4081" customFormat="false" ht="15" hidden="false" customHeight="false" outlineLevel="0" collapsed="false">
      <c r="A4081" s="9" t="s">
        <v>5768</v>
      </c>
      <c r="B4081" s="9" t="s">
        <v>1018</v>
      </c>
      <c r="C4081" s="9" t="s">
        <v>37</v>
      </c>
      <c r="D4081" s="9" t="n">
        <v>76</v>
      </c>
      <c r="E4081" s="9" t="s">
        <v>70</v>
      </c>
      <c r="F4081" s="9" t="s">
        <v>39</v>
      </c>
      <c r="G4081" s="10" t="n">
        <v>46053</v>
      </c>
      <c r="H4081" s="10" t="n">
        <v>46075</v>
      </c>
      <c r="I4081" s="9" t="s">
        <v>75</v>
      </c>
      <c r="J4081" s="9" t="s">
        <v>51</v>
      </c>
      <c r="K4081" s="9" t="n">
        <v>22</v>
      </c>
      <c r="L4081" s="9" t="n">
        <v>5</v>
      </c>
      <c r="M4081" s="9" t="n">
        <v>0</v>
      </c>
      <c r="N4081" s="9" t="s">
        <v>42</v>
      </c>
      <c r="O4081" s="9" t="s">
        <v>52</v>
      </c>
      <c r="P4081" s="9" t="n">
        <v>16</v>
      </c>
      <c r="Q4081" s="9" t="n">
        <v>6</v>
      </c>
      <c r="R4081" s="9" t="s">
        <v>53</v>
      </c>
      <c r="S4081" s="9"/>
      <c r="T4081" s="9"/>
      <c r="U4081" s="9" t="str">
        <f aca="false">IF(COUNTIF($A$2:$A$5001,A4081)&gt;1,"Duplicate","Unique")</f>
        <v>Unique</v>
      </c>
      <c r="V4081" s="9" t="str">
        <f aca="false">IF(COUNTIFS($B$2:$B$5001,B4081,$H$2:$H$5001,H4081,$J$2:$J$5001,J4081)&gt;1,"Possible Duplicate Booking","Unique")</f>
        <v>Unique</v>
      </c>
      <c r="W4081" s="9" t="str">
        <f aca="false">IF((H4081-G4081)&lt;&gt;K4081,"Mismatch","OK")</f>
        <v>OK</v>
      </c>
      <c r="X4081" s="9" t="str">
        <f aca="false">IF(TEXT(H4081,"dddd")&lt;&gt;I4081,"Mismatch","OK")</f>
        <v>OK</v>
      </c>
      <c r="Y4081" s="9" t="str">
        <f aca="false">IF(AND(N4081="No",O4081&lt;&gt;""),"Unexpected: channel present but no reminder sent",IF(AND(N4081="Yes",O4081=""),"Missing channel for sent reminder","OK"))</f>
        <v>OK</v>
      </c>
    </row>
    <row r="4082" customFormat="false" ht="15" hidden="false" customHeight="false" outlineLevel="0" collapsed="false">
      <c r="A4082" s="7" t="s">
        <v>5769</v>
      </c>
      <c r="B4082" s="7" t="s">
        <v>627</v>
      </c>
      <c r="C4082" s="7" t="s">
        <v>37</v>
      </c>
      <c r="D4082" s="7" t="n">
        <v>25</v>
      </c>
      <c r="E4082" s="7" t="s">
        <v>48</v>
      </c>
      <c r="F4082" s="7" t="s">
        <v>39</v>
      </c>
      <c r="G4082" s="8" t="n">
        <v>46095</v>
      </c>
      <c r="H4082" s="8" t="n">
        <v>46151</v>
      </c>
      <c r="I4082" s="7" t="s">
        <v>102</v>
      </c>
      <c r="J4082" s="7" t="s">
        <v>41</v>
      </c>
      <c r="K4082" s="7" t="n">
        <v>56</v>
      </c>
      <c r="L4082" s="7" t="n">
        <v>4</v>
      </c>
      <c r="M4082" s="7" t="n">
        <v>0</v>
      </c>
      <c r="N4082" s="7" t="s">
        <v>71</v>
      </c>
      <c r="O4082" s="7"/>
      <c r="P4082" s="7" t="n">
        <v>10.1</v>
      </c>
      <c r="Q4082" s="7" t="n">
        <v>42</v>
      </c>
      <c r="R4082" s="7" t="s">
        <v>44</v>
      </c>
      <c r="S4082" s="7"/>
      <c r="T4082" s="7"/>
      <c r="U4082" s="7" t="str">
        <f aca="false">IF(COUNTIF($A$2:$A$5001,A4082)&gt;1,"Duplicate","Unique")</f>
        <v>Unique</v>
      </c>
      <c r="V4082" s="7" t="str">
        <f aca="false">IF(COUNTIFS($B$2:$B$5001,B4082,$H$2:$H$5001,H4082,$J$2:$J$5001,J4082)&gt;1,"Possible Duplicate Booking","Unique")</f>
        <v>Unique</v>
      </c>
      <c r="W4082" s="7" t="str">
        <f aca="false">IF((H4082-G4082)&lt;&gt;K4082,"Mismatch","OK")</f>
        <v>OK</v>
      </c>
      <c r="X4082" s="7" t="str">
        <f aca="false">IF(TEXT(H4082,"dddd")&lt;&gt;I4082,"Mismatch","OK")</f>
        <v>OK</v>
      </c>
      <c r="Y4082" s="7" t="str">
        <f aca="false">IF(AND(N4082="No",O4082&lt;&gt;""),"Unexpected: channel present but no reminder sent",IF(AND(N4082="Yes",O4082=""),"Missing channel for sent reminder","OK"))</f>
        <v>OK</v>
      </c>
    </row>
    <row r="4083" customFormat="false" ht="15" hidden="false" customHeight="false" outlineLevel="0" collapsed="false">
      <c r="A4083" s="9" t="s">
        <v>5770</v>
      </c>
      <c r="B4083" s="9" t="s">
        <v>2076</v>
      </c>
      <c r="C4083" s="9" t="s">
        <v>47</v>
      </c>
      <c r="D4083" s="9" t="n">
        <v>59</v>
      </c>
      <c r="E4083" s="9" t="s">
        <v>61</v>
      </c>
      <c r="F4083" s="9" t="s">
        <v>49</v>
      </c>
      <c r="G4083" s="10" t="n">
        <v>45811</v>
      </c>
      <c r="H4083" s="10" t="n">
        <v>45813</v>
      </c>
      <c r="I4083" s="9" t="s">
        <v>62</v>
      </c>
      <c r="J4083" s="9" t="s">
        <v>41</v>
      </c>
      <c r="K4083" s="9" t="n">
        <v>2</v>
      </c>
      <c r="L4083" s="9" t="n">
        <v>5</v>
      </c>
      <c r="M4083" s="9" t="n">
        <v>1</v>
      </c>
      <c r="N4083" s="9" t="s">
        <v>42</v>
      </c>
      <c r="O4083" s="9" t="s">
        <v>52</v>
      </c>
      <c r="P4083" s="9" t="n">
        <v>14.5</v>
      </c>
      <c r="Q4083" s="9" t="n">
        <v>37</v>
      </c>
      <c r="R4083" s="9" t="s">
        <v>53</v>
      </c>
      <c r="S4083" s="9"/>
      <c r="T4083" s="9"/>
      <c r="U4083" s="9" t="str">
        <f aca="false">IF(COUNTIF($A$2:$A$5001,A4083)&gt;1,"Duplicate","Unique")</f>
        <v>Unique</v>
      </c>
      <c r="V4083" s="9" t="str">
        <f aca="false">IF(COUNTIFS($B$2:$B$5001,B4083,$H$2:$H$5001,H4083,$J$2:$J$5001,J4083)&gt;1,"Possible Duplicate Booking","Unique")</f>
        <v>Unique</v>
      </c>
      <c r="W4083" s="9" t="str">
        <f aca="false">IF((H4083-G4083)&lt;&gt;K4083,"Mismatch","OK")</f>
        <v>OK</v>
      </c>
      <c r="X4083" s="9" t="str">
        <f aca="false">IF(TEXT(H4083,"dddd")&lt;&gt;I4083,"Mismatch","OK")</f>
        <v>OK</v>
      </c>
      <c r="Y4083" s="9" t="str">
        <f aca="false">IF(AND(N4083="No",O4083&lt;&gt;""),"Unexpected: channel present but no reminder sent",IF(AND(N4083="Yes",O4083=""),"Missing channel for sent reminder","OK"))</f>
        <v>OK</v>
      </c>
    </row>
    <row r="4084" customFormat="false" ht="15" hidden="false" customHeight="false" outlineLevel="0" collapsed="false">
      <c r="A4084" s="7" t="s">
        <v>5771</v>
      </c>
      <c r="B4084" s="7" t="s">
        <v>5310</v>
      </c>
      <c r="C4084" s="7" t="s">
        <v>236</v>
      </c>
      <c r="D4084" s="7" t="n">
        <v>19</v>
      </c>
      <c r="E4084" s="7" t="s">
        <v>82</v>
      </c>
      <c r="F4084" s="7" t="s">
        <v>57</v>
      </c>
      <c r="G4084" s="8" t="n">
        <v>46067</v>
      </c>
      <c r="H4084" s="8" t="n">
        <v>46078</v>
      </c>
      <c r="I4084" s="7" t="s">
        <v>58</v>
      </c>
      <c r="J4084" s="7" t="s">
        <v>51</v>
      </c>
      <c r="K4084" s="7" t="n">
        <v>11</v>
      </c>
      <c r="L4084" s="7" t="n">
        <v>1</v>
      </c>
      <c r="M4084" s="7" t="n">
        <v>0</v>
      </c>
      <c r="N4084" s="7" t="s">
        <v>42</v>
      </c>
      <c r="O4084" s="7" t="s">
        <v>52</v>
      </c>
      <c r="P4084" s="7" t="n">
        <v>8.4</v>
      </c>
      <c r="Q4084" s="7" t="n">
        <v>34</v>
      </c>
      <c r="R4084" s="7" t="s">
        <v>53</v>
      </c>
      <c r="S4084" s="7"/>
      <c r="T4084" s="7"/>
      <c r="U4084" s="7" t="str">
        <f aca="false">IF(COUNTIF($A$2:$A$5001,A4084)&gt;1,"Duplicate","Unique")</f>
        <v>Unique</v>
      </c>
      <c r="V4084" s="7" t="str">
        <f aca="false">IF(COUNTIFS($B$2:$B$5001,B4084,$H$2:$H$5001,H4084,$J$2:$J$5001,J4084)&gt;1,"Possible Duplicate Booking","Unique")</f>
        <v>Unique</v>
      </c>
      <c r="W4084" s="7" t="str">
        <f aca="false">IF((H4084-G4084)&lt;&gt;K4084,"Mismatch","OK")</f>
        <v>OK</v>
      </c>
      <c r="X4084" s="7" t="str">
        <f aca="false">IF(TEXT(H4084,"dddd")&lt;&gt;I4084,"Mismatch","OK")</f>
        <v>OK</v>
      </c>
      <c r="Y4084" s="7" t="str">
        <f aca="false">IF(AND(N4084="No",O4084&lt;&gt;""),"Unexpected: channel present but no reminder sent",IF(AND(N4084="Yes",O4084=""),"Missing channel for sent reminder","OK"))</f>
        <v>OK</v>
      </c>
    </row>
    <row r="4085" customFormat="false" ht="15" hidden="false" customHeight="false" outlineLevel="0" collapsed="false">
      <c r="A4085" s="9" t="s">
        <v>5772</v>
      </c>
      <c r="B4085" s="9" t="s">
        <v>5773</v>
      </c>
      <c r="C4085" s="9" t="s">
        <v>37</v>
      </c>
      <c r="D4085" s="9" t="n">
        <v>30</v>
      </c>
      <c r="E4085" s="9" t="s">
        <v>48</v>
      </c>
      <c r="F4085" s="9" t="s">
        <v>57</v>
      </c>
      <c r="G4085" s="10" t="n">
        <v>46087</v>
      </c>
      <c r="H4085" s="10" t="n">
        <v>46088</v>
      </c>
      <c r="I4085" s="9" t="s">
        <v>102</v>
      </c>
      <c r="J4085" s="9" t="s">
        <v>41</v>
      </c>
      <c r="K4085" s="9" t="n">
        <v>1</v>
      </c>
      <c r="L4085" s="9" t="n">
        <v>4</v>
      </c>
      <c r="M4085" s="9" t="n">
        <v>0</v>
      </c>
      <c r="N4085" s="9" t="s">
        <v>42</v>
      </c>
      <c r="O4085" s="9" t="s">
        <v>43</v>
      </c>
      <c r="P4085" s="9" t="n">
        <v>13.6</v>
      </c>
      <c r="Q4085" s="9" t="n">
        <v>25</v>
      </c>
      <c r="R4085" s="9" t="s">
        <v>44</v>
      </c>
      <c r="S4085" s="9"/>
      <c r="T4085" s="9"/>
      <c r="U4085" s="9" t="str">
        <f aca="false">IF(COUNTIF($A$2:$A$5001,A4085)&gt;1,"Duplicate","Unique")</f>
        <v>Unique</v>
      </c>
      <c r="V4085" s="9" t="str">
        <f aca="false">IF(COUNTIFS($B$2:$B$5001,B4085,$H$2:$H$5001,H4085,$J$2:$J$5001,J4085)&gt;1,"Possible Duplicate Booking","Unique")</f>
        <v>Unique</v>
      </c>
      <c r="W4085" s="9" t="str">
        <f aca="false">IF((H4085-G4085)&lt;&gt;K4085,"Mismatch","OK")</f>
        <v>OK</v>
      </c>
      <c r="X4085" s="9" t="str">
        <f aca="false">IF(TEXT(H4085,"dddd")&lt;&gt;I4085,"Mismatch","OK")</f>
        <v>OK</v>
      </c>
      <c r="Y4085" s="9" t="str">
        <f aca="false">IF(AND(N4085="No",O4085&lt;&gt;""),"Unexpected: channel present but no reminder sent",IF(AND(N4085="Yes",O4085=""),"Missing channel for sent reminder","OK"))</f>
        <v>OK</v>
      </c>
    </row>
    <row r="4086" customFormat="false" ht="15" hidden="false" customHeight="false" outlineLevel="0" collapsed="false">
      <c r="A4086" s="7" t="s">
        <v>5774</v>
      </c>
      <c r="B4086" s="7" t="s">
        <v>2869</v>
      </c>
      <c r="C4086" s="7" t="s">
        <v>37</v>
      </c>
      <c r="D4086" s="7" t="n">
        <v>43</v>
      </c>
      <c r="E4086" s="7" t="s">
        <v>38</v>
      </c>
      <c r="F4086" s="7" t="s">
        <v>49</v>
      </c>
      <c r="G4086" s="8" t="n">
        <v>45906</v>
      </c>
      <c r="H4086" s="8" t="n">
        <v>45931</v>
      </c>
      <c r="I4086" s="7" t="s">
        <v>58</v>
      </c>
      <c r="J4086" s="7" t="s">
        <v>63</v>
      </c>
      <c r="K4086" s="7" t="n">
        <v>25</v>
      </c>
      <c r="L4086" s="7" t="n">
        <v>4</v>
      </c>
      <c r="M4086" s="7" t="n">
        <v>1</v>
      </c>
      <c r="N4086" s="7" t="s">
        <v>42</v>
      </c>
      <c r="O4086" s="7" t="s">
        <v>52</v>
      </c>
      <c r="P4086" s="7" t="n">
        <v>5.8</v>
      </c>
      <c r="Q4086" s="7" t="n">
        <v>10</v>
      </c>
      <c r="R4086" s="7" t="s">
        <v>44</v>
      </c>
      <c r="S4086" s="7"/>
      <c r="T4086" s="7"/>
      <c r="U4086" s="7" t="str">
        <f aca="false">IF(COUNTIF($A$2:$A$5001,A4086)&gt;1,"Duplicate","Unique")</f>
        <v>Unique</v>
      </c>
      <c r="V4086" s="7" t="str">
        <f aca="false">IF(COUNTIFS($B$2:$B$5001,B4086,$H$2:$H$5001,H4086,$J$2:$J$5001,J4086)&gt;1,"Possible Duplicate Booking","Unique")</f>
        <v>Unique</v>
      </c>
      <c r="W4086" s="7" t="str">
        <f aca="false">IF((H4086-G4086)&lt;&gt;K4086,"Mismatch","OK")</f>
        <v>OK</v>
      </c>
      <c r="X4086" s="7" t="str">
        <f aca="false">IF(TEXT(H4086,"dddd")&lt;&gt;I4086,"Mismatch","OK")</f>
        <v>OK</v>
      </c>
      <c r="Y4086" s="7" t="str">
        <f aca="false">IF(AND(N4086="No",O4086&lt;&gt;""),"Unexpected: channel present but no reminder sent",IF(AND(N4086="Yes",O4086=""),"Missing channel for sent reminder","OK"))</f>
        <v>OK</v>
      </c>
    </row>
    <row r="4087" customFormat="false" ht="15" hidden="false" customHeight="false" outlineLevel="0" collapsed="false">
      <c r="A4087" s="9" t="s">
        <v>5775</v>
      </c>
      <c r="B4087" s="9" t="s">
        <v>1396</v>
      </c>
      <c r="C4087" s="9" t="s">
        <v>37</v>
      </c>
      <c r="D4087" s="9" t="n">
        <v>23</v>
      </c>
      <c r="E4087" s="9" t="s">
        <v>82</v>
      </c>
      <c r="F4087" s="9" t="s">
        <v>74</v>
      </c>
      <c r="G4087" s="10" t="n">
        <v>45943</v>
      </c>
      <c r="H4087" s="10" t="n">
        <v>46003</v>
      </c>
      <c r="I4087" s="9" t="s">
        <v>50</v>
      </c>
      <c r="J4087" s="9" t="s">
        <v>51</v>
      </c>
      <c r="K4087" s="9" t="n">
        <v>60</v>
      </c>
      <c r="L4087" s="9" t="n">
        <v>2</v>
      </c>
      <c r="M4087" s="9" t="n">
        <v>1</v>
      </c>
      <c r="N4087" s="9" t="s">
        <v>42</v>
      </c>
      <c r="O4087" s="9" t="s">
        <v>43</v>
      </c>
      <c r="P4087" s="9" t="n">
        <v>20.4</v>
      </c>
      <c r="Q4087" s="9" t="n">
        <v>15</v>
      </c>
      <c r="R4087" s="9" t="s">
        <v>44</v>
      </c>
      <c r="S4087" s="9"/>
      <c r="T4087" s="9"/>
      <c r="U4087" s="9" t="str">
        <f aca="false">IF(COUNTIF($A$2:$A$5001,A4087)&gt;1,"Duplicate","Unique")</f>
        <v>Unique</v>
      </c>
      <c r="V4087" s="9" t="str">
        <f aca="false">IF(COUNTIFS($B$2:$B$5001,B4087,$H$2:$H$5001,H4087,$J$2:$J$5001,J4087)&gt;1,"Possible Duplicate Booking","Unique")</f>
        <v>Unique</v>
      </c>
      <c r="W4087" s="9" t="str">
        <f aca="false">IF((H4087-G4087)&lt;&gt;K4087,"Mismatch","OK")</f>
        <v>OK</v>
      </c>
      <c r="X4087" s="9" t="str">
        <f aca="false">IF(TEXT(H4087,"dddd")&lt;&gt;I4087,"Mismatch","OK")</f>
        <v>OK</v>
      </c>
      <c r="Y4087" s="9" t="str">
        <f aca="false">IF(AND(N4087="No",O4087&lt;&gt;""),"Unexpected: channel present but no reminder sent",IF(AND(N4087="Yes",O4087=""),"Missing channel for sent reminder","OK"))</f>
        <v>OK</v>
      </c>
    </row>
    <row r="4088" customFormat="false" ht="15" hidden="false" customHeight="false" outlineLevel="0" collapsed="false">
      <c r="A4088" s="7" t="s">
        <v>5776</v>
      </c>
      <c r="B4088" s="7" t="s">
        <v>687</v>
      </c>
      <c r="C4088" s="7" t="s">
        <v>37</v>
      </c>
      <c r="D4088" s="7" t="n">
        <v>46</v>
      </c>
      <c r="E4088" s="7" t="s">
        <v>56</v>
      </c>
      <c r="F4088" s="7" t="s">
        <v>49</v>
      </c>
      <c r="G4088" s="8" t="n">
        <v>45764</v>
      </c>
      <c r="H4088" s="8" t="n">
        <v>45805</v>
      </c>
      <c r="I4088" s="7" t="s">
        <v>58</v>
      </c>
      <c r="J4088" s="7" t="s">
        <v>41</v>
      </c>
      <c r="K4088" s="7" t="n">
        <v>41</v>
      </c>
      <c r="L4088" s="7" t="n">
        <v>5</v>
      </c>
      <c r="M4088" s="7" t="n">
        <v>0</v>
      </c>
      <c r="N4088" s="7" t="s">
        <v>71</v>
      </c>
      <c r="O4088" s="7"/>
      <c r="P4088" s="7" t="n">
        <v>3.5</v>
      </c>
      <c r="Q4088" s="7" t="n">
        <v>39</v>
      </c>
      <c r="R4088" s="7" t="s">
        <v>87</v>
      </c>
      <c r="S4088" s="7"/>
      <c r="T4088" s="7"/>
      <c r="U4088" s="7" t="str">
        <f aca="false">IF(COUNTIF($A$2:$A$5001,A4088)&gt;1,"Duplicate","Unique")</f>
        <v>Unique</v>
      </c>
      <c r="V4088" s="7" t="str">
        <f aca="false">IF(COUNTIFS($B$2:$B$5001,B4088,$H$2:$H$5001,H4088,$J$2:$J$5001,J4088)&gt;1,"Possible Duplicate Booking","Unique")</f>
        <v>Unique</v>
      </c>
      <c r="W4088" s="7" t="str">
        <f aca="false">IF((H4088-G4088)&lt;&gt;K4088,"Mismatch","OK")</f>
        <v>OK</v>
      </c>
      <c r="X4088" s="7" t="str">
        <f aca="false">IF(TEXT(H4088,"dddd")&lt;&gt;I4088,"Mismatch","OK")</f>
        <v>OK</v>
      </c>
      <c r="Y4088" s="7" t="str">
        <f aca="false">IF(AND(N4088="No",O4088&lt;&gt;""),"Unexpected: channel present but no reminder sent",IF(AND(N4088="Yes",O4088=""),"Missing channel for sent reminder","OK"))</f>
        <v>OK</v>
      </c>
    </row>
    <row r="4089" customFormat="false" ht="15" hidden="false" customHeight="false" outlineLevel="0" collapsed="false">
      <c r="A4089" s="9" t="s">
        <v>5777</v>
      </c>
      <c r="B4089" s="9" t="s">
        <v>848</v>
      </c>
      <c r="C4089" s="9" t="s">
        <v>37</v>
      </c>
      <c r="D4089" s="9" t="n">
        <v>32</v>
      </c>
      <c r="E4089" s="9" t="s">
        <v>48</v>
      </c>
      <c r="F4089" s="9" t="s">
        <v>57</v>
      </c>
      <c r="G4089" s="10" t="n">
        <v>46135</v>
      </c>
      <c r="H4089" s="10" t="n">
        <v>46165</v>
      </c>
      <c r="I4089" s="9" t="s">
        <v>102</v>
      </c>
      <c r="J4089" s="9" t="s">
        <v>63</v>
      </c>
      <c r="K4089" s="9" t="n">
        <v>30</v>
      </c>
      <c r="L4089" s="9" t="n">
        <v>4</v>
      </c>
      <c r="M4089" s="9" t="n">
        <v>0</v>
      </c>
      <c r="N4089" s="9" t="s">
        <v>71</v>
      </c>
      <c r="O4089" s="9"/>
      <c r="P4089" s="9" t="n">
        <v>35.8</v>
      </c>
      <c r="Q4089" s="9" t="n">
        <v>15</v>
      </c>
      <c r="R4089" s="9" t="s">
        <v>44</v>
      </c>
      <c r="S4089" s="9"/>
      <c r="T4089" s="9"/>
      <c r="U4089" s="9" t="str">
        <f aca="false">IF(COUNTIF($A$2:$A$5001,A4089)&gt;1,"Duplicate","Unique")</f>
        <v>Unique</v>
      </c>
      <c r="V4089" s="9" t="str">
        <f aca="false">IF(COUNTIFS($B$2:$B$5001,B4089,$H$2:$H$5001,H4089,$J$2:$J$5001,J4089)&gt;1,"Possible Duplicate Booking","Unique")</f>
        <v>Unique</v>
      </c>
      <c r="W4089" s="9" t="str">
        <f aca="false">IF((H4089-G4089)&lt;&gt;K4089,"Mismatch","OK")</f>
        <v>OK</v>
      </c>
      <c r="X4089" s="9" t="str">
        <f aca="false">IF(TEXT(H4089,"dddd")&lt;&gt;I4089,"Mismatch","OK")</f>
        <v>OK</v>
      </c>
      <c r="Y4089" s="9" t="str">
        <f aca="false">IF(AND(N4089="No",O4089&lt;&gt;""),"Unexpected: channel present but no reminder sent",IF(AND(N4089="Yes",O4089=""),"Missing channel for sent reminder","OK"))</f>
        <v>OK</v>
      </c>
    </row>
    <row r="4090" customFormat="false" ht="15" hidden="false" customHeight="false" outlineLevel="0" collapsed="false">
      <c r="A4090" s="7" t="s">
        <v>5778</v>
      </c>
      <c r="B4090" s="7" t="s">
        <v>441</v>
      </c>
      <c r="C4090" s="7" t="s">
        <v>47</v>
      </c>
      <c r="D4090" s="7" t="n">
        <v>24</v>
      </c>
      <c r="E4090" s="7" t="s">
        <v>82</v>
      </c>
      <c r="F4090" s="7" t="s">
        <v>57</v>
      </c>
      <c r="G4090" s="8" t="n">
        <v>46186</v>
      </c>
      <c r="H4090" s="8" t="n">
        <v>46194</v>
      </c>
      <c r="I4090" s="7" t="s">
        <v>75</v>
      </c>
      <c r="J4090" s="7" t="s">
        <v>41</v>
      </c>
      <c r="K4090" s="7" t="n">
        <v>8</v>
      </c>
      <c r="L4090" s="7" t="n">
        <v>3</v>
      </c>
      <c r="M4090" s="7" t="n">
        <v>1</v>
      </c>
      <c r="N4090" s="7" t="s">
        <v>42</v>
      </c>
      <c r="O4090" s="7" t="s">
        <v>67</v>
      </c>
      <c r="P4090" s="7" t="n">
        <v>26.1</v>
      </c>
      <c r="Q4090" s="7" t="n">
        <v>24</v>
      </c>
      <c r="R4090" s="7" t="s">
        <v>44</v>
      </c>
      <c r="S4090" s="7"/>
      <c r="T4090" s="7"/>
      <c r="U4090" s="7" t="str">
        <f aca="false">IF(COUNTIF($A$2:$A$5001,A4090)&gt;1,"Duplicate","Unique")</f>
        <v>Unique</v>
      </c>
      <c r="V4090" s="7" t="str">
        <f aca="false">IF(COUNTIFS($B$2:$B$5001,B4090,$H$2:$H$5001,H4090,$J$2:$J$5001,J4090)&gt;1,"Possible Duplicate Booking","Unique")</f>
        <v>Unique</v>
      </c>
      <c r="W4090" s="7" t="str">
        <f aca="false">IF((H4090-G4090)&lt;&gt;K4090,"Mismatch","OK")</f>
        <v>OK</v>
      </c>
      <c r="X4090" s="7" t="str">
        <f aca="false">IF(TEXT(H4090,"dddd")&lt;&gt;I4090,"Mismatch","OK")</f>
        <v>OK</v>
      </c>
      <c r="Y4090" s="7" t="str">
        <f aca="false">IF(AND(N4090="No",O4090&lt;&gt;""),"Unexpected: channel present but no reminder sent",IF(AND(N4090="Yes",O4090=""),"Missing channel for sent reminder","OK"))</f>
        <v>OK</v>
      </c>
    </row>
    <row r="4091" customFormat="false" ht="15" hidden="false" customHeight="false" outlineLevel="0" collapsed="false">
      <c r="A4091" s="9" t="s">
        <v>5779</v>
      </c>
      <c r="B4091" s="9" t="s">
        <v>3865</v>
      </c>
      <c r="C4091" s="9" t="s">
        <v>47</v>
      </c>
      <c r="D4091" s="9" t="n">
        <v>78</v>
      </c>
      <c r="E4091" s="9" t="s">
        <v>70</v>
      </c>
      <c r="F4091" s="9" t="s">
        <v>57</v>
      </c>
      <c r="G4091" s="10" t="n">
        <v>46172</v>
      </c>
      <c r="H4091" s="10" t="n">
        <v>46193</v>
      </c>
      <c r="I4091" s="9" t="s">
        <v>102</v>
      </c>
      <c r="J4091" s="9" t="s">
        <v>41</v>
      </c>
      <c r="K4091" s="9" t="n">
        <v>21</v>
      </c>
      <c r="L4091" s="9" t="n">
        <v>2</v>
      </c>
      <c r="M4091" s="9" t="n">
        <v>1</v>
      </c>
      <c r="N4091" s="9" t="s">
        <v>42</v>
      </c>
      <c r="O4091" s="9" t="s">
        <v>52</v>
      </c>
      <c r="P4091" s="9" t="n">
        <v>20.8</v>
      </c>
      <c r="Q4091" s="9" t="n">
        <v>21</v>
      </c>
      <c r="R4091" s="9" t="s">
        <v>44</v>
      </c>
      <c r="S4091" s="9"/>
      <c r="T4091" s="9"/>
      <c r="U4091" s="9" t="str">
        <f aca="false">IF(COUNTIF($A$2:$A$5001,A4091)&gt;1,"Duplicate","Unique")</f>
        <v>Unique</v>
      </c>
      <c r="V4091" s="9" t="str">
        <f aca="false">IF(COUNTIFS($B$2:$B$5001,B4091,$H$2:$H$5001,H4091,$J$2:$J$5001,J4091)&gt;1,"Possible Duplicate Booking","Unique")</f>
        <v>Unique</v>
      </c>
      <c r="W4091" s="9" t="str">
        <f aca="false">IF((H4091-G4091)&lt;&gt;K4091,"Mismatch","OK")</f>
        <v>OK</v>
      </c>
      <c r="X4091" s="9" t="str">
        <f aca="false">IF(TEXT(H4091,"dddd")&lt;&gt;I4091,"Mismatch","OK")</f>
        <v>OK</v>
      </c>
      <c r="Y4091" s="9" t="str">
        <f aca="false">IF(AND(N4091="No",O4091&lt;&gt;""),"Unexpected: channel present but no reminder sent",IF(AND(N4091="Yes",O4091=""),"Missing channel for sent reminder","OK"))</f>
        <v>OK</v>
      </c>
    </row>
    <row r="4092" customFormat="false" ht="15" hidden="false" customHeight="false" outlineLevel="0" collapsed="false">
      <c r="A4092" s="7" t="s">
        <v>5780</v>
      </c>
      <c r="B4092" s="7" t="s">
        <v>1925</v>
      </c>
      <c r="C4092" s="7" t="s">
        <v>37</v>
      </c>
      <c r="D4092" s="7" t="n">
        <v>79</v>
      </c>
      <c r="E4092" s="7" t="s">
        <v>70</v>
      </c>
      <c r="F4092" s="7" t="s">
        <v>39</v>
      </c>
      <c r="G4092" s="8" t="n">
        <v>46029</v>
      </c>
      <c r="H4092" s="8" t="n">
        <v>46060</v>
      </c>
      <c r="I4092" s="7" t="s">
        <v>102</v>
      </c>
      <c r="J4092" s="7" t="s">
        <v>63</v>
      </c>
      <c r="K4092" s="7" t="n">
        <v>31</v>
      </c>
      <c r="L4092" s="7" t="n">
        <v>7</v>
      </c>
      <c r="M4092" s="7" t="n">
        <v>1</v>
      </c>
      <c r="N4092" s="7" t="s">
        <v>71</v>
      </c>
      <c r="O4092" s="7"/>
      <c r="P4092" s="7" t="n">
        <v>4.8</v>
      </c>
      <c r="Q4092" s="7" t="n">
        <v>22</v>
      </c>
      <c r="R4092" s="7" t="s">
        <v>44</v>
      </c>
      <c r="S4092" s="7"/>
      <c r="T4092" s="7"/>
      <c r="U4092" s="7" t="str">
        <f aca="false">IF(COUNTIF($A$2:$A$5001,A4092)&gt;1,"Duplicate","Unique")</f>
        <v>Unique</v>
      </c>
      <c r="V4092" s="7" t="str">
        <f aca="false">IF(COUNTIFS($B$2:$B$5001,B4092,$H$2:$H$5001,H4092,$J$2:$J$5001,J4092)&gt;1,"Possible Duplicate Booking","Unique")</f>
        <v>Unique</v>
      </c>
      <c r="W4092" s="7" t="str">
        <f aca="false">IF((H4092-G4092)&lt;&gt;K4092,"Mismatch","OK")</f>
        <v>OK</v>
      </c>
      <c r="X4092" s="7" t="str">
        <f aca="false">IF(TEXT(H4092,"dddd")&lt;&gt;I4092,"Mismatch","OK")</f>
        <v>OK</v>
      </c>
      <c r="Y4092" s="7" t="str">
        <f aca="false">IF(AND(N4092="No",O4092&lt;&gt;""),"Unexpected: channel present but no reminder sent",IF(AND(N4092="Yes",O4092=""),"Missing channel for sent reminder","OK"))</f>
        <v>OK</v>
      </c>
    </row>
    <row r="4093" customFormat="false" ht="15" hidden="false" customHeight="false" outlineLevel="0" collapsed="false">
      <c r="A4093" s="9" t="s">
        <v>5781</v>
      </c>
      <c r="B4093" s="9" t="s">
        <v>5782</v>
      </c>
      <c r="C4093" s="9" t="s">
        <v>37</v>
      </c>
      <c r="D4093" s="9" t="n">
        <v>78</v>
      </c>
      <c r="E4093" s="9" t="s">
        <v>70</v>
      </c>
      <c r="F4093" s="9" t="s">
        <v>57</v>
      </c>
      <c r="G4093" s="10" t="n">
        <v>45665</v>
      </c>
      <c r="H4093" s="10" t="n">
        <v>45681</v>
      </c>
      <c r="I4093" s="9" t="s">
        <v>50</v>
      </c>
      <c r="J4093" s="9" t="s">
        <v>41</v>
      </c>
      <c r="K4093" s="9" t="n">
        <v>16</v>
      </c>
      <c r="L4093" s="9" t="n">
        <v>1</v>
      </c>
      <c r="M4093" s="9" t="n">
        <v>1</v>
      </c>
      <c r="N4093" s="9" t="s">
        <v>71</v>
      </c>
      <c r="O4093" s="9"/>
      <c r="P4093" s="9" t="n">
        <v>6.9</v>
      </c>
      <c r="Q4093" s="9" t="n">
        <v>23</v>
      </c>
      <c r="R4093" s="9" t="s">
        <v>53</v>
      </c>
      <c r="S4093" s="9"/>
      <c r="T4093" s="9"/>
      <c r="U4093" s="9" t="str">
        <f aca="false">IF(COUNTIF($A$2:$A$5001,A4093)&gt;1,"Duplicate","Unique")</f>
        <v>Unique</v>
      </c>
      <c r="V4093" s="9" t="str">
        <f aca="false">IF(COUNTIFS($B$2:$B$5001,B4093,$H$2:$H$5001,H4093,$J$2:$J$5001,J4093)&gt;1,"Possible Duplicate Booking","Unique")</f>
        <v>Unique</v>
      </c>
      <c r="W4093" s="9" t="str">
        <f aca="false">IF((H4093-G4093)&lt;&gt;K4093,"Mismatch","OK")</f>
        <v>OK</v>
      </c>
      <c r="X4093" s="9" t="str">
        <f aca="false">IF(TEXT(H4093,"dddd")&lt;&gt;I4093,"Mismatch","OK")</f>
        <v>OK</v>
      </c>
      <c r="Y4093" s="9" t="str">
        <f aca="false">IF(AND(N4093="No",O4093&lt;&gt;""),"Unexpected: channel present but no reminder sent",IF(AND(N4093="Yes",O4093=""),"Missing channel for sent reminder","OK"))</f>
        <v>OK</v>
      </c>
    </row>
    <row r="4094" customFormat="false" ht="15" hidden="false" customHeight="false" outlineLevel="0" collapsed="false">
      <c r="A4094" s="7" t="s">
        <v>5783</v>
      </c>
      <c r="B4094" s="7" t="s">
        <v>2001</v>
      </c>
      <c r="C4094" s="7" t="s">
        <v>37</v>
      </c>
      <c r="D4094" s="7" t="n">
        <v>27</v>
      </c>
      <c r="E4094" s="7" t="s">
        <v>48</v>
      </c>
      <c r="F4094" s="7" t="s">
        <v>74</v>
      </c>
      <c r="G4094" s="8" t="n">
        <v>45815</v>
      </c>
      <c r="H4094" s="8" t="n">
        <v>45858</v>
      </c>
      <c r="I4094" s="7" t="s">
        <v>75</v>
      </c>
      <c r="J4094" s="7" t="s">
        <v>51</v>
      </c>
      <c r="K4094" s="7" t="n">
        <v>43</v>
      </c>
      <c r="L4094" s="7" t="n">
        <v>5</v>
      </c>
      <c r="M4094" s="7" t="n">
        <v>3</v>
      </c>
      <c r="N4094" s="7" t="s">
        <v>42</v>
      </c>
      <c r="O4094" s="7" t="s">
        <v>52</v>
      </c>
      <c r="P4094" s="7" t="n">
        <v>6.1</v>
      </c>
      <c r="Q4094" s="7" t="n">
        <v>21</v>
      </c>
      <c r="R4094" s="7" t="s">
        <v>44</v>
      </c>
      <c r="S4094" s="7"/>
      <c r="T4094" s="7"/>
      <c r="U4094" s="7" t="str">
        <f aca="false">IF(COUNTIF($A$2:$A$5001,A4094)&gt;1,"Duplicate","Unique")</f>
        <v>Unique</v>
      </c>
      <c r="V4094" s="7" t="str">
        <f aca="false">IF(COUNTIFS($B$2:$B$5001,B4094,$H$2:$H$5001,H4094,$J$2:$J$5001,J4094)&gt;1,"Possible Duplicate Booking","Unique")</f>
        <v>Unique</v>
      </c>
      <c r="W4094" s="7" t="str">
        <f aca="false">IF((H4094-G4094)&lt;&gt;K4094,"Mismatch","OK")</f>
        <v>OK</v>
      </c>
      <c r="X4094" s="7" t="str">
        <f aca="false">IF(TEXT(H4094,"dddd")&lt;&gt;I4094,"Mismatch","OK")</f>
        <v>OK</v>
      </c>
      <c r="Y4094" s="7" t="str">
        <f aca="false">IF(AND(N4094="No",O4094&lt;&gt;""),"Unexpected: channel present but no reminder sent",IF(AND(N4094="Yes",O4094=""),"Missing channel for sent reminder","OK"))</f>
        <v>OK</v>
      </c>
    </row>
    <row r="4095" customFormat="false" ht="15" hidden="false" customHeight="false" outlineLevel="0" collapsed="false">
      <c r="A4095" s="9" t="s">
        <v>5784</v>
      </c>
      <c r="B4095" s="9" t="s">
        <v>3924</v>
      </c>
      <c r="C4095" s="9" t="s">
        <v>47</v>
      </c>
      <c r="D4095" s="9" t="n">
        <v>42</v>
      </c>
      <c r="E4095" s="9" t="s">
        <v>38</v>
      </c>
      <c r="F4095" s="9" t="s">
        <v>39</v>
      </c>
      <c r="G4095" s="10" t="n">
        <v>45841</v>
      </c>
      <c r="H4095" s="10" t="n">
        <v>45900</v>
      </c>
      <c r="I4095" s="9" t="s">
        <v>75</v>
      </c>
      <c r="J4095" s="9" t="s">
        <v>51</v>
      </c>
      <c r="K4095" s="9" t="n">
        <v>59</v>
      </c>
      <c r="L4095" s="9" t="n">
        <v>3</v>
      </c>
      <c r="M4095" s="9" t="n">
        <v>0</v>
      </c>
      <c r="N4095" s="9" t="s">
        <v>71</v>
      </c>
      <c r="O4095" s="9"/>
      <c r="P4095" s="9" t="n">
        <v>5</v>
      </c>
      <c r="Q4095" s="9" t="n">
        <v>19</v>
      </c>
      <c r="R4095" s="9" t="s">
        <v>44</v>
      </c>
      <c r="S4095" s="9"/>
      <c r="T4095" s="9"/>
      <c r="U4095" s="9" t="str">
        <f aca="false">IF(COUNTIF($A$2:$A$5001,A4095)&gt;1,"Duplicate","Unique")</f>
        <v>Unique</v>
      </c>
      <c r="V4095" s="9" t="str">
        <f aca="false">IF(COUNTIFS($B$2:$B$5001,B4095,$H$2:$H$5001,H4095,$J$2:$J$5001,J4095)&gt;1,"Possible Duplicate Booking","Unique")</f>
        <v>Unique</v>
      </c>
      <c r="W4095" s="9" t="str">
        <f aca="false">IF((H4095-G4095)&lt;&gt;K4095,"Mismatch","OK")</f>
        <v>OK</v>
      </c>
      <c r="X4095" s="9" t="str">
        <f aca="false">IF(TEXT(H4095,"dddd")&lt;&gt;I4095,"Mismatch","OK")</f>
        <v>OK</v>
      </c>
      <c r="Y4095" s="9" t="str">
        <f aca="false">IF(AND(N4095="No",O4095&lt;&gt;""),"Unexpected: channel present but no reminder sent",IF(AND(N4095="Yes",O4095=""),"Missing channel for sent reminder","OK"))</f>
        <v>OK</v>
      </c>
    </row>
    <row r="4096" customFormat="false" ht="15" hidden="false" customHeight="false" outlineLevel="0" collapsed="false">
      <c r="A4096" s="7" t="s">
        <v>5785</v>
      </c>
      <c r="B4096" s="7" t="s">
        <v>1073</v>
      </c>
      <c r="C4096" s="7" t="s">
        <v>37</v>
      </c>
      <c r="D4096" s="7" t="n">
        <v>38</v>
      </c>
      <c r="E4096" s="7" t="s">
        <v>38</v>
      </c>
      <c r="F4096" s="7" t="s">
        <v>57</v>
      </c>
      <c r="G4096" s="8" t="n">
        <v>46170</v>
      </c>
      <c r="H4096" s="8" t="n">
        <v>46182</v>
      </c>
      <c r="I4096" s="7" t="s">
        <v>40</v>
      </c>
      <c r="J4096" s="7" t="s">
        <v>41</v>
      </c>
      <c r="K4096" s="7" t="n">
        <v>12</v>
      </c>
      <c r="L4096" s="7" t="n">
        <v>3</v>
      </c>
      <c r="M4096" s="7" t="n">
        <v>0</v>
      </c>
      <c r="N4096" s="7" t="s">
        <v>42</v>
      </c>
      <c r="O4096" s="7" t="s">
        <v>52</v>
      </c>
      <c r="P4096" s="7" t="n">
        <v>5.9</v>
      </c>
      <c r="Q4096" s="7" t="n">
        <v>20</v>
      </c>
      <c r="R4096" s="7" t="s">
        <v>44</v>
      </c>
      <c r="S4096" s="7"/>
      <c r="T4096" s="7"/>
      <c r="U4096" s="7" t="str">
        <f aca="false">IF(COUNTIF($A$2:$A$5001,A4096)&gt;1,"Duplicate","Unique")</f>
        <v>Unique</v>
      </c>
      <c r="V4096" s="7" t="str">
        <f aca="false">IF(COUNTIFS($B$2:$B$5001,B4096,$H$2:$H$5001,H4096,$J$2:$J$5001,J4096)&gt;1,"Possible Duplicate Booking","Unique")</f>
        <v>Unique</v>
      </c>
      <c r="W4096" s="7" t="str">
        <f aca="false">IF((H4096-G4096)&lt;&gt;K4096,"Mismatch","OK")</f>
        <v>OK</v>
      </c>
      <c r="X4096" s="7" t="str">
        <f aca="false">IF(TEXT(H4096,"dddd")&lt;&gt;I4096,"Mismatch","OK")</f>
        <v>OK</v>
      </c>
      <c r="Y4096" s="7" t="str">
        <f aca="false">IF(AND(N4096="No",O4096&lt;&gt;""),"Unexpected: channel present but no reminder sent",IF(AND(N4096="Yes",O4096=""),"Missing channel for sent reminder","OK"))</f>
        <v>OK</v>
      </c>
    </row>
    <row r="4097" customFormat="false" ht="15" hidden="false" customHeight="false" outlineLevel="0" collapsed="false">
      <c r="A4097" s="9" t="s">
        <v>5786</v>
      </c>
      <c r="B4097" s="9" t="s">
        <v>523</v>
      </c>
      <c r="C4097" s="9" t="s">
        <v>37</v>
      </c>
      <c r="D4097" s="9" t="n">
        <v>38</v>
      </c>
      <c r="E4097" s="9" t="s">
        <v>38</v>
      </c>
      <c r="F4097" s="9" t="s">
        <v>57</v>
      </c>
      <c r="G4097" s="10" t="n">
        <v>45941</v>
      </c>
      <c r="H4097" s="10" t="n">
        <v>45956</v>
      </c>
      <c r="I4097" s="9" t="s">
        <v>75</v>
      </c>
      <c r="J4097" s="9" t="s">
        <v>51</v>
      </c>
      <c r="K4097" s="9" t="n">
        <v>15</v>
      </c>
      <c r="L4097" s="9" t="n">
        <v>1</v>
      </c>
      <c r="M4097" s="9" t="n">
        <v>0</v>
      </c>
      <c r="N4097" s="9" t="s">
        <v>42</v>
      </c>
      <c r="O4097" s="9" t="s">
        <v>52</v>
      </c>
      <c r="P4097" s="9" t="n">
        <v>12.2</v>
      </c>
      <c r="Q4097" s="9" t="n">
        <v>22</v>
      </c>
      <c r="R4097" s="9" t="s">
        <v>87</v>
      </c>
      <c r="S4097" s="9"/>
      <c r="T4097" s="9"/>
      <c r="U4097" s="9" t="str">
        <f aca="false">IF(COUNTIF($A$2:$A$5001,A4097)&gt;1,"Duplicate","Unique")</f>
        <v>Unique</v>
      </c>
      <c r="V4097" s="9" t="str">
        <f aca="false">IF(COUNTIFS($B$2:$B$5001,B4097,$H$2:$H$5001,H4097,$J$2:$J$5001,J4097)&gt;1,"Possible Duplicate Booking","Unique")</f>
        <v>Unique</v>
      </c>
      <c r="W4097" s="9" t="str">
        <f aca="false">IF((H4097-G4097)&lt;&gt;K4097,"Mismatch","OK")</f>
        <v>OK</v>
      </c>
      <c r="X4097" s="9" t="str">
        <f aca="false">IF(TEXT(H4097,"dddd")&lt;&gt;I4097,"Mismatch","OK")</f>
        <v>OK</v>
      </c>
      <c r="Y4097" s="9" t="str">
        <f aca="false">IF(AND(N4097="No",O4097&lt;&gt;""),"Unexpected: channel present but no reminder sent",IF(AND(N4097="Yes",O4097=""),"Missing channel for sent reminder","OK"))</f>
        <v>OK</v>
      </c>
    </row>
    <row r="4098" customFormat="false" ht="15" hidden="false" customHeight="false" outlineLevel="0" collapsed="false">
      <c r="A4098" s="7" t="s">
        <v>5787</v>
      </c>
      <c r="B4098" s="7" t="s">
        <v>4896</v>
      </c>
      <c r="C4098" s="7" t="s">
        <v>47</v>
      </c>
      <c r="D4098" s="7" t="n">
        <v>44</v>
      </c>
      <c r="E4098" s="7" t="s">
        <v>38</v>
      </c>
      <c r="F4098" s="7" t="s">
        <v>57</v>
      </c>
      <c r="G4098" s="8" t="n">
        <v>45943</v>
      </c>
      <c r="H4098" s="8" t="n">
        <v>45950</v>
      </c>
      <c r="I4098" s="7" t="s">
        <v>66</v>
      </c>
      <c r="J4098" s="7" t="s">
        <v>51</v>
      </c>
      <c r="K4098" s="7" t="n">
        <v>7</v>
      </c>
      <c r="L4098" s="7" t="n">
        <v>5</v>
      </c>
      <c r="M4098" s="7" t="n">
        <v>0</v>
      </c>
      <c r="N4098" s="7" t="s">
        <v>42</v>
      </c>
      <c r="O4098" s="7" t="s">
        <v>43</v>
      </c>
      <c r="P4098" s="7" t="n">
        <v>7.1</v>
      </c>
      <c r="Q4098" s="7" t="n">
        <v>14</v>
      </c>
      <c r="R4098" s="7" t="s">
        <v>53</v>
      </c>
      <c r="S4098" s="7"/>
      <c r="T4098" s="7"/>
      <c r="U4098" s="7" t="str">
        <f aca="false">IF(COUNTIF($A$2:$A$5001,A4098)&gt;1,"Duplicate","Unique")</f>
        <v>Unique</v>
      </c>
      <c r="V4098" s="7" t="str">
        <f aca="false">IF(COUNTIFS($B$2:$B$5001,B4098,$H$2:$H$5001,H4098,$J$2:$J$5001,J4098)&gt;1,"Possible Duplicate Booking","Unique")</f>
        <v>Unique</v>
      </c>
      <c r="W4098" s="7" t="str">
        <f aca="false">IF((H4098-G4098)&lt;&gt;K4098,"Mismatch","OK")</f>
        <v>OK</v>
      </c>
      <c r="X4098" s="7" t="str">
        <f aca="false">IF(TEXT(H4098,"dddd")&lt;&gt;I4098,"Mismatch","OK")</f>
        <v>OK</v>
      </c>
      <c r="Y4098" s="7" t="str">
        <f aca="false">IF(AND(N4098="No",O4098&lt;&gt;""),"Unexpected: channel present but no reminder sent",IF(AND(N4098="Yes",O4098=""),"Missing channel for sent reminder","OK"))</f>
        <v>OK</v>
      </c>
    </row>
    <row r="4099" customFormat="false" ht="15" hidden="false" customHeight="false" outlineLevel="0" collapsed="false">
      <c r="A4099" s="9" t="s">
        <v>5788</v>
      </c>
      <c r="B4099" s="9" t="s">
        <v>1577</v>
      </c>
      <c r="C4099" s="9" t="s">
        <v>37</v>
      </c>
      <c r="D4099" s="9" t="n">
        <v>50</v>
      </c>
      <c r="E4099" s="9" t="s">
        <v>56</v>
      </c>
      <c r="F4099" s="9" t="s">
        <v>39</v>
      </c>
      <c r="G4099" s="10" t="n">
        <v>45694</v>
      </c>
      <c r="H4099" s="10" t="n">
        <v>45738</v>
      </c>
      <c r="I4099" s="9" t="s">
        <v>102</v>
      </c>
      <c r="J4099" s="9" t="s">
        <v>51</v>
      </c>
      <c r="K4099" s="9" t="n">
        <v>44</v>
      </c>
      <c r="L4099" s="9" t="n">
        <v>3</v>
      </c>
      <c r="M4099" s="9" t="n">
        <v>0</v>
      </c>
      <c r="N4099" s="9" t="s">
        <v>71</v>
      </c>
      <c r="O4099" s="9"/>
      <c r="P4099" s="9" t="n">
        <v>3.9</v>
      </c>
      <c r="Q4099" s="9" t="n">
        <v>9</v>
      </c>
      <c r="R4099" s="9" t="s">
        <v>44</v>
      </c>
      <c r="S4099" s="9"/>
      <c r="T4099" s="9"/>
      <c r="U4099" s="9" t="str">
        <f aca="false">IF(COUNTIF($A$2:$A$5001,A4099)&gt;1,"Duplicate","Unique")</f>
        <v>Unique</v>
      </c>
      <c r="V4099" s="9" t="str">
        <f aca="false">IF(COUNTIFS($B$2:$B$5001,B4099,$H$2:$H$5001,H4099,$J$2:$J$5001,J4099)&gt;1,"Possible Duplicate Booking","Unique")</f>
        <v>Unique</v>
      </c>
      <c r="W4099" s="9" t="str">
        <f aca="false">IF((H4099-G4099)&lt;&gt;K4099,"Mismatch","OK")</f>
        <v>OK</v>
      </c>
      <c r="X4099" s="9" t="str">
        <f aca="false">IF(TEXT(H4099,"dddd")&lt;&gt;I4099,"Mismatch","OK")</f>
        <v>OK</v>
      </c>
      <c r="Y4099" s="9" t="str">
        <f aca="false">IF(AND(N4099="No",O4099&lt;&gt;""),"Unexpected: channel present but no reminder sent",IF(AND(N4099="Yes",O4099=""),"Missing channel for sent reminder","OK"))</f>
        <v>OK</v>
      </c>
    </row>
    <row r="4100" customFormat="false" ht="15" hidden="false" customHeight="false" outlineLevel="0" collapsed="false">
      <c r="A4100" s="7" t="s">
        <v>5789</v>
      </c>
      <c r="B4100" s="7" t="s">
        <v>1561</v>
      </c>
      <c r="C4100" s="7" t="s">
        <v>47</v>
      </c>
      <c r="D4100" s="7" t="n">
        <v>48</v>
      </c>
      <c r="E4100" s="7" t="s">
        <v>56</v>
      </c>
      <c r="F4100" s="7" t="s">
        <v>49</v>
      </c>
      <c r="G4100" s="8" t="n">
        <v>46063</v>
      </c>
      <c r="H4100" s="8" t="n">
        <v>46091</v>
      </c>
      <c r="I4100" s="7" t="s">
        <v>40</v>
      </c>
      <c r="J4100" s="7" t="s">
        <v>41</v>
      </c>
      <c r="K4100" s="7" t="n">
        <v>28</v>
      </c>
      <c r="L4100" s="7" t="n">
        <v>2</v>
      </c>
      <c r="M4100" s="7" t="n">
        <v>1</v>
      </c>
      <c r="N4100" s="7" t="s">
        <v>42</v>
      </c>
      <c r="O4100" s="7" t="s">
        <v>52</v>
      </c>
      <c r="P4100" s="7" t="n">
        <v>2.1</v>
      </c>
      <c r="Q4100" s="7" t="n">
        <v>20</v>
      </c>
      <c r="R4100" s="7" t="s">
        <v>44</v>
      </c>
      <c r="S4100" s="7"/>
      <c r="T4100" s="7"/>
      <c r="U4100" s="7" t="str">
        <f aca="false">IF(COUNTIF($A$2:$A$5001,A4100)&gt;1,"Duplicate","Unique")</f>
        <v>Unique</v>
      </c>
      <c r="V4100" s="7" t="str">
        <f aca="false">IF(COUNTIFS($B$2:$B$5001,B4100,$H$2:$H$5001,H4100,$J$2:$J$5001,J4100)&gt;1,"Possible Duplicate Booking","Unique")</f>
        <v>Unique</v>
      </c>
      <c r="W4100" s="7" t="str">
        <f aca="false">IF((H4100-G4100)&lt;&gt;K4100,"Mismatch","OK")</f>
        <v>OK</v>
      </c>
      <c r="X4100" s="7" t="str">
        <f aca="false">IF(TEXT(H4100,"dddd")&lt;&gt;I4100,"Mismatch","OK")</f>
        <v>OK</v>
      </c>
      <c r="Y4100" s="7" t="str">
        <f aca="false">IF(AND(N4100="No",O4100&lt;&gt;""),"Unexpected: channel present but no reminder sent",IF(AND(N4100="Yes",O4100=""),"Missing channel for sent reminder","OK"))</f>
        <v>OK</v>
      </c>
    </row>
    <row r="4101" customFormat="false" ht="15" hidden="false" customHeight="false" outlineLevel="0" collapsed="false">
      <c r="A4101" s="9" t="s">
        <v>5790</v>
      </c>
      <c r="B4101" s="9" t="s">
        <v>1418</v>
      </c>
      <c r="C4101" s="9" t="s">
        <v>47</v>
      </c>
      <c r="D4101" s="9" t="n">
        <v>36</v>
      </c>
      <c r="E4101" s="9" t="s">
        <v>38</v>
      </c>
      <c r="F4101" s="9" t="s">
        <v>57</v>
      </c>
      <c r="G4101" s="10" t="n">
        <v>45824</v>
      </c>
      <c r="H4101" s="10" t="n">
        <v>45841</v>
      </c>
      <c r="I4101" s="9" t="s">
        <v>62</v>
      </c>
      <c r="J4101" s="9" t="s">
        <v>41</v>
      </c>
      <c r="K4101" s="9" t="n">
        <v>17</v>
      </c>
      <c r="L4101" s="9" t="n">
        <v>0</v>
      </c>
      <c r="M4101" s="9" t="n">
        <v>0</v>
      </c>
      <c r="N4101" s="9" t="s">
        <v>71</v>
      </c>
      <c r="O4101" s="9"/>
      <c r="P4101" s="9" t="n">
        <v>15.2</v>
      </c>
      <c r="Q4101" s="9" t="n">
        <v>14</v>
      </c>
      <c r="R4101" s="9" t="s">
        <v>44</v>
      </c>
      <c r="S4101" s="9"/>
      <c r="T4101" s="9"/>
      <c r="U4101" s="9" t="str">
        <f aca="false">IF(COUNTIF($A$2:$A$5001,A4101)&gt;1,"Duplicate","Unique")</f>
        <v>Unique</v>
      </c>
      <c r="V4101" s="9" t="str">
        <f aca="false">IF(COUNTIFS($B$2:$B$5001,B4101,$H$2:$H$5001,H4101,$J$2:$J$5001,J4101)&gt;1,"Possible Duplicate Booking","Unique")</f>
        <v>Unique</v>
      </c>
      <c r="W4101" s="9" t="str">
        <f aca="false">IF((H4101-G4101)&lt;&gt;K4101,"Mismatch","OK")</f>
        <v>OK</v>
      </c>
      <c r="X4101" s="9" t="str">
        <f aca="false">IF(TEXT(H4101,"dddd")&lt;&gt;I4101,"Mismatch","OK")</f>
        <v>OK</v>
      </c>
      <c r="Y4101" s="9" t="str">
        <f aca="false">IF(AND(N4101="No",O4101&lt;&gt;""),"Unexpected: channel present but no reminder sent",IF(AND(N4101="Yes",O4101=""),"Missing channel for sent reminder","OK"))</f>
        <v>OK</v>
      </c>
    </row>
    <row r="4102" customFormat="false" ht="15" hidden="false" customHeight="false" outlineLevel="0" collapsed="false">
      <c r="A4102" s="7" t="s">
        <v>5791</v>
      </c>
      <c r="B4102" s="7" t="s">
        <v>2319</v>
      </c>
      <c r="C4102" s="7" t="s">
        <v>37</v>
      </c>
      <c r="D4102" s="7" t="n">
        <v>79</v>
      </c>
      <c r="E4102" s="7" t="s">
        <v>70</v>
      </c>
      <c r="F4102" s="7" t="s">
        <v>49</v>
      </c>
      <c r="G4102" s="8" t="n">
        <v>45695</v>
      </c>
      <c r="H4102" s="8" t="n">
        <v>45708</v>
      </c>
      <c r="I4102" s="7" t="s">
        <v>62</v>
      </c>
      <c r="J4102" s="7" t="s">
        <v>51</v>
      </c>
      <c r="K4102" s="7" t="n">
        <v>13</v>
      </c>
      <c r="L4102" s="7" t="n">
        <v>3</v>
      </c>
      <c r="M4102" s="7" t="n">
        <v>1</v>
      </c>
      <c r="N4102" s="7" t="s">
        <v>71</v>
      </c>
      <c r="O4102" s="7"/>
      <c r="P4102" s="7" t="n">
        <v>9.8</v>
      </c>
      <c r="Q4102" s="7" t="n">
        <v>23</v>
      </c>
      <c r="R4102" s="7" t="s">
        <v>44</v>
      </c>
      <c r="S4102" s="7"/>
      <c r="T4102" s="7"/>
      <c r="U4102" s="7" t="str">
        <f aca="false">IF(COUNTIF($A$2:$A$5001,A4102)&gt;1,"Duplicate","Unique")</f>
        <v>Unique</v>
      </c>
      <c r="V4102" s="7" t="str">
        <f aca="false">IF(COUNTIFS($B$2:$B$5001,B4102,$H$2:$H$5001,H4102,$J$2:$J$5001,J4102)&gt;1,"Possible Duplicate Booking","Unique")</f>
        <v>Unique</v>
      </c>
      <c r="W4102" s="7" t="str">
        <f aca="false">IF((H4102-G4102)&lt;&gt;K4102,"Mismatch","OK")</f>
        <v>OK</v>
      </c>
      <c r="X4102" s="7" t="str">
        <f aca="false">IF(TEXT(H4102,"dddd")&lt;&gt;I4102,"Mismatch","OK")</f>
        <v>OK</v>
      </c>
      <c r="Y4102" s="7" t="str">
        <f aca="false">IF(AND(N4102="No",O4102&lt;&gt;""),"Unexpected: channel present but no reminder sent",IF(AND(N4102="Yes",O4102=""),"Missing channel for sent reminder","OK"))</f>
        <v>OK</v>
      </c>
    </row>
    <row r="4103" customFormat="false" ht="15" hidden="false" customHeight="false" outlineLevel="0" collapsed="false">
      <c r="A4103" s="9" t="s">
        <v>5792</v>
      </c>
      <c r="B4103" s="9" t="s">
        <v>2527</v>
      </c>
      <c r="C4103" s="9" t="s">
        <v>37</v>
      </c>
      <c r="D4103" s="9" t="n">
        <v>79</v>
      </c>
      <c r="E4103" s="9" t="s">
        <v>70</v>
      </c>
      <c r="F4103" s="9" t="s">
        <v>57</v>
      </c>
      <c r="G4103" s="10" t="n">
        <v>46193</v>
      </c>
      <c r="H4103" s="10" t="n">
        <v>46197</v>
      </c>
      <c r="I4103" s="9" t="s">
        <v>58</v>
      </c>
      <c r="J4103" s="9" t="s">
        <v>51</v>
      </c>
      <c r="K4103" s="9" t="n">
        <v>4</v>
      </c>
      <c r="L4103" s="9" t="n">
        <v>3</v>
      </c>
      <c r="M4103" s="9" t="n">
        <v>1</v>
      </c>
      <c r="N4103" s="9" t="s">
        <v>42</v>
      </c>
      <c r="O4103" s="9" t="s">
        <v>52</v>
      </c>
      <c r="P4103" s="9"/>
      <c r="Q4103" s="9" t="n">
        <v>12</v>
      </c>
      <c r="R4103" s="9" t="s">
        <v>53</v>
      </c>
      <c r="S4103" s="9"/>
      <c r="T4103" s="9"/>
      <c r="U4103" s="9" t="str">
        <f aca="false">IF(COUNTIF($A$2:$A$5001,A4103)&gt;1,"Duplicate","Unique")</f>
        <v>Unique</v>
      </c>
      <c r="V4103" s="9" t="str">
        <f aca="false">IF(COUNTIFS($B$2:$B$5001,B4103,$H$2:$H$5001,H4103,$J$2:$J$5001,J4103)&gt;1,"Possible Duplicate Booking","Unique")</f>
        <v>Unique</v>
      </c>
      <c r="W4103" s="9" t="str">
        <f aca="false">IF((H4103-G4103)&lt;&gt;K4103,"Mismatch","OK")</f>
        <v>OK</v>
      </c>
      <c r="X4103" s="9" t="str">
        <f aca="false">IF(TEXT(H4103,"dddd")&lt;&gt;I4103,"Mismatch","OK")</f>
        <v>OK</v>
      </c>
      <c r="Y4103" s="9" t="str">
        <f aca="false">IF(AND(N4103="No",O4103&lt;&gt;""),"Unexpected: channel present but no reminder sent",IF(AND(N4103="Yes",O4103=""),"Missing channel for sent reminder","OK"))</f>
        <v>OK</v>
      </c>
    </row>
    <row r="4104" customFormat="false" ht="15" hidden="false" customHeight="false" outlineLevel="0" collapsed="false">
      <c r="A4104" s="7" t="s">
        <v>5793</v>
      </c>
      <c r="B4104" s="7" t="s">
        <v>3358</v>
      </c>
      <c r="C4104" s="7" t="s">
        <v>47</v>
      </c>
      <c r="D4104" s="7" t="n">
        <v>38</v>
      </c>
      <c r="E4104" s="7" t="s">
        <v>38</v>
      </c>
      <c r="F4104" s="7" t="s">
        <v>57</v>
      </c>
      <c r="G4104" s="8" t="n">
        <v>45732</v>
      </c>
      <c r="H4104" s="8" t="n">
        <v>45761</v>
      </c>
      <c r="I4104" s="7" t="s">
        <v>66</v>
      </c>
      <c r="J4104" s="7" t="s">
        <v>51</v>
      </c>
      <c r="K4104" s="7" t="n">
        <v>29</v>
      </c>
      <c r="L4104" s="7" t="n">
        <v>6</v>
      </c>
      <c r="M4104" s="7" t="n">
        <v>1</v>
      </c>
      <c r="N4104" s="7" t="s">
        <v>42</v>
      </c>
      <c r="O4104" s="7" t="s">
        <v>67</v>
      </c>
      <c r="P4104" s="7" t="n">
        <v>0.9</v>
      </c>
      <c r="Q4104" s="7" t="n">
        <v>3</v>
      </c>
      <c r="R4104" s="7" t="s">
        <v>53</v>
      </c>
      <c r="S4104" s="7"/>
      <c r="T4104" s="7"/>
      <c r="U4104" s="7" t="str">
        <f aca="false">IF(COUNTIF($A$2:$A$5001,A4104)&gt;1,"Duplicate","Unique")</f>
        <v>Unique</v>
      </c>
      <c r="V4104" s="7" t="str">
        <f aca="false">IF(COUNTIFS($B$2:$B$5001,B4104,$H$2:$H$5001,H4104,$J$2:$J$5001,J4104)&gt;1,"Possible Duplicate Booking","Unique")</f>
        <v>Unique</v>
      </c>
      <c r="W4104" s="7" t="str">
        <f aca="false">IF((H4104-G4104)&lt;&gt;K4104,"Mismatch","OK")</f>
        <v>OK</v>
      </c>
      <c r="X4104" s="7" t="str">
        <f aca="false">IF(TEXT(H4104,"dddd")&lt;&gt;I4104,"Mismatch","OK")</f>
        <v>OK</v>
      </c>
      <c r="Y4104" s="7" t="str">
        <f aca="false">IF(AND(N4104="No",O4104&lt;&gt;""),"Unexpected: channel present but no reminder sent",IF(AND(N4104="Yes",O4104=""),"Missing channel for sent reminder","OK"))</f>
        <v>OK</v>
      </c>
    </row>
    <row r="4105" customFormat="false" ht="15" hidden="false" customHeight="false" outlineLevel="0" collapsed="false">
      <c r="A4105" s="9" t="s">
        <v>5794</v>
      </c>
      <c r="B4105" s="9" t="s">
        <v>3872</v>
      </c>
      <c r="C4105" s="9" t="s">
        <v>37</v>
      </c>
      <c r="D4105" s="9" t="n">
        <v>31</v>
      </c>
      <c r="E4105" s="9" t="s">
        <v>48</v>
      </c>
      <c r="F4105" s="9" t="s">
        <v>74</v>
      </c>
      <c r="G4105" s="10" t="n">
        <v>45625</v>
      </c>
      <c r="H4105" s="10" t="n">
        <v>45666</v>
      </c>
      <c r="I4105" s="9" t="s">
        <v>62</v>
      </c>
      <c r="J4105" s="9" t="s">
        <v>51</v>
      </c>
      <c r="K4105" s="9" t="n">
        <v>41</v>
      </c>
      <c r="L4105" s="9" t="n">
        <v>3</v>
      </c>
      <c r="M4105" s="9" t="n">
        <v>1</v>
      </c>
      <c r="N4105" s="9" t="s">
        <v>42</v>
      </c>
      <c r="O4105" s="9" t="s">
        <v>52</v>
      </c>
      <c r="P4105" s="9" t="n">
        <v>4</v>
      </c>
      <c r="Q4105" s="9" t="n">
        <v>40</v>
      </c>
      <c r="R4105" s="9" t="s">
        <v>44</v>
      </c>
      <c r="S4105" s="9"/>
      <c r="T4105" s="9"/>
      <c r="U4105" s="9" t="str">
        <f aca="false">IF(COUNTIF($A$2:$A$5001,A4105)&gt;1,"Duplicate","Unique")</f>
        <v>Unique</v>
      </c>
      <c r="V4105" s="9" t="str">
        <f aca="false">IF(COUNTIFS($B$2:$B$5001,B4105,$H$2:$H$5001,H4105,$J$2:$J$5001,J4105)&gt;1,"Possible Duplicate Booking","Unique")</f>
        <v>Unique</v>
      </c>
      <c r="W4105" s="9" t="str">
        <f aca="false">IF((H4105-G4105)&lt;&gt;K4105,"Mismatch","OK")</f>
        <v>OK</v>
      </c>
      <c r="X4105" s="9" t="str">
        <f aca="false">IF(TEXT(H4105,"dddd")&lt;&gt;I4105,"Mismatch","OK")</f>
        <v>OK</v>
      </c>
      <c r="Y4105" s="9" t="str">
        <f aca="false">IF(AND(N4105="No",O4105&lt;&gt;""),"Unexpected: channel present but no reminder sent",IF(AND(N4105="Yes",O4105=""),"Missing channel for sent reminder","OK"))</f>
        <v>OK</v>
      </c>
    </row>
    <row r="4106" customFormat="false" ht="15" hidden="false" customHeight="false" outlineLevel="0" collapsed="false">
      <c r="A4106" s="7" t="s">
        <v>5795</v>
      </c>
      <c r="B4106" s="7" t="s">
        <v>2197</v>
      </c>
      <c r="C4106" s="7" t="s">
        <v>37</v>
      </c>
      <c r="D4106" s="7" t="n">
        <v>51</v>
      </c>
      <c r="E4106" s="7" t="s">
        <v>56</v>
      </c>
      <c r="F4106" s="7" t="s">
        <v>57</v>
      </c>
      <c r="G4106" s="8" t="n">
        <v>45686</v>
      </c>
      <c r="H4106" s="8" t="n">
        <v>45700</v>
      </c>
      <c r="I4106" s="7" t="s">
        <v>58</v>
      </c>
      <c r="J4106" s="7" t="s">
        <v>41</v>
      </c>
      <c r="K4106" s="7" t="n">
        <v>14</v>
      </c>
      <c r="L4106" s="7" t="n">
        <v>4</v>
      </c>
      <c r="M4106" s="7" t="n">
        <v>2</v>
      </c>
      <c r="N4106" s="7" t="s">
        <v>42</v>
      </c>
      <c r="O4106" s="7" t="s">
        <v>52</v>
      </c>
      <c r="P4106" s="7" t="n">
        <v>9</v>
      </c>
      <c r="Q4106" s="7" t="n">
        <v>17</v>
      </c>
      <c r="R4106" s="7" t="s">
        <v>53</v>
      </c>
      <c r="S4106" s="7"/>
      <c r="T4106" s="7"/>
      <c r="U4106" s="7" t="str">
        <f aca="false">IF(COUNTIF($A$2:$A$5001,A4106)&gt;1,"Duplicate","Unique")</f>
        <v>Unique</v>
      </c>
      <c r="V4106" s="7" t="str">
        <f aca="false">IF(COUNTIFS($B$2:$B$5001,B4106,$H$2:$H$5001,H4106,$J$2:$J$5001,J4106)&gt;1,"Possible Duplicate Booking","Unique")</f>
        <v>Unique</v>
      </c>
      <c r="W4106" s="7" t="str">
        <f aca="false">IF((H4106-G4106)&lt;&gt;K4106,"Mismatch","OK")</f>
        <v>OK</v>
      </c>
      <c r="X4106" s="7" t="str">
        <f aca="false">IF(TEXT(H4106,"dddd")&lt;&gt;I4106,"Mismatch","OK")</f>
        <v>OK</v>
      </c>
      <c r="Y4106" s="7" t="str">
        <f aca="false">IF(AND(N4106="No",O4106&lt;&gt;""),"Unexpected: channel present but no reminder sent",IF(AND(N4106="Yes",O4106=""),"Missing channel for sent reminder","OK"))</f>
        <v>OK</v>
      </c>
    </row>
    <row r="4107" customFormat="false" ht="15" hidden="false" customHeight="false" outlineLevel="0" collapsed="false">
      <c r="A4107" s="9" t="s">
        <v>5796</v>
      </c>
      <c r="B4107" s="9" t="s">
        <v>886</v>
      </c>
      <c r="C4107" s="9" t="s">
        <v>47</v>
      </c>
      <c r="D4107" s="9" t="n">
        <v>41</v>
      </c>
      <c r="E4107" s="9" t="s">
        <v>38</v>
      </c>
      <c r="F4107" s="9" t="s">
        <v>57</v>
      </c>
      <c r="G4107" s="10" t="n">
        <v>45905</v>
      </c>
      <c r="H4107" s="10" t="n">
        <v>45905</v>
      </c>
      <c r="I4107" s="9" t="s">
        <v>50</v>
      </c>
      <c r="J4107" s="9" t="s">
        <v>51</v>
      </c>
      <c r="K4107" s="9" t="n">
        <v>0</v>
      </c>
      <c r="L4107" s="9" t="n">
        <v>3</v>
      </c>
      <c r="M4107" s="9" t="n">
        <v>1</v>
      </c>
      <c r="N4107" s="9" t="s">
        <v>42</v>
      </c>
      <c r="O4107" s="9" t="s">
        <v>43</v>
      </c>
      <c r="P4107" s="9" t="n">
        <v>11.7</v>
      </c>
      <c r="Q4107" s="9" t="n">
        <v>2</v>
      </c>
      <c r="R4107" s="9" t="s">
        <v>53</v>
      </c>
      <c r="S4107" s="9"/>
      <c r="T4107" s="9"/>
      <c r="U4107" s="9" t="str">
        <f aca="false">IF(COUNTIF($A$2:$A$5001,A4107)&gt;1,"Duplicate","Unique")</f>
        <v>Unique</v>
      </c>
      <c r="V4107" s="9" t="str">
        <f aca="false">IF(COUNTIFS($B$2:$B$5001,B4107,$H$2:$H$5001,H4107,$J$2:$J$5001,J4107)&gt;1,"Possible Duplicate Booking","Unique")</f>
        <v>Unique</v>
      </c>
      <c r="W4107" s="9" t="str">
        <f aca="false">IF((H4107-G4107)&lt;&gt;K4107,"Mismatch","OK")</f>
        <v>OK</v>
      </c>
      <c r="X4107" s="9" t="str">
        <f aca="false">IF(TEXT(H4107,"dddd")&lt;&gt;I4107,"Mismatch","OK")</f>
        <v>OK</v>
      </c>
      <c r="Y4107" s="9" t="str">
        <f aca="false">IF(AND(N4107="No",O4107&lt;&gt;""),"Unexpected: channel present but no reminder sent",IF(AND(N4107="Yes",O4107=""),"Missing channel for sent reminder","OK"))</f>
        <v>OK</v>
      </c>
    </row>
    <row r="4108" customFormat="false" ht="15" hidden="false" customHeight="false" outlineLevel="0" collapsed="false">
      <c r="A4108" s="7" t="s">
        <v>5797</v>
      </c>
      <c r="B4108" s="7" t="s">
        <v>3571</v>
      </c>
      <c r="C4108" s="7" t="s">
        <v>47</v>
      </c>
      <c r="D4108" s="7" t="n">
        <v>80</v>
      </c>
      <c r="E4108" s="7" t="s">
        <v>70</v>
      </c>
      <c r="F4108" s="7" t="s">
        <v>39</v>
      </c>
      <c r="G4108" s="8" t="n">
        <v>45686</v>
      </c>
      <c r="H4108" s="8" t="n">
        <v>45714</v>
      </c>
      <c r="I4108" s="7" t="s">
        <v>58</v>
      </c>
      <c r="J4108" s="7" t="s">
        <v>63</v>
      </c>
      <c r="K4108" s="7" t="n">
        <v>28</v>
      </c>
      <c r="L4108" s="7" t="n">
        <v>4</v>
      </c>
      <c r="M4108" s="7" t="n">
        <v>1</v>
      </c>
      <c r="N4108" s="7" t="s">
        <v>71</v>
      </c>
      <c r="O4108" s="7"/>
      <c r="P4108" s="7" t="n">
        <v>0.7</v>
      </c>
      <c r="Q4108" s="7" t="n">
        <v>32</v>
      </c>
      <c r="R4108" s="7" t="s">
        <v>53</v>
      </c>
      <c r="S4108" s="7"/>
      <c r="T4108" s="7"/>
      <c r="U4108" s="7" t="str">
        <f aca="false">IF(COUNTIF($A$2:$A$5001,A4108)&gt;1,"Duplicate","Unique")</f>
        <v>Unique</v>
      </c>
      <c r="V4108" s="7" t="str">
        <f aca="false">IF(COUNTIFS($B$2:$B$5001,B4108,$H$2:$H$5001,H4108,$J$2:$J$5001,J4108)&gt;1,"Possible Duplicate Booking","Unique")</f>
        <v>Unique</v>
      </c>
      <c r="W4108" s="7" t="str">
        <f aca="false">IF((H4108-G4108)&lt;&gt;K4108,"Mismatch","OK")</f>
        <v>OK</v>
      </c>
      <c r="X4108" s="7" t="str">
        <f aca="false">IF(TEXT(H4108,"dddd")&lt;&gt;I4108,"Mismatch","OK")</f>
        <v>OK</v>
      </c>
      <c r="Y4108" s="7" t="str">
        <f aca="false">IF(AND(N4108="No",O4108&lt;&gt;""),"Unexpected: channel present but no reminder sent",IF(AND(N4108="Yes",O4108=""),"Missing channel for sent reminder","OK"))</f>
        <v>OK</v>
      </c>
    </row>
    <row r="4109" customFormat="false" ht="15" hidden="false" customHeight="false" outlineLevel="0" collapsed="false">
      <c r="A4109" s="9" t="s">
        <v>5798</v>
      </c>
      <c r="B4109" s="9" t="s">
        <v>2164</v>
      </c>
      <c r="C4109" s="9" t="s">
        <v>47</v>
      </c>
      <c r="D4109" s="9" t="n">
        <v>45</v>
      </c>
      <c r="E4109" s="9" t="s">
        <v>56</v>
      </c>
      <c r="F4109" s="9" t="s">
        <v>57</v>
      </c>
      <c r="G4109" s="10" t="n">
        <v>46077</v>
      </c>
      <c r="H4109" s="10" t="n">
        <v>46118</v>
      </c>
      <c r="I4109" s="9" t="s">
        <v>66</v>
      </c>
      <c r="J4109" s="9" t="s">
        <v>51</v>
      </c>
      <c r="K4109" s="9" t="n">
        <v>41</v>
      </c>
      <c r="L4109" s="9" t="n">
        <v>3</v>
      </c>
      <c r="M4109" s="9" t="n">
        <v>1</v>
      </c>
      <c r="N4109" s="9" t="s">
        <v>42</v>
      </c>
      <c r="O4109" s="9" t="s">
        <v>52</v>
      </c>
      <c r="P4109" s="9" t="n">
        <v>8.7</v>
      </c>
      <c r="Q4109" s="9" t="n">
        <v>19</v>
      </c>
      <c r="R4109" s="9" t="s">
        <v>44</v>
      </c>
      <c r="S4109" s="9"/>
      <c r="T4109" s="9"/>
      <c r="U4109" s="9" t="str">
        <f aca="false">IF(COUNTIF($A$2:$A$5001,A4109)&gt;1,"Duplicate","Unique")</f>
        <v>Unique</v>
      </c>
      <c r="V4109" s="9" t="str">
        <f aca="false">IF(COUNTIFS($B$2:$B$5001,B4109,$H$2:$H$5001,H4109,$J$2:$J$5001,J4109)&gt;1,"Possible Duplicate Booking","Unique")</f>
        <v>Unique</v>
      </c>
      <c r="W4109" s="9" t="str">
        <f aca="false">IF((H4109-G4109)&lt;&gt;K4109,"Mismatch","OK")</f>
        <v>OK</v>
      </c>
      <c r="X4109" s="9" t="str">
        <f aca="false">IF(TEXT(H4109,"dddd")&lt;&gt;I4109,"Mismatch","OK")</f>
        <v>OK</v>
      </c>
      <c r="Y4109" s="9" t="str">
        <f aca="false">IF(AND(N4109="No",O4109&lt;&gt;""),"Unexpected: channel present but no reminder sent",IF(AND(N4109="Yes",O4109=""),"Missing channel for sent reminder","OK"))</f>
        <v>OK</v>
      </c>
    </row>
    <row r="4110" customFormat="false" ht="15" hidden="false" customHeight="false" outlineLevel="0" collapsed="false">
      <c r="A4110" s="7" t="s">
        <v>5799</v>
      </c>
      <c r="B4110" s="7" t="s">
        <v>627</v>
      </c>
      <c r="C4110" s="7" t="s">
        <v>37</v>
      </c>
      <c r="D4110" s="7" t="n">
        <v>20</v>
      </c>
      <c r="E4110" s="7" t="s">
        <v>82</v>
      </c>
      <c r="F4110" s="7" t="s">
        <v>57</v>
      </c>
      <c r="G4110" s="8" t="n">
        <v>45916</v>
      </c>
      <c r="H4110" s="8" t="n">
        <v>45937</v>
      </c>
      <c r="I4110" s="7" t="s">
        <v>40</v>
      </c>
      <c r="J4110" s="7" t="s">
        <v>51</v>
      </c>
      <c r="K4110" s="7" t="n">
        <v>21</v>
      </c>
      <c r="L4110" s="7" t="n">
        <v>4</v>
      </c>
      <c r="M4110" s="7" t="n">
        <v>1</v>
      </c>
      <c r="N4110" s="7" t="s">
        <v>42</v>
      </c>
      <c r="O4110" s="7" t="s">
        <v>52</v>
      </c>
      <c r="P4110" s="7" t="n">
        <v>10.4</v>
      </c>
      <c r="Q4110" s="7" t="n">
        <v>23</v>
      </c>
      <c r="R4110" s="7" t="s">
        <v>53</v>
      </c>
      <c r="S4110" s="7"/>
      <c r="T4110" s="7"/>
      <c r="U4110" s="7" t="str">
        <f aca="false">IF(COUNTIF($A$2:$A$5001,A4110)&gt;1,"Duplicate","Unique")</f>
        <v>Unique</v>
      </c>
      <c r="V4110" s="7" t="str">
        <f aca="false">IF(COUNTIFS($B$2:$B$5001,B4110,$H$2:$H$5001,H4110,$J$2:$J$5001,J4110)&gt;1,"Possible Duplicate Booking","Unique")</f>
        <v>Unique</v>
      </c>
      <c r="W4110" s="7" t="str">
        <f aca="false">IF((H4110-G4110)&lt;&gt;K4110,"Mismatch","OK")</f>
        <v>OK</v>
      </c>
      <c r="X4110" s="7" t="str">
        <f aca="false">IF(TEXT(H4110,"dddd")&lt;&gt;I4110,"Mismatch","OK")</f>
        <v>OK</v>
      </c>
      <c r="Y4110" s="7" t="str">
        <f aca="false">IF(AND(N4110="No",O4110&lt;&gt;""),"Unexpected: channel present but no reminder sent",IF(AND(N4110="Yes",O4110=""),"Missing channel for sent reminder","OK"))</f>
        <v>OK</v>
      </c>
    </row>
    <row r="4111" customFormat="false" ht="15" hidden="false" customHeight="false" outlineLevel="0" collapsed="false">
      <c r="A4111" s="9" t="s">
        <v>5800</v>
      </c>
      <c r="B4111" s="9" t="s">
        <v>3519</v>
      </c>
      <c r="C4111" s="9" t="s">
        <v>37</v>
      </c>
      <c r="D4111" s="9" t="n">
        <v>25</v>
      </c>
      <c r="E4111" s="9" t="s">
        <v>48</v>
      </c>
      <c r="F4111" s="9" t="s">
        <v>57</v>
      </c>
      <c r="G4111" s="10" t="n">
        <v>45819</v>
      </c>
      <c r="H4111" s="10" t="n">
        <v>45834</v>
      </c>
      <c r="I4111" s="9" t="s">
        <v>62</v>
      </c>
      <c r="J4111" s="9" t="s">
        <v>41</v>
      </c>
      <c r="K4111" s="9" t="n">
        <v>15</v>
      </c>
      <c r="L4111" s="9" t="n">
        <v>2</v>
      </c>
      <c r="M4111" s="9" t="n">
        <v>0</v>
      </c>
      <c r="N4111" s="9" t="s">
        <v>71</v>
      </c>
      <c r="O4111" s="9"/>
      <c r="P4111" s="9" t="n">
        <v>4.4</v>
      </c>
      <c r="Q4111" s="9" t="n">
        <v>25</v>
      </c>
      <c r="R4111" s="9" t="s">
        <v>44</v>
      </c>
      <c r="S4111" s="9"/>
      <c r="T4111" s="9"/>
      <c r="U4111" s="9" t="str">
        <f aca="false">IF(COUNTIF($A$2:$A$5001,A4111)&gt;1,"Duplicate","Unique")</f>
        <v>Unique</v>
      </c>
      <c r="V4111" s="9" t="str">
        <f aca="false">IF(COUNTIFS($B$2:$B$5001,B4111,$H$2:$H$5001,H4111,$J$2:$J$5001,J4111)&gt;1,"Possible Duplicate Booking","Unique")</f>
        <v>Unique</v>
      </c>
      <c r="W4111" s="9" t="str">
        <f aca="false">IF((H4111-G4111)&lt;&gt;K4111,"Mismatch","OK")</f>
        <v>OK</v>
      </c>
      <c r="X4111" s="9" t="str">
        <f aca="false">IF(TEXT(H4111,"dddd")&lt;&gt;I4111,"Mismatch","OK")</f>
        <v>OK</v>
      </c>
      <c r="Y4111" s="9" t="str">
        <f aca="false">IF(AND(N4111="No",O4111&lt;&gt;""),"Unexpected: channel present but no reminder sent",IF(AND(N4111="Yes",O4111=""),"Missing channel for sent reminder","OK"))</f>
        <v>OK</v>
      </c>
    </row>
    <row r="4112" customFormat="false" ht="15" hidden="false" customHeight="false" outlineLevel="0" collapsed="false">
      <c r="A4112" s="7" t="s">
        <v>5801</v>
      </c>
      <c r="B4112" s="7" t="s">
        <v>775</v>
      </c>
      <c r="C4112" s="7" t="s">
        <v>37</v>
      </c>
      <c r="D4112" s="7" t="n">
        <v>22</v>
      </c>
      <c r="E4112" s="7" t="s">
        <v>82</v>
      </c>
      <c r="F4112" s="7" t="s">
        <v>57</v>
      </c>
      <c r="G4112" s="8" t="n">
        <v>45650</v>
      </c>
      <c r="H4112" s="8" t="n">
        <v>45659</v>
      </c>
      <c r="I4112" s="7" t="s">
        <v>62</v>
      </c>
      <c r="J4112" s="7" t="s">
        <v>51</v>
      </c>
      <c r="K4112" s="7" t="n">
        <v>9</v>
      </c>
      <c r="L4112" s="7" t="n">
        <v>2</v>
      </c>
      <c r="M4112" s="7" t="n">
        <v>0</v>
      </c>
      <c r="N4112" s="7" t="s">
        <v>71</v>
      </c>
      <c r="O4112" s="7"/>
      <c r="P4112" s="7" t="n">
        <v>17.6</v>
      </c>
      <c r="Q4112" s="7" t="n">
        <v>34</v>
      </c>
      <c r="R4112" s="7" t="s">
        <v>53</v>
      </c>
      <c r="S4112" s="7"/>
      <c r="T4112" s="7"/>
      <c r="U4112" s="7" t="str">
        <f aca="false">IF(COUNTIF($A$2:$A$5001,A4112)&gt;1,"Duplicate","Unique")</f>
        <v>Unique</v>
      </c>
      <c r="V4112" s="7" t="str">
        <f aca="false">IF(COUNTIFS($B$2:$B$5001,B4112,$H$2:$H$5001,H4112,$J$2:$J$5001,J4112)&gt;1,"Possible Duplicate Booking","Unique")</f>
        <v>Unique</v>
      </c>
      <c r="W4112" s="7" t="str">
        <f aca="false">IF((H4112-G4112)&lt;&gt;K4112,"Mismatch","OK")</f>
        <v>OK</v>
      </c>
      <c r="X4112" s="7" t="str">
        <f aca="false">IF(TEXT(H4112,"dddd")&lt;&gt;I4112,"Mismatch","OK")</f>
        <v>OK</v>
      </c>
      <c r="Y4112" s="7" t="str">
        <f aca="false">IF(AND(N4112="No",O4112&lt;&gt;""),"Unexpected: channel present but no reminder sent",IF(AND(N4112="Yes",O4112=""),"Missing channel for sent reminder","OK"))</f>
        <v>OK</v>
      </c>
    </row>
    <row r="4113" customFormat="false" ht="15" hidden="false" customHeight="false" outlineLevel="0" collapsed="false">
      <c r="A4113" s="9" t="s">
        <v>5802</v>
      </c>
      <c r="B4113" s="9" t="s">
        <v>5597</v>
      </c>
      <c r="C4113" s="9" t="s">
        <v>37</v>
      </c>
      <c r="D4113" s="9" t="n">
        <v>42</v>
      </c>
      <c r="E4113" s="9" t="s">
        <v>38</v>
      </c>
      <c r="F4113" s="9" t="s">
        <v>39</v>
      </c>
      <c r="G4113" s="10" t="n">
        <v>45874</v>
      </c>
      <c r="H4113" s="10" t="n">
        <v>45919</v>
      </c>
      <c r="I4113" s="9" t="s">
        <v>50</v>
      </c>
      <c r="J4113" s="9" t="s">
        <v>51</v>
      </c>
      <c r="K4113" s="9" t="n">
        <v>45</v>
      </c>
      <c r="L4113" s="9" t="n">
        <v>2</v>
      </c>
      <c r="M4113" s="9" t="n">
        <v>0</v>
      </c>
      <c r="N4113" s="9" t="s">
        <v>71</v>
      </c>
      <c r="O4113" s="9"/>
      <c r="P4113" s="9" t="n">
        <v>3.2</v>
      </c>
      <c r="Q4113" s="9" t="n">
        <v>26</v>
      </c>
      <c r="R4113" s="9" t="s">
        <v>44</v>
      </c>
      <c r="S4113" s="9"/>
      <c r="T4113" s="9"/>
      <c r="U4113" s="9" t="str">
        <f aca="false">IF(COUNTIF($A$2:$A$5001,A4113)&gt;1,"Duplicate","Unique")</f>
        <v>Unique</v>
      </c>
      <c r="V4113" s="9" t="str">
        <f aca="false">IF(COUNTIFS($B$2:$B$5001,B4113,$H$2:$H$5001,H4113,$J$2:$J$5001,J4113)&gt;1,"Possible Duplicate Booking","Unique")</f>
        <v>Unique</v>
      </c>
      <c r="W4113" s="9" t="str">
        <f aca="false">IF((H4113-G4113)&lt;&gt;K4113,"Mismatch","OK")</f>
        <v>OK</v>
      </c>
      <c r="X4113" s="9" t="str">
        <f aca="false">IF(TEXT(H4113,"dddd")&lt;&gt;I4113,"Mismatch","OK")</f>
        <v>OK</v>
      </c>
      <c r="Y4113" s="9" t="str">
        <f aca="false">IF(AND(N4113="No",O4113&lt;&gt;""),"Unexpected: channel present but no reminder sent",IF(AND(N4113="Yes",O4113=""),"Missing channel for sent reminder","OK"))</f>
        <v>OK</v>
      </c>
    </row>
    <row r="4114" customFormat="false" ht="15" hidden="false" customHeight="false" outlineLevel="0" collapsed="false">
      <c r="A4114" s="7" t="s">
        <v>5803</v>
      </c>
      <c r="B4114" s="7" t="s">
        <v>1109</v>
      </c>
      <c r="C4114" s="7" t="s">
        <v>47</v>
      </c>
      <c r="D4114" s="7" t="n">
        <v>37</v>
      </c>
      <c r="E4114" s="7" t="s">
        <v>38</v>
      </c>
      <c r="F4114" s="7" t="s">
        <v>57</v>
      </c>
      <c r="G4114" s="8" t="n">
        <v>45688</v>
      </c>
      <c r="H4114" s="8" t="n">
        <v>45740</v>
      </c>
      <c r="I4114" s="7" t="s">
        <v>66</v>
      </c>
      <c r="J4114" s="7" t="s">
        <v>51</v>
      </c>
      <c r="K4114" s="7" t="n">
        <v>52</v>
      </c>
      <c r="L4114" s="7" t="n">
        <v>3</v>
      </c>
      <c r="M4114" s="7" t="n">
        <v>0</v>
      </c>
      <c r="N4114" s="7" t="s">
        <v>42</v>
      </c>
      <c r="O4114" s="7" t="s">
        <v>52</v>
      </c>
      <c r="P4114" s="7" t="n">
        <v>10.5</v>
      </c>
      <c r="Q4114" s="7" t="n">
        <v>8</v>
      </c>
      <c r="R4114" s="7" t="s">
        <v>44</v>
      </c>
      <c r="S4114" s="7"/>
      <c r="T4114" s="7"/>
      <c r="U4114" s="7" t="str">
        <f aca="false">IF(COUNTIF($A$2:$A$5001,A4114)&gt;1,"Duplicate","Unique")</f>
        <v>Unique</v>
      </c>
      <c r="V4114" s="7" t="str">
        <f aca="false">IF(COUNTIFS($B$2:$B$5001,B4114,$H$2:$H$5001,H4114,$J$2:$J$5001,J4114)&gt;1,"Possible Duplicate Booking","Unique")</f>
        <v>Unique</v>
      </c>
      <c r="W4114" s="7" t="str">
        <f aca="false">IF((H4114-G4114)&lt;&gt;K4114,"Mismatch","OK")</f>
        <v>OK</v>
      </c>
      <c r="X4114" s="7" t="str">
        <f aca="false">IF(TEXT(H4114,"dddd")&lt;&gt;I4114,"Mismatch","OK")</f>
        <v>OK</v>
      </c>
      <c r="Y4114" s="7" t="str">
        <f aca="false">IF(AND(N4114="No",O4114&lt;&gt;""),"Unexpected: channel present but no reminder sent",IF(AND(N4114="Yes",O4114=""),"Missing channel for sent reminder","OK"))</f>
        <v>OK</v>
      </c>
    </row>
    <row r="4115" customFormat="false" ht="15" hidden="false" customHeight="false" outlineLevel="0" collapsed="false">
      <c r="A4115" s="9" t="s">
        <v>5804</v>
      </c>
      <c r="B4115" s="9" t="s">
        <v>3311</v>
      </c>
      <c r="C4115" s="9" t="s">
        <v>37</v>
      </c>
      <c r="D4115" s="9" t="n">
        <v>71</v>
      </c>
      <c r="E4115" s="9" t="s">
        <v>70</v>
      </c>
      <c r="F4115" s="9" t="s">
        <v>49</v>
      </c>
      <c r="G4115" s="10" t="n">
        <v>46146</v>
      </c>
      <c r="H4115" s="10" t="n">
        <v>46192</v>
      </c>
      <c r="I4115" s="9" t="s">
        <v>50</v>
      </c>
      <c r="J4115" s="9" t="s">
        <v>41</v>
      </c>
      <c r="K4115" s="9" t="n">
        <v>46</v>
      </c>
      <c r="L4115" s="9" t="n">
        <v>5</v>
      </c>
      <c r="M4115" s="9" t="n">
        <v>0</v>
      </c>
      <c r="N4115" s="9" t="s">
        <v>42</v>
      </c>
      <c r="O4115" s="9" t="s">
        <v>43</v>
      </c>
      <c r="P4115" s="9"/>
      <c r="Q4115" s="9" t="n">
        <v>10</v>
      </c>
      <c r="R4115" s="9" t="s">
        <v>44</v>
      </c>
      <c r="S4115" s="9"/>
      <c r="T4115" s="9"/>
      <c r="U4115" s="9" t="str">
        <f aca="false">IF(COUNTIF($A$2:$A$5001,A4115)&gt;1,"Duplicate","Unique")</f>
        <v>Unique</v>
      </c>
      <c r="V4115" s="9" t="str">
        <f aca="false">IF(COUNTIFS($B$2:$B$5001,B4115,$H$2:$H$5001,H4115,$J$2:$J$5001,J4115)&gt;1,"Possible Duplicate Booking","Unique")</f>
        <v>Unique</v>
      </c>
      <c r="W4115" s="9" t="str">
        <f aca="false">IF((H4115-G4115)&lt;&gt;K4115,"Mismatch","OK")</f>
        <v>OK</v>
      </c>
      <c r="X4115" s="9" t="str">
        <f aca="false">IF(TEXT(H4115,"dddd")&lt;&gt;I4115,"Mismatch","OK")</f>
        <v>OK</v>
      </c>
      <c r="Y4115" s="9" t="str">
        <f aca="false">IF(AND(N4115="No",O4115&lt;&gt;""),"Unexpected: channel present but no reminder sent",IF(AND(N4115="Yes",O4115=""),"Missing channel for sent reminder","OK"))</f>
        <v>OK</v>
      </c>
    </row>
    <row r="4116" customFormat="false" ht="15" hidden="false" customHeight="false" outlineLevel="0" collapsed="false">
      <c r="A4116" s="7" t="s">
        <v>5805</v>
      </c>
      <c r="B4116" s="7" t="s">
        <v>4750</v>
      </c>
      <c r="C4116" s="7" t="s">
        <v>37</v>
      </c>
      <c r="D4116" s="7" t="n">
        <v>74</v>
      </c>
      <c r="E4116" s="7" t="s">
        <v>70</v>
      </c>
      <c r="F4116" s="7" t="s">
        <v>49</v>
      </c>
      <c r="G4116" s="8" t="n">
        <v>45785</v>
      </c>
      <c r="H4116" s="8" t="n">
        <v>45816</v>
      </c>
      <c r="I4116" s="7" t="s">
        <v>75</v>
      </c>
      <c r="J4116" s="7" t="s">
        <v>51</v>
      </c>
      <c r="K4116" s="7" t="n">
        <v>31</v>
      </c>
      <c r="L4116" s="7" t="n">
        <v>2</v>
      </c>
      <c r="M4116" s="7" t="n">
        <v>0</v>
      </c>
      <c r="N4116" s="7" t="s">
        <v>42</v>
      </c>
      <c r="O4116" s="7" t="s">
        <v>52</v>
      </c>
      <c r="P4116" s="7" t="n">
        <v>12.5</v>
      </c>
      <c r="Q4116" s="7" t="n">
        <v>7</v>
      </c>
      <c r="R4116" s="7" t="s">
        <v>44</v>
      </c>
      <c r="S4116" s="7"/>
      <c r="T4116" s="7"/>
      <c r="U4116" s="7" t="str">
        <f aca="false">IF(COUNTIF($A$2:$A$5001,A4116)&gt;1,"Duplicate","Unique")</f>
        <v>Unique</v>
      </c>
      <c r="V4116" s="7" t="str">
        <f aca="false">IF(COUNTIFS($B$2:$B$5001,B4116,$H$2:$H$5001,H4116,$J$2:$J$5001,J4116)&gt;1,"Possible Duplicate Booking","Unique")</f>
        <v>Unique</v>
      </c>
      <c r="W4116" s="7" t="str">
        <f aca="false">IF((H4116-G4116)&lt;&gt;K4116,"Mismatch","OK")</f>
        <v>OK</v>
      </c>
      <c r="X4116" s="7" t="str">
        <f aca="false">IF(TEXT(H4116,"dddd")&lt;&gt;I4116,"Mismatch","OK")</f>
        <v>OK</v>
      </c>
      <c r="Y4116" s="7" t="str">
        <f aca="false">IF(AND(N4116="No",O4116&lt;&gt;""),"Unexpected: channel present but no reminder sent",IF(AND(N4116="Yes",O4116=""),"Missing channel for sent reminder","OK"))</f>
        <v>OK</v>
      </c>
    </row>
    <row r="4117" customFormat="false" ht="15" hidden="false" customHeight="false" outlineLevel="0" collapsed="false">
      <c r="A4117" s="9" t="s">
        <v>5806</v>
      </c>
      <c r="B4117" s="9" t="s">
        <v>4795</v>
      </c>
      <c r="C4117" s="9" t="s">
        <v>37</v>
      </c>
      <c r="D4117" s="9" t="n">
        <v>26</v>
      </c>
      <c r="E4117" s="9" t="s">
        <v>48</v>
      </c>
      <c r="F4117" s="9" t="s">
        <v>57</v>
      </c>
      <c r="G4117" s="10" t="n">
        <v>45873</v>
      </c>
      <c r="H4117" s="10" t="n">
        <v>45917</v>
      </c>
      <c r="I4117" s="9" t="s">
        <v>58</v>
      </c>
      <c r="J4117" s="9" t="s">
        <v>41</v>
      </c>
      <c r="K4117" s="9" t="n">
        <v>44</v>
      </c>
      <c r="L4117" s="9" t="n">
        <v>3</v>
      </c>
      <c r="M4117" s="9" t="n">
        <v>0</v>
      </c>
      <c r="N4117" s="9" t="s">
        <v>42</v>
      </c>
      <c r="O4117" s="9" t="s">
        <v>52</v>
      </c>
      <c r="P4117" s="9" t="n">
        <v>8.5</v>
      </c>
      <c r="Q4117" s="9" t="n">
        <v>18</v>
      </c>
      <c r="R4117" s="9" t="s">
        <v>44</v>
      </c>
      <c r="S4117" s="9"/>
      <c r="T4117" s="9"/>
      <c r="U4117" s="9" t="str">
        <f aca="false">IF(COUNTIF($A$2:$A$5001,A4117)&gt;1,"Duplicate","Unique")</f>
        <v>Unique</v>
      </c>
      <c r="V4117" s="9" t="str">
        <f aca="false">IF(COUNTIFS($B$2:$B$5001,B4117,$H$2:$H$5001,H4117,$J$2:$J$5001,J4117)&gt;1,"Possible Duplicate Booking","Unique")</f>
        <v>Unique</v>
      </c>
      <c r="W4117" s="9" t="str">
        <f aca="false">IF((H4117-G4117)&lt;&gt;K4117,"Mismatch","OK")</f>
        <v>OK</v>
      </c>
      <c r="X4117" s="9" t="str">
        <f aca="false">IF(TEXT(H4117,"dddd")&lt;&gt;I4117,"Mismatch","OK")</f>
        <v>OK</v>
      </c>
      <c r="Y4117" s="9" t="str">
        <f aca="false">IF(AND(N4117="No",O4117&lt;&gt;""),"Unexpected: channel present but no reminder sent",IF(AND(N4117="Yes",O4117=""),"Missing channel for sent reminder","OK"))</f>
        <v>OK</v>
      </c>
    </row>
    <row r="4118" customFormat="false" ht="15" hidden="false" customHeight="false" outlineLevel="0" collapsed="false">
      <c r="A4118" s="7" t="s">
        <v>5807</v>
      </c>
      <c r="B4118" s="7" t="s">
        <v>4616</v>
      </c>
      <c r="C4118" s="7" t="s">
        <v>37</v>
      </c>
      <c r="D4118" s="7" t="n">
        <v>77</v>
      </c>
      <c r="E4118" s="7" t="s">
        <v>70</v>
      </c>
      <c r="F4118" s="7" t="s">
        <v>57</v>
      </c>
      <c r="G4118" s="8" t="n">
        <v>45644</v>
      </c>
      <c r="H4118" s="8" t="n">
        <v>45668</v>
      </c>
      <c r="I4118" s="7" t="s">
        <v>102</v>
      </c>
      <c r="J4118" s="7" t="s">
        <v>41</v>
      </c>
      <c r="K4118" s="7" t="n">
        <v>24</v>
      </c>
      <c r="L4118" s="7" t="n">
        <v>5</v>
      </c>
      <c r="M4118" s="7" t="n">
        <v>0</v>
      </c>
      <c r="N4118" s="7" t="s">
        <v>42</v>
      </c>
      <c r="O4118" s="7" t="s">
        <v>52</v>
      </c>
      <c r="P4118" s="7" t="n">
        <v>16.5</v>
      </c>
      <c r="Q4118" s="7" t="n">
        <v>27</v>
      </c>
      <c r="R4118" s="7" t="s">
        <v>53</v>
      </c>
      <c r="S4118" s="7"/>
      <c r="T4118" s="7"/>
      <c r="U4118" s="7" t="str">
        <f aca="false">IF(COUNTIF($A$2:$A$5001,A4118)&gt;1,"Duplicate","Unique")</f>
        <v>Unique</v>
      </c>
      <c r="V4118" s="7" t="str">
        <f aca="false">IF(COUNTIFS($B$2:$B$5001,B4118,$H$2:$H$5001,H4118,$J$2:$J$5001,J4118)&gt;1,"Possible Duplicate Booking","Unique")</f>
        <v>Unique</v>
      </c>
      <c r="W4118" s="7" t="str">
        <f aca="false">IF((H4118-G4118)&lt;&gt;K4118,"Mismatch","OK")</f>
        <v>OK</v>
      </c>
      <c r="X4118" s="7" t="str">
        <f aca="false">IF(TEXT(H4118,"dddd")&lt;&gt;I4118,"Mismatch","OK")</f>
        <v>OK</v>
      </c>
      <c r="Y4118" s="7" t="str">
        <f aca="false">IF(AND(N4118="No",O4118&lt;&gt;""),"Unexpected: channel present but no reminder sent",IF(AND(N4118="Yes",O4118=""),"Missing channel for sent reminder","OK"))</f>
        <v>OK</v>
      </c>
    </row>
    <row r="4119" customFormat="false" ht="15" hidden="false" customHeight="false" outlineLevel="0" collapsed="false">
      <c r="A4119" s="9" t="s">
        <v>5808</v>
      </c>
      <c r="B4119" s="9" t="s">
        <v>4246</v>
      </c>
      <c r="C4119" s="9" t="s">
        <v>37</v>
      </c>
      <c r="D4119" s="9" t="n">
        <v>54</v>
      </c>
      <c r="E4119" s="9" t="s">
        <v>56</v>
      </c>
      <c r="F4119" s="9" t="s">
        <v>57</v>
      </c>
      <c r="G4119" s="10" t="n">
        <v>45728</v>
      </c>
      <c r="H4119" s="10" t="n">
        <v>45729</v>
      </c>
      <c r="I4119" s="9" t="s">
        <v>62</v>
      </c>
      <c r="J4119" s="9" t="s">
        <v>63</v>
      </c>
      <c r="K4119" s="9" t="n">
        <v>1</v>
      </c>
      <c r="L4119" s="9" t="n">
        <v>1</v>
      </c>
      <c r="M4119" s="9" t="n">
        <v>0</v>
      </c>
      <c r="N4119" s="9" t="s">
        <v>71</v>
      </c>
      <c r="O4119" s="9"/>
      <c r="P4119" s="9" t="n">
        <v>3.9</v>
      </c>
      <c r="Q4119" s="9" t="n">
        <v>14</v>
      </c>
      <c r="R4119" s="9" t="s">
        <v>53</v>
      </c>
      <c r="S4119" s="9"/>
      <c r="T4119" s="9"/>
      <c r="U4119" s="9" t="str">
        <f aca="false">IF(COUNTIF($A$2:$A$5001,A4119)&gt;1,"Duplicate","Unique")</f>
        <v>Unique</v>
      </c>
      <c r="V4119" s="9" t="str">
        <f aca="false">IF(COUNTIFS($B$2:$B$5001,B4119,$H$2:$H$5001,H4119,$J$2:$J$5001,J4119)&gt;1,"Possible Duplicate Booking","Unique")</f>
        <v>Unique</v>
      </c>
      <c r="W4119" s="9" t="str">
        <f aca="false">IF((H4119-G4119)&lt;&gt;K4119,"Mismatch","OK")</f>
        <v>OK</v>
      </c>
      <c r="X4119" s="9" t="str">
        <f aca="false">IF(TEXT(H4119,"dddd")&lt;&gt;I4119,"Mismatch","OK")</f>
        <v>OK</v>
      </c>
      <c r="Y4119" s="9" t="str">
        <f aca="false">IF(AND(N4119="No",O4119&lt;&gt;""),"Unexpected: channel present but no reminder sent",IF(AND(N4119="Yes",O4119=""),"Missing channel for sent reminder","OK"))</f>
        <v>OK</v>
      </c>
    </row>
    <row r="4120" customFormat="false" ht="15" hidden="false" customHeight="false" outlineLevel="0" collapsed="false">
      <c r="A4120" s="7" t="s">
        <v>5809</v>
      </c>
      <c r="B4120" s="7" t="s">
        <v>3266</v>
      </c>
      <c r="C4120" s="7" t="s">
        <v>47</v>
      </c>
      <c r="D4120" s="7" t="n">
        <v>37</v>
      </c>
      <c r="E4120" s="7" t="s">
        <v>38</v>
      </c>
      <c r="F4120" s="7" t="s">
        <v>57</v>
      </c>
      <c r="G4120" s="8" t="n">
        <v>45749</v>
      </c>
      <c r="H4120" s="8" t="n">
        <v>45771</v>
      </c>
      <c r="I4120" s="7" t="s">
        <v>62</v>
      </c>
      <c r="J4120" s="7" t="s">
        <v>41</v>
      </c>
      <c r="K4120" s="7" t="n">
        <v>22</v>
      </c>
      <c r="L4120" s="7" t="n">
        <v>3</v>
      </c>
      <c r="M4120" s="7" t="n">
        <v>1</v>
      </c>
      <c r="N4120" s="7" t="s">
        <v>71</v>
      </c>
      <c r="O4120" s="7"/>
      <c r="P4120" s="7" t="n">
        <v>6.2</v>
      </c>
      <c r="Q4120" s="7" t="n">
        <v>16</v>
      </c>
      <c r="R4120" s="7" t="s">
        <v>44</v>
      </c>
      <c r="S4120" s="7"/>
      <c r="T4120" s="7"/>
      <c r="U4120" s="7" t="str">
        <f aca="false">IF(COUNTIF($A$2:$A$5001,A4120)&gt;1,"Duplicate","Unique")</f>
        <v>Unique</v>
      </c>
      <c r="V4120" s="7" t="str">
        <f aca="false">IF(COUNTIFS($B$2:$B$5001,B4120,$H$2:$H$5001,H4120,$J$2:$J$5001,J4120)&gt;1,"Possible Duplicate Booking","Unique")</f>
        <v>Unique</v>
      </c>
      <c r="W4120" s="7" t="str">
        <f aca="false">IF((H4120-G4120)&lt;&gt;K4120,"Mismatch","OK")</f>
        <v>OK</v>
      </c>
      <c r="X4120" s="7" t="str">
        <f aca="false">IF(TEXT(H4120,"dddd")&lt;&gt;I4120,"Mismatch","OK")</f>
        <v>OK</v>
      </c>
      <c r="Y4120" s="7" t="str">
        <f aca="false">IF(AND(N4120="No",O4120&lt;&gt;""),"Unexpected: channel present but no reminder sent",IF(AND(N4120="Yes",O4120=""),"Missing channel for sent reminder","OK"))</f>
        <v>OK</v>
      </c>
    </row>
    <row r="4121" customFormat="false" ht="15" hidden="false" customHeight="false" outlineLevel="0" collapsed="false">
      <c r="A4121" s="9" t="s">
        <v>5810</v>
      </c>
      <c r="B4121" s="9" t="s">
        <v>544</v>
      </c>
      <c r="C4121" s="9" t="s">
        <v>37</v>
      </c>
      <c r="D4121" s="9" t="n">
        <v>43</v>
      </c>
      <c r="E4121" s="9" t="s">
        <v>38</v>
      </c>
      <c r="F4121" s="9" t="s">
        <v>57</v>
      </c>
      <c r="G4121" s="10" t="n">
        <v>45644</v>
      </c>
      <c r="H4121" s="10" t="n">
        <v>45686</v>
      </c>
      <c r="I4121" s="9" t="s">
        <v>58</v>
      </c>
      <c r="J4121" s="9" t="s">
        <v>41</v>
      </c>
      <c r="K4121" s="9" t="n">
        <v>42</v>
      </c>
      <c r="L4121" s="9" t="n">
        <v>4</v>
      </c>
      <c r="M4121" s="9" t="n">
        <v>1</v>
      </c>
      <c r="N4121" s="9" t="s">
        <v>42</v>
      </c>
      <c r="O4121" s="9" t="s">
        <v>43</v>
      </c>
      <c r="P4121" s="9" t="n">
        <v>12.6</v>
      </c>
      <c r="Q4121" s="9" t="n">
        <v>15</v>
      </c>
      <c r="R4121" s="9" t="s">
        <v>44</v>
      </c>
      <c r="S4121" s="9"/>
      <c r="T4121" s="9"/>
      <c r="U4121" s="9" t="str">
        <f aca="false">IF(COUNTIF($A$2:$A$5001,A4121)&gt;1,"Duplicate","Unique")</f>
        <v>Unique</v>
      </c>
      <c r="V4121" s="9" t="str">
        <f aca="false">IF(COUNTIFS($B$2:$B$5001,B4121,$H$2:$H$5001,H4121,$J$2:$J$5001,J4121)&gt;1,"Possible Duplicate Booking","Unique")</f>
        <v>Unique</v>
      </c>
      <c r="W4121" s="9" t="str">
        <f aca="false">IF((H4121-G4121)&lt;&gt;K4121,"Mismatch","OK")</f>
        <v>OK</v>
      </c>
      <c r="X4121" s="9" t="str">
        <f aca="false">IF(TEXT(H4121,"dddd")&lt;&gt;I4121,"Mismatch","OK")</f>
        <v>OK</v>
      </c>
      <c r="Y4121" s="9" t="str">
        <f aca="false">IF(AND(N4121="No",O4121&lt;&gt;""),"Unexpected: channel present but no reminder sent",IF(AND(N4121="Yes",O4121=""),"Missing channel for sent reminder","OK"))</f>
        <v>OK</v>
      </c>
    </row>
    <row r="4122" customFormat="false" ht="15" hidden="false" customHeight="false" outlineLevel="0" collapsed="false">
      <c r="A4122" s="7" t="s">
        <v>5811</v>
      </c>
      <c r="B4122" s="7" t="s">
        <v>4506</v>
      </c>
      <c r="C4122" s="7" t="s">
        <v>47</v>
      </c>
      <c r="D4122" s="7" t="n">
        <v>45</v>
      </c>
      <c r="E4122" s="7" t="s">
        <v>56</v>
      </c>
      <c r="F4122" s="7" t="s">
        <v>49</v>
      </c>
      <c r="G4122" s="8" t="n">
        <v>46015</v>
      </c>
      <c r="H4122" s="8" t="n">
        <v>46054</v>
      </c>
      <c r="I4122" s="7" t="s">
        <v>75</v>
      </c>
      <c r="J4122" s="7" t="s">
        <v>41</v>
      </c>
      <c r="K4122" s="7" t="n">
        <v>39</v>
      </c>
      <c r="L4122" s="7" t="n">
        <v>7</v>
      </c>
      <c r="M4122" s="7" t="n">
        <v>2</v>
      </c>
      <c r="N4122" s="7" t="s">
        <v>71</v>
      </c>
      <c r="O4122" s="7"/>
      <c r="P4122" s="7" t="n">
        <v>9.4</v>
      </c>
      <c r="Q4122" s="7" t="n">
        <v>17</v>
      </c>
      <c r="R4122" s="7" t="s">
        <v>44</v>
      </c>
      <c r="S4122" s="7"/>
      <c r="T4122" s="7"/>
      <c r="U4122" s="7" t="str">
        <f aca="false">IF(COUNTIF($A$2:$A$5001,A4122)&gt;1,"Duplicate","Unique")</f>
        <v>Unique</v>
      </c>
      <c r="V4122" s="7" t="str">
        <f aca="false">IF(COUNTIFS($B$2:$B$5001,B4122,$H$2:$H$5001,H4122,$J$2:$J$5001,J4122)&gt;1,"Possible Duplicate Booking","Unique")</f>
        <v>Unique</v>
      </c>
      <c r="W4122" s="7" t="str">
        <f aca="false">IF((H4122-G4122)&lt;&gt;K4122,"Mismatch","OK")</f>
        <v>OK</v>
      </c>
      <c r="X4122" s="7" t="str">
        <f aca="false">IF(TEXT(H4122,"dddd")&lt;&gt;I4122,"Mismatch","OK")</f>
        <v>OK</v>
      </c>
      <c r="Y4122" s="7" t="str">
        <f aca="false">IF(AND(N4122="No",O4122&lt;&gt;""),"Unexpected: channel present but no reminder sent",IF(AND(N4122="Yes",O4122=""),"Missing channel for sent reminder","OK"))</f>
        <v>OK</v>
      </c>
    </row>
    <row r="4123" customFormat="false" ht="15" hidden="false" customHeight="false" outlineLevel="0" collapsed="false">
      <c r="A4123" s="9" t="s">
        <v>5812</v>
      </c>
      <c r="B4123" s="9" t="s">
        <v>3577</v>
      </c>
      <c r="C4123" s="9" t="s">
        <v>37</v>
      </c>
      <c r="D4123" s="9" t="n">
        <v>28</v>
      </c>
      <c r="E4123" s="9" t="s">
        <v>48</v>
      </c>
      <c r="F4123" s="9" t="s">
        <v>57</v>
      </c>
      <c r="G4123" s="10" t="n">
        <v>46114</v>
      </c>
      <c r="H4123" s="10" t="n">
        <v>46174</v>
      </c>
      <c r="I4123" s="9" t="s">
        <v>66</v>
      </c>
      <c r="J4123" s="9" t="s">
        <v>41</v>
      </c>
      <c r="K4123" s="9" t="n">
        <v>60</v>
      </c>
      <c r="L4123" s="9" t="n">
        <v>2</v>
      </c>
      <c r="M4123" s="9" t="n">
        <v>0</v>
      </c>
      <c r="N4123" s="9" t="s">
        <v>42</v>
      </c>
      <c r="O4123" s="9" t="s">
        <v>52</v>
      </c>
      <c r="P4123" s="9" t="n">
        <v>12.7</v>
      </c>
      <c r="Q4123" s="9" t="n">
        <v>30</v>
      </c>
      <c r="R4123" s="9" t="s">
        <v>53</v>
      </c>
      <c r="S4123" s="9"/>
      <c r="T4123" s="9"/>
      <c r="U4123" s="9" t="str">
        <f aca="false">IF(COUNTIF($A$2:$A$5001,A4123)&gt;1,"Duplicate","Unique")</f>
        <v>Unique</v>
      </c>
      <c r="V4123" s="9" t="str">
        <f aca="false">IF(COUNTIFS($B$2:$B$5001,B4123,$H$2:$H$5001,H4123,$J$2:$J$5001,J4123)&gt;1,"Possible Duplicate Booking","Unique")</f>
        <v>Unique</v>
      </c>
      <c r="W4123" s="9" t="str">
        <f aca="false">IF((H4123-G4123)&lt;&gt;K4123,"Mismatch","OK")</f>
        <v>OK</v>
      </c>
      <c r="X4123" s="9" t="str">
        <f aca="false">IF(TEXT(H4123,"dddd")&lt;&gt;I4123,"Mismatch","OK")</f>
        <v>OK</v>
      </c>
      <c r="Y4123" s="9" t="str">
        <f aca="false">IF(AND(N4123="No",O4123&lt;&gt;""),"Unexpected: channel present but no reminder sent",IF(AND(N4123="Yes",O4123=""),"Missing channel for sent reminder","OK"))</f>
        <v>OK</v>
      </c>
    </row>
    <row r="4124" customFormat="false" ht="15" hidden="false" customHeight="false" outlineLevel="0" collapsed="false">
      <c r="A4124" s="7" t="s">
        <v>5813</v>
      </c>
      <c r="B4124" s="7" t="s">
        <v>1411</v>
      </c>
      <c r="C4124" s="7" t="s">
        <v>37</v>
      </c>
      <c r="D4124" s="7" t="n">
        <v>72</v>
      </c>
      <c r="E4124" s="7" t="s">
        <v>70</v>
      </c>
      <c r="F4124" s="7" t="s">
        <v>39</v>
      </c>
      <c r="G4124" s="8" t="n">
        <v>46136</v>
      </c>
      <c r="H4124" s="8" t="n">
        <v>46196</v>
      </c>
      <c r="I4124" s="7" t="s">
        <v>40</v>
      </c>
      <c r="J4124" s="7" t="s">
        <v>41</v>
      </c>
      <c r="K4124" s="7" t="n">
        <v>60</v>
      </c>
      <c r="L4124" s="7" t="n">
        <v>2</v>
      </c>
      <c r="M4124" s="7" t="n">
        <v>1</v>
      </c>
      <c r="N4124" s="7" t="s">
        <v>42</v>
      </c>
      <c r="O4124" s="7" t="s">
        <v>43</v>
      </c>
      <c r="P4124" s="7" t="n">
        <v>14.2</v>
      </c>
      <c r="Q4124" s="7" t="n">
        <v>20</v>
      </c>
      <c r="R4124" s="7" t="s">
        <v>53</v>
      </c>
      <c r="S4124" s="7"/>
      <c r="T4124" s="7"/>
      <c r="U4124" s="7" t="str">
        <f aca="false">IF(COUNTIF($A$2:$A$5001,A4124)&gt;1,"Duplicate","Unique")</f>
        <v>Unique</v>
      </c>
      <c r="V4124" s="7" t="str">
        <f aca="false">IF(COUNTIFS($B$2:$B$5001,B4124,$H$2:$H$5001,H4124,$J$2:$J$5001,J4124)&gt;1,"Possible Duplicate Booking","Unique")</f>
        <v>Unique</v>
      </c>
      <c r="W4124" s="7" t="str">
        <f aca="false">IF((H4124-G4124)&lt;&gt;K4124,"Mismatch","OK")</f>
        <v>OK</v>
      </c>
      <c r="X4124" s="7" t="str">
        <f aca="false">IF(TEXT(H4124,"dddd")&lt;&gt;I4124,"Mismatch","OK")</f>
        <v>OK</v>
      </c>
      <c r="Y4124" s="7" t="str">
        <f aca="false">IF(AND(N4124="No",O4124&lt;&gt;""),"Unexpected: channel present but no reminder sent",IF(AND(N4124="Yes",O4124=""),"Missing channel for sent reminder","OK"))</f>
        <v>OK</v>
      </c>
    </row>
    <row r="4125" customFormat="false" ht="15" hidden="false" customHeight="false" outlineLevel="0" collapsed="false">
      <c r="A4125" s="9" t="s">
        <v>5814</v>
      </c>
      <c r="B4125" s="9" t="s">
        <v>5191</v>
      </c>
      <c r="C4125" s="9" t="s">
        <v>47</v>
      </c>
      <c r="D4125" s="9" t="n">
        <v>18</v>
      </c>
      <c r="E4125" s="9" t="s">
        <v>82</v>
      </c>
      <c r="F4125" s="9" t="s">
        <v>39</v>
      </c>
      <c r="G4125" s="10" t="n">
        <v>45789</v>
      </c>
      <c r="H4125" s="10" t="n">
        <v>45803</v>
      </c>
      <c r="I4125" s="9" t="s">
        <v>66</v>
      </c>
      <c r="J4125" s="9" t="s">
        <v>41</v>
      </c>
      <c r="K4125" s="9" t="n">
        <v>14</v>
      </c>
      <c r="L4125" s="9" t="n">
        <v>2</v>
      </c>
      <c r="M4125" s="9" t="n">
        <v>1</v>
      </c>
      <c r="N4125" s="9" t="s">
        <v>42</v>
      </c>
      <c r="O4125" s="9" t="s">
        <v>52</v>
      </c>
      <c r="P4125" s="9" t="n">
        <v>13.8</v>
      </c>
      <c r="Q4125" s="9" t="n">
        <v>35</v>
      </c>
      <c r="R4125" s="9" t="s">
        <v>44</v>
      </c>
      <c r="S4125" s="9"/>
      <c r="T4125" s="9"/>
      <c r="U4125" s="9" t="str">
        <f aca="false">IF(COUNTIF($A$2:$A$5001,A4125)&gt;1,"Duplicate","Unique")</f>
        <v>Unique</v>
      </c>
      <c r="V4125" s="9" t="str">
        <f aca="false">IF(COUNTIFS($B$2:$B$5001,B4125,$H$2:$H$5001,H4125,$J$2:$J$5001,J4125)&gt;1,"Possible Duplicate Booking","Unique")</f>
        <v>Unique</v>
      </c>
      <c r="W4125" s="9" t="str">
        <f aca="false">IF((H4125-G4125)&lt;&gt;K4125,"Mismatch","OK")</f>
        <v>OK</v>
      </c>
      <c r="X4125" s="9" t="str">
        <f aca="false">IF(TEXT(H4125,"dddd")&lt;&gt;I4125,"Mismatch","OK")</f>
        <v>OK</v>
      </c>
      <c r="Y4125" s="9" t="str">
        <f aca="false">IF(AND(N4125="No",O4125&lt;&gt;""),"Unexpected: channel present but no reminder sent",IF(AND(N4125="Yes",O4125=""),"Missing channel for sent reminder","OK"))</f>
        <v>OK</v>
      </c>
    </row>
    <row r="4126" customFormat="false" ht="15" hidden="false" customHeight="false" outlineLevel="0" collapsed="false">
      <c r="A4126" s="7" t="s">
        <v>5815</v>
      </c>
      <c r="B4126" s="7" t="s">
        <v>5816</v>
      </c>
      <c r="C4126" s="7" t="s">
        <v>47</v>
      </c>
      <c r="D4126" s="7" t="n">
        <v>22</v>
      </c>
      <c r="E4126" s="7" t="s">
        <v>82</v>
      </c>
      <c r="F4126" s="7" t="s">
        <v>49</v>
      </c>
      <c r="G4126" s="8" t="n">
        <v>46088</v>
      </c>
      <c r="H4126" s="8" t="n">
        <v>46088</v>
      </c>
      <c r="I4126" s="7" t="s">
        <v>102</v>
      </c>
      <c r="J4126" s="7" t="s">
        <v>51</v>
      </c>
      <c r="K4126" s="7" t="n">
        <v>0</v>
      </c>
      <c r="L4126" s="7" t="n">
        <v>4</v>
      </c>
      <c r="M4126" s="7" t="n">
        <v>1</v>
      </c>
      <c r="N4126" s="7" t="s">
        <v>42</v>
      </c>
      <c r="O4126" s="7" t="s">
        <v>43</v>
      </c>
      <c r="P4126" s="7" t="n">
        <v>10.3</v>
      </c>
      <c r="Q4126" s="7" t="n">
        <v>17</v>
      </c>
      <c r="R4126" s="7" t="s">
        <v>53</v>
      </c>
      <c r="S4126" s="7"/>
      <c r="T4126" s="7"/>
      <c r="U4126" s="7" t="str">
        <f aca="false">IF(COUNTIF($A$2:$A$5001,A4126)&gt;1,"Duplicate","Unique")</f>
        <v>Unique</v>
      </c>
      <c r="V4126" s="7" t="str">
        <f aca="false">IF(COUNTIFS($B$2:$B$5001,B4126,$H$2:$H$5001,H4126,$J$2:$J$5001,J4126)&gt;1,"Possible Duplicate Booking","Unique")</f>
        <v>Unique</v>
      </c>
      <c r="W4126" s="7" t="str">
        <f aca="false">IF((H4126-G4126)&lt;&gt;K4126,"Mismatch","OK")</f>
        <v>OK</v>
      </c>
      <c r="X4126" s="7" t="str">
        <f aca="false">IF(TEXT(H4126,"dddd")&lt;&gt;I4126,"Mismatch","OK")</f>
        <v>OK</v>
      </c>
      <c r="Y4126" s="7" t="str">
        <f aca="false">IF(AND(N4126="No",O4126&lt;&gt;""),"Unexpected: channel present but no reminder sent",IF(AND(N4126="Yes",O4126=""),"Missing channel for sent reminder","OK"))</f>
        <v>OK</v>
      </c>
    </row>
    <row r="4127" customFormat="false" ht="15" hidden="false" customHeight="false" outlineLevel="0" collapsed="false">
      <c r="A4127" s="9" t="s">
        <v>5817</v>
      </c>
      <c r="B4127" s="9" t="s">
        <v>97</v>
      </c>
      <c r="C4127" s="9" t="s">
        <v>37</v>
      </c>
      <c r="D4127" s="9" t="n">
        <v>35</v>
      </c>
      <c r="E4127" s="9" t="s">
        <v>38</v>
      </c>
      <c r="F4127" s="9" t="s">
        <v>57</v>
      </c>
      <c r="G4127" s="10" t="n">
        <v>45917</v>
      </c>
      <c r="H4127" s="10" t="n">
        <v>45933</v>
      </c>
      <c r="I4127" s="9" t="s">
        <v>50</v>
      </c>
      <c r="J4127" s="9" t="s">
        <v>41</v>
      </c>
      <c r="K4127" s="9" t="n">
        <v>16</v>
      </c>
      <c r="L4127" s="9" t="n">
        <v>4</v>
      </c>
      <c r="M4127" s="9" t="n">
        <v>1</v>
      </c>
      <c r="N4127" s="9" t="s">
        <v>71</v>
      </c>
      <c r="O4127" s="9"/>
      <c r="P4127" s="9" t="n">
        <v>14</v>
      </c>
      <c r="Q4127" s="9" t="n">
        <v>23</v>
      </c>
      <c r="R4127" s="9" t="s">
        <v>44</v>
      </c>
      <c r="S4127" s="9"/>
      <c r="T4127" s="9"/>
      <c r="U4127" s="9" t="str">
        <f aca="false">IF(COUNTIF($A$2:$A$5001,A4127)&gt;1,"Duplicate","Unique")</f>
        <v>Unique</v>
      </c>
      <c r="V4127" s="9" t="str">
        <f aca="false">IF(COUNTIFS($B$2:$B$5001,B4127,$H$2:$H$5001,H4127,$J$2:$J$5001,J4127)&gt;1,"Possible Duplicate Booking","Unique")</f>
        <v>Unique</v>
      </c>
      <c r="W4127" s="9" t="str">
        <f aca="false">IF((H4127-G4127)&lt;&gt;K4127,"Mismatch","OK")</f>
        <v>OK</v>
      </c>
      <c r="X4127" s="9" t="str">
        <f aca="false">IF(TEXT(H4127,"dddd")&lt;&gt;I4127,"Mismatch","OK")</f>
        <v>OK</v>
      </c>
      <c r="Y4127" s="9" t="str">
        <f aca="false">IF(AND(N4127="No",O4127&lt;&gt;""),"Unexpected: channel present but no reminder sent",IF(AND(N4127="Yes",O4127=""),"Missing channel for sent reminder","OK"))</f>
        <v>OK</v>
      </c>
    </row>
    <row r="4128" customFormat="false" ht="15" hidden="false" customHeight="false" outlineLevel="0" collapsed="false">
      <c r="A4128" s="7" t="s">
        <v>5818</v>
      </c>
      <c r="B4128" s="7" t="s">
        <v>2732</v>
      </c>
      <c r="C4128" s="7" t="s">
        <v>37</v>
      </c>
      <c r="D4128" s="7" t="n">
        <v>27</v>
      </c>
      <c r="E4128" s="7" t="s">
        <v>48</v>
      </c>
      <c r="F4128" s="7" t="s">
        <v>57</v>
      </c>
      <c r="G4128" s="8" t="n">
        <v>45630</v>
      </c>
      <c r="H4128" s="8" t="n">
        <v>45683</v>
      </c>
      <c r="I4128" s="7" t="s">
        <v>75</v>
      </c>
      <c r="J4128" s="7" t="s">
        <v>51</v>
      </c>
      <c r="K4128" s="7" t="n">
        <v>53</v>
      </c>
      <c r="L4128" s="7" t="n">
        <v>3</v>
      </c>
      <c r="M4128" s="7" t="n">
        <v>0</v>
      </c>
      <c r="N4128" s="7" t="s">
        <v>42</v>
      </c>
      <c r="O4128" s="7" t="s">
        <v>52</v>
      </c>
      <c r="P4128" s="7" t="n">
        <v>8</v>
      </c>
      <c r="Q4128" s="7" t="n">
        <v>21</v>
      </c>
      <c r="R4128" s="7" t="s">
        <v>44</v>
      </c>
      <c r="S4128" s="7"/>
      <c r="T4128" s="7"/>
      <c r="U4128" s="7" t="str">
        <f aca="false">IF(COUNTIF($A$2:$A$5001,A4128)&gt;1,"Duplicate","Unique")</f>
        <v>Unique</v>
      </c>
      <c r="V4128" s="7" t="str">
        <f aca="false">IF(COUNTIFS($B$2:$B$5001,B4128,$H$2:$H$5001,H4128,$J$2:$J$5001,J4128)&gt;1,"Possible Duplicate Booking","Unique")</f>
        <v>Unique</v>
      </c>
      <c r="W4128" s="7" t="str">
        <f aca="false">IF((H4128-G4128)&lt;&gt;K4128,"Mismatch","OK")</f>
        <v>OK</v>
      </c>
      <c r="X4128" s="7" t="str">
        <f aca="false">IF(TEXT(H4128,"dddd")&lt;&gt;I4128,"Mismatch","OK")</f>
        <v>OK</v>
      </c>
      <c r="Y4128" s="7" t="str">
        <f aca="false">IF(AND(N4128="No",O4128&lt;&gt;""),"Unexpected: channel present but no reminder sent",IF(AND(N4128="Yes",O4128=""),"Missing channel for sent reminder","OK"))</f>
        <v>OK</v>
      </c>
    </row>
    <row r="4129" customFormat="false" ht="15" hidden="false" customHeight="false" outlineLevel="0" collapsed="false">
      <c r="A4129" s="9" t="s">
        <v>5819</v>
      </c>
      <c r="B4129" s="9" t="s">
        <v>166</v>
      </c>
      <c r="C4129" s="9" t="s">
        <v>47</v>
      </c>
      <c r="D4129" s="9" t="n">
        <v>21</v>
      </c>
      <c r="E4129" s="9" t="s">
        <v>82</v>
      </c>
      <c r="F4129" s="9" t="s">
        <v>74</v>
      </c>
      <c r="G4129" s="10" t="n">
        <v>45658</v>
      </c>
      <c r="H4129" s="10" t="n">
        <v>45707</v>
      </c>
      <c r="I4129" s="9" t="s">
        <v>58</v>
      </c>
      <c r="J4129" s="9" t="s">
        <v>41</v>
      </c>
      <c r="K4129" s="9" t="n">
        <v>49</v>
      </c>
      <c r="L4129" s="9" t="n">
        <v>3</v>
      </c>
      <c r="M4129" s="9" t="n">
        <v>1</v>
      </c>
      <c r="N4129" s="9" t="s">
        <v>71</v>
      </c>
      <c r="O4129" s="9"/>
      <c r="P4129" s="9" t="n">
        <v>12.1</v>
      </c>
      <c r="Q4129" s="9" t="n">
        <v>26</v>
      </c>
      <c r="R4129" s="9" t="s">
        <v>44</v>
      </c>
      <c r="S4129" s="9"/>
      <c r="T4129" s="9"/>
      <c r="U4129" s="9" t="str">
        <f aca="false">IF(COUNTIF($A$2:$A$5001,A4129)&gt;1,"Duplicate","Unique")</f>
        <v>Unique</v>
      </c>
      <c r="V4129" s="9" t="str">
        <f aca="false">IF(COUNTIFS($B$2:$B$5001,B4129,$H$2:$H$5001,H4129,$J$2:$J$5001,J4129)&gt;1,"Possible Duplicate Booking","Unique")</f>
        <v>Unique</v>
      </c>
      <c r="W4129" s="9" t="str">
        <f aca="false">IF((H4129-G4129)&lt;&gt;K4129,"Mismatch","OK")</f>
        <v>OK</v>
      </c>
      <c r="X4129" s="9" t="str">
        <f aca="false">IF(TEXT(H4129,"dddd")&lt;&gt;I4129,"Mismatch","OK")</f>
        <v>OK</v>
      </c>
      <c r="Y4129" s="9" t="str">
        <f aca="false">IF(AND(N4129="No",O4129&lt;&gt;""),"Unexpected: channel present but no reminder sent",IF(AND(N4129="Yes",O4129=""),"Missing channel for sent reminder","OK"))</f>
        <v>OK</v>
      </c>
    </row>
    <row r="4130" customFormat="false" ht="15" hidden="false" customHeight="false" outlineLevel="0" collapsed="false">
      <c r="A4130" s="7" t="s">
        <v>5820</v>
      </c>
      <c r="B4130" s="7" t="s">
        <v>2264</v>
      </c>
      <c r="C4130" s="7" t="s">
        <v>47</v>
      </c>
      <c r="D4130" s="7" t="n">
        <v>42</v>
      </c>
      <c r="E4130" s="7" t="s">
        <v>38</v>
      </c>
      <c r="F4130" s="7" t="s">
        <v>57</v>
      </c>
      <c r="G4130" s="8" t="n">
        <v>45951</v>
      </c>
      <c r="H4130" s="8" t="n">
        <v>45957</v>
      </c>
      <c r="I4130" s="7" t="s">
        <v>66</v>
      </c>
      <c r="J4130" s="7" t="s">
        <v>51</v>
      </c>
      <c r="K4130" s="7" t="n">
        <v>6</v>
      </c>
      <c r="L4130" s="7" t="n">
        <v>2</v>
      </c>
      <c r="M4130" s="7" t="n">
        <v>1</v>
      </c>
      <c r="N4130" s="7" t="s">
        <v>42</v>
      </c>
      <c r="O4130" s="7" t="s">
        <v>52</v>
      </c>
      <c r="P4130" s="7" t="n">
        <v>3.6</v>
      </c>
      <c r="Q4130" s="7" t="n">
        <v>29</v>
      </c>
      <c r="R4130" s="7" t="s">
        <v>53</v>
      </c>
      <c r="S4130" s="7"/>
      <c r="T4130" s="7"/>
      <c r="U4130" s="7" t="str">
        <f aca="false">IF(COUNTIF($A$2:$A$5001,A4130)&gt;1,"Duplicate","Unique")</f>
        <v>Unique</v>
      </c>
      <c r="V4130" s="7" t="str">
        <f aca="false">IF(COUNTIFS($B$2:$B$5001,B4130,$H$2:$H$5001,H4130,$J$2:$J$5001,J4130)&gt;1,"Possible Duplicate Booking","Unique")</f>
        <v>Unique</v>
      </c>
      <c r="W4130" s="7" t="str">
        <f aca="false">IF((H4130-G4130)&lt;&gt;K4130,"Mismatch","OK")</f>
        <v>OK</v>
      </c>
      <c r="X4130" s="7" t="str">
        <f aca="false">IF(TEXT(H4130,"dddd")&lt;&gt;I4130,"Mismatch","OK")</f>
        <v>OK</v>
      </c>
      <c r="Y4130" s="7" t="str">
        <f aca="false">IF(AND(N4130="No",O4130&lt;&gt;""),"Unexpected: channel present but no reminder sent",IF(AND(N4130="Yes",O4130=""),"Missing channel for sent reminder","OK"))</f>
        <v>OK</v>
      </c>
    </row>
    <row r="4131" customFormat="false" ht="15" hidden="false" customHeight="false" outlineLevel="0" collapsed="false">
      <c r="A4131" s="9" t="s">
        <v>5821</v>
      </c>
      <c r="B4131" s="9" t="s">
        <v>248</v>
      </c>
      <c r="C4131" s="9" t="s">
        <v>37</v>
      </c>
      <c r="D4131" s="9" t="n">
        <v>41</v>
      </c>
      <c r="E4131" s="9" t="s">
        <v>38</v>
      </c>
      <c r="F4131" s="9" t="s">
        <v>39</v>
      </c>
      <c r="G4131" s="10" t="n">
        <v>45880</v>
      </c>
      <c r="H4131" s="10" t="n">
        <v>45889</v>
      </c>
      <c r="I4131" s="9" t="s">
        <v>58</v>
      </c>
      <c r="J4131" s="9" t="s">
        <v>51</v>
      </c>
      <c r="K4131" s="9" t="n">
        <v>9</v>
      </c>
      <c r="L4131" s="9" t="n">
        <v>2</v>
      </c>
      <c r="M4131" s="9" t="n">
        <v>0</v>
      </c>
      <c r="N4131" s="9" t="s">
        <v>42</v>
      </c>
      <c r="O4131" s="9" t="s">
        <v>43</v>
      </c>
      <c r="P4131" s="9" t="n">
        <v>9.7</v>
      </c>
      <c r="Q4131" s="9" t="n">
        <v>24</v>
      </c>
      <c r="R4131" s="9" t="s">
        <v>53</v>
      </c>
      <c r="S4131" s="9"/>
      <c r="T4131" s="9"/>
      <c r="U4131" s="9" t="str">
        <f aca="false">IF(COUNTIF($A$2:$A$5001,A4131)&gt;1,"Duplicate","Unique")</f>
        <v>Unique</v>
      </c>
      <c r="V4131" s="9" t="str">
        <f aca="false">IF(COUNTIFS($B$2:$B$5001,B4131,$H$2:$H$5001,H4131,$J$2:$J$5001,J4131)&gt;1,"Possible Duplicate Booking","Unique")</f>
        <v>Unique</v>
      </c>
      <c r="W4131" s="9" t="str">
        <f aca="false">IF((H4131-G4131)&lt;&gt;K4131,"Mismatch","OK")</f>
        <v>OK</v>
      </c>
      <c r="X4131" s="9" t="str">
        <f aca="false">IF(TEXT(H4131,"dddd")&lt;&gt;I4131,"Mismatch","OK")</f>
        <v>OK</v>
      </c>
      <c r="Y4131" s="9" t="str">
        <f aca="false">IF(AND(N4131="No",O4131&lt;&gt;""),"Unexpected: channel present but no reminder sent",IF(AND(N4131="Yes",O4131=""),"Missing channel for sent reminder","OK"))</f>
        <v>OK</v>
      </c>
    </row>
    <row r="4132" customFormat="false" ht="15" hidden="false" customHeight="false" outlineLevel="0" collapsed="false">
      <c r="A4132" s="7" t="s">
        <v>5822</v>
      </c>
      <c r="B4132" s="7" t="s">
        <v>558</v>
      </c>
      <c r="C4132" s="7" t="s">
        <v>37</v>
      </c>
      <c r="D4132" s="7" t="n">
        <v>25</v>
      </c>
      <c r="E4132" s="7" t="s">
        <v>48</v>
      </c>
      <c r="F4132" s="7" t="s">
        <v>39</v>
      </c>
      <c r="G4132" s="8" t="n">
        <v>45628</v>
      </c>
      <c r="H4132" s="8" t="n">
        <v>45662</v>
      </c>
      <c r="I4132" s="7" t="s">
        <v>75</v>
      </c>
      <c r="J4132" s="7" t="s">
        <v>51</v>
      </c>
      <c r="K4132" s="7" t="n">
        <v>34</v>
      </c>
      <c r="L4132" s="7" t="n">
        <v>3</v>
      </c>
      <c r="M4132" s="7" t="n">
        <v>0</v>
      </c>
      <c r="N4132" s="7" t="s">
        <v>42</v>
      </c>
      <c r="O4132" s="7" t="s">
        <v>52</v>
      </c>
      <c r="P4132" s="7" t="n">
        <v>10</v>
      </c>
      <c r="Q4132" s="7" t="n">
        <v>53</v>
      </c>
      <c r="R4132" s="7" t="s">
        <v>53</v>
      </c>
      <c r="S4132" s="7"/>
      <c r="T4132" s="7"/>
      <c r="U4132" s="7" t="str">
        <f aca="false">IF(COUNTIF($A$2:$A$5001,A4132)&gt;1,"Duplicate","Unique")</f>
        <v>Unique</v>
      </c>
      <c r="V4132" s="7" t="str">
        <f aca="false">IF(COUNTIFS($B$2:$B$5001,B4132,$H$2:$H$5001,H4132,$J$2:$J$5001,J4132)&gt;1,"Possible Duplicate Booking","Unique")</f>
        <v>Unique</v>
      </c>
      <c r="W4132" s="7" t="str">
        <f aca="false">IF((H4132-G4132)&lt;&gt;K4132,"Mismatch","OK")</f>
        <v>OK</v>
      </c>
      <c r="X4132" s="7" t="str">
        <f aca="false">IF(TEXT(H4132,"dddd")&lt;&gt;I4132,"Mismatch","OK")</f>
        <v>OK</v>
      </c>
      <c r="Y4132" s="7" t="str">
        <f aca="false">IF(AND(N4132="No",O4132&lt;&gt;""),"Unexpected: channel present but no reminder sent",IF(AND(N4132="Yes",O4132=""),"Missing channel for sent reminder","OK"))</f>
        <v>OK</v>
      </c>
    </row>
    <row r="4133" customFormat="false" ht="15" hidden="false" customHeight="false" outlineLevel="0" collapsed="false">
      <c r="A4133" s="9" t="s">
        <v>5823</v>
      </c>
      <c r="B4133" s="9" t="s">
        <v>933</v>
      </c>
      <c r="C4133" s="9" t="s">
        <v>37</v>
      </c>
      <c r="D4133" s="9" t="n">
        <v>69</v>
      </c>
      <c r="E4133" s="9" t="s">
        <v>70</v>
      </c>
      <c r="F4133" s="9" t="s">
        <v>39</v>
      </c>
      <c r="G4133" s="10" t="n">
        <v>46125</v>
      </c>
      <c r="H4133" s="10" t="n">
        <v>46165</v>
      </c>
      <c r="I4133" s="9" t="s">
        <v>102</v>
      </c>
      <c r="J4133" s="9" t="s">
        <v>51</v>
      </c>
      <c r="K4133" s="9" t="n">
        <v>40</v>
      </c>
      <c r="L4133" s="9" t="n">
        <v>1</v>
      </c>
      <c r="M4133" s="9" t="n">
        <v>0</v>
      </c>
      <c r="N4133" s="9" t="s">
        <v>42</v>
      </c>
      <c r="O4133" s="9" t="s">
        <v>67</v>
      </c>
      <c r="P4133" s="9" t="n">
        <v>21.9</v>
      </c>
      <c r="Q4133" s="9" t="n">
        <v>40</v>
      </c>
      <c r="R4133" s="9" t="s">
        <v>44</v>
      </c>
      <c r="S4133" s="9"/>
      <c r="T4133" s="9"/>
      <c r="U4133" s="9" t="str">
        <f aca="false">IF(COUNTIF($A$2:$A$5001,A4133)&gt;1,"Duplicate","Unique")</f>
        <v>Unique</v>
      </c>
      <c r="V4133" s="9" t="str">
        <f aca="false">IF(COUNTIFS($B$2:$B$5001,B4133,$H$2:$H$5001,H4133,$J$2:$J$5001,J4133)&gt;1,"Possible Duplicate Booking","Unique")</f>
        <v>Unique</v>
      </c>
      <c r="W4133" s="9" t="str">
        <f aca="false">IF((H4133-G4133)&lt;&gt;K4133,"Mismatch","OK")</f>
        <v>OK</v>
      </c>
      <c r="X4133" s="9" t="str">
        <f aca="false">IF(TEXT(H4133,"dddd")&lt;&gt;I4133,"Mismatch","OK")</f>
        <v>OK</v>
      </c>
      <c r="Y4133" s="9" t="str">
        <f aca="false">IF(AND(N4133="No",O4133&lt;&gt;""),"Unexpected: channel present but no reminder sent",IF(AND(N4133="Yes",O4133=""),"Missing channel for sent reminder","OK"))</f>
        <v>OK</v>
      </c>
    </row>
    <row r="4134" customFormat="false" ht="15" hidden="false" customHeight="false" outlineLevel="0" collapsed="false">
      <c r="A4134" s="7" t="s">
        <v>5824</v>
      </c>
      <c r="B4134" s="7" t="s">
        <v>114</v>
      </c>
      <c r="C4134" s="7" t="s">
        <v>47</v>
      </c>
      <c r="D4134" s="7" t="n">
        <v>73</v>
      </c>
      <c r="E4134" s="7" t="s">
        <v>70</v>
      </c>
      <c r="F4134" s="7" t="s">
        <v>57</v>
      </c>
      <c r="G4134" s="8" t="n">
        <v>45997</v>
      </c>
      <c r="H4134" s="8" t="n">
        <v>46056</v>
      </c>
      <c r="I4134" s="7" t="s">
        <v>40</v>
      </c>
      <c r="J4134" s="7" t="s">
        <v>51</v>
      </c>
      <c r="K4134" s="7" t="n">
        <v>59</v>
      </c>
      <c r="L4134" s="7" t="n">
        <v>1</v>
      </c>
      <c r="M4134" s="7" t="n">
        <v>0</v>
      </c>
      <c r="N4134" s="7" t="s">
        <v>42</v>
      </c>
      <c r="O4134" s="7" t="s">
        <v>67</v>
      </c>
      <c r="P4134" s="7" t="n">
        <v>7.4</v>
      </c>
      <c r="Q4134" s="7" t="n">
        <v>17</v>
      </c>
      <c r="R4134" s="7" t="s">
        <v>53</v>
      </c>
      <c r="S4134" s="7"/>
      <c r="T4134" s="7"/>
      <c r="U4134" s="7" t="str">
        <f aca="false">IF(COUNTIF($A$2:$A$5001,A4134)&gt;1,"Duplicate","Unique")</f>
        <v>Unique</v>
      </c>
      <c r="V4134" s="7" t="str">
        <f aca="false">IF(COUNTIFS($B$2:$B$5001,B4134,$H$2:$H$5001,H4134,$J$2:$J$5001,J4134)&gt;1,"Possible Duplicate Booking","Unique")</f>
        <v>Unique</v>
      </c>
      <c r="W4134" s="7" t="str">
        <f aca="false">IF((H4134-G4134)&lt;&gt;K4134,"Mismatch","OK")</f>
        <v>OK</v>
      </c>
      <c r="X4134" s="7" t="str">
        <f aca="false">IF(TEXT(H4134,"dddd")&lt;&gt;I4134,"Mismatch","OK")</f>
        <v>OK</v>
      </c>
      <c r="Y4134" s="7" t="str">
        <f aca="false">IF(AND(N4134="No",O4134&lt;&gt;""),"Unexpected: channel present but no reminder sent",IF(AND(N4134="Yes",O4134=""),"Missing channel for sent reminder","OK"))</f>
        <v>OK</v>
      </c>
    </row>
    <row r="4135" customFormat="false" ht="15" hidden="false" customHeight="false" outlineLevel="0" collapsed="false">
      <c r="A4135" s="9" t="s">
        <v>5825</v>
      </c>
      <c r="B4135" s="9" t="s">
        <v>5826</v>
      </c>
      <c r="C4135" s="9" t="s">
        <v>47</v>
      </c>
      <c r="D4135" s="9" t="n">
        <v>63</v>
      </c>
      <c r="E4135" s="9" t="s">
        <v>61</v>
      </c>
      <c r="F4135" s="9" t="s">
        <v>57</v>
      </c>
      <c r="G4135" s="10" t="n">
        <v>45886</v>
      </c>
      <c r="H4135" s="10" t="n">
        <v>45932</v>
      </c>
      <c r="I4135" s="9" t="s">
        <v>62</v>
      </c>
      <c r="J4135" s="9" t="s">
        <v>51</v>
      </c>
      <c r="K4135" s="9" t="n">
        <v>46</v>
      </c>
      <c r="L4135" s="9" t="n">
        <v>4</v>
      </c>
      <c r="M4135" s="9" t="n">
        <v>2</v>
      </c>
      <c r="N4135" s="9" t="s">
        <v>42</v>
      </c>
      <c r="O4135" s="9" t="s">
        <v>52</v>
      </c>
      <c r="P4135" s="9" t="n">
        <v>2.8</v>
      </c>
      <c r="Q4135" s="9" t="n">
        <v>38</v>
      </c>
      <c r="R4135" s="9" t="s">
        <v>53</v>
      </c>
      <c r="S4135" s="9"/>
      <c r="T4135" s="9"/>
      <c r="U4135" s="9" t="str">
        <f aca="false">IF(COUNTIF($A$2:$A$5001,A4135)&gt;1,"Duplicate","Unique")</f>
        <v>Unique</v>
      </c>
      <c r="V4135" s="9" t="str">
        <f aca="false">IF(COUNTIFS($B$2:$B$5001,B4135,$H$2:$H$5001,H4135,$J$2:$J$5001,J4135)&gt;1,"Possible Duplicate Booking","Unique")</f>
        <v>Unique</v>
      </c>
      <c r="W4135" s="9" t="str">
        <f aca="false">IF((H4135-G4135)&lt;&gt;K4135,"Mismatch","OK")</f>
        <v>OK</v>
      </c>
      <c r="X4135" s="9" t="str">
        <f aca="false">IF(TEXT(H4135,"dddd")&lt;&gt;I4135,"Mismatch","OK")</f>
        <v>OK</v>
      </c>
      <c r="Y4135" s="9" t="str">
        <f aca="false">IF(AND(N4135="No",O4135&lt;&gt;""),"Unexpected: channel present but no reminder sent",IF(AND(N4135="Yes",O4135=""),"Missing channel for sent reminder","OK"))</f>
        <v>OK</v>
      </c>
    </row>
    <row r="4136" customFormat="false" ht="15" hidden="false" customHeight="false" outlineLevel="0" collapsed="false">
      <c r="A4136" s="7" t="s">
        <v>5827</v>
      </c>
      <c r="B4136" s="7" t="s">
        <v>880</v>
      </c>
      <c r="C4136" s="7" t="s">
        <v>37</v>
      </c>
      <c r="D4136" s="7" t="n">
        <v>50</v>
      </c>
      <c r="E4136" s="7" t="s">
        <v>56</v>
      </c>
      <c r="F4136" s="7" t="s">
        <v>39</v>
      </c>
      <c r="G4136" s="8" t="n">
        <v>46184</v>
      </c>
      <c r="H4136" s="8" t="n">
        <v>46196</v>
      </c>
      <c r="I4136" s="7" t="s">
        <v>40</v>
      </c>
      <c r="J4136" s="7" t="s">
        <v>41</v>
      </c>
      <c r="K4136" s="7" t="n">
        <v>12</v>
      </c>
      <c r="L4136" s="7" t="n">
        <v>4</v>
      </c>
      <c r="M4136" s="7" t="n">
        <v>1</v>
      </c>
      <c r="N4136" s="7" t="s">
        <v>42</v>
      </c>
      <c r="O4136" s="7" t="s">
        <v>43</v>
      </c>
      <c r="P4136" s="7" t="n">
        <v>2.8</v>
      </c>
      <c r="Q4136" s="7" t="n">
        <v>37</v>
      </c>
      <c r="R4136" s="7" t="s">
        <v>44</v>
      </c>
      <c r="S4136" s="7"/>
      <c r="T4136" s="7"/>
      <c r="U4136" s="7" t="str">
        <f aca="false">IF(COUNTIF($A$2:$A$5001,A4136)&gt;1,"Duplicate","Unique")</f>
        <v>Unique</v>
      </c>
      <c r="V4136" s="7" t="str">
        <f aca="false">IF(COUNTIFS($B$2:$B$5001,B4136,$H$2:$H$5001,H4136,$J$2:$J$5001,J4136)&gt;1,"Possible Duplicate Booking","Unique")</f>
        <v>Unique</v>
      </c>
      <c r="W4136" s="7" t="str">
        <f aca="false">IF((H4136-G4136)&lt;&gt;K4136,"Mismatch","OK")</f>
        <v>OK</v>
      </c>
      <c r="X4136" s="7" t="str">
        <f aca="false">IF(TEXT(H4136,"dddd")&lt;&gt;I4136,"Mismatch","OK")</f>
        <v>OK</v>
      </c>
      <c r="Y4136" s="7" t="str">
        <f aca="false">IF(AND(N4136="No",O4136&lt;&gt;""),"Unexpected: channel present but no reminder sent",IF(AND(N4136="Yes",O4136=""),"Missing channel for sent reminder","OK"))</f>
        <v>OK</v>
      </c>
    </row>
    <row r="4137" customFormat="false" ht="15" hidden="false" customHeight="false" outlineLevel="0" collapsed="false">
      <c r="A4137" s="9" t="s">
        <v>5828</v>
      </c>
      <c r="B4137" s="9" t="s">
        <v>2481</v>
      </c>
      <c r="C4137" s="9" t="s">
        <v>37</v>
      </c>
      <c r="D4137" s="9" t="n">
        <v>77</v>
      </c>
      <c r="E4137" s="9" t="s">
        <v>70</v>
      </c>
      <c r="F4137" s="9" t="s">
        <v>39</v>
      </c>
      <c r="G4137" s="10" t="n">
        <v>46186</v>
      </c>
      <c r="H4137" s="10" t="n">
        <v>46188</v>
      </c>
      <c r="I4137" s="9" t="s">
        <v>66</v>
      </c>
      <c r="J4137" s="9" t="s">
        <v>51</v>
      </c>
      <c r="K4137" s="9" t="n">
        <v>2</v>
      </c>
      <c r="L4137" s="9" t="n">
        <v>4</v>
      </c>
      <c r="M4137" s="9" t="n">
        <v>0</v>
      </c>
      <c r="N4137" s="9" t="s">
        <v>42</v>
      </c>
      <c r="O4137" s="9" t="s">
        <v>52</v>
      </c>
      <c r="P4137" s="9" t="n">
        <v>21.8</v>
      </c>
      <c r="Q4137" s="9" t="n">
        <v>9</v>
      </c>
      <c r="R4137" s="9" t="s">
        <v>53</v>
      </c>
      <c r="S4137" s="9"/>
      <c r="T4137" s="9"/>
      <c r="U4137" s="9" t="str">
        <f aca="false">IF(COUNTIF($A$2:$A$5001,A4137)&gt;1,"Duplicate","Unique")</f>
        <v>Unique</v>
      </c>
      <c r="V4137" s="9" t="str">
        <f aca="false">IF(COUNTIFS($B$2:$B$5001,B4137,$H$2:$H$5001,H4137,$J$2:$J$5001,J4137)&gt;1,"Possible Duplicate Booking","Unique")</f>
        <v>Unique</v>
      </c>
      <c r="W4137" s="9" t="str">
        <f aca="false">IF((H4137-G4137)&lt;&gt;K4137,"Mismatch","OK")</f>
        <v>OK</v>
      </c>
      <c r="X4137" s="9" t="str">
        <f aca="false">IF(TEXT(H4137,"dddd")&lt;&gt;I4137,"Mismatch","OK")</f>
        <v>OK</v>
      </c>
      <c r="Y4137" s="9" t="str">
        <f aca="false">IF(AND(N4137="No",O4137&lt;&gt;""),"Unexpected: channel present but no reminder sent",IF(AND(N4137="Yes",O4137=""),"Missing channel for sent reminder","OK"))</f>
        <v>OK</v>
      </c>
    </row>
    <row r="4138" customFormat="false" ht="15" hidden="false" customHeight="false" outlineLevel="0" collapsed="false">
      <c r="A4138" s="7" t="s">
        <v>5829</v>
      </c>
      <c r="B4138" s="7" t="s">
        <v>1888</v>
      </c>
      <c r="C4138" s="7" t="s">
        <v>37</v>
      </c>
      <c r="D4138" s="7" t="n">
        <v>40</v>
      </c>
      <c r="E4138" s="7" t="s">
        <v>38</v>
      </c>
      <c r="F4138" s="7" t="s">
        <v>49</v>
      </c>
      <c r="G4138" s="8" t="n">
        <v>46151</v>
      </c>
      <c r="H4138" s="8" t="n">
        <v>46189</v>
      </c>
      <c r="I4138" s="7" t="s">
        <v>40</v>
      </c>
      <c r="J4138" s="7" t="s">
        <v>63</v>
      </c>
      <c r="K4138" s="7" t="n">
        <v>38</v>
      </c>
      <c r="L4138" s="7" t="n">
        <v>2</v>
      </c>
      <c r="M4138" s="7" t="n">
        <v>0</v>
      </c>
      <c r="N4138" s="7" t="s">
        <v>42</v>
      </c>
      <c r="O4138" s="7" t="s">
        <v>43</v>
      </c>
      <c r="P4138" s="7" t="n">
        <v>19.2</v>
      </c>
      <c r="Q4138" s="7" t="n">
        <v>2</v>
      </c>
      <c r="R4138" s="7" t="s">
        <v>53</v>
      </c>
      <c r="S4138" s="7"/>
      <c r="T4138" s="7"/>
      <c r="U4138" s="7" t="str">
        <f aca="false">IF(COUNTIF($A$2:$A$5001,A4138)&gt;1,"Duplicate","Unique")</f>
        <v>Unique</v>
      </c>
      <c r="V4138" s="7" t="str">
        <f aca="false">IF(COUNTIFS($B$2:$B$5001,B4138,$H$2:$H$5001,H4138,$J$2:$J$5001,J4138)&gt;1,"Possible Duplicate Booking","Unique")</f>
        <v>Unique</v>
      </c>
      <c r="W4138" s="7" t="str">
        <f aca="false">IF((H4138-G4138)&lt;&gt;K4138,"Mismatch","OK")</f>
        <v>OK</v>
      </c>
      <c r="X4138" s="7" t="str">
        <f aca="false">IF(TEXT(H4138,"dddd")&lt;&gt;I4138,"Mismatch","OK")</f>
        <v>OK</v>
      </c>
      <c r="Y4138" s="7" t="str">
        <f aca="false">IF(AND(N4138="No",O4138&lt;&gt;""),"Unexpected: channel present but no reminder sent",IF(AND(N4138="Yes",O4138=""),"Missing channel for sent reminder","OK"))</f>
        <v>OK</v>
      </c>
    </row>
    <row r="4139" customFormat="false" ht="15" hidden="false" customHeight="false" outlineLevel="0" collapsed="false">
      <c r="A4139" s="9" t="s">
        <v>5830</v>
      </c>
      <c r="B4139" s="9" t="s">
        <v>2375</v>
      </c>
      <c r="C4139" s="9" t="s">
        <v>47</v>
      </c>
      <c r="D4139" s="9" t="n">
        <v>44</v>
      </c>
      <c r="E4139" s="9" t="s">
        <v>38</v>
      </c>
      <c r="F4139" s="9" t="s">
        <v>49</v>
      </c>
      <c r="G4139" s="10" t="n">
        <v>45766</v>
      </c>
      <c r="H4139" s="10" t="n">
        <v>45799</v>
      </c>
      <c r="I4139" s="9" t="s">
        <v>62</v>
      </c>
      <c r="J4139" s="9" t="s">
        <v>41</v>
      </c>
      <c r="K4139" s="9" t="n">
        <v>33</v>
      </c>
      <c r="L4139" s="9" t="n">
        <v>5</v>
      </c>
      <c r="M4139" s="9" t="n">
        <v>1</v>
      </c>
      <c r="N4139" s="9" t="s">
        <v>42</v>
      </c>
      <c r="O4139" s="9" t="s">
        <v>43</v>
      </c>
      <c r="P4139" s="9" t="n">
        <v>10.9</v>
      </c>
      <c r="Q4139" s="9" t="n">
        <v>26</v>
      </c>
      <c r="R4139" s="9" t="s">
        <v>44</v>
      </c>
      <c r="S4139" s="9"/>
      <c r="T4139" s="9"/>
      <c r="U4139" s="9" t="str">
        <f aca="false">IF(COUNTIF($A$2:$A$5001,A4139)&gt;1,"Duplicate","Unique")</f>
        <v>Unique</v>
      </c>
      <c r="V4139" s="9" t="str">
        <f aca="false">IF(COUNTIFS($B$2:$B$5001,B4139,$H$2:$H$5001,H4139,$J$2:$J$5001,J4139)&gt;1,"Possible Duplicate Booking","Unique")</f>
        <v>Unique</v>
      </c>
      <c r="W4139" s="9" t="str">
        <f aca="false">IF((H4139-G4139)&lt;&gt;K4139,"Mismatch","OK")</f>
        <v>OK</v>
      </c>
      <c r="X4139" s="9" t="str">
        <f aca="false">IF(TEXT(H4139,"dddd")&lt;&gt;I4139,"Mismatch","OK")</f>
        <v>OK</v>
      </c>
      <c r="Y4139" s="9" t="str">
        <f aca="false">IF(AND(N4139="No",O4139&lt;&gt;""),"Unexpected: channel present but no reminder sent",IF(AND(N4139="Yes",O4139=""),"Missing channel for sent reminder","OK"))</f>
        <v>OK</v>
      </c>
    </row>
    <row r="4140" customFormat="false" ht="15" hidden="false" customHeight="false" outlineLevel="0" collapsed="false">
      <c r="A4140" s="7" t="s">
        <v>5831</v>
      </c>
      <c r="B4140" s="7" t="s">
        <v>5832</v>
      </c>
      <c r="C4140" s="7" t="s">
        <v>47</v>
      </c>
      <c r="D4140" s="7" t="n">
        <v>18</v>
      </c>
      <c r="E4140" s="7" t="s">
        <v>82</v>
      </c>
      <c r="F4140" s="7" t="s">
        <v>74</v>
      </c>
      <c r="G4140" s="8" t="n">
        <v>46082</v>
      </c>
      <c r="H4140" s="8" t="n">
        <v>46138</v>
      </c>
      <c r="I4140" s="7" t="s">
        <v>75</v>
      </c>
      <c r="J4140" s="7" t="s">
        <v>51</v>
      </c>
      <c r="K4140" s="7" t="n">
        <v>56</v>
      </c>
      <c r="L4140" s="7" t="n">
        <v>1</v>
      </c>
      <c r="M4140" s="7" t="n">
        <v>0</v>
      </c>
      <c r="N4140" s="7" t="s">
        <v>71</v>
      </c>
      <c r="O4140" s="7"/>
      <c r="P4140" s="7" t="n">
        <v>2.2</v>
      </c>
      <c r="Q4140" s="7" t="n">
        <v>22</v>
      </c>
      <c r="R4140" s="7" t="s">
        <v>44</v>
      </c>
      <c r="S4140" s="7"/>
      <c r="T4140" s="7"/>
      <c r="U4140" s="7" t="str">
        <f aca="false">IF(COUNTIF($A$2:$A$5001,A4140)&gt;1,"Duplicate","Unique")</f>
        <v>Unique</v>
      </c>
      <c r="V4140" s="7" t="str">
        <f aca="false">IF(COUNTIFS($B$2:$B$5001,B4140,$H$2:$H$5001,H4140,$J$2:$J$5001,J4140)&gt;1,"Possible Duplicate Booking","Unique")</f>
        <v>Unique</v>
      </c>
      <c r="W4140" s="7" t="str">
        <f aca="false">IF((H4140-G4140)&lt;&gt;K4140,"Mismatch","OK")</f>
        <v>OK</v>
      </c>
      <c r="X4140" s="7" t="str">
        <f aca="false">IF(TEXT(H4140,"dddd")&lt;&gt;I4140,"Mismatch","OK")</f>
        <v>OK</v>
      </c>
      <c r="Y4140" s="7" t="str">
        <f aca="false">IF(AND(N4140="No",O4140&lt;&gt;""),"Unexpected: channel present but no reminder sent",IF(AND(N4140="Yes",O4140=""),"Missing channel for sent reminder","OK"))</f>
        <v>OK</v>
      </c>
    </row>
    <row r="4141" customFormat="false" ht="15" hidden="false" customHeight="false" outlineLevel="0" collapsed="false">
      <c r="A4141" s="9" t="s">
        <v>5833</v>
      </c>
      <c r="B4141" s="9" t="s">
        <v>2794</v>
      </c>
      <c r="C4141" s="9" t="s">
        <v>47</v>
      </c>
      <c r="D4141" s="9" t="n">
        <v>62</v>
      </c>
      <c r="E4141" s="9" t="s">
        <v>61</v>
      </c>
      <c r="F4141" s="9" t="s">
        <v>74</v>
      </c>
      <c r="G4141" s="10" t="n">
        <v>45898</v>
      </c>
      <c r="H4141" s="10" t="n">
        <v>45933</v>
      </c>
      <c r="I4141" s="9" t="s">
        <v>50</v>
      </c>
      <c r="J4141" s="9" t="s">
        <v>51</v>
      </c>
      <c r="K4141" s="9" t="n">
        <v>35</v>
      </c>
      <c r="L4141" s="9" t="n">
        <v>7</v>
      </c>
      <c r="M4141" s="9" t="n">
        <v>1</v>
      </c>
      <c r="N4141" s="9" t="s">
        <v>42</v>
      </c>
      <c r="O4141" s="9" t="s">
        <v>43</v>
      </c>
      <c r="P4141" s="9" t="n">
        <v>11</v>
      </c>
      <c r="Q4141" s="9" t="n">
        <v>2</v>
      </c>
      <c r="R4141" s="9" t="s">
        <v>53</v>
      </c>
      <c r="S4141" s="9"/>
      <c r="T4141" s="9"/>
      <c r="U4141" s="9" t="str">
        <f aca="false">IF(COUNTIF($A$2:$A$5001,A4141)&gt;1,"Duplicate","Unique")</f>
        <v>Unique</v>
      </c>
      <c r="V4141" s="9" t="str">
        <f aca="false">IF(COUNTIFS($B$2:$B$5001,B4141,$H$2:$H$5001,H4141,$J$2:$J$5001,J4141)&gt;1,"Possible Duplicate Booking","Unique")</f>
        <v>Unique</v>
      </c>
      <c r="W4141" s="9" t="str">
        <f aca="false">IF((H4141-G4141)&lt;&gt;K4141,"Mismatch","OK")</f>
        <v>OK</v>
      </c>
      <c r="X4141" s="9" t="str">
        <f aca="false">IF(TEXT(H4141,"dddd")&lt;&gt;I4141,"Mismatch","OK")</f>
        <v>OK</v>
      </c>
      <c r="Y4141" s="9" t="str">
        <f aca="false">IF(AND(N4141="No",O4141&lt;&gt;""),"Unexpected: channel present but no reminder sent",IF(AND(N4141="Yes",O4141=""),"Missing channel for sent reminder","OK"))</f>
        <v>OK</v>
      </c>
    </row>
    <row r="4142" customFormat="false" ht="15" hidden="false" customHeight="false" outlineLevel="0" collapsed="false">
      <c r="A4142" s="7" t="s">
        <v>5834</v>
      </c>
      <c r="B4142" s="7" t="s">
        <v>743</v>
      </c>
      <c r="C4142" s="7" t="s">
        <v>47</v>
      </c>
      <c r="D4142" s="7" t="n">
        <v>23</v>
      </c>
      <c r="E4142" s="7" t="s">
        <v>82</v>
      </c>
      <c r="F4142" s="7" t="s">
        <v>49</v>
      </c>
      <c r="G4142" s="8" t="n">
        <v>46024</v>
      </c>
      <c r="H4142" s="8" t="n">
        <v>46054</v>
      </c>
      <c r="I4142" s="7" t="s">
        <v>75</v>
      </c>
      <c r="J4142" s="7" t="s">
        <v>51</v>
      </c>
      <c r="K4142" s="7" t="n">
        <v>30</v>
      </c>
      <c r="L4142" s="7" t="n">
        <v>4</v>
      </c>
      <c r="M4142" s="7" t="n">
        <v>0</v>
      </c>
      <c r="N4142" s="7" t="s">
        <v>42</v>
      </c>
      <c r="O4142" s="7" t="s">
        <v>67</v>
      </c>
      <c r="P4142" s="7" t="n">
        <v>11.6</v>
      </c>
      <c r="Q4142" s="7" t="n">
        <v>25</v>
      </c>
      <c r="R4142" s="7" t="s">
        <v>53</v>
      </c>
      <c r="S4142" s="7"/>
      <c r="T4142" s="7"/>
      <c r="U4142" s="7" t="str">
        <f aca="false">IF(COUNTIF($A$2:$A$5001,A4142)&gt;1,"Duplicate","Unique")</f>
        <v>Unique</v>
      </c>
      <c r="V4142" s="7" t="str">
        <f aca="false">IF(COUNTIFS($B$2:$B$5001,B4142,$H$2:$H$5001,H4142,$J$2:$J$5001,J4142)&gt;1,"Possible Duplicate Booking","Unique")</f>
        <v>Unique</v>
      </c>
      <c r="W4142" s="7" t="str">
        <f aca="false">IF((H4142-G4142)&lt;&gt;K4142,"Mismatch","OK")</f>
        <v>OK</v>
      </c>
      <c r="X4142" s="7" t="str">
        <f aca="false">IF(TEXT(H4142,"dddd")&lt;&gt;I4142,"Mismatch","OK")</f>
        <v>OK</v>
      </c>
      <c r="Y4142" s="7" t="str">
        <f aca="false">IF(AND(N4142="No",O4142&lt;&gt;""),"Unexpected: channel present but no reminder sent",IF(AND(N4142="Yes",O4142=""),"Missing channel for sent reminder","OK"))</f>
        <v>OK</v>
      </c>
    </row>
    <row r="4143" customFormat="false" ht="15" hidden="false" customHeight="false" outlineLevel="0" collapsed="false">
      <c r="A4143" s="9" t="s">
        <v>5835</v>
      </c>
      <c r="B4143" s="9" t="s">
        <v>4061</v>
      </c>
      <c r="C4143" s="9" t="s">
        <v>37</v>
      </c>
      <c r="D4143" s="9" t="n">
        <v>59</v>
      </c>
      <c r="E4143" s="9" t="s">
        <v>61</v>
      </c>
      <c r="F4143" s="9" t="s">
        <v>57</v>
      </c>
      <c r="G4143" s="10" t="n">
        <v>46109</v>
      </c>
      <c r="H4143" s="10" t="n">
        <v>46127</v>
      </c>
      <c r="I4143" s="9" t="s">
        <v>58</v>
      </c>
      <c r="J4143" s="9" t="s">
        <v>51</v>
      </c>
      <c r="K4143" s="9" t="n">
        <v>18</v>
      </c>
      <c r="L4143" s="9" t="n">
        <v>0</v>
      </c>
      <c r="M4143" s="9" t="n">
        <v>0</v>
      </c>
      <c r="N4143" s="9" t="s">
        <v>71</v>
      </c>
      <c r="O4143" s="9"/>
      <c r="P4143" s="9" t="n">
        <v>8.8</v>
      </c>
      <c r="Q4143" s="9"/>
      <c r="R4143" s="9" t="s">
        <v>44</v>
      </c>
      <c r="S4143" s="9"/>
      <c r="T4143" s="9"/>
      <c r="U4143" s="9" t="str">
        <f aca="false">IF(COUNTIF($A$2:$A$5001,A4143)&gt;1,"Duplicate","Unique")</f>
        <v>Unique</v>
      </c>
      <c r="V4143" s="9" t="str">
        <f aca="false">IF(COUNTIFS($B$2:$B$5001,B4143,$H$2:$H$5001,H4143,$J$2:$J$5001,J4143)&gt;1,"Possible Duplicate Booking","Unique")</f>
        <v>Unique</v>
      </c>
      <c r="W4143" s="9" t="str">
        <f aca="false">IF((H4143-G4143)&lt;&gt;K4143,"Mismatch","OK")</f>
        <v>OK</v>
      </c>
      <c r="X4143" s="9" t="str">
        <f aca="false">IF(TEXT(H4143,"dddd")&lt;&gt;I4143,"Mismatch","OK")</f>
        <v>OK</v>
      </c>
      <c r="Y4143" s="9" t="str">
        <f aca="false">IF(AND(N4143="No",O4143&lt;&gt;""),"Unexpected: channel present but no reminder sent",IF(AND(N4143="Yes",O4143=""),"Missing channel for sent reminder","OK"))</f>
        <v>OK</v>
      </c>
    </row>
    <row r="4144" customFormat="false" ht="15" hidden="false" customHeight="false" outlineLevel="0" collapsed="false">
      <c r="A4144" s="7" t="s">
        <v>5836</v>
      </c>
      <c r="B4144" s="7" t="s">
        <v>1951</v>
      </c>
      <c r="C4144" s="7" t="s">
        <v>47</v>
      </c>
      <c r="D4144" s="7" t="n">
        <v>67</v>
      </c>
      <c r="E4144" s="7" t="s">
        <v>70</v>
      </c>
      <c r="F4144" s="7" t="s">
        <v>57</v>
      </c>
      <c r="G4144" s="8" t="n">
        <v>45742</v>
      </c>
      <c r="H4144" s="8" t="n">
        <v>45747</v>
      </c>
      <c r="I4144" s="7" t="s">
        <v>66</v>
      </c>
      <c r="J4144" s="7" t="s">
        <v>41</v>
      </c>
      <c r="K4144" s="7" t="n">
        <v>5</v>
      </c>
      <c r="L4144" s="7" t="n">
        <v>1</v>
      </c>
      <c r="M4144" s="7" t="n">
        <v>0</v>
      </c>
      <c r="N4144" s="7" t="s">
        <v>71</v>
      </c>
      <c r="O4144" s="7"/>
      <c r="P4144" s="7" t="n">
        <v>11</v>
      </c>
      <c r="Q4144" s="7" t="n">
        <v>17</v>
      </c>
      <c r="R4144" s="7" t="s">
        <v>53</v>
      </c>
      <c r="S4144" s="7"/>
      <c r="T4144" s="7"/>
      <c r="U4144" s="7" t="str">
        <f aca="false">IF(COUNTIF($A$2:$A$5001,A4144)&gt;1,"Duplicate","Unique")</f>
        <v>Unique</v>
      </c>
      <c r="V4144" s="7" t="str">
        <f aca="false">IF(COUNTIFS($B$2:$B$5001,B4144,$H$2:$H$5001,H4144,$J$2:$J$5001,J4144)&gt;1,"Possible Duplicate Booking","Unique")</f>
        <v>Unique</v>
      </c>
      <c r="W4144" s="7" t="str">
        <f aca="false">IF((H4144-G4144)&lt;&gt;K4144,"Mismatch","OK")</f>
        <v>OK</v>
      </c>
      <c r="X4144" s="7" t="str">
        <f aca="false">IF(TEXT(H4144,"dddd")&lt;&gt;I4144,"Mismatch","OK")</f>
        <v>OK</v>
      </c>
      <c r="Y4144" s="7" t="str">
        <f aca="false">IF(AND(N4144="No",O4144&lt;&gt;""),"Unexpected: channel present but no reminder sent",IF(AND(N4144="Yes",O4144=""),"Missing channel for sent reminder","OK"))</f>
        <v>OK</v>
      </c>
    </row>
    <row r="4145" customFormat="false" ht="15" hidden="false" customHeight="false" outlineLevel="0" collapsed="false">
      <c r="A4145" s="9" t="s">
        <v>5837</v>
      </c>
      <c r="B4145" s="9" t="s">
        <v>5368</v>
      </c>
      <c r="C4145" s="9" t="s">
        <v>37</v>
      </c>
      <c r="D4145" s="9" t="n">
        <v>31</v>
      </c>
      <c r="E4145" s="9" t="s">
        <v>48</v>
      </c>
      <c r="F4145" s="9" t="s">
        <v>39</v>
      </c>
      <c r="G4145" s="10" t="n">
        <v>45849</v>
      </c>
      <c r="H4145" s="10" t="n">
        <v>45902</v>
      </c>
      <c r="I4145" s="9" t="s">
        <v>40</v>
      </c>
      <c r="J4145" s="9" t="s">
        <v>41</v>
      </c>
      <c r="K4145" s="9" t="n">
        <v>53</v>
      </c>
      <c r="L4145" s="9" t="n">
        <v>3</v>
      </c>
      <c r="M4145" s="9" t="n">
        <v>0</v>
      </c>
      <c r="N4145" s="9" t="s">
        <v>42</v>
      </c>
      <c r="O4145" s="9" t="s">
        <v>67</v>
      </c>
      <c r="P4145" s="9" t="n">
        <v>6.7</v>
      </c>
      <c r="Q4145" s="9" t="n">
        <v>41</v>
      </c>
      <c r="R4145" s="9" t="s">
        <v>44</v>
      </c>
      <c r="S4145" s="9"/>
      <c r="T4145" s="9"/>
      <c r="U4145" s="9" t="str">
        <f aca="false">IF(COUNTIF($A$2:$A$5001,A4145)&gt;1,"Duplicate","Unique")</f>
        <v>Unique</v>
      </c>
      <c r="V4145" s="9" t="str">
        <f aca="false">IF(COUNTIFS($B$2:$B$5001,B4145,$H$2:$H$5001,H4145,$J$2:$J$5001,J4145)&gt;1,"Possible Duplicate Booking","Unique")</f>
        <v>Unique</v>
      </c>
      <c r="W4145" s="9" t="str">
        <f aca="false">IF((H4145-G4145)&lt;&gt;K4145,"Mismatch","OK")</f>
        <v>OK</v>
      </c>
      <c r="X4145" s="9" t="str">
        <f aca="false">IF(TEXT(H4145,"dddd")&lt;&gt;I4145,"Mismatch","OK")</f>
        <v>OK</v>
      </c>
      <c r="Y4145" s="9" t="str">
        <f aca="false">IF(AND(N4145="No",O4145&lt;&gt;""),"Unexpected: channel present but no reminder sent",IF(AND(N4145="Yes",O4145=""),"Missing channel for sent reminder","OK"))</f>
        <v>OK</v>
      </c>
    </row>
    <row r="4146" customFormat="false" ht="15" hidden="false" customHeight="false" outlineLevel="0" collapsed="false">
      <c r="A4146" s="7" t="s">
        <v>5838</v>
      </c>
      <c r="B4146" s="7" t="s">
        <v>1756</v>
      </c>
      <c r="C4146" s="7" t="s">
        <v>37</v>
      </c>
      <c r="D4146" s="7" t="n">
        <v>56</v>
      </c>
      <c r="E4146" s="7" t="s">
        <v>61</v>
      </c>
      <c r="F4146" s="7" t="s">
        <v>39</v>
      </c>
      <c r="G4146" s="8" t="n">
        <v>45678</v>
      </c>
      <c r="H4146" s="8" t="n">
        <v>45728</v>
      </c>
      <c r="I4146" s="7" t="s">
        <v>58</v>
      </c>
      <c r="J4146" s="7" t="s">
        <v>41</v>
      </c>
      <c r="K4146" s="7" t="n">
        <v>50</v>
      </c>
      <c r="L4146" s="7" t="n">
        <v>2</v>
      </c>
      <c r="M4146" s="7" t="n">
        <v>0</v>
      </c>
      <c r="N4146" s="7" t="s">
        <v>42</v>
      </c>
      <c r="O4146" s="7" t="s">
        <v>43</v>
      </c>
      <c r="P4146" s="7" t="n">
        <v>2.2</v>
      </c>
      <c r="Q4146" s="7" t="n">
        <v>21</v>
      </c>
      <c r="R4146" s="7" t="s">
        <v>53</v>
      </c>
      <c r="S4146" s="7"/>
      <c r="T4146" s="7"/>
      <c r="U4146" s="7" t="str">
        <f aca="false">IF(COUNTIF($A$2:$A$5001,A4146)&gt;1,"Duplicate","Unique")</f>
        <v>Unique</v>
      </c>
      <c r="V4146" s="7" t="str">
        <f aca="false">IF(COUNTIFS($B$2:$B$5001,B4146,$H$2:$H$5001,H4146,$J$2:$J$5001,J4146)&gt;1,"Possible Duplicate Booking","Unique")</f>
        <v>Unique</v>
      </c>
      <c r="W4146" s="7" t="str">
        <f aca="false">IF((H4146-G4146)&lt;&gt;K4146,"Mismatch","OK")</f>
        <v>OK</v>
      </c>
      <c r="X4146" s="7" t="str">
        <f aca="false">IF(TEXT(H4146,"dddd")&lt;&gt;I4146,"Mismatch","OK")</f>
        <v>OK</v>
      </c>
      <c r="Y4146" s="7" t="str">
        <f aca="false">IF(AND(N4146="No",O4146&lt;&gt;""),"Unexpected: channel present but no reminder sent",IF(AND(N4146="Yes",O4146=""),"Missing channel for sent reminder","OK"))</f>
        <v>OK</v>
      </c>
    </row>
    <row r="4147" customFormat="false" ht="15" hidden="false" customHeight="false" outlineLevel="0" collapsed="false">
      <c r="A4147" s="9" t="s">
        <v>5839</v>
      </c>
      <c r="B4147" s="9" t="s">
        <v>4043</v>
      </c>
      <c r="C4147" s="9" t="s">
        <v>37</v>
      </c>
      <c r="D4147" s="9" t="n">
        <v>37</v>
      </c>
      <c r="E4147" s="9" t="s">
        <v>38</v>
      </c>
      <c r="F4147" s="9" t="s">
        <v>57</v>
      </c>
      <c r="G4147" s="10" t="n">
        <v>45801</v>
      </c>
      <c r="H4147" s="10" t="n">
        <v>45810</v>
      </c>
      <c r="I4147" s="9" t="s">
        <v>66</v>
      </c>
      <c r="J4147" s="9" t="s">
        <v>51</v>
      </c>
      <c r="K4147" s="9" t="n">
        <v>9</v>
      </c>
      <c r="L4147" s="9" t="n">
        <v>3</v>
      </c>
      <c r="M4147" s="9" t="n">
        <v>1</v>
      </c>
      <c r="N4147" s="9" t="s">
        <v>42</v>
      </c>
      <c r="O4147" s="9" t="s">
        <v>52</v>
      </c>
      <c r="P4147" s="9" t="n">
        <v>15</v>
      </c>
      <c r="Q4147" s="9" t="n">
        <v>19</v>
      </c>
      <c r="R4147" s="9" t="s">
        <v>87</v>
      </c>
      <c r="S4147" s="9"/>
      <c r="T4147" s="9"/>
      <c r="U4147" s="9" t="str">
        <f aca="false">IF(COUNTIF($A$2:$A$5001,A4147)&gt;1,"Duplicate","Unique")</f>
        <v>Unique</v>
      </c>
      <c r="V4147" s="9" t="str">
        <f aca="false">IF(COUNTIFS($B$2:$B$5001,B4147,$H$2:$H$5001,H4147,$J$2:$J$5001,J4147)&gt;1,"Possible Duplicate Booking","Unique")</f>
        <v>Unique</v>
      </c>
      <c r="W4147" s="9" t="str">
        <f aca="false">IF((H4147-G4147)&lt;&gt;K4147,"Mismatch","OK")</f>
        <v>OK</v>
      </c>
      <c r="X4147" s="9" t="str">
        <f aca="false">IF(TEXT(H4147,"dddd")&lt;&gt;I4147,"Mismatch","OK")</f>
        <v>OK</v>
      </c>
      <c r="Y4147" s="9" t="str">
        <f aca="false">IF(AND(N4147="No",O4147&lt;&gt;""),"Unexpected: channel present but no reminder sent",IF(AND(N4147="Yes",O4147=""),"Missing channel for sent reminder","OK"))</f>
        <v>OK</v>
      </c>
    </row>
    <row r="4148" customFormat="false" ht="15" hidden="false" customHeight="false" outlineLevel="0" collapsed="false">
      <c r="A4148" s="7" t="s">
        <v>5840</v>
      </c>
      <c r="B4148" s="7" t="s">
        <v>5841</v>
      </c>
      <c r="C4148" s="7" t="s">
        <v>47</v>
      </c>
      <c r="D4148" s="7" t="n">
        <v>43</v>
      </c>
      <c r="E4148" s="7" t="s">
        <v>38</v>
      </c>
      <c r="F4148" s="7" t="s">
        <v>39</v>
      </c>
      <c r="G4148" s="8" t="n">
        <v>45841</v>
      </c>
      <c r="H4148" s="8" t="n">
        <v>45883</v>
      </c>
      <c r="I4148" s="7" t="s">
        <v>62</v>
      </c>
      <c r="J4148" s="7" t="s">
        <v>41</v>
      </c>
      <c r="K4148" s="7" t="n">
        <v>42</v>
      </c>
      <c r="L4148" s="7" t="n">
        <v>3</v>
      </c>
      <c r="M4148" s="7" t="n">
        <v>1</v>
      </c>
      <c r="N4148" s="7" t="s">
        <v>42</v>
      </c>
      <c r="O4148" s="7" t="s">
        <v>52</v>
      </c>
      <c r="P4148" s="7" t="n">
        <v>10.7</v>
      </c>
      <c r="Q4148" s="7" t="n">
        <v>24</v>
      </c>
      <c r="R4148" s="7" t="s">
        <v>53</v>
      </c>
      <c r="S4148" s="7"/>
      <c r="T4148" s="7"/>
      <c r="U4148" s="7" t="str">
        <f aca="false">IF(COUNTIF($A$2:$A$5001,A4148)&gt;1,"Duplicate","Unique")</f>
        <v>Unique</v>
      </c>
      <c r="V4148" s="7" t="str">
        <f aca="false">IF(COUNTIFS($B$2:$B$5001,B4148,$H$2:$H$5001,H4148,$J$2:$J$5001,J4148)&gt;1,"Possible Duplicate Booking","Unique")</f>
        <v>Unique</v>
      </c>
      <c r="W4148" s="7" t="str">
        <f aca="false">IF((H4148-G4148)&lt;&gt;K4148,"Mismatch","OK")</f>
        <v>OK</v>
      </c>
      <c r="X4148" s="7" t="str">
        <f aca="false">IF(TEXT(H4148,"dddd")&lt;&gt;I4148,"Mismatch","OK")</f>
        <v>OK</v>
      </c>
      <c r="Y4148" s="7" t="str">
        <f aca="false">IF(AND(N4148="No",O4148&lt;&gt;""),"Unexpected: channel present but no reminder sent",IF(AND(N4148="Yes",O4148=""),"Missing channel for sent reminder","OK"))</f>
        <v>OK</v>
      </c>
    </row>
    <row r="4149" customFormat="false" ht="15" hidden="false" customHeight="false" outlineLevel="0" collapsed="false">
      <c r="A4149" s="9" t="s">
        <v>5842</v>
      </c>
      <c r="B4149" s="9" t="s">
        <v>4705</v>
      </c>
      <c r="C4149" s="9" t="s">
        <v>37</v>
      </c>
      <c r="D4149" s="9" t="n">
        <v>51</v>
      </c>
      <c r="E4149" s="9" t="s">
        <v>56</v>
      </c>
      <c r="F4149" s="9" t="s">
        <v>57</v>
      </c>
      <c r="G4149" s="10" t="n">
        <v>46103</v>
      </c>
      <c r="H4149" s="10" t="n">
        <v>46125</v>
      </c>
      <c r="I4149" s="9" t="s">
        <v>66</v>
      </c>
      <c r="J4149" s="9" t="s">
        <v>51</v>
      </c>
      <c r="K4149" s="9" t="n">
        <v>22</v>
      </c>
      <c r="L4149" s="9" t="n">
        <v>4</v>
      </c>
      <c r="M4149" s="9" t="n">
        <v>0</v>
      </c>
      <c r="N4149" s="9" t="s">
        <v>42</v>
      </c>
      <c r="O4149" s="9" t="s">
        <v>43</v>
      </c>
      <c r="P4149" s="9" t="n">
        <v>19.2</v>
      </c>
      <c r="Q4149" s="9" t="n">
        <v>9</v>
      </c>
      <c r="R4149" s="9" t="s">
        <v>53</v>
      </c>
      <c r="S4149" s="9"/>
      <c r="T4149" s="9"/>
      <c r="U4149" s="9" t="str">
        <f aca="false">IF(COUNTIF($A$2:$A$5001,A4149)&gt;1,"Duplicate","Unique")</f>
        <v>Unique</v>
      </c>
      <c r="V4149" s="9" t="str">
        <f aca="false">IF(COUNTIFS($B$2:$B$5001,B4149,$H$2:$H$5001,H4149,$J$2:$J$5001,J4149)&gt;1,"Possible Duplicate Booking","Unique")</f>
        <v>Unique</v>
      </c>
      <c r="W4149" s="9" t="str">
        <f aca="false">IF((H4149-G4149)&lt;&gt;K4149,"Mismatch","OK")</f>
        <v>OK</v>
      </c>
      <c r="X4149" s="9" t="str">
        <f aca="false">IF(TEXT(H4149,"dddd")&lt;&gt;I4149,"Mismatch","OK")</f>
        <v>OK</v>
      </c>
      <c r="Y4149" s="9" t="str">
        <f aca="false">IF(AND(N4149="No",O4149&lt;&gt;""),"Unexpected: channel present but no reminder sent",IF(AND(N4149="Yes",O4149=""),"Missing channel for sent reminder","OK"))</f>
        <v>OK</v>
      </c>
    </row>
    <row r="4150" customFormat="false" ht="15" hidden="false" customHeight="false" outlineLevel="0" collapsed="false">
      <c r="A4150" s="7" t="s">
        <v>5843</v>
      </c>
      <c r="B4150" s="7" t="s">
        <v>5844</v>
      </c>
      <c r="C4150" s="7" t="s">
        <v>37</v>
      </c>
      <c r="D4150" s="7" t="n">
        <v>33</v>
      </c>
      <c r="E4150" s="7" t="s">
        <v>48</v>
      </c>
      <c r="F4150" s="7" t="s">
        <v>57</v>
      </c>
      <c r="G4150" s="8" t="n">
        <v>46103</v>
      </c>
      <c r="H4150" s="8" t="n">
        <v>46129</v>
      </c>
      <c r="I4150" s="7" t="s">
        <v>50</v>
      </c>
      <c r="J4150" s="7" t="s">
        <v>41</v>
      </c>
      <c r="K4150" s="7" t="n">
        <v>26</v>
      </c>
      <c r="L4150" s="7" t="n">
        <v>1</v>
      </c>
      <c r="M4150" s="7" t="n">
        <v>0</v>
      </c>
      <c r="N4150" s="7" t="s">
        <v>42</v>
      </c>
      <c r="O4150" s="7" t="s">
        <v>67</v>
      </c>
      <c r="P4150" s="7" t="n">
        <v>13.6</v>
      </c>
      <c r="Q4150" s="7"/>
      <c r="R4150" s="7" t="s">
        <v>53</v>
      </c>
      <c r="S4150" s="7"/>
      <c r="T4150" s="7"/>
      <c r="U4150" s="7" t="str">
        <f aca="false">IF(COUNTIF($A$2:$A$5001,A4150)&gt;1,"Duplicate","Unique")</f>
        <v>Unique</v>
      </c>
      <c r="V4150" s="7" t="str">
        <f aca="false">IF(COUNTIFS($B$2:$B$5001,B4150,$H$2:$H$5001,H4150,$J$2:$J$5001,J4150)&gt;1,"Possible Duplicate Booking","Unique")</f>
        <v>Unique</v>
      </c>
      <c r="W4150" s="7" t="str">
        <f aca="false">IF((H4150-G4150)&lt;&gt;K4150,"Mismatch","OK")</f>
        <v>OK</v>
      </c>
      <c r="X4150" s="7" t="str">
        <f aca="false">IF(TEXT(H4150,"dddd")&lt;&gt;I4150,"Mismatch","OK")</f>
        <v>OK</v>
      </c>
      <c r="Y4150" s="7" t="str">
        <f aca="false">IF(AND(N4150="No",O4150&lt;&gt;""),"Unexpected: channel present but no reminder sent",IF(AND(N4150="Yes",O4150=""),"Missing channel for sent reminder","OK"))</f>
        <v>OK</v>
      </c>
    </row>
    <row r="4151" customFormat="false" ht="15" hidden="false" customHeight="false" outlineLevel="0" collapsed="false">
      <c r="A4151" s="9" t="s">
        <v>5845</v>
      </c>
      <c r="B4151" s="9" t="s">
        <v>1494</v>
      </c>
      <c r="C4151" s="9" t="s">
        <v>47</v>
      </c>
      <c r="D4151" s="9" t="n">
        <v>68</v>
      </c>
      <c r="E4151" s="9" t="s">
        <v>70</v>
      </c>
      <c r="F4151" s="9" t="s">
        <v>49</v>
      </c>
      <c r="G4151" s="10" t="n">
        <v>45819</v>
      </c>
      <c r="H4151" s="10" t="n">
        <v>45870</v>
      </c>
      <c r="I4151" s="9" t="s">
        <v>50</v>
      </c>
      <c r="J4151" s="9" t="s">
        <v>63</v>
      </c>
      <c r="K4151" s="9" t="n">
        <v>51</v>
      </c>
      <c r="L4151" s="9" t="n">
        <v>2</v>
      </c>
      <c r="M4151" s="9" t="n">
        <v>1</v>
      </c>
      <c r="N4151" s="9" t="s">
        <v>71</v>
      </c>
      <c r="O4151" s="9"/>
      <c r="P4151" s="9" t="n">
        <v>4.7</v>
      </c>
      <c r="Q4151" s="9" t="n">
        <v>2</v>
      </c>
      <c r="R4151" s="9" t="s">
        <v>44</v>
      </c>
      <c r="S4151" s="9"/>
      <c r="T4151" s="9"/>
      <c r="U4151" s="9" t="str">
        <f aca="false">IF(COUNTIF($A$2:$A$5001,A4151)&gt;1,"Duplicate","Unique")</f>
        <v>Unique</v>
      </c>
      <c r="V4151" s="9" t="str">
        <f aca="false">IF(COUNTIFS($B$2:$B$5001,B4151,$H$2:$H$5001,H4151,$J$2:$J$5001,J4151)&gt;1,"Possible Duplicate Booking","Unique")</f>
        <v>Unique</v>
      </c>
      <c r="W4151" s="9" t="str">
        <f aca="false">IF((H4151-G4151)&lt;&gt;K4151,"Mismatch","OK")</f>
        <v>OK</v>
      </c>
      <c r="X4151" s="9" t="str">
        <f aca="false">IF(TEXT(H4151,"dddd")&lt;&gt;I4151,"Mismatch","OK")</f>
        <v>OK</v>
      </c>
      <c r="Y4151" s="9" t="str">
        <f aca="false">IF(AND(N4151="No",O4151&lt;&gt;""),"Unexpected: channel present but no reminder sent",IF(AND(N4151="Yes",O4151=""),"Missing channel for sent reminder","OK"))</f>
        <v>OK</v>
      </c>
    </row>
    <row r="4152" customFormat="false" ht="15" hidden="false" customHeight="false" outlineLevel="0" collapsed="false">
      <c r="A4152" s="7" t="s">
        <v>5846</v>
      </c>
      <c r="B4152" s="7" t="s">
        <v>3886</v>
      </c>
      <c r="C4152" s="7" t="s">
        <v>47</v>
      </c>
      <c r="D4152" s="7" t="n">
        <v>42</v>
      </c>
      <c r="E4152" s="7" t="s">
        <v>38</v>
      </c>
      <c r="F4152" s="7" t="s">
        <v>39</v>
      </c>
      <c r="G4152" s="8" t="n">
        <v>45786</v>
      </c>
      <c r="H4152" s="8" t="n">
        <v>45837</v>
      </c>
      <c r="I4152" s="7" t="s">
        <v>75</v>
      </c>
      <c r="J4152" s="7" t="s">
        <v>51</v>
      </c>
      <c r="K4152" s="7" t="n">
        <v>51</v>
      </c>
      <c r="L4152" s="7" t="n">
        <v>6</v>
      </c>
      <c r="M4152" s="7" t="n">
        <v>1</v>
      </c>
      <c r="N4152" s="7" t="s">
        <v>42</v>
      </c>
      <c r="O4152" s="7" t="s">
        <v>52</v>
      </c>
      <c r="P4152" s="7" t="n">
        <v>1.8</v>
      </c>
      <c r="Q4152" s="7" t="n">
        <v>28</v>
      </c>
      <c r="R4152" s="7" t="s">
        <v>53</v>
      </c>
      <c r="S4152" s="7"/>
      <c r="T4152" s="7"/>
      <c r="U4152" s="7" t="str">
        <f aca="false">IF(COUNTIF($A$2:$A$5001,A4152)&gt;1,"Duplicate","Unique")</f>
        <v>Unique</v>
      </c>
      <c r="V4152" s="7" t="str">
        <f aca="false">IF(COUNTIFS($B$2:$B$5001,B4152,$H$2:$H$5001,H4152,$J$2:$J$5001,J4152)&gt;1,"Possible Duplicate Booking","Unique")</f>
        <v>Unique</v>
      </c>
      <c r="W4152" s="7" t="str">
        <f aca="false">IF((H4152-G4152)&lt;&gt;K4152,"Mismatch","OK")</f>
        <v>OK</v>
      </c>
      <c r="X4152" s="7" t="str">
        <f aca="false">IF(TEXT(H4152,"dddd")&lt;&gt;I4152,"Mismatch","OK")</f>
        <v>OK</v>
      </c>
      <c r="Y4152" s="7" t="str">
        <f aca="false">IF(AND(N4152="No",O4152&lt;&gt;""),"Unexpected: channel present but no reminder sent",IF(AND(N4152="Yes",O4152=""),"Missing channel for sent reminder","OK"))</f>
        <v>OK</v>
      </c>
    </row>
    <row r="4153" customFormat="false" ht="15" hidden="false" customHeight="false" outlineLevel="0" collapsed="false">
      <c r="A4153" s="9" t="s">
        <v>5847</v>
      </c>
      <c r="B4153" s="9" t="s">
        <v>2399</v>
      </c>
      <c r="C4153" s="9" t="s">
        <v>37</v>
      </c>
      <c r="D4153" s="9" t="n">
        <v>47</v>
      </c>
      <c r="E4153" s="9" t="s">
        <v>56</v>
      </c>
      <c r="F4153" s="9" t="s">
        <v>39</v>
      </c>
      <c r="G4153" s="10" t="n">
        <v>45936</v>
      </c>
      <c r="H4153" s="10" t="n">
        <v>45947</v>
      </c>
      <c r="I4153" s="9" t="s">
        <v>50</v>
      </c>
      <c r="J4153" s="9" t="s">
        <v>41</v>
      </c>
      <c r="K4153" s="9" t="n">
        <v>11</v>
      </c>
      <c r="L4153" s="9" t="n">
        <v>2</v>
      </c>
      <c r="M4153" s="9" t="n">
        <v>0</v>
      </c>
      <c r="N4153" s="9" t="s">
        <v>71</v>
      </c>
      <c r="O4153" s="9"/>
      <c r="P4153" s="9" t="n">
        <v>11.4</v>
      </c>
      <c r="Q4153" s="9" t="n">
        <v>34</v>
      </c>
      <c r="R4153" s="9" t="s">
        <v>44</v>
      </c>
      <c r="S4153" s="9"/>
      <c r="T4153" s="9"/>
      <c r="U4153" s="9" t="str">
        <f aca="false">IF(COUNTIF($A$2:$A$5001,A4153)&gt;1,"Duplicate","Unique")</f>
        <v>Unique</v>
      </c>
      <c r="V4153" s="9" t="str">
        <f aca="false">IF(COUNTIFS($B$2:$B$5001,B4153,$H$2:$H$5001,H4153,$J$2:$J$5001,J4153)&gt;1,"Possible Duplicate Booking","Unique")</f>
        <v>Unique</v>
      </c>
      <c r="W4153" s="9" t="str">
        <f aca="false">IF((H4153-G4153)&lt;&gt;K4153,"Mismatch","OK")</f>
        <v>OK</v>
      </c>
      <c r="X4153" s="9" t="str">
        <f aca="false">IF(TEXT(H4153,"dddd")&lt;&gt;I4153,"Mismatch","OK")</f>
        <v>OK</v>
      </c>
      <c r="Y4153" s="9" t="str">
        <f aca="false">IF(AND(N4153="No",O4153&lt;&gt;""),"Unexpected: channel present but no reminder sent",IF(AND(N4153="Yes",O4153=""),"Missing channel for sent reminder","OK"))</f>
        <v>OK</v>
      </c>
    </row>
    <row r="4154" customFormat="false" ht="15" hidden="false" customHeight="false" outlineLevel="0" collapsed="false">
      <c r="A4154" s="7" t="s">
        <v>5848</v>
      </c>
      <c r="B4154" s="7" t="s">
        <v>2745</v>
      </c>
      <c r="C4154" s="7" t="s">
        <v>37</v>
      </c>
      <c r="D4154" s="7" t="n">
        <v>69</v>
      </c>
      <c r="E4154" s="7" t="s">
        <v>70</v>
      </c>
      <c r="F4154" s="7" t="s">
        <v>39</v>
      </c>
      <c r="G4154" s="8" t="n">
        <v>46137</v>
      </c>
      <c r="H4154" s="8" t="n">
        <v>46155</v>
      </c>
      <c r="I4154" s="7" t="s">
        <v>58</v>
      </c>
      <c r="J4154" s="7" t="s">
        <v>41</v>
      </c>
      <c r="K4154" s="7" t="n">
        <v>18</v>
      </c>
      <c r="L4154" s="7" t="n">
        <v>2</v>
      </c>
      <c r="M4154" s="7" t="n">
        <v>0</v>
      </c>
      <c r="N4154" s="7" t="s">
        <v>42</v>
      </c>
      <c r="O4154" s="7" t="s">
        <v>52</v>
      </c>
      <c r="P4154" s="7" t="n">
        <v>8.8</v>
      </c>
      <c r="Q4154" s="7" t="n">
        <v>27</v>
      </c>
      <c r="R4154" s="7" t="s">
        <v>87</v>
      </c>
      <c r="S4154" s="7"/>
      <c r="T4154" s="7"/>
      <c r="U4154" s="7" t="str">
        <f aca="false">IF(COUNTIF($A$2:$A$5001,A4154)&gt;1,"Duplicate","Unique")</f>
        <v>Unique</v>
      </c>
      <c r="V4154" s="7" t="str">
        <f aca="false">IF(COUNTIFS($B$2:$B$5001,B4154,$H$2:$H$5001,H4154,$J$2:$J$5001,J4154)&gt;1,"Possible Duplicate Booking","Unique")</f>
        <v>Unique</v>
      </c>
      <c r="W4154" s="7" t="str">
        <f aca="false">IF((H4154-G4154)&lt;&gt;K4154,"Mismatch","OK")</f>
        <v>OK</v>
      </c>
      <c r="X4154" s="7" t="str">
        <f aca="false">IF(TEXT(H4154,"dddd")&lt;&gt;I4154,"Mismatch","OK")</f>
        <v>OK</v>
      </c>
      <c r="Y4154" s="7" t="str">
        <f aca="false">IF(AND(N4154="No",O4154&lt;&gt;""),"Unexpected: channel present but no reminder sent",IF(AND(N4154="Yes",O4154=""),"Missing channel for sent reminder","OK"))</f>
        <v>OK</v>
      </c>
    </row>
    <row r="4155" customFormat="false" ht="15" hidden="false" customHeight="false" outlineLevel="0" collapsed="false">
      <c r="A4155" s="9" t="s">
        <v>5849</v>
      </c>
      <c r="B4155" s="9" t="s">
        <v>1767</v>
      </c>
      <c r="C4155" s="9" t="s">
        <v>47</v>
      </c>
      <c r="D4155" s="9" t="n">
        <v>32</v>
      </c>
      <c r="E4155" s="9" t="s">
        <v>48</v>
      </c>
      <c r="F4155" s="9" t="s">
        <v>39</v>
      </c>
      <c r="G4155" s="10" t="n">
        <v>46141</v>
      </c>
      <c r="H4155" s="10" t="n">
        <v>46191</v>
      </c>
      <c r="I4155" s="9" t="s">
        <v>62</v>
      </c>
      <c r="J4155" s="9" t="s">
        <v>41</v>
      </c>
      <c r="K4155" s="9" t="n">
        <v>50</v>
      </c>
      <c r="L4155" s="9" t="n">
        <v>7</v>
      </c>
      <c r="M4155" s="9" t="n">
        <v>0</v>
      </c>
      <c r="N4155" s="9" t="s">
        <v>42</v>
      </c>
      <c r="O4155" s="9" t="s">
        <v>52</v>
      </c>
      <c r="P4155" s="9" t="n">
        <v>9.3</v>
      </c>
      <c r="Q4155" s="9" t="n">
        <v>26</v>
      </c>
      <c r="R4155" s="9" t="s">
        <v>44</v>
      </c>
      <c r="S4155" s="9"/>
      <c r="T4155" s="9"/>
      <c r="U4155" s="9" t="str">
        <f aca="false">IF(COUNTIF($A$2:$A$5001,A4155)&gt;1,"Duplicate","Unique")</f>
        <v>Unique</v>
      </c>
      <c r="V4155" s="9" t="str">
        <f aca="false">IF(COUNTIFS($B$2:$B$5001,B4155,$H$2:$H$5001,H4155,$J$2:$J$5001,J4155)&gt;1,"Possible Duplicate Booking","Unique")</f>
        <v>Unique</v>
      </c>
      <c r="W4155" s="9" t="str">
        <f aca="false">IF((H4155-G4155)&lt;&gt;K4155,"Mismatch","OK")</f>
        <v>OK</v>
      </c>
      <c r="X4155" s="9" t="str">
        <f aca="false">IF(TEXT(H4155,"dddd")&lt;&gt;I4155,"Mismatch","OK")</f>
        <v>OK</v>
      </c>
      <c r="Y4155" s="9" t="str">
        <f aca="false">IF(AND(N4155="No",O4155&lt;&gt;""),"Unexpected: channel present but no reminder sent",IF(AND(N4155="Yes",O4155=""),"Missing channel for sent reminder","OK"))</f>
        <v>OK</v>
      </c>
    </row>
    <row r="4156" customFormat="false" ht="15" hidden="false" customHeight="false" outlineLevel="0" collapsed="false">
      <c r="A4156" s="7" t="s">
        <v>5850</v>
      </c>
      <c r="B4156" s="7" t="s">
        <v>1046</v>
      </c>
      <c r="C4156" s="7" t="s">
        <v>37</v>
      </c>
      <c r="D4156" s="7" t="n">
        <v>46</v>
      </c>
      <c r="E4156" s="7" t="s">
        <v>56</v>
      </c>
      <c r="F4156" s="7" t="s">
        <v>57</v>
      </c>
      <c r="G4156" s="8" t="n">
        <v>45726</v>
      </c>
      <c r="H4156" s="8" t="n">
        <v>45781</v>
      </c>
      <c r="I4156" s="7" t="s">
        <v>75</v>
      </c>
      <c r="J4156" s="7" t="s">
        <v>51</v>
      </c>
      <c r="K4156" s="7" t="n">
        <v>55</v>
      </c>
      <c r="L4156" s="7" t="n">
        <v>4</v>
      </c>
      <c r="M4156" s="7" t="n">
        <v>2</v>
      </c>
      <c r="N4156" s="7" t="s">
        <v>42</v>
      </c>
      <c r="O4156" s="7" t="s">
        <v>52</v>
      </c>
      <c r="P4156" s="7" t="n">
        <v>10.8</v>
      </c>
      <c r="Q4156" s="7" t="n">
        <v>23</v>
      </c>
      <c r="R4156" s="7" t="s">
        <v>44</v>
      </c>
      <c r="S4156" s="7"/>
      <c r="T4156" s="7"/>
      <c r="U4156" s="7" t="str">
        <f aca="false">IF(COUNTIF($A$2:$A$5001,A4156)&gt;1,"Duplicate","Unique")</f>
        <v>Unique</v>
      </c>
      <c r="V4156" s="7" t="str">
        <f aca="false">IF(COUNTIFS($B$2:$B$5001,B4156,$H$2:$H$5001,H4156,$J$2:$J$5001,J4156)&gt;1,"Possible Duplicate Booking","Unique")</f>
        <v>Unique</v>
      </c>
      <c r="W4156" s="7" t="str">
        <f aca="false">IF((H4156-G4156)&lt;&gt;K4156,"Mismatch","OK")</f>
        <v>OK</v>
      </c>
      <c r="X4156" s="7" t="str">
        <f aca="false">IF(TEXT(H4156,"dddd")&lt;&gt;I4156,"Mismatch","OK")</f>
        <v>OK</v>
      </c>
      <c r="Y4156" s="7" t="str">
        <f aca="false">IF(AND(N4156="No",O4156&lt;&gt;""),"Unexpected: channel present but no reminder sent",IF(AND(N4156="Yes",O4156=""),"Missing channel for sent reminder","OK"))</f>
        <v>OK</v>
      </c>
    </row>
    <row r="4157" customFormat="false" ht="15" hidden="false" customHeight="false" outlineLevel="0" collapsed="false">
      <c r="A4157" s="9" t="s">
        <v>5851</v>
      </c>
      <c r="B4157" s="9" t="s">
        <v>867</v>
      </c>
      <c r="C4157" s="9" t="s">
        <v>37</v>
      </c>
      <c r="D4157" s="9" t="n">
        <v>80</v>
      </c>
      <c r="E4157" s="9" t="s">
        <v>70</v>
      </c>
      <c r="F4157" s="9" t="s">
        <v>39</v>
      </c>
      <c r="G4157" s="10" t="n">
        <v>45755</v>
      </c>
      <c r="H4157" s="10" t="n">
        <v>45759</v>
      </c>
      <c r="I4157" s="9" t="s">
        <v>102</v>
      </c>
      <c r="J4157" s="9" t="s">
        <v>41</v>
      </c>
      <c r="K4157" s="9" t="n">
        <v>4</v>
      </c>
      <c r="L4157" s="9" t="n">
        <v>5</v>
      </c>
      <c r="M4157" s="9" t="n">
        <v>0</v>
      </c>
      <c r="N4157" s="9" t="s">
        <v>71</v>
      </c>
      <c r="O4157" s="9"/>
      <c r="P4157" s="9" t="n">
        <v>1.6</v>
      </c>
      <c r="Q4157" s="9" t="n">
        <v>40</v>
      </c>
      <c r="R4157" s="9" t="s">
        <v>53</v>
      </c>
      <c r="S4157" s="9"/>
      <c r="T4157" s="9"/>
      <c r="U4157" s="9" t="str">
        <f aca="false">IF(COUNTIF($A$2:$A$5001,A4157)&gt;1,"Duplicate","Unique")</f>
        <v>Unique</v>
      </c>
      <c r="V4157" s="9" t="str">
        <f aca="false">IF(COUNTIFS($B$2:$B$5001,B4157,$H$2:$H$5001,H4157,$J$2:$J$5001,J4157)&gt;1,"Possible Duplicate Booking","Unique")</f>
        <v>Unique</v>
      </c>
      <c r="W4157" s="9" t="str">
        <f aca="false">IF((H4157-G4157)&lt;&gt;K4157,"Mismatch","OK")</f>
        <v>OK</v>
      </c>
      <c r="X4157" s="9" t="str">
        <f aca="false">IF(TEXT(H4157,"dddd")&lt;&gt;I4157,"Mismatch","OK")</f>
        <v>OK</v>
      </c>
      <c r="Y4157" s="9" t="str">
        <f aca="false">IF(AND(N4157="No",O4157&lt;&gt;""),"Unexpected: channel present but no reminder sent",IF(AND(N4157="Yes",O4157=""),"Missing channel for sent reminder","OK"))</f>
        <v>OK</v>
      </c>
    </row>
    <row r="4158" customFormat="false" ht="15" hidden="false" customHeight="false" outlineLevel="0" collapsed="false">
      <c r="A4158" s="7" t="s">
        <v>5852</v>
      </c>
      <c r="B4158" s="7" t="s">
        <v>726</v>
      </c>
      <c r="C4158" s="7" t="s">
        <v>37</v>
      </c>
      <c r="D4158" s="7" t="n">
        <v>43</v>
      </c>
      <c r="E4158" s="7" t="s">
        <v>38</v>
      </c>
      <c r="F4158" s="7" t="s">
        <v>57</v>
      </c>
      <c r="G4158" s="8" t="n">
        <v>45993</v>
      </c>
      <c r="H4158" s="8" t="n">
        <v>46043</v>
      </c>
      <c r="I4158" s="7" t="s">
        <v>58</v>
      </c>
      <c r="J4158" s="7" t="s">
        <v>51</v>
      </c>
      <c r="K4158" s="7" t="n">
        <v>50</v>
      </c>
      <c r="L4158" s="7" t="n">
        <v>3</v>
      </c>
      <c r="M4158" s="7" t="n">
        <v>0</v>
      </c>
      <c r="N4158" s="7" t="s">
        <v>42</v>
      </c>
      <c r="O4158" s="7" t="s">
        <v>43</v>
      </c>
      <c r="P4158" s="7" t="n">
        <v>7.9</v>
      </c>
      <c r="Q4158" s="7" t="n">
        <v>22</v>
      </c>
      <c r="R4158" s="7" t="s">
        <v>53</v>
      </c>
      <c r="S4158" s="7"/>
      <c r="T4158" s="7"/>
      <c r="U4158" s="7" t="str">
        <f aca="false">IF(COUNTIF($A$2:$A$5001,A4158)&gt;1,"Duplicate","Unique")</f>
        <v>Unique</v>
      </c>
      <c r="V4158" s="7" t="str">
        <f aca="false">IF(COUNTIFS($B$2:$B$5001,B4158,$H$2:$H$5001,H4158,$J$2:$J$5001,J4158)&gt;1,"Possible Duplicate Booking","Unique")</f>
        <v>Unique</v>
      </c>
      <c r="W4158" s="7" t="str">
        <f aca="false">IF((H4158-G4158)&lt;&gt;K4158,"Mismatch","OK")</f>
        <v>OK</v>
      </c>
      <c r="X4158" s="7" t="str">
        <f aca="false">IF(TEXT(H4158,"dddd")&lt;&gt;I4158,"Mismatch","OK")</f>
        <v>OK</v>
      </c>
      <c r="Y4158" s="7" t="str">
        <f aca="false">IF(AND(N4158="No",O4158&lt;&gt;""),"Unexpected: channel present but no reminder sent",IF(AND(N4158="Yes",O4158=""),"Missing channel for sent reminder","OK"))</f>
        <v>OK</v>
      </c>
    </row>
    <row r="4159" customFormat="false" ht="15" hidden="false" customHeight="false" outlineLevel="0" collapsed="false">
      <c r="A4159" s="9" t="s">
        <v>5853</v>
      </c>
      <c r="B4159" s="9" t="s">
        <v>2539</v>
      </c>
      <c r="C4159" s="9" t="s">
        <v>37</v>
      </c>
      <c r="D4159" s="9" t="n">
        <v>25</v>
      </c>
      <c r="E4159" s="9" t="s">
        <v>48</v>
      </c>
      <c r="F4159" s="9" t="s">
        <v>39</v>
      </c>
      <c r="G4159" s="10" t="n">
        <v>45793</v>
      </c>
      <c r="H4159" s="10" t="n">
        <v>45822</v>
      </c>
      <c r="I4159" s="9" t="s">
        <v>102</v>
      </c>
      <c r="J4159" s="9" t="s">
        <v>51</v>
      </c>
      <c r="K4159" s="9" t="n">
        <v>29</v>
      </c>
      <c r="L4159" s="9" t="n">
        <v>2</v>
      </c>
      <c r="M4159" s="9" t="n">
        <v>0</v>
      </c>
      <c r="N4159" s="9" t="s">
        <v>42</v>
      </c>
      <c r="O4159" s="9" t="s">
        <v>52</v>
      </c>
      <c r="P4159" s="9" t="n">
        <v>4.7</v>
      </c>
      <c r="Q4159" s="9" t="n">
        <v>33</v>
      </c>
      <c r="R4159" s="9" t="s">
        <v>53</v>
      </c>
      <c r="S4159" s="9"/>
      <c r="T4159" s="9"/>
      <c r="U4159" s="9" t="str">
        <f aca="false">IF(COUNTIF($A$2:$A$5001,A4159)&gt;1,"Duplicate","Unique")</f>
        <v>Unique</v>
      </c>
      <c r="V4159" s="9" t="str">
        <f aca="false">IF(COUNTIFS($B$2:$B$5001,B4159,$H$2:$H$5001,H4159,$J$2:$J$5001,J4159)&gt;1,"Possible Duplicate Booking","Unique")</f>
        <v>Unique</v>
      </c>
      <c r="W4159" s="9" t="str">
        <f aca="false">IF((H4159-G4159)&lt;&gt;K4159,"Mismatch","OK")</f>
        <v>OK</v>
      </c>
      <c r="X4159" s="9" t="str">
        <f aca="false">IF(TEXT(H4159,"dddd")&lt;&gt;I4159,"Mismatch","OK")</f>
        <v>OK</v>
      </c>
      <c r="Y4159" s="9" t="str">
        <f aca="false">IF(AND(N4159="No",O4159&lt;&gt;""),"Unexpected: channel present but no reminder sent",IF(AND(N4159="Yes",O4159=""),"Missing channel for sent reminder","OK"))</f>
        <v>OK</v>
      </c>
    </row>
    <row r="4160" customFormat="false" ht="15" hidden="false" customHeight="false" outlineLevel="0" collapsed="false">
      <c r="A4160" s="7" t="s">
        <v>5854</v>
      </c>
      <c r="B4160" s="7" t="s">
        <v>1708</v>
      </c>
      <c r="C4160" s="7" t="s">
        <v>47</v>
      </c>
      <c r="D4160" s="7" t="n">
        <v>35</v>
      </c>
      <c r="E4160" s="7" t="s">
        <v>38</v>
      </c>
      <c r="F4160" s="7" t="s">
        <v>57</v>
      </c>
      <c r="G4160" s="8" t="n">
        <v>45731</v>
      </c>
      <c r="H4160" s="8" t="n">
        <v>45767</v>
      </c>
      <c r="I4160" s="7" t="s">
        <v>75</v>
      </c>
      <c r="J4160" s="7" t="s">
        <v>41</v>
      </c>
      <c r="K4160" s="7" t="n">
        <v>36</v>
      </c>
      <c r="L4160" s="7" t="n">
        <v>4</v>
      </c>
      <c r="M4160" s="7" t="n">
        <v>0</v>
      </c>
      <c r="N4160" s="7" t="s">
        <v>42</v>
      </c>
      <c r="O4160" s="7" t="s">
        <v>43</v>
      </c>
      <c r="P4160" s="7" t="n">
        <v>9.7</v>
      </c>
      <c r="Q4160" s="7" t="n">
        <v>32</v>
      </c>
      <c r="R4160" s="7" t="s">
        <v>87</v>
      </c>
      <c r="S4160" s="7"/>
      <c r="T4160" s="7"/>
      <c r="U4160" s="7" t="str">
        <f aca="false">IF(COUNTIF($A$2:$A$5001,A4160)&gt;1,"Duplicate","Unique")</f>
        <v>Unique</v>
      </c>
      <c r="V4160" s="7" t="str">
        <f aca="false">IF(COUNTIFS($B$2:$B$5001,B4160,$H$2:$H$5001,H4160,$J$2:$J$5001,J4160)&gt;1,"Possible Duplicate Booking","Unique")</f>
        <v>Unique</v>
      </c>
      <c r="W4160" s="7" t="str">
        <f aca="false">IF((H4160-G4160)&lt;&gt;K4160,"Mismatch","OK")</f>
        <v>OK</v>
      </c>
      <c r="X4160" s="7" t="str">
        <f aca="false">IF(TEXT(H4160,"dddd")&lt;&gt;I4160,"Mismatch","OK")</f>
        <v>OK</v>
      </c>
      <c r="Y4160" s="7" t="str">
        <f aca="false">IF(AND(N4160="No",O4160&lt;&gt;""),"Unexpected: channel present but no reminder sent",IF(AND(N4160="Yes",O4160=""),"Missing channel for sent reminder","OK"))</f>
        <v>OK</v>
      </c>
    </row>
    <row r="4161" customFormat="false" ht="15" hidden="false" customHeight="false" outlineLevel="0" collapsed="false">
      <c r="A4161" s="9" t="s">
        <v>5855</v>
      </c>
      <c r="B4161" s="9" t="s">
        <v>5310</v>
      </c>
      <c r="C4161" s="9" t="s">
        <v>47</v>
      </c>
      <c r="D4161" s="9" t="n">
        <v>78</v>
      </c>
      <c r="E4161" s="9" t="s">
        <v>70</v>
      </c>
      <c r="F4161" s="9" t="s">
        <v>74</v>
      </c>
      <c r="G4161" s="10" t="n">
        <v>45670</v>
      </c>
      <c r="H4161" s="10" t="n">
        <v>45674</v>
      </c>
      <c r="I4161" s="9" t="s">
        <v>50</v>
      </c>
      <c r="J4161" s="9" t="s">
        <v>51</v>
      </c>
      <c r="K4161" s="9" t="n">
        <v>4</v>
      </c>
      <c r="L4161" s="9" t="n">
        <v>2</v>
      </c>
      <c r="M4161" s="9" t="n">
        <v>0</v>
      </c>
      <c r="N4161" s="9" t="s">
        <v>42</v>
      </c>
      <c r="O4161" s="9" t="s">
        <v>52</v>
      </c>
      <c r="P4161" s="9" t="n">
        <v>5</v>
      </c>
      <c r="Q4161" s="9" t="n">
        <v>8</v>
      </c>
      <c r="R4161" s="9" t="s">
        <v>53</v>
      </c>
      <c r="S4161" s="9"/>
      <c r="T4161" s="9"/>
      <c r="U4161" s="9" t="str">
        <f aca="false">IF(COUNTIF($A$2:$A$5001,A4161)&gt;1,"Duplicate","Unique")</f>
        <v>Unique</v>
      </c>
      <c r="V4161" s="9" t="str">
        <f aca="false">IF(COUNTIFS($B$2:$B$5001,B4161,$H$2:$H$5001,H4161,$J$2:$J$5001,J4161)&gt;1,"Possible Duplicate Booking","Unique")</f>
        <v>Unique</v>
      </c>
      <c r="W4161" s="9" t="str">
        <f aca="false">IF((H4161-G4161)&lt;&gt;K4161,"Mismatch","OK")</f>
        <v>OK</v>
      </c>
      <c r="X4161" s="9" t="str">
        <f aca="false">IF(TEXT(H4161,"dddd")&lt;&gt;I4161,"Mismatch","OK")</f>
        <v>OK</v>
      </c>
      <c r="Y4161" s="9" t="str">
        <f aca="false">IF(AND(N4161="No",O4161&lt;&gt;""),"Unexpected: channel present but no reminder sent",IF(AND(N4161="Yes",O4161=""),"Missing channel for sent reminder","OK"))</f>
        <v>OK</v>
      </c>
    </row>
    <row r="4162" customFormat="false" ht="15" hidden="false" customHeight="false" outlineLevel="0" collapsed="false">
      <c r="A4162" s="7" t="s">
        <v>5856</v>
      </c>
      <c r="B4162" s="7" t="s">
        <v>4317</v>
      </c>
      <c r="C4162" s="7" t="s">
        <v>37</v>
      </c>
      <c r="D4162" s="7" t="n">
        <v>65</v>
      </c>
      <c r="E4162" s="7" t="s">
        <v>70</v>
      </c>
      <c r="F4162" s="7" t="s">
        <v>49</v>
      </c>
      <c r="G4162" s="8" t="n">
        <v>45837</v>
      </c>
      <c r="H4162" s="8" t="n">
        <v>45878</v>
      </c>
      <c r="I4162" s="7" t="s">
        <v>102</v>
      </c>
      <c r="J4162" s="7" t="s">
        <v>51</v>
      </c>
      <c r="K4162" s="7" t="n">
        <v>41</v>
      </c>
      <c r="L4162" s="7" t="n">
        <v>1</v>
      </c>
      <c r="M4162" s="7" t="n">
        <v>1</v>
      </c>
      <c r="N4162" s="7" t="s">
        <v>71</v>
      </c>
      <c r="O4162" s="7"/>
      <c r="P4162" s="7" t="n">
        <v>6.7</v>
      </c>
      <c r="Q4162" s="7" t="n">
        <v>31</v>
      </c>
      <c r="R4162" s="7" t="s">
        <v>53</v>
      </c>
      <c r="S4162" s="7"/>
      <c r="T4162" s="7"/>
      <c r="U4162" s="7" t="str">
        <f aca="false">IF(COUNTIF($A$2:$A$5001,A4162)&gt;1,"Duplicate","Unique")</f>
        <v>Unique</v>
      </c>
      <c r="V4162" s="7" t="str">
        <f aca="false">IF(COUNTIFS($B$2:$B$5001,B4162,$H$2:$H$5001,H4162,$J$2:$J$5001,J4162)&gt;1,"Possible Duplicate Booking","Unique")</f>
        <v>Unique</v>
      </c>
      <c r="W4162" s="7" t="str">
        <f aca="false">IF((H4162-G4162)&lt;&gt;K4162,"Mismatch","OK")</f>
        <v>OK</v>
      </c>
      <c r="X4162" s="7" t="str">
        <f aca="false">IF(TEXT(H4162,"dddd")&lt;&gt;I4162,"Mismatch","OK")</f>
        <v>OK</v>
      </c>
      <c r="Y4162" s="7" t="str">
        <f aca="false">IF(AND(N4162="No",O4162&lt;&gt;""),"Unexpected: channel present but no reminder sent",IF(AND(N4162="Yes",O4162=""),"Missing channel for sent reminder","OK"))</f>
        <v>OK</v>
      </c>
    </row>
    <row r="4163" customFormat="false" ht="15" hidden="false" customHeight="false" outlineLevel="0" collapsed="false">
      <c r="A4163" s="9" t="s">
        <v>5857</v>
      </c>
      <c r="B4163" s="9" t="s">
        <v>1455</v>
      </c>
      <c r="C4163" s="9" t="s">
        <v>47</v>
      </c>
      <c r="D4163" s="9" t="n">
        <v>68</v>
      </c>
      <c r="E4163" s="9" t="s">
        <v>70</v>
      </c>
      <c r="F4163" s="9" t="s">
        <v>57</v>
      </c>
      <c r="G4163" s="10" t="n">
        <v>45830</v>
      </c>
      <c r="H4163" s="10" t="n">
        <v>45871</v>
      </c>
      <c r="I4163" s="9" t="s">
        <v>102</v>
      </c>
      <c r="J4163" s="9" t="s">
        <v>63</v>
      </c>
      <c r="K4163" s="9" t="n">
        <v>41</v>
      </c>
      <c r="L4163" s="9" t="n">
        <v>3</v>
      </c>
      <c r="M4163" s="9" t="n">
        <v>0</v>
      </c>
      <c r="N4163" s="9" t="s">
        <v>42</v>
      </c>
      <c r="O4163" s="9" t="s">
        <v>43</v>
      </c>
      <c r="P4163" s="9" t="n">
        <v>6.4</v>
      </c>
      <c r="Q4163" s="9" t="n">
        <v>11</v>
      </c>
      <c r="R4163" s="9" t="s">
        <v>44</v>
      </c>
      <c r="S4163" s="9"/>
      <c r="T4163" s="9"/>
      <c r="U4163" s="9" t="str">
        <f aca="false">IF(COUNTIF($A$2:$A$5001,A4163)&gt;1,"Duplicate","Unique")</f>
        <v>Unique</v>
      </c>
      <c r="V4163" s="9" t="str">
        <f aca="false">IF(COUNTIFS($B$2:$B$5001,B4163,$H$2:$H$5001,H4163,$J$2:$J$5001,J4163)&gt;1,"Possible Duplicate Booking","Unique")</f>
        <v>Unique</v>
      </c>
      <c r="W4163" s="9" t="str">
        <f aca="false">IF((H4163-G4163)&lt;&gt;K4163,"Mismatch","OK")</f>
        <v>OK</v>
      </c>
      <c r="X4163" s="9" t="str">
        <f aca="false">IF(TEXT(H4163,"dddd")&lt;&gt;I4163,"Mismatch","OK")</f>
        <v>OK</v>
      </c>
      <c r="Y4163" s="9" t="str">
        <f aca="false">IF(AND(N4163="No",O4163&lt;&gt;""),"Unexpected: channel present but no reminder sent",IF(AND(N4163="Yes",O4163=""),"Missing channel for sent reminder","OK"))</f>
        <v>OK</v>
      </c>
    </row>
    <row r="4164" customFormat="false" ht="15" hidden="false" customHeight="false" outlineLevel="0" collapsed="false">
      <c r="A4164" s="7" t="s">
        <v>5858</v>
      </c>
      <c r="B4164" s="7" t="s">
        <v>1972</v>
      </c>
      <c r="C4164" s="7" t="s">
        <v>47</v>
      </c>
      <c r="D4164" s="7" t="n">
        <v>33</v>
      </c>
      <c r="E4164" s="7" t="s">
        <v>48</v>
      </c>
      <c r="F4164" s="7" t="s">
        <v>57</v>
      </c>
      <c r="G4164" s="8" t="n">
        <v>45925</v>
      </c>
      <c r="H4164" s="8" t="n">
        <v>45965</v>
      </c>
      <c r="I4164" s="7" t="s">
        <v>40</v>
      </c>
      <c r="J4164" s="7" t="s">
        <v>51</v>
      </c>
      <c r="K4164" s="7" t="n">
        <v>40</v>
      </c>
      <c r="L4164" s="7" t="n">
        <v>7</v>
      </c>
      <c r="M4164" s="7" t="n">
        <v>0</v>
      </c>
      <c r="N4164" s="7" t="s">
        <v>42</v>
      </c>
      <c r="O4164" s="7" t="s">
        <v>52</v>
      </c>
      <c r="P4164" s="7" t="n">
        <v>6.7</v>
      </c>
      <c r="Q4164" s="7" t="n">
        <v>17</v>
      </c>
      <c r="R4164" s="7" t="s">
        <v>44</v>
      </c>
      <c r="S4164" s="7"/>
      <c r="T4164" s="7"/>
      <c r="U4164" s="7" t="str">
        <f aca="false">IF(COUNTIF($A$2:$A$5001,A4164)&gt;1,"Duplicate","Unique")</f>
        <v>Unique</v>
      </c>
      <c r="V4164" s="7" t="str">
        <f aca="false">IF(COUNTIFS($B$2:$B$5001,B4164,$H$2:$H$5001,H4164,$J$2:$J$5001,J4164)&gt;1,"Possible Duplicate Booking","Unique")</f>
        <v>Unique</v>
      </c>
      <c r="W4164" s="7" t="str">
        <f aca="false">IF((H4164-G4164)&lt;&gt;K4164,"Mismatch","OK")</f>
        <v>OK</v>
      </c>
      <c r="X4164" s="7" t="str">
        <f aca="false">IF(TEXT(H4164,"dddd")&lt;&gt;I4164,"Mismatch","OK")</f>
        <v>OK</v>
      </c>
      <c r="Y4164" s="7" t="str">
        <f aca="false">IF(AND(N4164="No",O4164&lt;&gt;""),"Unexpected: channel present but no reminder sent",IF(AND(N4164="Yes",O4164=""),"Missing channel for sent reminder","OK"))</f>
        <v>OK</v>
      </c>
    </row>
    <row r="4165" customFormat="false" ht="15" hidden="false" customHeight="false" outlineLevel="0" collapsed="false">
      <c r="A4165" s="9" t="s">
        <v>5859</v>
      </c>
      <c r="B4165" s="9" t="s">
        <v>4808</v>
      </c>
      <c r="C4165" s="9" t="s">
        <v>47</v>
      </c>
      <c r="D4165" s="9" t="n">
        <v>70</v>
      </c>
      <c r="E4165" s="9" t="s">
        <v>70</v>
      </c>
      <c r="F4165" s="9" t="s">
        <v>57</v>
      </c>
      <c r="G4165" s="10" t="n">
        <v>45719</v>
      </c>
      <c r="H4165" s="10" t="n">
        <v>45767</v>
      </c>
      <c r="I4165" s="9" t="s">
        <v>75</v>
      </c>
      <c r="J4165" s="9" t="s">
        <v>41</v>
      </c>
      <c r="K4165" s="9" t="n">
        <v>48</v>
      </c>
      <c r="L4165" s="9" t="n">
        <v>0</v>
      </c>
      <c r="M4165" s="9" t="n">
        <v>0</v>
      </c>
      <c r="N4165" s="9" t="s">
        <v>71</v>
      </c>
      <c r="O4165" s="9"/>
      <c r="P4165" s="9" t="n">
        <v>14.5</v>
      </c>
      <c r="Q4165" s="9" t="n">
        <v>22</v>
      </c>
      <c r="R4165" s="9" t="s">
        <v>44</v>
      </c>
      <c r="S4165" s="9"/>
      <c r="T4165" s="9"/>
      <c r="U4165" s="9" t="str">
        <f aca="false">IF(COUNTIF($A$2:$A$5001,A4165)&gt;1,"Duplicate","Unique")</f>
        <v>Unique</v>
      </c>
      <c r="V4165" s="9" t="str">
        <f aca="false">IF(COUNTIFS($B$2:$B$5001,B4165,$H$2:$H$5001,H4165,$J$2:$J$5001,J4165)&gt;1,"Possible Duplicate Booking","Unique")</f>
        <v>Unique</v>
      </c>
      <c r="W4165" s="9" t="str">
        <f aca="false">IF((H4165-G4165)&lt;&gt;K4165,"Mismatch","OK")</f>
        <v>OK</v>
      </c>
      <c r="X4165" s="9" t="str">
        <f aca="false">IF(TEXT(H4165,"dddd")&lt;&gt;I4165,"Mismatch","OK")</f>
        <v>OK</v>
      </c>
      <c r="Y4165" s="9" t="str">
        <f aca="false">IF(AND(N4165="No",O4165&lt;&gt;""),"Unexpected: channel present but no reminder sent",IF(AND(N4165="Yes",O4165=""),"Missing channel for sent reminder","OK"))</f>
        <v>OK</v>
      </c>
    </row>
    <row r="4166" customFormat="false" ht="15" hidden="false" customHeight="false" outlineLevel="0" collapsed="false">
      <c r="A4166" s="7" t="s">
        <v>5860</v>
      </c>
      <c r="B4166" s="7" t="s">
        <v>5861</v>
      </c>
      <c r="C4166" s="7" t="s">
        <v>37</v>
      </c>
      <c r="D4166" s="7" t="n">
        <v>42</v>
      </c>
      <c r="E4166" s="7" t="s">
        <v>38</v>
      </c>
      <c r="F4166" s="7" t="s">
        <v>49</v>
      </c>
      <c r="G4166" s="8" t="n">
        <v>45991</v>
      </c>
      <c r="H4166" s="8" t="n">
        <v>46048</v>
      </c>
      <c r="I4166" s="7" t="s">
        <v>66</v>
      </c>
      <c r="J4166" s="7" t="s">
        <v>41</v>
      </c>
      <c r="K4166" s="7" t="n">
        <v>57</v>
      </c>
      <c r="L4166" s="7" t="n">
        <v>2</v>
      </c>
      <c r="M4166" s="7" t="n">
        <v>1</v>
      </c>
      <c r="N4166" s="7" t="s">
        <v>42</v>
      </c>
      <c r="O4166" s="7" t="s">
        <v>43</v>
      </c>
      <c r="P4166" s="7" t="n">
        <v>6.4</v>
      </c>
      <c r="Q4166" s="7" t="n">
        <v>37</v>
      </c>
      <c r="R4166" s="7" t="s">
        <v>44</v>
      </c>
      <c r="S4166" s="7"/>
      <c r="T4166" s="7"/>
      <c r="U4166" s="7" t="str">
        <f aca="false">IF(COUNTIF($A$2:$A$5001,A4166)&gt;1,"Duplicate","Unique")</f>
        <v>Unique</v>
      </c>
      <c r="V4166" s="7" t="str">
        <f aca="false">IF(COUNTIFS($B$2:$B$5001,B4166,$H$2:$H$5001,H4166,$J$2:$J$5001,J4166)&gt;1,"Possible Duplicate Booking","Unique")</f>
        <v>Unique</v>
      </c>
      <c r="W4166" s="7" t="str">
        <f aca="false">IF((H4166-G4166)&lt;&gt;K4166,"Mismatch","OK")</f>
        <v>OK</v>
      </c>
      <c r="X4166" s="7" t="str">
        <f aca="false">IF(TEXT(H4166,"dddd")&lt;&gt;I4166,"Mismatch","OK")</f>
        <v>OK</v>
      </c>
      <c r="Y4166" s="7" t="str">
        <f aca="false">IF(AND(N4166="No",O4166&lt;&gt;""),"Unexpected: channel present but no reminder sent",IF(AND(N4166="Yes",O4166=""),"Missing channel for sent reminder","OK"))</f>
        <v>OK</v>
      </c>
    </row>
    <row r="4167" customFormat="false" ht="15" hidden="false" customHeight="false" outlineLevel="0" collapsed="false">
      <c r="A4167" s="9" t="s">
        <v>5862</v>
      </c>
      <c r="B4167" s="9" t="s">
        <v>1720</v>
      </c>
      <c r="C4167" s="9" t="s">
        <v>37</v>
      </c>
      <c r="D4167" s="9" t="n">
        <v>68</v>
      </c>
      <c r="E4167" s="9" t="s">
        <v>70</v>
      </c>
      <c r="F4167" s="9" t="s">
        <v>39</v>
      </c>
      <c r="G4167" s="10" t="n">
        <v>45978</v>
      </c>
      <c r="H4167" s="10" t="n">
        <v>46029</v>
      </c>
      <c r="I4167" s="9" t="s">
        <v>58</v>
      </c>
      <c r="J4167" s="9" t="s">
        <v>51</v>
      </c>
      <c r="K4167" s="9" t="n">
        <v>51</v>
      </c>
      <c r="L4167" s="9" t="n">
        <v>4</v>
      </c>
      <c r="M4167" s="9" t="n">
        <v>2</v>
      </c>
      <c r="N4167" s="9" t="s">
        <v>71</v>
      </c>
      <c r="O4167" s="9"/>
      <c r="P4167" s="9" t="n">
        <v>15.3</v>
      </c>
      <c r="Q4167" s="9" t="n">
        <v>16</v>
      </c>
      <c r="R4167" s="9" t="s">
        <v>44</v>
      </c>
      <c r="S4167" s="9"/>
      <c r="T4167" s="9"/>
      <c r="U4167" s="9" t="str">
        <f aca="false">IF(COUNTIF($A$2:$A$5001,A4167)&gt;1,"Duplicate","Unique")</f>
        <v>Unique</v>
      </c>
      <c r="V4167" s="9" t="str">
        <f aca="false">IF(COUNTIFS($B$2:$B$5001,B4167,$H$2:$H$5001,H4167,$J$2:$J$5001,J4167)&gt;1,"Possible Duplicate Booking","Unique")</f>
        <v>Unique</v>
      </c>
      <c r="W4167" s="9" t="str">
        <f aca="false">IF((H4167-G4167)&lt;&gt;K4167,"Mismatch","OK")</f>
        <v>OK</v>
      </c>
      <c r="X4167" s="9" t="str">
        <f aca="false">IF(TEXT(H4167,"dddd")&lt;&gt;I4167,"Mismatch","OK")</f>
        <v>OK</v>
      </c>
      <c r="Y4167" s="9" t="str">
        <f aca="false">IF(AND(N4167="No",O4167&lt;&gt;""),"Unexpected: channel present but no reminder sent",IF(AND(N4167="Yes",O4167=""),"Missing channel for sent reminder","OK"))</f>
        <v>OK</v>
      </c>
    </row>
    <row r="4168" customFormat="false" ht="15" hidden="false" customHeight="false" outlineLevel="0" collapsed="false">
      <c r="A4168" s="7" t="s">
        <v>5863</v>
      </c>
      <c r="B4168" s="7" t="s">
        <v>4539</v>
      </c>
      <c r="C4168" s="7" t="s">
        <v>47</v>
      </c>
      <c r="D4168" s="7" t="n">
        <v>73</v>
      </c>
      <c r="E4168" s="7" t="s">
        <v>70</v>
      </c>
      <c r="F4168" s="7" t="s">
        <v>49</v>
      </c>
      <c r="G4168" s="8" t="n">
        <v>45865</v>
      </c>
      <c r="H4168" s="8" t="n">
        <v>45910</v>
      </c>
      <c r="I4168" s="7" t="s">
        <v>58</v>
      </c>
      <c r="J4168" s="7" t="s">
        <v>41</v>
      </c>
      <c r="K4168" s="7" t="n">
        <v>45</v>
      </c>
      <c r="L4168" s="7" t="n">
        <v>8</v>
      </c>
      <c r="M4168" s="7" t="n">
        <v>3</v>
      </c>
      <c r="N4168" s="7" t="s">
        <v>42</v>
      </c>
      <c r="O4168" s="7" t="s">
        <v>52</v>
      </c>
      <c r="P4168" s="7" t="n">
        <v>1.1</v>
      </c>
      <c r="Q4168" s="7" t="n">
        <v>27</v>
      </c>
      <c r="R4168" s="7" t="s">
        <v>44</v>
      </c>
      <c r="S4168" s="7"/>
      <c r="T4168" s="7"/>
      <c r="U4168" s="7" t="str">
        <f aca="false">IF(COUNTIF($A$2:$A$5001,A4168)&gt;1,"Duplicate","Unique")</f>
        <v>Unique</v>
      </c>
      <c r="V4168" s="7" t="str">
        <f aca="false">IF(COUNTIFS($B$2:$B$5001,B4168,$H$2:$H$5001,H4168,$J$2:$J$5001,J4168)&gt;1,"Possible Duplicate Booking","Unique")</f>
        <v>Unique</v>
      </c>
      <c r="W4168" s="7" t="str">
        <f aca="false">IF((H4168-G4168)&lt;&gt;K4168,"Mismatch","OK")</f>
        <v>OK</v>
      </c>
      <c r="X4168" s="7" t="str">
        <f aca="false">IF(TEXT(H4168,"dddd")&lt;&gt;I4168,"Mismatch","OK")</f>
        <v>OK</v>
      </c>
      <c r="Y4168" s="7" t="str">
        <f aca="false">IF(AND(N4168="No",O4168&lt;&gt;""),"Unexpected: channel present but no reminder sent",IF(AND(N4168="Yes",O4168=""),"Missing channel for sent reminder","OK"))</f>
        <v>OK</v>
      </c>
    </row>
    <row r="4169" customFormat="false" ht="15" hidden="false" customHeight="false" outlineLevel="0" collapsed="false">
      <c r="A4169" s="9" t="s">
        <v>5864</v>
      </c>
      <c r="B4169" s="9" t="s">
        <v>5254</v>
      </c>
      <c r="C4169" s="9" t="s">
        <v>47</v>
      </c>
      <c r="D4169" s="9" t="n">
        <v>31</v>
      </c>
      <c r="E4169" s="9" t="s">
        <v>48</v>
      </c>
      <c r="F4169" s="9" t="s">
        <v>74</v>
      </c>
      <c r="G4169" s="10" t="n">
        <v>45698</v>
      </c>
      <c r="H4169" s="10" t="n">
        <v>45757</v>
      </c>
      <c r="I4169" s="9" t="s">
        <v>62</v>
      </c>
      <c r="J4169" s="9" t="s">
        <v>41</v>
      </c>
      <c r="K4169" s="9" t="n">
        <v>59</v>
      </c>
      <c r="L4169" s="9" t="n">
        <v>4</v>
      </c>
      <c r="M4169" s="9" t="n">
        <v>0</v>
      </c>
      <c r="N4169" s="9" t="s">
        <v>71</v>
      </c>
      <c r="O4169" s="9"/>
      <c r="P4169" s="9" t="n">
        <v>5</v>
      </c>
      <c r="Q4169" s="9" t="n">
        <v>6</v>
      </c>
      <c r="R4169" s="9" t="s">
        <v>44</v>
      </c>
      <c r="S4169" s="9"/>
      <c r="T4169" s="9"/>
      <c r="U4169" s="9" t="str">
        <f aca="false">IF(COUNTIF($A$2:$A$5001,A4169)&gt;1,"Duplicate","Unique")</f>
        <v>Unique</v>
      </c>
      <c r="V4169" s="9" t="str">
        <f aca="false">IF(COUNTIFS($B$2:$B$5001,B4169,$H$2:$H$5001,H4169,$J$2:$J$5001,J4169)&gt;1,"Possible Duplicate Booking","Unique")</f>
        <v>Unique</v>
      </c>
      <c r="W4169" s="9" t="str">
        <f aca="false">IF((H4169-G4169)&lt;&gt;K4169,"Mismatch","OK")</f>
        <v>OK</v>
      </c>
      <c r="X4169" s="9" t="str">
        <f aca="false">IF(TEXT(H4169,"dddd")&lt;&gt;I4169,"Mismatch","OK")</f>
        <v>OK</v>
      </c>
      <c r="Y4169" s="9" t="str">
        <f aca="false">IF(AND(N4169="No",O4169&lt;&gt;""),"Unexpected: channel present but no reminder sent",IF(AND(N4169="Yes",O4169=""),"Missing channel for sent reminder","OK"))</f>
        <v>OK</v>
      </c>
    </row>
    <row r="4170" customFormat="false" ht="15" hidden="false" customHeight="false" outlineLevel="0" collapsed="false">
      <c r="A4170" s="7" t="s">
        <v>5865</v>
      </c>
      <c r="B4170" s="7" t="s">
        <v>1483</v>
      </c>
      <c r="C4170" s="7" t="s">
        <v>37</v>
      </c>
      <c r="D4170" s="7" t="n">
        <v>77</v>
      </c>
      <c r="E4170" s="7" t="s">
        <v>70</v>
      </c>
      <c r="F4170" s="7" t="s">
        <v>39</v>
      </c>
      <c r="G4170" s="8" t="n">
        <v>45893</v>
      </c>
      <c r="H4170" s="8" t="n">
        <v>45934</v>
      </c>
      <c r="I4170" s="7" t="s">
        <v>102</v>
      </c>
      <c r="J4170" s="7" t="s">
        <v>41</v>
      </c>
      <c r="K4170" s="7" t="n">
        <v>41</v>
      </c>
      <c r="L4170" s="7" t="n">
        <v>3</v>
      </c>
      <c r="M4170" s="7" t="n">
        <v>1</v>
      </c>
      <c r="N4170" s="7" t="s">
        <v>42</v>
      </c>
      <c r="O4170" s="7" t="s">
        <v>52</v>
      </c>
      <c r="P4170" s="7" t="n">
        <v>1.5</v>
      </c>
      <c r="Q4170" s="7" t="n">
        <v>21</v>
      </c>
      <c r="R4170" s="7" t="s">
        <v>44</v>
      </c>
      <c r="S4170" s="7"/>
      <c r="T4170" s="7"/>
      <c r="U4170" s="7" t="str">
        <f aca="false">IF(COUNTIF($A$2:$A$5001,A4170)&gt;1,"Duplicate","Unique")</f>
        <v>Unique</v>
      </c>
      <c r="V4170" s="7" t="str">
        <f aca="false">IF(COUNTIFS($B$2:$B$5001,B4170,$H$2:$H$5001,H4170,$J$2:$J$5001,J4170)&gt;1,"Possible Duplicate Booking","Unique")</f>
        <v>Unique</v>
      </c>
      <c r="W4170" s="7" t="str">
        <f aca="false">IF((H4170-G4170)&lt;&gt;K4170,"Mismatch","OK")</f>
        <v>OK</v>
      </c>
      <c r="X4170" s="7" t="str">
        <f aca="false">IF(TEXT(H4170,"dddd")&lt;&gt;I4170,"Mismatch","OK")</f>
        <v>OK</v>
      </c>
      <c r="Y4170" s="7" t="str">
        <f aca="false">IF(AND(N4170="No",O4170&lt;&gt;""),"Unexpected: channel present but no reminder sent",IF(AND(N4170="Yes",O4170=""),"Missing channel for sent reminder","OK"))</f>
        <v>OK</v>
      </c>
    </row>
    <row r="4171" customFormat="false" ht="15" hidden="false" customHeight="false" outlineLevel="0" collapsed="false">
      <c r="A4171" s="9" t="s">
        <v>5866</v>
      </c>
      <c r="B4171" s="9" t="s">
        <v>607</v>
      </c>
      <c r="C4171" s="9" t="s">
        <v>37</v>
      </c>
      <c r="D4171" s="9" t="n">
        <v>57</v>
      </c>
      <c r="E4171" s="9" t="s">
        <v>61</v>
      </c>
      <c r="F4171" s="9" t="s">
        <v>39</v>
      </c>
      <c r="G4171" s="10" t="n">
        <v>45986</v>
      </c>
      <c r="H4171" s="10" t="n">
        <v>46026</v>
      </c>
      <c r="I4171" s="9" t="s">
        <v>75</v>
      </c>
      <c r="J4171" s="9" t="s">
        <v>41</v>
      </c>
      <c r="K4171" s="9" t="n">
        <v>40</v>
      </c>
      <c r="L4171" s="9" t="n">
        <v>3</v>
      </c>
      <c r="M4171" s="9" t="n">
        <v>1</v>
      </c>
      <c r="N4171" s="9" t="s">
        <v>42</v>
      </c>
      <c r="O4171" s="9" t="s">
        <v>52</v>
      </c>
      <c r="P4171" s="9" t="n">
        <v>13.1</v>
      </c>
      <c r="Q4171" s="9" t="n">
        <v>18</v>
      </c>
      <c r="R4171" s="9" t="s">
        <v>44</v>
      </c>
      <c r="S4171" s="9"/>
      <c r="T4171" s="9"/>
      <c r="U4171" s="9" t="str">
        <f aca="false">IF(COUNTIF($A$2:$A$5001,A4171)&gt;1,"Duplicate","Unique")</f>
        <v>Unique</v>
      </c>
      <c r="V4171" s="9" t="str">
        <f aca="false">IF(COUNTIFS($B$2:$B$5001,B4171,$H$2:$H$5001,H4171,$J$2:$J$5001,J4171)&gt;1,"Possible Duplicate Booking","Unique")</f>
        <v>Unique</v>
      </c>
      <c r="W4171" s="9" t="str">
        <f aca="false">IF((H4171-G4171)&lt;&gt;K4171,"Mismatch","OK")</f>
        <v>OK</v>
      </c>
      <c r="X4171" s="9" t="str">
        <f aca="false">IF(TEXT(H4171,"dddd")&lt;&gt;I4171,"Mismatch","OK")</f>
        <v>OK</v>
      </c>
      <c r="Y4171" s="9" t="str">
        <f aca="false">IF(AND(N4171="No",O4171&lt;&gt;""),"Unexpected: channel present but no reminder sent",IF(AND(N4171="Yes",O4171=""),"Missing channel for sent reminder","OK"))</f>
        <v>OK</v>
      </c>
    </row>
    <row r="4172" customFormat="false" ht="15" hidden="false" customHeight="false" outlineLevel="0" collapsed="false">
      <c r="A4172" s="7" t="s">
        <v>5867</v>
      </c>
      <c r="B4172" s="7" t="s">
        <v>1816</v>
      </c>
      <c r="C4172" s="7" t="s">
        <v>37</v>
      </c>
      <c r="D4172" s="7" t="n">
        <v>64</v>
      </c>
      <c r="E4172" s="7" t="s">
        <v>61</v>
      </c>
      <c r="F4172" s="7" t="s">
        <v>39</v>
      </c>
      <c r="G4172" s="8" t="n">
        <v>45828</v>
      </c>
      <c r="H4172" s="8" t="n">
        <v>45861</v>
      </c>
      <c r="I4172" s="7" t="s">
        <v>58</v>
      </c>
      <c r="J4172" s="7" t="s">
        <v>63</v>
      </c>
      <c r="K4172" s="7" t="n">
        <v>33</v>
      </c>
      <c r="L4172" s="7" t="n">
        <v>5</v>
      </c>
      <c r="M4172" s="7" t="n">
        <v>0</v>
      </c>
      <c r="N4172" s="7" t="s">
        <v>42</v>
      </c>
      <c r="O4172" s="7" t="s">
        <v>52</v>
      </c>
      <c r="P4172" s="7" t="n">
        <v>8.2</v>
      </c>
      <c r="Q4172" s="7" t="n">
        <v>37</v>
      </c>
      <c r="R4172" s="7" t="s">
        <v>53</v>
      </c>
      <c r="S4172" s="7"/>
      <c r="T4172" s="7"/>
      <c r="U4172" s="7" t="str">
        <f aca="false">IF(COUNTIF($A$2:$A$5001,A4172)&gt;1,"Duplicate","Unique")</f>
        <v>Unique</v>
      </c>
      <c r="V4172" s="7" t="str">
        <f aca="false">IF(COUNTIFS($B$2:$B$5001,B4172,$H$2:$H$5001,H4172,$J$2:$J$5001,J4172)&gt;1,"Possible Duplicate Booking","Unique")</f>
        <v>Unique</v>
      </c>
      <c r="W4172" s="7" t="str">
        <f aca="false">IF((H4172-G4172)&lt;&gt;K4172,"Mismatch","OK")</f>
        <v>OK</v>
      </c>
      <c r="X4172" s="7" t="str">
        <f aca="false">IF(TEXT(H4172,"dddd")&lt;&gt;I4172,"Mismatch","OK")</f>
        <v>OK</v>
      </c>
      <c r="Y4172" s="7" t="str">
        <f aca="false">IF(AND(N4172="No",O4172&lt;&gt;""),"Unexpected: channel present but no reminder sent",IF(AND(N4172="Yes",O4172=""),"Missing channel for sent reminder","OK"))</f>
        <v>OK</v>
      </c>
    </row>
    <row r="4173" customFormat="false" ht="15" hidden="false" customHeight="false" outlineLevel="0" collapsed="false">
      <c r="A4173" s="9" t="s">
        <v>5868</v>
      </c>
      <c r="B4173" s="9" t="s">
        <v>3456</v>
      </c>
      <c r="C4173" s="9" t="s">
        <v>37</v>
      </c>
      <c r="D4173" s="9" t="n">
        <v>65</v>
      </c>
      <c r="E4173" s="9" t="s">
        <v>70</v>
      </c>
      <c r="F4173" s="9" t="s">
        <v>39</v>
      </c>
      <c r="G4173" s="10" t="n">
        <v>45755</v>
      </c>
      <c r="H4173" s="10" t="n">
        <v>45801</v>
      </c>
      <c r="I4173" s="9" t="s">
        <v>102</v>
      </c>
      <c r="J4173" s="9" t="s">
        <v>63</v>
      </c>
      <c r="K4173" s="9" t="n">
        <v>46</v>
      </c>
      <c r="L4173" s="9" t="n">
        <v>3</v>
      </c>
      <c r="M4173" s="9" t="n">
        <v>1</v>
      </c>
      <c r="N4173" s="9" t="s">
        <v>42</v>
      </c>
      <c r="O4173" s="9" t="s">
        <v>43</v>
      </c>
      <c r="P4173" s="9" t="n">
        <v>7.2</v>
      </c>
      <c r="Q4173" s="9" t="n">
        <v>15</v>
      </c>
      <c r="R4173" s="9" t="s">
        <v>44</v>
      </c>
      <c r="S4173" s="9"/>
      <c r="T4173" s="9"/>
      <c r="U4173" s="9" t="str">
        <f aca="false">IF(COUNTIF($A$2:$A$5001,A4173)&gt;1,"Duplicate","Unique")</f>
        <v>Unique</v>
      </c>
      <c r="V4173" s="9" t="str">
        <f aca="false">IF(COUNTIFS($B$2:$B$5001,B4173,$H$2:$H$5001,H4173,$J$2:$J$5001,J4173)&gt;1,"Possible Duplicate Booking","Unique")</f>
        <v>Unique</v>
      </c>
      <c r="W4173" s="9" t="str">
        <f aca="false">IF((H4173-G4173)&lt;&gt;K4173,"Mismatch","OK")</f>
        <v>OK</v>
      </c>
      <c r="X4173" s="9" t="str">
        <f aca="false">IF(TEXT(H4173,"dddd")&lt;&gt;I4173,"Mismatch","OK")</f>
        <v>OK</v>
      </c>
      <c r="Y4173" s="9" t="str">
        <f aca="false">IF(AND(N4173="No",O4173&lt;&gt;""),"Unexpected: channel present but no reminder sent",IF(AND(N4173="Yes",O4173=""),"Missing channel for sent reminder","OK"))</f>
        <v>OK</v>
      </c>
    </row>
    <row r="4174" customFormat="false" ht="15" hidden="false" customHeight="false" outlineLevel="0" collapsed="false">
      <c r="A4174" s="7" t="s">
        <v>5869</v>
      </c>
      <c r="B4174" s="7" t="s">
        <v>4382</v>
      </c>
      <c r="C4174" s="7" t="s">
        <v>37</v>
      </c>
      <c r="D4174" s="7" t="n">
        <v>28</v>
      </c>
      <c r="E4174" s="7" t="s">
        <v>48</v>
      </c>
      <c r="F4174" s="7" t="s">
        <v>39</v>
      </c>
      <c r="G4174" s="8" t="n">
        <v>45930</v>
      </c>
      <c r="H4174" s="8" t="n">
        <v>45934</v>
      </c>
      <c r="I4174" s="7" t="s">
        <v>102</v>
      </c>
      <c r="J4174" s="7" t="s">
        <v>51</v>
      </c>
      <c r="K4174" s="7" t="n">
        <v>4</v>
      </c>
      <c r="L4174" s="7" t="n">
        <v>5</v>
      </c>
      <c r="M4174" s="7" t="n">
        <v>1</v>
      </c>
      <c r="N4174" s="7" t="s">
        <v>42</v>
      </c>
      <c r="O4174" s="7" t="s">
        <v>52</v>
      </c>
      <c r="P4174" s="7" t="n">
        <v>5.6</v>
      </c>
      <c r="Q4174" s="7" t="n">
        <v>6</v>
      </c>
      <c r="R4174" s="7" t="s">
        <v>53</v>
      </c>
      <c r="S4174" s="7"/>
      <c r="T4174" s="7"/>
      <c r="U4174" s="7" t="str">
        <f aca="false">IF(COUNTIF($A$2:$A$5001,A4174)&gt;1,"Duplicate","Unique")</f>
        <v>Unique</v>
      </c>
      <c r="V4174" s="7" t="str">
        <f aca="false">IF(COUNTIFS($B$2:$B$5001,B4174,$H$2:$H$5001,H4174,$J$2:$J$5001,J4174)&gt;1,"Possible Duplicate Booking","Unique")</f>
        <v>Unique</v>
      </c>
      <c r="W4174" s="7" t="str">
        <f aca="false">IF((H4174-G4174)&lt;&gt;K4174,"Mismatch","OK")</f>
        <v>OK</v>
      </c>
      <c r="X4174" s="7" t="str">
        <f aca="false">IF(TEXT(H4174,"dddd")&lt;&gt;I4174,"Mismatch","OK")</f>
        <v>OK</v>
      </c>
      <c r="Y4174" s="7" t="str">
        <f aca="false">IF(AND(N4174="No",O4174&lt;&gt;""),"Unexpected: channel present but no reminder sent",IF(AND(N4174="Yes",O4174=""),"Missing channel for sent reminder","OK"))</f>
        <v>OK</v>
      </c>
    </row>
    <row r="4175" customFormat="false" ht="15" hidden="false" customHeight="false" outlineLevel="0" collapsed="false">
      <c r="A4175" s="9" t="s">
        <v>5870</v>
      </c>
      <c r="B4175" s="9" t="s">
        <v>2894</v>
      </c>
      <c r="C4175" s="9" t="s">
        <v>37</v>
      </c>
      <c r="D4175" s="9" t="n">
        <v>64</v>
      </c>
      <c r="E4175" s="9" t="s">
        <v>61</v>
      </c>
      <c r="F4175" s="9" t="s">
        <v>49</v>
      </c>
      <c r="G4175" s="10" t="n">
        <v>45821</v>
      </c>
      <c r="H4175" s="10" t="n">
        <v>45851</v>
      </c>
      <c r="I4175" s="9" t="s">
        <v>75</v>
      </c>
      <c r="J4175" s="9" t="s">
        <v>51</v>
      </c>
      <c r="K4175" s="9" t="n">
        <v>30</v>
      </c>
      <c r="L4175" s="9" t="n">
        <v>1</v>
      </c>
      <c r="M4175" s="9" t="n">
        <v>0</v>
      </c>
      <c r="N4175" s="9" t="s">
        <v>42</v>
      </c>
      <c r="O4175" s="9" t="s">
        <v>43</v>
      </c>
      <c r="P4175" s="9" t="n">
        <v>14.6</v>
      </c>
      <c r="Q4175" s="9" t="n">
        <v>19</v>
      </c>
      <c r="R4175" s="9" t="s">
        <v>87</v>
      </c>
      <c r="S4175" s="9"/>
      <c r="T4175" s="9"/>
      <c r="U4175" s="9" t="str">
        <f aca="false">IF(COUNTIF($A$2:$A$5001,A4175)&gt;1,"Duplicate","Unique")</f>
        <v>Unique</v>
      </c>
      <c r="V4175" s="9" t="str">
        <f aca="false">IF(COUNTIFS($B$2:$B$5001,B4175,$H$2:$H$5001,H4175,$J$2:$J$5001,J4175)&gt;1,"Possible Duplicate Booking","Unique")</f>
        <v>Unique</v>
      </c>
      <c r="W4175" s="9" t="str">
        <f aca="false">IF((H4175-G4175)&lt;&gt;K4175,"Mismatch","OK")</f>
        <v>OK</v>
      </c>
      <c r="X4175" s="9" t="str">
        <f aca="false">IF(TEXT(H4175,"dddd")&lt;&gt;I4175,"Mismatch","OK")</f>
        <v>OK</v>
      </c>
      <c r="Y4175" s="9" t="str">
        <f aca="false">IF(AND(N4175="No",O4175&lt;&gt;""),"Unexpected: channel present but no reminder sent",IF(AND(N4175="Yes",O4175=""),"Missing channel for sent reminder","OK"))</f>
        <v>OK</v>
      </c>
    </row>
    <row r="4176" customFormat="false" ht="15" hidden="false" customHeight="false" outlineLevel="0" collapsed="false">
      <c r="A4176" s="7" t="s">
        <v>5871</v>
      </c>
      <c r="B4176" s="7" t="s">
        <v>538</v>
      </c>
      <c r="C4176" s="7" t="s">
        <v>37</v>
      </c>
      <c r="D4176" s="7" t="n">
        <v>31</v>
      </c>
      <c r="E4176" s="7" t="s">
        <v>48</v>
      </c>
      <c r="F4176" s="7" t="s">
        <v>57</v>
      </c>
      <c r="G4176" s="8" t="n">
        <v>45851</v>
      </c>
      <c r="H4176" s="8" t="n">
        <v>45876</v>
      </c>
      <c r="I4176" s="7" t="s">
        <v>62</v>
      </c>
      <c r="J4176" s="7" t="s">
        <v>41</v>
      </c>
      <c r="K4176" s="7" t="n">
        <v>25</v>
      </c>
      <c r="L4176" s="7" t="n">
        <v>4</v>
      </c>
      <c r="M4176" s="7" t="n">
        <v>0</v>
      </c>
      <c r="N4176" s="7" t="s">
        <v>42</v>
      </c>
      <c r="O4176" s="7" t="s">
        <v>52</v>
      </c>
      <c r="P4176" s="7" t="n">
        <v>10.1</v>
      </c>
      <c r="Q4176" s="7" t="n">
        <v>17</v>
      </c>
      <c r="R4176" s="7" t="s">
        <v>53</v>
      </c>
      <c r="S4176" s="7"/>
      <c r="T4176" s="7"/>
      <c r="U4176" s="7" t="str">
        <f aca="false">IF(COUNTIF($A$2:$A$5001,A4176)&gt;1,"Duplicate","Unique")</f>
        <v>Unique</v>
      </c>
      <c r="V4176" s="7" t="str">
        <f aca="false">IF(COUNTIFS($B$2:$B$5001,B4176,$H$2:$H$5001,H4176,$J$2:$J$5001,J4176)&gt;1,"Possible Duplicate Booking","Unique")</f>
        <v>Unique</v>
      </c>
      <c r="W4176" s="7" t="str">
        <f aca="false">IF((H4176-G4176)&lt;&gt;K4176,"Mismatch","OK")</f>
        <v>OK</v>
      </c>
      <c r="X4176" s="7" t="str">
        <f aca="false">IF(TEXT(H4176,"dddd")&lt;&gt;I4176,"Mismatch","OK")</f>
        <v>OK</v>
      </c>
      <c r="Y4176" s="7" t="str">
        <f aca="false">IF(AND(N4176="No",O4176&lt;&gt;""),"Unexpected: channel present but no reminder sent",IF(AND(N4176="Yes",O4176=""),"Missing channel for sent reminder","OK"))</f>
        <v>OK</v>
      </c>
    </row>
    <row r="4177" customFormat="false" ht="15" hidden="false" customHeight="false" outlineLevel="0" collapsed="false">
      <c r="A4177" s="9" t="s">
        <v>5872</v>
      </c>
      <c r="B4177" s="9" t="s">
        <v>1584</v>
      </c>
      <c r="C4177" s="9" t="s">
        <v>47</v>
      </c>
      <c r="D4177" s="9" t="n">
        <v>35</v>
      </c>
      <c r="E4177" s="9" t="s">
        <v>38</v>
      </c>
      <c r="F4177" s="9" t="s">
        <v>57</v>
      </c>
      <c r="G4177" s="10" t="n">
        <v>45793</v>
      </c>
      <c r="H4177" s="10" t="n">
        <v>45848</v>
      </c>
      <c r="I4177" s="9" t="s">
        <v>62</v>
      </c>
      <c r="J4177" s="9" t="s">
        <v>63</v>
      </c>
      <c r="K4177" s="9" t="n">
        <v>55</v>
      </c>
      <c r="L4177" s="9" t="n">
        <v>2</v>
      </c>
      <c r="M4177" s="9" t="n">
        <v>0</v>
      </c>
      <c r="N4177" s="9" t="s">
        <v>42</v>
      </c>
      <c r="O4177" s="9" t="s">
        <v>52</v>
      </c>
      <c r="P4177" s="9" t="n">
        <v>5.6</v>
      </c>
      <c r="Q4177" s="9" t="n">
        <v>26</v>
      </c>
      <c r="R4177" s="9" t="s">
        <v>44</v>
      </c>
      <c r="S4177" s="9"/>
      <c r="T4177" s="9"/>
      <c r="U4177" s="9" t="str">
        <f aca="false">IF(COUNTIF($A$2:$A$5001,A4177)&gt;1,"Duplicate","Unique")</f>
        <v>Unique</v>
      </c>
      <c r="V4177" s="9" t="str">
        <f aca="false">IF(COUNTIFS($B$2:$B$5001,B4177,$H$2:$H$5001,H4177,$J$2:$J$5001,J4177)&gt;1,"Possible Duplicate Booking","Unique")</f>
        <v>Unique</v>
      </c>
      <c r="W4177" s="9" t="str">
        <f aca="false">IF((H4177-G4177)&lt;&gt;K4177,"Mismatch","OK")</f>
        <v>OK</v>
      </c>
      <c r="X4177" s="9" t="str">
        <f aca="false">IF(TEXT(H4177,"dddd")&lt;&gt;I4177,"Mismatch","OK")</f>
        <v>OK</v>
      </c>
      <c r="Y4177" s="9" t="str">
        <f aca="false">IF(AND(N4177="No",O4177&lt;&gt;""),"Unexpected: channel present but no reminder sent",IF(AND(N4177="Yes",O4177=""),"Missing channel for sent reminder","OK"))</f>
        <v>OK</v>
      </c>
    </row>
    <row r="4178" customFormat="false" ht="15" hidden="false" customHeight="false" outlineLevel="0" collapsed="false">
      <c r="A4178" s="7" t="s">
        <v>5873</v>
      </c>
      <c r="B4178" s="7" t="s">
        <v>1036</v>
      </c>
      <c r="C4178" s="7" t="s">
        <v>47</v>
      </c>
      <c r="D4178" s="7" t="n">
        <v>25</v>
      </c>
      <c r="E4178" s="7" t="s">
        <v>48</v>
      </c>
      <c r="F4178" s="7" t="s">
        <v>57</v>
      </c>
      <c r="G4178" s="8" t="n">
        <v>45819</v>
      </c>
      <c r="H4178" s="8" t="n">
        <v>45823</v>
      </c>
      <c r="I4178" s="7" t="s">
        <v>75</v>
      </c>
      <c r="J4178" s="7" t="s">
        <v>41</v>
      </c>
      <c r="K4178" s="7" t="n">
        <v>4</v>
      </c>
      <c r="L4178" s="7" t="n">
        <v>2</v>
      </c>
      <c r="M4178" s="7" t="n">
        <v>0</v>
      </c>
      <c r="N4178" s="7" t="s">
        <v>42</v>
      </c>
      <c r="O4178" s="7" t="s">
        <v>52</v>
      </c>
      <c r="P4178" s="7" t="n">
        <v>27.2</v>
      </c>
      <c r="Q4178" s="7" t="n">
        <v>38</v>
      </c>
      <c r="R4178" s="7" t="s">
        <v>53</v>
      </c>
      <c r="S4178" s="7"/>
      <c r="T4178" s="7"/>
      <c r="U4178" s="7" t="str">
        <f aca="false">IF(COUNTIF($A$2:$A$5001,A4178)&gt;1,"Duplicate","Unique")</f>
        <v>Unique</v>
      </c>
      <c r="V4178" s="7" t="str">
        <f aca="false">IF(COUNTIFS($B$2:$B$5001,B4178,$H$2:$H$5001,H4178,$J$2:$J$5001,J4178)&gt;1,"Possible Duplicate Booking","Unique")</f>
        <v>Unique</v>
      </c>
      <c r="W4178" s="7" t="str">
        <f aca="false">IF((H4178-G4178)&lt;&gt;K4178,"Mismatch","OK")</f>
        <v>OK</v>
      </c>
      <c r="X4178" s="7" t="str">
        <f aca="false">IF(TEXT(H4178,"dddd")&lt;&gt;I4178,"Mismatch","OK")</f>
        <v>OK</v>
      </c>
      <c r="Y4178" s="7" t="str">
        <f aca="false">IF(AND(N4178="No",O4178&lt;&gt;""),"Unexpected: channel present but no reminder sent",IF(AND(N4178="Yes",O4178=""),"Missing channel for sent reminder","OK"))</f>
        <v>OK</v>
      </c>
    </row>
    <row r="4179" customFormat="false" ht="15" hidden="false" customHeight="false" outlineLevel="0" collapsed="false">
      <c r="A4179" s="9" t="s">
        <v>5874</v>
      </c>
      <c r="B4179" s="9" t="s">
        <v>2177</v>
      </c>
      <c r="C4179" s="9" t="s">
        <v>37</v>
      </c>
      <c r="D4179" s="9" t="n">
        <v>29</v>
      </c>
      <c r="E4179" s="9" t="s">
        <v>48</v>
      </c>
      <c r="F4179" s="9" t="s">
        <v>74</v>
      </c>
      <c r="G4179" s="10" t="n">
        <v>46010</v>
      </c>
      <c r="H4179" s="10" t="n">
        <v>46049</v>
      </c>
      <c r="I4179" s="9" t="s">
        <v>40</v>
      </c>
      <c r="J4179" s="9" t="s">
        <v>51</v>
      </c>
      <c r="K4179" s="9" t="n">
        <v>39</v>
      </c>
      <c r="L4179" s="9" t="n">
        <v>4</v>
      </c>
      <c r="M4179" s="9" t="n">
        <v>0</v>
      </c>
      <c r="N4179" s="9" t="s">
        <v>71</v>
      </c>
      <c r="O4179" s="9"/>
      <c r="P4179" s="9" t="n">
        <v>6.6</v>
      </c>
      <c r="Q4179" s="9" t="n">
        <v>20</v>
      </c>
      <c r="R4179" s="9" t="s">
        <v>87</v>
      </c>
      <c r="S4179" s="9"/>
      <c r="T4179" s="9"/>
      <c r="U4179" s="9" t="str">
        <f aca="false">IF(COUNTIF($A$2:$A$5001,A4179)&gt;1,"Duplicate","Unique")</f>
        <v>Unique</v>
      </c>
      <c r="V4179" s="9" t="str">
        <f aca="false">IF(COUNTIFS($B$2:$B$5001,B4179,$H$2:$H$5001,H4179,$J$2:$J$5001,J4179)&gt;1,"Possible Duplicate Booking","Unique")</f>
        <v>Unique</v>
      </c>
      <c r="W4179" s="9" t="str">
        <f aca="false">IF((H4179-G4179)&lt;&gt;K4179,"Mismatch","OK")</f>
        <v>OK</v>
      </c>
      <c r="X4179" s="9" t="str">
        <f aca="false">IF(TEXT(H4179,"dddd")&lt;&gt;I4179,"Mismatch","OK")</f>
        <v>OK</v>
      </c>
      <c r="Y4179" s="9" t="str">
        <f aca="false">IF(AND(N4179="No",O4179&lt;&gt;""),"Unexpected: channel present but no reminder sent",IF(AND(N4179="Yes",O4179=""),"Missing channel for sent reminder","OK"))</f>
        <v>OK</v>
      </c>
    </row>
    <row r="4180" customFormat="false" ht="15" hidden="false" customHeight="false" outlineLevel="0" collapsed="false">
      <c r="A4180" s="7" t="s">
        <v>5875</v>
      </c>
      <c r="B4180" s="7" t="s">
        <v>3247</v>
      </c>
      <c r="C4180" s="7" t="s">
        <v>37</v>
      </c>
      <c r="D4180" s="7" t="n">
        <v>79</v>
      </c>
      <c r="E4180" s="7" t="s">
        <v>70</v>
      </c>
      <c r="F4180" s="7" t="s">
        <v>39</v>
      </c>
      <c r="G4180" s="8" t="n">
        <v>45898</v>
      </c>
      <c r="H4180" s="8" t="n">
        <v>45909</v>
      </c>
      <c r="I4180" s="7" t="s">
        <v>40</v>
      </c>
      <c r="J4180" s="7" t="s">
        <v>63</v>
      </c>
      <c r="K4180" s="7" t="n">
        <v>11</v>
      </c>
      <c r="L4180" s="7" t="n">
        <v>7</v>
      </c>
      <c r="M4180" s="7" t="n">
        <v>0</v>
      </c>
      <c r="N4180" s="7" t="s">
        <v>42</v>
      </c>
      <c r="O4180" s="7" t="s">
        <v>52</v>
      </c>
      <c r="P4180" s="7" t="n">
        <v>2.2</v>
      </c>
      <c r="Q4180" s="7" t="n">
        <v>28</v>
      </c>
      <c r="R4180" s="7" t="s">
        <v>53</v>
      </c>
      <c r="S4180" s="7"/>
      <c r="T4180" s="7"/>
      <c r="U4180" s="7" t="str">
        <f aca="false">IF(COUNTIF($A$2:$A$5001,A4180)&gt;1,"Duplicate","Unique")</f>
        <v>Unique</v>
      </c>
      <c r="V4180" s="7" t="str">
        <f aca="false">IF(COUNTIFS($B$2:$B$5001,B4180,$H$2:$H$5001,H4180,$J$2:$J$5001,J4180)&gt;1,"Possible Duplicate Booking","Unique")</f>
        <v>Unique</v>
      </c>
      <c r="W4180" s="7" t="str">
        <f aca="false">IF((H4180-G4180)&lt;&gt;K4180,"Mismatch","OK")</f>
        <v>OK</v>
      </c>
      <c r="X4180" s="7" t="str">
        <f aca="false">IF(TEXT(H4180,"dddd")&lt;&gt;I4180,"Mismatch","OK")</f>
        <v>OK</v>
      </c>
      <c r="Y4180" s="7" t="str">
        <f aca="false">IF(AND(N4180="No",O4180&lt;&gt;""),"Unexpected: channel present but no reminder sent",IF(AND(N4180="Yes",O4180=""),"Missing channel for sent reminder","OK"))</f>
        <v>OK</v>
      </c>
    </row>
    <row r="4181" customFormat="false" ht="15" hidden="false" customHeight="false" outlineLevel="0" collapsed="false">
      <c r="A4181" s="9" t="s">
        <v>5876</v>
      </c>
      <c r="B4181" s="9" t="s">
        <v>2855</v>
      </c>
      <c r="C4181" s="9" t="s">
        <v>37</v>
      </c>
      <c r="D4181" s="9" t="n">
        <v>38</v>
      </c>
      <c r="E4181" s="9" t="s">
        <v>38</v>
      </c>
      <c r="F4181" s="9" t="s">
        <v>57</v>
      </c>
      <c r="G4181" s="10" t="n">
        <v>45859</v>
      </c>
      <c r="H4181" s="10" t="n">
        <v>45912</v>
      </c>
      <c r="I4181" s="9" t="s">
        <v>50</v>
      </c>
      <c r="J4181" s="9" t="s">
        <v>51</v>
      </c>
      <c r="K4181" s="9" t="n">
        <v>53</v>
      </c>
      <c r="L4181" s="9" t="n">
        <v>3</v>
      </c>
      <c r="M4181" s="9" t="n">
        <v>1</v>
      </c>
      <c r="N4181" s="9" t="s">
        <v>42</v>
      </c>
      <c r="O4181" s="9" t="s">
        <v>43</v>
      </c>
      <c r="P4181" s="9" t="n">
        <v>16.4</v>
      </c>
      <c r="Q4181" s="9" t="n">
        <v>23</v>
      </c>
      <c r="R4181" s="9" t="s">
        <v>44</v>
      </c>
      <c r="S4181" s="9"/>
      <c r="T4181" s="9"/>
      <c r="U4181" s="9" t="str">
        <f aca="false">IF(COUNTIF($A$2:$A$5001,A4181)&gt;1,"Duplicate","Unique")</f>
        <v>Unique</v>
      </c>
      <c r="V4181" s="9" t="str">
        <f aca="false">IF(COUNTIFS($B$2:$B$5001,B4181,$H$2:$H$5001,H4181,$J$2:$J$5001,J4181)&gt;1,"Possible Duplicate Booking","Unique")</f>
        <v>Unique</v>
      </c>
      <c r="W4181" s="9" t="str">
        <f aca="false">IF((H4181-G4181)&lt;&gt;K4181,"Mismatch","OK")</f>
        <v>OK</v>
      </c>
      <c r="X4181" s="9" t="str">
        <f aca="false">IF(TEXT(H4181,"dddd")&lt;&gt;I4181,"Mismatch","OK")</f>
        <v>OK</v>
      </c>
      <c r="Y4181" s="9" t="str">
        <f aca="false">IF(AND(N4181="No",O4181&lt;&gt;""),"Unexpected: channel present but no reminder sent",IF(AND(N4181="Yes",O4181=""),"Missing channel for sent reminder","OK"))</f>
        <v>OK</v>
      </c>
    </row>
    <row r="4182" customFormat="false" ht="15" hidden="false" customHeight="false" outlineLevel="0" collapsed="false">
      <c r="A4182" s="7" t="s">
        <v>5877</v>
      </c>
      <c r="B4182" s="7" t="s">
        <v>4524</v>
      </c>
      <c r="C4182" s="7" t="s">
        <v>37</v>
      </c>
      <c r="D4182" s="7" t="n">
        <v>42</v>
      </c>
      <c r="E4182" s="7" t="s">
        <v>38</v>
      </c>
      <c r="F4182" s="7" t="s">
        <v>57</v>
      </c>
      <c r="G4182" s="8" t="n">
        <v>45963</v>
      </c>
      <c r="H4182" s="8" t="n">
        <v>46014</v>
      </c>
      <c r="I4182" s="7" t="s">
        <v>40</v>
      </c>
      <c r="J4182" s="7" t="s">
        <v>51</v>
      </c>
      <c r="K4182" s="7" t="n">
        <v>51</v>
      </c>
      <c r="L4182" s="7" t="n">
        <v>4</v>
      </c>
      <c r="M4182" s="7" t="n">
        <v>0</v>
      </c>
      <c r="N4182" s="7" t="s">
        <v>42</v>
      </c>
      <c r="O4182" s="7" t="s">
        <v>52</v>
      </c>
      <c r="P4182" s="7" t="n">
        <v>5.8</v>
      </c>
      <c r="Q4182" s="7" t="n">
        <v>29</v>
      </c>
      <c r="R4182" s="7" t="s">
        <v>44</v>
      </c>
      <c r="S4182" s="7"/>
      <c r="T4182" s="7"/>
      <c r="U4182" s="7" t="str">
        <f aca="false">IF(COUNTIF($A$2:$A$5001,A4182)&gt;1,"Duplicate","Unique")</f>
        <v>Unique</v>
      </c>
      <c r="V4182" s="7" t="str">
        <f aca="false">IF(COUNTIFS($B$2:$B$5001,B4182,$H$2:$H$5001,H4182,$J$2:$J$5001,J4182)&gt;1,"Possible Duplicate Booking","Unique")</f>
        <v>Unique</v>
      </c>
      <c r="W4182" s="7" t="str">
        <f aca="false">IF((H4182-G4182)&lt;&gt;K4182,"Mismatch","OK")</f>
        <v>OK</v>
      </c>
      <c r="X4182" s="7" t="str">
        <f aca="false">IF(TEXT(H4182,"dddd")&lt;&gt;I4182,"Mismatch","OK")</f>
        <v>OK</v>
      </c>
      <c r="Y4182" s="7" t="str">
        <f aca="false">IF(AND(N4182="No",O4182&lt;&gt;""),"Unexpected: channel present but no reminder sent",IF(AND(N4182="Yes",O4182=""),"Missing channel for sent reminder","OK"))</f>
        <v>OK</v>
      </c>
    </row>
    <row r="4183" customFormat="false" ht="15" hidden="false" customHeight="false" outlineLevel="0" collapsed="false">
      <c r="A4183" s="9" t="s">
        <v>5878</v>
      </c>
      <c r="B4183" s="9" t="s">
        <v>1268</v>
      </c>
      <c r="C4183" s="9" t="s">
        <v>47</v>
      </c>
      <c r="D4183" s="9" t="n">
        <v>48</v>
      </c>
      <c r="E4183" s="9" t="s">
        <v>56</v>
      </c>
      <c r="F4183" s="9" t="s">
        <v>39</v>
      </c>
      <c r="G4183" s="10" t="n">
        <v>45841</v>
      </c>
      <c r="H4183" s="10" t="n">
        <v>45855</v>
      </c>
      <c r="I4183" s="9" t="s">
        <v>62</v>
      </c>
      <c r="J4183" s="9" t="s">
        <v>41</v>
      </c>
      <c r="K4183" s="9" t="n">
        <v>14</v>
      </c>
      <c r="L4183" s="9" t="n">
        <v>4</v>
      </c>
      <c r="M4183" s="9" t="n">
        <v>0</v>
      </c>
      <c r="N4183" s="9" t="s">
        <v>42</v>
      </c>
      <c r="O4183" s="9" t="s">
        <v>43</v>
      </c>
      <c r="P4183" s="9" t="n">
        <v>4.2</v>
      </c>
      <c r="Q4183" s="9" t="n">
        <v>13</v>
      </c>
      <c r="R4183" s="9" t="s">
        <v>53</v>
      </c>
      <c r="S4183" s="9"/>
      <c r="T4183" s="9"/>
      <c r="U4183" s="9" t="str">
        <f aca="false">IF(COUNTIF($A$2:$A$5001,A4183)&gt;1,"Duplicate","Unique")</f>
        <v>Unique</v>
      </c>
      <c r="V4183" s="9" t="str">
        <f aca="false">IF(COUNTIFS($B$2:$B$5001,B4183,$H$2:$H$5001,H4183,$J$2:$J$5001,J4183)&gt;1,"Possible Duplicate Booking","Unique")</f>
        <v>Unique</v>
      </c>
      <c r="W4183" s="9" t="str">
        <f aca="false">IF((H4183-G4183)&lt;&gt;K4183,"Mismatch","OK")</f>
        <v>OK</v>
      </c>
      <c r="X4183" s="9" t="str">
        <f aca="false">IF(TEXT(H4183,"dddd")&lt;&gt;I4183,"Mismatch","OK")</f>
        <v>OK</v>
      </c>
      <c r="Y4183" s="9" t="str">
        <f aca="false">IF(AND(N4183="No",O4183&lt;&gt;""),"Unexpected: channel present but no reminder sent",IF(AND(N4183="Yes",O4183=""),"Missing channel for sent reminder","OK"))</f>
        <v>OK</v>
      </c>
    </row>
    <row r="4184" customFormat="false" ht="15" hidden="false" customHeight="false" outlineLevel="0" collapsed="false">
      <c r="A4184" s="7" t="s">
        <v>5879</v>
      </c>
      <c r="B4184" s="7" t="s">
        <v>5880</v>
      </c>
      <c r="C4184" s="7" t="s">
        <v>37</v>
      </c>
      <c r="D4184" s="7" t="n">
        <v>62</v>
      </c>
      <c r="E4184" s="7" t="s">
        <v>61</v>
      </c>
      <c r="F4184" s="7" t="s">
        <v>49</v>
      </c>
      <c r="G4184" s="8" t="n">
        <v>45660</v>
      </c>
      <c r="H4184" s="8" t="n">
        <v>45713</v>
      </c>
      <c r="I4184" s="7" t="s">
        <v>40</v>
      </c>
      <c r="J4184" s="7" t="s">
        <v>51</v>
      </c>
      <c r="K4184" s="7" t="n">
        <v>53</v>
      </c>
      <c r="L4184" s="7" t="n">
        <v>2</v>
      </c>
      <c r="M4184" s="7" t="n">
        <v>0</v>
      </c>
      <c r="N4184" s="7" t="s">
        <v>42</v>
      </c>
      <c r="O4184" s="7" t="s">
        <v>52</v>
      </c>
      <c r="P4184" s="7" t="n">
        <v>12.7</v>
      </c>
      <c r="Q4184" s="7" t="n">
        <v>23</v>
      </c>
      <c r="R4184" s="7" t="s">
        <v>44</v>
      </c>
      <c r="S4184" s="7"/>
      <c r="T4184" s="7"/>
      <c r="U4184" s="7" t="str">
        <f aca="false">IF(COUNTIF($A$2:$A$5001,A4184)&gt;1,"Duplicate","Unique")</f>
        <v>Unique</v>
      </c>
      <c r="V4184" s="7" t="str">
        <f aca="false">IF(COUNTIFS($B$2:$B$5001,B4184,$H$2:$H$5001,H4184,$J$2:$J$5001,J4184)&gt;1,"Possible Duplicate Booking","Unique")</f>
        <v>Unique</v>
      </c>
      <c r="W4184" s="7" t="str">
        <f aca="false">IF((H4184-G4184)&lt;&gt;K4184,"Mismatch","OK")</f>
        <v>OK</v>
      </c>
      <c r="X4184" s="7" t="str">
        <f aca="false">IF(TEXT(H4184,"dddd")&lt;&gt;I4184,"Mismatch","OK")</f>
        <v>OK</v>
      </c>
      <c r="Y4184" s="7" t="str">
        <f aca="false">IF(AND(N4184="No",O4184&lt;&gt;""),"Unexpected: channel present but no reminder sent",IF(AND(N4184="Yes",O4184=""),"Missing channel for sent reminder","OK"))</f>
        <v>OK</v>
      </c>
    </row>
    <row r="4185" customFormat="false" ht="15" hidden="false" customHeight="false" outlineLevel="0" collapsed="false">
      <c r="A4185" s="9" t="s">
        <v>5881</v>
      </c>
      <c r="B4185" s="9" t="s">
        <v>3292</v>
      </c>
      <c r="C4185" s="9" t="s">
        <v>47</v>
      </c>
      <c r="D4185" s="9" t="n">
        <v>54</v>
      </c>
      <c r="E4185" s="9" t="s">
        <v>56</v>
      </c>
      <c r="F4185" s="9" t="s">
        <v>74</v>
      </c>
      <c r="G4185" s="10" t="n">
        <v>46093</v>
      </c>
      <c r="H4185" s="10" t="n">
        <v>46123</v>
      </c>
      <c r="I4185" s="9" t="s">
        <v>102</v>
      </c>
      <c r="J4185" s="9" t="s">
        <v>41</v>
      </c>
      <c r="K4185" s="9" t="n">
        <v>30</v>
      </c>
      <c r="L4185" s="9" t="n">
        <v>2</v>
      </c>
      <c r="M4185" s="9" t="n">
        <v>0</v>
      </c>
      <c r="N4185" s="9" t="s">
        <v>42</v>
      </c>
      <c r="O4185" s="9" t="s">
        <v>52</v>
      </c>
      <c r="P4185" s="9" t="n">
        <v>10.8</v>
      </c>
      <c r="Q4185" s="9" t="n">
        <v>34</v>
      </c>
      <c r="R4185" s="9" t="s">
        <v>44</v>
      </c>
      <c r="S4185" s="9"/>
      <c r="T4185" s="9"/>
      <c r="U4185" s="9" t="str">
        <f aca="false">IF(COUNTIF($A$2:$A$5001,A4185)&gt;1,"Duplicate","Unique")</f>
        <v>Unique</v>
      </c>
      <c r="V4185" s="9" t="str">
        <f aca="false">IF(COUNTIFS($B$2:$B$5001,B4185,$H$2:$H$5001,H4185,$J$2:$J$5001,J4185)&gt;1,"Possible Duplicate Booking","Unique")</f>
        <v>Unique</v>
      </c>
      <c r="W4185" s="9" t="str">
        <f aca="false">IF((H4185-G4185)&lt;&gt;K4185,"Mismatch","OK")</f>
        <v>OK</v>
      </c>
      <c r="X4185" s="9" t="str">
        <f aca="false">IF(TEXT(H4185,"dddd")&lt;&gt;I4185,"Mismatch","OK")</f>
        <v>OK</v>
      </c>
      <c r="Y4185" s="9" t="str">
        <f aca="false">IF(AND(N4185="No",O4185&lt;&gt;""),"Unexpected: channel present but no reminder sent",IF(AND(N4185="Yes",O4185=""),"Missing channel for sent reminder","OK"))</f>
        <v>OK</v>
      </c>
    </row>
    <row r="4186" customFormat="false" ht="15" hidden="false" customHeight="false" outlineLevel="0" collapsed="false">
      <c r="A4186" s="7" t="s">
        <v>5882</v>
      </c>
      <c r="B4186" s="7" t="s">
        <v>4049</v>
      </c>
      <c r="C4186" s="7" t="s">
        <v>37</v>
      </c>
      <c r="D4186" s="7" t="n">
        <v>51</v>
      </c>
      <c r="E4186" s="7" t="s">
        <v>56</v>
      </c>
      <c r="F4186" s="7" t="s">
        <v>49</v>
      </c>
      <c r="G4186" s="8" t="n">
        <v>45629</v>
      </c>
      <c r="H4186" s="8" t="n">
        <v>45688</v>
      </c>
      <c r="I4186" s="7" t="s">
        <v>50</v>
      </c>
      <c r="J4186" s="7" t="s">
        <v>51</v>
      </c>
      <c r="K4186" s="7" t="n">
        <v>59</v>
      </c>
      <c r="L4186" s="7" t="n">
        <v>4</v>
      </c>
      <c r="M4186" s="7" t="n">
        <v>0</v>
      </c>
      <c r="N4186" s="7" t="s">
        <v>71</v>
      </c>
      <c r="O4186" s="7"/>
      <c r="P4186" s="7" t="n">
        <v>5.5</v>
      </c>
      <c r="Q4186" s="7" t="n">
        <v>15</v>
      </c>
      <c r="R4186" s="7" t="s">
        <v>44</v>
      </c>
      <c r="S4186" s="7"/>
      <c r="T4186" s="7"/>
      <c r="U4186" s="7" t="str">
        <f aca="false">IF(COUNTIF($A$2:$A$5001,A4186)&gt;1,"Duplicate","Unique")</f>
        <v>Unique</v>
      </c>
      <c r="V4186" s="7" t="str">
        <f aca="false">IF(COUNTIFS($B$2:$B$5001,B4186,$H$2:$H$5001,H4186,$J$2:$J$5001,J4186)&gt;1,"Possible Duplicate Booking","Unique")</f>
        <v>Unique</v>
      </c>
      <c r="W4186" s="7" t="str">
        <f aca="false">IF((H4186-G4186)&lt;&gt;K4186,"Mismatch","OK")</f>
        <v>OK</v>
      </c>
      <c r="X4186" s="7" t="str">
        <f aca="false">IF(TEXT(H4186,"dddd")&lt;&gt;I4186,"Mismatch","OK")</f>
        <v>OK</v>
      </c>
      <c r="Y4186" s="7" t="str">
        <f aca="false">IF(AND(N4186="No",O4186&lt;&gt;""),"Unexpected: channel present but no reminder sent",IF(AND(N4186="Yes",O4186=""),"Missing channel for sent reminder","OK"))</f>
        <v>OK</v>
      </c>
    </row>
    <row r="4187" customFormat="false" ht="15" hidden="false" customHeight="false" outlineLevel="0" collapsed="false">
      <c r="A4187" s="9" t="s">
        <v>5883</v>
      </c>
      <c r="B4187" s="9" t="s">
        <v>4528</v>
      </c>
      <c r="C4187" s="9" t="s">
        <v>47</v>
      </c>
      <c r="D4187" s="9" t="n">
        <v>70</v>
      </c>
      <c r="E4187" s="9" t="s">
        <v>70</v>
      </c>
      <c r="F4187" s="9" t="s">
        <v>49</v>
      </c>
      <c r="G4187" s="10" t="n">
        <v>45926</v>
      </c>
      <c r="H4187" s="10" t="n">
        <v>45970</v>
      </c>
      <c r="I4187" s="9" t="s">
        <v>75</v>
      </c>
      <c r="J4187" s="9" t="s">
        <v>41</v>
      </c>
      <c r="K4187" s="9" t="n">
        <v>44</v>
      </c>
      <c r="L4187" s="9" t="n">
        <v>2</v>
      </c>
      <c r="M4187" s="9" t="n">
        <v>1</v>
      </c>
      <c r="N4187" s="9" t="s">
        <v>42</v>
      </c>
      <c r="O4187" s="9" t="s">
        <v>52</v>
      </c>
      <c r="P4187" s="9" t="n">
        <v>5.2</v>
      </c>
      <c r="Q4187" s="9" t="n">
        <v>22</v>
      </c>
      <c r="R4187" s="9" t="s">
        <v>44</v>
      </c>
      <c r="S4187" s="9"/>
      <c r="T4187" s="9"/>
      <c r="U4187" s="9" t="str">
        <f aca="false">IF(COUNTIF($A$2:$A$5001,A4187)&gt;1,"Duplicate","Unique")</f>
        <v>Unique</v>
      </c>
      <c r="V4187" s="9" t="str">
        <f aca="false">IF(COUNTIFS($B$2:$B$5001,B4187,$H$2:$H$5001,H4187,$J$2:$J$5001,J4187)&gt;1,"Possible Duplicate Booking","Unique")</f>
        <v>Unique</v>
      </c>
      <c r="W4187" s="9" t="str">
        <f aca="false">IF((H4187-G4187)&lt;&gt;K4187,"Mismatch","OK")</f>
        <v>OK</v>
      </c>
      <c r="X4187" s="9" t="str">
        <f aca="false">IF(TEXT(H4187,"dddd")&lt;&gt;I4187,"Mismatch","OK")</f>
        <v>OK</v>
      </c>
      <c r="Y4187" s="9" t="str">
        <f aca="false">IF(AND(N4187="No",O4187&lt;&gt;""),"Unexpected: channel present but no reminder sent",IF(AND(N4187="Yes",O4187=""),"Missing channel for sent reminder","OK"))</f>
        <v>OK</v>
      </c>
    </row>
    <row r="4188" customFormat="false" ht="15" hidden="false" customHeight="false" outlineLevel="0" collapsed="false">
      <c r="A4188" s="7" t="s">
        <v>5884</v>
      </c>
      <c r="B4188" s="7" t="s">
        <v>850</v>
      </c>
      <c r="C4188" s="7" t="s">
        <v>47</v>
      </c>
      <c r="D4188" s="7" t="n">
        <v>49</v>
      </c>
      <c r="E4188" s="7" t="s">
        <v>56</v>
      </c>
      <c r="F4188" s="7" t="s">
        <v>57</v>
      </c>
      <c r="G4188" s="8" t="n">
        <v>45801</v>
      </c>
      <c r="H4188" s="8" t="n">
        <v>45803</v>
      </c>
      <c r="I4188" s="7" t="s">
        <v>66</v>
      </c>
      <c r="J4188" s="7" t="s">
        <v>63</v>
      </c>
      <c r="K4188" s="7" t="n">
        <v>2</v>
      </c>
      <c r="L4188" s="7" t="n">
        <v>7</v>
      </c>
      <c r="M4188" s="7" t="n">
        <v>2</v>
      </c>
      <c r="N4188" s="7" t="s">
        <v>71</v>
      </c>
      <c r="O4188" s="7"/>
      <c r="P4188" s="7" t="n">
        <v>14.1</v>
      </c>
      <c r="Q4188" s="7" t="n">
        <v>23</v>
      </c>
      <c r="R4188" s="7" t="s">
        <v>53</v>
      </c>
      <c r="S4188" s="7"/>
      <c r="T4188" s="7"/>
      <c r="U4188" s="7" t="str">
        <f aca="false">IF(COUNTIF($A$2:$A$5001,A4188)&gt;1,"Duplicate","Unique")</f>
        <v>Unique</v>
      </c>
      <c r="V4188" s="7" t="str">
        <f aca="false">IF(COUNTIFS($B$2:$B$5001,B4188,$H$2:$H$5001,H4188,$J$2:$J$5001,J4188)&gt;1,"Possible Duplicate Booking","Unique")</f>
        <v>Unique</v>
      </c>
      <c r="W4188" s="7" t="str">
        <f aca="false">IF((H4188-G4188)&lt;&gt;K4188,"Mismatch","OK")</f>
        <v>OK</v>
      </c>
      <c r="X4188" s="7" t="str">
        <f aca="false">IF(TEXT(H4188,"dddd")&lt;&gt;I4188,"Mismatch","OK")</f>
        <v>OK</v>
      </c>
      <c r="Y4188" s="7" t="str">
        <f aca="false">IF(AND(N4188="No",O4188&lt;&gt;""),"Unexpected: channel present but no reminder sent",IF(AND(N4188="Yes",O4188=""),"Missing channel for sent reminder","OK"))</f>
        <v>OK</v>
      </c>
    </row>
    <row r="4189" customFormat="false" ht="15" hidden="false" customHeight="false" outlineLevel="0" collapsed="false">
      <c r="A4189" s="9" t="s">
        <v>5885</v>
      </c>
      <c r="B4189" s="9" t="s">
        <v>2440</v>
      </c>
      <c r="C4189" s="9" t="s">
        <v>47</v>
      </c>
      <c r="D4189" s="9" t="n">
        <v>66</v>
      </c>
      <c r="E4189" s="9" t="s">
        <v>70</v>
      </c>
      <c r="F4189" s="9" t="s">
        <v>57</v>
      </c>
      <c r="G4189" s="10" t="n">
        <v>45762</v>
      </c>
      <c r="H4189" s="10" t="n">
        <v>45774</v>
      </c>
      <c r="I4189" s="9" t="s">
        <v>75</v>
      </c>
      <c r="J4189" s="9" t="s">
        <v>51</v>
      </c>
      <c r="K4189" s="9" t="n">
        <v>12</v>
      </c>
      <c r="L4189" s="9" t="n">
        <v>5</v>
      </c>
      <c r="M4189" s="9" t="n">
        <v>0</v>
      </c>
      <c r="N4189" s="9" t="s">
        <v>42</v>
      </c>
      <c r="O4189" s="9" t="s">
        <v>52</v>
      </c>
      <c r="P4189" s="9" t="n">
        <v>9.1</v>
      </c>
      <c r="Q4189" s="9" t="n">
        <v>7</v>
      </c>
      <c r="R4189" s="9" t="s">
        <v>53</v>
      </c>
      <c r="S4189" s="9"/>
      <c r="T4189" s="9"/>
      <c r="U4189" s="9" t="str">
        <f aca="false">IF(COUNTIF($A$2:$A$5001,A4189)&gt;1,"Duplicate","Unique")</f>
        <v>Unique</v>
      </c>
      <c r="V4189" s="9" t="str">
        <f aca="false">IF(COUNTIFS($B$2:$B$5001,B4189,$H$2:$H$5001,H4189,$J$2:$J$5001,J4189)&gt;1,"Possible Duplicate Booking","Unique")</f>
        <v>Unique</v>
      </c>
      <c r="W4189" s="9" t="str">
        <f aca="false">IF((H4189-G4189)&lt;&gt;K4189,"Mismatch","OK")</f>
        <v>OK</v>
      </c>
      <c r="X4189" s="9" t="str">
        <f aca="false">IF(TEXT(H4189,"dddd")&lt;&gt;I4189,"Mismatch","OK")</f>
        <v>OK</v>
      </c>
      <c r="Y4189" s="9" t="str">
        <f aca="false">IF(AND(N4189="No",O4189&lt;&gt;""),"Unexpected: channel present but no reminder sent",IF(AND(N4189="Yes",O4189=""),"Missing channel for sent reminder","OK"))</f>
        <v>OK</v>
      </c>
    </row>
    <row r="4190" customFormat="false" ht="15" hidden="false" customHeight="false" outlineLevel="0" collapsed="false">
      <c r="A4190" s="7" t="s">
        <v>5886</v>
      </c>
      <c r="B4190" s="7" t="s">
        <v>4348</v>
      </c>
      <c r="C4190" s="7" t="s">
        <v>47</v>
      </c>
      <c r="D4190" s="7" t="n">
        <v>75</v>
      </c>
      <c r="E4190" s="7" t="s">
        <v>70</v>
      </c>
      <c r="F4190" s="7" t="s">
        <v>39</v>
      </c>
      <c r="G4190" s="8" t="n">
        <v>45656</v>
      </c>
      <c r="H4190" s="8" t="n">
        <v>45680</v>
      </c>
      <c r="I4190" s="7" t="s">
        <v>62</v>
      </c>
      <c r="J4190" s="7" t="s">
        <v>41</v>
      </c>
      <c r="K4190" s="7" t="n">
        <v>24</v>
      </c>
      <c r="L4190" s="7" t="n">
        <v>3</v>
      </c>
      <c r="M4190" s="7" t="n">
        <v>1</v>
      </c>
      <c r="N4190" s="7" t="s">
        <v>42</v>
      </c>
      <c r="O4190" s="7" t="s">
        <v>43</v>
      </c>
      <c r="P4190" s="7" t="n">
        <v>14.1</v>
      </c>
      <c r="Q4190" s="7" t="n">
        <v>32</v>
      </c>
      <c r="R4190" s="7" t="s">
        <v>53</v>
      </c>
      <c r="S4190" s="7"/>
      <c r="T4190" s="7"/>
      <c r="U4190" s="7" t="str">
        <f aca="false">IF(COUNTIF($A$2:$A$5001,A4190)&gt;1,"Duplicate","Unique")</f>
        <v>Unique</v>
      </c>
      <c r="V4190" s="7" t="str">
        <f aca="false">IF(COUNTIFS($B$2:$B$5001,B4190,$H$2:$H$5001,H4190,$J$2:$J$5001,J4190)&gt;1,"Possible Duplicate Booking","Unique")</f>
        <v>Unique</v>
      </c>
      <c r="W4190" s="7" t="str">
        <f aca="false">IF((H4190-G4190)&lt;&gt;K4190,"Mismatch","OK")</f>
        <v>OK</v>
      </c>
      <c r="X4190" s="7" t="str">
        <f aca="false">IF(TEXT(H4190,"dddd")&lt;&gt;I4190,"Mismatch","OK")</f>
        <v>OK</v>
      </c>
      <c r="Y4190" s="7" t="str">
        <f aca="false">IF(AND(N4190="No",O4190&lt;&gt;""),"Unexpected: channel present but no reminder sent",IF(AND(N4190="Yes",O4190=""),"Missing channel for sent reminder","OK"))</f>
        <v>OK</v>
      </c>
    </row>
    <row r="4191" customFormat="false" ht="15" hidden="false" customHeight="false" outlineLevel="0" collapsed="false">
      <c r="A4191" s="9" t="s">
        <v>5887</v>
      </c>
      <c r="B4191" s="9" t="s">
        <v>1650</v>
      </c>
      <c r="C4191" s="9" t="s">
        <v>37</v>
      </c>
      <c r="D4191" s="9" t="n">
        <v>60</v>
      </c>
      <c r="E4191" s="9" t="s">
        <v>61</v>
      </c>
      <c r="F4191" s="9" t="s">
        <v>39</v>
      </c>
      <c r="G4191" s="10" t="n">
        <v>46137</v>
      </c>
      <c r="H4191" s="10" t="n">
        <v>46149</v>
      </c>
      <c r="I4191" s="9" t="s">
        <v>62</v>
      </c>
      <c r="J4191" s="9" t="s">
        <v>41</v>
      </c>
      <c r="K4191" s="9" t="n">
        <v>12</v>
      </c>
      <c r="L4191" s="9" t="n">
        <v>4</v>
      </c>
      <c r="M4191" s="9" t="n">
        <v>0</v>
      </c>
      <c r="N4191" s="9" t="s">
        <v>42</v>
      </c>
      <c r="O4191" s="9" t="s">
        <v>67</v>
      </c>
      <c r="P4191" s="9" t="n">
        <v>7.9</v>
      </c>
      <c r="Q4191" s="9" t="n">
        <v>17</v>
      </c>
      <c r="R4191" s="9" t="s">
        <v>53</v>
      </c>
      <c r="S4191" s="9"/>
      <c r="T4191" s="9"/>
      <c r="U4191" s="9" t="str">
        <f aca="false">IF(COUNTIF($A$2:$A$5001,A4191)&gt;1,"Duplicate","Unique")</f>
        <v>Unique</v>
      </c>
      <c r="V4191" s="9" t="str">
        <f aca="false">IF(COUNTIFS($B$2:$B$5001,B4191,$H$2:$H$5001,H4191,$J$2:$J$5001,J4191)&gt;1,"Possible Duplicate Booking","Unique")</f>
        <v>Unique</v>
      </c>
      <c r="W4191" s="9" t="str">
        <f aca="false">IF((H4191-G4191)&lt;&gt;K4191,"Mismatch","OK")</f>
        <v>OK</v>
      </c>
      <c r="X4191" s="9" t="str">
        <f aca="false">IF(TEXT(H4191,"dddd")&lt;&gt;I4191,"Mismatch","OK")</f>
        <v>OK</v>
      </c>
      <c r="Y4191" s="9" t="str">
        <f aca="false">IF(AND(N4191="No",O4191&lt;&gt;""),"Unexpected: channel present but no reminder sent",IF(AND(N4191="Yes",O4191=""),"Missing channel for sent reminder","OK"))</f>
        <v>OK</v>
      </c>
    </row>
    <row r="4192" customFormat="false" ht="15" hidden="false" customHeight="false" outlineLevel="0" collapsed="false">
      <c r="A4192" s="7" t="s">
        <v>5888</v>
      </c>
      <c r="B4192" s="7" t="s">
        <v>1818</v>
      </c>
      <c r="C4192" s="7" t="s">
        <v>37</v>
      </c>
      <c r="D4192" s="7" t="n">
        <v>20</v>
      </c>
      <c r="E4192" s="7" t="s">
        <v>82</v>
      </c>
      <c r="F4192" s="7" t="s">
        <v>57</v>
      </c>
      <c r="G4192" s="8" t="n">
        <v>45884</v>
      </c>
      <c r="H4192" s="8" t="n">
        <v>45892</v>
      </c>
      <c r="I4192" s="7" t="s">
        <v>102</v>
      </c>
      <c r="J4192" s="7" t="s">
        <v>51</v>
      </c>
      <c r="K4192" s="7" t="n">
        <v>8</v>
      </c>
      <c r="L4192" s="7" t="n">
        <v>1</v>
      </c>
      <c r="M4192" s="7" t="n">
        <v>0</v>
      </c>
      <c r="N4192" s="7" t="s">
        <v>42</v>
      </c>
      <c r="O4192" s="7" t="s">
        <v>43</v>
      </c>
      <c r="P4192" s="7" t="n">
        <v>3.7</v>
      </c>
      <c r="Q4192" s="7" t="n">
        <v>23</v>
      </c>
      <c r="R4192" s="7" t="s">
        <v>53</v>
      </c>
      <c r="S4192" s="7"/>
      <c r="T4192" s="7"/>
      <c r="U4192" s="7" t="str">
        <f aca="false">IF(COUNTIF($A$2:$A$5001,A4192)&gt;1,"Duplicate","Unique")</f>
        <v>Unique</v>
      </c>
      <c r="V4192" s="7" t="str">
        <f aca="false">IF(COUNTIFS($B$2:$B$5001,B4192,$H$2:$H$5001,H4192,$J$2:$J$5001,J4192)&gt;1,"Possible Duplicate Booking","Unique")</f>
        <v>Unique</v>
      </c>
      <c r="W4192" s="7" t="str">
        <f aca="false">IF((H4192-G4192)&lt;&gt;K4192,"Mismatch","OK")</f>
        <v>OK</v>
      </c>
      <c r="X4192" s="7" t="str">
        <f aca="false">IF(TEXT(H4192,"dddd")&lt;&gt;I4192,"Mismatch","OK")</f>
        <v>OK</v>
      </c>
      <c r="Y4192" s="7" t="str">
        <f aca="false">IF(AND(N4192="No",O4192&lt;&gt;""),"Unexpected: channel present but no reminder sent",IF(AND(N4192="Yes",O4192=""),"Missing channel for sent reminder","OK"))</f>
        <v>OK</v>
      </c>
    </row>
    <row r="4193" customFormat="false" ht="15" hidden="false" customHeight="false" outlineLevel="0" collapsed="false">
      <c r="A4193" s="9" t="s">
        <v>5889</v>
      </c>
      <c r="B4193" s="9" t="s">
        <v>1682</v>
      </c>
      <c r="C4193" s="9" t="s">
        <v>37</v>
      </c>
      <c r="D4193" s="9" t="n">
        <v>34</v>
      </c>
      <c r="E4193" s="9" t="s">
        <v>48</v>
      </c>
      <c r="F4193" s="9" t="s">
        <v>49</v>
      </c>
      <c r="G4193" s="10" t="n">
        <v>45786</v>
      </c>
      <c r="H4193" s="10" t="n">
        <v>45845</v>
      </c>
      <c r="I4193" s="9" t="s">
        <v>66</v>
      </c>
      <c r="J4193" s="9" t="s">
        <v>41</v>
      </c>
      <c r="K4193" s="9" t="n">
        <v>59</v>
      </c>
      <c r="L4193" s="9" t="n">
        <v>1</v>
      </c>
      <c r="M4193" s="9" t="n">
        <v>0</v>
      </c>
      <c r="N4193" s="9" t="s">
        <v>42</v>
      </c>
      <c r="O4193" s="9" t="s">
        <v>52</v>
      </c>
      <c r="P4193" s="9" t="n">
        <v>10.8</v>
      </c>
      <c r="Q4193" s="9" t="n">
        <v>30</v>
      </c>
      <c r="R4193" s="9" t="s">
        <v>44</v>
      </c>
      <c r="S4193" s="9"/>
      <c r="T4193" s="9"/>
      <c r="U4193" s="9" t="str">
        <f aca="false">IF(COUNTIF($A$2:$A$5001,A4193)&gt;1,"Duplicate","Unique")</f>
        <v>Unique</v>
      </c>
      <c r="V4193" s="9" t="str">
        <f aca="false">IF(COUNTIFS($B$2:$B$5001,B4193,$H$2:$H$5001,H4193,$J$2:$J$5001,J4193)&gt;1,"Possible Duplicate Booking","Unique")</f>
        <v>Unique</v>
      </c>
      <c r="W4193" s="9" t="str">
        <f aca="false">IF((H4193-G4193)&lt;&gt;K4193,"Mismatch","OK")</f>
        <v>OK</v>
      </c>
      <c r="X4193" s="9" t="str">
        <f aca="false">IF(TEXT(H4193,"dddd")&lt;&gt;I4193,"Mismatch","OK")</f>
        <v>OK</v>
      </c>
      <c r="Y4193" s="9" t="str">
        <f aca="false">IF(AND(N4193="No",O4193&lt;&gt;""),"Unexpected: channel present but no reminder sent",IF(AND(N4193="Yes",O4193=""),"Missing channel for sent reminder","OK"))</f>
        <v>OK</v>
      </c>
    </row>
    <row r="4194" customFormat="false" ht="15" hidden="false" customHeight="false" outlineLevel="0" collapsed="false">
      <c r="A4194" s="7" t="s">
        <v>5890</v>
      </c>
      <c r="B4194" s="7" t="s">
        <v>455</v>
      </c>
      <c r="C4194" s="7" t="s">
        <v>47</v>
      </c>
      <c r="D4194" s="7" t="n">
        <v>56</v>
      </c>
      <c r="E4194" s="7" t="s">
        <v>61</v>
      </c>
      <c r="F4194" s="7" t="s">
        <v>57</v>
      </c>
      <c r="G4194" s="8" t="n">
        <v>46009</v>
      </c>
      <c r="H4194" s="8" t="n">
        <v>46062</v>
      </c>
      <c r="I4194" s="7" t="s">
        <v>66</v>
      </c>
      <c r="J4194" s="7" t="s">
        <v>41</v>
      </c>
      <c r="K4194" s="7" t="n">
        <v>53</v>
      </c>
      <c r="L4194" s="7" t="n">
        <v>4</v>
      </c>
      <c r="M4194" s="7" t="n">
        <v>2</v>
      </c>
      <c r="N4194" s="7" t="s">
        <v>42</v>
      </c>
      <c r="O4194" s="7" t="s">
        <v>43</v>
      </c>
      <c r="P4194" s="7" t="n">
        <v>11.8</v>
      </c>
      <c r="Q4194" s="7" t="n">
        <v>31</v>
      </c>
      <c r="R4194" s="7" t="s">
        <v>44</v>
      </c>
      <c r="S4194" s="7"/>
      <c r="T4194" s="7"/>
      <c r="U4194" s="7" t="str">
        <f aca="false">IF(COUNTIF($A$2:$A$5001,A4194)&gt;1,"Duplicate","Unique")</f>
        <v>Unique</v>
      </c>
      <c r="V4194" s="7" t="str">
        <f aca="false">IF(COUNTIFS($B$2:$B$5001,B4194,$H$2:$H$5001,H4194,$J$2:$J$5001,J4194)&gt;1,"Possible Duplicate Booking","Unique")</f>
        <v>Unique</v>
      </c>
      <c r="W4194" s="7" t="str">
        <f aca="false">IF((H4194-G4194)&lt;&gt;K4194,"Mismatch","OK")</f>
        <v>OK</v>
      </c>
      <c r="X4194" s="7" t="str">
        <f aca="false">IF(TEXT(H4194,"dddd")&lt;&gt;I4194,"Mismatch","OK")</f>
        <v>OK</v>
      </c>
      <c r="Y4194" s="7" t="str">
        <f aca="false">IF(AND(N4194="No",O4194&lt;&gt;""),"Unexpected: channel present but no reminder sent",IF(AND(N4194="Yes",O4194=""),"Missing channel for sent reminder","OK"))</f>
        <v>OK</v>
      </c>
    </row>
    <row r="4195" customFormat="false" ht="15" hidden="false" customHeight="false" outlineLevel="0" collapsed="false">
      <c r="A4195" s="9" t="s">
        <v>5891</v>
      </c>
      <c r="B4195" s="9" t="s">
        <v>5337</v>
      </c>
      <c r="C4195" s="9" t="s">
        <v>47</v>
      </c>
      <c r="D4195" s="9" t="n">
        <v>48</v>
      </c>
      <c r="E4195" s="9" t="s">
        <v>56</v>
      </c>
      <c r="F4195" s="9" t="s">
        <v>57</v>
      </c>
      <c r="G4195" s="10" t="n">
        <v>45653</v>
      </c>
      <c r="H4195" s="10" t="n">
        <v>45679</v>
      </c>
      <c r="I4195" s="9" t="s">
        <v>58</v>
      </c>
      <c r="J4195" s="9" t="s">
        <v>51</v>
      </c>
      <c r="K4195" s="9" t="n">
        <v>26</v>
      </c>
      <c r="L4195" s="9" t="n">
        <v>3</v>
      </c>
      <c r="M4195" s="9" t="n">
        <v>0</v>
      </c>
      <c r="N4195" s="9" t="s">
        <v>42</v>
      </c>
      <c r="O4195" s="9" t="s">
        <v>43</v>
      </c>
      <c r="P4195" s="9" t="n">
        <v>7.1</v>
      </c>
      <c r="Q4195" s="9"/>
      <c r="R4195" s="9" t="s">
        <v>53</v>
      </c>
      <c r="S4195" s="9"/>
      <c r="T4195" s="9"/>
      <c r="U4195" s="9" t="str">
        <f aca="false">IF(COUNTIF($A$2:$A$5001,A4195)&gt;1,"Duplicate","Unique")</f>
        <v>Unique</v>
      </c>
      <c r="V4195" s="9" t="str">
        <f aca="false">IF(COUNTIFS($B$2:$B$5001,B4195,$H$2:$H$5001,H4195,$J$2:$J$5001,J4195)&gt;1,"Possible Duplicate Booking","Unique")</f>
        <v>Unique</v>
      </c>
      <c r="W4195" s="9" t="str">
        <f aca="false">IF((H4195-G4195)&lt;&gt;K4195,"Mismatch","OK")</f>
        <v>OK</v>
      </c>
      <c r="X4195" s="9" t="str">
        <f aca="false">IF(TEXT(H4195,"dddd")&lt;&gt;I4195,"Mismatch","OK")</f>
        <v>OK</v>
      </c>
      <c r="Y4195" s="9" t="str">
        <f aca="false">IF(AND(N4195="No",O4195&lt;&gt;""),"Unexpected: channel present but no reminder sent",IF(AND(N4195="Yes",O4195=""),"Missing channel for sent reminder","OK"))</f>
        <v>OK</v>
      </c>
    </row>
    <row r="4196" customFormat="false" ht="15" hidden="false" customHeight="false" outlineLevel="0" collapsed="false">
      <c r="A4196" s="7" t="s">
        <v>5892</v>
      </c>
      <c r="B4196" s="7" t="s">
        <v>1930</v>
      </c>
      <c r="C4196" s="7" t="s">
        <v>37</v>
      </c>
      <c r="D4196" s="7" t="n">
        <v>35</v>
      </c>
      <c r="E4196" s="7" t="s">
        <v>38</v>
      </c>
      <c r="F4196" s="7" t="s">
        <v>57</v>
      </c>
      <c r="G4196" s="8" t="n">
        <v>45953</v>
      </c>
      <c r="H4196" s="8" t="n">
        <v>45966</v>
      </c>
      <c r="I4196" s="7" t="s">
        <v>58</v>
      </c>
      <c r="J4196" s="7" t="s">
        <v>41</v>
      </c>
      <c r="K4196" s="7" t="n">
        <v>13</v>
      </c>
      <c r="L4196" s="7" t="n">
        <v>3</v>
      </c>
      <c r="M4196" s="7" t="n">
        <v>1</v>
      </c>
      <c r="N4196" s="7" t="s">
        <v>42</v>
      </c>
      <c r="O4196" s="7" t="s">
        <v>43</v>
      </c>
      <c r="P4196" s="7" t="n">
        <v>7.9</v>
      </c>
      <c r="Q4196" s="7" t="n">
        <v>28</v>
      </c>
      <c r="R4196" s="7" t="s">
        <v>44</v>
      </c>
      <c r="S4196" s="7"/>
      <c r="T4196" s="7"/>
      <c r="U4196" s="7" t="str">
        <f aca="false">IF(COUNTIF($A$2:$A$5001,A4196)&gt;1,"Duplicate","Unique")</f>
        <v>Unique</v>
      </c>
      <c r="V4196" s="7" t="str">
        <f aca="false">IF(COUNTIFS($B$2:$B$5001,B4196,$H$2:$H$5001,H4196,$J$2:$J$5001,J4196)&gt;1,"Possible Duplicate Booking","Unique")</f>
        <v>Unique</v>
      </c>
      <c r="W4196" s="7" t="str">
        <f aca="false">IF((H4196-G4196)&lt;&gt;K4196,"Mismatch","OK")</f>
        <v>OK</v>
      </c>
      <c r="X4196" s="7" t="str">
        <f aca="false">IF(TEXT(H4196,"dddd")&lt;&gt;I4196,"Mismatch","OK")</f>
        <v>OK</v>
      </c>
      <c r="Y4196" s="7" t="str">
        <f aca="false">IF(AND(N4196="No",O4196&lt;&gt;""),"Unexpected: channel present but no reminder sent",IF(AND(N4196="Yes",O4196=""),"Missing channel for sent reminder","OK"))</f>
        <v>OK</v>
      </c>
    </row>
    <row r="4197" customFormat="false" ht="15" hidden="false" customHeight="false" outlineLevel="0" collapsed="false">
      <c r="A4197" s="9" t="s">
        <v>5893</v>
      </c>
      <c r="B4197" s="9" t="s">
        <v>120</v>
      </c>
      <c r="C4197" s="9" t="s">
        <v>47</v>
      </c>
      <c r="D4197" s="9" t="n">
        <v>39</v>
      </c>
      <c r="E4197" s="9" t="s">
        <v>38</v>
      </c>
      <c r="F4197" s="9" t="s">
        <v>49</v>
      </c>
      <c r="G4197" s="10" t="n">
        <v>45917</v>
      </c>
      <c r="H4197" s="10" t="n">
        <v>45928</v>
      </c>
      <c r="I4197" s="9" t="s">
        <v>75</v>
      </c>
      <c r="J4197" s="9" t="s">
        <v>51</v>
      </c>
      <c r="K4197" s="9" t="n">
        <v>11</v>
      </c>
      <c r="L4197" s="9" t="n">
        <v>4</v>
      </c>
      <c r="M4197" s="9" t="n">
        <v>0</v>
      </c>
      <c r="N4197" s="9" t="s">
        <v>71</v>
      </c>
      <c r="O4197" s="9"/>
      <c r="P4197" s="9" t="n">
        <v>4.2</v>
      </c>
      <c r="Q4197" s="9" t="n">
        <v>34</v>
      </c>
      <c r="R4197" s="9" t="s">
        <v>53</v>
      </c>
      <c r="S4197" s="9"/>
      <c r="T4197" s="9"/>
      <c r="U4197" s="9" t="str">
        <f aca="false">IF(COUNTIF($A$2:$A$5001,A4197)&gt;1,"Duplicate","Unique")</f>
        <v>Unique</v>
      </c>
      <c r="V4197" s="9" t="str">
        <f aca="false">IF(COUNTIFS($B$2:$B$5001,B4197,$H$2:$H$5001,H4197,$J$2:$J$5001,J4197)&gt;1,"Possible Duplicate Booking","Unique")</f>
        <v>Unique</v>
      </c>
      <c r="W4197" s="9" t="str">
        <f aca="false">IF((H4197-G4197)&lt;&gt;K4197,"Mismatch","OK")</f>
        <v>OK</v>
      </c>
      <c r="X4197" s="9" t="str">
        <f aca="false">IF(TEXT(H4197,"dddd")&lt;&gt;I4197,"Mismatch","OK")</f>
        <v>OK</v>
      </c>
      <c r="Y4197" s="9" t="str">
        <f aca="false">IF(AND(N4197="No",O4197&lt;&gt;""),"Unexpected: channel present but no reminder sent",IF(AND(N4197="Yes",O4197=""),"Missing channel for sent reminder","OK"))</f>
        <v>OK</v>
      </c>
    </row>
    <row r="4198" customFormat="false" ht="15" hidden="false" customHeight="false" outlineLevel="0" collapsed="false">
      <c r="A4198" s="7" t="s">
        <v>5894</v>
      </c>
      <c r="B4198" s="7" t="s">
        <v>1079</v>
      </c>
      <c r="C4198" s="7" t="s">
        <v>37</v>
      </c>
      <c r="D4198" s="7" t="n">
        <v>22</v>
      </c>
      <c r="E4198" s="7" t="s">
        <v>82</v>
      </c>
      <c r="F4198" s="7" t="s">
        <v>49</v>
      </c>
      <c r="G4198" s="8" t="n">
        <v>45905</v>
      </c>
      <c r="H4198" s="8" t="n">
        <v>45960</v>
      </c>
      <c r="I4198" s="7" t="s">
        <v>62</v>
      </c>
      <c r="J4198" s="7" t="s">
        <v>51</v>
      </c>
      <c r="K4198" s="7" t="n">
        <v>55</v>
      </c>
      <c r="L4198" s="7" t="n">
        <v>4</v>
      </c>
      <c r="M4198" s="7" t="n">
        <v>1</v>
      </c>
      <c r="N4198" s="7" t="s">
        <v>42</v>
      </c>
      <c r="O4198" s="7" t="s">
        <v>52</v>
      </c>
      <c r="P4198" s="7" t="n">
        <v>2.6</v>
      </c>
      <c r="Q4198" s="7" t="n">
        <v>16</v>
      </c>
      <c r="R4198" s="7" t="s">
        <v>44</v>
      </c>
      <c r="S4198" s="7"/>
      <c r="T4198" s="7"/>
      <c r="U4198" s="7" t="str">
        <f aca="false">IF(COUNTIF($A$2:$A$5001,A4198)&gt;1,"Duplicate","Unique")</f>
        <v>Unique</v>
      </c>
      <c r="V4198" s="7" t="str">
        <f aca="false">IF(COUNTIFS($B$2:$B$5001,B4198,$H$2:$H$5001,H4198,$J$2:$J$5001,J4198)&gt;1,"Possible Duplicate Booking","Unique")</f>
        <v>Unique</v>
      </c>
      <c r="W4198" s="7" t="str">
        <f aca="false">IF((H4198-G4198)&lt;&gt;K4198,"Mismatch","OK")</f>
        <v>OK</v>
      </c>
      <c r="X4198" s="7" t="str">
        <f aca="false">IF(TEXT(H4198,"dddd")&lt;&gt;I4198,"Mismatch","OK")</f>
        <v>OK</v>
      </c>
      <c r="Y4198" s="7" t="str">
        <f aca="false">IF(AND(N4198="No",O4198&lt;&gt;""),"Unexpected: channel present but no reminder sent",IF(AND(N4198="Yes",O4198=""),"Missing channel for sent reminder","OK"))</f>
        <v>OK</v>
      </c>
    </row>
    <row r="4199" customFormat="false" ht="15" hidden="false" customHeight="false" outlineLevel="0" collapsed="false">
      <c r="A4199" s="9" t="s">
        <v>5895</v>
      </c>
      <c r="B4199" s="9" t="s">
        <v>1448</v>
      </c>
      <c r="C4199" s="9" t="s">
        <v>37</v>
      </c>
      <c r="D4199" s="9" t="n">
        <v>32</v>
      </c>
      <c r="E4199" s="9" t="s">
        <v>48</v>
      </c>
      <c r="F4199" s="9" t="s">
        <v>39</v>
      </c>
      <c r="G4199" s="10" t="n">
        <v>45705</v>
      </c>
      <c r="H4199" s="10" t="n">
        <v>45725</v>
      </c>
      <c r="I4199" s="9" t="s">
        <v>75</v>
      </c>
      <c r="J4199" s="9" t="s">
        <v>51</v>
      </c>
      <c r="K4199" s="9" t="n">
        <v>20</v>
      </c>
      <c r="L4199" s="9" t="n">
        <v>6</v>
      </c>
      <c r="M4199" s="9" t="n">
        <v>1</v>
      </c>
      <c r="N4199" s="9" t="s">
        <v>71</v>
      </c>
      <c r="O4199" s="9"/>
      <c r="P4199" s="9" t="n">
        <v>13</v>
      </c>
      <c r="Q4199" s="9" t="n">
        <v>32</v>
      </c>
      <c r="R4199" s="9" t="s">
        <v>44</v>
      </c>
      <c r="S4199" s="9"/>
      <c r="T4199" s="9"/>
      <c r="U4199" s="9" t="str">
        <f aca="false">IF(COUNTIF($A$2:$A$5001,A4199)&gt;1,"Duplicate","Unique")</f>
        <v>Unique</v>
      </c>
      <c r="V4199" s="9" t="str">
        <f aca="false">IF(COUNTIFS($B$2:$B$5001,B4199,$H$2:$H$5001,H4199,$J$2:$J$5001,J4199)&gt;1,"Possible Duplicate Booking","Unique")</f>
        <v>Unique</v>
      </c>
      <c r="W4199" s="9" t="str">
        <f aca="false">IF((H4199-G4199)&lt;&gt;K4199,"Mismatch","OK")</f>
        <v>OK</v>
      </c>
      <c r="X4199" s="9" t="str">
        <f aca="false">IF(TEXT(H4199,"dddd")&lt;&gt;I4199,"Mismatch","OK")</f>
        <v>OK</v>
      </c>
      <c r="Y4199" s="9" t="str">
        <f aca="false">IF(AND(N4199="No",O4199&lt;&gt;""),"Unexpected: channel present but no reminder sent",IF(AND(N4199="Yes",O4199=""),"Missing channel for sent reminder","OK"))</f>
        <v>OK</v>
      </c>
    </row>
    <row r="4200" customFormat="false" ht="15" hidden="false" customHeight="false" outlineLevel="0" collapsed="false">
      <c r="A4200" s="7" t="s">
        <v>5896</v>
      </c>
      <c r="B4200" s="7" t="s">
        <v>5310</v>
      </c>
      <c r="C4200" s="7" t="s">
        <v>47</v>
      </c>
      <c r="D4200" s="7" t="n">
        <v>67</v>
      </c>
      <c r="E4200" s="7" t="s">
        <v>70</v>
      </c>
      <c r="F4200" s="7" t="s">
        <v>49</v>
      </c>
      <c r="G4200" s="8" t="n">
        <v>46178</v>
      </c>
      <c r="H4200" s="8" t="n">
        <v>46178</v>
      </c>
      <c r="I4200" s="7" t="s">
        <v>50</v>
      </c>
      <c r="J4200" s="7" t="s">
        <v>41</v>
      </c>
      <c r="K4200" s="7" t="n">
        <v>0</v>
      </c>
      <c r="L4200" s="7" t="n">
        <v>2</v>
      </c>
      <c r="M4200" s="7" t="n">
        <v>0</v>
      </c>
      <c r="N4200" s="7" t="s">
        <v>71</v>
      </c>
      <c r="O4200" s="7"/>
      <c r="P4200" s="7" t="n">
        <v>3.5</v>
      </c>
      <c r="Q4200" s="7" t="n">
        <v>28</v>
      </c>
      <c r="R4200" s="7" t="s">
        <v>44</v>
      </c>
      <c r="S4200" s="7"/>
      <c r="T4200" s="7"/>
      <c r="U4200" s="7" t="str">
        <f aca="false">IF(COUNTIF($A$2:$A$5001,A4200)&gt;1,"Duplicate","Unique")</f>
        <v>Unique</v>
      </c>
      <c r="V4200" s="7" t="str">
        <f aca="false">IF(COUNTIFS($B$2:$B$5001,B4200,$H$2:$H$5001,H4200,$J$2:$J$5001,J4200)&gt;1,"Possible Duplicate Booking","Unique")</f>
        <v>Unique</v>
      </c>
      <c r="W4200" s="7" t="str">
        <f aca="false">IF((H4200-G4200)&lt;&gt;K4200,"Mismatch","OK")</f>
        <v>OK</v>
      </c>
      <c r="X4200" s="7" t="str">
        <f aca="false">IF(TEXT(H4200,"dddd")&lt;&gt;I4200,"Mismatch","OK")</f>
        <v>OK</v>
      </c>
      <c r="Y4200" s="7" t="str">
        <f aca="false">IF(AND(N4200="No",O4200&lt;&gt;""),"Unexpected: channel present but no reminder sent",IF(AND(N4200="Yes",O4200=""),"Missing channel for sent reminder","OK"))</f>
        <v>OK</v>
      </c>
    </row>
    <row r="4201" customFormat="false" ht="15" hidden="false" customHeight="false" outlineLevel="0" collapsed="false">
      <c r="A4201" s="9" t="s">
        <v>5897</v>
      </c>
      <c r="B4201" s="9" t="s">
        <v>5880</v>
      </c>
      <c r="C4201" s="9" t="s">
        <v>37</v>
      </c>
      <c r="D4201" s="9" t="n">
        <v>18</v>
      </c>
      <c r="E4201" s="9" t="s">
        <v>82</v>
      </c>
      <c r="F4201" s="9" t="s">
        <v>49</v>
      </c>
      <c r="G4201" s="10" t="n">
        <v>45764</v>
      </c>
      <c r="H4201" s="10" t="n">
        <v>45788</v>
      </c>
      <c r="I4201" s="9" t="s">
        <v>75</v>
      </c>
      <c r="J4201" s="9" t="s">
        <v>63</v>
      </c>
      <c r="K4201" s="9" t="n">
        <v>24</v>
      </c>
      <c r="L4201" s="9" t="n">
        <v>1</v>
      </c>
      <c r="M4201" s="9" t="n">
        <v>0</v>
      </c>
      <c r="N4201" s="9" t="s">
        <v>42</v>
      </c>
      <c r="O4201" s="9" t="s">
        <v>52</v>
      </c>
      <c r="P4201" s="9" t="n">
        <v>10.6</v>
      </c>
      <c r="Q4201" s="9" t="n">
        <v>29</v>
      </c>
      <c r="R4201" s="9" t="s">
        <v>53</v>
      </c>
      <c r="S4201" s="9"/>
      <c r="T4201" s="9"/>
      <c r="U4201" s="9" t="str">
        <f aca="false">IF(COUNTIF($A$2:$A$5001,A4201)&gt;1,"Duplicate","Unique")</f>
        <v>Unique</v>
      </c>
      <c r="V4201" s="9" t="str">
        <f aca="false">IF(COUNTIFS($B$2:$B$5001,B4201,$H$2:$H$5001,H4201,$J$2:$J$5001,J4201)&gt;1,"Possible Duplicate Booking","Unique")</f>
        <v>Unique</v>
      </c>
      <c r="W4201" s="9" t="str">
        <f aca="false">IF((H4201-G4201)&lt;&gt;K4201,"Mismatch","OK")</f>
        <v>OK</v>
      </c>
      <c r="X4201" s="9" t="str">
        <f aca="false">IF(TEXT(H4201,"dddd")&lt;&gt;I4201,"Mismatch","OK")</f>
        <v>OK</v>
      </c>
      <c r="Y4201" s="9" t="str">
        <f aca="false">IF(AND(N4201="No",O4201&lt;&gt;""),"Unexpected: channel present but no reminder sent",IF(AND(N4201="Yes",O4201=""),"Missing channel for sent reminder","OK"))</f>
        <v>OK</v>
      </c>
    </row>
    <row r="4202" customFormat="false" ht="15" hidden="false" customHeight="false" outlineLevel="0" collapsed="false">
      <c r="A4202" s="7" t="s">
        <v>5898</v>
      </c>
      <c r="B4202" s="7" t="s">
        <v>558</v>
      </c>
      <c r="C4202" s="7" t="s">
        <v>37</v>
      </c>
      <c r="D4202" s="7" t="n">
        <v>70</v>
      </c>
      <c r="E4202" s="7" t="s">
        <v>70</v>
      </c>
      <c r="F4202" s="7" t="s">
        <v>57</v>
      </c>
      <c r="G4202" s="8" t="n">
        <v>46001</v>
      </c>
      <c r="H4202" s="8" t="n">
        <v>46028</v>
      </c>
      <c r="I4202" s="7" t="s">
        <v>40</v>
      </c>
      <c r="J4202" s="7" t="s">
        <v>51</v>
      </c>
      <c r="K4202" s="7" t="n">
        <v>27</v>
      </c>
      <c r="L4202" s="7" t="n">
        <v>2</v>
      </c>
      <c r="M4202" s="7" t="n">
        <v>1</v>
      </c>
      <c r="N4202" s="7" t="s">
        <v>71</v>
      </c>
      <c r="O4202" s="7"/>
      <c r="P4202" s="7"/>
      <c r="Q4202" s="7" t="n">
        <v>33</v>
      </c>
      <c r="R4202" s="7" t="s">
        <v>44</v>
      </c>
      <c r="S4202" s="7"/>
      <c r="T4202" s="7"/>
      <c r="U4202" s="7" t="str">
        <f aca="false">IF(COUNTIF($A$2:$A$5001,A4202)&gt;1,"Duplicate","Unique")</f>
        <v>Unique</v>
      </c>
      <c r="V4202" s="7" t="str">
        <f aca="false">IF(COUNTIFS($B$2:$B$5001,B4202,$H$2:$H$5001,H4202,$J$2:$J$5001,J4202)&gt;1,"Possible Duplicate Booking","Unique")</f>
        <v>Unique</v>
      </c>
      <c r="W4202" s="7" t="str">
        <f aca="false">IF((H4202-G4202)&lt;&gt;K4202,"Mismatch","OK")</f>
        <v>OK</v>
      </c>
      <c r="X4202" s="7" t="str">
        <f aca="false">IF(TEXT(H4202,"dddd")&lt;&gt;I4202,"Mismatch","OK")</f>
        <v>OK</v>
      </c>
      <c r="Y4202" s="7" t="str">
        <f aca="false">IF(AND(N4202="No",O4202&lt;&gt;""),"Unexpected: channel present but no reminder sent",IF(AND(N4202="Yes",O4202=""),"Missing channel for sent reminder","OK"))</f>
        <v>OK</v>
      </c>
    </row>
    <row r="4203" customFormat="false" ht="15" hidden="false" customHeight="false" outlineLevel="0" collapsed="false">
      <c r="A4203" s="9" t="s">
        <v>5899</v>
      </c>
      <c r="B4203" s="9" t="s">
        <v>3276</v>
      </c>
      <c r="C4203" s="9" t="s">
        <v>47</v>
      </c>
      <c r="D4203" s="9" t="n">
        <v>39</v>
      </c>
      <c r="E4203" s="9" t="s">
        <v>38</v>
      </c>
      <c r="F4203" s="9" t="s">
        <v>49</v>
      </c>
      <c r="G4203" s="10" t="n">
        <v>46027</v>
      </c>
      <c r="H4203" s="10" t="n">
        <v>46065</v>
      </c>
      <c r="I4203" s="9" t="s">
        <v>62</v>
      </c>
      <c r="J4203" s="9" t="s">
        <v>51</v>
      </c>
      <c r="K4203" s="9" t="n">
        <v>38</v>
      </c>
      <c r="L4203" s="9" t="n">
        <v>2</v>
      </c>
      <c r="M4203" s="9" t="n">
        <v>2</v>
      </c>
      <c r="N4203" s="9" t="s">
        <v>71</v>
      </c>
      <c r="O4203" s="9"/>
      <c r="P4203" s="9" t="n">
        <v>11.9</v>
      </c>
      <c r="Q4203" s="9" t="n">
        <v>14</v>
      </c>
      <c r="R4203" s="9" t="s">
        <v>53</v>
      </c>
      <c r="S4203" s="9"/>
      <c r="T4203" s="9"/>
      <c r="U4203" s="9" t="str">
        <f aca="false">IF(COUNTIF($A$2:$A$5001,A4203)&gt;1,"Duplicate","Unique")</f>
        <v>Unique</v>
      </c>
      <c r="V4203" s="9" t="str">
        <f aca="false">IF(COUNTIFS($B$2:$B$5001,B4203,$H$2:$H$5001,H4203,$J$2:$J$5001,J4203)&gt;1,"Possible Duplicate Booking","Unique")</f>
        <v>Unique</v>
      </c>
      <c r="W4203" s="9" t="str">
        <f aca="false">IF((H4203-G4203)&lt;&gt;K4203,"Mismatch","OK")</f>
        <v>OK</v>
      </c>
      <c r="X4203" s="9" t="str">
        <f aca="false">IF(TEXT(H4203,"dddd")&lt;&gt;I4203,"Mismatch","OK")</f>
        <v>OK</v>
      </c>
      <c r="Y4203" s="9" t="str">
        <f aca="false">IF(AND(N4203="No",O4203&lt;&gt;""),"Unexpected: channel present but no reminder sent",IF(AND(N4203="Yes",O4203=""),"Missing channel for sent reminder","OK"))</f>
        <v>OK</v>
      </c>
    </row>
    <row r="4204" customFormat="false" ht="15" hidden="false" customHeight="false" outlineLevel="0" collapsed="false">
      <c r="A4204" s="7" t="s">
        <v>5900</v>
      </c>
      <c r="B4204" s="7" t="s">
        <v>379</v>
      </c>
      <c r="C4204" s="7" t="s">
        <v>47</v>
      </c>
      <c r="D4204" s="7" t="n">
        <v>68</v>
      </c>
      <c r="E4204" s="7" t="s">
        <v>70</v>
      </c>
      <c r="F4204" s="7" t="s">
        <v>57</v>
      </c>
      <c r="G4204" s="8" t="n">
        <v>45825</v>
      </c>
      <c r="H4204" s="8" t="n">
        <v>45845</v>
      </c>
      <c r="I4204" s="7" t="s">
        <v>66</v>
      </c>
      <c r="J4204" s="7" t="s">
        <v>51</v>
      </c>
      <c r="K4204" s="7" t="n">
        <v>20</v>
      </c>
      <c r="L4204" s="7" t="n">
        <v>4</v>
      </c>
      <c r="M4204" s="7" t="n">
        <v>0</v>
      </c>
      <c r="N4204" s="7" t="s">
        <v>42</v>
      </c>
      <c r="O4204" s="7" t="s">
        <v>67</v>
      </c>
      <c r="P4204" s="7" t="n">
        <v>13.5</v>
      </c>
      <c r="Q4204" s="7" t="n">
        <v>13</v>
      </c>
      <c r="R4204" s="7" t="s">
        <v>53</v>
      </c>
      <c r="S4204" s="7"/>
      <c r="T4204" s="7"/>
      <c r="U4204" s="7" t="str">
        <f aca="false">IF(COUNTIF($A$2:$A$5001,A4204)&gt;1,"Duplicate","Unique")</f>
        <v>Unique</v>
      </c>
      <c r="V4204" s="7" t="str">
        <f aca="false">IF(COUNTIFS($B$2:$B$5001,B4204,$H$2:$H$5001,H4204,$J$2:$J$5001,J4204)&gt;1,"Possible Duplicate Booking","Unique")</f>
        <v>Unique</v>
      </c>
      <c r="W4204" s="7" t="str">
        <f aca="false">IF((H4204-G4204)&lt;&gt;K4204,"Mismatch","OK")</f>
        <v>OK</v>
      </c>
      <c r="X4204" s="7" t="str">
        <f aca="false">IF(TEXT(H4204,"dddd")&lt;&gt;I4204,"Mismatch","OK")</f>
        <v>OK</v>
      </c>
      <c r="Y4204" s="7" t="str">
        <f aca="false">IF(AND(N4204="No",O4204&lt;&gt;""),"Unexpected: channel present but no reminder sent",IF(AND(N4204="Yes",O4204=""),"Missing channel for sent reminder","OK"))</f>
        <v>OK</v>
      </c>
    </row>
    <row r="4205" customFormat="false" ht="15" hidden="false" customHeight="false" outlineLevel="0" collapsed="false">
      <c r="A4205" s="9" t="s">
        <v>5901</v>
      </c>
      <c r="B4205" s="9" t="s">
        <v>1248</v>
      </c>
      <c r="C4205" s="9" t="s">
        <v>47</v>
      </c>
      <c r="D4205" s="9" t="n">
        <v>34</v>
      </c>
      <c r="E4205" s="9" t="s">
        <v>48</v>
      </c>
      <c r="F4205" s="9" t="s">
        <v>39</v>
      </c>
      <c r="G4205" s="10" t="n">
        <v>45673</v>
      </c>
      <c r="H4205" s="10" t="n">
        <v>45729</v>
      </c>
      <c r="I4205" s="9" t="s">
        <v>62</v>
      </c>
      <c r="J4205" s="9" t="s">
        <v>41</v>
      </c>
      <c r="K4205" s="9" t="n">
        <v>56</v>
      </c>
      <c r="L4205" s="9" t="n">
        <v>2</v>
      </c>
      <c r="M4205" s="9" t="n">
        <v>1</v>
      </c>
      <c r="N4205" s="9" t="s">
        <v>42</v>
      </c>
      <c r="O4205" s="9" t="s">
        <v>52</v>
      </c>
      <c r="P4205" s="9" t="n">
        <v>17.6</v>
      </c>
      <c r="Q4205" s="9" t="n">
        <v>36</v>
      </c>
      <c r="R4205" s="9" t="s">
        <v>44</v>
      </c>
      <c r="S4205" s="9"/>
      <c r="T4205" s="9"/>
      <c r="U4205" s="9" t="str">
        <f aca="false">IF(COUNTIF($A$2:$A$5001,A4205)&gt;1,"Duplicate","Unique")</f>
        <v>Unique</v>
      </c>
      <c r="V4205" s="9" t="str">
        <f aca="false">IF(COUNTIFS($B$2:$B$5001,B4205,$H$2:$H$5001,H4205,$J$2:$J$5001,J4205)&gt;1,"Possible Duplicate Booking","Unique")</f>
        <v>Unique</v>
      </c>
      <c r="W4205" s="9" t="str">
        <f aca="false">IF((H4205-G4205)&lt;&gt;K4205,"Mismatch","OK")</f>
        <v>OK</v>
      </c>
      <c r="X4205" s="9" t="str">
        <f aca="false">IF(TEXT(H4205,"dddd")&lt;&gt;I4205,"Mismatch","OK")</f>
        <v>OK</v>
      </c>
      <c r="Y4205" s="9" t="str">
        <f aca="false">IF(AND(N4205="No",O4205&lt;&gt;""),"Unexpected: channel present but no reminder sent",IF(AND(N4205="Yes",O4205=""),"Missing channel for sent reminder","OK"))</f>
        <v>OK</v>
      </c>
    </row>
    <row r="4206" customFormat="false" ht="15" hidden="false" customHeight="false" outlineLevel="0" collapsed="false">
      <c r="A4206" s="7" t="s">
        <v>5902</v>
      </c>
      <c r="B4206" s="7" t="s">
        <v>4568</v>
      </c>
      <c r="C4206" s="7" t="s">
        <v>37</v>
      </c>
      <c r="D4206" s="7" t="n">
        <v>70</v>
      </c>
      <c r="E4206" s="7" t="s">
        <v>70</v>
      </c>
      <c r="F4206" s="7" t="s">
        <v>57</v>
      </c>
      <c r="G4206" s="8" t="n">
        <v>45780</v>
      </c>
      <c r="H4206" s="8" t="n">
        <v>45819</v>
      </c>
      <c r="I4206" s="7" t="s">
        <v>58</v>
      </c>
      <c r="J4206" s="7" t="s">
        <v>51</v>
      </c>
      <c r="K4206" s="7" t="n">
        <v>39</v>
      </c>
      <c r="L4206" s="7" t="n">
        <v>4</v>
      </c>
      <c r="M4206" s="7" t="n">
        <v>1</v>
      </c>
      <c r="N4206" s="7" t="s">
        <v>71</v>
      </c>
      <c r="O4206" s="7"/>
      <c r="P4206" s="7" t="n">
        <v>1.9</v>
      </c>
      <c r="Q4206" s="7" t="n">
        <v>20</v>
      </c>
      <c r="R4206" s="7" t="s">
        <v>44</v>
      </c>
      <c r="S4206" s="7"/>
      <c r="T4206" s="7"/>
      <c r="U4206" s="7" t="str">
        <f aca="false">IF(COUNTIF($A$2:$A$5001,A4206)&gt;1,"Duplicate","Unique")</f>
        <v>Unique</v>
      </c>
      <c r="V4206" s="7" t="str">
        <f aca="false">IF(COUNTIFS($B$2:$B$5001,B4206,$H$2:$H$5001,H4206,$J$2:$J$5001,J4206)&gt;1,"Possible Duplicate Booking","Unique")</f>
        <v>Unique</v>
      </c>
      <c r="W4206" s="7" t="str">
        <f aca="false">IF((H4206-G4206)&lt;&gt;K4206,"Mismatch","OK")</f>
        <v>OK</v>
      </c>
      <c r="X4206" s="7" t="str">
        <f aca="false">IF(TEXT(H4206,"dddd")&lt;&gt;I4206,"Mismatch","OK")</f>
        <v>OK</v>
      </c>
      <c r="Y4206" s="7" t="str">
        <f aca="false">IF(AND(N4206="No",O4206&lt;&gt;""),"Unexpected: channel present but no reminder sent",IF(AND(N4206="Yes",O4206=""),"Missing channel for sent reminder","OK"))</f>
        <v>OK</v>
      </c>
    </row>
    <row r="4207" customFormat="false" ht="15" hidden="false" customHeight="false" outlineLevel="0" collapsed="false">
      <c r="A4207" s="9" t="s">
        <v>5903</v>
      </c>
      <c r="B4207" s="9" t="s">
        <v>244</v>
      </c>
      <c r="C4207" s="9" t="s">
        <v>37</v>
      </c>
      <c r="D4207" s="9" t="n">
        <v>54</v>
      </c>
      <c r="E4207" s="9" t="s">
        <v>56</v>
      </c>
      <c r="F4207" s="9" t="s">
        <v>39</v>
      </c>
      <c r="G4207" s="10" t="n">
        <v>46038</v>
      </c>
      <c r="H4207" s="10" t="n">
        <v>46098</v>
      </c>
      <c r="I4207" s="9" t="s">
        <v>40</v>
      </c>
      <c r="J4207" s="9" t="s">
        <v>51</v>
      </c>
      <c r="K4207" s="9" t="n">
        <v>60</v>
      </c>
      <c r="L4207" s="9" t="n">
        <v>3</v>
      </c>
      <c r="M4207" s="9" t="n">
        <v>0</v>
      </c>
      <c r="N4207" s="9" t="s">
        <v>71</v>
      </c>
      <c r="O4207" s="9"/>
      <c r="P4207" s="9" t="n">
        <v>11.8</v>
      </c>
      <c r="Q4207" s="9" t="n">
        <v>8</v>
      </c>
      <c r="R4207" s="9" t="s">
        <v>44</v>
      </c>
      <c r="S4207" s="9"/>
      <c r="T4207" s="9"/>
      <c r="U4207" s="9" t="str">
        <f aca="false">IF(COUNTIF($A$2:$A$5001,A4207)&gt;1,"Duplicate","Unique")</f>
        <v>Unique</v>
      </c>
      <c r="V4207" s="9" t="str">
        <f aca="false">IF(COUNTIFS($B$2:$B$5001,B4207,$H$2:$H$5001,H4207,$J$2:$J$5001,J4207)&gt;1,"Possible Duplicate Booking","Unique")</f>
        <v>Unique</v>
      </c>
      <c r="W4207" s="9" t="str">
        <f aca="false">IF((H4207-G4207)&lt;&gt;K4207,"Mismatch","OK")</f>
        <v>OK</v>
      </c>
      <c r="X4207" s="9" t="str">
        <f aca="false">IF(TEXT(H4207,"dddd")&lt;&gt;I4207,"Mismatch","OK")</f>
        <v>OK</v>
      </c>
      <c r="Y4207" s="9" t="str">
        <f aca="false">IF(AND(N4207="No",O4207&lt;&gt;""),"Unexpected: channel present but no reminder sent",IF(AND(N4207="Yes",O4207=""),"Missing channel for sent reminder","OK"))</f>
        <v>OK</v>
      </c>
    </row>
    <row r="4208" customFormat="false" ht="15" hidden="false" customHeight="false" outlineLevel="0" collapsed="false">
      <c r="A4208" s="7" t="s">
        <v>5904</v>
      </c>
      <c r="B4208" s="7" t="s">
        <v>2730</v>
      </c>
      <c r="C4208" s="7" t="s">
        <v>47</v>
      </c>
      <c r="D4208" s="7" t="n">
        <v>71</v>
      </c>
      <c r="E4208" s="7" t="s">
        <v>70</v>
      </c>
      <c r="F4208" s="7" t="s">
        <v>39</v>
      </c>
      <c r="G4208" s="8" t="n">
        <v>46130</v>
      </c>
      <c r="H4208" s="8" t="n">
        <v>46152</v>
      </c>
      <c r="I4208" s="7" t="s">
        <v>75</v>
      </c>
      <c r="J4208" s="7" t="s">
        <v>51</v>
      </c>
      <c r="K4208" s="7" t="n">
        <v>22</v>
      </c>
      <c r="L4208" s="7" t="n">
        <v>3</v>
      </c>
      <c r="M4208" s="7" t="n">
        <v>0</v>
      </c>
      <c r="N4208" s="7" t="s">
        <v>71</v>
      </c>
      <c r="O4208" s="7"/>
      <c r="P4208" s="7" t="n">
        <v>9.4</v>
      </c>
      <c r="Q4208" s="7" t="n">
        <v>22</v>
      </c>
      <c r="R4208" s="7" t="s">
        <v>44</v>
      </c>
      <c r="S4208" s="7"/>
      <c r="T4208" s="7"/>
      <c r="U4208" s="7" t="str">
        <f aca="false">IF(COUNTIF($A$2:$A$5001,A4208)&gt;1,"Duplicate","Unique")</f>
        <v>Unique</v>
      </c>
      <c r="V4208" s="7" t="str">
        <f aca="false">IF(COUNTIFS($B$2:$B$5001,B4208,$H$2:$H$5001,H4208,$J$2:$J$5001,J4208)&gt;1,"Possible Duplicate Booking","Unique")</f>
        <v>Unique</v>
      </c>
      <c r="W4208" s="7" t="str">
        <f aca="false">IF((H4208-G4208)&lt;&gt;K4208,"Mismatch","OK")</f>
        <v>OK</v>
      </c>
      <c r="X4208" s="7" t="str">
        <f aca="false">IF(TEXT(H4208,"dddd")&lt;&gt;I4208,"Mismatch","OK")</f>
        <v>OK</v>
      </c>
      <c r="Y4208" s="7" t="str">
        <f aca="false">IF(AND(N4208="No",O4208&lt;&gt;""),"Unexpected: channel present but no reminder sent",IF(AND(N4208="Yes",O4208=""),"Missing channel for sent reminder","OK"))</f>
        <v>OK</v>
      </c>
    </row>
    <row r="4209" customFormat="false" ht="15" hidden="false" customHeight="false" outlineLevel="0" collapsed="false">
      <c r="A4209" s="9" t="s">
        <v>5905</v>
      </c>
      <c r="B4209" s="9" t="s">
        <v>819</v>
      </c>
      <c r="C4209" s="9" t="s">
        <v>47</v>
      </c>
      <c r="D4209" s="9" t="n">
        <v>21</v>
      </c>
      <c r="E4209" s="9" t="s">
        <v>82</v>
      </c>
      <c r="F4209" s="9" t="s">
        <v>57</v>
      </c>
      <c r="G4209" s="10" t="n">
        <v>46130</v>
      </c>
      <c r="H4209" s="10" t="n">
        <v>46169</v>
      </c>
      <c r="I4209" s="9" t="s">
        <v>58</v>
      </c>
      <c r="J4209" s="9" t="s">
        <v>41</v>
      </c>
      <c r="K4209" s="9" t="n">
        <v>39</v>
      </c>
      <c r="L4209" s="9" t="n">
        <v>4</v>
      </c>
      <c r="M4209" s="9" t="n">
        <v>2</v>
      </c>
      <c r="N4209" s="9" t="s">
        <v>42</v>
      </c>
      <c r="O4209" s="9" t="s">
        <v>52</v>
      </c>
      <c r="P4209" s="9" t="n">
        <v>9.3</v>
      </c>
      <c r="Q4209" s="9" t="n">
        <v>23</v>
      </c>
      <c r="R4209" s="9" t="s">
        <v>44</v>
      </c>
      <c r="S4209" s="9"/>
      <c r="T4209" s="9"/>
      <c r="U4209" s="9" t="str">
        <f aca="false">IF(COUNTIF($A$2:$A$5001,A4209)&gt;1,"Duplicate","Unique")</f>
        <v>Unique</v>
      </c>
      <c r="V4209" s="9" t="str">
        <f aca="false">IF(COUNTIFS($B$2:$B$5001,B4209,$H$2:$H$5001,H4209,$J$2:$J$5001,J4209)&gt;1,"Possible Duplicate Booking","Unique")</f>
        <v>Unique</v>
      </c>
      <c r="W4209" s="9" t="str">
        <f aca="false">IF((H4209-G4209)&lt;&gt;K4209,"Mismatch","OK")</f>
        <v>OK</v>
      </c>
      <c r="X4209" s="9" t="str">
        <f aca="false">IF(TEXT(H4209,"dddd")&lt;&gt;I4209,"Mismatch","OK")</f>
        <v>OK</v>
      </c>
      <c r="Y4209" s="9" t="str">
        <f aca="false">IF(AND(N4209="No",O4209&lt;&gt;""),"Unexpected: channel present but no reminder sent",IF(AND(N4209="Yes",O4209=""),"Missing channel for sent reminder","OK"))</f>
        <v>OK</v>
      </c>
    </row>
    <row r="4210" customFormat="false" ht="15" hidden="false" customHeight="false" outlineLevel="0" collapsed="false">
      <c r="A4210" s="7" t="s">
        <v>5906</v>
      </c>
      <c r="B4210" s="7" t="s">
        <v>1305</v>
      </c>
      <c r="C4210" s="7" t="s">
        <v>37</v>
      </c>
      <c r="D4210" s="7" t="n">
        <v>68</v>
      </c>
      <c r="E4210" s="7" t="s">
        <v>70</v>
      </c>
      <c r="F4210" s="7" t="s">
        <v>39</v>
      </c>
      <c r="G4210" s="8" t="n">
        <v>45759</v>
      </c>
      <c r="H4210" s="8" t="n">
        <v>45781</v>
      </c>
      <c r="I4210" s="7" t="s">
        <v>75</v>
      </c>
      <c r="J4210" s="7" t="s">
        <v>41</v>
      </c>
      <c r="K4210" s="7" t="n">
        <v>22</v>
      </c>
      <c r="L4210" s="7" t="n">
        <v>4</v>
      </c>
      <c r="M4210" s="7" t="n">
        <v>1</v>
      </c>
      <c r="N4210" s="7" t="s">
        <v>42</v>
      </c>
      <c r="O4210" s="7" t="s">
        <v>52</v>
      </c>
      <c r="P4210" s="7" t="n">
        <v>11.9</v>
      </c>
      <c r="Q4210" s="7" t="n">
        <v>27</v>
      </c>
      <c r="R4210" s="7" t="s">
        <v>44</v>
      </c>
      <c r="S4210" s="7"/>
      <c r="T4210" s="7"/>
      <c r="U4210" s="7" t="str">
        <f aca="false">IF(COUNTIF($A$2:$A$5001,A4210)&gt;1,"Duplicate","Unique")</f>
        <v>Unique</v>
      </c>
      <c r="V4210" s="7" t="str">
        <f aca="false">IF(COUNTIFS($B$2:$B$5001,B4210,$H$2:$H$5001,H4210,$J$2:$J$5001,J4210)&gt;1,"Possible Duplicate Booking","Unique")</f>
        <v>Unique</v>
      </c>
      <c r="W4210" s="7" t="str">
        <f aca="false">IF((H4210-G4210)&lt;&gt;K4210,"Mismatch","OK")</f>
        <v>OK</v>
      </c>
      <c r="X4210" s="7" t="str">
        <f aca="false">IF(TEXT(H4210,"dddd")&lt;&gt;I4210,"Mismatch","OK")</f>
        <v>OK</v>
      </c>
      <c r="Y4210" s="7" t="str">
        <f aca="false">IF(AND(N4210="No",O4210&lt;&gt;""),"Unexpected: channel present but no reminder sent",IF(AND(N4210="Yes",O4210=""),"Missing channel for sent reminder","OK"))</f>
        <v>OK</v>
      </c>
    </row>
    <row r="4211" customFormat="false" ht="15" hidden="false" customHeight="false" outlineLevel="0" collapsed="false">
      <c r="A4211" s="9" t="s">
        <v>5907</v>
      </c>
      <c r="B4211" s="9" t="s">
        <v>5908</v>
      </c>
      <c r="C4211" s="9" t="s">
        <v>47</v>
      </c>
      <c r="D4211" s="9" t="n">
        <v>35</v>
      </c>
      <c r="E4211" s="9" t="s">
        <v>38</v>
      </c>
      <c r="F4211" s="9" t="s">
        <v>39</v>
      </c>
      <c r="G4211" s="10" t="n">
        <v>45947</v>
      </c>
      <c r="H4211" s="10" t="n">
        <v>45989</v>
      </c>
      <c r="I4211" s="9" t="s">
        <v>50</v>
      </c>
      <c r="J4211" s="9" t="s">
        <v>41</v>
      </c>
      <c r="K4211" s="9" t="n">
        <v>42</v>
      </c>
      <c r="L4211" s="9" t="n">
        <v>4</v>
      </c>
      <c r="M4211" s="9" t="n">
        <v>0</v>
      </c>
      <c r="N4211" s="9" t="s">
        <v>42</v>
      </c>
      <c r="O4211" s="9" t="s">
        <v>67</v>
      </c>
      <c r="P4211" s="9" t="n">
        <v>2.9</v>
      </c>
      <c r="Q4211" s="9" t="n">
        <v>20</v>
      </c>
      <c r="R4211" s="9" t="s">
        <v>53</v>
      </c>
      <c r="S4211" s="9"/>
      <c r="T4211" s="9"/>
      <c r="U4211" s="9" t="str">
        <f aca="false">IF(COUNTIF($A$2:$A$5001,A4211)&gt;1,"Duplicate","Unique")</f>
        <v>Unique</v>
      </c>
      <c r="V4211" s="9" t="str">
        <f aca="false">IF(COUNTIFS($B$2:$B$5001,B4211,$H$2:$H$5001,H4211,$J$2:$J$5001,J4211)&gt;1,"Possible Duplicate Booking","Unique")</f>
        <v>Unique</v>
      </c>
      <c r="W4211" s="9" t="str">
        <f aca="false">IF((H4211-G4211)&lt;&gt;K4211,"Mismatch","OK")</f>
        <v>OK</v>
      </c>
      <c r="X4211" s="9" t="str">
        <f aca="false">IF(TEXT(H4211,"dddd")&lt;&gt;I4211,"Mismatch","OK")</f>
        <v>OK</v>
      </c>
      <c r="Y4211" s="9" t="str">
        <f aca="false">IF(AND(N4211="No",O4211&lt;&gt;""),"Unexpected: channel present but no reminder sent",IF(AND(N4211="Yes",O4211=""),"Missing channel for sent reminder","OK"))</f>
        <v>OK</v>
      </c>
    </row>
    <row r="4212" customFormat="false" ht="15" hidden="false" customHeight="false" outlineLevel="0" collapsed="false">
      <c r="A4212" s="7" t="s">
        <v>5909</v>
      </c>
      <c r="B4212" s="7" t="s">
        <v>1203</v>
      </c>
      <c r="C4212" s="7" t="s">
        <v>47</v>
      </c>
      <c r="D4212" s="7" t="n">
        <v>40</v>
      </c>
      <c r="E4212" s="7" t="s">
        <v>38</v>
      </c>
      <c r="F4212" s="7" t="s">
        <v>39</v>
      </c>
      <c r="G4212" s="8" t="n">
        <v>45695</v>
      </c>
      <c r="H4212" s="8" t="n">
        <v>45740</v>
      </c>
      <c r="I4212" s="7" t="s">
        <v>66</v>
      </c>
      <c r="J4212" s="7" t="s">
        <v>51</v>
      </c>
      <c r="K4212" s="7" t="n">
        <v>45</v>
      </c>
      <c r="L4212" s="7" t="n">
        <v>1</v>
      </c>
      <c r="M4212" s="7" t="n">
        <v>0</v>
      </c>
      <c r="N4212" s="7" t="s">
        <v>42</v>
      </c>
      <c r="O4212" s="7" t="s">
        <v>43</v>
      </c>
      <c r="P4212" s="7" t="n">
        <v>19.3</v>
      </c>
      <c r="Q4212" s="7" t="n">
        <v>43</v>
      </c>
      <c r="R4212" s="7" t="s">
        <v>44</v>
      </c>
      <c r="S4212" s="7"/>
      <c r="T4212" s="7"/>
      <c r="U4212" s="7" t="str">
        <f aca="false">IF(COUNTIF($A$2:$A$5001,A4212)&gt;1,"Duplicate","Unique")</f>
        <v>Unique</v>
      </c>
      <c r="V4212" s="7" t="str">
        <f aca="false">IF(COUNTIFS($B$2:$B$5001,B4212,$H$2:$H$5001,H4212,$J$2:$J$5001,J4212)&gt;1,"Possible Duplicate Booking","Unique")</f>
        <v>Unique</v>
      </c>
      <c r="W4212" s="7" t="str">
        <f aca="false">IF((H4212-G4212)&lt;&gt;K4212,"Mismatch","OK")</f>
        <v>OK</v>
      </c>
      <c r="X4212" s="7" t="str">
        <f aca="false">IF(TEXT(H4212,"dddd")&lt;&gt;I4212,"Mismatch","OK")</f>
        <v>OK</v>
      </c>
      <c r="Y4212" s="7" t="str">
        <f aca="false">IF(AND(N4212="No",O4212&lt;&gt;""),"Unexpected: channel present but no reminder sent",IF(AND(N4212="Yes",O4212=""),"Missing channel for sent reminder","OK"))</f>
        <v>OK</v>
      </c>
    </row>
    <row r="4213" customFormat="false" ht="15" hidden="false" customHeight="false" outlineLevel="0" collapsed="false">
      <c r="A4213" s="9" t="s">
        <v>5910</v>
      </c>
      <c r="B4213" s="9" t="s">
        <v>4531</v>
      </c>
      <c r="C4213" s="9" t="s">
        <v>47</v>
      </c>
      <c r="D4213" s="9" t="n">
        <v>20</v>
      </c>
      <c r="E4213" s="9" t="s">
        <v>82</v>
      </c>
      <c r="F4213" s="9" t="s">
        <v>57</v>
      </c>
      <c r="G4213" s="10" t="n">
        <v>46026</v>
      </c>
      <c r="H4213" s="10" t="n">
        <v>46045</v>
      </c>
      <c r="I4213" s="9" t="s">
        <v>50</v>
      </c>
      <c r="J4213" s="9" t="s">
        <v>41</v>
      </c>
      <c r="K4213" s="9" t="n">
        <v>19</v>
      </c>
      <c r="L4213" s="9" t="n">
        <v>5</v>
      </c>
      <c r="M4213" s="9" t="n">
        <v>0</v>
      </c>
      <c r="N4213" s="9" t="s">
        <v>42</v>
      </c>
      <c r="O4213" s="9" t="s">
        <v>52</v>
      </c>
      <c r="P4213" s="9" t="n">
        <v>11.1</v>
      </c>
      <c r="Q4213" s="9" t="n">
        <v>14</v>
      </c>
      <c r="R4213" s="9" t="s">
        <v>53</v>
      </c>
      <c r="S4213" s="9"/>
      <c r="T4213" s="9"/>
      <c r="U4213" s="9" t="str">
        <f aca="false">IF(COUNTIF($A$2:$A$5001,A4213)&gt;1,"Duplicate","Unique")</f>
        <v>Unique</v>
      </c>
      <c r="V4213" s="9" t="str">
        <f aca="false">IF(COUNTIFS($B$2:$B$5001,B4213,$H$2:$H$5001,H4213,$J$2:$J$5001,J4213)&gt;1,"Possible Duplicate Booking","Unique")</f>
        <v>Unique</v>
      </c>
      <c r="W4213" s="9" t="str">
        <f aca="false">IF((H4213-G4213)&lt;&gt;K4213,"Mismatch","OK")</f>
        <v>OK</v>
      </c>
      <c r="X4213" s="9" t="str">
        <f aca="false">IF(TEXT(H4213,"dddd")&lt;&gt;I4213,"Mismatch","OK")</f>
        <v>OK</v>
      </c>
      <c r="Y4213" s="9" t="str">
        <f aca="false">IF(AND(N4213="No",O4213&lt;&gt;""),"Unexpected: channel present but no reminder sent",IF(AND(N4213="Yes",O4213=""),"Missing channel for sent reminder","OK"))</f>
        <v>OK</v>
      </c>
    </row>
    <row r="4214" customFormat="false" ht="15" hidden="false" customHeight="false" outlineLevel="0" collapsed="false">
      <c r="A4214" s="7" t="s">
        <v>5911</v>
      </c>
      <c r="B4214" s="7" t="s">
        <v>101</v>
      </c>
      <c r="C4214" s="7" t="s">
        <v>47</v>
      </c>
      <c r="D4214" s="7" t="n">
        <v>78</v>
      </c>
      <c r="E4214" s="7" t="s">
        <v>70</v>
      </c>
      <c r="F4214" s="7" t="s">
        <v>57</v>
      </c>
      <c r="G4214" s="8" t="n">
        <v>45828</v>
      </c>
      <c r="H4214" s="8" t="n">
        <v>45885</v>
      </c>
      <c r="I4214" s="7" t="s">
        <v>102</v>
      </c>
      <c r="J4214" s="7" t="s">
        <v>41</v>
      </c>
      <c r="K4214" s="7" t="n">
        <v>57</v>
      </c>
      <c r="L4214" s="7" t="n">
        <v>2</v>
      </c>
      <c r="M4214" s="7" t="n">
        <v>0</v>
      </c>
      <c r="N4214" s="7" t="s">
        <v>42</v>
      </c>
      <c r="O4214" s="7" t="s">
        <v>43</v>
      </c>
      <c r="P4214" s="7" t="n">
        <v>1.8</v>
      </c>
      <c r="Q4214" s="7" t="n">
        <v>2</v>
      </c>
      <c r="R4214" s="7" t="s">
        <v>44</v>
      </c>
      <c r="S4214" s="7"/>
      <c r="T4214" s="7"/>
      <c r="U4214" s="7" t="str">
        <f aca="false">IF(COUNTIF($A$2:$A$5001,A4214)&gt;1,"Duplicate","Unique")</f>
        <v>Unique</v>
      </c>
      <c r="V4214" s="7" t="str">
        <f aca="false">IF(COUNTIFS($B$2:$B$5001,B4214,$H$2:$H$5001,H4214,$J$2:$J$5001,J4214)&gt;1,"Possible Duplicate Booking","Unique")</f>
        <v>Unique</v>
      </c>
      <c r="W4214" s="7" t="str">
        <f aca="false">IF((H4214-G4214)&lt;&gt;K4214,"Mismatch","OK")</f>
        <v>OK</v>
      </c>
      <c r="X4214" s="7" t="str">
        <f aca="false">IF(TEXT(H4214,"dddd")&lt;&gt;I4214,"Mismatch","OK")</f>
        <v>OK</v>
      </c>
      <c r="Y4214" s="7" t="str">
        <f aca="false">IF(AND(N4214="No",O4214&lt;&gt;""),"Unexpected: channel present but no reminder sent",IF(AND(N4214="Yes",O4214=""),"Missing channel for sent reminder","OK"))</f>
        <v>OK</v>
      </c>
    </row>
    <row r="4215" customFormat="false" ht="15" hidden="false" customHeight="false" outlineLevel="0" collapsed="false">
      <c r="A4215" s="9" t="s">
        <v>5912</v>
      </c>
      <c r="B4215" s="9" t="s">
        <v>925</v>
      </c>
      <c r="C4215" s="9" t="s">
        <v>37</v>
      </c>
      <c r="D4215" s="9" t="n">
        <v>58</v>
      </c>
      <c r="E4215" s="9" t="s">
        <v>61</v>
      </c>
      <c r="F4215" s="9" t="s">
        <v>57</v>
      </c>
      <c r="G4215" s="10" t="n">
        <v>45995</v>
      </c>
      <c r="H4215" s="10" t="n">
        <v>46047</v>
      </c>
      <c r="I4215" s="9" t="s">
        <v>75</v>
      </c>
      <c r="J4215" s="9" t="s">
        <v>41</v>
      </c>
      <c r="K4215" s="9" t="n">
        <v>52</v>
      </c>
      <c r="L4215" s="9" t="n">
        <v>4</v>
      </c>
      <c r="M4215" s="9" t="n">
        <v>0</v>
      </c>
      <c r="N4215" s="9" t="s">
        <v>42</v>
      </c>
      <c r="O4215" s="9" t="s">
        <v>67</v>
      </c>
      <c r="P4215" s="9" t="n">
        <v>12.5</v>
      </c>
      <c r="Q4215" s="9" t="n">
        <v>8</v>
      </c>
      <c r="R4215" s="9" t="s">
        <v>53</v>
      </c>
      <c r="S4215" s="9"/>
      <c r="T4215" s="9"/>
      <c r="U4215" s="9" t="str">
        <f aca="false">IF(COUNTIF($A$2:$A$5001,A4215)&gt;1,"Duplicate","Unique")</f>
        <v>Unique</v>
      </c>
      <c r="V4215" s="9" t="str">
        <f aca="false">IF(COUNTIFS($B$2:$B$5001,B4215,$H$2:$H$5001,H4215,$J$2:$J$5001,J4215)&gt;1,"Possible Duplicate Booking","Unique")</f>
        <v>Unique</v>
      </c>
      <c r="W4215" s="9" t="str">
        <f aca="false">IF((H4215-G4215)&lt;&gt;K4215,"Mismatch","OK")</f>
        <v>OK</v>
      </c>
      <c r="X4215" s="9" t="str">
        <f aca="false">IF(TEXT(H4215,"dddd")&lt;&gt;I4215,"Mismatch","OK")</f>
        <v>OK</v>
      </c>
      <c r="Y4215" s="9" t="str">
        <f aca="false">IF(AND(N4215="No",O4215&lt;&gt;""),"Unexpected: channel present but no reminder sent",IF(AND(N4215="Yes",O4215=""),"Missing channel for sent reminder","OK"))</f>
        <v>OK</v>
      </c>
    </row>
    <row r="4216" customFormat="false" ht="15" hidden="false" customHeight="false" outlineLevel="0" collapsed="false">
      <c r="A4216" s="7" t="s">
        <v>5913</v>
      </c>
      <c r="B4216" s="7" t="s">
        <v>3709</v>
      </c>
      <c r="C4216" s="7" t="s">
        <v>47</v>
      </c>
      <c r="D4216" s="7" t="n">
        <v>79</v>
      </c>
      <c r="E4216" s="7" t="s">
        <v>70</v>
      </c>
      <c r="F4216" s="7" t="s">
        <v>49</v>
      </c>
      <c r="G4216" s="8" t="n">
        <v>45978</v>
      </c>
      <c r="H4216" s="8" t="n">
        <v>46032</v>
      </c>
      <c r="I4216" s="7" t="s">
        <v>102</v>
      </c>
      <c r="J4216" s="7" t="s">
        <v>51</v>
      </c>
      <c r="K4216" s="7" t="n">
        <v>54</v>
      </c>
      <c r="L4216" s="7" t="n">
        <v>2</v>
      </c>
      <c r="M4216" s="7" t="n">
        <v>1</v>
      </c>
      <c r="N4216" s="7" t="s">
        <v>71</v>
      </c>
      <c r="O4216" s="7"/>
      <c r="P4216" s="7" t="n">
        <v>1.9</v>
      </c>
      <c r="Q4216" s="7" t="n">
        <v>16</v>
      </c>
      <c r="R4216" s="7" t="s">
        <v>44</v>
      </c>
      <c r="S4216" s="7"/>
      <c r="T4216" s="7"/>
      <c r="U4216" s="7" t="str">
        <f aca="false">IF(COUNTIF($A$2:$A$5001,A4216)&gt;1,"Duplicate","Unique")</f>
        <v>Unique</v>
      </c>
      <c r="V4216" s="7" t="str">
        <f aca="false">IF(COUNTIFS($B$2:$B$5001,B4216,$H$2:$H$5001,H4216,$J$2:$J$5001,J4216)&gt;1,"Possible Duplicate Booking","Unique")</f>
        <v>Unique</v>
      </c>
      <c r="W4216" s="7" t="str">
        <f aca="false">IF((H4216-G4216)&lt;&gt;K4216,"Mismatch","OK")</f>
        <v>OK</v>
      </c>
      <c r="X4216" s="7" t="str">
        <f aca="false">IF(TEXT(H4216,"dddd")&lt;&gt;I4216,"Mismatch","OK")</f>
        <v>OK</v>
      </c>
      <c r="Y4216" s="7" t="str">
        <f aca="false">IF(AND(N4216="No",O4216&lt;&gt;""),"Unexpected: channel present but no reminder sent",IF(AND(N4216="Yes",O4216=""),"Missing channel for sent reminder","OK"))</f>
        <v>OK</v>
      </c>
    </row>
    <row r="4217" customFormat="false" ht="15" hidden="false" customHeight="false" outlineLevel="0" collapsed="false">
      <c r="A4217" s="9" t="s">
        <v>5914</v>
      </c>
      <c r="B4217" s="9" t="s">
        <v>4359</v>
      </c>
      <c r="C4217" s="9" t="s">
        <v>37</v>
      </c>
      <c r="D4217" s="9" t="n">
        <v>53</v>
      </c>
      <c r="E4217" s="9" t="s">
        <v>56</v>
      </c>
      <c r="F4217" s="9" t="s">
        <v>49</v>
      </c>
      <c r="G4217" s="10" t="n">
        <v>46187</v>
      </c>
      <c r="H4217" s="10" t="n">
        <v>46200</v>
      </c>
      <c r="I4217" s="9" t="s">
        <v>102</v>
      </c>
      <c r="J4217" s="9" t="s">
        <v>51</v>
      </c>
      <c r="K4217" s="9" t="n">
        <v>13</v>
      </c>
      <c r="L4217" s="9" t="n">
        <v>2</v>
      </c>
      <c r="M4217" s="9" t="n">
        <v>0</v>
      </c>
      <c r="N4217" s="9" t="s">
        <v>42</v>
      </c>
      <c r="O4217" s="9" t="s">
        <v>52</v>
      </c>
      <c r="P4217" s="9" t="n">
        <v>14.8</v>
      </c>
      <c r="Q4217" s="9" t="n">
        <v>29</v>
      </c>
      <c r="R4217" s="9" t="s">
        <v>53</v>
      </c>
      <c r="S4217" s="9"/>
      <c r="T4217" s="9"/>
      <c r="U4217" s="9" t="str">
        <f aca="false">IF(COUNTIF($A$2:$A$5001,A4217)&gt;1,"Duplicate","Unique")</f>
        <v>Unique</v>
      </c>
      <c r="V4217" s="9" t="str">
        <f aca="false">IF(COUNTIFS($B$2:$B$5001,B4217,$H$2:$H$5001,H4217,$J$2:$J$5001,J4217)&gt;1,"Possible Duplicate Booking","Unique")</f>
        <v>Unique</v>
      </c>
      <c r="W4217" s="9" t="str">
        <f aca="false">IF((H4217-G4217)&lt;&gt;K4217,"Mismatch","OK")</f>
        <v>OK</v>
      </c>
      <c r="X4217" s="9" t="str">
        <f aca="false">IF(TEXT(H4217,"dddd")&lt;&gt;I4217,"Mismatch","OK")</f>
        <v>OK</v>
      </c>
      <c r="Y4217" s="9" t="str">
        <f aca="false">IF(AND(N4217="No",O4217&lt;&gt;""),"Unexpected: channel present but no reminder sent",IF(AND(N4217="Yes",O4217=""),"Missing channel for sent reminder","OK"))</f>
        <v>OK</v>
      </c>
    </row>
    <row r="4218" customFormat="false" ht="15" hidden="false" customHeight="false" outlineLevel="0" collapsed="false">
      <c r="A4218" s="7" t="s">
        <v>5915</v>
      </c>
      <c r="B4218" s="7" t="s">
        <v>2028</v>
      </c>
      <c r="C4218" s="7" t="s">
        <v>37</v>
      </c>
      <c r="D4218" s="7" t="n">
        <v>27</v>
      </c>
      <c r="E4218" s="7" t="s">
        <v>48</v>
      </c>
      <c r="F4218" s="7" t="s">
        <v>57</v>
      </c>
      <c r="G4218" s="8" t="n">
        <v>45881</v>
      </c>
      <c r="H4218" s="8" t="n">
        <v>45924</v>
      </c>
      <c r="I4218" s="7" t="s">
        <v>58</v>
      </c>
      <c r="J4218" s="7" t="s">
        <v>41</v>
      </c>
      <c r="K4218" s="7" t="n">
        <v>43</v>
      </c>
      <c r="L4218" s="7" t="n">
        <v>1</v>
      </c>
      <c r="M4218" s="7" t="n">
        <v>0</v>
      </c>
      <c r="N4218" s="7" t="s">
        <v>42</v>
      </c>
      <c r="O4218" s="7" t="s">
        <v>67</v>
      </c>
      <c r="P4218" s="7" t="n">
        <v>14.6</v>
      </c>
      <c r="Q4218" s="7"/>
      <c r="R4218" s="7" t="s">
        <v>53</v>
      </c>
      <c r="S4218" s="7"/>
      <c r="T4218" s="7"/>
      <c r="U4218" s="7" t="str">
        <f aca="false">IF(COUNTIF($A$2:$A$5001,A4218)&gt;1,"Duplicate","Unique")</f>
        <v>Unique</v>
      </c>
      <c r="V4218" s="7" t="str">
        <f aca="false">IF(COUNTIFS($B$2:$B$5001,B4218,$H$2:$H$5001,H4218,$J$2:$J$5001,J4218)&gt;1,"Possible Duplicate Booking","Unique")</f>
        <v>Unique</v>
      </c>
      <c r="W4218" s="7" t="str">
        <f aca="false">IF((H4218-G4218)&lt;&gt;K4218,"Mismatch","OK")</f>
        <v>OK</v>
      </c>
      <c r="X4218" s="7" t="str">
        <f aca="false">IF(TEXT(H4218,"dddd")&lt;&gt;I4218,"Mismatch","OK")</f>
        <v>OK</v>
      </c>
      <c r="Y4218" s="7" t="str">
        <f aca="false">IF(AND(N4218="No",O4218&lt;&gt;""),"Unexpected: channel present but no reminder sent",IF(AND(N4218="Yes",O4218=""),"Missing channel for sent reminder","OK"))</f>
        <v>OK</v>
      </c>
    </row>
    <row r="4219" customFormat="false" ht="15" hidden="false" customHeight="false" outlineLevel="0" collapsed="false">
      <c r="A4219" s="9" t="s">
        <v>5916</v>
      </c>
      <c r="B4219" s="9" t="s">
        <v>615</v>
      </c>
      <c r="C4219" s="9" t="s">
        <v>37</v>
      </c>
      <c r="D4219" s="9" t="n">
        <v>39</v>
      </c>
      <c r="E4219" s="9" t="s">
        <v>38</v>
      </c>
      <c r="F4219" s="9" t="s">
        <v>49</v>
      </c>
      <c r="G4219" s="10" t="n">
        <v>45838</v>
      </c>
      <c r="H4219" s="10" t="n">
        <v>45844</v>
      </c>
      <c r="I4219" s="9" t="s">
        <v>75</v>
      </c>
      <c r="J4219" s="9" t="s">
        <v>51</v>
      </c>
      <c r="K4219" s="9" t="n">
        <v>6</v>
      </c>
      <c r="L4219" s="9" t="n">
        <v>1</v>
      </c>
      <c r="M4219" s="9" t="n">
        <v>0</v>
      </c>
      <c r="N4219" s="9" t="s">
        <v>71</v>
      </c>
      <c r="O4219" s="9"/>
      <c r="P4219" s="9" t="n">
        <v>3.5</v>
      </c>
      <c r="Q4219" s="9" t="n">
        <v>28</v>
      </c>
      <c r="R4219" s="9" t="s">
        <v>53</v>
      </c>
      <c r="S4219" s="9"/>
      <c r="T4219" s="9"/>
      <c r="U4219" s="9" t="str">
        <f aca="false">IF(COUNTIF($A$2:$A$5001,A4219)&gt;1,"Duplicate","Unique")</f>
        <v>Unique</v>
      </c>
      <c r="V4219" s="9" t="str">
        <f aca="false">IF(COUNTIFS($B$2:$B$5001,B4219,$H$2:$H$5001,H4219,$J$2:$J$5001,J4219)&gt;1,"Possible Duplicate Booking","Unique")</f>
        <v>Unique</v>
      </c>
      <c r="W4219" s="9" t="str">
        <f aca="false">IF((H4219-G4219)&lt;&gt;K4219,"Mismatch","OK")</f>
        <v>OK</v>
      </c>
      <c r="X4219" s="9" t="str">
        <f aca="false">IF(TEXT(H4219,"dddd")&lt;&gt;I4219,"Mismatch","OK")</f>
        <v>OK</v>
      </c>
      <c r="Y4219" s="9" t="str">
        <f aca="false">IF(AND(N4219="No",O4219&lt;&gt;""),"Unexpected: channel present but no reminder sent",IF(AND(N4219="Yes",O4219=""),"Missing channel for sent reminder","OK"))</f>
        <v>OK</v>
      </c>
    </row>
    <row r="4220" customFormat="false" ht="15" hidden="false" customHeight="false" outlineLevel="0" collapsed="false">
      <c r="A4220" s="7" t="s">
        <v>5917</v>
      </c>
      <c r="B4220" s="7" t="s">
        <v>348</v>
      </c>
      <c r="C4220" s="7" t="s">
        <v>37</v>
      </c>
      <c r="D4220" s="7" t="n">
        <v>45</v>
      </c>
      <c r="E4220" s="7" t="s">
        <v>56</v>
      </c>
      <c r="F4220" s="7" t="s">
        <v>39</v>
      </c>
      <c r="G4220" s="8" t="n">
        <v>45939</v>
      </c>
      <c r="H4220" s="8" t="n">
        <v>45945</v>
      </c>
      <c r="I4220" s="7" t="s">
        <v>58</v>
      </c>
      <c r="J4220" s="7" t="s">
        <v>41</v>
      </c>
      <c r="K4220" s="7" t="n">
        <v>6</v>
      </c>
      <c r="L4220" s="7" t="n">
        <v>4</v>
      </c>
      <c r="M4220" s="7" t="n">
        <v>0</v>
      </c>
      <c r="N4220" s="7" t="s">
        <v>42</v>
      </c>
      <c r="O4220" s="7" t="s">
        <v>43</v>
      </c>
      <c r="P4220" s="7" t="n">
        <v>2.2</v>
      </c>
      <c r="Q4220" s="7" t="n">
        <v>16</v>
      </c>
      <c r="R4220" s="7" t="s">
        <v>53</v>
      </c>
      <c r="S4220" s="7"/>
      <c r="T4220" s="7"/>
      <c r="U4220" s="7" t="str">
        <f aca="false">IF(COUNTIF($A$2:$A$5001,A4220)&gt;1,"Duplicate","Unique")</f>
        <v>Unique</v>
      </c>
      <c r="V4220" s="7" t="str">
        <f aca="false">IF(COUNTIFS($B$2:$B$5001,B4220,$H$2:$H$5001,H4220,$J$2:$J$5001,J4220)&gt;1,"Possible Duplicate Booking","Unique")</f>
        <v>Unique</v>
      </c>
      <c r="W4220" s="7" t="str">
        <f aca="false">IF((H4220-G4220)&lt;&gt;K4220,"Mismatch","OK")</f>
        <v>OK</v>
      </c>
      <c r="X4220" s="7" t="str">
        <f aca="false">IF(TEXT(H4220,"dddd")&lt;&gt;I4220,"Mismatch","OK")</f>
        <v>OK</v>
      </c>
      <c r="Y4220" s="7" t="str">
        <f aca="false">IF(AND(N4220="No",O4220&lt;&gt;""),"Unexpected: channel present but no reminder sent",IF(AND(N4220="Yes",O4220=""),"Missing channel for sent reminder","OK"))</f>
        <v>OK</v>
      </c>
    </row>
    <row r="4221" customFormat="false" ht="15" hidden="false" customHeight="false" outlineLevel="0" collapsed="false">
      <c r="A4221" s="9" t="s">
        <v>5918</v>
      </c>
      <c r="B4221" s="9" t="s">
        <v>199</v>
      </c>
      <c r="C4221" s="9" t="s">
        <v>37</v>
      </c>
      <c r="D4221" s="9" t="n">
        <v>27</v>
      </c>
      <c r="E4221" s="9" t="s">
        <v>48</v>
      </c>
      <c r="F4221" s="9" t="s">
        <v>74</v>
      </c>
      <c r="G4221" s="10" t="n">
        <v>45687</v>
      </c>
      <c r="H4221" s="10" t="n">
        <v>45746</v>
      </c>
      <c r="I4221" s="9" t="s">
        <v>75</v>
      </c>
      <c r="J4221" s="9" t="s">
        <v>51</v>
      </c>
      <c r="K4221" s="9" t="n">
        <v>59</v>
      </c>
      <c r="L4221" s="9" t="n">
        <v>3</v>
      </c>
      <c r="M4221" s="9" t="n">
        <v>1</v>
      </c>
      <c r="N4221" s="9" t="s">
        <v>42</v>
      </c>
      <c r="O4221" s="9" t="s">
        <v>52</v>
      </c>
      <c r="P4221" s="9" t="n">
        <v>11.5</v>
      </c>
      <c r="Q4221" s="9" t="n">
        <v>28</v>
      </c>
      <c r="R4221" s="9" t="s">
        <v>44</v>
      </c>
      <c r="S4221" s="9"/>
      <c r="T4221" s="9"/>
      <c r="U4221" s="9" t="str">
        <f aca="false">IF(COUNTIF($A$2:$A$5001,A4221)&gt;1,"Duplicate","Unique")</f>
        <v>Unique</v>
      </c>
      <c r="V4221" s="9" t="str">
        <f aca="false">IF(COUNTIFS($B$2:$B$5001,B4221,$H$2:$H$5001,H4221,$J$2:$J$5001,J4221)&gt;1,"Possible Duplicate Booking","Unique")</f>
        <v>Unique</v>
      </c>
      <c r="W4221" s="9" t="str">
        <f aca="false">IF((H4221-G4221)&lt;&gt;K4221,"Mismatch","OK")</f>
        <v>OK</v>
      </c>
      <c r="X4221" s="9" t="str">
        <f aca="false">IF(TEXT(H4221,"dddd")&lt;&gt;I4221,"Mismatch","OK")</f>
        <v>OK</v>
      </c>
      <c r="Y4221" s="9" t="str">
        <f aca="false">IF(AND(N4221="No",O4221&lt;&gt;""),"Unexpected: channel present but no reminder sent",IF(AND(N4221="Yes",O4221=""),"Missing channel for sent reminder","OK"))</f>
        <v>OK</v>
      </c>
    </row>
    <row r="4222" customFormat="false" ht="15" hidden="false" customHeight="false" outlineLevel="0" collapsed="false">
      <c r="A4222" s="7" t="s">
        <v>5919</v>
      </c>
      <c r="B4222" s="7" t="s">
        <v>2709</v>
      </c>
      <c r="C4222" s="7" t="s">
        <v>47</v>
      </c>
      <c r="D4222" s="7" t="n">
        <v>76</v>
      </c>
      <c r="E4222" s="7" t="s">
        <v>70</v>
      </c>
      <c r="F4222" s="7" t="s">
        <v>57</v>
      </c>
      <c r="G4222" s="8" t="n">
        <v>45710</v>
      </c>
      <c r="H4222" s="8" t="n">
        <v>45719</v>
      </c>
      <c r="I4222" s="7" t="s">
        <v>66</v>
      </c>
      <c r="J4222" s="7" t="s">
        <v>51</v>
      </c>
      <c r="K4222" s="7" t="n">
        <v>9</v>
      </c>
      <c r="L4222" s="7" t="n">
        <v>2</v>
      </c>
      <c r="M4222" s="7" t="n">
        <v>0</v>
      </c>
      <c r="N4222" s="7" t="s">
        <v>42</v>
      </c>
      <c r="O4222" s="7" t="s">
        <v>52</v>
      </c>
      <c r="P4222" s="7" t="n">
        <v>2</v>
      </c>
      <c r="Q4222" s="7" t="n">
        <v>6</v>
      </c>
      <c r="R4222" s="7" t="s">
        <v>44</v>
      </c>
      <c r="S4222" s="7"/>
      <c r="T4222" s="7"/>
      <c r="U4222" s="7" t="str">
        <f aca="false">IF(COUNTIF($A$2:$A$5001,A4222)&gt;1,"Duplicate","Unique")</f>
        <v>Unique</v>
      </c>
      <c r="V4222" s="7" t="str">
        <f aca="false">IF(COUNTIFS($B$2:$B$5001,B4222,$H$2:$H$5001,H4222,$J$2:$J$5001,J4222)&gt;1,"Possible Duplicate Booking","Unique")</f>
        <v>Unique</v>
      </c>
      <c r="W4222" s="7" t="str">
        <f aca="false">IF((H4222-G4222)&lt;&gt;K4222,"Mismatch","OK")</f>
        <v>OK</v>
      </c>
      <c r="X4222" s="7" t="str">
        <f aca="false">IF(TEXT(H4222,"dddd")&lt;&gt;I4222,"Mismatch","OK")</f>
        <v>OK</v>
      </c>
      <c r="Y4222" s="7" t="str">
        <f aca="false">IF(AND(N4222="No",O4222&lt;&gt;""),"Unexpected: channel present but no reminder sent",IF(AND(N4222="Yes",O4222=""),"Missing channel for sent reminder","OK"))</f>
        <v>OK</v>
      </c>
    </row>
    <row r="4223" customFormat="false" ht="15" hidden="false" customHeight="false" outlineLevel="0" collapsed="false">
      <c r="A4223" s="9" t="s">
        <v>5920</v>
      </c>
      <c r="B4223" s="9" t="s">
        <v>193</v>
      </c>
      <c r="C4223" s="9" t="s">
        <v>37</v>
      </c>
      <c r="D4223" s="9" t="n">
        <v>78</v>
      </c>
      <c r="E4223" s="9" t="s">
        <v>70</v>
      </c>
      <c r="F4223" s="9" t="s">
        <v>39</v>
      </c>
      <c r="G4223" s="10" t="n">
        <v>45889</v>
      </c>
      <c r="H4223" s="10" t="n">
        <v>45941</v>
      </c>
      <c r="I4223" s="9" t="s">
        <v>102</v>
      </c>
      <c r="J4223" s="9" t="s">
        <v>41</v>
      </c>
      <c r="K4223" s="9" t="n">
        <v>52</v>
      </c>
      <c r="L4223" s="9" t="n">
        <v>2</v>
      </c>
      <c r="M4223" s="9" t="n">
        <v>1</v>
      </c>
      <c r="N4223" s="9" t="s">
        <v>42</v>
      </c>
      <c r="O4223" s="9" t="s">
        <v>43</v>
      </c>
      <c r="P4223" s="9" t="n">
        <v>7.1</v>
      </c>
      <c r="Q4223" s="9" t="n">
        <v>26</v>
      </c>
      <c r="R4223" s="9" t="s">
        <v>44</v>
      </c>
      <c r="S4223" s="9"/>
      <c r="T4223" s="9"/>
      <c r="U4223" s="9" t="str">
        <f aca="false">IF(COUNTIF($A$2:$A$5001,A4223)&gt;1,"Duplicate","Unique")</f>
        <v>Unique</v>
      </c>
      <c r="V4223" s="9" t="str">
        <f aca="false">IF(COUNTIFS($B$2:$B$5001,B4223,$H$2:$H$5001,H4223,$J$2:$J$5001,J4223)&gt;1,"Possible Duplicate Booking","Unique")</f>
        <v>Unique</v>
      </c>
      <c r="W4223" s="9" t="str">
        <f aca="false">IF((H4223-G4223)&lt;&gt;K4223,"Mismatch","OK")</f>
        <v>OK</v>
      </c>
      <c r="X4223" s="9" t="str">
        <f aca="false">IF(TEXT(H4223,"dddd")&lt;&gt;I4223,"Mismatch","OK")</f>
        <v>OK</v>
      </c>
      <c r="Y4223" s="9" t="str">
        <f aca="false">IF(AND(N4223="No",O4223&lt;&gt;""),"Unexpected: channel present but no reminder sent",IF(AND(N4223="Yes",O4223=""),"Missing channel for sent reminder","OK"))</f>
        <v>OK</v>
      </c>
    </row>
    <row r="4224" customFormat="false" ht="15" hidden="false" customHeight="false" outlineLevel="0" collapsed="false">
      <c r="A4224" s="7" t="s">
        <v>5921</v>
      </c>
      <c r="B4224" s="7" t="s">
        <v>81</v>
      </c>
      <c r="C4224" s="7" t="s">
        <v>37</v>
      </c>
      <c r="D4224" s="7" t="n">
        <v>53</v>
      </c>
      <c r="E4224" s="7" t="s">
        <v>56</v>
      </c>
      <c r="F4224" s="7" t="s">
        <v>39</v>
      </c>
      <c r="G4224" s="8" t="n">
        <v>46082</v>
      </c>
      <c r="H4224" s="8" t="n">
        <v>46108</v>
      </c>
      <c r="I4224" s="7" t="s">
        <v>50</v>
      </c>
      <c r="J4224" s="7" t="s">
        <v>51</v>
      </c>
      <c r="K4224" s="7" t="n">
        <v>26</v>
      </c>
      <c r="L4224" s="7" t="n">
        <v>1</v>
      </c>
      <c r="M4224" s="7" t="n">
        <v>0</v>
      </c>
      <c r="N4224" s="7" t="s">
        <v>71</v>
      </c>
      <c r="O4224" s="7"/>
      <c r="P4224" s="7" t="n">
        <v>20.9</v>
      </c>
      <c r="Q4224" s="7" t="n">
        <v>30</v>
      </c>
      <c r="R4224" s="7" t="s">
        <v>53</v>
      </c>
      <c r="S4224" s="7"/>
      <c r="T4224" s="7"/>
      <c r="U4224" s="7" t="str">
        <f aca="false">IF(COUNTIF($A$2:$A$5001,A4224)&gt;1,"Duplicate","Unique")</f>
        <v>Unique</v>
      </c>
      <c r="V4224" s="7" t="str">
        <f aca="false">IF(COUNTIFS($B$2:$B$5001,B4224,$H$2:$H$5001,H4224,$J$2:$J$5001,J4224)&gt;1,"Possible Duplicate Booking","Unique")</f>
        <v>Unique</v>
      </c>
      <c r="W4224" s="7" t="str">
        <f aca="false">IF((H4224-G4224)&lt;&gt;K4224,"Mismatch","OK")</f>
        <v>OK</v>
      </c>
      <c r="X4224" s="7" t="str">
        <f aca="false">IF(TEXT(H4224,"dddd")&lt;&gt;I4224,"Mismatch","OK")</f>
        <v>OK</v>
      </c>
      <c r="Y4224" s="7" t="str">
        <f aca="false">IF(AND(N4224="No",O4224&lt;&gt;""),"Unexpected: channel present but no reminder sent",IF(AND(N4224="Yes",O4224=""),"Missing channel for sent reminder","OK"))</f>
        <v>OK</v>
      </c>
    </row>
    <row r="4225" customFormat="false" ht="15" hidden="false" customHeight="false" outlineLevel="0" collapsed="false">
      <c r="A4225" s="9" t="s">
        <v>5922</v>
      </c>
      <c r="B4225" s="9" t="s">
        <v>174</v>
      </c>
      <c r="C4225" s="9" t="s">
        <v>47</v>
      </c>
      <c r="D4225" s="9" t="n">
        <v>54</v>
      </c>
      <c r="E4225" s="9" t="s">
        <v>56</v>
      </c>
      <c r="F4225" s="9" t="s">
        <v>57</v>
      </c>
      <c r="G4225" s="10" t="n">
        <v>45931</v>
      </c>
      <c r="H4225" s="10" t="n">
        <v>45949</v>
      </c>
      <c r="I4225" s="9" t="s">
        <v>75</v>
      </c>
      <c r="J4225" s="9" t="s">
        <v>51</v>
      </c>
      <c r="K4225" s="9" t="n">
        <v>18</v>
      </c>
      <c r="L4225" s="9" t="n">
        <v>5</v>
      </c>
      <c r="M4225" s="9" t="n">
        <v>1</v>
      </c>
      <c r="N4225" s="9" t="s">
        <v>71</v>
      </c>
      <c r="O4225" s="9"/>
      <c r="P4225" s="9" t="n">
        <v>7.6</v>
      </c>
      <c r="Q4225" s="9" t="n">
        <v>14</v>
      </c>
      <c r="R4225" s="9" t="s">
        <v>44</v>
      </c>
      <c r="S4225" s="9"/>
      <c r="T4225" s="9"/>
      <c r="U4225" s="9" t="str">
        <f aca="false">IF(COUNTIF($A$2:$A$5001,A4225)&gt;1,"Duplicate","Unique")</f>
        <v>Unique</v>
      </c>
      <c r="V4225" s="9" t="str">
        <f aca="false">IF(COUNTIFS($B$2:$B$5001,B4225,$H$2:$H$5001,H4225,$J$2:$J$5001,J4225)&gt;1,"Possible Duplicate Booking","Unique")</f>
        <v>Unique</v>
      </c>
      <c r="W4225" s="9" t="str">
        <f aca="false">IF((H4225-G4225)&lt;&gt;K4225,"Mismatch","OK")</f>
        <v>OK</v>
      </c>
      <c r="X4225" s="9" t="str">
        <f aca="false">IF(TEXT(H4225,"dddd")&lt;&gt;I4225,"Mismatch","OK")</f>
        <v>OK</v>
      </c>
      <c r="Y4225" s="9" t="str">
        <f aca="false">IF(AND(N4225="No",O4225&lt;&gt;""),"Unexpected: channel present but no reminder sent",IF(AND(N4225="Yes",O4225=""),"Missing channel for sent reminder","OK"))</f>
        <v>OK</v>
      </c>
    </row>
    <row r="4226" customFormat="false" ht="15" hidden="false" customHeight="false" outlineLevel="0" collapsed="false">
      <c r="A4226" s="7" t="s">
        <v>5923</v>
      </c>
      <c r="B4226" s="7" t="s">
        <v>2745</v>
      </c>
      <c r="C4226" s="7" t="s">
        <v>37</v>
      </c>
      <c r="D4226" s="7" t="n">
        <v>62</v>
      </c>
      <c r="E4226" s="7" t="s">
        <v>61</v>
      </c>
      <c r="F4226" s="7" t="s">
        <v>57</v>
      </c>
      <c r="G4226" s="8" t="n">
        <v>46080</v>
      </c>
      <c r="H4226" s="8" t="n">
        <v>46084</v>
      </c>
      <c r="I4226" s="7" t="s">
        <v>40</v>
      </c>
      <c r="J4226" s="7" t="s">
        <v>41</v>
      </c>
      <c r="K4226" s="7" t="n">
        <v>4</v>
      </c>
      <c r="L4226" s="7" t="n">
        <v>5</v>
      </c>
      <c r="M4226" s="7" t="n">
        <v>0</v>
      </c>
      <c r="N4226" s="7" t="s">
        <v>42</v>
      </c>
      <c r="O4226" s="7" t="s">
        <v>52</v>
      </c>
      <c r="P4226" s="7" t="n">
        <v>14.4</v>
      </c>
      <c r="Q4226" s="7" t="n">
        <v>42</v>
      </c>
      <c r="R4226" s="7" t="s">
        <v>53</v>
      </c>
      <c r="S4226" s="7"/>
      <c r="T4226" s="7"/>
      <c r="U4226" s="7" t="str">
        <f aca="false">IF(COUNTIF($A$2:$A$5001,A4226)&gt;1,"Duplicate","Unique")</f>
        <v>Unique</v>
      </c>
      <c r="V4226" s="7" t="str">
        <f aca="false">IF(COUNTIFS($B$2:$B$5001,B4226,$H$2:$H$5001,H4226,$J$2:$J$5001,J4226)&gt;1,"Possible Duplicate Booking","Unique")</f>
        <v>Unique</v>
      </c>
      <c r="W4226" s="7" t="str">
        <f aca="false">IF((H4226-G4226)&lt;&gt;K4226,"Mismatch","OK")</f>
        <v>OK</v>
      </c>
      <c r="X4226" s="7" t="str">
        <f aca="false">IF(TEXT(H4226,"dddd")&lt;&gt;I4226,"Mismatch","OK")</f>
        <v>OK</v>
      </c>
      <c r="Y4226" s="7" t="str">
        <f aca="false">IF(AND(N4226="No",O4226&lt;&gt;""),"Unexpected: channel present but no reminder sent",IF(AND(N4226="Yes",O4226=""),"Missing channel for sent reminder","OK"))</f>
        <v>OK</v>
      </c>
    </row>
    <row r="4227" customFormat="false" ht="15" hidden="false" customHeight="false" outlineLevel="0" collapsed="false">
      <c r="A4227" s="9" t="s">
        <v>5924</v>
      </c>
      <c r="B4227" s="9" t="s">
        <v>421</v>
      </c>
      <c r="C4227" s="9" t="s">
        <v>37</v>
      </c>
      <c r="D4227" s="9" t="n">
        <v>60</v>
      </c>
      <c r="E4227" s="9" t="s">
        <v>61</v>
      </c>
      <c r="F4227" s="9" t="s">
        <v>57</v>
      </c>
      <c r="G4227" s="10" t="n">
        <v>45714</v>
      </c>
      <c r="H4227" s="10" t="n">
        <v>45755</v>
      </c>
      <c r="I4227" s="9" t="s">
        <v>40</v>
      </c>
      <c r="J4227" s="9" t="s">
        <v>51</v>
      </c>
      <c r="K4227" s="9" t="n">
        <v>41</v>
      </c>
      <c r="L4227" s="9" t="n">
        <v>1</v>
      </c>
      <c r="M4227" s="9" t="n">
        <v>0</v>
      </c>
      <c r="N4227" s="9" t="s">
        <v>71</v>
      </c>
      <c r="O4227" s="9"/>
      <c r="P4227" s="9" t="n">
        <v>18.1</v>
      </c>
      <c r="Q4227" s="9" t="n">
        <v>3</v>
      </c>
      <c r="R4227" s="9" t="s">
        <v>44</v>
      </c>
      <c r="S4227" s="9"/>
      <c r="T4227" s="9"/>
      <c r="U4227" s="9" t="str">
        <f aca="false">IF(COUNTIF($A$2:$A$5001,A4227)&gt;1,"Duplicate","Unique")</f>
        <v>Unique</v>
      </c>
      <c r="V4227" s="9" t="str">
        <f aca="false">IF(COUNTIFS($B$2:$B$5001,B4227,$H$2:$H$5001,H4227,$J$2:$J$5001,J4227)&gt;1,"Possible Duplicate Booking","Unique")</f>
        <v>Unique</v>
      </c>
      <c r="W4227" s="9" t="str">
        <f aca="false">IF((H4227-G4227)&lt;&gt;K4227,"Mismatch","OK")</f>
        <v>OK</v>
      </c>
      <c r="X4227" s="9" t="str">
        <f aca="false">IF(TEXT(H4227,"dddd")&lt;&gt;I4227,"Mismatch","OK")</f>
        <v>OK</v>
      </c>
      <c r="Y4227" s="9" t="str">
        <f aca="false">IF(AND(N4227="No",O4227&lt;&gt;""),"Unexpected: channel present but no reminder sent",IF(AND(N4227="Yes",O4227=""),"Missing channel for sent reminder","OK"))</f>
        <v>OK</v>
      </c>
    </row>
    <row r="4228" customFormat="false" ht="15" hidden="false" customHeight="false" outlineLevel="0" collapsed="false">
      <c r="A4228" s="7" t="s">
        <v>5925</v>
      </c>
      <c r="B4228" s="7" t="s">
        <v>350</v>
      </c>
      <c r="C4228" s="7" t="s">
        <v>47</v>
      </c>
      <c r="D4228" s="7" t="n">
        <v>21</v>
      </c>
      <c r="E4228" s="7" t="s">
        <v>82</v>
      </c>
      <c r="F4228" s="7" t="s">
        <v>39</v>
      </c>
      <c r="G4228" s="8" t="n">
        <v>45859</v>
      </c>
      <c r="H4228" s="8" t="n">
        <v>45903</v>
      </c>
      <c r="I4228" s="7" t="s">
        <v>58</v>
      </c>
      <c r="J4228" s="7" t="s">
        <v>63</v>
      </c>
      <c r="K4228" s="7" t="n">
        <v>44</v>
      </c>
      <c r="L4228" s="7" t="n">
        <v>2</v>
      </c>
      <c r="M4228" s="7" t="n">
        <v>1</v>
      </c>
      <c r="N4228" s="7" t="s">
        <v>42</v>
      </c>
      <c r="O4228" s="7" t="s">
        <v>52</v>
      </c>
      <c r="P4228" s="7" t="n">
        <v>16.6</v>
      </c>
      <c r="Q4228" s="7" t="n">
        <v>31</v>
      </c>
      <c r="R4228" s="7" t="s">
        <v>44</v>
      </c>
      <c r="S4228" s="7"/>
      <c r="T4228" s="7"/>
      <c r="U4228" s="7" t="str">
        <f aca="false">IF(COUNTIF($A$2:$A$5001,A4228)&gt;1,"Duplicate","Unique")</f>
        <v>Unique</v>
      </c>
      <c r="V4228" s="7" t="str">
        <f aca="false">IF(COUNTIFS($B$2:$B$5001,B4228,$H$2:$H$5001,H4228,$J$2:$J$5001,J4228)&gt;1,"Possible Duplicate Booking","Unique")</f>
        <v>Unique</v>
      </c>
      <c r="W4228" s="7" t="str">
        <f aca="false">IF((H4228-G4228)&lt;&gt;K4228,"Mismatch","OK")</f>
        <v>OK</v>
      </c>
      <c r="X4228" s="7" t="str">
        <f aca="false">IF(TEXT(H4228,"dddd")&lt;&gt;I4228,"Mismatch","OK")</f>
        <v>OK</v>
      </c>
      <c r="Y4228" s="7" t="str">
        <f aca="false">IF(AND(N4228="No",O4228&lt;&gt;""),"Unexpected: channel present but no reminder sent",IF(AND(N4228="Yes",O4228=""),"Missing channel for sent reminder","OK"))</f>
        <v>OK</v>
      </c>
    </row>
    <row r="4229" customFormat="false" ht="15" hidden="false" customHeight="false" outlineLevel="0" collapsed="false">
      <c r="A4229" s="9" t="s">
        <v>5926</v>
      </c>
      <c r="B4229" s="9" t="s">
        <v>2311</v>
      </c>
      <c r="C4229" s="9" t="s">
        <v>47</v>
      </c>
      <c r="D4229" s="9" t="n">
        <v>51</v>
      </c>
      <c r="E4229" s="9" t="s">
        <v>56</v>
      </c>
      <c r="F4229" s="9" t="s">
        <v>39</v>
      </c>
      <c r="G4229" s="10" t="n">
        <v>45964</v>
      </c>
      <c r="H4229" s="10" t="n">
        <v>45992</v>
      </c>
      <c r="I4229" s="9" t="s">
        <v>66</v>
      </c>
      <c r="J4229" s="9" t="s">
        <v>51</v>
      </c>
      <c r="K4229" s="9" t="n">
        <v>28</v>
      </c>
      <c r="L4229" s="9" t="n">
        <v>1</v>
      </c>
      <c r="M4229" s="9" t="n">
        <v>1</v>
      </c>
      <c r="N4229" s="9" t="s">
        <v>42</v>
      </c>
      <c r="O4229" s="9" t="s">
        <v>43</v>
      </c>
      <c r="P4229" s="9" t="n">
        <v>9.6</v>
      </c>
      <c r="Q4229" s="9" t="n">
        <v>33</v>
      </c>
      <c r="R4229" s="9" t="s">
        <v>53</v>
      </c>
      <c r="S4229" s="9"/>
      <c r="T4229" s="9"/>
      <c r="U4229" s="9" t="str">
        <f aca="false">IF(COUNTIF($A$2:$A$5001,A4229)&gt;1,"Duplicate","Unique")</f>
        <v>Unique</v>
      </c>
      <c r="V4229" s="9" t="str">
        <f aca="false">IF(COUNTIFS($B$2:$B$5001,B4229,$H$2:$H$5001,H4229,$J$2:$J$5001,J4229)&gt;1,"Possible Duplicate Booking","Unique")</f>
        <v>Unique</v>
      </c>
      <c r="W4229" s="9" t="str">
        <f aca="false">IF((H4229-G4229)&lt;&gt;K4229,"Mismatch","OK")</f>
        <v>OK</v>
      </c>
      <c r="X4229" s="9" t="str">
        <f aca="false">IF(TEXT(H4229,"dddd")&lt;&gt;I4229,"Mismatch","OK")</f>
        <v>OK</v>
      </c>
      <c r="Y4229" s="9" t="str">
        <f aca="false">IF(AND(N4229="No",O4229&lt;&gt;""),"Unexpected: channel present but no reminder sent",IF(AND(N4229="Yes",O4229=""),"Missing channel for sent reminder","OK"))</f>
        <v>OK</v>
      </c>
    </row>
    <row r="4230" customFormat="false" ht="15" hidden="false" customHeight="false" outlineLevel="0" collapsed="false">
      <c r="A4230" s="7" t="s">
        <v>5927</v>
      </c>
      <c r="B4230" s="7" t="s">
        <v>2368</v>
      </c>
      <c r="C4230" s="7" t="s">
        <v>47</v>
      </c>
      <c r="D4230" s="7" t="n">
        <v>66</v>
      </c>
      <c r="E4230" s="7" t="s">
        <v>70</v>
      </c>
      <c r="F4230" s="7" t="s">
        <v>49</v>
      </c>
      <c r="G4230" s="8" t="n">
        <v>45798</v>
      </c>
      <c r="H4230" s="8" t="n">
        <v>45847</v>
      </c>
      <c r="I4230" s="7" t="s">
        <v>58</v>
      </c>
      <c r="J4230" s="7" t="s">
        <v>63</v>
      </c>
      <c r="K4230" s="7" t="n">
        <v>49</v>
      </c>
      <c r="L4230" s="7" t="n">
        <v>2</v>
      </c>
      <c r="M4230" s="7" t="n">
        <v>0</v>
      </c>
      <c r="N4230" s="7" t="s">
        <v>71</v>
      </c>
      <c r="O4230" s="7"/>
      <c r="P4230" s="7" t="n">
        <v>4.7</v>
      </c>
      <c r="Q4230" s="7" t="n">
        <v>14</v>
      </c>
      <c r="R4230" s="7" t="s">
        <v>53</v>
      </c>
      <c r="S4230" s="7"/>
      <c r="T4230" s="7"/>
      <c r="U4230" s="7" t="str">
        <f aca="false">IF(COUNTIF($A$2:$A$5001,A4230)&gt;1,"Duplicate","Unique")</f>
        <v>Unique</v>
      </c>
      <c r="V4230" s="7" t="str">
        <f aca="false">IF(COUNTIFS($B$2:$B$5001,B4230,$H$2:$H$5001,H4230,$J$2:$J$5001,J4230)&gt;1,"Possible Duplicate Booking","Unique")</f>
        <v>Unique</v>
      </c>
      <c r="W4230" s="7" t="str">
        <f aca="false">IF((H4230-G4230)&lt;&gt;K4230,"Mismatch","OK")</f>
        <v>OK</v>
      </c>
      <c r="X4230" s="7" t="str">
        <f aca="false">IF(TEXT(H4230,"dddd")&lt;&gt;I4230,"Mismatch","OK")</f>
        <v>OK</v>
      </c>
      <c r="Y4230" s="7" t="str">
        <f aca="false">IF(AND(N4230="No",O4230&lt;&gt;""),"Unexpected: channel present but no reminder sent",IF(AND(N4230="Yes",O4230=""),"Missing channel for sent reminder","OK"))</f>
        <v>OK</v>
      </c>
    </row>
    <row r="4231" customFormat="false" ht="15" hidden="false" customHeight="false" outlineLevel="0" collapsed="false">
      <c r="A4231" s="9" t="s">
        <v>5928</v>
      </c>
      <c r="B4231" s="9" t="s">
        <v>1738</v>
      </c>
      <c r="C4231" s="9" t="s">
        <v>37</v>
      </c>
      <c r="D4231" s="9" t="n">
        <v>68</v>
      </c>
      <c r="E4231" s="9" t="s">
        <v>70</v>
      </c>
      <c r="F4231" s="9" t="s">
        <v>57</v>
      </c>
      <c r="G4231" s="10" t="n">
        <v>45646</v>
      </c>
      <c r="H4231" s="10" t="n">
        <v>45665</v>
      </c>
      <c r="I4231" s="9" t="s">
        <v>58</v>
      </c>
      <c r="J4231" s="9" t="s">
        <v>41</v>
      </c>
      <c r="K4231" s="9" t="n">
        <v>19</v>
      </c>
      <c r="L4231" s="9" t="n">
        <v>6</v>
      </c>
      <c r="M4231" s="9" t="n">
        <v>2</v>
      </c>
      <c r="N4231" s="9" t="s">
        <v>42</v>
      </c>
      <c r="O4231" s="9" t="s">
        <v>43</v>
      </c>
      <c r="P4231" s="9" t="n">
        <v>18.1</v>
      </c>
      <c r="Q4231" s="9" t="n">
        <v>27</v>
      </c>
      <c r="R4231" s="9" t="s">
        <v>44</v>
      </c>
      <c r="S4231" s="9"/>
      <c r="T4231" s="9"/>
      <c r="U4231" s="9" t="str">
        <f aca="false">IF(COUNTIF($A$2:$A$5001,A4231)&gt;1,"Duplicate","Unique")</f>
        <v>Unique</v>
      </c>
      <c r="V4231" s="9" t="str">
        <f aca="false">IF(COUNTIFS($B$2:$B$5001,B4231,$H$2:$H$5001,H4231,$J$2:$J$5001,J4231)&gt;1,"Possible Duplicate Booking","Unique")</f>
        <v>Unique</v>
      </c>
      <c r="W4231" s="9" t="str">
        <f aca="false">IF((H4231-G4231)&lt;&gt;K4231,"Mismatch","OK")</f>
        <v>OK</v>
      </c>
      <c r="X4231" s="9" t="str">
        <f aca="false">IF(TEXT(H4231,"dddd")&lt;&gt;I4231,"Mismatch","OK")</f>
        <v>OK</v>
      </c>
      <c r="Y4231" s="9" t="str">
        <f aca="false">IF(AND(N4231="No",O4231&lt;&gt;""),"Unexpected: channel present but no reminder sent",IF(AND(N4231="Yes",O4231=""),"Missing channel for sent reminder","OK"))</f>
        <v>OK</v>
      </c>
    </row>
    <row r="4232" customFormat="false" ht="15" hidden="false" customHeight="false" outlineLevel="0" collapsed="false">
      <c r="A4232" s="7" t="s">
        <v>5929</v>
      </c>
      <c r="B4232" s="7" t="s">
        <v>5782</v>
      </c>
      <c r="C4232" s="7" t="s">
        <v>47</v>
      </c>
      <c r="D4232" s="7" t="n">
        <v>55</v>
      </c>
      <c r="E4232" s="7" t="s">
        <v>61</v>
      </c>
      <c r="F4232" s="7" t="s">
        <v>49</v>
      </c>
      <c r="G4232" s="8" t="n">
        <v>45665</v>
      </c>
      <c r="H4232" s="8" t="n">
        <v>45698</v>
      </c>
      <c r="I4232" s="7" t="s">
        <v>66</v>
      </c>
      <c r="J4232" s="7" t="s">
        <v>51</v>
      </c>
      <c r="K4232" s="7" t="n">
        <v>33</v>
      </c>
      <c r="L4232" s="7" t="n">
        <v>4</v>
      </c>
      <c r="M4232" s="7" t="n">
        <v>2</v>
      </c>
      <c r="N4232" s="7" t="s">
        <v>42</v>
      </c>
      <c r="O4232" s="7" t="s">
        <v>67</v>
      </c>
      <c r="P4232" s="7" t="n">
        <v>0.5</v>
      </c>
      <c r="Q4232" s="7" t="n">
        <v>14</v>
      </c>
      <c r="R4232" s="7" t="s">
        <v>44</v>
      </c>
      <c r="S4232" s="7"/>
      <c r="T4232" s="7"/>
      <c r="U4232" s="7" t="str">
        <f aca="false">IF(COUNTIF($A$2:$A$5001,A4232)&gt;1,"Duplicate","Unique")</f>
        <v>Unique</v>
      </c>
      <c r="V4232" s="7" t="str">
        <f aca="false">IF(COUNTIFS($B$2:$B$5001,B4232,$H$2:$H$5001,H4232,$J$2:$J$5001,J4232)&gt;1,"Possible Duplicate Booking","Unique")</f>
        <v>Unique</v>
      </c>
      <c r="W4232" s="7" t="str">
        <f aca="false">IF((H4232-G4232)&lt;&gt;K4232,"Mismatch","OK")</f>
        <v>OK</v>
      </c>
      <c r="X4232" s="7" t="str">
        <f aca="false">IF(TEXT(H4232,"dddd")&lt;&gt;I4232,"Mismatch","OK")</f>
        <v>OK</v>
      </c>
      <c r="Y4232" s="7" t="str">
        <f aca="false">IF(AND(N4232="No",O4232&lt;&gt;""),"Unexpected: channel present but no reminder sent",IF(AND(N4232="Yes",O4232=""),"Missing channel for sent reminder","OK"))</f>
        <v>OK</v>
      </c>
    </row>
    <row r="4233" customFormat="false" ht="15" hidden="false" customHeight="false" outlineLevel="0" collapsed="false">
      <c r="A4233" s="9" t="s">
        <v>5930</v>
      </c>
      <c r="B4233" s="9" t="s">
        <v>2603</v>
      </c>
      <c r="C4233" s="9" t="s">
        <v>47</v>
      </c>
      <c r="D4233" s="9" t="n">
        <v>74</v>
      </c>
      <c r="E4233" s="9" t="s">
        <v>70</v>
      </c>
      <c r="F4233" s="9" t="s">
        <v>57</v>
      </c>
      <c r="G4233" s="10" t="n">
        <v>46147</v>
      </c>
      <c r="H4233" s="10" t="n">
        <v>46164</v>
      </c>
      <c r="I4233" s="9" t="s">
        <v>50</v>
      </c>
      <c r="J4233" s="9" t="s">
        <v>41</v>
      </c>
      <c r="K4233" s="9" t="n">
        <v>17</v>
      </c>
      <c r="L4233" s="9" t="n">
        <v>2</v>
      </c>
      <c r="M4233" s="9" t="n">
        <v>1</v>
      </c>
      <c r="N4233" s="9" t="s">
        <v>71</v>
      </c>
      <c r="O4233" s="9"/>
      <c r="P4233" s="9" t="n">
        <v>0.9</v>
      </c>
      <c r="Q4233" s="9"/>
      <c r="R4233" s="9" t="s">
        <v>53</v>
      </c>
      <c r="S4233" s="9"/>
      <c r="T4233" s="9"/>
      <c r="U4233" s="9" t="str">
        <f aca="false">IF(COUNTIF($A$2:$A$5001,A4233)&gt;1,"Duplicate","Unique")</f>
        <v>Unique</v>
      </c>
      <c r="V4233" s="9" t="str">
        <f aca="false">IF(COUNTIFS($B$2:$B$5001,B4233,$H$2:$H$5001,H4233,$J$2:$J$5001,J4233)&gt;1,"Possible Duplicate Booking","Unique")</f>
        <v>Unique</v>
      </c>
      <c r="W4233" s="9" t="str">
        <f aca="false">IF((H4233-G4233)&lt;&gt;K4233,"Mismatch","OK")</f>
        <v>OK</v>
      </c>
      <c r="X4233" s="9" t="str">
        <f aca="false">IF(TEXT(H4233,"dddd")&lt;&gt;I4233,"Mismatch","OK")</f>
        <v>OK</v>
      </c>
      <c r="Y4233" s="9" t="str">
        <f aca="false">IF(AND(N4233="No",O4233&lt;&gt;""),"Unexpected: channel present but no reminder sent",IF(AND(N4233="Yes",O4233=""),"Missing channel for sent reminder","OK"))</f>
        <v>OK</v>
      </c>
    </row>
    <row r="4234" customFormat="false" ht="15" hidden="false" customHeight="false" outlineLevel="0" collapsed="false">
      <c r="A4234" s="7" t="s">
        <v>5931</v>
      </c>
      <c r="B4234" s="7" t="s">
        <v>2730</v>
      </c>
      <c r="C4234" s="7" t="s">
        <v>47</v>
      </c>
      <c r="D4234" s="7" t="n">
        <v>54</v>
      </c>
      <c r="E4234" s="7" t="s">
        <v>56</v>
      </c>
      <c r="F4234" s="7" t="s">
        <v>74</v>
      </c>
      <c r="G4234" s="8" t="n">
        <v>45953</v>
      </c>
      <c r="H4234" s="8" t="n">
        <v>45988</v>
      </c>
      <c r="I4234" s="7" t="s">
        <v>62</v>
      </c>
      <c r="J4234" s="7" t="s">
        <v>41</v>
      </c>
      <c r="K4234" s="7" t="n">
        <v>35</v>
      </c>
      <c r="L4234" s="7" t="n">
        <v>1</v>
      </c>
      <c r="M4234" s="7" t="n">
        <v>0</v>
      </c>
      <c r="N4234" s="7" t="s">
        <v>42</v>
      </c>
      <c r="O4234" s="7" t="s">
        <v>67</v>
      </c>
      <c r="P4234" s="7" t="n">
        <v>2.7</v>
      </c>
      <c r="Q4234" s="7" t="n">
        <v>21</v>
      </c>
      <c r="R4234" s="7" t="s">
        <v>44</v>
      </c>
      <c r="S4234" s="7"/>
      <c r="T4234" s="7"/>
      <c r="U4234" s="7" t="str">
        <f aca="false">IF(COUNTIF($A$2:$A$5001,A4234)&gt;1,"Duplicate","Unique")</f>
        <v>Unique</v>
      </c>
      <c r="V4234" s="7" t="str">
        <f aca="false">IF(COUNTIFS($B$2:$B$5001,B4234,$H$2:$H$5001,H4234,$J$2:$J$5001,J4234)&gt;1,"Possible Duplicate Booking","Unique")</f>
        <v>Unique</v>
      </c>
      <c r="W4234" s="7" t="str">
        <f aca="false">IF((H4234-G4234)&lt;&gt;K4234,"Mismatch","OK")</f>
        <v>OK</v>
      </c>
      <c r="X4234" s="7" t="str">
        <f aca="false">IF(TEXT(H4234,"dddd")&lt;&gt;I4234,"Mismatch","OK")</f>
        <v>OK</v>
      </c>
      <c r="Y4234" s="7" t="str">
        <f aca="false">IF(AND(N4234="No",O4234&lt;&gt;""),"Unexpected: channel present but no reminder sent",IF(AND(N4234="Yes",O4234=""),"Missing channel for sent reminder","OK"))</f>
        <v>OK</v>
      </c>
    </row>
    <row r="4235" customFormat="false" ht="15" hidden="false" customHeight="false" outlineLevel="0" collapsed="false">
      <c r="A4235" s="9" t="s">
        <v>5932</v>
      </c>
      <c r="B4235" s="9" t="s">
        <v>899</v>
      </c>
      <c r="C4235" s="9" t="s">
        <v>37</v>
      </c>
      <c r="D4235" s="9" t="n">
        <v>42</v>
      </c>
      <c r="E4235" s="9" t="s">
        <v>38</v>
      </c>
      <c r="F4235" s="9" t="s">
        <v>57</v>
      </c>
      <c r="G4235" s="10" t="n">
        <v>45794</v>
      </c>
      <c r="H4235" s="10" t="n">
        <v>45802</v>
      </c>
      <c r="I4235" s="9" t="s">
        <v>75</v>
      </c>
      <c r="J4235" s="9" t="s">
        <v>41</v>
      </c>
      <c r="K4235" s="9" t="n">
        <v>8</v>
      </c>
      <c r="L4235" s="9" t="n">
        <v>3</v>
      </c>
      <c r="M4235" s="9" t="n">
        <v>0</v>
      </c>
      <c r="N4235" s="9" t="s">
        <v>71</v>
      </c>
      <c r="O4235" s="9"/>
      <c r="P4235" s="9" t="n">
        <v>9.3</v>
      </c>
      <c r="Q4235" s="9" t="n">
        <v>24</v>
      </c>
      <c r="R4235" s="9" t="s">
        <v>53</v>
      </c>
      <c r="S4235" s="9"/>
      <c r="T4235" s="9"/>
      <c r="U4235" s="9" t="str">
        <f aca="false">IF(COUNTIF($A$2:$A$5001,A4235)&gt;1,"Duplicate","Unique")</f>
        <v>Unique</v>
      </c>
      <c r="V4235" s="9" t="str">
        <f aca="false">IF(COUNTIFS($B$2:$B$5001,B4235,$H$2:$H$5001,H4235,$J$2:$J$5001,J4235)&gt;1,"Possible Duplicate Booking","Unique")</f>
        <v>Unique</v>
      </c>
      <c r="W4235" s="9" t="str">
        <f aca="false">IF((H4235-G4235)&lt;&gt;K4235,"Mismatch","OK")</f>
        <v>OK</v>
      </c>
      <c r="X4235" s="9" t="str">
        <f aca="false">IF(TEXT(H4235,"dddd")&lt;&gt;I4235,"Mismatch","OK")</f>
        <v>OK</v>
      </c>
      <c r="Y4235" s="9" t="str">
        <f aca="false">IF(AND(N4235="No",O4235&lt;&gt;""),"Unexpected: channel present but no reminder sent",IF(AND(N4235="Yes",O4235=""),"Missing channel for sent reminder","OK"))</f>
        <v>OK</v>
      </c>
    </row>
    <row r="4236" customFormat="false" ht="15" hidden="false" customHeight="false" outlineLevel="0" collapsed="false">
      <c r="A4236" s="7" t="s">
        <v>5933</v>
      </c>
      <c r="B4236" s="7" t="s">
        <v>5934</v>
      </c>
      <c r="C4236" s="7" t="s">
        <v>47</v>
      </c>
      <c r="D4236" s="7" t="n">
        <v>45</v>
      </c>
      <c r="E4236" s="7" t="s">
        <v>56</v>
      </c>
      <c r="F4236" s="7" t="s">
        <v>49</v>
      </c>
      <c r="G4236" s="8" t="n">
        <v>45770</v>
      </c>
      <c r="H4236" s="8" t="n">
        <v>45799</v>
      </c>
      <c r="I4236" s="7" t="s">
        <v>62</v>
      </c>
      <c r="J4236" s="7" t="s">
        <v>51</v>
      </c>
      <c r="K4236" s="7" t="n">
        <v>29</v>
      </c>
      <c r="L4236" s="7" t="n">
        <v>2</v>
      </c>
      <c r="M4236" s="7" t="n">
        <v>0</v>
      </c>
      <c r="N4236" s="7" t="s">
        <v>42</v>
      </c>
      <c r="O4236" s="7" t="s">
        <v>67</v>
      </c>
      <c r="P4236" s="7" t="n">
        <v>20.5</v>
      </c>
      <c r="Q4236" s="7" t="n">
        <v>17</v>
      </c>
      <c r="R4236" s="7" t="s">
        <v>53</v>
      </c>
      <c r="S4236" s="7"/>
      <c r="T4236" s="7"/>
      <c r="U4236" s="7" t="str">
        <f aca="false">IF(COUNTIF($A$2:$A$5001,A4236)&gt;1,"Duplicate","Unique")</f>
        <v>Unique</v>
      </c>
      <c r="V4236" s="7" t="str">
        <f aca="false">IF(COUNTIFS($B$2:$B$5001,B4236,$H$2:$H$5001,H4236,$J$2:$J$5001,J4236)&gt;1,"Possible Duplicate Booking","Unique")</f>
        <v>Unique</v>
      </c>
      <c r="W4236" s="7" t="str">
        <f aca="false">IF((H4236-G4236)&lt;&gt;K4236,"Mismatch","OK")</f>
        <v>OK</v>
      </c>
      <c r="X4236" s="7" t="str">
        <f aca="false">IF(TEXT(H4236,"dddd")&lt;&gt;I4236,"Mismatch","OK")</f>
        <v>OK</v>
      </c>
      <c r="Y4236" s="7" t="str">
        <f aca="false">IF(AND(N4236="No",O4236&lt;&gt;""),"Unexpected: channel present but no reminder sent",IF(AND(N4236="Yes",O4236=""),"Missing channel for sent reminder","OK"))</f>
        <v>OK</v>
      </c>
    </row>
    <row r="4237" customFormat="false" ht="15" hidden="false" customHeight="false" outlineLevel="0" collapsed="false">
      <c r="A4237" s="9" t="s">
        <v>5935</v>
      </c>
      <c r="B4237" s="9" t="s">
        <v>5936</v>
      </c>
      <c r="C4237" s="9" t="s">
        <v>47</v>
      </c>
      <c r="D4237" s="9" t="n">
        <v>61</v>
      </c>
      <c r="E4237" s="9" t="s">
        <v>61</v>
      </c>
      <c r="F4237" s="9" t="s">
        <v>74</v>
      </c>
      <c r="G4237" s="10" t="n">
        <v>45646</v>
      </c>
      <c r="H4237" s="10" t="n">
        <v>45679</v>
      </c>
      <c r="I4237" s="9" t="s">
        <v>58</v>
      </c>
      <c r="J4237" s="9" t="s">
        <v>63</v>
      </c>
      <c r="K4237" s="9" t="n">
        <v>33</v>
      </c>
      <c r="L4237" s="9" t="n">
        <v>5</v>
      </c>
      <c r="M4237" s="9" t="n">
        <v>2</v>
      </c>
      <c r="N4237" s="9" t="s">
        <v>42</v>
      </c>
      <c r="O4237" s="9" t="s">
        <v>43</v>
      </c>
      <c r="P4237" s="9" t="n">
        <v>17.7</v>
      </c>
      <c r="Q4237" s="9" t="n">
        <v>17</v>
      </c>
      <c r="R4237" s="9" t="s">
        <v>44</v>
      </c>
      <c r="S4237" s="9"/>
      <c r="T4237" s="9"/>
      <c r="U4237" s="9" t="str">
        <f aca="false">IF(COUNTIF($A$2:$A$5001,A4237)&gt;1,"Duplicate","Unique")</f>
        <v>Unique</v>
      </c>
      <c r="V4237" s="9" t="str">
        <f aca="false">IF(COUNTIFS($B$2:$B$5001,B4237,$H$2:$H$5001,H4237,$J$2:$J$5001,J4237)&gt;1,"Possible Duplicate Booking","Unique")</f>
        <v>Unique</v>
      </c>
      <c r="W4237" s="9" t="str">
        <f aca="false">IF((H4237-G4237)&lt;&gt;K4237,"Mismatch","OK")</f>
        <v>OK</v>
      </c>
      <c r="X4237" s="9" t="str">
        <f aca="false">IF(TEXT(H4237,"dddd")&lt;&gt;I4237,"Mismatch","OK")</f>
        <v>OK</v>
      </c>
      <c r="Y4237" s="9" t="str">
        <f aca="false">IF(AND(N4237="No",O4237&lt;&gt;""),"Unexpected: channel present but no reminder sent",IF(AND(N4237="Yes",O4237=""),"Missing channel for sent reminder","OK"))</f>
        <v>OK</v>
      </c>
    </row>
    <row r="4238" customFormat="false" ht="15" hidden="false" customHeight="false" outlineLevel="0" collapsed="false">
      <c r="A4238" s="7" t="s">
        <v>5937</v>
      </c>
      <c r="B4238" s="7" t="s">
        <v>5938</v>
      </c>
      <c r="C4238" s="7" t="s">
        <v>37</v>
      </c>
      <c r="D4238" s="7" t="n">
        <v>73</v>
      </c>
      <c r="E4238" s="7" t="s">
        <v>70</v>
      </c>
      <c r="F4238" s="7" t="s">
        <v>49</v>
      </c>
      <c r="G4238" s="8" t="n">
        <v>46140</v>
      </c>
      <c r="H4238" s="8" t="n">
        <v>46173</v>
      </c>
      <c r="I4238" s="7" t="s">
        <v>75</v>
      </c>
      <c r="J4238" s="7" t="s">
        <v>41</v>
      </c>
      <c r="K4238" s="7" t="n">
        <v>33</v>
      </c>
      <c r="L4238" s="7" t="n">
        <v>5</v>
      </c>
      <c r="M4238" s="7" t="n">
        <v>3</v>
      </c>
      <c r="N4238" s="7" t="s">
        <v>71</v>
      </c>
      <c r="O4238" s="7"/>
      <c r="P4238" s="7" t="n">
        <v>7.2</v>
      </c>
      <c r="Q4238" s="7" t="n">
        <v>15</v>
      </c>
      <c r="R4238" s="7" t="s">
        <v>53</v>
      </c>
      <c r="S4238" s="7"/>
      <c r="T4238" s="7"/>
      <c r="U4238" s="7" t="str">
        <f aca="false">IF(COUNTIF($A$2:$A$5001,A4238)&gt;1,"Duplicate","Unique")</f>
        <v>Unique</v>
      </c>
      <c r="V4238" s="7" t="str">
        <f aca="false">IF(COUNTIFS($B$2:$B$5001,B4238,$H$2:$H$5001,H4238,$J$2:$J$5001,J4238)&gt;1,"Possible Duplicate Booking","Unique")</f>
        <v>Unique</v>
      </c>
      <c r="W4238" s="7" t="str">
        <f aca="false">IF((H4238-G4238)&lt;&gt;K4238,"Mismatch","OK")</f>
        <v>OK</v>
      </c>
      <c r="X4238" s="7" t="str">
        <f aca="false">IF(TEXT(H4238,"dddd")&lt;&gt;I4238,"Mismatch","OK")</f>
        <v>OK</v>
      </c>
      <c r="Y4238" s="7" t="str">
        <f aca="false">IF(AND(N4238="No",O4238&lt;&gt;""),"Unexpected: channel present but no reminder sent",IF(AND(N4238="Yes",O4238=""),"Missing channel for sent reminder","OK"))</f>
        <v>OK</v>
      </c>
    </row>
    <row r="4239" customFormat="false" ht="15" hidden="false" customHeight="false" outlineLevel="0" collapsed="false">
      <c r="A4239" s="9" t="s">
        <v>5939</v>
      </c>
      <c r="B4239" s="9" t="s">
        <v>3142</v>
      </c>
      <c r="C4239" s="9" t="s">
        <v>37</v>
      </c>
      <c r="D4239" s="9" t="n">
        <v>32</v>
      </c>
      <c r="E4239" s="9" t="s">
        <v>48</v>
      </c>
      <c r="F4239" s="9" t="s">
        <v>49</v>
      </c>
      <c r="G4239" s="10" t="n">
        <v>45690</v>
      </c>
      <c r="H4239" s="10" t="n">
        <v>45717</v>
      </c>
      <c r="I4239" s="9" t="s">
        <v>102</v>
      </c>
      <c r="J4239" s="9" t="s">
        <v>63</v>
      </c>
      <c r="K4239" s="9" t="n">
        <v>27</v>
      </c>
      <c r="L4239" s="9" t="n">
        <v>5</v>
      </c>
      <c r="M4239" s="9" t="n">
        <v>2</v>
      </c>
      <c r="N4239" s="9" t="s">
        <v>42</v>
      </c>
      <c r="O4239" s="9" t="s">
        <v>52</v>
      </c>
      <c r="P4239" s="9" t="n">
        <v>14.8</v>
      </c>
      <c r="Q4239" s="9" t="n">
        <v>31</v>
      </c>
      <c r="R4239" s="9" t="s">
        <v>44</v>
      </c>
      <c r="S4239" s="9"/>
      <c r="T4239" s="9"/>
      <c r="U4239" s="9" t="str">
        <f aca="false">IF(COUNTIF($A$2:$A$5001,A4239)&gt;1,"Duplicate","Unique")</f>
        <v>Unique</v>
      </c>
      <c r="V4239" s="9" t="str">
        <f aca="false">IF(COUNTIFS($B$2:$B$5001,B4239,$H$2:$H$5001,H4239,$J$2:$J$5001,J4239)&gt;1,"Possible Duplicate Booking","Unique")</f>
        <v>Unique</v>
      </c>
      <c r="W4239" s="9" t="str">
        <f aca="false">IF((H4239-G4239)&lt;&gt;K4239,"Mismatch","OK")</f>
        <v>OK</v>
      </c>
      <c r="X4239" s="9" t="str">
        <f aca="false">IF(TEXT(H4239,"dddd")&lt;&gt;I4239,"Mismatch","OK")</f>
        <v>OK</v>
      </c>
      <c r="Y4239" s="9" t="str">
        <f aca="false">IF(AND(N4239="No",O4239&lt;&gt;""),"Unexpected: channel present but no reminder sent",IF(AND(N4239="Yes",O4239=""),"Missing channel for sent reminder","OK"))</f>
        <v>OK</v>
      </c>
    </row>
    <row r="4240" customFormat="false" ht="15" hidden="false" customHeight="false" outlineLevel="0" collapsed="false">
      <c r="A4240" s="7" t="s">
        <v>5940</v>
      </c>
      <c r="B4240" s="7" t="s">
        <v>1105</v>
      </c>
      <c r="C4240" s="7" t="s">
        <v>37</v>
      </c>
      <c r="D4240" s="7" t="n">
        <v>36</v>
      </c>
      <c r="E4240" s="7" t="s">
        <v>38</v>
      </c>
      <c r="F4240" s="7" t="s">
        <v>57</v>
      </c>
      <c r="G4240" s="8" t="n">
        <v>46033</v>
      </c>
      <c r="H4240" s="8" t="n">
        <v>46072</v>
      </c>
      <c r="I4240" s="7" t="s">
        <v>62</v>
      </c>
      <c r="J4240" s="7" t="s">
        <v>41</v>
      </c>
      <c r="K4240" s="7" t="n">
        <v>39</v>
      </c>
      <c r="L4240" s="7" t="n">
        <v>1</v>
      </c>
      <c r="M4240" s="7" t="n">
        <v>0</v>
      </c>
      <c r="N4240" s="7" t="s">
        <v>42</v>
      </c>
      <c r="O4240" s="7" t="s">
        <v>52</v>
      </c>
      <c r="P4240" s="7" t="n">
        <v>8.2</v>
      </c>
      <c r="Q4240" s="7" t="n">
        <v>42</v>
      </c>
      <c r="R4240" s="7" t="s">
        <v>53</v>
      </c>
      <c r="S4240" s="7"/>
      <c r="T4240" s="7"/>
      <c r="U4240" s="7" t="str">
        <f aca="false">IF(COUNTIF($A$2:$A$5001,A4240)&gt;1,"Duplicate","Unique")</f>
        <v>Unique</v>
      </c>
      <c r="V4240" s="7" t="str">
        <f aca="false">IF(COUNTIFS($B$2:$B$5001,B4240,$H$2:$H$5001,H4240,$J$2:$J$5001,J4240)&gt;1,"Possible Duplicate Booking","Unique")</f>
        <v>Unique</v>
      </c>
      <c r="W4240" s="7" t="str">
        <f aca="false">IF((H4240-G4240)&lt;&gt;K4240,"Mismatch","OK")</f>
        <v>OK</v>
      </c>
      <c r="X4240" s="7" t="str">
        <f aca="false">IF(TEXT(H4240,"dddd")&lt;&gt;I4240,"Mismatch","OK")</f>
        <v>OK</v>
      </c>
      <c r="Y4240" s="7" t="str">
        <f aca="false">IF(AND(N4240="No",O4240&lt;&gt;""),"Unexpected: channel present but no reminder sent",IF(AND(N4240="Yes",O4240=""),"Missing channel for sent reminder","OK"))</f>
        <v>OK</v>
      </c>
    </row>
    <row r="4241" customFormat="false" ht="15" hidden="false" customHeight="false" outlineLevel="0" collapsed="false">
      <c r="A4241" s="9" t="s">
        <v>5941</v>
      </c>
      <c r="B4241" s="9" t="s">
        <v>1051</v>
      </c>
      <c r="C4241" s="9" t="s">
        <v>47</v>
      </c>
      <c r="D4241" s="9" t="n">
        <v>59</v>
      </c>
      <c r="E4241" s="9" t="s">
        <v>61</v>
      </c>
      <c r="F4241" s="9" t="s">
        <v>49</v>
      </c>
      <c r="G4241" s="10" t="n">
        <v>45758</v>
      </c>
      <c r="H4241" s="10" t="n">
        <v>45789</v>
      </c>
      <c r="I4241" s="9" t="s">
        <v>66</v>
      </c>
      <c r="J4241" s="9" t="s">
        <v>41</v>
      </c>
      <c r="K4241" s="9" t="n">
        <v>31</v>
      </c>
      <c r="L4241" s="9" t="n">
        <v>1</v>
      </c>
      <c r="M4241" s="9" t="n">
        <v>0</v>
      </c>
      <c r="N4241" s="9" t="s">
        <v>71</v>
      </c>
      <c r="O4241" s="9"/>
      <c r="P4241" s="9" t="n">
        <v>6.3</v>
      </c>
      <c r="Q4241" s="9" t="n">
        <v>49</v>
      </c>
      <c r="R4241" s="9" t="s">
        <v>44</v>
      </c>
      <c r="S4241" s="9"/>
      <c r="T4241" s="9"/>
      <c r="U4241" s="9" t="str">
        <f aca="false">IF(COUNTIF($A$2:$A$5001,A4241)&gt;1,"Duplicate","Unique")</f>
        <v>Unique</v>
      </c>
      <c r="V4241" s="9" t="str">
        <f aca="false">IF(COUNTIFS($B$2:$B$5001,B4241,$H$2:$H$5001,H4241,$J$2:$J$5001,J4241)&gt;1,"Possible Duplicate Booking","Unique")</f>
        <v>Unique</v>
      </c>
      <c r="W4241" s="9" t="str">
        <f aca="false">IF((H4241-G4241)&lt;&gt;K4241,"Mismatch","OK")</f>
        <v>OK</v>
      </c>
      <c r="X4241" s="9" t="str">
        <f aca="false">IF(TEXT(H4241,"dddd")&lt;&gt;I4241,"Mismatch","OK")</f>
        <v>OK</v>
      </c>
      <c r="Y4241" s="9" t="str">
        <f aca="false">IF(AND(N4241="No",O4241&lt;&gt;""),"Unexpected: channel present but no reminder sent",IF(AND(N4241="Yes",O4241=""),"Missing channel for sent reminder","OK"))</f>
        <v>OK</v>
      </c>
    </row>
    <row r="4242" customFormat="false" ht="15" hidden="false" customHeight="false" outlineLevel="0" collapsed="false">
      <c r="A4242" s="7" t="s">
        <v>5942</v>
      </c>
      <c r="B4242" s="7" t="s">
        <v>2175</v>
      </c>
      <c r="C4242" s="7" t="s">
        <v>37</v>
      </c>
      <c r="D4242" s="7" t="n">
        <v>66</v>
      </c>
      <c r="E4242" s="7" t="s">
        <v>70</v>
      </c>
      <c r="F4242" s="7" t="s">
        <v>39</v>
      </c>
      <c r="G4242" s="8" t="n">
        <v>45824</v>
      </c>
      <c r="H4242" s="8" t="n">
        <v>45841</v>
      </c>
      <c r="I4242" s="7" t="s">
        <v>62</v>
      </c>
      <c r="J4242" s="7" t="s">
        <v>41</v>
      </c>
      <c r="K4242" s="7" t="n">
        <v>17</v>
      </c>
      <c r="L4242" s="7" t="n">
        <v>0</v>
      </c>
      <c r="M4242" s="7" t="n">
        <v>0</v>
      </c>
      <c r="N4242" s="7" t="s">
        <v>42</v>
      </c>
      <c r="O4242" s="7" t="s">
        <v>43</v>
      </c>
      <c r="P4242" s="7" t="n">
        <v>11.8</v>
      </c>
      <c r="Q4242" s="7" t="n">
        <v>34</v>
      </c>
      <c r="R4242" s="7" t="s">
        <v>53</v>
      </c>
      <c r="S4242" s="7"/>
      <c r="T4242" s="7"/>
      <c r="U4242" s="7" t="str">
        <f aca="false">IF(COUNTIF($A$2:$A$5001,A4242)&gt;1,"Duplicate","Unique")</f>
        <v>Unique</v>
      </c>
      <c r="V4242" s="7" t="str">
        <f aca="false">IF(COUNTIFS($B$2:$B$5001,B4242,$H$2:$H$5001,H4242,$J$2:$J$5001,J4242)&gt;1,"Possible Duplicate Booking","Unique")</f>
        <v>Unique</v>
      </c>
      <c r="W4242" s="7" t="str">
        <f aca="false">IF((H4242-G4242)&lt;&gt;K4242,"Mismatch","OK")</f>
        <v>OK</v>
      </c>
      <c r="X4242" s="7" t="str">
        <f aca="false">IF(TEXT(H4242,"dddd")&lt;&gt;I4242,"Mismatch","OK")</f>
        <v>OK</v>
      </c>
      <c r="Y4242" s="7" t="str">
        <f aca="false">IF(AND(N4242="No",O4242&lt;&gt;""),"Unexpected: channel present but no reminder sent",IF(AND(N4242="Yes",O4242=""),"Missing channel for sent reminder","OK"))</f>
        <v>OK</v>
      </c>
    </row>
    <row r="4243" customFormat="false" ht="15" hidden="false" customHeight="false" outlineLevel="0" collapsed="false">
      <c r="A4243" s="9" t="s">
        <v>5943</v>
      </c>
      <c r="B4243" s="9" t="s">
        <v>634</v>
      </c>
      <c r="C4243" s="9" t="s">
        <v>47</v>
      </c>
      <c r="D4243" s="9" t="n">
        <v>43</v>
      </c>
      <c r="E4243" s="9" t="s">
        <v>38</v>
      </c>
      <c r="F4243" s="9" t="s">
        <v>39</v>
      </c>
      <c r="G4243" s="10" t="n">
        <v>45794</v>
      </c>
      <c r="H4243" s="10" t="n">
        <v>45807</v>
      </c>
      <c r="I4243" s="9" t="s">
        <v>50</v>
      </c>
      <c r="J4243" s="9" t="s">
        <v>41</v>
      </c>
      <c r="K4243" s="9" t="n">
        <v>13</v>
      </c>
      <c r="L4243" s="9" t="n">
        <v>4</v>
      </c>
      <c r="M4243" s="9" t="n">
        <v>1</v>
      </c>
      <c r="N4243" s="9" t="s">
        <v>71</v>
      </c>
      <c r="O4243" s="9"/>
      <c r="P4243" s="9" t="n">
        <v>7.4</v>
      </c>
      <c r="Q4243" s="9" t="n">
        <v>24</v>
      </c>
      <c r="R4243" s="9" t="s">
        <v>53</v>
      </c>
      <c r="S4243" s="9"/>
      <c r="T4243" s="9"/>
      <c r="U4243" s="9" t="str">
        <f aca="false">IF(COUNTIF($A$2:$A$5001,A4243)&gt;1,"Duplicate","Unique")</f>
        <v>Unique</v>
      </c>
      <c r="V4243" s="9" t="str">
        <f aca="false">IF(COUNTIFS($B$2:$B$5001,B4243,$H$2:$H$5001,H4243,$J$2:$J$5001,J4243)&gt;1,"Possible Duplicate Booking","Unique")</f>
        <v>Unique</v>
      </c>
      <c r="W4243" s="9" t="str">
        <f aca="false">IF((H4243-G4243)&lt;&gt;K4243,"Mismatch","OK")</f>
        <v>OK</v>
      </c>
      <c r="X4243" s="9" t="str">
        <f aca="false">IF(TEXT(H4243,"dddd")&lt;&gt;I4243,"Mismatch","OK")</f>
        <v>OK</v>
      </c>
      <c r="Y4243" s="9" t="str">
        <f aca="false">IF(AND(N4243="No",O4243&lt;&gt;""),"Unexpected: channel present but no reminder sent",IF(AND(N4243="Yes",O4243=""),"Missing channel for sent reminder","OK"))</f>
        <v>OK</v>
      </c>
    </row>
    <row r="4244" customFormat="false" ht="15" hidden="false" customHeight="false" outlineLevel="0" collapsed="false">
      <c r="A4244" s="7" t="s">
        <v>5944</v>
      </c>
      <c r="B4244" s="7" t="s">
        <v>2238</v>
      </c>
      <c r="C4244" s="7" t="s">
        <v>37</v>
      </c>
      <c r="D4244" s="7" t="n">
        <v>58</v>
      </c>
      <c r="E4244" s="7" t="s">
        <v>61</v>
      </c>
      <c r="F4244" s="7" t="s">
        <v>74</v>
      </c>
      <c r="G4244" s="8" t="n">
        <v>46069</v>
      </c>
      <c r="H4244" s="8" t="n">
        <v>46108</v>
      </c>
      <c r="I4244" s="7" t="s">
        <v>50</v>
      </c>
      <c r="J4244" s="7" t="s">
        <v>63</v>
      </c>
      <c r="K4244" s="7" t="n">
        <v>39</v>
      </c>
      <c r="L4244" s="7" t="n">
        <v>1</v>
      </c>
      <c r="M4244" s="7" t="n">
        <v>0</v>
      </c>
      <c r="N4244" s="7" t="s">
        <v>71</v>
      </c>
      <c r="O4244" s="7"/>
      <c r="P4244" s="7" t="n">
        <v>11.2</v>
      </c>
      <c r="Q4244" s="7" t="n">
        <v>35</v>
      </c>
      <c r="R4244" s="7" t="s">
        <v>44</v>
      </c>
      <c r="S4244" s="7"/>
      <c r="T4244" s="7"/>
      <c r="U4244" s="7" t="str">
        <f aca="false">IF(COUNTIF($A$2:$A$5001,A4244)&gt;1,"Duplicate","Unique")</f>
        <v>Unique</v>
      </c>
      <c r="V4244" s="7" t="str">
        <f aca="false">IF(COUNTIFS($B$2:$B$5001,B4244,$H$2:$H$5001,H4244,$J$2:$J$5001,J4244)&gt;1,"Possible Duplicate Booking","Unique")</f>
        <v>Unique</v>
      </c>
      <c r="W4244" s="7" t="str">
        <f aca="false">IF((H4244-G4244)&lt;&gt;K4244,"Mismatch","OK")</f>
        <v>OK</v>
      </c>
      <c r="X4244" s="7" t="str">
        <f aca="false">IF(TEXT(H4244,"dddd")&lt;&gt;I4244,"Mismatch","OK")</f>
        <v>OK</v>
      </c>
      <c r="Y4244" s="7" t="str">
        <f aca="false">IF(AND(N4244="No",O4244&lt;&gt;""),"Unexpected: channel present but no reminder sent",IF(AND(N4244="Yes",O4244=""),"Missing channel for sent reminder","OK"))</f>
        <v>OK</v>
      </c>
    </row>
    <row r="4245" customFormat="false" ht="15" hidden="false" customHeight="false" outlineLevel="0" collapsed="false">
      <c r="A4245" s="9" t="s">
        <v>5945</v>
      </c>
      <c r="B4245" s="9" t="s">
        <v>1264</v>
      </c>
      <c r="C4245" s="9" t="s">
        <v>47</v>
      </c>
      <c r="D4245" s="9" t="n">
        <v>18</v>
      </c>
      <c r="E4245" s="9" t="s">
        <v>82</v>
      </c>
      <c r="F4245" s="9" t="s">
        <v>57</v>
      </c>
      <c r="G4245" s="10" t="n">
        <v>45618</v>
      </c>
      <c r="H4245" s="10" t="n">
        <v>45675</v>
      </c>
      <c r="I4245" s="9" t="s">
        <v>102</v>
      </c>
      <c r="J4245" s="9" t="s">
        <v>41</v>
      </c>
      <c r="K4245" s="9" t="n">
        <v>57</v>
      </c>
      <c r="L4245" s="9" t="n">
        <v>3</v>
      </c>
      <c r="M4245" s="9" t="n">
        <v>0</v>
      </c>
      <c r="N4245" s="9" t="s">
        <v>71</v>
      </c>
      <c r="O4245" s="9"/>
      <c r="P4245" s="9" t="n">
        <v>15.7</v>
      </c>
      <c r="Q4245" s="9" t="n">
        <v>28</v>
      </c>
      <c r="R4245" s="9" t="s">
        <v>44</v>
      </c>
      <c r="S4245" s="9"/>
      <c r="T4245" s="9"/>
      <c r="U4245" s="9" t="str">
        <f aca="false">IF(COUNTIF($A$2:$A$5001,A4245)&gt;1,"Duplicate","Unique")</f>
        <v>Unique</v>
      </c>
      <c r="V4245" s="9" t="str">
        <f aca="false">IF(COUNTIFS($B$2:$B$5001,B4245,$H$2:$H$5001,H4245,$J$2:$J$5001,J4245)&gt;1,"Possible Duplicate Booking","Unique")</f>
        <v>Unique</v>
      </c>
      <c r="W4245" s="9" t="str">
        <f aca="false">IF((H4245-G4245)&lt;&gt;K4245,"Mismatch","OK")</f>
        <v>OK</v>
      </c>
      <c r="X4245" s="9" t="str">
        <f aca="false">IF(TEXT(H4245,"dddd")&lt;&gt;I4245,"Mismatch","OK")</f>
        <v>OK</v>
      </c>
      <c r="Y4245" s="9" t="str">
        <f aca="false">IF(AND(N4245="No",O4245&lt;&gt;""),"Unexpected: channel present but no reminder sent",IF(AND(N4245="Yes",O4245=""),"Missing channel for sent reminder","OK"))</f>
        <v>OK</v>
      </c>
    </row>
    <row r="4246" customFormat="false" ht="15" hidden="false" customHeight="false" outlineLevel="0" collapsed="false">
      <c r="A4246" s="7" t="s">
        <v>5946</v>
      </c>
      <c r="B4246" s="7" t="s">
        <v>2954</v>
      </c>
      <c r="C4246" s="7" t="s">
        <v>37</v>
      </c>
      <c r="D4246" s="7" t="n">
        <v>36</v>
      </c>
      <c r="E4246" s="7" t="s">
        <v>38</v>
      </c>
      <c r="F4246" s="7" t="s">
        <v>57</v>
      </c>
      <c r="G4246" s="8" t="n">
        <v>45805</v>
      </c>
      <c r="H4246" s="8" t="n">
        <v>45850</v>
      </c>
      <c r="I4246" s="7" t="s">
        <v>102</v>
      </c>
      <c r="J4246" s="7" t="s">
        <v>51</v>
      </c>
      <c r="K4246" s="7" t="n">
        <v>45</v>
      </c>
      <c r="L4246" s="7" t="n">
        <v>5</v>
      </c>
      <c r="M4246" s="7" t="n">
        <v>1</v>
      </c>
      <c r="N4246" s="7" t="s">
        <v>42</v>
      </c>
      <c r="O4246" s="7" t="s">
        <v>52</v>
      </c>
      <c r="P4246" s="7" t="n">
        <v>12.9</v>
      </c>
      <c r="Q4246" s="7" t="n">
        <v>20</v>
      </c>
      <c r="R4246" s="7" t="s">
        <v>53</v>
      </c>
      <c r="S4246" s="7"/>
      <c r="T4246" s="7"/>
      <c r="U4246" s="7" t="str">
        <f aca="false">IF(COUNTIF($A$2:$A$5001,A4246)&gt;1,"Duplicate","Unique")</f>
        <v>Unique</v>
      </c>
      <c r="V4246" s="7" t="str">
        <f aca="false">IF(COUNTIFS($B$2:$B$5001,B4246,$H$2:$H$5001,H4246,$J$2:$J$5001,J4246)&gt;1,"Possible Duplicate Booking","Unique")</f>
        <v>Unique</v>
      </c>
      <c r="W4246" s="7" t="str">
        <f aca="false">IF((H4246-G4246)&lt;&gt;K4246,"Mismatch","OK")</f>
        <v>OK</v>
      </c>
      <c r="X4246" s="7" t="str">
        <f aca="false">IF(TEXT(H4246,"dddd")&lt;&gt;I4246,"Mismatch","OK")</f>
        <v>OK</v>
      </c>
      <c r="Y4246" s="7" t="str">
        <f aca="false">IF(AND(N4246="No",O4246&lt;&gt;""),"Unexpected: channel present but no reminder sent",IF(AND(N4246="Yes",O4246=""),"Missing channel for sent reminder","OK"))</f>
        <v>OK</v>
      </c>
    </row>
    <row r="4247" customFormat="false" ht="15" hidden="false" customHeight="false" outlineLevel="0" collapsed="false">
      <c r="A4247" s="9" t="s">
        <v>5947</v>
      </c>
      <c r="B4247" s="9" t="s">
        <v>3037</v>
      </c>
      <c r="C4247" s="9" t="s">
        <v>47</v>
      </c>
      <c r="D4247" s="9" t="n">
        <v>78</v>
      </c>
      <c r="E4247" s="9" t="s">
        <v>70</v>
      </c>
      <c r="F4247" s="9" t="s">
        <v>74</v>
      </c>
      <c r="G4247" s="10" t="n">
        <v>45772</v>
      </c>
      <c r="H4247" s="10" t="n">
        <v>45810</v>
      </c>
      <c r="I4247" s="9" t="s">
        <v>66</v>
      </c>
      <c r="J4247" s="9" t="s">
        <v>41</v>
      </c>
      <c r="K4247" s="9" t="n">
        <v>38</v>
      </c>
      <c r="L4247" s="9" t="n">
        <v>6</v>
      </c>
      <c r="M4247" s="9" t="n">
        <v>1</v>
      </c>
      <c r="N4247" s="9" t="s">
        <v>71</v>
      </c>
      <c r="O4247" s="9"/>
      <c r="P4247" s="9" t="n">
        <v>3.4</v>
      </c>
      <c r="Q4247" s="9" t="n">
        <v>45</v>
      </c>
      <c r="R4247" s="9" t="s">
        <v>44</v>
      </c>
      <c r="S4247" s="9"/>
      <c r="T4247" s="9"/>
      <c r="U4247" s="9" t="str">
        <f aca="false">IF(COUNTIF($A$2:$A$5001,A4247)&gt;1,"Duplicate","Unique")</f>
        <v>Unique</v>
      </c>
      <c r="V4247" s="9" t="str">
        <f aca="false">IF(COUNTIFS($B$2:$B$5001,B4247,$H$2:$H$5001,H4247,$J$2:$J$5001,J4247)&gt;1,"Possible Duplicate Booking","Unique")</f>
        <v>Unique</v>
      </c>
      <c r="W4247" s="9" t="str">
        <f aca="false">IF((H4247-G4247)&lt;&gt;K4247,"Mismatch","OK")</f>
        <v>OK</v>
      </c>
      <c r="X4247" s="9" t="str">
        <f aca="false">IF(TEXT(H4247,"dddd")&lt;&gt;I4247,"Mismatch","OK")</f>
        <v>OK</v>
      </c>
      <c r="Y4247" s="9" t="str">
        <f aca="false">IF(AND(N4247="No",O4247&lt;&gt;""),"Unexpected: channel present but no reminder sent",IF(AND(N4247="Yes",O4247=""),"Missing channel for sent reminder","OK"))</f>
        <v>OK</v>
      </c>
    </row>
    <row r="4248" customFormat="false" ht="15" hidden="false" customHeight="false" outlineLevel="0" collapsed="false">
      <c r="A4248" s="7" t="s">
        <v>5948</v>
      </c>
      <c r="B4248" s="7" t="s">
        <v>4043</v>
      </c>
      <c r="C4248" s="7" t="s">
        <v>47</v>
      </c>
      <c r="D4248" s="7" t="n">
        <v>54</v>
      </c>
      <c r="E4248" s="7" t="s">
        <v>56</v>
      </c>
      <c r="F4248" s="7" t="s">
        <v>57</v>
      </c>
      <c r="G4248" s="8" t="n">
        <v>45751</v>
      </c>
      <c r="H4248" s="8" t="n">
        <v>45807</v>
      </c>
      <c r="I4248" s="7" t="s">
        <v>50</v>
      </c>
      <c r="J4248" s="7" t="s">
        <v>51</v>
      </c>
      <c r="K4248" s="7" t="n">
        <v>56</v>
      </c>
      <c r="L4248" s="7" t="n">
        <v>5</v>
      </c>
      <c r="M4248" s="7" t="n">
        <v>1</v>
      </c>
      <c r="N4248" s="7" t="s">
        <v>42</v>
      </c>
      <c r="O4248" s="7" t="s">
        <v>67</v>
      </c>
      <c r="P4248" s="7" t="n">
        <v>5.2</v>
      </c>
      <c r="Q4248" s="7" t="n">
        <v>35</v>
      </c>
      <c r="R4248" s="7" t="s">
        <v>53</v>
      </c>
      <c r="S4248" s="7"/>
      <c r="T4248" s="7"/>
      <c r="U4248" s="7" t="str">
        <f aca="false">IF(COUNTIF($A$2:$A$5001,A4248)&gt;1,"Duplicate","Unique")</f>
        <v>Unique</v>
      </c>
      <c r="V4248" s="7" t="str">
        <f aca="false">IF(COUNTIFS($B$2:$B$5001,B4248,$H$2:$H$5001,H4248,$J$2:$J$5001,J4248)&gt;1,"Possible Duplicate Booking","Unique")</f>
        <v>Unique</v>
      </c>
      <c r="W4248" s="7" t="str">
        <f aca="false">IF((H4248-G4248)&lt;&gt;K4248,"Mismatch","OK")</f>
        <v>OK</v>
      </c>
      <c r="X4248" s="7" t="str">
        <f aca="false">IF(TEXT(H4248,"dddd")&lt;&gt;I4248,"Mismatch","OK")</f>
        <v>OK</v>
      </c>
      <c r="Y4248" s="7" t="str">
        <f aca="false">IF(AND(N4248="No",O4248&lt;&gt;""),"Unexpected: channel present but no reminder sent",IF(AND(N4248="Yes",O4248=""),"Missing channel for sent reminder","OK"))</f>
        <v>OK</v>
      </c>
    </row>
    <row r="4249" customFormat="false" ht="15" hidden="false" customHeight="false" outlineLevel="0" collapsed="false">
      <c r="A4249" s="9" t="s">
        <v>5949</v>
      </c>
      <c r="B4249" s="9" t="s">
        <v>3918</v>
      </c>
      <c r="C4249" s="9" t="s">
        <v>47</v>
      </c>
      <c r="D4249" s="9" t="n">
        <v>72</v>
      </c>
      <c r="E4249" s="9" t="s">
        <v>70</v>
      </c>
      <c r="F4249" s="9" t="s">
        <v>57</v>
      </c>
      <c r="G4249" s="10" t="n">
        <v>45709</v>
      </c>
      <c r="H4249" s="10" t="n">
        <v>45763</v>
      </c>
      <c r="I4249" s="9" t="s">
        <v>58</v>
      </c>
      <c r="J4249" s="9" t="s">
        <v>63</v>
      </c>
      <c r="K4249" s="9" t="n">
        <v>54</v>
      </c>
      <c r="L4249" s="9" t="n">
        <v>2</v>
      </c>
      <c r="M4249" s="9" t="n">
        <v>1</v>
      </c>
      <c r="N4249" s="9" t="s">
        <v>42</v>
      </c>
      <c r="O4249" s="9" t="s">
        <v>43</v>
      </c>
      <c r="P4249" s="9" t="n">
        <v>20.7</v>
      </c>
      <c r="Q4249" s="9" t="n">
        <v>16</v>
      </c>
      <c r="R4249" s="9" t="s">
        <v>44</v>
      </c>
      <c r="S4249" s="9"/>
      <c r="T4249" s="9"/>
      <c r="U4249" s="9" t="str">
        <f aca="false">IF(COUNTIF($A$2:$A$5001,A4249)&gt;1,"Duplicate","Unique")</f>
        <v>Unique</v>
      </c>
      <c r="V4249" s="9" t="str">
        <f aca="false">IF(COUNTIFS($B$2:$B$5001,B4249,$H$2:$H$5001,H4249,$J$2:$J$5001,J4249)&gt;1,"Possible Duplicate Booking","Unique")</f>
        <v>Unique</v>
      </c>
      <c r="W4249" s="9" t="str">
        <f aca="false">IF((H4249-G4249)&lt;&gt;K4249,"Mismatch","OK")</f>
        <v>OK</v>
      </c>
      <c r="X4249" s="9" t="str">
        <f aca="false">IF(TEXT(H4249,"dddd")&lt;&gt;I4249,"Mismatch","OK")</f>
        <v>OK</v>
      </c>
      <c r="Y4249" s="9" t="str">
        <f aca="false">IF(AND(N4249="No",O4249&lt;&gt;""),"Unexpected: channel present but no reminder sent",IF(AND(N4249="Yes",O4249=""),"Missing channel for sent reminder","OK"))</f>
        <v>OK</v>
      </c>
    </row>
    <row r="4250" customFormat="false" ht="15" hidden="false" customHeight="false" outlineLevel="0" collapsed="false">
      <c r="A4250" s="7" t="s">
        <v>5950</v>
      </c>
      <c r="B4250" s="7" t="s">
        <v>1373</v>
      </c>
      <c r="C4250" s="7" t="s">
        <v>47</v>
      </c>
      <c r="D4250" s="7" t="n">
        <v>31</v>
      </c>
      <c r="E4250" s="7" t="s">
        <v>48</v>
      </c>
      <c r="F4250" s="7" t="s">
        <v>57</v>
      </c>
      <c r="G4250" s="8" t="n">
        <v>46126</v>
      </c>
      <c r="H4250" s="8" t="n">
        <v>46156</v>
      </c>
      <c r="I4250" s="7" t="s">
        <v>62</v>
      </c>
      <c r="J4250" s="7" t="s">
        <v>41</v>
      </c>
      <c r="K4250" s="7" t="n">
        <v>30</v>
      </c>
      <c r="L4250" s="7" t="n">
        <v>1</v>
      </c>
      <c r="M4250" s="7" t="n">
        <v>0</v>
      </c>
      <c r="N4250" s="7" t="s">
        <v>71</v>
      </c>
      <c r="O4250" s="7"/>
      <c r="P4250" s="7" t="n">
        <v>14.9</v>
      </c>
      <c r="Q4250" s="7" t="n">
        <v>34</v>
      </c>
      <c r="R4250" s="7" t="s">
        <v>53</v>
      </c>
      <c r="S4250" s="7"/>
      <c r="T4250" s="7"/>
      <c r="U4250" s="7" t="str">
        <f aca="false">IF(COUNTIF($A$2:$A$5001,A4250)&gt;1,"Duplicate","Unique")</f>
        <v>Unique</v>
      </c>
      <c r="V4250" s="7" t="str">
        <f aca="false">IF(COUNTIFS($B$2:$B$5001,B4250,$H$2:$H$5001,H4250,$J$2:$J$5001,J4250)&gt;1,"Possible Duplicate Booking","Unique")</f>
        <v>Unique</v>
      </c>
      <c r="W4250" s="7" t="str">
        <f aca="false">IF((H4250-G4250)&lt;&gt;K4250,"Mismatch","OK")</f>
        <v>OK</v>
      </c>
      <c r="X4250" s="7" t="str">
        <f aca="false">IF(TEXT(H4250,"dddd")&lt;&gt;I4250,"Mismatch","OK")</f>
        <v>OK</v>
      </c>
      <c r="Y4250" s="7" t="str">
        <f aca="false">IF(AND(N4250="No",O4250&lt;&gt;""),"Unexpected: channel present but no reminder sent",IF(AND(N4250="Yes",O4250=""),"Missing channel for sent reminder","OK"))</f>
        <v>OK</v>
      </c>
    </row>
    <row r="4251" customFormat="false" ht="15" hidden="false" customHeight="false" outlineLevel="0" collapsed="false">
      <c r="A4251" s="9" t="s">
        <v>5951</v>
      </c>
      <c r="B4251" s="9" t="s">
        <v>5152</v>
      </c>
      <c r="C4251" s="9" t="s">
        <v>47</v>
      </c>
      <c r="D4251" s="9" t="n">
        <v>36</v>
      </c>
      <c r="E4251" s="9" t="s">
        <v>38</v>
      </c>
      <c r="F4251" s="9" t="s">
        <v>49</v>
      </c>
      <c r="G4251" s="10" t="n">
        <v>45858</v>
      </c>
      <c r="H4251" s="10" t="n">
        <v>45864</v>
      </c>
      <c r="I4251" s="9" t="s">
        <v>102</v>
      </c>
      <c r="J4251" s="9" t="s">
        <v>41</v>
      </c>
      <c r="K4251" s="9" t="n">
        <v>6</v>
      </c>
      <c r="L4251" s="9" t="n">
        <v>0</v>
      </c>
      <c r="M4251" s="9" t="n">
        <v>0</v>
      </c>
      <c r="N4251" s="9" t="s">
        <v>42</v>
      </c>
      <c r="O4251" s="9" t="s">
        <v>52</v>
      </c>
      <c r="P4251" s="9" t="n">
        <v>9.6</v>
      </c>
      <c r="Q4251" s="9" t="n">
        <v>30</v>
      </c>
      <c r="R4251" s="9" t="s">
        <v>53</v>
      </c>
      <c r="S4251" s="9"/>
      <c r="T4251" s="9"/>
      <c r="U4251" s="9" t="str">
        <f aca="false">IF(COUNTIF($A$2:$A$5001,A4251)&gt;1,"Duplicate","Unique")</f>
        <v>Unique</v>
      </c>
      <c r="V4251" s="9" t="str">
        <f aca="false">IF(COUNTIFS($B$2:$B$5001,B4251,$H$2:$H$5001,H4251,$J$2:$J$5001,J4251)&gt;1,"Possible Duplicate Booking","Unique")</f>
        <v>Unique</v>
      </c>
      <c r="W4251" s="9" t="str">
        <f aca="false">IF((H4251-G4251)&lt;&gt;K4251,"Mismatch","OK")</f>
        <v>OK</v>
      </c>
      <c r="X4251" s="9" t="str">
        <f aca="false">IF(TEXT(H4251,"dddd")&lt;&gt;I4251,"Mismatch","OK")</f>
        <v>OK</v>
      </c>
      <c r="Y4251" s="9" t="str">
        <f aca="false">IF(AND(N4251="No",O4251&lt;&gt;""),"Unexpected: channel present but no reminder sent",IF(AND(N4251="Yes",O4251=""),"Missing channel for sent reminder","OK"))</f>
        <v>OK</v>
      </c>
    </row>
    <row r="4252" customFormat="false" ht="15" hidden="false" customHeight="false" outlineLevel="0" collapsed="false">
      <c r="A4252" s="7" t="s">
        <v>5952</v>
      </c>
      <c r="B4252" s="7" t="s">
        <v>1020</v>
      </c>
      <c r="C4252" s="7" t="s">
        <v>47</v>
      </c>
      <c r="D4252" s="7" t="n">
        <v>79</v>
      </c>
      <c r="E4252" s="7" t="s">
        <v>70</v>
      </c>
      <c r="F4252" s="7" t="s">
        <v>49</v>
      </c>
      <c r="G4252" s="8" t="n">
        <v>45848</v>
      </c>
      <c r="H4252" s="8" t="n">
        <v>45886</v>
      </c>
      <c r="I4252" s="7" t="s">
        <v>75</v>
      </c>
      <c r="J4252" s="7" t="s">
        <v>51</v>
      </c>
      <c r="K4252" s="7" t="n">
        <v>38</v>
      </c>
      <c r="L4252" s="7" t="n">
        <v>4</v>
      </c>
      <c r="M4252" s="7" t="n">
        <v>0</v>
      </c>
      <c r="N4252" s="7" t="s">
        <v>71</v>
      </c>
      <c r="O4252" s="7"/>
      <c r="P4252" s="7" t="n">
        <v>6.5</v>
      </c>
      <c r="Q4252" s="7" t="n">
        <v>14</v>
      </c>
      <c r="R4252" s="7" t="s">
        <v>44</v>
      </c>
      <c r="S4252" s="7"/>
      <c r="T4252" s="7"/>
      <c r="U4252" s="7" t="str">
        <f aca="false">IF(COUNTIF($A$2:$A$5001,A4252)&gt;1,"Duplicate","Unique")</f>
        <v>Unique</v>
      </c>
      <c r="V4252" s="7" t="str">
        <f aca="false">IF(COUNTIFS($B$2:$B$5001,B4252,$H$2:$H$5001,H4252,$J$2:$J$5001,J4252)&gt;1,"Possible Duplicate Booking","Unique")</f>
        <v>Unique</v>
      </c>
      <c r="W4252" s="7" t="str">
        <f aca="false">IF((H4252-G4252)&lt;&gt;K4252,"Mismatch","OK")</f>
        <v>OK</v>
      </c>
      <c r="X4252" s="7" t="str">
        <f aca="false">IF(TEXT(H4252,"dddd")&lt;&gt;I4252,"Mismatch","OK")</f>
        <v>OK</v>
      </c>
      <c r="Y4252" s="7" t="str">
        <f aca="false">IF(AND(N4252="No",O4252&lt;&gt;""),"Unexpected: channel present but no reminder sent",IF(AND(N4252="Yes",O4252=""),"Missing channel for sent reminder","OK"))</f>
        <v>OK</v>
      </c>
    </row>
    <row r="4253" customFormat="false" ht="15" hidden="false" customHeight="false" outlineLevel="0" collapsed="false">
      <c r="A4253" s="9" t="s">
        <v>5953</v>
      </c>
      <c r="B4253" s="9" t="s">
        <v>3220</v>
      </c>
      <c r="C4253" s="9" t="s">
        <v>37</v>
      </c>
      <c r="D4253" s="9" t="n">
        <v>80</v>
      </c>
      <c r="E4253" s="9" t="s">
        <v>70</v>
      </c>
      <c r="F4253" s="9" t="s">
        <v>57</v>
      </c>
      <c r="G4253" s="10" t="n">
        <v>45831</v>
      </c>
      <c r="H4253" s="10" t="n">
        <v>45868</v>
      </c>
      <c r="I4253" s="9" t="s">
        <v>58</v>
      </c>
      <c r="J4253" s="9" t="s">
        <v>41</v>
      </c>
      <c r="K4253" s="9" t="n">
        <v>37</v>
      </c>
      <c r="L4253" s="9" t="n">
        <v>3</v>
      </c>
      <c r="M4253" s="9" t="n">
        <v>0</v>
      </c>
      <c r="N4253" s="9" t="s">
        <v>42</v>
      </c>
      <c r="O4253" s="9" t="s">
        <v>52</v>
      </c>
      <c r="P4253" s="9" t="n">
        <v>14.5</v>
      </c>
      <c r="Q4253" s="9" t="n">
        <v>25</v>
      </c>
      <c r="R4253" s="9" t="s">
        <v>44</v>
      </c>
      <c r="S4253" s="9"/>
      <c r="T4253" s="9"/>
      <c r="U4253" s="9" t="str">
        <f aca="false">IF(COUNTIF($A$2:$A$5001,A4253)&gt;1,"Duplicate","Unique")</f>
        <v>Unique</v>
      </c>
      <c r="V4253" s="9" t="str">
        <f aca="false">IF(COUNTIFS($B$2:$B$5001,B4253,$H$2:$H$5001,H4253,$J$2:$J$5001,J4253)&gt;1,"Possible Duplicate Booking","Unique")</f>
        <v>Unique</v>
      </c>
      <c r="W4253" s="9" t="str">
        <f aca="false">IF((H4253-G4253)&lt;&gt;K4253,"Mismatch","OK")</f>
        <v>OK</v>
      </c>
      <c r="X4253" s="9" t="str">
        <f aca="false">IF(TEXT(H4253,"dddd")&lt;&gt;I4253,"Mismatch","OK")</f>
        <v>OK</v>
      </c>
      <c r="Y4253" s="9" t="str">
        <f aca="false">IF(AND(N4253="No",O4253&lt;&gt;""),"Unexpected: channel present but no reminder sent",IF(AND(N4253="Yes",O4253=""),"Missing channel for sent reminder","OK"))</f>
        <v>OK</v>
      </c>
    </row>
    <row r="4254" customFormat="false" ht="15" hidden="false" customHeight="false" outlineLevel="0" collapsed="false">
      <c r="A4254" s="7" t="s">
        <v>5954</v>
      </c>
      <c r="B4254" s="7" t="s">
        <v>3537</v>
      </c>
      <c r="C4254" s="7" t="s">
        <v>47</v>
      </c>
      <c r="D4254" s="7" t="n">
        <v>73</v>
      </c>
      <c r="E4254" s="7" t="s">
        <v>70</v>
      </c>
      <c r="F4254" s="7" t="s">
        <v>39</v>
      </c>
      <c r="G4254" s="8" t="n">
        <v>46177</v>
      </c>
      <c r="H4254" s="8" t="n">
        <v>46193</v>
      </c>
      <c r="I4254" s="7" t="s">
        <v>102</v>
      </c>
      <c r="J4254" s="7" t="s">
        <v>51</v>
      </c>
      <c r="K4254" s="7" t="n">
        <v>16</v>
      </c>
      <c r="L4254" s="7" t="n">
        <v>6</v>
      </c>
      <c r="M4254" s="7" t="n">
        <v>0</v>
      </c>
      <c r="N4254" s="7" t="s">
        <v>42</v>
      </c>
      <c r="O4254" s="7" t="s">
        <v>52</v>
      </c>
      <c r="P4254" s="7" t="n">
        <v>5.8</v>
      </c>
      <c r="Q4254" s="7" t="n">
        <v>23</v>
      </c>
      <c r="R4254" s="7" t="s">
        <v>53</v>
      </c>
      <c r="S4254" s="7"/>
      <c r="T4254" s="7"/>
      <c r="U4254" s="7" t="str">
        <f aca="false">IF(COUNTIF($A$2:$A$5001,A4254)&gt;1,"Duplicate","Unique")</f>
        <v>Unique</v>
      </c>
      <c r="V4254" s="7" t="str">
        <f aca="false">IF(COUNTIFS($B$2:$B$5001,B4254,$H$2:$H$5001,H4254,$J$2:$J$5001,J4254)&gt;1,"Possible Duplicate Booking","Unique")</f>
        <v>Unique</v>
      </c>
      <c r="W4254" s="7" t="str">
        <f aca="false">IF((H4254-G4254)&lt;&gt;K4254,"Mismatch","OK")</f>
        <v>OK</v>
      </c>
      <c r="X4254" s="7" t="str">
        <f aca="false">IF(TEXT(H4254,"dddd")&lt;&gt;I4254,"Mismatch","OK")</f>
        <v>OK</v>
      </c>
      <c r="Y4254" s="7" t="str">
        <f aca="false">IF(AND(N4254="No",O4254&lt;&gt;""),"Unexpected: channel present but no reminder sent",IF(AND(N4254="Yes",O4254=""),"Missing channel for sent reminder","OK"))</f>
        <v>OK</v>
      </c>
    </row>
    <row r="4255" customFormat="false" ht="15" hidden="false" customHeight="false" outlineLevel="0" collapsed="false">
      <c r="A4255" s="9" t="s">
        <v>5955</v>
      </c>
      <c r="B4255" s="9" t="s">
        <v>2401</v>
      </c>
      <c r="C4255" s="9" t="s">
        <v>37</v>
      </c>
      <c r="D4255" s="9" t="n">
        <v>37</v>
      </c>
      <c r="E4255" s="9" t="s">
        <v>38</v>
      </c>
      <c r="F4255" s="9" t="s">
        <v>39</v>
      </c>
      <c r="G4255" s="10" t="n">
        <v>45792</v>
      </c>
      <c r="H4255" s="10" t="n">
        <v>45843</v>
      </c>
      <c r="I4255" s="9" t="s">
        <v>102</v>
      </c>
      <c r="J4255" s="9" t="s">
        <v>41</v>
      </c>
      <c r="K4255" s="9" t="n">
        <v>51</v>
      </c>
      <c r="L4255" s="9" t="n">
        <v>3</v>
      </c>
      <c r="M4255" s="9" t="n">
        <v>0</v>
      </c>
      <c r="N4255" s="9" t="s">
        <v>42</v>
      </c>
      <c r="O4255" s="9" t="s">
        <v>43</v>
      </c>
      <c r="P4255" s="9" t="n">
        <v>11.5</v>
      </c>
      <c r="Q4255" s="9" t="n">
        <v>2</v>
      </c>
      <c r="R4255" s="9" t="s">
        <v>87</v>
      </c>
      <c r="S4255" s="9"/>
      <c r="T4255" s="9"/>
      <c r="U4255" s="9" t="str">
        <f aca="false">IF(COUNTIF($A$2:$A$5001,A4255)&gt;1,"Duplicate","Unique")</f>
        <v>Unique</v>
      </c>
      <c r="V4255" s="9" t="str">
        <f aca="false">IF(COUNTIFS($B$2:$B$5001,B4255,$H$2:$H$5001,H4255,$J$2:$J$5001,J4255)&gt;1,"Possible Duplicate Booking","Unique")</f>
        <v>Unique</v>
      </c>
      <c r="W4255" s="9" t="str">
        <f aca="false">IF((H4255-G4255)&lt;&gt;K4255,"Mismatch","OK")</f>
        <v>OK</v>
      </c>
      <c r="X4255" s="9" t="str">
        <f aca="false">IF(TEXT(H4255,"dddd")&lt;&gt;I4255,"Mismatch","OK")</f>
        <v>OK</v>
      </c>
      <c r="Y4255" s="9" t="str">
        <f aca="false">IF(AND(N4255="No",O4255&lt;&gt;""),"Unexpected: channel present but no reminder sent",IF(AND(N4255="Yes",O4255=""),"Missing channel for sent reminder","OK"))</f>
        <v>OK</v>
      </c>
    </row>
    <row r="4256" customFormat="false" ht="15" hidden="false" customHeight="false" outlineLevel="0" collapsed="false">
      <c r="A4256" s="7" t="s">
        <v>5956</v>
      </c>
      <c r="B4256" s="7" t="s">
        <v>2869</v>
      </c>
      <c r="C4256" s="7" t="s">
        <v>47</v>
      </c>
      <c r="D4256" s="7" t="n">
        <v>68</v>
      </c>
      <c r="E4256" s="7" t="s">
        <v>70</v>
      </c>
      <c r="F4256" s="7" t="s">
        <v>39</v>
      </c>
      <c r="G4256" s="8" t="n">
        <v>45791</v>
      </c>
      <c r="H4256" s="8" t="n">
        <v>45844</v>
      </c>
      <c r="I4256" s="7" t="s">
        <v>75</v>
      </c>
      <c r="J4256" s="7" t="s">
        <v>41</v>
      </c>
      <c r="K4256" s="7" t="n">
        <v>53</v>
      </c>
      <c r="L4256" s="7" t="n">
        <v>6</v>
      </c>
      <c r="M4256" s="7" t="n">
        <v>2</v>
      </c>
      <c r="N4256" s="7" t="s">
        <v>42</v>
      </c>
      <c r="O4256" s="7" t="s">
        <v>43</v>
      </c>
      <c r="P4256" s="7" t="n">
        <v>7.9</v>
      </c>
      <c r="Q4256" s="7" t="n">
        <v>8</v>
      </c>
      <c r="R4256" s="7" t="s">
        <v>44</v>
      </c>
      <c r="S4256" s="7"/>
      <c r="T4256" s="7"/>
      <c r="U4256" s="7" t="str">
        <f aca="false">IF(COUNTIF($A$2:$A$5001,A4256)&gt;1,"Duplicate","Unique")</f>
        <v>Unique</v>
      </c>
      <c r="V4256" s="7" t="str">
        <f aca="false">IF(COUNTIFS($B$2:$B$5001,B4256,$H$2:$H$5001,H4256,$J$2:$J$5001,J4256)&gt;1,"Possible Duplicate Booking","Unique")</f>
        <v>Unique</v>
      </c>
      <c r="W4256" s="7" t="str">
        <f aca="false">IF((H4256-G4256)&lt;&gt;K4256,"Mismatch","OK")</f>
        <v>OK</v>
      </c>
      <c r="X4256" s="7" t="str">
        <f aca="false">IF(TEXT(H4256,"dddd")&lt;&gt;I4256,"Mismatch","OK")</f>
        <v>OK</v>
      </c>
      <c r="Y4256" s="7" t="str">
        <f aca="false">IF(AND(N4256="No",O4256&lt;&gt;""),"Unexpected: channel present but no reminder sent",IF(AND(N4256="Yes",O4256=""),"Missing channel for sent reminder","OK"))</f>
        <v>OK</v>
      </c>
    </row>
    <row r="4257" customFormat="false" ht="15" hidden="false" customHeight="false" outlineLevel="0" collapsed="false">
      <c r="A4257" s="9" t="s">
        <v>5957</v>
      </c>
      <c r="B4257" s="9" t="s">
        <v>1508</v>
      </c>
      <c r="C4257" s="9" t="s">
        <v>47</v>
      </c>
      <c r="D4257" s="9" t="n">
        <v>46</v>
      </c>
      <c r="E4257" s="9" t="s">
        <v>56</v>
      </c>
      <c r="F4257" s="9" t="s">
        <v>39</v>
      </c>
      <c r="G4257" s="10" t="n">
        <v>45817</v>
      </c>
      <c r="H4257" s="10" t="n">
        <v>45837</v>
      </c>
      <c r="I4257" s="9" t="s">
        <v>75</v>
      </c>
      <c r="J4257" s="9" t="s">
        <v>41</v>
      </c>
      <c r="K4257" s="9" t="n">
        <v>20</v>
      </c>
      <c r="L4257" s="9" t="n">
        <v>3</v>
      </c>
      <c r="M4257" s="9" t="n">
        <v>1</v>
      </c>
      <c r="N4257" s="9" t="s">
        <v>71</v>
      </c>
      <c r="O4257" s="9"/>
      <c r="P4257" s="9" t="n">
        <v>9.7</v>
      </c>
      <c r="Q4257" s="9" t="n">
        <v>36</v>
      </c>
      <c r="R4257" s="9" t="s">
        <v>53</v>
      </c>
      <c r="S4257" s="9"/>
      <c r="T4257" s="9"/>
      <c r="U4257" s="9" t="str">
        <f aca="false">IF(COUNTIF($A$2:$A$5001,A4257)&gt;1,"Duplicate","Unique")</f>
        <v>Unique</v>
      </c>
      <c r="V4257" s="9" t="str">
        <f aca="false">IF(COUNTIFS($B$2:$B$5001,B4257,$H$2:$H$5001,H4257,$J$2:$J$5001,J4257)&gt;1,"Possible Duplicate Booking","Unique")</f>
        <v>Unique</v>
      </c>
      <c r="W4257" s="9" t="str">
        <f aca="false">IF((H4257-G4257)&lt;&gt;K4257,"Mismatch","OK")</f>
        <v>OK</v>
      </c>
      <c r="X4257" s="9" t="str">
        <f aca="false">IF(TEXT(H4257,"dddd")&lt;&gt;I4257,"Mismatch","OK")</f>
        <v>OK</v>
      </c>
      <c r="Y4257" s="9" t="str">
        <f aca="false">IF(AND(N4257="No",O4257&lt;&gt;""),"Unexpected: channel present but no reminder sent",IF(AND(N4257="Yes",O4257=""),"Missing channel for sent reminder","OK"))</f>
        <v>OK</v>
      </c>
    </row>
    <row r="4258" customFormat="false" ht="15" hidden="false" customHeight="false" outlineLevel="0" collapsed="false">
      <c r="A4258" s="7" t="s">
        <v>5958</v>
      </c>
      <c r="B4258" s="7" t="s">
        <v>2421</v>
      </c>
      <c r="C4258" s="7" t="s">
        <v>47</v>
      </c>
      <c r="D4258" s="7" t="n">
        <v>71</v>
      </c>
      <c r="E4258" s="7" t="s">
        <v>70</v>
      </c>
      <c r="F4258" s="7" t="s">
        <v>74</v>
      </c>
      <c r="G4258" s="8" t="n">
        <v>45807</v>
      </c>
      <c r="H4258" s="8" t="n">
        <v>45836</v>
      </c>
      <c r="I4258" s="7" t="s">
        <v>102</v>
      </c>
      <c r="J4258" s="7" t="s">
        <v>51</v>
      </c>
      <c r="K4258" s="7" t="n">
        <v>29</v>
      </c>
      <c r="L4258" s="7" t="n">
        <v>7</v>
      </c>
      <c r="M4258" s="7" t="n">
        <v>2</v>
      </c>
      <c r="N4258" s="7" t="s">
        <v>42</v>
      </c>
      <c r="O4258" s="7" t="s">
        <v>43</v>
      </c>
      <c r="P4258" s="7" t="n">
        <v>7</v>
      </c>
      <c r="Q4258" s="7" t="n">
        <v>16</v>
      </c>
      <c r="R4258" s="7" t="s">
        <v>44</v>
      </c>
      <c r="S4258" s="7"/>
      <c r="T4258" s="7"/>
      <c r="U4258" s="7" t="str">
        <f aca="false">IF(COUNTIF($A$2:$A$5001,A4258)&gt;1,"Duplicate","Unique")</f>
        <v>Unique</v>
      </c>
      <c r="V4258" s="7" t="str">
        <f aca="false">IF(COUNTIFS($B$2:$B$5001,B4258,$H$2:$H$5001,H4258,$J$2:$J$5001,J4258)&gt;1,"Possible Duplicate Booking","Unique")</f>
        <v>Unique</v>
      </c>
      <c r="W4258" s="7" t="str">
        <f aca="false">IF((H4258-G4258)&lt;&gt;K4258,"Mismatch","OK")</f>
        <v>OK</v>
      </c>
      <c r="X4258" s="7" t="str">
        <f aca="false">IF(TEXT(H4258,"dddd")&lt;&gt;I4258,"Mismatch","OK")</f>
        <v>OK</v>
      </c>
      <c r="Y4258" s="7" t="str">
        <f aca="false">IF(AND(N4258="No",O4258&lt;&gt;""),"Unexpected: channel present but no reminder sent",IF(AND(N4258="Yes",O4258=""),"Missing channel for sent reminder","OK"))</f>
        <v>OK</v>
      </c>
    </row>
    <row r="4259" customFormat="false" ht="15" hidden="false" customHeight="false" outlineLevel="0" collapsed="false">
      <c r="A4259" s="9" t="s">
        <v>5959</v>
      </c>
      <c r="B4259" s="9" t="s">
        <v>60</v>
      </c>
      <c r="C4259" s="9" t="s">
        <v>37</v>
      </c>
      <c r="D4259" s="9" t="n">
        <v>71</v>
      </c>
      <c r="E4259" s="9" t="s">
        <v>70</v>
      </c>
      <c r="F4259" s="9" t="s">
        <v>57</v>
      </c>
      <c r="G4259" s="10" t="n">
        <v>45695</v>
      </c>
      <c r="H4259" s="10" t="n">
        <v>45706</v>
      </c>
      <c r="I4259" s="9" t="s">
        <v>40</v>
      </c>
      <c r="J4259" s="9" t="s">
        <v>41</v>
      </c>
      <c r="K4259" s="9" t="n">
        <v>11</v>
      </c>
      <c r="L4259" s="9" t="n">
        <v>0</v>
      </c>
      <c r="M4259" s="9" t="n">
        <v>0</v>
      </c>
      <c r="N4259" s="9" t="s">
        <v>42</v>
      </c>
      <c r="O4259" s="9" t="s">
        <v>52</v>
      </c>
      <c r="P4259" s="9" t="n">
        <v>13.4</v>
      </c>
      <c r="Q4259" s="9" t="n">
        <v>30</v>
      </c>
      <c r="R4259" s="9" t="s">
        <v>53</v>
      </c>
      <c r="S4259" s="9"/>
      <c r="T4259" s="9"/>
      <c r="U4259" s="9" t="str">
        <f aca="false">IF(COUNTIF($A$2:$A$5001,A4259)&gt;1,"Duplicate","Unique")</f>
        <v>Unique</v>
      </c>
      <c r="V4259" s="9" t="str">
        <f aca="false">IF(COUNTIFS($B$2:$B$5001,B4259,$H$2:$H$5001,H4259,$J$2:$J$5001,J4259)&gt;1,"Possible Duplicate Booking","Unique")</f>
        <v>Unique</v>
      </c>
      <c r="W4259" s="9" t="str">
        <f aca="false">IF((H4259-G4259)&lt;&gt;K4259,"Mismatch","OK")</f>
        <v>OK</v>
      </c>
      <c r="X4259" s="9" t="str">
        <f aca="false">IF(TEXT(H4259,"dddd")&lt;&gt;I4259,"Mismatch","OK")</f>
        <v>OK</v>
      </c>
      <c r="Y4259" s="9" t="str">
        <f aca="false">IF(AND(N4259="No",O4259&lt;&gt;""),"Unexpected: channel present but no reminder sent",IF(AND(N4259="Yes",O4259=""),"Missing channel for sent reminder","OK"))</f>
        <v>OK</v>
      </c>
    </row>
    <row r="4260" customFormat="false" ht="15" hidden="false" customHeight="false" outlineLevel="0" collapsed="false">
      <c r="A4260" s="7" t="s">
        <v>5960</v>
      </c>
      <c r="B4260" s="7" t="s">
        <v>4255</v>
      </c>
      <c r="C4260" s="7" t="s">
        <v>37</v>
      </c>
      <c r="D4260" s="7" t="n">
        <v>45</v>
      </c>
      <c r="E4260" s="7" t="s">
        <v>56</v>
      </c>
      <c r="F4260" s="7" t="s">
        <v>57</v>
      </c>
      <c r="G4260" s="8" t="n">
        <v>45977</v>
      </c>
      <c r="H4260" s="8" t="n">
        <v>45987</v>
      </c>
      <c r="I4260" s="7" t="s">
        <v>58</v>
      </c>
      <c r="J4260" s="7" t="s">
        <v>41</v>
      </c>
      <c r="K4260" s="7" t="n">
        <v>10</v>
      </c>
      <c r="L4260" s="7" t="n">
        <v>2</v>
      </c>
      <c r="M4260" s="7" t="n">
        <v>0</v>
      </c>
      <c r="N4260" s="7" t="s">
        <v>42</v>
      </c>
      <c r="O4260" s="7" t="s">
        <v>43</v>
      </c>
      <c r="P4260" s="7" t="n">
        <v>1.3</v>
      </c>
      <c r="Q4260" s="7" t="n">
        <v>38</v>
      </c>
      <c r="R4260" s="7" t="s">
        <v>53</v>
      </c>
      <c r="S4260" s="7"/>
      <c r="T4260" s="7"/>
      <c r="U4260" s="7" t="str">
        <f aca="false">IF(COUNTIF($A$2:$A$5001,A4260)&gt;1,"Duplicate","Unique")</f>
        <v>Unique</v>
      </c>
      <c r="V4260" s="7" t="str">
        <f aca="false">IF(COUNTIFS($B$2:$B$5001,B4260,$H$2:$H$5001,H4260,$J$2:$J$5001,J4260)&gt;1,"Possible Duplicate Booking","Unique")</f>
        <v>Unique</v>
      </c>
      <c r="W4260" s="7" t="str">
        <f aca="false">IF((H4260-G4260)&lt;&gt;K4260,"Mismatch","OK")</f>
        <v>OK</v>
      </c>
      <c r="X4260" s="7" t="str">
        <f aca="false">IF(TEXT(H4260,"dddd")&lt;&gt;I4260,"Mismatch","OK")</f>
        <v>OK</v>
      </c>
      <c r="Y4260" s="7" t="str">
        <f aca="false">IF(AND(N4260="No",O4260&lt;&gt;""),"Unexpected: channel present but no reminder sent",IF(AND(N4260="Yes",O4260=""),"Missing channel for sent reminder","OK"))</f>
        <v>OK</v>
      </c>
    </row>
    <row r="4261" customFormat="false" ht="15" hidden="false" customHeight="false" outlineLevel="0" collapsed="false">
      <c r="A4261" s="9" t="s">
        <v>5961</v>
      </c>
      <c r="B4261" s="9" t="s">
        <v>1965</v>
      </c>
      <c r="C4261" s="9" t="s">
        <v>47</v>
      </c>
      <c r="D4261" s="9" t="n">
        <v>37</v>
      </c>
      <c r="E4261" s="9" t="s">
        <v>38</v>
      </c>
      <c r="F4261" s="9" t="s">
        <v>39</v>
      </c>
      <c r="G4261" s="10" t="n">
        <v>45655</v>
      </c>
      <c r="H4261" s="10" t="n">
        <v>45671</v>
      </c>
      <c r="I4261" s="9" t="s">
        <v>40</v>
      </c>
      <c r="J4261" s="9" t="s">
        <v>41</v>
      </c>
      <c r="K4261" s="9" t="n">
        <v>16</v>
      </c>
      <c r="L4261" s="9" t="n">
        <v>3</v>
      </c>
      <c r="M4261" s="9" t="n">
        <v>1</v>
      </c>
      <c r="N4261" s="9" t="s">
        <v>42</v>
      </c>
      <c r="O4261" s="9" t="s">
        <v>52</v>
      </c>
      <c r="P4261" s="9" t="n">
        <v>3.2</v>
      </c>
      <c r="Q4261" s="9" t="n">
        <v>2</v>
      </c>
      <c r="R4261" s="9" t="s">
        <v>53</v>
      </c>
      <c r="S4261" s="9"/>
      <c r="T4261" s="9"/>
      <c r="U4261" s="9" t="str">
        <f aca="false">IF(COUNTIF($A$2:$A$5001,A4261)&gt;1,"Duplicate","Unique")</f>
        <v>Unique</v>
      </c>
      <c r="V4261" s="9" t="str">
        <f aca="false">IF(COUNTIFS($B$2:$B$5001,B4261,$H$2:$H$5001,H4261,$J$2:$J$5001,J4261)&gt;1,"Possible Duplicate Booking","Unique")</f>
        <v>Unique</v>
      </c>
      <c r="W4261" s="9" t="str">
        <f aca="false">IF((H4261-G4261)&lt;&gt;K4261,"Mismatch","OK")</f>
        <v>OK</v>
      </c>
      <c r="X4261" s="9" t="str">
        <f aca="false">IF(TEXT(H4261,"dddd")&lt;&gt;I4261,"Mismatch","OK")</f>
        <v>OK</v>
      </c>
      <c r="Y4261" s="9" t="str">
        <f aca="false">IF(AND(N4261="No",O4261&lt;&gt;""),"Unexpected: channel present but no reminder sent",IF(AND(N4261="Yes",O4261=""),"Missing channel for sent reminder","OK"))</f>
        <v>OK</v>
      </c>
    </row>
    <row r="4262" customFormat="false" ht="15" hidden="false" customHeight="false" outlineLevel="0" collapsed="false">
      <c r="A4262" s="7" t="s">
        <v>5962</v>
      </c>
      <c r="B4262" s="7" t="s">
        <v>636</v>
      </c>
      <c r="C4262" s="7" t="s">
        <v>37</v>
      </c>
      <c r="D4262" s="7" t="n">
        <v>79</v>
      </c>
      <c r="E4262" s="7" t="s">
        <v>70</v>
      </c>
      <c r="F4262" s="7" t="s">
        <v>39</v>
      </c>
      <c r="G4262" s="8" t="n">
        <v>45759</v>
      </c>
      <c r="H4262" s="8" t="n">
        <v>45781</v>
      </c>
      <c r="I4262" s="7" t="s">
        <v>75</v>
      </c>
      <c r="J4262" s="7" t="s">
        <v>63</v>
      </c>
      <c r="K4262" s="7" t="n">
        <v>22</v>
      </c>
      <c r="L4262" s="7" t="n">
        <v>2</v>
      </c>
      <c r="M4262" s="7" t="n">
        <v>0</v>
      </c>
      <c r="N4262" s="7" t="s">
        <v>42</v>
      </c>
      <c r="O4262" s="7" t="s">
        <v>52</v>
      </c>
      <c r="P4262" s="7" t="n">
        <v>7.2</v>
      </c>
      <c r="Q4262" s="7" t="n">
        <v>42</v>
      </c>
      <c r="R4262" s="7" t="s">
        <v>44</v>
      </c>
      <c r="S4262" s="7"/>
      <c r="T4262" s="7"/>
      <c r="U4262" s="7" t="str">
        <f aca="false">IF(COUNTIF($A$2:$A$5001,A4262)&gt;1,"Duplicate","Unique")</f>
        <v>Unique</v>
      </c>
      <c r="V4262" s="7" t="str">
        <f aca="false">IF(COUNTIFS($B$2:$B$5001,B4262,$H$2:$H$5001,H4262,$J$2:$J$5001,J4262)&gt;1,"Possible Duplicate Booking","Unique")</f>
        <v>Unique</v>
      </c>
      <c r="W4262" s="7" t="str">
        <f aca="false">IF((H4262-G4262)&lt;&gt;K4262,"Mismatch","OK")</f>
        <v>OK</v>
      </c>
      <c r="X4262" s="7" t="str">
        <f aca="false">IF(TEXT(H4262,"dddd")&lt;&gt;I4262,"Mismatch","OK")</f>
        <v>OK</v>
      </c>
      <c r="Y4262" s="7" t="str">
        <f aca="false">IF(AND(N4262="No",O4262&lt;&gt;""),"Unexpected: channel present but no reminder sent",IF(AND(N4262="Yes",O4262=""),"Missing channel for sent reminder","OK"))</f>
        <v>OK</v>
      </c>
    </row>
    <row r="4263" customFormat="false" ht="15" hidden="false" customHeight="false" outlineLevel="0" collapsed="false">
      <c r="A4263" s="9" t="s">
        <v>5963</v>
      </c>
      <c r="B4263" s="9" t="s">
        <v>3881</v>
      </c>
      <c r="C4263" s="9" t="s">
        <v>47</v>
      </c>
      <c r="D4263" s="9" t="n">
        <v>46</v>
      </c>
      <c r="E4263" s="9" t="s">
        <v>56</v>
      </c>
      <c r="F4263" s="9" t="s">
        <v>39</v>
      </c>
      <c r="G4263" s="10" t="n">
        <v>45752</v>
      </c>
      <c r="H4263" s="10" t="n">
        <v>45768</v>
      </c>
      <c r="I4263" s="9" t="s">
        <v>66</v>
      </c>
      <c r="J4263" s="9" t="s">
        <v>41</v>
      </c>
      <c r="K4263" s="9" t="n">
        <v>16</v>
      </c>
      <c r="L4263" s="9" t="n">
        <v>7</v>
      </c>
      <c r="M4263" s="9" t="n">
        <v>0</v>
      </c>
      <c r="N4263" s="9" t="s">
        <v>71</v>
      </c>
      <c r="O4263" s="9"/>
      <c r="P4263" s="9" t="n">
        <v>9.1</v>
      </c>
      <c r="Q4263" s="9" t="n">
        <v>22</v>
      </c>
      <c r="R4263" s="9" t="s">
        <v>53</v>
      </c>
      <c r="S4263" s="9"/>
      <c r="T4263" s="9"/>
      <c r="U4263" s="9" t="str">
        <f aca="false">IF(COUNTIF($A$2:$A$5001,A4263)&gt;1,"Duplicate","Unique")</f>
        <v>Unique</v>
      </c>
      <c r="V4263" s="9" t="str">
        <f aca="false">IF(COUNTIFS($B$2:$B$5001,B4263,$H$2:$H$5001,H4263,$J$2:$J$5001,J4263)&gt;1,"Possible Duplicate Booking","Unique")</f>
        <v>Unique</v>
      </c>
      <c r="W4263" s="9" t="str">
        <f aca="false">IF((H4263-G4263)&lt;&gt;K4263,"Mismatch","OK")</f>
        <v>OK</v>
      </c>
      <c r="X4263" s="9" t="str">
        <f aca="false">IF(TEXT(H4263,"dddd")&lt;&gt;I4263,"Mismatch","OK")</f>
        <v>OK</v>
      </c>
      <c r="Y4263" s="9" t="str">
        <f aca="false">IF(AND(N4263="No",O4263&lt;&gt;""),"Unexpected: channel present but no reminder sent",IF(AND(N4263="Yes",O4263=""),"Missing channel for sent reminder","OK"))</f>
        <v>OK</v>
      </c>
    </row>
    <row r="4264" customFormat="false" ht="15" hidden="false" customHeight="false" outlineLevel="0" collapsed="false">
      <c r="A4264" s="7" t="s">
        <v>5964</v>
      </c>
      <c r="B4264" s="7" t="s">
        <v>3905</v>
      </c>
      <c r="C4264" s="7" t="s">
        <v>37</v>
      </c>
      <c r="D4264" s="7" t="n">
        <v>45</v>
      </c>
      <c r="E4264" s="7" t="s">
        <v>56</v>
      </c>
      <c r="F4264" s="7" t="s">
        <v>57</v>
      </c>
      <c r="G4264" s="8" t="n">
        <v>45808</v>
      </c>
      <c r="H4264" s="8" t="n">
        <v>45817</v>
      </c>
      <c r="I4264" s="7" t="s">
        <v>66</v>
      </c>
      <c r="J4264" s="7" t="s">
        <v>51</v>
      </c>
      <c r="K4264" s="7" t="n">
        <v>9</v>
      </c>
      <c r="L4264" s="7" t="n">
        <v>2</v>
      </c>
      <c r="M4264" s="7" t="n">
        <v>1</v>
      </c>
      <c r="N4264" s="7" t="s">
        <v>71</v>
      </c>
      <c r="O4264" s="7"/>
      <c r="P4264" s="7" t="n">
        <v>18.8</v>
      </c>
      <c r="Q4264" s="7" t="n">
        <v>28</v>
      </c>
      <c r="R4264" s="7" t="s">
        <v>44</v>
      </c>
      <c r="S4264" s="7"/>
      <c r="T4264" s="7"/>
      <c r="U4264" s="7" t="str">
        <f aca="false">IF(COUNTIF($A$2:$A$5001,A4264)&gt;1,"Duplicate","Unique")</f>
        <v>Unique</v>
      </c>
      <c r="V4264" s="7" t="str">
        <f aca="false">IF(COUNTIFS($B$2:$B$5001,B4264,$H$2:$H$5001,H4264,$J$2:$J$5001,J4264)&gt;1,"Possible Duplicate Booking","Unique")</f>
        <v>Unique</v>
      </c>
      <c r="W4264" s="7" t="str">
        <f aca="false">IF((H4264-G4264)&lt;&gt;K4264,"Mismatch","OK")</f>
        <v>OK</v>
      </c>
      <c r="X4264" s="7" t="str">
        <f aca="false">IF(TEXT(H4264,"dddd")&lt;&gt;I4264,"Mismatch","OK")</f>
        <v>OK</v>
      </c>
      <c r="Y4264" s="7" t="str">
        <f aca="false">IF(AND(N4264="No",O4264&lt;&gt;""),"Unexpected: channel present but no reminder sent",IF(AND(N4264="Yes",O4264=""),"Missing channel for sent reminder","OK"))</f>
        <v>OK</v>
      </c>
    </row>
    <row r="4265" customFormat="false" ht="15" hidden="false" customHeight="false" outlineLevel="0" collapsed="false">
      <c r="A4265" s="9" t="s">
        <v>5965</v>
      </c>
      <c r="B4265" s="9" t="s">
        <v>5203</v>
      </c>
      <c r="C4265" s="9" t="s">
        <v>37</v>
      </c>
      <c r="D4265" s="9" t="n">
        <v>59</v>
      </c>
      <c r="E4265" s="9" t="s">
        <v>61</v>
      </c>
      <c r="F4265" s="9" t="s">
        <v>57</v>
      </c>
      <c r="G4265" s="10" t="n">
        <v>46044</v>
      </c>
      <c r="H4265" s="10" t="n">
        <v>46071</v>
      </c>
      <c r="I4265" s="9" t="s">
        <v>58</v>
      </c>
      <c r="J4265" s="9" t="s">
        <v>51</v>
      </c>
      <c r="K4265" s="9" t="n">
        <v>27</v>
      </c>
      <c r="L4265" s="9" t="n">
        <v>2</v>
      </c>
      <c r="M4265" s="9" t="n">
        <v>0</v>
      </c>
      <c r="N4265" s="9" t="s">
        <v>42</v>
      </c>
      <c r="O4265" s="9" t="s">
        <v>52</v>
      </c>
      <c r="P4265" s="9" t="n">
        <v>15.4</v>
      </c>
      <c r="Q4265" s="9" t="n">
        <v>45</v>
      </c>
      <c r="R4265" s="9" t="s">
        <v>53</v>
      </c>
      <c r="S4265" s="9"/>
      <c r="T4265" s="9"/>
      <c r="U4265" s="9" t="str">
        <f aca="false">IF(COUNTIF($A$2:$A$5001,A4265)&gt;1,"Duplicate","Unique")</f>
        <v>Unique</v>
      </c>
      <c r="V4265" s="9" t="str">
        <f aca="false">IF(COUNTIFS($B$2:$B$5001,B4265,$H$2:$H$5001,H4265,$J$2:$J$5001,J4265)&gt;1,"Possible Duplicate Booking","Unique")</f>
        <v>Unique</v>
      </c>
      <c r="W4265" s="9" t="str">
        <f aca="false">IF((H4265-G4265)&lt;&gt;K4265,"Mismatch","OK")</f>
        <v>OK</v>
      </c>
      <c r="X4265" s="9" t="str">
        <f aca="false">IF(TEXT(H4265,"dddd")&lt;&gt;I4265,"Mismatch","OK")</f>
        <v>OK</v>
      </c>
      <c r="Y4265" s="9" t="str">
        <f aca="false">IF(AND(N4265="No",O4265&lt;&gt;""),"Unexpected: channel present but no reminder sent",IF(AND(N4265="Yes",O4265=""),"Missing channel for sent reminder","OK"))</f>
        <v>OK</v>
      </c>
    </row>
    <row r="4266" customFormat="false" ht="15" hidden="false" customHeight="false" outlineLevel="0" collapsed="false">
      <c r="A4266" s="7" t="s">
        <v>5966</v>
      </c>
      <c r="B4266" s="7" t="s">
        <v>2138</v>
      </c>
      <c r="C4266" s="7" t="s">
        <v>47</v>
      </c>
      <c r="D4266" s="7" t="n">
        <v>77</v>
      </c>
      <c r="E4266" s="7" t="s">
        <v>70</v>
      </c>
      <c r="F4266" s="7" t="s">
        <v>74</v>
      </c>
      <c r="G4266" s="8" t="n">
        <v>45947</v>
      </c>
      <c r="H4266" s="8" t="n">
        <v>45985</v>
      </c>
      <c r="I4266" s="7" t="s">
        <v>66</v>
      </c>
      <c r="J4266" s="7" t="s">
        <v>63</v>
      </c>
      <c r="K4266" s="7" t="n">
        <v>38</v>
      </c>
      <c r="L4266" s="7" t="n">
        <v>2</v>
      </c>
      <c r="M4266" s="7" t="n">
        <v>1</v>
      </c>
      <c r="N4266" s="7" t="s">
        <v>42</v>
      </c>
      <c r="O4266" s="7" t="s">
        <v>43</v>
      </c>
      <c r="P4266" s="7" t="n">
        <v>2.5</v>
      </c>
      <c r="Q4266" s="7" t="n">
        <v>35</v>
      </c>
      <c r="R4266" s="7" t="s">
        <v>44</v>
      </c>
      <c r="S4266" s="7"/>
      <c r="T4266" s="7"/>
      <c r="U4266" s="7" t="str">
        <f aca="false">IF(COUNTIF($A$2:$A$5001,A4266)&gt;1,"Duplicate","Unique")</f>
        <v>Unique</v>
      </c>
      <c r="V4266" s="7" t="str">
        <f aca="false">IF(COUNTIFS($B$2:$B$5001,B4266,$H$2:$H$5001,H4266,$J$2:$J$5001,J4266)&gt;1,"Possible Duplicate Booking","Unique")</f>
        <v>Unique</v>
      </c>
      <c r="W4266" s="7" t="str">
        <f aca="false">IF((H4266-G4266)&lt;&gt;K4266,"Mismatch","OK")</f>
        <v>OK</v>
      </c>
      <c r="X4266" s="7" t="str">
        <f aca="false">IF(TEXT(H4266,"dddd")&lt;&gt;I4266,"Mismatch","OK")</f>
        <v>OK</v>
      </c>
      <c r="Y4266" s="7" t="str">
        <f aca="false">IF(AND(N4266="No",O4266&lt;&gt;""),"Unexpected: channel present but no reminder sent",IF(AND(N4266="Yes",O4266=""),"Missing channel for sent reminder","OK"))</f>
        <v>OK</v>
      </c>
    </row>
    <row r="4267" customFormat="false" ht="15" hidden="false" customHeight="false" outlineLevel="0" collapsed="false">
      <c r="A4267" s="9" t="s">
        <v>5967</v>
      </c>
      <c r="B4267" s="9" t="s">
        <v>2669</v>
      </c>
      <c r="C4267" s="9" t="s">
        <v>37</v>
      </c>
      <c r="D4267" s="9" t="n">
        <v>26</v>
      </c>
      <c r="E4267" s="9" t="s">
        <v>48</v>
      </c>
      <c r="F4267" s="9" t="s">
        <v>57</v>
      </c>
      <c r="G4267" s="10" t="n">
        <v>46179</v>
      </c>
      <c r="H4267" s="10" t="n">
        <v>46198</v>
      </c>
      <c r="I4267" s="9" t="s">
        <v>62</v>
      </c>
      <c r="J4267" s="9" t="s">
        <v>63</v>
      </c>
      <c r="K4267" s="9" t="n">
        <v>19</v>
      </c>
      <c r="L4267" s="9" t="n">
        <v>5</v>
      </c>
      <c r="M4267" s="9" t="n">
        <v>2</v>
      </c>
      <c r="N4267" s="9" t="s">
        <v>42</v>
      </c>
      <c r="O4267" s="9" t="s">
        <v>43</v>
      </c>
      <c r="P4267" s="9" t="n">
        <v>9.8</v>
      </c>
      <c r="Q4267" s="9" t="n">
        <v>22</v>
      </c>
      <c r="R4267" s="9" t="s">
        <v>87</v>
      </c>
      <c r="S4267" s="9"/>
      <c r="T4267" s="9"/>
      <c r="U4267" s="9" t="str">
        <f aca="false">IF(COUNTIF($A$2:$A$5001,A4267)&gt;1,"Duplicate","Unique")</f>
        <v>Unique</v>
      </c>
      <c r="V4267" s="9" t="str">
        <f aca="false">IF(COUNTIFS($B$2:$B$5001,B4267,$H$2:$H$5001,H4267,$J$2:$J$5001,J4267)&gt;1,"Possible Duplicate Booking","Unique")</f>
        <v>Unique</v>
      </c>
      <c r="W4267" s="9" t="str">
        <f aca="false">IF((H4267-G4267)&lt;&gt;K4267,"Mismatch","OK")</f>
        <v>OK</v>
      </c>
      <c r="X4267" s="9" t="str">
        <f aca="false">IF(TEXT(H4267,"dddd")&lt;&gt;I4267,"Mismatch","OK")</f>
        <v>OK</v>
      </c>
      <c r="Y4267" s="9" t="str">
        <f aca="false">IF(AND(N4267="No",O4267&lt;&gt;""),"Unexpected: channel present but no reminder sent",IF(AND(N4267="Yes",O4267=""),"Missing channel for sent reminder","OK"))</f>
        <v>OK</v>
      </c>
    </row>
    <row r="4268" customFormat="false" ht="15" hidden="false" customHeight="false" outlineLevel="0" collapsed="false">
      <c r="A4268" s="7" t="s">
        <v>5968</v>
      </c>
      <c r="B4268" s="7" t="s">
        <v>5334</v>
      </c>
      <c r="C4268" s="7" t="s">
        <v>37</v>
      </c>
      <c r="D4268" s="7" t="n">
        <v>80</v>
      </c>
      <c r="E4268" s="7" t="s">
        <v>70</v>
      </c>
      <c r="F4268" s="7" t="s">
        <v>39</v>
      </c>
      <c r="G4268" s="8" t="n">
        <v>45817</v>
      </c>
      <c r="H4268" s="8" t="n">
        <v>45849</v>
      </c>
      <c r="I4268" s="7" t="s">
        <v>50</v>
      </c>
      <c r="J4268" s="7" t="s">
        <v>51</v>
      </c>
      <c r="K4268" s="7" t="n">
        <v>32</v>
      </c>
      <c r="L4268" s="7" t="n">
        <v>1</v>
      </c>
      <c r="M4268" s="7" t="n">
        <v>0</v>
      </c>
      <c r="N4268" s="7" t="s">
        <v>42</v>
      </c>
      <c r="O4268" s="7" t="s">
        <v>52</v>
      </c>
      <c r="P4268" s="7" t="n">
        <v>8.9</v>
      </c>
      <c r="Q4268" s="7" t="n">
        <v>18</v>
      </c>
      <c r="R4268" s="7" t="s">
        <v>44</v>
      </c>
      <c r="S4268" s="7"/>
      <c r="T4268" s="7"/>
      <c r="U4268" s="7" t="str">
        <f aca="false">IF(COUNTIF($A$2:$A$5001,A4268)&gt;1,"Duplicate","Unique")</f>
        <v>Unique</v>
      </c>
      <c r="V4268" s="7" t="str">
        <f aca="false">IF(COUNTIFS($B$2:$B$5001,B4268,$H$2:$H$5001,H4268,$J$2:$J$5001,J4268)&gt;1,"Possible Duplicate Booking","Unique")</f>
        <v>Unique</v>
      </c>
      <c r="W4268" s="7" t="str">
        <f aca="false">IF((H4268-G4268)&lt;&gt;K4268,"Mismatch","OK")</f>
        <v>OK</v>
      </c>
      <c r="X4268" s="7" t="str">
        <f aca="false">IF(TEXT(H4268,"dddd")&lt;&gt;I4268,"Mismatch","OK")</f>
        <v>OK</v>
      </c>
      <c r="Y4268" s="7" t="str">
        <f aca="false">IF(AND(N4268="No",O4268&lt;&gt;""),"Unexpected: channel present but no reminder sent",IF(AND(N4268="Yes",O4268=""),"Missing channel for sent reminder","OK"))</f>
        <v>OK</v>
      </c>
    </row>
    <row r="4269" customFormat="false" ht="15" hidden="false" customHeight="false" outlineLevel="0" collapsed="false">
      <c r="A4269" s="9" t="s">
        <v>5969</v>
      </c>
      <c r="B4269" s="9" t="s">
        <v>290</v>
      </c>
      <c r="C4269" s="9" t="s">
        <v>37</v>
      </c>
      <c r="D4269" s="9" t="n">
        <v>44</v>
      </c>
      <c r="E4269" s="9" t="s">
        <v>38</v>
      </c>
      <c r="F4269" s="9" t="s">
        <v>49</v>
      </c>
      <c r="G4269" s="10" t="n">
        <v>46148</v>
      </c>
      <c r="H4269" s="10" t="n">
        <v>46164</v>
      </c>
      <c r="I4269" s="9" t="s">
        <v>50</v>
      </c>
      <c r="J4269" s="9" t="s">
        <v>41</v>
      </c>
      <c r="K4269" s="9" t="n">
        <v>16</v>
      </c>
      <c r="L4269" s="9" t="n">
        <v>2</v>
      </c>
      <c r="M4269" s="9" t="n">
        <v>1</v>
      </c>
      <c r="N4269" s="9" t="s">
        <v>42</v>
      </c>
      <c r="O4269" s="9" t="s">
        <v>52</v>
      </c>
      <c r="P4269" s="9" t="n">
        <v>2</v>
      </c>
      <c r="Q4269" s="9" t="n">
        <v>19</v>
      </c>
      <c r="R4269" s="9" t="s">
        <v>53</v>
      </c>
      <c r="S4269" s="9"/>
      <c r="T4269" s="9"/>
      <c r="U4269" s="9" t="str">
        <f aca="false">IF(COUNTIF($A$2:$A$5001,A4269)&gt;1,"Duplicate","Unique")</f>
        <v>Unique</v>
      </c>
      <c r="V4269" s="9" t="str">
        <f aca="false">IF(COUNTIFS($B$2:$B$5001,B4269,$H$2:$H$5001,H4269,$J$2:$J$5001,J4269)&gt;1,"Possible Duplicate Booking","Unique")</f>
        <v>Unique</v>
      </c>
      <c r="W4269" s="9" t="str">
        <f aca="false">IF((H4269-G4269)&lt;&gt;K4269,"Mismatch","OK")</f>
        <v>OK</v>
      </c>
      <c r="X4269" s="9" t="str">
        <f aca="false">IF(TEXT(H4269,"dddd")&lt;&gt;I4269,"Mismatch","OK")</f>
        <v>OK</v>
      </c>
      <c r="Y4269" s="9" t="str">
        <f aca="false">IF(AND(N4269="No",O4269&lt;&gt;""),"Unexpected: channel present but no reminder sent",IF(AND(N4269="Yes",O4269=""),"Missing channel for sent reminder","OK"))</f>
        <v>OK</v>
      </c>
    </row>
    <row r="4270" customFormat="false" ht="15" hidden="false" customHeight="false" outlineLevel="0" collapsed="false">
      <c r="A4270" s="7" t="s">
        <v>5970</v>
      </c>
      <c r="B4270" s="7" t="s">
        <v>3080</v>
      </c>
      <c r="C4270" s="7" t="s">
        <v>236</v>
      </c>
      <c r="D4270" s="7" t="n">
        <v>19</v>
      </c>
      <c r="E4270" s="7" t="s">
        <v>82</v>
      </c>
      <c r="F4270" s="7" t="s">
        <v>57</v>
      </c>
      <c r="G4270" s="8" t="n">
        <v>45640</v>
      </c>
      <c r="H4270" s="8" t="n">
        <v>45682</v>
      </c>
      <c r="I4270" s="7" t="s">
        <v>102</v>
      </c>
      <c r="J4270" s="7" t="s">
        <v>51</v>
      </c>
      <c r="K4270" s="7" t="n">
        <v>42</v>
      </c>
      <c r="L4270" s="7" t="n">
        <v>3</v>
      </c>
      <c r="M4270" s="7" t="n">
        <v>0</v>
      </c>
      <c r="N4270" s="7" t="s">
        <v>42</v>
      </c>
      <c r="O4270" s="7" t="s">
        <v>52</v>
      </c>
      <c r="P4270" s="7" t="n">
        <v>11.4</v>
      </c>
      <c r="Q4270" s="7" t="n">
        <v>18</v>
      </c>
      <c r="R4270" s="7" t="s">
        <v>53</v>
      </c>
      <c r="S4270" s="7"/>
      <c r="T4270" s="7"/>
      <c r="U4270" s="7" t="str">
        <f aca="false">IF(COUNTIF($A$2:$A$5001,A4270)&gt;1,"Duplicate","Unique")</f>
        <v>Unique</v>
      </c>
      <c r="V4270" s="7" t="str">
        <f aca="false">IF(COUNTIFS($B$2:$B$5001,B4270,$H$2:$H$5001,H4270,$J$2:$J$5001,J4270)&gt;1,"Possible Duplicate Booking","Unique")</f>
        <v>Unique</v>
      </c>
      <c r="W4270" s="7" t="str">
        <f aca="false">IF((H4270-G4270)&lt;&gt;K4270,"Mismatch","OK")</f>
        <v>OK</v>
      </c>
      <c r="X4270" s="7" t="str">
        <f aca="false">IF(TEXT(H4270,"dddd")&lt;&gt;I4270,"Mismatch","OK")</f>
        <v>OK</v>
      </c>
      <c r="Y4270" s="7" t="str">
        <f aca="false">IF(AND(N4270="No",O4270&lt;&gt;""),"Unexpected: channel present but no reminder sent",IF(AND(N4270="Yes",O4270=""),"Missing channel for sent reminder","OK"))</f>
        <v>OK</v>
      </c>
    </row>
    <row r="4271" customFormat="false" ht="15" hidden="false" customHeight="false" outlineLevel="0" collapsed="false">
      <c r="A4271" s="9" t="s">
        <v>5971</v>
      </c>
      <c r="B4271" s="9" t="s">
        <v>5972</v>
      </c>
      <c r="C4271" s="9" t="s">
        <v>47</v>
      </c>
      <c r="D4271" s="9" t="n">
        <v>37</v>
      </c>
      <c r="E4271" s="9" t="s">
        <v>38</v>
      </c>
      <c r="F4271" s="9" t="s">
        <v>57</v>
      </c>
      <c r="G4271" s="10" t="n">
        <v>45894</v>
      </c>
      <c r="H4271" s="10" t="n">
        <v>45933</v>
      </c>
      <c r="I4271" s="9" t="s">
        <v>50</v>
      </c>
      <c r="J4271" s="9" t="s">
        <v>51</v>
      </c>
      <c r="K4271" s="9" t="n">
        <v>39</v>
      </c>
      <c r="L4271" s="9" t="n">
        <v>1</v>
      </c>
      <c r="M4271" s="9" t="n">
        <v>0</v>
      </c>
      <c r="N4271" s="9" t="s">
        <v>42</v>
      </c>
      <c r="O4271" s="9" t="s">
        <v>67</v>
      </c>
      <c r="P4271" s="9" t="n">
        <v>10</v>
      </c>
      <c r="Q4271" s="9" t="n">
        <v>38</v>
      </c>
      <c r="R4271" s="9" t="s">
        <v>53</v>
      </c>
      <c r="S4271" s="9"/>
      <c r="T4271" s="9"/>
      <c r="U4271" s="9" t="str">
        <f aca="false">IF(COUNTIF($A$2:$A$5001,A4271)&gt;1,"Duplicate","Unique")</f>
        <v>Unique</v>
      </c>
      <c r="V4271" s="9" t="str">
        <f aca="false">IF(COUNTIFS($B$2:$B$5001,B4271,$H$2:$H$5001,H4271,$J$2:$J$5001,J4271)&gt;1,"Possible Duplicate Booking","Unique")</f>
        <v>Unique</v>
      </c>
      <c r="W4271" s="9" t="str">
        <f aca="false">IF((H4271-G4271)&lt;&gt;K4271,"Mismatch","OK")</f>
        <v>OK</v>
      </c>
      <c r="X4271" s="9" t="str">
        <f aca="false">IF(TEXT(H4271,"dddd")&lt;&gt;I4271,"Mismatch","OK")</f>
        <v>OK</v>
      </c>
      <c r="Y4271" s="9" t="str">
        <f aca="false">IF(AND(N4271="No",O4271&lt;&gt;""),"Unexpected: channel present but no reminder sent",IF(AND(N4271="Yes",O4271=""),"Missing channel for sent reminder","OK"))</f>
        <v>OK</v>
      </c>
    </row>
    <row r="4272" customFormat="false" ht="15" hidden="false" customHeight="false" outlineLevel="0" collapsed="false">
      <c r="A4272" s="7" t="s">
        <v>5973</v>
      </c>
      <c r="B4272" s="7" t="s">
        <v>3616</v>
      </c>
      <c r="C4272" s="7" t="s">
        <v>236</v>
      </c>
      <c r="D4272" s="7" t="n">
        <v>47</v>
      </c>
      <c r="E4272" s="7" t="s">
        <v>56</v>
      </c>
      <c r="F4272" s="7" t="s">
        <v>57</v>
      </c>
      <c r="G4272" s="8" t="n">
        <v>46036</v>
      </c>
      <c r="H4272" s="8" t="n">
        <v>46094</v>
      </c>
      <c r="I4272" s="7" t="s">
        <v>50</v>
      </c>
      <c r="J4272" s="7" t="s">
        <v>63</v>
      </c>
      <c r="K4272" s="7" t="n">
        <v>58</v>
      </c>
      <c r="L4272" s="7" t="n">
        <v>6</v>
      </c>
      <c r="M4272" s="7" t="n">
        <v>1</v>
      </c>
      <c r="N4272" s="7" t="s">
        <v>71</v>
      </c>
      <c r="O4272" s="7"/>
      <c r="P4272" s="7" t="n">
        <v>15.6</v>
      </c>
      <c r="Q4272" s="7" t="n">
        <v>30</v>
      </c>
      <c r="R4272" s="7" t="s">
        <v>44</v>
      </c>
      <c r="S4272" s="7"/>
      <c r="T4272" s="7"/>
      <c r="U4272" s="7" t="str">
        <f aca="false">IF(COUNTIF($A$2:$A$5001,A4272)&gt;1,"Duplicate","Unique")</f>
        <v>Unique</v>
      </c>
      <c r="V4272" s="7" t="str">
        <f aca="false">IF(COUNTIFS($B$2:$B$5001,B4272,$H$2:$H$5001,H4272,$J$2:$J$5001,J4272)&gt;1,"Possible Duplicate Booking","Unique")</f>
        <v>Unique</v>
      </c>
      <c r="W4272" s="7" t="str">
        <f aca="false">IF((H4272-G4272)&lt;&gt;K4272,"Mismatch","OK")</f>
        <v>OK</v>
      </c>
      <c r="X4272" s="7" t="str">
        <f aca="false">IF(TEXT(H4272,"dddd")&lt;&gt;I4272,"Mismatch","OK")</f>
        <v>OK</v>
      </c>
      <c r="Y4272" s="7" t="str">
        <f aca="false">IF(AND(N4272="No",O4272&lt;&gt;""),"Unexpected: channel present but no reminder sent",IF(AND(N4272="Yes",O4272=""),"Missing channel for sent reminder","OK"))</f>
        <v>OK</v>
      </c>
    </row>
    <row r="4273" customFormat="false" ht="15" hidden="false" customHeight="false" outlineLevel="0" collapsed="false">
      <c r="A4273" s="9" t="s">
        <v>5974</v>
      </c>
      <c r="B4273" s="9" t="s">
        <v>2353</v>
      </c>
      <c r="C4273" s="9" t="s">
        <v>37</v>
      </c>
      <c r="D4273" s="9" t="n">
        <v>60</v>
      </c>
      <c r="E4273" s="9" t="s">
        <v>61</v>
      </c>
      <c r="F4273" s="9" t="s">
        <v>39</v>
      </c>
      <c r="G4273" s="10" t="n">
        <v>45945</v>
      </c>
      <c r="H4273" s="10" t="n">
        <v>45948</v>
      </c>
      <c r="I4273" s="9" t="s">
        <v>102</v>
      </c>
      <c r="J4273" s="9" t="s">
        <v>63</v>
      </c>
      <c r="K4273" s="9" t="n">
        <v>3</v>
      </c>
      <c r="L4273" s="9" t="n">
        <v>2</v>
      </c>
      <c r="M4273" s="9" t="n">
        <v>1</v>
      </c>
      <c r="N4273" s="9" t="s">
        <v>42</v>
      </c>
      <c r="O4273" s="9" t="s">
        <v>43</v>
      </c>
      <c r="P4273" s="9" t="n">
        <v>9.2</v>
      </c>
      <c r="Q4273" s="9" t="n">
        <v>26</v>
      </c>
      <c r="R4273" s="9" t="s">
        <v>53</v>
      </c>
      <c r="S4273" s="9"/>
      <c r="T4273" s="9"/>
      <c r="U4273" s="9" t="str">
        <f aca="false">IF(COUNTIF($A$2:$A$5001,A4273)&gt;1,"Duplicate","Unique")</f>
        <v>Unique</v>
      </c>
      <c r="V4273" s="9" t="str">
        <f aca="false">IF(COUNTIFS($B$2:$B$5001,B4273,$H$2:$H$5001,H4273,$J$2:$J$5001,J4273)&gt;1,"Possible Duplicate Booking","Unique")</f>
        <v>Unique</v>
      </c>
      <c r="W4273" s="9" t="str">
        <f aca="false">IF((H4273-G4273)&lt;&gt;K4273,"Mismatch","OK")</f>
        <v>OK</v>
      </c>
      <c r="X4273" s="9" t="str">
        <f aca="false">IF(TEXT(H4273,"dddd")&lt;&gt;I4273,"Mismatch","OK")</f>
        <v>OK</v>
      </c>
      <c r="Y4273" s="9" t="str">
        <f aca="false">IF(AND(N4273="No",O4273&lt;&gt;""),"Unexpected: channel present but no reminder sent",IF(AND(N4273="Yes",O4273=""),"Missing channel for sent reminder","OK"))</f>
        <v>OK</v>
      </c>
    </row>
    <row r="4274" customFormat="false" ht="15" hidden="false" customHeight="false" outlineLevel="0" collapsed="false">
      <c r="A4274" s="7" t="s">
        <v>5975</v>
      </c>
      <c r="B4274" s="7" t="s">
        <v>1151</v>
      </c>
      <c r="C4274" s="7" t="s">
        <v>37</v>
      </c>
      <c r="D4274" s="7" t="n">
        <v>53</v>
      </c>
      <c r="E4274" s="7" t="s">
        <v>56</v>
      </c>
      <c r="F4274" s="7" t="s">
        <v>57</v>
      </c>
      <c r="G4274" s="8" t="n">
        <v>46115</v>
      </c>
      <c r="H4274" s="8" t="n">
        <v>46167</v>
      </c>
      <c r="I4274" s="7" t="s">
        <v>66</v>
      </c>
      <c r="J4274" s="7" t="s">
        <v>63</v>
      </c>
      <c r="K4274" s="7" t="n">
        <v>52</v>
      </c>
      <c r="L4274" s="7" t="n">
        <v>5</v>
      </c>
      <c r="M4274" s="7" t="n">
        <v>1</v>
      </c>
      <c r="N4274" s="7" t="s">
        <v>42</v>
      </c>
      <c r="O4274" s="7" t="s">
        <v>52</v>
      </c>
      <c r="P4274" s="7" t="n">
        <v>4.7</v>
      </c>
      <c r="Q4274" s="7" t="n">
        <v>22</v>
      </c>
      <c r="R4274" s="7" t="s">
        <v>44</v>
      </c>
      <c r="S4274" s="7"/>
      <c r="T4274" s="7"/>
      <c r="U4274" s="7" t="str">
        <f aca="false">IF(COUNTIF($A$2:$A$5001,A4274)&gt;1,"Duplicate","Unique")</f>
        <v>Unique</v>
      </c>
      <c r="V4274" s="7" t="str">
        <f aca="false">IF(COUNTIFS($B$2:$B$5001,B4274,$H$2:$H$5001,H4274,$J$2:$J$5001,J4274)&gt;1,"Possible Duplicate Booking","Unique")</f>
        <v>Unique</v>
      </c>
      <c r="W4274" s="7" t="str">
        <f aca="false">IF((H4274-G4274)&lt;&gt;K4274,"Mismatch","OK")</f>
        <v>OK</v>
      </c>
      <c r="X4274" s="7" t="str">
        <f aca="false">IF(TEXT(H4274,"dddd")&lt;&gt;I4274,"Mismatch","OK")</f>
        <v>OK</v>
      </c>
      <c r="Y4274" s="7" t="str">
        <f aca="false">IF(AND(N4274="No",O4274&lt;&gt;""),"Unexpected: channel present but no reminder sent",IF(AND(N4274="Yes",O4274=""),"Missing channel for sent reminder","OK"))</f>
        <v>OK</v>
      </c>
    </row>
    <row r="4275" customFormat="false" ht="15" hidden="false" customHeight="false" outlineLevel="0" collapsed="false">
      <c r="A4275" s="9" t="s">
        <v>5976</v>
      </c>
      <c r="B4275" s="9" t="s">
        <v>184</v>
      </c>
      <c r="C4275" s="9" t="s">
        <v>37</v>
      </c>
      <c r="D4275" s="9" t="n">
        <v>26</v>
      </c>
      <c r="E4275" s="9" t="s">
        <v>48</v>
      </c>
      <c r="F4275" s="9" t="s">
        <v>39</v>
      </c>
      <c r="G4275" s="10" t="n">
        <v>45809</v>
      </c>
      <c r="H4275" s="10" t="n">
        <v>45829</v>
      </c>
      <c r="I4275" s="9" t="s">
        <v>102</v>
      </c>
      <c r="J4275" s="9" t="s">
        <v>51</v>
      </c>
      <c r="K4275" s="9" t="n">
        <v>20</v>
      </c>
      <c r="L4275" s="9" t="n">
        <v>4</v>
      </c>
      <c r="M4275" s="9" t="n">
        <v>0</v>
      </c>
      <c r="N4275" s="9" t="s">
        <v>42</v>
      </c>
      <c r="O4275" s="9" t="s">
        <v>43</v>
      </c>
      <c r="P4275" s="9" t="n">
        <v>9.2</v>
      </c>
      <c r="Q4275" s="9" t="n">
        <v>32</v>
      </c>
      <c r="R4275" s="9" t="s">
        <v>53</v>
      </c>
      <c r="S4275" s="9"/>
      <c r="T4275" s="9"/>
      <c r="U4275" s="9" t="str">
        <f aca="false">IF(COUNTIF($A$2:$A$5001,A4275)&gt;1,"Duplicate","Unique")</f>
        <v>Unique</v>
      </c>
      <c r="V4275" s="9" t="str">
        <f aca="false">IF(COUNTIFS($B$2:$B$5001,B4275,$H$2:$H$5001,H4275,$J$2:$J$5001,J4275)&gt;1,"Possible Duplicate Booking","Unique")</f>
        <v>Unique</v>
      </c>
      <c r="W4275" s="9" t="str">
        <f aca="false">IF((H4275-G4275)&lt;&gt;K4275,"Mismatch","OK")</f>
        <v>OK</v>
      </c>
      <c r="X4275" s="9" t="str">
        <f aca="false">IF(TEXT(H4275,"dddd")&lt;&gt;I4275,"Mismatch","OK")</f>
        <v>OK</v>
      </c>
      <c r="Y4275" s="9" t="str">
        <f aca="false">IF(AND(N4275="No",O4275&lt;&gt;""),"Unexpected: channel present but no reminder sent",IF(AND(N4275="Yes",O4275=""),"Missing channel for sent reminder","OK"))</f>
        <v>OK</v>
      </c>
    </row>
    <row r="4276" customFormat="false" ht="15" hidden="false" customHeight="false" outlineLevel="0" collapsed="false">
      <c r="A4276" s="7" t="s">
        <v>5977</v>
      </c>
      <c r="B4276" s="7" t="s">
        <v>5157</v>
      </c>
      <c r="C4276" s="7" t="s">
        <v>37</v>
      </c>
      <c r="D4276" s="7" t="n">
        <v>48</v>
      </c>
      <c r="E4276" s="7" t="s">
        <v>56</v>
      </c>
      <c r="F4276" s="7" t="s">
        <v>57</v>
      </c>
      <c r="G4276" s="8" t="n">
        <v>45672</v>
      </c>
      <c r="H4276" s="8" t="n">
        <v>45676</v>
      </c>
      <c r="I4276" s="7" t="s">
        <v>75</v>
      </c>
      <c r="J4276" s="7" t="s">
        <v>41</v>
      </c>
      <c r="K4276" s="7" t="n">
        <v>4</v>
      </c>
      <c r="L4276" s="7" t="n">
        <v>4</v>
      </c>
      <c r="M4276" s="7" t="n">
        <v>0</v>
      </c>
      <c r="N4276" s="7" t="s">
        <v>42</v>
      </c>
      <c r="O4276" s="7" t="s">
        <v>52</v>
      </c>
      <c r="P4276" s="7" t="n">
        <v>3.4</v>
      </c>
      <c r="Q4276" s="7" t="n">
        <v>3</v>
      </c>
      <c r="R4276" s="7" t="s">
        <v>53</v>
      </c>
      <c r="S4276" s="7"/>
      <c r="T4276" s="7"/>
      <c r="U4276" s="7" t="str">
        <f aca="false">IF(COUNTIF($A$2:$A$5001,A4276)&gt;1,"Duplicate","Unique")</f>
        <v>Unique</v>
      </c>
      <c r="V4276" s="7" t="str">
        <f aca="false">IF(COUNTIFS($B$2:$B$5001,B4276,$H$2:$H$5001,H4276,$J$2:$J$5001,J4276)&gt;1,"Possible Duplicate Booking","Unique")</f>
        <v>Unique</v>
      </c>
      <c r="W4276" s="7" t="str">
        <f aca="false">IF((H4276-G4276)&lt;&gt;K4276,"Mismatch","OK")</f>
        <v>OK</v>
      </c>
      <c r="X4276" s="7" t="str">
        <f aca="false">IF(TEXT(H4276,"dddd")&lt;&gt;I4276,"Mismatch","OK")</f>
        <v>OK</v>
      </c>
      <c r="Y4276" s="7" t="str">
        <f aca="false">IF(AND(N4276="No",O4276&lt;&gt;""),"Unexpected: channel present but no reminder sent",IF(AND(N4276="Yes",O4276=""),"Missing channel for sent reminder","OK"))</f>
        <v>OK</v>
      </c>
    </row>
    <row r="4277" customFormat="false" ht="15" hidden="false" customHeight="false" outlineLevel="0" collapsed="false">
      <c r="A4277" s="9" t="s">
        <v>5978</v>
      </c>
      <c r="B4277" s="9" t="s">
        <v>927</v>
      </c>
      <c r="C4277" s="9" t="s">
        <v>37</v>
      </c>
      <c r="D4277" s="9" t="n">
        <v>32</v>
      </c>
      <c r="E4277" s="9" t="s">
        <v>48</v>
      </c>
      <c r="F4277" s="9" t="s">
        <v>57</v>
      </c>
      <c r="G4277" s="10" t="n">
        <v>46038</v>
      </c>
      <c r="H4277" s="10" t="n">
        <v>46080</v>
      </c>
      <c r="I4277" s="9" t="s">
        <v>50</v>
      </c>
      <c r="J4277" s="9" t="s">
        <v>63</v>
      </c>
      <c r="K4277" s="9" t="n">
        <v>42</v>
      </c>
      <c r="L4277" s="9" t="n">
        <v>0</v>
      </c>
      <c r="M4277" s="9" t="n">
        <v>0</v>
      </c>
      <c r="N4277" s="9" t="s">
        <v>42</v>
      </c>
      <c r="O4277" s="9" t="s">
        <v>43</v>
      </c>
      <c r="P4277" s="9" t="n">
        <v>7.3</v>
      </c>
      <c r="Q4277" s="9" t="n">
        <v>44</v>
      </c>
      <c r="R4277" s="9" t="s">
        <v>44</v>
      </c>
      <c r="S4277" s="9"/>
      <c r="T4277" s="9"/>
      <c r="U4277" s="9" t="str">
        <f aca="false">IF(COUNTIF($A$2:$A$5001,A4277)&gt;1,"Duplicate","Unique")</f>
        <v>Unique</v>
      </c>
      <c r="V4277" s="9" t="str">
        <f aca="false">IF(COUNTIFS($B$2:$B$5001,B4277,$H$2:$H$5001,H4277,$J$2:$J$5001,J4277)&gt;1,"Possible Duplicate Booking","Unique")</f>
        <v>Unique</v>
      </c>
      <c r="W4277" s="9" t="str">
        <f aca="false">IF((H4277-G4277)&lt;&gt;K4277,"Mismatch","OK")</f>
        <v>OK</v>
      </c>
      <c r="X4277" s="9" t="str">
        <f aca="false">IF(TEXT(H4277,"dddd")&lt;&gt;I4277,"Mismatch","OK")</f>
        <v>OK</v>
      </c>
      <c r="Y4277" s="9" t="str">
        <f aca="false">IF(AND(N4277="No",O4277&lt;&gt;""),"Unexpected: channel present but no reminder sent",IF(AND(N4277="Yes",O4277=""),"Missing channel for sent reminder","OK"))</f>
        <v>OK</v>
      </c>
    </row>
    <row r="4278" customFormat="false" ht="15" hidden="false" customHeight="false" outlineLevel="0" collapsed="false">
      <c r="A4278" s="7" t="s">
        <v>5979</v>
      </c>
      <c r="B4278" s="7" t="s">
        <v>3339</v>
      </c>
      <c r="C4278" s="7" t="s">
        <v>37</v>
      </c>
      <c r="D4278" s="7" t="n">
        <v>34</v>
      </c>
      <c r="E4278" s="7" t="s">
        <v>48</v>
      </c>
      <c r="F4278" s="7" t="s">
        <v>57</v>
      </c>
      <c r="G4278" s="8" t="n">
        <v>45685</v>
      </c>
      <c r="H4278" s="8" t="n">
        <v>45695</v>
      </c>
      <c r="I4278" s="7" t="s">
        <v>50</v>
      </c>
      <c r="J4278" s="7" t="s">
        <v>41</v>
      </c>
      <c r="K4278" s="7" t="n">
        <v>10</v>
      </c>
      <c r="L4278" s="7" t="n">
        <v>3</v>
      </c>
      <c r="M4278" s="7" t="n">
        <v>0</v>
      </c>
      <c r="N4278" s="7" t="s">
        <v>71</v>
      </c>
      <c r="O4278" s="7"/>
      <c r="P4278" s="7" t="n">
        <v>4.3</v>
      </c>
      <c r="Q4278" s="7" t="n">
        <v>21</v>
      </c>
      <c r="R4278" s="7" t="s">
        <v>53</v>
      </c>
      <c r="S4278" s="7"/>
      <c r="T4278" s="7"/>
      <c r="U4278" s="7" t="str">
        <f aca="false">IF(COUNTIF($A$2:$A$5001,A4278)&gt;1,"Duplicate","Unique")</f>
        <v>Unique</v>
      </c>
      <c r="V4278" s="7" t="str">
        <f aca="false">IF(COUNTIFS($B$2:$B$5001,B4278,$H$2:$H$5001,H4278,$J$2:$J$5001,J4278)&gt;1,"Possible Duplicate Booking","Unique")</f>
        <v>Unique</v>
      </c>
      <c r="W4278" s="7" t="str">
        <f aca="false">IF((H4278-G4278)&lt;&gt;K4278,"Mismatch","OK")</f>
        <v>OK</v>
      </c>
      <c r="X4278" s="7" t="str">
        <f aca="false">IF(TEXT(H4278,"dddd")&lt;&gt;I4278,"Mismatch","OK")</f>
        <v>OK</v>
      </c>
      <c r="Y4278" s="7" t="str">
        <f aca="false">IF(AND(N4278="No",O4278&lt;&gt;""),"Unexpected: channel present but no reminder sent",IF(AND(N4278="Yes",O4278=""),"Missing channel for sent reminder","OK"))</f>
        <v>OK</v>
      </c>
    </row>
    <row r="4279" customFormat="false" ht="15" hidden="false" customHeight="false" outlineLevel="0" collapsed="false">
      <c r="A4279" s="9" t="s">
        <v>5980</v>
      </c>
      <c r="B4279" s="9" t="s">
        <v>779</v>
      </c>
      <c r="C4279" s="9" t="s">
        <v>37</v>
      </c>
      <c r="D4279" s="9" t="n">
        <v>62</v>
      </c>
      <c r="E4279" s="9" t="s">
        <v>61</v>
      </c>
      <c r="F4279" s="9" t="s">
        <v>57</v>
      </c>
      <c r="G4279" s="10" t="n">
        <v>46065</v>
      </c>
      <c r="H4279" s="10" t="n">
        <v>46075</v>
      </c>
      <c r="I4279" s="9" t="s">
        <v>75</v>
      </c>
      <c r="J4279" s="9" t="s">
        <v>51</v>
      </c>
      <c r="K4279" s="9" t="n">
        <v>10</v>
      </c>
      <c r="L4279" s="9" t="n">
        <v>4</v>
      </c>
      <c r="M4279" s="9" t="n">
        <v>0</v>
      </c>
      <c r="N4279" s="9" t="s">
        <v>42</v>
      </c>
      <c r="O4279" s="9" t="s">
        <v>67</v>
      </c>
      <c r="P4279" s="9" t="n">
        <v>18.5</v>
      </c>
      <c r="Q4279" s="9" t="n">
        <v>14</v>
      </c>
      <c r="R4279" s="9" t="s">
        <v>53</v>
      </c>
      <c r="S4279" s="9"/>
      <c r="T4279" s="9"/>
      <c r="U4279" s="9" t="str">
        <f aca="false">IF(COUNTIF($A$2:$A$5001,A4279)&gt;1,"Duplicate","Unique")</f>
        <v>Unique</v>
      </c>
      <c r="V4279" s="9" t="str">
        <f aca="false">IF(COUNTIFS($B$2:$B$5001,B4279,$H$2:$H$5001,H4279,$J$2:$J$5001,J4279)&gt;1,"Possible Duplicate Booking","Unique")</f>
        <v>Unique</v>
      </c>
      <c r="W4279" s="9" t="str">
        <f aca="false">IF((H4279-G4279)&lt;&gt;K4279,"Mismatch","OK")</f>
        <v>OK</v>
      </c>
      <c r="X4279" s="9" t="str">
        <f aca="false">IF(TEXT(H4279,"dddd")&lt;&gt;I4279,"Mismatch","OK")</f>
        <v>OK</v>
      </c>
      <c r="Y4279" s="9" t="str">
        <f aca="false">IF(AND(N4279="No",O4279&lt;&gt;""),"Unexpected: channel present but no reminder sent",IF(AND(N4279="Yes",O4279=""),"Missing channel for sent reminder","OK"))</f>
        <v>OK</v>
      </c>
    </row>
    <row r="4280" customFormat="false" ht="15" hidden="false" customHeight="false" outlineLevel="0" collapsed="false">
      <c r="A4280" s="7" t="s">
        <v>5981</v>
      </c>
      <c r="B4280" s="7" t="s">
        <v>3978</v>
      </c>
      <c r="C4280" s="7" t="s">
        <v>47</v>
      </c>
      <c r="D4280" s="7" t="n">
        <v>68</v>
      </c>
      <c r="E4280" s="7" t="s">
        <v>70</v>
      </c>
      <c r="F4280" s="7" t="s">
        <v>57</v>
      </c>
      <c r="G4280" s="8" t="n">
        <v>45999</v>
      </c>
      <c r="H4280" s="8" t="n">
        <v>46058</v>
      </c>
      <c r="I4280" s="7" t="s">
        <v>62</v>
      </c>
      <c r="J4280" s="7" t="s">
        <v>41</v>
      </c>
      <c r="K4280" s="7" t="n">
        <v>59</v>
      </c>
      <c r="L4280" s="7" t="n">
        <v>7</v>
      </c>
      <c r="M4280" s="7" t="n">
        <v>2</v>
      </c>
      <c r="N4280" s="7" t="s">
        <v>42</v>
      </c>
      <c r="O4280" s="7" t="s">
        <v>52</v>
      </c>
      <c r="P4280" s="7" t="n">
        <v>8</v>
      </c>
      <c r="Q4280" s="7" t="n">
        <v>37</v>
      </c>
      <c r="R4280" s="7" t="s">
        <v>44</v>
      </c>
      <c r="S4280" s="7"/>
      <c r="T4280" s="7"/>
      <c r="U4280" s="7" t="str">
        <f aca="false">IF(COUNTIF($A$2:$A$5001,A4280)&gt;1,"Duplicate","Unique")</f>
        <v>Unique</v>
      </c>
      <c r="V4280" s="7" t="str">
        <f aca="false">IF(COUNTIFS($B$2:$B$5001,B4280,$H$2:$H$5001,H4280,$J$2:$J$5001,J4280)&gt;1,"Possible Duplicate Booking","Unique")</f>
        <v>Unique</v>
      </c>
      <c r="W4280" s="7" t="str">
        <f aca="false">IF((H4280-G4280)&lt;&gt;K4280,"Mismatch","OK")</f>
        <v>OK</v>
      </c>
      <c r="X4280" s="7" t="str">
        <f aca="false">IF(TEXT(H4280,"dddd")&lt;&gt;I4280,"Mismatch","OK")</f>
        <v>OK</v>
      </c>
      <c r="Y4280" s="7" t="str">
        <f aca="false">IF(AND(N4280="No",O4280&lt;&gt;""),"Unexpected: channel present but no reminder sent",IF(AND(N4280="Yes",O4280=""),"Missing channel for sent reminder","OK"))</f>
        <v>OK</v>
      </c>
    </row>
    <row r="4281" customFormat="false" ht="15" hidden="false" customHeight="false" outlineLevel="0" collapsed="false">
      <c r="A4281" s="9" t="s">
        <v>5982</v>
      </c>
      <c r="B4281" s="9" t="s">
        <v>4595</v>
      </c>
      <c r="C4281" s="9" t="s">
        <v>37</v>
      </c>
      <c r="D4281" s="9" t="n">
        <v>27</v>
      </c>
      <c r="E4281" s="9" t="s">
        <v>48</v>
      </c>
      <c r="F4281" s="9" t="s">
        <v>74</v>
      </c>
      <c r="G4281" s="10" t="n">
        <v>46105</v>
      </c>
      <c r="H4281" s="10" t="n">
        <v>46118</v>
      </c>
      <c r="I4281" s="9" t="s">
        <v>66</v>
      </c>
      <c r="J4281" s="9" t="s">
        <v>51</v>
      </c>
      <c r="K4281" s="9" t="n">
        <v>13</v>
      </c>
      <c r="L4281" s="9" t="n">
        <v>4</v>
      </c>
      <c r="M4281" s="9" t="n">
        <v>1</v>
      </c>
      <c r="N4281" s="9" t="s">
        <v>42</v>
      </c>
      <c r="O4281" s="9" t="s">
        <v>52</v>
      </c>
      <c r="P4281" s="9" t="n">
        <v>4.3</v>
      </c>
      <c r="Q4281" s="9" t="n">
        <v>36</v>
      </c>
      <c r="R4281" s="9" t="s">
        <v>53</v>
      </c>
      <c r="S4281" s="9"/>
      <c r="T4281" s="9"/>
      <c r="U4281" s="9" t="str">
        <f aca="false">IF(COUNTIF($A$2:$A$5001,A4281)&gt;1,"Duplicate","Unique")</f>
        <v>Unique</v>
      </c>
      <c r="V4281" s="9" t="str">
        <f aca="false">IF(COUNTIFS($B$2:$B$5001,B4281,$H$2:$H$5001,H4281,$J$2:$J$5001,J4281)&gt;1,"Possible Duplicate Booking","Unique")</f>
        <v>Unique</v>
      </c>
      <c r="W4281" s="9" t="str">
        <f aca="false">IF((H4281-G4281)&lt;&gt;K4281,"Mismatch","OK")</f>
        <v>OK</v>
      </c>
      <c r="X4281" s="9" t="str">
        <f aca="false">IF(TEXT(H4281,"dddd")&lt;&gt;I4281,"Mismatch","OK")</f>
        <v>OK</v>
      </c>
      <c r="Y4281" s="9" t="str">
        <f aca="false">IF(AND(N4281="No",O4281&lt;&gt;""),"Unexpected: channel present but no reminder sent",IF(AND(N4281="Yes",O4281=""),"Missing channel for sent reminder","OK"))</f>
        <v>OK</v>
      </c>
    </row>
    <row r="4282" customFormat="false" ht="15" hidden="false" customHeight="false" outlineLevel="0" collapsed="false">
      <c r="A4282" s="7" t="s">
        <v>5983</v>
      </c>
      <c r="B4282" s="7" t="s">
        <v>3830</v>
      </c>
      <c r="C4282" s="7" t="s">
        <v>47</v>
      </c>
      <c r="D4282" s="7" t="n">
        <v>55</v>
      </c>
      <c r="E4282" s="7" t="s">
        <v>61</v>
      </c>
      <c r="F4282" s="7" t="s">
        <v>57</v>
      </c>
      <c r="G4282" s="8" t="n">
        <v>45886</v>
      </c>
      <c r="H4282" s="8" t="n">
        <v>45919</v>
      </c>
      <c r="I4282" s="7" t="s">
        <v>50</v>
      </c>
      <c r="J4282" s="7" t="s">
        <v>41</v>
      </c>
      <c r="K4282" s="7" t="n">
        <v>33</v>
      </c>
      <c r="L4282" s="7" t="n">
        <v>4</v>
      </c>
      <c r="M4282" s="7" t="n">
        <v>0</v>
      </c>
      <c r="N4282" s="7" t="s">
        <v>42</v>
      </c>
      <c r="O4282" s="7" t="s">
        <v>67</v>
      </c>
      <c r="P4282" s="7" t="n">
        <v>21.6</v>
      </c>
      <c r="Q4282" s="7" t="n">
        <v>23</v>
      </c>
      <c r="R4282" s="7" t="s">
        <v>44</v>
      </c>
      <c r="S4282" s="7"/>
      <c r="T4282" s="7"/>
      <c r="U4282" s="7" t="str">
        <f aca="false">IF(COUNTIF($A$2:$A$5001,A4282)&gt;1,"Duplicate","Unique")</f>
        <v>Unique</v>
      </c>
      <c r="V4282" s="7" t="str">
        <f aca="false">IF(COUNTIFS($B$2:$B$5001,B4282,$H$2:$H$5001,H4282,$J$2:$J$5001,J4282)&gt;1,"Possible Duplicate Booking","Unique")</f>
        <v>Unique</v>
      </c>
      <c r="W4282" s="7" t="str">
        <f aca="false">IF((H4282-G4282)&lt;&gt;K4282,"Mismatch","OK")</f>
        <v>OK</v>
      </c>
      <c r="X4282" s="7" t="str">
        <f aca="false">IF(TEXT(H4282,"dddd")&lt;&gt;I4282,"Mismatch","OK")</f>
        <v>OK</v>
      </c>
      <c r="Y4282" s="7" t="str">
        <f aca="false">IF(AND(N4282="No",O4282&lt;&gt;""),"Unexpected: channel present but no reminder sent",IF(AND(N4282="Yes",O4282=""),"Missing channel for sent reminder","OK"))</f>
        <v>OK</v>
      </c>
    </row>
    <row r="4283" customFormat="false" ht="15" hidden="false" customHeight="false" outlineLevel="0" collapsed="false">
      <c r="A4283" s="9" t="s">
        <v>5984</v>
      </c>
      <c r="B4283" s="9" t="s">
        <v>527</v>
      </c>
      <c r="C4283" s="9" t="s">
        <v>37</v>
      </c>
      <c r="D4283" s="9" t="n">
        <v>44</v>
      </c>
      <c r="E4283" s="9" t="s">
        <v>38</v>
      </c>
      <c r="F4283" s="9" t="s">
        <v>39</v>
      </c>
      <c r="G4283" s="10" t="n">
        <v>46134</v>
      </c>
      <c r="H4283" s="10" t="n">
        <v>46146</v>
      </c>
      <c r="I4283" s="9" t="s">
        <v>66</v>
      </c>
      <c r="J4283" s="9" t="s">
        <v>41</v>
      </c>
      <c r="K4283" s="9" t="n">
        <v>12</v>
      </c>
      <c r="L4283" s="9" t="n">
        <v>1</v>
      </c>
      <c r="M4283" s="9" t="n">
        <v>0</v>
      </c>
      <c r="N4283" s="9" t="s">
        <v>42</v>
      </c>
      <c r="O4283" s="9" t="s">
        <v>52</v>
      </c>
      <c r="P4283" s="9" t="n">
        <v>8.5</v>
      </c>
      <c r="Q4283" s="9"/>
      <c r="R4283" s="9" t="s">
        <v>44</v>
      </c>
      <c r="S4283" s="9"/>
      <c r="T4283" s="9"/>
      <c r="U4283" s="9" t="str">
        <f aca="false">IF(COUNTIF($A$2:$A$5001,A4283)&gt;1,"Duplicate","Unique")</f>
        <v>Unique</v>
      </c>
      <c r="V4283" s="9" t="str">
        <f aca="false">IF(COUNTIFS($B$2:$B$5001,B4283,$H$2:$H$5001,H4283,$J$2:$J$5001,J4283)&gt;1,"Possible Duplicate Booking","Unique")</f>
        <v>Unique</v>
      </c>
      <c r="W4283" s="9" t="str">
        <f aca="false">IF((H4283-G4283)&lt;&gt;K4283,"Mismatch","OK")</f>
        <v>OK</v>
      </c>
      <c r="X4283" s="9" t="str">
        <f aca="false">IF(TEXT(H4283,"dddd")&lt;&gt;I4283,"Mismatch","OK")</f>
        <v>OK</v>
      </c>
      <c r="Y4283" s="9" t="str">
        <f aca="false">IF(AND(N4283="No",O4283&lt;&gt;""),"Unexpected: channel present but no reminder sent",IF(AND(N4283="Yes",O4283=""),"Missing channel for sent reminder","OK"))</f>
        <v>OK</v>
      </c>
    </row>
    <row r="4284" customFormat="false" ht="15" hidden="false" customHeight="false" outlineLevel="0" collapsed="false">
      <c r="A4284" s="7" t="s">
        <v>5985</v>
      </c>
      <c r="B4284" s="7" t="s">
        <v>1986</v>
      </c>
      <c r="C4284" s="7" t="s">
        <v>47</v>
      </c>
      <c r="D4284" s="7" t="n">
        <v>39</v>
      </c>
      <c r="E4284" s="7" t="s">
        <v>38</v>
      </c>
      <c r="F4284" s="7" t="s">
        <v>39</v>
      </c>
      <c r="G4284" s="8" t="n">
        <v>45743</v>
      </c>
      <c r="H4284" s="8" t="n">
        <v>45750</v>
      </c>
      <c r="I4284" s="7" t="s">
        <v>62</v>
      </c>
      <c r="J4284" s="7" t="s">
        <v>51</v>
      </c>
      <c r="K4284" s="7" t="n">
        <v>7</v>
      </c>
      <c r="L4284" s="7" t="n">
        <v>2</v>
      </c>
      <c r="M4284" s="7" t="n">
        <v>1</v>
      </c>
      <c r="N4284" s="7" t="s">
        <v>71</v>
      </c>
      <c r="O4284" s="7"/>
      <c r="P4284" s="7" t="n">
        <v>5</v>
      </c>
      <c r="Q4284" s="7" t="n">
        <v>35</v>
      </c>
      <c r="R4284" s="7" t="s">
        <v>44</v>
      </c>
      <c r="S4284" s="7"/>
      <c r="T4284" s="7"/>
      <c r="U4284" s="7" t="str">
        <f aca="false">IF(COUNTIF($A$2:$A$5001,A4284)&gt;1,"Duplicate","Unique")</f>
        <v>Unique</v>
      </c>
      <c r="V4284" s="7" t="str">
        <f aca="false">IF(COUNTIFS($B$2:$B$5001,B4284,$H$2:$H$5001,H4284,$J$2:$J$5001,J4284)&gt;1,"Possible Duplicate Booking","Unique")</f>
        <v>Unique</v>
      </c>
      <c r="W4284" s="7" t="str">
        <f aca="false">IF((H4284-G4284)&lt;&gt;K4284,"Mismatch","OK")</f>
        <v>OK</v>
      </c>
      <c r="X4284" s="7" t="str">
        <f aca="false">IF(TEXT(H4284,"dddd")&lt;&gt;I4284,"Mismatch","OK")</f>
        <v>OK</v>
      </c>
      <c r="Y4284" s="7" t="str">
        <f aca="false">IF(AND(N4284="No",O4284&lt;&gt;""),"Unexpected: channel present but no reminder sent",IF(AND(N4284="Yes",O4284=""),"Missing channel for sent reminder","OK"))</f>
        <v>OK</v>
      </c>
    </row>
    <row r="4285" customFormat="false" ht="15" hidden="false" customHeight="false" outlineLevel="0" collapsed="false">
      <c r="A4285" s="9" t="s">
        <v>5986</v>
      </c>
      <c r="B4285" s="9" t="s">
        <v>3553</v>
      </c>
      <c r="C4285" s="9" t="s">
        <v>47</v>
      </c>
      <c r="D4285" s="9" t="n">
        <v>62</v>
      </c>
      <c r="E4285" s="9" t="s">
        <v>61</v>
      </c>
      <c r="F4285" s="9" t="s">
        <v>39</v>
      </c>
      <c r="G4285" s="10" t="n">
        <v>45895</v>
      </c>
      <c r="H4285" s="10" t="n">
        <v>45895</v>
      </c>
      <c r="I4285" s="9" t="s">
        <v>40</v>
      </c>
      <c r="J4285" s="9" t="s">
        <v>51</v>
      </c>
      <c r="K4285" s="9" t="n">
        <v>0</v>
      </c>
      <c r="L4285" s="9" t="n">
        <v>2</v>
      </c>
      <c r="M4285" s="9" t="n">
        <v>1</v>
      </c>
      <c r="N4285" s="9" t="s">
        <v>42</v>
      </c>
      <c r="O4285" s="9" t="s">
        <v>67</v>
      </c>
      <c r="P4285" s="9" t="n">
        <v>6.7</v>
      </c>
      <c r="Q4285" s="9" t="n">
        <v>28</v>
      </c>
      <c r="R4285" s="9" t="s">
        <v>44</v>
      </c>
      <c r="S4285" s="9"/>
      <c r="T4285" s="9"/>
      <c r="U4285" s="9" t="str">
        <f aca="false">IF(COUNTIF($A$2:$A$5001,A4285)&gt;1,"Duplicate","Unique")</f>
        <v>Unique</v>
      </c>
      <c r="V4285" s="9" t="str">
        <f aca="false">IF(COUNTIFS($B$2:$B$5001,B4285,$H$2:$H$5001,H4285,$J$2:$J$5001,J4285)&gt;1,"Possible Duplicate Booking","Unique")</f>
        <v>Unique</v>
      </c>
      <c r="W4285" s="9" t="str">
        <f aca="false">IF((H4285-G4285)&lt;&gt;K4285,"Mismatch","OK")</f>
        <v>OK</v>
      </c>
      <c r="X4285" s="9" t="str">
        <f aca="false">IF(TEXT(H4285,"dddd")&lt;&gt;I4285,"Mismatch","OK")</f>
        <v>OK</v>
      </c>
      <c r="Y4285" s="9" t="str">
        <f aca="false">IF(AND(N4285="No",O4285&lt;&gt;""),"Unexpected: channel present but no reminder sent",IF(AND(N4285="Yes",O4285=""),"Missing channel for sent reminder","OK"))</f>
        <v>OK</v>
      </c>
    </row>
    <row r="4286" customFormat="false" ht="15" hidden="false" customHeight="false" outlineLevel="0" collapsed="false">
      <c r="A4286" s="7" t="s">
        <v>5987</v>
      </c>
      <c r="B4286" s="7" t="s">
        <v>3720</v>
      </c>
      <c r="C4286" s="7" t="s">
        <v>47</v>
      </c>
      <c r="D4286" s="7" t="n">
        <v>33</v>
      </c>
      <c r="E4286" s="7" t="s">
        <v>48</v>
      </c>
      <c r="F4286" s="7" t="s">
        <v>39</v>
      </c>
      <c r="G4286" s="8" t="n">
        <v>45724</v>
      </c>
      <c r="H4286" s="8" t="n">
        <v>45724</v>
      </c>
      <c r="I4286" s="7" t="s">
        <v>102</v>
      </c>
      <c r="J4286" s="7" t="s">
        <v>41</v>
      </c>
      <c r="K4286" s="7" t="n">
        <v>0</v>
      </c>
      <c r="L4286" s="7" t="n">
        <v>8</v>
      </c>
      <c r="M4286" s="7" t="n">
        <v>1</v>
      </c>
      <c r="N4286" s="7" t="s">
        <v>42</v>
      </c>
      <c r="O4286" s="7" t="s">
        <v>52</v>
      </c>
      <c r="P4286" s="7" t="n">
        <v>13.8</v>
      </c>
      <c r="Q4286" s="7" t="n">
        <v>6</v>
      </c>
      <c r="R4286" s="7" t="s">
        <v>53</v>
      </c>
      <c r="S4286" s="7"/>
      <c r="T4286" s="7"/>
      <c r="U4286" s="7" t="str">
        <f aca="false">IF(COUNTIF($A$2:$A$5001,A4286)&gt;1,"Duplicate","Unique")</f>
        <v>Unique</v>
      </c>
      <c r="V4286" s="7" t="str">
        <f aca="false">IF(COUNTIFS($B$2:$B$5001,B4286,$H$2:$H$5001,H4286,$J$2:$J$5001,J4286)&gt;1,"Possible Duplicate Booking","Unique")</f>
        <v>Unique</v>
      </c>
      <c r="W4286" s="7" t="str">
        <f aca="false">IF((H4286-G4286)&lt;&gt;K4286,"Mismatch","OK")</f>
        <v>OK</v>
      </c>
      <c r="X4286" s="7" t="str">
        <f aca="false">IF(TEXT(H4286,"dddd")&lt;&gt;I4286,"Mismatch","OK")</f>
        <v>OK</v>
      </c>
      <c r="Y4286" s="7" t="str">
        <f aca="false">IF(AND(N4286="No",O4286&lt;&gt;""),"Unexpected: channel present but no reminder sent",IF(AND(N4286="Yes",O4286=""),"Missing channel for sent reminder","OK"))</f>
        <v>OK</v>
      </c>
    </row>
    <row r="4287" customFormat="false" ht="15" hidden="false" customHeight="false" outlineLevel="0" collapsed="false">
      <c r="A4287" s="9" t="s">
        <v>5988</v>
      </c>
      <c r="B4287" s="9" t="s">
        <v>1859</v>
      </c>
      <c r="C4287" s="9" t="s">
        <v>47</v>
      </c>
      <c r="D4287" s="9" t="n">
        <v>66</v>
      </c>
      <c r="E4287" s="9" t="s">
        <v>70</v>
      </c>
      <c r="F4287" s="9" t="s">
        <v>57</v>
      </c>
      <c r="G4287" s="10" t="n">
        <v>46048</v>
      </c>
      <c r="H4287" s="10" t="n">
        <v>46076</v>
      </c>
      <c r="I4287" s="9" t="s">
        <v>66</v>
      </c>
      <c r="J4287" s="9" t="s">
        <v>41</v>
      </c>
      <c r="K4287" s="9" t="n">
        <v>28</v>
      </c>
      <c r="L4287" s="9" t="n">
        <v>5</v>
      </c>
      <c r="M4287" s="9" t="n">
        <v>1</v>
      </c>
      <c r="N4287" s="9" t="s">
        <v>42</v>
      </c>
      <c r="O4287" s="9" t="s">
        <v>52</v>
      </c>
      <c r="P4287" s="9" t="n">
        <v>11.6</v>
      </c>
      <c r="Q4287" s="9" t="n">
        <v>25</v>
      </c>
      <c r="R4287" s="9" t="s">
        <v>44</v>
      </c>
      <c r="S4287" s="9"/>
      <c r="T4287" s="9"/>
      <c r="U4287" s="9" t="str">
        <f aca="false">IF(COUNTIF($A$2:$A$5001,A4287)&gt;1,"Duplicate","Unique")</f>
        <v>Unique</v>
      </c>
      <c r="V4287" s="9" t="str">
        <f aca="false">IF(COUNTIFS($B$2:$B$5001,B4287,$H$2:$H$5001,H4287,$J$2:$J$5001,J4287)&gt;1,"Possible Duplicate Booking","Unique")</f>
        <v>Unique</v>
      </c>
      <c r="W4287" s="9" t="str">
        <f aca="false">IF((H4287-G4287)&lt;&gt;K4287,"Mismatch","OK")</f>
        <v>OK</v>
      </c>
      <c r="X4287" s="9" t="str">
        <f aca="false">IF(TEXT(H4287,"dddd")&lt;&gt;I4287,"Mismatch","OK")</f>
        <v>OK</v>
      </c>
      <c r="Y4287" s="9" t="str">
        <f aca="false">IF(AND(N4287="No",O4287&lt;&gt;""),"Unexpected: channel present but no reminder sent",IF(AND(N4287="Yes",O4287=""),"Missing channel for sent reminder","OK"))</f>
        <v>OK</v>
      </c>
    </row>
    <row r="4288" customFormat="false" ht="15" hidden="false" customHeight="false" outlineLevel="0" collapsed="false">
      <c r="A4288" s="7" t="s">
        <v>5989</v>
      </c>
      <c r="B4288" s="7" t="s">
        <v>1169</v>
      </c>
      <c r="C4288" s="7" t="s">
        <v>37</v>
      </c>
      <c r="D4288" s="7" t="n">
        <v>43</v>
      </c>
      <c r="E4288" s="7" t="s">
        <v>38</v>
      </c>
      <c r="F4288" s="7" t="s">
        <v>39</v>
      </c>
      <c r="G4288" s="8" t="n">
        <v>46021</v>
      </c>
      <c r="H4288" s="8" t="n">
        <v>46047</v>
      </c>
      <c r="I4288" s="7" t="s">
        <v>75</v>
      </c>
      <c r="J4288" s="7" t="s">
        <v>51</v>
      </c>
      <c r="K4288" s="7" t="n">
        <v>26</v>
      </c>
      <c r="L4288" s="7" t="n">
        <v>3</v>
      </c>
      <c r="M4288" s="7" t="n">
        <v>0</v>
      </c>
      <c r="N4288" s="7" t="s">
        <v>42</v>
      </c>
      <c r="O4288" s="7" t="s">
        <v>43</v>
      </c>
      <c r="P4288" s="7" t="n">
        <v>9.8</v>
      </c>
      <c r="Q4288" s="7" t="n">
        <v>24</v>
      </c>
      <c r="R4288" s="7" t="s">
        <v>87</v>
      </c>
      <c r="S4288" s="7"/>
      <c r="T4288" s="7"/>
      <c r="U4288" s="7" t="str">
        <f aca="false">IF(COUNTIF($A$2:$A$5001,A4288)&gt;1,"Duplicate","Unique")</f>
        <v>Unique</v>
      </c>
      <c r="V4288" s="7" t="str">
        <f aca="false">IF(COUNTIFS($B$2:$B$5001,B4288,$H$2:$H$5001,H4288,$J$2:$J$5001,J4288)&gt;1,"Possible Duplicate Booking","Unique")</f>
        <v>Unique</v>
      </c>
      <c r="W4288" s="7" t="str">
        <f aca="false">IF((H4288-G4288)&lt;&gt;K4288,"Mismatch","OK")</f>
        <v>OK</v>
      </c>
      <c r="X4288" s="7" t="str">
        <f aca="false">IF(TEXT(H4288,"dddd")&lt;&gt;I4288,"Mismatch","OK")</f>
        <v>OK</v>
      </c>
      <c r="Y4288" s="7" t="str">
        <f aca="false">IF(AND(N4288="No",O4288&lt;&gt;""),"Unexpected: channel present but no reminder sent",IF(AND(N4288="Yes",O4288=""),"Missing channel for sent reminder","OK"))</f>
        <v>OK</v>
      </c>
    </row>
    <row r="4289" customFormat="false" ht="15" hidden="false" customHeight="false" outlineLevel="0" collapsed="false">
      <c r="A4289" s="9" t="s">
        <v>5990</v>
      </c>
      <c r="B4289" s="9" t="s">
        <v>4015</v>
      </c>
      <c r="C4289" s="9" t="s">
        <v>37</v>
      </c>
      <c r="D4289" s="9" t="n">
        <v>23</v>
      </c>
      <c r="E4289" s="9" t="s">
        <v>82</v>
      </c>
      <c r="F4289" s="9" t="s">
        <v>57</v>
      </c>
      <c r="G4289" s="10" t="n">
        <v>46096</v>
      </c>
      <c r="H4289" s="10" t="n">
        <v>46098</v>
      </c>
      <c r="I4289" s="9" t="s">
        <v>40</v>
      </c>
      <c r="J4289" s="9" t="s">
        <v>51</v>
      </c>
      <c r="K4289" s="9" t="n">
        <v>2</v>
      </c>
      <c r="L4289" s="9" t="n">
        <v>1</v>
      </c>
      <c r="M4289" s="9" t="n">
        <v>0</v>
      </c>
      <c r="N4289" s="9" t="s">
        <v>71</v>
      </c>
      <c r="O4289" s="9"/>
      <c r="P4289" s="9" t="n">
        <v>3.1</v>
      </c>
      <c r="Q4289" s="9" t="n">
        <v>21</v>
      </c>
      <c r="R4289" s="9" t="s">
        <v>44</v>
      </c>
      <c r="S4289" s="9"/>
      <c r="T4289" s="9"/>
      <c r="U4289" s="9" t="str">
        <f aca="false">IF(COUNTIF($A$2:$A$5001,A4289)&gt;1,"Duplicate","Unique")</f>
        <v>Unique</v>
      </c>
      <c r="V4289" s="9" t="str">
        <f aca="false">IF(COUNTIFS($B$2:$B$5001,B4289,$H$2:$H$5001,H4289,$J$2:$J$5001,J4289)&gt;1,"Possible Duplicate Booking","Unique")</f>
        <v>Unique</v>
      </c>
      <c r="W4289" s="9" t="str">
        <f aca="false">IF((H4289-G4289)&lt;&gt;K4289,"Mismatch","OK")</f>
        <v>OK</v>
      </c>
      <c r="X4289" s="9" t="str">
        <f aca="false">IF(TEXT(H4289,"dddd")&lt;&gt;I4289,"Mismatch","OK")</f>
        <v>OK</v>
      </c>
      <c r="Y4289" s="9" t="str">
        <f aca="false">IF(AND(N4289="No",O4289&lt;&gt;""),"Unexpected: channel present but no reminder sent",IF(AND(N4289="Yes",O4289=""),"Missing channel for sent reminder","OK"))</f>
        <v>OK</v>
      </c>
    </row>
    <row r="4290" customFormat="false" ht="15" hidden="false" customHeight="false" outlineLevel="0" collapsed="false">
      <c r="A4290" s="7" t="s">
        <v>5991</v>
      </c>
      <c r="B4290" s="7" t="s">
        <v>3278</v>
      </c>
      <c r="C4290" s="7" t="s">
        <v>47</v>
      </c>
      <c r="D4290" s="7" t="n">
        <v>67</v>
      </c>
      <c r="E4290" s="7" t="s">
        <v>70</v>
      </c>
      <c r="F4290" s="7" t="s">
        <v>49</v>
      </c>
      <c r="G4290" s="8" t="n">
        <v>46054</v>
      </c>
      <c r="H4290" s="8" t="n">
        <v>46075</v>
      </c>
      <c r="I4290" s="7" t="s">
        <v>75</v>
      </c>
      <c r="J4290" s="7" t="s">
        <v>41</v>
      </c>
      <c r="K4290" s="7" t="n">
        <v>21</v>
      </c>
      <c r="L4290" s="7" t="n">
        <v>2</v>
      </c>
      <c r="M4290" s="7" t="n">
        <v>1</v>
      </c>
      <c r="N4290" s="7" t="s">
        <v>42</v>
      </c>
      <c r="O4290" s="7" t="s">
        <v>52</v>
      </c>
      <c r="P4290" s="7" t="n">
        <v>20.7</v>
      </c>
      <c r="Q4290" s="7" t="n">
        <v>20</v>
      </c>
      <c r="R4290" s="7" t="s">
        <v>53</v>
      </c>
      <c r="S4290" s="7"/>
      <c r="T4290" s="7"/>
      <c r="U4290" s="7" t="str">
        <f aca="false">IF(COUNTIF($A$2:$A$5001,A4290)&gt;1,"Duplicate","Unique")</f>
        <v>Unique</v>
      </c>
      <c r="V4290" s="7" t="str">
        <f aca="false">IF(COUNTIFS($B$2:$B$5001,B4290,$H$2:$H$5001,H4290,$J$2:$J$5001,J4290)&gt;1,"Possible Duplicate Booking","Unique")</f>
        <v>Unique</v>
      </c>
      <c r="W4290" s="7" t="str">
        <f aca="false">IF((H4290-G4290)&lt;&gt;K4290,"Mismatch","OK")</f>
        <v>OK</v>
      </c>
      <c r="X4290" s="7" t="str">
        <f aca="false">IF(TEXT(H4290,"dddd")&lt;&gt;I4290,"Mismatch","OK")</f>
        <v>OK</v>
      </c>
      <c r="Y4290" s="7" t="str">
        <f aca="false">IF(AND(N4290="No",O4290&lt;&gt;""),"Unexpected: channel present but no reminder sent",IF(AND(N4290="Yes",O4290=""),"Missing channel for sent reminder","OK"))</f>
        <v>OK</v>
      </c>
    </row>
    <row r="4291" customFormat="false" ht="15" hidden="false" customHeight="false" outlineLevel="0" collapsed="false">
      <c r="A4291" s="9" t="s">
        <v>5992</v>
      </c>
      <c r="B4291" s="9" t="s">
        <v>5993</v>
      </c>
      <c r="C4291" s="9" t="s">
        <v>47</v>
      </c>
      <c r="D4291" s="9" t="n">
        <v>71</v>
      </c>
      <c r="E4291" s="9" t="s">
        <v>70</v>
      </c>
      <c r="F4291" s="9" t="s">
        <v>57</v>
      </c>
      <c r="G4291" s="10" t="n">
        <v>45810</v>
      </c>
      <c r="H4291" s="10" t="n">
        <v>45826</v>
      </c>
      <c r="I4291" s="9" t="s">
        <v>58</v>
      </c>
      <c r="J4291" s="9" t="s">
        <v>51</v>
      </c>
      <c r="K4291" s="9" t="n">
        <v>16</v>
      </c>
      <c r="L4291" s="9" t="n">
        <v>4</v>
      </c>
      <c r="M4291" s="9" t="n">
        <v>0</v>
      </c>
      <c r="N4291" s="9" t="s">
        <v>42</v>
      </c>
      <c r="O4291" s="9" t="s">
        <v>52</v>
      </c>
      <c r="P4291" s="9" t="n">
        <v>15.1</v>
      </c>
      <c r="Q4291" s="9" t="n">
        <v>32</v>
      </c>
      <c r="R4291" s="9" t="s">
        <v>53</v>
      </c>
      <c r="S4291" s="9"/>
      <c r="T4291" s="9"/>
      <c r="U4291" s="9" t="str">
        <f aca="false">IF(COUNTIF($A$2:$A$5001,A4291)&gt;1,"Duplicate","Unique")</f>
        <v>Unique</v>
      </c>
      <c r="V4291" s="9" t="str">
        <f aca="false">IF(COUNTIFS($B$2:$B$5001,B4291,$H$2:$H$5001,H4291,$J$2:$J$5001,J4291)&gt;1,"Possible Duplicate Booking","Unique")</f>
        <v>Unique</v>
      </c>
      <c r="W4291" s="9" t="str">
        <f aca="false">IF((H4291-G4291)&lt;&gt;K4291,"Mismatch","OK")</f>
        <v>OK</v>
      </c>
      <c r="X4291" s="9" t="str">
        <f aca="false">IF(TEXT(H4291,"dddd")&lt;&gt;I4291,"Mismatch","OK")</f>
        <v>OK</v>
      </c>
      <c r="Y4291" s="9" t="str">
        <f aca="false">IF(AND(N4291="No",O4291&lt;&gt;""),"Unexpected: channel present but no reminder sent",IF(AND(N4291="Yes",O4291=""),"Missing channel for sent reminder","OK"))</f>
        <v>OK</v>
      </c>
    </row>
    <row r="4292" customFormat="false" ht="15" hidden="false" customHeight="false" outlineLevel="0" collapsed="false">
      <c r="A4292" s="7" t="s">
        <v>5994</v>
      </c>
      <c r="B4292" s="7" t="s">
        <v>4595</v>
      </c>
      <c r="C4292" s="7" t="s">
        <v>47</v>
      </c>
      <c r="D4292" s="7" t="n">
        <v>53</v>
      </c>
      <c r="E4292" s="7" t="s">
        <v>56</v>
      </c>
      <c r="F4292" s="7" t="s">
        <v>49</v>
      </c>
      <c r="G4292" s="8" t="n">
        <v>45661</v>
      </c>
      <c r="H4292" s="8" t="n">
        <v>45695</v>
      </c>
      <c r="I4292" s="7" t="s">
        <v>50</v>
      </c>
      <c r="J4292" s="7" t="s">
        <v>41</v>
      </c>
      <c r="K4292" s="7" t="n">
        <v>34</v>
      </c>
      <c r="L4292" s="7" t="n">
        <v>7</v>
      </c>
      <c r="M4292" s="7" t="n">
        <v>0</v>
      </c>
      <c r="N4292" s="7" t="s">
        <v>42</v>
      </c>
      <c r="O4292" s="7" t="s">
        <v>52</v>
      </c>
      <c r="P4292" s="7" t="n">
        <v>27.9</v>
      </c>
      <c r="Q4292" s="7" t="n">
        <v>10</v>
      </c>
      <c r="R4292" s="7" t="s">
        <v>87</v>
      </c>
      <c r="S4292" s="7"/>
      <c r="T4292" s="7"/>
      <c r="U4292" s="7" t="str">
        <f aca="false">IF(COUNTIF($A$2:$A$5001,A4292)&gt;1,"Duplicate","Unique")</f>
        <v>Unique</v>
      </c>
      <c r="V4292" s="7" t="str">
        <f aca="false">IF(COUNTIFS($B$2:$B$5001,B4292,$H$2:$H$5001,H4292,$J$2:$J$5001,J4292)&gt;1,"Possible Duplicate Booking","Unique")</f>
        <v>Unique</v>
      </c>
      <c r="W4292" s="7" t="str">
        <f aca="false">IF((H4292-G4292)&lt;&gt;K4292,"Mismatch","OK")</f>
        <v>OK</v>
      </c>
      <c r="X4292" s="7" t="str">
        <f aca="false">IF(TEXT(H4292,"dddd")&lt;&gt;I4292,"Mismatch","OK")</f>
        <v>OK</v>
      </c>
      <c r="Y4292" s="7" t="str">
        <f aca="false">IF(AND(N4292="No",O4292&lt;&gt;""),"Unexpected: channel present but no reminder sent",IF(AND(N4292="Yes",O4292=""),"Missing channel for sent reminder","OK"))</f>
        <v>OK</v>
      </c>
    </row>
    <row r="4293" customFormat="false" ht="15" hidden="false" customHeight="false" outlineLevel="0" collapsed="false">
      <c r="A4293" s="9" t="s">
        <v>5995</v>
      </c>
      <c r="B4293" s="9" t="s">
        <v>1955</v>
      </c>
      <c r="C4293" s="9" t="s">
        <v>37</v>
      </c>
      <c r="D4293" s="9" t="n">
        <v>63</v>
      </c>
      <c r="E4293" s="9" t="s">
        <v>61</v>
      </c>
      <c r="F4293" s="9" t="s">
        <v>39</v>
      </c>
      <c r="G4293" s="10" t="n">
        <v>46105</v>
      </c>
      <c r="H4293" s="10" t="n">
        <v>46165</v>
      </c>
      <c r="I4293" s="9" t="s">
        <v>102</v>
      </c>
      <c r="J4293" s="9" t="s">
        <v>41</v>
      </c>
      <c r="K4293" s="9" t="n">
        <v>60</v>
      </c>
      <c r="L4293" s="9" t="n">
        <v>6</v>
      </c>
      <c r="M4293" s="9" t="n">
        <v>1</v>
      </c>
      <c r="N4293" s="9" t="s">
        <v>71</v>
      </c>
      <c r="O4293" s="9"/>
      <c r="P4293" s="9" t="n">
        <v>8.1</v>
      </c>
      <c r="Q4293" s="9" t="n">
        <v>37</v>
      </c>
      <c r="R4293" s="9" t="s">
        <v>44</v>
      </c>
      <c r="S4293" s="9"/>
      <c r="T4293" s="9"/>
      <c r="U4293" s="9" t="str">
        <f aca="false">IF(COUNTIF($A$2:$A$5001,A4293)&gt;1,"Duplicate","Unique")</f>
        <v>Unique</v>
      </c>
      <c r="V4293" s="9" t="str">
        <f aca="false">IF(COUNTIFS($B$2:$B$5001,B4293,$H$2:$H$5001,H4293,$J$2:$J$5001,J4293)&gt;1,"Possible Duplicate Booking","Unique")</f>
        <v>Unique</v>
      </c>
      <c r="W4293" s="9" t="str">
        <f aca="false">IF((H4293-G4293)&lt;&gt;K4293,"Mismatch","OK")</f>
        <v>OK</v>
      </c>
      <c r="X4293" s="9" t="str">
        <f aca="false">IF(TEXT(H4293,"dddd")&lt;&gt;I4293,"Mismatch","OK")</f>
        <v>OK</v>
      </c>
      <c r="Y4293" s="9" t="str">
        <f aca="false">IF(AND(N4293="No",O4293&lt;&gt;""),"Unexpected: channel present but no reminder sent",IF(AND(N4293="Yes",O4293=""),"Missing channel for sent reminder","OK"))</f>
        <v>OK</v>
      </c>
    </row>
    <row r="4294" customFormat="false" ht="15" hidden="false" customHeight="false" outlineLevel="0" collapsed="false">
      <c r="A4294" s="7" t="s">
        <v>5996</v>
      </c>
      <c r="B4294" s="7" t="s">
        <v>3182</v>
      </c>
      <c r="C4294" s="7" t="s">
        <v>47</v>
      </c>
      <c r="D4294" s="7" t="n">
        <v>27</v>
      </c>
      <c r="E4294" s="7" t="s">
        <v>48</v>
      </c>
      <c r="F4294" s="7" t="s">
        <v>39</v>
      </c>
      <c r="G4294" s="8" t="n">
        <v>45885</v>
      </c>
      <c r="H4294" s="8" t="n">
        <v>45927</v>
      </c>
      <c r="I4294" s="7" t="s">
        <v>102</v>
      </c>
      <c r="J4294" s="7" t="s">
        <v>51</v>
      </c>
      <c r="K4294" s="7" t="n">
        <v>42</v>
      </c>
      <c r="L4294" s="7" t="n">
        <v>3</v>
      </c>
      <c r="M4294" s="7" t="n">
        <v>1</v>
      </c>
      <c r="N4294" s="7" t="s">
        <v>71</v>
      </c>
      <c r="O4294" s="7"/>
      <c r="P4294" s="7" t="n">
        <v>8.5</v>
      </c>
      <c r="Q4294" s="7" t="n">
        <v>23</v>
      </c>
      <c r="R4294" s="7" t="s">
        <v>53</v>
      </c>
      <c r="S4294" s="7"/>
      <c r="T4294" s="7"/>
      <c r="U4294" s="7" t="str">
        <f aca="false">IF(COUNTIF($A$2:$A$5001,A4294)&gt;1,"Duplicate","Unique")</f>
        <v>Unique</v>
      </c>
      <c r="V4294" s="7" t="str">
        <f aca="false">IF(COUNTIFS($B$2:$B$5001,B4294,$H$2:$H$5001,H4294,$J$2:$J$5001,J4294)&gt;1,"Possible Duplicate Booking","Unique")</f>
        <v>Unique</v>
      </c>
      <c r="W4294" s="7" t="str">
        <f aca="false">IF((H4294-G4294)&lt;&gt;K4294,"Mismatch","OK")</f>
        <v>OK</v>
      </c>
      <c r="X4294" s="7" t="str">
        <f aca="false">IF(TEXT(H4294,"dddd")&lt;&gt;I4294,"Mismatch","OK")</f>
        <v>OK</v>
      </c>
      <c r="Y4294" s="7" t="str">
        <f aca="false">IF(AND(N4294="No",O4294&lt;&gt;""),"Unexpected: channel present but no reminder sent",IF(AND(N4294="Yes",O4294=""),"Missing channel for sent reminder","OK"))</f>
        <v>OK</v>
      </c>
    </row>
    <row r="4295" customFormat="false" ht="15" hidden="false" customHeight="false" outlineLevel="0" collapsed="false">
      <c r="A4295" s="9" t="s">
        <v>5997</v>
      </c>
      <c r="B4295" s="9" t="s">
        <v>706</v>
      </c>
      <c r="C4295" s="9" t="s">
        <v>236</v>
      </c>
      <c r="D4295" s="9" t="n">
        <v>39</v>
      </c>
      <c r="E4295" s="9" t="s">
        <v>38</v>
      </c>
      <c r="F4295" s="9" t="s">
        <v>57</v>
      </c>
      <c r="G4295" s="10" t="n">
        <v>45653</v>
      </c>
      <c r="H4295" s="10" t="n">
        <v>45709</v>
      </c>
      <c r="I4295" s="9" t="s">
        <v>50</v>
      </c>
      <c r="J4295" s="9" t="s">
        <v>41</v>
      </c>
      <c r="K4295" s="9" t="n">
        <v>56</v>
      </c>
      <c r="L4295" s="9" t="n">
        <v>2</v>
      </c>
      <c r="M4295" s="9" t="n">
        <v>0</v>
      </c>
      <c r="N4295" s="9" t="s">
        <v>42</v>
      </c>
      <c r="O4295" s="9" t="s">
        <v>43</v>
      </c>
      <c r="P4295" s="9" t="n">
        <v>1.2</v>
      </c>
      <c r="Q4295" s="9" t="n">
        <v>15</v>
      </c>
      <c r="R4295" s="9" t="s">
        <v>44</v>
      </c>
      <c r="S4295" s="9"/>
      <c r="T4295" s="9"/>
      <c r="U4295" s="9" t="str">
        <f aca="false">IF(COUNTIF($A$2:$A$5001,A4295)&gt;1,"Duplicate","Unique")</f>
        <v>Unique</v>
      </c>
      <c r="V4295" s="9" t="str">
        <f aca="false">IF(COUNTIFS($B$2:$B$5001,B4295,$H$2:$H$5001,H4295,$J$2:$J$5001,J4295)&gt;1,"Possible Duplicate Booking","Unique")</f>
        <v>Unique</v>
      </c>
      <c r="W4295" s="9" t="str">
        <f aca="false">IF((H4295-G4295)&lt;&gt;K4295,"Mismatch","OK")</f>
        <v>OK</v>
      </c>
      <c r="X4295" s="9" t="str">
        <f aca="false">IF(TEXT(H4295,"dddd")&lt;&gt;I4295,"Mismatch","OK")</f>
        <v>OK</v>
      </c>
      <c r="Y4295" s="9" t="str">
        <f aca="false">IF(AND(N4295="No",O4295&lt;&gt;""),"Unexpected: channel present but no reminder sent",IF(AND(N4295="Yes",O4295=""),"Missing channel for sent reminder","OK"))</f>
        <v>OK</v>
      </c>
    </row>
    <row r="4296" customFormat="false" ht="15" hidden="false" customHeight="false" outlineLevel="0" collapsed="false">
      <c r="A4296" s="7" t="s">
        <v>5998</v>
      </c>
      <c r="B4296" s="7" t="s">
        <v>3627</v>
      </c>
      <c r="C4296" s="7" t="s">
        <v>37</v>
      </c>
      <c r="D4296" s="7" t="n">
        <v>40</v>
      </c>
      <c r="E4296" s="7" t="s">
        <v>38</v>
      </c>
      <c r="F4296" s="7" t="s">
        <v>39</v>
      </c>
      <c r="G4296" s="8" t="n">
        <v>46153</v>
      </c>
      <c r="H4296" s="8" t="n">
        <v>46164</v>
      </c>
      <c r="I4296" s="7" t="s">
        <v>50</v>
      </c>
      <c r="J4296" s="7" t="s">
        <v>41</v>
      </c>
      <c r="K4296" s="7" t="n">
        <v>11</v>
      </c>
      <c r="L4296" s="7" t="n">
        <v>6</v>
      </c>
      <c r="M4296" s="7" t="n">
        <v>1</v>
      </c>
      <c r="N4296" s="7" t="s">
        <v>42</v>
      </c>
      <c r="O4296" s="7" t="s">
        <v>52</v>
      </c>
      <c r="P4296" s="7" t="n">
        <v>7.3</v>
      </c>
      <c r="Q4296" s="7" t="n">
        <v>21</v>
      </c>
      <c r="R4296" s="7" t="s">
        <v>44</v>
      </c>
      <c r="S4296" s="7"/>
      <c r="T4296" s="7"/>
      <c r="U4296" s="7" t="str">
        <f aca="false">IF(COUNTIF($A$2:$A$5001,A4296)&gt;1,"Duplicate","Unique")</f>
        <v>Unique</v>
      </c>
      <c r="V4296" s="7" t="str">
        <f aca="false">IF(COUNTIFS($B$2:$B$5001,B4296,$H$2:$H$5001,H4296,$J$2:$J$5001,J4296)&gt;1,"Possible Duplicate Booking","Unique")</f>
        <v>Unique</v>
      </c>
      <c r="W4296" s="7" t="str">
        <f aca="false">IF((H4296-G4296)&lt;&gt;K4296,"Mismatch","OK")</f>
        <v>OK</v>
      </c>
      <c r="X4296" s="7" t="str">
        <f aca="false">IF(TEXT(H4296,"dddd")&lt;&gt;I4296,"Mismatch","OK")</f>
        <v>OK</v>
      </c>
      <c r="Y4296" s="7" t="str">
        <f aca="false">IF(AND(N4296="No",O4296&lt;&gt;""),"Unexpected: channel present but no reminder sent",IF(AND(N4296="Yes",O4296=""),"Missing channel for sent reminder","OK"))</f>
        <v>OK</v>
      </c>
    </row>
    <row r="4297" customFormat="false" ht="15" hidden="false" customHeight="false" outlineLevel="0" collapsed="false">
      <c r="A4297" s="9" t="s">
        <v>5999</v>
      </c>
      <c r="B4297" s="9" t="s">
        <v>2368</v>
      </c>
      <c r="C4297" s="9" t="s">
        <v>37</v>
      </c>
      <c r="D4297" s="9" t="n">
        <v>66</v>
      </c>
      <c r="E4297" s="9" t="s">
        <v>70</v>
      </c>
      <c r="F4297" s="9" t="s">
        <v>49</v>
      </c>
      <c r="G4297" s="10" t="n">
        <v>46187</v>
      </c>
      <c r="H4297" s="10" t="n">
        <v>46200</v>
      </c>
      <c r="I4297" s="9" t="s">
        <v>102</v>
      </c>
      <c r="J4297" s="9" t="s">
        <v>41</v>
      </c>
      <c r="K4297" s="9" t="n">
        <v>13</v>
      </c>
      <c r="L4297" s="9" t="n">
        <v>3</v>
      </c>
      <c r="M4297" s="9" t="n">
        <v>1</v>
      </c>
      <c r="N4297" s="9" t="s">
        <v>42</v>
      </c>
      <c r="O4297" s="9" t="s">
        <v>52</v>
      </c>
      <c r="P4297" s="9" t="n">
        <v>2.2</v>
      </c>
      <c r="Q4297" s="9" t="n">
        <v>26</v>
      </c>
      <c r="R4297" s="9" t="s">
        <v>53</v>
      </c>
      <c r="S4297" s="9"/>
      <c r="T4297" s="9"/>
      <c r="U4297" s="9" t="str">
        <f aca="false">IF(COUNTIF($A$2:$A$5001,A4297)&gt;1,"Duplicate","Unique")</f>
        <v>Unique</v>
      </c>
      <c r="V4297" s="9" t="str">
        <f aca="false">IF(COUNTIFS($B$2:$B$5001,B4297,$H$2:$H$5001,H4297,$J$2:$J$5001,J4297)&gt;1,"Possible Duplicate Booking","Unique")</f>
        <v>Unique</v>
      </c>
      <c r="W4297" s="9" t="str">
        <f aca="false">IF((H4297-G4297)&lt;&gt;K4297,"Mismatch","OK")</f>
        <v>OK</v>
      </c>
      <c r="X4297" s="9" t="str">
        <f aca="false">IF(TEXT(H4297,"dddd")&lt;&gt;I4297,"Mismatch","OK")</f>
        <v>OK</v>
      </c>
      <c r="Y4297" s="9" t="str">
        <f aca="false">IF(AND(N4297="No",O4297&lt;&gt;""),"Unexpected: channel present but no reminder sent",IF(AND(N4297="Yes",O4297=""),"Missing channel for sent reminder","OK"))</f>
        <v>OK</v>
      </c>
    </row>
    <row r="4298" customFormat="false" ht="15" hidden="false" customHeight="false" outlineLevel="0" collapsed="false">
      <c r="A4298" s="7" t="s">
        <v>6000</v>
      </c>
      <c r="B4298" s="7" t="s">
        <v>1806</v>
      </c>
      <c r="C4298" s="7" t="s">
        <v>47</v>
      </c>
      <c r="D4298" s="7" t="n">
        <v>40</v>
      </c>
      <c r="E4298" s="7" t="s">
        <v>38</v>
      </c>
      <c r="F4298" s="7" t="s">
        <v>39</v>
      </c>
      <c r="G4298" s="8" t="n">
        <v>45856</v>
      </c>
      <c r="H4298" s="8" t="n">
        <v>45901</v>
      </c>
      <c r="I4298" s="7" t="s">
        <v>66</v>
      </c>
      <c r="J4298" s="7" t="s">
        <v>41</v>
      </c>
      <c r="K4298" s="7" t="n">
        <v>45</v>
      </c>
      <c r="L4298" s="7" t="n">
        <v>3</v>
      </c>
      <c r="M4298" s="7" t="n">
        <v>1</v>
      </c>
      <c r="N4298" s="7" t="s">
        <v>71</v>
      </c>
      <c r="O4298" s="7"/>
      <c r="P4298" s="7" t="n">
        <v>6.8</v>
      </c>
      <c r="Q4298" s="7" t="n">
        <v>40</v>
      </c>
      <c r="R4298" s="7" t="s">
        <v>44</v>
      </c>
      <c r="S4298" s="7"/>
      <c r="T4298" s="7"/>
      <c r="U4298" s="7" t="str">
        <f aca="false">IF(COUNTIF($A$2:$A$5001,A4298)&gt;1,"Duplicate","Unique")</f>
        <v>Unique</v>
      </c>
      <c r="V4298" s="7" t="str">
        <f aca="false">IF(COUNTIFS($B$2:$B$5001,B4298,$H$2:$H$5001,H4298,$J$2:$J$5001,J4298)&gt;1,"Possible Duplicate Booking","Unique")</f>
        <v>Unique</v>
      </c>
      <c r="W4298" s="7" t="str">
        <f aca="false">IF((H4298-G4298)&lt;&gt;K4298,"Mismatch","OK")</f>
        <v>OK</v>
      </c>
      <c r="X4298" s="7" t="str">
        <f aca="false">IF(TEXT(H4298,"dddd")&lt;&gt;I4298,"Mismatch","OK")</f>
        <v>OK</v>
      </c>
      <c r="Y4298" s="7" t="str">
        <f aca="false">IF(AND(N4298="No",O4298&lt;&gt;""),"Unexpected: channel present but no reminder sent",IF(AND(N4298="Yes",O4298=""),"Missing channel for sent reminder","OK"))</f>
        <v>OK</v>
      </c>
    </row>
    <row r="4299" customFormat="false" ht="15" hidden="false" customHeight="false" outlineLevel="0" collapsed="false">
      <c r="A4299" s="9" t="s">
        <v>6001</v>
      </c>
      <c r="B4299" s="9" t="s">
        <v>280</v>
      </c>
      <c r="C4299" s="9" t="s">
        <v>47</v>
      </c>
      <c r="D4299" s="9" t="n">
        <v>63</v>
      </c>
      <c r="E4299" s="9" t="s">
        <v>61</v>
      </c>
      <c r="F4299" s="9" t="s">
        <v>57</v>
      </c>
      <c r="G4299" s="10" t="n">
        <v>46060</v>
      </c>
      <c r="H4299" s="10" t="n">
        <v>46078</v>
      </c>
      <c r="I4299" s="9" t="s">
        <v>58</v>
      </c>
      <c r="J4299" s="9" t="s">
        <v>51</v>
      </c>
      <c r="K4299" s="9" t="n">
        <v>18</v>
      </c>
      <c r="L4299" s="9" t="n">
        <v>5</v>
      </c>
      <c r="M4299" s="9" t="n">
        <v>1</v>
      </c>
      <c r="N4299" s="9" t="s">
        <v>71</v>
      </c>
      <c r="O4299" s="9"/>
      <c r="P4299" s="9" t="n">
        <v>17.1</v>
      </c>
      <c r="Q4299" s="9" t="n">
        <v>32</v>
      </c>
      <c r="R4299" s="9" t="s">
        <v>44</v>
      </c>
      <c r="S4299" s="9"/>
      <c r="T4299" s="9"/>
      <c r="U4299" s="9" t="str">
        <f aca="false">IF(COUNTIF($A$2:$A$5001,A4299)&gt;1,"Duplicate","Unique")</f>
        <v>Unique</v>
      </c>
      <c r="V4299" s="9" t="str">
        <f aca="false">IF(COUNTIFS($B$2:$B$5001,B4299,$H$2:$H$5001,H4299,$J$2:$J$5001,J4299)&gt;1,"Possible Duplicate Booking","Unique")</f>
        <v>Unique</v>
      </c>
      <c r="W4299" s="9" t="str">
        <f aca="false">IF((H4299-G4299)&lt;&gt;K4299,"Mismatch","OK")</f>
        <v>OK</v>
      </c>
      <c r="X4299" s="9" t="str">
        <f aca="false">IF(TEXT(H4299,"dddd")&lt;&gt;I4299,"Mismatch","OK")</f>
        <v>OK</v>
      </c>
      <c r="Y4299" s="9" t="str">
        <f aca="false">IF(AND(N4299="No",O4299&lt;&gt;""),"Unexpected: channel present but no reminder sent",IF(AND(N4299="Yes",O4299=""),"Missing channel for sent reminder","OK"))</f>
        <v>OK</v>
      </c>
    </row>
    <row r="4300" customFormat="false" ht="15" hidden="false" customHeight="false" outlineLevel="0" collapsed="false">
      <c r="A4300" s="7" t="s">
        <v>6002</v>
      </c>
      <c r="B4300" s="7" t="s">
        <v>2594</v>
      </c>
      <c r="C4300" s="7" t="s">
        <v>37</v>
      </c>
      <c r="D4300" s="7" t="n">
        <v>37</v>
      </c>
      <c r="E4300" s="7" t="s">
        <v>38</v>
      </c>
      <c r="F4300" s="7" t="s">
        <v>57</v>
      </c>
      <c r="G4300" s="8" t="n">
        <v>45626</v>
      </c>
      <c r="H4300" s="8" t="n">
        <v>45677</v>
      </c>
      <c r="I4300" s="7" t="s">
        <v>66</v>
      </c>
      <c r="J4300" s="7" t="s">
        <v>51</v>
      </c>
      <c r="K4300" s="7" t="n">
        <v>51</v>
      </c>
      <c r="L4300" s="7" t="n">
        <v>2</v>
      </c>
      <c r="M4300" s="7" t="n">
        <v>0</v>
      </c>
      <c r="N4300" s="7" t="s">
        <v>42</v>
      </c>
      <c r="O4300" s="7" t="s">
        <v>52</v>
      </c>
      <c r="P4300" s="7" t="n">
        <v>11.5</v>
      </c>
      <c r="Q4300" s="7" t="n">
        <v>37</v>
      </c>
      <c r="R4300" s="7" t="s">
        <v>44</v>
      </c>
      <c r="S4300" s="7"/>
      <c r="T4300" s="7"/>
      <c r="U4300" s="7" t="str">
        <f aca="false">IF(COUNTIF($A$2:$A$5001,A4300)&gt;1,"Duplicate","Unique")</f>
        <v>Unique</v>
      </c>
      <c r="V4300" s="7" t="str">
        <f aca="false">IF(COUNTIFS($B$2:$B$5001,B4300,$H$2:$H$5001,H4300,$J$2:$J$5001,J4300)&gt;1,"Possible Duplicate Booking","Unique")</f>
        <v>Unique</v>
      </c>
      <c r="W4300" s="7" t="str">
        <f aca="false">IF((H4300-G4300)&lt;&gt;K4300,"Mismatch","OK")</f>
        <v>OK</v>
      </c>
      <c r="X4300" s="7" t="str">
        <f aca="false">IF(TEXT(H4300,"dddd")&lt;&gt;I4300,"Mismatch","OK")</f>
        <v>OK</v>
      </c>
      <c r="Y4300" s="7" t="str">
        <f aca="false">IF(AND(N4300="No",O4300&lt;&gt;""),"Unexpected: channel present but no reminder sent",IF(AND(N4300="Yes",O4300=""),"Missing channel for sent reminder","OK"))</f>
        <v>OK</v>
      </c>
    </row>
    <row r="4301" customFormat="false" ht="15" hidden="false" customHeight="false" outlineLevel="0" collapsed="false">
      <c r="A4301" s="9" t="s">
        <v>6003</v>
      </c>
      <c r="B4301" s="9" t="s">
        <v>4850</v>
      </c>
      <c r="C4301" s="9" t="s">
        <v>37</v>
      </c>
      <c r="D4301" s="9" t="n">
        <v>55</v>
      </c>
      <c r="E4301" s="9" t="s">
        <v>61</v>
      </c>
      <c r="F4301" s="9" t="s">
        <v>57</v>
      </c>
      <c r="G4301" s="10" t="n">
        <v>45680</v>
      </c>
      <c r="H4301" s="10" t="n">
        <v>45708</v>
      </c>
      <c r="I4301" s="9" t="s">
        <v>62</v>
      </c>
      <c r="J4301" s="9" t="s">
        <v>41</v>
      </c>
      <c r="K4301" s="9" t="n">
        <v>28</v>
      </c>
      <c r="L4301" s="9" t="n">
        <v>4</v>
      </c>
      <c r="M4301" s="9" t="n">
        <v>1</v>
      </c>
      <c r="N4301" s="9" t="s">
        <v>42</v>
      </c>
      <c r="O4301" s="9" t="s">
        <v>67</v>
      </c>
      <c r="P4301" s="9" t="n">
        <v>18</v>
      </c>
      <c r="Q4301" s="9" t="n">
        <v>23</v>
      </c>
      <c r="R4301" s="9" t="s">
        <v>44</v>
      </c>
      <c r="S4301" s="9"/>
      <c r="T4301" s="9"/>
      <c r="U4301" s="9" t="str">
        <f aca="false">IF(COUNTIF($A$2:$A$5001,A4301)&gt;1,"Duplicate","Unique")</f>
        <v>Unique</v>
      </c>
      <c r="V4301" s="9" t="str">
        <f aca="false">IF(COUNTIFS($B$2:$B$5001,B4301,$H$2:$H$5001,H4301,$J$2:$J$5001,J4301)&gt;1,"Possible Duplicate Booking","Unique")</f>
        <v>Unique</v>
      </c>
      <c r="W4301" s="9" t="str">
        <f aca="false">IF((H4301-G4301)&lt;&gt;K4301,"Mismatch","OK")</f>
        <v>OK</v>
      </c>
      <c r="X4301" s="9" t="str">
        <f aca="false">IF(TEXT(H4301,"dddd")&lt;&gt;I4301,"Mismatch","OK")</f>
        <v>OK</v>
      </c>
      <c r="Y4301" s="9" t="str">
        <f aca="false">IF(AND(N4301="No",O4301&lt;&gt;""),"Unexpected: channel present but no reminder sent",IF(AND(N4301="Yes",O4301=""),"Missing channel for sent reminder","OK"))</f>
        <v>OK</v>
      </c>
    </row>
    <row r="4302" customFormat="false" ht="15" hidden="false" customHeight="false" outlineLevel="0" collapsed="false">
      <c r="A4302" s="7" t="s">
        <v>6004</v>
      </c>
      <c r="B4302" s="7" t="s">
        <v>5646</v>
      </c>
      <c r="C4302" s="7" t="s">
        <v>47</v>
      </c>
      <c r="D4302" s="7" t="n">
        <v>31</v>
      </c>
      <c r="E4302" s="7" t="s">
        <v>48</v>
      </c>
      <c r="F4302" s="7" t="s">
        <v>49</v>
      </c>
      <c r="G4302" s="8" t="n">
        <v>45797</v>
      </c>
      <c r="H4302" s="8" t="n">
        <v>45809</v>
      </c>
      <c r="I4302" s="7" t="s">
        <v>75</v>
      </c>
      <c r="J4302" s="7" t="s">
        <v>41</v>
      </c>
      <c r="K4302" s="7" t="n">
        <v>12</v>
      </c>
      <c r="L4302" s="7" t="n">
        <v>7</v>
      </c>
      <c r="M4302" s="7" t="n">
        <v>3</v>
      </c>
      <c r="N4302" s="7" t="s">
        <v>42</v>
      </c>
      <c r="O4302" s="7" t="s">
        <v>43</v>
      </c>
      <c r="P4302" s="7" t="n">
        <v>14.4</v>
      </c>
      <c r="Q4302" s="7" t="n">
        <v>22</v>
      </c>
      <c r="R4302" s="7" t="s">
        <v>44</v>
      </c>
      <c r="S4302" s="7"/>
      <c r="T4302" s="7"/>
      <c r="U4302" s="7" t="str">
        <f aca="false">IF(COUNTIF($A$2:$A$5001,A4302)&gt;1,"Duplicate","Unique")</f>
        <v>Unique</v>
      </c>
      <c r="V4302" s="7" t="str">
        <f aca="false">IF(COUNTIFS($B$2:$B$5001,B4302,$H$2:$H$5001,H4302,$J$2:$J$5001,J4302)&gt;1,"Possible Duplicate Booking","Unique")</f>
        <v>Unique</v>
      </c>
      <c r="W4302" s="7" t="str">
        <f aca="false">IF((H4302-G4302)&lt;&gt;K4302,"Mismatch","OK")</f>
        <v>OK</v>
      </c>
      <c r="X4302" s="7" t="str">
        <f aca="false">IF(TEXT(H4302,"dddd")&lt;&gt;I4302,"Mismatch","OK")</f>
        <v>OK</v>
      </c>
      <c r="Y4302" s="7" t="str">
        <f aca="false">IF(AND(N4302="No",O4302&lt;&gt;""),"Unexpected: channel present but no reminder sent",IF(AND(N4302="Yes",O4302=""),"Missing channel for sent reminder","OK"))</f>
        <v>OK</v>
      </c>
    </row>
    <row r="4303" customFormat="false" ht="15" hidden="false" customHeight="false" outlineLevel="0" collapsed="false">
      <c r="A4303" s="9" t="s">
        <v>6005</v>
      </c>
      <c r="B4303" s="9" t="s">
        <v>6006</v>
      </c>
      <c r="C4303" s="9" t="s">
        <v>47</v>
      </c>
      <c r="D4303" s="9" t="n">
        <v>53</v>
      </c>
      <c r="E4303" s="9" t="s">
        <v>56</v>
      </c>
      <c r="F4303" s="9" t="s">
        <v>57</v>
      </c>
      <c r="G4303" s="10" t="n">
        <v>45965</v>
      </c>
      <c r="H4303" s="10" t="n">
        <v>46016</v>
      </c>
      <c r="I4303" s="9" t="s">
        <v>62</v>
      </c>
      <c r="J4303" s="9" t="s">
        <v>51</v>
      </c>
      <c r="K4303" s="9" t="n">
        <v>51</v>
      </c>
      <c r="L4303" s="9" t="n">
        <v>4</v>
      </c>
      <c r="M4303" s="9" t="n">
        <v>1</v>
      </c>
      <c r="N4303" s="9" t="s">
        <v>42</v>
      </c>
      <c r="O4303" s="9" t="s">
        <v>43</v>
      </c>
      <c r="P4303" s="9" t="n">
        <v>7.2</v>
      </c>
      <c r="Q4303" s="9" t="n">
        <v>44</v>
      </c>
      <c r="R4303" s="9" t="s">
        <v>44</v>
      </c>
      <c r="S4303" s="9"/>
      <c r="T4303" s="9"/>
      <c r="U4303" s="9" t="str">
        <f aca="false">IF(COUNTIF($A$2:$A$5001,A4303)&gt;1,"Duplicate","Unique")</f>
        <v>Unique</v>
      </c>
      <c r="V4303" s="9" t="str">
        <f aca="false">IF(COUNTIFS($B$2:$B$5001,B4303,$H$2:$H$5001,H4303,$J$2:$J$5001,J4303)&gt;1,"Possible Duplicate Booking","Unique")</f>
        <v>Unique</v>
      </c>
      <c r="W4303" s="9" t="str">
        <f aca="false">IF((H4303-G4303)&lt;&gt;K4303,"Mismatch","OK")</f>
        <v>OK</v>
      </c>
      <c r="X4303" s="9" t="str">
        <f aca="false">IF(TEXT(H4303,"dddd")&lt;&gt;I4303,"Mismatch","OK")</f>
        <v>OK</v>
      </c>
      <c r="Y4303" s="9" t="str">
        <f aca="false">IF(AND(N4303="No",O4303&lt;&gt;""),"Unexpected: channel present but no reminder sent",IF(AND(N4303="Yes",O4303=""),"Missing channel for sent reminder","OK"))</f>
        <v>OK</v>
      </c>
    </row>
    <row r="4304" customFormat="false" ht="15" hidden="false" customHeight="false" outlineLevel="0" collapsed="false">
      <c r="A4304" s="7" t="s">
        <v>6007</v>
      </c>
      <c r="B4304" s="7" t="s">
        <v>2244</v>
      </c>
      <c r="C4304" s="7" t="s">
        <v>47</v>
      </c>
      <c r="D4304" s="7" t="n">
        <v>23</v>
      </c>
      <c r="E4304" s="7" t="s">
        <v>82</v>
      </c>
      <c r="F4304" s="7" t="s">
        <v>49</v>
      </c>
      <c r="G4304" s="8" t="n">
        <v>45697</v>
      </c>
      <c r="H4304" s="8" t="n">
        <v>45730</v>
      </c>
      <c r="I4304" s="7" t="s">
        <v>50</v>
      </c>
      <c r="J4304" s="7" t="s">
        <v>51</v>
      </c>
      <c r="K4304" s="7" t="n">
        <v>33</v>
      </c>
      <c r="L4304" s="7" t="n">
        <v>4</v>
      </c>
      <c r="M4304" s="7" t="n">
        <v>2</v>
      </c>
      <c r="N4304" s="7" t="s">
        <v>42</v>
      </c>
      <c r="O4304" s="7" t="s">
        <v>52</v>
      </c>
      <c r="P4304" s="7" t="n">
        <v>3.5</v>
      </c>
      <c r="Q4304" s="7" t="n">
        <v>22</v>
      </c>
      <c r="R4304" s="7" t="s">
        <v>44</v>
      </c>
      <c r="S4304" s="7"/>
      <c r="T4304" s="7"/>
      <c r="U4304" s="7" t="str">
        <f aca="false">IF(COUNTIF($A$2:$A$5001,A4304)&gt;1,"Duplicate","Unique")</f>
        <v>Unique</v>
      </c>
      <c r="V4304" s="7" t="str">
        <f aca="false">IF(COUNTIFS($B$2:$B$5001,B4304,$H$2:$H$5001,H4304,$J$2:$J$5001,J4304)&gt;1,"Possible Duplicate Booking","Unique")</f>
        <v>Unique</v>
      </c>
      <c r="W4304" s="7" t="str">
        <f aca="false">IF((H4304-G4304)&lt;&gt;K4304,"Mismatch","OK")</f>
        <v>OK</v>
      </c>
      <c r="X4304" s="7" t="str">
        <f aca="false">IF(TEXT(H4304,"dddd")&lt;&gt;I4304,"Mismatch","OK")</f>
        <v>OK</v>
      </c>
      <c r="Y4304" s="7" t="str">
        <f aca="false">IF(AND(N4304="No",O4304&lt;&gt;""),"Unexpected: channel present but no reminder sent",IF(AND(N4304="Yes",O4304=""),"Missing channel for sent reminder","OK"))</f>
        <v>OK</v>
      </c>
    </row>
    <row r="4305" customFormat="false" ht="15" hidden="false" customHeight="false" outlineLevel="0" collapsed="false">
      <c r="A4305" s="9" t="s">
        <v>6008</v>
      </c>
      <c r="B4305" s="9" t="s">
        <v>1179</v>
      </c>
      <c r="C4305" s="9" t="s">
        <v>37</v>
      </c>
      <c r="D4305" s="9" t="n">
        <v>64</v>
      </c>
      <c r="E4305" s="9" t="s">
        <v>61</v>
      </c>
      <c r="F4305" s="9" t="s">
        <v>49</v>
      </c>
      <c r="G4305" s="10" t="n">
        <v>45628</v>
      </c>
      <c r="H4305" s="10" t="n">
        <v>45676</v>
      </c>
      <c r="I4305" s="9" t="s">
        <v>75</v>
      </c>
      <c r="J4305" s="9" t="s">
        <v>41</v>
      </c>
      <c r="K4305" s="9" t="n">
        <v>48</v>
      </c>
      <c r="L4305" s="9" t="n">
        <v>2</v>
      </c>
      <c r="M4305" s="9" t="n">
        <v>0</v>
      </c>
      <c r="N4305" s="9" t="s">
        <v>71</v>
      </c>
      <c r="O4305" s="9"/>
      <c r="P4305" s="9" t="n">
        <v>14.9</v>
      </c>
      <c r="Q4305" s="9" t="n">
        <v>18</v>
      </c>
      <c r="R4305" s="9" t="s">
        <v>44</v>
      </c>
      <c r="S4305" s="9"/>
      <c r="T4305" s="9"/>
      <c r="U4305" s="9" t="str">
        <f aca="false">IF(COUNTIF($A$2:$A$5001,A4305)&gt;1,"Duplicate","Unique")</f>
        <v>Unique</v>
      </c>
      <c r="V4305" s="9" t="str">
        <f aca="false">IF(COUNTIFS($B$2:$B$5001,B4305,$H$2:$H$5001,H4305,$J$2:$J$5001,J4305)&gt;1,"Possible Duplicate Booking","Unique")</f>
        <v>Unique</v>
      </c>
      <c r="W4305" s="9" t="str">
        <f aca="false">IF((H4305-G4305)&lt;&gt;K4305,"Mismatch","OK")</f>
        <v>OK</v>
      </c>
      <c r="X4305" s="9" t="str">
        <f aca="false">IF(TEXT(H4305,"dddd")&lt;&gt;I4305,"Mismatch","OK")</f>
        <v>OK</v>
      </c>
      <c r="Y4305" s="9" t="str">
        <f aca="false">IF(AND(N4305="No",O4305&lt;&gt;""),"Unexpected: channel present but no reminder sent",IF(AND(N4305="Yes",O4305=""),"Missing channel for sent reminder","OK"))</f>
        <v>OK</v>
      </c>
    </row>
    <row r="4306" customFormat="false" ht="15" hidden="false" customHeight="false" outlineLevel="0" collapsed="false">
      <c r="A4306" s="7" t="s">
        <v>6009</v>
      </c>
      <c r="B4306" s="7" t="s">
        <v>2799</v>
      </c>
      <c r="C4306" s="7" t="s">
        <v>37</v>
      </c>
      <c r="D4306" s="7" t="n">
        <v>19</v>
      </c>
      <c r="E4306" s="7" t="s">
        <v>82</v>
      </c>
      <c r="F4306" s="7" t="s">
        <v>39</v>
      </c>
      <c r="G4306" s="8" t="n">
        <v>45996</v>
      </c>
      <c r="H4306" s="8" t="n">
        <v>46023</v>
      </c>
      <c r="I4306" s="7" t="s">
        <v>62</v>
      </c>
      <c r="J4306" s="7" t="s">
        <v>51</v>
      </c>
      <c r="K4306" s="7" t="n">
        <v>27</v>
      </c>
      <c r="L4306" s="7" t="n">
        <v>5</v>
      </c>
      <c r="M4306" s="7" t="n">
        <v>0</v>
      </c>
      <c r="N4306" s="7" t="s">
        <v>71</v>
      </c>
      <c r="O4306" s="7"/>
      <c r="P4306" s="7" t="n">
        <v>8.1</v>
      </c>
      <c r="Q4306" s="7" t="n">
        <v>17</v>
      </c>
      <c r="R4306" s="7" t="s">
        <v>53</v>
      </c>
      <c r="S4306" s="7"/>
      <c r="T4306" s="7"/>
      <c r="U4306" s="7" t="str">
        <f aca="false">IF(COUNTIF($A$2:$A$5001,A4306)&gt;1,"Duplicate","Unique")</f>
        <v>Unique</v>
      </c>
      <c r="V4306" s="7" t="str">
        <f aca="false">IF(COUNTIFS($B$2:$B$5001,B4306,$H$2:$H$5001,H4306,$J$2:$J$5001,J4306)&gt;1,"Possible Duplicate Booking","Unique")</f>
        <v>Unique</v>
      </c>
      <c r="W4306" s="7" t="str">
        <f aca="false">IF((H4306-G4306)&lt;&gt;K4306,"Mismatch","OK")</f>
        <v>OK</v>
      </c>
      <c r="X4306" s="7" t="str">
        <f aca="false">IF(TEXT(H4306,"dddd")&lt;&gt;I4306,"Mismatch","OK")</f>
        <v>OK</v>
      </c>
      <c r="Y4306" s="7" t="str">
        <f aca="false">IF(AND(N4306="No",O4306&lt;&gt;""),"Unexpected: channel present but no reminder sent",IF(AND(N4306="Yes",O4306=""),"Missing channel for sent reminder","OK"))</f>
        <v>OK</v>
      </c>
    </row>
    <row r="4307" customFormat="false" ht="15" hidden="false" customHeight="false" outlineLevel="0" collapsed="false">
      <c r="A4307" s="9" t="s">
        <v>6010</v>
      </c>
      <c r="B4307" s="9" t="s">
        <v>69</v>
      </c>
      <c r="C4307" s="9" t="s">
        <v>47</v>
      </c>
      <c r="D4307" s="9" t="n">
        <v>80</v>
      </c>
      <c r="E4307" s="9" t="s">
        <v>70</v>
      </c>
      <c r="F4307" s="9" t="s">
        <v>39</v>
      </c>
      <c r="G4307" s="10" t="n">
        <v>46071</v>
      </c>
      <c r="H4307" s="10" t="n">
        <v>46078</v>
      </c>
      <c r="I4307" s="9" t="s">
        <v>58</v>
      </c>
      <c r="J4307" s="9" t="s">
        <v>63</v>
      </c>
      <c r="K4307" s="9" t="n">
        <v>7</v>
      </c>
      <c r="L4307" s="9" t="n">
        <v>1</v>
      </c>
      <c r="M4307" s="9" t="n">
        <v>0</v>
      </c>
      <c r="N4307" s="9" t="s">
        <v>71</v>
      </c>
      <c r="O4307" s="9"/>
      <c r="P4307" s="9" t="n">
        <v>16.4</v>
      </c>
      <c r="Q4307" s="9" t="n">
        <v>27</v>
      </c>
      <c r="R4307" s="9" t="s">
        <v>53</v>
      </c>
      <c r="S4307" s="9"/>
      <c r="T4307" s="9"/>
      <c r="U4307" s="9" t="str">
        <f aca="false">IF(COUNTIF($A$2:$A$5001,A4307)&gt;1,"Duplicate","Unique")</f>
        <v>Unique</v>
      </c>
      <c r="V4307" s="9" t="str">
        <f aca="false">IF(COUNTIFS($B$2:$B$5001,B4307,$H$2:$H$5001,H4307,$J$2:$J$5001,J4307)&gt;1,"Possible Duplicate Booking","Unique")</f>
        <v>Unique</v>
      </c>
      <c r="W4307" s="9" t="str">
        <f aca="false">IF((H4307-G4307)&lt;&gt;K4307,"Mismatch","OK")</f>
        <v>OK</v>
      </c>
      <c r="X4307" s="9" t="str">
        <f aca="false">IF(TEXT(H4307,"dddd")&lt;&gt;I4307,"Mismatch","OK")</f>
        <v>OK</v>
      </c>
      <c r="Y4307" s="9" t="str">
        <f aca="false">IF(AND(N4307="No",O4307&lt;&gt;""),"Unexpected: channel present but no reminder sent",IF(AND(N4307="Yes",O4307=""),"Missing channel for sent reminder","OK"))</f>
        <v>OK</v>
      </c>
    </row>
    <row r="4308" customFormat="false" ht="15" hidden="false" customHeight="false" outlineLevel="0" collapsed="false">
      <c r="A4308" s="7" t="s">
        <v>6011</v>
      </c>
      <c r="B4308" s="7" t="s">
        <v>1233</v>
      </c>
      <c r="C4308" s="7" t="s">
        <v>37</v>
      </c>
      <c r="D4308" s="7" t="n">
        <v>70</v>
      </c>
      <c r="E4308" s="7" t="s">
        <v>70</v>
      </c>
      <c r="F4308" s="7" t="s">
        <v>39</v>
      </c>
      <c r="G4308" s="8" t="n">
        <v>46020</v>
      </c>
      <c r="H4308" s="8" t="n">
        <v>46061</v>
      </c>
      <c r="I4308" s="7" t="s">
        <v>75</v>
      </c>
      <c r="J4308" s="7" t="s">
        <v>41</v>
      </c>
      <c r="K4308" s="7" t="n">
        <v>41</v>
      </c>
      <c r="L4308" s="7" t="n">
        <v>2</v>
      </c>
      <c r="M4308" s="7" t="n">
        <v>1</v>
      </c>
      <c r="N4308" s="7" t="s">
        <v>42</v>
      </c>
      <c r="O4308" s="7" t="s">
        <v>43</v>
      </c>
      <c r="P4308" s="7" t="n">
        <v>10.3</v>
      </c>
      <c r="Q4308" s="7" t="n">
        <v>12</v>
      </c>
      <c r="R4308" s="7" t="s">
        <v>53</v>
      </c>
      <c r="S4308" s="7"/>
      <c r="T4308" s="7"/>
      <c r="U4308" s="7" t="str">
        <f aca="false">IF(COUNTIF($A$2:$A$5001,A4308)&gt;1,"Duplicate","Unique")</f>
        <v>Unique</v>
      </c>
      <c r="V4308" s="7" t="str">
        <f aca="false">IF(COUNTIFS($B$2:$B$5001,B4308,$H$2:$H$5001,H4308,$J$2:$J$5001,J4308)&gt;1,"Possible Duplicate Booking","Unique")</f>
        <v>Unique</v>
      </c>
      <c r="W4308" s="7" t="str">
        <f aca="false">IF((H4308-G4308)&lt;&gt;K4308,"Mismatch","OK")</f>
        <v>OK</v>
      </c>
      <c r="X4308" s="7" t="str">
        <f aca="false">IF(TEXT(H4308,"dddd")&lt;&gt;I4308,"Mismatch","OK")</f>
        <v>OK</v>
      </c>
      <c r="Y4308" s="7" t="str">
        <f aca="false">IF(AND(N4308="No",O4308&lt;&gt;""),"Unexpected: channel present but no reminder sent",IF(AND(N4308="Yes",O4308=""),"Missing channel for sent reminder","OK"))</f>
        <v>OK</v>
      </c>
    </row>
    <row r="4309" customFormat="false" ht="15" hidden="false" customHeight="false" outlineLevel="0" collapsed="false">
      <c r="A4309" s="9" t="s">
        <v>6012</v>
      </c>
      <c r="B4309" s="9" t="s">
        <v>2549</v>
      </c>
      <c r="C4309" s="9" t="s">
        <v>37</v>
      </c>
      <c r="D4309" s="9" t="n">
        <v>54</v>
      </c>
      <c r="E4309" s="9" t="s">
        <v>56</v>
      </c>
      <c r="F4309" s="9" t="s">
        <v>39</v>
      </c>
      <c r="G4309" s="10" t="n">
        <v>46087</v>
      </c>
      <c r="H4309" s="10" t="n">
        <v>46094</v>
      </c>
      <c r="I4309" s="9" t="s">
        <v>50</v>
      </c>
      <c r="J4309" s="9" t="s">
        <v>51</v>
      </c>
      <c r="K4309" s="9" t="n">
        <v>7</v>
      </c>
      <c r="L4309" s="9" t="n">
        <v>2</v>
      </c>
      <c r="M4309" s="9" t="n">
        <v>0</v>
      </c>
      <c r="N4309" s="9" t="s">
        <v>42</v>
      </c>
      <c r="O4309" s="9" t="s">
        <v>52</v>
      </c>
      <c r="P4309" s="9" t="n">
        <v>11.6</v>
      </c>
      <c r="Q4309" s="9" t="n">
        <v>26</v>
      </c>
      <c r="R4309" s="9" t="s">
        <v>44</v>
      </c>
      <c r="S4309" s="9"/>
      <c r="T4309" s="9"/>
      <c r="U4309" s="9" t="str">
        <f aca="false">IF(COUNTIF($A$2:$A$5001,A4309)&gt;1,"Duplicate","Unique")</f>
        <v>Unique</v>
      </c>
      <c r="V4309" s="9" t="str">
        <f aca="false">IF(COUNTIFS($B$2:$B$5001,B4309,$H$2:$H$5001,H4309,$J$2:$J$5001,J4309)&gt;1,"Possible Duplicate Booking","Unique")</f>
        <v>Unique</v>
      </c>
      <c r="W4309" s="9" t="str">
        <f aca="false">IF((H4309-G4309)&lt;&gt;K4309,"Mismatch","OK")</f>
        <v>OK</v>
      </c>
      <c r="X4309" s="9" t="str">
        <f aca="false">IF(TEXT(H4309,"dddd")&lt;&gt;I4309,"Mismatch","OK")</f>
        <v>OK</v>
      </c>
      <c r="Y4309" s="9" t="str">
        <f aca="false">IF(AND(N4309="No",O4309&lt;&gt;""),"Unexpected: channel present but no reminder sent",IF(AND(N4309="Yes",O4309=""),"Missing channel for sent reminder","OK"))</f>
        <v>OK</v>
      </c>
    </row>
    <row r="4310" customFormat="false" ht="15" hidden="false" customHeight="false" outlineLevel="0" collapsed="false">
      <c r="A4310" s="7" t="s">
        <v>6013</v>
      </c>
      <c r="B4310" s="7" t="s">
        <v>1280</v>
      </c>
      <c r="C4310" s="7" t="s">
        <v>47</v>
      </c>
      <c r="D4310" s="7" t="n">
        <v>75</v>
      </c>
      <c r="E4310" s="7" t="s">
        <v>70</v>
      </c>
      <c r="F4310" s="7" t="s">
        <v>57</v>
      </c>
      <c r="G4310" s="8" t="n">
        <v>46056</v>
      </c>
      <c r="H4310" s="8" t="n">
        <v>46096</v>
      </c>
      <c r="I4310" s="7" t="s">
        <v>75</v>
      </c>
      <c r="J4310" s="7" t="s">
        <v>41</v>
      </c>
      <c r="K4310" s="7" t="n">
        <v>40</v>
      </c>
      <c r="L4310" s="7" t="n">
        <v>4</v>
      </c>
      <c r="M4310" s="7" t="n">
        <v>1</v>
      </c>
      <c r="N4310" s="7" t="s">
        <v>42</v>
      </c>
      <c r="O4310" s="7" t="s">
        <v>52</v>
      </c>
      <c r="P4310" s="7" t="n">
        <v>14.2</v>
      </c>
      <c r="Q4310" s="7" t="n">
        <v>26</v>
      </c>
      <c r="R4310" s="7" t="s">
        <v>53</v>
      </c>
      <c r="S4310" s="7"/>
      <c r="T4310" s="7"/>
      <c r="U4310" s="7" t="str">
        <f aca="false">IF(COUNTIF($A$2:$A$5001,A4310)&gt;1,"Duplicate","Unique")</f>
        <v>Unique</v>
      </c>
      <c r="V4310" s="7" t="str">
        <f aca="false">IF(COUNTIFS($B$2:$B$5001,B4310,$H$2:$H$5001,H4310,$J$2:$J$5001,J4310)&gt;1,"Possible Duplicate Booking","Unique")</f>
        <v>Unique</v>
      </c>
      <c r="W4310" s="7" t="str">
        <f aca="false">IF((H4310-G4310)&lt;&gt;K4310,"Mismatch","OK")</f>
        <v>OK</v>
      </c>
      <c r="X4310" s="7" t="str">
        <f aca="false">IF(TEXT(H4310,"dddd")&lt;&gt;I4310,"Mismatch","OK")</f>
        <v>OK</v>
      </c>
      <c r="Y4310" s="7" t="str">
        <f aca="false">IF(AND(N4310="No",O4310&lt;&gt;""),"Unexpected: channel present but no reminder sent",IF(AND(N4310="Yes",O4310=""),"Missing channel for sent reminder","OK"))</f>
        <v>OK</v>
      </c>
    </row>
    <row r="4311" customFormat="false" ht="15" hidden="false" customHeight="false" outlineLevel="0" collapsed="false">
      <c r="A4311" s="9" t="s">
        <v>6014</v>
      </c>
      <c r="B4311" s="9" t="s">
        <v>447</v>
      </c>
      <c r="C4311" s="9" t="s">
        <v>37</v>
      </c>
      <c r="D4311" s="9" t="n">
        <v>68</v>
      </c>
      <c r="E4311" s="9" t="s">
        <v>70</v>
      </c>
      <c r="F4311" s="9" t="s">
        <v>49</v>
      </c>
      <c r="G4311" s="10" t="n">
        <v>45961</v>
      </c>
      <c r="H4311" s="10" t="n">
        <v>45986</v>
      </c>
      <c r="I4311" s="9" t="s">
        <v>40</v>
      </c>
      <c r="J4311" s="9" t="s">
        <v>51</v>
      </c>
      <c r="K4311" s="9" t="n">
        <v>25</v>
      </c>
      <c r="L4311" s="9" t="n">
        <v>4</v>
      </c>
      <c r="M4311" s="9" t="n">
        <v>0</v>
      </c>
      <c r="N4311" s="9" t="s">
        <v>42</v>
      </c>
      <c r="O4311" s="9" t="s">
        <v>43</v>
      </c>
      <c r="P4311" s="9" t="n">
        <v>19.3</v>
      </c>
      <c r="Q4311" s="9" t="n">
        <v>31</v>
      </c>
      <c r="R4311" s="9" t="s">
        <v>53</v>
      </c>
      <c r="S4311" s="9"/>
      <c r="T4311" s="9"/>
      <c r="U4311" s="9" t="str">
        <f aca="false">IF(COUNTIF($A$2:$A$5001,A4311)&gt;1,"Duplicate","Unique")</f>
        <v>Unique</v>
      </c>
      <c r="V4311" s="9" t="str">
        <f aca="false">IF(COUNTIFS($B$2:$B$5001,B4311,$H$2:$H$5001,H4311,$J$2:$J$5001,J4311)&gt;1,"Possible Duplicate Booking","Unique")</f>
        <v>Unique</v>
      </c>
      <c r="W4311" s="9" t="str">
        <f aca="false">IF((H4311-G4311)&lt;&gt;K4311,"Mismatch","OK")</f>
        <v>OK</v>
      </c>
      <c r="X4311" s="9" t="str">
        <f aca="false">IF(TEXT(H4311,"dddd")&lt;&gt;I4311,"Mismatch","OK")</f>
        <v>OK</v>
      </c>
      <c r="Y4311" s="9" t="str">
        <f aca="false">IF(AND(N4311="No",O4311&lt;&gt;""),"Unexpected: channel present but no reminder sent",IF(AND(N4311="Yes",O4311=""),"Missing channel for sent reminder","OK"))</f>
        <v>OK</v>
      </c>
    </row>
    <row r="4312" customFormat="false" ht="15" hidden="false" customHeight="false" outlineLevel="0" collapsed="false">
      <c r="A4312" s="7" t="s">
        <v>6015</v>
      </c>
      <c r="B4312" s="7" t="s">
        <v>334</v>
      </c>
      <c r="C4312" s="7" t="s">
        <v>47</v>
      </c>
      <c r="D4312" s="7" t="n">
        <v>26</v>
      </c>
      <c r="E4312" s="7" t="s">
        <v>48</v>
      </c>
      <c r="F4312" s="7" t="s">
        <v>74</v>
      </c>
      <c r="G4312" s="8" t="n">
        <v>45893</v>
      </c>
      <c r="H4312" s="8" t="n">
        <v>45941</v>
      </c>
      <c r="I4312" s="7" t="s">
        <v>102</v>
      </c>
      <c r="J4312" s="7" t="s">
        <v>63</v>
      </c>
      <c r="K4312" s="7" t="n">
        <v>48</v>
      </c>
      <c r="L4312" s="7" t="n">
        <v>1</v>
      </c>
      <c r="M4312" s="7" t="n">
        <v>0</v>
      </c>
      <c r="N4312" s="7" t="s">
        <v>42</v>
      </c>
      <c r="O4312" s="7" t="s">
        <v>43</v>
      </c>
      <c r="P4312" s="7" t="n">
        <v>7.9</v>
      </c>
      <c r="Q4312" s="7" t="n">
        <v>5</v>
      </c>
      <c r="R4312" s="7" t="s">
        <v>53</v>
      </c>
      <c r="S4312" s="7"/>
      <c r="T4312" s="7"/>
      <c r="U4312" s="7" t="str">
        <f aca="false">IF(COUNTIF($A$2:$A$5001,A4312)&gt;1,"Duplicate","Unique")</f>
        <v>Unique</v>
      </c>
      <c r="V4312" s="7" t="str">
        <f aca="false">IF(COUNTIFS($B$2:$B$5001,B4312,$H$2:$H$5001,H4312,$J$2:$J$5001,J4312)&gt;1,"Possible Duplicate Booking","Unique")</f>
        <v>Unique</v>
      </c>
      <c r="W4312" s="7" t="str">
        <f aca="false">IF((H4312-G4312)&lt;&gt;K4312,"Mismatch","OK")</f>
        <v>OK</v>
      </c>
      <c r="X4312" s="7" t="str">
        <f aca="false">IF(TEXT(H4312,"dddd")&lt;&gt;I4312,"Mismatch","OK")</f>
        <v>OK</v>
      </c>
      <c r="Y4312" s="7" t="str">
        <f aca="false">IF(AND(N4312="No",O4312&lt;&gt;""),"Unexpected: channel present but no reminder sent",IF(AND(N4312="Yes",O4312=""),"Missing channel for sent reminder","OK"))</f>
        <v>OK</v>
      </c>
    </row>
    <row r="4313" customFormat="false" ht="15" hidden="false" customHeight="false" outlineLevel="0" collapsed="false">
      <c r="A4313" s="9" t="s">
        <v>6016</v>
      </c>
      <c r="B4313" s="9" t="s">
        <v>5700</v>
      </c>
      <c r="C4313" s="9" t="s">
        <v>37</v>
      </c>
      <c r="D4313" s="9" t="n">
        <v>64</v>
      </c>
      <c r="E4313" s="9" t="s">
        <v>61</v>
      </c>
      <c r="F4313" s="9" t="s">
        <v>39</v>
      </c>
      <c r="G4313" s="10" t="n">
        <v>46072</v>
      </c>
      <c r="H4313" s="10" t="n">
        <v>46125</v>
      </c>
      <c r="I4313" s="9" t="s">
        <v>66</v>
      </c>
      <c r="J4313" s="9" t="s">
        <v>63</v>
      </c>
      <c r="K4313" s="9" t="n">
        <v>53</v>
      </c>
      <c r="L4313" s="9" t="n">
        <v>3</v>
      </c>
      <c r="M4313" s="9" t="n">
        <v>1</v>
      </c>
      <c r="N4313" s="9" t="s">
        <v>42</v>
      </c>
      <c r="O4313" s="9" t="s">
        <v>43</v>
      </c>
      <c r="P4313" s="9" t="n">
        <v>8.1</v>
      </c>
      <c r="Q4313" s="9" t="n">
        <v>2</v>
      </c>
      <c r="R4313" s="9" t="s">
        <v>53</v>
      </c>
      <c r="S4313" s="9"/>
      <c r="T4313" s="9"/>
      <c r="U4313" s="9" t="str">
        <f aca="false">IF(COUNTIF($A$2:$A$5001,A4313)&gt;1,"Duplicate","Unique")</f>
        <v>Unique</v>
      </c>
      <c r="V4313" s="9" t="str">
        <f aca="false">IF(COUNTIFS($B$2:$B$5001,B4313,$H$2:$H$5001,H4313,$J$2:$J$5001,J4313)&gt;1,"Possible Duplicate Booking","Unique")</f>
        <v>Unique</v>
      </c>
      <c r="W4313" s="9" t="str">
        <f aca="false">IF((H4313-G4313)&lt;&gt;K4313,"Mismatch","OK")</f>
        <v>OK</v>
      </c>
      <c r="X4313" s="9" t="str">
        <f aca="false">IF(TEXT(H4313,"dddd")&lt;&gt;I4313,"Mismatch","OK")</f>
        <v>OK</v>
      </c>
      <c r="Y4313" s="9" t="str">
        <f aca="false">IF(AND(N4313="No",O4313&lt;&gt;""),"Unexpected: channel present but no reminder sent",IF(AND(N4313="Yes",O4313=""),"Missing channel for sent reminder","OK"))</f>
        <v>OK</v>
      </c>
    </row>
    <row r="4314" customFormat="false" ht="15" hidden="false" customHeight="false" outlineLevel="0" collapsed="false">
      <c r="A4314" s="7" t="s">
        <v>6017</v>
      </c>
      <c r="B4314" s="7" t="s">
        <v>6018</v>
      </c>
      <c r="C4314" s="7" t="s">
        <v>47</v>
      </c>
      <c r="D4314" s="7" t="n">
        <v>41</v>
      </c>
      <c r="E4314" s="7" t="s">
        <v>38</v>
      </c>
      <c r="F4314" s="7" t="s">
        <v>74</v>
      </c>
      <c r="G4314" s="8" t="n">
        <v>45824</v>
      </c>
      <c r="H4314" s="8" t="n">
        <v>45848</v>
      </c>
      <c r="I4314" s="7" t="s">
        <v>62</v>
      </c>
      <c r="J4314" s="7" t="s">
        <v>41</v>
      </c>
      <c r="K4314" s="7" t="n">
        <v>24</v>
      </c>
      <c r="L4314" s="7" t="n">
        <v>2</v>
      </c>
      <c r="M4314" s="7" t="n">
        <v>0</v>
      </c>
      <c r="N4314" s="7" t="s">
        <v>42</v>
      </c>
      <c r="O4314" s="7" t="s">
        <v>52</v>
      </c>
      <c r="P4314" s="7" t="n">
        <v>13.8</v>
      </c>
      <c r="Q4314" s="7" t="n">
        <v>19</v>
      </c>
      <c r="R4314" s="7" t="s">
        <v>44</v>
      </c>
      <c r="S4314" s="7"/>
      <c r="T4314" s="7"/>
      <c r="U4314" s="7" t="str">
        <f aca="false">IF(COUNTIF($A$2:$A$5001,A4314)&gt;1,"Duplicate","Unique")</f>
        <v>Unique</v>
      </c>
      <c r="V4314" s="7" t="str">
        <f aca="false">IF(COUNTIFS($B$2:$B$5001,B4314,$H$2:$H$5001,H4314,$J$2:$J$5001,J4314)&gt;1,"Possible Duplicate Booking","Unique")</f>
        <v>Unique</v>
      </c>
      <c r="W4314" s="7" t="str">
        <f aca="false">IF((H4314-G4314)&lt;&gt;K4314,"Mismatch","OK")</f>
        <v>OK</v>
      </c>
      <c r="X4314" s="7" t="str">
        <f aca="false">IF(TEXT(H4314,"dddd")&lt;&gt;I4314,"Mismatch","OK")</f>
        <v>OK</v>
      </c>
      <c r="Y4314" s="7" t="str">
        <f aca="false">IF(AND(N4314="No",O4314&lt;&gt;""),"Unexpected: channel present but no reminder sent",IF(AND(N4314="Yes",O4314=""),"Missing channel for sent reminder","OK"))</f>
        <v>OK</v>
      </c>
    </row>
    <row r="4315" customFormat="false" ht="15" hidden="false" customHeight="false" outlineLevel="0" collapsed="false">
      <c r="A4315" s="9" t="s">
        <v>6019</v>
      </c>
      <c r="B4315" s="9" t="s">
        <v>883</v>
      </c>
      <c r="C4315" s="9" t="s">
        <v>47</v>
      </c>
      <c r="D4315" s="9" t="n">
        <v>71</v>
      </c>
      <c r="E4315" s="9" t="s">
        <v>70</v>
      </c>
      <c r="F4315" s="9" t="s">
        <v>74</v>
      </c>
      <c r="G4315" s="10" t="n">
        <v>45658</v>
      </c>
      <c r="H4315" s="10" t="n">
        <v>45711</v>
      </c>
      <c r="I4315" s="9" t="s">
        <v>75</v>
      </c>
      <c r="J4315" s="9" t="s">
        <v>41</v>
      </c>
      <c r="K4315" s="9" t="n">
        <v>53</v>
      </c>
      <c r="L4315" s="9" t="n">
        <v>4</v>
      </c>
      <c r="M4315" s="9" t="n">
        <v>2</v>
      </c>
      <c r="N4315" s="9" t="s">
        <v>42</v>
      </c>
      <c r="O4315" s="9" t="s">
        <v>43</v>
      </c>
      <c r="P4315" s="9" t="n">
        <v>5</v>
      </c>
      <c r="Q4315" s="9" t="n">
        <v>22</v>
      </c>
      <c r="R4315" s="9" t="s">
        <v>53</v>
      </c>
      <c r="S4315" s="9"/>
      <c r="T4315" s="9"/>
      <c r="U4315" s="9" t="str">
        <f aca="false">IF(COUNTIF($A$2:$A$5001,A4315)&gt;1,"Duplicate","Unique")</f>
        <v>Unique</v>
      </c>
      <c r="V4315" s="9" t="str">
        <f aca="false">IF(COUNTIFS($B$2:$B$5001,B4315,$H$2:$H$5001,H4315,$J$2:$J$5001,J4315)&gt;1,"Possible Duplicate Booking","Unique")</f>
        <v>Unique</v>
      </c>
      <c r="W4315" s="9" t="str">
        <f aca="false">IF((H4315-G4315)&lt;&gt;K4315,"Mismatch","OK")</f>
        <v>OK</v>
      </c>
      <c r="X4315" s="9" t="str">
        <f aca="false">IF(TEXT(H4315,"dddd")&lt;&gt;I4315,"Mismatch","OK")</f>
        <v>OK</v>
      </c>
      <c r="Y4315" s="9" t="str">
        <f aca="false">IF(AND(N4315="No",O4315&lt;&gt;""),"Unexpected: channel present but no reminder sent",IF(AND(N4315="Yes",O4315=""),"Missing channel for sent reminder","OK"))</f>
        <v>OK</v>
      </c>
    </row>
    <row r="4316" customFormat="false" ht="15" hidden="false" customHeight="false" outlineLevel="0" collapsed="false">
      <c r="A4316" s="7" t="s">
        <v>6020</v>
      </c>
      <c r="B4316" s="7" t="s">
        <v>512</v>
      </c>
      <c r="C4316" s="7" t="s">
        <v>37</v>
      </c>
      <c r="D4316" s="7" t="n">
        <v>72</v>
      </c>
      <c r="E4316" s="7" t="s">
        <v>70</v>
      </c>
      <c r="F4316" s="7" t="s">
        <v>39</v>
      </c>
      <c r="G4316" s="8" t="n">
        <v>46062</v>
      </c>
      <c r="H4316" s="8" t="n">
        <v>46068</v>
      </c>
      <c r="I4316" s="7" t="s">
        <v>75</v>
      </c>
      <c r="J4316" s="7" t="s">
        <v>63</v>
      </c>
      <c r="K4316" s="7" t="n">
        <v>6</v>
      </c>
      <c r="L4316" s="7" t="n">
        <v>4</v>
      </c>
      <c r="M4316" s="7" t="n">
        <v>0</v>
      </c>
      <c r="N4316" s="7" t="s">
        <v>42</v>
      </c>
      <c r="O4316" s="7" t="s">
        <v>52</v>
      </c>
      <c r="P4316" s="7" t="n">
        <v>13.2</v>
      </c>
      <c r="Q4316" s="7" t="n">
        <v>12</v>
      </c>
      <c r="R4316" s="7" t="s">
        <v>53</v>
      </c>
      <c r="S4316" s="7"/>
      <c r="T4316" s="7"/>
      <c r="U4316" s="7" t="str">
        <f aca="false">IF(COUNTIF($A$2:$A$5001,A4316)&gt;1,"Duplicate","Unique")</f>
        <v>Unique</v>
      </c>
      <c r="V4316" s="7" t="str">
        <f aca="false">IF(COUNTIFS($B$2:$B$5001,B4316,$H$2:$H$5001,H4316,$J$2:$J$5001,J4316)&gt;1,"Possible Duplicate Booking","Unique")</f>
        <v>Unique</v>
      </c>
      <c r="W4316" s="7" t="str">
        <f aca="false">IF((H4316-G4316)&lt;&gt;K4316,"Mismatch","OK")</f>
        <v>OK</v>
      </c>
      <c r="X4316" s="7" t="str">
        <f aca="false">IF(TEXT(H4316,"dddd")&lt;&gt;I4316,"Mismatch","OK")</f>
        <v>OK</v>
      </c>
      <c r="Y4316" s="7" t="str">
        <f aca="false">IF(AND(N4316="No",O4316&lt;&gt;""),"Unexpected: channel present but no reminder sent",IF(AND(N4316="Yes",O4316=""),"Missing channel for sent reminder","OK"))</f>
        <v>OK</v>
      </c>
    </row>
    <row r="4317" customFormat="false" ht="15" hidden="false" customHeight="false" outlineLevel="0" collapsed="false">
      <c r="A4317" s="9" t="s">
        <v>6021</v>
      </c>
      <c r="B4317" s="9" t="s">
        <v>747</v>
      </c>
      <c r="C4317" s="9" t="s">
        <v>47</v>
      </c>
      <c r="D4317" s="9" t="n">
        <v>78</v>
      </c>
      <c r="E4317" s="9" t="s">
        <v>70</v>
      </c>
      <c r="F4317" s="9" t="s">
        <v>49</v>
      </c>
      <c r="G4317" s="10" t="n">
        <v>45802</v>
      </c>
      <c r="H4317" s="10" t="n">
        <v>45808</v>
      </c>
      <c r="I4317" s="9" t="s">
        <v>102</v>
      </c>
      <c r="J4317" s="9" t="s">
        <v>41</v>
      </c>
      <c r="K4317" s="9" t="n">
        <v>6</v>
      </c>
      <c r="L4317" s="9" t="n">
        <v>3</v>
      </c>
      <c r="M4317" s="9" t="n">
        <v>1</v>
      </c>
      <c r="N4317" s="9" t="s">
        <v>71</v>
      </c>
      <c r="O4317" s="9"/>
      <c r="P4317" s="9" t="n">
        <v>14.5</v>
      </c>
      <c r="Q4317" s="9" t="n">
        <v>9</v>
      </c>
      <c r="R4317" s="9" t="s">
        <v>44</v>
      </c>
      <c r="S4317" s="9"/>
      <c r="T4317" s="9"/>
      <c r="U4317" s="9" t="str">
        <f aca="false">IF(COUNTIF($A$2:$A$5001,A4317)&gt;1,"Duplicate","Unique")</f>
        <v>Unique</v>
      </c>
      <c r="V4317" s="9" t="str">
        <f aca="false">IF(COUNTIFS($B$2:$B$5001,B4317,$H$2:$H$5001,H4317,$J$2:$J$5001,J4317)&gt;1,"Possible Duplicate Booking","Unique")</f>
        <v>Unique</v>
      </c>
      <c r="W4317" s="9" t="str">
        <f aca="false">IF((H4317-G4317)&lt;&gt;K4317,"Mismatch","OK")</f>
        <v>OK</v>
      </c>
      <c r="X4317" s="9" t="str">
        <f aca="false">IF(TEXT(H4317,"dddd")&lt;&gt;I4317,"Mismatch","OK")</f>
        <v>OK</v>
      </c>
      <c r="Y4317" s="9" t="str">
        <f aca="false">IF(AND(N4317="No",O4317&lt;&gt;""),"Unexpected: channel present but no reminder sent",IF(AND(N4317="Yes",O4317=""),"Missing channel for sent reminder","OK"))</f>
        <v>OK</v>
      </c>
    </row>
    <row r="4318" customFormat="false" ht="15" hidden="false" customHeight="false" outlineLevel="0" collapsed="false">
      <c r="A4318" s="7" t="s">
        <v>6022</v>
      </c>
      <c r="B4318" s="7" t="s">
        <v>1600</v>
      </c>
      <c r="C4318" s="7" t="s">
        <v>37</v>
      </c>
      <c r="D4318" s="7" t="n">
        <v>46</v>
      </c>
      <c r="E4318" s="7" t="s">
        <v>56</v>
      </c>
      <c r="F4318" s="7" t="s">
        <v>39</v>
      </c>
      <c r="G4318" s="8" t="n">
        <v>46132</v>
      </c>
      <c r="H4318" s="8" t="n">
        <v>46192</v>
      </c>
      <c r="I4318" s="7" t="s">
        <v>50</v>
      </c>
      <c r="J4318" s="7" t="s">
        <v>63</v>
      </c>
      <c r="K4318" s="7" t="n">
        <v>60</v>
      </c>
      <c r="L4318" s="7" t="n">
        <v>4</v>
      </c>
      <c r="M4318" s="7" t="n">
        <v>0</v>
      </c>
      <c r="N4318" s="7" t="s">
        <v>42</v>
      </c>
      <c r="O4318" s="7" t="s">
        <v>43</v>
      </c>
      <c r="P4318" s="7" t="n">
        <v>30.1</v>
      </c>
      <c r="Q4318" s="7" t="n">
        <v>29</v>
      </c>
      <c r="R4318" s="7" t="s">
        <v>44</v>
      </c>
      <c r="S4318" s="7"/>
      <c r="T4318" s="7"/>
      <c r="U4318" s="7" t="str">
        <f aca="false">IF(COUNTIF($A$2:$A$5001,A4318)&gt;1,"Duplicate","Unique")</f>
        <v>Unique</v>
      </c>
      <c r="V4318" s="7" t="str">
        <f aca="false">IF(COUNTIFS($B$2:$B$5001,B4318,$H$2:$H$5001,H4318,$J$2:$J$5001,J4318)&gt;1,"Possible Duplicate Booking","Unique")</f>
        <v>Unique</v>
      </c>
      <c r="W4318" s="7" t="str">
        <f aca="false">IF((H4318-G4318)&lt;&gt;K4318,"Mismatch","OK")</f>
        <v>OK</v>
      </c>
      <c r="X4318" s="7" t="str">
        <f aca="false">IF(TEXT(H4318,"dddd")&lt;&gt;I4318,"Mismatch","OK")</f>
        <v>OK</v>
      </c>
      <c r="Y4318" s="7" t="str">
        <f aca="false">IF(AND(N4318="No",O4318&lt;&gt;""),"Unexpected: channel present but no reminder sent",IF(AND(N4318="Yes",O4318=""),"Missing channel for sent reminder","OK"))</f>
        <v>OK</v>
      </c>
    </row>
    <row r="4319" customFormat="false" ht="15" hidden="false" customHeight="false" outlineLevel="0" collapsed="false">
      <c r="A4319" s="9" t="s">
        <v>6023</v>
      </c>
      <c r="B4319" s="9" t="s">
        <v>2180</v>
      </c>
      <c r="C4319" s="9" t="s">
        <v>47</v>
      </c>
      <c r="D4319" s="9" t="n">
        <v>30</v>
      </c>
      <c r="E4319" s="9" t="s">
        <v>48</v>
      </c>
      <c r="F4319" s="9" t="s">
        <v>57</v>
      </c>
      <c r="G4319" s="10" t="n">
        <v>45849</v>
      </c>
      <c r="H4319" s="10" t="n">
        <v>45884</v>
      </c>
      <c r="I4319" s="9" t="s">
        <v>50</v>
      </c>
      <c r="J4319" s="9" t="s">
        <v>51</v>
      </c>
      <c r="K4319" s="9" t="n">
        <v>35</v>
      </c>
      <c r="L4319" s="9" t="n">
        <v>4</v>
      </c>
      <c r="M4319" s="9" t="n">
        <v>0</v>
      </c>
      <c r="N4319" s="9" t="s">
        <v>42</v>
      </c>
      <c r="O4319" s="9" t="s">
        <v>52</v>
      </c>
      <c r="P4319" s="9" t="n">
        <v>12.8</v>
      </c>
      <c r="Q4319" s="9" t="n">
        <v>21</v>
      </c>
      <c r="R4319" s="9" t="s">
        <v>44</v>
      </c>
      <c r="S4319" s="9"/>
      <c r="T4319" s="9"/>
      <c r="U4319" s="9" t="str">
        <f aca="false">IF(COUNTIF($A$2:$A$5001,A4319)&gt;1,"Duplicate","Unique")</f>
        <v>Unique</v>
      </c>
      <c r="V4319" s="9" t="str">
        <f aca="false">IF(COUNTIFS($B$2:$B$5001,B4319,$H$2:$H$5001,H4319,$J$2:$J$5001,J4319)&gt;1,"Possible Duplicate Booking","Unique")</f>
        <v>Unique</v>
      </c>
      <c r="W4319" s="9" t="str">
        <f aca="false">IF((H4319-G4319)&lt;&gt;K4319,"Mismatch","OK")</f>
        <v>OK</v>
      </c>
      <c r="X4319" s="9" t="str">
        <f aca="false">IF(TEXT(H4319,"dddd")&lt;&gt;I4319,"Mismatch","OK")</f>
        <v>OK</v>
      </c>
      <c r="Y4319" s="9" t="str">
        <f aca="false">IF(AND(N4319="No",O4319&lt;&gt;""),"Unexpected: channel present but no reminder sent",IF(AND(N4319="Yes",O4319=""),"Missing channel for sent reminder","OK"))</f>
        <v>OK</v>
      </c>
    </row>
    <row r="4320" customFormat="false" ht="15" hidden="false" customHeight="false" outlineLevel="0" collapsed="false">
      <c r="A4320" s="7" t="s">
        <v>6024</v>
      </c>
      <c r="B4320" s="7" t="s">
        <v>5447</v>
      </c>
      <c r="C4320" s="7" t="s">
        <v>37</v>
      </c>
      <c r="D4320" s="7" t="n">
        <v>25</v>
      </c>
      <c r="E4320" s="7" t="s">
        <v>48</v>
      </c>
      <c r="F4320" s="7" t="s">
        <v>57</v>
      </c>
      <c r="G4320" s="8" t="n">
        <v>46096</v>
      </c>
      <c r="H4320" s="8" t="n">
        <v>46123</v>
      </c>
      <c r="I4320" s="7" t="s">
        <v>102</v>
      </c>
      <c r="J4320" s="7" t="s">
        <v>63</v>
      </c>
      <c r="K4320" s="7" t="n">
        <v>27</v>
      </c>
      <c r="L4320" s="7" t="n">
        <v>2</v>
      </c>
      <c r="M4320" s="7" t="n">
        <v>0</v>
      </c>
      <c r="N4320" s="7" t="s">
        <v>42</v>
      </c>
      <c r="O4320" s="7" t="s">
        <v>52</v>
      </c>
      <c r="P4320" s="7" t="n">
        <v>18.4</v>
      </c>
      <c r="Q4320" s="7" t="n">
        <v>33</v>
      </c>
      <c r="R4320" s="7" t="s">
        <v>53</v>
      </c>
      <c r="S4320" s="7"/>
      <c r="T4320" s="7"/>
      <c r="U4320" s="7" t="str">
        <f aca="false">IF(COUNTIF($A$2:$A$5001,A4320)&gt;1,"Duplicate","Unique")</f>
        <v>Unique</v>
      </c>
      <c r="V4320" s="7" t="str">
        <f aca="false">IF(COUNTIFS($B$2:$B$5001,B4320,$H$2:$H$5001,H4320,$J$2:$J$5001,J4320)&gt;1,"Possible Duplicate Booking","Unique")</f>
        <v>Unique</v>
      </c>
      <c r="W4320" s="7" t="str">
        <f aca="false">IF((H4320-G4320)&lt;&gt;K4320,"Mismatch","OK")</f>
        <v>OK</v>
      </c>
      <c r="X4320" s="7" t="str">
        <f aca="false">IF(TEXT(H4320,"dddd")&lt;&gt;I4320,"Mismatch","OK")</f>
        <v>OK</v>
      </c>
      <c r="Y4320" s="7" t="str">
        <f aca="false">IF(AND(N4320="No",O4320&lt;&gt;""),"Unexpected: channel present but no reminder sent",IF(AND(N4320="Yes",O4320=""),"Missing channel for sent reminder","OK"))</f>
        <v>OK</v>
      </c>
    </row>
    <row r="4321" customFormat="false" ht="15" hidden="false" customHeight="false" outlineLevel="0" collapsed="false">
      <c r="A4321" s="9" t="s">
        <v>6025</v>
      </c>
      <c r="B4321" s="9" t="s">
        <v>358</v>
      </c>
      <c r="C4321" s="9" t="s">
        <v>236</v>
      </c>
      <c r="D4321" s="9" t="n">
        <v>28</v>
      </c>
      <c r="E4321" s="9" t="s">
        <v>48</v>
      </c>
      <c r="F4321" s="9" t="s">
        <v>39</v>
      </c>
      <c r="G4321" s="10" t="n">
        <v>45672</v>
      </c>
      <c r="H4321" s="10" t="n">
        <v>45681</v>
      </c>
      <c r="I4321" s="9" t="s">
        <v>50</v>
      </c>
      <c r="J4321" s="9" t="s">
        <v>41</v>
      </c>
      <c r="K4321" s="9" t="n">
        <v>9</v>
      </c>
      <c r="L4321" s="9" t="n">
        <v>4</v>
      </c>
      <c r="M4321" s="9" t="n">
        <v>0</v>
      </c>
      <c r="N4321" s="9" t="s">
        <v>42</v>
      </c>
      <c r="O4321" s="9" t="s">
        <v>52</v>
      </c>
      <c r="P4321" s="9" t="n">
        <v>7</v>
      </c>
      <c r="Q4321" s="9" t="n">
        <v>9</v>
      </c>
      <c r="R4321" s="9" t="s">
        <v>53</v>
      </c>
      <c r="S4321" s="9"/>
      <c r="T4321" s="9"/>
      <c r="U4321" s="9" t="str">
        <f aca="false">IF(COUNTIF($A$2:$A$5001,A4321)&gt;1,"Duplicate","Unique")</f>
        <v>Unique</v>
      </c>
      <c r="V4321" s="9" t="str">
        <f aca="false">IF(COUNTIFS($B$2:$B$5001,B4321,$H$2:$H$5001,H4321,$J$2:$J$5001,J4321)&gt;1,"Possible Duplicate Booking","Unique")</f>
        <v>Unique</v>
      </c>
      <c r="W4321" s="9" t="str">
        <f aca="false">IF((H4321-G4321)&lt;&gt;K4321,"Mismatch","OK")</f>
        <v>OK</v>
      </c>
      <c r="X4321" s="9" t="str">
        <f aca="false">IF(TEXT(H4321,"dddd")&lt;&gt;I4321,"Mismatch","OK")</f>
        <v>OK</v>
      </c>
      <c r="Y4321" s="9" t="str">
        <f aca="false">IF(AND(N4321="No",O4321&lt;&gt;""),"Unexpected: channel present but no reminder sent",IF(AND(N4321="Yes",O4321=""),"Missing channel for sent reminder","OK"))</f>
        <v>OK</v>
      </c>
    </row>
    <row r="4322" customFormat="false" ht="15" hidden="false" customHeight="false" outlineLevel="0" collapsed="false">
      <c r="A4322" s="7" t="s">
        <v>6026</v>
      </c>
      <c r="B4322" s="7" t="s">
        <v>5766</v>
      </c>
      <c r="C4322" s="7" t="s">
        <v>37</v>
      </c>
      <c r="D4322" s="7" t="n">
        <v>80</v>
      </c>
      <c r="E4322" s="7" t="s">
        <v>70</v>
      </c>
      <c r="F4322" s="7" t="s">
        <v>49</v>
      </c>
      <c r="G4322" s="8" t="n">
        <v>46000</v>
      </c>
      <c r="H4322" s="8" t="n">
        <v>46017</v>
      </c>
      <c r="I4322" s="7" t="s">
        <v>50</v>
      </c>
      <c r="J4322" s="7" t="s">
        <v>51</v>
      </c>
      <c r="K4322" s="7" t="n">
        <v>17</v>
      </c>
      <c r="L4322" s="7" t="n">
        <v>4</v>
      </c>
      <c r="M4322" s="7" t="n">
        <v>1</v>
      </c>
      <c r="N4322" s="7" t="s">
        <v>71</v>
      </c>
      <c r="O4322" s="7"/>
      <c r="P4322" s="7" t="n">
        <v>6.6</v>
      </c>
      <c r="Q4322" s="7" t="n">
        <v>23</v>
      </c>
      <c r="R4322" s="7" t="s">
        <v>53</v>
      </c>
      <c r="S4322" s="7"/>
      <c r="T4322" s="7"/>
      <c r="U4322" s="7" t="str">
        <f aca="false">IF(COUNTIF($A$2:$A$5001,A4322)&gt;1,"Duplicate","Unique")</f>
        <v>Unique</v>
      </c>
      <c r="V4322" s="7" t="str">
        <f aca="false">IF(COUNTIFS($B$2:$B$5001,B4322,$H$2:$H$5001,H4322,$J$2:$J$5001,J4322)&gt;1,"Possible Duplicate Booking","Unique")</f>
        <v>Unique</v>
      </c>
      <c r="W4322" s="7" t="str">
        <f aca="false">IF((H4322-G4322)&lt;&gt;K4322,"Mismatch","OK")</f>
        <v>OK</v>
      </c>
      <c r="X4322" s="7" t="str">
        <f aca="false">IF(TEXT(H4322,"dddd")&lt;&gt;I4322,"Mismatch","OK")</f>
        <v>OK</v>
      </c>
      <c r="Y4322" s="7" t="str">
        <f aca="false">IF(AND(N4322="No",O4322&lt;&gt;""),"Unexpected: channel present but no reminder sent",IF(AND(N4322="Yes",O4322=""),"Missing channel for sent reminder","OK"))</f>
        <v>OK</v>
      </c>
    </row>
    <row r="4323" customFormat="false" ht="15" hidden="false" customHeight="false" outlineLevel="0" collapsed="false">
      <c r="A4323" s="9" t="s">
        <v>6027</v>
      </c>
      <c r="B4323" s="9" t="s">
        <v>811</v>
      </c>
      <c r="C4323" s="9" t="s">
        <v>47</v>
      </c>
      <c r="D4323" s="9" t="n">
        <v>54</v>
      </c>
      <c r="E4323" s="9" t="s">
        <v>56</v>
      </c>
      <c r="F4323" s="9" t="s">
        <v>57</v>
      </c>
      <c r="G4323" s="10" t="n">
        <v>45861</v>
      </c>
      <c r="H4323" s="10" t="n">
        <v>45902</v>
      </c>
      <c r="I4323" s="9" t="s">
        <v>40</v>
      </c>
      <c r="J4323" s="9" t="s">
        <v>63</v>
      </c>
      <c r="K4323" s="9" t="n">
        <v>41</v>
      </c>
      <c r="L4323" s="9" t="n">
        <v>1</v>
      </c>
      <c r="M4323" s="9" t="n">
        <v>0</v>
      </c>
      <c r="N4323" s="9" t="s">
        <v>42</v>
      </c>
      <c r="O4323" s="9" t="s">
        <v>52</v>
      </c>
      <c r="P4323" s="9" t="n">
        <v>8.5</v>
      </c>
      <c r="Q4323" s="9" t="n">
        <v>42</v>
      </c>
      <c r="R4323" s="9" t="s">
        <v>53</v>
      </c>
      <c r="S4323" s="9"/>
      <c r="T4323" s="9"/>
      <c r="U4323" s="9" t="str">
        <f aca="false">IF(COUNTIF($A$2:$A$5001,A4323)&gt;1,"Duplicate","Unique")</f>
        <v>Unique</v>
      </c>
      <c r="V4323" s="9" t="str">
        <f aca="false">IF(COUNTIFS($B$2:$B$5001,B4323,$H$2:$H$5001,H4323,$J$2:$J$5001,J4323)&gt;1,"Possible Duplicate Booking","Unique")</f>
        <v>Unique</v>
      </c>
      <c r="W4323" s="9" t="str">
        <f aca="false">IF((H4323-G4323)&lt;&gt;K4323,"Mismatch","OK")</f>
        <v>OK</v>
      </c>
      <c r="X4323" s="9" t="str">
        <f aca="false">IF(TEXT(H4323,"dddd")&lt;&gt;I4323,"Mismatch","OK")</f>
        <v>OK</v>
      </c>
      <c r="Y4323" s="9" t="str">
        <f aca="false">IF(AND(N4323="No",O4323&lt;&gt;""),"Unexpected: channel present but no reminder sent",IF(AND(N4323="Yes",O4323=""),"Missing channel for sent reminder","OK"))</f>
        <v>OK</v>
      </c>
    </row>
    <row r="4324" customFormat="false" ht="15" hidden="false" customHeight="false" outlineLevel="0" collapsed="false">
      <c r="A4324" s="7" t="s">
        <v>6028</v>
      </c>
      <c r="B4324" s="7" t="s">
        <v>6029</v>
      </c>
      <c r="C4324" s="7" t="s">
        <v>37</v>
      </c>
      <c r="D4324" s="7" t="n">
        <v>40</v>
      </c>
      <c r="E4324" s="7" t="s">
        <v>38</v>
      </c>
      <c r="F4324" s="7" t="s">
        <v>49</v>
      </c>
      <c r="G4324" s="8" t="n">
        <v>45860</v>
      </c>
      <c r="H4324" s="8" t="n">
        <v>45910</v>
      </c>
      <c r="I4324" s="7" t="s">
        <v>58</v>
      </c>
      <c r="J4324" s="7" t="s">
        <v>41</v>
      </c>
      <c r="K4324" s="7" t="n">
        <v>50</v>
      </c>
      <c r="L4324" s="7" t="n">
        <v>2</v>
      </c>
      <c r="M4324" s="7" t="n">
        <v>0</v>
      </c>
      <c r="N4324" s="7" t="s">
        <v>71</v>
      </c>
      <c r="O4324" s="7"/>
      <c r="P4324" s="7" t="n">
        <v>5.7</v>
      </c>
      <c r="Q4324" s="7" t="n">
        <v>21</v>
      </c>
      <c r="R4324" s="7" t="s">
        <v>44</v>
      </c>
      <c r="S4324" s="7"/>
      <c r="T4324" s="7"/>
      <c r="U4324" s="7" t="str">
        <f aca="false">IF(COUNTIF($A$2:$A$5001,A4324)&gt;1,"Duplicate","Unique")</f>
        <v>Unique</v>
      </c>
      <c r="V4324" s="7" t="str">
        <f aca="false">IF(COUNTIFS($B$2:$B$5001,B4324,$H$2:$H$5001,H4324,$J$2:$J$5001,J4324)&gt;1,"Possible Duplicate Booking","Unique")</f>
        <v>Unique</v>
      </c>
      <c r="W4324" s="7" t="str">
        <f aca="false">IF((H4324-G4324)&lt;&gt;K4324,"Mismatch","OK")</f>
        <v>OK</v>
      </c>
      <c r="X4324" s="7" t="str">
        <f aca="false">IF(TEXT(H4324,"dddd")&lt;&gt;I4324,"Mismatch","OK")</f>
        <v>OK</v>
      </c>
      <c r="Y4324" s="7" t="str">
        <f aca="false">IF(AND(N4324="No",O4324&lt;&gt;""),"Unexpected: channel present but no reminder sent",IF(AND(N4324="Yes",O4324=""),"Missing channel for sent reminder","OK"))</f>
        <v>OK</v>
      </c>
    </row>
    <row r="4325" customFormat="false" ht="15" hidden="false" customHeight="false" outlineLevel="0" collapsed="false">
      <c r="A4325" s="9" t="s">
        <v>6030</v>
      </c>
      <c r="B4325" s="9" t="s">
        <v>5646</v>
      </c>
      <c r="C4325" s="9" t="s">
        <v>37</v>
      </c>
      <c r="D4325" s="9" t="n">
        <v>46</v>
      </c>
      <c r="E4325" s="9" t="s">
        <v>56</v>
      </c>
      <c r="F4325" s="9" t="s">
        <v>39</v>
      </c>
      <c r="G4325" s="10" t="n">
        <v>45747</v>
      </c>
      <c r="H4325" s="10" t="n">
        <v>45802</v>
      </c>
      <c r="I4325" s="9" t="s">
        <v>75</v>
      </c>
      <c r="J4325" s="9" t="s">
        <v>63</v>
      </c>
      <c r="K4325" s="9" t="n">
        <v>55</v>
      </c>
      <c r="L4325" s="9" t="n">
        <v>1</v>
      </c>
      <c r="M4325" s="9" t="n">
        <v>1</v>
      </c>
      <c r="N4325" s="9" t="s">
        <v>42</v>
      </c>
      <c r="O4325" s="9" t="s">
        <v>52</v>
      </c>
      <c r="P4325" s="9" t="n">
        <v>13</v>
      </c>
      <c r="Q4325" s="9" t="n">
        <v>18</v>
      </c>
      <c r="R4325" s="9" t="s">
        <v>44</v>
      </c>
      <c r="S4325" s="9"/>
      <c r="T4325" s="9"/>
      <c r="U4325" s="9" t="str">
        <f aca="false">IF(COUNTIF($A$2:$A$5001,A4325)&gt;1,"Duplicate","Unique")</f>
        <v>Unique</v>
      </c>
      <c r="V4325" s="9" t="str">
        <f aca="false">IF(COUNTIFS($B$2:$B$5001,B4325,$H$2:$H$5001,H4325,$J$2:$J$5001,J4325)&gt;1,"Possible Duplicate Booking","Unique")</f>
        <v>Unique</v>
      </c>
      <c r="W4325" s="9" t="str">
        <f aca="false">IF((H4325-G4325)&lt;&gt;K4325,"Mismatch","OK")</f>
        <v>OK</v>
      </c>
      <c r="X4325" s="9" t="str">
        <f aca="false">IF(TEXT(H4325,"dddd")&lt;&gt;I4325,"Mismatch","OK")</f>
        <v>OK</v>
      </c>
      <c r="Y4325" s="9" t="str">
        <f aca="false">IF(AND(N4325="No",O4325&lt;&gt;""),"Unexpected: channel present but no reminder sent",IF(AND(N4325="Yes",O4325=""),"Missing channel for sent reminder","OK"))</f>
        <v>OK</v>
      </c>
    </row>
    <row r="4326" customFormat="false" ht="15" hidden="false" customHeight="false" outlineLevel="0" collapsed="false">
      <c r="A4326" s="7" t="s">
        <v>6031</v>
      </c>
      <c r="B4326" s="7" t="s">
        <v>2180</v>
      </c>
      <c r="C4326" s="7" t="s">
        <v>37</v>
      </c>
      <c r="D4326" s="7" t="n">
        <v>28</v>
      </c>
      <c r="E4326" s="7" t="s">
        <v>48</v>
      </c>
      <c r="F4326" s="7" t="s">
        <v>39</v>
      </c>
      <c r="G4326" s="8" t="n">
        <v>46164</v>
      </c>
      <c r="H4326" s="8" t="n">
        <v>46188</v>
      </c>
      <c r="I4326" s="7" t="s">
        <v>66</v>
      </c>
      <c r="J4326" s="7" t="s">
        <v>51</v>
      </c>
      <c r="K4326" s="7" t="n">
        <v>24</v>
      </c>
      <c r="L4326" s="7" t="n">
        <v>4</v>
      </c>
      <c r="M4326" s="7" t="n">
        <v>1</v>
      </c>
      <c r="N4326" s="7" t="s">
        <v>42</v>
      </c>
      <c r="O4326" s="7" t="s">
        <v>43</v>
      </c>
      <c r="P4326" s="7" t="n">
        <v>4.6</v>
      </c>
      <c r="Q4326" s="7" t="n">
        <v>34</v>
      </c>
      <c r="R4326" s="7" t="s">
        <v>44</v>
      </c>
      <c r="S4326" s="7"/>
      <c r="T4326" s="7"/>
      <c r="U4326" s="7" t="str">
        <f aca="false">IF(COUNTIF($A$2:$A$5001,A4326)&gt;1,"Duplicate","Unique")</f>
        <v>Unique</v>
      </c>
      <c r="V4326" s="7" t="str">
        <f aca="false">IF(COUNTIFS($B$2:$B$5001,B4326,$H$2:$H$5001,H4326,$J$2:$J$5001,J4326)&gt;1,"Possible Duplicate Booking","Unique")</f>
        <v>Unique</v>
      </c>
      <c r="W4326" s="7" t="str">
        <f aca="false">IF((H4326-G4326)&lt;&gt;K4326,"Mismatch","OK")</f>
        <v>OK</v>
      </c>
      <c r="X4326" s="7" t="str">
        <f aca="false">IF(TEXT(H4326,"dddd")&lt;&gt;I4326,"Mismatch","OK")</f>
        <v>OK</v>
      </c>
      <c r="Y4326" s="7" t="str">
        <f aca="false">IF(AND(N4326="No",O4326&lt;&gt;""),"Unexpected: channel present but no reminder sent",IF(AND(N4326="Yes",O4326=""),"Missing channel for sent reminder","OK"))</f>
        <v>OK</v>
      </c>
    </row>
    <row r="4327" customFormat="false" ht="15" hidden="false" customHeight="false" outlineLevel="0" collapsed="false">
      <c r="A4327" s="9" t="s">
        <v>6032</v>
      </c>
      <c r="B4327" s="9" t="s">
        <v>6033</v>
      </c>
      <c r="C4327" s="9" t="s">
        <v>37</v>
      </c>
      <c r="D4327" s="9" t="n">
        <v>53</v>
      </c>
      <c r="E4327" s="9" t="s">
        <v>56</v>
      </c>
      <c r="F4327" s="9" t="s">
        <v>57</v>
      </c>
      <c r="G4327" s="10" t="n">
        <v>45845</v>
      </c>
      <c r="H4327" s="10" t="n">
        <v>45872</v>
      </c>
      <c r="I4327" s="9" t="s">
        <v>75</v>
      </c>
      <c r="J4327" s="9" t="s">
        <v>41</v>
      </c>
      <c r="K4327" s="9" t="n">
        <v>27</v>
      </c>
      <c r="L4327" s="9" t="n">
        <v>2</v>
      </c>
      <c r="M4327" s="9" t="n">
        <v>1</v>
      </c>
      <c r="N4327" s="9" t="s">
        <v>71</v>
      </c>
      <c r="O4327" s="9"/>
      <c r="P4327" s="9" t="n">
        <v>4.4</v>
      </c>
      <c r="Q4327" s="9" t="n">
        <v>37</v>
      </c>
      <c r="R4327" s="9" t="s">
        <v>44</v>
      </c>
      <c r="S4327" s="9"/>
      <c r="T4327" s="9"/>
      <c r="U4327" s="9" t="str">
        <f aca="false">IF(COUNTIF($A$2:$A$5001,A4327)&gt;1,"Duplicate","Unique")</f>
        <v>Unique</v>
      </c>
      <c r="V4327" s="9" t="str">
        <f aca="false">IF(COUNTIFS($B$2:$B$5001,B4327,$H$2:$H$5001,H4327,$J$2:$J$5001,J4327)&gt;1,"Possible Duplicate Booking","Unique")</f>
        <v>Unique</v>
      </c>
      <c r="W4327" s="9" t="str">
        <f aca="false">IF((H4327-G4327)&lt;&gt;K4327,"Mismatch","OK")</f>
        <v>OK</v>
      </c>
      <c r="X4327" s="9" t="str">
        <f aca="false">IF(TEXT(H4327,"dddd")&lt;&gt;I4327,"Mismatch","OK")</f>
        <v>OK</v>
      </c>
      <c r="Y4327" s="9" t="str">
        <f aca="false">IF(AND(N4327="No",O4327&lt;&gt;""),"Unexpected: channel present but no reminder sent",IF(AND(N4327="Yes",O4327=""),"Missing channel for sent reminder","OK"))</f>
        <v>OK</v>
      </c>
    </row>
    <row r="4328" customFormat="false" ht="15" hidden="false" customHeight="false" outlineLevel="0" collapsed="false">
      <c r="A4328" s="7" t="s">
        <v>6034</v>
      </c>
      <c r="B4328" s="7" t="s">
        <v>2216</v>
      </c>
      <c r="C4328" s="7" t="s">
        <v>37</v>
      </c>
      <c r="D4328" s="7" t="n">
        <v>44</v>
      </c>
      <c r="E4328" s="7" t="s">
        <v>38</v>
      </c>
      <c r="F4328" s="7" t="s">
        <v>39</v>
      </c>
      <c r="G4328" s="8" t="n">
        <v>46113</v>
      </c>
      <c r="H4328" s="8" t="n">
        <v>46122</v>
      </c>
      <c r="I4328" s="7" t="s">
        <v>50</v>
      </c>
      <c r="J4328" s="7" t="s">
        <v>41</v>
      </c>
      <c r="K4328" s="7" t="n">
        <v>9</v>
      </c>
      <c r="L4328" s="7" t="n">
        <v>5</v>
      </c>
      <c r="M4328" s="7" t="n">
        <v>2</v>
      </c>
      <c r="N4328" s="7" t="s">
        <v>42</v>
      </c>
      <c r="O4328" s="7" t="s">
        <v>67</v>
      </c>
      <c r="P4328" s="7" t="n">
        <v>4.1</v>
      </c>
      <c r="Q4328" s="7" t="n">
        <v>17</v>
      </c>
      <c r="R4328" s="7" t="s">
        <v>53</v>
      </c>
      <c r="S4328" s="7"/>
      <c r="T4328" s="7"/>
      <c r="U4328" s="7" t="str">
        <f aca="false">IF(COUNTIF($A$2:$A$5001,A4328)&gt;1,"Duplicate","Unique")</f>
        <v>Unique</v>
      </c>
      <c r="V4328" s="7" t="str">
        <f aca="false">IF(COUNTIFS($B$2:$B$5001,B4328,$H$2:$H$5001,H4328,$J$2:$J$5001,J4328)&gt;1,"Possible Duplicate Booking","Unique")</f>
        <v>Unique</v>
      </c>
      <c r="W4328" s="7" t="str">
        <f aca="false">IF((H4328-G4328)&lt;&gt;K4328,"Mismatch","OK")</f>
        <v>OK</v>
      </c>
      <c r="X4328" s="7" t="str">
        <f aca="false">IF(TEXT(H4328,"dddd")&lt;&gt;I4328,"Mismatch","OK")</f>
        <v>OK</v>
      </c>
      <c r="Y4328" s="7" t="str">
        <f aca="false">IF(AND(N4328="No",O4328&lt;&gt;""),"Unexpected: channel present but no reminder sent",IF(AND(N4328="Yes",O4328=""),"Missing channel for sent reminder","OK"))</f>
        <v>OK</v>
      </c>
    </row>
    <row r="4329" customFormat="false" ht="15" hidden="false" customHeight="false" outlineLevel="0" collapsed="false">
      <c r="A4329" s="9" t="s">
        <v>6035</v>
      </c>
      <c r="B4329" s="9" t="s">
        <v>2963</v>
      </c>
      <c r="C4329" s="9" t="s">
        <v>37</v>
      </c>
      <c r="D4329" s="9" t="n">
        <v>68</v>
      </c>
      <c r="E4329" s="9" t="s">
        <v>70</v>
      </c>
      <c r="F4329" s="9" t="s">
        <v>57</v>
      </c>
      <c r="G4329" s="10" t="n">
        <v>45885</v>
      </c>
      <c r="H4329" s="10" t="n">
        <v>45890</v>
      </c>
      <c r="I4329" s="9" t="s">
        <v>62</v>
      </c>
      <c r="J4329" s="9" t="s">
        <v>51</v>
      </c>
      <c r="K4329" s="9" t="n">
        <v>5</v>
      </c>
      <c r="L4329" s="9" t="n">
        <v>2</v>
      </c>
      <c r="M4329" s="9" t="n">
        <v>0</v>
      </c>
      <c r="N4329" s="9" t="s">
        <v>42</v>
      </c>
      <c r="O4329" s="9" t="s">
        <v>67</v>
      </c>
      <c r="P4329" s="9" t="n">
        <v>11.7</v>
      </c>
      <c r="Q4329" s="9" t="n">
        <v>18</v>
      </c>
      <c r="R4329" s="9" t="s">
        <v>53</v>
      </c>
      <c r="S4329" s="9"/>
      <c r="T4329" s="9"/>
      <c r="U4329" s="9" t="str">
        <f aca="false">IF(COUNTIF($A$2:$A$5001,A4329)&gt;1,"Duplicate","Unique")</f>
        <v>Unique</v>
      </c>
      <c r="V4329" s="9" t="str">
        <f aca="false">IF(COUNTIFS($B$2:$B$5001,B4329,$H$2:$H$5001,H4329,$J$2:$J$5001,J4329)&gt;1,"Possible Duplicate Booking","Unique")</f>
        <v>Unique</v>
      </c>
      <c r="W4329" s="9" t="str">
        <f aca="false">IF((H4329-G4329)&lt;&gt;K4329,"Mismatch","OK")</f>
        <v>OK</v>
      </c>
      <c r="X4329" s="9" t="str">
        <f aca="false">IF(TEXT(H4329,"dddd")&lt;&gt;I4329,"Mismatch","OK")</f>
        <v>OK</v>
      </c>
      <c r="Y4329" s="9" t="str">
        <f aca="false">IF(AND(N4329="No",O4329&lt;&gt;""),"Unexpected: channel present but no reminder sent",IF(AND(N4329="Yes",O4329=""),"Missing channel for sent reminder","OK"))</f>
        <v>OK</v>
      </c>
    </row>
    <row r="4330" customFormat="false" ht="15" hidden="false" customHeight="false" outlineLevel="0" collapsed="false">
      <c r="A4330" s="7" t="s">
        <v>6036</v>
      </c>
      <c r="B4330" s="7" t="s">
        <v>2985</v>
      </c>
      <c r="C4330" s="7" t="s">
        <v>47</v>
      </c>
      <c r="D4330" s="7" t="n">
        <v>19</v>
      </c>
      <c r="E4330" s="7" t="s">
        <v>82</v>
      </c>
      <c r="F4330" s="7" t="s">
        <v>57</v>
      </c>
      <c r="G4330" s="8" t="n">
        <v>45658</v>
      </c>
      <c r="H4330" s="8" t="n">
        <v>45684</v>
      </c>
      <c r="I4330" s="7" t="s">
        <v>66</v>
      </c>
      <c r="J4330" s="7" t="s">
        <v>41</v>
      </c>
      <c r="K4330" s="7" t="n">
        <v>26</v>
      </c>
      <c r="L4330" s="7" t="n">
        <v>4</v>
      </c>
      <c r="M4330" s="7" t="n">
        <v>1</v>
      </c>
      <c r="N4330" s="7" t="s">
        <v>42</v>
      </c>
      <c r="O4330" s="7" t="s">
        <v>52</v>
      </c>
      <c r="P4330" s="7" t="n">
        <v>4.5</v>
      </c>
      <c r="Q4330" s="7"/>
      <c r="R4330" s="7" t="s">
        <v>44</v>
      </c>
      <c r="S4330" s="7"/>
      <c r="T4330" s="7"/>
      <c r="U4330" s="7" t="str">
        <f aca="false">IF(COUNTIF($A$2:$A$5001,A4330)&gt;1,"Duplicate","Unique")</f>
        <v>Unique</v>
      </c>
      <c r="V4330" s="7" t="str">
        <f aca="false">IF(COUNTIFS($B$2:$B$5001,B4330,$H$2:$H$5001,H4330,$J$2:$J$5001,J4330)&gt;1,"Possible Duplicate Booking","Unique")</f>
        <v>Unique</v>
      </c>
      <c r="W4330" s="7" t="str">
        <f aca="false">IF((H4330-G4330)&lt;&gt;K4330,"Mismatch","OK")</f>
        <v>OK</v>
      </c>
      <c r="X4330" s="7" t="str">
        <f aca="false">IF(TEXT(H4330,"dddd")&lt;&gt;I4330,"Mismatch","OK")</f>
        <v>OK</v>
      </c>
      <c r="Y4330" s="7" t="str">
        <f aca="false">IF(AND(N4330="No",O4330&lt;&gt;""),"Unexpected: channel present but no reminder sent",IF(AND(N4330="Yes",O4330=""),"Missing channel for sent reminder","OK"))</f>
        <v>OK</v>
      </c>
    </row>
    <row r="4331" customFormat="false" ht="15" hidden="false" customHeight="false" outlineLevel="0" collapsed="false">
      <c r="A4331" s="9" t="s">
        <v>6037</v>
      </c>
      <c r="B4331" s="9" t="s">
        <v>455</v>
      </c>
      <c r="C4331" s="9" t="s">
        <v>37</v>
      </c>
      <c r="D4331" s="9" t="n">
        <v>76</v>
      </c>
      <c r="E4331" s="9" t="s">
        <v>70</v>
      </c>
      <c r="F4331" s="9" t="s">
        <v>57</v>
      </c>
      <c r="G4331" s="10" t="n">
        <v>46103</v>
      </c>
      <c r="H4331" s="10" t="n">
        <v>46138</v>
      </c>
      <c r="I4331" s="9" t="s">
        <v>75</v>
      </c>
      <c r="J4331" s="9" t="s">
        <v>41</v>
      </c>
      <c r="K4331" s="9" t="n">
        <v>35</v>
      </c>
      <c r="L4331" s="9" t="n">
        <v>2</v>
      </c>
      <c r="M4331" s="9" t="n">
        <v>1</v>
      </c>
      <c r="N4331" s="9" t="s">
        <v>71</v>
      </c>
      <c r="O4331" s="9"/>
      <c r="P4331" s="9" t="n">
        <v>4.4</v>
      </c>
      <c r="Q4331" s="9" t="n">
        <v>27</v>
      </c>
      <c r="R4331" s="9" t="s">
        <v>53</v>
      </c>
      <c r="S4331" s="9"/>
      <c r="T4331" s="9"/>
      <c r="U4331" s="9" t="str">
        <f aca="false">IF(COUNTIF($A$2:$A$5001,A4331)&gt;1,"Duplicate","Unique")</f>
        <v>Unique</v>
      </c>
      <c r="V4331" s="9" t="str">
        <f aca="false">IF(COUNTIFS($B$2:$B$5001,B4331,$H$2:$H$5001,H4331,$J$2:$J$5001,J4331)&gt;1,"Possible Duplicate Booking","Unique")</f>
        <v>Unique</v>
      </c>
      <c r="W4331" s="9" t="str">
        <f aca="false">IF((H4331-G4331)&lt;&gt;K4331,"Mismatch","OK")</f>
        <v>OK</v>
      </c>
      <c r="X4331" s="9" t="str">
        <f aca="false">IF(TEXT(H4331,"dddd")&lt;&gt;I4331,"Mismatch","OK")</f>
        <v>OK</v>
      </c>
      <c r="Y4331" s="9" t="str">
        <f aca="false">IF(AND(N4331="No",O4331&lt;&gt;""),"Unexpected: channel present but no reminder sent",IF(AND(N4331="Yes",O4331=""),"Missing channel for sent reminder","OK"))</f>
        <v>OK</v>
      </c>
    </row>
    <row r="4332" customFormat="false" ht="15" hidden="false" customHeight="false" outlineLevel="0" collapsed="false">
      <c r="A4332" s="7" t="s">
        <v>6038</v>
      </c>
      <c r="B4332" s="7" t="s">
        <v>700</v>
      </c>
      <c r="C4332" s="7" t="s">
        <v>37</v>
      </c>
      <c r="D4332" s="7" t="n">
        <v>21</v>
      </c>
      <c r="E4332" s="7" t="s">
        <v>82</v>
      </c>
      <c r="F4332" s="7" t="s">
        <v>57</v>
      </c>
      <c r="G4332" s="8" t="n">
        <v>45753</v>
      </c>
      <c r="H4332" s="8" t="n">
        <v>45759</v>
      </c>
      <c r="I4332" s="7" t="s">
        <v>102</v>
      </c>
      <c r="J4332" s="7" t="s">
        <v>51</v>
      </c>
      <c r="K4332" s="7" t="n">
        <v>6</v>
      </c>
      <c r="L4332" s="7" t="n">
        <v>1</v>
      </c>
      <c r="M4332" s="7" t="n">
        <v>0</v>
      </c>
      <c r="N4332" s="7" t="s">
        <v>42</v>
      </c>
      <c r="O4332" s="7" t="s">
        <v>43</v>
      </c>
      <c r="P4332" s="7" t="n">
        <v>4.5</v>
      </c>
      <c r="Q4332" s="7" t="n">
        <v>28</v>
      </c>
      <c r="R4332" s="7" t="s">
        <v>53</v>
      </c>
      <c r="S4332" s="7"/>
      <c r="T4332" s="7"/>
      <c r="U4332" s="7" t="str">
        <f aca="false">IF(COUNTIF($A$2:$A$5001,A4332)&gt;1,"Duplicate","Unique")</f>
        <v>Unique</v>
      </c>
      <c r="V4332" s="7" t="str">
        <f aca="false">IF(COUNTIFS($B$2:$B$5001,B4332,$H$2:$H$5001,H4332,$J$2:$J$5001,J4332)&gt;1,"Possible Duplicate Booking","Unique")</f>
        <v>Unique</v>
      </c>
      <c r="W4332" s="7" t="str">
        <f aca="false">IF((H4332-G4332)&lt;&gt;K4332,"Mismatch","OK")</f>
        <v>OK</v>
      </c>
      <c r="X4332" s="7" t="str">
        <f aca="false">IF(TEXT(H4332,"dddd")&lt;&gt;I4332,"Mismatch","OK")</f>
        <v>OK</v>
      </c>
      <c r="Y4332" s="7" t="str">
        <f aca="false">IF(AND(N4332="No",O4332&lt;&gt;""),"Unexpected: channel present but no reminder sent",IF(AND(N4332="Yes",O4332=""),"Missing channel for sent reminder","OK"))</f>
        <v>OK</v>
      </c>
    </row>
    <row r="4333" customFormat="false" ht="15" hidden="false" customHeight="false" outlineLevel="0" collapsed="false">
      <c r="A4333" s="9" t="s">
        <v>6039</v>
      </c>
      <c r="B4333" s="9" t="s">
        <v>828</v>
      </c>
      <c r="C4333" s="9" t="s">
        <v>47</v>
      </c>
      <c r="D4333" s="9" t="n">
        <v>44</v>
      </c>
      <c r="E4333" s="9" t="s">
        <v>38</v>
      </c>
      <c r="F4333" s="9" t="s">
        <v>57</v>
      </c>
      <c r="G4333" s="10" t="n">
        <v>45781</v>
      </c>
      <c r="H4333" s="10" t="n">
        <v>45805</v>
      </c>
      <c r="I4333" s="9" t="s">
        <v>58</v>
      </c>
      <c r="J4333" s="9" t="s">
        <v>41</v>
      </c>
      <c r="K4333" s="9" t="n">
        <v>24</v>
      </c>
      <c r="L4333" s="9" t="n">
        <v>2</v>
      </c>
      <c r="M4333" s="9" t="n">
        <v>0</v>
      </c>
      <c r="N4333" s="9" t="s">
        <v>71</v>
      </c>
      <c r="O4333" s="9"/>
      <c r="P4333" s="9" t="n">
        <v>1.2</v>
      </c>
      <c r="Q4333" s="9" t="n">
        <v>27</v>
      </c>
      <c r="R4333" s="9" t="s">
        <v>44</v>
      </c>
      <c r="S4333" s="9"/>
      <c r="T4333" s="9"/>
      <c r="U4333" s="9" t="str">
        <f aca="false">IF(COUNTIF($A$2:$A$5001,A4333)&gt;1,"Duplicate","Unique")</f>
        <v>Unique</v>
      </c>
      <c r="V4333" s="9" t="str">
        <f aca="false">IF(COUNTIFS($B$2:$B$5001,B4333,$H$2:$H$5001,H4333,$J$2:$J$5001,J4333)&gt;1,"Possible Duplicate Booking","Unique")</f>
        <v>Possible Duplicate Booking</v>
      </c>
      <c r="W4333" s="9" t="str">
        <f aca="false">IF((H4333-G4333)&lt;&gt;K4333,"Mismatch","OK")</f>
        <v>OK</v>
      </c>
      <c r="X4333" s="9" t="str">
        <f aca="false">IF(TEXT(H4333,"dddd")&lt;&gt;I4333,"Mismatch","OK")</f>
        <v>OK</v>
      </c>
      <c r="Y4333" s="9" t="str">
        <f aca="false">IF(AND(N4333="No",O4333&lt;&gt;""),"Unexpected: channel present but no reminder sent",IF(AND(N4333="Yes",O4333=""),"Missing channel for sent reminder","OK"))</f>
        <v>OK</v>
      </c>
    </row>
    <row r="4334" customFormat="false" ht="15" hidden="false" customHeight="false" outlineLevel="0" collapsed="false">
      <c r="A4334" s="7" t="s">
        <v>6040</v>
      </c>
      <c r="B4334" s="7" t="s">
        <v>3958</v>
      </c>
      <c r="C4334" s="7" t="s">
        <v>47</v>
      </c>
      <c r="D4334" s="7" t="n">
        <v>39</v>
      </c>
      <c r="E4334" s="7" t="s">
        <v>38</v>
      </c>
      <c r="F4334" s="7" t="s">
        <v>39</v>
      </c>
      <c r="G4334" s="8" t="n">
        <v>46089</v>
      </c>
      <c r="H4334" s="8" t="n">
        <v>46128</v>
      </c>
      <c r="I4334" s="7" t="s">
        <v>62</v>
      </c>
      <c r="J4334" s="7" t="s">
        <v>51</v>
      </c>
      <c r="K4334" s="7" t="n">
        <v>39</v>
      </c>
      <c r="L4334" s="7" t="n">
        <v>0</v>
      </c>
      <c r="M4334" s="7" t="n">
        <v>0</v>
      </c>
      <c r="N4334" s="7" t="s">
        <v>42</v>
      </c>
      <c r="O4334" s="7" t="s">
        <v>52</v>
      </c>
      <c r="P4334" s="7" t="n">
        <v>6.4</v>
      </c>
      <c r="Q4334" s="7" t="n">
        <v>23</v>
      </c>
      <c r="R4334" s="7" t="s">
        <v>53</v>
      </c>
      <c r="S4334" s="7"/>
      <c r="T4334" s="7"/>
      <c r="U4334" s="7" t="str">
        <f aca="false">IF(COUNTIF($A$2:$A$5001,A4334)&gt;1,"Duplicate","Unique")</f>
        <v>Unique</v>
      </c>
      <c r="V4334" s="7" t="str">
        <f aca="false">IF(COUNTIFS($B$2:$B$5001,B4334,$H$2:$H$5001,H4334,$J$2:$J$5001,J4334)&gt;1,"Possible Duplicate Booking","Unique")</f>
        <v>Unique</v>
      </c>
      <c r="W4334" s="7" t="str">
        <f aca="false">IF((H4334-G4334)&lt;&gt;K4334,"Mismatch","OK")</f>
        <v>OK</v>
      </c>
      <c r="X4334" s="7" t="str">
        <f aca="false">IF(TEXT(H4334,"dddd")&lt;&gt;I4334,"Mismatch","OK")</f>
        <v>OK</v>
      </c>
      <c r="Y4334" s="7" t="str">
        <f aca="false">IF(AND(N4334="No",O4334&lt;&gt;""),"Unexpected: channel present but no reminder sent",IF(AND(N4334="Yes",O4334=""),"Missing channel for sent reminder","OK"))</f>
        <v>OK</v>
      </c>
    </row>
    <row r="4335" customFormat="false" ht="15" hidden="false" customHeight="false" outlineLevel="0" collapsed="false">
      <c r="A4335" s="9" t="s">
        <v>6041</v>
      </c>
      <c r="B4335" s="9" t="s">
        <v>3479</v>
      </c>
      <c r="C4335" s="9" t="s">
        <v>37</v>
      </c>
      <c r="D4335" s="9" t="n">
        <v>63</v>
      </c>
      <c r="E4335" s="9" t="s">
        <v>61</v>
      </c>
      <c r="F4335" s="9" t="s">
        <v>39</v>
      </c>
      <c r="G4335" s="10" t="n">
        <v>46096</v>
      </c>
      <c r="H4335" s="10" t="n">
        <v>46145</v>
      </c>
      <c r="I4335" s="9" t="s">
        <v>75</v>
      </c>
      <c r="J4335" s="9" t="s">
        <v>41</v>
      </c>
      <c r="K4335" s="9" t="n">
        <v>49</v>
      </c>
      <c r="L4335" s="9" t="n">
        <v>6</v>
      </c>
      <c r="M4335" s="9" t="n">
        <v>0</v>
      </c>
      <c r="N4335" s="9" t="s">
        <v>42</v>
      </c>
      <c r="O4335" s="9" t="s">
        <v>43</v>
      </c>
      <c r="P4335" s="9"/>
      <c r="Q4335" s="9" t="n">
        <v>35</v>
      </c>
      <c r="R4335" s="9" t="s">
        <v>53</v>
      </c>
      <c r="S4335" s="9"/>
      <c r="T4335" s="9"/>
      <c r="U4335" s="9" t="str">
        <f aca="false">IF(COUNTIF($A$2:$A$5001,A4335)&gt;1,"Duplicate","Unique")</f>
        <v>Unique</v>
      </c>
      <c r="V4335" s="9" t="str">
        <f aca="false">IF(COUNTIFS($B$2:$B$5001,B4335,$H$2:$H$5001,H4335,$J$2:$J$5001,J4335)&gt;1,"Possible Duplicate Booking","Unique")</f>
        <v>Unique</v>
      </c>
      <c r="W4335" s="9" t="str">
        <f aca="false">IF((H4335-G4335)&lt;&gt;K4335,"Mismatch","OK")</f>
        <v>OK</v>
      </c>
      <c r="X4335" s="9" t="str">
        <f aca="false">IF(TEXT(H4335,"dddd")&lt;&gt;I4335,"Mismatch","OK")</f>
        <v>OK</v>
      </c>
      <c r="Y4335" s="9" t="str">
        <f aca="false">IF(AND(N4335="No",O4335&lt;&gt;""),"Unexpected: channel present but no reminder sent",IF(AND(N4335="Yes",O4335=""),"Missing channel for sent reminder","OK"))</f>
        <v>OK</v>
      </c>
    </row>
    <row r="4336" customFormat="false" ht="15" hidden="false" customHeight="false" outlineLevel="0" collapsed="false">
      <c r="A4336" s="7" t="s">
        <v>6042</v>
      </c>
      <c r="B4336" s="7" t="s">
        <v>844</v>
      </c>
      <c r="C4336" s="7" t="s">
        <v>37</v>
      </c>
      <c r="D4336" s="7" t="n">
        <v>59</v>
      </c>
      <c r="E4336" s="7" t="s">
        <v>61</v>
      </c>
      <c r="F4336" s="7" t="s">
        <v>57</v>
      </c>
      <c r="G4336" s="8" t="n">
        <v>46101</v>
      </c>
      <c r="H4336" s="8" t="n">
        <v>46158</v>
      </c>
      <c r="I4336" s="7" t="s">
        <v>102</v>
      </c>
      <c r="J4336" s="7" t="s">
        <v>41</v>
      </c>
      <c r="K4336" s="7" t="n">
        <v>57</v>
      </c>
      <c r="L4336" s="7" t="n">
        <v>2</v>
      </c>
      <c r="M4336" s="7" t="n">
        <v>1</v>
      </c>
      <c r="N4336" s="7" t="s">
        <v>42</v>
      </c>
      <c r="O4336" s="7" t="s">
        <v>52</v>
      </c>
      <c r="P4336" s="7" t="n">
        <v>12.4</v>
      </c>
      <c r="Q4336" s="7" t="n">
        <v>39</v>
      </c>
      <c r="R4336" s="7" t="s">
        <v>53</v>
      </c>
      <c r="S4336" s="7"/>
      <c r="T4336" s="7"/>
      <c r="U4336" s="7" t="str">
        <f aca="false">IF(COUNTIF($A$2:$A$5001,A4336)&gt;1,"Duplicate","Unique")</f>
        <v>Unique</v>
      </c>
      <c r="V4336" s="7" t="str">
        <f aca="false">IF(COUNTIFS($B$2:$B$5001,B4336,$H$2:$H$5001,H4336,$J$2:$J$5001,J4336)&gt;1,"Possible Duplicate Booking","Unique")</f>
        <v>Unique</v>
      </c>
      <c r="W4336" s="7" t="str">
        <f aca="false">IF((H4336-G4336)&lt;&gt;K4336,"Mismatch","OK")</f>
        <v>OK</v>
      </c>
      <c r="X4336" s="7" t="str">
        <f aca="false">IF(TEXT(H4336,"dddd")&lt;&gt;I4336,"Mismatch","OK")</f>
        <v>OK</v>
      </c>
      <c r="Y4336" s="7" t="str">
        <f aca="false">IF(AND(N4336="No",O4336&lt;&gt;""),"Unexpected: channel present but no reminder sent",IF(AND(N4336="Yes",O4336=""),"Missing channel for sent reminder","OK"))</f>
        <v>OK</v>
      </c>
    </row>
    <row r="4337" customFormat="false" ht="15" hidden="false" customHeight="false" outlineLevel="0" collapsed="false">
      <c r="A4337" s="9" t="s">
        <v>6043</v>
      </c>
      <c r="B4337" s="9" t="s">
        <v>3115</v>
      </c>
      <c r="C4337" s="9" t="s">
        <v>37</v>
      </c>
      <c r="D4337" s="9" t="n">
        <v>30</v>
      </c>
      <c r="E4337" s="9" t="s">
        <v>48</v>
      </c>
      <c r="F4337" s="9" t="s">
        <v>49</v>
      </c>
      <c r="G4337" s="10" t="n">
        <v>45870</v>
      </c>
      <c r="H4337" s="10" t="n">
        <v>45890</v>
      </c>
      <c r="I4337" s="9" t="s">
        <v>62</v>
      </c>
      <c r="J4337" s="9" t="s">
        <v>41</v>
      </c>
      <c r="K4337" s="9" t="n">
        <v>20</v>
      </c>
      <c r="L4337" s="9" t="n">
        <v>5</v>
      </c>
      <c r="M4337" s="9" t="n">
        <v>0</v>
      </c>
      <c r="N4337" s="9" t="s">
        <v>42</v>
      </c>
      <c r="O4337" s="9" t="s">
        <v>52</v>
      </c>
      <c r="P4337" s="9" t="n">
        <v>12.6</v>
      </c>
      <c r="Q4337" s="9" t="n">
        <v>13</v>
      </c>
      <c r="R4337" s="9" t="s">
        <v>44</v>
      </c>
      <c r="S4337" s="9"/>
      <c r="T4337" s="9"/>
      <c r="U4337" s="9" t="str">
        <f aca="false">IF(COUNTIF($A$2:$A$5001,A4337)&gt;1,"Duplicate","Unique")</f>
        <v>Unique</v>
      </c>
      <c r="V4337" s="9" t="str">
        <f aca="false">IF(COUNTIFS($B$2:$B$5001,B4337,$H$2:$H$5001,H4337,$J$2:$J$5001,J4337)&gt;1,"Possible Duplicate Booking","Unique")</f>
        <v>Unique</v>
      </c>
      <c r="W4337" s="9" t="str">
        <f aca="false">IF((H4337-G4337)&lt;&gt;K4337,"Mismatch","OK")</f>
        <v>OK</v>
      </c>
      <c r="X4337" s="9" t="str">
        <f aca="false">IF(TEXT(H4337,"dddd")&lt;&gt;I4337,"Mismatch","OK")</f>
        <v>OK</v>
      </c>
      <c r="Y4337" s="9" t="str">
        <f aca="false">IF(AND(N4337="No",O4337&lt;&gt;""),"Unexpected: channel present but no reminder sent",IF(AND(N4337="Yes",O4337=""),"Missing channel for sent reminder","OK"))</f>
        <v>OK</v>
      </c>
    </row>
    <row r="4338" customFormat="false" ht="15" hidden="false" customHeight="false" outlineLevel="0" collapsed="false">
      <c r="A4338" s="7" t="s">
        <v>6044</v>
      </c>
      <c r="B4338" s="7" t="s">
        <v>6045</v>
      </c>
      <c r="C4338" s="7" t="s">
        <v>47</v>
      </c>
      <c r="D4338" s="7" t="n">
        <v>48</v>
      </c>
      <c r="E4338" s="7" t="s">
        <v>56</v>
      </c>
      <c r="F4338" s="7" t="s">
        <v>39</v>
      </c>
      <c r="G4338" s="8" t="n">
        <v>46048</v>
      </c>
      <c r="H4338" s="8" t="n">
        <v>46071</v>
      </c>
      <c r="I4338" s="7" t="s">
        <v>58</v>
      </c>
      <c r="J4338" s="7" t="s">
        <v>41</v>
      </c>
      <c r="K4338" s="7" t="n">
        <v>23</v>
      </c>
      <c r="L4338" s="7" t="n">
        <v>1</v>
      </c>
      <c r="M4338" s="7" t="n">
        <v>0</v>
      </c>
      <c r="N4338" s="7" t="s">
        <v>42</v>
      </c>
      <c r="O4338" s="7" t="s">
        <v>52</v>
      </c>
      <c r="P4338" s="7" t="n">
        <v>14.4</v>
      </c>
      <c r="Q4338" s="7" t="n">
        <v>34</v>
      </c>
      <c r="R4338" s="7" t="s">
        <v>44</v>
      </c>
      <c r="S4338" s="7"/>
      <c r="T4338" s="7"/>
      <c r="U4338" s="7" t="str">
        <f aca="false">IF(COUNTIF($A$2:$A$5001,A4338)&gt;1,"Duplicate","Unique")</f>
        <v>Unique</v>
      </c>
      <c r="V4338" s="7" t="str">
        <f aca="false">IF(COUNTIFS($B$2:$B$5001,B4338,$H$2:$H$5001,H4338,$J$2:$J$5001,J4338)&gt;1,"Possible Duplicate Booking","Unique")</f>
        <v>Unique</v>
      </c>
      <c r="W4338" s="7" t="str">
        <f aca="false">IF((H4338-G4338)&lt;&gt;K4338,"Mismatch","OK")</f>
        <v>OK</v>
      </c>
      <c r="X4338" s="7" t="str">
        <f aca="false">IF(TEXT(H4338,"dddd")&lt;&gt;I4338,"Mismatch","OK")</f>
        <v>OK</v>
      </c>
      <c r="Y4338" s="7" t="str">
        <f aca="false">IF(AND(N4338="No",O4338&lt;&gt;""),"Unexpected: channel present but no reminder sent",IF(AND(N4338="Yes",O4338=""),"Missing channel for sent reminder","OK"))</f>
        <v>OK</v>
      </c>
    </row>
    <row r="4339" customFormat="false" ht="15" hidden="false" customHeight="false" outlineLevel="0" collapsed="false">
      <c r="A4339" s="9" t="s">
        <v>6046</v>
      </c>
      <c r="B4339" s="9" t="s">
        <v>6047</v>
      </c>
      <c r="C4339" s="9" t="s">
        <v>47</v>
      </c>
      <c r="D4339" s="9" t="n">
        <v>51</v>
      </c>
      <c r="E4339" s="9" t="s">
        <v>56</v>
      </c>
      <c r="F4339" s="9" t="s">
        <v>74</v>
      </c>
      <c r="G4339" s="10" t="n">
        <v>45783</v>
      </c>
      <c r="H4339" s="10" t="n">
        <v>45836</v>
      </c>
      <c r="I4339" s="9" t="s">
        <v>102</v>
      </c>
      <c r="J4339" s="9" t="s">
        <v>51</v>
      </c>
      <c r="K4339" s="9" t="n">
        <v>53</v>
      </c>
      <c r="L4339" s="9" t="n">
        <v>2</v>
      </c>
      <c r="M4339" s="9" t="n">
        <v>1</v>
      </c>
      <c r="N4339" s="9" t="s">
        <v>42</v>
      </c>
      <c r="O4339" s="9" t="s">
        <v>67</v>
      </c>
      <c r="P4339" s="9" t="n">
        <v>13.5</v>
      </c>
      <c r="Q4339" s="9" t="n">
        <v>24</v>
      </c>
      <c r="R4339" s="9" t="s">
        <v>44</v>
      </c>
      <c r="S4339" s="9"/>
      <c r="T4339" s="9"/>
      <c r="U4339" s="9" t="str">
        <f aca="false">IF(COUNTIF($A$2:$A$5001,A4339)&gt;1,"Duplicate","Unique")</f>
        <v>Unique</v>
      </c>
      <c r="V4339" s="9" t="str">
        <f aca="false">IF(COUNTIFS($B$2:$B$5001,B4339,$H$2:$H$5001,H4339,$J$2:$J$5001,J4339)&gt;1,"Possible Duplicate Booking","Unique")</f>
        <v>Unique</v>
      </c>
      <c r="W4339" s="9" t="str">
        <f aca="false">IF((H4339-G4339)&lt;&gt;K4339,"Mismatch","OK")</f>
        <v>OK</v>
      </c>
      <c r="X4339" s="9" t="str">
        <f aca="false">IF(TEXT(H4339,"dddd")&lt;&gt;I4339,"Mismatch","OK")</f>
        <v>OK</v>
      </c>
      <c r="Y4339" s="9" t="str">
        <f aca="false">IF(AND(N4339="No",O4339&lt;&gt;""),"Unexpected: channel present but no reminder sent",IF(AND(N4339="Yes",O4339=""),"Missing channel for sent reminder","OK"))</f>
        <v>OK</v>
      </c>
    </row>
    <row r="4340" customFormat="false" ht="15" hidden="false" customHeight="false" outlineLevel="0" collapsed="false">
      <c r="A4340" s="7" t="s">
        <v>6048</v>
      </c>
      <c r="B4340" s="7" t="s">
        <v>3677</v>
      </c>
      <c r="C4340" s="7" t="s">
        <v>47</v>
      </c>
      <c r="D4340" s="7" t="n">
        <v>47</v>
      </c>
      <c r="E4340" s="7" t="s">
        <v>56</v>
      </c>
      <c r="F4340" s="7" t="s">
        <v>39</v>
      </c>
      <c r="G4340" s="8" t="n">
        <v>46020</v>
      </c>
      <c r="H4340" s="8" t="n">
        <v>46062</v>
      </c>
      <c r="I4340" s="7" t="s">
        <v>66</v>
      </c>
      <c r="J4340" s="7" t="s">
        <v>51</v>
      </c>
      <c r="K4340" s="7" t="n">
        <v>42</v>
      </c>
      <c r="L4340" s="7" t="n">
        <v>6</v>
      </c>
      <c r="M4340" s="7" t="n">
        <v>2</v>
      </c>
      <c r="N4340" s="7" t="s">
        <v>42</v>
      </c>
      <c r="O4340" s="7" t="s">
        <v>43</v>
      </c>
      <c r="P4340" s="7" t="n">
        <v>7</v>
      </c>
      <c r="Q4340" s="7" t="n">
        <v>10</v>
      </c>
      <c r="R4340" s="7" t="s">
        <v>44</v>
      </c>
      <c r="S4340" s="7"/>
      <c r="T4340" s="7"/>
      <c r="U4340" s="7" t="str">
        <f aca="false">IF(COUNTIF($A$2:$A$5001,A4340)&gt;1,"Duplicate","Unique")</f>
        <v>Unique</v>
      </c>
      <c r="V4340" s="7" t="str">
        <f aca="false">IF(COUNTIFS($B$2:$B$5001,B4340,$H$2:$H$5001,H4340,$J$2:$J$5001,J4340)&gt;1,"Possible Duplicate Booking","Unique")</f>
        <v>Unique</v>
      </c>
      <c r="W4340" s="7" t="str">
        <f aca="false">IF((H4340-G4340)&lt;&gt;K4340,"Mismatch","OK")</f>
        <v>OK</v>
      </c>
      <c r="X4340" s="7" t="str">
        <f aca="false">IF(TEXT(H4340,"dddd")&lt;&gt;I4340,"Mismatch","OK")</f>
        <v>OK</v>
      </c>
      <c r="Y4340" s="7" t="str">
        <f aca="false">IF(AND(N4340="No",O4340&lt;&gt;""),"Unexpected: channel present but no reminder sent",IF(AND(N4340="Yes",O4340=""),"Missing channel for sent reminder","OK"))</f>
        <v>OK</v>
      </c>
    </row>
    <row r="4341" customFormat="false" ht="15" hidden="false" customHeight="false" outlineLevel="0" collapsed="false">
      <c r="A4341" s="9" t="s">
        <v>6049</v>
      </c>
      <c r="B4341" s="9" t="s">
        <v>1046</v>
      </c>
      <c r="C4341" s="9" t="s">
        <v>47</v>
      </c>
      <c r="D4341" s="9" t="n">
        <v>19</v>
      </c>
      <c r="E4341" s="9" t="s">
        <v>82</v>
      </c>
      <c r="F4341" s="9" t="s">
        <v>57</v>
      </c>
      <c r="G4341" s="10" t="n">
        <v>45916</v>
      </c>
      <c r="H4341" s="10" t="n">
        <v>45932</v>
      </c>
      <c r="I4341" s="9" t="s">
        <v>62</v>
      </c>
      <c r="J4341" s="9" t="s">
        <v>63</v>
      </c>
      <c r="K4341" s="9" t="n">
        <v>16</v>
      </c>
      <c r="L4341" s="9" t="n">
        <v>4</v>
      </c>
      <c r="M4341" s="9" t="n">
        <v>2</v>
      </c>
      <c r="N4341" s="9" t="s">
        <v>42</v>
      </c>
      <c r="O4341" s="9" t="s">
        <v>52</v>
      </c>
      <c r="P4341" s="9" t="n">
        <v>13.7</v>
      </c>
      <c r="Q4341" s="9" t="n">
        <v>14</v>
      </c>
      <c r="R4341" s="9" t="s">
        <v>53</v>
      </c>
      <c r="S4341" s="9"/>
      <c r="T4341" s="9"/>
      <c r="U4341" s="9" t="str">
        <f aca="false">IF(COUNTIF($A$2:$A$5001,A4341)&gt;1,"Duplicate","Unique")</f>
        <v>Unique</v>
      </c>
      <c r="V4341" s="9" t="str">
        <f aca="false">IF(COUNTIFS($B$2:$B$5001,B4341,$H$2:$H$5001,H4341,$J$2:$J$5001,J4341)&gt;1,"Possible Duplicate Booking","Unique")</f>
        <v>Unique</v>
      </c>
      <c r="W4341" s="9" t="str">
        <f aca="false">IF((H4341-G4341)&lt;&gt;K4341,"Mismatch","OK")</f>
        <v>OK</v>
      </c>
      <c r="X4341" s="9" t="str">
        <f aca="false">IF(TEXT(H4341,"dddd")&lt;&gt;I4341,"Mismatch","OK")</f>
        <v>OK</v>
      </c>
      <c r="Y4341" s="9" t="str">
        <f aca="false">IF(AND(N4341="No",O4341&lt;&gt;""),"Unexpected: channel present but no reminder sent",IF(AND(N4341="Yes",O4341=""),"Missing channel for sent reminder","OK"))</f>
        <v>OK</v>
      </c>
    </row>
    <row r="4342" customFormat="false" ht="15" hidden="false" customHeight="false" outlineLevel="0" collapsed="false">
      <c r="A4342" s="7" t="s">
        <v>6050</v>
      </c>
      <c r="B4342" s="7" t="s">
        <v>6051</v>
      </c>
      <c r="C4342" s="7" t="s">
        <v>47</v>
      </c>
      <c r="D4342" s="7" t="n">
        <v>29</v>
      </c>
      <c r="E4342" s="7" t="s">
        <v>48</v>
      </c>
      <c r="F4342" s="7" t="s">
        <v>74</v>
      </c>
      <c r="G4342" s="8" t="n">
        <v>45645</v>
      </c>
      <c r="H4342" s="8" t="n">
        <v>45686</v>
      </c>
      <c r="I4342" s="7" t="s">
        <v>58</v>
      </c>
      <c r="J4342" s="7" t="s">
        <v>51</v>
      </c>
      <c r="K4342" s="7" t="n">
        <v>41</v>
      </c>
      <c r="L4342" s="7" t="n">
        <v>2</v>
      </c>
      <c r="M4342" s="7" t="n">
        <v>0</v>
      </c>
      <c r="N4342" s="7" t="s">
        <v>42</v>
      </c>
      <c r="O4342" s="7" t="s">
        <v>52</v>
      </c>
      <c r="P4342" s="7" t="n">
        <v>4</v>
      </c>
      <c r="Q4342" s="7" t="n">
        <v>19</v>
      </c>
      <c r="R4342" s="7" t="s">
        <v>53</v>
      </c>
      <c r="S4342" s="7"/>
      <c r="T4342" s="7"/>
      <c r="U4342" s="7" t="str">
        <f aca="false">IF(COUNTIF($A$2:$A$5001,A4342)&gt;1,"Duplicate","Unique")</f>
        <v>Unique</v>
      </c>
      <c r="V4342" s="7" t="str">
        <f aca="false">IF(COUNTIFS($B$2:$B$5001,B4342,$H$2:$H$5001,H4342,$J$2:$J$5001,J4342)&gt;1,"Possible Duplicate Booking","Unique")</f>
        <v>Unique</v>
      </c>
      <c r="W4342" s="7" t="str">
        <f aca="false">IF((H4342-G4342)&lt;&gt;K4342,"Mismatch","OK")</f>
        <v>OK</v>
      </c>
      <c r="X4342" s="7" t="str">
        <f aca="false">IF(TEXT(H4342,"dddd")&lt;&gt;I4342,"Mismatch","OK")</f>
        <v>OK</v>
      </c>
      <c r="Y4342" s="7" t="str">
        <f aca="false">IF(AND(N4342="No",O4342&lt;&gt;""),"Unexpected: channel present but no reminder sent",IF(AND(N4342="Yes",O4342=""),"Missing channel for sent reminder","OK"))</f>
        <v>OK</v>
      </c>
    </row>
    <row r="4343" customFormat="false" ht="15" hidden="false" customHeight="false" outlineLevel="0" collapsed="false">
      <c r="A4343" s="9" t="s">
        <v>6052</v>
      </c>
      <c r="B4343" s="9" t="s">
        <v>223</v>
      </c>
      <c r="C4343" s="9" t="s">
        <v>236</v>
      </c>
      <c r="D4343" s="9" t="n">
        <v>49</v>
      </c>
      <c r="E4343" s="9" t="s">
        <v>56</v>
      </c>
      <c r="F4343" s="9" t="s">
        <v>49</v>
      </c>
      <c r="G4343" s="10" t="n">
        <v>45877</v>
      </c>
      <c r="H4343" s="10" t="n">
        <v>45886</v>
      </c>
      <c r="I4343" s="9" t="s">
        <v>75</v>
      </c>
      <c r="J4343" s="9" t="s">
        <v>51</v>
      </c>
      <c r="K4343" s="9" t="n">
        <v>9</v>
      </c>
      <c r="L4343" s="9" t="n">
        <v>2</v>
      </c>
      <c r="M4343" s="9" t="n">
        <v>0</v>
      </c>
      <c r="N4343" s="9" t="s">
        <v>71</v>
      </c>
      <c r="O4343" s="9"/>
      <c r="P4343" s="9" t="n">
        <v>9.6</v>
      </c>
      <c r="Q4343" s="9" t="n">
        <v>36</v>
      </c>
      <c r="R4343" s="9" t="s">
        <v>53</v>
      </c>
      <c r="S4343" s="9"/>
      <c r="T4343" s="9"/>
      <c r="U4343" s="9" t="str">
        <f aca="false">IF(COUNTIF($A$2:$A$5001,A4343)&gt;1,"Duplicate","Unique")</f>
        <v>Unique</v>
      </c>
      <c r="V4343" s="9" t="str">
        <f aca="false">IF(COUNTIFS($B$2:$B$5001,B4343,$H$2:$H$5001,H4343,$J$2:$J$5001,J4343)&gt;1,"Possible Duplicate Booking","Unique")</f>
        <v>Unique</v>
      </c>
      <c r="W4343" s="9" t="str">
        <f aca="false">IF((H4343-G4343)&lt;&gt;K4343,"Mismatch","OK")</f>
        <v>OK</v>
      </c>
      <c r="X4343" s="9" t="str">
        <f aca="false">IF(TEXT(H4343,"dddd")&lt;&gt;I4343,"Mismatch","OK")</f>
        <v>OK</v>
      </c>
      <c r="Y4343" s="9" t="str">
        <f aca="false">IF(AND(N4343="No",O4343&lt;&gt;""),"Unexpected: channel present but no reminder sent",IF(AND(N4343="Yes",O4343=""),"Missing channel for sent reminder","OK"))</f>
        <v>OK</v>
      </c>
    </row>
    <row r="4344" customFormat="false" ht="15" hidden="false" customHeight="false" outlineLevel="0" collapsed="false">
      <c r="A4344" s="7" t="s">
        <v>6053</v>
      </c>
      <c r="B4344" s="7" t="s">
        <v>6054</v>
      </c>
      <c r="C4344" s="7" t="s">
        <v>47</v>
      </c>
      <c r="D4344" s="7" t="n">
        <v>34</v>
      </c>
      <c r="E4344" s="7" t="s">
        <v>48</v>
      </c>
      <c r="F4344" s="7" t="s">
        <v>39</v>
      </c>
      <c r="G4344" s="8" t="n">
        <v>45886</v>
      </c>
      <c r="H4344" s="8" t="n">
        <v>45913</v>
      </c>
      <c r="I4344" s="7" t="s">
        <v>102</v>
      </c>
      <c r="J4344" s="7" t="s">
        <v>51</v>
      </c>
      <c r="K4344" s="7" t="n">
        <v>27</v>
      </c>
      <c r="L4344" s="7" t="n">
        <v>6</v>
      </c>
      <c r="M4344" s="7" t="n">
        <v>1</v>
      </c>
      <c r="N4344" s="7" t="s">
        <v>42</v>
      </c>
      <c r="O4344" s="7" t="s">
        <v>43</v>
      </c>
      <c r="P4344" s="7" t="n">
        <v>4.1</v>
      </c>
      <c r="Q4344" s="7" t="n">
        <v>13</v>
      </c>
      <c r="R4344" s="7" t="s">
        <v>53</v>
      </c>
      <c r="S4344" s="7"/>
      <c r="T4344" s="7"/>
      <c r="U4344" s="7" t="str">
        <f aca="false">IF(COUNTIF($A$2:$A$5001,A4344)&gt;1,"Duplicate","Unique")</f>
        <v>Unique</v>
      </c>
      <c r="V4344" s="7" t="str">
        <f aca="false">IF(COUNTIFS($B$2:$B$5001,B4344,$H$2:$H$5001,H4344,$J$2:$J$5001,J4344)&gt;1,"Possible Duplicate Booking","Unique")</f>
        <v>Unique</v>
      </c>
      <c r="W4344" s="7" t="str">
        <f aca="false">IF((H4344-G4344)&lt;&gt;K4344,"Mismatch","OK")</f>
        <v>OK</v>
      </c>
      <c r="X4344" s="7" t="str">
        <f aca="false">IF(TEXT(H4344,"dddd")&lt;&gt;I4344,"Mismatch","OK")</f>
        <v>OK</v>
      </c>
      <c r="Y4344" s="7" t="str">
        <f aca="false">IF(AND(N4344="No",O4344&lt;&gt;""),"Unexpected: channel present but no reminder sent",IF(AND(N4344="Yes",O4344=""),"Missing channel for sent reminder","OK"))</f>
        <v>OK</v>
      </c>
    </row>
    <row r="4345" customFormat="false" ht="15" hidden="false" customHeight="false" outlineLevel="0" collapsed="false">
      <c r="A4345" s="9" t="s">
        <v>6055</v>
      </c>
      <c r="B4345" s="9" t="s">
        <v>496</v>
      </c>
      <c r="C4345" s="9" t="s">
        <v>47</v>
      </c>
      <c r="D4345" s="9" t="n">
        <v>52</v>
      </c>
      <c r="E4345" s="9" t="s">
        <v>56</v>
      </c>
      <c r="F4345" s="9" t="s">
        <v>39</v>
      </c>
      <c r="G4345" s="10" t="n">
        <v>45780</v>
      </c>
      <c r="H4345" s="10" t="n">
        <v>45798</v>
      </c>
      <c r="I4345" s="9" t="s">
        <v>58</v>
      </c>
      <c r="J4345" s="9" t="s">
        <v>41</v>
      </c>
      <c r="K4345" s="9" t="n">
        <v>18</v>
      </c>
      <c r="L4345" s="9" t="n">
        <v>4</v>
      </c>
      <c r="M4345" s="9" t="n">
        <v>0</v>
      </c>
      <c r="N4345" s="9" t="s">
        <v>71</v>
      </c>
      <c r="O4345" s="9"/>
      <c r="P4345" s="9" t="n">
        <v>5.9</v>
      </c>
      <c r="Q4345" s="9" t="n">
        <v>4</v>
      </c>
      <c r="R4345" s="9" t="s">
        <v>44</v>
      </c>
      <c r="S4345" s="9"/>
      <c r="T4345" s="9"/>
      <c r="U4345" s="9" t="str">
        <f aca="false">IF(COUNTIF($A$2:$A$5001,A4345)&gt;1,"Duplicate","Unique")</f>
        <v>Unique</v>
      </c>
      <c r="V4345" s="9" t="str">
        <f aca="false">IF(COUNTIFS($B$2:$B$5001,B4345,$H$2:$H$5001,H4345,$J$2:$J$5001,J4345)&gt;1,"Possible Duplicate Booking","Unique")</f>
        <v>Unique</v>
      </c>
      <c r="W4345" s="9" t="str">
        <f aca="false">IF((H4345-G4345)&lt;&gt;K4345,"Mismatch","OK")</f>
        <v>OK</v>
      </c>
      <c r="X4345" s="9" t="str">
        <f aca="false">IF(TEXT(H4345,"dddd")&lt;&gt;I4345,"Mismatch","OK")</f>
        <v>OK</v>
      </c>
      <c r="Y4345" s="9" t="str">
        <f aca="false">IF(AND(N4345="No",O4345&lt;&gt;""),"Unexpected: channel present but no reminder sent",IF(AND(N4345="Yes",O4345=""),"Missing channel for sent reminder","OK"))</f>
        <v>OK</v>
      </c>
    </row>
    <row r="4346" customFormat="false" ht="15" hidden="false" customHeight="false" outlineLevel="0" collapsed="false">
      <c r="A4346" s="7" t="s">
        <v>6056</v>
      </c>
      <c r="B4346" s="7" t="s">
        <v>6057</v>
      </c>
      <c r="C4346" s="7" t="s">
        <v>47</v>
      </c>
      <c r="D4346" s="7" t="n">
        <v>28</v>
      </c>
      <c r="E4346" s="7" t="s">
        <v>48</v>
      </c>
      <c r="F4346" s="7" t="s">
        <v>39</v>
      </c>
      <c r="G4346" s="8" t="n">
        <v>45802</v>
      </c>
      <c r="H4346" s="8" t="n">
        <v>45862</v>
      </c>
      <c r="I4346" s="7" t="s">
        <v>62</v>
      </c>
      <c r="J4346" s="7" t="s">
        <v>41</v>
      </c>
      <c r="K4346" s="7" t="n">
        <v>60</v>
      </c>
      <c r="L4346" s="7" t="n">
        <v>3</v>
      </c>
      <c r="M4346" s="7" t="n">
        <v>0</v>
      </c>
      <c r="N4346" s="7" t="s">
        <v>42</v>
      </c>
      <c r="O4346" s="7" t="s">
        <v>52</v>
      </c>
      <c r="P4346" s="7" t="n">
        <v>19.2</v>
      </c>
      <c r="Q4346" s="7" t="n">
        <v>21</v>
      </c>
      <c r="R4346" s="7" t="s">
        <v>44</v>
      </c>
      <c r="S4346" s="7"/>
      <c r="T4346" s="7"/>
      <c r="U4346" s="7" t="str">
        <f aca="false">IF(COUNTIF($A$2:$A$5001,A4346)&gt;1,"Duplicate","Unique")</f>
        <v>Unique</v>
      </c>
      <c r="V4346" s="7" t="str">
        <f aca="false">IF(COUNTIFS($B$2:$B$5001,B4346,$H$2:$H$5001,H4346,$J$2:$J$5001,J4346)&gt;1,"Possible Duplicate Booking","Unique")</f>
        <v>Unique</v>
      </c>
      <c r="W4346" s="7" t="str">
        <f aca="false">IF((H4346-G4346)&lt;&gt;K4346,"Mismatch","OK")</f>
        <v>OK</v>
      </c>
      <c r="X4346" s="7" t="str">
        <f aca="false">IF(TEXT(H4346,"dddd")&lt;&gt;I4346,"Mismatch","OK")</f>
        <v>OK</v>
      </c>
      <c r="Y4346" s="7" t="str">
        <f aca="false">IF(AND(N4346="No",O4346&lt;&gt;""),"Unexpected: channel present but no reminder sent",IF(AND(N4346="Yes",O4346=""),"Missing channel for sent reminder","OK"))</f>
        <v>OK</v>
      </c>
    </row>
    <row r="4347" customFormat="false" ht="15" hidden="false" customHeight="false" outlineLevel="0" collapsed="false">
      <c r="A4347" s="9" t="s">
        <v>6058</v>
      </c>
      <c r="B4347" s="9" t="s">
        <v>4267</v>
      </c>
      <c r="C4347" s="9" t="s">
        <v>47</v>
      </c>
      <c r="D4347" s="9" t="n">
        <v>64</v>
      </c>
      <c r="E4347" s="9" t="s">
        <v>61</v>
      </c>
      <c r="F4347" s="9" t="s">
        <v>39</v>
      </c>
      <c r="G4347" s="10" t="n">
        <v>45930</v>
      </c>
      <c r="H4347" s="10" t="n">
        <v>45932</v>
      </c>
      <c r="I4347" s="9" t="s">
        <v>62</v>
      </c>
      <c r="J4347" s="9" t="s">
        <v>51</v>
      </c>
      <c r="K4347" s="9" t="n">
        <v>2</v>
      </c>
      <c r="L4347" s="9" t="n">
        <v>2</v>
      </c>
      <c r="M4347" s="9" t="n">
        <v>1</v>
      </c>
      <c r="N4347" s="9" t="s">
        <v>71</v>
      </c>
      <c r="O4347" s="9"/>
      <c r="P4347" s="9" t="n">
        <v>7.1</v>
      </c>
      <c r="Q4347" s="9" t="n">
        <v>19</v>
      </c>
      <c r="R4347" s="9" t="s">
        <v>53</v>
      </c>
      <c r="S4347" s="9"/>
      <c r="T4347" s="9"/>
      <c r="U4347" s="9" t="str">
        <f aca="false">IF(COUNTIF($A$2:$A$5001,A4347)&gt;1,"Duplicate","Unique")</f>
        <v>Unique</v>
      </c>
      <c r="V4347" s="9" t="str">
        <f aca="false">IF(COUNTIFS($B$2:$B$5001,B4347,$H$2:$H$5001,H4347,$J$2:$J$5001,J4347)&gt;1,"Possible Duplicate Booking","Unique")</f>
        <v>Unique</v>
      </c>
      <c r="W4347" s="9" t="str">
        <f aca="false">IF((H4347-G4347)&lt;&gt;K4347,"Mismatch","OK")</f>
        <v>OK</v>
      </c>
      <c r="X4347" s="9" t="str">
        <f aca="false">IF(TEXT(H4347,"dddd")&lt;&gt;I4347,"Mismatch","OK")</f>
        <v>OK</v>
      </c>
      <c r="Y4347" s="9" t="str">
        <f aca="false">IF(AND(N4347="No",O4347&lt;&gt;""),"Unexpected: channel present but no reminder sent",IF(AND(N4347="Yes",O4347=""),"Missing channel for sent reminder","OK"))</f>
        <v>OK</v>
      </c>
    </row>
    <row r="4348" customFormat="false" ht="15" hidden="false" customHeight="false" outlineLevel="0" collapsed="false">
      <c r="A4348" s="7" t="s">
        <v>6059</v>
      </c>
      <c r="B4348" s="7" t="s">
        <v>3182</v>
      </c>
      <c r="C4348" s="7" t="s">
        <v>37</v>
      </c>
      <c r="D4348" s="7" t="n">
        <v>29</v>
      </c>
      <c r="E4348" s="7" t="s">
        <v>48</v>
      </c>
      <c r="F4348" s="7" t="s">
        <v>49</v>
      </c>
      <c r="G4348" s="8" t="n">
        <v>45633</v>
      </c>
      <c r="H4348" s="8" t="n">
        <v>45685</v>
      </c>
      <c r="I4348" s="7" t="s">
        <v>40</v>
      </c>
      <c r="J4348" s="7" t="s">
        <v>51</v>
      </c>
      <c r="K4348" s="7" t="n">
        <v>52</v>
      </c>
      <c r="L4348" s="7" t="n">
        <v>2</v>
      </c>
      <c r="M4348" s="7" t="n">
        <v>1</v>
      </c>
      <c r="N4348" s="7" t="s">
        <v>42</v>
      </c>
      <c r="O4348" s="7" t="s">
        <v>67</v>
      </c>
      <c r="P4348" s="7" t="n">
        <v>5.8</v>
      </c>
      <c r="Q4348" s="7" t="n">
        <v>36</v>
      </c>
      <c r="R4348" s="7" t="s">
        <v>44</v>
      </c>
      <c r="S4348" s="7"/>
      <c r="T4348" s="7"/>
      <c r="U4348" s="7" t="str">
        <f aca="false">IF(COUNTIF($A$2:$A$5001,A4348)&gt;1,"Duplicate","Unique")</f>
        <v>Unique</v>
      </c>
      <c r="V4348" s="7" t="str">
        <f aca="false">IF(COUNTIFS($B$2:$B$5001,B4348,$H$2:$H$5001,H4348,$J$2:$J$5001,J4348)&gt;1,"Possible Duplicate Booking","Unique")</f>
        <v>Unique</v>
      </c>
      <c r="W4348" s="7" t="str">
        <f aca="false">IF((H4348-G4348)&lt;&gt;K4348,"Mismatch","OK")</f>
        <v>OK</v>
      </c>
      <c r="X4348" s="7" t="str">
        <f aca="false">IF(TEXT(H4348,"dddd")&lt;&gt;I4348,"Mismatch","OK")</f>
        <v>OK</v>
      </c>
      <c r="Y4348" s="7" t="str">
        <f aca="false">IF(AND(N4348="No",O4348&lt;&gt;""),"Unexpected: channel present but no reminder sent",IF(AND(N4348="Yes",O4348=""),"Missing channel for sent reminder","OK"))</f>
        <v>OK</v>
      </c>
    </row>
    <row r="4349" customFormat="false" ht="15" hidden="false" customHeight="false" outlineLevel="0" collapsed="false">
      <c r="A4349" s="9" t="s">
        <v>6060</v>
      </c>
      <c r="B4349" s="9" t="s">
        <v>3245</v>
      </c>
      <c r="C4349" s="9" t="s">
        <v>37</v>
      </c>
      <c r="D4349" s="9" t="n">
        <v>58</v>
      </c>
      <c r="E4349" s="9" t="s">
        <v>61</v>
      </c>
      <c r="F4349" s="9" t="s">
        <v>39</v>
      </c>
      <c r="G4349" s="10" t="n">
        <v>45723</v>
      </c>
      <c r="H4349" s="10" t="n">
        <v>45740</v>
      </c>
      <c r="I4349" s="9" t="s">
        <v>66</v>
      </c>
      <c r="J4349" s="9" t="s">
        <v>51</v>
      </c>
      <c r="K4349" s="9" t="n">
        <v>17</v>
      </c>
      <c r="L4349" s="9" t="n">
        <v>9</v>
      </c>
      <c r="M4349" s="9" t="n">
        <v>1</v>
      </c>
      <c r="N4349" s="9" t="s">
        <v>42</v>
      </c>
      <c r="O4349" s="9" t="s">
        <v>67</v>
      </c>
      <c r="P4349" s="9" t="n">
        <v>15.6</v>
      </c>
      <c r="Q4349" s="9" t="n">
        <v>27</v>
      </c>
      <c r="R4349" s="9" t="s">
        <v>53</v>
      </c>
      <c r="S4349" s="9"/>
      <c r="T4349" s="9"/>
      <c r="U4349" s="9" t="str">
        <f aca="false">IF(COUNTIF($A$2:$A$5001,A4349)&gt;1,"Duplicate","Unique")</f>
        <v>Unique</v>
      </c>
      <c r="V4349" s="9" t="str">
        <f aca="false">IF(COUNTIFS($B$2:$B$5001,B4349,$H$2:$H$5001,H4349,$J$2:$J$5001,J4349)&gt;1,"Possible Duplicate Booking","Unique")</f>
        <v>Unique</v>
      </c>
      <c r="W4349" s="9" t="str">
        <f aca="false">IF((H4349-G4349)&lt;&gt;K4349,"Mismatch","OK")</f>
        <v>OK</v>
      </c>
      <c r="X4349" s="9" t="str">
        <f aca="false">IF(TEXT(H4349,"dddd")&lt;&gt;I4349,"Mismatch","OK")</f>
        <v>OK</v>
      </c>
      <c r="Y4349" s="9" t="str">
        <f aca="false">IF(AND(N4349="No",O4349&lt;&gt;""),"Unexpected: channel present but no reminder sent",IF(AND(N4349="Yes",O4349=""),"Missing channel for sent reminder","OK"))</f>
        <v>OK</v>
      </c>
    </row>
    <row r="4350" customFormat="false" ht="15" hidden="false" customHeight="false" outlineLevel="0" collapsed="false">
      <c r="A4350" s="7" t="s">
        <v>6061</v>
      </c>
      <c r="B4350" s="7" t="s">
        <v>2920</v>
      </c>
      <c r="C4350" s="7" t="s">
        <v>37</v>
      </c>
      <c r="D4350" s="7" t="n">
        <v>70</v>
      </c>
      <c r="E4350" s="7" t="s">
        <v>70</v>
      </c>
      <c r="F4350" s="7" t="s">
        <v>57</v>
      </c>
      <c r="G4350" s="8" t="n">
        <v>46074</v>
      </c>
      <c r="H4350" s="8" t="n">
        <v>46076</v>
      </c>
      <c r="I4350" s="7" t="s">
        <v>66</v>
      </c>
      <c r="J4350" s="7" t="s">
        <v>51</v>
      </c>
      <c r="K4350" s="7" t="n">
        <v>2</v>
      </c>
      <c r="L4350" s="7" t="n">
        <v>5</v>
      </c>
      <c r="M4350" s="7" t="n">
        <v>1</v>
      </c>
      <c r="N4350" s="7" t="s">
        <v>71</v>
      </c>
      <c r="O4350" s="7"/>
      <c r="P4350" s="7" t="n">
        <v>5.4</v>
      </c>
      <c r="Q4350" s="7" t="n">
        <v>32</v>
      </c>
      <c r="R4350" s="7" t="s">
        <v>53</v>
      </c>
      <c r="S4350" s="7"/>
      <c r="T4350" s="7"/>
      <c r="U4350" s="7" t="str">
        <f aca="false">IF(COUNTIF($A$2:$A$5001,A4350)&gt;1,"Duplicate","Unique")</f>
        <v>Unique</v>
      </c>
      <c r="V4350" s="7" t="str">
        <f aca="false">IF(COUNTIFS($B$2:$B$5001,B4350,$H$2:$H$5001,H4350,$J$2:$J$5001,J4350)&gt;1,"Possible Duplicate Booking","Unique")</f>
        <v>Unique</v>
      </c>
      <c r="W4350" s="7" t="str">
        <f aca="false">IF((H4350-G4350)&lt;&gt;K4350,"Mismatch","OK")</f>
        <v>OK</v>
      </c>
      <c r="X4350" s="7" t="str">
        <f aca="false">IF(TEXT(H4350,"dddd")&lt;&gt;I4350,"Mismatch","OK")</f>
        <v>OK</v>
      </c>
      <c r="Y4350" s="7" t="str">
        <f aca="false">IF(AND(N4350="No",O4350&lt;&gt;""),"Unexpected: channel present but no reminder sent",IF(AND(N4350="Yes",O4350=""),"Missing channel for sent reminder","OK"))</f>
        <v>OK</v>
      </c>
    </row>
    <row r="4351" customFormat="false" ht="15" hidden="false" customHeight="false" outlineLevel="0" collapsed="false">
      <c r="A4351" s="9" t="s">
        <v>6062</v>
      </c>
      <c r="B4351" s="9" t="s">
        <v>1925</v>
      </c>
      <c r="C4351" s="9" t="s">
        <v>37</v>
      </c>
      <c r="D4351" s="9" t="n">
        <v>40</v>
      </c>
      <c r="E4351" s="9" t="s">
        <v>38</v>
      </c>
      <c r="F4351" s="9" t="s">
        <v>57</v>
      </c>
      <c r="G4351" s="10" t="n">
        <v>45810</v>
      </c>
      <c r="H4351" s="10" t="n">
        <v>45850</v>
      </c>
      <c r="I4351" s="9" t="s">
        <v>102</v>
      </c>
      <c r="J4351" s="9" t="s">
        <v>51</v>
      </c>
      <c r="K4351" s="9" t="n">
        <v>40</v>
      </c>
      <c r="L4351" s="9" t="n">
        <v>1</v>
      </c>
      <c r="M4351" s="9" t="n">
        <v>1</v>
      </c>
      <c r="N4351" s="9" t="s">
        <v>71</v>
      </c>
      <c r="O4351" s="9"/>
      <c r="P4351" s="9" t="n">
        <v>12.1</v>
      </c>
      <c r="Q4351" s="9" t="n">
        <v>20</v>
      </c>
      <c r="R4351" s="9" t="s">
        <v>44</v>
      </c>
      <c r="S4351" s="9"/>
      <c r="T4351" s="9"/>
      <c r="U4351" s="9" t="str">
        <f aca="false">IF(COUNTIF($A$2:$A$5001,A4351)&gt;1,"Duplicate","Unique")</f>
        <v>Unique</v>
      </c>
      <c r="V4351" s="9" t="str">
        <f aca="false">IF(COUNTIFS($B$2:$B$5001,B4351,$H$2:$H$5001,H4351,$J$2:$J$5001,J4351)&gt;1,"Possible Duplicate Booking","Unique")</f>
        <v>Unique</v>
      </c>
      <c r="W4351" s="9" t="str">
        <f aca="false">IF((H4351-G4351)&lt;&gt;K4351,"Mismatch","OK")</f>
        <v>OK</v>
      </c>
      <c r="X4351" s="9" t="str">
        <f aca="false">IF(TEXT(H4351,"dddd")&lt;&gt;I4351,"Mismatch","OK")</f>
        <v>OK</v>
      </c>
      <c r="Y4351" s="9" t="str">
        <f aca="false">IF(AND(N4351="No",O4351&lt;&gt;""),"Unexpected: channel present but no reminder sent",IF(AND(N4351="Yes",O4351=""),"Missing channel for sent reminder","OK"))</f>
        <v>OK</v>
      </c>
    </row>
    <row r="4352" customFormat="false" ht="15" hidden="false" customHeight="false" outlineLevel="0" collapsed="false">
      <c r="A4352" s="7" t="s">
        <v>6063</v>
      </c>
      <c r="B4352" s="7" t="s">
        <v>1695</v>
      </c>
      <c r="C4352" s="7" t="s">
        <v>47</v>
      </c>
      <c r="D4352" s="7" t="n">
        <v>26</v>
      </c>
      <c r="E4352" s="7" t="s">
        <v>48</v>
      </c>
      <c r="F4352" s="7" t="s">
        <v>57</v>
      </c>
      <c r="G4352" s="8" t="n">
        <v>45949</v>
      </c>
      <c r="H4352" s="8" t="n">
        <v>45990</v>
      </c>
      <c r="I4352" s="7" t="s">
        <v>102</v>
      </c>
      <c r="J4352" s="7" t="s">
        <v>41</v>
      </c>
      <c r="K4352" s="7" t="n">
        <v>41</v>
      </c>
      <c r="L4352" s="7" t="n">
        <v>2</v>
      </c>
      <c r="M4352" s="7" t="n">
        <v>0</v>
      </c>
      <c r="N4352" s="7" t="s">
        <v>71</v>
      </c>
      <c r="O4352" s="7"/>
      <c r="P4352" s="7" t="n">
        <v>10.3</v>
      </c>
      <c r="Q4352" s="7" t="n">
        <v>11</v>
      </c>
      <c r="R4352" s="7" t="s">
        <v>53</v>
      </c>
      <c r="S4352" s="7"/>
      <c r="T4352" s="7"/>
      <c r="U4352" s="7" t="str">
        <f aca="false">IF(COUNTIF($A$2:$A$5001,A4352)&gt;1,"Duplicate","Unique")</f>
        <v>Unique</v>
      </c>
      <c r="V4352" s="7" t="str">
        <f aca="false">IF(COUNTIFS($B$2:$B$5001,B4352,$H$2:$H$5001,H4352,$J$2:$J$5001,J4352)&gt;1,"Possible Duplicate Booking","Unique")</f>
        <v>Unique</v>
      </c>
      <c r="W4352" s="7" t="str">
        <f aca="false">IF((H4352-G4352)&lt;&gt;K4352,"Mismatch","OK")</f>
        <v>OK</v>
      </c>
      <c r="X4352" s="7" t="str">
        <f aca="false">IF(TEXT(H4352,"dddd")&lt;&gt;I4352,"Mismatch","OK")</f>
        <v>OK</v>
      </c>
      <c r="Y4352" s="7" t="str">
        <f aca="false">IF(AND(N4352="No",O4352&lt;&gt;""),"Unexpected: channel present but no reminder sent",IF(AND(N4352="Yes",O4352=""),"Missing channel for sent reminder","OK"))</f>
        <v>OK</v>
      </c>
    </row>
    <row r="4353" customFormat="false" ht="15" hidden="false" customHeight="false" outlineLevel="0" collapsed="false">
      <c r="A4353" s="9" t="s">
        <v>6064</v>
      </c>
      <c r="B4353" s="9" t="s">
        <v>1049</v>
      </c>
      <c r="C4353" s="9" t="s">
        <v>47</v>
      </c>
      <c r="D4353" s="9" t="n">
        <v>18</v>
      </c>
      <c r="E4353" s="9" t="s">
        <v>82</v>
      </c>
      <c r="F4353" s="9" t="s">
        <v>57</v>
      </c>
      <c r="G4353" s="10" t="n">
        <v>45958</v>
      </c>
      <c r="H4353" s="10" t="n">
        <v>45966</v>
      </c>
      <c r="I4353" s="9" t="s">
        <v>58</v>
      </c>
      <c r="J4353" s="9" t="s">
        <v>41</v>
      </c>
      <c r="K4353" s="9" t="n">
        <v>8</v>
      </c>
      <c r="L4353" s="9" t="n">
        <v>2</v>
      </c>
      <c r="M4353" s="9" t="n">
        <v>0</v>
      </c>
      <c r="N4353" s="9" t="s">
        <v>71</v>
      </c>
      <c r="O4353" s="9"/>
      <c r="P4353" s="9" t="n">
        <v>8.3</v>
      </c>
      <c r="Q4353" s="9" t="n">
        <v>38</v>
      </c>
      <c r="R4353" s="9" t="s">
        <v>44</v>
      </c>
      <c r="S4353" s="9"/>
      <c r="T4353" s="9"/>
      <c r="U4353" s="9" t="str">
        <f aca="false">IF(COUNTIF($A$2:$A$5001,A4353)&gt;1,"Duplicate","Unique")</f>
        <v>Unique</v>
      </c>
      <c r="V4353" s="9" t="str">
        <f aca="false">IF(COUNTIFS($B$2:$B$5001,B4353,$H$2:$H$5001,H4353,$J$2:$J$5001,J4353)&gt;1,"Possible Duplicate Booking","Unique")</f>
        <v>Unique</v>
      </c>
      <c r="W4353" s="9" t="str">
        <f aca="false">IF((H4353-G4353)&lt;&gt;K4353,"Mismatch","OK")</f>
        <v>OK</v>
      </c>
      <c r="X4353" s="9" t="str">
        <f aca="false">IF(TEXT(H4353,"dddd")&lt;&gt;I4353,"Mismatch","OK")</f>
        <v>OK</v>
      </c>
      <c r="Y4353" s="9" t="str">
        <f aca="false">IF(AND(N4353="No",O4353&lt;&gt;""),"Unexpected: channel present but no reminder sent",IF(AND(N4353="Yes",O4353=""),"Missing channel for sent reminder","OK"))</f>
        <v>OK</v>
      </c>
    </row>
    <row r="4354" customFormat="false" ht="15" hidden="false" customHeight="false" outlineLevel="0" collapsed="false">
      <c r="A4354" s="7" t="s">
        <v>6065</v>
      </c>
      <c r="B4354" s="7" t="s">
        <v>1179</v>
      </c>
      <c r="C4354" s="7" t="s">
        <v>37</v>
      </c>
      <c r="D4354" s="7" t="n">
        <v>40</v>
      </c>
      <c r="E4354" s="7" t="s">
        <v>38</v>
      </c>
      <c r="F4354" s="7" t="s">
        <v>57</v>
      </c>
      <c r="G4354" s="8" t="n">
        <v>45956</v>
      </c>
      <c r="H4354" s="8" t="n">
        <v>45958</v>
      </c>
      <c r="I4354" s="7" t="s">
        <v>40</v>
      </c>
      <c r="J4354" s="7" t="s">
        <v>51</v>
      </c>
      <c r="K4354" s="7" t="n">
        <v>2</v>
      </c>
      <c r="L4354" s="7" t="n">
        <v>1</v>
      </c>
      <c r="M4354" s="7" t="n">
        <v>0</v>
      </c>
      <c r="N4354" s="7" t="s">
        <v>42</v>
      </c>
      <c r="O4354" s="7" t="s">
        <v>43</v>
      </c>
      <c r="P4354" s="7" t="n">
        <v>5</v>
      </c>
      <c r="Q4354" s="7" t="n">
        <v>18</v>
      </c>
      <c r="R4354" s="7" t="s">
        <v>87</v>
      </c>
      <c r="S4354" s="7"/>
      <c r="T4354" s="7"/>
      <c r="U4354" s="7" t="str">
        <f aca="false">IF(COUNTIF($A$2:$A$5001,A4354)&gt;1,"Duplicate","Unique")</f>
        <v>Unique</v>
      </c>
      <c r="V4354" s="7" t="str">
        <f aca="false">IF(COUNTIFS($B$2:$B$5001,B4354,$H$2:$H$5001,H4354,$J$2:$J$5001,J4354)&gt;1,"Possible Duplicate Booking","Unique")</f>
        <v>Unique</v>
      </c>
      <c r="W4354" s="7" t="str">
        <f aca="false">IF((H4354-G4354)&lt;&gt;K4354,"Mismatch","OK")</f>
        <v>OK</v>
      </c>
      <c r="X4354" s="7" t="str">
        <f aca="false">IF(TEXT(H4354,"dddd")&lt;&gt;I4354,"Mismatch","OK")</f>
        <v>OK</v>
      </c>
      <c r="Y4354" s="7" t="str">
        <f aca="false">IF(AND(N4354="No",O4354&lt;&gt;""),"Unexpected: channel present but no reminder sent",IF(AND(N4354="Yes",O4354=""),"Missing channel for sent reminder","OK"))</f>
        <v>OK</v>
      </c>
    </row>
    <row r="4355" customFormat="false" ht="15" hidden="false" customHeight="false" outlineLevel="0" collapsed="false">
      <c r="A4355" s="9" t="s">
        <v>6066</v>
      </c>
      <c r="B4355" s="9" t="s">
        <v>534</v>
      </c>
      <c r="C4355" s="9" t="s">
        <v>37</v>
      </c>
      <c r="D4355" s="9" t="n">
        <v>25</v>
      </c>
      <c r="E4355" s="9" t="s">
        <v>48</v>
      </c>
      <c r="F4355" s="9" t="s">
        <v>74</v>
      </c>
      <c r="G4355" s="10" t="n">
        <v>45877</v>
      </c>
      <c r="H4355" s="10" t="n">
        <v>45883</v>
      </c>
      <c r="I4355" s="9" t="s">
        <v>62</v>
      </c>
      <c r="J4355" s="9" t="s">
        <v>41</v>
      </c>
      <c r="K4355" s="9" t="n">
        <v>6</v>
      </c>
      <c r="L4355" s="9" t="n">
        <v>2</v>
      </c>
      <c r="M4355" s="9" t="n">
        <v>0</v>
      </c>
      <c r="N4355" s="9" t="s">
        <v>71</v>
      </c>
      <c r="O4355" s="9"/>
      <c r="P4355" s="9" t="n">
        <v>22.5</v>
      </c>
      <c r="Q4355" s="9" t="n">
        <v>31</v>
      </c>
      <c r="R4355" s="9" t="s">
        <v>53</v>
      </c>
      <c r="S4355" s="9"/>
      <c r="T4355" s="9"/>
      <c r="U4355" s="9" t="str">
        <f aca="false">IF(COUNTIF($A$2:$A$5001,A4355)&gt;1,"Duplicate","Unique")</f>
        <v>Unique</v>
      </c>
      <c r="V4355" s="9" t="str">
        <f aca="false">IF(COUNTIFS($B$2:$B$5001,B4355,$H$2:$H$5001,H4355,$J$2:$J$5001,J4355)&gt;1,"Possible Duplicate Booking","Unique")</f>
        <v>Unique</v>
      </c>
      <c r="W4355" s="9" t="str">
        <f aca="false">IF((H4355-G4355)&lt;&gt;K4355,"Mismatch","OK")</f>
        <v>OK</v>
      </c>
      <c r="X4355" s="9" t="str">
        <f aca="false">IF(TEXT(H4355,"dddd")&lt;&gt;I4355,"Mismatch","OK")</f>
        <v>OK</v>
      </c>
      <c r="Y4355" s="9" t="str">
        <f aca="false">IF(AND(N4355="No",O4355&lt;&gt;""),"Unexpected: channel present but no reminder sent",IF(AND(N4355="Yes",O4355=""),"Missing channel for sent reminder","OK"))</f>
        <v>OK</v>
      </c>
    </row>
    <row r="4356" customFormat="false" ht="15" hidden="false" customHeight="false" outlineLevel="0" collapsed="false">
      <c r="A4356" s="7" t="s">
        <v>6067</v>
      </c>
      <c r="B4356" s="7" t="s">
        <v>4531</v>
      </c>
      <c r="C4356" s="7" t="s">
        <v>37</v>
      </c>
      <c r="D4356" s="7" t="n">
        <v>73</v>
      </c>
      <c r="E4356" s="7" t="s">
        <v>70</v>
      </c>
      <c r="F4356" s="7" t="s">
        <v>57</v>
      </c>
      <c r="G4356" s="8" t="n">
        <v>45897</v>
      </c>
      <c r="H4356" s="8" t="n">
        <v>45921</v>
      </c>
      <c r="I4356" s="7" t="s">
        <v>75</v>
      </c>
      <c r="J4356" s="7" t="s">
        <v>41</v>
      </c>
      <c r="K4356" s="7" t="n">
        <v>24</v>
      </c>
      <c r="L4356" s="7" t="n">
        <v>1</v>
      </c>
      <c r="M4356" s="7" t="n">
        <v>0</v>
      </c>
      <c r="N4356" s="7" t="s">
        <v>71</v>
      </c>
      <c r="O4356" s="7"/>
      <c r="P4356" s="7" t="n">
        <v>5.6</v>
      </c>
      <c r="Q4356" s="7" t="n">
        <v>20</v>
      </c>
      <c r="R4356" s="7" t="s">
        <v>44</v>
      </c>
      <c r="S4356" s="7"/>
      <c r="T4356" s="7"/>
      <c r="U4356" s="7" t="str">
        <f aca="false">IF(COUNTIF($A$2:$A$5001,A4356)&gt;1,"Duplicate","Unique")</f>
        <v>Unique</v>
      </c>
      <c r="V4356" s="7" t="str">
        <f aca="false">IF(COUNTIFS($B$2:$B$5001,B4356,$H$2:$H$5001,H4356,$J$2:$J$5001,J4356)&gt;1,"Possible Duplicate Booking","Unique")</f>
        <v>Unique</v>
      </c>
      <c r="W4356" s="7" t="str">
        <f aca="false">IF((H4356-G4356)&lt;&gt;K4356,"Mismatch","OK")</f>
        <v>OK</v>
      </c>
      <c r="X4356" s="7" t="str">
        <f aca="false">IF(TEXT(H4356,"dddd")&lt;&gt;I4356,"Mismatch","OK")</f>
        <v>OK</v>
      </c>
      <c r="Y4356" s="7" t="str">
        <f aca="false">IF(AND(N4356="No",O4356&lt;&gt;""),"Unexpected: channel present but no reminder sent",IF(AND(N4356="Yes",O4356=""),"Missing channel for sent reminder","OK"))</f>
        <v>OK</v>
      </c>
    </row>
    <row r="4357" customFormat="false" ht="15" hidden="false" customHeight="false" outlineLevel="0" collapsed="false">
      <c r="A4357" s="9" t="s">
        <v>6068</v>
      </c>
      <c r="B4357" s="9" t="s">
        <v>1643</v>
      </c>
      <c r="C4357" s="9" t="s">
        <v>47</v>
      </c>
      <c r="D4357" s="9" t="n">
        <v>79</v>
      </c>
      <c r="E4357" s="9" t="s">
        <v>70</v>
      </c>
      <c r="F4357" s="9" t="s">
        <v>57</v>
      </c>
      <c r="G4357" s="10" t="n">
        <v>46099</v>
      </c>
      <c r="H4357" s="10" t="n">
        <v>46107</v>
      </c>
      <c r="I4357" s="9" t="s">
        <v>62</v>
      </c>
      <c r="J4357" s="9" t="s">
        <v>51</v>
      </c>
      <c r="K4357" s="9" t="n">
        <v>8</v>
      </c>
      <c r="L4357" s="9" t="n">
        <v>4</v>
      </c>
      <c r="M4357" s="9" t="n">
        <v>1</v>
      </c>
      <c r="N4357" s="9" t="s">
        <v>71</v>
      </c>
      <c r="O4357" s="9"/>
      <c r="P4357" s="9" t="n">
        <v>19.8</v>
      </c>
      <c r="Q4357" s="9" t="n">
        <v>31</v>
      </c>
      <c r="R4357" s="9" t="s">
        <v>44</v>
      </c>
      <c r="S4357" s="9"/>
      <c r="T4357" s="9"/>
      <c r="U4357" s="9" t="str">
        <f aca="false">IF(COUNTIF($A$2:$A$5001,A4357)&gt;1,"Duplicate","Unique")</f>
        <v>Unique</v>
      </c>
      <c r="V4357" s="9" t="str">
        <f aca="false">IF(COUNTIFS($B$2:$B$5001,B4357,$H$2:$H$5001,H4357,$J$2:$J$5001,J4357)&gt;1,"Possible Duplicate Booking","Unique")</f>
        <v>Unique</v>
      </c>
      <c r="W4357" s="9" t="str">
        <f aca="false">IF((H4357-G4357)&lt;&gt;K4357,"Mismatch","OK")</f>
        <v>OK</v>
      </c>
      <c r="X4357" s="9" t="str">
        <f aca="false">IF(TEXT(H4357,"dddd")&lt;&gt;I4357,"Mismatch","OK")</f>
        <v>OK</v>
      </c>
      <c r="Y4357" s="9" t="str">
        <f aca="false">IF(AND(N4357="No",O4357&lt;&gt;""),"Unexpected: channel present but no reminder sent",IF(AND(N4357="Yes",O4357=""),"Missing channel for sent reminder","OK"))</f>
        <v>OK</v>
      </c>
    </row>
    <row r="4358" customFormat="false" ht="15" hidden="false" customHeight="false" outlineLevel="0" collapsed="false">
      <c r="A4358" s="7" t="s">
        <v>6069</v>
      </c>
      <c r="B4358" s="7" t="s">
        <v>639</v>
      </c>
      <c r="C4358" s="7" t="s">
        <v>47</v>
      </c>
      <c r="D4358" s="7" t="n">
        <v>79</v>
      </c>
      <c r="E4358" s="7" t="s">
        <v>70</v>
      </c>
      <c r="F4358" s="7" t="s">
        <v>57</v>
      </c>
      <c r="G4358" s="8" t="n">
        <v>46142</v>
      </c>
      <c r="H4358" s="8" t="n">
        <v>46184</v>
      </c>
      <c r="I4358" s="7" t="s">
        <v>62</v>
      </c>
      <c r="J4358" s="7" t="s">
        <v>51</v>
      </c>
      <c r="K4358" s="7" t="n">
        <v>42</v>
      </c>
      <c r="L4358" s="7" t="n">
        <v>5</v>
      </c>
      <c r="M4358" s="7" t="n">
        <v>0</v>
      </c>
      <c r="N4358" s="7" t="s">
        <v>42</v>
      </c>
      <c r="O4358" s="7" t="s">
        <v>43</v>
      </c>
      <c r="P4358" s="7" t="n">
        <v>12.6</v>
      </c>
      <c r="Q4358" s="7" t="n">
        <v>27</v>
      </c>
      <c r="R4358" s="7" t="s">
        <v>44</v>
      </c>
      <c r="S4358" s="7"/>
      <c r="T4358" s="7"/>
      <c r="U4358" s="7" t="str">
        <f aca="false">IF(COUNTIF($A$2:$A$5001,A4358)&gt;1,"Duplicate","Unique")</f>
        <v>Unique</v>
      </c>
      <c r="V4358" s="7" t="str">
        <f aca="false">IF(COUNTIFS($B$2:$B$5001,B4358,$H$2:$H$5001,H4358,$J$2:$J$5001,J4358)&gt;1,"Possible Duplicate Booking","Unique")</f>
        <v>Unique</v>
      </c>
      <c r="W4358" s="7" t="str">
        <f aca="false">IF((H4358-G4358)&lt;&gt;K4358,"Mismatch","OK")</f>
        <v>OK</v>
      </c>
      <c r="X4358" s="7" t="str">
        <f aca="false">IF(TEXT(H4358,"dddd")&lt;&gt;I4358,"Mismatch","OK")</f>
        <v>OK</v>
      </c>
      <c r="Y4358" s="7" t="str">
        <f aca="false">IF(AND(N4358="No",O4358&lt;&gt;""),"Unexpected: channel present but no reminder sent",IF(AND(N4358="Yes",O4358=""),"Missing channel for sent reminder","OK"))</f>
        <v>OK</v>
      </c>
    </row>
    <row r="4359" customFormat="false" ht="15" hidden="false" customHeight="false" outlineLevel="0" collapsed="false">
      <c r="A4359" s="9" t="s">
        <v>6070</v>
      </c>
      <c r="B4359" s="9" t="s">
        <v>4015</v>
      </c>
      <c r="C4359" s="9" t="s">
        <v>37</v>
      </c>
      <c r="D4359" s="9" t="n">
        <v>76</v>
      </c>
      <c r="E4359" s="9" t="s">
        <v>70</v>
      </c>
      <c r="F4359" s="9" t="s">
        <v>39</v>
      </c>
      <c r="G4359" s="10" t="n">
        <v>45794</v>
      </c>
      <c r="H4359" s="10" t="n">
        <v>45798</v>
      </c>
      <c r="I4359" s="9" t="s">
        <v>58</v>
      </c>
      <c r="J4359" s="9" t="s">
        <v>41</v>
      </c>
      <c r="K4359" s="9" t="n">
        <v>4</v>
      </c>
      <c r="L4359" s="9" t="n">
        <v>2</v>
      </c>
      <c r="M4359" s="9" t="n">
        <v>0</v>
      </c>
      <c r="N4359" s="9" t="s">
        <v>71</v>
      </c>
      <c r="O4359" s="9"/>
      <c r="P4359" s="9" t="n">
        <v>15.5</v>
      </c>
      <c r="Q4359" s="9" t="n">
        <v>25</v>
      </c>
      <c r="R4359" s="9" t="s">
        <v>44</v>
      </c>
      <c r="S4359" s="9"/>
      <c r="T4359" s="9"/>
      <c r="U4359" s="9" t="str">
        <f aca="false">IF(COUNTIF($A$2:$A$5001,A4359)&gt;1,"Duplicate","Unique")</f>
        <v>Unique</v>
      </c>
      <c r="V4359" s="9" t="str">
        <f aca="false">IF(COUNTIFS($B$2:$B$5001,B4359,$H$2:$H$5001,H4359,$J$2:$J$5001,J4359)&gt;1,"Possible Duplicate Booking","Unique")</f>
        <v>Unique</v>
      </c>
      <c r="W4359" s="9" t="str">
        <f aca="false">IF((H4359-G4359)&lt;&gt;K4359,"Mismatch","OK")</f>
        <v>OK</v>
      </c>
      <c r="X4359" s="9" t="str">
        <f aca="false">IF(TEXT(H4359,"dddd")&lt;&gt;I4359,"Mismatch","OK")</f>
        <v>OK</v>
      </c>
      <c r="Y4359" s="9" t="str">
        <f aca="false">IF(AND(N4359="No",O4359&lt;&gt;""),"Unexpected: channel present but no reminder sent",IF(AND(N4359="Yes",O4359=""),"Missing channel for sent reminder","OK"))</f>
        <v>OK</v>
      </c>
    </row>
    <row r="4360" customFormat="false" ht="15" hidden="false" customHeight="false" outlineLevel="0" collapsed="false">
      <c r="A4360" s="7" t="s">
        <v>6071</v>
      </c>
      <c r="B4360" s="7" t="s">
        <v>3126</v>
      </c>
      <c r="C4360" s="7" t="s">
        <v>37</v>
      </c>
      <c r="D4360" s="7" t="n">
        <v>54</v>
      </c>
      <c r="E4360" s="7" t="s">
        <v>56</v>
      </c>
      <c r="F4360" s="7" t="s">
        <v>39</v>
      </c>
      <c r="G4360" s="8" t="n">
        <v>45975</v>
      </c>
      <c r="H4360" s="8" t="n">
        <v>46023</v>
      </c>
      <c r="I4360" s="7" t="s">
        <v>62</v>
      </c>
      <c r="J4360" s="7" t="s">
        <v>51</v>
      </c>
      <c r="K4360" s="7" t="n">
        <v>48</v>
      </c>
      <c r="L4360" s="7" t="n">
        <v>4</v>
      </c>
      <c r="M4360" s="7" t="n">
        <v>0</v>
      </c>
      <c r="N4360" s="7" t="s">
        <v>42</v>
      </c>
      <c r="O4360" s="7" t="s">
        <v>67</v>
      </c>
      <c r="P4360" s="7" t="n">
        <v>10.2</v>
      </c>
      <c r="Q4360" s="7" t="n">
        <v>29</v>
      </c>
      <c r="R4360" s="7" t="s">
        <v>44</v>
      </c>
      <c r="S4360" s="7"/>
      <c r="T4360" s="7"/>
      <c r="U4360" s="7" t="str">
        <f aca="false">IF(COUNTIF($A$2:$A$5001,A4360)&gt;1,"Duplicate","Unique")</f>
        <v>Unique</v>
      </c>
      <c r="V4360" s="7" t="str">
        <f aca="false">IF(COUNTIFS($B$2:$B$5001,B4360,$H$2:$H$5001,H4360,$J$2:$J$5001,J4360)&gt;1,"Possible Duplicate Booking","Unique")</f>
        <v>Unique</v>
      </c>
      <c r="W4360" s="7" t="str">
        <f aca="false">IF((H4360-G4360)&lt;&gt;K4360,"Mismatch","OK")</f>
        <v>OK</v>
      </c>
      <c r="X4360" s="7" t="str">
        <f aca="false">IF(TEXT(H4360,"dddd")&lt;&gt;I4360,"Mismatch","OK")</f>
        <v>OK</v>
      </c>
      <c r="Y4360" s="7" t="str">
        <f aca="false">IF(AND(N4360="No",O4360&lt;&gt;""),"Unexpected: channel present but no reminder sent",IF(AND(N4360="Yes",O4360=""),"Missing channel for sent reminder","OK"))</f>
        <v>OK</v>
      </c>
    </row>
    <row r="4361" customFormat="false" ht="15" hidden="false" customHeight="false" outlineLevel="0" collapsed="false">
      <c r="A4361" s="9" t="s">
        <v>6072</v>
      </c>
      <c r="B4361" s="9" t="s">
        <v>3001</v>
      </c>
      <c r="C4361" s="9" t="s">
        <v>47</v>
      </c>
      <c r="D4361" s="9" t="n">
        <v>38</v>
      </c>
      <c r="E4361" s="9" t="s">
        <v>38</v>
      </c>
      <c r="F4361" s="9" t="s">
        <v>39</v>
      </c>
      <c r="G4361" s="10" t="n">
        <v>46134</v>
      </c>
      <c r="H4361" s="10" t="n">
        <v>46187</v>
      </c>
      <c r="I4361" s="9" t="s">
        <v>75</v>
      </c>
      <c r="J4361" s="9" t="s">
        <v>41</v>
      </c>
      <c r="K4361" s="9" t="n">
        <v>53</v>
      </c>
      <c r="L4361" s="9" t="n">
        <v>1</v>
      </c>
      <c r="M4361" s="9" t="n">
        <v>0</v>
      </c>
      <c r="N4361" s="9" t="s">
        <v>42</v>
      </c>
      <c r="O4361" s="9" t="s">
        <v>67</v>
      </c>
      <c r="P4361" s="9" t="n">
        <v>22.9</v>
      </c>
      <c r="Q4361" s="9" t="n">
        <v>21</v>
      </c>
      <c r="R4361" s="9" t="s">
        <v>44</v>
      </c>
      <c r="S4361" s="9"/>
      <c r="T4361" s="9"/>
      <c r="U4361" s="9" t="str">
        <f aca="false">IF(COUNTIF($A$2:$A$5001,A4361)&gt;1,"Duplicate","Unique")</f>
        <v>Unique</v>
      </c>
      <c r="V4361" s="9" t="str">
        <f aca="false">IF(COUNTIFS($B$2:$B$5001,B4361,$H$2:$H$5001,H4361,$J$2:$J$5001,J4361)&gt;1,"Possible Duplicate Booking","Unique")</f>
        <v>Unique</v>
      </c>
      <c r="W4361" s="9" t="str">
        <f aca="false">IF((H4361-G4361)&lt;&gt;K4361,"Mismatch","OK")</f>
        <v>OK</v>
      </c>
      <c r="X4361" s="9" t="str">
        <f aca="false">IF(TEXT(H4361,"dddd")&lt;&gt;I4361,"Mismatch","OK")</f>
        <v>OK</v>
      </c>
      <c r="Y4361" s="9" t="str">
        <f aca="false">IF(AND(N4361="No",O4361&lt;&gt;""),"Unexpected: channel present but no reminder sent",IF(AND(N4361="Yes",O4361=""),"Missing channel for sent reminder","OK"))</f>
        <v>OK</v>
      </c>
    </row>
    <row r="4362" customFormat="false" ht="15" hidden="false" customHeight="false" outlineLevel="0" collapsed="false">
      <c r="A4362" s="7" t="s">
        <v>6073</v>
      </c>
      <c r="B4362" s="7" t="s">
        <v>1036</v>
      </c>
      <c r="C4362" s="7" t="s">
        <v>47</v>
      </c>
      <c r="D4362" s="7" t="n">
        <v>46</v>
      </c>
      <c r="E4362" s="7" t="s">
        <v>56</v>
      </c>
      <c r="F4362" s="7" t="s">
        <v>74</v>
      </c>
      <c r="G4362" s="8" t="n">
        <v>45619</v>
      </c>
      <c r="H4362" s="8" t="n">
        <v>45662</v>
      </c>
      <c r="I4362" s="7" t="s">
        <v>75</v>
      </c>
      <c r="J4362" s="7" t="s">
        <v>41</v>
      </c>
      <c r="K4362" s="7" t="n">
        <v>43</v>
      </c>
      <c r="L4362" s="7" t="n">
        <v>2</v>
      </c>
      <c r="M4362" s="7" t="n">
        <v>0</v>
      </c>
      <c r="N4362" s="7" t="s">
        <v>71</v>
      </c>
      <c r="O4362" s="7"/>
      <c r="P4362" s="7" t="n">
        <v>26.6</v>
      </c>
      <c r="Q4362" s="7" t="n">
        <v>5</v>
      </c>
      <c r="R4362" s="7" t="s">
        <v>44</v>
      </c>
      <c r="S4362" s="7"/>
      <c r="T4362" s="7"/>
      <c r="U4362" s="7" t="str">
        <f aca="false">IF(COUNTIF($A$2:$A$5001,A4362)&gt;1,"Duplicate","Unique")</f>
        <v>Unique</v>
      </c>
      <c r="V4362" s="7" t="str">
        <f aca="false">IF(COUNTIFS($B$2:$B$5001,B4362,$H$2:$H$5001,H4362,$J$2:$J$5001,J4362)&gt;1,"Possible Duplicate Booking","Unique")</f>
        <v>Unique</v>
      </c>
      <c r="W4362" s="7" t="str">
        <f aca="false">IF((H4362-G4362)&lt;&gt;K4362,"Mismatch","OK")</f>
        <v>OK</v>
      </c>
      <c r="X4362" s="7" t="str">
        <f aca="false">IF(TEXT(H4362,"dddd")&lt;&gt;I4362,"Mismatch","OK")</f>
        <v>OK</v>
      </c>
      <c r="Y4362" s="7" t="str">
        <f aca="false">IF(AND(N4362="No",O4362&lt;&gt;""),"Unexpected: channel present but no reminder sent",IF(AND(N4362="Yes",O4362=""),"Missing channel for sent reminder","OK"))</f>
        <v>OK</v>
      </c>
    </row>
    <row r="4363" customFormat="false" ht="15" hidden="false" customHeight="false" outlineLevel="0" collapsed="false">
      <c r="A4363" s="9" t="s">
        <v>6074</v>
      </c>
      <c r="B4363" s="9" t="s">
        <v>1159</v>
      </c>
      <c r="C4363" s="9" t="s">
        <v>47</v>
      </c>
      <c r="D4363" s="9" t="n">
        <v>34</v>
      </c>
      <c r="E4363" s="9" t="s">
        <v>48</v>
      </c>
      <c r="F4363" s="9" t="s">
        <v>74</v>
      </c>
      <c r="G4363" s="10" t="n">
        <v>46029</v>
      </c>
      <c r="H4363" s="10" t="n">
        <v>46086</v>
      </c>
      <c r="I4363" s="9" t="s">
        <v>62</v>
      </c>
      <c r="J4363" s="9" t="s">
        <v>63</v>
      </c>
      <c r="K4363" s="9" t="n">
        <v>57</v>
      </c>
      <c r="L4363" s="9" t="n">
        <v>5</v>
      </c>
      <c r="M4363" s="9" t="n">
        <v>1</v>
      </c>
      <c r="N4363" s="9" t="s">
        <v>42</v>
      </c>
      <c r="O4363" s="9" t="s">
        <v>52</v>
      </c>
      <c r="P4363" s="9" t="n">
        <v>7.7</v>
      </c>
      <c r="Q4363" s="9" t="n">
        <v>27</v>
      </c>
      <c r="R4363" s="9" t="s">
        <v>44</v>
      </c>
      <c r="S4363" s="9"/>
      <c r="T4363" s="9"/>
      <c r="U4363" s="9" t="str">
        <f aca="false">IF(COUNTIF($A$2:$A$5001,A4363)&gt;1,"Duplicate","Unique")</f>
        <v>Unique</v>
      </c>
      <c r="V4363" s="9" t="str">
        <f aca="false">IF(COUNTIFS($B$2:$B$5001,B4363,$H$2:$H$5001,H4363,$J$2:$J$5001,J4363)&gt;1,"Possible Duplicate Booking","Unique")</f>
        <v>Unique</v>
      </c>
      <c r="W4363" s="9" t="str">
        <f aca="false">IF((H4363-G4363)&lt;&gt;K4363,"Mismatch","OK")</f>
        <v>OK</v>
      </c>
      <c r="X4363" s="9" t="str">
        <f aca="false">IF(TEXT(H4363,"dddd")&lt;&gt;I4363,"Mismatch","OK")</f>
        <v>OK</v>
      </c>
      <c r="Y4363" s="9" t="str">
        <f aca="false">IF(AND(N4363="No",O4363&lt;&gt;""),"Unexpected: channel present but no reminder sent",IF(AND(N4363="Yes",O4363=""),"Missing channel for sent reminder","OK"))</f>
        <v>OK</v>
      </c>
    </row>
    <row r="4364" customFormat="false" ht="15" hidden="false" customHeight="false" outlineLevel="0" collapsed="false">
      <c r="A4364" s="7" t="s">
        <v>6075</v>
      </c>
      <c r="B4364" s="7" t="s">
        <v>512</v>
      </c>
      <c r="C4364" s="7" t="s">
        <v>37</v>
      </c>
      <c r="D4364" s="7" t="n">
        <v>70</v>
      </c>
      <c r="E4364" s="7" t="s">
        <v>70</v>
      </c>
      <c r="F4364" s="7" t="s">
        <v>49</v>
      </c>
      <c r="G4364" s="8" t="n">
        <v>45872</v>
      </c>
      <c r="H4364" s="8" t="n">
        <v>45929</v>
      </c>
      <c r="I4364" s="7" t="s">
        <v>66</v>
      </c>
      <c r="J4364" s="7" t="s">
        <v>51</v>
      </c>
      <c r="K4364" s="7" t="n">
        <v>57</v>
      </c>
      <c r="L4364" s="7" t="n">
        <v>5</v>
      </c>
      <c r="M4364" s="7" t="n">
        <v>1</v>
      </c>
      <c r="N4364" s="7" t="s">
        <v>71</v>
      </c>
      <c r="O4364" s="7"/>
      <c r="P4364" s="7" t="n">
        <v>5.9</v>
      </c>
      <c r="Q4364" s="7" t="n">
        <v>37</v>
      </c>
      <c r="R4364" s="7" t="s">
        <v>53</v>
      </c>
      <c r="S4364" s="7"/>
      <c r="T4364" s="7"/>
      <c r="U4364" s="7" t="str">
        <f aca="false">IF(COUNTIF($A$2:$A$5001,A4364)&gt;1,"Duplicate","Unique")</f>
        <v>Unique</v>
      </c>
      <c r="V4364" s="7" t="str">
        <f aca="false">IF(COUNTIFS($B$2:$B$5001,B4364,$H$2:$H$5001,H4364,$J$2:$J$5001,J4364)&gt;1,"Possible Duplicate Booking","Unique")</f>
        <v>Unique</v>
      </c>
      <c r="W4364" s="7" t="str">
        <f aca="false">IF((H4364-G4364)&lt;&gt;K4364,"Mismatch","OK")</f>
        <v>OK</v>
      </c>
      <c r="X4364" s="7" t="str">
        <f aca="false">IF(TEXT(H4364,"dddd")&lt;&gt;I4364,"Mismatch","OK")</f>
        <v>OK</v>
      </c>
      <c r="Y4364" s="7" t="str">
        <f aca="false">IF(AND(N4364="No",O4364&lt;&gt;""),"Unexpected: channel present but no reminder sent",IF(AND(N4364="Yes",O4364=""),"Missing channel for sent reminder","OK"))</f>
        <v>OK</v>
      </c>
    </row>
    <row r="4365" customFormat="false" ht="15" hidden="false" customHeight="false" outlineLevel="0" collapsed="false">
      <c r="A4365" s="9" t="s">
        <v>6076</v>
      </c>
      <c r="B4365" s="9" t="s">
        <v>2345</v>
      </c>
      <c r="C4365" s="9" t="s">
        <v>37</v>
      </c>
      <c r="D4365" s="9" t="n">
        <v>45</v>
      </c>
      <c r="E4365" s="9" t="s">
        <v>56</v>
      </c>
      <c r="F4365" s="9" t="s">
        <v>49</v>
      </c>
      <c r="G4365" s="10" t="n">
        <v>46184</v>
      </c>
      <c r="H4365" s="10" t="n">
        <v>46186</v>
      </c>
      <c r="I4365" s="9" t="s">
        <v>102</v>
      </c>
      <c r="J4365" s="9" t="s">
        <v>51</v>
      </c>
      <c r="K4365" s="9" t="n">
        <v>2</v>
      </c>
      <c r="L4365" s="9" t="n">
        <v>4</v>
      </c>
      <c r="M4365" s="9" t="n">
        <v>0</v>
      </c>
      <c r="N4365" s="9" t="s">
        <v>42</v>
      </c>
      <c r="O4365" s="9" t="s">
        <v>52</v>
      </c>
      <c r="P4365" s="9" t="n">
        <v>9.5</v>
      </c>
      <c r="Q4365" s="9" t="n">
        <v>24</v>
      </c>
      <c r="R4365" s="9" t="s">
        <v>53</v>
      </c>
      <c r="S4365" s="9"/>
      <c r="T4365" s="9"/>
      <c r="U4365" s="9" t="str">
        <f aca="false">IF(COUNTIF($A$2:$A$5001,A4365)&gt;1,"Duplicate","Unique")</f>
        <v>Unique</v>
      </c>
      <c r="V4365" s="9" t="str">
        <f aca="false">IF(COUNTIFS($B$2:$B$5001,B4365,$H$2:$H$5001,H4365,$J$2:$J$5001,J4365)&gt;1,"Possible Duplicate Booking","Unique")</f>
        <v>Unique</v>
      </c>
      <c r="W4365" s="9" t="str">
        <f aca="false">IF((H4365-G4365)&lt;&gt;K4365,"Mismatch","OK")</f>
        <v>OK</v>
      </c>
      <c r="X4365" s="9" t="str">
        <f aca="false">IF(TEXT(H4365,"dddd")&lt;&gt;I4365,"Mismatch","OK")</f>
        <v>OK</v>
      </c>
      <c r="Y4365" s="9" t="str">
        <f aca="false">IF(AND(N4365="No",O4365&lt;&gt;""),"Unexpected: channel present but no reminder sent",IF(AND(N4365="Yes",O4365=""),"Missing channel for sent reminder","OK"))</f>
        <v>OK</v>
      </c>
    </row>
    <row r="4366" customFormat="false" ht="15" hidden="false" customHeight="false" outlineLevel="0" collapsed="false">
      <c r="A4366" s="7" t="s">
        <v>6077</v>
      </c>
      <c r="B4366" s="7" t="s">
        <v>5522</v>
      </c>
      <c r="C4366" s="7" t="s">
        <v>47</v>
      </c>
      <c r="D4366" s="7" t="n">
        <v>42</v>
      </c>
      <c r="E4366" s="7" t="s">
        <v>38</v>
      </c>
      <c r="F4366" s="7" t="s">
        <v>57</v>
      </c>
      <c r="G4366" s="8" t="n">
        <v>45953</v>
      </c>
      <c r="H4366" s="8" t="n">
        <v>45973</v>
      </c>
      <c r="I4366" s="7" t="s">
        <v>58</v>
      </c>
      <c r="J4366" s="7" t="s">
        <v>63</v>
      </c>
      <c r="K4366" s="7" t="n">
        <v>20</v>
      </c>
      <c r="L4366" s="7" t="n">
        <v>1</v>
      </c>
      <c r="M4366" s="7" t="n">
        <v>1</v>
      </c>
      <c r="N4366" s="7" t="s">
        <v>42</v>
      </c>
      <c r="O4366" s="7" t="s">
        <v>52</v>
      </c>
      <c r="P4366" s="7" t="n">
        <v>7.5</v>
      </c>
      <c r="Q4366" s="7" t="n">
        <v>21</v>
      </c>
      <c r="R4366" s="7" t="s">
        <v>53</v>
      </c>
      <c r="S4366" s="7"/>
      <c r="T4366" s="7"/>
      <c r="U4366" s="7" t="str">
        <f aca="false">IF(COUNTIF($A$2:$A$5001,A4366)&gt;1,"Duplicate","Unique")</f>
        <v>Unique</v>
      </c>
      <c r="V4366" s="7" t="str">
        <f aca="false">IF(COUNTIFS($B$2:$B$5001,B4366,$H$2:$H$5001,H4366,$J$2:$J$5001,J4366)&gt;1,"Possible Duplicate Booking","Unique")</f>
        <v>Unique</v>
      </c>
      <c r="W4366" s="7" t="str">
        <f aca="false">IF((H4366-G4366)&lt;&gt;K4366,"Mismatch","OK")</f>
        <v>OK</v>
      </c>
      <c r="X4366" s="7" t="str">
        <f aca="false">IF(TEXT(H4366,"dddd")&lt;&gt;I4366,"Mismatch","OK")</f>
        <v>OK</v>
      </c>
      <c r="Y4366" s="7" t="str">
        <f aca="false">IF(AND(N4366="No",O4366&lt;&gt;""),"Unexpected: channel present but no reminder sent",IF(AND(N4366="Yes",O4366=""),"Missing channel for sent reminder","OK"))</f>
        <v>OK</v>
      </c>
    </row>
    <row r="4367" customFormat="false" ht="15" hidden="false" customHeight="false" outlineLevel="0" collapsed="false">
      <c r="A4367" s="9" t="s">
        <v>6078</v>
      </c>
      <c r="B4367" s="9" t="s">
        <v>5483</v>
      </c>
      <c r="C4367" s="9" t="s">
        <v>37</v>
      </c>
      <c r="D4367" s="9" t="n">
        <v>61</v>
      </c>
      <c r="E4367" s="9" t="s">
        <v>61</v>
      </c>
      <c r="F4367" s="9" t="s">
        <v>39</v>
      </c>
      <c r="G4367" s="10" t="n">
        <v>46069</v>
      </c>
      <c r="H4367" s="10" t="n">
        <v>46115</v>
      </c>
      <c r="I4367" s="9" t="s">
        <v>50</v>
      </c>
      <c r="J4367" s="9" t="s">
        <v>41</v>
      </c>
      <c r="K4367" s="9" t="n">
        <v>46</v>
      </c>
      <c r="L4367" s="9" t="n">
        <v>5</v>
      </c>
      <c r="M4367" s="9" t="n">
        <v>0</v>
      </c>
      <c r="N4367" s="9" t="s">
        <v>42</v>
      </c>
      <c r="O4367" s="9" t="s">
        <v>67</v>
      </c>
      <c r="P4367" s="9" t="n">
        <v>18</v>
      </c>
      <c r="Q4367" s="9" t="n">
        <v>27</v>
      </c>
      <c r="R4367" s="9" t="s">
        <v>87</v>
      </c>
      <c r="S4367" s="9"/>
      <c r="T4367" s="9"/>
      <c r="U4367" s="9" t="str">
        <f aca="false">IF(COUNTIF($A$2:$A$5001,A4367)&gt;1,"Duplicate","Unique")</f>
        <v>Unique</v>
      </c>
      <c r="V4367" s="9" t="str">
        <f aca="false">IF(COUNTIFS($B$2:$B$5001,B4367,$H$2:$H$5001,H4367,$J$2:$J$5001,J4367)&gt;1,"Possible Duplicate Booking","Unique")</f>
        <v>Unique</v>
      </c>
      <c r="W4367" s="9" t="str">
        <f aca="false">IF((H4367-G4367)&lt;&gt;K4367,"Mismatch","OK")</f>
        <v>OK</v>
      </c>
      <c r="X4367" s="9" t="str">
        <f aca="false">IF(TEXT(H4367,"dddd")&lt;&gt;I4367,"Mismatch","OK")</f>
        <v>OK</v>
      </c>
      <c r="Y4367" s="9" t="str">
        <f aca="false">IF(AND(N4367="No",O4367&lt;&gt;""),"Unexpected: channel present but no reminder sent",IF(AND(N4367="Yes",O4367=""),"Missing channel for sent reminder","OK"))</f>
        <v>OK</v>
      </c>
    </row>
    <row r="4368" customFormat="false" ht="15" hidden="false" customHeight="false" outlineLevel="0" collapsed="false">
      <c r="A4368" s="7" t="s">
        <v>6079</v>
      </c>
      <c r="B4368" s="7" t="s">
        <v>6080</v>
      </c>
      <c r="C4368" s="7" t="s">
        <v>47</v>
      </c>
      <c r="D4368" s="7" t="n">
        <v>41</v>
      </c>
      <c r="E4368" s="7" t="s">
        <v>38</v>
      </c>
      <c r="F4368" s="7" t="s">
        <v>57</v>
      </c>
      <c r="G4368" s="8" t="n">
        <v>45728</v>
      </c>
      <c r="H4368" s="8" t="n">
        <v>45748</v>
      </c>
      <c r="I4368" s="7" t="s">
        <v>40</v>
      </c>
      <c r="J4368" s="7" t="s">
        <v>51</v>
      </c>
      <c r="K4368" s="7" t="n">
        <v>20</v>
      </c>
      <c r="L4368" s="7" t="n">
        <v>5</v>
      </c>
      <c r="M4368" s="7" t="n">
        <v>1</v>
      </c>
      <c r="N4368" s="7" t="s">
        <v>42</v>
      </c>
      <c r="O4368" s="7" t="s">
        <v>52</v>
      </c>
      <c r="P4368" s="7" t="n">
        <v>13</v>
      </c>
      <c r="Q4368" s="7" t="n">
        <v>35</v>
      </c>
      <c r="R4368" s="7" t="s">
        <v>44</v>
      </c>
      <c r="S4368" s="7"/>
      <c r="T4368" s="7"/>
      <c r="U4368" s="7" t="str">
        <f aca="false">IF(COUNTIF($A$2:$A$5001,A4368)&gt;1,"Duplicate","Unique")</f>
        <v>Unique</v>
      </c>
      <c r="V4368" s="7" t="str">
        <f aca="false">IF(COUNTIFS($B$2:$B$5001,B4368,$H$2:$H$5001,H4368,$J$2:$J$5001,J4368)&gt;1,"Possible Duplicate Booking","Unique")</f>
        <v>Unique</v>
      </c>
      <c r="W4368" s="7" t="str">
        <f aca="false">IF((H4368-G4368)&lt;&gt;K4368,"Mismatch","OK")</f>
        <v>OK</v>
      </c>
      <c r="X4368" s="7" t="str">
        <f aca="false">IF(TEXT(H4368,"dddd")&lt;&gt;I4368,"Mismatch","OK")</f>
        <v>OK</v>
      </c>
      <c r="Y4368" s="7" t="str">
        <f aca="false">IF(AND(N4368="No",O4368&lt;&gt;""),"Unexpected: channel present but no reminder sent",IF(AND(N4368="Yes",O4368=""),"Missing channel for sent reminder","OK"))</f>
        <v>OK</v>
      </c>
    </row>
    <row r="4369" customFormat="false" ht="15" hidden="false" customHeight="false" outlineLevel="0" collapsed="false">
      <c r="A4369" s="9" t="s">
        <v>6081</v>
      </c>
      <c r="B4369" s="9" t="s">
        <v>5766</v>
      </c>
      <c r="C4369" s="9" t="s">
        <v>47</v>
      </c>
      <c r="D4369" s="9" t="n">
        <v>40</v>
      </c>
      <c r="E4369" s="9" t="s">
        <v>38</v>
      </c>
      <c r="F4369" s="9" t="s">
        <v>49</v>
      </c>
      <c r="G4369" s="10" t="n">
        <v>45691</v>
      </c>
      <c r="H4369" s="10" t="n">
        <v>45735</v>
      </c>
      <c r="I4369" s="9" t="s">
        <v>58</v>
      </c>
      <c r="J4369" s="9" t="s">
        <v>41</v>
      </c>
      <c r="K4369" s="9" t="n">
        <v>44</v>
      </c>
      <c r="L4369" s="9" t="n">
        <v>1</v>
      </c>
      <c r="M4369" s="9" t="n">
        <v>1</v>
      </c>
      <c r="N4369" s="9" t="s">
        <v>42</v>
      </c>
      <c r="O4369" s="9" t="s">
        <v>43</v>
      </c>
      <c r="P4369" s="9" t="n">
        <v>3.7</v>
      </c>
      <c r="Q4369" s="9" t="n">
        <v>21</v>
      </c>
      <c r="R4369" s="9" t="s">
        <v>44</v>
      </c>
      <c r="S4369" s="9"/>
      <c r="T4369" s="9"/>
      <c r="U4369" s="9" t="str">
        <f aca="false">IF(COUNTIF($A$2:$A$5001,A4369)&gt;1,"Duplicate","Unique")</f>
        <v>Unique</v>
      </c>
      <c r="V4369" s="9" t="str">
        <f aca="false">IF(COUNTIFS($B$2:$B$5001,B4369,$H$2:$H$5001,H4369,$J$2:$J$5001,J4369)&gt;1,"Possible Duplicate Booking","Unique")</f>
        <v>Unique</v>
      </c>
      <c r="W4369" s="9" t="str">
        <f aca="false">IF((H4369-G4369)&lt;&gt;K4369,"Mismatch","OK")</f>
        <v>OK</v>
      </c>
      <c r="X4369" s="9" t="str">
        <f aca="false">IF(TEXT(H4369,"dddd")&lt;&gt;I4369,"Mismatch","OK")</f>
        <v>OK</v>
      </c>
      <c r="Y4369" s="9" t="str">
        <f aca="false">IF(AND(N4369="No",O4369&lt;&gt;""),"Unexpected: channel present but no reminder sent",IF(AND(N4369="Yes",O4369=""),"Missing channel for sent reminder","OK"))</f>
        <v>OK</v>
      </c>
    </row>
    <row r="4370" customFormat="false" ht="15" hidden="false" customHeight="false" outlineLevel="0" collapsed="false">
      <c r="A4370" s="7" t="s">
        <v>6082</v>
      </c>
      <c r="B4370" s="7" t="s">
        <v>215</v>
      </c>
      <c r="C4370" s="7" t="s">
        <v>37</v>
      </c>
      <c r="D4370" s="7" t="n">
        <v>32</v>
      </c>
      <c r="E4370" s="7" t="s">
        <v>48</v>
      </c>
      <c r="F4370" s="7" t="s">
        <v>57</v>
      </c>
      <c r="G4370" s="8" t="n">
        <v>46116</v>
      </c>
      <c r="H4370" s="8" t="n">
        <v>46163</v>
      </c>
      <c r="I4370" s="7" t="s">
        <v>62</v>
      </c>
      <c r="J4370" s="7" t="s">
        <v>51</v>
      </c>
      <c r="K4370" s="7" t="n">
        <v>47</v>
      </c>
      <c r="L4370" s="7" t="n">
        <v>0</v>
      </c>
      <c r="M4370" s="7" t="n">
        <v>0</v>
      </c>
      <c r="N4370" s="7" t="s">
        <v>71</v>
      </c>
      <c r="O4370" s="7"/>
      <c r="P4370" s="7" t="n">
        <v>3.6</v>
      </c>
      <c r="Q4370" s="7" t="n">
        <v>8</v>
      </c>
      <c r="R4370" s="7" t="s">
        <v>44</v>
      </c>
      <c r="S4370" s="7"/>
      <c r="T4370" s="7"/>
      <c r="U4370" s="7" t="str">
        <f aca="false">IF(COUNTIF($A$2:$A$5001,A4370)&gt;1,"Duplicate","Unique")</f>
        <v>Unique</v>
      </c>
      <c r="V4370" s="7" t="str">
        <f aca="false">IF(COUNTIFS($B$2:$B$5001,B4370,$H$2:$H$5001,H4370,$J$2:$J$5001,J4370)&gt;1,"Possible Duplicate Booking","Unique")</f>
        <v>Unique</v>
      </c>
      <c r="W4370" s="7" t="str">
        <f aca="false">IF((H4370-G4370)&lt;&gt;K4370,"Mismatch","OK")</f>
        <v>OK</v>
      </c>
      <c r="X4370" s="7" t="str">
        <f aca="false">IF(TEXT(H4370,"dddd")&lt;&gt;I4370,"Mismatch","OK")</f>
        <v>OK</v>
      </c>
      <c r="Y4370" s="7" t="str">
        <f aca="false">IF(AND(N4370="No",O4370&lt;&gt;""),"Unexpected: channel present but no reminder sent",IF(AND(N4370="Yes",O4370=""),"Missing channel for sent reminder","OK"))</f>
        <v>OK</v>
      </c>
    </row>
    <row r="4371" customFormat="false" ht="15" hidden="false" customHeight="false" outlineLevel="0" collapsed="false">
      <c r="A4371" s="9" t="s">
        <v>6083</v>
      </c>
      <c r="B4371" s="9" t="s">
        <v>1777</v>
      </c>
      <c r="C4371" s="9" t="s">
        <v>37</v>
      </c>
      <c r="D4371" s="9" t="n">
        <v>22</v>
      </c>
      <c r="E4371" s="9" t="s">
        <v>82</v>
      </c>
      <c r="F4371" s="9" t="s">
        <v>57</v>
      </c>
      <c r="G4371" s="10" t="n">
        <v>45885</v>
      </c>
      <c r="H4371" s="10" t="n">
        <v>45945</v>
      </c>
      <c r="I4371" s="9" t="s">
        <v>58</v>
      </c>
      <c r="J4371" s="9" t="s">
        <v>41</v>
      </c>
      <c r="K4371" s="9" t="n">
        <v>60</v>
      </c>
      <c r="L4371" s="9" t="n">
        <v>5</v>
      </c>
      <c r="M4371" s="9" t="n">
        <v>0</v>
      </c>
      <c r="N4371" s="9" t="s">
        <v>42</v>
      </c>
      <c r="O4371" s="9" t="s">
        <v>43</v>
      </c>
      <c r="P4371" s="9" t="n">
        <v>10.5</v>
      </c>
      <c r="Q4371" s="9" t="n">
        <v>26</v>
      </c>
      <c r="R4371" s="9" t="s">
        <v>53</v>
      </c>
      <c r="S4371" s="9"/>
      <c r="T4371" s="9"/>
      <c r="U4371" s="9" t="str">
        <f aca="false">IF(COUNTIF($A$2:$A$5001,A4371)&gt;1,"Duplicate","Unique")</f>
        <v>Unique</v>
      </c>
      <c r="V4371" s="9" t="str">
        <f aca="false">IF(COUNTIFS($B$2:$B$5001,B4371,$H$2:$H$5001,H4371,$J$2:$J$5001,J4371)&gt;1,"Possible Duplicate Booking","Unique")</f>
        <v>Unique</v>
      </c>
      <c r="W4371" s="9" t="str">
        <f aca="false">IF((H4371-G4371)&lt;&gt;K4371,"Mismatch","OK")</f>
        <v>OK</v>
      </c>
      <c r="X4371" s="9" t="str">
        <f aca="false">IF(TEXT(H4371,"dddd")&lt;&gt;I4371,"Mismatch","OK")</f>
        <v>OK</v>
      </c>
      <c r="Y4371" s="9" t="str">
        <f aca="false">IF(AND(N4371="No",O4371&lt;&gt;""),"Unexpected: channel present but no reminder sent",IF(AND(N4371="Yes",O4371=""),"Missing channel for sent reminder","OK"))</f>
        <v>OK</v>
      </c>
    </row>
    <row r="4372" customFormat="false" ht="15" hidden="false" customHeight="false" outlineLevel="0" collapsed="false">
      <c r="A4372" s="7" t="s">
        <v>6084</v>
      </c>
      <c r="B4372" s="7" t="s">
        <v>4230</v>
      </c>
      <c r="C4372" s="7" t="s">
        <v>47</v>
      </c>
      <c r="D4372" s="7" t="n">
        <v>20</v>
      </c>
      <c r="E4372" s="7" t="s">
        <v>82</v>
      </c>
      <c r="F4372" s="7" t="s">
        <v>57</v>
      </c>
      <c r="G4372" s="8" t="n">
        <v>45942</v>
      </c>
      <c r="H4372" s="8" t="n">
        <v>45962</v>
      </c>
      <c r="I4372" s="7" t="s">
        <v>102</v>
      </c>
      <c r="J4372" s="7" t="s">
        <v>63</v>
      </c>
      <c r="K4372" s="7" t="n">
        <v>20</v>
      </c>
      <c r="L4372" s="7" t="n">
        <v>3</v>
      </c>
      <c r="M4372" s="7" t="n">
        <v>0</v>
      </c>
      <c r="N4372" s="7" t="s">
        <v>42</v>
      </c>
      <c r="O4372" s="7" t="s">
        <v>43</v>
      </c>
      <c r="P4372" s="7" t="n">
        <v>17.9</v>
      </c>
      <c r="Q4372" s="7" t="n">
        <v>28</v>
      </c>
      <c r="R4372" s="7" t="s">
        <v>53</v>
      </c>
      <c r="S4372" s="7"/>
      <c r="T4372" s="7"/>
      <c r="U4372" s="7" t="str">
        <f aca="false">IF(COUNTIF($A$2:$A$5001,A4372)&gt;1,"Duplicate","Unique")</f>
        <v>Unique</v>
      </c>
      <c r="V4372" s="7" t="str">
        <f aca="false">IF(COUNTIFS($B$2:$B$5001,B4372,$H$2:$H$5001,H4372,$J$2:$J$5001,J4372)&gt;1,"Possible Duplicate Booking","Unique")</f>
        <v>Unique</v>
      </c>
      <c r="W4372" s="7" t="str">
        <f aca="false">IF((H4372-G4372)&lt;&gt;K4372,"Mismatch","OK")</f>
        <v>OK</v>
      </c>
      <c r="X4372" s="7" t="str">
        <f aca="false">IF(TEXT(H4372,"dddd")&lt;&gt;I4372,"Mismatch","OK")</f>
        <v>OK</v>
      </c>
      <c r="Y4372" s="7" t="str">
        <f aca="false">IF(AND(N4372="No",O4372&lt;&gt;""),"Unexpected: channel present but no reminder sent",IF(AND(N4372="Yes",O4372=""),"Missing channel for sent reminder","OK"))</f>
        <v>OK</v>
      </c>
    </row>
    <row r="4373" customFormat="false" ht="15" hidden="false" customHeight="false" outlineLevel="0" collapsed="false">
      <c r="A4373" s="9" t="s">
        <v>6085</v>
      </c>
      <c r="B4373" s="9" t="s">
        <v>4049</v>
      </c>
      <c r="C4373" s="9" t="s">
        <v>47</v>
      </c>
      <c r="D4373" s="9" t="n">
        <v>43</v>
      </c>
      <c r="E4373" s="9" t="s">
        <v>38</v>
      </c>
      <c r="F4373" s="9" t="s">
        <v>39</v>
      </c>
      <c r="G4373" s="10" t="n">
        <v>45729</v>
      </c>
      <c r="H4373" s="10" t="n">
        <v>45750</v>
      </c>
      <c r="I4373" s="9" t="s">
        <v>62</v>
      </c>
      <c r="J4373" s="9" t="s">
        <v>41</v>
      </c>
      <c r="K4373" s="9" t="n">
        <v>21</v>
      </c>
      <c r="L4373" s="9" t="n">
        <v>3</v>
      </c>
      <c r="M4373" s="9" t="n">
        <v>1</v>
      </c>
      <c r="N4373" s="9" t="s">
        <v>42</v>
      </c>
      <c r="O4373" s="9" t="s">
        <v>67</v>
      </c>
      <c r="P4373" s="9" t="n">
        <v>5.2</v>
      </c>
      <c r="Q4373" s="9" t="n">
        <v>26</v>
      </c>
      <c r="R4373" s="9" t="s">
        <v>53</v>
      </c>
      <c r="S4373" s="9"/>
      <c r="T4373" s="9"/>
      <c r="U4373" s="9" t="str">
        <f aca="false">IF(COUNTIF($A$2:$A$5001,A4373)&gt;1,"Duplicate","Unique")</f>
        <v>Unique</v>
      </c>
      <c r="V4373" s="9" t="str">
        <f aca="false">IF(COUNTIFS($B$2:$B$5001,B4373,$H$2:$H$5001,H4373,$J$2:$J$5001,J4373)&gt;1,"Possible Duplicate Booking","Unique")</f>
        <v>Unique</v>
      </c>
      <c r="W4373" s="9" t="str">
        <f aca="false">IF((H4373-G4373)&lt;&gt;K4373,"Mismatch","OK")</f>
        <v>OK</v>
      </c>
      <c r="X4373" s="9" t="str">
        <f aca="false">IF(TEXT(H4373,"dddd")&lt;&gt;I4373,"Mismatch","OK")</f>
        <v>OK</v>
      </c>
      <c r="Y4373" s="9" t="str">
        <f aca="false">IF(AND(N4373="No",O4373&lt;&gt;""),"Unexpected: channel present but no reminder sent",IF(AND(N4373="Yes",O4373=""),"Missing channel for sent reminder","OK"))</f>
        <v>OK</v>
      </c>
    </row>
    <row r="4374" customFormat="false" ht="15" hidden="false" customHeight="false" outlineLevel="0" collapsed="false">
      <c r="A4374" s="7" t="s">
        <v>6086</v>
      </c>
      <c r="B4374" s="7" t="s">
        <v>831</v>
      </c>
      <c r="C4374" s="7" t="s">
        <v>37</v>
      </c>
      <c r="D4374" s="7" t="n">
        <v>80</v>
      </c>
      <c r="E4374" s="7" t="s">
        <v>70</v>
      </c>
      <c r="F4374" s="7" t="s">
        <v>39</v>
      </c>
      <c r="G4374" s="8" t="n">
        <v>45780</v>
      </c>
      <c r="H4374" s="8" t="n">
        <v>45781</v>
      </c>
      <c r="I4374" s="7" t="s">
        <v>75</v>
      </c>
      <c r="J4374" s="7" t="s">
        <v>41</v>
      </c>
      <c r="K4374" s="7" t="n">
        <v>1</v>
      </c>
      <c r="L4374" s="7" t="n">
        <v>2</v>
      </c>
      <c r="M4374" s="7" t="n">
        <v>0</v>
      </c>
      <c r="N4374" s="7" t="s">
        <v>42</v>
      </c>
      <c r="O4374" s="7" t="s">
        <v>52</v>
      </c>
      <c r="P4374" s="7" t="n">
        <v>12.4</v>
      </c>
      <c r="Q4374" s="7" t="n">
        <v>19</v>
      </c>
      <c r="R4374" s="7" t="s">
        <v>44</v>
      </c>
      <c r="S4374" s="7"/>
      <c r="T4374" s="7"/>
      <c r="U4374" s="7" t="str">
        <f aca="false">IF(COUNTIF($A$2:$A$5001,A4374)&gt;1,"Duplicate","Unique")</f>
        <v>Unique</v>
      </c>
      <c r="V4374" s="7" t="str">
        <f aca="false">IF(COUNTIFS($B$2:$B$5001,B4374,$H$2:$H$5001,H4374,$J$2:$J$5001,J4374)&gt;1,"Possible Duplicate Booking","Unique")</f>
        <v>Unique</v>
      </c>
      <c r="W4374" s="7" t="str">
        <f aca="false">IF((H4374-G4374)&lt;&gt;K4374,"Mismatch","OK")</f>
        <v>OK</v>
      </c>
      <c r="X4374" s="7" t="str">
        <f aca="false">IF(TEXT(H4374,"dddd")&lt;&gt;I4374,"Mismatch","OK")</f>
        <v>OK</v>
      </c>
      <c r="Y4374" s="7" t="str">
        <f aca="false">IF(AND(N4374="No",O4374&lt;&gt;""),"Unexpected: channel present but no reminder sent",IF(AND(N4374="Yes",O4374=""),"Missing channel for sent reminder","OK"))</f>
        <v>OK</v>
      </c>
    </row>
    <row r="4375" customFormat="false" ht="15" hidden="false" customHeight="false" outlineLevel="0" collapsed="false">
      <c r="A4375" s="9" t="s">
        <v>6087</v>
      </c>
      <c r="B4375" s="9" t="s">
        <v>3439</v>
      </c>
      <c r="C4375" s="9" t="s">
        <v>47</v>
      </c>
      <c r="D4375" s="9" t="n">
        <v>34</v>
      </c>
      <c r="E4375" s="9" t="s">
        <v>48</v>
      </c>
      <c r="F4375" s="9" t="s">
        <v>57</v>
      </c>
      <c r="G4375" s="10" t="n">
        <v>46087</v>
      </c>
      <c r="H4375" s="10" t="n">
        <v>46104</v>
      </c>
      <c r="I4375" s="9" t="s">
        <v>66</v>
      </c>
      <c r="J4375" s="9" t="s">
        <v>63</v>
      </c>
      <c r="K4375" s="9" t="n">
        <v>17</v>
      </c>
      <c r="L4375" s="9" t="n">
        <v>2</v>
      </c>
      <c r="M4375" s="9" t="n">
        <v>0</v>
      </c>
      <c r="N4375" s="9" t="s">
        <v>42</v>
      </c>
      <c r="O4375" s="9" t="s">
        <v>52</v>
      </c>
      <c r="P4375" s="9" t="n">
        <v>14.5</v>
      </c>
      <c r="Q4375" s="9" t="n">
        <v>28</v>
      </c>
      <c r="R4375" s="9" t="s">
        <v>44</v>
      </c>
      <c r="S4375" s="9"/>
      <c r="T4375" s="9"/>
      <c r="U4375" s="9" t="str">
        <f aca="false">IF(COUNTIF($A$2:$A$5001,A4375)&gt;1,"Duplicate","Unique")</f>
        <v>Unique</v>
      </c>
      <c r="V4375" s="9" t="str">
        <f aca="false">IF(COUNTIFS($B$2:$B$5001,B4375,$H$2:$H$5001,H4375,$J$2:$J$5001,J4375)&gt;1,"Possible Duplicate Booking","Unique")</f>
        <v>Unique</v>
      </c>
      <c r="W4375" s="9" t="str">
        <f aca="false">IF((H4375-G4375)&lt;&gt;K4375,"Mismatch","OK")</f>
        <v>OK</v>
      </c>
      <c r="X4375" s="9" t="str">
        <f aca="false">IF(TEXT(H4375,"dddd")&lt;&gt;I4375,"Mismatch","OK")</f>
        <v>OK</v>
      </c>
      <c r="Y4375" s="9" t="str">
        <f aca="false">IF(AND(N4375="No",O4375&lt;&gt;""),"Unexpected: channel present but no reminder sent",IF(AND(N4375="Yes",O4375=""),"Missing channel for sent reminder","OK"))</f>
        <v>OK</v>
      </c>
    </row>
    <row r="4376" customFormat="false" ht="15" hidden="false" customHeight="false" outlineLevel="0" collapsed="false">
      <c r="A4376" s="7" t="s">
        <v>6088</v>
      </c>
      <c r="B4376" s="7" t="s">
        <v>2575</v>
      </c>
      <c r="C4376" s="7" t="s">
        <v>37</v>
      </c>
      <c r="D4376" s="7" t="n">
        <v>58</v>
      </c>
      <c r="E4376" s="7" t="s">
        <v>61</v>
      </c>
      <c r="F4376" s="7" t="s">
        <v>39</v>
      </c>
      <c r="G4376" s="8" t="n">
        <v>45806</v>
      </c>
      <c r="H4376" s="8" t="n">
        <v>45823</v>
      </c>
      <c r="I4376" s="7" t="s">
        <v>75</v>
      </c>
      <c r="J4376" s="7" t="s">
        <v>41</v>
      </c>
      <c r="K4376" s="7" t="n">
        <v>17</v>
      </c>
      <c r="L4376" s="7" t="n">
        <v>3</v>
      </c>
      <c r="M4376" s="7" t="n">
        <v>0</v>
      </c>
      <c r="N4376" s="7" t="s">
        <v>42</v>
      </c>
      <c r="O4376" s="7" t="s">
        <v>43</v>
      </c>
      <c r="P4376" s="7"/>
      <c r="Q4376" s="7" t="n">
        <v>21</v>
      </c>
      <c r="R4376" s="7" t="s">
        <v>44</v>
      </c>
      <c r="S4376" s="7"/>
      <c r="T4376" s="7"/>
      <c r="U4376" s="7" t="str">
        <f aca="false">IF(COUNTIF($A$2:$A$5001,A4376)&gt;1,"Duplicate","Unique")</f>
        <v>Unique</v>
      </c>
      <c r="V4376" s="7" t="str">
        <f aca="false">IF(COUNTIFS($B$2:$B$5001,B4376,$H$2:$H$5001,H4376,$J$2:$J$5001,J4376)&gt;1,"Possible Duplicate Booking","Unique")</f>
        <v>Unique</v>
      </c>
      <c r="W4376" s="7" t="str">
        <f aca="false">IF((H4376-G4376)&lt;&gt;K4376,"Mismatch","OK")</f>
        <v>OK</v>
      </c>
      <c r="X4376" s="7" t="str">
        <f aca="false">IF(TEXT(H4376,"dddd")&lt;&gt;I4376,"Mismatch","OK")</f>
        <v>OK</v>
      </c>
      <c r="Y4376" s="7" t="str">
        <f aca="false">IF(AND(N4376="No",O4376&lt;&gt;""),"Unexpected: channel present but no reminder sent",IF(AND(N4376="Yes",O4376=""),"Missing channel for sent reminder","OK"))</f>
        <v>OK</v>
      </c>
    </row>
    <row r="4377" customFormat="false" ht="15" hidden="false" customHeight="false" outlineLevel="0" collapsed="false">
      <c r="A4377" s="9" t="s">
        <v>6089</v>
      </c>
      <c r="B4377" s="9" t="s">
        <v>6090</v>
      </c>
      <c r="C4377" s="9" t="s">
        <v>47</v>
      </c>
      <c r="D4377" s="9" t="n">
        <v>38</v>
      </c>
      <c r="E4377" s="9" t="s">
        <v>38</v>
      </c>
      <c r="F4377" s="9" t="s">
        <v>57</v>
      </c>
      <c r="G4377" s="10" t="n">
        <v>45949</v>
      </c>
      <c r="H4377" s="10" t="n">
        <v>45976</v>
      </c>
      <c r="I4377" s="9" t="s">
        <v>102</v>
      </c>
      <c r="J4377" s="9" t="s">
        <v>51</v>
      </c>
      <c r="K4377" s="9" t="n">
        <v>27</v>
      </c>
      <c r="L4377" s="9" t="n">
        <v>3</v>
      </c>
      <c r="M4377" s="9" t="n">
        <v>0</v>
      </c>
      <c r="N4377" s="9" t="s">
        <v>71</v>
      </c>
      <c r="O4377" s="9"/>
      <c r="P4377" s="9" t="n">
        <v>3.1</v>
      </c>
      <c r="Q4377" s="9" t="n">
        <v>19</v>
      </c>
      <c r="R4377" s="9" t="s">
        <v>53</v>
      </c>
      <c r="S4377" s="9"/>
      <c r="T4377" s="9"/>
      <c r="U4377" s="9" t="str">
        <f aca="false">IF(COUNTIF($A$2:$A$5001,A4377)&gt;1,"Duplicate","Unique")</f>
        <v>Unique</v>
      </c>
      <c r="V4377" s="9" t="str">
        <f aca="false">IF(COUNTIFS($B$2:$B$5001,B4377,$H$2:$H$5001,H4377,$J$2:$J$5001,J4377)&gt;1,"Possible Duplicate Booking","Unique")</f>
        <v>Unique</v>
      </c>
      <c r="W4377" s="9" t="str">
        <f aca="false">IF((H4377-G4377)&lt;&gt;K4377,"Mismatch","OK")</f>
        <v>OK</v>
      </c>
      <c r="X4377" s="9" t="str">
        <f aca="false">IF(TEXT(H4377,"dddd")&lt;&gt;I4377,"Mismatch","OK")</f>
        <v>OK</v>
      </c>
      <c r="Y4377" s="9" t="str">
        <f aca="false">IF(AND(N4377="No",O4377&lt;&gt;""),"Unexpected: channel present but no reminder sent",IF(AND(N4377="Yes",O4377=""),"Missing channel for sent reminder","OK"))</f>
        <v>OK</v>
      </c>
    </row>
    <row r="4378" customFormat="false" ht="15" hidden="false" customHeight="false" outlineLevel="0" collapsed="false">
      <c r="A4378" s="7" t="s">
        <v>6091</v>
      </c>
      <c r="B4378" s="7" t="s">
        <v>5140</v>
      </c>
      <c r="C4378" s="7" t="s">
        <v>47</v>
      </c>
      <c r="D4378" s="7" t="n">
        <v>37</v>
      </c>
      <c r="E4378" s="7" t="s">
        <v>38</v>
      </c>
      <c r="F4378" s="7" t="s">
        <v>49</v>
      </c>
      <c r="G4378" s="8" t="n">
        <v>45805</v>
      </c>
      <c r="H4378" s="8" t="n">
        <v>45830</v>
      </c>
      <c r="I4378" s="7" t="s">
        <v>75</v>
      </c>
      <c r="J4378" s="7" t="s">
        <v>41</v>
      </c>
      <c r="K4378" s="7" t="n">
        <v>25</v>
      </c>
      <c r="L4378" s="7" t="n">
        <v>3</v>
      </c>
      <c r="M4378" s="7" t="n">
        <v>1</v>
      </c>
      <c r="N4378" s="7" t="s">
        <v>42</v>
      </c>
      <c r="O4378" s="7" t="s">
        <v>43</v>
      </c>
      <c r="P4378" s="7" t="n">
        <v>6.8</v>
      </c>
      <c r="Q4378" s="7" t="n">
        <v>21</v>
      </c>
      <c r="R4378" s="7" t="s">
        <v>44</v>
      </c>
      <c r="S4378" s="7"/>
      <c r="T4378" s="7"/>
      <c r="U4378" s="7" t="str">
        <f aca="false">IF(COUNTIF($A$2:$A$5001,A4378)&gt;1,"Duplicate","Unique")</f>
        <v>Unique</v>
      </c>
      <c r="V4378" s="7" t="str">
        <f aca="false">IF(COUNTIFS($B$2:$B$5001,B4378,$H$2:$H$5001,H4378,$J$2:$J$5001,J4378)&gt;1,"Possible Duplicate Booking","Unique")</f>
        <v>Unique</v>
      </c>
      <c r="W4378" s="7" t="str">
        <f aca="false">IF((H4378-G4378)&lt;&gt;K4378,"Mismatch","OK")</f>
        <v>OK</v>
      </c>
      <c r="X4378" s="7" t="str">
        <f aca="false">IF(TEXT(H4378,"dddd")&lt;&gt;I4378,"Mismatch","OK")</f>
        <v>OK</v>
      </c>
      <c r="Y4378" s="7" t="str">
        <f aca="false">IF(AND(N4378="No",O4378&lt;&gt;""),"Unexpected: channel present but no reminder sent",IF(AND(N4378="Yes",O4378=""),"Missing channel for sent reminder","OK"))</f>
        <v>OK</v>
      </c>
    </row>
    <row r="4379" customFormat="false" ht="15" hidden="false" customHeight="false" outlineLevel="0" collapsed="false">
      <c r="A4379" s="9" t="s">
        <v>6092</v>
      </c>
      <c r="B4379" s="9" t="s">
        <v>1907</v>
      </c>
      <c r="C4379" s="9" t="s">
        <v>37</v>
      </c>
      <c r="D4379" s="9" t="n">
        <v>28</v>
      </c>
      <c r="E4379" s="9" t="s">
        <v>48</v>
      </c>
      <c r="F4379" s="9" t="s">
        <v>57</v>
      </c>
      <c r="G4379" s="10" t="n">
        <v>45749</v>
      </c>
      <c r="H4379" s="10" t="n">
        <v>45801</v>
      </c>
      <c r="I4379" s="9" t="s">
        <v>102</v>
      </c>
      <c r="J4379" s="9" t="s">
        <v>51</v>
      </c>
      <c r="K4379" s="9" t="n">
        <v>52</v>
      </c>
      <c r="L4379" s="9" t="n">
        <v>2</v>
      </c>
      <c r="M4379" s="9" t="n">
        <v>1</v>
      </c>
      <c r="N4379" s="9" t="s">
        <v>71</v>
      </c>
      <c r="O4379" s="9"/>
      <c r="P4379" s="9" t="n">
        <v>6.9</v>
      </c>
      <c r="Q4379" s="9" t="n">
        <v>26</v>
      </c>
      <c r="R4379" s="9" t="s">
        <v>44</v>
      </c>
      <c r="S4379" s="9"/>
      <c r="T4379" s="9"/>
      <c r="U4379" s="9" t="str">
        <f aca="false">IF(COUNTIF($A$2:$A$5001,A4379)&gt;1,"Duplicate","Unique")</f>
        <v>Unique</v>
      </c>
      <c r="V4379" s="9" t="str">
        <f aca="false">IF(COUNTIFS($B$2:$B$5001,B4379,$H$2:$H$5001,H4379,$J$2:$J$5001,J4379)&gt;1,"Possible Duplicate Booking","Unique")</f>
        <v>Unique</v>
      </c>
      <c r="W4379" s="9" t="str">
        <f aca="false">IF((H4379-G4379)&lt;&gt;K4379,"Mismatch","OK")</f>
        <v>OK</v>
      </c>
      <c r="X4379" s="9" t="str">
        <f aca="false">IF(TEXT(H4379,"dddd")&lt;&gt;I4379,"Mismatch","OK")</f>
        <v>OK</v>
      </c>
      <c r="Y4379" s="9" t="str">
        <f aca="false">IF(AND(N4379="No",O4379&lt;&gt;""),"Unexpected: channel present but no reminder sent",IF(AND(N4379="Yes",O4379=""),"Missing channel for sent reminder","OK"))</f>
        <v>OK</v>
      </c>
    </row>
    <row r="4380" customFormat="false" ht="15" hidden="false" customHeight="false" outlineLevel="0" collapsed="false">
      <c r="A4380" s="7" t="s">
        <v>6093</v>
      </c>
      <c r="B4380" s="7" t="s">
        <v>1314</v>
      </c>
      <c r="C4380" s="7" t="s">
        <v>47</v>
      </c>
      <c r="D4380" s="7" t="n">
        <v>53</v>
      </c>
      <c r="E4380" s="7" t="s">
        <v>56</v>
      </c>
      <c r="F4380" s="7" t="s">
        <v>57</v>
      </c>
      <c r="G4380" s="8" t="n">
        <v>45701</v>
      </c>
      <c r="H4380" s="8" t="n">
        <v>45748</v>
      </c>
      <c r="I4380" s="7" t="s">
        <v>40</v>
      </c>
      <c r="J4380" s="7" t="s">
        <v>51</v>
      </c>
      <c r="K4380" s="7" t="n">
        <v>47</v>
      </c>
      <c r="L4380" s="7" t="n">
        <v>1</v>
      </c>
      <c r="M4380" s="7" t="n">
        <v>0</v>
      </c>
      <c r="N4380" s="7" t="s">
        <v>71</v>
      </c>
      <c r="O4380" s="7"/>
      <c r="P4380" s="7" t="n">
        <v>14.5</v>
      </c>
      <c r="Q4380" s="7" t="n">
        <v>27</v>
      </c>
      <c r="R4380" s="7" t="s">
        <v>53</v>
      </c>
      <c r="S4380" s="7"/>
      <c r="T4380" s="7"/>
      <c r="U4380" s="7" t="str">
        <f aca="false">IF(COUNTIF($A$2:$A$5001,A4380)&gt;1,"Duplicate","Unique")</f>
        <v>Unique</v>
      </c>
      <c r="V4380" s="7" t="str">
        <f aca="false">IF(COUNTIFS($B$2:$B$5001,B4380,$H$2:$H$5001,H4380,$J$2:$J$5001,J4380)&gt;1,"Possible Duplicate Booking","Unique")</f>
        <v>Unique</v>
      </c>
      <c r="W4380" s="7" t="str">
        <f aca="false">IF((H4380-G4380)&lt;&gt;K4380,"Mismatch","OK")</f>
        <v>OK</v>
      </c>
      <c r="X4380" s="7" t="str">
        <f aca="false">IF(TEXT(H4380,"dddd")&lt;&gt;I4380,"Mismatch","OK")</f>
        <v>OK</v>
      </c>
      <c r="Y4380" s="7" t="str">
        <f aca="false">IF(AND(N4380="No",O4380&lt;&gt;""),"Unexpected: channel present but no reminder sent",IF(AND(N4380="Yes",O4380=""),"Missing channel for sent reminder","OK"))</f>
        <v>OK</v>
      </c>
    </row>
    <row r="4381" customFormat="false" ht="15" hidden="false" customHeight="false" outlineLevel="0" collapsed="false">
      <c r="A4381" s="9" t="s">
        <v>6094</v>
      </c>
      <c r="B4381" s="9" t="s">
        <v>4894</v>
      </c>
      <c r="C4381" s="9" t="s">
        <v>47</v>
      </c>
      <c r="D4381" s="9" t="n">
        <v>59</v>
      </c>
      <c r="E4381" s="9" t="s">
        <v>61</v>
      </c>
      <c r="F4381" s="9" t="s">
        <v>39</v>
      </c>
      <c r="G4381" s="10" t="n">
        <v>46121</v>
      </c>
      <c r="H4381" s="10" t="n">
        <v>46165</v>
      </c>
      <c r="I4381" s="9" t="s">
        <v>102</v>
      </c>
      <c r="J4381" s="9" t="s">
        <v>41</v>
      </c>
      <c r="K4381" s="9" t="n">
        <v>44</v>
      </c>
      <c r="L4381" s="9" t="n">
        <v>2</v>
      </c>
      <c r="M4381" s="9" t="n">
        <v>0</v>
      </c>
      <c r="N4381" s="9" t="s">
        <v>42</v>
      </c>
      <c r="O4381" s="9" t="s">
        <v>52</v>
      </c>
      <c r="P4381" s="9" t="n">
        <v>6.4</v>
      </c>
      <c r="Q4381" s="9" t="n">
        <v>18</v>
      </c>
      <c r="R4381" s="9" t="s">
        <v>44</v>
      </c>
      <c r="S4381" s="9"/>
      <c r="T4381" s="9"/>
      <c r="U4381" s="9" t="str">
        <f aca="false">IF(COUNTIF($A$2:$A$5001,A4381)&gt;1,"Duplicate","Unique")</f>
        <v>Unique</v>
      </c>
      <c r="V4381" s="9" t="str">
        <f aca="false">IF(COUNTIFS($B$2:$B$5001,B4381,$H$2:$H$5001,H4381,$J$2:$J$5001,J4381)&gt;1,"Possible Duplicate Booking","Unique")</f>
        <v>Unique</v>
      </c>
      <c r="W4381" s="9" t="str">
        <f aca="false">IF((H4381-G4381)&lt;&gt;K4381,"Mismatch","OK")</f>
        <v>OK</v>
      </c>
      <c r="X4381" s="9" t="str">
        <f aca="false">IF(TEXT(H4381,"dddd")&lt;&gt;I4381,"Mismatch","OK")</f>
        <v>OK</v>
      </c>
      <c r="Y4381" s="9" t="str">
        <f aca="false">IF(AND(N4381="No",O4381&lt;&gt;""),"Unexpected: channel present but no reminder sent",IF(AND(N4381="Yes",O4381=""),"Missing channel for sent reminder","OK"))</f>
        <v>OK</v>
      </c>
    </row>
    <row r="4382" customFormat="false" ht="15" hidden="false" customHeight="false" outlineLevel="0" collapsed="false">
      <c r="A4382" s="7" t="s">
        <v>6095</v>
      </c>
      <c r="B4382" s="7" t="s">
        <v>978</v>
      </c>
      <c r="C4382" s="7" t="s">
        <v>47</v>
      </c>
      <c r="D4382" s="7" t="n">
        <v>40</v>
      </c>
      <c r="E4382" s="7" t="s">
        <v>38</v>
      </c>
      <c r="F4382" s="7" t="s">
        <v>39</v>
      </c>
      <c r="G4382" s="8" t="n">
        <v>46171</v>
      </c>
      <c r="H4382" s="8" t="n">
        <v>46171</v>
      </c>
      <c r="I4382" s="7" t="s">
        <v>50</v>
      </c>
      <c r="J4382" s="7" t="s">
        <v>51</v>
      </c>
      <c r="K4382" s="7" t="n">
        <v>0</v>
      </c>
      <c r="L4382" s="7" t="n">
        <v>2</v>
      </c>
      <c r="M4382" s="7" t="n">
        <v>1</v>
      </c>
      <c r="N4382" s="7" t="s">
        <v>71</v>
      </c>
      <c r="O4382" s="7"/>
      <c r="P4382" s="7" t="n">
        <v>3.8</v>
      </c>
      <c r="Q4382" s="7" t="n">
        <v>26</v>
      </c>
      <c r="R4382" s="7" t="s">
        <v>53</v>
      </c>
      <c r="S4382" s="7"/>
      <c r="T4382" s="7"/>
      <c r="U4382" s="7" t="str">
        <f aca="false">IF(COUNTIF($A$2:$A$5001,A4382)&gt;1,"Duplicate","Unique")</f>
        <v>Unique</v>
      </c>
      <c r="V4382" s="7" t="str">
        <f aca="false">IF(COUNTIFS($B$2:$B$5001,B4382,$H$2:$H$5001,H4382,$J$2:$J$5001,J4382)&gt;1,"Possible Duplicate Booking","Unique")</f>
        <v>Unique</v>
      </c>
      <c r="W4382" s="7" t="str">
        <f aca="false">IF((H4382-G4382)&lt;&gt;K4382,"Mismatch","OK")</f>
        <v>OK</v>
      </c>
      <c r="X4382" s="7" t="str">
        <f aca="false">IF(TEXT(H4382,"dddd")&lt;&gt;I4382,"Mismatch","OK")</f>
        <v>OK</v>
      </c>
      <c r="Y4382" s="7" t="str">
        <f aca="false">IF(AND(N4382="No",O4382&lt;&gt;""),"Unexpected: channel present but no reminder sent",IF(AND(N4382="Yes",O4382=""),"Missing channel for sent reminder","OK"))</f>
        <v>OK</v>
      </c>
    </row>
    <row r="4383" customFormat="false" ht="15" hidden="false" customHeight="false" outlineLevel="0" collapsed="false">
      <c r="A4383" s="9" t="s">
        <v>6096</v>
      </c>
      <c r="B4383" s="9" t="s">
        <v>4454</v>
      </c>
      <c r="C4383" s="9" t="s">
        <v>37</v>
      </c>
      <c r="D4383" s="9" t="n">
        <v>51</v>
      </c>
      <c r="E4383" s="9" t="s">
        <v>56</v>
      </c>
      <c r="F4383" s="9" t="s">
        <v>49</v>
      </c>
      <c r="G4383" s="10" t="n">
        <v>45692</v>
      </c>
      <c r="H4383" s="10" t="n">
        <v>45720</v>
      </c>
      <c r="I4383" s="9" t="s">
        <v>40</v>
      </c>
      <c r="J4383" s="9" t="s">
        <v>51</v>
      </c>
      <c r="K4383" s="9" t="n">
        <v>28</v>
      </c>
      <c r="L4383" s="9" t="n">
        <v>3</v>
      </c>
      <c r="M4383" s="9" t="n">
        <v>1</v>
      </c>
      <c r="N4383" s="9" t="s">
        <v>71</v>
      </c>
      <c r="O4383" s="9"/>
      <c r="P4383" s="9" t="n">
        <v>13.9</v>
      </c>
      <c r="Q4383" s="9" t="n">
        <v>28</v>
      </c>
      <c r="R4383" s="9" t="s">
        <v>44</v>
      </c>
      <c r="S4383" s="9"/>
      <c r="T4383" s="9"/>
      <c r="U4383" s="9" t="str">
        <f aca="false">IF(COUNTIF($A$2:$A$5001,A4383)&gt;1,"Duplicate","Unique")</f>
        <v>Unique</v>
      </c>
      <c r="V4383" s="9" t="str">
        <f aca="false">IF(COUNTIFS($B$2:$B$5001,B4383,$H$2:$H$5001,H4383,$J$2:$J$5001,J4383)&gt;1,"Possible Duplicate Booking","Unique")</f>
        <v>Unique</v>
      </c>
      <c r="W4383" s="9" t="str">
        <f aca="false">IF((H4383-G4383)&lt;&gt;K4383,"Mismatch","OK")</f>
        <v>OK</v>
      </c>
      <c r="X4383" s="9" t="str">
        <f aca="false">IF(TEXT(H4383,"dddd")&lt;&gt;I4383,"Mismatch","OK")</f>
        <v>OK</v>
      </c>
      <c r="Y4383" s="9" t="str">
        <f aca="false">IF(AND(N4383="No",O4383&lt;&gt;""),"Unexpected: channel present but no reminder sent",IF(AND(N4383="Yes",O4383=""),"Missing channel for sent reminder","OK"))</f>
        <v>OK</v>
      </c>
    </row>
    <row r="4384" customFormat="false" ht="15" hidden="false" customHeight="false" outlineLevel="0" collapsed="false">
      <c r="A4384" s="7" t="s">
        <v>6097</v>
      </c>
      <c r="B4384" s="7" t="s">
        <v>4350</v>
      </c>
      <c r="C4384" s="7" t="s">
        <v>47</v>
      </c>
      <c r="D4384" s="7" t="n">
        <v>47</v>
      </c>
      <c r="E4384" s="7" t="s">
        <v>56</v>
      </c>
      <c r="F4384" s="7" t="s">
        <v>39</v>
      </c>
      <c r="G4384" s="8" t="n">
        <v>45806</v>
      </c>
      <c r="H4384" s="8" t="n">
        <v>45850</v>
      </c>
      <c r="I4384" s="7" t="s">
        <v>102</v>
      </c>
      <c r="J4384" s="7" t="s">
        <v>41</v>
      </c>
      <c r="K4384" s="7" t="n">
        <v>44</v>
      </c>
      <c r="L4384" s="7" t="n">
        <v>4</v>
      </c>
      <c r="M4384" s="7" t="n">
        <v>0</v>
      </c>
      <c r="N4384" s="7" t="s">
        <v>42</v>
      </c>
      <c r="O4384" s="7" t="s">
        <v>43</v>
      </c>
      <c r="P4384" s="7" t="n">
        <v>4.7</v>
      </c>
      <c r="Q4384" s="7" t="n">
        <v>30</v>
      </c>
      <c r="R4384" s="7" t="s">
        <v>44</v>
      </c>
      <c r="S4384" s="7"/>
      <c r="T4384" s="7"/>
      <c r="U4384" s="7" t="str">
        <f aca="false">IF(COUNTIF($A$2:$A$5001,A4384)&gt;1,"Duplicate","Unique")</f>
        <v>Unique</v>
      </c>
      <c r="V4384" s="7" t="str">
        <f aca="false">IF(COUNTIFS($B$2:$B$5001,B4384,$H$2:$H$5001,H4384,$J$2:$J$5001,J4384)&gt;1,"Possible Duplicate Booking","Unique")</f>
        <v>Unique</v>
      </c>
      <c r="W4384" s="7" t="str">
        <f aca="false">IF((H4384-G4384)&lt;&gt;K4384,"Mismatch","OK")</f>
        <v>OK</v>
      </c>
      <c r="X4384" s="7" t="str">
        <f aca="false">IF(TEXT(H4384,"dddd")&lt;&gt;I4384,"Mismatch","OK")</f>
        <v>OK</v>
      </c>
      <c r="Y4384" s="7" t="str">
        <f aca="false">IF(AND(N4384="No",O4384&lt;&gt;""),"Unexpected: channel present but no reminder sent",IF(AND(N4384="Yes",O4384=""),"Missing channel for sent reminder","OK"))</f>
        <v>OK</v>
      </c>
    </row>
    <row r="4385" customFormat="false" ht="15" hidden="false" customHeight="false" outlineLevel="0" collapsed="false">
      <c r="A4385" s="9" t="s">
        <v>6098</v>
      </c>
      <c r="B4385" s="9" t="s">
        <v>2242</v>
      </c>
      <c r="C4385" s="9" t="s">
        <v>47</v>
      </c>
      <c r="D4385" s="9" t="n">
        <v>35</v>
      </c>
      <c r="E4385" s="9" t="s">
        <v>38</v>
      </c>
      <c r="F4385" s="9" t="s">
        <v>74</v>
      </c>
      <c r="G4385" s="10" t="n">
        <v>45951</v>
      </c>
      <c r="H4385" s="10" t="n">
        <v>45965</v>
      </c>
      <c r="I4385" s="9" t="s">
        <v>40</v>
      </c>
      <c r="J4385" s="9" t="s">
        <v>51</v>
      </c>
      <c r="K4385" s="9" t="n">
        <v>14</v>
      </c>
      <c r="L4385" s="9" t="n">
        <v>3</v>
      </c>
      <c r="M4385" s="9" t="n">
        <v>1</v>
      </c>
      <c r="N4385" s="9" t="s">
        <v>42</v>
      </c>
      <c r="O4385" s="9" t="s">
        <v>67</v>
      </c>
      <c r="P4385" s="9" t="n">
        <v>2.3</v>
      </c>
      <c r="Q4385" s="9" t="n">
        <v>29</v>
      </c>
      <c r="R4385" s="9" t="s">
        <v>53</v>
      </c>
      <c r="S4385" s="9"/>
      <c r="T4385" s="9"/>
      <c r="U4385" s="9" t="str">
        <f aca="false">IF(COUNTIF($A$2:$A$5001,A4385)&gt;1,"Duplicate","Unique")</f>
        <v>Unique</v>
      </c>
      <c r="V4385" s="9" t="str">
        <f aca="false">IF(COUNTIFS($B$2:$B$5001,B4385,$H$2:$H$5001,H4385,$J$2:$J$5001,J4385)&gt;1,"Possible Duplicate Booking","Unique")</f>
        <v>Unique</v>
      </c>
      <c r="W4385" s="9" t="str">
        <f aca="false">IF((H4385-G4385)&lt;&gt;K4385,"Mismatch","OK")</f>
        <v>OK</v>
      </c>
      <c r="X4385" s="9" t="str">
        <f aca="false">IF(TEXT(H4385,"dddd")&lt;&gt;I4385,"Mismatch","OK")</f>
        <v>OK</v>
      </c>
      <c r="Y4385" s="9" t="str">
        <f aca="false">IF(AND(N4385="No",O4385&lt;&gt;""),"Unexpected: channel present but no reminder sent",IF(AND(N4385="Yes",O4385=""),"Missing channel for sent reminder","OK"))</f>
        <v>OK</v>
      </c>
    </row>
    <row r="4386" customFormat="false" ht="15" hidden="false" customHeight="false" outlineLevel="0" collapsed="false">
      <c r="A4386" s="7" t="s">
        <v>6099</v>
      </c>
      <c r="B4386" s="7" t="s">
        <v>3863</v>
      </c>
      <c r="C4386" s="7" t="s">
        <v>37</v>
      </c>
      <c r="D4386" s="7" t="n">
        <v>61</v>
      </c>
      <c r="E4386" s="7" t="s">
        <v>61</v>
      </c>
      <c r="F4386" s="7" t="s">
        <v>57</v>
      </c>
      <c r="G4386" s="8" t="n">
        <v>45842</v>
      </c>
      <c r="H4386" s="8" t="n">
        <v>45867</v>
      </c>
      <c r="I4386" s="7" t="s">
        <v>40</v>
      </c>
      <c r="J4386" s="7" t="s">
        <v>41</v>
      </c>
      <c r="K4386" s="7" t="n">
        <v>25</v>
      </c>
      <c r="L4386" s="7" t="n">
        <v>5</v>
      </c>
      <c r="M4386" s="7" t="n">
        <v>2</v>
      </c>
      <c r="N4386" s="7" t="s">
        <v>42</v>
      </c>
      <c r="O4386" s="7" t="s">
        <v>67</v>
      </c>
      <c r="P4386" s="7" t="n">
        <v>6.7</v>
      </c>
      <c r="Q4386" s="7" t="n">
        <v>38</v>
      </c>
      <c r="R4386" s="7" t="s">
        <v>53</v>
      </c>
      <c r="S4386" s="7"/>
      <c r="T4386" s="7"/>
      <c r="U4386" s="7" t="str">
        <f aca="false">IF(COUNTIF($A$2:$A$5001,A4386)&gt;1,"Duplicate","Unique")</f>
        <v>Unique</v>
      </c>
      <c r="V4386" s="7" t="str">
        <f aca="false">IF(COUNTIFS($B$2:$B$5001,B4386,$H$2:$H$5001,H4386,$J$2:$J$5001,J4386)&gt;1,"Possible Duplicate Booking","Unique")</f>
        <v>Unique</v>
      </c>
      <c r="W4386" s="7" t="str">
        <f aca="false">IF((H4386-G4386)&lt;&gt;K4386,"Mismatch","OK")</f>
        <v>OK</v>
      </c>
      <c r="X4386" s="7" t="str">
        <f aca="false">IF(TEXT(H4386,"dddd")&lt;&gt;I4386,"Mismatch","OK")</f>
        <v>OK</v>
      </c>
      <c r="Y4386" s="7" t="str">
        <f aca="false">IF(AND(N4386="No",O4386&lt;&gt;""),"Unexpected: channel present but no reminder sent",IF(AND(N4386="Yes",O4386=""),"Missing channel for sent reminder","OK"))</f>
        <v>OK</v>
      </c>
    </row>
    <row r="4387" customFormat="false" ht="15" hidden="false" customHeight="false" outlineLevel="0" collapsed="false">
      <c r="A4387" s="9" t="s">
        <v>6100</v>
      </c>
      <c r="B4387" s="9" t="s">
        <v>1135</v>
      </c>
      <c r="C4387" s="9" t="s">
        <v>37</v>
      </c>
      <c r="D4387" s="9" t="n">
        <v>52</v>
      </c>
      <c r="E4387" s="9" t="s">
        <v>56</v>
      </c>
      <c r="F4387" s="9" t="s">
        <v>57</v>
      </c>
      <c r="G4387" s="10" t="n">
        <v>46007</v>
      </c>
      <c r="H4387" s="10" t="n">
        <v>46051</v>
      </c>
      <c r="I4387" s="9" t="s">
        <v>62</v>
      </c>
      <c r="J4387" s="9" t="s">
        <v>51</v>
      </c>
      <c r="K4387" s="9" t="n">
        <v>44</v>
      </c>
      <c r="L4387" s="9" t="n">
        <v>2</v>
      </c>
      <c r="M4387" s="9" t="n">
        <v>0</v>
      </c>
      <c r="N4387" s="9" t="s">
        <v>42</v>
      </c>
      <c r="O4387" s="9" t="s">
        <v>52</v>
      </c>
      <c r="P4387" s="9" t="n">
        <v>2.6</v>
      </c>
      <c r="Q4387" s="9" t="n">
        <v>32</v>
      </c>
      <c r="R4387" s="9" t="s">
        <v>53</v>
      </c>
      <c r="S4387" s="9"/>
      <c r="T4387" s="9"/>
      <c r="U4387" s="9" t="str">
        <f aca="false">IF(COUNTIF($A$2:$A$5001,A4387)&gt;1,"Duplicate","Unique")</f>
        <v>Unique</v>
      </c>
      <c r="V4387" s="9" t="str">
        <f aca="false">IF(COUNTIFS($B$2:$B$5001,B4387,$H$2:$H$5001,H4387,$J$2:$J$5001,J4387)&gt;1,"Possible Duplicate Booking","Unique")</f>
        <v>Unique</v>
      </c>
      <c r="W4387" s="9" t="str">
        <f aca="false">IF((H4387-G4387)&lt;&gt;K4387,"Mismatch","OK")</f>
        <v>OK</v>
      </c>
      <c r="X4387" s="9" t="str">
        <f aca="false">IF(TEXT(H4387,"dddd")&lt;&gt;I4387,"Mismatch","OK")</f>
        <v>OK</v>
      </c>
      <c r="Y4387" s="9" t="str">
        <f aca="false">IF(AND(N4387="No",O4387&lt;&gt;""),"Unexpected: channel present but no reminder sent",IF(AND(N4387="Yes",O4387=""),"Missing channel for sent reminder","OK"))</f>
        <v>OK</v>
      </c>
    </row>
    <row r="4388" customFormat="false" ht="15" hidden="false" customHeight="false" outlineLevel="0" collapsed="false">
      <c r="A4388" s="7" t="s">
        <v>6101</v>
      </c>
      <c r="B4388" s="7" t="s">
        <v>848</v>
      </c>
      <c r="C4388" s="7" t="s">
        <v>47</v>
      </c>
      <c r="D4388" s="7" t="n">
        <v>22</v>
      </c>
      <c r="E4388" s="7" t="s">
        <v>82</v>
      </c>
      <c r="F4388" s="7" t="s">
        <v>74</v>
      </c>
      <c r="G4388" s="8" t="n">
        <v>45752</v>
      </c>
      <c r="H4388" s="8" t="n">
        <v>45800</v>
      </c>
      <c r="I4388" s="7" t="s">
        <v>50</v>
      </c>
      <c r="J4388" s="7" t="s">
        <v>41</v>
      </c>
      <c r="K4388" s="7" t="n">
        <v>48</v>
      </c>
      <c r="L4388" s="7" t="n">
        <v>0</v>
      </c>
      <c r="M4388" s="7" t="n">
        <v>0</v>
      </c>
      <c r="N4388" s="7" t="s">
        <v>42</v>
      </c>
      <c r="O4388" s="7" t="s">
        <v>67</v>
      </c>
      <c r="P4388" s="7" t="n">
        <v>2</v>
      </c>
      <c r="Q4388" s="7" t="n">
        <v>46</v>
      </c>
      <c r="R4388" s="7" t="s">
        <v>44</v>
      </c>
      <c r="S4388" s="7"/>
      <c r="T4388" s="7"/>
      <c r="U4388" s="7" t="str">
        <f aca="false">IF(COUNTIF($A$2:$A$5001,A4388)&gt;1,"Duplicate","Unique")</f>
        <v>Unique</v>
      </c>
      <c r="V4388" s="7" t="str">
        <f aca="false">IF(COUNTIFS($B$2:$B$5001,B4388,$H$2:$H$5001,H4388,$J$2:$J$5001,J4388)&gt;1,"Possible Duplicate Booking","Unique")</f>
        <v>Unique</v>
      </c>
      <c r="W4388" s="7" t="str">
        <f aca="false">IF((H4388-G4388)&lt;&gt;K4388,"Mismatch","OK")</f>
        <v>OK</v>
      </c>
      <c r="X4388" s="7" t="str">
        <f aca="false">IF(TEXT(H4388,"dddd")&lt;&gt;I4388,"Mismatch","OK")</f>
        <v>OK</v>
      </c>
      <c r="Y4388" s="7" t="str">
        <f aca="false">IF(AND(N4388="No",O4388&lt;&gt;""),"Unexpected: channel present but no reminder sent",IF(AND(N4388="Yes",O4388=""),"Missing channel for sent reminder","OK"))</f>
        <v>OK</v>
      </c>
    </row>
    <row r="4389" customFormat="false" ht="15" hidden="false" customHeight="false" outlineLevel="0" collapsed="false">
      <c r="A4389" s="9" t="s">
        <v>6102</v>
      </c>
      <c r="B4389" s="9" t="s">
        <v>1242</v>
      </c>
      <c r="C4389" s="9" t="s">
        <v>47</v>
      </c>
      <c r="D4389" s="9" t="n">
        <v>49</v>
      </c>
      <c r="E4389" s="9" t="s">
        <v>56</v>
      </c>
      <c r="F4389" s="9" t="s">
        <v>57</v>
      </c>
      <c r="G4389" s="10" t="n">
        <v>45638</v>
      </c>
      <c r="H4389" s="10" t="n">
        <v>45690</v>
      </c>
      <c r="I4389" s="9" t="s">
        <v>75</v>
      </c>
      <c r="J4389" s="9" t="s">
        <v>63</v>
      </c>
      <c r="K4389" s="9" t="n">
        <v>52</v>
      </c>
      <c r="L4389" s="9" t="n">
        <v>4</v>
      </c>
      <c r="M4389" s="9" t="n">
        <v>0</v>
      </c>
      <c r="N4389" s="9" t="s">
        <v>42</v>
      </c>
      <c r="O4389" s="9" t="s">
        <v>52</v>
      </c>
      <c r="P4389" s="9" t="n">
        <v>1.1</v>
      </c>
      <c r="Q4389" s="9" t="n">
        <v>35</v>
      </c>
      <c r="R4389" s="9" t="s">
        <v>44</v>
      </c>
      <c r="S4389" s="9"/>
      <c r="T4389" s="9"/>
      <c r="U4389" s="9" t="str">
        <f aca="false">IF(COUNTIF($A$2:$A$5001,A4389)&gt;1,"Duplicate","Unique")</f>
        <v>Unique</v>
      </c>
      <c r="V4389" s="9" t="str">
        <f aca="false">IF(COUNTIFS($B$2:$B$5001,B4389,$H$2:$H$5001,H4389,$J$2:$J$5001,J4389)&gt;1,"Possible Duplicate Booking","Unique")</f>
        <v>Unique</v>
      </c>
      <c r="W4389" s="9" t="str">
        <f aca="false">IF((H4389-G4389)&lt;&gt;K4389,"Mismatch","OK")</f>
        <v>OK</v>
      </c>
      <c r="X4389" s="9" t="str">
        <f aca="false">IF(TEXT(H4389,"dddd")&lt;&gt;I4389,"Mismatch","OK")</f>
        <v>OK</v>
      </c>
      <c r="Y4389" s="9" t="str">
        <f aca="false">IF(AND(N4389="No",O4389&lt;&gt;""),"Unexpected: channel present but no reminder sent",IF(AND(N4389="Yes",O4389=""),"Missing channel for sent reminder","OK"))</f>
        <v>OK</v>
      </c>
    </row>
    <row r="4390" customFormat="false" ht="15" hidden="false" customHeight="false" outlineLevel="0" collapsed="false">
      <c r="A4390" s="7" t="s">
        <v>6103</v>
      </c>
      <c r="B4390" s="7" t="s">
        <v>4841</v>
      </c>
      <c r="C4390" s="7" t="s">
        <v>37</v>
      </c>
      <c r="D4390" s="7" t="n">
        <v>42</v>
      </c>
      <c r="E4390" s="7" t="s">
        <v>38</v>
      </c>
      <c r="F4390" s="7" t="s">
        <v>49</v>
      </c>
      <c r="G4390" s="8" t="n">
        <v>45815</v>
      </c>
      <c r="H4390" s="8" t="n">
        <v>45841</v>
      </c>
      <c r="I4390" s="7" t="s">
        <v>62</v>
      </c>
      <c r="J4390" s="7" t="s">
        <v>51</v>
      </c>
      <c r="K4390" s="7" t="n">
        <v>26</v>
      </c>
      <c r="L4390" s="7" t="n">
        <v>1</v>
      </c>
      <c r="M4390" s="7" t="n">
        <v>0</v>
      </c>
      <c r="N4390" s="7" t="s">
        <v>42</v>
      </c>
      <c r="O4390" s="7" t="s">
        <v>52</v>
      </c>
      <c r="P4390" s="7" t="n">
        <v>11.8</v>
      </c>
      <c r="Q4390" s="7" t="n">
        <v>35</v>
      </c>
      <c r="R4390" s="7" t="s">
        <v>53</v>
      </c>
      <c r="S4390" s="7"/>
      <c r="T4390" s="7"/>
      <c r="U4390" s="7" t="str">
        <f aca="false">IF(COUNTIF($A$2:$A$5001,A4390)&gt;1,"Duplicate","Unique")</f>
        <v>Unique</v>
      </c>
      <c r="V4390" s="7" t="str">
        <f aca="false">IF(COUNTIFS($B$2:$B$5001,B4390,$H$2:$H$5001,H4390,$J$2:$J$5001,J4390)&gt;1,"Possible Duplicate Booking","Unique")</f>
        <v>Unique</v>
      </c>
      <c r="W4390" s="7" t="str">
        <f aca="false">IF((H4390-G4390)&lt;&gt;K4390,"Mismatch","OK")</f>
        <v>OK</v>
      </c>
      <c r="X4390" s="7" t="str">
        <f aca="false">IF(TEXT(H4390,"dddd")&lt;&gt;I4390,"Mismatch","OK")</f>
        <v>OK</v>
      </c>
      <c r="Y4390" s="7" t="str">
        <f aca="false">IF(AND(N4390="No",O4390&lt;&gt;""),"Unexpected: channel present but no reminder sent",IF(AND(N4390="Yes",O4390=""),"Missing channel for sent reminder","OK"))</f>
        <v>OK</v>
      </c>
    </row>
    <row r="4391" customFormat="false" ht="15" hidden="false" customHeight="false" outlineLevel="0" collapsed="false">
      <c r="A4391" s="9" t="s">
        <v>6104</v>
      </c>
      <c r="B4391" s="9" t="s">
        <v>6105</v>
      </c>
      <c r="C4391" s="9" t="s">
        <v>47</v>
      </c>
      <c r="D4391" s="9" t="n">
        <v>68</v>
      </c>
      <c r="E4391" s="9" t="s">
        <v>70</v>
      </c>
      <c r="F4391" s="9" t="s">
        <v>57</v>
      </c>
      <c r="G4391" s="10" t="n">
        <v>45960</v>
      </c>
      <c r="H4391" s="10" t="n">
        <v>45984</v>
      </c>
      <c r="I4391" s="9" t="s">
        <v>75</v>
      </c>
      <c r="J4391" s="9" t="s">
        <v>41</v>
      </c>
      <c r="K4391" s="9" t="n">
        <v>24</v>
      </c>
      <c r="L4391" s="9" t="n">
        <v>2</v>
      </c>
      <c r="M4391" s="9" t="n">
        <v>0</v>
      </c>
      <c r="N4391" s="9" t="s">
        <v>42</v>
      </c>
      <c r="O4391" s="9" t="s">
        <v>52</v>
      </c>
      <c r="P4391" s="9" t="n">
        <v>9.1</v>
      </c>
      <c r="Q4391" s="9" t="n">
        <v>11</v>
      </c>
      <c r="R4391" s="9" t="s">
        <v>44</v>
      </c>
      <c r="S4391" s="9"/>
      <c r="T4391" s="9"/>
      <c r="U4391" s="9" t="str">
        <f aca="false">IF(COUNTIF($A$2:$A$5001,A4391)&gt;1,"Duplicate","Unique")</f>
        <v>Unique</v>
      </c>
      <c r="V4391" s="9" t="str">
        <f aca="false">IF(COUNTIFS($B$2:$B$5001,B4391,$H$2:$H$5001,H4391,$J$2:$J$5001,J4391)&gt;1,"Possible Duplicate Booking","Unique")</f>
        <v>Unique</v>
      </c>
      <c r="W4391" s="9" t="str">
        <f aca="false">IF((H4391-G4391)&lt;&gt;K4391,"Mismatch","OK")</f>
        <v>OK</v>
      </c>
      <c r="X4391" s="9" t="str">
        <f aca="false">IF(TEXT(H4391,"dddd")&lt;&gt;I4391,"Mismatch","OK")</f>
        <v>OK</v>
      </c>
      <c r="Y4391" s="9" t="str">
        <f aca="false">IF(AND(N4391="No",O4391&lt;&gt;""),"Unexpected: channel present but no reminder sent",IF(AND(N4391="Yes",O4391=""),"Missing channel for sent reminder","OK"))</f>
        <v>OK</v>
      </c>
    </row>
    <row r="4392" customFormat="false" ht="15" hidden="false" customHeight="false" outlineLevel="0" collapsed="false">
      <c r="A4392" s="7" t="s">
        <v>6106</v>
      </c>
      <c r="B4392" s="7" t="s">
        <v>1590</v>
      </c>
      <c r="C4392" s="7" t="s">
        <v>37</v>
      </c>
      <c r="D4392" s="7" t="n">
        <v>37</v>
      </c>
      <c r="E4392" s="7" t="s">
        <v>38</v>
      </c>
      <c r="F4392" s="7" t="s">
        <v>39</v>
      </c>
      <c r="G4392" s="8" t="n">
        <v>45733</v>
      </c>
      <c r="H4392" s="8" t="n">
        <v>45756</v>
      </c>
      <c r="I4392" s="7" t="s">
        <v>58</v>
      </c>
      <c r="J4392" s="7" t="s">
        <v>51</v>
      </c>
      <c r="K4392" s="7" t="n">
        <v>23</v>
      </c>
      <c r="L4392" s="7" t="n">
        <v>3</v>
      </c>
      <c r="M4392" s="7" t="n">
        <v>1</v>
      </c>
      <c r="N4392" s="7" t="s">
        <v>42</v>
      </c>
      <c r="O4392" s="7" t="s">
        <v>52</v>
      </c>
      <c r="P4392" s="7" t="n">
        <v>29.6</v>
      </c>
      <c r="Q4392" s="7" t="n">
        <v>32</v>
      </c>
      <c r="R4392" s="7" t="s">
        <v>53</v>
      </c>
      <c r="S4392" s="7"/>
      <c r="T4392" s="7"/>
      <c r="U4392" s="7" t="str">
        <f aca="false">IF(COUNTIF($A$2:$A$5001,A4392)&gt;1,"Duplicate","Unique")</f>
        <v>Unique</v>
      </c>
      <c r="V4392" s="7" t="str">
        <f aca="false">IF(COUNTIFS($B$2:$B$5001,B4392,$H$2:$H$5001,H4392,$J$2:$J$5001,J4392)&gt;1,"Possible Duplicate Booking","Unique")</f>
        <v>Unique</v>
      </c>
      <c r="W4392" s="7" t="str">
        <f aca="false">IF((H4392-G4392)&lt;&gt;K4392,"Mismatch","OK")</f>
        <v>OK</v>
      </c>
      <c r="X4392" s="7" t="str">
        <f aca="false">IF(TEXT(H4392,"dddd")&lt;&gt;I4392,"Mismatch","OK")</f>
        <v>OK</v>
      </c>
      <c r="Y4392" s="7" t="str">
        <f aca="false">IF(AND(N4392="No",O4392&lt;&gt;""),"Unexpected: channel present but no reminder sent",IF(AND(N4392="Yes",O4392=""),"Missing channel for sent reminder","OK"))</f>
        <v>OK</v>
      </c>
    </row>
    <row r="4393" customFormat="false" ht="15" hidden="false" customHeight="false" outlineLevel="0" collapsed="false">
      <c r="A4393" s="9" t="s">
        <v>6107</v>
      </c>
      <c r="B4393" s="9" t="s">
        <v>4911</v>
      </c>
      <c r="C4393" s="9" t="s">
        <v>47</v>
      </c>
      <c r="D4393" s="9" t="n">
        <v>78</v>
      </c>
      <c r="E4393" s="9" t="s">
        <v>70</v>
      </c>
      <c r="F4393" s="9" t="s">
        <v>57</v>
      </c>
      <c r="G4393" s="10" t="n">
        <v>46063</v>
      </c>
      <c r="H4393" s="10" t="n">
        <v>46103</v>
      </c>
      <c r="I4393" s="9" t="s">
        <v>75</v>
      </c>
      <c r="J4393" s="9" t="s">
        <v>51</v>
      </c>
      <c r="K4393" s="9" t="n">
        <v>40</v>
      </c>
      <c r="L4393" s="9" t="n">
        <v>1</v>
      </c>
      <c r="M4393" s="9" t="n">
        <v>1</v>
      </c>
      <c r="N4393" s="9" t="s">
        <v>71</v>
      </c>
      <c r="O4393" s="9"/>
      <c r="P4393" s="9" t="n">
        <v>5.9</v>
      </c>
      <c r="Q4393" s="9" t="n">
        <v>33</v>
      </c>
      <c r="R4393" s="9" t="s">
        <v>44</v>
      </c>
      <c r="S4393" s="9"/>
      <c r="T4393" s="9"/>
      <c r="U4393" s="9" t="str">
        <f aca="false">IF(COUNTIF($A$2:$A$5001,A4393)&gt;1,"Duplicate","Unique")</f>
        <v>Unique</v>
      </c>
      <c r="V4393" s="9" t="str">
        <f aca="false">IF(COUNTIFS($B$2:$B$5001,B4393,$H$2:$H$5001,H4393,$J$2:$J$5001,J4393)&gt;1,"Possible Duplicate Booking","Unique")</f>
        <v>Unique</v>
      </c>
      <c r="W4393" s="9" t="str">
        <f aca="false">IF((H4393-G4393)&lt;&gt;K4393,"Mismatch","OK")</f>
        <v>OK</v>
      </c>
      <c r="X4393" s="9" t="str">
        <f aca="false">IF(TEXT(H4393,"dddd")&lt;&gt;I4393,"Mismatch","OK")</f>
        <v>OK</v>
      </c>
      <c r="Y4393" s="9" t="str">
        <f aca="false">IF(AND(N4393="No",O4393&lt;&gt;""),"Unexpected: channel present but no reminder sent",IF(AND(N4393="Yes",O4393=""),"Missing channel for sent reminder","OK"))</f>
        <v>OK</v>
      </c>
    </row>
    <row r="4394" customFormat="false" ht="15" hidden="false" customHeight="false" outlineLevel="0" collapsed="false">
      <c r="A4394" s="7" t="s">
        <v>6108</v>
      </c>
      <c r="B4394" s="7" t="s">
        <v>1990</v>
      </c>
      <c r="C4394" s="7" t="s">
        <v>37</v>
      </c>
      <c r="D4394" s="7" t="n">
        <v>56</v>
      </c>
      <c r="E4394" s="7" t="s">
        <v>61</v>
      </c>
      <c r="F4394" s="7" t="s">
        <v>39</v>
      </c>
      <c r="G4394" s="8" t="n">
        <v>45639</v>
      </c>
      <c r="H4394" s="8" t="n">
        <v>45664</v>
      </c>
      <c r="I4394" s="7" t="s">
        <v>40</v>
      </c>
      <c r="J4394" s="7" t="s">
        <v>51</v>
      </c>
      <c r="K4394" s="7" t="n">
        <v>25</v>
      </c>
      <c r="L4394" s="7" t="n">
        <v>3</v>
      </c>
      <c r="M4394" s="7" t="n">
        <v>1</v>
      </c>
      <c r="N4394" s="7" t="s">
        <v>42</v>
      </c>
      <c r="O4394" s="7" t="s">
        <v>52</v>
      </c>
      <c r="P4394" s="7" t="n">
        <v>21.3</v>
      </c>
      <c r="Q4394" s="7" t="n">
        <v>24</v>
      </c>
      <c r="R4394" s="7" t="s">
        <v>44</v>
      </c>
      <c r="S4394" s="7"/>
      <c r="T4394" s="7"/>
      <c r="U4394" s="7" t="str">
        <f aca="false">IF(COUNTIF($A$2:$A$5001,A4394)&gt;1,"Duplicate","Unique")</f>
        <v>Unique</v>
      </c>
      <c r="V4394" s="7" t="str">
        <f aca="false">IF(COUNTIFS($B$2:$B$5001,B4394,$H$2:$H$5001,H4394,$J$2:$J$5001,J4394)&gt;1,"Possible Duplicate Booking","Unique")</f>
        <v>Unique</v>
      </c>
      <c r="W4394" s="7" t="str">
        <f aca="false">IF((H4394-G4394)&lt;&gt;K4394,"Mismatch","OK")</f>
        <v>OK</v>
      </c>
      <c r="X4394" s="7" t="str">
        <f aca="false">IF(TEXT(H4394,"dddd")&lt;&gt;I4394,"Mismatch","OK")</f>
        <v>OK</v>
      </c>
      <c r="Y4394" s="7" t="str">
        <f aca="false">IF(AND(N4394="No",O4394&lt;&gt;""),"Unexpected: channel present but no reminder sent",IF(AND(N4394="Yes",O4394=""),"Missing channel for sent reminder","OK"))</f>
        <v>OK</v>
      </c>
    </row>
    <row r="4395" customFormat="false" ht="15" hidden="false" customHeight="false" outlineLevel="0" collapsed="false">
      <c r="A4395" s="9" t="s">
        <v>6109</v>
      </c>
      <c r="B4395" s="9" t="s">
        <v>2675</v>
      </c>
      <c r="C4395" s="9" t="s">
        <v>37</v>
      </c>
      <c r="D4395" s="9" t="n">
        <v>26</v>
      </c>
      <c r="E4395" s="9" t="s">
        <v>48</v>
      </c>
      <c r="F4395" s="9" t="s">
        <v>49</v>
      </c>
      <c r="G4395" s="10" t="n">
        <v>45670</v>
      </c>
      <c r="H4395" s="10" t="n">
        <v>45694</v>
      </c>
      <c r="I4395" s="9" t="s">
        <v>62</v>
      </c>
      <c r="J4395" s="9" t="s">
        <v>51</v>
      </c>
      <c r="K4395" s="9" t="n">
        <v>24</v>
      </c>
      <c r="L4395" s="9" t="n">
        <v>1</v>
      </c>
      <c r="M4395" s="9" t="n">
        <v>1</v>
      </c>
      <c r="N4395" s="9" t="s">
        <v>42</v>
      </c>
      <c r="O4395" s="9" t="s">
        <v>43</v>
      </c>
      <c r="P4395" s="9" t="n">
        <v>12.3</v>
      </c>
      <c r="Q4395" s="9" t="n">
        <v>2</v>
      </c>
      <c r="R4395" s="9" t="s">
        <v>53</v>
      </c>
      <c r="S4395" s="9"/>
      <c r="T4395" s="9"/>
      <c r="U4395" s="9" t="str">
        <f aca="false">IF(COUNTIF($A$2:$A$5001,A4395)&gt;1,"Duplicate","Unique")</f>
        <v>Unique</v>
      </c>
      <c r="V4395" s="9" t="str">
        <f aca="false">IF(COUNTIFS($B$2:$B$5001,B4395,$H$2:$H$5001,H4395,$J$2:$J$5001,J4395)&gt;1,"Possible Duplicate Booking","Unique")</f>
        <v>Unique</v>
      </c>
      <c r="W4395" s="9" t="str">
        <f aca="false">IF((H4395-G4395)&lt;&gt;K4395,"Mismatch","OK")</f>
        <v>OK</v>
      </c>
      <c r="X4395" s="9" t="str">
        <f aca="false">IF(TEXT(H4395,"dddd")&lt;&gt;I4395,"Mismatch","OK")</f>
        <v>OK</v>
      </c>
      <c r="Y4395" s="9" t="str">
        <f aca="false">IF(AND(N4395="No",O4395&lt;&gt;""),"Unexpected: channel present but no reminder sent",IF(AND(N4395="Yes",O4395=""),"Missing channel for sent reminder","OK"))</f>
        <v>OK</v>
      </c>
    </row>
    <row r="4396" customFormat="false" ht="15" hidden="false" customHeight="false" outlineLevel="0" collapsed="false">
      <c r="A4396" s="7" t="s">
        <v>6110</v>
      </c>
      <c r="B4396" s="7" t="s">
        <v>2573</v>
      </c>
      <c r="C4396" s="7" t="s">
        <v>47</v>
      </c>
      <c r="D4396" s="7" t="n">
        <v>43</v>
      </c>
      <c r="E4396" s="7" t="s">
        <v>38</v>
      </c>
      <c r="F4396" s="7" t="s">
        <v>57</v>
      </c>
      <c r="G4396" s="8" t="n">
        <v>45925</v>
      </c>
      <c r="H4396" s="8" t="n">
        <v>45935</v>
      </c>
      <c r="I4396" s="7" t="s">
        <v>75</v>
      </c>
      <c r="J4396" s="7" t="s">
        <v>51</v>
      </c>
      <c r="K4396" s="7" t="n">
        <v>10</v>
      </c>
      <c r="L4396" s="7" t="n">
        <v>5</v>
      </c>
      <c r="M4396" s="7" t="n">
        <v>2</v>
      </c>
      <c r="N4396" s="7" t="s">
        <v>42</v>
      </c>
      <c r="O4396" s="7" t="s">
        <v>52</v>
      </c>
      <c r="P4396" s="7" t="n">
        <v>6.2</v>
      </c>
      <c r="Q4396" s="7" t="n">
        <v>2</v>
      </c>
      <c r="R4396" s="7" t="s">
        <v>53</v>
      </c>
      <c r="S4396" s="7"/>
      <c r="T4396" s="7"/>
      <c r="U4396" s="7" t="str">
        <f aca="false">IF(COUNTIF($A$2:$A$5001,A4396)&gt;1,"Duplicate","Unique")</f>
        <v>Unique</v>
      </c>
      <c r="V4396" s="7" t="str">
        <f aca="false">IF(COUNTIFS($B$2:$B$5001,B4396,$H$2:$H$5001,H4396,$J$2:$J$5001,J4396)&gt;1,"Possible Duplicate Booking","Unique")</f>
        <v>Unique</v>
      </c>
      <c r="W4396" s="7" t="str">
        <f aca="false">IF((H4396-G4396)&lt;&gt;K4396,"Mismatch","OK")</f>
        <v>OK</v>
      </c>
      <c r="X4396" s="7" t="str">
        <f aca="false">IF(TEXT(H4396,"dddd")&lt;&gt;I4396,"Mismatch","OK")</f>
        <v>OK</v>
      </c>
      <c r="Y4396" s="7" t="str">
        <f aca="false">IF(AND(N4396="No",O4396&lt;&gt;""),"Unexpected: channel present but no reminder sent",IF(AND(N4396="Yes",O4396=""),"Missing channel for sent reminder","OK"))</f>
        <v>OK</v>
      </c>
    </row>
    <row r="4397" customFormat="false" ht="15" hidden="false" customHeight="false" outlineLevel="0" collapsed="false">
      <c r="A4397" s="9" t="s">
        <v>6111</v>
      </c>
      <c r="B4397" s="9" t="s">
        <v>1893</v>
      </c>
      <c r="C4397" s="9" t="s">
        <v>47</v>
      </c>
      <c r="D4397" s="9" t="n">
        <v>73</v>
      </c>
      <c r="E4397" s="9" t="s">
        <v>70</v>
      </c>
      <c r="F4397" s="9" t="s">
        <v>57</v>
      </c>
      <c r="G4397" s="10" t="n">
        <v>45908</v>
      </c>
      <c r="H4397" s="10" t="n">
        <v>45937</v>
      </c>
      <c r="I4397" s="9" t="s">
        <v>40</v>
      </c>
      <c r="J4397" s="9" t="s">
        <v>41</v>
      </c>
      <c r="K4397" s="9" t="n">
        <v>29</v>
      </c>
      <c r="L4397" s="9" t="n">
        <v>4</v>
      </c>
      <c r="M4397" s="9" t="n">
        <v>1</v>
      </c>
      <c r="N4397" s="9" t="s">
        <v>42</v>
      </c>
      <c r="O4397" s="9" t="s">
        <v>52</v>
      </c>
      <c r="P4397" s="9" t="n">
        <v>4.1</v>
      </c>
      <c r="Q4397" s="9" t="n">
        <v>21</v>
      </c>
      <c r="R4397" s="9" t="s">
        <v>53</v>
      </c>
      <c r="S4397" s="9"/>
      <c r="T4397" s="9"/>
      <c r="U4397" s="9" t="str">
        <f aca="false">IF(COUNTIF($A$2:$A$5001,A4397)&gt;1,"Duplicate","Unique")</f>
        <v>Unique</v>
      </c>
      <c r="V4397" s="9" t="str">
        <f aca="false">IF(COUNTIFS($B$2:$B$5001,B4397,$H$2:$H$5001,H4397,$J$2:$J$5001,J4397)&gt;1,"Possible Duplicate Booking","Unique")</f>
        <v>Unique</v>
      </c>
      <c r="W4397" s="9" t="str">
        <f aca="false">IF((H4397-G4397)&lt;&gt;K4397,"Mismatch","OK")</f>
        <v>OK</v>
      </c>
      <c r="X4397" s="9" t="str">
        <f aca="false">IF(TEXT(H4397,"dddd")&lt;&gt;I4397,"Mismatch","OK")</f>
        <v>OK</v>
      </c>
      <c r="Y4397" s="9" t="str">
        <f aca="false">IF(AND(N4397="No",O4397&lt;&gt;""),"Unexpected: channel present but no reminder sent",IF(AND(N4397="Yes",O4397=""),"Missing channel for sent reminder","OK"))</f>
        <v>OK</v>
      </c>
    </row>
    <row r="4398" customFormat="false" ht="15" hidden="false" customHeight="false" outlineLevel="0" collapsed="false">
      <c r="A4398" s="7" t="s">
        <v>6112</v>
      </c>
      <c r="B4398" s="7" t="s">
        <v>2379</v>
      </c>
      <c r="C4398" s="7" t="s">
        <v>37</v>
      </c>
      <c r="D4398" s="7" t="n">
        <v>34</v>
      </c>
      <c r="E4398" s="7" t="s">
        <v>48</v>
      </c>
      <c r="F4398" s="7" t="s">
        <v>57</v>
      </c>
      <c r="G4398" s="8" t="n">
        <v>45805</v>
      </c>
      <c r="H4398" s="8" t="n">
        <v>45819</v>
      </c>
      <c r="I4398" s="7" t="s">
        <v>58</v>
      </c>
      <c r="J4398" s="7" t="s">
        <v>41</v>
      </c>
      <c r="K4398" s="7" t="n">
        <v>14</v>
      </c>
      <c r="L4398" s="7" t="n">
        <v>1</v>
      </c>
      <c r="M4398" s="7" t="n">
        <v>1</v>
      </c>
      <c r="N4398" s="7" t="s">
        <v>42</v>
      </c>
      <c r="O4398" s="7" t="s">
        <v>67</v>
      </c>
      <c r="P4398" s="7" t="n">
        <v>10.5</v>
      </c>
      <c r="Q4398" s="7" t="n">
        <v>18</v>
      </c>
      <c r="R4398" s="7" t="s">
        <v>53</v>
      </c>
      <c r="S4398" s="7"/>
      <c r="T4398" s="7"/>
      <c r="U4398" s="7" t="str">
        <f aca="false">IF(COUNTIF($A$2:$A$5001,A4398)&gt;1,"Duplicate","Unique")</f>
        <v>Unique</v>
      </c>
      <c r="V4398" s="7" t="str">
        <f aca="false">IF(COUNTIFS($B$2:$B$5001,B4398,$H$2:$H$5001,H4398,$J$2:$J$5001,J4398)&gt;1,"Possible Duplicate Booking","Unique")</f>
        <v>Unique</v>
      </c>
      <c r="W4398" s="7" t="str">
        <f aca="false">IF((H4398-G4398)&lt;&gt;K4398,"Mismatch","OK")</f>
        <v>OK</v>
      </c>
      <c r="X4398" s="7" t="str">
        <f aca="false">IF(TEXT(H4398,"dddd")&lt;&gt;I4398,"Mismatch","OK")</f>
        <v>OK</v>
      </c>
      <c r="Y4398" s="7" t="str">
        <f aca="false">IF(AND(N4398="No",O4398&lt;&gt;""),"Unexpected: channel present but no reminder sent",IF(AND(N4398="Yes",O4398=""),"Missing channel for sent reminder","OK"))</f>
        <v>OK</v>
      </c>
    </row>
    <row r="4399" customFormat="false" ht="15" hidden="false" customHeight="false" outlineLevel="0" collapsed="false">
      <c r="A4399" s="9" t="s">
        <v>6113</v>
      </c>
      <c r="B4399" s="9" t="s">
        <v>933</v>
      </c>
      <c r="C4399" s="9" t="s">
        <v>47</v>
      </c>
      <c r="D4399" s="9" t="n">
        <v>62</v>
      </c>
      <c r="E4399" s="9" t="s">
        <v>61</v>
      </c>
      <c r="F4399" s="9" t="s">
        <v>57</v>
      </c>
      <c r="G4399" s="10" t="n">
        <v>45767</v>
      </c>
      <c r="H4399" s="10" t="n">
        <v>45799</v>
      </c>
      <c r="I4399" s="9" t="s">
        <v>62</v>
      </c>
      <c r="J4399" s="9" t="s">
        <v>63</v>
      </c>
      <c r="K4399" s="9" t="n">
        <v>32</v>
      </c>
      <c r="L4399" s="9" t="n">
        <v>4</v>
      </c>
      <c r="M4399" s="9" t="n">
        <v>2</v>
      </c>
      <c r="N4399" s="9" t="s">
        <v>42</v>
      </c>
      <c r="O4399" s="9" t="s">
        <v>43</v>
      </c>
      <c r="P4399" s="9" t="n">
        <v>4.5</v>
      </c>
      <c r="Q4399" s="9" t="n">
        <v>8</v>
      </c>
      <c r="R4399" s="9" t="s">
        <v>53</v>
      </c>
      <c r="S4399" s="9"/>
      <c r="T4399" s="9"/>
      <c r="U4399" s="9" t="str">
        <f aca="false">IF(COUNTIF($A$2:$A$5001,A4399)&gt;1,"Duplicate","Unique")</f>
        <v>Unique</v>
      </c>
      <c r="V4399" s="9" t="str">
        <f aca="false">IF(COUNTIFS($B$2:$B$5001,B4399,$H$2:$H$5001,H4399,$J$2:$J$5001,J4399)&gt;1,"Possible Duplicate Booking","Unique")</f>
        <v>Unique</v>
      </c>
      <c r="W4399" s="9" t="str">
        <f aca="false">IF((H4399-G4399)&lt;&gt;K4399,"Mismatch","OK")</f>
        <v>OK</v>
      </c>
      <c r="X4399" s="9" t="str">
        <f aca="false">IF(TEXT(H4399,"dddd")&lt;&gt;I4399,"Mismatch","OK")</f>
        <v>OK</v>
      </c>
      <c r="Y4399" s="9" t="str">
        <f aca="false">IF(AND(N4399="No",O4399&lt;&gt;""),"Unexpected: channel present but no reminder sent",IF(AND(N4399="Yes",O4399=""),"Missing channel for sent reminder","OK"))</f>
        <v>OK</v>
      </c>
    </row>
    <row r="4400" customFormat="false" ht="15" hidden="false" customHeight="false" outlineLevel="0" collapsed="false">
      <c r="A4400" s="7" t="s">
        <v>6114</v>
      </c>
      <c r="B4400" s="7" t="s">
        <v>152</v>
      </c>
      <c r="C4400" s="7" t="s">
        <v>47</v>
      </c>
      <c r="D4400" s="7" t="n">
        <v>67</v>
      </c>
      <c r="E4400" s="7" t="s">
        <v>70</v>
      </c>
      <c r="F4400" s="7" t="s">
        <v>57</v>
      </c>
      <c r="G4400" s="8" t="n">
        <v>45642</v>
      </c>
      <c r="H4400" s="8" t="n">
        <v>45696</v>
      </c>
      <c r="I4400" s="7" t="s">
        <v>102</v>
      </c>
      <c r="J4400" s="7" t="s">
        <v>63</v>
      </c>
      <c r="K4400" s="7" t="n">
        <v>54</v>
      </c>
      <c r="L4400" s="7" t="n">
        <v>6</v>
      </c>
      <c r="M4400" s="7" t="n">
        <v>0</v>
      </c>
      <c r="N4400" s="7" t="s">
        <v>42</v>
      </c>
      <c r="O4400" s="7" t="s">
        <v>52</v>
      </c>
      <c r="P4400" s="7" t="n">
        <v>10.4</v>
      </c>
      <c r="Q4400" s="7" t="n">
        <v>28</v>
      </c>
      <c r="R4400" s="7" t="s">
        <v>53</v>
      </c>
      <c r="S4400" s="7"/>
      <c r="T4400" s="7"/>
      <c r="U4400" s="7" t="str">
        <f aca="false">IF(COUNTIF($A$2:$A$5001,A4400)&gt;1,"Duplicate","Unique")</f>
        <v>Unique</v>
      </c>
      <c r="V4400" s="7" t="str">
        <f aca="false">IF(COUNTIFS($B$2:$B$5001,B4400,$H$2:$H$5001,H4400,$J$2:$J$5001,J4400)&gt;1,"Possible Duplicate Booking","Unique")</f>
        <v>Unique</v>
      </c>
      <c r="W4400" s="7" t="str">
        <f aca="false">IF((H4400-G4400)&lt;&gt;K4400,"Mismatch","OK")</f>
        <v>OK</v>
      </c>
      <c r="X4400" s="7" t="str">
        <f aca="false">IF(TEXT(H4400,"dddd")&lt;&gt;I4400,"Mismatch","OK")</f>
        <v>OK</v>
      </c>
      <c r="Y4400" s="7" t="str">
        <f aca="false">IF(AND(N4400="No",O4400&lt;&gt;""),"Unexpected: channel present but no reminder sent",IF(AND(N4400="Yes",O4400=""),"Missing channel for sent reminder","OK"))</f>
        <v>OK</v>
      </c>
    </row>
    <row r="4401" customFormat="false" ht="15" hidden="false" customHeight="false" outlineLevel="0" collapsed="false">
      <c r="A4401" s="9" t="s">
        <v>6115</v>
      </c>
      <c r="B4401" s="9" t="s">
        <v>6051</v>
      </c>
      <c r="C4401" s="9" t="s">
        <v>47</v>
      </c>
      <c r="D4401" s="9" t="n">
        <v>61</v>
      </c>
      <c r="E4401" s="9" t="s">
        <v>61</v>
      </c>
      <c r="F4401" s="9" t="s">
        <v>74</v>
      </c>
      <c r="G4401" s="10" t="n">
        <v>45972</v>
      </c>
      <c r="H4401" s="10" t="n">
        <v>46019</v>
      </c>
      <c r="I4401" s="9" t="s">
        <v>75</v>
      </c>
      <c r="J4401" s="9" t="s">
        <v>51</v>
      </c>
      <c r="K4401" s="9" t="n">
        <v>47</v>
      </c>
      <c r="L4401" s="9" t="n">
        <v>4</v>
      </c>
      <c r="M4401" s="9" t="n">
        <v>2</v>
      </c>
      <c r="N4401" s="9" t="s">
        <v>42</v>
      </c>
      <c r="O4401" s="9" t="s">
        <v>67</v>
      </c>
      <c r="P4401" s="9" t="n">
        <v>4.4</v>
      </c>
      <c r="Q4401" s="9" t="n">
        <v>12</v>
      </c>
      <c r="R4401" s="9" t="s">
        <v>53</v>
      </c>
      <c r="S4401" s="9"/>
      <c r="T4401" s="9"/>
      <c r="U4401" s="9" t="str">
        <f aca="false">IF(COUNTIF($A$2:$A$5001,A4401)&gt;1,"Duplicate","Unique")</f>
        <v>Unique</v>
      </c>
      <c r="V4401" s="9" t="str">
        <f aca="false">IF(COUNTIFS($B$2:$B$5001,B4401,$H$2:$H$5001,H4401,$J$2:$J$5001,J4401)&gt;1,"Possible Duplicate Booking","Unique")</f>
        <v>Unique</v>
      </c>
      <c r="W4401" s="9" t="str">
        <f aca="false">IF((H4401-G4401)&lt;&gt;K4401,"Mismatch","OK")</f>
        <v>OK</v>
      </c>
      <c r="X4401" s="9" t="str">
        <f aca="false">IF(TEXT(H4401,"dddd")&lt;&gt;I4401,"Mismatch","OK")</f>
        <v>OK</v>
      </c>
      <c r="Y4401" s="9" t="str">
        <f aca="false">IF(AND(N4401="No",O4401&lt;&gt;""),"Unexpected: channel present but no reminder sent",IF(AND(N4401="Yes",O4401=""),"Missing channel for sent reminder","OK"))</f>
        <v>OK</v>
      </c>
    </row>
    <row r="4402" customFormat="false" ht="15" hidden="false" customHeight="false" outlineLevel="0" collapsed="false">
      <c r="A4402" s="7" t="s">
        <v>6116</v>
      </c>
      <c r="B4402" s="7" t="s">
        <v>3918</v>
      </c>
      <c r="C4402" s="7" t="s">
        <v>37</v>
      </c>
      <c r="D4402" s="7" t="n">
        <v>23</v>
      </c>
      <c r="E4402" s="7" t="s">
        <v>82</v>
      </c>
      <c r="F4402" s="7" t="s">
        <v>57</v>
      </c>
      <c r="G4402" s="8" t="n">
        <v>45835</v>
      </c>
      <c r="H4402" s="8" t="n">
        <v>45864</v>
      </c>
      <c r="I4402" s="7" t="s">
        <v>102</v>
      </c>
      <c r="J4402" s="7" t="s">
        <v>51</v>
      </c>
      <c r="K4402" s="7" t="n">
        <v>29</v>
      </c>
      <c r="L4402" s="7" t="n">
        <v>6</v>
      </c>
      <c r="M4402" s="7" t="n">
        <v>3</v>
      </c>
      <c r="N4402" s="7" t="s">
        <v>42</v>
      </c>
      <c r="O4402" s="7" t="s">
        <v>43</v>
      </c>
      <c r="P4402" s="7" t="n">
        <v>3.5</v>
      </c>
      <c r="Q4402" s="7" t="n">
        <v>6</v>
      </c>
      <c r="R4402" s="7" t="s">
        <v>44</v>
      </c>
      <c r="S4402" s="7"/>
      <c r="T4402" s="7"/>
      <c r="U4402" s="7" t="str">
        <f aca="false">IF(COUNTIF($A$2:$A$5001,A4402)&gt;1,"Duplicate","Unique")</f>
        <v>Unique</v>
      </c>
      <c r="V4402" s="7" t="str">
        <f aca="false">IF(COUNTIFS($B$2:$B$5001,B4402,$H$2:$H$5001,H4402,$J$2:$J$5001,J4402)&gt;1,"Possible Duplicate Booking","Unique")</f>
        <v>Unique</v>
      </c>
      <c r="W4402" s="7" t="str">
        <f aca="false">IF((H4402-G4402)&lt;&gt;K4402,"Mismatch","OK")</f>
        <v>OK</v>
      </c>
      <c r="X4402" s="7" t="str">
        <f aca="false">IF(TEXT(H4402,"dddd")&lt;&gt;I4402,"Mismatch","OK")</f>
        <v>OK</v>
      </c>
      <c r="Y4402" s="7" t="str">
        <f aca="false">IF(AND(N4402="No",O4402&lt;&gt;""),"Unexpected: channel present but no reminder sent",IF(AND(N4402="Yes",O4402=""),"Missing channel for sent reminder","OK"))</f>
        <v>OK</v>
      </c>
    </row>
    <row r="4403" customFormat="false" ht="15" hidden="false" customHeight="false" outlineLevel="0" collapsed="false">
      <c r="A4403" s="9" t="s">
        <v>6117</v>
      </c>
      <c r="B4403" s="9" t="s">
        <v>1468</v>
      </c>
      <c r="C4403" s="9" t="s">
        <v>37</v>
      </c>
      <c r="D4403" s="9" t="n">
        <v>41</v>
      </c>
      <c r="E4403" s="9" t="s">
        <v>38</v>
      </c>
      <c r="F4403" s="9" t="s">
        <v>39</v>
      </c>
      <c r="G4403" s="10" t="n">
        <v>45663</v>
      </c>
      <c r="H4403" s="10" t="n">
        <v>45722</v>
      </c>
      <c r="I4403" s="9" t="s">
        <v>62</v>
      </c>
      <c r="J4403" s="9" t="s">
        <v>51</v>
      </c>
      <c r="K4403" s="9" t="n">
        <v>59</v>
      </c>
      <c r="L4403" s="9" t="n">
        <v>3</v>
      </c>
      <c r="M4403" s="9" t="n">
        <v>0</v>
      </c>
      <c r="N4403" s="9" t="s">
        <v>42</v>
      </c>
      <c r="O4403" s="9" t="s">
        <v>43</v>
      </c>
      <c r="P4403" s="9" t="n">
        <v>1.9</v>
      </c>
      <c r="Q4403" s="9" t="n">
        <v>47</v>
      </c>
      <c r="R4403" s="9" t="s">
        <v>44</v>
      </c>
      <c r="S4403" s="9"/>
      <c r="T4403" s="9"/>
      <c r="U4403" s="9" t="str">
        <f aca="false">IF(COUNTIF($A$2:$A$5001,A4403)&gt;1,"Duplicate","Unique")</f>
        <v>Unique</v>
      </c>
      <c r="V4403" s="9" t="str">
        <f aca="false">IF(COUNTIFS($B$2:$B$5001,B4403,$H$2:$H$5001,H4403,$J$2:$J$5001,J4403)&gt;1,"Possible Duplicate Booking","Unique")</f>
        <v>Unique</v>
      </c>
      <c r="W4403" s="9" t="str">
        <f aca="false">IF((H4403-G4403)&lt;&gt;K4403,"Mismatch","OK")</f>
        <v>OK</v>
      </c>
      <c r="X4403" s="9" t="str">
        <f aca="false">IF(TEXT(H4403,"dddd")&lt;&gt;I4403,"Mismatch","OK")</f>
        <v>OK</v>
      </c>
      <c r="Y4403" s="9" t="str">
        <f aca="false">IF(AND(N4403="No",O4403&lt;&gt;""),"Unexpected: channel present but no reminder sent",IF(AND(N4403="Yes",O4403=""),"Missing channel for sent reminder","OK"))</f>
        <v>OK</v>
      </c>
    </row>
    <row r="4404" customFormat="false" ht="15" hidden="false" customHeight="false" outlineLevel="0" collapsed="false">
      <c r="A4404" s="7" t="s">
        <v>6118</v>
      </c>
      <c r="B4404" s="7" t="s">
        <v>675</v>
      </c>
      <c r="C4404" s="7" t="s">
        <v>47</v>
      </c>
      <c r="D4404" s="7" t="n">
        <v>39</v>
      </c>
      <c r="E4404" s="7" t="s">
        <v>38</v>
      </c>
      <c r="F4404" s="7" t="s">
        <v>39</v>
      </c>
      <c r="G4404" s="8" t="n">
        <v>45817</v>
      </c>
      <c r="H4404" s="8" t="n">
        <v>45876</v>
      </c>
      <c r="I4404" s="7" t="s">
        <v>62</v>
      </c>
      <c r="J4404" s="7" t="s">
        <v>41</v>
      </c>
      <c r="K4404" s="7" t="n">
        <v>59</v>
      </c>
      <c r="L4404" s="7" t="n">
        <v>3</v>
      </c>
      <c r="M4404" s="7" t="n">
        <v>1</v>
      </c>
      <c r="N4404" s="7" t="s">
        <v>42</v>
      </c>
      <c r="O4404" s="7" t="s">
        <v>43</v>
      </c>
      <c r="P4404" s="7" t="n">
        <v>9.9</v>
      </c>
      <c r="Q4404" s="7" t="n">
        <v>30</v>
      </c>
      <c r="R4404" s="7" t="s">
        <v>44</v>
      </c>
      <c r="S4404" s="7"/>
      <c r="T4404" s="7"/>
      <c r="U4404" s="7" t="str">
        <f aca="false">IF(COUNTIF($A$2:$A$5001,A4404)&gt;1,"Duplicate","Unique")</f>
        <v>Unique</v>
      </c>
      <c r="V4404" s="7" t="str">
        <f aca="false">IF(COUNTIFS($B$2:$B$5001,B4404,$H$2:$H$5001,H4404,$J$2:$J$5001,J4404)&gt;1,"Possible Duplicate Booking","Unique")</f>
        <v>Unique</v>
      </c>
      <c r="W4404" s="7" t="str">
        <f aca="false">IF((H4404-G4404)&lt;&gt;K4404,"Mismatch","OK")</f>
        <v>OK</v>
      </c>
      <c r="X4404" s="7" t="str">
        <f aca="false">IF(TEXT(H4404,"dddd")&lt;&gt;I4404,"Mismatch","OK")</f>
        <v>OK</v>
      </c>
      <c r="Y4404" s="7" t="str">
        <f aca="false">IF(AND(N4404="No",O4404&lt;&gt;""),"Unexpected: channel present but no reminder sent",IF(AND(N4404="Yes",O4404=""),"Missing channel for sent reminder","OK"))</f>
        <v>OK</v>
      </c>
    </row>
    <row r="4405" customFormat="false" ht="15" hidden="false" customHeight="false" outlineLevel="0" collapsed="false">
      <c r="A4405" s="9" t="s">
        <v>6119</v>
      </c>
      <c r="B4405" s="9" t="s">
        <v>6120</v>
      </c>
      <c r="C4405" s="9" t="s">
        <v>47</v>
      </c>
      <c r="D4405" s="9" t="n">
        <v>39</v>
      </c>
      <c r="E4405" s="9" t="s">
        <v>38</v>
      </c>
      <c r="F4405" s="9" t="s">
        <v>57</v>
      </c>
      <c r="G4405" s="10" t="n">
        <v>46142</v>
      </c>
      <c r="H4405" s="10" t="n">
        <v>46169</v>
      </c>
      <c r="I4405" s="9" t="s">
        <v>58</v>
      </c>
      <c r="J4405" s="9" t="s">
        <v>41</v>
      </c>
      <c r="K4405" s="9" t="n">
        <v>27</v>
      </c>
      <c r="L4405" s="9" t="n">
        <v>1</v>
      </c>
      <c r="M4405" s="9" t="n">
        <v>0</v>
      </c>
      <c r="N4405" s="9" t="s">
        <v>42</v>
      </c>
      <c r="O4405" s="9" t="s">
        <v>52</v>
      </c>
      <c r="P4405" s="9" t="n">
        <v>8.5</v>
      </c>
      <c r="Q4405" s="9" t="n">
        <v>19</v>
      </c>
      <c r="R4405" s="9" t="s">
        <v>87</v>
      </c>
      <c r="S4405" s="9"/>
      <c r="T4405" s="9"/>
      <c r="U4405" s="9" t="str">
        <f aca="false">IF(COUNTIF($A$2:$A$5001,A4405)&gt;1,"Duplicate","Unique")</f>
        <v>Unique</v>
      </c>
      <c r="V4405" s="9" t="str">
        <f aca="false">IF(COUNTIFS($B$2:$B$5001,B4405,$H$2:$H$5001,H4405,$J$2:$J$5001,J4405)&gt;1,"Possible Duplicate Booking","Unique")</f>
        <v>Unique</v>
      </c>
      <c r="W4405" s="9" t="str">
        <f aca="false">IF((H4405-G4405)&lt;&gt;K4405,"Mismatch","OK")</f>
        <v>OK</v>
      </c>
      <c r="X4405" s="9" t="str">
        <f aca="false">IF(TEXT(H4405,"dddd")&lt;&gt;I4405,"Mismatch","OK")</f>
        <v>OK</v>
      </c>
      <c r="Y4405" s="9" t="str">
        <f aca="false">IF(AND(N4405="No",O4405&lt;&gt;""),"Unexpected: channel present but no reminder sent",IF(AND(N4405="Yes",O4405=""),"Missing channel for sent reminder","OK"))</f>
        <v>OK</v>
      </c>
    </row>
    <row r="4406" customFormat="false" ht="15" hidden="false" customHeight="false" outlineLevel="0" collapsed="false">
      <c r="A4406" s="7" t="s">
        <v>6121</v>
      </c>
      <c r="B4406" s="7" t="s">
        <v>1616</v>
      </c>
      <c r="C4406" s="7" t="s">
        <v>37</v>
      </c>
      <c r="D4406" s="7" t="n">
        <v>73</v>
      </c>
      <c r="E4406" s="7" t="s">
        <v>70</v>
      </c>
      <c r="F4406" s="7" t="s">
        <v>57</v>
      </c>
      <c r="G4406" s="8" t="n">
        <v>45754</v>
      </c>
      <c r="H4406" s="8" t="n">
        <v>45800</v>
      </c>
      <c r="I4406" s="7" t="s">
        <v>50</v>
      </c>
      <c r="J4406" s="7" t="s">
        <v>51</v>
      </c>
      <c r="K4406" s="7" t="n">
        <v>46</v>
      </c>
      <c r="L4406" s="7" t="n">
        <v>5</v>
      </c>
      <c r="M4406" s="7" t="n">
        <v>1</v>
      </c>
      <c r="N4406" s="7" t="s">
        <v>42</v>
      </c>
      <c r="O4406" s="7" t="s">
        <v>43</v>
      </c>
      <c r="P4406" s="7" t="n">
        <v>3.4</v>
      </c>
      <c r="Q4406" s="7" t="n">
        <v>8</v>
      </c>
      <c r="R4406" s="7" t="s">
        <v>53</v>
      </c>
      <c r="S4406" s="7"/>
      <c r="T4406" s="7"/>
      <c r="U4406" s="7" t="str">
        <f aca="false">IF(COUNTIF($A$2:$A$5001,A4406)&gt;1,"Duplicate","Unique")</f>
        <v>Unique</v>
      </c>
      <c r="V4406" s="7" t="str">
        <f aca="false">IF(COUNTIFS($B$2:$B$5001,B4406,$H$2:$H$5001,H4406,$J$2:$J$5001,J4406)&gt;1,"Possible Duplicate Booking","Unique")</f>
        <v>Unique</v>
      </c>
      <c r="W4406" s="7" t="str">
        <f aca="false">IF((H4406-G4406)&lt;&gt;K4406,"Mismatch","OK")</f>
        <v>OK</v>
      </c>
      <c r="X4406" s="7" t="str">
        <f aca="false">IF(TEXT(H4406,"dddd")&lt;&gt;I4406,"Mismatch","OK")</f>
        <v>OK</v>
      </c>
      <c r="Y4406" s="7" t="str">
        <f aca="false">IF(AND(N4406="No",O4406&lt;&gt;""),"Unexpected: channel present but no reminder sent",IF(AND(N4406="Yes",O4406=""),"Missing channel for sent reminder","OK"))</f>
        <v>OK</v>
      </c>
    </row>
    <row r="4407" customFormat="false" ht="15" hidden="false" customHeight="false" outlineLevel="0" collapsed="false">
      <c r="A4407" s="9" t="s">
        <v>6122</v>
      </c>
      <c r="B4407" s="9" t="s">
        <v>338</v>
      </c>
      <c r="C4407" s="9" t="s">
        <v>37</v>
      </c>
      <c r="D4407" s="9" t="n">
        <v>18</v>
      </c>
      <c r="E4407" s="9" t="s">
        <v>82</v>
      </c>
      <c r="F4407" s="9" t="s">
        <v>49</v>
      </c>
      <c r="G4407" s="10" t="n">
        <v>46126</v>
      </c>
      <c r="H4407" s="10" t="n">
        <v>46146</v>
      </c>
      <c r="I4407" s="9" t="s">
        <v>66</v>
      </c>
      <c r="J4407" s="9" t="s">
        <v>51</v>
      </c>
      <c r="K4407" s="9" t="n">
        <v>20</v>
      </c>
      <c r="L4407" s="9" t="n">
        <v>3</v>
      </c>
      <c r="M4407" s="9" t="n">
        <v>1</v>
      </c>
      <c r="N4407" s="9" t="s">
        <v>71</v>
      </c>
      <c r="O4407" s="9"/>
      <c r="P4407" s="9" t="n">
        <v>7.9</v>
      </c>
      <c r="Q4407" s="9" t="n">
        <v>14</v>
      </c>
      <c r="R4407" s="9" t="s">
        <v>44</v>
      </c>
      <c r="S4407" s="9"/>
      <c r="T4407" s="9"/>
      <c r="U4407" s="9" t="str">
        <f aca="false">IF(COUNTIF($A$2:$A$5001,A4407)&gt;1,"Duplicate","Unique")</f>
        <v>Unique</v>
      </c>
      <c r="V4407" s="9" t="str">
        <f aca="false">IF(COUNTIFS($B$2:$B$5001,B4407,$H$2:$H$5001,H4407,$J$2:$J$5001,J4407)&gt;1,"Possible Duplicate Booking","Unique")</f>
        <v>Unique</v>
      </c>
      <c r="W4407" s="9" t="str">
        <f aca="false">IF((H4407-G4407)&lt;&gt;K4407,"Mismatch","OK")</f>
        <v>OK</v>
      </c>
      <c r="X4407" s="9" t="str">
        <f aca="false">IF(TEXT(H4407,"dddd")&lt;&gt;I4407,"Mismatch","OK")</f>
        <v>OK</v>
      </c>
      <c r="Y4407" s="9" t="str">
        <f aca="false">IF(AND(N4407="No",O4407&lt;&gt;""),"Unexpected: channel present but no reminder sent",IF(AND(N4407="Yes",O4407=""),"Missing channel for sent reminder","OK"))</f>
        <v>OK</v>
      </c>
    </row>
    <row r="4408" customFormat="false" ht="15" hidden="false" customHeight="false" outlineLevel="0" collapsed="false">
      <c r="A4408" s="7" t="s">
        <v>6123</v>
      </c>
      <c r="B4408" s="7" t="s">
        <v>1540</v>
      </c>
      <c r="C4408" s="7" t="s">
        <v>37</v>
      </c>
      <c r="D4408" s="7" t="n">
        <v>51</v>
      </c>
      <c r="E4408" s="7" t="s">
        <v>56</v>
      </c>
      <c r="F4408" s="7" t="s">
        <v>39</v>
      </c>
      <c r="G4408" s="8" t="n">
        <v>45746</v>
      </c>
      <c r="H4408" s="8" t="n">
        <v>45799</v>
      </c>
      <c r="I4408" s="7" t="s">
        <v>62</v>
      </c>
      <c r="J4408" s="7" t="s">
        <v>51</v>
      </c>
      <c r="K4408" s="7" t="n">
        <v>53</v>
      </c>
      <c r="L4408" s="7" t="n">
        <v>1</v>
      </c>
      <c r="M4408" s="7" t="n">
        <v>0</v>
      </c>
      <c r="N4408" s="7" t="s">
        <v>42</v>
      </c>
      <c r="O4408" s="7" t="s">
        <v>52</v>
      </c>
      <c r="P4408" s="7" t="n">
        <v>2.6</v>
      </c>
      <c r="Q4408" s="7" t="n">
        <v>17</v>
      </c>
      <c r="R4408" s="7" t="s">
        <v>87</v>
      </c>
      <c r="S4408" s="7"/>
      <c r="T4408" s="7"/>
      <c r="U4408" s="7" t="str">
        <f aca="false">IF(COUNTIF($A$2:$A$5001,A4408)&gt;1,"Duplicate","Unique")</f>
        <v>Unique</v>
      </c>
      <c r="V4408" s="7" t="str">
        <f aca="false">IF(COUNTIFS($B$2:$B$5001,B4408,$H$2:$H$5001,H4408,$J$2:$J$5001,J4408)&gt;1,"Possible Duplicate Booking","Unique")</f>
        <v>Unique</v>
      </c>
      <c r="W4408" s="7" t="str">
        <f aca="false">IF((H4408-G4408)&lt;&gt;K4408,"Mismatch","OK")</f>
        <v>OK</v>
      </c>
      <c r="X4408" s="7" t="str">
        <f aca="false">IF(TEXT(H4408,"dddd")&lt;&gt;I4408,"Mismatch","OK")</f>
        <v>OK</v>
      </c>
      <c r="Y4408" s="7" t="str">
        <f aca="false">IF(AND(N4408="No",O4408&lt;&gt;""),"Unexpected: channel present but no reminder sent",IF(AND(N4408="Yes",O4408=""),"Missing channel for sent reminder","OK"))</f>
        <v>OK</v>
      </c>
    </row>
    <row r="4409" customFormat="false" ht="15" hidden="false" customHeight="false" outlineLevel="0" collapsed="false">
      <c r="A4409" s="9" t="s">
        <v>6124</v>
      </c>
      <c r="B4409" s="9" t="s">
        <v>1198</v>
      </c>
      <c r="C4409" s="9" t="s">
        <v>37</v>
      </c>
      <c r="D4409" s="9" t="n">
        <v>79</v>
      </c>
      <c r="E4409" s="9" t="s">
        <v>70</v>
      </c>
      <c r="F4409" s="9" t="s">
        <v>49</v>
      </c>
      <c r="G4409" s="10" t="n">
        <v>45737</v>
      </c>
      <c r="H4409" s="10" t="n">
        <v>45759</v>
      </c>
      <c r="I4409" s="9" t="s">
        <v>102</v>
      </c>
      <c r="J4409" s="9" t="s">
        <v>63</v>
      </c>
      <c r="K4409" s="9" t="n">
        <v>22</v>
      </c>
      <c r="L4409" s="9" t="n">
        <v>3</v>
      </c>
      <c r="M4409" s="9" t="n">
        <v>1</v>
      </c>
      <c r="N4409" s="9" t="s">
        <v>71</v>
      </c>
      <c r="O4409" s="9"/>
      <c r="P4409" s="9" t="n">
        <v>8.9</v>
      </c>
      <c r="Q4409" s="9" t="n">
        <v>18</v>
      </c>
      <c r="R4409" s="9" t="s">
        <v>44</v>
      </c>
      <c r="S4409" s="9"/>
      <c r="T4409" s="9"/>
      <c r="U4409" s="9" t="str">
        <f aca="false">IF(COUNTIF($A$2:$A$5001,A4409)&gt;1,"Duplicate","Unique")</f>
        <v>Unique</v>
      </c>
      <c r="V4409" s="9" t="str">
        <f aca="false">IF(COUNTIFS($B$2:$B$5001,B4409,$H$2:$H$5001,H4409,$J$2:$J$5001,J4409)&gt;1,"Possible Duplicate Booking","Unique")</f>
        <v>Unique</v>
      </c>
      <c r="W4409" s="9" t="str">
        <f aca="false">IF((H4409-G4409)&lt;&gt;K4409,"Mismatch","OK")</f>
        <v>OK</v>
      </c>
      <c r="X4409" s="9" t="str">
        <f aca="false">IF(TEXT(H4409,"dddd")&lt;&gt;I4409,"Mismatch","OK")</f>
        <v>OK</v>
      </c>
      <c r="Y4409" s="9" t="str">
        <f aca="false">IF(AND(N4409="No",O4409&lt;&gt;""),"Unexpected: channel present but no reminder sent",IF(AND(N4409="Yes",O4409=""),"Missing channel for sent reminder","OK"))</f>
        <v>OK</v>
      </c>
    </row>
    <row r="4410" customFormat="false" ht="15" hidden="false" customHeight="false" outlineLevel="0" collapsed="false">
      <c r="A4410" s="7" t="s">
        <v>6125</v>
      </c>
      <c r="B4410" s="7" t="s">
        <v>4637</v>
      </c>
      <c r="C4410" s="7" t="s">
        <v>47</v>
      </c>
      <c r="D4410" s="7" t="n">
        <v>73</v>
      </c>
      <c r="E4410" s="7" t="s">
        <v>70</v>
      </c>
      <c r="F4410" s="7" t="s">
        <v>57</v>
      </c>
      <c r="G4410" s="8" t="n">
        <v>45785</v>
      </c>
      <c r="H4410" s="8" t="n">
        <v>45800</v>
      </c>
      <c r="I4410" s="7" t="s">
        <v>50</v>
      </c>
      <c r="J4410" s="7" t="s">
        <v>41</v>
      </c>
      <c r="K4410" s="7" t="n">
        <v>15</v>
      </c>
      <c r="L4410" s="7" t="n">
        <v>2</v>
      </c>
      <c r="M4410" s="7" t="n">
        <v>0</v>
      </c>
      <c r="N4410" s="7" t="s">
        <v>71</v>
      </c>
      <c r="O4410" s="7"/>
      <c r="P4410" s="7" t="n">
        <v>8.1</v>
      </c>
      <c r="Q4410" s="7" t="n">
        <v>20</v>
      </c>
      <c r="R4410" s="7" t="s">
        <v>53</v>
      </c>
      <c r="S4410" s="7"/>
      <c r="T4410" s="7"/>
      <c r="U4410" s="7" t="str">
        <f aca="false">IF(COUNTIF($A$2:$A$5001,A4410)&gt;1,"Duplicate","Unique")</f>
        <v>Unique</v>
      </c>
      <c r="V4410" s="7" t="str">
        <f aca="false">IF(COUNTIFS($B$2:$B$5001,B4410,$H$2:$H$5001,H4410,$J$2:$J$5001,J4410)&gt;1,"Possible Duplicate Booking","Unique")</f>
        <v>Unique</v>
      </c>
      <c r="W4410" s="7" t="str">
        <f aca="false">IF((H4410-G4410)&lt;&gt;K4410,"Mismatch","OK")</f>
        <v>OK</v>
      </c>
      <c r="X4410" s="7" t="str">
        <f aca="false">IF(TEXT(H4410,"dddd")&lt;&gt;I4410,"Mismatch","OK")</f>
        <v>OK</v>
      </c>
      <c r="Y4410" s="7" t="str">
        <f aca="false">IF(AND(N4410="No",O4410&lt;&gt;""),"Unexpected: channel present but no reminder sent",IF(AND(N4410="Yes",O4410=""),"Missing channel for sent reminder","OK"))</f>
        <v>OK</v>
      </c>
    </row>
    <row r="4411" customFormat="false" ht="15" hidden="false" customHeight="false" outlineLevel="0" collapsed="false">
      <c r="A4411" s="9" t="s">
        <v>6126</v>
      </c>
      <c r="B4411" s="9" t="s">
        <v>954</v>
      </c>
      <c r="C4411" s="9" t="s">
        <v>37</v>
      </c>
      <c r="D4411" s="9" t="n">
        <v>56</v>
      </c>
      <c r="E4411" s="9" t="s">
        <v>61</v>
      </c>
      <c r="F4411" s="9" t="s">
        <v>39</v>
      </c>
      <c r="G4411" s="10" t="n">
        <v>45826</v>
      </c>
      <c r="H4411" s="10" t="n">
        <v>45834</v>
      </c>
      <c r="I4411" s="9" t="s">
        <v>62</v>
      </c>
      <c r="J4411" s="9" t="s">
        <v>41</v>
      </c>
      <c r="K4411" s="9" t="n">
        <v>8</v>
      </c>
      <c r="L4411" s="9" t="n">
        <v>7</v>
      </c>
      <c r="M4411" s="9" t="n">
        <v>0</v>
      </c>
      <c r="N4411" s="9" t="s">
        <v>42</v>
      </c>
      <c r="O4411" s="9" t="s">
        <v>52</v>
      </c>
      <c r="P4411" s="9" t="n">
        <v>13.5</v>
      </c>
      <c r="Q4411" s="9" t="n">
        <v>11</v>
      </c>
      <c r="R4411" s="9" t="s">
        <v>53</v>
      </c>
      <c r="S4411" s="9"/>
      <c r="T4411" s="9"/>
      <c r="U4411" s="9" t="str">
        <f aca="false">IF(COUNTIF($A$2:$A$5001,A4411)&gt;1,"Duplicate","Unique")</f>
        <v>Unique</v>
      </c>
      <c r="V4411" s="9" t="str">
        <f aca="false">IF(COUNTIFS($B$2:$B$5001,B4411,$H$2:$H$5001,H4411,$J$2:$J$5001,J4411)&gt;1,"Possible Duplicate Booking","Unique")</f>
        <v>Unique</v>
      </c>
      <c r="W4411" s="9" t="str">
        <f aca="false">IF((H4411-G4411)&lt;&gt;K4411,"Mismatch","OK")</f>
        <v>OK</v>
      </c>
      <c r="X4411" s="9" t="str">
        <f aca="false">IF(TEXT(H4411,"dddd")&lt;&gt;I4411,"Mismatch","OK")</f>
        <v>OK</v>
      </c>
      <c r="Y4411" s="9" t="str">
        <f aca="false">IF(AND(N4411="No",O4411&lt;&gt;""),"Unexpected: channel present but no reminder sent",IF(AND(N4411="Yes",O4411=""),"Missing channel for sent reminder","OK"))</f>
        <v>OK</v>
      </c>
    </row>
    <row r="4412" customFormat="false" ht="15" hidden="false" customHeight="false" outlineLevel="0" collapsed="false">
      <c r="A4412" s="7" t="s">
        <v>6127</v>
      </c>
      <c r="B4412" s="7" t="s">
        <v>677</v>
      </c>
      <c r="C4412" s="7" t="s">
        <v>47</v>
      </c>
      <c r="D4412" s="7" t="n">
        <v>80</v>
      </c>
      <c r="E4412" s="7" t="s">
        <v>70</v>
      </c>
      <c r="F4412" s="7" t="s">
        <v>74</v>
      </c>
      <c r="G4412" s="8" t="n">
        <v>45672</v>
      </c>
      <c r="H4412" s="8" t="n">
        <v>45723</v>
      </c>
      <c r="I4412" s="7" t="s">
        <v>50</v>
      </c>
      <c r="J4412" s="7" t="s">
        <v>41</v>
      </c>
      <c r="K4412" s="7" t="n">
        <v>51</v>
      </c>
      <c r="L4412" s="7" t="n">
        <v>3</v>
      </c>
      <c r="M4412" s="7" t="n">
        <v>1</v>
      </c>
      <c r="N4412" s="7" t="s">
        <v>71</v>
      </c>
      <c r="O4412" s="7"/>
      <c r="P4412" s="7" t="n">
        <v>2.5</v>
      </c>
      <c r="Q4412" s="7" t="n">
        <v>14</v>
      </c>
      <c r="R4412" s="7" t="s">
        <v>87</v>
      </c>
      <c r="S4412" s="7"/>
      <c r="T4412" s="7"/>
      <c r="U4412" s="7" t="str">
        <f aca="false">IF(COUNTIF($A$2:$A$5001,A4412)&gt;1,"Duplicate","Unique")</f>
        <v>Unique</v>
      </c>
      <c r="V4412" s="7" t="str">
        <f aca="false">IF(COUNTIFS($B$2:$B$5001,B4412,$H$2:$H$5001,H4412,$J$2:$J$5001,J4412)&gt;1,"Possible Duplicate Booking","Unique")</f>
        <v>Unique</v>
      </c>
      <c r="W4412" s="7" t="str">
        <f aca="false">IF((H4412-G4412)&lt;&gt;K4412,"Mismatch","OK")</f>
        <v>OK</v>
      </c>
      <c r="X4412" s="7" t="str">
        <f aca="false">IF(TEXT(H4412,"dddd")&lt;&gt;I4412,"Mismatch","OK")</f>
        <v>OK</v>
      </c>
      <c r="Y4412" s="7" t="str">
        <f aca="false">IF(AND(N4412="No",O4412&lt;&gt;""),"Unexpected: channel present but no reminder sent",IF(AND(N4412="Yes",O4412=""),"Missing channel for sent reminder","OK"))</f>
        <v>OK</v>
      </c>
    </row>
    <row r="4413" customFormat="false" ht="15" hidden="false" customHeight="false" outlineLevel="0" collapsed="false">
      <c r="A4413" s="9" t="s">
        <v>6128</v>
      </c>
      <c r="B4413" s="9" t="s">
        <v>1129</v>
      </c>
      <c r="C4413" s="9" t="s">
        <v>47</v>
      </c>
      <c r="D4413" s="9" t="n">
        <v>43</v>
      </c>
      <c r="E4413" s="9" t="s">
        <v>38</v>
      </c>
      <c r="F4413" s="9" t="s">
        <v>49</v>
      </c>
      <c r="G4413" s="10" t="n">
        <v>45960</v>
      </c>
      <c r="H4413" s="10" t="n">
        <v>45978</v>
      </c>
      <c r="I4413" s="9" t="s">
        <v>66</v>
      </c>
      <c r="J4413" s="9" t="s">
        <v>51</v>
      </c>
      <c r="K4413" s="9" t="n">
        <v>18</v>
      </c>
      <c r="L4413" s="9" t="n">
        <v>1</v>
      </c>
      <c r="M4413" s="9" t="n">
        <v>1</v>
      </c>
      <c r="N4413" s="9" t="s">
        <v>42</v>
      </c>
      <c r="O4413" s="9" t="s">
        <v>52</v>
      </c>
      <c r="P4413" s="9" t="n">
        <v>1</v>
      </c>
      <c r="Q4413" s="9" t="n">
        <v>5</v>
      </c>
      <c r="R4413" s="9" t="s">
        <v>44</v>
      </c>
      <c r="S4413" s="9"/>
      <c r="T4413" s="9"/>
      <c r="U4413" s="9" t="str">
        <f aca="false">IF(COUNTIF($A$2:$A$5001,A4413)&gt;1,"Duplicate","Unique")</f>
        <v>Unique</v>
      </c>
      <c r="V4413" s="9" t="str">
        <f aca="false">IF(COUNTIFS($B$2:$B$5001,B4413,$H$2:$H$5001,H4413,$J$2:$J$5001,J4413)&gt;1,"Possible Duplicate Booking","Unique")</f>
        <v>Unique</v>
      </c>
      <c r="W4413" s="9" t="str">
        <f aca="false">IF((H4413-G4413)&lt;&gt;K4413,"Mismatch","OK")</f>
        <v>OK</v>
      </c>
      <c r="X4413" s="9" t="str">
        <f aca="false">IF(TEXT(H4413,"dddd")&lt;&gt;I4413,"Mismatch","OK")</f>
        <v>OK</v>
      </c>
      <c r="Y4413" s="9" t="str">
        <f aca="false">IF(AND(N4413="No",O4413&lt;&gt;""),"Unexpected: channel present but no reminder sent",IF(AND(N4413="Yes",O4413=""),"Missing channel for sent reminder","OK"))</f>
        <v>OK</v>
      </c>
    </row>
    <row r="4414" customFormat="false" ht="15" hidden="false" customHeight="false" outlineLevel="0" collapsed="false">
      <c r="A4414" s="7" t="s">
        <v>6129</v>
      </c>
      <c r="B4414" s="7" t="s">
        <v>1169</v>
      </c>
      <c r="C4414" s="7" t="s">
        <v>37</v>
      </c>
      <c r="D4414" s="7" t="n">
        <v>56</v>
      </c>
      <c r="E4414" s="7" t="s">
        <v>61</v>
      </c>
      <c r="F4414" s="7" t="s">
        <v>74</v>
      </c>
      <c r="G4414" s="8" t="n">
        <v>45791</v>
      </c>
      <c r="H4414" s="8" t="n">
        <v>45840</v>
      </c>
      <c r="I4414" s="7" t="s">
        <v>58</v>
      </c>
      <c r="J4414" s="7" t="s">
        <v>51</v>
      </c>
      <c r="K4414" s="7" t="n">
        <v>49</v>
      </c>
      <c r="L4414" s="7" t="n">
        <v>3</v>
      </c>
      <c r="M4414" s="7" t="n">
        <v>0</v>
      </c>
      <c r="N4414" s="7" t="s">
        <v>71</v>
      </c>
      <c r="O4414" s="7"/>
      <c r="P4414" s="7" t="n">
        <v>20.1</v>
      </c>
      <c r="Q4414" s="7" t="n">
        <v>2</v>
      </c>
      <c r="R4414" s="7" t="s">
        <v>44</v>
      </c>
      <c r="S4414" s="7"/>
      <c r="T4414" s="7"/>
      <c r="U4414" s="7" t="str">
        <f aca="false">IF(COUNTIF($A$2:$A$5001,A4414)&gt;1,"Duplicate","Unique")</f>
        <v>Unique</v>
      </c>
      <c r="V4414" s="7" t="str">
        <f aca="false">IF(COUNTIFS($B$2:$B$5001,B4414,$H$2:$H$5001,H4414,$J$2:$J$5001,J4414)&gt;1,"Possible Duplicate Booking","Unique")</f>
        <v>Unique</v>
      </c>
      <c r="W4414" s="7" t="str">
        <f aca="false">IF((H4414-G4414)&lt;&gt;K4414,"Mismatch","OK")</f>
        <v>OK</v>
      </c>
      <c r="X4414" s="7" t="str">
        <f aca="false">IF(TEXT(H4414,"dddd")&lt;&gt;I4414,"Mismatch","OK")</f>
        <v>OK</v>
      </c>
      <c r="Y4414" s="7" t="str">
        <f aca="false">IF(AND(N4414="No",O4414&lt;&gt;""),"Unexpected: channel present but no reminder sent",IF(AND(N4414="Yes",O4414=""),"Missing channel for sent reminder","OK"))</f>
        <v>OK</v>
      </c>
    </row>
    <row r="4415" customFormat="false" ht="15" hidden="false" customHeight="false" outlineLevel="0" collapsed="false">
      <c r="A4415" s="9" t="s">
        <v>6130</v>
      </c>
      <c r="B4415" s="9" t="s">
        <v>687</v>
      </c>
      <c r="C4415" s="9" t="s">
        <v>47</v>
      </c>
      <c r="D4415" s="9" t="n">
        <v>52</v>
      </c>
      <c r="E4415" s="9" t="s">
        <v>56</v>
      </c>
      <c r="F4415" s="9" t="s">
        <v>57</v>
      </c>
      <c r="G4415" s="10" t="n">
        <v>46045</v>
      </c>
      <c r="H4415" s="10" t="n">
        <v>46050</v>
      </c>
      <c r="I4415" s="9" t="s">
        <v>58</v>
      </c>
      <c r="J4415" s="9" t="s">
        <v>41</v>
      </c>
      <c r="K4415" s="9" t="n">
        <v>5</v>
      </c>
      <c r="L4415" s="9" t="n">
        <v>5</v>
      </c>
      <c r="M4415" s="9" t="n">
        <v>1</v>
      </c>
      <c r="N4415" s="9" t="s">
        <v>71</v>
      </c>
      <c r="O4415" s="9"/>
      <c r="P4415" s="9"/>
      <c r="Q4415" s="9" t="n">
        <v>7</v>
      </c>
      <c r="R4415" s="9" t="s">
        <v>44</v>
      </c>
      <c r="S4415" s="9"/>
      <c r="T4415" s="9"/>
      <c r="U4415" s="9" t="str">
        <f aca="false">IF(COUNTIF($A$2:$A$5001,A4415)&gt;1,"Duplicate","Unique")</f>
        <v>Unique</v>
      </c>
      <c r="V4415" s="9" t="str">
        <f aca="false">IF(COUNTIFS($B$2:$B$5001,B4415,$H$2:$H$5001,H4415,$J$2:$J$5001,J4415)&gt;1,"Possible Duplicate Booking","Unique")</f>
        <v>Unique</v>
      </c>
      <c r="W4415" s="9" t="str">
        <f aca="false">IF((H4415-G4415)&lt;&gt;K4415,"Mismatch","OK")</f>
        <v>OK</v>
      </c>
      <c r="X4415" s="9" t="str">
        <f aca="false">IF(TEXT(H4415,"dddd")&lt;&gt;I4415,"Mismatch","OK")</f>
        <v>OK</v>
      </c>
      <c r="Y4415" s="9" t="str">
        <f aca="false">IF(AND(N4415="No",O4415&lt;&gt;""),"Unexpected: channel present but no reminder sent",IF(AND(N4415="Yes",O4415=""),"Missing channel for sent reminder","OK"))</f>
        <v>OK</v>
      </c>
    </row>
    <row r="4416" customFormat="false" ht="15" hidden="false" customHeight="false" outlineLevel="0" collapsed="false">
      <c r="A4416" s="7" t="s">
        <v>6131</v>
      </c>
      <c r="B4416" s="7" t="s">
        <v>3505</v>
      </c>
      <c r="C4416" s="7" t="s">
        <v>37</v>
      </c>
      <c r="D4416" s="7" t="n">
        <v>20</v>
      </c>
      <c r="E4416" s="7" t="s">
        <v>82</v>
      </c>
      <c r="F4416" s="7" t="s">
        <v>74</v>
      </c>
      <c r="G4416" s="8" t="n">
        <v>45896</v>
      </c>
      <c r="H4416" s="8" t="n">
        <v>45926</v>
      </c>
      <c r="I4416" s="7" t="s">
        <v>50</v>
      </c>
      <c r="J4416" s="7" t="s">
        <v>41</v>
      </c>
      <c r="K4416" s="7" t="n">
        <v>30</v>
      </c>
      <c r="L4416" s="7" t="n">
        <v>2</v>
      </c>
      <c r="M4416" s="7" t="n">
        <v>0</v>
      </c>
      <c r="N4416" s="7" t="s">
        <v>42</v>
      </c>
      <c r="O4416" s="7" t="s">
        <v>52</v>
      </c>
      <c r="P4416" s="7" t="n">
        <v>5.2</v>
      </c>
      <c r="Q4416" s="7" t="n">
        <v>17</v>
      </c>
      <c r="R4416" s="7" t="s">
        <v>53</v>
      </c>
      <c r="S4416" s="7"/>
      <c r="T4416" s="7"/>
      <c r="U4416" s="7" t="str">
        <f aca="false">IF(COUNTIF($A$2:$A$5001,A4416)&gt;1,"Duplicate","Unique")</f>
        <v>Unique</v>
      </c>
      <c r="V4416" s="7" t="str">
        <f aca="false">IF(COUNTIFS($B$2:$B$5001,B4416,$H$2:$H$5001,H4416,$J$2:$J$5001,J4416)&gt;1,"Possible Duplicate Booking","Unique")</f>
        <v>Unique</v>
      </c>
      <c r="W4416" s="7" t="str">
        <f aca="false">IF((H4416-G4416)&lt;&gt;K4416,"Mismatch","OK")</f>
        <v>OK</v>
      </c>
      <c r="X4416" s="7" t="str">
        <f aca="false">IF(TEXT(H4416,"dddd")&lt;&gt;I4416,"Mismatch","OK")</f>
        <v>OK</v>
      </c>
      <c r="Y4416" s="7" t="str">
        <f aca="false">IF(AND(N4416="No",O4416&lt;&gt;""),"Unexpected: channel present but no reminder sent",IF(AND(N4416="Yes",O4416=""),"Missing channel for sent reminder","OK"))</f>
        <v>OK</v>
      </c>
    </row>
    <row r="4417" customFormat="false" ht="15" hidden="false" customHeight="false" outlineLevel="0" collapsed="false">
      <c r="A4417" s="9" t="s">
        <v>6132</v>
      </c>
      <c r="B4417" s="9" t="s">
        <v>558</v>
      </c>
      <c r="C4417" s="9" t="s">
        <v>37</v>
      </c>
      <c r="D4417" s="9" t="n">
        <v>20</v>
      </c>
      <c r="E4417" s="9" t="s">
        <v>82</v>
      </c>
      <c r="F4417" s="9" t="s">
        <v>49</v>
      </c>
      <c r="G4417" s="10" t="n">
        <v>45873</v>
      </c>
      <c r="H4417" s="10" t="n">
        <v>45899</v>
      </c>
      <c r="I4417" s="9" t="s">
        <v>102</v>
      </c>
      <c r="J4417" s="9" t="s">
        <v>51</v>
      </c>
      <c r="K4417" s="9" t="n">
        <v>26</v>
      </c>
      <c r="L4417" s="9" t="n">
        <v>2</v>
      </c>
      <c r="M4417" s="9" t="n">
        <v>0</v>
      </c>
      <c r="N4417" s="9" t="s">
        <v>42</v>
      </c>
      <c r="O4417" s="9" t="s">
        <v>52</v>
      </c>
      <c r="P4417" s="9" t="n">
        <v>19.1</v>
      </c>
      <c r="Q4417" s="9" t="n">
        <v>21</v>
      </c>
      <c r="R4417" s="9" t="s">
        <v>44</v>
      </c>
      <c r="S4417" s="9"/>
      <c r="T4417" s="9"/>
      <c r="U4417" s="9" t="str">
        <f aca="false">IF(COUNTIF($A$2:$A$5001,A4417)&gt;1,"Duplicate","Unique")</f>
        <v>Unique</v>
      </c>
      <c r="V4417" s="9" t="str">
        <f aca="false">IF(COUNTIFS($B$2:$B$5001,B4417,$H$2:$H$5001,H4417,$J$2:$J$5001,J4417)&gt;1,"Possible Duplicate Booking","Unique")</f>
        <v>Unique</v>
      </c>
      <c r="W4417" s="9" t="str">
        <f aca="false">IF((H4417-G4417)&lt;&gt;K4417,"Mismatch","OK")</f>
        <v>OK</v>
      </c>
      <c r="X4417" s="9" t="str">
        <f aca="false">IF(TEXT(H4417,"dddd")&lt;&gt;I4417,"Mismatch","OK")</f>
        <v>OK</v>
      </c>
      <c r="Y4417" s="9" t="str">
        <f aca="false">IF(AND(N4417="No",O4417&lt;&gt;""),"Unexpected: channel present but no reminder sent",IF(AND(N4417="Yes",O4417=""),"Missing channel for sent reminder","OK"))</f>
        <v>OK</v>
      </c>
    </row>
    <row r="4418" customFormat="false" ht="15" hidden="false" customHeight="false" outlineLevel="0" collapsed="false">
      <c r="A4418" s="7" t="s">
        <v>6133</v>
      </c>
      <c r="B4418" s="7" t="s">
        <v>3716</v>
      </c>
      <c r="C4418" s="7" t="s">
        <v>37</v>
      </c>
      <c r="D4418" s="7" t="n">
        <v>74</v>
      </c>
      <c r="E4418" s="7" t="s">
        <v>70</v>
      </c>
      <c r="F4418" s="7" t="s">
        <v>49</v>
      </c>
      <c r="G4418" s="8" t="n">
        <v>45889</v>
      </c>
      <c r="H4418" s="8" t="n">
        <v>45915</v>
      </c>
      <c r="I4418" s="7" t="s">
        <v>66</v>
      </c>
      <c r="J4418" s="7" t="s">
        <v>51</v>
      </c>
      <c r="K4418" s="7" t="n">
        <v>26</v>
      </c>
      <c r="L4418" s="7" t="n">
        <v>4</v>
      </c>
      <c r="M4418" s="7" t="n">
        <v>1</v>
      </c>
      <c r="N4418" s="7" t="s">
        <v>42</v>
      </c>
      <c r="O4418" s="7" t="s">
        <v>52</v>
      </c>
      <c r="P4418" s="7" t="n">
        <v>29.2</v>
      </c>
      <c r="Q4418" s="7" t="n">
        <v>29</v>
      </c>
      <c r="R4418" s="7" t="s">
        <v>44</v>
      </c>
      <c r="S4418" s="7"/>
      <c r="T4418" s="7"/>
      <c r="U4418" s="7" t="str">
        <f aca="false">IF(COUNTIF($A$2:$A$5001,A4418)&gt;1,"Duplicate","Unique")</f>
        <v>Unique</v>
      </c>
      <c r="V4418" s="7" t="str">
        <f aca="false">IF(COUNTIFS($B$2:$B$5001,B4418,$H$2:$H$5001,H4418,$J$2:$J$5001,J4418)&gt;1,"Possible Duplicate Booking","Unique")</f>
        <v>Unique</v>
      </c>
      <c r="W4418" s="7" t="str">
        <f aca="false">IF((H4418-G4418)&lt;&gt;K4418,"Mismatch","OK")</f>
        <v>OK</v>
      </c>
      <c r="X4418" s="7" t="str">
        <f aca="false">IF(TEXT(H4418,"dddd")&lt;&gt;I4418,"Mismatch","OK")</f>
        <v>OK</v>
      </c>
      <c r="Y4418" s="7" t="str">
        <f aca="false">IF(AND(N4418="No",O4418&lt;&gt;""),"Unexpected: channel present but no reminder sent",IF(AND(N4418="Yes",O4418=""),"Missing channel for sent reminder","OK"))</f>
        <v>OK</v>
      </c>
    </row>
    <row r="4419" customFormat="false" ht="15" hidden="false" customHeight="false" outlineLevel="0" collapsed="false">
      <c r="A4419" s="9" t="s">
        <v>6134</v>
      </c>
      <c r="B4419" s="9" t="s">
        <v>1225</v>
      </c>
      <c r="C4419" s="9" t="s">
        <v>47</v>
      </c>
      <c r="D4419" s="9" t="n">
        <v>28</v>
      </c>
      <c r="E4419" s="9" t="s">
        <v>48</v>
      </c>
      <c r="F4419" s="9" t="s">
        <v>39</v>
      </c>
      <c r="G4419" s="10" t="n">
        <v>45733</v>
      </c>
      <c r="H4419" s="10" t="n">
        <v>45743</v>
      </c>
      <c r="I4419" s="9" t="s">
        <v>62</v>
      </c>
      <c r="J4419" s="9" t="s">
        <v>51</v>
      </c>
      <c r="K4419" s="9" t="n">
        <v>10</v>
      </c>
      <c r="L4419" s="9" t="n">
        <v>1</v>
      </c>
      <c r="M4419" s="9" t="n">
        <v>0</v>
      </c>
      <c r="N4419" s="9" t="s">
        <v>42</v>
      </c>
      <c r="O4419" s="9" t="s">
        <v>43</v>
      </c>
      <c r="P4419" s="9" t="n">
        <v>11.6</v>
      </c>
      <c r="Q4419" s="9" t="n">
        <v>29</v>
      </c>
      <c r="R4419" s="9" t="s">
        <v>44</v>
      </c>
      <c r="S4419" s="9"/>
      <c r="T4419" s="9"/>
      <c r="U4419" s="9" t="str">
        <f aca="false">IF(COUNTIF($A$2:$A$5001,A4419)&gt;1,"Duplicate","Unique")</f>
        <v>Unique</v>
      </c>
      <c r="V4419" s="9" t="str">
        <f aca="false">IF(COUNTIFS($B$2:$B$5001,B4419,$H$2:$H$5001,H4419,$J$2:$J$5001,J4419)&gt;1,"Possible Duplicate Booking","Unique")</f>
        <v>Unique</v>
      </c>
      <c r="W4419" s="9" t="str">
        <f aca="false">IF((H4419-G4419)&lt;&gt;K4419,"Mismatch","OK")</f>
        <v>OK</v>
      </c>
      <c r="X4419" s="9" t="str">
        <f aca="false">IF(TEXT(H4419,"dddd")&lt;&gt;I4419,"Mismatch","OK")</f>
        <v>OK</v>
      </c>
      <c r="Y4419" s="9" t="str">
        <f aca="false">IF(AND(N4419="No",O4419&lt;&gt;""),"Unexpected: channel present but no reminder sent",IF(AND(N4419="Yes",O4419=""),"Missing channel for sent reminder","OK"))</f>
        <v>OK</v>
      </c>
    </row>
    <row r="4420" customFormat="false" ht="15" hidden="false" customHeight="false" outlineLevel="0" collapsed="false">
      <c r="A4420" s="7" t="s">
        <v>6135</v>
      </c>
      <c r="B4420" s="7" t="s">
        <v>2577</v>
      </c>
      <c r="C4420" s="7" t="s">
        <v>37</v>
      </c>
      <c r="D4420" s="7" t="n">
        <v>40</v>
      </c>
      <c r="E4420" s="7" t="s">
        <v>38</v>
      </c>
      <c r="F4420" s="7" t="s">
        <v>74</v>
      </c>
      <c r="G4420" s="8" t="n">
        <v>46043</v>
      </c>
      <c r="H4420" s="8" t="n">
        <v>46047</v>
      </c>
      <c r="I4420" s="7" t="s">
        <v>75</v>
      </c>
      <c r="J4420" s="7" t="s">
        <v>51</v>
      </c>
      <c r="K4420" s="7" t="n">
        <v>4</v>
      </c>
      <c r="L4420" s="7" t="n">
        <v>1</v>
      </c>
      <c r="M4420" s="7" t="n">
        <v>0</v>
      </c>
      <c r="N4420" s="7" t="s">
        <v>42</v>
      </c>
      <c r="O4420" s="7" t="s">
        <v>52</v>
      </c>
      <c r="P4420" s="7" t="n">
        <v>7.9</v>
      </c>
      <c r="Q4420" s="7" t="n">
        <v>31</v>
      </c>
      <c r="R4420" s="7" t="s">
        <v>53</v>
      </c>
      <c r="S4420" s="7"/>
      <c r="T4420" s="7"/>
      <c r="U4420" s="7" t="str">
        <f aca="false">IF(COUNTIF($A$2:$A$5001,A4420)&gt;1,"Duplicate","Unique")</f>
        <v>Unique</v>
      </c>
      <c r="V4420" s="7" t="str">
        <f aca="false">IF(COUNTIFS($B$2:$B$5001,B4420,$H$2:$H$5001,H4420,$J$2:$J$5001,J4420)&gt;1,"Possible Duplicate Booking","Unique")</f>
        <v>Unique</v>
      </c>
      <c r="W4420" s="7" t="str">
        <f aca="false">IF((H4420-G4420)&lt;&gt;K4420,"Mismatch","OK")</f>
        <v>OK</v>
      </c>
      <c r="X4420" s="7" t="str">
        <f aca="false">IF(TEXT(H4420,"dddd")&lt;&gt;I4420,"Mismatch","OK")</f>
        <v>OK</v>
      </c>
      <c r="Y4420" s="7" t="str">
        <f aca="false">IF(AND(N4420="No",O4420&lt;&gt;""),"Unexpected: channel present but no reminder sent",IF(AND(N4420="Yes",O4420=""),"Missing channel for sent reminder","OK"))</f>
        <v>OK</v>
      </c>
    </row>
    <row r="4421" customFormat="false" ht="15" hidden="false" customHeight="false" outlineLevel="0" collapsed="false">
      <c r="A4421" s="9" t="s">
        <v>6136</v>
      </c>
      <c r="B4421" s="9" t="s">
        <v>2989</v>
      </c>
      <c r="C4421" s="9" t="s">
        <v>47</v>
      </c>
      <c r="D4421" s="9" t="n">
        <v>57</v>
      </c>
      <c r="E4421" s="9" t="s">
        <v>61</v>
      </c>
      <c r="F4421" s="9" t="s">
        <v>39</v>
      </c>
      <c r="G4421" s="10" t="n">
        <v>45693</v>
      </c>
      <c r="H4421" s="10" t="n">
        <v>45714</v>
      </c>
      <c r="I4421" s="9" t="s">
        <v>58</v>
      </c>
      <c r="J4421" s="9" t="s">
        <v>51</v>
      </c>
      <c r="K4421" s="9" t="n">
        <v>21</v>
      </c>
      <c r="L4421" s="9" t="n">
        <v>2</v>
      </c>
      <c r="M4421" s="9" t="n">
        <v>0</v>
      </c>
      <c r="N4421" s="9" t="s">
        <v>42</v>
      </c>
      <c r="O4421" s="9" t="s">
        <v>43</v>
      </c>
      <c r="P4421" s="9" t="n">
        <v>3.1</v>
      </c>
      <c r="Q4421" s="9" t="n">
        <v>21</v>
      </c>
      <c r="R4421" s="9" t="s">
        <v>44</v>
      </c>
      <c r="S4421" s="9"/>
      <c r="T4421" s="9"/>
      <c r="U4421" s="9" t="str">
        <f aca="false">IF(COUNTIF($A$2:$A$5001,A4421)&gt;1,"Duplicate","Unique")</f>
        <v>Unique</v>
      </c>
      <c r="V4421" s="9" t="str">
        <f aca="false">IF(COUNTIFS($B$2:$B$5001,B4421,$H$2:$H$5001,H4421,$J$2:$J$5001,J4421)&gt;1,"Possible Duplicate Booking","Unique")</f>
        <v>Unique</v>
      </c>
      <c r="W4421" s="9" t="str">
        <f aca="false">IF((H4421-G4421)&lt;&gt;K4421,"Mismatch","OK")</f>
        <v>OK</v>
      </c>
      <c r="X4421" s="9" t="str">
        <f aca="false">IF(TEXT(H4421,"dddd")&lt;&gt;I4421,"Mismatch","OK")</f>
        <v>OK</v>
      </c>
      <c r="Y4421" s="9" t="str">
        <f aca="false">IF(AND(N4421="No",O4421&lt;&gt;""),"Unexpected: channel present but no reminder sent",IF(AND(N4421="Yes",O4421=""),"Missing channel for sent reminder","OK"))</f>
        <v>OK</v>
      </c>
    </row>
    <row r="4422" customFormat="false" ht="15" hidden="false" customHeight="false" outlineLevel="0" collapsed="false">
      <c r="A4422" s="7" t="s">
        <v>6137</v>
      </c>
      <c r="B4422" s="7" t="s">
        <v>1688</v>
      </c>
      <c r="C4422" s="7" t="s">
        <v>37</v>
      </c>
      <c r="D4422" s="7" t="n">
        <v>54</v>
      </c>
      <c r="E4422" s="7" t="s">
        <v>56</v>
      </c>
      <c r="F4422" s="7" t="s">
        <v>49</v>
      </c>
      <c r="G4422" s="8" t="n">
        <v>46023</v>
      </c>
      <c r="H4422" s="8" t="n">
        <v>46051</v>
      </c>
      <c r="I4422" s="7" t="s">
        <v>62</v>
      </c>
      <c r="J4422" s="7" t="s">
        <v>51</v>
      </c>
      <c r="K4422" s="7" t="n">
        <v>28</v>
      </c>
      <c r="L4422" s="7" t="n">
        <v>2</v>
      </c>
      <c r="M4422" s="7" t="n">
        <v>1</v>
      </c>
      <c r="N4422" s="7" t="s">
        <v>42</v>
      </c>
      <c r="O4422" s="7" t="s">
        <v>52</v>
      </c>
      <c r="P4422" s="7" t="n">
        <v>6.5</v>
      </c>
      <c r="Q4422" s="7" t="n">
        <v>31</v>
      </c>
      <c r="R4422" s="7" t="s">
        <v>44</v>
      </c>
      <c r="S4422" s="7"/>
      <c r="T4422" s="7"/>
      <c r="U4422" s="7" t="str">
        <f aca="false">IF(COUNTIF($A$2:$A$5001,A4422)&gt;1,"Duplicate","Unique")</f>
        <v>Unique</v>
      </c>
      <c r="V4422" s="7" t="str">
        <f aca="false">IF(COUNTIFS($B$2:$B$5001,B4422,$H$2:$H$5001,H4422,$J$2:$J$5001,J4422)&gt;1,"Possible Duplicate Booking","Unique")</f>
        <v>Unique</v>
      </c>
      <c r="W4422" s="7" t="str">
        <f aca="false">IF((H4422-G4422)&lt;&gt;K4422,"Mismatch","OK")</f>
        <v>OK</v>
      </c>
      <c r="X4422" s="7" t="str">
        <f aca="false">IF(TEXT(H4422,"dddd")&lt;&gt;I4422,"Mismatch","OK")</f>
        <v>OK</v>
      </c>
      <c r="Y4422" s="7" t="str">
        <f aca="false">IF(AND(N4422="No",O4422&lt;&gt;""),"Unexpected: channel present but no reminder sent",IF(AND(N4422="Yes",O4422=""),"Missing channel for sent reminder","OK"))</f>
        <v>OK</v>
      </c>
    </row>
    <row r="4423" customFormat="false" ht="15" hidden="false" customHeight="false" outlineLevel="0" collapsed="false">
      <c r="A4423" s="9" t="s">
        <v>6138</v>
      </c>
      <c r="B4423" s="9" t="s">
        <v>298</v>
      </c>
      <c r="C4423" s="9" t="s">
        <v>37</v>
      </c>
      <c r="D4423" s="9" t="n">
        <v>50</v>
      </c>
      <c r="E4423" s="9" t="s">
        <v>56</v>
      </c>
      <c r="F4423" s="9" t="s">
        <v>39</v>
      </c>
      <c r="G4423" s="10" t="n">
        <v>46155</v>
      </c>
      <c r="H4423" s="10" t="n">
        <v>46203</v>
      </c>
      <c r="I4423" s="9" t="s">
        <v>40</v>
      </c>
      <c r="J4423" s="9" t="s">
        <v>41</v>
      </c>
      <c r="K4423" s="9" t="n">
        <v>48</v>
      </c>
      <c r="L4423" s="9" t="n">
        <v>4</v>
      </c>
      <c r="M4423" s="9" t="n">
        <v>0</v>
      </c>
      <c r="N4423" s="9" t="s">
        <v>42</v>
      </c>
      <c r="O4423" s="9" t="s">
        <v>67</v>
      </c>
      <c r="P4423" s="9" t="n">
        <v>3.1</v>
      </c>
      <c r="Q4423" s="9" t="n">
        <v>2</v>
      </c>
      <c r="R4423" s="9" t="s">
        <v>44</v>
      </c>
      <c r="S4423" s="9"/>
      <c r="T4423" s="9"/>
      <c r="U4423" s="9" t="str">
        <f aca="false">IF(COUNTIF($A$2:$A$5001,A4423)&gt;1,"Duplicate","Unique")</f>
        <v>Unique</v>
      </c>
      <c r="V4423" s="9" t="str">
        <f aca="false">IF(COUNTIFS($B$2:$B$5001,B4423,$H$2:$H$5001,H4423,$J$2:$J$5001,J4423)&gt;1,"Possible Duplicate Booking","Unique")</f>
        <v>Unique</v>
      </c>
      <c r="W4423" s="9" t="str">
        <f aca="false">IF((H4423-G4423)&lt;&gt;K4423,"Mismatch","OK")</f>
        <v>OK</v>
      </c>
      <c r="X4423" s="9" t="str">
        <f aca="false">IF(TEXT(H4423,"dddd")&lt;&gt;I4423,"Mismatch","OK")</f>
        <v>OK</v>
      </c>
      <c r="Y4423" s="9" t="str">
        <f aca="false">IF(AND(N4423="No",O4423&lt;&gt;""),"Unexpected: channel present but no reminder sent",IF(AND(N4423="Yes",O4423=""),"Missing channel for sent reminder","OK"))</f>
        <v>OK</v>
      </c>
    </row>
    <row r="4424" customFormat="false" ht="15" hidden="false" customHeight="false" outlineLevel="0" collapsed="false">
      <c r="A4424" s="7" t="s">
        <v>6139</v>
      </c>
      <c r="B4424" s="7" t="s">
        <v>3568</v>
      </c>
      <c r="C4424" s="7" t="s">
        <v>47</v>
      </c>
      <c r="D4424" s="7" t="n">
        <v>79</v>
      </c>
      <c r="E4424" s="7" t="s">
        <v>70</v>
      </c>
      <c r="F4424" s="7" t="s">
        <v>49</v>
      </c>
      <c r="G4424" s="8" t="n">
        <v>46047</v>
      </c>
      <c r="H4424" s="8" t="n">
        <v>46075</v>
      </c>
      <c r="I4424" s="7" t="s">
        <v>75</v>
      </c>
      <c r="J4424" s="7" t="s">
        <v>41</v>
      </c>
      <c r="K4424" s="7" t="n">
        <v>28</v>
      </c>
      <c r="L4424" s="7" t="n">
        <v>2</v>
      </c>
      <c r="M4424" s="7" t="n">
        <v>1</v>
      </c>
      <c r="N4424" s="7" t="s">
        <v>71</v>
      </c>
      <c r="O4424" s="7"/>
      <c r="P4424" s="7" t="n">
        <v>11.5</v>
      </c>
      <c r="Q4424" s="7" t="n">
        <v>31</v>
      </c>
      <c r="R4424" s="7" t="s">
        <v>53</v>
      </c>
      <c r="S4424" s="7"/>
      <c r="T4424" s="7"/>
      <c r="U4424" s="7" t="str">
        <f aca="false">IF(COUNTIF($A$2:$A$5001,A4424)&gt;1,"Duplicate","Unique")</f>
        <v>Unique</v>
      </c>
      <c r="V4424" s="7" t="str">
        <f aca="false">IF(COUNTIFS($B$2:$B$5001,B4424,$H$2:$H$5001,H4424,$J$2:$J$5001,J4424)&gt;1,"Possible Duplicate Booking","Unique")</f>
        <v>Unique</v>
      </c>
      <c r="W4424" s="7" t="str">
        <f aca="false">IF((H4424-G4424)&lt;&gt;K4424,"Mismatch","OK")</f>
        <v>OK</v>
      </c>
      <c r="X4424" s="7" t="str">
        <f aca="false">IF(TEXT(H4424,"dddd")&lt;&gt;I4424,"Mismatch","OK")</f>
        <v>OK</v>
      </c>
      <c r="Y4424" s="7" t="str">
        <f aca="false">IF(AND(N4424="No",O4424&lt;&gt;""),"Unexpected: channel present but no reminder sent",IF(AND(N4424="Yes",O4424=""),"Missing channel for sent reminder","OK"))</f>
        <v>OK</v>
      </c>
    </row>
    <row r="4425" customFormat="false" ht="15" hidden="false" customHeight="false" outlineLevel="0" collapsed="false">
      <c r="A4425" s="9" t="s">
        <v>6140</v>
      </c>
      <c r="B4425" s="9" t="s">
        <v>613</v>
      </c>
      <c r="C4425" s="9" t="s">
        <v>47</v>
      </c>
      <c r="D4425" s="9" t="n">
        <v>67</v>
      </c>
      <c r="E4425" s="9" t="s">
        <v>70</v>
      </c>
      <c r="F4425" s="9" t="s">
        <v>49</v>
      </c>
      <c r="G4425" s="10" t="n">
        <v>45891</v>
      </c>
      <c r="H4425" s="10" t="n">
        <v>45906</v>
      </c>
      <c r="I4425" s="9" t="s">
        <v>102</v>
      </c>
      <c r="J4425" s="9" t="s">
        <v>41</v>
      </c>
      <c r="K4425" s="9" t="n">
        <v>15</v>
      </c>
      <c r="L4425" s="9" t="n">
        <v>4</v>
      </c>
      <c r="M4425" s="9" t="n">
        <v>0</v>
      </c>
      <c r="N4425" s="9" t="s">
        <v>42</v>
      </c>
      <c r="O4425" s="9" t="s">
        <v>43</v>
      </c>
      <c r="P4425" s="9" t="n">
        <v>34.7</v>
      </c>
      <c r="Q4425" s="9" t="n">
        <v>24</v>
      </c>
      <c r="R4425" s="9" t="s">
        <v>44</v>
      </c>
      <c r="S4425" s="9"/>
      <c r="T4425" s="9"/>
      <c r="U4425" s="9" t="str">
        <f aca="false">IF(COUNTIF($A$2:$A$5001,A4425)&gt;1,"Duplicate","Unique")</f>
        <v>Unique</v>
      </c>
      <c r="V4425" s="9" t="str">
        <f aca="false">IF(COUNTIFS($B$2:$B$5001,B4425,$H$2:$H$5001,H4425,$J$2:$J$5001,J4425)&gt;1,"Possible Duplicate Booking","Unique")</f>
        <v>Unique</v>
      </c>
      <c r="W4425" s="9" t="str">
        <f aca="false">IF((H4425-G4425)&lt;&gt;K4425,"Mismatch","OK")</f>
        <v>OK</v>
      </c>
      <c r="X4425" s="9" t="str">
        <f aca="false">IF(TEXT(H4425,"dddd")&lt;&gt;I4425,"Mismatch","OK")</f>
        <v>OK</v>
      </c>
      <c r="Y4425" s="9" t="str">
        <f aca="false">IF(AND(N4425="No",O4425&lt;&gt;""),"Unexpected: channel present but no reminder sent",IF(AND(N4425="Yes",O4425=""),"Missing channel for sent reminder","OK"))</f>
        <v>OK</v>
      </c>
    </row>
    <row r="4426" customFormat="false" ht="15" hidden="false" customHeight="false" outlineLevel="0" collapsed="false">
      <c r="A4426" s="7" t="s">
        <v>6141</v>
      </c>
      <c r="B4426" s="7" t="s">
        <v>6142</v>
      </c>
      <c r="C4426" s="7" t="s">
        <v>47</v>
      </c>
      <c r="D4426" s="7" t="n">
        <v>77</v>
      </c>
      <c r="E4426" s="7" t="s">
        <v>70</v>
      </c>
      <c r="F4426" s="7" t="s">
        <v>57</v>
      </c>
      <c r="G4426" s="8" t="n">
        <v>45813</v>
      </c>
      <c r="H4426" s="8" t="n">
        <v>45829</v>
      </c>
      <c r="I4426" s="7" t="s">
        <v>102</v>
      </c>
      <c r="J4426" s="7" t="s">
        <v>41</v>
      </c>
      <c r="K4426" s="7" t="n">
        <v>16</v>
      </c>
      <c r="L4426" s="7" t="n">
        <v>3</v>
      </c>
      <c r="M4426" s="7" t="n">
        <v>0</v>
      </c>
      <c r="N4426" s="7" t="s">
        <v>42</v>
      </c>
      <c r="O4426" s="7" t="s">
        <v>67</v>
      </c>
      <c r="P4426" s="7" t="n">
        <v>12.3</v>
      </c>
      <c r="Q4426" s="7" t="n">
        <v>35</v>
      </c>
      <c r="R4426" s="7" t="s">
        <v>44</v>
      </c>
      <c r="S4426" s="7"/>
      <c r="T4426" s="7"/>
      <c r="U4426" s="7" t="str">
        <f aca="false">IF(COUNTIF($A$2:$A$5001,A4426)&gt;1,"Duplicate","Unique")</f>
        <v>Unique</v>
      </c>
      <c r="V4426" s="7" t="str">
        <f aca="false">IF(COUNTIFS($B$2:$B$5001,B4426,$H$2:$H$5001,H4426,$J$2:$J$5001,J4426)&gt;1,"Possible Duplicate Booking","Unique")</f>
        <v>Unique</v>
      </c>
      <c r="W4426" s="7" t="str">
        <f aca="false">IF((H4426-G4426)&lt;&gt;K4426,"Mismatch","OK")</f>
        <v>OK</v>
      </c>
      <c r="X4426" s="7" t="str">
        <f aca="false">IF(TEXT(H4426,"dddd")&lt;&gt;I4426,"Mismatch","OK")</f>
        <v>OK</v>
      </c>
      <c r="Y4426" s="7" t="str">
        <f aca="false">IF(AND(N4426="No",O4426&lt;&gt;""),"Unexpected: channel present but no reminder sent",IF(AND(N4426="Yes",O4426=""),"Missing channel for sent reminder","OK"))</f>
        <v>OK</v>
      </c>
    </row>
    <row r="4427" customFormat="false" ht="15" hidden="false" customHeight="false" outlineLevel="0" collapsed="false">
      <c r="A4427" s="9" t="s">
        <v>6143</v>
      </c>
      <c r="B4427" s="9" t="s">
        <v>1809</v>
      </c>
      <c r="C4427" s="9" t="s">
        <v>37</v>
      </c>
      <c r="D4427" s="9" t="n">
        <v>59</v>
      </c>
      <c r="E4427" s="9" t="s">
        <v>61</v>
      </c>
      <c r="F4427" s="9" t="s">
        <v>57</v>
      </c>
      <c r="G4427" s="10" t="n">
        <v>46097</v>
      </c>
      <c r="H4427" s="10" t="n">
        <v>46134</v>
      </c>
      <c r="I4427" s="9" t="s">
        <v>58</v>
      </c>
      <c r="J4427" s="9" t="s">
        <v>63</v>
      </c>
      <c r="K4427" s="9" t="n">
        <v>37</v>
      </c>
      <c r="L4427" s="9" t="n">
        <v>1</v>
      </c>
      <c r="M4427" s="9" t="n">
        <v>0</v>
      </c>
      <c r="N4427" s="9" t="s">
        <v>71</v>
      </c>
      <c r="O4427" s="9"/>
      <c r="P4427" s="9" t="n">
        <v>19.2</v>
      </c>
      <c r="Q4427" s="9" t="n">
        <v>2</v>
      </c>
      <c r="R4427" s="9" t="s">
        <v>53</v>
      </c>
      <c r="S4427" s="9"/>
      <c r="T4427" s="9"/>
      <c r="U4427" s="9" t="str">
        <f aca="false">IF(COUNTIF($A$2:$A$5001,A4427)&gt;1,"Duplicate","Unique")</f>
        <v>Unique</v>
      </c>
      <c r="V4427" s="9" t="str">
        <f aca="false">IF(COUNTIFS($B$2:$B$5001,B4427,$H$2:$H$5001,H4427,$J$2:$J$5001,J4427)&gt;1,"Possible Duplicate Booking","Unique")</f>
        <v>Unique</v>
      </c>
      <c r="W4427" s="9" t="str">
        <f aca="false">IF((H4427-G4427)&lt;&gt;K4427,"Mismatch","OK")</f>
        <v>OK</v>
      </c>
      <c r="X4427" s="9" t="str">
        <f aca="false">IF(TEXT(H4427,"dddd")&lt;&gt;I4427,"Mismatch","OK")</f>
        <v>OK</v>
      </c>
      <c r="Y4427" s="9" t="str">
        <f aca="false">IF(AND(N4427="No",O4427&lt;&gt;""),"Unexpected: channel present but no reminder sent",IF(AND(N4427="Yes",O4427=""),"Missing channel for sent reminder","OK"))</f>
        <v>OK</v>
      </c>
    </row>
    <row r="4428" customFormat="false" ht="15" hidden="false" customHeight="false" outlineLevel="0" collapsed="false">
      <c r="A4428" s="7" t="s">
        <v>6144</v>
      </c>
      <c r="B4428" s="7" t="s">
        <v>805</v>
      </c>
      <c r="C4428" s="7" t="s">
        <v>37</v>
      </c>
      <c r="D4428" s="7" t="n">
        <v>79</v>
      </c>
      <c r="E4428" s="7" t="s">
        <v>70</v>
      </c>
      <c r="F4428" s="7" t="s">
        <v>57</v>
      </c>
      <c r="G4428" s="8" t="n">
        <v>45772</v>
      </c>
      <c r="H4428" s="8" t="n">
        <v>45798</v>
      </c>
      <c r="I4428" s="7" t="s">
        <v>58</v>
      </c>
      <c r="J4428" s="7" t="s">
        <v>63</v>
      </c>
      <c r="K4428" s="7" t="n">
        <v>26</v>
      </c>
      <c r="L4428" s="7" t="n">
        <v>4</v>
      </c>
      <c r="M4428" s="7" t="n">
        <v>1</v>
      </c>
      <c r="N4428" s="7" t="s">
        <v>71</v>
      </c>
      <c r="O4428" s="7"/>
      <c r="P4428" s="7" t="n">
        <v>7.7</v>
      </c>
      <c r="Q4428" s="7" t="n">
        <v>34</v>
      </c>
      <c r="R4428" s="7" t="s">
        <v>44</v>
      </c>
      <c r="S4428" s="7"/>
      <c r="T4428" s="7"/>
      <c r="U4428" s="7" t="str">
        <f aca="false">IF(COUNTIF($A$2:$A$5001,A4428)&gt;1,"Duplicate","Unique")</f>
        <v>Unique</v>
      </c>
      <c r="V4428" s="7" t="str">
        <f aca="false">IF(COUNTIFS($B$2:$B$5001,B4428,$H$2:$H$5001,H4428,$J$2:$J$5001,J4428)&gt;1,"Possible Duplicate Booking","Unique")</f>
        <v>Unique</v>
      </c>
      <c r="W4428" s="7" t="str">
        <f aca="false">IF((H4428-G4428)&lt;&gt;K4428,"Mismatch","OK")</f>
        <v>OK</v>
      </c>
      <c r="X4428" s="7" t="str">
        <f aca="false">IF(TEXT(H4428,"dddd")&lt;&gt;I4428,"Mismatch","OK")</f>
        <v>OK</v>
      </c>
      <c r="Y4428" s="7" t="str">
        <f aca="false">IF(AND(N4428="No",O4428&lt;&gt;""),"Unexpected: channel present but no reminder sent",IF(AND(N4428="Yes",O4428=""),"Missing channel for sent reminder","OK"))</f>
        <v>OK</v>
      </c>
    </row>
    <row r="4429" customFormat="false" ht="15" hidden="false" customHeight="false" outlineLevel="0" collapsed="false">
      <c r="A4429" s="9" t="s">
        <v>6145</v>
      </c>
      <c r="B4429" s="9" t="s">
        <v>5653</v>
      </c>
      <c r="C4429" s="9" t="s">
        <v>37</v>
      </c>
      <c r="D4429" s="9" t="n">
        <v>55</v>
      </c>
      <c r="E4429" s="9" t="s">
        <v>61</v>
      </c>
      <c r="F4429" s="9" t="s">
        <v>49</v>
      </c>
      <c r="G4429" s="10" t="n">
        <v>45867</v>
      </c>
      <c r="H4429" s="10" t="n">
        <v>45921</v>
      </c>
      <c r="I4429" s="9" t="s">
        <v>75</v>
      </c>
      <c r="J4429" s="9" t="s">
        <v>51</v>
      </c>
      <c r="K4429" s="9" t="n">
        <v>54</v>
      </c>
      <c r="L4429" s="9" t="n">
        <v>7</v>
      </c>
      <c r="M4429" s="9" t="n">
        <v>3</v>
      </c>
      <c r="N4429" s="9" t="s">
        <v>42</v>
      </c>
      <c r="O4429" s="9" t="s">
        <v>67</v>
      </c>
      <c r="P4429" s="9" t="n">
        <v>11.2</v>
      </c>
      <c r="Q4429" s="9" t="n">
        <v>6</v>
      </c>
      <c r="R4429" s="9" t="s">
        <v>44</v>
      </c>
      <c r="S4429" s="9"/>
      <c r="T4429" s="9"/>
      <c r="U4429" s="9" t="str">
        <f aca="false">IF(COUNTIF($A$2:$A$5001,A4429)&gt;1,"Duplicate","Unique")</f>
        <v>Unique</v>
      </c>
      <c r="V4429" s="9" t="str">
        <f aca="false">IF(COUNTIFS($B$2:$B$5001,B4429,$H$2:$H$5001,H4429,$J$2:$J$5001,J4429)&gt;1,"Possible Duplicate Booking","Unique")</f>
        <v>Unique</v>
      </c>
      <c r="W4429" s="9" t="str">
        <f aca="false">IF((H4429-G4429)&lt;&gt;K4429,"Mismatch","OK")</f>
        <v>OK</v>
      </c>
      <c r="X4429" s="9" t="str">
        <f aca="false">IF(TEXT(H4429,"dddd")&lt;&gt;I4429,"Mismatch","OK")</f>
        <v>OK</v>
      </c>
      <c r="Y4429" s="9" t="str">
        <f aca="false">IF(AND(N4429="No",O4429&lt;&gt;""),"Unexpected: channel present but no reminder sent",IF(AND(N4429="Yes",O4429=""),"Missing channel for sent reminder","OK"))</f>
        <v>OK</v>
      </c>
    </row>
    <row r="4430" customFormat="false" ht="15" hidden="false" customHeight="false" outlineLevel="0" collapsed="false">
      <c r="A4430" s="7" t="s">
        <v>6146</v>
      </c>
      <c r="B4430" s="7" t="s">
        <v>354</v>
      </c>
      <c r="C4430" s="7" t="s">
        <v>47</v>
      </c>
      <c r="D4430" s="7" t="n">
        <v>52</v>
      </c>
      <c r="E4430" s="7" t="s">
        <v>56</v>
      </c>
      <c r="F4430" s="7" t="s">
        <v>49</v>
      </c>
      <c r="G4430" s="8" t="n">
        <v>46052</v>
      </c>
      <c r="H4430" s="8" t="n">
        <v>46078</v>
      </c>
      <c r="I4430" s="7" t="s">
        <v>58</v>
      </c>
      <c r="J4430" s="7" t="s">
        <v>51</v>
      </c>
      <c r="K4430" s="7" t="n">
        <v>26</v>
      </c>
      <c r="L4430" s="7" t="n">
        <v>7</v>
      </c>
      <c r="M4430" s="7" t="n">
        <v>1</v>
      </c>
      <c r="N4430" s="7" t="s">
        <v>42</v>
      </c>
      <c r="O4430" s="7" t="s">
        <v>52</v>
      </c>
      <c r="P4430" s="7" t="n">
        <v>7</v>
      </c>
      <c r="Q4430" s="7" t="n">
        <v>36</v>
      </c>
      <c r="R4430" s="7" t="s">
        <v>53</v>
      </c>
      <c r="S4430" s="7"/>
      <c r="T4430" s="7"/>
      <c r="U4430" s="7" t="str">
        <f aca="false">IF(COUNTIF($A$2:$A$5001,A4430)&gt;1,"Duplicate","Unique")</f>
        <v>Unique</v>
      </c>
      <c r="V4430" s="7" t="str">
        <f aca="false">IF(COUNTIFS($B$2:$B$5001,B4430,$H$2:$H$5001,H4430,$J$2:$J$5001,J4430)&gt;1,"Possible Duplicate Booking","Unique")</f>
        <v>Unique</v>
      </c>
      <c r="W4430" s="7" t="str">
        <f aca="false">IF((H4430-G4430)&lt;&gt;K4430,"Mismatch","OK")</f>
        <v>OK</v>
      </c>
      <c r="X4430" s="7" t="str">
        <f aca="false">IF(TEXT(H4430,"dddd")&lt;&gt;I4430,"Mismatch","OK")</f>
        <v>OK</v>
      </c>
      <c r="Y4430" s="7" t="str">
        <f aca="false">IF(AND(N4430="No",O4430&lt;&gt;""),"Unexpected: channel present but no reminder sent",IF(AND(N4430="Yes",O4430=""),"Missing channel for sent reminder","OK"))</f>
        <v>OK</v>
      </c>
    </row>
    <row r="4431" customFormat="false" ht="15" hidden="false" customHeight="false" outlineLevel="0" collapsed="false">
      <c r="A4431" s="9" t="s">
        <v>6147</v>
      </c>
      <c r="B4431" s="9" t="s">
        <v>764</v>
      </c>
      <c r="C4431" s="9" t="s">
        <v>47</v>
      </c>
      <c r="D4431" s="9" t="n">
        <v>69</v>
      </c>
      <c r="E4431" s="9" t="s">
        <v>70</v>
      </c>
      <c r="F4431" s="9" t="s">
        <v>49</v>
      </c>
      <c r="G4431" s="10" t="n">
        <v>46127</v>
      </c>
      <c r="H4431" s="10" t="n">
        <v>46161</v>
      </c>
      <c r="I4431" s="9" t="s">
        <v>40</v>
      </c>
      <c r="J4431" s="9" t="s">
        <v>51</v>
      </c>
      <c r="K4431" s="9" t="n">
        <v>34</v>
      </c>
      <c r="L4431" s="9" t="n">
        <v>1</v>
      </c>
      <c r="M4431" s="9" t="n">
        <v>0</v>
      </c>
      <c r="N4431" s="9" t="s">
        <v>42</v>
      </c>
      <c r="O4431" s="9" t="s">
        <v>43</v>
      </c>
      <c r="P4431" s="9" t="n">
        <v>2.4</v>
      </c>
      <c r="Q4431" s="9"/>
      <c r="R4431" s="9" t="s">
        <v>44</v>
      </c>
      <c r="S4431" s="9"/>
      <c r="T4431" s="9"/>
      <c r="U4431" s="9" t="str">
        <f aca="false">IF(COUNTIF($A$2:$A$5001,A4431)&gt;1,"Duplicate","Unique")</f>
        <v>Unique</v>
      </c>
      <c r="V4431" s="9" t="str">
        <f aca="false">IF(COUNTIFS($B$2:$B$5001,B4431,$H$2:$H$5001,H4431,$J$2:$J$5001,J4431)&gt;1,"Possible Duplicate Booking","Unique")</f>
        <v>Unique</v>
      </c>
      <c r="W4431" s="9" t="str">
        <f aca="false">IF((H4431-G4431)&lt;&gt;K4431,"Mismatch","OK")</f>
        <v>OK</v>
      </c>
      <c r="X4431" s="9" t="str">
        <f aca="false">IF(TEXT(H4431,"dddd")&lt;&gt;I4431,"Mismatch","OK")</f>
        <v>OK</v>
      </c>
      <c r="Y4431" s="9" t="str">
        <f aca="false">IF(AND(N4431="No",O4431&lt;&gt;""),"Unexpected: channel present but no reminder sent",IF(AND(N4431="Yes",O4431=""),"Missing channel for sent reminder","OK"))</f>
        <v>OK</v>
      </c>
    </row>
    <row r="4432" customFormat="false" ht="15" hidden="false" customHeight="false" outlineLevel="0" collapsed="false">
      <c r="A4432" s="7" t="s">
        <v>6148</v>
      </c>
      <c r="B4432" s="7" t="s">
        <v>3553</v>
      </c>
      <c r="C4432" s="7" t="s">
        <v>37</v>
      </c>
      <c r="D4432" s="7" t="n">
        <v>72</v>
      </c>
      <c r="E4432" s="7" t="s">
        <v>70</v>
      </c>
      <c r="F4432" s="7" t="s">
        <v>49</v>
      </c>
      <c r="G4432" s="8" t="n">
        <v>46157</v>
      </c>
      <c r="H4432" s="8" t="n">
        <v>46160</v>
      </c>
      <c r="I4432" s="7" t="s">
        <v>66</v>
      </c>
      <c r="J4432" s="7" t="s">
        <v>63</v>
      </c>
      <c r="K4432" s="7" t="n">
        <v>3</v>
      </c>
      <c r="L4432" s="7" t="n">
        <v>3</v>
      </c>
      <c r="M4432" s="7" t="n">
        <v>1</v>
      </c>
      <c r="N4432" s="7" t="s">
        <v>42</v>
      </c>
      <c r="O4432" s="7" t="s">
        <v>52</v>
      </c>
      <c r="P4432" s="7" t="n">
        <v>1.4</v>
      </c>
      <c r="Q4432" s="7" t="n">
        <v>29</v>
      </c>
      <c r="R4432" s="7" t="s">
        <v>44</v>
      </c>
      <c r="S4432" s="7"/>
      <c r="T4432" s="7"/>
      <c r="U4432" s="7" t="str">
        <f aca="false">IF(COUNTIF($A$2:$A$5001,A4432)&gt;1,"Duplicate","Unique")</f>
        <v>Unique</v>
      </c>
      <c r="V4432" s="7" t="str">
        <f aca="false">IF(COUNTIFS($B$2:$B$5001,B4432,$H$2:$H$5001,H4432,$J$2:$J$5001,J4432)&gt;1,"Possible Duplicate Booking","Unique")</f>
        <v>Unique</v>
      </c>
      <c r="W4432" s="7" t="str">
        <f aca="false">IF((H4432-G4432)&lt;&gt;K4432,"Mismatch","OK")</f>
        <v>OK</v>
      </c>
      <c r="X4432" s="7" t="str">
        <f aca="false">IF(TEXT(H4432,"dddd")&lt;&gt;I4432,"Mismatch","OK")</f>
        <v>OK</v>
      </c>
      <c r="Y4432" s="7" t="str">
        <f aca="false">IF(AND(N4432="No",O4432&lt;&gt;""),"Unexpected: channel present but no reminder sent",IF(AND(N4432="Yes",O4432=""),"Missing channel for sent reminder","OK"))</f>
        <v>OK</v>
      </c>
    </row>
    <row r="4433" customFormat="false" ht="15" hidden="false" customHeight="false" outlineLevel="0" collapsed="false">
      <c r="A4433" s="9" t="s">
        <v>6149</v>
      </c>
      <c r="B4433" s="9" t="s">
        <v>2573</v>
      </c>
      <c r="C4433" s="9" t="s">
        <v>47</v>
      </c>
      <c r="D4433" s="9" t="n">
        <v>22</v>
      </c>
      <c r="E4433" s="9" t="s">
        <v>82</v>
      </c>
      <c r="F4433" s="9" t="s">
        <v>39</v>
      </c>
      <c r="G4433" s="10" t="n">
        <v>45694</v>
      </c>
      <c r="H4433" s="10" t="n">
        <v>45705</v>
      </c>
      <c r="I4433" s="9" t="s">
        <v>66</v>
      </c>
      <c r="J4433" s="9" t="s">
        <v>51</v>
      </c>
      <c r="K4433" s="9" t="n">
        <v>11</v>
      </c>
      <c r="L4433" s="9" t="n">
        <v>1</v>
      </c>
      <c r="M4433" s="9" t="n">
        <v>0</v>
      </c>
      <c r="N4433" s="9" t="s">
        <v>42</v>
      </c>
      <c r="O4433" s="9" t="s">
        <v>67</v>
      </c>
      <c r="P4433" s="9" t="n">
        <v>32.7</v>
      </c>
      <c r="Q4433" s="9" t="n">
        <v>23</v>
      </c>
      <c r="R4433" s="9" t="s">
        <v>44</v>
      </c>
      <c r="S4433" s="9"/>
      <c r="T4433" s="9"/>
      <c r="U4433" s="9" t="str">
        <f aca="false">IF(COUNTIF($A$2:$A$5001,A4433)&gt;1,"Duplicate","Unique")</f>
        <v>Unique</v>
      </c>
      <c r="V4433" s="9" t="str">
        <f aca="false">IF(COUNTIFS($B$2:$B$5001,B4433,$H$2:$H$5001,H4433,$J$2:$J$5001,J4433)&gt;1,"Possible Duplicate Booking","Unique")</f>
        <v>Unique</v>
      </c>
      <c r="W4433" s="9" t="str">
        <f aca="false">IF((H4433-G4433)&lt;&gt;K4433,"Mismatch","OK")</f>
        <v>OK</v>
      </c>
      <c r="X4433" s="9" t="str">
        <f aca="false">IF(TEXT(H4433,"dddd")&lt;&gt;I4433,"Mismatch","OK")</f>
        <v>OK</v>
      </c>
      <c r="Y4433" s="9" t="str">
        <f aca="false">IF(AND(N4433="No",O4433&lt;&gt;""),"Unexpected: channel present but no reminder sent",IF(AND(N4433="Yes",O4433=""),"Missing channel for sent reminder","OK"))</f>
        <v>OK</v>
      </c>
    </row>
    <row r="4434" customFormat="false" ht="15" hidden="false" customHeight="false" outlineLevel="0" collapsed="false">
      <c r="A4434" s="7" t="s">
        <v>6150</v>
      </c>
      <c r="B4434" s="7" t="s">
        <v>2939</v>
      </c>
      <c r="C4434" s="7" t="s">
        <v>47</v>
      </c>
      <c r="D4434" s="7" t="n">
        <v>75</v>
      </c>
      <c r="E4434" s="7" t="s">
        <v>70</v>
      </c>
      <c r="F4434" s="7" t="s">
        <v>57</v>
      </c>
      <c r="G4434" s="8" t="n">
        <v>46097</v>
      </c>
      <c r="H4434" s="8" t="n">
        <v>46148</v>
      </c>
      <c r="I4434" s="7" t="s">
        <v>58</v>
      </c>
      <c r="J4434" s="7" t="s">
        <v>51</v>
      </c>
      <c r="K4434" s="7" t="n">
        <v>51</v>
      </c>
      <c r="L4434" s="7" t="n">
        <v>6</v>
      </c>
      <c r="M4434" s="7" t="n">
        <v>1</v>
      </c>
      <c r="N4434" s="7" t="s">
        <v>71</v>
      </c>
      <c r="O4434" s="7"/>
      <c r="P4434" s="7" t="n">
        <v>5.6</v>
      </c>
      <c r="Q4434" s="7" t="n">
        <v>35</v>
      </c>
      <c r="R4434" s="7" t="s">
        <v>44</v>
      </c>
      <c r="S4434" s="7"/>
      <c r="T4434" s="7"/>
      <c r="U4434" s="7" t="str">
        <f aca="false">IF(COUNTIF($A$2:$A$5001,A4434)&gt;1,"Duplicate","Unique")</f>
        <v>Unique</v>
      </c>
      <c r="V4434" s="7" t="str">
        <f aca="false">IF(COUNTIFS($B$2:$B$5001,B4434,$H$2:$H$5001,H4434,$J$2:$J$5001,J4434)&gt;1,"Possible Duplicate Booking","Unique")</f>
        <v>Unique</v>
      </c>
      <c r="W4434" s="7" t="str">
        <f aca="false">IF((H4434-G4434)&lt;&gt;K4434,"Mismatch","OK")</f>
        <v>OK</v>
      </c>
      <c r="X4434" s="7" t="str">
        <f aca="false">IF(TEXT(H4434,"dddd")&lt;&gt;I4434,"Mismatch","OK")</f>
        <v>OK</v>
      </c>
      <c r="Y4434" s="7" t="str">
        <f aca="false">IF(AND(N4434="No",O4434&lt;&gt;""),"Unexpected: channel present but no reminder sent",IF(AND(N4434="Yes",O4434=""),"Missing channel for sent reminder","OK"))</f>
        <v>OK</v>
      </c>
    </row>
    <row r="4435" customFormat="false" ht="15" hidden="false" customHeight="false" outlineLevel="0" collapsed="false">
      <c r="A4435" s="9" t="s">
        <v>6151</v>
      </c>
      <c r="B4435" s="9" t="s">
        <v>739</v>
      </c>
      <c r="C4435" s="9" t="s">
        <v>37</v>
      </c>
      <c r="D4435" s="9" t="n">
        <v>61</v>
      </c>
      <c r="E4435" s="9" t="s">
        <v>61</v>
      </c>
      <c r="F4435" s="9" t="s">
        <v>39</v>
      </c>
      <c r="G4435" s="10" t="n">
        <v>45699</v>
      </c>
      <c r="H4435" s="10" t="n">
        <v>45720</v>
      </c>
      <c r="I4435" s="9" t="s">
        <v>40</v>
      </c>
      <c r="J4435" s="9" t="s">
        <v>41</v>
      </c>
      <c r="K4435" s="9" t="n">
        <v>21</v>
      </c>
      <c r="L4435" s="9" t="n">
        <v>7</v>
      </c>
      <c r="M4435" s="9" t="n">
        <v>0</v>
      </c>
      <c r="N4435" s="9" t="s">
        <v>42</v>
      </c>
      <c r="O4435" s="9" t="s">
        <v>52</v>
      </c>
      <c r="P4435" s="9" t="n">
        <v>7.8</v>
      </c>
      <c r="Q4435" s="9" t="n">
        <v>26</v>
      </c>
      <c r="R4435" s="9" t="s">
        <v>53</v>
      </c>
      <c r="S4435" s="9"/>
      <c r="T4435" s="9"/>
      <c r="U4435" s="9" t="str">
        <f aca="false">IF(COUNTIF($A$2:$A$5001,A4435)&gt;1,"Duplicate","Unique")</f>
        <v>Unique</v>
      </c>
      <c r="V4435" s="9" t="str">
        <f aca="false">IF(COUNTIFS($B$2:$B$5001,B4435,$H$2:$H$5001,H4435,$J$2:$J$5001,J4435)&gt;1,"Possible Duplicate Booking","Unique")</f>
        <v>Unique</v>
      </c>
      <c r="W4435" s="9" t="str">
        <f aca="false">IF((H4435-G4435)&lt;&gt;K4435,"Mismatch","OK")</f>
        <v>OK</v>
      </c>
      <c r="X4435" s="9" t="str">
        <f aca="false">IF(TEXT(H4435,"dddd")&lt;&gt;I4435,"Mismatch","OK")</f>
        <v>OK</v>
      </c>
      <c r="Y4435" s="9" t="str">
        <f aca="false">IF(AND(N4435="No",O4435&lt;&gt;""),"Unexpected: channel present but no reminder sent",IF(AND(N4435="Yes",O4435=""),"Missing channel for sent reminder","OK"))</f>
        <v>OK</v>
      </c>
    </row>
    <row r="4436" customFormat="false" ht="15" hidden="false" customHeight="false" outlineLevel="0" collapsed="false">
      <c r="A4436" s="7" t="s">
        <v>6152</v>
      </c>
      <c r="B4436" s="7" t="s">
        <v>4901</v>
      </c>
      <c r="C4436" s="7" t="s">
        <v>37</v>
      </c>
      <c r="D4436" s="7" t="n">
        <v>74</v>
      </c>
      <c r="E4436" s="7" t="s">
        <v>70</v>
      </c>
      <c r="F4436" s="7" t="s">
        <v>74</v>
      </c>
      <c r="G4436" s="8" t="n">
        <v>45952</v>
      </c>
      <c r="H4436" s="8" t="n">
        <v>45977</v>
      </c>
      <c r="I4436" s="7" t="s">
        <v>75</v>
      </c>
      <c r="J4436" s="7" t="s">
        <v>41</v>
      </c>
      <c r="K4436" s="7" t="n">
        <v>25</v>
      </c>
      <c r="L4436" s="7" t="n">
        <v>4</v>
      </c>
      <c r="M4436" s="7" t="n">
        <v>1</v>
      </c>
      <c r="N4436" s="7" t="s">
        <v>42</v>
      </c>
      <c r="O4436" s="7" t="s">
        <v>52</v>
      </c>
      <c r="P4436" s="7" t="n">
        <v>1.4</v>
      </c>
      <c r="Q4436" s="7" t="n">
        <v>41</v>
      </c>
      <c r="R4436" s="7" t="s">
        <v>53</v>
      </c>
      <c r="S4436" s="7"/>
      <c r="T4436" s="7"/>
      <c r="U4436" s="7" t="str">
        <f aca="false">IF(COUNTIF($A$2:$A$5001,A4436)&gt;1,"Duplicate","Unique")</f>
        <v>Unique</v>
      </c>
      <c r="V4436" s="7" t="str">
        <f aca="false">IF(COUNTIFS($B$2:$B$5001,B4436,$H$2:$H$5001,H4436,$J$2:$J$5001,J4436)&gt;1,"Possible Duplicate Booking","Unique")</f>
        <v>Unique</v>
      </c>
      <c r="W4436" s="7" t="str">
        <f aca="false">IF((H4436-G4436)&lt;&gt;K4436,"Mismatch","OK")</f>
        <v>OK</v>
      </c>
      <c r="X4436" s="7" t="str">
        <f aca="false">IF(TEXT(H4436,"dddd")&lt;&gt;I4436,"Mismatch","OK")</f>
        <v>OK</v>
      </c>
      <c r="Y4436" s="7" t="str">
        <f aca="false">IF(AND(N4436="No",O4436&lt;&gt;""),"Unexpected: channel present but no reminder sent",IF(AND(N4436="Yes",O4436=""),"Missing channel for sent reminder","OK"))</f>
        <v>OK</v>
      </c>
    </row>
    <row r="4437" customFormat="false" ht="15" hidden="false" customHeight="false" outlineLevel="0" collapsed="false">
      <c r="A4437" s="9" t="s">
        <v>6153</v>
      </c>
      <c r="B4437" s="9" t="s">
        <v>2770</v>
      </c>
      <c r="C4437" s="9" t="s">
        <v>47</v>
      </c>
      <c r="D4437" s="9" t="n">
        <v>63</v>
      </c>
      <c r="E4437" s="9" t="s">
        <v>61</v>
      </c>
      <c r="F4437" s="9" t="s">
        <v>39</v>
      </c>
      <c r="G4437" s="10" t="n">
        <v>46129</v>
      </c>
      <c r="H4437" s="10" t="n">
        <v>46165</v>
      </c>
      <c r="I4437" s="9" t="s">
        <v>102</v>
      </c>
      <c r="J4437" s="9" t="s">
        <v>41</v>
      </c>
      <c r="K4437" s="9" t="n">
        <v>36</v>
      </c>
      <c r="L4437" s="9" t="n">
        <v>3</v>
      </c>
      <c r="M4437" s="9" t="n">
        <v>1</v>
      </c>
      <c r="N4437" s="9" t="s">
        <v>42</v>
      </c>
      <c r="O4437" s="9" t="s">
        <v>52</v>
      </c>
      <c r="P4437" s="9" t="n">
        <v>7</v>
      </c>
      <c r="Q4437" s="9" t="n">
        <v>16</v>
      </c>
      <c r="R4437" s="9" t="s">
        <v>44</v>
      </c>
      <c r="S4437" s="9"/>
      <c r="T4437" s="9"/>
      <c r="U4437" s="9" t="str">
        <f aca="false">IF(COUNTIF($A$2:$A$5001,A4437)&gt;1,"Duplicate","Unique")</f>
        <v>Unique</v>
      </c>
      <c r="V4437" s="9" t="str">
        <f aca="false">IF(COUNTIFS($B$2:$B$5001,B4437,$H$2:$H$5001,H4437,$J$2:$J$5001,J4437)&gt;1,"Possible Duplicate Booking","Unique")</f>
        <v>Unique</v>
      </c>
      <c r="W4437" s="9" t="str">
        <f aca="false">IF((H4437-G4437)&lt;&gt;K4437,"Mismatch","OK")</f>
        <v>OK</v>
      </c>
      <c r="X4437" s="9" t="str">
        <f aca="false">IF(TEXT(H4437,"dddd")&lt;&gt;I4437,"Mismatch","OK")</f>
        <v>OK</v>
      </c>
      <c r="Y4437" s="9" t="str">
        <f aca="false">IF(AND(N4437="No",O4437&lt;&gt;""),"Unexpected: channel present but no reminder sent",IF(AND(N4437="Yes",O4437=""),"Missing channel for sent reminder","OK"))</f>
        <v>OK</v>
      </c>
    </row>
    <row r="4438" customFormat="false" ht="15" hidden="false" customHeight="false" outlineLevel="0" collapsed="false">
      <c r="A4438" s="7" t="s">
        <v>6154</v>
      </c>
      <c r="B4438" s="7" t="s">
        <v>3847</v>
      </c>
      <c r="C4438" s="7" t="s">
        <v>37</v>
      </c>
      <c r="D4438" s="7" t="n">
        <v>76</v>
      </c>
      <c r="E4438" s="7" t="s">
        <v>70</v>
      </c>
      <c r="F4438" s="7" t="s">
        <v>74</v>
      </c>
      <c r="G4438" s="8" t="n">
        <v>46012</v>
      </c>
      <c r="H4438" s="8" t="n">
        <v>46015</v>
      </c>
      <c r="I4438" s="7" t="s">
        <v>58</v>
      </c>
      <c r="J4438" s="7" t="s">
        <v>41</v>
      </c>
      <c r="K4438" s="7" t="n">
        <v>3</v>
      </c>
      <c r="L4438" s="7" t="n">
        <v>5</v>
      </c>
      <c r="M4438" s="7" t="n">
        <v>0</v>
      </c>
      <c r="N4438" s="7" t="s">
        <v>42</v>
      </c>
      <c r="O4438" s="7" t="s">
        <v>52</v>
      </c>
      <c r="P4438" s="7" t="n">
        <v>14</v>
      </c>
      <c r="Q4438" s="7" t="n">
        <v>13</v>
      </c>
      <c r="R4438" s="7" t="s">
        <v>53</v>
      </c>
      <c r="S4438" s="7"/>
      <c r="T4438" s="7"/>
      <c r="U4438" s="7" t="str">
        <f aca="false">IF(COUNTIF($A$2:$A$5001,A4438)&gt;1,"Duplicate","Unique")</f>
        <v>Unique</v>
      </c>
      <c r="V4438" s="7" t="str">
        <f aca="false">IF(COUNTIFS($B$2:$B$5001,B4438,$H$2:$H$5001,H4438,$J$2:$J$5001,J4438)&gt;1,"Possible Duplicate Booking","Unique")</f>
        <v>Unique</v>
      </c>
      <c r="W4438" s="7" t="str">
        <f aca="false">IF((H4438-G4438)&lt;&gt;K4438,"Mismatch","OK")</f>
        <v>OK</v>
      </c>
      <c r="X4438" s="7" t="str">
        <f aca="false">IF(TEXT(H4438,"dddd")&lt;&gt;I4438,"Mismatch","OK")</f>
        <v>OK</v>
      </c>
      <c r="Y4438" s="7" t="str">
        <f aca="false">IF(AND(N4438="No",O4438&lt;&gt;""),"Unexpected: channel present but no reminder sent",IF(AND(N4438="Yes",O4438=""),"Missing channel for sent reminder","OK"))</f>
        <v>OK</v>
      </c>
    </row>
    <row r="4439" customFormat="false" ht="15" hidden="false" customHeight="false" outlineLevel="0" collapsed="false">
      <c r="A4439" s="9" t="s">
        <v>6155</v>
      </c>
      <c r="B4439" s="9" t="s">
        <v>964</v>
      </c>
      <c r="C4439" s="9" t="s">
        <v>37</v>
      </c>
      <c r="D4439" s="9" t="n">
        <v>35</v>
      </c>
      <c r="E4439" s="9" t="s">
        <v>38</v>
      </c>
      <c r="F4439" s="9" t="s">
        <v>74</v>
      </c>
      <c r="G4439" s="10" t="n">
        <v>46145</v>
      </c>
      <c r="H4439" s="10" t="n">
        <v>46175</v>
      </c>
      <c r="I4439" s="9" t="s">
        <v>40</v>
      </c>
      <c r="J4439" s="9" t="s">
        <v>41</v>
      </c>
      <c r="K4439" s="9" t="n">
        <v>30</v>
      </c>
      <c r="L4439" s="9" t="n">
        <v>2</v>
      </c>
      <c r="M4439" s="9" t="n">
        <v>0</v>
      </c>
      <c r="N4439" s="9" t="s">
        <v>42</v>
      </c>
      <c r="O4439" s="9" t="s">
        <v>67</v>
      </c>
      <c r="P4439" s="9" t="n">
        <v>13.2</v>
      </c>
      <c r="Q4439" s="9" t="n">
        <v>17</v>
      </c>
      <c r="R4439" s="9" t="s">
        <v>44</v>
      </c>
      <c r="S4439" s="9"/>
      <c r="T4439" s="9"/>
      <c r="U4439" s="9" t="str">
        <f aca="false">IF(COUNTIF($A$2:$A$5001,A4439)&gt;1,"Duplicate","Unique")</f>
        <v>Unique</v>
      </c>
      <c r="V4439" s="9" t="str">
        <f aca="false">IF(COUNTIFS($B$2:$B$5001,B4439,$H$2:$H$5001,H4439,$J$2:$J$5001,J4439)&gt;1,"Possible Duplicate Booking","Unique")</f>
        <v>Unique</v>
      </c>
      <c r="W4439" s="9" t="str">
        <f aca="false">IF((H4439-G4439)&lt;&gt;K4439,"Mismatch","OK")</f>
        <v>OK</v>
      </c>
      <c r="X4439" s="9" t="str">
        <f aca="false">IF(TEXT(H4439,"dddd")&lt;&gt;I4439,"Mismatch","OK")</f>
        <v>OK</v>
      </c>
      <c r="Y4439" s="9" t="str">
        <f aca="false">IF(AND(N4439="No",O4439&lt;&gt;""),"Unexpected: channel present but no reminder sent",IF(AND(N4439="Yes",O4439=""),"Missing channel for sent reminder","OK"))</f>
        <v>OK</v>
      </c>
    </row>
    <row r="4440" customFormat="false" ht="15" hidden="false" customHeight="false" outlineLevel="0" collapsed="false">
      <c r="A4440" s="7" t="s">
        <v>6156</v>
      </c>
      <c r="B4440" s="7" t="s">
        <v>3673</v>
      </c>
      <c r="C4440" s="7" t="s">
        <v>37</v>
      </c>
      <c r="D4440" s="7" t="n">
        <v>29</v>
      </c>
      <c r="E4440" s="7" t="s">
        <v>48</v>
      </c>
      <c r="F4440" s="7" t="s">
        <v>57</v>
      </c>
      <c r="G4440" s="8" t="n">
        <v>45825</v>
      </c>
      <c r="H4440" s="8" t="n">
        <v>45846</v>
      </c>
      <c r="I4440" s="7" t="s">
        <v>40</v>
      </c>
      <c r="J4440" s="7" t="s">
        <v>41</v>
      </c>
      <c r="K4440" s="7" t="n">
        <v>21</v>
      </c>
      <c r="L4440" s="7" t="n">
        <v>3</v>
      </c>
      <c r="M4440" s="7" t="n">
        <v>1</v>
      </c>
      <c r="N4440" s="7" t="s">
        <v>71</v>
      </c>
      <c r="O4440" s="7"/>
      <c r="P4440" s="7" t="n">
        <v>9</v>
      </c>
      <c r="Q4440" s="7" t="n">
        <v>31</v>
      </c>
      <c r="R4440" s="7" t="s">
        <v>44</v>
      </c>
      <c r="S4440" s="7"/>
      <c r="T4440" s="7"/>
      <c r="U4440" s="7" t="str">
        <f aca="false">IF(COUNTIF($A$2:$A$5001,A4440)&gt;1,"Duplicate","Unique")</f>
        <v>Unique</v>
      </c>
      <c r="V4440" s="7" t="str">
        <f aca="false">IF(COUNTIFS($B$2:$B$5001,B4440,$H$2:$H$5001,H4440,$J$2:$J$5001,J4440)&gt;1,"Possible Duplicate Booking","Unique")</f>
        <v>Unique</v>
      </c>
      <c r="W4440" s="7" t="str">
        <f aca="false">IF((H4440-G4440)&lt;&gt;K4440,"Mismatch","OK")</f>
        <v>OK</v>
      </c>
      <c r="X4440" s="7" t="str">
        <f aca="false">IF(TEXT(H4440,"dddd")&lt;&gt;I4440,"Mismatch","OK")</f>
        <v>OK</v>
      </c>
      <c r="Y4440" s="7" t="str">
        <f aca="false">IF(AND(N4440="No",O4440&lt;&gt;""),"Unexpected: channel present but no reminder sent",IF(AND(N4440="Yes",O4440=""),"Missing channel for sent reminder","OK"))</f>
        <v>OK</v>
      </c>
    </row>
    <row r="4441" customFormat="false" ht="15" hidden="false" customHeight="false" outlineLevel="0" collapsed="false">
      <c r="A4441" s="9" t="s">
        <v>6157</v>
      </c>
      <c r="B4441" s="9" t="s">
        <v>6158</v>
      </c>
      <c r="C4441" s="9" t="s">
        <v>47</v>
      </c>
      <c r="D4441" s="9" t="n">
        <v>30</v>
      </c>
      <c r="E4441" s="9" t="s">
        <v>48</v>
      </c>
      <c r="F4441" s="9" t="s">
        <v>49</v>
      </c>
      <c r="G4441" s="10" t="n">
        <v>45820</v>
      </c>
      <c r="H4441" s="10" t="n">
        <v>45829</v>
      </c>
      <c r="I4441" s="9" t="s">
        <v>102</v>
      </c>
      <c r="J4441" s="9" t="s">
        <v>51</v>
      </c>
      <c r="K4441" s="9" t="n">
        <v>9</v>
      </c>
      <c r="L4441" s="9" t="n">
        <v>1</v>
      </c>
      <c r="M4441" s="9" t="n">
        <v>0</v>
      </c>
      <c r="N4441" s="9" t="s">
        <v>71</v>
      </c>
      <c r="O4441" s="9"/>
      <c r="P4441" s="9" t="n">
        <v>14.6</v>
      </c>
      <c r="Q4441" s="9" t="n">
        <v>31</v>
      </c>
      <c r="R4441" s="9" t="s">
        <v>44</v>
      </c>
      <c r="S4441" s="9"/>
      <c r="T4441" s="9"/>
      <c r="U4441" s="9" t="str">
        <f aca="false">IF(COUNTIF($A$2:$A$5001,A4441)&gt;1,"Duplicate","Unique")</f>
        <v>Unique</v>
      </c>
      <c r="V4441" s="9" t="str">
        <f aca="false">IF(COUNTIFS($B$2:$B$5001,B4441,$H$2:$H$5001,H4441,$J$2:$J$5001,J4441)&gt;1,"Possible Duplicate Booking","Unique")</f>
        <v>Unique</v>
      </c>
      <c r="W4441" s="9" t="str">
        <f aca="false">IF((H4441-G4441)&lt;&gt;K4441,"Mismatch","OK")</f>
        <v>OK</v>
      </c>
      <c r="X4441" s="9" t="str">
        <f aca="false">IF(TEXT(H4441,"dddd")&lt;&gt;I4441,"Mismatch","OK")</f>
        <v>OK</v>
      </c>
      <c r="Y4441" s="9" t="str">
        <f aca="false">IF(AND(N4441="No",O4441&lt;&gt;""),"Unexpected: channel present but no reminder sent",IF(AND(N4441="Yes",O4441=""),"Missing channel for sent reminder","OK"))</f>
        <v>OK</v>
      </c>
    </row>
    <row r="4442" customFormat="false" ht="15" hidden="false" customHeight="false" outlineLevel="0" collapsed="false">
      <c r="A4442" s="7" t="s">
        <v>6159</v>
      </c>
      <c r="B4442" s="7" t="s">
        <v>2806</v>
      </c>
      <c r="C4442" s="7" t="s">
        <v>47</v>
      </c>
      <c r="D4442" s="7" t="n">
        <v>33</v>
      </c>
      <c r="E4442" s="7" t="s">
        <v>48</v>
      </c>
      <c r="F4442" s="7" t="s">
        <v>39</v>
      </c>
      <c r="G4442" s="8" t="n">
        <v>45811</v>
      </c>
      <c r="H4442" s="8" t="n">
        <v>45836</v>
      </c>
      <c r="I4442" s="7" t="s">
        <v>102</v>
      </c>
      <c r="J4442" s="7" t="s">
        <v>41</v>
      </c>
      <c r="K4442" s="7" t="n">
        <v>25</v>
      </c>
      <c r="L4442" s="7" t="n">
        <v>2</v>
      </c>
      <c r="M4442" s="7" t="n">
        <v>0</v>
      </c>
      <c r="N4442" s="7" t="s">
        <v>42</v>
      </c>
      <c r="O4442" s="7" t="s">
        <v>52</v>
      </c>
      <c r="P4442" s="7" t="n">
        <v>5.8</v>
      </c>
      <c r="Q4442" s="7" t="n">
        <v>10</v>
      </c>
      <c r="R4442" s="7" t="s">
        <v>53</v>
      </c>
      <c r="S4442" s="7"/>
      <c r="T4442" s="7"/>
      <c r="U4442" s="7" t="str">
        <f aca="false">IF(COUNTIF($A$2:$A$5001,A4442)&gt;1,"Duplicate","Unique")</f>
        <v>Unique</v>
      </c>
      <c r="V4442" s="7" t="str">
        <f aca="false">IF(COUNTIFS($B$2:$B$5001,B4442,$H$2:$H$5001,H4442,$J$2:$J$5001,J4442)&gt;1,"Possible Duplicate Booking","Unique")</f>
        <v>Unique</v>
      </c>
      <c r="W4442" s="7" t="str">
        <f aca="false">IF((H4442-G4442)&lt;&gt;K4442,"Mismatch","OK")</f>
        <v>OK</v>
      </c>
      <c r="X4442" s="7" t="str">
        <f aca="false">IF(TEXT(H4442,"dddd")&lt;&gt;I4442,"Mismatch","OK")</f>
        <v>OK</v>
      </c>
      <c r="Y4442" s="7" t="str">
        <f aca="false">IF(AND(N4442="No",O4442&lt;&gt;""),"Unexpected: channel present but no reminder sent",IF(AND(N4442="Yes",O4442=""),"Missing channel for sent reminder","OK"))</f>
        <v>OK</v>
      </c>
    </row>
    <row r="4443" customFormat="false" ht="15" hidden="false" customHeight="false" outlineLevel="0" collapsed="false">
      <c r="A4443" s="9" t="s">
        <v>6160</v>
      </c>
      <c r="B4443" s="9" t="s">
        <v>1925</v>
      </c>
      <c r="C4443" s="9" t="s">
        <v>47</v>
      </c>
      <c r="D4443" s="9" t="n">
        <v>31</v>
      </c>
      <c r="E4443" s="9" t="s">
        <v>48</v>
      </c>
      <c r="F4443" s="9" t="s">
        <v>39</v>
      </c>
      <c r="G4443" s="10" t="n">
        <v>45824</v>
      </c>
      <c r="H4443" s="10" t="n">
        <v>45851</v>
      </c>
      <c r="I4443" s="9" t="s">
        <v>75</v>
      </c>
      <c r="J4443" s="9" t="s">
        <v>41</v>
      </c>
      <c r="K4443" s="9" t="n">
        <v>27</v>
      </c>
      <c r="L4443" s="9" t="n">
        <v>4</v>
      </c>
      <c r="M4443" s="9" t="n">
        <v>1</v>
      </c>
      <c r="N4443" s="9" t="s">
        <v>71</v>
      </c>
      <c r="O4443" s="9"/>
      <c r="P4443" s="9" t="n">
        <v>19.6</v>
      </c>
      <c r="Q4443" s="9" t="n">
        <v>15</v>
      </c>
      <c r="R4443" s="9" t="s">
        <v>44</v>
      </c>
      <c r="S4443" s="9"/>
      <c r="T4443" s="9"/>
      <c r="U4443" s="9" t="str">
        <f aca="false">IF(COUNTIF($A$2:$A$5001,A4443)&gt;1,"Duplicate","Unique")</f>
        <v>Unique</v>
      </c>
      <c r="V4443" s="9" t="str">
        <f aca="false">IF(COUNTIFS($B$2:$B$5001,B4443,$H$2:$H$5001,H4443,$J$2:$J$5001,J4443)&gt;1,"Possible Duplicate Booking","Unique")</f>
        <v>Unique</v>
      </c>
      <c r="W4443" s="9" t="str">
        <f aca="false">IF((H4443-G4443)&lt;&gt;K4443,"Mismatch","OK")</f>
        <v>OK</v>
      </c>
      <c r="X4443" s="9" t="str">
        <f aca="false">IF(TEXT(H4443,"dddd")&lt;&gt;I4443,"Mismatch","OK")</f>
        <v>OK</v>
      </c>
      <c r="Y4443" s="9" t="str">
        <f aca="false">IF(AND(N4443="No",O4443&lt;&gt;""),"Unexpected: channel present but no reminder sent",IF(AND(N4443="Yes",O4443=""),"Missing channel for sent reminder","OK"))</f>
        <v>OK</v>
      </c>
    </row>
    <row r="4444" customFormat="false" ht="15" hidden="false" customHeight="false" outlineLevel="0" collapsed="false">
      <c r="A4444" s="7" t="s">
        <v>6161</v>
      </c>
      <c r="B4444" s="7" t="s">
        <v>4517</v>
      </c>
      <c r="C4444" s="7" t="s">
        <v>37</v>
      </c>
      <c r="D4444" s="7" t="n">
        <v>45</v>
      </c>
      <c r="E4444" s="7" t="s">
        <v>56</v>
      </c>
      <c r="F4444" s="7" t="s">
        <v>57</v>
      </c>
      <c r="G4444" s="8" t="n">
        <v>46019</v>
      </c>
      <c r="H4444" s="8" t="n">
        <v>46030</v>
      </c>
      <c r="I4444" s="7" t="s">
        <v>62</v>
      </c>
      <c r="J4444" s="7" t="s">
        <v>51</v>
      </c>
      <c r="K4444" s="7" t="n">
        <v>11</v>
      </c>
      <c r="L4444" s="7" t="n">
        <v>1</v>
      </c>
      <c r="M4444" s="7" t="n">
        <v>0</v>
      </c>
      <c r="N4444" s="7" t="s">
        <v>42</v>
      </c>
      <c r="O4444" s="7" t="s">
        <v>52</v>
      </c>
      <c r="P4444" s="7" t="n">
        <v>41.3</v>
      </c>
      <c r="Q4444" s="7" t="n">
        <v>27</v>
      </c>
      <c r="R4444" s="7" t="s">
        <v>44</v>
      </c>
      <c r="S4444" s="7"/>
      <c r="T4444" s="7"/>
      <c r="U4444" s="7" t="str">
        <f aca="false">IF(COUNTIF($A$2:$A$5001,A4444)&gt;1,"Duplicate","Unique")</f>
        <v>Unique</v>
      </c>
      <c r="V4444" s="7" t="str">
        <f aca="false">IF(COUNTIFS($B$2:$B$5001,B4444,$H$2:$H$5001,H4444,$J$2:$J$5001,J4444)&gt;1,"Possible Duplicate Booking","Unique")</f>
        <v>Unique</v>
      </c>
      <c r="W4444" s="7" t="str">
        <f aca="false">IF((H4444-G4444)&lt;&gt;K4444,"Mismatch","OK")</f>
        <v>OK</v>
      </c>
      <c r="X4444" s="7" t="str">
        <f aca="false">IF(TEXT(H4444,"dddd")&lt;&gt;I4444,"Mismatch","OK")</f>
        <v>OK</v>
      </c>
      <c r="Y4444" s="7" t="str">
        <f aca="false">IF(AND(N4444="No",O4444&lt;&gt;""),"Unexpected: channel present but no reminder sent",IF(AND(N4444="Yes",O4444=""),"Missing channel for sent reminder","OK"))</f>
        <v>OK</v>
      </c>
    </row>
    <row r="4445" customFormat="false" ht="15" hidden="false" customHeight="false" outlineLevel="0" collapsed="false">
      <c r="A4445" s="9" t="s">
        <v>6162</v>
      </c>
      <c r="B4445" s="9" t="s">
        <v>6163</v>
      </c>
      <c r="C4445" s="9" t="s">
        <v>47</v>
      </c>
      <c r="D4445" s="9" t="n">
        <v>30</v>
      </c>
      <c r="E4445" s="9" t="s">
        <v>48</v>
      </c>
      <c r="F4445" s="9" t="s">
        <v>57</v>
      </c>
      <c r="G4445" s="10" t="n">
        <v>45872</v>
      </c>
      <c r="H4445" s="10" t="n">
        <v>45905</v>
      </c>
      <c r="I4445" s="9" t="s">
        <v>50</v>
      </c>
      <c r="J4445" s="9" t="s">
        <v>63</v>
      </c>
      <c r="K4445" s="9" t="n">
        <v>33</v>
      </c>
      <c r="L4445" s="9" t="n">
        <v>3</v>
      </c>
      <c r="M4445" s="9" t="n">
        <v>1</v>
      </c>
      <c r="N4445" s="9" t="s">
        <v>42</v>
      </c>
      <c r="O4445" s="9" t="s">
        <v>67</v>
      </c>
      <c r="P4445" s="9" t="n">
        <v>17.6</v>
      </c>
      <c r="Q4445" s="9" t="n">
        <v>38</v>
      </c>
      <c r="R4445" s="9" t="s">
        <v>44</v>
      </c>
      <c r="S4445" s="9"/>
      <c r="T4445" s="9"/>
      <c r="U4445" s="9" t="str">
        <f aca="false">IF(COUNTIF($A$2:$A$5001,A4445)&gt;1,"Duplicate","Unique")</f>
        <v>Unique</v>
      </c>
      <c r="V4445" s="9" t="str">
        <f aca="false">IF(COUNTIFS($B$2:$B$5001,B4445,$H$2:$H$5001,H4445,$J$2:$J$5001,J4445)&gt;1,"Possible Duplicate Booking","Unique")</f>
        <v>Unique</v>
      </c>
      <c r="W4445" s="9" t="str">
        <f aca="false">IF((H4445-G4445)&lt;&gt;K4445,"Mismatch","OK")</f>
        <v>OK</v>
      </c>
      <c r="X4445" s="9" t="str">
        <f aca="false">IF(TEXT(H4445,"dddd")&lt;&gt;I4445,"Mismatch","OK")</f>
        <v>OK</v>
      </c>
      <c r="Y4445" s="9" t="str">
        <f aca="false">IF(AND(N4445="No",O4445&lt;&gt;""),"Unexpected: channel present but no reminder sent",IF(AND(N4445="Yes",O4445=""),"Missing channel for sent reminder","OK"))</f>
        <v>OK</v>
      </c>
    </row>
    <row r="4446" customFormat="false" ht="15" hidden="false" customHeight="false" outlineLevel="0" collapsed="false">
      <c r="A4446" s="7" t="s">
        <v>6164</v>
      </c>
      <c r="B4446" s="7" t="s">
        <v>1616</v>
      </c>
      <c r="C4446" s="7" t="s">
        <v>37</v>
      </c>
      <c r="D4446" s="7" t="n">
        <v>27</v>
      </c>
      <c r="E4446" s="7" t="s">
        <v>48</v>
      </c>
      <c r="F4446" s="7" t="s">
        <v>57</v>
      </c>
      <c r="G4446" s="8" t="n">
        <v>46015</v>
      </c>
      <c r="H4446" s="8" t="n">
        <v>46060</v>
      </c>
      <c r="I4446" s="7" t="s">
        <v>102</v>
      </c>
      <c r="J4446" s="7" t="s">
        <v>63</v>
      </c>
      <c r="K4446" s="7" t="n">
        <v>45</v>
      </c>
      <c r="L4446" s="7" t="n">
        <v>3</v>
      </c>
      <c r="M4446" s="7" t="n">
        <v>0</v>
      </c>
      <c r="N4446" s="7" t="s">
        <v>71</v>
      </c>
      <c r="O4446" s="7"/>
      <c r="P4446" s="7" t="n">
        <v>7.9</v>
      </c>
      <c r="Q4446" s="7" t="n">
        <v>16</v>
      </c>
      <c r="R4446" s="7" t="s">
        <v>44</v>
      </c>
      <c r="S4446" s="7"/>
      <c r="T4446" s="7"/>
      <c r="U4446" s="7" t="str">
        <f aca="false">IF(COUNTIF($A$2:$A$5001,A4446)&gt;1,"Duplicate","Unique")</f>
        <v>Unique</v>
      </c>
      <c r="V4446" s="7" t="str">
        <f aca="false">IF(COUNTIFS($B$2:$B$5001,B4446,$H$2:$H$5001,H4446,$J$2:$J$5001,J4446)&gt;1,"Possible Duplicate Booking","Unique")</f>
        <v>Unique</v>
      </c>
      <c r="W4446" s="7" t="str">
        <f aca="false">IF((H4446-G4446)&lt;&gt;K4446,"Mismatch","OK")</f>
        <v>OK</v>
      </c>
      <c r="X4446" s="7" t="str">
        <f aca="false">IF(TEXT(H4446,"dddd")&lt;&gt;I4446,"Mismatch","OK")</f>
        <v>OK</v>
      </c>
      <c r="Y4446" s="7" t="str">
        <f aca="false">IF(AND(N4446="No",O4446&lt;&gt;""),"Unexpected: channel present but no reminder sent",IF(AND(N4446="Yes",O4446=""),"Missing channel for sent reminder","OK"))</f>
        <v>OK</v>
      </c>
    </row>
    <row r="4447" customFormat="false" ht="15" hidden="false" customHeight="false" outlineLevel="0" collapsed="false">
      <c r="A4447" s="9" t="s">
        <v>6165</v>
      </c>
      <c r="B4447" s="9" t="s">
        <v>828</v>
      </c>
      <c r="C4447" s="9" t="s">
        <v>47</v>
      </c>
      <c r="D4447" s="9" t="n">
        <v>50</v>
      </c>
      <c r="E4447" s="9" t="s">
        <v>56</v>
      </c>
      <c r="F4447" s="9" t="s">
        <v>39</v>
      </c>
      <c r="G4447" s="10" t="n">
        <v>45869</v>
      </c>
      <c r="H4447" s="10" t="n">
        <v>45885</v>
      </c>
      <c r="I4447" s="9" t="s">
        <v>102</v>
      </c>
      <c r="J4447" s="9" t="s">
        <v>41</v>
      </c>
      <c r="K4447" s="9" t="n">
        <v>16</v>
      </c>
      <c r="L4447" s="9" t="n">
        <v>3</v>
      </c>
      <c r="M4447" s="9" t="n">
        <v>0</v>
      </c>
      <c r="N4447" s="9" t="s">
        <v>71</v>
      </c>
      <c r="O4447" s="9"/>
      <c r="P4447" s="9" t="n">
        <v>4.8</v>
      </c>
      <c r="Q4447" s="9" t="n">
        <v>8</v>
      </c>
      <c r="R4447" s="9" t="s">
        <v>53</v>
      </c>
      <c r="S4447" s="9"/>
      <c r="T4447" s="9"/>
      <c r="U4447" s="9" t="str">
        <f aca="false">IF(COUNTIF($A$2:$A$5001,A4447)&gt;1,"Duplicate","Unique")</f>
        <v>Unique</v>
      </c>
      <c r="V4447" s="9" t="str">
        <f aca="false">IF(COUNTIFS($B$2:$B$5001,B4447,$H$2:$H$5001,H4447,$J$2:$J$5001,J4447)&gt;1,"Possible Duplicate Booking","Unique")</f>
        <v>Unique</v>
      </c>
      <c r="W4447" s="9" t="str">
        <f aca="false">IF((H4447-G4447)&lt;&gt;K4447,"Mismatch","OK")</f>
        <v>OK</v>
      </c>
      <c r="X4447" s="9" t="str">
        <f aca="false">IF(TEXT(H4447,"dddd")&lt;&gt;I4447,"Mismatch","OK")</f>
        <v>OK</v>
      </c>
      <c r="Y4447" s="9" t="str">
        <f aca="false">IF(AND(N4447="No",O4447&lt;&gt;""),"Unexpected: channel present but no reminder sent",IF(AND(N4447="Yes",O4447=""),"Missing channel for sent reminder","OK"))</f>
        <v>OK</v>
      </c>
    </row>
    <row r="4448" customFormat="false" ht="15" hidden="false" customHeight="false" outlineLevel="0" collapsed="false">
      <c r="A4448" s="7" t="s">
        <v>6166</v>
      </c>
      <c r="B4448" s="7" t="s">
        <v>5673</v>
      </c>
      <c r="C4448" s="7" t="s">
        <v>236</v>
      </c>
      <c r="D4448" s="7" t="n">
        <v>67</v>
      </c>
      <c r="E4448" s="7" t="s">
        <v>70</v>
      </c>
      <c r="F4448" s="7" t="s">
        <v>57</v>
      </c>
      <c r="G4448" s="8" t="n">
        <v>45768</v>
      </c>
      <c r="H4448" s="8" t="n">
        <v>45826</v>
      </c>
      <c r="I4448" s="7" t="s">
        <v>58</v>
      </c>
      <c r="J4448" s="7" t="s">
        <v>63</v>
      </c>
      <c r="K4448" s="7" t="n">
        <v>58</v>
      </c>
      <c r="L4448" s="7" t="n">
        <v>4</v>
      </c>
      <c r="M4448" s="7" t="n">
        <v>0</v>
      </c>
      <c r="N4448" s="7" t="s">
        <v>42</v>
      </c>
      <c r="O4448" s="7" t="s">
        <v>52</v>
      </c>
      <c r="P4448" s="7" t="n">
        <v>3.2</v>
      </c>
      <c r="Q4448" s="7" t="n">
        <v>35</v>
      </c>
      <c r="R4448" s="7" t="s">
        <v>44</v>
      </c>
      <c r="S4448" s="7"/>
      <c r="T4448" s="7"/>
      <c r="U4448" s="7" t="str">
        <f aca="false">IF(COUNTIF($A$2:$A$5001,A4448)&gt;1,"Duplicate","Unique")</f>
        <v>Unique</v>
      </c>
      <c r="V4448" s="7" t="str">
        <f aca="false">IF(COUNTIFS($B$2:$B$5001,B4448,$H$2:$H$5001,H4448,$J$2:$J$5001,J4448)&gt;1,"Possible Duplicate Booking","Unique")</f>
        <v>Unique</v>
      </c>
      <c r="W4448" s="7" t="str">
        <f aca="false">IF((H4448-G4448)&lt;&gt;K4448,"Mismatch","OK")</f>
        <v>OK</v>
      </c>
      <c r="X4448" s="7" t="str">
        <f aca="false">IF(TEXT(H4448,"dddd")&lt;&gt;I4448,"Mismatch","OK")</f>
        <v>OK</v>
      </c>
      <c r="Y4448" s="7" t="str">
        <f aca="false">IF(AND(N4448="No",O4448&lt;&gt;""),"Unexpected: channel present but no reminder sent",IF(AND(N4448="Yes",O4448=""),"Missing channel for sent reminder","OK"))</f>
        <v>OK</v>
      </c>
    </row>
    <row r="4449" customFormat="false" ht="15" hidden="false" customHeight="false" outlineLevel="0" collapsed="false">
      <c r="A4449" s="9" t="s">
        <v>6167</v>
      </c>
      <c r="B4449" s="9" t="s">
        <v>1627</v>
      </c>
      <c r="C4449" s="9" t="s">
        <v>47</v>
      </c>
      <c r="D4449" s="9" t="n">
        <v>26</v>
      </c>
      <c r="E4449" s="9" t="s">
        <v>48</v>
      </c>
      <c r="F4449" s="9" t="s">
        <v>39</v>
      </c>
      <c r="G4449" s="10" t="n">
        <v>45724</v>
      </c>
      <c r="H4449" s="10" t="n">
        <v>45761</v>
      </c>
      <c r="I4449" s="9" t="s">
        <v>66</v>
      </c>
      <c r="J4449" s="9" t="s">
        <v>51</v>
      </c>
      <c r="K4449" s="9" t="n">
        <v>37</v>
      </c>
      <c r="L4449" s="9" t="n">
        <v>2</v>
      </c>
      <c r="M4449" s="9" t="n">
        <v>0</v>
      </c>
      <c r="N4449" s="9" t="s">
        <v>42</v>
      </c>
      <c r="O4449" s="9" t="s">
        <v>52</v>
      </c>
      <c r="P4449" s="9" t="n">
        <v>8.7</v>
      </c>
      <c r="Q4449" s="9" t="n">
        <v>5</v>
      </c>
      <c r="R4449" s="9" t="s">
        <v>44</v>
      </c>
      <c r="S4449" s="9"/>
      <c r="T4449" s="9"/>
      <c r="U4449" s="9" t="str">
        <f aca="false">IF(COUNTIF($A$2:$A$5001,A4449)&gt;1,"Duplicate","Unique")</f>
        <v>Unique</v>
      </c>
      <c r="V4449" s="9" t="str">
        <f aca="false">IF(COUNTIFS($B$2:$B$5001,B4449,$H$2:$H$5001,H4449,$J$2:$J$5001,J4449)&gt;1,"Possible Duplicate Booking","Unique")</f>
        <v>Unique</v>
      </c>
      <c r="W4449" s="9" t="str">
        <f aca="false">IF((H4449-G4449)&lt;&gt;K4449,"Mismatch","OK")</f>
        <v>OK</v>
      </c>
      <c r="X4449" s="9" t="str">
        <f aca="false">IF(TEXT(H4449,"dddd")&lt;&gt;I4449,"Mismatch","OK")</f>
        <v>OK</v>
      </c>
      <c r="Y4449" s="9" t="str">
        <f aca="false">IF(AND(N4449="No",O4449&lt;&gt;""),"Unexpected: channel present but no reminder sent",IF(AND(N4449="Yes",O4449=""),"Missing channel for sent reminder","OK"))</f>
        <v>OK</v>
      </c>
    </row>
    <row r="4450" customFormat="false" ht="15" hidden="false" customHeight="false" outlineLevel="0" collapsed="false">
      <c r="A4450" s="7" t="s">
        <v>6168</v>
      </c>
      <c r="B4450" s="7" t="s">
        <v>6169</v>
      </c>
      <c r="C4450" s="7" t="s">
        <v>37</v>
      </c>
      <c r="D4450" s="7" t="n">
        <v>50</v>
      </c>
      <c r="E4450" s="7" t="s">
        <v>56</v>
      </c>
      <c r="F4450" s="7" t="s">
        <v>39</v>
      </c>
      <c r="G4450" s="8" t="n">
        <v>45911</v>
      </c>
      <c r="H4450" s="8" t="n">
        <v>45958</v>
      </c>
      <c r="I4450" s="7" t="s">
        <v>40</v>
      </c>
      <c r="J4450" s="7" t="s">
        <v>51</v>
      </c>
      <c r="K4450" s="7" t="n">
        <v>47</v>
      </c>
      <c r="L4450" s="7" t="n">
        <v>3</v>
      </c>
      <c r="M4450" s="7" t="n">
        <v>1</v>
      </c>
      <c r="N4450" s="7" t="s">
        <v>42</v>
      </c>
      <c r="O4450" s="7" t="s">
        <v>52</v>
      </c>
      <c r="P4450" s="7" t="n">
        <v>3.2</v>
      </c>
      <c r="Q4450" s="7" t="n">
        <v>30</v>
      </c>
      <c r="R4450" s="7" t="s">
        <v>53</v>
      </c>
      <c r="S4450" s="7"/>
      <c r="T4450" s="7"/>
      <c r="U4450" s="7" t="str">
        <f aca="false">IF(COUNTIF($A$2:$A$5001,A4450)&gt;1,"Duplicate","Unique")</f>
        <v>Unique</v>
      </c>
      <c r="V4450" s="7" t="str">
        <f aca="false">IF(COUNTIFS($B$2:$B$5001,B4450,$H$2:$H$5001,H4450,$J$2:$J$5001,J4450)&gt;1,"Possible Duplicate Booking","Unique")</f>
        <v>Unique</v>
      </c>
      <c r="W4450" s="7" t="str">
        <f aca="false">IF((H4450-G4450)&lt;&gt;K4450,"Mismatch","OK")</f>
        <v>OK</v>
      </c>
      <c r="X4450" s="7" t="str">
        <f aca="false">IF(TEXT(H4450,"dddd")&lt;&gt;I4450,"Mismatch","OK")</f>
        <v>OK</v>
      </c>
      <c r="Y4450" s="7" t="str">
        <f aca="false">IF(AND(N4450="No",O4450&lt;&gt;""),"Unexpected: channel present but no reminder sent",IF(AND(N4450="Yes",O4450=""),"Missing channel for sent reminder","OK"))</f>
        <v>OK</v>
      </c>
    </row>
    <row r="4451" customFormat="false" ht="15" hidden="false" customHeight="false" outlineLevel="0" collapsed="false">
      <c r="A4451" s="9" t="s">
        <v>6170</v>
      </c>
      <c r="B4451" s="9" t="s">
        <v>6051</v>
      </c>
      <c r="C4451" s="9" t="s">
        <v>47</v>
      </c>
      <c r="D4451" s="9" t="n">
        <v>59</v>
      </c>
      <c r="E4451" s="9" t="s">
        <v>61</v>
      </c>
      <c r="F4451" s="9" t="s">
        <v>39</v>
      </c>
      <c r="G4451" s="10" t="n">
        <v>46144</v>
      </c>
      <c r="H4451" s="10" t="n">
        <v>46148</v>
      </c>
      <c r="I4451" s="9" t="s">
        <v>58</v>
      </c>
      <c r="J4451" s="9" t="s">
        <v>51</v>
      </c>
      <c r="K4451" s="9" t="n">
        <v>4</v>
      </c>
      <c r="L4451" s="9" t="n">
        <v>3</v>
      </c>
      <c r="M4451" s="9" t="n">
        <v>0</v>
      </c>
      <c r="N4451" s="9" t="s">
        <v>42</v>
      </c>
      <c r="O4451" s="9" t="s">
        <v>52</v>
      </c>
      <c r="P4451" s="9" t="n">
        <v>10.4</v>
      </c>
      <c r="Q4451" s="9" t="n">
        <v>2</v>
      </c>
      <c r="R4451" s="9" t="s">
        <v>44</v>
      </c>
      <c r="S4451" s="9"/>
      <c r="T4451" s="9"/>
      <c r="U4451" s="9" t="str">
        <f aca="false">IF(COUNTIF($A$2:$A$5001,A4451)&gt;1,"Duplicate","Unique")</f>
        <v>Unique</v>
      </c>
      <c r="V4451" s="9" t="str">
        <f aca="false">IF(COUNTIFS($B$2:$B$5001,B4451,$H$2:$H$5001,H4451,$J$2:$J$5001,J4451)&gt;1,"Possible Duplicate Booking","Unique")</f>
        <v>Unique</v>
      </c>
      <c r="W4451" s="9" t="str">
        <f aca="false">IF((H4451-G4451)&lt;&gt;K4451,"Mismatch","OK")</f>
        <v>OK</v>
      </c>
      <c r="X4451" s="9" t="str">
        <f aca="false">IF(TEXT(H4451,"dddd")&lt;&gt;I4451,"Mismatch","OK")</f>
        <v>OK</v>
      </c>
      <c r="Y4451" s="9" t="str">
        <f aca="false">IF(AND(N4451="No",O4451&lt;&gt;""),"Unexpected: channel present but no reminder sent",IF(AND(N4451="Yes",O4451=""),"Missing channel for sent reminder","OK"))</f>
        <v>OK</v>
      </c>
    </row>
    <row r="4452" customFormat="false" ht="15" hidden="false" customHeight="false" outlineLevel="0" collapsed="false">
      <c r="A4452" s="7" t="s">
        <v>6171</v>
      </c>
      <c r="B4452" s="7" t="s">
        <v>6172</v>
      </c>
      <c r="C4452" s="7" t="s">
        <v>37</v>
      </c>
      <c r="D4452" s="7" t="n">
        <v>62</v>
      </c>
      <c r="E4452" s="7" t="s">
        <v>61</v>
      </c>
      <c r="F4452" s="7" t="s">
        <v>49</v>
      </c>
      <c r="G4452" s="8" t="n">
        <v>46080</v>
      </c>
      <c r="H4452" s="8" t="n">
        <v>46126</v>
      </c>
      <c r="I4452" s="7" t="s">
        <v>40</v>
      </c>
      <c r="J4452" s="7" t="s">
        <v>63</v>
      </c>
      <c r="K4452" s="7" t="n">
        <v>46</v>
      </c>
      <c r="L4452" s="7" t="n">
        <v>2</v>
      </c>
      <c r="M4452" s="7" t="n">
        <v>0</v>
      </c>
      <c r="N4452" s="7" t="s">
        <v>42</v>
      </c>
      <c r="O4452" s="7" t="s">
        <v>43</v>
      </c>
      <c r="P4452" s="7" t="n">
        <v>8.1</v>
      </c>
      <c r="Q4452" s="7" t="n">
        <v>23</v>
      </c>
      <c r="R4452" s="7" t="s">
        <v>44</v>
      </c>
      <c r="S4452" s="7"/>
      <c r="T4452" s="7"/>
      <c r="U4452" s="7" t="str">
        <f aca="false">IF(COUNTIF($A$2:$A$5001,A4452)&gt;1,"Duplicate","Unique")</f>
        <v>Unique</v>
      </c>
      <c r="V4452" s="7" t="str">
        <f aca="false">IF(COUNTIFS($B$2:$B$5001,B4452,$H$2:$H$5001,H4452,$J$2:$J$5001,J4452)&gt;1,"Possible Duplicate Booking","Unique")</f>
        <v>Unique</v>
      </c>
      <c r="W4452" s="7" t="str">
        <f aca="false">IF((H4452-G4452)&lt;&gt;K4452,"Mismatch","OK")</f>
        <v>OK</v>
      </c>
      <c r="X4452" s="7" t="str">
        <f aca="false">IF(TEXT(H4452,"dddd")&lt;&gt;I4452,"Mismatch","OK")</f>
        <v>OK</v>
      </c>
      <c r="Y4452" s="7" t="str">
        <f aca="false">IF(AND(N4452="No",O4452&lt;&gt;""),"Unexpected: channel present but no reminder sent",IF(AND(N4452="Yes",O4452=""),"Missing channel for sent reminder","OK"))</f>
        <v>OK</v>
      </c>
    </row>
    <row r="4453" customFormat="false" ht="15" hidden="false" customHeight="false" outlineLevel="0" collapsed="false">
      <c r="A4453" s="9" t="s">
        <v>6173</v>
      </c>
      <c r="B4453" s="9" t="s">
        <v>521</v>
      </c>
      <c r="C4453" s="9" t="s">
        <v>37</v>
      </c>
      <c r="D4453" s="9" t="n">
        <v>24</v>
      </c>
      <c r="E4453" s="9" t="s">
        <v>82</v>
      </c>
      <c r="F4453" s="9" t="s">
        <v>39</v>
      </c>
      <c r="G4453" s="10" t="n">
        <v>45776</v>
      </c>
      <c r="H4453" s="10" t="n">
        <v>45796</v>
      </c>
      <c r="I4453" s="9" t="s">
        <v>66</v>
      </c>
      <c r="J4453" s="9" t="s">
        <v>41</v>
      </c>
      <c r="K4453" s="9" t="n">
        <v>20</v>
      </c>
      <c r="L4453" s="9" t="n">
        <v>8</v>
      </c>
      <c r="M4453" s="9" t="n">
        <v>3</v>
      </c>
      <c r="N4453" s="9" t="s">
        <v>42</v>
      </c>
      <c r="O4453" s="9" t="s">
        <v>43</v>
      </c>
      <c r="P4453" s="9" t="n">
        <v>4.7</v>
      </c>
      <c r="Q4453" s="9" t="n">
        <v>20</v>
      </c>
      <c r="R4453" s="9" t="s">
        <v>44</v>
      </c>
      <c r="S4453" s="9"/>
      <c r="T4453" s="9"/>
      <c r="U4453" s="9" t="str">
        <f aca="false">IF(COUNTIF($A$2:$A$5001,A4453)&gt;1,"Duplicate","Unique")</f>
        <v>Unique</v>
      </c>
      <c r="V4453" s="9" t="str">
        <f aca="false">IF(COUNTIFS($B$2:$B$5001,B4453,$H$2:$H$5001,H4453,$J$2:$J$5001,J4453)&gt;1,"Possible Duplicate Booking","Unique")</f>
        <v>Unique</v>
      </c>
      <c r="W4453" s="9" t="str">
        <f aca="false">IF((H4453-G4453)&lt;&gt;K4453,"Mismatch","OK")</f>
        <v>OK</v>
      </c>
      <c r="X4453" s="9" t="str">
        <f aca="false">IF(TEXT(H4453,"dddd")&lt;&gt;I4453,"Mismatch","OK")</f>
        <v>OK</v>
      </c>
      <c r="Y4453" s="9" t="str">
        <f aca="false">IF(AND(N4453="No",O4453&lt;&gt;""),"Unexpected: channel present but no reminder sent",IF(AND(N4453="Yes",O4453=""),"Missing channel for sent reminder","OK"))</f>
        <v>OK</v>
      </c>
    </row>
    <row r="4454" customFormat="false" ht="15" hidden="false" customHeight="false" outlineLevel="0" collapsed="false">
      <c r="A4454" s="7" t="s">
        <v>6174</v>
      </c>
      <c r="B4454" s="7" t="s">
        <v>933</v>
      </c>
      <c r="C4454" s="7" t="s">
        <v>47</v>
      </c>
      <c r="D4454" s="7" t="n">
        <v>64</v>
      </c>
      <c r="E4454" s="7" t="s">
        <v>61</v>
      </c>
      <c r="F4454" s="7" t="s">
        <v>57</v>
      </c>
      <c r="G4454" s="8" t="n">
        <v>45875</v>
      </c>
      <c r="H4454" s="8" t="n">
        <v>45918</v>
      </c>
      <c r="I4454" s="7" t="s">
        <v>62</v>
      </c>
      <c r="J4454" s="7" t="s">
        <v>63</v>
      </c>
      <c r="K4454" s="7" t="n">
        <v>43</v>
      </c>
      <c r="L4454" s="7" t="n">
        <v>2</v>
      </c>
      <c r="M4454" s="7" t="n">
        <v>0</v>
      </c>
      <c r="N4454" s="7" t="s">
        <v>71</v>
      </c>
      <c r="O4454" s="7"/>
      <c r="P4454" s="7" t="n">
        <v>9.4</v>
      </c>
      <c r="Q4454" s="7" t="n">
        <v>15</v>
      </c>
      <c r="R4454" s="7" t="s">
        <v>53</v>
      </c>
      <c r="S4454" s="7"/>
      <c r="T4454" s="7"/>
      <c r="U4454" s="7" t="str">
        <f aca="false">IF(COUNTIF($A$2:$A$5001,A4454)&gt;1,"Duplicate","Unique")</f>
        <v>Unique</v>
      </c>
      <c r="V4454" s="7" t="str">
        <f aca="false">IF(COUNTIFS($B$2:$B$5001,B4454,$H$2:$H$5001,H4454,$J$2:$J$5001,J4454)&gt;1,"Possible Duplicate Booking","Unique")</f>
        <v>Unique</v>
      </c>
      <c r="W4454" s="7" t="str">
        <f aca="false">IF((H4454-G4454)&lt;&gt;K4454,"Mismatch","OK")</f>
        <v>OK</v>
      </c>
      <c r="X4454" s="7" t="str">
        <f aca="false">IF(TEXT(H4454,"dddd")&lt;&gt;I4454,"Mismatch","OK")</f>
        <v>OK</v>
      </c>
      <c r="Y4454" s="7" t="str">
        <f aca="false">IF(AND(N4454="No",O4454&lt;&gt;""),"Unexpected: channel present but no reminder sent",IF(AND(N4454="Yes",O4454=""),"Missing channel for sent reminder","OK"))</f>
        <v>OK</v>
      </c>
    </row>
    <row r="4455" customFormat="false" ht="15" hidden="false" customHeight="false" outlineLevel="0" collapsed="false">
      <c r="A4455" s="9" t="s">
        <v>6175</v>
      </c>
      <c r="B4455" s="9" t="s">
        <v>991</v>
      </c>
      <c r="C4455" s="9" t="s">
        <v>37</v>
      </c>
      <c r="D4455" s="9" t="n">
        <v>19</v>
      </c>
      <c r="E4455" s="9" t="s">
        <v>82</v>
      </c>
      <c r="F4455" s="9" t="s">
        <v>74</v>
      </c>
      <c r="G4455" s="10" t="n">
        <v>45994</v>
      </c>
      <c r="H4455" s="10" t="n">
        <v>46043</v>
      </c>
      <c r="I4455" s="9" t="s">
        <v>58</v>
      </c>
      <c r="J4455" s="9" t="s">
        <v>41</v>
      </c>
      <c r="K4455" s="9" t="n">
        <v>49</v>
      </c>
      <c r="L4455" s="9" t="n">
        <v>2</v>
      </c>
      <c r="M4455" s="9" t="n">
        <v>1</v>
      </c>
      <c r="N4455" s="9" t="s">
        <v>42</v>
      </c>
      <c r="O4455" s="9" t="s">
        <v>43</v>
      </c>
      <c r="P4455" s="9" t="n">
        <v>10.1</v>
      </c>
      <c r="Q4455" s="9" t="n">
        <v>40</v>
      </c>
      <c r="R4455" s="9" t="s">
        <v>44</v>
      </c>
      <c r="S4455" s="9"/>
      <c r="T4455" s="9"/>
      <c r="U4455" s="9" t="str">
        <f aca="false">IF(COUNTIF($A$2:$A$5001,A4455)&gt;1,"Duplicate","Unique")</f>
        <v>Unique</v>
      </c>
      <c r="V4455" s="9" t="str">
        <f aca="false">IF(COUNTIFS($B$2:$B$5001,B4455,$H$2:$H$5001,H4455,$J$2:$J$5001,J4455)&gt;1,"Possible Duplicate Booking","Unique")</f>
        <v>Unique</v>
      </c>
      <c r="W4455" s="9" t="str">
        <f aca="false">IF((H4455-G4455)&lt;&gt;K4455,"Mismatch","OK")</f>
        <v>OK</v>
      </c>
      <c r="X4455" s="9" t="str">
        <f aca="false">IF(TEXT(H4455,"dddd")&lt;&gt;I4455,"Mismatch","OK")</f>
        <v>OK</v>
      </c>
      <c r="Y4455" s="9" t="str">
        <f aca="false">IF(AND(N4455="No",O4455&lt;&gt;""),"Unexpected: channel present but no reminder sent",IF(AND(N4455="Yes",O4455=""),"Missing channel for sent reminder","OK"))</f>
        <v>OK</v>
      </c>
    </row>
    <row r="4456" customFormat="false" ht="15" hidden="false" customHeight="false" outlineLevel="0" collapsed="false">
      <c r="A4456" s="7" t="s">
        <v>6176</v>
      </c>
      <c r="B4456" s="7" t="s">
        <v>1119</v>
      </c>
      <c r="C4456" s="7" t="s">
        <v>37</v>
      </c>
      <c r="D4456" s="7" t="n">
        <v>32</v>
      </c>
      <c r="E4456" s="7" t="s">
        <v>48</v>
      </c>
      <c r="F4456" s="7" t="s">
        <v>49</v>
      </c>
      <c r="G4456" s="8" t="n">
        <v>45977</v>
      </c>
      <c r="H4456" s="8" t="n">
        <v>45992</v>
      </c>
      <c r="I4456" s="7" t="s">
        <v>66</v>
      </c>
      <c r="J4456" s="7" t="s">
        <v>41</v>
      </c>
      <c r="K4456" s="7" t="n">
        <v>15</v>
      </c>
      <c r="L4456" s="7" t="n">
        <v>4</v>
      </c>
      <c r="M4456" s="7" t="n">
        <v>2</v>
      </c>
      <c r="N4456" s="7" t="s">
        <v>42</v>
      </c>
      <c r="O4456" s="7" t="s">
        <v>67</v>
      </c>
      <c r="P4456" s="7" t="n">
        <v>12.3</v>
      </c>
      <c r="Q4456" s="7" t="n">
        <v>23</v>
      </c>
      <c r="R4456" s="7" t="s">
        <v>53</v>
      </c>
      <c r="S4456" s="7"/>
      <c r="T4456" s="7"/>
      <c r="U4456" s="7" t="str">
        <f aca="false">IF(COUNTIF($A$2:$A$5001,A4456)&gt;1,"Duplicate","Unique")</f>
        <v>Unique</v>
      </c>
      <c r="V4456" s="7" t="str">
        <f aca="false">IF(COUNTIFS($B$2:$B$5001,B4456,$H$2:$H$5001,H4456,$J$2:$J$5001,J4456)&gt;1,"Possible Duplicate Booking","Unique")</f>
        <v>Unique</v>
      </c>
      <c r="W4456" s="7" t="str">
        <f aca="false">IF((H4456-G4456)&lt;&gt;K4456,"Mismatch","OK")</f>
        <v>OK</v>
      </c>
      <c r="X4456" s="7" t="str">
        <f aca="false">IF(TEXT(H4456,"dddd")&lt;&gt;I4456,"Mismatch","OK")</f>
        <v>OK</v>
      </c>
      <c r="Y4456" s="7" t="str">
        <f aca="false">IF(AND(N4456="No",O4456&lt;&gt;""),"Unexpected: channel present but no reminder sent",IF(AND(N4456="Yes",O4456=""),"Missing channel for sent reminder","OK"))</f>
        <v>OK</v>
      </c>
    </row>
    <row r="4457" customFormat="false" ht="15" hidden="false" customHeight="false" outlineLevel="0" collapsed="false">
      <c r="A4457" s="9" t="s">
        <v>6177</v>
      </c>
      <c r="B4457" s="9" t="s">
        <v>1044</v>
      </c>
      <c r="C4457" s="9" t="s">
        <v>47</v>
      </c>
      <c r="D4457" s="9" t="n">
        <v>38</v>
      </c>
      <c r="E4457" s="9" t="s">
        <v>38</v>
      </c>
      <c r="F4457" s="9" t="s">
        <v>39</v>
      </c>
      <c r="G4457" s="10" t="n">
        <v>45679</v>
      </c>
      <c r="H4457" s="10" t="n">
        <v>45694</v>
      </c>
      <c r="I4457" s="9" t="s">
        <v>62</v>
      </c>
      <c r="J4457" s="9" t="s">
        <v>51</v>
      </c>
      <c r="K4457" s="9" t="n">
        <v>15</v>
      </c>
      <c r="L4457" s="9" t="n">
        <v>2</v>
      </c>
      <c r="M4457" s="9" t="n">
        <v>1</v>
      </c>
      <c r="N4457" s="9" t="s">
        <v>42</v>
      </c>
      <c r="O4457" s="9" t="s">
        <v>43</v>
      </c>
      <c r="P4457" s="9" t="n">
        <v>8.4</v>
      </c>
      <c r="Q4457" s="9" t="n">
        <v>22</v>
      </c>
      <c r="R4457" s="9" t="s">
        <v>44</v>
      </c>
      <c r="S4457" s="9"/>
      <c r="T4457" s="9"/>
      <c r="U4457" s="9" t="str">
        <f aca="false">IF(COUNTIF($A$2:$A$5001,A4457)&gt;1,"Duplicate","Unique")</f>
        <v>Unique</v>
      </c>
      <c r="V4457" s="9" t="str">
        <f aca="false">IF(COUNTIFS($B$2:$B$5001,B4457,$H$2:$H$5001,H4457,$J$2:$J$5001,J4457)&gt;1,"Possible Duplicate Booking","Unique")</f>
        <v>Unique</v>
      </c>
      <c r="W4457" s="9" t="str">
        <f aca="false">IF((H4457-G4457)&lt;&gt;K4457,"Mismatch","OK")</f>
        <v>OK</v>
      </c>
      <c r="X4457" s="9" t="str">
        <f aca="false">IF(TEXT(H4457,"dddd")&lt;&gt;I4457,"Mismatch","OK")</f>
        <v>OK</v>
      </c>
      <c r="Y4457" s="9" t="str">
        <f aca="false">IF(AND(N4457="No",O4457&lt;&gt;""),"Unexpected: channel present but no reminder sent",IF(AND(N4457="Yes",O4457=""),"Missing channel for sent reminder","OK"))</f>
        <v>OK</v>
      </c>
    </row>
    <row r="4458" customFormat="false" ht="15" hidden="false" customHeight="false" outlineLevel="0" collapsed="false">
      <c r="A4458" s="7" t="s">
        <v>6178</v>
      </c>
      <c r="B4458" s="7" t="s">
        <v>759</v>
      </c>
      <c r="C4458" s="7" t="s">
        <v>47</v>
      </c>
      <c r="D4458" s="7" t="n">
        <v>71</v>
      </c>
      <c r="E4458" s="7" t="s">
        <v>70</v>
      </c>
      <c r="F4458" s="7" t="s">
        <v>49</v>
      </c>
      <c r="G4458" s="8" t="n">
        <v>45977</v>
      </c>
      <c r="H4458" s="8" t="n">
        <v>45980</v>
      </c>
      <c r="I4458" s="7" t="s">
        <v>58</v>
      </c>
      <c r="J4458" s="7" t="s">
        <v>51</v>
      </c>
      <c r="K4458" s="7" t="n">
        <v>3</v>
      </c>
      <c r="L4458" s="7" t="n">
        <v>3</v>
      </c>
      <c r="M4458" s="7" t="n">
        <v>0</v>
      </c>
      <c r="N4458" s="7" t="s">
        <v>71</v>
      </c>
      <c r="O4458" s="7"/>
      <c r="P4458" s="7" t="n">
        <v>11.6</v>
      </c>
      <c r="Q4458" s="7" t="n">
        <v>21</v>
      </c>
      <c r="R4458" s="7" t="s">
        <v>53</v>
      </c>
      <c r="S4458" s="7"/>
      <c r="T4458" s="7"/>
      <c r="U4458" s="7" t="str">
        <f aca="false">IF(COUNTIF($A$2:$A$5001,A4458)&gt;1,"Duplicate","Unique")</f>
        <v>Unique</v>
      </c>
      <c r="V4458" s="7" t="str">
        <f aca="false">IF(COUNTIFS($B$2:$B$5001,B4458,$H$2:$H$5001,H4458,$J$2:$J$5001,J4458)&gt;1,"Possible Duplicate Booking","Unique")</f>
        <v>Unique</v>
      </c>
      <c r="W4458" s="7" t="str">
        <f aca="false">IF((H4458-G4458)&lt;&gt;K4458,"Mismatch","OK")</f>
        <v>OK</v>
      </c>
      <c r="X4458" s="7" t="str">
        <f aca="false">IF(TEXT(H4458,"dddd")&lt;&gt;I4458,"Mismatch","OK")</f>
        <v>OK</v>
      </c>
      <c r="Y4458" s="7" t="str">
        <f aca="false">IF(AND(N4458="No",O4458&lt;&gt;""),"Unexpected: channel present but no reminder sent",IF(AND(N4458="Yes",O4458=""),"Missing channel for sent reminder","OK"))</f>
        <v>OK</v>
      </c>
    </row>
    <row r="4459" customFormat="false" ht="15" hidden="false" customHeight="false" outlineLevel="0" collapsed="false">
      <c r="A4459" s="9" t="s">
        <v>6179</v>
      </c>
      <c r="B4459" s="9" t="s">
        <v>5861</v>
      </c>
      <c r="C4459" s="9" t="s">
        <v>47</v>
      </c>
      <c r="D4459" s="9" t="n">
        <v>30</v>
      </c>
      <c r="E4459" s="9" t="s">
        <v>48</v>
      </c>
      <c r="F4459" s="9" t="s">
        <v>57</v>
      </c>
      <c r="G4459" s="10" t="n">
        <v>45643</v>
      </c>
      <c r="H4459" s="10" t="n">
        <v>45679</v>
      </c>
      <c r="I4459" s="9" t="s">
        <v>58</v>
      </c>
      <c r="J4459" s="9" t="s">
        <v>41</v>
      </c>
      <c r="K4459" s="9" t="n">
        <v>36</v>
      </c>
      <c r="L4459" s="9" t="n">
        <v>3</v>
      </c>
      <c r="M4459" s="9" t="n">
        <v>0</v>
      </c>
      <c r="N4459" s="9" t="s">
        <v>71</v>
      </c>
      <c r="O4459" s="9"/>
      <c r="P4459" s="9" t="n">
        <v>18.6</v>
      </c>
      <c r="Q4459" s="9" t="n">
        <v>16</v>
      </c>
      <c r="R4459" s="9" t="s">
        <v>53</v>
      </c>
      <c r="S4459" s="9"/>
      <c r="T4459" s="9"/>
      <c r="U4459" s="9" t="str">
        <f aca="false">IF(COUNTIF($A$2:$A$5001,A4459)&gt;1,"Duplicate","Unique")</f>
        <v>Unique</v>
      </c>
      <c r="V4459" s="9" t="str">
        <f aca="false">IF(COUNTIFS($B$2:$B$5001,B4459,$H$2:$H$5001,H4459,$J$2:$J$5001,J4459)&gt;1,"Possible Duplicate Booking","Unique")</f>
        <v>Unique</v>
      </c>
      <c r="W4459" s="9" t="str">
        <f aca="false">IF((H4459-G4459)&lt;&gt;K4459,"Mismatch","OK")</f>
        <v>OK</v>
      </c>
      <c r="X4459" s="9" t="str">
        <f aca="false">IF(TEXT(H4459,"dddd")&lt;&gt;I4459,"Mismatch","OK")</f>
        <v>OK</v>
      </c>
      <c r="Y4459" s="9" t="str">
        <f aca="false">IF(AND(N4459="No",O4459&lt;&gt;""),"Unexpected: channel present but no reminder sent",IF(AND(N4459="Yes",O4459=""),"Missing channel for sent reminder","OK"))</f>
        <v>OK</v>
      </c>
    </row>
    <row r="4460" customFormat="false" ht="15" hidden="false" customHeight="false" outlineLevel="0" collapsed="false">
      <c r="A4460" s="7" t="s">
        <v>6180</v>
      </c>
      <c r="B4460" s="7" t="s">
        <v>1444</v>
      </c>
      <c r="C4460" s="7" t="s">
        <v>37</v>
      </c>
      <c r="D4460" s="7" t="n">
        <v>67</v>
      </c>
      <c r="E4460" s="7" t="s">
        <v>70</v>
      </c>
      <c r="F4460" s="7" t="s">
        <v>49</v>
      </c>
      <c r="G4460" s="8" t="n">
        <v>45674</v>
      </c>
      <c r="H4460" s="8" t="n">
        <v>45721</v>
      </c>
      <c r="I4460" s="7" t="s">
        <v>58</v>
      </c>
      <c r="J4460" s="7" t="s">
        <v>41</v>
      </c>
      <c r="K4460" s="7" t="n">
        <v>47</v>
      </c>
      <c r="L4460" s="7" t="n">
        <v>3</v>
      </c>
      <c r="M4460" s="7" t="n">
        <v>0</v>
      </c>
      <c r="N4460" s="7" t="s">
        <v>71</v>
      </c>
      <c r="O4460" s="7"/>
      <c r="P4460" s="7" t="n">
        <v>3.5</v>
      </c>
      <c r="Q4460" s="7" t="n">
        <v>44</v>
      </c>
      <c r="R4460" s="7" t="s">
        <v>53</v>
      </c>
      <c r="S4460" s="7"/>
      <c r="T4460" s="7"/>
      <c r="U4460" s="7" t="str">
        <f aca="false">IF(COUNTIF($A$2:$A$5001,A4460)&gt;1,"Duplicate","Unique")</f>
        <v>Unique</v>
      </c>
      <c r="V4460" s="7" t="str">
        <f aca="false">IF(COUNTIFS($B$2:$B$5001,B4460,$H$2:$H$5001,H4460,$J$2:$J$5001,J4460)&gt;1,"Possible Duplicate Booking","Unique")</f>
        <v>Unique</v>
      </c>
      <c r="W4460" s="7" t="str">
        <f aca="false">IF((H4460-G4460)&lt;&gt;K4460,"Mismatch","OK")</f>
        <v>OK</v>
      </c>
      <c r="X4460" s="7" t="str">
        <f aca="false">IF(TEXT(H4460,"dddd")&lt;&gt;I4460,"Mismatch","OK")</f>
        <v>OK</v>
      </c>
      <c r="Y4460" s="7" t="str">
        <f aca="false">IF(AND(N4460="No",O4460&lt;&gt;""),"Unexpected: channel present but no reminder sent",IF(AND(N4460="Yes",O4460=""),"Missing channel for sent reminder","OK"))</f>
        <v>OK</v>
      </c>
    </row>
    <row r="4461" customFormat="false" ht="15" hidden="false" customHeight="false" outlineLevel="0" collapsed="false">
      <c r="A4461" s="9" t="s">
        <v>6181</v>
      </c>
      <c r="B4461" s="9" t="s">
        <v>84</v>
      </c>
      <c r="C4461" s="9" t="s">
        <v>47</v>
      </c>
      <c r="D4461" s="9" t="n">
        <v>80</v>
      </c>
      <c r="E4461" s="9" t="s">
        <v>70</v>
      </c>
      <c r="F4461" s="9" t="s">
        <v>57</v>
      </c>
      <c r="G4461" s="10" t="n">
        <v>45989</v>
      </c>
      <c r="H4461" s="10" t="n">
        <v>46014</v>
      </c>
      <c r="I4461" s="9" t="s">
        <v>40</v>
      </c>
      <c r="J4461" s="9" t="s">
        <v>51</v>
      </c>
      <c r="K4461" s="9" t="n">
        <v>25</v>
      </c>
      <c r="L4461" s="9" t="n">
        <v>1</v>
      </c>
      <c r="M4461" s="9" t="n">
        <v>0</v>
      </c>
      <c r="N4461" s="9" t="s">
        <v>42</v>
      </c>
      <c r="O4461" s="9" t="s">
        <v>52</v>
      </c>
      <c r="P4461" s="9" t="n">
        <v>3.3</v>
      </c>
      <c r="Q4461" s="9" t="n">
        <v>20</v>
      </c>
      <c r="R4461" s="9" t="s">
        <v>44</v>
      </c>
      <c r="S4461" s="9"/>
      <c r="T4461" s="9"/>
      <c r="U4461" s="9" t="str">
        <f aca="false">IF(COUNTIF($A$2:$A$5001,A4461)&gt;1,"Duplicate","Unique")</f>
        <v>Unique</v>
      </c>
      <c r="V4461" s="9" t="str">
        <f aca="false">IF(COUNTIFS($B$2:$B$5001,B4461,$H$2:$H$5001,H4461,$J$2:$J$5001,J4461)&gt;1,"Possible Duplicate Booking","Unique")</f>
        <v>Unique</v>
      </c>
      <c r="W4461" s="9" t="str">
        <f aca="false">IF((H4461-G4461)&lt;&gt;K4461,"Mismatch","OK")</f>
        <v>OK</v>
      </c>
      <c r="X4461" s="9" t="str">
        <f aca="false">IF(TEXT(H4461,"dddd")&lt;&gt;I4461,"Mismatch","OK")</f>
        <v>OK</v>
      </c>
      <c r="Y4461" s="9" t="str">
        <f aca="false">IF(AND(N4461="No",O4461&lt;&gt;""),"Unexpected: channel present but no reminder sent",IF(AND(N4461="Yes",O4461=""),"Missing channel for sent reminder","OK"))</f>
        <v>OK</v>
      </c>
    </row>
    <row r="4462" customFormat="false" ht="15" hidden="false" customHeight="false" outlineLevel="0" collapsed="false">
      <c r="A4462" s="7" t="s">
        <v>6182</v>
      </c>
      <c r="B4462" s="7" t="s">
        <v>2745</v>
      </c>
      <c r="C4462" s="7" t="s">
        <v>37</v>
      </c>
      <c r="D4462" s="7" t="n">
        <v>78</v>
      </c>
      <c r="E4462" s="7" t="s">
        <v>70</v>
      </c>
      <c r="F4462" s="7" t="s">
        <v>39</v>
      </c>
      <c r="G4462" s="8" t="n">
        <v>45704</v>
      </c>
      <c r="H4462" s="8" t="n">
        <v>45713</v>
      </c>
      <c r="I4462" s="7" t="s">
        <v>40</v>
      </c>
      <c r="J4462" s="7" t="s">
        <v>63</v>
      </c>
      <c r="K4462" s="7" t="n">
        <v>9</v>
      </c>
      <c r="L4462" s="7" t="n">
        <v>3</v>
      </c>
      <c r="M4462" s="7" t="n">
        <v>0</v>
      </c>
      <c r="N4462" s="7" t="s">
        <v>71</v>
      </c>
      <c r="O4462" s="7"/>
      <c r="P4462" s="7" t="n">
        <v>14.2</v>
      </c>
      <c r="Q4462" s="7" t="n">
        <v>44</v>
      </c>
      <c r="R4462" s="7" t="s">
        <v>53</v>
      </c>
      <c r="S4462" s="7"/>
      <c r="T4462" s="7"/>
      <c r="U4462" s="7" t="str">
        <f aca="false">IF(COUNTIF($A$2:$A$5001,A4462)&gt;1,"Duplicate","Unique")</f>
        <v>Unique</v>
      </c>
      <c r="V4462" s="7" t="str">
        <f aca="false">IF(COUNTIFS($B$2:$B$5001,B4462,$H$2:$H$5001,H4462,$J$2:$J$5001,J4462)&gt;1,"Possible Duplicate Booking","Unique")</f>
        <v>Unique</v>
      </c>
      <c r="W4462" s="7" t="str">
        <f aca="false">IF((H4462-G4462)&lt;&gt;K4462,"Mismatch","OK")</f>
        <v>OK</v>
      </c>
      <c r="X4462" s="7" t="str">
        <f aca="false">IF(TEXT(H4462,"dddd")&lt;&gt;I4462,"Mismatch","OK")</f>
        <v>OK</v>
      </c>
      <c r="Y4462" s="7" t="str">
        <f aca="false">IF(AND(N4462="No",O4462&lt;&gt;""),"Unexpected: channel present but no reminder sent",IF(AND(N4462="Yes",O4462=""),"Missing channel for sent reminder","OK"))</f>
        <v>OK</v>
      </c>
    </row>
    <row r="4463" customFormat="false" ht="15" hidden="false" customHeight="false" outlineLevel="0" collapsed="false">
      <c r="A4463" s="9" t="s">
        <v>6183</v>
      </c>
      <c r="B4463" s="9" t="s">
        <v>1941</v>
      </c>
      <c r="C4463" s="9" t="s">
        <v>47</v>
      </c>
      <c r="D4463" s="9" t="n">
        <v>37</v>
      </c>
      <c r="E4463" s="9" t="s">
        <v>38</v>
      </c>
      <c r="F4463" s="9" t="s">
        <v>57</v>
      </c>
      <c r="G4463" s="10" t="n">
        <v>45824</v>
      </c>
      <c r="H4463" s="10" t="n">
        <v>45843</v>
      </c>
      <c r="I4463" s="9" t="s">
        <v>102</v>
      </c>
      <c r="J4463" s="9" t="s">
        <v>41</v>
      </c>
      <c r="K4463" s="9" t="n">
        <v>19</v>
      </c>
      <c r="L4463" s="9" t="n">
        <v>6</v>
      </c>
      <c r="M4463" s="9" t="n">
        <v>0</v>
      </c>
      <c r="N4463" s="9" t="s">
        <v>71</v>
      </c>
      <c r="O4463" s="9"/>
      <c r="P4463" s="9" t="n">
        <v>5.6</v>
      </c>
      <c r="Q4463" s="9" t="n">
        <v>15</v>
      </c>
      <c r="R4463" s="9" t="s">
        <v>53</v>
      </c>
      <c r="S4463" s="9"/>
      <c r="T4463" s="9"/>
      <c r="U4463" s="9" t="str">
        <f aca="false">IF(COUNTIF($A$2:$A$5001,A4463)&gt;1,"Duplicate","Unique")</f>
        <v>Unique</v>
      </c>
      <c r="V4463" s="9" t="str">
        <f aca="false">IF(COUNTIFS($B$2:$B$5001,B4463,$H$2:$H$5001,H4463,$J$2:$J$5001,J4463)&gt;1,"Possible Duplicate Booking","Unique")</f>
        <v>Unique</v>
      </c>
      <c r="W4463" s="9" t="str">
        <f aca="false">IF((H4463-G4463)&lt;&gt;K4463,"Mismatch","OK")</f>
        <v>OK</v>
      </c>
      <c r="X4463" s="9" t="str">
        <f aca="false">IF(TEXT(H4463,"dddd")&lt;&gt;I4463,"Mismatch","OK")</f>
        <v>OK</v>
      </c>
      <c r="Y4463" s="9" t="str">
        <f aca="false">IF(AND(N4463="No",O4463&lt;&gt;""),"Unexpected: channel present but no reminder sent",IF(AND(N4463="Yes",O4463=""),"Missing channel for sent reminder","OK"))</f>
        <v>OK</v>
      </c>
    </row>
    <row r="4464" customFormat="false" ht="15" hidden="false" customHeight="false" outlineLevel="0" collapsed="false">
      <c r="A4464" s="7" t="s">
        <v>6184</v>
      </c>
      <c r="B4464" s="7" t="s">
        <v>591</v>
      </c>
      <c r="C4464" s="7" t="s">
        <v>37</v>
      </c>
      <c r="D4464" s="7" t="n">
        <v>24</v>
      </c>
      <c r="E4464" s="7" t="s">
        <v>82</v>
      </c>
      <c r="F4464" s="7" t="s">
        <v>49</v>
      </c>
      <c r="G4464" s="8" t="n">
        <v>45955</v>
      </c>
      <c r="H4464" s="8" t="n">
        <v>45979</v>
      </c>
      <c r="I4464" s="7" t="s">
        <v>40</v>
      </c>
      <c r="J4464" s="7" t="s">
        <v>51</v>
      </c>
      <c r="K4464" s="7" t="n">
        <v>24</v>
      </c>
      <c r="L4464" s="7" t="n">
        <v>0</v>
      </c>
      <c r="M4464" s="7" t="n">
        <v>0</v>
      </c>
      <c r="N4464" s="7" t="s">
        <v>42</v>
      </c>
      <c r="O4464" s="7" t="s">
        <v>52</v>
      </c>
      <c r="P4464" s="7" t="n">
        <v>18.9</v>
      </c>
      <c r="Q4464" s="7" t="n">
        <v>24</v>
      </c>
      <c r="R4464" s="7" t="s">
        <v>44</v>
      </c>
      <c r="S4464" s="7"/>
      <c r="T4464" s="7"/>
      <c r="U4464" s="7" t="str">
        <f aca="false">IF(COUNTIF($A$2:$A$5001,A4464)&gt;1,"Duplicate","Unique")</f>
        <v>Unique</v>
      </c>
      <c r="V4464" s="7" t="str">
        <f aca="false">IF(COUNTIFS($B$2:$B$5001,B4464,$H$2:$H$5001,H4464,$J$2:$J$5001,J4464)&gt;1,"Possible Duplicate Booking","Unique")</f>
        <v>Unique</v>
      </c>
      <c r="W4464" s="7" t="str">
        <f aca="false">IF((H4464-G4464)&lt;&gt;K4464,"Mismatch","OK")</f>
        <v>OK</v>
      </c>
      <c r="X4464" s="7" t="str">
        <f aca="false">IF(TEXT(H4464,"dddd")&lt;&gt;I4464,"Mismatch","OK")</f>
        <v>OK</v>
      </c>
      <c r="Y4464" s="7" t="str">
        <f aca="false">IF(AND(N4464="No",O4464&lt;&gt;""),"Unexpected: channel present but no reminder sent",IF(AND(N4464="Yes",O4464=""),"Missing channel for sent reminder","OK"))</f>
        <v>OK</v>
      </c>
    </row>
    <row r="4465" customFormat="false" ht="15" hidden="false" customHeight="false" outlineLevel="0" collapsed="false">
      <c r="A4465" s="9" t="s">
        <v>6185</v>
      </c>
      <c r="B4465" s="9" t="s">
        <v>6186</v>
      </c>
      <c r="C4465" s="9" t="s">
        <v>37</v>
      </c>
      <c r="D4465" s="9" t="n">
        <v>31</v>
      </c>
      <c r="E4465" s="9" t="s">
        <v>48</v>
      </c>
      <c r="F4465" s="9" t="s">
        <v>57</v>
      </c>
      <c r="G4465" s="10" t="n">
        <v>45960</v>
      </c>
      <c r="H4465" s="10" t="n">
        <v>46015</v>
      </c>
      <c r="I4465" s="9" t="s">
        <v>58</v>
      </c>
      <c r="J4465" s="9" t="s">
        <v>63</v>
      </c>
      <c r="K4465" s="9" t="n">
        <v>55</v>
      </c>
      <c r="L4465" s="9" t="n">
        <v>3</v>
      </c>
      <c r="M4465" s="9" t="n">
        <v>0</v>
      </c>
      <c r="N4465" s="9" t="s">
        <v>42</v>
      </c>
      <c r="O4465" s="9" t="s">
        <v>67</v>
      </c>
      <c r="P4465" s="9" t="n">
        <v>16.1</v>
      </c>
      <c r="Q4465" s="9" t="n">
        <v>19</v>
      </c>
      <c r="R4465" s="9" t="s">
        <v>44</v>
      </c>
      <c r="S4465" s="9"/>
      <c r="T4465" s="9"/>
      <c r="U4465" s="9" t="str">
        <f aca="false">IF(COUNTIF($A$2:$A$5001,A4465)&gt;1,"Duplicate","Unique")</f>
        <v>Unique</v>
      </c>
      <c r="V4465" s="9" t="str">
        <f aca="false">IF(COUNTIFS($B$2:$B$5001,B4465,$H$2:$H$5001,H4465,$J$2:$J$5001,J4465)&gt;1,"Possible Duplicate Booking","Unique")</f>
        <v>Unique</v>
      </c>
      <c r="W4465" s="9" t="str">
        <f aca="false">IF((H4465-G4465)&lt;&gt;K4465,"Mismatch","OK")</f>
        <v>OK</v>
      </c>
      <c r="X4465" s="9" t="str">
        <f aca="false">IF(TEXT(H4465,"dddd")&lt;&gt;I4465,"Mismatch","OK")</f>
        <v>OK</v>
      </c>
      <c r="Y4465" s="9" t="str">
        <f aca="false">IF(AND(N4465="No",O4465&lt;&gt;""),"Unexpected: channel present but no reminder sent",IF(AND(N4465="Yes",O4465=""),"Missing channel for sent reminder","OK"))</f>
        <v>OK</v>
      </c>
    </row>
    <row r="4466" customFormat="false" ht="15" hidden="false" customHeight="false" outlineLevel="0" collapsed="false">
      <c r="A4466" s="7" t="s">
        <v>6187</v>
      </c>
      <c r="B4466" s="7" t="s">
        <v>4068</v>
      </c>
      <c r="C4466" s="7" t="s">
        <v>47</v>
      </c>
      <c r="D4466" s="7" t="n">
        <v>66</v>
      </c>
      <c r="E4466" s="7" t="s">
        <v>70</v>
      </c>
      <c r="F4466" s="7" t="s">
        <v>57</v>
      </c>
      <c r="G4466" s="8" t="n">
        <v>45894</v>
      </c>
      <c r="H4466" s="8" t="n">
        <v>45901</v>
      </c>
      <c r="I4466" s="7" t="s">
        <v>66</v>
      </c>
      <c r="J4466" s="7" t="s">
        <v>41</v>
      </c>
      <c r="K4466" s="7" t="n">
        <v>7</v>
      </c>
      <c r="L4466" s="7" t="n">
        <v>1</v>
      </c>
      <c r="M4466" s="7" t="n">
        <v>0</v>
      </c>
      <c r="N4466" s="7" t="s">
        <v>42</v>
      </c>
      <c r="O4466" s="7" t="s">
        <v>67</v>
      </c>
      <c r="P4466" s="7" t="n">
        <v>19.3</v>
      </c>
      <c r="Q4466" s="7" t="n">
        <v>15</v>
      </c>
      <c r="R4466" s="7" t="s">
        <v>53</v>
      </c>
      <c r="S4466" s="7"/>
      <c r="T4466" s="7"/>
      <c r="U4466" s="7" t="str">
        <f aca="false">IF(COUNTIF($A$2:$A$5001,A4466)&gt;1,"Duplicate","Unique")</f>
        <v>Unique</v>
      </c>
      <c r="V4466" s="7" t="str">
        <f aca="false">IF(COUNTIFS($B$2:$B$5001,B4466,$H$2:$H$5001,H4466,$J$2:$J$5001,J4466)&gt;1,"Possible Duplicate Booking","Unique")</f>
        <v>Unique</v>
      </c>
      <c r="W4466" s="7" t="str">
        <f aca="false">IF((H4466-G4466)&lt;&gt;K4466,"Mismatch","OK")</f>
        <v>OK</v>
      </c>
      <c r="X4466" s="7" t="str">
        <f aca="false">IF(TEXT(H4466,"dddd")&lt;&gt;I4466,"Mismatch","OK")</f>
        <v>OK</v>
      </c>
      <c r="Y4466" s="7" t="str">
        <f aca="false">IF(AND(N4466="No",O4466&lt;&gt;""),"Unexpected: channel present but no reminder sent",IF(AND(N4466="Yes",O4466=""),"Missing channel for sent reminder","OK"))</f>
        <v>OK</v>
      </c>
    </row>
    <row r="4467" customFormat="false" ht="15" hidden="false" customHeight="false" outlineLevel="0" collapsed="false">
      <c r="A4467" s="9" t="s">
        <v>6188</v>
      </c>
      <c r="B4467" s="9" t="s">
        <v>322</v>
      </c>
      <c r="C4467" s="9" t="s">
        <v>37</v>
      </c>
      <c r="D4467" s="9" t="n">
        <v>30</v>
      </c>
      <c r="E4467" s="9" t="s">
        <v>48</v>
      </c>
      <c r="F4467" s="9" t="s">
        <v>57</v>
      </c>
      <c r="G4467" s="10" t="n">
        <v>45689</v>
      </c>
      <c r="H4467" s="10" t="n">
        <v>45709</v>
      </c>
      <c r="I4467" s="9" t="s">
        <v>50</v>
      </c>
      <c r="J4467" s="9" t="s">
        <v>41</v>
      </c>
      <c r="K4467" s="9" t="n">
        <v>20</v>
      </c>
      <c r="L4467" s="9" t="n">
        <v>2</v>
      </c>
      <c r="M4467" s="9" t="n">
        <v>0</v>
      </c>
      <c r="N4467" s="9" t="s">
        <v>42</v>
      </c>
      <c r="O4467" s="9" t="s">
        <v>52</v>
      </c>
      <c r="P4467" s="9" t="n">
        <v>2.3</v>
      </c>
      <c r="Q4467" s="9" t="n">
        <v>22</v>
      </c>
      <c r="R4467" s="9" t="s">
        <v>53</v>
      </c>
      <c r="S4467" s="9"/>
      <c r="T4467" s="9"/>
      <c r="U4467" s="9" t="str">
        <f aca="false">IF(COUNTIF($A$2:$A$5001,A4467)&gt;1,"Duplicate","Unique")</f>
        <v>Unique</v>
      </c>
      <c r="V4467" s="9" t="str">
        <f aca="false">IF(COUNTIFS($B$2:$B$5001,B4467,$H$2:$H$5001,H4467,$J$2:$J$5001,J4467)&gt;1,"Possible Duplicate Booking","Unique")</f>
        <v>Unique</v>
      </c>
      <c r="W4467" s="9" t="str">
        <f aca="false">IF((H4467-G4467)&lt;&gt;K4467,"Mismatch","OK")</f>
        <v>OK</v>
      </c>
      <c r="X4467" s="9" t="str">
        <f aca="false">IF(TEXT(H4467,"dddd")&lt;&gt;I4467,"Mismatch","OK")</f>
        <v>OK</v>
      </c>
      <c r="Y4467" s="9" t="str">
        <f aca="false">IF(AND(N4467="No",O4467&lt;&gt;""),"Unexpected: channel present but no reminder sent",IF(AND(N4467="Yes",O4467=""),"Missing channel for sent reminder","OK"))</f>
        <v>OK</v>
      </c>
    </row>
    <row r="4468" customFormat="false" ht="15" hidden="false" customHeight="false" outlineLevel="0" collapsed="false">
      <c r="A4468" s="7" t="s">
        <v>6189</v>
      </c>
      <c r="B4468" s="7" t="s">
        <v>1359</v>
      </c>
      <c r="C4468" s="7" t="s">
        <v>47</v>
      </c>
      <c r="D4468" s="7" t="n">
        <v>58</v>
      </c>
      <c r="E4468" s="7" t="s">
        <v>61</v>
      </c>
      <c r="F4468" s="7" t="s">
        <v>49</v>
      </c>
      <c r="G4468" s="8" t="n">
        <v>46056</v>
      </c>
      <c r="H4468" s="8" t="n">
        <v>46094</v>
      </c>
      <c r="I4468" s="7" t="s">
        <v>50</v>
      </c>
      <c r="J4468" s="7" t="s">
        <v>51</v>
      </c>
      <c r="K4468" s="7" t="n">
        <v>38</v>
      </c>
      <c r="L4468" s="7" t="n">
        <v>3</v>
      </c>
      <c r="M4468" s="7" t="n">
        <v>1</v>
      </c>
      <c r="N4468" s="7" t="s">
        <v>71</v>
      </c>
      <c r="O4468" s="7"/>
      <c r="P4468" s="7" t="n">
        <v>8.2</v>
      </c>
      <c r="Q4468" s="7" t="n">
        <v>42</v>
      </c>
      <c r="R4468" s="7" t="s">
        <v>44</v>
      </c>
      <c r="S4468" s="7"/>
      <c r="T4468" s="7"/>
      <c r="U4468" s="7" t="str">
        <f aca="false">IF(COUNTIF($A$2:$A$5001,A4468)&gt;1,"Duplicate","Unique")</f>
        <v>Unique</v>
      </c>
      <c r="V4468" s="7" t="str">
        <f aca="false">IF(COUNTIFS($B$2:$B$5001,B4468,$H$2:$H$5001,H4468,$J$2:$J$5001,J4468)&gt;1,"Possible Duplicate Booking","Unique")</f>
        <v>Unique</v>
      </c>
      <c r="W4468" s="7" t="str">
        <f aca="false">IF((H4468-G4468)&lt;&gt;K4468,"Mismatch","OK")</f>
        <v>OK</v>
      </c>
      <c r="X4468" s="7" t="str">
        <f aca="false">IF(TEXT(H4468,"dddd")&lt;&gt;I4468,"Mismatch","OK")</f>
        <v>OK</v>
      </c>
      <c r="Y4468" s="7" t="str">
        <f aca="false">IF(AND(N4468="No",O4468&lt;&gt;""),"Unexpected: channel present but no reminder sent",IF(AND(N4468="Yes",O4468=""),"Missing channel for sent reminder","OK"))</f>
        <v>OK</v>
      </c>
    </row>
    <row r="4469" customFormat="false" ht="15" hidden="false" customHeight="false" outlineLevel="0" collapsed="false">
      <c r="A4469" s="9" t="s">
        <v>6190</v>
      </c>
      <c r="B4469" s="9" t="s">
        <v>6172</v>
      </c>
      <c r="C4469" s="9" t="s">
        <v>37</v>
      </c>
      <c r="D4469" s="9" t="n">
        <v>41</v>
      </c>
      <c r="E4469" s="9" t="s">
        <v>38</v>
      </c>
      <c r="F4469" s="9" t="s">
        <v>57</v>
      </c>
      <c r="G4469" s="10" t="n">
        <v>46162</v>
      </c>
      <c r="H4469" s="10" t="n">
        <v>46176</v>
      </c>
      <c r="I4469" s="9" t="s">
        <v>58</v>
      </c>
      <c r="J4469" s="9" t="s">
        <v>51</v>
      </c>
      <c r="K4469" s="9" t="n">
        <v>14</v>
      </c>
      <c r="L4469" s="9" t="n">
        <v>2</v>
      </c>
      <c r="M4469" s="9" t="n">
        <v>1</v>
      </c>
      <c r="N4469" s="9" t="s">
        <v>71</v>
      </c>
      <c r="O4469" s="9"/>
      <c r="P4469" s="9" t="n">
        <v>11.7</v>
      </c>
      <c r="Q4469" s="9" t="n">
        <v>38</v>
      </c>
      <c r="R4469" s="9" t="s">
        <v>53</v>
      </c>
      <c r="S4469" s="9"/>
      <c r="T4469" s="9"/>
      <c r="U4469" s="9" t="str">
        <f aca="false">IF(COUNTIF($A$2:$A$5001,A4469)&gt;1,"Duplicate","Unique")</f>
        <v>Unique</v>
      </c>
      <c r="V4469" s="9" t="str">
        <f aca="false">IF(COUNTIFS($B$2:$B$5001,B4469,$H$2:$H$5001,H4469,$J$2:$J$5001,J4469)&gt;1,"Possible Duplicate Booking","Unique")</f>
        <v>Unique</v>
      </c>
      <c r="W4469" s="9" t="str">
        <f aca="false">IF((H4469-G4469)&lt;&gt;K4469,"Mismatch","OK")</f>
        <v>OK</v>
      </c>
      <c r="X4469" s="9" t="str">
        <f aca="false">IF(TEXT(H4469,"dddd")&lt;&gt;I4469,"Mismatch","OK")</f>
        <v>OK</v>
      </c>
      <c r="Y4469" s="9" t="str">
        <f aca="false">IF(AND(N4469="No",O4469&lt;&gt;""),"Unexpected: channel present but no reminder sent",IF(AND(N4469="Yes",O4469=""),"Missing channel for sent reminder","OK"))</f>
        <v>OK</v>
      </c>
    </row>
    <row r="4470" customFormat="false" ht="15" hidden="false" customHeight="false" outlineLevel="0" collapsed="false">
      <c r="A4470" s="7" t="s">
        <v>6191</v>
      </c>
      <c r="B4470" s="7" t="s">
        <v>1573</v>
      </c>
      <c r="C4470" s="7" t="s">
        <v>37</v>
      </c>
      <c r="D4470" s="7" t="n">
        <v>66</v>
      </c>
      <c r="E4470" s="7" t="s">
        <v>70</v>
      </c>
      <c r="F4470" s="7" t="s">
        <v>39</v>
      </c>
      <c r="G4470" s="8" t="n">
        <v>46090</v>
      </c>
      <c r="H4470" s="8" t="n">
        <v>46143</v>
      </c>
      <c r="I4470" s="7" t="s">
        <v>50</v>
      </c>
      <c r="J4470" s="7" t="s">
        <v>51</v>
      </c>
      <c r="K4470" s="7" t="n">
        <v>53</v>
      </c>
      <c r="L4470" s="7" t="n">
        <v>4</v>
      </c>
      <c r="M4470" s="7" t="n">
        <v>1</v>
      </c>
      <c r="N4470" s="7" t="s">
        <v>42</v>
      </c>
      <c r="O4470" s="7" t="s">
        <v>52</v>
      </c>
      <c r="P4470" s="7" t="n">
        <v>3.9</v>
      </c>
      <c r="Q4470" s="7" t="n">
        <v>24</v>
      </c>
      <c r="R4470" s="7" t="s">
        <v>44</v>
      </c>
      <c r="S4470" s="7"/>
      <c r="T4470" s="7"/>
      <c r="U4470" s="7" t="str">
        <f aca="false">IF(COUNTIF($A$2:$A$5001,A4470)&gt;1,"Duplicate","Unique")</f>
        <v>Unique</v>
      </c>
      <c r="V4470" s="7" t="str">
        <f aca="false">IF(COUNTIFS($B$2:$B$5001,B4470,$H$2:$H$5001,H4470,$J$2:$J$5001,J4470)&gt;1,"Possible Duplicate Booking","Unique")</f>
        <v>Unique</v>
      </c>
      <c r="W4470" s="7" t="str">
        <f aca="false">IF((H4470-G4470)&lt;&gt;K4470,"Mismatch","OK")</f>
        <v>OK</v>
      </c>
      <c r="X4470" s="7" t="str">
        <f aca="false">IF(TEXT(H4470,"dddd")&lt;&gt;I4470,"Mismatch","OK")</f>
        <v>OK</v>
      </c>
      <c r="Y4470" s="7" t="str">
        <f aca="false">IF(AND(N4470="No",O4470&lt;&gt;""),"Unexpected: channel present but no reminder sent",IF(AND(N4470="Yes",O4470=""),"Missing channel for sent reminder","OK"))</f>
        <v>OK</v>
      </c>
    </row>
    <row r="4471" customFormat="false" ht="15" hidden="false" customHeight="false" outlineLevel="0" collapsed="false">
      <c r="A4471" s="9" t="s">
        <v>6192</v>
      </c>
      <c r="B4471" s="9" t="s">
        <v>1726</v>
      </c>
      <c r="C4471" s="9" t="s">
        <v>37</v>
      </c>
      <c r="D4471" s="9" t="n">
        <v>56</v>
      </c>
      <c r="E4471" s="9" t="s">
        <v>61</v>
      </c>
      <c r="F4471" s="9" t="s">
        <v>57</v>
      </c>
      <c r="G4471" s="10" t="n">
        <v>46011</v>
      </c>
      <c r="H4471" s="10" t="n">
        <v>46066</v>
      </c>
      <c r="I4471" s="9" t="s">
        <v>50</v>
      </c>
      <c r="J4471" s="9" t="s">
        <v>41</v>
      </c>
      <c r="K4471" s="9" t="n">
        <v>55</v>
      </c>
      <c r="L4471" s="9" t="n">
        <v>1</v>
      </c>
      <c r="M4471" s="9" t="n">
        <v>1</v>
      </c>
      <c r="N4471" s="9" t="s">
        <v>42</v>
      </c>
      <c r="O4471" s="9" t="s">
        <v>43</v>
      </c>
      <c r="P4471" s="9" t="n">
        <v>7.9</v>
      </c>
      <c r="Q4471" s="9" t="n">
        <v>9</v>
      </c>
      <c r="R4471" s="9" t="s">
        <v>53</v>
      </c>
      <c r="S4471" s="9"/>
      <c r="T4471" s="9"/>
      <c r="U4471" s="9" t="str">
        <f aca="false">IF(COUNTIF($A$2:$A$5001,A4471)&gt;1,"Duplicate","Unique")</f>
        <v>Unique</v>
      </c>
      <c r="V4471" s="9" t="str">
        <f aca="false">IF(COUNTIFS($B$2:$B$5001,B4471,$H$2:$H$5001,H4471,$J$2:$J$5001,J4471)&gt;1,"Possible Duplicate Booking","Unique")</f>
        <v>Unique</v>
      </c>
      <c r="W4471" s="9" t="str">
        <f aca="false">IF((H4471-G4471)&lt;&gt;K4471,"Mismatch","OK")</f>
        <v>OK</v>
      </c>
      <c r="X4471" s="9" t="str">
        <f aca="false">IF(TEXT(H4471,"dddd")&lt;&gt;I4471,"Mismatch","OK")</f>
        <v>OK</v>
      </c>
      <c r="Y4471" s="9" t="str">
        <f aca="false">IF(AND(N4471="No",O4471&lt;&gt;""),"Unexpected: channel present but no reminder sent",IF(AND(N4471="Yes",O4471=""),"Missing channel for sent reminder","OK"))</f>
        <v>OK</v>
      </c>
    </row>
    <row r="4472" customFormat="false" ht="15" hidden="false" customHeight="false" outlineLevel="0" collapsed="false">
      <c r="A4472" s="7" t="s">
        <v>6193</v>
      </c>
      <c r="B4472" s="7" t="s">
        <v>5062</v>
      </c>
      <c r="C4472" s="7" t="s">
        <v>37</v>
      </c>
      <c r="D4472" s="7" t="n">
        <v>54</v>
      </c>
      <c r="E4472" s="7" t="s">
        <v>56</v>
      </c>
      <c r="F4472" s="7" t="s">
        <v>49</v>
      </c>
      <c r="G4472" s="8" t="n">
        <v>45854</v>
      </c>
      <c r="H4472" s="8" t="n">
        <v>45877</v>
      </c>
      <c r="I4472" s="7" t="s">
        <v>50</v>
      </c>
      <c r="J4472" s="7" t="s">
        <v>41</v>
      </c>
      <c r="K4472" s="7" t="n">
        <v>23</v>
      </c>
      <c r="L4472" s="7" t="n">
        <v>5</v>
      </c>
      <c r="M4472" s="7" t="n">
        <v>0</v>
      </c>
      <c r="N4472" s="7" t="s">
        <v>42</v>
      </c>
      <c r="O4472" s="7" t="s">
        <v>52</v>
      </c>
      <c r="P4472" s="7" t="n">
        <v>10.8</v>
      </c>
      <c r="Q4472" s="7" t="n">
        <v>28</v>
      </c>
      <c r="R4472" s="7" t="s">
        <v>53</v>
      </c>
      <c r="S4472" s="7"/>
      <c r="T4472" s="7"/>
      <c r="U4472" s="7" t="str">
        <f aca="false">IF(COUNTIF($A$2:$A$5001,A4472)&gt;1,"Duplicate","Unique")</f>
        <v>Unique</v>
      </c>
      <c r="V4472" s="7" t="str">
        <f aca="false">IF(COUNTIFS($B$2:$B$5001,B4472,$H$2:$H$5001,H4472,$J$2:$J$5001,J4472)&gt;1,"Possible Duplicate Booking","Unique")</f>
        <v>Unique</v>
      </c>
      <c r="W4472" s="7" t="str">
        <f aca="false">IF((H4472-G4472)&lt;&gt;K4472,"Mismatch","OK")</f>
        <v>OK</v>
      </c>
      <c r="X4472" s="7" t="str">
        <f aca="false">IF(TEXT(H4472,"dddd")&lt;&gt;I4472,"Mismatch","OK")</f>
        <v>OK</v>
      </c>
      <c r="Y4472" s="7" t="str">
        <f aca="false">IF(AND(N4472="No",O4472&lt;&gt;""),"Unexpected: channel present but no reminder sent",IF(AND(N4472="Yes",O4472=""),"Missing channel for sent reminder","OK"))</f>
        <v>OK</v>
      </c>
    </row>
    <row r="4473" customFormat="false" ht="15" hidden="false" customHeight="false" outlineLevel="0" collapsed="false">
      <c r="A4473" s="9" t="s">
        <v>6194</v>
      </c>
      <c r="B4473" s="9" t="s">
        <v>5304</v>
      </c>
      <c r="C4473" s="9" t="s">
        <v>37</v>
      </c>
      <c r="D4473" s="9" t="n">
        <v>67</v>
      </c>
      <c r="E4473" s="9" t="s">
        <v>70</v>
      </c>
      <c r="F4473" s="9" t="s">
        <v>57</v>
      </c>
      <c r="G4473" s="10" t="n">
        <v>46091</v>
      </c>
      <c r="H4473" s="10" t="n">
        <v>46136</v>
      </c>
      <c r="I4473" s="9" t="s">
        <v>50</v>
      </c>
      <c r="J4473" s="9" t="s">
        <v>63</v>
      </c>
      <c r="K4473" s="9" t="n">
        <v>45</v>
      </c>
      <c r="L4473" s="9" t="n">
        <v>2</v>
      </c>
      <c r="M4473" s="9" t="n">
        <v>1</v>
      </c>
      <c r="N4473" s="9" t="s">
        <v>71</v>
      </c>
      <c r="O4473" s="9"/>
      <c r="P4473" s="9" t="n">
        <v>5</v>
      </c>
      <c r="Q4473" s="9" t="n">
        <v>18</v>
      </c>
      <c r="R4473" s="9" t="s">
        <v>44</v>
      </c>
      <c r="S4473" s="9"/>
      <c r="T4473" s="9"/>
      <c r="U4473" s="9" t="str">
        <f aca="false">IF(COUNTIF($A$2:$A$5001,A4473)&gt;1,"Duplicate","Unique")</f>
        <v>Unique</v>
      </c>
      <c r="V4473" s="9" t="str">
        <f aca="false">IF(COUNTIFS($B$2:$B$5001,B4473,$H$2:$H$5001,H4473,$J$2:$J$5001,J4473)&gt;1,"Possible Duplicate Booking","Unique")</f>
        <v>Unique</v>
      </c>
      <c r="W4473" s="9" t="str">
        <f aca="false">IF((H4473-G4473)&lt;&gt;K4473,"Mismatch","OK")</f>
        <v>OK</v>
      </c>
      <c r="X4473" s="9" t="str">
        <f aca="false">IF(TEXT(H4473,"dddd")&lt;&gt;I4473,"Mismatch","OK")</f>
        <v>OK</v>
      </c>
      <c r="Y4473" s="9" t="str">
        <f aca="false">IF(AND(N4473="No",O4473&lt;&gt;""),"Unexpected: channel present but no reminder sent",IF(AND(N4473="Yes",O4473=""),"Missing channel for sent reminder","OK"))</f>
        <v>OK</v>
      </c>
    </row>
    <row r="4474" customFormat="false" ht="15" hidden="false" customHeight="false" outlineLevel="0" collapsed="false">
      <c r="A4474" s="7" t="s">
        <v>6195</v>
      </c>
      <c r="B4474" s="7" t="s">
        <v>3667</v>
      </c>
      <c r="C4474" s="7" t="s">
        <v>37</v>
      </c>
      <c r="D4474" s="7" t="n">
        <v>78</v>
      </c>
      <c r="E4474" s="7" t="s">
        <v>70</v>
      </c>
      <c r="F4474" s="7" t="s">
        <v>74</v>
      </c>
      <c r="G4474" s="8" t="n">
        <v>45878</v>
      </c>
      <c r="H4474" s="8" t="n">
        <v>45924</v>
      </c>
      <c r="I4474" s="7" t="s">
        <v>58</v>
      </c>
      <c r="J4474" s="7" t="s">
        <v>63</v>
      </c>
      <c r="K4474" s="7" t="n">
        <v>46</v>
      </c>
      <c r="L4474" s="7" t="n">
        <v>4</v>
      </c>
      <c r="M4474" s="7" t="n">
        <v>0</v>
      </c>
      <c r="N4474" s="7" t="s">
        <v>42</v>
      </c>
      <c r="O4474" s="7" t="s">
        <v>52</v>
      </c>
      <c r="P4474" s="7" t="n">
        <v>3.9</v>
      </c>
      <c r="Q4474" s="7" t="n">
        <v>13</v>
      </c>
      <c r="R4474" s="7" t="s">
        <v>53</v>
      </c>
      <c r="S4474" s="7"/>
      <c r="T4474" s="7"/>
      <c r="U4474" s="7" t="str">
        <f aca="false">IF(COUNTIF($A$2:$A$5001,A4474)&gt;1,"Duplicate","Unique")</f>
        <v>Unique</v>
      </c>
      <c r="V4474" s="7" t="str">
        <f aca="false">IF(COUNTIFS($B$2:$B$5001,B4474,$H$2:$H$5001,H4474,$J$2:$J$5001,J4474)&gt;1,"Possible Duplicate Booking","Unique")</f>
        <v>Unique</v>
      </c>
      <c r="W4474" s="7" t="str">
        <f aca="false">IF((H4474-G4474)&lt;&gt;K4474,"Mismatch","OK")</f>
        <v>OK</v>
      </c>
      <c r="X4474" s="7" t="str">
        <f aca="false">IF(TEXT(H4474,"dddd")&lt;&gt;I4474,"Mismatch","OK")</f>
        <v>OK</v>
      </c>
      <c r="Y4474" s="7" t="str">
        <f aca="false">IF(AND(N4474="No",O4474&lt;&gt;""),"Unexpected: channel present but no reminder sent",IF(AND(N4474="Yes",O4474=""),"Missing channel for sent reminder","OK"))</f>
        <v>OK</v>
      </c>
    </row>
    <row r="4475" customFormat="false" ht="15" hidden="false" customHeight="false" outlineLevel="0" collapsed="false">
      <c r="A4475" s="9" t="s">
        <v>6196</v>
      </c>
      <c r="B4475" s="9" t="s">
        <v>1216</v>
      </c>
      <c r="C4475" s="9" t="s">
        <v>37</v>
      </c>
      <c r="D4475" s="9" t="n">
        <v>40</v>
      </c>
      <c r="E4475" s="9" t="s">
        <v>38</v>
      </c>
      <c r="F4475" s="9" t="s">
        <v>57</v>
      </c>
      <c r="G4475" s="10" t="n">
        <v>45691</v>
      </c>
      <c r="H4475" s="10" t="n">
        <v>45732</v>
      </c>
      <c r="I4475" s="9" t="s">
        <v>75</v>
      </c>
      <c r="J4475" s="9" t="s">
        <v>51</v>
      </c>
      <c r="K4475" s="9" t="n">
        <v>41</v>
      </c>
      <c r="L4475" s="9" t="n">
        <v>3</v>
      </c>
      <c r="M4475" s="9" t="n">
        <v>0</v>
      </c>
      <c r="N4475" s="9" t="s">
        <v>42</v>
      </c>
      <c r="O4475" s="9" t="s">
        <v>43</v>
      </c>
      <c r="P4475" s="9" t="n">
        <v>6.7</v>
      </c>
      <c r="Q4475" s="9" t="n">
        <v>31</v>
      </c>
      <c r="R4475" s="9" t="s">
        <v>53</v>
      </c>
      <c r="S4475" s="9"/>
      <c r="T4475" s="9"/>
      <c r="U4475" s="9" t="str">
        <f aca="false">IF(COUNTIF($A$2:$A$5001,A4475)&gt;1,"Duplicate","Unique")</f>
        <v>Unique</v>
      </c>
      <c r="V4475" s="9" t="str">
        <f aca="false">IF(COUNTIFS($B$2:$B$5001,B4475,$H$2:$H$5001,H4475,$J$2:$J$5001,J4475)&gt;1,"Possible Duplicate Booking","Unique")</f>
        <v>Unique</v>
      </c>
      <c r="W4475" s="9" t="str">
        <f aca="false">IF((H4475-G4475)&lt;&gt;K4475,"Mismatch","OK")</f>
        <v>OK</v>
      </c>
      <c r="X4475" s="9" t="str">
        <f aca="false">IF(TEXT(H4475,"dddd")&lt;&gt;I4475,"Mismatch","OK")</f>
        <v>OK</v>
      </c>
      <c r="Y4475" s="9" t="str">
        <f aca="false">IF(AND(N4475="No",O4475&lt;&gt;""),"Unexpected: channel present but no reminder sent",IF(AND(N4475="Yes",O4475=""),"Missing channel for sent reminder","OK"))</f>
        <v>OK</v>
      </c>
    </row>
    <row r="4476" customFormat="false" ht="15" hidden="false" customHeight="false" outlineLevel="0" collapsed="false">
      <c r="A4476" s="7" t="s">
        <v>6197</v>
      </c>
      <c r="B4476" s="7" t="s">
        <v>2330</v>
      </c>
      <c r="C4476" s="7" t="s">
        <v>47</v>
      </c>
      <c r="D4476" s="7" t="n">
        <v>51</v>
      </c>
      <c r="E4476" s="7" t="s">
        <v>56</v>
      </c>
      <c r="F4476" s="7" t="s">
        <v>57</v>
      </c>
      <c r="G4476" s="8" t="n">
        <v>46111</v>
      </c>
      <c r="H4476" s="8" t="n">
        <v>46122</v>
      </c>
      <c r="I4476" s="7" t="s">
        <v>50</v>
      </c>
      <c r="J4476" s="7" t="s">
        <v>63</v>
      </c>
      <c r="K4476" s="7" t="n">
        <v>11</v>
      </c>
      <c r="L4476" s="7" t="n">
        <v>2</v>
      </c>
      <c r="M4476" s="7" t="n">
        <v>0</v>
      </c>
      <c r="N4476" s="7" t="s">
        <v>42</v>
      </c>
      <c r="O4476" s="7" t="s">
        <v>43</v>
      </c>
      <c r="P4476" s="7" t="n">
        <v>19.9</v>
      </c>
      <c r="Q4476" s="7" t="n">
        <v>10</v>
      </c>
      <c r="R4476" s="7" t="s">
        <v>44</v>
      </c>
      <c r="S4476" s="7"/>
      <c r="T4476" s="7"/>
      <c r="U4476" s="7" t="str">
        <f aca="false">IF(COUNTIF($A$2:$A$5001,A4476)&gt;1,"Duplicate","Unique")</f>
        <v>Unique</v>
      </c>
      <c r="V4476" s="7" t="str">
        <f aca="false">IF(COUNTIFS($B$2:$B$5001,B4476,$H$2:$H$5001,H4476,$J$2:$J$5001,J4476)&gt;1,"Possible Duplicate Booking","Unique")</f>
        <v>Unique</v>
      </c>
      <c r="W4476" s="7" t="str">
        <f aca="false">IF((H4476-G4476)&lt;&gt;K4476,"Mismatch","OK")</f>
        <v>OK</v>
      </c>
      <c r="X4476" s="7" t="str">
        <f aca="false">IF(TEXT(H4476,"dddd")&lt;&gt;I4476,"Mismatch","OK")</f>
        <v>OK</v>
      </c>
      <c r="Y4476" s="7" t="str">
        <f aca="false">IF(AND(N4476="No",O4476&lt;&gt;""),"Unexpected: channel present but no reminder sent",IF(AND(N4476="Yes",O4476=""),"Missing channel for sent reminder","OK"))</f>
        <v>OK</v>
      </c>
    </row>
    <row r="4477" customFormat="false" ht="15" hidden="false" customHeight="false" outlineLevel="0" collapsed="false">
      <c r="A4477" s="9" t="s">
        <v>6198</v>
      </c>
      <c r="B4477" s="9" t="s">
        <v>1389</v>
      </c>
      <c r="C4477" s="9" t="s">
        <v>47</v>
      </c>
      <c r="D4477" s="9" t="n">
        <v>57</v>
      </c>
      <c r="E4477" s="9" t="s">
        <v>61</v>
      </c>
      <c r="F4477" s="9" t="s">
        <v>57</v>
      </c>
      <c r="G4477" s="10" t="n">
        <v>45829</v>
      </c>
      <c r="H4477" s="10" t="n">
        <v>45832</v>
      </c>
      <c r="I4477" s="9" t="s">
        <v>40</v>
      </c>
      <c r="J4477" s="9" t="s">
        <v>51</v>
      </c>
      <c r="K4477" s="9" t="n">
        <v>3</v>
      </c>
      <c r="L4477" s="9" t="n">
        <v>7</v>
      </c>
      <c r="M4477" s="9" t="n">
        <v>2</v>
      </c>
      <c r="N4477" s="9" t="s">
        <v>42</v>
      </c>
      <c r="O4477" s="9" t="s">
        <v>67</v>
      </c>
      <c r="P4477" s="9" t="n">
        <v>12.2</v>
      </c>
      <c r="Q4477" s="9" t="n">
        <v>25</v>
      </c>
      <c r="R4477" s="9" t="s">
        <v>53</v>
      </c>
      <c r="S4477" s="9"/>
      <c r="T4477" s="9"/>
      <c r="U4477" s="9" t="str">
        <f aca="false">IF(COUNTIF($A$2:$A$5001,A4477)&gt;1,"Duplicate","Unique")</f>
        <v>Unique</v>
      </c>
      <c r="V4477" s="9" t="str">
        <f aca="false">IF(COUNTIFS($B$2:$B$5001,B4477,$H$2:$H$5001,H4477,$J$2:$J$5001,J4477)&gt;1,"Possible Duplicate Booking","Unique")</f>
        <v>Unique</v>
      </c>
      <c r="W4477" s="9" t="str">
        <f aca="false">IF((H4477-G4477)&lt;&gt;K4477,"Mismatch","OK")</f>
        <v>OK</v>
      </c>
      <c r="X4477" s="9" t="str">
        <f aca="false">IF(TEXT(H4477,"dddd")&lt;&gt;I4477,"Mismatch","OK")</f>
        <v>OK</v>
      </c>
      <c r="Y4477" s="9" t="str">
        <f aca="false">IF(AND(N4477="No",O4477&lt;&gt;""),"Unexpected: channel present but no reminder sent",IF(AND(N4477="Yes",O4477=""),"Missing channel for sent reminder","OK"))</f>
        <v>OK</v>
      </c>
    </row>
    <row r="4478" customFormat="false" ht="15" hidden="false" customHeight="false" outlineLevel="0" collapsed="false">
      <c r="A4478" s="7" t="s">
        <v>6199</v>
      </c>
      <c r="B4478" s="7" t="s">
        <v>4116</v>
      </c>
      <c r="C4478" s="7" t="s">
        <v>37</v>
      </c>
      <c r="D4478" s="7" t="n">
        <v>69</v>
      </c>
      <c r="E4478" s="7" t="s">
        <v>70</v>
      </c>
      <c r="F4478" s="7" t="s">
        <v>57</v>
      </c>
      <c r="G4478" s="8" t="n">
        <v>46149</v>
      </c>
      <c r="H4478" s="8" t="n">
        <v>46170</v>
      </c>
      <c r="I4478" s="7" t="s">
        <v>62</v>
      </c>
      <c r="J4478" s="7" t="s">
        <v>51</v>
      </c>
      <c r="K4478" s="7" t="n">
        <v>21</v>
      </c>
      <c r="L4478" s="7" t="n">
        <v>2</v>
      </c>
      <c r="M4478" s="7" t="n">
        <v>0</v>
      </c>
      <c r="N4478" s="7" t="s">
        <v>42</v>
      </c>
      <c r="O4478" s="7" t="s">
        <v>43</v>
      </c>
      <c r="P4478" s="7" t="n">
        <v>9.9</v>
      </c>
      <c r="Q4478" s="7" t="n">
        <v>29</v>
      </c>
      <c r="R4478" s="7" t="s">
        <v>44</v>
      </c>
      <c r="S4478" s="7"/>
      <c r="T4478" s="7"/>
      <c r="U4478" s="7" t="str">
        <f aca="false">IF(COUNTIF($A$2:$A$5001,A4478)&gt;1,"Duplicate","Unique")</f>
        <v>Unique</v>
      </c>
      <c r="V4478" s="7" t="str">
        <f aca="false">IF(COUNTIFS($B$2:$B$5001,B4478,$H$2:$H$5001,H4478,$J$2:$J$5001,J4478)&gt;1,"Possible Duplicate Booking","Unique")</f>
        <v>Unique</v>
      </c>
      <c r="W4478" s="7" t="str">
        <f aca="false">IF((H4478-G4478)&lt;&gt;K4478,"Mismatch","OK")</f>
        <v>OK</v>
      </c>
      <c r="X4478" s="7" t="str">
        <f aca="false">IF(TEXT(H4478,"dddd")&lt;&gt;I4478,"Mismatch","OK")</f>
        <v>OK</v>
      </c>
      <c r="Y4478" s="7" t="str">
        <f aca="false">IF(AND(N4478="No",O4478&lt;&gt;""),"Unexpected: channel present but no reminder sent",IF(AND(N4478="Yes",O4478=""),"Missing channel for sent reminder","OK"))</f>
        <v>OK</v>
      </c>
    </row>
    <row r="4479" customFormat="false" ht="15" hidden="false" customHeight="false" outlineLevel="0" collapsed="false">
      <c r="A4479" s="9" t="s">
        <v>6200</v>
      </c>
      <c r="B4479" s="9" t="s">
        <v>1260</v>
      </c>
      <c r="C4479" s="9" t="s">
        <v>37</v>
      </c>
      <c r="D4479" s="9" t="n">
        <v>48</v>
      </c>
      <c r="E4479" s="9" t="s">
        <v>56</v>
      </c>
      <c r="F4479" s="9" t="s">
        <v>39</v>
      </c>
      <c r="G4479" s="10" t="n">
        <v>45851</v>
      </c>
      <c r="H4479" s="10" t="n">
        <v>45859</v>
      </c>
      <c r="I4479" s="9" t="s">
        <v>66</v>
      </c>
      <c r="J4479" s="9" t="s">
        <v>41</v>
      </c>
      <c r="K4479" s="9" t="n">
        <v>8</v>
      </c>
      <c r="L4479" s="9" t="n">
        <v>4</v>
      </c>
      <c r="M4479" s="9" t="n">
        <v>0</v>
      </c>
      <c r="N4479" s="9" t="s">
        <v>71</v>
      </c>
      <c r="O4479" s="9"/>
      <c r="P4479" s="9" t="n">
        <v>15.5</v>
      </c>
      <c r="Q4479" s="9" t="n">
        <v>31</v>
      </c>
      <c r="R4479" s="9" t="s">
        <v>53</v>
      </c>
      <c r="S4479" s="9"/>
      <c r="T4479" s="9"/>
      <c r="U4479" s="9" t="str">
        <f aca="false">IF(COUNTIF($A$2:$A$5001,A4479)&gt;1,"Duplicate","Unique")</f>
        <v>Unique</v>
      </c>
      <c r="V4479" s="9" t="str">
        <f aca="false">IF(COUNTIFS($B$2:$B$5001,B4479,$H$2:$H$5001,H4479,$J$2:$J$5001,J4479)&gt;1,"Possible Duplicate Booking","Unique")</f>
        <v>Unique</v>
      </c>
      <c r="W4479" s="9" t="str">
        <f aca="false">IF((H4479-G4479)&lt;&gt;K4479,"Mismatch","OK")</f>
        <v>OK</v>
      </c>
      <c r="X4479" s="9" t="str">
        <f aca="false">IF(TEXT(H4479,"dddd")&lt;&gt;I4479,"Mismatch","OK")</f>
        <v>OK</v>
      </c>
      <c r="Y4479" s="9" t="str">
        <f aca="false">IF(AND(N4479="No",O4479&lt;&gt;""),"Unexpected: channel present but no reminder sent",IF(AND(N4479="Yes",O4479=""),"Missing channel for sent reminder","OK"))</f>
        <v>OK</v>
      </c>
    </row>
    <row r="4480" customFormat="false" ht="15" hidden="false" customHeight="false" outlineLevel="0" collapsed="false">
      <c r="A4480" s="7" t="s">
        <v>6201</v>
      </c>
      <c r="B4480" s="7" t="s">
        <v>2399</v>
      </c>
      <c r="C4480" s="7" t="s">
        <v>37</v>
      </c>
      <c r="D4480" s="7" t="n">
        <v>41</v>
      </c>
      <c r="E4480" s="7" t="s">
        <v>38</v>
      </c>
      <c r="F4480" s="7" t="s">
        <v>57</v>
      </c>
      <c r="G4480" s="8" t="n">
        <v>46115</v>
      </c>
      <c r="H4480" s="8" t="n">
        <v>46132</v>
      </c>
      <c r="I4480" s="7" t="s">
        <v>66</v>
      </c>
      <c r="J4480" s="7" t="s">
        <v>63</v>
      </c>
      <c r="K4480" s="7" t="n">
        <v>17</v>
      </c>
      <c r="L4480" s="7" t="n">
        <v>3</v>
      </c>
      <c r="M4480" s="7" t="n">
        <v>1</v>
      </c>
      <c r="N4480" s="7" t="s">
        <v>42</v>
      </c>
      <c r="O4480" s="7" t="s">
        <v>52</v>
      </c>
      <c r="P4480" s="7" t="n">
        <v>8.4</v>
      </c>
      <c r="Q4480" s="7" t="n">
        <v>10</v>
      </c>
      <c r="R4480" s="7" t="s">
        <v>44</v>
      </c>
      <c r="S4480" s="7"/>
      <c r="T4480" s="7"/>
      <c r="U4480" s="7" t="str">
        <f aca="false">IF(COUNTIF($A$2:$A$5001,A4480)&gt;1,"Duplicate","Unique")</f>
        <v>Unique</v>
      </c>
      <c r="V4480" s="7" t="str">
        <f aca="false">IF(COUNTIFS($B$2:$B$5001,B4480,$H$2:$H$5001,H4480,$J$2:$J$5001,J4480)&gt;1,"Possible Duplicate Booking","Unique")</f>
        <v>Unique</v>
      </c>
      <c r="W4480" s="7" t="str">
        <f aca="false">IF((H4480-G4480)&lt;&gt;K4480,"Mismatch","OK")</f>
        <v>OK</v>
      </c>
      <c r="X4480" s="7" t="str">
        <f aca="false">IF(TEXT(H4480,"dddd")&lt;&gt;I4480,"Mismatch","OK")</f>
        <v>OK</v>
      </c>
      <c r="Y4480" s="7" t="str">
        <f aca="false">IF(AND(N4480="No",O4480&lt;&gt;""),"Unexpected: channel present but no reminder sent",IF(AND(N4480="Yes",O4480=""),"Missing channel for sent reminder","OK"))</f>
        <v>OK</v>
      </c>
    </row>
    <row r="4481" customFormat="false" ht="15" hidden="false" customHeight="false" outlineLevel="0" collapsed="false">
      <c r="A4481" s="9" t="s">
        <v>6202</v>
      </c>
      <c r="B4481" s="9" t="s">
        <v>5766</v>
      </c>
      <c r="C4481" s="9" t="s">
        <v>37</v>
      </c>
      <c r="D4481" s="9" t="n">
        <v>71</v>
      </c>
      <c r="E4481" s="9" t="s">
        <v>70</v>
      </c>
      <c r="F4481" s="9" t="s">
        <v>74</v>
      </c>
      <c r="G4481" s="10" t="n">
        <v>45913</v>
      </c>
      <c r="H4481" s="10" t="n">
        <v>45951</v>
      </c>
      <c r="I4481" s="9" t="s">
        <v>40</v>
      </c>
      <c r="J4481" s="9" t="s">
        <v>63</v>
      </c>
      <c r="K4481" s="9" t="n">
        <v>38</v>
      </c>
      <c r="L4481" s="9" t="n">
        <v>1</v>
      </c>
      <c r="M4481" s="9" t="n">
        <v>0</v>
      </c>
      <c r="N4481" s="9" t="s">
        <v>42</v>
      </c>
      <c r="O4481" s="9" t="s">
        <v>43</v>
      </c>
      <c r="P4481" s="9" t="n">
        <v>6</v>
      </c>
      <c r="Q4481" s="9" t="n">
        <v>42</v>
      </c>
      <c r="R4481" s="9" t="s">
        <v>44</v>
      </c>
      <c r="S4481" s="9"/>
      <c r="T4481" s="9"/>
      <c r="U4481" s="9" t="str">
        <f aca="false">IF(COUNTIF($A$2:$A$5001,A4481)&gt;1,"Duplicate","Unique")</f>
        <v>Unique</v>
      </c>
      <c r="V4481" s="9" t="str">
        <f aca="false">IF(COUNTIFS($B$2:$B$5001,B4481,$H$2:$H$5001,H4481,$J$2:$J$5001,J4481)&gt;1,"Possible Duplicate Booking","Unique")</f>
        <v>Unique</v>
      </c>
      <c r="W4481" s="9" t="str">
        <f aca="false">IF((H4481-G4481)&lt;&gt;K4481,"Mismatch","OK")</f>
        <v>OK</v>
      </c>
      <c r="X4481" s="9" t="str">
        <f aca="false">IF(TEXT(H4481,"dddd")&lt;&gt;I4481,"Mismatch","OK")</f>
        <v>OK</v>
      </c>
      <c r="Y4481" s="9" t="str">
        <f aca="false">IF(AND(N4481="No",O4481&lt;&gt;""),"Unexpected: channel present but no reminder sent",IF(AND(N4481="Yes",O4481=""),"Missing channel for sent reminder","OK"))</f>
        <v>OK</v>
      </c>
    </row>
    <row r="4482" customFormat="false" ht="15" hidden="false" customHeight="false" outlineLevel="0" collapsed="false">
      <c r="A4482" s="7" t="s">
        <v>6203</v>
      </c>
      <c r="B4482" s="7" t="s">
        <v>6204</v>
      </c>
      <c r="C4482" s="7" t="s">
        <v>37</v>
      </c>
      <c r="D4482" s="7" t="n">
        <v>78</v>
      </c>
      <c r="E4482" s="7" t="s">
        <v>70</v>
      </c>
      <c r="F4482" s="7" t="s">
        <v>39</v>
      </c>
      <c r="G4482" s="8" t="n">
        <v>45878</v>
      </c>
      <c r="H4482" s="8" t="n">
        <v>45913</v>
      </c>
      <c r="I4482" s="7" t="s">
        <v>102</v>
      </c>
      <c r="J4482" s="7" t="s">
        <v>41</v>
      </c>
      <c r="K4482" s="7" t="n">
        <v>35</v>
      </c>
      <c r="L4482" s="7" t="n">
        <v>2</v>
      </c>
      <c r="M4482" s="7" t="n">
        <v>0</v>
      </c>
      <c r="N4482" s="7" t="s">
        <v>42</v>
      </c>
      <c r="O4482" s="7" t="s">
        <v>52</v>
      </c>
      <c r="P4482" s="7" t="n">
        <v>4.1</v>
      </c>
      <c r="Q4482" s="7" t="n">
        <v>27</v>
      </c>
      <c r="R4482" s="7" t="s">
        <v>44</v>
      </c>
      <c r="S4482" s="7"/>
      <c r="T4482" s="7"/>
      <c r="U4482" s="7" t="str">
        <f aca="false">IF(COUNTIF($A$2:$A$5001,A4482)&gt;1,"Duplicate","Unique")</f>
        <v>Unique</v>
      </c>
      <c r="V4482" s="7" t="str">
        <f aca="false">IF(COUNTIFS($B$2:$B$5001,B4482,$H$2:$H$5001,H4482,$J$2:$J$5001,J4482)&gt;1,"Possible Duplicate Booking","Unique")</f>
        <v>Unique</v>
      </c>
      <c r="W4482" s="7" t="str">
        <f aca="false">IF((H4482-G4482)&lt;&gt;K4482,"Mismatch","OK")</f>
        <v>OK</v>
      </c>
      <c r="X4482" s="7" t="str">
        <f aca="false">IF(TEXT(H4482,"dddd")&lt;&gt;I4482,"Mismatch","OK")</f>
        <v>OK</v>
      </c>
      <c r="Y4482" s="7" t="str">
        <f aca="false">IF(AND(N4482="No",O4482&lt;&gt;""),"Unexpected: channel present but no reminder sent",IF(AND(N4482="Yes",O4482=""),"Missing channel for sent reminder","OK"))</f>
        <v>OK</v>
      </c>
    </row>
    <row r="4483" customFormat="false" ht="15" hidden="false" customHeight="false" outlineLevel="0" collapsed="false">
      <c r="A4483" s="9" t="s">
        <v>6205</v>
      </c>
      <c r="B4483" s="9" t="s">
        <v>615</v>
      </c>
      <c r="C4483" s="9" t="s">
        <v>37</v>
      </c>
      <c r="D4483" s="9" t="n">
        <v>53</v>
      </c>
      <c r="E4483" s="9" t="s">
        <v>56</v>
      </c>
      <c r="F4483" s="9" t="s">
        <v>57</v>
      </c>
      <c r="G4483" s="10" t="n">
        <v>45808</v>
      </c>
      <c r="H4483" s="10" t="n">
        <v>45820</v>
      </c>
      <c r="I4483" s="9" t="s">
        <v>62</v>
      </c>
      <c r="J4483" s="9" t="s">
        <v>51</v>
      </c>
      <c r="K4483" s="9" t="n">
        <v>12</v>
      </c>
      <c r="L4483" s="9" t="n">
        <v>3</v>
      </c>
      <c r="M4483" s="9" t="n">
        <v>0</v>
      </c>
      <c r="N4483" s="9" t="s">
        <v>42</v>
      </c>
      <c r="O4483" s="9" t="s">
        <v>43</v>
      </c>
      <c r="P4483" s="9" t="n">
        <v>7.4</v>
      </c>
      <c r="Q4483" s="9" t="n">
        <v>24</v>
      </c>
      <c r="R4483" s="9" t="s">
        <v>53</v>
      </c>
      <c r="S4483" s="9"/>
      <c r="T4483" s="9"/>
      <c r="U4483" s="9" t="str">
        <f aca="false">IF(COUNTIF($A$2:$A$5001,A4483)&gt;1,"Duplicate","Unique")</f>
        <v>Unique</v>
      </c>
      <c r="V4483" s="9" t="str">
        <f aca="false">IF(COUNTIFS($B$2:$B$5001,B4483,$H$2:$H$5001,H4483,$J$2:$J$5001,J4483)&gt;1,"Possible Duplicate Booking","Unique")</f>
        <v>Unique</v>
      </c>
      <c r="W4483" s="9" t="str">
        <f aca="false">IF((H4483-G4483)&lt;&gt;K4483,"Mismatch","OK")</f>
        <v>OK</v>
      </c>
      <c r="X4483" s="9" t="str">
        <f aca="false">IF(TEXT(H4483,"dddd")&lt;&gt;I4483,"Mismatch","OK")</f>
        <v>OK</v>
      </c>
      <c r="Y4483" s="9" t="str">
        <f aca="false">IF(AND(N4483="No",O4483&lt;&gt;""),"Unexpected: channel present but no reminder sent",IF(AND(N4483="Yes",O4483=""),"Missing channel for sent reminder","OK"))</f>
        <v>OK</v>
      </c>
    </row>
    <row r="4484" customFormat="false" ht="15" hidden="false" customHeight="false" outlineLevel="0" collapsed="false">
      <c r="A4484" s="7" t="s">
        <v>6206</v>
      </c>
      <c r="B4484" s="7" t="s">
        <v>998</v>
      </c>
      <c r="C4484" s="7" t="s">
        <v>47</v>
      </c>
      <c r="D4484" s="7" t="n">
        <v>24</v>
      </c>
      <c r="E4484" s="7" t="s">
        <v>82</v>
      </c>
      <c r="F4484" s="7" t="s">
        <v>39</v>
      </c>
      <c r="G4484" s="8" t="n">
        <v>46113</v>
      </c>
      <c r="H4484" s="8" t="n">
        <v>46114</v>
      </c>
      <c r="I4484" s="7" t="s">
        <v>62</v>
      </c>
      <c r="J4484" s="7" t="s">
        <v>51</v>
      </c>
      <c r="K4484" s="7" t="n">
        <v>1</v>
      </c>
      <c r="L4484" s="7" t="n">
        <v>2</v>
      </c>
      <c r="M4484" s="7" t="n">
        <v>0</v>
      </c>
      <c r="N4484" s="7" t="s">
        <v>42</v>
      </c>
      <c r="O4484" s="7" t="s">
        <v>52</v>
      </c>
      <c r="P4484" s="7" t="n">
        <v>13.6</v>
      </c>
      <c r="Q4484" s="7" t="n">
        <v>9</v>
      </c>
      <c r="R4484" s="7" t="s">
        <v>53</v>
      </c>
      <c r="S4484" s="7"/>
      <c r="T4484" s="7"/>
      <c r="U4484" s="7" t="str">
        <f aca="false">IF(COUNTIF($A$2:$A$5001,A4484)&gt;1,"Duplicate","Unique")</f>
        <v>Unique</v>
      </c>
      <c r="V4484" s="7" t="str">
        <f aca="false">IF(COUNTIFS($B$2:$B$5001,B4484,$H$2:$H$5001,H4484,$J$2:$J$5001,J4484)&gt;1,"Possible Duplicate Booking","Unique")</f>
        <v>Unique</v>
      </c>
      <c r="W4484" s="7" t="str">
        <f aca="false">IF((H4484-G4484)&lt;&gt;K4484,"Mismatch","OK")</f>
        <v>OK</v>
      </c>
      <c r="X4484" s="7" t="str">
        <f aca="false">IF(TEXT(H4484,"dddd")&lt;&gt;I4484,"Mismatch","OK")</f>
        <v>OK</v>
      </c>
      <c r="Y4484" s="7" t="str">
        <f aca="false">IF(AND(N4484="No",O4484&lt;&gt;""),"Unexpected: channel present but no reminder sent",IF(AND(N4484="Yes",O4484=""),"Missing channel for sent reminder","OK"))</f>
        <v>OK</v>
      </c>
    </row>
    <row r="4485" customFormat="false" ht="15" hidden="false" customHeight="false" outlineLevel="0" collapsed="false">
      <c r="A4485" s="9" t="s">
        <v>6207</v>
      </c>
      <c r="B4485" s="9" t="s">
        <v>2575</v>
      </c>
      <c r="C4485" s="9" t="s">
        <v>47</v>
      </c>
      <c r="D4485" s="9" t="n">
        <v>36</v>
      </c>
      <c r="E4485" s="9" t="s">
        <v>38</v>
      </c>
      <c r="F4485" s="9" t="s">
        <v>57</v>
      </c>
      <c r="G4485" s="10" t="n">
        <v>45678</v>
      </c>
      <c r="H4485" s="10" t="n">
        <v>45691</v>
      </c>
      <c r="I4485" s="9" t="s">
        <v>66</v>
      </c>
      <c r="J4485" s="9" t="s">
        <v>51</v>
      </c>
      <c r="K4485" s="9" t="n">
        <v>13</v>
      </c>
      <c r="L4485" s="9" t="n">
        <v>3</v>
      </c>
      <c r="M4485" s="9" t="n">
        <v>0</v>
      </c>
      <c r="N4485" s="9" t="s">
        <v>42</v>
      </c>
      <c r="O4485" s="9" t="s">
        <v>52</v>
      </c>
      <c r="P4485" s="9" t="n">
        <v>0.9</v>
      </c>
      <c r="Q4485" s="9" t="n">
        <v>15</v>
      </c>
      <c r="R4485" s="9" t="s">
        <v>53</v>
      </c>
      <c r="S4485" s="9"/>
      <c r="T4485" s="9"/>
      <c r="U4485" s="9" t="str">
        <f aca="false">IF(COUNTIF($A$2:$A$5001,A4485)&gt;1,"Duplicate","Unique")</f>
        <v>Unique</v>
      </c>
      <c r="V4485" s="9" t="str">
        <f aca="false">IF(COUNTIFS($B$2:$B$5001,B4485,$H$2:$H$5001,H4485,$J$2:$J$5001,J4485)&gt;1,"Possible Duplicate Booking","Unique")</f>
        <v>Unique</v>
      </c>
      <c r="W4485" s="9" t="str">
        <f aca="false">IF((H4485-G4485)&lt;&gt;K4485,"Mismatch","OK")</f>
        <v>OK</v>
      </c>
      <c r="X4485" s="9" t="str">
        <f aca="false">IF(TEXT(H4485,"dddd")&lt;&gt;I4485,"Mismatch","OK")</f>
        <v>OK</v>
      </c>
      <c r="Y4485" s="9" t="str">
        <f aca="false">IF(AND(N4485="No",O4485&lt;&gt;""),"Unexpected: channel present but no reminder sent",IF(AND(N4485="Yes",O4485=""),"Missing channel for sent reminder","OK"))</f>
        <v>OK</v>
      </c>
    </row>
    <row r="4486" customFormat="false" ht="15" hidden="false" customHeight="false" outlineLevel="0" collapsed="false">
      <c r="A4486" s="7" t="s">
        <v>6208</v>
      </c>
      <c r="B4486" s="7" t="s">
        <v>867</v>
      </c>
      <c r="C4486" s="7" t="s">
        <v>37</v>
      </c>
      <c r="D4486" s="7" t="n">
        <v>47</v>
      </c>
      <c r="E4486" s="7" t="s">
        <v>56</v>
      </c>
      <c r="F4486" s="7" t="s">
        <v>57</v>
      </c>
      <c r="G4486" s="8" t="n">
        <v>45887</v>
      </c>
      <c r="H4486" s="8" t="n">
        <v>45914</v>
      </c>
      <c r="I4486" s="7" t="s">
        <v>75</v>
      </c>
      <c r="J4486" s="7" t="s">
        <v>41</v>
      </c>
      <c r="K4486" s="7" t="n">
        <v>27</v>
      </c>
      <c r="L4486" s="7" t="n">
        <v>4</v>
      </c>
      <c r="M4486" s="7" t="n">
        <v>1</v>
      </c>
      <c r="N4486" s="7" t="s">
        <v>42</v>
      </c>
      <c r="O4486" s="7" t="s">
        <v>52</v>
      </c>
      <c r="P4486" s="7" t="n">
        <v>6.1</v>
      </c>
      <c r="Q4486" s="7" t="n">
        <v>20</v>
      </c>
      <c r="R4486" s="7" t="s">
        <v>53</v>
      </c>
      <c r="S4486" s="7"/>
      <c r="T4486" s="7"/>
      <c r="U4486" s="7" t="str">
        <f aca="false">IF(COUNTIF($A$2:$A$5001,A4486)&gt;1,"Duplicate","Unique")</f>
        <v>Unique</v>
      </c>
      <c r="V4486" s="7" t="str">
        <f aca="false">IF(COUNTIFS($B$2:$B$5001,B4486,$H$2:$H$5001,H4486,$J$2:$J$5001,J4486)&gt;1,"Possible Duplicate Booking","Unique")</f>
        <v>Unique</v>
      </c>
      <c r="W4486" s="7" t="str">
        <f aca="false">IF((H4486-G4486)&lt;&gt;K4486,"Mismatch","OK")</f>
        <v>OK</v>
      </c>
      <c r="X4486" s="7" t="str">
        <f aca="false">IF(TEXT(H4486,"dddd")&lt;&gt;I4486,"Mismatch","OK")</f>
        <v>OK</v>
      </c>
      <c r="Y4486" s="7" t="str">
        <f aca="false">IF(AND(N4486="No",O4486&lt;&gt;""),"Unexpected: channel present but no reminder sent",IF(AND(N4486="Yes",O4486=""),"Missing channel for sent reminder","OK"))</f>
        <v>OK</v>
      </c>
    </row>
    <row r="4487" customFormat="false" ht="15" hidden="false" customHeight="false" outlineLevel="0" collapsed="false">
      <c r="A4487" s="9" t="s">
        <v>6209</v>
      </c>
      <c r="B4487" s="9" t="s">
        <v>859</v>
      </c>
      <c r="C4487" s="9" t="s">
        <v>37</v>
      </c>
      <c r="D4487" s="9" t="n">
        <v>62</v>
      </c>
      <c r="E4487" s="9" t="s">
        <v>61</v>
      </c>
      <c r="F4487" s="9" t="s">
        <v>57</v>
      </c>
      <c r="G4487" s="10" t="n">
        <v>45812</v>
      </c>
      <c r="H4487" s="10" t="n">
        <v>45859</v>
      </c>
      <c r="I4487" s="9" t="s">
        <v>66</v>
      </c>
      <c r="J4487" s="9" t="s">
        <v>41</v>
      </c>
      <c r="K4487" s="9" t="n">
        <v>47</v>
      </c>
      <c r="L4487" s="9" t="n">
        <v>3</v>
      </c>
      <c r="M4487" s="9" t="n">
        <v>0</v>
      </c>
      <c r="N4487" s="9" t="s">
        <v>42</v>
      </c>
      <c r="O4487" s="9" t="s">
        <v>43</v>
      </c>
      <c r="P4487" s="9" t="n">
        <v>7.7</v>
      </c>
      <c r="Q4487" s="9" t="n">
        <v>23</v>
      </c>
      <c r="R4487" s="9" t="s">
        <v>44</v>
      </c>
      <c r="S4487" s="9"/>
      <c r="T4487" s="9"/>
      <c r="U4487" s="9" t="str">
        <f aca="false">IF(COUNTIF($A$2:$A$5001,A4487)&gt;1,"Duplicate","Unique")</f>
        <v>Unique</v>
      </c>
      <c r="V4487" s="9" t="str">
        <f aca="false">IF(COUNTIFS($B$2:$B$5001,B4487,$H$2:$H$5001,H4487,$J$2:$J$5001,J4487)&gt;1,"Possible Duplicate Booking","Unique")</f>
        <v>Unique</v>
      </c>
      <c r="W4487" s="9" t="str">
        <f aca="false">IF((H4487-G4487)&lt;&gt;K4487,"Mismatch","OK")</f>
        <v>OK</v>
      </c>
      <c r="X4487" s="9" t="str">
        <f aca="false">IF(TEXT(H4487,"dddd")&lt;&gt;I4487,"Mismatch","OK")</f>
        <v>OK</v>
      </c>
      <c r="Y4487" s="9" t="str">
        <f aca="false">IF(AND(N4487="No",O4487&lt;&gt;""),"Unexpected: channel present but no reminder sent",IF(AND(N4487="Yes",O4487=""),"Missing channel for sent reminder","OK"))</f>
        <v>OK</v>
      </c>
    </row>
    <row r="4488" customFormat="false" ht="15" hidden="false" customHeight="false" outlineLevel="0" collapsed="false">
      <c r="A4488" s="7" t="s">
        <v>6210</v>
      </c>
      <c r="B4488" s="7" t="s">
        <v>1343</v>
      </c>
      <c r="C4488" s="7" t="s">
        <v>37</v>
      </c>
      <c r="D4488" s="7" t="n">
        <v>60</v>
      </c>
      <c r="E4488" s="7" t="s">
        <v>61</v>
      </c>
      <c r="F4488" s="7" t="s">
        <v>57</v>
      </c>
      <c r="G4488" s="8" t="n">
        <v>45932</v>
      </c>
      <c r="H4488" s="8" t="n">
        <v>45954</v>
      </c>
      <c r="I4488" s="7" t="s">
        <v>50</v>
      </c>
      <c r="J4488" s="7" t="s">
        <v>51</v>
      </c>
      <c r="K4488" s="7" t="n">
        <v>22</v>
      </c>
      <c r="L4488" s="7" t="n">
        <v>4</v>
      </c>
      <c r="M4488" s="7" t="n">
        <v>1</v>
      </c>
      <c r="N4488" s="7" t="s">
        <v>42</v>
      </c>
      <c r="O4488" s="7" t="s">
        <v>43</v>
      </c>
      <c r="P4488" s="7" t="n">
        <v>6</v>
      </c>
      <c r="Q4488" s="7" t="n">
        <v>27</v>
      </c>
      <c r="R4488" s="7" t="s">
        <v>53</v>
      </c>
      <c r="S4488" s="7"/>
      <c r="T4488" s="7"/>
      <c r="U4488" s="7" t="str">
        <f aca="false">IF(COUNTIF($A$2:$A$5001,A4488)&gt;1,"Duplicate","Unique")</f>
        <v>Unique</v>
      </c>
      <c r="V4488" s="7" t="str">
        <f aca="false">IF(COUNTIFS($B$2:$B$5001,B4488,$H$2:$H$5001,H4488,$J$2:$J$5001,J4488)&gt;1,"Possible Duplicate Booking","Unique")</f>
        <v>Unique</v>
      </c>
      <c r="W4488" s="7" t="str">
        <f aca="false">IF((H4488-G4488)&lt;&gt;K4488,"Mismatch","OK")</f>
        <v>OK</v>
      </c>
      <c r="X4488" s="7" t="str">
        <f aca="false">IF(TEXT(H4488,"dddd")&lt;&gt;I4488,"Mismatch","OK")</f>
        <v>OK</v>
      </c>
      <c r="Y4488" s="7" t="str">
        <f aca="false">IF(AND(N4488="No",O4488&lt;&gt;""),"Unexpected: channel present but no reminder sent",IF(AND(N4488="Yes",O4488=""),"Missing channel for sent reminder","OK"))</f>
        <v>OK</v>
      </c>
    </row>
    <row r="4489" customFormat="false" ht="15" hidden="false" customHeight="false" outlineLevel="0" collapsed="false">
      <c r="A4489" s="9" t="s">
        <v>6211</v>
      </c>
      <c r="B4489" s="9" t="s">
        <v>5571</v>
      </c>
      <c r="C4489" s="9" t="s">
        <v>37</v>
      </c>
      <c r="D4489" s="9" t="n">
        <v>69</v>
      </c>
      <c r="E4489" s="9" t="s">
        <v>70</v>
      </c>
      <c r="F4489" s="9" t="s">
        <v>57</v>
      </c>
      <c r="G4489" s="10" t="n">
        <v>45779</v>
      </c>
      <c r="H4489" s="10" t="n">
        <v>45796</v>
      </c>
      <c r="I4489" s="9" t="s">
        <v>66</v>
      </c>
      <c r="J4489" s="9" t="s">
        <v>41</v>
      </c>
      <c r="K4489" s="9" t="n">
        <v>17</v>
      </c>
      <c r="L4489" s="9" t="n">
        <v>1</v>
      </c>
      <c r="M4489" s="9" t="n">
        <v>0</v>
      </c>
      <c r="N4489" s="9" t="s">
        <v>42</v>
      </c>
      <c r="O4489" s="9" t="s">
        <v>43</v>
      </c>
      <c r="P4489" s="9" t="n">
        <v>15.8</v>
      </c>
      <c r="Q4489" s="9" t="n">
        <v>20</v>
      </c>
      <c r="R4489" s="9" t="s">
        <v>44</v>
      </c>
      <c r="S4489" s="9"/>
      <c r="T4489" s="9"/>
      <c r="U4489" s="9" t="str">
        <f aca="false">IF(COUNTIF($A$2:$A$5001,A4489)&gt;1,"Duplicate","Unique")</f>
        <v>Unique</v>
      </c>
      <c r="V4489" s="9" t="str">
        <f aca="false">IF(COUNTIFS($B$2:$B$5001,B4489,$H$2:$H$5001,H4489,$J$2:$J$5001,J4489)&gt;1,"Possible Duplicate Booking","Unique")</f>
        <v>Unique</v>
      </c>
      <c r="W4489" s="9" t="str">
        <f aca="false">IF((H4489-G4489)&lt;&gt;K4489,"Mismatch","OK")</f>
        <v>OK</v>
      </c>
      <c r="X4489" s="9" t="str">
        <f aca="false">IF(TEXT(H4489,"dddd")&lt;&gt;I4489,"Mismatch","OK")</f>
        <v>OK</v>
      </c>
      <c r="Y4489" s="9" t="str">
        <f aca="false">IF(AND(N4489="No",O4489&lt;&gt;""),"Unexpected: channel present but no reminder sent",IF(AND(N4489="Yes",O4489=""),"Missing channel for sent reminder","OK"))</f>
        <v>OK</v>
      </c>
    </row>
    <row r="4490" customFormat="false" ht="15" hidden="false" customHeight="false" outlineLevel="0" collapsed="false">
      <c r="A4490" s="7" t="s">
        <v>6212</v>
      </c>
      <c r="B4490" s="7" t="s">
        <v>1183</v>
      </c>
      <c r="C4490" s="7" t="s">
        <v>47</v>
      </c>
      <c r="D4490" s="7" t="n">
        <v>19</v>
      </c>
      <c r="E4490" s="7" t="s">
        <v>82</v>
      </c>
      <c r="F4490" s="7" t="s">
        <v>74</v>
      </c>
      <c r="G4490" s="8" t="n">
        <v>45987</v>
      </c>
      <c r="H4490" s="8" t="n">
        <v>46020</v>
      </c>
      <c r="I4490" s="7" t="s">
        <v>66</v>
      </c>
      <c r="J4490" s="7" t="s">
        <v>41</v>
      </c>
      <c r="K4490" s="7" t="n">
        <v>33</v>
      </c>
      <c r="L4490" s="7" t="n">
        <v>3</v>
      </c>
      <c r="M4490" s="7" t="n">
        <v>0</v>
      </c>
      <c r="N4490" s="7" t="s">
        <v>42</v>
      </c>
      <c r="O4490" s="7" t="s">
        <v>43</v>
      </c>
      <c r="P4490" s="7" t="n">
        <v>11.7</v>
      </c>
      <c r="Q4490" s="7" t="n">
        <v>40</v>
      </c>
      <c r="R4490" s="7" t="s">
        <v>53</v>
      </c>
      <c r="S4490" s="7"/>
      <c r="T4490" s="7"/>
      <c r="U4490" s="7" t="str">
        <f aca="false">IF(COUNTIF($A$2:$A$5001,A4490)&gt;1,"Duplicate","Unique")</f>
        <v>Unique</v>
      </c>
      <c r="V4490" s="7" t="str">
        <f aca="false">IF(COUNTIFS($B$2:$B$5001,B4490,$H$2:$H$5001,H4490,$J$2:$J$5001,J4490)&gt;1,"Possible Duplicate Booking","Unique")</f>
        <v>Unique</v>
      </c>
      <c r="W4490" s="7" t="str">
        <f aca="false">IF((H4490-G4490)&lt;&gt;K4490,"Mismatch","OK")</f>
        <v>OK</v>
      </c>
      <c r="X4490" s="7" t="str">
        <f aca="false">IF(TEXT(H4490,"dddd")&lt;&gt;I4490,"Mismatch","OK")</f>
        <v>OK</v>
      </c>
      <c r="Y4490" s="7" t="str">
        <f aca="false">IF(AND(N4490="No",O4490&lt;&gt;""),"Unexpected: channel present but no reminder sent",IF(AND(N4490="Yes",O4490=""),"Missing channel for sent reminder","OK"))</f>
        <v>OK</v>
      </c>
    </row>
    <row r="4491" customFormat="false" ht="15" hidden="false" customHeight="false" outlineLevel="0" collapsed="false">
      <c r="A4491" s="9" t="s">
        <v>6213</v>
      </c>
      <c r="B4491" s="9" t="s">
        <v>1024</v>
      </c>
      <c r="C4491" s="9" t="s">
        <v>37</v>
      </c>
      <c r="D4491" s="9" t="n">
        <v>47</v>
      </c>
      <c r="E4491" s="9" t="s">
        <v>56</v>
      </c>
      <c r="F4491" s="9" t="s">
        <v>39</v>
      </c>
      <c r="G4491" s="10" t="n">
        <v>45864</v>
      </c>
      <c r="H4491" s="10" t="n">
        <v>45868</v>
      </c>
      <c r="I4491" s="9" t="s">
        <v>58</v>
      </c>
      <c r="J4491" s="9" t="s">
        <v>41</v>
      </c>
      <c r="K4491" s="9" t="n">
        <v>4</v>
      </c>
      <c r="L4491" s="9" t="n">
        <v>4</v>
      </c>
      <c r="M4491" s="9" t="n">
        <v>0</v>
      </c>
      <c r="N4491" s="9" t="s">
        <v>71</v>
      </c>
      <c r="O4491" s="9"/>
      <c r="P4491" s="9" t="n">
        <v>6.3</v>
      </c>
      <c r="Q4491" s="9" t="n">
        <v>20</v>
      </c>
      <c r="R4491" s="9" t="s">
        <v>53</v>
      </c>
      <c r="S4491" s="9"/>
      <c r="T4491" s="9"/>
      <c r="U4491" s="9" t="str">
        <f aca="false">IF(COUNTIF($A$2:$A$5001,A4491)&gt;1,"Duplicate","Unique")</f>
        <v>Unique</v>
      </c>
      <c r="V4491" s="9" t="str">
        <f aca="false">IF(COUNTIFS($B$2:$B$5001,B4491,$H$2:$H$5001,H4491,$J$2:$J$5001,J4491)&gt;1,"Possible Duplicate Booking","Unique")</f>
        <v>Unique</v>
      </c>
      <c r="W4491" s="9" t="str">
        <f aca="false">IF((H4491-G4491)&lt;&gt;K4491,"Mismatch","OK")</f>
        <v>OK</v>
      </c>
      <c r="X4491" s="9" t="str">
        <f aca="false">IF(TEXT(H4491,"dddd")&lt;&gt;I4491,"Mismatch","OK")</f>
        <v>OK</v>
      </c>
      <c r="Y4491" s="9" t="str">
        <f aca="false">IF(AND(N4491="No",O4491&lt;&gt;""),"Unexpected: channel present but no reminder sent",IF(AND(N4491="Yes",O4491=""),"Missing channel for sent reminder","OK"))</f>
        <v>OK</v>
      </c>
    </row>
    <row r="4492" customFormat="false" ht="15" hidden="false" customHeight="false" outlineLevel="0" collapsed="false">
      <c r="A4492" s="7" t="s">
        <v>6214</v>
      </c>
      <c r="B4492" s="7" t="s">
        <v>1061</v>
      </c>
      <c r="C4492" s="7" t="s">
        <v>37</v>
      </c>
      <c r="D4492" s="7" t="n">
        <v>62</v>
      </c>
      <c r="E4492" s="7" t="s">
        <v>61</v>
      </c>
      <c r="F4492" s="7" t="s">
        <v>74</v>
      </c>
      <c r="G4492" s="8" t="n">
        <v>45747</v>
      </c>
      <c r="H4492" s="8" t="n">
        <v>45760</v>
      </c>
      <c r="I4492" s="7" t="s">
        <v>75</v>
      </c>
      <c r="J4492" s="7" t="s">
        <v>51</v>
      </c>
      <c r="K4492" s="7" t="n">
        <v>13</v>
      </c>
      <c r="L4492" s="7" t="n">
        <v>4</v>
      </c>
      <c r="M4492" s="7" t="n">
        <v>2</v>
      </c>
      <c r="N4492" s="7" t="s">
        <v>42</v>
      </c>
      <c r="O4492" s="7" t="s">
        <v>52</v>
      </c>
      <c r="P4492" s="7" t="n">
        <v>15</v>
      </c>
      <c r="Q4492" s="7" t="n">
        <v>26</v>
      </c>
      <c r="R4492" s="7" t="s">
        <v>53</v>
      </c>
      <c r="S4492" s="7"/>
      <c r="T4492" s="7"/>
      <c r="U4492" s="7" t="str">
        <f aca="false">IF(COUNTIF($A$2:$A$5001,A4492)&gt;1,"Duplicate","Unique")</f>
        <v>Unique</v>
      </c>
      <c r="V4492" s="7" t="str">
        <f aca="false">IF(COUNTIFS($B$2:$B$5001,B4492,$H$2:$H$5001,H4492,$J$2:$J$5001,J4492)&gt;1,"Possible Duplicate Booking","Unique")</f>
        <v>Unique</v>
      </c>
      <c r="W4492" s="7" t="str">
        <f aca="false">IF((H4492-G4492)&lt;&gt;K4492,"Mismatch","OK")</f>
        <v>OK</v>
      </c>
      <c r="X4492" s="7" t="str">
        <f aca="false">IF(TEXT(H4492,"dddd")&lt;&gt;I4492,"Mismatch","OK")</f>
        <v>OK</v>
      </c>
      <c r="Y4492" s="7" t="str">
        <f aca="false">IF(AND(N4492="No",O4492&lt;&gt;""),"Unexpected: channel present but no reminder sent",IF(AND(N4492="Yes",O4492=""),"Missing channel for sent reminder","OK"))</f>
        <v>OK</v>
      </c>
    </row>
    <row r="4493" customFormat="false" ht="15" hidden="false" customHeight="false" outlineLevel="0" collapsed="false">
      <c r="A4493" s="9" t="s">
        <v>6215</v>
      </c>
      <c r="B4493" s="9" t="s">
        <v>739</v>
      </c>
      <c r="C4493" s="9" t="s">
        <v>37</v>
      </c>
      <c r="D4493" s="9" t="n">
        <v>80</v>
      </c>
      <c r="E4493" s="9" t="s">
        <v>70</v>
      </c>
      <c r="F4493" s="9" t="s">
        <v>57</v>
      </c>
      <c r="G4493" s="10" t="n">
        <v>45763</v>
      </c>
      <c r="H4493" s="10" t="n">
        <v>45765</v>
      </c>
      <c r="I4493" s="9" t="s">
        <v>50</v>
      </c>
      <c r="J4493" s="9" t="s">
        <v>51</v>
      </c>
      <c r="K4493" s="9" t="n">
        <v>2</v>
      </c>
      <c r="L4493" s="9" t="n">
        <v>1</v>
      </c>
      <c r="M4493" s="9" t="n">
        <v>1</v>
      </c>
      <c r="N4493" s="9" t="s">
        <v>71</v>
      </c>
      <c r="O4493" s="9"/>
      <c r="P4493" s="9" t="n">
        <v>2.7</v>
      </c>
      <c r="Q4493" s="9" t="n">
        <v>36</v>
      </c>
      <c r="R4493" s="9" t="s">
        <v>53</v>
      </c>
      <c r="S4493" s="9"/>
      <c r="T4493" s="9"/>
      <c r="U4493" s="9" t="str">
        <f aca="false">IF(COUNTIF($A$2:$A$5001,A4493)&gt;1,"Duplicate","Unique")</f>
        <v>Unique</v>
      </c>
      <c r="V4493" s="9" t="str">
        <f aca="false">IF(COUNTIFS($B$2:$B$5001,B4493,$H$2:$H$5001,H4493,$J$2:$J$5001,J4493)&gt;1,"Possible Duplicate Booking","Unique")</f>
        <v>Unique</v>
      </c>
      <c r="W4493" s="9" t="str">
        <f aca="false">IF((H4493-G4493)&lt;&gt;K4493,"Mismatch","OK")</f>
        <v>OK</v>
      </c>
      <c r="X4493" s="9" t="str">
        <f aca="false">IF(TEXT(H4493,"dddd")&lt;&gt;I4493,"Mismatch","OK")</f>
        <v>OK</v>
      </c>
      <c r="Y4493" s="9" t="str">
        <f aca="false">IF(AND(N4493="No",O4493&lt;&gt;""),"Unexpected: channel present but no reminder sent",IF(AND(N4493="Yes",O4493=""),"Missing channel for sent reminder","OK"))</f>
        <v>OK</v>
      </c>
    </row>
    <row r="4494" customFormat="false" ht="15" hidden="false" customHeight="false" outlineLevel="0" collapsed="false">
      <c r="A4494" s="7" t="s">
        <v>6216</v>
      </c>
      <c r="B4494" s="7" t="s">
        <v>745</v>
      </c>
      <c r="C4494" s="7" t="s">
        <v>47</v>
      </c>
      <c r="D4494" s="7" t="n">
        <v>26</v>
      </c>
      <c r="E4494" s="7" t="s">
        <v>48</v>
      </c>
      <c r="F4494" s="7" t="s">
        <v>49</v>
      </c>
      <c r="G4494" s="8" t="n">
        <v>46006</v>
      </c>
      <c r="H4494" s="8" t="n">
        <v>46038</v>
      </c>
      <c r="I4494" s="7" t="s">
        <v>50</v>
      </c>
      <c r="J4494" s="7" t="s">
        <v>41</v>
      </c>
      <c r="K4494" s="7" t="n">
        <v>32</v>
      </c>
      <c r="L4494" s="7" t="n">
        <v>3</v>
      </c>
      <c r="M4494" s="7" t="n">
        <v>2</v>
      </c>
      <c r="N4494" s="7" t="s">
        <v>71</v>
      </c>
      <c r="O4494" s="7"/>
      <c r="P4494" s="7" t="n">
        <v>12</v>
      </c>
      <c r="Q4494" s="7" t="n">
        <v>18</v>
      </c>
      <c r="R4494" s="7" t="s">
        <v>53</v>
      </c>
      <c r="S4494" s="7"/>
      <c r="T4494" s="7"/>
      <c r="U4494" s="7" t="str">
        <f aca="false">IF(COUNTIF($A$2:$A$5001,A4494)&gt;1,"Duplicate","Unique")</f>
        <v>Unique</v>
      </c>
      <c r="V4494" s="7" t="str">
        <f aca="false">IF(COUNTIFS($B$2:$B$5001,B4494,$H$2:$H$5001,H4494,$J$2:$J$5001,J4494)&gt;1,"Possible Duplicate Booking","Unique")</f>
        <v>Unique</v>
      </c>
      <c r="W4494" s="7" t="str">
        <f aca="false">IF((H4494-G4494)&lt;&gt;K4494,"Mismatch","OK")</f>
        <v>OK</v>
      </c>
      <c r="X4494" s="7" t="str">
        <f aca="false">IF(TEXT(H4494,"dddd")&lt;&gt;I4494,"Mismatch","OK")</f>
        <v>OK</v>
      </c>
      <c r="Y4494" s="7" t="str">
        <f aca="false">IF(AND(N4494="No",O4494&lt;&gt;""),"Unexpected: channel present but no reminder sent",IF(AND(N4494="Yes",O4494=""),"Missing channel for sent reminder","OK"))</f>
        <v>OK</v>
      </c>
    </row>
    <row r="4495" customFormat="false" ht="15" hidden="false" customHeight="false" outlineLevel="0" collapsed="false">
      <c r="A4495" s="9" t="s">
        <v>6217</v>
      </c>
      <c r="B4495" s="9" t="s">
        <v>5085</v>
      </c>
      <c r="C4495" s="9" t="s">
        <v>37</v>
      </c>
      <c r="D4495" s="9" t="n">
        <v>73</v>
      </c>
      <c r="E4495" s="9" t="s">
        <v>70</v>
      </c>
      <c r="F4495" s="9" t="s">
        <v>57</v>
      </c>
      <c r="G4495" s="10" t="n">
        <v>45773</v>
      </c>
      <c r="H4495" s="10" t="n">
        <v>45800</v>
      </c>
      <c r="I4495" s="9" t="s">
        <v>50</v>
      </c>
      <c r="J4495" s="9" t="s">
        <v>41</v>
      </c>
      <c r="K4495" s="9" t="n">
        <v>27</v>
      </c>
      <c r="L4495" s="9" t="n">
        <v>4</v>
      </c>
      <c r="M4495" s="9" t="n">
        <v>1</v>
      </c>
      <c r="N4495" s="9" t="s">
        <v>42</v>
      </c>
      <c r="O4495" s="9" t="s">
        <v>67</v>
      </c>
      <c r="P4495" s="9" t="n">
        <v>4.5</v>
      </c>
      <c r="Q4495" s="9" t="n">
        <v>9</v>
      </c>
      <c r="R4495" s="9" t="s">
        <v>44</v>
      </c>
      <c r="S4495" s="9"/>
      <c r="T4495" s="9"/>
      <c r="U4495" s="9" t="str">
        <f aca="false">IF(COUNTIF($A$2:$A$5001,A4495)&gt;1,"Duplicate","Unique")</f>
        <v>Unique</v>
      </c>
      <c r="V4495" s="9" t="str">
        <f aca="false">IF(COUNTIFS($B$2:$B$5001,B4495,$H$2:$H$5001,H4495,$J$2:$J$5001,J4495)&gt;1,"Possible Duplicate Booking","Unique")</f>
        <v>Unique</v>
      </c>
      <c r="W4495" s="9" t="str">
        <f aca="false">IF((H4495-G4495)&lt;&gt;K4495,"Mismatch","OK")</f>
        <v>OK</v>
      </c>
      <c r="X4495" s="9" t="str">
        <f aca="false">IF(TEXT(H4495,"dddd")&lt;&gt;I4495,"Mismatch","OK")</f>
        <v>OK</v>
      </c>
      <c r="Y4495" s="9" t="str">
        <f aca="false">IF(AND(N4495="No",O4495&lt;&gt;""),"Unexpected: channel present but no reminder sent",IF(AND(N4495="Yes",O4495=""),"Missing channel for sent reminder","OK"))</f>
        <v>OK</v>
      </c>
    </row>
    <row r="4496" customFormat="false" ht="15" hidden="false" customHeight="false" outlineLevel="0" collapsed="false">
      <c r="A4496" s="7" t="s">
        <v>6218</v>
      </c>
      <c r="B4496" s="7" t="s">
        <v>873</v>
      </c>
      <c r="C4496" s="7" t="s">
        <v>47</v>
      </c>
      <c r="D4496" s="7" t="n">
        <v>18</v>
      </c>
      <c r="E4496" s="7" t="s">
        <v>82</v>
      </c>
      <c r="F4496" s="7" t="s">
        <v>57</v>
      </c>
      <c r="G4496" s="8" t="n">
        <v>45790</v>
      </c>
      <c r="H4496" s="8" t="n">
        <v>45825</v>
      </c>
      <c r="I4496" s="7" t="s">
        <v>40</v>
      </c>
      <c r="J4496" s="7" t="s">
        <v>51</v>
      </c>
      <c r="K4496" s="7" t="n">
        <v>35</v>
      </c>
      <c r="L4496" s="7" t="n">
        <v>5</v>
      </c>
      <c r="M4496" s="7" t="n">
        <v>2</v>
      </c>
      <c r="N4496" s="7" t="s">
        <v>42</v>
      </c>
      <c r="O4496" s="7" t="s">
        <v>43</v>
      </c>
      <c r="P4496" s="7" t="n">
        <v>12.6</v>
      </c>
      <c r="Q4496" s="7" t="n">
        <v>19</v>
      </c>
      <c r="R4496" s="7" t="s">
        <v>44</v>
      </c>
      <c r="S4496" s="7"/>
      <c r="T4496" s="7"/>
      <c r="U4496" s="7" t="str">
        <f aca="false">IF(COUNTIF($A$2:$A$5001,A4496)&gt;1,"Duplicate","Unique")</f>
        <v>Unique</v>
      </c>
      <c r="V4496" s="7" t="str">
        <f aca="false">IF(COUNTIFS($B$2:$B$5001,B4496,$H$2:$H$5001,H4496,$J$2:$J$5001,J4496)&gt;1,"Possible Duplicate Booking","Unique")</f>
        <v>Unique</v>
      </c>
      <c r="W4496" s="7" t="str">
        <f aca="false">IF((H4496-G4496)&lt;&gt;K4496,"Mismatch","OK")</f>
        <v>OK</v>
      </c>
      <c r="X4496" s="7" t="str">
        <f aca="false">IF(TEXT(H4496,"dddd")&lt;&gt;I4496,"Mismatch","OK")</f>
        <v>OK</v>
      </c>
      <c r="Y4496" s="7" t="str">
        <f aca="false">IF(AND(N4496="No",O4496&lt;&gt;""),"Unexpected: channel present but no reminder sent",IF(AND(N4496="Yes",O4496=""),"Missing channel for sent reminder","OK"))</f>
        <v>OK</v>
      </c>
    </row>
    <row r="4497" customFormat="false" ht="15" hidden="false" customHeight="false" outlineLevel="0" collapsed="false">
      <c r="A4497" s="9" t="s">
        <v>6219</v>
      </c>
      <c r="B4497" s="9" t="s">
        <v>3086</v>
      </c>
      <c r="C4497" s="9" t="s">
        <v>37</v>
      </c>
      <c r="D4497" s="9" t="n">
        <v>30</v>
      </c>
      <c r="E4497" s="9" t="s">
        <v>48</v>
      </c>
      <c r="F4497" s="9" t="s">
        <v>49</v>
      </c>
      <c r="G4497" s="10" t="n">
        <v>45963</v>
      </c>
      <c r="H4497" s="10" t="n">
        <v>46000</v>
      </c>
      <c r="I4497" s="9" t="s">
        <v>40</v>
      </c>
      <c r="J4497" s="9" t="s">
        <v>51</v>
      </c>
      <c r="K4497" s="9" t="n">
        <v>37</v>
      </c>
      <c r="L4497" s="9" t="n">
        <v>1</v>
      </c>
      <c r="M4497" s="9" t="n">
        <v>0</v>
      </c>
      <c r="N4497" s="9" t="s">
        <v>71</v>
      </c>
      <c r="O4497" s="9"/>
      <c r="P4497" s="9" t="n">
        <v>10.2</v>
      </c>
      <c r="Q4497" s="9" t="n">
        <v>34</v>
      </c>
      <c r="R4497" s="9" t="s">
        <v>44</v>
      </c>
      <c r="S4497" s="9"/>
      <c r="T4497" s="9"/>
      <c r="U4497" s="9" t="str">
        <f aca="false">IF(COUNTIF($A$2:$A$5001,A4497)&gt;1,"Duplicate","Unique")</f>
        <v>Unique</v>
      </c>
      <c r="V4497" s="9" t="str">
        <f aca="false">IF(COUNTIFS($B$2:$B$5001,B4497,$H$2:$H$5001,H4497,$J$2:$J$5001,J4497)&gt;1,"Possible Duplicate Booking","Unique")</f>
        <v>Unique</v>
      </c>
      <c r="W4497" s="9" t="str">
        <f aca="false">IF((H4497-G4497)&lt;&gt;K4497,"Mismatch","OK")</f>
        <v>OK</v>
      </c>
      <c r="X4497" s="9" t="str">
        <f aca="false">IF(TEXT(H4497,"dddd")&lt;&gt;I4497,"Mismatch","OK")</f>
        <v>OK</v>
      </c>
      <c r="Y4497" s="9" t="str">
        <f aca="false">IF(AND(N4497="No",O4497&lt;&gt;""),"Unexpected: channel present but no reminder sent",IF(AND(N4497="Yes",O4497=""),"Missing channel for sent reminder","OK"))</f>
        <v>OK</v>
      </c>
    </row>
    <row r="4498" customFormat="false" ht="15" hidden="false" customHeight="false" outlineLevel="0" collapsed="false">
      <c r="A4498" s="7" t="s">
        <v>6220</v>
      </c>
      <c r="B4498" s="7" t="s">
        <v>1930</v>
      </c>
      <c r="C4498" s="7" t="s">
        <v>37</v>
      </c>
      <c r="D4498" s="7" t="n">
        <v>71</v>
      </c>
      <c r="E4498" s="7" t="s">
        <v>70</v>
      </c>
      <c r="F4498" s="7" t="s">
        <v>57</v>
      </c>
      <c r="G4498" s="8" t="n">
        <v>45814</v>
      </c>
      <c r="H4498" s="8" t="n">
        <v>45838</v>
      </c>
      <c r="I4498" s="7" t="s">
        <v>66</v>
      </c>
      <c r="J4498" s="7" t="s">
        <v>63</v>
      </c>
      <c r="K4498" s="7" t="n">
        <v>24</v>
      </c>
      <c r="L4498" s="7" t="n">
        <v>3</v>
      </c>
      <c r="M4498" s="7" t="n">
        <v>0</v>
      </c>
      <c r="N4498" s="7" t="s">
        <v>42</v>
      </c>
      <c r="O4498" s="7" t="s">
        <v>52</v>
      </c>
      <c r="P4498" s="7" t="n">
        <v>10.4</v>
      </c>
      <c r="Q4498" s="7" t="n">
        <v>24</v>
      </c>
      <c r="R4498" s="7" t="s">
        <v>53</v>
      </c>
      <c r="S4498" s="7"/>
      <c r="T4498" s="7"/>
      <c r="U4498" s="7" t="str">
        <f aca="false">IF(COUNTIF($A$2:$A$5001,A4498)&gt;1,"Duplicate","Unique")</f>
        <v>Unique</v>
      </c>
      <c r="V4498" s="7" t="str">
        <f aca="false">IF(COUNTIFS($B$2:$B$5001,B4498,$H$2:$H$5001,H4498,$J$2:$J$5001,J4498)&gt;1,"Possible Duplicate Booking","Unique")</f>
        <v>Unique</v>
      </c>
      <c r="W4498" s="7" t="str">
        <f aca="false">IF((H4498-G4498)&lt;&gt;K4498,"Mismatch","OK")</f>
        <v>OK</v>
      </c>
      <c r="X4498" s="7" t="str">
        <f aca="false">IF(TEXT(H4498,"dddd")&lt;&gt;I4498,"Mismatch","OK")</f>
        <v>OK</v>
      </c>
      <c r="Y4498" s="7" t="str">
        <f aca="false">IF(AND(N4498="No",O4498&lt;&gt;""),"Unexpected: channel present but no reminder sent",IF(AND(N4498="Yes",O4498=""),"Missing channel for sent reminder","OK"))</f>
        <v>OK</v>
      </c>
    </row>
    <row r="4499" customFormat="false" ht="15" hidden="false" customHeight="false" outlineLevel="0" collapsed="false">
      <c r="A4499" s="9" t="s">
        <v>6221</v>
      </c>
      <c r="B4499" s="9" t="s">
        <v>4660</v>
      </c>
      <c r="C4499" s="9" t="s">
        <v>37</v>
      </c>
      <c r="D4499" s="9" t="n">
        <v>67</v>
      </c>
      <c r="E4499" s="9" t="s">
        <v>70</v>
      </c>
      <c r="F4499" s="9" t="s">
        <v>57</v>
      </c>
      <c r="G4499" s="10" t="n">
        <v>45816</v>
      </c>
      <c r="H4499" s="10" t="n">
        <v>45869</v>
      </c>
      <c r="I4499" s="9" t="s">
        <v>62</v>
      </c>
      <c r="J4499" s="9" t="s">
        <v>41</v>
      </c>
      <c r="K4499" s="9" t="n">
        <v>53</v>
      </c>
      <c r="L4499" s="9" t="n">
        <v>0</v>
      </c>
      <c r="M4499" s="9" t="n">
        <v>0</v>
      </c>
      <c r="N4499" s="9" t="s">
        <v>42</v>
      </c>
      <c r="O4499" s="9" t="s">
        <v>52</v>
      </c>
      <c r="P4499" s="9" t="n">
        <v>10.7</v>
      </c>
      <c r="Q4499" s="9" t="n">
        <v>31</v>
      </c>
      <c r="R4499" s="9" t="s">
        <v>44</v>
      </c>
      <c r="S4499" s="9"/>
      <c r="T4499" s="9"/>
      <c r="U4499" s="9" t="str">
        <f aca="false">IF(COUNTIF($A$2:$A$5001,A4499)&gt;1,"Duplicate","Unique")</f>
        <v>Unique</v>
      </c>
      <c r="V4499" s="9" t="str">
        <f aca="false">IF(COUNTIFS($B$2:$B$5001,B4499,$H$2:$H$5001,H4499,$J$2:$J$5001,J4499)&gt;1,"Possible Duplicate Booking","Unique")</f>
        <v>Unique</v>
      </c>
      <c r="W4499" s="9" t="str">
        <f aca="false">IF((H4499-G4499)&lt;&gt;K4499,"Mismatch","OK")</f>
        <v>OK</v>
      </c>
      <c r="X4499" s="9" t="str">
        <f aca="false">IF(TEXT(H4499,"dddd")&lt;&gt;I4499,"Mismatch","OK")</f>
        <v>OK</v>
      </c>
      <c r="Y4499" s="9" t="str">
        <f aca="false">IF(AND(N4499="No",O4499&lt;&gt;""),"Unexpected: channel present but no reminder sent",IF(AND(N4499="Yes",O4499=""),"Missing channel for sent reminder","OK"))</f>
        <v>OK</v>
      </c>
    </row>
    <row r="4500" customFormat="false" ht="15" hidden="false" customHeight="false" outlineLevel="0" collapsed="false">
      <c r="A4500" s="7" t="s">
        <v>6222</v>
      </c>
      <c r="B4500" s="7" t="s">
        <v>453</v>
      </c>
      <c r="C4500" s="7" t="s">
        <v>47</v>
      </c>
      <c r="D4500" s="7" t="n">
        <v>79</v>
      </c>
      <c r="E4500" s="7" t="s">
        <v>70</v>
      </c>
      <c r="F4500" s="7" t="s">
        <v>49</v>
      </c>
      <c r="G4500" s="8" t="n">
        <v>45735</v>
      </c>
      <c r="H4500" s="8" t="n">
        <v>45791</v>
      </c>
      <c r="I4500" s="7" t="s">
        <v>58</v>
      </c>
      <c r="J4500" s="7" t="s">
        <v>51</v>
      </c>
      <c r="K4500" s="7" t="n">
        <v>56</v>
      </c>
      <c r="L4500" s="7" t="n">
        <v>7</v>
      </c>
      <c r="M4500" s="7" t="n">
        <v>1</v>
      </c>
      <c r="N4500" s="7" t="s">
        <v>42</v>
      </c>
      <c r="O4500" s="7" t="s">
        <v>52</v>
      </c>
      <c r="P4500" s="7" t="n">
        <v>7.7</v>
      </c>
      <c r="Q4500" s="7" t="n">
        <v>9</v>
      </c>
      <c r="R4500" s="7" t="s">
        <v>44</v>
      </c>
      <c r="S4500" s="7"/>
      <c r="T4500" s="7"/>
      <c r="U4500" s="7" t="str">
        <f aca="false">IF(COUNTIF($A$2:$A$5001,A4500)&gt;1,"Duplicate","Unique")</f>
        <v>Unique</v>
      </c>
      <c r="V4500" s="7" t="str">
        <f aca="false">IF(COUNTIFS($B$2:$B$5001,B4500,$H$2:$H$5001,H4500,$J$2:$J$5001,J4500)&gt;1,"Possible Duplicate Booking","Unique")</f>
        <v>Unique</v>
      </c>
      <c r="W4500" s="7" t="str">
        <f aca="false">IF((H4500-G4500)&lt;&gt;K4500,"Mismatch","OK")</f>
        <v>OK</v>
      </c>
      <c r="X4500" s="7" t="str">
        <f aca="false">IF(TEXT(H4500,"dddd")&lt;&gt;I4500,"Mismatch","OK")</f>
        <v>OK</v>
      </c>
      <c r="Y4500" s="7" t="str">
        <f aca="false">IF(AND(N4500="No",O4500&lt;&gt;""),"Unexpected: channel present but no reminder sent",IF(AND(N4500="Yes",O4500=""),"Missing channel for sent reminder","OK"))</f>
        <v>OK</v>
      </c>
    </row>
    <row r="4501" customFormat="false" ht="15" hidden="false" customHeight="false" outlineLevel="0" collapsed="false">
      <c r="A4501" s="9" t="s">
        <v>6223</v>
      </c>
      <c r="B4501" s="9" t="s">
        <v>576</v>
      </c>
      <c r="C4501" s="9" t="s">
        <v>37</v>
      </c>
      <c r="D4501" s="9" t="n">
        <v>55</v>
      </c>
      <c r="E4501" s="9" t="s">
        <v>61</v>
      </c>
      <c r="F4501" s="9" t="s">
        <v>39</v>
      </c>
      <c r="G4501" s="10" t="n">
        <v>45840</v>
      </c>
      <c r="H4501" s="10" t="n">
        <v>45846</v>
      </c>
      <c r="I4501" s="9" t="s">
        <v>40</v>
      </c>
      <c r="J4501" s="9" t="s">
        <v>41</v>
      </c>
      <c r="K4501" s="9" t="n">
        <v>6</v>
      </c>
      <c r="L4501" s="9" t="n">
        <v>7</v>
      </c>
      <c r="M4501" s="9" t="n">
        <v>0</v>
      </c>
      <c r="N4501" s="9" t="s">
        <v>71</v>
      </c>
      <c r="O4501" s="9"/>
      <c r="P4501" s="9" t="n">
        <v>10.2</v>
      </c>
      <c r="Q4501" s="9" t="n">
        <v>6</v>
      </c>
      <c r="R4501" s="9" t="s">
        <v>44</v>
      </c>
      <c r="S4501" s="9"/>
      <c r="T4501" s="9"/>
      <c r="U4501" s="9" t="str">
        <f aca="false">IF(COUNTIF($A$2:$A$5001,A4501)&gt;1,"Duplicate","Unique")</f>
        <v>Unique</v>
      </c>
      <c r="V4501" s="9" t="str">
        <f aca="false">IF(COUNTIFS($B$2:$B$5001,B4501,$H$2:$H$5001,H4501,$J$2:$J$5001,J4501)&gt;1,"Possible Duplicate Booking","Unique")</f>
        <v>Unique</v>
      </c>
      <c r="W4501" s="9" t="str">
        <f aca="false">IF((H4501-G4501)&lt;&gt;K4501,"Mismatch","OK")</f>
        <v>OK</v>
      </c>
      <c r="X4501" s="9" t="str">
        <f aca="false">IF(TEXT(H4501,"dddd")&lt;&gt;I4501,"Mismatch","OK")</f>
        <v>OK</v>
      </c>
      <c r="Y4501" s="9" t="str">
        <f aca="false">IF(AND(N4501="No",O4501&lt;&gt;""),"Unexpected: channel present but no reminder sent",IF(AND(N4501="Yes",O4501=""),"Missing channel for sent reminder","OK"))</f>
        <v>OK</v>
      </c>
    </row>
    <row r="4502" customFormat="false" ht="15" hidden="false" customHeight="false" outlineLevel="0" collapsed="false">
      <c r="A4502" s="7" t="s">
        <v>6224</v>
      </c>
      <c r="B4502" s="7" t="s">
        <v>2513</v>
      </c>
      <c r="C4502" s="7" t="s">
        <v>37</v>
      </c>
      <c r="D4502" s="7" t="n">
        <v>56</v>
      </c>
      <c r="E4502" s="7" t="s">
        <v>61</v>
      </c>
      <c r="F4502" s="7" t="s">
        <v>39</v>
      </c>
      <c r="G4502" s="8" t="n">
        <v>45980</v>
      </c>
      <c r="H4502" s="8" t="n">
        <v>46036</v>
      </c>
      <c r="I4502" s="7" t="s">
        <v>58</v>
      </c>
      <c r="J4502" s="7" t="s">
        <v>41</v>
      </c>
      <c r="K4502" s="7" t="n">
        <v>56</v>
      </c>
      <c r="L4502" s="7" t="n">
        <v>5</v>
      </c>
      <c r="M4502" s="7" t="n">
        <v>1</v>
      </c>
      <c r="N4502" s="7" t="s">
        <v>42</v>
      </c>
      <c r="O4502" s="7" t="s">
        <v>67</v>
      </c>
      <c r="P4502" s="7" t="n">
        <v>3.3</v>
      </c>
      <c r="Q4502" s="7" t="n">
        <v>30</v>
      </c>
      <c r="R4502" s="7" t="s">
        <v>44</v>
      </c>
      <c r="S4502" s="7"/>
      <c r="T4502" s="7"/>
      <c r="U4502" s="7" t="str">
        <f aca="false">IF(COUNTIF($A$2:$A$5001,A4502)&gt;1,"Duplicate","Unique")</f>
        <v>Unique</v>
      </c>
      <c r="V4502" s="7" t="str">
        <f aca="false">IF(COUNTIFS($B$2:$B$5001,B4502,$H$2:$H$5001,H4502,$J$2:$J$5001,J4502)&gt;1,"Possible Duplicate Booking","Unique")</f>
        <v>Unique</v>
      </c>
      <c r="W4502" s="7" t="str">
        <f aca="false">IF((H4502-G4502)&lt;&gt;K4502,"Mismatch","OK")</f>
        <v>OK</v>
      </c>
      <c r="X4502" s="7" t="str">
        <f aca="false">IF(TEXT(H4502,"dddd")&lt;&gt;I4502,"Mismatch","OK")</f>
        <v>OK</v>
      </c>
      <c r="Y4502" s="7" t="str">
        <f aca="false">IF(AND(N4502="No",O4502&lt;&gt;""),"Unexpected: channel present but no reminder sent",IF(AND(N4502="Yes",O4502=""),"Missing channel for sent reminder","OK"))</f>
        <v>OK</v>
      </c>
    </row>
    <row r="4503" customFormat="false" ht="15" hidden="false" customHeight="false" outlineLevel="0" collapsed="false">
      <c r="A4503" s="9" t="s">
        <v>6225</v>
      </c>
      <c r="B4503" s="9" t="s">
        <v>207</v>
      </c>
      <c r="C4503" s="9" t="s">
        <v>37</v>
      </c>
      <c r="D4503" s="9" t="n">
        <v>51</v>
      </c>
      <c r="E4503" s="9" t="s">
        <v>56</v>
      </c>
      <c r="F4503" s="9" t="s">
        <v>57</v>
      </c>
      <c r="G4503" s="10" t="n">
        <v>45938</v>
      </c>
      <c r="H4503" s="10" t="n">
        <v>45949</v>
      </c>
      <c r="I4503" s="9" t="s">
        <v>75</v>
      </c>
      <c r="J4503" s="9" t="s">
        <v>51</v>
      </c>
      <c r="K4503" s="9" t="n">
        <v>11</v>
      </c>
      <c r="L4503" s="9" t="n">
        <v>4</v>
      </c>
      <c r="M4503" s="9" t="n">
        <v>0</v>
      </c>
      <c r="N4503" s="9" t="s">
        <v>71</v>
      </c>
      <c r="O4503" s="9"/>
      <c r="P4503" s="9" t="n">
        <v>7.8</v>
      </c>
      <c r="Q4503" s="9" t="n">
        <v>28</v>
      </c>
      <c r="R4503" s="9" t="s">
        <v>44</v>
      </c>
      <c r="S4503" s="9"/>
      <c r="T4503" s="9"/>
      <c r="U4503" s="9" t="str">
        <f aca="false">IF(COUNTIF($A$2:$A$5001,A4503)&gt;1,"Duplicate","Unique")</f>
        <v>Unique</v>
      </c>
      <c r="V4503" s="9" t="str">
        <f aca="false">IF(COUNTIFS($B$2:$B$5001,B4503,$H$2:$H$5001,H4503,$J$2:$J$5001,J4503)&gt;1,"Possible Duplicate Booking","Unique")</f>
        <v>Unique</v>
      </c>
      <c r="W4503" s="9" t="str">
        <f aca="false">IF((H4503-G4503)&lt;&gt;K4503,"Mismatch","OK")</f>
        <v>OK</v>
      </c>
      <c r="X4503" s="9" t="str">
        <f aca="false">IF(TEXT(H4503,"dddd")&lt;&gt;I4503,"Mismatch","OK")</f>
        <v>OK</v>
      </c>
      <c r="Y4503" s="9" t="str">
        <f aca="false">IF(AND(N4503="No",O4503&lt;&gt;""),"Unexpected: channel present but no reminder sent",IF(AND(N4503="Yes",O4503=""),"Missing channel for sent reminder","OK"))</f>
        <v>OK</v>
      </c>
    </row>
    <row r="4504" customFormat="false" ht="15" hidden="false" customHeight="false" outlineLevel="0" collapsed="false">
      <c r="A4504" s="7" t="s">
        <v>6226</v>
      </c>
      <c r="B4504" s="7" t="s">
        <v>2622</v>
      </c>
      <c r="C4504" s="7" t="s">
        <v>37</v>
      </c>
      <c r="D4504" s="7" t="n">
        <v>50</v>
      </c>
      <c r="E4504" s="7" t="s">
        <v>56</v>
      </c>
      <c r="F4504" s="7" t="s">
        <v>57</v>
      </c>
      <c r="G4504" s="8" t="n">
        <v>46187</v>
      </c>
      <c r="H4504" s="8" t="n">
        <v>46202</v>
      </c>
      <c r="I4504" s="7" t="s">
        <v>66</v>
      </c>
      <c r="J4504" s="7" t="s">
        <v>51</v>
      </c>
      <c r="K4504" s="7" t="n">
        <v>15</v>
      </c>
      <c r="L4504" s="7" t="n">
        <v>2</v>
      </c>
      <c r="M4504" s="7" t="n">
        <v>0</v>
      </c>
      <c r="N4504" s="7" t="s">
        <v>42</v>
      </c>
      <c r="O4504" s="7" t="s">
        <v>52</v>
      </c>
      <c r="P4504" s="7" t="n">
        <v>3.2</v>
      </c>
      <c r="Q4504" s="7" t="n">
        <v>14</v>
      </c>
      <c r="R4504" s="7" t="s">
        <v>53</v>
      </c>
      <c r="S4504" s="7"/>
      <c r="T4504" s="7"/>
      <c r="U4504" s="7" t="str">
        <f aca="false">IF(COUNTIF($A$2:$A$5001,A4504)&gt;1,"Duplicate","Unique")</f>
        <v>Unique</v>
      </c>
      <c r="V4504" s="7" t="str">
        <f aca="false">IF(COUNTIFS($B$2:$B$5001,B4504,$H$2:$H$5001,H4504,$J$2:$J$5001,J4504)&gt;1,"Possible Duplicate Booking","Unique")</f>
        <v>Unique</v>
      </c>
      <c r="W4504" s="7" t="str">
        <f aca="false">IF((H4504-G4504)&lt;&gt;K4504,"Mismatch","OK")</f>
        <v>OK</v>
      </c>
      <c r="X4504" s="7" t="str">
        <f aca="false">IF(TEXT(H4504,"dddd")&lt;&gt;I4504,"Mismatch","OK")</f>
        <v>OK</v>
      </c>
      <c r="Y4504" s="7" t="str">
        <f aca="false">IF(AND(N4504="No",O4504&lt;&gt;""),"Unexpected: channel present but no reminder sent",IF(AND(N4504="Yes",O4504=""),"Missing channel for sent reminder","OK"))</f>
        <v>OK</v>
      </c>
    </row>
    <row r="4505" customFormat="false" ht="15" hidden="false" customHeight="false" outlineLevel="0" collapsed="false">
      <c r="A4505" s="9" t="s">
        <v>6227</v>
      </c>
      <c r="B4505" s="9" t="s">
        <v>6228</v>
      </c>
      <c r="C4505" s="9" t="s">
        <v>37</v>
      </c>
      <c r="D4505" s="9" t="n">
        <v>50</v>
      </c>
      <c r="E4505" s="9" t="s">
        <v>56</v>
      </c>
      <c r="F4505" s="9" t="s">
        <v>74</v>
      </c>
      <c r="G4505" s="10" t="n">
        <v>46047</v>
      </c>
      <c r="H4505" s="10" t="n">
        <v>46079</v>
      </c>
      <c r="I4505" s="9" t="s">
        <v>62</v>
      </c>
      <c r="J4505" s="9" t="s">
        <v>63</v>
      </c>
      <c r="K4505" s="9" t="n">
        <v>32</v>
      </c>
      <c r="L4505" s="9" t="n">
        <v>3</v>
      </c>
      <c r="M4505" s="9" t="n">
        <v>1</v>
      </c>
      <c r="N4505" s="9" t="s">
        <v>42</v>
      </c>
      <c r="O4505" s="9" t="s">
        <v>52</v>
      </c>
      <c r="P4505" s="9" t="n">
        <v>23.2</v>
      </c>
      <c r="Q4505" s="9" t="n">
        <v>11</v>
      </c>
      <c r="R4505" s="9" t="s">
        <v>44</v>
      </c>
      <c r="S4505" s="9"/>
      <c r="T4505" s="9"/>
      <c r="U4505" s="9" t="str">
        <f aca="false">IF(COUNTIF($A$2:$A$5001,A4505)&gt;1,"Duplicate","Unique")</f>
        <v>Unique</v>
      </c>
      <c r="V4505" s="9" t="str">
        <f aca="false">IF(COUNTIFS($B$2:$B$5001,B4505,$H$2:$H$5001,H4505,$J$2:$J$5001,J4505)&gt;1,"Possible Duplicate Booking","Unique")</f>
        <v>Unique</v>
      </c>
      <c r="W4505" s="9" t="str">
        <f aca="false">IF((H4505-G4505)&lt;&gt;K4505,"Mismatch","OK")</f>
        <v>OK</v>
      </c>
      <c r="X4505" s="9" t="str">
        <f aca="false">IF(TEXT(H4505,"dddd")&lt;&gt;I4505,"Mismatch","OK")</f>
        <v>OK</v>
      </c>
      <c r="Y4505" s="9" t="str">
        <f aca="false">IF(AND(N4505="No",O4505&lt;&gt;""),"Unexpected: channel present but no reminder sent",IF(AND(N4505="Yes",O4505=""),"Missing channel for sent reminder","OK"))</f>
        <v>OK</v>
      </c>
    </row>
    <row r="4506" customFormat="false" ht="15" hidden="false" customHeight="false" outlineLevel="0" collapsed="false">
      <c r="A4506" s="7" t="s">
        <v>6229</v>
      </c>
      <c r="B4506" s="7" t="s">
        <v>1535</v>
      </c>
      <c r="C4506" s="7" t="s">
        <v>47</v>
      </c>
      <c r="D4506" s="7" t="n">
        <v>36</v>
      </c>
      <c r="E4506" s="7" t="s">
        <v>38</v>
      </c>
      <c r="F4506" s="7" t="s">
        <v>57</v>
      </c>
      <c r="G4506" s="8" t="n">
        <v>45666</v>
      </c>
      <c r="H4506" s="8" t="n">
        <v>45667</v>
      </c>
      <c r="I4506" s="7" t="s">
        <v>50</v>
      </c>
      <c r="J4506" s="7" t="s">
        <v>41</v>
      </c>
      <c r="K4506" s="7" t="n">
        <v>1</v>
      </c>
      <c r="L4506" s="7" t="n">
        <v>6</v>
      </c>
      <c r="M4506" s="7" t="n">
        <v>2</v>
      </c>
      <c r="N4506" s="7" t="s">
        <v>42</v>
      </c>
      <c r="O4506" s="7" t="s">
        <v>67</v>
      </c>
      <c r="P4506" s="7" t="n">
        <v>4.5</v>
      </c>
      <c r="Q4506" s="7" t="n">
        <v>22</v>
      </c>
      <c r="R4506" s="7" t="s">
        <v>53</v>
      </c>
      <c r="S4506" s="7"/>
      <c r="T4506" s="7"/>
      <c r="U4506" s="7" t="str">
        <f aca="false">IF(COUNTIF($A$2:$A$5001,A4506)&gt;1,"Duplicate","Unique")</f>
        <v>Unique</v>
      </c>
      <c r="V4506" s="7" t="str">
        <f aca="false">IF(COUNTIFS($B$2:$B$5001,B4506,$H$2:$H$5001,H4506,$J$2:$J$5001,J4506)&gt;1,"Possible Duplicate Booking","Unique")</f>
        <v>Unique</v>
      </c>
      <c r="W4506" s="7" t="str">
        <f aca="false">IF((H4506-G4506)&lt;&gt;K4506,"Mismatch","OK")</f>
        <v>OK</v>
      </c>
      <c r="X4506" s="7" t="str">
        <f aca="false">IF(TEXT(H4506,"dddd")&lt;&gt;I4506,"Mismatch","OK")</f>
        <v>OK</v>
      </c>
      <c r="Y4506" s="7" t="str">
        <f aca="false">IF(AND(N4506="No",O4506&lt;&gt;""),"Unexpected: channel present but no reminder sent",IF(AND(N4506="Yes",O4506=""),"Missing channel for sent reminder","OK"))</f>
        <v>OK</v>
      </c>
    </row>
    <row r="4507" customFormat="false" ht="15" hidden="false" customHeight="false" outlineLevel="0" collapsed="false">
      <c r="A4507" s="9" t="s">
        <v>6230</v>
      </c>
      <c r="B4507" s="9" t="s">
        <v>506</v>
      </c>
      <c r="C4507" s="9" t="s">
        <v>47</v>
      </c>
      <c r="D4507" s="9" t="n">
        <v>71</v>
      </c>
      <c r="E4507" s="9" t="s">
        <v>70</v>
      </c>
      <c r="F4507" s="9" t="s">
        <v>57</v>
      </c>
      <c r="G4507" s="10" t="n">
        <v>45842</v>
      </c>
      <c r="H4507" s="10" t="n">
        <v>45864</v>
      </c>
      <c r="I4507" s="9" t="s">
        <v>102</v>
      </c>
      <c r="J4507" s="9" t="s">
        <v>51</v>
      </c>
      <c r="K4507" s="9" t="n">
        <v>22</v>
      </c>
      <c r="L4507" s="9" t="n">
        <v>0</v>
      </c>
      <c r="M4507" s="9" t="n">
        <v>0</v>
      </c>
      <c r="N4507" s="9" t="s">
        <v>42</v>
      </c>
      <c r="O4507" s="9" t="s">
        <v>52</v>
      </c>
      <c r="P4507" s="9" t="n">
        <v>20.8</v>
      </c>
      <c r="Q4507" s="9" t="n">
        <v>23</v>
      </c>
      <c r="R4507" s="9" t="s">
        <v>44</v>
      </c>
      <c r="S4507" s="9"/>
      <c r="T4507" s="9"/>
      <c r="U4507" s="9" t="str">
        <f aca="false">IF(COUNTIF($A$2:$A$5001,A4507)&gt;1,"Duplicate","Unique")</f>
        <v>Unique</v>
      </c>
      <c r="V4507" s="9" t="str">
        <f aca="false">IF(COUNTIFS($B$2:$B$5001,B4507,$H$2:$H$5001,H4507,$J$2:$J$5001,J4507)&gt;1,"Possible Duplicate Booking","Unique")</f>
        <v>Unique</v>
      </c>
      <c r="W4507" s="9" t="str">
        <f aca="false">IF((H4507-G4507)&lt;&gt;K4507,"Mismatch","OK")</f>
        <v>OK</v>
      </c>
      <c r="X4507" s="9" t="str">
        <f aca="false">IF(TEXT(H4507,"dddd")&lt;&gt;I4507,"Mismatch","OK")</f>
        <v>OK</v>
      </c>
      <c r="Y4507" s="9" t="str">
        <f aca="false">IF(AND(N4507="No",O4507&lt;&gt;""),"Unexpected: channel present but no reminder sent",IF(AND(N4507="Yes",O4507=""),"Missing channel for sent reminder","OK"))</f>
        <v>OK</v>
      </c>
    </row>
    <row r="4508" customFormat="false" ht="15" hidden="false" customHeight="false" outlineLevel="0" collapsed="false">
      <c r="A4508" s="7" t="s">
        <v>6231</v>
      </c>
      <c r="B4508" s="7" t="s">
        <v>2347</v>
      </c>
      <c r="C4508" s="7" t="s">
        <v>47</v>
      </c>
      <c r="D4508" s="7" t="n">
        <v>40</v>
      </c>
      <c r="E4508" s="7" t="s">
        <v>38</v>
      </c>
      <c r="F4508" s="7" t="s">
        <v>57</v>
      </c>
      <c r="G4508" s="8" t="n">
        <v>45805</v>
      </c>
      <c r="H4508" s="8" t="n">
        <v>45816</v>
      </c>
      <c r="I4508" s="7" t="s">
        <v>75</v>
      </c>
      <c r="J4508" s="7" t="s">
        <v>41</v>
      </c>
      <c r="K4508" s="7" t="n">
        <v>11</v>
      </c>
      <c r="L4508" s="7" t="n">
        <v>5</v>
      </c>
      <c r="M4508" s="7" t="n">
        <v>0</v>
      </c>
      <c r="N4508" s="7" t="s">
        <v>42</v>
      </c>
      <c r="O4508" s="7" t="s">
        <v>52</v>
      </c>
      <c r="P4508" s="7" t="n">
        <v>16.5</v>
      </c>
      <c r="Q4508" s="7" t="n">
        <v>10</v>
      </c>
      <c r="R4508" s="7" t="s">
        <v>53</v>
      </c>
      <c r="S4508" s="7"/>
      <c r="T4508" s="7"/>
      <c r="U4508" s="7" t="str">
        <f aca="false">IF(COUNTIF($A$2:$A$5001,A4508)&gt;1,"Duplicate","Unique")</f>
        <v>Unique</v>
      </c>
      <c r="V4508" s="7" t="str">
        <f aca="false">IF(COUNTIFS($B$2:$B$5001,B4508,$H$2:$H$5001,H4508,$J$2:$J$5001,J4508)&gt;1,"Possible Duplicate Booking","Unique")</f>
        <v>Unique</v>
      </c>
      <c r="W4508" s="7" t="str">
        <f aca="false">IF((H4508-G4508)&lt;&gt;K4508,"Mismatch","OK")</f>
        <v>OK</v>
      </c>
      <c r="X4508" s="7" t="str">
        <f aca="false">IF(TEXT(H4508,"dddd")&lt;&gt;I4508,"Mismatch","OK")</f>
        <v>OK</v>
      </c>
      <c r="Y4508" s="7" t="str">
        <f aca="false">IF(AND(N4508="No",O4508&lt;&gt;""),"Unexpected: channel present but no reminder sent",IF(AND(N4508="Yes",O4508=""),"Missing channel for sent reminder","OK"))</f>
        <v>OK</v>
      </c>
    </row>
    <row r="4509" customFormat="false" ht="15" hidden="false" customHeight="false" outlineLevel="0" collapsed="false">
      <c r="A4509" s="9" t="s">
        <v>6232</v>
      </c>
      <c r="B4509" s="9" t="s">
        <v>1131</v>
      </c>
      <c r="C4509" s="9" t="s">
        <v>47</v>
      </c>
      <c r="D4509" s="9" t="n">
        <v>56</v>
      </c>
      <c r="E4509" s="9" t="s">
        <v>61</v>
      </c>
      <c r="F4509" s="9" t="s">
        <v>74</v>
      </c>
      <c r="G4509" s="10" t="n">
        <v>45949</v>
      </c>
      <c r="H4509" s="10" t="n">
        <v>45978</v>
      </c>
      <c r="I4509" s="9" t="s">
        <v>66</v>
      </c>
      <c r="J4509" s="9" t="s">
        <v>41</v>
      </c>
      <c r="K4509" s="9" t="n">
        <v>29</v>
      </c>
      <c r="L4509" s="9" t="n">
        <v>0</v>
      </c>
      <c r="M4509" s="9" t="n">
        <v>0</v>
      </c>
      <c r="N4509" s="9" t="s">
        <v>71</v>
      </c>
      <c r="O4509" s="9"/>
      <c r="P4509" s="9" t="n">
        <v>6.7</v>
      </c>
      <c r="Q4509" s="9" t="n">
        <v>23</v>
      </c>
      <c r="R4509" s="9" t="s">
        <v>53</v>
      </c>
      <c r="S4509" s="9"/>
      <c r="T4509" s="9"/>
      <c r="U4509" s="9" t="str">
        <f aca="false">IF(COUNTIF($A$2:$A$5001,A4509)&gt;1,"Duplicate","Unique")</f>
        <v>Unique</v>
      </c>
      <c r="V4509" s="9" t="str">
        <f aca="false">IF(COUNTIFS($B$2:$B$5001,B4509,$H$2:$H$5001,H4509,$J$2:$J$5001,J4509)&gt;1,"Possible Duplicate Booking","Unique")</f>
        <v>Unique</v>
      </c>
      <c r="W4509" s="9" t="str">
        <f aca="false">IF((H4509-G4509)&lt;&gt;K4509,"Mismatch","OK")</f>
        <v>OK</v>
      </c>
      <c r="X4509" s="9" t="str">
        <f aca="false">IF(TEXT(H4509,"dddd")&lt;&gt;I4509,"Mismatch","OK")</f>
        <v>OK</v>
      </c>
      <c r="Y4509" s="9" t="str">
        <f aca="false">IF(AND(N4509="No",O4509&lt;&gt;""),"Unexpected: channel present but no reminder sent",IF(AND(N4509="Yes",O4509=""),"Missing channel for sent reminder","OK"))</f>
        <v>OK</v>
      </c>
    </row>
    <row r="4510" customFormat="false" ht="15" hidden="false" customHeight="false" outlineLevel="0" collapsed="false">
      <c r="A4510" s="7" t="s">
        <v>6233</v>
      </c>
      <c r="B4510" s="7" t="s">
        <v>695</v>
      </c>
      <c r="C4510" s="7" t="s">
        <v>37</v>
      </c>
      <c r="D4510" s="7" t="n">
        <v>60</v>
      </c>
      <c r="E4510" s="7" t="s">
        <v>61</v>
      </c>
      <c r="F4510" s="7" t="s">
        <v>49</v>
      </c>
      <c r="G4510" s="8" t="n">
        <v>45754</v>
      </c>
      <c r="H4510" s="8" t="n">
        <v>45803</v>
      </c>
      <c r="I4510" s="7" t="s">
        <v>66</v>
      </c>
      <c r="J4510" s="7" t="s">
        <v>41</v>
      </c>
      <c r="K4510" s="7" t="n">
        <v>49</v>
      </c>
      <c r="L4510" s="7" t="n">
        <v>2</v>
      </c>
      <c r="M4510" s="7" t="n">
        <v>0</v>
      </c>
      <c r="N4510" s="7" t="s">
        <v>71</v>
      </c>
      <c r="O4510" s="7"/>
      <c r="P4510" s="7" t="n">
        <v>5.3</v>
      </c>
      <c r="Q4510" s="7" t="n">
        <v>8</v>
      </c>
      <c r="R4510" s="7" t="s">
        <v>44</v>
      </c>
      <c r="S4510" s="7"/>
      <c r="T4510" s="7"/>
      <c r="U4510" s="7" t="str">
        <f aca="false">IF(COUNTIF($A$2:$A$5001,A4510)&gt;1,"Duplicate","Unique")</f>
        <v>Unique</v>
      </c>
      <c r="V4510" s="7" t="str">
        <f aca="false">IF(COUNTIFS($B$2:$B$5001,B4510,$H$2:$H$5001,H4510,$J$2:$J$5001,J4510)&gt;1,"Possible Duplicate Booking","Unique")</f>
        <v>Unique</v>
      </c>
      <c r="W4510" s="7" t="str">
        <f aca="false">IF((H4510-G4510)&lt;&gt;K4510,"Mismatch","OK")</f>
        <v>OK</v>
      </c>
      <c r="X4510" s="7" t="str">
        <f aca="false">IF(TEXT(H4510,"dddd")&lt;&gt;I4510,"Mismatch","OK")</f>
        <v>OK</v>
      </c>
      <c r="Y4510" s="7" t="str">
        <f aca="false">IF(AND(N4510="No",O4510&lt;&gt;""),"Unexpected: channel present but no reminder sent",IF(AND(N4510="Yes",O4510=""),"Missing channel for sent reminder","OK"))</f>
        <v>OK</v>
      </c>
    </row>
    <row r="4511" customFormat="false" ht="15" hidden="false" customHeight="false" outlineLevel="0" collapsed="false">
      <c r="A4511" s="9" t="s">
        <v>6234</v>
      </c>
      <c r="B4511" s="9" t="s">
        <v>6235</v>
      </c>
      <c r="C4511" s="9" t="s">
        <v>47</v>
      </c>
      <c r="D4511" s="9" t="n">
        <v>51</v>
      </c>
      <c r="E4511" s="9" t="s">
        <v>56</v>
      </c>
      <c r="F4511" s="9" t="s">
        <v>39</v>
      </c>
      <c r="G4511" s="10" t="n">
        <v>46129</v>
      </c>
      <c r="H4511" s="10" t="n">
        <v>46185</v>
      </c>
      <c r="I4511" s="9" t="s">
        <v>50</v>
      </c>
      <c r="J4511" s="9" t="s">
        <v>51</v>
      </c>
      <c r="K4511" s="9" t="n">
        <v>56</v>
      </c>
      <c r="L4511" s="9" t="n">
        <v>3</v>
      </c>
      <c r="M4511" s="9" t="n">
        <v>0</v>
      </c>
      <c r="N4511" s="9" t="s">
        <v>42</v>
      </c>
      <c r="O4511" s="9" t="s">
        <v>43</v>
      </c>
      <c r="P4511" s="9" t="n">
        <v>7.3</v>
      </c>
      <c r="Q4511" s="9" t="n">
        <v>17</v>
      </c>
      <c r="R4511" s="9" t="s">
        <v>44</v>
      </c>
      <c r="S4511" s="9"/>
      <c r="T4511" s="9"/>
      <c r="U4511" s="9" t="str">
        <f aca="false">IF(COUNTIF($A$2:$A$5001,A4511)&gt;1,"Duplicate","Unique")</f>
        <v>Unique</v>
      </c>
      <c r="V4511" s="9" t="str">
        <f aca="false">IF(COUNTIFS($B$2:$B$5001,B4511,$H$2:$H$5001,H4511,$J$2:$J$5001,J4511)&gt;1,"Possible Duplicate Booking","Unique")</f>
        <v>Unique</v>
      </c>
      <c r="W4511" s="9" t="str">
        <f aca="false">IF((H4511-G4511)&lt;&gt;K4511,"Mismatch","OK")</f>
        <v>OK</v>
      </c>
      <c r="X4511" s="9" t="str">
        <f aca="false">IF(TEXT(H4511,"dddd")&lt;&gt;I4511,"Mismatch","OK")</f>
        <v>OK</v>
      </c>
      <c r="Y4511" s="9" t="str">
        <f aca="false">IF(AND(N4511="No",O4511&lt;&gt;""),"Unexpected: channel present but no reminder sent",IF(AND(N4511="Yes",O4511=""),"Missing channel for sent reminder","OK"))</f>
        <v>OK</v>
      </c>
    </row>
    <row r="4512" customFormat="false" ht="15" hidden="false" customHeight="false" outlineLevel="0" collapsed="false">
      <c r="A4512" s="7" t="s">
        <v>6236</v>
      </c>
      <c r="B4512" s="7" t="s">
        <v>381</v>
      </c>
      <c r="C4512" s="7" t="s">
        <v>37</v>
      </c>
      <c r="D4512" s="7" t="n">
        <v>56</v>
      </c>
      <c r="E4512" s="7" t="s">
        <v>61</v>
      </c>
      <c r="F4512" s="7" t="s">
        <v>74</v>
      </c>
      <c r="G4512" s="8" t="n">
        <v>45809</v>
      </c>
      <c r="H4512" s="8" t="n">
        <v>45821</v>
      </c>
      <c r="I4512" s="7" t="s">
        <v>50</v>
      </c>
      <c r="J4512" s="7" t="s">
        <v>51</v>
      </c>
      <c r="K4512" s="7" t="n">
        <v>12</v>
      </c>
      <c r="L4512" s="7" t="n">
        <v>7</v>
      </c>
      <c r="M4512" s="7" t="n">
        <v>2</v>
      </c>
      <c r="N4512" s="7" t="s">
        <v>42</v>
      </c>
      <c r="O4512" s="7" t="s">
        <v>43</v>
      </c>
      <c r="P4512" s="7"/>
      <c r="Q4512" s="7" t="n">
        <v>9</v>
      </c>
      <c r="R4512" s="7" t="s">
        <v>53</v>
      </c>
      <c r="S4512" s="7"/>
      <c r="T4512" s="7"/>
      <c r="U4512" s="7" t="str">
        <f aca="false">IF(COUNTIF($A$2:$A$5001,A4512)&gt;1,"Duplicate","Unique")</f>
        <v>Unique</v>
      </c>
      <c r="V4512" s="7" t="str">
        <f aca="false">IF(COUNTIFS($B$2:$B$5001,B4512,$H$2:$H$5001,H4512,$J$2:$J$5001,J4512)&gt;1,"Possible Duplicate Booking","Unique")</f>
        <v>Unique</v>
      </c>
      <c r="W4512" s="7" t="str">
        <f aca="false">IF((H4512-G4512)&lt;&gt;K4512,"Mismatch","OK")</f>
        <v>OK</v>
      </c>
      <c r="X4512" s="7" t="str">
        <f aca="false">IF(TEXT(H4512,"dddd")&lt;&gt;I4512,"Mismatch","OK")</f>
        <v>OK</v>
      </c>
      <c r="Y4512" s="7" t="str">
        <f aca="false">IF(AND(N4512="No",O4512&lt;&gt;""),"Unexpected: channel present but no reminder sent",IF(AND(N4512="Yes",O4512=""),"Missing channel for sent reminder","OK"))</f>
        <v>OK</v>
      </c>
    </row>
    <row r="4513" customFormat="false" ht="15" hidden="false" customHeight="false" outlineLevel="0" collapsed="false">
      <c r="A4513" s="9" t="s">
        <v>6237</v>
      </c>
      <c r="B4513" s="9" t="s">
        <v>3042</v>
      </c>
      <c r="C4513" s="9" t="s">
        <v>37</v>
      </c>
      <c r="D4513" s="9" t="n">
        <v>21</v>
      </c>
      <c r="E4513" s="9" t="s">
        <v>82</v>
      </c>
      <c r="F4513" s="9" t="s">
        <v>57</v>
      </c>
      <c r="G4513" s="10" t="n">
        <v>45910</v>
      </c>
      <c r="H4513" s="10" t="n">
        <v>45943</v>
      </c>
      <c r="I4513" s="9" t="s">
        <v>66</v>
      </c>
      <c r="J4513" s="9" t="s">
        <v>51</v>
      </c>
      <c r="K4513" s="9" t="n">
        <v>33</v>
      </c>
      <c r="L4513" s="9" t="n">
        <v>6</v>
      </c>
      <c r="M4513" s="9" t="n">
        <v>3</v>
      </c>
      <c r="N4513" s="9" t="s">
        <v>42</v>
      </c>
      <c r="O4513" s="9" t="s">
        <v>52</v>
      </c>
      <c r="P4513" s="9" t="n">
        <v>6.3</v>
      </c>
      <c r="Q4513" s="9" t="n">
        <v>22</v>
      </c>
      <c r="R4513" s="9" t="s">
        <v>53</v>
      </c>
      <c r="S4513" s="9"/>
      <c r="T4513" s="9"/>
      <c r="U4513" s="9" t="str">
        <f aca="false">IF(COUNTIF($A$2:$A$5001,A4513)&gt;1,"Duplicate","Unique")</f>
        <v>Unique</v>
      </c>
      <c r="V4513" s="9" t="str">
        <f aca="false">IF(COUNTIFS($B$2:$B$5001,B4513,$H$2:$H$5001,H4513,$J$2:$J$5001,J4513)&gt;1,"Possible Duplicate Booking","Unique")</f>
        <v>Unique</v>
      </c>
      <c r="W4513" s="9" t="str">
        <f aca="false">IF((H4513-G4513)&lt;&gt;K4513,"Mismatch","OK")</f>
        <v>OK</v>
      </c>
      <c r="X4513" s="9" t="str">
        <f aca="false">IF(TEXT(H4513,"dddd")&lt;&gt;I4513,"Mismatch","OK")</f>
        <v>OK</v>
      </c>
      <c r="Y4513" s="9" t="str">
        <f aca="false">IF(AND(N4513="No",O4513&lt;&gt;""),"Unexpected: channel present but no reminder sent",IF(AND(N4513="Yes",O4513=""),"Missing channel for sent reminder","OK"))</f>
        <v>OK</v>
      </c>
    </row>
    <row r="4514" customFormat="false" ht="15" hidden="false" customHeight="false" outlineLevel="0" collapsed="false">
      <c r="A4514" s="7" t="s">
        <v>6238</v>
      </c>
      <c r="B4514" s="7" t="s">
        <v>1133</v>
      </c>
      <c r="C4514" s="7" t="s">
        <v>47</v>
      </c>
      <c r="D4514" s="7" t="n">
        <v>37</v>
      </c>
      <c r="E4514" s="7" t="s">
        <v>38</v>
      </c>
      <c r="F4514" s="7" t="s">
        <v>74</v>
      </c>
      <c r="G4514" s="8" t="n">
        <v>45697</v>
      </c>
      <c r="H4514" s="8" t="n">
        <v>45725</v>
      </c>
      <c r="I4514" s="7" t="s">
        <v>75</v>
      </c>
      <c r="J4514" s="7" t="s">
        <v>63</v>
      </c>
      <c r="K4514" s="7" t="n">
        <v>28</v>
      </c>
      <c r="L4514" s="7" t="n">
        <v>3</v>
      </c>
      <c r="M4514" s="7" t="n">
        <v>0</v>
      </c>
      <c r="N4514" s="7" t="s">
        <v>42</v>
      </c>
      <c r="O4514" s="7" t="s">
        <v>52</v>
      </c>
      <c r="P4514" s="7" t="n">
        <v>18.5</v>
      </c>
      <c r="Q4514" s="7" t="n">
        <v>17</v>
      </c>
      <c r="R4514" s="7" t="s">
        <v>44</v>
      </c>
      <c r="S4514" s="7"/>
      <c r="T4514" s="7"/>
      <c r="U4514" s="7" t="str">
        <f aca="false">IF(COUNTIF($A$2:$A$5001,A4514)&gt;1,"Duplicate","Unique")</f>
        <v>Unique</v>
      </c>
      <c r="V4514" s="7" t="str">
        <f aca="false">IF(COUNTIFS($B$2:$B$5001,B4514,$H$2:$H$5001,H4514,$J$2:$J$5001,J4514)&gt;1,"Possible Duplicate Booking","Unique")</f>
        <v>Unique</v>
      </c>
      <c r="W4514" s="7" t="str">
        <f aca="false">IF((H4514-G4514)&lt;&gt;K4514,"Mismatch","OK")</f>
        <v>OK</v>
      </c>
      <c r="X4514" s="7" t="str">
        <f aca="false">IF(TEXT(H4514,"dddd")&lt;&gt;I4514,"Mismatch","OK")</f>
        <v>OK</v>
      </c>
      <c r="Y4514" s="7" t="str">
        <f aca="false">IF(AND(N4514="No",O4514&lt;&gt;""),"Unexpected: channel present but no reminder sent",IF(AND(N4514="Yes",O4514=""),"Missing channel for sent reminder","OK"))</f>
        <v>OK</v>
      </c>
    </row>
    <row r="4515" customFormat="false" ht="15" hidden="false" customHeight="false" outlineLevel="0" collapsed="false">
      <c r="A4515" s="9" t="s">
        <v>6239</v>
      </c>
      <c r="B4515" s="9" t="s">
        <v>2045</v>
      </c>
      <c r="C4515" s="9" t="s">
        <v>37</v>
      </c>
      <c r="D4515" s="9" t="n">
        <v>46</v>
      </c>
      <c r="E4515" s="9" t="s">
        <v>56</v>
      </c>
      <c r="F4515" s="9" t="s">
        <v>57</v>
      </c>
      <c r="G4515" s="10" t="n">
        <v>46129</v>
      </c>
      <c r="H4515" s="10" t="n">
        <v>46154</v>
      </c>
      <c r="I4515" s="9" t="s">
        <v>40</v>
      </c>
      <c r="J4515" s="9" t="s">
        <v>41</v>
      </c>
      <c r="K4515" s="9" t="n">
        <v>25</v>
      </c>
      <c r="L4515" s="9" t="n">
        <v>6</v>
      </c>
      <c r="M4515" s="9" t="n">
        <v>0</v>
      </c>
      <c r="N4515" s="9" t="s">
        <v>71</v>
      </c>
      <c r="O4515" s="9"/>
      <c r="P4515" s="9" t="n">
        <v>20.6</v>
      </c>
      <c r="Q4515" s="9" t="n">
        <v>39</v>
      </c>
      <c r="R4515" s="9" t="s">
        <v>44</v>
      </c>
      <c r="S4515" s="9"/>
      <c r="T4515" s="9"/>
      <c r="U4515" s="9" t="str">
        <f aca="false">IF(COUNTIF($A$2:$A$5001,A4515)&gt;1,"Duplicate","Unique")</f>
        <v>Unique</v>
      </c>
      <c r="V4515" s="9" t="str">
        <f aca="false">IF(COUNTIFS($B$2:$B$5001,B4515,$H$2:$H$5001,H4515,$J$2:$J$5001,J4515)&gt;1,"Possible Duplicate Booking","Unique")</f>
        <v>Unique</v>
      </c>
      <c r="W4515" s="9" t="str">
        <f aca="false">IF((H4515-G4515)&lt;&gt;K4515,"Mismatch","OK")</f>
        <v>OK</v>
      </c>
      <c r="X4515" s="9" t="str">
        <f aca="false">IF(TEXT(H4515,"dddd")&lt;&gt;I4515,"Mismatch","OK")</f>
        <v>OK</v>
      </c>
      <c r="Y4515" s="9" t="str">
        <f aca="false">IF(AND(N4515="No",O4515&lt;&gt;""),"Unexpected: channel present but no reminder sent",IF(AND(N4515="Yes",O4515=""),"Missing channel for sent reminder","OK"))</f>
        <v>OK</v>
      </c>
    </row>
    <row r="4516" customFormat="false" ht="15" hidden="false" customHeight="false" outlineLevel="0" collapsed="false">
      <c r="A4516" s="7" t="s">
        <v>6240</v>
      </c>
      <c r="B4516" s="7" t="s">
        <v>6241</v>
      </c>
      <c r="C4516" s="7" t="s">
        <v>37</v>
      </c>
      <c r="D4516" s="7" t="n">
        <v>42</v>
      </c>
      <c r="E4516" s="7" t="s">
        <v>38</v>
      </c>
      <c r="F4516" s="7" t="s">
        <v>57</v>
      </c>
      <c r="G4516" s="8" t="n">
        <v>46117</v>
      </c>
      <c r="H4516" s="8" t="n">
        <v>46155</v>
      </c>
      <c r="I4516" s="7" t="s">
        <v>58</v>
      </c>
      <c r="J4516" s="7" t="s">
        <v>41</v>
      </c>
      <c r="K4516" s="7" t="n">
        <v>38</v>
      </c>
      <c r="L4516" s="7" t="n">
        <v>2</v>
      </c>
      <c r="M4516" s="7" t="n">
        <v>0</v>
      </c>
      <c r="N4516" s="7" t="s">
        <v>42</v>
      </c>
      <c r="O4516" s="7" t="s">
        <v>43</v>
      </c>
      <c r="P4516" s="7" t="n">
        <v>5.6</v>
      </c>
      <c r="Q4516" s="7" t="n">
        <v>27</v>
      </c>
      <c r="R4516" s="7" t="s">
        <v>44</v>
      </c>
      <c r="S4516" s="7"/>
      <c r="T4516" s="7"/>
      <c r="U4516" s="7" t="str">
        <f aca="false">IF(COUNTIF($A$2:$A$5001,A4516)&gt;1,"Duplicate","Unique")</f>
        <v>Unique</v>
      </c>
      <c r="V4516" s="7" t="str">
        <f aca="false">IF(COUNTIFS($B$2:$B$5001,B4516,$H$2:$H$5001,H4516,$J$2:$J$5001,J4516)&gt;1,"Possible Duplicate Booking","Unique")</f>
        <v>Unique</v>
      </c>
      <c r="W4516" s="7" t="str">
        <f aca="false">IF((H4516-G4516)&lt;&gt;K4516,"Mismatch","OK")</f>
        <v>OK</v>
      </c>
      <c r="X4516" s="7" t="str">
        <f aca="false">IF(TEXT(H4516,"dddd")&lt;&gt;I4516,"Mismatch","OK")</f>
        <v>OK</v>
      </c>
      <c r="Y4516" s="7" t="str">
        <f aca="false">IF(AND(N4516="No",O4516&lt;&gt;""),"Unexpected: channel present but no reminder sent",IF(AND(N4516="Yes",O4516=""),"Missing channel for sent reminder","OK"))</f>
        <v>OK</v>
      </c>
    </row>
    <row r="4517" customFormat="false" ht="15" hidden="false" customHeight="false" outlineLevel="0" collapsed="false">
      <c r="A4517" s="9" t="s">
        <v>6242</v>
      </c>
      <c r="B4517" s="9" t="s">
        <v>609</v>
      </c>
      <c r="C4517" s="9" t="s">
        <v>37</v>
      </c>
      <c r="D4517" s="9" t="n">
        <v>75</v>
      </c>
      <c r="E4517" s="9" t="s">
        <v>70</v>
      </c>
      <c r="F4517" s="9" t="s">
        <v>57</v>
      </c>
      <c r="G4517" s="10" t="n">
        <v>46031</v>
      </c>
      <c r="H4517" s="10" t="n">
        <v>46091</v>
      </c>
      <c r="I4517" s="9" t="s">
        <v>40</v>
      </c>
      <c r="J4517" s="9" t="s">
        <v>51</v>
      </c>
      <c r="K4517" s="9" t="n">
        <v>60</v>
      </c>
      <c r="L4517" s="9" t="n">
        <v>2</v>
      </c>
      <c r="M4517" s="9" t="n">
        <v>1</v>
      </c>
      <c r="N4517" s="9" t="s">
        <v>71</v>
      </c>
      <c r="O4517" s="9"/>
      <c r="P4517" s="9" t="n">
        <v>7.7</v>
      </c>
      <c r="Q4517" s="9" t="n">
        <v>9</v>
      </c>
      <c r="R4517" s="9" t="s">
        <v>44</v>
      </c>
      <c r="S4517" s="9"/>
      <c r="T4517" s="9"/>
      <c r="U4517" s="9" t="str">
        <f aca="false">IF(COUNTIF($A$2:$A$5001,A4517)&gt;1,"Duplicate","Unique")</f>
        <v>Unique</v>
      </c>
      <c r="V4517" s="9" t="str">
        <f aca="false">IF(COUNTIFS($B$2:$B$5001,B4517,$H$2:$H$5001,H4517,$J$2:$J$5001,J4517)&gt;1,"Possible Duplicate Booking","Unique")</f>
        <v>Unique</v>
      </c>
      <c r="W4517" s="9" t="str">
        <f aca="false">IF((H4517-G4517)&lt;&gt;K4517,"Mismatch","OK")</f>
        <v>OK</v>
      </c>
      <c r="X4517" s="9" t="str">
        <f aca="false">IF(TEXT(H4517,"dddd")&lt;&gt;I4517,"Mismatch","OK")</f>
        <v>OK</v>
      </c>
      <c r="Y4517" s="9" t="str">
        <f aca="false">IF(AND(N4517="No",O4517&lt;&gt;""),"Unexpected: channel present but no reminder sent",IF(AND(N4517="Yes",O4517=""),"Missing channel for sent reminder","OK"))</f>
        <v>OK</v>
      </c>
    </row>
    <row r="4518" customFormat="false" ht="15" hidden="false" customHeight="false" outlineLevel="0" collapsed="false">
      <c r="A4518" s="7" t="s">
        <v>6243</v>
      </c>
      <c r="B4518" s="7" t="s">
        <v>399</v>
      </c>
      <c r="C4518" s="7" t="s">
        <v>37</v>
      </c>
      <c r="D4518" s="7" t="n">
        <v>74</v>
      </c>
      <c r="E4518" s="7" t="s">
        <v>70</v>
      </c>
      <c r="F4518" s="7" t="s">
        <v>74</v>
      </c>
      <c r="G4518" s="8" t="n">
        <v>45825</v>
      </c>
      <c r="H4518" s="8" t="n">
        <v>45849</v>
      </c>
      <c r="I4518" s="7" t="s">
        <v>50</v>
      </c>
      <c r="J4518" s="7" t="s">
        <v>41</v>
      </c>
      <c r="K4518" s="7" t="n">
        <v>24</v>
      </c>
      <c r="L4518" s="7" t="n">
        <v>1</v>
      </c>
      <c r="M4518" s="7" t="n">
        <v>0</v>
      </c>
      <c r="N4518" s="7" t="s">
        <v>42</v>
      </c>
      <c r="O4518" s="7" t="s">
        <v>67</v>
      </c>
      <c r="P4518" s="7" t="n">
        <v>2.3</v>
      </c>
      <c r="Q4518" s="7" t="n">
        <v>34</v>
      </c>
      <c r="R4518" s="7" t="s">
        <v>53</v>
      </c>
      <c r="S4518" s="7"/>
      <c r="T4518" s="7"/>
      <c r="U4518" s="7" t="str">
        <f aca="false">IF(COUNTIF($A$2:$A$5001,A4518)&gt;1,"Duplicate","Unique")</f>
        <v>Unique</v>
      </c>
      <c r="V4518" s="7" t="str">
        <f aca="false">IF(COUNTIFS($B$2:$B$5001,B4518,$H$2:$H$5001,H4518,$J$2:$J$5001,J4518)&gt;1,"Possible Duplicate Booking","Unique")</f>
        <v>Unique</v>
      </c>
      <c r="W4518" s="7" t="str">
        <f aca="false">IF((H4518-G4518)&lt;&gt;K4518,"Mismatch","OK")</f>
        <v>OK</v>
      </c>
      <c r="X4518" s="7" t="str">
        <f aca="false">IF(TEXT(H4518,"dddd")&lt;&gt;I4518,"Mismatch","OK")</f>
        <v>OK</v>
      </c>
      <c r="Y4518" s="7" t="str">
        <f aca="false">IF(AND(N4518="No",O4518&lt;&gt;""),"Unexpected: channel present but no reminder sent",IF(AND(N4518="Yes",O4518=""),"Missing channel for sent reminder","OK"))</f>
        <v>OK</v>
      </c>
    </row>
    <row r="4519" customFormat="false" ht="15" hidden="false" customHeight="false" outlineLevel="0" collapsed="false">
      <c r="A4519" s="9" t="s">
        <v>6244</v>
      </c>
      <c r="B4519" s="9" t="s">
        <v>1967</v>
      </c>
      <c r="C4519" s="9" t="s">
        <v>37</v>
      </c>
      <c r="D4519" s="9" t="n">
        <v>62</v>
      </c>
      <c r="E4519" s="9" t="s">
        <v>61</v>
      </c>
      <c r="F4519" s="9" t="s">
        <v>74</v>
      </c>
      <c r="G4519" s="10" t="n">
        <v>45687</v>
      </c>
      <c r="H4519" s="10" t="n">
        <v>45690</v>
      </c>
      <c r="I4519" s="9" t="s">
        <v>75</v>
      </c>
      <c r="J4519" s="9" t="s">
        <v>41</v>
      </c>
      <c r="K4519" s="9" t="n">
        <v>3</v>
      </c>
      <c r="L4519" s="9" t="n">
        <v>5</v>
      </c>
      <c r="M4519" s="9" t="n">
        <v>1</v>
      </c>
      <c r="N4519" s="9" t="s">
        <v>42</v>
      </c>
      <c r="O4519" s="9" t="s">
        <v>43</v>
      </c>
      <c r="P4519" s="9" t="n">
        <v>10</v>
      </c>
      <c r="Q4519" s="9" t="n">
        <v>22</v>
      </c>
      <c r="R4519" s="9" t="s">
        <v>53</v>
      </c>
      <c r="S4519" s="9"/>
      <c r="T4519" s="9"/>
      <c r="U4519" s="9" t="str">
        <f aca="false">IF(COUNTIF($A$2:$A$5001,A4519)&gt;1,"Duplicate","Unique")</f>
        <v>Unique</v>
      </c>
      <c r="V4519" s="9" t="str">
        <f aca="false">IF(COUNTIFS($B$2:$B$5001,B4519,$H$2:$H$5001,H4519,$J$2:$J$5001,J4519)&gt;1,"Possible Duplicate Booking","Unique")</f>
        <v>Unique</v>
      </c>
      <c r="W4519" s="9" t="str">
        <f aca="false">IF((H4519-G4519)&lt;&gt;K4519,"Mismatch","OK")</f>
        <v>OK</v>
      </c>
      <c r="X4519" s="9" t="str">
        <f aca="false">IF(TEXT(H4519,"dddd")&lt;&gt;I4519,"Mismatch","OK")</f>
        <v>OK</v>
      </c>
      <c r="Y4519" s="9" t="str">
        <f aca="false">IF(AND(N4519="No",O4519&lt;&gt;""),"Unexpected: channel present but no reminder sent",IF(AND(N4519="Yes",O4519=""),"Missing channel for sent reminder","OK"))</f>
        <v>OK</v>
      </c>
    </row>
    <row r="4520" customFormat="false" ht="15" hidden="false" customHeight="false" outlineLevel="0" collapsed="false">
      <c r="A4520" s="7" t="s">
        <v>6245</v>
      </c>
      <c r="B4520" s="7" t="s">
        <v>6142</v>
      </c>
      <c r="C4520" s="7" t="s">
        <v>47</v>
      </c>
      <c r="D4520" s="7" t="n">
        <v>40</v>
      </c>
      <c r="E4520" s="7" t="s">
        <v>38</v>
      </c>
      <c r="F4520" s="7" t="s">
        <v>39</v>
      </c>
      <c r="G4520" s="8" t="n">
        <v>45991</v>
      </c>
      <c r="H4520" s="8" t="n">
        <v>46046</v>
      </c>
      <c r="I4520" s="7" t="s">
        <v>102</v>
      </c>
      <c r="J4520" s="7" t="s">
        <v>41</v>
      </c>
      <c r="K4520" s="7" t="n">
        <v>55</v>
      </c>
      <c r="L4520" s="7" t="n">
        <v>7</v>
      </c>
      <c r="M4520" s="7" t="n">
        <v>1</v>
      </c>
      <c r="N4520" s="7" t="s">
        <v>42</v>
      </c>
      <c r="O4520" s="7" t="s">
        <v>52</v>
      </c>
      <c r="P4520" s="7" t="n">
        <v>10</v>
      </c>
      <c r="Q4520" s="7" t="n">
        <v>32</v>
      </c>
      <c r="R4520" s="7" t="s">
        <v>53</v>
      </c>
      <c r="S4520" s="7"/>
      <c r="T4520" s="7"/>
      <c r="U4520" s="7" t="str">
        <f aca="false">IF(COUNTIF($A$2:$A$5001,A4520)&gt;1,"Duplicate","Unique")</f>
        <v>Unique</v>
      </c>
      <c r="V4520" s="7" t="str">
        <f aca="false">IF(COUNTIFS($B$2:$B$5001,B4520,$H$2:$H$5001,H4520,$J$2:$J$5001,J4520)&gt;1,"Possible Duplicate Booking","Unique")</f>
        <v>Unique</v>
      </c>
      <c r="W4520" s="7" t="str">
        <f aca="false">IF((H4520-G4520)&lt;&gt;K4520,"Mismatch","OK")</f>
        <v>OK</v>
      </c>
      <c r="X4520" s="7" t="str">
        <f aca="false">IF(TEXT(H4520,"dddd")&lt;&gt;I4520,"Mismatch","OK")</f>
        <v>OK</v>
      </c>
      <c r="Y4520" s="7" t="str">
        <f aca="false">IF(AND(N4520="No",O4520&lt;&gt;""),"Unexpected: channel present but no reminder sent",IF(AND(N4520="Yes",O4520=""),"Missing channel for sent reminder","OK"))</f>
        <v>OK</v>
      </c>
    </row>
    <row r="4521" customFormat="false" ht="15" hidden="false" customHeight="false" outlineLevel="0" collapsed="false">
      <c r="A4521" s="9" t="s">
        <v>6246</v>
      </c>
      <c r="B4521" s="9" t="s">
        <v>3767</v>
      </c>
      <c r="C4521" s="9" t="s">
        <v>37</v>
      </c>
      <c r="D4521" s="9" t="n">
        <v>21</v>
      </c>
      <c r="E4521" s="9" t="s">
        <v>82</v>
      </c>
      <c r="F4521" s="9" t="s">
        <v>57</v>
      </c>
      <c r="G4521" s="10" t="n">
        <v>45836</v>
      </c>
      <c r="H4521" s="10" t="n">
        <v>45892</v>
      </c>
      <c r="I4521" s="9" t="s">
        <v>102</v>
      </c>
      <c r="J4521" s="9" t="s">
        <v>51</v>
      </c>
      <c r="K4521" s="9" t="n">
        <v>56</v>
      </c>
      <c r="L4521" s="9" t="n">
        <v>4</v>
      </c>
      <c r="M4521" s="9" t="n">
        <v>0</v>
      </c>
      <c r="N4521" s="9" t="s">
        <v>42</v>
      </c>
      <c r="O4521" s="9" t="s">
        <v>52</v>
      </c>
      <c r="P4521" s="9" t="n">
        <v>8.2</v>
      </c>
      <c r="Q4521" s="9" t="n">
        <v>9</v>
      </c>
      <c r="R4521" s="9" t="s">
        <v>53</v>
      </c>
      <c r="S4521" s="9"/>
      <c r="T4521" s="9"/>
      <c r="U4521" s="9" t="str">
        <f aca="false">IF(COUNTIF($A$2:$A$5001,A4521)&gt;1,"Duplicate","Unique")</f>
        <v>Unique</v>
      </c>
      <c r="V4521" s="9" t="str">
        <f aca="false">IF(COUNTIFS($B$2:$B$5001,B4521,$H$2:$H$5001,H4521,$J$2:$J$5001,J4521)&gt;1,"Possible Duplicate Booking","Unique")</f>
        <v>Unique</v>
      </c>
      <c r="W4521" s="9" t="str">
        <f aca="false">IF((H4521-G4521)&lt;&gt;K4521,"Mismatch","OK")</f>
        <v>OK</v>
      </c>
      <c r="X4521" s="9" t="str">
        <f aca="false">IF(TEXT(H4521,"dddd")&lt;&gt;I4521,"Mismatch","OK")</f>
        <v>OK</v>
      </c>
      <c r="Y4521" s="9" t="str">
        <f aca="false">IF(AND(N4521="No",O4521&lt;&gt;""),"Unexpected: channel present but no reminder sent",IF(AND(N4521="Yes",O4521=""),"Missing channel for sent reminder","OK"))</f>
        <v>OK</v>
      </c>
    </row>
    <row r="4522" customFormat="false" ht="15" hidden="false" customHeight="false" outlineLevel="0" collapsed="false">
      <c r="A4522" s="7" t="s">
        <v>6247</v>
      </c>
      <c r="B4522" s="7" t="s">
        <v>4289</v>
      </c>
      <c r="C4522" s="7" t="s">
        <v>37</v>
      </c>
      <c r="D4522" s="7" t="n">
        <v>65</v>
      </c>
      <c r="E4522" s="7" t="s">
        <v>70</v>
      </c>
      <c r="F4522" s="7" t="s">
        <v>57</v>
      </c>
      <c r="G4522" s="8" t="n">
        <v>46179</v>
      </c>
      <c r="H4522" s="8" t="n">
        <v>46198</v>
      </c>
      <c r="I4522" s="7" t="s">
        <v>62</v>
      </c>
      <c r="J4522" s="7" t="s">
        <v>41</v>
      </c>
      <c r="K4522" s="7" t="n">
        <v>19</v>
      </c>
      <c r="L4522" s="7" t="n">
        <v>2</v>
      </c>
      <c r="M4522" s="7" t="n">
        <v>1</v>
      </c>
      <c r="N4522" s="7" t="s">
        <v>42</v>
      </c>
      <c r="O4522" s="7" t="s">
        <v>52</v>
      </c>
      <c r="P4522" s="7" t="n">
        <v>7.4</v>
      </c>
      <c r="Q4522" s="7" t="n">
        <v>30</v>
      </c>
      <c r="R4522" s="7" t="s">
        <v>44</v>
      </c>
      <c r="S4522" s="7"/>
      <c r="T4522" s="7"/>
      <c r="U4522" s="7" t="str">
        <f aca="false">IF(COUNTIF($A$2:$A$5001,A4522)&gt;1,"Duplicate","Unique")</f>
        <v>Unique</v>
      </c>
      <c r="V4522" s="7" t="str">
        <f aca="false">IF(COUNTIFS($B$2:$B$5001,B4522,$H$2:$H$5001,H4522,$J$2:$J$5001,J4522)&gt;1,"Possible Duplicate Booking","Unique")</f>
        <v>Unique</v>
      </c>
      <c r="W4522" s="7" t="str">
        <f aca="false">IF((H4522-G4522)&lt;&gt;K4522,"Mismatch","OK")</f>
        <v>OK</v>
      </c>
      <c r="X4522" s="7" t="str">
        <f aca="false">IF(TEXT(H4522,"dddd")&lt;&gt;I4522,"Mismatch","OK")</f>
        <v>OK</v>
      </c>
      <c r="Y4522" s="7" t="str">
        <f aca="false">IF(AND(N4522="No",O4522&lt;&gt;""),"Unexpected: channel present but no reminder sent",IF(AND(N4522="Yes",O4522=""),"Missing channel for sent reminder","OK"))</f>
        <v>OK</v>
      </c>
    </row>
    <row r="4523" customFormat="false" ht="15" hidden="false" customHeight="false" outlineLevel="0" collapsed="false">
      <c r="A4523" s="9" t="s">
        <v>6248</v>
      </c>
      <c r="B4523" s="9" t="s">
        <v>294</v>
      </c>
      <c r="C4523" s="9" t="s">
        <v>37</v>
      </c>
      <c r="D4523" s="9" t="n">
        <v>73</v>
      </c>
      <c r="E4523" s="9" t="s">
        <v>70</v>
      </c>
      <c r="F4523" s="9" t="s">
        <v>39</v>
      </c>
      <c r="G4523" s="10" t="n">
        <v>46009</v>
      </c>
      <c r="H4523" s="10" t="n">
        <v>46039</v>
      </c>
      <c r="I4523" s="9" t="s">
        <v>102</v>
      </c>
      <c r="J4523" s="9" t="s">
        <v>51</v>
      </c>
      <c r="K4523" s="9" t="n">
        <v>30</v>
      </c>
      <c r="L4523" s="9" t="n">
        <v>2</v>
      </c>
      <c r="M4523" s="9" t="n">
        <v>0</v>
      </c>
      <c r="N4523" s="9" t="s">
        <v>42</v>
      </c>
      <c r="O4523" s="9" t="s">
        <v>43</v>
      </c>
      <c r="P4523" s="9" t="n">
        <v>14.1</v>
      </c>
      <c r="Q4523" s="9"/>
      <c r="R4523" s="9" t="s">
        <v>44</v>
      </c>
      <c r="S4523" s="9"/>
      <c r="T4523" s="9"/>
      <c r="U4523" s="9" t="str">
        <f aca="false">IF(COUNTIF($A$2:$A$5001,A4523)&gt;1,"Duplicate","Unique")</f>
        <v>Unique</v>
      </c>
      <c r="V4523" s="9" t="str">
        <f aca="false">IF(COUNTIFS($B$2:$B$5001,B4523,$H$2:$H$5001,H4523,$J$2:$J$5001,J4523)&gt;1,"Possible Duplicate Booking","Unique")</f>
        <v>Unique</v>
      </c>
      <c r="W4523" s="9" t="str">
        <f aca="false">IF((H4523-G4523)&lt;&gt;K4523,"Mismatch","OK")</f>
        <v>OK</v>
      </c>
      <c r="X4523" s="9" t="str">
        <f aca="false">IF(TEXT(H4523,"dddd")&lt;&gt;I4523,"Mismatch","OK")</f>
        <v>OK</v>
      </c>
      <c r="Y4523" s="9" t="str">
        <f aca="false">IF(AND(N4523="No",O4523&lt;&gt;""),"Unexpected: channel present but no reminder sent",IF(AND(N4523="Yes",O4523=""),"Missing channel for sent reminder","OK"))</f>
        <v>OK</v>
      </c>
    </row>
    <row r="4524" customFormat="false" ht="15" hidden="false" customHeight="false" outlineLevel="0" collapsed="false">
      <c r="A4524" s="7" t="s">
        <v>6249</v>
      </c>
      <c r="B4524" s="7" t="s">
        <v>954</v>
      </c>
      <c r="C4524" s="7" t="s">
        <v>47</v>
      </c>
      <c r="D4524" s="7" t="n">
        <v>48</v>
      </c>
      <c r="E4524" s="7" t="s">
        <v>56</v>
      </c>
      <c r="F4524" s="7" t="s">
        <v>57</v>
      </c>
      <c r="G4524" s="8" t="n">
        <v>45900</v>
      </c>
      <c r="H4524" s="8" t="n">
        <v>45952</v>
      </c>
      <c r="I4524" s="7" t="s">
        <v>58</v>
      </c>
      <c r="J4524" s="7" t="s">
        <v>51</v>
      </c>
      <c r="K4524" s="7" t="n">
        <v>52</v>
      </c>
      <c r="L4524" s="7" t="n">
        <v>7</v>
      </c>
      <c r="M4524" s="7" t="n">
        <v>2</v>
      </c>
      <c r="N4524" s="7" t="s">
        <v>42</v>
      </c>
      <c r="O4524" s="7" t="s">
        <v>43</v>
      </c>
      <c r="P4524" s="7" t="n">
        <v>16.7</v>
      </c>
      <c r="Q4524" s="7" t="n">
        <v>30</v>
      </c>
      <c r="R4524" s="7" t="s">
        <v>53</v>
      </c>
      <c r="S4524" s="7"/>
      <c r="T4524" s="7"/>
      <c r="U4524" s="7" t="str">
        <f aca="false">IF(COUNTIF($A$2:$A$5001,A4524)&gt;1,"Duplicate","Unique")</f>
        <v>Unique</v>
      </c>
      <c r="V4524" s="7" t="str">
        <f aca="false">IF(COUNTIFS($B$2:$B$5001,B4524,$H$2:$H$5001,H4524,$J$2:$J$5001,J4524)&gt;1,"Possible Duplicate Booking","Unique")</f>
        <v>Unique</v>
      </c>
      <c r="W4524" s="7" t="str">
        <f aca="false">IF((H4524-G4524)&lt;&gt;K4524,"Mismatch","OK")</f>
        <v>OK</v>
      </c>
      <c r="X4524" s="7" t="str">
        <f aca="false">IF(TEXT(H4524,"dddd")&lt;&gt;I4524,"Mismatch","OK")</f>
        <v>OK</v>
      </c>
      <c r="Y4524" s="7" t="str">
        <f aca="false">IF(AND(N4524="No",O4524&lt;&gt;""),"Unexpected: channel present but no reminder sent",IF(AND(N4524="Yes",O4524=""),"Missing channel for sent reminder","OK"))</f>
        <v>OK</v>
      </c>
    </row>
    <row r="4525" customFormat="false" ht="15" hidden="false" customHeight="false" outlineLevel="0" collapsed="false">
      <c r="A4525" s="9" t="s">
        <v>6250</v>
      </c>
      <c r="B4525" s="9" t="s">
        <v>2539</v>
      </c>
      <c r="C4525" s="9" t="s">
        <v>47</v>
      </c>
      <c r="D4525" s="9" t="n">
        <v>70</v>
      </c>
      <c r="E4525" s="9" t="s">
        <v>70</v>
      </c>
      <c r="F4525" s="9" t="s">
        <v>57</v>
      </c>
      <c r="G4525" s="10" t="n">
        <v>46166</v>
      </c>
      <c r="H4525" s="10" t="n">
        <v>46196</v>
      </c>
      <c r="I4525" s="9" t="s">
        <v>40</v>
      </c>
      <c r="J4525" s="9" t="s">
        <v>41</v>
      </c>
      <c r="K4525" s="9" t="n">
        <v>30</v>
      </c>
      <c r="L4525" s="9" t="n">
        <v>4</v>
      </c>
      <c r="M4525" s="9" t="n">
        <v>0</v>
      </c>
      <c r="N4525" s="9" t="s">
        <v>42</v>
      </c>
      <c r="O4525" s="9" t="s">
        <v>43</v>
      </c>
      <c r="P4525" s="9" t="n">
        <v>15.1</v>
      </c>
      <c r="Q4525" s="9" t="n">
        <v>17</v>
      </c>
      <c r="R4525" s="9" t="s">
        <v>53</v>
      </c>
      <c r="S4525" s="9"/>
      <c r="T4525" s="9"/>
      <c r="U4525" s="9" t="str">
        <f aca="false">IF(COUNTIF($A$2:$A$5001,A4525)&gt;1,"Duplicate","Unique")</f>
        <v>Unique</v>
      </c>
      <c r="V4525" s="9" t="str">
        <f aca="false">IF(COUNTIFS($B$2:$B$5001,B4525,$H$2:$H$5001,H4525,$J$2:$J$5001,J4525)&gt;1,"Possible Duplicate Booking","Unique")</f>
        <v>Unique</v>
      </c>
      <c r="W4525" s="9" t="str">
        <f aca="false">IF((H4525-G4525)&lt;&gt;K4525,"Mismatch","OK")</f>
        <v>OK</v>
      </c>
      <c r="X4525" s="9" t="str">
        <f aca="false">IF(TEXT(H4525,"dddd")&lt;&gt;I4525,"Mismatch","OK")</f>
        <v>OK</v>
      </c>
      <c r="Y4525" s="9" t="str">
        <f aca="false">IF(AND(N4525="No",O4525&lt;&gt;""),"Unexpected: channel present but no reminder sent",IF(AND(N4525="Yes",O4525=""),"Missing channel for sent reminder","OK"))</f>
        <v>OK</v>
      </c>
    </row>
    <row r="4526" customFormat="false" ht="15" hidden="false" customHeight="false" outlineLevel="0" collapsed="false">
      <c r="A4526" s="7" t="s">
        <v>6251</v>
      </c>
      <c r="B4526" s="7" t="s">
        <v>3264</v>
      </c>
      <c r="C4526" s="7" t="s">
        <v>47</v>
      </c>
      <c r="D4526" s="7" t="n">
        <v>76</v>
      </c>
      <c r="E4526" s="7" t="s">
        <v>70</v>
      </c>
      <c r="F4526" s="7" t="s">
        <v>39</v>
      </c>
      <c r="G4526" s="8" t="n">
        <v>46066</v>
      </c>
      <c r="H4526" s="8" t="n">
        <v>46095</v>
      </c>
      <c r="I4526" s="7" t="s">
        <v>102</v>
      </c>
      <c r="J4526" s="7" t="s">
        <v>51</v>
      </c>
      <c r="K4526" s="7" t="n">
        <v>29</v>
      </c>
      <c r="L4526" s="7" t="n">
        <v>4</v>
      </c>
      <c r="M4526" s="7" t="n">
        <v>1</v>
      </c>
      <c r="N4526" s="7" t="s">
        <v>42</v>
      </c>
      <c r="O4526" s="7" t="s">
        <v>52</v>
      </c>
      <c r="P4526" s="7" t="n">
        <v>8.3</v>
      </c>
      <c r="Q4526" s="7" t="n">
        <v>36</v>
      </c>
      <c r="R4526" s="7" t="s">
        <v>53</v>
      </c>
      <c r="S4526" s="7"/>
      <c r="T4526" s="7"/>
      <c r="U4526" s="7" t="str">
        <f aca="false">IF(COUNTIF($A$2:$A$5001,A4526)&gt;1,"Duplicate","Unique")</f>
        <v>Unique</v>
      </c>
      <c r="V4526" s="7" t="str">
        <f aca="false">IF(COUNTIFS($B$2:$B$5001,B4526,$H$2:$H$5001,H4526,$J$2:$J$5001,J4526)&gt;1,"Possible Duplicate Booking","Unique")</f>
        <v>Unique</v>
      </c>
      <c r="W4526" s="7" t="str">
        <f aca="false">IF((H4526-G4526)&lt;&gt;K4526,"Mismatch","OK")</f>
        <v>OK</v>
      </c>
      <c r="X4526" s="7" t="str">
        <f aca="false">IF(TEXT(H4526,"dddd")&lt;&gt;I4526,"Mismatch","OK")</f>
        <v>OK</v>
      </c>
      <c r="Y4526" s="7" t="str">
        <f aca="false">IF(AND(N4526="No",O4526&lt;&gt;""),"Unexpected: channel present but no reminder sent",IF(AND(N4526="Yes",O4526=""),"Missing channel for sent reminder","OK"))</f>
        <v>OK</v>
      </c>
    </row>
    <row r="4527" customFormat="false" ht="15" hidden="false" customHeight="false" outlineLevel="0" collapsed="false">
      <c r="A4527" s="9" t="s">
        <v>6252</v>
      </c>
      <c r="B4527" s="9" t="s">
        <v>956</v>
      </c>
      <c r="C4527" s="9" t="s">
        <v>37</v>
      </c>
      <c r="D4527" s="9" t="n">
        <v>52</v>
      </c>
      <c r="E4527" s="9" t="s">
        <v>56</v>
      </c>
      <c r="F4527" s="9" t="s">
        <v>39</v>
      </c>
      <c r="G4527" s="10" t="n">
        <v>45852</v>
      </c>
      <c r="H4527" s="10" t="n">
        <v>45908</v>
      </c>
      <c r="I4527" s="9" t="s">
        <v>66</v>
      </c>
      <c r="J4527" s="9" t="s">
        <v>51</v>
      </c>
      <c r="K4527" s="9" t="n">
        <v>56</v>
      </c>
      <c r="L4527" s="9" t="n">
        <v>3</v>
      </c>
      <c r="M4527" s="9" t="n">
        <v>1</v>
      </c>
      <c r="N4527" s="9" t="s">
        <v>71</v>
      </c>
      <c r="O4527" s="9"/>
      <c r="P4527" s="9" t="n">
        <v>13.1</v>
      </c>
      <c r="Q4527" s="9" t="n">
        <v>16</v>
      </c>
      <c r="R4527" s="9" t="s">
        <v>44</v>
      </c>
      <c r="S4527" s="9"/>
      <c r="T4527" s="9"/>
      <c r="U4527" s="9" t="str">
        <f aca="false">IF(COUNTIF($A$2:$A$5001,A4527)&gt;1,"Duplicate","Unique")</f>
        <v>Unique</v>
      </c>
      <c r="V4527" s="9" t="str">
        <f aca="false">IF(COUNTIFS($B$2:$B$5001,B4527,$H$2:$H$5001,H4527,$J$2:$J$5001,J4527)&gt;1,"Possible Duplicate Booking","Unique")</f>
        <v>Unique</v>
      </c>
      <c r="W4527" s="9" t="str">
        <f aca="false">IF((H4527-G4527)&lt;&gt;K4527,"Mismatch","OK")</f>
        <v>OK</v>
      </c>
      <c r="X4527" s="9" t="str">
        <f aca="false">IF(TEXT(H4527,"dddd")&lt;&gt;I4527,"Mismatch","OK")</f>
        <v>OK</v>
      </c>
      <c r="Y4527" s="9" t="str">
        <f aca="false">IF(AND(N4527="No",O4527&lt;&gt;""),"Unexpected: channel present but no reminder sent",IF(AND(N4527="Yes",O4527=""),"Missing channel for sent reminder","OK"))</f>
        <v>OK</v>
      </c>
    </row>
    <row r="4528" customFormat="false" ht="15" hidden="false" customHeight="false" outlineLevel="0" collapsed="false">
      <c r="A4528" s="7" t="s">
        <v>6253</v>
      </c>
      <c r="B4528" s="7" t="s">
        <v>1024</v>
      </c>
      <c r="C4528" s="7" t="s">
        <v>37</v>
      </c>
      <c r="D4528" s="7" t="n">
        <v>31</v>
      </c>
      <c r="E4528" s="7" t="s">
        <v>48</v>
      </c>
      <c r="F4528" s="7" t="s">
        <v>74</v>
      </c>
      <c r="G4528" s="8" t="n">
        <v>45618</v>
      </c>
      <c r="H4528" s="8" t="n">
        <v>45668</v>
      </c>
      <c r="I4528" s="7" t="s">
        <v>102</v>
      </c>
      <c r="J4528" s="7" t="s">
        <v>63</v>
      </c>
      <c r="K4528" s="7" t="n">
        <v>50</v>
      </c>
      <c r="L4528" s="7" t="n">
        <v>2</v>
      </c>
      <c r="M4528" s="7" t="n">
        <v>0</v>
      </c>
      <c r="N4528" s="7" t="s">
        <v>71</v>
      </c>
      <c r="O4528" s="7"/>
      <c r="P4528" s="7" t="n">
        <v>8.7</v>
      </c>
      <c r="Q4528" s="7" t="n">
        <v>29</v>
      </c>
      <c r="R4528" s="7" t="s">
        <v>44</v>
      </c>
      <c r="S4528" s="7"/>
      <c r="T4528" s="7"/>
      <c r="U4528" s="7" t="str">
        <f aca="false">IF(COUNTIF($A$2:$A$5001,A4528)&gt;1,"Duplicate","Unique")</f>
        <v>Unique</v>
      </c>
      <c r="V4528" s="7" t="str">
        <f aca="false">IF(COUNTIFS($B$2:$B$5001,B4528,$H$2:$H$5001,H4528,$J$2:$J$5001,J4528)&gt;1,"Possible Duplicate Booking","Unique")</f>
        <v>Unique</v>
      </c>
      <c r="W4528" s="7" t="str">
        <f aca="false">IF((H4528-G4528)&lt;&gt;K4528,"Mismatch","OK")</f>
        <v>OK</v>
      </c>
      <c r="X4528" s="7" t="str">
        <f aca="false">IF(TEXT(H4528,"dddd")&lt;&gt;I4528,"Mismatch","OK")</f>
        <v>OK</v>
      </c>
      <c r="Y4528" s="7" t="str">
        <f aca="false">IF(AND(N4528="No",O4528&lt;&gt;""),"Unexpected: channel present but no reminder sent",IF(AND(N4528="Yes",O4528=""),"Missing channel for sent reminder","OK"))</f>
        <v>OK</v>
      </c>
    </row>
    <row r="4529" customFormat="false" ht="15" hidden="false" customHeight="false" outlineLevel="0" collapsed="false">
      <c r="A4529" s="9" t="s">
        <v>6254</v>
      </c>
      <c r="B4529" s="9" t="s">
        <v>73</v>
      </c>
      <c r="C4529" s="9" t="s">
        <v>37</v>
      </c>
      <c r="D4529" s="9" t="n">
        <v>19</v>
      </c>
      <c r="E4529" s="9" t="s">
        <v>82</v>
      </c>
      <c r="F4529" s="9" t="s">
        <v>39</v>
      </c>
      <c r="G4529" s="10" t="n">
        <v>45678</v>
      </c>
      <c r="H4529" s="10" t="n">
        <v>45708</v>
      </c>
      <c r="I4529" s="9" t="s">
        <v>62</v>
      </c>
      <c r="J4529" s="9" t="s">
        <v>51</v>
      </c>
      <c r="K4529" s="9" t="n">
        <v>30</v>
      </c>
      <c r="L4529" s="9" t="n">
        <v>1</v>
      </c>
      <c r="M4529" s="9" t="n">
        <v>0</v>
      </c>
      <c r="N4529" s="9" t="s">
        <v>42</v>
      </c>
      <c r="O4529" s="9" t="s">
        <v>43</v>
      </c>
      <c r="P4529" s="9" t="n">
        <v>7.1</v>
      </c>
      <c r="Q4529" s="9" t="n">
        <v>48</v>
      </c>
      <c r="R4529" s="9" t="s">
        <v>87</v>
      </c>
      <c r="S4529" s="9"/>
      <c r="T4529" s="9"/>
      <c r="U4529" s="9" t="str">
        <f aca="false">IF(COUNTIF($A$2:$A$5001,A4529)&gt;1,"Duplicate","Unique")</f>
        <v>Unique</v>
      </c>
      <c r="V4529" s="9" t="str">
        <f aca="false">IF(COUNTIFS($B$2:$B$5001,B4529,$H$2:$H$5001,H4529,$J$2:$J$5001,J4529)&gt;1,"Possible Duplicate Booking","Unique")</f>
        <v>Unique</v>
      </c>
      <c r="W4529" s="9" t="str">
        <f aca="false">IF((H4529-G4529)&lt;&gt;K4529,"Mismatch","OK")</f>
        <v>OK</v>
      </c>
      <c r="X4529" s="9" t="str">
        <f aca="false">IF(TEXT(H4529,"dddd")&lt;&gt;I4529,"Mismatch","OK")</f>
        <v>OK</v>
      </c>
      <c r="Y4529" s="9" t="str">
        <f aca="false">IF(AND(N4529="No",O4529&lt;&gt;""),"Unexpected: channel present but no reminder sent",IF(AND(N4529="Yes",O4529=""),"Missing channel for sent reminder","OK"))</f>
        <v>OK</v>
      </c>
    </row>
    <row r="4530" customFormat="false" ht="15" hidden="false" customHeight="false" outlineLevel="0" collapsed="false">
      <c r="A4530" s="7" t="s">
        <v>6255</v>
      </c>
      <c r="B4530" s="7" t="s">
        <v>2152</v>
      </c>
      <c r="C4530" s="7" t="s">
        <v>47</v>
      </c>
      <c r="D4530" s="7" t="n">
        <v>65</v>
      </c>
      <c r="E4530" s="7" t="s">
        <v>70</v>
      </c>
      <c r="F4530" s="7" t="s">
        <v>57</v>
      </c>
      <c r="G4530" s="8" t="n">
        <v>45891</v>
      </c>
      <c r="H4530" s="8" t="n">
        <v>45900</v>
      </c>
      <c r="I4530" s="7" t="s">
        <v>75</v>
      </c>
      <c r="J4530" s="7" t="s">
        <v>41</v>
      </c>
      <c r="K4530" s="7" t="n">
        <v>9</v>
      </c>
      <c r="L4530" s="7" t="n">
        <v>3</v>
      </c>
      <c r="M4530" s="7" t="n">
        <v>1</v>
      </c>
      <c r="N4530" s="7" t="s">
        <v>42</v>
      </c>
      <c r="O4530" s="7" t="s">
        <v>67</v>
      </c>
      <c r="P4530" s="7" t="n">
        <v>9.2</v>
      </c>
      <c r="Q4530" s="7" t="n">
        <v>17</v>
      </c>
      <c r="R4530" s="7" t="s">
        <v>53</v>
      </c>
      <c r="S4530" s="7"/>
      <c r="T4530" s="7"/>
      <c r="U4530" s="7" t="str">
        <f aca="false">IF(COUNTIF($A$2:$A$5001,A4530)&gt;1,"Duplicate","Unique")</f>
        <v>Unique</v>
      </c>
      <c r="V4530" s="7" t="str">
        <f aca="false">IF(COUNTIFS($B$2:$B$5001,B4530,$H$2:$H$5001,H4530,$J$2:$J$5001,J4530)&gt;1,"Possible Duplicate Booking","Unique")</f>
        <v>Unique</v>
      </c>
      <c r="W4530" s="7" t="str">
        <f aca="false">IF((H4530-G4530)&lt;&gt;K4530,"Mismatch","OK")</f>
        <v>OK</v>
      </c>
      <c r="X4530" s="7" t="str">
        <f aca="false">IF(TEXT(H4530,"dddd")&lt;&gt;I4530,"Mismatch","OK")</f>
        <v>OK</v>
      </c>
      <c r="Y4530" s="7" t="str">
        <f aca="false">IF(AND(N4530="No",O4530&lt;&gt;""),"Unexpected: channel present but no reminder sent",IF(AND(N4530="Yes",O4530=""),"Missing channel for sent reminder","OK"))</f>
        <v>OK</v>
      </c>
    </row>
    <row r="4531" customFormat="false" ht="15" hidden="false" customHeight="false" outlineLevel="0" collapsed="false">
      <c r="A4531" s="9" t="s">
        <v>6256</v>
      </c>
      <c r="B4531" s="9" t="s">
        <v>2191</v>
      </c>
      <c r="C4531" s="9" t="s">
        <v>47</v>
      </c>
      <c r="D4531" s="9" t="n">
        <v>53</v>
      </c>
      <c r="E4531" s="9" t="s">
        <v>56</v>
      </c>
      <c r="F4531" s="9" t="s">
        <v>39</v>
      </c>
      <c r="G4531" s="10" t="n">
        <v>45938</v>
      </c>
      <c r="H4531" s="10" t="n">
        <v>45964</v>
      </c>
      <c r="I4531" s="9" t="s">
        <v>66</v>
      </c>
      <c r="J4531" s="9" t="s">
        <v>41</v>
      </c>
      <c r="K4531" s="9" t="n">
        <v>26</v>
      </c>
      <c r="L4531" s="9" t="n">
        <v>3</v>
      </c>
      <c r="M4531" s="9" t="n">
        <v>0</v>
      </c>
      <c r="N4531" s="9" t="s">
        <v>42</v>
      </c>
      <c r="O4531" s="9" t="s">
        <v>52</v>
      </c>
      <c r="P4531" s="9" t="n">
        <v>6.3</v>
      </c>
      <c r="Q4531" s="9" t="n">
        <v>29</v>
      </c>
      <c r="R4531" s="9" t="s">
        <v>44</v>
      </c>
      <c r="S4531" s="9"/>
      <c r="T4531" s="9"/>
      <c r="U4531" s="9" t="str">
        <f aca="false">IF(COUNTIF($A$2:$A$5001,A4531)&gt;1,"Duplicate","Unique")</f>
        <v>Unique</v>
      </c>
      <c r="V4531" s="9" t="str">
        <f aca="false">IF(COUNTIFS($B$2:$B$5001,B4531,$H$2:$H$5001,H4531,$J$2:$J$5001,J4531)&gt;1,"Possible Duplicate Booking","Unique")</f>
        <v>Unique</v>
      </c>
      <c r="W4531" s="9" t="str">
        <f aca="false">IF((H4531-G4531)&lt;&gt;K4531,"Mismatch","OK")</f>
        <v>OK</v>
      </c>
      <c r="X4531" s="9" t="str">
        <f aca="false">IF(TEXT(H4531,"dddd")&lt;&gt;I4531,"Mismatch","OK")</f>
        <v>OK</v>
      </c>
      <c r="Y4531" s="9" t="str">
        <f aca="false">IF(AND(N4531="No",O4531&lt;&gt;""),"Unexpected: channel present but no reminder sent",IF(AND(N4531="Yes",O4531=""),"Missing channel for sent reminder","OK"))</f>
        <v>OK</v>
      </c>
    </row>
    <row r="4532" customFormat="false" ht="15" hidden="false" customHeight="false" outlineLevel="0" collapsed="false">
      <c r="A4532" s="7" t="s">
        <v>6257</v>
      </c>
      <c r="B4532" s="7" t="s">
        <v>1728</v>
      </c>
      <c r="C4532" s="7" t="s">
        <v>47</v>
      </c>
      <c r="D4532" s="7" t="n">
        <v>27</v>
      </c>
      <c r="E4532" s="7" t="s">
        <v>48</v>
      </c>
      <c r="F4532" s="7" t="s">
        <v>57</v>
      </c>
      <c r="G4532" s="8" t="n">
        <v>45633</v>
      </c>
      <c r="H4532" s="8" t="n">
        <v>45674</v>
      </c>
      <c r="I4532" s="7" t="s">
        <v>50</v>
      </c>
      <c r="J4532" s="7" t="s">
        <v>41</v>
      </c>
      <c r="K4532" s="7" t="n">
        <v>41</v>
      </c>
      <c r="L4532" s="7" t="n">
        <v>2</v>
      </c>
      <c r="M4532" s="7" t="n">
        <v>0</v>
      </c>
      <c r="N4532" s="7" t="s">
        <v>71</v>
      </c>
      <c r="O4532" s="7"/>
      <c r="P4532" s="7" t="n">
        <v>4.2</v>
      </c>
      <c r="Q4532" s="7" t="n">
        <v>46</v>
      </c>
      <c r="R4532" s="7" t="s">
        <v>44</v>
      </c>
      <c r="S4532" s="7"/>
      <c r="T4532" s="7"/>
      <c r="U4532" s="7" t="str">
        <f aca="false">IF(COUNTIF($A$2:$A$5001,A4532)&gt;1,"Duplicate","Unique")</f>
        <v>Unique</v>
      </c>
      <c r="V4532" s="7" t="str">
        <f aca="false">IF(COUNTIFS($B$2:$B$5001,B4532,$H$2:$H$5001,H4532,$J$2:$J$5001,J4532)&gt;1,"Possible Duplicate Booking","Unique")</f>
        <v>Unique</v>
      </c>
      <c r="W4532" s="7" t="str">
        <f aca="false">IF((H4532-G4532)&lt;&gt;K4532,"Mismatch","OK")</f>
        <v>OK</v>
      </c>
      <c r="X4532" s="7" t="str">
        <f aca="false">IF(TEXT(H4532,"dddd")&lt;&gt;I4532,"Mismatch","OK")</f>
        <v>OK</v>
      </c>
      <c r="Y4532" s="7" t="str">
        <f aca="false">IF(AND(N4532="No",O4532&lt;&gt;""),"Unexpected: channel present but no reminder sent",IF(AND(N4532="Yes",O4532=""),"Missing channel for sent reminder","OK"))</f>
        <v>OK</v>
      </c>
    </row>
    <row r="4533" customFormat="false" ht="15" hidden="false" customHeight="false" outlineLevel="0" collapsed="false">
      <c r="A4533" s="9" t="s">
        <v>6258</v>
      </c>
      <c r="B4533" s="9" t="s">
        <v>4214</v>
      </c>
      <c r="C4533" s="9" t="s">
        <v>37</v>
      </c>
      <c r="D4533" s="9" t="n">
        <v>21</v>
      </c>
      <c r="E4533" s="9" t="s">
        <v>82</v>
      </c>
      <c r="F4533" s="9" t="s">
        <v>39</v>
      </c>
      <c r="G4533" s="10" t="n">
        <v>45711</v>
      </c>
      <c r="H4533" s="10" t="n">
        <v>45727</v>
      </c>
      <c r="I4533" s="9" t="s">
        <v>40</v>
      </c>
      <c r="J4533" s="9" t="s">
        <v>51</v>
      </c>
      <c r="K4533" s="9" t="n">
        <v>16</v>
      </c>
      <c r="L4533" s="9" t="n">
        <v>6</v>
      </c>
      <c r="M4533" s="9" t="n">
        <v>0</v>
      </c>
      <c r="N4533" s="9" t="s">
        <v>71</v>
      </c>
      <c r="O4533" s="9"/>
      <c r="P4533" s="9" t="n">
        <v>19.2</v>
      </c>
      <c r="Q4533" s="9" t="n">
        <v>35</v>
      </c>
      <c r="R4533" s="9" t="s">
        <v>53</v>
      </c>
      <c r="S4533" s="9"/>
      <c r="T4533" s="9"/>
      <c r="U4533" s="9" t="str">
        <f aca="false">IF(COUNTIF($A$2:$A$5001,A4533)&gt;1,"Duplicate","Unique")</f>
        <v>Unique</v>
      </c>
      <c r="V4533" s="9" t="str">
        <f aca="false">IF(COUNTIFS($B$2:$B$5001,B4533,$H$2:$H$5001,H4533,$J$2:$J$5001,J4533)&gt;1,"Possible Duplicate Booking","Unique")</f>
        <v>Unique</v>
      </c>
      <c r="W4533" s="9" t="str">
        <f aca="false">IF((H4533-G4533)&lt;&gt;K4533,"Mismatch","OK")</f>
        <v>OK</v>
      </c>
      <c r="X4533" s="9" t="str">
        <f aca="false">IF(TEXT(H4533,"dddd")&lt;&gt;I4533,"Mismatch","OK")</f>
        <v>OK</v>
      </c>
      <c r="Y4533" s="9" t="str">
        <f aca="false">IF(AND(N4533="No",O4533&lt;&gt;""),"Unexpected: channel present but no reminder sent",IF(AND(N4533="Yes",O4533=""),"Missing channel for sent reminder","OK"))</f>
        <v>OK</v>
      </c>
    </row>
    <row r="4534" customFormat="false" ht="15" hidden="false" customHeight="false" outlineLevel="0" collapsed="false">
      <c r="A4534" s="7" t="s">
        <v>6259</v>
      </c>
      <c r="B4534" s="7" t="s">
        <v>3739</v>
      </c>
      <c r="C4534" s="7" t="s">
        <v>47</v>
      </c>
      <c r="D4534" s="7" t="n">
        <v>79</v>
      </c>
      <c r="E4534" s="7" t="s">
        <v>70</v>
      </c>
      <c r="F4534" s="7" t="s">
        <v>49</v>
      </c>
      <c r="G4534" s="8" t="n">
        <v>46010</v>
      </c>
      <c r="H4534" s="8" t="n">
        <v>46042</v>
      </c>
      <c r="I4534" s="7" t="s">
        <v>40</v>
      </c>
      <c r="J4534" s="7" t="s">
        <v>41</v>
      </c>
      <c r="K4534" s="7" t="n">
        <v>32</v>
      </c>
      <c r="L4534" s="7" t="n">
        <v>2</v>
      </c>
      <c r="M4534" s="7" t="n">
        <v>1</v>
      </c>
      <c r="N4534" s="7" t="s">
        <v>71</v>
      </c>
      <c r="O4534" s="7"/>
      <c r="P4534" s="7" t="n">
        <v>14.2</v>
      </c>
      <c r="Q4534" s="7" t="n">
        <v>32</v>
      </c>
      <c r="R4534" s="7" t="s">
        <v>44</v>
      </c>
      <c r="S4534" s="7"/>
      <c r="T4534" s="7"/>
      <c r="U4534" s="7" t="str">
        <f aca="false">IF(COUNTIF($A$2:$A$5001,A4534)&gt;1,"Duplicate","Unique")</f>
        <v>Unique</v>
      </c>
      <c r="V4534" s="7" t="str">
        <f aca="false">IF(COUNTIFS($B$2:$B$5001,B4534,$H$2:$H$5001,H4534,$J$2:$J$5001,J4534)&gt;1,"Possible Duplicate Booking","Unique")</f>
        <v>Unique</v>
      </c>
      <c r="W4534" s="7" t="str">
        <f aca="false">IF((H4534-G4534)&lt;&gt;K4534,"Mismatch","OK")</f>
        <v>OK</v>
      </c>
      <c r="X4534" s="7" t="str">
        <f aca="false">IF(TEXT(H4534,"dddd")&lt;&gt;I4534,"Mismatch","OK")</f>
        <v>OK</v>
      </c>
      <c r="Y4534" s="7" t="str">
        <f aca="false">IF(AND(N4534="No",O4534&lt;&gt;""),"Unexpected: channel present but no reminder sent",IF(AND(N4534="Yes",O4534=""),"Missing channel for sent reminder","OK"))</f>
        <v>OK</v>
      </c>
    </row>
    <row r="4535" customFormat="false" ht="15" hidden="false" customHeight="false" outlineLevel="0" collapsed="false">
      <c r="A4535" s="9" t="s">
        <v>6260</v>
      </c>
      <c r="B4535" s="9" t="s">
        <v>775</v>
      </c>
      <c r="C4535" s="9" t="s">
        <v>37</v>
      </c>
      <c r="D4535" s="9" t="n">
        <v>38</v>
      </c>
      <c r="E4535" s="9" t="s">
        <v>38</v>
      </c>
      <c r="F4535" s="9" t="s">
        <v>57</v>
      </c>
      <c r="G4535" s="10" t="n">
        <v>46028</v>
      </c>
      <c r="H4535" s="10" t="n">
        <v>46068</v>
      </c>
      <c r="I4535" s="9" t="s">
        <v>75</v>
      </c>
      <c r="J4535" s="9" t="s">
        <v>41</v>
      </c>
      <c r="K4535" s="9" t="n">
        <v>40</v>
      </c>
      <c r="L4535" s="9" t="n">
        <v>4</v>
      </c>
      <c r="M4535" s="9" t="n">
        <v>1</v>
      </c>
      <c r="N4535" s="9" t="s">
        <v>42</v>
      </c>
      <c r="O4535" s="9" t="s">
        <v>52</v>
      </c>
      <c r="P4535" s="9" t="n">
        <v>4.6</v>
      </c>
      <c r="Q4535" s="9" t="n">
        <v>2</v>
      </c>
      <c r="R4535" s="9" t="s">
        <v>44</v>
      </c>
      <c r="S4535" s="9"/>
      <c r="T4535" s="9"/>
      <c r="U4535" s="9" t="str">
        <f aca="false">IF(COUNTIF($A$2:$A$5001,A4535)&gt;1,"Duplicate","Unique")</f>
        <v>Unique</v>
      </c>
      <c r="V4535" s="9" t="str">
        <f aca="false">IF(COUNTIFS($B$2:$B$5001,B4535,$H$2:$H$5001,H4535,$J$2:$J$5001,J4535)&gt;1,"Possible Duplicate Booking","Unique")</f>
        <v>Unique</v>
      </c>
      <c r="W4535" s="9" t="str">
        <f aca="false">IF((H4535-G4535)&lt;&gt;K4535,"Mismatch","OK")</f>
        <v>OK</v>
      </c>
      <c r="X4535" s="9" t="str">
        <f aca="false">IF(TEXT(H4535,"dddd")&lt;&gt;I4535,"Mismatch","OK")</f>
        <v>OK</v>
      </c>
      <c r="Y4535" s="9" t="str">
        <f aca="false">IF(AND(N4535="No",O4535&lt;&gt;""),"Unexpected: channel present but no reminder sent",IF(AND(N4535="Yes",O4535=""),"Missing channel for sent reminder","OK"))</f>
        <v>OK</v>
      </c>
    </row>
    <row r="4536" customFormat="false" ht="15" hidden="false" customHeight="false" outlineLevel="0" collapsed="false">
      <c r="A4536" s="7" t="s">
        <v>6261</v>
      </c>
      <c r="B4536" s="7" t="s">
        <v>6262</v>
      </c>
      <c r="C4536" s="7" t="s">
        <v>37</v>
      </c>
      <c r="D4536" s="7" t="n">
        <v>38</v>
      </c>
      <c r="E4536" s="7" t="s">
        <v>38</v>
      </c>
      <c r="F4536" s="7" t="s">
        <v>57</v>
      </c>
      <c r="G4536" s="8" t="n">
        <v>45669</v>
      </c>
      <c r="H4536" s="8" t="n">
        <v>45674</v>
      </c>
      <c r="I4536" s="7" t="s">
        <v>50</v>
      </c>
      <c r="J4536" s="7" t="s">
        <v>51</v>
      </c>
      <c r="K4536" s="7" t="n">
        <v>5</v>
      </c>
      <c r="L4536" s="7" t="n">
        <v>3</v>
      </c>
      <c r="M4536" s="7" t="n">
        <v>0</v>
      </c>
      <c r="N4536" s="7" t="s">
        <v>71</v>
      </c>
      <c r="O4536" s="7"/>
      <c r="P4536" s="7" t="n">
        <v>4.9</v>
      </c>
      <c r="Q4536" s="7" t="n">
        <v>13</v>
      </c>
      <c r="R4536" s="7" t="s">
        <v>53</v>
      </c>
      <c r="S4536" s="7"/>
      <c r="T4536" s="7"/>
      <c r="U4536" s="7" t="str">
        <f aca="false">IF(COUNTIF($A$2:$A$5001,A4536)&gt;1,"Duplicate","Unique")</f>
        <v>Unique</v>
      </c>
      <c r="V4536" s="7" t="str">
        <f aca="false">IF(COUNTIFS($B$2:$B$5001,B4536,$H$2:$H$5001,H4536,$J$2:$J$5001,J4536)&gt;1,"Possible Duplicate Booking","Unique")</f>
        <v>Unique</v>
      </c>
      <c r="W4536" s="7" t="str">
        <f aca="false">IF((H4536-G4536)&lt;&gt;K4536,"Mismatch","OK")</f>
        <v>OK</v>
      </c>
      <c r="X4536" s="7" t="str">
        <f aca="false">IF(TEXT(H4536,"dddd")&lt;&gt;I4536,"Mismatch","OK")</f>
        <v>OK</v>
      </c>
      <c r="Y4536" s="7" t="str">
        <f aca="false">IF(AND(N4536="No",O4536&lt;&gt;""),"Unexpected: channel present but no reminder sent",IF(AND(N4536="Yes",O4536=""),"Missing channel for sent reminder","OK"))</f>
        <v>OK</v>
      </c>
    </row>
    <row r="4537" customFormat="false" ht="15" hidden="false" customHeight="false" outlineLevel="0" collapsed="false">
      <c r="A4537" s="9" t="s">
        <v>6263</v>
      </c>
      <c r="B4537" s="9" t="s">
        <v>5157</v>
      </c>
      <c r="C4537" s="9" t="s">
        <v>37</v>
      </c>
      <c r="D4537" s="9" t="n">
        <v>57</v>
      </c>
      <c r="E4537" s="9" t="s">
        <v>61</v>
      </c>
      <c r="F4537" s="9" t="s">
        <v>49</v>
      </c>
      <c r="G4537" s="10" t="n">
        <v>45901</v>
      </c>
      <c r="H4537" s="10" t="n">
        <v>45935</v>
      </c>
      <c r="I4537" s="9" t="s">
        <v>75</v>
      </c>
      <c r="J4537" s="9" t="s">
        <v>41</v>
      </c>
      <c r="K4537" s="9" t="n">
        <v>34</v>
      </c>
      <c r="L4537" s="9" t="n">
        <v>1</v>
      </c>
      <c r="M4537" s="9" t="n">
        <v>0</v>
      </c>
      <c r="N4537" s="9" t="s">
        <v>42</v>
      </c>
      <c r="O4537" s="9" t="s">
        <v>67</v>
      </c>
      <c r="P4537" s="9" t="n">
        <v>10.3</v>
      </c>
      <c r="Q4537" s="9" t="n">
        <v>33</v>
      </c>
      <c r="R4537" s="9" t="s">
        <v>44</v>
      </c>
      <c r="S4537" s="9"/>
      <c r="T4537" s="9"/>
      <c r="U4537" s="9" t="str">
        <f aca="false">IF(COUNTIF($A$2:$A$5001,A4537)&gt;1,"Duplicate","Unique")</f>
        <v>Unique</v>
      </c>
      <c r="V4537" s="9" t="str">
        <f aca="false">IF(COUNTIFS($B$2:$B$5001,B4537,$H$2:$H$5001,H4537,$J$2:$J$5001,J4537)&gt;1,"Possible Duplicate Booking","Unique")</f>
        <v>Unique</v>
      </c>
      <c r="W4537" s="9" t="str">
        <f aca="false">IF((H4537-G4537)&lt;&gt;K4537,"Mismatch","OK")</f>
        <v>OK</v>
      </c>
      <c r="X4537" s="9" t="str">
        <f aca="false">IF(TEXT(H4537,"dddd")&lt;&gt;I4537,"Mismatch","OK")</f>
        <v>OK</v>
      </c>
      <c r="Y4537" s="9" t="str">
        <f aca="false">IF(AND(N4537="No",O4537&lt;&gt;""),"Unexpected: channel present but no reminder sent",IF(AND(N4537="Yes",O4537=""),"Missing channel for sent reminder","OK"))</f>
        <v>OK</v>
      </c>
    </row>
    <row r="4538" customFormat="false" ht="15" hidden="false" customHeight="false" outlineLevel="0" collapsed="false">
      <c r="A4538" s="7" t="s">
        <v>6264</v>
      </c>
      <c r="B4538" s="7" t="s">
        <v>188</v>
      </c>
      <c r="C4538" s="7" t="s">
        <v>47</v>
      </c>
      <c r="D4538" s="7" t="n">
        <v>40</v>
      </c>
      <c r="E4538" s="7" t="s">
        <v>38</v>
      </c>
      <c r="F4538" s="7" t="s">
        <v>39</v>
      </c>
      <c r="G4538" s="8" t="n">
        <v>45658</v>
      </c>
      <c r="H4538" s="8" t="n">
        <v>45702</v>
      </c>
      <c r="I4538" s="7" t="s">
        <v>50</v>
      </c>
      <c r="J4538" s="7" t="s">
        <v>63</v>
      </c>
      <c r="K4538" s="7" t="n">
        <v>44</v>
      </c>
      <c r="L4538" s="7" t="n">
        <v>4</v>
      </c>
      <c r="M4538" s="7" t="n">
        <v>1</v>
      </c>
      <c r="N4538" s="7" t="s">
        <v>42</v>
      </c>
      <c r="O4538" s="7" t="s">
        <v>52</v>
      </c>
      <c r="P4538" s="7" t="n">
        <v>8.7</v>
      </c>
      <c r="Q4538" s="7" t="n">
        <v>20</v>
      </c>
      <c r="R4538" s="7" t="s">
        <v>44</v>
      </c>
      <c r="S4538" s="7"/>
      <c r="T4538" s="7"/>
      <c r="U4538" s="7" t="str">
        <f aca="false">IF(COUNTIF($A$2:$A$5001,A4538)&gt;1,"Duplicate","Unique")</f>
        <v>Unique</v>
      </c>
      <c r="V4538" s="7" t="str">
        <f aca="false">IF(COUNTIFS($B$2:$B$5001,B4538,$H$2:$H$5001,H4538,$J$2:$J$5001,J4538)&gt;1,"Possible Duplicate Booking","Unique")</f>
        <v>Unique</v>
      </c>
      <c r="W4538" s="7" t="str">
        <f aca="false">IF((H4538-G4538)&lt;&gt;K4538,"Mismatch","OK")</f>
        <v>OK</v>
      </c>
      <c r="X4538" s="7" t="str">
        <f aca="false">IF(TEXT(H4538,"dddd")&lt;&gt;I4538,"Mismatch","OK")</f>
        <v>OK</v>
      </c>
      <c r="Y4538" s="7" t="str">
        <f aca="false">IF(AND(N4538="No",O4538&lt;&gt;""),"Unexpected: channel present but no reminder sent",IF(AND(N4538="Yes",O4538=""),"Missing channel for sent reminder","OK"))</f>
        <v>OK</v>
      </c>
    </row>
    <row r="4539" customFormat="false" ht="15" hidden="false" customHeight="false" outlineLevel="0" collapsed="false">
      <c r="A4539" s="9" t="s">
        <v>6265</v>
      </c>
      <c r="B4539" s="9" t="s">
        <v>112</v>
      </c>
      <c r="C4539" s="9" t="s">
        <v>47</v>
      </c>
      <c r="D4539" s="9" t="n">
        <v>75</v>
      </c>
      <c r="E4539" s="9" t="s">
        <v>70</v>
      </c>
      <c r="F4539" s="9" t="s">
        <v>39</v>
      </c>
      <c r="G4539" s="10" t="n">
        <v>46039</v>
      </c>
      <c r="H4539" s="10" t="n">
        <v>46052</v>
      </c>
      <c r="I4539" s="9" t="s">
        <v>50</v>
      </c>
      <c r="J4539" s="9" t="s">
        <v>51</v>
      </c>
      <c r="K4539" s="9" t="n">
        <v>13</v>
      </c>
      <c r="L4539" s="9" t="n">
        <v>1</v>
      </c>
      <c r="M4539" s="9" t="n">
        <v>0</v>
      </c>
      <c r="N4539" s="9" t="s">
        <v>71</v>
      </c>
      <c r="O4539" s="9"/>
      <c r="P4539" s="9" t="n">
        <v>5.9</v>
      </c>
      <c r="Q4539" s="9" t="n">
        <v>18</v>
      </c>
      <c r="R4539" s="9" t="s">
        <v>44</v>
      </c>
      <c r="S4539" s="9"/>
      <c r="T4539" s="9"/>
      <c r="U4539" s="9" t="str">
        <f aca="false">IF(COUNTIF($A$2:$A$5001,A4539)&gt;1,"Duplicate","Unique")</f>
        <v>Unique</v>
      </c>
      <c r="V4539" s="9" t="str">
        <f aca="false">IF(COUNTIFS($B$2:$B$5001,B4539,$H$2:$H$5001,H4539,$J$2:$J$5001,J4539)&gt;1,"Possible Duplicate Booking","Unique")</f>
        <v>Unique</v>
      </c>
      <c r="W4539" s="9" t="str">
        <f aca="false">IF((H4539-G4539)&lt;&gt;K4539,"Mismatch","OK")</f>
        <v>OK</v>
      </c>
      <c r="X4539" s="9" t="str">
        <f aca="false">IF(TEXT(H4539,"dddd")&lt;&gt;I4539,"Mismatch","OK")</f>
        <v>OK</v>
      </c>
      <c r="Y4539" s="9" t="str">
        <f aca="false">IF(AND(N4539="No",O4539&lt;&gt;""),"Unexpected: channel present but no reminder sent",IF(AND(N4539="Yes",O4539=""),"Missing channel for sent reminder","OK"))</f>
        <v>OK</v>
      </c>
    </row>
    <row r="4540" customFormat="false" ht="15" hidden="false" customHeight="false" outlineLevel="0" collapsed="false">
      <c r="A4540" s="7" t="s">
        <v>6266</v>
      </c>
      <c r="B4540" s="7" t="s">
        <v>3619</v>
      </c>
      <c r="C4540" s="7" t="s">
        <v>37</v>
      </c>
      <c r="D4540" s="7" t="n">
        <v>60</v>
      </c>
      <c r="E4540" s="7" t="s">
        <v>61</v>
      </c>
      <c r="F4540" s="7" t="s">
        <v>49</v>
      </c>
      <c r="G4540" s="8" t="n">
        <v>46080</v>
      </c>
      <c r="H4540" s="8" t="n">
        <v>46113</v>
      </c>
      <c r="I4540" s="7" t="s">
        <v>58</v>
      </c>
      <c r="J4540" s="7" t="s">
        <v>51</v>
      </c>
      <c r="K4540" s="7" t="n">
        <v>33</v>
      </c>
      <c r="L4540" s="7" t="n">
        <v>5</v>
      </c>
      <c r="M4540" s="7" t="n">
        <v>0</v>
      </c>
      <c r="N4540" s="7" t="s">
        <v>42</v>
      </c>
      <c r="O4540" s="7" t="s">
        <v>52</v>
      </c>
      <c r="P4540" s="7" t="n">
        <v>6.7</v>
      </c>
      <c r="Q4540" s="7" t="n">
        <v>37</v>
      </c>
      <c r="R4540" s="7" t="s">
        <v>53</v>
      </c>
      <c r="S4540" s="7"/>
      <c r="T4540" s="7"/>
      <c r="U4540" s="7" t="str">
        <f aca="false">IF(COUNTIF($A$2:$A$5001,A4540)&gt;1,"Duplicate","Unique")</f>
        <v>Unique</v>
      </c>
      <c r="V4540" s="7" t="str">
        <f aca="false">IF(COUNTIFS($B$2:$B$5001,B4540,$H$2:$H$5001,H4540,$J$2:$J$5001,J4540)&gt;1,"Possible Duplicate Booking","Unique")</f>
        <v>Unique</v>
      </c>
      <c r="W4540" s="7" t="str">
        <f aca="false">IF((H4540-G4540)&lt;&gt;K4540,"Mismatch","OK")</f>
        <v>OK</v>
      </c>
      <c r="X4540" s="7" t="str">
        <f aca="false">IF(TEXT(H4540,"dddd")&lt;&gt;I4540,"Mismatch","OK")</f>
        <v>OK</v>
      </c>
      <c r="Y4540" s="7" t="str">
        <f aca="false">IF(AND(N4540="No",O4540&lt;&gt;""),"Unexpected: channel present but no reminder sent",IF(AND(N4540="Yes",O4540=""),"Missing channel for sent reminder","OK"))</f>
        <v>OK</v>
      </c>
    </row>
    <row r="4541" customFormat="false" ht="15" hidden="false" customHeight="false" outlineLevel="0" collapsed="false">
      <c r="A4541" s="9" t="s">
        <v>6267</v>
      </c>
      <c r="B4541" s="9" t="s">
        <v>788</v>
      </c>
      <c r="C4541" s="9" t="s">
        <v>47</v>
      </c>
      <c r="D4541" s="9" t="n">
        <v>40</v>
      </c>
      <c r="E4541" s="9" t="s">
        <v>38</v>
      </c>
      <c r="F4541" s="9" t="s">
        <v>39</v>
      </c>
      <c r="G4541" s="10" t="n">
        <v>46089</v>
      </c>
      <c r="H4541" s="10" t="n">
        <v>46132</v>
      </c>
      <c r="I4541" s="9" t="s">
        <v>66</v>
      </c>
      <c r="J4541" s="9" t="s">
        <v>41</v>
      </c>
      <c r="K4541" s="9" t="n">
        <v>43</v>
      </c>
      <c r="L4541" s="9" t="n">
        <v>2</v>
      </c>
      <c r="M4541" s="9" t="n">
        <v>0</v>
      </c>
      <c r="N4541" s="9" t="s">
        <v>42</v>
      </c>
      <c r="O4541" s="9" t="s">
        <v>67</v>
      </c>
      <c r="P4541" s="9" t="n">
        <v>5.4</v>
      </c>
      <c r="Q4541" s="9" t="n">
        <v>31</v>
      </c>
      <c r="R4541" s="9" t="s">
        <v>53</v>
      </c>
      <c r="S4541" s="9"/>
      <c r="T4541" s="9"/>
      <c r="U4541" s="9" t="str">
        <f aca="false">IF(COUNTIF($A$2:$A$5001,A4541)&gt;1,"Duplicate","Unique")</f>
        <v>Unique</v>
      </c>
      <c r="V4541" s="9" t="str">
        <f aca="false">IF(COUNTIFS($B$2:$B$5001,B4541,$H$2:$H$5001,H4541,$J$2:$J$5001,J4541)&gt;1,"Possible Duplicate Booking","Unique")</f>
        <v>Unique</v>
      </c>
      <c r="W4541" s="9" t="str">
        <f aca="false">IF((H4541-G4541)&lt;&gt;K4541,"Mismatch","OK")</f>
        <v>OK</v>
      </c>
      <c r="X4541" s="9" t="str">
        <f aca="false">IF(TEXT(H4541,"dddd")&lt;&gt;I4541,"Mismatch","OK")</f>
        <v>OK</v>
      </c>
      <c r="Y4541" s="9" t="str">
        <f aca="false">IF(AND(N4541="No",O4541&lt;&gt;""),"Unexpected: channel present but no reminder sent",IF(AND(N4541="Yes",O4541=""),"Missing channel for sent reminder","OK"))</f>
        <v>OK</v>
      </c>
    </row>
    <row r="4542" customFormat="false" ht="15" hidden="false" customHeight="false" outlineLevel="0" collapsed="false">
      <c r="A4542" s="7" t="s">
        <v>6268</v>
      </c>
      <c r="B4542" s="7" t="s">
        <v>1079</v>
      </c>
      <c r="C4542" s="7" t="s">
        <v>37</v>
      </c>
      <c r="D4542" s="7" t="n">
        <v>34</v>
      </c>
      <c r="E4542" s="7" t="s">
        <v>48</v>
      </c>
      <c r="F4542" s="7" t="s">
        <v>57</v>
      </c>
      <c r="G4542" s="8" t="n">
        <v>45982</v>
      </c>
      <c r="H4542" s="8" t="n">
        <v>45984</v>
      </c>
      <c r="I4542" s="7" t="s">
        <v>75</v>
      </c>
      <c r="J4542" s="7" t="s">
        <v>41</v>
      </c>
      <c r="K4542" s="7" t="n">
        <v>2</v>
      </c>
      <c r="L4542" s="7" t="n">
        <v>3</v>
      </c>
      <c r="M4542" s="7" t="n">
        <v>1</v>
      </c>
      <c r="N4542" s="7" t="s">
        <v>71</v>
      </c>
      <c r="O4542" s="7"/>
      <c r="P4542" s="7" t="n">
        <v>10.7</v>
      </c>
      <c r="Q4542" s="7" t="n">
        <v>15</v>
      </c>
      <c r="R4542" s="7" t="s">
        <v>53</v>
      </c>
      <c r="S4542" s="7"/>
      <c r="T4542" s="7"/>
      <c r="U4542" s="7" t="str">
        <f aca="false">IF(COUNTIF($A$2:$A$5001,A4542)&gt;1,"Duplicate","Unique")</f>
        <v>Unique</v>
      </c>
      <c r="V4542" s="7" t="str">
        <f aca="false">IF(COUNTIFS($B$2:$B$5001,B4542,$H$2:$H$5001,H4542,$J$2:$J$5001,J4542)&gt;1,"Possible Duplicate Booking","Unique")</f>
        <v>Unique</v>
      </c>
      <c r="W4542" s="7" t="str">
        <f aca="false">IF((H4542-G4542)&lt;&gt;K4542,"Mismatch","OK")</f>
        <v>OK</v>
      </c>
      <c r="X4542" s="7" t="str">
        <f aca="false">IF(TEXT(H4542,"dddd")&lt;&gt;I4542,"Mismatch","OK")</f>
        <v>OK</v>
      </c>
      <c r="Y4542" s="7" t="str">
        <f aca="false">IF(AND(N4542="No",O4542&lt;&gt;""),"Unexpected: channel present but no reminder sent",IF(AND(N4542="Yes",O4542=""),"Missing channel for sent reminder","OK"))</f>
        <v>OK</v>
      </c>
    </row>
    <row r="4543" customFormat="false" ht="15" hidden="false" customHeight="false" outlineLevel="0" collapsed="false">
      <c r="A4543" s="9" t="s">
        <v>6269</v>
      </c>
      <c r="B4543" s="9" t="s">
        <v>2978</v>
      </c>
      <c r="C4543" s="9" t="s">
        <v>37</v>
      </c>
      <c r="D4543" s="9" t="n">
        <v>72</v>
      </c>
      <c r="E4543" s="9" t="s">
        <v>70</v>
      </c>
      <c r="F4543" s="9" t="s">
        <v>49</v>
      </c>
      <c r="G4543" s="10" t="n">
        <v>45962</v>
      </c>
      <c r="H4543" s="10" t="n">
        <v>46001</v>
      </c>
      <c r="I4543" s="9" t="s">
        <v>58</v>
      </c>
      <c r="J4543" s="9" t="s">
        <v>41</v>
      </c>
      <c r="K4543" s="9" t="n">
        <v>39</v>
      </c>
      <c r="L4543" s="9" t="n">
        <v>4</v>
      </c>
      <c r="M4543" s="9" t="n">
        <v>0</v>
      </c>
      <c r="N4543" s="9" t="s">
        <v>71</v>
      </c>
      <c r="O4543" s="9"/>
      <c r="P4543" s="9" t="n">
        <v>15.9</v>
      </c>
      <c r="Q4543" s="9" t="n">
        <v>32</v>
      </c>
      <c r="R4543" s="9" t="s">
        <v>53</v>
      </c>
      <c r="S4543" s="9"/>
      <c r="T4543" s="9"/>
      <c r="U4543" s="9" t="str">
        <f aca="false">IF(COUNTIF($A$2:$A$5001,A4543)&gt;1,"Duplicate","Unique")</f>
        <v>Unique</v>
      </c>
      <c r="V4543" s="9" t="str">
        <f aca="false">IF(COUNTIFS($B$2:$B$5001,B4543,$H$2:$H$5001,H4543,$J$2:$J$5001,J4543)&gt;1,"Possible Duplicate Booking","Unique")</f>
        <v>Unique</v>
      </c>
      <c r="W4543" s="9" t="str">
        <f aca="false">IF((H4543-G4543)&lt;&gt;K4543,"Mismatch","OK")</f>
        <v>OK</v>
      </c>
      <c r="X4543" s="9" t="str">
        <f aca="false">IF(TEXT(H4543,"dddd")&lt;&gt;I4543,"Mismatch","OK")</f>
        <v>OK</v>
      </c>
      <c r="Y4543" s="9" t="str">
        <f aca="false">IF(AND(N4543="No",O4543&lt;&gt;""),"Unexpected: channel present but no reminder sent",IF(AND(N4543="Yes",O4543=""),"Missing channel for sent reminder","OK"))</f>
        <v>OK</v>
      </c>
    </row>
    <row r="4544" customFormat="false" ht="15" hidden="false" customHeight="false" outlineLevel="0" collapsed="false">
      <c r="A4544" s="7" t="s">
        <v>6270</v>
      </c>
      <c r="B4544" s="7" t="s">
        <v>4847</v>
      </c>
      <c r="C4544" s="7" t="s">
        <v>37</v>
      </c>
      <c r="D4544" s="7" t="n">
        <v>55</v>
      </c>
      <c r="E4544" s="7" t="s">
        <v>61</v>
      </c>
      <c r="F4544" s="7" t="s">
        <v>74</v>
      </c>
      <c r="G4544" s="8" t="n">
        <v>46148</v>
      </c>
      <c r="H4544" s="8" t="n">
        <v>46163</v>
      </c>
      <c r="I4544" s="7" t="s">
        <v>62</v>
      </c>
      <c r="J4544" s="7" t="s">
        <v>51</v>
      </c>
      <c r="K4544" s="7" t="n">
        <v>15</v>
      </c>
      <c r="L4544" s="7" t="n">
        <v>3</v>
      </c>
      <c r="M4544" s="7" t="n">
        <v>0</v>
      </c>
      <c r="N4544" s="7" t="s">
        <v>42</v>
      </c>
      <c r="O4544" s="7" t="s">
        <v>52</v>
      </c>
      <c r="P4544" s="7" t="n">
        <v>9.1</v>
      </c>
      <c r="Q4544" s="7" t="n">
        <v>13</v>
      </c>
      <c r="R4544" s="7" t="s">
        <v>53</v>
      </c>
      <c r="S4544" s="7"/>
      <c r="T4544" s="7"/>
      <c r="U4544" s="7" t="str">
        <f aca="false">IF(COUNTIF($A$2:$A$5001,A4544)&gt;1,"Duplicate","Unique")</f>
        <v>Unique</v>
      </c>
      <c r="V4544" s="7" t="str">
        <f aca="false">IF(COUNTIFS($B$2:$B$5001,B4544,$H$2:$H$5001,H4544,$J$2:$J$5001,J4544)&gt;1,"Possible Duplicate Booking","Unique")</f>
        <v>Unique</v>
      </c>
      <c r="W4544" s="7" t="str">
        <f aca="false">IF((H4544-G4544)&lt;&gt;K4544,"Mismatch","OK")</f>
        <v>OK</v>
      </c>
      <c r="X4544" s="7" t="str">
        <f aca="false">IF(TEXT(H4544,"dddd")&lt;&gt;I4544,"Mismatch","OK")</f>
        <v>OK</v>
      </c>
      <c r="Y4544" s="7" t="str">
        <f aca="false">IF(AND(N4544="No",O4544&lt;&gt;""),"Unexpected: channel present but no reminder sent",IF(AND(N4544="Yes",O4544=""),"Missing channel for sent reminder","OK"))</f>
        <v>OK</v>
      </c>
    </row>
    <row r="4545" customFormat="false" ht="15" hidden="false" customHeight="false" outlineLevel="0" collapsed="false">
      <c r="A4545" s="9" t="s">
        <v>6271</v>
      </c>
      <c r="B4545" s="9" t="s">
        <v>1092</v>
      </c>
      <c r="C4545" s="9" t="s">
        <v>37</v>
      </c>
      <c r="D4545" s="9" t="n">
        <v>75</v>
      </c>
      <c r="E4545" s="9" t="s">
        <v>70</v>
      </c>
      <c r="F4545" s="9" t="s">
        <v>57</v>
      </c>
      <c r="G4545" s="10" t="n">
        <v>45968</v>
      </c>
      <c r="H4545" s="10" t="n">
        <v>45992</v>
      </c>
      <c r="I4545" s="9" t="s">
        <v>66</v>
      </c>
      <c r="J4545" s="9" t="s">
        <v>51</v>
      </c>
      <c r="K4545" s="9" t="n">
        <v>24</v>
      </c>
      <c r="L4545" s="9" t="n">
        <v>4</v>
      </c>
      <c r="M4545" s="9" t="n">
        <v>0</v>
      </c>
      <c r="N4545" s="9" t="s">
        <v>42</v>
      </c>
      <c r="O4545" s="9" t="s">
        <v>52</v>
      </c>
      <c r="P4545" s="9" t="n">
        <v>7.6</v>
      </c>
      <c r="Q4545" s="9"/>
      <c r="R4545" s="9" t="s">
        <v>44</v>
      </c>
      <c r="S4545" s="9"/>
      <c r="T4545" s="9"/>
      <c r="U4545" s="9" t="str">
        <f aca="false">IF(COUNTIF($A$2:$A$5001,A4545)&gt;1,"Duplicate","Unique")</f>
        <v>Unique</v>
      </c>
      <c r="V4545" s="9" t="str">
        <f aca="false">IF(COUNTIFS($B$2:$B$5001,B4545,$H$2:$H$5001,H4545,$J$2:$J$5001,J4545)&gt;1,"Possible Duplicate Booking","Unique")</f>
        <v>Unique</v>
      </c>
      <c r="W4545" s="9" t="str">
        <f aca="false">IF((H4545-G4545)&lt;&gt;K4545,"Mismatch","OK")</f>
        <v>OK</v>
      </c>
      <c r="X4545" s="9" t="str">
        <f aca="false">IF(TEXT(H4545,"dddd")&lt;&gt;I4545,"Mismatch","OK")</f>
        <v>OK</v>
      </c>
      <c r="Y4545" s="9" t="str">
        <f aca="false">IF(AND(N4545="No",O4545&lt;&gt;""),"Unexpected: channel present but no reminder sent",IF(AND(N4545="Yes",O4545=""),"Missing channel for sent reminder","OK"))</f>
        <v>OK</v>
      </c>
    </row>
    <row r="4546" customFormat="false" ht="15" hidden="false" customHeight="false" outlineLevel="0" collapsed="false">
      <c r="A4546" s="7" t="s">
        <v>6272</v>
      </c>
      <c r="B4546" s="7" t="s">
        <v>1836</v>
      </c>
      <c r="C4546" s="7" t="s">
        <v>47</v>
      </c>
      <c r="D4546" s="7" t="n">
        <v>39</v>
      </c>
      <c r="E4546" s="7" t="s">
        <v>38</v>
      </c>
      <c r="F4546" s="7" t="s">
        <v>57</v>
      </c>
      <c r="G4546" s="8" t="n">
        <v>45862</v>
      </c>
      <c r="H4546" s="8" t="n">
        <v>45901</v>
      </c>
      <c r="I4546" s="7" t="s">
        <v>66</v>
      </c>
      <c r="J4546" s="7" t="s">
        <v>41</v>
      </c>
      <c r="K4546" s="7" t="n">
        <v>39</v>
      </c>
      <c r="L4546" s="7" t="n">
        <v>5</v>
      </c>
      <c r="M4546" s="7" t="n">
        <v>1</v>
      </c>
      <c r="N4546" s="7" t="s">
        <v>42</v>
      </c>
      <c r="O4546" s="7" t="s">
        <v>52</v>
      </c>
      <c r="P4546" s="7" t="n">
        <v>4.1</v>
      </c>
      <c r="Q4546" s="7" t="n">
        <v>27</v>
      </c>
      <c r="R4546" s="7" t="s">
        <v>44</v>
      </c>
      <c r="S4546" s="7"/>
      <c r="T4546" s="7"/>
      <c r="U4546" s="7" t="str">
        <f aca="false">IF(COUNTIF($A$2:$A$5001,A4546)&gt;1,"Duplicate","Unique")</f>
        <v>Unique</v>
      </c>
      <c r="V4546" s="7" t="str">
        <f aca="false">IF(COUNTIFS($B$2:$B$5001,B4546,$H$2:$H$5001,H4546,$J$2:$J$5001,J4546)&gt;1,"Possible Duplicate Booking","Unique")</f>
        <v>Unique</v>
      </c>
      <c r="W4546" s="7" t="str">
        <f aca="false">IF((H4546-G4546)&lt;&gt;K4546,"Mismatch","OK")</f>
        <v>OK</v>
      </c>
      <c r="X4546" s="7" t="str">
        <f aca="false">IF(TEXT(H4546,"dddd")&lt;&gt;I4546,"Mismatch","OK")</f>
        <v>OK</v>
      </c>
      <c r="Y4546" s="7" t="str">
        <f aca="false">IF(AND(N4546="No",O4546&lt;&gt;""),"Unexpected: channel present but no reminder sent",IF(AND(N4546="Yes",O4546=""),"Missing channel for sent reminder","OK"))</f>
        <v>OK</v>
      </c>
    </row>
    <row r="4547" customFormat="false" ht="15" hidden="false" customHeight="false" outlineLevel="0" collapsed="false">
      <c r="A4547" s="9" t="s">
        <v>6273</v>
      </c>
      <c r="B4547" s="9" t="s">
        <v>3519</v>
      </c>
      <c r="C4547" s="9" t="s">
        <v>37</v>
      </c>
      <c r="D4547" s="9" t="n">
        <v>19</v>
      </c>
      <c r="E4547" s="9" t="s">
        <v>82</v>
      </c>
      <c r="F4547" s="9" t="s">
        <v>49</v>
      </c>
      <c r="G4547" s="10" t="n">
        <v>46069</v>
      </c>
      <c r="H4547" s="10" t="n">
        <v>46069</v>
      </c>
      <c r="I4547" s="9" t="s">
        <v>66</v>
      </c>
      <c r="J4547" s="9" t="s">
        <v>63</v>
      </c>
      <c r="K4547" s="9" t="n">
        <v>0</v>
      </c>
      <c r="L4547" s="9" t="n">
        <v>3</v>
      </c>
      <c r="M4547" s="9" t="n">
        <v>0</v>
      </c>
      <c r="N4547" s="9" t="s">
        <v>42</v>
      </c>
      <c r="O4547" s="9" t="s">
        <v>52</v>
      </c>
      <c r="P4547" s="9" t="n">
        <v>2.7</v>
      </c>
      <c r="Q4547" s="9" t="n">
        <v>10</v>
      </c>
      <c r="R4547" s="9" t="s">
        <v>44</v>
      </c>
      <c r="S4547" s="9"/>
      <c r="T4547" s="9"/>
      <c r="U4547" s="9" t="str">
        <f aca="false">IF(COUNTIF($A$2:$A$5001,A4547)&gt;1,"Duplicate","Unique")</f>
        <v>Unique</v>
      </c>
      <c r="V4547" s="9" t="str">
        <f aca="false">IF(COUNTIFS($B$2:$B$5001,B4547,$H$2:$H$5001,H4547,$J$2:$J$5001,J4547)&gt;1,"Possible Duplicate Booking","Unique")</f>
        <v>Unique</v>
      </c>
      <c r="W4547" s="9" t="str">
        <f aca="false">IF((H4547-G4547)&lt;&gt;K4547,"Mismatch","OK")</f>
        <v>OK</v>
      </c>
      <c r="X4547" s="9" t="str">
        <f aca="false">IF(TEXT(H4547,"dddd")&lt;&gt;I4547,"Mismatch","OK")</f>
        <v>OK</v>
      </c>
      <c r="Y4547" s="9" t="str">
        <f aca="false">IF(AND(N4547="No",O4547&lt;&gt;""),"Unexpected: channel present but no reminder sent",IF(AND(N4547="Yes",O4547=""),"Missing channel for sent reminder","OK"))</f>
        <v>OK</v>
      </c>
    </row>
    <row r="4548" customFormat="false" ht="15" hidden="false" customHeight="false" outlineLevel="0" collapsed="false">
      <c r="A4548" s="7" t="s">
        <v>6274</v>
      </c>
      <c r="B4548" s="7" t="s">
        <v>3544</v>
      </c>
      <c r="C4548" s="7" t="s">
        <v>37</v>
      </c>
      <c r="D4548" s="7" t="n">
        <v>74</v>
      </c>
      <c r="E4548" s="7" t="s">
        <v>70</v>
      </c>
      <c r="F4548" s="7" t="s">
        <v>39</v>
      </c>
      <c r="G4548" s="8" t="n">
        <v>45979</v>
      </c>
      <c r="H4548" s="8" t="n">
        <v>45980</v>
      </c>
      <c r="I4548" s="7" t="s">
        <v>58</v>
      </c>
      <c r="J4548" s="7" t="s">
        <v>51</v>
      </c>
      <c r="K4548" s="7" t="n">
        <v>1</v>
      </c>
      <c r="L4548" s="7" t="n">
        <v>4</v>
      </c>
      <c r="M4548" s="7" t="n">
        <v>0</v>
      </c>
      <c r="N4548" s="7" t="s">
        <v>42</v>
      </c>
      <c r="O4548" s="7" t="s">
        <v>43</v>
      </c>
      <c r="P4548" s="7" t="n">
        <v>3.3</v>
      </c>
      <c r="Q4548" s="7" t="n">
        <v>10</v>
      </c>
      <c r="R4548" s="7" t="s">
        <v>53</v>
      </c>
      <c r="S4548" s="7"/>
      <c r="T4548" s="7"/>
      <c r="U4548" s="7" t="str">
        <f aca="false">IF(COUNTIF($A$2:$A$5001,A4548)&gt;1,"Duplicate","Unique")</f>
        <v>Unique</v>
      </c>
      <c r="V4548" s="7" t="str">
        <f aca="false">IF(COUNTIFS($B$2:$B$5001,B4548,$H$2:$H$5001,H4548,$J$2:$J$5001,J4548)&gt;1,"Possible Duplicate Booking","Unique")</f>
        <v>Unique</v>
      </c>
      <c r="W4548" s="7" t="str">
        <f aca="false">IF((H4548-G4548)&lt;&gt;K4548,"Mismatch","OK")</f>
        <v>OK</v>
      </c>
      <c r="X4548" s="7" t="str">
        <f aca="false">IF(TEXT(H4548,"dddd")&lt;&gt;I4548,"Mismatch","OK")</f>
        <v>OK</v>
      </c>
      <c r="Y4548" s="7" t="str">
        <f aca="false">IF(AND(N4548="No",O4548&lt;&gt;""),"Unexpected: channel present but no reminder sent",IF(AND(N4548="Yes",O4548=""),"Missing channel for sent reminder","OK"))</f>
        <v>OK</v>
      </c>
    </row>
    <row r="4549" customFormat="false" ht="15" hidden="false" customHeight="false" outlineLevel="0" collapsed="false">
      <c r="A4549" s="9" t="s">
        <v>6275</v>
      </c>
      <c r="B4549" s="9" t="s">
        <v>2513</v>
      </c>
      <c r="C4549" s="9" t="s">
        <v>37</v>
      </c>
      <c r="D4549" s="9" t="n">
        <v>33</v>
      </c>
      <c r="E4549" s="9" t="s">
        <v>48</v>
      </c>
      <c r="F4549" s="9" t="s">
        <v>57</v>
      </c>
      <c r="G4549" s="10" t="n">
        <v>46090</v>
      </c>
      <c r="H4549" s="10" t="n">
        <v>46117</v>
      </c>
      <c r="I4549" s="9" t="s">
        <v>75</v>
      </c>
      <c r="J4549" s="9" t="s">
        <v>41</v>
      </c>
      <c r="K4549" s="9" t="n">
        <v>27</v>
      </c>
      <c r="L4549" s="9" t="n">
        <v>3</v>
      </c>
      <c r="M4549" s="9" t="n">
        <v>0</v>
      </c>
      <c r="N4549" s="9" t="s">
        <v>42</v>
      </c>
      <c r="O4549" s="9" t="s">
        <v>43</v>
      </c>
      <c r="P4549" s="9" t="n">
        <v>10.8</v>
      </c>
      <c r="Q4549" s="9" t="n">
        <v>12</v>
      </c>
      <c r="R4549" s="9" t="s">
        <v>53</v>
      </c>
      <c r="S4549" s="9"/>
      <c r="T4549" s="9"/>
      <c r="U4549" s="9" t="str">
        <f aca="false">IF(COUNTIF($A$2:$A$5001,A4549)&gt;1,"Duplicate","Unique")</f>
        <v>Unique</v>
      </c>
      <c r="V4549" s="9" t="str">
        <f aca="false">IF(COUNTIFS($B$2:$B$5001,B4549,$H$2:$H$5001,H4549,$J$2:$J$5001,J4549)&gt;1,"Possible Duplicate Booking","Unique")</f>
        <v>Unique</v>
      </c>
      <c r="W4549" s="9" t="str">
        <f aca="false">IF((H4549-G4549)&lt;&gt;K4549,"Mismatch","OK")</f>
        <v>OK</v>
      </c>
      <c r="X4549" s="9" t="str">
        <f aca="false">IF(TEXT(H4549,"dddd")&lt;&gt;I4549,"Mismatch","OK")</f>
        <v>OK</v>
      </c>
      <c r="Y4549" s="9" t="str">
        <f aca="false">IF(AND(N4549="No",O4549&lt;&gt;""),"Unexpected: channel present but no reminder sent",IF(AND(N4549="Yes",O4549=""),"Missing channel for sent reminder","OK"))</f>
        <v>OK</v>
      </c>
    </row>
    <row r="4550" customFormat="false" ht="15" hidden="false" customHeight="false" outlineLevel="0" collapsed="false">
      <c r="A4550" s="7" t="s">
        <v>6276</v>
      </c>
      <c r="B4550" s="7" t="s">
        <v>4023</v>
      </c>
      <c r="C4550" s="7" t="s">
        <v>47</v>
      </c>
      <c r="D4550" s="7" t="n">
        <v>71</v>
      </c>
      <c r="E4550" s="7" t="s">
        <v>70</v>
      </c>
      <c r="F4550" s="7" t="s">
        <v>39</v>
      </c>
      <c r="G4550" s="8" t="n">
        <v>45887</v>
      </c>
      <c r="H4550" s="8" t="n">
        <v>45944</v>
      </c>
      <c r="I4550" s="7" t="s">
        <v>40</v>
      </c>
      <c r="J4550" s="7" t="s">
        <v>51</v>
      </c>
      <c r="K4550" s="7" t="n">
        <v>57</v>
      </c>
      <c r="L4550" s="7" t="n">
        <v>3</v>
      </c>
      <c r="M4550" s="7" t="n">
        <v>0</v>
      </c>
      <c r="N4550" s="7" t="s">
        <v>42</v>
      </c>
      <c r="O4550" s="7" t="s">
        <v>43</v>
      </c>
      <c r="P4550" s="7" t="n">
        <v>11</v>
      </c>
      <c r="Q4550" s="7" t="n">
        <v>25</v>
      </c>
      <c r="R4550" s="7" t="s">
        <v>44</v>
      </c>
      <c r="S4550" s="7"/>
      <c r="T4550" s="7"/>
      <c r="U4550" s="7" t="str">
        <f aca="false">IF(COUNTIF($A$2:$A$5001,A4550)&gt;1,"Duplicate","Unique")</f>
        <v>Unique</v>
      </c>
      <c r="V4550" s="7" t="str">
        <f aca="false">IF(COUNTIFS($B$2:$B$5001,B4550,$H$2:$H$5001,H4550,$J$2:$J$5001,J4550)&gt;1,"Possible Duplicate Booking","Unique")</f>
        <v>Unique</v>
      </c>
      <c r="W4550" s="7" t="str">
        <f aca="false">IF((H4550-G4550)&lt;&gt;K4550,"Mismatch","OK")</f>
        <v>OK</v>
      </c>
      <c r="X4550" s="7" t="str">
        <f aca="false">IF(TEXT(H4550,"dddd")&lt;&gt;I4550,"Mismatch","OK")</f>
        <v>OK</v>
      </c>
      <c r="Y4550" s="7" t="str">
        <f aca="false">IF(AND(N4550="No",O4550&lt;&gt;""),"Unexpected: channel present but no reminder sent",IF(AND(N4550="Yes",O4550=""),"Missing channel for sent reminder","OK"))</f>
        <v>OK</v>
      </c>
    </row>
    <row r="4551" customFormat="false" ht="15" hidden="false" customHeight="false" outlineLevel="0" collapsed="false">
      <c r="A4551" s="9" t="s">
        <v>6277</v>
      </c>
      <c r="B4551" s="9" t="s">
        <v>523</v>
      </c>
      <c r="C4551" s="9" t="s">
        <v>47</v>
      </c>
      <c r="D4551" s="9" t="n">
        <v>62</v>
      </c>
      <c r="E4551" s="9" t="s">
        <v>61</v>
      </c>
      <c r="F4551" s="9" t="s">
        <v>49</v>
      </c>
      <c r="G4551" s="10" t="n">
        <v>46132</v>
      </c>
      <c r="H4551" s="10" t="n">
        <v>46132</v>
      </c>
      <c r="I4551" s="9" t="s">
        <v>66</v>
      </c>
      <c r="J4551" s="9" t="s">
        <v>51</v>
      </c>
      <c r="K4551" s="9" t="n">
        <v>0</v>
      </c>
      <c r="L4551" s="9" t="n">
        <v>1</v>
      </c>
      <c r="M4551" s="9" t="n">
        <v>0</v>
      </c>
      <c r="N4551" s="9" t="s">
        <v>71</v>
      </c>
      <c r="O4551" s="9"/>
      <c r="P4551" s="9" t="n">
        <v>2</v>
      </c>
      <c r="Q4551" s="9" t="n">
        <v>32</v>
      </c>
      <c r="R4551" s="9" t="s">
        <v>53</v>
      </c>
      <c r="S4551" s="9"/>
      <c r="T4551" s="9"/>
      <c r="U4551" s="9" t="str">
        <f aca="false">IF(COUNTIF($A$2:$A$5001,A4551)&gt;1,"Duplicate","Unique")</f>
        <v>Unique</v>
      </c>
      <c r="V4551" s="9" t="str">
        <f aca="false">IF(COUNTIFS($B$2:$B$5001,B4551,$H$2:$H$5001,H4551,$J$2:$J$5001,J4551)&gt;1,"Possible Duplicate Booking","Unique")</f>
        <v>Unique</v>
      </c>
      <c r="W4551" s="9" t="str">
        <f aca="false">IF((H4551-G4551)&lt;&gt;K4551,"Mismatch","OK")</f>
        <v>OK</v>
      </c>
      <c r="X4551" s="9" t="str">
        <f aca="false">IF(TEXT(H4551,"dddd")&lt;&gt;I4551,"Mismatch","OK")</f>
        <v>OK</v>
      </c>
      <c r="Y4551" s="9" t="str">
        <f aca="false">IF(AND(N4551="No",O4551&lt;&gt;""),"Unexpected: channel present but no reminder sent",IF(AND(N4551="Yes",O4551=""),"Missing channel for sent reminder","OK"))</f>
        <v>OK</v>
      </c>
    </row>
    <row r="4552" customFormat="false" ht="15" hidden="false" customHeight="false" outlineLevel="0" collapsed="false">
      <c r="A4552" s="7" t="s">
        <v>6278</v>
      </c>
      <c r="B4552" s="7" t="s">
        <v>2134</v>
      </c>
      <c r="C4552" s="7" t="s">
        <v>47</v>
      </c>
      <c r="D4552" s="7" t="n">
        <v>32</v>
      </c>
      <c r="E4552" s="7" t="s">
        <v>48</v>
      </c>
      <c r="F4552" s="7" t="s">
        <v>39</v>
      </c>
      <c r="G4552" s="8" t="n">
        <v>45634</v>
      </c>
      <c r="H4552" s="8" t="n">
        <v>45682</v>
      </c>
      <c r="I4552" s="7" t="s">
        <v>102</v>
      </c>
      <c r="J4552" s="7" t="s">
        <v>41</v>
      </c>
      <c r="K4552" s="7" t="n">
        <v>48</v>
      </c>
      <c r="L4552" s="7" t="n">
        <v>7</v>
      </c>
      <c r="M4552" s="7" t="n">
        <v>2</v>
      </c>
      <c r="N4552" s="7" t="s">
        <v>42</v>
      </c>
      <c r="O4552" s="7" t="s">
        <v>52</v>
      </c>
      <c r="P4552" s="7" t="n">
        <v>3.2</v>
      </c>
      <c r="Q4552" s="7" t="n">
        <v>20</v>
      </c>
      <c r="R4552" s="7" t="s">
        <v>44</v>
      </c>
      <c r="S4552" s="7"/>
      <c r="T4552" s="7"/>
      <c r="U4552" s="7" t="str">
        <f aca="false">IF(COUNTIF($A$2:$A$5001,A4552)&gt;1,"Duplicate","Unique")</f>
        <v>Unique</v>
      </c>
      <c r="V4552" s="7" t="str">
        <f aca="false">IF(COUNTIFS($B$2:$B$5001,B4552,$H$2:$H$5001,H4552,$J$2:$J$5001,J4552)&gt;1,"Possible Duplicate Booking","Unique")</f>
        <v>Unique</v>
      </c>
      <c r="W4552" s="7" t="str">
        <f aca="false">IF((H4552-G4552)&lt;&gt;K4552,"Mismatch","OK")</f>
        <v>OK</v>
      </c>
      <c r="X4552" s="7" t="str">
        <f aca="false">IF(TEXT(H4552,"dddd")&lt;&gt;I4552,"Mismatch","OK")</f>
        <v>OK</v>
      </c>
      <c r="Y4552" s="7" t="str">
        <f aca="false">IF(AND(N4552="No",O4552&lt;&gt;""),"Unexpected: channel present but no reminder sent",IF(AND(N4552="Yes",O4552=""),"Missing channel for sent reminder","OK"))</f>
        <v>OK</v>
      </c>
    </row>
    <row r="4553" customFormat="false" ht="15" hidden="false" customHeight="false" outlineLevel="0" collapsed="false">
      <c r="A4553" s="9" t="s">
        <v>6279</v>
      </c>
      <c r="B4553" s="9" t="s">
        <v>976</v>
      </c>
      <c r="C4553" s="9" t="s">
        <v>37</v>
      </c>
      <c r="D4553" s="9" t="n">
        <v>65</v>
      </c>
      <c r="E4553" s="9" t="s">
        <v>70</v>
      </c>
      <c r="F4553" s="9" t="s">
        <v>57</v>
      </c>
      <c r="G4553" s="10" t="n">
        <v>45673</v>
      </c>
      <c r="H4553" s="10" t="n">
        <v>45677</v>
      </c>
      <c r="I4553" s="9" t="s">
        <v>66</v>
      </c>
      <c r="J4553" s="9" t="s">
        <v>51</v>
      </c>
      <c r="K4553" s="9" t="n">
        <v>4</v>
      </c>
      <c r="L4553" s="9" t="n">
        <v>1</v>
      </c>
      <c r="M4553" s="9" t="n">
        <v>0</v>
      </c>
      <c r="N4553" s="9" t="s">
        <v>42</v>
      </c>
      <c r="O4553" s="9" t="s">
        <v>52</v>
      </c>
      <c r="P4553" s="9" t="n">
        <v>6.2</v>
      </c>
      <c r="Q4553" s="9" t="n">
        <v>10</v>
      </c>
      <c r="R4553" s="9" t="s">
        <v>53</v>
      </c>
      <c r="S4553" s="9"/>
      <c r="T4553" s="9"/>
      <c r="U4553" s="9" t="str">
        <f aca="false">IF(COUNTIF($A$2:$A$5001,A4553)&gt;1,"Duplicate","Unique")</f>
        <v>Unique</v>
      </c>
      <c r="V4553" s="9" t="str">
        <f aca="false">IF(COUNTIFS($B$2:$B$5001,B4553,$H$2:$H$5001,H4553,$J$2:$J$5001,J4553)&gt;1,"Possible Duplicate Booking","Unique")</f>
        <v>Unique</v>
      </c>
      <c r="W4553" s="9" t="str">
        <f aca="false">IF((H4553-G4553)&lt;&gt;K4553,"Mismatch","OK")</f>
        <v>OK</v>
      </c>
      <c r="X4553" s="9" t="str">
        <f aca="false">IF(TEXT(H4553,"dddd")&lt;&gt;I4553,"Mismatch","OK")</f>
        <v>OK</v>
      </c>
      <c r="Y4553" s="9" t="str">
        <f aca="false">IF(AND(N4553="No",O4553&lt;&gt;""),"Unexpected: channel present but no reminder sent",IF(AND(N4553="Yes",O4553=""),"Missing channel for sent reminder","OK"))</f>
        <v>OK</v>
      </c>
    </row>
    <row r="4554" customFormat="false" ht="15" hidden="false" customHeight="false" outlineLevel="0" collapsed="false">
      <c r="A4554" s="7" t="s">
        <v>6280</v>
      </c>
      <c r="B4554" s="7" t="s">
        <v>2003</v>
      </c>
      <c r="C4554" s="7" t="s">
        <v>37</v>
      </c>
      <c r="D4554" s="7" t="n">
        <v>23</v>
      </c>
      <c r="E4554" s="7" t="s">
        <v>82</v>
      </c>
      <c r="F4554" s="7" t="s">
        <v>57</v>
      </c>
      <c r="G4554" s="8" t="n">
        <v>45683</v>
      </c>
      <c r="H4554" s="8" t="n">
        <v>45712</v>
      </c>
      <c r="I4554" s="7" t="s">
        <v>66</v>
      </c>
      <c r="J4554" s="7" t="s">
        <v>41</v>
      </c>
      <c r="K4554" s="7" t="n">
        <v>29</v>
      </c>
      <c r="L4554" s="7" t="n">
        <v>5</v>
      </c>
      <c r="M4554" s="7" t="n">
        <v>0</v>
      </c>
      <c r="N4554" s="7" t="s">
        <v>42</v>
      </c>
      <c r="O4554" s="7" t="s">
        <v>67</v>
      </c>
      <c r="P4554" s="7" t="n">
        <v>6.5</v>
      </c>
      <c r="Q4554" s="7" t="n">
        <v>11</v>
      </c>
      <c r="R4554" s="7" t="s">
        <v>53</v>
      </c>
      <c r="S4554" s="7"/>
      <c r="T4554" s="7"/>
      <c r="U4554" s="7" t="str">
        <f aca="false">IF(COUNTIF($A$2:$A$5001,A4554)&gt;1,"Duplicate","Unique")</f>
        <v>Unique</v>
      </c>
      <c r="V4554" s="7" t="str">
        <f aca="false">IF(COUNTIFS($B$2:$B$5001,B4554,$H$2:$H$5001,H4554,$J$2:$J$5001,J4554)&gt;1,"Possible Duplicate Booking","Unique")</f>
        <v>Unique</v>
      </c>
      <c r="W4554" s="7" t="str">
        <f aca="false">IF((H4554-G4554)&lt;&gt;K4554,"Mismatch","OK")</f>
        <v>OK</v>
      </c>
      <c r="X4554" s="7" t="str">
        <f aca="false">IF(TEXT(H4554,"dddd")&lt;&gt;I4554,"Mismatch","OK")</f>
        <v>OK</v>
      </c>
      <c r="Y4554" s="7" t="str">
        <f aca="false">IF(AND(N4554="No",O4554&lt;&gt;""),"Unexpected: channel present but no reminder sent",IF(AND(N4554="Yes",O4554=""),"Missing channel for sent reminder","OK"))</f>
        <v>OK</v>
      </c>
    </row>
    <row r="4555" customFormat="false" ht="15" hidden="false" customHeight="false" outlineLevel="0" collapsed="false">
      <c r="A4555" s="9" t="s">
        <v>6281</v>
      </c>
      <c r="B4555" s="9" t="s">
        <v>1053</v>
      </c>
      <c r="C4555" s="9" t="s">
        <v>37</v>
      </c>
      <c r="D4555" s="9" t="n">
        <v>42</v>
      </c>
      <c r="E4555" s="9" t="s">
        <v>38</v>
      </c>
      <c r="F4555" s="9" t="s">
        <v>39</v>
      </c>
      <c r="G4555" s="10" t="n">
        <v>45935</v>
      </c>
      <c r="H4555" s="10" t="n">
        <v>45961</v>
      </c>
      <c r="I4555" s="9" t="s">
        <v>50</v>
      </c>
      <c r="J4555" s="9" t="s">
        <v>51</v>
      </c>
      <c r="K4555" s="9" t="n">
        <v>26</v>
      </c>
      <c r="L4555" s="9" t="n">
        <v>6</v>
      </c>
      <c r="M4555" s="9" t="n">
        <v>4</v>
      </c>
      <c r="N4555" s="9" t="s">
        <v>71</v>
      </c>
      <c r="O4555" s="9"/>
      <c r="P4555" s="9" t="n">
        <v>31.4</v>
      </c>
      <c r="Q4555" s="9" t="n">
        <v>6</v>
      </c>
      <c r="R4555" s="9" t="s">
        <v>44</v>
      </c>
      <c r="S4555" s="9"/>
      <c r="T4555" s="9"/>
      <c r="U4555" s="9" t="str">
        <f aca="false">IF(COUNTIF($A$2:$A$5001,A4555)&gt;1,"Duplicate","Unique")</f>
        <v>Unique</v>
      </c>
      <c r="V4555" s="9" t="str">
        <f aca="false">IF(COUNTIFS($B$2:$B$5001,B4555,$H$2:$H$5001,H4555,$J$2:$J$5001,J4555)&gt;1,"Possible Duplicate Booking","Unique")</f>
        <v>Unique</v>
      </c>
      <c r="W4555" s="9" t="str">
        <f aca="false">IF((H4555-G4555)&lt;&gt;K4555,"Mismatch","OK")</f>
        <v>OK</v>
      </c>
      <c r="X4555" s="9" t="str">
        <f aca="false">IF(TEXT(H4555,"dddd")&lt;&gt;I4555,"Mismatch","OK")</f>
        <v>OK</v>
      </c>
      <c r="Y4555" s="9" t="str">
        <f aca="false">IF(AND(N4555="No",O4555&lt;&gt;""),"Unexpected: channel present but no reminder sent",IF(AND(N4555="Yes",O4555=""),"Missing channel for sent reminder","OK"))</f>
        <v>OK</v>
      </c>
    </row>
    <row r="4556" customFormat="false" ht="15" hidden="false" customHeight="false" outlineLevel="0" collapsed="false">
      <c r="A4556" s="7" t="s">
        <v>6282</v>
      </c>
      <c r="B4556" s="7" t="s">
        <v>5213</v>
      </c>
      <c r="C4556" s="7" t="s">
        <v>47</v>
      </c>
      <c r="D4556" s="7" t="n">
        <v>40</v>
      </c>
      <c r="E4556" s="7" t="s">
        <v>38</v>
      </c>
      <c r="F4556" s="7" t="s">
        <v>74</v>
      </c>
      <c r="G4556" s="8" t="n">
        <v>46017</v>
      </c>
      <c r="H4556" s="8" t="n">
        <v>46045</v>
      </c>
      <c r="I4556" s="7" t="s">
        <v>50</v>
      </c>
      <c r="J4556" s="7" t="s">
        <v>41</v>
      </c>
      <c r="K4556" s="7" t="n">
        <v>28</v>
      </c>
      <c r="L4556" s="7" t="n">
        <v>1</v>
      </c>
      <c r="M4556" s="7" t="n">
        <v>0</v>
      </c>
      <c r="N4556" s="7" t="s">
        <v>71</v>
      </c>
      <c r="O4556" s="7"/>
      <c r="P4556" s="7" t="n">
        <v>1.5</v>
      </c>
      <c r="Q4556" s="7" t="n">
        <v>31</v>
      </c>
      <c r="R4556" s="7" t="s">
        <v>53</v>
      </c>
      <c r="S4556" s="7"/>
      <c r="T4556" s="7"/>
      <c r="U4556" s="7" t="str">
        <f aca="false">IF(COUNTIF($A$2:$A$5001,A4556)&gt;1,"Duplicate","Unique")</f>
        <v>Unique</v>
      </c>
      <c r="V4556" s="7" t="str">
        <f aca="false">IF(COUNTIFS($B$2:$B$5001,B4556,$H$2:$H$5001,H4556,$J$2:$J$5001,J4556)&gt;1,"Possible Duplicate Booking","Unique")</f>
        <v>Unique</v>
      </c>
      <c r="W4556" s="7" t="str">
        <f aca="false">IF((H4556-G4556)&lt;&gt;K4556,"Mismatch","OK")</f>
        <v>OK</v>
      </c>
      <c r="X4556" s="7" t="str">
        <f aca="false">IF(TEXT(H4556,"dddd")&lt;&gt;I4556,"Mismatch","OK")</f>
        <v>OK</v>
      </c>
      <c r="Y4556" s="7" t="str">
        <f aca="false">IF(AND(N4556="No",O4556&lt;&gt;""),"Unexpected: channel present but no reminder sent",IF(AND(N4556="Yes",O4556=""),"Missing channel for sent reminder","OK"))</f>
        <v>OK</v>
      </c>
    </row>
    <row r="4557" customFormat="false" ht="15" hidden="false" customHeight="false" outlineLevel="0" collapsed="false">
      <c r="A4557" s="9" t="s">
        <v>6283</v>
      </c>
      <c r="B4557" s="9" t="s">
        <v>3652</v>
      </c>
      <c r="C4557" s="9" t="s">
        <v>37</v>
      </c>
      <c r="D4557" s="9" t="n">
        <v>59</v>
      </c>
      <c r="E4557" s="9" t="s">
        <v>61</v>
      </c>
      <c r="F4557" s="9" t="s">
        <v>39</v>
      </c>
      <c r="G4557" s="10" t="n">
        <v>45772</v>
      </c>
      <c r="H4557" s="10" t="n">
        <v>45776</v>
      </c>
      <c r="I4557" s="9" t="s">
        <v>40</v>
      </c>
      <c r="J4557" s="9" t="s">
        <v>51</v>
      </c>
      <c r="K4557" s="9" t="n">
        <v>4</v>
      </c>
      <c r="L4557" s="9" t="n">
        <v>2</v>
      </c>
      <c r="M4557" s="9" t="n">
        <v>1</v>
      </c>
      <c r="N4557" s="9" t="s">
        <v>42</v>
      </c>
      <c r="O4557" s="9" t="s">
        <v>43</v>
      </c>
      <c r="P4557" s="9" t="n">
        <v>7.2</v>
      </c>
      <c r="Q4557" s="9" t="n">
        <v>14</v>
      </c>
      <c r="R4557" s="9" t="s">
        <v>53</v>
      </c>
      <c r="S4557" s="9"/>
      <c r="T4557" s="9"/>
      <c r="U4557" s="9" t="str">
        <f aca="false">IF(COUNTIF($A$2:$A$5001,A4557)&gt;1,"Duplicate","Unique")</f>
        <v>Unique</v>
      </c>
      <c r="V4557" s="9" t="str">
        <f aca="false">IF(COUNTIFS($B$2:$B$5001,B4557,$H$2:$H$5001,H4557,$J$2:$J$5001,J4557)&gt;1,"Possible Duplicate Booking","Unique")</f>
        <v>Unique</v>
      </c>
      <c r="W4557" s="9" t="str">
        <f aca="false">IF((H4557-G4557)&lt;&gt;K4557,"Mismatch","OK")</f>
        <v>OK</v>
      </c>
      <c r="X4557" s="9" t="str">
        <f aca="false">IF(TEXT(H4557,"dddd")&lt;&gt;I4557,"Mismatch","OK")</f>
        <v>OK</v>
      </c>
      <c r="Y4557" s="9" t="str">
        <f aca="false">IF(AND(N4557="No",O4557&lt;&gt;""),"Unexpected: channel present but no reminder sent",IF(AND(N4557="Yes",O4557=""),"Missing channel for sent reminder","OK"))</f>
        <v>OK</v>
      </c>
    </row>
    <row r="4558" customFormat="false" ht="15" hidden="false" customHeight="false" outlineLevel="0" collapsed="false">
      <c r="A4558" s="7" t="s">
        <v>6284</v>
      </c>
      <c r="B4558" s="7" t="s">
        <v>5069</v>
      </c>
      <c r="C4558" s="7" t="s">
        <v>47</v>
      </c>
      <c r="D4558" s="7" t="n">
        <v>51</v>
      </c>
      <c r="E4558" s="7" t="s">
        <v>56</v>
      </c>
      <c r="F4558" s="7" t="s">
        <v>57</v>
      </c>
      <c r="G4558" s="8" t="n">
        <v>45698</v>
      </c>
      <c r="H4558" s="8" t="n">
        <v>45743</v>
      </c>
      <c r="I4558" s="7" t="s">
        <v>62</v>
      </c>
      <c r="J4558" s="7" t="s">
        <v>41</v>
      </c>
      <c r="K4558" s="7" t="n">
        <v>45</v>
      </c>
      <c r="L4558" s="7" t="n">
        <v>0</v>
      </c>
      <c r="M4558" s="7" t="n">
        <v>0</v>
      </c>
      <c r="N4558" s="7" t="s">
        <v>42</v>
      </c>
      <c r="O4558" s="7" t="s">
        <v>43</v>
      </c>
      <c r="P4558" s="7" t="n">
        <v>2.9</v>
      </c>
      <c r="Q4558" s="7" t="n">
        <v>26</v>
      </c>
      <c r="R4558" s="7" t="s">
        <v>44</v>
      </c>
      <c r="S4558" s="7"/>
      <c r="T4558" s="7"/>
      <c r="U4558" s="7" t="str">
        <f aca="false">IF(COUNTIF($A$2:$A$5001,A4558)&gt;1,"Duplicate","Unique")</f>
        <v>Unique</v>
      </c>
      <c r="V4558" s="7" t="str">
        <f aca="false">IF(COUNTIFS($B$2:$B$5001,B4558,$H$2:$H$5001,H4558,$J$2:$J$5001,J4558)&gt;1,"Possible Duplicate Booking","Unique")</f>
        <v>Unique</v>
      </c>
      <c r="W4558" s="7" t="str">
        <f aca="false">IF((H4558-G4558)&lt;&gt;K4558,"Mismatch","OK")</f>
        <v>OK</v>
      </c>
      <c r="X4558" s="7" t="str">
        <f aca="false">IF(TEXT(H4558,"dddd")&lt;&gt;I4558,"Mismatch","OK")</f>
        <v>OK</v>
      </c>
      <c r="Y4558" s="7" t="str">
        <f aca="false">IF(AND(N4558="No",O4558&lt;&gt;""),"Unexpected: channel present but no reminder sent",IF(AND(N4558="Yes",O4558=""),"Missing channel for sent reminder","OK"))</f>
        <v>OK</v>
      </c>
    </row>
    <row r="4559" customFormat="false" ht="15" hidden="false" customHeight="false" outlineLevel="0" collapsed="false">
      <c r="A4559" s="9" t="s">
        <v>6285</v>
      </c>
      <c r="B4559" s="9" t="s">
        <v>1620</v>
      </c>
      <c r="C4559" s="9" t="s">
        <v>47</v>
      </c>
      <c r="D4559" s="9" t="n">
        <v>56</v>
      </c>
      <c r="E4559" s="9" t="s">
        <v>61</v>
      </c>
      <c r="F4559" s="9" t="s">
        <v>74</v>
      </c>
      <c r="G4559" s="10" t="n">
        <v>46111</v>
      </c>
      <c r="H4559" s="10" t="n">
        <v>46127</v>
      </c>
      <c r="I4559" s="9" t="s">
        <v>58</v>
      </c>
      <c r="J4559" s="9" t="s">
        <v>63</v>
      </c>
      <c r="K4559" s="9" t="n">
        <v>16</v>
      </c>
      <c r="L4559" s="9" t="n">
        <v>0</v>
      </c>
      <c r="M4559" s="9" t="n">
        <v>0</v>
      </c>
      <c r="N4559" s="9" t="s">
        <v>42</v>
      </c>
      <c r="O4559" s="9" t="s">
        <v>43</v>
      </c>
      <c r="P4559" s="9" t="n">
        <v>10.4</v>
      </c>
      <c r="Q4559" s="9" t="n">
        <v>4</v>
      </c>
      <c r="R4559" s="9" t="s">
        <v>44</v>
      </c>
      <c r="S4559" s="9"/>
      <c r="T4559" s="9"/>
      <c r="U4559" s="9" t="str">
        <f aca="false">IF(COUNTIF($A$2:$A$5001,A4559)&gt;1,"Duplicate","Unique")</f>
        <v>Unique</v>
      </c>
      <c r="V4559" s="9" t="str">
        <f aca="false">IF(COUNTIFS($B$2:$B$5001,B4559,$H$2:$H$5001,H4559,$J$2:$J$5001,J4559)&gt;1,"Possible Duplicate Booking","Unique")</f>
        <v>Unique</v>
      </c>
      <c r="W4559" s="9" t="str">
        <f aca="false">IF((H4559-G4559)&lt;&gt;K4559,"Mismatch","OK")</f>
        <v>OK</v>
      </c>
      <c r="X4559" s="9" t="str">
        <f aca="false">IF(TEXT(H4559,"dddd")&lt;&gt;I4559,"Mismatch","OK")</f>
        <v>OK</v>
      </c>
      <c r="Y4559" s="9" t="str">
        <f aca="false">IF(AND(N4559="No",O4559&lt;&gt;""),"Unexpected: channel present but no reminder sent",IF(AND(N4559="Yes",O4559=""),"Missing channel for sent reminder","OK"))</f>
        <v>OK</v>
      </c>
    </row>
    <row r="4560" customFormat="false" ht="15" hidden="false" customHeight="false" outlineLevel="0" collapsed="false">
      <c r="A4560" s="7" t="s">
        <v>6286</v>
      </c>
      <c r="B4560" s="7" t="s">
        <v>2049</v>
      </c>
      <c r="C4560" s="7" t="s">
        <v>47</v>
      </c>
      <c r="D4560" s="7" t="n">
        <v>48</v>
      </c>
      <c r="E4560" s="7" t="s">
        <v>56</v>
      </c>
      <c r="F4560" s="7" t="s">
        <v>57</v>
      </c>
      <c r="G4560" s="8" t="n">
        <v>46020</v>
      </c>
      <c r="H4560" s="8" t="n">
        <v>46067</v>
      </c>
      <c r="I4560" s="7" t="s">
        <v>102</v>
      </c>
      <c r="J4560" s="7" t="s">
        <v>51</v>
      </c>
      <c r="K4560" s="7" t="n">
        <v>47</v>
      </c>
      <c r="L4560" s="7" t="n">
        <v>5</v>
      </c>
      <c r="M4560" s="7" t="n">
        <v>0</v>
      </c>
      <c r="N4560" s="7" t="s">
        <v>42</v>
      </c>
      <c r="O4560" s="7" t="s">
        <v>52</v>
      </c>
      <c r="P4560" s="7" t="n">
        <v>5.7</v>
      </c>
      <c r="Q4560" s="7" t="n">
        <v>37</v>
      </c>
      <c r="R4560" s="7" t="s">
        <v>44</v>
      </c>
      <c r="S4560" s="7"/>
      <c r="T4560" s="7"/>
      <c r="U4560" s="7" t="str">
        <f aca="false">IF(COUNTIF($A$2:$A$5001,A4560)&gt;1,"Duplicate","Unique")</f>
        <v>Unique</v>
      </c>
      <c r="V4560" s="7" t="str">
        <f aca="false">IF(COUNTIFS($B$2:$B$5001,B4560,$H$2:$H$5001,H4560,$J$2:$J$5001,J4560)&gt;1,"Possible Duplicate Booking","Unique")</f>
        <v>Unique</v>
      </c>
      <c r="W4560" s="7" t="str">
        <f aca="false">IF((H4560-G4560)&lt;&gt;K4560,"Mismatch","OK")</f>
        <v>OK</v>
      </c>
      <c r="X4560" s="7" t="str">
        <f aca="false">IF(TEXT(H4560,"dddd")&lt;&gt;I4560,"Mismatch","OK")</f>
        <v>OK</v>
      </c>
      <c r="Y4560" s="7" t="str">
        <f aca="false">IF(AND(N4560="No",O4560&lt;&gt;""),"Unexpected: channel present but no reminder sent",IF(AND(N4560="Yes",O4560=""),"Missing channel for sent reminder","OK"))</f>
        <v>OK</v>
      </c>
    </row>
    <row r="4561" customFormat="false" ht="15" hidden="false" customHeight="false" outlineLevel="0" collapsed="false">
      <c r="A4561" s="9" t="s">
        <v>6287</v>
      </c>
      <c r="B4561" s="9" t="s">
        <v>2954</v>
      </c>
      <c r="C4561" s="9" t="s">
        <v>47</v>
      </c>
      <c r="D4561" s="9" t="n">
        <v>64</v>
      </c>
      <c r="E4561" s="9" t="s">
        <v>61</v>
      </c>
      <c r="F4561" s="9" t="s">
        <v>39</v>
      </c>
      <c r="G4561" s="10" t="n">
        <v>45973</v>
      </c>
      <c r="H4561" s="10" t="n">
        <v>46012</v>
      </c>
      <c r="I4561" s="9" t="s">
        <v>75</v>
      </c>
      <c r="J4561" s="9" t="s">
        <v>51</v>
      </c>
      <c r="K4561" s="9" t="n">
        <v>39</v>
      </c>
      <c r="L4561" s="9" t="n">
        <v>4</v>
      </c>
      <c r="M4561" s="9" t="n">
        <v>1</v>
      </c>
      <c r="N4561" s="9" t="s">
        <v>42</v>
      </c>
      <c r="O4561" s="9" t="s">
        <v>52</v>
      </c>
      <c r="P4561" s="9" t="n">
        <v>6.5</v>
      </c>
      <c r="Q4561" s="9" t="n">
        <v>23</v>
      </c>
      <c r="R4561" s="9" t="s">
        <v>53</v>
      </c>
      <c r="S4561" s="9"/>
      <c r="T4561" s="9"/>
      <c r="U4561" s="9" t="str">
        <f aca="false">IF(COUNTIF($A$2:$A$5001,A4561)&gt;1,"Duplicate","Unique")</f>
        <v>Unique</v>
      </c>
      <c r="V4561" s="9" t="str">
        <f aca="false">IF(COUNTIFS($B$2:$B$5001,B4561,$H$2:$H$5001,H4561,$J$2:$J$5001,J4561)&gt;1,"Possible Duplicate Booking","Unique")</f>
        <v>Unique</v>
      </c>
      <c r="W4561" s="9" t="str">
        <f aca="false">IF((H4561-G4561)&lt;&gt;K4561,"Mismatch","OK")</f>
        <v>OK</v>
      </c>
      <c r="X4561" s="9" t="str">
        <f aca="false">IF(TEXT(H4561,"dddd")&lt;&gt;I4561,"Mismatch","OK")</f>
        <v>OK</v>
      </c>
      <c r="Y4561" s="9" t="str">
        <f aca="false">IF(AND(N4561="No",O4561&lt;&gt;""),"Unexpected: channel present but no reminder sent",IF(AND(N4561="Yes",O4561=""),"Missing channel for sent reminder","OK"))</f>
        <v>OK</v>
      </c>
    </row>
    <row r="4562" customFormat="false" ht="15" hidden="false" customHeight="false" outlineLevel="0" collapsed="false">
      <c r="A4562" s="7" t="s">
        <v>6288</v>
      </c>
      <c r="B4562" s="7" t="s">
        <v>449</v>
      </c>
      <c r="C4562" s="7" t="s">
        <v>37</v>
      </c>
      <c r="D4562" s="7" t="n">
        <v>28</v>
      </c>
      <c r="E4562" s="7" t="s">
        <v>48</v>
      </c>
      <c r="F4562" s="7" t="s">
        <v>57</v>
      </c>
      <c r="G4562" s="8" t="n">
        <v>45891</v>
      </c>
      <c r="H4562" s="8" t="n">
        <v>45924</v>
      </c>
      <c r="I4562" s="7" t="s">
        <v>58</v>
      </c>
      <c r="J4562" s="7" t="s">
        <v>63</v>
      </c>
      <c r="K4562" s="7" t="n">
        <v>33</v>
      </c>
      <c r="L4562" s="7" t="n">
        <v>5</v>
      </c>
      <c r="M4562" s="7" t="n">
        <v>1</v>
      </c>
      <c r="N4562" s="7" t="s">
        <v>42</v>
      </c>
      <c r="O4562" s="7" t="s">
        <v>43</v>
      </c>
      <c r="P4562" s="7" t="n">
        <v>0.8</v>
      </c>
      <c r="Q4562" s="7" t="n">
        <v>6</v>
      </c>
      <c r="R4562" s="7" t="s">
        <v>53</v>
      </c>
      <c r="S4562" s="7"/>
      <c r="T4562" s="7"/>
      <c r="U4562" s="7" t="str">
        <f aca="false">IF(COUNTIF($A$2:$A$5001,A4562)&gt;1,"Duplicate","Unique")</f>
        <v>Unique</v>
      </c>
      <c r="V4562" s="7" t="str">
        <f aca="false">IF(COUNTIFS($B$2:$B$5001,B4562,$H$2:$H$5001,H4562,$J$2:$J$5001,J4562)&gt;1,"Possible Duplicate Booking","Unique")</f>
        <v>Unique</v>
      </c>
      <c r="W4562" s="7" t="str">
        <f aca="false">IF((H4562-G4562)&lt;&gt;K4562,"Mismatch","OK")</f>
        <v>OK</v>
      </c>
      <c r="X4562" s="7" t="str">
        <f aca="false">IF(TEXT(H4562,"dddd")&lt;&gt;I4562,"Mismatch","OK")</f>
        <v>OK</v>
      </c>
      <c r="Y4562" s="7" t="str">
        <f aca="false">IF(AND(N4562="No",O4562&lt;&gt;""),"Unexpected: channel present but no reminder sent",IF(AND(N4562="Yes",O4562=""),"Missing channel for sent reminder","OK"))</f>
        <v>OK</v>
      </c>
    </row>
    <row r="4563" customFormat="false" ht="15" hidden="false" customHeight="false" outlineLevel="0" collapsed="false">
      <c r="A4563" s="9" t="s">
        <v>6289</v>
      </c>
      <c r="B4563" s="9" t="s">
        <v>5368</v>
      </c>
      <c r="C4563" s="9" t="s">
        <v>37</v>
      </c>
      <c r="D4563" s="9" t="n">
        <v>63</v>
      </c>
      <c r="E4563" s="9" t="s">
        <v>61</v>
      </c>
      <c r="F4563" s="9" t="s">
        <v>49</v>
      </c>
      <c r="G4563" s="10" t="n">
        <v>45869</v>
      </c>
      <c r="H4563" s="10" t="n">
        <v>45887</v>
      </c>
      <c r="I4563" s="9" t="s">
        <v>66</v>
      </c>
      <c r="J4563" s="9" t="s">
        <v>51</v>
      </c>
      <c r="K4563" s="9" t="n">
        <v>18</v>
      </c>
      <c r="L4563" s="9" t="n">
        <v>5</v>
      </c>
      <c r="M4563" s="9" t="n">
        <v>3</v>
      </c>
      <c r="N4563" s="9" t="s">
        <v>71</v>
      </c>
      <c r="O4563" s="9"/>
      <c r="P4563" s="9" t="n">
        <v>13.5</v>
      </c>
      <c r="Q4563" s="9" t="n">
        <v>17</v>
      </c>
      <c r="R4563" s="9" t="s">
        <v>44</v>
      </c>
      <c r="S4563" s="9"/>
      <c r="T4563" s="9"/>
      <c r="U4563" s="9" t="str">
        <f aca="false">IF(COUNTIF($A$2:$A$5001,A4563)&gt;1,"Duplicate","Unique")</f>
        <v>Unique</v>
      </c>
      <c r="V4563" s="9" t="str">
        <f aca="false">IF(COUNTIFS($B$2:$B$5001,B4563,$H$2:$H$5001,H4563,$J$2:$J$5001,J4563)&gt;1,"Possible Duplicate Booking","Unique")</f>
        <v>Unique</v>
      </c>
      <c r="W4563" s="9" t="str">
        <f aca="false">IF((H4563-G4563)&lt;&gt;K4563,"Mismatch","OK")</f>
        <v>OK</v>
      </c>
      <c r="X4563" s="9" t="str">
        <f aca="false">IF(TEXT(H4563,"dddd")&lt;&gt;I4563,"Mismatch","OK")</f>
        <v>OK</v>
      </c>
      <c r="Y4563" s="9" t="str">
        <f aca="false">IF(AND(N4563="No",O4563&lt;&gt;""),"Unexpected: channel present but no reminder sent",IF(AND(N4563="Yes",O4563=""),"Missing channel for sent reminder","OK"))</f>
        <v>OK</v>
      </c>
    </row>
    <row r="4564" customFormat="false" ht="15" hidden="false" customHeight="false" outlineLevel="0" collapsed="false">
      <c r="A4564" s="7" t="s">
        <v>6290</v>
      </c>
      <c r="B4564" s="7" t="s">
        <v>4356</v>
      </c>
      <c r="C4564" s="7" t="s">
        <v>37</v>
      </c>
      <c r="D4564" s="7" t="n">
        <v>21</v>
      </c>
      <c r="E4564" s="7" t="s">
        <v>82</v>
      </c>
      <c r="F4564" s="7" t="s">
        <v>49</v>
      </c>
      <c r="G4564" s="8" t="n">
        <v>45630</v>
      </c>
      <c r="H4564" s="8" t="n">
        <v>45669</v>
      </c>
      <c r="I4564" s="7" t="s">
        <v>75</v>
      </c>
      <c r="J4564" s="7" t="s">
        <v>41</v>
      </c>
      <c r="K4564" s="7" t="n">
        <v>39</v>
      </c>
      <c r="L4564" s="7" t="n">
        <v>4</v>
      </c>
      <c r="M4564" s="7" t="n">
        <v>1</v>
      </c>
      <c r="N4564" s="7" t="s">
        <v>42</v>
      </c>
      <c r="O4564" s="7" t="s">
        <v>52</v>
      </c>
      <c r="P4564" s="7" t="n">
        <v>28.6</v>
      </c>
      <c r="Q4564" s="7" t="n">
        <v>26</v>
      </c>
      <c r="R4564" s="7" t="s">
        <v>44</v>
      </c>
      <c r="S4564" s="7"/>
      <c r="T4564" s="7"/>
      <c r="U4564" s="7" t="str">
        <f aca="false">IF(COUNTIF($A$2:$A$5001,A4564)&gt;1,"Duplicate","Unique")</f>
        <v>Unique</v>
      </c>
      <c r="V4564" s="7" t="str">
        <f aca="false">IF(COUNTIFS($B$2:$B$5001,B4564,$H$2:$H$5001,H4564,$J$2:$J$5001,J4564)&gt;1,"Possible Duplicate Booking","Unique")</f>
        <v>Unique</v>
      </c>
      <c r="W4564" s="7" t="str">
        <f aca="false">IF((H4564-G4564)&lt;&gt;K4564,"Mismatch","OK")</f>
        <v>OK</v>
      </c>
      <c r="X4564" s="7" t="str">
        <f aca="false">IF(TEXT(H4564,"dddd")&lt;&gt;I4564,"Mismatch","OK")</f>
        <v>OK</v>
      </c>
      <c r="Y4564" s="7" t="str">
        <f aca="false">IF(AND(N4564="No",O4564&lt;&gt;""),"Unexpected: channel present but no reminder sent",IF(AND(N4564="Yes",O4564=""),"Missing channel for sent reminder","OK"))</f>
        <v>OK</v>
      </c>
    </row>
    <row r="4565" customFormat="false" ht="15" hidden="false" customHeight="false" outlineLevel="0" collapsed="false">
      <c r="A4565" s="9" t="s">
        <v>6291</v>
      </c>
      <c r="B4565" s="9" t="s">
        <v>1318</v>
      </c>
      <c r="C4565" s="9" t="s">
        <v>37</v>
      </c>
      <c r="D4565" s="9" t="n">
        <v>23</v>
      </c>
      <c r="E4565" s="9" t="s">
        <v>82</v>
      </c>
      <c r="F4565" s="9" t="s">
        <v>49</v>
      </c>
      <c r="G4565" s="10" t="n">
        <v>45700</v>
      </c>
      <c r="H4565" s="10" t="n">
        <v>45760</v>
      </c>
      <c r="I4565" s="9" t="s">
        <v>75</v>
      </c>
      <c r="J4565" s="9" t="s">
        <v>41</v>
      </c>
      <c r="K4565" s="9" t="n">
        <v>60</v>
      </c>
      <c r="L4565" s="9" t="n">
        <v>3</v>
      </c>
      <c r="M4565" s="9" t="n">
        <v>2</v>
      </c>
      <c r="N4565" s="9" t="s">
        <v>71</v>
      </c>
      <c r="O4565" s="9"/>
      <c r="P4565" s="9" t="n">
        <v>8.1</v>
      </c>
      <c r="Q4565" s="9" t="n">
        <v>14</v>
      </c>
      <c r="R4565" s="9" t="s">
        <v>44</v>
      </c>
      <c r="S4565" s="9"/>
      <c r="T4565" s="9"/>
      <c r="U4565" s="9" t="str">
        <f aca="false">IF(COUNTIF($A$2:$A$5001,A4565)&gt;1,"Duplicate","Unique")</f>
        <v>Unique</v>
      </c>
      <c r="V4565" s="9" t="str">
        <f aca="false">IF(COUNTIFS($B$2:$B$5001,B4565,$H$2:$H$5001,H4565,$J$2:$J$5001,J4565)&gt;1,"Possible Duplicate Booking","Unique")</f>
        <v>Unique</v>
      </c>
      <c r="W4565" s="9" t="str">
        <f aca="false">IF((H4565-G4565)&lt;&gt;K4565,"Mismatch","OK")</f>
        <v>OK</v>
      </c>
      <c r="X4565" s="9" t="str">
        <f aca="false">IF(TEXT(H4565,"dddd")&lt;&gt;I4565,"Mismatch","OK")</f>
        <v>OK</v>
      </c>
      <c r="Y4565" s="9" t="str">
        <f aca="false">IF(AND(N4565="No",O4565&lt;&gt;""),"Unexpected: channel present but no reminder sent",IF(AND(N4565="Yes",O4565=""),"Missing channel for sent reminder","OK"))</f>
        <v>OK</v>
      </c>
    </row>
    <row r="4566" customFormat="false" ht="15" hidden="false" customHeight="false" outlineLevel="0" collapsed="false">
      <c r="A4566" s="7" t="s">
        <v>6292</v>
      </c>
      <c r="B4566" s="7" t="s">
        <v>1841</v>
      </c>
      <c r="C4566" s="7" t="s">
        <v>47</v>
      </c>
      <c r="D4566" s="7" t="n">
        <v>63</v>
      </c>
      <c r="E4566" s="7" t="s">
        <v>61</v>
      </c>
      <c r="F4566" s="7" t="s">
        <v>57</v>
      </c>
      <c r="G4566" s="8" t="n">
        <v>46091</v>
      </c>
      <c r="H4566" s="8" t="n">
        <v>46147</v>
      </c>
      <c r="I4566" s="7" t="s">
        <v>40</v>
      </c>
      <c r="J4566" s="7" t="s">
        <v>63</v>
      </c>
      <c r="K4566" s="7" t="n">
        <v>56</v>
      </c>
      <c r="L4566" s="7" t="n">
        <v>2</v>
      </c>
      <c r="M4566" s="7" t="n">
        <v>0</v>
      </c>
      <c r="N4566" s="7" t="s">
        <v>71</v>
      </c>
      <c r="O4566" s="7"/>
      <c r="P4566" s="7" t="n">
        <v>9</v>
      </c>
      <c r="Q4566" s="7" t="n">
        <v>27</v>
      </c>
      <c r="R4566" s="7" t="s">
        <v>53</v>
      </c>
      <c r="S4566" s="7"/>
      <c r="T4566" s="7"/>
      <c r="U4566" s="7" t="str">
        <f aca="false">IF(COUNTIF($A$2:$A$5001,A4566)&gt;1,"Duplicate","Unique")</f>
        <v>Unique</v>
      </c>
      <c r="V4566" s="7" t="str">
        <f aca="false">IF(COUNTIFS($B$2:$B$5001,B4566,$H$2:$H$5001,H4566,$J$2:$J$5001,J4566)&gt;1,"Possible Duplicate Booking","Unique")</f>
        <v>Unique</v>
      </c>
      <c r="W4566" s="7" t="str">
        <f aca="false">IF((H4566-G4566)&lt;&gt;K4566,"Mismatch","OK")</f>
        <v>OK</v>
      </c>
      <c r="X4566" s="7" t="str">
        <f aca="false">IF(TEXT(H4566,"dddd")&lt;&gt;I4566,"Mismatch","OK")</f>
        <v>OK</v>
      </c>
      <c r="Y4566" s="7" t="str">
        <f aca="false">IF(AND(N4566="No",O4566&lt;&gt;""),"Unexpected: channel present but no reminder sent",IF(AND(N4566="Yes",O4566=""),"Missing channel for sent reminder","OK"))</f>
        <v>OK</v>
      </c>
    </row>
    <row r="4567" customFormat="false" ht="15" hidden="false" customHeight="false" outlineLevel="0" collapsed="false">
      <c r="A4567" s="9" t="s">
        <v>6293</v>
      </c>
      <c r="B4567" s="9" t="s">
        <v>101</v>
      </c>
      <c r="C4567" s="9" t="s">
        <v>37</v>
      </c>
      <c r="D4567" s="9" t="n">
        <v>27</v>
      </c>
      <c r="E4567" s="9" t="s">
        <v>48</v>
      </c>
      <c r="F4567" s="9" t="s">
        <v>39</v>
      </c>
      <c r="G4567" s="10" t="n">
        <v>45788</v>
      </c>
      <c r="H4567" s="10" t="n">
        <v>45843</v>
      </c>
      <c r="I4567" s="9" t="s">
        <v>102</v>
      </c>
      <c r="J4567" s="9" t="s">
        <v>51</v>
      </c>
      <c r="K4567" s="9" t="n">
        <v>55</v>
      </c>
      <c r="L4567" s="9" t="n">
        <v>3</v>
      </c>
      <c r="M4567" s="9" t="n">
        <v>0</v>
      </c>
      <c r="N4567" s="9" t="s">
        <v>71</v>
      </c>
      <c r="O4567" s="9"/>
      <c r="P4567" s="9" t="n">
        <v>14.6</v>
      </c>
      <c r="Q4567" s="9" t="n">
        <v>38</v>
      </c>
      <c r="R4567" s="9" t="s">
        <v>44</v>
      </c>
      <c r="S4567" s="9"/>
      <c r="T4567" s="9"/>
      <c r="U4567" s="9" t="str">
        <f aca="false">IF(COUNTIF($A$2:$A$5001,A4567)&gt;1,"Duplicate","Unique")</f>
        <v>Unique</v>
      </c>
      <c r="V4567" s="9" t="str">
        <f aca="false">IF(COUNTIFS($B$2:$B$5001,B4567,$H$2:$H$5001,H4567,$J$2:$J$5001,J4567)&gt;1,"Possible Duplicate Booking","Unique")</f>
        <v>Unique</v>
      </c>
      <c r="W4567" s="9" t="str">
        <f aca="false">IF((H4567-G4567)&lt;&gt;K4567,"Mismatch","OK")</f>
        <v>OK</v>
      </c>
      <c r="X4567" s="9" t="str">
        <f aca="false">IF(TEXT(H4567,"dddd")&lt;&gt;I4567,"Mismatch","OK")</f>
        <v>OK</v>
      </c>
      <c r="Y4567" s="9" t="str">
        <f aca="false">IF(AND(N4567="No",O4567&lt;&gt;""),"Unexpected: channel present but no reminder sent",IF(AND(N4567="Yes",O4567=""),"Missing channel for sent reminder","OK"))</f>
        <v>OK</v>
      </c>
    </row>
    <row r="4568" customFormat="false" ht="15" hidden="false" customHeight="false" outlineLevel="0" collapsed="false">
      <c r="A4568" s="7" t="s">
        <v>6294</v>
      </c>
      <c r="B4568" s="7" t="s">
        <v>506</v>
      </c>
      <c r="C4568" s="7" t="s">
        <v>47</v>
      </c>
      <c r="D4568" s="7" t="n">
        <v>66</v>
      </c>
      <c r="E4568" s="7" t="s">
        <v>70</v>
      </c>
      <c r="F4568" s="7" t="s">
        <v>57</v>
      </c>
      <c r="G4568" s="8" t="n">
        <v>46029</v>
      </c>
      <c r="H4568" s="8" t="n">
        <v>46042</v>
      </c>
      <c r="I4568" s="7" t="s">
        <v>40</v>
      </c>
      <c r="J4568" s="7" t="s">
        <v>51</v>
      </c>
      <c r="K4568" s="7" t="n">
        <v>13</v>
      </c>
      <c r="L4568" s="7" t="n">
        <v>3</v>
      </c>
      <c r="M4568" s="7" t="n">
        <v>2</v>
      </c>
      <c r="N4568" s="7" t="s">
        <v>42</v>
      </c>
      <c r="O4568" s="7" t="s">
        <v>52</v>
      </c>
      <c r="P4568" s="7" t="n">
        <v>8.6</v>
      </c>
      <c r="Q4568" s="7" t="n">
        <v>34</v>
      </c>
      <c r="R4568" s="7" t="s">
        <v>44</v>
      </c>
      <c r="S4568" s="7"/>
      <c r="T4568" s="7"/>
      <c r="U4568" s="7" t="str">
        <f aca="false">IF(COUNTIF($A$2:$A$5001,A4568)&gt;1,"Duplicate","Unique")</f>
        <v>Unique</v>
      </c>
      <c r="V4568" s="7" t="str">
        <f aca="false">IF(COUNTIFS($B$2:$B$5001,B4568,$H$2:$H$5001,H4568,$J$2:$J$5001,J4568)&gt;1,"Possible Duplicate Booking","Unique")</f>
        <v>Possible Duplicate Booking</v>
      </c>
      <c r="W4568" s="7" t="str">
        <f aca="false">IF((H4568-G4568)&lt;&gt;K4568,"Mismatch","OK")</f>
        <v>OK</v>
      </c>
      <c r="X4568" s="7" t="str">
        <f aca="false">IF(TEXT(H4568,"dddd")&lt;&gt;I4568,"Mismatch","OK")</f>
        <v>OK</v>
      </c>
      <c r="Y4568" s="7" t="str">
        <f aca="false">IF(AND(N4568="No",O4568&lt;&gt;""),"Unexpected: channel present but no reminder sent",IF(AND(N4568="Yes",O4568=""),"Missing channel for sent reminder","OK"))</f>
        <v>OK</v>
      </c>
    </row>
    <row r="4569" customFormat="false" ht="15" hidden="false" customHeight="false" outlineLevel="0" collapsed="false">
      <c r="A4569" s="9" t="s">
        <v>6295</v>
      </c>
      <c r="B4569" s="9" t="s">
        <v>695</v>
      </c>
      <c r="C4569" s="9" t="s">
        <v>47</v>
      </c>
      <c r="D4569" s="9" t="n">
        <v>26</v>
      </c>
      <c r="E4569" s="9" t="s">
        <v>48</v>
      </c>
      <c r="F4569" s="9" t="s">
        <v>74</v>
      </c>
      <c r="G4569" s="10" t="n">
        <v>46007</v>
      </c>
      <c r="H4569" s="10" t="n">
        <v>46042</v>
      </c>
      <c r="I4569" s="9" t="s">
        <v>40</v>
      </c>
      <c r="J4569" s="9" t="s">
        <v>51</v>
      </c>
      <c r="K4569" s="9" t="n">
        <v>35</v>
      </c>
      <c r="L4569" s="9" t="n">
        <v>2</v>
      </c>
      <c r="M4569" s="9" t="n">
        <v>1</v>
      </c>
      <c r="N4569" s="9" t="s">
        <v>42</v>
      </c>
      <c r="O4569" s="9" t="s">
        <v>52</v>
      </c>
      <c r="P4569" s="9" t="n">
        <v>8.5</v>
      </c>
      <c r="Q4569" s="9" t="n">
        <v>23</v>
      </c>
      <c r="R4569" s="9" t="s">
        <v>44</v>
      </c>
      <c r="S4569" s="9"/>
      <c r="T4569" s="9"/>
      <c r="U4569" s="9" t="str">
        <f aca="false">IF(COUNTIF($A$2:$A$5001,A4569)&gt;1,"Duplicate","Unique")</f>
        <v>Unique</v>
      </c>
      <c r="V4569" s="9" t="str">
        <f aca="false">IF(COUNTIFS($B$2:$B$5001,B4569,$H$2:$H$5001,H4569,$J$2:$J$5001,J4569)&gt;1,"Possible Duplicate Booking","Unique")</f>
        <v>Unique</v>
      </c>
      <c r="W4569" s="9" t="str">
        <f aca="false">IF((H4569-G4569)&lt;&gt;K4569,"Mismatch","OK")</f>
        <v>OK</v>
      </c>
      <c r="X4569" s="9" t="str">
        <f aca="false">IF(TEXT(H4569,"dddd")&lt;&gt;I4569,"Mismatch","OK")</f>
        <v>OK</v>
      </c>
      <c r="Y4569" s="9" t="str">
        <f aca="false">IF(AND(N4569="No",O4569&lt;&gt;""),"Unexpected: channel present but no reminder sent",IF(AND(N4569="Yes",O4569=""),"Missing channel for sent reminder","OK"))</f>
        <v>OK</v>
      </c>
    </row>
    <row r="4570" customFormat="false" ht="15" hidden="false" customHeight="false" outlineLevel="0" collapsed="false">
      <c r="A4570" s="7" t="s">
        <v>6296</v>
      </c>
      <c r="B4570" s="7" t="s">
        <v>1943</v>
      </c>
      <c r="C4570" s="7" t="s">
        <v>37</v>
      </c>
      <c r="D4570" s="7" t="n">
        <v>27</v>
      </c>
      <c r="E4570" s="7" t="s">
        <v>48</v>
      </c>
      <c r="F4570" s="7" t="s">
        <v>57</v>
      </c>
      <c r="G4570" s="8" t="n">
        <v>45802</v>
      </c>
      <c r="H4570" s="8" t="n">
        <v>45826</v>
      </c>
      <c r="I4570" s="7" t="s">
        <v>58</v>
      </c>
      <c r="J4570" s="7" t="s">
        <v>51</v>
      </c>
      <c r="K4570" s="7" t="n">
        <v>24</v>
      </c>
      <c r="L4570" s="7" t="n">
        <v>0</v>
      </c>
      <c r="M4570" s="7" t="n">
        <v>0</v>
      </c>
      <c r="N4570" s="7" t="s">
        <v>42</v>
      </c>
      <c r="O4570" s="7" t="s">
        <v>52</v>
      </c>
      <c r="P4570" s="7" t="n">
        <v>13.4</v>
      </c>
      <c r="Q4570" s="7" t="n">
        <v>39</v>
      </c>
      <c r="R4570" s="7" t="s">
        <v>44</v>
      </c>
      <c r="S4570" s="7"/>
      <c r="T4570" s="7"/>
      <c r="U4570" s="7" t="str">
        <f aca="false">IF(COUNTIF($A$2:$A$5001,A4570)&gt;1,"Duplicate","Unique")</f>
        <v>Unique</v>
      </c>
      <c r="V4570" s="7" t="str">
        <f aca="false">IF(COUNTIFS($B$2:$B$5001,B4570,$H$2:$H$5001,H4570,$J$2:$J$5001,J4570)&gt;1,"Possible Duplicate Booking","Unique")</f>
        <v>Unique</v>
      </c>
      <c r="W4570" s="7" t="str">
        <f aca="false">IF((H4570-G4570)&lt;&gt;K4570,"Mismatch","OK")</f>
        <v>OK</v>
      </c>
      <c r="X4570" s="7" t="str">
        <f aca="false">IF(TEXT(H4570,"dddd")&lt;&gt;I4570,"Mismatch","OK")</f>
        <v>OK</v>
      </c>
      <c r="Y4570" s="7" t="str">
        <f aca="false">IF(AND(N4570="No",O4570&lt;&gt;""),"Unexpected: channel present but no reminder sent",IF(AND(N4570="Yes",O4570=""),"Missing channel for sent reminder","OK"))</f>
        <v>OK</v>
      </c>
    </row>
    <row r="4571" customFormat="false" ht="15" hidden="false" customHeight="false" outlineLevel="0" collapsed="false">
      <c r="A4571" s="9" t="s">
        <v>6297</v>
      </c>
      <c r="B4571" s="9" t="s">
        <v>4466</v>
      </c>
      <c r="C4571" s="9" t="s">
        <v>37</v>
      </c>
      <c r="D4571" s="9" t="n">
        <v>76</v>
      </c>
      <c r="E4571" s="9" t="s">
        <v>70</v>
      </c>
      <c r="F4571" s="9" t="s">
        <v>39</v>
      </c>
      <c r="G4571" s="10" t="n">
        <v>45711</v>
      </c>
      <c r="H4571" s="10" t="n">
        <v>45769</v>
      </c>
      <c r="I4571" s="9" t="s">
        <v>40</v>
      </c>
      <c r="J4571" s="9" t="s">
        <v>51</v>
      </c>
      <c r="K4571" s="9" t="n">
        <v>58</v>
      </c>
      <c r="L4571" s="9" t="n">
        <v>2</v>
      </c>
      <c r="M4571" s="9" t="n">
        <v>0</v>
      </c>
      <c r="N4571" s="9" t="s">
        <v>42</v>
      </c>
      <c r="O4571" s="9" t="s">
        <v>43</v>
      </c>
      <c r="P4571" s="9" t="n">
        <v>1.7</v>
      </c>
      <c r="Q4571" s="9" t="n">
        <v>26</v>
      </c>
      <c r="R4571" s="9" t="s">
        <v>44</v>
      </c>
      <c r="S4571" s="9"/>
      <c r="T4571" s="9"/>
      <c r="U4571" s="9" t="str">
        <f aca="false">IF(COUNTIF($A$2:$A$5001,A4571)&gt;1,"Duplicate","Unique")</f>
        <v>Unique</v>
      </c>
      <c r="V4571" s="9" t="str">
        <f aca="false">IF(COUNTIFS($B$2:$B$5001,B4571,$H$2:$H$5001,H4571,$J$2:$J$5001,J4571)&gt;1,"Possible Duplicate Booking","Unique")</f>
        <v>Unique</v>
      </c>
      <c r="W4571" s="9" t="str">
        <f aca="false">IF((H4571-G4571)&lt;&gt;K4571,"Mismatch","OK")</f>
        <v>OK</v>
      </c>
      <c r="X4571" s="9" t="str">
        <f aca="false">IF(TEXT(H4571,"dddd")&lt;&gt;I4571,"Mismatch","OK")</f>
        <v>OK</v>
      </c>
      <c r="Y4571" s="9" t="str">
        <f aca="false">IF(AND(N4571="No",O4571&lt;&gt;""),"Unexpected: channel present but no reminder sent",IF(AND(N4571="Yes",O4571=""),"Missing channel for sent reminder","OK"))</f>
        <v>OK</v>
      </c>
    </row>
    <row r="4572" customFormat="false" ht="15" hidden="false" customHeight="false" outlineLevel="0" collapsed="false">
      <c r="A4572" s="7" t="s">
        <v>6298</v>
      </c>
      <c r="B4572" s="7" t="s">
        <v>282</v>
      </c>
      <c r="C4572" s="7" t="s">
        <v>37</v>
      </c>
      <c r="D4572" s="7" t="n">
        <v>29</v>
      </c>
      <c r="E4572" s="7" t="s">
        <v>48</v>
      </c>
      <c r="F4572" s="7" t="s">
        <v>49</v>
      </c>
      <c r="G4572" s="8" t="n">
        <v>45978</v>
      </c>
      <c r="H4572" s="8" t="n">
        <v>46035</v>
      </c>
      <c r="I4572" s="7" t="s">
        <v>40</v>
      </c>
      <c r="J4572" s="7" t="s">
        <v>63</v>
      </c>
      <c r="K4572" s="7" t="n">
        <v>57</v>
      </c>
      <c r="L4572" s="7" t="n">
        <v>6</v>
      </c>
      <c r="M4572" s="7" t="n">
        <v>0</v>
      </c>
      <c r="N4572" s="7" t="s">
        <v>42</v>
      </c>
      <c r="O4572" s="7" t="s">
        <v>52</v>
      </c>
      <c r="P4572" s="7" t="n">
        <v>10.2</v>
      </c>
      <c r="Q4572" s="7" t="n">
        <v>22</v>
      </c>
      <c r="R4572" s="7" t="s">
        <v>87</v>
      </c>
      <c r="S4572" s="7"/>
      <c r="T4572" s="7"/>
      <c r="U4572" s="7" t="str">
        <f aca="false">IF(COUNTIF($A$2:$A$5001,A4572)&gt;1,"Duplicate","Unique")</f>
        <v>Unique</v>
      </c>
      <c r="V4572" s="7" t="str">
        <f aca="false">IF(COUNTIFS($B$2:$B$5001,B4572,$H$2:$H$5001,H4572,$J$2:$J$5001,J4572)&gt;1,"Possible Duplicate Booking","Unique")</f>
        <v>Unique</v>
      </c>
      <c r="W4572" s="7" t="str">
        <f aca="false">IF((H4572-G4572)&lt;&gt;K4572,"Mismatch","OK")</f>
        <v>OK</v>
      </c>
      <c r="X4572" s="7" t="str">
        <f aca="false">IF(TEXT(H4572,"dddd")&lt;&gt;I4572,"Mismatch","OK")</f>
        <v>OK</v>
      </c>
      <c r="Y4572" s="7" t="str">
        <f aca="false">IF(AND(N4572="No",O4572&lt;&gt;""),"Unexpected: channel present but no reminder sent",IF(AND(N4572="Yes",O4572=""),"Missing channel for sent reminder","OK"))</f>
        <v>OK</v>
      </c>
    </row>
    <row r="4573" customFormat="false" ht="15" hidden="false" customHeight="false" outlineLevel="0" collapsed="false">
      <c r="A4573" s="9" t="s">
        <v>6299</v>
      </c>
      <c r="B4573" s="9" t="s">
        <v>1051</v>
      </c>
      <c r="C4573" s="9" t="s">
        <v>37</v>
      </c>
      <c r="D4573" s="9" t="n">
        <v>75</v>
      </c>
      <c r="E4573" s="9" t="s">
        <v>70</v>
      </c>
      <c r="F4573" s="9" t="s">
        <v>57</v>
      </c>
      <c r="G4573" s="10" t="n">
        <v>45657</v>
      </c>
      <c r="H4573" s="10" t="n">
        <v>45709</v>
      </c>
      <c r="I4573" s="9" t="s">
        <v>50</v>
      </c>
      <c r="J4573" s="9" t="s">
        <v>51</v>
      </c>
      <c r="K4573" s="9" t="n">
        <v>52</v>
      </c>
      <c r="L4573" s="9" t="n">
        <v>2</v>
      </c>
      <c r="M4573" s="9" t="n">
        <v>1</v>
      </c>
      <c r="N4573" s="9" t="s">
        <v>42</v>
      </c>
      <c r="O4573" s="9" t="s">
        <v>52</v>
      </c>
      <c r="P4573" s="9" t="n">
        <v>5.6</v>
      </c>
      <c r="Q4573" s="9" t="n">
        <v>22</v>
      </c>
      <c r="R4573" s="9" t="s">
        <v>53</v>
      </c>
      <c r="S4573" s="9"/>
      <c r="T4573" s="9"/>
      <c r="U4573" s="9" t="str">
        <f aca="false">IF(COUNTIF($A$2:$A$5001,A4573)&gt;1,"Duplicate","Unique")</f>
        <v>Unique</v>
      </c>
      <c r="V4573" s="9" t="str">
        <f aca="false">IF(COUNTIFS($B$2:$B$5001,B4573,$H$2:$H$5001,H4573,$J$2:$J$5001,J4573)&gt;1,"Possible Duplicate Booking","Unique")</f>
        <v>Unique</v>
      </c>
      <c r="W4573" s="9" t="str">
        <f aca="false">IF((H4573-G4573)&lt;&gt;K4573,"Mismatch","OK")</f>
        <v>OK</v>
      </c>
      <c r="X4573" s="9" t="str">
        <f aca="false">IF(TEXT(H4573,"dddd")&lt;&gt;I4573,"Mismatch","OK")</f>
        <v>OK</v>
      </c>
      <c r="Y4573" s="9" t="str">
        <f aca="false">IF(AND(N4573="No",O4573&lt;&gt;""),"Unexpected: channel present but no reminder sent",IF(AND(N4573="Yes",O4573=""),"Missing channel for sent reminder","OK"))</f>
        <v>OK</v>
      </c>
    </row>
    <row r="4574" customFormat="false" ht="15" hidden="false" customHeight="false" outlineLevel="0" collapsed="false">
      <c r="A4574" s="7" t="s">
        <v>6300</v>
      </c>
      <c r="B4574" s="7" t="s">
        <v>720</v>
      </c>
      <c r="C4574" s="7" t="s">
        <v>47</v>
      </c>
      <c r="D4574" s="7" t="n">
        <v>39</v>
      </c>
      <c r="E4574" s="7" t="s">
        <v>38</v>
      </c>
      <c r="F4574" s="7" t="s">
        <v>57</v>
      </c>
      <c r="G4574" s="8" t="n">
        <v>45919</v>
      </c>
      <c r="H4574" s="8" t="n">
        <v>45928</v>
      </c>
      <c r="I4574" s="7" t="s">
        <v>75</v>
      </c>
      <c r="J4574" s="7" t="s">
        <v>51</v>
      </c>
      <c r="K4574" s="7" t="n">
        <v>9</v>
      </c>
      <c r="L4574" s="7" t="n">
        <v>5</v>
      </c>
      <c r="M4574" s="7" t="n">
        <v>1</v>
      </c>
      <c r="N4574" s="7" t="s">
        <v>42</v>
      </c>
      <c r="O4574" s="7" t="s">
        <v>52</v>
      </c>
      <c r="P4574" s="7" t="n">
        <v>18.8</v>
      </c>
      <c r="Q4574" s="7" t="n">
        <v>24</v>
      </c>
      <c r="R4574" s="7" t="s">
        <v>87</v>
      </c>
      <c r="S4574" s="7"/>
      <c r="T4574" s="7"/>
      <c r="U4574" s="7" t="str">
        <f aca="false">IF(COUNTIF($A$2:$A$5001,A4574)&gt;1,"Duplicate","Unique")</f>
        <v>Unique</v>
      </c>
      <c r="V4574" s="7" t="str">
        <f aca="false">IF(COUNTIFS($B$2:$B$5001,B4574,$H$2:$H$5001,H4574,$J$2:$J$5001,J4574)&gt;1,"Possible Duplicate Booking","Unique")</f>
        <v>Unique</v>
      </c>
      <c r="W4574" s="7" t="str">
        <f aca="false">IF((H4574-G4574)&lt;&gt;K4574,"Mismatch","OK")</f>
        <v>OK</v>
      </c>
      <c r="X4574" s="7" t="str">
        <f aca="false">IF(TEXT(H4574,"dddd")&lt;&gt;I4574,"Mismatch","OK")</f>
        <v>OK</v>
      </c>
      <c r="Y4574" s="7" t="str">
        <f aca="false">IF(AND(N4574="No",O4574&lt;&gt;""),"Unexpected: channel present but no reminder sent",IF(AND(N4574="Yes",O4574=""),"Missing channel for sent reminder","OK"))</f>
        <v>OK</v>
      </c>
    </row>
    <row r="4575" customFormat="false" ht="15" hidden="false" customHeight="false" outlineLevel="0" collapsed="false">
      <c r="A4575" s="9" t="s">
        <v>6301</v>
      </c>
      <c r="B4575" s="9" t="s">
        <v>1384</v>
      </c>
      <c r="C4575" s="9" t="s">
        <v>47</v>
      </c>
      <c r="D4575" s="9" t="n">
        <v>68</v>
      </c>
      <c r="E4575" s="9" t="s">
        <v>70</v>
      </c>
      <c r="F4575" s="9" t="s">
        <v>57</v>
      </c>
      <c r="G4575" s="10" t="n">
        <v>46123</v>
      </c>
      <c r="H4575" s="10" t="n">
        <v>46142</v>
      </c>
      <c r="I4575" s="9" t="s">
        <v>62</v>
      </c>
      <c r="J4575" s="9" t="s">
        <v>51</v>
      </c>
      <c r="K4575" s="9" t="n">
        <v>19</v>
      </c>
      <c r="L4575" s="9" t="n">
        <v>2</v>
      </c>
      <c r="M4575" s="9" t="n">
        <v>0</v>
      </c>
      <c r="N4575" s="9" t="s">
        <v>42</v>
      </c>
      <c r="O4575" s="9" t="s">
        <v>52</v>
      </c>
      <c r="P4575" s="9" t="n">
        <v>10.2</v>
      </c>
      <c r="Q4575" s="9" t="n">
        <v>28</v>
      </c>
      <c r="R4575" s="9" t="s">
        <v>87</v>
      </c>
      <c r="S4575" s="9"/>
      <c r="T4575" s="9"/>
      <c r="U4575" s="9" t="str">
        <f aca="false">IF(COUNTIF($A$2:$A$5001,A4575)&gt;1,"Duplicate","Unique")</f>
        <v>Unique</v>
      </c>
      <c r="V4575" s="9" t="str">
        <f aca="false">IF(COUNTIFS($B$2:$B$5001,B4575,$H$2:$H$5001,H4575,$J$2:$J$5001,J4575)&gt;1,"Possible Duplicate Booking","Unique")</f>
        <v>Unique</v>
      </c>
      <c r="W4575" s="9" t="str">
        <f aca="false">IF((H4575-G4575)&lt;&gt;K4575,"Mismatch","OK")</f>
        <v>OK</v>
      </c>
      <c r="X4575" s="9" t="str">
        <f aca="false">IF(TEXT(H4575,"dddd")&lt;&gt;I4575,"Mismatch","OK")</f>
        <v>OK</v>
      </c>
      <c r="Y4575" s="9" t="str">
        <f aca="false">IF(AND(N4575="No",O4575&lt;&gt;""),"Unexpected: channel present but no reminder sent",IF(AND(N4575="Yes",O4575=""),"Missing channel for sent reminder","OK"))</f>
        <v>OK</v>
      </c>
    </row>
    <row r="4576" customFormat="false" ht="15" hidden="false" customHeight="false" outlineLevel="0" collapsed="false">
      <c r="A4576" s="7" t="s">
        <v>6302</v>
      </c>
      <c r="B4576" s="7" t="s">
        <v>1379</v>
      </c>
      <c r="C4576" s="7" t="s">
        <v>47</v>
      </c>
      <c r="D4576" s="7" t="n">
        <v>77</v>
      </c>
      <c r="E4576" s="7" t="s">
        <v>70</v>
      </c>
      <c r="F4576" s="7" t="s">
        <v>39</v>
      </c>
      <c r="G4576" s="8" t="n">
        <v>46003</v>
      </c>
      <c r="H4576" s="8" t="n">
        <v>46046</v>
      </c>
      <c r="I4576" s="7" t="s">
        <v>102</v>
      </c>
      <c r="J4576" s="7" t="s">
        <v>51</v>
      </c>
      <c r="K4576" s="7" t="n">
        <v>43</v>
      </c>
      <c r="L4576" s="7" t="n">
        <v>2</v>
      </c>
      <c r="M4576" s="7" t="n">
        <v>1</v>
      </c>
      <c r="N4576" s="7" t="s">
        <v>42</v>
      </c>
      <c r="O4576" s="7" t="s">
        <v>52</v>
      </c>
      <c r="P4576" s="7" t="n">
        <v>5.6</v>
      </c>
      <c r="Q4576" s="7" t="n">
        <v>14</v>
      </c>
      <c r="R4576" s="7" t="s">
        <v>44</v>
      </c>
      <c r="S4576" s="7"/>
      <c r="T4576" s="7"/>
      <c r="U4576" s="7" t="str">
        <f aca="false">IF(COUNTIF($A$2:$A$5001,A4576)&gt;1,"Duplicate","Unique")</f>
        <v>Unique</v>
      </c>
      <c r="V4576" s="7" t="str">
        <f aca="false">IF(COUNTIFS($B$2:$B$5001,B4576,$H$2:$H$5001,H4576,$J$2:$J$5001,J4576)&gt;1,"Possible Duplicate Booking","Unique")</f>
        <v>Unique</v>
      </c>
      <c r="W4576" s="7" t="str">
        <f aca="false">IF((H4576-G4576)&lt;&gt;K4576,"Mismatch","OK")</f>
        <v>OK</v>
      </c>
      <c r="X4576" s="7" t="str">
        <f aca="false">IF(TEXT(H4576,"dddd")&lt;&gt;I4576,"Mismatch","OK")</f>
        <v>OK</v>
      </c>
      <c r="Y4576" s="7" t="str">
        <f aca="false">IF(AND(N4576="No",O4576&lt;&gt;""),"Unexpected: channel present but no reminder sent",IF(AND(N4576="Yes",O4576=""),"Missing channel for sent reminder","OK"))</f>
        <v>OK</v>
      </c>
    </row>
    <row r="4577" customFormat="false" ht="15" hidden="false" customHeight="false" outlineLevel="0" collapsed="false">
      <c r="A4577" s="9" t="s">
        <v>6303</v>
      </c>
      <c r="B4577" s="9" t="s">
        <v>199</v>
      </c>
      <c r="C4577" s="9" t="s">
        <v>37</v>
      </c>
      <c r="D4577" s="9" t="n">
        <v>25</v>
      </c>
      <c r="E4577" s="9" t="s">
        <v>48</v>
      </c>
      <c r="F4577" s="9" t="s">
        <v>74</v>
      </c>
      <c r="G4577" s="10" t="n">
        <v>46030</v>
      </c>
      <c r="H4577" s="10" t="n">
        <v>46075</v>
      </c>
      <c r="I4577" s="9" t="s">
        <v>75</v>
      </c>
      <c r="J4577" s="9" t="s">
        <v>41</v>
      </c>
      <c r="K4577" s="9" t="n">
        <v>45</v>
      </c>
      <c r="L4577" s="9" t="n">
        <v>7</v>
      </c>
      <c r="M4577" s="9" t="n">
        <v>1</v>
      </c>
      <c r="N4577" s="9" t="s">
        <v>42</v>
      </c>
      <c r="O4577" s="9" t="s">
        <v>52</v>
      </c>
      <c r="P4577" s="9" t="n">
        <v>12.1</v>
      </c>
      <c r="Q4577" s="9" t="n">
        <v>36</v>
      </c>
      <c r="R4577" s="9" t="s">
        <v>44</v>
      </c>
      <c r="S4577" s="9"/>
      <c r="T4577" s="9"/>
      <c r="U4577" s="9" t="str">
        <f aca="false">IF(COUNTIF($A$2:$A$5001,A4577)&gt;1,"Duplicate","Unique")</f>
        <v>Unique</v>
      </c>
      <c r="V4577" s="9" t="str">
        <f aca="false">IF(COUNTIFS($B$2:$B$5001,B4577,$H$2:$H$5001,H4577,$J$2:$J$5001,J4577)&gt;1,"Possible Duplicate Booking","Unique")</f>
        <v>Unique</v>
      </c>
      <c r="W4577" s="9" t="str">
        <f aca="false">IF((H4577-G4577)&lt;&gt;K4577,"Mismatch","OK")</f>
        <v>OK</v>
      </c>
      <c r="X4577" s="9" t="str">
        <f aca="false">IF(TEXT(H4577,"dddd")&lt;&gt;I4577,"Mismatch","OK")</f>
        <v>OK</v>
      </c>
      <c r="Y4577" s="9" t="str">
        <f aca="false">IF(AND(N4577="No",O4577&lt;&gt;""),"Unexpected: channel present but no reminder sent",IF(AND(N4577="Yes",O4577=""),"Missing channel for sent reminder","OK"))</f>
        <v>OK</v>
      </c>
    </row>
    <row r="4578" customFormat="false" ht="15" hidden="false" customHeight="false" outlineLevel="0" collapsed="false">
      <c r="A4578" s="7" t="s">
        <v>6304</v>
      </c>
      <c r="B4578" s="7" t="s">
        <v>3773</v>
      </c>
      <c r="C4578" s="7" t="s">
        <v>47</v>
      </c>
      <c r="D4578" s="7" t="n">
        <v>38</v>
      </c>
      <c r="E4578" s="7" t="s">
        <v>38</v>
      </c>
      <c r="F4578" s="7" t="s">
        <v>39</v>
      </c>
      <c r="G4578" s="8" t="n">
        <v>45682</v>
      </c>
      <c r="H4578" s="8" t="n">
        <v>45703</v>
      </c>
      <c r="I4578" s="7" t="s">
        <v>102</v>
      </c>
      <c r="J4578" s="7" t="s">
        <v>51</v>
      </c>
      <c r="K4578" s="7" t="n">
        <v>21</v>
      </c>
      <c r="L4578" s="7" t="n">
        <v>2</v>
      </c>
      <c r="M4578" s="7" t="n">
        <v>0</v>
      </c>
      <c r="N4578" s="7" t="s">
        <v>42</v>
      </c>
      <c r="O4578" s="7" t="s">
        <v>43</v>
      </c>
      <c r="P4578" s="7" t="n">
        <v>14.7</v>
      </c>
      <c r="Q4578" s="7" t="n">
        <v>38</v>
      </c>
      <c r="R4578" s="7" t="s">
        <v>53</v>
      </c>
      <c r="S4578" s="7"/>
      <c r="T4578" s="7"/>
      <c r="U4578" s="7" t="str">
        <f aca="false">IF(COUNTIF($A$2:$A$5001,A4578)&gt;1,"Duplicate","Unique")</f>
        <v>Unique</v>
      </c>
      <c r="V4578" s="7" t="str">
        <f aca="false">IF(COUNTIFS($B$2:$B$5001,B4578,$H$2:$H$5001,H4578,$J$2:$J$5001,J4578)&gt;1,"Possible Duplicate Booking","Unique")</f>
        <v>Unique</v>
      </c>
      <c r="W4578" s="7" t="str">
        <f aca="false">IF((H4578-G4578)&lt;&gt;K4578,"Mismatch","OK")</f>
        <v>OK</v>
      </c>
      <c r="X4578" s="7" t="str">
        <f aca="false">IF(TEXT(H4578,"dddd")&lt;&gt;I4578,"Mismatch","OK")</f>
        <v>OK</v>
      </c>
      <c r="Y4578" s="7" t="str">
        <f aca="false">IF(AND(N4578="No",O4578&lt;&gt;""),"Unexpected: channel present but no reminder sent",IF(AND(N4578="Yes",O4578=""),"Missing channel for sent reminder","OK"))</f>
        <v>OK</v>
      </c>
    </row>
    <row r="4579" customFormat="false" ht="15" hidden="false" customHeight="false" outlineLevel="0" collapsed="false">
      <c r="A4579" s="9" t="s">
        <v>6305</v>
      </c>
      <c r="B4579" s="9" t="s">
        <v>1231</v>
      </c>
      <c r="C4579" s="9" t="s">
        <v>47</v>
      </c>
      <c r="D4579" s="9" t="n">
        <v>54</v>
      </c>
      <c r="E4579" s="9" t="s">
        <v>56</v>
      </c>
      <c r="F4579" s="9" t="s">
        <v>74</v>
      </c>
      <c r="G4579" s="10" t="n">
        <v>45759</v>
      </c>
      <c r="H4579" s="10" t="n">
        <v>45767</v>
      </c>
      <c r="I4579" s="9" t="s">
        <v>75</v>
      </c>
      <c r="J4579" s="9" t="s">
        <v>41</v>
      </c>
      <c r="K4579" s="9" t="n">
        <v>8</v>
      </c>
      <c r="L4579" s="9" t="n">
        <v>5</v>
      </c>
      <c r="M4579" s="9" t="n">
        <v>1</v>
      </c>
      <c r="N4579" s="9" t="s">
        <v>42</v>
      </c>
      <c r="O4579" s="9" t="s">
        <v>43</v>
      </c>
      <c r="P4579" s="9" t="n">
        <v>8.7</v>
      </c>
      <c r="Q4579" s="9" t="n">
        <v>51</v>
      </c>
      <c r="R4579" s="9" t="s">
        <v>53</v>
      </c>
      <c r="S4579" s="9"/>
      <c r="T4579" s="9"/>
      <c r="U4579" s="9" t="str">
        <f aca="false">IF(COUNTIF($A$2:$A$5001,A4579)&gt;1,"Duplicate","Unique")</f>
        <v>Unique</v>
      </c>
      <c r="V4579" s="9" t="str">
        <f aca="false">IF(COUNTIFS($B$2:$B$5001,B4579,$H$2:$H$5001,H4579,$J$2:$J$5001,J4579)&gt;1,"Possible Duplicate Booking","Unique")</f>
        <v>Unique</v>
      </c>
      <c r="W4579" s="9" t="str">
        <f aca="false">IF((H4579-G4579)&lt;&gt;K4579,"Mismatch","OK")</f>
        <v>OK</v>
      </c>
      <c r="X4579" s="9" t="str">
        <f aca="false">IF(TEXT(H4579,"dddd")&lt;&gt;I4579,"Mismatch","OK")</f>
        <v>OK</v>
      </c>
      <c r="Y4579" s="9" t="str">
        <f aca="false">IF(AND(N4579="No",O4579&lt;&gt;""),"Unexpected: channel present but no reminder sent",IF(AND(N4579="Yes",O4579=""),"Missing channel for sent reminder","OK"))</f>
        <v>OK</v>
      </c>
    </row>
    <row r="4580" customFormat="false" ht="15" hidden="false" customHeight="false" outlineLevel="0" collapsed="false">
      <c r="A4580" s="7" t="s">
        <v>6306</v>
      </c>
      <c r="B4580" s="7" t="s">
        <v>2209</v>
      </c>
      <c r="C4580" s="7" t="s">
        <v>236</v>
      </c>
      <c r="D4580" s="7" t="n">
        <v>72</v>
      </c>
      <c r="E4580" s="7" t="s">
        <v>70</v>
      </c>
      <c r="F4580" s="7" t="s">
        <v>57</v>
      </c>
      <c r="G4580" s="8" t="n">
        <v>45800</v>
      </c>
      <c r="H4580" s="8" t="n">
        <v>45808</v>
      </c>
      <c r="I4580" s="7" t="s">
        <v>102</v>
      </c>
      <c r="J4580" s="7" t="s">
        <v>41</v>
      </c>
      <c r="K4580" s="7" t="n">
        <v>8</v>
      </c>
      <c r="L4580" s="7" t="n">
        <v>4</v>
      </c>
      <c r="M4580" s="7" t="n">
        <v>0</v>
      </c>
      <c r="N4580" s="7" t="s">
        <v>42</v>
      </c>
      <c r="O4580" s="7" t="s">
        <v>52</v>
      </c>
      <c r="P4580" s="7" t="n">
        <v>20.6</v>
      </c>
      <c r="Q4580" s="7" t="n">
        <v>5</v>
      </c>
      <c r="R4580" s="7" t="s">
        <v>53</v>
      </c>
      <c r="S4580" s="7"/>
      <c r="T4580" s="7"/>
      <c r="U4580" s="7" t="str">
        <f aca="false">IF(COUNTIF($A$2:$A$5001,A4580)&gt;1,"Duplicate","Unique")</f>
        <v>Unique</v>
      </c>
      <c r="V4580" s="7" t="str">
        <f aca="false">IF(COUNTIFS($B$2:$B$5001,B4580,$H$2:$H$5001,H4580,$J$2:$J$5001,J4580)&gt;1,"Possible Duplicate Booking","Unique")</f>
        <v>Unique</v>
      </c>
      <c r="W4580" s="7" t="str">
        <f aca="false">IF((H4580-G4580)&lt;&gt;K4580,"Mismatch","OK")</f>
        <v>OK</v>
      </c>
      <c r="X4580" s="7" t="str">
        <f aca="false">IF(TEXT(H4580,"dddd")&lt;&gt;I4580,"Mismatch","OK")</f>
        <v>OK</v>
      </c>
      <c r="Y4580" s="7" t="str">
        <f aca="false">IF(AND(N4580="No",O4580&lt;&gt;""),"Unexpected: channel present but no reminder sent",IF(AND(N4580="Yes",O4580=""),"Missing channel for sent reminder","OK"))</f>
        <v>OK</v>
      </c>
    </row>
    <row r="4581" customFormat="false" ht="15" hidden="false" customHeight="false" outlineLevel="0" collapsed="false">
      <c r="A4581" s="9" t="s">
        <v>6307</v>
      </c>
      <c r="B4581" s="9" t="s">
        <v>205</v>
      </c>
      <c r="C4581" s="9" t="s">
        <v>47</v>
      </c>
      <c r="D4581" s="9" t="n">
        <v>29</v>
      </c>
      <c r="E4581" s="9" t="s">
        <v>48</v>
      </c>
      <c r="F4581" s="9" t="s">
        <v>57</v>
      </c>
      <c r="G4581" s="10" t="n">
        <v>45776</v>
      </c>
      <c r="H4581" s="10" t="n">
        <v>45817</v>
      </c>
      <c r="I4581" s="9" t="s">
        <v>66</v>
      </c>
      <c r="J4581" s="9" t="s">
        <v>51</v>
      </c>
      <c r="K4581" s="9" t="n">
        <v>41</v>
      </c>
      <c r="L4581" s="9" t="n">
        <v>6</v>
      </c>
      <c r="M4581" s="9" t="n">
        <v>0</v>
      </c>
      <c r="N4581" s="9" t="s">
        <v>71</v>
      </c>
      <c r="O4581" s="9"/>
      <c r="P4581" s="9" t="n">
        <v>18</v>
      </c>
      <c r="Q4581" s="9" t="n">
        <v>24</v>
      </c>
      <c r="R4581" s="9" t="s">
        <v>53</v>
      </c>
      <c r="S4581" s="9"/>
      <c r="T4581" s="9"/>
      <c r="U4581" s="9" t="str">
        <f aca="false">IF(COUNTIF($A$2:$A$5001,A4581)&gt;1,"Duplicate","Unique")</f>
        <v>Unique</v>
      </c>
      <c r="V4581" s="9" t="str">
        <f aca="false">IF(COUNTIFS($B$2:$B$5001,B4581,$H$2:$H$5001,H4581,$J$2:$J$5001,J4581)&gt;1,"Possible Duplicate Booking","Unique")</f>
        <v>Unique</v>
      </c>
      <c r="W4581" s="9" t="str">
        <f aca="false">IF((H4581-G4581)&lt;&gt;K4581,"Mismatch","OK")</f>
        <v>OK</v>
      </c>
      <c r="X4581" s="9" t="str">
        <f aca="false">IF(TEXT(H4581,"dddd")&lt;&gt;I4581,"Mismatch","OK")</f>
        <v>OK</v>
      </c>
      <c r="Y4581" s="9" t="str">
        <f aca="false">IF(AND(N4581="No",O4581&lt;&gt;""),"Unexpected: channel present but no reminder sent",IF(AND(N4581="Yes",O4581=""),"Missing channel for sent reminder","OK"))</f>
        <v>OK</v>
      </c>
    </row>
    <row r="4582" customFormat="false" ht="15" hidden="false" customHeight="false" outlineLevel="0" collapsed="false">
      <c r="A4582" s="7" t="s">
        <v>6308</v>
      </c>
      <c r="B4582" s="7" t="s">
        <v>2448</v>
      </c>
      <c r="C4582" s="7" t="s">
        <v>47</v>
      </c>
      <c r="D4582" s="7" t="n">
        <v>29</v>
      </c>
      <c r="E4582" s="7" t="s">
        <v>48</v>
      </c>
      <c r="F4582" s="7" t="s">
        <v>74</v>
      </c>
      <c r="G4582" s="8" t="n">
        <v>45736</v>
      </c>
      <c r="H4582" s="8" t="n">
        <v>45763</v>
      </c>
      <c r="I4582" s="7" t="s">
        <v>58</v>
      </c>
      <c r="J4582" s="7" t="s">
        <v>41</v>
      </c>
      <c r="K4582" s="7" t="n">
        <v>27</v>
      </c>
      <c r="L4582" s="7" t="n">
        <v>3</v>
      </c>
      <c r="M4582" s="7" t="n">
        <v>1</v>
      </c>
      <c r="N4582" s="7" t="s">
        <v>71</v>
      </c>
      <c r="O4582" s="7"/>
      <c r="P4582" s="7" t="n">
        <v>10</v>
      </c>
      <c r="Q4582" s="7" t="n">
        <v>15</v>
      </c>
      <c r="R4582" s="7" t="s">
        <v>44</v>
      </c>
      <c r="S4582" s="7"/>
      <c r="T4582" s="7"/>
      <c r="U4582" s="7" t="str">
        <f aca="false">IF(COUNTIF($A$2:$A$5001,A4582)&gt;1,"Duplicate","Unique")</f>
        <v>Unique</v>
      </c>
      <c r="V4582" s="7" t="str">
        <f aca="false">IF(COUNTIFS($B$2:$B$5001,B4582,$H$2:$H$5001,H4582,$J$2:$J$5001,J4582)&gt;1,"Possible Duplicate Booking","Unique")</f>
        <v>Unique</v>
      </c>
      <c r="W4582" s="7" t="str">
        <f aca="false">IF((H4582-G4582)&lt;&gt;K4582,"Mismatch","OK")</f>
        <v>OK</v>
      </c>
      <c r="X4582" s="7" t="str">
        <f aca="false">IF(TEXT(H4582,"dddd")&lt;&gt;I4582,"Mismatch","OK")</f>
        <v>OK</v>
      </c>
      <c r="Y4582" s="7" t="str">
        <f aca="false">IF(AND(N4582="No",O4582&lt;&gt;""),"Unexpected: channel present but no reminder sent",IF(AND(N4582="Yes",O4582=""),"Missing channel for sent reminder","OK"))</f>
        <v>OK</v>
      </c>
    </row>
    <row r="4583" customFormat="false" ht="15" hidden="false" customHeight="false" outlineLevel="0" collapsed="false">
      <c r="A4583" s="9" t="s">
        <v>6309</v>
      </c>
      <c r="B4583" s="9" t="s">
        <v>350</v>
      </c>
      <c r="C4583" s="9" t="s">
        <v>37</v>
      </c>
      <c r="D4583" s="9" t="n">
        <v>41</v>
      </c>
      <c r="E4583" s="9" t="s">
        <v>38</v>
      </c>
      <c r="F4583" s="9" t="s">
        <v>49</v>
      </c>
      <c r="G4583" s="10" t="n">
        <v>46159</v>
      </c>
      <c r="H4583" s="10" t="n">
        <v>46188</v>
      </c>
      <c r="I4583" s="9" t="s">
        <v>66</v>
      </c>
      <c r="J4583" s="9" t="s">
        <v>51</v>
      </c>
      <c r="K4583" s="9" t="n">
        <v>29</v>
      </c>
      <c r="L4583" s="9" t="n">
        <v>0</v>
      </c>
      <c r="M4583" s="9" t="n">
        <v>0</v>
      </c>
      <c r="N4583" s="9" t="s">
        <v>71</v>
      </c>
      <c r="O4583" s="9"/>
      <c r="P4583" s="9" t="n">
        <v>6.1</v>
      </c>
      <c r="Q4583" s="9" t="n">
        <v>31</v>
      </c>
      <c r="R4583" s="9" t="s">
        <v>44</v>
      </c>
      <c r="S4583" s="9"/>
      <c r="T4583" s="9"/>
      <c r="U4583" s="9" t="str">
        <f aca="false">IF(COUNTIF($A$2:$A$5001,A4583)&gt;1,"Duplicate","Unique")</f>
        <v>Unique</v>
      </c>
      <c r="V4583" s="9" t="str">
        <f aca="false">IF(COUNTIFS($B$2:$B$5001,B4583,$H$2:$H$5001,H4583,$J$2:$J$5001,J4583)&gt;1,"Possible Duplicate Booking","Unique")</f>
        <v>Unique</v>
      </c>
      <c r="W4583" s="9" t="str">
        <f aca="false">IF((H4583-G4583)&lt;&gt;K4583,"Mismatch","OK")</f>
        <v>OK</v>
      </c>
      <c r="X4583" s="9" t="str">
        <f aca="false">IF(TEXT(H4583,"dddd")&lt;&gt;I4583,"Mismatch","OK")</f>
        <v>OK</v>
      </c>
      <c r="Y4583" s="9" t="str">
        <f aca="false">IF(AND(N4583="No",O4583&lt;&gt;""),"Unexpected: channel present but no reminder sent",IF(AND(N4583="Yes",O4583=""),"Missing channel for sent reminder","OK"))</f>
        <v>OK</v>
      </c>
    </row>
    <row r="4584" customFormat="false" ht="15" hidden="false" customHeight="false" outlineLevel="0" collapsed="false">
      <c r="A4584" s="7" t="s">
        <v>6310</v>
      </c>
      <c r="B4584" s="7" t="s">
        <v>5184</v>
      </c>
      <c r="C4584" s="7" t="s">
        <v>47</v>
      </c>
      <c r="D4584" s="7" t="n">
        <v>30</v>
      </c>
      <c r="E4584" s="7" t="s">
        <v>48</v>
      </c>
      <c r="F4584" s="7" t="s">
        <v>57</v>
      </c>
      <c r="G4584" s="8" t="n">
        <v>45699</v>
      </c>
      <c r="H4584" s="8" t="n">
        <v>45748</v>
      </c>
      <c r="I4584" s="7" t="s">
        <v>40</v>
      </c>
      <c r="J4584" s="7" t="s">
        <v>51</v>
      </c>
      <c r="K4584" s="7" t="n">
        <v>49</v>
      </c>
      <c r="L4584" s="7" t="n">
        <v>7</v>
      </c>
      <c r="M4584" s="7" t="n">
        <v>3</v>
      </c>
      <c r="N4584" s="7" t="s">
        <v>42</v>
      </c>
      <c r="O4584" s="7" t="s">
        <v>52</v>
      </c>
      <c r="P4584" s="7" t="n">
        <v>1.8</v>
      </c>
      <c r="Q4584" s="7" t="n">
        <v>37</v>
      </c>
      <c r="R4584" s="7" t="s">
        <v>44</v>
      </c>
      <c r="S4584" s="7"/>
      <c r="T4584" s="7"/>
      <c r="U4584" s="7" t="str">
        <f aca="false">IF(COUNTIF($A$2:$A$5001,A4584)&gt;1,"Duplicate","Unique")</f>
        <v>Unique</v>
      </c>
      <c r="V4584" s="7" t="str">
        <f aca="false">IF(COUNTIFS($B$2:$B$5001,B4584,$H$2:$H$5001,H4584,$J$2:$J$5001,J4584)&gt;1,"Possible Duplicate Booking","Unique")</f>
        <v>Unique</v>
      </c>
      <c r="W4584" s="7" t="str">
        <f aca="false">IF((H4584-G4584)&lt;&gt;K4584,"Mismatch","OK")</f>
        <v>OK</v>
      </c>
      <c r="X4584" s="7" t="str">
        <f aca="false">IF(TEXT(H4584,"dddd")&lt;&gt;I4584,"Mismatch","OK")</f>
        <v>OK</v>
      </c>
      <c r="Y4584" s="7" t="str">
        <f aca="false">IF(AND(N4584="No",O4584&lt;&gt;""),"Unexpected: channel present but no reminder sent",IF(AND(N4584="Yes",O4584=""),"Missing channel for sent reminder","OK"))</f>
        <v>OK</v>
      </c>
    </row>
    <row r="4585" customFormat="false" ht="15" hidden="false" customHeight="false" outlineLevel="0" collapsed="false">
      <c r="A4585" s="9" t="s">
        <v>6311</v>
      </c>
      <c r="B4585" s="9" t="s">
        <v>1340</v>
      </c>
      <c r="C4585" s="9" t="s">
        <v>37</v>
      </c>
      <c r="D4585" s="9" t="n">
        <v>34</v>
      </c>
      <c r="E4585" s="9" t="s">
        <v>48</v>
      </c>
      <c r="F4585" s="9" t="s">
        <v>39</v>
      </c>
      <c r="G4585" s="10" t="n">
        <v>46043</v>
      </c>
      <c r="H4585" s="10" t="n">
        <v>46044</v>
      </c>
      <c r="I4585" s="9" t="s">
        <v>62</v>
      </c>
      <c r="J4585" s="9" t="s">
        <v>63</v>
      </c>
      <c r="K4585" s="9" t="n">
        <v>1</v>
      </c>
      <c r="L4585" s="9" t="n">
        <v>4</v>
      </c>
      <c r="M4585" s="9" t="n">
        <v>0</v>
      </c>
      <c r="N4585" s="9" t="s">
        <v>71</v>
      </c>
      <c r="O4585" s="9"/>
      <c r="P4585" s="9" t="n">
        <v>7.1</v>
      </c>
      <c r="Q4585" s="9" t="n">
        <v>24</v>
      </c>
      <c r="R4585" s="9" t="s">
        <v>53</v>
      </c>
      <c r="S4585" s="9"/>
      <c r="T4585" s="9"/>
      <c r="U4585" s="9" t="str">
        <f aca="false">IF(COUNTIF($A$2:$A$5001,A4585)&gt;1,"Duplicate","Unique")</f>
        <v>Unique</v>
      </c>
      <c r="V4585" s="9" t="str">
        <f aca="false">IF(COUNTIFS($B$2:$B$5001,B4585,$H$2:$H$5001,H4585,$J$2:$J$5001,J4585)&gt;1,"Possible Duplicate Booking","Unique")</f>
        <v>Unique</v>
      </c>
      <c r="W4585" s="9" t="str">
        <f aca="false">IF((H4585-G4585)&lt;&gt;K4585,"Mismatch","OK")</f>
        <v>OK</v>
      </c>
      <c r="X4585" s="9" t="str">
        <f aca="false">IF(TEXT(H4585,"dddd")&lt;&gt;I4585,"Mismatch","OK")</f>
        <v>OK</v>
      </c>
      <c r="Y4585" s="9" t="str">
        <f aca="false">IF(AND(N4585="No",O4585&lt;&gt;""),"Unexpected: channel present but no reminder sent",IF(AND(N4585="Yes",O4585=""),"Missing channel for sent reminder","OK"))</f>
        <v>OK</v>
      </c>
    </row>
    <row r="4586" customFormat="false" ht="15" hidden="false" customHeight="false" outlineLevel="0" collapsed="false">
      <c r="A4586" s="7" t="s">
        <v>6312</v>
      </c>
      <c r="B4586" s="7" t="s">
        <v>2745</v>
      </c>
      <c r="C4586" s="7" t="s">
        <v>37</v>
      </c>
      <c r="D4586" s="7" t="n">
        <v>26</v>
      </c>
      <c r="E4586" s="7" t="s">
        <v>48</v>
      </c>
      <c r="F4586" s="7" t="s">
        <v>74</v>
      </c>
      <c r="G4586" s="8" t="n">
        <v>45932</v>
      </c>
      <c r="H4586" s="8" t="n">
        <v>45978</v>
      </c>
      <c r="I4586" s="7" t="s">
        <v>66</v>
      </c>
      <c r="J4586" s="7" t="s">
        <v>63</v>
      </c>
      <c r="K4586" s="7" t="n">
        <v>46</v>
      </c>
      <c r="L4586" s="7" t="n">
        <v>2</v>
      </c>
      <c r="M4586" s="7" t="n">
        <v>0</v>
      </c>
      <c r="N4586" s="7" t="s">
        <v>71</v>
      </c>
      <c r="O4586" s="7"/>
      <c r="P4586" s="7" t="n">
        <v>5.7</v>
      </c>
      <c r="Q4586" s="7" t="n">
        <v>20</v>
      </c>
      <c r="R4586" s="7" t="s">
        <v>44</v>
      </c>
      <c r="S4586" s="7"/>
      <c r="T4586" s="7"/>
      <c r="U4586" s="7" t="str">
        <f aca="false">IF(COUNTIF($A$2:$A$5001,A4586)&gt;1,"Duplicate","Unique")</f>
        <v>Unique</v>
      </c>
      <c r="V4586" s="7" t="str">
        <f aca="false">IF(COUNTIFS($B$2:$B$5001,B4586,$H$2:$H$5001,H4586,$J$2:$J$5001,J4586)&gt;1,"Possible Duplicate Booking","Unique")</f>
        <v>Unique</v>
      </c>
      <c r="W4586" s="7" t="str">
        <f aca="false">IF((H4586-G4586)&lt;&gt;K4586,"Mismatch","OK")</f>
        <v>OK</v>
      </c>
      <c r="X4586" s="7" t="str">
        <f aca="false">IF(TEXT(H4586,"dddd")&lt;&gt;I4586,"Mismatch","OK")</f>
        <v>OK</v>
      </c>
      <c r="Y4586" s="7" t="str">
        <f aca="false">IF(AND(N4586="No",O4586&lt;&gt;""),"Unexpected: channel present but no reminder sent",IF(AND(N4586="Yes",O4586=""),"Missing channel for sent reminder","OK"))</f>
        <v>OK</v>
      </c>
    </row>
    <row r="4587" customFormat="false" ht="15" hidden="false" customHeight="false" outlineLevel="0" collapsed="false">
      <c r="A4587" s="9" t="s">
        <v>6313</v>
      </c>
      <c r="B4587" s="9" t="s">
        <v>5826</v>
      </c>
      <c r="C4587" s="9" t="s">
        <v>37</v>
      </c>
      <c r="D4587" s="9" t="n">
        <v>70</v>
      </c>
      <c r="E4587" s="9" t="s">
        <v>70</v>
      </c>
      <c r="F4587" s="9" t="s">
        <v>49</v>
      </c>
      <c r="G4587" s="10" t="n">
        <v>45975</v>
      </c>
      <c r="H4587" s="10" t="n">
        <v>45991</v>
      </c>
      <c r="I4587" s="9" t="s">
        <v>75</v>
      </c>
      <c r="J4587" s="9" t="s">
        <v>51</v>
      </c>
      <c r="K4587" s="9" t="n">
        <v>16</v>
      </c>
      <c r="L4587" s="9" t="n">
        <v>0</v>
      </c>
      <c r="M4587" s="9" t="n">
        <v>0</v>
      </c>
      <c r="N4587" s="9" t="s">
        <v>71</v>
      </c>
      <c r="O4587" s="9"/>
      <c r="P4587" s="9" t="n">
        <v>9.8</v>
      </c>
      <c r="Q4587" s="9" t="n">
        <v>18</v>
      </c>
      <c r="R4587" s="9" t="s">
        <v>53</v>
      </c>
      <c r="S4587" s="9"/>
      <c r="T4587" s="9"/>
      <c r="U4587" s="9" t="str">
        <f aca="false">IF(COUNTIF($A$2:$A$5001,A4587)&gt;1,"Duplicate","Unique")</f>
        <v>Unique</v>
      </c>
      <c r="V4587" s="9" t="str">
        <f aca="false">IF(COUNTIFS($B$2:$B$5001,B4587,$H$2:$H$5001,H4587,$J$2:$J$5001,J4587)&gt;1,"Possible Duplicate Booking","Unique")</f>
        <v>Unique</v>
      </c>
      <c r="W4587" s="9" t="str">
        <f aca="false">IF((H4587-G4587)&lt;&gt;K4587,"Mismatch","OK")</f>
        <v>OK</v>
      </c>
      <c r="X4587" s="9" t="str">
        <f aca="false">IF(TEXT(H4587,"dddd")&lt;&gt;I4587,"Mismatch","OK")</f>
        <v>OK</v>
      </c>
      <c r="Y4587" s="9" t="str">
        <f aca="false">IF(AND(N4587="No",O4587&lt;&gt;""),"Unexpected: channel present but no reminder sent",IF(AND(N4587="Yes",O4587=""),"Missing channel for sent reminder","OK"))</f>
        <v>OK</v>
      </c>
    </row>
    <row r="4588" customFormat="false" ht="15" hidden="false" customHeight="false" outlineLevel="0" collapsed="false">
      <c r="A4588" s="7" t="s">
        <v>6314</v>
      </c>
      <c r="B4588" s="7" t="s">
        <v>1088</v>
      </c>
      <c r="C4588" s="7" t="s">
        <v>37</v>
      </c>
      <c r="D4588" s="7" t="n">
        <v>68</v>
      </c>
      <c r="E4588" s="7" t="s">
        <v>70</v>
      </c>
      <c r="F4588" s="7" t="s">
        <v>39</v>
      </c>
      <c r="G4588" s="8" t="n">
        <v>45719</v>
      </c>
      <c r="H4588" s="8" t="n">
        <v>45775</v>
      </c>
      <c r="I4588" s="7" t="s">
        <v>66</v>
      </c>
      <c r="J4588" s="7" t="s">
        <v>41</v>
      </c>
      <c r="K4588" s="7" t="n">
        <v>56</v>
      </c>
      <c r="L4588" s="7" t="n">
        <v>1</v>
      </c>
      <c r="M4588" s="7" t="n">
        <v>0</v>
      </c>
      <c r="N4588" s="7" t="s">
        <v>42</v>
      </c>
      <c r="O4588" s="7" t="s">
        <v>43</v>
      </c>
      <c r="P4588" s="7" t="n">
        <v>8</v>
      </c>
      <c r="Q4588" s="7" t="n">
        <v>21</v>
      </c>
      <c r="R4588" s="7" t="s">
        <v>44</v>
      </c>
      <c r="S4588" s="7"/>
      <c r="T4588" s="7"/>
      <c r="U4588" s="7" t="str">
        <f aca="false">IF(COUNTIF($A$2:$A$5001,A4588)&gt;1,"Duplicate","Unique")</f>
        <v>Unique</v>
      </c>
      <c r="V4588" s="7" t="str">
        <f aca="false">IF(COUNTIFS($B$2:$B$5001,B4588,$H$2:$H$5001,H4588,$J$2:$J$5001,J4588)&gt;1,"Possible Duplicate Booking","Unique")</f>
        <v>Unique</v>
      </c>
      <c r="W4588" s="7" t="str">
        <f aca="false">IF((H4588-G4588)&lt;&gt;K4588,"Mismatch","OK")</f>
        <v>OK</v>
      </c>
      <c r="X4588" s="7" t="str">
        <f aca="false">IF(TEXT(H4588,"dddd")&lt;&gt;I4588,"Mismatch","OK")</f>
        <v>OK</v>
      </c>
      <c r="Y4588" s="7" t="str">
        <f aca="false">IF(AND(N4588="No",O4588&lt;&gt;""),"Unexpected: channel present but no reminder sent",IF(AND(N4588="Yes",O4588=""),"Missing channel for sent reminder","OK"))</f>
        <v>OK</v>
      </c>
    </row>
    <row r="4589" customFormat="false" ht="15" hidden="false" customHeight="false" outlineLevel="0" collapsed="false">
      <c r="A4589" s="9" t="s">
        <v>6315</v>
      </c>
      <c r="B4589" s="9" t="s">
        <v>2353</v>
      </c>
      <c r="C4589" s="9" t="s">
        <v>37</v>
      </c>
      <c r="D4589" s="9" t="n">
        <v>27</v>
      </c>
      <c r="E4589" s="9" t="s">
        <v>48</v>
      </c>
      <c r="F4589" s="9" t="s">
        <v>57</v>
      </c>
      <c r="G4589" s="10" t="n">
        <v>45767</v>
      </c>
      <c r="H4589" s="10" t="n">
        <v>45825</v>
      </c>
      <c r="I4589" s="9" t="s">
        <v>40</v>
      </c>
      <c r="J4589" s="9" t="s">
        <v>51</v>
      </c>
      <c r="K4589" s="9" t="n">
        <v>58</v>
      </c>
      <c r="L4589" s="9" t="n">
        <v>6</v>
      </c>
      <c r="M4589" s="9" t="n">
        <v>1</v>
      </c>
      <c r="N4589" s="9" t="s">
        <v>71</v>
      </c>
      <c r="O4589" s="9"/>
      <c r="P4589" s="9" t="n">
        <v>8.8</v>
      </c>
      <c r="Q4589" s="9" t="n">
        <v>28</v>
      </c>
      <c r="R4589" s="9" t="s">
        <v>44</v>
      </c>
      <c r="S4589" s="9"/>
      <c r="T4589" s="9"/>
      <c r="U4589" s="9" t="str">
        <f aca="false">IF(COUNTIF($A$2:$A$5001,A4589)&gt;1,"Duplicate","Unique")</f>
        <v>Unique</v>
      </c>
      <c r="V4589" s="9" t="str">
        <f aca="false">IF(COUNTIFS($B$2:$B$5001,B4589,$H$2:$H$5001,H4589,$J$2:$J$5001,J4589)&gt;1,"Possible Duplicate Booking","Unique")</f>
        <v>Unique</v>
      </c>
      <c r="W4589" s="9" t="str">
        <f aca="false">IF((H4589-G4589)&lt;&gt;K4589,"Mismatch","OK")</f>
        <v>OK</v>
      </c>
      <c r="X4589" s="9" t="str">
        <f aca="false">IF(TEXT(H4589,"dddd")&lt;&gt;I4589,"Mismatch","OK")</f>
        <v>OK</v>
      </c>
      <c r="Y4589" s="9" t="str">
        <f aca="false">IF(AND(N4589="No",O4589&lt;&gt;""),"Unexpected: channel present but no reminder sent",IF(AND(N4589="Yes",O4589=""),"Missing channel for sent reminder","OK"))</f>
        <v>OK</v>
      </c>
    </row>
    <row r="4590" customFormat="false" ht="15" hidden="false" customHeight="false" outlineLevel="0" collapsed="false">
      <c r="A4590" s="7" t="s">
        <v>6316</v>
      </c>
      <c r="B4590" s="7" t="s">
        <v>609</v>
      </c>
      <c r="C4590" s="7" t="s">
        <v>37</v>
      </c>
      <c r="D4590" s="7" t="n">
        <v>51</v>
      </c>
      <c r="E4590" s="7" t="s">
        <v>56</v>
      </c>
      <c r="F4590" s="7" t="s">
        <v>57</v>
      </c>
      <c r="G4590" s="8" t="n">
        <v>45959</v>
      </c>
      <c r="H4590" s="8" t="n">
        <v>45989</v>
      </c>
      <c r="I4590" s="7" t="s">
        <v>50</v>
      </c>
      <c r="J4590" s="7" t="s">
        <v>41</v>
      </c>
      <c r="K4590" s="7" t="n">
        <v>30</v>
      </c>
      <c r="L4590" s="7" t="n">
        <v>2</v>
      </c>
      <c r="M4590" s="7" t="n">
        <v>1</v>
      </c>
      <c r="N4590" s="7" t="s">
        <v>42</v>
      </c>
      <c r="O4590" s="7" t="s">
        <v>52</v>
      </c>
      <c r="P4590" s="7" t="n">
        <v>9.9</v>
      </c>
      <c r="Q4590" s="7" t="n">
        <v>28</v>
      </c>
      <c r="R4590" s="7" t="s">
        <v>53</v>
      </c>
      <c r="S4590" s="7"/>
      <c r="T4590" s="7"/>
      <c r="U4590" s="7" t="str">
        <f aca="false">IF(COUNTIF($A$2:$A$5001,A4590)&gt;1,"Duplicate","Unique")</f>
        <v>Unique</v>
      </c>
      <c r="V4590" s="7" t="str">
        <f aca="false">IF(COUNTIFS($B$2:$B$5001,B4590,$H$2:$H$5001,H4590,$J$2:$J$5001,J4590)&gt;1,"Possible Duplicate Booking","Unique")</f>
        <v>Unique</v>
      </c>
      <c r="W4590" s="7" t="str">
        <f aca="false">IF((H4590-G4590)&lt;&gt;K4590,"Mismatch","OK")</f>
        <v>OK</v>
      </c>
      <c r="X4590" s="7" t="str">
        <f aca="false">IF(TEXT(H4590,"dddd")&lt;&gt;I4590,"Mismatch","OK")</f>
        <v>OK</v>
      </c>
      <c r="Y4590" s="7" t="str">
        <f aca="false">IF(AND(N4590="No",O4590&lt;&gt;""),"Unexpected: channel present but no reminder sent",IF(AND(N4590="Yes",O4590=""),"Missing channel for sent reminder","OK"))</f>
        <v>OK</v>
      </c>
    </row>
    <row r="4591" customFormat="false" ht="15" hidden="false" customHeight="false" outlineLevel="0" collapsed="false">
      <c r="A4591" s="9" t="s">
        <v>6317</v>
      </c>
      <c r="B4591" s="9" t="s">
        <v>97</v>
      </c>
      <c r="C4591" s="9" t="s">
        <v>47</v>
      </c>
      <c r="D4591" s="9" t="n">
        <v>58</v>
      </c>
      <c r="E4591" s="9" t="s">
        <v>61</v>
      </c>
      <c r="F4591" s="9" t="s">
        <v>39</v>
      </c>
      <c r="G4591" s="10" t="n">
        <v>45802</v>
      </c>
      <c r="H4591" s="10" t="n">
        <v>45821</v>
      </c>
      <c r="I4591" s="9" t="s">
        <v>50</v>
      </c>
      <c r="J4591" s="9" t="s">
        <v>41</v>
      </c>
      <c r="K4591" s="9" t="n">
        <v>19</v>
      </c>
      <c r="L4591" s="9" t="n">
        <v>1</v>
      </c>
      <c r="M4591" s="9" t="n">
        <v>0</v>
      </c>
      <c r="N4591" s="9" t="s">
        <v>42</v>
      </c>
      <c r="O4591" s="9" t="s">
        <v>52</v>
      </c>
      <c r="P4591" s="9" t="n">
        <v>16.8</v>
      </c>
      <c r="Q4591" s="9" t="n">
        <v>40</v>
      </c>
      <c r="R4591" s="9" t="s">
        <v>53</v>
      </c>
      <c r="S4591" s="9"/>
      <c r="T4591" s="9"/>
      <c r="U4591" s="9" t="str">
        <f aca="false">IF(COUNTIF($A$2:$A$5001,A4591)&gt;1,"Duplicate","Unique")</f>
        <v>Unique</v>
      </c>
      <c r="V4591" s="9" t="str">
        <f aca="false">IF(COUNTIFS($B$2:$B$5001,B4591,$H$2:$H$5001,H4591,$J$2:$J$5001,J4591)&gt;1,"Possible Duplicate Booking","Unique")</f>
        <v>Unique</v>
      </c>
      <c r="W4591" s="9" t="str">
        <f aca="false">IF((H4591-G4591)&lt;&gt;K4591,"Mismatch","OK")</f>
        <v>OK</v>
      </c>
      <c r="X4591" s="9" t="str">
        <f aca="false">IF(TEXT(H4591,"dddd")&lt;&gt;I4591,"Mismatch","OK")</f>
        <v>OK</v>
      </c>
      <c r="Y4591" s="9" t="str">
        <f aca="false">IF(AND(N4591="No",O4591&lt;&gt;""),"Unexpected: channel present but no reminder sent",IF(AND(N4591="Yes",O4591=""),"Missing channel for sent reminder","OK"))</f>
        <v>OK</v>
      </c>
    </row>
    <row r="4592" customFormat="false" ht="15" hidden="false" customHeight="false" outlineLevel="0" collapsed="false">
      <c r="A4592" s="7" t="s">
        <v>6318</v>
      </c>
      <c r="B4592" s="7" t="s">
        <v>1981</v>
      </c>
      <c r="C4592" s="7" t="s">
        <v>47</v>
      </c>
      <c r="D4592" s="7" t="n">
        <v>57</v>
      </c>
      <c r="E4592" s="7" t="s">
        <v>61</v>
      </c>
      <c r="F4592" s="7" t="s">
        <v>39</v>
      </c>
      <c r="G4592" s="8" t="n">
        <v>46022</v>
      </c>
      <c r="H4592" s="8" t="n">
        <v>46036</v>
      </c>
      <c r="I4592" s="7" t="s">
        <v>58</v>
      </c>
      <c r="J4592" s="7" t="s">
        <v>51</v>
      </c>
      <c r="K4592" s="7" t="n">
        <v>14</v>
      </c>
      <c r="L4592" s="7" t="n">
        <v>2</v>
      </c>
      <c r="M4592" s="7" t="n">
        <v>0</v>
      </c>
      <c r="N4592" s="7" t="s">
        <v>42</v>
      </c>
      <c r="O4592" s="7" t="s">
        <v>52</v>
      </c>
      <c r="P4592" s="7" t="n">
        <v>6.3</v>
      </c>
      <c r="Q4592" s="7"/>
      <c r="R4592" s="7" t="s">
        <v>87</v>
      </c>
      <c r="S4592" s="7"/>
      <c r="T4592" s="7"/>
      <c r="U4592" s="7" t="str">
        <f aca="false">IF(COUNTIF($A$2:$A$5001,A4592)&gt;1,"Duplicate","Unique")</f>
        <v>Unique</v>
      </c>
      <c r="V4592" s="7" t="str">
        <f aca="false">IF(COUNTIFS($B$2:$B$5001,B4592,$H$2:$H$5001,H4592,$J$2:$J$5001,J4592)&gt;1,"Possible Duplicate Booking","Unique")</f>
        <v>Unique</v>
      </c>
      <c r="W4592" s="7" t="str">
        <f aca="false">IF((H4592-G4592)&lt;&gt;K4592,"Mismatch","OK")</f>
        <v>OK</v>
      </c>
      <c r="X4592" s="7" t="str">
        <f aca="false">IF(TEXT(H4592,"dddd")&lt;&gt;I4592,"Mismatch","OK")</f>
        <v>OK</v>
      </c>
      <c r="Y4592" s="7" t="str">
        <f aca="false">IF(AND(N4592="No",O4592&lt;&gt;""),"Unexpected: channel present but no reminder sent",IF(AND(N4592="Yes",O4592=""),"Missing channel for sent reminder","OK"))</f>
        <v>OK</v>
      </c>
    </row>
    <row r="4593" customFormat="false" ht="15" hidden="false" customHeight="false" outlineLevel="0" collapsed="false">
      <c r="A4593" s="9" t="s">
        <v>6319</v>
      </c>
      <c r="B4593" s="9" t="s">
        <v>4466</v>
      </c>
      <c r="C4593" s="9" t="s">
        <v>47</v>
      </c>
      <c r="D4593" s="9" t="n">
        <v>79</v>
      </c>
      <c r="E4593" s="9" t="s">
        <v>70</v>
      </c>
      <c r="F4593" s="9" t="s">
        <v>57</v>
      </c>
      <c r="G4593" s="10" t="n">
        <v>45668</v>
      </c>
      <c r="H4593" s="10" t="n">
        <v>45679</v>
      </c>
      <c r="I4593" s="9" t="s">
        <v>58</v>
      </c>
      <c r="J4593" s="9" t="s">
        <v>63</v>
      </c>
      <c r="K4593" s="9" t="n">
        <v>11</v>
      </c>
      <c r="L4593" s="9" t="n">
        <v>3</v>
      </c>
      <c r="M4593" s="9" t="n">
        <v>0</v>
      </c>
      <c r="N4593" s="9" t="s">
        <v>42</v>
      </c>
      <c r="O4593" s="9" t="s">
        <v>43</v>
      </c>
      <c r="P4593" s="9" t="n">
        <v>6.6</v>
      </c>
      <c r="Q4593" s="9" t="n">
        <v>34</v>
      </c>
      <c r="R4593" s="9" t="s">
        <v>53</v>
      </c>
      <c r="S4593" s="9"/>
      <c r="T4593" s="9"/>
      <c r="U4593" s="9" t="str">
        <f aca="false">IF(COUNTIF($A$2:$A$5001,A4593)&gt;1,"Duplicate","Unique")</f>
        <v>Unique</v>
      </c>
      <c r="V4593" s="9" t="str">
        <f aca="false">IF(COUNTIFS($B$2:$B$5001,B4593,$H$2:$H$5001,H4593,$J$2:$J$5001,J4593)&gt;1,"Possible Duplicate Booking","Unique")</f>
        <v>Unique</v>
      </c>
      <c r="W4593" s="9" t="str">
        <f aca="false">IF((H4593-G4593)&lt;&gt;K4593,"Mismatch","OK")</f>
        <v>OK</v>
      </c>
      <c r="X4593" s="9" t="str">
        <f aca="false">IF(TEXT(H4593,"dddd")&lt;&gt;I4593,"Mismatch","OK")</f>
        <v>OK</v>
      </c>
      <c r="Y4593" s="9" t="str">
        <f aca="false">IF(AND(N4593="No",O4593&lt;&gt;""),"Unexpected: channel present but no reminder sent",IF(AND(N4593="Yes",O4593=""),"Missing channel for sent reminder","OK"))</f>
        <v>OK</v>
      </c>
    </row>
    <row r="4594" customFormat="false" ht="15" hidden="false" customHeight="false" outlineLevel="0" collapsed="false">
      <c r="A4594" s="7" t="s">
        <v>6320</v>
      </c>
      <c r="B4594" s="7" t="s">
        <v>574</v>
      </c>
      <c r="C4594" s="7" t="s">
        <v>47</v>
      </c>
      <c r="D4594" s="7" t="n">
        <v>58</v>
      </c>
      <c r="E4594" s="7" t="s">
        <v>61</v>
      </c>
      <c r="F4594" s="7" t="s">
        <v>57</v>
      </c>
      <c r="G4594" s="8" t="n">
        <v>45637</v>
      </c>
      <c r="H4594" s="8" t="n">
        <v>45697</v>
      </c>
      <c r="I4594" s="7" t="s">
        <v>75</v>
      </c>
      <c r="J4594" s="7" t="s">
        <v>41</v>
      </c>
      <c r="K4594" s="7" t="n">
        <v>60</v>
      </c>
      <c r="L4594" s="7" t="n">
        <v>5</v>
      </c>
      <c r="M4594" s="7" t="n">
        <v>1</v>
      </c>
      <c r="N4594" s="7" t="s">
        <v>71</v>
      </c>
      <c r="O4594" s="7"/>
      <c r="P4594" s="7" t="n">
        <v>13.3</v>
      </c>
      <c r="Q4594" s="7" t="n">
        <v>14</v>
      </c>
      <c r="R4594" s="7" t="s">
        <v>44</v>
      </c>
      <c r="S4594" s="7"/>
      <c r="T4594" s="7"/>
      <c r="U4594" s="7" t="str">
        <f aca="false">IF(COUNTIF($A$2:$A$5001,A4594)&gt;1,"Duplicate","Unique")</f>
        <v>Unique</v>
      </c>
      <c r="V4594" s="7" t="str">
        <f aca="false">IF(COUNTIFS($B$2:$B$5001,B4594,$H$2:$H$5001,H4594,$J$2:$J$5001,J4594)&gt;1,"Possible Duplicate Booking","Unique")</f>
        <v>Unique</v>
      </c>
      <c r="W4594" s="7" t="str">
        <f aca="false">IF((H4594-G4594)&lt;&gt;K4594,"Mismatch","OK")</f>
        <v>OK</v>
      </c>
      <c r="X4594" s="7" t="str">
        <f aca="false">IF(TEXT(H4594,"dddd")&lt;&gt;I4594,"Mismatch","OK")</f>
        <v>OK</v>
      </c>
      <c r="Y4594" s="7" t="str">
        <f aca="false">IF(AND(N4594="No",O4594&lt;&gt;""),"Unexpected: channel present but no reminder sent",IF(AND(N4594="Yes",O4594=""),"Missing channel for sent reminder","OK"))</f>
        <v>OK</v>
      </c>
    </row>
    <row r="4595" customFormat="false" ht="15" hidden="false" customHeight="false" outlineLevel="0" collapsed="false">
      <c r="A4595" s="9" t="s">
        <v>6321</v>
      </c>
      <c r="B4595" s="9" t="s">
        <v>6057</v>
      </c>
      <c r="C4595" s="9" t="s">
        <v>37</v>
      </c>
      <c r="D4595" s="9" t="n">
        <v>61</v>
      </c>
      <c r="E4595" s="9" t="s">
        <v>61</v>
      </c>
      <c r="F4595" s="9" t="s">
        <v>57</v>
      </c>
      <c r="G4595" s="10" t="n">
        <v>46044</v>
      </c>
      <c r="H4595" s="10" t="n">
        <v>46055</v>
      </c>
      <c r="I4595" s="9" t="s">
        <v>66</v>
      </c>
      <c r="J4595" s="9" t="s">
        <v>51</v>
      </c>
      <c r="K4595" s="9" t="n">
        <v>11</v>
      </c>
      <c r="L4595" s="9" t="n">
        <v>3</v>
      </c>
      <c r="M4595" s="9" t="n">
        <v>0</v>
      </c>
      <c r="N4595" s="9" t="s">
        <v>71</v>
      </c>
      <c r="O4595" s="9"/>
      <c r="P4595" s="9" t="n">
        <v>21.3</v>
      </c>
      <c r="Q4595" s="9" t="n">
        <v>10</v>
      </c>
      <c r="R4595" s="9" t="s">
        <v>44</v>
      </c>
      <c r="S4595" s="9"/>
      <c r="T4595" s="9"/>
      <c r="U4595" s="9" t="str">
        <f aca="false">IF(COUNTIF($A$2:$A$5001,A4595)&gt;1,"Duplicate","Unique")</f>
        <v>Unique</v>
      </c>
      <c r="V4595" s="9" t="str">
        <f aca="false">IF(COUNTIFS($B$2:$B$5001,B4595,$H$2:$H$5001,H4595,$J$2:$J$5001,J4595)&gt;1,"Possible Duplicate Booking","Unique")</f>
        <v>Unique</v>
      </c>
      <c r="W4595" s="9" t="str">
        <f aca="false">IF((H4595-G4595)&lt;&gt;K4595,"Mismatch","OK")</f>
        <v>OK</v>
      </c>
      <c r="X4595" s="9" t="str">
        <f aca="false">IF(TEXT(H4595,"dddd")&lt;&gt;I4595,"Mismatch","OK")</f>
        <v>OK</v>
      </c>
      <c r="Y4595" s="9" t="str">
        <f aca="false">IF(AND(N4595="No",O4595&lt;&gt;""),"Unexpected: channel present but no reminder sent",IF(AND(N4595="Yes",O4595=""),"Missing channel for sent reminder","OK"))</f>
        <v>OK</v>
      </c>
    </row>
    <row r="4596" customFormat="false" ht="15" hidden="false" customHeight="false" outlineLevel="0" collapsed="false">
      <c r="A4596" s="7" t="s">
        <v>6322</v>
      </c>
      <c r="B4596" s="7" t="s">
        <v>1284</v>
      </c>
      <c r="C4596" s="7" t="s">
        <v>47</v>
      </c>
      <c r="D4596" s="7" t="n">
        <v>20</v>
      </c>
      <c r="E4596" s="7" t="s">
        <v>82</v>
      </c>
      <c r="F4596" s="7" t="s">
        <v>39</v>
      </c>
      <c r="G4596" s="8" t="n">
        <v>45967</v>
      </c>
      <c r="H4596" s="8" t="n">
        <v>45994</v>
      </c>
      <c r="I4596" s="7" t="s">
        <v>58</v>
      </c>
      <c r="J4596" s="7" t="s">
        <v>41</v>
      </c>
      <c r="K4596" s="7" t="n">
        <v>27</v>
      </c>
      <c r="L4596" s="7" t="n">
        <v>5</v>
      </c>
      <c r="M4596" s="7" t="n">
        <v>0</v>
      </c>
      <c r="N4596" s="7" t="s">
        <v>42</v>
      </c>
      <c r="O4596" s="7" t="s">
        <v>52</v>
      </c>
      <c r="P4596" s="7" t="n">
        <v>11.3</v>
      </c>
      <c r="Q4596" s="7" t="n">
        <v>35</v>
      </c>
      <c r="R4596" s="7" t="s">
        <v>53</v>
      </c>
      <c r="S4596" s="7"/>
      <c r="T4596" s="7"/>
      <c r="U4596" s="7" t="str">
        <f aca="false">IF(COUNTIF($A$2:$A$5001,A4596)&gt;1,"Duplicate","Unique")</f>
        <v>Unique</v>
      </c>
      <c r="V4596" s="7" t="str">
        <f aca="false">IF(COUNTIFS($B$2:$B$5001,B4596,$H$2:$H$5001,H4596,$J$2:$J$5001,J4596)&gt;1,"Possible Duplicate Booking","Unique")</f>
        <v>Unique</v>
      </c>
      <c r="W4596" s="7" t="str">
        <f aca="false">IF((H4596-G4596)&lt;&gt;K4596,"Mismatch","OK")</f>
        <v>OK</v>
      </c>
      <c r="X4596" s="7" t="str">
        <f aca="false">IF(TEXT(H4596,"dddd")&lt;&gt;I4596,"Mismatch","OK")</f>
        <v>OK</v>
      </c>
      <c r="Y4596" s="7" t="str">
        <f aca="false">IF(AND(N4596="No",O4596&lt;&gt;""),"Unexpected: channel present but no reminder sent",IF(AND(N4596="Yes",O4596=""),"Missing channel for sent reminder","OK"))</f>
        <v>OK</v>
      </c>
    </row>
    <row r="4597" customFormat="false" ht="15" hidden="false" customHeight="false" outlineLevel="0" collapsed="false">
      <c r="A4597" s="9" t="s">
        <v>6323</v>
      </c>
      <c r="B4597" s="9" t="s">
        <v>6324</v>
      </c>
      <c r="C4597" s="9" t="s">
        <v>47</v>
      </c>
      <c r="D4597" s="9" t="n">
        <v>22</v>
      </c>
      <c r="E4597" s="9" t="s">
        <v>82</v>
      </c>
      <c r="F4597" s="9" t="s">
        <v>57</v>
      </c>
      <c r="G4597" s="10" t="n">
        <v>45652</v>
      </c>
      <c r="H4597" s="10" t="n">
        <v>45681</v>
      </c>
      <c r="I4597" s="9" t="s">
        <v>50</v>
      </c>
      <c r="J4597" s="9" t="s">
        <v>41</v>
      </c>
      <c r="K4597" s="9" t="n">
        <v>29</v>
      </c>
      <c r="L4597" s="9" t="n">
        <v>5</v>
      </c>
      <c r="M4597" s="9" t="n">
        <v>1</v>
      </c>
      <c r="N4597" s="9" t="s">
        <v>42</v>
      </c>
      <c r="O4597" s="9" t="s">
        <v>52</v>
      </c>
      <c r="P4597" s="9" t="n">
        <v>31.2</v>
      </c>
      <c r="Q4597" s="9" t="n">
        <v>28</v>
      </c>
      <c r="R4597" s="9" t="s">
        <v>44</v>
      </c>
      <c r="S4597" s="9"/>
      <c r="T4597" s="9"/>
      <c r="U4597" s="9" t="str">
        <f aca="false">IF(COUNTIF($A$2:$A$5001,A4597)&gt;1,"Duplicate","Unique")</f>
        <v>Unique</v>
      </c>
      <c r="V4597" s="9" t="str">
        <f aca="false">IF(COUNTIFS($B$2:$B$5001,B4597,$H$2:$H$5001,H4597,$J$2:$J$5001,J4597)&gt;1,"Possible Duplicate Booking","Unique")</f>
        <v>Unique</v>
      </c>
      <c r="W4597" s="9" t="str">
        <f aca="false">IF((H4597-G4597)&lt;&gt;K4597,"Mismatch","OK")</f>
        <v>OK</v>
      </c>
      <c r="X4597" s="9" t="str">
        <f aca="false">IF(TEXT(H4597,"dddd")&lt;&gt;I4597,"Mismatch","OK")</f>
        <v>OK</v>
      </c>
      <c r="Y4597" s="9" t="str">
        <f aca="false">IF(AND(N4597="No",O4597&lt;&gt;""),"Unexpected: channel present but no reminder sent",IF(AND(N4597="Yes",O4597=""),"Missing channel for sent reminder","OK"))</f>
        <v>OK</v>
      </c>
    </row>
    <row r="4598" customFormat="false" ht="15" hidden="false" customHeight="false" outlineLevel="0" collapsed="false">
      <c r="A4598" s="7" t="s">
        <v>6325</v>
      </c>
      <c r="B4598" s="7" t="s">
        <v>342</v>
      </c>
      <c r="C4598" s="7" t="s">
        <v>37</v>
      </c>
      <c r="D4598" s="7" t="n">
        <v>56</v>
      </c>
      <c r="E4598" s="7" t="s">
        <v>61</v>
      </c>
      <c r="F4598" s="7" t="s">
        <v>57</v>
      </c>
      <c r="G4598" s="8" t="n">
        <v>46107</v>
      </c>
      <c r="H4598" s="8" t="n">
        <v>46148</v>
      </c>
      <c r="I4598" s="7" t="s">
        <v>58</v>
      </c>
      <c r="J4598" s="7" t="s">
        <v>51</v>
      </c>
      <c r="K4598" s="7" t="n">
        <v>41</v>
      </c>
      <c r="L4598" s="7" t="n">
        <v>3</v>
      </c>
      <c r="M4598" s="7" t="n">
        <v>1</v>
      </c>
      <c r="N4598" s="7" t="s">
        <v>42</v>
      </c>
      <c r="O4598" s="7" t="s">
        <v>43</v>
      </c>
      <c r="P4598" s="7" t="n">
        <v>8.4</v>
      </c>
      <c r="Q4598" s="7" t="n">
        <v>18</v>
      </c>
      <c r="R4598" s="7" t="s">
        <v>44</v>
      </c>
      <c r="S4598" s="7"/>
      <c r="T4598" s="7"/>
      <c r="U4598" s="7" t="str">
        <f aca="false">IF(COUNTIF($A$2:$A$5001,A4598)&gt;1,"Duplicate","Unique")</f>
        <v>Unique</v>
      </c>
      <c r="V4598" s="7" t="str">
        <f aca="false">IF(COUNTIFS($B$2:$B$5001,B4598,$H$2:$H$5001,H4598,$J$2:$J$5001,J4598)&gt;1,"Possible Duplicate Booking","Unique")</f>
        <v>Unique</v>
      </c>
      <c r="W4598" s="7" t="str">
        <f aca="false">IF((H4598-G4598)&lt;&gt;K4598,"Mismatch","OK")</f>
        <v>OK</v>
      </c>
      <c r="X4598" s="7" t="str">
        <f aca="false">IF(TEXT(H4598,"dddd")&lt;&gt;I4598,"Mismatch","OK")</f>
        <v>OK</v>
      </c>
      <c r="Y4598" s="7" t="str">
        <f aca="false">IF(AND(N4598="No",O4598&lt;&gt;""),"Unexpected: channel present but no reminder sent",IF(AND(N4598="Yes",O4598=""),"Missing channel for sent reminder","OK"))</f>
        <v>OK</v>
      </c>
    </row>
    <row r="4599" customFormat="false" ht="15" hidden="false" customHeight="false" outlineLevel="0" collapsed="false">
      <c r="A4599" s="9" t="s">
        <v>6326</v>
      </c>
      <c r="B4599" s="9" t="s">
        <v>1867</v>
      </c>
      <c r="C4599" s="9" t="s">
        <v>47</v>
      </c>
      <c r="D4599" s="9" t="n">
        <v>75</v>
      </c>
      <c r="E4599" s="9" t="s">
        <v>70</v>
      </c>
      <c r="F4599" s="9" t="s">
        <v>57</v>
      </c>
      <c r="G4599" s="10" t="n">
        <v>45609</v>
      </c>
      <c r="H4599" s="10" t="n">
        <v>45660</v>
      </c>
      <c r="I4599" s="9" t="s">
        <v>50</v>
      </c>
      <c r="J4599" s="9" t="s">
        <v>41</v>
      </c>
      <c r="K4599" s="9" t="n">
        <v>51</v>
      </c>
      <c r="L4599" s="9" t="n">
        <v>5</v>
      </c>
      <c r="M4599" s="9" t="n">
        <v>0</v>
      </c>
      <c r="N4599" s="9" t="s">
        <v>42</v>
      </c>
      <c r="O4599" s="9" t="s">
        <v>43</v>
      </c>
      <c r="P4599" s="9" t="n">
        <v>11.8</v>
      </c>
      <c r="Q4599" s="9" t="n">
        <v>14</v>
      </c>
      <c r="R4599" s="9" t="s">
        <v>44</v>
      </c>
      <c r="S4599" s="9"/>
      <c r="T4599" s="9"/>
      <c r="U4599" s="9" t="str">
        <f aca="false">IF(COUNTIF($A$2:$A$5001,A4599)&gt;1,"Duplicate","Unique")</f>
        <v>Unique</v>
      </c>
      <c r="V4599" s="9" t="str">
        <f aca="false">IF(COUNTIFS($B$2:$B$5001,B4599,$H$2:$H$5001,H4599,$J$2:$J$5001,J4599)&gt;1,"Possible Duplicate Booking","Unique")</f>
        <v>Unique</v>
      </c>
      <c r="W4599" s="9" t="str">
        <f aca="false">IF((H4599-G4599)&lt;&gt;K4599,"Mismatch","OK")</f>
        <v>OK</v>
      </c>
      <c r="X4599" s="9" t="str">
        <f aca="false">IF(TEXT(H4599,"dddd")&lt;&gt;I4599,"Mismatch","OK")</f>
        <v>OK</v>
      </c>
      <c r="Y4599" s="9" t="str">
        <f aca="false">IF(AND(N4599="No",O4599&lt;&gt;""),"Unexpected: channel present but no reminder sent",IF(AND(N4599="Yes",O4599=""),"Missing channel for sent reminder","OK"))</f>
        <v>OK</v>
      </c>
    </row>
    <row r="4600" customFormat="false" ht="15" hidden="false" customHeight="false" outlineLevel="0" collapsed="false">
      <c r="A4600" s="7" t="s">
        <v>6327</v>
      </c>
      <c r="B4600" s="7" t="s">
        <v>4901</v>
      </c>
      <c r="C4600" s="7" t="s">
        <v>47</v>
      </c>
      <c r="D4600" s="7" t="n">
        <v>43</v>
      </c>
      <c r="E4600" s="7" t="s">
        <v>38</v>
      </c>
      <c r="F4600" s="7" t="s">
        <v>49</v>
      </c>
      <c r="G4600" s="8" t="n">
        <v>46145</v>
      </c>
      <c r="H4600" s="8" t="n">
        <v>46179</v>
      </c>
      <c r="I4600" s="7" t="s">
        <v>102</v>
      </c>
      <c r="J4600" s="7" t="s">
        <v>41</v>
      </c>
      <c r="K4600" s="7" t="n">
        <v>34</v>
      </c>
      <c r="L4600" s="7" t="n">
        <v>3</v>
      </c>
      <c r="M4600" s="7" t="n">
        <v>1</v>
      </c>
      <c r="N4600" s="7" t="s">
        <v>42</v>
      </c>
      <c r="O4600" s="7" t="s">
        <v>52</v>
      </c>
      <c r="P4600" s="7" t="n">
        <v>6.4</v>
      </c>
      <c r="Q4600" s="7" t="n">
        <v>19</v>
      </c>
      <c r="R4600" s="7" t="s">
        <v>44</v>
      </c>
      <c r="S4600" s="7"/>
      <c r="T4600" s="7"/>
      <c r="U4600" s="7" t="str">
        <f aca="false">IF(COUNTIF($A$2:$A$5001,A4600)&gt;1,"Duplicate","Unique")</f>
        <v>Unique</v>
      </c>
      <c r="V4600" s="7" t="str">
        <f aca="false">IF(COUNTIFS($B$2:$B$5001,B4600,$H$2:$H$5001,H4600,$J$2:$J$5001,J4600)&gt;1,"Possible Duplicate Booking","Unique")</f>
        <v>Unique</v>
      </c>
      <c r="W4600" s="7" t="str">
        <f aca="false">IF((H4600-G4600)&lt;&gt;K4600,"Mismatch","OK")</f>
        <v>OK</v>
      </c>
      <c r="X4600" s="7" t="str">
        <f aca="false">IF(TEXT(H4600,"dddd")&lt;&gt;I4600,"Mismatch","OK")</f>
        <v>OK</v>
      </c>
      <c r="Y4600" s="7" t="str">
        <f aca="false">IF(AND(N4600="No",O4600&lt;&gt;""),"Unexpected: channel present but no reminder sent",IF(AND(N4600="Yes",O4600=""),"Missing channel for sent reminder","OK"))</f>
        <v>OK</v>
      </c>
    </row>
    <row r="4601" customFormat="false" ht="15" hidden="false" customHeight="false" outlineLevel="0" collapsed="false">
      <c r="A4601" s="9" t="s">
        <v>6328</v>
      </c>
      <c r="B4601" s="9" t="s">
        <v>518</v>
      </c>
      <c r="C4601" s="9" t="s">
        <v>37</v>
      </c>
      <c r="D4601" s="9" t="n">
        <v>58</v>
      </c>
      <c r="E4601" s="9" t="s">
        <v>61</v>
      </c>
      <c r="F4601" s="9" t="s">
        <v>39</v>
      </c>
      <c r="G4601" s="10" t="n">
        <v>46010</v>
      </c>
      <c r="H4601" s="10" t="n">
        <v>46056</v>
      </c>
      <c r="I4601" s="9" t="s">
        <v>40</v>
      </c>
      <c r="J4601" s="9" t="s">
        <v>63</v>
      </c>
      <c r="K4601" s="9" t="n">
        <v>46</v>
      </c>
      <c r="L4601" s="9" t="n">
        <v>3</v>
      </c>
      <c r="M4601" s="9" t="n">
        <v>1</v>
      </c>
      <c r="N4601" s="9" t="s">
        <v>42</v>
      </c>
      <c r="O4601" s="9" t="s">
        <v>52</v>
      </c>
      <c r="P4601" s="9" t="n">
        <v>36.1</v>
      </c>
      <c r="Q4601" s="9" t="n">
        <v>26</v>
      </c>
      <c r="R4601" s="9" t="s">
        <v>44</v>
      </c>
      <c r="S4601" s="9"/>
      <c r="T4601" s="9"/>
      <c r="U4601" s="9" t="str">
        <f aca="false">IF(COUNTIF($A$2:$A$5001,A4601)&gt;1,"Duplicate","Unique")</f>
        <v>Unique</v>
      </c>
      <c r="V4601" s="9" t="str">
        <f aca="false">IF(COUNTIFS($B$2:$B$5001,B4601,$H$2:$H$5001,H4601,$J$2:$J$5001,J4601)&gt;1,"Possible Duplicate Booking","Unique")</f>
        <v>Unique</v>
      </c>
      <c r="W4601" s="9" t="str">
        <f aca="false">IF((H4601-G4601)&lt;&gt;K4601,"Mismatch","OK")</f>
        <v>OK</v>
      </c>
      <c r="X4601" s="9" t="str">
        <f aca="false">IF(TEXT(H4601,"dddd")&lt;&gt;I4601,"Mismatch","OK")</f>
        <v>OK</v>
      </c>
      <c r="Y4601" s="9" t="str">
        <f aca="false">IF(AND(N4601="No",O4601&lt;&gt;""),"Unexpected: channel present but no reminder sent",IF(AND(N4601="Yes",O4601=""),"Missing channel for sent reminder","OK"))</f>
        <v>OK</v>
      </c>
    </row>
    <row r="4602" customFormat="false" ht="15" hidden="false" customHeight="false" outlineLevel="0" collapsed="false">
      <c r="A4602" s="7" t="s">
        <v>6329</v>
      </c>
      <c r="B4602" s="7" t="s">
        <v>2460</v>
      </c>
      <c r="C4602" s="7" t="s">
        <v>47</v>
      </c>
      <c r="D4602" s="7" t="n">
        <v>31</v>
      </c>
      <c r="E4602" s="7" t="s">
        <v>48</v>
      </c>
      <c r="F4602" s="7" t="s">
        <v>57</v>
      </c>
      <c r="G4602" s="8" t="n">
        <v>46163</v>
      </c>
      <c r="H4602" s="8" t="n">
        <v>46197</v>
      </c>
      <c r="I4602" s="7" t="s">
        <v>58</v>
      </c>
      <c r="J4602" s="7" t="s">
        <v>51</v>
      </c>
      <c r="K4602" s="7" t="n">
        <v>34</v>
      </c>
      <c r="L4602" s="7" t="n">
        <v>5</v>
      </c>
      <c r="M4602" s="7" t="n">
        <v>0</v>
      </c>
      <c r="N4602" s="7" t="s">
        <v>42</v>
      </c>
      <c r="O4602" s="7" t="s">
        <v>43</v>
      </c>
      <c r="P4602" s="7" t="n">
        <v>14.9</v>
      </c>
      <c r="Q4602" s="7" t="n">
        <v>26</v>
      </c>
      <c r="R4602" s="7" t="s">
        <v>53</v>
      </c>
      <c r="S4602" s="7"/>
      <c r="T4602" s="7"/>
      <c r="U4602" s="7" t="str">
        <f aca="false">IF(COUNTIF($A$2:$A$5001,A4602)&gt;1,"Duplicate","Unique")</f>
        <v>Unique</v>
      </c>
      <c r="V4602" s="7" t="str">
        <f aca="false">IF(COUNTIFS($B$2:$B$5001,B4602,$H$2:$H$5001,H4602,$J$2:$J$5001,J4602)&gt;1,"Possible Duplicate Booking","Unique")</f>
        <v>Unique</v>
      </c>
      <c r="W4602" s="7" t="str">
        <f aca="false">IF((H4602-G4602)&lt;&gt;K4602,"Mismatch","OK")</f>
        <v>OK</v>
      </c>
      <c r="X4602" s="7" t="str">
        <f aca="false">IF(TEXT(H4602,"dddd")&lt;&gt;I4602,"Mismatch","OK")</f>
        <v>OK</v>
      </c>
      <c r="Y4602" s="7" t="str">
        <f aca="false">IF(AND(N4602="No",O4602&lt;&gt;""),"Unexpected: channel present but no reminder sent",IF(AND(N4602="Yes",O4602=""),"Missing channel for sent reminder","OK"))</f>
        <v>OK</v>
      </c>
    </row>
    <row r="4603" customFormat="false" ht="15" hidden="false" customHeight="false" outlineLevel="0" collapsed="false">
      <c r="A4603" s="9" t="s">
        <v>6330</v>
      </c>
      <c r="B4603" s="9" t="s">
        <v>1303</v>
      </c>
      <c r="C4603" s="9" t="s">
        <v>37</v>
      </c>
      <c r="D4603" s="9" t="n">
        <v>46</v>
      </c>
      <c r="E4603" s="9" t="s">
        <v>56</v>
      </c>
      <c r="F4603" s="9" t="s">
        <v>39</v>
      </c>
      <c r="G4603" s="10" t="n">
        <v>46150</v>
      </c>
      <c r="H4603" s="10" t="n">
        <v>46176</v>
      </c>
      <c r="I4603" s="9" t="s">
        <v>58</v>
      </c>
      <c r="J4603" s="9" t="s">
        <v>41</v>
      </c>
      <c r="K4603" s="9" t="n">
        <v>26</v>
      </c>
      <c r="L4603" s="9" t="n">
        <v>0</v>
      </c>
      <c r="M4603" s="9" t="n">
        <v>0</v>
      </c>
      <c r="N4603" s="9" t="s">
        <v>42</v>
      </c>
      <c r="O4603" s="9" t="s">
        <v>52</v>
      </c>
      <c r="P4603" s="9" t="n">
        <v>10.8</v>
      </c>
      <c r="Q4603" s="9" t="n">
        <v>8</v>
      </c>
      <c r="R4603" s="9" t="s">
        <v>44</v>
      </c>
      <c r="S4603" s="9"/>
      <c r="T4603" s="9"/>
      <c r="U4603" s="9" t="str">
        <f aca="false">IF(COUNTIF($A$2:$A$5001,A4603)&gt;1,"Duplicate","Unique")</f>
        <v>Unique</v>
      </c>
      <c r="V4603" s="9" t="str">
        <f aca="false">IF(COUNTIFS($B$2:$B$5001,B4603,$H$2:$H$5001,H4603,$J$2:$J$5001,J4603)&gt;1,"Possible Duplicate Booking","Unique")</f>
        <v>Unique</v>
      </c>
      <c r="W4603" s="9" t="str">
        <f aca="false">IF((H4603-G4603)&lt;&gt;K4603,"Mismatch","OK")</f>
        <v>OK</v>
      </c>
      <c r="X4603" s="9" t="str">
        <f aca="false">IF(TEXT(H4603,"dddd")&lt;&gt;I4603,"Mismatch","OK")</f>
        <v>OK</v>
      </c>
      <c r="Y4603" s="9" t="str">
        <f aca="false">IF(AND(N4603="No",O4603&lt;&gt;""),"Unexpected: channel present but no reminder sent",IF(AND(N4603="Yes",O4603=""),"Missing channel for sent reminder","OK"))</f>
        <v>OK</v>
      </c>
    </row>
    <row r="4604" customFormat="false" ht="15" hidden="false" customHeight="false" outlineLevel="0" collapsed="false">
      <c r="A4604" s="7" t="s">
        <v>6331</v>
      </c>
      <c r="B4604" s="7" t="s">
        <v>2465</v>
      </c>
      <c r="C4604" s="7" t="s">
        <v>47</v>
      </c>
      <c r="D4604" s="7" t="n">
        <v>65</v>
      </c>
      <c r="E4604" s="7" t="s">
        <v>70</v>
      </c>
      <c r="F4604" s="7" t="s">
        <v>57</v>
      </c>
      <c r="G4604" s="8" t="n">
        <v>45819</v>
      </c>
      <c r="H4604" s="8" t="n">
        <v>45828</v>
      </c>
      <c r="I4604" s="7" t="s">
        <v>50</v>
      </c>
      <c r="J4604" s="7" t="s">
        <v>41</v>
      </c>
      <c r="K4604" s="7" t="n">
        <v>9</v>
      </c>
      <c r="L4604" s="7" t="n">
        <v>4</v>
      </c>
      <c r="M4604" s="7" t="n">
        <v>0</v>
      </c>
      <c r="N4604" s="7" t="s">
        <v>42</v>
      </c>
      <c r="O4604" s="7" t="s">
        <v>52</v>
      </c>
      <c r="P4604" s="7" t="n">
        <v>37.5</v>
      </c>
      <c r="Q4604" s="7" t="n">
        <v>10</v>
      </c>
      <c r="R4604" s="7" t="s">
        <v>53</v>
      </c>
      <c r="S4604" s="7"/>
      <c r="T4604" s="7"/>
      <c r="U4604" s="7" t="str">
        <f aca="false">IF(COUNTIF($A$2:$A$5001,A4604)&gt;1,"Duplicate","Unique")</f>
        <v>Unique</v>
      </c>
      <c r="V4604" s="7" t="str">
        <f aca="false">IF(COUNTIFS($B$2:$B$5001,B4604,$H$2:$H$5001,H4604,$J$2:$J$5001,J4604)&gt;1,"Possible Duplicate Booking","Unique")</f>
        <v>Unique</v>
      </c>
      <c r="W4604" s="7" t="str">
        <f aca="false">IF((H4604-G4604)&lt;&gt;K4604,"Mismatch","OK")</f>
        <v>OK</v>
      </c>
      <c r="X4604" s="7" t="str">
        <f aca="false">IF(TEXT(H4604,"dddd")&lt;&gt;I4604,"Mismatch","OK")</f>
        <v>OK</v>
      </c>
      <c r="Y4604" s="7" t="str">
        <f aca="false">IF(AND(N4604="No",O4604&lt;&gt;""),"Unexpected: channel present but no reminder sent",IF(AND(N4604="Yes",O4604=""),"Missing channel for sent reminder","OK"))</f>
        <v>OK</v>
      </c>
    </row>
    <row r="4605" customFormat="false" ht="15" hidden="false" customHeight="false" outlineLevel="0" collapsed="false">
      <c r="A4605" s="9" t="s">
        <v>6332</v>
      </c>
      <c r="B4605" s="9" t="s">
        <v>6333</v>
      </c>
      <c r="C4605" s="9" t="s">
        <v>47</v>
      </c>
      <c r="D4605" s="9" t="n">
        <v>59</v>
      </c>
      <c r="E4605" s="9" t="s">
        <v>61</v>
      </c>
      <c r="F4605" s="9" t="s">
        <v>39</v>
      </c>
      <c r="G4605" s="10" t="n">
        <v>46059</v>
      </c>
      <c r="H4605" s="10" t="n">
        <v>46071</v>
      </c>
      <c r="I4605" s="9" t="s">
        <v>58</v>
      </c>
      <c r="J4605" s="9" t="s">
        <v>63</v>
      </c>
      <c r="K4605" s="9" t="n">
        <v>12</v>
      </c>
      <c r="L4605" s="9" t="n">
        <v>3</v>
      </c>
      <c r="M4605" s="9" t="n">
        <v>0</v>
      </c>
      <c r="N4605" s="9" t="s">
        <v>42</v>
      </c>
      <c r="O4605" s="9" t="s">
        <v>52</v>
      </c>
      <c r="P4605" s="9" t="n">
        <v>5.9</v>
      </c>
      <c r="Q4605" s="9" t="n">
        <v>25</v>
      </c>
      <c r="R4605" s="9" t="s">
        <v>53</v>
      </c>
      <c r="S4605" s="9"/>
      <c r="T4605" s="9"/>
      <c r="U4605" s="9" t="str">
        <f aca="false">IF(COUNTIF($A$2:$A$5001,A4605)&gt;1,"Duplicate","Unique")</f>
        <v>Unique</v>
      </c>
      <c r="V4605" s="9" t="str">
        <f aca="false">IF(COUNTIFS($B$2:$B$5001,B4605,$H$2:$H$5001,H4605,$J$2:$J$5001,J4605)&gt;1,"Possible Duplicate Booking","Unique")</f>
        <v>Unique</v>
      </c>
      <c r="W4605" s="9" t="str">
        <f aca="false">IF((H4605-G4605)&lt;&gt;K4605,"Mismatch","OK")</f>
        <v>OK</v>
      </c>
      <c r="X4605" s="9" t="str">
        <f aca="false">IF(TEXT(H4605,"dddd")&lt;&gt;I4605,"Mismatch","OK")</f>
        <v>OK</v>
      </c>
      <c r="Y4605" s="9" t="str">
        <f aca="false">IF(AND(N4605="No",O4605&lt;&gt;""),"Unexpected: channel present but no reminder sent",IF(AND(N4605="Yes",O4605=""),"Missing channel for sent reminder","OK"))</f>
        <v>OK</v>
      </c>
    </row>
    <row r="4606" customFormat="false" ht="15" hidden="false" customHeight="false" outlineLevel="0" collapsed="false">
      <c r="A4606" s="7" t="s">
        <v>6334</v>
      </c>
      <c r="B4606" s="7" t="s">
        <v>1333</v>
      </c>
      <c r="C4606" s="7" t="s">
        <v>37</v>
      </c>
      <c r="D4606" s="7" t="n">
        <v>25</v>
      </c>
      <c r="E4606" s="7" t="s">
        <v>48</v>
      </c>
      <c r="F4606" s="7" t="s">
        <v>39</v>
      </c>
      <c r="G4606" s="8" t="n">
        <v>45747</v>
      </c>
      <c r="H4606" s="8" t="n">
        <v>45773</v>
      </c>
      <c r="I4606" s="7" t="s">
        <v>102</v>
      </c>
      <c r="J4606" s="7" t="s">
        <v>51</v>
      </c>
      <c r="K4606" s="7" t="n">
        <v>26</v>
      </c>
      <c r="L4606" s="7" t="n">
        <v>5</v>
      </c>
      <c r="M4606" s="7" t="n">
        <v>0</v>
      </c>
      <c r="N4606" s="7" t="s">
        <v>42</v>
      </c>
      <c r="O4606" s="7" t="s">
        <v>52</v>
      </c>
      <c r="P4606" s="7" t="n">
        <v>1.3</v>
      </c>
      <c r="Q4606" s="7" t="n">
        <v>30</v>
      </c>
      <c r="R4606" s="7" t="s">
        <v>53</v>
      </c>
      <c r="S4606" s="7"/>
      <c r="T4606" s="7"/>
      <c r="U4606" s="7" t="str">
        <f aca="false">IF(COUNTIF($A$2:$A$5001,A4606)&gt;1,"Duplicate","Unique")</f>
        <v>Unique</v>
      </c>
      <c r="V4606" s="7" t="str">
        <f aca="false">IF(COUNTIFS($B$2:$B$5001,B4606,$H$2:$H$5001,H4606,$J$2:$J$5001,J4606)&gt;1,"Possible Duplicate Booking","Unique")</f>
        <v>Unique</v>
      </c>
      <c r="W4606" s="7" t="str">
        <f aca="false">IF((H4606-G4606)&lt;&gt;K4606,"Mismatch","OK")</f>
        <v>OK</v>
      </c>
      <c r="X4606" s="7" t="str">
        <f aca="false">IF(TEXT(H4606,"dddd")&lt;&gt;I4606,"Mismatch","OK")</f>
        <v>OK</v>
      </c>
      <c r="Y4606" s="7" t="str">
        <f aca="false">IF(AND(N4606="No",O4606&lt;&gt;""),"Unexpected: channel present but no reminder sent",IF(AND(N4606="Yes",O4606=""),"Missing channel for sent reminder","OK"))</f>
        <v>OK</v>
      </c>
    </row>
    <row r="4607" customFormat="false" ht="15" hidden="false" customHeight="false" outlineLevel="0" collapsed="false">
      <c r="A4607" s="9" t="s">
        <v>6335</v>
      </c>
      <c r="B4607" s="9" t="s">
        <v>6336</v>
      </c>
      <c r="C4607" s="9" t="s">
        <v>47</v>
      </c>
      <c r="D4607" s="9" t="n">
        <v>73</v>
      </c>
      <c r="E4607" s="9" t="s">
        <v>70</v>
      </c>
      <c r="F4607" s="9" t="s">
        <v>39</v>
      </c>
      <c r="G4607" s="10" t="n">
        <v>45913</v>
      </c>
      <c r="H4607" s="10" t="n">
        <v>45915</v>
      </c>
      <c r="I4607" s="9" t="s">
        <v>66</v>
      </c>
      <c r="J4607" s="9" t="s">
        <v>41</v>
      </c>
      <c r="K4607" s="9" t="n">
        <v>2</v>
      </c>
      <c r="L4607" s="9" t="n">
        <v>1</v>
      </c>
      <c r="M4607" s="9" t="n">
        <v>0</v>
      </c>
      <c r="N4607" s="9" t="s">
        <v>71</v>
      </c>
      <c r="O4607" s="9"/>
      <c r="P4607" s="9" t="n">
        <v>4.5</v>
      </c>
      <c r="Q4607" s="9" t="n">
        <v>15</v>
      </c>
      <c r="R4607" s="9" t="s">
        <v>87</v>
      </c>
      <c r="S4607" s="9"/>
      <c r="T4607" s="9"/>
      <c r="U4607" s="9" t="str">
        <f aca="false">IF(COUNTIF($A$2:$A$5001,A4607)&gt;1,"Duplicate","Unique")</f>
        <v>Unique</v>
      </c>
      <c r="V4607" s="9" t="str">
        <f aca="false">IF(COUNTIFS($B$2:$B$5001,B4607,$H$2:$H$5001,H4607,$J$2:$J$5001,J4607)&gt;1,"Possible Duplicate Booking","Unique")</f>
        <v>Unique</v>
      </c>
      <c r="W4607" s="9" t="str">
        <f aca="false">IF((H4607-G4607)&lt;&gt;K4607,"Mismatch","OK")</f>
        <v>OK</v>
      </c>
      <c r="X4607" s="9" t="str">
        <f aca="false">IF(TEXT(H4607,"dddd")&lt;&gt;I4607,"Mismatch","OK")</f>
        <v>OK</v>
      </c>
      <c r="Y4607" s="9" t="str">
        <f aca="false">IF(AND(N4607="No",O4607&lt;&gt;""),"Unexpected: channel present but no reminder sent",IF(AND(N4607="Yes",O4607=""),"Missing channel for sent reminder","OK"))</f>
        <v>OK</v>
      </c>
    </row>
    <row r="4608" customFormat="false" ht="15" hidden="false" customHeight="false" outlineLevel="0" collapsed="false">
      <c r="A4608" s="7" t="s">
        <v>6337</v>
      </c>
      <c r="B4608" s="7" t="s">
        <v>2426</v>
      </c>
      <c r="C4608" s="7" t="s">
        <v>47</v>
      </c>
      <c r="D4608" s="7" t="n">
        <v>76</v>
      </c>
      <c r="E4608" s="7" t="s">
        <v>70</v>
      </c>
      <c r="F4608" s="7" t="s">
        <v>39</v>
      </c>
      <c r="G4608" s="8" t="n">
        <v>45770</v>
      </c>
      <c r="H4608" s="8" t="n">
        <v>45789</v>
      </c>
      <c r="I4608" s="7" t="s">
        <v>66</v>
      </c>
      <c r="J4608" s="7" t="s">
        <v>63</v>
      </c>
      <c r="K4608" s="7" t="n">
        <v>19</v>
      </c>
      <c r="L4608" s="7" t="n">
        <v>6</v>
      </c>
      <c r="M4608" s="7" t="n">
        <v>1</v>
      </c>
      <c r="N4608" s="7" t="s">
        <v>42</v>
      </c>
      <c r="O4608" s="7" t="s">
        <v>67</v>
      </c>
      <c r="P4608" s="7" t="n">
        <v>5.5</v>
      </c>
      <c r="Q4608" s="7" t="n">
        <v>8</v>
      </c>
      <c r="R4608" s="7" t="s">
        <v>53</v>
      </c>
      <c r="S4608" s="7"/>
      <c r="T4608" s="7"/>
      <c r="U4608" s="7" t="str">
        <f aca="false">IF(COUNTIF($A$2:$A$5001,A4608)&gt;1,"Duplicate","Unique")</f>
        <v>Unique</v>
      </c>
      <c r="V4608" s="7" t="str">
        <f aca="false">IF(COUNTIFS($B$2:$B$5001,B4608,$H$2:$H$5001,H4608,$J$2:$J$5001,J4608)&gt;1,"Possible Duplicate Booking","Unique")</f>
        <v>Unique</v>
      </c>
      <c r="W4608" s="7" t="str">
        <f aca="false">IF((H4608-G4608)&lt;&gt;K4608,"Mismatch","OK")</f>
        <v>OK</v>
      </c>
      <c r="X4608" s="7" t="str">
        <f aca="false">IF(TEXT(H4608,"dddd")&lt;&gt;I4608,"Mismatch","OK")</f>
        <v>OK</v>
      </c>
      <c r="Y4608" s="7" t="str">
        <f aca="false">IF(AND(N4608="No",O4608&lt;&gt;""),"Unexpected: channel present but no reminder sent",IF(AND(N4608="Yes",O4608=""),"Missing channel for sent reminder","OK"))</f>
        <v>OK</v>
      </c>
    </row>
    <row r="4609" customFormat="false" ht="15" hidden="false" customHeight="false" outlineLevel="0" collapsed="false">
      <c r="A4609" s="9" t="s">
        <v>6338</v>
      </c>
      <c r="B4609" s="9" t="s">
        <v>3986</v>
      </c>
      <c r="C4609" s="9" t="s">
        <v>37</v>
      </c>
      <c r="D4609" s="9" t="n">
        <v>48</v>
      </c>
      <c r="E4609" s="9" t="s">
        <v>56</v>
      </c>
      <c r="F4609" s="9" t="s">
        <v>57</v>
      </c>
      <c r="G4609" s="10" t="n">
        <v>45895</v>
      </c>
      <c r="H4609" s="10" t="n">
        <v>45923</v>
      </c>
      <c r="I4609" s="9" t="s">
        <v>40</v>
      </c>
      <c r="J4609" s="9" t="s">
        <v>51</v>
      </c>
      <c r="K4609" s="9" t="n">
        <v>28</v>
      </c>
      <c r="L4609" s="9" t="n">
        <v>2</v>
      </c>
      <c r="M4609" s="9" t="n">
        <v>1</v>
      </c>
      <c r="N4609" s="9" t="s">
        <v>42</v>
      </c>
      <c r="O4609" s="9" t="s">
        <v>43</v>
      </c>
      <c r="P4609" s="9" t="n">
        <v>11.3</v>
      </c>
      <c r="Q4609" s="9" t="n">
        <v>24</v>
      </c>
      <c r="R4609" s="9" t="s">
        <v>44</v>
      </c>
      <c r="S4609" s="9"/>
      <c r="T4609" s="9"/>
      <c r="U4609" s="9" t="str">
        <f aca="false">IF(COUNTIF($A$2:$A$5001,A4609)&gt;1,"Duplicate","Unique")</f>
        <v>Unique</v>
      </c>
      <c r="V4609" s="9" t="str">
        <f aca="false">IF(COUNTIFS($B$2:$B$5001,B4609,$H$2:$H$5001,H4609,$J$2:$J$5001,J4609)&gt;1,"Possible Duplicate Booking","Unique")</f>
        <v>Unique</v>
      </c>
      <c r="W4609" s="9" t="str">
        <f aca="false">IF((H4609-G4609)&lt;&gt;K4609,"Mismatch","OK")</f>
        <v>OK</v>
      </c>
      <c r="X4609" s="9" t="str">
        <f aca="false">IF(TEXT(H4609,"dddd")&lt;&gt;I4609,"Mismatch","OK")</f>
        <v>OK</v>
      </c>
      <c r="Y4609" s="9" t="str">
        <f aca="false">IF(AND(N4609="No",O4609&lt;&gt;""),"Unexpected: channel present but no reminder sent",IF(AND(N4609="Yes",O4609=""),"Missing channel for sent reminder","OK"))</f>
        <v>OK</v>
      </c>
    </row>
    <row r="4610" customFormat="false" ht="15" hidden="false" customHeight="false" outlineLevel="0" collapsed="false">
      <c r="A4610" s="7" t="s">
        <v>6339</v>
      </c>
      <c r="B4610" s="7" t="s">
        <v>4222</v>
      </c>
      <c r="C4610" s="7" t="s">
        <v>47</v>
      </c>
      <c r="D4610" s="7" t="n">
        <v>39</v>
      </c>
      <c r="E4610" s="7" t="s">
        <v>38</v>
      </c>
      <c r="F4610" s="7" t="s">
        <v>57</v>
      </c>
      <c r="G4610" s="8" t="n">
        <v>46106</v>
      </c>
      <c r="H4610" s="8" t="n">
        <v>46134</v>
      </c>
      <c r="I4610" s="7" t="s">
        <v>58</v>
      </c>
      <c r="J4610" s="7" t="s">
        <v>51</v>
      </c>
      <c r="K4610" s="7" t="n">
        <v>28</v>
      </c>
      <c r="L4610" s="7" t="n">
        <v>2</v>
      </c>
      <c r="M4610" s="7" t="n">
        <v>0</v>
      </c>
      <c r="N4610" s="7" t="s">
        <v>42</v>
      </c>
      <c r="O4610" s="7" t="s">
        <v>43</v>
      </c>
      <c r="P4610" s="7" t="n">
        <v>14.4</v>
      </c>
      <c r="Q4610" s="7" t="n">
        <v>2</v>
      </c>
      <c r="R4610" s="7" t="s">
        <v>53</v>
      </c>
      <c r="S4610" s="7"/>
      <c r="T4610" s="7"/>
      <c r="U4610" s="7" t="str">
        <f aca="false">IF(COUNTIF($A$2:$A$5001,A4610)&gt;1,"Duplicate","Unique")</f>
        <v>Unique</v>
      </c>
      <c r="V4610" s="7" t="str">
        <f aca="false">IF(COUNTIFS($B$2:$B$5001,B4610,$H$2:$H$5001,H4610,$J$2:$J$5001,J4610)&gt;1,"Possible Duplicate Booking","Unique")</f>
        <v>Unique</v>
      </c>
      <c r="W4610" s="7" t="str">
        <f aca="false">IF((H4610-G4610)&lt;&gt;K4610,"Mismatch","OK")</f>
        <v>OK</v>
      </c>
      <c r="X4610" s="7" t="str">
        <f aca="false">IF(TEXT(H4610,"dddd")&lt;&gt;I4610,"Mismatch","OK")</f>
        <v>OK</v>
      </c>
      <c r="Y4610" s="7" t="str">
        <f aca="false">IF(AND(N4610="No",O4610&lt;&gt;""),"Unexpected: channel present but no reminder sent",IF(AND(N4610="Yes",O4610=""),"Missing channel for sent reminder","OK"))</f>
        <v>OK</v>
      </c>
    </row>
    <row r="4611" customFormat="false" ht="15" hidden="false" customHeight="false" outlineLevel="0" collapsed="false">
      <c r="A4611" s="9" t="s">
        <v>6340</v>
      </c>
      <c r="B4611" s="9" t="s">
        <v>1834</v>
      </c>
      <c r="C4611" s="9" t="s">
        <v>47</v>
      </c>
      <c r="D4611" s="9" t="n">
        <v>51</v>
      </c>
      <c r="E4611" s="9" t="s">
        <v>56</v>
      </c>
      <c r="F4611" s="9" t="s">
        <v>57</v>
      </c>
      <c r="G4611" s="10" t="n">
        <v>45847</v>
      </c>
      <c r="H4611" s="10" t="n">
        <v>45896</v>
      </c>
      <c r="I4611" s="9" t="s">
        <v>58</v>
      </c>
      <c r="J4611" s="9" t="s">
        <v>41</v>
      </c>
      <c r="K4611" s="9" t="n">
        <v>49</v>
      </c>
      <c r="L4611" s="9" t="n">
        <v>5</v>
      </c>
      <c r="M4611" s="9" t="n">
        <v>1</v>
      </c>
      <c r="N4611" s="9" t="s">
        <v>71</v>
      </c>
      <c r="O4611" s="9"/>
      <c r="P4611" s="9" t="n">
        <v>2.8</v>
      </c>
      <c r="Q4611" s="9" t="n">
        <v>20</v>
      </c>
      <c r="R4611" s="9" t="s">
        <v>53</v>
      </c>
      <c r="S4611" s="9"/>
      <c r="T4611" s="9"/>
      <c r="U4611" s="9" t="str">
        <f aca="false">IF(COUNTIF($A$2:$A$5001,A4611)&gt;1,"Duplicate","Unique")</f>
        <v>Unique</v>
      </c>
      <c r="V4611" s="9" t="str">
        <f aca="false">IF(COUNTIFS($B$2:$B$5001,B4611,$H$2:$H$5001,H4611,$J$2:$J$5001,J4611)&gt;1,"Possible Duplicate Booking","Unique")</f>
        <v>Unique</v>
      </c>
      <c r="W4611" s="9" t="str">
        <f aca="false">IF((H4611-G4611)&lt;&gt;K4611,"Mismatch","OK")</f>
        <v>OK</v>
      </c>
      <c r="X4611" s="9" t="str">
        <f aca="false">IF(TEXT(H4611,"dddd")&lt;&gt;I4611,"Mismatch","OK")</f>
        <v>OK</v>
      </c>
      <c r="Y4611" s="9" t="str">
        <f aca="false">IF(AND(N4611="No",O4611&lt;&gt;""),"Unexpected: channel present but no reminder sent",IF(AND(N4611="Yes",O4611=""),"Missing channel for sent reminder","OK"))</f>
        <v>OK</v>
      </c>
    </row>
    <row r="4612" customFormat="false" ht="15" hidden="false" customHeight="false" outlineLevel="0" collapsed="false">
      <c r="A4612" s="7" t="s">
        <v>6341</v>
      </c>
      <c r="B4612" s="7" t="s">
        <v>1587</v>
      </c>
      <c r="C4612" s="7" t="s">
        <v>37</v>
      </c>
      <c r="D4612" s="7" t="n">
        <v>68</v>
      </c>
      <c r="E4612" s="7" t="s">
        <v>70</v>
      </c>
      <c r="F4612" s="7" t="s">
        <v>39</v>
      </c>
      <c r="G4612" s="8" t="n">
        <v>45649</v>
      </c>
      <c r="H4612" s="8" t="n">
        <v>45708</v>
      </c>
      <c r="I4612" s="7" t="s">
        <v>62</v>
      </c>
      <c r="J4612" s="7" t="s">
        <v>41</v>
      </c>
      <c r="K4612" s="7" t="n">
        <v>59</v>
      </c>
      <c r="L4612" s="7" t="n">
        <v>0</v>
      </c>
      <c r="M4612" s="7" t="n">
        <v>0</v>
      </c>
      <c r="N4612" s="7" t="s">
        <v>42</v>
      </c>
      <c r="O4612" s="7" t="s">
        <v>52</v>
      </c>
      <c r="P4612" s="7" t="n">
        <v>12.2</v>
      </c>
      <c r="Q4612" s="7" t="n">
        <v>31</v>
      </c>
      <c r="R4612" s="7" t="s">
        <v>53</v>
      </c>
      <c r="S4612" s="7"/>
      <c r="T4612" s="7"/>
      <c r="U4612" s="7" t="str">
        <f aca="false">IF(COUNTIF($A$2:$A$5001,A4612)&gt;1,"Duplicate","Unique")</f>
        <v>Unique</v>
      </c>
      <c r="V4612" s="7" t="str">
        <f aca="false">IF(COUNTIFS($B$2:$B$5001,B4612,$H$2:$H$5001,H4612,$J$2:$J$5001,J4612)&gt;1,"Possible Duplicate Booking","Unique")</f>
        <v>Unique</v>
      </c>
      <c r="W4612" s="7" t="str">
        <f aca="false">IF((H4612-G4612)&lt;&gt;K4612,"Mismatch","OK")</f>
        <v>OK</v>
      </c>
      <c r="X4612" s="7" t="str">
        <f aca="false">IF(TEXT(H4612,"dddd")&lt;&gt;I4612,"Mismatch","OK")</f>
        <v>OK</v>
      </c>
      <c r="Y4612" s="7" t="str">
        <f aca="false">IF(AND(N4612="No",O4612&lt;&gt;""),"Unexpected: channel present but no reminder sent",IF(AND(N4612="Yes",O4612=""),"Missing channel for sent reminder","OK"))</f>
        <v>OK</v>
      </c>
    </row>
    <row r="4613" customFormat="false" ht="15" hidden="false" customHeight="false" outlineLevel="0" collapsed="false">
      <c r="A4613" s="9" t="s">
        <v>6342</v>
      </c>
      <c r="B4613" s="9" t="s">
        <v>5747</v>
      </c>
      <c r="C4613" s="9" t="s">
        <v>47</v>
      </c>
      <c r="D4613" s="9" t="n">
        <v>46</v>
      </c>
      <c r="E4613" s="9" t="s">
        <v>56</v>
      </c>
      <c r="F4613" s="9" t="s">
        <v>39</v>
      </c>
      <c r="G4613" s="10" t="n">
        <v>45791</v>
      </c>
      <c r="H4613" s="10" t="n">
        <v>45835</v>
      </c>
      <c r="I4613" s="9" t="s">
        <v>50</v>
      </c>
      <c r="J4613" s="9" t="s">
        <v>41</v>
      </c>
      <c r="K4613" s="9" t="n">
        <v>44</v>
      </c>
      <c r="L4613" s="9" t="n">
        <v>3</v>
      </c>
      <c r="M4613" s="9" t="n">
        <v>0</v>
      </c>
      <c r="N4613" s="9" t="s">
        <v>42</v>
      </c>
      <c r="O4613" s="9" t="s">
        <v>43</v>
      </c>
      <c r="P4613" s="9" t="n">
        <v>1.6</v>
      </c>
      <c r="Q4613" s="9" t="n">
        <v>21</v>
      </c>
      <c r="R4613" s="9" t="s">
        <v>44</v>
      </c>
      <c r="S4613" s="9"/>
      <c r="T4613" s="9"/>
      <c r="U4613" s="9" t="str">
        <f aca="false">IF(COUNTIF($A$2:$A$5001,A4613)&gt;1,"Duplicate","Unique")</f>
        <v>Unique</v>
      </c>
      <c r="V4613" s="9" t="str">
        <f aca="false">IF(COUNTIFS($B$2:$B$5001,B4613,$H$2:$H$5001,H4613,$J$2:$J$5001,J4613)&gt;1,"Possible Duplicate Booking","Unique")</f>
        <v>Unique</v>
      </c>
      <c r="W4613" s="9" t="str">
        <f aca="false">IF((H4613-G4613)&lt;&gt;K4613,"Mismatch","OK")</f>
        <v>OK</v>
      </c>
      <c r="X4613" s="9" t="str">
        <f aca="false">IF(TEXT(H4613,"dddd")&lt;&gt;I4613,"Mismatch","OK")</f>
        <v>OK</v>
      </c>
      <c r="Y4613" s="9" t="str">
        <f aca="false">IF(AND(N4613="No",O4613&lt;&gt;""),"Unexpected: channel present but no reminder sent",IF(AND(N4613="Yes",O4613=""),"Missing channel for sent reminder","OK"))</f>
        <v>OK</v>
      </c>
    </row>
    <row r="4614" customFormat="false" ht="15" hidden="false" customHeight="false" outlineLevel="0" collapsed="false">
      <c r="A4614" s="7" t="s">
        <v>6343</v>
      </c>
      <c r="B4614" s="7" t="s">
        <v>4858</v>
      </c>
      <c r="C4614" s="7" t="s">
        <v>37</v>
      </c>
      <c r="D4614" s="7" t="n">
        <v>19</v>
      </c>
      <c r="E4614" s="7" t="s">
        <v>82</v>
      </c>
      <c r="F4614" s="7" t="s">
        <v>49</v>
      </c>
      <c r="G4614" s="8" t="n">
        <v>46083</v>
      </c>
      <c r="H4614" s="8" t="n">
        <v>46087</v>
      </c>
      <c r="I4614" s="7" t="s">
        <v>50</v>
      </c>
      <c r="J4614" s="7" t="s">
        <v>51</v>
      </c>
      <c r="K4614" s="7" t="n">
        <v>4</v>
      </c>
      <c r="L4614" s="7" t="n">
        <v>5</v>
      </c>
      <c r="M4614" s="7" t="n">
        <v>1</v>
      </c>
      <c r="N4614" s="7" t="s">
        <v>42</v>
      </c>
      <c r="O4614" s="7" t="s">
        <v>67</v>
      </c>
      <c r="P4614" s="7" t="n">
        <v>3.9</v>
      </c>
      <c r="Q4614" s="7" t="n">
        <v>7</v>
      </c>
      <c r="R4614" s="7" t="s">
        <v>53</v>
      </c>
      <c r="S4614" s="7"/>
      <c r="T4614" s="7"/>
      <c r="U4614" s="7" t="str">
        <f aca="false">IF(COUNTIF($A$2:$A$5001,A4614)&gt;1,"Duplicate","Unique")</f>
        <v>Unique</v>
      </c>
      <c r="V4614" s="7" t="str">
        <f aca="false">IF(COUNTIFS($B$2:$B$5001,B4614,$H$2:$H$5001,H4614,$J$2:$J$5001,J4614)&gt;1,"Possible Duplicate Booking","Unique")</f>
        <v>Unique</v>
      </c>
      <c r="W4614" s="7" t="str">
        <f aca="false">IF((H4614-G4614)&lt;&gt;K4614,"Mismatch","OK")</f>
        <v>OK</v>
      </c>
      <c r="X4614" s="7" t="str">
        <f aca="false">IF(TEXT(H4614,"dddd")&lt;&gt;I4614,"Mismatch","OK")</f>
        <v>OK</v>
      </c>
      <c r="Y4614" s="7" t="str">
        <f aca="false">IF(AND(N4614="No",O4614&lt;&gt;""),"Unexpected: channel present but no reminder sent",IF(AND(N4614="Yes",O4614=""),"Missing channel for sent reminder","OK"))</f>
        <v>OK</v>
      </c>
    </row>
    <row r="4615" customFormat="false" ht="15" hidden="false" customHeight="false" outlineLevel="0" collapsed="false">
      <c r="A4615" s="9" t="s">
        <v>6344</v>
      </c>
      <c r="B4615" s="9" t="s">
        <v>3579</v>
      </c>
      <c r="C4615" s="9" t="s">
        <v>37</v>
      </c>
      <c r="D4615" s="9" t="n">
        <v>22</v>
      </c>
      <c r="E4615" s="9" t="s">
        <v>82</v>
      </c>
      <c r="F4615" s="9" t="s">
        <v>57</v>
      </c>
      <c r="G4615" s="10" t="n">
        <v>45918</v>
      </c>
      <c r="H4615" s="10" t="n">
        <v>45942</v>
      </c>
      <c r="I4615" s="9" t="s">
        <v>75</v>
      </c>
      <c r="J4615" s="9" t="s">
        <v>41</v>
      </c>
      <c r="K4615" s="9" t="n">
        <v>24</v>
      </c>
      <c r="L4615" s="9" t="n">
        <v>3</v>
      </c>
      <c r="M4615" s="9" t="n">
        <v>1</v>
      </c>
      <c r="N4615" s="9" t="s">
        <v>42</v>
      </c>
      <c r="O4615" s="9" t="s">
        <v>52</v>
      </c>
      <c r="P4615" s="9" t="n">
        <v>15.9</v>
      </c>
      <c r="Q4615" s="9" t="n">
        <v>41</v>
      </c>
      <c r="R4615" s="9" t="s">
        <v>44</v>
      </c>
      <c r="S4615" s="9"/>
      <c r="T4615" s="9"/>
      <c r="U4615" s="9" t="str">
        <f aca="false">IF(COUNTIF($A$2:$A$5001,A4615)&gt;1,"Duplicate","Unique")</f>
        <v>Unique</v>
      </c>
      <c r="V4615" s="9" t="str">
        <f aca="false">IF(COUNTIFS($B$2:$B$5001,B4615,$H$2:$H$5001,H4615,$J$2:$J$5001,J4615)&gt;1,"Possible Duplicate Booking","Unique")</f>
        <v>Unique</v>
      </c>
      <c r="W4615" s="9" t="str">
        <f aca="false">IF((H4615-G4615)&lt;&gt;K4615,"Mismatch","OK")</f>
        <v>OK</v>
      </c>
      <c r="X4615" s="9" t="str">
        <f aca="false">IF(TEXT(H4615,"dddd")&lt;&gt;I4615,"Mismatch","OK")</f>
        <v>OK</v>
      </c>
      <c r="Y4615" s="9" t="str">
        <f aca="false">IF(AND(N4615="No",O4615&lt;&gt;""),"Unexpected: channel present but no reminder sent",IF(AND(N4615="Yes",O4615=""),"Missing channel for sent reminder","OK"))</f>
        <v>OK</v>
      </c>
    </row>
    <row r="4616" customFormat="false" ht="15" hidden="false" customHeight="false" outlineLevel="0" collapsed="false">
      <c r="A4616" s="7" t="s">
        <v>6345</v>
      </c>
      <c r="B4616" s="7" t="s">
        <v>1981</v>
      </c>
      <c r="C4616" s="7" t="s">
        <v>47</v>
      </c>
      <c r="D4616" s="7" t="n">
        <v>69</v>
      </c>
      <c r="E4616" s="7" t="s">
        <v>70</v>
      </c>
      <c r="F4616" s="7" t="s">
        <v>39</v>
      </c>
      <c r="G4616" s="8" t="n">
        <v>45919</v>
      </c>
      <c r="H4616" s="8" t="n">
        <v>45963</v>
      </c>
      <c r="I4616" s="7" t="s">
        <v>75</v>
      </c>
      <c r="J4616" s="7" t="s">
        <v>51</v>
      </c>
      <c r="K4616" s="7" t="n">
        <v>44</v>
      </c>
      <c r="L4616" s="7" t="n">
        <v>1</v>
      </c>
      <c r="M4616" s="7" t="n">
        <v>1</v>
      </c>
      <c r="N4616" s="7" t="s">
        <v>71</v>
      </c>
      <c r="O4616" s="7"/>
      <c r="P4616" s="7" t="n">
        <v>21.3</v>
      </c>
      <c r="Q4616" s="7" t="n">
        <v>24</v>
      </c>
      <c r="R4616" s="7" t="s">
        <v>53</v>
      </c>
      <c r="S4616" s="7"/>
      <c r="T4616" s="7"/>
      <c r="U4616" s="7" t="str">
        <f aca="false">IF(COUNTIF($A$2:$A$5001,A4616)&gt;1,"Duplicate","Unique")</f>
        <v>Unique</v>
      </c>
      <c r="V4616" s="7" t="str">
        <f aca="false">IF(COUNTIFS($B$2:$B$5001,B4616,$H$2:$H$5001,H4616,$J$2:$J$5001,J4616)&gt;1,"Possible Duplicate Booking","Unique")</f>
        <v>Unique</v>
      </c>
      <c r="W4616" s="7" t="str">
        <f aca="false">IF((H4616-G4616)&lt;&gt;K4616,"Mismatch","OK")</f>
        <v>OK</v>
      </c>
      <c r="X4616" s="7" t="str">
        <f aca="false">IF(TEXT(H4616,"dddd")&lt;&gt;I4616,"Mismatch","OK")</f>
        <v>OK</v>
      </c>
      <c r="Y4616" s="7" t="str">
        <f aca="false">IF(AND(N4616="No",O4616&lt;&gt;""),"Unexpected: channel present but no reminder sent",IF(AND(N4616="Yes",O4616=""),"Missing channel for sent reminder","OK"))</f>
        <v>OK</v>
      </c>
    </row>
    <row r="4617" customFormat="false" ht="15" hidden="false" customHeight="false" outlineLevel="0" collapsed="false">
      <c r="A4617" s="9" t="s">
        <v>6346</v>
      </c>
      <c r="B4617" s="9" t="s">
        <v>4222</v>
      </c>
      <c r="C4617" s="9" t="s">
        <v>37</v>
      </c>
      <c r="D4617" s="9" t="n">
        <v>67</v>
      </c>
      <c r="E4617" s="9" t="s">
        <v>70</v>
      </c>
      <c r="F4617" s="9" t="s">
        <v>57</v>
      </c>
      <c r="G4617" s="10" t="n">
        <v>45857</v>
      </c>
      <c r="H4617" s="10" t="n">
        <v>45893</v>
      </c>
      <c r="I4617" s="9" t="s">
        <v>75</v>
      </c>
      <c r="J4617" s="9" t="s">
        <v>41</v>
      </c>
      <c r="K4617" s="9" t="n">
        <v>36</v>
      </c>
      <c r="L4617" s="9" t="n">
        <v>4</v>
      </c>
      <c r="M4617" s="9" t="n">
        <v>1</v>
      </c>
      <c r="N4617" s="9" t="s">
        <v>71</v>
      </c>
      <c r="O4617" s="9"/>
      <c r="P4617" s="9" t="n">
        <v>16.2</v>
      </c>
      <c r="Q4617" s="9" t="n">
        <v>26</v>
      </c>
      <c r="R4617" s="9" t="s">
        <v>53</v>
      </c>
      <c r="S4617" s="9"/>
      <c r="T4617" s="9"/>
      <c r="U4617" s="9" t="str">
        <f aca="false">IF(COUNTIF($A$2:$A$5001,A4617)&gt;1,"Duplicate","Unique")</f>
        <v>Unique</v>
      </c>
      <c r="V4617" s="9" t="str">
        <f aca="false">IF(COUNTIFS($B$2:$B$5001,B4617,$H$2:$H$5001,H4617,$J$2:$J$5001,J4617)&gt;1,"Possible Duplicate Booking","Unique")</f>
        <v>Unique</v>
      </c>
      <c r="W4617" s="9" t="str">
        <f aca="false">IF((H4617-G4617)&lt;&gt;K4617,"Mismatch","OK")</f>
        <v>OK</v>
      </c>
      <c r="X4617" s="9" t="str">
        <f aca="false">IF(TEXT(H4617,"dddd")&lt;&gt;I4617,"Mismatch","OK")</f>
        <v>OK</v>
      </c>
      <c r="Y4617" s="9" t="str">
        <f aca="false">IF(AND(N4617="No",O4617&lt;&gt;""),"Unexpected: channel present but no reminder sent",IF(AND(N4617="Yes",O4617=""),"Missing channel for sent reminder","OK"))</f>
        <v>OK</v>
      </c>
    </row>
    <row r="4618" customFormat="false" ht="15" hidden="false" customHeight="false" outlineLevel="0" collapsed="false">
      <c r="A4618" s="7" t="s">
        <v>6347</v>
      </c>
      <c r="B4618" s="7" t="s">
        <v>1157</v>
      </c>
      <c r="C4618" s="7" t="s">
        <v>37</v>
      </c>
      <c r="D4618" s="7" t="n">
        <v>66</v>
      </c>
      <c r="E4618" s="7" t="s">
        <v>70</v>
      </c>
      <c r="F4618" s="7" t="s">
        <v>57</v>
      </c>
      <c r="G4618" s="8" t="n">
        <v>45790</v>
      </c>
      <c r="H4618" s="8" t="n">
        <v>45817</v>
      </c>
      <c r="I4618" s="7" t="s">
        <v>66</v>
      </c>
      <c r="J4618" s="7" t="s">
        <v>51</v>
      </c>
      <c r="K4618" s="7" t="n">
        <v>27</v>
      </c>
      <c r="L4618" s="7" t="n">
        <v>4</v>
      </c>
      <c r="M4618" s="7" t="n">
        <v>1</v>
      </c>
      <c r="N4618" s="7" t="s">
        <v>42</v>
      </c>
      <c r="O4618" s="7" t="s">
        <v>43</v>
      </c>
      <c r="P4618" s="7" t="n">
        <v>7</v>
      </c>
      <c r="Q4618" s="7" t="n">
        <v>34</v>
      </c>
      <c r="R4618" s="7" t="s">
        <v>44</v>
      </c>
      <c r="S4618" s="7"/>
      <c r="T4618" s="7"/>
      <c r="U4618" s="7" t="str">
        <f aca="false">IF(COUNTIF($A$2:$A$5001,A4618)&gt;1,"Duplicate","Unique")</f>
        <v>Unique</v>
      </c>
      <c r="V4618" s="7" t="str">
        <f aca="false">IF(COUNTIFS($B$2:$B$5001,B4618,$H$2:$H$5001,H4618,$J$2:$J$5001,J4618)&gt;1,"Possible Duplicate Booking","Unique")</f>
        <v>Unique</v>
      </c>
      <c r="W4618" s="7" t="str">
        <f aca="false">IF((H4618-G4618)&lt;&gt;K4618,"Mismatch","OK")</f>
        <v>OK</v>
      </c>
      <c r="X4618" s="7" t="str">
        <f aca="false">IF(TEXT(H4618,"dddd")&lt;&gt;I4618,"Mismatch","OK")</f>
        <v>OK</v>
      </c>
      <c r="Y4618" s="7" t="str">
        <f aca="false">IF(AND(N4618="No",O4618&lt;&gt;""),"Unexpected: channel present but no reminder sent",IF(AND(N4618="Yes",O4618=""),"Missing channel for sent reminder","OK"))</f>
        <v>OK</v>
      </c>
    </row>
    <row r="4619" customFormat="false" ht="15" hidden="false" customHeight="false" outlineLevel="0" collapsed="false">
      <c r="A4619" s="9" t="s">
        <v>6348</v>
      </c>
      <c r="B4619" s="9" t="s">
        <v>2499</v>
      </c>
      <c r="C4619" s="9" t="s">
        <v>47</v>
      </c>
      <c r="D4619" s="9" t="n">
        <v>25</v>
      </c>
      <c r="E4619" s="9" t="s">
        <v>48</v>
      </c>
      <c r="F4619" s="9" t="s">
        <v>49</v>
      </c>
      <c r="G4619" s="10" t="n">
        <v>45958</v>
      </c>
      <c r="H4619" s="10" t="n">
        <v>45984</v>
      </c>
      <c r="I4619" s="9" t="s">
        <v>75</v>
      </c>
      <c r="J4619" s="9" t="s">
        <v>51</v>
      </c>
      <c r="K4619" s="9" t="n">
        <v>26</v>
      </c>
      <c r="L4619" s="9" t="n">
        <v>5</v>
      </c>
      <c r="M4619" s="9" t="n">
        <v>2</v>
      </c>
      <c r="N4619" s="9" t="s">
        <v>42</v>
      </c>
      <c r="O4619" s="9" t="s">
        <v>67</v>
      </c>
      <c r="P4619" s="9" t="n">
        <v>5.1</v>
      </c>
      <c r="Q4619" s="9" t="n">
        <v>22</v>
      </c>
      <c r="R4619" s="9" t="s">
        <v>53</v>
      </c>
      <c r="S4619" s="9"/>
      <c r="T4619" s="9"/>
      <c r="U4619" s="9" t="str">
        <f aca="false">IF(COUNTIF($A$2:$A$5001,A4619)&gt;1,"Duplicate","Unique")</f>
        <v>Unique</v>
      </c>
      <c r="V4619" s="9" t="str">
        <f aca="false">IF(COUNTIFS($B$2:$B$5001,B4619,$H$2:$H$5001,H4619,$J$2:$J$5001,J4619)&gt;1,"Possible Duplicate Booking","Unique")</f>
        <v>Unique</v>
      </c>
      <c r="W4619" s="9" t="str">
        <f aca="false">IF((H4619-G4619)&lt;&gt;K4619,"Mismatch","OK")</f>
        <v>OK</v>
      </c>
      <c r="X4619" s="9" t="str">
        <f aca="false">IF(TEXT(H4619,"dddd")&lt;&gt;I4619,"Mismatch","OK")</f>
        <v>OK</v>
      </c>
      <c r="Y4619" s="9" t="str">
        <f aca="false">IF(AND(N4619="No",O4619&lt;&gt;""),"Unexpected: channel present but no reminder sent",IF(AND(N4619="Yes",O4619=""),"Missing channel for sent reminder","OK"))</f>
        <v>OK</v>
      </c>
    </row>
    <row r="4620" customFormat="false" ht="15" hidden="false" customHeight="false" outlineLevel="0" collapsed="false">
      <c r="A4620" s="7" t="s">
        <v>6349</v>
      </c>
      <c r="B4620" s="7" t="s">
        <v>593</v>
      </c>
      <c r="C4620" s="7" t="s">
        <v>47</v>
      </c>
      <c r="D4620" s="7" t="n">
        <v>28</v>
      </c>
      <c r="E4620" s="7" t="s">
        <v>48</v>
      </c>
      <c r="F4620" s="7" t="s">
        <v>57</v>
      </c>
      <c r="G4620" s="8" t="n">
        <v>45979</v>
      </c>
      <c r="H4620" s="8" t="n">
        <v>46003</v>
      </c>
      <c r="I4620" s="7" t="s">
        <v>50</v>
      </c>
      <c r="J4620" s="7" t="s">
        <v>63</v>
      </c>
      <c r="K4620" s="7" t="n">
        <v>24</v>
      </c>
      <c r="L4620" s="7" t="n">
        <v>1</v>
      </c>
      <c r="M4620" s="7" t="n">
        <v>1</v>
      </c>
      <c r="N4620" s="7" t="s">
        <v>42</v>
      </c>
      <c r="O4620" s="7" t="s">
        <v>52</v>
      </c>
      <c r="P4620" s="7"/>
      <c r="Q4620" s="7" t="n">
        <v>21</v>
      </c>
      <c r="R4620" s="7" t="s">
        <v>44</v>
      </c>
      <c r="S4620" s="7"/>
      <c r="T4620" s="7"/>
      <c r="U4620" s="7" t="str">
        <f aca="false">IF(COUNTIF($A$2:$A$5001,A4620)&gt;1,"Duplicate","Unique")</f>
        <v>Unique</v>
      </c>
      <c r="V4620" s="7" t="str">
        <f aca="false">IF(COUNTIFS($B$2:$B$5001,B4620,$H$2:$H$5001,H4620,$J$2:$J$5001,J4620)&gt;1,"Possible Duplicate Booking","Unique")</f>
        <v>Unique</v>
      </c>
      <c r="W4620" s="7" t="str">
        <f aca="false">IF((H4620-G4620)&lt;&gt;K4620,"Mismatch","OK")</f>
        <v>OK</v>
      </c>
      <c r="X4620" s="7" t="str">
        <f aca="false">IF(TEXT(H4620,"dddd")&lt;&gt;I4620,"Mismatch","OK")</f>
        <v>OK</v>
      </c>
      <c r="Y4620" s="7" t="str">
        <f aca="false">IF(AND(N4620="No",O4620&lt;&gt;""),"Unexpected: channel present but no reminder sent",IF(AND(N4620="Yes",O4620=""),"Missing channel for sent reminder","OK"))</f>
        <v>OK</v>
      </c>
    </row>
    <row r="4621" customFormat="false" ht="15" hidden="false" customHeight="false" outlineLevel="0" collapsed="false">
      <c r="A4621" s="9" t="s">
        <v>6350</v>
      </c>
      <c r="B4621" s="9" t="s">
        <v>2216</v>
      </c>
      <c r="C4621" s="9" t="s">
        <v>47</v>
      </c>
      <c r="D4621" s="9" t="n">
        <v>42</v>
      </c>
      <c r="E4621" s="9" t="s">
        <v>38</v>
      </c>
      <c r="F4621" s="9" t="s">
        <v>57</v>
      </c>
      <c r="G4621" s="10" t="n">
        <v>46113</v>
      </c>
      <c r="H4621" s="10" t="n">
        <v>46148</v>
      </c>
      <c r="I4621" s="9" t="s">
        <v>58</v>
      </c>
      <c r="J4621" s="9" t="s">
        <v>41</v>
      </c>
      <c r="K4621" s="9" t="n">
        <v>35</v>
      </c>
      <c r="L4621" s="9" t="n">
        <v>1</v>
      </c>
      <c r="M4621" s="9" t="n">
        <v>1</v>
      </c>
      <c r="N4621" s="9" t="s">
        <v>71</v>
      </c>
      <c r="O4621" s="9"/>
      <c r="P4621" s="9" t="n">
        <v>4.5</v>
      </c>
      <c r="Q4621" s="9" t="n">
        <v>37</v>
      </c>
      <c r="R4621" s="9" t="s">
        <v>53</v>
      </c>
      <c r="S4621" s="9"/>
      <c r="T4621" s="9"/>
      <c r="U4621" s="9" t="str">
        <f aca="false">IF(COUNTIF($A$2:$A$5001,A4621)&gt;1,"Duplicate","Unique")</f>
        <v>Unique</v>
      </c>
      <c r="V4621" s="9" t="str">
        <f aca="false">IF(COUNTIFS($B$2:$B$5001,B4621,$H$2:$H$5001,H4621,$J$2:$J$5001,J4621)&gt;1,"Possible Duplicate Booking","Unique")</f>
        <v>Unique</v>
      </c>
      <c r="W4621" s="9" t="str">
        <f aca="false">IF((H4621-G4621)&lt;&gt;K4621,"Mismatch","OK")</f>
        <v>OK</v>
      </c>
      <c r="X4621" s="9" t="str">
        <f aca="false">IF(TEXT(H4621,"dddd")&lt;&gt;I4621,"Mismatch","OK")</f>
        <v>OK</v>
      </c>
      <c r="Y4621" s="9" t="str">
        <f aca="false">IF(AND(N4621="No",O4621&lt;&gt;""),"Unexpected: channel present but no reminder sent",IF(AND(N4621="Yes",O4621=""),"Missing channel for sent reminder","OK"))</f>
        <v>OK</v>
      </c>
    </row>
    <row r="4622" customFormat="false" ht="15" hidden="false" customHeight="false" outlineLevel="0" collapsed="false">
      <c r="A4622" s="7" t="s">
        <v>6351</v>
      </c>
      <c r="B4622" s="7" t="s">
        <v>2755</v>
      </c>
      <c r="C4622" s="7" t="s">
        <v>47</v>
      </c>
      <c r="D4622" s="7" t="n">
        <v>32</v>
      </c>
      <c r="E4622" s="7" t="s">
        <v>48</v>
      </c>
      <c r="F4622" s="7" t="s">
        <v>57</v>
      </c>
      <c r="G4622" s="8" t="n">
        <v>45985</v>
      </c>
      <c r="H4622" s="8" t="n">
        <v>45995</v>
      </c>
      <c r="I4622" s="7" t="s">
        <v>62</v>
      </c>
      <c r="J4622" s="7" t="s">
        <v>51</v>
      </c>
      <c r="K4622" s="7" t="n">
        <v>10</v>
      </c>
      <c r="L4622" s="7" t="n">
        <v>3</v>
      </c>
      <c r="M4622" s="7" t="n">
        <v>0</v>
      </c>
      <c r="N4622" s="7" t="s">
        <v>42</v>
      </c>
      <c r="O4622" s="7" t="s">
        <v>67</v>
      </c>
      <c r="P4622" s="7" t="n">
        <v>12.3</v>
      </c>
      <c r="Q4622" s="7" t="n">
        <v>15</v>
      </c>
      <c r="R4622" s="7" t="s">
        <v>44</v>
      </c>
      <c r="S4622" s="7"/>
      <c r="T4622" s="7"/>
      <c r="U4622" s="7" t="str">
        <f aca="false">IF(COUNTIF($A$2:$A$5001,A4622)&gt;1,"Duplicate","Unique")</f>
        <v>Unique</v>
      </c>
      <c r="V4622" s="7" t="str">
        <f aca="false">IF(COUNTIFS($B$2:$B$5001,B4622,$H$2:$H$5001,H4622,$J$2:$J$5001,J4622)&gt;1,"Possible Duplicate Booking","Unique")</f>
        <v>Unique</v>
      </c>
      <c r="W4622" s="7" t="str">
        <f aca="false">IF((H4622-G4622)&lt;&gt;K4622,"Mismatch","OK")</f>
        <v>OK</v>
      </c>
      <c r="X4622" s="7" t="str">
        <f aca="false">IF(TEXT(H4622,"dddd")&lt;&gt;I4622,"Mismatch","OK")</f>
        <v>OK</v>
      </c>
      <c r="Y4622" s="7" t="str">
        <f aca="false">IF(AND(N4622="No",O4622&lt;&gt;""),"Unexpected: channel present but no reminder sent",IF(AND(N4622="Yes",O4622=""),"Missing channel for sent reminder","OK"))</f>
        <v>OK</v>
      </c>
    </row>
    <row r="4623" customFormat="false" ht="15" hidden="false" customHeight="false" outlineLevel="0" collapsed="false">
      <c r="A4623" s="9" t="s">
        <v>6352</v>
      </c>
      <c r="B4623" s="9" t="s">
        <v>1600</v>
      </c>
      <c r="C4623" s="9" t="s">
        <v>47</v>
      </c>
      <c r="D4623" s="9" t="n">
        <v>42</v>
      </c>
      <c r="E4623" s="9" t="s">
        <v>38</v>
      </c>
      <c r="F4623" s="9" t="s">
        <v>49</v>
      </c>
      <c r="G4623" s="10" t="n">
        <v>46170</v>
      </c>
      <c r="H4623" s="10" t="n">
        <v>46201</v>
      </c>
      <c r="I4623" s="9" t="s">
        <v>75</v>
      </c>
      <c r="J4623" s="9" t="s">
        <v>51</v>
      </c>
      <c r="K4623" s="9" t="n">
        <v>31</v>
      </c>
      <c r="L4623" s="9" t="n">
        <v>1</v>
      </c>
      <c r="M4623" s="9" t="n">
        <v>0</v>
      </c>
      <c r="N4623" s="9" t="s">
        <v>71</v>
      </c>
      <c r="O4623" s="9"/>
      <c r="P4623" s="9" t="n">
        <v>6</v>
      </c>
      <c r="Q4623" s="9" t="n">
        <v>34</v>
      </c>
      <c r="R4623" s="9" t="s">
        <v>44</v>
      </c>
      <c r="S4623" s="9"/>
      <c r="T4623" s="9"/>
      <c r="U4623" s="9" t="str">
        <f aca="false">IF(COUNTIF($A$2:$A$5001,A4623)&gt;1,"Duplicate","Unique")</f>
        <v>Unique</v>
      </c>
      <c r="V4623" s="9" t="str">
        <f aca="false">IF(COUNTIFS($B$2:$B$5001,B4623,$H$2:$H$5001,H4623,$J$2:$J$5001,J4623)&gt;1,"Possible Duplicate Booking","Unique")</f>
        <v>Unique</v>
      </c>
      <c r="W4623" s="9" t="str">
        <f aca="false">IF((H4623-G4623)&lt;&gt;K4623,"Mismatch","OK")</f>
        <v>OK</v>
      </c>
      <c r="X4623" s="9" t="str">
        <f aca="false">IF(TEXT(H4623,"dddd")&lt;&gt;I4623,"Mismatch","OK")</f>
        <v>OK</v>
      </c>
      <c r="Y4623" s="9" t="str">
        <f aca="false">IF(AND(N4623="No",O4623&lt;&gt;""),"Unexpected: channel present but no reminder sent",IF(AND(N4623="Yes",O4623=""),"Missing channel for sent reminder","OK"))</f>
        <v>OK</v>
      </c>
    </row>
    <row r="4624" customFormat="false" ht="15" hidden="false" customHeight="false" outlineLevel="0" collapsed="false">
      <c r="A4624" s="7" t="s">
        <v>6353</v>
      </c>
      <c r="B4624" s="7" t="s">
        <v>1220</v>
      </c>
      <c r="C4624" s="7" t="s">
        <v>47</v>
      </c>
      <c r="D4624" s="7" t="n">
        <v>53</v>
      </c>
      <c r="E4624" s="7" t="s">
        <v>56</v>
      </c>
      <c r="F4624" s="7" t="s">
        <v>57</v>
      </c>
      <c r="G4624" s="8" t="n">
        <v>46097</v>
      </c>
      <c r="H4624" s="8" t="n">
        <v>46109</v>
      </c>
      <c r="I4624" s="7" t="s">
        <v>102</v>
      </c>
      <c r="J4624" s="7" t="s">
        <v>41</v>
      </c>
      <c r="K4624" s="7" t="n">
        <v>12</v>
      </c>
      <c r="L4624" s="7" t="n">
        <v>2</v>
      </c>
      <c r="M4624" s="7" t="n">
        <v>0</v>
      </c>
      <c r="N4624" s="7" t="s">
        <v>71</v>
      </c>
      <c r="O4624" s="7"/>
      <c r="P4624" s="7" t="n">
        <v>11.6</v>
      </c>
      <c r="Q4624" s="7" t="n">
        <v>12</v>
      </c>
      <c r="R4624" s="7" t="s">
        <v>53</v>
      </c>
      <c r="S4624" s="7"/>
      <c r="T4624" s="7"/>
      <c r="U4624" s="7" t="str">
        <f aca="false">IF(COUNTIF($A$2:$A$5001,A4624)&gt;1,"Duplicate","Unique")</f>
        <v>Unique</v>
      </c>
      <c r="V4624" s="7" t="str">
        <f aca="false">IF(COUNTIFS($B$2:$B$5001,B4624,$H$2:$H$5001,H4624,$J$2:$J$5001,J4624)&gt;1,"Possible Duplicate Booking","Unique")</f>
        <v>Unique</v>
      </c>
      <c r="W4624" s="7" t="str">
        <f aca="false">IF((H4624-G4624)&lt;&gt;K4624,"Mismatch","OK")</f>
        <v>OK</v>
      </c>
      <c r="X4624" s="7" t="str">
        <f aca="false">IF(TEXT(H4624,"dddd")&lt;&gt;I4624,"Mismatch","OK")</f>
        <v>OK</v>
      </c>
      <c r="Y4624" s="7" t="str">
        <f aca="false">IF(AND(N4624="No",O4624&lt;&gt;""),"Unexpected: channel present but no reminder sent",IF(AND(N4624="Yes",O4624=""),"Missing channel for sent reminder","OK"))</f>
        <v>OK</v>
      </c>
    </row>
    <row r="4625" customFormat="false" ht="15" hidden="false" customHeight="false" outlineLevel="0" collapsed="false">
      <c r="A4625" s="9" t="s">
        <v>6354</v>
      </c>
      <c r="B4625" s="9" t="s">
        <v>1227</v>
      </c>
      <c r="C4625" s="9" t="s">
        <v>37</v>
      </c>
      <c r="D4625" s="9" t="n">
        <v>35</v>
      </c>
      <c r="E4625" s="9" t="s">
        <v>38</v>
      </c>
      <c r="F4625" s="9" t="s">
        <v>74</v>
      </c>
      <c r="G4625" s="10" t="n">
        <v>45659</v>
      </c>
      <c r="H4625" s="10" t="n">
        <v>45700</v>
      </c>
      <c r="I4625" s="9" t="s">
        <v>58</v>
      </c>
      <c r="J4625" s="9" t="s">
        <v>63</v>
      </c>
      <c r="K4625" s="9" t="n">
        <v>41</v>
      </c>
      <c r="L4625" s="9" t="n">
        <v>5</v>
      </c>
      <c r="M4625" s="9" t="n">
        <v>1</v>
      </c>
      <c r="N4625" s="9" t="s">
        <v>42</v>
      </c>
      <c r="O4625" s="9" t="s">
        <v>52</v>
      </c>
      <c r="P4625" s="9"/>
      <c r="Q4625" s="9" t="n">
        <v>16</v>
      </c>
      <c r="R4625" s="9" t="s">
        <v>53</v>
      </c>
      <c r="S4625" s="9"/>
      <c r="T4625" s="9"/>
      <c r="U4625" s="9" t="str">
        <f aca="false">IF(COUNTIF($A$2:$A$5001,A4625)&gt;1,"Duplicate","Unique")</f>
        <v>Unique</v>
      </c>
      <c r="V4625" s="9" t="str">
        <f aca="false">IF(COUNTIFS($B$2:$B$5001,B4625,$H$2:$H$5001,H4625,$J$2:$J$5001,J4625)&gt;1,"Possible Duplicate Booking","Unique")</f>
        <v>Unique</v>
      </c>
      <c r="W4625" s="9" t="str">
        <f aca="false">IF((H4625-G4625)&lt;&gt;K4625,"Mismatch","OK")</f>
        <v>OK</v>
      </c>
      <c r="X4625" s="9" t="str">
        <f aca="false">IF(TEXT(H4625,"dddd")&lt;&gt;I4625,"Mismatch","OK")</f>
        <v>OK</v>
      </c>
      <c r="Y4625" s="9" t="str">
        <f aca="false">IF(AND(N4625="No",O4625&lt;&gt;""),"Unexpected: channel present but no reminder sent",IF(AND(N4625="Yes",O4625=""),"Missing channel for sent reminder","OK"))</f>
        <v>OK</v>
      </c>
    </row>
    <row r="4626" customFormat="false" ht="15" hidden="false" customHeight="false" outlineLevel="0" collapsed="false">
      <c r="A4626" s="7" t="s">
        <v>6355</v>
      </c>
      <c r="B4626" s="7" t="s">
        <v>706</v>
      </c>
      <c r="C4626" s="7" t="s">
        <v>37</v>
      </c>
      <c r="D4626" s="7" t="n">
        <v>25</v>
      </c>
      <c r="E4626" s="7" t="s">
        <v>48</v>
      </c>
      <c r="F4626" s="7" t="s">
        <v>74</v>
      </c>
      <c r="G4626" s="8" t="n">
        <v>45820</v>
      </c>
      <c r="H4626" s="8" t="n">
        <v>45872</v>
      </c>
      <c r="I4626" s="7" t="s">
        <v>75</v>
      </c>
      <c r="J4626" s="7" t="s">
        <v>51</v>
      </c>
      <c r="K4626" s="7" t="n">
        <v>52</v>
      </c>
      <c r="L4626" s="7" t="n">
        <v>1</v>
      </c>
      <c r="M4626" s="7" t="n">
        <v>0</v>
      </c>
      <c r="N4626" s="7" t="s">
        <v>42</v>
      </c>
      <c r="O4626" s="7" t="s">
        <v>43</v>
      </c>
      <c r="P4626" s="7" t="n">
        <v>22.3</v>
      </c>
      <c r="Q4626" s="7" t="n">
        <v>27</v>
      </c>
      <c r="R4626" s="7" t="s">
        <v>44</v>
      </c>
      <c r="S4626" s="7"/>
      <c r="T4626" s="7"/>
      <c r="U4626" s="7" t="str">
        <f aca="false">IF(COUNTIF($A$2:$A$5001,A4626)&gt;1,"Duplicate","Unique")</f>
        <v>Unique</v>
      </c>
      <c r="V4626" s="7" t="str">
        <f aca="false">IF(COUNTIFS($B$2:$B$5001,B4626,$H$2:$H$5001,H4626,$J$2:$J$5001,J4626)&gt;1,"Possible Duplicate Booking","Unique")</f>
        <v>Unique</v>
      </c>
      <c r="W4626" s="7" t="str">
        <f aca="false">IF((H4626-G4626)&lt;&gt;K4626,"Mismatch","OK")</f>
        <v>OK</v>
      </c>
      <c r="X4626" s="7" t="str">
        <f aca="false">IF(TEXT(H4626,"dddd")&lt;&gt;I4626,"Mismatch","OK")</f>
        <v>OK</v>
      </c>
      <c r="Y4626" s="7" t="str">
        <f aca="false">IF(AND(N4626="No",O4626&lt;&gt;""),"Unexpected: channel present but no reminder sent",IF(AND(N4626="Yes",O4626=""),"Missing channel for sent reminder","OK"))</f>
        <v>OK</v>
      </c>
    </row>
    <row r="4627" customFormat="false" ht="15" hidden="false" customHeight="false" outlineLevel="0" collapsed="false">
      <c r="A4627" s="9" t="s">
        <v>6356</v>
      </c>
      <c r="B4627" s="9" t="s">
        <v>1711</v>
      </c>
      <c r="C4627" s="9" t="s">
        <v>37</v>
      </c>
      <c r="D4627" s="9" t="n">
        <v>43</v>
      </c>
      <c r="E4627" s="9" t="s">
        <v>38</v>
      </c>
      <c r="F4627" s="9" t="s">
        <v>49</v>
      </c>
      <c r="G4627" s="10" t="n">
        <v>45838</v>
      </c>
      <c r="H4627" s="10" t="n">
        <v>45868</v>
      </c>
      <c r="I4627" s="9" t="s">
        <v>58</v>
      </c>
      <c r="J4627" s="9" t="s">
        <v>63</v>
      </c>
      <c r="K4627" s="9" t="n">
        <v>30</v>
      </c>
      <c r="L4627" s="9" t="n">
        <v>4</v>
      </c>
      <c r="M4627" s="9" t="n">
        <v>0</v>
      </c>
      <c r="N4627" s="9" t="s">
        <v>42</v>
      </c>
      <c r="O4627" s="9" t="s">
        <v>52</v>
      </c>
      <c r="P4627" s="9" t="n">
        <v>3</v>
      </c>
      <c r="Q4627" s="9" t="n">
        <v>40</v>
      </c>
      <c r="R4627" s="9" t="s">
        <v>44</v>
      </c>
      <c r="S4627" s="9"/>
      <c r="T4627" s="9"/>
      <c r="U4627" s="9" t="str">
        <f aca="false">IF(COUNTIF($A$2:$A$5001,A4627)&gt;1,"Duplicate","Unique")</f>
        <v>Unique</v>
      </c>
      <c r="V4627" s="9" t="str">
        <f aca="false">IF(COUNTIFS($B$2:$B$5001,B4627,$H$2:$H$5001,H4627,$J$2:$J$5001,J4627)&gt;1,"Possible Duplicate Booking","Unique")</f>
        <v>Unique</v>
      </c>
      <c r="W4627" s="9" t="str">
        <f aca="false">IF((H4627-G4627)&lt;&gt;K4627,"Mismatch","OK")</f>
        <v>OK</v>
      </c>
      <c r="X4627" s="9" t="str">
        <f aca="false">IF(TEXT(H4627,"dddd")&lt;&gt;I4627,"Mismatch","OK")</f>
        <v>OK</v>
      </c>
      <c r="Y4627" s="9" t="str">
        <f aca="false">IF(AND(N4627="No",O4627&lt;&gt;""),"Unexpected: channel present but no reminder sent",IF(AND(N4627="Yes",O4627=""),"Missing channel for sent reminder","OK"))</f>
        <v>OK</v>
      </c>
    </row>
    <row r="4628" customFormat="false" ht="15" hidden="false" customHeight="false" outlineLevel="0" collapsed="false">
      <c r="A4628" s="7" t="s">
        <v>6357</v>
      </c>
      <c r="B4628" s="7" t="s">
        <v>875</v>
      </c>
      <c r="C4628" s="7" t="s">
        <v>37</v>
      </c>
      <c r="D4628" s="7" t="n">
        <v>63</v>
      </c>
      <c r="E4628" s="7" t="s">
        <v>61</v>
      </c>
      <c r="F4628" s="7" t="s">
        <v>57</v>
      </c>
      <c r="G4628" s="8" t="n">
        <v>45636</v>
      </c>
      <c r="H4628" s="8" t="n">
        <v>45659</v>
      </c>
      <c r="I4628" s="7" t="s">
        <v>62</v>
      </c>
      <c r="J4628" s="7" t="s">
        <v>51</v>
      </c>
      <c r="K4628" s="7" t="n">
        <v>23</v>
      </c>
      <c r="L4628" s="7" t="n">
        <v>3</v>
      </c>
      <c r="M4628" s="7" t="n">
        <v>1</v>
      </c>
      <c r="N4628" s="7" t="s">
        <v>42</v>
      </c>
      <c r="O4628" s="7" t="s">
        <v>52</v>
      </c>
      <c r="P4628" s="7" t="n">
        <v>4.3</v>
      </c>
      <c r="Q4628" s="7" t="n">
        <v>26</v>
      </c>
      <c r="R4628" s="7" t="s">
        <v>53</v>
      </c>
      <c r="S4628" s="7"/>
      <c r="T4628" s="7"/>
      <c r="U4628" s="7" t="str">
        <f aca="false">IF(COUNTIF($A$2:$A$5001,A4628)&gt;1,"Duplicate","Unique")</f>
        <v>Unique</v>
      </c>
      <c r="V4628" s="7" t="str">
        <f aca="false">IF(COUNTIFS($B$2:$B$5001,B4628,$H$2:$H$5001,H4628,$J$2:$J$5001,J4628)&gt;1,"Possible Duplicate Booking","Unique")</f>
        <v>Unique</v>
      </c>
      <c r="W4628" s="7" t="str">
        <f aca="false">IF((H4628-G4628)&lt;&gt;K4628,"Mismatch","OK")</f>
        <v>OK</v>
      </c>
      <c r="X4628" s="7" t="str">
        <f aca="false">IF(TEXT(H4628,"dddd")&lt;&gt;I4628,"Mismatch","OK")</f>
        <v>OK</v>
      </c>
      <c r="Y4628" s="7" t="str">
        <f aca="false">IF(AND(N4628="No",O4628&lt;&gt;""),"Unexpected: channel present but no reminder sent",IF(AND(N4628="Yes",O4628=""),"Missing channel for sent reminder","OK"))</f>
        <v>OK</v>
      </c>
    </row>
    <row r="4629" customFormat="false" ht="15" hidden="false" customHeight="false" outlineLevel="0" collapsed="false">
      <c r="A4629" s="9" t="s">
        <v>6358</v>
      </c>
      <c r="B4629" s="9" t="s">
        <v>3001</v>
      </c>
      <c r="C4629" s="9" t="s">
        <v>37</v>
      </c>
      <c r="D4629" s="9" t="n">
        <v>56</v>
      </c>
      <c r="E4629" s="9" t="s">
        <v>61</v>
      </c>
      <c r="F4629" s="9" t="s">
        <v>39</v>
      </c>
      <c r="G4629" s="10" t="n">
        <v>45699</v>
      </c>
      <c r="H4629" s="10" t="n">
        <v>45756</v>
      </c>
      <c r="I4629" s="9" t="s">
        <v>58</v>
      </c>
      <c r="J4629" s="9" t="s">
        <v>41</v>
      </c>
      <c r="K4629" s="9" t="n">
        <v>57</v>
      </c>
      <c r="L4629" s="9" t="n">
        <v>0</v>
      </c>
      <c r="M4629" s="9" t="n">
        <v>0</v>
      </c>
      <c r="N4629" s="9" t="s">
        <v>71</v>
      </c>
      <c r="O4629" s="9"/>
      <c r="P4629" s="9" t="n">
        <v>9.8</v>
      </c>
      <c r="Q4629" s="9" t="n">
        <v>9</v>
      </c>
      <c r="R4629" s="9" t="s">
        <v>44</v>
      </c>
      <c r="S4629" s="9"/>
      <c r="T4629" s="9"/>
      <c r="U4629" s="9" t="str">
        <f aca="false">IF(COUNTIF($A$2:$A$5001,A4629)&gt;1,"Duplicate","Unique")</f>
        <v>Unique</v>
      </c>
      <c r="V4629" s="9" t="str">
        <f aca="false">IF(COUNTIFS($B$2:$B$5001,B4629,$H$2:$H$5001,H4629,$J$2:$J$5001,J4629)&gt;1,"Possible Duplicate Booking","Unique")</f>
        <v>Unique</v>
      </c>
      <c r="W4629" s="9" t="str">
        <f aca="false">IF((H4629-G4629)&lt;&gt;K4629,"Mismatch","OK")</f>
        <v>OK</v>
      </c>
      <c r="X4629" s="9" t="str">
        <f aca="false">IF(TEXT(H4629,"dddd")&lt;&gt;I4629,"Mismatch","OK")</f>
        <v>OK</v>
      </c>
      <c r="Y4629" s="9" t="str">
        <f aca="false">IF(AND(N4629="No",O4629&lt;&gt;""),"Unexpected: channel present but no reminder sent",IF(AND(N4629="Yes",O4629=""),"Missing channel for sent reminder","OK"))</f>
        <v>OK</v>
      </c>
    </row>
    <row r="4630" customFormat="false" ht="15" hidden="false" customHeight="false" outlineLevel="0" collapsed="false">
      <c r="A4630" s="7" t="s">
        <v>6359</v>
      </c>
      <c r="B4630" s="7" t="s">
        <v>4504</v>
      </c>
      <c r="C4630" s="7" t="s">
        <v>47</v>
      </c>
      <c r="D4630" s="7" t="n">
        <v>38</v>
      </c>
      <c r="E4630" s="7" t="s">
        <v>38</v>
      </c>
      <c r="F4630" s="7" t="s">
        <v>57</v>
      </c>
      <c r="G4630" s="8" t="n">
        <v>46034</v>
      </c>
      <c r="H4630" s="8" t="n">
        <v>46074</v>
      </c>
      <c r="I4630" s="7" t="s">
        <v>102</v>
      </c>
      <c r="J4630" s="7" t="s">
        <v>51</v>
      </c>
      <c r="K4630" s="7" t="n">
        <v>40</v>
      </c>
      <c r="L4630" s="7" t="n">
        <v>3</v>
      </c>
      <c r="M4630" s="7" t="n">
        <v>1</v>
      </c>
      <c r="N4630" s="7" t="s">
        <v>42</v>
      </c>
      <c r="O4630" s="7" t="s">
        <v>52</v>
      </c>
      <c r="P4630" s="7" t="n">
        <v>20.2</v>
      </c>
      <c r="Q4630" s="7" t="n">
        <v>32</v>
      </c>
      <c r="R4630" s="7" t="s">
        <v>44</v>
      </c>
      <c r="S4630" s="7"/>
      <c r="T4630" s="7"/>
      <c r="U4630" s="7" t="str">
        <f aca="false">IF(COUNTIF($A$2:$A$5001,A4630)&gt;1,"Duplicate","Unique")</f>
        <v>Unique</v>
      </c>
      <c r="V4630" s="7" t="str">
        <f aca="false">IF(COUNTIFS($B$2:$B$5001,B4630,$H$2:$H$5001,H4630,$J$2:$J$5001,J4630)&gt;1,"Possible Duplicate Booking","Unique")</f>
        <v>Unique</v>
      </c>
      <c r="W4630" s="7" t="str">
        <f aca="false">IF((H4630-G4630)&lt;&gt;K4630,"Mismatch","OK")</f>
        <v>OK</v>
      </c>
      <c r="X4630" s="7" t="str">
        <f aca="false">IF(TEXT(H4630,"dddd")&lt;&gt;I4630,"Mismatch","OK")</f>
        <v>OK</v>
      </c>
      <c r="Y4630" s="7" t="str">
        <f aca="false">IF(AND(N4630="No",O4630&lt;&gt;""),"Unexpected: channel present but no reminder sent",IF(AND(N4630="Yes",O4630=""),"Missing channel for sent reminder","OK"))</f>
        <v>OK</v>
      </c>
    </row>
    <row r="4631" customFormat="false" ht="15" hidden="false" customHeight="false" outlineLevel="0" collapsed="false">
      <c r="A4631" s="9" t="s">
        <v>6360</v>
      </c>
      <c r="B4631" s="9" t="s">
        <v>368</v>
      </c>
      <c r="C4631" s="9" t="s">
        <v>47</v>
      </c>
      <c r="D4631" s="9" t="n">
        <v>37</v>
      </c>
      <c r="E4631" s="9" t="s">
        <v>38</v>
      </c>
      <c r="F4631" s="9" t="s">
        <v>49</v>
      </c>
      <c r="G4631" s="10" t="n">
        <v>45824</v>
      </c>
      <c r="H4631" s="10" t="n">
        <v>45850</v>
      </c>
      <c r="I4631" s="9" t="s">
        <v>102</v>
      </c>
      <c r="J4631" s="9" t="s">
        <v>51</v>
      </c>
      <c r="K4631" s="9" t="n">
        <v>26</v>
      </c>
      <c r="L4631" s="9" t="n">
        <v>4</v>
      </c>
      <c r="M4631" s="9" t="n">
        <v>0</v>
      </c>
      <c r="N4631" s="9" t="s">
        <v>42</v>
      </c>
      <c r="O4631" s="9" t="s">
        <v>52</v>
      </c>
      <c r="P4631" s="9" t="n">
        <v>3.7</v>
      </c>
      <c r="Q4631" s="9" t="n">
        <v>15</v>
      </c>
      <c r="R4631" s="9" t="s">
        <v>53</v>
      </c>
      <c r="S4631" s="9"/>
      <c r="T4631" s="9"/>
      <c r="U4631" s="9" t="str">
        <f aca="false">IF(COUNTIF($A$2:$A$5001,A4631)&gt;1,"Duplicate","Unique")</f>
        <v>Unique</v>
      </c>
      <c r="V4631" s="9" t="str">
        <f aca="false">IF(COUNTIFS($B$2:$B$5001,B4631,$H$2:$H$5001,H4631,$J$2:$J$5001,J4631)&gt;1,"Possible Duplicate Booking","Unique")</f>
        <v>Unique</v>
      </c>
      <c r="W4631" s="9" t="str">
        <f aca="false">IF((H4631-G4631)&lt;&gt;K4631,"Mismatch","OK")</f>
        <v>OK</v>
      </c>
      <c r="X4631" s="9" t="str">
        <f aca="false">IF(TEXT(H4631,"dddd")&lt;&gt;I4631,"Mismatch","OK")</f>
        <v>OK</v>
      </c>
      <c r="Y4631" s="9" t="str">
        <f aca="false">IF(AND(N4631="No",O4631&lt;&gt;""),"Unexpected: channel present but no reminder sent",IF(AND(N4631="Yes",O4631=""),"Missing channel for sent reminder","OK"))</f>
        <v>OK</v>
      </c>
    </row>
    <row r="4632" customFormat="false" ht="15" hidden="false" customHeight="false" outlineLevel="0" collapsed="false">
      <c r="A4632" s="7" t="s">
        <v>6361</v>
      </c>
      <c r="B4632" s="7" t="s">
        <v>652</v>
      </c>
      <c r="C4632" s="7" t="s">
        <v>47</v>
      </c>
      <c r="D4632" s="7" t="n">
        <v>54</v>
      </c>
      <c r="E4632" s="7" t="s">
        <v>56</v>
      </c>
      <c r="F4632" s="7" t="s">
        <v>39</v>
      </c>
      <c r="G4632" s="8" t="n">
        <v>45737</v>
      </c>
      <c r="H4632" s="8" t="n">
        <v>45738</v>
      </c>
      <c r="I4632" s="7" t="s">
        <v>102</v>
      </c>
      <c r="J4632" s="7" t="s">
        <v>63</v>
      </c>
      <c r="K4632" s="7" t="n">
        <v>1</v>
      </c>
      <c r="L4632" s="7" t="n">
        <v>5</v>
      </c>
      <c r="M4632" s="7" t="n">
        <v>0</v>
      </c>
      <c r="N4632" s="7" t="s">
        <v>42</v>
      </c>
      <c r="O4632" s="7" t="s">
        <v>52</v>
      </c>
      <c r="P4632" s="7" t="n">
        <v>7.1</v>
      </c>
      <c r="Q4632" s="7" t="n">
        <v>31</v>
      </c>
      <c r="R4632" s="7" t="s">
        <v>44</v>
      </c>
      <c r="S4632" s="7"/>
      <c r="T4632" s="7"/>
      <c r="U4632" s="7" t="str">
        <f aca="false">IF(COUNTIF($A$2:$A$5001,A4632)&gt;1,"Duplicate","Unique")</f>
        <v>Unique</v>
      </c>
      <c r="V4632" s="7" t="str">
        <f aca="false">IF(COUNTIFS($B$2:$B$5001,B4632,$H$2:$H$5001,H4632,$J$2:$J$5001,J4632)&gt;1,"Possible Duplicate Booking","Unique")</f>
        <v>Unique</v>
      </c>
      <c r="W4632" s="7" t="str">
        <f aca="false">IF((H4632-G4632)&lt;&gt;K4632,"Mismatch","OK")</f>
        <v>OK</v>
      </c>
      <c r="X4632" s="7" t="str">
        <f aca="false">IF(TEXT(H4632,"dddd")&lt;&gt;I4632,"Mismatch","OK")</f>
        <v>OK</v>
      </c>
      <c r="Y4632" s="7" t="str">
        <f aca="false">IF(AND(N4632="No",O4632&lt;&gt;""),"Unexpected: channel present but no reminder sent",IF(AND(N4632="Yes",O4632=""),"Missing channel for sent reminder","OK"))</f>
        <v>OK</v>
      </c>
    </row>
    <row r="4633" customFormat="false" ht="15" hidden="false" customHeight="false" outlineLevel="0" collapsed="false">
      <c r="A4633" s="9" t="s">
        <v>6362</v>
      </c>
      <c r="B4633" s="9" t="s">
        <v>1179</v>
      </c>
      <c r="C4633" s="9" t="s">
        <v>37</v>
      </c>
      <c r="D4633" s="9" t="n">
        <v>28</v>
      </c>
      <c r="E4633" s="9" t="s">
        <v>48</v>
      </c>
      <c r="F4633" s="9" t="s">
        <v>57</v>
      </c>
      <c r="G4633" s="10" t="n">
        <v>45814</v>
      </c>
      <c r="H4633" s="10" t="n">
        <v>45814</v>
      </c>
      <c r="I4633" s="9" t="s">
        <v>50</v>
      </c>
      <c r="J4633" s="9" t="s">
        <v>51</v>
      </c>
      <c r="K4633" s="9" t="n">
        <v>0</v>
      </c>
      <c r="L4633" s="9" t="n">
        <v>2</v>
      </c>
      <c r="M4633" s="9" t="n">
        <v>0</v>
      </c>
      <c r="N4633" s="9" t="s">
        <v>42</v>
      </c>
      <c r="O4633" s="9" t="s">
        <v>43</v>
      </c>
      <c r="P4633" s="9" t="n">
        <v>8.6</v>
      </c>
      <c r="Q4633" s="9" t="n">
        <v>27</v>
      </c>
      <c r="R4633" s="9" t="s">
        <v>53</v>
      </c>
      <c r="S4633" s="9"/>
      <c r="T4633" s="9"/>
      <c r="U4633" s="9" t="str">
        <f aca="false">IF(COUNTIF($A$2:$A$5001,A4633)&gt;1,"Duplicate","Unique")</f>
        <v>Unique</v>
      </c>
      <c r="V4633" s="9" t="str">
        <f aca="false">IF(COUNTIFS($B$2:$B$5001,B4633,$H$2:$H$5001,H4633,$J$2:$J$5001,J4633)&gt;1,"Possible Duplicate Booking","Unique")</f>
        <v>Unique</v>
      </c>
      <c r="W4633" s="9" t="str">
        <f aca="false">IF((H4633-G4633)&lt;&gt;K4633,"Mismatch","OK")</f>
        <v>OK</v>
      </c>
      <c r="X4633" s="9" t="str">
        <f aca="false">IF(TEXT(H4633,"dddd")&lt;&gt;I4633,"Mismatch","OK")</f>
        <v>OK</v>
      </c>
      <c r="Y4633" s="9" t="str">
        <f aca="false">IF(AND(N4633="No",O4633&lt;&gt;""),"Unexpected: channel present but no reminder sent",IF(AND(N4633="Yes",O4633=""),"Missing channel for sent reminder","OK"))</f>
        <v>OK</v>
      </c>
    </row>
    <row r="4634" customFormat="false" ht="15" hidden="false" customHeight="false" outlineLevel="0" collapsed="false">
      <c r="A4634" s="7" t="s">
        <v>6363</v>
      </c>
      <c r="B4634" s="7" t="s">
        <v>508</v>
      </c>
      <c r="C4634" s="7" t="s">
        <v>37</v>
      </c>
      <c r="D4634" s="7" t="n">
        <v>70</v>
      </c>
      <c r="E4634" s="7" t="s">
        <v>70</v>
      </c>
      <c r="F4634" s="7" t="s">
        <v>57</v>
      </c>
      <c r="G4634" s="8" t="n">
        <v>45794</v>
      </c>
      <c r="H4634" s="8" t="n">
        <v>45807</v>
      </c>
      <c r="I4634" s="7" t="s">
        <v>50</v>
      </c>
      <c r="J4634" s="7" t="s">
        <v>63</v>
      </c>
      <c r="K4634" s="7" t="n">
        <v>13</v>
      </c>
      <c r="L4634" s="7" t="n">
        <v>2</v>
      </c>
      <c r="M4634" s="7" t="n">
        <v>1</v>
      </c>
      <c r="N4634" s="7" t="s">
        <v>42</v>
      </c>
      <c r="O4634" s="7" t="s">
        <v>52</v>
      </c>
      <c r="P4634" s="7" t="n">
        <v>16.3</v>
      </c>
      <c r="Q4634" s="7" t="n">
        <v>7</v>
      </c>
      <c r="R4634" s="7" t="s">
        <v>53</v>
      </c>
      <c r="S4634" s="7"/>
      <c r="T4634" s="7"/>
      <c r="U4634" s="7" t="str">
        <f aca="false">IF(COUNTIF($A$2:$A$5001,A4634)&gt;1,"Duplicate","Unique")</f>
        <v>Unique</v>
      </c>
      <c r="V4634" s="7" t="str">
        <f aca="false">IF(COUNTIFS($B$2:$B$5001,B4634,$H$2:$H$5001,H4634,$J$2:$J$5001,J4634)&gt;1,"Possible Duplicate Booking","Unique")</f>
        <v>Unique</v>
      </c>
      <c r="W4634" s="7" t="str">
        <f aca="false">IF((H4634-G4634)&lt;&gt;K4634,"Mismatch","OK")</f>
        <v>OK</v>
      </c>
      <c r="X4634" s="7" t="str">
        <f aca="false">IF(TEXT(H4634,"dddd")&lt;&gt;I4634,"Mismatch","OK")</f>
        <v>OK</v>
      </c>
      <c r="Y4634" s="7" t="str">
        <f aca="false">IF(AND(N4634="No",O4634&lt;&gt;""),"Unexpected: channel present but no reminder sent",IF(AND(N4634="Yes",O4634=""),"Missing channel for sent reminder","OK"))</f>
        <v>OK</v>
      </c>
    </row>
    <row r="4635" customFormat="false" ht="15" hidden="false" customHeight="false" outlineLevel="0" collapsed="false">
      <c r="A4635" s="9" t="s">
        <v>6364</v>
      </c>
      <c r="B4635" s="9" t="s">
        <v>6365</v>
      </c>
      <c r="C4635" s="9" t="s">
        <v>37</v>
      </c>
      <c r="D4635" s="9" t="n">
        <v>72</v>
      </c>
      <c r="E4635" s="9" t="s">
        <v>70</v>
      </c>
      <c r="F4635" s="9" t="s">
        <v>49</v>
      </c>
      <c r="G4635" s="10" t="n">
        <v>45739</v>
      </c>
      <c r="H4635" s="10" t="n">
        <v>45753</v>
      </c>
      <c r="I4635" s="9" t="s">
        <v>75</v>
      </c>
      <c r="J4635" s="9" t="s">
        <v>51</v>
      </c>
      <c r="K4635" s="9" t="n">
        <v>14</v>
      </c>
      <c r="L4635" s="9" t="n">
        <v>4</v>
      </c>
      <c r="M4635" s="9" t="n">
        <v>1</v>
      </c>
      <c r="N4635" s="9" t="s">
        <v>71</v>
      </c>
      <c r="O4635" s="9"/>
      <c r="P4635" s="9" t="n">
        <v>3.3</v>
      </c>
      <c r="Q4635" s="9" t="n">
        <v>28</v>
      </c>
      <c r="R4635" s="9" t="s">
        <v>53</v>
      </c>
      <c r="S4635" s="9"/>
      <c r="T4635" s="9"/>
      <c r="U4635" s="9" t="str">
        <f aca="false">IF(COUNTIF($A$2:$A$5001,A4635)&gt;1,"Duplicate","Unique")</f>
        <v>Unique</v>
      </c>
      <c r="V4635" s="9" t="str">
        <f aca="false">IF(COUNTIFS($B$2:$B$5001,B4635,$H$2:$H$5001,H4635,$J$2:$J$5001,J4635)&gt;1,"Possible Duplicate Booking","Unique")</f>
        <v>Unique</v>
      </c>
      <c r="W4635" s="9" t="str">
        <f aca="false">IF((H4635-G4635)&lt;&gt;K4635,"Mismatch","OK")</f>
        <v>OK</v>
      </c>
      <c r="X4635" s="9" t="str">
        <f aca="false">IF(TEXT(H4635,"dddd")&lt;&gt;I4635,"Mismatch","OK")</f>
        <v>OK</v>
      </c>
      <c r="Y4635" s="9" t="str">
        <f aca="false">IF(AND(N4635="No",O4635&lt;&gt;""),"Unexpected: channel present but no reminder sent",IF(AND(N4635="Yes",O4635=""),"Missing channel for sent reminder","OK"))</f>
        <v>OK</v>
      </c>
    </row>
    <row r="4636" customFormat="false" ht="15" hidden="false" customHeight="false" outlineLevel="0" collapsed="false">
      <c r="A4636" s="7" t="s">
        <v>6366</v>
      </c>
      <c r="B4636" s="7" t="s">
        <v>474</v>
      </c>
      <c r="C4636" s="7" t="s">
        <v>37</v>
      </c>
      <c r="D4636" s="7" t="n">
        <v>19</v>
      </c>
      <c r="E4636" s="7" t="s">
        <v>82</v>
      </c>
      <c r="F4636" s="7" t="s">
        <v>49</v>
      </c>
      <c r="G4636" s="8" t="n">
        <v>45669</v>
      </c>
      <c r="H4636" s="8" t="n">
        <v>45713</v>
      </c>
      <c r="I4636" s="7" t="s">
        <v>40</v>
      </c>
      <c r="J4636" s="7" t="s">
        <v>51</v>
      </c>
      <c r="K4636" s="7" t="n">
        <v>44</v>
      </c>
      <c r="L4636" s="7" t="n">
        <v>4</v>
      </c>
      <c r="M4636" s="7" t="n">
        <v>1</v>
      </c>
      <c r="N4636" s="7" t="s">
        <v>42</v>
      </c>
      <c r="O4636" s="7" t="s">
        <v>52</v>
      </c>
      <c r="P4636" s="7" t="n">
        <v>13.2</v>
      </c>
      <c r="Q4636" s="7" t="n">
        <v>10</v>
      </c>
      <c r="R4636" s="7" t="s">
        <v>53</v>
      </c>
      <c r="S4636" s="7"/>
      <c r="T4636" s="7"/>
      <c r="U4636" s="7" t="str">
        <f aca="false">IF(COUNTIF($A$2:$A$5001,A4636)&gt;1,"Duplicate","Unique")</f>
        <v>Unique</v>
      </c>
      <c r="V4636" s="7" t="str">
        <f aca="false">IF(COUNTIFS($B$2:$B$5001,B4636,$H$2:$H$5001,H4636,$J$2:$J$5001,J4636)&gt;1,"Possible Duplicate Booking","Unique")</f>
        <v>Unique</v>
      </c>
      <c r="W4636" s="7" t="str">
        <f aca="false">IF((H4636-G4636)&lt;&gt;K4636,"Mismatch","OK")</f>
        <v>OK</v>
      </c>
      <c r="X4636" s="7" t="str">
        <f aca="false">IF(TEXT(H4636,"dddd")&lt;&gt;I4636,"Mismatch","OK")</f>
        <v>OK</v>
      </c>
      <c r="Y4636" s="7" t="str">
        <f aca="false">IF(AND(N4636="No",O4636&lt;&gt;""),"Unexpected: channel present but no reminder sent",IF(AND(N4636="Yes",O4636=""),"Missing channel for sent reminder","OK"))</f>
        <v>OK</v>
      </c>
    </row>
    <row r="4637" customFormat="false" ht="15" hidden="false" customHeight="false" outlineLevel="0" collapsed="false">
      <c r="A4637" s="9" t="s">
        <v>6367</v>
      </c>
      <c r="B4637" s="9" t="s">
        <v>2297</v>
      </c>
      <c r="C4637" s="9" t="s">
        <v>37</v>
      </c>
      <c r="D4637" s="9" t="n">
        <v>79</v>
      </c>
      <c r="E4637" s="9" t="s">
        <v>70</v>
      </c>
      <c r="F4637" s="9" t="s">
        <v>39</v>
      </c>
      <c r="G4637" s="10" t="n">
        <v>46045</v>
      </c>
      <c r="H4637" s="10" t="n">
        <v>46075</v>
      </c>
      <c r="I4637" s="9" t="s">
        <v>75</v>
      </c>
      <c r="J4637" s="9" t="s">
        <v>63</v>
      </c>
      <c r="K4637" s="9" t="n">
        <v>30</v>
      </c>
      <c r="L4637" s="9" t="n">
        <v>1</v>
      </c>
      <c r="M4637" s="9" t="n">
        <v>0</v>
      </c>
      <c r="N4637" s="9" t="s">
        <v>42</v>
      </c>
      <c r="O4637" s="9" t="s">
        <v>67</v>
      </c>
      <c r="P4637" s="9" t="n">
        <v>18.7</v>
      </c>
      <c r="Q4637" s="9" t="n">
        <v>39</v>
      </c>
      <c r="R4637" s="9" t="s">
        <v>44</v>
      </c>
      <c r="S4637" s="9"/>
      <c r="T4637" s="9"/>
      <c r="U4637" s="9" t="str">
        <f aca="false">IF(COUNTIF($A$2:$A$5001,A4637)&gt;1,"Duplicate","Unique")</f>
        <v>Unique</v>
      </c>
      <c r="V4637" s="9" t="str">
        <f aca="false">IF(COUNTIFS($B$2:$B$5001,B4637,$H$2:$H$5001,H4637,$J$2:$J$5001,J4637)&gt;1,"Possible Duplicate Booking","Unique")</f>
        <v>Unique</v>
      </c>
      <c r="W4637" s="9" t="str">
        <f aca="false">IF((H4637-G4637)&lt;&gt;K4637,"Mismatch","OK")</f>
        <v>OK</v>
      </c>
      <c r="X4637" s="9" t="str">
        <f aca="false">IF(TEXT(H4637,"dddd")&lt;&gt;I4637,"Mismatch","OK")</f>
        <v>OK</v>
      </c>
      <c r="Y4637" s="9" t="str">
        <f aca="false">IF(AND(N4637="No",O4637&lt;&gt;""),"Unexpected: channel present but no reminder sent",IF(AND(N4637="Yes",O4637=""),"Missing channel for sent reminder","OK"))</f>
        <v>OK</v>
      </c>
    </row>
    <row r="4638" customFormat="false" ht="15" hidden="false" customHeight="false" outlineLevel="0" collapsed="false">
      <c r="A4638" s="7" t="s">
        <v>6368</v>
      </c>
      <c r="B4638" s="7" t="s">
        <v>2531</v>
      </c>
      <c r="C4638" s="7" t="s">
        <v>47</v>
      </c>
      <c r="D4638" s="7" t="n">
        <v>19</v>
      </c>
      <c r="E4638" s="7" t="s">
        <v>82</v>
      </c>
      <c r="F4638" s="7" t="s">
        <v>39</v>
      </c>
      <c r="G4638" s="8" t="n">
        <v>46048</v>
      </c>
      <c r="H4638" s="8" t="n">
        <v>46108</v>
      </c>
      <c r="I4638" s="7" t="s">
        <v>50</v>
      </c>
      <c r="J4638" s="7" t="s">
        <v>41</v>
      </c>
      <c r="K4638" s="7" t="n">
        <v>60</v>
      </c>
      <c r="L4638" s="7" t="n">
        <v>4</v>
      </c>
      <c r="M4638" s="7" t="n">
        <v>0</v>
      </c>
      <c r="N4638" s="7" t="s">
        <v>71</v>
      </c>
      <c r="O4638" s="7"/>
      <c r="P4638" s="7" t="n">
        <v>10.5</v>
      </c>
      <c r="Q4638" s="7" t="n">
        <v>7</v>
      </c>
      <c r="R4638" s="7" t="s">
        <v>87</v>
      </c>
      <c r="S4638" s="7"/>
      <c r="T4638" s="7"/>
      <c r="U4638" s="7" t="str">
        <f aca="false">IF(COUNTIF($A$2:$A$5001,A4638)&gt;1,"Duplicate","Unique")</f>
        <v>Unique</v>
      </c>
      <c r="V4638" s="7" t="str">
        <f aca="false">IF(COUNTIFS($B$2:$B$5001,B4638,$H$2:$H$5001,H4638,$J$2:$J$5001,J4638)&gt;1,"Possible Duplicate Booking","Unique")</f>
        <v>Unique</v>
      </c>
      <c r="W4638" s="7" t="str">
        <f aca="false">IF((H4638-G4638)&lt;&gt;K4638,"Mismatch","OK")</f>
        <v>OK</v>
      </c>
      <c r="X4638" s="7" t="str">
        <f aca="false">IF(TEXT(H4638,"dddd")&lt;&gt;I4638,"Mismatch","OK")</f>
        <v>OK</v>
      </c>
      <c r="Y4638" s="7" t="str">
        <f aca="false">IF(AND(N4638="No",O4638&lt;&gt;""),"Unexpected: channel present but no reminder sent",IF(AND(N4638="Yes",O4638=""),"Missing channel for sent reminder","OK"))</f>
        <v>OK</v>
      </c>
    </row>
    <row r="4639" customFormat="false" ht="15" hidden="false" customHeight="false" outlineLevel="0" collapsed="false">
      <c r="A4639" s="9" t="s">
        <v>6369</v>
      </c>
      <c r="B4639" s="9" t="s">
        <v>2619</v>
      </c>
      <c r="C4639" s="9" t="s">
        <v>37</v>
      </c>
      <c r="D4639" s="9" t="n">
        <v>46</v>
      </c>
      <c r="E4639" s="9" t="s">
        <v>56</v>
      </c>
      <c r="F4639" s="9" t="s">
        <v>49</v>
      </c>
      <c r="G4639" s="10" t="n">
        <v>45896</v>
      </c>
      <c r="H4639" s="10" t="n">
        <v>45928</v>
      </c>
      <c r="I4639" s="9" t="s">
        <v>75</v>
      </c>
      <c r="J4639" s="9" t="s">
        <v>51</v>
      </c>
      <c r="K4639" s="9" t="n">
        <v>32</v>
      </c>
      <c r="L4639" s="9" t="n">
        <v>2</v>
      </c>
      <c r="M4639" s="9" t="n">
        <v>0</v>
      </c>
      <c r="N4639" s="9" t="s">
        <v>42</v>
      </c>
      <c r="O4639" s="9" t="s">
        <v>52</v>
      </c>
      <c r="P4639" s="9" t="n">
        <v>2.3</v>
      </c>
      <c r="Q4639" s="9" t="n">
        <v>22</v>
      </c>
      <c r="R4639" s="9" t="s">
        <v>44</v>
      </c>
      <c r="S4639" s="9"/>
      <c r="T4639" s="9"/>
      <c r="U4639" s="9" t="str">
        <f aca="false">IF(COUNTIF($A$2:$A$5001,A4639)&gt;1,"Duplicate","Unique")</f>
        <v>Unique</v>
      </c>
      <c r="V4639" s="9" t="str">
        <f aca="false">IF(COUNTIFS($B$2:$B$5001,B4639,$H$2:$H$5001,H4639,$J$2:$J$5001,J4639)&gt;1,"Possible Duplicate Booking","Unique")</f>
        <v>Unique</v>
      </c>
      <c r="W4639" s="9" t="str">
        <f aca="false">IF((H4639-G4639)&lt;&gt;K4639,"Mismatch","OK")</f>
        <v>OK</v>
      </c>
      <c r="X4639" s="9" t="str">
        <f aca="false">IF(TEXT(H4639,"dddd")&lt;&gt;I4639,"Mismatch","OK")</f>
        <v>OK</v>
      </c>
      <c r="Y4639" s="9" t="str">
        <f aca="false">IF(AND(N4639="No",O4639&lt;&gt;""),"Unexpected: channel present but no reminder sent",IF(AND(N4639="Yes",O4639=""),"Missing channel for sent reminder","OK"))</f>
        <v>OK</v>
      </c>
    </row>
    <row r="4640" customFormat="false" ht="15" hidden="false" customHeight="false" outlineLevel="0" collapsed="false">
      <c r="A4640" s="7" t="s">
        <v>6370</v>
      </c>
      <c r="B4640" s="7" t="s">
        <v>248</v>
      </c>
      <c r="C4640" s="7" t="s">
        <v>47</v>
      </c>
      <c r="D4640" s="7" t="n">
        <v>60</v>
      </c>
      <c r="E4640" s="7" t="s">
        <v>61</v>
      </c>
      <c r="F4640" s="7" t="s">
        <v>49</v>
      </c>
      <c r="G4640" s="8" t="n">
        <v>45939</v>
      </c>
      <c r="H4640" s="8" t="n">
        <v>45994</v>
      </c>
      <c r="I4640" s="7" t="s">
        <v>58</v>
      </c>
      <c r="J4640" s="7" t="s">
        <v>41</v>
      </c>
      <c r="K4640" s="7" t="n">
        <v>55</v>
      </c>
      <c r="L4640" s="7" t="n">
        <v>2</v>
      </c>
      <c r="M4640" s="7" t="n">
        <v>0</v>
      </c>
      <c r="N4640" s="7" t="s">
        <v>42</v>
      </c>
      <c r="O4640" s="7" t="s">
        <v>67</v>
      </c>
      <c r="P4640" s="7" t="n">
        <v>13.9</v>
      </c>
      <c r="Q4640" s="7" t="n">
        <v>14</v>
      </c>
      <c r="R4640" s="7" t="s">
        <v>53</v>
      </c>
      <c r="S4640" s="7"/>
      <c r="T4640" s="7"/>
      <c r="U4640" s="7" t="str">
        <f aca="false">IF(COUNTIF($A$2:$A$5001,A4640)&gt;1,"Duplicate","Unique")</f>
        <v>Unique</v>
      </c>
      <c r="V4640" s="7" t="str">
        <f aca="false">IF(COUNTIFS($B$2:$B$5001,B4640,$H$2:$H$5001,H4640,$J$2:$J$5001,J4640)&gt;1,"Possible Duplicate Booking","Unique")</f>
        <v>Unique</v>
      </c>
      <c r="W4640" s="7" t="str">
        <f aca="false">IF((H4640-G4640)&lt;&gt;K4640,"Mismatch","OK")</f>
        <v>OK</v>
      </c>
      <c r="X4640" s="7" t="str">
        <f aca="false">IF(TEXT(H4640,"dddd")&lt;&gt;I4640,"Mismatch","OK")</f>
        <v>OK</v>
      </c>
      <c r="Y4640" s="7" t="str">
        <f aca="false">IF(AND(N4640="No",O4640&lt;&gt;""),"Unexpected: channel present but no reminder sent",IF(AND(N4640="Yes",O4640=""),"Missing channel for sent reminder","OK"))</f>
        <v>OK</v>
      </c>
    </row>
    <row r="4641" customFormat="false" ht="15" hidden="false" customHeight="false" outlineLevel="0" collapsed="false">
      <c r="A4641" s="9" t="s">
        <v>6371</v>
      </c>
      <c r="B4641" s="9" t="s">
        <v>1592</v>
      </c>
      <c r="C4641" s="9" t="s">
        <v>37</v>
      </c>
      <c r="D4641" s="9" t="n">
        <v>38</v>
      </c>
      <c r="E4641" s="9" t="s">
        <v>38</v>
      </c>
      <c r="F4641" s="9" t="s">
        <v>49</v>
      </c>
      <c r="G4641" s="10" t="n">
        <v>46126</v>
      </c>
      <c r="H4641" s="10" t="n">
        <v>46159</v>
      </c>
      <c r="I4641" s="9" t="s">
        <v>75</v>
      </c>
      <c r="J4641" s="9" t="s">
        <v>51</v>
      </c>
      <c r="K4641" s="9" t="n">
        <v>33</v>
      </c>
      <c r="L4641" s="9" t="n">
        <v>1</v>
      </c>
      <c r="M4641" s="9" t="n">
        <v>0</v>
      </c>
      <c r="N4641" s="9" t="s">
        <v>71</v>
      </c>
      <c r="O4641" s="9"/>
      <c r="P4641" s="9" t="n">
        <v>19.6</v>
      </c>
      <c r="Q4641" s="9" t="n">
        <v>40</v>
      </c>
      <c r="R4641" s="9" t="s">
        <v>53</v>
      </c>
      <c r="S4641" s="9"/>
      <c r="T4641" s="9"/>
      <c r="U4641" s="9" t="str">
        <f aca="false">IF(COUNTIF($A$2:$A$5001,A4641)&gt;1,"Duplicate","Unique")</f>
        <v>Unique</v>
      </c>
      <c r="V4641" s="9" t="str">
        <f aca="false">IF(COUNTIFS($B$2:$B$5001,B4641,$H$2:$H$5001,H4641,$J$2:$J$5001,J4641)&gt;1,"Possible Duplicate Booking","Unique")</f>
        <v>Unique</v>
      </c>
      <c r="W4641" s="9" t="str">
        <f aca="false">IF((H4641-G4641)&lt;&gt;K4641,"Mismatch","OK")</f>
        <v>OK</v>
      </c>
      <c r="X4641" s="9" t="str">
        <f aca="false">IF(TEXT(H4641,"dddd")&lt;&gt;I4641,"Mismatch","OK")</f>
        <v>OK</v>
      </c>
      <c r="Y4641" s="9" t="str">
        <f aca="false">IF(AND(N4641="No",O4641&lt;&gt;""),"Unexpected: channel present but no reminder sent",IF(AND(N4641="Yes",O4641=""),"Missing channel for sent reminder","OK"))</f>
        <v>OK</v>
      </c>
    </row>
    <row r="4642" customFormat="false" ht="15" hidden="false" customHeight="false" outlineLevel="0" collapsed="false">
      <c r="A4642" s="7" t="s">
        <v>6372</v>
      </c>
      <c r="B4642" s="7" t="s">
        <v>4020</v>
      </c>
      <c r="C4642" s="7" t="s">
        <v>47</v>
      </c>
      <c r="D4642" s="7" t="n">
        <v>30</v>
      </c>
      <c r="E4642" s="7" t="s">
        <v>48</v>
      </c>
      <c r="F4642" s="7" t="s">
        <v>57</v>
      </c>
      <c r="G4642" s="8" t="n">
        <v>46097</v>
      </c>
      <c r="H4642" s="8" t="n">
        <v>46118</v>
      </c>
      <c r="I4642" s="7" t="s">
        <v>66</v>
      </c>
      <c r="J4642" s="7" t="s">
        <v>63</v>
      </c>
      <c r="K4642" s="7" t="n">
        <v>21</v>
      </c>
      <c r="L4642" s="7" t="n">
        <v>4</v>
      </c>
      <c r="M4642" s="7" t="n">
        <v>1</v>
      </c>
      <c r="N4642" s="7" t="s">
        <v>42</v>
      </c>
      <c r="O4642" s="7" t="s">
        <v>43</v>
      </c>
      <c r="P4642" s="7" t="n">
        <v>7</v>
      </c>
      <c r="Q4642" s="7" t="n">
        <v>7</v>
      </c>
      <c r="R4642" s="7" t="s">
        <v>53</v>
      </c>
      <c r="S4642" s="7"/>
      <c r="T4642" s="7"/>
      <c r="U4642" s="7" t="str">
        <f aca="false">IF(COUNTIF($A$2:$A$5001,A4642)&gt;1,"Duplicate","Unique")</f>
        <v>Unique</v>
      </c>
      <c r="V4642" s="7" t="str">
        <f aca="false">IF(COUNTIFS($B$2:$B$5001,B4642,$H$2:$H$5001,H4642,$J$2:$J$5001,J4642)&gt;1,"Possible Duplicate Booking","Unique")</f>
        <v>Unique</v>
      </c>
      <c r="W4642" s="7" t="str">
        <f aca="false">IF((H4642-G4642)&lt;&gt;K4642,"Mismatch","OK")</f>
        <v>OK</v>
      </c>
      <c r="X4642" s="7" t="str">
        <f aca="false">IF(TEXT(H4642,"dddd")&lt;&gt;I4642,"Mismatch","OK")</f>
        <v>OK</v>
      </c>
      <c r="Y4642" s="7" t="str">
        <f aca="false">IF(AND(N4642="No",O4642&lt;&gt;""),"Unexpected: channel present but no reminder sent",IF(AND(N4642="Yes",O4642=""),"Missing channel for sent reminder","OK"))</f>
        <v>OK</v>
      </c>
    </row>
    <row r="4643" customFormat="false" ht="15" hidden="false" customHeight="false" outlineLevel="0" collapsed="false">
      <c r="A4643" s="9" t="s">
        <v>6373</v>
      </c>
      <c r="B4643" s="9" t="s">
        <v>3092</v>
      </c>
      <c r="C4643" s="9" t="s">
        <v>47</v>
      </c>
      <c r="D4643" s="9" t="n">
        <v>20</v>
      </c>
      <c r="E4643" s="9" t="s">
        <v>82</v>
      </c>
      <c r="F4643" s="9" t="s">
        <v>39</v>
      </c>
      <c r="G4643" s="10" t="n">
        <v>45632</v>
      </c>
      <c r="H4643" s="10" t="n">
        <v>45675</v>
      </c>
      <c r="I4643" s="9" t="s">
        <v>102</v>
      </c>
      <c r="J4643" s="9" t="s">
        <v>51</v>
      </c>
      <c r="K4643" s="9" t="n">
        <v>43</v>
      </c>
      <c r="L4643" s="9" t="n">
        <v>2</v>
      </c>
      <c r="M4643" s="9" t="n">
        <v>0</v>
      </c>
      <c r="N4643" s="9" t="s">
        <v>71</v>
      </c>
      <c r="O4643" s="9"/>
      <c r="P4643" s="9" t="n">
        <v>2.8</v>
      </c>
      <c r="Q4643" s="9" t="n">
        <v>50</v>
      </c>
      <c r="R4643" s="9" t="s">
        <v>44</v>
      </c>
      <c r="S4643" s="9"/>
      <c r="T4643" s="9"/>
      <c r="U4643" s="9" t="str">
        <f aca="false">IF(COUNTIF($A$2:$A$5001,A4643)&gt;1,"Duplicate","Unique")</f>
        <v>Unique</v>
      </c>
      <c r="V4643" s="9" t="str">
        <f aca="false">IF(COUNTIFS($B$2:$B$5001,B4643,$H$2:$H$5001,H4643,$J$2:$J$5001,J4643)&gt;1,"Possible Duplicate Booking","Unique")</f>
        <v>Unique</v>
      </c>
      <c r="W4643" s="9" t="str">
        <f aca="false">IF((H4643-G4643)&lt;&gt;K4643,"Mismatch","OK")</f>
        <v>OK</v>
      </c>
      <c r="X4643" s="9" t="str">
        <f aca="false">IF(TEXT(H4643,"dddd")&lt;&gt;I4643,"Mismatch","OK")</f>
        <v>OK</v>
      </c>
      <c r="Y4643" s="9" t="str">
        <f aca="false">IF(AND(N4643="No",O4643&lt;&gt;""),"Unexpected: channel present but no reminder sent",IF(AND(N4643="Yes",O4643=""),"Missing channel for sent reminder","OK"))</f>
        <v>OK</v>
      </c>
    </row>
    <row r="4644" customFormat="false" ht="15" hidden="false" customHeight="false" outlineLevel="0" collapsed="false">
      <c r="A4644" s="7" t="s">
        <v>6374</v>
      </c>
      <c r="B4644" s="7" t="s">
        <v>1780</v>
      </c>
      <c r="C4644" s="7" t="s">
        <v>47</v>
      </c>
      <c r="D4644" s="7" t="n">
        <v>63</v>
      </c>
      <c r="E4644" s="7" t="s">
        <v>61</v>
      </c>
      <c r="F4644" s="7" t="s">
        <v>49</v>
      </c>
      <c r="G4644" s="8" t="n">
        <v>46151</v>
      </c>
      <c r="H4644" s="8" t="n">
        <v>46178</v>
      </c>
      <c r="I4644" s="7" t="s">
        <v>50</v>
      </c>
      <c r="J4644" s="7" t="s">
        <v>41</v>
      </c>
      <c r="K4644" s="7" t="n">
        <v>27</v>
      </c>
      <c r="L4644" s="7" t="n">
        <v>2</v>
      </c>
      <c r="M4644" s="7" t="n">
        <v>0</v>
      </c>
      <c r="N4644" s="7" t="s">
        <v>71</v>
      </c>
      <c r="O4644" s="7"/>
      <c r="P4644" s="7" t="n">
        <v>10.7</v>
      </c>
      <c r="Q4644" s="7" t="n">
        <v>20</v>
      </c>
      <c r="R4644" s="7" t="s">
        <v>44</v>
      </c>
      <c r="S4644" s="7"/>
      <c r="T4644" s="7"/>
      <c r="U4644" s="7" t="str">
        <f aca="false">IF(COUNTIF($A$2:$A$5001,A4644)&gt;1,"Duplicate","Unique")</f>
        <v>Unique</v>
      </c>
      <c r="V4644" s="7" t="str">
        <f aca="false">IF(COUNTIFS($B$2:$B$5001,B4644,$H$2:$H$5001,H4644,$J$2:$J$5001,J4644)&gt;1,"Possible Duplicate Booking","Unique")</f>
        <v>Unique</v>
      </c>
      <c r="W4644" s="7" t="str">
        <f aca="false">IF((H4644-G4644)&lt;&gt;K4644,"Mismatch","OK")</f>
        <v>OK</v>
      </c>
      <c r="X4644" s="7" t="str">
        <f aca="false">IF(TEXT(H4644,"dddd")&lt;&gt;I4644,"Mismatch","OK")</f>
        <v>OK</v>
      </c>
      <c r="Y4644" s="7" t="str">
        <f aca="false">IF(AND(N4644="No",O4644&lt;&gt;""),"Unexpected: channel present but no reminder sent",IF(AND(N4644="Yes",O4644=""),"Missing channel for sent reminder","OK"))</f>
        <v>OK</v>
      </c>
    </row>
    <row r="4645" customFormat="false" ht="15" hidden="false" customHeight="false" outlineLevel="0" collapsed="false">
      <c r="A4645" s="9" t="s">
        <v>6375</v>
      </c>
      <c r="B4645" s="9" t="s">
        <v>6172</v>
      </c>
      <c r="C4645" s="9" t="s">
        <v>37</v>
      </c>
      <c r="D4645" s="9" t="n">
        <v>20</v>
      </c>
      <c r="E4645" s="9" t="s">
        <v>82</v>
      </c>
      <c r="F4645" s="9" t="s">
        <v>57</v>
      </c>
      <c r="G4645" s="10" t="n">
        <v>45678</v>
      </c>
      <c r="H4645" s="10" t="n">
        <v>45694</v>
      </c>
      <c r="I4645" s="9" t="s">
        <v>62</v>
      </c>
      <c r="J4645" s="9" t="s">
        <v>51</v>
      </c>
      <c r="K4645" s="9" t="n">
        <v>16</v>
      </c>
      <c r="L4645" s="9" t="n">
        <v>1</v>
      </c>
      <c r="M4645" s="9" t="n">
        <v>0</v>
      </c>
      <c r="N4645" s="9" t="s">
        <v>42</v>
      </c>
      <c r="O4645" s="9" t="s">
        <v>67</v>
      </c>
      <c r="P4645" s="9" t="n">
        <v>8.4</v>
      </c>
      <c r="Q4645" s="9" t="n">
        <v>18</v>
      </c>
      <c r="R4645" s="9" t="s">
        <v>44</v>
      </c>
      <c r="S4645" s="9"/>
      <c r="T4645" s="9"/>
      <c r="U4645" s="9" t="str">
        <f aca="false">IF(COUNTIF($A$2:$A$5001,A4645)&gt;1,"Duplicate","Unique")</f>
        <v>Unique</v>
      </c>
      <c r="V4645" s="9" t="str">
        <f aca="false">IF(COUNTIFS($B$2:$B$5001,B4645,$H$2:$H$5001,H4645,$J$2:$J$5001,J4645)&gt;1,"Possible Duplicate Booking","Unique")</f>
        <v>Unique</v>
      </c>
      <c r="W4645" s="9" t="str">
        <f aca="false">IF((H4645-G4645)&lt;&gt;K4645,"Mismatch","OK")</f>
        <v>OK</v>
      </c>
      <c r="X4645" s="9" t="str">
        <f aca="false">IF(TEXT(H4645,"dddd")&lt;&gt;I4645,"Mismatch","OK")</f>
        <v>OK</v>
      </c>
      <c r="Y4645" s="9" t="str">
        <f aca="false">IF(AND(N4645="No",O4645&lt;&gt;""),"Unexpected: channel present but no reminder sent",IF(AND(N4645="Yes",O4645=""),"Missing channel for sent reminder","OK"))</f>
        <v>OK</v>
      </c>
    </row>
    <row r="4646" customFormat="false" ht="15" hidden="false" customHeight="false" outlineLevel="0" collapsed="false">
      <c r="A4646" s="7" t="s">
        <v>6376</v>
      </c>
      <c r="B4646" s="7" t="s">
        <v>775</v>
      </c>
      <c r="C4646" s="7" t="s">
        <v>47</v>
      </c>
      <c r="D4646" s="7" t="n">
        <v>48</v>
      </c>
      <c r="E4646" s="7" t="s">
        <v>56</v>
      </c>
      <c r="F4646" s="7" t="s">
        <v>57</v>
      </c>
      <c r="G4646" s="8" t="n">
        <v>45644</v>
      </c>
      <c r="H4646" s="8" t="n">
        <v>45672</v>
      </c>
      <c r="I4646" s="7" t="s">
        <v>58</v>
      </c>
      <c r="J4646" s="7" t="s">
        <v>41</v>
      </c>
      <c r="K4646" s="7" t="n">
        <v>28</v>
      </c>
      <c r="L4646" s="7" t="n">
        <v>6</v>
      </c>
      <c r="M4646" s="7" t="n">
        <v>1</v>
      </c>
      <c r="N4646" s="7" t="s">
        <v>42</v>
      </c>
      <c r="O4646" s="7" t="s">
        <v>43</v>
      </c>
      <c r="P4646" s="7" t="n">
        <v>3.5</v>
      </c>
      <c r="Q4646" s="7" t="n">
        <v>32</v>
      </c>
      <c r="R4646" s="7" t="s">
        <v>44</v>
      </c>
      <c r="S4646" s="7"/>
      <c r="T4646" s="7"/>
      <c r="U4646" s="7" t="str">
        <f aca="false">IF(COUNTIF($A$2:$A$5001,A4646)&gt;1,"Duplicate","Unique")</f>
        <v>Unique</v>
      </c>
      <c r="V4646" s="7" t="str">
        <f aca="false">IF(COUNTIFS($B$2:$B$5001,B4646,$H$2:$H$5001,H4646,$J$2:$J$5001,J4646)&gt;1,"Possible Duplicate Booking","Unique")</f>
        <v>Unique</v>
      </c>
      <c r="W4646" s="7" t="str">
        <f aca="false">IF((H4646-G4646)&lt;&gt;K4646,"Mismatch","OK")</f>
        <v>OK</v>
      </c>
      <c r="X4646" s="7" t="str">
        <f aca="false">IF(TEXT(H4646,"dddd")&lt;&gt;I4646,"Mismatch","OK")</f>
        <v>OK</v>
      </c>
      <c r="Y4646" s="7" t="str">
        <f aca="false">IF(AND(N4646="No",O4646&lt;&gt;""),"Unexpected: channel present but no reminder sent",IF(AND(N4646="Yes",O4646=""),"Missing channel for sent reminder","OK"))</f>
        <v>OK</v>
      </c>
    </row>
    <row r="4647" customFormat="false" ht="15" hidden="false" customHeight="false" outlineLevel="0" collapsed="false">
      <c r="A4647" s="9" t="s">
        <v>6377</v>
      </c>
      <c r="B4647" s="9" t="s">
        <v>4482</v>
      </c>
      <c r="C4647" s="9" t="s">
        <v>37</v>
      </c>
      <c r="D4647" s="9" t="n">
        <v>42</v>
      </c>
      <c r="E4647" s="9" t="s">
        <v>38</v>
      </c>
      <c r="F4647" s="9" t="s">
        <v>57</v>
      </c>
      <c r="G4647" s="10" t="n">
        <v>45838</v>
      </c>
      <c r="H4647" s="10" t="n">
        <v>45878</v>
      </c>
      <c r="I4647" s="9" t="s">
        <v>102</v>
      </c>
      <c r="J4647" s="9" t="s">
        <v>63</v>
      </c>
      <c r="K4647" s="9" t="n">
        <v>40</v>
      </c>
      <c r="L4647" s="9" t="n">
        <v>2</v>
      </c>
      <c r="M4647" s="9" t="n">
        <v>2</v>
      </c>
      <c r="N4647" s="9" t="s">
        <v>71</v>
      </c>
      <c r="O4647" s="9"/>
      <c r="P4647" s="9" t="n">
        <v>13.6</v>
      </c>
      <c r="Q4647" s="9" t="n">
        <v>24</v>
      </c>
      <c r="R4647" s="9" t="s">
        <v>44</v>
      </c>
      <c r="S4647" s="9"/>
      <c r="T4647" s="9"/>
      <c r="U4647" s="9" t="str">
        <f aca="false">IF(COUNTIF($A$2:$A$5001,A4647)&gt;1,"Duplicate","Unique")</f>
        <v>Unique</v>
      </c>
      <c r="V4647" s="9" t="str">
        <f aca="false">IF(COUNTIFS($B$2:$B$5001,B4647,$H$2:$H$5001,H4647,$J$2:$J$5001,J4647)&gt;1,"Possible Duplicate Booking","Unique")</f>
        <v>Unique</v>
      </c>
      <c r="W4647" s="9" t="str">
        <f aca="false">IF((H4647-G4647)&lt;&gt;K4647,"Mismatch","OK")</f>
        <v>OK</v>
      </c>
      <c r="X4647" s="9" t="str">
        <f aca="false">IF(TEXT(H4647,"dddd")&lt;&gt;I4647,"Mismatch","OK")</f>
        <v>OK</v>
      </c>
      <c r="Y4647" s="9" t="str">
        <f aca="false">IF(AND(N4647="No",O4647&lt;&gt;""),"Unexpected: channel present but no reminder sent",IF(AND(N4647="Yes",O4647=""),"Missing channel for sent reminder","OK"))</f>
        <v>OK</v>
      </c>
    </row>
    <row r="4648" customFormat="false" ht="15" hidden="false" customHeight="false" outlineLevel="0" collapsed="false">
      <c r="A4648" s="7" t="s">
        <v>6378</v>
      </c>
      <c r="B4648" s="7" t="s">
        <v>788</v>
      </c>
      <c r="C4648" s="7" t="s">
        <v>47</v>
      </c>
      <c r="D4648" s="7" t="n">
        <v>78</v>
      </c>
      <c r="E4648" s="7" t="s">
        <v>70</v>
      </c>
      <c r="F4648" s="7" t="s">
        <v>57</v>
      </c>
      <c r="G4648" s="8" t="n">
        <v>46043</v>
      </c>
      <c r="H4648" s="8" t="n">
        <v>46065</v>
      </c>
      <c r="I4648" s="7" t="s">
        <v>62</v>
      </c>
      <c r="J4648" s="7" t="s">
        <v>41</v>
      </c>
      <c r="K4648" s="7" t="n">
        <v>22</v>
      </c>
      <c r="L4648" s="7" t="n">
        <v>5</v>
      </c>
      <c r="M4648" s="7" t="n">
        <v>1</v>
      </c>
      <c r="N4648" s="7" t="s">
        <v>42</v>
      </c>
      <c r="O4648" s="7" t="s">
        <v>52</v>
      </c>
      <c r="P4648" s="7" t="n">
        <v>10.9</v>
      </c>
      <c r="Q4648" s="7" t="n">
        <v>15</v>
      </c>
      <c r="R4648" s="7" t="s">
        <v>44</v>
      </c>
      <c r="S4648" s="7"/>
      <c r="T4648" s="7"/>
      <c r="U4648" s="7" t="str">
        <f aca="false">IF(COUNTIF($A$2:$A$5001,A4648)&gt;1,"Duplicate","Unique")</f>
        <v>Unique</v>
      </c>
      <c r="V4648" s="7" t="str">
        <f aca="false">IF(COUNTIFS($B$2:$B$5001,B4648,$H$2:$H$5001,H4648,$J$2:$J$5001,J4648)&gt;1,"Possible Duplicate Booking","Unique")</f>
        <v>Unique</v>
      </c>
      <c r="W4648" s="7" t="str">
        <f aca="false">IF((H4648-G4648)&lt;&gt;K4648,"Mismatch","OK")</f>
        <v>OK</v>
      </c>
      <c r="X4648" s="7" t="str">
        <f aca="false">IF(TEXT(H4648,"dddd")&lt;&gt;I4648,"Mismatch","OK")</f>
        <v>OK</v>
      </c>
      <c r="Y4648" s="7" t="str">
        <f aca="false">IF(AND(N4648="No",O4648&lt;&gt;""),"Unexpected: channel present but no reminder sent",IF(AND(N4648="Yes",O4648=""),"Missing channel for sent reminder","OK"))</f>
        <v>OK</v>
      </c>
    </row>
    <row r="4649" customFormat="false" ht="15" hidden="false" customHeight="false" outlineLevel="0" collapsed="false">
      <c r="A4649" s="9" t="s">
        <v>6379</v>
      </c>
      <c r="B4649" s="9" t="s">
        <v>1717</v>
      </c>
      <c r="C4649" s="9" t="s">
        <v>37</v>
      </c>
      <c r="D4649" s="9" t="n">
        <v>76</v>
      </c>
      <c r="E4649" s="9" t="s">
        <v>70</v>
      </c>
      <c r="F4649" s="9" t="s">
        <v>49</v>
      </c>
      <c r="G4649" s="10" t="n">
        <v>45659</v>
      </c>
      <c r="H4649" s="10" t="n">
        <v>45701</v>
      </c>
      <c r="I4649" s="9" t="s">
        <v>62</v>
      </c>
      <c r="J4649" s="9" t="s">
        <v>51</v>
      </c>
      <c r="K4649" s="9" t="n">
        <v>42</v>
      </c>
      <c r="L4649" s="9" t="n">
        <v>2</v>
      </c>
      <c r="M4649" s="9" t="n">
        <v>0</v>
      </c>
      <c r="N4649" s="9" t="s">
        <v>71</v>
      </c>
      <c r="O4649" s="9"/>
      <c r="P4649" s="9" t="n">
        <v>8.2</v>
      </c>
      <c r="Q4649" s="9" t="n">
        <v>16</v>
      </c>
      <c r="R4649" s="9" t="s">
        <v>44</v>
      </c>
      <c r="S4649" s="9"/>
      <c r="T4649" s="9"/>
      <c r="U4649" s="9" t="str">
        <f aca="false">IF(COUNTIF($A$2:$A$5001,A4649)&gt;1,"Duplicate","Unique")</f>
        <v>Unique</v>
      </c>
      <c r="V4649" s="9" t="str">
        <f aca="false">IF(COUNTIFS($B$2:$B$5001,B4649,$H$2:$H$5001,H4649,$J$2:$J$5001,J4649)&gt;1,"Possible Duplicate Booking","Unique")</f>
        <v>Unique</v>
      </c>
      <c r="W4649" s="9" t="str">
        <f aca="false">IF((H4649-G4649)&lt;&gt;K4649,"Mismatch","OK")</f>
        <v>OK</v>
      </c>
      <c r="X4649" s="9" t="str">
        <f aca="false">IF(TEXT(H4649,"dddd")&lt;&gt;I4649,"Mismatch","OK")</f>
        <v>OK</v>
      </c>
      <c r="Y4649" s="9" t="str">
        <f aca="false">IF(AND(N4649="No",O4649&lt;&gt;""),"Unexpected: channel present but no reminder sent",IF(AND(N4649="Yes",O4649=""),"Missing channel for sent reminder","OK"))</f>
        <v>OK</v>
      </c>
    </row>
    <row r="4650" customFormat="false" ht="15" hidden="false" customHeight="false" outlineLevel="0" collapsed="false">
      <c r="A4650" s="7" t="s">
        <v>6380</v>
      </c>
      <c r="B4650" s="7" t="s">
        <v>3616</v>
      </c>
      <c r="C4650" s="7" t="s">
        <v>47</v>
      </c>
      <c r="D4650" s="7" t="n">
        <v>69</v>
      </c>
      <c r="E4650" s="7" t="s">
        <v>70</v>
      </c>
      <c r="F4650" s="7" t="s">
        <v>57</v>
      </c>
      <c r="G4650" s="8" t="n">
        <v>45758</v>
      </c>
      <c r="H4650" s="8" t="n">
        <v>45817</v>
      </c>
      <c r="I4650" s="7" t="s">
        <v>66</v>
      </c>
      <c r="J4650" s="7" t="s">
        <v>51</v>
      </c>
      <c r="K4650" s="7" t="n">
        <v>59</v>
      </c>
      <c r="L4650" s="7" t="n">
        <v>3</v>
      </c>
      <c r="M4650" s="7" t="n">
        <v>0</v>
      </c>
      <c r="N4650" s="7" t="s">
        <v>71</v>
      </c>
      <c r="O4650" s="7"/>
      <c r="P4650" s="7" t="n">
        <v>7.6</v>
      </c>
      <c r="Q4650" s="7" t="n">
        <v>19</v>
      </c>
      <c r="R4650" s="7" t="s">
        <v>44</v>
      </c>
      <c r="S4650" s="7"/>
      <c r="T4650" s="7"/>
      <c r="U4650" s="7" t="str">
        <f aca="false">IF(COUNTIF($A$2:$A$5001,A4650)&gt;1,"Duplicate","Unique")</f>
        <v>Unique</v>
      </c>
      <c r="V4650" s="7" t="str">
        <f aca="false">IF(COUNTIFS($B$2:$B$5001,B4650,$H$2:$H$5001,H4650,$J$2:$J$5001,J4650)&gt;1,"Possible Duplicate Booking","Unique")</f>
        <v>Unique</v>
      </c>
      <c r="W4650" s="7" t="str">
        <f aca="false">IF((H4650-G4650)&lt;&gt;K4650,"Mismatch","OK")</f>
        <v>OK</v>
      </c>
      <c r="X4650" s="7" t="str">
        <f aca="false">IF(TEXT(H4650,"dddd")&lt;&gt;I4650,"Mismatch","OK")</f>
        <v>OK</v>
      </c>
      <c r="Y4650" s="7" t="str">
        <f aca="false">IF(AND(N4650="No",O4650&lt;&gt;""),"Unexpected: channel present but no reminder sent",IF(AND(N4650="Yes",O4650=""),"Missing channel for sent reminder","OK"))</f>
        <v>OK</v>
      </c>
    </row>
    <row r="4651" customFormat="false" ht="15" hidden="false" customHeight="false" outlineLevel="0" collapsed="false">
      <c r="A4651" s="9" t="s">
        <v>6381</v>
      </c>
      <c r="B4651" s="9" t="s">
        <v>3694</v>
      </c>
      <c r="C4651" s="9" t="s">
        <v>47</v>
      </c>
      <c r="D4651" s="9" t="n">
        <v>64</v>
      </c>
      <c r="E4651" s="9" t="s">
        <v>61</v>
      </c>
      <c r="F4651" s="9" t="s">
        <v>39</v>
      </c>
      <c r="G4651" s="10" t="n">
        <v>45776</v>
      </c>
      <c r="H4651" s="10" t="n">
        <v>45801</v>
      </c>
      <c r="I4651" s="9" t="s">
        <v>102</v>
      </c>
      <c r="J4651" s="9" t="s">
        <v>51</v>
      </c>
      <c r="K4651" s="9" t="n">
        <v>25</v>
      </c>
      <c r="L4651" s="9" t="n">
        <v>2</v>
      </c>
      <c r="M4651" s="9" t="n">
        <v>0</v>
      </c>
      <c r="N4651" s="9" t="s">
        <v>42</v>
      </c>
      <c r="O4651" s="9" t="s">
        <v>52</v>
      </c>
      <c r="P4651" s="9" t="n">
        <v>10.7</v>
      </c>
      <c r="Q4651" s="9" t="n">
        <v>16</v>
      </c>
      <c r="R4651" s="9" t="s">
        <v>44</v>
      </c>
      <c r="S4651" s="9"/>
      <c r="T4651" s="9"/>
      <c r="U4651" s="9" t="str">
        <f aca="false">IF(COUNTIF($A$2:$A$5001,A4651)&gt;1,"Duplicate","Unique")</f>
        <v>Unique</v>
      </c>
      <c r="V4651" s="9" t="str">
        <f aca="false">IF(COUNTIFS($B$2:$B$5001,B4651,$H$2:$H$5001,H4651,$J$2:$J$5001,J4651)&gt;1,"Possible Duplicate Booking","Unique")</f>
        <v>Unique</v>
      </c>
      <c r="W4651" s="9" t="str">
        <f aca="false">IF((H4651-G4651)&lt;&gt;K4651,"Mismatch","OK")</f>
        <v>OK</v>
      </c>
      <c r="X4651" s="9" t="str">
        <f aca="false">IF(TEXT(H4651,"dddd")&lt;&gt;I4651,"Mismatch","OK")</f>
        <v>OK</v>
      </c>
      <c r="Y4651" s="9" t="str">
        <f aca="false">IF(AND(N4651="No",O4651&lt;&gt;""),"Unexpected: channel present but no reminder sent",IF(AND(N4651="Yes",O4651=""),"Missing channel for sent reminder","OK"))</f>
        <v>OK</v>
      </c>
    </row>
    <row r="4652" customFormat="false" ht="15" hidden="false" customHeight="false" outlineLevel="0" collapsed="false">
      <c r="A4652" s="7" t="s">
        <v>6382</v>
      </c>
      <c r="B4652" s="7" t="s">
        <v>1556</v>
      </c>
      <c r="C4652" s="7" t="s">
        <v>47</v>
      </c>
      <c r="D4652" s="7" t="n">
        <v>52</v>
      </c>
      <c r="E4652" s="7" t="s">
        <v>56</v>
      </c>
      <c r="F4652" s="7" t="s">
        <v>57</v>
      </c>
      <c r="G4652" s="8" t="n">
        <v>45856</v>
      </c>
      <c r="H4652" s="8" t="n">
        <v>45874</v>
      </c>
      <c r="I4652" s="7" t="s">
        <v>40</v>
      </c>
      <c r="J4652" s="7" t="s">
        <v>63</v>
      </c>
      <c r="K4652" s="7" t="n">
        <v>18</v>
      </c>
      <c r="L4652" s="7" t="n">
        <v>2</v>
      </c>
      <c r="M4652" s="7" t="n">
        <v>0</v>
      </c>
      <c r="N4652" s="7" t="s">
        <v>42</v>
      </c>
      <c r="O4652" s="7" t="s">
        <v>43</v>
      </c>
      <c r="P4652" s="7" t="n">
        <v>3.9</v>
      </c>
      <c r="Q4652" s="7" t="n">
        <v>33</v>
      </c>
      <c r="R4652" s="7" t="s">
        <v>53</v>
      </c>
      <c r="S4652" s="7"/>
      <c r="T4652" s="7"/>
      <c r="U4652" s="7" t="str">
        <f aca="false">IF(COUNTIF($A$2:$A$5001,A4652)&gt;1,"Duplicate","Unique")</f>
        <v>Unique</v>
      </c>
      <c r="V4652" s="7" t="str">
        <f aca="false">IF(COUNTIFS($B$2:$B$5001,B4652,$H$2:$H$5001,H4652,$J$2:$J$5001,J4652)&gt;1,"Possible Duplicate Booking","Unique")</f>
        <v>Unique</v>
      </c>
      <c r="W4652" s="7" t="str">
        <f aca="false">IF((H4652-G4652)&lt;&gt;K4652,"Mismatch","OK")</f>
        <v>OK</v>
      </c>
      <c r="X4652" s="7" t="str">
        <f aca="false">IF(TEXT(H4652,"dddd")&lt;&gt;I4652,"Mismatch","OK")</f>
        <v>OK</v>
      </c>
      <c r="Y4652" s="7" t="str">
        <f aca="false">IF(AND(N4652="No",O4652&lt;&gt;""),"Unexpected: channel present but no reminder sent",IF(AND(N4652="Yes",O4652=""),"Missing channel for sent reminder","OK"))</f>
        <v>OK</v>
      </c>
    </row>
    <row r="4653" customFormat="false" ht="15" hidden="false" customHeight="false" outlineLevel="0" collapsed="false">
      <c r="A4653" s="9" t="s">
        <v>6383</v>
      </c>
      <c r="B4653" s="9" t="s">
        <v>2072</v>
      </c>
      <c r="C4653" s="9" t="s">
        <v>47</v>
      </c>
      <c r="D4653" s="9" t="n">
        <v>40</v>
      </c>
      <c r="E4653" s="9" t="s">
        <v>38</v>
      </c>
      <c r="F4653" s="9" t="s">
        <v>74</v>
      </c>
      <c r="G4653" s="10" t="n">
        <v>46172</v>
      </c>
      <c r="H4653" s="10" t="n">
        <v>46196</v>
      </c>
      <c r="I4653" s="9" t="s">
        <v>40</v>
      </c>
      <c r="J4653" s="9" t="s">
        <v>51</v>
      </c>
      <c r="K4653" s="9" t="n">
        <v>24</v>
      </c>
      <c r="L4653" s="9" t="n">
        <v>3</v>
      </c>
      <c r="M4653" s="9" t="n">
        <v>1</v>
      </c>
      <c r="N4653" s="9" t="s">
        <v>42</v>
      </c>
      <c r="O4653" s="9" t="s">
        <v>52</v>
      </c>
      <c r="P4653" s="9" t="n">
        <v>16.3</v>
      </c>
      <c r="Q4653" s="9" t="n">
        <v>25</v>
      </c>
      <c r="R4653" s="9" t="s">
        <v>53</v>
      </c>
      <c r="S4653" s="9"/>
      <c r="T4653" s="9"/>
      <c r="U4653" s="9" t="str">
        <f aca="false">IF(COUNTIF($A$2:$A$5001,A4653)&gt;1,"Duplicate","Unique")</f>
        <v>Unique</v>
      </c>
      <c r="V4653" s="9" t="str">
        <f aca="false">IF(COUNTIFS($B$2:$B$5001,B4653,$H$2:$H$5001,H4653,$J$2:$J$5001,J4653)&gt;1,"Possible Duplicate Booking","Unique")</f>
        <v>Unique</v>
      </c>
      <c r="W4653" s="9" t="str">
        <f aca="false">IF((H4653-G4653)&lt;&gt;K4653,"Mismatch","OK")</f>
        <v>OK</v>
      </c>
      <c r="X4653" s="9" t="str">
        <f aca="false">IF(TEXT(H4653,"dddd")&lt;&gt;I4653,"Mismatch","OK")</f>
        <v>OK</v>
      </c>
      <c r="Y4653" s="9" t="str">
        <f aca="false">IF(AND(N4653="No",O4653&lt;&gt;""),"Unexpected: channel present but no reminder sent",IF(AND(N4653="Yes",O4653=""),"Missing channel for sent reminder","OK"))</f>
        <v>OK</v>
      </c>
    </row>
    <row r="4654" customFormat="false" ht="15" hidden="false" customHeight="false" outlineLevel="0" collapsed="false">
      <c r="A4654" s="7" t="s">
        <v>6384</v>
      </c>
      <c r="B4654" s="7" t="s">
        <v>691</v>
      </c>
      <c r="C4654" s="7" t="s">
        <v>37</v>
      </c>
      <c r="D4654" s="7" t="n">
        <v>28</v>
      </c>
      <c r="E4654" s="7" t="s">
        <v>48</v>
      </c>
      <c r="F4654" s="7" t="s">
        <v>49</v>
      </c>
      <c r="G4654" s="8" t="n">
        <v>45787</v>
      </c>
      <c r="H4654" s="8" t="n">
        <v>45838</v>
      </c>
      <c r="I4654" s="7" t="s">
        <v>66</v>
      </c>
      <c r="J4654" s="7" t="s">
        <v>41</v>
      </c>
      <c r="K4654" s="7" t="n">
        <v>51</v>
      </c>
      <c r="L4654" s="7" t="n">
        <v>1</v>
      </c>
      <c r="M4654" s="7" t="n">
        <v>1</v>
      </c>
      <c r="N4654" s="7" t="s">
        <v>42</v>
      </c>
      <c r="O4654" s="7" t="s">
        <v>67</v>
      </c>
      <c r="P4654" s="7" t="n">
        <v>18.8</v>
      </c>
      <c r="Q4654" s="7" t="n">
        <v>29</v>
      </c>
      <c r="R4654" s="7" t="s">
        <v>44</v>
      </c>
      <c r="S4654" s="7"/>
      <c r="T4654" s="7"/>
      <c r="U4654" s="7" t="str">
        <f aca="false">IF(COUNTIF($A$2:$A$5001,A4654)&gt;1,"Duplicate","Unique")</f>
        <v>Unique</v>
      </c>
      <c r="V4654" s="7" t="str">
        <f aca="false">IF(COUNTIFS($B$2:$B$5001,B4654,$H$2:$H$5001,H4654,$J$2:$J$5001,J4654)&gt;1,"Possible Duplicate Booking","Unique")</f>
        <v>Unique</v>
      </c>
      <c r="W4654" s="7" t="str">
        <f aca="false">IF((H4654-G4654)&lt;&gt;K4654,"Mismatch","OK")</f>
        <v>OK</v>
      </c>
      <c r="X4654" s="7" t="str">
        <f aca="false">IF(TEXT(H4654,"dddd")&lt;&gt;I4654,"Mismatch","OK")</f>
        <v>OK</v>
      </c>
      <c r="Y4654" s="7" t="str">
        <f aca="false">IF(AND(N4654="No",O4654&lt;&gt;""),"Unexpected: channel present but no reminder sent",IF(AND(N4654="Yes",O4654=""),"Missing channel for sent reminder","OK"))</f>
        <v>OK</v>
      </c>
    </row>
    <row r="4655" customFormat="false" ht="15" hidden="false" customHeight="false" outlineLevel="0" collapsed="false">
      <c r="A4655" s="9" t="s">
        <v>6385</v>
      </c>
      <c r="B4655" s="9" t="s">
        <v>5201</v>
      </c>
      <c r="C4655" s="9" t="s">
        <v>47</v>
      </c>
      <c r="D4655" s="9" t="n">
        <v>78</v>
      </c>
      <c r="E4655" s="9" t="s">
        <v>70</v>
      </c>
      <c r="F4655" s="9" t="s">
        <v>39</v>
      </c>
      <c r="G4655" s="10" t="n">
        <v>45762</v>
      </c>
      <c r="H4655" s="10" t="n">
        <v>45772</v>
      </c>
      <c r="I4655" s="9" t="s">
        <v>50</v>
      </c>
      <c r="J4655" s="9" t="s">
        <v>51</v>
      </c>
      <c r="K4655" s="9" t="n">
        <v>10</v>
      </c>
      <c r="L4655" s="9" t="n">
        <v>2</v>
      </c>
      <c r="M4655" s="9" t="n">
        <v>0</v>
      </c>
      <c r="N4655" s="9" t="s">
        <v>42</v>
      </c>
      <c r="O4655" s="9" t="s">
        <v>52</v>
      </c>
      <c r="P4655" s="9" t="n">
        <v>7.6</v>
      </c>
      <c r="Q4655" s="9" t="n">
        <v>19</v>
      </c>
      <c r="R4655" s="9" t="s">
        <v>53</v>
      </c>
      <c r="S4655" s="9"/>
      <c r="T4655" s="9"/>
      <c r="U4655" s="9" t="str">
        <f aca="false">IF(COUNTIF($A$2:$A$5001,A4655)&gt;1,"Duplicate","Unique")</f>
        <v>Unique</v>
      </c>
      <c r="V4655" s="9" t="str">
        <f aca="false">IF(COUNTIFS($B$2:$B$5001,B4655,$H$2:$H$5001,H4655,$J$2:$J$5001,J4655)&gt;1,"Possible Duplicate Booking","Unique")</f>
        <v>Unique</v>
      </c>
      <c r="W4655" s="9" t="str">
        <f aca="false">IF((H4655-G4655)&lt;&gt;K4655,"Mismatch","OK")</f>
        <v>OK</v>
      </c>
      <c r="X4655" s="9" t="str">
        <f aca="false">IF(TEXT(H4655,"dddd")&lt;&gt;I4655,"Mismatch","OK")</f>
        <v>OK</v>
      </c>
      <c r="Y4655" s="9" t="str">
        <f aca="false">IF(AND(N4655="No",O4655&lt;&gt;""),"Unexpected: channel present but no reminder sent",IF(AND(N4655="Yes",O4655=""),"Missing channel for sent reminder","OK"))</f>
        <v>OK</v>
      </c>
    </row>
    <row r="4656" customFormat="false" ht="15" hidden="false" customHeight="false" outlineLevel="0" collapsed="false">
      <c r="A4656" s="7" t="s">
        <v>6386</v>
      </c>
      <c r="B4656" s="7" t="s">
        <v>3182</v>
      </c>
      <c r="C4656" s="7" t="s">
        <v>37</v>
      </c>
      <c r="D4656" s="7" t="n">
        <v>42</v>
      </c>
      <c r="E4656" s="7" t="s">
        <v>38</v>
      </c>
      <c r="F4656" s="7" t="s">
        <v>49</v>
      </c>
      <c r="G4656" s="8" t="n">
        <v>45665</v>
      </c>
      <c r="H4656" s="8" t="n">
        <v>45724</v>
      </c>
      <c r="I4656" s="7" t="s">
        <v>102</v>
      </c>
      <c r="J4656" s="7" t="s">
        <v>63</v>
      </c>
      <c r="K4656" s="7" t="n">
        <v>59</v>
      </c>
      <c r="L4656" s="7" t="n">
        <v>4</v>
      </c>
      <c r="M4656" s="7" t="n">
        <v>0</v>
      </c>
      <c r="N4656" s="7" t="s">
        <v>42</v>
      </c>
      <c r="O4656" s="7" t="s">
        <v>52</v>
      </c>
      <c r="P4656" s="7" t="n">
        <v>6.7</v>
      </c>
      <c r="Q4656" s="7" t="n">
        <v>31</v>
      </c>
      <c r="R4656" s="7" t="s">
        <v>44</v>
      </c>
      <c r="S4656" s="7"/>
      <c r="T4656" s="7"/>
      <c r="U4656" s="7" t="str">
        <f aca="false">IF(COUNTIF($A$2:$A$5001,A4656)&gt;1,"Duplicate","Unique")</f>
        <v>Unique</v>
      </c>
      <c r="V4656" s="7" t="str">
        <f aca="false">IF(COUNTIFS($B$2:$B$5001,B4656,$H$2:$H$5001,H4656,$J$2:$J$5001,J4656)&gt;1,"Possible Duplicate Booking","Unique")</f>
        <v>Unique</v>
      </c>
      <c r="W4656" s="7" t="str">
        <f aca="false">IF((H4656-G4656)&lt;&gt;K4656,"Mismatch","OK")</f>
        <v>OK</v>
      </c>
      <c r="X4656" s="7" t="str">
        <f aca="false">IF(TEXT(H4656,"dddd")&lt;&gt;I4656,"Mismatch","OK")</f>
        <v>OK</v>
      </c>
      <c r="Y4656" s="7" t="str">
        <f aca="false">IF(AND(N4656="No",O4656&lt;&gt;""),"Unexpected: channel present but no reminder sent",IF(AND(N4656="Yes",O4656=""),"Missing channel for sent reminder","OK"))</f>
        <v>OK</v>
      </c>
    </row>
    <row r="4657" customFormat="false" ht="15" hidden="false" customHeight="false" outlineLevel="0" collapsed="false">
      <c r="A4657" s="9" t="s">
        <v>6387</v>
      </c>
      <c r="B4657" s="9" t="s">
        <v>4214</v>
      </c>
      <c r="C4657" s="9" t="s">
        <v>37</v>
      </c>
      <c r="D4657" s="9" t="n">
        <v>45</v>
      </c>
      <c r="E4657" s="9" t="s">
        <v>56</v>
      </c>
      <c r="F4657" s="9" t="s">
        <v>57</v>
      </c>
      <c r="G4657" s="10" t="n">
        <v>45741</v>
      </c>
      <c r="H4657" s="10" t="n">
        <v>45766</v>
      </c>
      <c r="I4657" s="9" t="s">
        <v>102</v>
      </c>
      <c r="J4657" s="9" t="s">
        <v>41</v>
      </c>
      <c r="K4657" s="9" t="n">
        <v>25</v>
      </c>
      <c r="L4657" s="9" t="n">
        <v>3</v>
      </c>
      <c r="M4657" s="9" t="n">
        <v>0</v>
      </c>
      <c r="N4657" s="9" t="s">
        <v>42</v>
      </c>
      <c r="O4657" s="9" t="s">
        <v>52</v>
      </c>
      <c r="P4657" s="9" t="n">
        <v>4.6</v>
      </c>
      <c r="Q4657" s="9" t="n">
        <v>16</v>
      </c>
      <c r="R4657" s="9" t="s">
        <v>44</v>
      </c>
      <c r="S4657" s="9"/>
      <c r="T4657" s="9"/>
      <c r="U4657" s="9" t="str">
        <f aca="false">IF(COUNTIF($A$2:$A$5001,A4657)&gt;1,"Duplicate","Unique")</f>
        <v>Unique</v>
      </c>
      <c r="V4657" s="9" t="str">
        <f aca="false">IF(COUNTIFS($B$2:$B$5001,B4657,$H$2:$H$5001,H4657,$J$2:$J$5001,J4657)&gt;1,"Possible Duplicate Booking","Unique")</f>
        <v>Unique</v>
      </c>
      <c r="W4657" s="9" t="str">
        <f aca="false">IF((H4657-G4657)&lt;&gt;K4657,"Mismatch","OK")</f>
        <v>OK</v>
      </c>
      <c r="X4657" s="9" t="str">
        <f aca="false">IF(TEXT(H4657,"dddd")&lt;&gt;I4657,"Mismatch","OK")</f>
        <v>OK</v>
      </c>
      <c r="Y4657" s="9" t="str">
        <f aca="false">IF(AND(N4657="No",O4657&lt;&gt;""),"Unexpected: channel present but no reminder sent",IF(AND(N4657="Yes",O4657=""),"Missing channel for sent reminder","OK"))</f>
        <v>OK</v>
      </c>
    </row>
    <row r="4658" customFormat="false" ht="15" hidden="false" customHeight="false" outlineLevel="0" collapsed="false">
      <c r="A4658" s="7" t="s">
        <v>6388</v>
      </c>
      <c r="B4658" s="7" t="s">
        <v>4869</v>
      </c>
      <c r="C4658" s="7" t="s">
        <v>37</v>
      </c>
      <c r="D4658" s="7" t="n">
        <v>26</v>
      </c>
      <c r="E4658" s="7" t="s">
        <v>48</v>
      </c>
      <c r="F4658" s="7" t="s">
        <v>49</v>
      </c>
      <c r="G4658" s="8" t="n">
        <v>45679</v>
      </c>
      <c r="H4658" s="8" t="n">
        <v>45730</v>
      </c>
      <c r="I4658" s="7" t="s">
        <v>50</v>
      </c>
      <c r="J4658" s="7" t="s">
        <v>41</v>
      </c>
      <c r="K4658" s="7" t="n">
        <v>51</v>
      </c>
      <c r="L4658" s="7" t="n">
        <v>2</v>
      </c>
      <c r="M4658" s="7" t="n">
        <v>0</v>
      </c>
      <c r="N4658" s="7" t="s">
        <v>42</v>
      </c>
      <c r="O4658" s="7" t="s">
        <v>52</v>
      </c>
      <c r="P4658" s="7" t="n">
        <v>3</v>
      </c>
      <c r="Q4658" s="7" t="n">
        <v>14</v>
      </c>
      <c r="R4658" s="7" t="s">
        <v>44</v>
      </c>
      <c r="S4658" s="7"/>
      <c r="T4658" s="7"/>
      <c r="U4658" s="7" t="str">
        <f aca="false">IF(COUNTIF($A$2:$A$5001,A4658)&gt;1,"Duplicate","Unique")</f>
        <v>Unique</v>
      </c>
      <c r="V4658" s="7" t="str">
        <f aca="false">IF(COUNTIFS($B$2:$B$5001,B4658,$H$2:$H$5001,H4658,$J$2:$J$5001,J4658)&gt;1,"Possible Duplicate Booking","Unique")</f>
        <v>Unique</v>
      </c>
      <c r="W4658" s="7" t="str">
        <f aca="false">IF((H4658-G4658)&lt;&gt;K4658,"Mismatch","OK")</f>
        <v>OK</v>
      </c>
      <c r="X4658" s="7" t="str">
        <f aca="false">IF(TEXT(H4658,"dddd")&lt;&gt;I4658,"Mismatch","OK")</f>
        <v>OK</v>
      </c>
      <c r="Y4658" s="7" t="str">
        <f aca="false">IF(AND(N4658="No",O4658&lt;&gt;""),"Unexpected: channel present but no reminder sent",IF(AND(N4658="Yes",O4658=""),"Missing channel for sent reminder","OK"))</f>
        <v>OK</v>
      </c>
    </row>
    <row r="4659" customFormat="false" ht="15" hidden="false" customHeight="false" outlineLevel="0" collapsed="false">
      <c r="A4659" s="9" t="s">
        <v>6389</v>
      </c>
      <c r="B4659" s="9" t="s">
        <v>1788</v>
      </c>
      <c r="C4659" s="9" t="s">
        <v>37</v>
      </c>
      <c r="D4659" s="9" t="n">
        <v>35</v>
      </c>
      <c r="E4659" s="9" t="s">
        <v>38</v>
      </c>
      <c r="F4659" s="9" t="s">
        <v>49</v>
      </c>
      <c r="G4659" s="10" t="n">
        <v>45924</v>
      </c>
      <c r="H4659" s="10" t="n">
        <v>45971</v>
      </c>
      <c r="I4659" s="9" t="s">
        <v>66</v>
      </c>
      <c r="J4659" s="9" t="s">
        <v>63</v>
      </c>
      <c r="K4659" s="9" t="n">
        <v>47</v>
      </c>
      <c r="L4659" s="9" t="n">
        <v>1</v>
      </c>
      <c r="M4659" s="9" t="n">
        <v>1</v>
      </c>
      <c r="N4659" s="9" t="s">
        <v>42</v>
      </c>
      <c r="O4659" s="9" t="s">
        <v>67</v>
      </c>
      <c r="P4659" s="9" t="n">
        <v>6.1</v>
      </c>
      <c r="Q4659" s="9" t="n">
        <v>18</v>
      </c>
      <c r="R4659" s="9" t="s">
        <v>44</v>
      </c>
      <c r="S4659" s="9"/>
      <c r="T4659" s="9"/>
      <c r="U4659" s="9" t="str">
        <f aca="false">IF(COUNTIF($A$2:$A$5001,A4659)&gt;1,"Duplicate","Unique")</f>
        <v>Unique</v>
      </c>
      <c r="V4659" s="9" t="str">
        <f aca="false">IF(COUNTIFS($B$2:$B$5001,B4659,$H$2:$H$5001,H4659,$J$2:$J$5001,J4659)&gt;1,"Possible Duplicate Booking","Unique")</f>
        <v>Unique</v>
      </c>
      <c r="W4659" s="9" t="str">
        <f aca="false">IF((H4659-G4659)&lt;&gt;K4659,"Mismatch","OK")</f>
        <v>OK</v>
      </c>
      <c r="X4659" s="9" t="str">
        <f aca="false">IF(TEXT(H4659,"dddd")&lt;&gt;I4659,"Mismatch","OK")</f>
        <v>OK</v>
      </c>
      <c r="Y4659" s="9" t="str">
        <f aca="false">IF(AND(N4659="No",O4659&lt;&gt;""),"Unexpected: channel present but no reminder sent",IF(AND(N4659="Yes",O4659=""),"Missing channel for sent reminder","OK"))</f>
        <v>OK</v>
      </c>
    </row>
    <row r="4660" customFormat="false" ht="15" hidden="false" customHeight="false" outlineLevel="0" collapsed="false">
      <c r="A4660" s="7" t="s">
        <v>6390</v>
      </c>
      <c r="B4660" s="7" t="s">
        <v>3731</v>
      </c>
      <c r="C4660" s="7" t="s">
        <v>37</v>
      </c>
      <c r="D4660" s="7" t="n">
        <v>57</v>
      </c>
      <c r="E4660" s="7" t="s">
        <v>61</v>
      </c>
      <c r="F4660" s="7" t="s">
        <v>57</v>
      </c>
      <c r="G4660" s="8" t="n">
        <v>45840</v>
      </c>
      <c r="H4660" s="8" t="n">
        <v>45887</v>
      </c>
      <c r="I4660" s="7" t="s">
        <v>66</v>
      </c>
      <c r="J4660" s="7" t="s">
        <v>63</v>
      </c>
      <c r="K4660" s="7" t="n">
        <v>47</v>
      </c>
      <c r="L4660" s="7" t="n">
        <v>1</v>
      </c>
      <c r="M4660" s="7" t="n">
        <v>0</v>
      </c>
      <c r="N4660" s="7" t="s">
        <v>71</v>
      </c>
      <c r="O4660" s="7"/>
      <c r="P4660" s="7" t="n">
        <v>9.2</v>
      </c>
      <c r="Q4660" s="7" t="n">
        <v>40</v>
      </c>
      <c r="R4660" s="7" t="s">
        <v>44</v>
      </c>
      <c r="S4660" s="7"/>
      <c r="T4660" s="7"/>
      <c r="U4660" s="7" t="str">
        <f aca="false">IF(COUNTIF($A$2:$A$5001,A4660)&gt;1,"Duplicate","Unique")</f>
        <v>Unique</v>
      </c>
      <c r="V4660" s="7" t="str">
        <f aca="false">IF(COUNTIFS($B$2:$B$5001,B4660,$H$2:$H$5001,H4660,$J$2:$J$5001,J4660)&gt;1,"Possible Duplicate Booking","Unique")</f>
        <v>Unique</v>
      </c>
      <c r="W4660" s="7" t="str">
        <f aca="false">IF((H4660-G4660)&lt;&gt;K4660,"Mismatch","OK")</f>
        <v>OK</v>
      </c>
      <c r="X4660" s="7" t="str">
        <f aca="false">IF(TEXT(H4660,"dddd")&lt;&gt;I4660,"Mismatch","OK")</f>
        <v>OK</v>
      </c>
      <c r="Y4660" s="7" t="str">
        <f aca="false">IF(AND(N4660="No",O4660&lt;&gt;""),"Unexpected: channel present but no reminder sent",IF(AND(N4660="Yes",O4660=""),"Missing channel for sent reminder","OK"))</f>
        <v>OK</v>
      </c>
    </row>
    <row r="4661" customFormat="false" ht="15" hidden="false" customHeight="false" outlineLevel="0" collapsed="false">
      <c r="A4661" s="9" t="s">
        <v>6391</v>
      </c>
      <c r="B4661" s="9" t="s">
        <v>6392</v>
      </c>
      <c r="C4661" s="9" t="s">
        <v>47</v>
      </c>
      <c r="D4661" s="9" t="n">
        <v>44</v>
      </c>
      <c r="E4661" s="9" t="s">
        <v>38</v>
      </c>
      <c r="F4661" s="9" t="s">
        <v>74</v>
      </c>
      <c r="G4661" s="10" t="n">
        <v>45874</v>
      </c>
      <c r="H4661" s="10" t="n">
        <v>45929</v>
      </c>
      <c r="I4661" s="9" t="s">
        <v>66</v>
      </c>
      <c r="J4661" s="9" t="s">
        <v>41</v>
      </c>
      <c r="K4661" s="9" t="n">
        <v>55</v>
      </c>
      <c r="L4661" s="9" t="n">
        <v>0</v>
      </c>
      <c r="M4661" s="9" t="n">
        <v>0</v>
      </c>
      <c r="N4661" s="9" t="s">
        <v>71</v>
      </c>
      <c r="O4661" s="9"/>
      <c r="P4661" s="9" t="n">
        <v>14</v>
      </c>
      <c r="Q4661" s="9" t="n">
        <v>18</v>
      </c>
      <c r="R4661" s="9" t="s">
        <v>44</v>
      </c>
      <c r="S4661" s="9"/>
      <c r="T4661" s="9"/>
      <c r="U4661" s="9" t="str">
        <f aca="false">IF(COUNTIF($A$2:$A$5001,A4661)&gt;1,"Duplicate","Unique")</f>
        <v>Unique</v>
      </c>
      <c r="V4661" s="9" t="str">
        <f aca="false">IF(COUNTIFS($B$2:$B$5001,B4661,$H$2:$H$5001,H4661,$J$2:$J$5001,J4661)&gt;1,"Possible Duplicate Booking","Unique")</f>
        <v>Unique</v>
      </c>
      <c r="W4661" s="9" t="str">
        <f aca="false">IF((H4661-G4661)&lt;&gt;K4661,"Mismatch","OK")</f>
        <v>OK</v>
      </c>
      <c r="X4661" s="9" t="str">
        <f aca="false">IF(TEXT(H4661,"dddd")&lt;&gt;I4661,"Mismatch","OK")</f>
        <v>OK</v>
      </c>
      <c r="Y4661" s="9" t="str">
        <f aca="false">IF(AND(N4661="No",O4661&lt;&gt;""),"Unexpected: channel present but no reminder sent",IF(AND(N4661="Yes",O4661=""),"Missing channel for sent reminder","OK"))</f>
        <v>OK</v>
      </c>
    </row>
    <row r="4662" customFormat="false" ht="15" hidden="false" customHeight="false" outlineLevel="0" collapsed="false">
      <c r="A4662" s="7" t="s">
        <v>6393</v>
      </c>
      <c r="B4662" s="7" t="s">
        <v>2745</v>
      </c>
      <c r="C4662" s="7" t="s">
        <v>37</v>
      </c>
      <c r="D4662" s="7" t="n">
        <v>54</v>
      </c>
      <c r="E4662" s="7" t="s">
        <v>56</v>
      </c>
      <c r="F4662" s="7" t="s">
        <v>57</v>
      </c>
      <c r="G4662" s="8" t="n">
        <v>46101</v>
      </c>
      <c r="H4662" s="8" t="n">
        <v>46112</v>
      </c>
      <c r="I4662" s="7" t="s">
        <v>40</v>
      </c>
      <c r="J4662" s="7" t="s">
        <v>41</v>
      </c>
      <c r="K4662" s="7" t="n">
        <v>11</v>
      </c>
      <c r="L4662" s="7" t="n">
        <v>4</v>
      </c>
      <c r="M4662" s="7" t="n">
        <v>0</v>
      </c>
      <c r="N4662" s="7" t="s">
        <v>42</v>
      </c>
      <c r="O4662" s="7" t="s">
        <v>52</v>
      </c>
      <c r="P4662" s="7" t="n">
        <v>3.4</v>
      </c>
      <c r="Q4662" s="7" t="n">
        <v>18</v>
      </c>
      <c r="R4662" s="7" t="s">
        <v>44</v>
      </c>
      <c r="S4662" s="7"/>
      <c r="T4662" s="7"/>
      <c r="U4662" s="7" t="str">
        <f aca="false">IF(COUNTIF($A$2:$A$5001,A4662)&gt;1,"Duplicate","Unique")</f>
        <v>Unique</v>
      </c>
      <c r="V4662" s="7" t="str">
        <f aca="false">IF(COUNTIFS($B$2:$B$5001,B4662,$H$2:$H$5001,H4662,$J$2:$J$5001,J4662)&gt;1,"Possible Duplicate Booking","Unique")</f>
        <v>Unique</v>
      </c>
      <c r="W4662" s="7" t="str">
        <f aca="false">IF((H4662-G4662)&lt;&gt;K4662,"Mismatch","OK")</f>
        <v>OK</v>
      </c>
      <c r="X4662" s="7" t="str">
        <f aca="false">IF(TEXT(H4662,"dddd")&lt;&gt;I4662,"Mismatch","OK")</f>
        <v>OK</v>
      </c>
      <c r="Y4662" s="7" t="str">
        <f aca="false">IF(AND(N4662="No",O4662&lt;&gt;""),"Unexpected: channel present but no reminder sent",IF(AND(N4662="Yes",O4662=""),"Missing channel for sent reminder","OK"))</f>
        <v>OK</v>
      </c>
    </row>
    <row r="4663" customFormat="false" ht="15" hidden="false" customHeight="false" outlineLevel="0" collapsed="false">
      <c r="A4663" s="9" t="s">
        <v>6394</v>
      </c>
      <c r="B4663" s="9" t="s">
        <v>2985</v>
      </c>
      <c r="C4663" s="9" t="s">
        <v>47</v>
      </c>
      <c r="D4663" s="9" t="n">
        <v>31</v>
      </c>
      <c r="E4663" s="9" t="s">
        <v>48</v>
      </c>
      <c r="F4663" s="9" t="s">
        <v>39</v>
      </c>
      <c r="G4663" s="10" t="n">
        <v>45938</v>
      </c>
      <c r="H4663" s="10" t="n">
        <v>45974</v>
      </c>
      <c r="I4663" s="9" t="s">
        <v>62</v>
      </c>
      <c r="J4663" s="9" t="s">
        <v>41</v>
      </c>
      <c r="K4663" s="9" t="n">
        <v>36</v>
      </c>
      <c r="L4663" s="9" t="n">
        <v>3</v>
      </c>
      <c r="M4663" s="9" t="n">
        <v>1</v>
      </c>
      <c r="N4663" s="9" t="s">
        <v>42</v>
      </c>
      <c r="O4663" s="9" t="s">
        <v>52</v>
      </c>
      <c r="P4663" s="9" t="n">
        <v>7.9</v>
      </c>
      <c r="Q4663" s="9" t="n">
        <v>26</v>
      </c>
      <c r="R4663" s="9" t="s">
        <v>53</v>
      </c>
      <c r="S4663" s="9"/>
      <c r="T4663" s="9"/>
      <c r="U4663" s="9" t="str">
        <f aca="false">IF(COUNTIF($A$2:$A$5001,A4663)&gt;1,"Duplicate","Unique")</f>
        <v>Unique</v>
      </c>
      <c r="V4663" s="9" t="str">
        <f aca="false">IF(COUNTIFS($B$2:$B$5001,B4663,$H$2:$H$5001,H4663,$J$2:$J$5001,J4663)&gt;1,"Possible Duplicate Booking","Unique")</f>
        <v>Unique</v>
      </c>
      <c r="W4663" s="9" t="str">
        <f aca="false">IF((H4663-G4663)&lt;&gt;K4663,"Mismatch","OK")</f>
        <v>OK</v>
      </c>
      <c r="X4663" s="9" t="str">
        <f aca="false">IF(TEXT(H4663,"dddd")&lt;&gt;I4663,"Mismatch","OK")</f>
        <v>OK</v>
      </c>
      <c r="Y4663" s="9" t="str">
        <f aca="false">IF(AND(N4663="No",O4663&lt;&gt;""),"Unexpected: channel present but no reminder sent",IF(AND(N4663="Yes",O4663=""),"Missing channel for sent reminder","OK"))</f>
        <v>OK</v>
      </c>
    </row>
    <row r="4664" customFormat="false" ht="15" hidden="false" customHeight="false" outlineLevel="0" collapsed="false">
      <c r="A4664" s="7" t="s">
        <v>6395</v>
      </c>
      <c r="B4664" s="7" t="s">
        <v>817</v>
      </c>
      <c r="C4664" s="7" t="s">
        <v>37</v>
      </c>
      <c r="D4664" s="7" t="n">
        <v>23</v>
      </c>
      <c r="E4664" s="7" t="s">
        <v>82</v>
      </c>
      <c r="F4664" s="7" t="s">
        <v>57</v>
      </c>
      <c r="G4664" s="8" t="n">
        <v>45736</v>
      </c>
      <c r="H4664" s="8" t="n">
        <v>45742</v>
      </c>
      <c r="I4664" s="7" t="s">
        <v>58</v>
      </c>
      <c r="J4664" s="7" t="s">
        <v>51</v>
      </c>
      <c r="K4664" s="7" t="n">
        <v>6</v>
      </c>
      <c r="L4664" s="7" t="n">
        <v>2</v>
      </c>
      <c r="M4664" s="7" t="n">
        <v>0</v>
      </c>
      <c r="N4664" s="7" t="s">
        <v>71</v>
      </c>
      <c r="O4664" s="7"/>
      <c r="P4664" s="7" t="n">
        <v>8.2</v>
      </c>
      <c r="Q4664" s="7" t="n">
        <v>23</v>
      </c>
      <c r="R4664" s="7" t="s">
        <v>53</v>
      </c>
      <c r="S4664" s="7"/>
      <c r="T4664" s="7"/>
      <c r="U4664" s="7" t="str">
        <f aca="false">IF(COUNTIF($A$2:$A$5001,A4664)&gt;1,"Duplicate","Unique")</f>
        <v>Unique</v>
      </c>
      <c r="V4664" s="7" t="str">
        <f aca="false">IF(COUNTIFS($B$2:$B$5001,B4664,$H$2:$H$5001,H4664,$J$2:$J$5001,J4664)&gt;1,"Possible Duplicate Booking","Unique")</f>
        <v>Unique</v>
      </c>
      <c r="W4664" s="7" t="str">
        <f aca="false">IF((H4664-G4664)&lt;&gt;K4664,"Mismatch","OK")</f>
        <v>OK</v>
      </c>
      <c r="X4664" s="7" t="str">
        <f aca="false">IF(TEXT(H4664,"dddd")&lt;&gt;I4664,"Mismatch","OK")</f>
        <v>OK</v>
      </c>
      <c r="Y4664" s="7" t="str">
        <f aca="false">IF(AND(N4664="No",O4664&lt;&gt;""),"Unexpected: channel present but no reminder sent",IF(AND(N4664="Yes",O4664=""),"Missing channel for sent reminder","OK"))</f>
        <v>OK</v>
      </c>
    </row>
    <row r="4665" customFormat="false" ht="15" hidden="false" customHeight="false" outlineLevel="0" collapsed="false">
      <c r="A4665" s="9" t="s">
        <v>6396</v>
      </c>
      <c r="B4665" s="9" t="s">
        <v>1668</v>
      </c>
      <c r="C4665" s="9" t="s">
        <v>47</v>
      </c>
      <c r="D4665" s="9" t="n">
        <v>73</v>
      </c>
      <c r="E4665" s="9" t="s">
        <v>70</v>
      </c>
      <c r="F4665" s="9" t="s">
        <v>49</v>
      </c>
      <c r="G4665" s="10" t="n">
        <v>45845</v>
      </c>
      <c r="H4665" s="10" t="n">
        <v>45863</v>
      </c>
      <c r="I4665" s="9" t="s">
        <v>50</v>
      </c>
      <c r="J4665" s="9" t="s">
        <v>51</v>
      </c>
      <c r="K4665" s="9" t="n">
        <v>18</v>
      </c>
      <c r="L4665" s="9" t="n">
        <v>2</v>
      </c>
      <c r="M4665" s="9" t="n">
        <v>0</v>
      </c>
      <c r="N4665" s="9" t="s">
        <v>42</v>
      </c>
      <c r="O4665" s="9" t="s">
        <v>43</v>
      </c>
      <c r="P4665" s="9" t="n">
        <v>12</v>
      </c>
      <c r="Q4665" s="9" t="n">
        <v>12</v>
      </c>
      <c r="R4665" s="9" t="s">
        <v>44</v>
      </c>
      <c r="S4665" s="9"/>
      <c r="T4665" s="9"/>
      <c r="U4665" s="9" t="str">
        <f aca="false">IF(COUNTIF($A$2:$A$5001,A4665)&gt;1,"Duplicate","Unique")</f>
        <v>Unique</v>
      </c>
      <c r="V4665" s="9" t="str">
        <f aca="false">IF(COUNTIFS($B$2:$B$5001,B4665,$H$2:$H$5001,H4665,$J$2:$J$5001,J4665)&gt;1,"Possible Duplicate Booking","Unique")</f>
        <v>Unique</v>
      </c>
      <c r="W4665" s="9" t="str">
        <f aca="false">IF((H4665-G4665)&lt;&gt;K4665,"Mismatch","OK")</f>
        <v>OK</v>
      </c>
      <c r="X4665" s="9" t="str">
        <f aca="false">IF(TEXT(H4665,"dddd")&lt;&gt;I4665,"Mismatch","OK")</f>
        <v>OK</v>
      </c>
      <c r="Y4665" s="9" t="str">
        <f aca="false">IF(AND(N4665="No",O4665&lt;&gt;""),"Unexpected: channel present but no reminder sent",IF(AND(N4665="Yes",O4665=""),"Missing channel for sent reminder","OK"))</f>
        <v>OK</v>
      </c>
    </row>
    <row r="4666" customFormat="false" ht="15" hidden="false" customHeight="false" outlineLevel="0" collapsed="false">
      <c r="A4666" s="7" t="s">
        <v>6397</v>
      </c>
      <c r="B4666" s="7" t="s">
        <v>1475</v>
      </c>
      <c r="C4666" s="7" t="s">
        <v>37</v>
      </c>
      <c r="D4666" s="7" t="n">
        <v>45</v>
      </c>
      <c r="E4666" s="7" t="s">
        <v>56</v>
      </c>
      <c r="F4666" s="7" t="s">
        <v>57</v>
      </c>
      <c r="G4666" s="8" t="n">
        <v>45826</v>
      </c>
      <c r="H4666" s="8" t="n">
        <v>45828</v>
      </c>
      <c r="I4666" s="7" t="s">
        <v>50</v>
      </c>
      <c r="J4666" s="7" t="s">
        <v>41</v>
      </c>
      <c r="K4666" s="7" t="n">
        <v>2</v>
      </c>
      <c r="L4666" s="7" t="n">
        <v>4</v>
      </c>
      <c r="M4666" s="7" t="n">
        <v>1</v>
      </c>
      <c r="N4666" s="7" t="s">
        <v>71</v>
      </c>
      <c r="O4666" s="7"/>
      <c r="P4666" s="7" t="n">
        <v>5.6</v>
      </c>
      <c r="Q4666" s="7" t="n">
        <v>11</v>
      </c>
      <c r="R4666" s="7" t="s">
        <v>53</v>
      </c>
      <c r="S4666" s="7"/>
      <c r="T4666" s="7"/>
      <c r="U4666" s="7" t="str">
        <f aca="false">IF(COUNTIF($A$2:$A$5001,A4666)&gt;1,"Duplicate","Unique")</f>
        <v>Unique</v>
      </c>
      <c r="V4666" s="7" t="str">
        <f aca="false">IF(COUNTIFS($B$2:$B$5001,B4666,$H$2:$H$5001,H4666,$J$2:$J$5001,J4666)&gt;1,"Possible Duplicate Booking","Unique")</f>
        <v>Unique</v>
      </c>
      <c r="W4666" s="7" t="str">
        <f aca="false">IF((H4666-G4666)&lt;&gt;K4666,"Mismatch","OK")</f>
        <v>OK</v>
      </c>
      <c r="X4666" s="7" t="str">
        <f aca="false">IF(TEXT(H4666,"dddd")&lt;&gt;I4666,"Mismatch","OK")</f>
        <v>OK</v>
      </c>
      <c r="Y4666" s="7" t="str">
        <f aca="false">IF(AND(N4666="No",O4666&lt;&gt;""),"Unexpected: channel present but no reminder sent",IF(AND(N4666="Yes",O4666=""),"Missing channel for sent reminder","OK"))</f>
        <v>OK</v>
      </c>
    </row>
    <row r="4667" customFormat="false" ht="15" hidden="false" customHeight="false" outlineLevel="0" collapsed="false">
      <c r="A4667" s="9" t="s">
        <v>6398</v>
      </c>
      <c r="B4667" s="9" t="s">
        <v>4282</v>
      </c>
      <c r="C4667" s="9" t="s">
        <v>37</v>
      </c>
      <c r="D4667" s="9" t="n">
        <v>40</v>
      </c>
      <c r="E4667" s="9" t="s">
        <v>38</v>
      </c>
      <c r="F4667" s="9" t="s">
        <v>57</v>
      </c>
      <c r="G4667" s="10" t="n">
        <v>46068</v>
      </c>
      <c r="H4667" s="10" t="n">
        <v>46109</v>
      </c>
      <c r="I4667" s="9" t="s">
        <v>102</v>
      </c>
      <c r="J4667" s="9" t="s">
        <v>41</v>
      </c>
      <c r="K4667" s="9" t="n">
        <v>41</v>
      </c>
      <c r="L4667" s="9" t="n">
        <v>1</v>
      </c>
      <c r="M4667" s="9" t="n">
        <v>0</v>
      </c>
      <c r="N4667" s="9" t="s">
        <v>42</v>
      </c>
      <c r="O4667" s="9" t="s">
        <v>67</v>
      </c>
      <c r="P4667" s="9" t="n">
        <v>20.5</v>
      </c>
      <c r="Q4667" s="9" t="n">
        <v>32</v>
      </c>
      <c r="R4667" s="9" t="s">
        <v>53</v>
      </c>
      <c r="S4667" s="9"/>
      <c r="T4667" s="9"/>
      <c r="U4667" s="9" t="str">
        <f aca="false">IF(COUNTIF($A$2:$A$5001,A4667)&gt;1,"Duplicate","Unique")</f>
        <v>Unique</v>
      </c>
      <c r="V4667" s="9" t="str">
        <f aca="false">IF(COUNTIFS($B$2:$B$5001,B4667,$H$2:$H$5001,H4667,$J$2:$J$5001,J4667)&gt;1,"Possible Duplicate Booking","Unique")</f>
        <v>Unique</v>
      </c>
      <c r="W4667" s="9" t="str">
        <f aca="false">IF((H4667-G4667)&lt;&gt;K4667,"Mismatch","OK")</f>
        <v>OK</v>
      </c>
      <c r="X4667" s="9" t="str">
        <f aca="false">IF(TEXT(H4667,"dddd")&lt;&gt;I4667,"Mismatch","OK")</f>
        <v>OK</v>
      </c>
      <c r="Y4667" s="9" t="str">
        <f aca="false">IF(AND(N4667="No",O4667&lt;&gt;""),"Unexpected: channel present but no reminder sent",IF(AND(N4667="Yes",O4667=""),"Missing channel for sent reminder","OK"))</f>
        <v>OK</v>
      </c>
    </row>
    <row r="4668" customFormat="false" ht="15" hidden="false" customHeight="false" outlineLevel="0" collapsed="false">
      <c r="A4668" s="7" t="s">
        <v>6399</v>
      </c>
      <c r="B4668" s="7" t="s">
        <v>556</v>
      </c>
      <c r="C4668" s="7" t="s">
        <v>47</v>
      </c>
      <c r="D4668" s="7" t="n">
        <v>36</v>
      </c>
      <c r="E4668" s="7" t="s">
        <v>38</v>
      </c>
      <c r="F4668" s="7" t="s">
        <v>39</v>
      </c>
      <c r="G4668" s="8" t="n">
        <v>45788</v>
      </c>
      <c r="H4668" s="8" t="n">
        <v>45825</v>
      </c>
      <c r="I4668" s="7" t="s">
        <v>40</v>
      </c>
      <c r="J4668" s="7" t="s">
        <v>51</v>
      </c>
      <c r="K4668" s="7" t="n">
        <v>37</v>
      </c>
      <c r="L4668" s="7" t="n">
        <v>1</v>
      </c>
      <c r="M4668" s="7" t="n">
        <v>0</v>
      </c>
      <c r="N4668" s="7" t="s">
        <v>42</v>
      </c>
      <c r="O4668" s="7" t="s">
        <v>52</v>
      </c>
      <c r="P4668" s="7"/>
      <c r="Q4668" s="7" t="n">
        <v>11</v>
      </c>
      <c r="R4668" s="7" t="s">
        <v>53</v>
      </c>
      <c r="S4668" s="7"/>
      <c r="T4668" s="7"/>
      <c r="U4668" s="7" t="str">
        <f aca="false">IF(COUNTIF($A$2:$A$5001,A4668)&gt;1,"Duplicate","Unique")</f>
        <v>Unique</v>
      </c>
      <c r="V4668" s="7" t="str">
        <f aca="false">IF(COUNTIFS($B$2:$B$5001,B4668,$H$2:$H$5001,H4668,$J$2:$J$5001,J4668)&gt;1,"Possible Duplicate Booking","Unique")</f>
        <v>Unique</v>
      </c>
      <c r="W4668" s="7" t="str">
        <f aca="false">IF((H4668-G4668)&lt;&gt;K4668,"Mismatch","OK")</f>
        <v>OK</v>
      </c>
      <c r="X4668" s="7" t="str">
        <f aca="false">IF(TEXT(H4668,"dddd")&lt;&gt;I4668,"Mismatch","OK")</f>
        <v>OK</v>
      </c>
      <c r="Y4668" s="7" t="str">
        <f aca="false">IF(AND(N4668="No",O4668&lt;&gt;""),"Unexpected: channel present but no reminder sent",IF(AND(N4668="Yes",O4668=""),"Missing channel for sent reminder","OK"))</f>
        <v>OK</v>
      </c>
    </row>
    <row r="4669" customFormat="false" ht="15" hidden="false" customHeight="false" outlineLevel="0" collapsed="false">
      <c r="A4669" s="9" t="s">
        <v>6400</v>
      </c>
      <c r="B4669" s="9" t="s">
        <v>6401</v>
      </c>
      <c r="C4669" s="9" t="s">
        <v>47</v>
      </c>
      <c r="D4669" s="9" t="n">
        <v>59</v>
      </c>
      <c r="E4669" s="9" t="s">
        <v>61</v>
      </c>
      <c r="F4669" s="9" t="s">
        <v>74</v>
      </c>
      <c r="G4669" s="10" t="n">
        <v>45688</v>
      </c>
      <c r="H4669" s="10" t="n">
        <v>45733</v>
      </c>
      <c r="I4669" s="9" t="s">
        <v>66</v>
      </c>
      <c r="J4669" s="9" t="s">
        <v>51</v>
      </c>
      <c r="K4669" s="9" t="n">
        <v>45</v>
      </c>
      <c r="L4669" s="9" t="n">
        <v>2</v>
      </c>
      <c r="M4669" s="9" t="n">
        <v>0</v>
      </c>
      <c r="N4669" s="9" t="s">
        <v>42</v>
      </c>
      <c r="O4669" s="9" t="s">
        <v>52</v>
      </c>
      <c r="P4669" s="9" t="n">
        <v>9.8</v>
      </c>
      <c r="Q4669" s="9" t="n">
        <v>34</v>
      </c>
      <c r="R4669" s="9" t="s">
        <v>44</v>
      </c>
      <c r="S4669" s="9"/>
      <c r="T4669" s="9"/>
      <c r="U4669" s="9" t="str">
        <f aca="false">IF(COUNTIF($A$2:$A$5001,A4669)&gt;1,"Duplicate","Unique")</f>
        <v>Unique</v>
      </c>
      <c r="V4669" s="9" t="str">
        <f aca="false">IF(COUNTIFS($B$2:$B$5001,B4669,$H$2:$H$5001,H4669,$J$2:$J$5001,J4669)&gt;1,"Possible Duplicate Booking","Unique")</f>
        <v>Unique</v>
      </c>
      <c r="W4669" s="9" t="str">
        <f aca="false">IF((H4669-G4669)&lt;&gt;K4669,"Mismatch","OK")</f>
        <v>OK</v>
      </c>
      <c r="X4669" s="9" t="str">
        <f aca="false">IF(TEXT(H4669,"dddd")&lt;&gt;I4669,"Mismatch","OK")</f>
        <v>OK</v>
      </c>
      <c r="Y4669" s="9" t="str">
        <f aca="false">IF(AND(N4669="No",O4669&lt;&gt;""),"Unexpected: channel present but no reminder sent",IF(AND(N4669="Yes",O4669=""),"Missing channel for sent reminder","OK"))</f>
        <v>OK</v>
      </c>
    </row>
    <row r="4670" customFormat="false" ht="15" hidden="false" customHeight="false" outlineLevel="0" collapsed="false">
      <c r="A4670" s="7" t="s">
        <v>6402</v>
      </c>
      <c r="B4670" s="7" t="s">
        <v>6403</v>
      </c>
      <c r="C4670" s="7" t="s">
        <v>236</v>
      </c>
      <c r="D4670" s="7" t="n">
        <v>53</v>
      </c>
      <c r="E4670" s="7" t="s">
        <v>56</v>
      </c>
      <c r="F4670" s="7" t="s">
        <v>57</v>
      </c>
      <c r="G4670" s="8" t="n">
        <v>46049</v>
      </c>
      <c r="H4670" s="8" t="n">
        <v>46059</v>
      </c>
      <c r="I4670" s="7" t="s">
        <v>50</v>
      </c>
      <c r="J4670" s="7" t="s">
        <v>41</v>
      </c>
      <c r="K4670" s="7" t="n">
        <v>10</v>
      </c>
      <c r="L4670" s="7" t="n">
        <v>2</v>
      </c>
      <c r="M4670" s="7" t="n">
        <v>0</v>
      </c>
      <c r="N4670" s="7" t="s">
        <v>42</v>
      </c>
      <c r="O4670" s="7" t="s">
        <v>52</v>
      </c>
      <c r="P4670" s="7" t="n">
        <v>19.2</v>
      </c>
      <c r="Q4670" s="7" t="n">
        <v>19</v>
      </c>
      <c r="R4670" s="7" t="s">
        <v>44</v>
      </c>
      <c r="S4670" s="7"/>
      <c r="T4670" s="7"/>
      <c r="U4670" s="7" t="str">
        <f aca="false">IF(COUNTIF($A$2:$A$5001,A4670)&gt;1,"Duplicate","Unique")</f>
        <v>Unique</v>
      </c>
      <c r="V4670" s="7" t="str">
        <f aca="false">IF(COUNTIFS($B$2:$B$5001,B4670,$H$2:$H$5001,H4670,$J$2:$J$5001,J4670)&gt;1,"Possible Duplicate Booking","Unique")</f>
        <v>Unique</v>
      </c>
      <c r="W4670" s="7" t="str">
        <f aca="false">IF((H4670-G4670)&lt;&gt;K4670,"Mismatch","OK")</f>
        <v>OK</v>
      </c>
      <c r="X4670" s="7" t="str">
        <f aca="false">IF(TEXT(H4670,"dddd")&lt;&gt;I4670,"Mismatch","OK")</f>
        <v>OK</v>
      </c>
      <c r="Y4670" s="7" t="str">
        <f aca="false">IF(AND(N4670="No",O4670&lt;&gt;""),"Unexpected: channel present but no reminder sent",IF(AND(N4670="Yes",O4670=""),"Missing channel for sent reminder","OK"))</f>
        <v>OK</v>
      </c>
    </row>
    <row r="4671" customFormat="false" ht="15" hidden="false" customHeight="false" outlineLevel="0" collapsed="false">
      <c r="A4671" s="9" t="s">
        <v>6404</v>
      </c>
      <c r="B4671" s="9" t="s">
        <v>762</v>
      </c>
      <c r="C4671" s="9" t="s">
        <v>37</v>
      </c>
      <c r="D4671" s="9" t="n">
        <v>42</v>
      </c>
      <c r="E4671" s="9" t="s">
        <v>38</v>
      </c>
      <c r="F4671" s="9" t="s">
        <v>39</v>
      </c>
      <c r="G4671" s="10" t="n">
        <v>45871</v>
      </c>
      <c r="H4671" s="10" t="n">
        <v>45891</v>
      </c>
      <c r="I4671" s="9" t="s">
        <v>50</v>
      </c>
      <c r="J4671" s="9" t="s">
        <v>51</v>
      </c>
      <c r="K4671" s="9" t="n">
        <v>20</v>
      </c>
      <c r="L4671" s="9" t="n">
        <v>1</v>
      </c>
      <c r="M4671" s="9" t="n">
        <v>0</v>
      </c>
      <c r="N4671" s="9" t="s">
        <v>71</v>
      </c>
      <c r="O4671" s="9"/>
      <c r="P4671" s="9" t="n">
        <v>12.4</v>
      </c>
      <c r="Q4671" s="9" t="n">
        <v>2</v>
      </c>
      <c r="R4671" s="9" t="s">
        <v>44</v>
      </c>
      <c r="S4671" s="9"/>
      <c r="T4671" s="9"/>
      <c r="U4671" s="9" t="str">
        <f aca="false">IF(COUNTIF($A$2:$A$5001,A4671)&gt;1,"Duplicate","Unique")</f>
        <v>Unique</v>
      </c>
      <c r="V4671" s="9" t="str">
        <f aca="false">IF(COUNTIFS($B$2:$B$5001,B4671,$H$2:$H$5001,H4671,$J$2:$J$5001,J4671)&gt;1,"Possible Duplicate Booking","Unique")</f>
        <v>Unique</v>
      </c>
      <c r="W4671" s="9" t="str">
        <f aca="false">IF((H4671-G4671)&lt;&gt;K4671,"Mismatch","OK")</f>
        <v>OK</v>
      </c>
      <c r="X4671" s="9" t="str">
        <f aca="false">IF(TEXT(H4671,"dddd")&lt;&gt;I4671,"Mismatch","OK")</f>
        <v>OK</v>
      </c>
      <c r="Y4671" s="9" t="str">
        <f aca="false">IF(AND(N4671="No",O4671&lt;&gt;""),"Unexpected: channel present but no reminder sent",IF(AND(N4671="Yes",O4671=""),"Missing channel for sent reminder","OK"))</f>
        <v>OK</v>
      </c>
    </row>
    <row r="4672" customFormat="false" ht="15" hidden="false" customHeight="false" outlineLevel="0" collapsed="false">
      <c r="A4672" s="7" t="s">
        <v>6405</v>
      </c>
      <c r="B4672" s="7" t="s">
        <v>1503</v>
      </c>
      <c r="C4672" s="7" t="s">
        <v>47</v>
      </c>
      <c r="D4672" s="7" t="n">
        <v>76</v>
      </c>
      <c r="E4672" s="7" t="s">
        <v>70</v>
      </c>
      <c r="F4672" s="7" t="s">
        <v>39</v>
      </c>
      <c r="G4672" s="8" t="n">
        <v>45669</v>
      </c>
      <c r="H4672" s="8" t="n">
        <v>45710</v>
      </c>
      <c r="I4672" s="7" t="s">
        <v>102</v>
      </c>
      <c r="J4672" s="7" t="s">
        <v>41</v>
      </c>
      <c r="K4672" s="7" t="n">
        <v>41</v>
      </c>
      <c r="L4672" s="7" t="n">
        <v>4</v>
      </c>
      <c r="M4672" s="7" t="n">
        <v>0</v>
      </c>
      <c r="N4672" s="7" t="s">
        <v>71</v>
      </c>
      <c r="O4672" s="7"/>
      <c r="P4672" s="7" t="n">
        <v>17.7</v>
      </c>
      <c r="Q4672" s="7" t="n">
        <v>31</v>
      </c>
      <c r="R4672" s="7" t="s">
        <v>44</v>
      </c>
      <c r="S4672" s="7"/>
      <c r="T4672" s="7"/>
      <c r="U4672" s="7" t="str">
        <f aca="false">IF(COUNTIF($A$2:$A$5001,A4672)&gt;1,"Duplicate","Unique")</f>
        <v>Unique</v>
      </c>
      <c r="V4672" s="7" t="str">
        <f aca="false">IF(COUNTIFS($B$2:$B$5001,B4672,$H$2:$H$5001,H4672,$J$2:$J$5001,J4672)&gt;1,"Possible Duplicate Booking","Unique")</f>
        <v>Possible Duplicate Booking</v>
      </c>
      <c r="W4672" s="7" t="str">
        <f aca="false">IF((H4672-G4672)&lt;&gt;K4672,"Mismatch","OK")</f>
        <v>OK</v>
      </c>
      <c r="X4672" s="7" t="str">
        <f aca="false">IF(TEXT(H4672,"dddd")&lt;&gt;I4672,"Mismatch","OK")</f>
        <v>OK</v>
      </c>
      <c r="Y4672" s="7" t="str">
        <f aca="false">IF(AND(N4672="No",O4672&lt;&gt;""),"Unexpected: channel present but no reminder sent",IF(AND(N4672="Yes",O4672=""),"Missing channel for sent reminder","OK"))</f>
        <v>OK</v>
      </c>
    </row>
    <row r="4673" customFormat="false" ht="15" hidden="false" customHeight="false" outlineLevel="0" collapsed="false">
      <c r="A4673" s="9" t="s">
        <v>6406</v>
      </c>
      <c r="B4673" s="9" t="s">
        <v>2207</v>
      </c>
      <c r="C4673" s="9" t="s">
        <v>47</v>
      </c>
      <c r="D4673" s="9" t="n">
        <v>74</v>
      </c>
      <c r="E4673" s="9" t="s">
        <v>70</v>
      </c>
      <c r="F4673" s="9" t="s">
        <v>49</v>
      </c>
      <c r="G4673" s="10" t="n">
        <v>45984</v>
      </c>
      <c r="H4673" s="10" t="n">
        <v>46034</v>
      </c>
      <c r="I4673" s="9" t="s">
        <v>66</v>
      </c>
      <c r="J4673" s="9" t="s">
        <v>41</v>
      </c>
      <c r="K4673" s="9" t="n">
        <v>50</v>
      </c>
      <c r="L4673" s="9" t="n">
        <v>2</v>
      </c>
      <c r="M4673" s="9" t="n">
        <v>0</v>
      </c>
      <c r="N4673" s="9" t="s">
        <v>42</v>
      </c>
      <c r="O4673" s="9" t="s">
        <v>52</v>
      </c>
      <c r="P4673" s="9" t="n">
        <v>15</v>
      </c>
      <c r="Q4673" s="9" t="n">
        <v>33</v>
      </c>
      <c r="R4673" s="9" t="s">
        <v>53</v>
      </c>
      <c r="S4673" s="9"/>
      <c r="T4673" s="9"/>
      <c r="U4673" s="9" t="str">
        <f aca="false">IF(COUNTIF($A$2:$A$5001,A4673)&gt;1,"Duplicate","Unique")</f>
        <v>Unique</v>
      </c>
      <c r="V4673" s="9" t="str">
        <f aca="false">IF(COUNTIFS($B$2:$B$5001,B4673,$H$2:$H$5001,H4673,$J$2:$J$5001,J4673)&gt;1,"Possible Duplicate Booking","Unique")</f>
        <v>Unique</v>
      </c>
      <c r="W4673" s="9" t="str">
        <f aca="false">IF((H4673-G4673)&lt;&gt;K4673,"Mismatch","OK")</f>
        <v>OK</v>
      </c>
      <c r="X4673" s="9" t="str">
        <f aca="false">IF(TEXT(H4673,"dddd")&lt;&gt;I4673,"Mismatch","OK")</f>
        <v>OK</v>
      </c>
      <c r="Y4673" s="9" t="str">
        <f aca="false">IF(AND(N4673="No",O4673&lt;&gt;""),"Unexpected: channel present but no reminder sent",IF(AND(N4673="Yes",O4673=""),"Missing channel for sent reminder","OK"))</f>
        <v>OK</v>
      </c>
    </row>
    <row r="4674" customFormat="false" ht="15" hidden="false" customHeight="false" outlineLevel="0" collapsed="false">
      <c r="A4674" s="7" t="s">
        <v>6407</v>
      </c>
      <c r="B4674" s="7" t="s">
        <v>2238</v>
      </c>
      <c r="C4674" s="7" t="s">
        <v>47</v>
      </c>
      <c r="D4674" s="7" t="n">
        <v>30</v>
      </c>
      <c r="E4674" s="7" t="s">
        <v>48</v>
      </c>
      <c r="F4674" s="7" t="s">
        <v>57</v>
      </c>
      <c r="G4674" s="8" t="n">
        <v>45718</v>
      </c>
      <c r="H4674" s="8" t="n">
        <v>45772</v>
      </c>
      <c r="I4674" s="7" t="s">
        <v>50</v>
      </c>
      <c r="J4674" s="7" t="s">
        <v>51</v>
      </c>
      <c r="K4674" s="7" t="n">
        <v>54</v>
      </c>
      <c r="L4674" s="7" t="n">
        <v>2</v>
      </c>
      <c r="M4674" s="7" t="n">
        <v>0</v>
      </c>
      <c r="N4674" s="7" t="s">
        <v>42</v>
      </c>
      <c r="O4674" s="7" t="s">
        <v>43</v>
      </c>
      <c r="P4674" s="7" t="n">
        <v>11.4</v>
      </c>
      <c r="Q4674" s="7" t="n">
        <v>30</v>
      </c>
      <c r="R4674" s="7" t="s">
        <v>44</v>
      </c>
      <c r="S4674" s="7"/>
      <c r="T4674" s="7"/>
      <c r="U4674" s="7" t="str">
        <f aca="false">IF(COUNTIF($A$2:$A$5001,A4674)&gt;1,"Duplicate","Unique")</f>
        <v>Unique</v>
      </c>
      <c r="V4674" s="7" t="str">
        <f aca="false">IF(COUNTIFS($B$2:$B$5001,B4674,$H$2:$H$5001,H4674,$J$2:$J$5001,J4674)&gt;1,"Possible Duplicate Booking","Unique")</f>
        <v>Unique</v>
      </c>
      <c r="W4674" s="7" t="str">
        <f aca="false">IF((H4674-G4674)&lt;&gt;K4674,"Mismatch","OK")</f>
        <v>OK</v>
      </c>
      <c r="X4674" s="7" t="str">
        <f aca="false">IF(TEXT(H4674,"dddd")&lt;&gt;I4674,"Mismatch","OK")</f>
        <v>OK</v>
      </c>
      <c r="Y4674" s="7" t="str">
        <f aca="false">IF(AND(N4674="No",O4674&lt;&gt;""),"Unexpected: channel present but no reminder sent",IF(AND(N4674="Yes",O4674=""),"Missing channel for sent reminder","OK"))</f>
        <v>OK</v>
      </c>
    </row>
    <row r="4675" customFormat="false" ht="15" hidden="false" customHeight="false" outlineLevel="0" collapsed="false">
      <c r="A4675" s="9" t="s">
        <v>6408</v>
      </c>
      <c r="B4675" s="9" t="s">
        <v>2943</v>
      </c>
      <c r="C4675" s="9" t="s">
        <v>37</v>
      </c>
      <c r="D4675" s="9" t="n">
        <v>58</v>
      </c>
      <c r="E4675" s="9" t="s">
        <v>61</v>
      </c>
      <c r="F4675" s="9" t="s">
        <v>39</v>
      </c>
      <c r="G4675" s="10" t="n">
        <v>46128</v>
      </c>
      <c r="H4675" s="10" t="n">
        <v>46132</v>
      </c>
      <c r="I4675" s="9" t="s">
        <v>66</v>
      </c>
      <c r="J4675" s="9" t="s">
        <v>51</v>
      </c>
      <c r="K4675" s="9" t="n">
        <v>4</v>
      </c>
      <c r="L4675" s="9" t="n">
        <v>1</v>
      </c>
      <c r="M4675" s="9" t="n">
        <v>0</v>
      </c>
      <c r="N4675" s="9" t="s">
        <v>42</v>
      </c>
      <c r="O4675" s="9" t="s">
        <v>52</v>
      </c>
      <c r="P4675" s="9" t="n">
        <v>11.6</v>
      </c>
      <c r="Q4675" s="9" t="n">
        <v>19</v>
      </c>
      <c r="R4675" s="9" t="s">
        <v>53</v>
      </c>
      <c r="S4675" s="9"/>
      <c r="T4675" s="9"/>
      <c r="U4675" s="9" t="str">
        <f aca="false">IF(COUNTIF($A$2:$A$5001,A4675)&gt;1,"Duplicate","Unique")</f>
        <v>Unique</v>
      </c>
      <c r="V4675" s="9" t="str">
        <f aca="false">IF(COUNTIFS($B$2:$B$5001,B4675,$H$2:$H$5001,H4675,$J$2:$J$5001,J4675)&gt;1,"Possible Duplicate Booking","Unique")</f>
        <v>Unique</v>
      </c>
      <c r="W4675" s="9" t="str">
        <f aca="false">IF((H4675-G4675)&lt;&gt;K4675,"Mismatch","OK")</f>
        <v>OK</v>
      </c>
      <c r="X4675" s="9" t="str">
        <f aca="false">IF(TEXT(H4675,"dddd")&lt;&gt;I4675,"Mismatch","OK")</f>
        <v>OK</v>
      </c>
      <c r="Y4675" s="9" t="str">
        <f aca="false">IF(AND(N4675="No",O4675&lt;&gt;""),"Unexpected: channel present but no reminder sent",IF(AND(N4675="Yes",O4675=""),"Missing channel for sent reminder","OK"))</f>
        <v>OK</v>
      </c>
    </row>
    <row r="4676" customFormat="false" ht="15" hidden="false" customHeight="false" outlineLevel="0" collapsed="false">
      <c r="A4676" s="7" t="s">
        <v>6409</v>
      </c>
      <c r="B4676" s="7" t="s">
        <v>2826</v>
      </c>
      <c r="C4676" s="7" t="s">
        <v>37</v>
      </c>
      <c r="D4676" s="7" t="n">
        <v>79</v>
      </c>
      <c r="E4676" s="7" t="s">
        <v>70</v>
      </c>
      <c r="F4676" s="7" t="s">
        <v>74</v>
      </c>
      <c r="G4676" s="8" t="n">
        <v>46088</v>
      </c>
      <c r="H4676" s="8" t="n">
        <v>46112</v>
      </c>
      <c r="I4676" s="7" t="s">
        <v>40</v>
      </c>
      <c r="J4676" s="7" t="s">
        <v>51</v>
      </c>
      <c r="K4676" s="7" t="n">
        <v>24</v>
      </c>
      <c r="L4676" s="7" t="n">
        <v>4</v>
      </c>
      <c r="M4676" s="7" t="n">
        <v>0</v>
      </c>
      <c r="N4676" s="7" t="s">
        <v>71</v>
      </c>
      <c r="O4676" s="7"/>
      <c r="P4676" s="7" t="n">
        <v>10</v>
      </c>
      <c r="Q4676" s="7" t="n">
        <v>20</v>
      </c>
      <c r="R4676" s="7" t="s">
        <v>53</v>
      </c>
      <c r="S4676" s="7"/>
      <c r="T4676" s="7"/>
      <c r="U4676" s="7" t="str">
        <f aca="false">IF(COUNTIF($A$2:$A$5001,A4676)&gt;1,"Duplicate","Unique")</f>
        <v>Unique</v>
      </c>
      <c r="V4676" s="7" t="str">
        <f aca="false">IF(COUNTIFS($B$2:$B$5001,B4676,$H$2:$H$5001,H4676,$J$2:$J$5001,J4676)&gt;1,"Possible Duplicate Booking","Unique")</f>
        <v>Unique</v>
      </c>
      <c r="W4676" s="7" t="str">
        <f aca="false">IF((H4676-G4676)&lt;&gt;K4676,"Mismatch","OK")</f>
        <v>OK</v>
      </c>
      <c r="X4676" s="7" t="str">
        <f aca="false">IF(TEXT(H4676,"dddd")&lt;&gt;I4676,"Mismatch","OK")</f>
        <v>OK</v>
      </c>
      <c r="Y4676" s="7" t="str">
        <f aca="false">IF(AND(N4676="No",O4676&lt;&gt;""),"Unexpected: channel present but no reminder sent",IF(AND(N4676="Yes",O4676=""),"Missing channel for sent reminder","OK"))</f>
        <v>OK</v>
      </c>
    </row>
    <row r="4677" customFormat="false" ht="15" hidden="false" customHeight="false" outlineLevel="0" collapsed="false">
      <c r="A4677" s="9" t="s">
        <v>6410</v>
      </c>
      <c r="B4677" s="9" t="s">
        <v>1325</v>
      </c>
      <c r="C4677" s="9" t="s">
        <v>37</v>
      </c>
      <c r="D4677" s="9" t="n">
        <v>48</v>
      </c>
      <c r="E4677" s="9" t="s">
        <v>56</v>
      </c>
      <c r="F4677" s="9" t="s">
        <v>57</v>
      </c>
      <c r="G4677" s="10" t="n">
        <v>45859</v>
      </c>
      <c r="H4677" s="10" t="n">
        <v>45859</v>
      </c>
      <c r="I4677" s="9" t="s">
        <v>66</v>
      </c>
      <c r="J4677" s="9" t="s">
        <v>51</v>
      </c>
      <c r="K4677" s="9" t="n">
        <v>0</v>
      </c>
      <c r="L4677" s="9" t="n">
        <v>4</v>
      </c>
      <c r="M4677" s="9" t="n">
        <v>1</v>
      </c>
      <c r="N4677" s="9" t="s">
        <v>42</v>
      </c>
      <c r="O4677" s="9" t="s">
        <v>52</v>
      </c>
      <c r="P4677" s="9" t="n">
        <v>32.1</v>
      </c>
      <c r="Q4677" s="9" t="n">
        <v>19</v>
      </c>
      <c r="R4677" s="9" t="s">
        <v>44</v>
      </c>
      <c r="S4677" s="9"/>
      <c r="T4677" s="9"/>
      <c r="U4677" s="9" t="str">
        <f aca="false">IF(COUNTIF($A$2:$A$5001,A4677)&gt;1,"Duplicate","Unique")</f>
        <v>Unique</v>
      </c>
      <c r="V4677" s="9" t="str">
        <f aca="false">IF(COUNTIFS($B$2:$B$5001,B4677,$H$2:$H$5001,H4677,$J$2:$J$5001,J4677)&gt;1,"Possible Duplicate Booking","Unique")</f>
        <v>Unique</v>
      </c>
      <c r="W4677" s="9" t="str">
        <f aca="false">IF((H4677-G4677)&lt;&gt;K4677,"Mismatch","OK")</f>
        <v>OK</v>
      </c>
      <c r="X4677" s="9" t="str">
        <f aca="false">IF(TEXT(H4677,"dddd")&lt;&gt;I4677,"Mismatch","OK")</f>
        <v>OK</v>
      </c>
      <c r="Y4677" s="9" t="str">
        <f aca="false">IF(AND(N4677="No",O4677&lt;&gt;""),"Unexpected: channel present but no reminder sent",IF(AND(N4677="Yes",O4677=""),"Missing channel for sent reminder","OK"))</f>
        <v>OK</v>
      </c>
    </row>
    <row r="4678" customFormat="false" ht="15" hidden="false" customHeight="false" outlineLevel="0" collapsed="false">
      <c r="A4678" s="7" t="s">
        <v>6411</v>
      </c>
      <c r="B4678" s="7" t="s">
        <v>146</v>
      </c>
      <c r="C4678" s="7" t="s">
        <v>47</v>
      </c>
      <c r="D4678" s="7" t="n">
        <v>19</v>
      </c>
      <c r="E4678" s="7" t="s">
        <v>82</v>
      </c>
      <c r="F4678" s="7" t="s">
        <v>39</v>
      </c>
      <c r="G4678" s="8" t="n">
        <v>45912</v>
      </c>
      <c r="H4678" s="8" t="n">
        <v>45961</v>
      </c>
      <c r="I4678" s="7" t="s">
        <v>50</v>
      </c>
      <c r="J4678" s="7" t="s">
        <v>41</v>
      </c>
      <c r="K4678" s="7" t="n">
        <v>49</v>
      </c>
      <c r="L4678" s="7" t="n">
        <v>2</v>
      </c>
      <c r="M4678" s="7" t="n">
        <v>0</v>
      </c>
      <c r="N4678" s="7" t="s">
        <v>42</v>
      </c>
      <c r="O4678" s="7" t="s">
        <v>43</v>
      </c>
      <c r="P4678" s="7" t="n">
        <v>16.5</v>
      </c>
      <c r="Q4678" s="7"/>
      <c r="R4678" s="7" t="s">
        <v>44</v>
      </c>
      <c r="S4678" s="7"/>
      <c r="T4678" s="7"/>
      <c r="U4678" s="7" t="str">
        <f aca="false">IF(COUNTIF($A$2:$A$5001,A4678)&gt;1,"Duplicate","Unique")</f>
        <v>Unique</v>
      </c>
      <c r="V4678" s="7" t="str">
        <f aca="false">IF(COUNTIFS($B$2:$B$5001,B4678,$H$2:$H$5001,H4678,$J$2:$J$5001,J4678)&gt;1,"Possible Duplicate Booking","Unique")</f>
        <v>Unique</v>
      </c>
      <c r="W4678" s="7" t="str">
        <f aca="false">IF((H4678-G4678)&lt;&gt;K4678,"Mismatch","OK")</f>
        <v>OK</v>
      </c>
      <c r="X4678" s="7" t="str">
        <f aca="false">IF(TEXT(H4678,"dddd")&lt;&gt;I4678,"Mismatch","OK")</f>
        <v>OK</v>
      </c>
      <c r="Y4678" s="7" t="str">
        <f aca="false">IF(AND(N4678="No",O4678&lt;&gt;""),"Unexpected: channel present but no reminder sent",IF(AND(N4678="Yes",O4678=""),"Missing channel for sent reminder","OK"))</f>
        <v>OK</v>
      </c>
    </row>
    <row r="4679" customFormat="false" ht="15" hidden="false" customHeight="false" outlineLevel="0" collapsed="false">
      <c r="A4679" s="9" t="s">
        <v>6412</v>
      </c>
      <c r="B4679" s="9" t="s">
        <v>6413</v>
      </c>
      <c r="C4679" s="9" t="s">
        <v>37</v>
      </c>
      <c r="D4679" s="9" t="n">
        <v>26</v>
      </c>
      <c r="E4679" s="9" t="s">
        <v>48</v>
      </c>
      <c r="F4679" s="9" t="s">
        <v>74</v>
      </c>
      <c r="G4679" s="10" t="n">
        <v>45960</v>
      </c>
      <c r="H4679" s="10" t="n">
        <v>45967</v>
      </c>
      <c r="I4679" s="9" t="s">
        <v>62</v>
      </c>
      <c r="J4679" s="9" t="s">
        <v>41</v>
      </c>
      <c r="K4679" s="9" t="n">
        <v>7</v>
      </c>
      <c r="L4679" s="9" t="n">
        <v>2</v>
      </c>
      <c r="M4679" s="9" t="n">
        <v>1</v>
      </c>
      <c r="N4679" s="9" t="s">
        <v>42</v>
      </c>
      <c r="O4679" s="9" t="s">
        <v>52</v>
      </c>
      <c r="P4679" s="9" t="n">
        <v>9.4</v>
      </c>
      <c r="Q4679" s="9"/>
      <c r="R4679" s="9" t="s">
        <v>44</v>
      </c>
      <c r="S4679" s="9"/>
      <c r="T4679" s="9"/>
      <c r="U4679" s="9" t="str">
        <f aca="false">IF(COUNTIF($A$2:$A$5001,A4679)&gt;1,"Duplicate","Unique")</f>
        <v>Unique</v>
      </c>
      <c r="V4679" s="9" t="str">
        <f aca="false">IF(COUNTIFS($B$2:$B$5001,B4679,$H$2:$H$5001,H4679,$J$2:$J$5001,J4679)&gt;1,"Possible Duplicate Booking","Unique")</f>
        <v>Unique</v>
      </c>
      <c r="W4679" s="9" t="str">
        <f aca="false">IF((H4679-G4679)&lt;&gt;K4679,"Mismatch","OK")</f>
        <v>OK</v>
      </c>
      <c r="X4679" s="9" t="str">
        <f aca="false">IF(TEXT(H4679,"dddd")&lt;&gt;I4679,"Mismatch","OK")</f>
        <v>OK</v>
      </c>
      <c r="Y4679" s="9" t="str">
        <f aca="false">IF(AND(N4679="No",O4679&lt;&gt;""),"Unexpected: channel present but no reminder sent",IF(AND(N4679="Yes",O4679=""),"Missing channel for sent reminder","OK"))</f>
        <v>OK</v>
      </c>
    </row>
    <row r="4680" customFormat="false" ht="15" hidden="false" customHeight="false" outlineLevel="0" collapsed="false">
      <c r="A4680" s="7" t="s">
        <v>6414</v>
      </c>
      <c r="B4680" s="7" t="s">
        <v>4795</v>
      </c>
      <c r="C4680" s="7" t="s">
        <v>37</v>
      </c>
      <c r="D4680" s="7" t="n">
        <v>60</v>
      </c>
      <c r="E4680" s="7" t="s">
        <v>61</v>
      </c>
      <c r="F4680" s="7" t="s">
        <v>57</v>
      </c>
      <c r="G4680" s="8" t="n">
        <v>45964</v>
      </c>
      <c r="H4680" s="8" t="n">
        <v>46014</v>
      </c>
      <c r="I4680" s="7" t="s">
        <v>40</v>
      </c>
      <c r="J4680" s="7" t="s">
        <v>41</v>
      </c>
      <c r="K4680" s="7" t="n">
        <v>50</v>
      </c>
      <c r="L4680" s="7" t="n">
        <v>2</v>
      </c>
      <c r="M4680" s="7" t="n">
        <v>0</v>
      </c>
      <c r="N4680" s="7" t="s">
        <v>42</v>
      </c>
      <c r="O4680" s="7" t="s">
        <v>52</v>
      </c>
      <c r="P4680" s="7" t="n">
        <v>20.1</v>
      </c>
      <c r="Q4680" s="7" t="n">
        <v>22</v>
      </c>
      <c r="R4680" s="7" t="s">
        <v>44</v>
      </c>
      <c r="S4680" s="7"/>
      <c r="T4680" s="7"/>
      <c r="U4680" s="7" t="str">
        <f aca="false">IF(COUNTIF($A$2:$A$5001,A4680)&gt;1,"Duplicate","Unique")</f>
        <v>Unique</v>
      </c>
      <c r="V4680" s="7" t="str">
        <f aca="false">IF(COUNTIFS($B$2:$B$5001,B4680,$H$2:$H$5001,H4680,$J$2:$J$5001,J4680)&gt;1,"Possible Duplicate Booking","Unique")</f>
        <v>Unique</v>
      </c>
      <c r="W4680" s="7" t="str">
        <f aca="false">IF((H4680-G4680)&lt;&gt;K4680,"Mismatch","OK")</f>
        <v>OK</v>
      </c>
      <c r="X4680" s="7" t="str">
        <f aca="false">IF(TEXT(H4680,"dddd")&lt;&gt;I4680,"Mismatch","OK")</f>
        <v>OK</v>
      </c>
      <c r="Y4680" s="7" t="str">
        <f aca="false">IF(AND(N4680="No",O4680&lt;&gt;""),"Unexpected: channel present but no reminder sent",IF(AND(N4680="Yes",O4680=""),"Missing channel for sent reminder","OK"))</f>
        <v>OK</v>
      </c>
    </row>
    <row r="4681" customFormat="false" ht="15" hidden="false" customHeight="false" outlineLevel="0" collapsed="false">
      <c r="A4681" s="9" t="s">
        <v>6415</v>
      </c>
      <c r="B4681" s="9" t="s">
        <v>4041</v>
      </c>
      <c r="C4681" s="9" t="s">
        <v>47</v>
      </c>
      <c r="D4681" s="9" t="n">
        <v>74</v>
      </c>
      <c r="E4681" s="9" t="s">
        <v>70</v>
      </c>
      <c r="F4681" s="9" t="s">
        <v>57</v>
      </c>
      <c r="G4681" s="10" t="n">
        <v>45686</v>
      </c>
      <c r="H4681" s="10" t="n">
        <v>45695</v>
      </c>
      <c r="I4681" s="9" t="s">
        <v>50</v>
      </c>
      <c r="J4681" s="9" t="s">
        <v>51</v>
      </c>
      <c r="K4681" s="9" t="n">
        <v>9</v>
      </c>
      <c r="L4681" s="9" t="n">
        <v>6</v>
      </c>
      <c r="M4681" s="9" t="n">
        <v>2</v>
      </c>
      <c r="N4681" s="9" t="s">
        <v>71</v>
      </c>
      <c r="O4681" s="9"/>
      <c r="P4681" s="9" t="n">
        <v>5.6</v>
      </c>
      <c r="Q4681" s="9" t="n">
        <v>19</v>
      </c>
      <c r="R4681" s="9" t="s">
        <v>44</v>
      </c>
      <c r="S4681" s="9"/>
      <c r="T4681" s="9"/>
      <c r="U4681" s="9" t="str">
        <f aca="false">IF(COUNTIF($A$2:$A$5001,A4681)&gt;1,"Duplicate","Unique")</f>
        <v>Unique</v>
      </c>
      <c r="V4681" s="9" t="str">
        <f aca="false">IF(COUNTIFS($B$2:$B$5001,B4681,$H$2:$H$5001,H4681,$J$2:$J$5001,J4681)&gt;1,"Possible Duplicate Booking","Unique")</f>
        <v>Unique</v>
      </c>
      <c r="W4681" s="9" t="str">
        <f aca="false">IF((H4681-G4681)&lt;&gt;K4681,"Mismatch","OK")</f>
        <v>OK</v>
      </c>
      <c r="X4681" s="9" t="str">
        <f aca="false">IF(TEXT(H4681,"dddd")&lt;&gt;I4681,"Mismatch","OK")</f>
        <v>OK</v>
      </c>
      <c r="Y4681" s="9" t="str">
        <f aca="false">IF(AND(N4681="No",O4681&lt;&gt;""),"Unexpected: channel present but no reminder sent",IF(AND(N4681="Yes",O4681=""),"Missing channel for sent reminder","OK"))</f>
        <v>OK</v>
      </c>
    </row>
    <row r="4682" customFormat="false" ht="15" hidden="false" customHeight="false" outlineLevel="0" collapsed="false">
      <c r="A4682" s="7" t="s">
        <v>6416</v>
      </c>
      <c r="B4682" s="7" t="s">
        <v>3187</v>
      </c>
      <c r="C4682" s="7" t="s">
        <v>47</v>
      </c>
      <c r="D4682" s="7" t="n">
        <v>26</v>
      </c>
      <c r="E4682" s="7" t="s">
        <v>48</v>
      </c>
      <c r="F4682" s="7" t="s">
        <v>57</v>
      </c>
      <c r="G4682" s="8" t="n">
        <v>45835</v>
      </c>
      <c r="H4682" s="8" t="n">
        <v>45835</v>
      </c>
      <c r="I4682" s="7" t="s">
        <v>50</v>
      </c>
      <c r="J4682" s="7" t="s">
        <v>41</v>
      </c>
      <c r="K4682" s="7" t="n">
        <v>0</v>
      </c>
      <c r="L4682" s="7" t="n">
        <v>2</v>
      </c>
      <c r="M4682" s="7" t="n">
        <v>0</v>
      </c>
      <c r="N4682" s="7" t="s">
        <v>71</v>
      </c>
      <c r="O4682" s="7"/>
      <c r="P4682" s="7" t="n">
        <v>10.4</v>
      </c>
      <c r="Q4682" s="7" t="n">
        <v>16</v>
      </c>
      <c r="R4682" s="7" t="s">
        <v>53</v>
      </c>
      <c r="S4682" s="7"/>
      <c r="T4682" s="7"/>
      <c r="U4682" s="7" t="str">
        <f aca="false">IF(COUNTIF($A$2:$A$5001,A4682)&gt;1,"Duplicate","Unique")</f>
        <v>Unique</v>
      </c>
      <c r="V4682" s="7" t="str">
        <f aca="false">IF(COUNTIFS($B$2:$B$5001,B4682,$H$2:$H$5001,H4682,$J$2:$J$5001,J4682)&gt;1,"Possible Duplicate Booking","Unique")</f>
        <v>Unique</v>
      </c>
      <c r="W4682" s="7" t="str">
        <f aca="false">IF((H4682-G4682)&lt;&gt;K4682,"Mismatch","OK")</f>
        <v>OK</v>
      </c>
      <c r="X4682" s="7" t="str">
        <f aca="false">IF(TEXT(H4682,"dddd")&lt;&gt;I4682,"Mismatch","OK")</f>
        <v>OK</v>
      </c>
      <c r="Y4682" s="7" t="str">
        <f aca="false">IF(AND(N4682="No",O4682&lt;&gt;""),"Unexpected: channel present but no reminder sent",IF(AND(N4682="Yes",O4682=""),"Missing channel for sent reminder","OK"))</f>
        <v>OK</v>
      </c>
    </row>
    <row r="4683" customFormat="false" ht="15" hidden="false" customHeight="false" outlineLevel="0" collapsed="false">
      <c r="A4683" s="9" t="s">
        <v>6417</v>
      </c>
      <c r="B4683" s="9" t="s">
        <v>2851</v>
      </c>
      <c r="C4683" s="9" t="s">
        <v>47</v>
      </c>
      <c r="D4683" s="9" t="n">
        <v>52</v>
      </c>
      <c r="E4683" s="9" t="s">
        <v>56</v>
      </c>
      <c r="F4683" s="9" t="s">
        <v>49</v>
      </c>
      <c r="G4683" s="10" t="n">
        <v>45697</v>
      </c>
      <c r="H4683" s="10" t="n">
        <v>45750</v>
      </c>
      <c r="I4683" s="9" t="s">
        <v>62</v>
      </c>
      <c r="J4683" s="9" t="s">
        <v>51</v>
      </c>
      <c r="K4683" s="9" t="n">
        <v>53</v>
      </c>
      <c r="L4683" s="9" t="n">
        <v>4</v>
      </c>
      <c r="M4683" s="9" t="n">
        <v>1</v>
      </c>
      <c r="N4683" s="9" t="s">
        <v>71</v>
      </c>
      <c r="O4683" s="9"/>
      <c r="P4683" s="9" t="n">
        <v>5.7</v>
      </c>
      <c r="Q4683" s="9" t="n">
        <v>26</v>
      </c>
      <c r="R4683" s="9" t="s">
        <v>53</v>
      </c>
      <c r="S4683" s="9"/>
      <c r="T4683" s="9"/>
      <c r="U4683" s="9" t="str">
        <f aca="false">IF(COUNTIF($A$2:$A$5001,A4683)&gt;1,"Duplicate","Unique")</f>
        <v>Unique</v>
      </c>
      <c r="V4683" s="9" t="str">
        <f aca="false">IF(COUNTIFS($B$2:$B$5001,B4683,$H$2:$H$5001,H4683,$J$2:$J$5001,J4683)&gt;1,"Possible Duplicate Booking","Unique")</f>
        <v>Unique</v>
      </c>
      <c r="W4683" s="9" t="str">
        <f aca="false">IF((H4683-G4683)&lt;&gt;K4683,"Mismatch","OK")</f>
        <v>OK</v>
      </c>
      <c r="X4683" s="9" t="str">
        <f aca="false">IF(TEXT(H4683,"dddd")&lt;&gt;I4683,"Mismatch","OK")</f>
        <v>OK</v>
      </c>
      <c r="Y4683" s="9" t="str">
        <f aca="false">IF(AND(N4683="No",O4683&lt;&gt;""),"Unexpected: channel present but no reminder sent",IF(AND(N4683="Yes",O4683=""),"Missing channel for sent reminder","OK"))</f>
        <v>OK</v>
      </c>
    </row>
    <row r="4684" customFormat="false" ht="15" hidden="false" customHeight="false" outlineLevel="0" collapsed="false">
      <c r="A4684" s="7" t="s">
        <v>6418</v>
      </c>
      <c r="B4684" s="7" t="s">
        <v>2033</v>
      </c>
      <c r="C4684" s="7" t="s">
        <v>47</v>
      </c>
      <c r="D4684" s="7" t="n">
        <v>49</v>
      </c>
      <c r="E4684" s="7" t="s">
        <v>56</v>
      </c>
      <c r="F4684" s="7" t="s">
        <v>74</v>
      </c>
      <c r="G4684" s="8" t="n">
        <v>46012</v>
      </c>
      <c r="H4684" s="8" t="n">
        <v>46038</v>
      </c>
      <c r="I4684" s="7" t="s">
        <v>50</v>
      </c>
      <c r="J4684" s="7" t="s">
        <v>41</v>
      </c>
      <c r="K4684" s="7" t="n">
        <v>26</v>
      </c>
      <c r="L4684" s="7" t="n">
        <v>2</v>
      </c>
      <c r="M4684" s="7" t="n">
        <v>0</v>
      </c>
      <c r="N4684" s="7" t="s">
        <v>42</v>
      </c>
      <c r="O4684" s="7" t="s">
        <v>52</v>
      </c>
      <c r="P4684" s="7" t="n">
        <v>9</v>
      </c>
      <c r="Q4684" s="7" t="n">
        <v>38</v>
      </c>
      <c r="R4684" s="7" t="s">
        <v>44</v>
      </c>
      <c r="S4684" s="7"/>
      <c r="T4684" s="7"/>
      <c r="U4684" s="7" t="str">
        <f aca="false">IF(COUNTIF($A$2:$A$5001,A4684)&gt;1,"Duplicate","Unique")</f>
        <v>Unique</v>
      </c>
      <c r="V4684" s="7" t="str">
        <f aca="false">IF(COUNTIFS($B$2:$B$5001,B4684,$H$2:$H$5001,H4684,$J$2:$J$5001,J4684)&gt;1,"Possible Duplicate Booking","Unique")</f>
        <v>Unique</v>
      </c>
      <c r="W4684" s="7" t="str">
        <f aca="false">IF((H4684-G4684)&lt;&gt;K4684,"Mismatch","OK")</f>
        <v>OK</v>
      </c>
      <c r="X4684" s="7" t="str">
        <f aca="false">IF(TEXT(H4684,"dddd")&lt;&gt;I4684,"Mismatch","OK")</f>
        <v>OK</v>
      </c>
      <c r="Y4684" s="7" t="str">
        <f aca="false">IF(AND(N4684="No",O4684&lt;&gt;""),"Unexpected: channel present but no reminder sent",IF(AND(N4684="Yes",O4684=""),"Missing channel for sent reminder","OK"))</f>
        <v>OK</v>
      </c>
    </row>
    <row r="4685" customFormat="false" ht="15" hidden="false" customHeight="false" outlineLevel="0" collapsed="false">
      <c r="A4685" s="9" t="s">
        <v>6419</v>
      </c>
      <c r="B4685" s="9" t="s">
        <v>1720</v>
      </c>
      <c r="C4685" s="9" t="s">
        <v>37</v>
      </c>
      <c r="D4685" s="9" t="n">
        <v>35</v>
      </c>
      <c r="E4685" s="9" t="s">
        <v>38</v>
      </c>
      <c r="F4685" s="9" t="s">
        <v>39</v>
      </c>
      <c r="G4685" s="10" t="n">
        <v>45670</v>
      </c>
      <c r="H4685" s="10" t="n">
        <v>45695</v>
      </c>
      <c r="I4685" s="9" t="s">
        <v>50</v>
      </c>
      <c r="J4685" s="9" t="s">
        <v>51</v>
      </c>
      <c r="K4685" s="9" t="n">
        <v>25</v>
      </c>
      <c r="L4685" s="9" t="n">
        <v>6</v>
      </c>
      <c r="M4685" s="9" t="n">
        <v>3</v>
      </c>
      <c r="N4685" s="9" t="s">
        <v>71</v>
      </c>
      <c r="O4685" s="9"/>
      <c r="P4685" s="9" t="n">
        <v>6.9</v>
      </c>
      <c r="Q4685" s="9" t="n">
        <v>25</v>
      </c>
      <c r="R4685" s="9" t="s">
        <v>44</v>
      </c>
      <c r="S4685" s="9"/>
      <c r="T4685" s="9"/>
      <c r="U4685" s="9" t="str">
        <f aca="false">IF(COUNTIF($A$2:$A$5001,A4685)&gt;1,"Duplicate","Unique")</f>
        <v>Unique</v>
      </c>
      <c r="V4685" s="9" t="str">
        <f aca="false">IF(COUNTIFS($B$2:$B$5001,B4685,$H$2:$H$5001,H4685,$J$2:$J$5001,J4685)&gt;1,"Possible Duplicate Booking","Unique")</f>
        <v>Unique</v>
      </c>
      <c r="W4685" s="9" t="str">
        <f aca="false">IF((H4685-G4685)&lt;&gt;K4685,"Mismatch","OK")</f>
        <v>OK</v>
      </c>
      <c r="X4685" s="9" t="str">
        <f aca="false">IF(TEXT(H4685,"dddd")&lt;&gt;I4685,"Mismatch","OK")</f>
        <v>OK</v>
      </c>
      <c r="Y4685" s="9" t="str">
        <f aca="false">IF(AND(N4685="No",O4685&lt;&gt;""),"Unexpected: channel present but no reminder sent",IF(AND(N4685="Yes",O4685=""),"Missing channel for sent reminder","OK"))</f>
        <v>OK</v>
      </c>
    </row>
    <row r="4686" customFormat="false" ht="15" hidden="false" customHeight="false" outlineLevel="0" collapsed="false">
      <c r="A4686" s="7" t="s">
        <v>6420</v>
      </c>
      <c r="B4686" s="7" t="s">
        <v>1401</v>
      </c>
      <c r="C4686" s="7" t="s">
        <v>47</v>
      </c>
      <c r="D4686" s="7" t="n">
        <v>57</v>
      </c>
      <c r="E4686" s="7" t="s">
        <v>61</v>
      </c>
      <c r="F4686" s="7" t="s">
        <v>39</v>
      </c>
      <c r="G4686" s="8" t="n">
        <v>45901</v>
      </c>
      <c r="H4686" s="8" t="n">
        <v>45940</v>
      </c>
      <c r="I4686" s="7" t="s">
        <v>50</v>
      </c>
      <c r="J4686" s="7" t="s">
        <v>41</v>
      </c>
      <c r="K4686" s="7" t="n">
        <v>39</v>
      </c>
      <c r="L4686" s="7" t="n">
        <v>3</v>
      </c>
      <c r="M4686" s="7" t="n">
        <v>1</v>
      </c>
      <c r="N4686" s="7" t="s">
        <v>42</v>
      </c>
      <c r="O4686" s="7" t="s">
        <v>43</v>
      </c>
      <c r="P4686" s="7" t="n">
        <v>9.4</v>
      </c>
      <c r="Q4686" s="7" t="n">
        <v>9</v>
      </c>
      <c r="R4686" s="7" t="s">
        <v>53</v>
      </c>
      <c r="S4686" s="7"/>
      <c r="T4686" s="7"/>
      <c r="U4686" s="7" t="str">
        <f aca="false">IF(COUNTIF($A$2:$A$5001,A4686)&gt;1,"Duplicate","Unique")</f>
        <v>Unique</v>
      </c>
      <c r="V4686" s="7" t="str">
        <f aca="false">IF(COUNTIFS($B$2:$B$5001,B4686,$H$2:$H$5001,H4686,$J$2:$J$5001,J4686)&gt;1,"Possible Duplicate Booking","Unique")</f>
        <v>Unique</v>
      </c>
      <c r="W4686" s="7" t="str">
        <f aca="false">IF((H4686-G4686)&lt;&gt;K4686,"Mismatch","OK")</f>
        <v>OK</v>
      </c>
      <c r="X4686" s="7" t="str">
        <f aca="false">IF(TEXT(H4686,"dddd")&lt;&gt;I4686,"Mismatch","OK")</f>
        <v>OK</v>
      </c>
      <c r="Y4686" s="7" t="str">
        <f aca="false">IF(AND(N4686="No",O4686&lt;&gt;""),"Unexpected: channel present but no reminder sent",IF(AND(N4686="Yes",O4686=""),"Missing channel for sent reminder","OK"))</f>
        <v>OK</v>
      </c>
    </row>
    <row r="4687" customFormat="false" ht="15" hidden="false" customHeight="false" outlineLevel="0" collapsed="false">
      <c r="A4687" s="9" t="s">
        <v>6421</v>
      </c>
      <c r="B4687" s="9" t="s">
        <v>3994</v>
      </c>
      <c r="C4687" s="9" t="s">
        <v>37</v>
      </c>
      <c r="D4687" s="9" t="n">
        <v>73</v>
      </c>
      <c r="E4687" s="9" t="s">
        <v>70</v>
      </c>
      <c r="F4687" s="9" t="s">
        <v>57</v>
      </c>
      <c r="G4687" s="10" t="n">
        <v>46039</v>
      </c>
      <c r="H4687" s="10" t="n">
        <v>46055</v>
      </c>
      <c r="I4687" s="9" t="s">
        <v>66</v>
      </c>
      <c r="J4687" s="9" t="s">
        <v>41</v>
      </c>
      <c r="K4687" s="9" t="n">
        <v>16</v>
      </c>
      <c r="L4687" s="9" t="n">
        <v>4</v>
      </c>
      <c r="M4687" s="9" t="n">
        <v>0</v>
      </c>
      <c r="N4687" s="9" t="s">
        <v>42</v>
      </c>
      <c r="O4687" s="9" t="s">
        <v>43</v>
      </c>
      <c r="P4687" s="9" t="n">
        <v>5.6</v>
      </c>
      <c r="Q4687" s="9" t="n">
        <v>24</v>
      </c>
      <c r="R4687" s="9" t="s">
        <v>53</v>
      </c>
      <c r="S4687" s="9"/>
      <c r="T4687" s="9"/>
      <c r="U4687" s="9" t="str">
        <f aca="false">IF(COUNTIF($A$2:$A$5001,A4687)&gt;1,"Duplicate","Unique")</f>
        <v>Unique</v>
      </c>
      <c r="V4687" s="9" t="str">
        <f aca="false">IF(COUNTIFS($B$2:$B$5001,B4687,$H$2:$H$5001,H4687,$J$2:$J$5001,J4687)&gt;1,"Possible Duplicate Booking","Unique")</f>
        <v>Unique</v>
      </c>
      <c r="W4687" s="9" t="str">
        <f aca="false">IF((H4687-G4687)&lt;&gt;K4687,"Mismatch","OK")</f>
        <v>OK</v>
      </c>
      <c r="X4687" s="9" t="str">
        <f aca="false">IF(TEXT(H4687,"dddd")&lt;&gt;I4687,"Mismatch","OK")</f>
        <v>OK</v>
      </c>
      <c r="Y4687" s="9" t="str">
        <f aca="false">IF(AND(N4687="No",O4687&lt;&gt;""),"Unexpected: channel present but no reminder sent",IF(AND(N4687="Yes",O4687=""),"Missing channel for sent reminder","OK"))</f>
        <v>OK</v>
      </c>
    </row>
    <row r="4688" customFormat="false" ht="15" hidden="false" customHeight="false" outlineLevel="0" collapsed="false">
      <c r="A4688" s="7" t="s">
        <v>6422</v>
      </c>
      <c r="B4688" s="7" t="s">
        <v>2682</v>
      </c>
      <c r="C4688" s="7" t="s">
        <v>37</v>
      </c>
      <c r="D4688" s="7" t="n">
        <v>33</v>
      </c>
      <c r="E4688" s="7" t="s">
        <v>48</v>
      </c>
      <c r="F4688" s="7" t="s">
        <v>57</v>
      </c>
      <c r="G4688" s="8" t="n">
        <v>46133</v>
      </c>
      <c r="H4688" s="8" t="n">
        <v>46175</v>
      </c>
      <c r="I4688" s="7" t="s">
        <v>40</v>
      </c>
      <c r="J4688" s="7" t="s">
        <v>51</v>
      </c>
      <c r="K4688" s="7" t="n">
        <v>42</v>
      </c>
      <c r="L4688" s="7" t="n">
        <v>5</v>
      </c>
      <c r="M4688" s="7" t="n">
        <v>1</v>
      </c>
      <c r="N4688" s="7" t="s">
        <v>42</v>
      </c>
      <c r="O4688" s="7" t="s">
        <v>52</v>
      </c>
      <c r="P4688" s="7" t="n">
        <v>10.5</v>
      </c>
      <c r="Q4688" s="7" t="n">
        <v>29</v>
      </c>
      <c r="R4688" s="7" t="s">
        <v>53</v>
      </c>
      <c r="S4688" s="7"/>
      <c r="T4688" s="7"/>
      <c r="U4688" s="7" t="str">
        <f aca="false">IF(COUNTIF($A$2:$A$5001,A4688)&gt;1,"Duplicate","Unique")</f>
        <v>Unique</v>
      </c>
      <c r="V4688" s="7" t="str">
        <f aca="false">IF(COUNTIFS($B$2:$B$5001,B4688,$H$2:$H$5001,H4688,$J$2:$J$5001,J4688)&gt;1,"Possible Duplicate Booking","Unique")</f>
        <v>Unique</v>
      </c>
      <c r="W4688" s="7" t="str">
        <f aca="false">IF((H4688-G4688)&lt;&gt;K4688,"Mismatch","OK")</f>
        <v>OK</v>
      </c>
      <c r="X4688" s="7" t="str">
        <f aca="false">IF(TEXT(H4688,"dddd")&lt;&gt;I4688,"Mismatch","OK")</f>
        <v>OK</v>
      </c>
      <c r="Y4688" s="7" t="str">
        <f aca="false">IF(AND(N4688="No",O4688&lt;&gt;""),"Unexpected: channel present but no reminder sent",IF(AND(N4688="Yes",O4688=""),"Missing channel for sent reminder","OK"))</f>
        <v>OK</v>
      </c>
    </row>
    <row r="4689" customFormat="false" ht="15" hidden="false" customHeight="false" outlineLevel="0" collapsed="false">
      <c r="A4689" s="9" t="s">
        <v>6423</v>
      </c>
      <c r="B4689" s="9" t="s">
        <v>2166</v>
      </c>
      <c r="C4689" s="9" t="s">
        <v>37</v>
      </c>
      <c r="D4689" s="9" t="n">
        <v>21</v>
      </c>
      <c r="E4689" s="9" t="s">
        <v>82</v>
      </c>
      <c r="F4689" s="9" t="s">
        <v>57</v>
      </c>
      <c r="G4689" s="10" t="n">
        <v>45789</v>
      </c>
      <c r="H4689" s="10" t="n">
        <v>45815</v>
      </c>
      <c r="I4689" s="9" t="s">
        <v>102</v>
      </c>
      <c r="J4689" s="9" t="s">
        <v>63</v>
      </c>
      <c r="K4689" s="9" t="n">
        <v>26</v>
      </c>
      <c r="L4689" s="9" t="n">
        <v>3</v>
      </c>
      <c r="M4689" s="9" t="n">
        <v>0</v>
      </c>
      <c r="N4689" s="9" t="s">
        <v>42</v>
      </c>
      <c r="O4689" s="9" t="s">
        <v>52</v>
      </c>
      <c r="P4689" s="9" t="n">
        <v>3.1</v>
      </c>
      <c r="Q4689" s="9" t="n">
        <v>32</v>
      </c>
      <c r="R4689" s="9" t="s">
        <v>87</v>
      </c>
      <c r="S4689" s="9"/>
      <c r="T4689" s="9"/>
      <c r="U4689" s="9" t="str">
        <f aca="false">IF(COUNTIF($A$2:$A$5001,A4689)&gt;1,"Duplicate","Unique")</f>
        <v>Unique</v>
      </c>
      <c r="V4689" s="9" t="str">
        <f aca="false">IF(COUNTIFS($B$2:$B$5001,B4689,$H$2:$H$5001,H4689,$J$2:$J$5001,J4689)&gt;1,"Possible Duplicate Booking","Unique")</f>
        <v>Unique</v>
      </c>
      <c r="W4689" s="9" t="str">
        <f aca="false">IF((H4689-G4689)&lt;&gt;K4689,"Mismatch","OK")</f>
        <v>OK</v>
      </c>
      <c r="X4689" s="9" t="str">
        <f aca="false">IF(TEXT(H4689,"dddd")&lt;&gt;I4689,"Mismatch","OK")</f>
        <v>OK</v>
      </c>
      <c r="Y4689" s="9" t="str">
        <f aca="false">IF(AND(N4689="No",O4689&lt;&gt;""),"Unexpected: channel present but no reminder sent",IF(AND(N4689="Yes",O4689=""),"Missing channel for sent reminder","OK"))</f>
        <v>OK</v>
      </c>
    </row>
    <row r="4690" customFormat="false" ht="15" hidden="false" customHeight="false" outlineLevel="0" collapsed="false">
      <c r="A4690" s="7" t="s">
        <v>6424</v>
      </c>
      <c r="B4690" s="7" t="s">
        <v>3770</v>
      </c>
      <c r="C4690" s="7" t="s">
        <v>37</v>
      </c>
      <c r="D4690" s="7" t="n">
        <v>40</v>
      </c>
      <c r="E4690" s="7" t="s">
        <v>38</v>
      </c>
      <c r="F4690" s="7" t="s">
        <v>57</v>
      </c>
      <c r="G4690" s="8" t="n">
        <v>45646</v>
      </c>
      <c r="H4690" s="8" t="n">
        <v>45662</v>
      </c>
      <c r="I4690" s="7" t="s">
        <v>75</v>
      </c>
      <c r="J4690" s="7" t="s">
        <v>51</v>
      </c>
      <c r="K4690" s="7" t="n">
        <v>16</v>
      </c>
      <c r="L4690" s="7" t="n">
        <v>2</v>
      </c>
      <c r="M4690" s="7" t="n">
        <v>1</v>
      </c>
      <c r="N4690" s="7" t="s">
        <v>71</v>
      </c>
      <c r="O4690" s="7"/>
      <c r="P4690" s="7" t="n">
        <v>7.4</v>
      </c>
      <c r="Q4690" s="7" t="n">
        <v>30</v>
      </c>
      <c r="R4690" s="7" t="s">
        <v>44</v>
      </c>
      <c r="S4690" s="7"/>
      <c r="T4690" s="7"/>
      <c r="U4690" s="7" t="str">
        <f aca="false">IF(COUNTIF($A$2:$A$5001,A4690)&gt;1,"Duplicate","Unique")</f>
        <v>Unique</v>
      </c>
      <c r="V4690" s="7" t="str">
        <f aca="false">IF(COUNTIFS($B$2:$B$5001,B4690,$H$2:$H$5001,H4690,$J$2:$J$5001,J4690)&gt;1,"Possible Duplicate Booking","Unique")</f>
        <v>Unique</v>
      </c>
      <c r="W4690" s="7" t="str">
        <f aca="false">IF((H4690-G4690)&lt;&gt;K4690,"Mismatch","OK")</f>
        <v>OK</v>
      </c>
      <c r="X4690" s="7" t="str">
        <f aca="false">IF(TEXT(H4690,"dddd")&lt;&gt;I4690,"Mismatch","OK")</f>
        <v>OK</v>
      </c>
      <c r="Y4690" s="7" t="str">
        <f aca="false">IF(AND(N4690="No",O4690&lt;&gt;""),"Unexpected: channel present but no reminder sent",IF(AND(N4690="Yes",O4690=""),"Missing channel for sent reminder","OK"))</f>
        <v>OK</v>
      </c>
    </row>
    <row r="4691" customFormat="false" ht="15" hidden="false" customHeight="false" outlineLevel="0" collapsed="false">
      <c r="A4691" s="9" t="s">
        <v>6425</v>
      </c>
      <c r="B4691" s="9" t="s">
        <v>300</v>
      </c>
      <c r="C4691" s="9" t="s">
        <v>47</v>
      </c>
      <c r="D4691" s="9" t="n">
        <v>37</v>
      </c>
      <c r="E4691" s="9" t="s">
        <v>38</v>
      </c>
      <c r="F4691" s="9" t="s">
        <v>57</v>
      </c>
      <c r="G4691" s="10" t="n">
        <v>46029</v>
      </c>
      <c r="H4691" s="10" t="n">
        <v>46053</v>
      </c>
      <c r="I4691" s="9" t="s">
        <v>102</v>
      </c>
      <c r="J4691" s="9" t="s">
        <v>51</v>
      </c>
      <c r="K4691" s="9" t="n">
        <v>24</v>
      </c>
      <c r="L4691" s="9" t="n">
        <v>2</v>
      </c>
      <c r="M4691" s="9" t="n">
        <v>0</v>
      </c>
      <c r="N4691" s="9" t="s">
        <v>71</v>
      </c>
      <c r="O4691" s="9"/>
      <c r="P4691" s="9" t="n">
        <v>6.1</v>
      </c>
      <c r="Q4691" s="9" t="n">
        <v>25</v>
      </c>
      <c r="R4691" s="9" t="s">
        <v>44</v>
      </c>
      <c r="S4691" s="9"/>
      <c r="T4691" s="9"/>
      <c r="U4691" s="9" t="str">
        <f aca="false">IF(COUNTIF($A$2:$A$5001,A4691)&gt;1,"Duplicate","Unique")</f>
        <v>Unique</v>
      </c>
      <c r="V4691" s="9" t="str">
        <f aca="false">IF(COUNTIFS($B$2:$B$5001,B4691,$H$2:$H$5001,H4691,$J$2:$J$5001,J4691)&gt;1,"Possible Duplicate Booking","Unique")</f>
        <v>Unique</v>
      </c>
      <c r="W4691" s="9" t="str">
        <f aca="false">IF((H4691-G4691)&lt;&gt;K4691,"Mismatch","OK")</f>
        <v>OK</v>
      </c>
      <c r="X4691" s="9" t="str">
        <f aca="false">IF(TEXT(H4691,"dddd")&lt;&gt;I4691,"Mismatch","OK")</f>
        <v>OK</v>
      </c>
      <c r="Y4691" s="9" t="str">
        <f aca="false">IF(AND(N4691="No",O4691&lt;&gt;""),"Unexpected: channel present but no reminder sent",IF(AND(N4691="Yes",O4691=""),"Missing channel for sent reminder","OK"))</f>
        <v>OK</v>
      </c>
    </row>
    <row r="4692" customFormat="false" ht="15" hidden="false" customHeight="false" outlineLevel="0" collapsed="false">
      <c r="A4692" s="7" t="s">
        <v>6426</v>
      </c>
      <c r="B4692" s="7" t="s">
        <v>266</v>
      </c>
      <c r="C4692" s="7" t="s">
        <v>47</v>
      </c>
      <c r="D4692" s="7" t="n">
        <v>63</v>
      </c>
      <c r="E4692" s="7" t="s">
        <v>61</v>
      </c>
      <c r="F4692" s="7" t="s">
        <v>39</v>
      </c>
      <c r="G4692" s="8" t="n">
        <v>45658</v>
      </c>
      <c r="H4692" s="8" t="n">
        <v>45658</v>
      </c>
      <c r="I4692" s="7" t="s">
        <v>58</v>
      </c>
      <c r="J4692" s="7" t="s">
        <v>41</v>
      </c>
      <c r="K4692" s="7" t="n">
        <v>0</v>
      </c>
      <c r="L4692" s="7" t="n">
        <v>4</v>
      </c>
      <c r="M4692" s="7" t="n">
        <v>1</v>
      </c>
      <c r="N4692" s="7" t="s">
        <v>42</v>
      </c>
      <c r="O4692" s="7" t="s">
        <v>52</v>
      </c>
      <c r="P4692" s="7" t="n">
        <v>0.7</v>
      </c>
      <c r="Q4692" s="7" t="n">
        <v>54</v>
      </c>
      <c r="R4692" s="7" t="s">
        <v>53</v>
      </c>
      <c r="S4692" s="7"/>
      <c r="T4692" s="7"/>
      <c r="U4692" s="7" t="str">
        <f aca="false">IF(COUNTIF($A$2:$A$5001,A4692)&gt;1,"Duplicate","Unique")</f>
        <v>Unique</v>
      </c>
      <c r="V4692" s="7" t="str">
        <f aca="false">IF(COUNTIFS($B$2:$B$5001,B4692,$H$2:$H$5001,H4692,$J$2:$J$5001,J4692)&gt;1,"Possible Duplicate Booking","Unique")</f>
        <v>Unique</v>
      </c>
      <c r="W4692" s="7" t="str">
        <f aca="false">IF((H4692-G4692)&lt;&gt;K4692,"Mismatch","OK")</f>
        <v>OK</v>
      </c>
      <c r="X4692" s="7" t="str">
        <f aca="false">IF(TEXT(H4692,"dddd")&lt;&gt;I4692,"Mismatch","OK")</f>
        <v>OK</v>
      </c>
      <c r="Y4692" s="7" t="str">
        <f aca="false">IF(AND(N4692="No",O4692&lt;&gt;""),"Unexpected: channel present but no reminder sent",IF(AND(N4692="Yes",O4692=""),"Missing channel for sent reminder","OK"))</f>
        <v>OK</v>
      </c>
    </row>
    <row r="4693" customFormat="false" ht="15" hidden="false" customHeight="false" outlineLevel="0" collapsed="false">
      <c r="A4693" s="9" t="s">
        <v>6427</v>
      </c>
      <c r="B4693" s="9" t="s">
        <v>1552</v>
      </c>
      <c r="C4693" s="9" t="s">
        <v>37</v>
      </c>
      <c r="D4693" s="9" t="n">
        <v>51</v>
      </c>
      <c r="E4693" s="9" t="s">
        <v>56</v>
      </c>
      <c r="F4693" s="9" t="s">
        <v>57</v>
      </c>
      <c r="G4693" s="10" t="n">
        <v>45676</v>
      </c>
      <c r="H4693" s="10" t="n">
        <v>45694</v>
      </c>
      <c r="I4693" s="9" t="s">
        <v>62</v>
      </c>
      <c r="J4693" s="9" t="s">
        <v>41</v>
      </c>
      <c r="K4693" s="9" t="n">
        <v>18</v>
      </c>
      <c r="L4693" s="9" t="n">
        <v>4</v>
      </c>
      <c r="M4693" s="9" t="n">
        <v>0</v>
      </c>
      <c r="N4693" s="9" t="s">
        <v>42</v>
      </c>
      <c r="O4693" s="9" t="s">
        <v>52</v>
      </c>
      <c r="P4693" s="9" t="n">
        <v>17.1</v>
      </c>
      <c r="Q4693" s="9" t="n">
        <v>11</v>
      </c>
      <c r="R4693" s="9" t="s">
        <v>53</v>
      </c>
      <c r="S4693" s="9"/>
      <c r="T4693" s="9"/>
      <c r="U4693" s="9" t="str">
        <f aca="false">IF(COUNTIF($A$2:$A$5001,A4693)&gt;1,"Duplicate","Unique")</f>
        <v>Unique</v>
      </c>
      <c r="V4693" s="9" t="str">
        <f aca="false">IF(COUNTIFS($B$2:$B$5001,B4693,$H$2:$H$5001,H4693,$J$2:$J$5001,J4693)&gt;1,"Possible Duplicate Booking","Unique")</f>
        <v>Unique</v>
      </c>
      <c r="W4693" s="9" t="str">
        <f aca="false">IF((H4693-G4693)&lt;&gt;K4693,"Mismatch","OK")</f>
        <v>OK</v>
      </c>
      <c r="X4693" s="9" t="str">
        <f aca="false">IF(TEXT(H4693,"dddd")&lt;&gt;I4693,"Mismatch","OK")</f>
        <v>OK</v>
      </c>
      <c r="Y4693" s="9" t="str">
        <f aca="false">IF(AND(N4693="No",O4693&lt;&gt;""),"Unexpected: channel present but no reminder sent",IF(AND(N4693="Yes",O4693=""),"Missing channel for sent reminder","OK"))</f>
        <v>OK</v>
      </c>
    </row>
    <row r="4694" customFormat="false" ht="15" hidden="false" customHeight="false" outlineLevel="0" collapsed="false">
      <c r="A4694" s="7" t="s">
        <v>6428</v>
      </c>
      <c r="B4694" s="7" t="s">
        <v>3667</v>
      </c>
      <c r="C4694" s="7" t="s">
        <v>37</v>
      </c>
      <c r="D4694" s="7" t="n">
        <v>19</v>
      </c>
      <c r="E4694" s="7" t="s">
        <v>82</v>
      </c>
      <c r="F4694" s="7" t="s">
        <v>57</v>
      </c>
      <c r="G4694" s="8" t="n">
        <v>46162</v>
      </c>
      <c r="H4694" s="8" t="n">
        <v>46198</v>
      </c>
      <c r="I4694" s="7" t="s">
        <v>62</v>
      </c>
      <c r="J4694" s="7" t="s">
        <v>51</v>
      </c>
      <c r="K4694" s="7" t="n">
        <v>36</v>
      </c>
      <c r="L4694" s="7" t="n">
        <v>1</v>
      </c>
      <c r="M4694" s="7" t="n">
        <v>1</v>
      </c>
      <c r="N4694" s="7" t="s">
        <v>42</v>
      </c>
      <c r="O4694" s="7" t="s">
        <v>52</v>
      </c>
      <c r="P4694" s="7" t="n">
        <v>24.2</v>
      </c>
      <c r="Q4694" s="7" t="n">
        <v>40</v>
      </c>
      <c r="R4694" s="7" t="s">
        <v>44</v>
      </c>
      <c r="S4694" s="7"/>
      <c r="T4694" s="7"/>
      <c r="U4694" s="7" t="str">
        <f aca="false">IF(COUNTIF($A$2:$A$5001,A4694)&gt;1,"Duplicate","Unique")</f>
        <v>Unique</v>
      </c>
      <c r="V4694" s="7" t="str">
        <f aca="false">IF(COUNTIFS($B$2:$B$5001,B4694,$H$2:$H$5001,H4694,$J$2:$J$5001,J4694)&gt;1,"Possible Duplicate Booking","Unique")</f>
        <v>Unique</v>
      </c>
      <c r="W4694" s="7" t="str">
        <f aca="false">IF((H4694-G4694)&lt;&gt;K4694,"Mismatch","OK")</f>
        <v>OK</v>
      </c>
      <c r="X4694" s="7" t="str">
        <f aca="false">IF(TEXT(H4694,"dddd")&lt;&gt;I4694,"Mismatch","OK")</f>
        <v>OK</v>
      </c>
      <c r="Y4694" s="7" t="str">
        <f aca="false">IF(AND(N4694="No",O4694&lt;&gt;""),"Unexpected: channel present but no reminder sent",IF(AND(N4694="Yes",O4694=""),"Missing channel for sent reminder","OK"))</f>
        <v>OK</v>
      </c>
    </row>
    <row r="4695" customFormat="false" ht="15" hidden="false" customHeight="false" outlineLevel="0" collapsed="false">
      <c r="A4695" s="9" t="s">
        <v>6429</v>
      </c>
      <c r="B4695" s="9" t="s">
        <v>5062</v>
      </c>
      <c r="C4695" s="9" t="s">
        <v>37</v>
      </c>
      <c r="D4695" s="9" t="n">
        <v>39</v>
      </c>
      <c r="E4695" s="9" t="s">
        <v>38</v>
      </c>
      <c r="F4695" s="9" t="s">
        <v>57</v>
      </c>
      <c r="G4695" s="10" t="n">
        <v>46120</v>
      </c>
      <c r="H4695" s="10" t="n">
        <v>46128</v>
      </c>
      <c r="I4695" s="9" t="s">
        <v>62</v>
      </c>
      <c r="J4695" s="9" t="s">
        <v>51</v>
      </c>
      <c r="K4695" s="9" t="n">
        <v>8</v>
      </c>
      <c r="L4695" s="9" t="n">
        <v>3</v>
      </c>
      <c r="M4695" s="9" t="n">
        <v>2</v>
      </c>
      <c r="N4695" s="9" t="s">
        <v>42</v>
      </c>
      <c r="O4695" s="9" t="s">
        <v>43</v>
      </c>
      <c r="P4695" s="9" t="n">
        <v>11.9</v>
      </c>
      <c r="Q4695" s="9" t="n">
        <v>30</v>
      </c>
      <c r="R4695" s="9" t="s">
        <v>53</v>
      </c>
      <c r="S4695" s="9"/>
      <c r="T4695" s="9"/>
      <c r="U4695" s="9" t="str">
        <f aca="false">IF(COUNTIF($A$2:$A$5001,A4695)&gt;1,"Duplicate","Unique")</f>
        <v>Unique</v>
      </c>
      <c r="V4695" s="9" t="str">
        <f aca="false">IF(COUNTIFS($B$2:$B$5001,B4695,$H$2:$H$5001,H4695,$J$2:$J$5001,J4695)&gt;1,"Possible Duplicate Booking","Unique")</f>
        <v>Unique</v>
      </c>
      <c r="W4695" s="9" t="str">
        <f aca="false">IF((H4695-G4695)&lt;&gt;K4695,"Mismatch","OK")</f>
        <v>OK</v>
      </c>
      <c r="X4695" s="9" t="str">
        <f aca="false">IF(TEXT(H4695,"dddd")&lt;&gt;I4695,"Mismatch","OK")</f>
        <v>OK</v>
      </c>
      <c r="Y4695" s="9" t="str">
        <f aca="false">IF(AND(N4695="No",O4695&lt;&gt;""),"Unexpected: channel present but no reminder sent",IF(AND(N4695="Yes",O4695=""),"Missing channel for sent reminder","OK"))</f>
        <v>OK</v>
      </c>
    </row>
    <row r="4696" customFormat="false" ht="15" hidden="false" customHeight="false" outlineLevel="0" collapsed="false">
      <c r="A4696" s="7" t="s">
        <v>6430</v>
      </c>
      <c r="B4696" s="7" t="s">
        <v>6431</v>
      </c>
      <c r="C4696" s="7" t="s">
        <v>37</v>
      </c>
      <c r="D4696" s="7" t="n">
        <v>64</v>
      </c>
      <c r="E4696" s="7" t="s">
        <v>61</v>
      </c>
      <c r="F4696" s="7" t="s">
        <v>57</v>
      </c>
      <c r="G4696" s="8" t="n">
        <v>46037</v>
      </c>
      <c r="H4696" s="8" t="n">
        <v>46044</v>
      </c>
      <c r="I4696" s="7" t="s">
        <v>62</v>
      </c>
      <c r="J4696" s="7" t="s">
        <v>51</v>
      </c>
      <c r="K4696" s="7" t="n">
        <v>7</v>
      </c>
      <c r="L4696" s="7" t="n">
        <v>5</v>
      </c>
      <c r="M4696" s="7" t="n">
        <v>1</v>
      </c>
      <c r="N4696" s="7" t="s">
        <v>42</v>
      </c>
      <c r="O4696" s="7" t="s">
        <v>52</v>
      </c>
      <c r="P4696" s="7"/>
      <c r="Q4696" s="7" t="n">
        <v>49</v>
      </c>
      <c r="R4696" s="7" t="s">
        <v>44</v>
      </c>
      <c r="S4696" s="7"/>
      <c r="T4696" s="7"/>
      <c r="U4696" s="7" t="str">
        <f aca="false">IF(COUNTIF($A$2:$A$5001,A4696)&gt;1,"Duplicate","Unique")</f>
        <v>Unique</v>
      </c>
      <c r="V4696" s="7" t="str">
        <f aca="false">IF(COUNTIFS($B$2:$B$5001,B4696,$H$2:$H$5001,H4696,$J$2:$J$5001,J4696)&gt;1,"Possible Duplicate Booking","Unique")</f>
        <v>Unique</v>
      </c>
      <c r="W4696" s="7" t="str">
        <f aca="false">IF((H4696-G4696)&lt;&gt;K4696,"Mismatch","OK")</f>
        <v>OK</v>
      </c>
      <c r="X4696" s="7" t="str">
        <f aca="false">IF(TEXT(H4696,"dddd")&lt;&gt;I4696,"Mismatch","OK")</f>
        <v>OK</v>
      </c>
      <c r="Y4696" s="7" t="str">
        <f aca="false">IF(AND(N4696="No",O4696&lt;&gt;""),"Unexpected: channel present but no reminder sent",IF(AND(N4696="Yes",O4696=""),"Missing channel for sent reminder","OK"))</f>
        <v>OK</v>
      </c>
    </row>
    <row r="4697" customFormat="false" ht="15" hidden="false" customHeight="false" outlineLevel="0" collapsed="false">
      <c r="A4697" s="9" t="s">
        <v>6432</v>
      </c>
      <c r="B4697" s="9" t="s">
        <v>6433</v>
      </c>
      <c r="C4697" s="9" t="s">
        <v>47</v>
      </c>
      <c r="D4697" s="9" t="n">
        <v>48</v>
      </c>
      <c r="E4697" s="9" t="s">
        <v>56</v>
      </c>
      <c r="F4697" s="9" t="s">
        <v>57</v>
      </c>
      <c r="G4697" s="10" t="n">
        <v>46074</v>
      </c>
      <c r="H4697" s="10" t="n">
        <v>46114</v>
      </c>
      <c r="I4697" s="9" t="s">
        <v>62</v>
      </c>
      <c r="J4697" s="9" t="s">
        <v>41</v>
      </c>
      <c r="K4697" s="9" t="n">
        <v>40</v>
      </c>
      <c r="L4697" s="9" t="n">
        <v>1</v>
      </c>
      <c r="M4697" s="9" t="n">
        <v>0</v>
      </c>
      <c r="N4697" s="9" t="s">
        <v>71</v>
      </c>
      <c r="O4697" s="9"/>
      <c r="P4697" s="9" t="n">
        <v>6.1</v>
      </c>
      <c r="Q4697" s="9" t="n">
        <v>8</v>
      </c>
      <c r="R4697" s="9" t="s">
        <v>44</v>
      </c>
      <c r="S4697" s="9"/>
      <c r="T4697" s="9"/>
      <c r="U4697" s="9" t="str">
        <f aca="false">IF(COUNTIF($A$2:$A$5001,A4697)&gt;1,"Duplicate","Unique")</f>
        <v>Unique</v>
      </c>
      <c r="V4697" s="9" t="str">
        <f aca="false">IF(COUNTIFS($B$2:$B$5001,B4697,$H$2:$H$5001,H4697,$J$2:$J$5001,J4697)&gt;1,"Possible Duplicate Booking","Unique")</f>
        <v>Unique</v>
      </c>
      <c r="W4697" s="9" t="str">
        <f aca="false">IF((H4697-G4697)&lt;&gt;K4697,"Mismatch","OK")</f>
        <v>OK</v>
      </c>
      <c r="X4697" s="9" t="str">
        <f aca="false">IF(TEXT(H4697,"dddd")&lt;&gt;I4697,"Mismatch","OK")</f>
        <v>OK</v>
      </c>
      <c r="Y4697" s="9" t="str">
        <f aca="false">IF(AND(N4697="No",O4697&lt;&gt;""),"Unexpected: channel present but no reminder sent",IF(AND(N4697="Yes",O4697=""),"Missing channel for sent reminder","OK"))</f>
        <v>OK</v>
      </c>
    </row>
    <row r="4698" customFormat="false" ht="15" hidden="false" customHeight="false" outlineLevel="0" collapsed="false">
      <c r="A4698" s="7" t="s">
        <v>6434</v>
      </c>
      <c r="B4698" s="7" t="s">
        <v>2989</v>
      </c>
      <c r="C4698" s="7" t="s">
        <v>47</v>
      </c>
      <c r="D4698" s="7" t="n">
        <v>53</v>
      </c>
      <c r="E4698" s="7" t="s">
        <v>56</v>
      </c>
      <c r="F4698" s="7" t="s">
        <v>57</v>
      </c>
      <c r="G4698" s="8" t="n">
        <v>45673</v>
      </c>
      <c r="H4698" s="8" t="n">
        <v>45699</v>
      </c>
      <c r="I4698" s="7" t="s">
        <v>40</v>
      </c>
      <c r="J4698" s="7" t="s">
        <v>41</v>
      </c>
      <c r="K4698" s="7" t="n">
        <v>26</v>
      </c>
      <c r="L4698" s="7" t="n">
        <v>2</v>
      </c>
      <c r="M4698" s="7" t="n">
        <v>1</v>
      </c>
      <c r="N4698" s="7" t="s">
        <v>42</v>
      </c>
      <c r="O4698" s="7" t="s">
        <v>43</v>
      </c>
      <c r="P4698" s="7" t="n">
        <v>10.3</v>
      </c>
      <c r="Q4698" s="7" t="n">
        <v>41</v>
      </c>
      <c r="R4698" s="7" t="s">
        <v>53</v>
      </c>
      <c r="S4698" s="7"/>
      <c r="T4698" s="7"/>
      <c r="U4698" s="7" t="str">
        <f aca="false">IF(COUNTIF($A$2:$A$5001,A4698)&gt;1,"Duplicate","Unique")</f>
        <v>Unique</v>
      </c>
      <c r="V4698" s="7" t="str">
        <f aca="false">IF(COUNTIFS($B$2:$B$5001,B4698,$H$2:$H$5001,H4698,$J$2:$J$5001,J4698)&gt;1,"Possible Duplicate Booking","Unique")</f>
        <v>Unique</v>
      </c>
      <c r="W4698" s="7" t="str">
        <f aca="false">IF((H4698-G4698)&lt;&gt;K4698,"Mismatch","OK")</f>
        <v>OK</v>
      </c>
      <c r="X4698" s="7" t="str">
        <f aca="false">IF(TEXT(H4698,"dddd")&lt;&gt;I4698,"Mismatch","OK")</f>
        <v>OK</v>
      </c>
      <c r="Y4698" s="7" t="str">
        <f aca="false">IF(AND(N4698="No",O4698&lt;&gt;""),"Unexpected: channel present but no reminder sent",IF(AND(N4698="Yes",O4698=""),"Missing channel for sent reminder","OK"))</f>
        <v>OK</v>
      </c>
    </row>
    <row r="4699" customFormat="false" ht="15" hidden="false" customHeight="false" outlineLevel="0" collapsed="false">
      <c r="A4699" s="9" t="s">
        <v>6435</v>
      </c>
      <c r="B4699" s="9" t="s">
        <v>5254</v>
      </c>
      <c r="C4699" s="9" t="s">
        <v>37</v>
      </c>
      <c r="D4699" s="9" t="n">
        <v>34</v>
      </c>
      <c r="E4699" s="9" t="s">
        <v>48</v>
      </c>
      <c r="F4699" s="9" t="s">
        <v>57</v>
      </c>
      <c r="G4699" s="10" t="n">
        <v>45698</v>
      </c>
      <c r="H4699" s="10" t="n">
        <v>45706</v>
      </c>
      <c r="I4699" s="9" t="s">
        <v>40</v>
      </c>
      <c r="J4699" s="9" t="s">
        <v>51</v>
      </c>
      <c r="K4699" s="9" t="n">
        <v>8</v>
      </c>
      <c r="L4699" s="9" t="n">
        <v>3</v>
      </c>
      <c r="M4699" s="9" t="n">
        <v>0</v>
      </c>
      <c r="N4699" s="9" t="s">
        <v>71</v>
      </c>
      <c r="O4699" s="9"/>
      <c r="P4699" s="9" t="n">
        <v>13.9</v>
      </c>
      <c r="Q4699" s="9" t="n">
        <v>42</v>
      </c>
      <c r="R4699" s="9" t="s">
        <v>53</v>
      </c>
      <c r="S4699" s="9"/>
      <c r="T4699" s="9"/>
      <c r="U4699" s="9" t="str">
        <f aca="false">IF(COUNTIF($A$2:$A$5001,A4699)&gt;1,"Duplicate","Unique")</f>
        <v>Unique</v>
      </c>
      <c r="V4699" s="9" t="str">
        <f aca="false">IF(COUNTIFS($B$2:$B$5001,B4699,$H$2:$H$5001,H4699,$J$2:$J$5001,J4699)&gt;1,"Possible Duplicate Booking","Unique")</f>
        <v>Unique</v>
      </c>
      <c r="W4699" s="9" t="str">
        <f aca="false">IF((H4699-G4699)&lt;&gt;K4699,"Mismatch","OK")</f>
        <v>OK</v>
      </c>
      <c r="X4699" s="9" t="str">
        <f aca="false">IF(TEXT(H4699,"dddd")&lt;&gt;I4699,"Mismatch","OK")</f>
        <v>OK</v>
      </c>
      <c r="Y4699" s="9" t="str">
        <f aca="false">IF(AND(N4699="No",O4699&lt;&gt;""),"Unexpected: channel present but no reminder sent",IF(AND(N4699="Yes",O4699=""),"Missing channel for sent reminder","OK"))</f>
        <v>OK</v>
      </c>
    </row>
    <row r="4700" customFormat="false" ht="15" hidden="false" customHeight="false" outlineLevel="0" collapsed="false">
      <c r="A4700" s="7" t="s">
        <v>6436</v>
      </c>
      <c r="B4700" s="7" t="s">
        <v>2269</v>
      </c>
      <c r="C4700" s="7" t="s">
        <v>37</v>
      </c>
      <c r="D4700" s="7" t="n">
        <v>38</v>
      </c>
      <c r="E4700" s="7" t="s">
        <v>38</v>
      </c>
      <c r="F4700" s="7" t="s">
        <v>39</v>
      </c>
      <c r="G4700" s="8" t="n">
        <v>45777</v>
      </c>
      <c r="H4700" s="8" t="n">
        <v>45822</v>
      </c>
      <c r="I4700" s="7" t="s">
        <v>102</v>
      </c>
      <c r="J4700" s="7" t="s">
        <v>51</v>
      </c>
      <c r="K4700" s="7" t="n">
        <v>45</v>
      </c>
      <c r="L4700" s="7" t="n">
        <v>2</v>
      </c>
      <c r="M4700" s="7" t="n">
        <v>1</v>
      </c>
      <c r="N4700" s="7" t="s">
        <v>71</v>
      </c>
      <c r="O4700" s="7"/>
      <c r="P4700" s="7" t="n">
        <v>16.6</v>
      </c>
      <c r="Q4700" s="7" t="n">
        <v>22</v>
      </c>
      <c r="R4700" s="7" t="s">
        <v>44</v>
      </c>
      <c r="S4700" s="7"/>
      <c r="T4700" s="7"/>
      <c r="U4700" s="7" t="str">
        <f aca="false">IF(COUNTIF($A$2:$A$5001,A4700)&gt;1,"Duplicate","Unique")</f>
        <v>Unique</v>
      </c>
      <c r="V4700" s="7" t="str">
        <f aca="false">IF(COUNTIFS($B$2:$B$5001,B4700,$H$2:$H$5001,H4700,$J$2:$J$5001,J4700)&gt;1,"Possible Duplicate Booking","Unique")</f>
        <v>Unique</v>
      </c>
      <c r="W4700" s="7" t="str">
        <f aca="false">IF((H4700-G4700)&lt;&gt;K4700,"Mismatch","OK")</f>
        <v>OK</v>
      </c>
      <c r="X4700" s="7" t="str">
        <f aca="false">IF(TEXT(H4700,"dddd")&lt;&gt;I4700,"Mismatch","OK")</f>
        <v>OK</v>
      </c>
      <c r="Y4700" s="7" t="str">
        <f aca="false">IF(AND(N4700="No",O4700&lt;&gt;""),"Unexpected: channel present but no reminder sent",IF(AND(N4700="Yes",O4700=""),"Missing channel for sent reminder","OK"))</f>
        <v>OK</v>
      </c>
    </row>
    <row r="4701" customFormat="false" ht="15" hidden="false" customHeight="false" outlineLevel="0" collapsed="false">
      <c r="A4701" s="9" t="s">
        <v>6437</v>
      </c>
      <c r="B4701" s="9" t="s">
        <v>170</v>
      </c>
      <c r="C4701" s="9" t="s">
        <v>47</v>
      </c>
      <c r="D4701" s="9" t="n">
        <v>26</v>
      </c>
      <c r="E4701" s="9" t="s">
        <v>48</v>
      </c>
      <c r="F4701" s="9" t="s">
        <v>49</v>
      </c>
      <c r="G4701" s="10" t="n">
        <v>45623</v>
      </c>
      <c r="H4701" s="10" t="n">
        <v>45670</v>
      </c>
      <c r="I4701" s="9" t="s">
        <v>66</v>
      </c>
      <c r="J4701" s="9" t="s">
        <v>63</v>
      </c>
      <c r="K4701" s="9" t="n">
        <v>47</v>
      </c>
      <c r="L4701" s="9" t="n">
        <v>2</v>
      </c>
      <c r="M4701" s="9" t="n">
        <v>0</v>
      </c>
      <c r="N4701" s="9" t="s">
        <v>42</v>
      </c>
      <c r="O4701" s="9" t="s">
        <v>52</v>
      </c>
      <c r="P4701" s="9" t="n">
        <v>14</v>
      </c>
      <c r="Q4701" s="9" t="n">
        <v>15</v>
      </c>
      <c r="R4701" s="9" t="s">
        <v>44</v>
      </c>
      <c r="S4701" s="9"/>
      <c r="T4701" s="9"/>
      <c r="U4701" s="9" t="str">
        <f aca="false">IF(COUNTIF($A$2:$A$5001,A4701)&gt;1,"Duplicate","Unique")</f>
        <v>Unique</v>
      </c>
      <c r="V4701" s="9" t="str">
        <f aca="false">IF(COUNTIFS($B$2:$B$5001,B4701,$H$2:$H$5001,H4701,$J$2:$J$5001,J4701)&gt;1,"Possible Duplicate Booking","Unique")</f>
        <v>Unique</v>
      </c>
      <c r="W4701" s="9" t="str">
        <f aca="false">IF((H4701-G4701)&lt;&gt;K4701,"Mismatch","OK")</f>
        <v>OK</v>
      </c>
      <c r="X4701" s="9" t="str">
        <f aca="false">IF(TEXT(H4701,"dddd")&lt;&gt;I4701,"Mismatch","OK")</f>
        <v>OK</v>
      </c>
      <c r="Y4701" s="9" t="str">
        <f aca="false">IF(AND(N4701="No",O4701&lt;&gt;""),"Unexpected: channel present but no reminder sent",IF(AND(N4701="Yes",O4701=""),"Missing channel for sent reminder","OK"))</f>
        <v>OK</v>
      </c>
    </row>
    <row r="4702" customFormat="false" ht="15" hidden="false" customHeight="false" outlineLevel="0" collapsed="false">
      <c r="A4702" s="7" t="s">
        <v>6438</v>
      </c>
      <c r="B4702" s="7" t="s">
        <v>1077</v>
      </c>
      <c r="C4702" s="7" t="s">
        <v>47</v>
      </c>
      <c r="D4702" s="7" t="n">
        <v>23</v>
      </c>
      <c r="E4702" s="7" t="s">
        <v>82</v>
      </c>
      <c r="F4702" s="7" t="s">
        <v>49</v>
      </c>
      <c r="G4702" s="8" t="n">
        <v>46141</v>
      </c>
      <c r="H4702" s="8" t="n">
        <v>46143</v>
      </c>
      <c r="I4702" s="7" t="s">
        <v>50</v>
      </c>
      <c r="J4702" s="7" t="s">
        <v>63</v>
      </c>
      <c r="K4702" s="7" t="n">
        <v>2</v>
      </c>
      <c r="L4702" s="7" t="n">
        <v>4</v>
      </c>
      <c r="M4702" s="7" t="n">
        <v>1</v>
      </c>
      <c r="N4702" s="7" t="s">
        <v>42</v>
      </c>
      <c r="O4702" s="7" t="s">
        <v>52</v>
      </c>
      <c r="P4702" s="7" t="n">
        <v>5.5</v>
      </c>
      <c r="Q4702" s="7" t="n">
        <v>47</v>
      </c>
      <c r="R4702" s="7" t="s">
        <v>53</v>
      </c>
      <c r="S4702" s="7"/>
      <c r="T4702" s="7"/>
      <c r="U4702" s="7" t="str">
        <f aca="false">IF(COUNTIF($A$2:$A$5001,A4702)&gt;1,"Duplicate","Unique")</f>
        <v>Unique</v>
      </c>
      <c r="V4702" s="7" t="str">
        <f aca="false">IF(COUNTIFS($B$2:$B$5001,B4702,$H$2:$H$5001,H4702,$J$2:$J$5001,J4702)&gt;1,"Possible Duplicate Booking","Unique")</f>
        <v>Unique</v>
      </c>
      <c r="W4702" s="7" t="str">
        <f aca="false">IF((H4702-G4702)&lt;&gt;K4702,"Mismatch","OK")</f>
        <v>OK</v>
      </c>
      <c r="X4702" s="7" t="str">
        <f aca="false">IF(TEXT(H4702,"dddd")&lt;&gt;I4702,"Mismatch","OK")</f>
        <v>OK</v>
      </c>
      <c r="Y4702" s="7" t="str">
        <f aca="false">IF(AND(N4702="No",O4702&lt;&gt;""),"Unexpected: channel present but no reminder sent",IF(AND(N4702="Yes",O4702=""),"Missing channel for sent reminder","OK"))</f>
        <v>OK</v>
      </c>
    </row>
    <row r="4703" customFormat="false" ht="15" hidden="false" customHeight="false" outlineLevel="0" collapsed="false">
      <c r="A4703" s="9" t="s">
        <v>6439</v>
      </c>
      <c r="B4703" s="9" t="s">
        <v>946</v>
      </c>
      <c r="C4703" s="9" t="s">
        <v>47</v>
      </c>
      <c r="D4703" s="9" t="n">
        <v>20</v>
      </c>
      <c r="E4703" s="9" t="s">
        <v>82</v>
      </c>
      <c r="F4703" s="9" t="s">
        <v>49</v>
      </c>
      <c r="G4703" s="10" t="n">
        <v>45676</v>
      </c>
      <c r="H4703" s="10" t="n">
        <v>45688</v>
      </c>
      <c r="I4703" s="9" t="s">
        <v>50</v>
      </c>
      <c r="J4703" s="9" t="s">
        <v>51</v>
      </c>
      <c r="K4703" s="9" t="n">
        <v>12</v>
      </c>
      <c r="L4703" s="9" t="n">
        <v>2</v>
      </c>
      <c r="M4703" s="9" t="n">
        <v>0</v>
      </c>
      <c r="N4703" s="9" t="s">
        <v>42</v>
      </c>
      <c r="O4703" s="9" t="s">
        <v>52</v>
      </c>
      <c r="P4703" s="9" t="n">
        <v>6.5</v>
      </c>
      <c r="Q4703" s="9" t="n">
        <v>15</v>
      </c>
      <c r="R4703" s="9" t="s">
        <v>53</v>
      </c>
      <c r="S4703" s="9"/>
      <c r="T4703" s="9"/>
      <c r="U4703" s="9" t="str">
        <f aca="false">IF(COUNTIF($A$2:$A$5001,A4703)&gt;1,"Duplicate","Unique")</f>
        <v>Unique</v>
      </c>
      <c r="V4703" s="9" t="str">
        <f aca="false">IF(COUNTIFS($B$2:$B$5001,B4703,$H$2:$H$5001,H4703,$J$2:$J$5001,J4703)&gt;1,"Possible Duplicate Booking","Unique")</f>
        <v>Unique</v>
      </c>
      <c r="W4703" s="9" t="str">
        <f aca="false">IF((H4703-G4703)&lt;&gt;K4703,"Mismatch","OK")</f>
        <v>OK</v>
      </c>
      <c r="X4703" s="9" t="str">
        <f aca="false">IF(TEXT(H4703,"dddd")&lt;&gt;I4703,"Mismatch","OK")</f>
        <v>OK</v>
      </c>
      <c r="Y4703" s="9" t="str">
        <f aca="false">IF(AND(N4703="No",O4703&lt;&gt;""),"Unexpected: channel present but no reminder sent",IF(AND(N4703="Yes",O4703=""),"Missing channel for sent reminder","OK"))</f>
        <v>OK</v>
      </c>
    </row>
    <row r="4704" customFormat="false" ht="15" hidden="false" customHeight="false" outlineLevel="0" collapsed="false">
      <c r="A4704" s="7" t="s">
        <v>6440</v>
      </c>
      <c r="B4704" s="7" t="s">
        <v>2963</v>
      </c>
      <c r="C4704" s="7" t="s">
        <v>37</v>
      </c>
      <c r="D4704" s="7" t="n">
        <v>57</v>
      </c>
      <c r="E4704" s="7" t="s">
        <v>61</v>
      </c>
      <c r="F4704" s="7" t="s">
        <v>39</v>
      </c>
      <c r="G4704" s="8" t="n">
        <v>45933</v>
      </c>
      <c r="H4704" s="8" t="n">
        <v>45955</v>
      </c>
      <c r="I4704" s="7" t="s">
        <v>102</v>
      </c>
      <c r="J4704" s="7" t="s">
        <v>41</v>
      </c>
      <c r="K4704" s="7" t="n">
        <v>22</v>
      </c>
      <c r="L4704" s="7" t="n">
        <v>3</v>
      </c>
      <c r="M4704" s="7" t="n">
        <v>2</v>
      </c>
      <c r="N4704" s="7" t="s">
        <v>42</v>
      </c>
      <c r="O4704" s="7" t="s">
        <v>52</v>
      </c>
      <c r="P4704" s="7" t="n">
        <v>4</v>
      </c>
      <c r="Q4704" s="7" t="n">
        <v>36</v>
      </c>
      <c r="R4704" s="7" t="s">
        <v>44</v>
      </c>
      <c r="S4704" s="7"/>
      <c r="T4704" s="7"/>
      <c r="U4704" s="7" t="str">
        <f aca="false">IF(COUNTIF($A$2:$A$5001,A4704)&gt;1,"Duplicate","Unique")</f>
        <v>Unique</v>
      </c>
      <c r="V4704" s="7" t="str">
        <f aca="false">IF(COUNTIFS($B$2:$B$5001,B4704,$H$2:$H$5001,H4704,$J$2:$J$5001,J4704)&gt;1,"Possible Duplicate Booking","Unique")</f>
        <v>Unique</v>
      </c>
      <c r="W4704" s="7" t="str">
        <f aca="false">IF((H4704-G4704)&lt;&gt;K4704,"Mismatch","OK")</f>
        <v>OK</v>
      </c>
      <c r="X4704" s="7" t="str">
        <f aca="false">IF(TEXT(H4704,"dddd")&lt;&gt;I4704,"Mismatch","OK")</f>
        <v>OK</v>
      </c>
      <c r="Y4704" s="7" t="str">
        <f aca="false">IF(AND(N4704="No",O4704&lt;&gt;""),"Unexpected: channel present but no reminder sent",IF(AND(N4704="Yes",O4704=""),"Missing channel for sent reminder","OK"))</f>
        <v>OK</v>
      </c>
    </row>
    <row r="4705" customFormat="false" ht="15" hidden="false" customHeight="false" outlineLevel="0" collapsed="false">
      <c r="A4705" s="9" t="s">
        <v>6441</v>
      </c>
      <c r="B4705" s="9" t="s">
        <v>2025</v>
      </c>
      <c r="C4705" s="9" t="s">
        <v>47</v>
      </c>
      <c r="D4705" s="9" t="n">
        <v>27</v>
      </c>
      <c r="E4705" s="9" t="s">
        <v>48</v>
      </c>
      <c r="F4705" s="9" t="s">
        <v>74</v>
      </c>
      <c r="G4705" s="10" t="n">
        <v>46080</v>
      </c>
      <c r="H4705" s="10" t="n">
        <v>46124</v>
      </c>
      <c r="I4705" s="9" t="s">
        <v>75</v>
      </c>
      <c r="J4705" s="9" t="s">
        <v>51</v>
      </c>
      <c r="K4705" s="9" t="n">
        <v>44</v>
      </c>
      <c r="L4705" s="9" t="n">
        <v>1</v>
      </c>
      <c r="M4705" s="9" t="n">
        <v>0</v>
      </c>
      <c r="N4705" s="9" t="s">
        <v>71</v>
      </c>
      <c r="O4705" s="9"/>
      <c r="P4705" s="9" t="n">
        <v>5</v>
      </c>
      <c r="Q4705" s="9" t="n">
        <v>40</v>
      </c>
      <c r="R4705" s="9" t="s">
        <v>53</v>
      </c>
      <c r="S4705" s="9"/>
      <c r="T4705" s="9"/>
      <c r="U4705" s="9" t="str">
        <f aca="false">IF(COUNTIF($A$2:$A$5001,A4705)&gt;1,"Duplicate","Unique")</f>
        <v>Unique</v>
      </c>
      <c r="V4705" s="9" t="str">
        <f aca="false">IF(COUNTIFS($B$2:$B$5001,B4705,$H$2:$H$5001,H4705,$J$2:$J$5001,J4705)&gt;1,"Possible Duplicate Booking","Unique")</f>
        <v>Unique</v>
      </c>
      <c r="W4705" s="9" t="str">
        <f aca="false">IF((H4705-G4705)&lt;&gt;K4705,"Mismatch","OK")</f>
        <v>OK</v>
      </c>
      <c r="X4705" s="9" t="str">
        <f aca="false">IF(TEXT(H4705,"dddd")&lt;&gt;I4705,"Mismatch","OK")</f>
        <v>OK</v>
      </c>
      <c r="Y4705" s="9" t="str">
        <f aca="false">IF(AND(N4705="No",O4705&lt;&gt;""),"Unexpected: channel present but no reminder sent",IF(AND(N4705="Yes",O4705=""),"Missing channel for sent reminder","OK"))</f>
        <v>OK</v>
      </c>
    </row>
    <row r="4706" customFormat="false" ht="15" hidden="false" customHeight="false" outlineLevel="0" collapsed="false">
      <c r="A4706" s="7" t="s">
        <v>6442</v>
      </c>
      <c r="B4706" s="7" t="s">
        <v>1359</v>
      </c>
      <c r="C4706" s="7" t="s">
        <v>37</v>
      </c>
      <c r="D4706" s="7" t="n">
        <v>54</v>
      </c>
      <c r="E4706" s="7" t="s">
        <v>56</v>
      </c>
      <c r="F4706" s="7" t="s">
        <v>39</v>
      </c>
      <c r="G4706" s="8" t="n">
        <v>46055</v>
      </c>
      <c r="H4706" s="8" t="n">
        <v>46059</v>
      </c>
      <c r="I4706" s="7" t="s">
        <v>50</v>
      </c>
      <c r="J4706" s="7" t="s">
        <v>51</v>
      </c>
      <c r="K4706" s="7" t="n">
        <v>4</v>
      </c>
      <c r="L4706" s="7" t="n">
        <v>1</v>
      </c>
      <c r="M4706" s="7" t="n">
        <v>1</v>
      </c>
      <c r="N4706" s="7" t="s">
        <v>42</v>
      </c>
      <c r="O4706" s="7" t="s">
        <v>52</v>
      </c>
      <c r="P4706" s="7" t="n">
        <v>13.7</v>
      </c>
      <c r="Q4706" s="7" t="n">
        <v>22</v>
      </c>
      <c r="R4706" s="7" t="s">
        <v>53</v>
      </c>
      <c r="S4706" s="7"/>
      <c r="T4706" s="7"/>
      <c r="U4706" s="7" t="str">
        <f aca="false">IF(COUNTIF($A$2:$A$5001,A4706)&gt;1,"Duplicate","Unique")</f>
        <v>Unique</v>
      </c>
      <c r="V4706" s="7" t="str">
        <f aca="false">IF(COUNTIFS($B$2:$B$5001,B4706,$H$2:$H$5001,H4706,$J$2:$J$5001,J4706)&gt;1,"Possible Duplicate Booking","Unique")</f>
        <v>Unique</v>
      </c>
      <c r="W4706" s="7" t="str">
        <f aca="false">IF((H4706-G4706)&lt;&gt;K4706,"Mismatch","OK")</f>
        <v>OK</v>
      </c>
      <c r="X4706" s="7" t="str">
        <f aca="false">IF(TEXT(H4706,"dddd")&lt;&gt;I4706,"Mismatch","OK")</f>
        <v>OK</v>
      </c>
      <c r="Y4706" s="7" t="str">
        <f aca="false">IF(AND(N4706="No",O4706&lt;&gt;""),"Unexpected: channel present but no reminder sent",IF(AND(N4706="Yes",O4706=""),"Missing channel for sent reminder","OK"))</f>
        <v>OK</v>
      </c>
    </row>
    <row r="4707" customFormat="false" ht="15" hidden="false" customHeight="false" outlineLevel="0" collapsed="false">
      <c r="A4707" s="9" t="s">
        <v>6443</v>
      </c>
      <c r="B4707" s="9" t="s">
        <v>1878</v>
      </c>
      <c r="C4707" s="9" t="s">
        <v>47</v>
      </c>
      <c r="D4707" s="9" t="n">
        <v>78</v>
      </c>
      <c r="E4707" s="9" t="s">
        <v>70</v>
      </c>
      <c r="F4707" s="9" t="s">
        <v>39</v>
      </c>
      <c r="G4707" s="10" t="n">
        <v>45737</v>
      </c>
      <c r="H4707" s="10" t="n">
        <v>45786</v>
      </c>
      <c r="I4707" s="9" t="s">
        <v>50</v>
      </c>
      <c r="J4707" s="9" t="s">
        <v>41</v>
      </c>
      <c r="K4707" s="9" t="n">
        <v>49</v>
      </c>
      <c r="L4707" s="9" t="n">
        <v>8</v>
      </c>
      <c r="M4707" s="9" t="n">
        <v>1</v>
      </c>
      <c r="N4707" s="9" t="s">
        <v>71</v>
      </c>
      <c r="O4707" s="9"/>
      <c r="P4707" s="9" t="n">
        <v>8.6</v>
      </c>
      <c r="Q4707" s="9" t="n">
        <v>22</v>
      </c>
      <c r="R4707" s="9" t="s">
        <v>87</v>
      </c>
      <c r="S4707" s="9"/>
      <c r="T4707" s="9"/>
      <c r="U4707" s="9" t="str">
        <f aca="false">IF(COUNTIF($A$2:$A$5001,A4707)&gt;1,"Duplicate","Unique")</f>
        <v>Unique</v>
      </c>
      <c r="V4707" s="9" t="str">
        <f aca="false">IF(COUNTIFS($B$2:$B$5001,B4707,$H$2:$H$5001,H4707,$J$2:$J$5001,J4707)&gt;1,"Possible Duplicate Booking","Unique")</f>
        <v>Unique</v>
      </c>
      <c r="W4707" s="9" t="str">
        <f aca="false">IF((H4707-G4707)&lt;&gt;K4707,"Mismatch","OK")</f>
        <v>OK</v>
      </c>
      <c r="X4707" s="9" t="str">
        <f aca="false">IF(TEXT(H4707,"dddd")&lt;&gt;I4707,"Mismatch","OK")</f>
        <v>OK</v>
      </c>
      <c r="Y4707" s="9" t="str">
        <f aca="false">IF(AND(N4707="No",O4707&lt;&gt;""),"Unexpected: channel present but no reminder sent",IF(AND(N4707="Yes",O4707=""),"Missing channel for sent reminder","OK"))</f>
        <v>OK</v>
      </c>
    </row>
    <row r="4708" customFormat="false" ht="15" hidden="false" customHeight="false" outlineLevel="0" collapsed="false">
      <c r="A4708" s="7" t="s">
        <v>6444</v>
      </c>
      <c r="B4708" s="7" t="s">
        <v>2311</v>
      </c>
      <c r="C4708" s="7" t="s">
        <v>37</v>
      </c>
      <c r="D4708" s="7" t="n">
        <v>61</v>
      </c>
      <c r="E4708" s="7" t="s">
        <v>61</v>
      </c>
      <c r="F4708" s="7" t="s">
        <v>57</v>
      </c>
      <c r="G4708" s="8" t="n">
        <v>45895</v>
      </c>
      <c r="H4708" s="8" t="n">
        <v>45914</v>
      </c>
      <c r="I4708" s="7" t="s">
        <v>75</v>
      </c>
      <c r="J4708" s="7" t="s">
        <v>63</v>
      </c>
      <c r="K4708" s="7" t="n">
        <v>19</v>
      </c>
      <c r="L4708" s="7" t="n">
        <v>5</v>
      </c>
      <c r="M4708" s="7" t="n">
        <v>1</v>
      </c>
      <c r="N4708" s="7" t="s">
        <v>42</v>
      </c>
      <c r="O4708" s="7" t="s">
        <v>52</v>
      </c>
      <c r="P4708" s="7" t="n">
        <v>14.1</v>
      </c>
      <c r="Q4708" s="7" t="n">
        <v>43</v>
      </c>
      <c r="R4708" s="7" t="s">
        <v>53</v>
      </c>
      <c r="S4708" s="7"/>
      <c r="T4708" s="7"/>
      <c r="U4708" s="7" t="str">
        <f aca="false">IF(COUNTIF($A$2:$A$5001,A4708)&gt;1,"Duplicate","Unique")</f>
        <v>Unique</v>
      </c>
      <c r="V4708" s="7" t="str">
        <f aca="false">IF(COUNTIFS($B$2:$B$5001,B4708,$H$2:$H$5001,H4708,$J$2:$J$5001,J4708)&gt;1,"Possible Duplicate Booking","Unique")</f>
        <v>Unique</v>
      </c>
      <c r="W4708" s="7" t="str">
        <f aca="false">IF((H4708-G4708)&lt;&gt;K4708,"Mismatch","OK")</f>
        <v>OK</v>
      </c>
      <c r="X4708" s="7" t="str">
        <f aca="false">IF(TEXT(H4708,"dddd")&lt;&gt;I4708,"Mismatch","OK")</f>
        <v>OK</v>
      </c>
      <c r="Y4708" s="7" t="str">
        <f aca="false">IF(AND(N4708="No",O4708&lt;&gt;""),"Unexpected: channel present but no reminder sent",IF(AND(N4708="Yes",O4708=""),"Missing channel for sent reminder","OK"))</f>
        <v>OK</v>
      </c>
    </row>
    <row r="4709" customFormat="false" ht="15" hidden="false" customHeight="false" outlineLevel="0" collapsed="false">
      <c r="A4709" s="9" t="s">
        <v>6445</v>
      </c>
      <c r="B4709" s="9" t="s">
        <v>2707</v>
      </c>
      <c r="C4709" s="9" t="s">
        <v>47</v>
      </c>
      <c r="D4709" s="9" t="n">
        <v>54</v>
      </c>
      <c r="E4709" s="9" t="s">
        <v>56</v>
      </c>
      <c r="F4709" s="9" t="s">
        <v>57</v>
      </c>
      <c r="G4709" s="10" t="n">
        <v>45950</v>
      </c>
      <c r="H4709" s="10" t="n">
        <v>45957</v>
      </c>
      <c r="I4709" s="9" t="s">
        <v>66</v>
      </c>
      <c r="J4709" s="9" t="s">
        <v>51</v>
      </c>
      <c r="K4709" s="9" t="n">
        <v>7</v>
      </c>
      <c r="L4709" s="9" t="n">
        <v>3</v>
      </c>
      <c r="M4709" s="9" t="n">
        <v>0</v>
      </c>
      <c r="N4709" s="9" t="s">
        <v>42</v>
      </c>
      <c r="O4709" s="9" t="s">
        <v>52</v>
      </c>
      <c r="P4709" s="9" t="n">
        <v>15.6</v>
      </c>
      <c r="Q4709" s="9" t="n">
        <v>21</v>
      </c>
      <c r="R4709" s="9" t="s">
        <v>53</v>
      </c>
      <c r="S4709" s="9"/>
      <c r="T4709" s="9"/>
      <c r="U4709" s="9" t="str">
        <f aca="false">IF(COUNTIF($A$2:$A$5001,A4709)&gt;1,"Duplicate","Unique")</f>
        <v>Unique</v>
      </c>
      <c r="V4709" s="9" t="str">
        <f aca="false">IF(COUNTIFS($B$2:$B$5001,B4709,$H$2:$H$5001,H4709,$J$2:$J$5001,J4709)&gt;1,"Possible Duplicate Booking","Unique")</f>
        <v>Unique</v>
      </c>
      <c r="W4709" s="9" t="str">
        <f aca="false">IF((H4709-G4709)&lt;&gt;K4709,"Mismatch","OK")</f>
        <v>OK</v>
      </c>
      <c r="X4709" s="9" t="str">
        <f aca="false">IF(TEXT(H4709,"dddd")&lt;&gt;I4709,"Mismatch","OK")</f>
        <v>OK</v>
      </c>
      <c r="Y4709" s="9" t="str">
        <f aca="false">IF(AND(N4709="No",O4709&lt;&gt;""),"Unexpected: channel present but no reminder sent",IF(AND(N4709="Yes",O4709=""),"Missing channel for sent reminder","OK"))</f>
        <v>OK</v>
      </c>
    </row>
    <row r="4710" customFormat="false" ht="15" hidden="false" customHeight="false" outlineLevel="0" collapsed="false">
      <c r="A4710" s="7" t="s">
        <v>6446</v>
      </c>
      <c r="B4710" s="7" t="s">
        <v>564</v>
      </c>
      <c r="C4710" s="7" t="s">
        <v>37</v>
      </c>
      <c r="D4710" s="7" t="n">
        <v>25</v>
      </c>
      <c r="E4710" s="7" t="s">
        <v>48</v>
      </c>
      <c r="F4710" s="7" t="s">
        <v>57</v>
      </c>
      <c r="G4710" s="8" t="n">
        <v>46025</v>
      </c>
      <c r="H4710" s="8" t="n">
        <v>46077</v>
      </c>
      <c r="I4710" s="7" t="s">
        <v>40</v>
      </c>
      <c r="J4710" s="7" t="s">
        <v>63</v>
      </c>
      <c r="K4710" s="7" t="n">
        <v>52</v>
      </c>
      <c r="L4710" s="7" t="n">
        <v>7</v>
      </c>
      <c r="M4710" s="7" t="n">
        <v>2</v>
      </c>
      <c r="N4710" s="7" t="s">
        <v>42</v>
      </c>
      <c r="O4710" s="7" t="s">
        <v>43</v>
      </c>
      <c r="P4710" s="7" t="n">
        <v>9.6</v>
      </c>
      <c r="Q4710" s="7" t="n">
        <v>18</v>
      </c>
      <c r="R4710" s="7" t="s">
        <v>53</v>
      </c>
      <c r="S4710" s="7"/>
      <c r="T4710" s="7"/>
      <c r="U4710" s="7" t="str">
        <f aca="false">IF(COUNTIF($A$2:$A$5001,A4710)&gt;1,"Duplicate","Unique")</f>
        <v>Unique</v>
      </c>
      <c r="V4710" s="7" t="str">
        <f aca="false">IF(COUNTIFS($B$2:$B$5001,B4710,$H$2:$H$5001,H4710,$J$2:$J$5001,J4710)&gt;1,"Possible Duplicate Booking","Unique")</f>
        <v>Unique</v>
      </c>
      <c r="W4710" s="7" t="str">
        <f aca="false">IF((H4710-G4710)&lt;&gt;K4710,"Mismatch","OK")</f>
        <v>OK</v>
      </c>
      <c r="X4710" s="7" t="str">
        <f aca="false">IF(TEXT(H4710,"dddd")&lt;&gt;I4710,"Mismatch","OK")</f>
        <v>OK</v>
      </c>
      <c r="Y4710" s="7" t="str">
        <f aca="false">IF(AND(N4710="No",O4710&lt;&gt;""),"Unexpected: channel present but no reminder sent",IF(AND(N4710="Yes",O4710=""),"Missing channel for sent reminder","OK"))</f>
        <v>OK</v>
      </c>
    </row>
    <row r="4711" customFormat="false" ht="15" hidden="false" customHeight="false" outlineLevel="0" collapsed="false">
      <c r="A4711" s="9" t="s">
        <v>6447</v>
      </c>
      <c r="B4711" s="9" t="s">
        <v>720</v>
      </c>
      <c r="C4711" s="9" t="s">
        <v>47</v>
      </c>
      <c r="D4711" s="9" t="n">
        <v>48</v>
      </c>
      <c r="E4711" s="9" t="s">
        <v>56</v>
      </c>
      <c r="F4711" s="9" t="s">
        <v>57</v>
      </c>
      <c r="G4711" s="10" t="n">
        <v>45885</v>
      </c>
      <c r="H4711" s="10" t="n">
        <v>45890</v>
      </c>
      <c r="I4711" s="9" t="s">
        <v>62</v>
      </c>
      <c r="J4711" s="9" t="s">
        <v>41</v>
      </c>
      <c r="K4711" s="9" t="n">
        <v>5</v>
      </c>
      <c r="L4711" s="9" t="n">
        <v>0</v>
      </c>
      <c r="M4711" s="9" t="n">
        <v>0</v>
      </c>
      <c r="N4711" s="9" t="s">
        <v>71</v>
      </c>
      <c r="O4711" s="9"/>
      <c r="P4711" s="9" t="n">
        <v>14.6</v>
      </c>
      <c r="Q4711" s="9" t="n">
        <v>2</v>
      </c>
      <c r="R4711" s="9" t="s">
        <v>53</v>
      </c>
      <c r="S4711" s="9"/>
      <c r="T4711" s="9"/>
      <c r="U4711" s="9" t="str">
        <f aca="false">IF(COUNTIF($A$2:$A$5001,A4711)&gt;1,"Duplicate","Unique")</f>
        <v>Unique</v>
      </c>
      <c r="V4711" s="9" t="str">
        <f aca="false">IF(COUNTIFS($B$2:$B$5001,B4711,$H$2:$H$5001,H4711,$J$2:$J$5001,J4711)&gt;1,"Possible Duplicate Booking","Unique")</f>
        <v>Unique</v>
      </c>
      <c r="W4711" s="9" t="str">
        <f aca="false">IF((H4711-G4711)&lt;&gt;K4711,"Mismatch","OK")</f>
        <v>OK</v>
      </c>
      <c r="X4711" s="9" t="str">
        <f aca="false">IF(TEXT(H4711,"dddd")&lt;&gt;I4711,"Mismatch","OK")</f>
        <v>OK</v>
      </c>
      <c r="Y4711" s="9" t="str">
        <f aca="false">IF(AND(N4711="No",O4711&lt;&gt;""),"Unexpected: channel present but no reminder sent",IF(AND(N4711="Yes",O4711=""),"Missing channel for sent reminder","OK"))</f>
        <v>OK</v>
      </c>
    </row>
    <row r="4712" customFormat="false" ht="15" hidden="false" customHeight="false" outlineLevel="0" collapsed="false">
      <c r="A4712" s="7" t="s">
        <v>6448</v>
      </c>
      <c r="B4712" s="7" t="s">
        <v>1318</v>
      </c>
      <c r="C4712" s="7" t="s">
        <v>37</v>
      </c>
      <c r="D4712" s="7" t="n">
        <v>74</v>
      </c>
      <c r="E4712" s="7" t="s">
        <v>70</v>
      </c>
      <c r="F4712" s="7" t="s">
        <v>49</v>
      </c>
      <c r="G4712" s="8" t="n">
        <v>45806</v>
      </c>
      <c r="H4712" s="8" t="n">
        <v>45813</v>
      </c>
      <c r="I4712" s="7" t="s">
        <v>62</v>
      </c>
      <c r="J4712" s="7" t="s">
        <v>41</v>
      </c>
      <c r="K4712" s="7" t="n">
        <v>7</v>
      </c>
      <c r="L4712" s="7" t="n">
        <v>1</v>
      </c>
      <c r="M4712" s="7" t="n">
        <v>0</v>
      </c>
      <c r="N4712" s="7" t="s">
        <v>42</v>
      </c>
      <c r="O4712" s="7" t="s">
        <v>52</v>
      </c>
      <c r="P4712" s="7" t="n">
        <v>7.5</v>
      </c>
      <c r="Q4712" s="7" t="n">
        <v>36</v>
      </c>
      <c r="R4712" s="7" t="s">
        <v>53</v>
      </c>
      <c r="S4712" s="7"/>
      <c r="T4712" s="7"/>
      <c r="U4712" s="7" t="str">
        <f aca="false">IF(COUNTIF($A$2:$A$5001,A4712)&gt;1,"Duplicate","Unique")</f>
        <v>Unique</v>
      </c>
      <c r="V4712" s="7" t="str">
        <f aca="false">IF(COUNTIFS($B$2:$B$5001,B4712,$H$2:$H$5001,H4712,$J$2:$J$5001,J4712)&gt;1,"Possible Duplicate Booking","Unique")</f>
        <v>Unique</v>
      </c>
      <c r="W4712" s="7" t="str">
        <f aca="false">IF((H4712-G4712)&lt;&gt;K4712,"Mismatch","OK")</f>
        <v>OK</v>
      </c>
      <c r="X4712" s="7" t="str">
        <f aca="false">IF(TEXT(H4712,"dddd")&lt;&gt;I4712,"Mismatch","OK")</f>
        <v>OK</v>
      </c>
      <c r="Y4712" s="7" t="str">
        <f aca="false">IF(AND(N4712="No",O4712&lt;&gt;""),"Unexpected: channel present but no reminder sent",IF(AND(N4712="Yes",O4712=""),"Missing channel for sent reminder","OK"))</f>
        <v>OK</v>
      </c>
    </row>
    <row r="4713" customFormat="false" ht="15" hidden="false" customHeight="false" outlineLevel="0" collapsed="false">
      <c r="A4713" s="9" t="s">
        <v>6449</v>
      </c>
      <c r="B4713" s="9" t="s">
        <v>1422</v>
      </c>
      <c r="C4713" s="9" t="s">
        <v>47</v>
      </c>
      <c r="D4713" s="9" t="n">
        <v>42</v>
      </c>
      <c r="E4713" s="9" t="s">
        <v>38</v>
      </c>
      <c r="F4713" s="9" t="s">
        <v>57</v>
      </c>
      <c r="G4713" s="10" t="n">
        <v>46035</v>
      </c>
      <c r="H4713" s="10" t="n">
        <v>46092</v>
      </c>
      <c r="I4713" s="9" t="s">
        <v>58</v>
      </c>
      <c r="J4713" s="9" t="s">
        <v>41</v>
      </c>
      <c r="K4713" s="9" t="n">
        <v>57</v>
      </c>
      <c r="L4713" s="9" t="n">
        <v>6</v>
      </c>
      <c r="M4713" s="9" t="n">
        <v>1</v>
      </c>
      <c r="N4713" s="9" t="s">
        <v>71</v>
      </c>
      <c r="O4713" s="9"/>
      <c r="P4713" s="9" t="n">
        <v>9.8</v>
      </c>
      <c r="Q4713" s="9" t="n">
        <v>20</v>
      </c>
      <c r="R4713" s="9" t="s">
        <v>44</v>
      </c>
      <c r="S4713" s="9"/>
      <c r="T4713" s="9"/>
      <c r="U4713" s="9" t="str">
        <f aca="false">IF(COUNTIF($A$2:$A$5001,A4713)&gt;1,"Duplicate","Unique")</f>
        <v>Unique</v>
      </c>
      <c r="V4713" s="9" t="str">
        <f aca="false">IF(COUNTIFS($B$2:$B$5001,B4713,$H$2:$H$5001,H4713,$J$2:$J$5001,J4713)&gt;1,"Possible Duplicate Booking","Unique")</f>
        <v>Unique</v>
      </c>
      <c r="W4713" s="9" t="str">
        <f aca="false">IF((H4713-G4713)&lt;&gt;K4713,"Mismatch","OK")</f>
        <v>OK</v>
      </c>
      <c r="X4713" s="9" t="str">
        <f aca="false">IF(TEXT(H4713,"dddd")&lt;&gt;I4713,"Mismatch","OK")</f>
        <v>OK</v>
      </c>
      <c r="Y4713" s="9" t="str">
        <f aca="false">IF(AND(N4713="No",O4713&lt;&gt;""),"Unexpected: channel present but no reminder sent",IF(AND(N4713="Yes",O4713=""),"Missing channel for sent reminder","OK"))</f>
        <v>OK</v>
      </c>
    </row>
    <row r="4714" customFormat="false" ht="15" hidden="false" customHeight="false" outlineLevel="0" collapsed="false">
      <c r="A4714" s="7" t="s">
        <v>6450</v>
      </c>
      <c r="B4714" s="7" t="s">
        <v>634</v>
      </c>
      <c r="C4714" s="7" t="s">
        <v>37</v>
      </c>
      <c r="D4714" s="7" t="n">
        <v>70</v>
      </c>
      <c r="E4714" s="7" t="s">
        <v>70</v>
      </c>
      <c r="F4714" s="7" t="s">
        <v>39</v>
      </c>
      <c r="G4714" s="8" t="n">
        <v>46111</v>
      </c>
      <c r="H4714" s="8" t="n">
        <v>46142</v>
      </c>
      <c r="I4714" s="7" t="s">
        <v>62</v>
      </c>
      <c r="J4714" s="7" t="s">
        <v>41</v>
      </c>
      <c r="K4714" s="7" t="n">
        <v>31</v>
      </c>
      <c r="L4714" s="7" t="n">
        <v>3</v>
      </c>
      <c r="M4714" s="7" t="n">
        <v>0</v>
      </c>
      <c r="N4714" s="7" t="s">
        <v>42</v>
      </c>
      <c r="O4714" s="7" t="s">
        <v>52</v>
      </c>
      <c r="P4714" s="7" t="n">
        <v>3</v>
      </c>
      <c r="Q4714" s="7" t="n">
        <v>33</v>
      </c>
      <c r="R4714" s="7" t="s">
        <v>44</v>
      </c>
      <c r="S4714" s="7"/>
      <c r="T4714" s="7"/>
      <c r="U4714" s="7" t="str">
        <f aca="false">IF(COUNTIF($A$2:$A$5001,A4714)&gt;1,"Duplicate","Unique")</f>
        <v>Unique</v>
      </c>
      <c r="V4714" s="7" t="str">
        <f aca="false">IF(COUNTIFS($B$2:$B$5001,B4714,$H$2:$H$5001,H4714,$J$2:$J$5001,J4714)&gt;1,"Possible Duplicate Booking","Unique")</f>
        <v>Unique</v>
      </c>
      <c r="W4714" s="7" t="str">
        <f aca="false">IF((H4714-G4714)&lt;&gt;K4714,"Mismatch","OK")</f>
        <v>OK</v>
      </c>
      <c r="X4714" s="7" t="str">
        <f aca="false">IF(TEXT(H4714,"dddd")&lt;&gt;I4714,"Mismatch","OK")</f>
        <v>OK</v>
      </c>
      <c r="Y4714" s="7" t="str">
        <f aca="false">IF(AND(N4714="No",O4714&lt;&gt;""),"Unexpected: channel present but no reminder sent",IF(AND(N4714="Yes",O4714=""),"Missing channel for sent reminder","OK"))</f>
        <v>OK</v>
      </c>
    </row>
    <row r="4715" customFormat="false" ht="15" hidden="false" customHeight="false" outlineLevel="0" collapsed="false">
      <c r="A4715" s="9" t="s">
        <v>6451</v>
      </c>
      <c r="B4715" s="9" t="s">
        <v>512</v>
      </c>
      <c r="C4715" s="9" t="s">
        <v>47</v>
      </c>
      <c r="D4715" s="9" t="n">
        <v>62</v>
      </c>
      <c r="E4715" s="9" t="s">
        <v>61</v>
      </c>
      <c r="F4715" s="9" t="s">
        <v>49</v>
      </c>
      <c r="G4715" s="10" t="n">
        <v>45896</v>
      </c>
      <c r="H4715" s="10" t="n">
        <v>45924</v>
      </c>
      <c r="I4715" s="9" t="s">
        <v>58</v>
      </c>
      <c r="J4715" s="9" t="s">
        <v>63</v>
      </c>
      <c r="K4715" s="9" t="n">
        <v>28</v>
      </c>
      <c r="L4715" s="9" t="n">
        <v>4</v>
      </c>
      <c r="M4715" s="9" t="n">
        <v>1</v>
      </c>
      <c r="N4715" s="9" t="s">
        <v>42</v>
      </c>
      <c r="O4715" s="9" t="s">
        <v>43</v>
      </c>
      <c r="P4715" s="9" t="n">
        <v>7.2</v>
      </c>
      <c r="Q4715" s="9" t="n">
        <v>22</v>
      </c>
      <c r="R4715" s="9" t="s">
        <v>44</v>
      </c>
      <c r="S4715" s="9"/>
      <c r="T4715" s="9"/>
      <c r="U4715" s="9" t="str">
        <f aca="false">IF(COUNTIF($A$2:$A$5001,A4715)&gt;1,"Duplicate","Unique")</f>
        <v>Unique</v>
      </c>
      <c r="V4715" s="9" t="str">
        <f aca="false">IF(COUNTIFS($B$2:$B$5001,B4715,$H$2:$H$5001,H4715,$J$2:$J$5001,J4715)&gt;1,"Possible Duplicate Booking","Unique")</f>
        <v>Unique</v>
      </c>
      <c r="W4715" s="9" t="str">
        <f aca="false">IF((H4715-G4715)&lt;&gt;K4715,"Mismatch","OK")</f>
        <v>OK</v>
      </c>
      <c r="X4715" s="9" t="str">
        <f aca="false">IF(TEXT(H4715,"dddd")&lt;&gt;I4715,"Mismatch","OK")</f>
        <v>OK</v>
      </c>
      <c r="Y4715" s="9" t="str">
        <f aca="false">IF(AND(N4715="No",O4715&lt;&gt;""),"Unexpected: channel present but no reminder sent",IF(AND(N4715="Yes",O4715=""),"Missing channel for sent reminder","OK"))</f>
        <v>OK</v>
      </c>
    </row>
    <row r="4716" customFormat="false" ht="15" hidden="false" customHeight="false" outlineLevel="0" collapsed="false">
      <c r="A4716" s="7" t="s">
        <v>6452</v>
      </c>
      <c r="B4716" s="7" t="s">
        <v>1223</v>
      </c>
      <c r="C4716" s="7" t="s">
        <v>37</v>
      </c>
      <c r="D4716" s="7" t="n">
        <v>34</v>
      </c>
      <c r="E4716" s="7" t="s">
        <v>48</v>
      </c>
      <c r="F4716" s="7" t="s">
        <v>39</v>
      </c>
      <c r="G4716" s="8" t="n">
        <v>45632</v>
      </c>
      <c r="H4716" s="8" t="n">
        <v>45673</v>
      </c>
      <c r="I4716" s="7" t="s">
        <v>62</v>
      </c>
      <c r="J4716" s="7" t="s">
        <v>51</v>
      </c>
      <c r="K4716" s="7" t="n">
        <v>41</v>
      </c>
      <c r="L4716" s="7" t="n">
        <v>3</v>
      </c>
      <c r="M4716" s="7" t="n">
        <v>1</v>
      </c>
      <c r="N4716" s="7" t="s">
        <v>42</v>
      </c>
      <c r="O4716" s="7" t="s">
        <v>43</v>
      </c>
      <c r="P4716" s="7" t="n">
        <v>5.1</v>
      </c>
      <c r="Q4716" s="7" t="n">
        <v>39</v>
      </c>
      <c r="R4716" s="7" t="s">
        <v>87</v>
      </c>
      <c r="S4716" s="7"/>
      <c r="T4716" s="7"/>
      <c r="U4716" s="7" t="str">
        <f aca="false">IF(COUNTIF($A$2:$A$5001,A4716)&gt;1,"Duplicate","Unique")</f>
        <v>Unique</v>
      </c>
      <c r="V4716" s="7" t="str">
        <f aca="false">IF(COUNTIFS($B$2:$B$5001,B4716,$H$2:$H$5001,H4716,$J$2:$J$5001,J4716)&gt;1,"Possible Duplicate Booking","Unique")</f>
        <v>Unique</v>
      </c>
      <c r="W4716" s="7" t="str">
        <f aca="false">IF((H4716-G4716)&lt;&gt;K4716,"Mismatch","OK")</f>
        <v>OK</v>
      </c>
      <c r="X4716" s="7" t="str">
        <f aca="false">IF(TEXT(H4716,"dddd")&lt;&gt;I4716,"Mismatch","OK")</f>
        <v>OK</v>
      </c>
      <c r="Y4716" s="7" t="str">
        <f aca="false">IF(AND(N4716="No",O4716&lt;&gt;""),"Unexpected: channel present but no reminder sent",IF(AND(N4716="Yes",O4716=""),"Missing channel for sent reminder","OK"))</f>
        <v>OK</v>
      </c>
    </row>
    <row r="4717" customFormat="false" ht="15" hidden="false" customHeight="false" outlineLevel="0" collapsed="false">
      <c r="A4717" s="9" t="s">
        <v>6453</v>
      </c>
      <c r="B4717" s="9" t="s">
        <v>2182</v>
      </c>
      <c r="C4717" s="9" t="s">
        <v>47</v>
      </c>
      <c r="D4717" s="9" t="n">
        <v>26</v>
      </c>
      <c r="E4717" s="9" t="s">
        <v>48</v>
      </c>
      <c r="F4717" s="9" t="s">
        <v>57</v>
      </c>
      <c r="G4717" s="10" t="n">
        <v>45893</v>
      </c>
      <c r="H4717" s="10" t="n">
        <v>45931</v>
      </c>
      <c r="I4717" s="9" t="s">
        <v>58</v>
      </c>
      <c r="J4717" s="9" t="s">
        <v>41</v>
      </c>
      <c r="K4717" s="9" t="n">
        <v>38</v>
      </c>
      <c r="L4717" s="9" t="n">
        <v>2</v>
      </c>
      <c r="M4717" s="9" t="n">
        <v>0</v>
      </c>
      <c r="N4717" s="9" t="s">
        <v>42</v>
      </c>
      <c r="O4717" s="9" t="s">
        <v>43</v>
      </c>
      <c r="P4717" s="9" t="n">
        <v>2.5</v>
      </c>
      <c r="Q4717" s="9" t="n">
        <v>39</v>
      </c>
      <c r="R4717" s="9" t="s">
        <v>53</v>
      </c>
      <c r="S4717" s="9"/>
      <c r="T4717" s="9"/>
      <c r="U4717" s="9" t="str">
        <f aca="false">IF(COUNTIF($A$2:$A$5001,A4717)&gt;1,"Duplicate","Unique")</f>
        <v>Unique</v>
      </c>
      <c r="V4717" s="9" t="str">
        <f aca="false">IF(COUNTIFS($B$2:$B$5001,B4717,$H$2:$H$5001,H4717,$J$2:$J$5001,J4717)&gt;1,"Possible Duplicate Booking","Unique")</f>
        <v>Unique</v>
      </c>
      <c r="W4717" s="9" t="str">
        <f aca="false">IF((H4717-G4717)&lt;&gt;K4717,"Mismatch","OK")</f>
        <v>OK</v>
      </c>
      <c r="X4717" s="9" t="str">
        <f aca="false">IF(TEXT(H4717,"dddd")&lt;&gt;I4717,"Mismatch","OK")</f>
        <v>OK</v>
      </c>
      <c r="Y4717" s="9" t="str">
        <f aca="false">IF(AND(N4717="No",O4717&lt;&gt;""),"Unexpected: channel present but no reminder sent",IF(AND(N4717="Yes",O4717=""),"Missing channel for sent reminder","OK"))</f>
        <v>OK</v>
      </c>
    </row>
    <row r="4718" customFormat="false" ht="15" hidden="false" customHeight="false" outlineLevel="0" collapsed="false">
      <c r="A4718" s="7" t="s">
        <v>6454</v>
      </c>
      <c r="B4718" s="7" t="s">
        <v>3185</v>
      </c>
      <c r="C4718" s="7" t="s">
        <v>47</v>
      </c>
      <c r="D4718" s="7" t="n">
        <v>19</v>
      </c>
      <c r="E4718" s="7" t="s">
        <v>82</v>
      </c>
      <c r="F4718" s="7" t="s">
        <v>39</v>
      </c>
      <c r="G4718" s="8" t="n">
        <v>46106</v>
      </c>
      <c r="H4718" s="8" t="n">
        <v>46143</v>
      </c>
      <c r="I4718" s="7" t="s">
        <v>50</v>
      </c>
      <c r="J4718" s="7" t="s">
        <v>51</v>
      </c>
      <c r="K4718" s="7" t="n">
        <v>37</v>
      </c>
      <c r="L4718" s="7" t="n">
        <v>3</v>
      </c>
      <c r="M4718" s="7" t="n">
        <v>1</v>
      </c>
      <c r="N4718" s="7" t="s">
        <v>42</v>
      </c>
      <c r="O4718" s="7" t="s">
        <v>52</v>
      </c>
      <c r="P4718" s="7" t="n">
        <v>11</v>
      </c>
      <c r="Q4718" s="7" t="n">
        <v>13</v>
      </c>
      <c r="R4718" s="7" t="s">
        <v>44</v>
      </c>
      <c r="S4718" s="7"/>
      <c r="T4718" s="7"/>
      <c r="U4718" s="7" t="str">
        <f aca="false">IF(COUNTIF($A$2:$A$5001,A4718)&gt;1,"Duplicate","Unique")</f>
        <v>Unique</v>
      </c>
      <c r="V4718" s="7" t="str">
        <f aca="false">IF(COUNTIFS($B$2:$B$5001,B4718,$H$2:$H$5001,H4718,$J$2:$J$5001,J4718)&gt;1,"Possible Duplicate Booking","Unique")</f>
        <v>Unique</v>
      </c>
      <c r="W4718" s="7" t="str">
        <f aca="false">IF((H4718-G4718)&lt;&gt;K4718,"Mismatch","OK")</f>
        <v>OK</v>
      </c>
      <c r="X4718" s="7" t="str">
        <f aca="false">IF(TEXT(H4718,"dddd")&lt;&gt;I4718,"Mismatch","OK")</f>
        <v>OK</v>
      </c>
      <c r="Y4718" s="7" t="str">
        <f aca="false">IF(AND(N4718="No",O4718&lt;&gt;""),"Unexpected: channel present but no reminder sent",IF(AND(N4718="Yes",O4718=""),"Missing channel for sent reminder","OK"))</f>
        <v>OK</v>
      </c>
    </row>
    <row r="4719" customFormat="false" ht="15" hidden="false" customHeight="false" outlineLevel="0" collapsed="false">
      <c r="A4719" s="9" t="s">
        <v>6455</v>
      </c>
      <c r="B4719" s="9" t="s">
        <v>2624</v>
      </c>
      <c r="C4719" s="9" t="s">
        <v>37</v>
      </c>
      <c r="D4719" s="9" t="n">
        <v>35</v>
      </c>
      <c r="E4719" s="9" t="s">
        <v>38</v>
      </c>
      <c r="F4719" s="9" t="s">
        <v>57</v>
      </c>
      <c r="G4719" s="10" t="n">
        <v>46197</v>
      </c>
      <c r="H4719" s="10" t="n">
        <v>46198</v>
      </c>
      <c r="I4719" s="9" t="s">
        <v>62</v>
      </c>
      <c r="J4719" s="9" t="s">
        <v>41</v>
      </c>
      <c r="K4719" s="9" t="n">
        <v>1</v>
      </c>
      <c r="L4719" s="9" t="n">
        <v>2</v>
      </c>
      <c r="M4719" s="9" t="n">
        <v>0</v>
      </c>
      <c r="N4719" s="9" t="s">
        <v>42</v>
      </c>
      <c r="O4719" s="9" t="s">
        <v>52</v>
      </c>
      <c r="P4719" s="9" t="n">
        <v>8</v>
      </c>
      <c r="Q4719" s="9" t="n">
        <v>19</v>
      </c>
      <c r="R4719" s="9" t="s">
        <v>53</v>
      </c>
      <c r="S4719" s="9"/>
      <c r="T4719" s="9"/>
      <c r="U4719" s="9" t="str">
        <f aca="false">IF(COUNTIF($A$2:$A$5001,A4719)&gt;1,"Duplicate","Unique")</f>
        <v>Unique</v>
      </c>
      <c r="V4719" s="9" t="str">
        <f aca="false">IF(COUNTIFS($B$2:$B$5001,B4719,$H$2:$H$5001,H4719,$J$2:$J$5001,J4719)&gt;1,"Possible Duplicate Booking","Unique")</f>
        <v>Unique</v>
      </c>
      <c r="W4719" s="9" t="str">
        <f aca="false">IF((H4719-G4719)&lt;&gt;K4719,"Mismatch","OK")</f>
        <v>OK</v>
      </c>
      <c r="X4719" s="9" t="str">
        <f aca="false">IF(TEXT(H4719,"dddd")&lt;&gt;I4719,"Mismatch","OK")</f>
        <v>OK</v>
      </c>
      <c r="Y4719" s="9" t="str">
        <f aca="false">IF(AND(N4719="No",O4719&lt;&gt;""),"Unexpected: channel present but no reminder sent",IF(AND(N4719="Yes",O4719=""),"Missing channel for sent reminder","OK"))</f>
        <v>OK</v>
      </c>
    </row>
    <row r="4720" customFormat="false" ht="15" hidden="false" customHeight="false" outlineLevel="0" collapsed="false">
      <c r="A4720" s="7" t="s">
        <v>6456</v>
      </c>
      <c r="B4720" s="7" t="s">
        <v>3681</v>
      </c>
      <c r="C4720" s="7" t="s">
        <v>37</v>
      </c>
      <c r="D4720" s="7" t="n">
        <v>38</v>
      </c>
      <c r="E4720" s="7" t="s">
        <v>38</v>
      </c>
      <c r="F4720" s="7" t="s">
        <v>74</v>
      </c>
      <c r="G4720" s="8" t="n">
        <v>45843</v>
      </c>
      <c r="H4720" s="8" t="n">
        <v>45876</v>
      </c>
      <c r="I4720" s="7" t="s">
        <v>62</v>
      </c>
      <c r="J4720" s="7" t="s">
        <v>51</v>
      </c>
      <c r="K4720" s="7" t="n">
        <v>33</v>
      </c>
      <c r="L4720" s="7" t="n">
        <v>2</v>
      </c>
      <c r="M4720" s="7" t="n">
        <v>0</v>
      </c>
      <c r="N4720" s="7" t="s">
        <v>42</v>
      </c>
      <c r="O4720" s="7" t="s">
        <v>52</v>
      </c>
      <c r="P4720" s="7" t="n">
        <v>6.7</v>
      </c>
      <c r="Q4720" s="7" t="n">
        <v>30</v>
      </c>
      <c r="R4720" s="7" t="s">
        <v>53</v>
      </c>
      <c r="S4720" s="7"/>
      <c r="T4720" s="7"/>
      <c r="U4720" s="7" t="str">
        <f aca="false">IF(COUNTIF($A$2:$A$5001,A4720)&gt;1,"Duplicate","Unique")</f>
        <v>Unique</v>
      </c>
      <c r="V4720" s="7" t="str">
        <f aca="false">IF(COUNTIFS($B$2:$B$5001,B4720,$H$2:$H$5001,H4720,$J$2:$J$5001,J4720)&gt;1,"Possible Duplicate Booking","Unique")</f>
        <v>Unique</v>
      </c>
      <c r="W4720" s="7" t="str">
        <f aca="false">IF((H4720-G4720)&lt;&gt;K4720,"Mismatch","OK")</f>
        <v>OK</v>
      </c>
      <c r="X4720" s="7" t="str">
        <f aca="false">IF(TEXT(H4720,"dddd")&lt;&gt;I4720,"Mismatch","OK")</f>
        <v>OK</v>
      </c>
      <c r="Y4720" s="7" t="str">
        <f aca="false">IF(AND(N4720="No",O4720&lt;&gt;""),"Unexpected: channel present but no reminder sent",IF(AND(N4720="Yes",O4720=""),"Missing channel for sent reminder","OK"))</f>
        <v>OK</v>
      </c>
    </row>
    <row r="4721" customFormat="false" ht="15" hidden="false" customHeight="false" outlineLevel="0" collapsed="false">
      <c r="A4721" s="9" t="s">
        <v>6457</v>
      </c>
      <c r="B4721" s="9" t="s">
        <v>1794</v>
      </c>
      <c r="C4721" s="9" t="s">
        <v>37</v>
      </c>
      <c r="D4721" s="9" t="n">
        <v>59</v>
      </c>
      <c r="E4721" s="9" t="s">
        <v>61</v>
      </c>
      <c r="F4721" s="9" t="s">
        <v>39</v>
      </c>
      <c r="G4721" s="10" t="n">
        <v>45722</v>
      </c>
      <c r="H4721" s="10" t="n">
        <v>45739</v>
      </c>
      <c r="I4721" s="9" t="s">
        <v>75</v>
      </c>
      <c r="J4721" s="9" t="s">
        <v>51</v>
      </c>
      <c r="K4721" s="9" t="n">
        <v>17</v>
      </c>
      <c r="L4721" s="9" t="n">
        <v>3</v>
      </c>
      <c r="M4721" s="9" t="n">
        <v>1</v>
      </c>
      <c r="N4721" s="9" t="s">
        <v>42</v>
      </c>
      <c r="O4721" s="9" t="s">
        <v>52</v>
      </c>
      <c r="P4721" s="9" t="n">
        <v>6.9</v>
      </c>
      <c r="Q4721" s="9" t="n">
        <v>39</v>
      </c>
      <c r="R4721" s="9" t="s">
        <v>53</v>
      </c>
      <c r="S4721" s="9"/>
      <c r="T4721" s="9"/>
      <c r="U4721" s="9" t="str">
        <f aca="false">IF(COUNTIF($A$2:$A$5001,A4721)&gt;1,"Duplicate","Unique")</f>
        <v>Unique</v>
      </c>
      <c r="V4721" s="9" t="str">
        <f aca="false">IF(COUNTIFS($B$2:$B$5001,B4721,$H$2:$H$5001,H4721,$J$2:$J$5001,J4721)&gt;1,"Possible Duplicate Booking","Unique")</f>
        <v>Unique</v>
      </c>
      <c r="W4721" s="9" t="str">
        <f aca="false">IF((H4721-G4721)&lt;&gt;K4721,"Mismatch","OK")</f>
        <v>OK</v>
      </c>
      <c r="X4721" s="9" t="str">
        <f aca="false">IF(TEXT(H4721,"dddd")&lt;&gt;I4721,"Mismatch","OK")</f>
        <v>OK</v>
      </c>
      <c r="Y4721" s="9" t="str">
        <f aca="false">IF(AND(N4721="No",O4721&lt;&gt;""),"Unexpected: channel present but no reminder sent",IF(AND(N4721="Yes",O4721=""),"Missing channel for sent reminder","OK"))</f>
        <v>OK</v>
      </c>
    </row>
    <row r="4722" customFormat="false" ht="15" hidden="false" customHeight="false" outlineLevel="0" collapsed="false">
      <c r="A4722" s="7" t="s">
        <v>6458</v>
      </c>
      <c r="B4722" s="7" t="s">
        <v>4259</v>
      </c>
      <c r="C4722" s="7" t="s">
        <v>37</v>
      </c>
      <c r="D4722" s="7" t="n">
        <v>54</v>
      </c>
      <c r="E4722" s="7" t="s">
        <v>56</v>
      </c>
      <c r="F4722" s="7" t="s">
        <v>49</v>
      </c>
      <c r="G4722" s="8" t="n">
        <v>45921</v>
      </c>
      <c r="H4722" s="8" t="n">
        <v>45970</v>
      </c>
      <c r="I4722" s="7" t="s">
        <v>75</v>
      </c>
      <c r="J4722" s="7" t="s">
        <v>41</v>
      </c>
      <c r="K4722" s="7" t="n">
        <v>49</v>
      </c>
      <c r="L4722" s="7" t="n">
        <v>3</v>
      </c>
      <c r="M4722" s="7" t="n">
        <v>0</v>
      </c>
      <c r="N4722" s="7" t="s">
        <v>42</v>
      </c>
      <c r="O4722" s="7" t="s">
        <v>43</v>
      </c>
      <c r="P4722" s="7" t="n">
        <v>3.3</v>
      </c>
      <c r="Q4722" s="7" t="n">
        <v>25</v>
      </c>
      <c r="R4722" s="7" t="s">
        <v>53</v>
      </c>
      <c r="S4722" s="7"/>
      <c r="T4722" s="7"/>
      <c r="U4722" s="7" t="str">
        <f aca="false">IF(COUNTIF($A$2:$A$5001,A4722)&gt;1,"Duplicate","Unique")</f>
        <v>Unique</v>
      </c>
      <c r="V4722" s="7" t="str">
        <f aca="false">IF(COUNTIFS($B$2:$B$5001,B4722,$H$2:$H$5001,H4722,$J$2:$J$5001,J4722)&gt;1,"Possible Duplicate Booking","Unique")</f>
        <v>Unique</v>
      </c>
      <c r="W4722" s="7" t="str">
        <f aca="false">IF((H4722-G4722)&lt;&gt;K4722,"Mismatch","OK")</f>
        <v>OK</v>
      </c>
      <c r="X4722" s="7" t="str">
        <f aca="false">IF(TEXT(H4722,"dddd")&lt;&gt;I4722,"Mismatch","OK")</f>
        <v>OK</v>
      </c>
      <c r="Y4722" s="7" t="str">
        <f aca="false">IF(AND(N4722="No",O4722&lt;&gt;""),"Unexpected: channel present but no reminder sent",IF(AND(N4722="Yes",O4722=""),"Missing channel for sent reminder","OK"))</f>
        <v>OK</v>
      </c>
    </row>
    <row r="4723" customFormat="false" ht="15" hidden="false" customHeight="false" outlineLevel="0" collapsed="false">
      <c r="A4723" s="9" t="s">
        <v>6459</v>
      </c>
      <c r="B4723" s="9" t="s">
        <v>681</v>
      </c>
      <c r="C4723" s="9" t="s">
        <v>47</v>
      </c>
      <c r="D4723" s="9" t="n">
        <v>48</v>
      </c>
      <c r="E4723" s="9" t="s">
        <v>56</v>
      </c>
      <c r="F4723" s="9" t="s">
        <v>39</v>
      </c>
      <c r="G4723" s="10" t="n">
        <v>46081</v>
      </c>
      <c r="H4723" s="10" t="n">
        <v>46111</v>
      </c>
      <c r="I4723" s="9" t="s">
        <v>66</v>
      </c>
      <c r="J4723" s="9" t="s">
        <v>51</v>
      </c>
      <c r="K4723" s="9" t="n">
        <v>30</v>
      </c>
      <c r="L4723" s="9" t="n">
        <v>7</v>
      </c>
      <c r="M4723" s="9" t="n">
        <v>4</v>
      </c>
      <c r="N4723" s="9" t="s">
        <v>42</v>
      </c>
      <c r="O4723" s="9" t="s">
        <v>52</v>
      </c>
      <c r="P4723" s="9" t="n">
        <v>12.9</v>
      </c>
      <c r="Q4723" s="9" t="n">
        <v>26</v>
      </c>
      <c r="R4723" s="9" t="s">
        <v>53</v>
      </c>
      <c r="S4723" s="9"/>
      <c r="T4723" s="9"/>
      <c r="U4723" s="9" t="str">
        <f aca="false">IF(COUNTIF($A$2:$A$5001,A4723)&gt;1,"Duplicate","Unique")</f>
        <v>Unique</v>
      </c>
      <c r="V4723" s="9" t="str">
        <f aca="false">IF(COUNTIFS($B$2:$B$5001,B4723,$H$2:$H$5001,H4723,$J$2:$J$5001,J4723)&gt;1,"Possible Duplicate Booking","Unique")</f>
        <v>Unique</v>
      </c>
      <c r="W4723" s="9" t="str">
        <f aca="false">IF((H4723-G4723)&lt;&gt;K4723,"Mismatch","OK")</f>
        <v>OK</v>
      </c>
      <c r="X4723" s="9" t="str">
        <f aca="false">IF(TEXT(H4723,"dddd")&lt;&gt;I4723,"Mismatch","OK")</f>
        <v>OK</v>
      </c>
      <c r="Y4723" s="9" t="str">
        <f aca="false">IF(AND(N4723="No",O4723&lt;&gt;""),"Unexpected: channel present but no reminder sent",IF(AND(N4723="Yes",O4723=""),"Missing channel for sent reminder","OK"))</f>
        <v>OK</v>
      </c>
    </row>
    <row r="4724" customFormat="false" ht="15" hidden="false" customHeight="false" outlineLevel="0" collapsed="false">
      <c r="A4724" s="7" t="s">
        <v>6460</v>
      </c>
      <c r="B4724" s="7" t="s">
        <v>3720</v>
      </c>
      <c r="C4724" s="7" t="s">
        <v>37</v>
      </c>
      <c r="D4724" s="7" t="n">
        <v>63</v>
      </c>
      <c r="E4724" s="7" t="s">
        <v>61</v>
      </c>
      <c r="F4724" s="7" t="s">
        <v>49</v>
      </c>
      <c r="G4724" s="8" t="n">
        <v>46166</v>
      </c>
      <c r="H4724" s="8" t="n">
        <v>46173</v>
      </c>
      <c r="I4724" s="7" t="s">
        <v>75</v>
      </c>
      <c r="J4724" s="7" t="s">
        <v>51</v>
      </c>
      <c r="K4724" s="7" t="n">
        <v>7</v>
      </c>
      <c r="L4724" s="7" t="n">
        <v>7</v>
      </c>
      <c r="M4724" s="7" t="n">
        <v>1</v>
      </c>
      <c r="N4724" s="7" t="s">
        <v>42</v>
      </c>
      <c r="O4724" s="7" t="s">
        <v>52</v>
      </c>
      <c r="P4724" s="7" t="n">
        <v>12.8</v>
      </c>
      <c r="Q4724" s="7" t="n">
        <v>28</v>
      </c>
      <c r="R4724" s="7" t="s">
        <v>44</v>
      </c>
      <c r="S4724" s="7"/>
      <c r="T4724" s="7"/>
      <c r="U4724" s="7" t="str">
        <f aca="false">IF(COUNTIF($A$2:$A$5001,A4724)&gt;1,"Duplicate","Unique")</f>
        <v>Unique</v>
      </c>
      <c r="V4724" s="7" t="str">
        <f aca="false">IF(COUNTIFS($B$2:$B$5001,B4724,$H$2:$H$5001,H4724,$J$2:$J$5001,J4724)&gt;1,"Possible Duplicate Booking","Unique")</f>
        <v>Unique</v>
      </c>
      <c r="W4724" s="7" t="str">
        <f aca="false">IF((H4724-G4724)&lt;&gt;K4724,"Mismatch","OK")</f>
        <v>OK</v>
      </c>
      <c r="X4724" s="7" t="str">
        <f aca="false">IF(TEXT(H4724,"dddd")&lt;&gt;I4724,"Mismatch","OK")</f>
        <v>OK</v>
      </c>
      <c r="Y4724" s="7" t="str">
        <f aca="false">IF(AND(N4724="No",O4724&lt;&gt;""),"Unexpected: channel present but no reminder sent",IF(AND(N4724="Yes",O4724=""),"Missing channel for sent reminder","OK"))</f>
        <v>OK</v>
      </c>
    </row>
    <row r="4725" customFormat="false" ht="15" hidden="false" customHeight="false" outlineLevel="0" collapsed="false">
      <c r="A4725" s="9" t="s">
        <v>6461</v>
      </c>
      <c r="B4725" s="9" t="s">
        <v>1972</v>
      </c>
      <c r="C4725" s="9" t="s">
        <v>37</v>
      </c>
      <c r="D4725" s="9" t="n">
        <v>66</v>
      </c>
      <c r="E4725" s="9" t="s">
        <v>70</v>
      </c>
      <c r="F4725" s="9" t="s">
        <v>49</v>
      </c>
      <c r="G4725" s="10" t="n">
        <v>45632</v>
      </c>
      <c r="H4725" s="10" t="n">
        <v>45686</v>
      </c>
      <c r="I4725" s="9" t="s">
        <v>58</v>
      </c>
      <c r="J4725" s="9" t="s">
        <v>51</v>
      </c>
      <c r="K4725" s="9" t="n">
        <v>54</v>
      </c>
      <c r="L4725" s="9" t="n">
        <v>4</v>
      </c>
      <c r="M4725" s="9" t="n">
        <v>0</v>
      </c>
      <c r="N4725" s="9" t="s">
        <v>42</v>
      </c>
      <c r="O4725" s="9" t="s">
        <v>52</v>
      </c>
      <c r="P4725" s="9" t="n">
        <v>5.4</v>
      </c>
      <c r="Q4725" s="9" t="n">
        <v>14</v>
      </c>
      <c r="R4725" s="9" t="s">
        <v>87</v>
      </c>
      <c r="S4725" s="9"/>
      <c r="T4725" s="9"/>
      <c r="U4725" s="9" t="str">
        <f aca="false">IF(COUNTIF($A$2:$A$5001,A4725)&gt;1,"Duplicate","Unique")</f>
        <v>Unique</v>
      </c>
      <c r="V4725" s="9" t="str">
        <f aca="false">IF(COUNTIFS($B$2:$B$5001,B4725,$H$2:$H$5001,H4725,$J$2:$J$5001,J4725)&gt;1,"Possible Duplicate Booking","Unique")</f>
        <v>Unique</v>
      </c>
      <c r="W4725" s="9" t="str">
        <f aca="false">IF((H4725-G4725)&lt;&gt;K4725,"Mismatch","OK")</f>
        <v>OK</v>
      </c>
      <c r="X4725" s="9" t="str">
        <f aca="false">IF(TEXT(H4725,"dddd")&lt;&gt;I4725,"Mismatch","OK")</f>
        <v>OK</v>
      </c>
      <c r="Y4725" s="9" t="str">
        <f aca="false">IF(AND(N4725="No",O4725&lt;&gt;""),"Unexpected: channel present but no reminder sent",IF(AND(N4725="Yes",O4725=""),"Missing channel for sent reminder","OK"))</f>
        <v>OK</v>
      </c>
    </row>
    <row r="4726" customFormat="false" ht="15" hidden="false" customHeight="false" outlineLevel="0" collapsed="false">
      <c r="A4726" s="7" t="s">
        <v>6462</v>
      </c>
      <c r="B4726" s="7" t="s">
        <v>1676</v>
      </c>
      <c r="C4726" s="7" t="s">
        <v>37</v>
      </c>
      <c r="D4726" s="7" t="n">
        <v>62</v>
      </c>
      <c r="E4726" s="7" t="s">
        <v>61</v>
      </c>
      <c r="F4726" s="7" t="s">
        <v>57</v>
      </c>
      <c r="G4726" s="8" t="n">
        <v>45799</v>
      </c>
      <c r="H4726" s="8" t="n">
        <v>45816</v>
      </c>
      <c r="I4726" s="7" t="s">
        <v>75</v>
      </c>
      <c r="J4726" s="7" t="s">
        <v>41</v>
      </c>
      <c r="K4726" s="7" t="n">
        <v>17</v>
      </c>
      <c r="L4726" s="7" t="n">
        <v>7</v>
      </c>
      <c r="M4726" s="7" t="n">
        <v>1</v>
      </c>
      <c r="N4726" s="7" t="s">
        <v>42</v>
      </c>
      <c r="O4726" s="7" t="s">
        <v>43</v>
      </c>
      <c r="P4726" s="7" t="n">
        <v>3.8</v>
      </c>
      <c r="Q4726" s="7" t="n">
        <v>19</v>
      </c>
      <c r="R4726" s="7" t="s">
        <v>44</v>
      </c>
      <c r="S4726" s="7"/>
      <c r="T4726" s="7"/>
      <c r="U4726" s="7" t="str">
        <f aca="false">IF(COUNTIF($A$2:$A$5001,A4726)&gt;1,"Duplicate","Unique")</f>
        <v>Unique</v>
      </c>
      <c r="V4726" s="7" t="str">
        <f aca="false">IF(COUNTIFS($B$2:$B$5001,B4726,$H$2:$H$5001,H4726,$J$2:$J$5001,J4726)&gt;1,"Possible Duplicate Booking","Unique")</f>
        <v>Unique</v>
      </c>
      <c r="W4726" s="7" t="str">
        <f aca="false">IF((H4726-G4726)&lt;&gt;K4726,"Mismatch","OK")</f>
        <v>OK</v>
      </c>
      <c r="X4726" s="7" t="str">
        <f aca="false">IF(TEXT(H4726,"dddd")&lt;&gt;I4726,"Mismatch","OK")</f>
        <v>OK</v>
      </c>
      <c r="Y4726" s="7" t="str">
        <f aca="false">IF(AND(N4726="No",O4726&lt;&gt;""),"Unexpected: channel present but no reminder sent",IF(AND(N4726="Yes",O4726=""),"Missing channel for sent reminder","OK"))</f>
        <v>OK</v>
      </c>
    </row>
    <row r="4727" customFormat="false" ht="15" hidden="false" customHeight="false" outlineLevel="0" collapsed="false">
      <c r="A4727" s="9" t="s">
        <v>6463</v>
      </c>
      <c r="B4727" s="9" t="s">
        <v>1943</v>
      </c>
      <c r="C4727" s="9" t="s">
        <v>37</v>
      </c>
      <c r="D4727" s="9" t="n">
        <v>74</v>
      </c>
      <c r="E4727" s="9" t="s">
        <v>70</v>
      </c>
      <c r="F4727" s="9" t="s">
        <v>57</v>
      </c>
      <c r="G4727" s="10" t="n">
        <v>45902</v>
      </c>
      <c r="H4727" s="10" t="n">
        <v>45918</v>
      </c>
      <c r="I4727" s="9" t="s">
        <v>62</v>
      </c>
      <c r="J4727" s="9" t="s">
        <v>51</v>
      </c>
      <c r="K4727" s="9" t="n">
        <v>16</v>
      </c>
      <c r="L4727" s="9" t="n">
        <v>2</v>
      </c>
      <c r="M4727" s="9" t="n">
        <v>0</v>
      </c>
      <c r="N4727" s="9" t="s">
        <v>42</v>
      </c>
      <c r="O4727" s="9" t="s">
        <v>67</v>
      </c>
      <c r="P4727" s="9" t="n">
        <v>11.1</v>
      </c>
      <c r="Q4727" s="9" t="n">
        <v>22</v>
      </c>
      <c r="R4727" s="9" t="s">
        <v>53</v>
      </c>
      <c r="S4727" s="9"/>
      <c r="T4727" s="9"/>
      <c r="U4727" s="9" t="str">
        <f aca="false">IF(COUNTIF($A$2:$A$5001,A4727)&gt;1,"Duplicate","Unique")</f>
        <v>Unique</v>
      </c>
      <c r="V4727" s="9" t="str">
        <f aca="false">IF(COUNTIFS($B$2:$B$5001,B4727,$H$2:$H$5001,H4727,$J$2:$J$5001,J4727)&gt;1,"Possible Duplicate Booking","Unique")</f>
        <v>Unique</v>
      </c>
      <c r="W4727" s="9" t="str">
        <f aca="false">IF((H4727-G4727)&lt;&gt;K4727,"Mismatch","OK")</f>
        <v>OK</v>
      </c>
      <c r="X4727" s="9" t="str">
        <f aca="false">IF(TEXT(H4727,"dddd")&lt;&gt;I4727,"Mismatch","OK")</f>
        <v>OK</v>
      </c>
      <c r="Y4727" s="9" t="str">
        <f aca="false">IF(AND(N4727="No",O4727&lt;&gt;""),"Unexpected: channel present but no reminder sent",IF(AND(N4727="Yes",O4727=""),"Missing channel for sent reminder","OK"))</f>
        <v>OK</v>
      </c>
    </row>
    <row r="4728" customFormat="false" ht="15" hidden="false" customHeight="false" outlineLevel="0" collapsed="false">
      <c r="A4728" s="7" t="s">
        <v>6464</v>
      </c>
      <c r="B4728" s="7" t="s">
        <v>1203</v>
      </c>
      <c r="C4728" s="7" t="s">
        <v>37</v>
      </c>
      <c r="D4728" s="7" t="n">
        <v>40</v>
      </c>
      <c r="E4728" s="7" t="s">
        <v>38</v>
      </c>
      <c r="F4728" s="7" t="s">
        <v>57</v>
      </c>
      <c r="G4728" s="8" t="n">
        <v>45654</v>
      </c>
      <c r="H4728" s="8" t="n">
        <v>45711</v>
      </c>
      <c r="I4728" s="7" t="s">
        <v>75</v>
      </c>
      <c r="J4728" s="7" t="s">
        <v>51</v>
      </c>
      <c r="K4728" s="7" t="n">
        <v>57</v>
      </c>
      <c r="L4728" s="7" t="n">
        <v>7</v>
      </c>
      <c r="M4728" s="7" t="n">
        <v>3</v>
      </c>
      <c r="N4728" s="7" t="s">
        <v>71</v>
      </c>
      <c r="O4728" s="7"/>
      <c r="P4728" s="7" t="n">
        <v>21.2</v>
      </c>
      <c r="Q4728" s="7" t="n">
        <v>35</v>
      </c>
      <c r="R4728" s="7" t="s">
        <v>44</v>
      </c>
      <c r="S4728" s="7"/>
      <c r="T4728" s="7"/>
      <c r="U4728" s="7" t="str">
        <f aca="false">IF(COUNTIF($A$2:$A$5001,A4728)&gt;1,"Duplicate","Unique")</f>
        <v>Unique</v>
      </c>
      <c r="V4728" s="7" t="str">
        <f aca="false">IF(COUNTIFS($B$2:$B$5001,B4728,$H$2:$H$5001,H4728,$J$2:$J$5001,J4728)&gt;1,"Possible Duplicate Booking","Unique")</f>
        <v>Unique</v>
      </c>
      <c r="W4728" s="7" t="str">
        <f aca="false">IF((H4728-G4728)&lt;&gt;K4728,"Mismatch","OK")</f>
        <v>OK</v>
      </c>
      <c r="X4728" s="7" t="str">
        <f aca="false">IF(TEXT(H4728,"dddd")&lt;&gt;I4728,"Mismatch","OK")</f>
        <v>OK</v>
      </c>
      <c r="Y4728" s="7" t="str">
        <f aca="false">IF(AND(N4728="No",O4728&lt;&gt;""),"Unexpected: channel present but no reminder sent",IF(AND(N4728="Yes",O4728=""),"Missing channel for sent reminder","OK"))</f>
        <v>OK</v>
      </c>
    </row>
    <row r="4729" customFormat="false" ht="15" hidden="false" customHeight="false" outlineLevel="0" collapsed="false">
      <c r="A4729" s="9" t="s">
        <v>6465</v>
      </c>
      <c r="B4729" s="9" t="s">
        <v>695</v>
      </c>
      <c r="C4729" s="9" t="s">
        <v>47</v>
      </c>
      <c r="D4729" s="9" t="n">
        <v>69</v>
      </c>
      <c r="E4729" s="9" t="s">
        <v>70</v>
      </c>
      <c r="F4729" s="9" t="s">
        <v>39</v>
      </c>
      <c r="G4729" s="10" t="n">
        <v>46094</v>
      </c>
      <c r="H4729" s="10" t="n">
        <v>46141</v>
      </c>
      <c r="I4729" s="9" t="s">
        <v>58</v>
      </c>
      <c r="J4729" s="9" t="s">
        <v>41</v>
      </c>
      <c r="K4729" s="9" t="n">
        <v>47</v>
      </c>
      <c r="L4729" s="9" t="n">
        <v>6</v>
      </c>
      <c r="M4729" s="9" t="n">
        <v>2</v>
      </c>
      <c r="N4729" s="9" t="s">
        <v>42</v>
      </c>
      <c r="O4729" s="9" t="s">
        <v>67</v>
      </c>
      <c r="P4729" s="9" t="n">
        <v>9</v>
      </c>
      <c r="Q4729" s="9" t="n">
        <v>44</v>
      </c>
      <c r="R4729" s="9" t="s">
        <v>44</v>
      </c>
      <c r="S4729" s="9"/>
      <c r="T4729" s="9"/>
      <c r="U4729" s="9" t="str">
        <f aca="false">IF(COUNTIF($A$2:$A$5001,A4729)&gt;1,"Duplicate","Unique")</f>
        <v>Unique</v>
      </c>
      <c r="V4729" s="9" t="str">
        <f aca="false">IF(COUNTIFS($B$2:$B$5001,B4729,$H$2:$H$5001,H4729,$J$2:$J$5001,J4729)&gt;1,"Possible Duplicate Booking","Unique")</f>
        <v>Unique</v>
      </c>
      <c r="W4729" s="9" t="str">
        <f aca="false">IF((H4729-G4729)&lt;&gt;K4729,"Mismatch","OK")</f>
        <v>OK</v>
      </c>
      <c r="X4729" s="9" t="str">
        <f aca="false">IF(TEXT(H4729,"dddd")&lt;&gt;I4729,"Mismatch","OK")</f>
        <v>OK</v>
      </c>
      <c r="Y4729" s="9" t="str">
        <f aca="false">IF(AND(N4729="No",O4729&lt;&gt;""),"Unexpected: channel present but no reminder sent",IF(AND(N4729="Yes",O4729=""),"Missing channel for sent reminder","OK"))</f>
        <v>OK</v>
      </c>
    </row>
    <row r="4730" customFormat="false" ht="15" hidden="false" customHeight="false" outlineLevel="0" collapsed="false">
      <c r="A4730" s="7" t="s">
        <v>6466</v>
      </c>
      <c r="B4730" s="7" t="s">
        <v>6467</v>
      </c>
      <c r="C4730" s="7" t="s">
        <v>37</v>
      </c>
      <c r="D4730" s="7" t="n">
        <v>44</v>
      </c>
      <c r="E4730" s="7" t="s">
        <v>38</v>
      </c>
      <c r="F4730" s="7" t="s">
        <v>49</v>
      </c>
      <c r="G4730" s="8" t="n">
        <v>45667</v>
      </c>
      <c r="H4730" s="8" t="n">
        <v>45719</v>
      </c>
      <c r="I4730" s="7" t="s">
        <v>66</v>
      </c>
      <c r="J4730" s="7" t="s">
        <v>63</v>
      </c>
      <c r="K4730" s="7" t="n">
        <v>52</v>
      </c>
      <c r="L4730" s="7" t="n">
        <v>2</v>
      </c>
      <c r="M4730" s="7" t="n">
        <v>0</v>
      </c>
      <c r="N4730" s="7" t="s">
        <v>42</v>
      </c>
      <c r="O4730" s="7" t="s">
        <v>52</v>
      </c>
      <c r="P4730" s="7" t="n">
        <v>13.9</v>
      </c>
      <c r="Q4730" s="7" t="n">
        <v>14</v>
      </c>
      <c r="R4730" s="7" t="s">
        <v>53</v>
      </c>
      <c r="S4730" s="7"/>
      <c r="T4730" s="7"/>
      <c r="U4730" s="7" t="str">
        <f aca="false">IF(COUNTIF($A$2:$A$5001,A4730)&gt;1,"Duplicate","Unique")</f>
        <v>Unique</v>
      </c>
      <c r="V4730" s="7" t="str">
        <f aca="false">IF(COUNTIFS($B$2:$B$5001,B4730,$H$2:$H$5001,H4730,$J$2:$J$5001,J4730)&gt;1,"Possible Duplicate Booking","Unique")</f>
        <v>Unique</v>
      </c>
      <c r="W4730" s="7" t="str">
        <f aca="false">IF((H4730-G4730)&lt;&gt;K4730,"Mismatch","OK")</f>
        <v>OK</v>
      </c>
      <c r="X4730" s="7" t="str">
        <f aca="false">IF(TEXT(H4730,"dddd")&lt;&gt;I4730,"Mismatch","OK")</f>
        <v>OK</v>
      </c>
      <c r="Y4730" s="7" t="str">
        <f aca="false">IF(AND(N4730="No",O4730&lt;&gt;""),"Unexpected: channel present but no reminder sent",IF(AND(N4730="Yes",O4730=""),"Missing channel for sent reminder","OK"))</f>
        <v>OK</v>
      </c>
    </row>
    <row r="4731" customFormat="false" ht="15" hidden="false" customHeight="false" outlineLevel="0" collapsed="false">
      <c r="A4731" s="9" t="s">
        <v>6468</v>
      </c>
      <c r="B4731" s="9" t="s">
        <v>970</v>
      </c>
      <c r="C4731" s="9" t="s">
        <v>47</v>
      </c>
      <c r="D4731" s="9" t="n">
        <v>29</v>
      </c>
      <c r="E4731" s="9" t="s">
        <v>48</v>
      </c>
      <c r="F4731" s="9" t="s">
        <v>39</v>
      </c>
      <c r="G4731" s="10" t="n">
        <v>45981</v>
      </c>
      <c r="H4731" s="10" t="n">
        <v>46021</v>
      </c>
      <c r="I4731" s="9" t="s">
        <v>40</v>
      </c>
      <c r="J4731" s="9" t="s">
        <v>41</v>
      </c>
      <c r="K4731" s="9" t="n">
        <v>40</v>
      </c>
      <c r="L4731" s="9" t="n">
        <v>2</v>
      </c>
      <c r="M4731" s="9" t="n">
        <v>1</v>
      </c>
      <c r="N4731" s="9" t="s">
        <v>42</v>
      </c>
      <c r="O4731" s="9" t="s">
        <v>67</v>
      </c>
      <c r="P4731" s="9" t="n">
        <v>6.4</v>
      </c>
      <c r="Q4731" s="9" t="n">
        <v>32</v>
      </c>
      <c r="R4731" s="9" t="s">
        <v>44</v>
      </c>
      <c r="S4731" s="9"/>
      <c r="T4731" s="9"/>
      <c r="U4731" s="9" t="str">
        <f aca="false">IF(COUNTIF($A$2:$A$5001,A4731)&gt;1,"Duplicate","Unique")</f>
        <v>Unique</v>
      </c>
      <c r="V4731" s="9" t="str">
        <f aca="false">IF(COUNTIFS($B$2:$B$5001,B4731,$H$2:$H$5001,H4731,$J$2:$J$5001,J4731)&gt;1,"Possible Duplicate Booking","Unique")</f>
        <v>Unique</v>
      </c>
      <c r="W4731" s="9" t="str">
        <f aca="false">IF((H4731-G4731)&lt;&gt;K4731,"Mismatch","OK")</f>
        <v>OK</v>
      </c>
      <c r="X4731" s="9" t="str">
        <f aca="false">IF(TEXT(H4731,"dddd")&lt;&gt;I4731,"Mismatch","OK")</f>
        <v>OK</v>
      </c>
      <c r="Y4731" s="9" t="str">
        <f aca="false">IF(AND(N4731="No",O4731&lt;&gt;""),"Unexpected: channel present but no reminder sent",IF(AND(N4731="Yes",O4731=""),"Missing channel for sent reminder","OK"))</f>
        <v>OK</v>
      </c>
    </row>
    <row r="4732" customFormat="false" ht="15" hidden="false" customHeight="false" outlineLevel="0" collapsed="false">
      <c r="A4732" s="7" t="s">
        <v>6469</v>
      </c>
      <c r="B4732" s="7" t="s">
        <v>589</v>
      </c>
      <c r="C4732" s="7" t="s">
        <v>47</v>
      </c>
      <c r="D4732" s="7" t="n">
        <v>27</v>
      </c>
      <c r="E4732" s="7" t="s">
        <v>48</v>
      </c>
      <c r="F4732" s="7" t="s">
        <v>39</v>
      </c>
      <c r="G4732" s="8" t="n">
        <v>46104</v>
      </c>
      <c r="H4732" s="8" t="n">
        <v>46159</v>
      </c>
      <c r="I4732" s="7" t="s">
        <v>75</v>
      </c>
      <c r="J4732" s="7" t="s">
        <v>51</v>
      </c>
      <c r="K4732" s="7" t="n">
        <v>55</v>
      </c>
      <c r="L4732" s="7" t="n">
        <v>3</v>
      </c>
      <c r="M4732" s="7" t="n">
        <v>0</v>
      </c>
      <c r="N4732" s="7" t="s">
        <v>42</v>
      </c>
      <c r="O4732" s="7" t="s">
        <v>52</v>
      </c>
      <c r="P4732" s="7" t="n">
        <v>10.1</v>
      </c>
      <c r="Q4732" s="7" t="n">
        <v>26</v>
      </c>
      <c r="R4732" s="7" t="s">
        <v>53</v>
      </c>
      <c r="S4732" s="7"/>
      <c r="T4732" s="7"/>
      <c r="U4732" s="7" t="str">
        <f aca="false">IF(COUNTIF($A$2:$A$5001,A4732)&gt;1,"Duplicate","Unique")</f>
        <v>Unique</v>
      </c>
      <c r="V4732" s="7" t="str">
        <f aca="false">IF(COUNTIFS($B$2:$B$5001,B4732,$H$2:$H$5001,H4732,$J$2:$J$5001,J4732)&gt;1,"Possible Duplicate Booking","Unique")</f>
        <v>Unique</v>
      </c>
      <c r="W4732" s="7" t="str">
        <f aca="false">IF((H4732-G4732)&lt;&gt;K4732,"Mismatch","OK")</f>
        <v>OK</v>
      </c>
      <c r="X4732" s="7" t="str">
        <f aca="false">IF(TEXT(H4732,"dddd")&lt;&gt;I4732,"Mismatch","OK")</f>
        <v>OK</v>
      </c>
      <c r="Y4732" s="7" t="str">
        <f aca="false">IF(AND(N4732="No",O4732&lt;&gt;""),"Unexpected: channel present but no reminder sent",IF(AND(N4732="Yes",O4732=""),"Missing channel for sent reminder","OK"))</f>
        <v>OK</v>
      </c>
    </row>
    <row r="4733" customFormat="false" ht="15" hidden="false" customHeight="false" outlineLevel="0" collapsed="false">
      <c r="A4733" s="9" t="s">
        <v>6470</v>
      </c>
      <c r="B4733" s="9" t="s">
        <v>6471</v>
      </c>
      <c r="C4733" s="9" t="s">
        <v>37</v>
      </c>
      <c r="D4733" s="9" t="n">
        <v>23</v>
      </c>
      <c r="E4733" s="9" t="s">
        <v>82</v>
      </c>
      <c r="F4733" s="9" t="s">
        <v>74</v>
      </c>
      <c r="G4733" s="10" t="n">
        <v>46025</v>
      </c>
      <c r="H4733" s="10" t="n">
        <v>46032</v>
      </c>
      <c r="I4733" s="9" t="s">
        <v>102</v>
      </c>
      <c r="J4733" s="9" t="s">
        <v>63</v>
      </c>
      <c r="K4733" s="9" t="n">
        <v>7</v>
      </c>
      <c r="L4733" s="9" t="n">
        <v>1</v>
      </c>
      <c r="M4733" s="9" t="n">
        <v>0</v>
      </c>
      <c r="N4733" s="9" t="s">
        <v>42</v>
      </c>
      <c r="O4733" s="9" t="s">
        <v>52</v>
      </c>
      <c r="P4733" s="9" t="n">
        <v>1.5</v>
      </c>
      <c r="Q4733" s="9" t="n">
        <v>18</v>
      </c>
      <c r="R4733" s="9" t="s">
        <v>44</v>
      </c>
      <c r="S4733" s="9"/>
      <c r="T4733" s="9"/>
      <c r="U4733" s="9" t="str">
        <f aca="false">IF(COUNTIF($A$2:$A$5001,A4733)&gt;1,"Duplicate","Unique")</f>
        <v>Unique</v>
      </c>
      <c r="V4733" s="9" t="str">
        <f aca="false">IF(COUNTIFS($B$2:$B$5001,B4733,$H$2:$H$5001,H4733,$J$2:$J$5001,J4733)&gt;1,"Possible Duplicate Booking","Unique")</f>
        <v>Unique</v>
      </c>
      <c r="W4733" s="9" t="str">
        <f aca="false">IF((H4733-G4733)&lt;&gt;K4733,"Mismatch","OK")</f>
        <v>OK</v>
      </c>
      <c r="X4733" s="9" t="str">
        <f aca="false">IF(TEXT(H4733,"dddd")&lt;&gt;I4733,"Mismatch","OK")</f>
        <v>OK</v>
      </c>
      <c r="Y4733" s="9" t="str">
        <f aca="false">IF(AND(N4733="No",O4733&lt;&gt;""),"Unexpected: channel present but no reminder sent",IF(AND(N4733="Yes",O4733=""),"Missing channel for sent reminder","OK"))</f>
        <v>OK</v>
      </c>
    </row>
    <row r="4734" customFormat="false" ht="15" hidden="false" customHeight="false" outlineLevel="0" collapsed="false">
      <c r="A4734" s="7" t="s">
        <v>6472</v>
      </c>
      <c r="B4734" s="7" t="s">
        <v>556</v>
      </c>
      <c r="C4734" s="7" t="s">
        <v>47</v>
      </c>
      <c r="D4734" s="7" t="n">
        <v>78</v>
      </c>
      <c r="E4734" s="7" t="s">
        <v>70</v>
      </c>
      <c r="F4734" s="7" t="s">
        <v>57</v>
      </c>
      <c r="G4734" s="8" t="n">
        <v>46038</v>
      </c>
      <c r="H4734" s="8" t="n">
        <v>46074</v>
      </c>
      <c r="I4734" s="7" t="s">
        <v>102</v>
      </c>
      <c r="J4734" s="7" t="s">
        <v>41</v>
      </c>
      <c r="K4734" s="7" t="n">
        <v>36</v>
      </c>
      <c r="L4734" s="7" t="n">
        <v>2</v>
      </c>
      <c r="M4734" s="7" t="n">
        <v>1</v>
      </c>
      <c r="N4734" s="7" t="s">
        <v>42</v>
      </c>
      <c r="O4734" s="7" t="s">
        <v>52</v>
      </c>
      <c r="P4734" s="7" t="n">
        <v>6</v>
      </c>
      <c r="Q4734" s="7" t="n">
        <v>13</v>
      </c>
      <c r="R4734" s="7" t="s">
        <v>44</v>
      </c>
      <c r="S4734" s="7"/>
      <c r="T4734" s="7"/>
      <c r="U4734" s="7" t="str">
        <f aca="false">IF(COUNTIF($A$2:$A$5001,A4734)&gt;1,"Duplicate","Unique")</f>
        <v>Unique</v>
      </c>
      <c r="V4734" s="7" t="str">
        <f aca="false">IF(COUNTIFS($B$2:$B$5001,B4734,$H$2:$H$5001,H4734,$J$2:$J$5001,J4734)&gt;1,"Possible Duplicate Booking","Unique")</f>
        <v>Unique</v>
      </c>
      <c r="W4734" s="7" t="str">
        <f aca="false">IF((H4734-G4734)&lt;&gt;K4734,"Mismatch","OK")</f>
        <v>OK</v>
      </c>
      <c r="X4734" s="7" t="str">
        <f aca="false">IF(TEXT(H4734,"dddd")&lt;&gt;I4734,"Mismatch","OK")</f>
        <v>OK</v>
      </c>
      <c r="Y4734" s="7" t="str">
        <f aca="false">IF(AND(N4734="No",O4734&lt;&gt;""),"Unexpected: channel present but no reminder sent",IF(AND(N4734="Yes",O4734=""),"Missing channel for sent reminder","OK"))</f>
        <v>OK</v>
      </c>
    </row>
    <row r="4735" customFormat="false" ht="15" hidden="false" customHeight="false" outlineLevel="0" collapsed="false">
      <c r="A4735" s="9" t="s">
        <v>6473</v>
      </c>
      <c r="B4735" s="9" t="s">
        <v>950</v>
      </c>
      <c r="C4735" s="9" t="s">
        <v>47</v>
      </c>
      <c r="D4735" s="9" t="n">
        <v>28</v>
      </c>
      <c r="E4735" s="9" t="s">
        <v>48</v>
      </c>
      <c r="F4735" s="9" t="s">
        <v>57</v>
      </c>
      <c r="G4735" s="10" t="n">
        <v>45784</v>
      </c>
      <c r="H4735" s="10" t="n">
        <v>45801</v>
      </c>
      <c r="I4735" s="9" t="s">
        <v>102</v>
      </c>
      <c r="J4735" s="9" t="s">
        <v>41</v>
      </c>
      <c r="K4735" s="9" t="n">
        <v>17</v>
      </c>
      <c r="L4735" s="9" t="n">
        <v>4</v>
      </c>
      <c r="M4735" s="9" t="n">
        <v>1</v>
      </c>
      <c r="N4735" s="9" t="s">
        <v>42</v>
      </c>
      <c r="O4735" s="9" t="s">
        <v>52</v>
      </c>
      <c r="P4735" s="9" t="n">
        <v>3.7</v>
      </c>
      <c r="Q4735" s="9" t="n">
        <v>27</v>
      </c>
      <c r="R4735" s="9" t="s">
        <v>44</v>
      </c>
      <c r="S4735" s="9"/>
      <c r="T4735" s="9"/>
      <c r="U4735" s="9" t="str">
        <f aca="false">IF(COUNTIF($A$2:$A$5001,A4735)&gt;1,"Duplicate","Unique")</f>
        <v>Unique</v>
      </c>
      <c r="V4735" s="9" t="str">
        <f aca="false">IF(COUNTIFS($B$2:$B$5001,B4735,$H$2:$H$5001,H4735,$J$2:$J$5001,J4735)&gt;1,"Possible Duplicate Booking","Unique")</f>
        <v>Unique</v>
      </c>
      <c r="W4735" s="9" t="str">
        <f aca="false">IF((H4735-G4735)&lt;&gt;K4735,"Mismatch","OK")</f>
        <v>OK</v>
      </c>
      <c r="X4735" s="9" t="str">
        <f aca="false">IF(TEXT(H4735,"dddd")&lt;&gt;I4735,"Mismatch","OK")</f>
        <v>OK</v>
      </c>
      <c r="Y4735" s="9" t="str">
        <f aca="false">IF(AND(N4735="No",O4735&lt;&gt;""),"Unexpected: channel present but no reminder sent",IF(AND(N4735="Yes",O4735=""),"Missing channel for sent reminder","OK"))</f>
        <v>OK</v>
      </c>
    </row>
    <row r="4736" customFormat="false" ht="15" hidden="false" customHeight="false" outlineLevel="0" collapsed="false">
      <c r="A4736" s="7" t="s">
        <v>6474</v>
      </c>
      <c r="B4736" s="7" t="s">
        <v>2982</v>
      </c>
      <c r="C4736" s="7" t="s">
        <v>47</v>
      </c>
      <c r="D4736" s="7" t="n">
        <v>70</v>
      </c>
      <c r="E4736" s="7" t="s">
        <v>70</v>
      </c>
      <c r="F4736" s="7" t="s">
        <v>74</v>
      </c>
      <c r="G4736" s="8" t="n">
        <v>46085</v>
      </c>
      <c r="H4736" s="8" t="n">
        <v>46109</v>
      </c>
      <c r="I4736" s="7" t="s">
        <v>102</v>
      </c>
      <c r="J4736" s="7" t="s">
        <v>41</v>
      </c>
      <c r="K4736" s="7" t="n">
        <v>24</v>
      </c>
      <c r="L4736" s="7" t="n">
        <v>3</v>
      </c>
      <c r="M4736" s="7" t="n">
        <v>0</v>
      </c>
      <c r="N4736" s="7" t="s">
        <v>42</v>
      </c>
      <c r="O4736" s="7" t="s">
        <v>67</v>
      </c>
      <c r="P4736" s="7" t="n">
        <v>27.1</v>
      </c>
      <c r="Q4736" s="7" t="n">
        <v>18</v>
      </c>
      <c r="R4736" s="7" t="s">
        <v>53</v>
      </c>
      <c r="S4736" s="7"/>
      <c r="T4736" s="7"/>
      <c r="U4736" s="7" t="str">
        <f aca="false">IF(COUNTIF($A$2:$A$5001,A4736)&gt;1,"Duplicate","Unique")</f>
        <v>Unique</v>
      </c>
      <c r="V4736" s="7" t="str">
        <f aca="false">IF(COUNTIFS($B$2:$B$5001,B4736,$H$2:$H$5001,H4736,$J$2:$J$5001,J4736)&gt;1,"Possible Duplicate Booking","Unique")</f>
        <v>Unique</v>
      </c>
      <c r="W4736" s="7" t="str">
        <f aca="false">IF((H4736-G4736)&lt;&gt;K4736,"Mismatch","OK")</f>
        <v>OK</v>
      </c>
      <c r="X4736" s="7" t="str">
        <f aca="false">IF(TEXT(H4736,"dddd")&lt;&gt;I4736,"Mismatch","OK")</f>
        <v>OK</v>
      </c>
      <c r="Y4736" s="7" t="str">
        <f aca="false">IF(AND(N4736="No",O4736&lt;&gt;""),"Unexpected: channel present but no reminder sent",IF(AND(N4736="Yes",O4736=""),"Missing channel for sent reminder","OK"))</f>
        <v>OK</v>
      </c>
    </row>
    <row r="4737" customFormat="false" ht="15" hidden="false" customHeight="false" outlineLevel="0" collapsed="false">
      <c r="A4737" s="9" t="s">
        <v>6475</v>
      </c>
      <c r="B4737" s="9" t="s">
        <v>2113</v>
      </c>
      <c r="C4737" s="9" t="s">
        <v>37</v>
      </c>
      <c r="D4737" s="9" t="n">
        <v>67</v>
      </c>
      <c r="E4737" s="9" t="s">
        <v>70</v>
      </c>
      <c r="F4737" s="9" t="s">
        <v>74</v>
      </c>
      <c r="G4737" s="10" t="n">
        <v>45872</v>
      </c>
      <c r="H4737" s="10" t="n">
        <v>45886</v>
      </c>
      <c r="I4737" s="9" t="s">
        <v>75</v>
      </c>
      <c r="J4737" s="9" t="s">
        <v>51</v>
      </c>
      <c r="K4737" s="9" t="n">
        <v>14</v>
      </c>
      <c r="L4737" s="9" t="n">
        <v>3</v>
      </c>
      <c r="M4737" s="9" t="n">
        <v>1</v>
      </c>
      <c r="N4737" s="9" t="s">
        <v>42</v>
      </c>
      <c r="O4737" s="9" t="s">
        <v>43</v>
      </c>
      <c r="P4737" s="9" t="n">
        <v>8.6</v>
      </c>
      <c r="Q4737" s="9" t="n">
        <v>28</v>
      </c>
      <c r="R4737" s="9" t="s">
        <v>87</v>
      </c>
      <c r="S4737" s="9"/>
      <c r="T4737" s="9"/>
      <c r="U4737" s="9" t="str">
        <f aca="false">IF(COUNTIF($A$2:$A$5001,A4737)&gt;1,"Duplicate","Unique")</f>
        <v>Unique</v>
      </c>
      <c r="V4737" s="9" t="str">
        <f aca="false">IF(COUNTIFS($B$2:$B$5001,B4737,$H$2:$H$5001,H4737,$J$2:$J$5001,J4737)&gt;1,"Possible Duplicate Booking","Unique")</f>
        <v>Unique</v>
      </c>
      <c r="W4737" s="9" t="str">
        <f aca="false">IF((H4737-G4737)&lt;&gt;K4737,"Mismatch","OK")</f>
        <v>OK</v>
      </c>
      <c r="X4737" s="9" t="str">
        <f aca="false">IF(TEXT(H4737,"dddd")&lt;&gt;I4737,"Mismatch","OK")</f>
        <v>OK</v>
      </c>
      <c r="Y4737" s="9" t="str">
        <f aca="false">IF(AND(N4737="No",O4737&lt;&gt;""),"Unexpected: channel present but no reminder sent",IF(AND(N4737="Yes",O4737=""),"Missing channel for sent reminder","OK"))</f>
        <v>OK</v>
      </c>
    </row>
    <row r="4738" customFormat="false" ht="15" hidden="false" customHeight="false" outlineLevel="0" collapsed="false">
      <c r="A4738" s="7" t="s">
        <v>6476</v>
      </c>
      <c r="B4738" s="7" t="s">
        <v>6477</v>
      </c>
      <c r="C4738" s="7" t="s">
        <v>47</v>
      </c>
      <c r="D4738" s="7" t="n">
        <v>45</v>
      </c>
      <c r="E4738" s="7" t="s">
        <v>56</v>
      </c>
      <c r="F4738" s="7" t="s">
        <v>39</v>
      </c>
      <c r="G4738" s="8" t="n">
        <v>45679</v>
      </c>
      <c r="H4738" s="8" t="n">
        <v>45691</v>
      </c>
      <c r="I4738" s="7" t="s">
        <v>66</v>
      </c>
      <c r="J4738" s="7" t="s">
        <v>41</v>
      </c>
      <c r="K4738" s="7" t="n">
        <v>12</v>
      </c>
      <c r="L4738" s="7" t="n">
        <v>5</v>
      </c>
      <c r="M4738" s="7" t="n">
        <v>0</v>
      </c>
      <c r="N4738" s="7" t="s">
        <v>42</v>
      </c>
      <c r="O4738" s="7" t="s">
        <v>52</v>
      </c>
      <c r="P4738" s="7" t="n">
        <v>35.5</v>
      </c>
      <c r="Q4738" s="7" t="n">
        <v>13</v>
      </c>
      <c r="R4738" s="7" t="s">
        <v>53</v>
      </c>
      <c r="S4738" s="7"/>
      <c r="T4738" s="7"/>
      <c r="U4738" s="7" t="str">
        <f aca="false">IF(COUNTIF($A$2:$A$5001,A4738)&gt;1,"Duplicate","Unique")</f>
        <v>Unique</v>
      </c>
      <c r="V4738" s="7" t="str">
        <f aca="false">IF(COUNTIFS($B$2:$B$5001,B4738,$H$2:$H$5001,H4738,$J$2:$J$5001,J4738)&gt;1,"Possible Duplicate Booking","Unique")</f>
        <v>Unique</v>
      </c>
      <c r="W4738" s="7" t="str">
        <f aca="false">IF((H4738-G4738)&lt;&gt;K4738,"Mismatch","OK")</f>
        <v>OK</v>
      </c>
      <c r="X4738" s="7" t="str">
        <f aca="false">IF(TEXT(H4738,"dddd")&lt;&gt;I4738,"Mismatch","OK")</f>
        <v>OK</v>
      </c>
      <c r="Y4738" s="7" t="str">
        <f aca="false">IF(AND(N4738="No",O4738&lt;&gt;""),"Unexpected: channel present but no reminder sent",IF(AND(N4738="Yes",O4738=""),"Missing channel for sent reminder","OK"))</f>
        <v>OK</v>
      </c>
    </row>
    <row r="4739" customFormat="false" ht="15" hidden="false" customHeight="false" outlineLevel="0" collapsed="false">
      <c r="A4739" s="9" t="s">
        <v>6478</v>
      </c>
      <c r="B4739" s="9" t="s">
        <v>1073</v>
      </c>
      <c r="C4739" s="9" t="s">
        <v>37</v>
      </c>
      <c r="D4739" s="9" t="n">
        <v>75</v>
      </c>
      <c r="E4739" s="9" t="s">
        <v>70</v>
      </c>
      <c r="F4739" s="9" t="s">
        <v>57</v>
      </c>
      <c r="G4739" s="10" t="n">
        <v>45832</v>
      </c>
      <c r="H4739" s="10" t="n">
        <v>45858</v>
      </c>
      <c r="I4739" s="9" t="s">
        <v>75</v>
      </c>
      <c r="J4739" s="9" t="s">
        <v>41</v>
      </c>
      <c r="K4739" s="9" t="n">
        <v>26</v>
      </c>
      <c r="L4739" s="9" t="n">
        <v>6</v>
      </c>
      <c r="M4739" s="9" t="n">
        <v>1</v>
      </c>
      <c r="N4739" s="9" t="s">
        <v>42</v>
      </c>
      <c r="O4739" s="9" t="s">
        <v>52</v>
      </c>
      <c r="P4739" s="9" t="n">
        <v>8.6</v>
      </c>
      <c r="Q4739" s="9" t="n">
        <v>12</v>
      </c>
      <c r="R4739" s="9" t="s">
        <v>53</v>
      </c>
      <c r="S4739" s="9"/>
      <c r="T4739" s="9"/>
      <c r="U4739" s="9" t="str">
        <f aca="false">IF(COUNTIF($A$2:$A$5001,A4739)&gt;1,"Duplicate","Unique")</f>
        <v>Unique</v>
      </c>
      <c r="V4739" s="9" t="str">
        <f aca="false">IF(COUNTIFS($B$2:$B$5001,B4739,$H$2:$H$5001,H4739,$J$2:$J$5001,J4739)&gt;1,"Possible Duplicate Booking","Unique")</f>
        <v>Unique</v>
      </c>
      <c r="W4739" s="9" t="str">
        <f aca="false">IF((H4739-G4739)&lt;&gt;K4739,"Mismatch","OK")</f>
        <v>OK</v>
      </c>
      <c r="X4739" s="9" t="str">
        <f aca="false">IF(TEXT(H4739,"dddd")&lt;&gt;I4739,"Mismatch","OK")</f>
        <v>OK</v>
      </c>
      <c r="Y4739" s="9" t="str">
        <f aca="false">IF(AND(N4739="No",O4739&lt;&gt;""),"Unexpected: channel present but no reminder sent",IF(AND(N4739="Yes",O4739=""),"Missing channel for sent reminder","OK"))</f>
        <v>OK</v>
      </c>
    </row>
    <row r="4740" customFormat="false" ht="15" hidden="false" customHeight="false" outlineLevel="0" collapsed="false">
      <c r="A4740" s="7" t="s">
        <v>6479</v>
      </c>
      <c r="B4740" s="7" t="s">
        <v>1038</v>
      </c>
      <c r="C4740" s="7" t="s">
        <v>47</v>
      </c>
      <c r="D4740" s="7" t="n">
        <v>75</v>
      </c>
      <c r="E4740" s="7" t="s">
        <v>70</v>
      </c>
      <c r="F4740" s="7" t="s">
        <v>74</v>
      </c>
      <c r="G4740" s="8" t="n">
        <v>45793</v>
      </c>
      <c r="H4740" s="8" t="n">
        <v>45849</v>
      </c>
      <c r="I4740" s="7" t="s">
        <v>50</v>
      </c>
      <c r="J4740" s="7" t="s">
        <v>51</v>
      </c>
      <c r="K4740" s="7" t="n">
        <v>56</v>
      </c>
      <c r="L4740" s="7" t="n">
        <v>1</v>
      </c>
      <c r="M4740" s="7" t="n">
        <v>1</v>
      </c>
      <c r="N4740" s="7" t="s">
        <v>42</v>
      </c>
      <c r="O4740" s="7" t="s">
        <v>52</v>
      </c>
      <c r="P4740" s="7" t="n">
        <v>11</v>
      </c>
      <c r="Q4740" s="7" t="n">
        <v>36</v>
      </c>
      <c r="R4740" s="7" t="s">
        <v>44</v>
      </c>
      <c r="S4740" s="7"/>
      <c r="T4740" s="7"/>
      <c r="U4740" s="7" t="str">
        <f aca="false">IF(COUNTIF($A$2:$A$5001,A4740)&gt;1,"Duplicate","Unique")</f>
        <v>Unique</v>
      </c>
      <c r="V4740" s="7" t="str">
        <f aca="false">IF(COUNTIFS($B$2:$B$5001,B4740,$H$2:$H$5001,H4740,$J$2:$J$5001,J4740)&gt;1,"Possible Duplicate Booking","Unique")</f>
        <v>Unique</v>
      </c>
      <c r="W4740" s="7" t="str">
        <f aca="false">IF((H4740-G4740)&lt;&gt;K4740,"Mismatch","OK")</f>
        <v>OK</v>
      </c>
      <c r="X4740" s="7" t="str">
        <f aca="false">IF(TEXT(H4740,"dddd")&lt;&gt;I4740,"Mismatch","OK")</f>
        <v>OK</v>
      </c>
      <c r="Y4740" s="7" t="str">
        <f aca="false">IF(AND(N4740="No",O4740&lt;&gt;""),"Unexpected: channel present but no reminder sent",IF(AND(N4740="Yes",O4740=""),"Missing channel for sent reminder","OK"))</f>
        <v>OK</v>
      </c>
    </row>
    <row r="4741" customFormat="false" ht="15" hidden="false" customHeight="false" outlineLevel="0" collapsed="false">
      <c r="A4741" s="9" t="s">
        <v>6480</v>
      </c>
      <c r="B4741" s="9" t="s">
        <v>2166</v>
      </c>
      <c r="C4741" s="9" t="s">
        <v>37</v>
      </c>
      <c r="D4741" s="9" t="n">
        <v>76</v>
      </c>
      <c r="E4741" s="9" t="s">
        <v>70</v>
      </c>
      <c r="F4741" s="9" t="s">
        <v>49</v>
      </c>
      <c r="G4741" s="10" t="n">
        <v>45904</v>
      </c>
      <c r="H4741" s="10" t="n">
        <v>45942</v>
      </c>
      <c r="I4741" s="9" t="s">
        <v>75</v>
      </c>
      <c r="J4741" s="9" t="s">
        <v>51</v>
      </c>
      <c r="K4741" s="9" t="n">
        <v>38</v>
      </c>
      <c r="L4741" s="9" t="n">
        <v>6</v>
      </c>
      <c r="M4741" s="9" t="n">
        <v>0</v>
      </c>
      <c r="N4741" s="9" t="s">
        <v>71</v>
      </c>
      <c r="O4741" s="9"/>
      <c r="P4741" s="9" t="n">
        <v>7.9</v>
      </c>
      <c r="Q4741" s="9" t="n">
        <v>26</v>
      </c>
      <c r="R4741" s="9" t="s">
        <v>53</v>
      </c>
      <c r="S4741" s="9"/>
      <c r="T4741" s="9"/>
      <c r="U4741" s="9" t="str">
        <f aca="false">IF(COUNTIF($A$2:$A$5001,A4741)&gt;1,"Duplicate","Unique")</f>
        <v>Unique</v>
      </c>
      <c r="V4741" s="9" t="str">
        <f aca="false">IF(COUNTIFS($B$2:$B$5001,B4741,$H$2:$H$5001,H4741,$J$2:$J$5001,J4741)&gt;1,"Possible Duplicate Booking","Unique")</f>
        <v>Unique</v>
      </c>
      <c r="W4741" s="9" t="str">
        <f aca="false">IF((H4741-G4741)&lt;&gt;K4741,"Mismatch","OK")</f>
        <v>OK</v>
      </c>
      <c r="X4741" s="9" t="str">
        <f aca="false">IF(TEXT(H4741,"dddd")&lt;&gt;I4741,"Mismatch","OK")</f>
        <v>OK</v>
      </c>
      <c r="Y4741" s="9" t="str">
        <f aca="false">IF(AND(N4741="No",O4741&lt;&gt;""),"Unexpected: channel present but no reminder sent",IF(AND(N4741="Yes",O4741=""),"Missing channel for sent reminder","OK"))</f>
        <v>OK</v>
      </c>
    </row>
    <row r="4742" customFormat="false" ht="15" hidden="false" customHeight="false" outlineLevel="0" collapsed="false">
      <c r="A4742" s="7" t="s">
        <v>6481</v>
      </c>
      <c r="B4742" s="7" t="s">
        <v>601</v>
      </c>
      <c r="C4742" s="7" t="s">
        <v>37</v>
      </c>
      <c r="D4742" s="7" t="n">
        <v>49</v>
      </c>
      <c r="E4742" s="7" t="s">
        <v>56</v>
      </c>
      <c r="F4742" s="7" t="s">
        <v>39</v>
      </c>
      <c r="G4742" s="8" t="n">
        <v>45781</v>
      </c>
      <c r="H4742" s="8" t="n">
        <v>45802</v>
      </c>
      <c r="I4742" s="7" t="s">
        <v>75</v>
      </c>
      <c r="J4742" s="7" t="s">
        <v>51</v>
      </c>
      <c r="K4742" s="7" t="n">
        <v>21</v>
      </c>
      <c r="L4742" s="7" t="n">
        <v>1</v>
      </c>
      <c r="M4742" s="7" t="n">
        <v>0</v>
      </c>
      <c r="N4742" s="7" t="s">
        <v>42</v>
      </c>
      <c r="O4742" s="7" t="s">
        <v>43</v>
      </c>
      <c r="P4742" s="7" t="n">
        <v>6.7</v>
      </c>
      <c r="Q4742" s="7" t="n">
        <v>26</v>
      </c>
      <c r="R4742" s="7" t="s">
        <v>44</v>
      </c>
      <c r="S4742" s="7"/>
      <c r="T4742" s="7"/>
      <c r="U4742" s="7" t="str">
        <f aca="false">IF(COUNTIF($A$2:$A$5001,A4742)&gt;1,"Duplicate","Unique")</f>
        <v>Unique</v>
      </c>
      <c r="V4742" s="7" t="str">
        <f aca="false">IF(COUNTIFS($B$2:$B$5001,B4742,$H$2:$H$5001,H4742,$J$2:$J$5001,J4742)&gt;1,"Possible Duplicate Booking","Unique")</f>
        <v>Unique</v>
      </c>
      <c r="W4742" s="7" t="str">
        <f aca="false">IF((H4742-G4742)&lt;&gt;K4742,"Mismatch","OK")</f>
        <v>OK</v>
      </c>
      <c r="X4742" s="7" t="str">
        <f aca="false">IF(TEXT(H4742,"dddd")&lt;&gt;I4742,"Mismatch","OK")</f>
        <v>OK</v>
      </c>
      <c r="Y4742" s="7" t="str">
        <f aca="false">IF(AND(N4742="No",O4742&lt;&gt;""),"Unexpected: channel present but no reminder sent",IF(AND(N4742="Yes",O4742=""),"Missing channel for sent reminder","OK"))</f>
        <v>OK</v>
      </c>
    </row>
    <row r="4743" customFormat="false" ht="15" hidden="false" customHeight="false" outlineLevel="0" collapsed="false">
      <c r="A4743" s="9" t="s">
        <v>6482</v>
      </c>
      <c r="B4743" s="9" t="s">
        <v>1708</v>
      </c>
      <c r="C4743" s="9" t="s">
        <v>47</v>
      </c>
      <c r="D4743" s="9" t="n">
        <v>36</v>
      </c>
      <c r="E4743" s="9" t="s">
        <v>38</v>
      </c>
      <c r="F4743" s="9" t="s">
        <v>57</v>
      </c>
      <c r="G4743" s="10" t="n">
        <v>45884</v>
      </c>
      <c r="H4743" s="10" t="n">
        <v>45910</v>
      </c>
      <c r="I4743" s="9" t="s">
        <v>58</v>
      </c>
      <c r="J4743" s="9" t="s">
        <v>41</v>
      </c>
      <c r="K4743" s="9" t="n">
        <v>26</v>
      </c>
      <c r="L4743" s="9" t="n">
        <v>3</v>
      </c>
      <c r="M4743" s="9" t="n">
        <v>1</v>
      </c>
      <c r="N4743" s="9" t="s">
        <v>42</v>
      </c>
      <c r="O4743" s="9" t="s">
        <v>67</v>
      </c>
      <c r="P4743" s="9" t="n">
        <v>10.8</v>
      </c>
      <c r="Q4743" s="9" t="n">
        <v>18</v>
      </c>
      <c r="R4743" s="9" t="s">
        <v>44</v>
      </c>
      <c r="S4743" s="9"/>
      <c r="T4743" s="9"/>
      <c r="U4743" s="9" t="str">
        <f aca="false">IF(COUNTIF($A$2:$A$5001,A4743)&gt;1,"Duplicate","Unique")</f>
        <v>Unique</v>
      </c>
      <c r="V4743" s="9" t="str">
        <f aca="false">IF(COUNTIFS($B$2:$B$5001,B4743,$H$2:$H$5001,H4743,$J$2:$J$5001,J4743)&gt;1,"Possible Duplicate Booking","Unique")</f>
        <v>Unique</v>
      </c>
      <c r="W4743" s="9" t="str">
        <f aca="false">IF((H4743-G4743)&lt;&gt;K4743,"Mismatch","OK")</f>
        <v>OK</v>
      </c>
      <c r="X4743" s="9" t="str">
        <f aca="false">IF(TEXT(H4743,"dddd")&lt;&gt;I4743,"Mismatch","OK")</f>
        <v>OK</v>
      </c>
      <c r="Y4743" s="9" t="str">
        <f aca="false">IF(AND(N4743="No",O4743&lt;&gt;""),"Unexpected: channel present but no reminder sent",IF(AND(N4743="Yes",O4743=""),"Missing channel for sent reminder","OK"))</f>
        <v>OK</v>
      </c>
    </row>
    <row r="4744" customFormat="false" ht="15" hidden="false" customHeight="false" outlineLevel="0" collapsed="false">
      <c r="A4744" s="7" t="s">
        <v>6483</v>
      </c>
      <c r="B4744" s="7" t="s">
        <v>1320</v>
      </c>
      <c r="C4744" s="7" t="s">
        <v>37</v>
      </c>
      <c r="D4744" s="7" t="n">
        <v>20</v>
      </c>
      <c r="E4744" s="7" t="s">
        <v>82</v>
      </c>
      <c r="F4744" s="7" t="s">
        <v>39</v>
      </c>
      <c r="G4744" s="8" t="n">
        <v>45859</v>
      </c>
      <c r="H4744" s="8" t="n">
        <v>45891</v>
      </c>
      <c r="I4744" s="7" t="s">
        <v>50</v>
      </c>
      <c r="J4744" s="7" t="s">
        <v>51</v>
      </c>
      <c r="K4744" s="7" t="n">
        <v>32</v>
      </c>
      <c r="L4744" s="7" t="n">
        <v>1</v>
      </c>
      <c r="M4744" s="7" t="n">
        <v>0</v>
      </c>
      <c r="N4744" s="7" t="s">
        <v>42</v>
      </c>
      <c r="O4744" s="7" t="s">
        <v>52</v>
      </c>
      <c r="P4744" s="7" t="n">
        <v>13.5</v>
      </c>
      <c r="Q4744" s="7" t="n">
        <v>32</v>
      </c>
      <c r="R4744" s="7" t="s">
        <v>53</v>
      </c>
      <c r="S4744" s="7"/>
      <c r="T4744" s="7"/>
      <c r="U4744" s="7" t="str">
        <f aca="false">IF(COUNTIF($A$2:$A$5001,A4744)&gt;1,"Duplicate","Unique")</f>
        <v>Unique</v>
      </c>
      <c r="V4744" s="7" t="str">
        <f aca="false">IF(COUNTIFS($B$2:$B$5001,B4744,$H$2:$H$5001,H4744,$J$2:$J$5001,J4744)&gt;1,"Possible Duplicate Booking","Unique")</f>
        <v>Unique</v>
      </c>
      <c r="W4744" s="7" t="str">
        <f aca="false">IF((H4744-G4744)&lt;&gt;K4744,"Mismatch","OK")</f>
        <v>OK</v>
      </c>
      <c r="X4744" s="7" t="str">
        <f aca="false">IF(TEXT(H4744,"dddd")&lt;&gt;I4744,"Mismatch","OK")</f>
        <v>OK</v>
      </c>
      <c r="Y4744" s="7" t="str">
        <f aca="false">IF(AND(N4744="No",O4744&lt;&gt;""),"Unexpected: channel present but no reminder sent",IF(AND(N4744="Yes",O4744=""),"Missing channel for sent reminder","OK"))</f>
        <v>OK</v>
      </c>
    </row>
    <row r="4745" customFormat="false" ht="15" hidden="false" customHeight="false" outlineLevel="0" collapsed="false">
      <c r="A4745" s="9" t="s">
        <v>6484</v>
      </c>
      <c r="B4745" s="9" t="s">
        <v>933</v>
      </c>
      <c r="C4745" s="9" t="s">
        <v>37</v>
      </c>
      <c r="D4745" s="9" t="n">
        <v>70</v>
      </c>
      <c r="E4745" s="9" t="s">
        <v>70</v>
      </c>
      <c r="F4745" s="9" t="s">
        <v>49</v>
      </c>
      <c r="G4745" s="10" t="n">
        <v>45822</v>
      </c>
      <c r="H4745" s="10" t="n">
        <v>45836</v>
      </c>
      <c r="I4745" s="9" t="s">
        <v>102</v>
      </c>
      <c r="J4745" s="9" t="s">
        <v>41</v>
      </c>
      <c r="K4745" s="9" t="n">
        <v>14</v>
      </c>
      <c r="L4745" s="9" t="n">
        <v>0</v>
      </c>
      <c r="M4745" s="9" t="n">
        <v>0</v>
      </c>
      <c r="N4745" s="9" t="s">
        <v>42</v>
      </c>
      <c r="O4745" s="9" t="s">
        <v>43</v>
      </c>
      <c r="P4745" s="9" t="n">
        <v>4.5</v>
      </c>
      <c r="Q4745" s="9" t="n">
        <v>22</v>
      </c>
      <c r="R4745" s="9" t="s">
        <v>53</v>
      </c>
      <c r="S4745" s="9"/>
      <c r="T4745" s="9"/>
      <c r="U4745" s="9" t="str">
        <f aca="false">IF(COUNTIF($A$2:$A$5001,A4745)&gt;1,"Duplicate","Unique")</f>
        <v>Unique</v>
      </c>
      <c r="V4745" s="9" t="str">
        <f aca="false">IF(COUNTIFS($B$2:$B$5001,B4745,$H$2:$H$5001,H4745,$J$2:$J$5001,J4745)&gt;1,"Possible Duplicate Booking","Unique")</f>
        <v>Unique</v>
      </c>
      <c r="W4745" s="9" t="str">
        <f aca="false">IF((H4745-G4745)&lt;&gt;K4745,"Mismatch","OK")</f>
        <v>OK</v>
      </c>
      <c r="X4745" s="9" t="str">
        <f aca="false">IF(TEXT(H4745,"dddd")&lt;&gt;I4745,"Mismatch","OK")</f>
        <v>OK</v>
      </c>
      <c r="Y4745" s="9" t="str">
        <f aca="false">IF(AND(N4745="No",O4745&lt;&gt;""),"Unexpected: channel present but no reminder sent",IF(AND(N4745="Yes",O4745=""),"Missing channel for sent reminder","OK"))</f>
        <v>OK</v>
      </c>
    </row>
    <row r="4746" customFormat="false" ht="15" hidden="false" customHeight="false" outlineLevel="0" collapsed="false">
      <c r="A4746" s="7" t="s">
        <v>6485</v>
      </c>
      <c r="B4746" s="7" t="s">
        <v>1717</v>
      </c>
      <c r="C4746" s="7" t="s">
        <v>47</v>
      </c>
      <c r="D4746" s="7" t="n">
        <v>72</v>
      </c>
      <c r="E4746" s="7" t="s">
        <v>70</v>
      </c>
      <c r="F4746" s="7" t="s">
        <v>49</v>
      </c>
      <c r="G4746" s="8" t="n">
        <v>46007</v>
      </c>
      <c r="H4746" s="8" t="n">
        <v>46038</v>
      </c>
      <c r="I4746" s="7" t="s">
        <v>50</v>
      </c>
      <c r="J4746" s="7" t="s">
        <v>41</v>
      </c>
      <c r="K4746" s="7" t="n">
        <v>31</v>
      </c>
      <c r="L4746" s="7" t="n">
        <v>5</v>
      </c>
      <c r="M4746" s="7" t="n">
        <v>2</v>
      </c>
      <c r="N4746" s="7" t="s">
        <v>42</v>
      </c>
      <c r="O4746" s="7" t="s">
        <v>52</v>
      </c>
      <c r="P4746" s="7" t="n">
        <v>6.5</v>
      </c>
      <c r="Q4746" s="7" t="n">
        <v>33</v>
      </c>
      <c r="R4746" s="7" t="s">
        <v>53</v>
      </c>
      <c r="S4746" s="7"/>
      <c r="T4746" s="7"/>
      <c r="U4746" s="7" t="str">
        <f aca="false">IF(COUNTIF($A$2:$A$5001,A4746)&gt;1,"Duplicate","Unique")</f>
        <v>Unique</v>
      </c>
      <c r="V4746" s="7" t="str">
        <f aca="false">IF(COUNTIFS($B$2:$B$5001,B4746,$H$2:$H$5001,H4746,$J$2:$J$5001,J4746)&gt;1,"Possible Duplicate Booking","Unique")</f>
        <v>Unique</v>
      </c>
      <c r="W4746" s="7" t="str">
        <f aca="false">IF((H4746-G4746)&lt;&gt;K4746,"Mismatch","OK")</f>
        <v>OK</v>
      </c>
      <c r="X4746" s="7" t="str">
        <f aca="false">IF(TEXT(H4746,"dddd")&lt;&gt;I4746,"Mismatch","OK")</f>
        <v>OK</v>
      </c>
      <c r="Y4746" s="7" t="str">
        <f aca="false">IF(AND(N4746="No",O4746&lt;&gt;""),"Unexpected: channel present but no reminder sent",IF(AND(N4746="Yes",O4746=""),"Missing channel for sent reminder","OK"))</f>
        <v>OK</v>
      </c>
    </row>
    <row r="4747" customFormat="false" ht="15" hidden="false" customHeight="false" outlineLevel="0" collapsed="false">
      <c r="A4747" s="9" t="s">
        <v>6486</v>
      </c>
      <c r="B4747" s="9" t="s">
        <v>1867</v>
      </c>
      <c r="C4747" s="9" t="s">
        <v>37</v>
      </c>
      <c r="D4747" s="9" t="n">
        <v>51</v>
      </c>
      <c r="E4747" s="9" t="s">
        <v>56</v>
      </c>
      <c r="F4747" s="9" t="s">
        <v>39</v>
      </c>
      <c r="G4747" s="10" t="n">
        <v>45782</v>
      </c>
      <c r="H4747" s="10" t="n">
        <v>45824</v>
      </c>
      <c r="I4747" s="9" t="s">
        <v>66</v>
      </c>
      <c r="J4747" s="9" t="s">
        <v>51</v>
      </c>
      <c r="K4747" s="9" t="n">
        <v>42</v>
      </c>
      <c r="L4747" s="9" t="n">
        <v>1</v>
      </c>
      <c r="M4747" s="9" t="n">
        <v>0</v>
      </c>
      <c r="N4747" s="9" t="s">
        <v>42</v>
      </c>
      <c r="O4747" s="9" t="s">
        <v>43</v>
      </c>
      <c r="P4747" s="9" t="n">
        <v>2.9</v>
      </c>
      <c r="Q4747" s="9" t="n">
        <v>19</v>
      </c>
      <c r="R4747" s="9" t="s">
        <v>44</v>
      </c>
      <c r="S4747" s="9"/>
      <c r="T4747" s="9"/>
      <c r="U4747" s="9" t="str">
        <f aca="false">IF(COUNTIF($A$2:$A$5001,A4747)&gt;1,"Duplicate","Unique")</f>
        <v>Unique</v>
      </c>
      <c r="V4747" s="9" t="str">
        <f aca="false">IF(COUNTIFS($B$2:$B$5001,B4747,$H$2:$H$5001,H4747,$J$2:$J$5001,J4747)&gt;1,"Possible Duplicate Booking","Unique")</f>
        <v>Unique</v>
      </c>
      <c r="W4747" s="9" t="str">
        <f aca="false">IF((H4747-G4747)&lt;&gt;K4747,"Mismatch","OK")</f>
        <v>OK</v>
      </c>
      <c r="X4747" s="9" t="str">
        <f aca="false">IF(TEXT(H4747,"dddd")&lt;&gt;I4747,"Mismatch","OK")</f>
        <v>OK</v>
      </c>
      <c r="Y4747" s="9" t="str">
        <f aca="false">IF(AND(N4747="No",O4747&lt;&gt;""),"Unexpected: channel present but no reminder sent",IF(AND(N4747="Yes",O4747=""),"Missing channel for sent reminder","OK"))</f>
        <v>OK</v>
      </c>
    </row>
    <row r="4748" customFormat="false" ht="15" hidden="false" customHeight="false" outlineLevel="0" collapsed="false">
      <c r="A4748" s="7" t="s">
        <v>6487</v>
      </c>
      <c r="B4748" s="7" t="s">
        <v>2684</v>
      </c>
      <c r="C4748" s="7" t="s">
        <v>37</v>
      </c>
      <c r="D4748" s="7" t="n">
        <v>22</v>
      </c>
      <c r="E4748" s="7" t="s">
        <v>82</v>
      </c>
      <c r="F4748" s="7" t="s">
        <v>39</v>
      </c>
      <c r="G4748" s="8" t="n">
        <v>46062</v>
      </c>
      <c r="H4748" s="8" t="n">
        <v>46076</v>
      </c>
      <c r="I4748" s="7" t="s">
        <v>66</v>
      </c>
      <c r="J4748" s="7" t="s">
        <v>51</v>
      </c>
      <c r="K4748" s="7" t="n">
        <v>14</v>
      </c>
      <c r="L4748" s="7" t="n">
        <v>1</v>
      </c>
      <c r="M4748" s="7" t="n">
        <v>0</v>
      </c>
      <c r="N4748" s="7" t="s">
        <v>42</v>
      </c>
      <c r="O4748" s="7" t="s">
        <v>43</v>
      </c>
      <c r="P4748" s="7" t="n">
        <v>2.1</v>
      </c>
      <c r="Q4748" s="7" t="n">
        <v>12</v>
      </c>
      <c r="R4748" s="7" t="s">
        <v>53</v>
      </c>
      <c r="S4748" s="7"/>
      <c r="T4748" s="7"/>
      <c r="U4748" s="7" t="str">
        <f aca="false">IF(COUNTIF($A$2:$A$5001,A4748)&gt;1,"Duplicate","Unique")</f>
        <v>Unique</v>
      </c>
      <c r="V4748" s="7" t="str">
        <f aca="false">IF(COUNTIFS($B$2:$B$5001,B4748,$H$2:$H$5001,H4748,$J$2:$J$5001,J4748)&gt;1,"Possible Duplicate Booking","Unique")</f>
        <v>Unique</v>
      </c>
      <c r="W4748" s="7" t="str">
        <f aca="false">IF((H4748-G4748)&lt;&gt;K4748,"Mismatch","OK")</f>
        <v>OK</v>
      </c>
      <c r="X4748" s="7" t="str">
        <f aca="false">IF(TEXT(H4748,"dddd")&lt;&gt;I4748,"Mismatch","OK")</f>
        <v>OK</v>
      </c>
      <c r="Y4748" s="7" t="str">
        <f aca="false">IF(AND(N4748="No",O4748&lt;&gt;""),"Unexpected: channel present but no reminder sent",IF(AND(N4748="Yes",O4748=""),"Missing channel for sent reminder","OK"))</f>
        <v>OK</v>
      </c>
    </row>
    <row r="4749" customFormat="false" ht="15" hidden="false" customHeight="false" outlineLevel="0" collapsed="false">
      <c r="A4749" s="9" t="s">
        <v>6488</v>
      </c>
      <c r="B4749" s="9" t="s">
        <v>718</v>
      </c>
      <c r="C4749" s="9" t="s">
        <v>37</v>
      </c>
      <c r="D4749" s="9" t="n">
        <v>69</v>
      </c>
      <c r="E4749" s="9" t="s">
        <v>70</v>
      </c>
      <c r="F4749" s="9" t="s">
        <v>39</v>
      </c>
      <c r="G4749" s="10" t="n">
        <v>45759</v>
      </c>
      <c r="H4749" s="10" t="n">
        <v>45794</v>
      </c>
      <c r="I4749" s="9" t="s">
        <v>102</v>
      </c>
      <c r="J4749" s="9" t="s">
        <v>51</v>
      </c>
      <c r="K4749" s="9" t="n">
        <v>35</v>
      </c>
      <c r="L4749" s="9" t="n">
        <v>1</v>
      </c>
      <c r="M4749" s="9" t="n">
        <v>0</v>
      </c>
      <c r="N4749" s="9" t="s">
        <v>42</v>
      </c>
      <c r="O4749" s="9" t="s">
        <v>52</v>
      </c>
      <c r="P4749" s="9" t="n">
        <v>13.5</v>
      </c>
      <c r="Q4749" s="9" t="n">
        <v>16</v>
      </c>
      <c r="R4749" s="9" t="s">
        <v>44</v>
      </c>
      <c r="S4749" s="9"/>
      <c r="T4749" s="9"/>
      <c r="U4749" s="9" t="str">
        <f aca="false">IF(COUNTIF($A$2:$A$5001,A4749)&gt;1,"Duplicate","Unique")</f>
        <v>Unique</v>
      </c>
      <c r="V4749" s="9" t="str">
        <f aca="false">IF(COUNTIFS($B$2:$B$5001,B4749,$H$2:$H$5001,H4749,$J$2:$J$5001,J4749)&gt;1,"Possible Duplicate Booking","Unique")</f>
        <v>Unique</v>
      </c>
      <c r="W4749" s="9" t="str">
        <f aca="false">IF((H4749-G4749)&lt;&gt;K4749,"Mismatch","OK")</f>
        <v>OK</v>
      </c>
      <c r="X4749" s="9" t="str">
        <f aca="false">IF(TEXT(H4749,"dddd")&lt;&gt;I4749,"Mismatch","OK")</f>
        <v>OK</v>
      </c>
      <c r="Y4749" s="9" t="str">
        <f aca="false">IF(AND(N4749="No",O4749&lt;&gt;""),"Unexpected: channel present but no reminder sent",IF(AND(N4749="Yes",O4749=""),"Missing channel for sent reminder","OK"))</f>
        <v>OK</v>
      </c>
    </row>
    <row r="4750" customFormat="false" ht="15" hidden="false" customHeight="false" outlineLevel="0" collapsed="false">
      <c r="A4750" s="7" t="s">
        <v>6489</v>
      </c>
      <c r="B4750" s="7" t="s">
        <v>1909</v>
      </c>
      <c r="C4750" s="7" t="s">
        <v>47</v>
      </c>
      <c r="D4750" s="7" t="n">
        <v>36</v>
      </c>
      <c r="E4750" s="7" t="s">
        <v>38</v>
      </c>
      <c r="F4750" s="7" t="s">
        <v>39</v>
      </c>
      <c r="G4750" s="8" t="n">
        <v>46087</v>
      </c>
      <c r="H4750" s="8" t="n">
        <v>46130</v>
      </c>
      <c r="I4750" s="7" t="s">
        <v>102</v>
      </c>
      <c r="J4750" s="7" t="s">
        <v>51</v>
      </c>
      <c r="K4750" s="7" t="n">
        <v>43</v>
      </c>
      <c r="L4750" s="7" t="n">
        <v>6</v>
      </c>
      <c r="M4750" s="7" t="n">
        <v>0</v>
      </c>
      <c r="N4750" s="7" t="s">
        <v>42</v>
      </c>
      <c r="O4750" s="7" t="s">
        <v>52</v>
      </c>
      <c r="P4750" s="7" t="n">
        <v>12.6</v>
      </c>
      <c r="Q4750" s="7" t="n">
        <v>29</v>
      </c>
      <c r="R4750" s="7" t="s">
        <v>44</v>
      </c>
      <c r="S4750" s="7"/>
      <c r="T4750" s="7"/>
      <c r="U4750" s="7" t="str">
        <f aca="false">IF(COUNTIF($A$2:$A$5001,A4750)&gt;1,"Duplicate","Unique")</f>
        <v>Unique</v>
      </c>
      <c r="V4750" s="7" t="str">
        <f aca="false">IF(COUNTIFS($B$2:$B$5001,B4750,$H$2:$H$5001,H4750,$J$2:$J$5001,J4750)&gt;1,"Possible Duplicate Booking","Unique")</f>
        <v>Unique</v>
      </c>
      <c r="W4750" s="7" t="str">
        <f aca="false">IF((H4750-G4750)&lt;&gt;K4750,"Mismatch","OK")</f>
        <v>OK</v>
      </c>
      <c r="X4750" s="7" t="str">
        <f aca="false">IF(TEXT(H4750,"dddd")&lt;&gt;I4750,"Mismatch","OK")</f>
        <v>OK</v>
      </c>
      <c r="Y4750" s="7" t="str">
        <f aca="false">IF(AND(N4750="No",O4750&lt;&gt;""),"Unexpected: channel present but no reminder sent",IF(AND(N4750="Yes",O4750=""),"Missing channel for sent reminder","OK"))</f>
        <v>OK</v>
      </c>
    </row>
    <row r="4751" customFormat="false" ht="15" hidden="false" customHeight="false" outlineLevel="0" collapsed="false">
      <c r="A4751" s="9" t="s">
        <v>6490</v>
      </c>
      <c r="B4751" s="9" t="s">
        <v>673</v>
      </c>
      <c r="C4751" s="9" t="s">
        <v>47</v>
      </c>
      <c r="D4751" s="9" t="n">
        <v>52</v>
      </c>
      <c r="E4751" s="9" t="s">
        <v>56</v>
      </c>
      <c r="F4751" s="9" t="s">
        <v>57</v>
      </c>
      <c r="G4751" s="10" t="n">
        <v>45826</v>
      </c>
      <c r="H4751" s="10" t="n">
        <v>45857</v>
      </c>
      <c r="I4751" s="9" t="s">
        <v>102</v>
      </c>
      <c r="J4751" s="9" t="s">
        <v>41</v>
      </c>
      <c r="K4751" s="9" t="n">
        <v>31</v>
      </c>
      <c r="L4751" s="9" t="n">
        <v>3</v>
      </c>
      <c r="M4751" s="9" t="n">
        <v>0</v>
      </c>
      <c r="N4751" s="9" t="s">
        <v>42</v>
      </c>
      <c r="O4751" s="9" t="s">
        <v>43</v>
      </c>
      <c r="P4751" s="9" t="n">
        <v>7.5</v>
      </c>
      <c r="Q4751" s="9" t="n">
        <v>13</v>
      </c>
      <c r="R4751" s="9" t="s">
        <v>53</v>
      </c>
      <c r="S4751" s="9"/>
      <c r="T4751" s="9"/>
      <c r="U4751" s="9" t="str">
        <f aca="false">IF(COUNTIF($A$2:$A$5001,A4751)&gt;1,"Duplicate","Unique")</f>
        <v>Unique</v>
      </c>
      <c r="V4751" s="9" t="str">
        <f aca="false">IF(COUNTIFS($B$2:$B$5001,B4751,$H$2:$H$5001,H4751,$J$2:$J$5001,J4751)&gt;1,"Possible Duplicate Booking","Unique")</f>
        <v>Unique</v>
      </c>
      <c r="W4751" s="9" t="str">
        <f aca="false">IF((H4751-G4751)&lt;&gt;K4751,"Mismatch","OK")</f>
        <v>OK</v>
      </c>
      <c r="X4751" s="9" t="str">
        <f aca="false">IF(TEXT(H4751,"dddd")&lt;&gt;I4751,"Mismatch","OK")</f>
        <v>OK</v>
      </c>
      <c r="Y4751" s="9" t="str">
        <f aca="false">IF(AND(N4751="No",O4751&lt;&gt;""),"Unexpected: channel present but no reminder sent",IF(AND(N4751="Yes",O4751=""),"Missing channel for sent reminder","OK"))</f>
        <v>OK</v>
      </c>
    </row>
    <row r="4752" customFormat="false" ht="15" hidden="false" customHeight="false" outlineLevel="0" collapsed="false">
      <c r="A4752" s="7" t="s">
        <v>6491</v>
      </c>
      <c r="B4752" s="7" t="s">
        <v>6492</v>
      </c>
      <c r="C4752" s="7" t="s">
        <v>47</v>
      </c>
      <c r="D4752" s="7" t="n">
        <v>59</v>
      </c>
      <c r="E4752" s="7" t="s">
        <v>61</v>
      </c>
      <c r="F4752" s="7" t="s">
        <v>57</v>
      </c>
      <c r="G4752" s="8" t="n">
        <v>45663</v>
      </c>
      <c r="H4752" s="8" t="n">
        <v>45680</v>
      </c>
      <c r="I4752" s="7" t="s">
        <v>62</v>
      </c>
      <c r="J4752" s="7" t="s">
        <v>41</v>
      </c>
      <c r="K4752" s="7" t="n">
        <v>17</v>
      </c>
      <c r="L4752" s="7" t="n">
        <v>5</v>
      </c>
      <c r="M4752" s="7" t="n">
        <v>2</v>
      </c>
      <c r="N4752" s="7" t="s">
        <v>42</v>
      </c>
      <c r="O4752" s="7" t="s">
        <v>52</v>
      </c>
      <c r="P4752" s="7" t="n">
        <v>12.6</v>
      </c>
      <c r="Q4752" s="7" t="n">
        <v>44</v>
      </c>
      <c r="R4752" s="7" t="s">
        <v>44</v>
      </c>
      <c r="S4752" s="7"/>
      <c r="T4752" s="7"/>
      <c r="U4752" s="7" t="str">
        <f aca="false">IF(COUNTIF($A$2:$A$5001,A4752)&gt;1,"Duplicate","Unique")</f>
        <v>Unique</v>
      </c>
      <c r="V4752" s="7" t="str">
        <f aca="false">IF(COUNTIFS($B$2:$B$5001,B4752,$H$2:$H$5001,H4752,$J$2:$J$5001,J4752)&gt;1,"Possible Duplicate Booking","Unique")</f>
        <v>Unique</v>
      </c>
      <c r="W4752" s="7" t="str">
        <f aca="false">IF((H4752-G4752)&lt;&gt;K4752,"Mismatch","OK")</f>
        <v>OK</v>
      </c>
      <c r="X4752" s="7" t="str">
        <f aca="false">IF(TEXT(H4752,"dddd")&lt;&gt;I4752,"Mismatch","OK")</f>
        <v>OK</v>
      </c>
      <c r="Y4752" s="7" t="str">
        <f aca="false">IF(AND(N4752="No",O4752&lt;&gt;""),"Unexpected: channel present but no reminder sent",IF(AND(N4752="Yes",O4752=""),"Missing channel for sent reminder","OK"))</f>
        <v>OK</v>
      </c>
    </row>
    <row r="4753" customFormat="false" ht="15" hidden="false" customHeight="false" outlineLevel="0" collapsed="false">
      <c r="A4753" s="9" t="s">
        <v>6493</v>
      </c>
      <c r="B4753" s="9" t="s">
        <v>4327</v>
      </c>
      <c r="C4753" s="9" t="s">
        <v>47</v>
      </c>
      <c r="D4753" s="9" t="n">
        <v>27</v>
      </c>
      <c r="E4753" s="9" t="s">
        <v>48</v>
      </c>
      <c r="F4753" s="9" t="s">
        <v>57</v>
      </c>
      <c r="G4753" s="10" t="n">
        <v>45706</v>
      </c>
      <c r="H4753" s="10" t="n">
        <v>45739</v>
      </c>
      <c r="I4753" s="9" t="s">
        <v>75</v>
      </c>
      <c r="J4753" s="9" t="s">
        <v>41</v>
      </c>
      <c r="K4753" s="9" t="n">
        <v>33</v>
      </c>
      <c r="L4753" s="9" t="n">
        <v>2</v>
      </c>
      <c r="M4753" s="9" t="n">
        <v>0</v>
      </c>
      <c r="N4753" s="9" t="s">
        <v>42</v>
      </c>
      <c r="O4753" s="9" t="s">
        <v>67</v>
      </c>
      <c r="P4753" s="9" t="n">
        <v>13.9</v>
      </c>
      <c r="Q4753" s="9" t="n">
        <v>9</v>
      </c>
      <c r="R4753" s="9" t="s">
        <v>53</v>
      </c>
      <c r="S4753" s="9"/>
      <c r="T4753" s="9"/>
      <c r="U4753" s="9" t="str">
        <f aca="false">IF(COUNTIF($A$2:$A$5001,A4753)&gt;1,"Duplicate","Unique")</f>
        <v>Unique</v>
      </c>
      <c r="V4753" s="9" t="str">
        <f aca="false">IF(COUNTIFS($B$2:$B$5001,B4753,$H$2:$H$5001,H4753,$J$2:$J$5001,J4753)&gt;1,"Possible Duplicate Booking","Unique")</f>
        <v>Unique</v>
      </c>
      <c r="W4753" s="9" t="str">
        <f aca="false">IF((H4753-G4753)&lt;&gt;K4753,"Mismatch","OK")</f>
        <v>OK</v>
      </c>
      <c r="X4753" s="9" t="str">
        <f aca="false">IF(TEXT(H4753,"dddd")&lt;&gt;I4753,"Mismatch","OK")</f>
        <v>OK</v>
      </c>
      <c r="Y4753" s="9" t="str">
        <f aca="false">IF(AND(N4753="No",O4753&lt;&gt;""),"Unexpected: channel present but no reminder sent",IF(AND(N4753="Yes",O4753=""),"Missing channel for sent reminder","OK"))</f>
        <v>OK</v>
      </c>
    </row>
    <row r="4754" customFormat="false" ht="15" hidden="false" customHeight="false" outlineLevel="0" collapsed="false">
      <c r="A4754" s="7" t="s">
        <v>6494</v>
      </c>
      <c r="B4754" s="7" t="s">
        <v>1185</v>
      </c>
      <c r="C4754" s="7" t="s">
        <v>47</v>
      </c>
      <c r="D4754" s="7" t="n">
        <v>21</v>
      </c>
      <c r="E4754" s="7" t="s">
        <v>82</v>
      </c>
      <c r="F4754" s="7" t="s">
        <v>49</v>
      </c>
      <c r="G4754" s="8" t="n">
        <v>46050</v>
      </c>
      <c r="H4754" s="8" t="n">
        <v>46098</v>
      </c>
      <c r="I4754" s="7" t="s">
        <v>40</v>
      </c>
      <c r="J4754" s="7" t="s">
        <v>63</v>
      </c>
      <c r="K4754" s="7" t="n">
        <v>48</v>
      </c>
      <c r="L4754" s="7" t="n">
        <v>3</v>
      </c>
      <c r="M4754" s="7" t="n">
        <v>0</v>
      </c>
      <c r="N4754" s="7" t="s">
        <v>71</v>
      </c>
      <c r="O4754" s="7"/>
      <c r="P4754" s="7" t="n">
        <v>17</v>
      </c>
      <c r="Q4754" s="7" t="n">
        <v>22</v>
      </c>
      <c r="R4754" s="7" t="s">
        <v>44</v>
      </c>
      <c r="S4754" s="7"/>
      <c r="T4754" s="7"/>
      <c r="U4754" s="7" t="str">
        <f aca="false">IF(COUNTIF($A$2:$A$5001,A4754)&gt;1,"Duplicate","Unique")</f>
        <v>Unique</v>
      </c>
      <c r="V4754" s="7" t="str">
        <f aca="false">IF(COUNTIFS($B$2:$B$5001,B4754,$H$2:$H$5001,H4754,$J$2:$J$5001,J4754)&gt;1,"Possible Duplicate Booking","Unique")</f>
        <v>Unique</v>
      </c>
      <c r="W4754" s="7" t="str">
        <f aca="false">IF((H4754-G4754)&lt;&gt;K4754,"Mismatch","OK")</f>
        <v>OK</v>
      </c>
      <c r="X4754" s="7" t="str">
        <f aca="false">IF(TEXT(H4754,"dddd")&lt;&gt;I4754,"Mismatch","OK")</f>
        <v>OK</v>
      </c>
      <c r="Y4754" s="7" t="str">
        <f aca="false">IF(AND(N4754="No",O4754&lt;&gt;""),"Unexpected: channel present but no reminder sent",IF(AND(N4754="Yes",O4754=""),"Missing channel for sent reminder","OK"))</f>
        <v>OK</v>
      </c>
    </row>
    <row r="4755" customFormat="false" ht="15" hidden="false" customHeight="false" outlineLevel="0" collapsed="false">
      <c r="A4755" s="9" t="s">
        <v>6495</v>
      </c>
      <c r="B4755" s="9" t="s">
        <v>1784</v>
      </c>
      <c r="C4755" s="9" t="s">
        <v>47</v>
      </c>
      <c r="D4755" s="9" t="n">
        <v>22</v>
      </c>
      <c r="E4755" s="9" t="s">
        <v>82</v>
      </c>
      <c r="F4755" s="9" t="s">
        <v>57</v>
      </c>
      <c r="G4755" s="10" t="n">
        <v>46121</v>
      </c>
      <c r="H4755" s="10" t="n">
        <v>46134</v>
      </c>
      <c r="I4755" s="9" t="s">
        <v>58</v>
      </c>
      <c r="J4755" s="9" t="s">
        <v>51</v>
      </c>
      <c r="K4755" s="9" t="n">
        <v>13</v>
      </c>
      <c r="L4755" s="9" t="n">
        <v>4</v>
      </c>
      <c r="M4755" s="9" t="n">
        <v>2</v>
      </c>
      <c r="N4755" s="9" t="s">
        <v>42</v>
      </c>
      <c r="O4755" s="9" t="s">
        <v>43</v>
      </c>
      <c r="P4755" s="9" t="n">
        <v>1.6</v>
      </c>
      <c r="Q4755" s="9" t="n">
        <v>37</v>
      </c>
      <c r="R4755" s="9" t="s">
        <v>53</v>
      </c>
      <c r="S4755" s="9"/>
      <c r="T4755" s="9"/>
      <c r="U4755" s="9" t="str">
        <f aca="false">IF(COUNTIF($A$2:$A$5001,A4755)&gt;1,"Duplicate","Unique")</f>
        <v>Unique</v>
      </c>
      <c r="V4755" s="9" t="str">
        <f aca="false">IF(COUNTIFS($B$2:$B$5001,B4755,$H$2:$H$5001,H4755,$J$2:$J$5001,J4755)&gt;1,"Possible Duplicate Booking","Unique")</f>
        <v>Unique</v>
      </c>
      <c r="W4755" s="9" t="str">
        <f aca="false">IF((H4755-G4755)&lt;&gt;K4755,"Mismatch","OK")</f>
        <v>OK</v>
      </c>
      <c r="X4755" s="9" t="str">
        <f aca="false">IF(TEXT(H4755,"dddd")&lt;&gt;I4755,"Mismatch","OK")</f>
        <v>OK</v>
      </c>
      <c r="Y4755" s="9" t="str">
        <f aca="false">IF(AND(N4755="No",O4755&lt;&gt;""),"Unexpected: channel present but no reminder sent",IF(AND(N4755="Yes",O4755=""),"Missing channel for sent reminder","OK"))</f>
        <v>OK</v>
      </c>
    </row>
    <row r="4756" customFormat="false" ht="15" hidden="false" customHeight="false" outlineLevel="0" collapsed="false">
      <c r="A4756" s="7" t="s">
        <v>6496</v>
      </c>
      <c r="B4756" s="7" t="s">
        <v>1893</v>
      </c>
      <c r="C4756" s="7" t="s">
        <v>47</v>
      </c>
      <c r="D4756" s="7" t="n">
        <v>78</v>
      </c>
      <c r="E4756" s="7" t="s">
        <v>70</v>
      </c>
      <c r="F4756" s="7" t="s">
        <v>57</v>
      </c>
      <c r="G4756" s="8" t="n">
        <v>45738</v>
      </c>
      <c r="H4756" s="8" t="n">
        <v>45773</v>
      </c>
      <c r="I4756" s="7" t="s">
        <v>102</v>
      </c>
      <c r="J4756" s="7" t="s">
        <v>41</v>
      </c>
      <c r="K4756" s="7" t="n">
        <v>35</v>
      </c>
      <c r="L4756" s="7" t="n">
        <v>1</v>
      </c>
      <c r="M4756" s="7" t="n">
        <v>0</v>
      </c>
      <c r="N4756" s="7" t="s">
        <v>42</v>
      </c>
      <c r="O4756" s="7" t="s">
        <v>52</v>
      </c>
      <c r="P4756" s="7" t="n">
        <v>8.8</v>
      </c>
      <c r="Q4756" s="7" t="n">
        <v>27</v>
      </c>
      <c r="R4756" s="7" t="s">
        <v>44</v>
      </c>
      <c r="S4756" s="7"/>
      <c r="T4756" s="7"/>
      <c r="U4756" s="7" t="str">
        <f aca="false">IF(COUNTIF($A$2:$A$5001,A4756)&gt;1,"Duplicate","Unique")</f>
        <v>Unique</v>
      </c>
      <c r="V4756" s="7" t="str">
        <f aca="false">IF(COUNTIFS($B$2:$B$5001,B4756,$H$2:$H$5001,H4756,$J$2:$J$5001,J4756)&gt;1,"Possible Duplicate Booking","Unique")</f>
        <v>Unique</v>
      </c>
      <c r="W4756" s="7" t="str">
        <f aca="false">IF((H4756-G4756)&lt;&gt;K4756,"Mismatch","OK")</f>
        <v>OK</v>
      </c>
      <c r="X4756" s="7" t="str">
        <f aca="false">IF(TEXT(H4756,"dddd")&lt;&gt;I4756,"Mismatch","OK")</f>
        <v>OK</v>
      </c>
      <c r="Y4756" s="7" t="str">
        <f aca="false">IF(AND(N4756="No",O4756&lt;&gt;""),"Unexpected: channel present but no reminder sent",IF(AND(N4756="Yes",O4756=""),"Missing channel for sent reminder","OK"))</f>
        <v>OK</v>
      </c>
    </row>
    <row r="4757" customFormat="false" ht="15" hidden="false" customHeight="false" outlineLevel="0" collapsed="false">
      <c r="A4757" s="9" t="s">
        <v>6497</v>
      </c>
      <c r="B4757" s="9" t="s">
        <v>2345</v>
      </c>
      <c r="C4757" s="9" t="s">
        <v>47</v>
      </c>
      <c r="D4757" s="9" t="n">
        <v>78</v>
      </c>
      <c r="E4757" s="9" t="s">
        <v>70</v>
      </c>
      <c r="F4757" s="9" t="s">
        <v>74</v>
      </c>
      <c r="G4757" s="10" t="n">
        <v>45945</v>
      </c>
      <c r="H4757" s="10" t="n">
        <v>45986</v>
      </c>
      <c r="I4757" s="9" t="s">
        <v>40</v>
      </c>
      <c r="J4757" s="9" t="s">
        <v>41</v>
      </c>
      <c r="K4757" s="9" t="n">
        <v>41</v>
      </c>
      <c r="L4757" s="9" t="n">
        <v>4</v>
      </c>
      <c r="M4757" s="9" t="n">
        <v>0</v>
      </c>
      <c r="N4757" s="9" t="s">
        <v>42</v>
      </c>
      <c r="O4757" s="9" t="s">
        <v>67</v>
      </c>
      <c r="P4757" s="9" t="n">
        <v>3.7</v>
      </c>
      <c r="Q4757" s="9" t="n">
        <v>20</v>
      </c>
      <c r="R4757" s="9" t="s">
        <v>53</v>
      </c>
      <c r="S4757" s="9"/>
      <c r="T4757" s="9"/>
      <c r="U4757" s="9" t="str">
        <f aca="false">IF(COUNTIF($A$2:$A$5001,A4757)&gt;1,"Duplicate","Unique")</f>
        <v>Unique</v>
      </c>
      <c r="V4757" s="9" t="str">
        <f aca="false">IF(COUNTIFS($B$2:$B$5001,B4757,$H$2:$H$5001,H4757,$J$2:$J$5001,J4757)&gt;1,"Possible Duplicate Booking","Unique")</f>
        <v>Unique</v>
      </c>
      <c r="W4757" s="9" t="str">
        <f aca="false">IF((H4757-G4757)&lt;&gt;K4757,"Mismatch","OK")</f>
        <v>OK</v>
      </c>
      <c r="X4757" s="9" t="str">
        <f aca="false">IF(TEXT(H4757,"dddd")&lt;&gt;I4757,"Mismatch","OK")</f>
        <v>OK</v>
      </c>
      <c r="Y4757" s="9" t="str">
        <f aca="false">IF(AND(N4757="No",O4757&lt;&gt;""),"Unexpected: channel present but no reminder sent",IF(AND(N4757="Yes",O4757=""),"Missing channel for sent reminder","OK"))</f>
        <v>OK</v>
      </c>
    </row>
    <row r="4758" customFormat="false" ht="15" hidden="false" customHeight="false" outlineLevel="0" collapsed="false">
      <c r="A4758" s="7" t="s">
        <v>6498</v>
      </c>
      <c r="B4758" s="7" t="s">
        <v>1195</v>
      </c>
      <c r="C4758" s="7" t="s">
        <v>47</v>
      </c>
      <c r="D4758" s="7" t="n">
        <v>44</v>
      </c>
      <c r="E4758" s="7" t="s">
        <v>38</v>
      </c>
      <c r="F4758" s="7" t="s">
        <v>49</v>
      </c>
      <c r="G4758" s="8" t="n">
        <v>45952</v>
      </c>
      <c r="H4758" s="8" t="n">
        <v>45971</v>
      </c>
      <c r="I4758" s="7" t="s">
        <v>66</v>
      </c>
      <c r="J4758" s="7" t="s">
        <v>41</v>
      </c>
      <c r="K4758" s="7" t="n">
        <v>19</v>
      </c>
      <c r="L4758" s="7" t="n">
        <v>3</v>
      </c>
      <c r="M4758" s="7" t="n">
        <v>2</v>
      </c>
      <c r="N4758" s="7" t="s">
        <v>42</v>
      </c>
      <c r="O4758" s="7" t="s">
        <v>52</v>
      </c>
      <c r="P4758" s="7" t="n">
        <v>5</v>
      </c>
      <c r="Q4758" s="7" t="n">
        <v>37</v>
      </c>
      <c r="R4758" s="7" t="s">
        <v>53</v>
      </c>
      <c r="S4758" s="7"/>
      <c r="T4758" s="7"/>
      <c r="U4758" s="7" t="str">
        <f aca="false">IF(COUNTIF($A$2:$A$5001,A4758)&gt;1,"Duplicate","Unique")</f>
        <v>Unique</v>
      </c>
      <c r="V4758" s="7" t="str">
        <f aca="false">IF(COUNTIFS($B$2:$B$5001,B4758,$H$2:$H$5001,H4758,$J$2:$J$5001,J4758)&gt;1,"Possible Duplicate Booking","Unique")</f>
        <v>Unique</v>
      </c>
      <c r="W4758" s="7" t="str">
        <f aca="false">IF((H4758-G4758)&lt;&gt;K4758,"Mismatch","OK")</f>
        <v>OK</v>
      </c>
      <c r="X4758" s="7" t="str">
        <f aca="false">IF(TEXT(H4758,"dddd")&lt;&gt;I4758,"Mismatch","OK")</f>
        <v>OK</v>
      </c>
      <c r="Y4758" s="7" t="str">
        <f aca="false">IF(AND(N4758="No",O4758&lt;&gt;""),"Unexpected: channel present but no reminder sent",IF(AND(N4758="Yes",O4758=""),"Missing channel for sent reminder","OK"))</f>
        <v>OK</v>
      </c>
    </row>
    <row r="4759" customFormat="false" ht="15" hidden="false" customHeight="false" outlineLevel="0" collapsed="false">
      <c r="A4759" s="9" t="s">
        <v>6499</v>
      </c>
      <c r="B4759" s="9" t="s">
        <v>439</v>
      </c>
      <c r="C4759" s="9" t="s">
        <v>37</v>
      </c>
      <c r="D4759" s="9" t="n">
        <v>44</v>
      </c>
      <c r="E4759" s="9" t="s">
        <v>38</v>
      </c>
      <c r="F4759" s="9" t="s">
        <v>57</v>
      </c>
      <c r="G4759" s="10" t="n">
        <v>45708</v>
      </c>
      <c r="H4759" s="10" t="n">
        <v>45731</v>
      </c>
      <c r="I4759" s="9" t="s">
        <v>102</v>
      </c>
      <c r="J4759" s="9" t="s">
        <v>51</v>
      </c>
      <c r="K4759" s="9" t="n">
        <v>23</v>
      </c>
      <c r="L4759" s="9" t="n">
        <v>1</v>
      </c>
      <c r="M4759" s="9" t="n">
        <v>0</v>
      </c>
      <c r="N4759" s="9" t="s">
        <v>42</v>
      </c>
      <c r="O4759" s="9" t="s">
        <v>52</v>
      </c>
      <c r="P4759" s="9" t="n">
        <v>4.7</v>
      </c>
      <c r="Q4759" s="9" t="n">
        <v>14</v>
      </c>
      <c r="R4759" s="9" t="s">
        <v>53</v>
      </c>
      <c r="S4759" s="9"/>
      <c r="T4759" s="9"/>
      <c r="U4759" s="9" t="str">
        <f aca="false">IF(COUNTIF($A$2:$A$5001,A4759)&gt;1,"Duplicate","Unique")</f>
        <v>Unique</v>
      </c>
      <c r="V4759" s="9" t="str">
        <f aca="false">IF(COUNTIFS($B$2:$B$5001,B4759,$H$2:$H$5001,H4759,$J$2:$J$5001,J4759)&gt;1,"Possible Duplicate Booking","Unique")</f>
        <v>Unique</v>
      </c>
      <c r="W4759" s="9" t="str">
        <f aca="false">IF((H4759-G4759)&lt;&gt;K4759,"Mismatch","OK")</f>
        <v>OK</v>
      </c>
      <c r="X4759" s="9" t="str">
        <f aca="false">IF(TEXT(H4759,"dddd")&lt;&gt;I4759,"Mismatch","OK")</f>
        <v>OK</v>
      </c>
      <c r="Y4759" s="9" t="str">
        <f aca="false">IF(AND(N4759="No",O4759&lt;&gt;""),"Unexpected: channel present but no reminder sent",IF(AND(N4759="Yes",O4759=""),"Missing channel for sent reminder","OK"))</f>
        <v>OK</v>
      </c>
    </row>
    <row r="4760" customFormat="false" ht="15" hidden="false" customHeight="false" outlineLevel="0" collapsed="false">
      <c r="A4760" s="7" t="s">
        <v>6500</v>
      </c>
      <c r="B4760" s="7" t="s">
        <v>1643</v>
      </c>
      <c r="C4760" s="7" t="s">
        <v>37</v>
      </c>
      <c r="D4760" s="7" t="n">
        <v>43</v>
      </c>
      <c r="E4760" s="7" t="s">
        <v>38</v>
      </c>
      <c r="F4760" s="7" t="s">
        <v>57</v>
      </c>
      <c r="G4760" s="8" t="n">
        <v>45850</v>
      </c>
      <c r="H4760" s="8" t="n">
        <v>45904</v>
      </c>
      <c r="I4760" s="7" t="s">
        <v>62</v>
      </c>
      <c r="J4760" s="7" t="s">
        <v>51</v>
      </c>
      <c r="K4760" s="7" t="n">
        <v>54</v>
      </c>
      <c r="L4760" s="7" t="n">
        <v>7</v>
      </c>
      <c r="M4760" s="7" t="n">
        <v>1</v>
      </c>
      <c r="N4760" s="7" t="s">
        <v>42</v>
      </c>
      <c r="O4760" s="7" t="s">
        <v>43</v>
      </c>
      <c r="P4760" s="7" t="n">
        <v>10.5</v>
      </c>
      <c r="Q4760" s="7" t="n">
        <v>21</v>
      </c>
      <c r="R4760" s="7" t="s">
        <v>44</v>
      </c>
      <c r="S4760" s="7"/>
      <c r="T4760" s="7"/>
      <c r="U4760" s="7" t="str">
        <f aca="false">IF(COUNTIF($A$2:$A$5001,A4760)&gt;1,"Duplicate","Unique")</f>
        <v>Unique</v>
      </c>
      <c r="V4760" s="7" t="str">
        <f aca="false">IF(COUNTIFS($B$2:$B$5001,B4760,$H$2:$H$5001,H4760,$J$2:$J$5001,J4760)&gt;1,"Possible Duplicate Booking","Unique")</f>
        <v>Unique</v>
      </c>
      <c r="W4760" s="7" t="str">
        <f aca="false">IF((H4760-G4760)&lt;&gt;K4760,"Mismatch","OK")</f>
        <v>OK</v>
      </c>
      <c r="X4760" s="7" t="str">
        <f aca="false">IF(TEXT(H4760,"dddd")&lt;&gt;I4760,"Mismatch","OK")</f>
        <v>OK</v>
      </c>
      <c r="Y4760" s="7" t="str">
        <f aca="false">IF(AND(N4760="No",O4760&lt;&gt;""),"Unexpected: channel present but no reminder sent",IF(AND(N4760="Yes",O4760=""),"Missing channel for sent reminder","OK"))</f>
        <v>OK</v>
      </c>
    </row>
    <row r="4761" customFormat="false" ht="15" hidden="false" customHeight="false" outlineLevel="0" collapsed="false">
      <c r="A4761" s="9" t="s">
        <v>6501</v>
      </c>
      <c r="B4761" s="9" t="s">
        <v>877</v>
      </c>
      <c r="C4761" s="9" t="s">
        <v>37</v>
      </c>
      <c r="D4761" s="9" t="n">
        <v>40</v>
      </c>
      <c r="E4761" s="9" t="s">
        <v>38</v>
      </c>
      <c r="F4761" s="9" t="s">
        <v>49</v>
      </c>
      <c r="G4761" s="10" t="n">
        <v>46014</v>
      </c>
      <c r="H4761" s="10" t="n">
        <v>46036</v>
      </c>
      <c r="I4761" s="9" t="s">
        <v>58</v>
      </c>
      <c r="J4761" s="9" t="s">
        <v>41</v>
      </c>
      <c r="K4761" s="9" t="n">
        <v>22</v>
      </c>
      <c r="L4761" s="9" t="n">
        <v>4</v>
      </c>
      <c r="M4761" s="9" t="n">
        <v>1</v>
      </c>
      <c r="N4761" s="9" t="s">
        <v>71</v>
      </c>
      <c r="O4761" s="9"/>
      <c r="P4761" s="9" t="n">
        <v>5.8</v>
      </c>
      <c r="Q4761" s="9" t="n">
        <v>6</v>
      </c>
      <c r="R4761" s="9" t="s">
        <v>53</v>
      </c>
      <c r="S4761" s="9"/>
      <c r="T4761" s="9"/>
      <c r="U4761" s="9" t="str">
        <f aca="false">IF(COUNTIF($A$2:$A$5001,A4761)&gt;1,"Duplicate","Unique")</f>
        <v>Unique</v>
      </c>
      <c r="V4761" s="9" t="str">
        <f aca="false">IF(COUNTIFS($B$2:$B$5001,B4761,$H$2:$H$5001,H4761,$J$2:$J$5001,J4761)&gt;1,"Possible Duplicate Booking","Unique")</f>
        <v>Unique</v>
      </c>
      <c r="W4761" s="9" t="str">
        <f aca="false">IF((H4761-G4761)&lt;&gt;K4761,"Mismatch","OK")</f>
        <v>OK</v>
      </c>
      <c r="X4761" s="9" t="str">
        <f aca="false">IF(TEXT(H4761,"dddd")&lt;&gt;I4761,"Mismatch","OK")</f>
        <v>OK</v>
      </c>
      <c r="Y4761" s="9" t="str">
        <f aca="false">IF(AND(N4761="No",O4761&lt;&gt;""),"Unexpected: channel present but no reminder sent",IF(AND(N4761="Yes",O4761=""),"Missing channel for sent reminder","OK"))</f>
        <v>OK</v>
      </c>
    </row>
    <row r="4762" customFormat="false" ht="15" hidden="false" customHeight="false" outlineLevel="0" collapsed="false">
      <c r="A4762" s="7" t="s">
        <v>6502</v>
      </c>
      <c r="B4762" s="7" t="s">
        <v>2697</v>
      </c>
      <c r="C4762" s="7" t="s">
        <v>47</v>
      </c>
      <c r="D4762" s="7" t="n">
        <v>52</v>
      </c>
      <c r="E4762" s="7" t="s">
        <v>56</v>
      </c>
      <c r="F4762" s="7" t="s">
        <v>57</v>
      </c>
      <c r="G4762" s="8" t="n">
        <v>46150</v>
      </c>
      <c r="H4762" s="8" t="n">
        <v>46186</v>
      </c>
      <c r="I4762" s="7" t="s">
        <v>102</v>
      </c>
      <c r="J4762" s="7" t="s">
        <v>41</v>
      </c>
      <c r="K4762" s="7" t="n">
        <v>36</v>
      </c>
      <c r="L4762" s="7" t="n">
        <v>2</v>
      </c>
      <c r="M4762" s="7" t="n">
        <v>0</v>
      </c>
      <c r="N4762" s="7" t="s">
        <v>71</v>
      </c>
      <c r="O4762" s="7"/>
      <c r="P4762" s="7" t="n">
        <v>1.5</v>
      </c>
      <c r="Q4762" s="7" t="n">
        <v>34</v>
      </c>
      <c r="R4762" s="7" t="s">
        <v>44</v>
      </c>
      <c r="S4762" s="7"/>
      <c r="T4762" s="7"/>
      <c r="U4762" s="7" t="str">
        <f aca="false">IF(COUNTIF($A$2:$A$5001,A4762)&gt;1,"Duplicate","Unique")</f>
        <v>Unique</v>
      </c>
      <c r="V4762" s="7" t="str">
        <f aca="false">IF(COUNTIFS($B$2:$B$5001,B4762,$H$2:$H$5001,H4762,$J$2:$J$5001,J4762)&gt;1,"Possible Duplicate Booking","Unique")</f>
        <v>Unique</v>
      </c>
      <c r="W4762" s="7" t="str">
        <f aca="false">IF((H4762-G4762)&lt;&gt;K4762,"Mismatch","OK")</f>
        <v>OK</v>
      </c>
      <c r="X4762" s="7" t="str">
        <f aca="false">IF(TEXT(H4762,"dddd")&lt;&gt;I4762,"Mismatch","OK")</f>
        <v>OK</v>
      </c>
      <c r="Y4762" s="7" t="str">
        <f aca="false">IF(AND(N4762="No",O4762&lt;&gt;""),"Unexpected: channel present but no reminder sent",IF(AND(N4762="Yes",O4762=""),"Missing channel for sent reminder","OK"))</f>
        <v>OK</v>
      </c>
    </row>
    <row r="4763" customFormat="false" ht="15" hidden="false" customHeight="false" outlineLevel="0" collapsed="false">
      <c r="A4763" s="9" t="s">
        <v>6503</v>
      </c>
      <c r="B4763" s="9" t="s">
        <v>4795</v>
      </c>
      <c r="C4763" s="9" t="s">
        <v>47</v>
      </c>
      <c r="D4763" s="9" t="n">
        <v>40</v>
      </c>
      <c r="E4763" s="9" t="s">
        <v>38</v>
      </c>
      <c r="F4763" s="9" t="s">
        <v>39</v>
      </c>
      <c r="G4763" s="10" t="n">
        <v>46111</v>
      </c>
      <c r="H4763" s="10" t="n">
        <v>46120</v>
      </c>
      <c r="I4763" s="9" t="s">
        <v>58</v>
      </c>
      <c r="J4763" s="9" t="s">
        <v>51</v>
      </c>
      <c r="K4763" s="9" t="n">
        <v>9</v>
      </c>
      <c r="L4763" s="9" t="n">
        <v>3</v>
      </c>
      <c r="M4763" s="9" t="n">
        <v>0</v>
      </c>
      <c r="N4763" s="9" t="s">
        <v>42</v>
      </c>
      <c r="O4763" s="9" t="s">
        <v>52</v>
      </c>
      <c r="P4763" s="9" t="n">
        <v>11.6</v>
      </c>
      <c r="Q4763" s="9" t="n">
        <v>30</v>
      </c>
      <c r="R4763" s="9" t="s">
        <v>44</v>
      </c>
      <c r="S4763" s="9"/>
      <c r="T4763" s="9"/>
      <c r="U4763" s="9" t="str">
        <f aca="false">IF(COUNTIF($A$2:$A$5001,A4763)&gt;1,"Duplicate","Unique")</f>
        <v>Unique</v>
      </c>
      <c r="V4763" s="9" t="str">
        <f aca="false">IF(COUNTIFS($B$2:$B$5001,B4763,$H$2:$H$5001,H4763,$J$2:$J$5001,J4763)&gt;1,"Possible Duplicate Booking","Unique")</f>
        <v>Unique</v>
      </c>
      <c r="W4763" s="9" t="str">
        <f aca="false">IF((H4763-G4763)&lt;&gt;K4763,"Mismatch","OK")</f>
        <v>OK</v>
      </c>
      <c r="X4763" s="9" t="str">
        <f aca="false">IF(TEXT(H4763,"dddd")&lt;&gt;I4763,"Mismatch","OK")</f>
        <v>OK</v>
      </c>
      <c r="Y4763" s="9" t="str">
        <f aca="false">IF(AND(N4763="No",O4763&lt;&gt;""),"Unexpected: channel present but no reminder sent",IF(AND(N4763="Yes",O4763=""),"Missing channel for sent reminder","OK"))</f>
        <v>OK</v>
      </c>
    </row>
    <row r="4764" customFormat="false" ht="15" hidden="false" customHeight="false" outlineLevel="0" collapsed="false">
      <c r="A4764" s="7" t="s">
        <v>6504</v>
      </c>
      <c r="B4764" s="7" t="s">
        <v>4872</v>
      </c>
      <c r="C4764" s="7" t="s">
        <v>47</v>
      </c>
      <c r="D4764" s="7" t="n">
        <v>56</v>
      </c>
      <c r="E4764" s="7" t="s">
        <v>61</v>
      </c>
      <c r="F4764" s="7" t="s">
        <v>39</v>
      </c>
      <c r="G4764" s="8" t="n">
        <v>45655</v>
      </c>
      <c r="H4764" s="8" t="n">
        <v>45711</v>
      </c>
      <c r="I4764" s="7" t="s">
        <v>75</v>
      </c>
      <c r="J4764" s="7" t="s">
        <v>51</v>
      </c>
      <c r="K4764" s="7" t="n">
        <v>56</v>
      </c>
      <c r="L4764" s="7" t="n">
        <v>2</v>
      </c>
      <c r="M4764" s="7" t="n">
        <v>1</v>
      </c>
      <c r="N4764" s="7" t="s">
        <v>42</v>
      </c>
      <c r="O4764" s="7" t="s">
        <v>52</v>
      </c>
      <c r="P4764" s="7" t="n">
        <v>3.7</v>
      </c>
      <c r="Q4764" s="7" t="n">
        <v>30</v>
      </c>
      <c r="R4764" s="7" t="s">
        <v>44</v>
      </c>
      <c r="S4764" s="7"/>
      <c r="T4764" s="7"/>
      <c r="U4764" s="7" t="str">
        <f aca="false">IF(COUNTIF($A$2:$A$5001,A4764)&gt;1,"Duplicate","Unique")</f>
        <v>Unique</v>
      </c>
      <c r="V4764" s="7" t="str">
        <f aca="false">IF(COUNTIFS($B$2:$B$5001,B4764,$H$2:$H$5001,H4764,$J$2:$J$5001,J4764)&gt;1,"Possible Duplicate Booking","Unique")</f>
        <v>Unique</v>
      </c>
      <c r="W4764" s="7" t="str">
        <f aca="false">IF((H4764-G4764)&lt;&gt;K4764,"Mismatch","OK")</f>
        <v>OK</v>
      </c>
      <c r="X4764" s="7" t="str">
        <f aca="false">IF(TEXT(H4764,"dddd")&lt;&gt;I4764,"Mismatch","OK")</f>
        <v>OK</v>
      </c>
      <c r="Y4764" s="7" t="str">
        <f aca="false">IF(AND(N4764="No",O4764&lt;&gt;""),"Unexpected: channel present but no reminder sent",IF(AND(N4764="Yes",O4764=""),"Missing channel for sent reminder","OK"))</f>
        <v>OK</v>
      </c>
    </row>
    <row r="4765" customFormat="false" ht="15" hidden="false" customHeight="false" outlineLevel="0" collapsed="false">
      <c r="A4765" s="9" t="s">
        <v>6505</v>
      </c>
      <c r="B4765" s="9" t="s">
        <v>480</v>
      </c>
      <c r="C4765" s="9" t="s">
        <v>47</v>
      </c>
      <c r="D4765" s="9" t="n">
        <v>41</v>
      </c>
      <c r="E4765" s="9" t="s">
        <v>38</v>
      </c>
      <c r="F4765" s="9" t="s">
        <v>57</v>
      </c>
      <c r="G4765" s="10" t="n">
        <v>45751</v>
      </c>
      <c r="H4765" s="10" t="n">
        <v>45787</v>
      </c>
      <c r="I4765" s="9" t="s">
        <v>102</v>
      </c>
      <c r="J4765" s="9" t="s">
        <v>41</v>
      </c>
      <c r="K4765" s="9" t="n">
        <v>36</v>
      </c>
      <c r="L4765" s="9" t="n">
        <v>3</v>
      </c>
      <c r="M4765" s="9" t="n">
        <v>0</v>
      </c>
      <c r="N4765" s="9" t="s">
        <v>42</v>
      </c>
      <c r="O4765" s="9" t="s">
        <v>43</v>
      </c>
      <c r="P4765" s="9" t="n">
        <v>3.8</v>
      </c>
      <c r="Q4765" s="9" t="n">
        <v>25</v>
      </c>
      <c r="R4765" s="9" t="s">
        <v>53</v>
      </c>
      <c r="S4765" s="9"/>
      <c r="T4765" s="9"/>
      <c r="U4765" s="9" t="str">
        <f aca="false">IF(COUNTIF($A$2:$A$5001,A4765)&gt;1,"Duplicate","Unique")</f>
        <v>Unique</v>
      </c>
      <c r="V4765" s="9" t="str">
        <f aca="false">IF(COUNTIFS($B$2:$B$5001,B4765,$H$2:$H$5001,H4765,$J$2:$J$5001,J4765)&gt;1,"Possible Duplicate Booking","Unique")</f>
        <v>Unique</v>
      </c>
      <c r="W4765" s="9" t="str">
        <f aca="false">IF((H4765-G4765)&lt;&gt;K4765,"Mismatch","OK")</f>
        <v>OK</v>
      </c>
      <c r="X4765" s="9" t="str">
        <f aca="false">IF(TEXT(H4765,"dddd")&lt;&gt;I4765,"Mismatch","OK")</f>
        <v>OK</v>
      </c>
      <c r="Y4765" s="9" t="str">
        <f aca="false">IF(AND(N4765="No",O4765&lt;&gt;""),"Unexpected: channel present but no reminder sent",IF(AND(N4765="Yes",O4765=""),"Missing channel for sent reminder","OK"))</f>
        <v>OK</v>
      </c>
    </row>
    <row r="4766" customFormat="false" ht="15" hidden="false" customHeight="false" outlineLevel="0" collapsed="false">
      <c r="A4766" s="7" t="s">
        <v>6506</v>
      </c>
      <c r="B4766" s="7" t="s">
        <v>6507</v>
      </c>
      <c r="C4766" s="7" t="s">
        <v>47</v>
      </c>
      <c r="D4766" s="7" t="n">
        <v>57</v>
      </c>
      <c r="E4766" s="7" t="s">
        <v>61</v>
      </c>
      <c r="F4766" s="7" t="s">
        <v>49</v>
      </c>
      <c r="G4766" s="8" t="n">
        <v>45850</v>
      </c>
      <c r="H4766" s="8" t="n">
        <v>45896</v>
      </c>
      <c r="I4766" s="7" t="s">
        <v>58</v>
      </c>
      <c r="J4766" s="7" t="s">
        <v>41</v>
      </c>
      <c r="K4766" s="7" t="n">
        <v>46</v>
      </c>
      <c r="L4766" s="7" t="n">
        <v>1</v>
      </c>
      <c r="M4766" s="7" t="n">
        <v>1</v>
      </c>
      <c r="N4766" s="7" t="s">
        <v>42</v>
      </c>
      <c r="O4766" s="7" t="s">
        <v>67</v>
      </c>
      <c r="P4766" s="7" t="n">
        <v>38.5</v>
      </c>
      <c r="Q4766" s="7" t="n">
        <v>25</v>
      </c>
      <c r="R4766" s="7" t="s">
        <v>53</v>
      </c>
      <c r="S4766" s="7"/>
      <c r="T4766" s="7"/>
      <c r="U4766" s="7" t="str">
        <f aca="false">IF(COUNTIF($A$2:$A$5001,A4766)&gt;1,"Duplicate","Unique")</f>
        <v>Unique</v>
      </c>
      <c r="V4766" s="7" t="str">
        <f aca="false">IF(COUNTIFS($B$2:$B$5001,B4766,$H$2:$H$5001,H4766,$J$2:$J$5001,J4766)&gt;1,"Possible Duplicate Booking","Unique")</f>
        <v>Unique</v>
      </c>
      <c r="W4766" s="7" t="str">
        <f aca="false">IF((H4766-G4766)&lt;&gt;K4766,"Mismatch","OK")</f>
        <v>OK</v>
      </c>
      <c r="X4766" s="7" t="str">
        <f aca="false">IF(TEXT(H4766,"dddd")&lt;&gt;I4766,"Mismatch","OK")</f>
        <v>OK</v>
      </c>
      <c r="Y4766" s="7" t="str">
        <f aca="false">IF(AND(N4766="No",O4766&lt;&gt;""),"Unexpected: channel present but no reminder sent",IF(AND(N4766="Yes",O4766=""),"Missing channel for sent reminder","OK"))</f>
        <v>OK</v>
      </c>
    </row>
    <row r="4767" customFormat="false" ht="15" hidden="false" customHeight="false" outlineLevel="0" collapsed="false">
      <c r="A4767" s="9" t="s">
        <v>6508</v>
      </c>
      <c r="B4767" s="9" t="s">
        <v>958</v>
      </c>
      <c r="C4767" s="9" t="s">
        <v>47</v>
      </c>
      <c r="D4767" s="9" t="n">
        <v>77</v>
      </c>
      <c r="E4767" s="9" t="s">
        <v>70</v>
      </c>
      <c r="F4767" s="9" t="s">
        <v>57</v>
      </c>
      <c r="G4767" s="10" t="n">
        <v>45704</v>
      </c>
      <c r="H4767" s="10" t="n">
        <v>45740</v>
      </c>
      <c r="I4767" s="9" t="s">
        <v>66</v>
      </c>
      <c r="J4767" s="9" t="s">
        <v>41</v>
      </c>
      <c r="K4767" s="9" t="n">
        <v>36</v>
      </c>
      <c r="L4767" s="9" t="n">
        <v>2</v>
      </c>
      <c r="M4767" s="9" t="n">
        <v>0</v>
      </c>
      <c r="N4767" s="9" t="s">
        <v>71</v>
      </c>
      <c r="O4767" s="9"/>
      <c r="P4767" s="9" t="n">
        <v>19.6</v>
      </c>
      <c r="Q4767" s="9" t="n">
        <v>25</v>
      </c>
      <c r="R4767" s="9" t="s">
        <v>53</v>
      </c>
      <c r="S4767" s="9"/>
      <c r="T4767" s="9"/>
      <c r="U4767" s="9" t="str">
        <f aca="false">IF(COUNTIF($A$2:$A$5001,A4767)&gt;1,"Duplicate","Unique")</f>
        <v>Unique</v>
      </c>
      <c r="V4767" s="9" t="str">
        <f aca="false">IF(COUNTIFS($B$2:$B$5001,B4767,$H$2:$H$5001,H4767,$J$2:$J$5001,J4767)&gt;1,"Possible Duplicate Booking","Unique")</f>
        <v>Unique</v>
      </c>
      <c r="W4767" s="9" t="str">
        <f aca="false">IF((H4767-G4767)&lt;&gt;K4767,"Mismatch","OK")</f>
        <v>OK</v>
      </c>
      <c r="X4767" s="9" t="str">
        <f aca="false">IF(TEXT(H4767,"dddd")&lt;&gt;I4767,"Mismatch","OK")</f>
        <v>OK</v>
      </c>
      <c r="Y4767" s="9" t="str">
        <f aca="false">IF(AND(N4767="No",O4767&lt;&gt;""),"Unexpected: channel present but no reminder sent",IF(AND(N4767="Yes",O4767=""),"Missing channel for sent reminder","OK"))</f>
        <v>OK</v>
      </c>
    </row>
    <row r="4768" customFormat="false" ht="15" hidden="false" customHeight="false" outlineLevel="0" collapsed="false">
      <c r="A4768" s="7" t="s">
        <v>6509</v>
      </c>
      <c r="B4768" s="7" t="s">
        <v>4043</v>
      </c>
      <c r="C4768" s="7" t="s">
        <v>47</v>
      </c>
      <c r="D4768" s="7" t="n">
        <v>30</v>
      </c>
      <c r="E4768" s="7" t="s">
        <v>48</v>
      </c>
      <c r="F4768" s="7" t="s">
        <v>39</v>
      </c>
      <c r="G4768" s="8" t="n">
        <v>45948</v>
      </c>
      <c r="H4768" s="8" t="n">
        <v>45969</v>
      </c>
      <c r="I4768" s="7" t="s">
        <v>102</v>
      </c>
      <c r="J4768" s="7" t="s">
        <v>51</v>
      </c>
      <c r="K4768" s="7" t="n">
        <v>21</v>
      </c>
      <c r="L4768" s="7" t="n">
        <v>5</v>
      </c>
      <c r="M4768" s="7" t="n">
        <v>2</v>
      </c>
      <c r="N4768" s="7" t="s">
        <v>42</v>
      </c>
      <c r="O4768" s="7" t="s">
        <v>52</v>
      </c>
      <c r="P4768" s="7" t="n">
        <v>5.8</v>
      </c>
      <c r="Q4768" s="7" t="n">
        <v>27</v>
      </c>
      <c r="R4768" s="7" t="s">
        <v>53</v>
      </c>
      <c r="S4768" s="7"/>
      <c r="T4768" s="7"/>
      <c r="U4768" s="7" t="str">
        <f aca="false">IF(COUNTIF($A$2:$A$5001,A4768)&gt;1,"Duplicate","Unique")</f>
        <v>Unique</v>
      </c>
      <c r="V4768" s="7" t="str">
        <f aca="false">IF(COUNTIFS($B$2:$B$5001,B4768,$H$2:$H$5001,H4768,$J$2:$J$5001,J4768)&gt;1,"Possible Duplicate Booking","Unique")</f>
        <v>Unique</v>
      </c>
      <c r="W4768" s="7" t="str">
        <f aca="false">IF((H4768-G4768)&lt;&gt;K4768,"Mismatch","OK")</f>
        <v>OK</v>
      </c>
      <c r="X4768" s="7" t="str">
        <f aca="false">IF(TEXT(H4768,"dddd")&lt;&gt;I4768,"Mismatch","OK")</f>
        <v>OK</v>
      </c>
      <c r="Y4768" s="7" t="str">
        <f aca="false">IF(AND(N4768="No",O4768&lt;&gt;""),"Unexpected: channel present but no reminder sent",IF(AND(N4768="Yes",O4768=""),"Missing channel for sent reminder","OK"))</f>
        <v>OK</v>
      </c>
    </row>
    <row r="4769" customFormat="false" ht="15" hidden="false" customHeight="false" outlineLevel="0" collapsed="false">
      <c r="A4769" s="9" t="s">
        <v>6510</v>
      </c>
      <c r="B4769" s="9" t="s">
        <v>1401</v>
      </c>
      <c r="C4769" s="9" t="s">
        <v>37</v>
      </c>
      <c r="D4769" s="9" t="n">
        <v>21</v>
      </c>
      <c r="E4769" s="9" t="s">
        <v>82</v>
      </c>
      <c r="F4769" s="9" t="s">
        <v>57</v>
      </c>
      <c r="G4769" s="10" t="n">
        <v>45642</v>
      </c>
      <c r="H4769" s="10" t="n">
        <v>45662</v>
      </c>
      <c r="I4769" s="9" t="s">
        <v>75</v>
      </c>
      <c r="J4769" s="9" t="s">
        <v>51</v>
      </c>
      <c r="K4769" s="9" t="n">
        <v>20</v>
      </c>
      <c r="L4769" s="9" t="n">
        <v>2</v>
      </c>
      <c r="M4769" s="9" t="n">
        <v>0</v>
      </c>
      <c r="N4769" s="9" t="s">
        <v>42</v>
      </c>
      <c r="O4769" s="9" t="s">
        <v>67</v>
      </c>
      <c r="P4769" s="9" t="n">
        <v>4.3</v>
      </c>
      <c r="Q4769" s="9" t="n">
        <v>25</v>
      </c>
      <c r="R4769" s="9" t="s">
        <v>44</v>
      </c>
      <c r="S4769" s="9"/>
      <c r="T4769" s="9"/>
      <c r="U4769" s="9" t="str">
        <f aca="false">IF(COUNTIF($A$2:$A$5001,A4769)&gt;1,"Duplicate","Unique")</f>
        <v>Unique</v>
      </c>
      <c r="V4769" s="9" t="str">
        <f aca="false">IF(COUNTIFS($B$2:$B$5001,B4769,$H$2:$H$5001,H4769,$J$2:$J$5001,J4769)&gt;1,"Possible Duplicate Booking","Unique")</f>
        <v>Unique</v>
      </c>
      <c r="W4769" s="9" t="str">
        <f aca="false">IF((H4769-G4769)&lt;&gt;K4769,"Mismatch","OK")</f>
        <v>OK</v>
      </c>
      <c r="X4769" s="9" t="str">
        <f aca="false">IF(TEXT(H4769,"dddd")&lt;&gt;I4769,"Mismatch","OK")</f>
        <v>OK</v>
      </c>
      <c r="Y4769" s="9" t="str">
        <f aca="false">IF(AND(N4769="No",O4769&lt;&gt;""),"Unexpected: channel present but no reminder sent",IF(AND(N4769="Yes",O4769=""),"Missing channel for sent reminder","OK"))</f>
        <v>OK</v>
      </c>
    </row>
    <row r="4770" customFormat="false" ht="15" hidden="false" customHeight="false" outlineLevel="0" collapsed="false">
      <c r="A4770" s="7" t="s">
        <v>6511</v>
      </c>
      <c r="B4770" s="7" t="s">
        <v>3571</v>
      </c>
      <c r="C4770" s="7" t="s">
        <v>37</v>
      </c>
      <c r="D4770" s="7" t="n">
        <v>51</v>
      </c>
      <c r="E4770" s="7" t="s">
        <v>56</v>
      </c>
      <c r="F4770" s="7" t="s">
        <v>57</v>
      </c>
      <c r="G4770" s="8" t="n">
        <v>45677</v>
      </c>
      <c r="H4770" s="8" t="n">
        <v>45719</v>
      </c>
      <c r="I4770" s="7" t="s">
        <v>66</v>
      </c>
      <c r="J4770" s="7" t="s">
        <v>41</v>
      </c>
      <c r="K4770" s="7" t="n">
        <v>42</v>
      </c>
      <c r="L4770" s="7" t="n">
        <v>3</v>
      </c>
      <c r="M4770" s="7" t="n">
        <v>0</v>
      </c>
      <c r="N4770" s="7" t="s">
        <v>42</v>
      </c>
      <c r="O4770" s="7" t="s">
        <v>43</v>
      </c>
      <c r="P4770" s="7"/>
      <c r="Q4770" s="7" t="n">
        <v>14</v>
      </c>
      <c r="R4770" s="7" t="s">
        <v>53</v>
      </c>
      <c r="S4770" s="7"/>
      <c r="T4770" s="7"/>
      <c r="U4770" s="7" t="str">
        <f aca="false">IF(COUNTIF($A$2:$A$5001,A4770)&gt;1,"Duplicate","Unique")</f>
        <v>Unique</v>
      </c>
      <c r="V4770" s="7" t="str">
        <f aca="false">IF(COUNTIFS($B$2:$B$5001,B4770,$H$2:$H$5001,H4770,$J$2:$J$5001,J4770)&gt;1,"Possible Duplicate Booking","Unique")</f>
        <v>Unique</v>
      </c>
      <c r="W4770" s="7" t="str">
        <f aca="false">IF((H4770-G4770)&lt;&gt;K4770,"Mismatch","OK")</f>
        <v>OK</v>
      </c>
      <c r="X4770" s="7" t="str">
        <f aca="false">IF(TEXT(H4770,"dddd")&lt;&gt;I4770,"Mismatch","OK")</f>
        <v>OK</v>
      </c>
      <c r="Y4770" s="7" t="str">
        <f aca="false">IF(AND(N4770="No",O4770&lt;&gt;""),"Unexpected: channel present but no reminder sent",IF(AND(N4770="Yes",O4770=""),"Missing channel for sent reminder","OK"))</f>
        <v>OK</v>
      </c>
    </row>
    <row r="4771" customFormat="false" ht="15" hidden="false" customHeight="false" outlineLevel="0" collapsed="false">
      <c r="A4771" s="9" t="s">
        <v>6512</v>
      </c>
      <c r="B4771" s="9" t="s">
        <v>1322</v>
      </c>
      <c r="C4771" s="9" t="s">
        <v>37</v>
      </c>
      <c r="D4771" s="9" t="n">
        <v>25</v>
      </c>
      <c r="E4771" s="9" t="s">
        <v>48</v>
      </c>
      <c r="F4771" s="9" t="s">
        <v>57</v>
      </c>
      <c r="G4771" s="10" t="n">
        <v>45631</v>
      </c>
      <c r="H4771" s="10" t="n">
        <v>45683</v>
      </c>
      <c r="I4771" s="9" t="s">
        <v>75</v>
      </c>
      <c r="J4771" s="9" t="s">
        <v>41</v>
      </c>
      <c r="K4771" s="9" t="n">
        <v>52</v>
      </c>
      <c r="L4771" s="9" t="n">
        <v>4</v>
      </c>
      <c r="M4771" s="9" t="n">
        <v>1</v>
      </c>
      <c r="N4771" s="9" t="s">
        <v>42</v>
      </c>
      <c r="O4771" s="9" t="s">
        <v>52</v>
      </c>
      <c r="P4771" s="9" t="n">
        <v>44.2</v>
      </c>
      <c r="Q4771" s="9" t="n">
        <v>2</v>
      </c>
      <c r="R4771" s="9" t="s">
        <v>44</v>
      </c>
      <c r="S4771" s="9"/>
      <c r="T4771" s="9"/>
      <c r="U4771" s="9" t="str">
        <f aca="false">IF(COUNTIF($A$2:$A$5001,A4771)&gt;1,"Duplicate","Unique")</f>
        <v>Unique</v>
      </c>
      <c r="V4771" s="9" t="str">
        <f aca="false">IF(COUNTIFS($B$2:$B$5001,B4771,$H$2:$H$5001,H4771,$J$2:$J$5001,J4771)&gt;1,"Possible Duplicate Booking","Unique")</f>
        <v>Unique</v>
      </c>
      <c r="W4771" s="9" t="str">
        <f aca="false">IF((H4771-G4771)&lt;&gt;K4771,"Mismatch","OK")</f>
        <v>OK</v>
      </c>
      <c r="X4771" s="9" t="str">
        <f aca="false">IF(TEXT(H4771,"dddd")&lt;&gt;I4771,"Mismatch","OK")</f>
        <v>OK</v>
      </c>
      <c r="Y4771" s="9" t="str">
        <f aca="false">IF(AND(N4771="No",O4771&lt;&gt;""),"Unexpected: channel present but no reminder sent",IF(AND(N4771="Yes",O4771=""),"Missing channel for sent reminder","OK"))</f>
        <v>OK</v>
      </c>
    </row>
    <row r="4772" customFormat="false" ht="15" hidden="false" customHeight="false" outlineLevel="0" collapsed="false">
      <c r="A4772" s="7" t="s">
        <v>6513</v>
      </c>
      <c r="B4772" s="7" t="s">
        <v>2695</v>
      </c>
      <c r="C4772" s="7" t="s">
        <v>37</v>
      </c>
      <c r="D4772" s="7" t="n">
        <v>32</v>
      </c>
      <c r="E4772" s="7" t="s">
        <v>48</v>
      </c>
      <c r="F4772" s="7" t="s">
        <v>49</v>
      </c>
      <c r="G4772" s="8" t="n">
        <v>45812</v>
      </c>
      <c r="H4772" s="8" t="n">
        <v>45819</v>
      </c>
      <c r="I4772" s="7" t="s">
        <v>58</v>
      </c>
      <c r="J4772" s="7" t="s">
        <v>51</v>
      </c>
      <c r="K4772" s="7" t="n">
        <v>7</v>
      </c>
      <c r="L4772" s="7" t="n">
        <v>3</v>
      </c>
      <c r="M4772" s="7" t="n">
        <v>0</v>
      </c>
      <c r="N4772" s="7" t="s">
        <v>42</v>
      </c>
      <c r="O4772" s="7" t="s">
        <v>52</v>
      </c>
      <c r="P4772" s="7" t="n">
        <v>22.6</v>
      </c>
      <c r="Q4772" s="7" t="n">
        <v>47</v>
      </c>
      <c r="R4772" s="7" t="s">
        <v>53</v>
      </c>
      <c r="S4772" s="7"/>
      <c r="T4772" s="7"/>
      <c r="U4772" s="7" t="str">
        <f aca="false">IF(COUNTIF($A$2:$A$5001,A4772)&gt;1,"Duplicate","Unique")</f>
        <v>Unique</v>
      </c>
      <c r="V4772" s="7" t="str">
        <f aca="false">IF(COUNTIFS($B$2:$B$5001,B4772,$H$2:$H$5001,H4772,$J$2:$J$5001,J4772)&gt;1,"Possible Duplicate Booking","Unique")</f>
        <v>Unique</v>
      </c>
      <c r="W4772" s="7" t="str">
        <f aca="false">IF((H4772-G4772)&lt;&gt;K4772,"Mismatch","OK")</f>
        <v>OK</v>
      </c>
      <c r="X4772" s="7" t="str">
        <f aca="false">IF(TEXT(H4772,"dddd")&lt;&gt;I4772,"Mismatch","OK")</f>
        <v>OK</v>
      </c>
      <c r="Y4772" s="7" t="str">
        <f aca="false">IF(AND(N4772="No",O4772&lt;&gt;""),"Unexpected: channel present but no reminder sent",IF(AND(N4772="Yes",O4772=""),"Missing channel for sent reminder","OK"))</f>
        <v>OK</v>
      </c>
    </row>
    <row r="4773" customFormat="false" ht="15" hidden="false" customHeight="false" outlineLevel="0" collapsed="false">
      <c r="A4773" s="9" t="s">
        <v>6514</v>
      </c>
      <c r="B4773" s="9" t="s">
        <v>3339</v>
      </c>
      <c r="C4773" s="9" t="s">
        <v>37</v>
      </c>
      <c r="D4773" s="9" t="n">
        <v>67</v>
      </c>
      <c r="E4773" s="9" t="s">
        <v>70</v>
      </c>
      <c r="F4773" s="9" t="s">
        <v>57</v>
      </c>
      <c r="G4773" s="10" t="n">
        <v>46023</v>
      </c>
      <c r="H4773" s="10" t="n">
        <v>46074</v>
      </c>
      <c r="I4773" s="9" t="s">
        <v>102</v>
      </c>
      <c r="J4773" s="9" t="s">
        <v>41</v>
      </c>
      <c r="K4773" s="9" t="n">
        <v>51</v>
      </c>
      <c r="L4773" s="9" t="n">
        <v>2</v>
      </c>
      <c r="M4773" s="9" t="n">
        <v>0</v>
      </c>
      <c r="N4773" s="9" t="s">
        <v>42</v>
      </c>
      <c r="O4773" s="9" t="s">
        <v>52</v>
      </c>
      <c r="P4773" s="9" t="n">
        <v>13.9</v>
      </c>
      <c r="Q4773" s="9" t="n">
        <v>17</v>
      </c>
      <c r="R4773" s="9" t="s">
        <v>87</v>
      </c>
      <c r="S4773" s="9"/>
      <c r="T4773" s="9"/>
      <c r="U4773" s="9" t="str">
        <f aca="false">IF(COUNTIF($A$2:$A$5001,A4773)&gt;1,"Duplicate","Unique")</f>
        <v>Unique</v>
      </c>
      <c r="V4773" s="9" t="str">
        <f aca="false">IF(COUNTIFS($B$2:$B$5001,B4773,$H$2:$H$5001,H4773,$J$2:$J$5001,J4773)&gt;1,"Possible Duplicate Booking","Unique")</f>
        <v>Unique</v>
      </c>
      <c r="W4773" s="9" t="str">
        <f aca="false">IF((H4773-G4773)&lt;&gt;K4773,"Mismatch","OK")</f>
        <v>OK</v>
      </c>
      <c r="X4773" s="9" t="str">
        <f aca="false">IF(TEXT(H4773,"dddd")&lt;&gt;I4773,"Mismatch","OK")</f>
        <v>OK</v>
      </c>
      <c r="Y4773" s="9" t="str">
        <f aca="false">IF(AND(N4773="No",O4773&lt;&gt;""),"Unexpected: channel present but no reminder sent",IF(AND(N4773="Yes",O4773=""),"Missing channel for sent reminder","OK"))</f>
        <v>OK</v>
      </c>
    </row>
    <row r="4774" customFormat="false" ht="15" hidden="false" customHeight="false" outlineLevel="0" collapsed="false">
      <c r="A4774" s="7" t="s">
        <v>6515</v>
      </c>
      <c r="B4774" s="7" t="s">
        <v>1494</v>
      </c>
      <c r="C4774" s="7" t="s">
        <v>37</v>
      </c>
      <c r="D4774" s="7" t="n">
        <v>44</v>
      </c>
      <c r="E4774" s="7" t="s">
        <v>38</v>
      </c>
      <c r="F4774" s="7" t="s">
        <v>57</v>
      </c>
      <c r="G4774" s="8" t="n">
        <v>45704</v>
      </c>
      <c r="H4774" s="8" t="n">
        <v>45754</v>
      </c>
      <c r="I4774" s="7" t="s">
        <v>66</v>
      </c>
      <c r="J4774" s="7" t="s">
        <v>51</v>
      </c>
      <c r="K4774" s="7" t="n">
        <v>50</v>
      </c>
      <c r="L4774" s="7" t="n">
        <v>0</v>
      </c>
      <c r="M4774" s="7" t="n">
        <v>0</v>
      </c>
      <c r="N4774" s="7" t="s">
        <v>42</v>
      </c>
      <c r="O4774" s="7" t="s">
        <v>43</v>
      </c>
      <c r="P4774" s="7" t="n">
        <v>22.5</v>
      </c>
      <c r="Q4774" s="7" t="n">
        <v>22</v>
      </c>
      <c r="R4774" s="7" t="s">
        <v>87</v>
      </c>
      <c r="S4774" s="7"/>
      <c r="T4774" s="7"/>
      <c r="U4774" s="7" t="str">
        <f aca="false">IF(COUNTIF($A$2:$A$5001,A4774)&gt;1,"Duplicate","Unique")</f>
        <v>Unique</v>
      </c>
      <c r="V4774" s="7" t="str">
        <f aca="false">IF(COUNTIFS($B$2:$B$5001,B4774,$H$2:$H$5001,H4774,$J$2:$J$5001,J4774)&gt;1,"Possible Duplicate Booking","Unique")</f>
        <v>Unique</v>
      </c>
      <c r="W4774" s="7" t="str">
        <f aca="false">IF((H4774-G4774)&lt;&gt;K4774,"Mismatch","OK")</f>
        <v>OK</v>
      </c>
      <c r="X4774" s="7" t="str">
        <f aca="false">IF(TEXT(H4774,"dddd")&lt;&gt;I4774,"Mismatch","OK")</f>
        <v>OK</v>
      </c>
      <c r="Y4774" s="7" t="str">
        <f aca="false">IF(AND(N4774="No",O4774&lt;&gt;""),"Unexpected: channel present but no reminder sent",IF(AND(N4774="Yes",O4774=""),"Missing channel for sent reminder","OK"))</f>
        <v>OK</v>
      </c>
    </row>
    <row r="4775" customFormat="false" ht="15" hidden="false" customHeight="false" outlineLevel="0" collapsed="false">
      <c r="A4775" s="9" t="s">
        <v>6516</v>
      </c>
      <c r="B4775" s="9" t="s">
        <v>1233</v>
      </c>
      <c r="C4775" s="9" t="s">
        <v>37</v>
      </c>
      <c r="D4775" s="9" t="n">
        <v>52</v>
      </c>
      <c r="E4775" s="9" t="s">
        <v>56</v>
      </c>
      <c r="F4775" s="9" t="s">
        <v>57</v>
      </c>
      <c r="G4775" s="10" t="n">
        <v>46191</v>
      </c>
      <c r="H4775" s="10" t="n">
        <v>46197</v>
      </c>
      <c r="I4775" s="9" t="s">
        <v>58</v>
      </c>
      <c r="J4775" s="9" t="s">
        <v>41</v>
      </c>
      <c r="K4775" s="9" t="n">
        <v>6</v>
      </c>
      <c r="L4775" s="9" t="n">
        <v>3</v>
      </c>
      <c r="M4775" s="9" t="n">
        <v>1</v>
      </c>
      <c r="N4775" s="9" t="s">
        <v>71</v>
      </c>
      <c r="O4775" s="9"/>
      <c r="P4775" s="9" t="n">
        <v>12.1</v>
      </c>
      <c r="Q4775" s="9" t="n">
        <v>36</v>
      </c>
      <c r="R4775" s="9" t="s">
        <v>53</v>
      </c>
      <c r="S4775" s="9"/>
      <c r="T4775" s="9"/>
      <c r="U4775" s="9" t="str">
        <f aca="false">IF(COUNTIF($A$2:$A$5001,A4775)&gt;1,"Duplicate","Unique")</f>
        <v>Unique</v>
      </c>
      <c r="V4775" s="9" t="str">
        <f aca="false">IF(COUNTIFS($B$2:$B$5001,B4775,$H$2:$H$5001,H4775,$J$2:$J$5001,J4775)&gt;1,"Possible Duplicate Booking","Unique")</f>
        <v>Unique</v>
      </c>
      <c r="W4775" s="9" t="str">
        <f aca="false">IF((H4775-G4775)&lt;&gt;K4775,"Mismatch","OK")</f>
        <v>OK</v>
      </c>
      <c r="X4775" s="9" t="str">
        <f aca="false">IF(TEXT(H4775,"dddd")&lt;&gt;I4775,"Mismatch","OK")</f>
        <v>OK</v>
      </c>
      <c r="Y4775" s="9" t="str">
        <f aca="false">IF(AND(N4775="No",O4775&lt;&gt;""),"Unexpected: channel present but no reminder sent",IF(AND(N4775="Yes",O4775=""),"Missing channel for sent reminder","OK"))</f>
        <v>OK</v>
      </c>
    </row>
    <row r="4776" customFormat="false" ht="15" hidden="false" customHeight="false" outlineLevel="0" collapsed="false">
      <c r="A4776" s="7" t="s">
        <v>6517</v>
      </c>
      <c r="B4776" s="7" t="s">
        <v>4478</v>
      </c>
      <c r="C4776" s="7" t="s">
        <v>37</v>
      </c>
      <c r="D4776" s="7" t="n">
        <v>66</v>
      </c>
      <c r="E4776" s="7" t="s">
        <v>70</v>
      </c>
      <c r="F4776" s="7" t="s">
        <v>49</v>
      </c>
      <c r="G4776" s="8" t="n">
        <v>45799</v>
      </c>
      <c r="H4776" s="8" t="n">
        <v>45805</v>
      </c>
      <c r="I4776" s="7" t="s">
        <v>58</v>
      </c>
      <c r="J4776" s="7" t="s">
        <v>51</v>
      </c>
      <c r="K4776" s="7" t="n">
        <v>6</v>
      </c>
      <c r="L4776" s="7" t="n">
        <v>4</v>
      </c>
      <c r="M4776" s="7" t="n">
        <v>0</v>
      </c>
      <c r="N4776" s="7" t="s">
        <v>42</v>
      </c>
      <c r="O4776" s="7" t="s">
        <v>52</v>
      </c>
      <c r="P4776" s="7" t="n">
        <v>21.5</v>
      </c>
      <c r="Q4776" s="7" t="n">
        <v>28</v>
      </c>
      <c r="R4776" s="7" t="s">
        <v>44</v>
      </c>
      <c r="S4776" s="7"/>
      <c r="T4776" s="7"/>
      <c r="U4776" s="7" t="str">
        <f aca="false">IF(COUNTIF($A$2:$A$5001,A4776)&gt;1,"Duplicate","Unique")</f>
        <v>Unique</v>
      </c>
      <c r="V4776" s="7" t="str">
        <f aca="false">IF(COUNTIFS($B$2:$B$5001,B4776,$H$2:$H$5001,H4776,$J$2:$J$5001,J4776)&gt;1,"Possible Duplicate Booking","Unique")</f>
        <v>Unique</v>
      </c>
      <c r="W4776" s="7" t="str">
        <f aca="false">IF((H4776-G4776)&lt;&gt;K4776,"Mismatch","OK")</f>
        <v>OK</v>
      </c>
      <c r="X4776" s="7" t="str">
        <f aca="false">IF(TEXT(H4776,"dddd")&lt;&gt;I4776,"Mismatch","OK")</f>
        <v>OK</v>
      </c>
      <c r="Y4776" s="7" t="str">
        <f aca="false">IF(AND(N4776="No",O4776&lt;&gt;""),"Unexpected: channel present but no reminder sent",IF(AND(N4776="Yes",O4776=""),"Missing channel for sent reminder","OK"))</f>
        <v>OK</v>
      </c>
    </row>
    <row r="4777" customFormat="false" ht="15" hidden="false" customHeight="false" outlineLevel="0" collapsed="false">
      <c r="A4777" s="9" t="s">
        <v>6518</v>
      </c>
      <c r="B4777" s="9" t="s">
        <v>1937</v>
      </c>
      <c r="C4777" s="9" t="s">
        <v>47</v>
      </c>
      <c r="D4777" s="9" t="n">
        <v>26</v>
      </c>
      <c r="E4777" s="9" t="s">
        <v>48</v>
      </c>
      <c r="F4777" s="9" t="s">
        <v>39</v>
      </c>
      <c r="G4777" s="10" t="n">
        <v>45640</v>
      </c>
      <c r="H4777" s="10" t="n">
        <v>45682</v>
      </c>
      <c r="I4777" s="9" t="s">
        <v>102</v>
      </c>
      <c r="J4777" s="9" t="s">
        <v>41</v>
      </c>
      <c r="K4777" s="9" t="n">
        <v>42</v>
      </c>
      <c r="L4777" s="9" t="n">
        <v>3</v>
      </c>
      <c r="M4777" s="9" t="n">
        <v>1</v>
      </c>
      <c r="N4777" s="9" t="s">
        <v>42</v>
      </c>
      <c r="O4777" s="9" t="s">
        <v>43</v>
      </c>
      <c r="P4777" s="9" t="n">
        <v>5.3</v>
      </c>
      <c r="Q4777" s="9" t="n">
        <v>8</v>
      </c>
      <c r="R4777" s="9" t="s">
        <v>44</v>
      </c>
      <c r="S4777" s="9"/>
      <c r="T4777" s="9"/>
      <c r="U4777" s="9" t="str">
        <f aca="false">IF(COUNTIF($A$2:$A$5001,A4777)&gt;1,"Duplicate","Unique")</f>
        <v>Unique</v>
      </c>
      <c r="V4777" s="9" t="str">
        <f aca="false">IF(COUNTIFS($B$2:$B$5001,B4777,$H$2:$H$5001,H4777,$J$2:$J$5001,J4777)&gt;1,"Possible Duplicate Booking","Unique")</f>
        <v>Unique</v>
      </c>
      <c r="W4777" s="9" t="str">
        <f aca="false">IF((H4777-G4777)&lt;&gt;K4777,"Mismatch","OK")</f>
        <v>OK</v>
      </c>
      <c r="X4777" s="9" t="str">
        <f aca="false">IF(TEXT(H4777,"dddd")&lt;&gt;I4777,"Mismatch","OK")</f>
        <v>OK</v>
      </c>
      <c r="Y4777" s="9" t="str">
        <f aca="false">IF(AND(N4777="No",O4777&lt;&gt;""),"Unexpected: channel present but no reminder sent",IF(AND(N4777="Yes",O4777=""),"Missing channel for sent reminder","OK"))</f>
        <v>OK</v>
      </c>
    </row>
    <row r="4778" customFormat="false" ht="15" hidden="false" customHeight="false" outlineLevel="0" collapsed="false">
      <c r="A4778" s="7" t="s">
        <v>6519</v>
      </c>
      <c r="B4778" s="7" t="s">
        <v>550</v>
      </c>
      <c r="C4778" s="7" t="s">
        <v>37</v>
      </c>
      <c r="D4778" s="7" t="n">
        <v>48</v>
      </c>
      <c r="E4778" s="7" t="s">
        <v>56</v>
      </c>
      <c r="F4778" s="7" t="s">
        <v>74</v>
      </c>
      <c r="G4778" s="8" t="n">
        <v>45790</v>
      </c>
      <c r="H4778" s="8" t="n">
        <v>45841</v>
      </c>
      <c r="I4778" s="7" t="s">
        <v>62</v>
      </c>
      <c r="J4778" s="7" t="s">
        <v>63</v>
      </c>
      <c r="K4778" s="7" t="n">
        <v>51</v>
      </c>
      <c r="L4778" s="7" t="n">
        <v>5</v>
      </c>
      <c r="M4778" s="7" t="n">
        <v>0</v>
      </c>
      <c r="N4778" s="7" t="s">
        <v>42</v>
      </c>
      <c r="O4778" s="7" t="s">
        <v>52</v>
      </c>
      <c r="P4778" s="7" t="n">
        <v>16.7</v>
      </c>
      <c r="Q4778" s="7" t="n">
        <v>11</v>
      </c>
      <c r="R4778" s="7" t="s">
        <v>44</v>
      </c>
      <c r="S4778" s="7"/>
      <c r="T4778" s="7"/>
      <c r="U4778" s="7" t="str">
        <f aca="false">IF(COUNTIF($A$2:$A$5001,A4778)&gt;1,"Duplicate","Unique")</f>
        <v>Unique</v>
      </c>
      <c r="V4778" s="7" t="str">
        <f aca="false">IF(COUNTIFS($B$2:$B$5001,B4778,$H$2:$H$5001,H4778,$J$2:$J$5001,J4778)&gt;1,"Possible Duplicate Booking","Unique")</f>
        <v>Unique</v>
      </c>
      <c r="W4778" s="7" t="str">
        <f aca="false">IF((H4778-G4778)&lt;&gt;K4778,"Mismatch","OK")</f>
        <v>OK</v>
      </c>
      <c r="X4778" s="7" t="str">
        <f aca="false">IF(TEXT(H4778,"dddd")&lt;&gt;I4778,"Mismatch","OK")</f>
        <v>OK</v>
      </c>
      <c r="Y4778" s="7" t="str">
        <f aca="false">IF(AND(N4778="No",O4778&lt;&gt;""),"Unexpected: channel present but no reminder sent",IF(AND(N4778="Yes",O4778=""),"Missing channel for sent reminder","OK"))</f>
        <v>OK</v>
      </c>
    </row>
    <row r="4779" customFormat="false" ht="15" hidden="false" customHeight="false" outlineLevel="0" collapsed="false">
      <c r="A4779" s="9" t="s">
        <v>6520</v>
      </c>
      <c r="B4779" s="9" t="s">
        <v>886</v>
      </c>
      <c r="C4779" s="9" t="s">
        <v>47</v>
      </c>
      <c r="D4779" s="9" t="n">
        <v>20</v>
      </c>
      <c r="E4779" s="9" t="s">
        <v>82</v>
      </c>
      <c r="F4779" s="9" t="s">
        <v>39</v>
      </c>
      <c r="G4779" s="10" t="n">
        <v>46042</v>
      </c>
      <c r="H4779" s="10" t="n">
        <v>46066</v>
      </c>
      <c r="I4779" s="9" t="s">
        <v>50</v>
      </c>
      <c r="J4779" s="9" t="s">
        <v>51</v>
      </c>
      <c r="K4779" s="9" t="n">
        <v>24</v>
      </c>
      <c r="L4779" s="9" t="n">
        <v>1</v>
      </c>
      <c r="M4779" s="9" t="n">
        <v>0</v>
      </c>
      <c r="N4779" s="9" t="s">
        <v>71</v>
      </c>
      <c r="O4779" s="9"/>
      <c r="P4779" s="9" t="n">
        <v>8.3</v>
      </c>
      <c r="Q4779" s="9" t="n">
        <v>34</v>
      </c>
      <c r="R4779" s="9" t="s">
        <v>44</v>
      </c>
      <c r="S4779" s="9"/>
      <c r="T4779" s="9"/>
      <c r="U4779" s="9" t="str">
        <f aca="false">IF(COUNTIF($A$2:$A$5001,A4779)&gt;1,"Duplicate","Unique")</f>
        <v>Unique</v>
      </c>
      <c r="V4779" s="9" t="str">
        <f aca="false">IF(COUNTIFS($B$2:$B$5001,B4779,$H$2:$H$5001,H4779,$J$2:$J$5001,J4779)&gt;1,"Possible Duplicate Booking","Unique")</f>
        <v>Unique</v>
      </c>
      <c r="W4779" s="9" t="str">
        <f aca="false">IF((H4779-G4779)&lt;&gt;K4779,"Mismatch","OK")</f>
        <v>OK</v>
      </c>
      <c r="X4779" s="9" t="str">
        <f aca="false">IF(TEXT(H4779,"dddd")&lt;&gt;I4779,"Mismatch","OK")</f>
        <v>OK</v>
      </c>
      <c r="Y4779" s="9" t="str">
        <f aca="false">IF(AND(N4779="No",O4779&lt;&gt;""),"Unexpected: channel present but no reminder sent",IF(AND(N4779="Yes",O4779=""),"Missing channel for sent reminder","OK"))</f>
        <v>OK</v>
      </c>
    </row>
    <row r="4780" customFormat="false" ht="15" hidden="false" customHeight="false" outlineLevel="0" collapsed="false">
      <c r="A4780" s="7" t="s">
        <v>6521</v>
      </c>
      <c r="B4780" s="7" t="s">
        <v>1844</v>
      </c>
      <c r="C4780" s="7" t="s">
        <v>37</v>
      </c>
      <c r="D4780" s="7" t="n">
        <v>49</v>
      </c>
      <c r="E4780" s="7" t="s">
        <v>56</v>
      </c>
      <c r="F4780" s="7" t="s">
        <v>39</v>
      </c>
      <c r="G4780" s="8" t="n">
        <v>45677</v>
      </c>
      <c r="H4780" s="8" t="n">
        <v>45716</v>
      </c>
      <c r="I4780" s="7" t="s">
        <v>50</v>
      </c>
      <c r="J4780" s="7" t="s">
        <v>51</v>
      </c>
      <c r="K4780" s="7" t="n">
        <v>39</v>
      </c>
      <c r="L4780" s="7" t="n">
        <v>1</v>
      </c>
      <c r="M4780" s="7" t="n">
        <v>0</v>
      </c>
      <c r="N4780" s="7" t="s">
        <v>71</v>
      </c>
      <c r="O4780" s="7"/>
      <c r="P4780" s="7" t="n">
        <v>13.7</v>
      </c>
      <c r="Q4780" s="7" t="n">
        <v>31</v>
      </c>
      <c r="R4780" s="7" t="s">
        <v>87</v>
      </c>
      <c r="S4780" s="7"/>
      <c r="T4780" s="7"/>
      <c r="U4780" s="7" t="str">
        <f aca="false">IF(COUNTIF($A$2:$A$5001,A4780)&gt;1,"Duplicate","Unique")</f>
        <v>Unique</v>
      </c>
      <c r="V4780" s="7" t="str">
        <f aca="false">IF(COUNTIFS($B$2:$B$5001,B4780,$H$2:$H$5001,H4780,$J$2:$J$5001,J4780)&gt;1,"Possible Duplicate Booking","Unique")</f>
        <v>Unique</v>
      </c>
      <c r="W4780" s="7" t="str">
        <f aca="false">IF((H4780-G4780)&lt;&gt;K4780,"Mismatch","OK")</f>
        <v>OK</v>
      </c>
      <c r="X4780" s="7" t="str">
        <f aca="false">IF(TEXT(H4780,"dddd")&lt;&gt;I4780,"Mismatch","OK")</f>
        <v>OK</v>
      </c>
      <c r="Y4780" s="7" t="str">
        <f aca="false">IF(AND(N4780="No",O4780&lt;&gt;""),"Unexpected: channel present but no reminder sent",IF(AND(N4780="Yes",O4780=""),"Missing channel for sent reminder","OK"))</f>
        <v>OK</v>
      </c>
    </row>
    <row r="4781" customFormat="false" ht="15" hidden="false" customHeight="false" outlineLevel="0" collapsed="false">
      <c r="A4781" s="9" t="s">
        <v>6522</v>
      </c>
      <c r="B4781" s="9" t="s">
        <v>1157</v>
      </c>
      <c r="C4781" s="9" t="s">
        <v>236</v>
      </c>
      <c r="D4781" s="9" t="n">
        <v>32</v>
      </c>
      <c r="E4781" s="9" t="s">
        <v>48</v>
      </c>
      <c r="F4781" s="9" t="s">
        <v>39</v>
      </c>
      <c r="G4781" s="10" t="n">
        <v>45637</v>
      </c>
      <c r="H4781" s="10" t="n">
        <v>45697</v>
      </c>
      <c r="I4781" s="9" t="s">
        <v>75</v>
      </c>
      <c r="J4781" s="9" t="s">
        <v>51</v>
      </c>
      <c r="K4781" s="9" t="n">
        <v>60</v>
      </c>
      <c r="L4781" s="9" t="n">
        <v>3</v>
      </c>
      <c r="M4781" s="9" t="n">
        <v>1</v>
      </c>
      <c r="N4781" s="9" t="s">
        <v>42</v>
      </c>
      <c r="O4781" s="9" t="s">
        <v>52</v>
      </c>
      <c r="P4781" s="9" t="n">
        <v>23.1</v>
      </c>
      <c r="Q4781" s="9" t="n">
        <v>18</v>
      </c>
      <c r="R4781" s="9" t="s">
        <v>44</v>
      </c>
      <c r="S4781" s="9"/>
      <c r="T4781" s="9"/>
      <c r="U4781" s="9" t="str">
        <f aca="false">IF(COUNTIF($A$2:$A$5001,A4781)&gt;1,"Duplicate","Unique")</f>
        <v>Unique</v>
      </c>
      <c r="V4781" s="9" t="str">
        <f aca="false">IF(COUNTIFS($B$2:$B$5001,B4781,$H$2:$H$5001,H4781,$J$2:$J$5001,J4781)&gt;1,"Possible Duplicate Booking","Unique")</f>
        <v>Unique</v>
      </c>
      <c r="W4781" s="9" t="str">
        <f aca="false">IF((H4781-G4781)&lt;&gt;K4781,"Mismatch","OK")</f>
        <v>OK</v>
      </c>
      <c r="X4781" s="9" t="str">
        <f aca="false">IF(TEXT(H4781,"dddd")&lt;&gt;I4781,"Mismatch","OK")</f>
        <v>OK</v>
      </c>
      <c r="Y4781" s="9" t="str">
        <f aca="false">IF(AND(N4781="No",O4781&lt;&gt;""),"Unexpected: channel present but no reminder sent",IF(AND(N4781="Yes",O4781=""),"Missing channel for sent reminder","OK"))</f>
        <v>OK</v>
      </c>
    </row>
    <row r="4782" customFormat="false" ht="15" hidden="false" customHeight="false" outlineLevel="0" collapsed="false">
      <c r="A4782" s="7" t="s">
        <v>6523</v>
      </c>
      <c r="B4782" s="7" t="s">
        <v>2985</v>
      </c>
      <c r="C4782" s="7" t="s">
        <v>47</v>
      </c>
      <c r="D4782" s="7" t="n">
        <v>75</v>
      </c>
      <c r="E4782" s="7" t="s">
        <v>70</v>
      </c>
      <c r="F4782" s="7" t="s">
        <v>57</v>
      </c>
      <c r="G4782" s="8" t="n">
        <v>46102</v>
      </c>
      <c r="H4782" s="8" t="n">
        <v>46121</v>
      </c>
      <c r="I4782" s="7" t="s">
        <v>62</v>
      </c>
      <c r="J4782" s="7" t="s">
        <v>51</v>
      </c>
      <c r="K4782" s="7" t="n">
        <v>19</v>
      </c>
      <c r="L4782" s="7" t="n">
        <v>6</v>
      </c>
      <c r="M4782" s="7" t="n">
        <v>1</v>
      </c>
      <c r="N4782" s="7" t="s">
        <v>71</v>
      </c>
      <c r="O4782" s="7"/>
      <c r="P4782" s="7" t="n">
        <v>7.1</v>
      </c>
      <c r="Q4782" s="7" t="n">
        <v>24</v>
      </c>
      <c r="R4782" s="7" t="s">
        <v>53</v>
      </c>
      <c r="S4782" s="7"/>
      <c r="T4782" s="7"/>
      <c r="U4782" s="7" t="str">
        <f aca="false">IF(COUNTIF($A$2:$A$5001,A4782)&gt;1,"Duplicate","Unique")</f>
        <v>Unique</v>
      </c>
      <c r="V4782" s="7" t="str">
        <f aca="false">IF(COUNTIFS($B$2:$B$5001,B4782,$H$2:$H$5001,H4782,$J$2:$J$5001,J4782)&gt;1,"Possible Duplicate Booking","Unique")</f>
        <v>Unique</v>
      </c>
      <c r="W4782" s="7" t="str">
        <f aca="false">IF((H4782-G4782)&lt;&gt;K4782,"Mismatch","OK")</f>
        <v>OK</v>
      </c>
      <c r="X4782" s="7" t="str">
        <f aca="false">IF(TEXT(H4782,"dddd")&lt;&gt;I4782,"Mismatch","OK")</f>
        <v>OK</v>
      </c>
      <c r="Y4782" s="7" t="str">
        <f aca="false">IF(AND(N4782="No",O4782&lt;&gt;""),"Unexpected: channel present but no reminder sent",IF(AND(N4782="Yes",O4782=""),"Missing channel for sent reminder","OK"))</f>
        <v>OK</v>
      </c>
    </row>
    <row r="4783" customFormat="false" ht="15" hidden="false" customHeight="false" outlineLevel="0" collapsed="false">
      <c r="A4783" s="9" t="s">
        <v>6524</v>
      </c>
      <c r="B4783" s="9" t="s">
        <v>2177</v>
      </c>
      <c r="C4783" s="9" t="s">
        <v>47</v>
      </c>
      <c r="D4783" s="9" t="n">
        <v>34</v>
      </c>
      <c r="E4783" s="9" t="s">
        <v>48</v>
      </c>
      <c r="F4783" s="9" t="s">
        <v>74</v>
      </c>
      <c r="G4783" s="10" t="n">
        <v>45968</v>
      </c>
      <c r="H4783" s="10" t="n">
        <v>45981</v>
      </c>
      <c r="I4783" s="9" t="s">
        <v>62</v>
      </c>
      <c r="J4783" s="9" t="s">
        <v>63</v>
      </c>
      <c r="K4783" s="9" t="n">
        <v>13</v>
      </c>
      <c r="L4783" s="9" t="n">
        <v>5</v>
      </c>
      <c r="M4783" s="9" t="n">
        <v>0</v>
      </c>
      <c r="N4783" s="9" t="s">
        <v>71</v>
      </c>
      <c r="O4783" s="9"/>
      <c r="P4783" s="9" t="n">
        <v>5</v>
      </c>
      <c r="Q4783" s="9" t="n">
        <v>24</v>
      </c>
      <c r="R4783" s="9" t="s">
        <v>53</v>
      </c>
      <c r="S4783" s="9"/>
      <c r="T4783" s="9"/>
      <c r="U4783" s="9" t="str">
        <f aca="false">IF(COUNTIF($A$2:$A$5001,A4783)&gt;1,"Duplicate","Unique")</f>
        <v>Unique</v>
      </c>
      <c r="V4783" s="9" t="str">
        <f aca="false">IF(COUNTIFS($B$2:$B$5001,B4783,$H$2:$H$5001,H4783,$J$2:$J$5001,J4783)&gt;1,"Possible Duplicate Booking","Unique")</f>
        <v>Unique</v>
      </c>
      <c r="W4783" s="9" t="str">
        <f aca="false">IF((H4783-G4783)&lt;&gt;K4783,"Mismatch","OK")</f>
        <v>OK</v>
      </c>
      <c r="X4783" s="9" t="str">
        <f aca="false">IF(TEXT(H4783,"dddd")&lt;&gt;I4783,"Mismatch","OK")</f>
        <v>OK</v>
      </c>
      <c r="Y4783" s="9" t="str">
        <f aca="false">IF(AND(N4783="No",O4783&lt;&gt;""),"Unexpected: channel present but no reminder sent",IF(AND(N4783="Yes",O4783=""),"Missing channel for sent reminder","OK"))</f>
        <v>OK</v>
      </c>
    </row>
    <row r="4784" customFormat="false" ht="15" hidden="false" customHeight="false" outlineLevel="0" collapsed="false">
      <c r="A4784" s="7" t="s">
        <v>6525</v>
      </c>
      <c r="B4784" s="7" t="s">
        <v>3001</v>
      </c>
      <c r="C4784" s="7" t="s">
        <v>47</v>
      </c>
      <c r="D4784" s="7" t="n">
        <v>30</v>
      </c>
      <c r="E4784" s="7" t="s">
        <v>48</v>
      </c>
      <c r="F4784" s="7" t="s">
        <v>74</v>
      </c>
      <c r="G4784" s="8" t="n">
        <v>45785</v>
      </c>
      <c r="H4784" s="8" t="n">
        <v>45845</v>
      </c>
      <c r="I4784" s="7" t="s">
        <v>66</v>
      </c>
      <c r="J4784" s="7" t="s">
        <v>63</v>
      </c>
      <c r="K4784" s="7" t="n">
        <v>60</v>
      </c>
      <c r="L4784" s="7" t="n">
        <v>1</v>
      </c>
      <c r="M4784" s="7" t="n">
        <v>0</v>
      </c>
      <c r="N4784" s="7" t="s">
        <v>42</v>
      </c>
      <c r="O4784" s="7" t="s">
        <v>52</v>
      </c>
      <c r="P4784" s="7" t="n">
        <v>17.7</v>
      </c>
      <c r="Q4784" s="7" t="n">
        <v>27</v>
      </c>
      <c r="R4784" s="7" t="s">
        <v>44</v>
      </c>
      <c r="S4784" s="7"/>
      <c r="T4784" s="7"/>
      <c r="U4784" s="7" t="str">
        <f aca="false">IF(COUNTIF($A$2:$A$5001,A4784)&gt;1,"Duplicate","Unique")</f>
        <v>Unique</v>
      </c>
      <c r="V4784" s="7" t="str">
        <f aca="false">IF(COUNTIFS($B$2:$B$5001,B4784,$H$2:$H$5001,H4784,$J$2:$J$5001,J4784)&gt;1,"Possible Duplicate Booking","Unique")</f>
        <v>Unique</v>
      </c>
      <c r="W4784" s="7" t="str">
        <f aca="false">IF((H4784-G4784)&lt;&gt;K4784,"Mismatch","OK")</f>
        <v>OK</v>
      </c>
      <c r="X4784" s="7" t="str">
        <f aca="false">IF(TEXT(H4784,"dddd")&lt;&gt;I4784,"Mismatch","OK")</f>
        <v>OK</v>
      </c>
      <c r="Y4784" s="7" t="str">
        <f aca="false">IF(AND(N4784="No",O4784&lt;&gt;""),"Unexpected: channel present but no reminder sent",IF(AND(N4784="Yes",O4784=""),"Missing channel for sent reminder","OK"))</f>
        <v>OK</v>
      </c>
    </row>
    <row r="4785" customFormat="false" ht="15" hidden="false" customHeight="false" outlineLevel="0" collapsed="false">
      <c r="A4785" s="9" t="s">
        <v>6526</v>
      </c>
      <c r="B4785" s="9" t="s">
        <v>5115</v>
      </c>
      <c r="C4785" s="9" t="s">
        <v>47</v>
      </c>
      <c r="D4785" s="9" t="n">
        <v>18</v>
      </c>
      <c r="E4785" s="9" t="s">
        <v>82</v>
      </c>
      <c r="F4785" s="9" t="s">
        <v>57</v>
      </c>
      <c r="G4785" s="10" t="n">
        <v>46053</v>
      </c>
      <c r="H4785" s="10" t="n">
        <v>46070</v>
      </c>
      <c r="I4785" s="9" t="s">
        <v>40</v>
      </c>
      <c r="J4785" s="9" t="s">
        <v>51</v>
      </c>
      <c r="K4785" s="9" t="n">
        <v>17</v>
      </c>
      <c r="L4785" s="9" t="n">
        <v>3</v>
      </c>
      <c r="M4785" s="9" t="n">
        <v>0</v>
      </c>
      <c r="N4785" s="9" t="s">
        <v>71</v>
      </c>
      <c r="O4785" s="9"/>
      <c r="P4785" s="9" t="n">
        <v>10.3</v>
      </c>
      <c r="Q4785" s="9" t="n">
        <v>29</v>
      </c>
      <c r="R4785" s="9" t="s">
        <v>53</v>
      </c>
      <c r="S4785" s="9"/>
      <c r="T4785" s="9"/>
      <c r="U4785" s="9" t="str">
        <f aca="false">IF(COUNTIF($A$2:$A$5001,A4785)&gt;1,"Duplicate","Unique")</f>
        <v>Unique</v>
      </c>
      <c r="V4785" s="9" t="str">
        <f aca="false">IF(COUNTIFS($B$2:$B$5001,B4785,$H$2:$H$5001,H4785,$J$2:$J$5001,J4785)&gt;1,"Possible Duplicate Booking","Unique")</f>
        <v>Unique</v>
      </c>
      <c r="W4785" s="9" t="str">
        <f aca="false">IF((H4785-G4785)&lt;&gt;K4785,"Mismatch","OK")</f>
        <v>OK</v>
      </c>
      <c r="X4785" s="9" t="str">
        <f aca="false">IF(TEXT(H4785,"dddd")&lt;&gt;I4785,"Mismatch","OK")</f>
        <v>OK</v>
      </c>
      <c r="Y4785" s="9" t="str">
        <f aca="false">IF(AND(N4785="No",O4785&lt;&gt;""),"Unexpected: channel present but no reminder sent",IF(AND(N4785="Yes",O4785=""),"Missing channel for sent reminder","OK"))</f>
        <v>OK</v>
      </c>
    </row>
    <row r="4786" customFormat="false" ht="15" hidden="false" customHeight="false" outlineLevel="0" collapsed="false">
      <c r="A4786" s="7" t="s">
        <v>6527</v>
      </c>
      <c r="B4786" s="7" t="s">
        <v>1567</v>
      </c>
      <c r="C4786" s="7" t="s">
        <v>37</v>
      </c>
      <c r="D4786" s="7" t="n">
        <v>26</v>
      </c>
      <c r="E4786" s="7" t="s">
        <v>48</v>
      </c>
      <c r="F4786" s="7" t="s">
        <v>39</v>
      </c>
      <c r="G4786" s="8" t="n">
        <v>46091</v>
      </c>
      <c r="H4786" s="8" t="n">
        <v>46119</v>
      </c>
      <c r="I4786" s="7" t="s">
        <v>40</v>
      </c>
      <c r="J4786" s="7" t="s">
        <v>63</v>
      </c>
      <c r="K4786" s="7" t="n">
        <v>28</v>
      </c>
      <c r="L4786" s="7" t="n">
        <v>1</v>
      </c>
      <c r="M4786" s="7" t="n">
        <v>0</v>
      </c>
      <c r="N4786" s="7" t="s">
        <v>71</v>
      </c>
      <c r="O4786" s="7"/>
      <c r="P4786" s="7" t="n">
        <v>11</v>
      </c>
      <c r="Q4786" s="7" t="n">
        <v>20</v>
      </c>
      <c r="R4786" s="7" t="s">
        <v>44</v>
      </c>
      <c r="S4786" s="7"/>
      <c r="T4786" s="7"/>
      <c r="U4786" s="7" t="str">
        <f aca="false">IF(COUNTIF($A$2:$A$5001,A4786)&gt;1,"Duplicate","Unique")</f>
        <v>Unique</v>
      </c>
      <c r="V4786" s="7" t="str">
        <f aca="false">IF(COUNTIFS($B$2:$B$5001,B4786,$H$2:$H$5001,H4786,$J$2:$J$5001,J4786)&gt;1,"Possible Duplicate Booking","Unique")</f>
        <v>Unique</v>
      </c>
      <c r="W4786" s="7" t="str">
        <f aca="false">IF((H4786-G4786)&lt;&gt;K4786,"Mismatch","OK")</f>
        <v>OK</v>
      </c>
      <c r="X4786" s="7" t="str">
        <f aca="false">IF(TEXT(H4786,"dddd")&lt;&gt;I4786,"Mismatch","OK")</f>
        <v>OK</v>
      </c>
      <c r="Y4786" s="7" t="str">
        <f aca="false">IF(AND(N4786="No",O4786&lt;&gt;""),"Unexpected: channel present but no reminder sent",IF(AND(N4786="Yes",O4786=""),"Missing channel for sent reminder","OK"))</f>
        <v>OK</v>
      </c>
    </row>
    <row r="4787" customFormat="false" ht="15" hidden="false" customHeight="false" outlineLevel="0" collapsed="false">
      <c r="A4787" s="9" t="s">
        <v>6528</v>
      </c>
      <c r="B4787" s="9" t="s">
        <v>4828</v>
      </c>
      <c r="C4787" s="9" t="s">
        <v>37</v>
      </c>
      <c r="D4787" s="9" t="n">
        <v>31</v>
      </c>
      <c r="E4787" s="9" t="s">
        <v>48</v>
      </c>
      <c r="F4787" s="9" t="s">
        <v>57</v>
      </c>
      <c r="G4787" s="10" t="n">
        <v>45828</v>
      </c>
      <c r="H4787" s="10" t="n">
        <v>45854</v>
      </c>
      <c r="I4787" s="9" t="s">
        <v>58</v>
      </c>
      <c r="J4787" s="9" t="s">
        <v>51</v>
      </c>
      <c r="K4787" s="9" t="n">
        <v>26</v>
      </c>
      <c r="L4787" s="9" t="n">
        <v>2</v>
      </c>
      <c r="M4787" s="9" t="n">
        <v>0</v>
      </c>
      <c r="N4787" s="9" t="s">
        <v>42</v>
      </c>
      <c r="O4787" s="9" t="s">
        <v>52</v>
      </c>
      <c r="P4787" s="9" t="n">
        <v>4.8</v>
      </c>
      <c r="Q4787" s="9" t="n">
        <v>32</v>
      </c>
      <c r="R4787" s="9" t="s">
        <v>53</v>
      </c>
      <c r="S4787" s="9"/>
      <c r="T4787" s="9"/>
      <c r="U4787" s="9" t="str">
        <f aca="false">IF(COUNTIF($A$2:$A$5001,A4787)&gt;1,"Duplicate","Unique")</f>
        <v>Unique</v>
      </c>
      <c r="V4787" s="9" t="str">
        <f aca="false">IF(COUNTIFS($B$2:$B$5001,B4787,$H$2:$H$5001,H4787,$J$2:$J$5001,J4787)&gt;1,"Possible Duplicate Booking","Unique")</f>
        <v>Unique</v>
      </c>
      <c r="W4787" s="9" t="str">
        <f aca="false">IF((H4787-G4787)&lt;&gt;K4787,"Mismatch","OK")</f>
        <v>OK</v>
      </c>
      <c r="X4787" s="9" t="str">
        <f aca="false">IF(TEXT(H4787,"dddd")&lt;&gt;I4787,"Mismatch","OK")</f>
        <v>OK</v>
      </c>
      <c r="Y4787" s="9" t="str">
        <f aca="false">IF(AND(N4787="No",O4787&lt;&gt;""),"Unexpected: channel present but no reminder sent",IF(AND(N4787="Yes",O4787=""),"Missing channel for sent reminder","OK"))</f>
        <v>OK</v>
      </c>
    </row>
    <row r="4788" customFormat="false" ht="15" hidden="false" customHeight="false" outlineLevel="0" collapsed="false">
      <c r="A4788" s="7" t="s">
        <v>6529</v>
      </c>
      <c r="B4788" s="7" t="s">
        <v>2226</v>
      </c>
      <c r="C4788" s="7" t="s">
        <v>47</v>
      </c>
      <c r="D4788" s="7" t="n">
        <v>32</v>
      </c>
      <c r="E4788" s="7" t="s">
        <v>48</v>
      </c>
      <c r="F4788" s="7" t="s">
        <v>39</v>
      </c>
      <c r="G4788" s="8" t="n">
        <v>45933</v>
      </c>
      <c r="H4788" s="8" t="n">
        <v>45964</v>
      </c>
      <c r="I4788" s="7" t="s">
        <v>66</v>
      </c>
      <c r="J4788" s="7" t="s">
        <v>41</v>
      </c>
      <c r="K4788" s="7" t="n">
        <v>31</v>
      </c>
      <c r="L4788" s="7" t="n">
        <v>0</v>
      </c>
      <c r="M4788" s="7" t="n">
        <v>0</v>
      </c>
      <c r="N4788" s="7" t="s">
        <v>42</v>
      </c>
      <c r="O4788" s="7" t="s">
        <v>43</v>
      </c>
      <c r="P4788" s="7" t="n">
        <v>13.1</v>
      </c>
      <c r="Q4788" s="7" t="n">
        <v>31</v>
      </c>
      <c r="R4788" s="7" t="s">
        <v>53</v>
      </c>
      <c r="S4788" s="7"/>
      <c r="T4788" s="7"/>
      <c r="U4788" s="7" t="str">
        <f aca="false">IF(COUNTIF($A$2:$A$5001,A4788)&gt;1,"Duplicate","Unique")</f>
        <v>Unique</v>
      </c>
      <c r="V4788" s="7" t="str">
        <f aca="false">IF(COUNTIFS($B$2:$B$5001,B4788,$H$2:$H$5001,H4788,$J$2:$J$5001,J4788)&gt;1,"Possible Duplicate Booking","Unique")</f>
        <v>Unique</v>
      </c>
      <c r="W4788" s="7" t="str">
        <f aca="false">IF((H4788-G4788)&lt;&gt;K4788,"Mismatch","OK")</f>
        <v>OK</v>
      </c>
      <c r="X4788" s="7" t="str">
        <f aca="false">IF(TEXT(H4788,"dddd")&lt;&gt;I4788,"Mismatch","OK")</f>
        <v>OK</v>
      </c>
      <c r="Y4788" s="7" t="str">
        <f aca="false">IF(AND(N4788="No",O4788&lt;&gt;""),"Unexpected: channel present but no reminder sent",IF(AND(N4788="Yes",O4788=""),"Missing channel for sent reminder","OK"))</f>
        <v>OK</v>
      </c>
    </row>
    <row r="4789" customFormat="false" ht="15" hidden="false" customHeight="false" outlineLevel="0" collapsed="false">
      <c r="A4789" s="9" t="s">
        <v>6530</v>
      </c>
      <c r="B4789" s="9" t="s">
        <v>316</v>
      </c>
      <c r="C4789" s="9" t="s">
        <v>37</v>
      </c>
      <c r="D4789" s="9" t="n">
        <v>64</v>
      </c>
      <c r="E4789" s="9" t="s">
        <v>61</v>
      </c>
      <c r="F4789" s="9" t="s">
        <v>49</v>
      </c>
      <c r="G4789" s="10" t="n">
        <v>45647</v>
      </c>
      <c r="H4789" s="10" t="n">
        <v>45663</v>
      </c>
      <c r="I4789" s="9" t="s">
        <v>66</v>
      </c>
      <c r="J4789" s="9" t="s">
        <v>41</v>
      </c>
      <c r="K4789" s="9" t="n">
        <v>16</v>
      </c>
      <c r="L4789" s="9" t="n">
        <v>4</v>
      </c>
      <c r="M4789" s="9" t="n">
        <v>0</v>
      </c>
      <c r="N4789" s="9" t="s">
        <v>42</v>
      </c>
      <c r="O4789" s="9" t="s">
        <v>43</v>
      </c>
      <c r="P4789" s="9" t="n">
        <v>15.6</v>
      </c>
      <c r="Q4789" s="9" t="n">
        <v>34</v>
      </c>
      <c r="R4789" s="9" t="s">
        <v>53</v>
      </c>
      <c r="S4789" s="9"/>
      <c r="T4789" s="9"/>
      <c r="U4789" s="9" t="str">
        <f aca="false">IF(COUNTIF($A$2:$A$5001,A4789)&gt;1,"Duplicate","Unique")</f>
        <v>Unique</v>
      </c>
      <c r="V4789" s="9" t="str">
        <f aca="false">IF(COUNTIFS($B$2:$B$5001,B4789,$H$2:$H$5001,H4789,$J$2:$J$5001,J4789)&gt;1,"Possible Duplicate Booking","Unique")</f>
        <v>Unique</v>
      </c>
      <c r="W4789" s="9" t="str">
        <f aca="false">IF((H4789-G4789)&lt;&gt;K4789,"Mismatch","OK")</f>
        <v>OK</v>
      </c>
      <c r="X4789" s="9" t="str">
        <f aca="false">IF(TEXT(H4789,"dddd")&lt;&gt;I4789,"Mismatch","OK")</f>
        <v>OK</v>
      </c>
      <c r="Y4789" s="9" t="str">
        <f aca="false">IF(AND(N4789="No",O4789&lt;&gt;""),"Unexpected: channel present but no reminder sent",IF(AND(N4789="Yes",O4789=""),"Missing channel for sent reminder","OK"))</f>
        <v>OK</v>
      </c>
    </row>
    <row r="4790" customFormat="false" ht="15" hidden="false" customHeight="false" outlineLevel="0" collapsed="false">
      <c r="A4790" s="7" t="s">
        <v>6531</v>
      </c>
      <c r="B4790" s="7" t="s">
        <v>1003</v>
      </c>
      <c r="C4790" s="7" t="s">
        <v>37</v>
      </c>
      <c r="D4790" s="7" t="n">
        <v>73</v>
      </c>
      <c r="E4790" s="7" t="s">
        <v>70</v>
      </c>
      <c r="F4790" s="7" t="s">
        <v>74</v>
      </c>
      <c r="G4790" s="8" t="n">
        <v>45784</v>
      </c>
      <c r="H4790" s="8" t="n">
        <v>45825</v>
      </c>
      <c r="I4790" s="7" t="s">
        <v>40</v>
      </c>
      <c r="J4790" s="7" t="s">
        <v>51</v>
      </c>
      <c r="K4790" s="7" t="n">
        <v>41</v>
      </c>
      <c r="L4790" s="7" t="n">
        <v>5</v>
      </c>
      <c r="M4790" s="7" t="n">
        <v>0</v>
      </c>
      <c r="N4790" s="7" t="s">
        <v>42</v>
      </c>
      <c r="O4790" s="7" t="s">
        <v>52</v>
      </c>
      <c r="P4790" s="7" t="n">
        <v>5.9</v>
      </c>
      <c r="Q4790" s="7" t="n">
        <v>32</v>
      </c>
      <c r="R4790" s="7" t="s">
        <v>44</v>
      </c>
      <c r="S4790" s="7"/>
      <c r="T4790" s="7"/>
      <c r="U4790" s="7" t="str">
        <f aca="false">IF(COUNTIF($A$2:$A$5001,A4790)&gt;1,"Duplicate","Unique")</f>
        <v>Unique</v>
      </c>
      <c r="V4790" s="7" t="str">
        <f aca="false">IF(COUNTIFS($B$2:$B$5001,B4790,$H$2:$H$5001,H4790,$J$2:$J$5001,J4790)&gt;1,"Possible Duplicate Booking","Unique")</f>
        <v>Unique</v>
      </c>
      <c r="W4790" s="7" t="str">
        <f aca="false">IF((H4790-G4790)&lt;&gt;K4790,"Mismatch","OK")</f>
        <v>OK</v>
      </c>
      <c r="X4790" s="7" t="str">
        <f aca="false">IF(TEXT(H4790,"dddd")&lt;&gt;I4790,"Mismatch","OK")</f>
        <v>OK</v>
      </c>
      <c r="Y4790" s="7" t="str">
        <f aca="false">IF(AND(N4790="No",O4790&lt;&gt;""),"Unexpected: channel present but no reminder sent",IF(AND(N4790="Yes",O4790=""),"Missing channel for sent reminder","OK"))</f>
        <v>OK</v>
      </c>
    </row>
    <row r="4791" customFormat="false" ht="15" hidden="false" customHeight="false" outlineLevel="0" collapsed="false">
      <c r="A4791" s="9" t="s">
        <v>6532</v>
      </c>
      <c r="B4791" s="9" t="s">
        <v>3675</v>
      </c>
      <c r="C4791" s="9" t="s">
        <v>47</v>
      </c>
      <c r="D4791" s="9" t="n">
        <v>71</v>
      </c>
      <c r="E4791" s="9" t="s">
        <v>70</v>
      </c>
      <c r="F4791" s="9" t="s">
        <v>57</v>
      </c>
      <c r="G4791" s="10" t="n">
        <v>45940</v>
      </c>
      <c r="H4791" s="10" t="n">
        <v>45982</v>
      </c>
      <c r="I4791" s="9" t="s">
        <v>50</v>
      </c>
      <c r="J4791" s="9" t="s">
        <v>41</v>
      </c>
      <c r="K4791" s="9" t="n">
        <v>42</v>
      </c>
      <c r="L4791" s="9" t="n">
        <v>3</v>
      </c>
      <c r="M4791" s="9" t="n">
        <v>0</v>
      </c>
      <c r="N4791" s="9" t="s">
        <v>71</v>
      </c>
      <c r="O4791" s="9"/>
      <c r="P4791" s="9" t="n">
        <v>8.2</v>
      </c>
      <c r="Q4791" s="9" t="n">
        <v>32</v>
      </c>
      <c r="R4791" s="9" t="s">
        <v>44</v>
      </c>
      <c r="S4791" s="9"/>
      <c r="T4791" s="9"/>
      <c r="U4791" s="9" t="str">
        <f aca="false">IF(COUNTIF($A$2:$A$5001,A4791)&gt;1,"Duplicate","Unique")</f>
        <v>Unique</v>
      </c>
      <c r="V4791" s="9" t="str">
        <f aca="false">IF(COUNTIFS($B$2:$B$5001,B4791,$H$2:$H$5001,H4791,$J$2:$J$5001,J4791)&gt;1,"Possible Duplicate Booking","Unique")</f>
        <v>Unique</v>
      </c>
      <c r="W4791" s="9" t="str">
        <f aca="false">IF((H4791-G4791)&lt;&gt;K4791,"Mismatch","OK")</f>
        <v>OK</v>
      </c>
      <c r="X4791" s="9" t="str">
        <f aca="false">IF(TEXT(H4791,"dddd")&lt;&gt;I4791,"Mismatch","OK")</f>
        <v>OK</v>
      </c>
      <c r="Y4791" s="9" t="str">
        <f aca="false">IF(AND(N4791="No",O4791&lt;&gt;""),"Unexpected: channel present but no reminder sent",IF(AND(N4791="Yes",O4791=""),"Missing channel for sent reminder","OK"))</f>
        <v>OK</v>
      </c>
    </row>
    <row r="4792" customFormat="false" ht="15" hidden="false" customHeight="false" outlineLevel="0" collapsed="false">
      <c r="A4792" s="7" t="s">
        <v>6533</v>
      </c>
      <c r="B4792" s="7" t="s">
        <v>2557</v>
      </c>
      <c r="C4792" s="7" t="s">
        <v>37</v>
      </c>
      <c r="D4792" s="7" t="n">
        <v>78</v>
      </c>
      <c r="E4792" s="7" t="s">
        <v>70</v>
      </c>
      <c r="F4792" s="7" t="s">
        <v>39</v>
      </c>
      <c r="G4792" s="8" t="n">
        <v>45753</v>
      </c>
      <c r="H4792" s="8" t="n">
        <v>45765</v>
      </c>
      <c r="I4792" s="7" t="s">
        <v>50</v>
      </c>
      <c r="J4792" s="7" t="s">
        <v>41</v>
      </c>
      <c r="K4792" s="7" t="n">
        <v>12</v>
      </c>
      <c r="L4792" s="7" t="n">
        <v>3</v>
      </c>
      <c r="M4792" s="7" t="n">
        <v>2</v>
      </c>
      <c r="N4792" s="7" t="s">
        <v>42</v>
      </c>
      <c r="O4792" s="7" t="s">
        <v>52</v>
      </c>
      <c r="P4792" s="7" t="n">
        <v>5.9</v>
      </c>
      <c r="Q4792" s="7" t="n">
        <v>19</v>
      </c>
      <c r="R4792" s="7" t="s">
        <v>53</v>
      </c>
      <c r="S4792" s="7"/>
      <c r="T4792" s="7"/>
      <c r="U4792" s="7" t="str">
        <f aca="false">IF(COUNTIF($A$2:$A$5001,A4792)&gt;1,"Duplicate","Unique")</f>
        <v>Unique</v>
      </c>
      <c r="V4792" s="7" t="str">
        <f aca="false">IF(COUNTIFS($B$2:$B$5001,B4792,$H$2:$H$5001,H4792,$J$2:$J$5001,J4792)&gt;1,"Possible Duplicate Booking","Unique")</f>
        <v>Unique</v>
      </c>
      <c r="W4792" s="7" t="str">
        <f aca="false">IF((H4792-G4792)&lt;&gt;K4792,"Mismatch","OK")</f>
        <v>OK</v>
      </c>
      <c r="X4792" s="7" t="str">
        <f aca="false">IF(TEXT(H4792,"dddd")&lt;&gt;I4792,"Mismatch","OK")</f>
        <v>OK</v>
      </c>
      <c r="Y4792" s="7" t="str">
        <f aca="false">IF(AND(N4792="No",O4792&lt;&gt;""),"Unexpected: channel present but no reminder sent",IF(AND(N4792="Yes",O4792=""),"Missing channel for sent reminder","OK"))</f>
        <v>OK</v>
      </c>
    </row>
    <row r="4793" customFormat="false" ht="15" hidden="false" customHeight="false" outlineLevel="0" collapsed="false">
      <c r="A4793" s="9" t="s">
        <v>6534</v>
      </c>
      <c r="B4793" s="9" t="s">
        <v>6535</v>
      </c>
      <c r="C4793" s="9" t="s">
        <v>47</v>
      </c>
      <c r="D4793" s="9" t="n">
        <v>74</v>
      </c>
      <c r="E4793" s="9" t="s">
        <v>70</v>
      </c>
      <c r="F4793" s="9" t="s">
        <v>49</v>
      </c>
      <c r="G4793" s="10" t="n">
        <v>46170</v>
      </c>
      <c r="H4793" s="10" t="n">
        <v>46199</v>
      </c>
      <c r="I4793" s="9" t="s">
        <v>50</v>
      </c>
      <c r="J4793" s="9" t="s">
        <v>51</v>
      </c>
      <c r="K4793" s="9" t="n">
        <v>29</v>
      </c>
      <c r="L4793" s="9" t="n">
        <v>1</v>
      </c>
      <c r="M4793" s="9" t="n">
        <v>0</v>
      </c>
      <c r="N4793" s="9" t="s">
        <v>71</v>
      </c>
      <c r="O4793" s="9"/>
      <c r="P4793" s="9" t="n">
        <v>12.3</v>
      </c>
      <c r="Q4793" s="9" t="n">
        <v>23</v>
      </c>
      <c r="R4793" s="9" t="s">
        <v>53</v>
      </c>
      <c r="S4793" s="9"/>
      <c r="T4793" s="9"/>
      <c r="U4793" s="9" t="str">
        <f aca="false">IF(COUNTIF($A$2:$A$5001,A4793)&gt;1,"Duplicate","Unique")</f>
        <v>Unique</v>
      </c>
      <c r="V4793" s="9" t="str">
        <f aca="false">IF(COUNTIFS($B$2:$B$5001,B4793,$H$2:$H$5001,H4793,$J$2:$J$5001,J4793)&gt;1,"Possible Duplicate Booking","Unique")</f>
        <v>Unique</v>
      </c>
      <c r="W4793" s="9" t="str">
        <f aca="false">IF((H4793-G4793)&lt;&gt;K4793,"Mismatch","OK")</f>
        <v>OK</v>
      </c>
      <c r="X4793" s="9" t="str">
        <f aca="false">IF(TEXT(H4793,"dddd")&lt;&gt;I4793,"Mismatch","OK")</f>
        <v>OK</v>
      </c>
      <c r="Y4793" s="9" t="str">
        <f aca="false">IF(AND(N4793="No",O4793&lt;&gt;""),"Unexpected: channel present but no reminder sent",IF(AND(N4793="Yes",O4793=""),"Missing channel for sent reminder","OK"))</f>
        <v>OK</v>
      </c>
    </row>
    <row r="4794" customFormat="false" ht="15" hidden="false" customHeight="false" outlineLevel="0" collapsed="false">
      <c r="A4794" s="7" t="s">
        <v>6536</v>
      </c>
      <c r="B4794" s="7" t="s">
        <v>5160</v>
      </c>
      <c r="C4794" s="7" t="s">
        <v>37</v>
      </c>
      <c r="D4794" s="7" t="n">
        <v>46</v>
      </c>
      <c r="E4794" s="7" t="s">
        <v>56</v>
      </c>
      <c r="F4794" s="7" t="s">
        <v>57</v>
      </c>
      <c r="G4794" s="8" t="n">
        <v>46185</v>
      </c>
      <c r="H4794" s="8" t="n">
        <v>46188</v>
      </c>
      <c r="I4794" s="7" t="s">
        <v>66</v>
      </c>
      <c r="J4794" s="7" t="s">
        <v>63</v>
      </c>
      <c r="K4794" s="7" t="n">
        <v>3</v>
      </c>
      <c r="L4794" s="7" t="n">
        <v>4</v>
      </c>
      <c r="M4794" s="7" t="n">
        <v>0</v>
      </c>
      <c r="N4794" s="7" t="s">
        <v>71</v>
      </c>
      <c r="O4794" s="7"/>
      <c r="P4794" s="7" t="n">
        <v>19.5</v>
      </c>
      <c r="Q4794" s="7" t="n">
        <v>15</v>
      </c>
      <c r="R4794" s="7" t="s">
        <v>53</v>
      </c>
      <c r="S4794" s="7"/>
      <c r="T4794" s="7"/>
      <c r="U4794" s="7" t="str">
        <f aca="false">IF(COUNTIF($A$2:$A$5001,A4794)&gt;1,"Duplicate","Unique")</f>
        <v>Unique</v>
      </c>
      <c r="V4794" s="7" t="str">
        <f aca="false">IF(COUNTIFS($B$2:$B$5001,B4794,$H$2:$H$5001,H4794,$J$2:$J$5001,J4794)&gt;1,"Possible Duplicate Booking","Unique")</f>
        <v>Unique</v>
      </c>
      <c r="W4794" s="7" t="str">
        <f aca="false">IF((H4794-G4794)&lt;&gt;K4794,"Mismatch","OK")</f>
        <v>OK</v>
      </c>
      <c r="X4794" s="7" t="str">
        <f aca="false">IF(TEXT(H4794,"dddd")&lt;&gt;I4794,"Mismatch","OK")</f>
        <v>OK</v>
      </c>
      <c r="Y4794" s="7" t="str">
        <f aca="false">IF(AND(N4794="No",O4794&lt;&gt;""),"Unexpected: channel present but no reminder sent",IF(AND(N4794="Yes",O4794=""),"Missing channel for sent reminder","OK"))</f>
        <v>OK</v>
      </c>
    </row>
    <row r="4795" customFormat="false" ht="15" hidden="false" customHeight="false" outlineLevel="0" collapsed="false">
      <c r="A4795" s="9" t="s">
        <v>6537</v>
      </c>
      <c r="B4795" s="9" t="s">
        <v>197</v>
      </c>
      <c r="C4795" s="9" t="s">
        <v>37</v>
      </c>
      <c r="D4795" s="9" t="n">
        <v>42</v>
      </c>
      <c r="E4795" s="9" t="s">
        <v>38</v>
      </c>
      <c r="F4795" s="9" t="s">
        <v>39</v>
      </c>
      <c r="G4795" s="10" t="n">
        <v>45785</v>
      </c>
      <c r="H4795" s="10" t="n">
        <v>45798</v>
      </c>
      <c r="I4795" s="9" t="s">
        <v>58</v>
      </c>
      <c r="J4795" s="9" t="s">
        <v>51</v>
      </c>
      <c r="K4795" s="9" t="n">
        <v>13</v>
      </c>
      <c r="L4795" s="9" t="n">
        <v>2</v>
      </c>
      <c r="M4795" s="9" t="n">
        <v>0</v>
      </c>
      <c r="N4795" s="9" t="s">
        <v>42</v>
      </c>
      <c r="O4795" s="9" t="s">
        <v>52</v>
      </c>
      <c r="P4795" s="9" t="n">
        <v>0.5</v>
      </c>
      <c r="Q4795" s="9" t="n">
        <v>26</v>
      </c>
      <c r="R4795" s="9" t="s">
        <v>44</v>
      </c>
      <c r="S4795" s="9"/>
      <c r="T4795" s="9"/>
      <c r="U4795" s="9" t="str">
        <f aca="false">IF(COUNTIF($A$2:$A$5001,A4795)&gt;1,"Duplicate","Unique")</f>
        <v>Unique</v>
      </c>
      <c r="V4795" s="9" t="str">
        <f aca="false">IF(COUNTIFS($B$2:$B$5001,B4795,$H$2:$H$5001,H4795,$J$2:$J$5001,J4795)&gt;1,"Possible Duplicate Booking","Unique")</f>
        <v>Unique</v>
      </c>
      <c r="W4795" s="9" t="str">
        <f aca="false">IF((H4795-G4795)&lt;&gt;K4795,"Mismatch","OK")</f>
        <v>OK</v>
      </c>
      <c r="X4795" s="9" t="str">
        <f aca="false">IF(TEXT(H4795,"dddd")&lt;&gt;I4795,"Mismatch","OK")</f>
        <v>OK</v>
      </c>
      <c r="Y4795" s="9" t="str">
        <f aca="false">IF(AND(N4795="No",O4795&lt;&gt;""),"Unexpected: channel present but no reminder sent",IF(AND(N4795="Yes",O4795=""),"Missing channel for sent reminder","OK"))</f>
        <v>OK</v>
      </c>
    </row>
    <row r="4796" customFormat="false" ht="15" hidden="false" customHeight="false" outlineLevel="0" collapsed="false">
      <c r="A4796" s="7" t="s">
        <v>6538</v>
      </c>
      <c r="B4796" s="7" t="s">
        <v>5447</v>
      </c>
      <c r="C4796" s="7" t="s">
        <v>37</v>
      </c>
      <c r="D4796" s="7" t="n">
        <v>58</v>
      </c>
      <c r="E4796" s="7" t="s">
        <v>61</v>
      </c>
      <c r="F4796" s="7" t="s">
        <v>39</v>
      </c>
      <c r="G4796" s="8" t="n">
        <v>45814</v>
      </c>
      <c r="H4796" s="8" t="n">
        <v>45874</v>
      </c>
      <c r="I4796" s="7" t="s">
        <v>40</v>
      </c>
      <c r="J4796" s="7" t="s">
        <v>51</v>
      </c>
      <c r="K4796" s="7" t="n">
        <v>60</v>
      </c>
      <c r="L4796" s="7" t="n">
        <v>3</v>
      </c>
      <c r="M4796" s="7" t="n">
        <v>1</v>
      </c>
      <c r="N4796" s="7" t="s">
        <v>42</v>
      </c>
      <c r="O4796" s="7" t="s">
        <v>43</v>
      </c>
      <c r="P4796" s="7" t="n">
        <v>6.3</v>
      </c>
      <c r="Q4796" s="7" t="n">
        <v>15</v>
      </c>
      <c r="R4796" s="7" t="s">
        <v>53</v>
      </c>
      <c r="S4796" s="7"/>
      <c r="T4796" s="7"/>
      <c r="U4796" s="7" t="str">
        <f aca="false">IF(COUNTIF($A$2:$A$5001,A4796)&gt;1,"Duplicate","Unique")</f>
        <v>Unique</v>
      </c>
      <c r="V4796" s="7" t="str">
        <f aca="false">IF(COUNTIFS($B$2:$B$5001,B4796,$H$2:$H$5001,H4796,$J$2:$J$5001,J4796)&gt;1,"Possible Duplicate Booking","Unique")</f>
        <v>Unique</v>
      </c>
      <c r="W4796" s="7" t="str">
        <f aca="false">IF((H4796-G4796)&lt;&gt;K4796,"Mismatch","OK")</f>
        <v>OK</v>
      </c>
      <c r="X4796" s="7" t="str">
        <f aca="false">IF(TEXT(H4796,"dddd")&lt;&gt;I4796,"Mismatch","OK")</f>
        <v>OK</v>
      </c>
      <c r="Y4796" s="7" t="str">
        <f aca="false">IF(AND(N4796="No",O4796&lt;&gt;""),"Unexpected: channel present but no reminder sent",IF(AND(N4796="Yes",O4796=""),"Missing channel for sent reminder","OK"))</f>
        <v>OK</v>
      </c>
    </row>
    <row r="4797" customFormat="false" ht="15" hidden="false" customHeight="false" outlineLevel="0" collapsed="false">
      <c r="A4797" s="9" t="s">
        <v>6539</v>
      </c>
      <c r="B4797" s="9" t="s">
        <v>1743</v>
      </c>
      <c r="C4797" s="9" t="s">
        <v>37</v>
      </c>
      <c r="D4797" s="9" t="n">
        <v>38</v>
      </c>
      <c r="E4797" s="9" t="s">
        <v>38</v>
      </c>
      <c r="F4797" s="9" t="s">
        <v>49</v>
      </c>
      <c r="G4797" s="10" t="n">
        <v>45731</v>
      </c>
      <c r="H4797" s="10" t="n">
        <v>45761</v>
      </c>
      <c r="I4797" s="9" t="s">
        <v>66</v>
      </c>
      <c r="J4797" s="9" t="s">
        <v>63</v>
      </c>
      <c r="K4797" s="9" t="n">
        <v>30</v>
      </c>
      <c r="L4797" s="9" t="n">
        <v>4</v>
      </c>
      <c r="M4797" s="9" t="n">
        <v>1</v>
      </c>
      <c r="N4797" s="9" t="s">
        <v>42</v>
      </c>
      <c r="O4797" s="9" t="s">
        <v>43</v>
      </c>
      <c r="P4797" s="9" t="n">
        <v>26.7</v>
      </c>
      <c r="Q4797" s="9" t="n">
        <v>29</v>
      </c>
      <c r="R4797" s="9" t="s">
        <v>44</v>
      </c>
      <c r="S4797" s="9"/>
      <c r="T4797" s="9"/>
      <c r="U4797" s="9" t="str">
        <f aca="false">IF(COUNTIF($A$2:$A$5001,A4797)&gt;1,"Duplicate","Unique")</f>
        <v>Unique</v>
      </c>
      <c r="V4797" s="9" t="str">
        <f aca="false">IF(COUNTIFS($B$2:$B$5001,B4797,$H$2:$H$5001,H4797,$J$2:$J$5001,J4797)&gt;1,"Possible Duplicate Booking","Unique")</f>
        <v>Unique</v>
      </c>
      <c r="W4797" s="9" t="str">
        <f aca="false">IF((H4797-G4797)&lt;&gt;K4797,"Mismatch","OK")</f>
        <v>OK</v>
      </c>
      <c r="X4797" s="9" t="str">
        <f aca="false">IF(TEXT(H4797,"dddd")&lt;&gt;I4797,"Mismatch","OK")</f>
        <v>OK</v>
      </c>
      <c r="Y4797" s="9" t="str">
        <f aca="false">IF(AND(N4797="No",O4797&lt;&gt;""),"Unexpected: channel present but no reminder sent",IF(AND(N4797="Yes",O4797=""),"Missing channel for sent reminder","OK"))</f>
        <v>OK</v>
      </c>
    </row>
    <row r="4798" customFormat="false" ht="15" hidden="false" customHeight="false" outlineLevel="0" collapsed="false">
      <c r="A4798" s="7" t="s">
        <v>6540</v>
      </c>
      <c r="B4798" s="7" t="s">
        <v>2682</v>
      </c>
      <c r="C4798" s="7" t="s">
        <v>47</v>
      </c>
      <c r="D4798" s="7" t="n">
        <v>56</v>
      </c>
      <c r="E4798" s="7" t="s">
        <v>61</v>
      </c>
      <c r="F4798" s="7" t="s">
        <v>74</v>
      </c>
      <c r="G4798" s="8" t="n">
        <v>45896</v>
      </c>
      <c r="H4798" s="8" t="n">
        <v>45933</v>
      </c>
      <c r="I4798" s="7" t="s">
        <v>50</v>
      </c>
      <c r="J4798" s="7" t="s">
        <v>51</v>
      </c>
      <c r="K4798" s="7" t="n">
        <v>37</v>
      </c>
      <c r="L4798" s="7" t="n">
        <v>4</v>
      </c>
      <c r="M4798" s="7" t="n">
        <v>0</v>
      </c>
      <c r="N4798" s="7" t="s">
        <v>42</v>
      </c>
      <c r="O4798" s="7" t="s">
        <v>43</v>
      </c>
      <c r="P4798" s="7" t="n">
        <v>7.8</v>
      </c>
      <c r="Q4798" s="7" t="n">
        <v>37</v>
      </c>
      <c r="R4798" s="7" t="s">
        <v>44</v>
      </c>
      <c r="S4798" s="7"/>
      <c r="T4798" s="7"/>
      <c r="U4798" s="7" t="str">
        <f aca="false">IF(COUNTIF($A$2:$A$5001,A4798)&gt;1,"Duplicate","Unique")</f>
        <v>Unique</v>
      </c>
      <c r="V4798" s="7" t="str">
        <f aca="false">IF(COUNTIFS($B$2:$B$5001,B4798,$H$2:$H$5001,H4798,$J$2:$J$5001,J4798)&gt;1,"Possible Duplicate Booking","Unique")</f>
        <v>Unique</v>
      </c>
      <c r="W4798" s="7" t="str">
        <f aca="false">IF((H4798-G4798)&lt;&gt;K4798,"Mismatch","OK")</f>
        <v>OK</v>
      </c>
      <c r="X4798" s="7" t="str">
        <f aca="false">IF(TEXT(H4798,"dddd")&lt;&gt;I4798,"Mismatch","OK")</f>
        <v>OK</v>
      </c>
      <c r="Y4798" s="7" t="str">
        <f aca="false">IF(AND(N4798="No",O4798&lt;&gt;""),"Unexpected: channel present but no reminder sent",IF(AND(N4798="Yes",O4798=""),"Missing channel for sent reminder","OK"))</f>
        <v>OK</v>
      </c>
    </row>
    <row r="4799" customFormat="false" ht="15" hidden="false" customHeight="false" outlineLevel="0" collapsed="false">
      <c r="A4799" s="9" t="s">
        <v>6541</v>
      </c>
      <c r="B4799" s="9" t="s">
        <v>1094</v>
      </c>
      <c r="C4799" s="9" t="s">
        <v>47</v>
      </c>
      <c r="D4799" s="9" t="n">
        <v>80</v>
      </c>
      <c r="E4799" s="9" t="s">
        <v>70</v>
      </c>
      <c r="F4799" s="9" t="s">
        <v>57</v>
      </c>
      <c r="G4799" s="10" t="n">
        <v>45671</v>
      </c>
      <c r="H4799" s="10" t="n">
        <v>45725</v>
      </c>
      <c r="I4799" s="9" t="s">
        <v>75</v>
      </c>
      <c r="J4799" s="9" t="s">
        <v>51</v>
      </c>
      <c r="K4799" s="9" t="n">
        <v>54</v>
      </c>
      <c r="L4799" s="9" t="n">
        <v>1</v>
      </c>
      <c r="M4799" s="9" t="n">
        <v>0</v>
      </c>
      <c r="N4799" s="9" t="s">
        <v>42</v>
      </c>
      <c r="O4799" s="9" t="s">
        <v>52</v>
      </c>
      <c r="P4799" s="9" t="n">
        <v>10.4</v>
      </c>
      <c r="Q4799" s="9" t="n">
        <v>24</v>
      </c>
      <c r="R4799" s="9" t="s">
        <v>53</v>
      </c>
      <c r="S4799" s="9"/>
      <c r="T4799" s="9"/>
      <c r="U4799" s="9" t="str">
        <f aca="false">IF(COUNTIF($A$2:$A$5001,A4799)&gt;1,"Duplicate","Unique")</f>
        <v>Unique</v>
      </c>
      <c r="V4799" s="9" t="str">
        <f aca="false">IF(COUNTIFS($B$2:$B$5001,B4799,$H$2:$H$5001,H4799,$J$2:$J$5001,J4799)&gt;1,"Possible Duplicate Booking","Unique")</f>
        <v>Unique</v>
      </c>
      <c r="W4799" s="9" t="str">
        <f aca="false">IF((H4799-G4799)&lt;&gt;K4799,"Mismatch","OK")</f>
        <v>OK</v>
      </c>
      <c r="X4799" s="9" t="str">
        <f aca="false">IF(TEXT(H4799,"dddd")&lt;&gt;I4799,"Mismatch","OK")</f>
        <v>OK</v>
      </c>
      <c r="Y4799" s="9" t="str">
        <f aca="false">IF(AND(N4799="No",O4799&lt;&gt;""),"Unexpected: channel present but no reminder sent",IF(AND(N4799="Yes",O4799=""),"Missing channel for sent reminder","OK"))</f>
        <v>OK</v>
      </c>
    </row>
    <row r="4800" customFormat="false" ht="15" hidden="false" customHeight="false" outlineLevel="0" collapsed="false">
      <c r="A4800" s="7" t="s">
        <v>6542</v>
      </c>
      <c r="B4800" s="7" t="s">
        <v>759</v>
      </c>
      <c r="C4800" s="7" t="s">
        <v>37</v>
      </c>
      <c r="D4800" s="7" t="n">
        <v>30</v>
      </c>
      <c r="E4800" s="7" t="s">
        <v>48</v>
      </c>
      <c r="F4800" s="7" t="s">
        <v>57</v>
      </c>
      <c r="G4800" s="8" t="n">
        <v>45828</v>
      </c>
      <c r="H4800" s="8" t="n">
        <v>45871</v>
      </c>
      <c r="I4800" s="7" t="s">
        <v>102</v>
      </c>
      <c r="J4800" s="7" t="s">
        <v>51</v>
      </c>
      <c r="K4800" s="7" t="n">
        <v>43</v>
      </c>
      <c r="L4800" s="7" t="n">
        <v>7</v>
      </c>
      <c r="M4800" s="7" t="n">
        <v>3</v>
      </c>
      <c r="N4800" s="7" t="s">
        <v>42</v>
      </c>
      <c r="O4800" s="7" t="s">
        <v>43</v>
      </c>
      <c r="P4800" s="7" t="n">
        <v>36.2</v>
      </c>
      <c r="Q4800" s="7" t="n">
        <v>18</v>
      </c>
      <c r="R4800" s="7" t="s">
        <v>53</v>
      </c>
      <c r="S4800" s="7"/>
      <c r="T4800" s="7"/>
      <c r="U4800" s="7" t="str">
        <f aca="false">IF(COUNTIF($A$2:$A$5001,A4800)&gt;1,"Duplicate","Unique")</f>
        <v>Unique</v>
      </c>
      <c r="V4800" s="7" t="str">
        <f aca="false">IF(COUNTIFS($B$2:$B$5001,B4800,$H$2:$H$5001,H4800,$J$2:$J$5001,J4800)&gt;1,"Possible Duplicate Booking","Unique")</f>
        <v>Unique</v>
      </c>
      <c r="W4800" s="7" t="str">
        <f aca="false">IF((H4800-G4800)&lt;&gt;K4800,"Mismatch","OK")</f>
        <v>OK</v>
      </c>
      <c r="X4800" s="7" t="str">
        <f aca="false">IF(TEXT(H4800,"dddd")&lt;&gt;I4800,"Mismatch","OK")</f>
        <v>OK</v>
      </c>
      <c r="Y4800" s="7" t="str">
        <f aca="false">IF(AND(N4800="No",O4800&lt;&gt;""),"Unexpected: channel present but no reminder sent",IF(AND(N4800="Yes",O4800=""),"Missing channel for sent reminder","OK"))</f>
        <v>OK</v>
      </c>
    </row>
    <row r="4801" customFormat="false" ht="15" hidden="false" customHeight="false" outlineLevel="0" collapsed="false">
      <c r="A4801" s="9" t="s">
        <v>6543</v>
      </c>
      <c r="B4801" s="9" t="s">
        <v>2203</v>
      </c>
      <c r="C4801" s="9" t="s">
        <v>37</v>
      </c>
      <c r="D4801" s="9" t="n">
        <v>66</v>
      </c>
      <c r="E4801" s="9" t="s">
        <v>70</v>
      </c>
      <c r="F4801" s="9" t="s">
        <v>57</v>
      </c>
      <c r="G4801" s="10" t="n">
        <v>45913</v>
      </c>
      <c r="H4801" s="10" t="n">
        <v>45961</v>
      </c>
      <c r="I4801" s="9" t="s">
        <v>50</v>
      </c>
      <c r="J4801" s="9" t="s">
        <v>51</v>
      </c>
      <c r="K4801" s="9" t="n">
        <v>48</v>
      </c>
      <c r="L4801" s="9" t="n">
        <v>4</v>
      </c>
      <c r="M4801" s="9" t="n">
        <v>1</v>
      </c>
      <c r="N4801" s="9" t="s">
        <v>42</v>
      </c>
      <c r="O4801" s="9" t="s">
        <v>52</v>
      </c>
      <c r="P4801" s="9" t="n">
        <v>24.8</v>
      </c>
      <c r="Q4801" s="9" t="n">
        <v>29</v>
      </c>
      <c r="R4801" s="9" t="s">
        <v>44</v>
      </c>
      <c r="S4801" s="9"/>
      <c r="T4801" s="9"/>
      <c r="U4801" s="9" t="str">
        <f aca="false">IF(COUNTIF($A$2:$A$5001,A4801)&gt;1,"Duplicate","Unique")</f>
        <v>Unique</v>
      </c>
      <c r="V4801" s="9" t="str">
        <f aca="false">IF(COUNTIFS($B$2:$B$5001,B4801,$H$2:$H$5001,H4801,$J$2:$J$5001,J4801)&gt;1,"Possible Duplicate Booking","Unique")</f>
        <v>Unique</v>
      </c>
      <c r="W4801" s="9" t="str">
        <f aca="false">IF((H4801-G4801)&lt;&gt;K4801,"Mismatch","OK")</f>
        <v>OK</v>
      </c>
      <c r="X4801" s="9" t="str">
        <f aca="false">IF(TEXT(H4801,"dddd")&lt;&gt;I4801,"Mismatch","OK")</f>
        <v>OK</v>
      </c>
      <c r="Y4801" s="9" t="str">
        <f aca="false">IF(AND(N4801="No",O4801&lt;&gt;""),"Unexpected: channel present but no reminder sent",IF(AND(N4801="Yes",O4801=""),"Missing channel for sent reminder","OK"))</f>
        <v>OK</v>
      </c>
    </row>
    <row r="4802" customFormat="false" ht="15" hidden="false" customHeight="false" outlineLevel="0" collapsed="false">
      <c r="A4802" s="7" t="s">
        <v>6544</v>
      </c>
      <c r="B4802" s="7" t="s">
        <v>2042</v>
      </c>
      <c r="C4802" s="7" t="s">
        <v>47</v>
      </c>
      <c r="D4802" s="7" t="n">
        <v>76</v>
      </c>
      <c r="E4802" s="7" t="s">
        <v>70</v>
      </c>
      <c r="F4802" s="7" t="s">
        <v>57</v>
      </c>
      <c r="G4802" s="8" t="n">
        <v>45949</v>
      </c>
      <c r="H4802" s="8" t="n">
        <v>45992</v>
      </c>
      <c r="I4802" s="7" t="s">
        <v>66</v>
      </c>
      <c r="J4802" s="7" t="s">
        <v>51</v>
      </c>
      <c r="K4802" s="7" t="n">
        <v>43</v>
      </c>
      <c r="L4802" s="7" t="n">
        <v>3</v>
      </c>
      <c r="M4802" s="7" t="n">
        <v>1</v>
      </c>
      <c r="N4802" s="7" t="s">
        <v>42</v>
      </c>
      <c r="O4802" s="7" t="s">
        <v>52</v>
      </c>
      <c r="P4802" s="7" t="n">
        <v>12.7</v>
      </c>
      <c r="Q4802" s="7" t="n">
        <v>35</v>
      </c>
      <c r="R4802" s="7" t="s">
        <v>44</v>
      </c>
      <c r="S4802" s="7"/>
      <c r="T4802" s="7"/>
      <c r="U4802" s="7" t="str">
        <f aca="false">IF(COUNTIF($A$2:$A$5001,A4802)&gt;1,"Duplicate","Unique")</f>
        <v>Unique</v>
      </c>
      <c r="V4802" s="7" t="str">
        <f aca="false">IF(COUNTIFS($B$2:$B$5001,B4802,$H$2:$H$5001,H4802,$J$2:$J$5001,J4802)&gt;1,"Possible Duplicate Booking","Unique")</f>
        <v>Unique</v>
      </c>
      <c r="W4802" s="7" t="str">
        <f aca="false">IF((H4802-G4802)&lt;&gt;K4802,"Mismatch","OK")</f>
        <v>OK</v>
      </c>
      <c r="X4802" s="7" t="str">
        <f aca="false">IF(TEXT(H4802,"dddd")&lt;&gt;I4802,"Mismatch","OK")</f>
        <v>OK</v>
      </c>
      <c r="Y4802" s="7" t="str">
        <f aca="false">IF(AND(N4802="No",O4802&lt;&gt;""),"Unexpected: channel present but no reminder sent",IF(AND(N4802="Yes",O4802=""),"Missing channel for sent reminder","OK"))</f>
        <v>OK</v>
      </c>
    </row>
    <row r="4803" customFormat="false" ht="15" hidden="false" customHeight="false" outlineLevel="0" collapsed="false">
      <c r="A4803" s="9" t="s">
        <v>6545</v>
      </c>
      <c r="B4803" s="9" t="s">
        <v>5348</v>
      </c>
      <c r="C4803" s="9" t="s">
        <v>37</v>
      </c>
      <c r="D4803" s="9" t="n">
        <v>51</v>
      </c>
      <c r="E4803" s="9" t="s">
        <v>56</v>
      </c>
      <c r="F4803" s="9" t="s">
        <v>39</v>
      </c>
      <c r="G4803" s="10" t="n">
        <v>45953</v>
      </c>
      <c r="H4803" s="10" t="n">
        <v>45983</v>
      </c>
      <c r="I4803" s="9" t="s">
        <v>102</v>
      </c>
      <c r="J4803" s="9" t="s">
        <v>51</v>
      </c>
      <c r="K4803" s="9" t="n">
        <v>30</v>
      </c>
      <c r="L4803" s="9" t="n">
        <v>8</v>
      </c>
      <c r="M4803" s="9" t="n">
        <v>1</v>
      </c>
      <c r="N4803" s="9" t="s">
        <v>71</v>
      </c>
      <c r="O4803" s="9"/>
      <c r="P4803" s="9" t="n">
        <v>8</v>
      </c>
      <c r="Q4803" s="9" t="n">
        <v>16</v>
      </c>
      <c r="R4803" s="9" t="s">
        <v>53</v>
      </c>
      <c r="S4803" s="9"/>
      <c r="T4803" s="9"/>
      <c r="U4803" s="9" t="str">
        <f aca="false">IF(COUNTIF($A$2:$A$5001,A4803)&gt;1,"Duplicate","Unique")</f>
        <v>Unique</v>
      </c>
      <c r="V4803" s="9" t="str">
        <f aca="false">IF(COUNTIFS($B$2:$B$5001,B4803,$H$2:$H$5001,H4803,$J$2:$J$5001,J4803)&gt;1,"Possible Duplicate Booking","Unique")</f>
        <v>Unique</v>
      </c>
      <c r="W4803" s="9" t="str">
        <f aca="false">IF((H4803-G4803)&lt;&gt;K4803,"Mismatch","OK")</f>
        <v>OK</v>
      </c>
      <c r="X4803" s="9" t="str">
        <f aca="false">IF(TEXT(H4803,"dddd")&lt;&gt;I4803,"Mismatch","OK")</f>
        <v>OK</v>
      </c>
      <c r="Y4803" s="9" t="str">
        <f aca="false">IF(AND(N4803="No",O4803&lt;&gt;""),"Unexpected: channel present but no reminder sent",IF(AND(N4803="Yes",O4803=""),"Missing channel for sent reminder","OK"))</f>
        <v>OK</v>
      </c>
    </row>
    <row r="4804" customFormat="false" ht="15" hidden="false" customHeight="false" outlineLevel="0" collapsed="false">
      <c r="A4804" s="7" t="s">
        <v>6546</v>
      </c>
      <c r="B4804" s="7" t="s">
        <v>907</v>
      </c>
      <c r="C4804" s="7" t="s">
        <v>37</v>
      </c>
      <c r="D4804" s="7" t="n">
        <v>40</v>
      </c>
      <c r="E4804" s="7" t="s">
        <v>38</v>
      </c>
      <c r="F4804" s="7" t="s">
        <v>49</v>
      </c>
      <c r="G4804" s="8" t="n">
        <v>45740</v>
      </c>
      <c r="H4804" s="8" t="n">
        <v>45778</v>
      </c>
      <c r="I4804" s="7" t="s">
        <v>62</v>
      </c>
      <c r="J4804" s="7" t="s">
        <v>41</v>
      </c>
      <c r="K4804" s="7" t="n">
        <v>38</v>
      </c>
      <c r="L4804" s="7" t="n">
        <v>2</v>
      </c>
      <c r="M4804" s="7" t="n">
        <v>1</v>
      </c>
      <c r="N4804" s="7" t="s">
        <v>42</v>
      </c>
      <c r="O4804" s="7" t="s">
        <v>52</v>
      </c>
      <c r="P4804" s="7" t="n">
        <v>15.4</v>
      </c>
      <c r="Q4804" s="7" t="n">
        <v>25</v>
      </c>
      <c r="R4804" s="7" t="s">
        <v>44</v>
      </c>
      <c r="S4804" s="7"/>
      <c r="T4804" s="7"/>
      <c r="U4804" s="7" t="str">
        <f aca="false">IF(COUNTIF($A$2:$A$5001,A4804)&gt;1,"Duplicate","Unique")</f>
        <v>Unique</v>
      </c>
      <c r="V4804" s="7" t="str">
        <f aca="false">IF(COUNTIFS($B$2:$B$5001,B4804,$H$2:$H$5001,H4804,$J$2:$J$5001,J4804)&gt;1,"Possible Duplicate Booking","Unique")</f>
        <v>Unique</v>
      </c>
      <c r="W4804" s="7" t="str">
        <f aca="false">IF((H4804-G4804)&lt;&gt;K4804,"Mismatch","OK")</f>
        <v>OK</v>
      </c>
      <c r="X4804" s="7" t="str">
        <f aca="false">IF(TEXT(H4804,"dddd")&lt;&gt;I4804,"Mismatch","OK")</f>
        <v>OK</v>
      </c>
      <c r="Y4804" s="7" t="str">
        <f aca="false">IF(AND(N4804="No",O4804&lt;&gt;""),"Unexpected: channel present but no reminder sent",IF(AND(N4804="Yes",O4804=""),"Missing channel for sent reminder","OK"))</f>
        <v>OK</v>
      </c>
    </row>
    <row r="4805" customFormat="false" ht="15" hidden="false" customHeight="false" outlineLevel="0" collapsed="false">
      <c r="A4805" s="9" t="s">
        <v>6547</v>
      </c>
      <c r="B4805" s="9" t="s">
        <v>6235</v>
      </c>
      <c r="C4805" s="9" t="s">
        <v>37</v>
      </c>
      <c r="D4805" s="9" t="n">
        <v>34</v>
      </c>
      <c r="E4805" s="9" t="s">
        <v>48</v>
      </c>
      <c r="F4805" s="9" t="s">
        <v>39</v>
      </c>
      <c r="G4805" s="10" t="n">
        <v>46073</v>
      </c>
      <c r="H4805" s="10" t="n">
        <v>46090</v>
      </c>
      <c r="I4805" s="9" t="s">
        <v>66</v>
      </c>
      <c r="J4805" s="9" t="s">
        <v>41</v>
      </c>
      <c r="K4805" s="9" t="n">
        <v>17</v>
      </c>
      <c r="L4805" s="9" t="n">
        <v>3</v>
      </c>
      <c r="M4805" s="9" t="n">
        <v>1</v>
      </c>
      <c r="N4805" s="9" t="s">
        <v>42</v>
      </c>
      <c r="O4805" s="9" t="s">
        <v>52</v>
      </c>
      <c r="P4805" s="9" t="n">
        <v>5.9</v>
      </c>
      <c r="Q4805" s="9" t="n">
        <v>27</v>
      </c>
      <c r="R4805" s="9" t="s">
        <v>53</v>
      </c>
      <c r="S4805" s="9"/>
      <c r="T4805" s="9"/>
      <c r="U4805" s="9" t="str">
        <f aca="false">IF(COUNTIF($A$2:$A$5001,A4805)&gt;1,"Duplicate","Unique")</f>
        <v>Unique</v>
      </c>
      <c r="V4805" s="9" t="str">
        <f aca="false">IF(COUNTIFS($B$2:$B$5001,B4805,$H$2:$H$5001,H4805,$J$2:$J$5001,J4805)&gt;1,"Possible Duplicate Booking","Unique")</f>
        <v>Unique</v>
      </c>
      <c r="W4805" s="9" t="str">
        <f aca="false">IF((H4805-G4805)&lt;&gt;K4805,"Mismatch","OK")</f>
        <v>OK</v>
      </c>
      <c r="X4805" s="9" t="str">
        <f aca="false">IF(TEXT(H4805,"dddd")&lt;&gt;I4805,"Mismatch","OK")</f>
        <v>OK</v>
      </c>
      <c r="Y4805" s="9" t="str">
        <f aca="false">IF(AND(N4805="No",O4805&lt;&gt;""),"Unexpected: channel present but no reminder sent",IF(AND(N4805="Yes",O4805=""),"Missing channel for sent reminder","OK"))</f>
        <v>OK</v>
      </c>
    </row>
    <row r="4806" customFormat="false" ht="15" hidden="false" customHeight="false" outlineLevel="0" collapsed="false">
      <c r="A4806" s="7" t="s">
        <v>6548</v>
      </c>
      <c r="B4806" s="7" t="s">
        <v>3851</v>
      </c>
      <c r="C4806" s="7" t="s">
        <v>47</v>
      </c>
      <c r="D4806" s="7" t="n">
        <v>28</v>
      </c>
      <c r="E4806" s="7" t="s">
        <v>48</v>
      </c>
      <c r="F4806" s="7" t="s">
        <v>39</v>
      </c>
      <c r="G4806" s="8" t="n">
        <v>45981</v>
      </c>
      <c r="H4806" s="8" t="n">
        <v>46035</v>
      </c>
      <c r="I4806" s="7" t="s">
        <v>40</v>
      </c>
      <c r="J4806" s="7" t="s">
        <v>63</v>
      </c>
      <c r="K4806" s="7" t="n">
        <v>54</v>
      </c>
      <c r="L4806" s="7" t="n">
        <v>3</v>
      </c>
      <c r="M4806" s="7" t="n">
        <v>0</v>
      </c>
      <c r="N4806" s="7" t="s">
        <v>42</v>
      </c>
      <c r="O4806" s="7" t="s">
        <v>52</v>
      </c>
      <c r="P4806" s="7" t="n">
        <v>6.1</v>
      </c>
      <c r="Q4806" s="7" t="n">
        <v>21</v>
      </c>
      <c r="R4806" s="7" t="s">
        <v>44</v>
      </c>
      <c r="S4806" s="7"/>
      <c r="T4806" s="7"/>
      <c r="U4806" s="7" t="str">
        <f aca="false">IF(COUNTIF($A$2:$A$5001,A4806)&gt;1,"Duplicate","Unique")</f>
        <v>Unique</v>
      </c>
      <c r="V4806" s="7" t="str">
        <f aca="false">IF(COUNTIFS($B$2:$B$5001,B4806,$H$2:$H$5001,H4806,$J$2:$J$5001,J4806)&gt;1,"Possible Duplicate Booking","Unique")</f>
        <v>Unique</v>
      </c>
      <c r="W4806" s="7" t="str">
        <f aca="false">IF((H4806-G4806)&lt;&gt;K4806,"Mismatch","OK")</f>
        <v>OK</v>
      </c>
      <c r="X4806" s="7" t="str">
        <f aca="false">IF(TEXT(H4806,"dddd")&lt;&gt;I4806,"Mismatch","OK")</f>
        <v>OK</v>
      </c>
      <c r="Y4806" s="7" t="str">
        <f aca="false">IF(AND(N4806="No",O4806&lt;&gt;""),"Unexpected: channel present but no reminder sent",IF(AND(N4806="Yes",O4806=""),"Missing channel for sent reminder","OK"))</f>
        <v>OK</v>
      </c>
    </row>
    <row r="4807" customFormat="false" ht="15" hidden="false" customHeight="false" outlineLevel="0" collapsed="false">
      <c r="A4807" s="9" t="s">
        <v>6549</v>
      </c>
      <c r="B4807" s="9" t="s">
        <v>4750</v>
      </c>
      <c r="C4807" s="9" t="s">
        <v>37</v>
      </c>
      <c r="D4807" s="9" t="n">
        <v>38</v>
      </c>
      <c r="E4807" s="9" t="s">
        <v>38</v>
      </c>
      <c r="F4807" s="9" t="s">
        <v>57</v>
      </c>
      <c r="G4807" s="10" t="n">
        <v>46059</v>
      </c>
      <c r="H4807" s="10" t="n">
        <v>46069</v>
      </c>
      <c r="I4807" s="9" t="s">
        <v>66</v>
      </c>
      <c r="J4807" s="9" t="s">
        <v>63</v>
      </c>
      <c r="K4807" s="9" t="n">
        <v>10</v>
      </c>
      <c r="L4807" s="9" t="n">
        <v>6</v>
      </c>
      <c r="M4807" s="9" t="n">
        <v>0</v>
      </c>
      <c r="N4807" s="9" t="s">
        <v>42</v>
      </c>
      <c r="O4807" s="9" t="s">
        <v>52</v>
      </c>
      <c r="P4807" s="9" t="n">
        <v>3.7</v>
      </c>
      <c r="Q4807" s="9" t="n">
        <v>30</v>
      </c>
      <c r="R4807" s="9" t="s">
        <v>53</v>
      </c>
      <c r="S4807" s="9"/>
      <c r="T4807" s="9"/>
      <c r="U4807" s="9" t="str">
        <f aca="false">IF(COUNTIF($A$2:$A$5001,A4807)&gt;1,"Duplicate","Unique")</f>
        <v>Unique</v>
      </c>
      <c r="V4807" s="9" t="str">
        <f aca="false">IF(COUNTIFS($B$2:$B$5001,B4807,$H$2:$H$5001,H4807,$J$2:$J$5001,J4807)&gt;1,"Possible Duplicate Booking","Unique")</f>
        <v>Unique</v>
      </c>
      <c r="W4807" s="9" t="str">
        <f aca="false">IF((H4807-G4807)&lt;&gt;K4807,"Mismatch","OK")</f>
        <v>OK</v>
      </c>
      <c r="X4807" s="9" t="str">
        <f aca="false">IF(TEXT(H4807,"dddd")&lt;&gt;I4807,"Mismatch","OK")</f>
        <v>OK</v>
      </c>
      <c r="Y4807" s="9" t="str">
        <f aca="false">IF(AND(N4807="No",O4807&lt;&gt;""),"Unexpected: channel present but no reminder sent",IF(AND(N4807="Yes",O4807=""),"Missing channel for sent reminder","OK"))</f>
        <v>OK</v>
      </c>
    </row>
    <row r="4808" customFormat="false" ht="15" hidden="false" customHeight="false" outlineLevel="0" collapsed="false">
      <c r="A4808" s="7" t="s">
        <v>6550</v>
      </c>
      <c r="B4808" s="7" t="s">
        <v>1451</v>
      </c>
      <c r="C4808" s="7" t="s">
        <v>37</v>
      </c>
      <c r="D4808" s="7" t="n">
        <v>65</v>
      </c>
      <c r="E4808" s="7" t="s">
        <v>70</v>
      </c>
      <c r="F4808" s="7" t="s">
        <v>57</v>
      </c>
      <c r="G4808" s="8" t="n">
        <v>45860</v>
      </c>
      <c r="H4808" s="8" t="n">
        <v>45913</v>
      </c>
      <c r="I4808" s="7" t="s">
        <v>102</v>
      </c>
      <c r="J4808" s="7" t="s">
        <v>51</v>
      </c>
      <c r="K4808" s="7" t="n">
        <v>53</v>
      </c>
      <c r="L4808" s="7" t="n">
        <v>1</v>
      </c>
      <c r="M4808" s="7" t="n">
        <v>0</v>
      </c>
      <c r="N4808" s="7" t="s">
        <v>42</v>
      </c>
      <c r="O4808" s="7" t="s">
        <v>52</v>
      </c>
      <c r="P4808" s="7" t="n">
        <v>5.4</v>
      </c>
      <c r="Q4808" s="7" t="n">
        <v>6</v>
      </c>
      <c r="R4808" s="7" t="s">
        <v>53</v>
      </c>
      <c r="S4808" s="7"/>
      <c r="T4808" s="7"/>
      <c r="U4808" s="7" t="str">
        <f aca="false">IF(COUNTIF($A$2:$A$5001,A4808)&gt;1,"Duplicate","Unique")</f>
        <v>Unique</v>
      </c>
      <c r="V4808" s="7" t="str">
        <f aca="false">IF(COUNTIFS($B$2:$B$5001,B4808,$H$2:$H$5001,H4808,$J$2:$J$5001,J4808)&gt;1,"Possible Duplicate Booking","Unique")</f>
        <v>Unique</v>
      </c>
      <c r="W4808" s="7" t="str">
        <f aca="false">IF((H4808-G4808)&lt;&gt;K4808,"Mismatch","OK")</f>
        <v>OK</v>
      </c>
      <c r="X4808" s="7" t="str">
        <f aca="false">IF(TEXT(H4808,"dddd")&lt;&gt;I4808,"Mismatch","OK")</f>
        <v>OK</v>
      </c>
      <c r="Y4808" s="7" t="str">
        <f aca="false">IF(AND(N4808="No",O4808&lt;&gt;""),"Unexpected: channel present but no reminder sent",IF(AND(N4808="Yes",O4808=""),"Missing channel for sent reminder","OK"))</f>
        <v>OK</v>
      </c>
    </row>
    <row r="4809" customFormat="false" ht="15" hidden="false" customHeight="false" outlineLevel="0" collapsed="false">
      <c r="A4809" s="9" t="s">
        <v>6551</v>
      </c>
      <c r="B4809" s="9" t="s">
        <v>3042</v>
      </c>
      <c r="C4809" s="9" t="s">
        <v>47</v>
      </c>
      <c r="D4809" s="9" t="n">
        <v>50</v>
      </c>
      <c r="E4809" s="9" t="s">
        <v>56</v>
      </c>
      <c r="F4809" s="9" t="s">
        <v>49</v>
      </c>
      <c r="G4809" s="10" t="n">
        <v>46092</v>
      </c>
      <c r="H4809" s="10" t="n">
        <v>46145</v>
      </c>
      <c r="I4809" s="9" t="s">
        <v>75</v>
      </c>
      <c r="J4809" s="9" t="s">
        <v>63</v>
      </c>
      <c r="K4809" s="9" t="n">
        <v>53</v>
      </c>
      <c r="L4809" s="9" t="n">
        <v>4</v>
      </c>
      <c r="M4809" s="9" t="n">
        <v>1</v>
      </c>
      <c r="N4809" s="9" t="s">
        <v>42</v>
      </c>
      <c r="O4809" s="9" t="s">
        <v>43</v>
      </c>
      <c r="P4809" s="9" t="n">
        <v>7.8</v>
      </c>
      <c r="Q4809" s="9" t="n">
        <v>28</v>
      </c>
      <c r="R4809" s="9" t="s">
        <v>44</v>
      </c>
      <c r="S4809" s="9"/>
      <c r="T4809" s="9"/>
      <c r="U4809" s="9" t="str">
        <f aca="false">IF(COUNTIF($A$2:$A$5001,A4809)&gt;1,"Duplicate","Unique")</f>
        <v>Unique</v>
      </c>
      <c r="V4809" s="9" t="str">
        <f aca="false">IF(COUNTIFS($B$2:$B$5001,B4809,$H$2:$H$5001,H4809,$J$2:$J$5001,J4809)&gt;1,"Possible Duplicate Booking","Unique")</f>
        <v>Unique</v>
      </c>
      <c r="W4809" s="9" t="str">
        <f aca="false">IF((H4809-G4809)&lt;&gt;K4809,"Mismatch","OK")</f>
        <v>OK</v>
      </c>
      <c r="X4809" s="9" t="str">
        <f aca="false">IF(TEXT(H4809,"dddd")&lt;&gt;I4809,"Mismatch","OK")</f>
        <v>OK</v>
      </c>
      <c r="Y4809" s="9" t="str">
        <f aca="false">IF(AND(N4809="No",O4809&lt;&gt;""),"Unexpected: channel present but no reminder sent",IF(AND(N4809="Yes",O4809=""),"Missing channel for sent reminder","OK"))</f>
        <v>OK</v>
      </c>
    </row>
    <row r="4810" customFormat="false" ht="15" hidden="false" customHeight="false" outlineLevel="0" collapsed="false">
      <c r="A4810" s="7" t="s">
        <v>6552</v>
      </c>
      <c r="B4810" s="7" t="s">
        <v>1314</v>
      </c>
      <c r="C4810" s="7" t="s">
        <v>47</v>
      </c>
      <c r="D4810" s="7" t="n">
        <v>31</v>
      </c>
      <c r="E4810" s="7" t="s">
        <v>48</v>
      </c>
      <c r="F4810" s="7" t="s">
        <v>39</v>
      </c>
      <c r="G4810" s="8" t="n">
        <v>45862</v>
      </c>
      <c r="H4810" s="8" t="n">
        <v>45870</v>
      </c>
      <c r="I4810" s="7" t="s">
        <v>50</v>
      </c>
      <c r="J4810" s="7" t="s">
        <v>41</v>
      </c>
      <c r="K4810" s="7" t="n">
        <v>8</v>
      </c>
      <c r="L4810" s="7" t="n">
        <v>3</v>
      </c>
      <c r="M4810" s="7" t="n">
        <v>0</v>
      </c>
      <c r="N4810" s="7" t="s">
        <v>71</v>
      </c>
      <c r="O4810" s="7"/>
      <c r="P4810" s="7" t="n">
        <v>12.1</v>
      </c>
      <c r="Q4810" s="7" t="n">
        <v>44</v>
      </c>
      <c r="R4810" s="7" t="s">
        <v>44</v>
      </c>
      <c r="S4810" s="7"/>
      <c r="T4810" s="7"/>
      <c r="U4810" s="7" t="str">
        <f aca="false">IF(COUNTIF($A$2:$A$5001,A4810)&gt;1,"Duplicate","Unique")</f>
        <v>Unique</v>
      </c>
      <c r="V4810" s="7" t="str">
        <f aca="false">IF(COUNTIFS($B$2:$B$5001,B4810,$H$2:$H$5001,H4810,$J$2:$J$5001,J4810)&gt;1,"Possible Duplicate Booking","Unique")</f>
        <v>Unique</v>
      </c>
      <c r="W4810" s="7" t="str">
        <f aca="false">IF((H4810-G4810)&lt;&gt;K4810,"Mismatch","OK")</f>
        <v>OK</v>
      </c>
      <c r="X4810" s="7" t="str">
        <f aca="false">IF(TEXT(H4810,"dddd")&lt;&gt;I4810,"Mismatch","OK")</f>
        <v>OK</v>
      </c>
      <c r="Y4810" s="7" t="str">
        <f aca="false">IF(AND(N4810="No",O4810&lt;&gt;""),"Unexpected: channel present but no reminder sent",IF(AND(N4810="Yes",O4810=""),"Missing channel for sent reminder","OK"))</f>
        <v>OK</v>
      </c>
    </row>
    <row r="4811" customFormat="false" ht="15" hidden="false" customHeight="false" outlineLevel="0" collapsed="false">
      <c r="A4811" s="9" t="s">
        <v>6553</v>
      </c>
      <c r="B4811" s="9" t="s">
        <v>5152</v>
      </c>
      <c r="C4811" s="9" t="s">
        <v>47</v>
      </c>
      <c r="D4811" s="9" t="n">
        <v>52</v>
      </c>
      <c r="E4811" s="9" t="s">
        <v>56</v>
      </c>
      <c r="F4811" s="9" t="s">
        <v>57</v>
      </c>
      <c r="G4811" s="10" t="n">
        <v>46054</v>
      </c>
      <c r="H4811" s="10" t="n">
        <v>46097</v>
      </c>
      <c r="I4811" s="9" t="s">
        <v>66</v>
      </c>
      <c r="J4811" s="9" t="s">
        <v>63</v>
      </c>
      <c r="K4811" s="9" t="n">
        <v>43</v>
      </c>
      <c r="L4811" s="9" t="n">
        <v>5</v>
      </c>
      <c r="M4811" s="9" t="n">
        <v>1</v>
      </c>
      <c r="N4811" s="9" t="s">
        <v>42</v>
      </c>
      <c r="O4811" s="9" t="s">
        <v>52</v>
      </c>
      <c r="P4811" s="9" t="n">
        <v>12.9</v>
      </c>
      <c r="Q4811" s="9" t="n">
        <v>30</v>
      </c>
      <c r="R4811" s="9" t="s">
        <v>87</v>
      </c>
      <c r="S4811" s="9"/>
      <c r="T4811" s="9"/>
      <c r="U4811" s="9" t="str">
        <f aca="false">IF(COUNTIF($A$2:$A$5001,A4811)&gt;1,"Duplicate","Unique")</f>
        <v>Unique</v>
      </c>
      <c r="V4811" s="9" t="str">
        <f aca="false">IF(COUNTIFS($B$2:$B$5001,B4811,$H$2:$H$5001,H4811,$J$2:$J$5001,J4811)&gt;1,"Possible Duplicate Booking","Unique")</f>
        <v>Unique</v>
      </c>
      <c r="W4811" s="9" t="str">
        <f aca="false">IF((H4811-G4811)&lt;&gt;K4811,"Mismatch","OK")</f>
        <v>OK</v>
      </c>
      <c r="X4811" s="9" t="str">
        <f aca="false">IF(TEXT(H4811,"dddd")&lt;&gt;I4811,"Mismatch","OK")</f>
        <v>OK</v>
      </c>
      <c r="Y4811" s="9" t="str">
        <f aca="false">IF(AND(N4811="No",O4811&lt;&gt;""),"Unexpected: channel present but no reminder sent",IF(AND(N4811="Yes",O4811=""),"Missing channel for sent reminder","OK"))</f>
        <v>OK</v>
      </c>
    </row>
    <row r="4812" customFormat="false" ht="15" hidden="false" customHeight="false" outlineLevel="0" collapsed="false">
      <c r="A4812" s="7" t="s">
        <v>6554</v>
      </c>
      <c r="B4812" s="7" t="s">
        <v>1138</v>
      </c>
      <c r="C4812" s="7" t="s">
        <v>47</v>
      </c>
      <c r="D4812" s="7" t="n">
        <v>68</v>
      </c>
      <c r="E4812" s="7" t="s">
        <v>70</v>
      </c>
      <c r="F4812" s="7" t="s">
        <v>74</v>
      </c>
      <c r="G4812" s="8" t="n">
        <v>45709</v>
      </c>
      <c r="H4812" s="8" t="n">
        <v>45769</v>
      </c>
      <c r="I4812" s="7" t="s">
        <v>40</v>
      </c>
      <c r="J4812" s="7" t="s">
        <v>41</v>
      </c>
      <c r="K4812" s="7" t="n">
        <v>60</v>
      </c>
      <c r="L4812" s="7" t="n">
        <v>2</v>
      </c>
      <c r="M4812" s="7" t="n">
        <v>0</v>
      </c>
      <c r="N4812" s="7" t="s">
        <v>42</v>
      </c>
      <c r="O4812" s="7" t="s">
        <v>43</v>
      </c>
      <c r="P4812" s="7" t="n">
        <v>7.2</v>
      </c>
      <c r="Q4812" s="7" t="n">
        <v>24</v>
      </c>
      <c r="R4812" s="7" t="s">
        <v>87</v>
      </c>
      <c r="S4812" s="7"/>
      <c r="T4812" s="7"/>
      <c r="U4812" s="7" t="str">
        <f aca="false">IF(COUNTIF($A$2:$A$5001,A4812)&gt;1,"Duplicate","Unique")</f>
        <v>Unique</v>
      </c>
      <c r="V4812" s="7" t="str">
        <f aca="false">IF(COUNTIFS($B$2:$B$5001,B4812,$H$2:$H$5001,H4812,$J$2:$J$5001,J4812)&gt;1,"Possible Duplicate Booking","Unique")</f>
        <v>Unique</v>
      </c>
      <c r="W4812" s="7" t="str">
        <f aca="false">IF((H4812-G4812)&lt;&gt;K4812,"Mismatch","OK")</f>
        <v>OK</v>
      </c>
      <c r="X4812" s="7" t="str">
        <f aca="false">IF(TEXT(H4812,"dddd")&lt;&gt;I4812,"Mismatch","OK")</f>
        <v>OK</v>
      </c>
      <c r="Y4812" s="7" t="str">
        <f aca="false">IF(AND(N4812="No",O4812&lt;&gt;""),"Unexpected: channel present but no reminder sent",IF(AND(N4812="Yes",O4812=""),"Missing channel for sent reminder","OK"))</f>
        <v>OK</v>
      </c>
    </row>
    <row r="4813" customFormat="false" ht="15" hidden="false" customHeight="false" outlineLevel="0" collapsed="false">
      <c r="A4813" s="9" t="s">
        <v>6555</v>
      </c>
      <c r="B4813" s="9" t="s">
        <v>5149</v>
      </c>
      <c r="C4813" s="9" t="s">
        <v>47</v>
      </c>
      <c r="D4813" s="9" t="n">
        <v>18</v>
      </c>
      <c r="E4813" s="9" t="s">
        <v>82</v>
      </c>
      <c r="F4813" s="9" t="s">
        <v>39</v>
      </c>
      <c r="G4813" s="10" t="n">
        <v>45759</v>
      </c>
      <c r="H4813" s="10" t="n">
        <v>45793</v>
      </c>
      <c r="I4813" s="9" t="s">
        <v>50</v>
      </c>
      <c r="J4813" s="9" t="s">
        <v>51</v>
      </c>
      <c r="K4813" s="9" t="n">
        <v>34</v>
      </c>
      <c r="L4813" s="9" t="n">
        <v>1</v>
      </c>
      <c r="M4813" s="9" t="n">
        <v>0</v>
      </c>
      <c r="N4813" s="9" t="s">
        <v>42</v>
      </c>
      <c r="O4813" s="9" t="s">
        <v>43</v>
      </c>
      <c r="P4813" s="9" t="n">
        <v>10.6</v>
      </c>
      <c r="Q4813" s="9" t="n">
        <v>11</v>
      </c>
      <c r="R4813" s="9" t="s">
        <v>53</v>
      </c>
      <c r="S4813" s="9"/>
      <c r="T4813" s="9"/>
      <c r="U4813" s="9" t="str">
        <f aca="false">IF(COUNTIF($A$2:$A$5001,A4813)&gt;1,"Duplicate","Unique")</f>
        <v>Unique</v>
      </c>
      <c r="V4813" s="9" t="str">
        <f aca="false">IF(COUNTIFS($B$2:$B$5001,B4813,$H$2:$H$5001,H4813,$J$2:$J$5001,J4813)&gt;1,"Possible Duplicate Booking","Unique")</f>
        <v>Unique</v>
      </c>
      <c r="W4813" s="9" t="str">
        <f aca="false">IF((H4813-G4813)&lt;&gt;K4813,"Mismatch","OK")</f>
        <v>OK</v>
      </c>
      <c r="X4813" s="9" t="str">
        <f aca="false">IF(TEXT(H4813,"dddd")&lt;&gt;I4813,"Mismatch","OK")</f>
        <v>OK</v>
      </c>
      <c r="Y4813" s="9" t="str">
        <f aca="false">IF(AND(N4813="No",O4813&lt;&gt;""),"Unexpected: channel present but no reminder sent",IF(AND(N4813="Yes",O4813=""),"Missing channel for sent reminder","OK"))</f>
        <v>OK</v>
      </c>
    </row>
    <row r="4814" customFormat="false" ht="15" hidden="false" customHeight="false" outlineLevel="0" collapsed="false">
      <c r="A4814" s="7" t="s">
        <v>6556</v>
      </c>
      <c r="B4814" s="7" t="s">
        <v>842</v>
      </c>
      <c r="C4814" s="7" t="s">
        <v>47</v>
      </c>
      <c r="D4814" s="7" t="n">
        <v>19</v>
      </c>
      <c r="E4814" s="7" t="s">
        <v>82</v>
      </c>
      <c r="F4814" s="7" t="s">
        <v>57</v>
      </c>
      <c r="G4814" s="8" t="n">
        <v>45925</v>
      </c>
      <c r="H4814" s="8" t="n">
        <v>45945</v>
      </c>
      <c r="I4814" s="7" t="s">
        <v>58</v>
      </c>
      <c r="J4814" s="7" t="s">
        <v>51</v>
      </c>
      <c r="K4814" s="7" t="n">
        <v>20</v>
      </c>
      <c r="L4814" s="7" t="n">
        <v>1</v>
      </c>
      <c r="M4814" s="7" t="n">
        <v>0</v>
      </c>
      <c r="N4814" s="7" t="s">
        <v>71</v>
      </c>
      <c r="O4814" s="7"/>
      <c r="P4814" s="7" t="n">
        <v>20.5</v>
      </c>
      <c r="Q4814" s="7" t="n">
        <v>20</v>
      </c>
      <c r="R4814" s="7" t="s">
        <v>44</v>
      </c>
      <c r="S4814" s="7"/>
      <c r="T4814" s="7"/>
      <c r="U4814" s="7" t="str">
        <f aca="false">IF(COUNTIF($A$2:$A$5001,A4814)&gt;1,"Duplicate","Unique")</f>
        <v>Unique</v>
      </c>
      <c r="V4814" s="7" t="str">
        <f aca="false">IF(COUNTIFS($B$2:$B$5001,B4814,$H$2:$H$5001,H4814,$J$2:$J$5001,J4814)&gt;1,"Possible Duplicate Booking","Unique")</f>
        <v>Unique</v>
      </c>
      <c r="W4814" s="7" t="str">
        <f aca="false">IF((H4814-G4814)&lt;&gt;K4814,"Mismatch","OK")</f>
        <v>OK</v>
      </c>
      <c r="X4814" s="7" t="str">
        <f aca="false">IF(TEXT(H4814,"dddd")&lt;&gt;I4814,"Mismatch","OK")</f>
        <v>OK</v>
      </c>
      <c r="Y4814" s="7" t="str">
        <f aca="false">IF(AND(N4814="No",O4814&lt;&gt;""),"Unexpected: channel present but no reminder sent",IF(AND(N4814="Yes",O4814=""),"Missing channel for sent reminder","OK"))</f>
        <v>OK</v>
      </c>
    </row>
    <row r="4815" customFormat="false" ht="15" hidden="false" customHeight="false" outlineLevel="0" collapsed="false">
      <c r="A4815" s="9" t="s">
        <v>6557</v>
      </c>
      <c r="B4815" s="9" t="s">
        <v>946</v>
      </c>
      <c r="C4815" s="9" t="s">
        <v>47</v>
      </c>
      <c r="D4815" s="9" t="n">
        <v>78</v>
      </c>
      <c r="E4815" s="9" t="s">
        <v>70</v>
      </c>
      <c r="F4815" s="9" t="s">
        <v>39</v>
      </c>
      <c r="G4815" s="10" t="n">
        <v>45908</v>
      </c>
      <c r="H4815" s="10" t="n">
        <v>45961</v>
      </c>
      <c r="I4815" s="9" t="s">
        <v>50</v>
      </c>
      <c r="J4815" s="9" t="s">
        <v>63</v>
      </c>
      <c r="K4815" s="9" t="n">
        <v>53</v>
      </c>
      <c r="L4815" s="9" t="n">
        <v>3</v>
      </c>
      <c r="M4815" s="9" t="n">
        <v>0</v>
      </c>
      <c r="N4815" s="9" t="s">
        <v>42</v>
      </c>
      <c r="O4815" s="9" t="s">
        <v>43</v>
      </c>
      <c r="P4815" s="9" t="n">
        <v>14.8</v>
      </c>
      <c r="Q4815" s="9" t="n">
        <v>27</v>
      </c>
      <c r="R4815" s="9" t="s">
        <v>44</v>
      </c>
      <c r="S4815" s="9"/>
      <c r="T4815" s="9"/>
      <c r="U4815" s="9" t="str">
        <f aca="false">IF(COUNTIF($A$2:$A$5001,A4815)&gt;1,"Duplicate","Unique")</f>
        <v>Unique</v>
      </c>
      <c r="V4815" s="9" t="str">
        <f aca="false">IF(COUNTIFS($B$2:$B$5001,B4815,$H$2:$H$5001,H4815,$J$2:$J$5001,J4815)&gt;1,"Possible Duplicate Booking","Unique")</f>
        <v>Unique</v>
      </c>
      <c r="W4815" s="9" t="str">
        <f aca="false">IF((H4815-G4815)&lt;&gt;K4815,"Mismatch","OK")</f>
        <v>OK</v>
      </c>
      <c r="X4815" s="9" t="str">
        <f aca="false">IF(TEXT(H4815,"dddd")&lt;&gt;I4815,"Mismatch","OK")</f>
        <v>OK</v>
      </c>
      <c r="Y4815" s="9" t="str">
        <f aca="false">IF(AND(N4815="No",O4815&lt;&gt;""),"Unexpected: channel present but no reminder sent",IF(AND(N4815="Yes",O4815=""),"Missing channel for sent reminder","OK"))</f>
        <v>OK</v>
      </c>
    </row>
    <row r="4816" customFormat="false" ht="15" hidden="false" customHeight="false" outlineLevel="0" collapsed="false">
      <c r="A4816" s="7" t="s">
        <v>6558</v>
      </c>
      <c r="B4816" s="7" t="s">
        <v>6559</v>
      </c>
      <c r="C4816" s="7" t="s">
        <v>37</v>
      </c>
      <c r="D4816" s="7" t="n">
        <v>65</v>
      </c>
      <c r="E4816" s="7" t="s">
        <v>70</v>
      </c>
      <c r="F4816" s="7" t="s">
        <v>39</v>
      </c>
      <c r="G4816" s="8" t="n">
        <v>46034</v>
      </c>
      <c r="H4816" s="8" t="n">
        <v>46065</v>
      </c>
      <c r="I4816" s="7" t="s">
        <v>62</v>
      </c>
      <c r="J4816" s="7" t="s">
        <v>41</v>
      </c>
      <c r="K4816" s="7" t="n">
        <v>31</v>
      </c>
      <c r="L4816" s="7" t="n">
        <v>3</v>
      </c>
      <c r="M4816" s="7" t="n">
        <v>0</v>
      </c>
      <c r="N4816" s="7" t="s">
        <v>71</v>
      </c>
      <c r="O4816" s="7"/>
      <c r="P4816" s="7" t="n">
        <v>4.9</v>
      </c>
      <c r="Q4816" s="7" t="n">
        <v>25</v>
      </c>
      <c r="R4816" s="7" t="s">
        <v>44</v>
      </c>
      <c r="S4816" s="7"/>
      <c r="T4816" s="7"/>
      <c r="U4816" s="7" t="str">
        <f aca="false">IF(COUNTIF($A$2:$A$5001,A4816)&gt;1,"Duplicate","Unique")</f>
        <v>Unique</v>
      </c>
      <c r="V4816" s="7" t="str">
        <f aca="false">IF(COUNTIFS($B$2:$B$5001,B4816,$H$2:$H$5001,H4816,$J$2:$J$5001,J4816)&gt;1,"Possible Duplicate Booking","Unique")</f>
        <v>Unique</v>
      </c>
      <c r="W4816" s="7" t="str">
        <f aca="false">IF((H4816-G4816)&lt;&gt;K4816,"Mismatch","OK")</f>
        <v>OK</v>
      </c>
      <c r="X4816" s="7" t="str">
        <f aca="false">IF(TEXT(H4816,"dddd")&lt;&gt;I4816,"Mismatch","OK")</f>
        <v>OK</v>
      </c>
      <c r="Y4816" s="7" t="str">
        <f aca="false">IF(AND(N4816="No",O4816&lt;&gt;""),"Unexpected: channel present but no reminder sent",IF(AND(N4816="Yes",O4816=""),"Missing channel for sent reminder","OK"))</f>
        <v>OK</v>
      </c>
    </row>
    <row r="4817" customFormat="false" ht="15" hidden="false" customHeight="false" outlineLevel="0" collapsed="false">
      <c r="A4817" s="9" t="s">
        <v>6560</v>
      </c>
      <c r="B4817" s="9" t="s">
        <v>645</v>
      </c>
      <c r="C4817" s="9" t="s">
        <v>37</v>
      </c>
      <c r="D4817" s="9" t="n">
        <v>54</v>
      </c>
      <c r="E4817" s="9" t="s">
        <v>56</v>
      </c>
      <c r="F4817" s="9" t="s">
        <v>57</v>
      </c>
      <c r="G4817" s="10" t="n">
        <v>45813</v>
      </c>
      <c r="H4817" s="10" t="n">
        <v>45820</v>
      </c>
      <c r="I4817" s="9" t="s">
        <v>62</v>
      </c>
      <c r="J4817" s="9" t="s">
        <v>63</v>
      </c>
      <c r="K4817" s="9" t="n">
        <v>7</v>
      </c>
      <c r="L4817" s="9" t="n">
        <v>3</v>
      </c>
      <c r="M4817" s="9" t="n">
        <v>0</v>
      </c>
      <c r="N4817" s="9" t="s">
        <v>42</v>
      </c>
      <c r="O4817" s="9" t="s">
        <v>43</v>
      </c>
      <c r="P4817" s="9" t="n">
        <v>8.9</v>
      </c>
      <c r="Q4817" s="9" t="n">
        <v>10</v>
      </c>
      <c r="R4817" s="9" t="s">
        <v>53</v>
      </c>
      <c r="S4817" s="9"/>
      <c r="T4817" s="9"/>
      <c r="U4817" s="9" t="str">
        <f aca="false">IF(COUNTIF($A$2:$A$5001,A4817)&gt;1,"Duplicate","Unique")</f>
        <v>Unique</v>
      </c>
      <c r="V4817" s="9" t="str">
        <f aca="false">IF(COUNTIFS($B$2:$B$5001,B4817,$H$2:$H$5001,H4817,$J$2:$J$5001,J4817)&gt;1,"Possible Duplicate Booking","Unique")</f>
        <v>Unique</v>
      </c>
      <c r="W4817" s="9" t="str">
        <f aca="false">IF((H4817-G4817)&lt;&gt;K4817,"Mismatch","OK")</f>
        <v>OK</v>
      </c>
      <c r="X4817" s="9" t="str">
        <f aca="false">IF(TEXT(H4817,"dddd")&lt;&gt;I4817,"Mismatch","OK")</f>
        <v>OK</v>
      </c>
      <c r="Y4817" s="9" t="str">
        <f aca="false">IF(AND(N4817="No",O4817&lt;&gt;""),"Unexpected: channel present but no reminder sent",IF(AND(N4817="Yes",O4817=""),"Missing channel for sent reminder","OK"))</f>
        <v>OK</v>
      </c>
    </row>
    <row r="4818" customFormat="false" ht="15" hidden="false" customHeight="false" outlineLevel="0" collapsed="false">
      <c r="A4818" s="7" t="s">
        <v>6561</v>
      </c>
      <c r="B4818" s="7" t="s">
        <v>2575</v>
      </c>
      <c r="C4818" s="7" t="s">
        <v>47</v>
      </c>
      <c r="D4818" s="7" t="n">
        <v>75</v>
      </c>
      <c r="E4818" s="7" t="s">
        <v>70</v>
      </c>
      <c r="F4818" s="7" t="s">
        <v>49</v>
      </c>
      <c r="G4818" s="8" t="n">
        <v>46119</v>
      </c>
      <c r="H4818" s="8" t="n">
        <v>46134</v>
      </c>
      <c r="I4818" s="7" t="s">
        <v>58</v>
      </c>
      <c r="J4818" s="7" t="s">
        <v>41</v>
      </c>
      <c r="K4818" s="7" t="n">
        <v>15</v>
      </c>
      <c r="L4818" s="7" t="n">
        <v>2</v>
      </c>
      <c r="M4818" s="7" t="n">
        <v>0</v>
      </c>
      <c r="N4818" s="7" t="s">
        <v>42</v>
      </c>
      <c r="O4818" s="7" t="s">
        <v>52</v>
      </c>
      <c r="P4818" s="7" t="n">
        <v>18.8</v>
      </c>
      <c r="Q4818" s="7" t="n">
        <v>27</v>
      </c>
      <c r="R4818" s="7" t="s">
        <v>44</v>
      </c>
      <c r="S4818" s="7"/>
      <c r="T4818" s="7"/>
      <c r="U4818" s="7" t="str">
        <f aca="false">IF(COUNTIF($A$2:$A$5001,A4818)&gt;1,"Duplicate","Unique")</f>
        <v>Unique</v>
      </c>
      <c r="V4818" s="7" t="str">
        <f aca="false">IF(COUNTIFS($B$2:$B$5001,B4818,$H$2:$H$5001,H4818,$J$2:$J$5001,J4818)&gt;1,"Possible Duplicate Booking","Unique")</f>
        <v>Unique</v>
      </c>
      <c r="W4818" s="7" t="str">
        <f aca="false">IF((H4818-G4818)&lt;&gt;K4818,"Mismatch","OK")</f>
        <v>OK</v>
      </c>
      <c r="X4818" s="7" t="str">
        <f aca="false">IF(TEXT(H4818,"dddd")&lt;&gt;I4818,"Mismatch","OK")</f>
        <v>OK</v>
      </c>
      <c r="Y4818" s="7" t="str">
        <f aca="false">IF(AND(N4818="No",O4818&lt;&gt;""),"Unexpected: channel present but no reminder sent",IF(AND(N4818="Yes",O4818=""),"Missing channel for sent reminder","OK"))</f>
        <v>OK</v>
      </c>
    </row>
    <row r="4819" customFormat="false" ht="15" hidden="false" customHeight="false" outlineLevel="0" collapsed="false">
      <c r="A4819" s="9" t="s">
        <v>6562</v>
      </c>
      <c r="B4819" s="9" t="s">
        <v>2166</v>
      </c>
      <c r="C4819" s="9" t="s">
        <v>47</v>
      </c>
      <c r="D4819" s="9" t="n">
        <v>55</v>
      </c>
      <c r="E4819" s="9" t="s">
        <v>61</v>
      </c>
      <c r="F4819" s="9" t="s">
        <v>39</v>
      </c>
      <c r="G4819" s="10" t="n">
        <v>45797</v>
      </c>
      <c r="H4819" s="10" t="n">
        <v>45838</v>
      </c>
      <c r="I4819" s="9" t="s">
        <v>66</v>
      </c>
      <c r="J4819" s="9" t="s">
        <v>51</v>
      </c>
      <c r="K4819" s="9" t="n">
        <v>41</v>
      </c>
      <c r="L4819" s="9" t="n">
        <v>4</v>
      </c>
      <c r="M4819" s="9" t="n">
        <v>2</v>
      </c>
      <c r="N4819" s="9" t="s">
        <v>42</v>
      </c>
      <c r="O4819" s="9" t="s">
        <v>43</v>
      </c>
      <c r="P4819" s="9" t="n">
        <v>5.5</v>
      </c>
      <c r="Q4819" s="9" t="n">
        <v>15</v>
      </c>
      <c r="R4819" s="9" t="s">
        <v>44</v>
      </c>
      <c r="S4819" s="9"/>
      <c r="T4819" s="9"/>
      <c r="U4819" s="9" t="str">
        <f aca="false">IF(COUNTIF($A$2:$A$5001,A4819)&gt;1,"Duplicate","Unique")</f>
        <v>Unique</v>
      </c>
      <c r="V4819" s="9" t="str">
        <f aca="false">IF(COUNTIFS($B$2:$B$5001,B4819,$H$2:$H$5001,H4819,$J$2:$J$5001,J4819)&gt;1,"Possible Duplicate Booking","Unique")</f>
        <v>Unique</v>
      </c>
      <c r="W4819" s="9" t="str">
        <f aca="false">IF((H4819-G4819)&lt;&gt;K4819,"Mismatch","OK")</f>
        <v>OK</v>
      </c>
      <c r="X4819" s="9" t="str">
        <f aca="false">IF(TEXT(H4819,"dddd")&lt;&gt;I4819,"Mismatch","OK")</f>
        <v>OK</v>
      </c>
      <c r="Y4819" s="9" t="str">
        <f aca="false">IF(AND(N4819="No",O4819&lt;&gt;""),"Unexpected: channel present but no reminder sent",IF(AND(N4819="Yes",O4819=""),"Missing channel for sent reminder","OK"))</f>
        <v>OK</v>
      </c>
    </row>
    <row r="4820" customFormat="false" ht="15" hidden="false" customHeight="false" outlineLevel="0" collapsed="false">
      <c r="A4820" s="7" t="s">
        <v>6563</v>
      </c>
      <c r="B4820" s="7" t="s">
        <v>3924</v>
      </c>
      <c r="C4820" s="7" t="s">
        <v>37</v>
      </c>
      <c r="D4820" s="7" t="n">
        <v>50</v>
      </c>
      <c r="E4820" s="7" t="s">
        <v>56</v>
      </c>
      <c r="F4820" s="7" t="s">
        <v>39</v>
      </c>
      <c r="G4820" s="8" t="n">
        <v>45922</v>
      </c>
      <c r="H4820" s="8" t="n">
        <v>45949</v>
      </c>
      <c r="I4820" s="7" t="s">
        <v>75</v>
      </c>
      <c r="J4820" s="7" t="s">
        <v>51</v>
      </c>
      <c r="K4820" s="7" t="n">
        <v>27</v>
      </c>
      <c r="L4820" s="7" t="n">
        <v>4</v>
      </c>
      <c r="M4820" s="7" t="n">
        <v>2</v>
      </c>
      <c r="N4820" s="7" t="s">
        <v>71</v>
      </c>
      <c r="O4820" s="7"/>
      <c r="P4820" s="7" t="n">
        <v>4.6</v>
      </c>
      <c r="Q4820" s="7" t="n">
        <v>18</v>
      </c>
      <c r="R4820" s="7" t="s">
        <v>44</v>
      </c>
      <c r="S4820" s="7"/>
      <c r="T4820" s="7"/>
      <c r="U4820" s="7" t="str">
        <f aca="false">IF(COUNTIF($A$2:$A$5001,A4820)&gt;1,"Duplicate","Unique")</f>
        <v>Unique</v>
      </c>
      <c r="V4820" s="7" t="str">
        <f aca="false">IF(COUNTIFS($B$2:$B$5001,B4820,$H$2:$H$5001,H4820,$J$2:$J$5001,J4820)&gt;1,"Possible Duplicate Booking","Unique")</f>
        <v>Unique</v>
      </c>
      <c r="W4820" s="7" t="str">
        <f aca="false">IF((H4820-G4820)&lt;&gt;K4820,"Mismatch","OK")</f>
        <v>OK</v>
      </c>
      <c r="X4820" s="7" t="str">
        <f aca="false">IF(TEXT(H4820,"dddd")&lt;&gt;I4820,"Mismatch","OK")</f>
        <v>OK</v>
      </c>
      <c r="Y4820" s="7" t="str">
        <f aca="false">IF(AND(N4820="No",O4820&lt;&gt;""),"Unexpected: channel present but no reminder sent",IF(AND(N4820="Yes",O4820=""),"Missing channel for sent reminder","OK"))</f>
        <v>OK</v>
      </c>
    </row>
    <row r="4821" customFormat="false" ht="15" hidden="false" customHeight="false" outlineLevel="0" collapsed="false">
      <c r="A4821" s="9" t="s">
        <v>6564</v>
      </c>
      <c r="B4821" s="9" t="s">
        <v>3553</v>
      </c>
      <c r="C4821" s="9" t="s">
        <v>47</v>
      </c>
      <c r="D4821" s="9" t="n">
        <v>31</v>
      </c>
      <c r="E4821" s="9" t="s">
        <v>48</v>
      </c>
      <c r="F4821" s="9" t="s">
        <v>49</v>
      </c>
      <c r="G4821" s="10" t="n">
        <v>46153</v>
      </c>
      <c r="H4821" s="10" t="n">
        <v>46166</v>
      </c>
      <c r="I4821" s="9" t="s">
        <v>75</v>
      </c>
      <c r="J4821" s="9" t="s">
        <v>63</v>
      </c>
      <c r="K4821" s="9" t="n">
        <v>13</v>
      </c>
      <c r="L4821" s="9" t="n">
        <v>0</v>
      </c>
      <c r="M4821" s="9" t="n">
        <v>0</v>
      </c>
      <c r="N4821" s="9" t="s">
        <v>71</v>
      </c>
      <c r="O4821" s="9"/>
      <c r="P4821" s="9" t="n">
        <v>5.9</v>
      </c>
      <c r="Q4821" s="9" t="n">
        <v>34</v>
      </c>
      <c r="R4821" s="9" t="s">
        <v>53</v>
      </c>
      <c r="S4821" s="9"/>
      <c r="T4821" s="9"/>
      <c r="U4821" s="9" t="str">
        <f aca="false">IF(COUNTIF($A$2:$A$5001,A4821)&gt;1,"Duplicate","Unique")</f>
        <v>Unique</v>
      </c>
      <c r="V4821" s="9" t="str">
        <f aca="false">IF(COUNTIFS($B$2:$B$5001,B4821,$H$2:$H$5001,H4821,$J$2:$J$5001,J4821)&gt;1,"Possible Duplicate Booking","Unique")</f>
        <v>Unique</v>
      </c>
      <c r="W4821" s="9" t="str">
        <f aca="false">IF((H4821-G4821)&lt;&gt;K4821,"Mismatch","OK")</f>
        <v>OK</v>
      </c>
      <c r="X4821" s="9" t="str">
        <f aca="false">IF(TEXT(H4821,"dddd")&lt;&gt;I4821,"Mismatch","OK")</f>
        <v>OK</v>
      </c>
      <c r="Y4821" s="9" t="str">
        <f aca="false">IF(AND(N4821="No",O4821&lt;&gt;""),"Unexpected: channel present but no reminder sent",IF(AND(N4821="Yes",O4821=""),"Missing channel for sent reminder","OK"))</f>
        <v>OK</v>
      </c>
    </row>
    <row r="4822" customFormat="false" ht="15" hidden="false" customHeight="false" outlineLevel="0" collapsed="false">
      <c r="A4822" s="7" t="s">
        <v>6565</v>
      </c>
      <c r="B4822" s="7" t="s">
        <v>2826</v>
      </c>
      <c r="C4822" s="7" t="s">
        <v>47</v>
      </c>
      <c r="D4822" s="7" t="n">
        <v>69</v>
      </c>
      <c r="E4822" s="7" t="s">
        <v>70</v>
      </c>
      <c r="F4822" s="7" t="s">
        <v>39</v>
      </c>
      <c r="G4822" s="8" t="n">
        <v>45904</v>
      </c>
      <c r="H4822" s="8" t="n">
        <v>45952</v>
      </c>
      <c r="I4822" s="7" t="s">
        <v>58</v>
      </c>
      <c r="J4822" s="7" t="s">
        <v>51</v>
      </c>
      <c r="K4822" s="7" t="n">
        <v>48</v>
      </c>
      <c r="L4822" s="7" t="n">
        <v>2</v>
      </c>
      <c r="M4822" s="7" t="n">
        <v>0</v>
      </c>
      <c r="N4822" s="7" t="s">
        <v>42</v>
      </c>
      <c r="O4822" s="7" t="s">
        <v>67</v>
      </c>
      <c r="P4822" s="7" t="n">
        <v>8</v>
      </c>
      <c r="Q4822" s="7" t="n">
        <v>21</v>
      </c>
      <c r="R4822" s="7" t="s">
        <v>44</v>
      </c>
      <c r="S4822" s="7"/>
      <c r="T4822" s="7"/>
      <c r="U4822" s="7" t="str">
        <f aca="false">IF(COUNTIF($A$2:$A$5001,A4822)&gt;1,"Duplicate","Unique")</f>
        <v>Unique</v>
      </c>
      <c r="V4822" s="7" t="str">
        <f aca="false">IF(COUNTIFS($B$2:$B$5001,B4822,$H$2:$H$5001,H4822,$J$2:$J$5001,J4822)&gt;1,"Possible Duplicate Booking","Unique")</f>
        <v>Unique</v>
      </c>
      <c r="W4822" s="7" t="str">
        <f aca="false">IF((H4822-G4822)&lt;&gt;K4822,"Mismatch","OK")</f>
        <v>OK</v>
      </c>
      <c r="X4822" s="7" t="str">
        <f aca="false">IF(TEXT(H4822,"dddd")&lt;&gt;I4822,"Mismatch","OK")</f>
        <v>OK</v>
      </c>
      <c r="Y4822" s="7" t="str">
        <f aca="false">IF(AND(N4822="No",O4822&lt;&gt;""),"Unexpected: channel present but no reminder sent",IF(AND(N4822="Yes",O4822=""),"Missing channel for sent reminder","OK"))</f>
        <v>OK</v>
      </c>
    </row>
    <row r="4823" customFormat="false" ht="15" hidden="false" customHeight="false" outlineLevel="0" collapsed="false">
      <c r="A4823" s="9" t="s">
        <v>6566</v>
      </c>
      <c r="B4823" s="9" t="s">
        <v>124</v>
      </c>
      <c r="C4823" s="9" t="s">
        <v>37</v>
      </c>
      <c r="D4823" s="9" t="n">
        <v>66</v>
      </c>
      <c r="E4823" s="9" t="s">
        <v>70</v>
      </c>
      <c r="F4823" s="9" t="s">
        <v>57</v>
      </c>
      <c r="G4823" s="10" t="n">
        <v>46023</v>
      </c>
      <c r="H4823" s="10" t="n">
        <v>46030</v>
      </c>
      <c r="I4823" s="9" t="s">
        <v>62</v>
      </c>
      <c r="J4823" s="9" t="s">
        <v>41</v>
      </c>
      <c r="K4823" s="9" t="n">
        <v>7</v>
      </c>
      <c r="L4823" s="9" t="n">
        <v>2</v>
      </c>
      <c r="M4823" s="9" t="n">
        <v>0</v>
      </c>
      <c r="N4823" s="9" t="s">
        <v>42</v>
      </c>
      <c r="O4823" s="9" t="s">
        <v>52</v>
      </c>
      <c r="P4823" s="9" t="n">
        <v>4.8</v>
      </c>
      <c r="Q4823" s="9" t="n">
        <v>17</v>
      </c>
      <c r="R4823" s="9" t="s">
        <v>53</v>
      </c>
      <c r="S4823" s="9"/>
      <c r="T4823" s="9"/>
      <c r="U4823" s="9" t="str">
        <f aca="false">IF(COUNTIF($A$2:$A$5001,A4823)&gt;1,"Duplicate","Unique")</f>
        <v>Unique</v>
      </c>
      <c r="V4823" s="9" t="str">
        <f aca="false">IF(COUNTIFS($B$2:$B$5001,B4823,$H$2:$H$5001,H4823,$J$2:$J$5001,J4823)&gt;1,"Possible Duplicate Booking","Unique")</f>
        <v>Unique</v>
      </c>
      <c r="W4823" s="9" t="str">
        <f aca="false">IF((H4823-G4823)&lt;&gt;K4823,"Mismatch","OK")</f>
        <v>OK</v>
      </c>
      <c r="X4823" s="9" t="str">
        <f aca="false">IF(TEXT(H4823,"dddd")&lt;&gt;I4823,"Mismatch","OK")</f>
        <v>OK</v>
      </c>
      <c r="Y4823" s="9" t="str">
        <f aca="false">IF(AND(N4823="No",O4823&lt;&gt;""),"Unexpected: channel present but no reminder sent",IF(AND(N4823="Yes",O4823=""),"Missing channel for sent reminder","OK"))</f>
        <v>OK</v>
      </c>
    </row>
    <row r="4824" customFormat="false" ht="15" hidden="false" customHeight="false" outlineLevel="0" collapsed="false">
      <c r="A4824" s="7" t="s">
        <v>6567</v>
      </c>
      <c r="B4824" s="7" t="s">
        <v>4616</v>
      </c>
      <c r="C4824" s="7" t="s">
        <v>47</v>
      </c>
      <c r="D4824" s="7" t="n">
        <v>36</v>
      </c>
      <c r="E4824" s="7" t="s">
        <v>38</v>
      </c>
      <c r="F4824" s="7" t="s">
        <v>57</v>
      </c>
      <c r="G4824" s="8" t="n">
        <v>46141</v>
      </c>
      <c r="H4824" s="8" t="n">
        <v>46154</v>
      </c>
      <c r="I4824" s="7" t="s">
        <v>40</v>
      </c>
      <c r="J4824" s="7" t="s">
        <v>63</v>
      </c>
      <c r="K4824" s="7" t="n">
        <v>13</v>
      </c>
      <c r="L4824" s="7" t="n">
        <v>4</v>
      </c>
      <c r="M4824" s="7" t="n">
        <v>1</v>
      </c>
      <c r="N4824" s="7" t="s">
        <v>42</v>
      </c>
      <c r="O4824" s="7" t="s">
        <v>52</v>
      </c>
      <c r="P4824" s="7" t="n">
        <v>6</v>
      </c>
      <c r="Q4824" s="7" t="n">
        <v>13</v>
      </c>
      <c r="R4824" s="7" t="s">
        <v>53</v>
      </c>
      <c r="S4824" s="7"/>
      <c r="T4824" s="7"/>
      <c r="U4824" s="7" t="str">
        <f aca="false">IF(COUNTIF($A$2:$A$5001,A4824)&gt;1,"Duplicate","Unique")</f>
        <v>Unique</v>
      </c>
      <c r="V4824" s="7" t="str">
        <f aca="false">IF(COUNTIFS($B$2:$B$5001,B4824,$H$2:$H$5001,H4824,$J$2:$J$5001,J4824)&gt;1,"Possible Duplicate Booking","Unique")</f>
        <v>Unique</v>
      </c>
      <c r="W4824" s="7" t="str">
        <f aca="false">IF((H4824-G4824)&lt;&gt;K4824,"Mismatch","OK")</f>
        <v>OK</v>
      </c>
      <c r="X4824" s="7" t="str">
        <f aca="false">IF(TEXT(H4824,"dddd")&lt;&gt;I4824,"Mismatch","OK")</f>
        <v>OK</v>
      </c>
      <c r="Y4824" s="7" t="str">
        <f aca="false">IF(AND(N4824="No",O4824&lt;&gt;""),"Unexpected: channel present but no reminder sent",IF(AND(N4824="Yes",O4824=""),"Missing channel for sent reminder","OK"))</f>
        <v>OK</v>
      </c>
    </row>
    <row r="4825" customFormat="false" ht="15" hidden="false" customHeight="false" outlineLevel="0" collapsed="false">
      <c r="A4825" s="9" t="s">
        <v>6568</v>
      </c>
      <c r="B4825" s="9" t="s">
        <v>3794</v>
      </c>
      <c r="C4825" s="9" t="s">
        <v>37</v>
      </c>
      <c r="D4825" s="9" t="n">
        <v>64</v>
      </c>
      <c r="E4825" s="9" t="s">
        <v>61</v>
      </c>
      <c r="F4825" s="9" t="s">
        <v>57</v>
      </c>
      <c r="G4825" s="10" t="n">
        <v>46162</v>
      </c>
      <c r="H4825" s="10" t="n">
        <v>46190</v>
      </c>
      <c r="I4825" s="9" t="s">
        <v>58</v>
      </c>
      <c r="J4825" s="9" t="s">
        <v>51</v>
      </c>
      <c r="K4825" s="9" t="n">
        <v>28</v>
      </c>
      <c r="L4825" s="9" t="n">
        <v>4</v>
      </c>
      <c r="M4825" s="9" t="n">
        <v>0</v>
      </c>
      <c r="N4825" s="9" t="s">
        <v>71</v>
      </c>
      <c r="O4825" s="9"/>
      <c r="P4825" s="9" t="n">
        <v>21</v>
      </c>
      <c r="Q4825" s="9" t="n">
        <v>16</v>
      </c>
      <c r="R4825" s="9" t="s">
        <v>44</v>
      </c>
      <c r="S4825" s="9"/>
      <c r="T4825" s="9"/>
      <c r="U4825" s="9" t="str">
        <f aca="false">IF(COUNTIF($A$2:$A$5001,A4825)&gt;1,"Duplicate","Unique")</f>
        <v>Unique</v>
      </c>
      <c r="V4825" s="9" t="str">
        <f aca="false">IF(COUNTIFS($B$2:$B$5001,B4825,$H$2:$H$5001,H4825,$J$2:$J$5001,J4825)&gt;1,"Possible Duplicate Booking","Unique")</f>
        <v>Unique</v>
      </c>
      <c r="W4825" s="9" t="str">
        <f aca="false">IF((H4825-G4825)&lt;&gt;K4825,"Mismatch","OK")</f>
        <v>OK</v>
      </c>
      <c r="X4825" s="9" t="str">
        <f aca="false">IF(TEXT(H4825,"dddd")&lt;&gt;I4825,"Mismatch","OK")</f>
        <v>OK</v>
      </c>
      <c r="Y4825" s="9" t="str">
        <f aca="false">IF(AND(N4825="No",O4825&lt;&gt;""),"Unexpected: channel present but no reminder sent",IF(AND(N4825="Yes",O4825=""),"Missing channel for sent reminder","OK"))</f>
        <v>OK</v>
      </c>
    </row>
    <row r="4826" customFormat="false" ht="15" hidden="false" customHeight="false" outlineLevel="0" collapsed="false">
      <c r="A4826" s="7" t="s">
        <v>6569</v>
      </c>
      <c r="B4826" s="7" t="s">
        <v>1794</v>
      </c>
      <c r="C4826" s="7" t="s">
        <v>47</v>
      </c>
      <c r="D4826" s="7" t="n">
        <v>63</v>
      </c>
      <c r="E4826" s="7" t="s">
        <v>61</v>
      </c>
      <c r="F4826" s="7" t="s">
        <v>57</v>
      </c>
      <c r="G4826" s="8" t="n">
        <v>45928</v>
      </c>
      <c r="H4826" s="8" t="n">
        <v>45930</v>
      </c>
      <c r="I4826" s="7" t="s">
        <v>40</v>
      </c>
      <c r="J4826" s="7" t="s">
        <v>51</v>
      </c>
      <c r="K4826" s="7" t="n">
        <v>2</v>
      </c>
      <c r="L4826" s="7" t="n">
        <v>6</v>
      </c>
      <c r="M4826" s="7" t="n">
        <v>2</v>
      </c>
      <c r="N4826" s="7" t="s">
        <v>71</v>
      </c>
      <c r="O4826" s="7"/>
      <c r="P4826" s="7" t="n">
        <v>19.1</v>
      </c>
      <c r="Q4826" s="7" t="n">
        <v>18</v>
      </c>
      <c r="R4826" s="7" t="s">
        <v>53</v>
      </c>
      <c r="S4826" s="7"/>
      <c r="T4826" s="7"/>
      <c r="U4826" s="7" t="str">
        <f aca="false">IF(COUNTIF($A$2:$A$5001,A4826)&gt;1,"Duplicate","Unique")</f>
        <v>Unique</v>
      </c>
      <c r="V4826" s="7" t="str">
        <f aca="false">IF(COUNTIFS($B$2:$B$5001,B4826,$H$2:$H$5001,H4826,$J$2:$J$5001,J4826)&gt;1,"Possible Duplicate Booking","Unique")</f>
        <v>Unique</v>
      </c>
      <c r="W4826" s="7" t="str">
        <f aca="false">IF((H4826-G4826)&lt;&gt;K4826,"Mismatch","OK")</f>
        <v>OK</v>
      </c>
      <c r="X4826" s="7" t="str">
        <f aca="false">IF(TEXT(H4826,"dddd")&lt;&gt;I4826,"Mismatch","OK")</f>
        <v>OK</v>
      </c>
      <c r="Y4826" s="7" t="str">
        <f aca="false">IF(AND(N4826="No",O4826&lt;&gt;""),"Unexpected: channel present but no reminder sent",IF(AND(N4826="Yes",O4826=""),"Missing channel for sent reminder","OK"))</f>
        <v>OK</v>
      </c>
    </row>
    <row r="4827" customFormat="false" ht="15" hidden="false" customHeight="false" outlineLevel="0" collapsed="false">
      <c r="A4827" s="9" t="s">
        <v>6570</v>
      </c>
      <c r="B4827" s="9" t="s">
        <v>6571</v>
      </c>
      <c r="C4827" s="9" t="s">
        <v>236</v>
      </c>
      <c r="D4827" s="9" t="n">
        <v>23</v>
      </c>
      <c r="E4827" s="9" t="s">
        <v>82</v>
      </c>
      <c r="F4827" s="9" t="s">
        <v>57</v>
      </c>
      <c r="G4827" s="10" t="n">
        <v>45862</v>
      </c>
      <c r="H4827" s="10" t="n">
        <v>45885</v>
      </c>
      <c r="I4827" s="9" t="s">
        <v>102</v>
      </c>
      <c r="J4827" s="9" t="s">
        <v>41</v>
      </c>
      <c r="K4827" s="9" t="n">
        <v>23</v>
      </c>
      <c r="L4827" s="9" t="n">
        <v>4</v>
      </c>
      <c r="M4827" s="9" t="n">
        <v>1</v>
      </c>
      <c r="N4827" s="9" t="s">
        <v>42</v>
      </c>
      <c r="O4827" s="9" t="s">
        <v>52</v>
      </c>
      <c r="P4827" s="9" t="n">
        <v>1.4</v>
      </c>
      <c r="Q4827" s="9" t="n">
        <v>33</v>
      </c>
      <c r="R4827" s="9" t="s">
        <v>53</v>
      </c>
      <c r="S4827" s="9"/>
      <c r="T4827" s="9"/>
      <c r="U4827" s="9" t="str">
        <f aca="false">IF(COUNTIF($A$2:$A$5001,A4827)&gt;1,"Duplicate","Unique")</f>
        <v>Unique</v>
      </c>
      <c r="V4827" s="9" t="str">
        <f aca="false">IF(COUNTIFS($B$2:$B$5001,B4827,$H$2:$H$5001,H4827,$J$2:$J$5001,J4827)&gt;1,"Possible Duplicate Booking","Unique")</f>
        <v>Unique</v>
      </c>
      <c r="W4827" s="9" t="str">
        <f aca="false">IF((H4827-G4827)&lt;&gt;K4827,"Mismatch","OK")</f>
        <v>OK</v>
      </c>
      <c r="X4827" s="9" t="str">
        <f aca="false">IF(TEXT(H4827,"dddd")&lt;&gt;I4827,"Mismatch","OK")</f>
        <v>OK</v>
      </c>
      <c r="Y4827" s="9" t="str">
        <f aca="false">IF(AND(N4827="No",O4827&lt;&gt;""),"Unexpected: channel present but no reminder sent",IF(AND(N4827="Yes",O4827=""),"Missing channel for sent reminder","OK"))</f>
        <v>OK</v>
      </c>
    </row>
    <row r="4828" customFormat="false" ht="15" hidden="false" customHeight="false" outlineLevel="0" collapsed="false">
      <c r="A4828" s="7" t="s">
        <v>6572</v>
      </c>
      <c r="B4828" s="7" t="s">
        <v>73</v>
      </c>
      <c r="C4828" s="7" t="s">
        <v>47</v>
      </c>
      <c r="D4828" s="7" t="n">
        <v>28</v>
      </c>
      <c r="E4828" s="7" t="s">
        <v>48</v>
      </c>
      <c r="F4828" s="7" t="s">
        <v>39</v>
      </c>
      <c r="G4828" s="8" t="n">
        <v>45710</v>
      </c>
      <c r="H4828" s="8" t="n">
        <v>45765</v>
      </c>
      <c r="I4828" s="7" t="s">
        <v>50</v>
      </c>
      <c r="J4828" s="7" t="s">
        <v>41</v>
      </c>
      <c r="K4828" s="7" t="n">
        <v>55</v>
      </c>
      <c r="L4828" s="7" t="n">
        <v>4</v>
      </c>
      <c r="M4828" s="7" t="n">
        <v>2</v>
      </c>
      <c r="N4828" s="7" t="s">
        <v>42</v>
      </c>
      <c r="O4828" s="7" t="s">
        <v>43</v>
      </c>
      <c r="P4828" s="7" t="n">
        <v>2.4</v>
      </c>
      <c r="Q4828" s="7" t="n">
        <v>24</v>
      </c>
      <c r="R4828" s="7" t="s">
        <v>53</v>
      </c>
      <c r="S4828" s="7"/>
      <c r="T4828" s="7"/>
      <c r="U4828" s="7" t="str">
        <f aca="false">IF(COUNTIF($A$2:$A$5001,A4828)&gt;1,"Duplicate","Unique")</f>
        <v>Unique</v>
      </c>
      <c r="V4828" s="7" t="str">
        <f aca="false">IF(COUNTIFS($B$2:$B$5001,B4828,$H$2:$H$5001,H4828,$J$2:$J$5001,J4828)&gt;1,"Possible Duplicate Booking","Unique")</f>
        <v>Unique</v>
      </c>
      <c r="W4828" s="7" t="str">
        <f aca="false">IF((H4828-G4828)&lt;&gt;K4828,"Mismatch","OK")</f>
        <v>OK</v>
      </c>
      <c r="X4828" s="7" t="str">
        <f aca="false">IF(TEXT(H4828,"dddd")&lt;&gt;I4828,"Mismatch","OK")</f>
        <v>OK</v>
      </c>
      <c r="Y4828" s="7" t="str">
        <f aca="false">IF(AND(N4828="No",O4828&lt;&gt;""),"Unexpected: channel present but no reminder sent",IF(AND(N4828="Yes",O4828=""),"Missing channel for sent reminder","OK"))</f>
        <v>OK</v>
      </c>
    </row>
    <row r="4829" customFormat="false" ht="15" hidden="false" customHeight="false" outlineLevel="0" collapsed="false">
      <c r="A4829" s="9" t="s">
        <v>6573</v>
      </c>
      <c r="B4829" s="9" t="s">
        <v>527</v>
      </c>
      <c r="C4829" s="9" t="s">
        <v>47</v>
      </c>
      <c r="D4829" s="9" t="n">
        <v>55</v>
      </c>
      <c r="E4829" s="9" t="s">
        <v>61</v>
      </c>
      <c r="F4829" s="9" t="s">
        <v>57</v>
      </c>
      <c r="G4829" s="10" t="n">
        <v>45894</v>
      </c>
      <c r="H4829" s="10" t="n">
        <v>45951</v>
      </c>
      <c r="I4829" s="9" t="s">
        <v>40</v>
      </c>
      <c r="J4829" s="9" t="s">
        <v>41</v>
      </c>
      <c r="K4829" s="9" t="n">
        <v>57</v>
      </c>
      <c r="L4829" s="9" t="n">
        <v>2</v>
      </c>
      <c r="M4829" s="9" t="n">
        <v>1</v>
      </c>
      <c r="N4829" s="9" t="s">
        <v>42</v>
      </c>
      <c r="O4829" s="9" t="s">
        <v>52</v>
      </c>
      <c r="P4829" s="9" t="n">
        <v>14.8</v>
      </c>
      <c r="Q4829" s="9" t="n">
        <v>37</v>
      </c>
      <c r="R4829" s="9" t="s">
        <v>53</v>
      </c>
      <c r="S4829" s="9"/>
      <c r="T4829" s="9"/>
      <c r="U4829" s="9" t="str">
        <f aca="false">IF(COUNTIF($A$2:$A$5001,A4829)&gt;1,"Duplicate","Unique")</f>
        <v>Unique</v>
      </c>
      <c r="V4829" s="9" t="str">
        <f aca="false">IF(COUNTIFS($B$2:$B$5001,B4829,$H$2:$H$5001,H4829,$J$2:$J$5001,J4829)&gt;1,"Possible Duplicate Booking","Unique")</f>
        <v>Unique</v>
      </c>
      <c r="W4829" s="9" t="str">
        <f aca="false">IF((H4829-G4829)&lt;&gt;K4829,"Mismatch","OK")</f>
        <v>OK</v>
      </c>
      <c r="X4829" s="9" t="str">
        <f aca="false">IF(TEXT(H4829,"dddd")&lt;&gt;I4829,"Mismatch","OK")</f>
        <v>OK</v>
      </c>
      <c r="Y4829" s="9" t="str">
        <f aca="false">IF(AND(N4829="No",O4829&lt;&gt;""),"Unexpected: channel present but no reminder sent",IF(AND(N4829="Yes",O4829=""),"Missing channel for sent reminder","OK"))</f>
        <v>OK</v>
      </c>
    </row>
    <row r="4830" customFormat="false" ht="15" hidden="false" customHeight="false" outlineLevel="0" collapsed="false">
      <c r="A4830" s="7" t="s">
        <v>6574</v>
      </c>
      <c r="B4830" s="7" t="s">
        <v>1163</v>
      </c>
      <c r="C4830" s="7" t="s">
        <v>47</v>
      </c>
      <c r="D4830" s="7" t="n">
        <v>57</v>
      </c>
      <c r="E4830" s="7" t="s">
        <v>61</v>
      </c>
      <c r="F4830" s="7" t="s">
        <v>57</v>
      </c>
      <c r="G4830" s="8" t="n">
        <v>46106</v>
      </c>
      <c r="H4830" s="8" t="n">
        <v>46159</v>
      </c>
      <c r="I4830" s="7" t="s">
        <v>75</v>
      </c>
      <c r="J4830" s="7" t="s">
        <v>51</v>
      </c>
      <c r="K4830" s="7" t="n">
        <v>53</v>
      </c>
      <c r="L4830" s="7" t="n">
        <v>2</v>
      </c>
      <c r="M4830" s="7" t="n">
        <v>0</v>
      </c>
      <c r="N4830" s="7" t="s">
        <v>71</v>
      </c>
      <c r="O4830" s="7"/>
      <c r="P4830" s="7" t="n">
        <v>5.7</v>
      </c>
      <c r="Q4830" s="7" t="n">
        <v>11</v>
      </c>
      <c r="R4830" s="7" t="s">
        <v>53</v>
      </c>
      <c r="S4830" s="7"/>
      <c r="T4830" s="7"/>
      <c r="U4830" s="7" t="str">
        <f aca="false">IF(COUNTIF($A$2:$A$5001,A4830)&gt;1,"Duplicate","Unique")</f>
        <v>Unique</v>
      </c>
      <c r="V4830" s="7" t="str">
        <f aca="false">IF(COUNTIFS($B$2:$B$5001,B4830,$H$2:$H$5001,H4830,$J$2:$J$5001,J4830)&gt;1,"Possible Duplicate Booking","Unique")</f>
        <v>Unique</v>
      </c>
      <c r="W4830" s="7" t="str">
        <f aca="false">IF((H4830-G4830)&lt;&gt;K4830,"Mismatch","OK")</f>
        <v>OK</v>
      </c>
      <c r="X4830" s="7" t="str">
        <f aca="false">IF(TEXT(H4830,"dddd")&lt;&gt;I4830,"Mismatch","OK")</f>
        <v>OK</v>
      </c>
      <c r="Y4830" s="7" t="str">
        <f aca="false">IF(AND(N4830="No",O4830&lt;&gt;""),"Unexpected: channel present but no reminder sent",IF(AND(N4830="Yes",O4830=""),"Missing channel for sent reminder","OK"))</f>
        <v>OK</v>
      </c>
    </row>
    <row r="4831" customFormat="false" ht="15" hidden="false" customHeight="false" outlineLevel="0" collapsed="false">
      <c r="A4831" s="9" t="s">
        <v>6575</v>
      </c>
      <c r="B4831" s="9" t="s">
        <v>2598</v>
      </c>
      <c r="C4831" s="9" t="s">
        <v>37</v>
      </c>
      <c r="D4831" s="9" t="n">
        <v>59</v>
      </c>
      <c r="E4831" s="9" t="s">
        <v>61</v>
      </c>
      <c r="F4831" s="9" t="s">
        <v>39</v>
      </c>
      <c r="G4831" s="10" t="n">
        <v>45904</v>
      </c>
      <c r="H4831" s="10" t="n">
        <v>45923</v>
      </c>
      <c r="I4831" s="9" t="s">
        <v>40</v>
      </c>
      <c r="J4831" s="9" t="s">
        <v>51</v>
      </c>
      <c r="K4831" s="9" t="n">
        <v>19</v>
      </c>
      <c r="L4831" s="9" t="n">
        <v>3</v>
      </c>
      <c r="M4831" s="9" t="n">
        <v>0</v>
      </c>
      <c r="N4831" s="9" t="s">
        <v>42</v>
      </c>
      <c r="O4831" s="9" t="s">
        <v>43</v>
      </c>
      <c r="P4831" s="9" t="n">
        <v>4.5</v>
      </c>
      <c r="Q4831" s="9" t="n">
        <v>38</v>
      </c>
      <c r="R4831" s="9" t="s">
        <v>53</v>
      </c>
      <c r="S4831" s="9"/>
      <c r="T4831" s="9"/>
      <c r="U4831" s="9" t="str">
        <f aca="false">IF(COUNTIF($A$2:$A$5001,A4831)&gt;1,"Duplicate","Unique")</f>
        <v>Unique</v>
      </c>
      <c r="V4831" s="9" t="str">
        <f aca="false">IF(COUNTIFS($B$2:$B$5001,B4831,$H$2:$H$5001,H4831,$J$2:$J$5001,J4831)&gt;1,"Possible Duplicate Booking","Unique")</f>
        <v>Unique</v>
      </c>
      <c r="W4831" s="9" t="str">
        <f aca="false">IF((H4831-G4831)&lt;&gt;K4831,"Mismatch","OK")</f>
        <v>OK</v>
      </c>
      <c r="X4831" s="9" t="str">
        <f aca="false">IF(TEXT(H4831,"dddd")&lt;&gt;I4831,"Mismatch","OK")</f>
        <v>OK</v>
      </c>
      <c r="Y4831" s="9" t="str">
        <f aca="false">IF(AND(N4831="No",O4831&lt;&gt;""),"Unexpected: channel present but no reminder sent",IF(AND(N4831="Yes",O4831=""),"Missing channel for sent reminder","OK"))</f>
        <v>OK</v>
      </c>
    </row>
    <row r="4832" customFormat="false" ht="15" hidden="false" customHeight="false" outlineLevel="0" collapsed="false">
      <c r="A4832" s="7" t="s">
        <v>6576</v>
      </c>
      <c r="B4832" s="7" t="s">
        <v>2655</v>
      </c>
      <c r="C4832" s="7" t="s">
        <v>47</v>
      </c>
      <c r="D4832" s="7" t="n">
        <v>41</v>
      </c>
      <c r="E4832" s="7" t="s">
        <v>38</v>
      </c>
      <c r="F4832" s="7" t="s">
        <v>57</v>
      </c>
      <c r="G4832" s="8" t="n">
        <v>45845</v>
      </c>
      <c r="H4832" s="8" t="n">
        <v>45848</v>
      </c>
      <c r="I4832" s="7" t="s">
        <v>62</v>
      </c>
      <c r="J4832" s="7" t="s">
        <v>51</v>
      </c>
      <c r="K4832" s="7" t="n">
        <v>3</v>
      </c>
      <c r="L4832" s="7" t="n">
        <v>3</v>
      </c>
      <c r="M4832" s="7" t="n">
        <v>1</v>
      </c>
      <c r="N4832" s="7" t="s">
        <v>42</v>
      </c>
      <c r="O4832" s="7" t="s">
        <v>67</v>
      </c>
      <c r="P4832" s="7" t="n">
        <v>11.5</v>
      </c>
      <c r="Q4832" s="7" t="n">
        <v>22</v>
      </c>
      <c r="R4832" s="7" t="s">
        <v>53</v>
      </c>
      <c r="S4832" s="7"/>
      <c r="T4832" s="7"/>
      <c r="U4832" s="7" t="str">
        <f aca="false">IF(COUNTIF($A$2:$A$5001,A4832)&gt;1,"Duplicate","Unique")</f>
        <v>Unique</v>
      </c>
      <c r="V4832" s="7" t="str">
        <f aca="false">IF(COUNTIFS($B$2:$B$5001,B4832,$H$2:$H$5001,H4832,$J$2:$J$5001,J4832)&gt;1,"Possible Duplicate Booking","Unique")</f>
        <v>Unique</v>
      </c>
      <c r="W4832" s="7" t="str">
        <f aca="false">IF((H4832-G4832)&lt;&gt;K4832,"Mismatch","OK")</f>
        <v>OK</v>
      </c>
      <c r="X4832" s="7" t="str">
        <f aca="false">IF(TEXT(H4832,"dddd")&lt;&gt;I4832,"Mismatch","OK")</f>
        <v>OK</v>
      </c>
      <c r="Y4832" s="7" t="str">
        <f aca="false">IF(AND(N4832="No",O4832&lt;&gt;""),"Unexpected: channel present but no reminder sent",IF(AND(N4832="Yes",O4832=""),"Missing channel for sent reminder","OK"))</f>
        <v>OK</v>
      </c>
    </row>
    <row r="4833" customFormat="false" ht="15" hidden="false" customHeight="false" outlineLevel="0" collapsed="false">
      <c r="A4833" s="9" t="s">
        <v>6577</v>
      </c>
      <c r="B4833" s="9" t="s">
        <v>6578</v>
      </c>
      <c r="C4833" s="9" t="s">
        <v>37</v>
      </c>
      <c r="D4833" s="9" t="n">
        <v>70</v>
      </c>
      <c r="E4833" s="9" t="s">
        <v>70</v>
      </c>
      <c r="F4833" s="9" t="s">
        <v>39</v>
      </c>
      <c r="G4833" s="10" t="n">
        <v>45667</v>
      </c>
      <c r="H4833" s="10" t="n">
        <v>45716</v>
      </c>
      <c r="I4833" s="9" t="s">
        <v>50</v>
      </c>
      <c r="J4833" s="9" t="s">
        <v>51</v>
      </c>
      <c r="K4833" s="9" t="n">
        <v>49</v>
      </c>
      <c r="L4833" s="9" t="n">
        <v>2</v>
      </c>
      <c r="M4833" s="9" t="n">
        <v>0</v>
      </c>
      <c r="N4833" s="9" t="s">
        <v>71</v>
      </c>
      <c r="O4833" s="9"/>
      <c r="P4833" s="9" t="n">
        <v>13.6</v>
      </c>
      <c r="Q4833" s="9" t="n">
        <v>22</v>
      </c>
      <c r="R4833" s="9" t="s">
        <v>44</v>
      </c>
      <c r="S4833" s="9"/>
      <c r="T4833" s="9"/>
      <c r="U4833" s="9" t="str">
        <f aca="false">IF(COUNTIF($A$2:$A$5001,A4833)&gt;1,"Duplicate","Unique")</f>
        <v>Unique</v>
      </c>
      <c r="V4833" s="9" t="str">
        <f aca="false">IF(COUNTIFS($B$2:$B$5001,B4833,$H$2:$H$5001,H4833,$J$2:$J$5001,J4833)&gt;1,"Possible Duplicate Booking","Unique")</f>
        <v>Unique</v>
      </c>
      <c r="W4833" s="9" t="str">
        <f aca="false">IF((H4833-G4833)&lt;&gt;K4833,"Mismatch","OK")</f>
        <v>OK</v>
      </c>
      <c r="X4833" s="9" t="str">
        <f aca="false">IF(TEXT(H4833,"dddd")&lt;&gt;I4833,"Mismatch","OK")</f>
        <v>OK</v>
      </c>
      <c r="Y4833" s="9" t="str">
        <f aca="false">IF(AND(N4833="No",O4833&lt;&gt;""),"Unexpected: channel present but no reminder sent",IF(AND(N4833="Yes",O4833=""),"Missing channel for sent reminder","OK"))</f>
        <v>OK</v>
      </c>
    </row>
    <row r="4834" customFormat="false" ht="15" hidden="false" customHeight="false" outlineLevel="0" collapsed="false">
      <c r="A4834" s="7" t="s">
        <v>6579</v>
      </c>
      <c r="B4834" s="7" t="s">
        <v>6580</v>
      </c>
      <c r="C4834" s="7" t="s">
        <v>47</v>
      </c>
      <c r="D4834" s="7" t="n">
        <v>46</v>
      </c>
      <c r="E4834" s="7" t="s">
        <v>56</v>
      </c>
      <c r="F4834" s="7" t="s">
        <v>39</v>
      </c>
      <c r="G4834" s="8" t="n">
        <v>45848</v>
      </c>
      <c r="H4834" s="8" t="n">
        <v>45870</v>
      </c>
      <c r="I4834" s="7" t="s">
        <v>50</v>
      </c>
      <c r="J4834" s="7" t="s">
        <v>51</v>
      </c>
      <c r="K4834" s="7" t="n">
        <v>22</v>
      </c>
      <c r="L4834" s="7" t="n">
        <v>7</v>
      </c>
      <c r="M4834" s="7" t="n">
        <v>2</v>
      </c>
      <c r="N4834" s="7" t="s">
        <v>42</v>
      </c>
      <c r="O4834" s="7" t="s">
        <v>43</v>
      </c>
      <c r="P4834" s="7" t="n">
        <v>14.7</v>
      </c>
      <c r="Q4834" s="7" t="n">
        <v>21</v>
      </c>
      <c r="R4834" s="7" t="s">
        <v>44</v>
      </c>
      <c r="S4834" s="7"/>
      <c r="T4834" s="7"/>
      <c r="U4834" s="7" t="str">
        <f aca="false">IF(COUNTIF($A$2:$A$5001,A4834)&gt;1,"Duplicate","Unique")</f>
        <v>Unique</v>
      </c>
      <c r="V4834" s="7" t="str">
        <f aca="false">IF(COUNTIFS($B$2:$B$5001,B4834,$H$2:$H$5001,H4834,$J$2:$J$5001,J4834)&gt;1,"Possible Duplicate Booking","Unique")</f>
        <v>Unique</v>
      </c>
      <c r="W4834" s="7" t="str">
        <f aca="false">IF((H4834-G4834)&lt;&gt;K4834,"Mismatch","OK")</f>
        <v>OK</v>
      </c>
      <c r="X4834" s="7" t="str">
        <f aca="false">IF(TEXT(H4834,"dddd")&lt;&gt;I4834,"Mismatch","OK")</f>
        <v>OK</v>
      </c>
      <c r="Y4834" s="7" t="str">
        <f aca="false">IF(AND(N4834="No",O4834&lt;&gt;""),"Unexpected: channel present but no reminder sent",IF(AND(N4834="Yes",O4834=""),"Missing channel for sent reminder","OK"))</f>
        <v>OK</v>
      </c>
    </row>
    <row r="4835" customFormat="false" ht="15" hidden="false" customHeight="false" outlineLevel="0" collapsed="false">
      <c r="A4835" s="9" t="s">
        <v>6581</v>
      </c>
      <c r="B4835" s="9" t="s">
        <v>5773</v>
      </c>
      <c r="C4835" s="9" t="s">
        <v>47</v>
      </c>
      <c r="D4835" s="9" t="n">
        <v>30</v>
      </c>
      <c r="E4835" s="9" t="s">
        <v>48</v>
      </c>
      <c r="F4835" s="9" t="s">
        <v>57</v>
      </c>
      <c r="G4835" s="10" t="n">
        <v>45742</v>
      </c>
      <c r="H4835" s="10" t="n">
        <v>45787</v>
      </c>
      <c r="I4835" s="9" t="s">
        <v>102</v>
      </c>
      <c r="J4835" s="9" t="s">
        <v>41</v>
      </c>
      <c r="K4835" s="9" t="n">
        <v>45</v>
      </c>
      <c r="L4835" s="9" t="n">
        <v>1</v>
      </c>
      <c r="M4835" s="9" t="n">
        <v>0</v>
      </c>
      <c r="N4835" s="9" t="s">
        <v>42</v>
      </c>
      <c r="O4835" s="9" t="s">
        <v>67</v>
      </c>
      <c r="P4835" s="9" t="n">
        <v>14</v>
      </c>
      <c r="Q4835" s="9" t="n">
        <v>49</v>
      </c>
      <c r="R4835" s="9" t="s">
        <v>53</v>
      </c>
      <c r="S4835" s="9"/>
      <c r="T4835" s="9"/>
      <c r="U4835" s="9" t="str">
        <f aca="false">IF(COUNTIF($A$2:$A$5001,A4835)&gt;1,"Duplicate","Unique")</f>
        <v>Unique</v>
      </c>
      <c r="V4835" s="9" t="str">
        <f aca="false">IF(COUNTIFS($B$2:$B$5001,B4835,$H$2:$H$5001,H4835,$J$2:$J$5001,J4835)&gt;1,"Possible Duplicate Booking","Unique")</f>
        <v>Unique</v>
      </c>
      <c r="W4835" s="9" t="str">
        <f aca="false">IF((H4835-G4835)&lt;&gt;K4835,"Mismatch","OK")</f>
        <v>OK</v>
      </c>
      <c r="X4835" s="9" t="str">
        <f aca="false">IF(TEXT(H4835,"dddd")&lt;&gt;I4835,"Mismatch","OK")</f>
        <v>OK</v>
      </c>
      <c r="Y4835" s="9" t="str">
        <f aca="false">IF(AND(N4835="No",O4835&lt;&gt;""),"Unexpected: channel present but no reminder sent",IF(AND(N4835="Yes",O4835=""),"Missing channel for sent reminder","OK"))</f>
        <v>OK</v>
      </c>
    </row>
    <row r="4836" customFormat="false" ht="15" hidden="false" customHeight="false" outlineLevel="0" collapsed="false">
      <c r="A4836" s="7" t="s">
        <v>6582</v>
      </c>
      <c r="B4836" s="7" t="s">
        <v>1096</v>
      </c>
      <c r="C4836" s="7" t="s">
        <v>47</v>
      </c>
      <c r="D4836" s="7" t="n">
        <v>25</v>
      </c>
      <c r="E4836" s="7" t="s">
        <v>48</v>
      </c>
      <c r="F4836" s="7" t="s">
        <v>57</v>
      </c>
      <c r="G4836" s="8" t="n">
        <v>46184</v>
      </c>
      <c r="H4836" s="8" t="n">
        <v>46191</v>
      </c>
      <c r="I4836" s="7" t="s">
        <v>62</v>
      </c>
      <c r="J4836" s="7" t="s">
        <v>51</v>
      </c>
      <c r="K4836" s="7" t="n">
        <v>7</v>
      </c>
      <c r="L4836" s="7" t="n">
        <v>2</v>
      </c>
      <c r="M4836" s="7" t="n">
        <v>0</v>
      </c>
      <c r="N4836" s="7" t="s">
        <v>42</v>
      </c>
      <c r="O4836" s="7" t="s">
        <v>67</v>
      </c>
      <c r="P4836" s="7" t="n">
        <v>12</v>
      </c>
      <c r="Q4836" s="7" t="n">
        <v>19</v>
      </c>
      <c r="R4836" s="7" t="s">
        <v>53</v>
      </c>
      <c r="S4836" s="7"/>
      <c r="T4836" s="7"/>
      <c r="U4836" s="7" t="str">
        <f aca="false">IF(COUNTIF($A$2:$A$5001,A4836)&gt;1,"Duplicate","Unique")</f>
        <v>Unique</v>
      </c>
      <c r="V4836" s="7" t="str">
        <f aca="false">IF(COUNTIFS($B$2:$B$5001,B4836,$H$2:$H$5001,H4836,$J$2:$J$5001,J4836)&gt;1,"Possible Duplicate Booking","Unique")</f>
        <v>Unique</v>
      </c>
      <c r="W4836" s="7" t="str">
        <f aca="false">IF((H4836-G4836)&lt;&gt;K4836,"Mismatch","OK")</f>
        <v>OK</v>
      </c>
      <c r="X4836" s="7" t="str">
        <f aca="false">IF(TEXT(H4836,"dddd")&lt;&gt;I4836,"Mismatch","OK")</f>
        <v>OK</v>
      </c>
      <c r="Y4836" s="7" t="str">
        <f aca="false">IF(AND(N4836="No",O4836&lt;&gt;""),"Unexpected: channel present but no reminder sent",IF(AND(N4836="Yes",O4836=""),"Missing channel for sent reminder","OK"))</f>
        <v>OK</v>
      </c>
    </row>
    <row r="4837" customFormat="false" ht="15" hidden="false" customHeight="false" outlineLevel="0" collapsed="false">
      <c r="A4837" s="9" t="s">
        <v>6583</v>
      </c>
      <c r="B4837" s="9" t="s">
        <v>6584</v>
      </c>
      <c r="C4837" s="9" t="s">
        <v>37</v>
      </c>
      <c r="D4837" s="9" t="n">
        <v>73</v>
      </c>
      <c r="E4837" s="9" t="s">
        <v>70</v>
      </c>
      <c r="F4837" s="9" t="s">
        <v>39</v>
      </c>
      <c r="G4837" s="10" t="n">
        <v>45906</v>
      </c>
      <c r="H4837" s="10" t="n">
        <v>45946</v>
      </c>
      <c r="I4837" s="9" t="s">
        <v>62</v>
      </c>
      <c r="J4837" s="9" t="s">
        <v>41</v>
      </c>
      <c r="K4837" s="9" t="n">
        <v>40</v>
      </c>
      <c r="L4837" s="9" t="n">
        <v>1</v>
      </c>
      <c r="M4837" s="9" t="n">
        <v>0</v>
      </c>
      <c r="N4837" s="9" t="s">
        <v>71</v>
      </c>
      <c r="O4837" s="9"/>
      <c r="P4837" s="9" t="n">
        <v>7.6</v>
      </c>
      <c r="Q4837" s="9" t="n">
        <v>47</v>
      </c>
      <c r="R4837" s="9" t="s">
        <v>87</v>
      </c>
      <c r="S4837" s="9"/>
      <c r="T4837" s="9"/>
      <c r="U4837" s="9" t="str">
        <f aca="false">IF(COUNTIF($A$2:$A$5001,A4837)&gt;1,"Duplicate","Unique")</f>
        <v>Unique</v>
      </c>
      <c r="V4837" s="9" t="str">
        <f aca="false">IF(COUNTIFS($B$2:$B$5001,B4837,$H$2:$H$5001,H4837,$J$2:$J$5001,J4837)&gt;1,"Possible Duplicate Booking","Unique")</f>
        <v>Unique</v>
      </c>
      <c r="W4837" s="9" t="str">
        <f aca="false">IF((H4837-G4837)&lt;&gt;K4837,"Mismatch","OK")</f>
        <v>OK</v>
      </c>
      <c r="X4837" s="9" t="str">
        <f aca="false">IF(TEXT(H4837,"dddd")&lt;&gt;I4837,"Mismatch","OK")</f>
        <v>OK</v>
      </c>
      <c r="Y4837" s="9" t="str">
        <f aca="false">IF(AND(N4837="No",O4837&lt;&gt;""),"Unexpected: channel present but no reminder sent",IF(AND(N4837="Yes",O4837=""),"Missing channel for sent reminder","OK"))</f>
        <v>OK</v>
      </c>
    </row>
    <row r="4838" customFormat="false" ht="15" hidden="false" customHeight="false" outlineLevel="0" collapsed="false">
      <c r="A4838" s="7" t="s">
        <v>6585</v>
      </c>
      <c r="B4838" s="7" t="s">
        <v>6586</v>
      </c>
      <c r="C4838" s="7" t="s">
        <v>37</v>
      </c>
      <c r="D4838" s="7" t="n">
        <v>62</v>
      </c>
      <c r="E4838" s="7" t="s">
        <v>61</v>
      </c>
      <c r="F4838" s="7" t="s">
        <v>57</v>
      </c>
      <c r="G4838" s="8" t="n">
        <v>45697</v>
      </c>
      <c r="H4838" s="8" t="n">
        <v>45732</v>
      </c>
      <c r="I4838" s="7" t="s">
        <v>75</v>
      </c>
      <c r="J4838" s="7" t="s">
        <v>63</v>
      </c>
      <c r="K4838" s="7" t="n">
        <v>35</v>
      </c>
      <c r="L4838" s="7" t="n">
        <v>2</v>
      </c>
      <c r="M4838" s="7" t="n">
        <v>0</v>
      </c>
      <c r="N4838" s="7" t="s">
        <v>42</v>
      </c>
      <c r="O4838" s="7" t="s">
        <v>67</v>
      </c>
      <c r="P4838" s="7" t="n">
        <v>16.3</v>
      </c>
      <c r="Q4838" s="7" t="n">
        <v>33</v>
      </c>
      <c r="R4838" s="7" t="s">
        <v>53</v>
      </c>
      <c r="S4838" s="7"/>
      <c r="T4838" s="7"/>
      <c r="U4838" s="7" t="str">
        <f aca="false">IF(COUNTIF($A$2:$A$5001,A4838)&gt;1,"Duplicate","Unique")</f>
        <v>Unique</v>
      </c>
      <c r="V4838" s="7" t="str">
        <f aca="false">IF(COUNTIFS($B$2:$B$5001,B4838,$H$2:$H$5001,H4838,$J$2:$J$5001,J4838)&gt;1,"Possible Duplicate Booking","Unique")</f>
        <v>Unique</v>
      </c>
      <c r="W4838" s="7" t="str">
        <f aca="false">IF((H4838-G4838)&lt;&gt;K4838,"Mismatch","OK")</f>
        <v>OK</v>
      </c>
      <c r="X4838" s="7" t="str">
        <f aca="false">IF(TEXT(H4838,"dddd")&lt;&gt;I4838,"Mismatch","OK")</f>
        <v>OK</v>
      </c>
      <c r="Y4838" s="7" t="str">
        <f aca="false">IF(AND(N4838="No",O4838&lt;&gt;""),"Unexpected: channel present but no reminder sent",IF(AND(N4838="Yes",O4838=""),"Missing channel for sent reminder","OK"))</f>
        <v>OK</v>
      </c>
    </row>
    <row r="4839" customFormat="false" ht="15" hidden="false" customHeight="false" outlineLevel="0" collapsed="false">
      <c r="A4839" s="9" t="s">
        <v>6587</v>
      </c>
      <c r="B4839" s="9" t="s">
        <v>6588</v>
      </c>
      <c r="C4839" s="9" t="s">
        <v>37</v>
      </c>
      <c r="D4839" s="9" t="n">
        <v>47</v>
      </c>
      <c r="E4839" s="9" t="s">
        <v>56</v>
      </c>
      <c r="F4839" s="9" t="s">
        <v>39</v>
      </c>
      <c r="G4839" s="10" t="n">
        <v>45638</v>
      </c>
      <c r="H4839" s="10" t="n">
        <v>45694</v>
      </c>
      <c r="I4839" s="9" t="s">
        <v>62</v>
      </c>
      <c r="J4839" s="9" t="s">
        <v>41</v>
      </c>
      <c r="K4839" s="9" t="n">
        <v>56</v>
      </c>
      <c r="L4839" s="9" t="n">
        <v>1</v>
      </c>
      <c r="M4839" s="9" t="n">
        <v>0</v>
      </c>
      <c r="N4839" s="9" t="s">
        <v>42</v>
      </c>
      <c r="O4839" s="9" t="s">
        <v>43</v>
      </c>
      <c r="P4839" s="9" t="n">
        <v>15.6</v>
      </c>
      <c r="Q4839" s="9" t="n">
        <v>12</v>
      </c>
      <c r="R4839" s="9" t="s">
        <v>44</v>
      </c>
      <c r="S4839" s="9"/>
      <c r="T4839" s="9"/>
      <c r="U4839" s="9" t="str">
        <f aca="false">IF(COUNTIF($A$2:$A$5001,A4839)&gt;1,"Duplicate","Unique")</f>
        <v>Unique</v>
      </c>
      <c r="V4839" s="9" t="str">
        <f aca="false">IF(COUNTIFS($B$2:$B$5001,B4839,$H$2:$H$5001,H4839,$J$2:$J$5001,J4839)&gt;1,"Possible Duplicate Booking","Unique")</f>
        <v>Unique</v>
      </c>
      <c r="W4839" s="9" t="str">
        <f aca="false">IF((H4839-G4839)&lt;&gt;K4839,"Mismatch","OK")</f>
        <v>OK</v>
      </c>
      <c r="X4839" s="9" t="str">
        <f aca="false">IF(TEXT(H4839,"dddd")&lt;&gt;I4839,"Mismatch","OK")</f>
        <v>OK</v>
      </c>
      <c r="Y4839" s="9" t="str">
        <f aca="false">IF(AND(N4839="No",O4839&lt;&gt;""),"Unexpected: channel present but no reminder sent",IF(AND(N4839="Yes",O4839=""),"Missing channel for sent reminder","OK"))</f>
        <v>OK</v>
      </c>
    </row>
    <row r="4840" customFormat="false" ht="15" hidden="false" customHeight="false" outlineLevel="0" collapsed="false">
      <c r="A4840" s="7" t="s">
        <v>6589</v>
      </c>
      <c r="B4840" s="7" t="s">
        <v>486</v>
      </c>
      <c r="C4840" s="7" t="s">
        <v>37</v>
      </c>
      <c r="D4840" s="7" t="n">
        <v>31</v>
      </c>
      <c r="E4840" s="7" t="s">
        <v>48</v>
      </c>
      <c r="F4840" s="7" t="s">
        <v>49</v>
      </c>
      <c r="G4840" s="8" t="n">
        <v>46116</v>
      </c>
      <c r="H4840" s="8" t="n">
        <v>46122</v>
      </c>
      <c r="I4840" s="7" t="s">
        <v>50</v>
      </c>
      <c r="J4840" s="7" t="s">
        <v>41</v>
      </c>
      <c r="K4840" s="7" t="n">
        <v>6</v>
      </c>
      <c r="L4840" s="7" t="n">
        <v>6</v>
      </c>
      <c r="M4840" s="7" t="n">
        <v>0</v>
      </c>
      <c r="N4840" s="7" t="s">
        <v>71</v>
      </c>
      <c r="O4840" s="7"/>
      <c r="P4840" s="7"/>
      <c r="Q4840" s="7" t="n">
        <v>13</v>
      </c>
      <c r="R4840" s="7" t="s">
        <v>53</v>
      </c>
      <c r="S4840" s="7"/>
      <c r="T4840" s="7"/>
      <c r="U4840" s="7" t="str">
        <f aca="false">IF(COUNTIF($A$2:$A$5001,A4840)&gt;1,"Duplicate","Unique")</f>
        <v>Unique</v>
      </c>
      <c r="V4840" s="7" t="str">
        <f aca="false">IF(COUNTIFS($B$2:$B$5001,B4840,$H$2:$H$5001,H4840,$J$2:$J$5001,J4840)&gt;1,"Possible Duplicate Booking","Unique")</f>
        <v>Unique</v>
      </c>
      <c r="W4840" s="7" t="str">
        <f aca="false">IF((H4840-G4840)&lt;&gt;K4840,"Mismatch","OK")</f>
        <v>OK</v>
      </c>
      <c r="X4840" s="7" t="str">
        <f aca="false">IF(TEXT(H4840,"dddd")&lt;&gt;I4840,"Mismatch","OK")</f>
        <v>OK</v>
      </c>
      <c r="Y4840" s="7" t="str">
        <f aca="false">IF(AND(N4840="No",O4840&lt;&gt;""),"Unexpected: channel present but no reminder sent",IF(AND(N4840="Yes",O4840=""),"Missing channel for sent reminder","OK"))</f>
        <v>OK</v>
      </c>
    </row>
    <row r="4841" customFormat="false" ht="15" hidden="false" customHeight="false" outlineLevel="0" collapsed="false">
      <c r="A4841" s="9" t="s">
        <v>6590</v>
      </c>
      <c r="B4841" s="9" t="s">
        <v>2826</v>
      </c>
      <c r="C4841" s="9" t="s">
        <v>37</v>
      </c>
      <c r="D4841" s="9" t="n">
        <v>24</v>
      </c>
      <c r="E4841" s="9" t="s">
        <v>82</v>
      </c>
      <c r="F4841" s="9" t="s">
        <v>39</v>
      </c>
      <c r="G4841" s="10" t="n">
        <v>46142</v>
      </c>
      <c r="H4841" s="10" t="n">
        <v>46166</v>
      </c>
      <c r="I4841" s="9" t="s">
        <v>75</v>
      </c>
      <c r="J4841" s="9" t="s">
        <v>51</v>
      </c>
      <c r="K4841" s="9" t="n">
        <v>24</v>
      </c>
      <c r="L4841" s="9" t="n">
        <v>3</v>
      </c>
      <c r="M4841" s="9" t="n">
        <v>0</v>
      </c>
      <c r="N4841" s="9" t="s">
        <v>71</v>
      </c>
      <c r="O4841" s="9"/>
      <c r="P4841" s="9" t="n">
        <v>4.7</v>
      </c>
      <c r="Q4841" s="9" t="n">
        <v>26</v>
      </c>
      <c r="R4841" s="9" t="s">
        <v>44</v>
      </c>
      <c r="S4841" s="9"/>
      <c r="T4841" s="9"/>
      <c r="U4841" s="9" t="str">
        <f aca="false">IF(COUNTIF($A$2:$A$5001,A4841)&gt;1,"Duplicate","Unique")</f>
        <v>Unique</v>
      </c>
      <c r="V4841" s="9" t="str">
        <f aca="false">IF(COUNTIFS($B$2:$B$5001,B4841,$H$2:$H$5001,H4841,$J$2:$J$5001,J4841)&gt;1,"Possible Duplicate Booking","Unique")</f>
        <v>Unique</v>
      </c>
      <c r="W4841" s="9" t="str">
        <f aca="false">IF((H4841-G4841)&lt;&gt;K4841,"Mismatch","OK")</f>
        <v>OK</v>
      </c>
      <c r="X4841" s="9" t="str">
        <f aca="false">IF(TEXT(H4841,"dddd")&lt;&gt;I4841,"Mismatch","OK")</f>
        <v>OK</v>
      </c>
      <c r="Y4841" s="9" t="str">
        <f aca="false">IF(AND(N4841="No",O4841&lt;&gt;""),"Unexpected: channel present but no reminder sent",IF(AND(N4841="Yes",O4841=""),"Missing channel for sent reminder","OK"))</f>
        <v>OK</v>
      </c>
    </row>
    <row r="4842" customFormat="false" ht="15" hidden="false" customHeight="false" outlineLevel="0" collapsed="false">
      <c r="A4842" s="7" t="s">
        <v>6591</v>
      </c>
      <c r="B4842" s="7" t="s">
        <v>453</v>
      </c>
      <c r="C4842" s="7" t="s">
        <v>37</v>
      </c>
      <c r="D4842" s="7" t="n">
        <v>27</v>
      </c>
      <c r="E4842" s="7" t="s">
        <v>48</v>
      </c>
      <c r="F4842" s="7" t="s">
        <v>39</v>
      </c>
      <c r="G4842" s="8" t="n">
        <v>46014</v>
      </c>
      <c r="H4842" s="8" t="n">
        <v>46074</v>
      </c>
      <c r="I4842" s="7" t="s">
        <v>102</v>
      </c>
      <c r="J4842" s="7" t="s">
        <v>41</v>
      </c>
      <c r="K4842" s="7" t="n">
        <v>60</v>
      </c>
      <c r="L4842" s="7" t="n">
        <v>2</v>
      </c>
      <c r="M4842" s="7" t="n">
        <v>0</v>
      </c>
      <c r="N4842" s="7" t="s">
        <v>42</v>
      </c>
      <c r="O4842" s="7" t="s">
        <v>52</v>
      </c>
      <c r="P4842" s="7" t="n">
        <v>4.5</v>
      </c>
      <c r="Q4842" s="7" t="n">
        <v>25</v>
      </c>
      <c r="R4842" s="7" t="s">
        <v>44</v>
      </c>
      <c r="S4842" s="7"/>
      <c r="T4842" s="7"/>
      <c r="U4842" s="7" t="str">
        <f aca="false">IF(COUNTIF($A$2:$A$5001,A4842)&gt;1,"Duplicate","Unique")</f>
        <v>Unique</v>
      </c>
      <c r="V4842" s="7" t="str">
        <f aca="false">IF(COUNTIFS($B$2:$B$5001,B4842,$H$2:$H$5001,H4842,$J$2:$J$5001,J4842)&gt;1,"Possible Duplicate Booking","Unique")</f>
        <v>Unique</v>
      </c>
      <c r="W4842" s="7" t="str">
        <f aca="false">IF((H4842-G4842)&lt;&gt;K4842,"Mismatch","OK")</f>
        <v>OK</v>
      </c>
      <c r="X4842" s="7" t="str">
        <f aca="false">IF(TEXT(H4842,"dddd")&lt;&gt;I4842,"Mismatch","OK")</f>
        <v>OK</v>
      </c>
      <c r="Y4842" s="7" t="str">
        <f aca="false">IF(AND(N4842="No",O4842&lt;&gt;""),"Unexpected: channel present but no reminder sent",IF(AND(N4842="Yes",O4842=""),"Missing channel for sent reminder","OK"))</f>
        <v>OK</v>
      </c>
    </row>
    <row r="4843" customFormat="false" ht="15" hidden="false" customHeight="false" outlineLevel="0" collapsed="false">
      <c r="A4843" s="9" t="s">
        <v>6592</v>
      </c>
      <c r="B4843" s="9" t="s">
        <v>4230</v>
      </c>
      <c r="C4843" s="9" t="s">
        <v>47</v>
      </c>
      <c r="D4843" s="9" t="n">
        <v>24</v>
      </c>
      <c r="E4843" s="9" t="s">
        <v>82</v>
      </c>
      <c r="F4843" s="9" t="s">
        <v>74</v>
      </c>
      <c r="G4843" s="10" t="n">
        <v>45702</v>
      </c>
      <c r="H4843" s="10" t="n">
        <v>45725</v>
      </c>
      <c r="I4843" s="9" t="s">
        <v>75</v>
      </c>
      <c r="J4843" s="9" t="s">
        <v>51</v>
      </c>
      <c r="K4843" s="9" t="n">
        <v>23</v>
      </c>
      <c r="L4843" s="9" t="n">
        <v>6</v>
      </c>
      <c r="M4843" s="9" t="n">
        <v>0</v>
      </c>
      <c r="N4843" s="9" t="s">
        <v>42</v>
      </c>
      <c r="O4843" s="9" t="s">
        <v>52</v>
      </c>
      <c r="P4843" s="9" t="n">
        <v>37</v>
      </c>
      <c r="Q4843" s="9" t="n">
        <v>20</v>
      </c>
      <c r="R4843" s="9" t="s">
        <v>44</v>
      </c>
      <c r="S4843" s="9"/>
      <c r="T4843" s="9"/>
      <c r="U4843" s="9" t="str">
        <f aca="false">IF(COUNTIF($A$2:$A$5001,A4843)&gt;1,"Duplicate","Unique")</f>
        <v>Unique</v>
      </c>
      <c r="V4843" s="9" t="str">
        <f aca="false">IF(COUNTIFS($B$2:$B$5001,B4843,$H$2:$H$5001,H4843,$J$2:$J$5001,J4843)&gt;1,"Possible Duplicate Booking","Unique")</f>
        <v>Unique</v>
      </c>
      <c r="W4843" s="9" t="str">
        <f aca="false">IF((H4843-G4843)&lt;&gt;K4843,"Mismatch","OK")</f>
        <v>OK</v>
      </c>
      <c r="X4843" s="9" t="str">
        <f aca="false">IF(TEXT(H4843,"dddd")&lt;&gt;I4843,"Mismatch","OK")</f>
        <v>OK</v>
      </c>
      <c r="Y4843" s="9" t="str">
        <f aca="false">IF(AND(N4843="No",O4843&lt;&gt;""),"Unexpected: channel present but no reminder sent",IF(AND(N4843="Yes",O4843=""),"Missing channel for sent reminder","OK"))</f>
        <v>OK</v>
      </c>
    </row>
    <row r="4844" customFormat="false" ht="15" hidden="false" customHeight="false" outlineLevel="0" collapsed="false">
      <c r="A4844" s="7" t="s">
        <v>6593</v>
      </c>
      <c r="B4844" s="7" t="s">
        <v>1828</v>
      </c>
      <c r="C4844" s="7" t="s">
        <v>37</v>
      </c>
      <c r="D4844" s="7" t="n">
        <v>51</v>
      </c>
      <c r="E4844" s="7" t="s">
        <v>56</v>
      </c>
      <c r="F4844" s="7" t="s">
        <v>57</v>
      </c>
      <c r="G4844" s="8" t="n">
        <v>45671</v>
      </c>
      <c r="H4844" s="8" t="n">
        <v>45711</v>
      </c>
      <c r="I4844" s="7" t="s">
        <v>75</v>
      </c>
      <c r="J4844" s="7" t="s">
        <v>51</v>
      </c>
      <c r="K4844" s="7" t="n">
        <v>40</v>
      </c>
      <c r="L4844" s="7" t="n">
        <v>3</v>
      </c>
      <c r="M4844" s="7" t="n">
        <v>1</v>
      </c>
      <c r="N4844" s="7" t="s">
        <v>42</v>
      </c>
      <c r="O4844" s="7" t="s">
        <v>52</v>
      </c>
      <c r="P4844" s="7" t="n">
        <v>17.7</v>
      </c>
      <c r="Q4844" s="7" t="n">
        <v>18</v>
      </c>
      <c r="R4844" s="7" t="s">
        <v>53</v>
      </c>
      <c r="S4844" s="7"/>
      <c r="T4844" s="7"/>
      <c r="U4844" s="7" t="str">
        <f aca="false">IF(COUNTIF($A$2:$A$5001,A4844)&gt;1,"Duplicate","Unique")</f>
        <v>Unique</v>
      </c>
      <c r="V4844" s="7" t="str">
        <f aca="false">IF(COUNTIFS($B$2:$B$5001,B4844,$H$2:$H$5001,H4844,$J$2:$J$5001,J4844)&gt;1,"Possible Duplicate Booking","Unique")</f>
        <v>Unique</v>
      </c>
      <c r="W4844" s="7" t="str">
        <f aca="false">IF((H4844-G4844)&lt;&gt;K4844,"Mismatch","OK")</f>
        <v>OK</v>
      </c>
      <c r="X4844" s="7" t="str">
        <f aca="false">IF(TEXT(H4844,"dddd")&lt;&gt;I4844,"Mismatch","OK")</f>
        <v>OK</v>
      </c>
      <c r="Y4844" s="7" t="str">
        <f aca="false">IF(AND(N4844="No",O4844&lt;&gt;""),"Unexpected: channel present but no reminder sent",IF(AND(N4844="Yes",O4844=""),"Missing channel for sent reminder","OK"))</f>
        <v>OK</v>
      </c>
    </row>
    <row r="4845" customFormat="false" ht="15" hidden="false" customHeight="false" outlineLevel="0" collapsed="false">
      <c r="A4845" s="9" t="s">
        <v>6594</v>
      </c>
      <c r="B4845" s="9" t="s">
        <v>1907</v>
      </c>
      <c r="C4845" s="9" t="s">
        <v>47</v>
      </c>
      <c r="D4845" s="9" t="n">
        <v>30</v>
      </c>
      <c r="E4845" s="9" t="s">
        <v>48</v>
      </c>
      <c r="F4845" s="9" t="s">
        <v>74</v>
      </c>
      <c r="G4845" s="10" t="n">
        <v>45757</v>
      </c>
      <c r="H4845" s="10" t="n">
        <v>45766</v>
      </c>
      <c r="I4845" s="9" t="s">
        <v>102</v>
      </c>
      <c r="J4845" s="9" t="s">
        <v>41</v>
      </c>
      <c r="K4845" s="9" t="n">
        <v>9</v>
      </c>
      <c r="L4845" s="9" t="n">
        <v>5</v>
      </c>
      <c r="M4845" s="9" t="n">
        <v>0</v>
      </c>
      <c r="N4845" s="9" t="s">
        <v>42</v>
      </c>
      <c r="O4845" s="9" t="s">
        <v>43</v>
      </c>
      <c r="P4845" s="9" t="n">
        <v>5.8</v>
      </c>
      <c r="Q4845" s="9" t="n">
        <v>41</v>
      </c>
      <c r="R4845" s="9" t="s">
        <v>53</v>
      </c>
      <c r="S4845" s="9"/>
      <c r="T4845" s="9"/>
      <c r="U4845" s="9" t="str">
        <f aca="false">IF(COUNTIF($A$2:$A$5001,A4845)&gt;1,"Duplicate","Unique")</f>
        <v>Unique</v>
      </c>
      <c r="V4845" s="9" t="str">
        <f aca="false">IF(COUNTIFS($B$2:$B$5001,B4845,$H$2:$H$5001,H4845,$J$2:$J$5001,J4845)&gt;1,"Possible Duplicate Booking","Unique")</f>
        <v>Unique</v>
      </c>
      <c r="W4845" s="9" t="str">
        <f aca="false">IF((H4845-G4845)&lt;&gt;K4845,"Mismatch","OK")</f>
        <v>OK</v>
      </c>
      <c r="X4845" s="9" t="str">
        <f aca="false">IF(TEXT(H4845,"dddd")&lt;&gt;I4845,"Mismatch","OK")</f>
        <v>OK</v>
      </c>
      <c r="Y4845" s="9" t="str">
        <f aca="false">IF(AND(N4845="No",O4845&lt;&gt;""),"Unexpected: channel present but no reminder sent",IF(AND(N4845="Yes",O4845=""),"Missing channel for sent reminder","OK"))</f>
        <v>OK</v>
      </c>
    </row>
    <row r="4846" customFormat="false" ht="15" hidden="false" customHeight="false" outlineLevel="0" collapsed="false">
      <c r="A4846" s="7" t="s">
        <v>6595</v>
      </c>
      <c r="B4846" s="7" t="s">
        <v>6596</v>
      </c>
      <c r="C4846" s="7" t="s">
        <v>37</v>
      </c>
      <c r="D4846" s="7" t="n">
        <v>26</v>
      </c>
      <c r="E4846" s="7" t="s">
        <v>48</v>
      </c>
      <c r="F4846" s="7" t="s">
        <v>49</v>
      </c>
      <c r="G4846" s="8" t="n">
        <v>46024</v>
      </c>
      <c r="H4846" s="8" t="n">
        <v>46068</v>
      </c>
      <c r="I4846" s="7" t="s">
        <v>75</v>
      </c>
      <c r="J4846" s="7" t="s">
        <v>51</v>
      </c>
      <c r="K4846" s="7" t="n">
        <v>44</v>
      </c>
      <c r="L4846" s="7" t="n">
        <v>3</v>
      </c>
      <c r="M4846" s="7" t="n">
        <v>1</v>
      </c>
      <c r="N4846" s="7" t="s">
        <v>42</v>
      </c>
      <c r="O4846" s="7" t="s">
        <v>43</v>
      </c>
      <c r="P4846" s="7" t="n">
        <v>7.5</v>
      </c>
      <c r="Q4846" s="7" t="n">
        <v>26</v>
      </c>
      <c r="R4846" s="7" t="s">
        <v>44</v>
      </c>
      <c r="S4846" s="7"/>
      <c r="T4846" s="7"/>
      <c r="U4846" s="7" t="str">
        <f aca="false">IF(COUNTIF($A$2:$A$5001,A4846)&gt;1,"Duplicate","Unique")</f>
        <v>Unique</v>
      </c>
      <c r="V4846" s="7" t="str">
        <f aca="false">IF(COUNTIFS($B$2:$B$5001,B4846,$H$2:$H$5001,H4846,$J$2:$J$5001,J4846)&gt;1,"Possible Duplicate Booking","Unique")</f>
        <v>Unique</v>
      </c>
      <c r="W4846" s="7" t="str">
        <f aca="false">IF((H4846-G4846)&lt;&gt;K4846,"Mismatch","OK")</f>
        <v>OK</v>
      </c>
      <c r="X4846" s="7" t="str">
        <f aca="false">IF(TEXT(H4846,"dddd")&lt;&gt;I4846,"Mismatch","OK")</f>
        <v>OK</v>
      </c>
      <c r="Y4846" s="7" t="str">
        <f aca="false">IF(AND(N4846="No",O4846&lt;&gt;""),"Unexpected: channel present but no reminder sent",IF(AND(N4846="Yes",O4846=""),"Missing channel for sent reminder","OK"))</f>
        <v>OK</v>
      </c>
    </row>
    <row r="4847" customFormat="false" ht="15" hidden="false" customHeight="false" outlineLevel="0" collapsed="false">
      <c r="A4847" s="9" t="s">
        <v>6597</v>
      </c>
      <c r="B4847" s="9" t="s">
        <v>6598</v>
      </c>
      <c r="C4847" s="9" t="s">
        <v>47</v>
      </c>
      <c r="D4847" s="9" t="n">
        <v>35</v>
      </c>
      <c r="E4847" s="9" t="s">
        <v>38</v>
      </c>
      <c r="F4847" s="9" t="s">
        <v>57</v>
      </c>
      <c r="G4847" s="10" t="n">
        <v>46059</v>
      </c>
      <c r="H4847" s="10" t="n">
        <v>46075</v>
      </c>
      <c r="I4847" s="9" t="s">
        <v>75</v>
      </c>
      <c r="J4847" s="9" t="s">
        <v>51</v>
      </c>
      <c r="K4847" s="9" t="n">
        <v>16</v>
      </c>
      <c r="L4847" s="9" t="n">
        <v>5</v>
      </c>
      <c r="M4847" s="9" t="n">
        <v>0</v>
      </c>
      <c r="N4847" s="9" t="s">
        <v>42</v>
      </c>
      <c r="O4847" s="9" t="s">
        <v>52</v>
      </c>
      <c r="P4847" s="9" t="n">
        <v>13.7</v>
      </c>
      <c r="Q4847" s="9" t="n">
        <v>29</v>
      </c>
      <c r="R4847" s="9" t="s">
        <v>53</v>
      </c>
      <c r="S4847" s="9"/>
      <c r="T4847" s="9"/>
      <c r="U4847" s="9" t="str">
        <f aca="false">IF(COUNTIF($A$2:$A$5001,A4847)&gt;1,"Duplicate","Unique")</f>
        <v>Unique</v>
      </c>
      <c r="V4847" s="9" t="str">
        <f aca="false">IF(COUNTIFS($B$2:$B$5001,B4847,$H$2:$H$5001,H4847,$J$2:$J$5001,J4847)&gt;1,"Possible Duplicate Booking","Unique")</f>
        <v>Unique</v>
      </c>
      <c r="W4847" s="9" t="str">
        <f aca="false">IF((H4847-G4847)&lt;&gt;K4847,"Mismatch","OK")</f>
        <v>OK</v>
      </c>
      <c r="X4847" s="9" t="str">
        <f aca="false">IF(TEXT(H4847,"dddd")&lt;&gt;I4847,"Mismatch","OK")</f>
        <v>OK</v>
      </c>
      <c r="Y4847" s="9" t="str">
        <f aca="false">IF(AND(N4847="No",O4847&lt;&gt;""),"Unexpected: channel present but no reminder sent",IF(AND(N4847="Yes",O4847=""),"Missing channel for sent reminder","OK"))</f>
        <v>OK</v>
      </c>
    </row>
    <row r="4848" customFormat="false" ht="15" hidden="false" customHeight="false" outlineLevel="0" collapsed="false">
      <c r="A4848" s="7" t="s">
        <v>6599</v>
      </c>
      <c r="B4848" s="7" t="s">
        <v>148</v>
      </c>
      <c r="C4848" s="7" t="s">
        <v>47</v>
      </c>
      <c r="D4848" s="7" t="n">
        <v>62</v>
      </c>
      <c r="E4848" s="7" t="s">
        <v>61</v>
      </c>
      <c r="F4848" s="7" t="s">
        <v>57</v>
      </c>
      <c r="G4848" s="8" t="n">
        <v>46081</v>
      </c>
      <c r="H4848" s="8" t="n">
        <v>46115</v>
      </c>
      <c r="I4848" s="7" t="s">
        <v>50</v>
      </c>
      <c r="J4848" s="7" t="s">
        <v>41</v>
      </c>
      <c r="K4848" s="7" t="n">
        <v>34</v>
      </c>
      <c r="L4848" s="7" t="n">
        <v>4</v>
      </c>
      <c r="M4848" s="7" t="n">
        <v>1</v>
      </c>
      <c r="N4848" s="7" t="s">
        <v>42</v>
      </c>
      <c r="O4848" s="7" t="s">
        <v>52</v>
      </c>
      <c r="P4848" s="7" t="n">
        <v>14.9</v>
      </c>
      <c r="Q4848" s="7" t="n">
        <v>25</v>
      </c>
      <c r="R4848" s="7" t="s">
        <v>44</v>
      </c>
      <c r="S4848" s="7"/>
      <c r="T4848" s="7"/>
      <c r="U4848" s="7" t="str">
        <f aca="false">IF(COUNTIF($A$2:$A$5001,A4848)&gt;1,"Duplicate","Unique")</f>
        <v>Unique</v>
      </c>
      <c r="V4848" s="7" t="str">
        <f aca="false">IF(COUNTIFS($B$2:$B$5001,B4848,$H$2:$H$5001,H4848,$J$2:$J$5001,J4848)&gt;1,"Possible Duplicate Booking","Unique")</f>
        <v>Unique</v>
      </c>
      <c r="W4848" s="7" t="str">
        <f aca="false">IF((H4848-G4848)&lt;&gt;K4848,"Mismatch","OK")</f>
        <v>OK</v>
      </c>
      <c r="X4848" s="7" t="str">
        <f aca="false">IF(TEXT(H4848,"dddd")&lt;&gt;I4848,"Mismatch","OK")</f>
        <v>OK</v>
      </c>
      <c r="Y4848" s="7" t="str">
        <f aca="false">IF(AND(N4848="No",O4848&lt;&gt;""),"Unexpected: channel present but no reminder sent",IF(AND(N4848="Yes",O4848=""),"Missing channel for sent reminder","OK"))</f>
        <v>OK</v>
      </c>
    </row>
    <row r="4849" customFormat="false" ht="15" hidden="false" customHeight="false" outlineLevel="0" collapsed="false">
      <c r="A4849" s="9" t="s">
        <v>6600</v>
      </c>
      <c r="B4849" s="9" t="s">
        <v>498</v>
      </c>
      <c r="C4849" s="9" t="s">
        <v>47</v>
      </c>
      <c r="D4849" s="9" t="n">
        <v>49</v>
      </c>
      <c r="E4849" s="9" t="s">
        <v>56</v>
      </c>
      <c r="F4849" s="9" t="s">
        <v>57</v>
      </c>
      <c r="G4849" s="10" t="n">
        <v>45657</v>
      </c>
      <c r="H4849" s="10" t="n">
        <v>45710</v>
      </c>
      <c r="I4849" s="9" t="s">
        <v>102</v>
      </c>
      <c r="J4849" s="9" t="s">
        <v>41</v>
      </c>
      <c r="K4849" s="9" t="n">
        <v>53</v>
      </c>
      <c r="L4849" s="9" t="n">
        <v>2</v>
      </c>
      <c r="M4849" s="9" t="n">
        <v>0</v>
      </c>
      <c r="N4849" s="9" t="s">
        <v>71</v>
      </c>
      <c r="O4849" s="9"/>
      <c r="P4849" s="9" t="n">
        <v>2</v>
      </c>
      <c r="Q4849" s="9" t="n">
        <v>24</v>
      </c>
      <c r="R4849" s="9" t="s">
        <v>53</v>
      </c>
      <c r="S4849" s="9"/>
      <c r="T4849" s="9"/>
      <c r="U4849" s="9" t="str">
        <f aca="false">IF(COUNTIF($A$2:$A$5001,A4849)&gt;1,"Duplicate","Unique")</f>
        <v>Unique</v>
      </c>
      <c r="V4849" s="9" t="str">
        <f aca="false">IF(COUNTIFS($B$2:$B$5001,B4849,$H$2:$H$5001,H4849,$J$2:$J$5001,J4849)&gt;1,"Possible Duplicate Booking","Unique")</f>
        <v>Unique</v>
      </c>
      <c r="W4849" s="9" t="str">
        <f aca="false">IF((H4849-G4849)&lt;&gt;K4849,"Mismatch","OK")</f>
        <v>OK</v>
      </c>
      <c r="X4849" s="9" t="str">
        <f aca="false">IF(TEXT(H4849,"dddd")&lt;&gt;I4849,"Mismatch","OK")</f>
        <v>OK</v>
      </c>
      <c r="Y4849" s="9" t="str">
        <f aca="false">IF(AND(N4849="No",O4849&lt;&gt;""),"Unexpected: channel present but no reminder sent",IF(AND(N4849="Yes",O4849=""),"Missing channel for sent reminder","OK"))</f>
        <v>OK</v>
      </c>
    </row>
    <row r="4850" customFormat="false" ht="15" hidden="false" customHeight="false" outlineLevel="0" collapsed="false">
      <c r="A4850" s="7" t="s">
        <v>6601</v>
      </c>
      <c r="B4850" s="7" t="s">
        <v>6602</v>
      </c>
      <c r="C4850" s="7" t="s">
        <v>47</v>
      </c>
      <c r="D4850" s="7" t="n">
        <v>27</v>
      </c>
      <c r="E4850" s="7" t="s">
        <v>48</v>
      </c>
      <c r="F4850" s="7" t="s">
        <v>74</v>
      </c>
      <c r="G4850" s="8" t="n">
        <v>45701</v>
      </c>
      <c r="H4850" s="8" t="n">
        <v>45741</v>
      </c>
      <c r="I4850" s="7" t="s">
        <v>40</v>
      </c>
      <c r="J4850" s="7" t="s">
        <v>51</v>
      </c>
      <c r="K4850" s="7" t="n">
        <v>40</v>
      </c>
      <c r="L4850" s="7" t="n">
        <v>1</v>
      </c>
      <c r="M4850" s="7" t="n">
        <v>0</v>
      </c>
      <c r="N4850" s="7" t="s">
        <v>71</v>
      </c>
      <c r="O4850" s="7"/>
      <c r="P4850" s="7" t="n">
        <v>11.2</v>
      </c>
      <c r="Q4850" s="7" t="n">
        <v>48</v>
      </c>
      <c r="R4850" s="7" t="s">
        <v>53</v>
      </c>
      <c r="S4850" s="7"/>
      <c r="T4850" s="7"/>
      <c r="U4850" s="7" t="str">
        <f aca="false">IF(COUNTIF($A$2:$A$5001,A4850)&gt;1,"Duplicate","Unique")</f>
        <v>Unique</v>
      </c>
      <c r="V4850" s="7" t="str">
        <f aca="false">IF(COUNTIFS($B$2:$B$5001,B4850,$H$2:$H$5001,H4850,$J$2:$J$5001,J4850)&gt;1,"Possible Duplicate Booking","Unique")</f>
        <v>Unique</v>
      </c>
      <c r="W4850" s="7" t="str">
        <f aca="false">IF((H4850-G4850)&lt;&gt;K4850,"Mismatch","OK")</f>
        <v>OK</v>
      </c>
      <c r="X4850" s="7" t="str">
        <f aca="false">IF(TEXT(H4850,"dddd")&lt;&gt;I4850,"Mismatch","OK")</f>
        <v>OK</v>
      </c>
      <c r="Y4850" s="7" t="str">
        <f aca="false">IF(AND(N4850="No",O4850&lt;&gt;""),"Unexpected: channel present but no reminder sent",IF(AND(N4850="Yes",O4850=""),"Missing channel for sent reminder","OK"))</f>
        <v>OK</v>
      </c>
    </row>
    <row r="4851" customFormat="false" ht="15" hidden="false" customHeight="false" outlineLevel="0" collapsed="false">
      <c r="A4851" s="9" t="s">
        <v>6603</v>
      </c>
      <c r="B4851" s="9" t="s">
        <v>2821</v>
      </c>
      <c r="C4851" s="9" t="s">
        <v>47</v>
      </c>
      <c r="D4851" s="9" t="n">
        <v>65</v>
      </c>
      <c r="E4851" s="9" t="s">
        <v>70</v>
      </c>
      <c r="F4851" s="9" t="s">
        <v>57</v>
      </c>
      <c r="G4851" s="10" t="n">
        <v>46121</v>
      </c>
      <c r="H4851" s="10" t="n">
        <v>46149</v>
      </c>
      <c r="I4851" s="9" t="s">
        <v>62</v>
      </c>
      <c r="J4851" s="9" t="s">
        <v>51</v>
      </c>
      <c r="K4851" s="9" t="n">
        <v>28</v>
      </c>
      <c r="L4851" s="9" t="n">
        <v>6</v>
      </c>
      <c r="M4851" s="9" t="n">
        <v>1</v>
      </c>
      <c r="N4851" s="9" t="s">
        <v>42</v>
      </c>
      <c r="O4851" s="9" t="s">
        <v>52</v>
      </c>
      <c r="P4851" s="9" t="n">
        <v>15.6</v>
      </c>
      <c r="Q4851" s="9" t="n">
        <v>30</v>
      </c>
      <c r="R4851" s="9" t="s">
        <v>44</v>
      </c>
      <c r="S4851" s="9"/>
      <c r="T4851" s="9"/>
      <c r="U4851" s="9" t="str">
        <f aca="false">IF(COUNTIF($A$2:$A$5001,A4851)&gt;1,"Duplicate","Unique")</f>
        <v>Unique</v>
      </c>
      <c r="V4851" s="9" t="str">
        <f aca="false">IF(COUNTIFS($B$2:$B$5001,B4851,$H$2:$H$5001,H4851,$J$2:$J$5001,J4851)&gt;1,"Possible Duplicate Booking","Unique")</f>
        <v>Unique</v>
      </c>
      <c r="W4851" s="9" t="str">
        <f aca="false">IF((H4851-G4851)&lt;&gt;K4851,"Mismatch","OK")</f>
        <v>OK</v>
      </c>
      <c r="X4851" s="9" t="str">
        <f aca="false">IF(TEXT(H4851,"dddd")&lt;&gt;I4851,"Mismatch","OK")</f>
        <v>OK</v>
      </c>
      <c r="Y4851" s="9" t="str">
        <f aca="false">IF(AND(N4851="No",O4851&lt;&gt;""),"Unexpected: channel present but no reminder sent",IF(AND(N4851="Yes",O4851=""),"Missing channel for sent reminder","OK"))</f>
        <v>OK</v>
      </c>
    </row>
    <row r="4852" customFormat="false" ht="15" hidden="false" customHeight="false" outlineLevel="0" collapsed="false">
      <c r="A4852" s="7" t="s">
        <v>6604</v>
      </c>
      <c r="B4852" s="7" t="s">
        <v>4144</v>
      </c>
      <c r="C4852" s="7" t="s">
        <v>37</v>
      </c>
      <c r="D4852" s="7" t="n">
        <v>48</v>
      </c>
      <c r="E4852" s="7" t="s">
        <v>56</v>
      </c>
      <c r="F4852" s="7" t="s">
        <v>49</v>
      </c>
      <c r="G4852" s="8" t="n">
        <v>46154</v>
      </c>
      <c r="H4852" s="8" t="n">
        <v>46165</v>
      </c>
      <c r="I4852" s="7" t="s">
        <v>102</v>
      </c>
      <c r="J4852" s="7" t="s">
        <v>51</v>
      </c>
      <c r="K4852" s="7" t="n">
        <v>11</v>
      </c>
      <c r="L4852" s="7" t="n">
        <v>2</v>
      </c>
      <c r="M4852" s="7" t="n">
        <v>0</v>
      </c>
      <c r="N4852" s="7" t="s">
        <v>71</v>
      </c>
      <c r="O4852" s="7"/>
      <c r="P4852" s="7" t="n">
        <v>6</v>
      </c>
      <c r="Q4852" s="7" t="n">
        <v>53</v>
      </c>
      <c r="R4852" s="7" t="s">
        <v>44</v>
      </c>
      <c r="S4852" s="7"/>
      <c r="T4852" s="7"/>
      <c r="U4852" s="7" t="str">
        <f aca="false">IF(COUNTIF($A$2:$A$5001,A4852)&gt;1,"Duplicate","Unique")</f>
        <v>Unique</v>
      </c>
      <c r="V4852" s="7" t="str">
        <f aca="false">IF(COUNTIFS($B$2:$B$5001,B4852,$H$2:$H$5001,H4852,$J$2:$J$5001,J4852)&gt;1,"Possible Duplicate Booking","Unique")</f>
        <v>Unique</v>
      </c>
      <c r="W4852" s="7" t="str">
        <f aca="false">IF((H4852-G4852)&lt;&gt;K4852,"Mismatch","OK")</f>
        <v>OK</v>
      </c>
      <c r="X4852" s="7" t="str">
        <f aca="false">IF(TEXT(H4852,"dddd")&lt;&gt;I4852,"Mismatch","OK")</f>
        <v>OK</v>
      </c>
      <c r="Y4852" s="7" t="str">
        <f aca="false">IF(AND(N4852="No",O4852&lt;&gt;""),"Unexpected: channel present but no reminder sent",IF(AND(N4852="Yes",O4852=""),"Missing channel for sent reminder","OK"))</f>
        <v>OK</v>
      </c>
    </row>
    <row r="4853" customFormat="false" ht="15" hidden="false" customHeight="false" outlineLevel="0" collapsed="false">
      <c r="A4853" s="9" t="s">
        <v>6605</v>
      </c>
      <c r="B4853" s="9" t="s">
        <v>1605</v>
      </c>
      <c r="C4853" s="9" t="s">
        <v>47</v>
      </c>
      <c r="D4853" s="9" t="n">
        <v>29</v>
      </c>
      <c r="E4853" s="9" t="s">
        <v>48</v>
      </c>
      <c r="F4853" s="9" t="s">
        <v>39</v>
      </c>
      <c r="G4853" s="10" t="n">
        <v>46034</v>
      </c>
      <c r="H4853" s="10" t="n">
        <v>46054</v>
      </c>
      <c r="I4853" s="9" t="s">
        <v>75</v>
      </c>
      <c r="J4853" s="9" t="s">
        <v>41</v>
      </c>
      <c r="K4853" s="9" t="n">
        <v>20</v>
      </c>
      <c r="L4853" s="9" t="n">
        <v>3</v>
      </c>
      <c r="M4853" s="9" t="n">
        <v>1</v>
      </c>
      <c r="N4853" s="9" t="s">
        <v>42</v>
      </c>
      <c r="O4853" s="9" t="s">
        <v>52</v>
      </c>
      <c r="P4853" s="9" t="n">
        <v>2</v>
      </c>
      <c r="Q4853" s="9" t="n">
        <v>33</v>
      </c>
      <c r="R4853" s="9" t="s">
        <v>44</v>
      </c>
      <c r="S4853" s="9"/>
      <c r="T4853" s="9"/>
      <c r="U4853" s="9" t="str">
        <f aca="false">IF(COUNTIF($A$2:$A$5001,A4853)&gt;1,"Duplicate","Unique")</f>
        <v>Unique</v>
      </c>
      <c r="V4853" s="9" t="str">
        <f aca="false">IF(COUNTIFS($B$2:$B$5001,B4853,$H$2:$H$5001,H4853,$J$2:$J$5001,J4853)&gt;1,"Possible Duplicate Booking","Unique")</f>
        <v>Unique</v>
      </c>
      <c r="W4853" s="9" t="str">
        <f aca="false">IF((H4853-G4853)&lt;&gt;K4853,"Mismatch","OK")</f>
        <v>OK</v>
      </c>
      <c r="X4853" s="9" t="str">
        <f aca="false">IF(TEXT(H4853,"dddd")&lt;&gt;I4853,"Mismatch","OK")</f>
        <v>OK</v>
      </c>
      <c r="Y4853" s="9" t="str">
        <f aca="false">IF(AND(N4853="No",O4853&lt;&gt;""),"Unexpected: channel present but no reminder sent",IF(AND(N4853="Yes",O4853=""),"Missing channel for sent reminder","OK"))</f>
        <v>OK</v>
      </c>
    </row>
    <row r="4854" customFormat="false" ht="15" hidden="false" customHeight="false" outlineLevel="0" collapsed="false">
      <c r="A4854" s="7" t="s">
        <v>6606</v>
      </c>
      <c r="B4854" s="7" t="s">
        <v>3610</v>
      </c>
      <c r="C4854" s="7" t="s">
        <v>37</v>
      </c>
      <c r="D4854" s="7" t="n">
        <v>61</v>
      </c>
      <c r="E4854" s="7" t="s">
        <v>61</v>
      </c>
      <c r="F4854" s="7" t="s">
        <v>39</v>
      </c>
      <c r="G4854" s="8" t="n">
        <v>45664</v>
      </c>
      <c r="H4854" s="8" t="n">
        <v>45715</v>
      </c>
      <c r="I4854" s="7" t="s">
        <v>62</v>
      </c>
      <c r="J4854" s="7" t="s">
        <v>41</v>
      </c>
      <c r="K4854" s="7" t="n">
        <v>51</v>
      </c>
      <c r="L4854" s="7" t="n">
        <v>5</v>
      </c>
      <c r="M4854" s="7" t="n">
        <v>1</v>
      </c>
      <c r="N4854" s="7" t="s">
        <v>42</v>
      </c>
      <c r="O4854" s="7" t="s">
        <v>43</v>
      </c>
      <c r="P4854" s="7" t="n">
        <v>14.3</v>
      </c>
      <c r="Q4854" s="7" t="n">
        <v>17</v>
      </c>
      <c r="R4854" s="7" t="s">
        <v>87</v>
      </c>
      <c r="S4854" s="7"/>
      <c r="T4854" s="7"/>
      <c r="U4854" s="7" t="str">
        <f aca="false">IF(COUNTIF($A$2:$A$5001,A4854)&gt;1,"Duplicate","Unique")</f>
        <v>Unique</v>
      </c>
      <c r="V4854" s="7" t="str">
        <f aca="false">IF(COUNTIFS($B$2:$B$5001,B4854,$H$2:$H$5001,H4854,$J$2:$J$5001,J4854)&gt;1,"Possible Duplicate Booking","Unique")</f>
        <v>Unique</v>
      </c>
      <c r="W4854" s="7" t="str">
        <f aca="false">IF((H4854-G4854)&lt;&gt;K4854,"Mismatch","OK")</f>
        <v>OK</v>
      </c>
      <c r="X4854" s="7" t="str">
        <f aca="false">IF(TEXT(H4854,"dddd")&lt;&gt;I4854,"Mismatch","OK")</f>
        <v>OK</v>
      </c>
      <c r="Y4854" s="7" t="str">
        <f aca="false">IF(AND(N4854="No",O4854&lt;&gt;""),"Unexpected: channel present but no reminder sent",IF(AND(N4854="Yes",O4854=""),"Missing channel for sent reminder","OK"))</f>
        <v>OK</v>
      </c>
    </row>
    <row r="4855" customFormat="false" ht="15" hidden="false" customHeight="false" outlineLevel="0" collapsed="false">
      <c r="A4855" s="9" t="s">
        <v>6607</v>
      </c>
      <c r="B4855" s="9" t="s">
        <v>215</v>
      </c>
      <c r="C4855" s="9" t="s">
        <v>47</v>
      </c>
      <c r="D4855" s="9" t="n">
        <v>80</v>
      </c>
      <c r="E4855" s="9" t="s">
        <v>70</v>
      </c>
      <c r="F4855" s="9" t="s">
        <v>39</v>
      </c>
      <c r="G4855" s="10" t="n">
        <v>45682</v>
      </c>
      <c r="H4855" s="10" t="n">
        <v>45695</v>
      </c>
      <c r="I4855" s="9" t="s">
        <v>50</v>
      </c>
      <c r="J4855" s="9" t="s">
        <v>51</v>
      </c>
      <c r="K4855" s="9" t="n">
        <v>13</v>
      </c>
      <c r="L4855" s="9" t="n">
        <v>2</v>
      </c>
      <c r="M4855" s="9" t="n">
        <v>0</v>
      </c>
      <c r="N4855" s="9" t="s">
        <v>42</v>
      </c>
      <c r="O4855" s="9" t="s">
        <v>52</v>
      </c>
      <c r="P4855" s="9" t="n">
        <v>3.1</v>
      </c>
      <c r="Q4855" s="9" t="n">
        <v>38</v>
      </c>
      <c r="R4855" s="9" t="s">
        <v>53</v>
      </c>
      <c r="S4855" s="9"/>
      <c r="T4855" s="9"/>
      <c r="U4855" s="9" t="str">
        <f aca="false">IF(COUNTIF($A$2:$A$5001,A4855)&gt;1,"Duplicate","Unique")</f>
        <v>Unique</v>
      </c>
      <c r="V4855" s="9" t="str">
        <f aca="false">IF(COUNTIFS($B$2:$B$5001,B4855,$H$2:$H$5001,H4855,$J$2:$J$5001,J4855)&gt;1,"Possible Duplicate Booking","Unique")</f>
        <v>Unique</v>
      </c>
      <c r="W4855" s="9" t="str">
        <f aca="false">IF((H4855-G4855)&lt;&gt;K4855,"Mismatch","OK")</f>
        <v>OK</v>
      </c>
      <c r="X4855" s="9" t="str">
        <f aca="false">IF(TEXT(H4855,"dddd")&lt;&gt;I4855,"Mismatch","OK")</f>
        <v>OK</v>
      </c>
      <c r="Y4855" s="9" t="str">
        <f aca="false">IF(AND(N4855="No",O4855&lt;&gt;""),"Unexpected: channel present but no reminder sent",IF(AND(N4855="Yes",O4855=""),"Missing channel for sent reminder","OK"))</f>
        <v>OK</v>
      </c>
    </row>
    <row r="4856" customFormat="false" ht="15" hidden="false" customHeight="false" outlineLevel="0" collapsed="false">
      <c r="A4856" s="7" t="s">
        <v>6608</v>
      </c>
      <c r="B4856" s="7" t="s">
        <v>4616</v>
      </c>
      <c r="C4856" s="7" t="s">
        <v>47</v>
      </c>
      <c r="D4856" s="7" t="n">
        <v>52</v>
      </c>
      <c r="E4856" s="7" t="s">
        <v>56</v>
      </c>
      <c r="F4856" s="7" t="s">
        <v>57</v>
      </c>
      <c r="G4856" s="8" t="n">
        <v>45648</v>
      </c>
      <c r="H4856" s="8" t="n">
        <v>45688</v>
      </c>
      <c r="I4856" s="7" t="s">
        <v>50</v>
      </c>
      <c r="J4856" s="7" t="s">
        <v>41</v>
      </c>
      <c r="K4856" s="7" t="n">
        <v>40</v>
      </c>
      <c r="L4856" s="7" t="n">
        <v>1</v>
      </c>
      <c r="M4856" s="7" t="n">
        <v>0</v>
      </c>
      <c r="N4856" s="7" t="s">
        <v>42</v>
      </c>
      <c r="O4856" s="7" t="s">
        <v>43</v>
      </c>
      <c r="P4856" s="7" t="n">
        <v>19.8</v>
      </c>
      <c r="Q4856" s="7" t="n">
        <v>23</v>
      </c>
      <c r="R4856" s="7" t="s">
        <v>44</v>
      </c>
      <c r="S4856" s="7"/>
      <c r="T4856" s="7"/>
      <c r="U4856" s="7" t="str">
        <f aca="false">IF(COUNTIF($A$2:$A$5001,A4856)&gt;1,"Duplicate","Unique")</f>
        <v>Unique</v>
      </c>
      <c r="V4856" s="7" t="str">
        <f aca="false">IF(COUNTIFS($B$2:$B$5001,B4856,$H$2:$H$5001,H4856,$J$2:$J$5001,J4856)&gt;1,"Possible Duplicate Booking","Unique")</f>
        <v>Unique</v>
      </c>
      <c r="W4856" s="7" t="str">
        <f aca="false">IF((H4856-G4856)&lt;&gt;K4856,"Mismatch","OK")</f>
        <v>OK</v>
      </c>
      <c r="X4856" s="7" t="str">
        <f aca="false">IF(TEXT(H4856,"dddd")&lt;&gt;I4856,"Mismatch","OK")</f>
        <v>OK</v>
      </c>
      <c r="Y4856" s="7" t="str">
        <f aca="false">IF(AND(N4856="No",O4856&lt;&gt;""),"Unexpected: channel present but no reminder sent",IF(AND(N4856="Yes",O4856=""),"Missing channel for sent reminder","OK"))</f>
        <v>OK</v>
      </c>
    </row>
    <row r="4857" customFormat="false" ht="15" hidden="false" customHeight="false" outlineLevel="0" collapsed="false">
      <c r="A4857" s="9" t="s">
        <v>6609</v>
      </c>
      <c r="B4857" s="9" t="s">
        <v>1435</v>
      </c>
      <c r="C4857" s="9" t="s">
        <v>37</v>
      </c>
      <c r="D4857" s="9" t="n">
        <v>28</v>
      </c>
      <c r="E4857" s="9" t="s">
        <v>48</v>
      </c>
      <c r="F4857" s="9" t="s">
        <v>39</v>
      </c>
      <c r="G4857" s="10" t="n">
        <v>46006</v>
      </c>
      <c r="H4857" s="10" t="n">
        <v>46035</v>
      </c>
      <c r="I4857" s="9" t="s">
        <v>40</v>
      </c>
      <c r="J4857" s="9" t="s">
        <v>63</v>
      </c>
      <c r="K4857" s="9" t="n">
        <v>29</v>
      </c>
      <c r="L4857" s="9" t="n">
        <v>4</v>
      </c>
      <c r="M4857" s="9" t="n">
        <v>1</v>
      </c>
      <c r="N4857" s="9" t="s">
        <v>71</v>
      </c>
      <c r="O4857" s="9"/>
      <c r="P4857" s="9" t="n">
        <v>4.2</v>
      </c>
      <c r="Q4857" s="9" t="n">
        <v>41</v>
      </c>
      <c r="R4857" s="9" t="s">
        <v>53</v>
      </c>
      <c r="S4857" s="9"/>
      <c r="T4857" s="9"/>
      <c r="U4857" s="9" t="str">
        <f aca="false">IF(COUNTIF($A$2:$A$5001,A4857)&gt;1,"Duplicate","Unique")</f>
        <v>Unique</v>
      </c>
      <c r="V4857" s="9" t="str">
        <f aca="false">IF(COUNTIFS($B$2:$B$5001,B4857,$H$2:$H$5001,H4857,$J$2:$J$5001,J4857)&gt;1,"Possible Duplicate Booking","Unique")</f>
        <v>Unique</v>
      </c>
      <c r="W4857" s="9" t="str">
        <f aca="false">IF((H4857-G4857)&lt;&gt;K4857,"Mismatch","OK")</f>
        <v>OK</v>
      </c>
      <c r="X4857" s="9" t="str">
        <f aca="false">IF(TEXT(H4857,"dddd")&lt;&gt;I4857,"Mismatch","OK")</f>
        <v>OK</v>
      </c>
      <c r="Y4857" s="9" t="str">
        <f aca="false">IF(AND(N4857="No",O4857&lt;&gt;""),"Unexpected: channel present but no reminder sent",IF(AND(N4857="Yes",O4857=""),"Missing channel for sent reminder","OK"))</f>
        <v>OK</v>
      </c>
    </row>
    <row r="4858" customFormat="false" ht="15" hidden="false" customHeight="false" outlineLevel="0" collapsed="false">
      <c r="A4858" s="7" t="s">
        <v>6610</v>
      </c>
      <c r="B4858" s="7" t="s">
        <v>1187</v>
      </c>
      <c r="C4858" s="7" t="s">
        <v>47</v>
      </c>
      <c r="D4858" s="7" t="n">
        <v>37</v>
      </c>
      <c r="E4858" s="7" t="s">
        <v>38</v>
      </c>
      <c r="F4858" s="7" t="s">
        <v>74</v>
      </c>
      <c r="G4858" s="8" t="n">
        <v>46100</v>
      </c>
      <c r="H4858" s="8" t="n">
        <v>46119</v>
      </c>
      <c r="I4858" s="7" t="s">
        <v>40</v>
      </c>
      <c r="J4858" s="7" t="s">
        <v>41</v>
      </c>
      <c r="K4858" s="7" t="n">
        <v>19</v>
      </c>
      <c r="L4858" s="7" t="n">
        <v>4</v>
      </c>
      <c r="M4858" s="7" t="n">
        <v>1</v>
      </c>
      <c r="N4858" s="7" t="s">
        <v>42</v>
      </c>
      <c r="O4858" s="7" t="s">
        <v>43</v>
      </c>
      <c r="P4858" s="7" t="n">
        <v>10.5</v>
      </c>
      <c r="Q4858" s="7" t="n">
        <v>17</v>
      </c>
      <c r="R4858" s="7" t="s">
        <v>44</v>
      </c>
      <c r="S4858" s="7"/>
      <c r="T4858" s="7"/>
      <c r="U4858" s="7" t="str">
        <f aca="false">IF(COUNTIF($A$2:$A$5001,A4858)&gt;1,"Duplicate","Unique")</f>
        <v>Unique</v>
      </c>
      <c r="V4858" s="7" t="str">
        <f aca="false">IF(COUNTIFS($B$2:$B$5001,B4858,$H$2:$H$5001,H4858,$J$2:$J$5001,J4858)&gt;1,"Possible Duplicate Booking","Unique")</f>
        <v>Unique</v>
      </c>
      <c r="W4858" s="7" t="str">
        <f aca="false">IF((H4858-G4858)&lt;&gt;K4858,"Mismatch","OK")</f>
        <v>OK</v>
      </c>
      <c r="X4858" s="7" t="str">
        <f aca="false">IF(TEXT(H4858,"dddd")&lt;&gt;I4858,"Mismatch","OK")</f>
        <v>OK</v>
      </c>
      <c r="Y4858" s="7" t="str">
        <f aca="false">IF(AND(N4858="No",O4858&lt;&gt;""),"Unexpected: channel present but no reminder sent",IF(AND(N4858="Yes",O4858=""),"Missing channel for sent reminder","OK"))</f>
        <v>OK</v>
      </c>
    </row>
    <row r="4859" customFormat="false" ht="15" hidden="false" customHeight="false" outlineLevel="0" collapsed="false">
      <c r="A4859" s="9" t="s">
        <v>6611</v>
      </c>
      <c r="B4859" s="9" t="s">
        <v>6612</v>
      </c>
      <c r="C4859" s="9" t="s">
        <v>37</v>
      </c>
      <c r="D4859" s="9" t="n">
        <v>55</v>
      </c>
      <c r="E4859" s="9" t="s">
        <v>61</v>
      </c>
      <c r="F4859" s="9" t="s">
        <v>57</v>
      </c>
      <c r="G4859" s="10" t="n">
        <v>45959</v>
      </c>
      <c r="H4859" s="10" t="n">
        <v>46002</v>
      </c>
      <c r="I4859" s="9" t="s">
        <v>62</v>
      </c>
      <c r="J4859" s="9" t="s">
        <v>41</v>
      </c>
      <c r="K4859" s="9" t="n">
        <v>43</v>
      </c>
      <c r="L4859" s="9" t="n">
        <v>4</v>
      </c>
      <c r="M4859" s="9" t="n">
        <v>2</v>
      </c>
      <c r="N4859" s="9" t="s">
        <v>71</v>
      </c>
      <c r="O4859" s="9"/>
      <c r="P4859" s="9" t="n">
        <v>2.2</v>
      </c>
      <c r="Q4859" s="9" t="n">
        <v>7</v>
      </c>
      <c r="R4859" s="9" t="s">
        <v>44</v>
      </c>
      <c r="S4859" s="9"/>
      <c r="T4859" s="9"/>
      <c r="U4859" s="9" t="str">
        <f aca="false">IF(COUNTIF($A$2:$A$5001,A4859)&gt;1,"Duplicate","Unique")</f>
        <v>Unique</v>
      </c>
      <c r="V4859" s="9" t="str">
        <f aca="false">IF(COUNTIFS($B$2:$B$5001,B4859,$H$2:$H$5001,H4859,$J$2:$J$5001,J4859)&gt;1,"Possible Duplicate Booking","Unique")</f>
        <v>Unique</v>
      </c>
      <c r="W4859" s="9" t="str">
        <f aca="false">IF((H4859-G4859)&lt;&gt;K4859,"Mismatch","OK")</f>
        <v>OK</v>
      </c>
      <c r="X4859" s="9" t="str">
        <f aca="false">IF(TEXT(H4859,"dddd")&lt;&gt;I4859,"Mismatch","OK")</f>
        <v>OK</v>
      </c>
      <c r="Y4859" s="9" t="str">
        <f aca="false">IF(AND(N4859="No",O4859&lt;&gt;""),"Unexpected: channel present but no reminder sent",IF(AND(N4859="Yes",O4859=""),"Missing channel for sent reminder","OK"))</f>
        <v>OK</v>
      </c>
    </row>
    <row r="4860" customFormat="false" ht="15" hidden="false" customHeight="false" outlineLevel="0" collapsed="false">
      <c r="A4860" s="7" t="s">
        <v>6613</v>
      </c>
      <c r="B4860" s="7" t="s">
        <v>1451</v>
      </c>
      <c r="C4860" s="7" t="s">
        <v>47</v>
      </c>
      <c r="D4860" s="7" t="n">
        <v>80</v>
      </c>
      <c r="E4860" s="7" t="s">
        <v>70</v>
      </c>
      <c r="F4860" s="7" t="s">
        <v>74</v>
      </c>
      <c r="G4860" s="8" t="n">
        <v>45779</v>
      </c>
      <c r="H4860" s="8" t="n">
        <v>45801</v>
      </c>
      <c r="I4860" s="7" t="s">
        <v>102</v>
      </c>
      <c r="J4860" s="7" t="s">
        <v>41</v>
      </c>
      <c r="K4860" s="7" t="n">
        <v>22</v>
      </c>
      <c r="L4860" s="7" t="n">
        <v>0</v>
      </c>
      <c r="M4860" s="7" t="n">
        <v>0</v>
      </c>
      <c r="N4860" s="7" t="s">
        <v>42</v>
      </c>
      <c r="O4860" s="7" t="s">
        <v>43</v>
      </c>
      <c r="P4860" s="7" t="n">
        <v>10.2</v>
      </c>
      <c r="Q4860" s="7" t="n">
        <v>25</v>
      </c>
      <c r="R4860" s="7" t="s">
        <v>53</v>
      </c>
      <c r="S4860" s="7"/>
      <c r="T4860" s="7"/>
      <c r="U4860" s="7" t="str">
        <f aca="false">IF(COUNTIF($A$2:$A$5001,A4860)&gt;1,"Duplicate","Unique")</f>
        <v>Unique</v>
      </c>
      <c r="V4860" s="7" t="str">
        <f aca="false">IF(COUNTIFS($B$2:$B$5001,B4860,$H$2:$H$5001,H4860,$J$2:$J$5001,J4860)&gt;1,"Possible Duplicate Booking","Unique")</f>
        <v>Unique</v>
      </c>
      <c r="W4860" s="7" t="str">
        <f aca="false">IF((H4860-G4860)&lt;&gt;K4860,"Mismatch","OK")</f>
        <v>OK</v>
      </c>
      <c r="X4860" s="7" t="str">
        <f aca="false">IF(TEXT(H4860,"dddd")&lt;&gt;I4860,"Mismatch","OK")</f>
        <v>OK</v>
      </c>
      <c r="Y4860" s="7" t="str">
        <f aca="false">IF(AND(N4860="No",O4860&lt;&gt;""),"Unexpected: channel present but no reminder sent",IF(AND(N4860="Yes",O4860=""),"Missing channel for sent reminder","OK"))</f>
        <v>OK</v>
      </c>
    </row>
    <row r="4861" customFormat="false" ht="15" hidden="false" customHeight="false" outlineLevel="0" collapsed="false">
      <c r="A4861" s="9" t="s">
        <v>6614</v>
      </c>
      <c r="B4861" s="9" t="s">
        <v>1220</v>
      </c>
      <c r="C4861" s="9" t="s">
        <v>47</v>
      </c>
      <c r="D4861" s="9" t="n">
        <v>76</v>
      </c>
      <c r="E4861" s="9" t="s">
        <v>70</v>
      </c>
      <c r="F4861" s="9" t="s">
        <v>74</v>
      </c>
      <c r="G4861" s="10" t="n">
        <v>46054</v>
      </c>
      <c r="H4861" s="10" t="n">
        <v>46071</v>
      </c>
      <c r="I4861" s="9" t="s">
        <v>58</v>
      </c>
      <c r="J4861" s="9" t="s">
        <v>63</v>
      </c>
      <c r="K4861" s="9" t="n">
        <v>17</v>
      </c>
      <c r="L4861" s="9" t="n">
        <v>5</v>
      </c>
      <c r="M4861" s="9" t="n">
        <v>0</v>
      </c>
      <c r="N4861" s="9" t="s">
        <v>42</v>
      </c>
      <c r="O4861" s="9" t="s">
        <v>43</v>
      </c>
      <c r="P4861" s="9" t="n">
        <v>8.9</v>
      </c>
      <c r="Q4861" s="9" t="n">
        <v>40</v>
      </c>
      <c r="R4861" s="9" t="s">
        <v>53</v>
      </c>
      <c r="S4861" s="9"/>
      <c r="T4861" s="9"/>
      <c r="U4861" s="9" t="str">
        <f aca="false">IF(COUNTIF($A$2:$A$5001,A4861)&gt;1,"Duplicate","Unique")</f>
        <v>Unique</v>
      </c>
      <c r="V4861" s="9" t="str">
        <f aca="false">IF(COUNTIFS($B$2:$B$5001,B4861,$H$2:$H$5001,H4861,$J$2:$J$5001,J4861)&gt;1,"Possible Duplicate Booking","Unique")</f>
        <v>Unique</v>
      </c>
      <c r="W4861" s="9" t="str">
        <f aca="false">IF((H4861-G4861)&lt;&gt;K4861,"Mismatch","OK")</f>
        <v>OK</v>
      </c>
      <c r="X4861" s="9" t="str">
        <f aca="false">IF(TEXT(H4861,"dddd")&lt;&gt;I4861,"Mismatch","OK")</f>
        <v>OK</v>
      </c>
      <c r="Y4861" s="9" t="str">
        <f aca="false">IF(AND(N4861="No",O4861&lt;&gt;""),"Unexpected: channel present but no reminder sent",IF(AND(N4861="Yes",O4861=""),"Missing channel for sent reminder","OK"))</f>
        <v>OK</v>
      </c>
    </row>
    <row r="4862" customFormat="false" ht="15" hidden="false" customHeight="false" outlineLevel="0" collapsed="false">
      <c r="A4862" s="7" t="s">
        <v>6615</v>
      </c>
      <c r="B4862" s="7" t="s">
        <v>857</v>
      </c>
      <c r="C4862" s="7" t="s">
        <v>47</v>
      </c>
      <c r="D4862" s="7" t="n">
        <v>76</v>
      </c>
      <c r="E4862" s="7" t="s">
        <v>70</v>
      </c>
      <c r="F4862" s="7" t="s">
        <v>57</v>
      </c>
      <c r="G4862" s="8" t="n">
        <v>45658</v>
      </c>
      <c r="H4862" s="8" t="n">
        <v>45690</v>
      </c>
      <c r="I4862" s="7" t="s">
        <v>75</v>
      </c>
      <c r="J4862" s="7" t="s">
        <v>63</v>
      </c>
      <c r="K4862" s="7" t="n">
        <v>32</v>
      </c>
      <c r="L4862" s="7" t="n">
        <v>3</v>
      </c>
      <c r="M4862" s="7" t="n">
        <v>0</v>
      </c>
      <c r="N4862" s="7" t="s">
        <v>42</v>
      </c>
      <c r="O4862" s="7" t="s">
        <v>52</v>
      </c>
      <c r="P4862" s="7" t="n">
        <v>7.4</v>
      </c>
      <c r="Q4862" s="7" t="n">
        <v>17</v>
      </c>
      <c r="R4862" s="7" t="s">
        <v>44</v>
      </c>
      <c r="S4862" s="7"/>
      <c r="T4862" s="7"/>
      <c r="U4862" s="7" t="str">
        <f aca="false">IF(COUNTIF($A$2:$A$5001,A4862)&gt;1,"Duplicate","Unique")</f>
        <v>Unique</v>
      </c>
      <c r="V4862" s="7" t="str">
        <f aca="false">IF(COUNTIFS($B$2:$B$5001,B4862,$H$2:$H$5001,H4862,$J$2:$J$5001,J4862)&gt;1,"Possible Duplicate Booking","Unique")</f>
        <v>Unique</v>
      </c>
      <c r="W4862" s="7" t="str">
        <f aca="false">IF((H4862-G4862)&lt;&gt;K4862,"Mismatch","OK")</f>
        <v>OK</v>
      </c>
      <c r="X4862" s="7" t="str">
        <f aca="false">IF(TEXT(H4862,"dddd")&lt;&gt;I4862,"Mismatch","OK")</f>
        <v>OK</v>
      </c>
      <c r="Y4862" s="7" t="str">
        <f aca="false">IF(AND(N4862="No",O4862&lt;&gt;""),"Unexpected: channel present but no reminder sent",IF(AND(N4862="Yes",O4862=""),"Missing channel for sent reminder","OK"))</f>
        <v>OK</v>
      </c>
    </row>
    <row r="4863" customFormat="false" ht="15" hidden="false" customHeight="false" outlineLevel="0" collapsed="false">
      <c r="A4863" s="9" t="s">
        <v>6616</v>
      </c>
      <c r="B4863" s="9" t="s">
        <v>911</v>
      </c>
      <c r="C4863" s="9" t="s">
        <v>47</v>
      </c>
      <c r="D4863" s="9" t="n">
        <v>70</v>
      </c>
      <c r="E4863" s="9" t="s">
        <v>70</v>
      </c>
      <c r="F4863" s="9" t="s">
        <v>39</v>
      </c>
      <c r="G4863" s="10" t="n">
        <v>46064</v>
      </c>
      <c r="H4863" s="10" t="n">
        <v>46110</v>
      </c>
      <c r="I4863" s="9" t="s">
        <v>75</v>
      </c>
      <c r="J4863" s="9" t="s">
        <v>51</v>
      </c>
      <c r="K4863" s="9" t="n">
        <v>46</v>
      </c>
      <c r="L4863" s="9" t="n">
        <v>4</v>
      </c>
      <c r="M4863" s="9" t="n">
        <v>1</v>
      </c>
      <c r="N4863" s="9" t="s">
        <v>42</v>
      </c>
      <c r="O4863" s="9" t="s">
        <v>52</v>
      </c>
      <c r="P4863" s="9" t="n">
        <v>6</v>
      </c>
      <c r="Q4863" s="9" t="n">
        <v>30</v>
      </c>
      <c r="R4863" s="9" t="s">
        <v>53</v>
      </c>
      <c r="S4863" s="9"/>
      <c r="T4863" s="9"/>
      <c r="U4863" s="9" t="str">
        <f aca="false">IF(COUNTIF($A$2:$A$5001,A4863)&gt;1,"Duplicate","Unique")</f>
        <v>Unique</v>
      </c>
      <c r="V4863" s="9" t="str">
        <f aca="false">IF(COUNTIFS($B$2:$B$5001,B4863,$H$2:$H$5001,H4863,$J$2:$J$5001,J4863)&gt;1,"Possible Duplicate Booking","Unique")</f>
        <v>Unique</v>
      </c>
      <c r="W4863" s="9" t="str">
        <f aca="false">IF((H4863-G4863)&lt;&gt;K4863,"Mismatch","OK")</f>
        <v>OK</v>
      </c>
      <c r="X4863" s="9" t="str">
        <f aca="false">IF(TEXT(H4863,"dddd")&lt;&gt;I4863,"Mismatch","OK")</f>
        <v>OK</v>
      </c>
      <c r="Y4863" s="9" t="str">
        <f aca="false">IF(AND(N4863="No",O4863&lt;&gt;""),"Unexpected: channel present but no reminder sent",IF(AND(N4863="Yes",O4863=""),"Missing channel for sent reminder","OK"))</f>
        <v>OK</v>
      </c>
    </row>
    <row r="4864" customFormat="false" ht="15" hidden="false" customHeight="false" outlineLevel="0" collapsed="false">
      <c r="A4864" s="7" t="s">
        <v>6617</v>
      </c>
      <c r="B4864" s="7" t="s">
        <v>722</v>
      </c>
      <c r="C4864" s="7" t="s">
        <v>37</v>
      </c>
      <c r="D4864" s="7" t="n">
        <v>54</v>
      </c>
      <c r="E4864" s="7" t="s">
        <v>56</v>
      </c>
      <c r="F4864" s="7" t="s">
        <v>57</v>
      </c>
      <c r="G4864" s="8" t="n">
        <v>46092</v>
      </c>
      <c r="H4864" s="8" t="n">
        <v>46144</v>
      </c>
      <c r="I4864" s="7" t="s">
        <v>102</v>
      </c>
      <c r="J4864" s="7" t="s">
        <v>51</v>
      </c>
      <c r="K4864" s="7" t="n">
        <v>52</v>
      </c>
      <c r="L4864" s="7" t="n">
        <v>4</v>
      </c>
      <c r="M4864" s="7" t="n">
        <v>0</v>
      </c>
      <c r="N4864" s="7" t="s">
        <v>42</v>
      </c>
      <c r="O4864" s="7" t="s">
        <v>43</v>
      </c>
      <c r="P4864" s="7" t="n">
        <v>7.6</v>
      </c>
      <c r="Q4864" s="7" t="n">
        <v>17</v>
      </c>
      <c r="R4864" s="7" t="s">
        <v>87</v>
      </c>
      <c r="S4864" s="7"/>
      <c r="T4864" s="7"/>
      <c r="U4864" s="7" t="str">
        <f aca="false">IF(COUNTIF($A$2:$A$5001,A4864)&gt;1,"Duplicate","Unique")</f>
        <v>Unique</v>
      </c>
      <c r="V4864" s="7" t="str">
        <f aca="false">IF(COUNTIFS($B$2:$B$5001,B4864,$H$2:$H$5001,H4864,$J$2:$J$5001,J4864)&gt;1,"Possible Duplicate Booking","Unique")</f>
        <v>Unique</v>
      </c>
      <c r="W4864" s="7" t="str">
        <f aca="false">IF((H4864-G4864)&lt;&gt;K4864,"Mismatch","OK")</f>
        <v>OK</v>
      </c>
      <c r="X4864" s="7" t="str">
        <f aca="false">IF(TEXT(H4864,"dddd")&lt;&gt;I4864,"Mismatch","OK")</f>
        <v>OK</v>
      </c>
      <c r="Y4864" s="7" t="str">
        <f aca="false">IF(AND(N4864="No",O4864&lt;&gt;""),"Unexpected: channel present but no reminder sent",IF(AND(N4864="Yes",O4864=""),"Missing channel for sent reminder","OK"))</f>
        <v>OK</v>
      </c>
    </row>
    <row r="4865" customFormat="false" ht="15" hidden="false" customHeight="false" outlineLevel="0" collapsed="false">
      <c r="A4865" s="9" t="s">
        <v>6618</v>
      </c>
      <c r="B4865" s="9" t="s">
        <v>1353</v>
      </c>
      <c r="C4865" s="9" t="s">
        <v>47</v>
      </c>
      <c r="D4865" s="9" t="n">
        <v>58</v>
      </c>
      <c r="E4865" s="9" t="s">
        <v>61</v>
      </c>
      <c r="F4865" s="9" t="s">
        <v>39</v>
      </c>
      <c r="G4865" s="10" t="n">
        <v>46012</v>
      </c>
      <c r="H4865" s="10" t="n">
        <v>46050</v>
      </c>
      <c r="I4865" s="9" t="s">
        <v>58</v>
      </c>
      <c r="J4865" s="9" t="s">
        <v>51</v>
      </c>
      <c r="K4865" s="9" t="n">
        <v>38</v>
      </c>
      <c r="L4865" s="9" t="n">
        <v>7</v>
      </c>
      <c r="M4865" s="9" t="n">
        <v>1</v>
      </c>
      <c r="N4865" s="9" t="s">
        <v>42</v>
      </c>
      <c r="O4865" s="9" t="s">
        <v>43</v>
      </c>
      <c r="P4865" s="9" t="n">
        <v>6.2</v>
      </c>
      <c r="Q4865" s="9" t="n">
        <v>34</v>
      </c>
      <c r="R4865" s="9" t="s">
        <v>44</v>
      </c>
      <c r="S4865" s="9"/>
      <c r="T4865" s="9"/>
      <c r="U4865" s="9" t="str">
        <f aca="false">IF(COUNTIF($A$2:$A$5001,A4865)&gt;1,"Duplicate","Unique")</f>
        <v>Unique</v>
      </c>
      <c r="V4865" s="9" t="str">
        <f aca="false">IF(COUNTIFS($B$2:$B$5001,B4865,$H$2:$H$5001,H4865,$J$2:$J$5001,J4865)&gt;1,"Possible Duplicate Booking","Unique")</f>
        <v>Unique</v>
      </c>
      <c r="W4865" s="9" t="str">
        <f aca="false">IF((H4865-G4865)&lt;&gt;K4865,"Mismatch","OK")</f>
        <v>OK</v>
      </c>
      <c r="X4865" s="9" t="str">
        <f aca="false">IF(TEXT(H4865,"dddd")&lt;&gt;I4865,"Mismatch","OK")</f>
        <v>OK</v>
      </c>
      <c r="Y4865" s="9" t="str">
        <f aca="false">IF(AND(N4865="No",O4865&lt;&gt;""),"Unexpected: channel present but no reminder sent",IF(AND(N4865="Yes",O4865=""),"Missing channel for sent reminder","OK"))</f>
        <v>OK</v>
      </c>
    </row>
    <row r="4866" customFormat="false" ht="15" hidden="false" customHeight="false" outlineLevel="0" collapsed="false">
      <c r="A4866" s="7" t="s">
        <v>6619</v>
      </c>
      <c r="B4866" s="7" t="s">
        <v>77</v>
      </c>
      <c r="C4866" s="7" t="s">
        <v>47</v>
      </c>
      <c r="D4866" s="7" t="n">
        <v>64</v>
      </c>
      <c r="E4866" s="7" t="s">
        <v>61</v>
      </c>
      <c r="F4866" s="7" t="s">
        <v>74</v>
      </c>
      <c r="G4866" s="8" t="n">
        <v>46098</v>
      </c>
      <c r="H4866" s="8" t="n">
        <v>46138</v>
      </c>
      <c r="I4866" s="7" t="s">
        <v>75</v>
      </c>
      <c r="J4866" s="7" t="s">
        <v>41</v>
      </c>
      <c r="K4866" s="7" t="n">
        <v>40</v>
      </c>
      <c r="L4866" s="7" t="n">
        <v>2</v>
      </c>
      <c r="M4866" s="7" t="n">
        <v>2</v>
      </c>
      <c r="N4866" s="7" t="s">
        <v>42</v>
      </c>
      <c r="O4866" s="7" t="s">
        <v>52</v>
      </c>
      <c r="P4866" s="7" t="n">
        <v>13.6</v>
      </c>
      <c r="Q4866" s="7" t="n">
        <v>20</v>
      </c>
      <c r="R4866" s="7" t="s">
        <v>44</v>
      </c>
      <c r="S4866" s="7"/>
      <c r="T4866" s="7"/>
      <c r="U4866" s="7" t="str">
        <f aca="false">IF(COUNTIF($A$2:$A$5001,A4866)&gt;1,"Duplicate","Unique")</f>
        <v>Unique</v>
      </c>
      <c r="V4866" s="7" t="str">
        <f aca="false">IF(COUNTIFS($B$2:$B$5001,B4866,$H$2:$H$5001,H4866,$J$2:$J$5001,J4866)&gt;1,"Possible Duplicate Booking","Unique")</f>
        <v>Unique</v>
      </c>
      <c r="W4866" s="7" t="str">
        <f aca="false">IF((H4866-G4866)&lt;&gt;K4866,"Mismatch","OK")</f>
        <v>OK</v>
      </c>
      <c r="X4866" s="7" t="str">
        <f aca="false">IF(TEXT(H4866,"dddd")&lt;&gt;I4866,"Mismatch","OK")</f>
        <v>OK</v>
      </c>
      <c r="Y4866" s="7" t="str">
        <f aca="false">IF(AND(N4866="No",O4866&lt;&gt;""),"Unexpected: channel present but no reminder sent",IF(AND(N4866="Yes",O4866=""),"Missing channel for sent reminder","OK"))</f>
        <v>OK</v>
      </c>
    </row>
    <row r="4867" customFormat="false" ht="15" hidden="false" customHeight="false" outlineLevel="0" collapsed="false">
      <c r="A4867" s="9" t="s">
        <v>6620</v>
      </c>
      <c r="B4867" s="9" t="s">
        <v>2603</v>
      </c>
      <c r="C4867" s="9" t="s">
        <v>37</v>
      </c>
      <c r="D4867" s="9" t="n">
        <v>63</v>
      </c>
      <c r="E4867" s="9" t="s">
        <v>61</v>
      </c>
      <c r="F4867" s="9" t="s">
        <v>74</v>
      </c>
      <c r="G4867" s="10" t="n">
        <v>45930</v>
      </c>
      <c r="H4867" s="10" t="n">
        <v>45978</v>
      </c>
      <c r="I4867" s="9" t="s">
        <v>66</v>
      </c>
      <c r="J4867" s="9" t="s">
        <v>51</v>
      </c>
      <c r="K4867" s="9" t="n">
        <v>48</v>
      </c>
      <c r="L4867" s="9" t="n">
        <v>3</v>
      </c>
      <c r="M4867" s="9" t="n">
        <v>0</v>
      </c>
      <c r="N4867" s="9" t="s">
        <v>42</v>
      </c>
      <c r="O4867" s="9" t="s">
        <v>52</v>
      </c>
      <c r="P4867" s="9" t="n">
        <v>10.6</v>
      </c>
      <c r="Q4867" s="9" t="n">
        <v>27</v>
      </c>
      <c r="R4867" s="9" t="s">
        <v>44</v>
      </c>
      <c r="S4867" s="9"/>
      <c r="T4867" s="9"/>
      <c r="U4867" s="9" t="str">
        <f aca="false">IF(COUNTIF($A$2:$A$5001,A4867)&gt;1,"Duplicate","Unique")</f>
        <v>Unique</v>
      </c>
      <c r="V4867" s="9" t="str">
        <f aca="false">IF(COUNTIFS($B$2:$B$5001,B4867,$H$2:$H$5001,H4867,$J$2:$J$5001,J4867)&gt;1,"Possible Duplicate Booking","Unique")</f>
        <v>Unique</v>
      </c>
      <c r="W4867" s="9" t="str">
        <f aca="false">IF((H4867-G4867)&lt;&gt;K4867,"Mismatch","OK")</f>
        <v>OK</v>
      </c>
      <c r="X4867" s="9" t="str">
        <f aca="false">IF(TEXT(H4867,"dddd")&lt;&gt;I4867,"Mismatch","OK")</f>
        <v>OK</v>
      </c>
      <c r="Y4867" s="9" t="str">
        <f aca="false">IF(AND(N4867="No",O4867&lt;&gt;""),"Unexpected: channel present but no reminder sent",IF(AND(N4867="Yes",O4867=""),"Missing channel for sent reminder","OK"))</f>
        <v>OK</v>
      </c>
    </row>
    <row r="4868" customFormat="false" ht="15" hidden="false" customHeight="false" outlineLevel="0" collapsed="false">
      <c r="A4868" s="7" t="s">
        <v>6621</v>
      </c>
      <c r="B4868" s="7" t="s">
        <v>2884</v>
      </c>
      <c r="C4868" s="7" t="s">
        <v>37</v>
      </c>
      <c r="D4868" s="7" t="n">
        <v>58</v>
      </c>
      <c r="E4868" s="7" t="s">
        <v>61</v>
      </c>
      <c r="F4868" s="7" t="s">
        <v>74</v>
      </c>
      <c r="G4868" s="8" t="n">
        <v>45897</v>
      </c>
      <c r="H4868" s="8" t="n">
        <v>45913</v>
      </c>
      <c r="I4868" s="7" t="s">
        <v>102</v>
      </c>
      <c r="J4868" s="7" t="s">
        <v>63</v>
      </c>
      <c r="K4868" s="7" t="n">
        <v>16</v>
      </c>
      <c r="L4868" s="7" t="n">
        <v>1</v>
      </c>
      <c r="M4868" s="7" t="n">
        <v>0</v>
      </c>
      <c r="N4868" s="7" t="s">
        <v>42</v>
      </c>
      <c r="O4868" s="7" t="s">
        <v>52</v>
      </c>
      <c r="P4868" s="7" t="n">
        <v>9.9</v>
      </c>
      <c r="Q4868" s="7" t="n">
        <v>20</v>
      </c>
      <c r="R4868" s="7" t="s">
        <v>53</v>
      </c>
      <c r="S4868" s="7"/>
      <c r="T4868" s="7"/>
      <c r="U4868" s="7" t="str">
        <f aca="false">IF(COUNTIF($A$2:$A$5001,A4868)&gt;1,"Duplicate","Unique")</f>
        <v>Unique</v>
      </c>
      <c r="V4868" s="7" t="str">
        <f aca="false">IF(COUNTIFS($B$2:$B$5001,B4868,$H$2:$H$5001,H4868,$J$2:$J$5001,J4868)&gt;1,"Possible Duplicate Booking","Unique")</f>
        <v>Unique</v>
      </c>
      <c r="W4868" s="7" t="str">
        <f aca="false">IF((H4868-G4868)&lt;&gt;K4868,"Mismatch","OK")</f>
        <v>OK</v>
      </c>
      <c r="X4868" s="7" t="str">
        <f aca="false">IF(TEXT(H4868,"dddd")&lt;&gt;I4868,"Mismatch","OK")</f>
        <v>OK</v>
      </c>
      <c r="Y4868" s="7" t="str">
        <f aca="false">IF(AND(N4868="No",O4868&lt;&gt;""),"Unexpected: channel present but no reminder sent",IF(AND(N4868="Yes",O4868=""),"Missing channel for sent reminder","OK"))</f>
        <v>OK</v>
      </c>
    </row>
    <row r="4869" customFormat="false" ht="15" hidden="false" customHeight="false" outlineLevel="0" collapsed="false">
      <c r="A4869" s="9" t="s">
        <v>6622</v>
      </c>
      <c r="B4869" s="9" t="s">
        <v>1531</v>
      </c>
      <c r="C4869" s="9" t="s">
        <v>37</v>
      </c>
      <c r="D4869" s="9" t="n">
        <v>26</v>
      </c>
      <c r="E4869" s="9" t="s">
        <v>48</v>
      </c>
      <c r="F4869" s="9" t="s">
        <v>57</v>
      </c>
      <c r="G4869" s="10" t="n">
        <v>45819</v>
      </c>
      <c r="H4869" s="10" t="n">
        <v>45834</v>
      </c>
      <c r="I4869" s="9" t="s">
        <v>62</v>
      </c>
      <c r="J4869" s="9" t="s">
        <v>51</v>
      </c>
      <c r="K4869" s="9" t="n">
        <v>15</v>
      </c>
      <c r="L4869" s="9" t="n">
        <v>2</v>
      </c>
      <c r="M4869" s="9" t="n">
        <v>0</v>
      </c>
      <c r="N4869" s="9" t="s">
        <v>71</v>
      </c>
      <c r="O4869" s="9"/>
      <c r="P4869" s="9" t="n">
        <v>10.3</v>
      </c>
      <c r="Q4869" s="9" t="n">
        <v>16</v>
      </c>
      <c r="R4869" s="9" t="s">
        <v>44</v>
      </c>
      <c r="S4869" s="9"/>
      <c r="T4869" s="9"/>
      <c r="U4869" s="9" t="str">
        <f aca="false">IF(COUNTIF($A$2:$A$5001,A4869)&gt;1,"Duplicate","Unique")</f>
        <v>Unique</v>
      </c>
      <c r="V4869" s="9" t="str">
        <f aca="false">IF(COUNTIFS($B$2:$B$5001,B4869,$H$2:$H$5001,H4869,$J$2:$J$5001,J4869)&gt;1,"Possible Duplicate Booking","Unique")</f>
        <v>Unique</v>
      </c>
      <c r="W4869" s="9" t="str">
        <f aca="false">IF((H4869-G4869)&lt;&gt;K4869,"Mismatch","OK")</f>
        <v>OK</v>
      </c>
      <c r="X4869" s="9" t="str">
        <f aca="false">IF(TEXT(H4869,"dddd")&lt;&gt;I4869,"Mismatch","OK")</f>
        <v>OK</v>
      </c>
      <c r="Y4869" s="9" t="str">
        <f aca="false">IF(AND(N4869="No",O4869&lt;&gt;""),"Unexpected: channel present but no reminder sent",IF(AND(N4869="Yes",O4869=""),"Missing channel for sent reminder","OK"))</f>
        <v>OK</v>
      </c>
    </row>
    <row r="4870" customFormat="false" ht="15" hidden="false" customHeight="false" outlineLevel="0" collapsed="false">
      <c r="A4870" s="7" t="s">
        <v>6623</v>
      </c>
      <c r="B4870" s="7" t="s">
        <v>636</v>
      </c>
      <c r="C4870" s="7" t="s">
        <v>47</v>
      </c>
      <c r="D4870" s="7" t="n">
        <v>73</v>
      </c>
      <c r="E4870" s="7" t="s">
        <v>70</v>
      </c>
      <c r="F4870" s="7" t="s">
        <v>39</v>
      </c>
      <c r="G4870" s="8" t="n">
        <v>46132</v>
      </c>
      <c r="H4870" s="8" t="n">
        <v>46161</v>
      </c>
      <c r="I4870" s="7" t="s">
        <v>40</v>
      </c>
      <c r="J4870" s="7" t="s">
        <v>41</v>
      </c>
      <c r="K4870" s="7" t="n">
        <v>29</v>
      </c>
      <c r="L4870" s="7" t="n">
        <v>3</v>
      </c>
      <c r="M4870" s="7" t="n">
        <v>0</v>
      </c>
      <c r="N4870" s="7" t="s">
        <v>42</v>
      </c>
      <c r="O4870" s="7" t="s">
        <v>52</v>
      </c>
      <c r="P4870" s="7" t="n">
        <v>6.7</v>
      </c>
      <c r="Q4870" s="7" t="n">
        <v>3</v>
      </c>
      <c r="R4870" s="7" t="s">
        <v>53</v>
      </c>
      <c r="S4870" s="7"/>
      <c r="T4870" s="7"/>
      <c r="U4870" s="7" t="str">
        <f aca="false">IF(COUNTIF($A$2:$A$5001,A4870)&gt;1,"Duplicate","Unique")</f>
        <v>Unique</v>
      </c>
      <c r="V4870" s="7" t="str">
        <f aca="false">IF(COUNTIFS($B$2:$B$5001,B4870,$H$2:$H$5001,H4870,$J$2:$J$5001,J4870)&gt;1,"Possible Duplicate Booking","Unique")</f>
        <v>Unique</v>
      </c>
      <c r="W4870" s="7" t="str">
        <f aca="false">IF((H4870-G4870)&lt;&gt;K4870,"Mismatch","OK")</f>
        <v>OK</v>
      </c>
      <c r="X4870" s="7" t="str">
        <f aca="false">IF(TEXT(H4870,"dddd")&lt;&gt;I4870,"Mismatch","OK")</f>
        <v>OK</v>
      </c>
      <c r="Y4870" s="7" t="str">
        <f aca="false">IF(AND(N4870="No",O4870&lt;&gt;""),"Unexpected: channel present but no reminder sent",IF(AND(N4870="Yes",O4870=""),"Missing channel for sent reminder","OK"))</f>
        <v>OK</v>
      </c>
    </row>
    <row r="4871" customFormat="false" ht="15" hidden="false" customHeight="false" outlineLevel="0" collapsed="false">
      <c r="A4871" s="9" t="s">
        <v>6624</v>
      </c>
      <c r="B4871" s="9" t="s">
        <v>821</v>
      </c>
      <c r="C4871" s="9" t="s">
        <v>47</v>
      </c>
      <c r="D4871" s="9" t="n">
        <v>18</v>
      </c>
      <c r="E4871" s="9" t="s">
        <v>82</v>
      </c>
      <c r="F4871" s="9" t="s">
        <v>57</v>
      </c>
      <c r="G4871" s="10" t="n">
        <v>46000</v>
      </c>
      <c r="H4871" s="10" t="n">
        <v>46038</v>
      </c>
      <c r="I4871" s="9" t="s">
        <v>50</v>
      </c>
      <c r="J4871" s="9" t="s">
        <v>51</v>
      </c>
      <c r="K4871" s="9" t="n">
        <v>38</v>
      </c>
      <c r="L4871" s="9" t="n">
        <v>3</v>
      </c>
      <c r="M4871" s="9" t="n">
        <v>0</v>
      </c>
      <c r="N4871" s="9" t="s">
        <v>42</v>
      </c>
      <c r="O4871" s="9" t="s">
        <v>43</v>
      </c>
      <c r="P4871" s="9" t="n">
        <v>11.7</v>
      </c>
      <c r="Q4871" s="9" t="n">
        <v>10</v>
      </c>
      <c r="R4871" s="9" t="s">
        <v>53</v>
      </c>
      <c r="S4871" s="9"/>
      <c r="T4871" s="9"/>
      <c r="U4871" s="9" t="str">
        <f aca="false">IF(COUNTIF($A$2:$A$5001,A4871)&gt;1,"Duplicate","Unique")</f>
        <v>Unique</v>
      </c>
      <c r="V4871" s="9" t="str">
        <f aca="false">IF(COUNTIFS($B$2:$B$5001,B4871,$H$2:$H$5001,H4871,$J$2:$J$5001,J4871)&gt;1,"Possible Duplicate Booking","Unique")</f>
        <v>Unique</v>
      </c>
      <c r="W4871" s="9" t="str">
        <f aca="false">IF((H4871-G4871)&lt;&gt;K4871,"Mismatch","OK")</f>
        <v>OK</v>
      </c>
      <c r="X4871" s="9" t="str">
        <f aca="false">IF(TEXT(H4871,"dddd")&lt;&gt;I4871,"Mismatch","OK")</f>
        <v>OK</v>
      </c>
      <c r="Y4871" s="9" t="str">
        <f aca="false">IF(AND(N4871="No",O4871&lt;&gt;""),"Unexpected: channel present but no reminder sent",IF(AND(N4871="Yes",O4871=""),"Missing channel for sent reminder","OK"))</f>
        <v>OK</v>
      </c>
    </row>
    <row r="4872" customFormat="false" ht="15" hidden="false" customHeight="false" outlineLevel="0" collapsed="false">
      <c r="A4872" s="7" t="s">
        <v>6625</v>
      </c>
      <c r="B4872" s="7" t="s">
        <v>4805</v>
      </c>
      <c r="C4872" s="7" t="s">
        <v>37</v>
      </c>
      <c r="D4872" s="7" t="n">
        <v>44</v>
      </c>
      <c r="E4872" s="7" t="s">
        <v>38</v>
      </c>
      <c r="F4872" s="7" t="s">
        <v>74</v>
      </c>
      <c r="G4872" s="8" t="n">
        <v>45723</v>
      </c>
      <c r="H4872" s="8" t="n">
        <v>45762</v>
      </c>
      <c r="I4872" s="7" t="s">
        <v>40</v>
      </c>
      <c r="J4872" s="7" t="s">
        <v>41</v>
      </c>
      <c r="K4872" s="7" t="n">
        <v>39</v>
      </c>
      <c r="L4872" s="7" t="n">
        <v>5</v>
      </c>
      <c r="M4872" s="7" t="n">
        <v>0</v>
      </c>
      <c r="N4872" s="7" t="s">
        <v>71</v>
      </c>
      <c r="O4872" s="7"/>
      <c r="P4872" s="7" t="n">
        <v>15.7</v>
      </c>
      <c r="Q4872" s="7" t="n">
        <v>21</v>
      </c>
      <c r="R4872" s="7" t="s">
        <v>44</v>
      </c>
      <c r="S4872" s="7"/>
      <c r="T4872" s="7"/>
      <c r="U4872" s="7" t="str">
        <f aca="false">IF(COUNTIF($A$2:$A$5001,A4872)&gt;1,"Duplicate","Unique")</f>
        <v>Unique</v>
      </c>
      <c r="V4872" s="7" t="str">
        <f aca="false">IF(COUNTIFS($B$2:$B$5001,B4872,$H$2:$H$5001,H4872,$J$2:$J$5001,J4872)&gt;1,"Possible Duplicate Booking","Unique")</f>
        <v>Unique</v>
      </c>
      <c r="W4872" s="7" t="str">
        <f aca="false">IF((H4872-G4872)&lt;&gt;K4872,"Mismatch","OK")</f>
        <v>OK</v>
      </c>
      <c r="X4872" s="7" t="str">
        <f aca="false">IF(TEXT(H4872,"dddd")&lt;&gt;I4872,"Mismatch","OK")</f>
        <v>OK</v>
      </c>
      <c r="Y4872" s="7" t="str">
        <f aca="false">IF(AND(N4872="No",O4872&lt;&gt;""),"Unexpected: channel present but no reminder sent",IF(AND(N4872="Yes",O4872=""),"Missing channel for sent reminder","OK"))</f>
        <v>OK</v>
      </c>
    </row>
    <row r="4873" customFormat="false" ht="15" hidden="false" customHeight="false" outlineLevel="0" collapsed="false">
      <c r="A4873" s="9" t="s">
        <v>6626</v>
      </c>
      <c r="B4873" s="9" t="s">
        <v>168</v>
      </c>
      <c r="C4873" s="9" t="s">
        <v>37</v>
      </c>
      <c r="D4873" s="9" t="n">
        <v>45</v>
      </c>
      <c r="E4873" s="9" t="s">
        <v>56</v>
      </c>
      <c r="F4873" s="9" t="s">
        <v>57</v>
      </c>
      <c r="G4873" s="10" t="n">
        <v>46171</v>
      </c>
      <c r="H4873" s="10" t="n">
        <v>46180</v>
      </c>
      <c r="I4873" s="9" t="s">
        <v>75</v>
      </c>
      <c r="J4873" s="9" t="s">
        <v>51</v>
      </c>
      <c r="K4873" s="9" t="n">
        <v>9</v>
      </c>
      <c r="L4873" s="9" t="n">
        <v>3</v>
      </c>
      <c r="M4873" s="9" t="n">
        <v>0</v>
      </c>
      <c r="N4873" s="9" t="s">
        <v>42</v>
      </c>
      <c r="O4873" s="9" t="s">
        <v>52</v>
      </c>
      <c r="P4873" s="9" t="n">
        <v>12.7</v>
      </c>
      <c r="Q4873" s="9" t="n">
        <v>29</v>
      </c>
      <c r="R4873" s="9" t="s">
        <v>53</v>
      </c>
      <c r="S4873" s="9"/>
      <c r="T4873" s="9"/>
      <c r="U4873" s="9" t="str">
        <f aca="false">IF(COUNTIF($A$2:$A$5001,A4873)&gt;1,"Duplicate","Unique")</f>
        <v>Unique</v>
      </c>
      <c r="V4873" s="9" t="str">
        <f aca="false">IF(COUNTIFS($B$2:$B$5001,B4873,$H$2:$H$5001,H4873,$J$2:$J$5001,J4873)&gt;1,"Possible Duplicate Booking","Unique")</f>
        <v>Unique</v>
      </c>
      <c r="W4873" s="9" t="str">
        <f aca="false">IF((H4873-G4873)&lt;&gt;K4873,"Mismatch","OK")</f>
        <v>OK</v>
      </c>
      <c r="X4873" s="9" t="str">
        <f aca="false">IF(TEXT(H4873,"dddd")&lt;&gt;I4873,"Mismatch","OK")</f>
        <v>OK</v>
      </c>
      <c r="Y4873" s="9" t="str">
        <f aca="false">IF(AND(N4873="No",O4873&lt;&gt;""),"Unexpected: channel present but no reminder sent",IF(AND(N4873="Yes",O4873=""),"Missing channel for sent reminder","OK"))</f>
        <v>OK</v>
      </c>
    </row>
    <row r="4874" customFormat="false" ht="15" hidden="false" customHeight="false" outlineLevel="0" collapsed="false">
      <c r="A4874" s="7" t="s">
        <v>6627</v>
      </c>
      <c r="B4874" s="7" t="s">
        <v>560</v>
      </c>
      <c r="C4874" s="7" t="s">
        <v>37</v>
      </c>
      <c r="D4874" s="7" t="n">
        <v>80</v>
      </c>
      <c r="E4874" s="7" t="s">
        <v>70</v>
      </c>
      <c r="F4874" s="7" t="s">
        <v>57</v>
      </c>
      <c r="G4874" s="8" t="n">
        <v>45643</v>
      </c>
      <c r="H4874" s="8" t="n">
        <v>45690</v>
      </c>
      <c r="I4874" s="7" t="s">
        <v>75</v>
      </c>
      <c r="J4874" s="7" t="s">
        <v>41</v>
      </c>
      <c r="K4874" s="7" t="n">
        <v>47</v>
      </c>
      <c r="L4874" s="7" t="n">
        <v>8</v>
      </c>
      <c r="M4874" s="7" t="n">
        <v>1</v>
      </c>
      <c r="N4874" s="7" t="s">
        <v>42</v>
      </c>
      <c r="O4874" s="7" t="s">
        <v>52</v>
      </c>
      <c r="P4874" s="7" t="n">
        <v>15.4</v>
      </c>
      <c r="Q4874" s="7" t="n">
        <v>44</v>
      </c>
      <c r="R4874" s="7" t="s">
        <v>44</v>
      </c>
      <c r="S4874" s="7"/>
      <c r="T4874" s="7"/>
      <c r="U4874" s="7" t="str">
        <f aca="false">IF(COUNTIF($A$2:$A$5001,A4874)&gt;1,"Duplicate","Unique")</f>
        <v>Unique</v>
      </c>
      <c r="V4874" s="7" t="str">
        <f aca="false">IF(COUNTIFS($B$2:$B$5001,B4874,$H$2:$H$5001,H4874,$J$2:$J$5001,J4874)&gt;1,"Possible Duplicate Booking","Unique")</f>
        <v>Unique</v>
      </c>
      <c r="W4874" s="7" t="str">
        <f aca="false">IF((H4874-G4874)&lt;&gt;K4874,"Mismatch","OK")</f>
        <v>OK</v>
      </c>
      <c r="X4874" s="7" t="str">
        <f aca="false">IF(TEXT(H4874,"dddd")&lt;&gt;I4874,"Mismatch","OK")</f>
        <v>OK</v>
      </c>
      <c r="Y4874" s="7" t="str">
        <f aca="false">IF(AND(N4874="No",O4874&lt;&gt;""),"Unexpected: channel present but no reminder sent",IF(AND(N4874="Yes",O4874=""),"Missing channel for sent reminder","OK"))</f>
        <v>OK</v>
      </c>
    </row>
    <row r="4875" customFormat="false" ht="15" hidden="false" customHeight="false" outlineLevel="0" collapsed="false">
      <c r="A4875" s="9" t="s">
        <v>6628</v>
      </c>
      <c r="B4875" s="9" t="s">
        <v>4773</v>
      </c>
      <c r="C4875" s="9" t="s">
        <v>37</v>
      </c>
      <c r="D4875" s="9" t="n">
        <v>23</v>
      </c>
      <c r="E4875" s="9" t="s">
        <v>82</v>
      </c>
      <c r="F4875" s="9" t="s">
        <v>57</v>
      </c>
      <c r="G4875" s="10" t="n">
        <v>45956</v>
      </c>
      <c r="H4875" s="10" t="n">
        <v>45978</v>
      </c>
      <c r="I4875" s="9" t="s">
        <v>66</v>
      </c>
      <c r="J4875" s="9" t="s">
        <v>41</v>
      </c>
      <c r="K4875" s="9" t="n">
        <v>22</v>
      </c>
      <c r="L4875" s="9" t="n">
        <v>1</v>
      </c>
      <c r="M4875" s="9" t="n">
        <v>0</v>
      </c>
      <c r="N4875" s="9" t="s">
        <v>42</v>
      </c>
      <c r="O4875" s="9" t="s">
        <v>52</v>
      </c>
      <c r="P4875" s="9" t="n">
        <v>13.4</v>
      </c>
      <c r="Q4875" s="9" t="n">
        <v>18</v>
      </c>
      <c r="R4875" s="9" t="s">
        <v>44</v>
      </c>
      <c r="S4875" s="9"/>
      <c r="T4875" s="9"/>
      <c r="U4875" s="9" t="str">
        <f aca="false">IF(COUNTIF($A$2:$A$5001,A4875)&gt;1,"Duplicate","Unique")</f>
        <v>Unique</v>
      </c>
      <c r="V4875" s="9" t="str">
        <f aca="false">IF(COUNTIFS($B$2:$B$5001,B4875,$H$2:$H$5001,H4875,$J$2:$J$5001,J4875)&gt;1,"Possible Duplicate Booking","Unique")</f>
        <v>Unique</v>
      </c>
      <c r="W4875" s="9" t="str">
        <f aca="false">IF((H4875-G4875)&lt;&gt;K4875,"Mismatch","OK")</f>
        <v>OK</v>
      </c>
      <c r="X4875" s="9" t="str">
        <f aca="false">IF(TEXT(H4875,"dddd")&lt;&gt;I4875,"Mismatch","OK")</f>
        <v>OK</v>
      </c>
      <c r="Y4875" s="9" t="str">
        <f aca="false">IF(AND(N4875="No",O4875&lt;&gt;""),"Unexpected: channel present but no reminder sent",IF(AND(N4875="Yes",O4875=""),"Missing channel for sent reminder","OK"))</f>
        <v>OK</v>
      </c>
    </row>
    <row r="4876" customFormat="false" ht="15" hidden="false" customHeight="false" outlineLevel="0" collapsed="false">
      <c r="A4876" s="7" t="s">
        <v>6629</v>
      </c>
      <c r="B4876" s="7" t="s">
        <v>759</v>
      </c>
      <c r="C4876" s="7" t="s">
        <v>37</v>
      </c>
      <c r="D4876" s="7" t="n">
        <v>47</v>
      </c>
      <c r="E4876" s="7" t="s">
        <v>56</v>
      </c>
      <c r="F4876" s="7" t="s">
        <v>57</v>
      </c>
      <c r="G4876" s="8" t="n">
        <v>45709</v>
      </c>
      <c r="H4876" s="8" t="n">
        <v>45762</v>
      </c>
      <c r="I4876" s="7" t="s">
        <v>40</v>
      </c>
      <c r="J4876" s="7" t="s">
        <v>51</v>
      </c>
      <c r="K4876" s="7" t="n">
        <v>53</v>
      </c>
      <c r="L4876" s="7" t="n">
        <v>4</v>
      </c>
      <c r="M4876" s="7" t="n">
        <v>0</v>
      </c>
      <c r="N4876" s="7" t="s">
        <v>42</v>
      </c>
      <c r="O4876" s="7" t="s">
        <v>43</v>
      </c>
      <c r="P4876" s="7" t="n">
        <v>11.4</v>
      </c>
      <c r="Q4876" s="7" t="n">
        <v>17</v>
      </c>
      <c r="R4876" s="7" t="s">
        <v>53</v>
      </c>
      <c r="S4876" s="7"/>
      <c r="T4876" s="7"/>
      <c r="U4876" s="7" t="str">
        <f aca="false">IF(COUNTIF($A$2:$A$5001,A4876)&gt;1,"Duplicate","Unique")</f>
        <v>Unique</v>
      </c>
      <c r="V4876" s="7" t="str">
        <f aca="false">IF(COUNTIFS($B$2:$B$5001,B4876,$H$2:$H$5001,H4876,$J$2:$J$5001,J4876)&gt;1,"Possible Duplicate Booking","Unique")</f>
        <v>Unique</v>
      </c>
      <c r="W4876" s="7" t="str">
        <f aca="false">IF((H4876-G4876)&lt;&gt;K4876,"Mismatch","OK")</f>
        <v>OK</v>
      </c>
      <c r="X4876" s="7" t="str">
        <f aca="false">IF(TEXT(H4876,"dddd")&lt;&gt;I4876,"Mismatch","OK")</f>
        <v>OK</v>
      </c>
      <c r="Y4876" s="7" t="str">
        <f aca="false">IF(AND(N4876="No",O4876&lt;&gt;""),"Unexpected: channel present but no reminder sent",IF(AND(N4876="Yes",O4876=""),"Missing channel for sent reminder","OK"))</f>
        <v>OK</v>
      </c>
    </row>
    <row r="4877" customFormat="false" ht="15" hidden="false" customHeight="false" outlineLevel="0" collapsed="false">
      <c r="A4877" s="9" t="s">
        <v>6630</v>
      </c>
      <c r="B4877" s="9" t="s">
        <v>6631</v>
      </c>
      <c r="C4877" s="9" t="s">
        <v>47</v>
      </c>
      <c r="D4877" s="9" t="n">
        <v>40</v>
      </c>
      <c r="E4877" s="9" t="s">
        <v>38</v>
      </c>
      <c r="F4877" s="9" t="s">
        <v>57</v>
      </c>
      <c r="G4877" s="10" t="n">
        <v>45976</v>
      </c>
      <c r="H4877" s="10" t="n">
        <v>46020</v>
      </c>
      <c r="I4877" s="9" t="s">
        <v>66</v>
      </c>
      <c r="J4877" s="9" t="s">
        <v>41</v>
      </c>
      <c r="K4877" s="9" t="n">
        <v>44</v>
      </c>
      <c r="L4877" s="9" t="n">
        <v>3</v>
      </c>
      <c r="M4877" s="9" t="n">
        <v>2</v>
      </c>
      <c r="N4877" s="9" t="s">
        <v>42</v>
      </c>
      <c r="O4877" s="9" t="s">
        <v>52</v>
      </c>
      <c r="P4877" s="9" t="n">
        <v>3.7</v>
      </c>
      <c r="Q4877" s="9" t="n">
        <v>9</v>
      </c>
      <c r="R4877" s="9" t="s">
        <v>44</v>
      </c>
      <c r="S4877" s="9"/>
      <c r="T4877" s="9"/>
      <c r="U4877" s="9" t="str">
        <f aca="false">IF(COUNTIF($A$2:$A$5001,A4877)&gt;1,"Duplicate","Unique")</f>
        <v>Unique</v>
      </c>
      <c r="V4877" s="9" t="str">
        <f aca="false">IF(COUNTIFS($B$2:$B$5001,B4877,$H$2:$H$5001,H4877,$J$2:$J$5001,J4877)&gt;1,"Possible Duplicate Booking","Unique")</f>
        <v>Unique</v>
      </c>
      <c r="W4877" s="9" t="str">
        <f aca="false">IF((H4877-G4877)&lt;&gt;K4877,"Mismatch","OK")</f>
        <v>OK</v>
      </c>
      <c r="X4877" s="9" t="str">
        <f aca="false">IF(TEXT(H4877,"dddd")&lt;&gt;I4877,"Mismatch","OK")</f>
        <v>OK</v>
      </c>
      <c r="Y4877" s="9" t="str">
        <f aca="false">IF(AND(N4877="No",O4877&lt;&gt;""),"Unexpected: channel present but no reminder sent",IF(AND(N4877="Yes",O4877=""),"Missing channel for sent reminder","OK"))</f>
        <v>OK</v>
      </c>
    </row>
    <row r="4878" customFormat="false" ht="15" hidden="false" customHeight="false" outlineLevel="0" collapsed="false">
      <c r="A4878" s="7" t="s">
        <v>6632</v>
      </c>
      <c r="B4878" s="7" t="s">
        <v>2311</v>
      </c>
      <c r="C4878" s="7" t="s">
        <v>37</v>
      </c>
      <c r="D4878" s="7" t="n">
        <v>24</v>
      </c>
      <c r="E4878" s="7" t="s">
        <v>82</v>
      </c>
      <c r="F4878" s="7" t="s">
        <v>57</v>
      </c>
      <c r="G4878" s="8" t="n">
        <v>45824</v>
      </c>
      <c r="H4878" s="8" t="n">
        <v>45883</v>
      </c>
      <c r="I4878" s="7" t="s">
        <v>62</v>
      </c>
      <c r="J4878" s="7" t="s">
        <v>63</v>
      </c>
      <c r="K4878" s="7" t="n">
        <v>59</v>
      </c>
      <c r="L4878" s="7" t="n">
        <v>2</v>
      </c>
      <c r="M4878" s="7" t="n">
        <v>0</v>
      </c>
      <c r="N4878" s="7" t="s">
        <v>42</v>
      </c>
      <c r="O4878" s="7" t="s">
        <v>43</v>
      </c>
      <c r="P4878" s="7" t="n">
        <v>5.3</v>
      </c>
      <c r="Q4878" s="7" t="n">
        <v>33</v>
      </c>
      <c r="R4878" s="7" t="s">
        <v>53</v>
      </c>
      <c r="S4878" s="7"/>
      <c r="T4878" s="7"/>
      <c r="U4878" s="7" t="str">
        <f aca="false">IF(COUNTIF($A$2:$A$5001,A4878)&gt;1,"Duplicate","Unique")</f>
        <v>Unique</v>
      </c>
      <c r="V4878" s="7" t="str">
        <f aca="false">IF(COUNTIFS($B$2:$B$5001,B4878,$H$2:$H$5001,H4878,$J$2:$J$5001,J4878)&gt;1,"Possible Duplicate Booking","Unique")</f>
        <v>Unique</v>
      </c>
      <c r="W4878" s="7" t="str">
        <f aca="false">IF((H4878-G4878)&lt;&gt;K4878,"Mismatch","OK")</f>
        <v>OK</v>
      </c>
      <c r="X4878" s="7" t="str">
        <f aca="false">IF(TEXT(H4878,"dddd")&lt;&gt;I4878,"Mismatch","OK")</f>
        <v>OK</v>
      </c>
      <c r="Y4878" s="7" t="str">
        <f aca="false">IF(AND(N4878="No",O4878&lt;&gt;""),"Unexpected: channel present but no reminder sent",IF(AND(N4878="Yes",O4878=""),"Missing channel for sent reminder","OK"))</f>
        <v>OK</v>
      </c>
    </row>
    <row r="4879" customFormat="false" ht="15" hidden="false" customHeight="false" outlineLevel="0" collapsed="false">
      <c r="A4879" s="9" t="s">
        <v>6633</v>
      </c>
      <c r="B4879" s="9" t="s">
        <v>1618</v>
      </c>
      <c r="C4879" s="9" t="s">
        <v>47</v>
      </c>
      <c r="D4879" s="9" t="n">
        <v>32</v>
      </c>
      <c r="E4879" s="9" t="s">
        <v>48</v>
      </c>
      <c r="F4879" s="9" t="s">
        <v>49</v>
      </c>
      <c r="G4879" s="10" t="n">
        <v>45858</v>
      </c>
      <c r="H4879" s="10" t="n">
        <v>45896</v>
      </c>
      <c r="I4879" s="9" t="s">
        <v>58</v>
      </c>
      <c r="J4879" s="9" t="s">
        <v>41</v>
      </c>
      <c r="K4879" s="9" t="n">
        <v>38</v>
      </c>
      <c r="L4879" s="9" t="n">
        <v>3</v>
      </c>
      <c r="M4879" s="9" t="n">
        <v>0</v>
      </c>
      <c r="N4879" s="9" t="s">
        <v>71</v>
      </c>
      <c r="O4879" s="9"/>
      <c r="P4879" s="9" t="n">
        <v>2.2</v>
      </c>
      <c r="Q4879" s="9" t="n">
        <v>30</v>
      </c>
      <c r="R4879" s="9" t="s">
        <v>44</v>
      </c>
      <c r="S4879" s="9"/>
      <c r="T4879" s="9"/>
      <c r="U4879" s="9" t="str">
        <f aca="false">IF(COUNTIF($A$2:$A$5001,A4879)&gt;1,"Duplicate","Unique")</f>
        <v>Unique</v>
      </c>
      <c r="V4879" s="9" t="str">
        <f aca="false">IF(COUNTIFS($B$2:$B$5001,B4879,$H$2:$H$5001,H4879,$J$2:$J$5001,J4879)&gt;1,"Possible Duplicate Booking","Unique")</f>
        <v>Unique</v>
      </c>
      <c r="W4879" s="9" t="str">
        <f aca="false">IF((H4879-G4879)&lt;&gt;K4879,"Mismatch","OK")</f>
        <v>OK</v>
      </c>
      <c r="X4879" s="9" t="str">
        <f aca="false">IF(TEXT(H4879,"dddd")&lt;&gt;I4879,"Mismatch","OK")</f>
        <v>OK</v>
      </c>
      <c r="Y4879" s="9" t="str">
        <f aca="false">IF(AND(N4879="No",O4879&lt;&gt;""),"Unexpected: channel present but no reminder sent",IF(AND(N4879="Yes",O4879=""),"Missing channel for sent reminder","OK"))</f>
        <v>OK</v>
      </c>
    </row>
    <row r="4880" customFormat="false" ht="15" hidden="false" customHeight="false" outlineLevel="0" collapsed="false">
      <c r="A4880" s="7" t="s">
        <v>6634</v>
      </c>
      <c r="B4880" s="7" t="s">
        <v>3892</v>
      </c>
      <c r="C4880" s="7" t="s">
        <v>37</v>
      </c>
      <c r="D4880" s="7" t="n">
        <v>44</v>
      </c>
      <c r="E4880" s="7" t="s">
        <v>38</v>
      </c>
      <c r="F4880" s="7" t="s">
        <v>49</v>
      </c>
      <c r="G4880" s="8" t="n">
        <v>45992</v>
      </c>
      <c r="H4880" s="8" t="n">
        <v>46024</v>
      </c>
      <c r="I4880" s="7" t="s">
        <v>50</v>
      </c>
      <c r="J4880" s="7" t="s">
        <v>41</v>
      </c>
      <c r="K4880" s="7" t="n">
        <v>32</v>
      </c>
      <c r="L4880" s="7" t="n">
        <v>2</v>
      </c>
      <c r="M4880" s="7" t="n">
        <v>1</v>
      </c>
      <c r="N4880" s="7" t="s">
        <v>42</v>
      </c>
      <c r="O4880" s="7" t="s">
        <v>43</v>
      </c>
      <c r="P4880" s="7"/>
      <c r="Q4880" s="7" t="n">
        <v>29</v>
      </c>
      <c r="R4880" s="7" t="s">
        <v>44</v>
      </c>
      <c r="S4880" s="7"/>
      <c r="T4880" s="7"/>
      <c r="U4880" s="7" t="str">
        <f aca="false">IF(COUNTIF($A$2:$A$5001,A4880)&gt;1,"Duplicate","Unique")</f>
        <v>Unique</v>
      </c>
      <c r="V4880" s="7" t="str">
        <f aca="false">IF(COUNTIFS($B$2:$B$5001,B4880,$H$2:$H$5001,H4880,$J$2:$J$5001,J4880)&gt;1,"Possible Duplicate Booking","Unique")</f>
        <v>Unique</v>
      </c>
      <c r="W4880" s="7" t="str">
        <f aca="false">IF((H4880-G4880)&lt;&gt;K4880,"Mismatch","OK")</f>
        <v>OK</v>
      </c>
      <c r="X4880" s="7" t="str">
        <f aca="false">IF(TEXT(H4880,"dddd")&lt;&gt;I4880,"Mismatch","OK")</f>
        <v>OK</v>
      </c>
      <c r="Y4880" s="7" t="str">
        <f aca="false">IF(AND(N4880="No",O4880&lt;&gt;""),"Unexpected: channel present but no reminder sent",IF(AND(N4880="Yes",O4880=""),"Missing channel for sent reminder","OK"))</f>
        <v>OK</v>
      </c>
    </row>
    <row r="4881" customFormat="false" ht="15" hidden="false" customHeight="false" outlineLevel="0" collapsed="false">
      <c r="A4881" s="9" t="s">
        <v>6635</v>
      </c>
      <c r="B4881" s="9" t="s">
        <v>950</v>
      </c>
      <c r="C4881" s="9" t="s">
        <v>47</v>
      </c>
      <c r="D4881" s="9" t="n">
        <v>75</v>
      </c>
      <c r="E4881" s="9" t="s">
        <v>70</v>
      </c>
      <c r="F4881" s="9" t="s">
        <v>57</v>
      </c>
      <c r="G4881" s="10" t="n">
        <v>46059</v>
      </c>
      <c r="H4881" s="10" t="n">
        <v>46070</v>
      </c>
      <c r="I4881" s="9" t="s">
        <v>40</v>
      </c>
      <c r="J4881" s="9" t="s">
        <v>41</v>
      </c>
      <c r="K4881" s="9" t="n">
        <v>11</v>
      </c>
      <c r="L4881" s="9" t="n">
        <v>4</v>
      </c>
      <c r="M4881" s="9" t="n">
        <v>1</v>
      </c>
      <c r="N4881" s="9" t="s">
        <v>71</v>
      </c>
      <c r="O4881" s="9"/>
      <c r="P4881" s="9" t="n">
        <v>3.7</v>
      </c>
      <c r="Q4881" s="9" t="n">
        <v>28</v>
      </c>
      <c r="R4881" s="9" t="s">
        <v>53</v>
      </c>
      <c r="S4881" s="9"/>
      <c r="T4881" s="9"/>
      <c r="U4881" s="9" t="str">
        <f aca="false">IF(COUNTIF($A$2:$A$5001,A4881)&gt;1,"Duplicate","Unique")</f>
        <v>Unique</v>
      </c>
      <c r="V4881" s="9" t="str">
        <f aca="false">IF(COUNTIFS($B$2:$B$5001,B4881,$H$2:$H$5001,H4881,$J$2:$J$5001,J4881)&gt;1,"Possible Duplicate Booking","Unique")</f>
        <v>Unique</v>
      </c>
      <c r="W4881" s="9" t="str">
        <f aca="false">IF((H4881-G4881)&lt;&gt;K4881,"Mismatch","OK")</f>
        <v>OK</v>
      </c>
      <c r="X4881" s="9" t="str">
        <f aca="false">IF(TEXT(H4881,"dddd")&lt;&gt;I4881,"Mismatch","OK")</f>
        <v>OK</v>
      </c>
      <c r="Y4881" s="9" t="str">
        <f aca="false">IF(AND(N4881="No",O4881&lt;&gt;""),"Unexpected: channel present but no reminder sent",IF(AND(N4881="Yes",O4881=""),"Missing channel for sent reminder","OK"))</f>
        <v>OK</v>
      </c>
    </row>
    <row r="4882" customFormat="false" ht="15" hidden="false" customHeight="false" outlineLevel="0" collapsed="false">
      <c r="A4882" s="7" t="s">
        <v>6636</v>
      </c>
      <c r="B4882" s="7" t="s">
        <v>2901</v>
      </c>
      <c r="C4882" s="7" t="s">
        <v>37</v>
      </c>
      <c r="D4882" s="7" t="n">
        <v>42</v>
      </c>
      <c r="E4882" s="7" t="s">
        <v>38</v>
      </c>
      <c r="F4882" s="7" t="s">
        <v>49</v>
      </c>
      <c r="G4882" s="8" t="n">
        <v>45841</v>
      </c>
      <c r="H4882" s="8" t="n">
        <v>45865</v>
      </c>
      <c r="I4882" s="7" t="s">
        <v>75</v>
      </c>
      <c r="J4882" s="7" t="s">
        <v>63</v>
      </c>
      <c r="K4882" s="7" t="n">
        <v>24</v>
      </c>
      <c r="L4882" s="7" t="n">
        <v>6</v>
      </c>
      <c r="M4882" s="7" t="n">
        <v>1</v>
      </c>
      <c r="N4882" s="7" t="s">
        <v>71</v>
      </c>
      <c r="O4882" s="7"/>
      <c r="P4882" s="7" t="n">
        <v>4.9</v>
      </c>
      <c r="Q4882" s="7" t="n">
        <v>20</v>
      </c>
      <c r="R4882" s="7" t="s">
        <v>44</v>
      </c>
      <c r="S4882" s="7"/>
      <c r="T4882" s="7"/>
      <c r="U4882" s="7" t="str">
        <f aca="false">IF(COUNTIF($A$2:$A$5001,A4882)&gt;1,"Duplicate","Unique")</f>
        <v>Unique</v>
      </c>
      <c r="V4882" s="7" t="str">
        <f aca="false">IF(COUNTIFS($B$2:$B$5001,B4882,$H$2:$H$5001,H4882,$J$2:$J$5001,J4882)&gt;1,"Possible Duplicate Booking","Unique")</f>
        <v>Unique</v>
      </c>
      <c r="W4882" s="7" t="str">
        <f aca="false">IF((H4882-G4882)&lt;&gt;K4882,"Mismatch","OK")</f>
        <v>OK</v>
      </c>
      <c r="X4882" s="7" t="str">
        <f aca="false">IF(TEXT(H4882,"dddd")&lt;&gt;I4882,"Mismatch","OK")</f>
        <v>OK</v>
      </c>
      <c r="Y4882" s="7" t="str">
        <f aca="false">IF(AND(N4882="No",O4882&lt;&gt;""),"Unexpected: channel present but no reminder sent",IF(AND(N4882="Yes",O4882=""),"Missing channel for sent reminder","OK"))</f>
        <v>OK</v>
      </c>
    </row>
    <row r="4883" customFormat="false" ht="15" hidden="false" customHeight="false" outlineLevel="0" collapsed="false">
      <c r="A4883" s="9" t="s">
        <v>6637</v>
      </c>
      <c r="B4883" s="9" t="s">
        <v>603</v>
      </c>
      <c r="C4883" s="9" t="s">
        <v>37</v>
      </c>
      <c r="D4883" s="9" t="n">
        <v>73</v>
      </c>
      <c r="E4883" s="9" t="s">
        <v>70</v>
      </c>
      <c r="F4883" s="9" t="s">
        <v>39</v>
      </c>
      <c r="G4883" s="10" t="n">
        <v>46150</v>
      </c>
      <c r="H4883" s="10" t="n">
        <v>46202</v>
      </c>
      <c r="I4883" s="9" t="s">
        <v>66</v>
      </c>
      <c r="J4883" s="9" t="s">
        <v>41</v>
      </c>
      <c r="K4883" s="9" t="n">
        <v>52</v>
      </c>
      <c r="L4883" s="9" t="n">
        <v>0</v>
      </c>
      <c r="M4883" s="9" t="n">
        <v>0</v>
      </c>
      <c r="N4883" s="9" t="s">
        <v>42</v>
      </c>
      <c r="O4883" s="9" t="s">
        <v>43</v>
      </c>
      <c r="P4883" s="9"/>
      <c r="Q4883" s="9" t="n">
        <v>39</v>
      </c>
      <c r="R4883" s="9" t="s">
        <v>87</v>
      </c>
      <c r="S4883" s="9"/>
      <c r="T4883" s="9"/>
      <c r="U4883" s="9" t="str">
        <f aca="false">IF(COUNTIF($A$2:$A$5001,A4883)&gt;1,"Duplicate","Unique")</f>
        <v>Unique</v>
      </c>
      <c r="V4883" s="9" t="str">
        <f aca="false">IF(COUNTIFS($B$2:$B$5001,B4883,$H$2:$H$5001,H4883,$J$2:$J$5001,J4883)&gt;1,"Possible Duplicate Booking","Unique")</f>
        <v>Unique</v>
      </c>
      <c r="W4883" s="9" t="str">
        <f aca="false">IF((H4883-G4883)&lt;&gt;K4883,"Mismatch","OK")</f>
        <v>OK</v>
      </c>
      <c r="X4883" s="9" t="str">
        <f aca="false">IF(TEXT(H4883,"dddd")&lt;&gt;I4883,"Mismatch","OK")</f>
        <v>OK</v>
      </c>
      <c r="Y4883" s="9" t="str">
        <f aca="false">IF(AND(N4883="No",O4883&lt;&gt;""),"Unexpected: channel present but no reminder sent",IF(AND(N4883="Yes",O4883=""),"Missing channel for sent reminder","OK"))</f>
        <v>OK</v>
      </c>
    </row>
    <row r="4884" customFormat="false" ht="15" hidden="false" customHeight="false" outlineLevel="0" collapsed="false">
      <c r="A4884" s="7" t="s">
        <v>6638</v>
      </c>
      <c r="B4884" s="7" t="s">
        <v>6228</v>
      </c>
      <c r="C4884" s="7" t="s">
        <v>37</v>
      </c>
      <c r="D4884" s="7" t="n">
        <v>64</v>
      </c>
      <c r="E4884" s="7" t="s">
        <v>61</v>
      </c>
      <c r="F4884" s="7" t="s">
        <v>49</v>
      </c>
      <c r="G4884" s="8" t="n">
        <v>45907</v>
      </c>
      <c r="H4884" s="8" t="n">
        <v>45930</v>
      </c>
      <c r="I4884" s="7" t="s">
        <v>40</v>
      </c>
      <c r="J4884" s="7" t="s">
        <v>63</v>
      </c>
      <c r="K4884" s="7" t="n">
        <v>23</v>
      </c>
      <c r="L4884" s="7" t="n">
        <v>2</v>
      </c>
      <c r="M4884" s="7" t="n">
        <v>1</v>
      </c>
      <c r="N4884" s="7" t="s">
        <v>42</v>
      </c>
      <c r="O4884" s="7" t="s">
        <v>52</v>
      </c>
      <c r="P4884" s="7" t="n">
        <v>7</v>
      </c>
      <c r="Q4884" s="7" t="n">
        <v>15</v>
      </c>
      <c r="R4884" s="7" t="s">
        <v>44</v>
      </c>
      <c r="S4884" s="7"/>
      <c r="T4884" s="7"/>
      <c r="U4884" s="7" t="str">
        <f aca="false">IF(COUNTIF($A$2:$A$5001,A4884)&gt;1,"Duplicate","Unique")</f>
        <v>Unique</v>
      </c>
      <c r="V4884" s="7" t="str">
        <f aca="false">IF(COUNTIFS($B$2:$B$5001,B4884,$H$2:$H$5001,H4884,$J$2:$J$5001,J4884)&gt;1,"Possible Duplicate Booking","Unique")</f>
        <v>Unique</v>
      </c>
      <c r="W4884" s="7" t="str">
        <f aca="false">IF((H4884-G4884)&lt;&gt;K4884,"Mismatch","OK")</f>
        <v>OK</v>
      </c>
      <c r="X4884" s="7" t="str">
        <f aca="false">IF(TEXT(H4884,"dddd")&lt;&gt;I4884,"Mismatch","OK")</f>
        <v>OK</v>
      </c>
      <c r="Y4884" s="7" t="str">
        <f aca="false">IF(AND(N4884="No",O4884&lt;&gt;""),"Unexpected: channel present but no reminder sent",IF(AND(N4884="Yes",O4884=""),"Missing channel for sent reminder","OK"))</f>
        <v>OK</v>
      </c>
    </row>
    <row r="4885" customFormat="false" ht="15" hidden="false" customHeight="false" outlineLevel="0" collapsed="false">
      <c r="A4885" s="9" t="s">
        <v>6639</v>
      </c>
      <c r="B4885" s="9" t="s">
        <v>1883</v>
      </c>
      <c r="C4885" s="9" t="s">
        <v>47</v>
      </c>
      <c r="D4885" s="9" t="n">
        <v>69</v>
      </c>
      <c r="E4885" s="9" t="s">
        <v>70</v>
      </c>
      <c r="F4885" s="9" t="s">
        <v>57</v>
      </c>
      <c r="G4885" s="10" t="n">
        <v>45742</v>
      </c>
      <c r="H4885" s="10" t="n">
        <v>45745</v>
      </c>
      <c r="I4885" s="9" t="s">
        <v>102</v>
      </c>
      <c r="J4885" s="9" t="s">
        <v>41</v>
      </c>
      <c r="K4885" s="9" t="n">
        <v>3</v>
      </c>
      <c r="L4885" s="9" t="n">
        <v>4</v>
      </c>
      <c r="M4885" s="9" t="n">
        <v>1</v>
      </c>
      <c r="N4885" s="9" t="s">
        <v>71</v>
      </c>
      <c r="O4885" s="9"/>
      <c r="P4885" s="9" t="n">
        <v>7.9</v>
      </c>
      <c r="Q4885" s="9" t="n">
        <v>19</v>
      </c>
      <c r="R4885" s="9" t="s">
        <v>53</v>
      </c>
      <c r="S4885" s="9"/>
      <c r="T4885" s="9"/>
      <c r="U4885" s="9" t="str">
        <f aca="false">IF(COUNTIF($A$2:$A$5001,A4885)&gt;1,"Duplicate","Unique")</f>
        <v>Unique</v>
      </c>
      <c r="V4885" s="9" t="str">
        <f aca="false">IF(COUNTIFS($B$2:$B$5001,B4885,$H$2:$H$5001,H4885,$J$2:$J$5001,J4885)&gt;1,"Possible Duplicate Booking","Unique")</f>
        <v>Unique</v>
      </c>
      <c r="W4885" s="9" t="str">
        <f aca="false">IF((H4885-G4885)&lt;&gt;K4885,"Mismatch","OK")</f>
        <v>OK</v>
      </c>
      <c r="X4885" s="9" t="str">
        <f aca="false">IF(TEXT(H4885,"dddd")&lt;&gt;I4885,"Mismatch","OK")</f>
        <v>OK</v>
      </c>
      <c r="Y4885" s="9" t="str">
        <f aca="false">IF(AND(N4885="No",O4885&lt;&gt;""),"Unexpected: channel present but no reminder sent",IF(AND(N4885="Yes",O4885=""),"Missing channel for sent reminder","OK"))</f>
        <v>OK</v>
      </c>
    </row>
    <row r="4886" customFormat="false" ht="15" hidden="false" customHeight="false" outlineLevel="0" collapsed="false">
      <c r="A4886" s="7" t="s">
        <v>6640</v>
      </c>
      <c r="B4886" s="7" t="s">
        <v>5191</v>
      </c>
      <c r="C4886" s="7" t="s">
        <v>47</v>
      </c>
      <c r="D4886" s="7" t="n">
        <v>71</v>
      </c>
      <c r="E4886" s="7" t="s">
        <v>70</v>
      </c>
      <c r="F4886" s="7" t="s">
        <v>39</v>
      </c>
      <c r="G4886" s="8" t="n">
        <v>45647</v>
      </c>
      <c r="H4886" s="8" t="n">
        <v>45661</v>
      </c>
      <c r="I4886" s="7" t="s">
        <v>102</v>
      </c>
      <c r="J4886" s="7" t="s">
        <v>51</v>
      </c>
      <c r="K4886" s="7" t="n">
        <v>14</v>
      </c>
      <c r="L4886" s="7" t="n">
        <v>4</v>
      </c>
      <c r="M4886" s="7" t="n">
        <v>0</v>
      </c>
      <c r="N4886" s="7" t="s">
        <v>71</v>
      </c>
      <c r="O4886" s="7"/>
      <c r="P4886" s="7" t="n">
        <v>15.9</v>
      </c>
      <c r="Q4886" s="7" t="n">
        <v>13</v>
      </c>
      <c r="R4886" s="7" t="s">
        <v>53</v>
      </c>
      <c r="S4886" s="7"/>
      <c r="T4886" s="7"/>
      <c r="U4886" s="7" t="str">
        <f aca="false">IF(COUNTIF($A$2:$A$5001,A4886)&gt;1,"Duplicate","Unique")</f>
        <v>Unique</v>
      </c>
      <c r="V4886" s="7" t="str">
        <f aca="false">IF(COUNTIFS($B$2:$B$5001,B4886,$H$2:$H$5001,H4886,$J$2:$J$5001,J4886)&gt;1,"Possible Duplicate Booking","Unique")</f>
        <v>Unique</v>
      </c>
      <c r="W4886" s="7" t="str">
        <f aca="false">IF((H4886-G4886)&lt;&gt;K4886,"Mismatch","OK")</f>
        <v>OK</v>
      </c>
      <c r="X4886" s="7" t="str">
        <f aca="false">IF(TEXT(H4886,"dddd")&lt;&gt;I4886,"Mismatch","OK")</f>
        <v>OK</v>
      </c>
      <c r="Y4886" s="7" t="str">
        <f aca="false">IF(AND(N4886="No",O4886&lt;&gt;""),"Unexpected: channel present but no reminder sent",IF(AND(N4886="Yes",O4886=""),"Missing channel for sent reminder","OK"))</f>
        <v>OK</v>
      </c>
    </row>
    <row r="4887" customFormat="false" ht="15" hidden="false" customHeight="false" outlineLevel="0" collapsed="false">
      <c r="A4887" s="9" t="s">
        <v>6641</v>
      </c>
      <c r="B4887" s="9" t="s">
        <v>4876</v>
      </c>
      <c r="C4887" s="9" t="s">
        <v>37</v>
      </c>
      <c r="D4887" s="9" t="n">
        <v>62</v>
      </c>
      <c r="E4887" s="9" t="s">
        <v>61</v>
      </c>
      <c r="F4887" s="9" t="s">
        <v>57</v>
      </c>
      <c r="G4887" s="10" t="n">
        <v>45732</v>
      </c>
      <c r="H4887" s="10" t="n">
        <v>45768</v>
      </c>
      <c r="I4887" s="9" t="s">
        <v>66</v>
      </c>
      <c r="J4887" s="9" t="s">
        <v>51</v>
      </c>
      <c r="K4887" s="9" t="n">
        <v>36</v>
      </c>
      <c r="L4887" s="9" t="n">
        <v>5</v>
      </c>
      <c r="M4887" s="9" t="n">
        <v>1</v>
      </c>
      <c r="N4887" s="9" t="s">
        <v>42</v>
      </c>
      <c r="O4887" s="9" t="s">
        <v>52</v>
      </c>
      <c r="P4887" s="9" t="n">
        <v>11.3</v>
      </c>
      <c r="Q4887" s="9" t="n">
        <v>23</v>
      </c>
      <c r="R4887" s="9" t="s">
        <v>44</v>
      </c>
      <c r="S4887" s="9"/>
      <c r="T4887" s="9"/>
      <c r="U4887" s="9" t="str">
        <f aca="false">IF(COUNTIF($A$2:$A$5001,A4887)&gt;1,"Duplicate","Unique")</f>
        <v>Unique</v>
      </c>
      <c r="V4887" s="9" t="str">
        <f aca="false">IF(COUNTIFS($B$2:$B$5001,B4887,$H$2:$H$5001,H4887,$J$2:$J$5001,J4887)&gt;1,"Possible Duplicate Booking","Unique")</f>
        <v>Unique</v>
      </c>
      <c r="W4887" s="9" t="str">
        <f aca="false">IF((H4887-G4887)&lt;&gt;K4887,"Mismatch","OK")</f>
        <v>OK</v>
      </c>
      <c r="X4887" s="9" t="str">
        <f aca="false">IF(TEXT(H4887,"dddd")&lt;&gt;I4887,"Mismatch","OK")</f>
        <v>OK</v>
      </c>
      <c r="Y4887" s="9" t="str">
        <f aca="false">IF(AND(N4887="No",O4887&lt;&gt;""),"Unexpected: channel present but no reminder sent",IF(AND(N4887="Yes",O4887=""),"Missing channel for sent reminder","OK"))</f>
        <v>OK</v>
      </c>
    </row>
    <row r="4888" customFormat="false" ht="15" hidden="false" customHeight="false" outlineLevel="0" collapsed="false">
      <c r="A4888" s="7" t="s">
        <v>6642</v>
      </c>
      <c r="B4888" s="7" t="s">
        <v>2486</v>
      </c>
      <c r="C4888" s="7" t="s">
        <v>47</v>
      </c>
      <c r="D4888" s="7" t="n">
        <v>64</v>
      </c>
      <c r="E4888" s="7" t="s">
        <v>61</v>
      </c>
      <c r="F4888" s="7" t="s">
        <v>57</v>
      </c>
      <c r="G4888" s="8" t="n">
        <v>45997</v>
      </c>
      <c r="H4888" s="8" t="n">
        <v>46035</v>
      </c>
      <c r="I4888" s="7" t="s">
        <v>40</v>
      </c>
      <c r="J4888" s="7" t="s">
        <v>41</v>
      </c>
      <c r="K4888" s="7" t="n">
        <v>38</v>
      </c>
      <c r="L4888" s="7" t="n">
        <v>4</v>
      </c>
      <c r="M4888" s="7" t="n">
        <v>0</v>
      </c>
      <c r="N4888" s="7" t="s">
        <v>42</v>
      </c>
      <c r="O4888" s="7" t="s">
        <v>52</v>
      </c>
      <c r="P4888" s="7" t="n">
        <v>13</v>
      </c>
      <c r="Q4888" s="7" t="n">
        <v>15</v>
      </c>
      <c r="R4888" s="7" t="s">
        <v>53</v>
      </c>
      <c r="S4888" s="7"/>
      <c r="T4888" s="7"/>
      <c r="U4888" s="7" t="str">
        <f aca="false">IF(COUNTIF($A$2:$A$5001,A4888)&gt;1,"Duplicate","Unique")</f>
        <v>Unique</v>
      </c>
      <c r="V4888" s="7" t="str">
        <f aca="false">IF(COUNTIFS($B$2:$B$5001,B4888,$H$2:$H$5001,H4888,$J$2:$J$5001,J4888)&gt;1,"Possible Duplicate Booking","Unique")</f>
        <v>Unique</v>
      </c>
      <c r="W4888" s="7" t="str">
        <f aca="false">IF((H4888-G4888)&lt;&gt;K4888,"Mismatch","OK")</f>
        <v>OK</v>
      </c>
      <c r="X4888" s="7" t="str">
        <f aca="false">IF(TEXT(H4888,"dddd")&lt;&gt;I4888,"Mismatch","OK")</f>
        <v>OK</v>
      </c>
      <c r="Y4888" s="7" t="str">
        <f aca="false">IF(AND(N4888="No",O4888&lt;&gt;""),"Unexpected: channel present but no reminder sent",IF(AND(N4888="Yes",O4888=""),"Missing channel for sent reminder","OK"))</f>
        <v>OK</v>
      </c>
    </row>
    <row r="4889" customFormat="false" ht="15" hidden="false" customHeight="false" outlineLevel="0" collapsed="false">
      <c r="A4889" s="9" t="s">
        <v>6643</v>
      </c>
      <c r="B4889" s="9" t="s">
        <v>3847</v>
      </c>
      <c r="C4889" s="9" t="s">
        <v>47</v>
      </c>
      <c r="D4889" s="9" t="n">
        <v>27</v>
      </c>
      <c r="E4889" s="9" t="s">
        <v>48</v>
      </c>
      <c r="F4889" s="9" t="s">
        <v>39</v>
      </c>
      <c r="G4889" s="10" t="n">
        <v>45892</v>
      </c>
      <c r="H4889" s="10" t="n">
        <v>45952</v>
      </c>
      <c r="I4889" s="9" t="s">
        <v>58</v>
      </c>
      <c r="J4889" s="9" t="s">
        <v>41</v>
      </c>
      <c r="K4889" s="9" t="n">
        <v>60</v>
      </c>
      <c r="L4889" s="9" t="n">
        <v>2</v>
      </c>
      <c r="M4889" s="9" t="n">
        <v>0</v>
      </c>
      <c r="N4889" s="9" t="s">
        <v>42</v>
      </c>
      <c r="O4889" s="9" t="s">
        <v>52</v>
      </c>
      <c r="P4889" s="9" t="n">
        <v>4.6</v>
      </c>
      <c r="Q4889" s="9" t="n">
        <v>17</v>
      </c>
      <c r="R4889" s="9" t="s">
        <v>53</v>
      </c>
      <c r="S4889" s="9"/>
      <c r="T4889" s="9"/>
      <c r="U4889" s="9" t="str">
        <f aca="false">IF(COUNTIF($A$2:$A$5001,A4889)&gt;1,"Duplicate","Unique")</f>
        <v>Unique</v>
      </c>
      <c r="V4889" s="9" t="str">
        <f aca="false">IF(COUNTIFS($B$2:$B$5001,B4889,$H$2:$H$5001,H4889,$J$2:$J$5001,J4889)&gt;1,"Possible Duplicate Booking","Unique")</f>
        <v>Unique</v>
      </c>
      <c r="W4889" s="9" t="str">
        <f aca="false">IF((H4889-G4889)&lt;&gt;K4889,"Mismatch","OK")</f>
        <v>OK</v>
      </c>
      <c r="X4889" s="9" t="str">
        <f aca="false">IF(TEXT(H4889,"dddd")&lt;&gt;I4889,"Mismatch","OK")</f>
        <v>OK</v>
      </c>
      <c r="Y4889" s="9" t="str">
        <f aca="false">IF(AND(N4889="No",O4889&lt;&gt;""),"Unexpected: channel present but no reminder sent",IF(AND(N4889="Yes",O4889=""),"Missing channel for sent reminder","OK"))</f>
        <v>OK</v>
      </c>
    </row>
    <row r="4890" customFormat="false" ht="15" hidden="false" customHeight="false" outlineLevel="0" collapsed="false">
      <c r="A4890" s="7" t="s">
        <v>6644</v>
      </c>
      <c r="B4890" s="7" t="s">
        <v>1038</v>
      </c>
      <c r="C4890" s="7" t="s">
        <v>37</v>
      </c>
      <c r="D4890" s="7" t="n">
        <v>63</v>
      </c>
      <c r="E4890" s="7" t="s">
        <v>61</v>
      </c>
      <c r="F4890" s="7" t="s">
        <v>49</v>
      </c>
      <c r="G4890" s="8" t="n">
        <v>45786</v>
      </c>
      <c r="H4890" s="8" t="n">
        <v>45842</v>
      </c>
      <c r="I4890" s="7" t="s">
        <v>50</v>
      </c>
      <c r="J4890" s="7" t="s">
        <v>41</v>
      </c>
      <c r="K4890" s="7" t="n">
        <v>56</v>
      </c>
      <c r="L4890" s="7" t="n">
        <v>6</v>
      </c>
      <c r="M4890" s="7" t="n">
        <v>0</v>
      </c>
      <c r="N4890" s="7" t="s">
        <v>42</v>
      </c>
      <c r="O4890" s="7" t="s">
        <v>43</v>
      </c>
      <c r="P4890" s="7" t="n">
        <v>13.1</v>
      </c>
      <c r="Q4890" s="7" t="n">
        <v>11</v>
      </c>
      <c r="R4890" s="7" t="s">
        <v>44</v>
      </c>
      <c r="S4890" s="7"/>
      <c r="T4890" s="7"/>
      <c r="U4890" s="7" t="str">
        <f aca="false">IF(COUNTIF($A$2:$A$5001,A4890)&gt;1,"Duplicate","Unique")</f>
        <v>Unique</v>
      </c>
      <c r="V4890" s="7" t="str">
        <f aca="false">IF(COUNTIFS($B$2:$B$5001,B4890,$H$2:$H$5001,H4890,$J$2:$J$5001,J4890)&gt;1,"Possible Duplicate Booking","Unique")</f>
        <v>Unique</v>
      </c>
      <c r="W4890" s="7" t="str">
        <f aca="false">IF((H4890-G4890)&lt;&gt;K4890,"Mismatch","OK")</f>
        <v>OK</v>
      </c>
      <c r="X4890" s="7" t="str">
        <f aca="false">IF(TEXT(H4890,"dddd")&lt;&gt;I4890,"Mismatch","OK")</f>
        <v>OK</v>
      </c>
      <c r="Y4890" s="7" t="str">
        <f aca="false">IF(AND(N4890="No",O4890&lt;&gt;""),"Unexpected: channel present but no reminder sent",IF(AND(N4890="Yes",O4890=""),"Missing channel for sent reminder","OK"))</f>
        <v>OK</v>
      </c>
    </row>
    <row r="4891" customFormat="false" ht="15" hidden="false" customHeight="false" outlineLevel="0" collapsed="false">
      <c r="A4891" s="9" t="s">
        <v>6645</v>
      </c>
      <c r="B4891" s="9" t="s">
        <v>1888</v>
      </c>
      <c r="C4891" s="9" t="s">
        <v>47</v>
      </c>
      <c r="D4891" s="9" t="n">
        <v>21</v>
      </c>
      <c r="E4891" s="9" t="s">
        <v>82</v>
      </c>
      <c r="F4891" s="9" t="s">
        <v>49</v>
      </c>
      <c r="G4891" s="10" t="n">
        <v>45888</v>
      </c>
      <c r="H4891" s="10" t="n">
        <v>45920</v>
      </c>
      <c r="I4891" s="9" t="s">
        <v>102</v>
      </c>
      <c r="J4891" s="9" t="s">
        <v>63</v>
      </c>
      <c r="K4891" s="9" t="n">
        <v>32</v>
      </c>
      <c r="L4891" s="9" t="n">
        <v>4</v>
      </c>
      <c r="M4891" s="9" t="n">
        <v>0</v>
      </c>
      <c r="N4891" s="9" t="s">
        <v>71</v>
      </c>
      <c r="O4891" s="9"/>
      <c r="P4891" s="9" t="n">
        <v>4.4</v>
      </c>
      <c r="Q4891" s="9" t="n">
        <v>13</v>
      </c>
      <c r="R4891" s="9" t="s">
        <v>53</v>
      </c>
      <c r="S4891" s="9"/>
      <c r="T4891" s="9"/>
      <c r="U4891" s="9" t="str">
        <f aca="false">IF(COUNTIF($A$2:$A$5001,A4891)&gt;1,"Duplicate","Unique")</f>
        <v>Unique</v>
      </c>
      <c r="V4891" s="9" t="str">
        <f aca="false">IF(COUNTIFS($B$2:$B$5001,B4891,$H$2:$H$5001,H4891,$J$2:$J$5001,J4891)&gt;1,"Possible Duplicate Booking","Unique")</f>
        <v>Unique</v>
      </c>
      <c r="W4891" s="9" t="str">
        <f aca="false">IF((H4891-G4891)&lt;&gt;K4891,"Mismatch","OK")</f>
        <v>OK</v>
      </c>
      <c r="X4891" s="9" t="str">
        <f aca="false">IF(TEXT(H4891,"dddd")&lt;&gt;I4891,"Mismatch","OK")</f>
        <v>OK</v>
      </c>
      <c r="Y4891" s="9" t="str">
        <f aca="false">IF(AND(N4891="No",O4891&lt;&gt;""),"Unexpected: channel present but no reminder sent",IF(AND(N4891="Yes",O4891=""),"Missing channel for sent reminder","OK"))</f>
        <v>OK</v>
      </c>
    </row>
    <row r="4892" customFormat="false" ht="15" hidden="false" customHeight="false" outlineLevel="0" collapsed="false">
      <c r="A4892" s="7" t="s">
        <v>6646</v>
      </c>
      <c r="B4892" s="7" t="s">
        <v>2213</v>
      </c>
      <c r="C4892" s="7" t="s">
        <v>37</v>
      </c>
      <c r="D4892" s="7" t="n">
        <v>64</v>
      </c>
      <c r="E4892" s="7" t="s">
        <v>61</v>
      </c>
      <c r="F4892" s="7" t="s">
        <v>57</v>
      </c>
      <c r="G4892" s="8" t="n">
        <v>46082</v>
      </c>
      <c r="H4892" s="8" t="n">
        <v>46115</v>
      </c>
      <c r="I4892" s="7" t="s">
        <v>50</v>
      </c>
      <c r="J4892" s="7" t="s">
        <v>41</v>
      </c>
      <c r="K4892" s="7" t="n">
        <v>33</v>
      </c>
      <c r="L4892" s="7" t="n">
        <v>5</v>
      </c>
      <c r="M4892" s="7" t="n">
        <v>2</v>
      </c>
      <c r="N4892" s="7" t="s">
        <v>42</v>
      </c>
      <c r="O4892" s="7" t="s">
        <v>67</v>
      </c>
      <c r="P4892" s="7" t="n">
        <v>7.7</v>
      </c>
      <c r="Q4892" s="7" t="n">
        <v>6</v>
      </c>
      <c r="R4892" s="7" t="s">
        <v>44</v>
      </c>
      <c r="S4892" s="7"/>
      <c r="T4892" s="7"/>
      <c r="U4892" s="7" t="str">
        <f aca="false">IF(COUNTIF($A$2:$A$5001,A4892)&gt;1,"Duplicate","Unique")</f>
        <v>Unique</v>
      </c>
      <c r="V4892" s="7" t="str">
        <f aca="false">IF(COUNTIFS($B$2:$B$5001,B4892,$H$2:$H$5001,H4892,$J$2:$J$5001,J4892)&gt;1,"Possible Duplicate Booking","Unique")</f>
        <v>Unique</v>
      </c>
      <c r="W4892" s="7" t="str">
        <f aca="false">IF((H4892-G4892)&lt;&gt;K4892,"Mismatch","OK")</f>
        <v>OK</v>
      </c>
      <c r="X4892" s="7" t="str">
        <f aca="false">IF(TEXT(H4892,"dddd")&lt;&gt;I4892,"Mismatch","OK")</f>
        <v>OK</v>
      </c>
      <c r="Y4892" s="7" t="str">
        <f aca="false">IF(AND(N4892="No",O4892&lt;&gt;""),"Unexpected: channel present but no reminder sent",IF(AND(N4892="Yes",O4892=""),"Missing channel for sent reminder","OK"))</f>
        <v>OK</v>
      </c>
    </row>
    <row r="4893" customFormat="false" ht="15" hidden="false" customHeight="false" outlineLevel="0" collapsed="false">
      <c r="A4893" s="9" t="s">
        <v>6647</v>
      </c>
      <c r="B4893" s="9" t="s">
        <v>6648</v>
      </c>
      <c r="C4893" s="9" t="s">
        <v>47</v>
      </c>
      <c r="D4893" s="9" t="n">
        <v>59</v>
      </c>
      <c r="E4893" s="9" t="s">
        <v>61</v>
      </c>
      <c r="F4893" s="9" t="s">
        <v>39</v>
      </c>
      <c r="G4893" s="10" t="n">
        <v>45922</v>
      </c>
      <c r="H4893" s="10" t="n">
        <v>45970</v>
      </c>
      <c r="I4893" s="9" t="s">
        <v>75</v>
      </c>
      <c r="J4893" s="9" t="s">
        <v>51</v>
      </c>
      <c r="K4893" s="9" t="n">
        <v>48</v>
      </c>
      <c r="L4893" s="9" t="n">
        <v>0</v>
      </c>
      <c r="M4893" s="9" t="n">
        <v>0</v>
      </c>
      <c r="N4893" s="9" t="s">
        <v>42</v>
      </c>
      <c r="O4893" s="9" t="s">
        <v>43</v>
      </c>
      <c r="P4893" s="9" t="n">
        <v>5.9</v>
      </c>
      <c r="Q4893" s="9" t="n">
        <v>28</v>
      </c>
      <c r="R4893" s="9" t="s">
        <v>53</v>
      </c>
      <c r="S4893" s="9"/>
      <c r="T4893" s="9"/>
      <c r="U4893" s="9" t="str">
        <f aca="false">IF(COUNTIF($A$2:$A$5001,A4893)&gt;1,"Duplicate","Unique")</f>
        <v>Unique</v>
      </c>
      <c r="V4893" s="9" t="str">
        <f aca="false">IF(COUNTIFS($B$2:$B$5001,B4893,$H$2:$H$5001,H4893,$J$2:$J$5001,J4893)&gt;1,"Possible Duplicate Booking","Unique")</f>
        <v>Unique</v>
      </c>
      <c r="W4893" s="9" t="str">
        <f aca="false">IF((H4893-G4893)&lt;&gt;K4893,"Mismatch","OK")</f>
        <v>OK</v>
      </c>
      <c r="X4893" s="9" t="str">
        <f aca="false">IF(TEXT(H4893,"dddd")&lt;&gt;I4893,"Mismatch","OK")</f>
        <v>OK</v>
      </c>
      <c r="Y4893" s="9" t="str">
        <f aca="false">IF(AND(N4893="No",O4893&lt;&gt;""),"Unexpected: channel present but no reminder sent",IF(AND(N4893="Yes",O4893=""),"Missing channel for sent reminder","OK"))</f>
        <v>OK</v>
      </c>
    </row>
    <row r="4894" customFormat="false" ht="15" hidden="false" customHeight="false" outlineLevel="0" collapsed="false">
      <c r="A4894" s="7" t="s">
        <v>6649</v>
      </c>
      <c r="B4894" s="7" t="s">
        <v>1496</v>
      </c>
      <c r="C4894" s="7" t="s">
        <v>47</v>
      </c>
      <c r="D4894" s="7" t="n">
        <v>65</v>
      </c>
      <c r="E4894" s="7" t="s">
        <v>70</v>
      </c>
      <c r="F4894" s="7" t="s">
        <v>49</v>
      </c>
      <c r="G4894" s="8" t="n">
        <v>45687</v>
      </c>
      <c r="H4894" s="8" t="n">
        <v>45689</v>
      </c>
      <c r="I4894" s="7" t="s">
        <v>102</v>
      </c>
      <c r="J4894" s="7" t="s">
        <v>41</v>
      </c>
      <c r="K4894" s="7" t="n">
        <v>2</v>
      </c>
      <c r="L4894" s="7" t="n">
        <v>4</v>
      </c>
      <c r="M4894" s="7" t="n">
        <v>0</v>
      </c>
      <c r="N4894" s="7" t="s">
        <v>42</v>
      </c>
      <c r="O4894" s="7" t="s">
        <v>43</v>
      </c>
      <c r="P4894" s="7" t="n">
        <v>6.1</v>
      </c>
      <c r="Q4894" s="7" t="n">
        <v>15</v>
      </c>
      <c r="R4894" s="7" t="s">
        <v>53</v>
      </c>
      <c r="S4894" s="7"/>
      <c r="T4894" s="7"/>
      <c r="U4894" s="7" t="str">
        <f aca="false">IF(COUNTIF($A$2:$A$5001,A4894)&gt;1,"Duplicate","Unique")</f>
        <v>Unique</v>
      </c>
      <c r="V4894" s="7" t="str">
        <f aca="false">IF(COUNTIFS($B$2:$B$5001,B4894,$H$2:$H$5001,H4894,$J$2:$J$5001,J4894)&gt;1,"Possible Duplicate Booking","Unique")</f>
        <v>Unique</v>
      </c>
      <c r="W4894" s="7" t="str">
        <f aca="false">IF((H4894-G4894)&lt;&gt;K4894,"Mismatch","OK")</f>
        <v>OK</v>
      </c>
      <c r="X4894" s="7" t="str">
        <f aca="false">IF(TEXT(H4894,"dddd")&lt;&gt;I4894,"Mismatch","OK")</f>
        <v>OK</v>
      </c>
      <c r="Y4894" s="7" t="str">
        <f aca="false">IF(AND(N4894="No",O4894&lt;&gt;""),"Unexpected: channel present but no reminder sent",IF(AND(N4894="Yes",O4894=""),"Missing channel for sent reminder","OK"))</f>
        <v>OK</v>
      </c>
    </row>
    <row r="4895" customFormat="false" ht="15" hidden="false" customHeight="false" outlineLevel="0" collapsed="false">
      <c r="A4895" s="9" t="s">
        <v>6650</v>
      </c>
      <c r="B4895" s="9" t="s">
        <v>3773</v>
      </c>
      <c r="C4895" s="9" t="s">
        <v>37</v>
      </c>
      <c r="D4895" s="9" t="n">
        <v>58</v>
      </c>
      <c r="E4895" s="9" t="s">
        <v>61</v>
      </c>
      <c r="F4895" s="9" t="s">
        <v>57</v>
      </c>
      <c r="G4895" s="10" t="n">
        <v>45648</v>
      </c>
      <c r="H4895" s="10" t="n">
        <v>45684</v>
      </c>
      <c r="I4895" s="9" t="s">
        <v>66</v>
      </c>
      <c r="J4895" s="9" t="s">
        <v>51</v>
      </c>
      <c r="K4895" s="9" t="n">
        <v>36</v>
      </c>
      <c r="L4895" s="9" t="n">
        <v>4</v>
      </c>
      <c r="M4895" s="9" t="n">
        <v>0</v>
      </c>
      <c r="N4895" s="9" t="s">
        <v>42</v>
      </c>
      <c r="O4895" s="9" t="s">
        <v>52</v>
      </c>
      <c r="P4895" s="9" t="n">
        <v>31.4</v>
      </c>
      <c r="Q4895" s="9" t="n">
        <v>42</v>
      </c>
      <c r="R4895" s="9" t="s">
        <v>44</v>
      </c>
      <c r="S4895" s="9"/>
      <c r="T4895" s="9"/>
      <c r="U4895" s="9" t="str">
        <f aca="false">IF(COUNTIF($A$2:$A$5001,A4895)&gt;1,"Duplicate","Unique")</f>
        <v>Unique</v>
      </c>
      <c r="V4895" s="9" t="str">
        <f aca="false">IF(COUNTIFS($B$2:$B$5001,B4895,$H$2:$H$5001,H4895,$J$2:$J$5001,J4895)&gt;1,"Possible Duplicate Booking","Unique")</f>
        <v>Unique</v>
      </c>
      <c r="W4895" s="9" t="str">
        <f aca="false">IF((H4895-G4895)&lt;&gt;K4895,"Mismatch","OK")</f>
        <v>OK</v>
      </c>
      <c r="X4895" s="9" t="str">
        <f aca="false">IF(TEXT(H4895,"dddd")&lt;&gt;I4895,"Mismatch","OK")</f>
        <v>OK</v>
      </c>
      <c r="Y4895" s="9" t="str">
        <f aca="false">IF(AND(N4895="No",O4895&lt;&gt;""),"Unexpected: channel present but no reminder sent",IF(AND(N4895="Yes",O4895=""),"Missing channel for sent reminder","OK"))</f>
        <v>OK</v>
      </c>
    </row>
    <row r="4896" customFormat="false" ht="15" hidden="false" customHeight="false" outlineLevel="0" collapsed="false">
      <c r="A4896" s="7" t="s">
        <v>6651</v>
      </c>
      <c r="B4896" s="7" t="s">
        <v>298</v>
      </c>
      <c r="C4896" s="7" t="s">
        <v>47</v>
      </c>
      <c r="D4896" s="7" t="n">
        <v>41</v>
      </c>
      <c r="E4896" s="7" t="s">
        <v>38</v>
      </c>
      <c r="F4896" s="7" t="s">
        <v>57</v>
      </c>
      <c r="G4896" s="8" t="n">
        <v>45893</v>
      </c>
      <c r="H4896" s="8" t="n">
        <v>45921</v>
      </c>
      <c r="I4896" s="7" t="s">
        <v>75</v>
      </c>
      <c r="J4896" s="7" t="s">
        <v>41</v>
      </c>
      <c r="K4896" s="7" t="n">
        <v>28</v>
      </c>
      <c r="L4896" s="7" t="n">
        <v>2</v>
      </c>
      <c r="M4896" s="7" t="n">
        <v>0</v>
      </c>
      <c r="N4896" s="7" t="s">
        <v>71</v>
      </c>
      <c r="O4896" s="7"/>
      <c r="P4896" s="7" t="n">
        <v>6.5</v>
      </c>
      <c r="Q4896" s="7" t="n">
        <v>34</v>
      </c>
      <c r="R4896" s="7" t="s">
        <v>53</v>
      </c>
      <c r="S4896" s="7"/>
      <c r="T4896" s="7"/>
      <c r="U4896" s="7" t="str">
        <f aca="false">IF(COUNTIF($A$2:$A$5001,A4896)&gt;1,"Duplicate","Unique")</f>
        <v>Unique</v>
      </c>
      <c r="V4896" s="7" t="str">
        <f aca="false">IF(COUNTIFS($B$2:$B$5001,B4896,$H$2:$H$5001,H4896,$J$2:$J$5001,J4896)&gt;1,"Possible Duplicate Booking","Unique")</f>
        <v>Unique</v>
      </c>
      <c r="W4896" s="7" t="str">
        <f aca="false">IF((H4896-G4896)&lt;&gt;K4896,"Mismatch","OK")</f>
        <v>OK</v>
      </c>
      <c r="X4896" s="7" t="str">
        <f aca="false">IF(TEXT(H4896,"dddd")&lt;&gt;I4896,"Mismatch","OK")</f>
        <v>OK</v>
      </c>
      <c r="Y4896" s="7" t="str">
        <f aca="false">IF(AND(N4896="No",O4896&lt;&gt;""),"Unexpected: channel present but no reminder sent",IF(AND(N4896="Yes",O4896=""),"Missing channel for sent reminder","OK"))</f>
        <v>OK</v>
      </c>
    </row>
    <row r="4897" customFormat="false" ht="15" hidden="false" customHeight="false" outlineLevel="0" collapsed="false">
      <c r="A4897" s="9" t="s">
        <v>6652</v>
      </c>
      <c r="B4897" s="9" t="s">
        <v>793</v>
      </c>
      <c r="C4897" s="9" t="s">
        <v>37</v>
      </c>
      <c r="D4897" s="9" t="n">
        <v>41</v>
      </c>
      <c r="E4897" s="9" t="s">
        <v>38</v>
      </c>
      <c r="F4897" s="9" t="s">
        <v>57</v>
      </c>
      <c r="G4897" s="10" t="n">
        <v>45831</v>
      </c>
      <c r="H4897" s="10" t="n">
        <v>45878</v>
      </c>
      <c r="I4897" s="9" t="s">
        <v>102</v>
      </c>
      <c r="J4897" s="9" t="s">
        <v>63</v>
      </c>
      <c r="K4897" s="9" t="n">
        <v>47</v>
      </c>
      <c r="L4897" s="9" t="n">
        <v>3</v>
      </c>
      <c r="M4897" s="9" t="n">
        <v>0</v>
      </c>
      <c r="N4897" s="9" t="s">
        <v>71</v>
      </c>
      <c r="O4897" s="9"/>
      <c r="P4897" s="9" t="n">
        <v>1.8</v>
      </c>
      <c r="Q4897" s="9" t="n">
        <v>25</v>
      </c>
      <c r="R4897" s="9" t="s">
        <v>44</v>
      </c>
      <c r="S4897" s="9"/>
      <c r="T4897" s="9"/>
      <c r="U4897" s="9" t="str">
        <f aca="false">IF(COUNTIF($A$2:$A$5001,A4897)&gt;1,"Duplicate","Unique")</f>
        <v>Unique</v>
      </c>
      <c r="V4897" s="9" t="str">
        <f aca="false">IF(COUNTIFS($B$2:$B$5001,B4897,$H$2:$H$5001,H4897,$J$2:$J$5001,J4897)&gt;1,"Possible Duplicate Booking","Unique")</f>
        <v>Unique</v>
      </c>
      <c r="W4897" s="9" t="str">
        <f aca="false">IF((H4897-G4897)&lt;&gt;K4897,"Mismatch","OK")</f>
        <v>OK</v>
      </c>
      <c r="X4897" s="9" t="str">
        <f aca="false">IF(TEXT(H4897,"dddd")&lt;&gt;I4897,"Mismatch","OK")</f>
        <v>OK</v>
      </c>
      <c r="Y4897" s="9" t="str">
        <f aca="false">IF(AND(N4897="No",O4897&lt;&gt;""),"Unexpected: channel present but no reminder sent",IF(AND(N4897="Yes",O4897=""),"Missing channel for sent reminder","OK"))</f>
        <v>OK</v>
      </c>
    </row>
    <row r="4898" customFormat="false" ht="15" hidden="false" customHeight="false" outlineLevel="0" collapsed="false">
      <c r="A4898" s="7" t="s">
        <v>6653</v>
      </c>
      <c r="B4898" s="7" t="s">
        <v>2922</v>
      </c>
      <c r="C4898" s="7" t="s">
        <v>47</v>
      </c>
      <c r="D4898" s="7" t="n">
        <v>55</v>
      </c>
      <c r="E4898" s="7" t="s">
        <v>61</v>
      </c>
      <c r="F4898" s="7" t="s">
        <v>57</v>
      </c>
      <c r="G4898" s="8" t="n">
        <v>46074</v>
      </c>
      <c r="H4898" s="8" t="n">
        <v>46122</v>
      </c>
      <c r="I4898" s="7" t="s">
        <v>50</v>
      </c>
      <c r="J4898" s="7" t="s">
        <v>51</v>
      </c>
      <c r="K4898" s="7" t="n">
        <v>48</v>
      </c>
      <c r="L4898" s="7" t="n">
        <v>2</v>
      </c>
      <c r="M4898" s="7" t="n">
        <v>1</v>
      </c>
      <c r="N4898" s="7" t="s">
        <v>42</v>
      </c>
      <c r="O4898" s="7" t="s">
        <v>52</v>
      </c>
      <c r="P4898" s="7" t="n">
        <v>15.3</v>
      </c>
      <c r="Q4898" s="7" t="n">
        <v>30</v>
      </c>
      <c r="R4898" s="7" t="s">
        <v>44</v>
      </c>
      <c r="S4898" s="7"/>
      <c r="T4898" s="7"/>
      <c r="U4898" s="7" t="str">
        <f aca="false">IF(COUNTIF($A$2:$A$5001,A4898)&gt;1,"Duplicate","Unique")</f>
        <v>Unique</v>
      </c>
      <c r="V4898" s="7" t="str">
        <f aca="false">IF(COUNTIFS($B$2:$B$5001,B4898,$H$2:$H$5001,H4898,$J$2:$J$5001,J4898)&gt;1,"Possible Duplicate Booking","Unique")</f>
        <v>Unique</v>
      </c>
      <c r="W4898" s="7" t="str">
        <f aca="false">IF((H4898-G4898)&lt;&gt;K4898,"Mismatch","OK")</f>
        <v>OK</v>
      </c>
      <c r="X4898" s="7" t="str">
        <f aca="false">IF(TEXT(H4898,"dddd")&lt;&gt;I4898,"Mismatch","OK")</f>
        <v>OK</v>
      </c>
      <c r="Y4898" s="7" t="str">
        <f aca="false">IF(AND(N4898="No",O4898&lt;&gt;""),"Unexpected: channel present but no reminder sent",IF(AND(N4898="Yes",O4898=""),"Missing channel for sent reminder","OK"))</f>
        <v>OK</v>
      </c>
    </row>
    <row r="4899" customFormat="false" ht="15" hidden="false" customHeight="false" outlineLevel="0" collapsed="false">
      <c r="A4899" s="9" t="s">
        <v>6654</v>
      </c>
      <c r="B4899" s="9" t="s">
        <v>395</v>
      </c>
      <c r="C4899" s="9" t="s">
        <v>47</v>
      </c>
      <c r="D4899" s="9" t="n">
        <v>47</v>
      </c>
      <c r="E4899" s="9" t="s">
        <v>56</v>
      </c>
      <c r="F4899" s="9" t="s">
        <v>57</v>
      </c>
      <c r="G4899" s="10" t="n">
        <v>45937</v>
      </c>
      <c r="H4899" s="10" t="n">
        <v>45976</v>
      </c>
      <c r="I4899" s="9" t="s">
        <v>102</v>
      </c>
      <c r="J4899" s="9" t="s">
        <v>41</v>
      </c>
      <c r="K4899" s="9" t="n">
        <v>39</v>
      </c>
      <c r="L4899" s="9" t="n">
        <v>3</v>
      </c>
      <c r="M4899" s="9" t="n">
        <v>2</v>
      </c>
      <c r="N4899" s="9" t="s">
        <v>71</v>
      </c>
      <c r="O4899" s="9"/>
      <c r="P4899" s="9" t="n">
        <v>8.2</v>
      </c>
      <c r="Q4899" s="9" t="n">
        <v>33</v>
      </c>
      <c r="R4899" s="9" t="s">
        <v>53</v>
      </c>
      <c r="S4899" s="9"/>
      <c r="T4899" s="9"/>
      <c r="U4899" s="9" t="str">
        <f aca="false">IF(COUNTIF($A$2:$A$5001,A4899)&gt;1,"Duplicate","Unique")</f>
        <v>Unique</v>
      </c>
      <c r="V4899" s="9" t="str">
        <f aca="false">IF(COUNTIFS($B$2:$B$5001,B4899,$H$2:$H$5001,H4899,$J$2:$J$5001,J4899)&gt;1,"Possible Duplicate Booking","Unique")</f>
        <v>Unique</v>
      </c>
      <c r="W4899" s="9" t="str">
        <f aca="false">IF((H4899-G4899)&lt;&gt;K4899,"Mismatch","OK")</f>
        <v>OK</v>
      </c>
      <c r="X4899" s="9" t="str">
        <f aca="false">IF(TEXT(H4899,"dddd")&lt;&gt;I4899,"Mismatch","OK")</f>
        <v>OK</v>
      </c>
      <c r="Y4899" s="9" t="str">
        <f aca="false">IF(AND(N4899="No",O4899&lt;&gt;""),"Unexpected: channel present but no reminder sent",IF(AND(N4899="Yes",O4899=""),"Missing channel for sent reminder","OK"))</f>
        <v>OK</v>
      </c>
    </row>
    <row r="4900" customFormat="false" ht="15" hidden="false" customHeight="false" outlineLevel="0" collapsed="false">
      <c r="A4900" s="7" t="s">
        <v>6655</v>
      </c>
      <c r="B4900" s="7" t="s">
        <v>1650</v>
      </c>
      <c r="C4900" s="7" t="s">
        <v>47</v>
      </c>
      <c r="D4900" s="7" t="n">
        <v>39</v>
      </c>
      <c r="E4900" s="7" t="s">
        <v>38</v>
      </c>
      <c r="F4900" s="7" t="s">
        <v>57</v>
      </c>
      <c r="G4900" s="8" t="n">
        <v>46031</v>
      </c>
      <c r="H4900" s="8" t="n">
        <v>46071</v>
      </c>
      <c r="I4900" s="7" t="s">
        <v>58</v>
      </c>
      <c r="J4900" s="7" t="s">
        <v>41</v>
      </c>
      <c r="K4900" s="7" t="n">
        <v>40</v>
      </c>
      <c r="L4900" s="7" t="n">
        <v>1</v>
      </c>
      <c r="M4900" s="7" t="n">
        <v>0</v>
      </c>
      <c r="N4900" s="7" t="s">
        <v>42</v>
      </c>
      <c r="O4900" s="7" t="s">
        <v>52</v>
      </c>
      <c r="P4900" s="7" t="n">
        <v>12.6</v>
      </c>
      <c r="Q4900" s="7" t="n">
        <v>19</v>
      </c>
      <c r="R4900" s="7" t="s">
        <v>53</v>
      </c>
      <c r="S4900" s="7"/>
      <c r="T4900" s="7"/>
      <c r="U4900" s="7" t="str">
        <f aca="false">IF(COUNTIF($A$2:$A$5001,A4900)&gt;1,"Duplicate","Unique")</f>
        <v>Unique</v>
      </c>
      <c r="V4900" s="7" t="str">
        <f aca="false">IF(COUNTIFS($B$2:$B$5001,B4900,$H$2:$H$5001,H4900,$J$2:$J$5001,J4900)&gt;1,"Possible Duplicate Booking","Unique")</f>
        <v>Unique</v>
      </c>
      <c r="W4900" s="7" t="str">
        <f aca="false">IF((H4900-G4900)&lt;&gt;K4900,"Mismatch","OK")</f>
        <v>OK</v>
      </c>
      <c r="X4900" s="7" t="str">
        <f aca="false">IF(TEXT(H4900,"dddd")&lt;&gt;I4900,"Mismatch","OK")</f>
        <v>OK</v>
      </c>
      <c r="Y4900" s="7" t="str">
        <f aca="false">IF(AND(N4900="No",O4900&lt;&gt;""),"Unexpected: channel present but no reminder sent",IF(AND(N4900="Yes",O4900=""),"Missing channel for sent reminder","OK"))</f>
        <v>OK</v>
      </c>
    </row>
    <row r="4901" customFormat="false" ht="15" hidden="false" customHeight="false" outlineLevel="0" collapsed="false">
      <c r="A4901" s="9" t="s">
        <v>6656</v>
      </c>
      <c r="B4901" s="9" t="s">
        <v>1525</v>
      </c>
      <c r="C4901" s="9" t="s">
        <v>37</v>
      </c>
      <c r="D4901" s="9" t="n">
        <v>48</v>
      </c>
      <c r="E4901" s="9" t="s">
        <v>56</v>
      </c>
      <c r="F4901" s="9" t="s">
        <v>39</v>
      </c>
      <c r="G4901" s="10" t="n">
        <v>45935</v>
      </c>
      <c r="H4901" s="10" t="n">
        <v>45977</v>
      </c>
      <c r="I4901" s="9" t="s">
        <v>75</v>
      </c>
      <c r="J4901" s="9" t="s">
        <v>51</v>
      </c>
      <c r="K4901" s="9" t="n">
        <v>42</v>
      </c>
      <c r="L4901" s="9" t="n">
        <v>2</v>
      </c>
      <c r="M4901" s="9" t="n">
        <v>0</v>
      </c>
      <c r="N4901" s="9" t="s">
        <v>42</v>
      </c>
      <c r="O4901" s="9" t="s">
        <v>43</v>
      </c>
      <c r="P4901" s="9" t="n">
        <v>4.9</v>
      </c>
      <c r="Q4901" s="9" t="n">
        <v>22</v>
      </c>
      <c r="R4901" s="9" t="s">
        <v>53</v>
      </c>
      <c r="S4901" s="9"/>
      <c r="T4901" s="9"/>
      <c r="U4901" s="9" t="str">
        <f aca="false">IF(COUNTIF($A$2:$A$5001,A4901)&gt;1,"Duplicate","Unique")</f>
        <v>Unique</v>
      </c>
      <c r="V4901" s="9" t="str">
        <f aca="false">IF(COUNTIFS($B$2:$B$5001,B4901,$H$2:$H$5001,H4901,$J$2:$J$5001,J4901)&gt;1,"Possible Duplicate Booking","Unique")</f>
        <v>Unique</v>
      </c>
      <c r="W4901" s="9" t="str">
        <f aca="false">IF((H4901-G4901)&lt;&gt;K4901,"Mismatch","OK")</f>
        <v>OK</v>
      </c>
      <c r="X4901" s="9" t="str">
        <f aca="false">IF(TEXT(H4901,"dddd")&lt;&gt;I4901,"Mismatch","OK")</f>
        <v>OK</v>
      </c>
      <c r="Y4901" s="9" t="str">
        <f aca="false">IF(AND(N4901="No",O4901&lt;&gt;""),"Unexpected: channel present but no reminder sent",IF(AND(N4901="Yes",O4901=""),"Missing channel for sent reminder","OK"))</f>
        <v>OK</v>
      </c>
    </row>
    <row r="4902" customFormat="false" ht="15" hidden="false" customHeight="false" outlineLevel="0" collapsed="false">
      <c r="A4902" s="7" t="s">
        <v>6657</v>
      </c>
      <c r="B4902" s="7" t="s">
        <v>1637</v>
      </c>
      <c r="C4902" s="7" t="s">
        <v>37</v>
      </c>
      <c r="D4902" s="7" t="n">
        <v>51</v>
      </c>
      <c r="E4902" s="7" t="s">
        <v>56</v>
      </c>
      <c r="F4902" s="7" t="s">
        <v>39</v>
      </c>
      <c r="G4902" s="8" t="n">
        <v>45811</v>
      </c>
      <c r="H4902" s="8" t="n">
        <v>45846</v>
      </c>
      <c r="I4902" s="7" t="s">
        <v>40</v>
      </c>
      <c r="J4902" s="7" t="s">
        <v>41</v>
      </c>
      <c r="K4902" s="7" t="n">
        <v>35</v>
      </c>
      <c r="L4902" s="7" t="n">
        <v>2</v>
      </c>
      <c r="M4902" s="7" t="n">
        <v>1</v>
      </c>
      <c r="N4902" s="7" t="s">
        <v>71</v>
      </c>
      <c r="O4902" s="7"/>
      <c r="P4902" s="7" t="n">
        <v>7.9</v>
      </c>
      <c r="Q4902" s="7" t="n">
        <v>36</v>
      </c>
      <c r="R4902" s="7" t="s">
        <v>44</v>
      </c>
      <c r="S4902" s="7"/>
      <c r="T4902" s="7"/>
      <c r="U4902" s="7" t="str">
        <f aca="false">IF(COUNTIF($A$2:$A$5001,A4902)&gt;1,"Duplicate","Unique")</f>
        <v>Unique</v>
      </c>
      <c r="V4902" s="7" t="str">
        <f aca="false">IF(COUNTIFS($B$2:$B$5001,B4902,$H$2:$H$5001,H4902,$J$2:$J$5001,J4902)&gt;1,"Possible Duplicate Booking","Unique")</f>
        <v>Unique</v>
      </c>
      <c r="W4902" s="7" t="str">
        <f aca="false">IF((H4902-G4902)&lt;&gt;K4902,"Mismatch","OK")</f>
        <v>OK</v>
      </c>
      <c r="X4902" s="7" t="str">
        <f aca="false">IF(TEXT(H4902,"dddd")&lt;&gt;I4902,"Mismatch","OK")</f>
        <v>OK</v>
      </c>
      <c r="Y4902" s="7" t="str">
        <f aca="false">IF(AND(N4902="No",O4902&lt;&gt;""),"Unexpected: channel present but no reminder sent",IF(AND(N4902="Yes",O4902=""),"Missing channel for sent reminder","OK"))</f>
        <v>OK</v>
      </c>
    </row>
    <row r="4903" customFormat="false" ht="15" hidden="false" customHeight="false" outlineLevel="0" collapsed="false">
      <c r="A4903" s="9" t="s">
        <v>6658</v>
      </c>
      <c r="B4903" s="9" t="s">
        <v>4570</v>
      </c>
      <c r="C4903" s="9" t="s">
        <v>47</v>
      </c>
      <c r="D4903" s="9" t="n">
        <v>33</v>
      </c>
      <c r="E4903" s="9" t="s">
        <v>48</v>
      </c>
      <c r="F4903" s="9" t="s">
        <v>49</v>
      </c>
      <c r="G4903" s="10" t="n">
        <v>46003</v>
      </c>
      <c r="H4903" s="10" t="n">
        <v>46016</v>
      </c>
      <c r="I4903" s="9" t="s">
        <v>62</v>
      </c>
      <c r="J4903" s="9" t="s">
        <v>41</v>
      </c>
      <c r="K4903" s="9" t="n">
        <v>13</v>
      </c>
      <c r="L4903" s="9" t="n">
        <v>3</v>
      </c>
      <c r="M4903" s="9" t="n">
        <v>0</v>
      </c>
      <c r="N4903" s="9" t="s">
        <v>42</v>
      </c>
      <c r="O4903" s="9" t="s">
        <v>52</v>
      </c>
      <c r="P4903" s="9" t="n">
        <v>8.8</v>
      </c>
      <c r="Q4903" s="9" t="n">
        <v>37</v>
      </c>
      <c r="R4903" s="9" t="s">
        <v>44</v>
      </c>
      <c r="S4903" s="9"/>
      <c r="T4903" s="9"/>
      <c r="U4903" s="9" t="str">
        <f aca="false">IF(COUNTIF($A$2:$A$5001,A4903)&gt;1,"Duplicate","Unique")</f>
        <v>Unique</v>
      </c>
      <c r="V4903" s="9" t="str">
        <f aca="false">IF(COUNTIFS($B$2:$B$5001,B4903,$H$2:$H$5001,H4903,$J$2:$J$5001,J4903)&gt;1,"Possible Duplicate Booking","Unique")</f>
        <v>Unique</v>
      </c>
      <c r="W4903" s="9" t="str">
        <f aca="false">IF((H4903-G4903)&lt;&gt;K4903,"Mismatch","OK")</f>
        <v>OK</v>
      </c>
      <c r="X4903" s="9" t="str">
        <f aca="false">IF(TEXT(H4903,"dddd")&lt;&gt;I4903,"Mismatch","OK")</f>
        <v>OK</v>
      </c>
      <c r="Y4903" s="9" t="str">
        <f aca="false">IF(AND(N4903="No",O4903&lt;&gt;""),"Unexpected: channel present but no reminder sent",IF(AND(N4903="Yes",O4903=""),"Missing channel for sent reminder","OK"))</f>
        <v>OK</v>
      </c>
    </row>
    <row r="4904" customFormat="false" ht="15" hidden="false" customHeight="false" outlineLevel="0" collapsed="false">
      <c r="A4904" s="7" t="s">
        <v>6659</v>
      </c>
      <c r="B4904" s="7" t="s">
        <v>722</v>
      </c>
      <c r="C4904" s="7" t="s">
        <v>47</v>
      </c>
      <c r="D4904" s="7" t="n">
        <v>58</v>
      </c>
      <c r="E4904" s="7" t="s">
        <v>61</v>
      </c>
      <c r="F4904" s="7" t="s">
        <v>39</v>
      </c>
      <c r="G4904" s="8" t="n">
        <v>45980</v>
      </c>
      <c r="H4904" s="8" t="n">
        <v>45997</v>
      </c>
      <c r="I4904" s="7" t="s">
        <v>102</v>
      </c>
      <c r="J4904" s="7" t="s">
        <v>41</v>
      </c>
      <c r="K4904" s="7" t="n">
        <v>17</v>
      </c>
      <c r="L4904" s="7" t="n">
        <v>3</v>
      </c>
      <c r="M4904" s="7" t="n">
        <v>0</v>
      </c>
      <c r="N4904" s="7" t="s">
        <v>71</v>
      </c>
      <c r="O4904" s="7"/>
      <c r="P4904" s="7" t="n">
        <v>8.7</v>
      </c>
      <c r="Q4904" s="7" t="n">
        <v>16</v>
      </c>
      <c r="R4904" s="7" t="s">
        <v>53</v>
      </c>
      <c r="S4904" s="7"/>
      <c r="T4904" s="7"/>
      <c r="U4904" s="7" t="str">
        <f aca="false">IF(COUNTIF($A$2:$A$5001,A4904)&gt;1,"Duplicate","Unique")</f>
        <v>Unique</v>
      </c>
      <c r="V4904" s="7" t="str">
        <f aca="false">IF(COUNTIFS($B$2:$B$5001,B4904,$H$2:$H$5001,H4904,$J$2:$J$5001,J4904)&gt;1,"Possible Duplicate Booking","Unique")</f>
        <v>Unique</v>
      </c>
      <c r="W4904" s="7" t="str">
        <f aca="false">IF((H4904-G4904)&lt;&gt;K4904,"Mismatch","OK")</f>
        <v>OK</v>
      </c>
      <c r="X4904" s="7" t="str">
        <f aca="false">IF(TEXT(H4904,"dddd")&lt;&gt;I4904,"Mismatch","OK")</f>
        <v>OK</v>
      </c>
      <c r="Y4904" s="7" t="str">
        <f aca="false">IF(AND(N4904="No",O4904&lt;&gt;""),"Unexpected: channel present but no reminder sent",IF(AND(N4904="Yes",O4904=""),"Missing channel for sent reminder","OK"))</f>
        <v>OK</v>
      </c>
    </row>
    <row r="4905" customFormat="false" ht="15" hidden="false" customHeight="false" outlineLevel="0" collapsed="false">
      <c r="A4905" s="9" t="s">
        <v>6660</v>
      </c>
      <c r="B4905" s="9" t="s">
        <v>1042</v>
      </c>
      <c r="C4905" s="9" t="s">
        <v>47</v>
      </c>
      <c r="D4905" s="9" t="n">
        <v>37</v>
      </c>
      <c r="E4905" s="9" t="s">
        <v>38</v>
      </c>
      <c r="F4905" s="9" t="s">
        <v>57</v>
      </c>
      <c r="G4905" s="10" t="n">
        <v>46006</v>
      </c>
      <c r="H4905" s="10" t="n">
        <v>46051</v>
      </c>
      <c r="I4905" s="9" t="s">
        <v>62</v>
      </c>
      <c r="J4905" s="9" t="s">
        <v>51</v>
      </c>
      <c r="K4905" s="9" t="n">
        <v>45</v>
      </c>
      <c r="L4905" s="9" t="n">
        <v>2</v>
      </c>
      <c r="M4905" s="9" t="n">
        <v>1</v>
      </c>
      <c r="N4905" s="9" t="s">
        <v>42</v>
      </c>
      <c r="O4905" s="9" t="s">
        <v>67</v>
      </c>
      <c r="P4905" s="9" t="n">
        <v>8.2</v>
      </c>
      <c r="Q4905" s="9" t="n">
        <v>49</v>
      </c>
      <c r="R4905" s="9" t="s">
        <v>53</v>
      </c>
      <c r="S4905" s="9"/>
      <c r="T4905" s="9"/>
      <c r="U4905" s="9" t="str">
        <f aca="false">IF(COUNTIF($A$2:$A$5001,A4905)&gt;1,"Duplicate","Unique")</f>
        <v>Unique</v>
      </c>
      <c r="V4905" s="9" t="str">
        <f aca="false">IF(COUNTIFS($B$2:$B$5001,B4905,$H$2:$H$5001,H4905,$J$2:$J$5001,J4905)&gt;1,"Possible Duplicate Booking","Unique")</f>
        <v>Unique</v>
      </c>
      <c r="W4905" s="9" t="str">
        <f aca="false">IF((H4905-G4905)&lt;&gt;K4905,"Mismatch","OK")</f>
        <v>OK</v>
      </c>
      <c r="X4905" s="9" t="str">
        <f aca="false">IF(TEXT(H4905,"dddd")&lt;&gt;I4905,"Mismatch","OK")</f>
        <v>OK</v>
      </c>
      <c r="Y4905" s="9" t="str">
        <f aca="false">IF(AND(N4905="No",O4905&lt;&gt;""),"Unexpected: channel present but no reminder sent",IF(AND(N4905="Yes",O4905=""),"Missing channel for sent reminder","OK"))</f>
        <v>OK</v>
      </c>
    </row>
    <row r="4906" customFormat="false" ht="15" hidden="false" customHeight="false" outlineLevel="0" collapsed="false">
      <c r="A4906" s="7" t="s">
        <v>6661</v>
      </c>
      <c r="B4906" s="7" t="s">
        <v>1972</v>
      </c>
      <c r="C4906" s="7" t="s">
        <v>37</v>
      </c>
      <c r="D4906" s="7" t="n">
        <v>34</v>
      </c>
      <c r="E4906" s="7" t="s">
        <v>48</v>
      </c>
      <c r="F4906" s="7" t="s">
        <v>74</v>
      </c>
      <c r="G4906" s="8" t="n">
        <v>45724</v>
      </c>
      <c r="H4906" s="8" t="n">
        <v>45761</v>
      </c>
      <c r="I4906" s="7" t="s">
        <v>66</v>
      </c>
      <c r="J4906" s="7" t="s">
        <v>51</v>
      </c>
      <c r="K4906" s="7" t="n">
        <v>37</v>
      </c>
      <c r="L4906" s="7" t="n">
        <v>2</v>
      </c>
      <c r="M4906" s="7" t="n">
        <v>0</v>
      </c>
      <c r="N4906" s="7" t="s">
        <v>42</v>
      </c>
      <c r="O4906" s="7" t="s">
        <v>52</v>
      </c>
      <c r="P4906" s="7" t="n">
        <v>14.7</v>
      </c>
      <c r="Q4906" s="7" t="n">
        <v>9</v>
      </c>
      <c r="R4906" s="7" t="s">
        <v>87</v>
      </c>
      <c r="S4906" s="7"/>
      <c r="T4906" s="7"/>
      <c r="U4906" s="7" t="str">
        <f aca="false">IF(COUNTIF($A$2:$A$5001,A4906)&gt;1,"Duplicate","Unique")</f>
        <v>Unique</v>
      </c>
      <c r="V4906" s="7" t="str">
        <f aca="false">IF(COUNTIFS($B$2:$B$5001,B4906,$H$2:$H$5001,H4906,$J$2:$J$5001,J4906)&gt;1,"Possible Duplicate Booking","Unique")</f>
        <v>Unique</v>
      </c>
      <c r="W4906" s="7" t="str">
        <f aca="false">IF((H4906-G4906)&lt;&gt;K4906,"Mismatch","OK")</f>
        <v>OK</v>
      </c>
      <c r="X4906" s="7" t="str">
        <f aca="false">IF(TEXT(H4906,"dddd")&lt;&gt;I4906,"Mismatch","OK")</f>
        <v>OK</v>
      </c>
      <c r="Y4906" s="7" t="str">
        <f aca="false">IF(AND(N4906="No",O4906&lt;&gt;""),"Unexpected: channel present but no reminder sent",IF(AND(N4906="Yes",O4906=""),"Missing channel for sent reminder","OK"))</f>
        <v>OK</v>
      </c>
    </row>
    <row r="4907" customFormat="false" ht="15" hidden="false" customHeight="false" outlineLevel="0" collapsed="false">
      <c r="A4907" s="9" t="s">
        <v>6662</v>
      </c>
      <c r="B4907" s="9" t="s">
        <v>2740</v>
      </c>
      <c r="C4907" s="9" t="s">
        <v>47</v>
      </c>
      <c r="D4907" s="9" t="n">
        <v>44</v>
      </c>
      <c r="E4907" s="9" t="s">
        <v>38</v>
      </c>
      <c r="F4907" s="9" t="s">
        <v>49</v>
      </c>
      <c r="G4907" s="10" t="n">
        <v>45994</v>
      </c>
      <c r="H4907" s="10" t="n">
        <v>46008</v>
      </c>
      <c r="I4907" s="9" t="s">
        <v>58</v>
      </c>
      <c r="J4907" s="9" t="s">
        <v>41</v>
      </c>
      <c r="K4907" s="9" t="n">
        <v>14</v>
      </c>
      <c r="L4907" s="9" t="n">
        <v>4</v>
      </c>
      <c r="M4907" s="9" t="n">
        <v>0</v>
      </c>
      <c r="N4907" s="9" t="s">
        <v>42</v>
      </c>
      <c r="O4907" s="9" t="s">
        <v>52</v>
      </c>
      <c r="P4907" s="9" t="n">
        <v>16.1</v>
      </c>
      <c r="Q4907" s="9" t="n">
        <v>2</v>
      </c>
      <c r="R4907" s="9" t="s">
        <v>53</v>
      </c>
      <c r="S4907" s="9"/>
      <c r="T4907" s="9"/>
      <c r="U4907" s="9" t="str">
        <f aca="false">IF(COUNTIF($A$2:$A$5001,A4907)&gt;1,"Duplicate","Unique")</f>
        <v>Unique</v>
      </c>
      <c r="V4907" s="9" t="str">
        <f aca="false">IF(COUNTIFS($B$2:$B$5001,B4907,$H$2:$H$5001,H4907,$J$2:$J$5001,J4907)&gt;1,"Possible Duplicate Booking","Unique")</f>
        <v>Unique</v>
      </c>
      <c r="W4907" s="9" t="str">
        <f aca="false">IF((H4907-G4907)&lt;&gt;K4907,"Mismatch","OK")</f>
        <v>OK</v>
      </c>
      <c r="X4907" s="9" t="str">
        <f aca="false">IF(TEXT(H4907,"dddd")&lt;&gt;I4907,"Mismatch","OK")</f>
        <v>OK</v>
      </c>
      <c r="Y4907" s="9" t="str">
        <f aca="false">IF(AND(N4907="No",O4907&lt;&gt;""),"Unexpected: channel present but no reminder sent",IF(AND(N4907="Yes",O4907=""),"Missing channel for sent reminder","OK"))</f>
        <v>OK</v>
      </c>
    </row>
    <row r="4908" customFormat="false" ht="15" hidden="false" customHeight="false" outlineLevel="0" collapsed="false">
      <c r="A4908" s="7" t="s">
        <v>6663</v>
      </c>
      <c r="B4908" s="7" t="s">
        <v>203</v>
      </c>
      <c r="C4908" s="7" t="s">
        <v>47</v>
      </c>
      <c r="D4908" s="7" t="n">
        <v>24</v>
      </c>
      <c r="E4908" s="7" t="s">
        <v>82</v>
      </c>
      <c r="F4908" s="7" t="s">
        <v>39</v>
      </c>
      <c r="G4908" s="8" t="n">
        <v>45760</v>
      </c>
      <c r="H4908" s="8" t="n">
        <v>45813</v>
      </c>
      <c r="I4908" s="7" t="s">
        <v>62</v>
      </c>
      <c r="J4908" s="7" t="s">
        <v>51</v>
      </c>
      <c r="K4908" s="7" t="n">
        <v>53</v>
      </c>
      <c r="L4908" s="7" t="n">
        <v>1</v>
      </c>
      <c r="M4908" s="7" t="n">
        <v>0</v>
      </c>
      <c r="N4908" s="7" t="s">
        <v>42</v>
      </c>
      <c r="O4908" s="7" t="s">
        <v>43</v>
      </c>
      <c r="P4908" s="7" t="n">
        <v>4.8</v>
      </c>
      <c r="Q4908" s="7" t="n">
        <v>43</v>
      </c>
      <c r="R4908" s="7" t="s">
        <v>53</v>
      </c>
      <c r="S4908" s="7"/>
      <c r="T4908" s="7"/>
      <c r="U4908" s="7" t="str">
        <f aca="false">IF(COUNTIF($A$2:$A$5001,A4908)&gt;1,"Duplicate","Unique")</f>
        <v>Unique</v>
      </c>
      <c r="V4908" s="7" t="str">
        <f aca="false">IF(COUNTIFS($B$2:$B$5001,B4908,$H$2:$H$5001,H4908,$J$2:$J$5001,J4908)&gt;1,"Possible Duplicate Booking","Unique")</f>
        <v>Unique</v>
      </c>
      <c r="W4908" s="7" t="str">
        <f aca="false">IF((H4908-G4908)&lt;&gt;K4908,"Mismatch","OK")</f>
        <v>OK</v>
      </c>
      <c r="X4908" s="7" t="str">
        <f aca="false">IF(TEXT(H4908,"dddd")&lt;&gt;I4908,"Mismatch","OK")</f>
        <v>OK</v>
      </c>
      <c r="Y4908" s="7" t="str">
        <f aca="false">IF(AND(N4908="No",O4908&lt;&gt;""),"Unexpected: channel present but no reminder sent",IF(AND(N4908="Yes",O4908=""),"Missing channel for sent reminder","OK"))</f>
        <v>OK</v>
      </c>
    </row>
    <row r="4909" customFormat="false" ht="15" hidden="false" customHeight="false" outlineLevel="0" collapsed="false">
      <c r="A4909" s="9" t="s">
        <v>6664</v>
      </c>
      <c r="B4909" s="9" t="s">
        <v>775</v>
      </c>
      <c r="C4909" s="9" t="s">
        <v>47</v>
      </c>
      <c r="D4909" s="9" t="n">
        <v>56</v>
      </c>
      <c r="E4909" s="9" t="s">
        <v>61</v>
      </c>
      <c r="F4909" s="9" t="s">
        <v>57</v>
      </c>
      <c r="G4909" s="10" t="n">
        <v>46030</v>
      </c>
      <c r="H4909" s="10" t="n">
        <v>46089</v>
      </c>
      <c r="I4909" s="9" t="s">
        <v>75</v>
      </c>
      <c r="J4909" s="9" t="s">
        <v>51</v>
      </c>
      <c r="K4909" s="9" t="n">
        <v>59</v>
      </c>
      <c r="L4909" s="9" t="n">
        <v>4</v>
      </c>
      <c r="M4909" s="9" t="n">
        <v>0</v>
      </c>
      <c r="N4909" s="9" t="s">
        <v>42</v>
      </c>
      <c r="O4909" s="9" t="s">
        <v>43</v>
      </c>
      <c r="P4909" s="9" t="n">
        <v>15.5</v>
      </c>
      <c r="Q4909" s="9" t="n">
        <v>32</v>
      </c>
      <c r="R4909" s="9" t="s">
        <v>53</v>
      </c>
      <c r="S4909" s="9"/>
      <c r="T4909" s="9"/>
      <c r="U4909" s="9" t="str">
        <f aca="false">IF(COUNTIF($A$2:$A$5001,A4909)&gt;1,"Duplicate","Unique")</f>
        <v>Unique</v>
      </c>
      <c r="V4909" s="9" t="str">
        <f aca="false">IF(COUNTIFS($B$2:$B$5001,B4909,$H$2:$H$5001,H4909,$J$2:$J$5001,J4909)&gt;1,"Possible Duplicate Booking","Unique")</f>
        <v>Unique</v>
      </c>
      <c r="W4909" s="9" t="str">
        <f aca="false">IF((H4909-G4909)&lt;&gt;K4909,"Mismatch","OK")</f>
        <v>OK</v>
      </c>
      <c r="X4909" s="9" t="str">
        <f aca="false">IF(TEXT(H4909,"dddd")&lt;&gt;I4909,"Mismatch","OK")</f>
        <v>OK</v>
      </c>
      <c r="Y4909" s="9" t="str">
        <f aca="false">IF(AND(N4909="No",O4909&lt;&gt;""),"Unexpected: channel present but no reminder sent",IF(AND(N4909="Yes",O4909=""),"Missing channel for sent reminder","OK"))</f>
        <v>OK</v>
      </c>
    </row>
    <row r="4910" customFormat="false" ht="15" hidden="false" customHeight="false" outlineLevel="0" collapsed="false">
      <c r="A4910" s="7" t="s">
        <v>6665</v>
      </c>
      <c r="B4910" s="7" t="s">
        <v>4295</v>
      </c>
      <c r="C4910" s="7" t="s">
        <v>37</v>
      </c>
      <c r="D4910" s="7" t="n">
        <v>64</v>
      </c>
      <c r="E4910" s="7" t="s">
        <v>61</v>
      </c>
      <c r="F4910" s="7" t="s">
        <v>39</v>
      </c>
      <c r="G4910" s="8" t="n">
        <v>46055</v>
      </c>
      <c r="H4910" s="8" t="n">
        <v>46093</v>
      </c>
      <c r="I4910" s="7" t="s">
        <v>62</v>
      </c>
      <c r="J4910" s="7" t="s">
        <v>63</v>
      </c>
      <c r="K4910" s="7" t="n">
        <v>38</v>
      </c>
      <c r="L4910" s="7" t="n">
        <v>1</v>
      </c>
      <c r="M4910" s="7" t="n">
        <v>0</v>
      </c>
      <c r="N4910" s="7" t="s">
        <v>42</v>
      </c>
      <c r="O4910" s="7" t="s">
        <v>43</v>
      </c>
      <c r="P4910" s="7" t="n">
        <v>5.2</v>
      </c>
      <c r="Q4910" s="7" t="n">
        <v>26</v>
      </c>
      <c r="R4910" s="7" t="s">
        <v>87</v>
      </c>
      <c r="S4910" s="7"/>
      <c r="T4910" s="7"/>
      <c r="U4910" s="7" t="str">
        <f aca="false">IF(COUNTIF($A$2:$A$5001,A4910)&gt;1,"Duplicate","Unique")</f>
        <v>Unique</v>
      </c>
      <c r="V4910" s="7" t="str">
        <f aca="false">IF(COUNTIFS($B$2:$B$5001,B4910,$H$2:$H$5001,H4910,$J$2:$J$5001,J4910)&gt;1,"Possible Duplicate Booking","Unique")</f>
        <v>Unique</v>
      </c>
      <c r="W4910" s="7" t="str">
        <f aca="false">IF((H4910-G4910)&lt;&gt;K4910,"Mismatch","OK")</f>
        <v>OK</v>
      </c>
      <c r="X4910" s="7" t="str">
        <f aca="false">IF(TEXT(H4910,"dddd")&lt;&gt;I4910,"Mismatch","OK")</f>
        <v>OK</v>
      </c>
      <c r="Y4910" s="7" t="str">
        <f aca="false">IF(AND(N4910="No",O4910&lt;&gt;""),"Unexpected: channel present but no reminder sent",IF(AND(N4910="Yes",O4910=""),"Missing channel for sent reminder","OK"))</f>
        <v>OK</v>
      </c>
    </row>
    <row r="4911" customFormat="false" ht="15" hidden="false" customHeight="false" outlineLevel="0" collapsed="false">
      <c r="A4911" s="9" t="s">
        <v>6666</v>
      </c>
      <c r="B4911" s="9" t="s">
        <v>1314</v>
      </c>
      <c r="C4911" s="9" t="s">
        <v>37</v>
      </c>
      <c r="D4911" s="9" t="n">
        <v>78</v>
      </c>
      <c r="E4911" s="9" t="s">
        <v>70</v>
      </c>
      <c r="F4911" s="9" t="s">
        <v>39</v>
      </c>
      <c r="G4911" s="10" t="n">
        <v>45986</v>
      </c>
      <c r="H4911" s="10" t="n">
        <v>45999</v>
      </c>
      <c r="I4911" s="9" t="s">
        <v>66</v>
      </c>
      <c r="J4911" s="9" t="s">
        <v>41</v>
      </c>
      <c r="K4911" s="9" t="n">
        <v>13</v>
      </c>
      <c r="L4911" s="9" t="n">
        <v>2</v>
      </c>
      <c r="M4911" s="9" t="n">
        <v>0</v>
      </c>
      <c r="N4911" s="9" t="s">
        <v>42</v>
      </c>
      <c r="O4911" s="9" t="s">
        <v>43</v>
      </c>
      <c r="P4911" s="9" t="n">
        <v>12.1</v>
      </c>
      <c r="Q4911" s="9" t="n">
        <v>33</v>
      </c>
      <c r="R4911" s="9" t="s">
        <v>44</v>
      </c>
      <c r="S4911" s="9"/>
      <c r="T4911" s="9"/>
      <c r="U4911" s="9" t="str">
        <f aca="false">IF(COUNTIF($A$2:$A$5001,A4911)&gt;1,"Duplicate","Unique")</f>
        <v>Unique</v>
      </c>
      <c r="V4911" s="9" t="str">
        <f aca="false">IF(COUNTIFS($B$2:$B$5001,B4911,$H$2:$H$5001,H4911,$J$2:$J$5001,J4911)&gt;1,"Possible Duplicate Booking","Unique")</f>
        <v>Unique</v>
      </c>
      <c r="W4911" s="9" t="str">
        <f aca="false">IF((H4911-G4911)&lt;&gt;K4911,"Mismatch","OK")</f>
        <v>OK</v>
      </c>
      <c r="X4911" s="9" t="str">
        <f aca="false">IF(TEXT(H4911,"dddd")&lt;&gt;I4911,"Mismatch","OK")</f>
        <v>OK</v>
      </c>
      <c r="Y4911" s="9" t="str">
        <f aca="false">IF(AND(N4911="No",O4911&lt;&gt;""),"Unexpected: channel present but no reminder sent",IF(AND(N4911="Yes",O4911=""),"Missing channel for sent reminder","OK"))</f>
        <v>OK</v>
      </c>
    </row>
    <row r="4912" customFormat="false" ht="15" hidden="false" customHeight="false" outlineLevel="0" collapsed="false">
      <c r="A4912" s="7" t="s">
        <v>6667</v>
      </c>
      <c r="B4912" s="7" t="s">
        <v>334</v>
      </c>
      <c r="C4912" s="7" t="s">
        <v>37</v>
      </c>
      <c r="D4912" s="7" t="n">
        <v>35</v>
      </c>
      <c r="E4912" s="7" t="s">
        <v>38</v>
      </c>
      <c r="F4912" s="7" t="s">
        <v>39</v>
      </c>
      <c r="G4912" s="8" t="n">
        <v>46117</v>
      </c>
      <c r="H4912" s="8" t="n">
        <v>46174</v>
      </c>
      <c r="I4912" s="7" t="s">
        <v>66</v>
      </c>
      <c r="J4912" s="7" t="s">
        <v>41</v>
      </c>
      <c r="K4912" s="7" t="n">
        <v>57</v>
      </c>
      <c r="L4912" s="7" t="n">
        <v>5</v>
      </c>
      <c r="M4912" s="7" t="n">
        <v>0</v>
      </c>
      <c r="N4912" s="7" t="s">
        <v>42</v>
      </c>
      <c r="O4912" s="7" t="s">
        <v>67</v>
      </c>
      <c r="P4912" s="7" t="n">
        <v>1.6</v>
      </c>
      <c r="Q4912" s="7" t="n">
        <v>17</v>
      </c>
      <c r="R4912" s="7" t="s">
        <v>44</v>
      </c>
      <c r="S4912" s="7"/>
      <c r="T4912" s="7"/>
      <c r="U4912" s="7" t="str">
        <f aca="false">IF(COUNTIF($A$2:$A$5001,A4912)&gt;1,"Duplicate","Unique")</f>
        <v>Unique</v>
      </c>
      <c r="V4912" s="7" t="str">
        <f aca="false">IF(COUNTIFS($B$2:$B$5001,B4912,$H$2:$H$5001,H4912,$J$2:$J$5001,J4912)&gt;1,"Possible Duplicate Booking","Unique")</f>
        <v>Unique</v>
      </c>
      <c r="W4912" s="7" t="str">
        <f aca="false">IF((H4912-G4912)&lt;&gt;K4912,"Mismatch","OK")</f>
        <v>OK</v>
      </c>
      <c r="X4912" s="7" t="str">
        <f aca="false">IF(TEXT(H4912,"dddd")&lt;&gt;I4912,"Mismatch","OK")</f>
        <v>OK</v>
      </c>
      <c r="Y4912" s="7" t="str">
        <f aca="false">IF(AND(N4912="No",O4912&lt;&gt;""),"Unexpected: channel present but no reminder sent",IF(AND(N4912="Yes",O4912=""),"Missing channel for sent reminder","OK"))</f>
        <v>OK</v>
      </c>
    </row>
    <row r="4913" customFormat="false" ht="15" hidden="false" customHeight="false" outlineLevel="0" collapsed="false">
      <c r="A4913" s="9" t="s">
        <v>6668</v>
      </c>
      <c r="B4913" s="9" t="s">
        <v>5686</v>
      </c>
      <c r="C4913" s="9" t="s">
        <v>47</v>
      </c>
      <c r="D4913" s="9" t="n">
        <v>51</v>
      </c>
      <c r="E4913" s="9" t="s">
        <v>56</v>
      </c>
      <c r="F4913" s="9" t="s">
        <v>49</v>
      </c>
      <c r="G4913" s="10" t="n">
        <v>45937</v>
      </c>
      <c r="H4913" s="10" t="n">
        <v>45951</v>
      </c>
      <c r="I4913" s="9" t="s">
        <v>40</v>
      </c>
      <c r="J4913" s="9" t="s">
        <v>63</v>
      </c>
      <c r="K4913" s="9" t="n">
        <v>14</v>
      </c>
      <c r="L4913" s="9" t="n">
        <v>7</v>
      </c>
      <c r="M4913" s="9" t="n">
        <v>2</v>
      </c>
      <c r="N4913" s="9" t="s">
        <v>42</v>
      </c>
      <c r="O4913" s="9" t="s">
        <v>43</v>
      </c>
      <c r="P4913" s="9" t="n">
        <v>14.8</v>
      </c>
      <c r="Q4913" s="9" t="n">
        <v>5</v>
      </c>
      <c r="R4913" s="9" t="s">
        <v>44</v>
      </c>
      <c r="S4913" s="9"/>
      <c r="T4913" s="9"/>
      <c r="U4913" s="9" t="str">
        <f aca="false">IF(COUNTIF($A$2:$A$5001,A4913)&gt;1,"Duplicate","Unique")</f>
        <v>Unique</v>
      </c>
      <c r="V4913" s="9" t="str">
        <f aca="false">IF(COUNTIFS($B$2:$B$5001,B4913,$H$2:$H$5001,H4913,$J$2:$J$5001,J4913)&gt;1,"Possible Duplicate Booking","Unique")</f>
        <v>Unique</v>
      </c>
      <c r="W4913" s="9" t="str">
        <f aca="false">IF((H4913-G4913)&lt;&gt;K4913,"Mismatch","OK")</f>
        <v>OK</v>
      </c>
      <c r="X4913" s="9" t="str">
        <f aca="false">IF(TEXT(H4913,"dddd")&lt;&gt;I4913,"Mismatch","OK")</f>
        <v>OK</v>
      </c>
      <c r="Y4913" s="9" t="str">
        <f aca="false">IF(AND(N4913="No",O4913&lt;&gt;""),"Unexpected: channel present but no reminder sent",IF(AND(N4913="Yes",O4913=""),"Missing channel for sent reminder","OK"))</f>
        <v>OK</v>
      </c>
    </row>
    <row r="4914" customFormat="false" ht="15" hidden="false" customHeight="false" outlineLevel="0" collapsed="false">
      <c r="A4914" s="7" t="s">
        <v>6669</v>
      </c>
      <c r="B4914" s="7" t="s">
        <v>3266</v>
      </c>
      <c r="C4914" s="7" t="s">
        <v>47</v>
      </c>
      <c r="D4914" s="7" t="n">
        <v>49</v>
      </c>
      <c r="E4914" s="7" t="s">
        <v>56</v>
      </c>
      <c r="F4914" s="7" t="s">
        <v>74</v>
      </c>
      <c r="G4914" s="8" t="n">
        <v>45645</v>
      </c>
      <c r="H4914" s="8" t="n">
        <v>45671</v>
      </c>
      <c r="I4914" s="7" t="s">
        <v>40</v>
      </c>
      <c r="J4914" s="7" t="s">
        <v>51</v>
      </c>
      <c r="K4914" s="7" t="n">
        <v>26</v>
      </c>
      <c r="L4914" s="7" t="n">
        <v>3</v>
      </c>
      <c r="M4914" s="7" t="n">
        <v>2</v>
      </c>
      <c r="N4914" s="7" t="s">
        <v>71</v>
      </c>
      <c r="O4914" s="7"/>
      <c r="P4914" s="7" t="n">
        <v>11.3</v>
      </c>
      <c r="Q4914" s="7" t="n">
        <v>19</v>
      </c>
      <c r="R4914" s="7" t="s">
        <v>44</v>
      </c>
      <c r="S4914" s="7"/>
      <c r="T4914" s="7"/>
      <c r="U4914" s="7" t="str">
        <f aca="false">IF(COUNTIF($A$2:$A$5001,A4914)&gt;1,"Duplicate","Unique")</f>
        <v>Unique</v>
      </c>
      <c r="V4914" s="7" t="str">
        <f aca="false">IF(COUNTIFS($B$2:$B$5001,B4914,$H$2:$H$5001,H4914,$J$2:$J$5001,J4914)&gt;1,"Possible Duplicate Booking","Unique")</f>
        <v>Unique</v>
      </c>
      <c r="W4914" s="7" t="str">
        <f aca="false">IF((H4914-G4914)&lt;&gt;K4914,"Mismatch","OK")</f>
        <v>OK</v>
      </c>
      <c r="X4914" s="7" t="str">
        <f aca="false">IF(TEXT(H4914,"dddd")&lt;&gt;I4914,"Mismatch","OK")</f>
        <v>OK</v>
      </c>
      <c r="Y4914" s="7" t="str">
        <f aca="false">IF(AND(N4914="No",O4914&lt;&gt;""),"Unexpected: channel present but no reminder sent",IF(AND(N4914="Yes",O4914=""),"Missing channel for sent reminder","OK"))</f>
        <v>OK</v>
      </c>
    </row>
    <row r="4915" customFormat="false" ht="15" hidden="false" customHeight="false" outlineLevel="0" collapsed="false">
      <c r="A4915" s="9" t="s">
        <v>6670</v>
      </c>
      <c r="B4915" s="9" t="s">
        <v>560</v>
      </c>
      <c r="C4915" s="9" t="s">
        <v>47</v>
      </c>
      <c r="D4915" s="9" t="n">
        <v>64</v>
      </c>
      <c r="E4915" s="9" t="s">
        <v>61</v>
      </c>
      <c r="F4915" s="9" t="s">
        <v>74</v>
      </c>
      <c r="G4915" s="10" t="n">
        <v>45936</v>
      </c>
      <c r="H4915" s="10" t="n">
        <v>45988</v>
      </c>
      <c r="I4915" s="9" t="s">
        <v>62</v>
      </c>
      <c r="J4915" s="9" t="s">
        <v>51</v>
      </c>
      <c r="K4915" s="9" t="n">
        <v>52</v>
      </c>
      <c r="L4915" s="9" t="n">
        <v>4</v>
      </c>
      <c r="M4915" s="9" t="n">
        <v>2</v>
      </c>
      <c r="N4915" s="9" t="s">
        <v>42</v>
      </c>
      <c r="O4915" s="9" t="s">
        <v>52</v>
      </c>
      <c r="P4915" s="9" t="n">
        <v>5.4</v>
      </c>
      <c r="Q4915" s="9" t="n">
        <v>16</v>
      </c>
      <c r="R4915" s="9" t="s">
        <v>53</v>
      </c>
      <c r="S4915" s="9"/>
      <c r="T4915" s="9"/>
      <c r="U4915" s="9" t="str">
        <f aca="false">IF(COUNTIF($A$2:$A$5001,A4915)&gt;1,"Duplicate","Unique")</f>
        <v>Unique</v>
      </c>
      <c r="V4915" s="9" t="str">
        <f aca="false">IF(COUNTIFS($B$2:$B$5001,B4915,$H$2:$H$5001,H4915,$J$2:$J$5001,J4915)&gt;1,"Possible Duplicate Booking","Unique")</f>
        <v>Unique</v>
      </c>
      <c r="W4915" s="9" t="str">
        <f aca="false">IF((H4915-G4915)&lt;&gt;K4915,"Mismatch","OK")</f>
        <v>OK</v>
      </c>
      <c r="X4915" s="9" t="str">
        <f aca="false">IF(TEXT(H4915,"dddd")&lt;&gt;I4915,"Mismatch","OK")</f>
        <v>OK</v>
      </c>
      <c r="Y4915" s="9" t="str">
        <f aca="false">IF(AND(N4915="No",O4915&lt;&gt;""),"Unexpected: channel present but no reminder sent",IF(AND(N4915="Yes",O4915=""),"Missing channel for sent reminder","OK"))</f>
        <v>OK</v>
      </c>
    </row>
    <row r="4916" customFormat="false" ht="15" hidden="false" customHeight="false" outlineLevel="0" collapsed="false">
      <c r="A4916" s="7" t="s">
        <v>6671</v>
      </c>
      <c r="B4916" s="7" t="s">
        <v>3683</v>
      </c>
      <c r="C4916" s="7" t="s">
        <v>37</v>
      </c>
      <c r="D4916" s="7" t="n">
        <v>57</v>
      </c>
      <c r="E4916" s="7" t="s">
        <v>61</v>
      </c>
      <c r="F4916" s="7" t="s">
        <v>39</v>
      </c>
      <c r="G4916" s="8" t="n">
        <v>46051</v>
      </c>
      <c r="H4916" s="8" t="n">
        <v>46082</v>
      </c>
      <c r="I4916" s="7" t="s">
        <v>75</v>
      </c>
      <c r="J4916" s="7" t="s">
        <v>41</v>
      </c>
      <c r="K4916" s="7" t="n">
        <v>31</v>
      </c>
      <c r="L4916" s="7" t="n">
        <v>3</v>
      </c>
      <c r="M4916" s="7" t="n">
        <v>0</v>
      </c>
      <c r="N4916" s="7" t="s">
        <v>42</v>
      </c>
      <c r="O4916" s="7" t="s">
        <v>52</v>
      </c>
      <c r="P4916" s="7" t="n">
        <v>9.3</v>
      </c>
      <c r="Q4916" s="7" t="n">
        <v>13</v>
      </c>
      <c r="R4916" s="7" t="s">
        <v>53</v>
      </c>
      <c r="S4916" s="7"/>
      <c r="T4916" s="7"/>
      <c r="U4916" s="7" t="str">
        <f aca="false">IF(COUNTIF($A$2:$A$5001,A4916)&gt;1,"Duplicate","Unique")</f>
        <v>Unique</v>
      </c>
      <c r="V4916" s="7" t="str">
        <f aca="false">IF(COUNTIFS($B$2:$B$5001,B4916,$H$2:$H$5001,H4916,$J$2:$J$5001,J4916)&gt;1,"Possible Duplicate Booking","Unique")</f>
        <v>Unique</v>
      </c>
      <c r="W4916" s="7" t="str">
        <f aca="false">IF((H4916-G4916)&lt;&gt;K4916,"Mismatch","OK")</f>
        <v>OK</v>
      </c>
      <c r="X4916" s="7" t="str">
        <f aca="false">IF(TEXT(H4916,"dddd")&lt;&gt;I4916,"Mismatch","OK")</f>
        <v>OK</v>
      </c>
      <c r="Y4916" s="7" t="str">
        <f aca="false">IF(AND(N4916="No",O4916&lt;&gt;""),"Unexpected: channel present but no reminder sent",IF(AND(N4916="Yes",O4916=""),"Missing channel for sent reminder","OK"))</f>
        <v>OK</v>
      </c>
    </row>
    <row r="4917" customFormat="false" ht="15" hidden="false" customHeight="false" outlineLevel="0" collapsed="false">
      <c r="A4917" s="9" t="s">
        <v>6672</v>
      </c>
      <c r="B4917" s="9" t="s">
        <v>2345</v>
      </c>
      <c r="C4917" s="9" t="s">
        <v>47</v>
      </c>
      <c r="D4917" s="9" t="n">
        <v>68</v>
      </c>
      <c r="E4917" s="9" t="s">
        <v>70</v>
      </c>
      <c r="F4917" s="9" t="s">
        <v>74</v>
      </c>
      <c r="G4917" s="10" t="n">
        <v>45699</v>
      </c>
      <c r="H4917" s="10" t="n">
        <v>45713</v>
      </c>
      <c r="I4917" s="9" t="s">
        <v>40</v>
      </c>
      <c r="J4917" s="9" t="s">
        <v>51</v>
      </c>
      <c r="K4917" s="9" t="n">
        <v>14</v>
      </c>
      <c r="L4917" s="9" t="n">
        <v>4</v>
      </c>
      <c r="M4917" s="9" t="n">
        <v>2</v>
      </c>
      <c r="N4917" s="9" t="s">
        <v>42</v>
      </c>
      <c r="O4917" s="9" t="s">
        <v>67</v>
      </c>
      <c r="P4917" s="9" t="n">
        <v>8.2</v>
      </c>
      <c r="Q4917" s="9" t="n">
        <v>17</v>
      </c>
      <c r="R4917" s="9" t="s">
        <v>53</v>
      </c>
      <c r="S4917" s="9"/>
      <c r="T4917" s="9"/>
      <c r="U4917" s="9" t="str">
        <f aca="false">IF(COUNTIF($A$2:$A$5001,A4917)&gt;1,"Duplicate","Unique")</f>
        <v>Unique</v>
      </c>
      <c r="V4917" s="9" t="str">
        <f aca="false">IF(COUNTIFS($B$2:$B$5001,B4917,$H$2:$H$5001,H4917,$J$2:$J$5001,J4917)&gt;1,"Possible Duplicate Booking","Unique")</f>
        <v>Unique</v>
      </c>
      <c r="W4917" s="9" t="str">
        <f aca="false">IF((H4917-G4917)&lt;&gt;K4917,"Mismatch","OK")</f>
        <v>OK</v>
      </c>
      <c r="X4917" s="9" t="str">
        <f aca="false">IF(TEXT(H4917,"dddd")&lt;&gt;I4917,"Mismatch","OK")</f>
        <v>OK</v>
      </c>
      <c r="Y4917" s="9" t="str">
        <f aca="false">IF(AND(N4917="No",O4917&lt;&gt;""),"Unexpected: channel present but no reminder sent",IF(AND(N4917="Yes",O4917=""),"Missing channel for sent reminder","OK"))</f>
        <v>OK</v>
      </c>
    </row>
    <row r="4918" customFormat="false" ht="15" hidden="false" customHeight="false" outlineLevel="0" collapsed="false">
      <c r="A4918" s="7" t="s">
        <v>6673</v>
      </c>
      <c r="B4918" s="7" t="s">
        <v>673</v>
      </c>
      <c r="C4918" s="7" t="s">
        <v>47</v>
      </c>
      <c r="D4918" s="7" t="n">
        <v>71</v>
      </c>
      <c r="E4918" s="7" t="s">
        <v>70</v>
      </c>
      <c r="F4918" s="7" t="s">
        <v>74</v>
      </c>
      <c r="G4918" s="8" t="n">
        <v>45711</v>
      </c>
      <c r="H4918" s="8" t="n">
        <v>45715</v>
      </c>
      <c r="I4918" s="7" t="s">
        <v>62</v>
      </c>
      <c r="J4918" s="7" t="s">
        <v>51</v>
      </c>
      <c r="K4918" s="7" t="n">
        <v>4</v>
      </c>
      <c r="L4918" s="7" t="n">
        <v>2</v>
      </c>
      <c r="M4918" s="7" t="n">
        <v>0</v>
      </c>
      <c r="N4918" s="7" t="s">
        <v>42</v>
      </c>
      <c r="O4918" s="7" t="s">
        <v>52</v>
      </c>
      <c r="P4918" s="7" t="n">
        <v>9.9</v>
      </c>
      <c r="Q4918" s="7" t="n">
        <v>18</v>
      </c>
      <c r="R4918" s="7" t="s">
        <v>53</v>
      </c>
      <c r="S4918" s="7"/>
      <c r="T4918" s="7"/>
      <c r="U4918" s="7" t="str">
        <f aca="false">IF(COUNTIF($A$2:$A$5001,A4918)&gt;1,"Duplicate","Unique")</f>
        <v>Unique</v>
      </c>
      <c r="V4918" s="7" t="str">
        <f aca="false">IF(COUNTIFS($B$2:$B$5001,B4918,$H$2:$H$5001,H4918,$J$2:$J$5001,J4918)&gt;1,"Possible Duplicate Booking","Unique")</f>
        <v>Unique</v>
      </c>
      <c r="W4918" s="7" t="str">
        <f aca="false">IF((H4918-G4918)&lt;&gt;K4918,"Mismatch","OK")</f>
        <v>OK</v>
      </c>
      <c r="X4918" s="7" t="str">
        <f aca="false">IF(TEXT(H4918,"dddd")&lt;&gt;I4918,"Mismatch","OK")</f>
        <v>OK</v>
      </c>
      <c r="Y4918" s="7" t="str">
        <f aca="false">IF(AND(N4918="No",O4918&lt;&gt;""),"Unexpected: channel present but no reminder sent",IF(AND(N4918="Yes",O4918=""),"Missing channel for sent reminder","OK"))</f>
        <v>OK</v>
      </c>
    </row>
    <row r="4919" customFormat="false" ht="15" hidden="false" customHeight="false" outlineLevel="0" collapsed="false">
      <c r="A4919" s="9" t="s">
        <v>6674</v>
      </c>
      <c r="B4919" s="9" t="s">
        <v>108</v>
      </c>
      <c r="C4919" s="9" t="s">
        <v>37</v>
      </c>
      <c r="D4919" s="9" t="n">
        <v>25</v>
      </c>
      <c r="E4919" s="9" t="s">
        <v>48</v>
      </c>
      <c r="F4919" s="9" t="s">
        <v>57</v>
      </c>
      <c r="G4919" s="10" t="n">
        <v>45785</v>
      </c>
      <c r="H4919" s="10" t="n">
        <v>45807</v>
      </c>
      <c r="I4919" s="9" t="s">
        <v>50</v>
      </c>
      <c r="J4919" s="9" t="s">
        <v>41</v>
      </c>
      <c r="K4919" s="9" t="n">
        <v>22</v>
      </c>
      <c r="L4919" s="9" t="n">
        <v>4</v>
      </c>
      <c r="M4919" s="9" t="n">
        <v>0</v>
      </c>
      <c r="N4919" s="9" t="s">
        <v>42</v>
      </c>
      <c r="O4919" s="9" t="s">
        <v>43</v>
      </c>
      <c r="P4919" s="9" t="n">
        <v>10.1</v>
      </c>
      <c r="Q4919" s="9" t="n">
        <v>19</v>
      </c>
      <c r="R4919" s="9" t="s">
        <v>44</v>
      </c>
      <c r="S4919" s="9"/>
      <c r="T4919" s="9"/>
      <c r="U4919" s="9" t="str">
        <f aca="false">IF(COUNTIF($A$2:$A$5001,A4919)&gt;1,"Duplicate","Unique")</f>
        <v>Unique</v>
      </c>
      <c r="V4919" s="9" t="str">
        <f aca="false">IF(COUNTIFS($B$2:$B$5001,B4919,$H$2:$H$5001,H4919,$J$2:$J$5001,J4919)&gt;1,"Possible Duplicate Booking","Unique")</f>
        <v>Unique</v>
      </c>
      <c r="W4919" s="9" t="str">
        <f aca="false">IF((H4919-G4919)&lt;&gt;K4919,"Mismatch","OK")</f>
        <v>OK</v>
      </c>
      <c r="X4919" s="9" t="str">
        <f aca="false">IF(TEXT(H4919,"dddd")&lt;&gt;I4919,"Mismatch","OK")</f>
        <v>OK</v>
      </c>
      <c r="Y4919" s="9" t="str">
        <f aca="false">IF(AND(N4919="No",O4919&lt;&gt;""),"Unexpected: channel present but no reminder sent",IF(AND(N4919="Yes",O4919=""),"Missing channel for sent reminder","OK"))</f>
        <v>OK</v>
      </c>
    </row>
    <row r="4920" customFormat="false" ht="15" hidden="false" customHeight="false" outlineLevel="0" collapsed="false">
      <c r="A4920" s="7" t="s">
        <v>6675</v>
      </c>
      <c r="B4920" s="7" t="s">
        <v>2961</v>
      </c>
      <c r="C4920" s="7" t="s">
        <v>37</v>
      </c>
      <c r="D4920" s="7" t="n">
        <v>40</v>
      </c>
      <c r="E4920" s="7" t="s">
        <v>38</v>
      </c>
      <c r="F4920" s="7" t="s">
        <v>39</v>
      </c>
      <c r="G4920" s="8" t="n">
        <v>46078</v>
      </c>
      <c r="H4920" s="8" t="n">
        <v>46118</v>
      </c>
      <c r="I4920" s="7" t="s">
        <v>66</v>
      </c>
      <c r="J4920" s="7" t="s">
        <v>51</v>
      </c>
      <c r="K4920" s="7" t="n">
        <v>40</v>
      </c>
      <c r="L4920" s="7" t="n">
        <v>3</v>
      </c>
      <c r="M4920" s="7" t="n">
        <v>0</v>
      </c>
      <c r="N4920" s="7" t="s">
        <v>42</v>
      </c>
      <c r="O4920" s="7" t="s">
        <v>52</v>
      </c>
      <c r="P4920" s="7" t="n">
        <v>8.3</v>
      </c>
      <c r="Q4920" s="7" t="n">
        <v>28</v>
      </c>
      <c r="R4920" s="7" t="s">
        <v>44</v>
      </c>
      <c r="S4920" s="7"/>
      <c r="T4920" s="7"/>
      <c r="U4920" s="7" t="str">
        <f aca="false">IF(COUNTIF($A$2:$A$5001,A4920)&gt;1,"Duplicate","Unique")</f>
        <v>Unique</v>
      </c>
      <c r="V4920" s="7" t="str">
        <f aca="false">IF(COUNTIFS($B$2:$B$5001,B4920,$H$2:$H$5001,H4920,$J$2:$J$5001,J4920)&gt;1,"Possible Duplicate Booking","Unique")</f>
        <v>Unique</v>
      </c>
      <c r="W4920" s="7" t="str">
        <f aca="false">IF((H4920-G4920)&lt;&gt;K4920,"Mismatch","OK")</f>
        <v>OK</v>
      </c>
      <c r="X4920" s="7" t="str">
        <f aca="false">IF(TEXT(H4920,"dddd")&lt;&gt;I4920,"Mismatch","OK")</f>
        <v>OK</v>
      </c>
      <c r="Y4920" s="7" t="str">
        <f aca="false">IF(AND(N4920="No",O4920&lt;&gt;""),"Unexpected: channel present but no reminder sent",IF(AND(N4920="Yes",O4920=""),"Missing channel for sent reminder","OK"))</f>
        <v>OK</v>
      </c>
    </row>
    <row r="4921" customFormat="false" ht="15" hidden="false" customHeight="false" outlineLevel="0" collapsed="false">
      <c r="A4921" s="9" t="s">
        <v>6676</v>
      </c>
      <c r="B4921" s="9" t="s">
        <v>154</v>
      </c>
      <c r="C4921" s="9" t="s">
        <v>37</v>
      </c>
      <c r="D4921" s="9" t="n">
        <v>59</v>
      </c>
      <c r="E4921" s="9" t="s">
        <v>61</v>
      </c>
      <c r="F4921" s="9" t="s">
        <v>57</v>
      </c>
      <c r="G4921" s="10" t="n">
        <v>45902</v>
      </c>
      <c r="H4921" s="10" t="n">
        <v>45945</v>
      </c>
      <c r="I4921" s="9" t="s">
        <v>58</v>
      </c>
      <c r="J4921" s="9" t="s">
        <v>41</v>
      </c>
      <c r="K4921" s="9" t="n">
        <v>43</v>
      </c>
      <c r="L4921" s="9" t="n">
        <v>2</v>
      </c>
      <c r="M4921" s="9" t="n">
        <v>1</v>
      </c>
      <c r="N4921" s="9" t="s">
        <v>42</v>
      </c>
      <c r="O4921" s="9" t="s">
        <v>43</v>
      </c>
      <c r="P4921" s="9" t="n">
        <v>21.5</v>
      </c>
      <c r="Q4921" s="9" t="n">
        <v>30</v>
      </c>
      <c r="R4921" s="9" t="s">
        <v>44</v>
      </c>
      <c r="S4921" s="9"/>
      <c r="T4921" s="9"/>
      <c r="U4921" s="9" t="str">
        <f aca="false">IF(COUNTIF($A$2:$A$5001,A4921)&gt;1,"Duplicate","Unique")</f>
        <v>Unique</v>
      </c>
      <c r="V4921" s="9" t="str">
        <f aca="false">IF(COUNTIFS($B$2:$B$5001,B4921,$H$2:$H$5001,H4921,$J$2:$J$5001,J4921)&gt;1,"Possible Duplicate Booking","Unique")</f>
        <v>Unique</v>
      </c>
      <c r="W4921" s="9" t="str">
        <f aca="false">IF((H4921-G4921)&lt;&gt;K4921,"Mismatch","OK")</f>
        <v>OK</v>
      </c>
      <c r="X4921" s="9" t="str">
        <f aca="false">IF(TEXT(H4921,"dddd")&lt;&gt;I4921,"Mismatch","OK")</f>
        <v>OK</v>
      </c>
      <c r="Y4921" s="9" t="str">
        <f aca="false">IF(AND(N4921="No",O4921&lt;&gt;""),"Unexpected: channel present but no reminder sent",IF(AND(N4921="Yes",O4921=""),"Missing channel for sent reminder","OK"))</f>
        <v>OK</v>
      </c>
    </row>
    <row r="4922" customFormat="false" ht="15" hidden="false" customHeight="false" outlineLevel="0" collapsed="false">
      <c r="A4922" s="7" t="s">
        <v>6677</v>
      </c>
      <c r="B4922" s="7" t="s">
        <v>562</v>
      </c>
      <c r="C4922" s="7" t="s">
        <v>47</v>
      </c>
      <c r="D4922" s="7" t="n">
        <v>52</v>
      </c>
      <c r="E4922" s="7" t="s">
        <v>56</v>
      </c>
      <c r="F4922" s="7" t="s">
        <v>57</v>
      </c>
      <c r="G4922" s="8" t="n">
        <v>46178</v>
      </c>
      <c r="H4922" s="8" t="n">
        <v>46191</v>
      </c>
      <c r="I4922" s="7" t="s">
        <v>62</v>
      </c>
      <c r="J4922" s="7" t="s">
        <v>41</v>
      </c>
      <c r="K4922" s="7" t="n">
        <v>13</v>
      </c>
      <c r="L4922" s="7" t="n">
        <v>3</v>
      </c>
      <c r="M4922" s="7" t="n">
        <v>0</v>
      </c>
      <c r="N4922" s="7" t="s">
        <v>42</v>
      </c>
      <c r="O4922" s="7" t="s">
        <v>52</v>
      </c>
      <c r="P4922" s="7" t="n">
        <v>6.5</v>
      </c>
      <c r="Q4922" s="7" t="n">
        <v>27</v>
      </c>
      <c r="R4922" s="7" t="s">
        <v>44</v>
      </c>
      <c r="S4922" s="7"/>
      <c r="T4922" s="7"/>
      <c r="U4922" s="7" t="str">
        <f aca="false">IF(COUNTIF($A$2:$A$5001,A4922)&gt;1,"Duplicate","Unique")</f>
        <v>Unique</v>
      </c>
      <c r="V4922" s="7" t="str">
        <f aca="false">IF(COUNTIFS($B$2:$B$5001,B4922,$H$2:$H$5001,H4922,$J$2:$J$5001,J4922)&gt;1,"Possible Duplicate Booking","Unique")</f>
        <v>Unique</v>
      </c>
      <c r="W4922" s="7" t="str">
        <f aca="false">IF((H4922-G4922)&lt;&gt;K4922,"Mismatch","OK")</f>
        <v>OK</v>
      </c>
      <c r="X4922" s="7" t="str">
        <f aca="false">IF(TEXT(H4922,"dddd")&lt;&gt;I4922,"Mismatch","OK")</f>
        <v>OK</v>
      </c>
      <c r="Y4922" s="7" t="str">
        <f aca="false">IF(AND(N4922="No",O4922&lt;&gt;""),"Unexpected: channel present but no reminder sent",IF(AND(N4922="Yes",O4922=""),"Missing channel for sent reminder","OK"))</f>
        <v>OK</v>
      </c>
    </row>
    <row r="4923" customFormat="false" ht="15" hidden="false" customHeight="false" outlineLevel="0" collapsed="false">
      <c r="A4923" s="9" t="s">
        <v>6678</v>
      </c>
      <c r="B4923" s="9" t="s">
        <v>897</v>
      </c>
      <c r="C4923" s="9" t="s">
        <v>37</v>
      </c>
      <c r="D4923" s="9" t="n">
        <v>48</v>
      </c>
      <c r="E4923" s="9" t="s">
        <v>56</v>
      </c>
      <c r="F4923" s="9" t="s">
        <v>57</v>
      </c>
      <c r="G4923" s="10" t="n">
        <v>46125</v>
      </c>
      <c r="H4923" s="10" t="n">
        <v>46134</v>
      </c>
      <c r="I4923" s="9" t="s">
        <v>58</v>
      </c>
      <c r="J4923" s="9" t="s">
        <v>41</v>
      </c>
      <c r="K4923" s="9" t="n">
        <v>9</v>
      </c>
      <c r="L4923" s="9" t="n">
        <v>2</v>
      </c>
      <c r="M4923" s="9" t="n">
        <v>0</v>
      </c>
      <c r="N4923" s="9" t="s">
        <v>42</v>
      </c>
      <c r="O4923" s="9" t="s">
        <v>52</v>
      </c>
      <c r="P4923" s="9" t="n">
        <v>11.9</v>
      </c>
      <c r="Q4923" s="9" t="n">
        <v>2</v>
      </c>
      <c r="R4923" s="9" t="s">
        <v>53</v>
      </c>
      <c r="S4923" s="9"/>
      <c r="T4923" s="9"/>
      <c r="U4923" s="9" t="str">
        <f aca="false">IF(COUNTIF($A$2:$A$5001,A4923)&gt;1,"Duplicate","Unique")</f>
        <v>Unique</v>
      </c>
      <c r="V4923" s="9" t="str">
        <f aca="false">IF(COUNTIFS($B$2:$B$5001,B4923,$H$2:$H$5001,H4923,$J$2:$J$5001,J4923)&gt;1,"Possible Duplicate Booking","Unique")</f>
        <v>Unique</v>
      </c>
      <c r="W4923" s="9" t="str">
        <f aca="false">IF((H4923-G4923)&lt;&gt;K4923,"Mismatch","OK")</f>
        <v>OK</v>
      </c>
      <c r="X4923" s="9" t="str">
        <f aca="false">IF(TEXT(H4923,"dddd")&lt;&gt;I4923,"Mismatch","OK")</f>
        <v>OK</v>
      </c>
      <c r="Y4923" s="9" t="str">
        <f aca="false">IF(AND(N4923="No",O4923&lt;&gt;""),"Unexpected: channel present but no reminder sent",IF(AND(N4923="Yes",O4923=""),"Missing channel for sent reminder","OK"))</f>
        <v>OK</v>
      </c>
    </row>
    <row r="4924" customFormat="false" ht="15" hidden="false" customHeight="false" outlineLevel="0" collapsed="false">
      <c r="A4924" s="7" t="s">
        <v>6679</v>
      </c>
      <c r="B4924" s="7" t="s">
        <v>4539</v>
      </c>
      <c r="C4924" s="7" t="s">
        <v>37</v>
      </c>
      <c r="D4924" s="7" t="n">
        <v>28</v>
      </c>
      <c r="E4924" s="7" t="s">
        <v>48</v>
      </c>
      <c r="F4924" s="7" t="s">
        <v>39</v>
      </c>
      <c r="G4924" s="8" t="n">
        <v>45918</v>
      </c>
      <c r="H4924" s="8" t="n">
        <v>45960</v>
      </c>
      <c r="I4924" s="7" t="s">
        <v>62</v>
      </c>
      <c r="J4924" s="7" t="s">
        <v>51</v>
      </c>
      <c r="K4924" s="7" t="n">
        <v>42</v>
      </c>
      <c r="L4924" s="7" t="n">
        <v>3</v>
      </c>
      <c r="M4924" s="7" t="n">
        <v>1</v>
      </c>
      <c r="N4924" s="7" t="s">
        <v>71</v>
      </c>
      <c r="O4924" s="7"/>
      <c r="P4924" s="7" t="n">
        <v>10.9</v>
      </c>
      <c r="Q4924" s="7" t="n">
        <v>13</v>
      </c>
      <c r="R4924" s="7" t="s">
        <v>44</v>
      </c>
      <c r="S4924" s="7"/>
      <c r="T4924" s="7"/>
      <c r="U4924" s="7" t="str">
        <f aca="false">IF(COUNTIF($A$2:$A$5001,A4924)&gt;1,"Duplicate","Unique")</f>
        <v>Unique</v>
      </c>
      <c r="V4924" s="7" t="str">
        <f aca="false">IF(COUNTIFS($B$2:$B$5001,B4924,$H$2:$H$5001,H4924,$J$2:$J$5001,J4924)&gt;1,"Possible Duplicate Booking","Unique")</f>
        <v>Unique</v>
      </c>
      <c r="W4924" s="7" t="str">
        <f aca="false">IF((H4924-G4924)&lt;&gt;K4924,"Mismatch","OK")</f>
        <v>OK</v>
      </c>
      <c r="X4924" s="7" t="str">
        <f aca="false">IF(TEXT(H4924,"dddd")&lt;&gt;I4924,"Mismatch","OK")</f>
        <v>OK</v>
      </c>
      <c r="Y4924" s="7" t="str">
        <f aca="false">IF(AND(N4924="No",O4924&lt;&gt;""),"Unexpected: channel present but no reminder sent",IF(AND(N4924="Yes",O4924=""),"Missing channel for sent reminder","OK"))</f>
        <v>OK</v>
      </c>
    </row>
    <row r="4925" customFormat="false" ht="15" hidden="false" customHeight="false" outlineLevel="0" collapsed="false">
      <c r="A4925" s="9" t="s">
        <v>6680</v>
      </c>
      <c r="B4925" s="9" t="s">
        <v>5404</v>
      </c>
      <c r="C4925" s="9" t="s">
        <v>47</v>
      </c>
      <c r="D4925" s="9" t="n">
        <v>54</v>
      </c>
      <c r="E4925" s="9" t="s">
        <v>56</v>
      </c>
      <c r="F4925" s="9" t="s">
        <v>57</v>
      </c>
      <c r="G4925" s="10" t="n">
        <v>46019</v>
      </c>
      <c r="H4925" s="10" t="n">
        <v>46028</v>
      </c>
      <c r="I4925" s="9" t="s">
        <v>40</v>
      </c>
      <c r="J4925" s="9" t="s">
        <v>51</v>
      </c>
      <c r="K4925" s="9" t="n">
        <v>9</v>
      </c>
      <c r="L4925" s="9" t="n">
        <v>1</v>
      </c>
      <c r="M4925" s="9" t="n">
        <v>0</v>
      </c>
      <c r="N4925" s="9" t="s">
        <v>42</v>
      </c>
      <c r="O4925" s="9" t="s">
        <v>52</v>
      </c>
      <c r="P4925" s="9" t="n">
        <v>7</v>
      </c>
      <c r="Q4925" s="9" t="n">
        <v>13</v>
      </c>
      <c r="R4925" s="9" t="s">
        <v>44</v>
      </c>
      <c r="S4925" s="9"/>
      <c r="T4925" s="9"/>
      <c r="U4925" s="9" t="str">
        <f aca="false">IF(COUNTIF($A$2:$A$5001,A4925)&gt;1,"Duplicate","Unique")</f>
        <v>Unique</v>
      </c>
      <c r="V4925" s="9" t="str">
        <f aca="false">IF(COUNTIFS($B$2:$B$5001,B4925,$H$2:$H$5001,H4925,$J$2:$J$5001,J4925)&gt;1,"Possible Duplicate Booking","Unique")</f>
        <v>Unique</v>
      </c>
      <c r="W4925" s="9" t="str">
        <f aca="false">IF((H4925-G4925)&lt;&gt;K4925,"Mismatch","OK")</f>
        <v>OK</v>
      </c>
      <c r="X4925" s="9" t="str">
        <f aca="false">IF(TEXT(H4925,"dddd")&lt;&gt;I4925,"Mismatch","OK")</f>
        <v>OK</v>
      </c>
      <c r="Y4925" s="9" t="str">
        <f aca="false">IF(AND(N4925="No",O4925&lt;&gt;""),"Unexpected: channel present but no reminder sent",IF(AND(N4925="Yes",O4925=""),"Missing channel for sent reminder","OK"))</f>
        <v>OK</v>
      </c>
    </row>
    <row r="4926" customFormat="false" ht="15" hidden="false" customHeight="false" outlineLevel="0" collapsed="false">
      <c r="A4926" s="7" t="s">
        <v>6681</v>
      </c>
      <c r="B4926" s="7" t="s">
        <v>903</v>
      </c>
      <c r="C4926" s="7" t="s">
        <v>47</v>
      </c>
      <c r="D4926" s="7" t="n">
        <v>64</v>
      </c>
      <c r="E4926" s="7" t="s">
        <v>61</v>
      </c>
      <c r="F4926" s="7" t="s">
        <v>57</v>
      </c>
      <c r="G4926" s="8" t="n">
        <v>45835</v>
      </c>
      <c r="H4926" s="8" t="n">
        <v>45838</v>
      </c>
      <c r="I4926" s="7" t="s">
        <v>66</v>
      </c>
      <c r="J4926" s="7" t="s">
        <v>63</v>
      </c>
      <c r="K4926" s="7" t="n">
        <v>3</v>
      </c>
      <c r="L4926" s="7" t="n">
        <v>3</v>
      </c>
      <c r="M4926" s="7" t="n">
        <v>1</v>
      </c>
      <c r="N4926" s="7" t="s">
        <v>42</v>
      </c>
      <c r="O4926" s="7" t="s">
        <v>52</v>
      </c>
      <c r="P4926" s="7" t="n">
        <v>19.9</v>
      </c>
      <c r="Q4926" s="7" t="n">
        <v>37</v>
      </c>
      <c r="R4926" s="7" t="s">
        <v>53</v>
      </c>
      <c r="S4926" s="7"/>
      <c r="T4926" s="7"/>
      <c r="U4926" s="7" t="str">
        <f aca="false">IF(COUNTIF($A$2:$A$5001,A4926)&gt;1,"Duplicate","Unique")</f>
        <v>Unique</v>
      </c>
      <c r="V4926" s="7" t="str">
        <f aca="false">IF(COUNTIFS($B$2:$B$5001,B4926,$H$2:$H$5001,H4926,$J$2:$J$5001,J4926)&gt;1,"Possible Duplicate Booking","Unique")</f>
        <v>Unique</v>
      </c>
      <c r="W4926" s="7" t="str">
        <f aca="false">IF((H4926-G4926)&lt;&gt;K4926,"Mismatch","OK")</f>
        <v>OK</v>
      </c>
      <c r="X4926" s="7" t="str">
        <f aca="false">IF(TEXT(H4926,"dddd")&lt;&gt;I4926,"Mismatch","OK")</f>
        <v>OK</v>
      </c>
      <c r="Y4926" s="7" t="str">
        <f aca="false">IF(AND(N4926="No",O4926&lt;&gt;""),"Unexpected: channel present but no reminder sent",IF(AND(N4926="Yes",O4926=""),"Missing channel for sent reminder","OK"))</f>
        <v>OK</v>
      </c>
    </row>
    <row r="4927" customFormat="false" ht="15" hidden="false" customHeight="false" outlineLevel="0" collapsed="false">
      <c r="A4927" s="9" t="s">
        <v>6682</v>
      </c>
      <c r="B4927" s="9" t="s">
        <v>387</v>
      </c>
      <c r="C4927" s="9" t="s">
        <v>47</v>
      </c>
      <c r="D4927" s="9" t="n">
        <v>20</v>
      </c>
      <c r="E4927" s="9" t="s">
        <v>82</v>
      </c>
      <c r="F4927" s="9" t="s">
        <v>57</v>
      </c>
      <c r="G4927" s="10" t="n">
        <v>45678</v>
      </c>
      <c r="H4927" s="10" t="n">
        <v>45707</v>
      </c>
      <c r="I4927" s="9" t="s">
        <v>58</v>
      </c>
      <c r="J4927" s="9" t="s">
        <v>63</v>
      </c>
      <c r="K4927" s="9" t="n">
        <v>29</v>
      </c>
      <c r="L4927" s="9" t="n">
        <v>4</v>
      </c>
      <c r="M4927" s="9" t="n">
        <v>0</v>
      </c>
      <c r="N4927" s="9" t="s">
        <v>42</v>
      </c>
      <c r="O4927" s="9" t="s">
        <v>52</v>
      </c>
      <c r="P4927" s="9" t="n">
        <v>4.5</v>
      </c>
      <c r="Q4927" s="9" t="n">
        <v>15</v>
      </c>
      <c r="R4927" s="9" t="s">
        <v>53</v>
      </c>
      <c r="S4927" s="9"/>
      <c r="T4927" s="9"/>
      <c r="U4927" s="9" t="str">
        <f aca="false">IF(COUNTIF($A$2:$A$5001,A4927)&gt;1,"Duplicate","Unique")</f>
        <v>Unique</v>
      </c>
      <c r="V4927" s="9" t="str">
        <f aca="false">IF(COUNTIFS($B$2:$B$5001,B4927,$H$2:$H$5001,H4927,$J$2:$J$5001,J4927)&gt;1,"Possible Duplicate Booking","Unique")</f>
        <v>Unique</v>
      </c>
      <c r="W4927" s="9" t="str">
        <f aca="false">IF((H4927-G4927)&lt;&gt;K4927,"Mismatch","OK")</f>
        <v>OK</v>
      </c>
      <c r="X4927" s="9" t="str">
        <f aca="false">IF(TEXT(H4927,"dddd")&lt;&gt;I4927,"Mismatch","OK")</f>
        <v>OK</v>
      </c>
      <c r="Y4927" s="9" t="str">
        <f aca="false">IF(AND(N4927="No",O4927&lt;&gt;""),"Unexpected: channel present but no reminder sent",IF(AND(N4927="Yes",O4927=""),"Missing channel for sent reminder","OK"))</f>
        <v>OK</v>
      </c>
    </row>
    <row r="4928" customFormat="false" ht="15" hidden="false" customHeight="false" outlineLevel="0" collapsed="false">
      <c r="A4928" s="7" t="s">
        <v>6683</v>
      </c>
      <c r="B4928" s="7" t="s">
        <v>1771</v>
      </c>
      <c r="C4928" s="7" t="s">
        <v>47</v>
      </c>
      <c r="D4928" s="7" t="n">
        <v>55</v>
      </c>
      <c r="E4928" s="7" t="s">
        <v>61</v>
      </c>
      <c r="F4928" s="7" t="s">
        <v>39</v>
      </c>
      <c r="G4928" s="8" t="n">
        <v>45841</v>
      </c>
      <c r="H4928" s="8" t="n">
        <v>45875</v>
      </c>
      <c r="I4928" s="7" t="s">
        <v>58</v>
      </c>
      <c r="J4928" s="7" t="s">
        <v>41</v>
      </c>
      <c r="K4928" s="7" t="n">
        <v>34</v>
      </c>
      <c r="L4928" s="7" t="n">
        <v>3</v>
      </c>
      <c r="M4928" s="7" t="n">
        <v>0</v>
      </c>
      <c r="N4928" s="7" t="s">
        <v>71</v>
      </c>
      <c r="O4928" s="7"/>
      <c r="P4928" s="7" t="n">
        <v>13.4</v>
      </c>
      <c r="Q4928" s="7" t="n">
        <v>3</v>
      </c>
      <c r="R4928" s="7" t="s">
        <v>53</v>
      </c>
      <c r="S4928" s="7"/>
      <c r="T4928" s="7"/>
      <c r="U4928" s="7" t="str">
        <f aca="false">IF(COUNTIF($A$2:$A$5001,A4928)&gt;1,"Duplicate","Unique")</f>
        <v>Unique</v>
      </c>
      <c r="V4928" s="7" t="str">
        <f aca="false">IF(COUNTIFS($B$2:$B$5001,B4928,$H$2:$H$5001,H4928,$J$2:$J$5001,J4928)&gt;1,"Possible Duplicate Booking","Unique")</f>
        <v>Unique</v>
      </c>
      <c r="W4928" s="7" t="str">
        <f aca="false">IF((H4928-G4928)&lt;&gt;K4928,"Mismatch","OK")</f>
        <v>OK</v>
      </c>
      <c r="X4928" s="7" t="str">
        <f aca="false">IF(TEXT(H4928,"dddd")&lt;&gt;I4928,"Mismatch","OK")</f>
        <v>OK</v>
      </c>
      <c r="Y4928" s="7" t="str">
        <f aca="false">IF(AND(N4928="No",O4928&lt;&gt;""),"Unexpected: channel present but no reminder sent",IF(AND(N4928="Yes",O4928=""),"Missing channel for sent reminder","OK"))</f>
        <v>OK</v>
      </c>
    </row>
    <row r="4929" customFormat="false" ht="15" hidden="false" customHeight="false" outlineLevel="0" collapsed="false">
      <c r="A4929" s="9" t="s">
        <v>6684</v>
      </c>
      <c r="B4929" s="9" t="s">
        <v>4291</v>
      </c>
      <c r="C4929" s="9" t="s">
        <v>47</v>
      </c>
      <c r="D4929" s="9" t="n">
        <v>75</v>
      </c>
      <c r="E4929" s="9" t="s">
        <v>70</v>
      </c>
      <c r="F4929" s="9" t="s">
        <v>74</v>
      </c>
      <c r="G4929" s="10" t="n">
        <v>45967</v>
      </c>
      <c r="H4929" s="10" t="n">
        <v>45981</v>
      </c>
      <c r="I4929" s="9" t="s">
        <v>62</v>
      </c>
      <c r="J4929" s="9" t="s">
        <v>51</v>
      </c>
      <c r="K4929" s="9" t="n">
        <v>14</v>
      </c>
      <c r="L4929" s="9" t="n">
        <v>3</v>
      </c>
      <c r="M4929" s="9" t="n">
        <v>0</v>
      </c>
      <c r="N4929" s="9" t="s">
        <v>42</v>
      </c>
      <c r="O4929" s="9" t="s">
        <v>52</v>
      </c>
      <c r="P4929" s="9" t="n">
        <v>11.9</v>
      </c>
      <c r="Q4929" s="9" t="n">
        <v>32</v>
      </c>
      <c r="R4929" s="9" t="s">
        <v>53</v>
      </c>
      <c r="S4929" s="9"/>
      <c r="T4929" s="9"/>
      <c r="U4929" s="9" t="str">
        <f aca="false">IF(COUNTIF($A$2:$A$5001,A4929)&gt;1,"Duplicate","Unique")</f>
        <v>Unique</v>
      </c>
      <c r="V4929" s="9" t="str">
        <f aca="false">IF(COUNTIFS($B$2:$B$5001,B4929,$H$2:$H$5001,H4929,$J$2:$J$5001,J4929)&gt;1,"Possible Duplicate Booking","Unique")</f>
        <v>Unique</v>
      </c>
      <c r="W4929" s="9" t="str">
        <f aca="false">IF((H4929-G4929)&lt;&gt;K4929,"Mismatch","OK")</f>
        <v>OK</v>
      </c>
      <c r="X4929" s="9" t="str">
        <f aca="false">IF(TEXT(H4929,"dddd")&lt;&gt;I4929,"Mismatch","OK")</f>
        <v>OK</v>
      </c>
      <c r="Y4929" s="9" t="str">
        <f aca="false">IF(AND(N4929="No",O4929&lt;&gt;""),"Unexpected: channel present but no reminder sent",IF(AND(N4929="Yes",O4929=""),"Missing channel for sent reminder","OK"))</f>
        <v>OK</v>
      </c>
    </row>
    <row r="4930" customFormat="false" ht="15" hidden="false" customHeight="false" outlineLevel="0" collapsed="false">
      <c r="A4930" s="7" t="s">
        <v>6685</v>
      </c>
      <c r="B4930" s="7" t="s">
        <v>6033</v>
      </c>
      <c r="C4930" s="7" t="s">
        <v>47</v>
      </c>
      <c r="D4930" s="7" t="n">
        <v>54</v>
      </c>
      <c r="E4930" s="7" t="s">
        <v>56</v>
      </c>
      <c r="F4930" s="7" t="s">
        <v>74</v>
      </c>
      <c r="G4930" s="8" t="n">
        <v>45745</v>
      </c>
      <c r="H4930" s="8" t="n">
        <v>45757</v>
      </c>
      <c r="I4930" s="7" t="s">
        <v>62</v>
      </c>
      <c r="J4930" s="7" t="s">
        <v>41</v>
      </c>
      <c r="K4930" s="7" t="n">
        <v>12</v>
      </c>
      <c r="L4930" s="7" t="n">
        <v>2</v>
      </c>
      <c r="M4930" s="7" t="n">
        <v>1</v>
      </c>
      <c r="N4930" s="7" t="s">
        <v>71</v>
      </c>
      <c r="O4930" s="7"/>
      <c r="P4930" s="7" t="n">
        <v>11.2</v>
      </c>
      <c r="Q4930" s="7" t="n">
        <v>25</v>
      </c>
      <c r="R4930" s="7" t="s">
        <v>87</v>
      </c>
      <c r="S4930" s="7"/>
      <c r="T4930" s="7"/>
      <c r="U4930" s="7" t="str">
        <f aca="false">IF(COUNTIF($A$2:$A$5001,A4930)&gt;1,"Duplicate","Unique")</f>
        <v>Unique</v>
      </c>
      <c r="V4930" s="7" t="str">
        <f aca="false">IF(COUNTIFS($B$2:$B$5001,B4930,$H$2:$H$5001,H4930,$J$2:$J$5001,J4930)&gt;1,"Possible Duplicate Booking","Unique")</f>
        <v>Unique</v>
      </c>
      <c r="W4930" s="7" t="str">
        <f aca="false">IF((H4930-G4930)&lt;&gt;K4930,"Mismatch","OK")</f>
        <v>OK</v>
      </c>
      <c r="X4930" s="7" t="str">
        <f aca="false">IF(TEXT(H4930,"dddd")&lt;&gt;I4930,"Mismatch","OK")</f>
        <v>OK</v>
      </c>
      <c r="Y4930" s="7" t="str">
        <f aca="false">IF(AND(N4930="No",O4930&lt;&gt;""),"Unexpected: channel present but no reminder sent",IF(AND(N4930="Yes",O4930=""),"Missing channel for sent reminder","OK"))</f>
        <v>OK</v>
      </c>
    </row>
    <row r="4931" customFormat="false" ht="15" hidden="false" customHeight="false" outlineLevel="0" collapsed="false">
      <c r="A4931" s="9" t="s">
        <v>6686</v>
      </c>
      <c r="B4931" s="9" t="s">
        <v>1153</v>
      </c>
      <c r="C4931" s="9" t="s">
        <v>47</v>
      </c>
      <c r="D4931" s="9" t="n">
        <v>78</v>
      </c>
      <c r="E4931" s="9" t="s">
        <v>70</v>
      </c>
      <c r="F4931" s="9" t="s">
        <v>39</v>
      </c>
      <c r="G4931" s="10" t="n">
        <v>45765</v>
      </c>
      <c r="H4931" s="10" t="n">
        <v>45779</v>
      </c>
      <c r="I4931" s="9" t="s">
        <v>50</v>
      </c>
      <c r="J4931" s="9" t="s">
        <v>51</v>
      </c>
      <c r="K4931" s="9" t="n">
        <v>14</v>
      </c>
      <c r="L4931" s="9" t="n">
        <v>5</v>
      </c>
      <c r="M4931" s="9" t="n">
        <v>0</v>
      </c>
      <c r="N4931" s="9" t="s">
        <v>42</v>
      </c>
      <c r="O4931" s="9" t="s">
        <v>52</v>
      </c>
      <c r="P4931" s="9" t="n">
        <v>9.2</v>
      </c>
      <c r="Q4931" s="9" t="n">
        <v>52</v>
      </c>
      <c r="R4931" s="9" t="s">
        <v>53</v>
      </c>
      <c r="S4931" s="9"/>
      <c r="T4931" s="9"/>
      <c r="U4931" s="9" t="str">
        <f aca="false">IF(COUNTIF($A$2:$A$5001,A4931)&gt;1,"Duplicate","Unique")</f>
        <v>Unique</v>
      </c>
      <c r="V4931" s="9" t="str">
        <f aca="false">IF(COUNTIFS($B$2:$B$5001,B4931,$H$2:$H$5001,H4931,$J$2:$J$5001,J4931)&gt;1,"Possible Duplicate Booking","Unique")</f>
        <v>Unique</v>
      </c>
      <c r="W4931" s="9" t="str">
        <f aca="false">IF((H4931-G4931)&lt;&gt;K4931,"Mismatch","OK")</f>
        <v>OK</v>
      </c>
      <c r="X4931" s="9" t="str">
        <f aca="false">IF(TEXT(H4931,"dddd")&lt;&gt;I4931,"Mismatch","OK")</f>
        <v>OK</v>
      </c>
      <c r="Y4931" s="9" t="str">
        <f aca="false">IF(AND(N4931="No",O4931&lt;&gt;""),"Unexpected: channel present but no reminder sent",IF(AND(N4931="Yes",O4931=""),"Missing channel for sent reminder","OK"))</f>
        <v>OK</v>
      </c>
    </row>
    <row r="4932" customFormat="false" ht="15" hidden="false" customHeight="false" outlineLevel="0" collapsed="false">
      <c r="A4932" s="7" t="s">
        <v>6687</v>
      </c>
      <c r="B4932" s="7" t="s">
        <v>2409</v>
      </c>
      <c r="C4932" s="7" t="s">
        <v>37</v>
      </c>
      <c r="D4932" s="7" t="n">
        <v>40</v>
      </c>
      <c r="E4932" s="7" t="s">
        <v>38</v>
      </c>
      <c r="F4932" s="7" t="s">
        <v>57</v>
      </c>
      <c r="G4932" s="8" t="n">
        <v>45646</v>
      </c>
      <c r="H4932" s="8" t="n">
        <v>45666</v>
      </c>
      <c r="I4932" s="7" t="s">
        <v>62</v>
      </c>
      <c r="J4932" s="7" t="s">
        <v>51</v>
      </c>
      <c r="K4932" s="7" t="n">
        <v>20</v>
      </c>
      <c r="L4932" s="7" t="n">
        <v>4</v>
      </c>
      <c r="M4932" s="7" t="n">
        <v>1</v>
      </c>
      <c r="N4932" s="7" t="s">
        <v>42</v>
      </c>
      <c r="O4932" s="7" t="s">
        <v>52</v>
      </c>
      <c r="P4932" s="7" t="n">
        <v>15.4</v>
      </c>
      <c r="Q4932" s="7" t="n">
        <v>9</v>
      </c>
      <c r="R4932" s="7" t="s">
        <v>44</v>
      </c>
      <c r="S4932" s="7"/>
      <c r="T4932" s="7"/>
      <c r="U4932" s="7" t="str">
        <f aca="false">IF(COUNTIF($A$2:$A$5001,A4932)&gt;1,"Duplicate","Unique")</f>
        <v>Unique</v>
      </c>
      <c r="V4932" s="7" t="str">
        <f aca="false">IF(COUNTIFS($B$2:$B$5001,B4932,$H$2:$H$5001,H4932,$J$2:$J$5001,J4932)&gt;1,"Possible Duplicate Booking","Unique")</f>
        <v>Unique</v>
      </c>
      <c r="W4932" s="7" t="str">
        <f aca="false">IF((H4932-G4932)&lt;&gt;K4932,"Mismatch","OK")</f>
        <v>OK</v>
      </c>
      <c r="X4932" s="7" t="str">
        <f aca="false">IF(TEXT(H4932,"dddd")&lt;&gt;I4932,"Mismatch","OK")</f>
        <v>OK</v>
      </c>
      <c r="Y4932" s="7" t="str">
        <f aca="false">IF(AND(N4932="No",O4932&lt;&gt;""),"Unexpected: channel present but no reminder sent",IF(AND(N4932="Yes",O4932=""),"Missing channel for sent reminder","OK"))</f>
        <v>OK</v>
      </c>
    </row>
    <row r="4933" customFormat="false" ht="15" hidden="false" customHeight="false" outlineLevel="0" collapsed="false">
      <c r="A4933" s="9" t="s">
        <v>6688</v>
      </c>
      <c r="B4933" s="9" t="s">
        <v>1005</v>
      </c>
      <c r="C4933" s="9" t="s">
        <v>47</v>
      </c>
      <c r="D4933" s="9" t="n">
        <v>18</v>
      </c>
      <c r="E4933" s="9" t="s">
        <v>82</v>
      </c>
      <c r="F4933" s="9" t="s">
        <v>49</v>
      </c>
      <c r="G4933" s="10" t="n">
        <v>46058</v>
      </c>
      <c r="H4933" s="10" t="n">
        <v>46058</v>
      </c>
      <c r="I4933" s="9" t="s">
        <v>62</v>
      </c>
      <c r="J4933" s="9" t="s">
        <v>51</v>
      </c>
      <c r="K4933" s="9" t="n">
        <v>0</v>
      </c>
      <c r="L4933" s="9" t="n">
        <v>3</v>
      </c>
      <c r="M4933" s="9" t="n">
        <v>0</v>
      </c>
      <c r="N4933" s="9" t="s">
        <v>42</v>
      </c>
      <c r="O4933" s="9" t="s">
        <v>43</v>
      </c>
      <c r="P4933" s="9" t="n">
        <v>3.5</v>
      </c>
      <c r="Q4933" s="9" t="n">
        <v>22</v>
      </c>
      <c r="R4933" s="9" t="s">
        <v>53</v>
      </c>
      <c r="S4933" s="9"/>
      <c r="T4933" s="9"/>
      <c r="U4933" s="9" t="str">
        <f aca="false">IF(COUNTIF($A$2:$A$5001,A4933)&gt;1,"Duplicate","Unique")</f>
        <v>Unique</v>
      </c>
      <c r="V4933" s="9" t="str">
        <f aca="false">IF(COUNTIFS($B$2:$B$5001,B4933,$H$2:$H$5001,H4933,$J$2:$J$5001,J4933)&gt;1,"Possible Duplicate Booking","Unique")</f>
        <v>Unique</v>
      </c>
      <c r="W4933" s="9" t="str">
        <f aca="false">IF((H4933-G4933)&lt;&gt;K4933,"Mismatch","OK")</f>
        <v>OK</v>
      </c>
      <c r="X4933" s="9" t="str">
        <f aca="false">IF(TEXT(H4933,"dddd")&lt;&gt;I4933,"Mismatch","OK")</f>
        <v>OK</v>
      </c>
      <c r="Y4933" s="9" t="str">
        <f aca="false">IF(AND(N4933="No",O4933&lt;&gt;""),"Unexpected: channel present but no reminder sent",IF(AND(N4933="Yes",O4933=""),"Missing channel for sent reminder","OK"))</f>
        <v>OK</v>
      </c>
    </row>
    <row r="4934" customFormat="false" ht="15" hidden="false" customHeight="false" outlineLevel="0" collapsed="false">
      <c r="A4934" s="7" t="s">
        <v>6689</v>
      </c>
      <c r="B4934" s="7" t="s">
        <v>4683</v>
      </c>
      <c r="C4934" s="7" t="s">
        <v>47</v>
      </c>
      <c r="D4934" s="7" t="n">
        <v>60</v>
      </c>
      <c r="E4934" s="7" t="s">
        <v>61</v>
      </c>
      <c r="F4934" s="7" t="s">
        <v>57</v>
      </c>
      <c r="G4934" s="8" t="n">
        <v>46149</v>
      </c>
      <c r="H4934" s="8" t="n">
        <v>46149</v>
      </c>
      <c r="I4934" s="7" t="s">
        <v>62</v>
      </c>
      <c r="J4934" s="7" t="s">
        <v>51</v>
      </c>
      <c r="K4934" s="7" t="n">
        <v>0</v>
      </c>
      <c r="L4934" s="7" t="n">
        <v>4</v>
      </c>
      <c r="M4934" s="7" t="n">
        <v>1</v>
      </c>
      <c r="N4934" s="7" t="s">
        <v>42</v>
      </c>
      <c r="O4934" s="7" t="s">
        <v>43</v>
      </c>
      <c r="P4934" s="7" t="n">
        <v>5.3</v>
      </c>
      <c r="Q4934" s="7" t="n">
        <v>13</v>
      </c>
      <c r="R4934" s="7" t="s">
        <v>53</v>
      </c>
      <c r="S4934" s="7"/>
      <c r="T4934" s="7"/>
      <c r="U4934" s="7" t="str">
        <f aca="false">IF(COUNTIF($A$2:$A$5001,A4934)&gt;1,"Duplicate","Unique")</f>
        <v>Unique</v>
      </c>
      <c r="V4934" s="7" t="str">
        <f aca="false">IF(COUNTIFS($B$2:$B$5001,B4934,$H$2:$H$5001,H4934,$J$2:$J$5001,J4934)&gt;1,"Possible Duplicate Booking","Unique")</f>
        <v>Unique</v>
      </c>
      <c r="W4934" s="7" t="str">
        <f aca="false">IF((H4934-G4934)&lt;&gt;K4934,"Mismatch","OK")</f>
        <v>OK</v>
      </c>
      <c r="X4934" s="7" t="str">
        <f aca="false">IF(TEXT(H4934,"dddd")&lt;&gt;I4934,"Mismatch","OK")</f>
        <v>OK</v>
      </c>
      <c r="Y4934" s="7" t="str">
        <f aca="false">IF(AND(N4934="No",O4934&lt;&gt;""),"Unexpected: channel present but no reminder sent",IF(AND(N4934="Yes",O4934=""),"Missing channel for sent reminder","OK"))</f>
        <v>OK</v>
      </c>
    </row>
    <row r="4935" customFormat="false" ht="15" hidden="false" customHeight="false" outlineLevel="0" collapsed="false">
      <c r="A4935" s="9" t="s">
        <v>6690</v>
      </c>
      <c r="B4935" s="9" t="s">
        <v>819</v>
      </c>
      <c r="C4935" s="9" t="s">
        <v>47</v>
      </c>
      <c r="D4935" s="9" t="n">
        <v>31</v>
      </c>
      <c r="E4935" s="9" t="s">
        <v>48</v>
      </c>
      <c r="F4935" s="9" t="s">
        <v>74</v>
      </c>
      <c r="G4935" s="10" t="n">
        <v>46087</v>
      </c>
      <c r="H4935" s="10" t="n">
        <v>46109</v>
      </c>
      <c r="I4935" s="9" t="s">
        <v>102</v>
      </c>
      <c r="J4935" s="9" t="s">
        <v>51</v>
      </c>
      <c r="K4935" s="9" t="n">
        <v>22</v>
      </c>
      <c r="L4935" s="9" t="n">
        <v>5</v>
      </c>
      <c r="M4935" s="9" t="n">
        <v>0</v>
      </c>
      <c r="N4935" s="9" t="s">
        <v>71</v>
      </c>
      <c r="O4935" s="9"/>
      <c r="P4935" s="9" t="n">
        <v>11.5</v>
      </c>
      <c r="Q4935" s="9" t="n">
        <v>13</v>
      </c>
      <c r="R4935" s="9" t="s">
        <v>53</v>
      </c>
      <c r="S4935" s="9"/>
      <c r="T4935" s="9"/>
      <c r="U4935" s="9" t="str">
        <f aca="false">IF(COUNTIF($A$2:$A$5001,A4935)&gt;1,"Duplicate","Unique")</f>
        <v>Unique</v>
      </c>
      <c r="V4935" s="9" t="str">
        <f aca="false">IF(COUNTIFS($B$2:$B$5001,B4935,$H$2:$H$5001,H4935,$J$2:$J$5001,J4935)&gt;1,"Possible Duplicate Booking","Unique")</f>
        <v>Unique</v>
      </c>
      <c r="W4935" s="9" t="str">
        <f aca="false">IF((H4935-G4935)&lt;&gt;K4935,"Mismatch","OK")</f>
        <v>OK</v>
      </c>
      <c r="X4935" s="9" t="str">
        <f aca="false">IF(TEXT(H4935,"dddd")&lt;&gt;I4935,"Mismatch","OK")</f>
        <v>OK</v>
      </c>
      <c r="Y4935" s="9" t="str">
        <f aca="false">IF(AND(N4935="No",O4935&lt;&gt;""),"Unexpected: channel present but no reminder sent",IF(AND(N4935="Yes",O4935=""),"Missing channel for sent reminder","OK"))</f>
        <v>OK</v>
      </c>
    </row>
    <row r="4936" customFormat="false" ht="15" hidden="false" customHeight="false" outlineLevel="0" collapsed="false">
      <c r="A4936" s="7" t="s">
        <v>6691</v>
      </c>
      <c r="B4936" s="7" t="s">
        <v>4858</v>
      </c>
      <c r="C4936" s="7" t="s">
        <v>37</v>
      </c>
      <c r="D4936" s="7" t="n">
        <v>18</v>
      </c>
      <c r="E4936" s="7" t="s">
        <v>82</v>
      </c>
      <c r="F4936" s="7" t="s">
        <v>49</v>
      </c>
      <c r="G4936" s="8" t="n">
        <v>45864</v>
      </c>
      <c r="H4936" s="8" t="n">
        <v>45865</v>
      </c>
      <c r="I4936" s="7" t="s">
        <v>75</v>
      </c>
      <c r="J4936" s="7" t="s">
        <v>51</v>
      </c>
      <c r="K4936" s="7" t="n">
        <v>1</v>
      </c>
      <c r="L4936" s="7" t="n">
        <v>3</v>
      </c>
      <c r="M4936" s="7" t="n">
        <v>0</v>
      </c>
      <c r="N4936" s="7" t="s">
        <v>42</v>
      </c>
      <c r="O4936" s="7" t="s">
        <v>52</v>
      </c>
      <c r="P4936" s="7" t="n">
        <v>5.6</v>
      </c>
      <c r="Q4936" s="7" t="n">
        <v>15</v>
      </c>
      <c r="R4936" s="7" t="s">
        <v>87</v>
      </c>
      <c r="S4936" s="7"/>
      <c r="T4936" s="7"/>
      <c r="U4936" s="7" t="str">
        <f aca="false">IF(COUNTIF($A$2:$A$5001,A4936)&gt;1,"Duplicate","Unique")</f>
        <v>Unique</v>
      </c>
      <c r="V4936" s="7" t="str">
        <f aca="false">IF(COUNTIFS($B$2:$B$5001,B4936,$H$2:$H$5001,H4936,$J$2:$J$5001,J4936)&gt;1,"Possible Duplicate Booking","Unique")</f>
        <v>Unique</v>
      </c>
      <c r="W4936" s="7" t="str">
        <f aca="false">IF((H4936-G4936)&lt;&gt;K4936,"Mismatch","OK")</f>
        <v>OK</v>
      </c>
      <c r="X4936" s="7" t="str">
        <f aca="false">IF(TEXT(H4936,"dddd")&lt;&gt;I4936,"Mismatch","OK")</f>
        <v>OK</v>
      </c>
      <c r="Y4936" s="7" t="str">
        <f aca="false">IF(AND(N4936="No",O4936&lt;&gt;""),"Unexpected: channel present but no reminder sent",IF(AND(N4936="Yes",O4936=""),"Missing channel for sent reminder","OK"))</f>
        <v>OK</v>
      </c>
    </row>
    <row r="4937" customFormat="false" ht="15" hidden="false" customHeight="false" outlineLevel="0" collapsed="false">
      <c r="A4937" s="9" t="s">
        <v>6692</v>
      </c>
      <c r="B4937" s="9" t="s">
        <v>6693</v>
      </c>
      <c r="C4937" s="9" t="s">
        <v>37</v>
      </c>
      <c r="D4937" s="9" t="n">
        <v>29</v>
      </c>
      <c r="E4937" s="9" t="s">
        <v>48</v>
      </c>
      <c r="F4937" s="9" t="s">
        <v>39</v>
      </c>
      <c r="G4937" s="10" t="n">
        <v>45963</v>
      </c>
      <c r="H4937" s="10" t="n">
        <v>45982</v>
      </c>
      <c r="I4937" s="9" t="s">
        <v>50</v>
      </c>
      <c r="J4937" s="9" t="s">
        <v>41</v>
      </c>
      <c r="K4937" s="9" t="n">
        <v>19</v>
      </c>
      <c r="L4937" s="9" t="n">
        <v>4</v>
      </c>
      <c r="M4937" s="9" t="n">
        <v>1</v>
      </c>
      <c r="N4937" s="9" t="s">
        <v>71</v>
      </c>
      <c r="O4937" s="9"/>
      <c r="P4937" s="9" t="n">
        <v>4.8</v>
      </c>
      <c r="Q4937" s="9" t="n">
        <v>12</v>
      </c>
      <c r="R4937" s="9" t="s">
        <v>53</v>
      </c>
      <c r="S4937" s="9"/>
      <c r="T4937" s="9"/>
      <c r="U4937" s="9" t="str">
        <f aca="false">IF(COUNTIF($A$2:$A$5001,A4937)&gt;1,"Duplicate","Unique")</f>
        <v>Unique</v>
      </c>
      <c r="V4937" s="9" t="str">
        <f aca="false">IF(COUNTIFS($B$2:$B$5001,B4937,$H$2:$H$5001,H4937,$J$2:$J$5001,J4937)&gt;1,"Possible Duplicate Booking","Unique")</f>
        <v>Unique</v>
      </c>
      <c r="W4937" s="9" t="str">
        <f aca="false">IF((H4937-G4937)&lt;&gt;K4937,"Mismatch","OK")</f>
        <v>OK</v>
      </c>
      <c r="X4937" s="9" t="str">
        <f aca="false">IF(TEXT(H4937,"dddd")&lt;&gt;I4937,"Mismatch","OK")</f>
        <v>OK</v>
      </c>
      <c r="Y4937" s="9" t="str">
        <f aca="false">IF(AND(N4937="No",O4937&lt;&gt;""),"Unexpected: channel present but no reminder sent",IF(AND(N4937="Yes",O4937=""),"Missing channel for sent reminder","OK"))</f>
        <v>OK</v>
      </c>
    </row>
    <row r="4938" customFormat="false" ht="15" hidden="false" customHeight="false" outlineLevel="0" collapsed="false">
      <c r="A4938" s="7" t="s">
        <v>6694</v>
      </c>
      <c r="B4938" s="7" t="s">
        <v>2102</v>
      </c>
      <c r="C4938" s="7" t="s">
        <v>37</v>
      </c>
      <c r="D4938" s="7" t="n">
        <v>76</v>
      </c>
      <c r="E4938" s="7" t="s">
        <v>70</v>
      </c>
      <c r="F4938" s="7" t="s">
        <v>57</v>
      </c>
      <c r="G4938" s="8" t="n">
        <v>46147</v>
      </c>
      <c r="H4938" s="8" t="n">
        <v>46182</v>
      </c>
      <c r="I4938" s="7" t="s">
        <v>40</v>
      </c>
      <c r="J4938" s="7" t="s">
        <v>41</v>
      </c>
      <c r="K4938" s="7" t="n">
        <v>35</v>
      </c>
      <c r="L4938" s="7" t="n">
        <v>0</v>
      </c>
      <c r="M4938" s="7" t="n">
        <v>0</v>
      </c>
      <c r="N4938" s="7" t="s">
        <v>42</v>
      </c>
      <c r="O4938" s="7" t="s">
        <v>67</v>
      </c>
      <c r="P4938" s="7" t="n">
        <v>18.4</v>
      </c>
      <c r="Q4938" s="7" t="n">
        <v>26</v>
      </c>
      <c r="R4938" s="7" t="s">
        <v>53</v>
      </c>
      <c r="S4938" s="7"/>
      <c r="T4938" s="7"/>
      <c r="U4938" s="7" t="str">
        <f aca="false">IF(COUNTIF($A$2:$A$5001,A4938)&gt;1,"Duplicate","Unique")</f>
        <v>Unique</v>
      </c>
      <c r="V4938" s="7" t="str">
        <f aca="false">IF(COUNTIFS($B$2:$B$5001,B4938,$H$2:$H$5001,H4938,$J$2:$J$5001,J4938)&gt;1,"Possible Duplicate Booking","Unique")</f>
        <v>Unique</v>
      </c>
      <c r="W4938" s="7" t="str">
        <f aca="false">IF((H4938-G4938)&lt;&gt;K4938,"Mismatch","OK")</f>
        <v>OK</v>
      </c>
      <c r="X4938" s="7" t="str">
        <f aca="false">IF(TEXT(H4938,"dddd")&lt;&gt;I4938,"Mismatch","OK")</f>
        <v>OK</v>
      </c>
      <c r="Y4938" s="7" t="str">
        <f aca="false">IF(AND(N4938="No",O4938&lt;&gt;""),"Unexpected: channel present but no reminder sent",IF(AND(N4938="Yes",O4938=""),"Missing channel for sent reminder","OK"))</f>
        <v>OK</v>
      </c>
    </row>
    <row r="4939" customFormat="false" ht="15" hidden="false" customHeight="false" outlineLevel="0" collapsed="false">
      <c r="A4939" s="9" t="s">
        <v>6695</v>
      </c>
      <c r="B4939" s="9" t="s">
        <v>2469</v>
      </c>
      <c r="C4939" s="9" t="s">
        <v>37</v>
      </c>
      <c r="D4939" s="9" t="n">
        <v>67</v>
      </c>
      <c r="E4939" s="9" t="s">
        <v>70</v>
      </c>
      <c r="F4939" s="9" t="s">
        <v>57</v>
      </c>
      <c r="G4939" s="10" t="n">
        <v>45979</v>
      </c>
      <c r="H4939" s="10" t="n">
        <v>45980</v>
      </c>
      <c r="I4939" s="9" t="s">
        <v>58</v>
      </c>
      <c r="J4939" s="9" t="s">
        <v>51</v>
      </c>
      <c r="K4939" s="9" t="n">
        <v>1</v>
      </c>
      <c r="L4939" s="9" t="n">
        <v>3</v>
      </c>
      <c r="M4939" s="9" t="n">
        <v>0</v>
      </c>
      <c r="N4939" s="9" t="s">
        <v>42</v>
      </c>
      <c r="O4939" s="9" t="s">
        <v>67</v>
      </c>
      <c r="P4939" s="9" t="n">
        <v>19</v>
      </c>
      <c r="Q4939" s="9" t="n">
        <v>25</v>
      </c>
      <c r="R4939" s="9" t="s">
        <v>44</v>
      </c>
      <c r="S4939" s="9"/>
      <c r="T4939" s="9"/>
      <c r="U4939" s="9" t="str">
        <f aca="false">IF(COUNTIF($A$2:$A$5001,A4939)&gt;1,"Duplicate","Unique")</f>
        <v>Unique</v>
      </c>
      <c r="V4939" s="9" t="str">
        <f aca="false">IF(COUNTIFS($B$2:$B$5001,B4939,$H$2:$H$5001,H4939,$J$2:$J$5001,J4939)&gt;1,"Possible Duplicate Booking","Unique")</f>
        <v>Unique</v>
      </c>
      <c r="W4939" s="9" t="str">
        <f aca="false">IF((H4939-G4939)&lt;&gt;K4939,"Mismatch","OK")</f>
        <v>OK</v>
      </c>
      <c r="X4939" s="9" t="str">
        <f aca="false">IF(TEXT(H4939,"dddd")&lt;&gt;I4939,"Mismatch","OK")</f>
        <v>OK</v>
      </c>
      <c r="Y4939" s="9" t="str">
        <f aca="false">IF(AND(N4939="No",O4939&lt;&gt;""),"Unexpected: channel present but no reminder sent",IF(AND(N4939="Yes",O4939=""),"Missing channel for sent reminder","OK"))</f>
        <v>OK</v>
      </c>
    </row>
    <row r="4940" customFormat="false" ht="15" hidden="false" customHeight="false" outlineLevel="0" collapsed="false">
      <c r="A4940" s="7" t="s">
        <v>6696</v>
      </c>
      <c r="B4940" s="7" t="s">
        <v>364</v>
      </c>
      <c r="C4940" s="7" t="s">
        <v>37</v>
      </c>
      <c r="D4940" s="7" t="n">
        <v>35</v>
      </c>
      <c r="E4940" s="7" t="s">
        <v>38</v>
      </c>
      <c r="F4940" s="7" t="s">
        <v>39</v>
      </c>
      <c r="G4940" s="8" t="n">
        <v>45782</v>
      </c>
      <c r="H4940" s="8" t="n">
        <v>45819</v>
      </c>
      <c r="I4940" s="7" t="s">
        <v>58</v>
      </c>
      <c r="J4940" s="7" t="s">
        <v>51</v>
      </c>
      <c r="K4940" s="7" t="n">
        <v>37</v>
      </c>
      <c r="L4940" s="7" t="n">
        <v>4</v>
      </c>
      <c r="M4940" s="7" t="n">
        <v>1</v>
      </c>
      <c r="N4940" s="7" t="s">
        <v>71</v>
      </c>
      <c r="O4940" s="7"/>
      <c r="P4940" s="7" t="n">
        <v>12</v>
      </c>
      <c r="Q4940" s="7" t="n">
        <v>24</v>
      </c>
      <c r="R4940" s="7" t="s">
        <v>53</v>
      </c>
      <c r="S4940" s="7"/>
      <c r="T4940" s="7"/>
      <c r="U4940" s="7" t="str">
        <f aca="false">IF(COUNTIF($A$2:$A$5001,A4940)&gt;1,"Duplicate","Unique")</f>
        <v>Unique</v>
      </c>
      <c r="V4940" s="7" t="str">
        <f aca="false">IF(COUNTIFS($B$2:$B$5001,B4940,$H$2:$H$5001,H4940,$J$2:$J$5001,J4940)&gt;1,"Possible Duplicate Booking","Unique")</f>
        <v>Unique</v>
      </c>
      <c r="W4940" s="7" t="str">
        <f aca="false">IF((H4940-G4940)&lt;&gt;K4940,"Mismatch","OK")</f>
        <v>OK</v>
      </c>
      <c r="X4940" s="7" t="str">
        <f aca="false">IF(TEXT(H4940,"dddd")&lt;&gt;I4940,"Mismatch","OK")</f>
        <v>OK</v>
      </c>
      <c r="Y4940" s="7" t="str">
        <f aca="false">IF(AND(N4940="No",O4940&lt;&gt;""),"Unexpected: channel present but no reminder sent",IF(AND(N4940="Yes",O4940=""),"Missing channel for sent reminder","OK"))</f>
        <v>OK</v>
      </c>
    </row>
    <row r="4941" customFormat="false" ht="15" hidden="false" customHeight="false" outlineLevel="0" collapsed="false">
      <c r="A4941" s="9" t="s">
        <v>6697</v>
      </c>
      <c r="B4941" s="9" t="s">
        <v>282</v>
      </c>
      <c r="C4941" s="9" t="s">
        <v>37</v>
      </c>
      <c r="D4941" s="9" t="n">
        <v>55</v>
      </c>
      <c r="E4941" s="9" t="s">
        <v>61</v>
      </c>
      <c r="F4941" s="9" t="s">
        <v>57</v>
      </c>
      <c r="G4941" s="10" t="n">
        <v>45805</v>
      </c>
      <c r="H4941" s="10" t="n">
        <v>45842</v>
      </c>
      <c r="I4941" s="9" t="s">
        <v>50</v>
      </c>
      <c r="J4941" s="9" t="s">
        <v>63</v>
      </c>
      <c r="K4941" s="9" t="n">
        <v>37</v>
      </c>
      <c r="L4941" s="9" t="n">
        <v>1</v>
      </c>
      <c r="M4941" s="9" t="n">
        <v>0</v>
      </c>
      <c r="N4941" s="9" t="s">
        <v>42</v>
      </c>
      <c r="O4941" s="9" t="s">
        <v>52</v>
      </c>
      <c r="P4941" s="9" t="n">
        <v>5.7</v>
      </c>
      <c r="Q4941" s="9" t="n">
        <v>38</v>
      </c>
      <c r="R4941" s="9" t="s">
        <v>87</v>
      </c>
      <c r="S4941" s="9"/>
      <c r="T4941" s="9"/>
      <c r="U4941" s="9" t="str">
        <f aca="false">IF(COUNTIF($A$2:$A$5001,A4941)&gt;1,"Duplicate","Unique")</f>
        <v>Unique</v>
      </c>
      <c r="V4941" s="9" t="str">
        <f aca="false">IF(COUNTIFS($B$2:$B$5001,B4941,$H$2:$H$5001,H4941,$J$2:$J$5001,J4941)&gt;1,"Possible Duplicate Booking","Unique")</f>
        <v>Unique</v>
      </c>
      <c r="W4941" s="9" t="str">
        <f aca="false">IF((H4941-G4941)&lt;&gt;K4941,"Mismatch","OK")</f>
        <v>OK</v>
      </c>
      <c r="X4941" s="9" t="str">
        <f aca="false">IF(TEXT(H4941,"dddd")&lt;&gt;I4941,"Mismatch","OK")</f>
        <v>OK</v>
      </c>
      <c r="Y4941" s="9" t="str">
        <f aca="false">IF(AND(N4941="No",O4941&lt;&gt;""),"Unexpected: channel present but no reminder sent",IF(AND(N4941="Yes",O4941=""),"Missing channel for sent reminder","OK"))</f>
        <v>OK</v>
      </c>
    </row>
    <row r="4942" customFormat="false" ht="15" hidden="false" customHeight="false" outlineLevel="0" collapsed="false">
      <c r="A4942" s="7" t="s">
        <v>6698</v>
      </c>
      <c r="B4942" s="7" t="s">
        <v>2922</v>
      </c>
      <c r="C4942" s="7" t="s">
        <v>37</v>
      </c>
      <c r="D4942" s="7" t="n">
        <v>39</v>
      </c>
      <c r="E4942" s="7" t="s">
        <v>38</v>
      </c>
      <c r="F4942" s="7" t="s">
        <v>49</v>
      </c>
      <c r="G4942" s="8" t="n">
        <v>46021</v>
      </c>
      <c r="H4942" s="8" t="n">
        <v>46055</v>
      </c>
      <c r="I4942" s="7" t="s">
        <v>66</v>
      </c>
      <c r="J4942" s="7" t="s">
        <v>51</v>
      </c>
      <c r="K4942" s="7" t="n">
        <v>34</v>
      </c>
      <c r="L4942" s="7" t="n">
        <v>4</v>
      </c>
      <c r="M4942" s="7" t="n">
        <v>0</v>
      </c>
      <c r="N4942" s="7" t="s">
        <v>71</v>
      </c>
      <c r="O4942" s="7"/>
      <c r="P4942" s="7" t="n">
        <v>6.6</v>
      </c>
      <c r="Q4942" s="7" t="n">
        <v>30</v>
      </c>
      <c r="R4942" s="7" t="s">
        <v>87</v>
      </c>
      <c r="S4942" s="7"/>
      <c r="T4942" s="7"/>
      <c r="U4942" s="7" t="str">
        <f aca="false">IF(COUNTIF($A$2:$A$5001,A4942)&gt;1,"Duplicate","Unique")</f>
        <v>Unique</v>
      </c>
      <c r="V4942" s="7" t="str">
        <f aca="false">IF(COUNTIFS($B$2:$B$5001,B4942,$H$2:$H$5001,H4942,$J$2:$J$5001,J4942)&gt;1,"Possible Duplicate Booking","Unique")</f>
        <v>Unique</v>
      </c>
      <c r="W4942" s="7" t="str">
        <f aca="false">IF((H4942-G4942)&lt;&gt;K4942,"Mismatch","OK")</f>
        <v>OK</v>
      </c>
      <c r="X4942" s="7" t="str">
        <f aca="false">IF(TEXT(H4942,"dddd")&lt;&gt;I4942,"Mismatch","OK")</f>
        <v>OK</v>
      </c>
      <c r="Y4942" s="7" t="str">
        <f aca="false">IF(AND(N4942="No",O4942&lt;&gt;""),"Unexpected: channel present but no reminder sent",IF(AND(N4942="Yes",O4942=""),"Missing channel for sent reminder","OK"))</f>
        <v>OK</v>
      </c>
    </row>
    <row r="4943" customFormat="false" ht="15" hidden="false" customHeight="false" outlineLevel="0" collapsed="false">
      <c r="A4943" s="9" t="s">
        <v>6699</v>
      </c>
      <c r="B4943" s="9" t="s">
        <v>449</v>
      </c>
      <c r="C4943" s="9" t="s">
        <v>47</v>
      </c>
      <c r="D4943" s="9" t="n">
        <v>29</v>
      </c>
      <c r="E4943" s="9" t="s">
        <v>48</v>
      </c>
      <c r="F4943" s="9" t="s">
        <v>39</v>
      </c>
      <c r="G4943" s="10" t="n">
        <v>45863</v>
      </c>
      <c r="H4943" s="10" t="n">
        <v>45901</v>
      </c>
      <c r="I4943" s="9" t="s">
        <v>66</v>
      </c>
      <c r="J4943" s="9" t="s">
        <v>51</v>
      </c>
      <c r="K4943" s="9" t="n">
        <v>38</v>
      </c>
      <c r="L4943" s="9" t="n">
        <v>0</v>
      </c>
      <c r="M4943" s="9" t="n">
        <v>0</v>
      </c>
      <c r="N4943" s="9" t="s">
        <v>42</v>
      </c>
      <c r="O4943" s="9" t="s">
        <v>52</v>
      </c>
      <c r="P4943" s="9" t="n">
        <v>10.3</v>
      </c>
      <c r="Q4943" s="9" t="n">
        <v>33</v>
      </c>
      <c r="R4943" s="9" t="s">
        <v>53</v>
      </c>
      <c r="S4943" s="9"/>
      <c r="T4943" s="9"/>
      <c r="U4943" s="9" t="str">
        <f aca="false">IF(COUNTIF($A$2:$A$5001,A4943)&gt;1,"Duplicate","Unique")</f>
        <v>Unique</v>
      </c>
      <c r="V4943" s="9" t="str">
        <f aca="false">IF(COUNTIFS($B$2:$B$5001,B4943,$H$2:$H$5001,H4943,$J$2:$J$5001,J4943)&gt;1,"Possible Duplicate Booking","Unique")</f>
        <v>Unique</v>
      </c>
      <c r="W4943" s="9" t="str">
        <f aca="false">IF((H4943-G4943)&lt;&gt;K4943,"Mismatch","OK")</f>
        <v>OK</v>
      </c>
      <c r="X4943" s="9" t="str">
        <f aca="false">IF(TEXT(H4943,"dddd")&lt;&gt;I4943,"Mismatch","OK")</f>
        <v>OK</v>
      </c>
      <c r="Y4943" s="9" t="str">
        <f aca="false">IF(AND(N4943="No",O4943&lt;&gt;""),"Unexpected: channel present but no reminder sent",IF(AND(N4943="Yes",O4943=""),"Missing channel for sent reminder","OK"))</f>
        <v>OK</v>
      </c>
    </row>
    <row r="4944" customFormat="false" ht="15" hidden="false" customHeight="false" outlineLevel="0" collapsed="false">
      <c r="A4944" s="7" t="s">
        <v>6700</v>
      </c>
      <c r="B4944" s="7" t="s">
        <v>6701</v>
      </c>
      <c r="C4944" s="7" t="s">
        <v>47</v>
      </c>
      <c r="D4944" s="7" t="n">
        <v>80</v>
      </c>
      <c r="E4944" s="7" t="s">
        <v>70</v>
      </c>
      <c r="F4944" s="7" t="s">
        <v>39</v>
      </c>
      <c r="G4944" s="8" t="n">
        <v>46066</v>
      </c>
      <c r="H4944" s="8" t="n">
        <v>46115</v>
      </c>
      <c r="I4944" s="7" t="s">
        <v>50</v>
      </c>
      <c r="J4944" s="7" t="s">
        <v>41</v>
      </c>
      <c r="K4944" s="7" t="n">
        <v>49</v>
      </c>
      <c r="L4944" s="7" t="n">
        <v>1</v>
      </c>
      <c r="M4944" s="7" t="n">
        <v>1</v>
      </c>
      <c r="N4944" s="7" t="s">
        <v>42</v>
      </c>
      <c r="O4944" s="7" t="s">
        <v>43</v>
      </c>
      <c r="P4944" s="7" t="n">
        <v>7.9</v>
      </c>
      <c r="Q4944" s="7" t="n">
        <v>26</v>
      </c>
      <c r="R4944" s="7" t="s">
        <v>44</v>
      </c>
      <c r="S4944" s="7"/>
      <c r="T4944" s="7"/>
      <c r="U4944" s="7" t="str">
        <f aca="false">IF(COUNTIF($A$2:$A$5001,A4944)&gt;1,"Duplicate","Unique")</f>
        <v>Unique</v>
      </c>
      <c r="V4944" s="7" t="str">
        <f aca="false">IF(COUNTIFS($B$2:$B$5001,B4944,$H$2:$H$5001,H4944,$J$2:$J$5001,J4944)&gt;1,"Possible Duplicate Booking","Unique")</f>
        <v>Unique</v>
      </c>
      <c r="W4944" s="7" t="str">
        <f aca="false">IF((H4944-G4944)&lt;&gt;K4944,"Mismatch","OK")</f>
        <v>OK</v>
      </c>
      <c r="X4944" s="7" t="str">
        <f aca="false">IF(TEXT(H4944,"dddd")&lt;&gt;I4944,"Mismatch","OK")</f>
        <v>OK</v>
      </c>
      <c r="Y4944" s="7" t="str">
        <f aca="false">IF(AND(N4944="No",O4944&lt;&gt;""),"Unexpected: channel present but no reminder sent",IF(AND(N4944="Yes",O4944=""),"Missing channel for sent reminder","OK"))</f>
        <v>OK</v>
      </c>
    </row>
    <row r="4945" customFormat="false" ht="15" hidden="false" customHeight="false" outlineLevel="0" collapsed="false">
      <c r="A4945" s="9" t="s">
        <v>6702</v>
      </c>
      <c r="B4945" s="9" t="s">
        <v>2028</v>
      </c>
      <c r="C4945" s="9" t="s">
        <v>47</v>
      </c>
      <c r="D4945" s="9" t="n">
        <v>69</v>
      </c>
      <c r="E4945" s="9" t="s">
        <v>70</v>
      </c>
      <c r="F4945" s="9" t="s">
        <v>57</v>
      </c>
      <c r="G4945" s="10" t="n">
        <v>46125</v>
      </c>
      <c r="H4945" s="10" t="n">
        <v>46129</v>
      </c>
      <c r="I4945" s="9" t="s">
        <v>50</v>
      </c>
      <c r="J4945" s="9" t="s">
        <v>41</v>
      </c>
      <c r="K4945" s="9" t="n">
        <v>4</v>
      </c>
      <c r="L4945" s="9" t="n">
        <v>2</v>
      </c>
      <c r="M4945" s="9" t="n">
        <v>0</v>
      </c>
      <c r="N4945" s="9" t="s">
        <v>42</v>
      </c>
      <c r="O4945" s="9" t="s">
        <v>43</v>
      </c>
      <c r="P4945" s="9" t="n">
        <v>13.7</v>
      </c>
      <c r="Q4945" s="9" t="n">
        <v>27</v>
      </c>
      <c r="R4945" s="9" t="s">
        <v>53</v>
      </c>
      <c r="S4945" s="9"/>
      <c r="T4945" s="9"/>
      <c r="U4945" s="9" t="str">
        <f aca="false">IF(COUNTIF($A$2:$A$5001,A4945)&gt;1,"Duplicate","Unique")</f>
        <v>Unique</v>
      </c>
      <c r="V4945" s="9" t="str">
        <f aca="false">IF(COUNTIFS($B$2:$B$5001,B4945,$H$2:$H$5001,H4945,$J$2:$J$5001,J4945)&gt;1,"Possible Duplicate Booking","Unique")</f>
        <v>Unique</v>
      </c>
      <c r="W4945" s="9" t="str">
        <f aca="false">IF((H4945-G4945)&lt;&gt;K4945,"Mismatch","OK")</f>
        <v>OK</v>
      </c>
      <c r="X4945" s="9" t="str">
        <f aca="false">IF(TEXT(H4945,"dddd")&lt;&gt;I4945,"Mismatch","OK")</f>
        <v>OK</v>
      </c>
      <c r="Y4945" s="9" t="str">
        <f aca="false">IF(AND(N4945="No",O4945&lt;&gt;""),"Unexpected: channel present but no reminder sent",IF(AND(N4945="Yes",O4945=""),"Missing channel for sent reminder","OK"))</f>
        <v>OK</v>
      </c>
    </row>
    <row r="4946" customFormat="false" ht="15" hidden="false" customHeight="false" outlineLevel="0" collapsed="false">
      <c r="A4946" s="7" t="s">
        <v>6703</v>
      </c>
      <c r="B4946" s="7" t="s">
        <v>4142</v>
      </c>
      <c r="C4946" s="7" t="s">
        <v>37</v>
      </c>
      <c r="D4946" s="7" t="n">
        <v>40</v>
      </c>
      <c r="E4946" s="7" t="s">
        <v>38</v>
      </c>
      <c r="F4946" s="7" t="s">
        <v>39</v>
      </c>
      <c r="G4946" s="8" t="n">
        <v>45667</v>
      </c>
      <c r="H4946" s="8" t="n">
        <v>45677</v>
      </c>
      <c r="I4946" s="7" t="s">
        <v>66</v>
      </c>
      <c r="J4946" s="7" t="s">
        <v>41</v>
      </c>
      <c r="K4946" s="7" t="n">
        <v>10</v>
      </c>
      <c r="L4946" s="7" t="n">
        <v>3</v>
      </c>
      <c r="M4946" s="7" t="n">
        <v>0</v>
      </c>
      <c r="N4946" s="7" t="s">
        <v>71</v>
      </c>
      <c r="O4946" s="7"/>
      <c r="P4946" s="7" t="n">
        <v>4.1</v>
      </c>
      <c r="Q4946" s="7" t="n">
        <v>34</v>
      </c>
      <c r="R4946" s="7" t="s">
        <v>44</v>
      </c>
      <c r="S4946" s="7"/>
      <c r="T4946" s="7"/>
      <c r="U4946" s="7" t="str">
        <f aca="false">IF(COUNTIF($A$2:$A$5001,A4946)&gt;1,"Duplicate","Unique")</f>
        <v>Unique</v>
      </c>
      <c r="V4946" s="7" t="str">
        <f aca="false">IF(COUNTIFS($B$2:$B$5001,B4946,$H$2:$H$5001,H4946,$J$2:$J$5001,J4946)&gt;1,"Possible Duplicate Booking","Unique")</f>
        <v>Unique</v>
      </c>
      <c r="W4946" s="7" t="str">
        <f aca="false">IF((H4946-G4946)&lt;&gt;K4946,"Mismatch","OK")</f>
        <v>OK</v>
      </c>
      <c r="X4946" s="7" t="str">
        <f aca="false">IF(TEXT(H4946,"dddd")&lt;&gt;I4946,"Mismatch","OK")</f>
        <v>OK</v>
      </c>
      <c r="Y4946" s="7" t="str">
        <f aca="false">IF(AND(N4946="No",O4946&lt;&gt;""),"Unexpected: channel present but no reminder sent",IF(AND(N4946="Yes",O4946=""),"Missing channel for sent reminder","OK"))</f>
        <v>OK</v>
      </c>
    </row>
    <row r="4947" customFormat="false" ht="15" hidden="false" customHeight="false" outlineLevel="0" collapsed="false">
      <c r="A4947" s="9" t="s">
        <v>6704</v>
      </c>
      <c r="B4947" s="9" t="s">
        <v>1185</v>
      </c>
      <c r="C4947" s="9" t="s">
        <v>37</v>
      </c>
      <c r="D4947" s="9" t="n">
        <v>40</v>
      </c>
      <c r="E4947" s="9" t="s">
        <v>38</v>
      </c>
      <c r="F4947" s="9" t="s">
        <v>57</v>
      </c>
      <c r="G4947" s="10" t="n">
        <v>46033</v>
      </c>
      <c r="H4947" s="10" t="n">
        <v>46052</v>
      </c>
      <c r="I4947" s="9" t="s">
        <v>50</v>
      </c>
      <c r="J4947" s="9" t="s">
        <v>51</v>
      </c>
      <c r="K4947" s="9" t="n">
        <v>19</v>
      </c>
      <c r="L4947" s="9" t="n">
        <v>1</v>
      </c>
      <c r="M4947" s="9" t="n">
        <v>0</v>
      </c>
      <c r="N4947" s="9" t="s">
        <v>71</v>
      </c>
      <c r="O4947" s="9"/>
      <c r="P4947" s="9" t="n">
        <v>4.1</v>
      </c>
      <c r="Q4947" s="9" t="n">
        <v>11</v>
      </c>
      <c r="R4947" s="9" t="s">
        <v>53</v>
      </c>
      <c r="S4947" s="9"/>
      <c r="T4947" s="9"/>
      <c r="U4947" s="9" t="str">
        <f aca="false">IF(COUNTIF($A$2:$A$5001,A4947)&gt;1,"Duplicate","Unique")</f>
        <v>Unique</v>
      </c>
      <c r="V4947" s="9" t="str">
        <f aca="false">IF(COUNTIFS($B$2:$B$5001,B4947,$H$2:$H$5001,H4947,$J$2:$J$5001,J4947)&gt;1,"Possible Duplicate Booking","Unique")</f>
        <v>Possible Duplicate Booking</v>
      </c>
      <c r="W4947" s="9" t="str">
        <f aca="false">IF((H4947-G4947)&lt;&gt;K4947,"Mismatch","OK")</f>
        <v>OK</v>
      </c>
      <c r="X4947" s="9" t="str">
        <f aca="false">IF(TEXT(H4947,"dddd")&lt;&gt;I4947,"Mismatch","OK")</f>
        <v>OK</v>
      </c>
      <c r="Y4947" s="9" t="str">
        <f aca="false">IF(AND(N4947="No",O4947&lt;&gt;""),"Unexpected: channel present but no reminder sent",IF(AND(N4947="Yes",O4947=""),"Missing channel for sent reminder","OK"))</f>
        <v>OK</v>
      </c>
    </row>
    <row r="4948" customFormat="false" ht="15" hidden="false" customHeight="false" outlineLevel="0" collapsed="false">
      <c r="A4948" s="7" t="s">
        <v>6705</v>
      </c>
      <c r="B4948" s="7" t="s">
        <v>3770</v>
      </c>
      <c r="C4948" s="7" t="s">
        <v>37</v>
      </c>
      <c r="D4948" s="7" t="n">
        <v>69</v>
      </c>
      <c r="E4948" s="7" t="s">
        <v>70</v>
      </c>
      <c r="F4948" s="7" t="s">
        <v>39</v>
      </c>
      <c r="G4948" s="8" t="n">
        <v>45818</v>
      </c>
      <c r="H4948" s="8" t="n">
        <v>45859</v>
      </c>
      <c r="I4948" s="7" t="s">
        <v>66</v>
      </c>
      <c r="J4948" s="7" t="s">
        <v>51</v>
      </c>
      <c r="K4948" s="7" t="n">
        <v>41</v>
      </c>
      <c r="L4948" s="7" t="n">
        <v>2</v>
      </c>
      <c r="M4948" s="7" t="n">
        <v>0</v>
      </c>
      <c r="N4948" s="7" t="s">
        <v>71</v>
      </c>
      <c r="O4948" s="7"/>
      <c r="P4948" s="7" t="n">
        <v>8.3</v>
      </c>
      <c r="Q4948" s="7" t="n">
        <v>17</v>
      </c>
      <c r="R4948" s="7" t="s">
        <v>44</v>
      </c>
      <c r="S4948" s="7"/>
      <c r="T4948" s="7"/>
      <c r="U4948" s="7" t="str">
        <f aca="false">IF(COUNTIF($A$2:$A$5001,A4948)&gt;1,"Duplicate","Unique")</f>
        <v>Unique</v>
      </c>
      <c r="V4948" s="7" t="str">
        <f aca="false">IF(COUNTIFS($B$2:$B$5001,B4948,$H$2:$H$5001,H4948,$J$2:$J$5001,J4948)&gt;1,"Possible Duplicate Booking","Unique")</f>
        <v>Unique</v>
      </c>
      <c r="W4948" s="7" t="str">
        <f aca="false">IF((H4948-G4948)&lt;&gt;K4948,"Mismatch","OK")</f>
        <v>OK</v>
      </c>
      <c r="X4948" s="7" t="str">
        <f aca="false">IF(TEXT(H4948,"dddd")&lt;&gt;I4948,"Mismatch","OK")</f>
        <v>OK</v>
      </c>
      <c r="Y4948" s="7" t="str">
        <f aca="false">IF(AND(N4948="No",O4948&lt;&gt;""),"Unexpected: channel present but no reminder sent",IF(AND(N4948="Yes",O4948=""),"Missing channel for sent reminder","OK"))</f>
        <v>OK</v>
      </c>
    </row>
    <row r="4949" customFormat="false" ht="15" hidden="false" customHeight="false" outlineLevel="0" collapsed="false">
      <c r="A4949" s="9" t="s">
        <v>6706</v>
      </c>
      <c r="B4949" s="9" t="s">
        <v>2440</v>
      </c>
      <c r="C4949" s="9" t="s">
        <v>47</v>
      </c>
      <c r="D4949" s="9" t="n">
        <v>47</v>
      </c>
      <c r="E4949" s="9" t="s">
        <v>56</v>
      </c>
      <c r="F4949" s="9" t="s">
        <v>39</v>
      </c>
      <c r="G4949" s="10" t="n">
        <v>45888</v>
      </c>
      <c r="H4949" s="10" t="n">
        <v>45941</v>
      </c>
      <c r="I4949" s="9" t="s">
        <v>102</v>
      </c>
      <c r="J4949" s="9" t="s">
        <v>51</v>
      </c>
      <c r="K4949" s="9" t="n">
        <v>53</v>
      </c>
      <c r="L4949" s="9" t="n">
        <v>1</v>
      </c>
      <c r="M4949" s="9" t="n">
        <v>0</v>
      </c>
      <c r="N4949" s="9" t="s">
        <v>42</v>
      </c>
      <c r="O4949" s="9" t="s">
        <v>52</v>
      </c>
      <c r="P4949" s="9" t="n">
        <v>19.1</v>
      </c>
      <c r="Q4949" s="9" t="n">
        <v>25</v>
      </c>
      <c r="R4949" s="9" t="s">
        <v>44</v>
      </c>
      <c r="S4949" s="9"/>
      <c r="T4949" s="9"/>
      <c r="U4949" s="9" t="str">
        <f aca="false">IF(COUNTIF($A$2:$A$5001,A4949)&gt;1,"Duplicate","Unique")</f>
        <v>Unique</v>
      </c>
      <c r="V4949" s="9" t="str">
        <f aca="false">IF(COUNTIFS($B$2:$B$5001,B4949,$H$2:$H$5001,H4949,$J$2:$J$5001,J4949)&gt;1,"Possible Duplicate Booking","Unique")</f>
        <v>Unique</v>
      </c>
      <c r="W4949" s="9" t="str">
        <f aca="false">IF((H4949-G4949)&lt;&gt;K4949,"Mismatch","OK")</f>
        <v>OK</v>
      </c>
      <c r="X4949" s="9" t="str">
        <f aca="false">IF(TEXT(H4949,"dddd")&lt;&gt;I4949,"Mismatch","OK")</f>
        <v>OK</v>
      </c>
      <c r="Y4949" s="9" t="str">
        <f aca="false">IF(AND(N4949="No",O4949&lt;&gt;""),"Unexpected: channel present but no reminder sent",IF(AND(N4949="Yes",O4949=""),"Missing channel for sent reminder","OK"))</f>
        <v>OK</v>
      </c>
    </row>
    <row r="4950" customFormat="false" ht="15" hidden="false" customHeight="false" outlineLevel="0" collapsed="false">
      <c r="A4950" s="7" t="s">
        <v>6707</v>
      </c>
      <c r="B4950" s="7" t="s">
        <v>6708</v>
      </c>
      <c r="C4950" s="7" t="s">
        <v>37</v>
      </c>
      <c r="D4950" s="7" t="n">
        <v>41</v>
      </c>
      <c r="E4950" s="7" t="s">
        <v>38</v>
      </c>
      <c r="F4950" s="7" t="s">
        <v>49</v>
      </c>
      <c r="G4950" s="8" t="n">
        <v>45746</v>
      </c>
      <c r="H4950" s="8" t="n">
        <v>45802</v>
      </c>
      <c r="I4950" s="7" t="s">
        <v>75</v>
      </c>
      <c r="J4950" s="7" t="s">
        <v>41</v>
      </c>
      <c r="K4950" s="7" t="n">
        <v>56</v>
      </c>
      <c r="L4950" s="7" t="n">
        <v>2</v>
      </c>
      <c r="M4950" s="7" t="n">
        <v>0</v>
      </c>
      <c r="N4950" s="7" t="s">
        <v>42</v>
      </c>
      <c r="O4950" s="7" t="s">
        <v>43</v>
      </c>
      <c r="P4950" s="7" t="n">
        <v>11.8</v>
      </c>
      <c r="Q4950" s="7" t="n">
        <v>24</v>
      </c>
      <c r="R4950" s="7" t="s">
        <v>44</v>
      </c>
      <c r="S4950" s="7"/>
      <c r="T4950" s="7"/>
      <c r="U4950" s="7" t="str">
        <f aca="false">IF(COUNTIF($A$2:$A$5001,A4950)&gt;1,"Duplicate","Unique")</f>
        <v>Unique</v>
      </c>
      <c r="V4950" s="7" t="str">
        <f aca="false">IF(COUNTIFS($B$2:$B$5001,B4950,$H$2:$H$5001,H4950,$J$2:$J$5001,J4950)&gt;1,"Possible Duplicate Booking","Unique")</f>
        <v>Unique</v>
      </c>
      <c r="W4950" s="7" t="str">
        <f aca="false">IF((H4950-G4950)&lt;&gt;K4950,"Mismatch","OK")</f>
        <v>OK</v>
      </c>
      <c r="X4950" s="7" t="str">
        <f aca="false">IF(TEXT(H4950,"dddd")&lt;&gt;I4950,"Mismatch","OK")</f>
        <v>OK</v>
      </c>
      <c r="Y4950" s="7" t="str">
        <f aca="false">IF(AND(N4950="No",O4950&lt;&gt;""),"Unexpected: channel present but no reminder sent",IF(AND(N4950="Yes",O4950=""),"Missing channel for sent reminder","OK"))</f>
        <v>OK</v>
      </c>
    </row>
    <row r="4951" customFormat="false" ht="15" hidden="false" customHeight="false" outlineLevel="0" collapsed="false">
      <c r="A4951" s="9" t="s">
        <v>6709</v>
      </c>
      <c r="B4951" s="9" t="s">
        <v>2164</v>
      </c>
      <c r="C4951" s="9" t="s">
        <v>47</v>
      </c>
      <c r="D4951" s="9" t="n">
        <v>42</v>
      </c>
      <c r="E4951" s="9" t="s">
        <v>38</v>
      </c>
      <c r="F4951" s="9" t="s">
        <v>39</v>
      </c>
      <c r="G4951" s="10" t="n">
        <v>45824</v>
      </c>
      <c r="H4951" s="10" t="n">
        <v>45859</v>
      </c>
      <c r="I4951" s="9" t="s">
        <v>66</v>
      </c>
      <c r="J4951" s="9" t="s">
        <v>51</v>
      </c>
      <c r="K4951" s="9" t="n">
        <v>35</v>
      </c>
      <c r="L4951" s="9" t="n">
        <v>2</v>
      </c>
      <c r="M4951" s="9" t="n">
        <v>2</v>
      </c>
      <c r="N4951" s="9" t="s">
        <v>42</v>
      </c>
      <c r="O4951" s="9" t="s">
        <v>43</v>
      </c>
      <c r="P4951" s="9" t="n">
        <v>9.7</v>
      </c>
      <c r="Q4951" s="9" t="n">
        <v>8</v>
      </c>
      <c r="R4951" s="9" t="s">
        <v>44</v>
      </c>
      <c r="S4951" s="9"/>
      <c r="T4951" s="9"/>
      <c r="U4951" s="9" t="str">
        <f aca="false">IF(COUNTIF($A$2:$A$5001,A4951)&gt;1,"Duplicate","Unique")</f>
        <v>Unique</v>
      </c>
      <c r="V4951" s="9" t="str">
        <f aca="false">IF(COUNTIFS($B$2:$B$5001,B4951,$H$2:$H$5001,H4951,$J$2:$J$5001,J4951)&gt;1,"Possible Duplicate Booking","Unique")</f>
        <v>Unique</v>
      </c>
      <c r="W4951" s="9" t="str">
        <f aca="false">IF((H4951-G4951)&lt;&gt;K4951,"Mismatch","OK")</f>
        <v>OK</v>
      </c>
      <c r="X4951" s="9" t="str">
        <f aca="false">IF(TEXT(H4951,"dddd")&lt;&gt;I4951,"Mismatch","OK")</f>
        <v>OK</v>
      </c>
      <c r="Y4951" s="9" t="str">
        <f aca="false">IF(AND(N4951="No",O4951&lt;&gt;""),"Unexpected: channel present but no reminder sent",IF(AND(N4951="Yes",O4951=""),"Missing channel for sent reminder","OK"))</f>
        <v>OK</v>
      </c>
    </row>
    <row r="4952" customFormat="false" ht="15" hidden="false" customHeight="false" outlineLevel="0" collapsed="false">
      <c r="A4952" s="7" t="s">
        <v>6710</v>
      </c>
      <c r="B4952" s="7" t="s">
        <v>2906</v>
      </c>
      <c r="C4952" s="7" t="s">
        <v>37</v>
      </c>
      <c r="D4952" s="7" t="n">
        <v>46</v>
      </c>
      <c r="E4952" s="7" t="s">
        <v>56</v>
      </c>
      <c r="F4952" s="7" t="s">
        <v>57</v>
      </c>
      <c r="G4952" s="8" t="n">
        <v>45813</v>
      </c>
      <c r="H4952" s="8" t="n">
        <v>45838</v>
      </c>
      <c r="I4952" s="7" t="s">
        <v>66</v>
      </c>
      <c r="J4952" s="7" t="s">
        <v>51</v>
      </c>
      <c r="K4952" s="7" t="n">
        <v>25</v>
      </c>
      <c r="L4952" s="7" t="n">
        <v>3</v>
      </c>
      <c r="M4952" s="7" t="n">
        <v>3</v>
      </c>
      <c r="N4952" s="7" t="s">
        <v>42</v>
      </c>
      <c r="O4952" s="7" t="s">
        <v>43</v>
      </c>
      <c r="P4952" s="7" t="n">
        <v>9.7</v>
      </c>
      <c r="Q4952" s="7" t="n">
        <v>32</v>
      </c>
      <c r="R4952" s="7" t="s">
        <v>44</v>
      </c>
      <c r="S4952" s="7"/>
      <c r="T4952" s="7"/>
      <c r="U4952" s="7" t="str">
        <f aca="false">IF(COUNTIF($A$2:$A$5001,A4952)&gt;1,"Duplicate","Unique")</f>
        <v>Unique</v>
      </c>
      <c r="V4952" s="7" t="str">
        <f aca="false">IF(COUNTIFS($B$2:$B$5001,B4952,$H$2:$H$5001,H4952,$J$2:$J$5001,J4952)&gt;1,"Possible Duplicate Booking","Unique")</f>
        <v>Unique</v>
      </c>
      <c r="W4952" s="7" t="str">
        <f aca="false">IF((H4952-G4952)&lt;&gt;K4952,"Mismatch","OK")</f>
        <v>OK</v>
      </c>
      <c r="X4952" s="7" t="str">
        <f aca="false">IF(TEXT(H4952,"dddd")&lt;&gt;I4952,"Mismatch","OK")</f>
        <v>OK</v>
      </c>
      <c r="Y4952" s="7" t="str">
        <f aca="false">IF(AND(N4952="No",O4952&lt;&gt;""),"Unexpected: channel present but no reminder sent",IF(AND(N4952="Yes",O4952=""),"Missing channel for sent reminder","OK"))</f>
        <v>OK</v>
      </c>
    </row>
    <row r="4953" customFormat="false" ht="15" hidden="false" customHeight="false" outlineLevel="0" collapsed="false">
      <c r="A4953" s="9" t="s">
        <v>6711</v>
      </c>
      <c r="B4953" s="9" t="s">
        <v>3276</v>
      </c>
      <c r="C4953" s="9" t="s">
        <v>37</v>
      </c>
      <c r="D4953" s="9" t="n">
        <v>50</v>
      </c>
      <c r="E4953" s="9" t="s">
        <v>56</v>
      </c>
      <c r="F4953" s="9" t="s">
        <v>49</v>
      </c>
      <c r="G4953" s="10" t="n">
        <v>45660</v>
      </c>
      <c r="H4953" s="10" t="n">
        <v>45685</v>
      </c>
      <c r="I4953" s="9" t="s">
        <v>40</v>
      </c>
      <c r="J4953" s="9" t="s">
        <v>51</v>
      </c>
      <c r="K4953" s="9" t="n">
        <v>25</v>
      </c>
      <c r="L4953" s="9" t="n">
        <v>2</v>
      </c>
      <c r="M4953" s="9" t="n">
        <v>0</v>
      </c>
      <c r="N4953" s="9" t="s">
        <v>42</v>
      </c>
      <c r="O4953" s="9" t="s">
        <v>67</v>
      </c>
      <c r="P4953" s="9" t="n">
        <v>18.6</v>
      </c>
      <c r="Q4953" s="9" t="n">
        <v>40</v>
      </c>
      <c r="R4953" s="9" t="s">
        <v>44</v>
      </c>
      <c r="S4953" s="9"/>
      <c r="T4953" s="9"/>
      <c r="U4953" s="9" t="str">
        <f aca="false">IF(COUNTIF($A$2:$A$5001,A4953)&gt;1,"Duplicate","Unique")</f>
        <v>Unique</v>
      </c>
      <c r="V4953" s="9" t="str">
        <f aca="false">IF(COUNTIFS($B$2:$B$5001,B4953,$H$2:$H$5001,H4953,$J$2:$J$5001,J4953)&gt;1,"Possible Duplicate Booking","Unique")</f>
        <v>Unique</v>
      </c>
      <c r="W4953" s="9" t="str">
        <f aca="false">IF((H4953-G4953)&lt;&gt;K4953,"Mismatch","OK")</f>
        <v>OK</v>
      </c>
      <c r="X4953" s="9" t="str">
        <f aca="false">IF(TEXT(H4953,"dddd")&lt;&gt;I4953,"Mismatch","OK")</f>
        <v>OK</v>
      </c>
      <c r="Y4953" s="9" t="str">
        <f aca="false">IF(AND(N4953="No",O4953&lt;&gt;""),"Unexpected: channel present but no reminder sent",IF(AND(N4953="Yes",O4953=""),"Missing channel for sent reminder","OK"))</f>
        <v>OK</v>
      </c>
    </row>
    <row r="4954" customFormat="false" ht="15" hidden="false" customHeight="false" outlineLevel="0" collapsed="false">
      <c r="A4954" s="7" t="s">
        <v>6712</v>
      </c>
      <c r="B4954" s="7" t="s">
        <v>3037</v>
      </c>
      <c r="C4954" s="7" t="s">
        <v>37</v>
      </c>
      <c r="D4954" s="7" t="n">
        <v>20</v>
      </c>
      <c r="E4954" s="7" t="s">
        <v>82</v>
      </c>
      <c r="F4954" s="7" t="s">
        <v>39</v>
      </c>
      <c r="G4954" s="8" t="n">
        <v>46082</v>
      </c>
      <c r="H4954" s="8" t="n">
        <v>46085</v>
      </c>
      <c r="I4954" s="7" t="s">
        <v>58</v>
      </c>
      <c r="J4954" s="7" t="s">
        <v>63</v>
      </c>
      <c r="K4954" s="7" t="n">
        <v>3</v>
      </c>
      <c r="L4954" s="7" t="n">
        <v>4</v>
      </c>
      <c r="M4954" s="7" t="n">
        <v>1</v>
      </c>
      <c r="N4954" s="7" t="s">
        <v>42</v>
      </c>
      <c r="O4954" s="7" t="s">
        <v>52</v>
      </c>
      <c r="P4954" s="7"/>
      <c r="Q4954" s="7" t="n">
        <v>39</v>
      </c>
      <c r="R4954" s="7" t="s">
        <v>44</v>
      </c>
      <c r="S4954" s="7"/>
      <c r="T4954" s="7"/>
      <c r="U4954" s="7" t="str">
        <f aca="false">IF(COUNTIF($A$2:$A$5001,A4954)&gt;1,"Duplicate","Unique")</f>
        <v>Unique</v>
      </c>
      <c r="V4954" s="7" t="str">
        <f aca="false">IF(COUNTIFS($B$2:$B$5001,B4954,$H$2:$H$5001,H4954,$J$2:$J$5001,J4954)&gt;1,"Possible Duplicate Booking","Unique")</f>
        <v>Unique</v>
      </c>
      <c r="W4954" s="7" t="str">
        <f aca="false">IF((H4954-G4954)&lt;&gt;K4954,"Mismatch","OK")</f>
        <v>OK</v>
      </c>
      <c r="X4954" s="7" t="str">
        <f aca="false">IF(TEXT(H4954,"dddd")&lt;&gt;I4954,"Mismatch","OK")</f>
        <v>OK</v>
      </c>
      <c r="Y4954" s="7" t="str">
        <f aca="false">IF(AND(N4954="No",O4954&lt;&gt;""),"Unexpected: channel present but no reminder sent",IF(AND(N4954="Yes",O4954=""),"Missing channel for sent reminder","OK"))</f>
        <v>OK</v>
      </c>
    </row>
    <row r="4955" customFormat="false" ht="15" hidden="false" customHeight="false" outlineLevel="0" collapsed="false">
      <c r="A4955" s="9" t="s">
        <v>6713</v>
      </c>
      <c r="B4955" s="9" t="s">
        <v>2537</v>
      </c>
      <c r="C4955" s="9" t="s">
        <v>37</v>
      </c>
      <c r="D4955" s="9" t="n">
        <v>48</v>
      </c>
      <c r="E4955" s="9" t="s">
        <v>56</v>
      </c>
      <c r="F4955" s="9" t="s">
        <v>49</v>
      </c>
      <c r="G4955" s="10" t="n">
        <v>45708</v>
      </c>
      <c r="H4955" s="10" t="n">
        <v>45736</v>
      </c>
      <c r="I4955" s="9" t="s">
        <v>62</v>
      </c>
      <c r="J4955" s="9" t="s">
        <v>51</v>
      </c>
      <c r="K4955" s="9" t="n">
        <v>28</v>
      </c>
      <c r="L4955" s="9" t="n">
        <v>5</v>
      </c>
      <c r="M4955" s="9" t="n">
        <v>2</v>
      </c>
      <c r="N4955" s="9" t="s">
        <v>42</v>
      </c>
      <c r="O4955" s="9" t="s">
        <v>52</v>
      </c>
      <c r="P4955" s="9" t="n">
        <v>4</v>
      </c>
      <c r="Q4955" s="9" t="n">
        <v>16</v>
      </c>
      <c r="R4955" s="9" t="s">
        <v>53</v>
      </c>
      <c r="S4955" s="9"/>
      <c r="T4955" s="9"/>
      <c r="U4955" s="9" t="str">
        <f aca="false">IF(COUNTIF($A$2:$A$5001,A4955)&gt;1,"Duplicate","Unique")</f>
        <v>Unique</v>
      </c>
      <c r="V4955" s="9" t="str">
        <f aca="false">IF(COUNTIFS($B$2:$B$5001,B4955,$H$2:$H$5001,H4955,$J$2:$J$5001,J4955)&gt;1,"Possible Duplicate Booking","Unique")</f>
        <v>Unique</v>
      </c>
      <c r="W4955" s="9" t="str">
        <f aca="false">IF((H4955-G4955)&lt;&gt;K4955,"Mismatch","OK")</f>
        <v>OK</v>
      </c>
      <c r="X4955" s="9" t="str">
        <f aca="false">IF(TEXT(H4955,"dddd")&lt;&gt;I4955,"Mismatch","OK")</f>
        <v>OK</v>
      </c>
      <c r="Y4955" s="9" t="str">
        <f aca="false">IF(AND(N4955="No",O4955&lt;&gt;""),"Unexpected: channel present but no reminder sent",IF(AND(N4955="Yes",O4955=""),"Missing channel for sent reminder","OK"))</f>
        <v>OK</v>
      </c>
    </row>
    <row r="4956" customFormat="false" ht="15" hidden="false" customHeight="false" outlineLevel="0" collapsed="false">
      <c r="A4956" s="7" t="s">
        <v>6714</v>
      </c>
      <c r="B4956" s="7" t="s">
        <v>447</v>
      </c>
      <c r="C4956" s="7" t="s">
        <v>37</v>
      </c>
      <c r="D4956" s="7" t="n">
        <v>45</v>
      </c>
      <c r="E4956" s="7" t="s">
        <v>56</v>
      </c>
      <c r="F4956" s="7" t="s">
        <v>39</v>
      </c>
      <c r="G4956" s="8" t="n">
        <v>45832</v>
      </c>
      <c r="H4956" s="8" t="n">
        <v>45863</v>
      </c>
      <c r="I4956" s="7" t="s">
        <v>50</v>
      </c>
      <c r="J4956" s="7" t="s">
        <v>51</v>
      </c>
      <c r="K4956" s="7" t="n">
        <v>31</v>
      </c>
      <c r="L4956" s="7" t="n">
        <v>4</v>
      </c>
      <c r="M4956" s="7" t="n">
        <v>2</v>
      </c>
      <c r="N4956" s="7" t="s">
        <v>42</v>
      </c>
      <c r="O4956" s="7" t="s">
        <v>43</v>
      </c>
      <c r="P4956" s="7" t="n">
        <v>10.4</v>
      </c>
      <c r="Q4956" s="7" t="n">
        <v>33</v>
      </c>
      <c r="R4956" s="7" t="s">
        <v>44</v>
      </c>
      <c r="S4956" s="7"/>
      <c r="T4956" s="7"/>
      <c r="U4956" s="7" t="str">
        <f aca="false">IF(COUNTIF($A$2:$A$5001,A4956)&gt;1,"Duplicate","Unique")</f>
        <v>Unique</v>
      </c>
      <c r="V4956" s="7" t="str">
        <f aca="false">IF(COUNTIFS($B$2:$B$5001,B4956,$H$2:$H$5001,H4956,$J$2:$J$5001,J4956)&gt;1,"Possible Duplicate Booking","Unique")</f>
        <v>Unique</v>
      </c>
      <c r="W4956" s="7" t="str">
        <f aca="false">IF((H4956-G4956)&lt;&gt;K4956,"Mismatch","OK")</f>
        <v>OK</v>
      </c>
      <c r="X4956" s="7" t="str">
        <f aca="false">IF(TEXT(H4956,"dddd")&lt;&gt;I4956,"Mismatch","OK")</f>
        <v>OK</v>
      </c>
      <c r="Y4956" s="7" t="str">
        <f aca="false">IF(AND(N4956="No",O4956&lt;&gt;""),"Unexpected: channel present but no reminder sent",IF(AND(N4956="Yes",O4956=""),"Missing channel for sent reminder","OK"))</f>
        <v>OK</v>
      </c>
    </row>
    <row r="4957" customFormat="false" ht="15" hidden="false" customHeight="false" outlineLevel="0" collapsed="false">
      <c r="A4957" s="9" t="s">
        <v>6715</v>
      </c>
      <c r="B4957" s="9" t="s">
        <v>983</v>
      </c>
      <c r="C4957" s="9" t="s">
        <v>47</v>
      </c>
      <c r="D4957" s="9" t="n">
        <v>35</v>
      </c>
      <c r="E4957" s="9" t="s">
        <v>38</v>
      </c>
      <c r="F4957" s="9" t="s">
        <v>49</v>
      </c>
      <c r="G4957" s="10" t="n">
        <v>45751</v>
      </c>
      <c r="H4957" s="10" t="n">
        <v>45763</v>
      </c>
      <c r="I4957" s="9" t="s">
        <v>58</v>
      </c>
      <c r="J4957" s="9" t="s">
        <v>63</v>
      </c>
      <c r="K4957" s="9" t="n">
        <v>12</v>
      </c>
      <c r="L4957" s="9" t="n">
        <v>1</v>
      </c>
      <c r="M4957" s="9" t="n">
        <v>0</v>
      </c>
      <c r="N4957" s="9" t="s">
        <v>42</v>
      </c>
      <c r="O4957" s="9" t="s">
        <v>52</v>
      </c>
      <c r="P4957" s="9" t="n">
        <v>11.1</v>
      </c>
      <c r="Q4957" s="9" t="n">
        <v>20</v>
      </c>
      <c r="R4957" s="9" t="s">
        <v>44</v>
      </c>
      <c r="S4957" s="9"/>
      <c r="T4957" s="9"/>
      <c r="U4957" s="9" t="str">
        <f aca="false">IF(COUNTIF($A$2:$A$5001,A4957)&gt;1,"Duplicate","Unique")</f>
        <v>Unique</v>
      </c>
      <c r="V4957" s="9" t="str">
        <f aca="false">IF(COUNTIFS($B$2:$B$5001,B4957,$H$2:$H$5001,H4957,$J$2:$J$5001,J4957)&gt;1,"Possible Duplicate Booking","Unique")</f>
        <v>Unique</v>
      </c>
      <c r="W4957" s="9" t="str">
        <f aca="false">IF((H4957-G4957)&lt;&gt;K4957,"Mismatch","OK")</f>
        <v>OK</v>
      </c>
      <c r="X4957" s="9" t="str">
        <f aca="false">IF(TEXT(H4957,"dddd")&lt;&gt;I4957,"Mismatch","OK")</f>
        <v>OK</v>
      </c>
      <c r="Y4957" s="9" t="str">
        <f aca="false">IF(AND(N4957="No",O4957&lt;&gt;""),"Unexpected: channel present but no reminder sent",IF(AND(N4957="Yes",O4957=""),"Missing channel for sent reminder","OK"))</f>
        <v>OK</v>
      </c>
    </row>
    <row r="4958" customFormat="false" ht="15" hidden="false" customHeight="false" outlineLevel="0" collapsed="false">
      <c r="A4958" s="7" t="s">
        <v>6716</v>
      </c>
      <c r="B4958" s="7" t="s">
        <v>1821</v>
      </c>
      <c r="C4958" s="7" t="s">
        <v>37</v>
      </c>
      <c r="D4958" s="7" t="n">
        <v>40</v>
      </c>
      <c r="E4958" s="7" t="s">
        <v>38</v>
      </c>
      <c r="F4958" s="7" t="s">
        <v>57</v>
      </c>
      <c r="G4958" s="8" t="n">
        <v>45699</v>
      </c>
      <c r="H4958" s="8" t="n">
        <v>45745</v>
      </c>
      <c r="I4958" s="7" t="s">
        <v>102</v>
      </c>
      <c r="J4958" s="7" t="s">
        <v>41</v>
      </c>
      <c r="K4958" s="7" t="n">
        <v>46</v>
      </c>
      <c r="L4958" s="7" t="n">
        <v>2</v>
      </c>
      <c r="M4958" s="7" t="n">
        <v>1</v>
      </c>
      <c r="N4958" s="7" t="s">
        <v>71</v>
      </c>
      <c r="O4958" s="7"/>
      <c r="P4958" s="7" t="n">
        <v>6.6</v>
      </c>
      <c r="Q4958" s="7" t="n">
        <v>25</v>
      </c>
      <c r="R4958" s="7" t="s">
        <v>44</v>
      </c>
      <c r="S4958" s="7"/>
      <c r="T4958" s="7"/>
      <c r="U4958" s="7" t="str">
        <f aca="false">IF(COUNTIF($A$2:$A$5001,A4958)&gt;1,"Duplicate","Unique")</f>
        <v>Unique</v>
      </c>
      <c r="V4958" s="7" t="str">
        <f aca="false">IF(COUNTIFS($B$2:$B$5001,B4958,$H$2:$H$5001,H4958,$J$2:$J$5001,J4958)&gt;1,"Possible Duplicate Booking","Unique")</f>
        <v>Unique</v>
      </c>
      <c r="W4958" s="7" t="str">
        <f aca="false">IF((H4958-G4958)&lt;&gt;K4958,"Mismatch","OK")</f>
        <v>OK</v>
      </c>
      <c r="X4958" s="7" t="str">
        <f aca="false">IF(TEXT(H4958,"dddd")&lt;&gt;I4958,"Mismatch","OK")</f>
        <v>OK</v>
      </c>
      <c r="Y4958" s="7" t="str">
        <f aca="false">IF(AND(N4958="No",O4958&lt;&gt;""),"Unexpected: channel present but no reminder sent",IF(AND(N4958="Yes",O4958=""),"Missing channel for sent reminder","OK"))</f>
        <v>OK</v>
      </c>
    </row>
    <row r="4959" customFormat="false" ht="15" hidden="false" customHeight="false" outlineLevel="0" collapsed="false">
      <c r="A4959" s="9" t="s">
        <v>6717</v>
      </c>
      <c r="B4959" s="9" t="s">
        <v>1016</v>
      </c>
      <c r="C4959" s="9" t="s">
        <v>37</v>
      </c>
      <c r="D4959" s="9" t="n">
        <v>44</v>
      </c>
      <c r="E4959" s="9" t="s">
        <v>38</v>
      </c>
      <c r="F4959" s="9" t="s">
        <v>57</v>
      </c>
      <c r="G4959" s="10" t="n">
        <v>45812</v>
      </c>
      <c r="H4959" s="10" t="n">
        <v>45861</v>
      </c>
      <c r="I4959" s="9" t="s">
        <v>58</v>
      </c>
      <c r="J4959" s="9" t="s">
        <v>41</v>
      </c>
      <c r="K4959" s="9" t="n">
        <v>49</v>
      </c>
      <c r="L4959" s="9" t="n">
        <v>0</v>
      </c>
      <c r="M4959" s="9" t="n">
        <v>0</v>
      </c>
      <c r="N4959" s="9" t="s">
        <v>71</v>
      </c>
      <c r="O4959" s="9"/>
      <c r="P4959" s="9" t="n">
        <v>5.1</v>
      </c>
      <c r="Q4959" s="9" t="n">
        <v>36</v>
      </c>
      <c r="R4959" s="9" t="s">
        <v>44</v>
      </c>
      <c r="S4959" s="9"/>
      <c r="T4959" s="9"/>
      <c r="U4959" s="9" t="str">
        <f aca="false">IF(COUNTIF($A$2:$A$5001,A4959)&gt;1,"Duplicate","Unique")</f>
        <v>Unique</v>
      </c>
      <c r="V4959" s="9" t="str">
        <f aca="false">IF(COUNTIFS($B$2:$B$5001,B4959,$H$2:$H$5001,H4959,$J$2:$J$5001,J4959)&gt;1,"Possible Duplicate Booking","Unique")</f>
        <v>Unique</v>
      </c>
      <c r="W4959" s="9" t="str">
        <f aca="false">IF((H4959-G4959)&lt;&gt;K4959,"Mismatch","OK")</f>
        <v>OK</v>
      </c>
      <c r="X4959" s="9" t="str">
        <f aca="false">IF(TEXT(H4959,"dddd")&lt;&gt;I4959,"Mismatch","OK")</f>
        <v>OK</v>
      </c>
      <c r="Y4959" s="9" t="str">
        <f aca="false">IF(AND(N4959="No",O4959&lt;&gt;""),"Unexpected: channel present but no reminder sent",IF(AND(N4959="Yes",O4959=""),"Missing channel for sent reminder","OK"))</f>
        <v>OK</v>
      </c>
    </row>
    <row r="4960" customFormat="false" ht="15" hidden="false" customHeight="false" outlineLevel="0" collapsed="false">
      <c r="A4960" s="7" t="s">
        <v>6718</v>
      </c>
      <c r="B4960" s="7" t="s">
        <v>2284</v>
      </c>
      <c r="C4960" s="7" t="s">
        <v>37</v>
      </c>
      <c r="D4960" s="7" t="n">
        <v>41</v>
      </c>
      <c r="E4960" s="7" t="s">
        <v>38</v>
      </c>
      <c r="F4960" s="7" t="s">
        <v>49</v>
      </c>
      <c r="G4960" s="8" t="n">
        <v>46141</v>
      </c>
      <c r="H4960" s="8" t="n">
        <v>46159</v>
      </c>
      <c r="I4960" s="7" t="s">
        <v>75</v>
      </c>
      <c r="J4960" s="7" t="s">
        <v>41</v>
      </c>
      <c r="K4960" s="7" t="n">
        <v>18</v>
      </c>
      <c r="L4960" s="7" t="n">
        <v>3</v>
      </c>
      <c r="M4960" s="7" t="n">
        <v>1</v>
      </c>
      <c r="N4960" s="7" t="s">
        <v>42</v>
      </c>
      <c r="O4960" s="7" t="s">
        <v>52</v>
      </c>
      <c r="P4960" s="7" t="n">
        <v>1.9</v>
      </c>
      <c r="Q4960" s="7" t="n">
        <v>39</v>
      </c>
      <c r="R4960" s="7" t="s">
        <v>44</v>
      </c>
      <c r="S4960" s="7"/>
      <c r="T4960" s="7"/>
      <c r="U4960" s="7" t="str">
        <f aca="false">IF(COUNTIF($A$2:$A$5001,A4960)&gt;1,"Duplicate","Unique")</f>
        <v>Unique</v>
      </c>
      <c r="V4960" s="7" t="str">
        <f aca="false">IF(COUNTIFS($B$2:$B$5001,B4960,$H$2:$H$5001,H4960,$J$2:$J$5001,J4960)&gt;1,"Possible Duplicate Booking","Unique")</f>
        <v>Unique</v>
      </c>
      <c r="W4960" s="7" t="str">
        <f aca="false">IF((H4960-G4960)&lt;&gt;K4960,"Mismatch","OK")</f>
        <v>OK</v>
      </c>
      <c r="X4960" s="7" t="str">
        <f aca="false">IF(TEXT(H4960,"dddd")&lt;&gt;I4960,"Mismatch","OK")</f>
        <v>OK</v>
      </c>
      <c r="Y4960" s="7" t="str">
        <f aca="false">IF(AND(N4960="No",O4960&lt;&gt;""),"Unexpected: channel present but no reminder sent",IF(AND(N4960="Yes",O4960=""),"Missing channel for sent reminder","OK"))</f>
        <v>OK</v>
      </c>
    </row>
    <row r="4961" customFormat="false" ht="15" hidden="false" customHeight="false" outlineLevel="0" collapsed="false">
      <c r="A4961" s="9" t="s">
        <v>6719</v>
      </c>
      <c r="B4961" s="9" t="s">
        <v>1756</v>
      </c>
      <c r="C4961" s="9" t="s">
        <v>236</v>
      </c>
      <c r="D4961" s="9" t="n">
        <v>75</v>
      </c>
      <c r="E4961" s="9" t="s">
        <v>70</v>
      </c>
      <c r="F4961" s="9" t="s">
        <v>57</v>
      </c>
      <c r="G4961" s="10" t="n">
        <v>46118</v>
      </c>
      <c r="H4961" s="10" t="n">
        <v>46173</v>
      </c>
      <c r="I4961" s="9" t="s">
        <v>75</v>
      </c>
      <c r="J4961" s="9" t="s">
        <v>51</v>
      </c>
      <c r="K4961" s="9" t="n">
        <v>55</v>
      </c>
      <c r="L4961" s="9" t="n">
        <v>3</v>
      </c>
      <c r="M4961" s="9" t="n">
        <v>0</v>
      </c>
      <c r="N4961" s="9" t="s">
        <v>42</v>
      </c>
      <c r="O4961" s="9" t="s">
        <v>43</v>
      </c>
      <c r="P4961" s="9" t="n">
        <v>9.3</v>
      </c>
      <c r="Q4961" s="9" t="n">
        <v>19</v>
      </c>
      <c r="R4961" s="9" t="s">
        <v>53</v>
      </c>
      <c r="S4961" s="9"/>
      <c r="T4961" s="9"/>
      <c r="U4961" s="9" t="str">
        <f aca="false">IF(COUNTIF($A$2:$A$5001,A4961)&gt;1,"Duplicate","Unique")</f>
        <v>Unique</v>
      </c>
      <c r="V4961" s="9" t="str">
        <f aca="false">IF(COUNTIFS($B$2:$B$5001,B4961,$H$2:$H$5001,H4961,$J$2:$J$5001,J4961)&gt;1,"Possible Duplicate Booking","Unique")</f>
        <v>Unique</v>
      </c>
      <c r="W4961" s="9" t="str">
        <f aca="false">IF((H4961-G4961)&lt;&gt;K4961,"Mismatch","OK")</f>
        <v>OK</v>
      </c>
      <c r="X4961" s="9" t="str">
        <f aca="false">IF(TEXT(H4961,"dddd")&lt;&gt;I4961,"Mismatch","OK")</f>
        <v>OK</v>
      </c>
      <c r="Y4961" s="9" t="str">
        <f aca="false">IF(AND(N4961="No",O4961&lt;&gt;""),"Unexpected: channel present but no reminder sent",IF(AND(N4961="Yes",O4961=""),"Missing channel for sent reminder","OK"))</f>
        <v>OK</v>
      </c>
    </row>
    <row r="4962" customFormat="false" ht="15" hidden="false" customHeight="false" outlineLevel="0" collapsed="false">
      <c r="A4962" s="7" t="s">
        <v>6720</v>
      </c>
      <c r="B4962" s="7" t="s">
        <v>1051</v>
      </c>
      <c r="C4962" s="7" t="s">
        <v>47</v>
      </c>
      <c r="D4962" s="7" t="n">
        <v>51</v>
      </c>
      <c r="E4962" s="7" t="s">
        <v>56</v>
      </c>
      <c r="F4962" s="7" t="s">
        <v>49</v>
      </c>
      <c r="G4962" s="8" t="n">
        <v>45860</v>
      </c>
      <c r="H4962" s="8" t="n">
        <v>45866</v>
      </c>
      <c r="I4962" s="7" t="s">
        <v>66</v>
      </c>
      <c r="J4962" s="7" t="s">
        <v>41</v>
      </c>
      <c r="K4962" s="7" t="n">
        <v>6</v>
      </c>
      <c r="L4962" s="7" t="n">
        <v>3</v>
      </c>
      <c r="M4962" s="7" t="n">
        <v>1</v>
      </c>
      <c r="N4962" s="7" t="s">
        <v>42</v>
      </c>
      <c r="O4962" s="7" t="s">
        <v>67</v>
      </c>
      <c r="P4962" s="7" t="n">
        <v>23.6</v>
      </c>
      <c r="Q4962" s="7" t="n">
        <v>18</v>
      </c>
      <c r="R4962" s="7" t="s">
        <v>53</v>
      </c>
      <c r="S4962" s="7"/>
      <c r="T4962" s="7"/>
      <c r="U4962" s="7" t="str">
        <f aca="false">IF(COUNTIF($A$2:$A$5001,A4962)&gt;1,"Duplicate","Unique")</f>
        <v>Unique</v>
      </c>
      <c r="V4962" s="7" t="str">
        <f aca="false">IF(COUNTIFS($B$2:$B$5001,B4962,$H$2:$H$5001,H4962,$J$2:$J$5001,J4962)&gt;1,"Possible Duplicate Booking","Unique")</f>
        <v>Unique</v>
      </c>
      <c r="W4962" s="7" t="str">
        <f aca="false">IF((H4962-G4962)&lt;&gt;K4962,"Mismatch","OK")</f>
        <v>OK</v>
      </c>
      <c r="X4962" s="7" t="str">
        <f aca="false">IF(TEXT(H4962,"dddd")&lt;&gt;I4962,"Mismatch","OK")</f>
        <v>OK</v>
      </c>
      <c r="Y4962" s="7" t="str">
        <f aca="false">IF(AND(N4962="No",O4962&lt;&gt;""),"Unexpected: channel present but no reminder sent",IF(AND(N4962="Yes",O4962=""),"Missing channel for sent reminder","OK"))</f>
        <v>OK</v>
      </c>
    </row>
    <row r="4963" customFormat="false" ht="15" hidden="false" customHeight="false" outlineLevel="0" collapsed="false">
      <c r="A4963" s="9" t="s">
        <v>6721</v>
      </c>
      <c r="B4963" s="9" t="s">
        <v>3218</v>
      </c>
      <c r="C4963" s="9" t="s">
        <v>47</v>
      </c>
      <c r="D4963" s="9" t="n">
        <v>49</v>
      </c>
      <c r="E4963" s="9" t="s">
        <v>56</v>
      </c>
      <c r="F4963" s="9" t="s">
        <v>57</v>
      </c>
      <c r="G4963" s="10" t="n">
        <v>45878</v>
      </c>
      <c r="H4963" s="10" t="n">
        <v>45933</v>
      </c>
      <c r="I4963" s="9" t="s">
        <v>50</v>
      </c>
      <c r="J4963" s="9" t="s">
        <v>51</v>
      </c>
      <c r="K4963" s="9" t="n">
        <v>55</v>
      </c>
      <c r="L4963" s="9" t="n">
        <v>5</v>
      </c>
      <c r="M4963" s="9" t="n">
        <v>2</v>
      </c>
      <c r="N4963" s="9" t="s">
        <v>42</v>
      </c>
      <c r="O4963" s="9" t="s">
        <v>52</v>
      </c>
      <c r="P4963" s="9" t="n">
        <v>15.5</v>
      </c>
      <c r="Q4963" s="9" t="n">
        <v>40</v>
      </c>
      <c r="R4963" s="9" t="s">
        <v>44</v>
      </c>
      <c r="S4963" s="9"/>
      <c r="T4963" s="9"/>
      <c r="U4963" s="9" t="str">
        <f aca="false">IF(COUNTIF($A$2:$A$5001,A4963)&gt;1,"Duplicate","Unique")</f>
        <v>Unique</v>
      </c>
      <c r="V4963" s="9" t="str">
        <f aca="false">IF(COUNTIFS($B$2:$B$5001,B4963,$H$2:$H$5001,H4963,$J$2:$J$5001,J4963)&gt;1,"Possible Duplicate Booking","Unique")</f>
        <v>Unique</v>
      </c>
      <c r="W4963" s="9" t="str">
        <f aca="false">IF((H4963-G4963)&lt;&gt;K4963,"Mismatch","OK")</f>
        <v>OK</v>
      </c>
      <c r="X4963" s="9" t="str">
        <f aca="false">IF(TEXT(H4963,"dddd")&lt;&gt;I4963,"Mismatch","OK")</f>
        <v>OK</v>
      </c>
      <c r="Y4963" s="9" t="str">
        <f aca="false">IF(AND(N4963="No",O4963&lt;&gt;""),"Unexpected: channel present but no reminder sent",IF(AND(N4963="Yes",O4963=""),"Missing channel for sent reminder","OK"))</f>
        <v>OK</v>
      </c>
    </row>
    <row r="4964" customFormat="false" ht="15" hidden="false" customHeight="false" outlineLevel="0" collapsed="false">
      <c r="A4964" s="7" t="s">
        <v>6722</v>
      </c>
      <c r="B4964" s="7" t="s">
        <v>1480</v>
      </c>
      <c r="C4964" s="7" t="s">
        <v>47</v>
      </c>
      <c r="D4964" s="7" t="n">
        <v>34</v>
      </c>
      <c r="E4964" s="7" t="s">
        <v>48</v>
      </c>
      <c r="F4964" s="7" t="s">
        <v>57</v>
      </c>
      <c r="G4964" s="8" t="n">
        <v>46150</v>
      </c>
      <c r="H4964" s="8" t="n">
        <v>46196</v>
      </c>
      <c r="I4964" s="7" t="s">
        <v>40</v>
      </c>
      <c r="J4964" s="7" t="s">
        <v>63</v>
      </c>
      <c r="K4964" s="7" t="n">
        <v>46</v>
      </c>
      <c r="L4964" s="7" t="n">
        <v>6</v>
      </c>
      <c r="M4964" s="7" t="n">
        <v>0</v>
      </c>
      <c r="N4964" s="7" t="s">
        <v>42</v>
      </c>
      <c r="O4964" s="7" t="s">
        <v>52</v>
      </c>
      <c r="P4964" s="7" t="n">
        <v>9.3</v>
      </c>
      <c r="Q4964" s="7" t="n">
        <v>23</v>
      </c>
      <c r="R4964" s="7" t="s">
        <v>44</v>
      </c>
      <c r="S4964" s="7"/>
      <c r="T4964" s="7"/>
      <c r="U4964" s="7" t="str">
        <f aca="false">IF(COUNTIF($A$2:$A$5001,A4964)&gt;1,"Duplicate","Unique")</f>
        <v>Unique</v>
      </c>
      <c r="V4964" s="7" t="str">
        <f aca="false">IF(COUNTIFS($B$2:$B$5001,B4964,$H$2:$H$5001,H4964,$J$2:$J$5001,J4964)&gt;1,"Possible Duplicate Booking","Unique")</f>
        <v>Unique</v>
      </c>
      <c r="W4964" s="7" t="str">
        <f aca="false">IF((H4964-G4964)&lt;&gt;K4964,"Mismatch","OK")</f>
        <v>OK</v>
      </c>
      <c r="X4964" s="7" t="str">
        <f aca="false">IF(TEXT(H4964,"dddd")&lt;&gt;I4964,"Mismatch","OK")</f>
        <v>OK</v>
      </c>
      <c r="Y4964" s="7" t="str">
        <f aca="false">IF(AND(N4964="No",O4964&lt;&gt;""),"Unexpected: channel present but no reminder sent",IF(AND(N4964="Yes",O4964=""),"Missing channel for sent reminder","OK"))</f>
        <v>OK</v>
      </c>
    </row>
    <row r="4965" customFormat="false" ht="15" hidden="false" customHeight="false" outlineLevel="0" collapsed="false">
      <c r="A4965" s="9" t="s">
        <v>6723</v>
      </c>
      <c r="B4965" s="9" t="s">
        <v>2806</v>
      </c>
      <c r="C4965" s="9" t="s">
        <v>47</v>
      </c>
      <c r="D4965" s="9" t="n">
        <v>75</v>
      </c>
      <c r="E4965" s="9" t="s">
        <v>70</v>
      </c>
      <c r="F4965" s="9" t="s">
        <v>57</v>
      </c>
      <c r="G4965" s="10" t="n">
        <v>45773</v>
      </c>
      <c r="H4965" s="10" t="n">
        <v>45786</v>
      </c>
      <c r="I4965" s="9" t="s">
        <v>50</v>
      </c>
      <c r="J4965" s="9" t="s">
        <v>51</v>
      </c>
      <c r="K4965" s="9" t="n">
        <v>13</v>
      </c>
      <c r="L4965" s="9" t="n">
        <v>5</v>
      </c>
      <c r="M4965" s="9" t="n">
        <v>0</v>
      </c>
      <c r="N4965" s="9" t="s">
        <v>71</v>
      </c>
      <c r="O4965" s="9"/>
      <c r="P4965" s="9" t="n">
        <v>11.6</v>
      </c>
      <c r="Q4965" s="9" t="n">
        <v>2</v>
      </c>
      <c r="R4965" s="9" t="s">
        <v>53</v>
      </c>
      <c r="S4965" s="9"/>
      <c r="T4965" s="9"/>
      <c r="U4965" s="9" t="str">
        <f aca="false">IF(COUNTIF($A$2:$A$5001,A4965)&gt;1,"Duplicate","Unique")</f>
        <v>Unique</v>
      </c>
      <c r="V4965" s="9" t="str">
        <f aca="false">IF(COUNTIFS($B$2:$B$5001,B4965,$H$2:$H$5001,H4965,$J$2:$J$5001,J4965)&gt;1,"Possible Duplicate Booking","Unique")</f>
        <v>Unique</v>
      </c>
      <c r="W4965" s="9" t="str">
        <f aca="false">IF((H4965-G4965)&lt;&gt;K4965,"Mismatch","OK")</f>
        <v>OK</v>
      </c>
      <c r="X4965" s="9" t="str">
        <f aca="false">IF(TEXT(H4965,"dddd")&lt;&gt;I4965,"Mismatch","OK")</f>
        <v>OK</v>
      </c>
      <c r="Y4965" s="9" t="str">
        <f aca="false">IF(AND(N4965="No",O4965&lt;&gt;""),"Unexpected: channel present but no reminder sent",IF(AND(N4965="Yes",O4965=""),"Missing channel for sent reminder","OK"))</f>
        <v>OK</v>
      </c>
    </row>
    <row r="4966" customFormat="false" ht="15" hidden="false" customHeight="false" outlineLevel="0" collapsed="false">
      <c r="A4966" s="7" t="s">
        <v>6724</v>
      </c>
      <c r="B4966" s="7" t="s">
        <v>1459</v>
      </c>
      <c r="C4966" s="7" t="s">
        <v>37</v>
      </c>
      <c r="D4966" s="7" t="n">
        <v>19</v>
      </c>
      <c r="E4966" s="7" t="s">
        <v>82</v>
      </c>
      <c r="F4966" s="7" t="s">
        <v>49</v>
      </c>
      <c r="G4966" s="8" t="n">
        <v>46134</v>
      </c>
      <c r="H4966" s="8" t="n">
        <v>46173</v>
      </c>
      <c r="I4966" s="7" t="s">
        <v>75</v>
      </c>
      <c r="J4966" s="7" t="s">
        <v>41</v>
      </c>
      <c r="K4966" s="7" t="n">
        <v>39</v>
      </c>
      <c r="L4966" s="7" t="n">
        <v>6</v>
      </c>
      <c r="M4966" s="7" t="n">
        <v>1</v>
      </c>
      <c r="N4966" s="7" t="s">
        <v>42</v>
      </c>
      <c r="O4966" s="7" t="s">
        <v>52</v>
      </c>
      <c r="P4966" s="7" t="n">
        <v>9.1</v>
      </c>
      <c r="Q4966" s="7" t="n">
        <v>29</v>
      </c>
      <c r="R4966" s="7" t="s">
        <v>44</v>
      </c>
      <c r="S4966" s="7"/>
      <c r="T4966" s="7"/>
      <c r="U4966" s="7" t="str">
        <f aca="false">IF(COUNTIF($A$2:$A$5001,A4966)&gt;1,"Duplicate","Unique")</f>
        <v>Unique</v>
      </c>
      <c r="V4966" s="7" t="str">
        <f aca="false">IF(COUNTIFS($B$2:$B$5001,B4966,$H$2:$H$5001,H4966,$J$2:$J$5001,J4966)&gt;1,"Possible Duplicate Booking","Unique")</f>
        <v>Unique</v>
      </c>
      <c r="W4966" s="7" t="str">
        <f aca="false">IF((H4966-G4966)&lt;&gt;K4966,"Mismatch","OK")</f>
        <v>OK</v>
      </c>
      <c r="X4966" s="7" t="str">
        <f aca="false">IF(TEXT(H4966,"dddd")&lt;&gt;I4966,"Mismatch","OK")</f>
        <v>OK</v>
      </c>
      <c r="Y4966" s="7" t="str">
        <f aca="false">IF(AND(N4966="No",O4966&lt;&gt;""),"Unexpected: channel present but no reminder sent",IF(AND(N4966="Yes",O4966=""),"Missing channel for sent reminder","OK"))</f>
        <v>OK</v>
      </c>
    </row>
    <row r="4967" customFormat="false" ht="15" hidden="false" customHeight="false" outlineLevel="0" collapsed="false">
      <c r="A4967" s="9" t="s">
        <v>6725</v>
      </c>
      <c r="B4967" s="9" t="s">
        <v>5201</v>
      </c>
      <c r="C4967" s="9" t="s">
        <v>47</v>
      </c>
      <c r="D4967" s="9" t="n">
        <v>52</v>
      </c>
      <c r="E4967" s="9" t="s">
        <v>56</v>
      </c>
      <c r="F4967" s="9" t="s">
        <v>49</v>
      </c>
      <c r="G4967" s="10" t="n">
        <v>45697</v>
      </c>
      <c r="H4967" s="10" t="n">
        <v>45715</v>
      </c>
      <c r="I4967" s="9" t="s">
        <v>62</v>
      </c>
      <c r="J4967" s="9" t="s">
        <v>41</v>
      </c>
      <c r="K4967" s="9" t="n">
        <v>18</v>
      </c>
      <c r="L4967" s="9" t="n">
        <v>2</v>
      </c>
      <c r="M4967" s="9" t="n">
        <v>0</v>
      </c>
      <c r="N4967" s="9" t="s">
        <v>42</v>
      </c>
      <c r="O4967" s="9" t="s">
        <v>52</v>
      </c>
      <c r="P4967" s="9" t="n">
        <v>9.1</v>
      </c>
      <c r="Q4967" s="9" t="n">
        <v>15</v>
      </c>
      <c r="R4967" s="9" t="s">
        <v>87</v>
      </c>
      <c r="S4967" s="9"/>
      <c r="T4967" s="9"/>
      <c r="U4967" s="9" t="str">
        <f aca="false">IF(COUNTIF($A$2:$A$5001,A4967)&gt;1,"Duplicate","Unique")</f>
        <v>Unique</v>
      </c>
      <c r="V4967" s="9" t="str">
        <f aca="false">IF(COUNTIFS($B$2:$B$5001,B4967,$H$2:$H$5001,H4967,$J$2:$J$5001,J4967)&gt;1,"Possible Duplicate Booking","Unique")</f>
        <v>Unique</v>
      </c>
      <c r="W4967" s="9" t="str">
        <f aca="false">IF((H4967-G4967)&lt;&gt;K4967,"Mismatch","OK")</f>
        <v>OK</v>
      </c>
      <c r="X4967" s="9" t="str">
        <f aca="false">IF(TEXT(H4967,"dddd")&lt;&gt;I4967,"Mismatch","OK")</f>
        <v>OK</v>
      </c>
      <c r="Y4967" s="9" t="str">
        <f aca="false">IF(AND(N4967="No",O4967&lt;&gt;""),"Unexpected: channel present but no reminder sent",IF(AND(N4967="Yes",O4967=""),"Missing channel for sent reminder","OK"))</f>
        <v>OK</v>
      </c>
    </row>
    <row r="4968" customFormat="false" ht="15" hidden="false" customHeight="false" outlineLevel="0" collapsed="false">
      <c r="A4968" s="7" t="s">
        <v>6726</v>
      </c>
      <c r="B4968" s="7" t="s">
        <v>1038</v>
      </c>
      <c r="C4968" s="7" t="s">
        <v>47</v>
      </c>
      <c r="D4968" s="7" t="n">
        <v>28</v>
      </c>
      <c r="E4968" s="7" t="s">
        <v>48</v>
      </c>
      <c r="F4968" s="7" t="s">
        <v>57</v>
      </c>
      <c r="G4968" s="8" t="n">
        <v>45733</v>
      </c>
      <c r="H4968" s="8" t="n">
        <v>45781</v>
      </c>
      <c r="I4968" s="7" t="s">
        <v>75</v>
      </c>
      <c r="J4968" s="7" t="s">
        <v>51</v>
      </c>
      <c r="K4968" s="7" t="n">
        <v>48</v>
      </c>
      <c r="L4968" s="7" t="n">
        <v>1</v>
      </c>
      <c r="M4968" s="7" t="n">
        <v>0</v>
      </c>
      <c r="N4968" s="7" t="s">
        <v>42</v>
      </c>
      <c r="O4968" s="7" t="s">
        <v>43</v>
      </c>
      <c r="P4968" s="7" t="n">
        <v>15.5</v>
      </c>
      <c r="Q4968" s="7" t="n">
        <v>21</v>
      </c>
      <c r="R4968" s="7" t="s">
        <v>44</v>
      </c>
      <c r="S4968" s="7"/>
      <c r="T4968" s="7"/>
      <c r="U4968" s="7" t="str">
        <f aca="false">IF(COUNTIF($A$2:$A$5001,A4968)&gt;1,"Duplicate","Unique")</f>
        <v>Unique</v>
      </c>
      <c r="V4968" s="7" t="str">
        <f aca="false">IF(COUNTIFS($B$2:$B$5001,B4968,$H$2:$H$5001,H4968,$J$2:$J$5001,J4968)&gt;1,"Possible Duplicate Booking","Unique")</f>
        <v>Unique</v>
      </c>
      <c r="W4968" s="7" t="str">
        <f aca="false">IF((H4968-G4968)&lt;&gt;K4968,"Mismatch","OK")</f>
        <v>OK</v>
      </c>
      <c r="X4968" s="7" t="str">
        <f aca="false">IF(TEXT(H4968,"dddd")&lt;&gt;I4968,"Mismatch","OK")</f>
        <v>OK</v>
      </c>
      <c r="Y4968" s="7" t="str">
        <f aca="false">IF(AND(N4968="No",O4968&lt;&gt;""),"Unexpected: channel present but no reminder sent",IF(AND(N4968="Yes",O4968=""),"Missing channel for sent reminder","OK"))</f>
        <v>OK</v>
      </c>
    </row>
    <row r="4969" customFormat="false" ht="15" hidden="false" customHeight="false" outlineLevel="0" collapsed="false">
      <c r="A4969" s="9" t="s">
        <v>6727</v>
      </c>
      <c r="B4969" s="9" t="s">
        <v>1377</v>
      </c>
      <c r="C4969" s="9" t="s">
        <v>37</v>
      </c>
      <c r="D4969" s="9" t="n">
        <v>66</v>
      </c>
      <c r="E4969" s="9" t="s">
        <v>70</v>
      </c>
      <c r="F4969" s="9" t="s">
        <v>57</v>
      </c>
      <c r="G4969" s="10" t="n">
        <v>45833</v>
      </c>
      <c r="H4969" s="10" t="n">
        <v>45842</v>
      </c>
      <c r="I4969" s="9" t="s">
        <v>50</v>
      </c>
      <c r="J4969" s="9" t="s">
        <v>51</v>
      </c>
      <c r="K4969" s="9" t="n">
        <v>9</v>
      </c>
      <c r="L4969" s="9" t="n">
        <v>2</v>
      </c>
      <c r="M4969" s="9" t="n">
        <v>1</v>
      </c>
      <c r="N4969" s="9" t="s">
        <v>71</v>
      </c>
      <c r="O4969" s="9"/>
      <c r="P4969" s="9" t="n">
        <v>9.5</v>
      </c>
      <c r="Q4969" s="9" t="n">
        <v>31</v>
      </c>
      <c r="R4969" s="9" t="s">
        <v>53</v>
      </c>
      <c r="S4969" s="9"/>
      <c r="T4969" s="9"/>
      <c r="U4969" s="9" t="str">
        <f aca="false">IF(COUNTIF($A$2:$A$5001,A4969)&gt;1,"Duplicate","Unique")</f>
        <v>Unique</v>
      </c>
      <c r="V4969" s="9" t="str">
        <f aca="false">IF(COUNTIFS($B$2:$B$5001,B4969,$H$2:$H$5001,H4969,$J$2:$J$5001,J4969)&gt;1,"Possible Duplicate Booking","Unique")</f>
        <v>Unique</v>
      </c>
      <c r="W4969" s="9" t="str">
        <f aca="false">IF((H4969-G4969)&lt;&gt;K4969,"Mismatch","OK")</f>
        <v>OK</v>
      </c>
      <c r="X4969" s="9" t="str">
        <f aca="false">IF(TEXT(H4969,"dddd")&lt;&gt;I4969,"Mismatch","OK")</f>
        <v>OK</v>
      </c>
      <c r="Y4969" s="9" t="str">
        <f aca="false">IF(AND(N4969="No",O4969&lt;&gt;""),"Unexpected: channel present but no reminder sent",IF(AND(N4969="Yes",O4969=""),"Missing channel for sent reminder","OK"))</f>
        <v>OK</v>
      </c>
    </row>
    <row r="4970" customFormat="false" ht="15" hidden="false" customHeight="false" outlineLevel="0" collapsed="false">
      <c r="A4970" s="7" t="s">
        <v>6728</v>
      </c>
      <c r="B4970" s="7" t="s">
        <v>1394</v>
      </c>
      <c r="C4970" s="7" t="s">
        <v>37</v>
      </c>
      <c r="D4970" s="7" t="n">
        <v>41</v>
      </c>
      <c r="E4970" s="7" t="s">
        <v>38</v>
      </c>
      <c r="F4970" s="7" t="s">
        <v>57</v>
      </c>
      <c r="G4970" s="8" t="n">
        <v>45664</v>
      </c>
      <c r="H4970" s="8" t="n">
        <v>45678</v>
      </c>
      <c r="I4970" s="7" t="s">
        <v>40</v>
      </c>
      <c r="J4970" s="7" t="s">
        <v>41</v>
      </c>
      <c r="K4970" s="7" t="n">
        <v>14</v>
      </c>
      <c r="L4970" s="7" t="n">
        <v>4</v>
      </c>
      <c r="M4970" s="7" t="n">
        <v>1</v>
      </c>
      <c r="N4970" s="7" t="s">
        <v>42</v>
      </c>
      <c r="O4970" s="7" t="s">
        <v>52</v>
      </c>
      <c r="P4970" s="7" t="n">
        <v>3.9</v>
      </c>
      <c r="Q4970" s="7" t="n">
        <v>4</v>
      </c>
      <c r="R4970" s="7" t="s">
        <v>53</v>
      </c>
      <c r="S4970" s="7"/>
      <c r="T4970" s="7"/>
      <c r="U4970" s="7" t="str">
        <f aca="false">IF(COUNTIF($A$2:$A$5001,A4970)&gt;1,"Duplicate","Unique")</f>
        <v>Unique</v>
      </c>
      <c r="V4970" s="7" t="str">
        <f aca="false">IF(COUNTIFS($B$2:$B$5001,B4970,$H$2:$H$5001,H4970,$J$2:$J$5001,J4970)&gt;1,"Possible Duplicate Booking","Unique")</f>
        <v>Unique</v>
      </c>
      <c r="W4970" s="7" t="str">
        <f aca="false">IF((H4970-G4970)&lt;&gt;K4970,"Mismatch","OK")</f>
        <v>OK</v>
      </c>
      <c r="X4970" s="7" t="str">
        <f aca="false">IF(TEXT(H4970,"dddd")&lt;&gt;I4970,"Mismatch","OK")</f>
        <v>OK</v>
      </c>
      <c r="Y4970" s="7" t="str">
        <f aca="false">IF(AND(N4970="No",O4970&lt;&gt;""),"Unexpected: channel present but no reminder sent",IF(AND(N4970="Yes",O4970=""),"Missing channel for sent reminder","OK"))</f>
        <v>OK</v>
      </c>
    </row>
    <row r="4971" customFormat="false" ht="15" hidden="false" customHeight="false" outlineLevel="0" collapsed="false">
      <c r="A4971" s="9" t="s">
        <v>6729</v>
      </c>
      <c r="B4971" s="9" t="s">
        <v>840</v>
      </c>
      <c r="C4971" s="9" t="s">
        <v>47</v>
      </c>
      <c r="D4971" s="9" t="n">
        <v>36</v>
      </c>
      <c r="E4971" s="9" t="s">
        <v>38</v>
      </c>
      <c r="F4971" s="9" t="s">
        <v>57</v>
      </c>
      <c r="G4971" s="10" t="n">
        <v>46085</v>
      </c>
      <c r="H4971" s="10" t="n">
        <v>46103</v>
      </c>
      <c r="I4971" s="9" t="s">
        <v>75</v>
      </c>
      <c r="J4971" s="9" t="s">
        <v>51</v>
      </c>
      <c r="K4971" s="9" t="n">
        <v>18</v>
      </c>
      <c r="L4971" s="9" t="n">
        <v>5</v>
      </c>
      <c r="M4971" s="9" t="n">
        <v>1</v>
      </c>
      <c r="N4971" s="9" t="s">
        <v>71</v>
      </c>
      <c r="O4971" s="9"/>
      <c r="P4971" s="9" t="n">
        <v>4.6</v>
      </c>
      <c r="Q4971" s="9" t="n">
        <v>32</v>
      </c>
      <c r="R4971" s="9" t="s">
        <v>53</v>
      </c>
      <c r="S4971" s="9"/>
      <c r="T4971" s="9"/>
      <c r="U4971" s="9" t="str">
        <f aca="false">IF(COUNTIF($A$2:$A$5001,A4971)&gt;1,"Duplicate","Unique")</f>
        <v>Unique</v>
      </c>
      <c r="V4971" s="9" t="str">
        <f aca="false">IF(COUNTIFS($B$2:$B$5001,B4971,$H$2:$H$5001,H4971,$J$2:$J$5001,J4971)&gt;1,"Possible Duplicate Booking","Unique")</f>
        <v>Unique</v>
      </c>
      <c r="W4971" s="9" t="str">
        <f aca="false">IF((H4971-G4971)&lt;&gt;K4971,"Mismatch","OK")</f>
        <v>OK</v>
      </c>
      <c r="X4971" s="9" t="str">
        <f aca="false">IF(TEXT(H4971,"dddd")&lt;&gt;I4971,"Mismatch","OK")</f>
        <v>OK</v>
      </c>
      <c r="Y4971" s="9" t="str">
        <f aca="false">IF(AND(N4971="No",O4971&lt;&gt;""),"Unexpected: channel present but no reminder sent",IF(AND(N4971="Yes",O4971=""),"Missing channel for sent reminder","OK"))</f>
        <v>OK</v>
      </c>
    </row>
    <row r="4972" customFormat="false" ht="15" hidden="false" customHeight="false" outlineLevel="0" collapsed="false">
      <c r="A4972" s="7" t="s">
        <v>6730</v>
      </c>
      <c r="B4972" s="7" t="s">
        <v>2522</v>
      </c>
      <c r="C4972" s="7" t="s">
        <v>37</v>
      </c>
      <c r="D4972" s="7" t="n">
        <v>21</v>
      </c>
      <c r="E4972" s="7" t="s">
        <v>82</v>
      </c>
      <c r="F4972" s="7" t="s">
        <v>49</v>
      </c>
      <c r="G4972" s="8" t="n">
        <v>46113</v>
      </c>
      <c r="H4972" s="8" t="n">
        <v>46125</v>
      </c>
      <c r="I4972" s="7" t="s">
        <v>66</v>
      </c>
      <c r="J4972" s="7" t="s">
        <v>63</v>
      </c>
      <c r="K4972" s="7" t="n">
        <v>12</v>
      </c>
      <c r="L4972" s="7" t="n">
        <v>6</v>
      </c>
      <c r="M4972" s="7" t="n">
        <v>0</v>
      </c>
      <c r="N4972" s="7" t="s">
        <v>42</v>
      </c>
      <c r="O4972" s="7" t="s">
        <v>52</v>
      </c>
      <c r="P4972" s="7" t="n">
        <v>6.8</v>
      </c>
      <c r="Q4972" s="7" t="n">
        <v>7</v>
      </c>
      <c r="R4972" s="7" t="s">
        <v>53</v>
      </c>
      <c r="S4972" s="7"/>
      <c r="T4972" s="7"/>
      <c r="U4972" s="7" t="str">
        <f aca="false">IF(COUNTIF($A$2:$A$5001,A4972)&gt;1,"Duplicate","Unique")</f>
        <v>Unique</v>
      </c>
      <c r="V4972" s="7" t="str">
        <f aca="false">IF(COUNTIFS($B$2:$B$5001,B4972,$H$2:$H$5001,H4972,$J$2:$J$5001,J4972)&gt;1,"Possible Duplicate Booking","Unique")</f>
        <v>Unique</v>
      </c>
      <c r="W4972" s="7" t="str">
        <f aca="false">IF((H4972-G4972)&lt;&gt;K4972,"Mismatch","OK")</f>
        <v>OK</v>
      </c>
      <c r="X4972" s="7" t="str">
        <f aca="false">IF(TEXT(H4972,"dddd")&lt;&gt;I4972,"Mismatch","OK")</f>
        <v>OK</v>
      </c>
      <c r="Y4972" s="7" t="str">
        <f aca="false">IF(AND(N4972="No",O4972&lt;&gt;""),"Unexpected: channel present but no reminder sent",IF(AND(N4972="Yes",O4972=""),"Missing channel for sent reminder","OK"))</f>
        <v>OK</v>
      </c>
    </row>
    <row r="4973" customFormat="false" ht="15" hidden="false" customHeight="false" outlineLevel="0" collapsed="false">
      <c r="A4973" s="9" t="s">
        <v>6731</v>
      </c>
      <c r="B4973" s="9" t="s">
        <v>3211</v>
      </c>
      <c r="C4973" s="9" t="s">
        <v>37</v>
      </c>
      <c r="D4973" s="9" t="n">
        <v>67</v>
      </c>
      <c r="E4973" s="9" t="s">
        <v>70</v>
      </c>
      <c r="F4973" s="9" t="s">
        <v>57</v>
      </c>
      <c r="G4973" s="10" t="n">
        <v>45847</v>
      </c>
      <c r="H4973" s="10" t="n">
        <v>45867</v>
      </c>
      <c r="I4973" s="9" t="s">
        <v>40</v>
      </c>
      <c r="J4973" s="9" t="s">
        <v>51</v>
      </c>
      <c r="K4973" s="9" t="n">
        <v>20</v>
      </c>
      <c r="L4973" s="9" t="n">
        <v>0</v>
      </c>
      <c r="M4973" s="9" t="n">
        <v>0</v>
      </c>
      <c r="N4973" s="9" t="s">
        <v>42</v>
      </c>
      <c r="O4973" s="9" t="s">
        <v>52</v>
      </c>
      <c r="P4973" s="9" t="n">
        <v>11.3</v>
      </c>
      <c r="Q4973" s="9" t="n">
        <v>16</v>
      </c>
      <c r="R4973" s="9" t="s">
        <v>53</v>
      </c>
      <c r="S4973" s="9"/>
      <c r="T4973" s="9"/>
      <c r="U4973" s="9" t="str">
        <f aca="false">IF(COUNTIF($A$2:$A$5001,A4973)&gt;1,"Duplicate","Unique")</f>
        <v>Unique</v>
      </c>
      <c r="V4973" s="9" t="str">
        <f aca="false">IF(COUNTIFS($B$2:$B$5001,B4973,$H$2:$H$5001,H4973,$J$2:$J$5001,J4973)&gt;1,"Possible Duplicate Booking","Unique")</f>
        <v>Unique</v>
      </c>
      <c r="W4973" s="9" t="str">
        <f aca="false">IF((H4973-G4973)&lt;&gt;K4973,"Mismatch","OK")</f>
        <v>OK</v>
      </c>
      <c r="X4973" s="9" t="str">
        <f aca="false">IF(TEXT(H4973,"dddd")&lt;&gt;I4973,"Mismatch","OK")</f>
        <v>OK</v>
      </c>
      <c r="Y4973" s="9" t="str">
        <f aca="false">IF(AND(N4973="No",O4973&lt;&gt;""),"Unexpected: channel present but no reminder sent",IF(AND(N4973="Yes",O4973=""),"Missing channel for sent reminder","OK"))</f>
        <v>OK</v>
      </c>
    </row>
    <row r="4974" customFormat="false" ht="15" hidden="false" customHeight="false" outlineLevel="0" collapsed="false">
      <c r="A4974" s="7" t="s">
        <v>6732</v>
      </c>
      <c r="B4974" s="7" t="s">
        <v>2180</v>
      </c>
      <c r="C4974" s="7" t="s">
        <v>37</v>
      </c>
      <c r="D4974" s="7" t="n">
        <v>42</v>
      </c>
      <c r="E4974" s="7" t="s">
        <v>38</v>
      </c>
      <c r="F4974" s="7" t="s">
        <v>57</v>
      </c>
      <c r="G4974" s="8" t="n">
        <v>46078</v>
      </c>
      <c r="H4974" s="8" t="n">
        <v>46114</v>
      </c>
      <c r="I4974" s="7" t="s">
        <v>62</v>
      </c>
      <c r="J4974" s="7" t="s">
        <v>41</v>
      </c>
      <c r="K4974" s="7" t="n">
        <v>36</v>
      </c>
      <c r="L4974" s="7" t="n">
        <v>2</v>
      </c>
      <c r="M4974" s="7" t="n">
        <v>1</v>
      </c>
      <c r="N4974" s="7" t="s">
        <v>42</v>
      </c>
      <c r="O4974" s="7" t="s">
        <v>43</v>
      </c>
      <c r="P4974" s="7" t="n">
        <v>4.8</v>
      </c>
      <c r="Q4974" s="7" t="n">
        <v>27</v>
      </c>
      <c r="R4974" s="7" t="s">
        <v>53</v>
      </c>
      <c r="S4974" s="7"/>
      <c r="T4974" s="7"/>
      <c r="U4974" s="7" t="str">
        <f aca="false">IF(COUNTIF($A$2:$A$5001,A4974)&gt;1,"Duplicate","Unique")</f>
        <v>Unique</v>
      </c>
      <c r="V4974" s="7" t="str">
        <f aca="false">IF(COUNTIFS($B$2:$B$5001,B4974,$H$2:$H$5001,H4974,$J$2:$J$5001,J4974)&gt;1,"Possible Duplicate Booking","Unique")</f>
        <v>Unique</v>
      </c>
      <c r="W4974" s="7" t="str">
        <f aca="false">IF((H4974-G4974)&lt;&gt;K4974,"Mismatch","OK")</f>
        <v>OK</v>
      </c>
      <c r="X4974" s="7" t="str">
        <f aca="false">IF(TEXT(H4974,"dddd")&lt;&gt;I4974,"Mismatch","OK")</f>
        <v>OK</v>
      </c>
      <c r="Y4974" s="7" t="str">
        <f aca="false">IF(AND(N4974="No",O4974&lt;&gt;""),"Unexpected: channel present but no reminder sent",IF(AND(N4974="Yes",O4974=""),"Missing channel for sent reminder","OK"))</f>
        <v>OK</v>
      </c>
    </row>
    <row r="4975" customFormat="false" ht="15" hidden="false" customHeight="false" outlineLevel="0" collapsed="false">
      <c r="A4975" s="9" t="s">
        <v>6733</v>
      </c>
      <c r="B4975" s="9" t="s">
        <v>2098</v>
      </c>
      <c r="C4975" s="9" t="s">
        <v>37</v>
      </c>
      <c r="D4975" s="9" t="n">
        <v>34</v>
      </c>
      <c r="E4975" s="9" t="s">
        <v>48</v>
      </c>
      <c r="F4975" s="9" t="s">
        <v>57</v>
      </c>
      <c r="G4975" s="10" t="n">
        <v>46041</v>
      </c>
      <c r="H4975" s="10" t="n">
        <v>46079</v>
      </c>
      <c r="I4975" s="9" t="s">
        <v>62</v>
      </c>
      <c r="J4975" s="9" t="s">
        <v>41</v>
      </c>
      <c r="K4975" s="9" t="n">
        <v>38</v>
      </c>
      <c r="L4975" s="9" t="n">
        <v>0</v>
      </c>
      <c r="M4975" s="9" t="n">
        <v>0</v>
      </c>
      <c r="N4975" s="9" t="s">
        <v>42</v>
      </c>
      <c r="O4975" s="9" t="s">
        <v>52</v>
      </c>
      <c r="P4975" s="9" t="n">
        <v>2</v>
      </c>
      <c r="Q4975" s="9" t="n">
        <v>10</v>
      </c>
      <c r="R4975" s="9" t="s">
        <v>44</v>
      </c>
      <c r="S4975" s="9"/>
      <c r="T4975" s="9"/>
      <c r="U4975" s="9" t="str">
        <f aca="false">IF(COUNTIF($A$2:$A$5001,A4975)&gt;1,"Duplicate","Unique")</f>
        <v>Unique</v>
      </c>
      <c r="V4975" s="9" t="str">
        <f aca="false">IF(COUNTIFS($B$2:$B$5001,B4975,$H$2:$H$5001,H4975,$J$2:$J$5001,J4975)&gt;1,"Possible Duplicate Booking","Unique")</f>
        <v>Unique</v>
      </c>
      <c r="W4975" s="9" t="str">
        <f aca="false">IF((H4975-G4975)&lt;&gt;K4975,"Mismatch","OK")</f>
        <v>OK</v>
      </c>
      <c r="X4975" s="9" t="str">
        <f aca="false">IF(TEXT(H4975,"dddd")&lt;&gt;I4975,"Mismatch","OK")</f>
        <v>OK</v>
      </c>
      <c r="Y4975" s="9" t="str">
        <f aca="false">IF(AND(N4975="No",O4975&lt;&gt;""),"Unexpected: channel present but no reminder sent",IF(AND(N4975="Yes",O4975=""),"Missing channel for sent reminder","OK"))</f>
        <v>OK</v>
      </c>
    </row>
    <row r="4976" customFormat="false" ht="15" hidden="false" customHeight="false" outlineLevel="0" collapsed="false">
      <c r="A4976" s="7" t="s">
        <v>6734</v>
      </c>
      <c r="B4976" s="7" t="s">
        <v>5545</v>
      </c>
      <c r="C4976" s="7" t="s">
        <v>47</v>
      </c>
      <c r="D4976" s="7" t="n">
        <v>71</v>
      </c>
      <c r="E4976" s="7" t="s">
        <v>70</v>
      </c>
      <c r="F4976" s="7" t="s">
        <v>39</v>
      </c>
      <c r="G4976" s="8" t="n">
        <v>46062</v>
      </c>
      <c r="H4976" s="8" t="n">
        <v>46095</v>
      </c>
      <c r="I4976" s="7" t="s">
        <v>102</v>
      </c>
      <c r="J4976" s="7" t="s">
        <v>41</v>
      </c>
      <c r="K4976" s="7" t="n">
        <v>33</v>
      </c>
      <c r="L4976" s="7" t="n">
        <v>1</v>
      </c>
      <c r="M4976" s="7" t="n">
        <v>0</v>
      </c>
      <c r="N4976" s="7" t="s">
        <v>42</v>
      </c>
      <c r="O4976" s="7" t="s">
        <v>43</v>
      </c>
      <c r="P4976" s="7" t="n">
        <v>7.2</v>
      </c>
      <c r="Q4976" s="7" t="n">
        <v>11</v>
      </c>
      <c r="R4976" s="7" t="s">
        <v>87</v>
      </c>
      <c r="S4976" s="7"/>
      <c r="T4976" s="7"/>
      <c r="U4976" s="7" t="str">
        <f aca="false">IF(COUNTIF($A$2:$A$5001,A4976)&gt;1,"Duplicate","Unique")</f>
        <v>Unique</v>
      </c>
      <c r="V4976" s="7" t="str">
        <f aca="false">IF(COUNTIFS($B$2:$B$5001,B4976,$H$2:$H$5001,H4976,$J$2:$J$5001,J4976)&gt;1,"Possible Duplicate Booking","Unique")</f>
        <v>Unique</v>
      </c>
      <c r="W4976" s="7" t="str">
        <f aca="false">IF((H4976-G4976)&lt;&gt;K4976,"Mismatch","OK")</f>
        <v>OK</v>
      </c>
      <c r="X4976" s="7" t="str">
        <f aca="false">IF(TEXT(H4976,"dddd")&lt;&gt;I4976,"Mismatch","OK")</f>
        <v>OK</v>
      </c>
      <c r="Y4976" s="7" t="str">
        <f aca="false">IF(AND(N4976="No",O4976&lt;&gt;""),"Unexpected: channel present but no reminder sent",IF(AND(N4976="Yes",O4976=""),"Missing channel for sent reminder","OK"))</f>
        <v>OK</v>
      </c>
    </row>
    <row r="4977" customFormat="false" ht="15" hidden="false" customHeight="false" outlineLevel="0" collapsed="false">
      <c r="A4977" s="9" t="s">
        <v>6735</v>
      </c>
      <c r="B4977" s="9" t="s">
        <v>3153</v>
      </c>
      <c r="C4977" s="9" t="s">
        <v>37</v>
      </c>
      <c r="D4977" s="9" t="n">
        <v>19</v>
      </c>
      <c r="E4977" s="9" t="s">
        <v>82</v>
      </c>
      <c r="F4977" s="9" t="s">
        <v>39</v>
      </c>
      <c r="G4977" s="10" t="n">
        <v>46085</v>
      </c>
      <c r="H4977" s="10" t="n">
        <v>46096</v>
      </c>
      <c r="I4977" s="9" t="s">
        <v>75</v>
      </c>
      <c r="J4977" s="9" t="s">
        <v>41</v>
      </c>
      <c r="K4977" s="9" t="n">
        <v>11</v>
      </c>
      <c r="L4977" s="9" t="n">
        <v>4</v>
      </c>
      <c r="M4977" s="9" t="n">
        <v>0</v>
      </c>
      <c r="N4977" s="9" t="s">
        <v>42</v>
      </c>
      <c r="O4977" s="9" t="s">
        <v>52</v>
      </c>
      <c r="P4977" s="9" t="n">
        <v>12.4</v>
      </c>
      <c r="Q4977" s="9" t="n">
        <v>28</v>
      </c>
      <c r="R4977" s="9" t="s">
        <v>44</v>
      </c>
      <c r="S4977" s="9"/>
      <c r="T4977" s="9"/>
      <c r="U4977" s="9" t="str">
        <f aca="false">IF(COUNTIF($A$2:$A$5001,A4977)&gt;1,"Duplicate","Unique")</f>
        <v>Unique</v>
      </c>
      <c r="V4977" s="9" t="str">
        <f aca="false">IF(COUNTIFS($B$2:$B$5001,B4977,$H$2:$H$5001,H4977,$J$2:$J$5001,J4977)&gt;1,"Possible Duplicate Booking","Unique")</f>
        <v>Unique</v>
      </c>
      <c r="W4977" s="9" t="str">
        <f aca="false">IF((H4977-G4977)&lt;&gt;K4977,"Mismatch","OK")</f>
        <v>OK</v>
      </c>
      <c r="X4977" s="9" t="str">
        <f aca="false">IF(TEXT(H4977,"dddd")&lt;&gt;I4977,"Mismatch","OK")</f>
        <v>OK</v>
      </c>
      <c r="Y4977" s="9" t="str">
        <f aca="false">IF(AND(N4977="No",O4977&lt;&gt;""),"Unexpected: channel present but no reminder sent",IF(AND(N4977="Yes",O4977=""),"Missing channel for sent reminder","OK"))</f>
        <v>OK</v>
      </c>
    </row>
    <row r="4978" customFormat="false" ht="15" hidden="false" customHeight="false" outlineLevel="0" collapsed="false">
      <c r="A4978" s="7" t="s">
        <v>6736</v>
      </c>
      <c r="B4978" s="7" t="s">
        <v>952</v>
      </c>
      <c r="C4978" s="7" t="s">
        <v>47</v>
      </c>
      <c r="D4978" s="7" t="n">
        <v>47</v>
      </c>
      <c r="E4978" s="7" t="s">
        <v>56</v>
      </c>
      <c r="F4978" s="7" t="s">
        <v>39</v>
      </c>
      <c r="G4978" s="8" t="n">
        <v>45959</v>
      </c>
      <c r="H4978" s="8" t="n">
        <v>45971</v>
      </c>
      <c r="I4978" s="7" t="s">
        <v>66</v>
      </c>
      <c r="J4978" s="7" t="s">
        <v>41</v>
      </c>
      <c r="K4978" s="7" t="n">
        <v>12</v>
      </c>
      <c r="L4978" s="7" t="n">
        <v>1</v>
      </c>
      <c r="M4978" s="7" t="n">
        <v>0</v>
      </c>
      <c r="N4978" s="7" t="s">
        <v>71</v>
      </c>
      <c r="O4978" s="7"/>
      <c r="P4978" s="7" t="n">
        <v>16.3</v>
      </c>
      <c r="Q4978" s="7" t="n">
        <v>30</v>
      </c>
      <c r="R4978" s="7" t="s">
        <v>44</v>
      </c>
      <c r="S4978" s="7"/>
      <c r="T4978" s="7"/>
      <c r="U4978" s="7" t="str">
        <f aca="false">IF(COUNTIF($A$2:$A$5001,A4978)&gt;1,"Duplicate","Unique")</f>
        <v>Unique</v>
      </c>
      <c r="V4978" s="7" t="str">
        <f aca="false">IF(COUNTIFS($B$2:$B$5001,B4978,$H$2:$H$5001,H4978,$J$2:$J$5001,J4978)&gt;1,"Possible Duplicate Booking","Unique")</f>
        <v>Unique</v>
      </c>
      <c r="W4978" s="7" t="str">
        <f aca="false">IF((H4978-G4978)&lt;&gt;K4978,"Mismatch","OK")</f>
        <v>OK</v>
      </c>
      <c r="X4978" s="7" t="str">
        <f aca="false">IF(TEXT(H4978,"dddd")&lt;&gt;I4978,"Mismatch","OK")</f>
        <v>OK</v>
      </c>
      <c r="Y4978" s="7" t="str">
        <f aca="false">IF(AND(N4978="No",O4978&lt;&gt;""),"Unexpected: channel present but no reminder sent",IF(AND(N4978="Yes",O4978=""),"Missing channel for sent reminder","OK"))</f>
        <v>OK</v>
      </c>
    </row>
    <row r="4979" customFormat="false" ht="15" hidden="false" customHeight="false" outlineLevel="0" collapsed="false">
      <c r="A4979" s="9" t="s">
        <v>6737</v>
      </c>
      <c r="B4979" s="9" t="s">
        <v>987</v>
      </c>
      <c r="C4979" s="9" t="s">
        <v>37</v>
      </c>
      <c r="D4979" s="9" t="n">
        <v>28</v>
      </c>
      <c r="E4979" s="9" t="s">
        <v>48</v>
      </c>
      <c r="F4979" s="9" t="s">
        <v>39</v>
      </c>
      <c r="G4979" s="10" t="n">
        <v>45662</v>
      </c>
      <c r="H4979" s="10" t="n">
        <v>45718</v>
      </c>
      <c r="I4979" s="9" t="s">
        <v>75</v>
      </c>
      <c r="J4979" s="9" t="s">
        <v>41</v>
      </c>
      <c r="K4979" s="9" t="n">
        <v>56</v>
      </c>
      <c r="L4979" s="9" t="n">
        <v>7</v>
      </c>
      <c r="M4979" s="9" t="n">
        <v>0</v>
      </c>
      <c r="N4979" s="9" t="s">
        <v>42</v>
      </c>
      <c r="O4979" s="9" t="s">
        <v>43</v>
      </c>
      <c r="P4979" s="9" t="n">
        <v>5.2</v>
      </c>
      <c r="Q4979" s="9" t="n">
        <v>22</v>
      </c>
      <c r="R4979" s="9" t="s">
        <v>44</v>
      </c>
      <c r="S4979" s="9"/>
      <c r="T4979" s="9"/>
      <c r="U4979" s="9" t="str">
        <f aca="false">IF(COUNTIF($A$2:$A$5001,A4979)&gt;1,"Duplicate","Unique")</f>
        <v>Unique</v>
      </c>
      <c r="V4979" s="9" t="str">
        <f aca="false">IF(COUNTIFS($B$2:$B$5001,B4979,$H$2:$H$5001,H4979,$J$2:$J$5001,J4979)&gt;1,"Possible Duplicate Booking","Unique")</f>
        <v>Unique</v>
      </c>
      <c r="W4979" s="9" t="str">
        <f aca="false">IF((H4979-G4979)&lt;&gt;K4979,"Mismatch","OK")</f>
        <v>OK</v>
      </c>
      <c r="X4979" s="9" t="str">
        <f aca="false">IF(TEXT(H4979,"dddd")&lt;&gt;I4979,"Mismatch","OK")</f>
        <v>OK</v>
      </c>
      <c r="Y4979" s="9" t="str">
        <f aca="false">IF(AND(N4979="No",O4979&lt;&gt;""),"Unexpected: channel present but no reminder sent",IF(AND(N4979="Yes",O4979=""),"Missing channel for sent reminder","OK"))</f>
        <v>OK</v>
      </c>
    </row>
    <row r="4980" customFormat="false" ht="15" hidden="false" customHeight="false" outlineLevel="0" collapsed="false">
      <c r="A4980" s="7" t="s">
        <v>6738</v>
      </c>
      <c r="B4980" s="7" t="s">
        <v>2244</v>
      </c>
      <c r="C4980" s="7" t="s">
        <v>37</v>
      </c>
      <c r="D4980" s="7" t="n">
        <v>25</v>
      </c>
      <c r="E4980" s="7" t="s">
        <v>48</v>
      </c>
      <c r="F4980" s="7" t="s">
        <v>74</v>
      </c>
      <c r="G4980" s="8" t="n">
        <v>46147</v>
      </c>
      <c r="H4980" s="8" t="n">
        <v>46162</v>
      </c>
      <c r="I4980" s="7" t="s">
        <v>58</v>
      </c>
      <c r="J4980" s="7" t="s">
        <v>41</v>
      </c>
      <c r="K4980" s="7" t="n">
        <v>15</v>
      </c>
      <c r="L4980" s="7" t="n">
        <v>5</v>
      </c>
      <c r="M4980" s="7" t="n">
        <v>2</v>
      </c>
      <c r="N4980" s="7" t="s">
        <v>42</v>
      </c>
      <c r="O4980" s="7" t="s">
        <v>67</v>
      </c>
      <c r="P4980" s="7" t="n">
        <v>8.2</v>
      </c>
      <c r="Q4980" s="7" t="n">
        <v>31</v>
      </c>
      <c r="R4980" s="7" t="s">
        <v>53</v>
      </c>
      <c r="S4980" s="7"/>
      <c r="T4980" s="7"/>
      <c r="U4980" s="7" t="str">
        <f aca="false">IF(COUNTIF($A$2:$A$5001,A4980)&gt;1,"Duplicate","Unique")</f>
        <v>Unique</v>
      </c>
      <c r="V4980" s="7" t="str">
        <f aca="false">IF(COUNTIFS($B$2:$B$5001,B4980,$H$2:$H$5001,H4980,$J$2:$J$5001,J4980)&gt;1,"Possible Duplicate Booking","Unique")</f>
        <v>Unique</v>
      </c>
      <c r="W4980" s="7" t="str">
        <f aca="false">IF((H4980-G4980)&lt;&gt;K4980,"Mismatch","OK")</f>
        <v>OK</v>
      </c>
      <c r="X4980" s="7" t="str">
        <f aca="false">IF(TEXT(H4980,"dddd")&lt;&gt;I4980,"Mismatch","OK")</f>
        <v>OK</v>
      </c>
      <c r="Y4980" s="7" t="str">
        <f aca="false">IF(AND(N4980="No",O4980&lt;&gt;""),"Unexpected: channel present but no reminder sent",IF(AND(N4980="Yes",O4980=""),"Missing channel for sent reminder","OK"))</f>
        <v>OK</v>
      </c>
    </row>
    <row r="4981" customFormat="false" ht="15" hidden="false" customHeight="false" outlineLevel="0" collapsed="false">
      <c r="A4981" s="9" t="s">
        <v>6739</v>
      </c>
      <c r="B4981" s="9" t="s">
        <v>4167</v>
      </c>
      <c r="C4981" s="9" t="s">
        <v>37</v>
      </c>
      <c r="D4981" s="9" t="n">
        <v>19</v>
      </c>
      <c r="E4981" s="9" t="s">
        <v>82</v>
      </c>
      <c r="F4981" s="9" t="s">
        <v>39</v>
      </c>
      <c r="G4981" s="10" t="n">
        <v>45984</v>
      </c>
      <c r="H4981" s="10" t="n">
        <v>45990</v>
      </c>
      <c r="I4981" s="9" t="s">
        <v>102</v>
      </c>
      <c r="J4981" s="9" t="s">
        <v>41</v>
      </c>
      <c r="K4981" s="9" t="n">
        <v>6</v>
      </c>
      <c r="L4981" s="9" t="n">
        <v>4</v>
      </c>
      <c r="M4981" s="9" t="n">
        <v>0</v>
      </c>
      <c r="N4981" s="9" t="s">
        <v>42</v>
      </c>
      <c r="O4981" s="9" t="s">
        <v>43</v>
      </c>
      <c r="P4981" s="9" t="n">
        <v>4.1</v>
      </c>
      <c r="Q4981" s="9" t="n">
        <v>68</v>
      </c>
      <c r="R4981" s="9" t="s">
        <v>53</v>
      </c>
      <c r="S4981" s="9"/>
      <c r="T4981" s="9"/>
      <c r="U4981" s="9" t="str">
        <f aca="false">IF(COUNTIF($A$2:$A$5001,A4981)&gt;1,"Duplicate","Unique")</f>
        <v>Unique</v>
      </c>
      <c r="V4981" s="9" t="str">
        <f aca="false">IF(COUNTIFS($B$2:$B$5001,B4981,$H$2:$H$5001,H4981,$J$2:$J$5001,J4981)&gt;1,"Possible Duplicate Booking","Unique")</f>
        <v>Unique</v>
      </c>
      <c r="W4981" s="9" t="str">
        <f aca="false">IF((H4981-G4981)&lt;&gt;K4981,"Mismatch","OK")</f>
        <v>OK</v>
      </c>
      <c r="X4981" s="9" t="str">
        <f aca="false">IF(TEXT(H4981,"dddd")&lt;&gt;I4981,"Mismatch","OK")</f>
        <v>OK</v>
      </c>
      <c r="Y4981" s="9" t="str">
        <f aca="false">IF(AND(N4981="No",O4981&lt;&gt;""),"Unexpected: channel present but no reminder sent",IF(AND(N4981="Yes",O4981=""),"Missing channel for sent reminder","OK"))</f>
        <v>OK</v>
      </c>
    </row>
    <row r="4982" customFormat="false" ht="15" hidden="false" customHeight="false" outlineLevel="0" collapsed="false">
      <c r="A4982" s="7" t="s">
        <v>6740</v>
      </c>
      <c r="B4982" s="7" t="s">
        <v>482</v>
      </c>
      <c r="C4982" s="7" t="s">
        <v>47</v>
      </c>
      <c r="D4982" s="7" t="n">
        <v>29</v>
      </c>
      <c r="E4982" s="7" t="s">
        <v>48</v>
      </c>
      <c r="F4982" s="7" t="s">
        <v>49</v>
      </c>
      <c r="G4982" s="8" t="n">
        <v>46123</v>
      </c>
      <c r="H4982" s="8" t="n">
        <v>46150</v>
      </c>
      <c r="I4982" s="7" t="s">
        <v>50</v>
      </c>
      <c r="J4982" s="7" t="s">
        <v>51</v>
      </c>
      <c r="K4982" s="7" t="n">
        <v>27</v>
      </c>
      <c r="L4982" s="7" t="n">
        <v>1</v>
      </c>
      <c r="M4982" s="7" t="n">
        <v>0</v>
      </c>
      <c r="N4982" s="7" t="s">
        <v>42</v>
      </c>
      <c r="O4982" s="7" t="s">
        <v>52</v>
      </c>
      <c r="P4982" s="7"/>
      <c r="Q4982" s="7" t="n">
        <v>8</v>
      </c>
      <c r="R4982" s="7" t="s">
        <v>53</v>
      </c>
      <c r="S4982" s="7"/>
      <c r="T4982" s="7"/>
      <c r="U4982" s="7" t="str">
        <f aca="false">IF(COUNTIF($A$2:$A$5001,A4982)&gt;1,"Duplicate","Unique")</f>
        <v>Unique</v>
      </c>
      <c r="V4982" s="7" t="str">
        <f aca="false">IF(COUNTIFS($B$2:$B$5001,B4982,$H$2:$H$5001,H4982,$J$2:$J$5001,J4982)&gt;1,"Possible Duplicate Booking","Unique")</f>
        <v>Unique</v>
      </c>
      <c r="W4982" s="7" t="str">
        <f aca="false">IF((H4982-G4982)&lt;&gt;K4982,"Mismatch","OK")</f>
        <v>OK</v>
      </c>
      <c r="X4982" s="7" t="str">
        <f aca="false">IF(TEXT(H4982,"dddd")&lt;&gt;I4982,"Mismatch","OK")</f>
        <v>OK</v>
      </c>
      <c r="Y4982" s="7" t="str">
        <f aca="false">IF(AND(N4982="No",O4982&lt;&gt;""),"Unexpected: channel present but no reminder sent",IF(AND(N4982="Yes",O4982=""),"Missing channel for sent reminder","OK"))</f>
        <v>OK</v>
      </c>
    </row>
    <row r="4983" customFormat="false" ht="15" hidden="false" customHeight="false" outlineLevel="0" collapsed="false">
      <c r="A4983" s="9" t="s">
        <v>6741</v>
      </c>
      <c r="B4983" s="9" t="s">
        <v>1600</v>
      </c>
      <c r="C4983" s="9" t="s">
        <v>37</v>
      </c>
      <c r="D4983" s="9" t="n">
        <v>77</v>
      </c>
      <c r="E4983" s="9" t="s">
        <v>70</v>
      </c>
      <c r="F4983" s="9" t="s">
        <v>39</v>
      </c>
      <c r="G4983" s="10" t="n">
        <v>46181</v>
      </c>
      <c r="H4983" s="10" t="n">
        <v>46181</v>
      </c>
      <c r="I4983" s="9" t="s">
        <v>66</v>
      </c>
      <c r="J4983" s="9" t="s">
        <v>51</v>
      </c>
      <c r="K4983" s="9" t="n">
        <v>0</v>
      </c>
      <c r="L4983" s="9" t="n">
        <v>3</v>
      </c>
      <c r="M4983" s="9" t="n">
        <v>0</v>
      </c>
      <c r="N4983" s="9" t="s">
        <v>42</v>
      </c>
      <c r="O4983" s="9" t="s">
        <v>67</v>
      </c>
      <c r="P4983" s="9" t="n">
        <v>2.3</v>
      </c>
      <c r="Q4983" s="9" t="n">
        <v>2</v>
      </c>
      <c r="R4983" s="9" t="s">
        <v>53</v>
      </c>
      <c r="S4983" s="9"/>
      <c r="T4983" s="9"/>
      <c r="U4983" s="9" t="str">
        <f aca="false">IF(COUNTIF($A$2:$A$5001,A4983)&gt;1,"Duplicate","Unique")</f>
        <v>Unique</v>
      </c>
      <c r="V4983" s="9" t="str">
        <f aca="false">IF(COUNTIFS($B$2:$B$5001,B4983,$H$2:$H$5001,H4983,$J$2:$J$5001,J4983)&gt;1,"Possible Duplicate Booking","Unique")</f>
        <v>Unique</v>
      </c>
      <c r="W4983" s="9" t="str">
        <f aca="false">IF((H4983-G4983)&lt;&gt;K4983,"Mismatch","OK")</f>
        <v>OK</v>
      </c>
      <c r="X4983" s="9" t="str">
        <f aca="false">IF(TEXT(H4983,"dddd")&lt;&gt;I4983,"Mismatch","OK")</f>
        <v>OK</v>
      </c>
      <c r="Y4983" s="9" t="str">
        <f aca="false">IF(AND(N4983="No",O4983&lt;&gt;""),"Unexpected: channel present but no reminder sent",IF(AND(N4983="Yes",O4983=""),"Missing channel for sent reminder","OK"))</f>
        <v>OK</v>
      </c>
    </row>
    <row r="4984" customFormat="false" ht="15" hidden="false" customHeight="false" outlineLevel="0" collapsed="false">
      <c r="A4984" s="7" t="s">
        <v>6742</v>
      </c>
      <c r="B4984" s="7" t="s">
        <v>2191</v>
      </c>
      <c r="C4984" s="7" t="s">
        <v>47</v>
      </c>
      <c r="D4984" s="7" t="n">
        <v>46</v>
      </c>
      <c r="E4984" s="7" t="s">
        <v>56</v>
      </c>
      <c r="F4984" s="7" t="s">
        <v>57</v>
      </c>
      <c r="G4984" s="8" t="n">
        <v>45740</v>
      </c>
      <c r="H4984" s="8" t="n">
        <v>45760</v>
      </c>
      <c r="I4984" s="7" t="s">
        <v>75</v>
      </c>
      <c r="J4984" s="7" t="s">
        <v>51</v>
      </c>
      <c r="K4984" s="7" t="n">
        <v>20</v>
      </c>
      <c r="L4984" s="7" t="n">
        <v>3</v>
      </c>
      <c r="M4984" s="7" t="n">
        <v>0</v>
      </c>
      <c r="N4984" s="7" t="s">
        <v>71</v>
      </c>
      <c r="O4984" s="7"/>
      <c r="P4984" s="7" t="n">
        <v>3.3</v>
      </c>
      <c r="Q4984" s="7" t="n">
        <v>36</v>
      </c>
      <c r="R4984" s="7" t="s">
        <v>53</v>
      </c>
      <c r="S4984" s="7"/>
      <c r="T4984" s="7"/>
      <c r="U4984" s="7" t="str">
        <f aca="false">IF(COUNTIF($A$2:$A$5001,A4984)&gt;1,"Duplicate","Unique")</f>
        <v>Unique</v>
      </c>
      <c r="V4984" s="7" t="str">
        <f aca="false">IF(COUNTIFS($B$2:$B$5001,B4984,$H$2:$H$5001,H4984,$J$2:$J$5001,J4984)&gt;1,"Possible Duplicate Booking","Unique")</f>
        <v>Unique</v>
      </c>
      <c r="W4984" s="7" t="str">
        <f aca="false">IF((H4984-G4984)&lt;&gt;K4984,"Mismatch","OK")</f>
        <v>OK</v>
      </c>
      <c r="X4984" s="7" t="str">
        <f aca="false">IF(TEXT(H4984,"dddd")&lt;&gt;I4984,"Mismatch","OK")</f>
        <v>OK</v>
      </c>
      <c r="Y4984" s="7" t="str">
        <f aca="false">IF(AND(N4984="No",O4984&lt;&gt;""),"Unexpected: channel present but no reminder sent",IF(AND(N4984="Yes",O4984=""),"Missing channel for sent reminder","OK"))</f>
        <v>OK</v>
      </c>
    </row>
    <row r="4985" customFormat="false" ht="15" hidden="false" customHeight="false" outlineLevel="0" collapsed="false">
      <c r="A4985" s="9" t="s">
        <v>6743</v>
      </c>
      <c r="B4985" s="9" t="s">
        <v>1343</v>
      </c>
      <c r="C4985" s="9" t="s">
        <v>47</v>
      </c>
      <c r="D4985" s="9" t="n">
        <v>80</v>
      </c>
      <c r="E4985" s="9" t="s">
        <v>70</v>
      </c>
      <c r="F4985" s="9" t="s">
        <v>49</v>
      </c>
      <c r="G4985" s="10" t="n">
        <v>45825</v>
      </c>
      <c r="H4985" s="10" t="n">
        <v>45877</v>
      </c>
      <c r="I4985" s="9" t="s">
        <v>50</v>
      </c>
      <c r="J4985" s="9" t="s">
        <v>41</v>
      </c>
      <c r="K4985" s="9" t="n">
        <v>52</v>
      </c>
      <c r="L4985" s="9" t="n">
        <v>4</v>
      </c>
      <c r="M4985" s="9" t="n">
        <v>3</v>
      </c>
      <c r="N4985" s="9" t="s">
        <v>42</v>
      </c>
      <c r="O4985" s="9" t="s">
        <v>52</v>
      </c>
      <c r="P4985" s="9" t="n">
        <v>3.3</v>
      </c>
      <c r="Q4985" s="9" t="n">
        <v>11</v>
      </c>
      <c r="R4985" s="9" t="s">
        <v>44</v>
      </c>
      <c r="S4985" s="9"/>
      <c r="T4985" s="9"/>
      <c r="U4985" s="9" t="str">
        <f aca="false">IF(COUNTIF($A$2:$A$5001,A4985)&gt;1,"Duplicate","Unique")</f>
        <v>Unique</v>
      </c>
      <c r="V4985" s="9" t="str">
        <f aca="false">IF(COUNTIFS($B$2:$B$5001,B4985,$H$2:$H$5001,H4985,$J$2:$J$5001,J4985)&gt;1,"Possible Duplicate Booking","Unique")</f>
        <v>Unique</v>
      </c>
      <c r="W4985" s="9" t="str">
        <f aca="false">IF((H4985-G4985)&lt;&gt;K4985,"Mismatch","OK")</f>
        <v>OK</v>
      </c>
      <c r="X4985" s="9" t="str">
        <f aca="false">IF(TEXT(H4985,"dddd")&lt;&gt;I4985,"Mismatch","OK")</f>
        <v>OK</v>
      </c>
      <c r="Y4985" s="9" t="str">
        <f aca="false">IF(AND(N4985="No",O4985&lt;&gt;""),"Unexpected: channel present but no reminder sent",IF(AND(N4985="Yes",O4985=""),"Missing channel for sent reminder","OK"))</f>
        <v>OK</v>
      </c>
    </row>
    <row r="4986" customFormat="false" ht="15" hidden="false" customHeight="false" outlineLevel="0" collapsed="false">
      <c r="A4986" s="7" t="s">
        <v>6744</v>
      </c>
      <c r="B4986" s="7" t="s">
        <v>4679</v>
      </c>
      <c r="C4986" s="7" t="s">
        <v>47</v>
      </c>
      <c r="D4986" s="7" t="n">
        <v>34</v>
      </c>
      <c r="E4986" s="7" t="s">
        <v>48</v>
      </c>
      <c r="F4986" s="7" t="s">
        <v>39</v>
      </c>
      <c r="G4986" s="8" t="n">
        <v>45747</v>
      </c>
      <c r="H4986" s="8" t="n">
        <v>45763</v>
      </c>
      <c r="I4986" s="7" t="s">
        <v>58</v>
      </c>
      <c r="J4986" s="7" t="s">
        <v>63</v>
      </c>
      <c r="K4986" s="7" t="n">
        <v>16</v>
      </c>
      <c r="L4986" s="7" t="n">
        <v>0</v>
      </c>
      <c r="M4986" s="7" t="n">
        <v>0</v>
      </c>
      <c r="N4986" s="7" t="s">
        <v>71</v>
      </c>
      <c r="O4986" s="7"/>
      <c r="P4986" s="7" t="n">
        <v>16.8</v>
      </c>
      <c r="Q4986" s="7" t="n">
        <v>28</v>
      </c>
      <c r="R4986" s="7" t="s">
        <v>53</v>
      </c>
      <c r="S4986" s="7"/>
      <c r="T4986" s="7"/>
      <c r="U4986" s="7" t="str">
        <f aca="false">IF(COUNTIF($A$2:$A$5001,A4986)&gt;1,"Duplicate","Unique")</f>
        <v>Unique</v>
      </c>
      <c r="V4986" s="7" t="str">
        <f aca="false">IF(COUNTIFS($B$2:$B$5001,B4986,$H$2:$H$5001,H4986,$J$2:$J$5001,J4986)&gt;1,"Possible Duplicate Booking","Unique")</f>
        <v>Unique</v>
      </c>
      <c r="W4986" s="7" t="str">
        <f aca="false">IF((H4986-G4986)&lt;&gt;K4986,"Mismatch","OK")</f>
        <v>OK</v>
      </c>
      <c r="X4986" s="7" t="str">
        <f aca="false">IF(TEXT(H4986,"dddd")&lt;&gt;I4986,"Mismatch","OK")</f>
        <v>OK</v>
      </c>
      <c r="Y4986" s="7" t="str">
        <f aca="false">IF(AND(N4986="No",O4986&lt;&gt;""),"Unexpected: channel present but no reminder sent",IF(AND(N4986="Yes",O4986=""),"Missing channel for sent reminder","OK"))</f>
        <v>OK</v>
      </c>
    </row>
    <row r="4987" customFormat="false" ht="15" hidden="false" customHeight="false" outlineLevel="0" collapsed="false">
      <c r="A4987" s="9" t="s">
        <v>6745</v>
      </c>
      <c r="B4987" s="9" t="s">
        <v>4286</v>
      </c>
      <c r="C4987" s="9" t="s">
        <v>37</v>
      </c>
      <c r="D4987" s="9" t="n">
        <v>66</v>
      </c>
      <c r="E4987" s="9" t="s">
        <v>70</v>
      </c>
      <c r="F4987" s="9" t="s">
        <v>39</v>
      </c>
      <c r="G4987" s="10" t="n">
        <v>45643</v>
      </c>
      <c r="H4987" s="10" t="n">
        <v>45685</v>
      </c>
      <c r="I4987" s="9" t="s">
        <v>40</v>
      </c>
      <c r="J4987" s="9" t="s">
        <v>51</v>
      </c>
      <c r="K4987" s="9" t="n">
        <v>42</v>
      </c>
      <c r="L4987" s="9" t="n">
        <v>1</v>
      </c>
      <c r="M4987" s="9" t="n">
        <v>0</v>
      </c>
      <c r="N4987" s="9" t="s">
        <v>71</v>
      </c>
      <c r="O4987" s="9"/>
      <c r="P4987" s="9" t="n">
        <v>4.8</v>
      </c>
      <c r="Q4987" s="9" t="n">
        <v>31</v>
      </c>
      <c r="R4987" s="9" t="s">
        <v>44</v>
      </c>
      <c r="S4987" s="9"/>
      <c r="T4987" s="9"/>
      <c r="U4987" s="9" t="str">
        <f aca="false">IF(COUNTIF($A$2:$A$5001,A4987)&gt;1,"Duplicate","Unique")</f>
        <v>Unique</v>
      </c>
      <c r="V4987" s="9" t="str">
        <f aca="false">IF(COUNTIFS($B$2:$B$5001,B4987,$H$2:$H$5001,H4987,$J$2:$J$5001,J4987)&gt;1,"Possible Duplicate Booking","Unique")</f>
        <v>Unique</v>
      </c>
      <c r="W4987" s="9" t="str">
        <f aca="false">IF((H4987-G4987)&lt;&gt;K4987,"Mismatch","OK")</f>
        <v>OK</v>
      </c>
      <c r="X4987" s="9" t="str">
        <f aca="false">IF(TEXT(H4987,"dddd")&lt;&gt;I4987,"Mismatch","OK")</f>
        <v>OK</v>
      </c>
      <c r="Y4987" s="9" t="str">
        <f aca="false">IF(AND(N4987="No",O4987&lt;&gt;""),"Unexpected: channel present but no reminder sent",IF(AND(N4987="Yes",O4987=""),"Missing channel for sent reminder","OK"))</f>
        <v>OK</v>
      </c>
    </row>
    <row r="4988" customFormat="false" ht="15" hidden="false" customHeight="false" outlineLevel="0" collapsed="false">
      <c r="A4988" s="7" t="s">
        <v>6746</v>
      </c>
      <c r="B4988" s="7" t="s">
        <v>6747</v>
      </c>
      <c r="C4988" s="7" t="s">
        <v>37</v>
      </c>
      <c r="D4988" s="7" t="n">
        <v>23</v>
      </c>
      <c r="E4988" s="7" t="s">
        <v>82</v>
      </c>
      <c r="F4988" s="7" t="s">
        <v>57</v>
      </c>
      <c r="G4988" s="8" t="n">
        <v>46156</v>
      </c>
      <c r="H4988" s="8" t="n">
        <v>46185</v>
      </c>
      <c r="I4988" s="7" t="s">
        <v>50</v>
      </c>
      <c r="J4988" s="7" t="s">
        <v>41</v>
      </c>
      <c r="K4988" s="7" t="n">
        <v>29</v>
      </c>
      <c r="L4988" s="7" t="n">
        <v>1</v>
      </c>
      <c r="M4988" s="7" t="n">
        <v>0</v>
      </c>
      <c r="N4988" s="7" t="s">
        <v>42</v>
      </c>
      <c r="O4988" s="7" t="s">
        <v>52</v>
      </c>
      <c r="P4988" s="7" t="n">
        <v>13.9</v>
      </c>
      <c r="Q4988" s="7" t="n">
        <v>24</v>
      </c>
      <c r="R4988" s="7" t="s">
        <v>53</v>
      </c>
      <c r="S4988" s="7"/>
      <c r="T4988" s="7"/>
      <c r="U4988" s="7" t="str">
        <f aca="false">IF(COUNTIF($A$2:$A$5001,A4988)&gt;1,"Duplicate","Unique")</f>
        <v>Unique</v>
      </c>
      <c r="V4988" s="7" t="str">
        <f aca="false">IF(COUNTIFS($B$2:$B$5001,B4988,$H$2:$H$5001,H4988,$J$2:$J$5001,J4988)&gt;1,"Possible Duplicate Booking","Unique")</f>
        <v>Unique</v>
      </c>
      <c r="W4988" s="7" t="str">
        <f aca="false">IF((H4988-G4988)&lt;&gt;K4988,"Mismatch","OK")</f>
        <v>OK</v>
      </c>
      <c r="X4988" s="7" t="str">
        <f aca="false">IF(TEXT(H4988,"dddd")&lt;&gt;I4988,"Mismatch","OK")</f>
        <v>OK</v>
      </c>
      <c r="Y4988" s="7" t="str">
        <f aca="false">IF(AND(N4988="No",O4988&lt;&gt;""),"Unexpected: channel present but no reminder sent",IF(AND(N4988="Yes",O4988=""),"Missing channel for sent reminder","OK"))</f>
        <v>OK</v>
      </c>
    </row>
    <row r="4989" customFormat="false" ht="15" hidden="false" customHeight="false" outlineLevel="0" collapsed="false">
      <c r="A4989" s="9" t="s">
        <v>6748</v>
      </c>
      <c r="B4989" s="9" t="s">
        <v>1569</v>
      </c>
      <c r="C4989" s="9" t="s">
        <v>47</v>
      </c>
      <c r="D4989" s="9" t="n">
        <v>24</v>
      </c>
      <c r="E4989" s="9" t="s">
        <v>82</v>
      </c>
      <c r="F4989" s="9" t="s">
        <v>39</v>
      </c>
      <c r="G4989" s="10" t="n">
        <v>46141</v>
      </c>
      <c r="H4989" s="10" t="n">
        <v>46162</v>
      </c>
      <c r="I4989" s="9" t="s">
        <v>58</v>
      </c>
      <c r="J4989" s="9" t="s">
        <v>51</v>
      </c>
      <c r="K4989" s="9" t="n">
        <v>21</v>
      </c>
      <c r="L4989" s="9" t="n">
        <v>2</v>
      </c>
      <c r="M4989" s="9" t="n">
        <v>0</v>
      </c>
      <c r="N4989" s="9" t="s">
        <v>42</v>
      </c>
      <c r="O4989" s="9" t="s">
        <v>52</v>
      </c>
      <c r="P4989" s="9" t="n">
        <v>3.4</v>
      </c>
      <c r="Q4989" s="9" t="n">
        <v>27</v>
      </c>
      <c r="R4989" s="9" t="s">
        <v>53</v>
      </c>
      <c r="S4989" s="9"/>
      <c r="T4989" s="9"/>
      <c r="U4989" s="9" t="str">
        <f aca="false">IF(COUNTIF($A$2:$A$5001,A4989)&gt;1,"Duplicate","Unique")</f>
        <v>Unique</v>
      </c>
      <c r="V4989" s="9" t="str">
        <f aca="false">IF(COUNTIFS($B$2:$B$5001,B4989,$H$2:$H$5001,H4989,$J$2:$J$5001,J4989)&gt;1,"Possible Duplicate Booking","Unique")</f>
        <v>Unique</v>
      </c>
      <c r="W4989" s="9" t="str">
        <f aca="false">IF((H4989-G4989)&lt;&gt;K4989,"Mismatch","OK")</f>
        <v>OK</v>
      </c>
      <c r="X4989" s="9" t="str">
        <f aca="false">IF(TEXT(H4989,"dddd")&lt;&gt;I4989,"Mismatch","OK")</f>
        <v>OK</v>
      </c>
      <c r="Y4989" s="9" t="str">
        <f aca="false">IF(AND(N4989="No",O4989&lt;&gt;""),"Unexpected: channel present but no reminder sent",IF(AND(N4989="Yes",O4989=""),"Missing channel for sent reminder","OK"))</f>
        <v>OK</v>
      </c>
    </row>
    <row r="4990" customFormat="false" ht="15" hidden="false" customHeight="false" outlineLevel="0" collapsed="false">
      <c r="A4990" s="7" t="s">
        <v>6749</v>
      </c>
      <c r="B4990" s="7" t="s">
        <v>1236</v>
      </c>
      <c r="C4990" s="7" t="s">
        <v>47</v>
      </c>
      <c r="D4990" s="7" t="n">
        <v>19</v>
      </c>
      <c r="E4990" s="7" t="s">
        <v>82</v>
      </c>
      <c r="F4990" s="7" t="s">
        <v>74</v>
      </c>
      <c r="G4990" s="8" t="n">
        <v>46126</v>
      </c>
      <c r="H4990" s="8" t="n">
        <v>46166</v>
      </c>
      <c r="I4990" s="7" t="s">
        <v>75</v>
      </c>
      <c r="J4990" s="7" t="s">
        <v>41</v>
      </c>
      <c r="K4990" s="7" t="n">
        <v>40</v>
      </c>
      <c r="L4990" s="7" t="n">
        <v>3</v>
      </c>
      <c r="M4990" s="7" t="n">
        <v>0</v>
      </c>
      <c r="N4990" s="7" t="s">
        <v>42</v>
      </c>
      <c r="O4990" s="7" t="s">
        <v>43</v>
      </c>
      <c r="P4990" s="7" t="n">
        <v>8.6</v>
      </c>
      <c r="Q4990" s="7" t="n">
        <v>43</v>
      </c>
      <c r="R4990" s="7" t="s">
        <v>44</v>
      </c>
      <c r="S4990" s="7"/>
      <c r="T4990" s="7"/>
      <c r="U4990" s="7" t="str">
        <f aca="false">IF(COUNTIF($A$2:$A$5001,A4990)&gt;1,"Duplicate","Unique")</f>
        <v>Unique</v>
      </c>
      <c r="V4990" s="7" t="str">
        <f aca="false">IF(COUNTIFS($B$2:$B$5001,B4990,$H$2:$H$5001,H4990,$J$2:$J$5001,J4990)&gt;1,"Possible Duplicate Booking","Unique")</f>
        <v>Unique</v>
      </c>
      <c r="W4990" s="7" t="str">
        <f aca="false">IF((H4990-G4990)&lt;&gt;K4990,"Mismatch","OK")</f>
        <v>OK</v>
      </c>
      <c r="X4990" s="7" t="str">
        <f aca="false">IF(TEXT(H4990,"dddd")&lt;&gt;I4990,"Mismatch","OK")</f>
        <v>OK</v>
      </c>
      <c r="Y4990" s="7" t="str">
        <f aca="false">IF(AND(N4990="No",O4990&lt;&gt;""),"Unexpected: channel present but no reminder sent",IF(AND(N4990="Yes",O4990=""),"Missing channel for sent reminder","OK"))</f>
        <v>OK</v>
      </c>
    </row>
    <row r="4991" customFormat="false" ht="15" hidden="false" customHeight="false" outlineLevel="0" collapsed="false">
      <c r="A4991" s="9" t="s">
        <v>6750</v>
      </c>
      <c r="B4991" s="9" t="s">
        <v>850</v>
      </c>
      <c r="C4991" s="9" t="s">
        <v>47</v>
      </c>
      <c r="D4991" s="9" t="n">
        <v>74</v>
      </c>
      <c r="E4991" s="9" t="s">
        <v>70</v>
      </c>
      <c r="F4991" s="9" t="s">
        <v>57</v>
      </c>
      <c r="G4991" s="10" t="n">
        <v>46104</v>
      </c>
      <c r="H4991" s="10" t="n">
        <v>46140</v>
      </c>
      <c r="I4991" s="9" t="s">
        <v>40</v>
      </c>
      <c r="J4991" s="9" t="s">
        <v>41</v>
      </c>
      <c r="K4991" s="9" t="n">
        <v>36</v>
      </c>
      <c r="L4991" s="9" t="n">
        <v>4</v>
      </c>
      <c r="M4991" s="9" t="n">
        <v>1</v>
      </c>
      <c r="N4991" s="9" t="s">
        <v>71</v>
      </c>
      <c r="O4991" s="9"/>
      <c r="P4991" s="9" t="n">
        <v>10.5</v>
      </c>
      <c r="Q4991" s="9" t="n">
        <v>17</v>
      </c>
      <c r="R4991" s="9" t="s">
        <v>44</v>
      </c>
      <c r="S4991" s="9"/>
      <c r="T4991" s="9"/>
      <c r="U4991" s="9" t="str">
        <f aca="false">IF(COUNTIF($A$2:$A$5001,A4991)&gt;1,"Duplicate","Unique")</f>
        <v>Unique</v>
      </c>
      <c r="V4991" s="9" t="str">
        <f aca="false">IF(COUNTIFS($B$2:$B$5001,B4991,$H$2:$H$5001,H4991,$J$2:$J$5001,J4991)&gt;1,"Possible Duplicate Booking","Unique")</f>
        <v>Unique</v>
      </c>
      <c r="W4991" s="9" t="str">
        <f aca="false">IF((H4991-G4991)&lt;&gt;K4991,"Mismatch","OK")</f>
        <v>OK</v>
      </c>
      <c r="X4991" s="9" t="str">
        <f aca="false">IF(TEXT(H4991,"dddd")&lt;&gt;I4991,"Mismatch","OK")</f>
        <v>OK</v>
      </c>
      <c r="Y4991" s="9" t="str">
        <f aca="false">IF(AND(N4991="No",O4991&lt;&gt;""),"Unexpected: channel present but no reminder sent",IF(AND(N4991="Yes",O4991=""),"Missing channel for sent reminder","OK"))</f>
        <v>OK</v>
      </c>
    </row>
    <row r="4992" customFormat="false" ht="15" hidden="false" customHeight="false" outlineLevel="0" collapsed="false">
      <c r="A4992" s="7" t="s">
        <v>6751</v>
      </c>
      <c r="B4992" s="7" t="s">
        <v>3750</v>
      </c>
      <c r="C4992" s="7" t="s">
        <v>47</v>
      </c>
      <c r="D4992" s="7" t="n">
        <v>60</v>
      </c>
      <c r="E4992" s="7" t="s">
        <v>61</v>
      </c>
      <c r="F4992" s="7" t="s">
        <v>57</v>
      </c>
      <c r="G4992" s="8" t="n">
        <v>45993</v>
      </c>
      <c r="H4992" s="8" t="n">
        <v>46012</v>
      </c>
      <c r="I4992" s="7" t="s">
        <v>75</v>
      </c>
      <c r="J4992" s="7" t="s">
        <v>41</v>
      </c>
      <c r="K4992" s="7" t="n">
        <v>19</v>
      </c>
      <c r="L4992" s="7" t="n">
        <v>3</v>
      </c>
      <c r="M4992" s="7" t="n">
        <v>2</v>
      </c>
      <c r="N4992" s="7" t="s">
        <v>71</v>
      </c>
      <c r="O4992" s="7"/>
      <c r="P4992" s="7" t="n">
        <v>11.9</v>
      </c>
      <c r="Q4992" s="7" t="n">
        <v>38</v>
      </c>
      <c r="R4992" s="7" t="s">
        <v>44</v>
      </c>
      <c r="S4992" s="7"/>
      <c r="T4992" s="7"/>
      <c r="U4992" s="7" t="str">
        <f aca="false">IF(COUNTIF($A$2:$A$5001,A4992)&gt;1,"Duplicate","Unique")</f>
        <v>Unique</v>
      </c>
      <c r="V4992" s="7" t="str">
        <f aca="false">IF(COUNTIFS($B$2:$B$5001,B4992,$H$2:$H$5001,H4992,$J$2:$J$5001,J4992)&gt;1,"Possible Duplicate Booking","Unique")</f>
        <v>Unique</v>
      </c>
      <c r="W4992" s="7" t="str">
        <f aca="false">IF((H4992-G4992)&lt;&gt;K4992,"Mismatch","OK")</f>
        <v>OK</v>
      </c>
      <c r="X4992" s="7" t="str">
        <f aca="false">IF(TEXT(H4992,"dddd")&lt;&gt;I4992,"Mismatch","OK")</f>
        <v>OK</v>
      </c>
      <c r="Y4992" s="7" t="str">
        <f aca="false">IF(AND(N4992="No",O4992&lt;&gt;""),"Unexpected: channel present but no reminder sent",IF(AND(N4992="Yes",O4992=""),"Missing channel for sent reminder","OK"))</f>
        <v>OK</v>
      </c>
    </row>
    <row r="4993" customFormat="false" ht="15" hidden="false" customHeight="false" outlineLevel="0" collapsed="false">
      <c r="A4993" s="9" t="s">
        <v>6752</v>
      </c>
      <c r="B4993" s="9" t="s">
        <v>215</v>
      </c>
      <c r="C4993" s="9" t="s">
        <v>37</v>
      </c>
      <c r="D4993" s="9" t="n">
        <v>64</v>
      </c>
      <c r="E4993" s="9" t="s">
        <v>61</v>
      </c>
      <c r="F4993" s="9" t="s">
        <v>57</v>
      </c>
      <c r="G4993" s="10" t="n">
        <v>45930</v>
      </c>
      <c r="H4993" s="10" t="n">
        <v>45943</v>
      </c>
      <c r="I4993" s="9" t="s">
        <v>66</v>
      </c>
      <c r="J4993" s="9" t="s">
        <v>41</v>
      </c>
      <c r="K4993" s="9" t="n">
        <v>13</v>
      </c>
      <c r="L4993" s="9" t="n">
        <v>1</v>
      </c>
      <c r="M4993" s="9" t="n">
        <v>0</v>
      </c>
      <c r="N4993" s="9" t="s">
        <v>42</v>
      </c>
      <c r="O4993" s="9" t="s">
        <v>43</v>
      </c>
      <c r="P4993" s="9" t="n">
        <v>1.8</v>
      </c>
      <c r="Q4993" s="9" t="n">
        <v>10</v>
      </c>
      <c r="R4993" s="9" t="s">
        <v>44</v>
      </c>
      <c r="S4993" s="9"/>
      <c r="T4993" s="9"/>
      <c r="U4993" s="9" t="str">
        <f aca="false">IF(COUNTIF($A$2:$A$5001,A4993)&gt;1,"Duplicate","Unique")</f>
        <v>Unique</v>
      </c>
      <c r="V4993" s="9" t="str">
        <f aca="false">IF(COUNTIFS($B$2:$B$5001,B4993,$H$2:$H$5001,H4993,$J$2:$J$5001,J4993)&gt;1,"Possible Duplicate Booking","Unique")</f>
        <v>Unique</v>
      </c>
      <c r="W4993" s="9" t="str">
        <f aca="false">IF((H4993-G4993)&lt;&gt;K4993,"Mismatch","OK")</f>
        <v>OK</v>
      </c>
      <c r="X4993" s="9" t="str">
        <f aca="false">IF(TEXT(H4993,"dddd")&lt;&gt;I4993,"Mismatch","OK")</f>
        <v>OK</v>
      </c>
      <c r="Y4993" s="9" t="str">
        <f aca="false">IF(AND(N4993="No",O4993&lt;&gt;""),"Unexpected: channel present but no reminder sent",IF(AND(N4993="Yes",O4993=""),"Missing channel for sent reminder","OK"))</f>
        <v>OK</v>
      </c>
    </row>
    <row r="4994" customFormat="false" ht="15" hidden="false" customHeight="false" outlineLevel="0" collapsed="false">
      <c r="A4994" s="7" t="s">
        <v>6753</v>
      </c>
      <c r="B4994" s="7" t="s">
        <v>2906</v>
      </c>
      <c r="C4994" s="7" t="s">
        <v>47</v>
      </c>
      <c r="D4994" s="7" t="n">
        <v>76</v>
      </c>
      <c r="E4994" s="7" t="s">
        <v>70</v>
      </c>
      <c r="F4994" s="7" t="s">
        <v>39</v>
      </c>
      <c r="G4994" s="8" t="n">
        <v>46144</v>
      </c>
      <c r="H4994" s="8" t="n">
        <v>46199</v>
      </c>
      <c r="I4994" s="7" t="s">
        <v>50</v>
      </c>
      <c r="J4994" s="7" t="s">
        <v>41</v>
      </c>
      <c r="K4994" s="7" t="n">
        <v>55</v>
      </c>
      <c r="L4994" s="7" t="n">
        <v>8</v>
      </c>
      <c r="M4994" s="7" t="n">
        <v>2</v>
      </c>
      <c r="N4994" s="7" t="s">
        <v>42</v>
      </c>
      <c r="O4994" s="7" t="s">
        <v>52</v>
      </c>
      <c r="P4994" s="7" t="n">
        <v>12.1</v>
      </c>
      <c r="Q4994" s="7" t="n">
        <v>28</v>
      </c>
      <c r="R4994" s="7" t="s">
        <v>44</v>
      </c>
      <c r="S4994" s="7"/>
      <c r="T4994" s="7"/>
      <c r="U4994" s="7" t="str">
        <f aca="false">IF(COUNTIF($A$2:$A$5001,A4994)&gt;1,"Duplicate","Unique")</f>
        <v>Unique</v>
      </c>
      <c r="V4994" s="7" t="str">
        <f aca="false">IF(COUNTIFS($B$2:$B$5001,B4994,$H$2:$H$5001,H4994,$J$2:$J$5001,J4994)&gt;1,"Possible Duplicate Booking","Unique")</f>
        <v>Unique</v>
      </c>
      <c r="W4994" s="7" t="str">
        <f aca="false">IF((H4994-G4994)&lt;&gt;K4994,"Mismatch","OK")</f>
        <v>OK</v>
      </c>
      <c r="X4994" s="7" t="str">
        <f aca="false">IF(TEXT(H4994,"dddd")&lt;&gt;I4994,"Mismatch","OK")</f>
        <v>OK</v>
      </c>
      <c r="Y4994" s="7" t="str">
        <f aca="false">IF(AND(N4994="No",O4994&lt;&gt;""),"Unexpected: channel present but no reminder sent",IF(AND(N4994="Yes",O4994=""),"Missing channel for sent reminder","OK"))</f>
        <v>OK</v>
      </c>
    </row>
    <row r="4995" customFormat="false" ht="15" hidden="false" customHeight="false" outlineLevel="0" collapsed="false">
      <c r="A4995" s="9" t="s">
        <v>6754</v>
      </c>
      <c r="B4995" s="9" t="s">
        <v>1284</v>
      </c>
      <c r="C4995" s="9" t="s">
        <v>47</v>
      </c>
      <c r="D4995" s="9" t="n">
        <v>38</v>
      </c>
      <c r="E4995" s="9" t="s">
        <v>38</v>
      </c>
      <c r="F4995" s="9" t="s">
        <v>49</v>
      </c>
      <c r="G4995" s="10" t="n">
        <v>45949</v>
      </c>
      <c r="H4995" s="10" t="n">
        <v>45959</v>
      </c>
      <c r="I4995" s="9" t="s">
        <v>58</v>
      </c>
      <c r="J4995" s="9" t="s">
        <v>51</v>
      </c>
      <c r="K4995" s="9" t="n">
        <v>10</v>
      </c>
      <c r="L4995" s="9" t="n">
        <v>5</v>
      </c>
      <c r="M4995" s="9" t="n">
        <v>3</v>
      </c>
      <c r="N4995" s="9" t="s">
        <v>42</v>
      </c>
      <c r="O4995" s="9" t="s">
        <v>67</v>
      </c>
      <c r="P4995" s="9" t="n">
        <v>13.2</v>
      </c>
      <c r="Q4995" s="9" t="n">
        <v>29</v>
      </c>
      <c r="R4995" s="9" t="s">
        <v>44</v>
      </c>
      <c r="S4995" s="9"/>
      <c r="T4995" s="9"/>
      <c r="U4995" s="9" t="str">
        <f aca="false">IF(COUNTIF($A$2:$A$5001,A4995)&gt;1,"Duplicate","Unique")</f>
        <v>Unique</v>
      </c>
      <c r="V4995" s="9" t="str">
        <f aca="false">IF(COUNTIFS($B$2:$B$5001,B4995,$H$2:$H$5001,H4995,$J$2:$J$5001,J4995)&gt;1,"Possible Duplicate Booking","Unique")</f>
        <v>Unique</v>
      </c>
      <c r="W4995" s="9" t="str">
        <f aca="false">IF((H4995-G4995)&lt;&gt;K4995,"Mismatch","OK")</f>
        <v>OK</v>
      </c>
      <c r="X4995" s="9" t="str">
        <f aca="false">IF(TEXT(H4995,"dddd")&lt;&gt;I4995,"Mismatch","OK")</f>
        <v>OK</v>
      </c>
      <c r="Y4995" s="9" t="str">
        <f aca="false">IF(AND(N4995="No",O4995&lt;&gt;""),"Unexpected: channel present but no reminder sent",IF(AND(N4995="Yes",O4995=""),"Missing channel for sent reminder","OK"))</f>
        <v>OK</v>
      </c>
    </row>
    <row r="4996" customFormat="false" ht="15" hidden="false" customHeight="false" outlineLevel="0" collapsed="false">
      <c r="A4996" s="7" t="s">
        <v>6755</v>
      </c>
      <c r="B4996" s="7" t="s">
        <v>5816</v>
      </c>
      <c r="C4996" s="7" t="s">
        <v>236</v>
      </c>
      <c r="D4996" s="7" t="n">
        <v>63</v>
      </c>
      <c r="E4996" s="7" t="s">
        <v>61</v>
      </c>
      <c r="F4996" s="7" t="s">
        <v>39</v>
      </c>
      <c r="G4996" s="8" t="n">
        <v>45950</v>
      </c>
      <c r="H4996" s="8" t="n">
        <v>46008</v>
      </c>
      <c r="I4996" s="7" t="s">
        <v>58</v>
      </c>
      <c r="J4996" s="7" t="s">
        <v>41</v>
      </c>
      <c r="K4996" s="7" t="n">
        <v>58</v>
      </c>
      <c r="L4996" s="7" t="n">
        <v>2</v>
      </c>
      <c r="M4996" s="7" t="n">
        <v>2</v>
      </c>
      <c r="N4996" s="7" t="s">
        <v>42</v>
      </c>
      <c r="O4996" s="7" t="s">
        <v>43</v>
      </c>
      <c r="P4996" s="7" t="n">
        <v>0.9</v>
      </c>
      <c r="Q4996" s="7" t="n">
        <v>23</v>
      </c>
      <c r="R4996" s="7" t="s">
        <v>44</v>
      </c>
      <c r="S4996" s="7"/>
      <c r="T4996" s="7"/>
      <c r="U4996" s="7" t="str">
        <f aca="false">IF(COUNTIF($A$2:$A$5001,A4996)&gt;1,"Duplicate","Unique")</f>
        <v>Unique</v>
      </c>
      <c r="V4996" s="7" t="str">
        <f aca="false">IF(COUNTIFS($B$2:$B$5001,B4996,$H$2:$H$5001,H4996,$J$2:$J$5001,J4996)&gt;1,"Possible Duplicate Booking","Unique")</f>
        <v>Unique</v>
      </c>
      <c r="W4996" s="7" t="str">
        <f aca="false">IF((H4996-G4996)&lt;&gt;K4996,"Mismatch","OK")</f>
        <v>OK</v>
      </c>
      <c r="X4996" s="7" t="str">
        <f aca="false">IF(TEXT(H4996,"dddd")&lt;&gt;I4996,"Mismatch","OK")</f>
        <v>OK</v>
      </c>
      <c r="Y4996" s="7" t="str">
        <f aca="false">IF(AND(N4996="No",O4996&lt;&gt;""),"Unexpected: channel present but no reminder sent",IF(AND(N4996="Yes",O4996=""),"Missing channel for sent reminder","OK"))</f>
        <v>OK</v>
      </c>
    </row>
    <row r="4997" customFormat="false" ht="15" hidden="false" customHeight="false" outlineLevel="0" collapsed="false">
      <c r="A4997" s="9" t="s">
        <v>6756</v>
      </c>
      <c r="B4997" s="9" t="s">
        <v>4093</v>
      </c>
      <c r="C4997" s="9" t="s">
        <v>47</v>
      </c>
      <c r="D4997" s="9" t="n">
        <v>49</v>
      </c>
      <c r="E4997" s="9" t="s">
        <v>56</v>
      </c>
      <c r="F4997" s="9" t="s">
        <v>74</v>
      </c>
      <c r="G4997" s="10" t="n">
        <v>45745</v>
      </c>
      <c r="H4997" s="10" t="n">
        <v>45773</v>
      </c>
      <c r="I4997" s="9" t="s">
        <v>102</v>
      </c>
      <c r="J4997" s="9" t="s">
        <v>51</v>
      </c>
      <c r="K4997" s="9" t="n">
        <v>28</v>
      </c>
      <c r="L4997" s="9" t="n">
        <v>5</v>
      </c>
      <c r="M4997" s="9" t="n">
        <v>1</v>
      </c>
      <c r="N4997" s="9" t="s">
        <v>42</v>
      </c>
      <c r="O4997" s="9" t="s">
        <v>67</v>
      </c>
      <c r="P4997" s="9" t="n">
        <v>4.4</v>
      </c>
      <c r="Q4997" s="9" t="n">
        <v>35</v>
      </c>
      <c r="R4997" s="9" t="s">
        <v>44</v>
      </c>
      <c r="S4997" s="9"/>
      <c r="T4997" s="9"/>
      <c r="U4997" s="9" t="str">
        <f aca="false">IF(COUNTIF($A$2:$A$5001,A4997)&gt;1,"Duplicate","Unique")</f>
        <v>Unique</v>
      </c>
      <c r="V4997" s="9" t="str">
        <f aca="false">IF(COUNTIFS($B$2:$B$5001,B4997,$H$2:$H$5001,H4997,$J$2:$J$5001,J4997)&gt;1,"Possible Duplicate Booking","Unique")</f>
        <v>Unique</v>
      </c>
      <c r="W4997" s="9" t="str">
        <f aca="false">IF((H4997-G4997)&lt;&gt;K4997,"Mismatch","OK")</f>
        <v>OK</v>
      </c>
      <c r="X4997" s="9" t="str">
        <f aca="false">IF(TEXT(H4997,"dddd")&lt;&gt;I4997,"Mismatch","OK")</f>
        <v>OK</v>
      </c>
      <c r="Y4997" s="9" t="str">
        <f aca="false">IF(AND(N4997="No",O4997&lt;&gt;""),"Unexpected: channel present but no reminder sent",IF(AND(N4997="Yes",O4997=""),"Missing channel for sent reminder","OK"))</f>
        <v>OK</v>
      </c>
    </row>
    <row r="4998" customFormat="false" ht="15" hidden="false" customHeight="false" outlineLevel="0" collapsed="false">
      <c r="A4998" s="7" t="s">
        <v>6757</v>
      </c>
      <c r="B4998" s="7" t="s">
        <v>1009</v>
      </c>
      <c r="C4998" s="7" t="s">
        <v>37</v>
      </c>
      <c r="D4998" s="7" t="n">
        <v>52</v>
      </c>
      <c r="E4998" s="7" t="s">
        <v>56</v>
      </c>
      <c r="F4998" s="7" t="s">
        <v>39</v>
      </c>
      <c r="G4998" s="8" t="n">
        <v>46005</v>
      </c>
      <c r="H4998" s="8" t="n">
        <v>46065</v>
      </c>
      <c r="I4998" s="7" t="s">
        <v>62</v>
      </c>
      <c r="J4998" s="7" t="s">
        <v>63</v>
      </c>
      <c r="K4998" s="7" t="n">
        <v>60</v>
      </c>
      <c r="L4998" s="7" t="n">
        <v>6</v>
      </c>
      <c r="M4998" s="7" t="n">
        <v>2</v>
      </c>
      <c r="N4998" s="7" t="s">
        <v>42</v>
      </c>
      <c r="O4998" s="7" t="s">
        <v>43</v>
      </c>
      <c r="P4998" s="7" t="n">
        <v>12.6</v>
      </c>
      <c r="Q4998" s="7" t="n">
        <v>24</v>
      </c>
      <c r="R4998" s="7" t="s">
        <v>53</v>
      </c>
      <c r="S4998" s="7"/>
      <c r="T4998" s="7"/>
      <c r="U4998" s="7" t="str">
        <f aca="false">IF(COUNTIF($A$2:$A$5001,A4998)&gt;1,"Duplicate","Unique")</f>
        <v>Unique</v>
      </c>
      <c r="V4998" s="7" t="str">
        <f aca="false">IF(COUNTIFS($B$2:$B$5001,B4998,$H$2:$H$5001,H4998,$J$2:$J$5001,J4998)&gt;1,"Possible Duplicate Booking","Unique")</f>
        <v>Unique</v>
      </c>
      <c r="W4998" s="7" t="str">
        <f aca="false">IF((H4998-G4998)&lt;&gt;K4998,"Mismatch","OK")</f>
        <v>OK</v>
      </c>
      <c r="X4998" s="7" t="str">
        <f aca="false">IF(TEXT(H4998,"dddd")&lt;&gt;I4998,"Mismatch","OK")</f>
        <v>OK</v>
      </c>
      <c r="Y4998" s="7" t="str">
        <f aca="false">IF(AND(N4998="No",O4998&lt;&gt;""),"Unexpected: channel present but no reminder sent",IF(AND(N4998="Yes",O4998=""),"Missing channel for sent reminder","OK"))</f>
        <v>OK</v>
      </c>
    </row>
    <row r="4999" customFormat="false" ht="15" hidden="false" customHeight="false" outlineLevel="0" collapsed="false">
      <c r="A4999" s="9" t="s">
        <v>6758</v>
      </c>
      <c r="B4999" s="9" t="s">
        <v>276</v>
      </c>
      <c r="C4999" s="9" t="s">
        <v>47</v>
      </c>
      <c r="D4999" s="9" t="n">
        <v>59</v>
      </c>
      <c r="E4999" s="9" t="s">
        <v>61</v>
      </c>
      <c r="F4999" s="9" t="s">
        <v>57</v>
      </c>
      <c r="G4999" s="10" t="n">
        <v>46084</v>
      </c>
      <c r="H4999" s="10" t="n">
        <v>46105</v>
      </c>
      <c r="I4999" s="9" t="s">
        <v>40</v>
      </c>
      <c r="J4999" s="9" t="s">
        <v>41</v>
      </c>
      <c r="K4999" s="9" t="n">
        <v>21</v>
      </c>
      <c r="L4999" s="9" t="n">
        <v>5</v>
      </c>
      <c r="M4999" s="9" t="n">
        <v>0</v>
      </c>
      <c r="N4999" s="9" t="s">
        <v>71</v>
      </c>
      <c r="O4999" s="9"/>
      <c r="P4999" s="9" t="n">
        <v>22.8</v>
      </c>
      <c r="Q4999" s="9" t="n">
        <v>28</v>
      </c>
      <c r="R4999" s="9" t="s">
        <v>53</v>
      </c>
      <c r="S4999" s="9"/>
      <c r="T4999" s="9"/>
      <c r="U4999" s="9" t="str">
        <f aca="false">IF(COUNTIF($A$2:$A$5001,A4999)&gt;1,"Duplicate","Unique")</f>
        <v>Unique</v>
      </c>
      <c r="V4999" s="9" t="str">
        <f aca="false">IF(COUNTIFS($B$2:$B$5001,B4999,$H$2:$H$5001,H4999,$J$2:$J$5001,J4999)&gt;1,"Possible Duplicate Booking","Unique")</f>
        <v>Unique</v>
      </c>
      <c r="W4999" s="9" t="str">
        <f aca="false">IF((H4999-G4999)&lt;&gt;K4999,"Mismatch","OK")</f>
        <v>OK</v>
      </c>
      <c r="X4999" s="9" t="str">
        <f aca="false">IF(TEXT(H4999,"dddd")&lt;&gt;I4999,"Mismatch","OK")</f>
        <v>OK</v>
      </c>
      <c r="Y4999" s="9" t="str">
        <f aca="false">IF(AND(N4999="No",O4999&lt;&gt;""),"Unexpected: channel present but no reminder sent",IF(AND(N4999="Yes",O4999=""),"Missing channel for sent reminder","OK"))</f>
        <v>OK</v>
      </c>
    </row>
    <row r="5000" customFormat="false" ht="15" hidden="false" customHeight="false" outlineLevel="0" collapsed="false">
      <c r="A5000" s="7" t="s">
        <v>6759</v>
      </c>
      <c r="B5000" s="7" t="s">
        <v>6760</v>
      </c>
      <c r="C5000" s="7" t="s">
        <v>47</v>
      </c>
      <c r="D5000" s="7" t="n">
        <v>47</v>
      </c>
      <c r="E5000" s="7" t="s">
        <v>56</v>
      </c>
      <c r="F5000" s="7" t="s">
        <v>57</v>
      </c>
      <c r="G5000" s="8" t="n">
        <v>45994</v>
      </c>
      <c r="H5000" s="8" t="n">
        <v>46028</v>
      </c>
      <c r="I5000" s="7" t="s">
        <v>40</v>
      </c>
      <c r="J5000" s="7" t="s">
        <v>51</v>
      </c>
      <c r="K5000" s="7" t="n">
        <v>34</v>
      </c>
      <c r="L5000" s="7" t="n">
        <v>4</v>
      </c>
      <c r="M5000" s="7" t="n">
        <v>1</v>
      </c>
      <c r="N5000" s="7" t="s">
        <v>71</v>
      </c>
      <c r="O5000" s="7"/>
      <c r="P5000" s="7" t="n">
        <v>12.5</v>
      </c>
      <c r="Q5000" s="7" t="n">
        <v>16</v>
      </c>
      <c r="R5000" s="7" t="s">
        <v>53</v>
      </c>
      <c r="S5000" s="7"/>
      <c r="T5000" s="7"/>
      <c r="U5000" s="7" t="str">
        <f aca="false">IF(COUNTIF($A$2:$A$5001,A5000)&gt;1,"Duplicate","Unique")</f>
        <v>Unique</v>
      </c>
      <c r="V5000" s="7" t="str">
        <f aca="false">IF(COUNTIFS($B$2:$B$5001,B5000,$H$2:$H$5001,H5000,$J$2:$J$5001,J5000)&gt;1,"Possible Duplicate Booking","Unique")</f>
        <v>Unique</v>
      </c>
      <c r="W5000" s="7" t="str">
        <f aca="false">IF((H5000-G5000)&lt;&gt;K5000,"Mismatch","OK")</f>
        <v>OK</v>
      </c>
      <c r="X5000" s="7" t="str">
        <f aca="false">IF(TEXT(H5000,"dddd")&lt;&gt;I5000,"Mismatch","OK")</f>
        <v>OK</v>
      </c>
      <c r="Y5000" s="7" t="str">
        <f aca="false">IF(AND(N5000="No",O5000&lt;&gt;""),"Unexpected: channel present but no reminder sent",IF(AND(N5000="Yes",O5000=""),"Missing channel for sent reminder","OK"))</f>
        <v>OK</v>
      </c>
    </row>
    <row r="5001" customFormat="false" ht="15" hidden="false" customHeight="false" outlineLevel="0" collapsed="false">
      <c r="A5001" s="9" t="s">
        <v>6761</v>
      </c>
      <c r="B5001" s="9" t="s">
        <v>698</v>
      </c>
      <c r="C5001" s="9" t="s">
        <v>37</v>
      </c>
      <c r="D5001" s="9" t="n">
        <v>19</v>
      </c>
      <c r="E5001" s="9" t="s">
        <v>82</v>
      </c>
      <c r="F5001" s="9" t="s">
        <v>57</v>
      </c>
      <c r="G5001" s="10" t="n">
        <v>45893</v>
      </c>
      <c r="H5001" s="10" t="n">
        <v>45930</v>
      </c>
      <c r="I5001" s="9" t="s">
        <v>40</v>
      </c>
      <c r="J5001" s="9" t="s">
        <v>51</v>
      </c>
      <c r="K5001" s="9" t="n">
        <v>37</v>
      </c>
      <c r="L5001" s="9" t="n">
        <v>6</v>
      </c>
      <c r="M5001" s="9" t="n">
        <v>1</v>
      </c>
      <c r="N5001" s="9" t="s">
        <v>42</v>
      </c>
      <c r="O5001" s="9" t="s">
        <v>43</v>
      </c>
      <c r="P5001" s="9" t="n">
        <v>1.1</v>
      </c>
      <c r="Q5001" s="9" t="n">
        <v>13</v>
      </c>
      <c r="R5001" s="9" t="s">
        <v>44</v>
      </c>
      <c r="S5001" s="9"/>
      <c r="T5001" s="9"/>
      <c r="U5001" s="9" t="str">
        <f aca="false">IF(COUNTIF($A$2:$A$5001,A5001)&gt;1,"Duplicate","Unique")</f>
        <v>Unique</v>
      </c>
      <c r="V5001" s="9" t="str">
        <f aca="false">IF(COUNTIFS($B$2:$B$5001,B5001,$H$2:$H$5001,H5001,$J$2:$J$5001,J5001)&gt;1,"Possible Duplicate Booking","Unique")</f>
        <v>Unique</v>
      </c>
      <c r="W5001" s="9" t="str">
        <f aca="false">IF((H5001-G5001)&lt;&gt;K5001,"Mismatch","OK")</f>
        <v>OK</v>
      </c>
      <c r="X5001" s="9" t="str">
        <f aca="false">IF(TEXT(H5001,"dddd")&lt;&gt;I5001,"Mismatch","OK")</f>
        <v>OK</v>
      </c>
      <c r="Y5001" s="9" t="str">
        <f aca="false">IF(AND(N5001="No",O5001&lt;&gt;""),"Unexpected: channel present but no reminder sent",IF(AND(N5001="Yes",O5001=""),"Missing channel for sent reminder","OK"))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6762</v>
      </c>
    </row>
    <row r="4" customFormat="false" ht="15" hidden="false" customHeight="false" outlineLevel="0" collapsed="false">
      <c r="A4" s="11" t="s">
        <v>6763</v>
      </c>
      <c r="B4" s="12" t="n">
        <f aca="false">ROWS(Raw_Data!A2:A5001)</f>
        <v>5000</v>
      </c>
    </row>
    <row r="6" customFormat="false" ht="15" hidden="false" customHeight="false" outlineLevel="0" collapsed="false">
      <c r="A6" s="13" t="s">
        <v>6764</v>
      </c>
    </row>
    <row r="7" customFormat="false" ht="15" hidden="false" customHeight="false" outlineLevel="0" collapsed="false">
      <c r="A7" s="14" t="s">
        <v>6765</v>
      </c>
      <c r="B7" s="14" t="s">
        <v>6766</v>
      </c>
      <c r="C7" s="14" t="s">
        <v>6767</v>
      </c>
      <c r="D7" s="14" t="s">
        <v>6768</v>
      </c>
      <c r="E7" s="14" t="s">
        <v>6769</v>
      </c>
      <c r="F7" s="14" t="s">
        <v>6770</v>
      </c>
    </row>
    <row r="8" customFormat="false" ht="15" hidden="false" customHeight="false" outlineLevel="0" collapsed="false">
      <c r="A8" s="15" t="s">
        <v>10</v>
      </c>
      <c r="B8" s="15" t="s">
        <v>6771</v>
      </c>
      <c r="C8" s="15" t="n">
        <f aca="false">COUNTA(Raw_Data!A2:A5001)</f>
        <v>5000</v>
      </c>
      <c r="D8" s="15" t="n">
        <f aca="false">$B$4-C8</f>
        <v>0</v>
      </c>
      <c r="E8" s="16" t="n">
        <f aca="false">D8/$B$4</f>
        <v>0</v>
      </c>
      <c r="F8" s="15" t="s">
        <v>6772</v>
      </c>
    </row>
    <row r="9" customFormat="false" ht="15" hidden="false" customHeight="false" outlineLevel="0" collapsed="false">
      <c r="A9" s="17" t="s">
        <v>11</v>
      </c>
      <c r="B9" s="17" t="s">
        <v>6773</v>
      </c>
      <c r="C9" s="17" t="n">
        <f aca="false">COUNTA(Raw_Data!B2:B5001)</f>
        <v>5000</v>
      </c>
      <c r="D9" s="17" t="n">
        <f aca="false">$B$4-C9</f>
        <v>0</v>
      </c>
      <c r="E9" s="18" t="n">
        <f aca="false">D9/$B$4</f>
        <v>0</v>
      </c>
      <c r="F9" s="17" t="s">
        <v>6774</v>
      </c>
    </row>
    <row r="10" customFormat="false" ht="15" hidden="false" customHeight="false" outlineLevel="0" collapsed="false">
      <c r="A10" s="15" t="s">
        <v>12</v>
      </c>
      <c r="B10" s="15" t="s">
        <v>6775</v>
      </c>
      <c r="C10" s="15" t="n">
        <f aca="false">COUNTA(Raw_Data!C2:C5001)</f>
        <v>5000</v>
      </c>
      <c r="D10" s="15" t="n">
        <f aca="false">$B$4-C10</f>
        <v>0</v>
      </c>
      <c r="E10" s="16" t="n">
        <f aca="false">D10/$B$4</f>
        <v>0</v>
      </c>
      <c r="F10" s="15" t="s">
        <v>6776</v>
      </c>
    </row>
    <row r="11" customFormat="false" ht="15" hidden="false" customHeight="false" outlineLevel="0" collapsed="false">
      <c r="A11" s="17" t="s">
        <v>13</v>
      </c>
      <c r="B11" s="17" t="s">
        <v>6777</v>
      </c>
      <c r="C11" s="17" t="n">
        <f aca="false">COUNTA(Raw_Data!D2:D5001)</f>
        <v>5000</v>
      </c>
      <c r="D11" s="17" t="n">
        <f aca="false">$B$4-C11</f>
        <v>0</v>
      </c>
      <c r="E11" s="18" t="n">
        <f aca="false">D11/$B$4</f>
        <v>0</v>
      </c>
      <c r="F11" s="17"/>
    </row>
    <row r="12" customFormat="false" ht="15" hidden="false" customHeight="false" outlineLevel="0" collapsed="false">
      <c r="A12" s="15" t="s">
        <v>14</v>
      </c>
      <c r="B12" s="15" t="s">
        <v>6778</v>
      </c>
      <c r="C12" s="15" t="n">
        <f aca="false">COUNTA(Raw_Data!E2:E5001)</f>
        <v>5000</v>
      </c>
      <c r="D12" s="15" t="n">
        <f aca="false">$B$4-C12</f>
        <v>0</v>
      </c>
      <c r="E12" s="16" t="n">
        <f aca="false">D12/$B$4</f>
        <v>0</v>
      </c>
      <c r="F12" s="15" t="s">
        <v>6779</v>
      </c>
    </row>
    <row r="13" customFormat="false" ht="15" hidden="false" customHeight="false" outlineLevel="0" collapsed="false">
      <c r="A13" s="17" t="s">
        <v>15</v>
      </c>
      <c r="B13" s="17" t="s">
        <v>6780</v>
      </c>
      <c r="C13" s="17" t="n">
        <f aca="false">COUNTA(Raw_Data!F2:F5001)</f>
        <v>5000</v>
      </c>
      <c r="D13" s="17" t="n">
        <f aca="false">$B$4-C13</f>
        <v>0</v>
      </c>
      <c r="E13" s="18" t="n">
        <f aca="false">D13/$B$4</f>
        <v>0</v>
      </c>
      <c r="F13" s="17"/>
    </row>
    <row r="14" customFormat="false" ht="15" hidden="false" customHeight="false" outlineLevel="0" collapsed="false">
      <c r="A14" s="15" t="s">
        <v>16</v>
      </c>
      <c r="B14" s="15" t="s">
        <v>6781</v>
      </c>
      <c r="C14" s="15" t="n">
        <f aca="false">COUNTA(Raw_Data!G2:G5001)</f>
        <v>5000</v>
      </c>
      <c r="D14" s="15" t="n">
        <f aca="false">$B$4-C14</f>
        <v>0</v>
      </c>
      <c r="E14" s="16" t="n">
        <f aca="false">D14/$B$4</f>
        <v>0</v>
      </c>
      <c r="F14" s="15"/>
    </row>
    <row r="15" customFormat="false" ht="15" hidden="false" customHeight="false" outlineLevel="0" collapsed="false">
      <c r="A15" s="17" t="s">
        <v>17</v>
      </c>
      <c r="B15" s="17" t="s">
        <v>6782</v>
      </c>
      <c r="C15" s="17" t="n">
        <f aca="false">COUNTA(Raw_Data!H2:H5001)</f>
        <v>5000</v>
      </c>
      <c r="D15" s="17" t="n">
        <f aca="false">$B$4-C15</f>
        <v>0</v>
      </c>
      <c r="E15" s="18" t="n">
        <f aca="false">D15/$B$4</f>
        <v>0</v>
      </c>
      <c r="F15" s="17"/>
    </row>
    <row r="16" customFormat="false" ht="15" hidden="false" customHeight="false" outlineLevel="0" collapsed="false">
      <c r="A16" s="15" t="s">
        <v>18</v>
      </c>
      <c r="B16" s="15" t="s">
        <v>6783</v>
      </c>
      <c r="C16" s="15" t="n">
        <f aca="false">COUNTA(Raw_Data!I2:I5001)</f>
        <v>5000</v>
      </c>
      <c r="D16" s="15" t="n">
        <f aca="false">$B$4-C16</f>
        <v>0</v>
      </c>
      <c r="E16" s="16" t="n">
        <f aca="false">D16/$B$4</f>
        <v>0</v>
      </c>
      <c r="F16" s="15" t="s">
        <v>6784</v>
      </c>
    </row>
    <row r="17" customFormat="false" ht="15" hidden="false" customHeight="false" outlineLevel="0" collapsed="false">
      <c r="A17" s="17" t="s">
        <v>19</v>
      </c>
      <c r="B17" s="17" t="s">
        <v>6785</v>
      </c>
      <c r="C17" s="17" t="n">
        <f aca="false">COUNTA(Raw_Data!J2:J5001)</f>
        <v>5000</v>
      </c>
      <c r="D17" s="17" t="n">
        <f aca="false">$B$4-C17</f>
        <v>0</v>
      </c>
      <c r="E17" s="18" t="n">
        <f aca="false">D17/$B$4</f>
        <v>0</v>
      </c>
      <c r="F17" s="17"/>
    </row>
    <row r="18" customFormat="false" ht="15" hidden="false" customHeight="false" outlineLevel="0" collapsed="false">
      <c r="A18" s="15" t="s">
        <v>20</v>
      </c>
      <c r="B18" s="15" t="s">
        <v>6786</v>
      </c>
      <c r="C18" s="15" t="n">
        <f aca="false">COUNTA(Raw_Data!K2:K5001)</f>
        <v>5000</v>
      </c>
      <c r="D18" s="15" t="n">
        <f aca="false">$B$4-C18</f>
        <v>0</v>
      </c>
      <c r="E18" s="16" t="n">
        <f aca="false">D18/$B$4</f>
        <v>0</v>
      </c>
      <c r="F18" s="15"/>
    </row>
    <row r="19" customFormat="false" ht="15" hidden="false" customHeight="false" outlineLevel="0" collapsed="false">
      <c r="A19" s="17" t="s">
        <v>21</v>
      </c>
      <c r="B19" s="17" t="s">
        <v>6787</v>
      </c>
      <c r="C19" s="17" t="n">
        <f aca="false">COUNTA(Raw_Data!L2:L5001)</f>
        <v>5000</v>
      </c>
      <c r="D19" s="17" t="n">
        <f aca="false">$B$4-C19</f>
        <v>0</v>
      </c>
      <c r="E19" s="18" t="n">
        <f aca="false">D19/$B$4</f>
        <v>0</v>
      </c>
      <c r="F19" s="17"/>
    </row>
    <row r="20" customFormat="false" ht="15" hidden="false" customHeight="false" outlineLevel="0" collapsed="false">
      <c r="A20" s="15" t="s">
        <v>22</v>
      </c>
      <c r="B20" s="15" t="s">
        <v>6788</v>
      </c>
      <c r="C20" s="15" t="n">
        <f aca="false">COUNTA(Raw_Data!M2:M5001)</f>
        <v>5000</v>
      </c>
      <c r="D20" s="15" t="n">
        <f aca="false">$B$4-C20</f>
        <v>0</v>
      </c>
      <c r="E20" s="16" t="n">
        <f aca="false">D20/$B$4</f>
        <v>0</v>
      </c>
      <c r="F20" s="15"/>
    </row>
    <row r="21" customFormat="false" ht="15" hidden="false" customHeight="false" outlineLevel="0" collapsed="false">
      <c r="A21" s="17" t="s">
        <v>23</v>
      </c>
      <c r="B21" s="17" t="s">
        <v>6789</v>
      </c>
      <c r="C21" s="17" t="n">
        <f aca="false">COUNTA(Raw_Data!N2:N5001)</f>
        <v>5000</v>
      </c>
      <c r="D21" s="17" t="n">
        <f aca="false">$B$4-C21</f>
        <v>0</v>
      </c>
      <c r="E21" s="18" t="n">
        <f aca="false">D21/$B$4</f>
        <v>0</v>
      </c>
      <c r="F21" s="17"/>
    </row>
    <row r="22" customFormat="false" ht="23.85" hidden="false" customHeight="false" outlineLevel="0" collapsed="false">
      <c r="A22" s="15" t="s">
        <v>24</v>
      </c>
      <c r="B22" s="15" t="s">
        <v>6790</v>
      </c>
      <c r="C22" s="15" t="n">
        <f aca="false">COUNTA(Raw_Data!O2:O5001)</f>
        <v>3634</v>
      </c>
      <c r="D22" s="15" t="n">
        <f aca="false">$B$4-C22</f>
        <v>1366</v>
      </c>
      <c r="E22" s="16" t="n">
        <f aca="false">D22/$B$4</f>
        <v>0.2732</v>
      </c>
      <c r="F22" s="15" t="s">
        <v>6791</v>
      </c>
    </row>
    <row r="23" customFormat="false" ht="23.85" hidden="false" customHeight="false" outlineLevel="0" collapsed="false">
      <c r="A23" s="17" t="s">
        <v>25</v>
      </c>
      <c r="B23" s="17" t="s">
        <v>6792</v>
      </c>
      <c r="C23" s="17" t="n">
        <f aca="false">COUNTA(Raw_Data!P2:P5001)</f>
        <v>4910</v>
      </c>
      <c r="D23" s="17" t="n">
        <f aca="false">$B$4-C23</f>
        <v>90</v>
      </c>
      <c r="E23" s="18" t="n">
        <f aca="false">D23/$B$4</f>
        <v>0.018</v>
      </c>
      <c r="F23" s="17" t="s">
        <v>6793</v>
      </c>
    </row>
    <row r="24" customFormat="false" ht="15" hidden="false" customHeight="false" outlineLevel="0" collapsed="false">
      <c r="A24" s="15" t="s">
        <v>26</v>
      </c>
      <c r="B24" s="15" t="s">
        <v>6794</v>
      </c>
      <c r="C24" s="15" t="n">
        <f aca="false">COUNTA(Raw_Data!Q2:Q5001)</f>
        <v>4940</v>
      </c>
      <c r="D24" s="15" t="n">
        <f aca="false">$B$4-C24</f>
        <v>60</v>
      </c>
      <c r="E24" s="16" t="n">
        <f aca="false">D24/$B$4</f>
        <v>0.012</v>
      </c>
      <c r="F24" s="15" t="s">
        <v>6795</v>
      </c>
    </row>
    <row r="25" customFormat="false" ht="23.85" hidden="false" customHeight="false" outlineLevel="0" collapsed="false">
      <c r="A25" s="17" t="s">
        <v>27</v>
      </c>
      <c r="B25" s="17" t="s">
        <v>6796</v>
      </c>
      <c r="C25" s="17" t="n">
        <f aca="false">COUNTA(Raw_Data!R2:R5001)</f>
        <v>5000</v>
      </c>
      <c r="D25" s="17" t="n">
        <f aca="false">$B$4-C25</f>
        <v>0</v>
      </c>
      <c r="E25" s="18" t="n">
        <f aca="false">D25/$B$4</f>
        <v>0</v>
      </c>
      <c r="F25" s="17" t="s">
        <v>6797</v>
      </c>
    </row>
    <row r="26" customFormat="false" ht="23.85" hidden="false" customHeight="false" outlineLevel="0" collapsed="false">
      <c r="A26" s="15" t="s">
        <v>28</v>
      </c>
      <c r="B26" s="15" t="s">
        <v>6798</v>
      </c>
      <c r="C26" s="15" t="n">
        <f aca="false">COUNTA(Raw_Data!S2:S5001)</f>
        <v>0</v>
      </c>
      <c r="D26" s="15" t="n">
        <f aca="false">$B$4-C26</f>
        <v>5000</v>
      </c>
      <c r="E26" s="16" t="n">
        <f aca="false">D26/$B$4</f>
        <v>1</v>
      </c>
      <c r="F26" s="15" t="s">
        <v>6799</v>
      </c>
    </row>
    <row r="27" customFormat="false" ht="23.85" hidden="false" customHeight="false" outlineLevel="0" collapsed="false">
      <c r="A27" s="17" t="s">
        <v>29</v>
      </c>
      <c r="B27" s="17" t="s">
        <v>6800</v>
      </c>
      <c r="C27" s="17" t="n">
        <f aca="false">COUNTA(Raw_Data!T2:T5001)</f>
        <v>1</v>
      </c>
      <c r="D27" s="17" t="n">
        <f aca="false">$B$4-C27</f>
        <v>4999</v>
      </c>
      <c r="E27" s="18" t="n">
        <f aca="false">D27/$B$4</f>
        <v>0.9998</v>
      </c>
      <c r="F27" s="17" t="s">
        <v>6801</v>
      </c>
    </row>
    <row r="30" customFormat="false" ht="15" hidden="false" customHeight="false" outlineLevel="0" collapsed="false">
      <c r="A30" s="13" t="s">
        <v>6802</v>
      </c>
    </row>
    <row r="31" customFormat="false" ht="15" hidden="false" customHeight="false" outlineLevel="0" collapsed="false">
      <c r="A31" s="14" t="s">
        <v>6803</v>
      </c>
      <c r="B31" s="14" t="s">
        <v>6804</v>
      </c>
      <c r="C31" s="14" t="s">
        <v>6805</v>
      </c>
      <c r="D31" s="14" t="s">
        <v>6770</v>
      </c>
    </row>
    <row r="32" customFormat="false" ht="57.45" hidden="false" customHeight="false" outlineLevel="0" collapsed="false">
      <c r="A32" s="19" t="s">
        <v>6806</v>
      </c>
      <c r="B32" s="19" t="n">
        <f aca="false">COUNTIF(Raw_Data!U2:U5001,"Duplicate")</f>
        <v>0</v>
      </c>
      <c r="C32" s="20" t="n">
        <f aca="false">B32/$B$4</f>
        <v>0</v>
      </c>
      <c r="D32" s="19" t="s">
        <v>6807</v>
      </c>
    </row>
    <row r="33" customFormat="false" ht="57.45" hidden="false" customHeight="false" outlineLevel="0" collapsed="false">
      <c r="A33" s="19" t="s">
        <v>6808</v>
      </c>
      <c r="B33" s="19" t="n">
        <f aca="false">COUNTIF(Raw_Data!V2:V5001,"Possible Duplicate Booking")</f>
        <v>18</v>
      </c>
      <c r="C33" s="20" t="n">
        <f aca="false">B33/$B$4</f>
        <v>0.0036</v>
      </c>
      <c r="D33" s="19" t="s">
        <v>6809</v>
      </c>
    </row>
    <row r="35" customFormat="false" ht="15" hidden="false" customHeight="false" outlineLevel="0" collapsed="false">
      <c r="A35" s="13" t="s">
        <v>6810</v>
      </c>
    </row>
    <row r="36" customFormat="false" ht="15" hidden="false" customHeight="false" outlineLevel="0" collapsed="false">
      <c r="A36" s="12" t="s">
        <v>12</v>
      </c>
    </row>
    <row r="37" customFormat="false" ht="15" hidden="false" customHeight="false" outlineLevel="0" collapsed="false">
      <c r="A37" s="21" t="s">
        <v>6811</v>
      </c>
      <c r="B37" s="21" t="s">
        <v>6804</v>
      </c>
      <c r="C37" s="21" t="s">
        <v>6805</v>
      </c>
    </row>
    <row r="38" customFormat="false" ht="15" hidden="false" customHeight="false" outlineLevel="0" collapsed="false">
      <c r="A38" s="22" t="s">
        <v>37</v>
      </c>
      <c r="B38" s="22" t="n">
        <f aca="false">COUNTIF(Raw_Data!C2:C5001,"Female")</f>
        <v>2488</v>
      </c>
      <c r="C38" s="23" t="n">
        <f aca="false">B38/$B$4</f>
        <v>0.4976</v>
      </c>
    </row>
    <row r="39" customFormat="false" ht="15" hidden="false" customHeight="false" outlineLevel="0" collapsed="false">
      <c r="A39" s="24" t="s">
        <v>47</v>
      </c>
      <c r="B39" s="24" t="n">
        <f aca="false">COUNTIF(Raw_Data!C2:C5001,"Male")</f>
        <v>2404</v>
      </c>
      <c r="C39" s="25" t="n">
        <f aca="false">B39/$B$4</f>
        <v>0.4808</v>
      </c>
    </row>
    <row r="40" customFormat="false" ht="15" hidden="false" customHeight="false" outlineLevel="0" collapsed="false">
      <c r="A40" s="22" t="s">
        <v>236</v>
      </c>
      <c r="B40" s="22" t="n">
        <f aca="false">COUNTIF(Raw_Data!C2:C5001,"Prefer not to say")</f>
        <v>108</v>
      </c>
      <c r="C40" s="23" t="n">
        <f aca="false">B40/$B$4</f>
        <v>0.0216</v>
      </c>
    </row>
    <row r="42" customFormat="false" ht="15" hidden="false" customHeight="false" outlineLevel="0" collapsed="false">
      <c r="A42" s="12" t="s">
        <v>14</v>
      </c>
    </row>
    <row r="43" customFormat="false" ht="15" hidden="false" customHeight="false" outlineLevel="0" collapsed="false">
      <c r="A43" s="21" t="s">
        <v>6811</v>
      </c>
      <c r="B43" s="21" t="s">
        <v>6804</v>
      </c>
      <c r="C43" s="21" t="s">
        <v>6805</v>
      </c>
    </row>
    <row r="44" customFormat="false" ht="15" hidden="false" customHeight="false" outlineLevel="0" collapsed="false">
      <c r="A44" s="22" t="s">
        <v>82</v>
      </c>
      <c r="B44" s="22" t="n">
        <f aca="false">COUNTIF(Raw_Data!E2:E5001,"18-24")</f>
        <v>564</v>
      </c>
      <c r="C44" s="23" t="n">
        <f aca="false">B44/$B$4</f>
        <v>0.1128</v>
      </c>
    </row>
    <row r="45" customFormat="false" ht="15" hidden="false" customHeight="false" outlineLevel="0" collapsed="false">
      <c r="A45" s="24" t="s">
        <v>48</v>
      </c>
      <c r="B45" s="24" t="n">
        <f aca="false">COUNTIF(Raw_Data!E2:E5001,"25-34")</f>
        <v>783</v>
      </c>
      <c r="C45" s="25" t="n">
        <f aca="false">B45/$B$4</f>
        <v>0.1566</v>
      </c>
    </row>
    <row r="46" customFormat="false" ht="15" hidden="false" customHeight="false" outlineLevel="0" collapsed="false">
      <c r="A46" s="22" t="s">
        <v>38</v>
      </c>
      <c r="B46" s="22" t="n">
        <f aca="false">COUNTIF(Raw_Data!E2:E5001,"35-44")</f>
        <v>819</v>
      </c>
      <c r="C46" s="23" t="n">
        <f aca="false">B46/$B$4</f>
        <v>0.1638</v>
      </c>
    </row>
    <row r="47" customFormat="false" ht="15" hidden="false" customHeight="false" outlineLevel="0" collapsed="false">
      <c r="A47" s="24" t="s">
        <v>56</v>
      </c>
      <c r="B47" s="24" t="n">
        <f aca="false">COUNTIF(Raw_Data!E2:E5001,"45-54")</f>
        <v>793</v>
      </c>
      <c r="C47" s="25" t="n">
        <f aca="false">B47/$B$4</f>
        <v>0.1586</v>
      </c>
    </row>
    <row r="48" customFormat="false" ht="15" hidden="false" customHeight="false" outlineLevel="0" collapsed="false">
      <c r="A48" s="22" t="s">
        <v>61</v>
      </c>
      <c r="B48" s="22" t="n">
        <f aca="false">COUNTIF(Raw_Data!E2:E5001,"55-64")</f>
        <v>800</v>
      </c>
      <c r="C48" s="23" t="n">
        <f aca="false">B48/$B$4</f>
        <v>0.16</v>
      </c>
    </row>
    <row r="49" customFormat="false" ht="15" hidden="false" customHeight="false" outlineLevel="0" collapsed="false">
      <c r="A49" s="24" t="s">
        <v>70</v>
      </c>
      <c r="B49" s="24" t="n">
        <f aca="false">COUNTIF(Raw_Data!E2:E5001,"65+")</f>
        <v>1241</v>
      </c>
      <c r="C49" s="25" t="n">
        <f aca="false">B49/$B$4</f>
        <v>0.2482</v>
      </c>
    </row>
    <row r="51" customFormat="false" ht="15" hidden="false" customHeight="false" outlineLevel="0" collapsed="false">
      <c r="A51" s="12" t="s">
        <v>15</v>
      </c>
    </row>
    <row r="52" customFormat="false" ht="15" hidden="false" customHeight="false" outlineLevel="0" collapsed="false">
      <c r="A52" s="21" t="s">
        <v>6811</v>
      </c>
      <c r="B52" s="21" t="s">
        <v>6804</v>
      </c>
      <c r="C52" s="21" t="s">
        <v>6805</v>
      </c>
    </row>
    <row r="53" customFormat="false" ht="15" hidden="false" customHeight="false" outlineLevel="0" collapsed="false">
      <c r="A53" s="22" t="s">
        <v>39</v>
      </c>
      <c r="B53" s="22" t="n">
        <f aca="false">COUNTIF(Raw_Data!F2:F5001,"Follow-up")</f>
        <v>1421</v>
      </c>
      <c r="C53" s="23" t="n">
        <f aca="false">B53/$B$4</f>
        <v>0.2842</v>
      </c>
    </row>
    <row r="54" customFormat="false" ht="15" hidden="false" customHeight="false" outlineLevel="0" collapsed="false">
      <c r="A54" s="24" t="s">
        <v>49</v>
      </c>
      <c r="B54" s="24" t="n">
        <f aca="false">COUNTIF(Raw_Data!F2:F5001,"Specialist Consultation")</f>
        <v>900</v>
      </c>
      <c r="C54" s="25" t="n">
        <f aca="false">B54/$B$4</f>
        <v>0.18</v>
      </c>
    </row>
    <row r="55" customFormat="false" ht="15" hidden="false" customHeight="false" outlineLevel="0" collapsed="false">
      <c r="A55" s="22" t="s">
        <v>57</v>
      </c>
      <c r="B55" s="22" t="n">
        <f aca="false">COUNTIF(Raw_Data!F2:F5001,"General Consultation")</f>
        <v>2086</v>
      </c>
      <c r="C55" s="23" t="n">
        <f aca="false">B55/$B$4</f>
        <v>0.4172</v>
      </c>
    </row>
    <row r="56" customFormat="false" ht="15" hidden="false" customHeight="false" outlineLevel="0" collapsed="false">
      <c r="A56" s="24" t="s">
        <v>74</v>
      </c>
      <c r="B56" s="24" t="n">
        <f aca="false">COUNTIF(Raw_Data!F2:F5001,"Diagnostic Test")</f>
        <v>593</v>
      </c>
      <c r="C56" s="25" t="n">
        <f aca="false">B56/$B$4</f>
        <v>0.1186</v>
      </c>
    </row>
    <row r="58" customFormat="false" ht="15" hidden="false" customHeight="false" outlineLevel="0" collapsed="false">
      <c r="A58" s="12" t="s">
        <v>18</v>
      </c>
    </row>
    <row r="59" customFormat="false" ht="15" hidden="false" customHeight="false" outlineLevel="0" collapsed="false">
      <c r="A59" s="21" t="s">
        <v>6811</v>
      </c>
      <c r="B59" s="21" t="s">
        <v>6804</v>
      </c>
      <c r="C59" s="21" t="s">
        <v>6805</v>
      </c>
    </row>
    <row r="60" customFormat="false" ht="15" hidden="false" customHeight="false" outlineLevel="0" collapsed="false">
      <c r="A60" s="22" t="s">
        <v>66</v>
      </c>
      <c r="B60" s="22" t="n">
        <f aca="false">COUNTIF(Raw_Data!I2:I5001,"Monday")</f>
        <v>701</v>
      </c>
      <c r="C60" s="23" t="n">
        <f aca="false">B60/$B$4</f>
        <v>0.1402</v>
      </c>
    </row>
    <row r="61" customFormat="false" ht="15" hidden="false" customHeight="false" outlineLevel="0" collapsed="false">
      <c r="A61" s="24" t="s">
        <v>40</v>
      </c>
      <c r="B61" s="24" t="n">
        <f aca="false">COUNTIF(Raw_Data!I2:I5001,"Tuesday")</f>
        <v>689</v>
      </c>
      <c r="C61" s="25" t="n">
        <f aca="false">B61/$B$4</f>
        <v>0.1378</v>
      </c>
    </row>
    <row r="62" customFormat="false" ht="15" hidden="false" customHeight="false" outlineLevel="0" collapsed="false">
      <c r="A62" s="22" t="s">
        <v>58</v>
      </c>
      <c r="B62" s="22" t="n">
        <f aca="false">COUNTIF(Raw_Data!I2:I5001,"Wednesday")</f>
        <v>737</v>
      </c>
      <c r="C62" s="23" t="n">
        <f aca="false">B62/$B$4</f>
        <v>0.1474</v>
      </c>
    </row>
    <row r="63" customFormat="false" ht="15" hidden="false" customHeight="false" outlineLevel="0" collapsed="false">
      <c r="A63" s="24" t="s">
        <v>62</v>
      </c>
      <c r="B63" s="24" t="n">
        <f aca="false">COUNTIF(Raw_Data!I2:I5001,"Thursday")</f>
        <v>684</v>
      </c>
      <c r="C63" s="25" t="n">
        <f aca="false">B63/$B$4</f>
        <v>0.1368</v>
      </c>
    </row>
    <row r="64" customFormat="false" ht="15" hidden="false" customHeight="false" outlineLevel="0" collapsed="false">
      <c r="A64" s="22" t="s">
        <v>50</v>
      </c>
      <c r="B64" s="22" t="n">
        <f aca="false">COUNTIF(Raw_Data!I2:I5001,"Friday")</f>
        <v>728</v>
      </c>
      <c r="C64" s="23" t="n">
        <f aca="false">B64/$B$4</f>
        <v>0.1456</v>
      </c>
    </row>
    <row r="65" customFormat="false" ht="15" hidden="false" customHeight="false" outlineLevel="0" collapsed="false">
      <c r="A65" s="24" t="s">
        <v>102</v>
      </c>
      <c r="B65" s="24" t="n">
        <f aca="false">COUNTIF(Raw_Data!I2:I5001,"Saturday")</f>
        <v>724</v>
      </c>
      <c r="C65" s="25" t="n">
        <f aca="false">B65/$B$4</f>
        <v>0.1448</v>
      </c>
    </row>
    <row r="66" customFormat="false" ht="15" hidden="false" customHeight="false" outlineLevel="0" collapsed="false">
      <c r="A66" s="22" t="s">
        <v>75</v>
      </c>
      <c r="B66" s="22" t="n">
        <f aca="false">COUNTIF(Raw_Data!I2:I5001,"Sunday")</f>
        <v>737</v>
      </c>
      <c r="C66" s="23" t="n">
        <f aca="false">B66/$B$4</f>
        <v>0.1474</v>
      </c>
    </row>
    <row r="68" customFormat="false" ht="15" hidden="false" customHeight="false" outlineLevel="0" collapsed="false">
      <c r="A68" s="12" t="s">
        <v>19</v>
      </c>
    </row>
    <row r="69" customFormat="false" ht="15" hidden="false" customHeight="false" outlineLevel="0" collapsed="false">
      <c r="A69" s="21" t="s">
        <v>6811</v>
      </c>
      <c r="B69" s="21" t="s">
        <v>6804</v>
      </c>
      <c r="C69" s="21" t="s">
        <v>6805</v>
      </c>
    </row>
    <row r="70" customFormat="false" ht="15" hidden="false" customHeight="false" outlineLevel="0" collapsed="false">
      <c r="A70" s="22" t="s">
        <v>51</v>
      </c>
      <c r="B70" s="22" t="n">
        <f aca="false">COUNTIF(Raw_Data!J2:J5001,"Morning")</f>
        <v>2227</v>
      </c>
      <c r="C70" s="23" t="n">
        <f aca="false">B70/$B$4</f>
        <v>0.4454</v>
      </c>
    </row>
    <row r="71" customFormat="false" ht="15" hidden="false" customHeight="false" outlineLevel="0" collapsed="false">
      <c r="A71" s="24" t="s">
        <v>41</v>
      </c>
      <c r="B71" s="24" t="n">
        <f aca="false">COUNTIF(Raw_Data!J2:J5001,"Afternoon")</f>
        <v>2094</v>
      </c>
      <c r="C71" s="25" t="n">
        <f aca="false">B71/$B$4</f>
        <v>0.4188</v>
      </c>
    </row>
    <row r="72" customFormat="false" ht="15" hidden="false" customHeight="false" outlineLevel="0" collapsed="false">
      <c r="A72" s="22" t="s">
        <v>63</v>
      </c>
      <c r="B72" s="22" t="n">
        <f aca="false">COUNTIF(Raw_Data!J2:J5001,"Evening")</f>
        <v>679</v>
      </c>
      <c r="C72" s="23" t="n">
        <f aca="false">B72/$B$4</f>
        <v>0.1358</v>
      </c>
    </row>
    <row r="74" customFormat="false" ht="15" hidden="false" customHeight="false" outlineLevel="0" collapsed="false">
      <c r="A74" s="12" t="s">
        <v>23</v>
      </c>
    </row>
    <row r="75" customFormat="false" ht="15" hidden="false" customHeight="false" outlineLevel="0" collapsed="false">
      <c r="A75" s="21" t="s">
        <v>6811</v>
      </c>
      <c r="B75" s="21" t="s">
        <v>6804</v>
      </c>
      <c r="C75" s="21" t="s">
        <v>6805</v>
      </c>
    </row>
    <row r="76" customFormat="false" ht="15" hidden="false" customHeight="false" outlineLevel="0" collapsed="false">
      <c r="A76" s="22" t="s">
        <v>42</v>
      </c>
      <c r="B76" s="22" t="n">
        <f aca="false">COUNTIF(Raw_Data!N2:N5001,"Yes")</f>
        <v>3634</v>
      </c>
      <c r="C76" s="23" t="n">
        <f aca="false">B76/$B$4</f>
        <v>0.7268</v>
      </c>
    </row>
    <row r="77" customFormat="false" ht="15" hidden="false" customHeight="false" outlineLevel="0" collapsed="false">
      <c r="A77" s="24" t="s">
        <v>71</v>
      </c>
      <c r="B77" s="24" t="n">
        <f aca="false">COUNTIF(Raw_Data!N2:N5001,"No")</f>
        <v>1366</v>
      </c>
      <c r="C77" s="25" t="n">
        <f aca="false">B77/$B$4</f>
        <v>0.2732</v>
      </c>
    </row>
    <row r="79" customFormat="false" ht="15" hidden="false" customHeight="false" outlineLevel="0" collapsed="false">
      <c r="A79" s="12" t="s">
        <v>24</v>
      </c>
    </row>
    <row r="80" customFormat="false" ht="15" hidden="false" customHeight="false" outlineLevel="0" collapsed="false">
      <c r="A80" s="21" t="s">
        <v>6811</v>
      </c>
      <c r="B80" s="21" t="s">
        <v>6804</v>
      </c>
      <c r="C80" s="21" t="s">
        <v>6805</v>
      </c>
    </row>
    <row r="81" customFormat="false" ht="15" hidden="false" customHeight="false" outlineLevel="0" collapsed="false">
      <c r="A81" s="22" t="s">
        <v>52</v>
      </c>
      <c r="B81" s="22" t="n">
        <f aca="false">COUNTIF(Raw_Data!O2:O5001,"SMS")</f>
        <v>2000</v>
      </c>
      <c r="C81" s="23" t="n">
        <f aca="false">B81/$B$4</f>
        <v>0.4</v>
      </c>
    </row>
    <row r="82" customFormat="false" ht="15" hidden="false" customHeight="false" outlineLevel="0" collapsed="false">
      <c r="A82" s="24" t="s">
        <v>43</v>
      </c>
      <c r="B82" s="24" t="n">
        <f aca="false">COUNTIF(Raw_Data!O2:O5001,"WhatsApp")</f>
        <v>1101</v>
      </c>
      <c r="C82" s="25" t="n">
        <f aca="false">B82/$B$4</f>
        <v>0.2202</v>
      </c>
    </row>
    <row r="83" customFormat="false" ht="15" hidden="false" customHeight="false" outlineLevel="0" collapsed="false">
      <c r="A83" s="22" t="s">
        <v>67</v>
      </c>
      <c r="B83" s="22" t="n">
        <f aca="false">COUNTIF(Raw_Data!O2:O5001,"Email")</f>
        <v>533</v>
      </c>
      <c r="C83" s="23" t="n">
        <f aca="false">B83/$B$4</f>
        <v>0.1066</v>
      </c>
    </row>
    <row r="84" customFormat="false" ht="15" hidden="false" customHeight="false" outlineLevel="0" collapsed="false">
      <c r="A84" s="26" t="s">
        <v>6812</v>
      </c>
      <c r="B84" s="26" t="n">
        <f aca="false">$B$4-COUNTA(Raw_Data!O2:O5001)</f>
        <v>1366</v>
      </c>
      <c r="C84" s="27" t="n">
        <f aca="false">B84/$B$4</f>
        <v>0.2732</v>
      </c>
    </row>
    <row r="86" customFormat="false" ht="15" hidden="false" customHeight="false" outlineLevel="0" collapsed="false">
      <c r="A86" s="12" t="s">
        <v>27</v>
      </c>
    </row>
    <row r="87" customFormat="false" ht="15" hidden="false" customHeight="false" outlineLevel="0" collapsed="false">
      <c r="A87" s="21" t="s">
        <v>6811</v>
      </c>
      <c r="B87" s="21" t="s">
        <v>6804</v>
      </c>
      <c r="C87" s="21" t="s">
        <v>6805</v>
      </c>
    </row>
    <row r="88" customFormat="false" ht="15" hidden="false" customHeight="false" outlineLevel="0" collapsed="false">
      <c r="A88" s="22" t="s">
        <v>53</v>
      </c>
      <c r="B88" s="22" t="n">
        <f aca="false">COUNTIF(Raw_Data!R2:R5001,"Attended")</f>
        <v>2314</v>
      </c>
      <c r="C88" s="23" t="n">
        <f aca="false">B88/$B$4</f>
        <v>0.4628</v>
      </c>
    </row>
    <row r="89" customFormat="false" ht="15" hidden="false" customHeight="false" outlineLevel="0" collapsed="false">
      <c r="A89" s="24" t="s">
        <v>44</v>
      </c>
      <c r="B89" s="24" t="n">
        <f aca="false">COUNTIF(Raw_Data!R2:R5001,"No-Show")</f>
        <v>2423</v>
      </c>
      <c r="C89" s="25" t="n">
        <f aca="false">B89/$B$4</f>
        <v>0.4846</v>
      </c>
    </row>
    <row r="90" customFormat="false" ht="15" hidden="false" customHeight="false" outlineLevel="0" collapsed="false">
      <c r="A90" s="22" t="s">
        <v>87</v>
      </c>
      <c r="B90" s="22" t="n">
        <f aca="false">COUNTIF(Raw_Data!R2:R5001,"Cancelled")</f>
        <v>263</v>
      </c>
      <c r="C90" s="23" t="n">
        <f aca="false">B90/$B$4</f>
        <v>0.0526</v>
      </c>
    </row>
    <row r="92" customFormat="false" ht="15" hidden="false" customHeight="false" outlineLevel="0" collapsed="false">
      <c r="A92" s="13" t="s">
        <v>6813</v>
      </c>
    </row>
    <row r="93" customFormat="false" ht="23.85" hidden="false" customHeight="false" outlineLevel="0" collapsed="false">
      <c r="A93" s="5" t="s">
        <v>6814</v>
      </c>
      <c r="B93" s="5" t="s">
        <v>6815</v>
      </c>
      <c r="C93" s="5" t="s">
        <v>6816</v>
      </c>
      <c r="D93" s="5" t="s">
        <v>6817</v>
      </c>
      <c r="E93" s="5" t="s">
        <v>6818</v>
      </c>
      <c r="F93" s="5" t="s">
        <v>6819</v>
      </c>
      <c r="G93" s="5" t="s">
        <v>6820</v>
      </c>
      <c r="H93" s="5" t="s">
        <v>6821</v>
      </c>
      <c r="I93" s="5" t="s">
        <v>6822</v>
      </c>
      <c r="J93" s="5" t="s">
        <v>6823</v>
      </c>
    </row>
    <row r="94" customFormat="false" ht="15" hidden="false" customHeight="false" outlineLevel="0" collapsed="false">
      <c r="A94" s="22" t="s">
        <v>13</v>
      </c>
      <c r="B94" s="22" t="n">
        <f aca="false">MIN(Raw_Data!D2:D5001)</f>
        <v>18</v>
      </c>
      <c r="C94" s="22" t="n">
        <f aca="false">MAX(Raw_Data!D2:D5001)</f>
        <v>80</v>
      </c>
      <c r="D94" s="22" t="n">
        <f aca="false">ROUND(AVERAGE(Raw_Data!D2:D5001),1)</f>
        <v>48.8</v>
      </c>
      <c r="E94" s="22" t="n">
        <f aca="false">QUARTILE(Raw_Data!D2:D5001,1)</f>
        <v>33</v>
      </c>
      <c r="F94" s="22" t="n">
        <f aca="false">QUARTILE(Raw_Data!D2:D5001,3)</f>
        <v>64</v>
      </c>
      <c r="G94" s="22" t="n">
        <f aca="false">ROUND(E94-1.5*(F94-E94),1)</f>
        <v>-13.5</v>
      </c>
      <c r="H94" s="22" t="n">
        <f aca="false">ROUND(F94+1.5*(F94-E94),1)</f>
        <v>110.5</v>
      </c>
      <c r="I94" s="22" t="n">
        <f aca="false">COUNTIF(Raw_Data!D2:D5001,"&lt;"&amp;G94)+COUNTIF(Raw_Data!D2:D5001,"&gt;"&amp;H94)</f>
        <v>0</v>
      </c>
      <c r="J94" s="23" t="n">
        <f aca="false">I94/$B$4</f>
        <v>0</v>
      </c>
    </row>
    <row r="95" customFormat="false" ht="15" hidden="false" customHeight="false" outlineLevel="0" collapsed="false">
      <c r="A95" s="24" t="s">
        <v>20</v>
      </c>
      <c r="B95" s="24" t="n">
        <f aca="false">MIN(Raw_Data!K2:K5001)</f>
        <v>0</v>
      </c>
      <c r="C95" s="24" t="n">
        <f aca="false">MAX(Raw_Data!K2:K5001)</f>
        <v>60</v>
      </c>
      <c r="D95" s="24" t="n">
        <f aca="false">ROUND(AVERAGE(Raw_Data!K2:K5001),1)</f>
        <v>29.6</v>
      </c>
      <c r="E95" s="24" t="n">
        <f aca="false">QUARTILE(Raw_Data!K2:K5001,1)</f>
        <v>15</v>
      </c>
      <c r="F95" s="24" t="n">
        <f aca="false">QUARTILE(Raw_Data!K2:K5001,3)</f>
        <v>45</v>
      </c>
      <c r="G95" s="24" t="n">
        <f aca="false">ROUND(E95-1.5*(F95-E95),1)</f>
        <v>-30</v>
      </c>
      <c r="H95" s="24" t="n">
        <f aca="false">ROUND(F95+1.5*(F95-E95),1)</f>
        <v>90</v>
      </c>
      <c r="I95" s="24" t="n">
        <f aca="false">COUNTIF(Raw_Data!K2:K5001,"&lt;"&amp;G95)+COUNTIF(Raw_Data!K2:K5001,"&gt;"&amp;H95)</f>
        <v>0</v>
      </c>
      <c r="J95" s="25" t="n">
        <f aca="false">I95/$B$4</f>
        <v>0</v>
      </c>
    </row>
    <row r="96" customFormat="false" ht="15" hidden="false" customHeight="false" outlineLevel="0" collapsed="false">
      <c r="A96" s="22" t="s">
        <v>21</v>
      </c>
      <c r="B96" s="22" t="n">
        <f aca="false">MIN(Raw_Data!L2:L5001)</f>
        <v>0</v>
      </c>
      <c r="C96" s="22" t="n">
        <f aca="false">MAX(Raw_Data!L2:L5001)</f>
        <v>11</v>
      </c>
      <c r="D96" s="22" t="n">
        <f aca="false">ROUND(AVERAGE(Raw_Data!L2:L5001),1)</f>
        <v>3</v>
      </c>
      <c r="E96" s="22" t="n">
        <f aca="false">QUARTILE(Raw_Data!L2:L5001,1)</f>
        <v>2</v>
      </c>
      <c r="F96" s="22" t="n">
        <f aca="false">QUARTILE(Raw_Data!L2:L5001,3)</f>
        <v>4</v>
      </c>
      <c r="G96" s="22" t="n">
        <f aca="false">ROUND(E96-1.5*(F96-E96),1)</f>
        <v>-1</v>
      </c>
      <c r="H96" s="22" t="n">
        <f aca="false">ROUND(F96+1.5*(F96-E96),1)</f>
        <v>7</v>
      </c>
      <c r="I96" s="22" t="n">
        <f aca="false">COUNTIF(Raw_Data!L2:L5001,"&lt;"&amp;G96)+COUNTIF(Raw_Data!L2:L5001,"&gt;"&amp;H96)</f>
        <v>64</v>
      </c>
      <c r="J96" s="23" t="n">
        <f aca="false">I96/$B$4</f>
        <v>0.0128</v>
      </c>
    </row>
    <row r="97" customFormat="false" ht="15" hidden="false" customHeight="false" outlineLevel="0" collapsed="false">
      <c r="A97" s="24" t="s">
        <v>22</v>
      </c>
      <c r="B97" s="24" t="n">
        <f aca="false">MIN(Raw_Data!M2:M5001)</f>
        <v>0</v>
      </c>
      <c r="C97" s="24" t="n">
        <f aca="false">MAX(Raw_Data!M2:M5001)</f>
        <v>5</v>
      </c>
      <c r="D97" s="24" t="n">
        <f aca="false">ROUND(AVERAGE(Raw_Data!M2:M5001),1)</f>
        <v>0.5</v>
      </c>
      <c r="E97" s="24" t="n">
        <f aca="false">QUARTILE(Raw_Data!M2:M5001,1)</f>
        <v>0</v>
      </c>
      <c r="F97" s="24" t="n">
        <f aca="false">QUARTILE(Raw_Data!M2:M5001,3)</f>
        <v>1</v>
      </c>
      <c r="G97" s="24" t="n">
        <f aca="false">ROUND(E97-1.5*(F97-E97),1)</f>
        <v>-1.5</v>
      </c>
      <c r="H97" s="24" t="n">
        <f aca="false">ROUND(F97+1.5*(F97-E97),1)</f>
        <v>2.5</v>
      </c>
      <c r="I97" s="24" t="n">
        <f aca="false">COUNTIF(Raw_Data!M2:M5001,"&lt;"&amp;G97)+COUNTIF(Raw_Data!M2:M5001,"&gt;"&amp;H97)</f>
        <v>93</v>
      </c>
      <c r="J97" s="25" t="n">
        <f aca="false">I97/$B$4</f>
        <v>0.0186</v>
      </c>
    </row>
    <row r="98" customFormat="false" ht="15" hidden="false" customHeight="false" outlineLevel="0" collapsed="false">
      <c r="A98" s="22" t="s">
        <v>25</v>
      </c>
      <c r="B98" s="22" t="n">
        <f aca="false">MIN(Raw_Data!P2:P5001)</f>
        <v>0.5</v>
      </c>
      <c r="C98" s="22" t="n">
        <f aca="false">MAX(Raw_Data!P2:P5001)</f>
        <v>45</v>
      </c>
      <c r="D98" s="22" t="n">
        <f aca="false">ROUND(AVERAGE(Raw_Data!P2:P5001),1)</f>
        <v>10.1</v>
      </c>
      <c r="E98" s="22" t="n">
        <f aca="false">QUARTILE(Raw_Data!P2:P5001,1)</f>
        <v>5.3</v>
      </c>
      <c r="F98" s="22" t="n">
        <f aca="false">QUARTILE(Raw_Data!P2:P5001,3)</f>
        <v>13.5</v>
      </c>
      <c r="G98" s="22" t="n">
        <f aca="false">ROUND(E98-1.5*(F98-E98),1)</f>
        <v>-7</v>
      </c>
      <c r="H98" s="22" t="n">
        <f aca="false">ROUND(F98+1.5*(F98-E98),1)</f>
        <v>25.8</v>
      </c>
      <c r="I98" s="22" t="n">
        <f aca="false">COUNTIF(Raw_Data!P2:P5001,"&lt;"&amp;G98)+COUNTIF(Raw_Data!P2:P5001,"&gt;"&amp;H98)</f>
        <v>146</v>
      </c>
      <c r="J98" s="23" t="n">
        <f aca="false">I98/$B$4</f>
        <v>0.0292</v>
      </c>
    </row>
    <row r="99" customFormat="false" ht="15" hidden="false" customHeight="false" outlineLevel="0" collapsed="false">
      <c r="A99" s="24" t="s">
        <v>26</v>
      </c>
      <c r="B99" s="24" t="n">
        <f aca="false">MIN(Raw_Data!Q2:Q5001)</f>
        <v>2</v>
      </c>
      <c r="C99" s="24" t="n">
        <f aca="false">MAX(Raw_Data!Q2:Q5001)</f>
        <v>68</v>
      </c>
      <c r="D99" s="24" t="n">
        <f aca="false">ROUND(AVERAGE(Raw_Data!Q2:Q5001),1)</f>
        <v>24.2</v>
      </c>
      <c r="E99" s="24" t="n">
        <f aca="false">QUARTILE(Raw_Data!Q2:Q5001,1)</f>
        <v>17</v>
      </c>
      <c r="F99" s="24" t="n">
        <f aca="false">QUARTILE(Raw_Data!Q2:Q5001,3)</f>
        <v>32</v>
      </c>
      <c r="G99" s="24" t="n">
        <f aca="false">ROUND(E99-1.5*(F99-E99),1)</f>
        <v>-5.5</v>
      </c>
      <c r="H99" s="24" t="n">
        <f aca="false">ROUND(F99+1.5*(F99-E99),1)</f>
        <v>54.5</v>
      </c>
      <c r="I99" s="24" t="n">
        <f aca="false">COUNTIF(Raw_Data!Q2:Q5001,"&lt;"&amp;G99)+COUNTIF(Raw_Data!Q2:Q5001,"&gt;"&amp;H99)</f>
        <v>19</v>
      </c>
      <c r="J99" s="25" t="n">
        <f aca="false">I99/$B$4</f>
        <v>0.0038</v>
      </c>
    </row>
    <row r="101" customFormat="false" ht="15" hidden="false" customHeight="false" outlineLevel="0" collapsed="false">
      <c r="A101" s="13" t="s">
        <v>6824</v>
      </c>
    </row>
    <row r="102" customFormat="false" ht="15" hidden="false" customHeight="false" outlineLevel="0" collapsed="false">
      <c r="A102" s="14" t="s">
        <v>6803</v>
      </c>
      <c r="B102" s="14" t="s">
        <v>6825</v>
      </c>
      <c r="C102" s="14" t="s">
        <v>6805</v>
      </c>
      <c r="D102" s="14" t="s">
        <v>6770</v>
      </c>
    </row>
    <row r="103" customFormat="false" ht="46.25" hidden="false" customHeight="false" outlineLevel="0" collapsed="false">
      <c r="A103" s="19" t="s">
        <v>6826</v>
      </c>
      <c r="B103" s="19" t="n">
        <f aca="false">COUNTIF(Raw_Data!W2:W5001,"Mismatch")</f>
        <v>0</v>
      </c>
      <c r="C103" s="20" t="n">
        <f aca="false">B103/$B$4</f>
        <v>0</v>
      </c>
      <c r="D103" s="19" t="s">
        <v>6827</v>
      </c>
    </row>
    <row r="104" customFormat="false" ht="46.25" hidden="false" customHeight="false" outlineLevel="0" collapsed="false">
      <c r="A104" s="19" t="s">
        <v>6828</v>
      </c>
      <c r="B104" s="19" t="n">
        <f aca="false">COUNTIF(Raw_Data!X2:X5001,"Mismatch")</f>
        <v>0</v>
      </c>
      <c r="C104" s="20" t="n">
        <f aca="false">B104/$B$4</f>
        <v>0</v>
      </c>
      <c r="D104" s="19" t="s">
        <v>6829</v>
      </c>
    </row>
    <row r="105" customFormat="false" ht="57.45" hidden="false" customHeight="false" outlineLevel="0" collapsed="false">
      <c r="A105" s="19" t="s">
        <v>6830</v>
      </c>
      <c r="B105" s="19" t="n">
        <f aca="false">COUNTIF(Raw_Data!Y2:Y5001,"Missing channel for sent reminder")+COUNTIF(Raw_Data!Y2:Y5001,"Unexpected: channel present but no reminder sent")</f>
        <v>0</v>
      </c>
      <c r="C105" s="20" t="n">
        <f aca="false">B105/$B$4</f>
        <v>0</v>
      </c>
      <c r="D105" s="19" t="s">
        <v>6831</v>
      </c>
    </row>
    <row r="107" customFormat="false" ht="15" hidden="false" customHeight="false" outlineLevel="0" collapsed="false">
      <c r="A107" s="11" t="s">
        <v>6832</v>
      </c>
    </row>
    <row r="108" customFormat="false" ht="49.5" hidden="false" customHeight="true" outlineLevel="0" collapsed="false">
      <c r="A108" s="28" t="s">
        <v>6833</v>
      </c>
      <c r="B108" s="28"/>
      <c r="C108" s="28"/>
      <c r="D108" s="28"/>
      <c r="E108" s="28"/>
      <c r="F108" s="28"/>
    </row>
  </sheetData>
  <mergeCells count="1">
    <mergeCell ref="A108:F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6834</v>
      </c>
    </row>
    <row r="2" customFormat="false" ht="15" hidden="false" customHeight="false" outlineLevel="0" collapsed="false">
      <c r="A2" s="2" t="s">
        <v>6835</v>
      </c>
    </row>
    <row r="4" customFormat="false" ht="18" hidden="false" customHeight="true" outlineLevel="0" collapsed="false">
      <c r="A4" s="3" t="s">
        <v>6836</v>
      </c>
    </row>
    <row r="5" customFormat="false" ht="66" hidden="false" customHeight="true" outlineLevel="0" collapsed="false">
      <c r="A5" s="4" t="s">
        <v>6837</v>
      </c>
    </row>
    <row r="6" customFormat="false" ht="18" hidden="false" customHeight="true" outlineLevel="0" collapsed="false">
      <c r="A6" s="3" t="s">
        <v>6838</v>
      </c>
    </row>
    <row r="7" customFormat="false" ht="81" hidden="false" customHeight="true" outlineLevel="0" collapsed="false">
      <c r="A7" s="4" t="s">
        <v>6839</v>
      </c>
    </row>
    <row r="8" customFormat="false" ht="18" hidden="false" customHeight="true" outlineLevel="0" collapsed="false">
      <c r="A8" s="3" t="s">
        <v>6840</v>
      </c>
    </row>
    <row r="9" customFormat="false" ht="66" hidden="false" customHeight="true" outlineLevel="0" collapsed="false">
      <c r="A9" s="4" t="s">
        <v>6841</v>
      </c>
    </row>
    <row r="10" customFormat="false" ht="18" hidden="false" customHeight="true" outlineLevel="0" collapsed="false">
      <c r="A10" s="3" t="s">
        <v>6842</v>
      </c>
    </row>
    <row r="11" customFormat="false" ht="36" hidden="false" customHeight="true" outlineLevel="0" collapsed="false">
      <c r="A11" s="4" t="s">
        <v>6843</v>
      </c>
    </row>
    <row r="12" customFormat="false" ht="18" hidden="false" customHeight="true" outlineLevel="0" collapsed="false">
      <c r="A12" s="3" t="s">
        <v>6844</v>
      </c>
    </row>
    <row r="13" customFormat="false" ht="66" hidden="false" customHeight="true" outlineLevel="0" collapsed="false">
      <c r="A13" s="4" t="s">
        <v>6845</v>
      </c>
    </row>
    <row r="14" customFormat="false" ht="18" hidden="false" customHeight="true" outlineLevel="0" collapsed="false">
      <c r="A14" s="3" t="s">
        <v>6846</v>
      </c>
    </row>
    <row r="15" customFormat="false" ht="66" hidden="false" customHeight="true" outlineLevel="0" collapsed="false">
      <c r="A15" s="4" t="s">
        <v>6847</v>
      </c>
    </row>
    <row r="16" customFormat="false" ht="18" hidden="false" customHeight="true" outlineLevel="0" collapsed="false">
      <c r="A16" s="3" t="s">
        <v>6848</v>
      </c>
    </row>
    <row r="17" customFormat="false" ht="51" hidden="false" customHeight="true" outlineLevel="0" collapsed="false">
      <c r="A17" s="4" t="s">
        <v>6849</v>
      </c>
    </row>
    <row r="18" customFormat="false" ht="18" hidden="false" customHeight="true" outlineLevel="0" collapsed="false">
      <c r="A18" s="3" t="s">
        <v>6850</v>
      </c>
    </row>
    <row r="19" customFormat="false" ht="51" hidden="false" customHeight="true" outlineLevel="0" collapsed="false">
      <c r="A19" s="4" t="s">
        <v>6851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2026-08-30T06:10:26Z</dcterms:created>
  <dc:creator>openpyxl</dc:creator>
  <dc:description/>
  <dc:language>en-US</dc:language>
  <cp:lastModifiedBy/>
  <dcterms:modified xsi:type="dcterms:W3CDTF">2026-08-30T06:10:38Z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